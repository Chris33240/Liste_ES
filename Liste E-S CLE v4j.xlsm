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7"/>
  </bookViews>
  <sheets>
    <sheet name="Modèle Equipement" sheetId="1" state="hidden" r:id="rId1"/>
    <sheet name="Règle Nommage" sheetId="45" r:id="rId2"/>
    <sheet name="Options" sheetId="66" r:id="rId3"/>
    <sheet name="Evo" sheetId="51" r:id="rId4"/>
    <sheet name="Todo" sheetId="62"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Modèle" sheetId="4" state="hidden" r:id="rId17"/>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V2" s="1"/>
  <c r="J3"/>
  <c r="V3" s="1"/>
  <c r="J4"/>
  <c r="V4" s="1"/>
  <c r="J5"/>
  <c r="V5" s="1"/>
  <c r="J6"/>
  <c r="V6" s="1"/>
  <c r="J7"/>
  <c r="V7" s="1"/>
  <c r="J8"/>
  <c r="V8" s="1"/>
  <c r="J9"/>
  <c r="V9" s="1"/>
  <c r="J10"/>
  <c r="V10" s="1"/>
  <c r="J11"/>
  <c r="V11" s="1"/>
  <c r="J12"/>
  <c r="V12" s="1"/>
  <c r="J13"/>
  <c r="V13" s="1"/>
  <c r="I2"/>
  <c r="U2" s="1"/>
  <c r="I3"/>
  <c r="U3" s="1"/>
  <c r="I4"/>
  <c r="U4" s="1"/>
  <c r="I5"/>
  <c r="U5" s="1"/>
  <c r="I6"/>
  <c r="U6" s="1"/>
  <c r="I7"/>
  <c r="U7" s="1"/>
  <c r="I8"/>
  <c r="U8" s="1"/>
  <c r="I9"/>
  <c r="U9" s="1"/>
  <c r="I10"/>
  <c r="U10" s="1"/>
  <c r="I11"/>
  <c r="U11" s="1"/>
  <c r="I12"/>
  <c r="U12" s="1"/>
  <c r="I13"/>
  <c r="U13" s="1"/>
  <c r="H2"/>
  <c r="T2" s="1"/>
  <c r="H3"/>
  <c r="T3" s="1"/>
  <c r="H4"/>
  <c r="T4" s="1"/>
  <c r="H5"/>
  <c r="T5" s="1"/>
  <c r="H6"/>
  <c r="T6" s="1"/>
  <c r="H7"/>
  <c r="T7" s="1"/>
  <c r="H8"/>
  <c r="T8" s="1"/>
  <c r="H9"/>
  <c r="T9" s="1"/>
  <c r="H10"/>
  <c r="T10" s="1"/>
  <c r="H11"/>
  <c r="T11" s="1"/>
  <c r="H12"/>
  <c r="T12" s="1"/>
  <c r="H13"/>
  <c r="T13" s="1"/>
  <c r="G2"/>
  <c r="S2" s="1"/>
  <c r="G3"/>
  <c r="S3" s="1"/>
  <c r="G4"/>
  <c r="S4" s="1"/>
  <c r="G5"/>
  <c r="S5" s="1"/>
  <c r="G6"/>
  <c r="S6" s="1"/>
  <c r="G7"/>
  <c r="S7" s="1"/>
  <c r="G8"/>
  <c r="S8" s="1"/>
  <c r="G9"/>
  <c r="S9" s="1"/>
  <c r="G10"/>
  <c r="S10" s="1"/>
  <c r="G11"/>
  <c r="S11" s="1"/>
  <c r="G12"/>
  <c r="S12" s="1"/>
  <c r="G13"/>
  <c r="S13" s="1"/>
  <c r="F2"/>
  <c r="R2" s="1"/>
  <c r="F3"/>
  <c r="R3" s="1"/>
  <c r="F4"/>
  <c r="R4" s="1"/>
  <c r="F5"/>
  <c r="R5" s="1"/>
  <c r="F6"/>
  <c r="R6" s="1"/>
  <c r="F7"/>
  <c r="R7" s="1"/>
  <c r="F8"/>
  <c r="R8" s="1"/>
  <c r="F9"/>
  <c r="R9" s="1"/>
  <c r="F10"/>
  <c r="R10" s="1"/>
  <c r="F11"/>
  <c r="R11" s="1"/>
  <c r="F12"/>
  <c r="R12" s="1"/>
  <c r="F13"/>
  <c r="R13" s="1"/>
  <c r="E2"/>
  <c r="Q2" s="1"/>
  <c r="E3"/>
  <c r="Q3" s="1"/>
  <c r="E4"/>
  <c r="Q4" s="1"/>
  <c r="E5"/>
  <c r="Q5" s="1"/>
  <c r="E6"/>
  <c r="Q6" s="1"/>
  <c r="E7"/>
  <c r="Q7" s="1"/>
  <c r="E8"/>
  <c r="Q8" s="1"/>
  <c r="E9"/>
  <c r="Q9" s="1"/>
  <c r="E10"/>
  <c r="Q10" s="1"/>
  <c r="E11"/>
  <c r="Q11" s="1"/>
  <c r="E12"/>
  <c r="Q12" s="1"/>
  <c r="E13"/>
  <c r="Q13" s="1"/>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O9" i="65"/>
  <c r="L5"/>
  <c r="P8"/>
  <c r="L9"/>
  <c r="M10"/>
  <c r="K7"/>
  <c r="L7"/>
  <c r="O3"/>
  <c r="P4"/>
  <c r="K8"/>
  <c r="M7"/>
  <c r="O6"/>
  <c r="N10"/>
  <c r="O2"/>
  <c r="O10"/>
  <c r="K9"/>
  <c r="O8"/>
  <c r="O7"/>
  <c r="N6"/>
  <c r="P5"/>
  <c r="N3"/>
  <c r="K4"/>
  <c r="K6"/>
  <c r="N8"/>
  <c r="P10"/>
  <c r="M2"/>
  <c r="N2"/>
  <c r="N4"/>
  <c r="O5"/>
  <c r="P6"/>
  <c r="P9"/>
  <c r="M8"/>
  <c r="P3"/>
  <c r="L4"/>
  <c r="L6"/>
  <c r="L3"/>
  <c r="P2"/>
  <c r="L2"/>
  <c r="M3"/>
  <c r="M5"/>
  <c r="N5"/>
  <c r="N7"/>
  <c r="P7"/>
  <c r="K2"/>
  <c r="L8"/>
  <c r="M9"/>
  <c r="O4"/>
  <c r="M6"/>
  <c r="M4"/>
  <c r="K10"/>
  <c r="K5"/>
  <c r="K3"/>
  <c r="N9"/>
  <c r="L10"/>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<sst xmlns="http://schemas.openxmlformats.org/spreadsheetml/2006/main" count="7119" uniqueCount="1894">
  <si>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</si>
  <si>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</si>
  <si>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</si>
  <si>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</si>
  <si>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</si>
  <si>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</si>
  <si>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</si>
  <si>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</si>
  <si>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</si>
  <si>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</si>
  <si>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</si>
  <si>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</si>
  <si>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</si>
  <si>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</si>
  <si>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</si>
  <si>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</si>
  <si>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</si>
  <si>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</si>
  <si>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</si>
  <si>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</si>
  <si>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</si>
  <si>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</si>
  <si>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</si>
  <si>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</si>
  <si>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</si>
  <si>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</si>
  <si>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</si>
  <si>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</si>
  <si>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</si>
  <si>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</si>
  <si>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</si>
  <si>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</si>
  <si>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</si>
  <si>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</si>
  <si>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</si>
  <si>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</si>
  <si>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</si>
  <si>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</si>
  <si>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</si>
  <si>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</si>
  <si>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</si>
  <si>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</si>
  <si>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</si>
  <si>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</si>
  <si>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</si>
  <si>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</si>
  <si>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</si>
  <si>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</si>
  <si>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</si>
  <si>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</si>
  <si>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</si>
  <si>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</si>
  <si>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</si>
  <si>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</si>
  <si>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</si>
  <si>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</si>
  <si>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</si>
  <si>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</si>
  <si>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</si>
  <si>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</si>
  <si>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</si>
  <si>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</si>
  <si>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</si>
  <si>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</si>
  <si>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</si>
  <si>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</si>
  <si>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</si>
  <si>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</si>
  <si>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</si>
  <si>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</si>
  <si>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</si>
  <si>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</si>
  <si>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</si>
  <si>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</si>
  <si>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</si>
  <si>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</si>
  <si>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</si>
  <si>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</si>
  <si>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</si>
  <si>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</si>
  <si>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</si>
  <si>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</si>
  <si>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</si>
  <si>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</si>
  <si>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</si>
  <si>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</si>
  <si>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</si>
  <si>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</si>
  <si>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</si>
  <si>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</si>
  <si>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</si>
  <si>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</si>
  <si>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</si>
  <si>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</si>
  <si>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</si>
  <si>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</si>
  <si>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</si>
  <si>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</si>
  <si>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</si>
  <si>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</si>
  <si>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</si>
  <si>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</si>
  <si>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</si>
  <si>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</si>
  <si>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</si>
  <si>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</si>
  <si>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</si>
  <si>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</si>
  <si>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</si>
  <si>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</si>
  <si>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</si>
  <si>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</si>
  <si>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</si>
  <si>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</si>
  <si>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</si>
  <si>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</si>
  <si>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</si>
  <si>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</si>
  <si>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</si>
  <si>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</si>
  <si>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</si>
  <si>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</si>
  <si>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</si>
  <si>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</si>
  <si>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</si>
  <si>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</si>
  <si>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</si>
  <si>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</si>
  <si>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</si>
  <si>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</si>
  <si>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</si>
  <si>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</si>
  <si>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</si>
  <si>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</si>
  <si>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</si>
  <si>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</si>
  <si>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</si>
  <si>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</si>
  <si>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</si>
  <si>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</si>
  <si>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</si>
  <si>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</si>
  <si>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</si>
  <si>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</si>
  <si>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</si>
  <si>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</si>
  <si>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</si>
  <si>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</si>
  <si>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</si>
  <si>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</si>
  <si>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</si>
  <si>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</si>
  <si>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</si>
  <si>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</si>
  <si>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</si>
  <si>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</si>
  <si>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</si>
  <si>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</si>
  <si>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</si>
  <si>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</si>
  <si>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</si>
  <si>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</si>
  <si>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</si>
  <si>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</si>
  <si>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</si>
  <si>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</si>
  <si>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</si>
  <si>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</si>
  <si>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</si>
  <si>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</si>
  <si>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</si>
  <si>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</si>
  <si>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</si>
  <si>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</si>
  <si>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</si>
  <si>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</si>
  <si>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</si>
  <si>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</si>
  <si>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</si>
  <si>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</si>
  <si>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</si>
  <si>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</si>
  <si>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</si>
  <si>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</si>
  <si>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</si>
  <si>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</si>
  <si>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</si>
  <si>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</si>
  <si>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</si>
  <si>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</si>
  <si>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</si>
  <si>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</si>
  <si>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</si>
  <si>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</si>
  <si>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</si>
  <si>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</si>
  <si>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</si>
  <si>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</si>
  <si>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</si>
  <si>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</si>
  <si>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</si>
  <si>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</si>
  <si>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</si>
  <si>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</si>
  <si>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</si>
  <si>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</si>
  <si>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</si>
  <si>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</si>
  <si>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</si>
  <si>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</si>
  <si>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</si>
  <si>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</si>
  <si>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</si>
  <si>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</si>
  <si>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</si>
  <si>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</si>
  <si>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</si>
  <si>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</si>
  <si>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</si>
  <si>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</si>
  <si>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</si>
  <si>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</si>
  <si>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</si>
  <si>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</si>
  <si>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</si>
  <si>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</si>
  <si>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</si>
  <si>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</si>
  <si>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</si>
  <si>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</si>
  <si>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</si>
  <si>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</si>
  <si>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</si>
  <si>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</si>
  <si>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</si>
  <si>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</si>
  <si>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</si>
  <si>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</si>
  <si>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</si>
  <si>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</si>
  <si>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</si>
  <si>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</si>
  <si>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</si>
  <si>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</si>
  <si>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</si>
  <si>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</si>
  <si>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</si>
  <si>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</si>
  <si>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</si>
  <si>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</si>
  <si>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</si>
  <si>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</si>
  <si>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</si>
  <si>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</si>
  <si>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</si>
  <si>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</si>
  <si>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</si>
  <si>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</si>
  <si>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</si>
  <si>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</si>
  <si>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</si>
  <si>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</si>
  <si>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</si>
  <si>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</si>
  <si>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</si>
  <si>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</si>
  <si>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</si>
  <si>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</si>
  <si>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</si>
  <si>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</si>
  <si>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</si>
  <si>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</si>
  <si>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</si>
  <si>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</si>
  <si>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</si>
  <si>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</si>
  <si>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</si>
  <si>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</si>
  <si>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</si>
  <si>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</si>
  <si>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</si>
  <si>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</si>
  <si>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</si>
  <si>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</si>
  <si>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</si>
  <si>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</si>
  <si>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</si>
  <si>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</si>
  <si>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</si>
  <si>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</si>
  <si>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</si>
  <si>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</si>
  <si>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</si>
  <si>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</si>
  <si>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</si>
  <si>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</si>
  <si>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</si>
  <si>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</si>
  <si>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</si>
  <si>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</si>
  <si>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</si>
  <si>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</si>
  <si>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</si>
  <si>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</si>
  <si>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</si>
  <si>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</si>
  <si>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</si>
  <si>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</si>
  <si>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</si>
  <si>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</si>
  <si>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</si>
  <si>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</si>
  <si>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</si>
  <si>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</si>
  <si>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</si>
  <si>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</si>
  <si>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</si>
  <si>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</si>
  <si>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</si>
  <si>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</si>
  <si>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</si>
  <si>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</si>
  <si>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</si>
  <si>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</si>
  <si>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</si>
  <si>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</si>
  <si>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</si>
  <si>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</si>
  <si>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</si>
  <si>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</si>
  <si>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</si>
  <si>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</si>
  <si>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</si>
  <si>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</si>
  <si>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</si>
  <si>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</si>
  <si>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</si>
  <si>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</si>
  <si>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</si>
  <si>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</si>
  <si>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</si>
  <si>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</si>
  <si>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</si>
  <si>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</si>
  <si>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</si>
  <si>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</si>
  <si>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</si>
  <si>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</si>
  <si>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</si>
  <si>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</si>
  <si>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</si>
  <si>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</si>
  <si>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</si>
  <si>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</si>
  <si>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</si>
  <si>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</si>
  <si>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</si>
  <si>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</si>
  <si>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</si>
  <si>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</si>
  <si>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</si>
  <si>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</si>
  <si>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</si>
  <si>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</si>
  <si>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</si>
  <si>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</si>
  <si>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</si>
  <si>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</si>
  <si>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</si>
  <si>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</si>
  <si>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</si>
  <si>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</si>
  <si>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</si>
  <si>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</si>
  <si>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</si>
  <si>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</si>
  <si>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</si>
  <si>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</si>
  <si>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</si>
  <si>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</si>
  <si>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</si>
  <si>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</si>
  <si>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</si>
  <si>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</si>
  <si>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</si>
  <si>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</si>
  <si>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</si>
  <si>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</si>
  <si>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</si>
  <si>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</si>
  <si>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</si>
  <si>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</si>
  <si>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</si>
  <si>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</si>
  <si>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</si>
  <si>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</si>
  <si>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</si>
  <si>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</si>
  <si>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</si>
  <si>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</si>
  <si>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</si>
  <si>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</si>
  <si>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</si>
  <si>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</si>
  <si>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</si>
  <si>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</si>
  <si>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</si>
  <si>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</si>
  <si>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</si>
  <si>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</si>
  <si>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</si>
  <si>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</si>
  <si>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</si>
  <si>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</si>
  <si>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</si>
  <si>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</si>
  <si>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</si>
  <si>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</si>
  <si>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</si>
  <si>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</si>
  <si>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</si>
  <si>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</si>
  <si>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</si>
  <si>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</si>
  <si>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</si>
  <si>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</si>
  <si>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</si>
  <si>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</si>
  <si>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</si>
  <si>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</si>
  <si>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</si>
  <si>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</si>
  <si>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</si>
  <si>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</si>
  <si>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</si>
  <si>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</si>
  <si>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</si>
  <si>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</si>
  <si>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</si>
  <si>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</si>
  <si>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</si>
  <si>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</si>
  <si>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</si>
  <si>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</si>
  <si>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</si>
  <si>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</si>
  <si>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</si>
  <si>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</si>
  <si>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</si>
  <si>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</si>
  <si>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</si>
  <si>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</si>
  <si>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</si>
  <si>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</si>
  <si>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</si>
  <si>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</si>
  <si>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</si>
  <si>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</si>
  <si>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</si>
  <si>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</si>
  <si>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</si>
  <si>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</si>
  <si>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</si>
  <si>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</si>
  <si>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</si>
  <si>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</si>
  <si>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</si>
  <si>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</si>
  <si>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</si>
  <si>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</si>
  <si>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</si>
  <si>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</si>
  <si>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</si>
  <si>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</si>
  <si>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</si>
  <si>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</si>
  <si>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</si>
  <si>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</si>
  <si>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</si>
  <si>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</si>
  <si>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</si>
  <si>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</si>
  <si>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</si>
  <si>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</si>
  <si>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</si>
  <si>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</si>
  <si>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</si>
  <si>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</si>
  <si>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</si>
  <si>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</si>
  <si>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</si>
  <si>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</si>
  <si>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</si>
  <si>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</si>
  <si>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</si>
  <si>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</si>
  <si>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</si>
  <si>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</si>
  <si>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</si>
  <si>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</si>
  <si>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</si>
  <si>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</si>
  <si>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</si>
  <si>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</si>
  <si>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</si>
  <si>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</si>
  <si>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</si>
  <si>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</si>
  <si>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</si>
  <si>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</si>
  <si>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</si>
  <si>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</si>
  <si>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</si>
  <si>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</si>
  <si>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</si>
  <si>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</si>
  <si>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</si>
  <si>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</si>
  <si>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</si>
  <si>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</si>
  <si>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</si>
  <si>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</si>
  <si>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</si>
  <si>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</si>
  <si>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</si>
  <si>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</si>
  <si>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</si>
  <si>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</si>
  <si>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</si>
  <si>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</si>
  <si>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</si>
  <si>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</si>
  <si>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</si>
  <si>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</si>
  <si>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</si>
  <si>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</si>
  <si>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</si>
  <si>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</si>
  <si>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</si>
  <si>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</si>
  <si>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</si>
  <si>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</si>
  <si>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</si>
  <si>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</si>
  <si>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</si>
  <si>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</si>
  <si>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</si>
  <si>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</si>
  <si>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</si>
  <si>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</si>
  <si>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</si>
  <si>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</si>
  <si>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</si>
  <si>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</si>
  <si>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</si>
  <si>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</si>
  <si>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</si>
  <si>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</si>
  <si>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</si>
  <si>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</si>
  <si>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</si>
  <si>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</si>
  <si>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</si>
  <si>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</si>
  <si>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</si>
  <si>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</si>
  <si>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</si>
  <si>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</si>
  <si>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</si>
  <si>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</si>
  <si>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</si>
  <si>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</si>
  <si>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</si>
  <si>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</si>
  <si>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</si>
  <si>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</si>
  <si>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</si>
  <si>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</si>
  <si>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</si>
  <si>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</si>
  <si>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</si>
  <si>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</si>
  <si>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</si>
  <si>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</si>
  <si>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</si>
  <si>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</si>
  <si>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</si>
  <si>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</si>
  <si>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</si>
  <si>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</si>
  <si>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</si>
  <si>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</si>
  <si>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</si>
  <si>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</si>
  <si>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</si>
  <si>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</si>
  <si>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</si>
  <si>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</si>
  <si>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</si>
  <si>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</si>
  <si>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</si>
  <si>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</si>
  <si>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</si>
  <si>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</si>
  <si>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</si>
  <si>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</si>
  <si>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</si>
  <si>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</si>
  <si>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</si>
  <si>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</si>
  <si>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</si>
  <si>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</si>
  <si>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</si>
  <si>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</si>
  <si>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</si>
  <si>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</si>
  <si>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</si>
  <si>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</si>
  <si>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</si>
  <si>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</si>
  <si>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</si>
  <si>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</si>
  <si>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</si>
  <si>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</si>
  <si>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</si>
  <si>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</si>
  <si>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</si>
  <si>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</si>
  <si>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</si>
  <si>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</si>
  <si>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</si>
  <si>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</si>
  <si>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</si>
  <si>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</si>
  <si>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</si>
  <si>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</si>
  <si>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</si>
  <si>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</si>
  <si>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</si>
  <si>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</si>
  <si>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</si>
  <si>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</si>
  <si>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</si>
  <si>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</si>
  <si>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</si>
  <si>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</si>
  <si>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</si>
  <si>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</si>
  <si>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</si>
  <si>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</si>
  <si>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</si>
  <si>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</si>
  <si>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</si>
  <si>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</si>
  <si>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</si>
  <si>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</si>
  <si>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</si>
  <si>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</si>
  <si>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</si>
  <si>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</si>
  <si>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</si>
  <si>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</si>
  <si>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</si>
  <si>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</si>
  <si>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</si>
  <si>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</si>
  <si>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</si>
  <si>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</si>
  <si>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</si>
  <si>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</si>
  <si>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</si>
  <si>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</si>
  <si>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</si>
  <si>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</si>
  <si>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</si>
  <si>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</si>
  <si>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</si>
  <si>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</si>
  <si>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</si>
  <si>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</si>
  <si>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</si>
  <si>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</si>
  <si>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</si>
  <si>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</si>
  <si>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</si>
  <si>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</si>
  <si>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</si>
  <si>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</si>
  <si>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</si>
  <si>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</si>
  <si>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</si>
  <si>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</si>
  <si>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</si>
  <si>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</si>
  <si>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</si>
  <si>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</si>
  <si>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</si>
  <si>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</si>
  <si>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</si>
  <si>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</si>
  <si>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</si>
  <si>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</si>
  <si>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</si>
  <si>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</si>
  <si>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</si>
  <si>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</si>
  <si>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</si>
  <si>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</si>
  <si>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</si>
  <si>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</si>
  <si>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</si>
  <si>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</si>
  <si>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</si>
  <si>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</si>
  <si>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</si>
  <si>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</si>
  <si>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</si>
  <si>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</si>
  <si>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</si>
  <si>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</si>
  <si>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</si>
  <si>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</si>
  <si>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</si>
  <si>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</si>
  <si>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</si>
  <si>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</si>
  <si>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</si>
  <si>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</si>
  <si>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</si>
  <si>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</si>
  <si>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</si>
  <si>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</si>
  <si>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</si>
  <si>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</si>
  <si>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</si>
  <si>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</si>
  <si>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</si>
  <si>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</si>
  <si>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</si>
  <si>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</si>
  <si>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</si>
  <si>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</si>
  <si>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</si>
  <si>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</si>
  <si>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</si>
  <si>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</si>
  <si>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</si>
  <si>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</si>
  <si>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</si>
  <si>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</si>
  <si>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</si>
  <si>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</si>
  <si>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</si>
  <si>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</si>
  <si>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</si>
  <si>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</si>
  <si>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</si>
  <si>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</si>
  <si>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</si>
  <si>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</si>
  <si>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</si>
  <si>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</si>
  <si>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</si>
  <si>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</si>
  <si>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</si>
  <si>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</si>
  <si>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</si>
  <si>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</si>
  <si>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</si>
  <si>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</si>
  <si>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</si>
  <si>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</si>
  <si>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</si>
  <si>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</si>
  <si>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</si>
  <si>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</si>
  <si>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</si>
  <si>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</si>
  <si>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</si>
  <si>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</si>
  <si>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</si>
  <si>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</si>
  <si>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</si>
  <si>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</si>
  <si>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</si>
  <si>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</si>
  <si>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</si>
  <si>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</si>
  <si>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</si>
  <si>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</si>
  <si>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</si>
  <si>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</si>
  <si>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</si>
  <si>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</si>
  <si>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</si>
  <si>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</si>
  <si>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</si>
  <si>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</si>
  <si>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</si>
  <si>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</si>
  <si>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</si>
  <si>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</si>
  <si>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</si>
  <si>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</si>
  <si>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</si>
  <si>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</si>
  <si>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</si>
  <si>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</si>
  <si>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</si>
  <si>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</si>
  <si>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</si>
  <si>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</si>
  <si>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</si>
  <si>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</si>
  <si>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</si>
  <si>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</si>
  <si>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</si>
  <si>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</si>
  <si>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</si>
  <si>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</si>
  <si>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</si>
  <si>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</si>
  <si>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</si>
  <si>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</si>
  <si>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</si>
  <si>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</si>
  <si>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</si>
  <si>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</si>
  <si>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</si>
  <si>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</si>
  <si>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</si>
  <si>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</si>
  <si>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</si>
  <si>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</si>
  <si>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</si>
  <si>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</si>
  <si>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</si>
  <si>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</si>
  <si>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</si>
  <si>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</si>
  <si>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</si>
  <si>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</si>
  <si>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</si>
  <si>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</si>
  <si>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</si>
  <si>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</si>
  <si>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</si>
  <si>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</si>
  <si>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</si>
  <si>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</si>
  <si>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</si>
  <si>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</si>
  <si>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</si>
  <si>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</si>
  <si>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</si>
  <si>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</si>
  <si>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</si>
  <si>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</si>
  <si>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</si>
  <si>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</si>
  <si>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</si>
  <si>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</si>
  <si>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</si>
  <si>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</si>
  <si>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</si>
  <si>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</si>
  <si>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</si>
  <si>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</si>
  <si>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</si>
  <si>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</si>
  <si>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</si>
  <si>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</si>
  <si>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</si>
  <si>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</si>
  <si>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</si>
  <si>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</si>
  <si>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</si>
  <si>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</si>
  <si>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</si>
  <si>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</si>
  <si>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</si>
  <si>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</si>
  <si>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</si>
  <si>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</si>
  <si>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</si>
  <si>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</si>
  <si>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</si>
  <si>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</si>
  <si>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</si>
  <si>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</si>
  <si>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</si>
  <si>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</si>
  <si>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</si>
  <si>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</si>
  <si>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</si>
  <si>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</si>
  <si>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</si>
  <si>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</si>
  <si>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</si>
  <si>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</si>
  <si>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</si>
  <si>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</si>
  <si>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</si>
  <si>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</si>
  <si>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</si>
  <si>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</si>
  <si>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</si>
  <si>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</si>
  <si>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</si>
  <si>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</si>
  <si>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</si>
  <si>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</si>
  <si>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</si>
  <si>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</si>
  <si>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</si>
  <si>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</si>
  <si>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</si>
  <si>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</si>
  <si>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</si>
  <si>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</si>
  <si>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</si>
  <si>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</si>
  <si>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</si>
  <si>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</si>
  <si>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</si>
  <si>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</si>
  <si>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</si>
  <si>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</si>
  <si>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</si>
  <si>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</si>
  <si>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</si>
  <si>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</si>
  <si>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</si>
  <si>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</si>
  <si>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</si>
  <si>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</si>
  <si>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</si>
  <si>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</si>
  <si>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</si>
  <si>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</si>
  <si>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</si>
  <si>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</si>
  <si>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</si>
  <si>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</si>
  <si>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</si>
  <si>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</si>
  <si>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</si>
  <si>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</si>
  <si>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</si>
  <si>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</si>
  <si>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</si>
  <si>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</si>
  <si>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</si>
  <si>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</si>
  <si>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</si>
  <si>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</si>
  <si>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</si>
  <si>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</si>
  <si>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</si>
  <si>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</si>
  <si>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</si>
  <si>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</si>
  <si>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</si>
  <si>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</si>
  <si>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</si>
  <si>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</si>
  <si>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</si>
  <si>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</si>
  <si>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</si>
  <si>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</si>
  <si>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</si>
  <si>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</si>
  <si>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</si>
  <si>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</si>
  <si>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</si>
  <si>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</si>
  <si>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</si>
  <si>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</si>
  <si>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</si>
  <si>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</si>
  <si>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</si>
  <si>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</si>
  <si>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</si>
  <si>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</si>
  <si>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</si>
  <si>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</si>
  <si>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</si>
  <si>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</si>
  <si>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</si>
  <si>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</si>
  <si>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</si>
  <si>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</si>
  <si>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</si>
  <si>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</si>
  <si>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</si>
  <si>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</si>
  <si>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</si>
  <si>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</si>
  <si>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</si>
  <si>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</si>
  <si>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</si>
  <si>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</si>
  <si>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</si>
  <si>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</si>
  <si>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</si>
  <si>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</si>
  <si>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</si>
  <si>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</si>
  <si>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</si>
  <si>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</si>
  <si>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</si>
  <si>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</si>
  <si>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</si>
  <si>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</si>
  <si>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</si>
  <si>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</si>
  <si>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</si>
  <si>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</si>
  <si>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</si>
  <si>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</si>
  <si>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</si>
  <si>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</si>
  <si>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</si>
  <si>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</si>
  <si>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</si>
  <si>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</si>
  <si>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</si>
  <si>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</si>
  <si>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</si>
  <si>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</si>
  <si>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</si>
  <si>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</si>
  <si>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</si>
  <si>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</si>
  <si>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</si>
  <si>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</si>
  <si>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</si>
  <si>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</si>
  <si>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</si>
  <si>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</si>
  <si>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</si>
  <si>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</si>
  <si>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</si>
  <si>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</si>
  <si>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</si>
  <si>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</si>
  <si>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</si>
  <si>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</si>
  <si>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</si>
  <si>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</si>
  <si>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</si>
  <si>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</si>
  <si>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</si>
  <si>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</si>
  <si>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</si>
  <si>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</si>
  <si>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</si>
  <si>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</si>
  <si>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</si>
  <si>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</si>
  <si>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</si>
  <si>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</si>
  <si>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</si>
  <si>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</si>
  <si>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</si>
  <si>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</si>
  <si>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</si>
  <si>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</si>
  <si>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</si>
  <si>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</si>
  <si>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</si>
  <si>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</si>
  <si>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</si>
  <si>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</si>
  <si>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</si>
  <si>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</si>
  <si>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</si>
  <si>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</si>
  <si>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</si>
  <si>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</si>
  <si>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</si>
  <si>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</si>
  <si>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</si>
  <si>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</si>
  <si>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</si>
  <si>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</si>
  <si>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</si>
  <si>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</si>
  <si>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</si>
  <si>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</si>
  <si>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</si>
  <si>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</si>
  <si>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</si>
  <si>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</si>
  <si>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</si>
  <si>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</si>
  <si>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</si>
  <si>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</si>
  <si>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</si>
  <si>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</si>
  <si>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</si>
  <si>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</si>
  <si>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</si>
  <si>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</si>
  <si>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</si>
  <si>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</si>
  <si>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</si>
  <si>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</si>
  <si>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</si>
  <si>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</si>
  <si>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</si>
  <si>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</si>
  <si>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</si>
  <si>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</si>
  <si>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</si>
  <si>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</si>
  <si>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</si>
  <si>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</si>
  <si>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</si>
  <si>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</si>
  <si>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</si>
  <si>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</si>
  <si>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</si>
  <si>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</si>
  <si>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</si>
  <si>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</si>
  <si>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</si>
  <si>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</si>
  <si>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</si>
  <si>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</si>
  <si>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</si>
  <si>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</si>
  <si>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</si>
  <si>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</si>
  <si>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</si>
  <si>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</si>
  <si>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</si>
  <si>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</si>
  <si>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</si>
  <si>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</si>
  <si>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</si>
  <si>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</si>
  <si>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</si>
  <si>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</si>
  <si>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</si>
  <si>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</si>
  <si>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</si>
  <si>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</si>
  <si>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</si>
  <si>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</si>
  <si>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</si>
  <si>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</si>
  <si>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</si>
  <si>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</si>
  <si>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</si>
  <si>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</si>
  <si>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</si>
  <si>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</si>
  <si>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</si>
  <si>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</si>
  <si>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</si>
  <si>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</si>
  <si>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</si>
  <si>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</si>
  <si>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</si>
  <si>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</si>
  <si>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</si>
  <si>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</si>
  <si>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</si>
  <si>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</si>
  <si>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</si>
  <si>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</si>
  <si>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</si>
  <si>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</si>
  <si>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</si>
  <si>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</si>
  <si>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</si>
  <si>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</si>
  <si>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</si>
  <si>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</si>
  <si>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</si>
  <si>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</si>
  <si>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</si>
  <si>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</si>
  <si>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</si>
  <si>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</si>
  <si>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</si>
  <si>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</si>
  <si>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</si>
  <si>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</si>
  <si>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</si>
  <si>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</si>
  <si>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</si>
  <si>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</si>
  <si>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</si>
  <si>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</si>
  <si>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</si>
  <si>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</si>
  <si>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</si>
  <si>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</si>
  <si>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</si>
  <si>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</si>
  <si>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</si>
  <si>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</si>
  <si>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</si>
  <si>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</si>
  <si>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</si>
  <si>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</si>
  <si>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</si>
  <si>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</si>
  <si>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</si>
  <si>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</si>
  <si>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</si>
  <si>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</si>
  <si>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</si>
  <si>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</si>
  <si>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</si>
  <si>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</si>
  <si>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</si>
  <si>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</si>
  <si>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</si>
  <si>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</si>
  <si>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</si>
  <si>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</si>
  <si>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</si>
  <si>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</si>
  <si>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</si>
  <si>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</si>
  <si>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</si>
  <si>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</si>
  <si>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</si>
  <si>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</si>
  <si>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</si>
  <si>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</si>
  <si>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</si>
  <si>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</si>
  <si>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</si>
  <si>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</si>
  <si>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</si>
  <si>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</si>
  <si>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</si>
  <si>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</si>
  <si>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</si>
  <si>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</si>
  <si>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</si>
  <si>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</si>
  <si>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</si>
  <si>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</si>
  <si>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</si>
  <si>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</si>
  <si>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</si>
  <si>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</si>
  <si>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</si>
  <si>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</si>
  <si>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</si>
  <si>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</si>
  <si>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</si>
  <si>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</si>
  <si>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</si>
  <si>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</si>
  <si>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</si>
  <si>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</si>
  <si>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</si>
  <si>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</si>
  <si>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</si>
  <si>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</si>
  <si>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</si>
  <si>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</si>
  <si>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</si>
  <si>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</si>
  <si>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</si>
  <si>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</si>
  <si>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</si>
  <si>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</si>
  <si>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</si>
  <si>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</si>
  <si>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</si>
  <si>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</si>
  <si>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</si>
  <si>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</si>
  <si>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</si>
  <si>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</si>
  <si>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</si>
  <si>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</si>
  <si>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</si>
  <si>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</si>
  <si>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</si>
  <si>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</si>
  <si>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</si>
  <si>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</si>
  <si>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</si>
  <si>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</si>
  <si>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</si>
  <si>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</si>
  <si>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</si>
  <si>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</si>
  <si>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</si>
  <si>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</si>
  <si>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</si>
  <si>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</si>
  <si>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</si>
  <si>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</si>
  <si>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</si>
  <si>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</si>
  <si>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</si>
  <si>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</si>
  <si>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</si>
  <si>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</si>
  <si>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</si>
  <si>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</si>
  <si>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</si>
  <si>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</si>
  <si>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</si>
  <si>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</si>
  <si>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</si>
  <si>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</si>
  <si>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</si>
  <si>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</si>
  <si>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</si>
  <si>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</si>
  <si>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</si>
  <si>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</si>
  <si>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</si>
  <si>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</si>
  <si>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</si>
  <si>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</si>
  <si>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</si>
  <si>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</si>
  <si>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</si>
  <si>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</si>
  <si>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</si>
  <si>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</si>
  <si>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</si>
  <si>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</si>
  <si>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</si>
  <si>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</si>
  <si>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</si>
  <si>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</si>
  <si>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</si>
  <si>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</si>
  <si>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</si>
  <si>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</si>
  <si>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</si>
  <si>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</si>
  <si>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</si>
  <si>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</si>
  <si>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</si>
  <si>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</si>
  <si>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</si>
  <si>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</si>
  <si>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</si>
  <si>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</si>
  <si>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</si>
  <si>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</si>
  <si>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</si>
  <si>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</si>
  <si>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</si>
  <si>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</si>
  <si>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</si>
  <si>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</si>
  <si>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</si>
  <si>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</si>
  <si>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</si>
  <si>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</si>
  <si>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</si>
  <si>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</si>
  <si>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</si>
  <si>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</si>
  <si>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</si>
  <si>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</si>
  <si>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</si>
  <si>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</si>
  <si>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</si>
  <si>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</si>
  <si>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</si>
  <si>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</si>
  <si>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</si>
  <si>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</si>
  <si>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</si>
  <si>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</si>
  <si>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</si>
  <si>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</si>
  <si>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</si>
  <si>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</si>
  <si>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</si>
  <si>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</si>
  <si>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</si>
  <si>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</si>
  <si>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</si>
  <si>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</si>
  <si>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</si>
  <si>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</si>
  <si>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</si>
  <si>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</si>
  <si>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</si>
  <si>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</si>
  <si>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</si>
  <si>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</si>
  <si>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</si>
  <si>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</si>
  <si>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</si>
  <si>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</si>
  <si>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</si>
  <si>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</si>
  <si>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</si>
  <si>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</si>
  <si>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</si>
  <si>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</si>
  <si>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</si>
  <si>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</si>
  <si>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</si>
  <si>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</si>
  <si>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</si>
  <si>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</si>
  <si>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</si>
  <si>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</si>
  <si>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</si>
  <si>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</si>
  <si>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</si>
  <si>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</si>
  <si>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</si>
  <si>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</si>
  <si>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</si>
  <si>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</si>
  <si>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</si>
  <si>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</si>
  <si>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</si>
  <si>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</si>
  <si>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</si>
  <si>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</si>
  <si>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</si>
  <si>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</si>
  <si>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</si>
  <si>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</si>
  <si>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</si>
  <si>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</si>
  <si>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</si>
  <si>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</si>
  <si>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</si>
  <si>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</si>
  <si>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</si>
  <si>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</si>
  <si>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</si>
  <si>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</si>
  <si>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</si>
  <si>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</si>
  <si>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</si>
  <si>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</si>
  <si>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</si>
  <si>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</si>
  <si>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</si>
  <si>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</si>
  <si>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</si>
  <si>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</si>
  <si>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</si>
  <si>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</si>
  <si>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</si>
  <si>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</si>
  <si>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</si>
  <si>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</si>
  <si>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</si>
  <si>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</si>
  <si>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</si>
  <si>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</si>
  <si>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</si>
  <si>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</si>
  <si>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</si>
  <si>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</si>
  <si>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</si>
  <si>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</si>
  <si>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</si>
  <si>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</si>
  <si>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</si>
  <si>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</si>
  <si>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</si>
  <si>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</si>
  <si>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</si>
  <si>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</si>
  <si>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</si>
  <si>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</si>
  <si>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</si>
  <si>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</si>
  <si>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</si>
  <si>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</si>
  <si>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</si>
  <si>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</si>
  <si>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</si>
  <si>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</si>
  <si>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</si>
  <si>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</si>
  <si>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</si>
  <si>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</si>
  <si>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</si>
  <si>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</si>
  <si>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</si>
  <si>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</si>
  <si>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</si>
  <si>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</si>
  <si>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</si>
  <si>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</si>
  <si>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</si>
  <si>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</si>
  <si>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</si>
  <si>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</si>
  <si>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</si>
  <si>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</si>
  <si>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</si>
  <si>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</si>
  <si>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</si>
  <si>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</si>
  <si>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</si>
  <si>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</si>
  <si>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</si>
  <si>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</si>
  <si>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</si>
  <si>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</si>
  <si>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</si>
  <si>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</si>
  <si>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</si>
  <si>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</si>
  <si>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</si>
  <si>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</si>
  <si>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</si>
  <si>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</si>
  <si>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</si>
  <si>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</si>
  <si>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</si>
  <si>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</si>
  <si>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</si>
  <si>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</si>
  <si>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</si>
  <si>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</si>
  <si>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</si>
  <si>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</si>
  <si>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</si>
  <si>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</si>
  <si>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</si>
  <si>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</si>
  <si>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</si>
  <si>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</si>
  <si>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</si>
  <si>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</si>
  <si>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</si>
  <si>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</si>
  <si>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</si>
  <si>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</si>
  <si>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</si>
  <si>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</si>
  <si>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</si>
  <si>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</si>
  <si>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</si>
  <si>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</si>
  <si>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</si>
  <si>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</si>
  <si>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</si>
  <si>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</si>
  <si>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</si>
  <si>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</si>
  <si>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</si>
  <si>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</si>
  <si>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</si>
  <si>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</si>
  <si>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</si>
  <si>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</si>
  <si>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</si>
  <si>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</si>
  <si>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</si>
  <si>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</si>
  <si>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</si>
  <si>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</si>
  <si>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</si>
  <si>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</si>
  <si>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</si>
  <si>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</si>
  <si>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</si>
  <si>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</si>
  <si>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</si>
  <si>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</si>
  <si>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</si>
  <si>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</si>
  <si>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</si>
  <si>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</si>
  <si>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</si>
  <si>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</si>
  <si>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</si>
  <si>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</si>
  <si>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</si>
  <si>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</si>
  <si>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</si>
  <si>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</si>
  <si>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</si>
  <si>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</si>
  <si>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</si>
  <si>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</si>
  <si>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</si>
  <si>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</si>
  <si>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</si>
  <si>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</si>
  <si>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</si>
  <si>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</si>
  <si>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</si>
  <si>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</si>
  <si>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</si>
  <si>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</si>
  <si>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</si>
  <si>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</si>
  <si>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</si>
  <si>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A1</t>
  </si>
  <si>
    <t>R1</t>
  </si>
  <si>
    <t>API: A1 - Automate1</t>
  </si>
  <si>
    <t xml:space="preserve">API:  - </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</si>
  <si>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</si>
  <si>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</si>
  <si>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</si>
  <si>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</si>
  <si>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</si>
  <si>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</si>
  <si>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</si>
  <si>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</si>
  <si>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</si>
  <si>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</si>
  <si>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</si>
  <si>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</si>
  <si>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</si>
  <si>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</si>
  <si>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</si>
  <si>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</si>
  <si>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</si>
  <si>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</si>
  <si>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</si>
  <si>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</si>
  <si>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</si>
  <si>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</si>
  <si>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</si>
  <si>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</si>
  <si>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</si>
  <si>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</si>
  <si>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</si>
  <si>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</si>
  <si>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</si>
  <si>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</si>
  <si>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</si>
  <si>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</si>
  <si>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</si>
  <si>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</si>
  <si>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</si>
  <si>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</si>
  <si>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</si>
  <si>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</si>
  <si>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</si>
  <si>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</si>
  <si>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</si>
  <si>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</si>
  <si>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</si>
  <si>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</si>
  <si>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</si>
  <si>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</si>
  <si>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</si>
  <si>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</si>
  <si>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</si>
  <si>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</si>
  <si>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</si>
  <si>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</si>
  <si>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</si>
  <si>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</si>
  <si>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</si>
  <si>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</si>
  <si>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</si>
  <si>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</si>
  <si>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</si>
  <si>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</si>
  <si>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</si>
  <si>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</si>
  <si>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</si>
  <si>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</si>
  <si>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</si>
  <si>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</si>
  <si>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</si>
  <si>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</si>
  <si>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</si>
  <si>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</si>
  <si>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</si>
  <si>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</si>
  <si>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</si>
  <si>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</si>
  <si>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</si>
  <si>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</si>
  <si>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</si>
  <si>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</si>
  <si>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</si>
  <si>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</si>
  <si>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</si>
  <si>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</si>
  <si>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</si>
  <si>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</si>
  <si>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</si>
  <si>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</si>
  <si>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</si>
  <si>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</si>
  <si>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</si>
  <si>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</si>
  <si>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</si>
  <si>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</si>
  <si>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</si>
  <si>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</si>
  <si>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</si>
  <si>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</si>
  <si>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</si>
  <si>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</si>
  <si>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</si>
  <si>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</si>
  <si>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</si>
  <si>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</si>
  <si>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</si>
  <si>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</si>
  <si>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</si>
  <si>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</si>
  <si>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</si>
  <si>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</si>
  <si>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</si>
  <si>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</si>
  <si>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</si>
  <si>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</si>
  <si>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</si>
  <si>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</si>
  <si>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</si>
  <si>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</si>
  <si>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</si>
  <si>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</si>
  <si>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</si>
  <si>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</si>
  <si>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</si>
  <si>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</si>
  <si>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</si>
  <si>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</si>
  <si>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</si>
  <si>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</si>
  <si>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</si>
  <si>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</si>
  <si>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</si>
  <si>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</si>
  <si>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</si>
  <si>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</si>
  <si>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</si>
  <si>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</si>
  <si>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</si>
  <si>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</si>
  <si>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</si>
  <si>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</si>
  <si>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</si>
  <si>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</si>
  <si>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</si>
  <si>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</si>
  <si>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</si>
  <si>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</si>
  <si>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</si>
  <si>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</si>
  <si>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</si>
  <si>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</si>
  <si>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</si>
  <si>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</si>
  <si>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</si>
  <si>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</si>
  <si>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</si>
  <si>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</si>
  <si>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</si>
  <si>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</si>
  <si>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</si>
  <si>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</si>
  <si>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</si>
  <si>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</si>
  <si>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</si>
  <si>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</si>
  <si>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</si>
  <si>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</si>
  <si>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</si>
  <si>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</si>
  <si>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</si>
  <si>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</si>
  <si>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</si>
  <si>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</si>
  <si>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</si>
  <si>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</si>
  <si>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</si>
  <si>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</si>
  <si>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</si>
  <si>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</si>
  <si>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</si>
  <si>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</si>
  <si>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</si>
  <si>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</si>
  <si>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</si>
  <si>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</si>
  <si>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</si>
  <si>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</si>
  <si>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</si>
  <si>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</si>
  <si>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</si>
  <si>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</si>
  <si>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</si>
  <si>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</si>
  <si>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</si>
  <si>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</si>
  <si>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</si>
  <si>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</si>
  <si>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</si>
  <si>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</si>
  <si>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</si>
  <si>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</si>
  <si>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</si>
  <si>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</si>
  <si>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</si>
  <si>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</si>
  <si>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</si>
  <si>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</si>
  <si>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</si>
  <si>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</si>
  <si>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</si>
  <si>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</si>
  <si>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</si>
  <si>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</si>
  <si>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</si>
  <si>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</si>
  <si>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</si>
  <si>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</si>
  <si>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</si>
  <si>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</si>
  <si>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</si>
  <si>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</si>
  <si>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</si>
  <si>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</si>
  <si>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</si>
  <si>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</si>
  <si>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</si>
  <si>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</si>
  <si>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</si>
  <si>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</si>
  <si>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</si>
  <si>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</si>
  <si>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</si>
  <si>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</si>
  <si>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</si>
  <si>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</si>
  <si>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</si>
  <si>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</si>
  <si>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</si>
  <si>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</si>
  <si>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</si>
  <si>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</si>
  <si>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</si>
  <si>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</si>
  <si>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</si>
  <si>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</si>
  <si>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</si>
  <si>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</si>
  <si>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</si>
  <si>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</si>
  <si>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</si>
  <si>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</si>
  <si>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</si>
  <si>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</si>
  <si>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</si>
  <si>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</si>
  <si>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</si>
  <si>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</si>
  <si>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</si>
  <si>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</si>
  <si>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</si>
  <si>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</si>
  <si>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</si>
  <si>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</si>
  <si>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</si>
  <si>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</si>
  <si>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</si>
  <si>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</si>
  <si>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</si>
  <si>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</si>
  <si>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</si>
  <si>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</si>
  <si>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</si>
  <si>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</si>
  <si>
    <t>Todo</t>
  </si>
  <si>
    <t>Vérifier le calcul des réserves en cas de Slot vide (Slot déclaré mais sans Ref-Carte)</t>
  </si>
  <si>
    <t>Aucune voie configurée pour ce type de signal sur l'API attendue.</t>
  </si>
  <si>
    <t>5. Récapitulatif des parcours</t>
  </si>
  <si>
    <t>6. Points à retenir pour les tests</t>
  </si>
  <si>
    <r>
      <t xml:space="preserve">4. Contrôles complémentaires de </t>
    </r>
    <r>
      <rPr>
        <b/>
        <sz val="10"/>
        <color theme="7" tint="-0.249977111117893"/>
        <rFont val="Arial Unicode MS"/>
        <family val="2"/>
      </rPr>
      <t>ValidateListeESResult()</t>
    </r>
  </si>
  <si>
    <t>3. Erreur d'allocation de AllocateListeES</t>
  </si>
  <si>
    <r>
      <t>Ces contrôles sont lancés par AllocateListeES</t>
    </r>
    <r>
      <rPr>
        <sz val="10"/>
        <rFont val="Arial Unicode MS"/>
        <family val="2"/>
      </rPr>
      <t>()</t>
    </r>
    <r>
      <rPr>
        <sz val="11"/>
        <rFont val="Aptos Narrow"/>
        <family val="2"/>
        <scheme val="minor"/>
      </rPr>
      <t>. Ils ne font pas partie de l'algotithme d'allocation des ressources</t>
    </r>
    <r>
      <rPr>
        <sz val="11"/>
        <rFont val="Aptos Narrow"/>
        <family val="2"/>
        <scheme val="minor"/>
      </rPr>
      <t>.</t>
    </r>
  </si>
  <si>
    <t>Feuille ListeES</t>
  </si>
  <si>
    <t>Toutes les voies compatibles sont déjà affectées.</t>
  </si>
  <si>
    <t>view_api_output</t>
  </si>
  <si>
    <t>SINGLE_WORKBOOK</t>
  </si>
  <si>
    <t>SINGLE_WORKBOOK ou SEPARATE_WORKBOOKS</t>
  </si>
</sst>
</file>

<file path=xl/styles.xml><?xml version="1.0" encoding="utf-8"?>
<styleSheet xmlns="http://schemas.openxmlformats.org/spreadsheetml/2006/main">
  <fonts count="46">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
      <sz val="11"/>
      <color rgb="FF000000"/>
      <name val="Aptos Narrow"/>
      <scheme val="minor"/>
    </font>
  </fonts>
  <fills count="4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0" fillId="13" borderId="11" applyNumberFormat="0" applyAlignment="0" applyProtection="0"/>
    <xf numFmtId="0" fontId="11" fillId="14" borderId="12" applyNumberFormat="0" applyAlignment="0" applyProtection="0"/>
    <xf numFmtId="0" fontId="13" fillId="17"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4" borderId="16" applyNumberFormat="0" applyFont="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cellStyleXfs>
  <cellXfs count="244">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0" fillId="13" borderId="11" xfId="1" applyAlignment="1">
      <alignment vertical="center"/>
    </xf>
    <xf numFmtId="14" fontId="0" fillId="0" borderId="0" xfId="0" applyNumberFormat="1"/>
    <xf numFmtId="0" fontId="13"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8" fillId="26" borderId="0" xfId="10"/>
    <xf numFmtId="0" fontId="8" fillId="25" borderId="0" xfId="9"/>
    <xf numFmtId="0" fontId="12" fillId="28" borderId="0" xfId="4" applyFont="1" applyFill="1"/>
    <xf numFmtId="10" fontId="12" fillId="28" borderId="0" xfId="4" applyNumberFormat="1" applyFont="1" applyFill="1"/>
    <xf numFmtId="0" fontId="10"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2" fillId="24" borderId="16" xfId="8" applyFont="1" applyAlignment="1"/>
    <xf numFmtId="0" fontId="10" fillId="13" borderId="11" xfId="1" applyAlignment="1"/>
    <xf numFmtId="0" fontId="14" fillId="0" borderId="0" xfId="0" applyFont="1" applyAlignment="1">
      <alignment vertical="center" wrapText="1"/>
    </xf>
    <xf numFmtId="0" fontId="13" fillId="20" borderId="0" xfId="5" applyAlignment="1">
      <alignment horizontal="left" vertical="center"/>
    </xf>
    <xf numFmtId="0" fontId="0" fillId="0" borderId="0" xfId="0" applyAlignment="1">
      <alignment horizontal="left" vertical="center"/>
    </xf>
    <xf numFmtId="0" fontId="7" fillId="0" borderId="0" xfId="0" applyFont="1" applyAlignment="1">
      <alignment horizontal="left" vertical="center"/>
    </xf>
    <xf numFmtId="0" fontId="0" fillId="24" borderId="16" xfId="8" applyFont="1" applyAlignment="1">
      <alignment horizontal="left" vertical="center"/>
    </xf>
    <xf numFmtId="0" fontId="15" fillId="0" borderId="0" xfId="0" applyFont="1" applyAlignment="1">
      <alignment horizontal="left" vertical="center"/>
    </xf>
    <xf numFmtId="0" fontId="0" fillId="0" borderId="0" xfId="0" applyAlignment="1">
      <alignment horizontal="center" vertical="center"/>
    </xf>
    <xf numFmtId="0" fontId="7" fillId="0" borderId="0" xfId="0" applyFont="1" applyAlignment="1">
      <alignment horizontal="center" vertical="center"/>
    </xf>
    <xf numFmtId="0" fontId="12" fillId="11" borderId="0" xfId="3" applyFont="1" applyFill="1" applyAlignment="1">
      <alignment horizontal="center" vertical="center"/>
    </xf>
    <xf numFmtId="10" fontId="0" fillId="0" borderId="0" xfId="0" applyNumberFormat="1" applyAlignment="1">
      <alignment vertical="center"/>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20" fillId="38" borderId="17" xfId="0" applyFont="1" applyFill="1" applyBorder="1" applyAlignment="1">
      <alignment horizontal="center" vertical="center"/>
    </xf>
    <xf numFmtId="0" fontId="21" fillId="37" borderId="0" xfId="0" applyFont="1" applyFill="1" applyAlignment="1">
      <alignment vertical="center"/>
    </xf>
    <xf numFmtId="0" fontId="19" fillId="18" borderId="1" xfId="0" applyFont="1" applyFill="1" applyBorder="1" applyAlignment="1">
      <alignment horizontal="center" vertical="center"/>
    </xf>
    <xf numFmtId="0" fontId="22" fillId="18" borderId="1" xfId="0" applyFont="1" applyFill="1" applyBorder="1" applyAlignment="1">
      <alignment horizontal="center" vertical="center"/>
    </xf>
    <xf numFmtId="0" fontId="21" fillId="37" borderId="18" xfId="0" applyFont="1" applyFill="1" applyBorder="1" applyAlignment="1">
      <alignment vertical="center"/>
    </xf>
    <xf numFmtId="0" fontId="13" fillId="29" borderId="1" xfId="0" applyFont="1" applyFill="1" applyBorder="1" applyAlignment="1">
      <alignment horizontal="center" vertical="center"/>
    </xf>
    <xf numFmtId="0" fontId="13" fillId="20" borderId="0" xfId="5" applyAlignment="1">
      <alignment horizontal="center" wrapText="1"/>
    </xf>
    <xf numFmtId="0" fontId="12"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3" fillId="20" borderId="0" xfId="5" applyAlignment="1">
      <alignment vertical="center"/>
    </xf>
    <xf numFmtId="0" fontId="0" fillId="27" borderId="0" xfId="11" applyFont="1" applyAlignment="1">
      <alignment vertical="center"/>
    </xf>
    <xf numFmtId="0" fontId="11" fillId="14" borderId="12" xfId="2" applyNumberFormat="1" applyAlignment="1">
      <alignment vertical="center"/>
    </xf>
    <xf numFmtId="0" fontId="11"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1" fillId="14" borderId="15" xfId="2" applyBorder="1" applyAlignment="1">
      <alignment vertical="center"/>
    </xf>
    <xf numFmtId="0" fontId="0" fillId="11" borderId="1" xfId="0" applyFill="1" applyBorder="1" applyAlignment="1">
      <alignment vertical="center"/>
    </xf>
    <xf numFmtId="0" fontId="13"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2" fillId="18" borderId="0" xfId="3" applyFont="1" applyFill="1" applyAlignment="1">
      <alignment horizontal="left"/>
    </xf>
    <xf numFmtId="0" fontId="15" fillId="35" borderId="0" xfId="0" applyFont="1" applyFill="1" applyAlignment="1">
      <alignment horizontal="left" vertical="center"/>
    </xf>
    <xf numFmtId="0" fontId="8" fillId="21" borderId="0" xfId="6"/>
    <xf numFmtId="0" fontId="0" fillId="33" borderId="0" xfId="0" applyFill="1" applyAlignment="1">
      <alignment vertical="center"/>
    </xf>
    <xf numFmtId="0" fontId="15" fillId="31" borderId="0" xfId="0" applyFont="1" applyFill="1" applyAlignment="1">
      <alignment horizontal="left" vertical="center"/>
    </xf>
    <xf numFmtId="0" fontId="8" fillId="21" borderId="0" xfId="6" applyAlignment="1">
      <alignment horizontal="center" vertical="center"/>
    </xf>
    <xf numFmtId="0" fontId="8" fillId="21" borderId="2" xfId="6" applyBorder="1" applyAlignment="1">
      <alignment horizontal="center" vertical="center"/>
    </xf>
    <xf numFmtId="0" fontId="5" fillId="18" borderId="0" xfId="0" applyFont="1" applyFill="1"/>
    <xf numFmtId="0" fontId="25" fillId="16" borderId="5" xfId="0" applyFont="1" applyFill="1" applyBorder="1" applyAlignment="1">
      <alignment vertical="center" textRotation="90"/>
    </xf>
    <xf numFmtId="0" fontId="25" fillId="16" borderId="5" xfId="0" applyFont="1" applyFill="1" applyBorder="1" applyAlignment="1">
      <alignment vertical="center" wrapText="1"/>
    </xf>
    <xf numFmtId="0" fontId="5" fillId="18" borderId="0" xfId="0" applyFont="1" applyFill="1" applyAlignment="1">
      <alignment horizontal="center" wrapText="1"/>
    </xf>
    <xf numFmtId="0" fontId="5" fillId="18" borderId="0" xfId="0" applyFont="1" applyFill="1" applyAlignment="1">
      <alignment horizontal="center"/>
    </xf>
    <xf numFmtId="0" fontId="5" fillId="18" borderId="0" xfId="0" applyFont="1" applyFill="1" applyAlignment="1">
      <alignment horizontal="left"/>
    </xf>
    <xf numFmtId="0" fontId="13" fillId="22" borderId="0" xfId="7" applyFont="1" applyAlignment="1">
      <alignment horizontal="left"/>
    </xf>
    <xf numFmtId="0" fontId="13" fillId="22" borderId="0" xfId="7" applyFont="1" applyAlignment="1">
      <alignment vertical="center"/>
    </xf>
    <xf numFmtId="0" fontId="26" fillId="18" borderId="1" xfId="0" applyFont="1" applyFill="1" applyBorder="1" applyAlignment="1">
      <alignment horizontal="center" vertical="center"/>
    </xf>
    <xf numFmtId="0" fontId="27" fillId="18" borderId="1" xfId="0" applyFont="1" applyFill="1" applyBorder="1" applyAlignment="1">
      <alignment horizontal="center" vertical="center"/>
    </xf>
    <xf numFmtId="0" fontId="8" fillId="41" borderId="0" xfId="14" applyAlignment="1">
      <alignment vertical="center"/>
    </xf>
    <xf numFmtId="0" fontId="8" fillId="41" borderId="2" xfId="14" applyBorder="1" applyAlignment="1">
      <alignment vertical="center"/>
    </xf>
    <xf numFmtId="0" fontId="8" fillId="40" borderId="0" xfId="13" applyAlignment="1">
      <alignment vertical="center"/>
    </xf>
    <xf numFmtId="0" fontId="8" fillId="40" borderId="2" xfId="13" applyBorder="1" applyAlignment="1">
      <alignment vertical="center"/>
    </xf>
    <xf numFmtId="0" fontId="13" fillId="17" borderId="0" xfId="3" applyAlignment="1">
      <alignment vertical="center"/>
    </xf>
    <xf numFmtId="0" fontId="13" fillId="17" borderId="2" xfId="3" applyBorder="1" applyAlignment="1">
      <alignment vertical="center"/>
    </xf>
    <xf numFmtId="0" fontId="8" fillId="0" borderId="0" xfId="9" applyNumberFormat="1" applyFill="1" applyBorder="1" applyAlignment="1">
      <alignment horizontal="center"/>
    </xf>
    <xf numFmtId="0" fontId="5" fillId="18" borderId="0" xfId="0" applyFont="1" applyFill="1" applyAlignment="1">
      <alignment horizontal="left" textRotation="90" wrapText="1"/>
    </xf>
    <xf numFmtId="0" fontId="0" fillId="39" borderId="0" xfId="12" applyFont="1" applyAlignment="1">
      <alignment horizontal="center" vertical="center" textRotation="90"/>
    </xf>
    <xf numFmtId="0" fontId="13" fillId="17" borderId="11" xfId="3" applyBorder="1" applyAlignment="1">
      <alignment vertical="center"/>
    </xf>
    <xf numFmtId="0" fontId="13" fillId="17" borderId="14" xfId="3" applyBorder="1" applyAlignment="1">
      <alignment vertical="center"/>
    </xf>
    <xf numFmtId="0" fontId="28" fillId="0" borderId="2" xfId="0" applyFont="1" applyBorder="1" applyAlignment="1">
      <alignment vertical="center"/>
    </xf>
    <xf numFmtId="14" fontId="28" fillId="0" borderId="2" xfId="0" applyNumberFormat="1" applyFont="1" applyBorder="1" applyAlignment="1">
      <alignment vertical="center"/>
    </xf>
    <xf numFmtId="0" fontId="28" fillId="0" borderId="2" xfId="0" applyNumberFormat="1" applyFont="1" applyBorder="1" applyAlignment="1">
      <alignment vertical="center"/>
    </xf>
    <xf numFmtId="0" fontId="13" fillId="20" borderId="2" xfId="5" applyFont="1" applyBorder="1" applyAlignment="1">
      <alignment vertical="center"/>
    </xf>
    <xf numFmtId="0" fontId="4" fillId="27" borderId="2" xfId="11" applyFont="1" applyBorder="1" applyAlignment="1">
      <alignment vertical="center"/>
    </xf>
    <xf numFmtId="0" fontId="8" fillId="40" borderId="2" xfId="13" applyNumberFormat="1" applyBorder="1" applyAlignment="1">
      <alignment vertical="center"/>
    </xf>
    <xf numFmtId="0" fontId="8" fillId="41" borderId="2" xfId="14" applyNumberFormat="1" applyBorder="1" applyAlignment="1">
      <alignment vertical="center"/>
    </xf>
    <xf numFmtId="0" fontId="13" fillId="17" borderId="2" xfId="3" applyNumberFormat="1" applyBorder="1" applyAlignment="1">
      <alignment vertical="center"/>
    </xf>
    <xf numFmtId="0" fontId="0" fillId="0" borderId="2" xfId="0" applyFont="1" applyBorder="1" applyAlignment="1">
      <alignment horizontal="center" vertical="center"/>
    </xf>
    <xf numFmtId="0" fontId="10" fillId="13" borderId="11" xfId="1" applyFont="1" applyAlignment="1">
      <alignment vertical="center"/>
    </xf>
    <xf numFmtId="0" fontId="13" fillId="17" borderId="11" xfId="3" applyNumberFormat="1" applyBorder="1" applyAlignment="1">
      <alignment vertical="center"/>
    </xf>
    <xf numFmtId="0" fontId="13" fillId="17" borderId="14" xfId="3" applyNumberFormat="1" applyBorder="1" applyAlignment="1">
      <alignment vertical="center"/>
    </xf>
    <xf numFmtId="0" fontId="11" fillId="14" borderId="12" xfId="2" applyNumberFormat="1" applyFont="1" applyAlignment="1">
      <alignment vertical="center"/>
    </xf>
    <xf numFmtId="0" fontId="11"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8" fillId="40" borderId="19" xfId="13" applyBorder="1" applyAlignment="1">
      <alignment vertical="center"/>
    </xf>
    <xf numFmtId="0" fontId="8" fillId="41" borderId="19" xfId="14" applyBorder="1" applyAlignment="1">
      <alignment vertical="center"/>
    </xf>
    <xf numFmtId="0" fontId="13" fillId="17" borderId="19" xfId="3" applyNumberFormat="1" applyBorder="1" applyAlignment="1">
      <alignment vertical="center"/>
    </xf>
    <xf numFmtId="0" fontId="0" fillId="0" borderId="19" xfId="0" applyBorder="1" applyAlignment="1">
      <alignment vertical="center"/>
    </xf>
    <xf numFmtId="0" fontId="8" fillId="21" borderId="19" xfId="6" applyBorder="1" applyAlignment="1">
      <alignment horizontal="center" vertical="center"/>
    </xf>
    <xf numFmtId="0" fontId="4" fillId="41" borderId="0" xfId="14" applyFont="1" applyAlignment="1">
      <alignment vertical="center"/>
    </xf>
    <xf numFmtId="0" fontId="4" fillId="40" borderId="0" xfId="13" applyFont="1" applyAlignment="1">
      <alignment vertical="center"/>
    </xf>
    <xf numFmtId="0" fontId="4" fillId="40" borderId="2" xfId="13" applyNumberFormat="1" applyFont="1" applyBorder="1" applyAlignment="1">
      <alignment vertical="center"/>
    </xf>
    <xf numFmtId="0" fontId="28" fillId="0" borderId="1" xfId="0" applyFont="1" applyBorder="1" applyAlignment="1">
      <alignment vertical="center"/>
    </xf>
    <xf numFmtId="14" fontId="28" fillId="0" borderId="1" xfId="0" applyNumberFormat="1" applyFont="1" applyBorder="1" applyAlignment="1">
      <alignment vertical="center"/>
    </xf>
    <xf numFmtId="0" fontId="28" fillId="0" borderId="1" xfId="0" applyNumberFormat="1" applyFont="1" applyBorder="1" applyAlignment="1">
      <alignment vertical="center"/>
    </xf>
    <xf numFmtId="0" fontId="13" fillId="20" borderId="0" xfId="5" applyFont="1" applyAlignment="1">
      <alignment vertical="center"/>
    </xf>
    <xf numFmtId="0" fontId="4" fillId="27" borderId="0" xfId="11" applyFont="1" applyAlignment="1">
      <alignment vertical="center"/>
    </xf>
    <xf numFmtId="0" fontId="8" fillId="40" borderId="0" xfId="13" applyNumberFormat="1" applyAlignment="1">
      <alignment vertical="center"/>
    </xf>
    <xf numFmtId="0" fontId="4" fillId="40" borderId="0" xfId="13" applyNumberFormat="1" applyFont="1" applyAlignment="1">
      <alignment vertical="center"/>
    </xf>
    <xf numFmtId="0" fontId="8" fillId="41" borderId="0" xfId="14" applyNumberFormat="1" applyAlignment="1">
      <alignment vertical="center"/>
    </xf>
    <xf numFmtId="0" fontId="13" fillId="17" borderId="0" xfId="3" applyNumberFormat="1" applyAlignment="1">
      <alignment vertical="center"/>
    </xf>
    <xf numFmtId="0" fontId="13" fillId="17" borderId="19" xfId="3" applyBorder="1" applyAlignment="1">
      <alignment vertical="center"/>
    </xf>
    <xf numFmtId="0" fontId="0" fillId="0" borderId="0" xfId="0" applyFont="1" applyAlignment="1">
      <alignment horizontal="center" vertical="center"/>
    </xf>
    <xf numFmtId="0" fontId="11" fillId="14" borderId="13" xfId="2" applyNumberFormat="1" applyFont="1" applyBorder="1" applyAlignment="1">
      <alignment vertical="center"/>
    </xf>
    <xf numFmtId="0" fontId="3" fillId="27" borderId="2" xfId="11" applyFont="1" applyBorder="1" applyAlignment="1">
      <alignment vertical="center"/>
    </xf>
    <xf numFmtId="0" fontId="3" fillId="40" borderId="2" xfId="13" applyNumberFormat="1" applyFont="1" applyBorder="1" applyAlignment="1">
      <alignment vertical="center"/>
    </xf>
    <xf numFmtId="0" fontId="3" fillId="40" borderId="2" xfId="13" applyFont="1" applyBorder="1" applyAlignment="1">
      <alignment vertical="center"/>
    </xf>
    <xf numFmtId="0" fontId="3" fillId="41" borderId="2" xfId="14" applyNumberFormat="1" applyFont="1" applyBorder="1" applyAlignment="1">
      <alignment vertical="center"/>
    </xf>
    <xf numFmtId="0" fontId="3" fillId="41" borderId="2" xfId="14" applyFont="1" applyBorder="1" applyAlignment="1">
      <alignment vertical="center"/>
    </xf>
    <xf numFmtId="0" fontId="3" fillId="21" borderId="2" xfId="6" applyFont="1" applyBorder="1" applyAlignment="1">
      <alignment horizontal="center" vertical="center"/>
    </xf>
    <xf numFmtId="0" fontId="3" fillId="40" borderId="0" xfId="13" applyNumberFormat="1" applyFont="1" applyAlignment="1">
      <alignment vertical="center"/>
    </xf>
    <xf numFmtId="0" fontId="3" fillId="40" borderId="0" xfId="13" applyFont="1" applyAlignment="1">
      <alignment vertical="center"/>
    </xf>
    <xf numFmtId="0" fontId="3" fillId="41" borderId="0" xfId="14" applyNumberFormat="1" applyFont="1" applyAlignment="1">
      <alignment vertical="center"/>
    </xf>
    <xf numFmtId="0" fontId="3" fillId="41" borderId="0" xfId="14" applyFont="1" applyAlignment="1">
      <alignment vertical="center"/>
    </xf>
    <xf numFmtId="0" fontId="3" fillId="40" borderId="19" xfId="13" applyNumberFormat="1" applyFont="1" applyBorder="1" applyAlignment="1">
      <alignment vertical="center"/>
    </xf>
    <xf numFmtId="0" fontId="3" fillId="40" borderId="19" xfId="13" applyFont="1" applyBorder="1" applyAlignment="1">
      <alignment vertical="center"/>
    </xf>
    <xf numFmtId="0" fontId="3" fillId="41" borderId="19" xfId="14" applyNumberFormat="1" applyFont="1" applyBorder="1" applyAlignment="1">
      <alignment vertical="center"/>
    </xf>
    <xf numFmtId="0" fontId="3" fillId="41" borderId="19" xfId="14" applyFont="1" applyBorder="1" applyAlignment="1">
      <alignment vertical="center"/>
    </xf>
    <xf numFmtId="0" fontId="3" fillId="21" borderId="19" xfId="6" applyFont="1" applyBorder="1" applyAlignment="1">
      <alignment horizontal="center" vertical="center"/>
    </xf>
    <xf numFmtId="0" fontId="4" fillId="41" borderId="0" xfId="14" applyNumberFormat="1" applyFont="1" applyAlignment="1">
      <alignment vertical="center"/>
    </xf>
    <xf numFmtId="0" fontId="8" fillId="42" borderId="0" xfId="13" applyFill="1" applyAlignment="1">
      <alignment vertical="center"/>
    </xf>
    <xf numFmtId="0" fontId="8" fillId="42" borderId="2" xfId="13" applyFill="1" applyBorder="1" applyAlignment="1">
      <alignment vertical="center"/>
    </xf>
    <xf numFmtId="0" fontId="11" fillId="14" borderId="12" xfId="2"/>
    <xf numFmtId="0" fontId="2" fillId="25" borderId="0" xfId="9" applyNumberFormat="1" applyFont="1" applyAlignment="1">
      <alignment horizontal="center" vertical="center"/>
    </xf>
    <xf numFmtId="0" fontId="2" fillId="25" borderId="2" xfId="9" applyNumberFormat="1" applyFont="1" applyBorder="1" applyAlignment="1">
      <alignment horizontal="center" vertical="center"/>
    </xf>
    <xf numFmtId="0" fontId="0" fillId="24" borderId="16" xfId="8" applyNumberFormat="1" applyFont="1" applyAlignment="1">
      <alignment vertical="center"/>
    </xf>
    <xf numFmtId="0" fontId="11" fillId="14" borderId="12" xfId="2" applyNumberFormat="1"/>
    <xf numFmtId="0" fontId="2" fillId="18" borderId="0" xfId="0" applyFont="1" applyFill="1"/>
    <xf numFmtId="0" fontId="13" fillId="14" borderId="12" xfId="2" applyFont="1" applyAlignment="1"/>
    <xf numFmtId="0" fontId="29" fillId="14" borderId="12" xfId="2" applyFont="1" applyAlignment="1"/>
    <xf numFmtId="0" fontId="29" fillId="14" borderId="12" xfId="2" applyFont="1"/>
    <xf numFmtId="0" fontId="30" fillId="15" borderId="5" xfId="0" applyFont="1" applyFill="1" applyBorder="1" applyAlignment="1"/>
    <xf numFmtId="0" fontId="29" fillId="20" borderId="0" xfId="5" applyFont="1"/>
    <xf numFmtId="0" fontId="29" fillId="22" borderId="0" xfId="7" applyFont="1"/>
    <xf numFmtId="0" fontId="28" fillId="40" borderId="0" xfId="13" applyFont="1"/>
    <xf numFmtId="0" fontId="28" fillId="24" borderId="16" xfId="8" applyFont="1"/>
    <xf numFmtId="0" fontId="28" fillId="41" borderId="0" xfId="14" applyFont="1"/>
    <xf numFmtId="0" fontId="29" fillId="17" borderId="0" xfId="3" applyFont="1"/>
    <xf numFmtId="0" fontId="31" fillId="0" borderId="0" xfId="0" applyFont="1"/>
    <xf numFmtId="0" fontId="32" fillId="21" borderId="0" xfId="6" applyFont="1" applyAlignment="1">
      <alignment horizontal="left" textRotation="90"/>
    </xf>
    <xf numFmtId="0" fontId="28" fillId="3" borderId="0" xfId="0" applyFont="1" applyFill="1" applyAlignment="1">
      <alignment horizontal="left"/>
    </xf>
    <xf numFmtId="0" fontId="33" fillId="13" borderId="11" xfId="1" applyFont="1"/>
    <xf numFmtId="0" fontId="29" fillId="17" borderId="11" xfId="3" applyFont="1" applyBorder="1"/>
    <xf numFmtId="0" fontId="2" fillId="10" borderId="0" xfId="0" applyFont="1" applyFill="1" applyAlignment="1">
      <alignment horizontal="center"/>
    </xf>
    <xf numFmtId="0" fontId="23" fillId="43" borderId="1" xfId="0" applyFont="1" applyFill="1" applyBorder="1" applyAlignment="1">
      <alignment horizontal="center" vertical="center"/>
    </xf>
    <xf numFmtId="0" fontId="24" fillId="43" borderId="1" xfId="0" applyFont="1" applyFill="1" applyBorder="1" applyAlignment="1">
      <alignment horizontal="center" vertical="center"/>
    </xf>
    <xf numFmtId="0" fontId="0" fillId="0" borderId="0" xfId="0"/>
    <xf numFmtId="0" fontId="36" fillId="0" borderId="0" xfId="0" applyFont="1"/>
    <xf numFmtId="0" fontId="34" fillId="0" borderId="0" xfId="0" applyFont="1" applyAlignment="1">
      <alignment horizontal="center" vertical="center" wrapText="1"/>
    </xf>
    <xf numFmtId="0" fontId="35" fillId="0" borderId="0" xfId="0" applyFont="1" applyAlignment="1">
      <alignment wrapText="1"/>
    </xf>
    <xf numFmtId="0" fontId="0" fillId="0" borderId="0" xfId="0"/>
    <xf numFmtId="0" fontId="0" fillId="0" borderId="0" xfId="0" applyFont="1"/>
    <xf numFmtId="0" fontId="40" fillId="0" borderId="0" xfId="0" applyFont="1"/>
    <xf numFmtId="0" fontId="43" fillId="0" borderId="0" xfId="0" applyFont="1"/>
    <xf numFmtId="0" fontId="1" fillId="21" borderId="0" xfId="6" applyFont="1" applyAlignment="1">
      <alignment horizontal="center" vertical="center"/>
    </xf>
    <xf numFmtId="0" fontId="35"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38" fillId="0" borderId="1" xfId="0" applyFont="1" applyBorder="1"/>
    <xf numFmtId="0" fontId="0" fillId="0" borderId="23" xfId="0" applyFont="1" applyBorder="1"/>
    <xf numFmtId="0" fontId="0" fillId="0" borderId="24" xfId="0" applyBorder="1"/>
    <xf numFmtId="0" fontId="0" fillId="0" borderId="25" xfId="0" applyFont="1" applyBorder="1"/>
    <xf numFmtId="0" fontId="35" fillId="0" borderId="26" xfId="0" applyFont="1" applyBorder="1" applyAlignment="1">
      <alignment wrapText="1"/>
    </xf>
    <xf numFmtId="0" fontId="0" fillId="0" borderId="26" xfId="0" applyFont="1" applyBorder="1"/>
    <xf numFmtId="0" fontId="0" fillId="0" borderId="26" xfId="0" applyBorder="1"/>
    <xf numFmtId="0" fontId="0" fillId="0" borderId="26" xfId="0" applyBorder="1" applyAlignment="1">
      <alignment wrapText="1"/>
    </xf>
    <xf numFmtId="0" fontId="0" fillId="4" borderId="26" xfId="0" applyFont="1" applyFill="1" applyBorder="1"/>
    <xf numFmtId="0" fontId="0" fillId="0" borderId="27" xfId="0" applyBorder="1"/>
    <xf numFmtId="0" fontId="38" fillId="0" borderId="23" xfId="0" applyFont="1" applyBorder="1"/>
    <xf numFmtId="0" fontId="0" fillId="0" borderId="25" xfId="0" applyBorder="1"/>
    <xf numFmtId="0" fontId="0" fillId="3" borderId="26" xfId="0" applyFill="1" applyBorder="1"/>
    <xf numFmtId="0" fontId="39" fillId="2" borderId="20" xfId="0" applyFont="1" applyFill="1" applyBorder="1"/>
    <xf numFmtId="0" fontId="34" fillId="2" borderId="21" xfId="0" applyFont="1" applyFill="1" applyBorder="1" applyAlignment="1">
      <alignment horizontal="center" vertical="center" wrapText="1"/>
    </xf>
    <xf numFmtId="0" fontId="39" fillId="2" borderId="21" xfId="0" applyFont="1" applyFill="1" applyBorder="1"/>
    <xf numFmtId="0" fontId="34" fillId="2" borderId="22" xfId="0" applyFont="1" applyFill="1" applyBorder="1" applyAlignment="1">
      <alignment horizontal="center" vertical="center" wrapText="1"/>
    </xf>
    <xf numFmtId="0" fontId="0" fillId="0" borderId="26" xfId="0" applyFont="1" applyBorder="1" applyAlignment="1">
      <alignment wrapText="1"/>
    </xf>
    <xf numFmtId="0" fontId="8"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0" fillId="0" borderId="0" xfId="0"/>
    <xf numFmtId="0" fontId="44" fillId="0" borderId="0" xfId="0" applyFont="1"/>
    <xf numFmtId="0" fontId="13" fillId="6" borderId="17" xfId="4" applyNumberFormat="1" applyFill="1" applyBorder="1" applyAlignment="1">
      <alignment wrapText="1"/>
    </xf>
    <xf numFmtId="0" fontId="0" fillId="0" borderId="0" xfId="0"/>
    <xf numFmtId="0" fontId="0" fillId="0" borderId="0" xfId="0"/>
    <xf numFmtId="0" fontId="0" fillId="0" borderId="0" xfId="0"/>
    <xf numFmtId="0" fontId="45" fillId="0" borderId="0" xfId="0" applyFont="1"/>
    <xf numFmtId="0" fontId="5" fillId="18" borderId="0" xfId="0" applyFont="1" applyFill="1" applyAlignment="1">
      <alignment horizontal="left" wrapText="1"/>
    </xf>
    <xf numFmtId="0" fontId="0" fillId="0" borderId="0" xfId="0"/>
    <xf numFmtId="0" fontId="0" fillId="0" borderId="0" xfId="0" applyFill="1"/>
    <xf numFmtId="0" fontId="9"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121167</xdr:colOff>
      <xdr:row>15</xdr:row>
      <xdr:rowOff>0</xdr:rowOff>
    </xdr:from>
    <xdr:to>
      <xdr:col>11</xdr:col>
      <xdr:colOff>431410</xdr:colOff>
      <xdr:row>48</xdr:row>
      <xdr:rowOff>89647</xdr:rowOff>
    </xdr:to>
    <xdr:sp macro="" textlink="">
      <xdr:nvSpPr>
        <xdr:cNvPr id="55" name="ZoneTexte 54"/>
        <xdr:cNvSpPr txBox="1"/>
      </xdr:nvSpPr>
      <xdr:spPr>
        <a:xfrm>
          <a:off x="6844696" y="3272118"/>
          <a:ext cx="2831567" cy="600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Utilitaires</a:t>
          </a:r>
        </a:p>
      </xdr:txBody>
    </xdr:sp>
    <xdr:clientData/>
  </xdr:twoCellAnchor>
  <xdr:twoCellAnchor>
    <xdr:from>
      <xdr:col>6</xdr:col>
      <xdr:colOff>767602</xdr:colOff>
      <xdr:row>2</xdr:row>
      <xdr:rowOff>33618</xdr:rowOff>
    </xdr:from>
    <xdr:to>
      <xdr:col>8</xdr:col>
      <xdr:colOff>453279</xdr:colOff>
      <xdr:row>7</xdr:row>
      <xdr:rowOff>67236</xdr:rowOff>
    </xdr:to>
    <xdr:sp macro="" textlink="">
      <xdr:nvSpPr>
        <xdr:cNvPr id="2" name="Cylindre 1"/>
        <xdr:cNvSpPr/>
      </xdr:nvSpPr>
      <xdr:spPr>
        <a:xfrm>
          <a:off x="5810249" y="437030"/>
          <a:ext cx="1366559" cy="930088"/>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8</xdr:col>
      <xdr:colOff>635935</xdr:colOff>
      <xdr:row>2</xdr:row>
      <xdr:rowOff>22411</xdr:rowOff>
    </xdr:from>
    <xdr:to>
      <xdr:col>10</xdr:col>
      <xdr:colOff>264460</xdr:colOff>
      <xdr:row>7</xdr:row>
      <xdr:rowOff>11206</xdr:rowOff>
    </xdr:to>
    <xdr:sp macro="" textlink="">
      <xdr:nvSpPr>
        <xdr:cNvPr id="3" name="Cylindre 2"/>
        <xdr:cNvSpPr/>
      </xdr:nvSpPr>
      <xdr:spPr>
        <a:xfrm>
          <a:off x="7359464" y="425823"/>
          <a:ext cx="1309408" cy="885265"/>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8</xdr:col>
      <xdr:colOff>345140</xdr:colOff>
      <xdr:row>22</xdr:row>
      <xdr:rowOff>61632</xdr:rowOff>
    </xdr:from>
    <xdr:to>
      <xdr:col>11</xdr:col>
      <xdr:colOff>89647</xdr:colOff>
      <xdr:row>25</xdr:row>
      <xdr:rowOff>61634</xdr:rowOff>
    </xdr:to>
    <xdr:sp macro="[0]!ColorSignaux_Click" textlink="">
      <xdr:nvSpPr>
        <xdr:cNvPr id="18" name="Rectangle : coins arrondis 3">
          <a:extLst>
            <a:ext uri="{FF2B5EF4-FFF2-40B4-BE49-F238E27FC236}">
              <a16:creationId xmlns="" xmlns:a16="http://schemas.microsoft.com/office/drawing/2014/main" id="{B43D806D-E19B-48B2-9534-9DC8555CD7DC}"/>
            </a:ext>
          </a:extLst>
        </xdr:cNvPr>
        <xdr:cNvSpPr/>
      </xdr:nvSpPr>
      <xdr:spPr>
        <a:xfrm>
          <a:off x="7068669" y="4050926"/>
          <a:ext cx="2265831" cy="53788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8</xdr:col>
      <xdr:colOff>352983</xdr:colOff>
      <xdr:row>26</xdr:row>
      <xdr:rowOff>160806</xdr:rowOff>
    </xdr:from>
    <xdr:to>
      <xdr:col>11</xdr:col>
      <xdr:colOff>100852</xdr:colOff>
      <xdr:row>29</xdr:row>
      <xdr:rowOff>141145</xdr:rowOff>
    </xdr:to>
    <xdr:sp macro="[0]!ColorListeES_Click" textlink="">
      <xdr:nvSpPr>
        <xdr:cNvPr id="21" name="Rectangle : coins arrondis 3">
          <a:extLst>
            <a:ext uri="{FF2B5EF4-FFF2-40B4-BE49-F238E27FC236}">
              <a16:creationId xmlns="" xmlns:a16="http://schemas.microsoft.com/office/drawing/2014/main" id="{B43D806D-E19B-48B2-9534-9DC8555CD7DC}"/>
            </a:ext>
          </a:extLst>
        </xdr:cNvPr>
        <xdr:cNvSpPr/>
      </xdr:nvSpPr>
      <xdr:spPr>
        <a:xfrm>
          <a:off x="7076512" y="4867277"/>
          <a:ext cx="2269193" cy="518221"/>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0</xdr:col>
      <xdr:colOff>142874</xdr:colOff>
      <xdr:row>9</xdr:row>
      <xdr:rowOff>11207</xdr:rowOff>
    </xdr:from>
    <xdr:to>
      <xdr:col>11</xdr:col>
      <xdr:colOff>728382</xdr:colOff>
      <xdr:row>50</xdr:row>
      <xdr:rowOff>100853</xdr:rowOff>
    </xdr:to>
    <xdr:sp macro="" textlink="">
      <xdr:nvSpPr>
        <xdr:cNvPr id="36" name="Rectangle 35"/>
        <xdr:cNvSpPr/>
      </xdr:nvSpPr>
      <xdr:spPr>
        <a:xfrm>
          <a:off x="142874" y="1669678"/>
          <a:ext cx="9830361" cy="74407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1</xdr:col>
      <xdr:colOff>833092</xdr:colOff>
      <xdr:row>7</xdr:row>
      <xdr:rowOff>67236</xdr:rowOff>
    </xdr:from>
    <xdr:to>
      <xdr:col>7</xdr:col>
      <xdr:colOff>610442</xdr:colOff>
      <xdr:row>16</xdr:row>
      <xdr:rowOff>137349</xdr:rowOff>
    </xdr:to>
    <xdr:cxnSp macro="">
      <xdr:nvCxnSpPr>
        <xdr:cNvPr id="39" name="Connecteur en angle 38"/>
        <xdr:cNvCxnSpPr>
          <a:stCxn id="2" idx="3"/>
          <a:endCxn id="4" idx="0"/>
        </xdr:cNvCxnSpPr>
      </xdr:nvCxnSpPr>
      <xdr:spPr>
        <a:xfrm rot="5400000">
          <a:off x="2703769" y="336882"/>
          <a:ext cx="2759525" cy="4819997"/>
        </a:xfrm>
        <a:prstGeom prst="bentConnector3">
          <a:avLst>
            <a:gd name="adj1" fmla="val 6600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330574</xdr:colOff>
      <xdr:row>31</xdr:row>
      <xdr:rowOff>34737</xdr:rowOff>
    </xdr:from>
    <xdr:to>
      <xdr:col>11</xdr:col>
      <xdr:colOff>123265</xdr:colOff>
      <xdr:row>34</xdr:row>
      <xdr:rowOff>44262</xdr:rowOff>
    </xdr:to>
    <xdr:sp macro="[0]!mValidateListeES.ValidateListeES_Click" textlink="">
      <xdr:nvSpPr>
        <xdr:cNvPr id="44" name="Rectangle : coins arrondis 3">
          <a:extLst>
            <a:ext uri="{FF2B5EF4-FFF2-40B4-BE49-F238E27FC236}">
              <a16:creationId xmlns="" xmlns:a16="http://schemas.microsoft.com/office/drawing/2014/main" id="{AAA1D87E-3CBC-40AF-91B8-65CD514F3058}"/>
            </a:ext>
          </a:extLst>
        </xdr:cNvPr>
        <xdr:cNvSpPr/>
      </xdr:nvSpPr>
      <xdr:spPr>
        <a:xfrm>
          <a:off x="7054103" y="5637678"/>
          <a:ext cx="2314015" cy="547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xdr:from>
      <xdr:col>0</xdr:col>
      <xdr:colOff>123264</xdr:colOff>
      <xdr:row>1</xdr:row>
      <xdr:rowOff>177613</xdr:rowOff>
    </xdr:from>
    <xdr:to>
      <xdr:col>5</xdr:col>
      <xdr:colOff>806823</xdr:colOff>
      <xdr:row>7</xdr:row>
      <xdr:rowOff>64994</xdr:rowOff>
    </xdr:to>
    <xdr:grpSp>
      <xdr:nvGrpSpPr>
        <xdr:cNvPr id="231" name="Groupe 230"/>
        <xdr:cNvGrpSpPr/>
      </xdr:nvGrpSpPr>
      <xdr:grpSpPr>
        <a:xfrm>
          <a:off x="123264" y="401731"/>
          <a:ext cx="4885765" cy="963145"/>
          <a:chOff x="571500" y="412937"/>
          <a:chExt cx="4885765" cy="963145"/>
        </a:xfrm>
      </xdr:grpSpPr>
      <xdr:sp macro="" textlink="">
        <xdr:nvSpPr>
          <xdr:cNvPr id="62" name="ZoneTexte 61"/>
          <xdr:cNvSpPr txBox="1"/>
        </xdr:nvSpPr>
        <xdr:spPr>
          <a:xfrm>
            <a:off x="571500" y="412937"/>
            <a:ext cx="4885765" cy="963145"/>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57453" y="658445"/>
            <a:ext cx="802225"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20829" y="639559"/>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07985" y="649002"/>
            <a:ext cx="888178"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54022" y="658445"/>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694449" y="658445"/>
            <a:ext cx="706722"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5</xdr:col>
      <xdr:colOff>630130</xdr:colOff>
      <xdr:row>22</xdr:row>
      <xdr:rowOff>19397</xdr:rowOff>
    </xdr:from>
    <xdr:to>
      <xdr:col>6</xdr:col>
      <xdr:colOff>560294</xdr:colOff>
      <xdr:row>31</xdr:row>
      <xdr:rowOff>147917</xdr:rowOff>
    </xdr:to>
    <xdr:cxnSp macro="">
      <xdr:nvCxnSpPr>
        <xdr:cNvPr id="68" name="Connecteur en angle 67"/>
        <xdr:cNvCxnSpPr>
          <a:stCxn id="19" idx="2"/>
          <a:endCxn id="47" idx="1"/>
        </xdr:cNvCxnSpPr>
      </xdr:nvCxnSpPr>
      <xdr:spPr>
        <a:xfrm rot="16200000" flipH="1">
          <a:off x="4346555" y="4494472"/>
          <a:ext cx="1742167" cy="77060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70" name="Forme 69"/>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74" name="Connecteur en angle 73"/>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87" name="Connecteur en angle 86"/>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299196</xdr:colOff>
      <xdr:row>9</xdr:row>
      <xdr:rowOff>107576</xdr:rowOff>
    </xdr:from>
    <xdr:to>
      <xdr:col>5</xdr:col>
      <xdr:colOff>403971</xdr:colOff>
      <xdr:row>12</xdr:row>
      <xdr:rowOff>88526</xdr:rowOff>
    </xdr:to>
    <xdr:sp macro="" textlink="">
      <xdr:nvSpPr>
        <xdr:cNvPr id="38" name="txtProgress"/>
        <xdr:cNvSpPr txBox="1"/>
      </xdr:nvSpPr>
      <xdr:spPr>
        <a:xfrm>
          <a:off x="299196" y="2841811"/>
          <a:ext cx="4306981" cy="518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 listeES terminée en 98,906 seconde(s)</a:t>
          </a:r>
        </a:p>
      </xdr:txBody>
    </xdr:sp>
    <xdr:clientData/>
  </xdr:twoCellAnchor>
  <xdr:twoCellAnchor>
    <xdr:from>
      <xdr:col>0</xdr:col>
      <xdr:colOff>292983</xdr:colOff>
      <xdr:row>14</xdr:row>
      <xdr:rowOff>168088</xdr:rowOff>
    </xdr:from>
    <xdr:to>
      <xdr:col>3</xdr:col>
      <xdr:colOff>586373</xdr:colOff>
      <xdr:row>48</xdr:row>
      <xdr:rowOff>67235</xdr:rowOff>
    </xdr:to>
    <xdr:grpSp>
      <xdr:nvGrpSpPr>
        <xdr:cNvPr id="126" name="Groupe 125"/>
        <xdr:cNvGrpSpPr/>
      </xdr:nvGrpSpPr>
      <xdr:grpSpPr>
        <a:xfrm>
          <a:off x="292983" y="2723029"/>
          <a:ext cx="2814714" cy="5995147"/>
          <a:chOff x="292983" y="3260912"/>
          <a:chExt cx="2814714" cy="5995147"/>
        </a:xfrm>
      </xdr:grpSpPr>
      <xdr:sp macro="" textlink="">
        <xdr:nvSpPr>
          <xdr:cNvPr id="26" name="ZoneTexte 25"/>
          <xdr:cNvSpPr txBox="1"/>
        </xdr:nvSpPr>
        <xdr:spPr>
          <a:xfrm>
            <a:off x="292983" y="3260912"/>
            <a:ext cx="2814714" cy="5995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 xmlns:a16="http://schemas.microsoft.com/office/drawing/2014/main" id="{AAA1D87E-3CBC-40AF-91B8-65CD514F3058}"/>
              </a:ext>
            </a:extLst>
          </xdr:cNvPr>
          <xdr:cNvSpPr/>
        </xdr:nvSpPr>
        <xdr:spPr>
          <a:xfrm>
            <a:off x="473927" y="3588761"/>
            <a:ext cx="2399210" cy="4538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 xmlns:a16="http://schemas.microsoft.com/office/drawing/2014/main" id="{AAA1D87E-3CBC-40AF-91B8-65CD514F3058}"/>
              </a:ext>
            </a:extLst>
          </xdr:cNvPr>
          <xdr:cNvSpPr/>
        </xdr:nvSpPr>
        <xdr:spPr>
          <a:xfrm>
            <a:off x="492878" y="4240433"/>
            <a:ext cx="2370727" cy="444351"/>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 xmlns:a16="http://schemas.microsoft.com/office/drawing/2014/main" id="{AAA1D87E-3CBC-40AF-91B8-65CD514F3058}"/>
              </a:ext>
            </a:extLst>
          </xdr:cNvPr>
          <xdr:cNvSpPr/>
        </xdr:nvSpPr>
        <xdr:spPr>
          <a:xfrm>
            <a:off x="500700" y="4862413"/>
            <a:ext cx="2361233" cy="471249"/>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 xmlns:a16="http://schemas.microsoft.com/office/drawing/2014/main" id="{51384C3E-A491-480E-93EE-669369B7C2E7}"/>
              </a:ext>
            </a:extLst>
          </xdr:cNvPr>
          <xdr:cNvSpPr/>
        </xdr:nvSpPr>
        <xdr:spPr>
          <a:xfrm>
            <a:off x="480072" y="5503441"/>
            <a:ext cx="2389716" cy="537929"/>
          </a:xfrm>
          <a:prstGeom prst="roundRect">
            <a:avLst/>
          </a:prstGeom>
          <a:gradFill flip="none" rotWithShape="1">
            <a:gsLst>
              <a:gs pos="0">
                <a:schemeClr val="tx1">
                  <a:lumMod val="85000"/>
                  <a:lumOff val="15000"/>
                </a:schemeClr>
              </a:gs>
              <a:gs pos="48000">
                <a:schemeClr val="tx1">
                  <a:lumMod val="65000"/>
                  <a:lumOff val="35000"/>
                </a:schemeClr>
              </a:gs>
              <a:gs pos="100000">
                <a:schemeClr val="tx1">
                  <a:lumMod val="85000"/>
                  <a:lumOff val="1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 (Fonction devellopeur)</a:t>
            </a:r>
          </a:p>
        </xdr:txBody>
      </xdr:sp>
      <xdr:sp macro="[0]!RecalculerReserves_Click" textlink="">
        <xdr:nvSpPr>
          <xdr:cNvPr id="45" name="Rectangle : coins arrondis 3">
            <a:extLst>
              <a:ext uri="{FF2B5EF4-FFF2-40B4-BE49-F238E27FC236}">
                <a16:creationId xmlns="" xmlns:a16="http://schemas.microsoft.com/office/drawing/2014/main" id="{AAA1D87E-3CBC-40AF-91B8-65CD514F3058}"/>
              </a:ext>
            </a:extLst>
          </xdr:cNvPr>
          <xdr:cNvSpPr/>
        </xdr:nvSpPr>
        <xdr:spPr>
          <a:xfrm>
            <a:off x="481662" y="7465157"/>
            <a:ext cx="2348761" cy="509617"/>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48" name="Cylindre 47"/>
          <xdr:cNvSpPr/>
        </xdr:nvSpPr>
        <xdr:spPr>
          <a:xfrm>
            <a:off x="996764" y="8355666"/>
            <a:ext cx="1316691" cy="66002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sp macro="" textlink="">
        <xdr:nvSpPr>
          <xdr:cNvPr id="79" name="Cylindre 78"/>
          <xdr:cNvSpPr/>
        </xdr:nvSpPr>
        <xdr:spPr>
          <a:xfrm>
            <a:off x="1018614" y="6348694"/>
            <a:ext cx="1301003"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grpSp>
    <xdr:clientData/>
  </xdr:twoCellAnchor>
  <xdr:twoCellAnchor>
    <xdr:from>
      <xdr:col>3</xdr:col>
      <xdr:colOff>705970</xdr:colOff>
      <xdr:row>15</xdr:row>
      <xdr:rowOff>22411</xdr:rowOff>
    </xdr:from>
    <xdr:to>
      <xdr:col>7</xdr:col>
      <xdr:colOff>726685</xdr:colOff>
      <xdr:row>48</xdr:row>
      <xdr:rowOff>89647</xdr:rowOff>
    </xdr:to>
    <xdr:grpSp>
      <xdr:nvGrpSpPr>
        <xdr:cNvPr id="127" name="Groupe 126"/>
        <xdr:cNvGrpSpPr/>
      </xdr:nvGrpSpPr>
      <xdr:grpSpPr>
        <a:xfrm>
          <a:off x="3227294" y="2756646"/>
          <a:ext cx="3382479" cy="5983942"/>
          <a:chOff x="3227294" y="3294529"/>
          <a:chExt cx="3382479" cy="5983942"/>
        </a:xfrm>
      </xdr:grpSpPr>
      <xdr:sp macro="" textlink="">
        <xdr:nvSpPr>
          <xdr:cNvPr id="32" name="ZoneTexte 31"/>
          <xdr:cNvSpPr txBox="1"/>
        </xdr:nvSpPr>
        <xdr:spPr>
          <a:xfrm>
            <a:off x="3227294" y="3294529"/>
            <a:ext cx="3382479" cy="5983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CreateListeES2_Click" textlink="">
        <xdr:nvSpPr>
          <xdr:cNvPr id="19" name="Rectangle : coins arrondis 1">
            <a:extLst>
              <a:ext uri="{FF2B5EF4-FFF2-40B4-BE49-F238E27FC236}">
                <a16:creationId xmlns="" xmlns:a16="http://schemas.microsoft.com/office/drawing/2014/main" id="{51384C3E-A491-480E-93EE-669369B7C2E7}"/>
              </a:ext>
            </a:extLst>
          </xdr:cNvPr>
          <xdr:cNvSpPr/>
        </xdr:nvSpPr>
        <xdr:spPr>
          <a:xfrm>
            <a:off x="3548192" y="3998284"/>
            <a:ext cx="2568287" cy="548291"/>
          </a:xfrm>
          <a:prstGeom prst="roundRect">
            <a:avLst/>
          </a:prstGeom>
          <a:gradFill flip="none" rotWithShape="1">
            <a:gsLst>
              <a:gs pos="0">
                <a:schemeClr val="accent6">
                  <a:lumMod val="75000"/>
                </a:schemeClr>
              </a:gs>
              <a:gs pos="48000">
                <a:schemeClr val="accent6">
                  <a:lumMod val="60000"/>
                  <a:lumOff val="40000"/>
                </a:schemeClr>
              </a:gs>
              <a:gs pos="100000">
                <a:schemeClr val="accent6">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 textlink="">
        <xdr:nvSpPr>
          <xdr:cNvPr id="47" name="Cylindre 46"/>
          <xdr:cNvSpPr/>
        </xdr:nvSpPr>
        <xdr:spPr>
          <a:xfrm>
            <a:off x="4964206" y="6288742"/>
            <a:ext cx="1277470"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sp macro="" textlink="">
        <xdr:nvSpPr>
          <xdr:cNvPr id="65" name="Cylindre 64"/>
          <xdr:cNvSpPr/>
        </xdr:nvSpPr>
        <xdr:spPr>
          <a:xfrm>
            <a:off x="3379137" y="6308912"/>
            <a:ext cx="1316691" cy="85164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grpSp>
    <xdr:clientData/>
  </xdr:twoCellAnchor>
  <xdr:twoCellAnchor>
    <xdr:from>
      <xdr:col>4</xdr:col>
      <xdr:colOff>675719</xdr:colOff>
      <xdr:row>22</xdr:row>
      <xdr:rowOff>19398</xdr:rowOff>
    </xdr:from>
    <xdr:to>
      <xdr:col>5</xdr:col>
      <xdr:colOff>630131</xdr:colOff>
      <xdr:row>31</xdr:row>
      <xdr:rowOff>168088</xdr:rowOff>
    </xdr:to>
    <xdr:cxnSp macro="">
      <xdr:nvCxnSpPr>
        <xdr:cNvPr id="83" name="Connecteur en angle 82"/>
        <xdr:cNvCxnSpPr>
          <a:stCxn id="19" idx="2"/>
          <a:endCxn id="65" idx="1"/>
        </xdr:cNvCxnSpPr>
      </xdr:nvCxnSpPr>
      <xdr:spPr>
        <a:xfrm rot="5400000">
          <a:off x="3553742" y="4492434"/>
          <a:ext cx="1762337" cy="79485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675718</xdr:colOff>
      <xdr:row>36</xdr:row>
      <xdr:rowOff>123263</xdr:rowOff>
    </xdr:from>
    <xdr:to>
      <xdr:col>5</xdr:col>
      <xdr:colOff>773206</xdr:colOff>
      <xdr:row>51</xdr:row>
      <xdr:rowOff>123264</xdr:rowOff>
    </xdr:to>
    <xdr:cxnSp macro="">
      <xdr:nvCxnSpPr>
        <xdr:cNvPr id="88" name="Connecteur en angle 87"/>
        <xdr:cNvCxnSpPr>
          <a:stCxn id="65" idx="3"/>
          <a:endCxn id="77" idx="0"/>
        </xdr:cNvCxnSpPr>
      </xdr:nvCxnSpPr>
      <xdr:spPr>
        <a:xfrm rot="16200000" flipH="1">
          <a:off x="3161741" y="7498417"/>
          <a:ext cx="2689413" cy="93792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833092</xdr:colOff>
      <xdr:row>7</xdr:row>
      <xdr:rowOff>11205</xdr:rowOff>
    </xdr:from>
    <xdr:to>
      <xdr:col>9</xdr:col>
      <xdr:colOff>450198</xdr:colOff>
      <xdr:row>16</xdr:row>
      <xdr:rowOff>137348</xdr:rowOff>
    </xdr:to>
    <xdr:cxnSp macro="">
      <xdr:nvCxnSpPr>
        <xdr:cNvPr id="114" name="Connecteur en angle 113"/>
        <xdr:cNvCxnSpPr>
          <a:stCxn id="3" idx="3"/>
          <a:endCxn id="4" idx="0"/>
        </xdr:cNvCxnSpPr>
      </xdr:nvCxnSpPr>
      <xdr:spPr>
        <a:xfrm rot="5400000">
          <a:off x="3436073" y="-451453"/>
          <a:ext cx="2815555" cy="6340636"/>
        </a:xfrm>
        <a:prstGeom prst="bentConnector3">
          <a:avLst>
            <a:gd name="adj1" fmla="val 66607"/>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630131</xdr:colOff>
      <xdr:row>7</xdr:row>
      <xdr:rowOff>11205</xdr:rowOff>
    </xdr:from>
    <xdr:to>
      <xdr:col>9</xdr:col>
      <xdr:colOff>450198</xdr:colOff>
      <xdr:row>19</xdr:row>
      <xdr:rowOff>8988</xdr:rowOff>
    </xdr:to>
    <xdr:cxnSp macro="">
      <xdr:nvCxnSpPr>
        <xdr:cNvPr id="116" name="Connecteur en angle 115"/>
        <xdr:cNvCxnSpPr>
          <a:stCxn id="3" idx="3"/>
          <a:endCxn id="19" idx="0"/>
        </xdr:cNvCxnSpPr>
      </xdr:nvCxnSpPr>
      <xdr:spPr>
        <a:xfrm rot="5400000">
          <a:off x="5348596" y="794828"/>
          <a:ext cx="2149313" cy="3181832"/>
        </a:xfrm>
        <a:prstGeom prst="bentConnector3">
          <a:avLst>
            <a:gd name="adj1" fmla="val 5365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833091</xdr:colOff>
      <xdr:row>19</xdr:row>
      <xdr:rowOff>53345</xdr:rowOff>
    </xdr:from>
    <xdr:to>
      <xdr:col>1</xdr:col>
      <xdr:colOff>837801</xdr:colOff>
      <xdr:row>20</xdr:row>
      <xdr:rowOff>71845</xdr:rowOff>
    </xdr:to>
    <xdr:cxnSp macro="">
      <xdr:nvCxnSpPr>
        <xdr:cNvPr id="129" name="Forme 128"/>
        <xdr:cNvCxnSpPr>
          <a:stCxn id="4" idx="2"/>
          <a:endCxn id="5" idx="0"/>
        </xdr:cNvCxnSpPr>
      </xdr:nvCxnSpPr>
      <xdr:spPr>
        <a:xfrm rot="16200000" flipH="1">
          <a:off x="1576990" y="4139181"/>
          <a:ext cx="197794" cy="471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837801</xdr:colOff>
      <xdr:row>22</xdr:row>
      <xdr:rowOff>157607</xdr:rowOff>
    </xdr:from>
    <xdr:to>
      <xdr:col>2</xdr:col>
      <xdr:colOff>435</xdr:colOff>
      <xdr:row>23</xdr:row>
      <xdr:rowOff>155941</xdr:rowOff>
    </xdr:to>
    <xdr:cxnSp macro="">
      <xdr:nvCxnSpPr>
        <xdr:cNvPr id="132" name="Forme 131"/>
        <xdr:cNvCxnSpPr>
          <a:stCxn id="5" idx="2"/>
          <a:endCxn id="8" idx="0"/>
        </xdr:cNvCxnSpPr>
      </xdr:nvCxnSpPr>
      <xdr:spPr>
        <a:xfrm rot="16200000" flipH="1">
          <a:off x="1590965" y="4772060"/>
          <a:ext cx="177629" cy="307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834490</xdr:colOff>
      <xdr:row>26</xdr:row>
      <xdr:rowOff>89309</xdr:rowOff>
    </xdr:from>
    <xdr:to>
      <xdr:col>2</xdr:col>
      <xdr:colOff>436</xdr:colOff>
      <xdr:row>27</xdr:row>
      <xdr:rowOff>79794</xdr:rowOff>
    </xdr:to>
    <xdr:cxnSp macro="">
      <xdr:nvCxnSpPr>
        <xdr:cNvPr id="135" name="Forme 134"/>
        <xdr:cNvCxnSpPr>
          <a:stCxn id="8" idx="2"/>
          <a:endCxn id="20" idx="0"/>
        </xdr:cNvCxnSpPr>
      </xdr:nvCxnSpPr>
      <xdr:spPr>
        <a:xfrm rot="5400000">
          <a:off x="1593235" y="5415358"/>
          <a:ext cx="169779" cy="6387"/>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138" name="Forme 137"/>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141" name="Connecteur en angle 140"/>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143" name="Forme 142"/>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814670</xdr:colOff>
      <xdr:row>47</xdr:row>
      <xdr:rowOff>6162</xdr:rowOff>
    </xdr:from>
    <xdr:to>
      <xdr:col>5</xdr:col>
      <xdr:colOff>773207</xdr:colOff>
      <xdr:row>51</xdr:row>
      <xdr:rowOff>123264</xdr:rowOff>
    </xdr:to>
    <xdr:cxnSp macro="">
      <xdr:nvCxnSpPr>
        <xdr:cNvPr id="146" name="Connecteur en angle 145"/>
        <xdr:cNvCxnSpPr>
          <a:stCxn id="48" idx="3"/>
          <a:endCxn id="77" idx="0"/>
        </xdr:cNvCxnSpPr>
      </xdr:nvCxnSpPr>
      <xdr:spPr>
        <a:xfrm rot="16200000" flipH="1">
          <a:off x="2898122" y="7234798"/>
          <a:ext cx="834279" cy="3320302"/>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630130</xdr:colOff>
      <xdr:row>22</xdr:row>
      <xdr:rowOff>19397</xdr:rowOff>
    </xdr:from>
    <xdr:to>
      <xdr:col>6</xdr:col>
      <xdr:colOff>560294</xdr:colOff>
      <xdr:row>31</xdr:row>
      <xdr:rowOff>147917</xdr:rowOff>
    </xdr:to>
    <xdr:cxnSp macro="">
      <xdr:nvCxnSpPr>
        <xdr:cNvPr id="151" name="Connecteur en angle 150"/>
        <xdr:cNvCxnSpPr>
          <a:stCxn id="19" idx="2"/>
          <a:endCxn id="47" idx="1"/>
        </xdr:cNvCxnSpPr>
      </xdr:nvCxnSpPr>
      <xdr:spPr>
        <a:xfrm rot="16200000" flipH="1">
          <a:off x="4346555" y="4494472"/>
          <a:ext cx="1742167" cy="770605"/>
        </a:xfrm>
        <a:prstGeom prst="bentConnector3">
          <a:avLst>
            <a:gd name="adj1" fmla="val 5128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773207</xdr:colOff>
      <xdr:row>36</xdr:row>
      <xdr:rowOff>119342</xdr:rowOff>
    </xdr:from>
    <xdr:to>
      <xdr:col>6</xdr:col>
      <xdr:colOff>560295</xdr:colOff>
      <xdr:row>51</xdr:row>
      <xdr:rowOff>123265</xdr:rowOff>
    </xdr:to>
    <xdr:cxnSp macro="">
      <xdr:nvCxnSpPr>
        <xdr:cNvPr id="154" name="Connecteur en angle 153"/>
        <xdr:cNvCxnSpPr>
          <a:stCxn id="47" idx="3"/>
          <a:endCxn id="77" idx="0"/>
        </xdr:cNvCxnSpPr>
      </xdr:nvCxnSpPr>
      <xdr:spPr>
        <a:xfrm rot="5400000">
          <a:off x="3942510" y="7651657"/>
          <a:ext cx="2693335" cy="62752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345286</xdr:colOff>
      <xdr:row>17</xdr:row>
      <xdr:rowOff>44823</xdr:rowOff>
    </xdr:from>
    <xdr:to>
      <xdr:col>11</xdr:col>
      <xdr:colOff>112060</xdr:colOff>
      <xdr:row>20</xdr:row>
      <xdr:rowOff>157984</xdr:rowOff>
    </xdr:to>
    <xdr:sp macro="[0]!ValidatePreGenDatas_Click" textlink="">
      <xdr:nvSpPr>
        <xdr:cNvPr id="284" name="Rectangle : coins arrondis 3">
          <a:extLst>
            <a:ext uri="{FF2B5EF4-FFF2-40B4-BE49-F238E27FC236}">
              <a16:creationId xmlns="" xmlns:a16="http://schemas.microsoft.com/office/drawing/2014/main" id="{AAA1D87E-3CBC-40AF-91B8-65CD514F3058}"/>
            </a:ext>
          </a:extLst>
        </xdr:cNvPr>
        <xdr:cNvSpPr/>
      </xdr:nvSpPr>
      <xdr:spPr>
        <a:xfrm>
          <a:off x="7068815" y="3137647"/>
          <a:ext cx="2288098" cy="651043"/>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3</xdr:col>
      <xdr:colOff>44823</xdr:colOff>
      <xdr:row>7</xdr:row>
      <xdr:rowOff>64994</xdr:rowOff>
    </xdr:from>
    <xdr:to>
      <xdr:col>6</xdr:col>
      <xdr:colOff>15408</xdr:colOff>
      <xdr:row>9</xdr:row>
      <xdr:rowOff>11207</xdr:rowOff>
    </xdr:to>
    <xdr:cxnSp macro="">
      <xdr:nvCxnSpPr>
        <xdr:cNvPr id="63" name="Connecteur en angle 62"/>
        <xdr:cNvCxnSpPr>
          <a:stCxn id="62" idx="2"/>
          <a:endCxn id="36" idx="0"/>
        </xdr:cNvCxnSpPr>
      </xdr:nvCxnSpPr>
      <xdr:spPr>
        <a:xfrm rot="16200000" flipH="1">
          <a:off x="3659700" y="271323"/>
          <a:ext cx="304802" cy="249190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291353</xdr:colOff>
      <xdr:row>51</xdr:row>
      <xdr:rowOff>123265</xdr:rowOff>
    </xdr:from>
    <xdr:to>
      <xdr:col>11</xdr:col>
      <xdr:colOff>414618</xdr:colOff>
      <xdr:row>61</xdr:row>
      <xdr:rowOff>11206</xdr:rowOff>
    </xdr:to>
    <xdr:grpSp>
      <xdr:nvGrpSpPr>
        <xdr:cNvPr id="86" name="Groupe 85"/>
        <xdr:cNvGrpSpPr/>
      </xdr:nvGrpSpPr>
      <xdr:grpSpPr>
        <a:xfrm>
          <a:off x="291353" y="9312089"/>
          <a:ext cx="9368118" cy="1680882"/>
          <a:chOff x="291353" y="9312089"/>
          <a:chExt cx="9368118" cy="1680882"/>
        </a:xfrm>
      </xdr:grpSpPr>
      <xdr:sp macro="" textlink="">
        <xdr:nvSpPr>
          <xdr:cNvPr id="77" name="ZoneTexte 76"/>
          <xdr:cNvSpPr txBox="1"/>
        </xdr:nvSpPr>
        <xdr:spPr>
          <a:xfrm>
            <a:off x="291353" y="9312089"/>
            <a:ext cx="9368118" cy="16808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des vues</a:t>
            </a:r>
          </a:p>
        </xdr:txBody>
      </xdr:sp>
      <xdr:sp macro="[0]!GenerateAPIView" textlink="">
        <xdr:nvSpPr>
          <xdr:cNvPr id="71" name="Rectangle : coins arrondis 1">
            <a:extLst>
              <a:ext uri="{FF2B5EF4-FFF2-40B4-BE49-F238E27FC236}">
                <a16:creationId xmlns="" xmlns:a16="http://schemas.microsoft.com/office/drawing/2014/main" id="{FC20C1C7-3AD3-4940-9749-0B84A476C784}"/>
              </a:ext>
            </a:extLst>
          </xdr:cNvPr>
          <xdr:cNvSpPr/>
        </xdr:nvSpPr>
        <xdr:spPr>
          <a:xfrm>
            <a:off x="569820" y="9532283"/>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sp macro="[0]!mViews.GenerateSingleAPIView_Click" textlink="">
        <xdr:nvSpPr>
          <xdr:cNvPr id="61" name="Rectangle : coins arrondis 2">
            <a:extLst>
              <a:ext uri="{FF2B5EF4-FFF2-40B4-BE49-F238E27FC236}">
                <a16:creationId xmlns="" xmlns:a16="http://schemas.microsoft.com/office/drawing/2014/main" id="{6CE2C21C-FF5F-4F2C-BA8B-9A120A5607A9}"/>
              </a:ext>
            </a:extLst>
          </xdr:cNvPr>
          <xdr:cNvSpPr/>
        </xdr:nvSpPr>
        <xdr:spPr>
          <a:xfrm>
            <a:off x="3171264" y="954741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sp macro="[0]!mViews.GenerateAllAPIViews_Click" textlink="">
        <xdr:nvSpPr>
          <xdr:cNvPr id="64" name="Rectangle : coins arrondis 2">
            <a:extLst>
              <a:ext uri="{FF2B5EF4-FFF2-40B4-BE49-F238E27FC236}">
                <a16:creationId xmlns="" xmlns:a16="http://schemas.microsoft.com/office/drawing/2014/main" id="{6CE2C21C-FF5F-4F2C-BA8B-9A120A5607A9}"/>
              </a:ext>
            </a:extLst>
          </xdr:cNvPr>
          <xdr:cNvSpPr/>
        </xdr:nvSpPr>
        <xdr:spPr>
          <a:xfrm>
            <a:off x="3182470" y="1025338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toutes les vues Voies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Calcul des réserves terminée en 20,477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523872</xdr:colOff>
      <xdr:row>0</xdr:row>
      <xdr:rowOff>85725</xdr:rowOff>
    </xdr:from>
    <xdr:to>
      <xdr:col>11</xdr:col>
      <xdr:colOff>276224</xdr:colOff>
      <xdr:row>0</xdr:row>
      <xdr:rowOff>885825</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4648197" y="857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0</xdr:col>
      <xdr:colOff>95250</xdr:colOff>
      <xdr:row>0</xdr:row>
      <xdr:rowOff>85724</xdr:rowOff>
    </xdr:from>
    <xdr:to>
      <xdr:col>3</xdr:col>
      <xdr:colOff>473076</xdr:colOff>
      <xdr:row>0</xdr:row>
      <xdr:rowOff>1562100</xdr:rowOff>
    </xdr:to>
    <xdr:grpSp>
      <xdr:nvGrpSpPr>
        <xdr:cNvPr id="8" name="Groupe 7"/>
        <xdr:cNvGrpSpPr/>
      </xdr:nvGrpSpPr>
      <xdr:grpSpPr>
        <a:xfrm>
          <a:off x="95250" y="85724"/>
          <a:ext cx="4502151" cy="1476376"/>
          <a:chOff x="3810000" y="76199"/>
          <a:chExt cx="4502151" cy="1476376"/>
        </a:xfrm>
      </xdr:grpSpPr>
      <xdr:sp macro="" textlink="">
        <xdr:nvSpPr>
          <xdr:cNvPr id="10" name="Rectangle 9">
            <a:extLst>
              <a:ext uri="{FF2B5EF4-FFF2-40B4-BE49-F238E27FC236}">
                <a16:creationId xmlns="" xmlns:a16="http://schemas.microsoft.com/office/drawing/2014/main" id="{D3E1F1D6-0DDB-BD13-C2C7-690962A4160C}"/>
              </a:ext>
            </a:extLst>
          </xdr:cNvPr>
          <xdr:cNvSpPr/>
        </xdr:nvSpPr>
        <xdr:spPr>
          <a:xfrm>
            <a:off x="3810000" y="76199"/>
            <a:ext cx="4502151" cy="14763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ColorSignaux_Click" textlink="">
        <xdr:nvSpPr>
          <xdr:cNvPr id="13" name="Rectangle : coins arrondis 3">
            <a:extLst>
              <a:ext uri="{FF2B5EF4-FFF2-40B4-BE49-F238E27FC236}">
                <a16:creationId xmlns="" xmlns:a16="http://schemas.microsoft.com/office/drawing/2014/main" id="{B43D806D-E19B-48B2-9534-9DC8555CD7DC}"/>
              </a:ext>
            </a:extLst>
          </xdr:cNvPr>
          <xdr:cNvSpPr/>
        </xdr:nvSpPr>
        <xdr:spPr>
          <a:xfrm>
            <a:off x="5442014" y="152132"/>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des Signaux terminée en 5,633 seconde(s)</a:t>
            </a:r>
          </a:p>
        </xdr:txBody>
      </xdr:sp>
      <xdr:sp macro="[0]!ValidateSignaux_Click" textlink="">
        <xdr:nvSpPr>
          <xdr:cNvPr id="7" name="Rectangle : coins arrondis 3">
            <a:extLst>
              <a:ext uri="{FF2B5EF4-FFF2-40B4-BE49-F238E27FC236}">
                <a16:creationId xmlns="" xmlns:a16="http://schemas.microsoft.com/office/drawing/2014/main" id="{AAA1D87E-3CBC-40AF-91B8-65CD514F3058}"/>
              </a:ext>
            </a:extLst>
          </xdr:cNvPr>
          <xdr:cNvSpPr/>
        </xdr:nvSpPr>
        <xdr:spPr>
          <a:xfrm>
            <a:off x="3943350" y="1524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98424</xdr:colOff>
      <xdr:row>0</xdr:row>
      <xdr:rowOff>63501</xdr:rowOff>
    </xdr:from>
    <xdr:to>
      <xdr:col>5</xdr:col>
      <xdr:colOff>466725</xdr:colOff>
      <xdr:row>0</xdr:row>
      <xdr:rowOff>1466850</xdr:rowOff>
    </xdr:to>
    <xdr:grpSp>
      <xdr:nvGrpSpPr>
        <xdr:cNvPr id="8" name="Groupe 7"/>
        <xdr:cNvGrpSpPr/>
      </xdr:nvGrpSpPr>
      <xdr:grpSpPr>
        <a:xfrm>
          <a:off x="98424" y="63501"/>
          <a:ext cx="4502151" cy="1403349"/>
          <a:chOff x="2708274" y="73026"/>
          <a:chExt cx="4502151" cy="1403349"/>
        </a:xfrm>
      </xdr:grpSpPr>
      <xdr:sp macro="" textlink="">
        <xdr:nvSpPr>
          <xdr:cNvPr id="5" name="Rectangle 4">
            <a:extLst>
              <a:ext uri="{FF2B5EF4-FFF2-40B4-BE49-F238E27FC236}">
                <a16:creationId xmlns="" xmlns:a16="http://schemas.microsoft.com/office/drawing/2014/main" id="{D3E1F1D6-0DDB-BD13-C2C7-690962A4160C}"/>
              </a:ext>
            </a:extLst>
          </xdr:cNvPr>
          <xdr:cNvSpPr/>
        </xdr:nvSpPr>
        <xdr:spPr>
          <a:xfrm>
            <a:off x="2708274" y="73026"/>
            <a:ext cx="4502151" cy="14033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la vue APIs terminée.</a:t>
            </a:r>
          </a:p>
        </xdr:txBody>
      </xdr:sp>
      <xdr:sp macro="[0]!ValidateInstanc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81300" y="1333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0</xdr:row>
      <xdr:rowOff>76200</xdr:rowOff>
    </xdr:from>
    <xdr:to>
      <xdr:col>10</xdr:col>
      <xdr:colOff>673101</xdr:colOff>
      <xdr:row>0</xdr:row>
      <xdr:rowOff>1590675</xdr:rowOff>
    </xdr:to>
    <xdr:grpSp>
      <xdr:nvGrpSpPr>
        <xdr:cNvPr id="10" name="Groupe 9"/>
        <xdr:cNvGrpSpPr/>
      </xdr:nvGrpSpPr>
      <xdr:grpSpPr>
        <a:xfrm>
          <a:off x="76200" y="76200"/>
          <a:ext cx="4502151" cy="1514475"/>
          <a:chOff x="1038225" y="76200"/>
          <a:chExt cx="4502151" cy="1514475"/>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1038225" y="76200"/>
            <a:ext cx="4502151" cy="15144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mValidatePreGenDatas.ValidateListe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1117025" y="162119"/>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1296 ligne(s) terminée(s) en 25,793 seconde(s)</a:t>
            </a:r>
          </a:p>
        </xdr:txBody>
      </xdr:sp>
      <xdr:sp macro="[0]!ColorListeES_Click" textlink="">
        <xdr:nvSpPr>
          <xdr:cNvPr id="16" name="Rectangle : coins arrondis 3">
            <a:extLst>
              <a:ext uri="{FF2B5EF4-FFF2-40B4-BE49-F238E27FC236}">
                <a16:creationId xmlns="" xmlns:a16="http://schemas.microsoft.com/office/drawing/2014/main" id="{B43D806D-E19B-48B2-9534-9DC8555CD7DC}"/>
              </a:ext>
            </a:extLst>
          </xdr:cNvPr>
          <xdr:cNvSpPr/>
        </xdr:nvSpPr>
        <xdr:spPr>
          <a:xfrm>
            <a:off x="2609850" y="171450"/>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 xmlns:a16="http://schemas.microsoft.com/office/drawing/2014/main"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IFERROR(Tableau7[[#This Row],[TS1]]/Tableau7[[#This Row],[TS1-T]],"")</calculatedColumnFormula>
    </tableColumn>
    <tableColumn id="15" name="TS2%" dataDxfId="95" dataCellStyle="Accent2">
      <calculatedColumnFormula>IFERROR(Tableau7[[#This Row],[TS2]]/Tableau7[[#This Row],[TS2-T]],"")</calculatedColumnFormula>
    </tableColumn>
    <tableColumn id="16" name="TS3%" dataDxfId="94" dataCellStyle="Accent2">
      <calculatedColumnFormula>IFERROR(Tableau7[[#This Row],[TS3]]/Tableau7[[#This Row],[TS3-T]],"")</calculatedColumnFormula>
    </tableColumn>
    <tableColumn id="17" name="TS4%" dataDxfId="93" dataCellStyle="Accent2">
      <calculatedColumnFormula>IFERROR(Tableau7[[#This Row],[TS4]]/Tableau7[[#This Row],[TS4-T]],"")</calculatedColumnFormula>
    </tableColumn>
    <tableColumn id="18" name="TS5%" dataDxfId="92" dataCellStyle="Accent2">
      <calculatedColumnFormula>IFERROR(Tableau7[[#This Row],[TS5]]/Tableau7[[#This Row],[TS5-T]],"")</calculatedColumnFormula>
    </tableColumn>
    <tableColumn id="19" name="TS6%" dataDxfId="91" dataCellStyle="Accent2">
      <calculatedColumnFormula>IFERROR(Tableau7[[#This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39" t="s">
        <v>403</v>
      </c>
      <c r="B1" s="240"/>
      <c r="C1" s="240"/>
      <c r="D1" s="240"/>
      <c r="E1" s="240"/>
      <c r="F1" s="240"/>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5" sqref="A5"/>
    </sheetView>
  </sheetViews>
  <sheetFormatPr baseColWidth="10" defaultColWidth="11" defaultRowHeight="18" customHeight="1"/>
  <cols>
    <col min="1" max="1" width="23.125" style="20" customWidth="1"/>
    <col min="2" max="2" width="22" style="20" customWidth="1"/>
    <col min="3" max="3" width="49.75" style="20" customWidth="1"/>
    <col min="4" max="16384" width="11" style="20"/>
  </cols>
  <sheetData>
    <row r="1" spans="1:6" ht="18" customHeight="1">
      <c r="A1" s="20" t="s">
        <v>1560</v>
      </c>
      <c r="B1" s="20" t="s">
        <v>1561</v>
      </c>
      <c r="C1" s="20" t="s">
        <v>755</v>
      </c>
    </row>
    <row r="2" spans="1:6" ht="18" customHeight="1" thickBot="1">
      <c r="A2" s="20" t="s">
        <v>1562</v>
      </c>
      <c r="B2" s="56">
        <v>0.2</v>
      </c>
      <c r="C2" s="20" t="s">
        <v>1550</v>
      </c>
    </row>
    <row r="3" spans="1:6" ht="18" customHeight="1" thickBot="1">
      <c r="A3" s="20" t="s">
        <v>1564</v>
      </c>
      <c r="B3" s="60" t="s">
        <v>1563</v>
      </c>
      <c r="C3" s="20" t="s">
        <v>1559</v>
      </c>
    </row>
    <row r="4" spans="1:6" ht="18" customHeight="1">
      <c r="A4" s="20" t="s">
        <v>1565</v>
      </c>
      <c r="B4" s="61" t="s">
        <v>1563</v>
      </c>
    </row>
    <row r="5" spans="1:6" ht="18" customHeight="1">
      <c r="A5" s="20" t="s">
        <v>1566</v>
      </c>
      <c r="B5" s="62" t="s">
        <v>1563</v>
      </c>
    </row>
    <row r="6" spans="1:6" ht="18" customHeight="1">
      <c r="A6" s="20" t="s">
        <v>1568</v>
      </c>
      <c r="B6" s="63" t="s">
        <v>1563</v>
      </c>
    </row>
    <row r="7" spans="1:6" ht="18" customHeight="1">
      <c r="A7" s="20" t="s">
        <v>1569</v>
      </c>
      <c r="B7" s="65" t="s">
        <v>1570</v>
      </c>
      <c r="F7" s="58"/>
    </row>
    <row r="8" spans="1:6" ht="18" customHeight="1">
      <c r="A8" s="20" t="s">
        <v>1877</v>
      </c>
      <c r="B8" s="20" t="s">
        <v>1879</v>
      </c>
      <c r="C8" s="20" t="s">
        <v>1878</v>
      </c>
      <c r="F8" s="59"/>
    </row>
    <row r="9" spans="1:6" ht="18" customHeight="1">
      <c r="A9" s="20" t="s">
        <v>1891</v>
      </c>
      <c r="B9" s="20" t="s">
        <v>1892</v>
      </c>
      <c r="C9" s="20" t="s">
        <v>1893</v>
      </c>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734</v>
      </c>
      <c r="B1" t="s">
        <v>735</v>
      </c>
      <c r="C1" t="s">
        <v>733</v>
      </c>
      <c r="D1" t="s">
        <v>732</v>
      </c>
    </row>
    <row r="2" spans="1:4">
      <c r="A2">
        <v>1</v>
      </c>
      <c r="B2" s="23" t="str">
        <f>"E"&amp;Tableau4[[#This Row],[ID]]</f>
        <v>E1</v>
      </c>
      <c r="C2" s="22">
        <v>45946</v>
      </c>
      <c r="D2" t="s">
        <v>738</v>
      </c>
    </row>
    <row r="3" spans="1:4">
      <c r="A3">
        <v>2</v>
      </c>
      <c r="B3" s="23" t="str">
        <f>"E"&amp;Tableau4[[#This Row],[ID]]</f>
        <v>E2</v>
      </c>
      <c r="C3" s="22">
        <v>45950</v>
      </c>
      <c r="D3" t="s">
        <v>741</v>
      </c>
    </row>
    <row r="4" spans="1:4">
      <c r="A4">
        <v>3</v>
      </c>
      <c r="B4" s="23" t="str">
        <f>"E"&amp;Tableau4[[#This Row],[ID]]</f>
        <v>E3</v>
      </c>
      <c r="C4" s="22">
        <v>45589</v>
      </c>
      <c r="D4" t="s">
        <v>740</v>
      </c>
    </row>
    <row r="5" spans="1:4">
      <c r="A5">
        <v>4</v>
      </c>
      <c r="B5" s="23" t="str">
        <f>"E"&amp;Tableau4[[#This Row],[ID]]</f>
        <v>E4</v>
      </c>
      <c r="C5" s="22">
        <v>45959</v>
      </c>
      <c r="D5" t="s">
        <v>739</v>
      </c>
    </row>
    <row r="6" spans="1:4">
      <c r="A6">
        <v>5</v>
      </c>
      <c r="B6" s="23" t="str">
        <f>"E"&amp;Tableau4[[#This Row],[ID]]</f>
        <v>E5</v>
      </c>
      <c r="C6" s="22">
        <v>45967</v>
      </c>
      <c r="D6" t="s">
        <v>742</v>
      </c>
    </row>
    <row r="7" spans="1:4">
      <c r="A7">
        <v>6</v>
      </c>
      <c r="B7" s="23" t="str">
        <f>"E"&amp;Tableau4[[#This Row],[ID]]</f>
        <v>E6</v>
      </c>
      <c r="C7" s="22">
        <v>45975</v>
      </c>
      <c r="D7" t="s">
        <v>743</v>
      </c>
    </row>
    <row r="8" spans="1:4">
      <c r="A8">
        <v>7</v>
      </c>
      <c r="B8" s="23" t="str">
        <f>"E"&amp;Tableau4[[#This Row],[ID]]</f>
        <v>E7</v>
      </c>
      <c r="C8" s="22">
        <v>45993</v>
      </c>
      <c r="D8" t="s">
        <v>744</v>
      </c>
    </row>
    <row r="9" spans="1:4">
      <c r="A9">
        <v>8</v>
      </c>
      <c r="B9" s="23" t="str">
        <f>"E"&amp;Tableau4[[#This Row],[ID]]</f>
        <v>E8</v>
      </c>
      <c r="C9" s="22">
        <v>45993</v>
      </c>
      <c r="D9" t="s">
        <v>745</v>
      </c>
    </row>
    <row r="10" spans="1:4">
      <c r="A10">
        <v>9</v>
      </c>
      <c r="B10" s="23" t="str">
        <f>"E"&amp;Tableau4[[#This Row],[ID]]</f>
        <v>E9</v>
      </c>
      <c r="C10" s="22">
        <v>46029</v>
      </c>
      <c r="D10" t="s">
        <v>748</v>
      </c>
    </row>
    <row r="11" spans="1:4">
      <c r="A11">
        <v>10</v>
      </c>
      <c r="B11" s="23" t="str">
        <f>"E"&amp;Tableau4[[#This Row],[ID]]</f>
        <v>E10</v>
      </c>
      <c r="C11" s="22">
        <v>46045</v>
      </c>
      <c r="D11" t="s">
        <v>749</v>
      </c>
    </row>
    <row r="12" spans="1:4">
      <c r="A12">
        <v>11</v>
      </c>
      <c r="B12" s="23" t="str">
        <f>"E"&amp;Tableau4[[#This Row],[ID]]</f>
        <v>E11</v>
      </c>
      <c r="C12" s="22">
        <v>46154</v>
      </c>
      <c r="D12" t="s">
        <v>751</v>
      </c>
    </row>
    <row r="13" spans="1:4">
      <c r="A13">
        <v>12</v>
      </c>
      <c r="B13" s="23" t="str">
        <f>"E"&amp;Tableau4[[#This Row],[ID]]</f>
        <v>E12</v>
      </c>
      <c r="C13" s="22">
        <v>46204</v>
      </c>
      <c r="D13" t="s">
        <v>753</v>
      </c>
    </row>
    <row r="14" spans="1:4">
      <c r="A14">
        <v>13</v>
      </c>
      <c r="B14" s="23" t="str">
        <f>"E"&amp;Tableau4[[#This Row],[ID]]</f>
        <v>E13</v>
      </c>
      <c r="C14" s="22">
        <v>46212</v>
      </c>
      <c r="D14" t="s">
        <v>754</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A7" sqref="A7"/>
    </sheetView>
  </sheetViews>
  <sheetFormatPr baseColWidth="10" defaultRowHeight="14.25"/>
  <cols>
    <col min="1" max="1" width="16.125" customWidth="1"/>
    <col min="2" max="2" width="12.875" customWidth="1"/>
    <col min="3" max="3" width="10.875" customWidth="1"/>
    <col min="4" max="4" width="10.25" customWidth="1"/>
  </cols>
  <sheetData>
    <row r="3" spans="1:2">
      <c r="A3" t="s">
        <v>1598</v>
      </c>
      <c r="B3" t="s">
        <v>1599</v>
      </c>
    </row>
    <row r="4" spans="1:2">
      <c r="B4" t="s">
        <v>1600</v>
      </c>
    </row>
    <row r="7" spans="1:2">
      <c r="A7" s="232" t="s">
        <v>1881</v>
      </c>
      <c r="B7" s="233" t="s">
        <v>1882</v>
      </c>
    </row>
    <row r="8" spans="1:2">
      <c r="B8" s="232"/>
    </row>
    <row r="12" spans="1:2">
      <c r="A12" t="s">
        <v>1534</v>
      </c>
      <c r="B12" t="s">
        <v>1433</v>
      </c>
    </row>
    <row r="13" spans="1:2">
      <c r="B13" t="s">
        <v>1567</v>
      </c>
    </row>
    <row r="18" spans="1:2">
      <c r="A18" t="s">
        <v>1533</v>
      </c>
      <c r="B18" t="s">
        <v>1532</v>
      </c>
    </row>
    <row r="19" spans="1:2">
      <c r="B19" t="s">
        <v>1510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1" t="s">
        <v>1511</v>
      </c>
      <c r="C1" s="241"/>
      <c r="D1" s="26" t="s">
        <v>1588</v>
      </c>
      <c r="E1" s="241" t="s">
        <v>1528</v>
      </c>
      <c r="F1" s="241"/>
      <c r="G1" s="242" t="s">
        <v>1528</v>
      </c>
      <c r="H1" s="242"/>
      <c r="I1" s="242"/>
      <c r="J1" s="242"/>
    </row>
    <row r="2" spans="1:10" s="26" customFormat="1" ht="15" customHeight="1">
      <c r="G2" s="27" t="s">
        <v>1523</v>
      </c>
      <c r="H2" s="27" t="s">
        <v>1526</v>
      </c>
      <c r="I2" s="27" t="s">
        <v>1524</v>
      </c>
      <c r="J2" s="27" t="s">
        <v>1525</v>
      </c>
    </row>
    <row r="3" spans="1:10" s="26" customFormat="1" ht="15" customHeight="1">
      <c r="G3" s="27"/>
      <c r="H3" s="27"/>
      <c r="I3" s="27"/>
      <c r="J3" s="27"/>
    </row>
    <row r="4" spans="1:10" s="26" customFormat="1" ht="15" customHeight="1">
      <c r="A4" s="26" t="s">
        <v>1589</v>
      </c>
      <c r="B4" s="26" t="s">
        <v>1516</v>
      </c>
      <c r="C4" s="26" t="s">
        <v>1531</v>
      </c>
      <c r="D4" s="26" t="s">
        <v>1531</v>
      </c>
      <c r="E4" s="26" t="s">
        <v>1516</v>
      </c>
      <c r="F4" s="26" t="s">
        <v>1531</v>
      </c>
      <c r="G4" s="27"/>
      <c r="H4" s="27"/>
      <c r="I4" s="27"/>
      <c r="J4" s="27"/>
    </row>
    <row r="5" spans="1:10" s="26" customFormat="1" ht="15" customHeight="1">
      <c r="A5" s="26" t="s">
        <v>1590</v>
      </c>
      <c r="G5" s="27"/>
      <c r="H5" s="27"/>
      <c r="I5" s="27"/>
      <c r="J5" s="27"/>
    </row>
    <row r="6" spans="1:10" s="26" customFormat="1" ht="15" customHeight="1">
      <c r="A6" s="27" t="s">
        <v>1417</v>
      </c>
      <c r="B6" s="27"/>
      <c r="C6" s="27"/>
      <c r="D6" s="27"/>
      <c r="E6" s="27"/>
      <c r="F6" s="27"/>
      <c r="G6" s="27" t="s">
        <v>1531</v>
      </c>
      <c r="H6" s="27"/>
      <c r="I6" s="27"/>
      <c r="J6" s="27"/>
    </row>
    <row r="7" spans="1:10" s="26" customFormat="1" ht="15" customHeight="1">
      <c r="A7" s="27" t="s">
        <v>706</v>
      </c>
      <c r="B7" s="27"/>
      <c r="C7" s="27"/>
      <c r="D7" s="27"/>
      <c r="E7" s="27"/>
      <c r="F7" s="27"/>
      <c r="G7" s="27"/>
      <c r="H7" s="27" t="s">
        <v>1531</v>
      </c>
      <c r="I7" s="27"/>
      <c r="J7" s="27"/>
    </row>
    <row r="8" spans="1:10" s="26" customFormat="1" ht="15" customHeight="1">
      <c r="A8" s="27" t="s">
        <v>1418</v>
      </c>
      <c r="B8" s="27"/>
      <c r="C8" s="27"/>
      <c r="D8" s="27"/>
      <c r="E8" s="27"/>
      <c r="F8" s="27"/>
      <c r="G8" s="27"/>
      <c r="H8" s="27"/>
      <c r="I8" s="27" t="s">
        <v>1531</v>
      </c>
      <c r="J8" s="27"/>
    </row>
    <row r="9" spans="1:10" s="26" customFormat="1" ht="15" customHeight="1">
      <c r="A9" s="27" t="s">
        <v>707</v>
      </c>
      <c r="B9" s="27"/>
      <c r="C9" s="27"/>
      <c r="D9" s="27"/>
      <c r="E9" s="27"/>
      <c r="F9" s="27"/>
      <c r="G9" s="27"/>
      <c r="H9" s="27"/>
      <c r="I9" s="27"/>
      <c r="J9" s="27" t="s">
        <v>1531</v>
      </c>
    </row>
    <row r="10" spans="1:10" s="26" customFormat="1" ht="15" customHeight="1"/>
    <row r="11" spans="1:10" s="26" customFormat="1" ht="15" customHeight="1">
      <c r="A11" s="26" t="s">
        <v>1496</v>
      </c>
    </row>
    <row r="12" spans="1:10">
      <c r="A12" t="s">
        <v>1425</v>
      </c>
      <c r="B12" t="s">
        <v>1531</v>
      </c>
      <c r="D12" t="s">
        <v>1516</v>
      </c>
      <c r="E12" t="s">
        <v>1512</v>
      </c>
      <c r="F12" t="s">
        <v>1517</v>
      </c>
    </row>
    <row r="13" spans="1:10">
      <c r="A13" t="s">
        <v>1427</v>
      </c>
      <c r="B13" t="s">
        <v>1531</v>
      </c>
      <c r="D13" t="s">
        <v>1516</v>
      </c>
      <c r="E13" t="s">
        <v>1513</v>
      </c>
      <c r="F13" t="s">
        <v>1517</v>
      </c>
    </row>
    <row r="14" spans="1:10">
      <c r="A14" t="s">
        <v>1575</v>
      </c>
      <c r="D14" t="s">
        <v>1516</v>
      </c>
      <c r="E14" t="s">
        <v>1512</v>
      </c>
      <c r="F14" t="s">
        <v>1512</v>
      </c>
    </row>
    <row r="15" spans="1:10">
      <c r="A15" t="s">
        <v>1576</v>
      </c>
      <c r="D15" t="s">
        <v>1516</v>
      </c>
      <c r="E15" t="s">
        <v>1512</v>
      </c>
      <c r="F15" t="s">
        <v>1512</v>
      </c>
    </row>
    <row r="16" spans="1:10">
      <c r="A16" t="s">
        <v>1578</v>
      </c>
      <c r="D16" t="s">
        <v>1516</v>
      </c>
      <c r="E16" t="s">
        <v>1512</v>
      </c>
      <c r="F16" t="s">
        <v>1512</v>
      </c>
    </row>
    <row r="17" spans="1:6">
      <c r="A17" t="s">
        <v>1426</v>
      </c>
      <c r="D17" t="s">
        <v>1516</v>
      </c>
      <c r="E17" t="s">
        <v>1512</v>
      </c>
      <c r="F17" t="s">
        <v>1512</v>
      </c>
    </row>
    <row r="18" spans="1:6">
      <c r="A18" t="s">
        <v>1583</v>
      </c>
      <c r="D18" t="s">
        <v>1516</v>
      </c>
      <c r="E18" t="s">
        <v>1513</v>
      </c>
      <c r="F18" t="s">
        <v>1513</v>
      </c>
    </row>
    <row r="19" spans="1:6">
      <c r="A19" t="s">
        <v>755</v>
      </c>
      <c r="D19" t="s">
        <v>1516</v>
      </c>
      <c r="E19" t="s">
        <v>1513</v>
      </c>
      <c r="F19" t="s">
        <v>1513</v>
      </c>
    </row>
    <row r="20" spans="1:6">
      <c r="A20" t="s">
        <v>1586</v>
      </c>
      <c r="D20" t="s">
        <v>1516</v>
      </c>
      <c r="E20" t="s">
        <v>1587</v>
      </c>
      <c r="F20" t="s">
        <v>1587</v>
      </c>
    </row>
    <row r="21" spans="1:6">
      <c r="A21" t="s">
        <v>1417</v>
      </c>
      <c r="D21" t="s">
        <v>1519</v>
      </c>
      <c r="E21" t="s">
        <v>1515</v>
      </c>
      <c r="F21" t="s">
        <v>1428</v>
      </c>
    </row>
    <row r="22" spans="1:6">
      <c r="A22" t="s">
        <v>706</v>
      </c>
      <c r="D22" t="s">
        <v>1516</v>
      </c>
      <c r="E22" t="s">
        <v>1514</v>
      </c>
      <c r="F22" t="s">
        <v>1428</v>
      </c>
    </row>
    <row r="23" spans="1:6">
      <c r="A23" t="s">
        <v>1418</v>
      </c>
      <c r="D23" t="s">
        <v>1516</v>
      </c>
      <c r="E23" t="s">
        <v>1514</v>
      </c>
      <c r="F23" t="s">
        <v>1428</v>
      </c>
    </row>
    <row r="24" spans="1:6">
      <c r="A24" t="s">
        <v>707</v>
      </c>
      <c r="D24" t="s">
        <v>1516</v>
      </c>
      <c r="E24" t="s">
        <v>1514</v>
      </c>
      <c r="F24" t="s">
        <v>1428</v>
      </c>
    </row>
    <row r="25" spans="1:6">
      <c r="A25" t="s">
        <v>1415</v>
      </c>
      <c r="B25" t="s">
        <v>1527</v>
      </c>
      <c r="C25" t="s">
        <v>1527</v>
      </c>
      <c r="D25" t="s">
        <v>1521</v>
      </c>
      <c r="E25" t="s">
        <v>1513</v>
      </c>
      <c r="F25" t="s">
        <v>1520</v>
      </c>
    </row>
    <row r="26" spans="1:6">
      <c r="A26" t="s">
        <v>1428</v>
      </c>
      <c r="B26" t="s">
        <v>1529</v>
      </c>
      <c r="C26" t="s">
        <v>1529</v>
      </c>
      <c r="D26" t="s">
        <v>1529</v>
      </c>
      <c r="E26" t="s">
        <v>1529</v>
      </c>
      <c r="F26" t="s">
        <v>1529</v>
      </c>
    </row>
    <row r="27" spans="1:6">
      <c r="A27" t="s">
        <v>1429</v>
      </c>
      <c r="B27" t="s">
        <v>1514</v>
      </c>
      <c r="C27" t="s">
        <v>1514</v>
      </c>
      <c r="D27" t="s">
        <v>1530</v>
      </c>
      <c r="E27" t="s">
        <v>1530</v>
      </c>
      <c r="F27" t="s">
        <v>1530</v>
      </c>
    </row>
    <row r="30" spans="1:6" ht="42.75">
      <c r="F30" s="26" t="s">
        <v>1518</v>
      </c>
    </row>
    <row r="32" spans="1:6">
      <c r="F32" t="s">
        <v>1522</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21"/>
  <sheetViews>
    <sheetView topLeftCell="A52" workbookViewId="0">
      <selection activeCell="C67" sqref="C67"/>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1790</v>
      </c>
    </row>
    <row r="3" spans="1:11" ht="15.75">
      <c r="D3" s="188" t="s">
        <v>1791</v>
      </c>
    </row>
    <row r="4" spans="1:11" ht="15.75">
      <c r="D4" s="188" t="s">
        <v>1792</v>
      </c>
    </row>
    <row r="6" spans="1:11" ht="15.75">
      <c r="D6" s="188" t="s">
        <v>1793</v>
      </c>
    </row>
    <row r="8" spans="1:11" ht="23.25">
      <c r="A8" s="195" t="s">
        <v>1794</v>
      </c>
    </row>
    <row r="10" spans="1:11" ht="15.75">
      <c r="D10" s="188" t="s">
        <v>1795</v>
      </c>
      <c r="E10" s="193"/>
      <c r="H10" s="193"/>
      <c r="J10" s="193"/>
    </row>
    <row r="11" spans="1:11" ht="18.75" thickBot="1">
      <c r="C11" s="194" t="s">
        <v>1866</v>
      </c>
      <c r="E11" s="193"/>
      <c r="H11" s="193"/>
      <c r="J11" s="193"/>
    </row>
    <row r="12" spans="1:11" ht="15">
      <c r="C12" s="215" t="s">
        <v>1434</v>
      </c>
      <c r="D12" s="216" t="s">
        <v>1796</v>
      </c>
      <c r="E12" s="217" t="s">
        <v>1861</v>
      </c>
      <c r="F12" s="216" t="s">
        <v>1499</v>
      </c>
      <c r="G12" s="216" t="s">
        <v>1797</v>
      </c>
      <c r="H12" s="217" t="s">
        <v>1497</v>
      </c>
      <c r="I12" s="216" t="s">
        <v>1494</v>
      </c>
      <c r="J12" s="216" t="s">
        <v>1495</v>
      </c>
      <c r="K12" s="218" t="s">
        <v>1496</v>
      </c>
    </row>
    <row r="13" spans="1:11" ht="15.75">
      <c r="C13" s="203" t="s">
        <v>734</v>
      </c>
      <c r="D13" s="197" t="s">
        <v>1435</v>
      </c>
      <c r="E13" s="199" t="s">
        <v>1443</v>
      </c>
      <c r="F13" s="1"/>
      <c r="G13" s="198" t="s">
        <v>1798</v>
      </c>
      <c r="H13" s="200" t="s">
        <v>1026</v>
      </c>
      <c r="I13" s="199" t="s">
        <v>213</v>
      </c>
      <c r="J13" s="1"/>
      <c r="K13" s="204"/>
    </row>
    <row r="14" spans="1:11" ht="15.75">
      <c r="C14" s="203" t="s">
        <v>734</v>
      </c>
      <c r="D14" s="197" t="s">
        <v>1437</v>
      </c>
      <c r="E14" s="199" t="s">
        <v>1436</v>
      </c>
      <c r="F14" s="1"/>
      <c r="G14" s="198" t="s">
        <v>1799</v>
      </c>
      <c r="H14" s="200" t="s">
        <v>1026</v>
      </c>
      <c r="I14" s="199" t="s">
        <v>213</v>
      </c>
      <c r="J14" s="1"/>
      <c r="K14" s="204"/>
    </row>
    <row r="15" spans="1:11" ht="15.75">
      <c r="C15" s="203" t="s">
        <v>1438</v>
      </c>
      <c r="D15" s="197" t="s">
        <v>1439</v>
      </c>
      <c r="E15" s="199" t="s">
        <v>1444</v>
      </c>
      <c r="F15" s="1"/>
      <c r="G15" s="198" t="s">
        <v>1800</v>
      </c>
      <c r="H15" s="200" t="s">
        <v>1026</v>
      </c>
      <c r="I15" s="199" t="s">
        <v>213</v>
      </c>
      <c r="J15" s="1"/>
      <c r="K15" s="204"/>
    </row>
    <row r="16" spans="1:11" ht="15.75">
      <c r="C16" s="203" t="s">
        <v>1438</v>
      </c>
      <c r="D16" s="197" t="s">
        <v>1580</v>
      </c>
      <c r="E16" s="199" t="s">
        <v>1581</v>
      </c>
      <c r="F16" s="1"/>
      <c r="G16" s="198" t="s">
        <v>1801</v>
      </c>
      <c r="H16" s="201" t="s">
        <v>1026</v>
      </c>
      <c r="I16" s="199" t="s">
        <v>213</v>
      </c>
      <c r="J16" s="1"/>
      <c r="K16" s="204"/>
    </row>
    <row r="17" spans="3:11" ht="15.75">
      <c r="C17" s="203" t="s">
        <v>1440</v>
      </c>
      <c r="D17" s="197" t="s">
        <v>1431</v>
      </c>
      <c r="E17" s="199" t="s">
        <v>1445</v>
      </c>
      <c r="F17" s="1"/>
      <c r="G17" s="198" t="s">
        <v>1802</v>
      </c>
      <c r="H17" s="200" t="s">
        <v>1026</v>
      </c>
      <c r="I17" s="199" t="s">
        <v>213</v>
      </c>
      <c r="J17" s="1"/>
      <c r="K17" s="204"/>
    </row>
    <row r="18" spans="3:11" ht="15.75">
      <c r="C18" s="203" t="s">
        <v>1441</v>
      </c>
      <c r="D18" s="197" t="s">
        <v>1432</v>
      </c>
      <c r="E18" s="199" t="s">
        <v>1446</v>
      </c>
      <c r="F18" s="1"/>
      <c r="G18" s="198" t="s">
        <v>1803</v>
      </c>
      <c r="H18" s="200" t="s">
        <v>1026</v>
      </c>
      <c r="I18" s="199" t="s">
        <v>213</v>
      </c>
      <c r="J18" s="1"/>
      <c r="K18" s="204"/>
    </row>
    <row r="19" spans="3:11" ht="16.5" thickBot="1">
      <c r="C19" s="205" t="s">
        <v>1442</v>
      </c>
      <c r="D19" s="206" t="s">
        <v>1430</v>
      </c>
      <c r="E19" s="207" t="s">
        <v>1447</v>
      </c>
      <c r="F19" s="208"/>
      <c r="G19" s="209" t="s">
        <v>1804</v>
      </c>
      <c r="H19" s="210" t="s">
        <v>1026</v>
      </c>
      <c r="I19" s="207" t="s">
        <v>213</v>
      </c>
      <c r="J19" s="208"/>
      <c r="K19" s="211"/>
    </row>
    <row r="20" spans="3:11">
      <c r="C20" s="193"/>
      <c r="E20" s="193"/>
      <c r="H20" s="193"/>
    </row>
    <row r="21" spans="3:11">
      <c r="C21" s="193"/>
      <c r="E21" s="193"/>
      <c r="H21" s="193"/>
    </row>
    <row r="22" spans="3:11" ht="15.75">
      <c r="C22" s="193"/>
      <c r="D22" s="188" t="s">
        <v>1805</v>
      </c>
      <c r="E22" s="193"/>
      <c r="H22" s="193"/>
    </row>
    <row r="23" spans="3:11" ht="18.75" thickBot="1">
      <c r="C23" s="194" t="s">
        <v>1865</v>
      </c>
      <c r="E23" s="193"/>
      <c r="H23" s="193"/>
    </row>
    <row r="24" spans="3:11" ht="15">
      <c r="C24" s="215" t="s">
        <v>1434</v>
      </c>
      <c r="D24" s="216" t="s">
        <v>1796</v>
      </c>
      <c r="E24" s="217" t="s">
        <v>1861</v>
      </c>
      <c r="F24" s="216" t="s">
        <v>1499</v>
      </c>
      <c r="G24" s="216" t="s">
        <v>1797</v>
      </c>
      <c r="H24" s="217" t="s">
        <v>1497</v>
      </c>
      <c r="I24" s="216" t="s">
        <v>1494</v>
      </c>
      <c r="J24" s="216" t="s">
        <v>1495</v>
      </c>
      <c r="K24" s="218" t="s">
        <v>1496</v>
      </c>
    </row>
    <row r="25" spans="3:11" ht="15.75">
      <c r="C25" s="203" t="s">
        <v>734</v>
      </c>
      <c r="D25" s="197" t="s">
        <v>1435</v>
      </c>
      <c r="E25" s="199" t="s">
        <v>1443</v>
      </c>
      <c r="F25" s="1"/>
      <c r="G25" s="198" t="s">
        <v>1806</v>
      </c>
      <c r="H25" s="200" t="s">
        <v>1026</v>
      </c>
      <c r="I25" s="1"/>
      <c r="J25" s="1" t="s">
        <v>213</v>
      </c>
      <c r="K25" s="204"/>
    </row>
    <row r="26" spans="3:11" ht="15.75">
      <c r="C26" s="203" t="s">
        <v>734</v>
      </c>
      <c r="D26" s="197" t="s">
        <v>1437</v>
      </c>
      <c r="E26" s="199" t="s">
        <v>1436</v>
      </c>
      <c r="F26" s="1"/>
      <c r="G26" s="198" t="s">
        <v>1807</v>
      </c>
      <c r="H26" s="200" t="s">
        <v>1026</v>
      </c>
      <c r="I26" s="1"/>
      <c r="J26" s="1" t="s">
        <v>213</v>
      </c>
      <c r="K26" s="204"/>
    </row>
    <row r="27" spans="3:11" ht="15.75">
      <c r="C27" s="203" t="s">
        <v>1438</v>
      </c>
      <c r="D27" s="197" t="s">
        <v>1439</v>
      </c>
      <c r="E27" s="199" t="s">
        <v>1444</v>
      </c>
      <c r="F27" s="1"/>
      <c r="G27" s="198" t="s">
        <v>1800</v>
      </c>
      <c r="H27" s="200" t="s">
        <v>1026</v>
      </c>
      <c r="I27" s="1"/>
      <c r="J27" s="1" t="s">
        <v>213</v>
      </c>
      <c r="K27" s="204"/>
    </row>
    <row r="28" spans="3:11" ht="15.75">
      <c r="C28" s="203" t="s">
        <v>334</v>
      </c>
      <c r="D28" s="197" t="s">
        <v>1449</v>
      </c>
      <c r="E28" s="199" t="s">
        <v>1448</v>
      </c>
      <c r="F28" s="1"/>
      <c r="G28" s="198" t="s">
        <v>1808</v>
      </c>
      <c r="H28" s="200" t="s">
        <v>1026</v>
      </c>
      <c r="I28" s="1"/>
      <c r="J28" s="1" t="s">
        <v>213</v>
      </c>
      <c r="K28" s="204"/>
    </row>
    <row r="29" spans="3:11" ht="15.75">
      <c r="C29" s="212" t="s">
        <v>334</v>
      </c>
      <c r="D29" s="197" t="s">
        <v>1451</v>
      </c>
      <c r="E29" s="202" t="s">
        <v>1450</v>
      </c>
      <c r="F29" s="1"/>
      <c r="G29" s="1"/>
      <c r="H29" s="199" t="s">
        <v>1498</v>
      </c>
      <c r="I29" s="1"/>
      <c r="J29" s="1" t="s">
        <v>213</v>
      </c>
      <c r="K29" s="204"/>
    </row>
    <row r="30" spans="3:11" ht="48" thickBot="1">
      <c r="C30" s="205" t="s">
        <v>1440</v>
      </c>
      <c r="D30" s="206" t="s">
        <v>1502</v>
      </c>
      <c r="E30" s="219" t="s">
        <v>1452</v>
      </c>
      <c r="F30" s="208"/>
      <c r="G30" s="209" t="s">
        <v>1809</v>
      </c>
      <c r="H30" s="210" t="s">
        <v>1026</v>
      </c>
      <c r="I30" s="208"/>
      <c r="J30" s="208" t="s">
        <v>213</v>
      </c>
      <c r="K30" s="211"/>
    </row>
    <row r="31" spans="3:11">
      <c r="C31" s="193"/>
      <c r="D31" s="188"/>
      <c r="E31" s="193"/>
      <c r="H31" s="193"/>
    </row>
    <row r="32" spans="3:11">
      <c r="C32" s="193"/>
      <c r="E32" s="193"/>
      <c r="H32" s="193"/>
    </row>
    <row r="33" spans="1:11" ht="23.25">
      <c r="A33" s="195" t="s">
        <v>1867</v>
      </c>
      <c r="C33" s="193"/>
      <c r="E33" s="193"/>
      <c r="H33" s="193"/>
    </row>
    <row r="34" spans="1:11">
      <c r="C34" s="193"/>
      <c r="E34" s="193"/>
      <c r="H34" s="193"/>
    </row>
    <row r="35" spans="1:11" s="192" customFormat="1" ht="15.75">
      <c r="C35" s="193"/>
      <c r="D35" s="192" t="s">
        <v>1874</v>
      </c>
      <c r="E35" s="193"/>
      <c r="H35" s="193"/>
    </row>
    <row r="36" spans="1:11" ht="15.75">
      <c r="C36" s="193"/>
      <c r="D36" s="192" t="s">
        <v>1875</v>
      </c>
      <c r="E36" s="193"/>
      <c r="H36" s="193"/>
    </row>
    <row r="37" spans="1:11" ht="18.75" thickBot="1">
      <c r="C37" s="194" t="s">
        <v>1876</v>
      </c>
      <c r="E37" s="193"/>
      <c r="H37" s="193"/>
    </row>
    <row r="38" spans="1:11" ht="15">
      <c r="C38" s="215" t="s">
        <v>1434</v>
      </c>
      <c r="D38" s="216" t="s">
        <v>1796</v>
      </c>
      <c r="E38" s="217" t="s">
        <v>1861</v>
      </c>
      <c r="F38" s="216" t="s">
        <v>1499</v>
      </c>
      <c r="G38" s="216" t="s">
        <v>1797</v>
      </c>
      <c r="H38" s="217" t="s">
        <v>1497</v>
      </c>
      <c r="I38" s="216" t="s">
        <v>1494</v>
      </c>
      <c r="J38" s="216" t="s">
        <v>1495</v>
      </c>
      <c r="K38" s="218" t="s">
        <v>1496</v>
      </c>
    </row>
    <row r="39" spans="1:11" ht="15.75">
      <c r="C39" s="203" t="s">
        <v>1453</v>
      </c>
      <c r="D39" s="197" t="s">
        <v>1455</v>
      </c>
      <c r="E39" s="199" t="s">
        <v>1454</v>
      </c>
      <c r="F39" s="198" t="s">
        <v>1810</v>
      </c>
      <c r="G39" s="198" t="s">
        <v>1811</v>
      </c>
      <c r="H39" s="200" t="s">
        <v>1026</v>
      </c>
      <c r="I39" s="1"/>
      <c r="J39" s="1"/>
      <c r="K39" s="204" t="s">
        <v>213</v>
      </c>
    </row>
    <row r="40" spans="1:11" ht="15.75">
      <c r="C40" s="203" t="s">
        <v>1453</v>
      </c>
      <c r="D40" s="197" t="s">
        <v>1457</v>
      </c>
      <c r="E40" s="199" t="s">
        <v>1456</v>
      </c>
      <c r="F40" s="198" t="s">
        <v>1810</v>
      </c>
      <c r="G40" s="198" t="s">
        <v>1812</v>
      </c>
      <c r="H40" s="200" t="s">
        <v>1026</v>
      </c>
      <c r="I40" s="1"/>
      <c r="J40" s="1"/>
      <c r="K40" s="204" t="s">
        <v>213</v>
      </c>
    </row>
    <row r="41" spans="1:11" ht="15.75">
      <c r="C41" s="203" t="s">
        <v>1458</v>
      </c>
      <c r="D41" s="197" t="s">
        <v>1460</v>
      </c>
      <c r="E41" s="199" t="s">
        <v>1459</v>
      </c>
      <c r="F41" s="198" t="s">
        <v>1810</v>
      </c>
      <c r="G41" s="198" t="s">
        <v>1813</v>
      </c>
      <c r="H41" s="200" t="s">
        <v>1026</v>
      </c>
      <c r="I41" s="1"/>
      <c r="J41" s="1"/>
      <c r="K41" s="204" t="s">
        <v>213</v>
      </c>
    </row>
    <row r="42" spans="1:11" ht="15.75">
      <c r="C42" s="203" t="s">
        <v>1458</v>
      </c>
      <c r="D42" s="197" t="s">
        <v>1462</v>
      </c>
      <c r="E42" s="199" t="s">
        <v>1461</v>
      </c>
      <c r="F42" s="198" t="s">
        <v>1810</v>
      </c>
      <c r="G42" s="198" t="s">
        <v>1814</v>
      </c>
      <c r="H42" s="200" t="s">
        <v>1026</v>
      </c>
      <c r="I42" s="1"/>
      <c r="J42" s="1"/>
      <c r="K42" s="204" t="s">
        <v>213</v>
      </c>
    </row>
    <row r="43" spans="1:11" ht="15.75">
      <c r="C43" s="203" t="s">
        <v>1463</v>
      </c>
      <c r="D43" s="197" t="s">
        <v>1465</v>
      </c>
      <c r="E43" s="199" t="s">
        <v>1464</v>
      </c>
      <c r="F43" s="198" t="s">
        <v>1810</v>
      </c>
      <c r="G43" s="198" t="s">
        <v>1815</v>
      </c>
      <c r="H43" s="200" t="s">
        <v>1026</v>
      </c>
      <c r="I43" s="1"/>
      <c r="J43" s="1"/>
      <c r="K43" s="204" t="s">
        <v>213</v>
      </c>
    </row>
    <row r="44" spans="1:11" ht="31.5">
      <c r="C44" s="203" t="s">
        <v>1438</v>
      </c>
      <c r="D44" s="197" t="s">
        <v>1467</v>
      </c>
      <c r="E44" s="199" t="s">
        <v>1466</v>
      </c>
      <c r="F44" s="198" t="s">
        <v>1810</v>
      </c>
      <c r="G44" s="198" t="s">
        <v>1816</v>
      </c>
      <c r="H44" s="200" t="s">
        <v>1026</v>
      </c>
      <c r="I44" s="1"/>
      <c r="J44" s="1"/>
      <c r="K44" s="204" t="s">
        <v>213</v>
      </c>
    </row>
    <row r="45" spans="1:11" ht="15.75">
      <c r="C45" s="203" t="s">
        <v>1428</v>
      </c>
      <c r="D45" s="197" t="s">
        <v>1469</v>
      </c>
      <c r="E45" s="199" t="s">
        <v>1468</v>
      </c>
      <c r="F45" s="198" t="s">
        <v>1810</v>
      </c>
      <c r="G45" s="198" t="s">
        <v>1817</v>
      </c>
      <c r="H45" s="200" t="s">
        <v>1026</v>
      </c>
      <c r="I45" s="1"/>
      <c r="J45" s="1"/>
      <c r="K45" s="204" t="s">
        <v>213</v>
      </c>
    </row>
    <row r="46" spans="1:11" ht="15.75">
      <c r="C46" s="203" t="s">
        <v>1470</v>
      </c>
      <c r="D46" s="197" t="s">
        <v>1472</v>
      </c>
      <c r="E46" s="199" t="s">
        <v>1471</v>
      </c>
      <c r="F46" s="198" t="s">
        <v>1818</v>
      </c>
      <c r="G46" s="198" t="s">
        <v>1819</v>
      </c>
      <c r="H46" s="200" t="s">
        <v>1026</v>
      </c>
      <c r="I46" s="1"/>
      <c r="J46" s="1"/>
      <c r="K46" s="204" t="s">
        <v>213</v>
      </c>
    </row>
    <row r="47" spans="1:11" ht="15.75">
      <c r="C47" s="203" t="s">
        <v>1473</v>
      </c>
      <c r="D47" s="197" t="s">
        <v>1475</v>
      </c>
      <c r="E47" s="199" t="s">
        <v>1474</v>
      </c>
      <c r="F47" s="198" t="s">
        <v>1818</v>
      </c>
      <c r="G47" s="198" t="s">
        <v>1820</v>
      </c>
      <c r="H47" s="200" t="s">
        <v>1026</v>
      </c>
      <c r="I47" s="1"/>
      <c r="J47" s="1"/>
      <c r="K47" s="204" t="s">
        <v>213</v>
      </c>
    </row>
    <row r="48" spans="1:11" ht="15.75">
      <c r="C48" s="203" t="s">
        <v>1476</v>
      </c>
      <c r="D48" s="197" t="s">
        <v>1478</v>
      </c>
      <c r="E48" s="199" t="s">
        <v>1477</v>
      </c>
      <c r="F48" s="198" t="s">
        <v>1818</v>
      </c>
      <c r="G48" s="198" t="s">
        <v>1821</v>
      </c>
      <c r="H48" s="200" t="s">
        <v>1026</v>
      </c>
      <c r="I48" s="1"/>
      <c r="J48" s="1"/>
      <c r="K48" s="204" t="s">
        <v>213</v>
      </c>
    </row>
    <row r="49" spans="1:11" ht="15.75">
      <c r="C49" s="203" t="s">
        <v>1479</v>
      </c>
      <c r="D49" s="197" t="s">
        <v>1481</v>
      </c>
      <c r="E49" s="199" t="s">
        <v>1480</v>
      </c>
      <c r="F49" s="198" t="s">
        <v>1818</v>
      </c>
      <c r="G49" s="198" t="s">
        <v>1822</v>
      </c>
      <c r="H49" s="200" t="s">
        <v>1026</v>
      </c>
      <c r="I49" s="1"/>
      <c r="J49" s="1"/>
      <c r="K49" s="204" t="s">
        <v>213</v>
      </c>
    </row>
    <row r="50" spans="1:11" ht="30">
      <c r="C50" s="203" t="s">
        <v>1482</v>
      </c>
      <c r="D50" s="197" t="s">
        <v>1502</v>
      </c>
      <c r="E50" s="199" t="s">
        <v>1503</v>
      </c>
      <c r="F50" s="198" t="s">
        <v>1818</v>
      </c>
      <c r="G50" s="198" t="s">
        <v>1823</v>
      </c>
      <c r="H50" s="200" t="s">
        <v>1026</v>
      </c>
      <c r="I50" s="1"/>
      <c r="J50" s="1"/>
      <c r="K50" s="204" t="s">
        <v>213</v>
      </c>
    </row>
    <row r="51" spans="1:11" ht="30">
      <c r="C51" s="203" t="s">
        <v>1483</v>
      </c>
      <c r="D51" s="197" t="s">
        <v>1504</v>
      </c>
      <c r="E51" s="199" t="s">
        <v>1505</v>
      </c>
      <c r="F51" s="198" t="s">
        <v>1818</v>
      </c>
      <c r="G51" s="198" t="s">
        <v>1824</v>
      </c>
      <c r="H51" s="200" t="s">
        <v>1026</v>
      </c>
      <c r="I51" s="1"/>
      <c r="J51" s="1"/>
      <c r="K51" s="204" t="s">
        <v>213</v>
      </c>
    </row>
    <row r="52" spans="1:11" ht="31.5">
      <c r="C52" s="203" t="s">
        <v>1470</v>
      </c>
      <c r="D52" s="197" t="s">
        <v>1485</v>
      </c>
      <c r="E52" s="199" t="s">
        <v>1484</v>
      </c>
      <c r="F52" s="198" t="s">
        <v>1818</v>
      </c>
      <c r="G52" s="198" t="s">
        <v>1825</v>
      </c>
      <c r="H52" s="200" t="s">
        <v>1026</v>
      </c>
      <c r="I52" s="1"/>
      <c r="J52" s="1"/>
      <c r="K52" s="204" t="s">
        <v>213</v>
      </c>
    </row>
    <row r="53" spans="1:11" ht="30">
      <c r="C53" s="203" t="s">
        <v>1486</v>
      </c>
      <c r="D53" s="197" t="s">
        <v>1506</v>
      </c>
      <c r="E53" s="199" t="s">
        <v>1507</v>
      </c>
      <c r="F53" s="198" t="s">
        <v>1818</v>
      </c>
      <c r="G53" s="198" t="s">
        <v>1826</v>
      </c>
      <c r="H53" s="200" t="s">
        <v>1026</v>
      </c>
      <c r="I53" s="1"/>
      <c r="J53" s="1"/>
      <c r="K53" s="204" t="s">
        <v>213</v>
      </c>
    </row>
    <row r="54" spans="1:11" ht="15.75">
      <c r="C54" s="212" t="s">
        <v>334</v>
      </c>
      <c r="D54" s="197" t="s">
        <v>1451</v>
      </c>
      <c r="E54" s="202" t="s">
        <v>1487</v>
      </c>
      <c r="F54" s="1"/>
      <c r="G54" s="1"/>
      <c r="H54" s="200"/>
      <c r="I54" s="1"/>
      <c r="J54" s="1"/>
      <c r="K54" s="204" t="s">
        <v>213</v>
      </c>
    </row>
    <row r="55" spans="1:11" ht="30">
      <c r="C55" s="203" t="s">
        <v>1488</v>
      </c>
      <c r="D55" s="197" t="s">
        <v>1508</v>
      </c>
      <c r="E55" s="199" t="s">
        <v>1509</v>
      </c>
      <c r="F55" s="198" t="s">
        <v>1818</v>
      </c>
      <c r="G55" s="198" t="s">
        <v>1827</v>
      </c>
      <c r="H55" s="200" t="s">
        <v>1026</v>
      </c>
      <c r="I55" s="1"/>
      <c r="J55" s="1"/>
      <c r="K55" s="204" t="s">
        <v>213</v>
      </c>
    </row>
    <row r="56" spans="1:11" ht="30">
      <c r="C56" s="203" t="s">
        <v>1479</v>
      </c>
      <c r="D56" s="197" t="s">
        <v>1490</v>
      </c>
      <c r="E56" s="199" t="s">
        <v>1489</v>
      </c>
      <c r="F56" s="198" t="s">
        <v>1818</v>
      </c>
      <c r="G56" s="198" t="s">
        <v>1828</v>
      </c>
      <c r="H56" s="200" t="s">
        <v>1026</v>
      </c>
      <c r="I56" s="1"/>
      <c r="J56" s="1"/>
      <c r="K56" s="204" t="s">
        <v>213</v>
      </c>
    </row>
    <row r="57" spans="1:11" ht="30.75" thickBot="1">
      <c r="C57" s="205" t="s">
        <v>1491</v>
      </c>
      <c r="D57" s="206" t="s">
        <v>1493</v>
      </c>
      <c r="E57" s="207" t="s">
        <v>1492</v>
      </c>
      <c r="F57" s="209" t="s">
        <v>1818</v>
      </c>
      <c r="G57" s="209" t="s">
        <v>1829</v>
      </c>
      <c r="H57" s="210" t="s">
        <v>1026</v>
      </c>
      <c r="I57" s="208"/>
      <c r="J57" s="208"/>
      <c r="K57" s="211" t="s">
        <v>213</v>
      </c>
    </row>
    <row r="58" spans="1:11">
      <c r="C58" s="193"/>
      <c r="E58" s="193"/>
      <c r="H58" s="193"/>
    </row>
    <row r="59" spans="1:11" ht="15.75">
      <c r="C59" s="193"/>
      <c r="D59" s="188" t="s">
        <v>1830</v>
      </c>
      <c r="E59" s="193"/>
      <c r="H59" s="193"/>
    </row>
    <row r="60" spans="1:11" s="237" customFormat="1">
      <c r="C60" s="193"/>
      <c r="E60" s="193"/>
      <c r="H60" s="193"/>
    </row>
    <row r="61" spans="1:11" s="237" customFormat="1" ht="23.25">
      <c r="A61" s="195" t="s">
        <v>1887</v>
      </c>
      <c r="C61" s="193"/>
      <c r="E61" s="193"/>
      <c r="H61" s="193"/>
    </row>
    <row r="62" spans="1:11" s="237" customFormat="1">
      <c r="C62" s="193"/>
      <c r="E62" s="193"/>
      <c r="H62" s="193"/>
    </row>
    <row r="63" spans="1:11" s="237" customFormat="1" ht="15.75">
      <c r="C63" s="193"/>
      <c r="D63" s="237" t="s">
        <v>1888</v>
      </c>
      <c r="E63" s="193"/>
      <c r="H63" s="193"/>
    </row>
    <row r="64" spans="1:11" s="237" customFormat="1">
      <c r="C64" s="193"/>
      <c r="E64" s="193"/>
      <c r="H64" s="193"/>
    </row>
    <row r="65" spans="1:11" s="237" customFormat="1" ht="18" thickBot="1">
      <c r="C65" s="194" t="s">
        <v>1889</v>
      </c>
      <c r="E65" s="193"/>
      <c r="H65" s="193"/>
    </row>
    <row r="66" spans="1:11" s="237" customFormat="1" ht="15">
      <c r="C66" s="215" t="s">
        <v>1434</v>
      </c>
      <c r="D66" s="216" t="s">
        <v>1796</v>
      </c>
      <c r="E66" s="217" t="s">
        <v>1861</v>
      </c>
      <c r="F66" s="216" t="s">
        <v>1499</v>
      </c>
      <c r="G66" s="216" t="s">
        <v>1797</v>
      </c>
      <c r="H66" s="217" t="s">
        <v>1497</v>
      </c>
      <c r="I66" s="216" t="s">
        <v>1494</v>
      </c>
      <c r="J66" s="216" t="s">
        <v>1495</v>
      </c>
      <c r="K66" s="218" t="s">
        <v>1496</v>
      </c>
    </row>
    <row r="67" spans="1:11" s="237" customFormat="1" ht="30">
      <c r="C67" s="203"/>
      <c r="D67" s="197" t="s">
        <v>1883</v>
      </c>
      <c r="E67" s="199"/>
      <c r="F67" s="1"/>
      <c r="G67" s="198"/>
      <c r="H67" s="201" t="s">
        <v>1026</v>
      </c>
      <c r="I67" s="1"/>
      <c r="J67" s="1"/>
      <c r="K67" s="204" t="s">
        <v>213</v>
      </c>
    </row>
    <row r="68" spans="1:11" s="237" customFormat="1" ht="15.75">
      <c r="C68" s="203"/>
      <c r="D68" s="197" t="s">
        <v>1890</v>
      </c>
      <c r="E68" s="199"/>
      <c r="F68" s="1"/>
      <c r="G68" s="198"/>
      <c r="H68" s="125"/>
      <c r="I68" s="1"/>
      <c r="J68" s="1"/>
      <c r="K68" s="204" t="s">
        <v>213</v>
      </c>
    </row>
    <row r="69" spans="1:11" s="237" customFormat="1">
      <c r="C69" s="193"/>
      <c r="E69" s="193"/>
      <c r="H69" s="193"/>
    </row>
    <row r="70" spans="1:11" s="237" customFormat="1">
      <c r="E70" s="193"/>
      <c r="H70" s="193"/>
    </row>
    <row r="71" spans="1:11" ht="23.25">
      <c r="A71" s="195" t="s">
        <v>1886</v>
      </c>
      <c r="E71" s="193"/>
      <c r="H71" s="193"/>
    </row>
    <row r="72" spans="1:11">
      <c r="E72" s="193"/>
      <c r="H72" s="193"/>
    </row>
    <row r="73" spans="1:11" ht="15.75">
      <c r="D73" s="188" t="s">
        <v>1831</v>
      </c>
      <c r="E73" s="193"/>
      <c r="H73" s="193"/>
    </row>
    <row r="74" spans="1:11">
      <c r="C74" s="193"/>
      <c r="E74" s="193"/>
      <c r="H74" s="193"/>
    </row>
    <row r="75" spans="1:11" ht="18.75" thickBot="1">
      <c r="C75" s="194" t="s">
        <v>1864</v>
      </c>
      <c r="E75" s="193"/>
      <c r="H75" s="193"/>
    </row>
    <row r="76" spans="1:11" ht="15">
      <c r="C76" s="215" t="s">
        <v>1434</v>
      </c>
      <c r="D76" s="216" t="s">
        <v>1796</v>
      </c>
      <c r="E76" s="217" t="s">
        <v>1861</v>
      </c>
      <c r="F76" s="216" t="s">
        <v>1499</v>
      </c>
      <c r="G76" s="216" t="s">
        <v>1797</v>
      </c>
      <c r="H76" s="217" t="s">
        <v>1497</v>
      </c>
      <c r="I76" s="216" t="s">
        <v>1494</v>
      </c>
      <c r="J76" s="216" t="s">
        <v>1495</v>
      </c>
      <c r="K76" s="218" t="s">
        <v>1496</v>
      </c>
    </row>
    <row r="77" spans="1:11" ht="61.5">
      <c r="C77" s="203"/>
      <c r="D77" s="197" t="s">
        <v>1787</v>
      </c>
      <c r="E77" s="199"/>
      <c r="F77" s="1"/>
      <c r="G77" s="198" t="s">
        <v>1868</v>
      </c>
      <c r="H77" s="201" t="s">
        <v>1026</v>
      </c>
      <c r="I77" s="1"/>
      <c r="J77" s="1"/>
      <c r="K77" s="204" t="s">
        <v>213</v>
      </c>
    </row>
    <row r="78" spans="1:11" ht="31.5">
      <c r="C78" s="203"/>
      <c r="D78" s="197" t="s">
        <v>1788</v>
      </c>
      <c r="E78" s="199"/>
      <c r="F78" s="1"/>
      <c r="G78" s="198" t="s">
        <v>1832</v>
      </c>
      <c r="H78" s="200" t="s">
        <v>1026</v>
      </c>
      <c r="I78" s="1"/>
      <c r="J78" s="1"/>
      <c r="K78" s="204" t="s">
        <v>213</v>
      </c>
    </row>
    <row r="79" spans="1:11" ht="45.75">
      <c r="C79" s="203"/>
      <c r="D79" s="197" t="s">
        <v>1789</v>
      </c>
      <c r="E79" s="199"/>
      <c r="F79" s="1"/>
      <c r="G79" s="198" t="s">
        <v>1869</v>
      </c>
      <c r="H79" s="200" t="s">
        <v>1026</v>
      </c>
      <c r="I79" s="1"/>
      <c r="J79" s="1"/>
      <c r="K79" s="204" t="s">
        <v>213</v>
      </c>
    </row>
    <row r="80" spans="1:11" ht="45.75">
      <c r="C80" s="203"/>
      <c r="D80" s="197" t="s">
        <v>1833</v>
      </c>
      <c r="E80" s="199"/>
      <c r="F80" s="1"/>
      <c r="G80" s="198" t="s">
        <v>1870</v>
      </c>
      <c r="H80" s="200" t="s">
        <v>1026</v>
      </c>
      <c r="I80" s="1"/>
      <c r="J80" s="1"/>
      <c r="K80" s="204" t="s">
        <v>213</v>
      </c>
    </row>
    <row r="81" spans="3:11" ht="45.75">
      <c r="C81" s="203"/>
      <c r="D81" s="197" t="s">
        <v>1834</v>
      </c>
      <c r="E81" s="199"/>
      <c r="F81" s="1"/>
      <c r="G81" s="198" t="s">
        <v>1871</v>
      </c>
      <c r="H81" s="200" t="s">
        <v>1026</v>
      </c>
      <c r="I81" s="1"/>
      <c r="J81" s="1"/>
      <c r="K81" s="204" t="s">
        <v>213</v>
      </c>
    </row>
    <row r="82" spans="3:11" ht="30">
      <c r="C82" s="203"/>
      <c r="D82" s="197" t="s">
        <v>1835</v>
      </c>
      <c r="E82" s="199"/>
      <c r="F82" s="1"/>
      <c r="G82" s="198" t="s">
        <v>1836</v>
      </c>
      <c r="H82" s="200" t="s">
        <v>1026</v>
      </c>
      <c r="I82" s="1"/>
      <c r="J82" s="1"/>
      <c r="K82" s="204" t="s">
        <v>213</v>
      </c>
    </row>
    <row r="83" spans="3:11" ht="62.25" thickBot="1">
      <c r="C83" s="205"/>
      <c r="D83" s="206" t="s">
        <v>1837</v>
      </c>
      <c r="E83" s="207"/>
      <c r="F83" s="208"/>
      <c r="G83" s="209" t="s">
        <v>1872</v>
      </c>
      <c r="H83" s="210" t="s">
        <v>1026</v>
      </c>
      <c r="I83" s="208"/>
      <c r="J83" s="208"/>
      <c r="K83" s="211" t="s">
        <v>213</v>
      </c>
    </row>
    <row r="84" spans="3:11">
      <c r="C84" s="193"/>
      <c r="E84" s="193"/>
      <c r="H84" s="193"/>
    </row>
    <row r="85" spans="3:11" ht="15.75">
      <c r="C85" s="193"/>
      <c r="D85" s="188" t="s">
        <v>1838</v>
      </c>
      <c r="E85" s="193"/>
      <c r="H85" s="193"/>
    </row>
    <row r="86" spans="3:11">
      <c r="C86" s="193"/>
      <c r="E86" s="193"/>
      <c r="H86" s="193"/>
    </row>
    <row r="87" spans="3:11" ht="18.75" thickBot="1">
      <c r="C87" s="194" t="s">
        <v>1862</v>
      </c>
      <c r="E87" s="193"/>
      <c r="H87" s="193"/>
    </row>
    <row r="88" spans="3:11" ht="15">
      <c r="C88" s="215" t="s">
        <v>1434</v>
      </c>
      <c r="D88" s="216" t="s">
        <v>1796</v>
      </c>
      <c r="E88" s="217" t="s">
        <v>1861</v>
      </c>
      <c r="F88" s="216" t="s">
        <v>1499</v>
      </c>
      <c r="G88" s="216" t="s">
        <v>1797</v>
      </c>
      <c r="H88" s="217" t="s">
        <v>1497</v>
      </c>
      <c r="I88" s="216" t="s">
        <v>1494</v>
      </c>
      <c r="J88" s="216" t="s">
        <v>1495</v>
      </c>
      <c r="K88" s="218" t="s">
        <v>1496</v>
      </c>
    </row>
    <row r="89" spans="3:11" ht="46.5" thickBot="1">
      <c r="C89" s="205" t="s">
        <v>1458</v>
      </c>
      <c r="D89" s="206" t="s">
        <v>1839</v>
      </c>
      <c r="E89" s="207"/>
      <c r="F89" s="208"/>
      <c r="G89" s="209" t="s">
        <v>1840</v>
      </c>
      <c r="H89" s="210" t="s">
        <v>1026</v>
      </c>
      <c r="I89" s="207" t="s">
        <v>213</v>
      </c>
      <c r="J89" s="208"/>
      <c r="K89" s="211"/>
    </row>
    <row r="91" spans="3:11" ht="15.75">
      <c r="D91" s="188" t="s">
        <v>1841</v>
      </c>
    </row>
    <row r="92" spans="3:11" ht="17.25">
      <c r="C92" s="189"/>
    </row>
    <row r="93" spans="3:11" ht="18.75" thickBot="1">
      <c r="C93" s="194" t="s">
        <v>1863</v>
      </c>
    </row>
    <row r="94" spans="3:11" ht="15">
      <c r="C94" s="215" t="s">
        <v>1434</v>
      </c>
      <c r="D94" s="216" t="s">
        <v>1796</v>
      </c>
      <c r="E94" s="217" t="s">
        <v>1861</v>
      </c>
      <c r="F94" s="216" t="s">
        <v>1499</v>
      </c>
      <c r="G94" s="216" t="s">
        <v>1797</v>
      </c>
      <c r="H94" s="217" t="s">
        <v>1497</v>
      </c>
      <c r="I94" s="216" t="s">
        <v>1494</v>
      </c>
      <c r="J94" s="216" t="s">
        <v>1495</v>
      </c>
      <c r="K94" s="218" t="s">
        <v>1496</v>
      </c>
    </row>
    <row r="95" spans="3:11" ht="90.75" thickBot="1">
      <c r="C95" s="213"/>
      <c r="D95" s="206" t="s">
        <v>1842</v>
      </c>
      <c r="E95" s="208"/>
      <c r="F95" s="208"/>
      <c r="G95" s="209" t="s">
        <v>1873</v>
      </c>
      <c r="H95" s="214"/>
      <c r="I95" s="208"/>
      <c r="J95" s="208"/>
      <c r="K95" s="211" t="s">
        <v>213</v>
      </c>
    </row>
    <row r="97" spans="1:7" ht="23.25">
      <c r="A97" s="195" t="s">
        <v>1884</v>
      </c>
    </row>
    <row r="99" spans="1:7" ht="76.5">
      <c r="D99" s="190" t="s">
        <v>1843</v>
      </c>
      <c r="F99" s="190" t="s">
        <v>1845</v>
      </c>
      <c r="G99" s="190" t="s">
        <v>1844</v>
      </c>
    </row>
    <row r="100" spans="1:7" ht="15.75">
      <c r="D100" s="191" t="s">
        <v>1846</v>
      </c>
      <c r="F100" s="26" t="s">
        <v>1848</v>
      </c>
      <c r="G100" s="26" t="s">
        <v>1847</v>
      </c>
    </row>
    <row r="101" spans="1:7" ht="15.75">
      <c r="D101" s="191" t="s">
        <v>1849</v>
      </c>
      <c r="F101" s="26" t="s">
        <v>1848</v>
      </c>
      <c r="G101" s="26" t="s">
        <v>1847</v>
      </c>
    </row>
    <row r="102" spans="1:7" ht="15.75">
      <c r="D102" s="191" t="s">
        <v>1850</v>
      </c>
      <c r="F102" s="26" t="s">
        <v>1847</v>
      </c>
      <c r="G102" s="26" t="s">
        <v>1847</v>
      </c>
    </row>
    <row r="103" spans="1:7" ht="15.75">
      <c r="D103" s="26" t="s">
        <v>1851</v>
      </c>
      <c r="F103" s="26" t="s">
        <v>1847</v>
      </c>
      <c r="G103" s="26" t="s">
        <v>1848</v>
      </c>
    </row>
    <row r="104" spans="1:7" ht="15.75">
      <c r="D104" s="191" t="s">
        <v>1852</v>
      </c>
      <c r="F104" s="26" t="s">
        <v>1847</v>
      </c>
      <c r="G104" s="26" t="s">
        <v>1848</v>
      </c>
    </row>
    <row r="105" spans="1:7" ht="15.75">
      <c r="D105" s="191" t="s">
        <v>1853</v>
      </c>
      <c r="F105" s="26" t="s">
        <v>1847</v>
      </c>
      <c r="G105" s="26" t="s">
        <v>1848</v>
      </c>
    </row>
    <row r="107" spans="1:7">
      <c r="D107" t="s">
        <v>1854</v>
      </c>
    </row>
    <row r="109" spans="1:7" ht="23.25">
      <c r="A109" s="195" t="s">
        <v>1885</v>
      </c>
    </row>
    <row r="111" spans="1:7" ht="15.75">
      <c r="D111" s="188" t="s">
        <v>1855</v>
      </c>
    </row>
    <row r="113" spans="4:4" ht="15.75">
      <c r="D113" s="188" t="s">
        <v>1856</v>
      </c>
    </row>
    <row r="115" spans="4:4" ht="15.75">
      <c r="D115" s="188" t="s">
        <v>1857</v>
      </c>
    </row>
    <row r="117" spans="4:4" ht="15.75">
      <c r="D117" s="188" t="s">
        <v>1858</v>
      </c>
    </row>
    <row r="119" spans="4:4">
      <c r="D119" t="s">
        <v>1859</v>
      </c>
    </row>
    <row r="121" spans="4:4" ht="15.75">
      <c r="D121" s="188" t="s">
        <v>1860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I22"/>
  <sheetViews>
    <sheetView tabSelected="1" topLeftCell="A13" zoomScale="85" zoomScaleNormal="85" workbookViewId="0">
      <selection activeCell="G64" sqref="G64"/>
    </sheetView>
  </sheetViews>
  <sheetFormatPr baseColWidth="10" defaultRowHeight="14.25"/>
  <sheetData>
    <row r="1" spans="1:1" ht="18">
      <c r="A1" s="230" t="s">
        <v>1880</v>
      </c>
    </row>
    <row r="4" spans="1:1" s="229" customFormat="1"/>
    <row r="5" spans="1:1" s="229" customFormat="1"/>
    <row r="6" spans="1:1" s="229" customFormat="1"/>
    <row r="7" spans="1:1" s="229" customFormat="1"/>
    <row r="9" spans="1:1" s="234" customFormat="1"/>
    <row r="10" spans="1:1" s="234" customFormat="1"/>
    <row r="17" spans="7:9">
      <c r="G17" s="228"/>
    </row>
    <row r="22" spans="7:9">
      <c r="I22" s="23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TypeSignals"/>
  <dimension ref="A1:E10"/>
  <sheetViews>
    <sheetView workbookViewId="0">
      <selection activeCell="D2" sqref="D2"/>
    </sheetView>
  </sheetViews>
  <sheetFormatPr baseColWidth="10" defaultRowHeight="14.25"/>
  <cols>
    <col min="1" max="1" width="29.25" customWidth="1"/>
    <col min="2" max="2" width="6.875" customWidth="1"/>
    <col min="3" max="3" width="2.125" customWidth="1"/>
  </cols>
  <sheetData>
    <row r="1" spans="1:5" ht="80.25" customHeight="1">
      <c r="A1" t="s">
        <v>1416</v>
      </c>
      <c r="B1" t="s">
        <v>1415</v>
      </c>
      <c r="C1" s="107" t="s">
        <v>1591</v>
      </c>
    </row>
    <row r="2" spans="1:5">
      <c r="A2" t="s">
        <v>758</v>
      </c>
      <c r="B2" t="s">
        <v>1414</v>
      </c>
      <c r="C2" s="40"/>
    </row>
    <row r="3" spans="1:5">
      <c r="A3" t="s">
        <v>761</v>
      </c>
      <c r="B3" t="s">
        <v>1413</v>
      </c>
      <c r="C3" s="41"/>
    </row>
    <row r="4" spans="1:5">
      <c r="B4" s="192"/>
      <c r="C4" s="36"/>
    </row>
    <row r="5" spans="1:5">
      <c r="C5" s="42"/>
    </row>
    <row r="6" spans="1:5">
      <c r="C6" s="35"/>
    </row>
    <row r="7" spans="1:5">
      <c r="C7" s="38"/>
    </row>
    <row r="8" spans="1:5">
      <c r="A8" s="243" t="s">
        <v>1552</v>
      </c>
      <c r="B8" s="243"/>
      <c r="C8" s="243"/>
    </row>
    <row r="10" spans="1:5">
      <c r="E10" s="238"/>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B10" sqref="B10"/>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1417</v>
      </c>
      <c r="B1" t="s">
        <v>1601</v>
      </c>
      <c r="C1" t="s">
        <v>1584</v>
      </c>
      <c r="D1" s="43" t="s">
        <v>1555</v>
      </c>
      <c r="E1" s="30" t="s">
        <v>1419</v>
      </c>
      <c r="F1" s="30" t="s">
        <v>1420</v>
      </c>
      <c r="G1" s="30" t="s">
        <v>1421</v>
      </c>
      <c r="H1" s="30" t="s">
        <v>1422</v>
      </c>
      <c r="I1" s="30" t="s">
        <v>1423</v>
      </c>
      <c r="J1" s="30" t="s">
        <v>1424</v>
      </c>
      <c r="K1" s="29" t="s">
        <v>1538</v>
      </c>
      <c r="L1" s="29" t="s">
        <v>1539</v>
      </c>
      <c r="M1" s="29" t="s">
        <v>1540</v>
      </c>
      <c r="N1" s="29" t="s">
        <v>1541</v>
      </c>
      <c r="O1" s="29" t="s">
        <v>1542</v>
      </c>
      <c r="P1" s="29" t="s">
        <v>1543</v>
      </c>
      <c r="Q1" s="31" t="s">
        <v>1544</v>
      </c>
      <c r="R1" s="31" t="s">
        <v>1545</v>
      </c>
      <c r="S1" s="31" t="s">
        <v>1546</v>
      </c>
      <c r="T1" s="31" t="s">
        <v>1547</v>
      </c>
      <c r="U1" s="31" t="s">
        <v>1548</v>
      </c>
      <c r="V1" s="31" t="s">
        <v>1549</v>
      </c>
    </row>
    <row r="2" spans="1:22">
      <c r="A2" s="84">
        <v>1</v>
      </c>
      <c r="B2" t="s">
        <v>1607</v>
      </c>
      <c r="C2" t="s">
        <v>1585</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IFERROR(Tableau7[[#This Row],[TS1]]/Tableau7[[#This Row],[TS1-T]],"")</f>
        <v>0</v>
      </c>
      <c r="R2" s="32">
        <f>IFERROR(Tableau7[[#This Row],[TS2]]/Tableau7[[#This Row],[TS2-T]],"")</f>
        <v>0</v>
      </c>
      <c r="S2" s="32" t="str">
        <f>IFERROR(Tableau7[[#This Row],[TS3]]/Tableau7[[#This Row],[TS3-T]],"")</f>
        <v/>
      </c>
      <c r="T2" s="32" t="str">
        <f>IFERROR(Tableau7[[#This Row],[TS4]]/Tableau7[[#This Row],[TS4-T]],"")</f>
        <v/>
      </c>
      <c r="U2" s="32" t="str">
        <f>IFERROR(Tableau7[[#This Row],[TS5]]/Tableau7[[#This Row],[TS5-T]],"")</f>
        <v/>
      </c>
      <c r="V2" s="32" t="str">
        <f>IFERROR(Tableau7[[#This Row],[TS6]]/Tableau7[[#This Row],[TS6-T]],"")</f>
        <v/>
      </c>
    </row>
    <row r="3" spans="1:22">
      <c r="A3" s="84">
        <v>2</v>
      </c>
      <c r="B3" t="s">
        <v>1611</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IFERROR(Tableau7[[#This Row],[TS1]]/Tableau7[[#This Row],[TS1-T]],"")</f>
        <v>0</v>
      </c>
      <c r="R3" s="32">
        <f>IFERROR(Tableau7[[#This Row],[TS2]]/Tableau7[[#This Row],[TS2-T]],"")</f>
        <v>0.14285714285714285</v>
      </c>
      <c r="S3" s="32" t="str">
        <f>IFERROR(Tableau7[[#This Row],[TS3]]/Tableau7[[#This Row],[TS3-T]],"")</f>
        <v/>
      </c>
      <c r="T3" s="32" t="str">
        <f>IFERROR(Tableau7[[#This Row],[TS4]]/Tableau7[[#This Row],[TS4-T]],"")</f>
        <v/>
      </c>
      <c r="U3" s="32" t="str">
        <f>IFERROR(Tableau7[[#This Row],[TS5]]/Tableau7[[#This Row],[TS5-T]],"")</f>
        <v/>
      </c>
      <c r="V3" s="32" t="str">
        <f>IFERROR(Tableau7[[#This Row],[TS6]]/Tableau7[[#This Row],[TS6-T]],"")</f>
        <v/>
      </c>
    </row>
    <row r="4" spans="1:22">
      <c r="A4" s="84">
        <v>3</v>
      </c>
      <c r="B4" t="s">
        <v>1612</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IFERROR(Tableau7[[#This Row],[TS1]]/Tableau7[[#This Row],[TS1-T]],"")</f>
        <v>0</v>
      </c>
      <c r="R4" s="32">
        <f>IFERROR(Tableau7[[#This Row],[TS2]]/Tableau7[[#This Row],[TS2-T]],"")</f>
        <v>0.22222222222222221</v>
      </c>
      <c r="S4" s="32" t="str">
        <f>IFERROR(Tableau7[[#This Row],[TS3]]/Tableau7[[#This Row],[TS3-T]],"")</f>
        <v/>
      </c>
      <c r="T4" s="32" t="str">
        <f>IFERROR(Tableau7[[#This Row],[TS4]]/Tableau7[[#This Row],[TS4-T]],"")</f>
        <v/>
      </c>
      <c r="U4" s="32" t="str">
        <f>IFERROR(Tableau7[[#This Row],[TS5]]/Tableau7[[#This Row],[TS5-T]],"")</f>
        <v/>
      </c>
      <c r="V4" s="32" t="str">
        <f>IFERROR(Tableau7[[#This Row],[TS6]]/Tableau7[[#This Row],[TS6-T]],"")</f>
        <v/>
      </c>
    </row>
    <row r="5" spans="1:22">
      <c r="A5" s="84">
        <v>4</v>
      </c>
      <c r="B5" t="s">
        <v>1613</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IFERROR(Tableau7[[#This Row],[TS1]]/Tableau7[[#This Row],[TS1-T]],"")</f>
        <v>0.14285714285714285</v>
      </c>
      <c r="R5" s="32">
        <f>IFERROR(Tableau7[[#This Row],[TS2]]/Tableau7[[#This Row],[TS2-T]],"")</f>
        <v>0.16666666666666666</v>
      </c>
      <c r="S5" s="32" t="str">
        <f>IFERROR(Tableau7[[#This Row],[TS3]]/Tableau7[[#This Row],[TS3-T]],"")</f>
        <v/>
      </c>
      <c r="T5" s="32" t="str">
        <f>IFERROR(Tableau7[[#This Row],[TS4]]/Tableau7[[#This Row],[TS4-T]],"")</f>
        <v/>
      </c>
      <c r="U5" s="32" t="str">
        <f>IFERROR(Tableau7[[#This Row],[TS5]]/Tableau7[[#This Row],[TS5-T]],"")</f>
        <v/>
      </c>
      <c r="V5" s="32" t="str">
        <f>IFERROR(Tableau7[[#This Row],[TS6]]/Tableau7[[#This Row],[TS6-T]],"")</f>
        <v/>
      </c>
    </row>
    <row r="6" spans="1:22">
      <c r="A6" s="84">
        <v>5</v>
      </c>
      <c r="B6" t="s">
        <v>1614</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IFERROR(Tableau7[[#This Row],[TS1]]/Tableau7[[#This Row],[TS1-T]],"")</f>
        <v>0</v>
      </c>
      <c r="R6" s="32">
        <f>IFERROR(Tableau7[[#This Row],[TS2]]/Tableau7[[#This Row],[TS2-T]],"")</f>
        <v>0.25</v>
      </c>
      <c r="S6" s="32" t="str">
        <f>IFERROR(Tableau7[[#This Row],[TS3]]/Tableau7[[#This Row],[TS3-T]],"")</f>
        <v/>
      </c>
      <c r="T6" s="32" t="str">
        <f>IFERROR(Tableau7[[#This Row],[TS4]]/Tableau7[[#This Row],[TS4-T]],"")</f>
        <v/>
      </c>
      <c r="U6" s="32" t="str">
        <f>IFERROR(Tableau7[[#This Row],[TS5]]/Tableau7[[#This Row],[TS5-T]],"")</f>
        <v/>
      </c>
      <c r="V6" s="32" t="str">
        <f>IFERROR(Tableau7[[#This Row],[TS6]]/Tableau7[[#This Row],[TS6-T]],"")</f>
        <v/>
      </c>
    </row>
    <row r="7" spans="1:22">
      <c r="A7" s="84">
        <v>6</v>
      </c>
      <c r="B7" t="s">
        <v>1615</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IFERROR(Tableau7[[#This Row],[TS1]]/Tableau7[[#This Row],[TS1-T]],"")</f>
        <v>0</v>
      </c>
      <c r="R7" s="32">
        <f>IFERROR(Tableau7[[#This Row],[TS2]]/Tableau7[[#This Row],[TS2-T]],"")</f>
        <v>0</v>
      </c>
      <c r="S7" s="32" t="str">
        <f>IFERROR(Tableau7[[#This Row],[TS3]]/Tableau7[[#This Row],[TS3-T]],"")</f>
        <v/>
      </c>
      <c r="T7" s="32" t="str">
        <f>IFERROR(Tableau7[[#This Row],[TS4]]/Tableau7[[#This Row],[TS4-T]],"")</f>
        <v/>
      </c>
      <c r="U7" s="32" t="str">
        <f>IFERROR(Tableau7[[#This Row],[TS5]]/Tableau7[[#This Row],[TS5-T]],"")</f>
        <v/>
      </c>
      <c r="V7" s="32" t="str">
        <f>IFERROR(Tableau7[[#This Row],[TS6]]/Tableau7[[#This Row],[TS6-T]],"")</f>
        <v/>
      </c>
    </row>
    <row r="8" spans="1:22">
      <c r="A8" s="84">
        <v>7</v>
      </c>
      <c r="B8" t="s">
        <v>1616</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IFERROR(Tableau7[[#This Row],[TS1]]/Tableau7[[#This Row],[TS1-T]],"")</f>
        <v>0</v>
      </c>
      <c r="R8" s="32">
        <f>IFERROR(Tableau7[[#This Row],[TS2]]/Tableau7[[#This Row],[TS2-T]],"")</f>
        <v>0</v>
      </c>
      <c r="S8" s="32" t="str">
        <f>IFERROR(Tableau7[[#This Row],[TS3]]/Tableau7[[#This Row],[TS3-T]],"")</f>
        <v/>
      </c>
      <c r="T8" s="32" t="str">
        <f>IFERROR(Tableau7[[#This Row],[TS4]]/Tableau7[[#This Row],[TS4-T]],"")</f>
        <v/>
      </c>
      <c r="U8" s="32" t="str">
        <f>IFERROR(Tableau7[[#This Row],[TS5]]/Tableau7[[#This Row],[TS5-T]],"")</f>
        <v/>
      </c>
      <c r="V8" s="32" t="str">
        <f>IFERROR(Tableau7[[#This Row],[TS6]]/Tableau7[[#This Row],[TS6-T]],"")</f>
        <v/>
      </c>
    </row>
    <row r="9" spans="1:22">
      <c r="A9" s="84">
        <v>8</v>
      </c>
      <c r="B9" t="s">
        <v>1617</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IFERROR(Tableau7[[#This Row],[TS1]]/Tableau7[[#This Row],[TS1-T]],"")</f>
        <v>0</v>
      </c>
      <c r="R9" s="32">
        <f>IFERROR(Tableau7[[#This Row],[TS2]]/Tableau7[[#This Row],[TS2-T]],"")</f>
        <v>0</v>
      </c>
      <c r="S9" s="32" t="str">
        <f>IFERROR(Tableau7[[#This Row],[TS3]]/Tableau7[[#This Row],[TS3-T]],"")</f>
        <v/>
      </c>
      <c r="T9" s="32" t="str">
        <f>IFERROR(Tableau7[[#This Row],[TS4]]/Tableau7[[#This Row],[TS4-T]],"")</f>
        <v/>
      </c>
      <c r="U9" s="32" t="str">
        <f>IFERROR(Tableau7[[#This Row],[TS5]]/Tableau7[[#This Row],[TS5-T]],"")</f>
        <v/>
      </c>
      <c r="V9" s="32" t="str">
        <f>IFERROR(Tableau7[[#This Row],[TS6]]/Tableau7[[#This Row],[TS6-T]],"")</f>
        <v/>
      </c>
    </row>
    <row r="10" spans="1:22">
      <c r="A10" s="84">
        <v>9</v>
      </c>
      <c r="B10" t="s">
        <v>1618</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IFERROR(Tableau7[[#This Row],[TS1]]/Tableau7[[#This Row],[TS1-T]],"")</f>
        <v>0</v>
      </c>
      <c r="R10" s="32">
        <f>IFERROR(Tableau7[[#This Row],[TS2]]/Tableau7[[#This Row],[TS2-T]],"")</f>
        <v>0</v>
      </c>
      <c r="S10" s="32" t="str">
        <f>IFERROR(Tableau7[[#This Row],[TS3]]/Tableau7[[#This Row],[TS3-T]],"")</f>
        <v/>
      </c>
      <c r="T10" s="32" t="str">
        <f>IFERROR(Tableau7[[#This Row],[TS4]]/Tableau7[[#This Row],[TS4-T]],"")</f>
        <v/>
      </c>
      <c r="U10" s="32" t="str">
        <f>IFERROR(Tableau7[[#This Row],[TS5]]/Tableau7[[#This Row],[TS5-T]],"")</f>
        <v/>
      </c>
      <c r="V10" s="32" t="str">
        <f>IFERROR(Tableau7[[#This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IFERROR(Tableau7[[#This Row],[TS1]]/Tableau7[[#This Row],[TS1-T]],"")</f>
        <v/>
      </c>
      <c r="R11" s="32" t="str">
        <f>IFERROR(Tableau7[[#This Row],[TS2]]/Tableau7[[#This Row],[TS2-T]],"")</f>
        <v/>
      </c>
      <c r="S11" s="32" t="str">
        <f>IFERROR(Tableau7[[#This Row],[TS3]]/Tableau7[[#This Row],[TS3-T]],"")</f>
        <v/>
      </c>
      <c r="T11" s="32" t="str">
        <f>IFERROR(Tableau7[[#This Row],[TS4]]/Tableau7[[#This Row],[TS4-T]],"")</f>
        <v/>
      </c>
      <c r="U11" s="32" t="str">
        <f>IFERROR(Tableau7[[#This Row],[TS5]]/Tableau7[[#This Row],[TS5-T]],"")</f>
        <v/>
      </c>
      <c r="V11" s="32" t="str">
        <f>IFERROR(Tableau7[[#This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IFERROR(Tableau7[[#This Row],[TS1]]/Tableau7[[#This Row],[TS1-T]],"")</f>
        <v/>
      </c>
      <c r="R12" s="32" t="str">
        <f>IFERROR(Tableau7[[#This Row],[TS2]]/Tableau7[[#This Row],[TS2-T]],"")</f>
        <v/>
      </c>
      <c r="S12" s="32" t="str">
        <f>IFERROR(Tableau7[[#This Row],[TS3]]/Tableau7[[#This Row],[TS3-T]],"")</f>
        <v/>
      </c>
      <c r="T12" s="32" t="str">
        <f>IFERROR(Tableau7[[#This Row],[TS4]]/Tableau7[[#This Row],[TS4-T]],"")</f>
        <v/>
      </c>
      <c r="U12" s="32" t="str">
        <f>IFERROR(Tableau7[[#This Row],[TS5]]/Tableau7[[#This Row],[TS5-T]],"")</f>
        <v/>
      </c>
      <c r="V12" s="32" t="str">
        <f>IFERROR(Tableau7[[#This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IFERROR(Tableau7[[#This Row],[TS1]]/Tableau7[[#This Row],[TS1-T]],"")</f>
        <v/>
      </c>
      <c r="R13" s="32" t="str">
        <f>IFERROR(Tableau7[[#This Row],[TS2]]/Tableau7[[#This Row],[TS2-T]],"")</f>
        <v/>
      </c>
      <c r="S13" s="32" t="str">
        <f>IFERROR(Tableau7[[#This Row],[TS3]]/Tableau7[[#This Row],[TS3-T]],"")</f>
        <v/>
      </c>
      <c r="T13" s="32" t="str">
        <f>IFERROR(Tableau7[[#This Row],[TS4]]/Tableau7[[#This Row],[TS4-T]],"")</f>
        <v/>
      </c>
      <c r="U13" s="32" t="str">
        <f>IFERROR(Tableau7[[#This Row],[TS5]]/Tableau7[[#This Row],[TS5-T]],"")</f>
        <v/>
      </c>
      <c r="V13" s="32" t="str">
        <f>IFERROR(Tableau7[[#This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35.75" customHeight="1" thickTop="1" thickBot="1">
      <c r="A1" s="84" t="s">
        <v>1417</v>
      </c>
      <c r="B1" t="s">
        <v>1603</v>
      </c>
      <c r="C1" s="84" t="s">
        <v>706</v>
      </c>
      <c r="D1" t="s">
        <v>1606</v>
      </c>
      <c r="E1" s="84" t="s">
        <v>1418</v>
      </c>
      <c r="F1" t="s">
        <v>1602</v>
      </c>
      <c r="G1" s="164" t="s">
        <v>1784</v>
      </c>
      <c r="H1" s="169" t="s">
        <v>709</v>
      </c>
      <c r="I1" s="30" t="s">
        <v>1419</v>
      </c>
      <c r="J1" s="30" t="s">
        <v>1420</v>
      </c>
      <c r="K1" s="30" t="s">
        <v>1421</v>
      </c>
      <c r="L1" s="30" t="s">
        <v>1422</v>
      </c>
      <c r="M1" s="30" t="s">
        <v>1423</v>
      </c>
      <c r="N1" s="30" t="s">
        <v>1424</v>
      </c>
      <c r="O1" s="29" t="s">
        <v>1538</v>
      </c>
      <c r="P1" s="29" t="s">
        <v>1539</v>
      </c>
      <c r="Q1" s="29" t="s">
        <v>1540</v>
      </c>
      <c r="R1" s="29" t="s">
        <v>1541</v>
      </c>
      <c r="S1" s="29" t="s">
        <v>1542</v>
      </c>
      <c r="T1" s="29" t="s">
        <v>1543</v>
      </c>
      <c r="U1" s="31" t="s">
        <v>1544</v>
      </c>
      <c r="V1" s="31" t="s">
        <v>1545</v>
      </c>
      <c r="W1" s="31" t="s">
        <v>1546</v>
      </c>
      <c r="X1" s="31" t="s">
        <v>1547</v>
      </c>
      <c r="Y1" s="31" t="s">
        <v>1548</v>
      </c>
      <c r="Z1" s="31" t="s">
        <v>1549</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6"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1597</v>
      </c>
      <c r="C1" t="s">
        <v>1604</v>
      </c>
      <c r="D1" s="24" t="s">
        <v>1415</v>
      </c>
      <c r="E1" t="s">
        <v>729</v>
      </c>
      <c r="F1" t="s">
        <v>712</v>
      </c>
    </row>
    <row r="2" spans="1:6">
      <c r="A2" t="s">
        <v>708</v>
      </c>
      <c r="B2" s="84">
        <v>0</v>
      </c>
      <c r="C2" t="str">
        <f xml:space="preserve"> "v" &amp; Tableau2[[#This Row],[ID-Voie]]</f>
        <v>v0</v>
      </c>
      <c r="D2" s="192" t="s">
        <v>1413</v>
      </c>
      <c r="E2" s="23" t="str">
        <f>Tableau2[[#This Row],[Ref-Carte]]&amp;"/"&amp;Tableau2[[#This Row],[ID-Voie]]</f>
        <v>SDO0802/0</v>
      </c>
      <c r="F2">
        <v>0</v>
      </c>
    </row>
    <row r="3" spans="1:6">
      <c r="A3" t="s">
        <v>708</v>
      </c>
      <c r="B3" s="84">
        <v>1</v>
      </c>
      <c r="C3" t="str">
        <f xml:space="preserve"> "v" &amp; Tableau2[[#This Row],[ID-Voie]]</f>
        <v>v1</v>
      </c>
      <c r="D3" t="s">
        <v>1413</v>
      </c>
      <c r="E3" s="23" t="str">
        <f>Tableau2[[#This Row],[Ref-Carte]]&amp;"/"&amp;Tableau2[[#This Row],[ID-Voie]]</f>
        <v>SDO0802/1</v>
      </c>
      <c r="F3">
        <v>1</v>
      </c>
    </row>
    <row r="4" spans="1:6">
      <c r="A4" t="s">
        <v>708</v>
      </c>
      <c r="B4" s="84">
        <v>2</v>
      </c>
      <c r="C4" t="str">
        <f xml:space="preserve"> "v" &amp; Tableau2[[#This Row],[ID-Voie]]</f>
        <v>v2</v>
      </c>
      <c r="D4" t="s">
        <v>1413</v>
      </c>
      <c r="E4" s="23" t="str">
        <f>Tableau2[[#This Row],[Ref-Carte]]&amp;"/"&amp;Tableau2[[#This Row],[ID-Voie]]</f>
        <v>SDO0802/2</v>
      </c>
      <c r="F4">
        <v>2</v>
      </c>
    </row>
    <row r="5" spans="1:6">
      <c r="A5" t="s">
        <v>708</v>
      </c>
      <c r="B5" s="84">
        <v>3</v>
      </c>
      <c r="C5" t="str">
        <f xml:space="preserve"> "v" &amp; Tableau2[[#This Row],[ID-Voie]]</f>
        <v>v3</v>
      </c>
      <c r="D5" t="s">
        <v>1413</v>
      </c>
      <c r="E5" s="23" t="str">
        <f>Tableau2[[#This Row],[Ref-Carte]]&amp;"/"&amp;Tableau2[[#This Row],[ID-Voie]]</f>
        <v>SDO0802/3</v>
      </c>
      <c r="F5">
        <v>3</v>
      </c>
    </row>
    <row r="6" spans="1:6">
      <c r="A6" t="s">
        <v>708</v>
      </c>
      <c r="B6" s="84">
        <v>4</v>
      </c>
      <c r="C6" t="str">
        <f xml:space="preserve"> "v" &amp; Tableau2[[#This Row],[ID-Voie]]</f>
        <v>v4</v>
      </c>
      <c r="D6" t="s">
        <v>1413</v>
      </c>
      <c r="E6" s="23" t="str">
        <f>Tableau2[[#This Row],[Ref-Carte]]&amp;"/"&amp;Tableau2[[#This Row],[ID-Voie]]</f>
        <v>SDO0802/4</v>
      </c>
      <c r="F6">
        <v>4</v>
      </c>
    </row>
    <row r="7" spans="1:6">
      <c r="A7" t="s">
        <v>708</v>
      </c>
      <c r="B7" s="84">
        <v>5</v>
      </c>
      <c r="C7" t="str">
        <f xml:space="preserve"> "v" &amp; Tableau2[[#This Row],[ID-Voie]]</f>
        <v>v5</v>
      </c>
      <c r="D7" t="s">
        <v>1413</v>
      </c>
      <c r="E7" s="23" t="str">
        <f>Tableau2[[#This Row],[Ref-Carte]]&amp;"/"&amp;Tableau2[[#This Row],[ID-Voie]]</f>
        <v>SDO0802/5</v>
      </c>
      <c r="F7">
        <v>5</v>
      </c>
    </row>
    <row r="8" spans="1:6">
      <c r="A8" t="s">
        <v>708</v>
      </c>
      <c r="B8" s="84">
        <v>6</v>
      </c>
      <c r="C8" t="str">
        <f xml:space="preserve"> "v" &amp; Tableau2[[#This Row],[ID-Voie]]</f>
        <v>v6</v>
      </c>
      <c r="D8" t="s">
        <v>1413</v>
      </c>
      <c r="E8" s="23" t="str">
        <f>Tableau2[[#This Row],[Ref-Carte]]&amp;"/"&amp;Tableau2[[#This Row],[ID-Voie]]</f>
        <v>SDO0802/6</v>
      </c>
      <c r="F8">
        <v>6</v>
      </c>
    </row>
    <row r="9" spans="1:6">
      <c r="A9" t="s">
        <v>708</v>
      </c>
      <c r="B9" s="84">
        <v>7</v>
      </c>
      <c r="C9" t="str">
        <f xml:space="preserve"> "v" &amp; Tableau2[[#This Row],[ID-Voie]]</f>
        <v>v7</v>
      </c>
      <c r="D9" t="s">
        <v>1413</v>
      </c>
      <c r="E9" s="23" t="str">
        <f>Tableau2[[#This Row],[Ref-Carte]]&amp;"/"&amp;Tableau2[[#This Row],[ID-Voie]]</f>
        <v>SDO0802/7</v>
      </c>
      <c r="F9">
        <v>7</v>
      </c>
    </row>
    <row r="10" spans="1:6">
      <c r="A10" t="s">
        <v>710</v>
      </c>
      <c r="B10" s="84">
        <v>0</v>
      </c>
      <c r="C10" t="str">
        <f xml:space="preserve"> "v" &amp; Tableau2[[#This Row],[ID-Voie]]</f>
        <v>v0</v>
      </c>
      <c r="D10" t="s">
        <v>1414</v>
      </c>
      <c r="E10" s="23" t="str">
        <f>Tableau2[[#This Row],[Ref-Carte]]&amp;"/"&amp;Tableau2[[#This Row],[ID-Voie]]</f>
        <v>SDI1602/0</v>
      </c>
      <c r="F10" t="s">
        <v>713</v>
      </c>
    </row>
    <row r="11" spans="1:6">
      <c r="A11" t="s">
        <v>710</v>
      </c>
      <c r="B11" s="84">
        <v>1</v>
      </c>
      <c r="C11" t="str">
        <f xml:space="preserve"> "v" &amp; Tableau2[[#This Row],[ID-Voie]]</f>
        <v>v1</v>
      </c>
      <c r="D11" t="s">
        <v>1414</v>
      </c>
      <c r="E11" s="23" t="str">
        <f>Tableau2[[#This Row],[Ref-Carte]]&amp;"/"&amp;Tableau2[[#This Row],[ID-Voie]]</f>
        <v>SDI1602/1</v>
      </c>
      <c r="F11" t="s">
        <v>721</v>
      </c>
    </row>
    <row r="12" spans="1:6">
      <c r="A12" t="s">
        <v>710</v>
      </c>
      <c r="B12" s="84">
        <v>2</v>
      </c>
      <c r="C12" t="str">
        <f xml:space="preserve"> "v" &amp; Tableau2[[#This Row],[ID-Voie]]</f>
        <v>v2</v>
      </c>
      <c r="D12" t="s">
        <v>1414</v>
      </c>
      <c r="E12" s="23" t="str">
        <f>Tableau2[[#This Row],[Ref-Carte]]&amp;"/"&amp;Tableau2[[#This Row],[ID-Voie]]</f>
        <v>SDI1602/2</v>
      </c>
      <c r="F12" t="s">
        <v>714</v>
      </c>
    </row>
    <row r="13" spans="1:6">
      <c r="A13" t="s">
        <v>710</v>
      </c>
      <c r="B13" s="84">
        <v>3</v>
      </c>
      <c r="C13" t="str">
        <f xml:space="preserve"> "v" &amp; Tableau2[[#This Row],[ID-Voie]]</f>
        <v>v3</v>
      </c>
      <c r="D13" t="s">
        <v>1414</v>
      </c>
      <c r="E13" s="23" t="str">
        <f>Tableau2[[#This Row],[Ref-Carte]]&amp;"/"&amp;Tableau2[[#This Row],[ID-Voie]]</f>
        <v>SDI1602/3</v>
      </c>
      <c r="F13" t="s">
        <v>722</v>
      </c>
    </row>
    <row r="14" spans="1:6">
      <c r="A14" t="s">
        <v>710</v>
      </c>
      <c r="B14" s="84">
        <v>4</v>
      </c>
      <c r="C14" t="str">
        <f xml:space="preserve"> "v" &amp; Tableau2[[#This Row],[ID-Voie]]</f>
        <v>v4</v>
      </c>
      <c r="D14" t="s">
        <v>1414</v>
      </c>
      <c r="E14" s="23" t="str">
        <f>Tableau2[[#This Row],[Ref-Carte]]&amp;"/"&amp;Tableau2[[#This Row],[ID-Voie]]</f>
        <v>SDI1602/4</v>
      </c>
      <c r="F14" t="s">
        <v>715</v>
      </c>
    </row>
    <row r="15" spans="1:6">
      <c r="A15" t="s">
        <v>710</v>
      </c>
      <c r="B15" s="84">
        <v>5</v>
      </c>
      <c r="C15" t="str">
        <f xml:space="preserve"> "v" &amp; Tableau2[[#This Row],[ID-Voie]]</f>
        <v>v5</v>
      </c>
      <c r="D15" t="s">
        <v>1414</v>
      </c>
      <c r="E15" s="23" t="str">
        <f>Tableau2[[#This Row],[Ref-Carte]]&amp;"/"&amp;Tableau2[[#This Row],[ID-Voie]]</f>
        <v>SDI1602/5</v>
      </c>
      <c r="F15" t="s">
        <v>723</v>
      </c>
    </row>
    <row r="16" spans="1:6">
      <c r="A16" t="s">
        <v>710</v>
      </c>
      <c r="B16" s="84">
        <v>6</v>
      </c>
      <c r="C16" t="str">
        <f xml:space="preserve"> "v" &amp; Tableau2[[#This Row],[ID-Voie]]</f>
        <v>v6</v>
      </c>
      <c r="D16" t="s">
        <v>1414</v>
      </c>
      <c r="E16" s="23" t="str">
        <f>Tableau2[[#This Row],[Ref-Carte]]&amp;"/"&amp;Tableau2[[#This Row],[ID-Voie]]</f>
        <v>SDI1602/6</v>
      </c>
      <c r="F16" t="s">
        <v>716</v>
      </c>
    </row>
    <row r="17" spans="1:6">
      <c r="A17" t="s">
        <v>710</v>
      </c>
      <c r="B17" s="84">
        <v>7</v>
      </c>
      <c r="C17" t="str">
        <f xml:space="preserve"> "v" &amp; Tableau2[[#This Row],[ID-Voie]]</f>
        <v>v7</v>
      </c>
      <c r="D17" t="s">
        <v>1414</v>
      </c>
      <c r="E17" s="23" t="str">
        <f>Tableau2[[#This Row],[Ref-Carte]]&amp;"/"&amp;Tableau2[[#This Row],[ID-Voie]]</f>
        <v>SDI1602/7</v>
      </c>
      <c r="F17" t="s">
        <v>724</v>
      </c>
    </row>
    <row r="18" spans="1:6">
      <c r="A18" t="s">
        <v>710</v>
      </c>
      <c r="B18" s="84">
        <v>8</v>
      </c>
      <c r="C18" t="str">
        <f xml:space="preserve"> "v" &amp; Tableau2[[#This Row],[ID-Voie]]</f>
        <v>v8</v>
      </c>
      <c r="D18" t="s">
        <v>1414</v>
      </c>
      <c r="E18" s="23" t="str">
        <f>Tableau2[[#This Row],[Ref-Carte]]&amp;"/"&amp;Tableau2[[#This Row],[ID-Voie]]</f>
        <v>SDI1602/8</v>
      </c>
      <c r="F18" t="s">
        <v>717</v>
      </c>
    </row>
    <row r="19" spans="1:6">
      <c r="A19" t="s">
        <v>710</v>
      </c>
      <c r="B19" s="84">
        <v>9</v>
      </c>
      <c r="C19" t="str">
        <f xml:space="preserve"> "v" &amp; Tableau2[[#This Row],[ID-Voie]]</f>
        <v>v9</v>
      </c>
      <c r="D19" t="s">
        <v>1414</v>
      </c>
      <c r="E19" s="23" t="str">
        <f>Tableau2[[#This Row],[Ref-Carte]]&amp;"/"&amp;Tableau2[[#This Row],[ID-Voie]]</f>
        <v>SDI1602/9</v>
      </c>
      <c r="F19" t="s">
        <v>725</v>
      </c>
    </row>
    <row r="20" spans="1:6">
      <c r="A20" t="s">
        <v>710</v>
      </c>
      <c r="B20" s="84">
        <v>10</v>
      </c>
      <c r="C20" t="str">
        <f xml:space="preserve"> "v" &amp; Tableau2[[#This Row],[ID-Voie]]</f>
        <v>v10</v>
      </c>
      <c r="D20" t="s">
        <v>1414</v>
      </c>
      <c r="E20" s="23" t="str">
        <f>Tableau2[[#This Row],[Ref-Carte]]&amp;"/"&amp;Tableau2[[#This Row],[ID-Voie]]</f>
        <v>SDI1602/10</v>
      </c>
      <c r="F20" t="s">
        <v>718</v>
      </c>
    </row>
    <row r="21" spans="1:6">
      <c r="A21" t="s">
        <v>710</v>
      </c>
      <c r="B21" s="84">
        <v>11</v>
      </c>
      <c r="C21" t="str">
        <f xml:space="preserve"> "v" &amp; Tableau2[[#This Row],[ID-Voie]]</f>
        <v>v11</v>
      </c>
      <c r="D21" t="s">
        <v>1414</v>
      </c>
      <c r="E21" s="23" t="str">
        <f>Tableau2[[#This Row],[Ref-Carte]]&amp;"/"&amp;Tableau2[[#This Row],[ID-Voie]]</f>
        <v>SDI1602/11</v>
      </c>
      <c r="F21" t="s">
        <v>726</v>
      </c>
    </row>
    <row r="22" spans="1:6">
      <c r="A22" t="s">
        <v>710</v>
      </c>
      <c r="B22" s="84">
        <v>12</v>
      </c>
      <c r="C22" t="str">
        <f xml:space="preserve"> "v" &amp; Tableau2[[#This Row],[ID-Voie]]</f>
        <v>v12</v>
      </c>
      <c r="D22" t="s">
        <v>1414</v>
      </c>
      <c r="E22" s="23" t="str">
        <f>Tableau2[[#This Row],[Ref-Carte]]&amp;"/"&amp;Tableau2[[#This Row],[ID-Voie]]</f>
        <v>SDI1602/12</v>
      </c>
      <c r="F22" t="s">
        <v>719</v>
      </c>
    </row>
    <row r="23" spans="1:6">
      <c r="A23" t="s">
        <v>710</v>
      </c>
      <c r="B23" s="84">
        <v>13</v>
      </c>
      <c r="C23" t="str">
        <f xml:space="preserve"> "v" &amp; Tableau2[[#This Row],[ID-Voie]]</f>
        <v>v13</v>
      </c>
      <c r="D23" t="s">
        <v>1414</v>
      </c>
      <c r="E23" s="23" t="str">
        <f>Tableau2[[#This Row],[Ref-Carte]]&amp;"/"&amp;Tableau2[[#This Row],[ID-Voie]]</f>
        <v>SDI1602/13</v>
      </c>
      <c r="F23" t="s">
        <v>727</v>
      </c>
    </row>
    <row r="24" spans="1:6">
      <c r="A24" t="s">
        <v>710</v>
      </c>
      <c r="B24" s="84">
        <v>14</v>
      </c>
      <c r="C24" t="str">
        <f xml:space="preserve"> "v" &amp; Tableau2[[#This Row],[ID-Voie]]</f>
        <v>v14</v>
      </c>
      <c r="D24" t="s">
        <v>1414</v>
      </c>
      <c r="E24" s="23" t="str">
        <f>Tableau2[[#This Row],[Ref-Carte]]&amp;"/"&amp;Tableau2[[#This Row],[ID-Voie]]</f>
        <v>SDI1602/14</v>
      </c>
      <c r="F24" t="s">
        <v>720</v>
      </c>
    </row>
    <row r="25" spans="1:6">
      <c r="A25" t="s">
        <v>710</v>
      </c>
      <c r="B25" s="84">
        <v>15</v>
      </c>
      <c r="C25" t="str">
        <f xml:space="preserve"> "v" &amp; Tableau2[[#This Row],[ID-Voie]]</f>
        <v>v15</v>
      </c>
      <c r="D25" t="s">
        <v>1414</v>
      </c>
      <c r="E25" s="23" t="str">
        <f>Tableau2[[#This Row],[Ref-Carte]]&amp;"/"&amp;Tableau2[[#This Row],[ID-Voie]]</f>
        <v>SDI1602/15</v>
      </c>
      <c r="F25" t="s">
        <v>728</v>
      </c>
    </row>
    <row r="26" spans="1:6">
      <c r="A26" t="s">
        <v>711</v>
      </c>
      <c r="B26" s="84">
        <v>0</v>
      </c>
      <c r="C26" t="str">
        <f xml:space="preserve"> "v" &amp; Tableau2[[#This Row],[ID-Voie]]</f>
        <v>v0</v>
      </c>
      <c r="D26" t="s">
        <v>1413</v>
      </c>
      <c r="E26" s="23" t="str">
        <f>Tableau2[[#This Row],[Ref-Carte]]&amp;"/"&amp;Tableau2[[#This Row],[ID-Voie]]</f>
        <v>DRA0815/0</v>
      </c>
      <c r="F26">
        <v>0</v>
      </c>
    </row>
    <row r="27" spans="1:6">
      <c r="A27" t="s">
        <v>711</v>
      </c>
      <c r="B27" s="84">
        <v>1</v>
      </c>
      <c r="C27" t="str">
        <f xml:space="preserve"> "v" &amp; Tableau2[[#This Row],[ID-Voie]]</f>
        <v>v1</v>
      </c>
      <c r="D27" t="s">
        <v>1413</v>
      </c>
      <c r="E27" s="23" t="str">
        <f>Tableau2[[#This Row],[Ref-Carte]]&amp;"/"&amp;Tableau2[[#This Row],[ID-Voie]]</f>
        <v>DRA0815/1</v>
      </c>
      <c r="F27">
        <v>1</v>
      </c>
    </row>
    <row r="28" spans="1:6">
      <c r="A28" t="s">
        <v>711</v>
      </c>
      <c r="B28" s="84">
        <v>2</v>
      </c>
      <c r="C28" t="str">
        <f xml:space="preserve"> "v" &amp; Tableau2[[#This Row],[ID-Voie]]</f>
        <v>v2</v>
      </c>
      <c r="D28" t="s">
        <v>1413</v>
      </c>
      <c r="E28" s="23" t="str">
        <f>Tableau2[[#This Row],[Ref-Carte]]&amp;"/"&amp;Tableau2[[#This Row],[ID-Voie]]</f>
        <v>DRA0815/2</v>
      </c>
      <c r="F28">
        <v>2</v>
      </c>
    </row>
    <row r="29" spans="1:6">
      <c r="A29" t="s">
        <v>711</v>
      </c>
      <c r="B29" s="84">
        <v>3</v>
      </c>
      <c r="C29" t="str">
        <f xml:space="preserve"> "v" &amp; Tableau2[[#This Row],[ID-Voie]]</f>
        <v>v3</v>
      </c>
      <c r="D29" t="s">
        <v>1413</v>
      </c>
      <c r="E29" s="23" t="str">
        <f>Tableau2[[#This Row],[Ref-Carte]]&amp;"/"&amp;Tableau2[[#This Row],[ID-Voie]]</f>
        <v>DRA0815/3</v>
      </c>
      <c r="F29">
        <v>3</v>
      </c>
    </row>
    <row r="30" spans="1:6">
      <c r="A30" t="s">
        <v>711</v>
      </c>
      <c r="B30" s="84">
        <v>4</v>
      </c>
      <c r="C30" t="str">
        <f xml:space="preserve"> "v" &amp; Tableau2[[#This Row],[ID-Voie]]</f>
        <v>v4</v>
      </c>
      <c r="D30" t="s">
        <v>1413</v>
      </c>
      <c r="E30" s="23" t="str">
        <f>Tableau2[[#This Row],[Ref-Carte]]&amp;"/"&amp;Tableau2[[#This Row],[ID-Voie]]</f>
        <v>DRA0815/4</v>
      </c>
      <c r="F30">
        <v>4</v>
      </c>
    </row>
    <row r="31" spans="1:6">
      <c r="A31" t="s">
        <v>711</v>
      </c>
      <c r="B31" s="84">
        <v>5</v>
      </c>
      <c r="C31" t="str">
        <f xml:space="preserve"> "v" &amp; Tableau2[[#This Row],[ID-Voie]]</f>
        <v>v5</v>
      </c>
      <c r="D31" t="s">
        <v>1413</v>
      </c>
      <c r="E31" s="23" t="str">
        <f>Tableau2[[#This Row],[Ref-Carte]]&amp;"/"&amp;Tableau2[[#This Row],[ID-Voie]]</f>
        <v>DRA0815/5</v>
      </c>
      <c r="F31">
        <v>5</v>
      </c>
    </row>
    <row r="32" spans="1:6">
      <c r="A32" t="s">
        <v>711</v>
      </c>
      <c r="B32" s="84">
        <v>6</v>
      </c>
      <c r="C32" t="str">
        <f xml:space="preserve"> "v" &amp; Tableau2[[#This Row],[ID-Voie]]</f>
        <v>v6</v>
      </c>
      <c r="D32" t="s">
        <v>1413</v>
      </c>
      <c r="E32" s="23" t="str">
        <f>Tableau2[[#This Row],[Ref-Carte]]&amp;"/"&amp;Tableau2[[#This Row],[ID-Voie]]</f>
        <v>DRA0815/6</v>
      </c>
      <c r="F32">
        <v>6</v>
      </c>
    </row>
    <row r="33" spans="1:6">
      <c r="A33" t="s">
        <v>711</v>
      </c>
      <c r="B33" s="84">
        <v>7</v>
      </c>
      <c r="C33" t="str">
        <f xml:space="preserve"> "v" &amp; Tableau2[[#This Row],[ID-Voie]]</f>
        <v>v7</v>
      </c>
      <c r="D33" t="s">
        <v>1413</v>
      </c>
      <c r="E33" s="23" t="str">
        <f>Tableau2[[#This Row],[Ref-Carte]]&amp;"/"&amp;Tableau2[[#This Row],[ID-Voie]]</f>
        <v>DRA0815/7</v>
      </c>
      <c r="F33">
        <v>7</v>
      </c>
    </row>
  </sheetData>
  <phoneticPr fontId="6"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workbookViewId="0">
      <selection activeCell="C2" sqref="C2"/>
    </sheetView>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40.25" customHeight="1">
      <c r="A1" s="95" t="s">
        <v>734</v>
      </c>
      <c r="B1" s="45" t="s">
        <v>1426</v>
      </c>
      <c r="C1" s="89" t="s">
        <v>755</v>
      </c>
      <c r="D1" s="89" t="s">
        <v>1571</v>
      </c>
      <c r="E1" s="89" t="s">
        <v>1572</v>
      </c>
      <c r="F1" s="89" t="s">
        <v>1577</v>
      </c>
      <c r="G1" s="89" t="s">
        <v>1591</v>
      </c>
      <c r="H1" s="106" t="s">
        <v>1500</v>
      </c>
      <c r="I1" s="106" t="s">
        <v>1501</v>
      </c>
      <c r="J1" s="94" t="s">
        <v>1592</v>
      </c>
      <c r="K1" s="82" t="s">
        <v>1415</v>
      </c>
      <c r="L1" s="222" t="s">
        <v>731</v>
      </c>
      <c r="M1" s="46" t="s">
        <v>1429</v>
      </c>
      <c r="N1" t="s">
        <v>756</v>
      </c>
    </row>
    <row r="2" spans="1:14" ht="18" customHeight="1">
      <c r="A2" s="96">
        <v>1</v>
      </c>
      <c r="B2" s="44" t="s">
        <v>757</v>
      </c>
      <c r="C2" s="20" t="s">
        <v>274</v>
      </c>
      <c r="D2" s="20" t="s">
        <v>274</v>
      </c>
      <c r="G2" s="85"/>
      <c r="H2" s="53" t="s">
        <v>213</v>
      </c>
      <c r="J2" s="40"/>
      <c r="K2" s="55" t="str">
        <f>INDEX(Tableau6[TS],MATCH(Tableau5[[#This Row],[Type Signal]],Tableau6[TypeSignal],0))&amp;""</f>
        <v>ET</v>
      </c>
      <c r="L2" s="227"/>
      <c r="M2" s="21"/>
      <c r="N2" s="20" t="s">
        <v>758</v>
      </c>
    </row>
    <row r="3" spans="1:14" ht="18" customHeight="1">
      <c r="A3" s="96">
        <v>2</v>
      </c>
      <c r="B3" s="44" t="s">
        <v>759</v>
      </c>
      <c r="C3" s="20" t="s">
        <v>760</v>
      </c>
      <c r="D3" s="20" t="s">
        <v>214</v>
      </c>
      <c r="H3" s="53" t="s">
        <v>213</v>
      </c>
      <c r="J3" s="41"/>
      <c r="K3" s="55" t="str">
        <f>INDEX(Tableau6[TS],MATCH(Tableau5[[#This Row],[Type Signal]],Tableau6[TypeSignal],0))&amp;""</f>
        <v>ST</v>
      </c>
      <c r="L3" s="55"/>
      <c r="M3" s="21"/>
      <c r="N3" s="20" t="s">
        <v>761</v>
      </c>
    </row>
    <row r="4" spans="1:14" ht="18" customHeight="1">
      <c r="A4" s="96">
        <v>3</v>
      </c>
      <c r="B4" s="44" t="s">
        <v>762</v>
      </c>
      <c r="C4" s="20" t="s">
        <v>763</v>
      </c>
      <c r="D4" s="20" t="s">
        <v>33</v>
      </c>
      <c r="H4" s="53" t="s">
        <v>213</v>
      </c>
      <c r="J4" s="40"/>
      <c r="K4" s="55" t="str">
        <f>INDEX(Tableau6[TS],MATCH(Tableau5[[#This Row],[Type Signal]],Tableau6[TypeSignal],0))&amp;""</f>
        <v>ET</v>
      </c>
      <c r="L4" s="55"/>
      <c r="M4" s="21"/>
      <c r="N4" s="20" t="s">
        <v>758</v>
      </c>
    </row>
    <row r="5" spans="1:14" ht="18" customHeight="1">
      <c r="A5" s="96">
        <v>4</v>
      </c>
      <c r="B5" s="44" t="s">
        <v>764</v>
      </c>
      <c r="C5" s="20" t="s">
        <v>765</v>
      </c>
      <c r="D5" s="20" t="s">
        <v>33</v>
      </c>
      <c r="I5" s="53" t="s">
        <v>213</v>
      </c>
      <c r="J5" s="40"/>
      <c r="K5" s="55" t="str">
        <f>INDEX(Tableau6[TS],MATCH(Tableau5[[#This Row],[Type Signal]],Tableau6[TypeSignal],0))&amp;""</f>
        <v>ET</v>
      </c>
      <c r="L5" s="55"/>
      <c r="M5" s="21"/>
      <c r="N5" s="20" t="s">
        <v>758</v>
      </c>
    </row>
    <row r="6" spans="1:14" ht="18" customHeight="1">
      <c r="A6" s="96">
        <v>5</v>
      </c>
      <c r="B6" s="44" t="s">
        <v>764</v>
      </c>
      <c r="C6" s="20" t="s">
        <v>766</v>
      </c>
      <c r="D6" s="20" t="s">
        <v>34</v>
      </c>
      <c r="H6" s="53" t="s">
        <v>213</v>
      </c>
      <c r="J6" s="40"/>
      <c r="K6" s="55" t="str">
        <f>INDEX(Tableau6[TS],MATCH(Tableau5[[#This Row],[Type Signal]],Tableau6[TypeSignal],0))&amp;""</f>
        <v>ET</v>
      </c>
      <c r="L6" s="55"/>
      <c r="M6" s="21"/>
      <c r="N6" s="20" t="s">
        <v>758</v>
      </c>
    </row>
    <row r="7" spans="1:14" ht="18" customHeight="1">
      <c r="A7" s="96">
        <v>6</v>
      </c>
      <c r="B7" s="44" t="s">
        <v>487</v>
      </c>
      <c r="C7" s="20" t="s">
        <v>767</v>
      </c>
      <c r="D7" s="20" t="s">
        <v>263</v>
      </c>
      <c r="H7" s="53" t="s">
        <v>213</v>
      </c>
      <c r="J7" s="40"/>
      <c r="K7" s="55" t="str">
        <f>INDEX(Tableau6[TS],MATCH(Tableau5[[#This Row],[Type Signal]],Tableau6[TypeSignal],0))&amp;""</f>
        <v>ET</v>
      </c>
      <c r="L7" s="55"/>
      <c r="M7" s="21"/>
      <c r="N7" s="20" t="s">
        <v>758</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758</v>
      </c>
    </row>
    <row r="9" spans="1:14" ht="18" customHeight="1">
      <c r="A9" s="96">
        <v>8</v>
      </c>
      <c r="B9" s="44" t="s">
        <v>768</v>
      </c>
      <c r="C9" s="20" t="s">
        <v>644</v>
      </c>
      <c r="D9" s="20" t="s">
        <v>644</v>
      </c>
      <c r="I9" s="53" t="s">
        <v>213</v>
      </c>
      <c r="J9" s="40"/>
      <c r="K9" s="55" t="str">
        <f>INDEX(Tableau6[TS],MATCH(Tableau5[[#This Row],[Type Signal]],Tableau6[TypeSignal],0))&amp;""</f>
        <v>ET</v>
      </c>
      <c r="L9" s="55"/>
      <c r="M9" s="21"/>
      <c r="N9" s="20" t="s">
        <v>758</v>
      </c>
    </row>
    <row r="10" spans="1:14" ht="18" customHeight="1">
      <c r="A10" s="96">
        <v>9</v>
      </c>
      <c r="B10" s="44" t="s">
        <v>768</v>
      </c>
      <c r="C10" s="20" t="s">
        <v>642</v>
      </c>
      <c r="D10" s="20" t="s">
        <v>642</v>
      </c>
      <c r="H10" s="53" t="s">
        <v>213</v>
      </c>
      <c r="J10" s="40"/>
      <c r="K10" s="55" t="str">
        <f>INDEX(Tableau6[TS],MATCH(Tableau5[[#This Row],[Type Signal]],Tableau6[TypeSignal],0))&amp;""</f>
        <v>ET</v>
      </c>
      <c r="L10" s="55"/>
      <c r="M10" s="21"/>
      <c r="N10" s="20" t="s">
        <v>758</v>
      </c>
    </row>
    <row r="11" spans="1:14" ht="18" customHeight="1">
      <c r="A11" s="96">
        <v>10</v>
      </c>
      <c r="B11" s="44" t="s">
        <v>769</v>
      </c>
      <c r="C11" s="20" t="s">
        <v>770</v>
      </c>
      <c r="D11" s="20" t="s">
        <v>284</v>
      </c>
      <c r="H11" s="53" t="s">
        <v>213</v>
      </c>
      <c r="J11" s="40"/>
      <c r="K11" s="55" t="str">
        <f>INDEX(Tableau6[TS],MATCH(Tableau5[[#This Row],[Type Signal]],Tableau6[TypeSignal],0))&amp;""</f>
        <v>ET</v>
      </c>
      <c r="L11" s="55"/>
      <c r="M11" s="21"/>
      <c r="N11" s="20" t="s">
        <v>758</v>
      </c>
    </row>
    <row r="12" spans="1:14" ht="18" customHeight="1">
      <c r="A12" s="96">
        <v>11</v>
      </c>
      <c r="B12" s="44" t="s">
        <v>769</v>
      </c>
      <c r="C12" s="20" t="s">
        <v>771</v>
      </c>
      <c r="D12" s="20" t="s">
        <v>260</v>
      </c>
      <c r="H12" s="53" t="s">
        <v>213</v>
      </c>
      <c r="J12" s="40"/>
      <c r="K12" s="55" t="str">
        <f>INDEX(Tableau6[TS],MATCH(Tableau5[[#This Row],[Type Signal]],Tableau6[TypeSignal],0))&amp;""</f>
        <v>ET</v>
      </c>
      <c r="L12" s="55"/>
      <c r="M12" s="21"/>
      <c r="N12" s="20" t="s">
        <v>758</v>
      </c>
    </row>
    <row r="13" spans="1:14" ht="18" customHeight="1">
      <c r="A13" s="96">
        <v>12</v>
      </c>
      <c r="B13" s="44" t="s">
        <v>769</v>
      </c>
      <c r="C13" s="20" t="s">
        <v>772</v>
      </c>
      <c r="D13" s="20" t="s">
        <v>215</v>
      </c>
      <c r="H13" s="53" t="s">
        <v>213</v>
      </c>
      <c r="J13" s="40"/>
      <c r="K13" s="55" t="str">
        <f>INDEX(Tableau6[TS],MATCH(Tableau5[[#This Row],[Type Signal]],Tableau6[TypeSignal],0))&amp;""</f>
        <v>ET</v>
      </c>
      <c r="L13" s="55"/>
      <c r="M13" s="21"/>
      <c r="N13" s="20" t="s">
        <v>758</v>
      </c>
    </row>
    <row r="14" spans="1:14" ht="18" customHeight="1">
      <c r="A14" s="96">
        <v>13</v>
      </c>
      <c r="B14" s="44" t="s">
        <v>773</v>
      </c>
      <c r="C14" s="20" t="s">
        <v>774</v>
      </c>
      <c r="D14" s="20" t="s">
        <v>55</v>
      </c>
      <c r="H14" s="53" t="s">
        <v>213</v>
      </c>
      <c r="J14" s="41"/>
      <c r="K14" s="55" t="str">
        <f>INDEX(Tableau6[TS],MATCH(Tableau5[[#This Row],[Type Signal]],Tableau6[TypeSignal],0))&amp;""</f>
        <v>ST</v>
      </c>
      <c r="L14" s="55"/>
      <c r="M14" s="21"/>
      <c r="N14" s="20" t="s">
        <v>761</v>
      </c>
    </row>
    <row r="15" spans="1:14" ht="18" customHeight="1">
      <c r="A15" s="96">
        <v>14</v>
      </c>
      <c r="B15" s="44" t="s">
        <v>773</v>
      </c>
      <c r="C15" s="20" t="s">
        <v>775</v>
      </c>
      <c r="D15" s="20" t="s">
        <v>56</v>
      </c>
      <c r="H15" s="53" t="s">
        <v>213</v>
      </c>
      <c r="J15" s="41"/>
      <c r="K15" s="55" t="str">
        <f>INDEX(Tableau6[TS],MATCH(Tableau5[[#This Row],[Type Signal]],Tableau6[TypeSignal],0))&amp;""</f>
        <v>ST</v>
      </c>
      <c r="L15" s="55"/>
      <c r="M15" s="21"/>
      <c r="N15" s="20" t="s">
        <v>761</v>
      </c>
    </row>
    <row r="16" spans="1:14" ht="18" customHeight="1">
      <c r="A16" s="96">
        <v>15</v>
      </c>
      <c r="B16" s="44" t="s">
        <v>773</v>
      </c>
      <c r="C16" s="20" t="s">
        <v>776</v>
      </c>
      <c r="D16" s="20" t="s">
        <v>57</v>
      </c>
      <c r="H16" s="53" t="s">
        <v>213</v>
      </c>
      <c r="J16" s="40"/>
      <c r="K16" s="55" t="str">
        <f>INDEX(Tableau6[TS],MATCH(Tableau5[[#This Row],[Type Signal]],Tableau6[TypeSignal],0))&amp;""</f>
        <v>ET</v>
      </c>
      <c r="L16" s="55"/>
      <c r="M16" s="21"/>
      <c r="N16" s="20" t="s">
        <v>758</v>
      </c>
    </row>
    <row r="17" spans="1:14" ht="18" customHeight="1">
      <c r="A17" s="96">
        <v>16</v>
      </c>
      <c r="B17" s="44" t="s">
        <v>777</v>
      </c>
      <c r="C17" s="20" t="s">
        <v>778</v>
      </c>
      <c r="D17" s="20" t="s">
        <v>476</v>
      </c>
      <c r="I17" s="53" t="s">
        <v>213</v>
      </c>
      <c r="J17" s="41"/>
      <c r="K17" s="55" t="str">
        <f>INDEX(Tableau6[TS],MATCH(Tableau5[[#This Row],[Type Signal]],Tableau6[TypeSignal],0))&amp;""</f>
        <v>ST</v>
      </c>
      <c r="L17" s="55"/>
      <c r="M17" s="21"/>
      <c r="N17" s="20" t="s">
        <v>761</v>
      </c>
    </row>
    <row r="18" spans="1:14" ht="18" customHeight="1">
      <c r="A18" s="96">
        <v>17</v>
      </c>
      <c r="B18" s="44" t="s">
        <v>777</v>
      </c>
      <c r="C18" s="20" t="s">
        <v>779</v>
      </c>
      <c r="D18" s="20" t="s">
        <v>507</v>
      </c>
      <c r="H18" s="53" t="s">
        <v>213</v>
      </c>
      <c r="J18" s="40"/>
      <c r="K18" s="55" t="str">
        <f>INDEX(Tableau6[TS],MATCH(Tableau5[[#This Row],[Type Signal]],Tableau6[TypeSignal],0))&amp;""</f>
        <v>ET</v>
      </c>
      <c r="L18" s="55"/>
      <c r="M18" s="21"/>
      <c r="N18" s="20" t="s">
        <v>758</v>
      </c>
    </row>
    <row r="19" spans="1:14" ht="18" customHeight="1">
      <c r="A19" s="96">
        <v>18</v>
      </c>
      <c r="B19" s="44" t="s">
        <v>777</v>
      </c>
      <c r="C19" s="20" t="s">
        <v>780</v>
      </c>
      <c r="D19" s="20" t="s">
        <v>264</v>
      </c>
      <c r="H19" s="53" t="s">
        <v>213</v>
      </c>
      <c r="J19" s="41"/>
      <c r="K19" s="55" t="str">
        <f>INDEX(Tableau6[TS],MATCH(Tableau5[[#This Row],[Type Signal]],Tableau6[TypeSignal],0))&amp;""</f>
        <v>ST</v>
      </c>
      <c r="L19" s="55"/>
      <c r="M19" s="21"/>
      <c r="N19" s="20" t="s">
        <v>761</v>
      </c>
    </row>
    <row r="20" spans="1:14" ht="18" customHeight="1">
      <c r="A20" s="96">
        <v>19</v>
      </c>
      <c r="B20" s="44" t="s">
        <v>777</v>
      </c>
      <c r="C20" s="20" t="s">
        <v>781</v>
      </c>
      <c r="D20" s="20" t="s">
        <v>475</v>
      </c>
      <c r="H20" s="53" t="s">
        <v>213</v>
      </c>
      <c r="J20" s="41"/>
      <c r="K20" s="55" t="str">
        <f>INDEX(Tableau6[TS],MATCH(Tableau5[[#This Row],[Type Signal]],Tableau6[TypeSignal],0))&amp;""</f>
        <v>ST</v>
      </c>
      <c r="L20" s="55"/>
      <c r="M20" s="21"/>
      <c r="N20" s="20" t="s">
        <v>761</v>
      </c>
    </row>
    <row r="21" spans="1:14" ht="18" customHeight="1">
      <c r="A21" s="96">
        <v>20</v>
      </c>
      <c r="B21" s="44" t="s">
        <v>777</v>
      </c>
      <c r="C21" s="20" t="s">
        <v>782</v>
      </c>
      <c r="D21" s="20" t="s">
        <v>293</v>
      </c>
      <c r="H21" s="53" t="s">
        <v>213</v>
      </c>
      <c r="J21" s="41"/>
      <c r="K21" s="55" t="str">
        <f>INDEX(Tableau6[TS],MATCH(Tableau5[[#This Row],[Type Signal]],Tableau6[TypeSignal],0))&amp;""</f>
        <v>ST</v>
      </c>
      <c r="L21" s="55"/>
      <c r="M21" s="21"/>
      <c r="N21" s="20" t="s">
        <v>761</v>
      </c>
    </row>
    <row r="22" spans="1:14" ht="18" customHeight="1">
      <c r="A22" s="96">
        <v>21</v>
      </c>
      <c r="B22" s="44" t="s">
        <v>777</v>
      </c>
      <c r="C22" s="20" t="s">
        <v>783</v>
      </c>
      <c r="D22" s="20" t="s">
        <v>294</v>
      </c>
      <c r="H22" s="53" t="s">
        <v>213</v>
      </c>
      <c r="J22" s="41"/>
      <c r="K22" s="55" t="str">
        <f>INDEX(Tableau6[TS],MATCH(Tableau5[[#This Row],[Type Signal]],Tableau6[TypeSignal],0))&amp;""</f>
        <v>ST</v>
      </c>
      <c r="L22" s="55"/>
      <c r="M22" s="21"/>
      <c r="N22" s="20" t="s">
        <v>761</v>
      </c>
    </row>
    <row r="23" spans="1:14" ht="18" customHeight="1">
      <c r="A23" s="96">
        <v>22</v>
      </c>
      <c r="B23" s="44" t="s">
        <v>777</v>
      </c>
      <c r="C23" s="20" t="s">
        <v>784</v>
      </c>
      <c r="D23" s="20" t="s">
        <v>265</v>
      </c>
      <c r="H23" s="53" t="s">
        <v>213</v>
      </c>
      <c r="J23" s="40"/>
      <c r="K23" s="55" t="str">
        <f>INDEX(Tableau6[TS],MATCH(Tableau5[[#This Row],[Type Signal]],Tableau6[TypeSignal],0))&amp;""</f>
        <v>ET</v>
      </c>
      <c r="L23" s="55"/>
      <c r="M23" s="21"/>
      <c r="N23" s="20" t="s">
        <v>758</v>
      </c>
    </row>
    <row r="24" spans="1:14" ht="18" customHeight="1">
      <c r="A24" s="96">
        <v>23</v>
      </c>
      <c r="B24" s="44" t="s">
        <v>777</v>
      </c>
      <c r="C24" s="20" t="s">
        <v>785</v>
      </c>
      <c r="D24" s="20" t="s">
        <v>266</v>
      </c>
      <c r="H24" s="53" t="s">
        <v>213</v>
      </c>
      <c r="J24" s="40"/>
      <c r="K24" s="55" t="str">
        <f>INDEX(Tableau6[TS],MATCH(Tableau5[[#This Row],[Type Signal]],Tableau6[TypeSignal],0))&amp;""</f>
        <v>ET</v>
      </c>
      <c r="L24" s="55"/>
      <c r="M24" s="21"/>
      <c r="N24" s="20" t="s">
        <v>758</v>
      </c>
    </row>
    <row r="25" spans="1:14" ht="18" customHeight="1">
      <c r="A25" s="96">
        <v>24</v>
      </c>
      <c r="B25" s="44" t="s">
        <v>777</v>
      </c>
      <c r="C25" s="20" t="s">
        <v>786</v>
      </c>
      <c r="D25" s="20" t="s">
        <v>267</v>
      </c>
      <c r="H25" s="53" t="s">
        <v>213</v>
      </c>
      <c r="J25" s="40"/>
      <c r="K25" s="55" t="str">
        <f>INDEX(Tableau6[TS],MATCH(Tableau5[[#This Row],[Type Signal]],Tableau6[TypeSignal],0))&amp;""</f>
        <v>ET</v>
      </c>
      <c r="L25" s="55"/>
      <c r="M25" s="21"/>
      <c r="N25" s="20" t="s">
        <v>758</v>
      </c>
    </row>
    <row r="26" spans="1:14" ht="18" customHeight="1">
      <c r="A26" s="96">
        <v>25</v>
      </c>
      <c r="B26" s="44" t="s">
        <v>777</v>
      </c>
      <c r="C26" s="20" t="s">
        <v>487</v>
      </c>
      <c r="D26" s="20" t="s">
        <v>487</v>
      </c>
      <c r="H26" s="53" t="s">
        <v>213</v>
      </c>
      <c r="J26" s="40"/>
      <c r="K26" s="55" t="str">
        <f>INDEX(Tableau6[TS],MATCH(Tableau5[[#This Row],[Type Signal]],Tableau6[TypeSignal],0))&amp;""</f>
        <v>ET</v>
      </c>
      <c r="L26" s="55"/>
      <c r="M26" s="21"/>
      <c r="N26" s="20" t="s">
        <v>758</v>
      </c>
    </row>
    <row r="27" spans="1:14" ht="18" customHeight="1">
      <c r="A27" s="96">
        <v>26</v>
      </c>
      <c r="B27" s="44" t="s">
        <v>777</v>
      </c>
      <c r="C27" s="20" t="s">
        <v>787</v>
      </c>
      <c r="D27" s="20" t="s">
        <v>258</v>
      </c>
      <c r="H27" s="53" t="s">
        <v>213</v>
      </c>
      <c r="J27" s="40"/>
      <c r="K27" s="55" t="str">
        <f>INDEX(Tableau6[TS],MATCH(Tableau5[[#This Row],[Type Signal]],Tableau6[TypeSignal],0))&amp;""</f>
        <v>ET</v>
      </c>
      <c r="L27" s="55"/>
      <c r="M27" s="21"/>
      <c r="N27" s="20" t="s">
        <v>758</v>
      </c>
    </row>
    <row r="28" spans="1:14" ht="18" customHeight="1">
      <c r="A28" s="96">
        <v>27</v>
      </c>
      <c r="B28" s="44" t="s">
        <v>788</v>
      </c>
      <c r="C28" s="20" t="s">
        <v>789</v>
      </c>
      <c r="D28" s="20" t="s">
        <v>486</v>
      </c>
      <c r="I28" s="53" t="s">
        <v>213</v>
      </c>
      <c r="J28" s="40"/>
      <c r="K28" s="55" t="str">
        <f>INDEX(Tableau6[TS],MATCH(Tableau5[[#This Row],[Type Signal]],Tableau6[TypeSignal],0))&amp;""</f>
        <v>ET</v>
      </c>
      <c r="L28" s="55"/>
      <c r="M28" s="21"/>
      <c r="N28" s="20" t="s">
        <v>758</v>
      </c>
    </row>
    <row r="29" spans="1:14" ht="18" customHeight="1">
      <c r="A29" s="96">
        <v>28</v>
      </c>
      <c r="B29" s="44" t="s">
        <v>790</v>
      </c>
      <c r="C29" s="20" t="s">
        <v>791</v>
      </c>
      <c r="D29" s="20" t="s">
        <v>493</v>
      </c>
      <c r="I29" s="53" t="s">
        <v>213</v>
      </c>
      <c r="J29" s="41"/>
      <c r="K29" s="55" t="str">
        <f>INDEX(Tableau6[TS],MATCH(Tableau5[[#This Row],[Type Signal]],Tableau6[TypeSignal],0))&amp;""</f>
        <v>ST</v>
      </c>
      <c r="L29" s="55"/>
      <c r="M29" s="21"/>
      <c r="N29" s="20" t="s">
        <v>761</v>
      </c>
    </row>
    <row r="30" spans="1:14" ht="18" customHeight="1">
      <c r="A30" s="96">
        <v>29</v>
      </c>
      <c r="B30" s="44" t="s">
        <v>790</v>
      </c>
      <c r="C30" s="20" t="s">
        <v>792</v>
      </c>
      <c r="D30" s="20" t="s">
        <v>489</v>
      </c>
      <c r="H30" s="53" t="s">
        <v>213</v>
      </c>
      <c r="J30" s="40"/>
      <c r="K30" s="55" t="str">
        <f>INDEX(Tableau6[TS],MATCH(Tableau5[[#This Row],[Type Signal]],Tableau6[TypeSignal],0))&amp;""</f>
        <v>ET</v>
      </c>
      <c r="L30" s="55"/>
      <c r="M30" s="21"/>
      <c r="N30" s="20" t="s">
        <v>758</v>
      </c>
    </row>
    <row r="31" spans="1:14" ht="18" customHeight="1">
      <c r="A31" s="96">
        <v>30</v>
      </c>
      <c r="B31" s="44" t="s">
        <v>790</v>
      </c>
      <c r="C31" s="20" t="s">
        <v>793</v>
      </c>
      <c r="D31" s="20" t="s">
        <v>477</v>
      </c>
      <c r="H31" s="53" t="s">
        <v>213</v>
      </c>
      <c r="J31" s="41"/>
      <c r="K31" s="55" t="str">
        <f>INDEX(Tableau6[TS],MATCH(Tableau5[[#This Row],[Type Signal]],Tableau6[TypeSignal],0))&amp;""</f>
        <v>ST</v>
      </c>
      <c r="L31" s="55"/>
      <c r="M31" s="21"/>
      <c r="N31" s="20" t="s">
        <v>761</v>
      </c>
    </row>
    <row r="32" spans="1:14" ht="18" customHeight="1">
      <c r="A32" s="96">
        <v>31</v>
      </c>
      <c r="B32" s="44" t="s">
        <v>790</v>
      </c>
      <c r="C32" s="20" t="s">
        <v>794</v>
      </c>
      <c r="D32" s="20" t="s">
        <v>502</v>
      </c>
      <c r="I32" s="53" t="s">
        <v>213</v>
      </c>
      <c r="J32" s="40"/>
      <c r="K32" s="55" t="str">
        <f>INDEX(Tableau6[TS],MATCH(Tableau5[[#This Row],[Type Signal]],Tableau6[TypeSignal],0))&amp;""</f>
        <v>ET</v>
      </c>
      <c r="L32" s="55"/>
      <c r="M32" s="21"/>
      <c r="N32" s="20" t="s">
        <v>758</v>
      </c>
    </row>
    <row r="33" spans="1:14" ht="18" customHeight="1">
      <c r="A33" s="96">
        <v>32</v>
      </c>
      <c r="B33" s="44" t="s">
        <v>790</v>
      </c>
      <c r="C33" s="20" t="s">
        <v>795</v>
      </c>
      <c r="D33" s="20" t="s">
        <v>268</v>
      </c>
      <c r="H33" s="53" t="s">
        <v>213</v>
      </c>
      <c r="J33" s="41"/>
      <c r="K33" s="55" t="str">
        <f>INDEX(Tableau6[TS],MATCH(Tableau5[[#This Row],[Type Signal]],Tableau6[TypeSignal],0))&amp;""</f>
        <v>ST</v>
      </c>
      <c r="L33" s="55"/>
      <c r="M33" s="21"/>
      <c r="N33" s="20" t="s">
        <v>761</v>
      </c>
    </row>
    <row r="34" spans="1:14" ht="18" customHeight="1">
      <c r="A34" s="96">
        <v>33</v>
      </c>
      <c r="B34" s="44" t="s">
        <v>790</v>
      </c>
      <c r="C34" s="20" t="s">
        <v>796</v>
      </c>
      <c r="D34" s="20" t="s">
        <v>478</v>
      </c>
      <c r="H34" s="53" t="s">
        <v>213</v>
      </c>
      <c r="J34" s="41"/>
      <c r="K34" s="55" t="str">
        <f>INDEX(Tableau6[TS],MATCH(Tableau5[[#This Row],[Type Signal]],Tableau6[TypeSignal],0))&amp;""</f>
        <v>ST</v>
      </c>
      <c r="L34" s="55"/>
      <c r="M34" s="21"/>
      <c r="N34" s="20" t="s">
        <v>761</v>
      </c>
    </row>
    <row r="35" spans="1:14" ht="18" customHeight="1">
      <c r="A35" s="96">
        <v>34</v>
      </c>
      <c r="B35" s="44" t="s">
        <v>790</v>
      </c>
      <c r="C35" s="20" t="s">
        <v>797</v>
      </c>
      <c r="D35" s="20" t="s">
        <v>269</v>
      </c>
      <c r="I35" s="53" t="s">
        <v>213</v>
      </c>
      <c r="J35" s="41"/>
      <c r="K35" s="55" t="str">
        <f>INDEX(Tableau6[TS],MATCH(Tableau5[[#This Row],[Type Signal]],Tableau6[TypeSignal],0))&amp;""</f>
        <v>ST</v>
      </c>
      <c r="L35" s="55"/>
      <c r="M35" s="21"/>
      <c r="N35" s="20" t="s">
        <v>761</v>
      </c>
    </row>
    <row r="36" spans="1:14" ht="18" customHeight="1">
      <c r="A36" s="96">
        <v>35</v>
      </c>
      <c r="B36" s="44" t="s">
        <v>790</v>
      </c>
      <c r="C36" s="20" t="s">
        <v>798</v>
      </c>
      <c r="D36" s="20" t="s">
        <v>494</v>
      </c>
      <c r="I36" s="53" t="s">
        <v>213</v>
      </c>
      <c r="J36" s="41"/>
      <c r="K36" s="55" t="str">
        <f>INDEX(Tableau6[TS],MATCH(Tableau5[[#This Row],[Type Signal]],Tableau6[TypeSignal],0))&amp;""</f>
        <v>ST</v>
      </c>
      <c r="L36" s="55"/>
      <c r="M36" s="21"/>
      <c r="N36" s="20" t="s">
        <v>761</v>
      </c>
    </row>
    <row r="37" spans="1:14" ht="18" customHeight="1">
      <c r="A37" s="96">
        <v>36</v>
      </c>
      <c r="B37" s="44" t="s">
        <v>790</v>
      </c>
      <c r="C37" s="20" t="s">
        <v>799</v>
      </c>
      <c r="D37" s="20" t="s">
        <v>295</v>
      </c>
      <c r="H37" s="53" t="s">
        <v>213</v>
      </c>
      <c r="J37" s="41"/>
      <c r="K37" s="55" t="str">
        <f>INDEX(Tableau6[TS],MATCH(Tableau5[[#This Row],[Type Signal]],Tableau6[TypeSignal],0))&amp;""</f>
        <v>ST</v>
      </c>
      <c r="L37" s="55"/>
      <c r="M37" s="21"/>
      <c r="N37" s="20" t="s">
        <v>761</v>
      </c>
    </row>
    <row r="38" spans="1:14" ht="18" customHeight="1">
      <c r="A38" s="96">
        <v>37</v>
      </c>
      <c r="B38" s="44" t="s">
        <v>790</v>
      </c>
      <c r="C38" s="20" t="s">
        <v>800</v>
      </c>
      <c r="D38" s="20" t="s">
        <v>296</v>
      </c>
      <c r="H38" s="53" t="s">
        <v>213</v>
      </c>
      <c r="J38" s="41"/>
      <c r="K38" s="55" t="str">
        <f>INDEX(Tableau6[TS],MATCH(Tableau5[[#This Row],[Type Signal]],Tableau6[TypeSignal],0))&amp;""</f>
        <v>ST</v>
      </c>
      <c r="L38" s="55"/>
      <c r="M38" s="21"/>
      <c r="N38" s="20" t="s">
        <v>761</v>
      </c>
    </row>
    <row r="39" spans="1:14" ht="18" customHeight="1">
      <c r="A39" s="96">
        <v>38</v>
      </c>
      <c r="B39" s="44" t="s">
        <v>790</v>
      </c>
      <c r="C39" s="20" t="s">
        <v>801</v>
      </c>
      <c r="D39" s="20" t="s">
        <v>297</v>
      </c>
      <c r="I39" s="53" t="s">
        <v>213</v>
      </c>
      <c r="J39" s="41"/>
      <c r="K39" s="55" t="str">
        <f>INDEX(Tableau6[TS],MATCH(Tableau5[[#This Row],[Type Signal]],Tableau6[TypeSignal],0))&amp;""</f>
        <v>ST</v>
      </c>
      <c r="L39" s="55"/>
      <c r="M39" s="21"/>
      <c r="N39" s="20" t="s">
        <v>761</v>
      </c>
    </row>
    <row r="40" spans="1:14" ht="18" customHeight="1">
      <c r="A40" s="96">
        <v>39</v>
      </c>
      <c r="B40" s="44" t="s">
        <v>790</v>
      </c>
      <c r="C40" s="20" t="s">
        <v>802</v>
      </c>
      <c r="D40" s="20" t="s">
        <v>298</v>
      </c>
      <c r="I40" s="53" t="s">
        <v>213</v>
      </c>
      <c r="J40" s="41"/>
      <c r="K40" s="55" t="str">
        <f>INDEX(Tableau6[TS],MATCH(Tableau5[[#This Row],[Type Signal]],Tableau6[TypeSignal],0))&amp;""</f>
        <v>ST</v>
      </c>
      <c r="L40" s="55"/>
      <c r="M40" s="21"/>
      <c r="N40" s="20" t="s">
        <v>761</v>
      </c>
    </row>
    <row r="41" spans="1:14" ht="18" customHeight="1">
      <c r="A41" s="96">
        <v>40</v>
      </c>
      <c r="B41" s="44" t="s">
        <v>790</v>
      </c>
      <c r="C41" s="20" t="s">
        <v>803</v>
      </c>
      <c r="D41" s="20" t="s">
        <v>270</v>
      </c>
      <c r="H41" s="53" t="s">
        <v>213</v>
      </c>
      <c r="J41" s="40"/>
      <c r="K41" s="55" t="str">
        <f>INDEX(Tableau6[TS],MATCH(Tableau5[[#This Row],[Type Signal]],Tableau6[TypeSignal],0))&amp;""</f>
        <v>ET</v>
      </c>
      <c r="L41" s="55"/>
      <c r="M41" s="21"/>
      <c r="N41" s="20" t="s">
        <v>758</v>
      </c>
    </row>
    <row r="42" spans="1:14" ht="18" customHeight="1">
      <c r="A42" s="96">
        <v>41</v>
      </c>
      <c r="B42" s="44" t="s">
        <v>790</v>
      </c>
      <c r="C42" s="20" t="s">
        <v>804</v>
      </c>
      <c r="D42" s="20" t="s">
        <v>271</v>
      </c>
      <c r="H42" s="53" t="s">
        <v>213</v>
      </c>
      <c r="J42" s="40"/>
      <c r="K42" s="55" t="str">
        <f>INDEX(Tableau6[TS],MATCH(Tableau5[[#This Row],[Type Signal]],Tableau6[TypeSignal],0))&amp;""</f>
        <v>ET</v>
      </c>
      <c r="L42" s="55"/>
      <c r="M42" s="21"/>
      <c r="N42" s="20" t="s">
        <v>758</v>
      </c>
    </row>
    <row r="43" spans="1:14" ht="18" customHeight="1">
      <c r="A43" s="96">
        <v>42</v>
      </c>
      <c r="B43" s="44" t="s">
        <v>790</v>
      </c>
      <c r="C43" s="20" t="s">
        <v>805</v>
      </c>
      <c r="D43" s="20" t="s">
        <v>272</v>
      </c>
      <c r="I43" s="53" t="s">
        <v>213</v>
      </c>
      <c r="J43" s="40"/>
      <c r="K43" s="55" t="str">
        <f>INDEX(Tableau6[TS],MATCH(Tableau5[[#This Row],[Type Signal]],Tableau6[TypeSignal],0))&amp;""</f>
        <v>ET</v>
      </c>
      <c r="L43" s="55"/>
      <c r="M43" s="21"/>
      <c r="N43" s="20" t="s">
        <v>758</v>
      </c>
    </row>
    <row r="44" spans="1:14" ht="18" customHeight="1">
      <c r="A44" s="96">
        <v>43</v>
      </c>
      <c r="B44" s="44" t="s">
        <v>790</v>
      </c>
      <c r="C44" s="20" t="s">
        <v>806</v>
      </c>
      <c r="D44" s="20" t="s">
        <v>273</v>
      </c>
      <c r="I44" s="53" t="s">
        <v>213</v>
      </c>
      <c r="J44" s="40"/>
      <c r="K44" s="55" t="str">
        <f>INDEX(Tableau6[TS],MATCH(Tableau5[[#This Row],[Type Signal]],Tableau6[TypeSignal],0))&amp;""</f>
        <v>ET</v>
      </c>
      <c r="L44" s="55"/>
      <c r="M44" s="21"/>
      <c r="N44" s="20" t="s">
        <v>758</v>
      </c>
    </row>
    <row r="45" spans="1:14" ht="18" customHeight="1">
      <c r="A45" s="96">
        <v>44</v>
      </c>
      <c r="B45" s="44" t="s">
        <v>790</v>
      </c>
      <c r="C45" s="20" t="s">
        <v>807</v>
      </c>
      <c r="D45" s="20" t="s">
        <v>490</v>
      </c>
      <c r="H45" s="53" t="s">
        <v>213</v>
      </c>
      <c r="J45" s="40"/>
      <c r="K45" s="55" t="str">
        <f>INDEX(Tableau6[TS],MATCH(Tableau5[[#This Row],[Type Signal]],Tableau6[TypeSignal],0))&amp;""</f>
        <v>ET</v>
      </c>
      <c r="L45" s="55"/>
      <c r="M45" s="21"/>
      <c r="N45" s="20" t="s">
        <v>758</v>
      </c>
    </row>
    <row r="46" spans="1:14" ht="18" customHeight="1">
      <c r="A46" s="96">
        <v>45</v>
      </c>
      <c r="B46" s="44" t="s">
        <v>790</v>
      </c>
      <c r="C46" s="20" t="s">
        <v>808</v>
      </c>
      <c r="D46" s="20" t="s">
        <v>503</v>
      </c>
      <c r="I46" s="53" t="s">
        <v>213</v>
      </c>
      <c r="J46" s="40"/>
      <c r="K46" s="55" t="str">
        <f>INDEX(Tableau6[TS],MATCH(Tableau5[[#This Row],[Type Signal]],Tableau6[TypeSignal],0))&amp;""</f>
        <v>ET</v>
      </c>
      <c r="L46" s="55"/>
      <c r="M46" s="21"/>
      <c r="N46" s="20" t="s">
        <v>758</v>
      </c>
    </row>
    <row r="47" spans="1:14" ht="18" customHeight="1">
      <c r="A47" s="96">
        <v>46</v>
      </c>
      <c r="B47" s="44" t="s">
        <v>790</v>
      </c>
      <c r="C47" s="20" t="s">
        <v>809</v>
      </c>
      <c r="D47" s="20" t="s">
        <v>491</v>
      </c>
      <c r="H47" s="53" t="s">
        <v>213</v>
      </c>
      <c r="J47" s="40"/>
      <c r="K47" s="55" t="str">
        <f>INDEX(Tableau6[TS],MATCH(Tableau5[[#This Row],[Type Signal]],Tableau6[TypeSignal],0))&amp;""</f>
        <v>ET</v>
      </c>
      <c r="L47" s="55"/>
      <c r="M47" s="21"/>
      <c r="N47" s="20" t="s">
        <v>758</v>
      </c>
    </row>
    <row r="48" spans="1:14" ht="18" customHeight="1">
      <c r="A48" s="96">
        <v>47</v>
      </c>
      <c r="B48" s="44" t="s">
        <v>790</v>
      </c>
      <c r="C48" s="20" t="s">
        <v>810</v>
      </c>
      <c r="D48" s="20" t="s">
        <v>492</v>
      </c>
      <c r="H48" s="53" t="s">
        <v>213</v>
      </c>
      <c r="J48" s="40"/>
      <c r="K48" s="55" t="str">
        <f>INDEX(Tableau6[TS],MATCH(Tableau5[[#This Row],[Type Signal]],Tableau6[TypeSignal],0))&amp;""</f>
        <v>ET</v>
      </c>
      <c r="L48" s="55"/>
      <c r="M48" s="21"/>
      <c r="N48" s="20" t="s">
        <v>758</v>
      </c>
    </row>
    <row r="49" spans="1:14" ht="18" customHeight="1">
      <c r="A49" s="96">
        <v>48</v>
      </c>
      <c r="B49" s="44" t="s">
        <v>811</v>
      </c>
      <c r="C49" s="20" t="s">
        <v>812</v>
      </c>
      <c r="D49" s="20" t="s">
        <v>505</v>
      </c>
      <c r="I49" s="53" t="s">
        <v>213</v>
      </c>
      <c r="J49" s="40"/>
      <c r="K49" s="55" t="str">
        <f>INDEX(Tableau6[TS],MATCH(Tableau5[[#This Row],[Type Signal]],Tableau6[TypeSignal],0))&amp;""</f>
        <v>ET</v>
      </c>
      <c r="L49" s="55"/>
      <c r="M49" s="21"/>
      <c r="N49" s="20" t="s">
        <v>758</v>
      </c>
    </row>
    <row r="50" spans="1:14" ht="18" customHeight="1">
      <c r="A50" s="96">
        <v>49</v>
      </c>
      <c r="B50" s="44" t="s">
        <v>811</v>
      </c>
      <c r="C50" s="20" t="s">
        <v>813</v>
      </c>
      <c r="D50" s="20" t="s">
        <v>506</v>
      </c>
      <c r="I50" s="53" t="s">
        <v>213</v>
      </c>
      <c r="J50" s="40"/>
      <c r="K50" s="55" t="str">
        <f>INDEX(Tableau6[TS],MATCH(Tableau5[[#This Row],[Type Signal]],Tableau6[TypeSignal],0))&amp;""</f>
        <v>ET</v>
      </c>
      <c r="L50" s="55"/>
      <c r="M50" s="21"/>
      <c r="N50" s="20" t="s">
        <v>758</v>
      </c>
    </row>
    <row r="51" spans="1:14" ht="18" customHeight="1">
      <c r="A51" s="96">
        <v>50</v>
      </c>
      <c r="B51" s="44" t="s">
        <v>814</v>
      </c>
      <c r="C51" s="20" t="s">
        <v>778</v>
      </c>
      <c r="D51" s="20" t="s">
        <v>476</v>
      </c>
      <c r="I51" s="53" t="s">
        <v>213</v>
      </c>
      <c r="J51" s="41"/>
      <c r="K51" s="55" t="str">
        <f>INDEX(Tableau6[TS],MATCH(Tableau5[[#This Row],[Type Signal]],Tableau6[TypeSignal],0))&amp;""</f>
        <v>ST</v>
      </c>
      <c r="L51" s="55"/>
      <c r="M51" s="21"/>
      <c r="N51" s="20" t="s">
        <v>761</v>
      </c>
    </row>
    <row r="52" spans="1:14" ht="18" customHeight="1">
      <c r="A52" s="96">
        <v>51</v>
      </c>
      <c r="B52" s="44" t="s">
        <v>814</v>
      </c>
      <c r="C52" s="20" t="s">
        <v>815</v>
      </c>
      <c r="D52" s="20" t="s">
        <v>815</v>
      </c>
      <c r="H52" s="53" t="s">
        <v>213</v>
      </c>
      <c r="J52" s="40"/>
      <c r="K52" s="55" t="str">
        <f>INDEX(Tableau6[TS],MATCH(Tableau5[[#This Row],[Type Signal]],Tableau6[TypeSignal],0))&amp;""</f>
        <v>ET</v>
      </c>
      <c r="L52" s="55"/>
      <c r="M52" s="21"/>
      <c r="N52" s="20" t="s">
        <v>758</v>
      </c>
    </row>
    <row r="53" spans="1:14" ht="18" customHeight="1">
      <c r="A53" s="96">
        <v>52</v>
      </c>
      <c r="B53" s="44" t="s">
        <v>814</v>
      </c>
      <c r="C53" s="20" t="s">
        <v>780</v>
      </c>
      <c r="D53" s="20" t="s">
        <v>264</v>
      </c>
      <c r="H53" s="53" t="s">
        <v>213</v>
      </c>
      <c r="J53" s="41"/>
      <c r="K53" s="55" t="str">
        <f>INDEX(Tableau6[TS],MATCH(Tableau5[[#This Row],[Type Signal]],Tableau6[TypeSignal],0))&amp;""</f>
        <v>ST</v>
      </c>
      <c r="L53" s="55"/>
      <c r="M53" s="21"/>
      <c r="N53" s="20" t="s">
        <v>761</v>
      </c>
    </row>
    <row r="54" spans="1:14" ht="18" customHeight="1">
      <c r="A54" s="96">
        <v>53</v>
      </c>
      <c r="B54" s="44" t="s">
        <v>814</v>
      </c>
      <c r="C54" s="20" t="s">
        <v>781</v>
      </c>
      <c r="D54" s="20" t="s">
        <v>475</v>
      </c>
      <c r="H54" s="53" t="s">
        <v>213</v>
      </c>
      <c r="J54" s="41"/>
      <c r="K54" s="55" t="str">
        <f>INDEX(Tableau6[TS],MATCH(Tableau5[[#This Row],[Type Signal]],Tableau6[TypeSignal],0))&amp;""</f>
        <v>ST</v>
      </c>
      <c r="L54" s="55"/>
      <c r="M54" s="21"/>
      <c r="N54" s="20" t="s">
        <v>761</v>
      </c>
    </row>
    <row r="55" spans="1:14" ht="18" customHeight="1">
      <c r="A55" s="96">
        <v>54</v>
      </c>
      <c r="B55" s="44" t="s">
        <v>814</v>
      </c>
      <c r="C55" s="20" t="s">
        <v>782</v>
      </c>
      <c r="D55" s="20" t="s">
        <v>293</v>
      </c>
      <c r="H55" s="53" t="s">
        <v>213</v>
      </c>
      <c r="J55" s="41"/>
      <c r="K55" s="55" t="str">
        <f>INDEX(Tableau6[TS],MATCH(Tableau5[[#This Row],[Type Signal]],Tableau6[TypeSignal],0))&amp;""</f>
        <v>ST</v>
      </c>
      <c r="L55" s="55"/>
      <c r="M55" s="21"/>
      <c r="N55" s="20" t="s">
        <v>761</v>
      </c>
    </row>
    <row r="56" spans="1:14" ht="18" customHeight="1">
      <c r="A56" s="96">
        <v>55</v>
      </c>
      <c r="B56" s="44" t="s">
        <v>814</v>
      </c>
      <c r="C56" s="20" t="s">
        <v>783</v>
      </c>
      <c r="D56" s="20" t="s">
        <v>294</v>
      </c>
      <c r="H56" s="53" t="s">
        <v>213</v>
      </c>
      <c r="J56" s="41"/>
      <c r="K56" s="55" t="str">
        <f>INDEX(Tableau6[TS],MATCH(Tableau5[[#This Row],[Type Signal]],Tableau6[TypeSignal],0))&amp;""</f>
        <v>ST</v>
      </c>
      <c r="L56" s="55"/>
      <c r="M56" s="21"/>
      <c r="N56" s="20" t="s">
        <v>761</v>
      </c>
    </row>
    <row r="57" spans="1:14" ht="18" customHeight="1">
      <c r="A57" s="96">
        <v>56</v>
      </c>
      <c r="B57" s="44" t="s">
        <v>814</v>
      </c>
      <c r="C57" s="20" t="s">
        <v>816</v>
      </c>
      <c r="D57" s="20" t="s">
        <v>485</v>
      </c>
      <c r="H57" s="53" t="s">
        <v>213</v>
      </c>
      <c r="J57" s="40"/>
      <c r="K57" s="55" t="str">
        <f>INDEX(Tableau6[TS],MATCH(Tableau5[[#This Row],[Type Signal]],Tableau6[TypeSignal],0))&amp;""</f>
        <v>ET</v>
      </c>
      <c r="L57" s="55"/>
      <c r="M57" s="21"/>
      <c r="N57" s="20" t="s">
        <v>758</v>
      </c>
    </row>
    <row r="58" spans="1:14" ht="18" customHeight="1">
      <c r="A58" s="96">
        <v>57</v>
      </c>
      <c r="B58" s="44" t="s">
        <v>814</v>
      </c>
      <c r="C58" s="20" t="s">
        <v>789</v>
      </c>
      <c r="D58" s="20" t="s">
        <v>486</v>
      </c>
      <c r="H58" s="53" t="s">
        <v>213</v>
      </c>
      <c r="J58" s="40"/>
      <c r="K58" s="55" t="str">
        <f>INDEX(Tableau6[TS],MATCH(Tableau5[[#This Row],[Type Signal]],Tableau6[TypeSignal],0))&amp;""</f>
        <v>ET</v>
      </c>
      <c r="L58" s="55"/>
      <c r="M58" s="21"/>
      <c r="N58" s="20" t="s">
        <v>758</v>
      </c>
    </row>
    <row r="59" spans="1:14" ht="18" customHeight="1">
      <c r="A59" s="96">
        <v>58</v>
      </c>
      <c r="B59" s="44" t="s">
        <v>814</v>
      </c>
      <c r="C59" s="20" t="s">
        <v>815</v>
      </c>
      <c r="D59" s="20" t="s">
        <v>815</v>
      </c>
      <c r="H59" s="53" t="s">
        <v>213</v>
      </c>
      <c r="J59" s="40"/>
      <c r="K59" s="55" t="str">
        <f>INDEX(Tableau6[TS],MATCH(Tableau5[[#This Row],[Type Signal]],Tableau6[TypeSignal],0))&amp;""</f>
        <v>ET</v>
      </c>
      <c r="L59" s="55"/>
      <c r="M59" s="21"/>
      <c r="N59" s="20" t="s">
        <v>758</v>
      </c>
    </row>
    <row r="60" spans="1:14" ht="18" customHeight="1">
      <c r="A60" s="96">
        <v>59</v>
      </c>
      <c r="B60" s="44" t="s">
        <v>814</v>
      </c>
      <c r="C60" s="20" t="s">
        <v>786</v>
      </c>
      <c r="D60" s="20" t="s">
        <v>267</v>
      </c>
      <c r="H60" s="53" t="s">
        <v>213</v>
      </c>
      <c r="J60" s="40"/>
      <c r="K60" s="55" t="str">
        <f>INDEX(Tableau6[TS],MATCH(Tableau5[[#This Row],[Type Signal]],Tableau6[TypeSignal],0))&amp;""</f>
        <v>ET</v>
      </c>
      <c r="L60" s="55"/>
      <c r="M60" s="21"/>
      <c r="N60" s="20" t="s">
        <v>758</v>
      </c>
    </row>
    <row r="61" spans="1:14" ht="18" customHeight="1">
      <c r="A61" s="96">
        <v>60</v>
      </c>
      <c r="B61" s="44" t="s">
        <v>814</v>
      </c>
      <c r="C61" s="20" t="s">
        <v>487</v>
      </c>
      <c r="D61" s="20" t="s">
        <v>487</v>
      </c>
      <c r="H61" s="53" t="s">
        <v>213</v>
      </c>
      <c r="J61" s="40"/>
      <c r="K61" s="55" t="str">
        <f>INDEX(Tableau6[TS],MATCH(Tableau5[[#This Row],[Type Signal]],Tableau6[TypeSignal],0))&amp;""</f>
        <v>ET</v>
      </c>
      <c r="L61" s="55"/>
      <c r="M61" s="21"/>
      <c r="N61" s="20" t="s">
        <v>758</v>
      </c>
    </row>
    <row r="62" spans="1:14" ht="18" customHeight="1">
      <c r="A62" s="96">
        <v>61</v>
      </c>
      <c r="B62" s="44" t="s">
        <v>817</v>
      </c>
      <c r="C62" s="20" t="s">
        <v>779</v>
      </c>
      <c r="D62" s="20" t="s">
        <v>507</v>
      </c>
      <c r="I62" s="53" t="s">
        <v>213</v>
      </c>
      <c r="J62" s="40"/>
      <c r="K62" s="55" t="str">
        <f>INDEX(Tableau6[TS],MATCH(Tableau5[[#This Row],[Type Signal]],Tableau6[TypeSignal],0))&amp;""</f>
        <v>ET</v>
      </c>
      <c r="L62" s="55"/>
      <c r="M62" s="21"/>
      <c r="N62" s="20" t="s">
        <v>758</v>
      </c>
    </row>
    <row r="63" spans="1:14" ht="18" customHeight="1">
      <c r="A63" s="96">
        <v>62</v>
      </c>
      <c r="B63" s="44" t="s">
        <v>817</v>
      </c>
      <c r="C63" s="20" t="s">
        <v>818</v>
      </c>
      <c r="D63" s="20" t="s">
        <v>495</v>
      </c>
      <c r="I63" s="53" t="s">
        <v>213</v>
      </c>
      <c r="J63" s="40"/>
      <c r="K63" s="55" t="str">
        <f>INDEX(Tableau6[TS],MATCH(Tableau5[[#This Row],[Type Signal]],Tableau6[TypeSignal],0))&amp;""</f>
        <v>ET</v>
      </c>
      <c r="L63" s="55"/>
      <c r="M63" s="21"/>
      <c r="N63" s="20" t="s">
        <v>758</v>
      </c>
    </row>
    <row r="64" spans="1:14" ht="18" customHeight="1">
      <c r="A64" s="96">
        <v>63</v>
      </c>
      <c r="B64" s="44" t="s">
        <v>819</v>
      </c>
      <c r="C64" s="20" t="s">
        <v>820</v>
      </c>
      <c r="D64" s="20" t="s">
        <v>256</v>
      </c>
      <c r="H64" s="53" t="s">
        <v>213</v>
      </c>
      <c r="J64" s="41"/>
      <c r="K64" s="55" t="str">
        <f>INDEX(Tableau6[TS],MATCH(Tableau5[[#This Row],[Type Signal]],Tableau6[TypeSignal],0))&amp;""</f>
        <v>ST</v>
      </c>
      <c r="L64" s="55"/>
      <c r="M64" s="21"/>
      <c r="N64" s="20" t="s">
        <v>761</v>
      </c>
    </row>
    <row r="65" spans="1:14" ht="18" customHeight="1">
      <c r="A65" s="96">
        <v>64</v>
      </c>
      <c r="B65" s="44" t="s">
        <v>819</v>
      </c>
      <c r="C65" s="20" t="s">
        <v>821</v>
      </c>
      <c r="D65" s="20" t="s">
        <v>255</v>
      </c>
      <c r="H65" s="53" t="s">
        <v>213</v>
      </c>
      <c r="J65" s="41"/>
      <c r="K65" s="55" t="str">
        <f>INDEX(Tableau6[TS],MATCH(Tableau5[[#This Row],[Type Signal]],Tableau6[TypeSignal],0))&amp;""</f>
        <v>ST</v>
      </c>
      <c r="L65" s="55"/>
      <c r="M65" s="21"/>
      <c r="N65" s="20" t="s">
        <v>761</v>
      </c>
    </row>
    <row r="66" spans="1:14" ht="18" customHeight="1">
      <c r="A66" s="96">
        <v>65</v>
      </c>
      <c r="B66" s="44" t="s">
        <v>819</v>
      </c>
      <c r="C66" s="20" t="s">
        <v>815</v>
      </c>
      <c r="D66" s="20" t="s">
        <v>815</v>
      </c>
      <c r="H66" s="53" t="s">
        <v>213</v>
      </c>
      <c r="J66" s="41"/>
      <c r="K66" s="55" t="str">
        <f>INDEX(Tableau6[TS],MATCH(Tableau5[[#This Row],[Type Signal]],Tableau6[TypeSignal],0))&amp;""</f>
        <v>ST</v>
      </c>
      <c r="L66" s="55"/>
      <c r="M66" s="21"/>
      <c r="N66" s="20" t="s">
        <v>761</v>
      </c>
    </row>
    <row r="67" spans="1:14" ht="18" customHeight="1">
      <c r="A67" s="96">
        <v>66</v>
      </c>
      <c r="B67" s="44" t="s">
        <v>819</v>
      </c>
      <c r="C67" s="20" t="s">
        <v>822</v>
      </c>
      <c r="D67" s="20" t="s">
        <v>257</v>
      </c>
      <c r="H67" s="53" t="s">
        <v>213</v>
      </c>
      <c r="J67" s="40"/>
      <c r="K67" s="55" t="str">
        <f>INDEX(Tableau6[TS],MATCH(Tableau5[[#This Row],[Type Signal]],Tableau6[TypeSignal],0))&amp;""</f>
        <v>ET</v>
      </c>
      <c r="L67" s="55"/>
      <c r="M67" s="21"/>
      <c r="N67" s="20" t="s">
        <v>758</v>
      </c>
    </row>
    <row r="68" spans="1:14" ht="18" customHeight="1">
      <c r="A68" s="96">
        <v>67</v>
      </c>
      <c r="B68" s="44" t="s">
        <v>819</v>
      </c>
      <c r="C68" s="20" t="s">
        <v>787</v>
      </c>
      <c r="D68" s="20" t="s">
        <v>258</v>
      </c>
      <c r="H68" s="53" t="s">
        <v>213</v>
      </c>
      <c r="J68" s="40"/>
      <c r="K68" s="55" t="str">
        <f>INDEX(Tableau6[TS],MATCH(Tableau5[[#This Row],[Type Signal]],Tableau6[TypeSignal],0))&amp;""</f>
        <v>ET</v>
      </c>
      <c r="L68" s="55"/>
      <c r="M68" s="21"/>
      <c r="N68" s="20" t="s">
        <v>758</v>
      </c>
    </row>
    <row r="69" spans="1:14" ht="18" customHeight="1">
      <c r="A69" s="96">
        <v>68</v>
      </c>
      <c r="B69" s="44" t="s">
        <v>819</v>
      </c>
      <c r="C69" s="20" t="s">
        <v>786</v>
      </c>
      <c r="D69" s="20" t="s">
        <v>259</v>
      </c>
      <c r="H69" s="53" t="s">
        <v>213</v>
      </c>
      <c r="J69" s="40"/>
      <c r="K69" s="55" t="str">
        <f>INDEX(Tableau6[TS],MATCH(Tableau5[[#This Row],[Type Signal]],Tableau6[TypeSignal],0))&amp;""</f>
        <v>ET</v>
      </c>
      <c r="L69" s="55"/>
      <c r="M69" s="21"/>
      <c r="N69" s="20" t="s">
        <v>758</v>
      </c>
    </row>
    <row r="70" spans="1:14" ht="18" customHeight="1">
      <c r="A70" s="96">
        <v>69</v>
      </c>
      <c r="B70" s="44" t="s">
        <v>819</v>
      </c>
      <c r="C70" s="20" t="s">
        <v>487</v>
      </c>
      <c r="D70" s="20" t="s">
        <v>487</v>
      </c>
      <c r="H70" s="53" t="s">
        <v>213</v>
      </c>
      <c r="J70" s="40"/>
      <c r="K70" s="55" t="str">
        <f>INDEX(Tableau6[TS],MATCH(Tableau5[[#This Row],[Type Signal]],Tableau6[TypeSignal],0))&amp;""</f>
        <v>ET</v>
      </c>
      <c r="L70" s="55"/>
      <c r="M70" s="21"/>
      <c r="N70" s="20" t="s">
        <v>758</v>
      </c>
    </row>
    <row r="71" spans="1:14" ht="18" customHeight="1">
      <c r="A71" s="96">
        <v>70</v>
      </c>
      <c r="B71" s="44" t="s">
        <v>819</v>
      </c>
      <c r="C71" s="20" t="s">
        <v>823</v>
      </c>
      <c r="D71" s="20" t="s">
        <v>262</v>
      </c>
      <c r="H71" s="53" t="s">
        <v>213</v>
      </c>
      <c r="J71" s="40"/>
      <c r="K71" s="55" t="str">
        <f>INDEX(Tableau6[TS],MATCH(Tableau5[[#This Row],[Type Signal]],Tableau6[TypeSignal],0))&amp;""</f>
        <v>ET</v>
      </c>
      <c r="L71" s="55"/>
      <c r="M71" s="21"/>
      <c r="N71" s="20" t="s">
        <v>758</v>
      </c>
    </row>
    <row r="72" spans="1:14" ht="18" customHeight="1">
      <c r="A72" s="96">
        <v>71</v>
      </c>
      <c r="B72" s="44" t="s">
        <v>824</v>
      </c>
      <c r="C72" s="20" t="s">
        <v>825</v>
      </c>
      <c r="D72" s="20" t="s">
        <v>473</v>
      </c>
      <c r="I72" s="53" t="s">
        <v>213</v>
      </c>
      <c r="J72" s="41"/>
      <c r="K72" s="55" t="str">
        <f>INDEX(Tableau6[TS],MATCH(Tableau5[[#This Row],[Type Signal]],Tableau6[TypeSignal],0))&amp;""</f>
        <v>ST</v>
      </c>
      <c r="L72" s="55"/>
      <c r="M72" s="21"/>
      <c r="N72" s="20" t="s">
        <v>761</v>
      </c>
    </row>
    <row r="73" spans="1:14" ht="18" customHeight="1">
      <c r="A73" s="96">
        <v>72</v>
      </c>
      <c r="B73" s="44" t="s">
        <v>824</v>
      </c>
      <c r="C73" s="20" t="s">
        <v>815</v>
      </c>
      <c r="D73" s="20" t="s">
        <v>815</v>
      </c>
      <c r="H73" s="53" t="s">
        <v>213</v>
      </c>
      <c r="J73" s="40"/>
      <c r="K73" s="55" t="str">
        <f>INDEX(Tableau6[TS],MATCH(Tableau5[[#This Row],[Type Signal]],Tableau6[TypeSignal],0))&amp;""</f>
        <v>ET</v>
      </c>
      <c r="L73" s="55"/>
      <c r="M73" s="21"/>
      <c r="N73" s="20" t="s">
        <v>758</v>
      </c>
    </row>
    <row r="74" spans="1:14" ht="18" customHeight="1">
      <c r="A74" s="96">
        <v>73</v>
      </c>
      <c r="B74" s="44" t="s">
        <v>824</v>
      </c>
      <c r="C74" s="20" t="s">
        <v>826</v>
      </c>
      <c r="D74" s="20" t="s">
        <v>485</v>
      </c>
      <c r="H74" s="53" t="s">
        <v>213</v>
      </c>
      <c r="J74" s="40"/>
      <c r="K74" s="55" t="str">
        <f>INDEX(Tableau6[TS],MATCH(Tableau5[[#This Row],[Type Signal]],Tableau6[TypeSignal],0))&amp;""</f>
        <v>ET</v>
      </c>
      <c r="L74" s="55"/>
      <c r="M74" s="21"/>
      <c r="N74" s="20" t="s">
        <v>758</v>
      </c>
    </row>
    <row r="75" spans="1:14" ht="18" customHeight="1">
      <c r="A75" s="96">
        <v>74</v>
      </c>
      <c r="B75" s="44" t="s">
        <v>824</v>
      </c>
      <c r="C75" s="20" t="s">
        <v>820</v>
      </c>
      <c r="D75" s="20" t="s">
        <v>256</v>
      </c>
      <c r="H75" s="53" t="s">
        <v>213</v>
      </c>
      <c r="J75" s="41"/>
      <c r="K75" s="55" t="str">
        <f>INDEX(Tableau6[TS],MATCH(Tableau5[[#This Row],[Type Signal]],Tableau6[TypeSignal],0))&amp;""</f>
        <v>ST</v>
      </c>
      <c r="L75" s="55"/>
      <c r="M75" s="21"/>
      <c r="N75" s="20" t="s">
        <v>761</v>
      </c>
    </row>
    <row r="76" spans="1:14" ht="18" customHeight="1">
      <c r="A76" s="96">
        <v>75</v>
      </c>
      <c r="B76" s="44" t="s">
        <v>824</v>
      </c>
      <c r="C76" s="20" t="s">
        <v>815</v>
      </c>
      <c r="D76" s="20" t="s">
        <v>815</v>
      </c>
      <c r="H76" s="53" t="s">
        <v>213</v>
      </c>
      <c r="J76" s="41"/>
      <c r="K76" s="55" t="str">
        <f>INDEX(Tableau6[TS],MATCH(Tableau5[[#This Row],[Type Signal]],Tableau6[TypeSignal],0))&amp;""</f>
        <v>ST</v>
      </c>
      <c r="L76" s="55"/>
      <c r="M76" s="21"/>
      <c r="N76" s="20" t="s">
        <v>761</v>
      </c>
    </row>
    <row r="77" spans="1:14" ht="18" customHeight="1">
      <c r="A77" s="96">
        <v>76</v>
      </c>
      <c r="B77" s="44" t="s">
        <v>824</v>
      </c>
      <c r="C77" s="20" t="s">
        <v>827</v>
      </c>
      <c r="D77" s="20" t="s">
        <v>517</v>
      </c>
      <c r="H77" s="53" t="s">
        <v>213</v>
      </c>
      <c r="J77" s="41"/>
      <c r="K77" s="55" t="str">
        <f>INDEX(Tableau6[TS],MATCH(Tableau5[[#This Row],[Type Signal]],Tableau6[TypeSignal],0))&amp;""</f>
        <v>ST</v>
      </c>
      <c r="L77" s="55"/>
      <c r="M77" s="21"/>
      <c r="N77" s="20" t="s">
        <v>761</v>
      </c>
    </row>
    <row r="78" spans="1:14" ht="18" customHeight="1">
      <c r="A78" s="96">
        <v>77</v>
      </c>
      <c r="B78" s="44" t="s">
        <v>824</v>
      </c>
      <c r="C78" s="20" t="s">
        <v>822</v>
      </c>
      <c r="D78" s="20" t="s">
        <v>257</v>
      </c>
      <c r="H78" s="53" t="s">
        <v>213</v>
      </c>
      <c r="J78" s="40"/>
      <c r="K78" s="55" t="str">
        <f>INDEX(Tableau6[TS],MATCH(Tableau5[[#This Row],[Type Signal]],Tableau6[TypeSignal],0))&amp;""</f>
        <v>ET</v>
      </c>
      <c r="L78" s="55"/>
      <c r="M78" s="21"/>
      <c r="N78" s="20" t="s">
        <v>758</v>
      </c>
    </row>
    <row r="79" spans="1:14" ht="18" customHeight="1">
      <c r="A79" s="96">
        <v>78</v>
      </c>
      <c r="B79" s="44" t="s">
        <v>824</v>
      </c>
      <c r="C79" s="20" t="s">
        <v>487</v>
      </c>
      <c r="D79" s="20" t="s">
        <v>487</v>
      </c>
      <c r="H79" s="53" t="s">
        <v>213</v>
      </c>
      <c r="J79" s="40"/>
      <c r="K79" s="55" t="str">
        <f>INDEX(Tableau6[TS],MATCH(Tableau5[[#This Row],[Type Signal]],Tableau6[TypeSignal],0))&amp;""</f>
        <v>ET</v>
      </c>
      <c r="L79" s="55"/>
      <c r="M79" s="21"/>
      <c r="N79" s="20" t="s">
        <v>758</v>
      </c>
    </row>
    <row r="80" spans="1:14" ht="18" customHeight="1">
      <c r="A80" s="96">
        <v>79</v>
      </c>
      <c r="B80" s="44" t="s">
        <v>824</v>
      </c>
      <c r="C80" s="20" t="s">
        <v>786</v>
      </c>
      <c r="D80" s="20" t="s">
        <v>259</v>
      </c>
      <c r="H80" s="53" t="s">
        <v>213</v>
      </c>
      <c r="J80" s="40"/>
      <c r="K80" s="55" t="str">
        <f>INDEX(Tableau6[TS],MATCH(Tableau5[[#This Row],[Type Signal]],Tableau6[TypeSignal],0))&amp;""</f>
        <v>ET</v>
      </c>
      <c r="L80" s="55"/>
      <c r="M80" s="21"/>
      <c r="N80" s="20" t="s">
        <v>758</v>
      </c>
    </row>
    <row r="81" spans="1:14" ht="18" customHeight="1">
      <c r="A81" s="96">
        <v>80</v>
      </c>
      <c r="B81" s="44" t="s">
        <v>824</v>
      </c>
      <c r="C81" s="20" t="s">
        <v>828</v>
      </c>
      <c r="D81" s="20" t="s">
        <v>529</v>
      </c>
      <c r="H81" s="53" t="s">
        <v>213</v>
      </c>
      <c r="J81" s="40"/>
      <c r="K81" s="55" t="str">
        <f>INDEX(Tableau6[TS],MATCH(Tableau5[[#This Row],[Type Signal]],Tableau6[TypeSignal],0))&amp;""</f>
        <v>ET</v>
      </c>
      <c r="L81" s="55"/>
      <c r="M81" s="21"/>
      <c r="N81" s="20" t="s">
        <v>758</v>
      </c>
    </row>
    <row r="82" spans="1:14" ht="18" customHeight="1">
      <c r="A82" s="96">
        <v>81</v>
      </c>
      <c r="B82" s="44" t="s">
        <v>824</v>
      </c>
      <c r="C82" s="20" t="s">
        <v>823</v>
      </c>
      <c r="D82" s="20" t="s">
        <v>262</v>
      </c>
      <c r="H82" s="53" t="s">
        <v>213</v>
      </c>
      <c r="J82" s="40"/>
      <c r="K82" s="55" t="str">
        <f>INDEX(Tableau6[TS],MATCH(Tableau5[[#This Row],[Type Signal]],Tableau6[TypeSignal],0))&amp;""</f>
        <v>ET</v>
      </c>
      <c r="L82" s="55"/>
      <c r="M82" s="21"/>
      <c r="N82" s="20" t="s">
        <v>758</v>
      </c>
    </row>
    <row r="83" spans="1:14" ht="18" customHeight="1">
      <c r="A83" s="96">
        <v>82</v>
      </c>
      <c r="B83" s="44" t="s">
        <v>829</v>
      </c>
      <c r="C83" s="20" t="s">
        <v>830</v>
      </c>
      <c r="D83" s="20" t="s">
        <v>496</v>
      </c>
      <c r="I83" s="53" t="s">
        <v>213</v>
      </c>
      <c r="J83" s="40"/>
      <c r="K83" s="55" t="str">
        <f>INDEX(Tableau6[TS],MATCH(Tableau5[[#This Row],[Type Signal]],Tableau6[TypeSignal],0))&amp;""</f>
        <v>ET</v>
      </c>
      <c r="L83" s="55"/>
      <c r="M83" s="21"/>
      <c r="N83" s="20" t="s">
        <v>758</v>
      </c>
    </row>
    <row r="84" spans="1:14" ht="18" customHeight="1">
      <c r="A84" s="96">
        <v>83</v>
      </c>
      <c r="B84" s="44" t="s">
        <v>829</v>
      </c>
      <c r="C84" s="20" t="s">
        <v>831</v>
      </c>
      <c r="D84" s="20" t="s">
        <v>495</v>
      </c>
      <c r="I84" s="53" t="s">
        <v>213</v>
      </c>
      <c r="J84" s="40"/>
      <c r="K84" s="55" t="str">
        <f>INDEX(Tableau6[TS],MATCH(Tableau5[[#This Row],[Type Signal]],Tableau6[TypeSignal],0))&amp;""</f>
        <v>ET</v>
      </c>
      <c r="L84" s="55"/>
      <c r="M84" s="21"/>
      <c r="N84" s="20" t="s">
        <v>758</v>
      </c>
    </row>
    <row r="85" spans="1:14" ht="18" customHeight="1">
      <c r="A85" s="96">
        <v>84</v>
      </c>
      <c r="B85" s="44" t="s">
        <v>832</v>
      </c>
      <c r="C85" s="20" t="s">
        <v>771</v>
      </c>
      <c r="D85" s="20" t="s">
        <v>260</v>
      </c>
      <c r="H85" s="53" t="s">
        <v>213</v>
      </c>
      <c r="J85" s="40"/>
      <c r="K85" s="55" t="str">
        <f>INDEX(Tableau6[TS],MATCH(Tableau5[[#This Row],[Type Signal]],Tableau6[TypeSignal],0))&amp;""</f>
        <v>ET</v>
      </c>
      <c r="L85" s="55"/>
      <c r="M85" s="21"/>
      <c r="N85" s="20" t="s">
        <v>758</v>
      </c>
    </row>
    <row r="86" spans="1:14" ht="18" customHeight="1">
      <c r="A86" s="96">
        <v>85</v>
      </c>
      <c r="B86" s="44" t="s">
        <v>832</v>
      </c>
      <c r="C86" s="20" t="s">
        <v>833</v>
      </c>
      <c r="D86" s="20" t="s">
        <v>262</v>
      </c>
      <c r="H86" s="53" t="s">
        <v>213</v>
      </c>
      <c r="J86" s="40"/>
      <c r="K86" s="55" t="str">
        <f>INDEX(Tableau6[TS],MATCH(Tableau5[[#This Row],[Type Signal]],Tableau6[TypeSignal],0))&amp;""</f>
        <v>ET</v>
      </c>
      <c r="L86" s="55"/>
      <c r="M86" s="21"/>
      <c r="N86" s="20" t="s">
        <v>758</v>
      </c>
    </row>
    <row r="87" spans="1:14" ht="18" customHeight="1">
      <c r="A87" s="96">
        <v>86</v>
      </c>
      <c r="B87" s="44" t="s">
        <v>834</v>
      </c>
      <c r="C87" s="20" t="s">
        <v>835</v>
      </c>
      <c r="D87" s="20" t="s">
        <v>474</v>
      </c>
      <c r="I87" s="53" t="s">
        <v>213</v>
      </c>
      <c r="J87" s="41"/>
      <c r="K87" s="55" t="str">
        <f>INDEX(Tableau6[TS],MATCH(Tableau5[[#This Row],[Type Signal]],Tableau6[TypeSignal],0))&amp;""</f>
        <v>ST</v>
      </c>
      <c r="L87" s="55"/>
      <c r="M87" s="21"/>
      <c r="N87" s="20" t="s">
        <v>761</v>
      </c>
    </row>
    <row r="88" spans="1:14" ht="18" customHeight="1">
      <c r="A88" s="96">
        <v>87</v>
      </c>
      <c r="B88" s="44" t="s">
        <v>834</v>
      </c>
      <c r="C88" s="20" t="s">
        <v>815</v>
      </c>
      <c r="D88" s="20" t="s">
        <v>815</v>
      </c>
      <c r="H88" s="53" t="s">
        <v>213</v>
      </c>
      <c r="J88" s="40"/>
      <c r="K88" s="55" t="str">
        <f>INDEX(Tableau6[TS],MATCH(Tableau5[[#This Row],[Type Signal]],Tableau6[TypeSignal],0))&amp;""</f>
        <v>ET</v>
      </c>
      <c r="L88" s="55"/>
      <c r="M88" s="21"/>
      <c r="N88" s="20" t="s">
        <v>758</v>
      </c>
    </row>
    <row r="89" spans="1:14" ht="18" customHeight="1">
      <c r="A89" s="96">
        <v>88</v>
      </c>
      <c r="B89" s="44" t="s">
        <v>834</v>
      </c>
      <c r="C89" s="20" t="s">
        <v>836</v>
      </c>
      <c r="D89" s="20" t="s">
        <v>581</v>
      </c>
      <c r="H89" s="53" t="s">
        <v>213</v>
      </c>
      <c r="J89" s="40"/>
      <c r="K89" s="55" t="str">
        <f>INDEX(Tableau6[TS],MATCH(Tableau5[[#This Row],[Type Signal]],Tableau6[TypeSignal],0))&amp;""</f>
        <v>ET</v>
      </c>
      <c r="L89" s="55"/>
      <c r="M89" s="21"/>
      <c r="N89" s="20" t="s">
        <v>758</v>
      </c>
    </row>
    <row r="90" spans="1:14" ht="18" customHeight="1">
      <c r="A90" s="96">
        <v>89</v>
      </c>
      <c r="B90" s="44" t="s">
        <v>834</v>
      </c>
      <c r="C90" s="20" t="s">
        <v>837</v>
      </c>
      <c r="D90" s="20" t="s">
        <v>307</v>
      </c>
      <c r="H90" s="53" t="s">
        <v>213</v>
      </c>
      <c r="J90" s="41"/>
      <c r="K90" s="55" t="str">
        <f>INDEX(Tableau6[TS],MATCH(Tableau5[[#This Row],[Type Signal]],Tableau6[TypeSignal],0))&amp;""</f>
        <v>ST</v>
      </c>
      <c r="L90" s="55"/>
      <c r="M90" s="21"/>
      <c r="N90" s="20" t="s">
        <v>761</v>
      </c>
    </row>
    <row r="91" spans="1:14" ht="18" customHeight="1">
      <c r="A91" s="96">
        <v>90</v>
      </c>
      <c r="B91" s="44" t="s">
        <v>834</v>
      </c>
      <c r="C91" s="20" t="s">
        <v>838</v>
      </c>
      <c r="D91" s="20" t="s">
        <v>575</v>
      </c>
      <c r="H91" s="53" t="s">
        <v>213</v>
      </c>
      <c r="J91" s="41"/>
      <c r="K91" s="55" t="str">
        <f>INDEX(Tableau6[TS],MATCH(Tableau5[[#This Row],[Type Signal]],Tableau6[TypeSignal],0))&amp;""</f>
        <v>ST</v>
      </c>
      <c r="L91" s="55"/>
      <c r="M91" s="21"/>
      <c r="N91" s="20" t="s">
        <v>761</v>
      </c>
    </row>
    <row r="92" spans="1:14" ht="18" customHeight="1">
      <c r="A92" s="96">
        <v>91</v>
      </c>
      <c r="B92" s="44" t="s">
        <v>834</v>
      </c>
      <c r="C92" s="20" t="s">
        <v>815</v>
      </c>
      <c r="D92" s="20" t="s">
        <v>815</v>
      </c>
      <c r="H92" s="53" t="s">
        <v>213</v>
      </c>
      <c r="J92" s="41"/>
      <c r="K92" s="55" t="str">
        <f>INDEX(Tableau6[TS],MATCH(Tableau5[[#This Row],[Type Signal]],Tableau6[TypeSignal],0))&amp;""</f>
        <v>ST</v>
      </c>
      <c r="L92" s="55"/>
      <c r="M92" s="21"/>
      <c r="N92" s="20" t="s">
        <v>761</v>
      </c>
    </row>
    <row r="93" spans="1:14" ht="18" customHeight="1">
      <c r="A93" s="96">
        <v>92</v>
      </c>
      <c r="B93" s="44" t="s">
        <v>834</v>
      </c>
      <c r="C93" s="20" t="s">
        <v>839</v>
      </c>
      <c r="D93" s="20" t="s">
        <v>308</v>
      </c>
      <c r="H93" s="53" t="s">
        <v>213</v>
      </c>
      <c r="J93" s="40"/>
      <c r="K93" s="55" t="str">
        <f>INDEX(Tableau6[TS],MATCH(Tableau5[[#This Row],[Type Signal]],Tableau6[TypeSignal],0))&amp;""</f>
        <v>ET</v>
      </c>
      <c r="L93" s="55"/>
      <c r="M93" s="21"/>
      <c r="N93" s="20" t="s">
        <v>758</v>
      </c>
    </row>
    <row r="94" spans="1:14" ht="18" customHeight="1">
      <c r="A94" s="96">
        <v>93</v>
      </c>
      <c r="B94" s="44" t="s">
        <v>834</v>
      </c>
      <c r="C94" s="20" t="s">
        <v>487</v>
      </c>
      <c r="D94" s="20" t="s">
        <v>487</v>
      </c>
      <c r="H94" s="53" t="s">
        <v>213</v>
      </c>
      <c r="J94" s="40"/>
      <c r="K94" s="55" t="str">
        <f>INDEX(Tableau6[TS],MATCH(Tableau5[[#This Row],[Type Signal]],Tableau6[TypeSignal],0))&amp;""</f>
        <v>ET</v>
      </c>
      <c r="L94" s="55"/>
      <c r="M94" s="21"/>
      <c r="N94" s="20" t="s">
        <v>758</v>
      </c>
    </row>
    <row r="95" spans="1:14" ht="18" customHeight="1">
      <c r="A95" s="96">
        <v>94</v>
      </c>
      <c r="B95" s="44" t="s">
        <v>834</v>
      </c>
      <c r="C95" s="20" t="s">
        <v>786</v>
      </c>
      <c r="D95" s="20" t="s">
        <v>259</v>
      </c>
      <c r="H95" s="53" t="s">
        <v>213</v>
      </c>
      <c r="J95" s="40"/>
      <c r="K95" s="55" t="str">
        <f>INDEX(Tableau6[TS],MATCH(Tableau5[[#This Row],[Type Signal]],Tableau6[TypeSignal],0))&amp;""</f>
        <v>ET</v>
      </c>
      <c r="L95" s="55"/>
      <c r="M95" s="21"/>
      <c r="N95" s="20" t="s">
        <v>758</v>
      </c>
    </row>
    <row r="96" spans="1:14" ht="18" customHeight="1">
      <c r="A96" s="96">
        <v>95</v>
      </c>
      <c r="B96" s="44" t="s">
        <v>834</v>
      </c>
      <c r="C96" s="20" t="s">
        <v>840</v>
      </c>
      <c r="D96" s="20" t="s">
        <v>582</v>
      </c>
      <c r="H96" s="53" t="s">
        <v>213</v>
      </c>
      <c r="J96" s="40"/>
      <c r="K96" s="55" t="str">
        <f>INDEX(Tableau6[TS],MATCH(Tableau5[[#This Row],[Type Signal]],Tableau6[TypeSignal],0))&amp;""</f>
        <v>ET</v>
      </c>
      <c r="L96" s="55"/>
      <c r="M96" s="21"/>
      <c r="N96" s="20" t="s">
        <v>758</v>
      </c>
    </row>
    <row r="97" spans="1:14" ht="18" customHeight="1">
      <c r="A97" s="96">
        <v>96</v>
      </c>
      <c r="B97" s="44" t="s">
        <v>834</v>
      </c>
      <c r="C97" s="20" t="s">
        <v>841</v>
      </c>
      <c r="D97" s="20" t="s">
        <v>262</v>
      </c>
      <c r="H97" s="53" t="s">
        <v>213</v>
      </c>
      <c r="J97" s="40"/>
      <c r="K97" s="55" t="str">
        <f>INDEX(Tableau6[TS],MATCH(Tableau5[[#This Row],[Type Signal]],Tableau6[TypeSignal],0))&amp;""</f>
        <v>ET</v>
      </c>
      <c r="L97" s="55"/>
      <c r="M97" s="21"/>
      <c r="N97" s="20" t="s">
        <v>758</v>
      </c>
    </row>
    <row r="98" spans="1:14" ht="18" customHeight="1">
      <c r="A98" s="96">
        <v>97</v>
      </c>
      <c r="B98" s="44" t="s">
        <v>842</v>
      </c>
      <c r="C98" s="20" t="s">
        <v>843</v>
      </c>
      <c r="D98" s="20" t="s">
        <v>497</v>
      </c>
      <c r="I98" s="53" t="s">
        <v>213</v>
      </c>
      <c r="J98" s="40"/>
      <c r="K98" s="55" t="str">
        <f>INDEX(Tableau6[TS],MATCH(Tableau5[[#This Row],[Type Signal]],Tableau6[TypeSignal],0))&amp;""</f>
        <v>ET</v>
      </c>
      <c r="L98" s="55"/>
      <c r="M98" s="21"/>
      <c r="N98" s="20" t="s">
        <v>758</v>
      </c>
    </row>
    <row r="99" spans="1:14" ht="18" customHeight="1">
      <c r="A99" s="96">
        <v>98</v>
      </c>
      <c r="B99" s="44" t="s">
        <v>842</v>
      </c>
      <c r="C99" s="20" t="s">
        <v>844</v>
      </c>
      <c r="D99" s="20" t="s">
        <v>498</v>
      </c>
      <c r="I99" s="53" t="s">
        <v>213</v>
      </c>
      <c r="J99" s="40"/>
      <c r="K99" s="55" t="str">
        <f>INDEX(Tableau6[TS],MATCH(Tableau5[[#This Row],[Type Signal]],Tableau6[TypeSignal],0))&amp;""</f>
        <v>ET</v>
      </c>
      <c r="L99" s="55"/>
      <c r="M99" s="21"/>
      <c r="N99" s="20" t="s">
        <v>758</v>
      </c>
    </row>
    <row r="100" spans="1:14" ht="18" customHeight="1">
      <c r="A100" s="96">
        <v>99</v>
      </c>
      <c r="B100" s="44" t="s">
        <v>845</v>
      </c>
      <c r="C100" s="20" t="s">
        <v>846</v>
      </c>
      <c r="D100" s="20" t="s">
        <v>261</v>
      </c>
      <c r="H100" s="53" t="s">
        <v>213</v>
      </c>
      <c r="J100" s="41"/>
      <c r="K100" s="55" t="str">
        <f>INDEX(Tableau6[TS],MATCH(Tableau5[[#This Row],[Type Signal]],Tableau6[TypeSignal],0))&amp;""</f>
        <v>ST</v>
      </c>
      <c r="L100" s="55"/>
      <c r="M100" s="21"/>
      <c r="N100" s="20" t="s">
        <v>761</v>
      </c>
    </row>
    <row r="101" spans="1:14" ht="18" customHeight="1">
      <c r="A101" s="96">
        <v>100</v>
      </c>
      <c r="B101" s="44" t="s">
        <v>847</v>
      </c>
      <c r="C101" s="20" t="s">
        <v>848</v>
      </c>
      <c r="D101" s="20" t="s">
        <v>484</v>
      </c>
      <c r="H101" s="53" t="s">
        <v>213</v>
      </c>
      <c r="J101" s="40"/>
      <c r="K101" s="55" t="str">
        <f>INDEX(Tableau6[TS],MATCH(Tableau5[[#This Row],[Type Signal]],Tableau6[TypeSignal],0))&amp;""</f>
        <v>ET</v>
      </c>
      <c r="L101" s="55"/>
      <c r="M101" s="21"/>
      <c r="N101" s="20" t="s">
        <v>758</v>
      </c>
    </row>
    <row r="102" spans="1:14" ht="18" customHeight="1">
      <c r="A102" s="96">
        <v>101</v>
      </c>
      <c r="B102" s="44" t="s">
        <v>847</v>
      </c>
      <c r="C102" s="20" t="s">
        <v>849</v>
      </c>
      <c r="D102" s="20" t="s">
        <v>637</v>
      </c>
      <c r="I102" s="53" t="s">
        <v>213</v>
      </c>
      <c r="J102" s="40"/>
      <c r="K102" s="55" t="str">
        <f>INDEX(Tableau6[TS],MATCH(Tableau5[[#This Row],[Type Signal]],Tableau6[TypeSignal],0))&amp;""</f>
        <v>ET</v>
      </c>
      <c r="L102" s="55"/>
      <c r="M102" s="21"/>
      <c r="N102" s="20" t="s">
        <v>758</v>
      </c>
    </row>
    <row r="103" spans="1:14" ht="18" customHeight="1">
      <c r="A103" s="96">
        <v>102</v>
      </c>
      <c r="B103" s="44" t="s">
        <v>850</v>
      </c>
      <c r="C103" s="20" t="s">
        <v>848</v>
      </c>
      <c r="D103" s="20" t="s">
        <v>484</v>
      </c>
      <c r="H103" s="53" t="s">
        <v>213</v>
      </c>
      <c r="J103" s="40"/>
      <c r="K103" s="55" t="str">
        <f>INDEX(Tableau6[TS],MATCH(Tableau5[[#This Row],[Type Signal]],Tableau6[TypeSignal],0))&amp;""</f>
        <v>ET</v>
      </c>
      <c r="L103" s="55"/>
      <c r="M103" s="21"/>
      <c r="N103" s="20" t="s">
        <v>758</v>
      </c>
    </row>
    <row r="104" spans="1:14" ht="18" customHeight="1">
      <c r="A104" s="96">
        <v>103</v>
      </c>
      <c r="B104" s="44" t="s">
        <v>850</v>
      </c>
      <c r="C104" s="20" t="s">
        <v>849</v>
      </c>
      <c r="D104" s="20" t="s">
        <v>637</v>
      </c>
      <c r="I104" s="53" t="s">
        <v>213</v>
      </c>
      <c r="J104" s="40"/>
      <c r="K104" s="55" t="str">
        <f>INDEX(Tableau6[TS],MATCH(Tableau5[[#This Row],[Type Signal]],Tableau6[TypeSignal],0))&amp;""</f>
        <v>ET</v>
      </c>
      <c r="L104" s="55"/>
      <c r="M104" s="21"/>
      <c r="N104" s="20" t="s">
        <v>758</v>
      </c>
    </row>
    <row r="105" spans="1:14" ht="18" customHeight="1">
      <c r="A105" s="96">
        <v>104</v>
      </c>
      <c r="B105" s="44" t="s">
        <v>851</v>
      </c>
      <c r="C105" s="20" t="s">
        <v>771</v>
      </c>
      <c r="D105" s="20" t="s">
        <v>260</v>
      </c>
      <c r="H105" s="53" t="s">
        <v>213</v>
      </c>
      <c r="J105" s="40"/>
      <c r="K105" s="55" t="str">
        <f>INDEX(Tableau6[TS],MATCH(Tableau5[[#This Row],[Type Signal]],Tableau6[TypeSignal],0))&amp;""</f>
        <v>ET</v>
      </c>
      <c r="L105" s="55"/>
      <c r="M105" s="21"/>
      <c r="N105" s="20" t="s">
        <v>758</v>
      </c>
    </row>
    <row r="106" spans="1:14" ht="18" customHeight="1">
      <c r="A106" s="96">
        <v>105</v>
      </c>
      <c r="B106" s="44" t="s">
        <v>852</v>
      </c>
      <c r="C106" s="20" t="s">
        <v>853</v>
      </c>
      <c r="D106" s="20" t="s">
        <v>472</v>
      </c>
      <c r="H106" s="53" t="s">
        <v>213</v>
      </c>
      <c r="J106" s="41"/>
      <c r="K106" s="55" t="str">
        <f>INDEX(Tableau6[TS],MATCH(Tableau5[[#This Row],[Type Signal]],Tableau6[TypeSignal],0))&amp;""</f>
        <v>ST</v>
      </c>
      <c r="L106" s="55"/>
      <c r="M106" s="21"/>
      <c r="N106" s="20" t="s">
        <v>761</v>
      </c>
    </row>
    <row r="107" spans="1:14" ht="18" customHeight="1">
      <c r="A107" s="96">
        <v>106</v>
      </c>
      <c r="B107" s="44" t="s">
        <v>852</v>
      </c>
      <c r="C107" s="20" t="s">
        <v>854</v>
      </c>
      <c r="D107" s="20" t="s">
        <v>258</v>
      </c>
      <c r="H107" s="53" t="s">
        <v>213</v>
      </c>
      <c r="J107" s="40"/>
      <c r="K107" s="55" t="str">
        <f>INDEX(Tableau6[TS],MATCH(Tableau5[[#This Row],[Type Signal]],Tableau6[TypeSignal],0))&amp;""</f>
        <v>ET</v>
      </c>
      <c r="L107" s="55"/>
      <c r="M107" s="21"/>
      <c r="N107" s="20" t="s">
        <v>758</v>
      </c>
    </row>
    <row r="108" spans="1:14" ht="18" customHeight="1">
      <c r="A108" s="96">
        <v>107</v>
      </c>
      <c r="B108" s="44" t="s">
        <v>855</v>
      </c>
      <c r="C108" s="20" t="s">
        <v>856</v>
      </c>
      <c r="D108" s="20" t="s">
        <v>276</v>
      </c>
      <c r="H108" s="53" t="s">
        <v>213</v>
      </c>
      <c r="J108" s="41"/>
      <c r="K108" s="55" t="str">
        <f>INDEX(Tableau6[TS],MATCH(Tableau5[[#This Row],[Type Signal]],Tableau6[TypeSignal],0))&amp;""</f>
        <v>ST</v>
      </c>
      <c r="L108" s="55"/>
      <c r="M108" s="21"/>
      <c r="N108" s="20" t="s">
        <v>761</v>
      </c>
    </row>
    <row r="109" spans="1:14" ht="18" customHeight="1">
      <c r="A109" s="96">
        <v>108</v>
      </c>
      <c r="B109" s="44" t="s">
        <v>855</v>
      </c>
      <c r="C109" s="20" t="s">
        <v>857</v>
      </c>
      <c r="D109" s="20" t="s">
        <v>258</v>
      </c>
      <c r="H109" s="53" t="s">
        <v>213</v>
      </c>
      <c r="J109" s="40"/>
      <c r="K109" s="55" t="str">
        <f>INDEX(Tableau6[TS],MATCH(Tableau5[[#This Row],[Type Signal]],Tableau6[TypeSignal],0))&amp;""</f>
        <v>ET</v>
      </c>
      <c r="L109" s="55"/>
      <c r="M109" s="21"/>
      <c r="N109" s="20" t="s">
        <v>758</v>
      </c>
    </row>
    <row r="110" spans="1:14" ht="18" customHeight="1">
      <c r="A110" s="96">
        <v>109</v>
      </c>
      <c r="B110" s="44" t="s">
        <v>858</v>
      </c>
      <c r="C110" s="20" t="s">
        <v>859</v>
      </c>
      <c r="D110" s="20" t="s">
        <v>555</v>
      </c>
      <c r="I110" s="53" t="s">
        <v>213</v>
      </c>
      <c r="J110" s="41"/>
      <c r="K110" s="55" t="str">
        <f>INDEX(Tableau6[TS],MATCH(Tableau5[[#This Row],[Type Signal]],Tableau6[TypeSignal],0))&amp;""</f>
        <v>ST</v>
      </c>
      <c r="L110" s="55"/>
      <c r="M110" s="21"/>
      <c r="N110" s="20" t="s">
        <v>761</v>
      </c>
    </row>
    <row r="111" spans="1:14" ht="18" customHeight="1">
      <c r="A111" s="96">
        <v>110</v>
      </c>
      <c r="B111" s="44" t="s">
        <v>858</v>
      </c>
      <c r="C111" s="20" t="s">
        <v>860</v>
      </c>
      <c r="D111" s="20" t="s">
        <v>469</v>
      </c>
      <c r="I111" s="53" t="s">
        <v>213</v>
      </c>
      <c r="J111" s="41"/>
      <c r="K111" s="55" t="str">
        <f>INDEX(Tableau6[TS],MATCH(Tableau5[[#This Row],[Type Signal]],Tableau6[TypeSignal],0))&amp;""</f>
        <v>ST</v>
      </c>
      <c r="L111" s="55"/>
      <c r="M111" s="21"/>
      <c r="N111" s="20" t="s">
        <v>761</v>
      </c>
    </row>
    <row r="112" spans="1:14" ht="18" customHeight="1">
      <c r="A112" s="96">
        <v>111</v>
      </c>
      <c r="B112" s="44" t="s">
        <v>858</v>
      </c>
      <c r="C112" s="20" t="s">
        <v>861</v>
      </c>
      <c r="D112" s="20" t="s">
        <v>862</v>
      </c>
      <c r="I112" s="53" t="s">
        <v>213</v>
      </c>
      <c r="J112" s="41"/>
      <c r="K112" s="55" t="str">
        <f>INDEX(Tableau6[TS],MATCH(Tableau5[[#This Row],[Type Signal]],Tableau6[TypeSignal],0))&amp;""</f>
        <v>ST</v>
      </c>
      <c r="L112" s="55"/>
      <c r="M112" s="21"/>
      <c r="N112" s="20" t="s">
        <v>761</v>
      </c>
    </row>
    <row r="113" spans="1:14" ht="18" customHeight="1">
      <c r="A113" s="96">
        <v>112</v>
      </c>
      <c r="B113" s="44" t="s">
        <v>858</v>
      </c>
      <c r="C113" s="20" t="s">
        <v>863</v>
      </c>
      <c r="D113" s="20" t="s">
        <v>525</v>
      </c>
      <c r="H113" s="53" t="s">
        <v>213</v>
      </c>
      <c r="J113" s="40"/>
      <c r="K113" s="55" t="str">
        <f>INDEX(Tableau6[TS],MATCH(Tableau5[[#This Row],[Type Signal]],Tableau6[TypeSignal],0))&amp;""</f>
        <v>ET</v>
      </c>
      <c r="L113" s="55"/>
      <c r="M113" s="21"/>
      <c r="N113" s="20" t="s">
        <v>758</v>
      </c>
    </row>
    <row r="114" spans="1:14" ht="18" customHeight="1">
      <c r="A114" s="96">
        <v>113</v>
      </c>
      <c r="B114" s="44" t="s">
        <v>858</v>
      </c>
      <c r="C114" s="20" t="s">
        <v>864</v>
      </c>
      <c r="D114" s="20" t="s">
        <v>535</v>
      </c>
      <c r="H114" s="53" t="s">
        <v>213</v>
      </c>
      <c r="J114" s="40"/>
      <c r="K114" s="55" t="str">
        <f>INDEX(Tableau6[TS],MATCH(Tableau5[[#This Row],[Type Signal]],Tableau6[TypeSignal],0))&amp;""</f>
        <v>ET</v>
      </c>
      <c r="L114" s="55"/>
      <c r="M114" s="21"/>
      <c r="N114" s="20" t="s">
        <v>758</v>
      </c>
    </row>
    <row r="115" spans="1:14" ht="18" customHeight="1">
      <c r="A115" s="96">
        <v>114</v>
      </c>
      <c r="B115" s="44" t="s">
        <v>858</v>
      </c>
      <c r="C115" s="20" t="s">
        <v>865</v>
      </c>
      <c r="D115" s="20" t="s">
        <v>866</v>
      </c>
      <c r="H115" s="53" t="s">
        <v>213</v>
      </c>
      <c r="J115" s="40"/>
      <c r="K115" s="55" t="str">
        <f>INDEX(Tableau6[TS],MATCH(Tableau5[[#This Row],[Type Signal]],Tableau6[TypeSignal],0))&amp;""</f>
        <v>ET</v>
      </c>
      <c r="L115" s="55"/>
      <c r="M115" s="21"/>
      <c r="N115" s="20" t="s">
        <v>758</v>
      </c>
    </row>
    <row r="116" spans="1:14" ht="18" customHeight="1">
      <c r="A116" s="96">
        <v>115</v>
      </c>
      <c r="B116" s="44" t="s">
        <v>858</v>
      </c>
      <c r="C116" s="20" t="s">
        <v>867</v>
      </c>
      <c r="D116" s="20" t="s">
        <v>815</v>
      </c>
      <c r="H116" s="53" t="s">
        <v>213</v>
      </c>
      <c r="J116" s="40"/>
      <c r="K116" s="55" t="str">
        <f>INDEX(Tableau6[TS],MATCH(Tableau5[[#This Row],[Type Signal]],Tableau6[TypeSignal],0))&amp;""</f>
        <v>ET</v>
      </c>
      <c r="L116" s="55"/>
      <c r="M116" s="21"/>
      <c r="N116" s="20" t="s">
        <v>758</v>
      </c>
    </row>
    <row r="117" spans="1:14" ht="18" customHeight="1">
      <c r="A117" s="96">
        <v>116</v>
      </c>
      <c r="B117" s="44" t="s">
        <v>858</v>
      </c>
      <c r="C117" s="20" t="s">
        <v>868</v>
      </c>
      <c r="D117" s="20" t="s">
        <v>241</v>
      </c>
      <c r="H117" s="53" t="s">
        <v>213</v>
      </c>
      <c r="J117" s="41"/>
      <c r="K117" s="55" t="str">
        <f>INDEX(Tableau6[TS],MATCH(Tableau5[[#This Row],[Type Signal]],Tableau6[TypeSignal],0))&amp;""</f>
        <v>ST</v>
      </c>
      <c r="L117" s="55"/>
      <c r="M117" s="21"/>
      <c r="N117" s="20" t="s">
        <v>761</v>
      </c>
    </row>
    <row r="118" spans="1:14" ht="18" customHeight="1">
      <c r="A118" s="96">
        <v>117</v>
      </c>
      <c r="B118" s="44" t="s">
        <v>858</v>
      </c>
      <c r="C118" s="20" t="s">
        <v>869</v>
      </c>
      <c r="D118" s="20" t="s">
        <v>509</v>
      </c>
      <c r="H118" s="53" t="s">
        <v>213</v>
      </c>
      <c r="J118" s="41"/>
      <c r="K118" s="55" t="str">
        <f>INDEX(Tableau6[TS],MATCH(Tableau5[[#This Row],[Type Signal]],Tableau6[TypeSignal],0))&amp;""</f>
        <v>ST</v>
      </c>
      <c r="L118" s="55"/>
      <c r="M118" s="21"/>
      <c r="N118" s="20" t="s">
        <v>761</v>
      </c>
    </row>
    <row r="119" spans="1:14" ht="18" customHeight="1">
      <c r="A119" s="96">
        <v>118</v>
      </c>
      <c r="B119" s="44" t="s">
        <v>858</v>
      </c>
      <c r="C119" s="20" t="s">
        <v>870</v>
      </c>
      <c r="D119" s="20" t="s">
        <v>242</v>
      </c>
      <c r="H119" s="53" t="s">
        <v>213</v>
      </c>
      <c r="J119" s="41"/>
      <c r="K119" s="55" t="str">
        <f>INDEX(Tableau6[TS],MATCH(Tableau5[[#This Row],[Type Signal]],Tableau6[TypeSignal],0))&amp;""</f>
        <v>ST</v>
      </c>
      <c r="L119" s="55"/>
      <c r="M119" s="21"/>
      <c r="N119" s="20" t="s">
        <v>761</v>
      </c>
    </row>
    <row r="120" spans="1:14" ht="18" customHeight="1">
      <c r="A120" s="96">
        <v>119</v>
      </c>
      <c r="B120" s="44" t="s">
        <v>858</v>
      </c>
      <c r="C120" s="20" t="s">
        <v>867</v>
      </c>
      <c r="D120" s="20" t="s">
        <v>815</v>
      </c>
      <c r="H120" s="53" t="s">
        <v>213</v>
      </c>
      <c r="J120" s="41"/>
      <c r="K120" s="55" t="str">
        <f>INDEX(Tableau6[TS],MATCH(Tableau5[[#This Row],[Type Signal]],Tableau6[TypeSignal],0))&amp;""</f>
        <v>ST</v>
      </c>
      <c r="L120" s="55"/>
      <c r="M120" s="21"/>
      <c r="N120" s="20" t="s">
        <v>761</v>
      </c>
    </row>
    <row r="121" spans="1:14" ht="18" customHeight="1">
      <c r="A121" s="96">
        <v>120</v>
      </c>
      <c r="B121" s="44" t="s">
        <v>858</v>
      </c>
      <c r="C121" s="20" t="s">
        <v>871</v>
      </c>
      <c r="D121" s="20" t="s">
        <v>510</v>
      </c>
      <c r="H121" s="53" t="s">
        <v>213</v>
      </c>
      <c r="J121" s="41"/>
      <c r="K121" s="55" t="str">
        <f>INDEX(Tableau6[TS],MATCH(Tableau5[[#This Row],[Type Signal]],Tableau6[TypeSignal],0))&amp;""</f>
        <v>ST</v>
      </c>
      <c r="L121" s="55"/>
      <c r="M121" s="21"/>
      <c r="N121" s="20" t="s">
        <v>761</v>
      </c>
    </row>
    <row r="122" spans="1:14" ht="18" customHeight="1">
      <c r="A122" s="96">
        <v>121</v>
      </c>
      <c r="B122" s="44" t="s">
        <v>858</v>
      </c>
      <c r="C122" s="20" t="s">
        <v>872</v>
      </c>
      <c r="D122" s="20" t="s">
        <v>251</v>
      </c>
      <c r="H122" s="53" t="s">
        <v>213</v>
      </c>
      <c r="J122" s="41"/>
      <c r="K122" s="55" t="str">
        <f>INDEX(Tableau6[TS],MATCH(Tableau5[[#This Row],[Type Signal]],Tableau6[TypeSignal],0))&amp;""</f>
        <v>ST</v>
      </c>
      <c r="L122" s="55"/>
      <c r="M122" s="21"/>
      <c r="N122" s="20" t="s">
        <v>761</v>
      </c>
    </row>
    <row r="123" spans="1:14" ht="18" customHeight="1">
      <c r="A123" s="96">
        <v>122</v>
      </c>
      <c r="B123" s="44" t="s">
        <v>858</v>
      </c>
      <c r="C123" s="20" t="s">
        <v>873</v>
      </c>
      <c r="D123" s="20" t="s">
        <v>252</v>
      </c>
      <c r="H123" s="53" t="s">
        <v>213</v>
      </c>
      <c r="J123" s="41"/>
      <c r="K123" s="55" t="str">
        <f>INDEX(Tableau6[TS],MATCH(Tableau5[[#This Row],[Type Signal]],Tableau6[TypeSignal],0))&amp;""</f>
        <v>ST</v>
      </c>
      <c r="L123" s="55"/>
      <c r="M123" s="21"/>
      <c r="N123" s="20" t="s">
        <v>761</v>
      </c>
    </row>
    <row r="124" spans="1:14" ht="18" customHeight="1">
      <c r="A124" s="96">
        <v>123</v>
      </c>
      <c r="B124" s="44" t="s">
        <v>858</v>
      </c>
      <c r="C124" s="20" t="s">
        <v>874</v>
      </c>
      <c r="D124" s="20" t="s">
        <v>875</v>
      </c>
      <c r="H124" s="53" t="s">
        <v>213</v>
      </c>
      <c r="J124" s="41"/>
      <c r="K124" s="55" t="str">
        <f>INDEX(Tableau6[TS],MATCH(Tableau5[[#This Row],[Type Signal]],Tableau6[TypeSignal],0))&amp;""</f>
        <v>ST</v>
      </c>
      <c r="L124" s="55"/>
      <c r="M124" s="21"/>
      <c r="N124" s="20" t="s">
        <v>761</v>
      </c>
    </row>
    <row r="125" spans="1:14" ht="18" customHeight="1">
      <c r="A125" s="96">
        <v>124</v>
      </c>
      <c r="B125" s="44" t="s">
        <v>858</v>
      </c>
      <c r="C125" s="20" t="s">
        <v>876</v>
      </c>
      <c r="D125" s="20" t="s">
        <v>240</v>
      </c>
      <c r="H125" s="53" t="s">
        <v>213</v>
      </c>
      <c r="J125" s="40"/>
      <c r="K125" s="55" t="str">
        <f>INDEX(Tableau6[TS],MATCH(Tableau5[[#This Row],[Type Signal]],Tableau6[TypeSignal],0))&amp;""</f>
        <v>ET</v>
      </c>
      <c r="L125" s="55"/>
      <c r="M125" s="21"/>
      <c r="N125" s="20" t="s">
        <v>758</v>
      </c>
    </row>
    <row r="126" spans="1:14" ht="18" customHeight="1">
      <c r="A126" s="96">
        <v>125</v>
      </c>
      <c r="B126" s="44" t="s">
        <v>858</v>
      </c>
      <c r="C126" s="20" t="s">
        <v>877</v>
      </c>
      <c r="D126" s="20" t="s">
        <v>522</v>
      </c>
      <c r="H126" s="53" t="s">
        <v>213</v>
      </c>
      <c r="J126" s="40"/>
      <c r="K126" s="55" t="str">
        <f>INDEX(Tableau6[TS],MATCH(Tableau5[[#This Row],[Type Signal]],Tableau6[TypeSignal],0))&amp;""</f>
        <v>ET</v>
      </c>
      <c r="L126" s="55"/>
      <c r="M126" s="21"/>
      <c r="N126" s="20" t="s">
        <v>758</v>
      </c>
    </row>
    <row r="127" spans="1:14" ht="18" customHeight="1">
      <c r="A127" s="96">
        <v>126</v>
      </c>
      <c r="B127" s="44" t="s">
        <v>858</v>
      </c>
      <c r="C127" s="20" t="s">
        <v>878</v>
      </c>
      <c r="D127" s="20" t="s">
        <v>244</v>
      </c>
      <c r="H127" s="53" t="s">
        <v>213</v>
      </c>
      <c r="J127" s="40"/>
      <c r="K127" s="55" t="str">
        <f>INDEX(Tableau6[TS],MATCH(Tableau5[[#This Row],[Type Signal]],Tableau6[TypeSignal],0))&amp;""</f>
        <v>ET</v>
      </c>
      <c r="L127" s="55"/>
      <c r="M127" s="21"/>
      <c r="N127" s="20" t="s">
        <v>758</v>
      </c>
    </row>
    <row r="128" spans="1:14" ht="18" customHeight="1">
      <c r="A128" s="96">
        <v>127</v>
      </c>
      <c r="B128" s="44" t="s">
        <v>858</v>
      </c>
      <c r="C128" s="20" t="s">
        <v>879</v>
      </c>
      <c r="D128" s="20" t="s">
        <v>563</v>
      </c>
      <c r="H128" s="53" t="s">
        <v>213</v>
      </c>
      <c r="J128" s="40"/>
      <c r="K128" s="55" t="str">
        <f>INDEX(Tableau6[TS],MATCH(Tableau5[[#This Row],[Type Signal]],Tableau6[TypeSignal],0))&amp;""</f>
        <v>ET</v>
      </c>
      <c r="L128" s="55"/>
      <c r="M128" s="21"/>
      <c r="N128" s="20" t="s">
        <v>758</v>
      </c>
    </row>
    <row r="129" spans="1:14" ht="18" customHeight="1">
      <c r="A129" s="96">
        <v>128</v>
      </c>
      <c r="B129" s="44" t="s">
        <v>858</v>
      </c>
      <c r="C129" s="20" t="s">
        <v>880</v>
      </c>
      <c r="D129" s="20" t="s">
        <v>245</v>
      </c>
      <c r="H129" s="53" t="s">
        <v>213</v>
      </c>
      <c r="J129" s="40"/>
      <c r="K129" s="55" t="str">
        <f>INDEX(Tableau6[TS],MATCH(Tableau5[[#This Row],[Type Signal]],Tableau6[TypeSignal],0))&amp;""</f>
        <v>ET</v>
      </c>
      <c r="L129" s="55"/>
      <c r="M129" s="21"/>
      <c r="N129" s="20" t="s">
        <v>758</v>
      </c>
    </row>
    <row r="130" spans="1:14" ht="18" customHeight="1">
      <c r="A130" s="96">
        <v>129</v>
      </c>
      <c r="B130" s="44" t="s">
        <v>858</v>
      </c>
      <c r="C130" s="20" t="s">
        <v>881</v>
      </c>
      <c r="D130" s="20" t="s">
        <v>328</v>
      </c>
      <c r="H130" s="53" t="s">
        <v>213</v>
      </c>
      <c r="J130" s="40"/>
      <c r="K130" s="55" t="str">
        <f>INDEX(Tableau6[TS],MATCH(Tableau5[[#This Row],[Type Signal]],Tableau6[TypeSignal],0))&amp;""</f>
        <v>ET</v>
      </c>
      <c r="L130" s="55"/>
      <c r="M130" s="21"/>
      <c r="N130" s="20" t="s">
        <v>758</v>
      </c>
    </row>
    <row r="131" spans="1:14" ht="18" customHeight="1">
      <c r="A131" s="96">
        <v>130</v>
      </c>
      <c r="B131" s="44" t="s">
        <v>882</v>
      </c>
      <c r="C131" s="20" t="s">
        <v>883</v>
      </c>
      <c r="D131" s="20" t="s">
        <v>518</v>
      </c>
      <c r="H131" s="53" t="s">
        <v>213</v>
      </c>
      <c r="J131" s="40"/>
      <c r="K131" s="55" t="str">
        <f>INDEX(Tableau6[TS],MATCH(Tableau5[[#This Row],[Type Signal]],Tableau6[TypeSignal],0))&amp;""</f>
        <v>ET</v>
      </c>
      <c r="L131" s="55"/>
      <c r="M131" s="21"/>
      <c r="N131" s="20" t="s">
        <v>758</v>
      </c>
    </row>
    <row r="132" spans="1:14" ht="18" customHeight="1">
      <c r="A132" s="96">
        <v>131</v>
      </c>
      <c r="B132" s="44" t="s">
        <v>882</v>
      </c>
      <c r="C132" s="20" t="s">
        <v>884</v>
      </c>
      <c r="D132" s="20" t="s">
        <v>562</v>
      </c>
      <c r="I132" s="53" t="s">
        <v>213</v>
      </c>
      <c r="J132" s="40"/>
      <c r="K132" s="55" t="str">
        <f>INDEX(Tableau6[TS],MATCH(Tableau5[[#This Row],[Type Signal]],Tableau6[TypeSignal],0))&amp;""</f>
        <v>ET</v>
      </c>
      <c r="L132" s="55"/>
      <c r="M132" s="21"/>
      <c r="N132" s="20" t="s">
        <v>758</v>
      </c>
    </row>
    <row r="133" spans="1:14" ht="18" customHeight="1">
      <c r="A133" s="96">
        <v>132</v>
      </c>
      <c r="B133" s="44" t="s">
        <v>882</v>
      </c>
      <c r="C133" s="20" t="s">
        <v>885</v>
      </c>
      <c r="D133" s="20" t="s">
        <v>886</v>
      </c>
      <c r="I133" s="53" t="s">
        <v>213</v>
      </c>
      <c r="J133" s="40"/>
      <c r="K133" s="55" t="str">
        <f>INDEX(Tableau6[TS],MATCH(Tableau5[[#This Row],[Type Signal]],Tableau6[TypeSignal],0))&amp;""</f>
        <v>ET</v>
      </c>
      <c r="L133" s="55"/>
      <c r="M133" s="21"/>
      <c r="N133" s="20" t="s">
        <v>758</v>
      </c>
    </row>
    <row r="134" spans="1:14" ht="18" customHeight="1">
      <c r="A134" s="96">
        <v>133</v>
      </c>
      <c r="B134" s="44" t="s">
        <v>882</v>
      </c>
      <c r="C134" s="20" t="s">
        <v>887</v>
      </c>
      <c r="D134" s="20" t="s">
        <v>524</v>
      </c>
      <c r="H134" s="53" t="s">
        <v>213</v>
      </c>
      <c r="J134" s="40"/>
      <c r="K134" s="55" t="str">
        <f>INDEX(Tableau6[TS],MATCH(Tableau5[[#This Row],[Type Signal]],Tableau6[TypeSignal],0))&amp;""</f>
        <v>ET</v>
      </c>
      <c r="L134" s="55"/>
      <c r="M134" s="21"/>
      <c r="N134" s="20" t="s">
        <v>758</v>
      </c>
    </row>
    <row r="135" spans="1:14" ht="18" customHeight="1">
      <c r="A135" s="96">
        <v>134</v>
      </c>
      <c r="B135" s="44" t="s">
        <v>882</v>
      </c>
      <c r="C135" s="20" t="s">
        <v>888</v>
      </c>
      <c r="D135" s="20" t="s">
        <v>557</v>
      </c>
      <c r="I135" s="53" t="s">
        <v>213</v>
      </c>
      <c r="J135" s="40"/>
      <c r="K135" s="55" t="str">
        <f>INDEX(Tableau6[TS],MATCH(Tableau5[[#This Row],[Type Signal]],Tableau6[TypeSignal],0))&amp;""</f>
        <v>ET</v>
      </c>
      <c r="L135" s="55"/>
      <c r="M135" s="21"/>
      <c r="N135" s="20" t="s">
        <v>758</v>
      </c>
    </row>
    <row r="136" spans="1:14" ht="18" customHeight="1">
      <c r="A136" s="96">
        <v>135</v>
      </c>
      <c r="B136" s="44" t="s">
        <v>882</v>
      </c>
      <c r="C136" s="20" t="s">
        <v>889</v>
      </c>
      <c r="D136" s="20" t="s">
        <v>511</v>
      </c>
      <c r="I136" s="53" t="s">
        <v>213</v>
      </c>
      <c r="J136" s="41"/>
      <c r="K136" s="55" t="str">
        <f>INDEX(Tableau6[TS],MATCH(Tableau5[[#This Row],[Type Signal]],Tableau6[TypeSignal],0))&amp;""</f>
        <v>ST</v>
      </c>
      <c r="L136" s="55"/>
      <c r="M136" s="21"/>
      <c r="N136" s="20" t="s">
        <v>761</v>
      </c>
    </row>
    <row r="137" spans="1:14" ht="18" customHeight="1">
      <c r="A137" s="96">
        <v>136</v>
      </c>
      <c r="B137" s="44" t="s">
        <v>882</v>
      </c>
      <c r="C137" s="20" t="s">
        <v>890</v>
      </c>
      <c r="D137" s="20" t="s">
        <v>512</v>
      </c>
      <c r="I137" s="53" t="s">
        <v>213</v>
      </c>
      <c r="J137" s="41"/>
      <c r="K137" s="55" t="str">
        <f>INDEX(Tableau6[TS],MATCH(Tableau5[[#This Row],[Type Signal]],Tableau6[TypeSignal],0))&amp;""</f>
        <v>ST</v>
      </c>
      <c r="L137" s="55"/>
      <c r="M137" s="21"/>
      <c r="N137" s="20" t="s">
        <v>761</v>
      </c>
    </row>
    <row r="138" spans="1:14" ht="18" customHeight="1">
      <c r="A138" s="96">
        <v>137</v>
      </c>
      <c r="B138" s="44" t="s">
        <v>882</v>
      </c>
      <c r="C138" s="20" t="s">
        <v>891</v>
      </c>
      <c r="D138" s="20" t="s">
        <v>519</v>
      </c>
      <c r="I138" s="53" t="s">
        <v>213</v>
      </c>
      <c r="J138" s="40"/>
      <c r="K138" s="55" t="str">
        <f>INDEX(Tableau6[TS],MATCH(Tableau5[[#This Row],[Type Signal]],Tableau6[TypeSignal],0))&amp;""</f>
        <v>ET</v>
      </c>
      <c r="L138" s="55"/>
      <c r="M138" s="21"/>
      <c r="N138" s="20" t="s">
        <v>758</v>
      </c>
    </row>
    <row r="139" spans="1:14" ht="18" customHeight="1">
      <c r="A139" s="96">
        <v>138</v>
      </c>
      <c r="B139" s="44" t="s">
        <v>882</v>
      </c>
      <c r="C139" s="20" t="s">
        <v>892</v>
      </c>
      <c r="D139" s="20" t="s">
        <v>520</v>
      </c>
      <c r="I139" s="53" t="s">
        <v>213</v>
      </c>
      <c r="J139" s="40"/>
      <c r="K139" s="55" t="str">
        <f>INDEX(Tableau6[TS],MATCH(Tableau5[[#This Row],[Type Signal]],Tableau6[TypeSignal],0))&amp;""</f>
        <v>ET</v>
      </c>
      <c r="L139" s="55"/>
      <c r="M139" s="21"/>
      <c r="N139" s="20" t="s">
        <v>758</v>
      </c>
    </row>
    <row r="140" spans="1:14" ht="18" customHeight="1">
      <c r="A140" s="96">
        <v>139</v>
      </c>
      <c r="B140" s="44" t="s">
        <v>882</v>
      </c>
      <c r="C140" s="20" t="s">
        <v>893</v>
      </c>
      <c r="D140" s="20" t="s">
        <v>521</v>
      </c>
      <c r="I140" s="53" t="s">
        <v>213</v>
      </c>
      <c r="J140" s="40"/>
      <c r="K140" s="55" t="str">
        <f>INDEX(Tableau6[TS],MATCH(Tableau5[[#This Row],[Type Signal]],Tableau6[TypeSignal],0))&amp;""</f>
        <v>ET</v>
      </c>
      <c r="L140" s="55"/>
      <c r="M140" s="21"/>
      <c r="N140" s="20" t="s">
        <v>758</v>
      </c>
    </row>
    <row r="141" spans="1:14" ht="18" customHeight="1">
      <c r="A141" s="96">
        <v>140</v>
      </c>
      <c r="B141" s="44" t="s">
        <v>882</v>
      </c>
      <c r="C141" s="20" t="s">
        <v>894</v>
      </c>
      <c r="D141" s="20" t="s">
        <v>246</v>
      </c>
      <c r="I141" s="53" t="s">
        <v>213</v>
      </c>
      <c r="J141" s="41"/>
      <c r="K141" s="55" t="str">
        <f>INDEX(Tableau6[TS],MATCH(Tableau5[[#This Row],[Type Signal]],Tableau6[TypeSignal],0))&amp;""</f>
        <v>ST</v>
      </c>
      <c r="L141" s="55"/>
      <c r="M141" s="21"/>
      <c r="N141" s="20" t="s">
        <v>761</v>
      </c>
    </row>
    <row r="142" spans="1:14" ht="18" customHeight="1">
      <c r="A142" s="96">
        <v>141</v>
      </c>
      <c r="B142" s="44" t="s">
        <v>882</v>
      </c>
      <c r="C142" s="20" t="s">
        <v>895</v>
      </c>
      <c r="D142" s="20" t="s">
        <v>556</v>
      </c>
      <c r="H142" s="53" t="s">
        <v>213</v>
      </c>
      <c r="J142" s="41"/>
      <c r="K142" s="55" t="str">
        <f>INDEX(Tableau6[TS],MATCH(Tableau5[[#This Row],[Type Signal]],Tableau6[TypeSignal],0))&amp;""</f>
        <v>ST</v>
      </c>
      <c r="L142" s="55"/>
      <c r="M142" s="21"/>
      <c r="N142" s="20" t="s">
        <v>761</v>
      </c>
    </row>
    <row r="143" spans="1:14" ht="18" customHeight="1">
      <c r="A143" s="96">
        <v>142</v>
      </c>
      <c r="B143" s="44" t="s">
        <v>882</v>
      </c>
      <c r="C143" s="20" t="s">
        <v>896</v>
      </c>
      <c r="D143" s="20" t="s">
        <v>247</v>
      </c>
      <c r="I143" s="53" t="s">
        <v>213</v>
      </c>
      <c r="J143" s="41"/>
      <c r="K143" s="55" t="str">
        <f>INDEX(Tableau6[TS],MATCH(Tableau5[[#This Row],[Type Signal]],Tableau6[TypeSignal],0))&amp;""</f>
        <v>ST</v>
      </c>
      <c r="L143" s="55"/>
      <c r="M143" s="21"/>
      <c r="N143" s="20" t="s">
        <v>761</v>
      </c>
    </row>
    <row r="144" spans="1:14" ht="18" customHeight="1">
      <c r="A144" s="96">
        <v>143</v>
      </c>
      <c r="B144" s="44" t="s">
        <v>882</v>
      </c>
      <c r="C144" s="20" t="s">
        <v>867</v>
      </c>
      <c r="D144" s="20" t="s">
        <v>731</v>
      </c>
      <c r="I144" s="53" t="s">
        <v>213</v>
      </c>
      <c r="J144" s="41"/>
      <c r="K144" s="55" t="str">
        <f>INDEX(Tableau6[TS],MATCH(Tableau5[[#This Row],[Type Signal]],Tableau6[TypeSignal],0))&amp;""</f>
        <v>ST</v>
      </c>
      <c r="L144" s="55"/>
      <c r="M144" s="21"/>
      <c r="N144" s="20" t="s">
        <v>761</v>
      </c>
    </row>
    <row r="145" spans="1:14" ht="18" customHeight="1">
      <c r="A145" s="96">
        <v>144</v>
      </c>
      <c r="B145" s="44" t="s">
        <v>882</v>
      </c>
      <c r="C145" s="20" t="s">
        <v>897</v>
      </c>
      <c r="D145" s="20" t="s">
        <v>471</v>
      </c>
      <c r="H145" s="53" t="s">
        <v>213</v>
      </c>
      <c r="J145" s="41"/>
      <c r="K145" s="55" t="str">
        <f>INDEX(Tableau6[TS],MATCH(Tableau5[[#This Row],[Type Signal]],Tableau6[TypeSignal],0))&amp;""</f>
        <v>ST</v>
      </c>
      <c r="L145" s="55"/>
      <c r="M145" s="21"/>
      <c r="N145" s="20" t="s">
        <v>761</v>
      </c>
    </row>
    <row r="146" spans="1:14" ht="18" customHeight="1">
      <c r="A146" s="96">
        <v>145</v>
      </c>
      <c r="B146" s="44" t="s">
        <v>882</v>
      </c>
      <c r="C146" s="20" t="s">
        <v>898</v>
      </c>
      <c r="D146" s="20" t="s">
        <v>248</v>
      </c>
      <c r="I146" s="53" t="s">
        <v>213</v>
      </c>
      <c r="J146" s="40"/>
      <c r="K146" s="55" t="str">
        <f>INDEX(Tableau6[TS],MATCH(Tableau5[[#This Row],[Type Signal]],Tableau6[TypeSignal],0))&amp;""</f>
        <v>ET</v>
      </c>
      <c r="L146" s="55"/>
      <c r="M146" s="21"/>
      <c r="N146" s="20" t="s">
        <v>758</v>
      </c>
    </row>
    <row r="147" spans="1:14" ht="18" customHeight="1">
      <c r="A147" s="96">
        <v>146</v>
      </c>
      <c r="B147" s="44" t="s">
        <v>882</v>
      </c>
      <c r="C147" s="20" t="s">
        <v>899</v>
      </c>
      <c r="D147" s="20" t="s">
        <v>482</v>
      </c>
      <c r="H147" s="53" t="s">
        <v>213</v>
      </c>
      <c r="J147" s="40"/>
      <c r="K147" s="55" t="str">
        <f>INDEX(Tableau6[TS],MATCH(Tableau5[[#This Row],[Type Signal]],Tableau6[TypeSignal],0))&amp;""</f>
        <v>ET</v>
      </c>
      <c r="L147" s="55"/>
      <c r="M147" s="21"/>
      <c r="N147" s="20" t="s">
        <v>758</v>
      </c>
    </row>
    <row r="148" spans="1:14" ht="18" customHeight="1">
      <c r="A148" s="96">
        <v>147</v>
      </c>
      <c r="B148" s="44" t="s">
        <v>882</v>
      </c>
      <c r="C148" s="20" t="s">
        <v>900</v>
      </c>
      <c r="D148" s="20" t="s">
        <v>249</v>
      </c>
      <c r="I148" s="53" t="s">
        <v>213</v>
      </c>
      <c r="J148" s="40"/>
      <c r="K148" s="55" t="str">
        <f>INDEX(Tableau6[TS],MATCH(Tableau5[[#This Row],[Type Signal]],Tableau6[TypeSignal],0))&amp;""</f>
        <v>ET</v>
      </c>
      <c r="L148" s="55"/>
      <c r="M148" s="21"/>
      <c r="N148" s="20" t="s">
        <v>758</v>
      </c>
    </row>
    <row r="149" spans="1:14" ht="18" customHeight="1">
      <c r="A149" s="96">
        <v>148</v>
      </c>
      <c r="B149" s="44" t="s">
        <v>882</v>
      </c>
      <c r="C149" s="20" t="s">
        <v>901</v>
      </c>
      <c r="D149" s="20" t="s">
        <v>558</v>
      </c>
      <c r="I149" s="53" t="s">
        <v>213</v>
      </c>
      <c r="J149" s="40"/>
      <c r="K149" s="55" t="str">
        <f>INDEX(Tableau6[TS],MATCH(Tableau5[[#This Row],[Type Signal]],Tableau6[TypeSignal],0))&amp;""</f>
        <v>ET</v>
      </c>
      <c r="L149" s="55"/>
      <c r="M149" s="21"/>
      <c r="N149" s="20" t="s">
        <v>758</v>
      </c>
    </row>
    <row r="150" spans="1:14" ht="18" customHeight="1">
      <c r="A150" s="96">
        <v>149</v>
      </c>
      <c r="B150" s="44" t="s">
        <v>882</v>
      </c>
      <c r="C150" s="20" t="s">
        <v>902</v>
      </c>
      <c r="D150" s="20" t="s">
        <v>250</v>
      </c>
      <c r="I150" s="53" t="s">
        <v>213</v>
      </c>
      <c r="J150" s="40"/>
      <c r="K150" s="55" t="str">
        <f>INDEX(Tableau6[TS],MATCH(Tableau5[[#This Row],[Type Signal]],Tableau6[TypeSignal],0))&amp;""</f>
        <v>ET</v>
      </c>
      <c r="L150" s="55"/>
      <c r="M150" s="21"/>
      <c r="N150" s="20" t="s">
        <v>758</v>
      </c>
    </row>
    <row r="151" spans="1:14" ht="18" customHeight="1">
      <c r="A151" s="96">
        <v>150</v>
      </c>
      <c r="B151" s="44" t="s">
        <v>882</v>
      </c>
      <c r="C151" s="20" t="s">
        <v>867</v>
      </c>
      <c r="D151" s="20" t="s">
        <v>815</v>
      </c>
      <c r="I151" s="53" t="s">
        <v>213</v>
      </c>
      <c r="J151" s="40"/>
      <c r="K151" s="55" t="str">
        <f>INDEX(Tableau6[TS],MATCH(Tableau5[[#This Row],[Type Signal]],Tableau6[TypeSignal],0))&amp;""</f>
        <v>ET</v>
      </c>
      <c r="L151" s="55"/>
      <c r="M151" s="21"/>
      <c r="N151" s="20" t="s">
        <v>758</v>
      </c>
    </row>
    <row r="152" spans="1:14" ht="18" customHeight="1">
      <c r="A152" s="96">
        <v>151</v>
      </c>
      <c r="B152" s="44" t="s">
        <v>882</v>
      </c>
      <c r="C152" s="20" t="s">
        <v>903</v>
      </c>
      <c r="D152" s="20" t="s">
        <v>559</v>
      </c>
      <c r="H152" s="53" t="s">
        <v>213</v>
      </c>
      <c r="J152" s="40"/>
      <c r="K152" s="55" t="str">
        <f>INDEX(Tableau6[TS],MATCH(Tableau5[[#This Row],[Type Signal]],Tableau6[TypeSignal],0))&amp;""</f>
        <v>ET</v>
      </c>
      <c r="L152" s="55"/>
      <c r="M152" s="21"/>
      <c r="N152" s="20" t="s">
        <v>758</v>
      </c>
    </row>
    <row r="153" spans="1:14" ht="18" customHeight="1">
      <c r="A153" s="96">
        <v>152</v>
      </c>
      <c r="B153" s="44" t="s">
        <v>882</v>
      </c>
      <c r="C153" s="20" t="s">
        <v>904</v>
      </c>
      <c r="D153" s="20" t="s">
        <v>479</v>
      </c>
      <c r="I153" s="53" t="s">
        <v>213</v>
      </c>
      <c r="J153" s="40"/>
      <c r="K153" s="55" t="str">
        <f>INDEX(Tableau6[TS],MATCH(Tableau5[[#This Row],[Type Signal]],Tableau6[TypeSignal],0))&amp;""</f>
        <v>ET</v>
      </c>
      <c r="L153" s="55"/>
      <c r="M153" s="21"/>
      <c r="N153" s="20" t="s">
        <v>758</v>
      </c>
    </row>
    <row r="154" spans="1:14" ht="18" customHeight="1">
      <c r="A154" s="96">
        <v>153</v>
      </c>
      <c r="B154" s="44" t="s">
        <v>882</v>
      </c>
      <c r="C154" s="20" t="s">
        <v>905</v>
      </c>
      <c r="D154" s="20" t="s">
        <v>480</v>
      </c>
      <c r="H154" s="53" t="s">
        <v>213</v>
      </c>
      <c r="J154" s="40"/>
      <c r="K154" s="55" t="str">
        <f>INDEX(Tableau6[TS],MATCH(Tableau5[[#This Row],[Type Signal]],Tableau6[TypeSignal],0))&amp;""</f>
        <v>ET</v>
      </c>
      <c r="L154" s="55"/>
      <c r="M154" s="21"/>
      <c r="N154" s="20" t="s">
        <v>758</v>
      </c>
    </row>
    <row r="155" spans="1:14" ht="18" customHeight="1">
      <c r="A155" s="96">
        <v>154</v>
      </c>
      <c r="B155" s="44" t="s">
        <v>882</v>
      </c>
      <c r="C155" s="20" t="s">
        <v>906</v>
      </c>
      <c r="D155" s="20" t="s">
        <v>481</v>
      </c>
      <c r="I155" s="53" t="s">
        <v>213</v>
      </c>
      <c r="J155" s="40"/>
      <c r="K155" s="55" t="str">
        <f>INDEX(Tableau6[TS],MATCH(Tableau5[[#This Row],[Type Signal]],Tableau6[TypeSignal],0))&amp;""</f>
        <v>ET</v>
      </c>
      <c r="L155" s="55"/>
      <c r="M155" s="21"/>
      <c r="N155" s="20" t="s">
        <v>758</v>
      </c>
    </row>
    <row r="156" spans="1:14" ht="18" customHeight="1">
      <c r="A156" s="96">
        <v>155</v>
      </c>
      <c r="B156" s="44" t="s">
        <v>907</v>
      </c>
      <c r="C156" s="20" t="s">
        <v>908</v>
      </c>
      <c r="D156" s="20" t="s">
        <v>862</v>
      </c>
      <c r="I156" s="53" t="s">
        <v>213</v>
      </c>
      <c r="J156" s="41"/>
      <c r="K156" s="55" t="str">
        <f>INDEX(Tableau6[TS],MATCH(Tableau5[[#This Row],[Type Signal]],Tableau6[TypeSignal],0))&amp;""</f>
        <v>ST</v>
      </c>
      <c r="L156" s="55"/>
      <c r="M156" s="21"/>
      <c r="N156" s="20" t="s">
        <v>761</v>
      </c>
    </row>
    <row r="157" spans="1:14" ht="18" customHeight="1">
      <c r="A157" s="96">
        <v>156</v>
      </c>
      <c r="B157" s="44" t="s">
        <v>907</v>
      </c>
      <c r="C157" s="20" t="s">
        <v>815</v>
      </c>
      <c r="D157" s="20" t="s">
        <v>815</v>
      </c>
      <c r="H157" s="53" t="s">
        <v>213</v>
      </c>
      <c r="J157" s="40"/>
      <c r="K157" s="55" t="str">
        <f>INDEX(Tableau6[TS],MATCH(Tableau5[[#This Row],[Type Signal]],Tableau6[TypeSignal],0))&amp;""</f>
        <v>ET</v>
      </c>
      <c r="L157" s="55"/>
      <c r="M157" s="21"/>
      <c r="N157" s="20" t="s">
        <v>758</v>
      </c>
    </row>
    <row r="158" spans="1:14" ht="18" customHeight="1">
      <c r="A158" s="96">
        <v>157</v>
      </c>
      <c r="B158" s="44" t="s">
        <v>907</v>
      </c>
      <c r="C158" s="20" t="s">
        <v>872</v>
      </c>
      <c r="D158" s="20" t="s">
        <v>251</v>
      </c>
      <c r="H158" s="53" t="s">
        <v>213</v>
      </c>
      <c r="J158" s="41"/>
      <c r="K158" s="55" t="str">
        <f>INDEX(Tableau6[TS],MATCH(Tableau5[[#This Row],[Type Signal]],Tableau6[TypeSignal],0))&amp;""</f>
        <v>ST</v>
      </c>
      <c r="L158" s="55"/>
      <c r="M158" s="21"/>
      <c r="N158" s="20" t="s">
        <v>761</v>
      </c>
    </row>
    <row r="159" spans="1:14" ht="18" customHeight="1">
      <c r="A159" s="96">
        <v>158</v>
      </c>
      <c r="B159" s="44" t="s">
        <v>907</v>
      </c>
      <c r="C159" s="20" t="s">
        <v>873</v>
      </c>
      <c r="D159" s="20" t="s">
        <v>252</v>
      </c>
      <c r="H159" s="53" t="s">
        <v>213</v>
      </c>
      <c r="J159" s="41"/>
      <c r="K159" s="55" t="str">
        <f>INDEX(Tableau6[TS],MATCH(Tableau5[[#This Row],[Type Signal]],Tableau6[TypeSignal],0))&amp;""</f>
        <v>ST</v>
      </c>
      <c r="L159" s="55"/>
      <c r="M159" s="21"/>
      <c r="N159" s="20" t="s">
        <v>761</v>
      </c>
    </row>
    <row r="160" spans="1:14" ht="18" customHeight="1">
      <c r="A160" s="96">
        <v>159</v>
      </c>
      <c r="B160" s="44" t="s">
        <v>907</v>
      </c>
      <c r="C160" s="20" t="s">
        <v>909</v>
      </c>
      <c r="D160" s="20" t="s">
        <v>875</v>
      </c>
      <c r="H160" s="53" t="s">
        <v>213</v>
      </c>
      <c r="J160" s="41"/>
      <c r="K160" s="55" t="str">
        <f>INDEX(Tableau6[TS],MATCH(Tableau5[[#This Row],[Type Signal]],Tableau6[TypeSignal],0))&amp;""</f>
        <v>ST</v>
      </c>
      <c r="L160" s="55"/>
      <c r="M160" s="21"/>
      <c r="N160" s="20" t="s">
        <v>761</v>
      </c>
    </row>
    <row r="161" spans="1:14" ht="18" customHeight="1">
      <c r="A161" s="96">
        <v>160</v>
      </c>
      <c r="B161" s="44" t="s">
        <v>907</v>
      </c>
      <c r="C161" s="20" t="s">
        <v>883</v>
      </c>
      <c r="D161" s="20" t="s">
        <v>518</v>
      </c>
      <c r="H161" s="53" t="s">
        <v>213</v>
      </c>
      <c r="J161" s="40"/>
      <c r="K161" s="55" t="str">
        <f>INDEX(Tableau6[TS],MATCH(Tableau5[[#This Row],[Type Signal]],Tableau6[TypeSignal],0))&amp;""</f>
        <v>ET</v>
      </c>
      <c r="L161" s="55"/>
      <c r="M161" s="21"/>
      <c r="N161" s="20" t="s">
        <v>758</v>
      </c>
    </row>
    <row r="162" spans="1:14" ht="18" customHeight="1">
      <c r="A162" s="96">
        <v>161</v>
      </c>
      <c r="B162" s="44" t="s">
        <v>907</v>
      </c>
      <c r="C162" s="20" t="s">
        <v>884</v>
      </c>
      <c r="D162" s="20" t="s">
        <v>562</v>
      </c>
      <c r="H162" s="53" t="s">
        <v>213</v>
      </c>
      <c r="J162" s="40"/>
      <c r="K162" s="55" t="str">
        <f>INDEX(Tableau6[TS],MATCH(Tableau5[[#This Row],[Type Signal]],Tableau6[TypeSignal],0))&amp;""</f>
        <v>ET</v>
      </c>
      <c r="L162" s="55"/>
      <c r="M162" s="21"/>
      <c r="N162" s="20" t="s">
        <v>758</v>
      </c>
    </row>
    <row r="163" spans="1:14" ht="18" customHeight="1">
      <c r="A163" s="96">
        <v>162</v>
      </c>
      <c r="B163" s="44" t="s">
        <v>907</v>
      </c>
      <c r="C163" s="20" t="s">
        <v>910</v>
      </c>
      <c r="D163" s="20" t="s">
        <v>866</v>
      </c>
      <c r="H163" s="53" t="s">
        <v>213</v>
      </c>
      <c r="J163" s="40"/>
      <c r="K163" s="55" t="str">
        <f>INDEX(Tableau6[TS],MATCH(Tableau5[[#This Row],[Type Signal]],Tableau6[TypeSignal],0))&amp;""</f>
        <v>ET</v>
      </c>
      <c r="L163" s="55"/>
      <c r="M163" s="21"/>
      <c r="N163" s="20" t="s">
        <v>758</v>
      </c>
    </row>
    <row r="164" spans="1:14" ht="18" customHeight="1">
      <c r="A164" s="96">
        <v>163</v>
      </c>
      <c r="B164" s="44" t="s">
        <v>907</v>
      </c>
      <c r="C164" s="20" t="s">
        <v>881</v>
      </c>
      <c r="D164" s="20" t="s">
        <v>328</v>
      </c>
      <c r="H164" s="53" t="s">
        <v>213</v>
      </c>
      <c r="J164" s="40"/>
      <c r="K164" s="55" t="str">
        <f>INDEX(Tableau6[TS],MATCH(Tableau5[[#This Row],[Type Signal]],Tableau6[TypeSignal],0))&amp;""</f>
        <v>ET</v>
      </c>
      <c r="L164" s="55"/>
      <c r="M164" s="21"/>
      <c r="N164" s="20" t="s">
        <v>758</v>
      </c>
    </row>
    <row r="165" spans="1:14" ht="18" customHeight="1">
      <c r="A165" s="96">
        <v>164</v>
      </c>
      <c r="B165" s="44" t="s">
        <v>907</v>
      </c>
      <c r="C165" s="20" t="s">
        <v>815</v>
      </c>
      <c r="D165" s="20" t="s">
        <v>815</v>
      </c>
      <c r="I165" s="53" t="s">
        <v>213</v>
      </c>
      <c r="J165" s="41"/>
      <c r="K165" s="55" t="str">
        <f>INDEX(Tableau6[TS],MATCH(Tableau5[[#This Row],[Type Signal]],Tableau6[TypeSignal],0))&amp;""</f>
        <v>ST</v>
      </c>
      <c r="L165" s="55"/>
      <c r="M165" s="21"/>
      <c r="N165" s="20" t="s">
        <v>761</v>
      </c>
    </row>
    <row r="166" spans="1:14" ht="18" customHeight="1">
      <c r="A166" s="96">
        <v>165</v>
      </c>
      <c r="B166" s="44" t="s">
        <v>907</v>
      </c>
      <c r="C166" s="20" t="s">
        <v>860</v>
      </c>
      <c r="D166" s="20" t="s">
        <v>469</v>
      </c>
      <c r="I166" s="53" t="s">
        <v>213</v>
      </c>
      <c r="J166" s="41"/>
      <c r="K166" s="55" t="str">
        <f>INDEX(Tableau6[TS],MATCH(Tableau5[[#This Row],[Type Signal]],Tableau6[TypeSignal],0))&amp;""</f>
        <v>ST</v>
      </c>
      <c r="L166" s="55"/>
      <c r="M166" s="21"/>
      <c r="N166" s="20" t="s">
        <v>761</v>
      </c>
    </row>
    <row r="167" spans="1:14" ht="18" customHeight="1">
      <c r="A167" s="96">
        <v>166</v>
      </c>
      <c r="B167" s="44" t="s">
        <v>907</v>
      </c>
      <c r="C167" s="20" t="s">
        <v>911</v>
      </c>
      <c r="D167" s="20" t="s">
        <v>520</v>
      </c>
      <c r="H167" s="53" t="s">
        <v>213</v>
      </c>
      <c r="J167" s="40"/>
      <c r="K167" s="55" t="str">
        <f>INDEX(Tableau6[TS],MATCH(Tableau5[[#This Row],[Type Signal]],Tableau6[TypeSignal],0))&amp;""</f>
        <v>ET</v>
      </c>
      <c r="L167" s="55"/>
      <c r="M167" s="21"/>
      <c r="N167" s="20" t="s">
        <v>758</v>
      </c>
    </row>
    <row r="168" spans="1:14" ht="18" customHeight="1">
      <c r="A168" s="96">
        <v>167</v>
      </c>
      <c r="B168" s="44" t="s">
        <v>907</v>
      </c>
      <c r="C168" s="20" t="s">
        <v>912</v>
      </c>
      <c r="D168" s="20" t="s">
        <v>535</v>
      </c>
      <c r="H168" s="53" t="s">
        <v>213</v>
      </c>
      <c r="J168" s="40"/>
      <c r="K168" s="55" t="str">
        <f>INDEX(Tableau6[TS],MATCH(Tableau5[[#This Row],[Type Signal]],Tableau6[TypeSignal],0))&amp;""</f>
        <v>ET</v>
      </c>
      <c r="L168" s="55"/>
      <c r="M168" s="21"/>
      <c r="N168" s="20" t="s">
        <v>758</v>
      </c>
    </row>
    <row r="169" spans="1:14" ht="18" customHeight="1">
      <c r="A169" s="96">
        <v>168</v>
      </c>
      <c r="B169" s="44" t="s">
        <v>907</v>
      </c>
      <c r="C169" s="20" t="s">
        <v>913</v>
      </c>
      <c r="D169" s="20" t="s">
        <v>521</v>
      </c>
      <c r="H169" s="53" t="s">
        <v>213</v>
      </c>
      <c r="J169" s="40"/>
      <c r="K169" s="55" t="str">
        <f>INDEX(Tableau6[TS],MATCH(Tableau5[[#This Row],[Type Signal]],Tableau6[TypeSignal],0))&amp;""</f>
        <v>ET</v>
      </c>
      <c r="L169" s="55"/>
      <c r="M169" s="21"/>
      <c r="N169" s="20" t="s">
        <v>758</v>
      </c>
    </row>
    <row r="170" spans="1:14" ht="18" customHeight="1">
      <c r="A170" s="96">
        <v>169</v>
      </c>
      <c r="B170" s="44" t="s">
        <v>907</v>
      </c>
      <c r="C170" s="20" t="s">
        <v>914</v>
      </c>
      <c r="D170" s="20" t="s">
        <v>635</v>
      </c>
      <c r="H170" s="53" t="s">
        <v>213</v>
      </c>
      <c r="J170" s="41"/>
      <c r="K170" s="55" t="str">
        <f>INDEX(Tableau6[TS],MATCH(Tableau5[[#This Row],[Type Signal]],Tableau6[TypeSignal],0))&amp;""</f>
        <v>ST</v>
      </c>
      <c r="L170" s="55"/>
      <c r="M170" s="21"/>
      <c r="N170" s="20" t="s">
        <v>761</v>
      </c>
    </row>
    <row r="171" spans="1:14" ht="18" customHeight="1">
      <c r="A171" s="96">
        <v>170</v>
      </c>
      <c r="B171" s="44" t="s">
        <v>907</v>
      </c>
      <c r="C171" s="20" t="s">
        <v>815</v>
      </c>
      <c r="D171" s="20" t="s">
        <v>815</v>
      </c>
      <c r="H171" s="53" t="s">
        <v>213</v>
      </c>
      <c r="J171" s="41"/>
      <c r="K171" s="55" t="str">
        <f>INDEX(Tableau6[TS],MATCH(Tableau5[[#This Row],[Type Signal]],Tableau6[TypeSignal],0))&amp;""</f>
        <v>ST</v>
      </c>
      <c r="L171" s="55"/>
      <c r="M171" s="21"/>
      <c r="N171" s="20" t="s">
        <v>761</v>
      </c>
    </row>
    <row r="172" spans="1:14" ht="18" customHeight="1">
      <c r="A172" s="96">
        <v>171</v>
      </c>
      <c r="B172" s="44" t="s">
        <v>907</v>
      </c>
      <c r="C172" s="20" t="s">
        <v>870</v>
      </c>
      <c r="D172" s="20" t="s">
        <v>242</v>
      </c>
      <c r="H172" s="53" t="s">
        <v>213</v>
      </c>
      <c r="J172" s="41"/>
      <c r="K172" s="55" t="str">
        <f>INDEX(Tableau6[TS],MATCH(Tableau5[[#This Row],[Type Signal]],Tableau6[TypeSignal],0))&amp;""</f>
        <v>ST</v>
      </c>
      <c r="L172" s="55"/>
      <c r="M172" s="21"/>
      <c r="N172" s="20" t="s">
        <v>761</v>
      </c>
    </row>
    <row r="173" spans="1:14" ht="18" customHeight="1">
      <c r="A173" s="96">
        <v>172</v>
      </c>
      <c r="B173" s="44" t="s">
        <v>907</v>
      </c>
      <c r="C173" s="20" t="s">
        <v>815</v>
      </c>
      <c r="D173" s="20" t="s">
        <v>815</v>
      </c>
      <c r="H173" s="53" t="s">
        <v>213</v>
      </c>
      <c r="J173" s="41"/>
      <c r="K173" s="55" t="str">
        <f>INDEX(Tableau6[TS],MATCH(Tableau5[[#This Row],[Type Signal]],Tableau6[TypeSignal],0))&amp;""</f>
        <v>ST</v>
      </c>
      <c r="L173" s="55"/>
      <c r="M173" s="21"/>
      <c r="N173" s="20" t="s">
        <v>761</v>
      </c>
    </row>
    <row r="174" spans="1:14" ht="18" customHeight="1">
      <c r="A174" s="96">
        <v>173</v>
      </c>
      <c r="B174" s="44" t="s">
        <v>907</v>
      </c>
      <c r="C174" s="20" t="s">
        <v>871</v>
      </c>
      <c r="D174" s="20" t="s">
        <v>510</v>
      </c>
      <c r="H174" s="53" t="s">
        <v>213</v>
      </c>
      <c r="J174" s="41"/>
      <c r="K174" s="55" t="str">
        <f>INDEX(Tableau6[TS],MATCH(Tableau5[[#This Row],[Type Signal]],Tableau6[TypeSignal],0))&amp;""</f>
        <v>ST</v>
      </c>
      <c r="L174" s="55"/>
      <c r="M174" s="21"/>
      <c r="N174" s="20" t="s">
        <v>761</v>
      </c>
    </row>
    <row r="175" spans="1:14" ht="18" customHeight="1">
      <c r="A175" s="96">
        <v>174</v>
      </c>
      <c r="B175" s="44" t="s">
        <v>907</v>
      </c>
      <c r="C175" s="20" t="s">
        <v>915</v>
      </c>
      <c r="D175" s="20" t="s">
        <v>243</v>
      </c>
      <c r="H175" s="53" t="s">
        <v>213</v>
      </c>
      <c r="J175" s="40"/>
      <c r="K175" s="55" t="str">
        <f>INDEX(Tableau6[TS],MATCH(Tableau5[[#This Row],[Type Signal]],Tableau6[TypeSignal],0))&amp;""</f>
        <v>ET</v>
      </c>
      <c r="L175" s="55"/>
      <c r="M175" s="21"/>
      <c r="N175" s="20" t="s">
        <v>758</v>
      </c>
    </row>
    <row r="176" spans="1:14" ht="18" customHeight="1">
      <c r="A176" s="96">
        <v>175</v>
      </c>
      <c r="B176" s="44" t="s">
        <v>907</v>
      </c>
      <c r="C176" s="20" t="s">
        <v>877</v>
      </c>
      <c r="D176" s="20" t="s">
        <v>522</v>
      </c>
      <c r="H176" s="53" t="s">
        <v>213</v>
      </c>
      <c r="J176" s="40"/>
      <c r="K176" s="55" t="str">
        <f>INDEX(Tableau6[TS],MATCH(Tableau5[[#This Row],[Type Signal]],Tableau6[TypeSignal],0))&amp;""</f>
        <v>ET</v>
      </c>
      <c r="L176" s="55"/>
      <c r="M176" s="21"/>
      <c r="N176" s="20" t="s">
        <v>758</v>
      </c>
    </row>
    <row r="177" spans="1:14" ht="18" customHeight="1">
      <c r="A177" s="96">
        <v>176</v>
      </c>
      <c r="B177" s="44" t="s">
        <v>907</v>
      </c>
      <c r="C177" s="20" t="s">
        <v>916</v>
      </c>
      <c r="D177" s="20" t="s">
        <v>244</v>
      </c>
      <c r="H177" s="53" t="s">
        <v>213</v>
      </c>
      <c r="J177" s="40"/>
      <c r="K177" s="55" t="str">
        <f>INDEX(Tableau6[TS],MATCH(Tableau5[[#This Row],[Type Signal]],Tableau6[TypeSignal],0))&amp;""</f>
        <v>ET</v>
      </c>
      <c r="L177" s="55"/>
      <c r="M177" s="21"/>
      <c r="N177" s="20" t="s">
        <v>758</v>
      </c>
    </row>
    <row r="178" spans="1:14" ht="18" customHeight="1">
      <c r="A178" s="96">
        <v>177</v>
      </c>
      <c r="B178" s="44" t="s">
        <v>907</v>
      </c>
      <c r="C178" s="20" t="s">
        <v>917</v>
      </c>
      <c r="D178" s="20" t="s">
        <v>563</v>
      </c>
      <c r="H178" s="53" t="s">
        <v>213</v>
      </c>
      <c r="J178" s="40"/>
      <c r="K178" s="55" t="str">
        <f>INDEX(Tableau6[TS],MATCH(Tableau5[[#This Row],[Type Signal]],Tableau6[TypeSignal],0))&amp;""</f>
        <v>ET</v>
      </c>
      <c r="L178" s="55"/>
      <c r="M178" s="21"/>
      <c r="N178" s="20" t="s">
        <v>758</v>
      </c>
    </row>
    <row r="179" spans="1:14" ht="18" customHeight="1">
      <c r="A179" s="96">
        <v>178</v>
      </c>
      <c r="B179" s="44" t="s">
        <v>907</v>
      </c>
      <c r="C179" s="20" t="s">
        <v>918</v>
      </c>
      <c r="D179" s="20" t="s">
        <v>245</v>
      </c>
      <c r="H179" s="53" t="s">
        <v>213</v>
      </c>
      <c r="J179" s="40"/>
      <c r="K179" s="55" t="str">
        <f>INDEX(Tableau6[TS],MATCH(Tableau5[[#This Row],[Type Signal]],Tableau6[TypeSignal],0))&amp;""</f>
        <v>ET</v>
      </c>
      <c r="L179" s="55"/>
      <c r="M179" s="21"/>
      <c r="N179" s="20" t="s">
        <v>758</v>
      </c>
    </row>
    <row r="180" spans="1:14" ht="18" customHeight="1">
      <c r="A180" s="96">
        <v>179</v>
      </c>
      <c r="B180" s="44" t="s">
        <v>907</v>
      </c>
      <c r="C180" s="20" t="s">
        <v>887</v>
      </c>
      <c r="D180" s="20" t="s">
        <v>524</v>
      </c>
      <c r="H180" s="53" t="s">
        <v>213</v>
      </c>
      <c r="J180" s="40"/>
      <c r="K180" s="55" t="str">
        <f>INDEX(Tableau6[TS],MATCH(Tableau5[[#This Row],[Type Signal]],Tableau6[TypeSignal],0))&amp;""</f>
        <v>ET</v>
      </c>
      <c r="L180" s="55"/>
      <c r="M180" s="21"/>
      <c r="N180" s="20" t="s">
        <v>758</v>
      </c>
    </row>
    <row r="181" spans="1:14" ht="18" customHeight="1">
      <c r="A181" s="96">
        <v>180</v>
      </c>
      <c r="B181" s="44" t="s">
        <v>907</v>
      </c>
      <c r="C181" s="20" t="s">
        <v>815</v>
      </c>
      <c r="D181" s="20" t="s">
        <v>815</v>
      </c>
      <c r="H181" s="53" t="s">
        <v>213</v>
      </c>
      <c r="J181" s="40"/>
      <c r="K181" s="55" t="str">
        <f>INDEX(Tableau6[TS],MATCH(Tableau5[[#This Row],[Type Signal]],Tableau6[TypeSignal],0))&amp;""</f>
        <v>ET</v>
      </c>
      <c r="L181" s="55"/>
      <c r="M181" s="21"/>
      <c r="N181" s="20" t="s">
        <v>758</v>
      </c>
    </row>
    <row r="182" spans="1:14" ht="18" customHeight="1">
      <c r="A182" s="96">
        <v>181</v>
      </c>
      <c r="B182" s="44" t="s">
        <v>907</v>
      </c>
      <c r="C182" s="20" t="s">
        <v>815</v>
      </c>
      <c r="D182" s="20" t="s">
        <v>815</v>
      </c>
      <c r="H182" s="53" t="s">
        <v>213</v>
      </c>
      <c r="J182" s="41"/>
      <c r="K182" s="55" t="str">
        <f>INDEX(Tableau6[TS],MATCH(Tableau5[[#This Row],[Type Signal]],Tableau6[TypeSignal],0))&amp;""</f>
        <v>ST</v>
      </c>
      <c r="L182" s="55"/>
      <c r="M182" s="21"/>
      <c r="N182" s="20" t="s">
        <v>761</v>
      </c>
    </row>
    <row r="183" spans="1:14" ht="18" customHeight="1">
      <c r="A183" s="96">
        <v>182</v>
      </c>
      <c r="B183" s="44" t="s">
        <v>907</v>
      </c>
      <c r="C183" s="20" t="s">
        <v>919</v>
      </c>
      <c r="D183" s="20" t="s">
        <v>512</v>
      </c>
      <c r="H183" s="53" t="s">
        <v>213</v>
      </c>
      <c r="J183" s="41"/>
      <c r="K183" s="55" t="str">
        <f>INDEX(Tableau6[TS],MATCH(Tableau5[[#This Row],[Type Signal]],Tableau6[TypeSignal],0))&amp;""</f>
        <v>ST</v>
      </c>
      <c r="L183" s="55"/>
      <c r="M183" s="21"/>
      <c r="N183" s="20" t="s">
        <v>761</v>
      </c>
    </row>
    <row r="184" spans="1:14" ht="18" customHeight="1">
      <c r="A184" s="96">
        <v>183</v>
      </c>
      <c r="B184" s="44" t="s">
        <v>907</v>
      </c>
      <c r="C184" s="20" t="s">
        <v>920</v>
      </c>
      <c r="D184" s="20" t="s">
        <v>479</v>
      </c>
      <c r="I184" s="53" t="s">
        <v>213</v>
      </c>
      <c r="J184" s="40"/>
      <c r="K184" s="55" t="str">
        <f>INDEX(Tableau6[TS],MATCH(Tableau5[[#This Row],[Type Signal]],Tableau6[TypeSignal],0))&amp;""</f>
        <v>ET</v>
      </c>
      <c r="L184" s="55"/>
      <c r="M184" s="21"/>
      <c r="N184" s="20" t="s">
        <v>758</v>
      </c>
    </row>
    <row r="185" spans="1:14" ht="18" customHeight="1">
      <c r="A185" s="96">
        <v>184</v>
      </c>
      <c r="B185" s="44" t="s">
        <v>907</v>
      </c>
      <c r="C185" s="20" t="s">
        <v>921</v>
      </c>
      <c r="D185" s="20" t="s">
        <v>480</v>
      </c>
      <c r="I185" s="53" t="s">
        <v>213</v>
      </c>
      <c r="J185" s="40"/>
      <c r="K185" s="55" t="str">
        <f>INDEX(Tableau6[TS],MATCH(Tableau5[[#This Row],[Type Signal]],Tableau6[TypeSignal],0))&amp;""</f>
        <v>ET</v>
      </c>
      <c r="L185" s="55"/>
      <c r="M185" s="21"/>
      <c r="N185" s="20" t="s">
        <v>758</v>
      </c>
    </row>
    <row r="186" spans="1:14" ht="18" customHeight="1">
      <c r="A186" s="96">
        <v>185</v>
      </c>
      <c r="B186" s="44" t="s">
        <v>907</v>
      </c>
      <c r="C186" s="20" t="s">
        <v>922</v>
      </c>
      <c r="D186" s="20" t="s">
        <v>481</v>
      </c>
      <c r="I186" s="53" t="s">
        <v>213</v>
      </c>
      <c r="J186" s="40"/>
      <c r="K186" s="55" t="str">
        <f>INDEX(Tableau6[TS],MATCH(Tableau5[[#This Row],[Type Signal]],Tableau6[TypeSignal],0))&amp;""</f>
        <v>ET</v>
      </c>
      <c r="L186" s="55"/>
      <c r="M186" s="21"/>
      <c r="N186" s="20" t="s">
        <v>758</v>
      </c>
    </row>
    <row r="187" spans="1:14" ht="18" customHeight="1">
      <c r="A187" s="96">
        <v>186</v>
      </c>
      <c r="B187" s="44" t="s">
        <v>907</v>
      </c>
      <c r="C187" s="20" t="s">
        <v>923</v>
      </c>
      <c r="D187" s="20" t="s">
        <v>470</v>
      </c>
      <c r="I187" s="53" t="s">
        <v>213</v>
      </c>
      <c r="J187" s="41"/>
      <c r="K187" s="55" t="str">
        <f>INDEX(Tableau6[TS],MATCH(Tableau5[[#This Row],[Type Signal]],Tableau6[TypeSignal],0))&amp;""</f>
        <v>ST</v>
      </c>
      <c r="L187" s="55"/>
      <c r="M187" s="21"/>
      <c r="N187" s="20" t="s">
        <v>761</v>
      </c>
    </row>
    <row r="188" spans="1:14" ht="18" customHeight="1">
      <c r="A188" s="96">
        <v>187</v>
      </c>
      <c r="B188" s="44" t="s">
        <v>907</v>
      </c>
      <c r="C188" s="20" t="s">
        <v>815</v>
      </c>
      <c r="D188" s="20" t="s">
        <v>815</v>
      </c>
      <c r="I188" s="53" t="s">
        <v>213</v>
      </c>
      <c r="J188" s="41"/>
      <c r="K188" s="55" t="str">
        <f>INDEX(Tableau6[TS],MATCH(Tableau5[[#This Row],[Type Signal]],Tableau6[TypeSignal],0))&amp;""</f>
        <v>ST</v>
      </c>
      <c r="L188" s="55"/>
      <c r="M188" s="21"/>
      <c r="N188" s="20" t="s">
        <v>761</v>
      </c>
    </row>
    <row r="189" spans="1:14" ht="18" customHeight="1">
      <c r="A189" s="96">
        <v>188</v>
      </c>
      <c r="B189" s="44" t="s">
        <v>907</v>
      </c>
      <c r="C189" s="20" t="s">
        <v>924</v>
      </c>
      <c r="D189" s="20" t="s">
        <v>247</v>
      </c>
      <c r="I189" s="53" t="s">
        <v>213</v>
      </c>
      <c r="J189" s="41"/>
      <c r="K189" s="55" t="str">
        <f>INDEX(Tableau6[TS],MATCH(Tableau5[[#This Row],[Type Signal]],Tableau6[TypeSignal],0))&amp;""</f>
        <v>ST</v>
      </c>
      <c r="L189" s="55"/>
      <c r="M189" s="21"/>
      <c r="N189" s="20" t="s">
        <v>761</v>
      </c>
    </row>
    <row r="190" spans="1:14" ht="18" customHeight="1">
      <c r="A190" s="96">
        <v>189</v>
      </c>
      <c r="B190" s="44" t="s">
        <v>907</v>
      </c>
      <c r="C190" s="20" t="s">
        <v>815</v>
      </c>
      <c r="D190" s="20" t="s">
        <v>815</v>
      </c>
      <c r="I190" s="53" t="s">
        <v>213</v>
      </c>
      <c r="J190" s="41"/>
      <c r="K190" s="55" t="str">
        <f>INDEX(Tableau6[TS],MATCH(Tableau5[[#This Row],[Type Signal]],Tableau6[TypeSignal],0))&amp;""</f>
        <v>ST</v>
      </c>
      <c r="L190" s="55"/>
      <c r="M190" s="21"/>
      <c r="N190" s="20" t="s">
        <v>761</v>
      </c>
    </row>
    <row r="191" spans="1:14" ht="18" customHeight="1">
      <c r="A191" s="96">
        <v>190</v>
      </c>
      <c r="B191" s="44" t="s">
        <v>907</v>
      </c>
      <c r="C191" s="20" t="s">
        <v>897</v>
      </c>
      <c r="D191" s="20" t="s">
        <v>471</v>
      </c>
      <c r="I191" s="53" t="s">
        <v>213</v>
      </c>
      <c r="J191" s="41"/>
      <c r="K191" s="55" t="str">
        <f>INDEX(Tableau6[TS],MATCH(Tableau5[[#This Row],[Type Signal]],Tableau6[TypeSignal],0))&amp;""</f>
        <v>ST</v>
      </c>
      <c r="L191" s="55"/>
      <c r="M191" s="21"/>
      <c r="N191" s="20" t="s">
        <v>761</v>
      </c>
    </row>
    <row r="192" spans="1:14" ht="18" customHeight="1">
      <c r="A192" s="96">
        <v>191</v>
      </c>
      <c r="B192" s="44" t="s">
        <v>907</v>
      </c>
      <c r="C192" s="20" t="s">
        <v>898</v>
      </c>
      <c r="D192" s="20" t="s">
        <v>248</v>
      </c>
      <c r="I192" s="53" t="s">
        <v>213</v>
      </c>
      <c r="J192" s="40"/>
      <c r="K192" s="55" t="str">
        <f>INDEX(Tableau6[TS],MATCH(Tableau5[[#This Row],[Type Signal]],Tableau6[TypeSignal],0))&amp;""</f>
        <v>ET</v>
      </c>
      <c r="L192" s="55"/>
      <c r="M192" s="21"/>
      <c r="N192" s="20" t="s">
        <v>758</v>
      </c>
    </row>
    <row r="193" spans="1:14" ht="18" customHeight="1">
      <c r="A193" s="96">
        <v>192</v>
      </c>
      <c r="B193" s="44" t="s">
        <v>907</v>
      </c>
      <c r="C193" s="20" t="s">
        <v>899</v>
      </c>
      <c r="D193" s="20" t="s">
        <v>482</v>
      </c>
      <c r="I193" s="53" t="s">
        <v>213</v>
      </c>
      <c r="J193" s="40"/>
      <c r="K193" s="55" t="str">
        <f>INDEX(Tableau6[TS],MATCH(Tableau5[[#This Row],[Type Signal]],Tableau6[TypeSignal],0))&amp;""</f>
        <v>ET</v>
      </c>
      <c r="L193" s="55"/>
      <c r="M193" s="21"/>
      <c r="N193" s="20" t="s">
        <v>758</v>
      </c>
    </row>
    <row r="194" spans="1:14" ht="18" customHeight="1">
      <c r="A194" s="96">
        <v>193</v>
      </c>
      <c r="B194" s="44" t="s">
        <v>907</v>
      </c>
      <c r="C194" s="20" t="s">
        <v>925</v>
      </c>
      <c r="D194" s="20" t="s">
        <v>249</v>
      </c>
      <c r="I194" s="53" t="s">
        <v>213</v>
      </c>
      <c r="J194" s="40"/>
      <c r="K194" s="55" t="str">
        <f>INDEX(Tableau6[TS],MATCH(Tableau5[[#This Row],[Type Signal]],Tableau6[TypeSignal],0))&amp;""</f>
        <v>ET</v>
      </c>
      <c r="L194" s="55"/>
      <c r="M194" s="21"/>
      <c r="N194" s="20" t="s">
        <v>758</v>
      </c>
    </row>
    <row r="195" spans="1:14" ht="18" customHeight="1">
      <c r="A195" s="96">
        <v>194</v>
      </c>
      <c r="B195" s="44" t="s">
        <v>907</v>
      </c>
      <c r="C195" s="20" t="s">
        <v>926</v>
      </c>
      <c r="D195" s="20" t="s">
        <v>483</v>
      </c>
      <c r="I195" s="53" t="s">
        <v>213</v>
      </c>
      <c r="J195" s="40"/>
      <c r="K195" s="55" t="str">
        <f>INDEX(Tableau6[TS],MATCH(Tableau5[[#This Row],[Type Signal]],Tableau6[TypeSignal],0))&amp;""</f>
        <v>ET</v>
      </c>
      <c r="L195" s="55"/>
      <c r="M195" s="21"/>
      <c r="N195" s="20" t="s">
        <v>758</v>
      </c>
    </row>
    <row r="196" spans="1:14" ht="18" customHeight="1">
      <c r="A196" s="96">
        <v>195</v>
      </c>
      <c r="B196" s="44" t="s">
        <v>907</v>
      </c>
      <c r="C196" s="20" t="s">
        <v>927</v>
      </c>
      <c r="D196" s="20" t="s">
        <v>250</v>
      </c>
      <c r="I196" s="53" t="s">
        <v>213</v>
      </c>
      <c r="J196" s="40"/>
      <c r="K196" s="55" t="str">
        <f>INDEX(Tableau6[TS],MATCH(Tableau5[[#This Row],[Type Signal]],Tableau6[TypeSignal],0))&amp;""</f>
        <v>ET</v>
      </c>
      <c r="L196" s="55"/>
      <c r="M196" s="21"/>
      <c r="N196" s="20" t="s">
        <v>758</v>
      </c>
    </row>
    <row r="197" spans="1:14" ht="18" customHeight="1">
      <c r="A197" s="96">
        <v>196</v>
      </c>
      <c r="B197" s="44" t="s">
        <v>907</v>
      </c>
      <c r="C197" s="20" t="s">
        <v>928</v>
      </c>
      <c r="D197" s="20" t="s">
        <v>886</v>
      </c>
      <c r="I197" s="53" t="s">
        <v>213</v>
      </c>
      <c r="J197" s="40"/>
      <c r="K197" s="55" t="str">
        <f>INDEX(Tableau6[TS],MATCH(Tableau5[[#This Row],[Type Signal]],Tableau6[TypeSignal],0))&amp;""</f>
        <v>ET</v>
      </c>
      <c r="L197" s="55"/>
      <c r="M197" s="21"/>
      <c r="N197" s="20" t="s">
        <v>758</v>
      </c>
    </row>
    <row r="198" spans="1:14" ht="18" customHeight="1">
      <c r="A198" s="96">
        <v>197</v>
      </c>
      <c r="B198" s="44" t="s">
        <v>907</v>
      </c>
      <c r="C198" s="20" t="s">
        <v>815</v>
      </c>
      <c r="D198" s="20" t="s">
        <v>815</v>
      </c>
      <c r="I198" s="53" t="s">
        <v>213</v>
      </c>
      <c r="J198" s="40"/>
      <c r="K198" s="55" t="str">
        <f>INDEX(Tableau6[TS],MATCH(Tableau5[[#This Row],[Type Signal]],Tableau6[TypeSignal],0))&amp;""</f>
        <v>ET</v>
      </c>
      <c r="L198" s="55"/>
      <c r="M198" s="21"/>
      <c r="N198" s="20" t="s">
        <v>758</v>
      </c>
    </row>
    <row r="199" spans="1:14" ht="18" customHeight="1">
      <c r="A199" s="96">
        <v>198</v>
      </c>
      <c r="B199" s="44" t="s">
        <v>929</v>
      </c>
      <c r="C199" s="20" t="s">
        <v>930</v>
      </c>
      <c r="D199" s="20" t="s">
        <v>862</v>
      </c>
      <c r="I199" s="53" t="s">
        <v>213</v>
      </c>
      <c r="J199" s="41"/>
      <c r="K199" s="55" t="str">
        <f>INDEX(Tableau6[TS],MATCH(Tableau5[[#This Row],[Type Signal]],Tableau6[TypeSignal],0))&amp;""</f>
        <v>ST</v>
      </c>
      <c r="L199" s="55"/>
      <c r="M199" s="21"/>
      <c r="N199" s="20" t="s">
        <v>761</v>
      </c>
    </row>
    <row r="200" spans="1:14" ht="18" customHeight="1">
      <c r="A200" s="96">
        <v>199</v>
      </c>
      <c r="B200" s="44" t="s">
        <v>929</v>
      </c>
      <c r="C200" s="20" t="s">
        <v>931</v>
      </c>
      <c r="D200" s="20" t="s">
        <v>886</v>
      </c>
      <c r="H200" s="53" t="s">
        <v>213</v>
      </c>
      <c r="J200" s="40"/>
      <c r="K200" s="55" t="str">
        <f>INDEX(Tableau6[TS],MATCH(Tableau5[[#This Row],[Type Signal]],Tableau6[TypeSignal],0))&amp;""</f>
        <v>ET</v>
      </c>
      <c r="L200" s="55"/>
      <c r="M200" s="21"/>
      <c r="N200" s="20" t="s">
        <v>758</v>
      </c>
    </row>
    <row r="201" spans="1:14" ht="18" customHeight="1">
      <c r="A201" s="96">
        <v>200</v>
      </c>
      <c r="B201" s="44" t="s">
        <v>929</v>
      </c>
      <c r="C201" s="20" t="s">
        <v>932</v>
      </c>
      <c r="D201" s="20" t="s">
        <v>508</v>
      </c>
      <c r="H201" s="53" t="s">
        <v>213</v>
      </c>
      <c r="J201" s="41"/>
      <c r="K201" s="55" t="str">
        <f>INDEX(Tableau6[TS],MATCH(Tableau5[[#This Row],[Type Signal]],Tableau6[TypeSignal],0))&amp;""</f>
        <v>ST</v>
      </c>
      <c r="L201" s="55"/>
      <c r="M201" s="21"/>
      <c r="N201" s="20" t="s">
        <v>761</v>
      </c>
    </row>
    <row r="202" spans="1:14" ht="18" customHeight="1">
      <c r="A202" s="96">
        <v>201</v>
      </c>
      <c r="B202" s="44" t="s">
        <v>929</v>
      </c>
      <c r="C202" s="20" t="s">
        <v>933</v>
      </c>
      <c r="D202" s="20" t="s">
        <v>252</v>
      </c>
      <c r="H202" s="53" t="s">
        <v>213</v>
      </c>
      <c r="J202" s="41"/>
      <c r="K202" s="55" t="str">
        <f>INDEX(Tableau6[TS],MATCH(Tableau5[[#This Row],[Type Signal]],Tableau6[TypeSignal],0))&amp;""</f>
        <v>ST</v>
      </c>
      <c r="L202" s="55"/>
      <c r="M202" s="21"/>
      <c r="N202" s="20" t="s">
        <v>761</v>
      </c>
    </row>
    <row r="203" spans="1:14" ht="18" customHeight="1">
      <c r="A203" s="96">
        <v>202</v>
      </c>
      <c r="B203" s="44" t="s">
        <v>929</v>
      </c>
      <c r="C203" s="20" t="s">
        <v>934</v>
      </c>
      <c r="D203" s="20" t="s">
        <v>875</v>
      </c>
      <c r="H203" s="53" t="s">
        <v>213</v>
      </c>
      <c r="J203" s="41"/>
      <c r="K203" s="55" t="str">
        <f>INDEX(Tableau6[TS],MATCH(Tableau5[[#This Row],[Type Signal]],Tableau6[TypeSignal],0))&amp;""</f>
        <v>ST</v>
      </c>
      <c r="L203" s="55"/>
      <c r="M203" s="21"/>
      <c r="N203" s="20" t="s">
        <v>761</v>
      </c>
    </row>
    <row r="204" spans="1:14" ht="18" customHeight="1">
      <c r="A204" s="96">
        <v>203</v>
      </c>
      <c r="B204" s="44" t="s">
        <v>929</v>
      </c>
      <c r="C204" s="20" t="s">
        <v>935</v>
      </c>
      <c r="D204" s="20" t="s">
        <v>518</v>
      </c>
      <c r="H204" s="53" t="s">
        <v>213</v>
      </c>
      <c r="J204" s="40"/>
      <c r="K204" s="55" t="str">
        <f>INDEX(Tableau6[TS],MATCH(Tableau5[[#This Row],[Type Signal]],Tableau6[TypeSignal],0))&amp;""</f>
        <v>ET</v>
      </c>
      <c r="L204" s="55"/>
      <c r="M204" s="21"/>
      <c r="N204" s="20" t="s">
        <v>758</v>
      </c>
    </row>
    <row r="205" spans="1:14" ht="18" customHeight="1">
      <c r="A205" s="96">
        <v>204</v>
      </c>
      <c r="B205" s="44" t="s">
        <v>929</v>
      </c>
      <c r="C205" s="20" t="s">
        <v>936</v>
      </c>
      <c r="D205" s="20" t="s">
        <v>937</v>
      </c>
      <c r="H205" s="53" t="s">
        <v>213</v>
      </c>
      <c r="J205" s="40"/>
      <c r="K205" s="55" t="str">
        <f>INDEX(Tableau6[TS],MATCH(Tableau5[[#This Row],[Type Signal]],Tableau6[TypeSignal],0))&amp;""</f>
        <v>ET</v>
      </c>
      <c r="L205" s="55"/>
      <c r="M205" s="21"/>
      <c r="N205" s="20" t="s">
        <v>758</v>
      </c>
    </row>
    <row r="206" spans="1:14" ht="18" customHeight="1">
      <c r="A206" s="96">
        <v>205</v>
      </c>
      <c r="B206" s="44" t="s">
        <v>929</v>
      </c>
      <c r="C206" s="20" t="s">
        <v>938</v>
      </c>
      <c r="D206" s="20" t="s">
        <v>866</v>
      </c>
      <c r="H206" s="53" t="s">
        <v>213</v>
      </c>
      <c r="J206" s="40"/>
      <c r="K206" s="55" t="str">
        <f>INDEX(Tableau6[TS],MATCH(Tableau5[[#This Row],[Type Signal]],Tableau6[TypeSignal],0))&amp;""</f>
        <v>ET</v>
      </c>
      <c r="L206" s="55"/>
      <c r="M206" s="21"/>
      <c r="N206" s="20" t="s">
        <v>758</v>
      </c>
    </row>
    <row r="207" spans="1:14" ht="18" customHeight="1">
      <c r="A207" s="96">
        <v>206</v>
      </c>
      <c r="B207" s="44" t="s">
        <v>929</v>
      </c>
      <c r="C207" s="20" t="s">
        <v>881</v>
      </c>
      <c r="D207" s="20" t="s">
        <v>328</v>
      </c>
      <c r="H207" s="53" t="s">
        <v>213</v>
      </c>
      <c r="J207" s="40"/>
      <c r="K207" s="55" t="str">
        <f>INDEX(Tableau6[TS],MATCH(Tableau5[[#This Row],[Type Signal]],Tableau6[TypeSignal],0))&amp;""</f>
        <v>ET</v>
      </c>
      <c r="L207" s="55"/>
      <c r="M207" s="21"/>
      <c r="N207" s="20" t="s">
        <v>758</v>
      </c>
    </row>
    <row r="208" spans="1:14" ht="18" customHeight="1">
      <c r="A208" s="96">
        <v>207</v>
      </c>
      <c r="B208" s="44" t="s">
        <v>929</v>
      </c>
      <c r="C208" s="20" t="s">
        <v>939</v>
      </c>
      <c r="D208" s="20" t="s">
        <v>555</v>
      </c>
      <c r="I208" s="53" t="s">
        <v>213</v>
      </c>
      <c r="J208" s="41"/>
      <c r="K208" s="55" t="str">
        <f>INDEX(Tableau6[TS],MATCH(Tableau5[[#This Row],[Type Signal]],Tableau6[TypeSignal],0))&amp;""</f>
        <v>ST</v>
      </c>
      <c r="L208" s="55"/>
      <c r="M208" s="21"/>
      <c r="N208" s="20" t="s">
        <v>761</v>
      </c>
    </row>
    <row r="209" spans="1:14" ht="18" customHeight="1">
      <c r="A209" s="96">
        <v>208</v>
      </c>
      <c r="B209" s="44" t="s">
        <v>929</v>
      </c>
      <c r="C209" s="20" t="s">
        <v>940</v>
      </c>
      <c r="D209" s="20" t="s">
        <v>469</v>
      </c>
      <c r="I209" s="53" t="s">
        <v>213</v>
      </c>
      <c r="J209" s="41"/>
      <c r="K209" s="55" t="str">
        <f>INDEX(Tableau6[TS],MATCH(Tableau5[[#This Row],[Type Signal]],Tableau6[TypeSignal],0))&amp;""</f>
        <v>ST</v>
      </c>
      <c r="L209" s="55"/>
      <c r="M209" s="21"/>
      <c r="N209" s="20" t="s">
        <v>761</v>
      </c>
    </row>
    <row r="210" spans="1:14" ht="18" customHeight="1">
      <c r="A210" s="96">
        <v>209</v>
      </c>
      <c r="B210" s="44" t="s">
        <v>929</v>
      </c>
      <c r="C210" s="20" t="s">
        <v>891</v>
      </c>
      <c r="D210" s="20" t="s">
        <v>519</v>
      </c>
      <c r="H210" s="53" t="s">
        <v>213</v>
      </c>
      <c r="J210" s="40"/>
      <c r="K210" s="55" t="str">
        <f>INDEX(Tableau6[TS],MATCH(Tableau5[[#This Row],[Type Signal]],Tableau6[TypeSignal],0))&amp;""</f>
        <v>ET</v>
      </c>
      <c r="L210" s="55"/>
      <c r="M210" s="21"/>
      <c r="N210" s="20" t="s">
        <v>758</v>
      </c>
    </row>
    <row r="211" spans="1:14" ht="18" customHeight="1">
      <c r="A211" s="96">
        <v>210</v>
      </c>
      <c r="B211" s="44" t="s">
        <v>929</v>
      </c>
      <c r="C211" s="20" t="s">
        <v>892</v>
      </c>
      <c r="D211" s="20" t="s">
        <v>520</v>
      </c>
      <c r="H211" s="53" t="s">
        <v>213</v>
      </c>
      <c r="J211" s="40"/>
      <c r="K211" s="55" t="str">
        <f>INDEX(Tableau6[TS],MATCH(Tableau5[[#This Row],[Type Signal]],Tableau6[TypeSignal],0))&amp;""</f>
        <v>ET</v>
      </c>
      <c r="L211" s="55"/>
      <c r="M211" s="21"/>
      <c r="N211" s="20" t="s">
        <v>758</v>
      </c>
    </row>
    <row r="212" spans="1:14" ht="18" customHeight="1">
      <c r="A212" s="96">
        <v>211</v>
      </c>
      <c r="B212" s="44" t="s">
        <v>929</v>
      </c>
      <c r="C212" s="20" t="s">
        <v>913</v>
      </c>
      <c r="D212" s="20" t="s">
        <v>521</v>
      </c>
      <c r="H212" s="53" t="s">
        <v>213</v>
      </c>
      <c r="J212" s="40"/>
      <c r="K212" s="55" t="str">
        <f>INDEX(Tableau6[TS],MATCH(Tableau5[[#This Row],[Type Signal]],Tableau6[TypeSignal],0))&amp;""</f>
        <v>ET</v>
      </c>
      <c r="L212" s="55"/>
      <c r="M212" s="21"/>
      <c r="N212" s="20" t="s">
        <v>758</v>
      </c>
    </row>
    <row r="213" spans="1:14" ht="18" customHeight="1">
      <c r="A213" s="96">
        <v>212</v>
      </c>
      <c r="B213" s="44" t="s">
        <v>929</v>
      </c>
      <c r="C213" s="20" t="s">
        <v>941</v>
      </c>
      <c r="D213" s="20" t="s">
        <v>241</v>
      </c>
      <c r="H213" s="53" t="s">
        <v>213</v>
      </c>
      <c r="J213" s="41"/>
      <c r="K213" s="55" t="str">
        <f>INDEX(Tableau6[TS],MATCH(Tableau5[[#This Row],[Type Signal]],Tableau6[TypeSignal],0))&amp;""</f>
        <v>ST</v>
      </c>
      <c r="L213" s="55"/>
      <c r="M213" s="21"/>
      <c r="N213" s="20" t="s">
        <v>761</v>
      </c>
    </row>
    <row r="214" spans="1:14" ht="18" customHeight="1">
      <c r="A214" s="96">
        <v>213</v>
      </c>
      <c r="B214" s="44" t="s">
        <v>929</v>
      </c>
      <c r="C214" s="20" t="s">
        <v>942</v>
      </c>
      <c r="D214" s="20" t="s">
        <v>509</v>
      </c>
      <c r="H214" s="53" t="s">
        <v>213</v>
      </c>
      <c r="J214" s="41"/>
      <c r="K214" s="55" t="str">
        <f>INDEX(Tableau6[TS],MATCH(Tableau5[[#This Row],[Type Signal]],Tableau6[TypeSignal],0))&amp;""</f>
        <v>ST</v>
      </c>
      <c r="L214" s="55"/>
      <c r="M214" s="21"/>
      <c r="N214" s="20" t="s">
        <v>761</v>
      </c>
    </row>
    <row r="215" spans="1:14" ht="18" customHeight="1">
      <c r="A215" s="96">
        <v>214</v>
      </c>
      <c r="B215" s="44" t="s">
        <v>929</v>
      </c>
      <c r="C215" s="20" t="s">
        <v>943</v>
      </c>
      <c r="D215" s="20" t="s">
        <v>242</v>
      </c>
      <c r="H215" s="53" t="s">
        <v>213</v>
      </c>
      <c r="J215" s="41"/>
      <c r="K215" s="55" t="str">
        <f>INDEX(Tableau6[TS],MATCH(Tableau5[[#This Row],[Type Signal]],Tableau6[TypeSignal],0))&amp;""</f>
        <v>ST</v>
      </c>
      <c r="L215" s="55"/>
      <c r="M215" s="21"/>
      <c r="N215" s="20" t="s">
        <v>761</v>
      </c>
    </row>
    <row r="216" spans="1:14" ht="18" customHeight="1">
      <c r="A216" s="96">
        <v>215</v>
      </c>
      <c r="B216" s="44" t="s">
        <v>929</v>
      </c>
      <c r="C216" s="20" t="s">
        <v>815</v>
      </c>
      <c r="D216" s="20" t="s">
        <v>815</v>
      </c>
      <c r="H216" s="53" t="s">
        <v>213</v>
      </c>
      <c r="J216" s="41"/>
      <c r="K216" s="55" t="str">
        <f>INDEX(Tableau6[TS],MATCH(Tableau5[[#This Row],[Type Signal]],Tableau6[TypeSignal],0))&amp;""</f>
        <v>ST</v>
      </c>
      <c r="L216" s="55"/>
      <c r="M216" s="21"/>
      <c r="N216" s="20" t="s">
        <v>761</v>
      </c>
    </row>
    <row r="217" spans="1:14" ht="18" customHeight="1">
      <c r="A217" s="96">
        <v>216</v>
      </c>
      <c r="B217" s="44" t="s">
        <v>929</v>
      </c>
      <c r="C217" s="20" t="s">
        <v>944</v>
      </c>
      <c r="D217" s="20" t="s">
        <v>510</v>
      </c>
      <c r="H217" s="53" t="s">
        <v>213</v>
      </c>
      <c r="J217" s="41"/>
      <c r="K217" s="55" t="str">
        <f>INDEX(Tableau6[TS],MATCH(Tableau5[[#This Row],[Type Signal]],Tableau6[TypeSignal],0))&amp;""</f>
        <v>ST</v>
      </c>
      <c r="L217" s="55"/>
      <c r="M217" s="21"/>
      <c r="N217" s="20" t="s">
        <v>761</v>
      </c>
    </row>
    <row r="218" spans="1:14" ht="18" customHeight="1">
      <c r="A218" s="96">
        <v>217</v>
      </c>
      <c r="B218" s="44" t="s">
        <v>929</v>
      </c>
      <c r="C218" s="20" t="s">
        <v>945</v>
      </c>
      <c r="D218" s="20" t="s">
        <v>243</v>
      </c>
      <c r="H218" s="53" t="s">
        <v>213</v>
      </c>
      <c r="J218" s="40"/>
      <c r="K218" s="55" t="str">
        <f>INDEX(Tableau6[TS],MATCH(Tableau5[[#This Row],[Type Signal]],Tableau6[TypeSignal],0))&amp;""</f>
        <v>ET</v>
      </c>
      <c r="L218" s="55"/>
      <c r="M218" s="21"/>
      <c r="N218" s="20" t="s">
        <v>758</v>
      </c>
    </row>
    <row r="219" spans="1:14" ht="18" customHeight="1">
      <c r="A219" s="96">
        <v>218</v>
      </c>
      <c r="B219" s="44" t="s">
        <v>929</v>
      </c>
      <c r="C219" s="20" t="s">
        <v>946</v>
      </c>
      <c r="D219" s="20" t="s">
        <v>522</v>
      </c>
      <c r="H219" s="53" t="s">
        <v>213</v>
      </c>
      <c r="J219" s="40"/>
      <c r="K219" s="55" t="str">
        <f>INDEX(Tableau6[TS],MATCH(Tableau5[[#This Row],[Type Signal]],Tableau6[TypeSignal],0))&amp;""</f>
        <v>ET</v>
      </c>
      <c r="L219" s="55"/>
      <c r="M219" s="21"/>
      <c r="N219" s="20" t="s">
        <v>758</v>
      </c>
    </row>
    <row r="220" spans="1:14" ht="18" customHeight="1">
      <c r="A220" s="96">
        <v>219</v>
      </c>
      <c r="B220" s="44" t="s">
        <v>929</v>
      </c>
      <c r="C220" s="20" t="s">
        <v>947</v>
      </c>
      <c r="D220" s="20" t="s">
        <v>244</v>
      </c>
      <c r="H220" s="53" t="s">
        <v>213</v>
      </c>
      <c r="J220" s="40"/>
      <c r="K220" s="55" t="str">
        <f>INDEX(Tableau6[TS],MATCH(Tableau5[[#This Row],[Type Signal]],Tableau6[TypeSignal],0))&amp;""</f>
        <v>ET</v>
      </c>
      <c r="L220" s="55"/>
      <c r="M220" s="21"/>
      <c r="N220" s="20" t="s">
        <v>758</v>
      </c>
    </row>
    <row r="221" spans="1:14" ht="18" customHeight="1">
      <c r="A221" s="96">
        <v>220</v>
      </c>
      <c r="B221" s="44" t="s">
        <v>929</v>
      </c>
      <c r="C221" s="20" t="s">
        <v>948</v>
      </c>
      <c r="D221" s="20" t="s">
        <v>523</v>
      </c>
      <c r="H221" s="53" t="s">
        <v>213</v>
      </c>
      <c r="J221" s="40"/>
      <c r="K221" s="55" t="str">
        <f>INDEX(Tableau6[TS],MATCH(Tableau5[[#This Row],[Type Signal]],Tableau6[TypeSignal],0))&amp;""</f>
        <v>ET</v>
      </c>
      <c r="L221" s="55"/>
      <c r="M221" s="21"/>
      <c r="N221" s="20" t="s">
        <v>758</v>
      </c>
    </row>
    <row r="222" spans="1:14" ht="18" customHeight="1">
      <c r="A222" s="96">
        <v>221</v>
      </c>
      <c r="B222" s="44" t="s">
        <v>929</v>
      </c>
      <c r="C222" s="20" t="s">
        <v>949</v>
      </c>
      <c r="D222" s="20" t="s">
        <v>245</v>
      </c>
      <c r="H222" s="53" t="s">
        <v>213</v>
      </c>
      <c r="J222" s="40"/>
      <c r="K222" s="55" t="str">
        <f>INDEX(Tableau6[TS],MATCH(Tableau5[[#This Row],[Type Signal]],Tableau6[TypeSignal],0))&amp;""</f>
        <v>ET</v>
      </c>
      <c r="L222" s="55"/>
      <c r="M222" s="21"/>
      <c r="N222" s="20" t="s">
        <v>758</v>
      </c>
    </row>
    <row r="223" spans="1:14" ht="18" customHeight="1">
      <c r="A223" s="96">
        <v>222</v>
      </c>
      <c r="B223" s="44" t="s">
        <v>929</v>
      </c>
      <c r="C223" s="20" t="s">
        <v>887</v>
      </c>
      <c r="D223" s="20" t="s">
        <v>524</v>
      </c>
      <c r="H223" s="53" t="s">
        <v>213</v>
      </c>
      <c r="J223" s="40"/>
      <c r="K223" s="55" t="str">
        <f>INDEX(Tableau6[TS],MATCH(Tableau5[[#This Row],[Type Signal]],Tableau6[TypeSignal],0))&amp;""</f>
        <v>ET</v>
      </c>
      <c r="L223" s="55"/>
      <c r="M223" s="21"/>
      <c r="N223" s="20" t="s">
        <v>758</v>
      </c>
    </row>
    <row r="224" spans="1:14" ht="18" customHeight="1">
      <c r="A224" s="96">
        <v>223</v>
      </c>
      <c r="B224" s="44" t="s">
        <v>929</v>
      </c>
      <c r="C224" s="20" t="s">
        <v>950</v>
      </c>
      <c r="D224" s="20" t="s">
        <v>525</v>
      </c>
      <c r="H224" s="53" t="s">
        <v>213</v>
      </c>
      <c r="J224" s="40"/>
      <c r="K224" s="55" t="str">
        <f>INDEX(Tableau6[TS],MATCH(Tableau5[[#This Row],[Type Signal]],Tableau6[TypeSignal],0))&amp;""</f>
        <v>ET</v>
      </c>
      <c r="L224" s="55"/>
      <c r="M224" s="21"/>
      <c r="N224" s="20" t="s">
        <v>758</v>
      </c>
    </row>
    <row r="225" spans="1:14" ht="18" customHeight="1">
      <c r="A225" s="96">
        <v>224</v>
      </c>
      <c r="B225" s="44" t="s">
        <v>929</v>
      </c>
      <c r="C225" s="20" t="s">
        <v>889</v>
      </c>
      <c r="D225" s="20" t="s">
        <v>511</v>
      </c>
      <c r="H225" s="53" t="s">
        <v>213</v>
      </c>
      <c r="J225" s="41"/>
      <c r="K225" s="55" t="str">
        <f>INDEX(Tableau6[TS],MATCH(Tableau5[[#This Row],[Type Signal]],Tableau6[TypeSignal],0))&amp;""</f>
        <v>ST</v>
      </c>
      <c r="L225" s="55"/>
      <c r="M225" s="21"/>
      <c r="N225" s="20" t="s">
        <v>761</v>
      </c>
    </row>
    <row r="226" spans="1:14" ht="18" customHeight="1">
      <c r="A226" s="96">
        <v>225</v>
      </c>
      <c r="B226" s="44" t="s">
        <v>929</v>
      </c>
      <c r="C226" s="20" t="s">
        <v>890</v>
      </c>
      <c r="D226" s="20" t="s">
        <v>512</v>
      </c>
      <c r="H226" s="53" t="s">
        <v>213</v>
      </c>
      <c r="J226" s="41"/>
      <c r="K226" s="55" t="str">
        <f>INDEX(Tableau6[TS],MATCH(Tableau5[[#This Row],[Type Signal]],Tableau6[TypeSignal],0))&amp;""</f>
        <v>ST</v>
      </c>
      <c r="L226" s="55"/>
      <c r="M226" s="21"/>
      <c r="N226" s="20" t="s">
        <v>761</v>
      </c>
    </row>
    <row r="227" spans="1:14" ht="18" customHeight="1">
      <c r="A227" s="96">
        <v>226</v>
      </c>
      <c r="B227" s="44" t="s">
        <v>929</v>
      </c>
      <c r="C227" s="20" t="s">
        <v>951</v>
      </c>
      <c r="D227" s="20" t="s">
        <v>557</v>
      </c>
      <c r="I227" s="53" t="s">
        <v>213</v>
      </c>
      <c r="J227" s="40"/>
      <c r="K227" s="55" t="str">
        <f>INDEX(Tableau6[TS],MATCH(Tableau5[[#This Row],[Type Signal]],Tableau6[TypeSignal],0))&amp;""</f>
        <v>ET</v>
      </c>
      <c r="L227" s="55"/>
      <c r="M227" s="21"/>
      <c r="N227" s="20" t="s">
        <v>758</v>
      </c>
    </row>
    <row r="228" spans="1:14" ht="18" customHeight="1">
      <c r="A228" s="96">
        <v>227</v>
      </c>
      <c r="B228" s="44" t="s">
        <v>929</v>
      </c>
      <c r="C228" s="20" t="s">
        <v>904</v>
      </c>
      <c r="D228" s="20" t="s">
        <v>479</v>
      </c>
      <c r="I228" s="53" t="s">
        <v>213</v>
      </c>
      <c r="J228" s="40"/>
      <c r="K228" s="55" t="str">
        <f>INDEX(Tableau6[TS],MATCH(Tableau5[[#This Row],[Type Signal]],Tableau6[TypeSignal],0))&amp;""</f>
        <v>ET</v>
      </c>
      <c r="L228" s="55"/>
      <c r="M228" s="21"/>
      <c r="N228" s="20" t="s">
        <v>758</v>
      </c>
    </row>
    <row r="229" spans="1:14" ht="18" customHeight="1">
      <c r="A229" s="96">
        <v>228</v>
      </c>
      <c r="B229" s="44" t="s">
        <v>929</v>
      </c>
      <c r="C229" s="20" t="s">
        <v>906</v>
      </c>
      <c r="D229" s="20" t="s">
        <v>481</v>
      </c>
      <c r="I229" s="53" t="s">
        <v>213</v>
      </c>
      <c r="J229" s="40"/>
      <c r="K229" s="55" t="str">
        <f>INDEX(Tableau6[TS],MATCH(Tableau5[[#This Row],[Type Signal]],Tableau6[TypeSignal],0))&amp;""</f>
        <v>ET</v>
      </c>
      <c r="L229" s="55"/>
      <c r="M229" s="21"/>
      <c r="N229" s="20" t="s">
        <v>758</v>
      </c>
    </row>
    <row r="230" spans="1:14" ht="18" customHeight="1">
      <c r="A230" s="96">
        <v>229</v>
      </c>
      <c r="B230" s="44" t="s">
        <v>929</v>
      </c>
      <c r="C230" s="20" t="s">
        <v>868</v>
      </c>
      <c r="D230" s="20" t="s">
        <v>246</v>
      </c>
      <c r="I230" s="53" t="s">
        <v>213</v>
      </c>
      <c r="J230" s="41"/>
      <c r="K230" s="55" t="str">
        <f>INDEX(Tableau6[TS],MATCH(Tableau5[[#This Row],[Type Signal]],Tableau6[TypeSignal],0))&amp;""</f>
        <v>ST</v>
      </c>
      <c r="L230" s="55"/>
      <c r="M230" s="21"/>
      <c r="N230" s="20" t="s">
        <v>761</v>
      </c>
    </row>
    <row r="231" spans="1:14" ht="18" customHeight="1">
      <c r="A231" s="96">
        <v>230</v>
      </c>
      <c r="B231" s="44" t="s">
        <v>929</v>
      </c>
      <c r="C231" s="20" t="s">
        <v>952</v>
      </c>
      <c r="D231" s="20" t="s">
        <v>556</v>
      </c>
      <c r="I231" s="53" t="s">
        <v>213</v>
      </c>
      <c r="J231" s="41"/>
      <c r="K231" s="55" t="str">
        <f>INDEX(Tableau6[TS],MATCH(Tableau5[[#This Row],[Type Signal]],Tableau6[TypeSignal],0))&amp;""</f>
        <v>ST</v>
      </c>
      <c r="L231" s="55"/>
      <c r="M231" s="21"/>
      <c r="N231" s="20" t="s">
        <v>761</v>
      </c>
    </row>
    <row r="232" spans="1:14" ht="18" customHeight="1">
      <c r="A232" s="96">
        <v>231</v>
      </c>
      <c r="B232" s="44" t="s">
        <v>929</v>
      </c>
      <c r="C232" s="20" t="s">
        <v>953</v>
      </c>
      <c r="D232" s="20" t="s">
        <v>247</v>
      </c>
      <c r="I232" s="53" t="s">
        <v>213</v>
      </c>
      <c r="J232" s="41"/>
      <c r="K232" s="55" t="str">
        <f>INDEX(Tableau6[TS],MATCH(Tableau5[[#This Row],[Type Signal]],Tableau6[TypeSignal],0))&amp;""</f>
        <v>ST</v>
      </c>
      <c r="L232" s="55"/>
      <c r="M232" s="21"/>
      <c r="N232" s="20" t="s">
        <v>761</v>
      </c>
    </row>
    <row r="233" spans="1:14" ht="18" customHeight="1">
      <c r="A233" s="96">
        <v>232</v>
      </c>
      <c r="B233" s="44" t="s">
        <v>929</v>
      </c>
      <c r="C233" s="20" t="s">
        <v>815</v>
      </c>
      <c r="D233" s="20" t="s">
        <v>815</v>
      </c>
      <c r="I233" s="53" t="s">
        <v>213</v>
      </c>
      <c r="J233" s="41"/>
      <c r="K233" s="55" t="str">
        <f>INDEX(Tableau6[TS],MATCH(Tableau5[[#This Row],[Type Signal]],Tableau6[TypeSignal],0))&amp;""</f>
        <v>ST</v>
      </c>
      <c r="L233" s="55"/>
      <c r="M233" s="21"/>
      <c r="N233" s="20" t="s">
        <v>761</v>
      </c>
    </row>
    <row r="234" spans="1:14" ht="18" customHeight="1">
      <c r="A234" s="96">
        <v>233</v>
      </c>
      <c r="B234" s="44" t="s">
        <v>929</v>
      </c>
      <c r="C234" s="20" t="s">
        <v>954</v>
      </c>
      <c r="D234" s="20" t="s">
        <v>471</v>
      </c>
      <c r="I234" s="53" t="s">
        <v>213</v>
      </c>
      <c r="J234" s="41"/>
      <c r="K234" s="55" t="str">
        <f>INDEX(Tableau6[TS],MATCH(Tableau5[[#This Row],[Type Signal]],Tableau6[TypeSignal],0))&amp;""</f>
        <v>ST</v>
      </c>
      <c r="L234" s="55"/>
      <c r="M234" s="21"/>
      <c r="N234" s="20" t="s">
        <v>761</v>
      </c>
    </row>
    <row r="235" spans="1:14" ht="18" customHeight="1">
      <c r="A235" s="96">
        <v>234</v>
      </c>
      <c r="B235" s="44" t="s">
        <v>929</v>
      </c>
      <c r="C235" s="20" t="s">
        <v>955</v>
      </c>
      <c r="D235" s="20" t="s">
        <v>248</v>
      </c>
      <c r="I235" s="53" t="s">
        <v>213</v>
      </c>
      <c r="J235" s="40"/>
      <c r="K235" s="55" t="str">
        <f>INDEX(Tableau6[TS],MATCH(Tableau5[[#This Row],[Type Signal]],Tableau6[TypeSignal],0))&amp;""</f>
        <v>ET</v>
      </c>
      <c r="L235" s="55"/>
      <c r="M235" s="21"/>
      <c r="N235" s="20" t="s">
        <v>758</v>
      </c>
    </row>
    <row r="236" spans="1:14" ht="18" customHeight="1">
      <c r="A236" s="96">
        <v>235</v>
      </c>
      <c r="B236" s="44" t="s">
        <v>929</v>
      </c>
      <c r="C236" s="20" t="s">
        <v>899</v>
      </c>
      <c r="D236" s="20" t="s">
        <v>482</v>
      </c>
      <c r="I236" s="53" t="s">
        <v>213</v>
      </c>
      <c r="J236" s="40"/>
      <c r="K236" s="55" t="str">
        <f>INDEX(Tableau6[TS],MATCH(Tableau5[[#This Row],[Type Signal]],Tableau6[TypeSignal],0))&amp;""</f>
        <v>ET</v>
      </c>
      <c r="L236" s="55"/>
      <c r="M236" s="21"/>
      <c r="N236" s="20" t="s">
        <v>758</v>
      </c>
    </row>
    <row r="237" spans="1:14" ht="18" customHeight="1">
      <c r="A237" s="96">
        <v>236</v>
      </c>
      <c r="B237" s="44" t="s">
        <v>929</v>
      </c>
      <c r="C237" s="20" t="s">
        <v>956</v>
      </c>
      <c r="D237" s="20" t="s">
        <v>249</v>
      </c>
      <c r="I237" s="53" t="s">
        <v>213</v>
      </c>
      <c r="J237" s="40"/>
      <c r="K237" s="55" t="str">
        <f>INDEX(Tableau6[TS],MATCH(Tableau5[[#This Row],[Type Signal]],Tableau6[TypeSignal],0))&amp;""</f>
        <v>ET</v>
      </c>
      <c r="L237" s="55"/>
      <c r="M237" s="21"/>
      <c r="N237" s="20" t="s">
        <v>758</v>
      </c>
    </row>
    <row r="238" spans="1:14" ht="18" customHeight="1">
      <c r="A238" s="96">
        <v>237</v>
      </c>
      <c r="B238" s="44" t="s">
        <v>929</v>
      </c>
      <c r="C238" s="20" t="s">
        <v>957</v>
      </c>
      <c r="D238" s="20" t="s">
        <v>558</v>
      </c>
      <c r="I238" s="53" t="s">
        <v>213</v>
      </c>
      <c r="J238" s="40"/>
      <c r="K238" s="55" t="str">
        <f>INDEX(Tableau6[TS],MATCH(Tableau5[[#This Row],[Type Signal]],Tableau6[TypeSignal],0))&amp;""</f>
        <v>ET</v>
      </c>
      <c r="L238" s="55"/>
      <c r="M238" s="21"/>
      <c r="N238" s="20" t="s">
        <v>758</v>
      </c>
    </row>
    <row r="239" spans="1:14" ht="18" customHeight="1">
      <c r="A239" s="96">
        <v>238</v>
      </c>
      <c r="B239" s="44" t="s">
        <v>929</v>
      </c>
      <c r="C239" s="20" t="s">
        <v>958</v>
      </c>
      <c r="D239" s="20" t="s">
        <v>250</v>
      </c>
      <c r="I239" s="53" t="s">
        <v>213</v>
      </c>
      <c r="J239" s="40"/>
      <c r="K239" s="55" t="str">
        <f>INDEX(Tableau6[TS],MATCH(Tableau5[[#This Row],[Type Signal]],Tableau6[TypeSignal],0))&amp;""</f>
        <v>ET</v>
      </c>
      <c r="L239" s="55"/>
      <c r="M239" s="21"/>
      <c r="N239" s="20" t="s">
        <v>758</v>
      </c>
    </row>
    <row r="240" spans="1:14" ht="18" customHeight="1">
      <c r="A240" s="96">
        <v>239</v>
      </c>
      <c r="B240" s="44" t="s">
        <v>929</v>
      </c>
      <c r="C240" s="20" t="s">
        <v>905</v>
      </c>
      <c r="D240" s="20" t="s">
        <v>480</v>
      </c>
      <c r="I240" s="53" t="s">
        <v>213</v>
      </c>
      <c r="J240" s="40"/>
      <c r="K240" s="55" t="str">
        <f>INDEX(Tableau6[TS],MATCH(Tableau5[[#This Row],[Type Signal]],Tableau6[TypeSignal],0))&amp;""</f>
        <v>ET</v>
      </c>
      <c r="L240" s="55"/>
      <c r="M240" s="21"/>
      <c r="N240" s="20" t="s">
        <v>758</v>
      </c>
    </row>
    <row r="241" spans="1:14" ht="18" customHeight="1">
      <c r="A241" s="96">
        <v>240</v>
      </c>
      <c r="B241" s="44" t="s">
        <v>929</v>
      </c>
      <c r="C241" s="20" t="s">
        <v>903</v>
      </c>
      <c r="D241" s="20" t="s">
        <v>559</v>
      </c>
      <c r="I241" s="53" t="s">
        <v>213</v>
      </c>
      <c r="J241" s="40"/>
      <c r="K241" s="55" t="str">
        <f>INDEX(Tableau6[TS],MATCH(Tableau5[[#This Row],[Type Signal]],Tableau6[TypeSignal],0))&amp;""</f>
        <v>ET</v>
      </c>
      <c r="L241" s="55"/>
      <c r="M241" s="21"/>
      <c r="N241" s="20" t="s">
        <v>758</v>
      </c>
    </row>
    <row r="242" spans="1:14" ht="18" customHeight="1">
      <c r="A242" s="96">
        <v>241</v>
      </c>
      <c r="B242" s="44" t="s">
        <v>959</v>
      </c>
      <c r="C242" s="20" t="s">
        <v>960</v>
      </c>
      <c r="D242" s="20" t="s">
        <v>560</v>
      </c>
      <c r="I242" s="53" t="s">
        <v>213</v>
      </c>
      <c r="J242" s="41"/>
      <c r="K242" s="55" t="str">
        <f>INDEX(Tableau6[TS],MATCH(Tableau5[[#This Row],[Type Signal]],Tableau6[TypeSignal],0))&amp;""</f>
        <v>ST</v>
      </c>
      <c r="L242" s="55"/>
      <c r="M242" s="21"/>
      <c r="N242" s="20" t="s">
        <v>761</v>
      </c>
    </row>
    <row r="243" spans="1:14" ht="18" customHeight="1">
      <c r="A243" s="96">
        <v>242</v>
      </c>
      <c r="B243" s="44" t="s">
        <v>959</v>
      </c>
      <c r="C243" s="20" t="s">
        <v>961</v>
      </c>
      <c r="D243" s="20" t="s">
        <v>562</v>
      </c>
      <c r="I243" s="53" t="s">
        <v>213</v>
      </c>
      <c r="J243" s="40"/>
      <c r="K243" s="55" t="str">
        <f>INDEX(Tableau6[TS],MATCH(Tableau5[[#This Row],[Type Signal]],Tableau6[TypeSignal],0))&amp;""</f>
        <v>ET</v>
      </c>
      <c r="L243" s="55"/>
      <c r="M243" s="21"/>
      <c r="N243" s="20" t="s">
        <v>758</v>
      </c>
    </row>
    <row r="244" spans="1:14" ht="18" customHeight="1">
      <c r="A244" s="96">
        <v>243</v>
      </c>
      <c r="B244" s="44" t="s">
        <v>959</v>
      </c>
      <c r="C244" s="20" t="s">
        <v>962</v>
      </c>
      <c r="D244" s="20" t="s">
        <v>535</v>
      </c>
      <c r="H244" s="53" t="s">
        <v>213</v>
      </c>
      <c r="J244" s="40"/>
      <c r="K244" s="55" t="str">
        <f>INDEX(Tableau6[TS],MATCH(Tableau5[[#This Row],[Type Signal]],Tableau6[TypeSignal],0))&amp;""</f>
        <v>ET</v>
      </c>
      <c r="L244" s="55"/>
      <c r="M244" s="21"/>
      <c r="N244" s="20" t="s">
        <v>758</v>
      </c>
    </row>
    <row r="245" spans="1:14" ht="18" customHeight="1">
      <c r="A245" s="96">
        <v>244</v>
      </c>
      <c r="B245" s="44" t="s">
        <v>963</v>
      </c>
      <c r="C245" s="20" t="s">
        <v>825</v>
      </c>
      <c r="D245" s="20" t="s">
        <v>468</v>
      </c>
      <c r="I245" s="53" t="s">
        <v>213</v>
      </c>
      <c r="J245" s="41"/>
      <c r="K245" s="55" t="str">
        <f>INDEX(Tableau6[TS],MATCH(Tableau5[[#This Row],[Type Signal]],Tableau6[TypeSignal],0))&amp;""</f>
        <v>ST</v>
      </c>
      <c r="L245" s="55"/>
      <c r="M245" s="21"/>
      <c r="N245" s="20" t="s">
        <v>761</v>
      </c>
    </row>
    <row r="246" spans="1:14" ht="18" customHeight="1">
      <c r="A246" s="96">
        <v>245</v>
      </c>
      <c r="B246" s="44" t="s">
        <v>963</v>
      </c>
      <c r="C246" s="20" t="s">
        <v>930</v>
      </c>
      <c r="D246" s="20" t="s">
        <v>964</v>
      </c>
      <c r="I246" s="53" t="s">
        <v>213</v>
      </c>
      <c r="J246" s="41"/>
      <c r="K246" s="55" t="str">
        <f>INDEX(Tableau6[TS],MATCH(Tableau5[[#This Row],[Type Signal]],Tableau6[TypeSignal],0))&amp;""</f>
        <v>ST</v>
      </c>
      <c r="L246" s="55"/>
      <c r="M246" s="21"/>
      <c r="N246" s="20" t="s">
        <v>761</v>
      </c>
    </row>
    <row r="247" spans="1:14" ht="18" customHeight="1">
      <c r="A247" s="96">
        <v>246</v>
      </c>
      <c r="B247" s="44" t="s">
        <v>963</v>
      </c>
      <c r="C247" s="20" t="s">
        <v>815</v>
      </c>
      <c r="D247" s="20" t="s">
        <v>815</v>
      </c>
      <c r="H247" s="53" t="s">
        <v>213</v>
      </c>
      <c r="J247" s="40"/>
      <c r="K247" s="55" t="str">
        <f>INDEX(Tableau6[TS],MATCH(Tableau5[[#This Row],[Type Signal]],Tableau6[TypeSignal],0))&amp;""</f>
        <v>ET</v>
      </c>
      <c r="L247" s="55"/>
      <c r="M247" s="21"/>
      <c r="N247" s="20" t="s">
        <v>758</v>
      </c>
    </row>
    <row r="248" spans="1:14" ht="18" customHeight="1">
      <c r="A248" s="96">
        <v>247</v>
      </c>
      <c r="B248" s="44" t="s">
        <v>963</v>
      </c>
      <c r="C248" s="20" t="s">
        <v>815</v>
      </c>
      <c r="D248" s="20" t="s">
        <v>815</v>
      </c>
      <c r="H248" s="53" t="s">
        <v>213</v>
      </c>
      <c r="J248" s="40"/>
      <c r="K248" s="55" t="str">
        <f>INDEX(Tableau6[TS],MATCH(Tableau5[[#This Row],[Type Signal]],Tableau6[TypeSignal],0))&amp;""</f>
        <v>ET</v>
      </c>
      <c r="L248" s="55"/>
      <c r="M248" s="21"/>
      <c r="N248" s="20" t="s">
        <v>758</v>
      </c>
    </row>
    <row r="249" spans="1:14" ht="18" customHeight="1">
      <c r="A249" s="96">
        <v>248</v>
      </c>
      <c r="B249" s="44" t="s">
        <v>963</v>
      </c>
      <c r="C249" s="20" t="s">
        <v>815</v>
      </c>
      <c r="D249" s="20" t="s">
        <v>815</v>
      </c>
      <c r="H249" s="53" t="s">
        <v>213</v>
      </c>
      <c r="J249" s="40"/>
      <c r="K249" s="55" t="str">
        <f>INDEX(Tableau6[TS],MATCH(Tableau5[[#This Row],[Type Signal]],Tableau6[TypeSignal],0))&amp;""</f>
        <v>ET</v>
      </c>
      <c r="L249" s="55"/>
      <c r="M249" s="21"/>
      <c r="N249" s="20" t="s">
        <v>758</v>
      </c>
    </row>
    <row r="250" spans="1:14" ht="18" customHeight="1">
      <c r="A250" s="96">
        <v>249</v>
      </c>
      <c r="B250" s="44" t="s">
        <v>963</v>
      </c>
      <c r="C250" s="20" t="s">
        <v>828</v>
      </c>
      <c r="D250" s="20" t="s">
        <v>526</v>
      </c>
      <c r="H250" s="53" t="s">
        <v>213</v>
      </c>
      <c r="J250" s="40"/>
      <c r="K250" s="55" t="str">
        <f>INDEX(Tableau6[TS],MATCH(Tableau5[[#This Row],[Type Signal]],Tableau6[TypeSignal],0))&amp;""</f>
        <v>ET</v>
      </c>
      <c r="L250" s="55"/>
      <c r="M250" s="21"/>
      <c r="N250" s="20" t="s">
        <v>758</v>
      </c>
    </row>
    <row r="251" spans="1:14" ht="18" customHeight="1">
      <c r="A251" s="96">
        <v>250</v>
      </c>
      <c r="B251" s="44" t="s">
        <v>963</v>
      </c>
      <c r="C251" s="20" t="s">
        <v>820</v>
      </c>
      <c r="D251" s="20" t="s">
        <v>239</v>
      </c>
      <c r="H251" s="53" t="s">
        <v>213</v>
      </c>
      <c r="J251" s="41"/>
      <c r="K251" s="55" t="str">
        <f>INDEX(Tableau6[TS],MATCH(Tableau5[[#This Row],[Type Signal]],Tableau6[TypeSignal],0))&amp;""</f>
        <v>ST</v>
      </c>
      <c r="L251" s="55"/>
      <c r="M251" s="21"/>
      <c r="N251" s="20" t="s">
        <v>761</v>
      </c>
    </row>
    <row r="252" spans="1:14" ht="18" customHeight="1">
      <c r="A252" s="96">
        <v>251</v>
      </c>
      <c r="B252" s="44" t="s">
        <v>963</v>
      </c>
      <c r="C252" s="20" t="s">
        <v>827</v>
      </c>
      <c r="D252" s="20" t="s">
        <v>574</v>
      </c>
      <c r="H252" s="53" t="s">
        <v>213</v>
      </c>
      <c r="J252" s="41"/>
      <c r="K252" s="55" t="str">
        <f>INDEX(Tableau6[TS],MATCH(Tableau5[[#This Row],[Type Signal]],Tableau6[TypeSignal],0))&amp;""</f>
        <v>ST</v>
      </c>
      <c r="L252" s="55"/>
      <c r="M252" s="21"/>
      <c r="N252" s="20" t="s">
        <v>761</v>
      </c>
    </row>
    <row r="253" spans="1:14" ht="18" customHeight="1">
      <c r="A253" s="96">
        <v>252</v>
      </c>
      <c r="B253" s="44" t="s">
        <v>963</v>
      </c>
      <c r="C253" s="20" t="s">
        <v>815</v>
      </c>
      <c r="D253" s="20" t="s">
        <v>815</v>
      </c>
      <c r="H253" s="53" t="s">
        <v>213</v>
      </c>
      <c r="J253" s="41"/>
      <c r="K253" s="55" t="str">
        <f>INDEX(Tableau6[TS],MATCH(Tableau5[[#This Row],[Type Signal]],Tableau6[TypeSignal],0))&amp;""</f>
        <v>ST</v>
      </c>
      <c r="L253" s="55"/>
      <c r="M253" s="21"/>
      <c r="N253" s="20" t="s">
        <v>761</v>
      </c>
    </row>
    <row r="254" spans="1:14" ht="18" customHeight="1">
      <c r="A254" s="96">
        <v>253</v>
      </c>
      <c r="B254" s="44" t="s">
        <v>963</v>
      </c>
      <c r="C254" s="20" t="s">
        <v>934</v>
      </c>
      <c r="D254" s="20" t="s">
        <v>875</v>
      </c>
      <c r="H254" s="53" t="s">
        <v>213</v>
      </c>
      <c r="J254" s="41"/>
      <c r="K254" s="55" t="str">
        <f>INDEX(Tableau6[TS],MATCH(Tableau5[[#This Row],[Type Signal]],Tableau6[TypeSignal],0))&amp;""</f>
        <v>ST</v>
      </c>
      <c r="L254" s="55"/>
      <c r="M254" s="21"/>
      <c r="N254" s="20" t="s">
        <v>761</v>
      </c>
    </row>
    <row r="255" spans="1:14" ht="18" customHeight="1">
      <c r="A255" s="96">
        <v>254</v>
      </c>
      <c r="B255" s="44" t="s">
        <v>963</v>
      </c>
      <c r="C255" s="20" t="s">
        <v>965</v>
      </c>
      <c r="D255" s="20" t="s">
        <v>576</v>
      </c>
      <c r="H255" s="53" t="s">
        <v>213</v>
      </c>
      <c r="J255" s="40"/>
      <c r="K255" s="55" t="str">
        <f>INDEX(Tableau6[TS],MATCH(Tableau5[[#This Row],[Type Signal]],Tableau6[TypeSignal],0))&amp;""</f>
        <v>ET</v>
      </c>
      <c r="L255" s="55"/>
      <c r="M255" s="21"/>
      <c r="N255" s="20" t="s">
        <v>758</v>
      </c>
    </row>
    <row r="256" spans="1:14" ht="18" customHeight="1">
      <c r="A256" s="96">
        <v>255</v>
      </c>
      <c r="B256" s="44" t="s">
        <v>963</v>
      </c>
      <c r="C256" s="20" t="s">
        <v>938</v>
      </c>
      <c r="D256" s="20" t="s">
        <v>966</v>
      </c>
      <c r="H256" s="53" t="s">
        <v>213</v>
      </c>
      <c r="J256" s="40"/>
      <c r="K256" s="55" t="str">
        <f>INDEX(Tableau6[TS],MATCH(Tableau5[[#This Row],[Type Signal]],Tableau6[TypeSignal],0))&amp;""</f>
        <v>ET</v>
      </c>
      <c r="L256" s="55"/>
      <c r="M256" s="21"/>
      <c r="N256" s="20" t="s">
        <v>758</v>
      </c>
    </row>
    <row r="257" spans="1:14" ht="18" customHeight="1">
      <c r="A257" s="96">
        <v>256</v>
      </c>
      <c r="B257" s="44" t="s">
        <v>963</v>
      </c>
      <c r="C257" s="20" t="s">
        <v>967</v>
      </c>
      <c r="D257" s="20" t="s">
        <v>240</v>
      </c>
      <c r="H257" s="53" t="s">
        <v>213</v>
      </c>
      <c r="J257" s="40"/>
      <c r="K257" s="55" t="str">
        <f>INDEX(Tableau6[TS],MATCH(Tableau5[[#This Row],[Type Signal]],Tableau6[TypeSignal],0))&amp;""</f>
        <v>ET</v>
      </c>
      <c r="L257" s="55"/>
      <c r="M257" s="21"/>
      <c r="N257" s="20" t="s">
        <v>758</v>
      </c>
    </row>
    <row r="258" spans="1:14" ht="18" customHeight="1">
      <c r="A258" s="96">
        <v>257</v>
      </c>
      <c r="B258" s="44" t="s">
        <v>963</v>
      </c>
      <c r="C258" s="20" t="s">
        <v>968</v>
      </c>
      <c r="D258" s="20" t="s">
        <v>577</v>
      </c>
      <c r="H258" s="53" t="s">
        <v>213</v>
      </c>
      <c r="J258" s="40"/>
      <c r="K258" s="55" t="str">
        <f>INDEX(Tableau6[TS],MATCH(Tableau5[[#This Row],[Type Signal]],Tableau6[TypeSignal],0))&amp;""</f>
        <v>ET</v>
      </c>
      <c r="L258" s="55"/>
      <c r="M258" s="21"/>
      <c r="N258" s="20" t="s">
        <v>758</v>
      </c>
    </row>
    <row r="259" spans="1:14" ht="18" customHeight="1">
      <c r="A259" s="96">
        <v>258</v>
      </c>
      <c r="B259" s="44" t="s">
        <v>963</v>
      </c>
      <c r="C259" s="20" t="s">
        <v>969</v>
      </c>
      <c r="D259" s="20" t="s">
        <v>578</v>
      </c>
      <c r="H259" s="53" t="s">
        <v>213</v>
      </c>
      <c r="J259" s="40"/>
      <c r="K259" s="55" t="str">
        <f>INDEX(Tableau6[TS],MATCH(Tableau5[[#This Row],[Type Signal]],Tableau6[TypeSignal],0))&amp;""</f>
        <v>ET</v>
      </c>
      <c r="L259" s="55"/>
      <c r="M259" s="21"/>
      <c r="N259" s="20" t="s">
        <v>758</v>
      </c>
    </row>
    <row r="260" spans="1:14" ht="18" customHeight="1">
      <c r="A260" s="96">
        <v>259</v>
      </c>
      <c r="B260" s="44" t="s">
        <v>963</v>
      </c>
      <c r="C260" s="20" t="s">
        <v>487</v>
      </c>
      <c r="D260" s="20" t="s">
        <v>487</v>
      </c>
      <c r="H260" s="53" t="s">
        <v>213</v>
      </c>
      <c r="J260" s="40"/>
      <c r="K260" s="55" t="str">
        <f>INDEX(Tableau6[TS],MATCH(Tableau5[[#This Row],[Type Signal]],Tableau6[TypeSignal],0))&amp;""</f>
        <v>ET</v>
      </c>
      <c r="L260" s="55"/>
      <c r="M260" s="21"/>
      <c r="N260" s="20" t="s">
        <v>758</v>
      </c>
    </row>
    <row r="261" spans="1:14" ht="18" customHeight="1">
      <c r="A261" s="96">
        <v>260</v>
      </c>
      <c r="B261" s="44" t="s">
        <v>963</v>
      </c>
      <c r="C261" s="20" t="s">
        <v>970</v>
      </c>
      <c r="D261" s="20" t="s">
        <v>579</v>
      </c>
      <c r="H261" s="53" t="s">
        <v>213</v>
      </c>
      <c r="J261" s="40"/>
      <c r="K261" s="55" t="str">
        <f>INDEX(Tableau6[TS],MATCH(Tableau5[[#This Row],[Type Signal]],Tableau6[TypeSignal],0))&amp;""</f>
        <v>ET</v>
      </c>
      <c r="L261" s="55"/>
      <c r="M261" s="21"/>
      <c r="N261" s="20" t="s">
        <v>758</v>
      </c>
    </row>
    <row r="262" spans="1:14" ht="18" customHeight="1">
      <c r="A262" s="96">
        <v>261</v>
      </c>
      <c r="B262" s="44" t="s">
        <v>963</v>
      </c>
      <c r="C262" s="20" t="s">
        <v>971</v>
      </c>
      <c r="D262" s="20" t="s">
        <v>580</v>
      </c>
      <c r="H262" s="53" t="s">
        <v>213</v>
      </c>
      <c r="J262" s="40"/>
      <c r="K262" s="55" t="str">
        <f>INDEX(Tableau6[TS],MATCH(Tableau5[[#This Row],[Type Signal]],Tableau6[TypeSignal],0))&amp;""</f>
        <v>ET</v>
      </c>
      <c r="L262" s="55"/>
      <c r="M262" s="21"/>
      <c r="N262" s="20" t="s">
        <v>758</v>
      </c>
    </row>
    <row r="263" spans="1:14" ht="18" customHeight="1">
      <c r="A263" s="96">
        <v>262</v>
      </c>
      <c r="B263" s="44" t="s">
        <v>972</v>
      </c>
      <c r="C263" s="20" t="s">
        <v>830</v>
      </c>
      <c r="D263" s="20" t="s">
        <v>499</v>
      </c>
      <c r="I263" s="53" t="s">
        <v>213</v>
      </c>
      <c r="J263" s="40"/>
      <c r="K263" s="55" t="str">
        <f>INDEX(Tableau6[TS],MATCH(Tableau5[[#This Row],[Type Signal]],Tableau6[TypeSignal],0))&amp;""</f>
        <v>ET</v>
      </c>
      <c r="L263" s="55"/>
      <c r="M263" s="21"/>
      <c r="N263" s="20" t="s">
        <v>758</v>
      </c>
    </row>
    <row r="264" spans="1:14" ht="18" customHeight="1">
      <c r="A264" s="96">
        <v>263</v>
      </c>
      <c r="B264" s="44" t="s">
        <v>972</v>
      </c>
      <c r="C264" s="20" t="s">
        <v>931</v>
      </c>
      <c r="D264" s="20" t="s">
        <v>973</v>
      </c>
      <c r="I264" s="53" t="s">
        <v>213</v>
      </c>
      <c r="J264" s="40"/>
      <c r="K264" s="55" t="str">
        <f>INDEX(Tableau6[TS],MATCH(Tableau5[[#This Row],[Type Signal]],Tableau6[TypeSignal],0))&amp;""</f>
        <v>ET</v>
      </c>
      <c r="L264" s="55"/>
      <c r="M264" s="21"/>
      <c r="N264" s="20" t="s">
        <v>758</v>
      </c>
    </row>
    <row r="265" spans="1:14" ht="18" customHeight="1">
      <c r="A265" s="96">
        <v>264</v>
      </c>
      <c r="B265" s="44" t="s">
        <v>972</v>
      </c>
      <c r="C265" s="20" t="s">
        <v>974</v>
      </c>
      <c r="D265" s="20" t="s">
        <v>500</v>
      </c>
      <c r="I265" s="53" t="s">
        <v>213</v>
      </c>
      <c r="J265" s="40"/>
      <c r="K265" s="55" t="str">
        <f>INDEX(Tableau6[TS],MATCH(Tableau5[[#This Row],[Type Signal]],Tableau6[TypeSignal],0))&amp;""</f>
        <v>ET</v>
      </c>
      <c r="L265" s="55"/>
      <c r="M265" s="21"/>
      <c r="N265" s="20" t="s">
        <v>758</v>
      </c>
    </row>
    <row r="266" spans="1:14" ht="18" customHeight="1">
      <c r="A266" s="96">
        <v>265</v>
      </c>
      <c r="B266" s="44" t="s">
        <v>975</v>
      </c>
      <c r="C266" s="20" t="s">
        <v>976</v>
      </c>
      <c r="D266" s="20" t="s">
        <v>515</v>
      </c>
      <c r="I266" s="53" t="s">
        <v>213</v>
      </c>
      <c r="J266" s="41"/>
      <c r="K266" s="55" t="str">
        <f>INDEX(Tableau6[TS],MATCH(Tableau5[[#This Row],[Type Signal]],Tableau6[TypeSignal],0))&amp;""</f>
        <v>ST</v>
      </c>
      <c r="L266" s="55"/>
      <c r="M266" s="21"/>
      <c r="N266" s="20" t="s">
        <v>761</v>
      </c>
    </row>
    <row r="267" spans="1:14" ht="18" customHeight="1">
      <c r="A267" s="96">
        <v>266</v>
      </c>
      <c r="B267" s="44" t="s">
        <v>975</v>
      </c>
      <c r="C267" s="20" t="s">
        <v>825</v>
      </c>
      <c r="D267" s="20" t="s">
        <v>516</v>
      </c>
      <c r="I267" s="53" t="s">
        <v>213</v>
      </c>
      <c r="J267" s="41"/>
      <c r="K267" s="55" t="str">
        <f>INDEX(Tableau6[TS],MATCH(Tableau5[[#This Row],[Type Signal]],Tableau6[TypeSignal],0))&amp;""</f>
        <v>ST</v>
      </c>
      <c r="L267" s="55"/>
      <c r="M267" s="21"/>
      <c r="N267" s="20" t="s">
        <v>761</v>
      </c>
    </row>
    <row r="268" spans="1:14" ht="18" customHeight="1">
      <c r="A268" s="96">
        <v>267</v>
      </c>
      <c r="B268" s="44" t="s">
        <v>975</v>
      </c>
      <c r="C268" s="20" t="s">
        <v>930</v>
      </c>
      <c r="D268" s="20" t="s">
        <v>862</v>
      </c>
      <c r="I268" s="53" t="s">
        <v>213</v>
      </c>
      <c r="J268" s="41"/>
      <c r="K268" s="55" t="str">
        <f>INDEX(Tableau6[TS],MATCH(Tableau5[[#This Row],[Type Signal]],Tableau6[TypeSignal],0))&amp;""</f>
        <v>ST</v>
      </c>
      <c r="L268" s="55"/>
      <c r="M268" s="21"/>
      <c r="N268" s="20" t="s">
        <v>761</v>
      </c>
    </row>
    <row r="269" spans="1:14" ht="18" customHeight="1">
      <c r="A269" s="96">
        <v>268</v>
      </c>
      <c r="B269" s="44" t="s">
        <v>975</v>
      </c>
      <c r="C269" s="20" t="s">
        <v>815</v>
      </c>
      <c r="D269" s="20" t="s">
        <v>815</v>
      </c>
      <c r="H269" s="53" t="s">
        <v>213</v>
      </c>
      <c r="J269" s="40"/>
      <c r="K269" s="55" t="str">
        <f>INDEX(Tableau6[TS],MATCH(Tableau5[[#This Row],[Type Signal]],Tableau6[TypeSignal],0))&amp;""</f>
        <v>ET</v>
      </c>
      <c r="L269" s="55"/>
      <c r="M269" s="21"/>
      <c r="N269" s="20" t="s">
        <v>758</v>
      </c>
    </row>
    <row r="270" spans="1:14" ht="18" customHeight="1">
      <c r="A270" s="96">
        <v>269</v>
      </c>
      <c r="B270" s="44" t="s">
        <v>975</v>
      </c>
      <c r="C270" s="20" t="s">
        <v>828</v>
      </c>
      <c r="D270" s="20" t="s">
        <v>526</v>
      </c>
      <c r="H270" s="53" t="s">
        <v>213</v>
      </c>
      <c r="J270" s="40"/>
      <c r="K270" s="55" t="str">
        <f>INDEX(Tableau6[TS],MATCH(Tableau5[[#This Row],[Type Signal]],Tableau6[TypeSignal],0))&amp;""</f>
        <v>ET</v>
      </c>
      <c r="L270" s="55"/>
      <c r="M270" s="21"/>
      <c r="N270" s="20" t="s">
        <v>758</v>
      </c>
    </row>
    <row r="271" spans="1:14" ht="18" customHeight="1">
      <c r="A271" s="96">
        <v>270</v>
      </c>
      <c r="B271" s="44" t="s">
        <v>975</v>
      </c>
      <c r="C271" s="20" t="s">
        <v>938</v>
      </c>
      <c r="D271" s="20" t="s">
        <v>866</v>
      </c>
      <c r="H271" s="53" t="s">
        <v>213</v>
      </c>
      <c r="J271" s="40"/>
      <c r="K271" s="55" t="str">
        <f>INDEX(Tableau6[TS],MATCH(Tableau5[[#This Row],[Type Signal]],Tableau6[TypeSignal],0))&amp;""</f>
        <v>ET</v>
      </c>
      <c r="L271" s="55"/>
      <c r="M271" s="21"/>
      <c r="N271" s="20" t="s">
        <v>758</v>
      </c>
    </row>
    <row r="272" spans="1:14" ht="18" customHeight="1">
      <c r="A272" s="96">
        <v>271</v>
      </c>
      <c r="B272" s="44" t="s">
        <v>975</v>
      </c>
      <c r="C272" s="20" t="s">
        <v>815</v>
      </c>
      <c r="D272" s="20" t="s">
        <v>815</v>
      </c>
      <c r="H272" s="53" t="s">
        <v>213</v>
      </c>
      <c r="J272" s="40"/>
      <c r="K272" s="55" t="str">
        <f>INDEX(Tableau6[TS],MATCH(Tableau5[[#This Row],[Type Signal]],Tableau6[TypeSignal],0))&amp;""</f>
        <v>ET</v>
      </c>
      <c r="L272" s="55"/>
      <c r="M272" s="21"/>
      <c r="N272" s="20" t="s">
        <v>758</v>
      </c>
    </row>
    <row r="273" spans="1:14" ht="18" customHeight="1">
      <c r="A273" s="96">
        <v>272</v>
      </c>
      <c r="B273" s="44" t="s">
        <v>975</v>
      </c>
      <c r="C273" s="20" t="s">
        <v>487</v>
      </c>
      <c r="D273" s="20" t="s">
        <v>487</v>
      </c>
      <c r="H273" s="53" t="s">
        <v>213</v>
      </c>
      <c r="J273" s="40"/>
      <c r="K273" s="55" t="str">
        <f>INDEX(Tableau6[TS],MATCH(Tableau5[[#This Row],[Type Signal]],Tableau6[TypeSignal],0))&amp;""</f>
        <v>ET</v>
      </c>
      <c r="L273" s="55"/>
      <c r="M273" s="21"/>
      <c r="N273" s="20" t="s">
        <v>758</v>
      </c>
    </row>
    <row r="274" spans="1:14" ht="18" customHeight="1">
      <c r="A274" s="96">
        <v>273</v>
      </c>
      <c r="B274" s="44" t="s">
        <v>975</v>
      </c>
      <c r="C274" s="20" t="s">
        <v>977</v>
      </c>
      <c r="D274" s="20" t="s">
        <v>513</v>
      </c>
      <c r="H274" s="53" t="s">
        <v>213</v>
      </c>
      <c r="J274" s="41"/>
      <c r="K274" s="55" t="str">
        <f>INDEX(Tableau6[TS],MATCH(Tableau5[[#This Row],[Type Signal]],Tableau6[TypeSignal],0))&amp;""</f>
        <v>ST</v>
      </c>
      <c r="L274" s="55"/>
      <c r="M274" s="21"/>
      <c r="N274" s="20" t="s">
        <v>761</v>
      </c>
    </row>
    <row r="275" spans="1:14" ht="18" customHeight="1">
      <c r="A275" s="96">
        <v>274</v>
      </c>
      <c r="B275" s="44" t="s">
        <v>975</v>
      </c>
      <c r="C275" s="20" t="s">
        <v>978</v>
      </c>
      <c r="D275" s="20" t="s">
        <v>229</v>
      </c>
      <c r="H275" s="53" t="s">
        <v>213</v>
      </c>
      <c r="J275" s="41"/>
      <c r="K275" s="55" t="str">
        <f>INDEX(Tableau6[TS],MATCH(Tableau5[[#This Row],[Type Signal]],Tableau6[TypeSignal],0))&amp;""</f>
        <v>ST</v>
      </c>
      <c r="L275" s="55"/>
      <c r="M275" s="21"/>
      <c r="N275" s="20" t="s">
        <v>761</v>
      </c>
    </row>
    <row r="276" spans="1:14" ht="18" customHeight="1">
      <c r="A276" s="96">
        <v>275</v>
      </c>
      <c r="B276" s="44" t="s">
        <v>975</v>
      </c>
      <c r="C276" s="20" t="s">
        <v>827</v>
      </c>
      <c r="D276" s="20" t="s">
        <v>514</v>
      </c>
      <c r="H276" s="53" t="s">
        <v>213</v>
      </c>
      <c r="J276" s="41"/>
      <c r="K276" s="55" t="str">
        <f>INDEX(Tableau6[TS],MATCH(Tableau5[[#This Row],[Type Signal]],Tableau6[TypeSignal],0))&amp;""</f>
        <v>ST</v>
      </c>
      <c r="L276" s="55"/>
      <c r="M276" s="21"/>
      <c r="N276" s="20" t="s">
        <v>761</v>
      </c>
    </row>
    <row r="277" spans="1:14" ht="18" customHeight="1">
      <c r="A277" s="96">
        <v>276</v>
      </c>
      <c r="B277" s="44" t="s">
        <v>975</v>
      </c>
      <c r="C277" s="20" t="s">
        <v>979</v>
      </c>
      <c r="D277" s="20" t="s">
        <v>230</v>
      </c>
      <c r="H277" s="53" t="s">
        <v>213</v>
      </c>
      <c r="J277" s="41"/>
      <c r="K277" s="55" t="str">
        <f>INDEX(Tableau6[TS],MATCH(Tableau5[[#This Row],[Type Signal]],Tableau6[TypeSignal],0))&amp;""</f>
        <v>ST</v>
      </c>
      <c r="L277" s="55"/>
      <c r="M277" s="21"/>
      <c r="N277" s="20" t="s">
        <v>761</v>
      </c>
    </row>
    <row r="278" spans="1:14" ht="18" customHeight="1">
      <c r="A278" s="96">
        <v>277</v>
      </c>
      <c r="B278" s="44" t="s">
        <v>975</v>
      </c>
      <c r="C278" s="20" t="s">
        <v>934</v>
      </c>
      <c r="D278" s="20" t="s">
        <v>875</v>
      </c>
      <c r="H278" s="53" t="s">
        <v>213</v>
      </c>
      <c r="J278" s="41"/>
      <c r="K278" s="55" t="str">
        <f>INDEX(Tableau6[TS],MATCH(Tableau5[[#This Row],[Type Signal]],Tableau6[TypeSignal],0))&amp;""</f>
        <v>ST</v>
      </c>
      <c r="L278" s="55"/>
      <c r="M278" s="21"/>
      <c r="N278" s="20" t="s">
        <v>761</v>
      </c>
    </row>
    <row r="279" spans="1:14" ht="18" customHeight="1">
      <c r="A279" s="96">
        <v>278</v>
      </c>
      <c r="B279" s="44" t="s">
        <v>975</v>
      </c>
      <c r="C279" s="20" t="s">
        <v>980</v>
      </c>
      <c r="D279" s="20" t="s">
        <v>236</v>
      </c>
      <c r="H279" s="53" t="s">
        <v>213</v>
      </c>
      <c r="J279" s="40"/>
      <c r="K279" s="55" t="str">
        <f>INDEX(Tableau6[TS],MATCH(Tableau5[[#This Row],[Type Signal]],Tableau6[TypeSignal],0))&amp;""</f>
        <v>ET</v>
      </c>
      <c r="L279" s="55"/>
      <c r="M279" s="21"/>
      <c r="N279" s="20" t="s">
        <v>758</v>
      </c>
    </row>
    <row r="280" spans="1:14" ht="18" customHeight="1">
      <c r="A280" s="96">
        <v>279</v>
      </c>
      <c r="B280" s="44" t="s">
        <v>975</v>
      </c>
      <c r="C280" s="20" t="s">
        <v>981</v>
      </c>
      <c r="D280" s="20" t="s">
        <v>235</v>
      </c>
      <c r="H280" s="53" t="s">
        <v>213</v>
      </c>
      <c r="J280" s="40"/>
      <c r="K280" s="55" t="str">
        <f>INDEX(Tableau6[TS],MATCH(Tableau5[[#This Row],[Type Signal]],Tableau6[TypeSignal],0))&amp;""</f>
        <v>ET</v>
      </c>
      <c r="L280" s="55"/>
      <c r="M280" s="21"/>
      <c r="N280" s="20" t="s">
        <v>758</v>
      </c>
    </row>
    <row r="281" spans="1:14" ht="18" customHeight="1">
      <c r="A281" s="96">
        <v>280</v>
      </c>
      <c r="B281" s="44" t="s">
        <v>975</v>
      </c>
      <c r="C281" s="20" t="s">
        <v>982</v>
      </c>
      <c r="D281" s="20" t="s">
        <v>233</v>
      </c>
      <c r="H281" s="53" t="s">
        <v>213</v>
      </c>
      <c r="J281" s="40"/>
      <c r="K281" s="55" t="str">
        <f>INDEX(Tableau6[TS],MATCH(Tableau5[[#This Row],[Type Signal]],Tableau6[TypeSignal],0))&amp;""</f>
        <v>ET</v>
      </c>
      <c r="L281" s="55"/>
      <c r="M281" s="21"/>
      <c r="N281" s="20" t="s">
        <v>758</v>
      </c>
    </row>
    <row r="282" spans="1:14" ht="18" customHeight="1">
      <c r="A282" s="96">
        <v>281</v>
      </c>
      <c r="B282" s="44" t="s">
        <v>975</v>
      </c>
      <c r="C282" s="20" t="s">
        <v>983</v>
      </c>
      <c r="D282" s="20" t="s">
        <v>234</v>
      </c>
      <c r="H282" s="53" t="s">
        <v>213</v>
      </c>
      <c r="J282" s="40"/>
      <c r="K282" s="55" t="str">
        <f>INDEX(Tableau6[TS],MATCH(Tableau5[[#This Row],[Type Signal]],Tableau6[TypeSignal],0))&amp;""</f>
        <v>ET</v>
      </c>
      <c r="L282" s="55"/>
      <c r="M282" s="21"/>
      <c r="N282" s="20" t="s">
        <v>758</v>
      </c>
    </row>
    <row r="283" spans="1:14" ht="18" customHeight="1">
      <c r="A283" s="96">
        <v>282</v>
      </c>
      <c r="B283" s="44" t="s">
        <v>975</v>
      </c>
      <c r="C283" s="20" t="s">
        <v>984</v>
      </c>
      <c r="D283" s="20" t="s">
        <v>231</v>
      </c>
      <c r="H283" s="53" t="s">
        <v>213</v>
      </c>
      <c r="J283" s="40"/>
      <c r="K283" s="55" t="str">
        <f>INDEX(Tableau6[TS],MATCH(Tableau5[[#This Row],[Type Signal]],Tableau6[TypeSignal],0))&amp;""</f>
        <v>ET</v>
      </c>
      <c r="L283" s="55"/>
      <c r="M283" s="21"/>
      <c r="N283" s="20" t="s">
        <v>758</v>
      </c>
    </row>
    <row r="284" spans="1:14" ht="18" customHeight="1">
      <c r="A284" s="96">
        <v>283</v>
      </c>
      <c r="B284" s="44" t="s">
        <v>975</v>
      </c>
      <c r="C284" s="20" t="s">
        <v>985</v>
      </c>
      <c r="D284" s="20" t="s">
        <v>527</v>
      </c>
      <c r="H284" s="53" t="s">
        <v>213</v>
      </c>
      <c r="J284" s="40"/>
      <c r="K284" s="55" t="str">
        <f>INDEX(Tableau6[TS],MATCH(Tableau5[[#This Row],[Type Signal]],Tableau6[TypeSignal],0))&amp;""</f>
        <v>ET</v>
      </c>
      <c r="L284" s="55"/>
      <c r="M284" s="21"/>
      <c r="N284" s="20" t="s">
        <v>758</v>
      </c>
    </row>
    <row r="285" spans="1:14" ht="18" customHeight="1">
      <c r="A285" s="96">
        <v>284</v>
      </c>
      <c r="B285" s="44" t="s">
        <v>975</v>
      </c>
      <c r="C285" s="20" t="s">
        <v>986</v>
      </c>
      <c r="D285" s="20" t="s">
        <v>237</v>
      </c>
      <c r="H285" s="53" t="s">
        <v>213</v>
      </c>
      <c r="J285" s="40"/>
      <c r="K285" s="55" t="str">
        <f>INDEX(Tableau6[TS],MATCH(Tableau5[[#This Row],[Type Signal]],Tableau6[TypeSignal],0))&amp;""</f>
        <v>ET</v>
      </c>
      <c r="L285" s="55"/>
      <c r="M285" s="21"/>
      <c r="N285" s="20" t="s">
        <v>758</v>
      </c>
    </row>
    <row r="286" spans="1:14" ht="18" customHeight="1">
      <c r="A286" s="96">
        <v>285</v>
      </c>
      <c r="B286" s="44" t="s">
        <v>975</v>
      </c>
      <c r="C286" s="20" t="s">
        <v>987</v>
      </c>
      <c r="D286" s="20" t="s">
        <v>238</v>
      </c>
      <c r="H286" s="53" t="s">
        <v>213</v>
      </c>
      <c r="J286" s="40"/>
      <c r="K286" s="55" t="str">
        <f>INDEX(Tableau6[TS],MATCH(Tableau5[[#This Row],[Type Signal]],Tableau6[TypeSignal],0))&amp;""</f>
        <v>ET</v>
      </c>
      <c r="L286" s="55"/>
      <c r="M286" s="21"/>
      <c r="N286" s="20" t="s">
        <v>758</v>
      </c>
    </row>
    <row r="287" spans="1:14" ht="18" customHeight="1">
      <c r="A287" s="96">
        <v>286</v>
      </c>
      <c r="B287" s="44" t="s">
        <v>975</v>
      </c>
      <c r="C287" s="20" t="s">
        <v>970</v>
      </c>
      <c r="D287" s="20" t="s">
        <v>227</v>
      </c>
      <c r="H287" s="53" t="s">
        <v>213</v>
      </c>
      <c r="J287" s="40"/>
      <c r="K287" s="55" t="str">
        <f>INDEX(Tableau6[TS],MATCH(Tableau5[[#This Row],[Type Signal]],Tableau6[TypeSignal],0))&amp;""</f>
        <v>ET</v>
      </c>
      <c r="L287" s="55"/>
      <c r="M287" s="21"/>
      <c r="N287" s="20" t="s">
        <v>758</v>
      </c>
    </row>
    <row r="288" spans="1:14" ht="18" customHeight="1">
      <c r="A288" s="96">
        <v>287</v>
      </c>
      <c r="B288" s="44" t="s">
        <v>975</v>
      </c>
      <c r="C288" s="20" t="s">
        <v>971</v>
      </c>
      <c r="D288" s="20" t="s">
        <v>228</v>
      </c>
      <c r="H288" s="53" t="s">
        <v>213</v>
      </c>
      <c r="J288" s="40"/>
      <c r="K288" s="55" t="str">
        <f>INDEX(Tableau6[TS],MATCH(Tableau5[[#This Row],[Type Signal]],Tableau6[TypeSignal],0))&amp;""</f>
        <v>ET</v>
      </c>
      <c r="L288" s="55"/>
      <c r="M288" s="21"/>
      <c r="N288" s="20" t="s">
        <v>758</v>
      </c>
    </row>
    <row r="289" spans="1:14" ht="18" customHeight="1">
      <c r="A289" s="96">
        <v>288</v>
      </c>
      <c r="B289" s="44" t="s">
        <v>975</v>
      </c>
      <c r="C289" s="20" t="s">
        <v>988</v>
      </c>
      <c r="D289" s="20" t="s">
        <v>232</v>
      </c>
      <c r="H289" s="53" t="s">
        <v>213</v>
      </c>
      <c r="J289" s="40"/>
      <c r="K289" s="55" t="str">
        <f>INDEX(Tableau6[TS],MATCH(Tableau5[[#This Row],[Type Signal]],Tableau6[TypeSignal],0))&amp;""</f>
        <v>ET</v>
      </c>
      <c r="L289" s="55"/>
      <c r="M289" s="21"/>
      <c r="N289" s="20" t="s">
        <v>758</v>
      </c>
    </row>
    <row r="290" spans="1:14" ht="18" customHeight="1">
      <c r="A290" s="96">
        <v>289</v>
      </c>
      <c r="B290" s="44" t="s">
        <v>989</v>
      </c>
      <c r="C290" s="20" t="s">
        <v>990</v>
      </c>
      <c r="D290" s="20" t="s">
        <v>536</v>
      </c>
      <c r="I290" s="53" t="s">
        <v>213</v>
      </c>
      <c r="J290" s="40"/>
      <c r="K290" s="55" t="str">
        <f>INDEX(Tableau6[TS],MATCH(Tableau5[[#This Row],[Type Signal]],Tableau6[TypeSignal],0))&amp;""</f>
        <v>ET</v>
      </c>
      <c r="L290" s="55"/>
      <c r="M290" s="21"/>
      <c r="N290" s="20" t="s">
        <v>758</v>
      </c>
    </row>
    <row r="291" spans="1:14" ht="18" customHeight="1">
      <c r="A291" s="96">
        <v>290</v>
      </c>
      <c r="B291" s="44" t="s">
        <v>989</v>
      </c>
      <c r="C291" s="20" t="s">
        <v>830</v>
      </c>
      <c r="D291" s="20" t="s">
        <v>499</v>
      </c>
      <c r="I291" s="53" t="s">
        <v>213</v>
      </c>
      <c r="J291" s="40"/>
      <c r="K291" s="55" t="str">
        <f>INDEX(Tableau6[TS],MATCH(Tableau5[[#This Row],[Type Signal]],Tableau6[TypeSignal],0))&amp;""</f>
        <v>ET</v>
      </c>
      <c r="L291" s="55"/>
      <c r="M291" s="21"/>
      <c r="N291" s="20" t="s">
        <v>758</v>
      </c>
    </row>
    <row r="292" spans="1:14" ht="18" customHeight="1">
      <c r="A292" s="96">
        <v>291</v>
      </c>
      <c r="B292" s="44" t="s">
        <v>989</v>
      </c>
      <c r="C292" s="20" t="s">
        <v>931</v>
      </c>
      <c r="D292" s="20" t="s">
        <v>886</v>
      </c>
      <c r="I292" s="53" t="s">
        <v>213</v>
      </c>
      <c r="J292" s="40"/>
      <c r="K292" s="55" t="str">
        <f>INDEX(Tableau6[TS],MATCH(Tableau5[[#This Row],[Type Signal]],Tableau6[TypeSignal],0))&amp;""</f>
        <v>ET</v>
      </c>
      <c r="L292" s="55"/>
      <c r="M292" s="21"/>
      <c r="N292" s="20" t="s">
        <v>758</v>
      </c>
    </row>
    <row r="293" spans="1:14" ht="18" customHeight="1">
      <c r="A293" s="96">
        <v>292</v>
      </c>
      <c r="B293" s="44" t="s">
        <v>989</v>
      </c>
      <c r="C293" s="20" t="s">
        <v>991</v>
      </c>
      <c r="D293" s="20" t="s">
        <v>537</v>
      </c>
      <c r="I293" s="53" t="s">
        <v>213</v>
      </c>
      <c r="J293" s="40"/>
      <c r="K293" s="55" t="str">
        <f>INDEX(Tableau6[TS],MATCH(Tableau5[[#This Row],[Type Signal]],Tableau6[TypeSignal],0))&amp;""</f>
        <v>ET</v>
      </c>
      <c r="L293" s="55"/>
      <c r="M293" s="21"/>
      <c r="N293" s="20" t="s">
        <v>758</v>
      </c>
    </row>
    <row r="294" spans="1:14" ht="18" customHeight="1">
      <c r="A294" s="96">
        <v>293</v>
      </c>
      <c r="B294" s="44" t="s">
        <v>989</v>
      </c>
      <c r="C294" s="20" t="s">
        <v>992</v>
      </c>
      <c r="D294" s="20" t="s">
        <v>538</v>
      </c>
      <c r="I294" s="53" t="s">
        <v>213</v>
      </c>
      <c r="J294" s="40"/>
      <c r="K294" s="55" t="str">
        <f>INDEX(Tableau6[TS],MATCH(Tableau5[[#This Row],[Type Signal]],Tableau6[TypeSignal],0))&amp;""</f>
        <v>ET</v>
      </c>
      <c r="L294" s="55"/>
      <c r="M294" s="21"/>
      <c r="N294" s="20" t="s">
        <v>758</v>
      </c>
    </row>
    <row r="295" spans="1:14" ht="18" customHeight="1">
      <c r="A295" s="96">
        <v>294</v>
      </c>
      <c r="B295" s="44" t="s">
        <v>993</v>
      </c>
      <c r="C295" s="20" t="s">
        <v>994</v>
      </c>
      <c r="D295" s="20" t="s">
        <v>256</v>
      </c>
      <c r="H295" s="53" t="s">
        <v>213</v>
      </c>
      <c r="J295" s="41"/>
      <c r="K295" s="55" t="str">
        <f>INDEX(Tableau6[TS],MATCH(Tableau5[[#This Row],[Type Signal]],Tableau6[TypeSignal],0))&amp;""</f>
        <v>ST</v>
      </c>
      <c r="L295" s="55"/>
      <c r="M295" s="21"/>
      <c r="N295" s="20" t="s">
        <v>761</v>
      </c>
    </row>
    <row r="296" spans="1:14" ht="18" customHeight="1">
      <c r="A296" s="96">
        <v>295</v>
      </c>
      <c r="B296" s="44" t="s">
        <v>993</v>
      </c>
      <c r="C296" s="20" t="s">
        <v>995</v>
      </c>
      <c r="D296" s="20" t="s">
        <v>255</v>
      </c>
      <c r="H296" s="53" t="s">
        <v>213</v>
      </c>
      <c r="J296" s="41"/>
      <c r="K296" s="55" t="str">
        <f>INDEX(Tableau6[TS],MATCH(Tableau5[[#This Row],[Type Signal]],Tableau6[TypeSignal],0))&amp;""</f>
        <v>ST</v>
      </c>
      <c r="L296" s="55"/>
      <c r="M296" s="21"/>
      <c r="N296" s="20" t="s">
        <v>761</v>
      </c>
    </row>
    <row r="297" spans="1:14" ht="18" customHeight="1">
      <c r="A297" s="96">
        <v>296</v>
      </c>
      <c r="B297" s="44" t="s">
        <v>993</v>
      </c>
      <c r="C297" s="20" t="s">
        <v>996</v>
      </c>
      <c r="D297" s="20" t="s">
        <v>640</v>
      </c>
      <c r="H297" s="53" t="s">
        <v>213</v>
      </c>
      <c r="J297" s="41"/>
      <c r="K297" s="55" t="str">
        <f>INDEX(Tableau6[TS],MATCH(Tableau5[[#This Row],[Type Signal]],Tableau6[TypeSignal],0))&amp;""</f>
        <v>ST</v>
      </c>
      <c r="L297" s="55"/>
      <c r="M297" s="21"/>
      <c r="N297" s="20" t="s">
        <v>761</v>
      </c>
    </row>
    <row r="298" spans="1:14" ht="18" customHeight="1">
      <c r="A298" s="96">
        <v>297</v>
      </c>
      <c r="B298" s="44" t="s">
        <v>993</v>
      </c>
      <c r="C298" s="20" t="s">
        <v>487</v>
      </c>
      <c r="D298" s="20" t="s">
        <v>487</v>
      </c>
      <c r="H298" s="53" t="s">
        <v>213</v>
      </c>
      <c r="J298" s="40"/>
      <c r="K298" s="55" t="str">
        <f>INDEX(Tableau6[TS],MATCH(Tableau5[[#This Row],[Type Signal]],Tableau6[TypeSignal],0))&amp;""</f>
        <v>ET</v>
      </c>
      <c r="L298" s="55"/>
      <c r="M298" s="21"/>
      <c r="N298" s="20" t="s">
        <v>758</v>
      </c>
    </row>
    <row r="299" spans="1:14" ht="18" customHeight="1">
      <c r="A299" s="96">
        <v>298</v>
      </c>
      <c r="B299" s="44" t="s">
        <v>993</v>
      </c>
      <c r="C299" s="20" t="s">
        <v>997</v>
      </c>
      <c r="D299" s="20" t="s">
        <v>257</v>
      </c>
      <c r="H299" s="53" t="s">
        <v>213</v>
      </c>
      <c r="J299" s="40"/>
      <c r="K299" s="55" t="str">
        <f>INDEX(Tableau6[TS],MATCH(Tableau5[[#This Row],[Type Signal]],Tableau6[TypeSignal],0))&amp;""</f>
        <v>ET</v>
      </c>
      <c r="L299" s="55"/>
      <c r="M299" s="21"/>
      <c r="N299" s="20" t="s">
        <v>758</v>
      </c>
    </row>
    <row r="300" spans="1:14" ht="18" customHeight="1">
      <c r="A300" s="96">
        <v>299</v>
      </c>
      <c r="B300" s="44" t="s">
        <v>993</v>
      </c>
      <c r="C300" s="20" t="s">
        <v>998</v>
      </c>
      <c r="D300" s="20" t="s">
        <v>258</v>
      </c>
      <c r="H300" s="53" t="s">
        <v>213</v>
      </c>
      <c r="J300" s="40"/>
      <c r="K300" s="55" t="str">
        <f>INDEX(Tableau6[TS],MATCH(Tableau5[[#This Row],[Type Signal]],Tableau6[TypeSignal],0))&amp;""</f>
        <v>ET</v>
      </c>
      <c r="L300" s="55"/>
      <c r="M300" s="21"/>
      <c r="N300" s="20" t="s">
        <v>758</v>
      </c>
    </row>
    <row r="301" spans="1:14" ht="18" customHeight="1">
      <c r="A301" s="96">
        <v>300</v>
      </c>
      <c r="B301" s="44" t="s">
        <v>993</v>
      </c>
      <c r="C301" s="20" t="s">
        <v>999</v>
      </c>
      <c r="D301" s="20" t="s">
        <v>528</v>
      </c>
      <c r="H301" s="53" t="s">
        <v>213</v>
      </c>
      <c r="J301" s="40"/>
      <c r="K301" s="55" t="str">
        <f>INDEX(Tableau6[TS],MATCH(Tableau5[[#This Row],[Type Signal]],Tableau6[TypeSignal],0))&amp;""</f>
        <v>ET</v>
      </c>
      <c r="L301" s="55"/>
      <c r="M301" s="21"/>
      <c r="N301" s="20" t="s">
        <v>758</v>
      </c>
    </row>
    <row r="302" spans="1:14" ht="18" customHeight="1">
      <c r="A302" s="96">
        <v>301</v>
      </c>
      <c r="B302" s="44" t="s">
        <v>1000</v>
      </c>
      <c r="C302" s="20" t="s">
        <v>994</v>
      </c>
      <c r="D302" s="20" t="s">
        <v>256</v>
      </c>
      <c r="H302" s="53" t="s">
        <v>213</v>
      </c>
      <c r="J302" s="41"/>
      <c r="K302" s="55" t="str">
        <f>INDEX(Tableau6[TS],MATCH(Tableau5[[#This Row],[Type Signal]],Tableau6[TypeSignal],0))&amp;""</f>
        <v>ST</v>
      </c>
      <c r="L302" s="55"/>
      <c r="M302" s="21"/>
      <c r="N302" s="20" t="s">
        <v>761</v>
      </c>
    </row>
    <row r="303" spans="1:14" ht="18" customHeight="1">
      <c r="A303" s="96">
        <v>302</v>
      </c>
      <c r="B303" s="44" t="s">
        <v>1000</v>
      </c>
      <c r="C303" s="20" t="s">
        <v>995</v>
      </c>
      <c r="D303" s="20" t="s">
        <v>255</v>
      </c>
      <c r="H303" s="53" t="s">
        <v>213</v>
      </c>
      <c r="J303" s="41"/>
      <c r="K303" s="55" t="str">
        <f>INDEX(Tableau6[TS],MATCH(Tableau5[[#This Row],[Type Signal]],Tableau6[TypeSignal],0))&amp;""</f>
        <v>ST</v>
      </c>
      <c r="L303" s="55"/>
      <c r="M303" s="21"/>
      <c r="N303" s="20" t="s">
        <v>761</v>
      </c>
    </row>
    <row r="304" spans="1:14" ht="18" customHeight="1">
      <c r="A304" s="96">
        <v>303</v>
      </c>
      <c r="B304" s="44" t="s">
        <v>1000</v>
      </c>
      <c r="C304" s="20" t="s">
        <v>487</v>
      </c>
      <c r="D304" s="20" t="s">
        <v>487</v>
      </c>
      <c r="H304" s="53" t="s">
        <v>213</v>
      </c>
      <c r="J304" s="40"/>
      <c r="K304" s="55" t="str">
        <f>INDEX(Tableau6[TS],MATCH(Tableau5[[#This Row],[Type Signal]],Tableau6[TypeSignal],0))&amp;""</f>
        <v>ET</v>
      </c>
      <c r="L304" s="55"/>
      <c r="M304" s="21"/>
      <c r="N304" s="20" t="s">
        <v>758</v>
      </c>
    </row>
    <row r="305" spans="1:14" ht="18" customHeight="1">
      <c r="A305" s="96">
        <v>304</v>
      </c>
      <c r="B305" s="44" t="s">
        <v>1000</v>
      </c>
      <c r="C305" s="20" t="s">
        <v>1001</v>
      </c>
      <c r="D305" s="20" t="s">
        <v>257</v>
      </c>
      <c r="H305" s="53" t="s">
        <v>213</v>
      </c>
      <c r="J305" s="40"/>
      <c r="K305" s="55" t="str">
        <f>INDEX(Tableau6[TS],MATCH(Tableau5[[#This Row],[Type Signal]],Tableau6[TypeSignal],0))&amp;""</f>
        <v>ET</v>
      </c>
      <c r="L305" s="55"/>
      <c r="M305" s="21"/>
      <c r="N305" s="20" t="s">
        <v>758</v>
      </c>
    </row>
    <row r="306" spans="1:14" ht="18" customHeight="1">
      <c r="A306" s="96">
        <v>305</v>
      </c>
      <c r="B306" s="44" t="s">
        <v>1000</v>
      </c>
      <c r="C306" s="20" t="s">
        <v>1002</v>
      </c>
      <c r="D306" s="20" t="s">
        <v>258</v>
      </c>
      <c r="H306" s="53" t="s">
        <v>213</v>
      </c>
      <c r="J306" s="40"/>
      <c r="K306" s="55" t="str">
        <f>INDEX(Tableau6[TS],MATCH(Tableau5[[#This Row],[Type Signal]],Tableau6[TypeSignal],0))&amp;""</f>
        <v>ET</v>
      </c>
      <c r="L306" s="55"/>
      <c r="M306" s="21"/>
      <c r="N306" s="20" t="s">
        <v>758</v>
      </c>
    </row>
    <row r="307" spans="1:14" ht="18" customHeight="1">
      <c r="A307" s="96">
        <v>306</v>
      </c>
      <c r="B307" s="44" t="s">
        <v>1000</v>
      </c>
      <c r="C307" s="20" t="s">
        <v>999</v>
      </c>
      <c r="D307" s="20" t="s">
        <v>528</v>
      </c>
      <c r="H307" s="53" t="s">
        <v>213</v>
      </c>
      <c r="J307" s="40"/>
      <c r="K307" s="55" t="str">
        <f>INDEX(Tableau6[TS],MATCH(Tableau5[[#This Row],[Type Signal]],Tableau6[TypeSignal],0))&amp;""</f>
        <v>ET</v>
      </c>
      <c r="L307" s="55"/>
      <c r="M307" s="21"/>
      <c r="N307" s="20" t="s">
        <v>758</v>
      </c>
    </row>
    <row r="308" spans="1:14" ht="18" customHeight="1">
      <c r="A308" s="96">
        <v>307</v>
      </c>
      <c r="B308" s="44" t="s">
        <v>1003</v>
      </c>
      <c r="C308" s="20" t="s">
        <v>1004</v>
      </c>
      <c r="D308" s="20" t="s">
        <v>20</v>
      </c>
      <c r="H308" s="53" t="s">
        <v>213</v>
      </c>
      <c r="J308" s="41"/>
      <c r="K308" s="55" t="str">
        <f>INDEX(Tableau6[TS],MATCH(Tableau5[[#This Row],[Type Signal]],Tableau6[TypeSignal],0))&amp;""</f>
        <v>ST</v>
      </c>
      <c r="L308" s="55"/>
      <c r="M308" s="21"/>
      <c r="N308" s="20" t="s">
        <v>761</v>
      </c>
    </row>
    <row r="309" spans="1:14" ht="18" customHeight="1">
      <c r="A309" s="96">
        <v>308</v>
      </c>
      <c r="B309" s="44" t="s">
        <v>1003</v>
      </c>
      <c r="C309" s="20" t="s">
        <v>1005</v>
      </c>
      <c r="D309" s="20" t="s">
        <v>288</v>
      </c>
      <c r="H309" s="53" t="s">
        <v>213</v>
      </c>
      <c r="J309" s="40"/>
      <c r="K309" s="55" t="str">
        <f>INDEX(Tableau6[TS],MATCH(Tableau5[[#This Row],[Type Signal]],Tableau6[TypeSignal],0))&amp;""</f>
        <v>ET</v>
      </c>
      <c r="L309" s="55"/>
      <c r="M309" s="21"/>
      <c r="N309" s="20" t="s">
        <v>758</v>
      </c>
    </row>
    <row r="310" spans="1:14" ht="18" customHeight="1">
      <c r="A310" s="96">
        <v>309</v>
      </c>
      <c r="B310" s="44" t="s">
        <v>1006</v>
      </c>
      <c r="C310" s="20" t="s">
        <v>1007</v>
      </c>
      <c r="D310" s="20" t="s">
        <v>225</v>
      </c>
      <c r="H310" s="53" t="s">
        <v>213</v>
      </c>
      <c r="J310" s="41"/>
      <c r="K310" s="55" t="str">
        <f>INDEX(Tableau6[TS],MATCH(Tableau5[[#This Row],[Type Signal]],Tableau6[TypeSignal],0))&amp;""</f>
        <v>ST</v>
      </c>
      <c r="L310" s="55"/>
      <c r="M310" s="21"/>
      <c r="N310" s="20" t="s">
        <v>761</v>
      </c>
    </row>
    <row r="311" spans="1:14" ht="18" customHeight="1">
      <c r="A311" s="96">
        <v>310</v>
      </c>
      <c r="B311" s="44" t="s">
        <v>1006</v>
      </c>
      <c r="C311" s="20" t="s">
        <v>1008</v>
      </c>
      <c r="D311" s="20" t="s">
        <v>226</v>
      </c>
      <c r="H311" s="53" t="s">
        <v>213</v>
      </c>
      <c r="J311" s="41"/>
      <c r="K311" s="55" t="str">
        <f>INDEX(Tableau6[TS],MATCH(Tableau5[[#This Row],[Type Signal]],Tableau6[TypeSignal],0))&amp;""</f>
        <v>ST</v>
      </c>
      <c r="L311" s="55"/>
      <c r="M311" s="21"/>
      <c r="N311" s="20" t="s">
        <v>761</v>
      </c>
    </row>
    <row r="312" spans="1:14" ht="18" customHeight="1">
      <c r="A312" s="96">
        <v>311</v>
      </c>
      <c r="B312" s="44" t="s">
        <v>1006</v>
      </c>
      <c r="C312" s="20" t="s">
        <v>1009</v>
      </c>
      <c r="D312" s="20" t="s">
        <v>287</v>
      </c>
      <c r="H312" s="53" t="s">
        <v>213</v>
      </c>
      <c r="J312" s="40"/>
      <c r="K312" s="55" t="str">
        <f>INDEX(Tableau6[TS],MATCH(Tableau5[[#This Row],[Type Signal]],Tableau6[TypeSignal],0))&amp;""</f>
        <v>ET</v>
      </c>
      <c r="L312" s="55"/>
      <c r="M312" s="21"/>
      <c r="N312" s="20" t="s">
        <v>758</v>
      </c>
    </row>
    <row r="313" spans="1:14" ht="18" customHeight="1">
      <c r="A313" s="96">
        <v>312</v>
      </c>
      <c r="B313" s="44" t="s">
        <v>1006</v>
      </c>
      <c r="C313" s="20" t="s">
        <v>1010</v>
      </c>
      <c r="D313" s="20" t="s">
        <v>285</v>
      </c>
      <c r="H313" s="53" t="s">
        <v>213</v>
      </c>
      <c r="J313" s="40"/>
      <c r="K313" s="55" t="str">
        <f>INDEX(Tableau6[TS],MATCH(Tableau5[[#This Row],[Type Signal]],Tableau6[TypeSignal],0))&amp;""</f>
        <v>ET</v>
      </c>
      <c r="L313" s="55"/>
      <c r="M313" s="21"/>
      <c r="N313" s="20" t="s">
        <v>758</v>
      </c>
    </row>
    <row r="314" spans="1:14" ht="18" customHeight="1">
      <c r="A314" s="96">
        <v>313</v>
      </c>
      <c r="B314" s="44" t="s">
        <v>1011</v>
      </c>
      <c r="C314" s="20" t="s">
        <v>1012</v>
      </c>
      <c r="D314" s="20" t="s">
        <v>224</v>
      </c>
      <c r="H314" s="53" t="s">
        <v>213</v>
      </c>
      <c r="J314" s="41"/>
      <c r="K314" s="55" t="str">
        <f>INDEX(Tableau6[TS],MATCH(Tableau5[[#This Row],[Type Signal]],Tableau6[TypeSignal],0))&amp;""</f>
        <v>ST</v>
      </c>
      <c r="L314" s="55"/>
      <c r="M314" s="21"/>
      <c r="N314" s="20" t="s">
        <v>761</v>
      </c>
    </row>
    <row r="315" spans="1:14" ht="18" customHeight="1">
      <c r="A315" s="96">
        <v>314</v>
      </c>
      <c r="B315" s="44" t="s">
        <v>1011</v>
      </c>
      <c r="C315" s="20" t="s">
        <v>1013</v>
      </c>
      <c r="D315" s="20" t="s">
        <v>285</v>
      </c>
      <c r="H315" s="53" t="s">
        <v>213</v>
      </c>
      <c r="J315" s="40"/>
      <c r="K315" s="55" t="str">
        <f>INDEX(Tableau6[TS],MATCH(Tableau5[[#This Row],[Type Signal]],Tableau6[TypeSignal],0))&amp;""</f>
        <v>ET</v>
      </c>
      <c r="L315" s="55"/>
      <c r="M315" s="21"/>
      <c r="N315" s="20" t="s">
        <v>758</v>
      </c>
    </row>
    <row r="316" spans="1:14" ht="18" customHeight="1">
      <c r="A316" s="96">
        <v>315</v>
      </c>
      <c r="B316" s="44" t="s">
        <v>1011</v>
      </c>
      <c r="C316" s="20" t="s">
        <v>1014</v>
      </c>
      <c r="D316" s="20" t="s">
        <v>286</v>
      </c>
      <c r="H316" s="53" t="s">
        <v>213</v>
      </c>
      <c r="J316" s="40"/>
      <c r="K316" s="55" t="str">
        <f>INDEX(Tableau6[TS],MATCH(Tableau5[[#This Row],[Type Signal]],Tableau6[TypeSignal],0))&amp;""</f>
        <v>ET</v>
      </c>
      <c r="L316" s="55"/>
      <c r="M316" s="21"/>
      <c r="N316" s="20" t="s">
        <v>758</v>
      </c>
    </row>
    <row r="317" spans="1:14" ht="18" customHeight="1">
      <c r="A317" s="96">
        <v>316</v>
      </c>
      <c r="B317" s="44" t="s">
        <v>1015</v>
      </c>
      <c r="C317" s="20" t="s">
        <v>1008</v>
      </c>
      <c r="D317" s="20" t="s">
        <v>226</v>
      </c>
      <c r="H317" s="53" t="s">
        <v>213</v>
      </c>
      <c r="J317" s="41"/>
      <c r="K317" s="55" t="str">
        <f>INDEX(Tableau6[TS],MATCH(Tableau5[[#This Row],[Type Signal]],Tableau6[TypeSignal],0))&amp;""</f>
        <v>ST</v>
      </c>
      <c r="L317" s="55"/>
      <c r="M317" s="21"/>
      <c r="N317" s="20" t="s">
        <v>761</v>
      </c>
    </row>
    <row r="318" spans="1:14" ht="18" customHeight="1">
      <c r="A318" s="96">
        <v>317</v>
      </c>
      <c r="B318" s="44" t="s">
        <v>1016</v>
      </c>
      <c r="C318" s="20" t="s">
        <v>1017</v>
      </c>
      <c r="D318" s="20" t="s">
        <v>530</v>
      </c>
      <c r="H318" s="53" t="s">
        <v>213</v>
      </c>
      <c r="J318" s="41"/>
      <c r="K318" s="55" t="str">
        <f>INDEX(Tableau6[TS],MATCH(Tableau5[[#This Row],[Type Signal]],Tableau6[TypeSignal],0))&amp;""</f>
        <v>ST</v>
      </c>
      <c r="L318" s="55"/>
      <c r="M318" s="21"/>
      <c r="N318" s="20" t="s">
        <v>761</v>
      </c>
    </row>
    <row r="319" spans="1:14" ht="18" customHeight="1">
      <c r="A319" s="96">
        <v>318</v>
      </c>
      <c r="B319" s="44" t="s">
        <v>1016</v>
      </c>
      <c r="C319" s="20" t="s">
        <v>1018</v>
      </c>
      <c r="D319" s="20" t="s">
        <v>226</v>
      </c>
      <c r="H319" s="53" t="s">
        <v>213</v>
      </c>
      <c r="J319" s="41"/>
      <c r="K319" s="55" t="str">
        <f>INDEX(Tableau6[TS],MATCH(Tableau5[[#This Row],[Type Signal]],Tableau6[TypeSignal],0))&amp;""</f>
        <v>ST</v>
      </c>
      <c r="L319" s="55"/>
      <c r="M319" s="21"/>
      <c r="N319" s="20" t="s">
        <v>761</v>
      </c>
    </row>
    <row r="320" spans="1:14" ht="18" customHeight="1">
      <c r="A320" s="96">
        <v>319</v>
      </c>
      <c r="B320" s="44" t="s">
        <v>1016</v>
      </c>
      <c r="C320" s="20" t="s">
        <v>815</v>
      </c>
      <c r="D320" s="20" t="s">
        <v>815</v>
      </c>
      <c r="H320" s="53" t="s">
        <v>213</v>
      </c>
      <c r="J320" s="40"/>
      <c r="K320" s="55" t="str">
        <f>INDEX(Tableau6[TS],MATCH(Tableau5[[#This Row],[Type Signal]],Tableau6[TypeSignal],0))&amp;""</f>
        <v>ET</v>
      </c>
      <c r="L320" s="55"/>
      <c r="M320" s="21"/>
      <c r="N320" s="20" t="s">
        <v>758</v>
      </c>
    </row>
    <row r="321" spans="1:14" ht="18" customHeight="1">
      <c r="A321" s="96">
        <v>320</v>
      </c>
      <c r="B321" s="44" t="s">
        <v>1016</v>
      </c>
      <c r="C321" s="20" t="s">
        <v>815</v>
      </c>
      <c r="D321" s="20" t="s">
        <v>815</v>
      </c>
      <c r="H321" s="53" t="s">
        <v>213</v>
      </c>
      <c r="J321" s="40"/>
      <c r="K321" s="55" t="str">
        <f>INDEX(Tableau6[TS],MATCH(Tableau5[[#This Row],[Type Signal]],Tableau6[TypeSignal],0))&amp;""</f>
        <v>ET</v>
      </c>
      <c r="L321" s="55"/>
      <c r="M321" s="21"/>
      <c r="N321" s="20" t="s">
        <v>758</v>
      </c>
    </row>
    <row r="322" spans="1:14" ht="18" customHeight="1">
      <c r="A322" s="96">
        <v>321</v>
      </c>
      <c r="B322" s="44" t="s">
        <v>1016</v>
      </c>
      <c r="C322" s="20" t="s">
        <v>815</v>
      </c>
      <c r="D322" s="20" t="s">
        <v>815</v>
      </c>
      <c r="H322" s="53" t="s">
        <v>213</v>
      </c>
      <c r="J322" s="40"/>
      <c r="K322" s="55" t="str">
        <f>INDEX(Tableau6[TS],MATCH(Tableau5[[#This Row],[Type Signal]],Tableau6[TypeSignal],0))&amp;""</f>
        <v>ET</v>
      </c>
      <c r="L322" s="55"/>
      <c r="M322" s="21"/>
      <c r="N322" s="20" t="s">
        <v>758</v>
      </c>
    </row>
    <row r="323" spans="1:14" ht="18" customHeight="1">
      <c r="A323" s="96">
        <v>322</v>
      </c>
      <c r="B323" s="44" t="s">
        <v>1019</v>
      </c>
      <c r="C323" s="20" t="s">
        <v>1018</v>
      </c>
      <c r="D323" s="20" t="s">
        <v>226</v>
      </c>
      <c r="H323" s="53" t="s">
        <v>213</v>
      </c>
      <c r="J323" s="41"/>
      <c r="K323" s="55" t="str">
        <f>INDEX(Tableau6[TS],MATCH(Tableau5[[#This Row],[Type Signal]],Tableau6[TypeSignal],0))&amp;""</f>
        <v>ST</v>
      </c>
      <c r="L323" s="55"/>
      <c r="M323" s="21"/>
      <c r="N323" s="20" t="s">
        <v>761</v>
      </c>
    </row>
    <row r="324" spans="1:14" ht="18" customHeight="1">
      <c r="A324" s="96">
        <v>323</v>
      </c>
      <c r="B324" s="44" t="s">
        <v>1020</v>
      </c>
      <c r="C324" s="20" t="s">
        <v>1021</v>
      </c>
      <c r="D324" s="20" t="s">
        <v>531</v>
      </c>
      <c r="H324" s="53" t="s">
        <v>213</v>
      </c>
      <c r="J324" s="41"/>
      <c r="K324" s="55" t="str">
        <f>INDEX(Tableau6[TS],MATCH(Tableau5[[#This Row],[Type Signal]],Tableau6[TypeSignal],0))&amp;""</f>
        <v>ST</v>
      </c>
      <c r="L324" s="55"/>
      <c r="M324" s="21"/>
      <c r="N324" s="20" t="s">
        <v>761</v>
      </c>
    </row>
    <row r="325" spans="1:14" ht="18" customHeight="1">
      <c r="A325" s="96">
        <v>324</v>
      </c>
      <c r="B325" s="44" t="s">
        <v>1022</v>
      </c>
      <c r="C325" s="20" t="s">
        <v>1023</v>
      </c>
      <c r="D325" s="20" t="s">
        <v>253</v>
      </c>
      <c r="H325" s="53" t="s">
        <v>213</v>
      </c>
      <c r="J325" s="40"/>
      <c r="K325" s="55" t="str">
        <f>INDEX(Tableau6[TS],MATCH(Tableau5[[#This Row],[Type Signal]],Tableau6[TypeSignal],0))&amp;""</f>
        <v>ET</v>
      </c>
      <c r="L325" s="55"/>
      <c r="M325" s="21"/>
      <c r="N325" s="20" t="s">
        <v>758</v>
      </c>
    </row>
    <row r="326" spans="1:14" ht="18" customHeight="1">
      <c r="A326" s="96">
        <v>325</v>
      </c>
      <c r="B326" s="44" t="s">
        <v>1022</v>
      </c>
      <c r="C326" s="20" t="s">
        <v>1024</v>
      </c>
      <c r="D326" s="20" t="s">
        <v>32</v>
      </c>
      <c r="H326" s="53" t="s">
        <v>213</v>
      </c>
      <c r="J326" s="41"/>
      <c r="K326" s="55" t="str">
        <f>INDEX(Tableau6[TS],MATCH(Tableau5[[#This Row],[Type Signal]],Tableau6[TypeSignal],0))&amp;""</f>
        <v>ST</v>
      </c>
      <c r="L326" s="55"/>
      <c r="M326" s="21"/>
      <c r="N326" s="20" t="s">
        <v>761</v>
      </c>
    </row>
  </sheetData>
  <phoneticPr fontId="6" type="noConversion"/>
  <pageMargins left="0.7" right="0.7" top="0.75" bottom="0.75" header="0.3" footer="0.3"/>
  <pageSetup paperSize="9" orientation="portrait" r:id="rId1"/>
  <drawing r:id="rId2"/>
  <tableParts count="1">
    <tablePart r:id="rId3"/>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workbookViewId="0">
      <pane ySplit="1" topLeftCell="A2" activePane="bottomLeft" state="frozen"/>
      <selection pane="bottomLeft" activeCell="E2" sqref="E2"/>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144" customHeight="1">
      <c r="A1" s="66" t="s">
        <v>734</v>
      </c>
      <c r="B1" s="67" t="s">
        <v>1426</v>
      </c>
      <c r="C1" s="236" t="s">
        <v>1553</v>
      </c>
      <c r="D1" s="236" t="s">
        <v>1554</v>
      </c>
      <c r="E1" s="92" t="s">
        <v>1571</v>
      </c>
      <c r="F1" s="92" t="s">
        <v>1572</v>
      </c>
      <c r="G1" s="92" t="s">
        <v>1577</v>
      </c>
      <c r="H1" s="93" t="s">
        <v>1591</v>
      </c>
      <c r="I1" s="33" t="s">
        <v>1429</v>
      </c>
    </row>
    <row r="2" spans="1:9" ht="18" customHeight="1">
      <c r="A2" s="48">
        <v>1</v>
      </c>
      <c r="B2" s="51" t="s">
        <v>929</v>
      </c>
      <c r="C2" s="53">
        <v>2</v>
      </c>
      <c r="D2" s="53">
        <v>3</v>
      </c>
      <c r="E2" s="49" t="s">
        <v>282</v>
      </c>
      <c r="F2" s="50" t="s">
        <v>45</v>
      </c>
      <c r="G2" s="52" t="s">
        <v>1025</v>
      </c>
      <c r="H2" s="86"/>
      <c r="I2" s="21"/>
    </row>
    <row r="3" spans="1:9" ht="18" customHeight="1">
      <c r="A3" s="48">
        <v>2</v>
      </c>
      <c r="B3" s="51" t="s">
        <v>858</v>
      </c>
      <c r="C3" s="53">
        <v>4</v>
      </c>
      <c r="D3" s="53">
        <v>3</v>
      </c>
      <c r="E3" s="49" t="s">
        <v>218</v>
      </c>
      <c r="F3" s="49" t="s">
        <v>27</v>
      </c>
      <c r="G3" s="52" t="s">
        <v>1027</v>
      </c>
      <c r="H3" s="52"/>
      <c r="I3" s="21"/>
    </row>
    <row r="4" spans="1:9" ht="18" customHeight="1">
      <c r="A4" s="48">
        <v>3</v>
      </c>
      <c r="B4" s="51" t="s">
        <v>929</v>
      </c>
      <c r="C4" s="53">
        <v>5</v>
      </c>
      <c r="D4" s="53">
        <v>7</v>
      </c>
      <c r="E4" s="49" t="s">
        <v>219</v>
      </c>
      <c r="F4" s="49" t="s">
        <v>46</v>
      </c>
      <c r="G4" s="52" t="s">
        <v>1028</v>
      </c>
      <c r="H4" s="52"/>
      <c r="I4" s="21"/>
    </row>
    <row r="5" spans="1:9" ht="18" customHeight="1">
      <c r="A5" s="48">
        <v>4</v>
      </c>
      <c r="B5" s="51" t="s">
        <v>975</v>
      </c>
      <c r="C5" s="53">
        <v>2</v>
      </c>
      <c r="D5" s="53">
        <v>3</v>
      </c>
      <c r="E5" s="49" t="s">
        <v>216</v>
      </c>
      <c r="F5" s="49" t="s">
        <v>47</v>
      </c>
      <c r="G5" s="52" t="s">
        <v>1029</v>
      </c>
      <c r="H5" s="52"/>
      <c r="I5" s="21"/>
    </row>
    <row r="6" spans="1:9" ht="18" customHeight="1">
      <c r="A6" s="48">
        <v>5</v>
      </c>
      <c r="B6" s="51" t="s">
        <v>975</v>
      </c>
      <c r="C6" s="53">
        <v>3</v>
      </c>
      <c r="D6" s="53">
        <v>2</v>
      </c>
      <c r="E6" s="49" t="s">
        <v>217</v>
      </c>
      <c r="F6" s="49" t="s">
        <v>48</v>
      </c>
      <c r="G6" s="52" t="s">
        <v>1030</v>
      </c>
      <c r="H6" s="52"/>
      <c r="I6" s="21"/>
    </row>
    <row r="7" spans="1:9" ht="18" customHeight="1">
      <c r="A7" s="48">
        <v>6</v>
      </c>
      <c r="B7" s="51" t="s">
        <v>975</v>
      </c>
      <c r="C7" s="53">
        <v>4</v>
      </c>
      <c r="D7" s="53">
        <v>3</v>
      </c>
      <c r="E7" s="49" t="s">
        <v>218</v>
      </c>
      <c r="F7" s="49" t="s">
        <v>49</v>
      </c>
      <c r="G7" s="52" t="s">
        <v>1031</v>
      </c>
      <c r="H7" s="52"/>
      <c r="I7" s="21"/>
    </row>
    <row r="8" spans="1:9" ht="18" customHeight="1">
      <c r="A8" s="48">
        <v>7</v>
      </c>
      <c r="B8" s="51" t="s">
        <v>963</v>
      </c>
      <c r="C8" s="53">
        <v>5</v>
      </c>
      <c r="D8" s="53">
        <v>7</v>
      </c>
      <c r="E8" s="49" t="s">
        <v>219</v>
      </c>
      <c r="F8" s="49" t="s">
        <v>50</v>
      </c>
      <c r="G8" s="52" t="s">
        <v>1032</v>
      </c>
      <c r="H8" s="52"/>
      <c r="I8" s="21"/>
    </row>
    <row r="9" spans="1:9" ht="18" customHeight="1">
      <c r="A9" s="48">
        <v>8</v>
      </c>
      <c r="B9" s="51" t="s">
        <v>963</v>
      </c>
      <c r="C9" s="53">
        <v>6</v>
      </c>
      <c r="D9" s="53">
        <v>1</v>
      </c>
      <c r="E9" s="49" t="s">
        <v>220</v>
      </c>
      <c r="F9" s="49" t="s">
        <v>51</v>
      </c>
      <c r="G9" s="52" t="s">
        <v>1033</v>
      </c>
      <c r="H9" s="52"/>
      <c r="I9" s="21"/>
    </row>
    <row r="10" spans="1:9" ht="18" customHeight="1">
      <c r="A10" s="48">
        <v>9</v>
      </c>
      <c r="B10" s="51" t="s">
        <v>993</v>
      </c>
      <c r="C10" s="53">
        <v>7</v>
      </c>
      <c r="D10" s="53"/>
      <c r="E10" s="49" t="s">
        <v>221</v>
      </c>
      <c r="F10" s="49" t="s">
        <v>28</v>
      </c>
      <c r="G10" s="52" t="s">
        <v>1034</v>
      </c>
      <c r="H10" s="52"/>
      <c r="I10" s="21"/>
    </row>
    <row r="11" spans="1:9" ht="18" customHeight="1">
      <c r="A11" s="48">
        <v>10</v>
      </c>
      <c r="B11" s="51" t="s">
        <v>907</v>
      </c>
      <c r="C11" s="53">
        <v>6</v>
      </c>
      <c r="D11" s="53">
        <v>1</v>
      </c>
      <c r="E11" s="49" t="s">
        <v>220</v>
      </c>
      <c r="F11" s="49" t="s">
        <v>54</v>
      </c>
      <c r="G11" s="52" t="s">
        <v>1035</v>
      </c>
      <c r="H11" s="83"/>
      <c r="I11" s="21"/>
    </row>
    <row r="12" spans="1:9" ht="18" customHeight="1">
      <c r="A12" s="48">
        <v>11</v>
      </c>
      <c r="B12" s="51" t="s">
        <v>1000</v>
      </c>
      <c r="C12" s="53">
        <v>2</v>
      </c>
      <c r="D12" s="53"/>
      <c r="E12" s="49" t="s">
        <v>222</v>
      </c>
      <c r="F12" s="49" t="s">
        <v>29</v>
      </c>
      <c r="G12" s="52" t="s">
        <v>1036</v>
      </c>
      <c r="H12" s="52"/>
      <c r="I12" s="21"/>
    </row>
    <row r="13" spans="1:9" ht="18" customHeight="1">
      <c r="A13" s="48">
        <v>12</v>
      </c>
      <c r="B13" s="51" t="s">
        <v>855</v>
      </c>
      <c r="C13" s="53">
        <v>7</v>
      </c>
      <c r="D13" s="53"/>
      <c r="E13" s="49" t="s">
        <v>221</v>
      </c>
      <c r="F13" s="49" t="s">
        <v>277</v>
      </c>
      <c r="G13" s="52" t="s">
        <v>1037</v>
      </c>
      <c r="H13" s="52"/>
      <c r="I13" s="21"/>
    </row>
    <row r="14" spans="1:9" ht="18" customHeight="1">
      <c r="A14" s="48">
        <v>13</v>
      </c>
      <c r="B14" s="51" t="s">
        <v>855</v>
      </c>
      <c r="C14" s="53">
        <v>2</v>
      </c>
      <c r="D14" s="53"/>
      <c r="E14" s="49" t="s">
        <v>222</v>
      </c>
      <c r="F14" s="49" t="s">
        <v>278</v>
      </c>
      <c r="G14" s="52" t="s">
        <v>1038</v>
      </c>
      <c r="H14" s="52"/>
      <c r="I14" s="21"/>
    </row>
    <row r="15" spans="1:9" ht="18" customHeight="1">
      <c r="A15" s="48">
        <v>14</v>
      </c>
      <c r="B15" s="51" t="s">
        <v>852</v>
      </c>
      <c r="C15" s="54">
        <v>1</v>
      </c>
      <c r="D15" s="53"/>
      <c r="E15" s="49" t="s">
        <v>103</v>
      </c>
      <c r="F15" s="49" t="s">
        <v>322</v>
      </c>
      <c r="G15" s="52" t="s">
        <v>1039</v>
      </c>
      <c r="H15" s="52"/>
      <c r="I15" s="21"/>
    </row>
    <row r="16" spans="1:9" ht="18" customHeight="1">
      <c r="A16" s="48">
        <v>15</v>
      </c>
      <c r="B16" s="44" t="s">
        <v>759</v>
      </c>
      <c r="C16" s="53">
        <v>2</v>
      </c>
      <c r="D16" s="53"/>
      <c r="E16" s="20" t="s">
        <v>281</v>
      </c>
      <c r="F16" s="20" t="s">
        <v>53</v>
      </c>
      <c r="G16" s="20" t="s">
        <v>1040</v>
      </c>
      <c r="I16" s="21"/>
    </row>
    <row r="17" spans="1:9" ht="18" customHeight="1">
      <c r="A17" s="48">
        <v>16</v>
      </c>
      <c r="B17" s="44" t="s">
        <v>762</v>
      </c>
      <c r="C17" s="53">
        <v>2</v>
      </c>
      <c r="D17" s="53"/>
      <c r="E17" s="20" t="s">
        <v>281</v>
      </c>
      <c r="F17" s="20" t="s">
        <v>52</v>
      </c>
      <c r="G17" s="20" t="s">
        <v>1041</v>
      </c>
      <c r="I17" s="21"/>
    </row>
    <row r="18" spans="1:9" ht="18" customHeight="1">
      <c r="A18" s="48">
        <v>17</v>
      </c>
      <c r="B18" s="44" t="s">
        <v>847</v>
      </c>
      <c r="C18" s="53">
        <v>8</v>
      </c>
      <c r="D18" s="53">
        <v>8</v>
      </c>
      <c r="E18" s="20" t="s">
        <v>93</v>
      </c>
      <c r="F18" s="20" t="s">
        <v>303</v>
      </c>
      <c r="G18" s="20" t="s">
        <v>1042</v>
      </c>
      <c r="I18" s="21"/>
    </row>
    <row r="19" spans="1:9" ht="18" customHeight="1">
      <c r="A19" s="48">
        <v>18</v>
      </c>
      <c r="B19" s="44" t="s">
        <v>847</v>
      </c>
      <c r="C19" s="53">
        <v>8</v>
      </c>
      <c r="D19" s="53">
        <v>8</v>
      </c>
      <c r="E19" s="20" t="s">
        <v>93</v>
      </c>
      <c r="F19" s="20" t="s">
        <v>302</v>
      </c>
      <c r="G19" s="20" t="s">
        <v>1043</v>
      </c>
      <c r="I19" s="21"/>
    </row>
    <row r="20" spans="1:9" ht="18" customHeight="1">
      <c r="A20" s="48">
        <v>19</v>
      </c>
      <c r="B20" s="44" t="s">
        <v>764</v>
      </c>
      <c r="C20" s="53">
        <v>8</v>
      </c>
      <c r="D20" s="53">
        <v>8</v>
      </c>
      <c r="E20" s="20" t="s">
        <v>93</v>
      </c>
      <c r="F20" s="20" t="s">
        <v>641</v>
      </c>
      <c r="G20" s="20" t="s">
        <v>1044</v>
      </c>
      <c r="I20" s="21"/>
    </row>
    <row r="21" spans="1:9" ht="18" customHeight="1">
      <c r="A21" s="48">
        <v>20</v>
      </c>
      <c r="B21" s="44" t="s">
        <v>847</v>
      </c>
      <c r="C21" s="53">
        <v>5</v>
      </c>
      <c r="D21" s="53">
        <v>7</v>
      </c>
      <c r="E21" s="20" t="s">
        <v>102</v>
      </c>
      <c r="F21" s="20" t="s">
        <v>301</v>
      </c>
      <c r="G21" s="20" t="s">
        <v>1045</v>
      </c>
      <c r="I21" s="21"/>
    </row>
    <row r="22" spans="1:9" ht="18" customHeight="1">
      <c r="A22" s="48">
        <v>21</v>
      </c>
      <c r="B22" s="44" t="s">
        <v>847</v>
      </c>
      <c r="C22" s="53">
        <v>5</v>
      </c>
      <c r="D22" s="53">
        <v>7</v>
      </c>
      <c r="E22" s="20" t="s">
        <v>102</v>
      </c>
      <c r="F22" s="20" t="s">
        <v>815</v>
      </c>
      <c r="G22" s="20" t="s">
        <v>815</v>
      </c>
      <c r="I22" s="21"/>
    </row>
    <row r="23" spans="1:9" ht="18" customHeight="1">
      <c r="A23" s="48">
        <v>22</v>
      </c>
      <c r="B23" s="44" t="s">
        <v>847</v>
      </c>
      <c r="C23" s="53">
        <v>5</v>
      </c>
      <c r="D23" s="53">
        <v>7</v>
      </c>
      <c r="E23" s="20" t="s">
        <v>102</v>
      </c>
      <c r="F23" s="20" t="s">
        <v>815</v>
      </c>
      <c r="G23" s="20" t="s">
        <v>815</v>
      </c>
      <c r="I23" s="21"/>
    </row>
    <row r="24" spans="1:9" ht="18" customHeight="1">
      <c r="A24" s="48">
        <v>23</v>
      </c>
      <c r="B24" s="44" t="s">
        <v>847</v>
      </c>
      <c r="C24" s="53">
        <v>5</v>
      </c>
      <c r="D24" s="53">
        <v>7</v>
      </c>
      <c r="E24" s="20" t="s">
        <v>102</v>
      </c>
      <c r="F24" s="20" t="s">
        <v>815</v>
      </c>
      <c r="G24" s="20" t="s">
        <v>815</v>
      </c>
      <c r="I24" s="21"/>
    </row>
    <row r="25" spans="1:9" ht="18" customHeight="1">
      <c r="A25" s="48">
        <v>24</v>
      </c>
      <c r="B25" s="44" t="s">
        <v>847</v>
      </c>
      <c r="C25" s="53">
        <v>5</v>
      </c>
      <c r="D25" s="53">
        <v>7</v>
      </c>
      <c r="E25" s="20" t="s">
        <v>102</v>
      </c>
      <c r="F25" s="20" t="s">
        <v>815</v>
      </c>
      <c r="G25" s="20" t="s">
        <v>815</v>
      </c>
      <c r="I25" s="21"/>
    </row>
    <row r="26" spans="1:9" ht="18" customHeight="1">
      <c r="A26" s="48">
        <v>25</v>
      </c>
      <c r="B26" s="44" t="s">
        <v>847</v>
      </c>
      <c r="C26" s="53">
        <v>1</v>
      </c>
      <c r="D26" s="53">
        <v>6</v>
      </c>
      <c r="E26" s="20" t="s">
        <v>103</v>
      </c>
      <c r="F26" s="20" t="s">
        <v>304</v>
      </c>
      <c r="G26" s="20" t="s">
        <v>1046</v>
      </c>
      <c r="I26" s="21"/>
    </row>
    <row r="27" spans="1:9" ht="18" customHeight="1">
      <c r="A27" s="48">
        <v>26</v>
      </c>
      <c r="B27" s="44" t="s">
        <v>847</v>
      </c>
      <c r="C27" s="53">
        <v>1</v>
      </c>
      <c r="D27" s="53">
        <v>6</v>
      </c>
      <c r="E27" s="20" t="s">
        <v>103</v>
      </c>
      <c r="F27" s="20" t="s">
        <v>305</v>
      </c>
      <c r="G27" s="20" t="s">
        <v>1047</v>
      </c>
      <c r="I27" s="21"/>
    </row>
    <row r="28" spans="1:9" ht="18" customHeight="1">
      <c r="A28" s="48">
        <v>27</v>
      </c>
      <c r="B28" s="44" t="s">
        <v>847</v>
      </c>
      <c r="C28" s="53">
        <v>1</v>
      </c>
      <c r="D28" s="53">
        <v>6</v>
      </c>
      <c r="E28" s="20" t="s">
        <v>103</v>
      </c>
      <c r="F28" s="20" t="s">
        <v>815</v>
      </c>
      <c r="G28" s="20" t="s">
        <v>815</v>
      </c>
      <c r="I28" s="21"/>
    </row>
    <row r="29" spans="1:9" ht="18" customHeight="1">
      <c r="A29" s="48">
        <v>28</v>
      </c>
      <c r="B29" s="44" t="s">
        <v>847</v>
      </c>
      <c r="C29" s="53">
        <v>1</v>
      </c>
      <c r="D29" s="53">
        <v>6</v>
      </c>
      <c r="E29" s="20" t="s">
        <v>103</v>
      </c>
      <c r="F29" s="20" t="s">
        <v>815</v>
      </c>
      <c r="G29" s="20" t="s">
        <v>815</v>
      </c>
      <c r="I29" s="21"/>
    </row>
    <row r="30" spans="1:9" ht="18" customHeight="1">
      <c r="A30" s="48">
        <v>29</v>
      </c>
      <c r="B30" s="44" t="s">
        <v>847</v>
      </c>
      <c r="C30" s="53">
        <v>1</v>
      </c>
      <c r="D30" s="53">
        <v>6</v>
      </c>
      <c r="E30" s="20" t="s">
        <v>103</v>
      </c>
      <c r="F30" s="20" t="s">
        <v>306</v>
      </c>
      <c r="G30" s="20" t="s">
        <v>1048</v>
      </c>
      <c r="I30" s="21"/>
    </row>
    <row r="31" spans="1:9" ht="18" customHeight="1">
      <c r="A31" s="48">
        <v>30</v>
      </c>
      <c r="B31" s="44" t="s">
        <v>847</v>
      </c>
      <c r="C31" s="53">
        <v>1</v>
      </c>
      <c r="D31" s="53">
        <v>6</v>
      </c>
      <c r="E31" s="20" t="s">
        <v>103</v>
      </c>
      <c r="F31" s="20" t="s">
        <v>815</v>
      </c>
      <c r="G31" s="20" t="s">
        <v>815</v>
      </c>
      <c r="I31" s="21"/>
    </row>
    <row r="32" spans="1:9" ht="18" customHeight="1">
      <c r="A32" s="48">
        <v>31</v>
      </c>
      <c r="B32" s="44" t="s">
        <v>847</v>
      </c>
      <c r="C32" s="53">
        <v>1</v>
      </c>
      <c r="D32" s="53">
        <v>6</v>
      </c>
      <c r="E32" s="20" t="s">
        <v>103</v>
      </c>
      <c r="F32" s="20" t="s">
        <v>815</v>
      </c>
      <c r="G32" s="20" t="s">
        <v>815</v>
      </c>
      <c r="I32" s="21"/>
    </row>
    <row r="33" spans="1:9" ht="18" customHeight="1">
      <c r="A33" s="48">
        <v>32</v>
      </c>
      <c r="B33" s="44" t="s">
        <v>847</v>
      </c>
      <c r="C33" s="53">
        <v>1</v>
      </c>
      <c r="D33" s="53">
        <v>6</v>
      </c>
      <c r="E33" s="20" t="s">
        <v>103</v>
      </c>
      <c r="F33" s="20" t="s">
        <v>815</v>
      </c>
      <c r="G33" s="20" t="s">
        <v>815</v>
      </c>
      <c r="I33" s="21"/>
    </row>
    <row r="34" spans="1:9" ht="18" customHeight="1">
      <c r="A34" s="48">
        <v>33</v>
      </c>
      <c r="B34" s="44" t="s">
        <v>847</v>
      </c>
      <c r="C34" s="53">
        <v>1</v>
      </c>
      <c r="D34" s="53">
        <v>6</v>
      </c>
      <c r="E34" s="20" t="s">
        <v>103</v>
      </c>
      <c r="F34" s="20" t="s">
        <v>815</v>
      </c>
      <c r="G34" s="20" t="s">
        <v>815</v>
      </c>
      <c r="I34" s="21"/>
    </row>
    <row r="35" spans="1:9" ht="18" customHeight="1">
      <c r="A35" s="48">
        <v>34</v>
      </c>
      <c r="B35" s="44" t="s">
        <v>847</v>
      </c>
      <c r="C35" s="53">
        <v>1</v>
      </c>
      <c r="D35" s="53">
        <v>6</v>
      </c>
      <c r="E35" s="20" t="s">
        <v>103</v>
      </c>
      <c r="F35" s="20" t="s">
        <v>815</v>
      </c>
      <c r="G35" s="20" t="s">
        <v>815</v>
      </c>
      <c r="I35" s="21"/>
    </row>
    <row r="36" spans="1:9" ht="18" customHeight="1">
      <c r="A36" s="48">
        <v>35</v>
      </c>
      <c r="B36" s="44" t="s">
        <v>762</v>
      </c>
      <c r="C36" s="53">
        <v>1</v>
      </c>
      <c r="D36" s="53"/>
      <c r="E36" s="20" t="s">
        <v>103</v>
      </c>
      <c r="F36" s="20" t="s">
        <v>321</v>
      </c>
      <c r="G36" s="20" t="s">
        <v>1049</v>
      </c>
      <c r="I36" s="21"/>
    </row>
    <row r="37" spans="1:9" ht="18" customHeight="1">
      <c r="A37" s="48">
        <v>36</v>
      </c>
      <c r="B37" s="44" t="s">
        <v>759</v>
      </c>
      <c r="C37" s="53">
        <v>1</v>
      </c>
      <c r="D37" s="53"/>
      <c r="E37" s="20" t="s">
        <v>103</v>
      </c>
      <c r="F37" s="20" t="s">
        <v>321</v>
      </c>
      <c r="G37" s="20" t="s">
        <v>1049</v>
      </c>
      <c r="I37" s="21"/>
    </row>
    <row r="38" spans="1:9" ht="18" customHeight="1">
      <c r="A38" s="48">
        <v>37</v>
      </c>
      <c r="B38" s="44" t="s">
        <v>824</v>
      </c>
      <c r="C38" s="53">
        <v>2</v>
      </c>
      <c r="D38" s="53">
        <v>3</v>
      </c>
      <c r="E38" s="20" t="s">
        <v>216</v>
      </c>
      <c r="F38" s="20" t="s">
        <v>129</v>
      </c>
      <c r="G38" s="20" t="s">
        <v>1050</v>
      </c>
      <c r="I38" s="21"/>
    </row>
    <row r="39" spans="1:9" ht="18" customHeight="1">
      <c r="A39" s="48">
        <v>38</v>
      </c>
      <c r="B39" s="44" t="s">
        <v>824</v>
      </c>
      <c r="C39" s="53">
        <v>3</v>
      </c>
      <c r="D39" s="53">
        <v>2</v>
      </c>
      <c r="E39" s="20" t="s">
        <v>217</v>
      </c>
      <c r="F39" s="20" t="s">
        <v>130</v>
      </c>
      <c r="G39" s="20" t="s">
        <v>1051</v>
      </c>
      <c r="I39" s="21"/>
    </row>
    <row r="40" spans="1:9" ht="18" customHeight="1">
      <c r="A40" s="48">
        <v>39</v>
      </c>
      <c r="B40" s="44" t="s">
        <v>824</v>
      </c>
      <c r="C40" s="53">
        <v>4</v>
      </c>
      <c r="D40" s="53">
        <v>3</v>
      </c>
      <c r="E40" s="20" t="s">
        <v>218</v>
      </c>
      <c r="F40" s="20" t="s">
        <v>131</v>
      </c>
      <c r="G40" s="20" t="s">
        <v>1052</v>
      </c>
      <c r="I40" s="21"/>
    </row>
    <row r="41" spans="1:9" ht="18" customHeight="1">
      <c r="A41" s="48">
        <v>40</v>
      </c>
      <c r="B41" s="44" t="s">
        <v>824</v>
      </c>
      <c r="C41" s="53">
        <v>5</v>
      </c>
      <c r="D41" s="53">
        <v>7</v>
      </c>
      <c r="E41" s="20" t="s">
        <v>219</v>
      </c>
      <c r="F41" s="20" t="s">
        <v>279</v>
      </c>
      <c r="G41" s="20" t="s">
        <v>1053</v>
      </c>
      <c r="I41" s="21"/>
    </row>
    <row r="42" spans="1:9" ht="18" customHeight="1">
      <c r="A42" s="48">
        <v>41</v>
      </c>
      <c r="B42" s="44" t="s">
        <v>824</v>
      </c>
      <c r="C42" s="53">
        <v>6</v>
      </c>
      <c r="D42" s="53">
        <v>1</v>
      </c>
      <c r="E42" s="20" t="s">
        <v>220</v>
      </c>
      <c r="F42" s="20" t="s">
        <v>280</v>
      </c>
      <c r="G42" s="20" t="s">
        <v>1054</v>
      </c>
      <c r="I42" s="21"/>
    </row>
    <row r="43" spans="1:9" ht="18" customHeight="1">
      <c r="A43" s="48">
        <v>42</v>
      </c>
      <c r="B43" s="44" t="s">
        <v>834</v>
      </c>
      <c r="C43" s="53">
        <v>5</v>
      </c>
      <c r="D43" s="53">
        <v>7</v>
      </c>
      <c r="E43" s="20" t="s">
        <v>219</v>
      </c>
      <c r="F43" s="20" t="s">
        <v>122</v>
      </c>
      <c r="G43" s="20" t="s">
        <v>1055</v>
      </c>
      <c r="I43" s="21"/>
    </row>
    <row r="44" spans="1:9" ht="18" customHeight="1">
      <c r="A44" s="48">
        <v>43</v>
      </c>
      <c r="B44" s="44" t="s">
        <v>834</v>
      </c>
      <c r="C44" s="53">
        <v>6</v>
      </c>
      <c r="D44" s="53">
        <v>1</v>
      </c>
      <c r="E44" s="20" t="s">
        <v>220</v>
      </c>
      <c r="F44" s="20" t="s">
        <v>123</v>
      </c>
      <c r="G44" s="20" t="s">
        <v>1056</v>
      </c>
      <c r="I44" s="21"/>
    </row>
    <row r="45" spans="1:9" ht="18" customHeight="1">
      <c r="A45" s="48">
        <v>44</v>
      </c>
      <c r="B45" s="44" t="s">
        <v>814</v>
      </c>
      <c r="C45" s="53">
        <v>5</v>
      </c>
      <c r="D45" s="53">
        <v>7</v>
      </c>
      <c r="E45" s="20" t="s">
        <v>102</v>
      </c>
      <c r="F45" s="20" t="s">
        <v>135</v>
      </c>
      <c r="G45" s="20" t="s">
        <v>135</v>
      </c>
      <c r="I45" s="21"/>
    </row>
    <row r="46" spans="1:9" ht="18" customHeight="1">
      <c r="A46" s="48">
        <v>45</v>
      </c>
      <c r="B46" s="44" t="s">
        <v>759</v>
      </c>
      <c r="C46" s="53">
        <v>6</v>
      </c>
      <c r="D46" s="53"/>
      <c r="E46" s="20" t="s">
        <v>636</v>
      </c>
      <c r="F46" s="20" t="s">
        <v>815</v>
      </c>
      <c r="G46" s="20" t="s">
        <v>815</v>
      </c>
      <c r="I46" s="21"/>
    </row>
    <row r="47" spans="1:9" ht="18" customHeight="1">
      <c r="A47" s="48">
        <v>46</v>
      </c>
      <c r="B47" s="44" t="s">
        <v>814</v>
      </c>
      <c r="C47" s="53">
        <v>1</v>
      </c>
      <c r="D47" s="53">
        <v>9</v>
      </c>
      <c r="E47" s="20" t="s">
        <v>221</v>
      </c>
      <c r="F47" s="20" t="s">
        <v>137</v>
      </c>
      <c r="G47" s="20" t="s">
        <v>137</v>
      </c>
      <c r="I47" s="21"/>
    </row>
    <row r="48" spans="1:9" ht="18" customHeight="1">
      <c r="A48" s="48">
        <v>47</v>
      </c>
      <c r="B48" s="44" t="s">
        <v>814</v>
      </c>
      <c r="C48" s="53">
        <v>6</v>
      </c>
      <c r="D48" s="53">
        <v>1</v>
      </c>
      <c r="E48" s="20" t="s">
        <v>103</v>
      </c>
      <c r="F48" s="20" t="s">
        <v>140</v>
      </c>
      <c r="G48" s="20" t="s">
        <v>140</v>
      </c>
      <c r="I48" s="21"/>
    </row>
    <row r="49" spans="1:9" ht="18" customHeight="1">
      <c r="A49" s="48">
        <v>48</v>
      </c>
      <c r="B49" s="44" t="s">
        <v>814</v>
      </c>
      <c r="C49" s="53">
        <v>6</v>
      </c>
      <c r="D49" s="53">
        <v>1</v>
      </c>
      <c r="E49" s="20" t="s">
        <v>103</v>
      </c>
      <c r="F49" s="20" t="s">
        <v>141</v>
      </c>
      <c r="G49" s="20" t="s">
        <v>141</v>
      </c>
      <c r="I49" s="21"/>
    </row>
    <row r="50" spans="1:9" ht="18" customHeight="1">
      <c r="A50" s="48">
        <v>49</v>
      </c>
      <c r="B50" s="44" t="s">
        <v>759</v>
      </c>
      <c r="C50" s="53">
        <v>6</v>
      </c>
      <c r="D50" s="53"/>
      <c r="E50" s="20" t="s">
        <v>636</v>
      </c>
      <c r="F50" s="20" t="s">
        <v>815</v>
      </c>
      <c r="G50" s="20" t="s">
        <v>815</v>
      </c>
      <c r="I50" s="21"/>
    </row>
    <row r="51" spans="1:9" ht="18" customHeight="1">
      <c r="A51" s="48">
        <v>50</v>
      </c>
      <c r="B51" s="44" t="s">
        <v>814</v>
      </c>
      <c r="C51" s="53">
        <v>1</v>
      </c>
      <c r="D51" s="53">
        <v>9</v>
      </c>
      <c r="E51" s="20" t="s">
        <v>103</v>
      </c>
      <c r="F51" s="20" t="s">
        <v>142</v>
      </c>
      <c r="G51" s="20" t="s">
        <v>142</v>
      </c>
      <c r="I51" s="21"/>
    </row>
    <row r="52" spans="1:9" ht="18" customHeight="1">
      <c r="A52" s="48">
        <v>51</v>
      </c>
      <c r="B52" s="44" t="s">
        <v>759</v>
      </c>
      <c r="C52" s="53">
        <v>6</v>
      </c>
      <c r="D52" s="53"/>
      <c r="E52" s="20" t="s">
        <v>636</v>
      </c>
      <c r="F52" s="20" t="s">
        <v>815</v>
      </c>
      <c r="G52" s="20" t="s">
        <v>815</v>
      </c>
      <c r="I52" s="21"/>
    </row>
    <row r="53" spans="1:9" ht="18" customHeight="1">
      <c r="A53" s="48">
        <v>52</v>
      </c>
      <c r="B53" s="44" t="s">
        <v>814</v>
      </c>
      <c r="C53" s="53">
        <v>1</v>
      </c>
      <c r="D53" s="53">
        <v>9</v>
      </c>
      <c r="E53" s="20" t="s">
        <v>103</v>
      </c>
      <c r="F53" s="20" t="s">
        <v>143</v>
      </c>
      <c r="G53" s="20" t="s">
        <v>143</v>
      </c>
      <c r="I53" s="21"/>
    </row>
    <row r="54" spans="1:9" ht="18" customHeight="1">
      <c r="A54" s="48">
        <v>53</v>
      </c>
      <c r="B54" s="44" t="s">
        <v>768</v>
      </c>
      <c r="C54" s="53">
        <v>8</v>
      </c>
      <c r="D54" s="53">
        <v>8</v>
      </c>
      <c r="E54" s="20" t="s">
        <v>93</v>
      </c>
      <c r="F54" s="20" t="s">
        <v>83</v>
      </c>
      <c r="G54" s="20" t="s">
        <v>1057</v>
      </c>
      <c r="I54" s="21"/>
    </row>
    <row r="55" spans="1:9" ht="18" customHeight="1">
      <c r="A55" s="48">
        <v>54</v>
      </c>
      <c r="B55" s="44" t="s">
        <v>488</v>
      </c>
      <c r="C55" s="53">
        <v>1</v>
      </c>
      <c r="D55" s="53"/>
      <c r="E55" s="20" t="s">
        <v>103</v>
      </c>
      <c r="F55" s="20" t="s">
        <v>84</v>
      </c>
      <c r="G55" s="20" t="s">
        <v>1058</v>
      </c>
      <c r="I55" s="21"/>
    </row>
    <row r="56" spans="1:9" ht="18" customHeight="1">
      <c r="A56" s="48">
        <v>55</v>
      </c>
      <c r="B56" s="44" t="s">
        <v>488</v>
      </c>
      <c r="C56" s="53">
        <v>1</v>
      </c>
      <c r="D56" s="53"/>
      <c r="E56" s="20" t="s">
        <v>103</v>
      </c>
      <c r="F56" s="20" t="s">
        <v>85</v>
      </c>
      <c r="G56" s="20" t="s">
        <v>1059</v>
      </c>
      <c r="I56" s="21"/>
    </row>
    <row r="57" spans="1:9" ht="18" customHeight="1">
      <c r="A57" s="48">
        <v>56</v>
      </c>
      <c r="B57" s="44" t="s">
        <v>790</v>
      </c>
      <c r="C57" s="53">
        <v>5</v>
      </c>
      <c r="D57" s="53">
        <v>7</v>
      </c>
      <c r="E57" s="20" t="s">
        <v>102</v>
      </c>
      <c r="F57" s="20" t="s">
        <v>134</v>
      </c>
      <c r="G57" s="20" t="s">
        <v>1060</v>
      </c>
      <c r="I57" s="21"/>
    </row>
    <row r="58" spans="1:9" ht="18" customHeight="1">
      <c r="A58" s="48">
        <v>57</v>
      </c>
      <c r="B58" s="44" t="s">
        <v>790</v>
      </c>
      <c r="C58" s="53">
        <v>1</v>
      </c>
      <c r="D58" s="53">
        <v>1</v>
      </c>
      <c r="E58" s="20" t="s">
        <v>221</v>
      </c>
      <c r="F58" s="20" t="s">
        <v>136</v>
      </c>
      <c r="G58" s="20" t="s">
        <v>1061</v>
      </c>
      <c r="I58" s="21"/>
    </row>
    <row r="59" spans="1:9" ht="18" customHeight="1">
      <c r="A59" s="48">
        <v>58</v>
      </c>
      <c r="B59" s="44" t="s">
        <v>777</v>
      </c>
      <c r="C59" s="53">
        <v>6</v>
      </c>
      <c r="D59" s="53">
        <v>1</v>
      </c>
      <c r="E59" s="20" t="s">
        <v>221</v>
      </c>
      <c r="F59" s="20" t="s">
        <v>30</v>
      </c>
      <c r="G59" s="20" t="s">
        <v>1062</v>
      </c>
      <c r="I59" s="21"/>
    </row>
    <row r="60" spans="1:9" ht="18" customHeight="1">
      <c r="A60" s="48">
        <v>59</v>
      </c>
      <c r="B60" s="44" t="s">
        <v>762</v>
      </c>
      <c r="C60" s="53">
        <v>6</v>
      </c>
      <c r="D60" s="53"/>
      <c r="E60" s="20" t="s">
        <v>636</v>
      </c>
      <c r="F60" s="20" t="s">
        <v>815</v>
      </c>
      <c r="G60" s="20" t="s">
        <v>815</v>
      </c>
      <c r="I60" s="21"/>
    </row>
    <row r="61" spans="1:9" ht="18" customHeight="1">
      <c r="A61" s="48">
        <v>60</v>
      </c>
      <c r="B61" s="44" t="s">
        <v>762</v>
      </c>
      <c r="C61" s="53">
        <v>6</v>
      </c>
      <c r="D61" s="53"/>
      <c r="E61" s="20" t="s">
        <v>636</v>
      </c>
      <c r="F61" s="20" t="s">
        <v>815</v>
      </c>
      <c r="G61" s="20" t="s">
        <v>815</v>
      </c>
      <c r="I61" s="21"/>
    </row>
    <row r="62" spans="1:9" ht="18" customHeight="1">
      <c r="A62" s="48">
        <v>61</v>
      </c>
      <c r="B62" s="44" t="s">
        <v>762</v>
      </c>
      <c r="C62" s="53">
        <v>6</v>
      </c>
      <c r="D62" s="53"/>
      <c r="E62" s="20" t="s">
        <v>636</v>
      </c>
      <c r="F62" s="20" t="s">
        <v>815</v>
      </c>
      <c r="G62" s="20" t="s">
        <v>815</v>
      </c>
      <c r="I62" s="21"/>
    </row>
    <row r="63" spans="1:9" ht="18" customHeight="1">
      <c r="A63" s="48">
        <v>62</v>
      </c>
      <c r="B63" s="44" t="s">
        <v>762</v>
      </c>
      <c r="C63" s="53">
        <v>6</v>
      </c>
      <c r="D63" s="53"/>
      <c r="E63" s="20" t="s">
        <v>636</v>
      </c>
      <c r="F63" s="20" t="s">
        <v>815</v>
      </c>
      <c r="G63" s="20" t="s">
        <v>815</v>
      </c>
      <c r="I63" s="21"/>
    </row>
    <row r="64" spans="1:9" ht="18" customHeight="1">
      <c r="A64" s="48">
        <v>63</v>
      </c>
      <c r="B64" s="44" t="s">
        <v>759</v>
      </c>
      <c r="C64" s="53">
        <v>6</v>
      </c>
      <c r="D64" s="53"/>
      <c r="E64" s="20" t="s">
        <v>636</v>
      </c>
      <c r="F64" s="20" t="s">
        <v>815</v>
      </c>
      <c r="G64" s="20" t="s">
        <v>815</v>
      </c>
      <c r="I64" s="21"/>
    </row>
    <row r="65" spans="1:9" ht="18" customHeight="1">
      <c r="A65" s="48">
        <v>64</v>
      </c>
      <c r="B65" s="44" t="s">
        <v>759</v>
      </c>
      <c r="C65" s="53">
        <v>6</v>
      </c>
      <c r="D65" s="53"/>
      <c r="E65" s="20" t="s">
        <v>636</v>
      </c>
      <c r="F65" s="20" t="s">
        <v>815</v>
      </c>
      <c r="G65" s="20" t="s">
        <v>815</v>
      </c>
      <c r="I65" s="21"/>
    </row>
    <row r="66" spans="1:9" ht="18" customHeight="1">
      <c r="A66" s="48">
        <v>65</v>
      </c>
      <c r="B66" s="44" t="s">
        <v>759</v>
      </c>
      <c r="C66" s="53">
        <v>6</v>
      </c>
      <c r="D66" s="53"/>
      <c r="E66" s="20" t="s">
        <v>636</v>
      </c>
      <c r="F66" s="20" t="s">
        <v>815</v>
      </c>
      <c r="G66" s="20" t="s">
        <v>815</v>
      </c>
      <c r="I66" s="21"/>
    </row>
    <row r="67" spans="1:9" ht="18" customHeight="1">
      <c r="A67" s="48">
        <v>66</v>
      </c>
      <c r="B67" s="44" t="s">
        <v>759</v>
      </c>
      <c r="C67" s="53">
        <v>6</v>
      </c>
      <c r="D67" s="53"/>
      <c r="E67" s="20" t="s">
        <v>636</v>
      </c>
      <c r="F67" s="20" t="s">
        <v>815</v>
      </c>
      <c r="G67" s="20" t="s">
        <v>815</v>
      </c>
      <c r="I67" s="21"/>
    </row>
    <row r="68" spans="1:9" ht="18" customHeight="1">
      <c r="A68" s="48">
        <v>67</v>
      </c>
      <c r="B68" s="44" t="s">
        <v>759</v>
      </c>
      <c r="C68" s="53">
        <v>6</v>
      </c>
      <c r="D68" s="53"/>
      <c r="E68" s="20" t="s">
        <v>636</v>
      </c>
      <c r="F68" s="20" t="s">
        <v>815</v>
      </c>
      <c r="G68" s="20" t="s">
        <v>815</v>
      </c>
      <c r="I68" s="21"/>
    </row>
    <row r="69" spans="1:9" ht="18" customHeight="1">
      <c r="A69" s="48">
        <v>68</v>
      </c>
      <c r="B69" s="44" t="s">
        <v>790</v>
      </c>
      <c r="C69" s="53">
        <v>1</v>
      </c>
      <c r="D69" s="53">
        <v>9</v>
      </c>
      <c r="E69" s="20" t="s">
        <v>103</v>
      </c>
      <c r="F69" s="20" t="s">
        <v>138</v>
      </c>
      <c r="G69" s="20" t="s">
        <v>1063</v>
      </c>
      <c r="I69" s="21"/>
    </row>
    <row r="70" spans="1:9" ht="18" customHeight="1">
      <c r="A70" s="48">
        <v>69</v>
      </c>
      <c r="B70" s="44" t="s">
        <v>790</v>
      </c>
      <c r="C70" s="53">
        <v>6</v>
      </c>
      <c r="D70" s="53">
        <v>6</v>
      </c>
      <c r="E70" s="20" t="s">
        <v>103</v>
      </c>
      <c r="F70" s="20" t="s">
        <v>139</v>
      </c>
      <c r="G70" s="20" t="s">
        <v>1064</v>
      </c>
      <c r="I70" s="21"/>
    </row>
    <row r="71" spans="1:9" ht="18" customHeight="1">
      <c r="A71" s="48">
        <v>70</v>
      </c>
      <c r="B71" s="44" t="s">
        <v>819</v>
      </c>
      <c r="C71" s="53">
        <v>5</v>
      </c>
      <c r="D71" s="53"/>
      <c r="E71" s="20" t="s">
        <v>219</v>
      </c>
      <c r="F71" s="20" t="s">
        <v>132</v>
      </c>
      <c r="G71" s="20" t="s">
        <v>1065</v>
      </c>
      <c r="I71" s="21"/>
    </row>
    <row r="72" spans="1:9" ht="18" customHeight="1">
      <c r="A72" s="48">
        <v>71</v>
      </c>
      <c r="B72" s="44" t="s">
        <v>819</v>
      </c>
      <c r="C72" s="53">
        <v>6</v>
      </c>
      <c r="D72" s="53"/>
      <c r="E72" s="20" t="s">
        <v>220</v>
      </c>
      <c r="F72" s="20" t="s">
        <v>133</v>
      </c>
      <c r="G72" s="20" t="s">
        <v>1066</v>
      </c>
      <c r="I72" s="21"/>
    </row>
    <row r="73" spans="1:9" ht="18" customHeight="1">
      <c r="A73" s="48">
        <v>72</v>
      </c>
      <c r="B73" s="44" t="s">
        <v>819</v>
      </c>
      <c r="C73" s="53">
        <v>2</v>
      </c>
      <c r="D73" s="53"/>
      <c r="E73" s="20" t="s">
        <v>216</v>
      </c>
      <c r="F73" s="20" t="s">
        <v>124</v>
      </c>
      <c r="G73" s="20" t="s">
        <v>1067</v>
      </c>
      <c r="I73" s="21"/>
    </row>
    <row r="74" spans="1:9" ht="18" customHeight="1">
      <c r="A74" s="48">
        <v>73</v>
      </c>
      <c r="B74" s="44" t="s">
        <v>819</v>
      </c>
      <c r="C74" s="53">
        <v>3</v>
      </c>
      <c r="D74" s="53"/>
      <c r="E74" s="20" t="s">
        <v>217</v>
      </c>
      <c r="F74" s="20" t="s">
        <v>125</v>
      </c>
      <c r="G74" s="20" t="s">
        <v>1068</v>
      </c>
      <c r="I74" s="21"/>
    </row>
    <row r="75" spans="1:9" ht="18" customHeight="1">
      <c r="A75" s="48">
        <v>74</v>
      </c>
      <c r="B75" s="44" t="s">
        <v>819</v>
      </c>
      <c r="C75" s="53">
        <v>4</v>
      </c>
      <c r="D75" s="53"/>
      <c r="E75" s="20" t="s">
        <v>218</v>
      </c>
      <c r="F75" s="20" t="s">
        <v>126</v>
      </c>
      <c r="G75" s="20" t="s">
        <v>1069</v>
      </c>
      <c r="I75" s="21"/>
    </row>
    <row r="76" spans="1:9" ht="18" customHeight="1">
      <c r="A76" s="48">
        <v>75</v>
      </c>
      <c r="B76" s="44" t="s">
        <v>819</v>
      </c>
      <c r="C76" s="53">
        <v>5</v>
      </c>
      <c r="D76" s="53"/>
      <c r="E76" s="20" t="s">
        <v>219</v>
      </c>
      <c r="F76" s="20" t="s">
        <v>127</v>
      </c>
      <c r="G76" s="20" t="s">
        <v>1070</v>
      </c>
      <c r="I76" s="21"/>
    </row>
    <row r="77" spans="1:9" ht="18" customHeight="1">
      <c r="A77" s="48">
        <v>76</v>
      </c>
      <c r="B77" s="44" t="s">
        <v>819</v>
      </c>
      <c r="C77" s="53">
        <v>6</v>
      </c>
      <c r="D77" s="53"/>
      <c r="E77" s="20" t="s">
        <v>220</v>
      </c>
      <c r="F77" s="20" t="s">
        <v>128</v>
      </c>
      <c r="G77" s="20" t="s">
        <v>1071</v>
      </c>
      <c r="I77" s="21"/>
    </row>
    <row r="78" spans="1:9" ht="18" customHeight="1">
      <c r="A78" s="48">
        <v>77</v>
      </c>
      <c r="B78" s="44" t="s">
        <v>819</v>
      </c>
      <c r="C78" s="53">
        <v>2</v>
      </c>
      <c r="D78" s="53"/>
      <c r="E78" s="20" t="s">
        <v>216</v>
      </c>
      <c r="F78" s="20" t="s">
        <v>119</v>
      </c>
      <c r="G78" s="20" t="s">
        <v>1072</v>
      </c>
      <c r="I78" s="21"/>
    </row>
    <row r="79" spans="1:9" ht="18" customHeight="1">
      <c r="A79" s="48">
        <v>78</v>
      </c>
      <c r="B79" s="44" t="s">
        <v>819</v>
      </c>
      <c r="C79" s="53">
        <v>3</v>
      </c>
      <c r="D79" s="53"/>
      <c r="E79" s="20" t="s">
        <v>217</v>
      </c>
      <c r="F79" s="20" t="s">
        <v>120</v>
      </c>
      <c r="G79" s="20" t="s">
        <v>1073</v>
      </c>
      <c r="I79" s="21"/>
    </row>
    <row r="80" spans="1:9" ht="18" customHeight="1">
      <c r="A80" s="48">
        <v>79</v>
      </c>
      <c r="B80" s="44" t="s">
        <v>819</v>
      </c>
      <c r="C80" s="53">
        <v>4</v>
      </c>
      <c r="D80" s="53"/>
      <c r="E80" s="20" t="s">
        <v>218</v>
      </c>
      <c r="F80" s="20" t="s">
        <v>121</v>
      </c>
      <c r="G80" s="20" t="s">
        <v>1074</v>
      </c>
      <c r="I80" s="21"/>
    </row>
    <row r="81" spans="1:9" ht="18" customHeight="1">
      <c r="A81" s="48">
        <v>80</v>
      </c>
      <c r="B81" s="44" t="s">
        <v>1003</v>
      </c>
      <c r="C81" s="53">
        <v>4</v>
      </c>
      <c r="D81" s="53"/>
      <c r="E81" s="20" t="s">
        <v>218</v>
      </c>
      <c r="F81" s="20" t="s">
        <v>7</v>
      </c>
      <c r="G81" s="20" t="s">
        <v>1075</v>
      </c>
      <c r="I81" s="21"/>
    </row>
    <row r="82" spans="1:9" ht="18" customHeight="1">
      <c r="A82" s="48">
        <v>81</v>
      </c>
      <c r="B82" s="44" t="s">
        <v>1003</v>
      </c>
      <c r="C82" s="53">
        <v>3</v>
      </c>
      <c r="D82" s="53"/>
      <c r="E82" s="20" t="s">
        <v>217</v>
      </c>
      <c r="F82" s="20" t="s">
        <v>8</v>
      </c>
      <c r="G82" s="20" t="s">
        <v>1076</v>
      </c>
      <c r="I82" s="21"/>
    </row>
    <row r="83" spans="1:9" ht="18" customHeight="1">
      <c r="A83" s="48">
        <v>82</v>
      </c>
      <c r="B83" s="44" t="s">
        <v>1003</v>
      </c>
      <c r="C83" s="53">
        <v>2</v>
      </c>
      <c r="D83" s="53"/>
      <c r="E83" s="20" t="s">
        <v>216</v>
      </c>
      <c r="F83" s="20" t="s">
        <v>9</v>
      </c>
      <c r="G83" s="20" t="s">
        <v>1077</v>
      </c>
      <c r="I83" s="21"/>
    </row>
    <row r="84" spans="1:9" ht="18" customHeight="1">
      <c r="A84" s="48">
        <v>83</v>
      </c>
      <c r="B84" s="44" t="s">
        <v>1011</v>
      </c>
      <c r="C84" s="53">
        <v>2</v>
      </c>
      <c r="D84" s="53"/>
      <c r="E84" s="20" t="s">
        <v>216</v>
      </c>
      <c r="F84" s="20" t="s">
        <v>10</v>
      </c>
      <c r="G84" s="20" t="s">
        <v>1078</v>
      </c>
      <c r="I84" s="21"/>
    </row>
    <row r="85" spans="1:9" ht="18" customHeight="1">
      <c r="A85" s="48">
        <v>84</v>
      </c>
      <c r="B85" s="44" t="s">
        <v>1011</v>
      </c>
      <c r="C85" s="53">
        <v>3</v>
      </c>
      <c r="D85" s="53"/>
      <c r="E85" s="20" t="s">
        <v>217</v>
      </c>
      <c r="F85" s="20" t="s">
        <v>11</v>
      </c>
      <c r="G85" s="20" t="s">
        <v>1079</v>
      </c>
      <c r="I85" s="21"/>
    </row>
    <row r="86" spans="1:9" ht="18" customHeight="1">
      <c r="A86" s="48">
        <v>85</v>
      </c>
      <c r="B86" s="44" t="s">
        <v>1011</v>
      </c>
      <c r="C86" s="53">
        <v>4</v>
      </c>
      <c r="D86" s="53"/>
      <c r="E86" s="20" t="s">
        <v>218</v>
      </c>
      <c r="F86" s="20" t="s">
        <v>12</v>
      </c>
      <c r="G86" s="20" t="s">
        <v>1080</v>
      </c>
      <c r="I86" s="21"/>
    </row>
    <row r="87" spans="1:9" ht="18" customHeight="1">
      <c r="A87" s="48">
        <v>86</v>
      </c>
      <c r="B87" s="44" t="s">
        <v>1011</v>
      </c>
      <c r="C87" s="53">
        <v>5</v>
      </c>
      <c r="D87" s="53"/>
      <c r="E87" s="20" t="s">
        <v>219</v>
      </c>
      <c r="F87" s="20" t="s">
        <v>13</v>
      </c>
      <c r="G87" s="20" t="s">
        <v>1081</v>
      </c>
      <c r="I87" s="21"/>
    </row>
    <row r="88" spans="1:9" ht="18" customHeight="1">
      <c r="A88" s="48">
        <v>87</v>
      </c>
      <c r="B88" s="44" t="s">
        <v>1006</v>
      </c>
      <c r="C88" s="53">
        <v>2</v>
      </c>
      <c r="D88" s="53"/>
      <c r="E88" s="20" t="s">
        <v>216</v>
      </c>
      <c r="F88" s="20" t="s">
        <v>14</v>
      </c>
      <c r="G88" s="20" t="s">
        <v>1082</v>
      </c>
      <c r="I88" s="21"/>
    </row>
    <row r="89" spans="1:9" ht="18" customHeight="1">
      <c r="A89" s="48">
        <v>88</v>
      </c>
      <c r="B89" s="44" t="s">
        <v>1006</v>
      </c>
      <c r="C89" s="53">
        <v>3</v>
      </c>
      <c r="D89" s="53"/>
      <c r="E89" s="20" t="s">
        <v>217</v>
      </c>
      <c r="F89" s="20" t="s">
        <v>15</v>
      </c>
      <c r="G89" s="20" t="s">
        <v>1083</v>
      </c>
      <c r="I89" s="21"/>
    </row>
    <row r="90" spans="1:9" ht="18" customHeight="1">
      <c r="A90" s="48">
        <v>89</v>
      </c>
      <c r="B90" s="44" t="s">
        <v>1006</v>
      </c>
      <c r="C90" s="53">
        <v>4</v>
      </c>
      <c r="D90" s="53"/>
      <c r="E90" s="20" t="s">
        <v>218</v>
      </c>
      <c r="F90" s="20" t="s">
        <v>16</v>
      </c>
      <c r="G90" s="20" t="s">
        <v>1084</v>
      </c>
      <c r="I90" s="21"/>
    </row>
    <row r="91" spans="1:9" ht="18" customHeight="1">
      <c r="A91" s="48">
        <v>90</v>
      </c>
      <c r="B91" s="44" t="s">
        <v>1006</v>
      </c>
      <c r="C91" s="53">
        <v>2</v>
      </c>
      <c r="D91" s="53"/>
      <c r="E91" s="20" t="s">
        <v>216</v>
      </c>
      <c r="F91" s="20" t="s">
        <v>17</v>
      </c>
      <c r="G91" s="20" t="s">
        <v>1085</v>
      </c>
      <c r="I91" s="21"/>
    </row>
    <row r="92" spans="1:9" ht="18" customHeight="1">
      <c r="A92" s="48">
        <v>91</v>
      </c>
      <c r="B92" s="44" t="s">
        <v>1006</v>
      </c>
      <c r="C92" s="53">
        <v>3</v>
      </c>
      <c r="D92" s="53"/>
      <c r="E92" s="20" t="s">
        <v>217</v>
      </c>
      <c r="F92" s="20" t="s">
        <v>18</v>
      </c>
      <c r="G92" s="20" t="s">
        <v>1086</v>
      </c>
      <c r="I92" s="21"/>
    </row>
    <row r="93" spans="1:9" ht="18" customHeight="1">
      <c r="A93" s="48">
        <v>92</v>
      </c>
      <c r="B93" s="44" t="s">
        <v>1006</v>
      </c>
      <c r="C93" s="53">
        <v>4</v>
      </c>
      <c r="D93" s="53"/>
      <c r="E93" s="20" t="s">
        <v>218</v>
      </c>
      <c r="F93" s="20" t="s">
        <v>19</v>
      </c>
      <c r="G93" s="20" t="s">
        <v>1087</v>
      </c>
      <c r="I93" s="21"/>
    </row>
    <row r="94" spans="1:9" ht="18" customHeight="1">
      <c r="A94" s="48">
        <v>93</v>
      </c>
      <c r="B94" s="44" t="s">
        <v>1016</v>
      </c>
      <c r="C94" s="53">
        <v>6</v>
      </c>
      <c r="D94" s="53"/>
      <c r="E94" s="20" t="s">
        <v>220</v>
      </c>
      <c r="F94" s="20" t="s">
        <v>289</v>
      </c>
      <c r="G94" s="20" t="s">
        <v>1088</v>
      </c>
      <c r="I94" s="21"/>
    </row>
    <row r="95" spans="1:9" ht="18" customHeight="1">
      <c r="A95" s="48">
        <v>94</v>
      </c>
      <c r="B95" s="44" t="s">
        <v>1016</v>
      </c>
      <c r="C95" s="53">
        <v>4</v>
      </c>
      <c r="D95" s="53"/>
      <c r="E95" s="20" t="s">
        <v>218</v>
      </c>
      <c r="F95" s="20" t="s">
        <v>290</v>
      </c>
      <c r="G95" s="20" t="s">
        <v>1089</v>
      </c>
      <c r="I95" s="21"/>
    </row>
    <row r="96" spans="1:9" ht="18" customHeight="1">
      <c r="A96" s="48">
        <v>95</v>
      </c>
      <c r="B96" s="44" t="s">
        <v>1016</v>
      </c>
      <c r="C96" s="53">
        <v>3</v>
      </c>
      <c r="D96" s="53"/>
      <c r="E96" s="20" t="s">
        <v>217</v>
      </c>
      <c r="F96" s="20" t="s">
        <v>291</v>
      </c>
      <c r="G96" s="20" t="s">
        <v>1090</v>
      </c>
      <c r="I96" s="21"/>
    </row>
    <row r="97" spans="1:9" ht="18" customHeight="1">
      <c r="A97" s="48">
        <v>96</v>
      </c>
      <c r="B97" s="44" t="s">
        <v>1016</v>
      </c>
      <c r="C97" s="53">
        <v>2</v>
      </c>
      <c r="D97" s="53"/>
      <c r="E97" s="20" t="s">
        <v>216</v>
      </c>
      <c r="F97" s="20" t="s">
        <v>292</v>
      </c>
      <c r="G97" s="20" t="s">
        <v>1091</v>
      </c>
      <c r="I97" s="21"/>
    </row>
    <row r="98" spans="1:9" ht="18" customHeight="1">
      <c r="A98" s="48">
        <v>97</v>
      </c>
      <c r="B98" s="44" t="s">
        <v>1003</v>
      </c>
      <c r="C98" s="53">
        <v>2</v>
      </c>
      <c r="D98" s="53"/>
      <c r="E98" s="20" t="s">
        <v>216</v>
      </c>
      <c r="F98" s="20" t="s">
        <v>21</v>
      </c>
      <c r="G98" s="20" t="s">
        <v>1092</v>
      </c>
      <c r="I98" s="21"/>
    </row>
    <row r="99" spans="1:9" ht="18" customHeight="1">
      <c r="A99" s="48">
        <v>98</v>
      </c>
      <c r="B99" s="44" t="s">
        <v>1003</v>
      </c>
      <c r="C99" s="53">
        <v>3</v>
      </c>
      <c r="D99" s="53"/>
      <c r="E99" s="20" t="s">
        <v>217</v>
      </c>
      <c r="F99" s="20" t="s">
        <v>22</v>
      </c>
      <c r="G99" s="20" t="s">
        <v>1093</v>
      </c>
      <c r="I99" s="21"/>
    </row>
    <row r="100" spans="1:9" ht="18" customHeight="1">
      <c r="A100" s="48">
        <v>99</v>
      </c>
      <c r="B100" s="44" t="s">
        <v>1003</v>
      </c>
      <c r="C100" s="53">
        <v>4</v>
      </c>
      <c r="D100" s="53"/>
      <c r="E100" s="20" t="s">
        <v>218</v>
      </c>
      <c r="F100" s="20" t="s">
        <v>23</v>
      </c>
      <c r="G100" s="20" t="s">
        <v>1094</v>
      </c>
      <c r="I100" s="21"/>
    </row>
    <row r="101" spans="1:9" ht="18" customHeight="1">
      <c r="A101" s="48">
        <v>100</v>
      </c>
      <c r="B101" s="44" t="s">
        <v>1003</v>
      </c>
      <c r="C101" s="53">
        <v>2</v>
      </c>
      <c r="D101" s="53"/>
      <c r="E101" s="20" t="s">
        <v>216</v>
      </c>
      <c r="F101" s="20" t="s">
        <v>24</v>
      </c>
      <c r="G101" s="20" t="s">
        <v>1095</v>
      </c>
      <c r="I101" s="21"/>
    </row>
    <row r="102" spans="1:9" ht="18" customHeight="1">
      <c r="A102" s="48">
        <v>101</v>
      </c>
      <c r="B102" s="44" t="s">
        <v>1003</v>
      </c>
      <c r="C102" s="53">
        <v>3</v>
      </c>
      <c r="D102" s="53"/>
      <c r="E102" s="20" t="s">
        <v>217</v>
      </c>
      <c r="F102" s="20" t="s">
        <v>25</v>
      </c>
      <c r="G102" s="20" t="s">
        <v>1096</v>
      </c>
      <c r="I102" s="21"/>
    </row>
    <row r="103" spans="1:9" ht="18" customHeight="1">
      <c r="A103" s="48">
        <v>102</v>
      </c>
      <c r="B103" s="44" t="s">
        <v>1003</v>
      </c>
      <c r="C103" s="53">
        <v>4</v>
      </c>
      <c r="D103" s="53"/>
      <c r="E103" s="20" t="s">
        <v>218</v>
      </c>
      <c r="F103" s="20" t="s">
        <v>26</v>
      </c>
      <c r="G103" s="20" t="s">
        <v>1097</v>
      </c>
      <c r="I103" s="21"/>
    </row>
    <row r="104" spans="1:9" ht="18" customHeight="1">
      <c r="A104" s="48">
        <v>103</v>
      </c>
      <c r="B104" s="44" t="s">
        <v>773</v>
      </c>
      <c r="C104" s="53">
        <v>2</v>
      </c>
      <c r="D104" s="53"/>
      <c r="E104" s="20" t="s">
        <v>216</v>
      </c>
      <c r="F104" s="20" t="s">
        <v>58</v>
      </c>
      <c r="G104" s="20" t="s">
        <v>1098</v>
      </c>
      <c r="I104" s="21"/>
    </row>
    <row r="105" spans="1:9" ht="18" customHeight="1">
      <c r="A105" s="48">
        <v>104</v>
      </c>
      <c r="B105" s="44" t="s">
        <v>773</v>
      </c>
      <c r="C105" s="53">
        <v>3</v>
      </c>
      <c r="D105" s="53"/>
      <c r="E105" s="20" t="s">
        <v>217</v>
      </c>
      <c r="F105" s="20" t="s">
        <v>59</v>
      </c>
      <c r="G105" s="20" t="s">
        <v>1099</v>
      </c>
      <c r="I105" s="21"/>
    </row>
    <row r="106" spans="1:9" ht="18" customHeight="1">
      <c r="A106" s="48">
        <v>105</v>
      </c>
      <c r="B106" s="44" t="s">
        <v>773</v>
      </c>
      <c r="C106" s="53">
        <v>4</v>
      </c>
      <c r="D106" s="53"/>
      <c r="E106" s="20" t="s">
        <v>218</v>
      </c>
      <c r="F106" s="20" t="s">
        <v>60</v>
      </c>
      <c r="G106" s="20" t="s">
        <v>1100</v>
      </c>
      <c r="I106" s="21"/>
    </row>
    <row r="107" spans="1:9" ht="18" customHeight="1">
      <c r="A107" s="48">
        <v>106</v>
      </c>
      <c r="B107" s="44" t="s">
        <v>773</v>
      </c>
      <c r="C107" s="53">
        <v>5</v>
      </c>
      <c r="D107" s="53"/>
      <c r="E107" s="20" t="s">
        <v>219</v>
      </c>
      <c r="F107" s="20" t="s">
        <v>61</v>
      </c>
      <c r="G107" s="20" t="s">
        <v>1101</v>
      </c>
      <c r="I107" s="21"/>
    </row>
    <row r="108" spans="1:9" ht="18" customHeight="1">
      <c r="A108" s="48">
        <v>107</v>
      </c>
      <c r="B108" s="44" t="s">
        <v>773</v>
      </c>
      <c r="C108" s="53">
        <v>5</v>
      </c>
      <c r="D108" s="53"/>
      <c r="E108" s="20" t="s">
        <v>102</v>
      </c>
      <c r="F108" s="20" t="s">
        <v>62</v>
      </c>
      <c r="G108" s="20" t="s">
        <v>1102</v>
      </c>
      <c r="I108" s="21"/>
    </row>
    <row r="109" spans="1:9" ht="18" customHeight="1">
      <c r="A109" s="48">
        <v>108</v>
      </c>
      <c r="B109" s="44" t="s">
        <v>773</v>
      </c>
      <c r="C109" s="53">
        <v>5</v>
      </c>
      <c r="D109" s="53"/>
      <c r="E109" s="20" t="s">
        <v>102</v>
      </c>
      <c r="F109" s="20" t="s">
        <v>63</v>
      </c>
      <c r="G109" s="20" t="s">
        <v>1103</v>
      </c>
      <c r="I109" s="21"/>
    </row>
    <row r="110" spans="1:9" ht="18" customHeight="1">
      <c r="A110" s="48">
        <v>109</v>
      </c>
      <c r="B110" s="44" t="s">
        <v>773</v>
      </c>
      <c r="C110" s="53">
        <v>7</v>
      </c>
      <c r="D110" s="53"/>
      <c r="E110" s="20" t="s">
        <v>102</v>
      </c>
      <c r="F110" s="20" t="s">
        <v>64</v>
      </c>
      <c r="G110" s="20" t="s">
        <v>1104</v>
      </c>
      <c r="I110" s="21"/>
    </row>
    <row r="111" spans="1:9" ht="18" customHeight="1">
      <c r="A111" s="48">
        <v>110</v>
      </c>
      <c r="B111" s="44" t="s">
        <v>773</v>
      </c>
      <c r="C111" s="53">
        <v>1</v>
      </c>
      <c r="D111" s="53"/>
      <c r="E111" s="20" t="s">
        <v>221</v>
      </c>
      <c r="F111" s="20" t="s">
        <v>65</v>
      </c>
      <c r="G111" s="20" t="s">
        <v>1105</v>
      </c>
      <c r="I111" s="21"/>
    </row>
    <row r="112" spans="1:9" ht="18" customHeight="1">
      <c r="A112" s="48">
        <v>111</v>
      </c>
      <c r="B112" s="44" t="s">
        <v>773</v>
      </c>
      <c r="C112" s="53">
        <v>6</v>
      </c>
      <c r="D112" s="53"/>
      <c r="E112" s="20" t="s">
        <v>221</v>
      </c>
      <c r="F112" s="20" t="s">
        <v>66</v>
      </c>
      <c r="G112" s="20" t="s">
        <v>1106</v>
      </c>
      <c r="I112" s="21"/>
    </row>
    <row r="113" spans="1:9" ht="18" customHeight="1">
      <c r="A113" s="48">
        <v>112</v>
      </c>
      <c r="B113" s="44" t="s">
        <v>773</v>
      </c>
      <c r="C113" s="53">
        <v>1</v>
      </c>
      <c r="D113" s="53"/>
      <c r="E113" s="20" t="s">
        <v>221</v>
      </c>
      <c r="F113" s="20" t="s">
        <v>67</v>
      </c>
      <c r="G113" s="20" t="s">
        <v>1107</v>
      </c>
      <c r="I113" s="21"/>
    </row>
    <row r="114" spans="1:9" ht="18" customHeight="1">
      <c r="A114" s="48">
        <v>113</v>
      </c>
      <c r="B114" s="44" t="s">
        <v>773</v>
      </c>
      <c r="C114" s="53">
        <v>1</v>
      </c>
      <c r="D114" s="53"/>
      <c r="E114" s="20" t="s">
        <v>221</v>
      </c>
      <c r="F114" s="20" t="s">
        <v>68</v>
      </c>
      <c r="G114" s="20" t="s">
        <v>1108</v>
      </c>
      <c r="I114" s="21"/>
    </row>
    <row r="115" spans="1:9" ht="18" customHeight="1">
      <c r="A115" s="48">
        <v>114</v>
      </c>
      <c r="B115" s="44" t="s">
        <v>773</v>
      </c>
      <c r="C115" s="53">
        <v>2</v>
      </c>
      <c r="D115" s="53"/>
      <c r="E115" s="20" t="s">
        <v>216</v>
      </c>
      <c r="F115" s="20" t="s">
        <v>323</v>
      </c>
      <c r="G115" s="20" t="s">
        <v>1109</v>
      </c>
      <c r="I115" s="21"/>
    </row>
    <row r="116" spans="1:9" ht="18" customHeight="1">
      <c r="A116" s="48">
        <v>115</v>
      </c>
      <c r="B116" s="44" t="s">
        <v>773</v>
      </c>
      <c r="C116" s="53">
        <v>3</v>
      </c>
      <c r="D116" s="53"/>
      <c r="E116" s="20" t="s">
        <v>217</v>
      </c>
      <c r="F116" s="20" t="s">
        <v>324</v>
      </c>
      <c r="G116" s="20" t="s">
        <v>1110</v>
      </c>
      <c r="I116" s="21"/>
    </row>
    <row r="117" spans="1:9" ht="18" customHeight="1">
      <c r="A117" s="48">
        <v>116</v>
      </c>
      <c r="B117" s="44" t="s">
        <v>773</v>
      </c>
      <c r="C117" s="53">
        <v>4</v>
      </c>
      <c r="D117" s="53"/>
      <c r="E117" s="20" t="s">
        <v>218</v>
      </c>
      <c r="F117" s="20" t="s">
        <v>325</v>
      </c>
      <c r="G117" s="20" t="s">
        <v>1111</v>
      </c>
      <c r="I117" s="21"/>
    </row>
    <row r="118" spans="1:9" ht="18" customHeight="1">
      <c r="A118" s="48">
        <v>117</v>
      </c>
      <c r="B118" s="44" t="s">
        <v>773</v>
      </c>
      <c r="C118" s="53">
        <v>5</v>
      </c>
      <c r="D118" s="53"/>
      <c r="E118" s="20" t="s">
        <v>219</v>
      </c>
      <c r="F118" s="20" t="s">
        <v>71</v>
      </c>
      <c r="G118" s="20" t="s">
        <v>1112</v>
      </c>
      <c r="I118" s="21"/>
    </row>
    <row r="119" spans="1:9" ht="18" customHeight="1">
      <c r="A119" s="48">
        <v>118</v>
      </c>
      <c r="B119" s="44" t="s">
        <v>773</v>
      </c>
      <c r="C119" s="53">
        <v>6</v>
      </c>
      <c r="D119" s="53"/>
      <c r="E119" s="20" t="s">
        <v>220</v>
      </c>
      <c r="F119" s="20" t="s">
        <v>320</v>
      </c>
      <c r="G119" s="20" t="s">
        <v>1113</v>
      </c>
      <c r="I119" s="21"/>
    </row>
    <row r="120" spans="1:9" ht="18" customHeight="1">
      <c r="A120" s="48">
        <v>119</v>
      </c>
      <c r="B120" s="44" t="s">
        <v>773</v>
      </c>
      <c r="C120" s="53">
        <v>1</v>
      </c>
      <c r="D120" s="53"/>
      <c r="E120" s="20" t="s">
        <v>103</v>
      </c>
      <c r="F120" s="20" t="s">
        <v>72</v>
      </c>
      <c r="G120" s="20" t="s">
        <v>1114</v>
      </c>
      <c r="I120" s="21"/>
    </row>
    <row r="121" spans="1:9" ht="18" customHeight="1">
      <c r="A121" s="48">
        <v>120</v>
      </c>
      <c r="B121" s="44" t="s">
        <v>773</v>
      </c>
      <c r="C121" s="53">
        <v>1</v>
      </c>
      <c r="D121" s="53"/>
      <c r="E121" s="20" t="s">
        <v>103</v>
      </c>
      <c r="F121" s="20" t="s">
        <v>73</v>
      </c>
      <c r="G121" s="20" t="s">
        <v>1115</v>
      </c>
      <c r="I121" s="21"/>
    </row>
    <row r="122" spans="1:9" ht="18" customHeight="1">
      <c r="A122" s="48">
        <v>121</v>
      </c>
      <c r="B122" s="44" t="s">
        <v>773</v>
      </c>
      <c r="C122" s="53">
        <v>1</v>
      </c>
      <c r="D122" s="53"/>
      <c r="E122" s="20" t="s">
        <v>103</v>
      </c>
      <c r="F122" s="20" t="s">
        <v>312</v>
      </c>
      <c r="G122" s="20" t="s">
        <v>1116</v>
      </c>
      <c r="I122" s="21"/>
    </row>
    <row r="123" spans="1:9" ht="18" customHeight="1">
      <c r="A123" s="48">
        <v>122</v>
      </c>
      <c r="B123" s="44" t="s">
        <v>773</v>
      </c>
      <c r="C123" s="53">
        <v>1</v>
      </c>
      <c r="D123" s="53"/>
      <c r="E123" s="20" t="s">
        <v>103</v>
      </c>
      <c r="F123" s="20" t="s">
        <v>319</v>
      </c>
      <c r="G123" s="20" t="s">
        <v>1117</v>
      </c>
      <c r="I123" s="21"/>
    </row>
    <row r="124" spans="1:9" ht="18" customHeight="1">
      <c r="A124" s="48">
        <v>123</v>
      </c>
      <c r="B124" s="44" t="s">
        <v>773</v>
      </c>
      <c r="C124" s="53">
        <v>6</v>
      </c>
      <c r="D124" s="53"/>
      <c r="E124" s="20" t="s">
        <v>103</v>
      </c>
      <c r="F124" s="20" t="s">
        <v>313</v>
      </c>
      <c r="G124" s="20" t="s">
        <v>1118</v>
      </c>
      <c r="I124" s="21"/>
    </row>
    <row r="125" spans="1:9" ht="18" customHeight="1">
      <c r="A125" s="48">
        <v>124</v>
      </c>
      <c r="B125" s="44" t="s">
        <v>773</v>
      </c>
      <c r="C125" s="53">
        <v>6</v>
      </c>
      <c r="D125" s="53"/>
      <c r="E125" s="20" t="s">
        <v>103</v>
      </c>
      <c r="F125" s="20" t="s">
        <v>318</v>
      </c>
      <c r="G125" s="20" t="s">
        <v>1119</v>
      </c>
      <c r="I125" s="21"/>
    </row>
    <row r="126" spans="1:9" ht="18" customHeight="1">
      <c r="A126" s="48">
        <v>125</v>
      </c>
      <c r="B126" s="44" t="s">
        <v>773</v>
      </c>
      <c r="C126" s="53">
        <v>6</v>
      </c>
      <c r="D126" s="53"/>
      <c r="E126" s="20" t="s">
        <v>103</v>
      </c>
      <c r="F126" s="20" t="s">
        <v>74</v>
      </c>
      <c r="G126" s="20" t="s">
        <v>1120</v>
      </c>
      <c r="I126" s="21"/>
    </row>
    <row r="127" spans="1:9" ht="18" customHeight="1">
      <c r="A127" s="48">
        <v>126</v>
      </c>
      <c r="B127" s="44" t="s">
        <v>773</v>
      </c>
      <c r="C127" s="53">
        <v>6</v>
      </c>
      <c r="D127" s="53"/>
      <c r="E127" s="20" t="s">
        <v>103</v>
      </c>
      <c r="F127" s="20" t="s">
        <v>75</v>
      </c>
      <c r="G127" s="20" t="s">
        <v>1121</v>
      </c>
      <c r="I127" s="21"/>
    </row>
    <row r="128" spans="1:9" ht="18" customHeight="1">
      <c r="A128" s="48">
        <v>127</v>
      </c>
      <c r="B128" s="44" t="s">
        <v>773</v>
      </c>
      <c r="C128" s="53">
        <v>6</v>
      </c>
      <c r="D128" s="53"/>
      <c r="E128" s="20" t="s">
        <v>103</v>
      </c>
      <c r="F128" s="20" t="s">
        <v>314</v>
      </c>
      <c r="G128" s="20" t="s">
        <v>1122</v>
      </c>
      <c r="I128" s="21"/>
    </row>
    <row r="129" spans="1:9" ht="18" customHeight="1">
      <c r="A129" s="48">
        <v>128</v>
      </c>
      <c r="B129" s="44" t="s">
        <v>773</v>
      </c>
      <c r="C129" s="53">
        <v>6</v>
      </c>
      <c r="D129" s="53"/>
      <c r="E129" s="20" t="s">
        <v>103</v>
      </c>
      <c r="F129" s="20" t="s">
        <v>317</v>
      </c>
      <c r="G129" s="20" t="s">
        <v>1123</v>
      </c>
      <c r="I129" s="21"/>
    </row>
    <row r="130" spans="1:9" ht="18" customHeight="1">
      <c r="A130" s="48">
        <v>129</v>
      </c>
      <c r="B130" s="44" t="s">
        <v>773</v>
      </c>
      <c r="C130" s="53">
        <v>6</v>
      </c>
      <c r="D130" s="53"/>
      <c r="E130" s="20" t="s">
        <v>103</v>
      </c>
      <c r="F130" s="20" t="s">
        <v>315</v>
      </c>
      <c r="G130" s="20" t="s">
        <v>1124</v>
      </c>
      <c r="I130" s="21"/>
    </row>
    <row r="131" spans="1:9" ht="18" customHeight="1">
      <c r="A131" s="48">
        <v>130</v>
      </c>
      <c r="B131" s="44" t="s">
        <v>773</v>
      </c>
      <c r="C131" s="53">
        <v>6</v>
      </c>
      <c r="D131" s="53"/>
      <c r="E131" s="20" t="s">
        <v>103</v>
      </c>
      <c r="F131" s="20" t="s">
        <v>316</v>
      </c>
      <c r="G131" s="20" t="s">
        <v>1125</v>
      </c>
      <c r="I131" s="21"/>
    </row>
    <row r="132" spans="1:9" ht="18" customHeight="1">
      <c r="A132" s="48">
        <v>131</v>
      </c>
      <c r="B132" s="44" t="s">
        <v>773</v>
      </c>
      <c r="C132" s="53">
        <v>1</v>
      </c>
      <c r="D132" s="53"/>
      <c r="E132" s="20" t="s">
        <v>103</v>
      </c>
      <c r="F132" s="20" t="s">
        <v>750</v>
      </c>
      <c r="G132" s="20" t="s">
        <v>1126</v>
      </c>
      <c r="I132" s="21"/>
    </row>
    <row r="133" spans="1:9" ht="18" customHeight="1">
      <c r="A133" s="48">
        <v>132</v>
      </c>
      <c r="B133" s="44" t="s">
        <v>769</v>
      </c>
      <c r="C133" s="53">
        <v>2</v>
      </c>
      <c r="D133" s="53"/>
      <c r="E133" s="20" t="s">
        <v>216</v>
      </c>
      <c r="F133" s="20" t="s">
        <v>76</v>
      </c>
      <c r="G133" s="20" t="s">
        <v>1127</v>
      </c>
      <c r="I133" s="21"/>
    </row>
    <row r="134" spans="1:9" ht="18" customHeight="1">
      <c r="A134" s="48">
        <v>133</v>
      </c>
      <c r="B134" s="44" t="s">
        <v>769</v>
      </c>
      <c r="C134" s="53">
        <v>3</v>
      </c>
      <c r="D134" s="53"/>
      <c r="E134" s="20" t="s">
        <v>217</v>
      </c>
      <c r="F134" s="20" t="s">
        <v>77</v>
      </c>
      <c r="G134" s="20" t="s">
        <v>1128</v>
      </c>
      <c r="I134" s="21"/>
    </row>
    <row r="135" spans="1:9" ht="18" customHeight="1">
      <c r="A135" s="48">
        <v>134</v>
      </c>
      <c r="B135" s="44" t="s">
        <v>769</v>
      </c>
      <c r="C135" s="53">
        <v>4</v>
      </c>
      <c r="D135" s="53"/>
      <c r="E135" s="20" t="s">
        <v>218</v>
      </c>
      <c r="F135" s="20" t="s">
        <v>78</v>
      </c>
      <c r="G135" s="20" t="s">
        <v>1129</v>
      </c>
      <c r="I135" s="21"/>
    </row>
    <row r="136" spans="1:9" ht="18" customHeight="1">
      <c r="A136" s="48">
        <v>135</v>
      </c>
      <c r="B136" s="44" t="s">
        <v>769</v>
      </c>
      <c r="C136" s="53">
        <v>5</v>
      </c>
      <c r="D136" s="53"/>
      <c r="E136" s="20" t="s">
        <v>219</v>
      </c>
      <c r="F136" s="20" t="s">
        <v>79</v>
      </c>
      <c r="G136" s="20" t="s">
        <v>1130</v>
      </c>
      <c r="I136" s="21"/>
    </row>
    <row r="137" spans="1:9" ht="18" customHeight="1">
      <c r="A137" s="48">
        <v>136</v>
      </c>
      <c r="B137" s="44" t="s">
        <v>769</v>
      </c>
      <c r="C137" s="53">
        <v>6</v>
      </c>
      <c r="D137" s="53"/>
      <c r="E137" s="20" t="s">
        <v>220</v>
      </c>
      <c r="F137" s="20" t="s">
        <v>80</v>
      </c>
      <c r="G137" s="20" t="s">
        <v>1131</v>
      </c>
      <c r="I137" s="21"/>
    </row>
    <row r="138" spans="1:9" ht="18" customHeight="1">
      <c r="A138" s="48">
        <v>137</v>
      </c>
      <c r="B138" s="44" t="s">
        <v>769</v>
      </c>
      <c r="C138" s="53">
        <v>1</v>
      </c>
      <c r="D138" s="53"/>
      <c r="E138" s="20" t="s">
        <v>103</v>
      </c>
      <c r="F138" s="20" t="s">
        <v>81</v>
      </c>
      <c r="G138" s="20" t="s">
        <v>1132</v>
      </c>
      <c r="I138" s="21"/>
    </row>
    <row r="139" spans="1:9" ht="18" customHeight="1">
      <c r="A139" s="48">
        <v>138</v>
      </c>
      <c r="B139" s="44" t="s">
        <v>769</v>
      </c>
      <c r="C139" s="53">
        <v>1</v>
      </c>
      <c r="D139" s="53"/>
      <c r="E139" s="20" t="s">
        <v>103</v>
      </c>
      <c r="F139" s="20" t="s">
        <v>82</v>
      </c>
      <c r="G139" s="20" t="s">
        <v>1133</v>
      </c>
      <c r="I139" s="21"/>
    </row>
    <row r="140" spans="1:9" ht="18" customHeight="1">
      <c r="A140" s="48">
        <v>139</v>
      </c>
      <c r="B140" s="44" t="s">
        <v>832</v>
      </c>
      <c r="C140" s="53">
        <v>2</v>
      </c>
      <c r="D140" s="53"/>
      <c r="E140" s="20" t="s">
        <v>216</v>
      </c>
      <c r="F140" s="20" t="s">
        <v>86</v>
      </c>
      <c r="G140" s="20" t="s">
        <v>1134</v>
      </c>
      <c r="I140" s="21"/>
    </row>
    <row r="141" spans="1:9" ht="18" customHeight="1">
      <c r="A141" s="48">
        <v>140</v>
      </c>
      <c r="B141" s="44" t="s">
        <v>832</v>
      </c>
      <c r="C141" s="53">
        <v>3</v>
      </c>
      <c r="D141" s="53"/>
      <c r="E141" s="20" t="s">
        <v>217</v>
      </c>
      <c r="F141" s="20" t="s">
        <v>69</v>
      </c>
      <c r="G141" s="20" t="s">
        <v>1135</v>
      </c>
      <c r="I141" s="21"/>
    </row>
    <row r="142" spans="1:9" ht="18" customHeight="1">
      <c r="A142" s="48">
        <v>141</v>
      </c>
      <c r="B142" s="44" t="s">
        <v>832</v>
      </c>
      <c r="C142" s="53">
        <v>4</v>
      </c>
      <c r="D142" s="53"/>
      <c r="E142" s="20" t="s">
        <v>218</v>
      </c>
      <c r="F142" s="20" t="s">
        <v>70</v>
      </c>
      <c r="G142" s="20" t="s">
        <v>1136</v>
      </c>
      <c r="I142" s="21"/>
    </row>
    <row r="143" spans="1:9" ht="18" customHeight="1">
      <c r="A143" s="48">
        <v>142</v>
      </c>
      <c r="B143" s="44" t="s">
        <v>832</v>
      </c>
      <c r="C143" s="53">
        <v>5</v>
      </c>
      <c r="D143" s="53"/>
      <c r="E143" s="20" t="s">
        <v>219</v>
      </c>
      <c r="F143" s="20" t="s">
        <v>87</v>
      </c>
      <c r="G143" s="20" t="s">
        <v>1137</v>
      </c>
      <c r="I143" s="21"/>
    </row>
    <row r="144" spans="1:9" ht="18" customHeight="1">
      <c r="A144" s="48">
        <v>143</v>
      </c>
      <c r="B144" s="44" t="s">
        <v>832</v>
      </c>
      <c r="C144" s="53">
        <v>2</v>
      </c>
      <c r="D144" s="53"/>
      <c r="E144" s="20" t="s">
        <v>216</v>
      </c>
      <c r="F144" s="20" t="s">
        <v>88</v>
      </c>
      <c r="G144" s="20" t="s">
        <v>1138</v>
      </c>
      <c r="I144" s="21"/>
    </row>
    <row r="145" spans="1:9" ht="18" customHeight="1">
      <c r="A145" s="48">
        <v>144</v>
      </c>
      <c r="B145" s="44" t="s">
        <v>832</v>
      </c>
      <c r="C145" s="53">
        <v>3</v>
      </c>
      <c r="D145" s="53"/>
      <c r="E145" s="20" t="s">
        <v>217</v>
      </c>
      <c r="F145" s="20" t="s">
        <v>89</v>
      </c>
      <c r="G145" s="20" t="s">
        <v>1139</v>
      </c>
      <c r="I145" s="21"/>
    </row>
    <row r="146" spans="1:9" ht="18" customHeight="1">
      <c r="A146" s="48">
        <v>145</v>
      </c>
      <c r="B146" s="44" t="s">
        <v>832</v>
      </c>
      <c r="C146" s="53">
        <v>4</v>
      </c>
      <c r="D146" s="53"/>
      <c r="E146" s="20" t="s">
        <v>218</v>
      </c>
      <c r="F146" s="20" t="s">
        <v>90</v>
      </c>
      <c r="G146" s="20" t="s">
        <v>1140</v>
      </c>
      <c r="I146" s="21"/>
    </row>
    <row r="147" spans="1:9" ht="18" customHeight="1">
      <c r="A147" s="48">
        <v>146</v>
      </c>
      <c r="B147" s="44" t="s">
        <v>832</v>
      </c>
      <c r="C147" s="53">
        <v>5</v>
      </c>
      <c r="D147" s="53"/>
      <c r="E147" s="20" t="s">
        <v>219</v>
      </c>
      <c r="F147" s="20" t="s">
        <v>91</v>
      </c>
      <c r="G147" s="20" t="s">
        <v>1141</v>
      </c>
      <c r="I147" s="21"/>
    </row>
    <row r="148" spans="1:9" ht="18" customHeight="1">
      <c r="A148" s="48">
        <v>147</v>
      </c>
      <c r="B148" s="44" t="s">
        <v>832</v>
      </c>
      <c r="C148" s="53">
        <v>2</v>
      </c>
      <c r="D148" s="53"/>
      <c r="E148" s="20" t="s">
        <v>216</v>
      </c>
      <c r="F148" s="20" t="s">
        <v>92</v>
      </c>
      <c r="G148" s="20" t="s">
        <v>1142</v>
      </c>
      <c r="I148" s="21"/>
    </row>
    <row r="149" spans="1:9" ht="18" customHeight="1">
      <c r="A149" s="48">
        <v>148</v>
      </c>
      <c r="B149" s="44" t="s">
        <v>832</v>
      </c>
      <c r="C149" s="53">
        <v>3</v>
      </c>
      <c r="D149" s="53"/>
      <c r="E149" s="20" t="s">
        <v>217</v>
      </c>
      <c r="F149" s="20" t="s">
        <v>93</v>
      </c>
      <c r="G149" s="20" t="s">
        <v>1143</v>
      </c>
      <c r="I149" s="21"/>
    </row>
    <row r="150" spans="1:9" ht="18" customHeight="1">
      <c r="A150" s="48">
        <v>149</v>
      </c>
      <c r="B150" s="44" t="s">
        <v>832</v>
      </c>
      <c r="C150" s="53">
        <v>4</v>
      </c>
      <c r="D150" s="53"/>
      <c r="E150" s="20" t="s">
        <v>218</v>
      </c>
      <c r="F150" s="20" t="s">
        <v>94</v>
      </c>
      <c r="G150" s="20" t="s">
        <v>1144</v>
      </c>
      <c r="I150" s="21"/>
    </row>
    <row r="151" spans="1:9" ht="18" customHeight="1">
      <c r="A151" s="48">
        <v>150</v>
      </c>
      <c r="B151" s="44" t="s">
        <v>832</v>
      </c>
      <c r="C151" s="53">
        <v>6</v>
      </c>
      <c r="D151" s="53"/>
      <c r="E151" s="20" t="s">
        <v>220</v>
      </c>
      <c r="F151" s="20" t="s">
        <v>95</v>
      </c>
      <c r="G151" s="20" t="s">
        <v>1145</v>
      </c>
      <c r="I151" s="21"/>
    </row>
    <row r="152" spans="1:9" ht="18" customHeight="1">
      <c r="A152" s="48">
        <v>151</v>
      </c>
      <c r="B152" s="44" t="s">
        <v>832</v>
      </c>
      <c r="C152" s="53">
        <v>2</v>
      </c>
      <c r="D152" s="53"/>
      <c r="E152" s="20" t="s">
        <v>216</v>
      </c>
      <c r="F152" s="20" t="s">
        <v>96</v>
      </c>
      <c r="G152" s="20" t="s">
        <v>1146</v>
      </c>
      <c r="I152" s="21"/>
    </row>
    <row r="153" spans="1:9" ht="18" customHeight="1">
      <c r="A153" s="48">
        <v>152</v>
      </c>
      <c r="B153" s="44" t="s">
        <v>832</v>
      </c>
      <c r="C153" s="53">
        <v>3</v>
      </c>
      <c r="D153" s="53"/>
      <c r="E153" s="20" t="s">
        <v>217</v>
      </c>
      <c r="F153" s="20" t="s">
        <v>97</v>
      </c>
      <c r="G153" s="20" t="s">
        <v>1147</v>
      </c>
      <c r="I153" s="21"/>
    </row>
    <row r="154" spans="1:9" ht="18" customHeight="1">
      <c r="A154" s="48">
        <v>153</v>
      </c>
      <c r="B154" s="44" t="s">
        <v>832</v>
      </c>
      <c r="C154" s="53">
        <v>4</v>
      </c>
      <c r="D154" s="53"/>
      <c r="E154" s="20" t="s">
        <v>218</v>
      </c>
      <c r="F154" s="20" t="s">
        <v>98</v>
      </c>
      <c r="G154" s="20" t="s">
        <v>1148</v>
      </c>
      <c r="I154" s="21"/>
    </row>
    <row r="155" spans="1:9" ht="18" customHeight="1">
      <c r="A155" s="48">
        <v>154</v>
      </c>
      <c r="B155" s="44" t="s">
        <v>832</v>
      </c>
      <c r="C155" s="53">
        <v>5</v>
      </c>
      <c r="D155" s="53"/>
      <c r="E155" s="20" t="s">
        <v>219</v>
      </c>
      <c r="F155" s="20" t="s">
        <v>99</v>
      </c>
      <c r="G155" s="20" t="s">
        <v>1149</v>
      </c>
      <c r="I155" s="21"/>
    </row>
    <row r="156" spans="1:9" ht="18" customHeight="1">
      <c r="A156" s="48">
        <v>155</v>
      </c>
      <c r="B156" s="44" t="s">
        <v>832</v>
      </c>
      <c r="C156" s="53">
        <v>5</v>
      </c>
      <c r="D156" s="53"/>
      <c r="E156" s="20" t="s">
        <v>219</v>
      </c>
      <c r="F156" s="20" t="s">
        <v>100</v>
      </c>
      <c r="G156" s="20" t="s">
        <v>1150</v>
      </c>
      <c r="I156" s="21"/>
    </row>
    <row r="157" spans="1:9" ht="18" customHeight="1">
      <c r="A157" s="48">
        <v>156</v>
      </c>
      <c r="B157" s="44" t="s">
        <v>832</v>
      </c>
      <c r="C157" s="53">
        <v>6</v>
      </c>
      <c r="D157" s="53"/>
      <c r="E157" s="20" t="s">
        <v>220</v>
      </c>
      <c r="F157" s="20" t="s">
        <v>101</v>
      </c>
      <c r="G157" s="20" t="s">
        <v>1151</v>
      </c>
      <c r="I157" s="21"/>
    </row>
    <row r="158" spans="1:9" ht="18" customHeight="1">
      <c r="A158" s="48">
        <v>157</v>
      </c>
      <c r="B158" s="44" t="s">
        <v>832</v>
      </c>
      <c r="C158" s="53">
        <v>2</v>
      </c>
      <c r="D158" s="53"/>
      <c r="E158" s="20" t="s">
        <v>216</v>
      </c>
      <c r="F158" s="20" t="s">
        <v>102</v>
      </c>
      <c r="G158" s="20" t="s">
        <v>1152</v>
      </c>
      <c r="I158" s="21"/>
    </row>
    <row r="159" spans="1:9" ht="18" customHeight="1">
      <c r="A159" s="48">
        <v>158</v>
      </c>
      <c r="B159" s="44" t="s">
        <v>832</v>
      </c>
      <c r="C159" s="53">
        <v>3</v>
      </c>
      <c r="D159" s="53"/>
      <c r="E159" s="20" t="s">
        <v>217</v>
      </c>
      <c r="F159" s="20" t="s">
        <v>103</v>
      </c>
      <c r="G159" s="20" t="s">
        <v>1153</v>
      </c>
      <c r="I159" s="21"/>
    </row>
    <row r="160" spans="1:9" ht="18" customHeight="1">
      <c r="A160" s="48">
        <v>159</v>
      </c>
      <c r="B160" s="44" t="s">
        <v>832</v>
      </c>
      <c r="C160" s="53">
        <v>4</v>
      </c>
      <c r="D160" s="53"/>
      <c r="E160" s="20" t="s">
        <v>218</v>
      </c>
      <c r="F160" s="20" t="s">
        <v>104</v>
      </c>
      <c r="G160" s="20" t="s">
        <v>1154</v>
      </c>
      <c r="I160" s="21"/>
    </row>
    <row r="161" spans="1:9" ht="18" customHeight="1">
      <c r="A161" s="48">
        <v>160</v>
      </c>
      <c r="B161" s="44" t="s">
        <v>832</v>
      </c>
      <c r="C161" s="53">
        <v>5</v>
      </c>
      <c r="D161" s="53"/>
      <c r="E161" s="20" t="s">
        <v>219</v>
      </c>
      <c r="F161" s="20" t="s">
        <v>105</v>
      </c>
      <c r="G161" s="20" t="s">
        <v>1155</v>
      </c>
      <c r="I161" s="21"/>
    </row>
    <row r="162" spans="1:9" ht="18" customHeight="1">
      <c r="A162" s="48">
        <v>161</v>
      </c>
      <c r="B162" s="44" t="s">
        <v>832</v>
      </c>
      <c r="C162" s="53">
        <v>6</v>
      </c>
      <c r="D162" s="53"/>
      <c r="E162" s="20" t="s">
        <v>220</v>
      </c>
      <c r="F162" s="20" t="s">
        <v>106</v>
      </c>
      <c r="G162" s="20" t="s">
        <v>1156</v>
      </c>
      <c r="I162" s="21"/>
    </row>
    <row r="163" spans="1:9" ht="18" customHeight="1">
      <c r="A163" s="48">
        <v>162</v>
      </c>
      <c r="B163" s="44" t="s">
        <v>832</v>
      </c>
      <c r="C163" s="53">
        <v>2</v>
      </c>
      <c r="D163" s="53"/>
      <c r="E163" s="20" t="s">
        <v>216</v>
      </c>
      <c r="F163" s="20" t="s">
        <v>107</v>
      </c>
      <c r="G163" s="20" t="s">
        <v>1157</v>
      </c>
      <c r="I163" s="21"/>
    </row>
    <row r="164" spans="1:9" ht="18" customHeight="1">
      <c r="A164" s="48">
        <v>163</v>
      </c>
      <c r="B164" s="44" t="s">
        <v>832</v>
      </c>
      <c r="C164" s="53">
        <v>3</v>
      </c>
      <c r="D164" s="53"/>
      <c r="E164" s="20" t="s">
        <v>217</v>
      </c>
      <c r="F164" s="20" t="s">
        <v>108</v>
      </c>
      <c r="G164" s="20" t="s">
        <v>1158</v>
      </c>
      <c r="I164" s="21"/>
    </row>
    <row r="165" spans="1:9" ht="18" customHeight="1">
      <c r="A165" s="48">
        <v>164</v>
      </c>
      <c r="B165" s="44" t="s">
        <v>832</v>
      </c>
      <c r="C165" s="53">
        <v>4</v>
      </c>
      <c r="D165" s="53"/>
      <c r="E165" s="20" t="s">
        <v>218</v>
      </c>
      <c r="F165" s="20" t="s">
        <v>109</v>
      </c>
      <c r="G165" s="20" t="s">
        <v>1159</v>
      </c>
      <c r="I165" s="21"/>
    </row>
    <row r="166" spans="1:9" ht="18" customHeight="1">
      <c r="A166" s="48">
        <v>165</v>
      </c>
      <c r="B166" s="44" t="s">
        <v>832</v>
      </c>
      <c r="C166" s="53">
        <v>5</v>
      </c>
      <c r="D166" s="53"/>
      <c r="E166" s="20" t="s">
        <v>219</v>
      </c>
      <c r="F166" s="20" t="s">
        <v>110</v>
      </c>
      <c r="G166" s="20" t="s">
        <v>1160</v>
      </c>
      <c r="I166" s="21"/>
    </row>
    <row r="167" spans="1:9" ht="18" customHeight="1">
      <c r="A167" s="48">
        <v>166</v>
      </c>
      <c r="B167" s="44" t="s">
        <v>832</v>
      </c>
      <c r="C167" s="53">
        <v>6</v>
      </c>
      <c r="D167" s="53"/>
      <c r="E167" s="20" t="s">
        <v>220</v>
      </c>
      <c r="F167" s="20" t="s">
        <v>111</v>
      </c>
      <c r="G167" s="20" t="s">
        <v>1161</v>
      </c>
      <c r="I167" s="21"/>
    </row>
    <row r="168" spans="1:9" ht="18" customHeight="1">
      <c r="A168" s="48">
        <v>167</v>
      </c>
      <c r="B168" s="44" t="s">
        <v>832</v>
      </c>
      <c r="C168" s="53">
        <v>2</v>
      </c>
      <c r="D168" s="53"/>
      <c r="E168" s="20" t="s">
        <v>216</v>
      </c>
      <c r="F168" s="20" t="s">
        <v>112</v>
      </c>
      <c r="G168" s="20" t="s">
        <v>1162</v>
      </c>
      <c r="I168" s="21"/>
    </row>
    <row r="169" spans="1:9" ht="18" customHeight="1">
      <c r="A169" s="48">
        <v>168</v>
      </c>
      <c r="B169" s="44" t="s">
        <v>832</v>
      </c>
      <c r="C169" s="53">
        <v>3</v>
      </c>
      <c r="D169" s="53"/>
      <c r="E169" s="20" t="s">
        <v>217</v>
      </c>
      <c r="F169" s="20" t="s">
        <v>113</v>
      </c>
      <c r="G169" s="20" t="s">
        <v>1163</v>
      </c>
      <c r="I169" s="21"/>
    </row>
    <row r="170" spans="1:9" ht="18" customHeight="1">
      <c r="A170" s="48">
        <v>169</v>
      </c>
      <c r="B170" s="44" t="s">
        <v>832</v>
      </c>
      <c r="C170" s="53">
        <v>4</v>
      </c>
      <c r="D170" s="53"/>
      <c r="E170" s="20" t="s">
        <v>218</v>
      </c>
      <c r="F170" s="20" t="s">
        <v>114</v>
      </c>
      <c r="G170" s="20" t="s">
        <v>1164</v>
      </c>
      <c r="I170" s="21"/>
    </row>
    <row r="171" spans="1:9" ht="18" customHeight="1">
      <c r="A171" s="48">
        <v>170</v>
      </c>
      <c r="B171" s="44" t="s">
        <v>832</v>
      </c>
      <c r="C171" s="53">
        <v>2</v>
      </c>
      <c r="D171" s="53"/>
      <c r="E171" s="20" t="s">
        <v>216</v>
      </c>
      <c r="F171" s="20" t="s">
        <v>115</v>
      </c>
      <c r="G171" s="20" t="s">
        <v>1165</v>
      </c>
      <c r="I171" s="21"/>
    </row>
    <row r="172" spans="1:9" ht="18" customHeight="1">
      <c r="A172" s="48">
        <v>171</v>
      </c>
      <c r="B172" s="44" t="s">
        <v>832</v>
      </c>
      <c r="C172" s="53">
        <v>3</v>
      </c>
      <c r="D172" s="53"/>
      <c r="E172" s="20" t="s">
        <v>217</v>
      </c>
      <c r="F172" s="20" t="s">
        <v>116</v>
      </c>
      <c r="G172" s="20" t="s">
        <v>1166</v>
      </c>
      <c r="I172" s="21"/>
    </row>
    <row r="173" spans="1:9" ht="18" customHeight="1">
      <c r="A173" s="48">
        <v>172</v>
      </c>
      <c r="B173" s="44" t="s">
        <v>832</v>
      </c>
      <c r="C173" s="53">
        <v>4</v>
      </c>
      <c r="D173" s="53"/>
      <c r="E173" s="20" t="s">
        <v>218</v>
      </c>
      <c r="F173" s="20" t="s">
        <v>117</v>
      </c>
      <c r="G173" s="20" t="s">
        <v>1167</v>
      </c>
      <c r="I173" s="21"/>
    </row>
    <row r="174" spans="1:9" ht="18" customHeight="1">
      <c r="A174" s="48">
        <v>173</v>
      </c>
      <c r="B174" s="44" t="s">
        <v>832</v>
      </c>
      <c r="C174" s="53">
        <v>6</v>
      </c>
      <c r="D174" s="53"/>
      <c r="E174" s="20" t="s">
        <v>220</v>
      </c>
      <c r="F174" s="20" t="s">
        <v>118</v>
      </c>
      <c r="G174" s="20" t="s">
        <v>1168</v>
      </c>
      <c r="I174" s="21"/>
    </row>
    <row r="175" spans="1:9" ht="18" customHeight="1">
      <c r="A175" s="48">
        <v>174</v>
      </c>
      <c r="B175" s="44" t="s">
        <v>1022</v>
      </c>
      <c r="C175" s="53">
        <v>8</v>
      </c>
      <c r="D175" s="53"/>
      <c r="E175" s="20" t="s">
        <v>283</v>
      </c>
      <c r="F175" s="20" t="s">
        <v>309</v>
      </c>
      <c r="G175" s="20" t="s">
        <v>1169</v>
      </c>
      <c r="I175" s="21"/>
    </row>
    <row r="176" spans="1:9" ht="18" customHeight="1">
      <c r="A176" s="48">
        <v>175</v>
      </c>
      <c r="B176" s="44" t="s">
        <v>1022</v>
      </c>
      <c r="C176" s="53">
        <v>8</v>
      </c>
      <c r="D176" s="53"/>
      <c r="E176" s="20" t="s">
        <v>283</v>
      </c>
      <c r="F176" s="20" t="s">
        <v>310</v>
      </c>
      <c r="G176" s="20" t="s">
        <v>1170</v>
      </c>
      <c r="I176" s="21"/>
    </row>
    <row r="177" spans="1:9" ht="18" customHeight="1">
      <c r="A177" s="48">
        <v>176</v>
      </c>
      <c r="B177" s="44" t="s">
        <v>1022</v>
      </c>
      <c r="C177" s="53">
        <v>8</v>
      </c>
      <c r="D177" s="53"/>
      <c r="E177" s="20" t="s">
        <v>283</v>
      </c>
      <c r="F177" s="20" t="s">
        <v>311</v>
      </c>
      <c r="G177" s="20" t="s">
        <v>1171</v>
      </c>
      <c r="I177" s="21"/>
    </row>
    <row r="178" spans="1:9" ht="18" customHeight="1">
      <c r="A178" s="48">
        <v>177</v>
      </c>
      <c r="B178" s="44" t="s">
        <v>757</v>
      </c>
      <c r="C178" s="53">
        <v>2</v>
      </c>
      <c r="D178" s="53"/>
      <c r="E178" s="20" t="s">
        <v>216</v>
      </c>
      <c r="F178" s="20" t="s">
        <v>532</v>
      </c>
      <c r="G178" s="20" t="s">
        <v>1172</v>
      </c>
      <c r="I178" s="21"/>
    </row>
    <row r="179" spans="1:9" ht="18" customHeight="1">
      <c r="A179" s="48">
        <v>178</v>
      </c>
      <c r="B179" s="44" t="s">
        <v>757</v>
      </c>
      <c r="C179" s="53">
        <v>3</v>
      </c>
      <c r="D179" s="53"/>
      <c r="E179" s="20" t="s">
        <v>217</v>
      </c>
      <c r="F179" s="20" t="s">
        <v>561</v>
      </c>
      <c r="G179" s="20" t="s">
        <v>1173</v>
      </c>
      <c r="I179" s="21"/>
    </row>
    <row r="180" spans="1:9" ht="18" customHeight="1">
      <c r="A180" s="48">
        <v>179</v>
      </c>
      <c r="B180" s="44" t="s">
        <v>757</v>
      </c>
      <c r="C180" s="53">
        <v>4</v>
      </c>
      <c r="D180" s="53"/>
      <c r="E180" s="20" t="s">
        <v>218</v>
      </c>
      <c r="F180" s="20" t="s">
        <v>564</v>
      </c>
      <c r="G180" s="20" t="s">
        <v>1174</v>
      </c>
      <c r="I180" s="21"/>
    </row>
    <row r="181" spans="1:9" ht="18" customHeight="1">
      <c r="A181" s="48">
        <v>180</v>
      </c>
      <c r="B181" s="44" t="s">
        <v>757</v>
      </c>
      <c r="C181" s="53">
        <v>6</v>
      </c>
      <c r="D181" s="53"/>
      <c r="E181" s="20" t="s">
        <v>220</v>
      </c>
      <c r="F181" s="20" t="s">
        <v>638</v>
      </c>
      <c r="G181" s="20" t="s">
        <v>1175</v>
      </c>
      <c r="I181" s="21"/>
    </row>
    <row r="182" spans="1:9" ht="18" customHeight="1">
      <c r="A182" s="48">
        <v>181</v>
      </c>
      <c r="B182" s="44" t="s">
        <v>757</v>
      </c>
      <c r="C182" s="53">
        <v>5</v>
      </c>
      <c r="D182" s="53"/>
      <c r="E182" s="20" t="s">
        <v>102</v>
      </c>
      <c r="F182" s="20" t="s">
        <v>299</v>
      </c>
      <c r="G182" s="20" t="s">
        <v>1176</v>
      </c>
      <c r="I182" s="21"/>
    </row>
    <row r="183" spans="1:9" ht="18" customHeight="1">
      <c r="A183" s="48">
        <v>182</v>
      </c>
      <c r="B183" s="44" t="s">
        <v>757</v>
      </c>
      <c r="C183" s="53">
        <v>1</v>
      </c>
      <c r="D183" s="53"/>
      <c r="E183" s="20" t="s">
        <v>221</v>
      </c>
      <c r="F183" s="20" t="s">
        <v>300</v>
      </c>
      <c r="G183" s="20" t="s">
        <v>1177</v>
      </c>
      <c r="I183" s="21"/>
    </row>
    <row r="184" spans="1:9" ht="18" customHeight="1">
      <c r="A184" s="48">
        <v>183</v>
      </c>
      <c r="B184" s="44" t="s">
        <v>851</v>
      </c>
      <c r="C184" s="53">
        <v>1</v>
      </c>
      <c r="D184" s="53"/>
      <c r="E184" s="20" t="s">
        <v>213</v>
      </c>
      <c r="F184" s="20" t="s">
        <v>144</v>
      </c>
      <c r="G184" s="20" t="s">
        <v>1033</v>
      </c>
      <c r="I184" s="21"/>
    </row>
    <row r="185" spans="1:9" ht="18" customHeight="1">
      <c r="A185" s="48">
        <v>184</v>
      </c>
      <c r="B185" s="44" t="s">
        <v>851</v>
      </c>
      <c r="C185" s="53">
        <v>1</v>
      </c>
      <c r="D185" s="53"/>
      <c r="E185" s="20" t="s">
        <v>213</v>
      </c>
      <c r="F185" s="20" t="s">
        <v>145</v>
      </c>
      <c r="G185" s="20" t="s">
        <v>1054</v>
      </c>
      <c r="I185" s="21"/>
    </row>
    <row r="186" spans="1:9" ht="18" customHeight="1">
      <c r="A186" s="48">
        <v>185</v>
      </c>
      <c r="B186" s="44" t="s">
        <v>851</v>
      </c>
      <c r="C186" s="53">
        <v>1</v>
      </c>
      <c r="D186" s="53"/>
      <c r="E186" s="20" t="s">
        <v>213</v>
      </c>
      <c r="F186" s="20" t="s">
        <v>146</v>
      </c>
      <c r="G186" s="20" t="s">
        <v>1056</v>
      </c>
      <c r="I186" s="21"/>
    </row>
    <row r="187" spans="1:9" ht="18" customHeight="1">
      <c r="A187" s="48">
        <v>186</v>
      </c>
      <c r="B187" s="44" t="s">
        <v>851</v>
      </c>
      <c r="C187" s="53">
        <v>1</v>
      </c>
      <c r="D187" s="53"/>
      <c r="E187" s="20" t="s">
        <v>213</v>
      </c>
      <c r="F187" s="20" t="s">
        <v>147</v>
      </c>
      <c r="G187" s="20" t="s">
        <v>142</v>
      </c>
      <c r="I187" s="21"/>
    </row>
    <row r="188" spans="1:9" ht="18" customHeight="1">
      <c r="A188" s="48">
        <v>187</v>
      </c>
      <c r="B188" s="44" t="s">
        <v>851</v>
      </c>
      <c r="C188" s="53">
        <v>1</v>
      </c>
      <c r="D188" s="53"/>
      <c r="E188" s="20" t="s">
        <v>213</v>
      </c>
      <c r="F188" s="20" t="s">
        <v>148</v>
      </c>
      <c r="G188" s="20" t="s">
        <v>143</v>
      </c>
      <c r="I188" s="21"/>
    </row>
    <row r="189" spans="1:9" ht="18" customHeight="1">
      <c r="A189" s="48">
        <v>188</v>
      </c>
      <c r="B189" s="44" t="s">
        <v>851</v>
      </c>
      <c r="C189" s="53">
        <v>1</v>
      </c>
      <c r="D189" s="53"/>
      <c r="E189" s="20" t="s">
        <v>213</v>
      </c>
      <c r="F189" s="20" t="s">
        <v>149</v>
      </c>
      <c r="G189" s="20" t="s">
        <v>137</v>
      </c>
      <c r="I189" s="21"/>
    </row>
    <row r="190" spans="1:9" ht="18" customHeight="1">
      <c r="A190" s="48">
        <v>189</v>
      </c>
      <c r="B190" s="44" t="s">
        <v>851</v>
      </c>
      <c r="C190" s="53">
        <v>1</v>
      </c>
      <c r="D190" s="53"/>
      <c r="E190" s="20" t="s">
        <v>213</v>
      </c>
      <c r="F190" s="20" t="s">
        <v>150</v>
      </c>
      <c r="G190" s="20" t="s">
        <v>140</v>
      </c>
      <c r="I190" s="21"/>
    </row>
    <row r="191" spans="1:9" ht="18" customHeight="1">
      <c r="A191" s="48">
        <v>190</v>
      </c>
      <c r="B191" s="44" t="s">
        <v>851</v>
      </c>
      <c r="C191" s="53">
        <v>1</v>
      </c>
      <c r="D191" s="53"/>
      <c r="E191" s="20" t="s">
        <v>213</v>
      </c>
      <c r="F191" s="20" t="s">
        <v>151</v>
      </c>
      <c r="G191" s="20" t="s">
        <v>141</v>
      </c>
      <c r="I191" s="21"/>
    </row>
    <row r="192" spans="1:9" ht="18" customHeight="1">
      <c r="A192" s="48">
        <v>191</v>
      </c>
      <c r="B192" s="44" t="s">
        <v>851</v>
      </c>
      <c r="C192" s="53">
        <v>1</v>
      </c>
      <c r="D192" s="53"/>
      <c r="E192" s="20" t="s">
        <v>213</v>
      </c>
      <c r="F192" s="20" t="s">
        <v>152</v>
      </c>
      <c r="G192" s="20" t="s">
        <v>1061</v>
      </c>
      <c r="I192" s="21"/>
    </row>
    <row r="193" spans="1:9" ht="18" customHeight="1">
      <c r="A193" s="48">
        <v>192</v>
      </c>
      <c r="B193" s="44" t="s">
        <v>851</v>
      </c>
      <c r="C193" s="53">
        <v>1</v>
      </c>
      <c r="D193" s="53"/>
      <c r="E193" s="20" t="s">
        <v>213</v>
      </c>
      <c r="F193" s="20" t="s">
        <v>153</v>
      </c>
      <c r="G193" s="20" t="s">
        <v>1061</v>
      </c>
      <c r="I193" s="21"/>
    </row>
    <row r="194" spans="1:9" ht="18" customHeight="1">
      <c r="A194" s="48">
        <v>193</v>
      </c>
      <c r="B194" s="44" t="s">
        <v>851</v>
      </c>
      <c r="C194" s="53">
        <v>1</v>
      </c>
      <c r="D194" s="53"/>
      <c r="E194" s="20" t="s">
        <v>213</v>
      </c>
      <c r="F194" s="20" t="s">
        <v>154</v>
      </c>
      <c r="G194" s="20" t="s">
        <v>1062</v>
      </c>
      <c r="I194" s="21"/>
    </row>
    <row r="195" spans="1:9" ht="18" customHeight="1">
      <c r="A195" s="48">
        <v>194</v>
      </c>
      <c r="B195" s="44" t="s">
        <v>851</v>
      </c>
      <c r="C195" s="53">
        <v>1</v>
      </c>
      <c r="D195" s="53"/>
      <c r="E195" s="20" t="s">
        <v>213</v>
      </c>
      <c r="F195" s="20" t="s">
        <v>155</v>
      </c>
      <c r="G195" s="20" t="s">
        <v>1063</v>
      </c>
      <c r="I195" s="21"/>
    </row>
    <row r="196" spans="1:9" ht="18" customHeight="1">
      <c r="A196" s="48">
        <v>195</v>
      </c>
      <c r="B196" s="44" t="s">
        <v>851</v>
      </c>
      <c r="C196" s="53">
        <v>1</v>
      </c>
      <c r="D196" s="53"/>
      <c r="E196" s="20" t="s">
        <v>213</v>
      </c>
      <c r="F196" s="20" t="s">
        <v>156</v>
      </c>
      <c r="G196" s="20" t="s">
        <v>1063</v>
      </c>
      <c r="I196" s="21"/>
    </row>
    <row r="197" spans="1:9" ht="18" customHeight="1">
      <c r="A197" s="48">
        <v>196</v>
      </c>
      <c r="B197" s="44" t="s">
        <v>851</v>
      </c>
      <c r="C197" s="53">
        <v>1</v>
      </c>
      <c r="D197" s="53"/>
      <c r="E197" s="20" t="s">
        <v>213</v>
      </c>
      <c r="F197" s="20" t="s">
        <v>157</v>
      </c>
      <c r="G197" s="20" t="s">
        <v>1064</v>
      </c>
      <c r="I197" s="21"/>
    </row>
    <row r="198" spans="1:9" ht="18" customHeight="1">
      <c r="A198" s="48">
        <v>197</v>
      </c>
      <c r="B198" s="44" t="s">
        <v>851</v>
      </c>
      <c r="C198" s="53">
        <v>1</v>
      </c>
      <c r="D198" s="53"/>
      <c r="E198" s="20" t="s">
        <v>213</v>
      </c>
      <c r="F198" s="20" t="s">
        <v>158</v>
      </c>
      <c r="G198" s="20" t="s">
        <v>1064</v>
      </c>
      <c r="I198" s="21"/>
    </row>
    <row r="199" spans="1:9" ht="18" customHeight="1">
      <c r="A199" s="48">
        <v>198</v>
      </c>
      <c r="B199" s="44" t="s">
        <v>851</v>
      </c>
      <c r="C199" s="53">
        <v>1</v>
      </c>
      <c r="D199" s="53"/>
      <c r="E199" s="20" t="s">
        <v>213</v>
      </c>
      <c r="F199" s="20" t="s">
        <v>159</v>
      </c>
      <c r="G199" s="20" t="s">
        <v>1178</v>
      </c>
      <c r="I199" s="21"/>
    </row>
    <row r="200" spans="1:9" ht="18" customHeight="1">
      <c r="A200" s="48">
        <v>199</v>
      </c>
      <c r="B200" s="44" t="s">
        <v>851</v>
      </c>
      <c r="C200" s="53">
        <v>2</v>
      </c>
      <c r="D200" s="53"/>
      <c r="E200" s="20" t="s">
        <v>213</v>
      </c>
      <c r="F200" s="20" t="s">
        <v>160</v>
      </c>
      <c r="G200" s="20" t="s">
        <v>1179</v>
      </c>
      <c r="I200" s="21"/>
    </row>
    <row r="201" spans="1:9" ht="18" customHeight="1">
      <c r="A201" s="48">
        <v>200</v>
      </c>
      <c r="B201" s="44" t="s">
        <v>851</v>
      </c>
      <c r="C201" s="53">
        <v>2</v>
      </c>
      <c r="D201" s="53"/>
      <c r="E201" s="20" t="s">
        <v>213</v>
      </c>
      <c r="F201" s="20" t="s">
        <v>161</v>
      </c>
      <c r="G201" s="20" t="s">
        <v>1180</v>
      </c>
      <c r="I201" s="21"/>
    </row>
    <row r="202" spans="1:9" ht="18" customHeight="1">
      <c r="A202" s="48">
        <v>201</v>
      </c>
      <c r="B202" s="44" t="s">
        <v>851</v>
      </c>
      <c r="C202" s="53">
        <v>2</v>
      </c>
      <c r="D202" s="53"/>
      <c r="E202" s="20" t="s">
        <v>213</v>
      </c>
      <c r="F202" s="20" t="s">
        <v>162</v>
      </c>
      <c r="G202" s="20" t="s">
        <v>1036</v>
      </c>
      <c r="I202" s="21"/>
    </row>
    <row r="203" spans="1:9" ht="18" customHeight="1">
      <c r="A203" s="48">
        <v>202</v>
      </c>
      <c r="B203" s="44" t="s">
        <v>851</v>
      </c>
      <c r="C203" s="53">
        <v>2</v>
      </c>
      <c r="D203" s="53"/>
      <c r="E203" s="20" t="s">
        <v>213</v>
      </c>
      <c r="F203" s="20" t="s">
        <v>163</v>
      </c>
      <c r="G203" s="20" t="s">
        <v>1029</v>
      </c>
      <c r="I203" s="21"/>
    </row>
    <row r="204" spans="1:9" ht="18" customHeight="1">
      <c r="A204" s="48">
        <v>203</v>
      </c>
      <c r="B204" s="44" t="s">
        <v>851</v>
      </c>
      <c r="C204" s="53">
        <v>4</v>
      </c>
      <c r="D204" s="53"/>
      <c r="E204" s="20" t="s">
        <v>213</v>
      </c>
      <c r="F204" s="20" t="s">
        <v>164</v>
      </c>
      <c r="G204" s="20" t="s">
        <v>1181</v>
      </c>
      <c r="I204" s="21"/>
    </row>
    <row r="205" spans="1:9" ht="18" customHeight="1">
      <c r="A205" s="48">
        <v>204</v>
      </c>
      <c r="B205" s="44" t="s">
        <v>851</v>
      </c>
      <c r="C205" s="53">
        <v>4</v>
      </c>
      <c r="D205" s="53"/>
      <c r="E205" s="20" t="s">
        <v>213</v>
      </c>
      <c r="F205" s="20" t="s">
        <v>165</v>
      </c>
      <c r="G205" s="20" t="s">
        <v>1182</v>
      </c>
      <c r="I205" s="21"/>
    </row>
    <row r="206" spans="1:9" ht="18" customHeight="1">
      <c r="A206" s="48">
        <v>205</v>
      </c>
      <c r="B206" s="44" t="s">
        <v>851</v>
      </c>
      <c r="C206" s="53">
        <v>4</v>
      </c>
      <c r="D206" s="53"/>
      <c r="E206" s="20" t="s">
        <v>213</v>
      </c>
      <c r="F206" s="20" t="s">
        <v>166</v>
      </c>
      <c r="G206" s="20" t="s">
        <v>1027</v>
      </c>
      <c r="I206" s="21"/>
    </row>
    <row r="207" spans="1:9" ht="18" customHeight="1">
      <c r="A207" s="48">
        <v>206</v>
      </c>
      <c r="B207" s="44" t="s">
        <v>851</v>
      </c>
      <c r="C207" s="53">
        <v>4</v>
      </c>
      <c r="D207" s="53"/>
      <c r="E207" s="20" t="s">
        <v>213</v>
      </c>
      <c r="F207" s="20" t="s">
        <v>167</v>
      </c>
      <c r="G207" s="20" t="s">
        <v>1027</v>
      </c>
      <c r="I207" s="21"/>
    </row>
    <row r="208" spans="1:9" ht="18" customHeight="1">
      <c r="A208" s="48">
        <v>207</v>
      </c>
      <c r="B208" s="44" t="s">
        <v>851</v>
      </c>
      <c r="C208" s="53">
        <v>8</v>
      </c>
      <c r="D208" s="53"/>
      <c r="E208" s="20" t="s">
        <v>213</v>
      </c>
      <c r="F208" s="20" t="s">
        <v>168</v>
      </c>
      <c r="G208" s="20" t="s">
        <v>1183</v>
      </c>
      <c r="I208" s="21"/>
    </row>
    <row r="209" spans="1:9" ht="18" customHeight="1">
      <c r="A209" s="48">
        <v>208</v>
      </c>
      <c r="B209" s="44" t="s">
        <v>851</v>
      </c>
      <c r="C209" s="53">
        <v>8</v>
      </c>
      <c r="D209" s="53"/>
      <c r="E209" s="20" t="s">
        <v>213</v>
      </c>
      <c r="F209" s="20" t="s">
        <v>169</v>
      </c>
      <c r="G209" s="20" t="s">
        <v>1184</v>
      </c>
      <c r="I209" s="21"/>
    </row>
    <row r="210" spans="1:9" ht="18" customHeight="1">
      <c r="A210" s="48">
        <v>209</v>
      </c>
      <c r="B210" s="44" t="s">
        <v>851</v>
      </c>
      <c r="C210" s="53">
        <v>7</v>
      </c>
      <c r="D210" s="53"/>
      <c r="E210" s="20" t="s">
        <v>213</v>
      </c>
      <c r="F210" s="20" t="s">
        <v>170</v>
      </c>
      <c r="G210" s="20" t="s">
        <v>1032</v>
      </c>
      <c r="I210" s="21"/>
    </row>
    <row r="211" spans="1:9" ht="18" customHeight="1">
      <c r="A211" s="48">
        <v>210</v>
      </c>
      <c r="B211" s="44" t="s">
        <v>851</v>
      </c>
      <c r="C211" s="53">
        <v>7</v>
      </c>
      <c r="D211" s="53"/>
      <c r="E211" s="20" t="s">
        <v>213</v>
      </c>
      <c r="F211" s="20" t="s">
        <v>171</v>
      </c>
      <c r="G211" s="20" t="s">
        <v>1034</v>
      </c>
      <c r="I211" s="21"/>
    </row>
    <row r="212" spans="1:9" ht="18" customHeight="1">
      <c r="A212" s="48">
        <v>211</v>
      </c>
      <c r="B212" s="44" t="s">
        <v>851</v>
      </c>
      <c r="C212" s="53">
        <v>7</v>
      </c>
      <c r="D212" s="53"/>
      <c r="E212" s="20" t="s">
        <v>213</v>
      </c>
      <c r="F212" s="20" t="s">
        <v>172</v>
      </c>
      <c r="G212" s="20" t="s">
        <v>1053</v>
      </c>
      <c r="I212" s="21"/>
    </row>
    <row r="213" spans="1:9" ht="18" customHeight="1">
      <c r="A213" s="48">
        <v>212</v>
      </c>
      <c r="B213" s="44" t="s">
        <v>851</v>
      </c>
      <c r="C213" s="53">
        <v>7</v>
      </c>
      <c r="D213" s="53"/>
      <c r="E213" s="20" t="s">
        <v>213</v>
      </c>
      <c r="F213" s="20" t="s">
        <v>173</v>
      </c>
      <c r="G213" s="20" t="s">
        <v>1055</v>
      </c>
      <c r="I213" s="21"/>
    </row>
    <row r="214" spans="1:9" ht="18" customHeight="1">
      <c r="A214" s="48">
        <v>213</v>
      </c>
      <c r="B214" s="44" t="s">
        <v>851</v>
      </c>
      <c r="C214" s="53">
        <v>7</v>
      </c>
      <c r="D214" s="53"/>
      <c r="E214" s="20" t="s">
        <v>213</v>
      </c>
      <c r="F214" s="20" t="s">
        <v>174</v>
      </c>
      <c r="G214" s="20" t="s">
        <v>1056</v>
      </c>
      <c r="I214" s="21"/>
    </row>
    <row r="215" spans="1:9" ht="18" customHeight="1">
      <c r="A215" s="48">
        <v>214</v>
      </c>
      <c r="B215" s="44" t="s">
        <v>851</v>
      </c>
      <c r="C215" s="53">
        <v>7</v>
      </c>
      <c r="D215" s="53"/>
      <c r="E215" s="20" t="s">
        <v>213</v>
      </c>
      <c r="F215" s="20" t="s">
        <v>175</v>
      </c>
      <c r="G215" s="20" t="s">
        <v>135</v>
      </c>
      <c r="I215" s="21"/>
    </row>
    <row r="216" spans="1:9" ht="18" customHeight="1">
      <c r="A216" s="48">
        <v>215</v>
      </c>
      <c r="B216" s="44" t="s">
        <v>851</v>
      </c>
      <c r="C216" s="53">
        <v>7</v>
      </c>
      <c r="D216" s="53"/>
      <c r="E216" s="20" t="s">
        <v>213</v>
      </c>
      <c r="F216" s="20" t="s">
        <v>176</v>
      </c>
      <c r="G216" s="20" t="s">
        <v>1060</v>
      </c>
      <c r="I216" s="21"/>
    </row>
    <row r="217" spans="1:9" ht="18" customHeight="1">
      <c r="A217" s="48">
        <v>216</v>
      </c>
      <c r="B217" s="44" t="s">
        <v>851</v>
      </c>
      <c r="C217" s="53">
        <v>7</v>
      </c>
      <c r="D217" s="53"/>
      <c r="E217" s="20" t="s">
        <v>213</v>
      </c>
      <c r="F217" s="20" t="s">
        <v>177</v>
      </c>
      <c r="G217" s="20" t="s">
        <v>1060</v>
      </c>
      <c r="I217" s="21"/>
    </row>
    <row r="218" spans="1:9" ht="18" customHeight="1">
      <c r="A218" s="48">
        <v>217</v>
      </c>
      <c r="B218" s="44" t="s">
        <v>851</v>
      </c>
      <c r="C218" s="53">
        <v>7</v>
      </c>
      <c r="D218" s="53"/>
      <c r="E218" s="20" t="s">
        <v>213</v>
      </c>
      <c r="F218" s="20" t="s">
        <v>178</v>
      </c>
      <c r="G218" s="20" t="s">
        <v>1185</v>
      </c>
      <c r="I218" s="21"/>
    </row>
    <row r="219" spans="1:9" ht="18" customHeight="1">
      <c r="A219" s="48">
        <v>218</v>
      </c>
      <c r="B219" s="44" t="s">
        <v>851</v>
      </c>
      <c r="C219" s="53">
        <v>7</v>
      </c>
      <c r="D219" s="53"/>
      <c r="E219" s="20" t="s">
        <v>213</v>
      </c>
      <c r="F219" s="20" t="s">
        <v>179</v>
      </c>
      <c r="G219" s="20" t="s">
        <v>1186</v>
      </c>
      <c r="I219" s="21"/>
    </row>
    <row r="220" spans="1:9" ht="18" customHeight="1">
      <c r="A220" s="48">
        <v>219</v>
      </c>
      <c r="B220" s="44" t="s">
        <v>851</v>
      </c>
      <c r="C220" s="53">
        <v>7</v>
      </c>
      <c r="D220" s="53"/>
      <c r="E220" s="20" t="s">
        <v>213</v>
      </c>
      <c r="F220" s="20" t="s">
        <v>180</v>
      </c>
      <c r="G220" s="20" t="s">
        <v>1187</v>
      </c>
      <c r="I220" s="21"/>
    </row>
    <row r="221" spans="1:9" ht="18" customHeight="1">
      <c r="A221" s="48">
        <v>220</v>
      </c>
      <c r="B221" s="44" t="s">
        <v>851</v>
      </c>
      <c r="C221" s="53">
        <v>7</v>
      </c>
      <c r="D221" s="53"/>
      <c r="E221" s="20" t="s">
        <v>213</v>
      </c>
      <c r="F221" s="20" t="s">
        <v>181</v>
      </c>
      <c r="G221" s="20" t="s">
        <v>1188</v>
      </c>
      <c r="I221" s="21"/>
    </row>
    <row r="222" spans="1:9" ht="18" customHeight="1">
      <c r="A222" s="48">
        <v>221</v>
      </c>
      <c r="B222" s="44" t="s">
        <v>851</v>
      </c>
      <c r="C222" s="53">
        <v>7</v>
      </c>
      <c r="D222" s="53"/>
      <c r="E222" s="20" t="s">
        <v>213</v>
      </c>
      <c r="F222" s="20" t="s">
        <v>182</v>
      </c>
      <c r="G222" s="20" t="s">
        <v>815</v>
      </c>
      <c r="I222" s="21"/>
    </row>
    <row r="223" spans="1:9" ht="18" customHeight="1">
      <c r="A223" s="48">
        <v>222</v>
      </c>
      <c r="B223" s="44" t="s">
        <v>851</v>
      </c>
      <c r="C223" s="53">
        <v>7</v>
      </c>
      <c r="D223" s="53"/>
      <c r="E223" s="20" t="s">
        <v>213</v>
      </c>
      <c r="F223" s="20" t="s">
        <v>183</v>
      </c>
      <c r="G223" s="20" t="s">
        <v>815</v>
      </c>
      <c r="I223" s="21"/>
    </row>
    <row r="224" spans="1:9" ht="18" customHeight="1">
      <c r="A224" s="48">
        <v>223</v>
      </c>
      <c r="B224" s="44" t="s">
        <v>851</v>
      </c>
      <c r="C224" s="53">
        <v>7</v>
      </c>
      <c r="D224" s="53"/>
      <c r="E224" s="20" t="s">
        <v>213</v>
      </c>
      <c r="F224" s="20" t="s">
        <v>184</v>
      </c>
      <c r="G224" s="20" t="s">
        <v>815</v>
      </c>
      <c r="I224" s="21"/>
    </row>
    <row r="225" spans="1:9" ht="18" customHeight="1">
      <c r="A225" s="48">
        <v>224</v>
      </c>
      <c r="B225" s="44" t="s">
        <v>851</v>
      </c>
      <c r="C225" s="53">
        <v>7</v>
      </c>
      <c r="D225" s="53"/>
      <c r="E225" s="20" t="s">
        <v>213</v>
      </c>
      <c r="F225" s="20" t="s">
        <v>185</v>
      </c>
      <c r="G225" s="20" t="s">
        <v>815</v>
      </c>
      <c r="I225" s="21"/>
    </row>
    <row r="226" spans="1:9" ht="18" customHeight="1">
      <c r="A226" s="48">
        <v>225</v>
      </c>
      <c r="B226" s="44" t="s">
        <v>1020</v>
      </c>
      <c r="C226" s="53">
        <v>6</v>
      </c>
      <c r="D226" s="53"/>
      <c r="E226" s="20" t="s">
        <v>220</v>
      </c>
      <c r="F226" s="20" t="s">
        <v>289</v>
      </c>
      <c r="G226" s="20" t="s">
        <v>1189</v>
      </c>
      <c r="I226" s="21"/>
    </row>
    <row r="227" spans="1:9" ht="18" customHeight="1">
      <c r="A227" s="48">
        <v>226</v>
      </c>
      <c r="B227" s="44" t="s">
        <v>1020</v>
      </c>
      <c r="C227" s="53">
        <v>4</v>
      </c>
      <c r="D227" s="53"/>
      <c r="E227" s="20" t="s">
        <v>218</v>
      </c>
      <c r="F227" s="20" t="s">
        <v>290</v>
      </c>
      <c r="G227" s="20" t="s">
        <v>1190</v>
      </c>
      <c r="I227" s="21"/>
    </row>
    <row r="228" spans="1:9" ht="18" customHeight="1">
      <c r="A228" s="48">
        <v>227</v>
      </c>
      <c r="B228" s="44" t="s">
        <v>1020</v>
      </c>
      <c r="C228" s="53">
        <v>3</v>
      </c>
      <c r="D228" s="53"/>
      <c r="E228" s="20" t="s">
        <v>217</v>
      </c>
      <c r="F228" s="20" t="s">
        <v>291</v>
      </c>
      <c r="G228" s="20" t="s">
        <v>1191</v>
      </c>
      <c r="I228" s="21"/>
    </row>
    <row r="229" spans="1:9" ht="18" customHeight="1">
      <c r="A229" s="48">
        <v>228</v>
      </c>
      <c r="B229" s="44" t="s">
        <v>1020</v>
      </c>
      <c r="C229" s="53">
        <v>2</v>
      </c>
      <c r="D229" s="53"/>
      <c r="E229" s="20" t="s">
        <v>216</v>
      </c>
      <c r="F229" s="20" t="s">
        <v>292</v>
      </c>
      <c r="G229" s="20" t="s">
        <v>1192</v>
      </c>
      <c r="I229" s="21"/>
    </row>
    <row r="230" spans="1:9" ht="18" customHeight="1">
      <c r="A230" s="48">
        <v>229</v>
      </c>
      <c r="B230" s="44" t="s">
        <v>832</v>
      </c>
      <c r="C230" s="53">
        <v>5</v>
      </c>
      <c r="D230" s="53"/>
      <c r="E230" s="20" t="s">
        <v>219</v>
      </c>
      <c r="F230" s="20" t="s">
        <v>587</v>
      </c>
      <c r="G230" s="20" t="s">
        <v>1193</v>
      </c>
      <c r="I230" s="21"/>
    </row>
    <row r="231" spans="1:9" ht="18" customHeight="1">
      <c r="A231" s="48">
        <v>230</v>
      </c>
      <c r="B231" s="44" t="s">
        <v>832</v>
      </c>
      <c r="C231" s="53">
        <v>6</v>
      </c>
      <c r="D231" s="53"/>
      <c r="E231" s="20" t="s">
        <v>220</v>
      </c>
      <c r="F231" s="20" t="s">
        <v>639</v>
      </c>
      <c r="G231" s="20" t="s">
        <v>1194</v>
      </c>
      <c r="I231" s="21"/>
    </row>
    <row r="232" spans="1:9" ht="18" customHeight="1">
      <c r="A232" s="48">
        <v>231</v>
      </c>
      <c r="B232" s="44" t="s">
        <v>851</v>
      </c>
      <c r="C232" s="53">
        <v>1</v>
      </c>
      <c r="D232" s="53"/>
      <c r="E232" s="20" t="s">
        <v>213</v>
      </c>
      <c r="F232" s="20" t="s">
        <v>504</v>
      </c>
      <c r="G232" s="20" t="s">
        <v>1195</v>
      </c>
      <c r="I232" s="21"/>
    </row>
    <row r="233" spans="1:9" ht="18" customHeight="1">
      <c r="A233" s="48">
        <v>232</v>
      </c>
      <c r="B233" s="44" t="s">
        <v>851</v>
      </c>
      <c r="C233" s="53">
        <v>2</v>
      </c>
      <c r="D233" s="53"/>
      <c r="E233" s="20" t="s">
        <v>213</v>
      </c>
      <c r="F233" s="20" t="s">
        <v>533</v>
      </c>
      <c r="G233" s="20" t="s">
        <v>1030</v>
      </c>
      <c r="I233" s="21"/>
    </row>
    <row r="234" spans="1:9" ht="18" customHeight="1">
      <c r="A234" s="48">
        <v>233</v>
      </c>
      <c r="B234" s="44" t="s">
        <v>851</v>
      </c>
      <c r="C234" s="53">
        <v>2</v>
      </c>
      <c r="D234" s="53"/>
      <c r="E234" s="20" t="s">
        <v>213</v>
      </c>
      <c r="F234" s="20" t="s">
        <v>534</v>
      </c>
      <c r="G234" s="20" t="s">
        <v>1050</v>
      </c>
      <c r="I234" s="21"/>
    </row>
    <row r="235" spans="1:9" ht="18" customHeight="1">
      <c r="A235" s="48">
        <v>234</v>
      </c>
      <c r="B235" s="44" t="s">
        <v>851</v>
      </c>
      <c r="C235" s="53">
        <v>2</v>
      </c>
      <c r="D235" s="53"/>
      <c r="E235" s="20" t="s">
        <v>213</v>
      </c>
      <c r="F235" s="20" t="s">
        <v>534</v>
      </c>
      <c r="G235" s="20" t="s">
        <v>1051</v>
      </c>
      <c r="I235" s="21"/>
    </row>
    <row r="236" spans="1:9" ht="18" customHeight="1">
      <c r="A236" s="48">
        <v>235</v>
      </c>
      <c r="B236" s="44" t="s">
        <v>851</v>
      </c>
      <c r="C236" s="53">
        <v>4</v>
      </c>
      <c r="D236" s="53"/>
      <c r="E236" s="20" t="s">
        <v>213</v>
      </c>
      <c r="F236" s="20" t="s">
        <v>565</v>
      </c>
      <c r="G236" s="20" t="s">
        <v>1031</v>
      </c>
      <c r="I236" s="21"/>
    </row>
    <row r="237" spans="1:9" ht="18" customHeight="1">
      <c r="A237" s="48">
        <v>236</v>
      </c>
      <c r="B237" s="44" t="s">
        <v>851</v>
      </c>
      <c r="C237" s="53">
        <v>4</v>
      </c>
      <c r="D237" s="53"/>
      <c r="E237" s="20" t="s">
        <v>213</v>
      </c>
      <c r="F237" s="20" t="s">
        <v>566</v>
      </c>
      <c r="G237" s="20" t="s">
        <v>1052</v>
      </c>
      <c r="I237" s="21"/>
    </row>
    <row r="238" spans="1:9" ht="18" customHeight="1">
      <c r="A238" s="48">
        <v>237</v>
      </c>
      <c r="B238" s="44" t="s">
        <v>788</v>
      </c>
      <c r="C238" s="53">
        <v>6</v>
      </c>
      <c r="D238" s="53">
        <v>1</v>
      </c>
      <c r="E238" s="20" t="s">
        <v>221</v>
      </c>
      <c r="F238" s="20" t="s">
        <v>30</v>
      </c>
      <c r="G238" s="20" t="s">
        <v>1062</v>
      </c>
      <c r="I238" s="21"/>
    </row>
    <row r="239" spans="1:9" ht="18" customHeight="1">
      <c r="A239" s="48">
        <v>238</v>
      </c>
      <c r="B239" s="44" t="s">
        <v>811</v>
      </c>
      <c r="C239" s="53">
        <v>5</v>
      </c>
      <c r="D239" s="53">
        <v>7</v>
      </c>
      <c r="E239" s="20" t="s">
        <v>102</v>
      </c>
      <c r="F239" s="20" t="s">
        <v>134</v>
      </c>
      <c r="G239" s="20" t="s">
        <v>1060</v>
      </c>
      <c r="I239" s="21"/>
    </row>
    <row r="240" spans="1:9" ht="18" customHeight="1">
      <c r="A240" s="48">
        <v>239</v>
      </c>
      <c r="B240" s="44" t="s">
        <v>811</v>
      </c>
      <c r="C240" s="53">
        <v>1</v>
      </c>
      <c r="D240" s="53">
        <v>6</v>
      </c>
      <c r="E240" s="20" t="s">
        <v>221</v>
      </c>
      <c r="F240" s="20" t="s">
        <v>136</v>
      </c>
      <c r="G240" s="20" t="s">
        <v>1061</v>
      </c>
      <c r="I240" s="21"/>
    </row>
    <row r="241" spans="1:9" ht="18" customHeight="1">
      <c r="A241" s="48">
        <v>240</v>
      </c>
      <c r="B241" s="44" t="s">
        <v>811</v>
      </c>
      <c r="C241" s="53">
        <v>1</v>
      </c>
      <c r="D241" s="53">
        <v>9</v>
      </c>
      <c r="E241" s="20" t="s">
        <v>103</v>
      </c>
      <c r="F241" s="20" t="s">
        <v>138</v>
      </c>
      <c r="G241" s="20" t="s">
        <v>1063</v>
      </c>
      <c r="I241" s="21"/>
    </row>
    <row r="242" spans="1:9" ht="18" customHeight="1">
      <c r="A242" s="48">
        <v>241</v>
      </c>
      <c r="B242" s="44" t="s">
        <v>811</v>
      </c>
      <c r="C242" s="53">
        <v>6</v>
      </c>
      <c r="D242" s="53">
        <v>1</v>
      </c>
      <c r="E242" s="20" t="s">
        <v>103</v>
      </c>
      <c r="F242" s="20" t="s">
        <v>139</v>
      </c>
      <c r="G242" s="20" t="s">
        <v>1064</v>
      </c>
      <c r="I242" s="21"/>
    </row>
    <row r="243" spans="1:9" ht="18" customHeight="1">
      <c r="A243" s="48">
        <v>242</v>
      </c>
      <c r="B243" s="44" t="s">
        <v>817</v>
      </c>
      <c r="C243" s="53">
        <v>5</v>
      </c>
      <c r="D243" s="53">
        <v>7</v>
      </c>
      <c r="E243" s="20" t="s">
        <v>102</v>
      </c>
      <c r="F243" s="20" t="s">
        <v>135</v>
      </c>
      <c r="G243" s="20" t="s">
        <v>135</v>
      </c>
      <c r="I243" s="21"/>
    </row>
    <row r="244" spans="1:9" ht="18" customHeight="1">
      <c r="A244" s="48">
        <v>243</v>
      </c>
      <c r="B244" s="44" t="s">
        <v>817</v>
      </c>
      <c r="C244" s="53">
        <v>1</v>
      </c>
      <c r="D244" s="53">
        <v>9</v>
      </c>
      <c r="E244" s="20" t="s">
        <v>221</v>
      </c>
      <c r="F244" s="20" t="s">
        <v>137</v>
      </c>
      <c r="G244" s="20" t="s">
        <v>137</v>
      </c>
      <c r="I244" s="21"/>
    </row>
    <row r="245" spans="1:9" ht="18" customHeight="1">
      <c r="A245" s="48">
        <v>244</v>
      </c>
      <c r="B245" s="44" t="s">
        <v>817</v>
      </c>
      <c r="C245" s="53">
        <v>6</v>
      </c>
      <c r="D245" s="53">
        <v>1</v>
      </c>
      <c r="E245" s="20" t="s">
        <v>103</v>
      </c>
      <c r="F245" s="20" t="s">
        <v>140</v>
      </c>
      <c r="G245" s="20" t="s">
        <v>140</v>
      </c>
      <c r="I245" s="21"/>
    </row>
    <row r="246" spans="1:9" ht="18" customHeight="1">
      <c r="A246" s="48">
        <v>245</v>
      </c>
      <c r="B246" s="44" t="s">
        <v>817</v>
      </c>
      <c r="C246" s="53">
        <v>6</v>
      </c>
      <c r="D246" s="53">
        <v>1</v>
      </c>
      <c r="E246" s="20" t="s">
        <v>103</v>
      </c>
      <c r="F246" s="20" t="s">
        <v>141</v>
      </c>
      <c r="G246" s="20" t="s">
        <v>141</v>
      </c>
      <c r="I246" s="21"/>
    </row>
    <row r="247" spans="1:9" ht="18" customHeight="1">
      <c r="A247" s="48">
        <v>246</v>
      </c>
      <c r="B247" s="44" t="s">
        <v>817</v>
      </c>
      <c r="C247" s="53">
        <v>1</v>
      </c>
      <c r="D247" s="53">
        <v>9</v>
      </c>
      <c r="E247" s="20" t="s">
        <v>103</v>
      </c>
      <c r="F247" s="20" t="s">
        <v>142</v>
      </c>
      <c r="G247" s="20" t="s">
        <v>142</v>
      </c>
      <c r="I247" s="21"/>
    </row>
    <row r="248" spans="1:9" ht="18" customHeight="1">
      <c r="A248" s="48">
        <v>247</v>
      </c>
      <c r="B248" s="44" t="s">
        <v>817</v>
      </c>
      <c r="C248" s="53">
        <v>1</v>
      </c>
      <c r="D248" s="53">
        <v>9</v>
      </c>
      <c r="E248" s="20" t="s">
        <v>103</v>
      </c>
      <c r="F248" s="20" t="s">
        <v>143</v>
      </c>
      <c r="G248" s="20" t="s">
        <v>143</v>
      </c>
      <c r="I248" s="21"/>
    </row>
    <row r="249" spans="1:9" ht="18" customHeight="1">
      <c r="A249" s="48">
        <v>248</v>
      </c>
      <c r="B249" s="44" t="s">
        <v>829</v>
      </c>
      <c r="C249" s="53">
        <v>2</v>
      </c>
      <c r="D249" s="53">
        <v>3</v>
      </c>
      <c r="E249" s="20" t="s">
        <v>216</v>
      </c>
      <c r="F249" s="20" t="s">
        <v>129</v>
      </c>
      <c r="G249" s="20" t="s">
        <v>1050</v>
      </c>
      <c r="I249" s="21"/>
    </row>
    <row r="250" spans="1:9" ht="18" customHeight="1">
      <c r="A250" s="48">
        <v>249</v>
      </c>
      <c r="B250" s="44" t="s">
        <v>829</v>
      </c>
      <c r="C250" s="53">
        <v>3</v>
      </c>
      <c r="D250" s="53">
        <v>2</v>
      </c>
      <c r="E250" s="20" t="s">
        <v>217</v>
      </c>
      <c r="F250" s="20" t="s">
        <v>130</v>
      </c>
      <c r="G250" s="20" t="s">
        <v>1051</v>
      </c>
      <c r="I250" s="21"/>
    </row>
    <row r="251" spans="1:9" ht="18" customHeight="1">
      <c r="A251" s="48">
        <v>250</v>
      </c>
      <c r="B251" s="44" t="s">
        <v>829</v>
      </c>
      <c r="C251" s="53">
        <v>4</v>
      </c>
      <c r="D251" s="53">
        <v>3</v>
      </c>
      <c r="E251" s="20" t="s">
        <v>218</v>
      </c>
      <c r="F251" s="20" t="s">
        <v>131</v>
      </c>
      <c r="G251" s="20" t="s">
        <v>1052</v>
      </c>
      <c r="I251" s="21"/>
    </row>
    <row r="252" spans="1:9" ht="18" customHeight="1">
      <c r="A252" s="48">
        <v>251</v>
      </c>
      <c r="B252" s="44" t="s">
        <v>829</v>
      </c>
      <c r="C252" s="53">
        <v>5</v>
      </c>
      <c r="D252" s="53">
        <v>7</v>
      </c>
      <c r="E252" s="20" t="s">
        <v>219</v>
      </c>
      <c r="F252" s="20" t="s">
        <v>279</v>
      </c>
      <c r="G252" s="20" t="s">
        <v>1053</v>
      </c>
      <c r="I252" s="21"/>
    </row>
    <row r="253" spans="1:9" ht="18" customHeight="1">
      <c r="A253" s="48">
        <v>252</v>
      </c>
      <c r="B253" s="44" t="s">
        <v>829</v>
      </c>
      <c r="C253" s="53"/>
      <c r="D253" s="53">
        <v>1</v>
      </c>
      <c r="E253" s="20" t="s">
        <v>220</v>
      </c>
      <c r="F253" s="20" t="s">
        <v>280</v>
      </c>
      <c r="G253" s="20" t="s">
        <v>1054</v>
      </c>
      <c r="I253" s="21"/>
    </row>
    <row r="254" spans="1:9" ht="18" customHeight="1">
      <c r="A254" s="48">
        <v>253</v>
      </c>
      <c r="B254" s="44" t="s">
        <v>842</v>
      </c>
      <c r="C254" s="53">
        <v>5</v>
      </c>
      <c r="D254" s="53">
        <v>7</v>
      </c>
      <c r="E254" s="20" t="s">
        <v>219</v>
      </c>
      <c r="F254" s="20" t="s">
        <v>122</v>
      </c>
      <c r="G254" s="20" t="s">
        <v>1055</v>
      </c>
      <c r="I254" s="21"/>
    </row>
    <row r="255" spans="1:9" ht="18" customHeight="1">
      <c r="A255" s="48">
        <v>254</v>
      </c>
      <c r="B255" s="44" t="s">
        <v>842</v>
      </c>
      <c r="C255" s="53"/>
      <c r="D255" s="53">
        <v>1</v>
      </c>
      <c r="E255" s="20" t="s">
        <v>220</v>
      </c>
      <c r="F255" s="20" t="s">
        <v>123</v>
      </c>
      <c r="G255" s="20" t="s">
        <v>1056</v>
      </c>
      <c r="I255" s="21"/>
    </row>
    <row r="256" spans="1:9" ht="18" customHeight="1">
      <c r="A256" s="48">
        <v>255</v>
      </c>
      <c r="B256" s="44" t="s">
        <v>959</v>
      </c>
      <c r="C256" s="53">
        <v>2</v>
      </c>
      <c r="D256" s="53">
        <v>3</v>
      </c>
      <c r="E256" s="20" t="s">
        <v>282</v>
      </c>
      <c r="F256" s="20" t="s">
        <v>45</v>
      </c>
      <c r="G256" s="20" t="s">
        <v>1025</v>
      </c>
      <c r="I256" s="21"/>
    </row>
    <row r="257" spans="1:9" ht="18" customHeight="1">
      <c r="A257" s="48">
        <v>256</v>
      </c>
      <c r="B257" s="44" t="s">
        <v>882</v>
      </c>
      <c r="C257" s="53">
        <v>4</v>
      </c>
      <c r="D257" s="53">
        <v>3</v>
      </c>
      <c r="E257" s="20" t="s">
        <v>218</v>
      </c>
      <c r="F257" s="20" t="s">
        <v>27</v>
      </c>
      <c r="G257" s="20" t="s">
        <v>1027</v>
      </c>
      <c r="I257" s="21"/>
    </row>
    <row r="258" spans="1:9" ht="18" customHeight="1">
      <c r="A258" s="48">
        <v>257</v>
      </c>
      <c r="B258" s="44" t="s">
        <v>959</v>
      </c>
      <c r="C258" s="53">
        <v>5</v>
      </c>
      <c r="D258" s="53">
        <v>7</v>
      </c>
      <c r="E258" s="20" t="s">
        <v>219</v>
      </c>
      <c r="F258" s="20" t="s">
        <v>46</v>
      </c>
      <c r="G258" s="20" t="s">
        <v>1028</v>
      </c>
      <c r="I258" s="21"/>
    </row>
    <row r="259" spans="1:9" ht="18" customHeight="1">
      <c r="A259" s="48">
        <v>258</v>
      </c>
      <c r="B259" s="44" t="s">
        <v>989</v>
      </c>
      <c r="C259" s="53">
        <v>2</v>
      </c>
      <c r="D259" s="53">
        <v>3</v>
      </c>
      <c r="E259" s="20" t="s">
        <v>216</v>
      </c>
      <c r="F259" s="20" t="s">
        <v>47</v>
      </c>
      <c r="G259" s="20" t="s">
        <v>1029</v>
      </c>
      <c r="I259" s="21"/>
    </row>
    <row r="260" spans="1:9" ht="18" customHeight="1">
      <c r="A260" s="48">
        <v>259</v>
      </c>
      <c r="B260" s="44" t="s">
        <v>989</v>
      </c>
      <c r="C260" s="53">
        <v>3</v>
      </c>
      <c r="D260" s="53">
        <v>2</v>
      </c>
      <c r="E260" s="20" t="s">
        <v>217</v>
      </c>
      <c r="F260" s="20" t="s">
        <v>48</v>
      </c>
      <c r="G260" s="20" t="s">
        <v>1030</v>
      </c>
      <c r="I260" s="21"/>
    </row>
    <row r="261" spans="1:9" ht="18" customHeight="1">
      <c r="A261" s="48">
        <v>260</v>
      </c>
      <c r="B261" s="44" t="s">
        <v>989</v>
      </c>
      <c r="C261" s="53">
        <v>4</v>
      </c>
      <c r="D261" s="53">
        <v>3</v>
      </c>
      <c r="E261" s="20" t="s">
        <v>218</v>
      </c>
      <c r="F261" s="20" t="s">
        <v>49</v>
      </c>
      <c r="G261" s="20" t="s">
        <v>1031</v>
      </c>
      <c r="I261" s="21"/>
    </row>
    <row r="262" spans="1:9" ht="18" customHeight="1">
      <c r="A262" s="48">
        <v>261</v>
      </c>
      <c r="B262" s="44" t="s">
        <v>972</v>
      </c>
      <c r="C262" s="53">
        <v>5</v>
      </c>
      <c r="D262" s="53">
        <v>7</v>
      </c>
      <c r="E262" s="20" t="s">
        <v>219</v>
      </c>
      <c r="F262" s="20" t="s">
        <v>50</v>
      </c>
      <c r="G262" s="20" t="s">
        <v>1032</v>
      </c>
      <c r="I262" s="21"/>
    </row>
    <row r="263" spans="1:9" ht="18" customHeight="1">
      <c r="A263" s="48">
        <v>262</v>
      </c>
      <c r="B263" s="44" t="s">
        <v>972</v>
      </c>
      <c r="C263" s="53"/>
      <c r="D263" s="53">
        <v>1</v>
      </c>
      <c r="E263" s="20" t="s">
        <v>220</v>
      </c>
      <c r="F263" s="20" t="s">
        <v>51</v>
      </c>
      <c r="G263" s="20" t="s">
        <v>1033</v>
      </c>
      <c r="I263" s="21"/>
    </row>
    <row r="264" spans="1:9" ht="18" customHeight="1">
      <c r="A264" s="48">
        <v>263</v>
      </c>
      <c r="B264" s="44" t="s">
        <v>847</v>
      </c>
      <c r="C264" s="53">
        <v>8</v>
      </c>
      <c r="D264" s="53">
        <v>8</v>
      </c>
      <c r="E264" s="20" t="s">
        <v>93</v>
      </c>
      <c r="F264" s="20" t="s">
        <v>643</v>
      </c>
      <c r="G264" s="20" t="s">
        <v>1043</v>
      </c>
      <c r="I264" s="21"/>
    </row>
    <row r="265" spans="1:9" ht="18" customHeight="1">
      <c r="A265" s="48">
        <v>264</v>
      </c>
      <c r="B265" s="44" t="s">
        <v>487</v>
      </c>
      <c r="C265" s="53">
        <v>2</v>
      </c>
      <c r="D265" s="53"/>
      <c r="E265" s="20" t="s">
        <v>216</v>
      </c>
      <c r="F265" s="20" t="s">
        <v>45</v>
      </c>
      <c r="G265" s="20" t="s">
        <v>1025</v>
      </c>
      <c r="I265" s="21"/>
    </row>
    <row r="266" spans="1:9" ht="18" customHeight="1">
      <c r="A266" s="48">
        <v>265</v>
      </c>
      <c r="B266" s="44" t="s">
        <v>487</v>
      </c>
      <c r="C266" s="53">
        <v>4</v>
      </c>
      <c r="D266" s="53"/>
      <c r="E266" s="20" t="s">
        <v>567</v>
      </c>
      <c r="F266" s="20" t="s">
        <v>568</v>
      </c>
      <c r="G266" s="20" t="s">
        <v>1027</v>
      </c>
      <c r="I266" s="21"/>
    </row>
    <row r="267" spans="1:9" ht="18" customHeight="1">
      <c r="A267" s="48">
        <v>266</v>
      </c>
      <c r="B267" s="44" t="s">
        <v>487</v>
      </c>
      <c r="C267" s="53">
        <v>5</v>
      </c>
      <c r="D267" s="53"/>
      <c r="E267" s="20" t="s">
        <v>219</v>
      </c>
      <c r="F267" s="20" t="s">
        <v>588</v>
      </c>
      <c r="G267" s="20" t="s">
        <v>1028</v>
      </c>
      <c r="I267" s="21"/>
    </row>
    <row r="268" spans="1:9" ht="18" customHeight="1">
      <c r="A268" s="48">
        <v>267</v>
      </c>
      <c r="B268" s="44" t="s">
        <v>487</v>
      </c>
      <c r="C268" s="53">
        <v>9</v>
      </c>
      <c r="D268" s="53"/>
      <c r="E268" s="20" t="s">
        <v>704</v>
      </c>
      <c r="F268" s="20" t="s">
        <v>705</v>
      </c>
      <c r="G268" s="20" t="s">
        <v>1035</v>
      </c>
      <c r="I268" s="21"/>
    </row>
    <row r="269" spans="1:9" ht="18" customHeight="1">
      <c r="A269" s="48">
        <v>268</v>
      </c>
      <c r="B269" s="44" t="s">
        <v>487</v>
      </c>
      <c r="C269" s="53">
        <v>5</v>
      </c>
      <c r="D269" s="53"/>
      <c r="E269" s="20" t="s">
        <v>102</v>
      </c>
      <c r="F269" s="20" t="s">
        <v>134</v>
      </c>
      <c r="G269" s="20" t="s">
        <v>1060</v>
      </c>
      <c r="I269" s="21"/>
    </row>
    <row r="270" spans="1:9" ht="18" customHeight="1">
      <c r="A270" s="48">
        <v>269</v>
      </c>
      <c r="B270" s="44" t="s">
        <v>487</v>
      </c>
      <c r="C270" s="53">
        <v>1</v>
      </c>
      <c r="D270" s="53"/>
      <c r="E270" s="20" t="s">
        <v>221</v>
      </c>
      <c r="F270" s="20" t="s">
        <v>136</v>
      </c>
      <c r="G270" s="20" t="s">
        <v>1061</v>
      </c>
      <c r="I270" s="21"/>
    </row>
    <row r="271" spans="1:9" ht="18" customHeight="1">
      <c r="A271" s="48">
        <v>270</v>
      </c>
      <c r="B271" s="44" t="s">
        <v>487</v>
      </c>
      <c r="C271" s="53">
        <v>9</v>
      </c>
      <c r="D271" s="53"/>
      <c r="E271" s="20" t="s">
        <v>221</v>
      </c>
      <c r="F271" s="20" t="s">
        <v>30</v>
      </c>
      <c r="G271" s="20" t="s">
        <v>1062</v>
      </c>
      <c r="I271" s="21"/>
    </row>
    <row r="272" spans="1:9" ht="18" customHeight="1">
      <c r="A272" s="48">
        <v>271</v>
      </c>
      <c r="B272" s="44" t="s">
        <v>487</v>
      </c>
      <c r="C272" s="53">
        <v>1</v>
      </c>
      <c r="D272" s="53"/>
      <c r="E272" s="20" t="s">
        <v>103</v>
      </c>
      <c r="F272" s="20" t="s">
        <v>138</v>
      </c>
      <c r="G272" s="20" t="s">
        <v>1063</v>
      </c>
      <c r="I272" s="21"/>
    </row>
    <row r="273" spans="1:9" ht="18" customHeight="1">
      <c r="A273" s="48">
        <v>272</v>
      </c>
      <c r="B273" s="44" t="s">
        <v>487</v>
      </c>
      <c r="C273" s="53">
        <v>9</v>
      </c>
      <c r="D273" s="53"/>
      <c r="E273" s="20" t="s">
        <v>103</v>
      </c>
      <c r="F273" s="20" t="s">
        <v>139</v>
      </c>
      <c r="G273" s="20" t="s">
        <v>1064</v>
      </c>
      <c r="I273" s="21"/>
    </row>
    <row r="274" spans="1:9" ht="18" customHeight="1">
      <c r="A274" s="48">
        <v>273</v>
      </c>
      <c r="B274" s="44" t="s">
        <v>1015</v>
      </c>
      <c r="C274" s="53">
        <v>2</v>
      </c>
      <c r="D274" s="53"/>
      <c r="E274" s="20" t="s">
        <v>216</v>
      </c>
      <c r="F274" s="20" t="s">
        <v>10</v>
      </c>
      <c r="G274" s="20" t="s">
        <v>1078</v>
      </c>
      <c r="I274" s="21"/>
    </row>
    <row r="275" spans="1:9" ht="18" customHeight="1">
      <c r="A275" s="48">
        <v>274</v>
      </c>
      <c r="B275" s="44" t="s">
        <v>1015</v>
      </c>
      <c r="C275" s="53">
        <v>3</v>
      </c>
      <c r="D275" s="53"/>
      <c r="E275" s="20" t="s">
        <v>217</v>
      </c>
      <c r="F275" s="20" t="s">
        <v>11</v>
      </c>
      <c r="G275" s="20" t="s">
        <v>1079</v>
      </c>
      <c r="I275" s="21"/>
    </row>
    <row r="276" spans="1:9" ht="18" customHeight="1">
      <c r="A276" s="48">
        <v>275</v>
      </c>
      <c r="B276" s="44" t="s">
        <v>1015</v>
      </c>
      <c r="C276" s="53">
        <v>4</v>
      </c>
      <c r="D276" s="53"/>
      <c r="E276" s="20" t="s">
        <v>218</v>
      </c>
      <c r="F276" s="20" t="s">
        <v>12</v>
      </c>
      <c r="G276" s="20" t="s">
        <v>1080</v>
      </c>
      <c r="I276" s="21"/>
    </row>
    <row r="277" spans="1:9" ht="18" customHeight="1">
      <c r="A277" s="48">
        <v>276</v>
      </c>
      <c r="B277" s="44" t="s">
        <v>1015</v>
      </c>
      <c r="C277" s="53">
        <v>5</v>
      </c>
      <c r="D277" s="53"/>
      <c r="E277" s="20" t="s">
        <v>219</v>
      </c>
      <c r="F277" s="20" t="s">
        <v>13</v>
      </c>
      <c r="G277" s="20" t="s">
        <v>1081</v>
      </c>
      <c r="I277" s="21"/>
    </row>
    <row r="278" spans="1:9" ht="18" customHeight="1">
      <c r="A278" s="48">
        <v>277</v>
      </c>
      <c r="B278" s="44" t="s">
        <v>1019</v>
      </c>
      <c r="C278" s="53">
        <v>5</v>
      </c>
      <c r="D278" s="53"/>
      <c r="E278" s="20" t="s">
        <v>219</v>
      </c>
      <c r="F278" s="20" t="s">
        <v>583</v>
      </c>
      <c r="G278" s="20" t="s">
        <v>1196</v>
      </c>
      <c r="I278" s="21"/>
    </row>
    <row r="279" spans="1:9" ht="18" customHeight="1">
      <c r="A279" s="48">
        <v>278</v>
      </c>
      <c r="B279" s="44" t="s">
        <v>1011</v>
      </c>
      <c r="C279" s="53">
        <v>1</v>
      </c>
      <c r="D279" s="53"/>
      <c r="E279" s="20" t="s">
        <v>220</v>
      </c>
      <c r="F279" s="20" t="s">
        <v>501</v>
      </c>
      <c r="G279" s="20" t="s">
        <v>1197</v>
      </c>
      <c r="I279" s="21"/>
    </row>
    <row r="280" spans="1:9" ht="18" customHeight="1">
      <c r="A280" s="48">
        <v>279</v>
      </c>
      <c r="B280" s="44" t="s">
        <v>1015</v>
      </c>
      <c r="C280" s="53">
        <v>1</v>
      </c>
      <c r="D280" s="53"/>
      <c r="E280" s="20" t="s">
        <v>220</v>
      </c>
      <c r="F280" s="20" t="s">
        <v>501</v>
      </c>
      <c r="G280" s="20" t="s">
        <v>1197</v>
      </c>
      <c r="I280" s="21"/>
    </row>
    <row r="281" spans="1:9" ht="18" customHeight="1">
      <c r="A281" s="48">
        <v>280</v>
      </c>
      <c r="B281" s="44" t="s">
        <v>845</v>
      </c>
      <c r="C281" s="53">
        <v>9</v>
      </c>
      <c r="D281" s="53"/>
      <c r="E281" s="20"/>
      <c r="F281" s="20" t="s">
        <v>186</v>
      </c>
      <c r="G281" s="20" t="s">
        <v>1198</v>
      </c>
      <c r="I281" s="21"/>
    </row>
    <row r="282" spans="1:9" ht="18" customHeight="1">
      <c r="A282" s="48">
        <v>281</v>
      </c>
      <c r="B282" s="44" t="s">
        <v>845</v>
      </c>
      <c r="C282" s="53">
        <v>9</v>
      </c>
      <c r="D282" s="53"/>
      <c r="E282" s="20"/>
      <c r="F282" s="20" t="s">
        <v>187</v>
      </c>
      <c r="G282" s="20" t="s">
        <v>1199</v>
      </c>
      <c r="I282" s="21"/>
    </row>
    <row r="283" spans="1:9" ht="18" customHeight="1">
      <c r="A283" s="48">
        <v>282</v>
      </c>
      <c r="B283" s="44" t="s">
        <v>845</v>
      </c>
      <c r="C283" s="53">
        <v>9</v>
      </c>
      <c r="D283" s="53"/>
      <c r="E283" s="20"/>
      <c r="F283" s="20" t="s">
        <v>188</v>
      </c>
      <c r="G283" s="20" t="s">
        <v>1200</v>
      </c>
      <c r="I283" s="21"/>
    </row>
    <row r="284" spans="1:9" ht="18" customHeight="1">
      <c r="A284" s="48">
        <v>283</v>
      </c>
      <c r="B284" s="44" t="s">
        <v>845</v>
      </c>
      <c r="C284" s="53">
        <v>9</v>
      </c>
      <c r="D284" s="53"/>
      <c r="E284" s="20"/>
      <c r="F284" s="20" t="s">
        <v>189</v>
      </c>
      <c r="G284" s="20" t="s">
        <v>1201</v>
      </c>
      <c r="I284" s="21"/>
    </row>
    <row r="285" spans="1:9" ht="18" customHeight="1">
      <c r="A285" s="48">
        <v>284</v>
      </c>
      <c r="B285" s="44" t="s">
        <v>845</v>
      </c>
      <c r="C285" s="53">
        <v>9</v>
      </c>
      <c r="D285" s="53"/>
      <c r="E285" s="20"/>
      <c r="F285" s="20" t="s">
        <v>190</v>
      </c>
      <c r="G285" s="20" t="s">
        <v>1202</v>
      </c>
      <c r="I285" s="21"/>
    </row>
    <row r="286" spans="1:9" ht="18" customHeight="1">
      <c r="A286" s="48">
        <v>285</v>
      </c>
      <c r="B286" s="44" t="s">
        <v>845</v>
      </c>
      <c r="C286" s="53">
        <v>9</v>
      </c>
      <c r="D286" s="53"/>
      <c r="E286" s="20"/>
      <c r="F286" s="20" t="s">
        <v>191</v>
      </c>
      <c r="G286" s="20" t="s">
        <v>1203</v>
      </c>
      <c r="I286" s="21"/>
    </row>
    <row r="287" spans="1:9" ht="18" customHeight="1">
      <c r="A287" s="48">
        <v>286</v>
      </c>
      <c r="B287" s="44" t="s">
        <v>845</v>
      </c>
      <c r="C287" s="53">
        <v>9</v>
      </c>
      <c r="D287" s="53"/>
      <c r="E287" s="20"/>
      <c r="F287" s="20" t="s">
        <v>192</v>
      </c>
      <c r="G287" s="20" t="s">
        <v>1204</v>
      </c>
      <c r="I287" s="21"/>
    </row>
    <row r="288" spans="1:9" ht="18" customHeight="1">
      <c r="A288" s="48">
        <v>287</v>
      </c>
      <c r="B288" s="44" t="s">
        <v>845</v>
      </c>
      <c r="C288" s="53">
        <v>9</v>
      </c>
      <c r="D288" s="53"/>
      <c r="E288" s="20"/>
      <c r="F288" s="20" t="s">
        <v>193</v>
      </c>
      <c r="G288" s="20" t="s">
        <v>1205</v>
      </c>
      <c r="I288" s="21"/>
    </row>
    <row r="289" spans="1:9" ht="18" customHeight="1">
      <c r="A289" s="48">
        <v>288</v>
      </c>
      <c r="B289" s="44" t="s">
        <v>845</v>
      </c>
      <c r="C289" s="53">
        <v>9</v>
      </c>
      <c r="D289" s="53"/>
      <c r="E289" s="20"/>
      <c r="F289" s="20" t="s">
        <v>194</v>
      </c>
      <c r="G289" s="20" t="s">
        <v>1206</v>
      </c>
      <c r="I289" s="21"/>
    </row>
    <row r="290" spans="1:9" ht="18" customHeight="1">
      <c r="A290" s="48">
        <v>289</v>
      </c>
      <c r="B290" s="44" t="s">
        <v>845</v>
      </c>
      <c r="C290" s="53">
        <v>9</v>
      </c>
      <c r="D290" s="53"/>
      <c r="E290" s="20"/>
      <c r="F290" s="20" t="s">
        <v>195</v>
      </c>
      <c r="G290" s="20" t="s">
        <v>1207</v>
      </c>
      <c r="I290" s="21"/>
    </row>
    <row r="291" spans="1:9" ht="18" customHeight="1">
      <c r="A291" s="48">
        <v>290</v>
      </c>
      <c r="B291" s="44" t="s">
        <v>845</v>
      </c>
      <c r="C291" s="53">
        <v>9</v>
      </c>
      <c r="D291" s="53"/>
      <c r="E291" s="20"/>
      <c r="F291" s="20" t="s">
        <v>196</v>
      </c>
      <c r="G291" s="20" t="s">
        <v>1208</v>
      </c>
      <c r="I291" s="21"/>
    </row>
    <row r="292" spans="1:9" ht="18" customHeight="1">
      <c r="A292" s="48">
        <v>291</v>
      </c>
      <c r="B292" s="44" t="s">
        <v>845</v>
      </c>
      <c r="C292" s="53">
        <v>9</v>
      </c>
      <c r="D292" s="53"/>
      <c r="E292" s="20"/>
      <c r="F292" s="20" t="s">
        <v>197</v>
      </c>
      <c r="G292" s="20" t="s">
        <v>1209</v>
      </c>
      <c r="I292" s="21"/>
    </row>
    <row r="293" spans="1:9" ht="18" customHeight="1">
      <c r="A293" s="48">
        <v>292</v>
      </c>
      <c r="B293" s="44" t="s">
        <v>845</v>
      </c>
      <c r="C293" s="53">
        <v>9</v>
      </c>
      <c r="D293" s="53"/>
      <c r="E293" s="20"/>
      <c r="F293" s="20" t="s">
        <v>198</v>
      </c>
      <c r="G293" s="20" t="s">
        <v>1210</v>
      </c>
      <c r="I293" s="21"/>
    </row>
    <row r="294" spans="1:9" ht="18" customHeight="1">
      <c r="A294" s="48">
        <v>293</v>
      </c>
      <c r="B294" s="44" t="s">
        <v>845</v>
      </c>
      <c r="C294" s="53">
        <v>9</v>
      </c>
      <c r="D294" s="53"/>
      <c r="E294" s="20"/>
      <c r="F294" s="20" t="s">
        <v>199</v>
      </c>
      <c r="G294" s="20" t="s">
        <v>1211</v>
      </c>
      <c r="I294" s="21"/>
    </row>
    <row r="295" spans="1:9" ht="18" customHeight="1">
      <c r="A295" s="48">
        <v>294</v>
      </c>
      <c r="B295" s="44" t="s">
        <v>845</v>
      </c>
      <c r="C295" s="53">
        <v>9</v>
      </c>
      <c r="D295" s="53"/>
      <c r="E295" s="20"/>
      <c r="F295" s="20" t="s">
        <v>200</v>
      </c>
      <c r="G295" s="20" t="s">
        <v>1212</v>
      </c>
      <c r="I295" s="21"/>
    </row>
    <row r="296" spans="1:9" ht="18" customHeight="1">
      <c r="A296" s="48">
        <v>295</v>
      </c>
      <c r="B296" s="44" t="s">
        <v>845</v>
      </c>
      <c r="C296" s="53">
        <v>9</v>
      </c>
      <c r="D296" s="53"/>
      <c r="E296" s="20"/>
      <c r="F296" s="20" t="s">
        <v>201</v>
      </c>
      <c r="G296" s="20" t="s">
        <v>1213</v>
      </c>
      <c r="I296" s="21"/>
    </row>
    <row r="297" spans="1:9" ht="18" customHeight="1">
      <c r="A297" s="48">
        <v>296</v>
      </c>
      <c r="B297" s="44" t="s">
        <v>845</v>
      </c>
      <c r="C297" s="53">
        <v>9</v>
      </c>
      <c r="D297" s="53"/>
      <c r="E297" s="20"/>
      <c r="F297" s="20" t="s">
        <v>202</v>
      </c>
      <c r="G297" s="20" t="s">
        <v>1214</v>
      </c>
      <c r="I297" s="21"/>
    </row>
    <row r="298" spans="1:9" ht="18" customHeight="1">
      <c r="A298" s="48">
        <v>297</v>
      </c>
      <c r="B298" s="44" t="s">
        <v>845</v>
      </c>
      <c r="C298" s="53">
        <v>9</v>
      </c>
      <c r="D298" s="53"/>
      <c r="E298" s="20"/>
      <c r="F298" s="20" t="s">
        <v>203</v>
      </c>
      <c r="G298" s="20" t="s">
        <v>1215</v>
      </c>
      <c r="I298" s="21"/>
    </row>
    <row r="299" spans="1:9" ht="18" customHeight="1">
      <c r="A299" s="48">
        <v>298</v>
      </c>
      <c r="B299" s="44" t="s">
        <v>845</v>
      </c>
      <c r="C299" s="53">
        <v>9</v>
      </c>
      <c r="D299" s="53"/>
      <c r="E299" s="20"/>
      <c r="F299" s="20" t="s">
        <v>204</v>
      </c>
      <c r="G299" s="20" t="s">
        <v>1216</v>
      </c>
      <c r="I299" s="21"/>
    </row>
    <row r="300" spans="1:9" ht="18" customHeight="1">
      <c r="A300" s="48">
        <v>299</v>
      </c>
      <c r="B300" s="44" t="s">
        <v>845</v>
      </c>
      <c r="C300" s="53">
        <v>9</v>
      </c>
      <c r="D300" s="53"/>
      <c r="E300" s="20"/>
      <c r="F300" s="20" t="s">
        <v>205</v>
      </c>
      <c r="G300" s="20" t="s">
        <v>1217</v>
      </c>
      <c r="I300" s="21"/>
    </row>
    <row r="301" spans="1:9" ht="18" customHeight="1">
      <c r="A301" s="48">
        <v>300</v>
      </c>
      <c r="B301" s="44" t="s">
        <v>845</v>
      </c>
      <c r="C301" s="53">
        <v>9</v>
      </c>
      <c r="D301" s="53"/>
      <c r="E301" s="20"/>
      <c r="F301" s="20" t="s">
        <v>206</v>
      </c>
      <c r="G301" s="20" t="s">
        <v>1218</v>
      </c>
      <c r="I301" s="21"/>
    </row>
    <row r="302" spans="1:9" ht="18" customHeight="1">
      <c r="A302" s="48">
        <v>301</v>
      </c>
      <c r="B302" s="44" t="s">
        <v>845</v>
      </c>
      <c r="C302" s="53">
        <v>9</v>
      </c>
      <c r="D302" s="53"/>
      <c r="E302" s="20"/>
      <c r="F302" s="20" t="s">
        <v>207</v>
      </c>
      <c r="G302" s="20" t="s">
        <v>1219</v>
      </c>
      <c r="I302" s="21"/>
    </row>
    <row r="303" spans="1:9" ht="18" customHeight="1">
      <c r="A303" s="48">
        <v>302</v>
      </c>
      <c r="B303" s="44" t="s">
        <v>845</v>
      </c>
      <c r="C303" s="53">
        <v>9</v>
      </c>
      <c r="D303" s="53"/>
      <c r="E303" s="20"/>
      <c r="F303" s="20" t="s">
        <v>208</v>
      </c>
      <c r="G303" s="20" t="s">
        <v>1220</v>
      </c>
      <c r="I303" s="21"/>
    </row>
    <row r="304" spans="1:9" ht="18" customHeight="1">
      <c r="A304" s="48">
        <v>303</v>
      </c>
      <c r="B304" s="44" t="s">
        <v>845</v>
      </c>
      <c r="C304" s="53">
        <v>9</v>
      </c>
      <c r="D304" s="53"/>
      <c r="E304" s="20"/>
      <c r="F304" s="20" t="s">
        <v>209</v>
      </c>
      <c r="G304" s="20" t="s">
        <v>1221</v>
      </c>
      <c r="I304" s="21"/>
    </row>
    <row r="305" spans="1:9" ht="18" customHeight="1">
      <c r="A305" s="48">
        <v>304</v>
      </c>
      <c r="B305" s="44" t="s">
        <v>845</v>
      </c>
      <c r="C305" s="53">
        <v>9</v>
      </c>
      <c r="D305" s="53"/>
      <c r="E305" s="20"/>
      <c r="F305" s="20" t="s">
        <v>210</v>
      </c>
      <c r="G305" s="20" t="s">
        <v>1222</v>
      </c>
      <c r="I305" s="21"/>
    </row>
    <row r="306" spans="1:9" ht="18" customHeight="1">
      <c r="A306" s="48">
        <v>305</v>
      </c>
      <c r="B306" s="44" t="s">
        <v>845</v>
      </c>
      <c r="C306" s="53">
        <v>9</v>
      </c>
      <c r="D306" s="53"/>
      <c r="E306" s="20"/>
      <c r="F306" s="20" t="s">
        <v>211</v>
      </c>
      <c r="G306" s="20" t="s">
        <v>1223</v>
      </c>
      <c r="I306" s="21"/>
    </row>
    <row r="307" spans="1:9" ht="18" customHeight="1">
      <c r="A307" s="48">
        <v>306</v>
      </c>
      <c r="B307" s="44" t="s">
        <v>845</v>
      </c>
      <c r="C307" s="53">
        <v>9</v>
      </c>
      <c r="D307" s="53"/>
      <c r="E307" s="20"/>
      <c r="F307" s="20" t="s">
        <v>212</v>
      </c>
      <c r="G307" s="20" t="s">
        <v>1224</v>
      </c>
      <c r="I307" s="21"/>
    </row>
    <row r="308" spans="1:9" ht="18" customHeight="1">
      <c r="A308" s="48">
        <v>307</v>
      </c>
      <c r="B308" s="44" t="s">
        <v>845</v>
      </c>
      <c r="C308" s="53">
        <v>9</v>
      </c>
      <c r="D308" s="53"/>
      <c r="E308" s="20"/>
      <c r="F308" s="20" t="s">
        <v>404</v>
      </c>
      <c r="G308" s="20" t="s">
        <v>1225</v>
      </c>
      <c r="I308" s="21"/>
    </row>
    <row r="309" spans="1:9" ht="18" customHeight="1">
      <c r="A309" s="48">
        <v>308</v>
      </c>
      <c r="B309" s="44" t="s">
        <v>845</v>
      </c>
      <c r="C309" s="53">
        <v>9</v>
      </c>
      <c r="D309" s="53"/>
      <c r="E309" s="20"/>
      <c r="F309" s="20" t="s">
        <v>405</v>
      </c>
      <c r="G309" s="20" t="s">
        <v>1226</v>
      </c>
      <c r="I309" s="21"/>
    </row>
    <row r="310" spans="1:9" ht="18" customHeight="1">
      <c r="A310" s="48">
        <v>309</v>
      </c>
      <c r="B310" s="44" t="s">
        <v>845</v>
      </c>
      <c r="C310" s="53">
        <v>9</v>
      </c>
      <c r="D310" s="53"/>
      <c r="E310" s="20"/>
      <c r="F310" s="20" t="s">
        <v>406</v>
      </c>
      <c r="G310" s="20" t="s">
        <v>1227</v>
      </c>
      <c r="I310" s="21"/>
    </row>
    <row r="311" spans="1:9" ht="18" customHeight="1">
      <c r="A311" s="48">
        <v>310</v>
      </c>
      <c r="B311" s="44" t="s">
        <v>845</v>
      </c>
      <c r="C311" s="53">
        <v>9</v>
      </c>
      <c r="D311" s="53"/>
      <c r="E311" s="20"/>
      <c r="F311" s="20" t="s">
        <v>407</v>
      </c>
      <c r="G311" s="20" t="s">
        <v>1228</v>
      </c>
      <c r="I311" s="21"/>
    </row>
    <row r="312" spans="1:9" ht="18" customHeight="1">
      <c r="A312" s="48">
        <v>311</v>
      </c>
      <c r="B312" s="44" t="s">
        <v>845</v>
      </c>
      <c r="C312" s="53">
        <v>9</v>
      </c>
      <c r="D312" s="53"/>
      <c r="E312" s="20"/>
      <c r="F312" s="20" t="s">
        <v>408</v>
      </c>
      <c r="G312" s="20" t="s">
        <v>1229</v>
      </c>
      <c r="I312" s="21"/>
    </row>
    <row r="313" spans="1:9" ht="18" customHeight="1">
      <c r="A313" s="48">
        <v>312</v>
      </c>
      <c r="B313" s="44" t="s">
        <v>845</v>
      </c>
      <c r="C313" s="53">
        <v>9</v>
      </c>
      <c r="D313" s="53"/>
      <c r="E313" s="20"/>
      <c r="F313" s="20" t="s">
        <v>409</v>
      </c>
      <c r="G313" s="20" t="s">
        <v>1230</v>
      </c>
      <c r="I313" s="21"/>
    </row>
    <row r="314" spans="1:9" ht="18" customHeight="1">
      <c r="A314" s="48">
        <v>313</v>
      </c>
      <c r="B314" s="44" t="s">
        <v>845</v>
      </c>
      <c r="C314" s="53">
        <v>9</v>
      </c>
      <c r="D314" s="53"/>
      <c r="E314" s="20"/>
      <c r="F314" s="20" t="s">
        <v>410</v>
      </c>
      <c r="G314" s="20" t="s">
        <v>1231</v>
      </c>
      <c r="I314" s="21"/>
    </row>
    <row r="315" spans="1:9" ht="18" customHeight="1">
      <c r="A315" s="48">
        <v>314</v>
      </c>
      <c r="B315" s="44" t="s">
        <v>845</v>
      </c>
      <c r="C315" s="53">
        <v>9</v>
      </c>
      <c r="D315" s="53"/>
      <c r="E315" s="20"/>
      <c r="F315" s="20" t="s">
        <v>411</v>
      </c>
      <c r="G315" s="20" t="s">
        <v>1232</v>
      </c>
      <c r="I315" s="21"/>
    </row>
    <row r="316" spans="1:9" ht="18" customHeight="1">
      <c r="A316" s="48">
        <v>315</v>
      </c>
      <c r="B316" s="44" t="s">
        <v>845</v>
      </c>
      <c r="C316" s="53">
        <v>9</v>
      </c>
      <c r="D316" s="53"/>
      <c r="E316" s="20"/>
      <c r="F316" s="20" t="s">
        <v>412</v>
      </c>
      <c r="G316" s="20" t="s">
        <v>1233</v>
      </c>
      <c r="I316" s="21"/>
    </row>
    <row r="317" spans="1:9" ht="18" customHeight="1">
      <c r="A317" s="48">
        <v>316</v>
      </c>
      <c r="B317" s="44" t="s">
        <v>845</v>
      </c>
      <c r="C317" s="53">
        <v>9</v>
      </c>
      <c r="D317" s="53"/>
      <c r="E317" s="20"/>
      <c r="F317" s="20" t="s">
        <v>413</v>
      </c>
      <c r="G317" s="20" t="s">
        <v>1234</v>
      </c>
      <c r="I317" s="21"/>
    </row>
    <row r="318" spans="1:9" ht="18" customHeight="1">
      <c r="A318" s="48">
        <v>317</v>
      </c>
      <c r="B318" s="44" t="s">
        <v>845</v>
      </c>
      <c r="C318" s="53">
        <v>9</v>
      </c>
      <c r="D318" s="53"/>
      <c r="E318" s="20"/>
      <c r="F318" s="20" t="s">
        <v>414</v>
      </c>
      <c r="G318" s="20" t="s">
        <v>1235</v>
      </c>
      <c r="I318" s="21"/>
    </row>
    <row r="319" spans="1:9" ht="18" customHeight="1">
      <c r="A319" s="48">
        <v>318</v>
      </c>
      <c r="B319" s="44" t="s">
        <v>845</v>
      </c>
      <c r="C319" s="53">
        <v>9</v>
      </c>
      <c r="D319" s="53"/>
      <c r="E319" s="20"/>
      <c r="F319" s="20" t="s">
        <v>415</v>
      </c>
      <c r="G319" s="20" t="s">
        <v>1236</v>
      </c>
      <c r="I319" s="21"/>
    </row>
    <row r="320" spans="1:9" ht="18" customHeight="1">
      <c r="A320" s="48">
        <v>319</v>
      </c>
      <c r="B320" s="44" t="s">
        <v>845</v>
      </c>
      <c r="C320" s="53">
        <v>9</v>
      </c>
      <c r="D320" s="53"/>
      <c r="E320" s="20"/>
      <c r="F320" s="20" t="s">
        <v>416</v>
      </c>
      <c r="G320" s="20" t="s">
        <v>1237</v>
      </c>
      <c r="I320" s="21"/>
    </row>
    <row r="321" spans="1:9" ht="18" customHeight="1">
      <c r="A321" s="48">
        <v>320</v>
      </c>
      <c r="B321" s="44" t="s">
        <v>845</v>
      </c>
      <c r="C321" s="53">
        <v>9</v>
      </c>
      <c r="D321" s="53"/>
      <c r="E321" s="20"/>
      <c r="F321" s="20" t="s">
        <v>417</v>
      </c>
      <c r="G321" s="20" t="s">
        <v>1238</v>
      </c>
      <c r="I321" s="21"/>
    </row>
    <row r="322" spans="1:9" ht="18" customHeight="1">
      <c r="A322" s="48">
        <v>321</v>
      </c>
      <c r="B322" s="44" t="s">
        <v>845</v>
      </c>
      <c r="C322" s="53">
        <v>9</v>
      </c>
      <c r="D322" s="53"/>
      <c r="E322" s="20"/>
      <c r="F322" s="20" t="s">
        <v>418</v>
      </c>
      <c r="G322" s="20" t="s">
        <v>1239</v>
      </c>
      <c r="I322" s="21"/>
    </row>
    <row r="323" spans="1:9" ht="18" customHeight="1">
      <c r="A323" s="48">
        <v>322</v>
      </c>
      <c r="B323" s="44" t="s">
        <v>845</v>
      </c>
      <c r="C323" s="53">
        <v>9</v>
      </c>
      <c r="D323" s="53"/>
      <c r="E323" s="20"/>
      <c r="F323" s="20" t="s">
        <v>419</v>
      </c>
      <c r="G323" s="20" t="s">
        <v>1240</v>
      </c>
      <c r="I323" s="21"/>
    </row>
    <row r="324" spans="1:9" ht="18" customHeight="1">
      <c r="A324" s="48">
        <v>323</v>
      </c>
      <c r="B324" s="44" t="s">
        <v>845</v>
      </c>
      <c r="C324" s="53">
        <v>9</v>
      </c>
      <c r="D324" s="53"/>
      <c r="E324" s="20"/>
      <c r="F324" s="20" t="s">
        <v>420</v>
      </c>
      <c r="G324" s="20" t="s">
        <v>1241</v>
      </c>
      <c r="I324" s="21"/>
    </row>
    <row r="325" spans="1:9" ht="18" customHeight="1">
      <c r="A325" s="48">
        <v>324</v>
      </c>
      <c r="B325" s="44" t="s">
        <v>845</v>
      </c>
      <c r="C325" s="53">
        <v>9</v>
      </c>
      <c r="D325" s="53"/>
      <c r="E325" s="20"/>
      <c r="F325" s="20" t="s">
        <v>421</v>
      </c>
      <c r="G325" s="20" t="s">
        <v>1242</v>
      </c>
      <c r="I325" s="21"/>
    </row>
    <row r="326" spans="1:9" ht="18" customHeight="1">
      <c r="A326" s="48">
        <v>325</v>
      </c>
      <c r="B326" s="44" t="s">
        <v>845</v>
      </c>
      <c r="C326" s="53">
        <v>9</v>
      </c>
      <c r="D326" s="53"/>
      <c r="E326" s="20"/>
      <c r="F326" s="20" t="s">
        <v>422</v>
      </c>
      <c r="G326" s="20" t="s">
        <v>1243</v>
      </c>
      <c r="I326" s="21"/>
    </row>
    <row r="327" spans="1:9" ht="18" customHeight="1">
      <c r="A327" s="48">
        <v>326</v>
      </c>
      <c r="B327" s="44" t="s">
        <v>845</v>
      </c>
      <c r="C327" s="53">
        <v>9</v>
      </c>
      <c r="D327" s="53"/>
      <c r="E327" s="20"/>
      <c r="F327" s="20" t="s">
        <v>423</v>
      </c>
      <c r="G327" s="20" t="s">
        <v>1244</v>
      </c>
      <c r="I327" s="21"/>
    </row>
    <row r="328" spans="1:9" ht="18" customHeight="1">
      <c r="A328" s="48">
        <v>327</v>
      </c>
      <c r="B328" s="44" t="s">
        <v>845</v>
      </c>
      <c r="C328" s="53">
        <v>9</v>
      </c>
      <c r="D328" s="53"/>
      <c r="E328" s="20"/>
      <c r="F328" s="20" t="s">
        <v>424</v>
      </c>
      <c r="G328" s="20" t="s">
        <v>1245</v>
      </c>
      <c r="I328" s="21"/>
    </row>
    <row r="329" spans="1:9" ht="18" customHeight="1">
      <c r="A329" s="48">
        <v>328</v>
      </c>
      <c r="B329" s="44" t="s">
        <v>845</v>
      </c>
      <c r="C329" s="53">
        <v>9</v>
      </c>
      <c r="D329" s="53"/>
      <c r="E329" s="20"/>
      <c r="F329" s="20" t="s">
        <v>425</v>
      </c>
      <c r="G329" s="20" t="s">
        <v>1246</v>
      </c>
      <c r="I329" s="21"/>
    </row>
    <row r="330" spans="1:9" ht="18" customHeight="1">
      <c r="A330" s="48">
        <v>329</v>
      </c>
      <c r="B330" s="44" t="s">
        <v>845</v>
      </c>
      <c r="C330" s="53">
        <v>9</v>
      </c>
      <c r="D330" s="53"/>
      <c r="E330" s="20"/>
      <c r="F330" s="20" t="s">
        <v>426</v>
      </c>
      <c r="G330" s="20" t="s">
        <v>1247</v>
      </c>
      <c r="I330" s="21"/>
    </row>
    <row r="331" spans="1:9" ht="18" customHeight="1">
      <c r="A331" s="48">
        <v>330</v>
      </c>
      <c r="B331" s="44" t="s">
        <v>845</v>
      </c>
      <c r="C331" s="53">
        <v>9</v>
      </c>
      <c r="D331" s="53"/>
      <c r="E331" s="20"/>
      <c r="F331" s="20" t="s">
        <v>427</v>
      </c>
      <c r="G331" s="20" t="s">
        <v>1248</v>
      </c>
      <c r="I331" s="21"/>
    </row>
    <row r="332" spans="1:9" ht="18" customHeight="1">
      <c r="A332" s="48">
        <v>331</v>
      </c>
      <c r="B332" s="44" t="s">
        <v>845</v>
      </c>
      <c r="C332" s="53">
        <v>9</v>
      </c>
      <c r="D332" s="53"/>
      <c r="E332" s="20"/>
      <c r="F332" s="20" t="s">
        <v>428</v>
      </c>
      <c r="G332" s="20" t="s">
        <v>1249</v>
      </c>
      <c r="I332" s="21"/>
    </row>
    <row r="333" spans="1:9" ht="18" customHeight="1">
      <c r="A333" s="48">
        <v>332</v>
      </c>
      <c r="B333" s="44" t="s">
        <v>845</v>
      </c>
      <c r="C333" s="53">
        <v>9</v>
      </c>
      <c r="D333" s="53"/>
      <c r="E333" s="20"/>
      <c r="F333" s="20" t="s">
        <v>429</v>
      </c>
      <c r="G333" s="20" t="s">
        <v>1250</v>
      </c>
      <c r="I333" s="21"/>
    </row>
    <row r="334" spans="1:9" ht="18" customHeight="1">
      <c r="A334" s="48">
        <v>333</v>
      </c>
      <c r="B334" s="44" t="s">
        <v>845</v>
      </c>
      <c r="C334" s="53">
        <v>9</v>
      </c>
      <c r="D334" s="53"/>
      <c r="E334" s="20"/>
      <c r="F334" s="20" t="s">
        <v>430</v>
      </c>
      <c r="G334" s="20" t="s">
        <v>1251</v>
      </c>
      <c r="I334" s="21"/>
    </row>
    <row r="335" spans="1:9" ht="18" customHeight="1">
      <c r="A335" s="48">
        <v>334</v>
      </c>
      <c r="B335" s="44" t="s">
        <v>845</v>
      </c>
      <c r="C335" s="53">
        <v>9</v>
      </c>
      <c r="D335" s="53"/>
      <c r="E335" s="20"/>
      <c r="F335" s="20" t="s">
        <v>431</v>
      </c>
      <c r="G335" s="20" t="s">
        <v>1252</v>
      </c>
      <c r="I335" s="21"/>
    </row>
    <row r="336" spans="1:9" ht="18" customHeight="1">
      <c r="A336" s="48">
        <v>335</v>
      </c>
      <c r="B336" s="44" t="s">
        <v>845</v>
      </c>
      <c r="C336" s="53">
        <v>9</v>
      </c>
      <c r="D336" s="53"/>
      <c r="E336" s="20"/>
      <c r="F336" s="20" t="s">
        <v>432</v>
      </c>
      <c r="G336" s="20" t="s">
        <v>1253</v>
      </c>
      <c r="I336" s="21"/>
    </row>
    <row r="337" spans="1:9" ht="18" customHeight="1">
      <c r="A337" s="48">
        <v>336</v>
      </c>
      <c r="B337" s="44" t="s">
        <v>845</v>
      </c>
      <c r="C337" s="53">
        <v>9</v>
      </c>
      <c r="D337" s="53"/>
      <c r="E337" s="20"/>
      <c r="F337" s="20" t="s">
        <v>433</v>
      </c>
      <c r="G337" s="20" t="s">
        <v>1254</v>
      </c>
      <c r="I337" s="21"/>
    </row>
    <row r="338" spans="1:9" ht="18" customHeight="1">
      <c r="A338" s="48">
        <v>337</v>
      </c>
      <c r="B338" s="44" t="s">
        <v>845</v>
      </c>
      <c r="C338" s="53">
        <v>9</v>
      </c>
      <c r="D338" s="53"/>
      <c r="E338" s="20"/>
      <c r="F338" s="20" t="s">
        <v>434</v>
      </c>
      <c r="G338" s="20" t="s">
        <v>1255</v>
      </c>
      <c r="I338" s="21"/>
    </row>
    <row r="339" spans="1:9" ht="18" customHeight="1">
      <c r="A339" s="48">
        <v>338</v>
      </c>
      <c r="B339" s="44" t="s">
        <v>845</v>
      </c>
      <c r="C339" s="53">
        <v>9</v>
      </c>
      <c r="D339" s="53"/>
      <c r="E339" s="20"/>
      <c r="F339" s="20" t="s">
        <v>435</v>
      </c>
      <c r="G339" s="20" t="s">
        <v>1256</v>
      </c>
      <c r="I339" s="21"/>
    </row>
    <row r="340" spans="1:9" ht="18" customHeight="1">
      <c r="A340" s="48">
        <v>339</v>
      </c>
      <c r="B340" s="44" t="s">
        <v>845</v>
      </c>
      <c r="C340" s="53">
        <v>9</v>
      </c>
      <c r="D340" s="53"/>
      <c r="E340" s="20"/>
      <c r="F340" s="20" t="s">
        <v>436</v>
      </c>
      <c r="G340" s="20" t="s">
        <v>1257</v>
      </c>
      <c r="I340" s="21"/>
    </row>
    <row r="341" spans="1:9" ht="18" customHeight="1">
      <c r="A341" s="48">
        <v>340</v>
      </c>
      <c r="B341" s="44" t="s">
        <v>845</v>
      </c>
      <c r="C341" s="53">
        <v>9</v>
      </c>
      <c r="D341" s="53"/>
      <c r="E341" s="20"/>
      <c r="F341" s="20" t="s">
        <v>437</v>
      </c>
      <c r="G341" s="20" t="s">
        <v>1258</v>
      </c>
      <c r="I341" s="21"/>
    </row>
    <row r="342" spans="1:9" ht="18" customHeight="1">
      <c r="A342" s="48">
        <v>341</v>
      </c>
      <c r="B342" s="44" t="s">
        <v>845</v>
      </c>
      <c r="C342" s="53">
        <v>9</v>
      </c>
      <c r="D342" s="53"/>
      <c r="E342" s="20"/>
      <c r="F342" s="20" t="s">
        <v>438</v>
      </c>
      <c r="G342" s="20" t="s">
        <v>1259</v>
      </c>
      <c r="I342" s="21"/>
    </row>
    <row r="343" spans="1:9" ht="18" customHeight="1">
      <c r="A343" s="48">
        <v>342</v>
      </c>
      <c r="B343" s="44" t="s">
        <v>845</v>
      </c>
      <c r="C343" s="53">
        <v>9</v>
      </c>
      <c r="D343" s="53"/>
      <c r="E343" s="20"/>
      <c r="F343" s="20" t="s">
        <v>439</v>
      </c>
      <c r="G343" s="20" t="s">
        <v>1260</v>
      </c>
      <c r="I343" s="21"/>
    </row>
    <row r="344" spans="1:9" ht="18" customHeight="1">
      <c r="A344" s="48">
        <v>343</v>
      </c>
      <c r="B344" s="44" t="s">
        <v>845</v>
      </c>
      <c r="C344" s="53">
        <v>9</v>
      </c>
      <c r="D344" s="53"/>
      <c r="E344" s="20"/>
      <c r="F344" s="20" t="s">
        <v>440</v>
      </c>
      <c r="G344" s="20" t="s">
        <v>1261</v>
      </c>
      <c r="I344" s="21"/>
    </row>
    <row r="345" spans="1:9" ht="18" customHeight="1">
      <c r="A345" s="48">
        <v>344</v>
      </c>
      <c r="B345" s="44" t="s">
        <v>845</v>
      </c>
      <c r="C345" s="53">
        <v>9</v>
      </c>
      <c r="D345" s="53"/>
      <c r="E345" s="20"/>
      <c r="F345" s="20" t="s">
        <v>441</v>
      </c>
      <c r="G345" s="20" t="s">
        <v>1262</v>
      </c>
      <c r="I345" s="21"/>
    </row>
    <row r="346" spans="1:9" ht="18" customHeight="1">
      <c r="A346" s="48">
        <v>345</v>
      </c>
      <c r="B346" s="44" t="s">
        <v>845</v>
      </c>
      <c r="C346" s="53">
        <v>9</v>
      </c>
      <c r="D346" s="53"/>
      <c r="E346" s="20"/>
      <c r="F346" s="20" t="s">
        <v>442</v>
      </c>
      <c r="G346" s="20" t="s">
        <v>1263</v>
      </c>
      <c r="I346" s="21"/>
    </row>
    <row r="347" spans="1:9" ht="18" customHeight="1">
      <c r="A347" s="48">
        <v>346</v>
      </c>
      <c r="B347" s="44" t="s">
        <v>845</v>
      </c>
      <c r="C347" s="53">
        <v>9</v>
      </c>
      <c r="D347" s="53"/>
      <c r="E347" s="20"/>
      <c r="F347" s="20" t="s">
        <v>443</v>
      </c>
      <c r="G347" s="20" t="s">
        <v>1264</v>
      </c>
      <c r="I347" s="21"/>
    </row>
    <row r="348" spans="1:9" ht="18" customHeight="1">
      <c r="A348" s="48">
        <v>347</v>
      </c>
      <c r="B348" s="44" t="s">
        <v>845</v>
      </c>
      <c r="C348" s="53">
        <v>9</v>
      </c>
      <c r="D348" s="53"/>
      <c r="E348" s="20"/>
      <c r="F348" s="20" t="s">
        <v>444</v>
      </c>
      <c r="G348" s="20" t="s">
        <v>1265</v>
      </c>
      <c r="I348" s="21"/>
    </row>
    <row r="349" spans="1:9" ht="18" customHeight="1">
      <c r="A349" s="48">
        <v>348</v>
      </c>
      <c r="B349" s="44" t="s">
        <v>845</v>
      </c>
      <c r="C349" s="53">
        <v>9</v>
      </c>
      <c r="D349" s="53"/>
      <c r="E349" s="20"/>
      <c r="F349" s="20" t="s">
        <v>445</v>
      </c>
      <c r="G349" s="20" t="s">
        <v>746</v>
      </c>
      <c r="I349" s="21"/>
    </row>
    <row r="350" spans="1:9" ht="18" customHeight="1">
      <c r="A350" s="48">
        <v>349</v>
      </c>
      <c r="B350" s="44" t="s">
        <v>845</v>
      </c>
      <c r="C350" s="53">
        <v>9</v>
      </c>
      <c r="D350" s="53"/>
      <c r="E350" s="20"/>
      <c r="F350" s="20" t="s">
        <v>446</v>
      </c>
      <c r="G350" s="20" t="s">
        <v>747</v>
      </c>
      <c r="I350" s="21"/>
    </row>
    <row r="351" spans="1:9" ht="18" customHeight="1">
      <c r="A351" s="48">
        <v>350</v>
      </c>
      <c r="B351" s="44" t="s">
        <v>845</v>
      </c>
      <c r="C351" s="53">
        <v>9</v>
      </c>
      <c r="D351" s="53"/>
      <c r="E351" s="20"/>
      <c r="F351" s="20" t="s">
        <v>447</v>
      </c>
      <c r="G351" s="20" t="s">
        <v>1266</v>
      </c>
      <c r="I351" s="21"/>
    </row>
    <row r="352" spans="1:9" ht="18" customHeight="1">
      <c r="A352" s="48">
        <v>351</v>
      </c>
      <c r="B352" s="44" t="s">
        <v>845</v>
      </c>
      <c r="C352" s="53">
        <v>9</v>
      </c>
      <c r="D352" s="53"/>
      <c r="E352" s="20"/>
      <c r="F352" s="20" t="s">
        <v>448</v>
      </c>
      <c r="G352" s="20" t="s">
        <v>1267</v>
      </c>
      <c r="I352" s="21"/>
    </row>
    <row r="353" spans="1:9" ht="18" customHeight="1">
      <c r="A353" s="48">
        <v>352</v>
      </c>
      <c r="B353" s="44" t="s">
        <v>845</v>
      </c>
      <c r="C353" s="53">
        <v>9</v>
      </c>
      <c r="D353" s="53"/>
      <c r="E353" s="20"/>
      <c r="F353" s="20" t="s">
        <v>449</v>
      </c>
      <c r="G353" s="20" t="s">
        <v>1268</v>
      </c>
      <c r="I353" s="21"/>
    </row>
    <row r="354" spans="1:9" ht="18" customHeight="1">
      <c r="A354" s="48">
        <v>353</v>
      </c>
      <c r="B354" s="44" t="s">
        <v>845</v>
      </c>
      <c r="C354" s="53">
        <v>9</v>
      </c>
      <c r="D354" s="53"/>
      <c r="E354" s="20"/>
      <c r="F354" s="20" t="s">
        <v>450</v>
      </c>
      <c r="G354" s="20" t="s">
        <v>1269</v>
      </c>
      <c r="I354" s="21"/>
    </row>
    <row r="355" spans="1:9" ht="18" customHeight="1">
      <c r="A355" s="48">
        <v>354</v>
      </c>
      <c r="B355" s="44" t="s">
        <v>845</v>
      </c>
      <c r="C355" s="53">
        <v>9</v>
      </c>
      <c r="D355" s="53"/>
      <c r="E355" s="20"/>
      <c r="F355" s="20" t="s">
        <v>451</v>
      </c>
      <c r="G355" s="20" t="s">
        <v>1270</v>
      </c>
      <c r="I355" s="21"/>
    </row>
    <row r="356" spans="1:9" ht="18" customHeight="1">
      <c r="A356" s="48">
        <v>355</v>
      </c>
      <c r="B356" s="44" t="s">
        <v>845</v>
      </c>
      <c r="C356" s="53">
        <v>9</v>
      </c>
      <c r="D356" s="53"/>
      <c r="E356" s="20"/>
      <c r="F356" s="20" t="s">
        <v>452</v>
      </c>
      <c r="G356" s="20" t="s">
        <v>1271</v>
      </c>
      <c r="I356" s="21"/>
    </row>
    <row r="357" spans="1:9" ht="18" customHeight="1">
      <c r="A357" s="48">
        <v>356</v>
      </c>
      <c r="B357" s="44" t="s">
        <v>845</v>
      </c>
      <c r="C357" s="53">
        <v>9</v>
      </c>
      <c r="D357" s="53"/>
      <c r="E357" s="20"/>
      <c r="F357" s="20" t="s">
        <v>453</v>
      </c>
      <c r="G357" s="20" t="s">
        <v>1272</v>
      </c>
      <c r="I357" s="21"/>
    </row>
    <row r="358" spans="1:9" ht="18" customHeight="1">
      <c r="A358" s="48">
        <v>357</v>
      </c>
      <c r="B358" s="44" t="s">
        <v>845</v>
      </c>
      <c r="C358" s="53">
        <v>9</v>
      </c>
      <c r="D358" s="53"/>
      <c r="E358" s="20"/>
      <c r="F358" s="20" t="s">
        <v>454</v>
      </c>
      <c r="G358" s="20" t="s">
        <v>1273</v>
      </c>
      <c r="I358" s="21"/>
    </row>
    <row r="359" spans="1:9" ht="18" customHeight="1">
      <c r="A359" s="48">
        <v>358</v>
      </c>
      <c r="B359" s="44" t="s">
        <v>845</v>
      </c>
      <c r="C359" s="53">
        <v>9</v>
      </c>
      <c r="D359" s="53"/>
      <c r="E359" s="20"/>
      <c r="F359" s="20" t="s">
        <v>455</v>
      </c>
      <c r="G359" s="20" t="s">
        <v>1274</v>
      </c>
      <c r="I359" s="21"/>
    </row>
    <row r="360" spans="1:9" ht="18" customHeight="1">
      <c r="A360" s="48">
        <v>359</v>
      </c>
      <c r="B360" s="44" t="s">
        <v>845</v>
      </c>
      <c r="C360" s="53">
        <v>9</v>
      </c>
      <c r="D360" s="53"/>
      <c r="E360" s="20"/>
      <c r="F360" s="20" t="s">
        <v>456</v>
      </c>
      <c r="G360" s="20" t="s">
        <v>1275</v>
      </c>
      <c r="I360" s="21"/>
    </row>
    <row r="361" spans="1:9" ht="18" customHeight="1">
      <c r="A361" s="48">
        <v>360</v>
      </c>
      <c r="B361" s="44" t="s">
        <v>845</v>
      </c>
      <c r="C361" s="53">
        <v>9</v>
      </c>
      <c r="D361" s="53"/>
      <c r="E361" s="20"/>
      <c r="F361" s="20" t="s">
        <v>458</v>
      </c>
      <c r="G361" s="20" t="s">
        <v>1276</v>
      </c>
      <c r="I361" s="21"/>
    </row>
    <row r="362" spans="1:9" ht="18" customHeight="1">
      <c r="A362" s="48">
        <v>361</v>
      </c>
      <c r="B362" s="44" t="s">
        <v>845</v>
      </c>
      <c r="C362" s="53">
        <v>9</v>
      </c>
      <c r="D362" s="53"/>
      <c r="E362" s="20"/>
      <c r="F362" s="20" t="s">
        <v>459</v>
      </c>
      <c r="G362" s="20" t="s">
        <v>1277</v>
      </c>
      <c r="I362" s="21"/>
    </row>
    <row r="363" spans="1:9" ht="18" customHeight="1">
      <c r="A363" s="48">
        <v>362</v>
      </c>
      <c r="B363" s="44" t="s">
        <v>845</v>
      </c>
      <c r="C363" s="53">
        <v>9</v>
      </c>
      <c r="D363" s="53"/>
      <c r="E363" s="20"/>
      <c r="F363" s="20" t="s">
        <v>460</v>
      </c>
      <c r="G363" s="20" t="s">
        <v>1278</v>
      </c>
      <c r="I363" s="21"/>
    </row>
    <row r="364" spans="1:9" ht="18" customHeight="1">
      <c r="A364" s="48">
        <v>363</v>
      </c>
      <c r="B364" s="44" t="s">
        <v>845</v>
      </c>
      <c r="C364" s="53">
        <v>9</v>
      </c>
      <c r="D364" s="53"/>
      <c r="E364" s="20"/>
      <c r="F364" s="20" t="s">
        <v>461</v>
      </c>
      <c r="G364" s="20" t="s">
        <v>1279</v>
      </c>
      <c r="I364" s="21"/>
    </row>
    <row r="365" spans="1:9" ht="18" customHeight="1">
      <c r="A365" s="48">
        <v>364</v>
      </c>
      <c r="B365" s="44" t="s">
        <v>845</v>
      </c>
      <c r="C365" s="53">
        <v>9</v>
      </c>
      <c r="D365" s="53"/>
      <c r="E365" s="20"/>
      <c r="F365" s="20" t="s">
        <v>462</v>
      </c>
      <c r="G365" s="20" t="s">
        <v>1280</v>
      </c>
      <c r="I365" s="21"/>
    </row>
    <row r="366" spans="1:9" ht="18" customHeight="1">
      <c r="A366" s="48">
        <v>365</v>
      </c>
      <c r="B366" s="44" t="s">
        <v>845</v>
      </c>
      <c r="C366" s="53">
        <v>9</v>
      </c>
      <c r="D366" s="53"/>
      <c r="E366" s="20"/>
      <c r="F366" s="20" t="s">
        <v>463</v>
      </c>
      <c r="G366" s="20" t="s">
        <v>1281</v>
      </c>
      <c r="I366" s="21"/>
    </row>
    <row r="367" spans="1:9" ht="18" customHeight="1">
      <c r="A367" s="48">
        <v>366</v>
      </c>
      <c r="B367" s="44" t="s">
        <v>845</v>
      </c>
      <c r="C367" s="53">
        <v>9</v>
      </c>
      <c r="D367" s="53"/>
      <c r="E367" s="20"/>
      <c r="F367" s="20" t="s">
        <v>464</v>
      </c>
      <c r="G367" s="20" t="s">
        <v>1282</v>
      </c>
      <c r="I367" s="21"/>
    </row>
    <row r="368" spans="1:9" ht="18" customHeight="1">
      <c r="A368" s="48">
        <v>367</v>
      </c>
      <c r="B368" s="44" t="s">
        <v>845</v>
      </c>
      <c r="C368" s="53">
        <v>9</v>
      </c>
      <c r="D368" s="53"/>
      <c r="E368" s="20"/>
      <c r="F368" s="20" t="s">
        <v>465</v>
      </c>
      <c r="G368" s="20" t="s">
        <v>1283</v>
      </c>
      <c r="I368" s="21"/>
    </row>
    <row r="369" spans="1:9" ht="18" customHeight="1">
      <c r="A369" s="48">
        <v>368</v>
      </c>
      <c r="B369" s="44" t="s">
        <v>845</v>
      </c>
      <c r="C369" s="53">
        <v>9</v>
      </c>
      <c r="D369" s="53"/>
      <c r="E369" s="20"/>
      <c r="F369" s="20" t="s">
        <v>466</v>
      </c>
      <c r="G369" s="20" t="s">
        <v>1284</v>
      </c>
      <c r="I369" s="21"/>
    </row>
    <row r="370" spans="1:9" ht="18" customHeight="1">
      <c r="A370" s="48">
        <v>369</v>
      </c>
      <c r="B370" s="44" t="s">
        <v>845</v>
      </c>
      <c r="C370" s="53">
        <v>9</v>
      </c>
      <c r="D370" s="53"/>
      <c r="E370" s="20"/>
      <c r="F370" s="20" t="s">
        <v>467</v>
      </c>
      <c r="G370" s="20" t="s">
        <v>1285</v>
      </c>
      <c r="I370" s="21"/>
    </row>
    <row r="371" spans="1:9" ht="18" customHeight="1">
      <c r="A371" s="48">
        <v>370</v>
      </c>
      <c r="B371" s="44" t="s">
        <v>762</v>
      </c>
      <c r="C371" s="53">
        <v>9</v>
      </c>
      <c r="D371" s="53"/>
      <c r="E371" s="20" t="s">
        <v>103</v>
      </c>
      <c r="F371" s="20" t="s">
        <v>645</v>
      </c>
      <c r="G371" s="20" t="s">
        <v>1286</v>
      </c>
      <c r="I371" s="21"/>
    </row>
    <row r="372" spans="1:9" ht="18" customHeight="1">
      <c r="A372" s="48">
        <v>371</v>
      </c>
      <c r="B372" s="44" t="s">
        <v>762</v>
      </c>
      <c r="C372" s="53">
        <v>9</v>
      </c>
      <c r="D372" s="53"/>
      <c r="E372" s="20" t="s">
        <v>103</v>
      </c>
      <c r="F372" s="20" t="s">
        <v>646</v>
      </c>
      <c r="G372" s="20" t="s">
        <v>1287</v>
      </c>
      <c r="I372" s="21"/>
    </row>
    <row r="373" spans="1:9" ht="18" customHeight="1">
      <c r="A373" s="48">
        <v>372</v>
      </c>
      <c r="B373" s="44" t="s">
        <v>762</v>
      </c>
      <c r="C373" s="53">
        <v>9</v>
      </c>
      <c r="D373" s="53"/>
      <c r="E373" s="20" t="s">
        <v>103</v>
      </c>
      <c r="F373" s="20" t="s">
        <v>647</v>
      </c>
      <c r="G373" s="20" t="s">
        <v>1288</v>
      </c>
      <c r="I373" s="21"/>
    </row>
    <row r="374" spans="1:9" ht="18" customHeight="1">
      <c r="A374" s="48">
        <v>373</v>
      </c>
      <c r="B374" s="44" t="s">
        <v>762</v>
      </c>
      <c r="C374" s="53">
        <v>9</v>
      </c>
      <c r="D374" s="53"/>
      <c r="E374" s="20" t="s">
        <v>103</v>
      </c>
      <c r="F374" s="20" t="s">
        <v>648</v>
      </c>
      <c r="G374" s="20" t="s">
        <v>1289</v>
      </c>
      <c r="I374" s="21"/>
    </row>
    <row r="375" spans="1:9" ht="18" customHeight="1">
      <c r="A375" s="48">
        <v>374</v>
      </c>
      <c r="B375" s="44" t="s">
        <v>762</v>
      </c>
      <c r="C375" s="53">
        <v>9</v>
      </c>
      <c r="D375" s="53"/>
      <c r="E375" s="20" t="s">
        <v>103</v>
      </c>
      <c r="F375" s="20" t="s">
        <v>649</v>
      </c>
      <c r="G375" s="20" t="s">
        <v>1290</v>
      </c>
      <c r="I375" s="21"/>
    </row>
    <row r="376" spans="1:9" ht="18" customHeight="1">
      <c r="A376" s="48">
        <v>375</v>
      </c>
      <c r="B376" s="44" t="s">
        <v>762</v>
      </c>
      <c r="C376" s="53">
        <v>9</v>
      </c>
      <c r="D376" s="53"/>
      <c r="E376" s="20" t="s">
        <v>103</v>
      </c>
      <c r="F376" s="20" t="s">
        <v>650</v>
      </c>
      <c r="G376" s="20" t="s">
        <v>1291</v>
      </c>
      <c r="I376" s="21"/>
    </row>
    <row r="377" spans="1:9" ht="18" customHeight="1">
      <c r="A377" s="48">
        <v>376</v>
      </c>
      <c r="B377" s="44" t="s">
        <v>762</v>
      </c>
      <c r="C377" s="53">
        <v>9</v>
      </c>
      <c r="D377" s="53"/>
      <c r="E377" s="20" t="s">
        <v>103</v>
      </c>
      <c r="F377" s="20" t="s">
        <v>651</v>
      </c>
      <c r="G377" s="20" t="s">
        <v>1292</v>
      </c>
      <c r="I377" s="21"/>
    </row>
    <row r="378" spans="1:9" ht="18" customHeight="1">
      <c r="A378" s="48">
        <v>377</v>
      </c>
      <c r="B378" s="44" t="s">
        <v>762</v>
      </c>
      <c r="C378" s="53">
        <v>9</v>
      </c>
      <c r="D378" s="53"/>
      <c r="E378" s="20" t="s">
        <v>103</v>
      </c>
      <c r="F378" s="20" t="s">
        <v>652</v>
      </c>
      <c r="G378" s="20" t="s">
        <v>1293</v>
      </c>
      <c r="I378" s="21"/>
    </row>
    <row r="379" spans="1:9" ht="18" customHeight="1">
      <c r="A379" s="48">
        <v>378</v>
      </c>
      <c r="B379" s="44" t="s">
        <v>762</v>
      </c>
      <c r="C379" s="53">
        <v>9</v>
      </c>
      <c r="D379" s="53"/>
      <c r="E379" s="20" t="s">
        <v>103</v>
      </c>
      <c r="F379" s="20" t="s">
        <v>653</v>
      </c>
      <c r="G379" s="20" t="s">
        <v>1294</v>
      </c>
      <c r="I379" s="21"/>
    </row>
    <row r="380" spans="1:9" ht="18" customHeight="1">
      <c r="A380" s="48">
        <v>379</v>
      </c>
      <c r="B380" s="44" t="s">
        <v>762</v>
      </c>
      <c r="C380" s="53">
        <v>9</v>
      </c>
      <c r="D380" s="53"/>
      <c r="E380" s="20" t="s">
        <v>103</v>
      </c>
      <c r="F380" s="20" t="s">
        <v>654</v>
      </c>
      <c r="G380" s="20" t="s">
        <v>1295</v>
      </c>
      <c r="I380" s="21"/>
    </row>
    <row r="381" spans="1:9" ht="18" customHeight="1">
      <c r="A381" s="48">
        <v>380</v>
      </c>
      <c r="B381" s="44" t="s">
        <v>762</v>
      </c>
      <c r="C381" s="53">
        <v>9</v>
      </c>
      <c r="D381" s="53"/>
      <c r="E381" s="20" t="s">
        <v>103</v>
      </c>
      <c r="F381" s="20" t="s">
        <v>655</v>
      </c>
      <c r="G381" s="20" t="s">
        <v>1296</v>
      </c>
      <c r="I381" s="21"/>
    </row>
    <row r="382" spans="1:9" ht="18" customHeight="1">
      <c r="A382" s="48">
        <v>381</v>
      </c>
      <c r="B382" s="44" t="s">
        <v>762</v>
      </c>
      <c r="C382" s="53">
        <v>9</v>
      </c>
      <c r="D382" s="53"/>
      <c r="E382" s="20" t="s">
        <v>103</v>
      </c>
      <c r="F382" s="20" t="s">
        <v>656</v>
      </c>
      <c r="G382" s="20" t="s">
        <v>1297</v>
      </c>
      <c r="I382" s="21"/>
    </row>
    <row r="383" spans="1:9" ht="18" customHeight="1">
      <c r="A383" s="48">
        <v>382</v>
      </c>
      <c r="B383" s="44" t="s">
        <v>762</v>
      </c>
      <c r="C383" s="53">
        <v>9</v>
      </c>
      <c r="D383" s="53"/>
      <c r="E383" s="20" t="s">
        <v>103</v>
      </c>
      <c r="F383" s="20" t="s">
        <v>657</v>
      </c>
      <c r="G383" s="20" t="s">
        <v>1298</v>
      </c>
      <c r="I383" s="21"/>
    </row>
    <row r="384" spans="1:9" ht="18" customHeight="1">
      <c r="A384" s="48">
        <v>383</v>
      </c>
      <c r="B384" s="44" t="s">
        <v>762</v>
      </c>
      <c r="C384" s="53">
        <v>9</v>
      </c>
      <c r="D384" s="53"/>
      <c r="E384" s="20" t="s">
        <v>103</v>
      </c>
      <c r="F384" s="20" t="s">
        <v>658</v>
      </c>
      <c r="G384" s="20" t="s">
        <v>1299</v>
      </c>
      <c r="I384" s="21"/>
    </row>
    <row r="385" spans="1:9" ht="18" customHeight="1">
      <c r="A385" s="48">
        <v>384</v>
      </c>
      <c r="B385" s="44" t="s">
        <v>762</v>
      </c>
      <c r="C385" s="53">
        <v>9</v>
      </c>
      <c r="D385" s="53"/>
      <c r="E385" s="20" t="s">
        <v>103</v>
      </c>
      <c r="F385" s="20" t="s">
        <v>659</v>
      </c>
      <c r="G385" s="20" t="s">
        <v>1300</v>
      </c>
      <c r="I385" s="21"/>
    </row>
    <row r="386" spans="1:9" ht="18" customHeight="1">
      <c r="A386" s="48">
        <v>385</v>
      </c>
      <c r="B386" s="44" t="s">
        <v>762</v>
      </c>
      <c r="C386" s="53">
        <v>9</v>
      </c>
      <c r="D386" s="53"/>
      <c r="E386" s="20" t="s">
        <v>103</v>
      </c>
      <c r="F386" s="20" t="s">
        <v>660</v>
      </c>
      <c r="G386" s="20" t="s">
        <v>1301</v>
      </c>
      <c r="I386" s="21"/>
    </row>
    <row r="387" spans="1:9" ht="18" customHeight="1">
      <c r="A387" s="48">
        <v>386</v>
      </c>
      <c r="B387" s="44" t="s">
        <v>762</v>
      </c>
      <c r="C387" s="53">
        <v>9</v>
      </c>
      <c r="D387" s="53"/>
      <c r="E387" s="20" t="s">
        <v>103</v>
      </c>
      <c r="F387" s="20" t="s">
        <v>661</v>
      </c>
      <c r="G387" s="20" t="s">
        <v>1302</v>
      </c>
      <c r="I387" s="21"/>
    </row>
    <row r="388" spans="1:9" ht="18" customHeight="1">
      <c r="A388" s="48">
        <v>387</v>
      </c>
      <c r="B388" s="44" t="s">
        <v>762</v>
      </c>
      <c r="C388" s="53">
        <v>9</v>
      </c>
      <c r="D388" s="53"/>
      <c r="E388" s="20" t="s">
        <v>103</v>
      </c>
      <c r="F388" s="20" t="s">
        <v>662</v>
      </c>
      <c r="G388" s="20" t="s">
        <v>1303</v>
      </c>
      <c r="I388" s="21"/>
    </row>
    <row r="389" spans="1:9" ht="18" customHeight="1">
      <c r="A389" s="48">
        <v>388</v>
      </c>
      <c r="B389" s="44" t="s">
        <v>762</v>
      </c>
      <c r="C389" s="53">
        <v>9</v>
      </c>
      <c r="D389" s="53"/>
      <c r="E389" s="20" t="s">
        <v>103</v>
      </c>
      <c r="F389" s="20" t="s">
        <v>663</v>
      </c>
      <c r="G389" s="20" t="s">
        <v>1304</v>
      </c>
      <c r="I389" s="21"/>
    </row>
    <row r="390" spans="1:9" ht="18" customHeight="1">
      <c r="A390" s="48">
        <v>389</v>
      </c>
      <c r="B390" s="44" t="s">
        <v>762</v>
      </c>
      <c r="C390" s="53">
        <v>9</v>
      </c>
      <c r="D390" s="53"/>
      <c r="E390" s="20" t="s">
        <v>103</v>
      </c>
      <c r="F390" s="20" t="s">
        <v>664</v>
      </c>
      <c r="G390" s="20" t="s">
        <v>1259</v>
      </c>
      <c r="I390" s="21"/>
    </row>
    <row r="391" spans="1:9" ht="18" customHeight="1">
      <c r="A391" s="48">
        <v>390</v>
      </c>
      <c r="B391" s="44" t="s">
        <v>762</v>
      </c>
      <c r="C391" s="53">
        <v>9</v>
      </c>
      <c r="D391" s="53"/>
      <c r="E391" s="20" t="s">
        <v>103</v>
      </c>
      <c r="F391" s="20" t="s">
        <v>665</v>
      </c>
      <c r="G391" s="20" t="s">
        <v>1260</v>
      </c>
      <c r="I391" s="21"/>
    </row>
    <row r="392" spans="1:9" ht="18" customHeight="1">
      <c r="A392" s="48">
        <v>391</v>
      </c>
      <c r="B392" s="44" t="s">
        <v>762</v>
      </c>
      <c r="C392" s="53">
        <v>9</v>
      </c>
      <c r="D392" s="53"/>
      <c r="E392" s="20" t="s">
        <v>103</v>
      </c>
      <c r="F392" s="20" t="s">
        <v>666</v>
      </c>
      <c r="G392" s="20" t="s">
        <v>1261</v>
      </c>
      <c r="I392" s="21"/>
    </row>
    <row r="393" spans="1:9" ht="18" customHeight="1">
      <c r="A393" s="48">
        <v>392</v>
      </c>
      <c r="B393" s="44" t="s">
        <v>762</v>
      </c>
      <c r="C393" s="53">
        <v>9</v>
      </c>
      <c r="D393" s="53"/>
      <c r="E393" s="20" t="s">
        <v>103</v>
      </c>
      <c r="F393" s="20" t="s">
        <v>667</v>
      </c>
      <c r="G393" s="20" t="s">
        <v>1262</v>
      </c>
      <c r="I393" s="21"/>
    </row>
    <row r="394" spans="1:9" ht="18" customHeight="1">
      <c r="A394" s="48">
        <v>393</v>
      </c>
      <c r="B394" s="44" t="s">
        <v>762</v>
      </c>
      <c r="C394" s="53">
        <v>9</v>
      </c>
      <c r="D394" s="53"/>
      <c r="E394" s="20" t="s">
        <v>103</v>
      </c>
      <c r="F394" s="20" t="s">
        <v>668</v>
      </c>
      <c r="G394" s="20" t="s">
        <v>1263</v>
      </c>
      <c r="I394" s="21"/>
    </row>
    <row r="395" spans="1:9" ht="18" customHeight="1">
      <c r="A395" s="48">
        <v>394</v>
      </c>
      <c r="B395" s="44" t="s">
        <v>762</v>
      </c>
      <c r="C395" s="53">
        <v>9</v>
      </c>
      <c r="D395" s="53"/>
      <c r="E395" s="20" t="s">
        <v>103</v>
      </c>
      <c r="F395" s="20" t="s">
        <v>669</v>
      </c>
      <c r="G395" s="20" t="s">
        <v>1264</v>
      </c>
      <c r="I395" s="21"/>
    </row>
    <row r="396" spans="1:9" ht="18" customHeight="1">
      <c r="A396" s="48">
        <v>395</v>
      </c>
      <c r="B396" s="44" t="s">
        <v>762</v>
      </c>
      <c r="C396" s="53">
        <v>9</v>
      </c>
      <c r="D396" s="53"/>
      <c r="E396" s="20" t="s">
        <v>103</v>
      </c>
      <c r="F396" s="20" t="s">
        <v>670</v>
      </c>
      <c r="G396" s="20" t="s">
        <v>1265</v>
      </c>
      <c r="I396" s="21"/>
    </row>
    <row r="397" spans="1:9" ht="18" customHeight="1">
      <c r="A397" s="48">
        <v>396</v>
      </c>
      <c r="B397" s="44" t="s">
        <v>762</v>
      </c>
      <c r="C397" s="53">
        <v>9</v>
      </c>
      <c r="D397" s="53"/>
      <c r="E397" s="20" t="s">
        <v>103</v>
      </c>
      <c r="F397" s="20" t="s">
        <v>671</v>
      </c>
      <c r="G397" s="20" t="s">
        <v>1305</v>
      </c>
      <c r="I397" s="21"/>
    </row>
    <row r="398" spans="1:9" ht="18" customHeight="1">
      <c r="A398" s="48">
        <v>397</v>
      </c>
      <c r="B398" s="44" t="s">
        <v>762</v>
      </c>
      <c r="C398" s="53">
        <v>9</v>
      </c>
      <c r="D398" s="53"/>
      <c r="E398" s="20" t="s">
        <v>103</v>
      </c>
      <c r="F398" s="20" t="s">
        <v>672</v>
      </c>
      <c r="G398" s="20" t="s">
        <v>1306</v>
      </c>
      <c r="I398" s="21"/>
    </row>
    <row r="399" spans="1:9" ht="18" customHeight="1">
      <c r="A399" s="48">
        <v>398</v>
      </c>
      <c r="B399" s="44" t="s">
        <v>762</v>
      </c>
      <c r="C399" s="53">
        <v>9</v>
      </c>
      <c r="D399" s="53"/>
      <c r="E399" s="20" t="s">
        <v>103</v>
      </c>
      <c r="F399" s="20" t="s">
        <v>673</v>
      </c>
      <c r="G399" s="20" t="s">
        <v>1307</v>
      </c>
      <c r="I399" s="21"/>
    </row>
    <row r="400" spans="1:9" ht="18" customHeight="1">
      <c r="A400" s="48">
        <v>399</v>
      </c>
      <c r="B400" s="44" t="s">
        <v>762</v>
      </c>
      <c r="C400" s="53">
        <v>9</v>
      </c>
      <c r="D400" s="53"/>
      <c r="E400" s="20" t="s">
        <v>103</v>
      </c>
      <c r="F400" s="20" t="s">
        <v>674</v>
      </c>
      <c r="G400" s="20" t="s">
        <v>1308</v>
      </c>
      <c r="I400" s="21"/>
    </row>
    <row r="401" spans="1:9" ht="18" customHeight="1">
      <c r="A401" s="48">
        <v>400</v>
      </c>
      <c r="B401" s="44" t="s">
        <v>762</v>
      </c>
      <c r="C401" s="53">
        <v>9</v>
      </c>
      <c r="D401" s="53"/>
      <c r="E401" s="20" t="s">
        <v>103</v>
      </c>
      <c r="F401" s="20" t="s">
        <v>675</v>
      </c>
      <c r="G401" s="20" t="s">
        <v>1309</v>
      </c>
      <c r="I401" s="21"/>
    </row>
    <row r="402" spans="1:9" ht="18" customHeight="1">
      <c r="A402" s="48">
        <v>401</v>
      </c>
      <c r="B402" s="44" t="s">
        <v>762</v>
      </c>
      <c r="C402" s="53">
        <v>9</v>
      </c>
      <c r="D402" s="53"/>
      <c r="E402" s="20" t="s">
        <v>103</v>
      </c>
      <c r="F402" s="20" t="s">
        <v>676</v>
      </c>
      <c r="G402" s="20" t="s">
        <v>1310</v>
      </c>
      <c r="I402" s="21"/>
    </row>
    <row r="403" spans="1:9" ht="18" customHeight="1">
      <c r="A403" s="48">
        <v>402</v>
      </c>
      <c r="B403" s="44" t="s">
        <v>762</v>
      </c>
      <c r="C403" s="53">
        <v>9</v>
      </c>
      <c r="D403" s="53"/>
      <c r="E403" s="20" t="s">
        <v>103</v>
      </c>
      <c r="F403" s="20" t="s">
        <v>677</v>
      </c>
      <c r="G403" s="20" t="s">
        <v>1311</v>
      </c>
      <c r="I403" s="21"/>
    </row>
    <row r="404" spans="1:9" ht="18" customHeight="1">
      <c r="A404" s="48">
        <v>403</v>
      </c>
      <c r="B404" s="44" t="s">
        <v>762</v>
      </c>
      <c r="C404" s="53">
        <v>9</v>
      </c>
      <c r="D404" s="53"/>
      <c r="E404" s="20" t="s">
        <v>103</v>
      </c>
      <c r="F404" s="20" t="s">
        <v>678</v>
      </c>
      <c r="G404" s="20" t="s">
        <v>1312</v>
      </c>
      <c r="I404" s="21"/>
    </row>
    <row r="405" spans="1:9" ht="18" customHeight="1">
      <c r="A405" s="48">
        <v>404</v>
      </c>
      <c r="B405" s="44" t="s">
        <v>762</v>
      </c>
      <c r="C405" s="53">
        <v>9</v>
      </c>
      <c r="D405" s="53"/>
      <c r="E405" s="20" t="s">
        <v>103</v>
      </c>
      <c r="F405" s="20" t="s">
        <v>679</v>
      </c>
      <c r="G405" s="20" t="s">
        <v>1313</v>
      </c>
      <c r="I405" s="21"/>
    </row>
    <row r="406" spans="1:9" ht="18" customHeight="1">
      <c r="A406" s="48">
        <v>405</v>
      </c>
      <c r="B406" s="44" t="s">
        <v>762</v>
      </c>
      <c r="C406" s="53">
        <v>9</v>
      </c>
      <c r="D406" s="53"/>
      <c r="E406" s="20" t="s">
        <v>103</v>
      </c>
      <c r="F406" s="20" t="s">
        <v>680</v>
      </c>
      <c r="G406" s="20" t="s">
        <v>1314</v>
      </c>
      <c r="I406" s="21"/>
    </row>
    <row r="407" spans="1:9" ht="18" customHeight="1">
      <c r="A407" s="48">
        <v>406</v>
      </c>
      <c r="B407" s="44" t="s">
        <v>762</v>
      </c>
      <c r="C407" s="53">
        <v>9</v>
      </c>
      <c r="D407" s="53"/>
      <c r="E407" s="20" t="s">
        <v>103</v>
      </c>
      <c r="F407" s="20" t="s">
        <v>681</v>
      </c>
      <c r="G407" s="20" t="s">
        <v>1315</v>
      </c>
      <c r="I407" s="21"/>
    </row>
    <row r="408" spans="1:9" ht="18" customHeight="1">
      <c r="A408" s="48">
        <v>407</v>
      </c>
      <c r="B408" s="44" t="s">
        <v>762</v>
      </c>
      <c r="C408" s="53">
        <v>9</v>
      </c>
      <c r="D408" s="53"/>
      <c r="E408" s="20" t="s">
        <v>103</v>
      </c>
      <c r="F408" s="20" t="s">
        <v>682</v>
      </c>
      <c r="G408" s="20" t="s">
        <v>1316</v>
      </c>
      <c r="I408" s="21"/>
    </row>
    <row r="409" spans="1:9" ht="18" customHeight="1">
      <c r="A409" s="48">
        <v>408</v>
      </c>
      <c r="B409" s="44" t="s">
        <v>762</v>
      </c>
      <c r="C409" s="53">
        <v>9</v>
      </c>
      <c r="D409" s="53"/>
      <c r="E409" s="20" t="s">
        <v>103</v>
      </c>
      <c r="F409" s="20" t="s">
        <v>683</v>
      </c>
      <c r="G409" s="20" t="s">
        <v>1317</v>
      </c>
      <c r="I409" s="21"/>
    </row>
    <row r="410" spans="1:9" ht="18" customHeight="1">
      <c r="A410" s="48">
        <v>409</v>
      </c>
      <c r="B410" s="44" t="s">
        <v>762</v>
      </c>
      <c r="C410" s="53">
        <v>9</v>
      </c>
      <c r="D410" s="53"/>
      <c r="E410" s="20" t="s">
        <v>103</v>
      </c>
      <c r="F410" s="20" t="s">
        <v>684</v>
      </c>
      <c r="G410" s="20" t="s">
        <v>1318</v>
      </c>
      <c r="I410" s="21"/>
    </row>
    <row r="411" spans="1:9" ht="18" customHeight="1">
      <c r="A411" s="48">
        <v>410</v>
      </c>
      <c r="B411" s="44" t="s">
        <v>762</v>
      </c>
      <c r="C411" s="53">
        <v>9</v>
      </c>
      <c r="D411" s="53"/>
      <c r="E411" s="20" t="s">
        <v>103</v>
      </c>
      <c r="F411" s="20" t="s">
        <v>685</v>
      </c>
      <c r="G411" s="20" t="s">
        <v>1319</v>
      </c>
      <c r="I411" s="21"/>
    </row>
    <row r="412" spans="1:9" ht="18" customHeight="1">
      <c r="A412" s="48">
        <v>411</v>
      </c>
      <c r="B412" s="44" t="s">
        <v>762</v>
      </c>
      <c r="C412" s="53">
        <v>9</v>
      </c>
      <c r="D412" s="53"/>
      <c r="E412" s="20" t="s">
        <v>103</v>
      </c>
      <c r="F412" s="20" t="s">
        <v>686</v>
      </c>
      <c r="G412" s="20" t="s">
        <v>1320</v>
      </c>
      <c r="I412" s="21"/>
    </row>
    <row r="413" spans="1:9" ht="18" customHeight="1">
      <c r="A413" s="48">
        <v>412</v>
      </c>
      <c r="B413" s="44" t="s">
        <v>762</v>
      </c>
      <c r="C413" s="53">
        <v>9</v>
      </c>
      <c r="D413" s="53"/>
      <c r="E413" s="20" t="s">
        <v>103</v>
      </c>
      <c r="F413" s="20" t="s">
        <v>687</v>
      </c>
      <c r="G413" s="20" t="s">
        <v>1321</v>
      </c>
      <c r="I413" s="21"/>
    </row>
    <row r="414" spans="1:9" ht="18" customHeight="1">
      <c r="A414" s="48">
        <v>413</v>
      </c>
      <c r="B414" s="44" t="s">
        <v>762</v>
      </c>
      <c r="C414" s="53">
        <v>9</v>
      </c>
      <c r="D414" s="53"/>
      <c r="E414" s="20" t="s">
        <v>103</v>
      </c>
      <c r="F414" s="20" t="s">
        <v>688</v>
      </c>
      <c r="G414" s="20" t="s">
        <v>1322</v>
      </c>
      <c r="I414" s="21"/>
    </row>
    <row r="415" spans="1:9" ht="18" customHeight="1">
      <c r="A415" s="48">
        <v>414</v>
      </c>
      <c r="B415" s="44" t="s">
        <v>762</v>
      </c>
      <c r="C415" s="53">
        <v>9</v>
      </c>
      <c r="D415" s="53"/>
      <c r="E415" s="20" t="s">
        <v>103</v>
      </c>
      <c r="F415" s="20" t="s">
        <v>689</v>
      </c>
      <c r="G415" s="20" t="s">
        <v>1323</v>
      </c>
      <c r="I415" s="21"/>
    </row>
    <row r="416" spans="1:9" ht="18" customHeight="1">
      <c r="A416" s="48">
        <v>415</v>
      </c>
      <c r="B416" s="44" t="s">
        <v>762</v>
      </c>
      <c r="C416" s="53">
        <v>9</v>
      </c>
      <c r="D416" s="53"/>
      <c r="E416" s="20" t="s">
        <v>103</v>
      </c>
      <c r="F416" s="20" t="s">
        <v>690</v>
      </c>
      <c r="G416" s="20" t="s">
        <v>1324</v>
      </c>
      <c r="I416" s="21"/>
    </row>
    <row r="417" spans="1:9" ht="18" customHeight="1">
      <c r="A417" s="48">
        <v>416</v>
      </c>
      <c r="B417" s="44" t="s">
        <v>762</v>
      </c>
      <c r="C417" s="53">
        <v>9</v>
      </c>
      <c r="D417" s="53"/>
      <c r="E417" s="20" t="s">
        <v>103</v>
      </c>
      <c r="F417" s="20" t="s">
        <v>691</v>
      </c>
      <c r="G417" s="20" t="s">
        <v>1325</v>
      </c>
      <c r="I417" s="21"/>
    </row>
    <row r="418" spans="1:9" ht="18" customHeight="1">
      <c r="A418" s="48">
        <v>417</v>
      </c>
      <c r="B418" s="44" t="s">
        <v>762</v>
      </c>
      <c r="C418" s="53">
        <v>9</v>
      </c>
      <c r="D418" s="53"/>
      <c r="E418" s="20" t="s">
        <v>103</v>
      </c>
      <c r="F418" s="20" t="s">
        <v>692</v>
      </c>
      <c r="G418" s="20" t="s">
        <v>1326</v>
      </c>
      <c r="I418" s="21"/>
    </row>
    <row r="419" spans="1:9" ht="18" customHeight="1">
      <c r="A419" s="48">
        <v>418</v>
      </c>
      <c r="B419" s="44" t="s">
        <v>762</v>
      </c>
      <c r="C419" s="53">
        <v>9</v>
      </c>
      <c r="D419" s="53"/>
      <c r="E419" s="20" t="s">
        <v>103</v>
      </c>
      <c r="F419" s="20" t="s">
        <v>693</v>
      </c>
      <c r="G419" s="20" t="s">
        <v>1327</v>
      </c>
      <c r="I419" s="21"/>
    </row>
    <row r="420" spans="1:9" ht="18" customHeight="1">
      <c r="A420" s="48">
        <v>419</v>
      </c>
      <c r="B420" s="44" t="s">
        <v>762</v>
      </c>
      <c r="C420" s="53">
        <v>9</v>
      </c>
      <c r="D420" s="53"/>
      <c r="E420" s="20" t="s">
        <v>103</v>
      </c>
      <c r="F420" s="20" t="s">
        <v>694</v>
      </c>
      <c r="G420" s="20" t="s">
        <v>1328</v>
      </c>
      <c r="I420" s="21"/>
    </row>
    <row r="421" spans="1:9" ht="18" customHeight="1">
      <c r="A421" s="48">
        <v>420</v>
      </c>
      <c r="B421" s="44" t="s">
        <v>762</v>
      </c>
      <c r="C421" s="53">
        <v>9</v>
      </c>
      <c r="D421" s="53"/>
      <c r="E421" s="20" t="s">
        <v>103</v>
      </c>
      <c r="F421" s="20" t="s">
        <v>695</v>
      </c>
      <c r="G421" s="20" t="s">
        <v>1329</v>
      </c>
      <c r="I421" s="21"/>
    </row>
    <row r="422" spans="1:9" ht="18" customHeight="1">
      <c r="A422" s="48">
        <v>421</v>
      </c>
      <c r="B422" s="44" t="s">
        <v>762</v>
      </c>
      <c r="C422" s="53">
        <v>9</v>
      </c>
      <c r="D422" s="53"/>
      <c r="E422" s="20" t="s">
        <v>103</v>
      </c>
      <c r="F422" s="20" t="s">
        <v>696</v>
      </c>
      <c r="G422" s="20" t="s">
        <v>1330</v>
      </c>
      <c r="I422" s="21"/>
    </row>
    <row r="423" spans="1:9" ht="18" customHeight="1">
      <c r="A423" s="48">
        <v>422</v>
      </c>
      <c r="B423" s="44" t="s">
        <v>762</v>
      </c>
      <c r="C423" s="53">
        <v>9</v>
      </c>
      <c r="D423" s="53"/>
      <c r="E423" s="20" t="s">
        <v>103</v>
      </c>
      <c r="F423" s="20" t="s">
        <v>697</v>
      </c>
      <c r="G423" s="20" t="s">
        <v>1331</v>
      </c>
      <c r="I423" s="21"/>
    </row>
    <row r="424" spans="1:9" ht="18" customHeight="1">
      <c r="A424" s="48">
        <v>423</v>
      </c>
      <c r="B424" s="44" t="s">
        <v>762</v>
      </c>
      <c r="C424" s="53">
        <v>9</v>
      </c>
      <c r="D424" s="53"/>
      <c r="E424" s="20" t="s">
        <v>103</v>
      </c>
      <c r="F424" s="20" t="s">
        <v>698</v>
      </c>
      <c r="G424" s="20" t="s">
        <v>1332</v>
      </c>
      <c r="I424" s="21"/>
    </row>
    <row r="425" spans="1:9" ht="18" customHeight="1">
      <c r="A425" s="48">
        <v>424</v>
      </c>
      <c r="B425" s="44" t="s">
        <v>762</v>
      </c>
      <c r="C425" s="53">
        <v>9</v>
      </c>
      <c r="D425" s="53"/>
      <c r="E425" s="20" t="s">
        <v>103</v>
      </c>
      <c r="F425" s="20" t="s">
        <v>699</v>
      </c>
      <c r="G425" s="20" t="s">
        <v>1333</v>
      </c>
      <c r="I425" s="21"/>
    </row>
    <row r="426" spans="1:9" ht="18" customHeight="1">
      <c r="A426" s="48">
        <v>425</v>
      </c>
      <c r="B426" s="44" t="s">
        <v>762</v>
      </c>
      <c r="C426" s="53">
        <v>9</v>
      </c>
      <c r="D426" s="53"/>
      <c r="E426" s="20" t="s">
        <v>103</v>
      </c>
      <c r="F426" s="20" t="s">
        <v>700</v>
      </c>
      <c r="G426" s="20" t="s">
        <v>1334</v>
      </c>
      <c r="I426" s="21"/>
    </row>
    <row r="427" spans="1:9" ht="18" customHeight="1">
      <c r="A427" s="48">
        <v>426</v>
      </c>
      <c r="B427" s="44" t="s">
        <v>762</v>
      </c>
      <c r="C427" s="53">
        <v>9</v>
      </c>
      <c r="D427" s="53"/>
      <c r="E427" s="20" t="s">
        <v>103</v>
      </c>
      <c r="F427" s="20" t="s">
        <v>701</v>
      </c>
      <c r="G427" s="20" t="s">
        <v>1335</v>
      </c>
      <c r="I427" s="21"/>
    </row>
    <row r="428" spans="1:9" ht="18" customHeight="1">
      <c r="A428" s="48">
        <v>427</v>
      </c>
      <c r="B428" s="44" t="s">
        <v>762</v>
      </c>
      <c r="C428" s="53">
        <v>9</v>
      </c>
      <c r="D428" s="53"/>
      <c r="E428" s="20" t="s">
        <v>103</v>
      </c>
      <c r="F428" s="20" t="s">
        <v>702</v>
      </c>
      <c r="G428" s="20" t="s">
        <v>1336</v>
      </c>
      <c r="I428" s="21"/>
    </row>
    <row r="429" spans="1:9" ht="18" customHeight="1">
      <c r="A429" s="48">
        <v>428</v>
      </c>
      <c r="B429" s="44" t="s">
        <v>762</v>
      </c>
      <c r="C429" s="53">
        <v>9</v>
      </c>
      <c r="D429" s="53"/>
      <c r="E429" s="20" t="s">
        <v>103</v>
      </c>
      <c r="F429" s="20" t="s">
        <v>703</v>
      </c>
      <c r="G429" s="20" t="s">
        <v>1337</v>
      </c>
      <c r="I429" s="21"/>
    </row>
    <row r="430" spans="1:9" ht="18" customHeight="1">
      <c r="A430" s="48">
        <v>429</v>
      </c>
      <c r="B430" s="44" t="s">
        <v>762</v>
      </c>
      <c r="C430" s="53">
        <v>5</v>
      </c>
      <c r="D430" s="53"/>
      <c r="E430" s="20" t="s">
        <v>102</v>
      </c>
      <c r="F430" s="20" t="s">
        <v>589</v>
      </c>
      <c r="G430" s="20" t="s">
        <v>1338</v>
      </c>
      <c r="I430" s="21"/>
    </row>
    <row r="431" spans="1:9" ht="18" customHeight="1">
      <c r="A431" s="48">
        <v>430</v>
      </c>
      <c r="B431" s="44" t="s">
        <v>762</v>
      </c>
      <c r="C431" s="53">
        <v>5</v>
      </c>
      <c r="D431" s="53"/>
      <c r="E431" s="20" t="s">
        <v>102</v>
      </c>
      <c r="F431" s="20" t="s">
        <v>590</v>
      </c>
      <c r="G431" s="20" t="s">
        <v>1339</v>
      </c>
      <c r="I431" s="21"/>
    </row>
    <row r="432" spans="1:9" ht="18" customHeight="1">
      <c r="A432" s="48">
        <v>431</v>
      </c>
      <c r="B432" s="44" t="s">
        <v>762</v>
      </c>
      <c r="C432" s="53">
        <v>5</v>
      </c>
      <c r="D432" s="53"/>
      <c r="E432" s="20" t="s">
        <v>102</v>
      </c>
      <c r="F432" s="20" t="s">
        <v>591</v>
      </c>
      <c r="G432" s="20" t="s">
        <v>1340</v>
      </c>
      <c r="I432" s="21"/>
    </row>
    <row r="433" spans="1:9" ht="18" customHeight="1">
      <c r="A433" s="48">
        <v>432</v>
      </c>
      <c r="B433" s="44" t="s">
        <v>762</v>
      </c>
      <c r="C433" s="53">
        <v>5</v>
      </c>
      <c r="D433" s="53"/>
      <c r="E433" s="20" t="s">
        <v>102</v>
      </c>
      <c r="F433" s="20" t="s">
        <v>592</v>
      </c>
      <c r="G433" s="20" t="s">
        <v>1341</v>
      </c>
      <c r="I433" s="21"/>
    </row>
    <row r="434" spans="1:9" ht="18" customHeight="1">
      <c r="A434" s="48">
        <v>433</v>
      </c>
      <c r="B434" s="44" t="s">
        <v>762</v>
      </c>
      <c r="C434" s="53">
        <v>5</v>
      </c>
      <c r="D434" s="53"/>
      <c r="E434" s="20" t="s">
        <v>102</v>
      </c>
      <c r="F434" s="20" t="s">
        <v>593</v>
      </c>
      <c r="G434" s="20" t="s">
        <v>1342</v>
      </c>
      <c r="I434" s="21"/>
    </row>
    <row r="435" spans="1:9" ht="18" customHeight="1">
      <c r="A435" s="48">
        <v>434</v>
      </c>
      <c r="B435" s="44" t="s">
        <v>762</v>
      </c>
      <c r="C435" s="53">
        <v>5</v>
      </c>
      <c r="D435" s="53"/>
      <c r="E435" s="20" t="s">
        <v>102</v>
      </c>
      <c r="F435" s="20" t="s">
        <v>594</v>
      </c>
      <c r="G435" s="20" t="s">
        <v>1343</v>
      </c>
      <c r="I435" s="21"/>
    </row>
    <row r="436" spans="1:9" ht="18" customHeight="1">
      <c r="A436" s="48">
        <v>435</v>
      </c>
      <c r="B436" s="44" t="s">
        <v>762</v>
      </c>
      <c r="C436" s="53">
        <v>5</v>
      </c>
      <c r="D436" s="53"/>
      <c r="E436" s="20" t="s">
        <v>102</v>
      </c>
      <c r="F436" s="20" t="s">
        <v>595</v>
      </c>
      <c r="G436" s="20" t="s">
        <v>1344</v>
      </c>
      <c r="I436" s="21"/>
    </row>
    <row r="437" spans="1:9" ht="18" customHeight="1">
      <c r="A437" s="48">
        <v>436</v>
      </c>
      <c r="B437" s="44" t="s">
        <v>762</v>
      </c>
      <c r="C437" s="53">
        <v>5</v>
      </c>
      <c r="D437" s="53"/>
      <c r="E437" s="20" t="s">
        <v>102</v>
      </c>
      <c r="F437" s="20" t="s">
        <v>596</v>
      </c>
      <c r="G437" s="20" t="s">
        <v>1345</v>
      </c>
      <c r="I437" s="21"/>
    </row>
    <row r="438" spans="1:9" ht="18" customHeight="1">
      <c r="A438" s="48">
        <v>437</v>
      </c>
      <c r="B438" s="44" t="s">
        <v>762</v>
      </c>
      <c r="C438" s="53">
        <v>5</v>
      </c>
      <c r="D438" s="53"/>
      <c r="E438" s="20" t="s">
        <v>102</v>
      </c>
      <c r="F438" s="20" t="s">
        <v>597</v>
      </c>
      <c r="G438" s="20" t="s">
        <v>1346</v>
      </c>
      <c r="I438" s="21"/>
    </row>
    <row r="439" spans="1:9" ht="18" customHeight="1">
      <c r="A439" s="48">
        <v>438</v>
      </c>
      <c r="B439" s="44" t="s">
        <v>762</v>
      </c>
      <c r="C439" s="53">
        <v>5</v>
      </c>
      <c r="D439" s="53"/>
      <c r="E439" s="20" t="s">
        <v>102</v>
      </c>
      <c r="F439" s="20" t="s">
        <v>598</v>
      </c>
      <c r="G439" s="20" t="s">
        <v>1347</v>
      </c>
      <c r="I439" s="21"/>
    </row>
    <row r="440" spans="1:9" ht="18" customHeight="1">
      <c r="A440" s="48">
        <v>439</v>
      </c>
      <c r="B440" s="44" t="s">
        <v>762</v>
      </c>
      <c r="C440" s="53">
        <v>5</v>
      </c>
      <c r="D440" s="53"/>
      <c r="E440" s="20" t="s">
        <v>102</v>
      </c>
      <c r="F440" s="20" t="s">
        <v>599</v>
      </c>
      <c r="G440" s="20" t="s">
        <v>1348</v>
      </c>
      <c r="I440" s="21"/>
    </row>
    <row r="441" spans="1:9" ht="18" customHeight="1">
      <c r="A441" s="48">
        <v>440</v>
      </c>
      <c r="B441" s="44" t="s">
        <v>762</v>
      </c>
      <c r="C441" s="53">
        <v>5</v>
      </c>
      <c r="D441" s="53"/>
      <c r="E441" s="20" t="s">
        <v>102</v>
      </c>
      <c r="F441" s="20" t="s">
        <v>600</v>
      </c>
      <c r="G441" s="20" t="s">
        <v>1349</v>
      </c>
      <c r="I441" s="21"/>
    </row>
    <row r="442" spans="1:9" ht="18" customHeight="1">
      <c r="A442" s="48">
        <v>441</v>
      </c>
      <c r="B442" s="44" t="s">
        <v>762</v>
      </c>
      <c r="C442" s="53">
        <v>5</v>
      </c>
      <c r="D442" s="53"/>
      <c r="E442" s="20" t="s">
        <v>102</v>
      </c>
      <c r="F442" s="20" t="s">
        <v>601</v>
      </c>
      <c r="G442" s="20" t="s">
        <v>1350</v>
      </c>
      <c r="I442" s="21"/>
    </row>
    <row r="443" spans="1:9" ht="18" customHeight="1">
      <c r="A443" s="48">
        <v>442</v>
      </c>
      <c r="B443" s="44" t="s">
        <v>762</v>
      </c>
      <c r="C443" s="53">
        <v>5</v>
      </c>
      <c r="D443" s="53"/>
      <c r="E443" s="20" t="s">
        <v>102</v>
      </c>
      <c r="F443" s="20" t="s">
        <v>602</v>
      </c>
      <c r="G443" s="20" t="s">
        <v>1351</v>
      </c>
      <c r="I443" s="21"/>
    </row>
    <row r="444" spans="1:9" ht="18" customHeight="1">
      <c r="A444" s="48">
        <v>443</v>
      </c>
      <c r="B444" s="44" t="s">
        <v>762</v>
      </c>
      <c r="C444" s="53">
        <v>5</v>
      </c>
      <c r="D444" s="53"/>
      <c r="E444" s="20" t="s">
        <v>102</v>
      </c>
      <c r="F444" s="20" t="s">
        <v>603</v>
      </c>
      <c r="G444" s="20" t="s">
        <v>1352</v>
      </c>
      <c r="I444" s="21"/>
    </row>
    <row r="445" spans="1:9" ht="18" customHeight="1">
      <c r="A445" s="48">
        <v>444</v>
      </c>
      <c r="B445" s="44" t="s">
        <v>762</v>
      </c>
      <c r="C445" s="53">
        <v>5</v>
      </c>
      <c r="D445" s="53"/>
      <c r="E445" s="20" t="s">
        <v>102</v>
      </c>
      <c r="F445" s="20" t="s">
        <v>604</v>
      </c>
      <c r="G445" s="20" t="s">
        <v>1353</v>
      </c>
      <c r="I445" s="21"/>
    </row>
    <row r="446" spans="1:9" ht="18" customHeight="1">
      <c r="A446" s="48">
        <v>445</v>
      </c>
      <c r="B446" s="44" t="s">
        <v>762</v>
      </c>
      <c r="C446" s="53">
        <v>5</v>
      </c>
      <c r="D446" s="53"/>
      <c r="E446" s="20" t="s">
        <v>102</v>
      </c>
      <c r="F446" s="20" t="s">
        <v>605</v>
      </c>
      <c r="G446" s="20" t="s">
        <v>1354</v>
      </c>
      <c r="I446" s="21"/>
    </row>
    <row r="447" spans="1:9" ht="18" customHeight="1">
      <c r="A447" s="48">
        <v>446</v>
      </c>
      <c r="B447" s="44" t="s">
        <v>762</v>
      </c>
      <c r="C447" s="53">
        <v>5</v>
      </c>
      <c r="D447" s="53"/>
      <c r="E447" s="20" t="s">
        <v>102</v>
      </c>
      <c r="F447" s="20" t="s">
        <v>606</v>
      </c>
      <c r="G447" s="20" t="s">
        <v>1355</v>
      </c>
      <c r="I447" s="21"/>
    </row>
    <row r="448" spans="1:9" ht="18" customHeight="1">
      <c r="A448" s="48">
        <v>447</v>
      </c>
      <c r="B448" s="44" t="s">
        <v>762</v>
      </c>
      <c r="C448" s="53">
        <v>5</v>
      </c>
      <c r="D448" s="53"/>
      <c r="E448" s="20" t="s">
        <v>102</v>
      </c>
      <c r="F448" s="20" t="s">
        <v>607</v>
      </c>
      <c r="G448" s="20" t="s">
        <v>1356</v>
      </c>
      <c r="I448" s="21"/>
    </row>
    <row r="449" spans="1:9" ht="18" customHeight="1">
      <c r="A449" s="48">
        <v>448</v>
      </c>
      <c r="B449" s="44" t="s">
        <v>762</v>
      </c>
      <c r="C449" s="53">
        <v>5</v>
      </c>
      <c r="D449" s="53"/>
      <c r="E449" s="20" t="s">
        <v>102</v>
      </c>
      <c r="F449" s="20" t="s">
        <v>608</v>
      </c>
      <c r="G449" s="20" t="s">
        <v>1357</v>
      </c>
      <c r="I449" s="21"/>
    </row>
    <row r="450" spans="1:9" ht="18" customHeight="1">
      <c r="A450" s="48">
        <v>449</v>
      </c>
      <c r="B450" s="44" t="s">
        <v>762</v>
      </c>
      <c r="C450" s="53">
        <v>5</v>
      </c>
      <c r="D450" s="53"/>
      <c r="E450" s="20" t="s">
        <v>102</v>
      </c>
      <c r="F450" s="20" t="s">
        <v>609</v>
      </c>
      <c r="G450" s="20" t="s">
        <v>1358</v>
      </c>
      <c r="I450" s="21"/>
    </row>
    <row r="451" spans="1:9" ht="18" customHeight="1">
      <c r="A451" s="48">
        <v>450</v>
      </c>
      <c r="B451" s="44" t="s">
        <v>762</v>
      </c>
      <c r="C451" s="53">
        <v>5</v>
      </c>
      <c r="D451" s="53"/>
      <c r="E451" s="20" t="s">
        <v>102</v>
      </c>
      <c r="F451" s="20" t="s">
        <v>610</v>
      </c>
      <c r="G451" s="20" t="s">
        <v>1359</v>
      </c>
      <c r="I451" s="21"/>
    </row>
    <row r="452" spans="1:9" ht="18" customHeight="1">
      <c r="A452" s="48">
        <v>451</v>
      </c>
      <c r="B452" s="44" t="s">
        <v>762</v>
      </c>
      <c r="C452" s="53">
        <v>5</v>
      </c>
      <c r="D452" s="53"/>
      <c r="E452" s="20" t="s">
        <v>102</v>
      </c>
      <c r="F452" s="20" t="s">
        <v>611</v>
      </c>
      <c r="G452" s="20" t="s">
        <v>1360</v>
      </c>
      <c r="I452" s="21"/>
    </row>
    <row r="453" spans="1:9" ht="18" customHeight="1">
      <c r="A453" s="48">
        <v>452</v>
      </c>
      <c r="B453" s="44" t="s">
        <v>762</v>
      </c>
      <c r="C453" s="53">
        <v>5</v>
      </c>
      <c r="D453" s="53"/>
      <c r="E453" s="20" t="s">
        <v>102</v>
      </c>
      <c r="F453" s="20" t="s">
        <v>1361</v>
      </c>
      <c r="G453" s="20" t="s">
        <v>1362</v>
      </c>
      <c r="I453" s="21"/>
    </row>
    <row r="454" spans="1:9" ht="18" customHeight="1">
      <c r="A454" s="48">
        <v>453</v>
      </c>
      <c r="B454" s="44" t="s">
        <v>762</v>
      </c>
      <c r="C454" s="53">
        <v>5</v>
      </c>
      <c r="D454" s="53"/>
      <c r="E454" s="20" t="s">
        <v>102</v>
      </c>
      <c r="F454" s="20" t="s">
        <v>1363</v>
      </c>
      <c r="G454" s="20" t="s">
        <v>1364</v>
      </c>
      <c r="I454" s="21"/>
    </row>
    <row r="455" spans="1:9" ht="18" customHeight="1">
      <c r="A455" s="48">
        <v>454</v>
      </c>
      <c r="B455" s="44" t="s">
        <v>762</v>
      </c>
      <c r="C455" s="53">
        <v>5</v>
      </c>
      <c r="D455" s="53"/>
      <c r="E455" s="20" t="s">
        <v>102</v>
      </c>
      <c r="F455" s="20" t="s">
        <v>612</v>
      </c>
      <c r="G455" s="20" t="s">
        <v>1365</v>
      </c>
      <c r="I455" s="21"/>
    </row>
    <row r="456" spans="1:9" ht="18" customHeight="1">
      <c r="A456" s="48">
        <v>455</v>
      </c>
      <c r="B456" s="44" t="s">
        <v>762</v>
      </c>
      <c r="C456" s="53">
        <v>5</v>
      </c>
      <c r="D456" s="53"/>
      <c r="E456" s="20" t="s">
        <v>102</v>
      </c>
      <c r="F456" s="20" t="s">
        <v>613</v>
      </c>
      <c r="G456" s="20" t="s">
        <v>1366</v>
      </c>
      <c r="I456" s="21"/>
    </row>
    <row r="457" spans="1:9" ht="18" customHeight="1">
      <c r="A457" s="48">
        <v>456</v>
      </c>
      <c r="B457" s="44" t="s">
        <v>762</v>
      </c>
      <c r="C457" s="53">
        <v>5</v>
      </c>
      <c r="D457" s="53"/>
      <c r="E457" s="20" t="s">
        <v>102</v>
      </c>
      <c r="F457" s="20" t="s">
        <v>614</v>
      </c>
      <c r="G457" s="20" t="s">
        <v>1367</v>
      </c>
      <c r="I457" s="21"/>
    </row>
    <row r="458" spans="1:9" ht="18" customHeight="1">
      <c r="A458" s="48">
        <v>457</v>
      </c>
      <c r="B458" s="44" t="s">
        <v>762</v>
      </c>
      <c r="C458" s="53">
        <v>5</v>
      </c>
      <c r="D458" s="53"/>
      <c r="E458" s="20" t="s">
        <v>102</v>
      </c>
      <c r="F458" s="20" t="s">
        <v>615</v>
      </c>
      <c r="G458" s="20" t="s">
        <v>1368</v>
      </c>
      <c r="I458" s="21"/>
    </row>
    <row r="459" spans="1:9" ht="18" customHeight="1">
      <c r="A459" s="48">
        <v>458</v>
      </c>
      <c r="B459" s="44" t="s">
        <v>762</v>
      </c>
      <c r="C459" s="53">
        <v>5</v>
      </c>
      <c r="D459" s="53"/>
      <c r="E459" s="20" t="s">
        <v>102</v>
      </c>
      <c r="F459" s="20" t="s">
        <v>616</v>
      </c>
      <c r="G459" s="20" t="s">
        <v>1369</v>
      </c>
      <c r="I459" s="21"/>
    </row>
    <row r="460" spans="1:9" ht="18" customHeight="1">
      <c r="A460" s="48">
        <v>459</v>
      </c>
      <c r="B460" s="44" t="s">
        <v>762</v>
      </c>
      <c r="C460" s="53">
        <v>5</v>
      </c>
      <c r="D460" s="53"/>
      <c r="E460" s="20" t="s">
        <v>102</v>
      </c>
      <c r="F460" s="20" t="s">
        <v>617</v>
      </c>
      <c r="G460" s="20" t="s">
        <v>1370</v>
      </c>
      <c r="I460" s="21"/>
    </row>
    <row r="461" spans="1:9" ht="18" customHeight="1">
      <c r="A461" s="48">
        <v>460</v>
      </c>
      <c r="B461" s="44" t="s">
        <v>762</v>
      </c>
      <c r="C461" s="53">
        <v>5</v>
      </c>
      <c r="D461" s="53"/>
      <c r="E461" s="20" t="s">
        <v>102</v>
      </c>
      <c r="F461" s="20" t="s">
        <v>618</v>
      </c>
      <c r="G461" s="20" t="s">
        <v>1371</v>
      </c>
      <c r="I461" s="21"/>
    </row>
    <row r="462" spans="1:9" ht="18" customHeight="1">
      <c r="A462" s="48">
        <v>461</v>
      </c>
      <c r="B462" s="44" t="s">
        <v>762</v>
      </c>
      <c r="C462" s="53">
        <v>5</v>
      </c>
      <c r="D462" s="53"/>
      <c r="E462" s="20" t="s">
        <v>102</v>
      </c>
      <c r="F462" s="20" t="s">
        <v>619</v>
      </c>
      <c r="G462" s="20" t="s">
        <v>1372</v>
      </c>
      <c r="I462" s="21"/>
    </row>
    <row r="463" spans="1:9" ht="18" customHeight="1">
      <c r="A463" s="48">
        <v>462</v>
      </c>
      <c r="B463" s="44" t="s">
        <v>762</v>
      </c>
      <c r="C463" s="53">
        <v>5</v>
      </c>
      <c r="D463" s="53"/>
      <c r="E463" s="20" t="s">
        <v>102</v>
      </c>
      <c r="F463" s="20" t="s">
        <v>620</v>
      </c>
      <c r="G463" s="20" t="s">
        <v>1373</v>
      </c>
      <c r="I463" s="21"/>
    </row>
    <row r="464" spans="1:9" ht="18" customHeight="1">
      <c r="A464" s="48">
        <v>463</v>
      </c>
      <c r="B464" s="44" t="s">
        <v>762</v>
      </c>
      <c r="C464" s="53">
        <v>5</v>
      </c>
      <c r="D464" s="53"/>
      <c r="E464" s="20" t="s">
        <v>102</v>
      </c>
      <c r="F464" s="20" t="s">
        <v>621</v>
      </c>
      <c r="G464" s="20" t="s">
        <v>1374</v>
      </c>
      <c r="I464" s="21"/>
    </row>
    <row r="465" spans="1:9" ht="18" customHeight="1">
      <c r="A465" s="48">
        <v>464</v>
      </c>
      <c r="B465" s="44" t="s">
        <v>762</v>
      </c>
      <c r="C465" s="53">
        <v>5</v>
      </c>
      <c r="D465" s="53"/>
      <c r="E465" s="20" t="s">
        <v>102</v>
      </c>
      <c r="F465" s="20" t="s">
        <v>622</v>
      </c>
      <c r="G465" s="20" t="s">
        <v>1375</v>
      </c>
      <c r="I465" s="21"/>
    </row>
    <row r="466" spans="1:9" ht="18" customHeight="1">
      <c r="A466" s="48">
        <v>465</v>
      </c>
      <c r="B466" s="44" t="s">
        <v>762</v>
      </c>
      <c r="C466" s="53">
        <v>5</v>
      </c>
      <c r="D466" s="53"/>
      <c r="E466" s="20" t="s">
        <v>102</v>
      </c>
      <c r="F466" s="20" t="s">
        <v>623</v>
      </c>
      <c r="G466" s="20" t="s">
        <v>1376</v>
      </c>
      <c r="I466" s="21"/>
    </row>
    <row r="467" spans="1:9" ht="18" customHeight="1">
      <c r="A467" s="48">
        <v>466</v>
      </c>
      <c r="B467" s="44" t="s">
        <v>762</v>
      </c>
      <c r="C467" s="53">
        <v>5</v>
      </c>
      <c r="D467" s="53"/>
      <c r="E467" s="20" t="s">
        <v>102</v>
      </c>
      <c r="F467" s="20" t="s">
        <v>624</v>
      </c>
      <c r="G467" s="20" t="s">
        <v>1377</v>
      </c>
      <c r="I467" s="21"/>
    </row>
    <row r="468" spans="1:9" ht="18" customHeight="1">
      <c r="A468" s="48">
        <v>467</v>
      </c>
      <c r="B468" s="44" t="s">
        <v>762</v>
      </c>
      <c r="C468" s="53">
        <v>5</v>
      </c>
      <c r="D468" s="53"/>
      <c r="E468" s="20" t="s">
        <v>102</v>
      </c>
      <c r="F468" s="20" t="s">
        <v>625</v>
      </c>
      <c r="G468" s="20" t="s">
        <v>1378</v>
      </c>
      <c r="I468" s="21"/>
    </row>
    <row r="469" spans="1:9" ht="18" customHeight="1">
      <c r="A469" s="48">
        <v>468</v>
      </c>
      <c r="B469" s="44" t="s">
        <v>762</v>
      </c>
      <c r="C469" s="53">
        <v>5</v>
      </c>
      <c r="D469" s="53"/>
      <c r="E469" s="20" t="s">
        <v>102</v>
      </c>
      <c r="F469" s="20" t="s">
        <v>626</v>
      </c>
      <c r="G469" s="20" t="s">
        <v>1379</v>
      </c>
      <c r="I469" s="21"/>
    </row>
    <row r="470" spans="1:9" ht="18" customHeight="1">
      <c r="A470" s="48">
        <v>469</v>
      </c>
      <c r="B470" s="44" t="s">
        <v>762</v>
      </c>
      <c r="C470" s="53">
        <v>5</v>
      </c>
      <c r="D470" s="53"/>
      <c r="E470" s="20" t="s">
        <v>102</v>
      </c>
      <c r="F470" s="20" t="s">
        <v>627</v>
      </c>
      <c r="G470" s="20" t="s">
        <v>1380</v>
      </c>
      <c r="I470" s="21"/>
    </row>
    <row r="471" spans="1:9" ht="18" customHeight="1">
      <c r="A471" s="48">
        <v>470</v>
      </c>
      <c r="B471" s="44" t="s">
        <v>762</v>
      </c>
      <c r="C471" s="53">
        <v>5</v>
      </c>
      <c r="D471" s="53"/>
      <c r="E471" s="20" t="s">
        <v>102</v>
      </c>
      <c r="F471" s="20" t="s">
        <v>628</v>
      </c>
      <c r="G471" s="20" t="s">
        <v>1381</v>
      </c>
      <c r="I471" s="21"/>
    </row>
    <row r="472" spans="1:9" ht="18" customHeight="1">
      <c r="A472" s="48">
        <v>471</v>
      </c>
      <c r="B472" s="44" t="s">
        <v>762</v>
      </c>
      <c r="C472" s="53">
        <v>5</v>
      </c>
      <c r="D472" s="53"/>
      <c r="E472" s="20" t="s">
        <v>102</v>
      </c>
      <c r="F472" s="20" t="s">
        <v>629</v>
      </c>
      <c r="G472" s="20" t="s">
        <v>1382</v>
      </c>
      <c r="I472" s="21"/>
    </row>
    <row r="473" spans="1:9" ht="18" customHeight="1">
      <c r="A473" s="48">
        <v>472</v>
      </c>
      <c r="B473" s="44" t="s">
        <v>762</v>
      </c>
      <c r="C473" s="53">
        <v>5</v>
      </c>
      <c r="D473" s="53"/>
      <c r="E473" s="20" t="s">
        <v>102</v>
      </c>
      <c r="F473" s="20" t="s">
        <v>630</v>
      </c>
      <c r="G473" s="20" t="s">
        <v>1383</v>
      </c>
      <c r="I473" s="21"/>
    </row>
    <row r="474" spans="1:9" ht="18" customHeight="1">
      <c r="A474" s="48">
        <v>473</v>
      </c>
      <c r="B474" s="44" t="s">
        <v>762</v>
      </c>
      <c r="C474" s="53">
        <v>5</v>
      </c>
      <c r="D474" s="53"/>
      <c r="E474" s="20" t="s">
        <v>102</v>
      </c>
      <c r="F474" s="20" t="s">
        <v>629</v>
      </c>
      <c r="G474" s="20" t="s">
        <v>1384</v>
      </c>
      <c r="I474" s="21"/>
    </row>
    <row r="475" spans="1:9" ht="18" customHeight="1">
      <c r="A475" s="48">
        <v>474</v>
      </c>
      <c r="B475" s="44" t="s">
        <v>762</v>
      </c>
      <c r="C475" s="53">
        <v>5</v>
      </c>
      <c r="D475" s="53"/>
      <c r="E475" s="20" t="s">
        <v>102</v>
      </c>
      <c r="F475" s="20" t="s">
        <v>631</v>
      </c>
      <c r="G475" s="20" t="s">
        <v>1385</v>
      </c>
      <c r="I475" s="21"/>
    </row>
    <row r="476" spans="1:9" ht="18" customHeight="1">
      <c r="A476" s="48">
        <v>475</v>
      </c>
      <c r="B476" s="44" t="s">
        <v>762</v>
      </c>
      <c r="C476" s="53">
        <v>5</v>
      </c>
      <c r="D476" s="53"/>
      <c r="E476" s="20" t="s">
        <v>102</v>
      </c>
      <c r="F476" s="20" t="s">
        <v>632</v>
      </c>
      <c r="G476" s="20" t="s">
        <v>1386</v>
      </c>
      <c r="I476" s="21"/>
    </row>
    <row r="477" spans="1:9" ht="18" customHeight="1">
      <c r="A477" s="48">
        <v>476</v>
      </c>
      <c r="B477" s="44" t="s">
        <v>762</v>
      </c>
      <c r="C477" s="53">
        <v>5</v>
      </c>
      <c r="D477" s="53"/>
      <c r="E477" s="20" t="s">
        <v>102</v>
      </c>
      <c r="F477" s="20" t="s">
        <v>633</v>
      </c>
      <c r="G477" s="20" t="s">
        <v>1387</v>
      </c>
      <c r="I477" s="21"/>
    </row>
    <row r="478" spans="1:9" ht="18" customHeight="1">
      <c r="A478" s="48">
        <v>477</v>
      </c>
      <c r="B478" s="44" t="s">
        <v>762</v>
      </c>
      <c r="C478" s="53">
        <v>5</v>
      </c>
      <c r="D478" s="53"/>
      <c r="E478" s="20" t="s">
        <v>102</v>
      </c>
      <c r="F478" s="20" t="s">
        <v>634</v>
      </c>
      <c r="G478" s="20" t="s">
        <v>1388</v>
      </c>
      <c r="I478" s="21"/>
    </row>
    <row r="479" spans="1:9" ht="18" customHeight="1">
      <c r="A479" s="48">
        <v>478</v>
      </c>
      <c r="B479" s="44" t="s">
        <v>762</v>
      </c>
      <c r="C479" s="53">
        <v>5</v>
      </c>
      <c r="D479" s="53"/>
      <c r="E479" s="20" t="s">
        <v>102</v>
      </c>
      <c r="F479" s="20" t="s">
        <v>584</v>
      </c>
      <c r="G479" s="20" t="s">
        <v>1389</v>
      </c>
      <c r="I479" s="21"/>
    </row>
    <row r="480" spans="1:9" ht="18" customHeight="1">
      <c r="A480" s="48">
        <v>479</v>
      </c>
      <c r="B480" s="44" t="s">
        <v>762</v>
      </c>
      <c r="C480" s="53">
        <v>5</v>
      </c>
      <c r="D480" s="53"/>
      <c r="E480" s="20" t="s">
        <v>102</v>
      </c>
      <c r="F480" s="20" t="s">
        <v>585</v>
      </c>
      <c r="G480" s="20" t="s">
        <v>1390</v>
      </c>
      <c r="I480" s="21"/>
    </row>
    <row r="481" spans="1:9" ht="18" customHeight="1">
      <c r="A481" s="48">
        <v>480</v>
      </c>
      <c r="B481" s="44" t="s">
        <v>762</v>
      </c>
      <c r="C481" s="53">
        <v>5</v>
      </c>
      <c r="D481" s="53"/>
      <c r="E481" s="20" t="s">
        <v>102</v>
      </c>
      <c r="F481" s="20" t="s">
        <v>586</v>
      </c>
      <c r="G481" s="20" t="s">
        <v>1391</v>
      </c>
      <c r="I481" s="21"/>
    </row>
    <row r="482" spans="1:9" ht="18" customHeight="1">
      <c r="A482" s="48">
        <v>481</v>
      </c>
      <c r="B482" s="44" t="s">
        <v>762</v>
      </c>
      <c r="C482" s="53">
        <v>2</v>
      </c>
      <c r="D482" s="53"/>
      <c r="E482" s="20" t="s">
        <v>457</v>
      </c>
      <c r="F482" s="20" t="s">
        <v>539</v>
      </c>
      <c r="G482" s="20" t="s">
        <v>1392</v>
      </c>
      <c r="I482" s="21"/>
    </row>
    <row r="483" spans="1:9" ht="18" customHeight="1">
      <c r="A483" s="48">
        <v>482</v>
      </c>
      <c r="B483" s="44" t="s">
        <v>762</v>
      </c>
      <c r="C483" s="53">
        <v>2</v>
      </c>
      <c r="D483" s="53"/>
      <c r="E483" s="20" t="s">
        <v>457</v>
      </c>
      <c r="F483" s="20" t="s">
        <v>540</v>
      </c>
      <c r="G483" s="20" t="s">
        <v>1393</v>
      </c>
      <c r="I483" s="21"/>
    </row>
    <row r="484" spans="1:9" ht="18" customHeight="1">
      <c r="A484" s="48">
        <v>483</v>
      </c>
      <c r="B484" s="44" t="s">
        <v>762</v>
      </c>
      <c r="C484" s="53">
        <v>2</v>
      </c>
      <c r="D484" s="53"/>
      <c r="E484" s="20" t="s">
        <v>457</v>
      </c>
      <c r="F484" s="20" t="s">
        <v>541</v>
      </c>
      <c r="G484" s="20" t="s">
        <v>1394</v>
      </c>
      <c r="I484" s="21"/>
    </row>
    <row r="485" spans="1:9" ht="18" customHeight="1">
      <c r="A485" s="48">
        <v>484</v>
      </c>
      <c r="B485" s="44" t="s">
        <v>762</v>
      </c>
      <c r="C485" s="53">
        <v>2</v>
      </c>
      <c r="D485" s="53"/>
      <c r="E485" s="20" t="s">
        <v>457</v>
      </c>
      <c r="F485" s="20" t="s">
        <v>542</v>
      </c>
      <c r="G485" s="20" t="s">
        <v>1395</v>
      </c>
      <c r="I485" s="21"/>
    </row>
    <row r="486" spans="1:9" ht="18" customHeight="1">
      <c r="A486" s="48">
        <v>485</v>
      </c>
      <c r="B486" s="44" t="s">
        <v>762</v>
      </c>
      <c r="C486" s="53">
        <v>2</v>
      </c>
      <c r="D486" s="53"/>
      <c r="E486" s="20" t="s">
        <v>457</v>
      </c>
      <c r="F486" s="20" t="s">
        <v>543</v>
      </c>
      <c r="G486" s="20" t="s">
        <v>1396</v>
      </c>
      <c r="I486" s="21"/>
    </row>
    <row r="487" spans="1:9" ht="18" customHeight="1">
      <c r="A487" s="48">
        <v>486</v>
      </c>
      <c r="B487" s="44" t="s">
        <v>762</v>
      </c>
      <c r="C487" s="53">
        <v>2</v>
      </c>
      <c r="D487" s="53"/>
      <c r="E487" s="20" t="s">
        <v>457</v>
      </c>
      <c r="F487" s="20" t="s">
        <v>544</v>
      </c>
      <c r="G487" s="20" t="s">
        <v>1397</v>
      </c>
      <c r="I487" s="21"/>
    </row>
    <row r="488" spans="1:9" ht="18" customHeight="1">
      <c r="A488" s="48">
        <v>487</v>
      </c>
      <c r="B488" s="44" t="s">
        <v>762</v>
      </c>
      <c r="C488" s="53">
        <v>2</v>
      </c>
      <c r="D488" s="53"/>
      <c r="E488" s="20" t="s">
        <v>457</v>
      </c>
      <c r="F488" s="20" t="s">
        <v>545</v>
      </c>
      <c r="G488" s="20" t="s">
        <v>1398</v>
      </c>
      <c r="I488" s="21"/>
    </row>
    <row r="489" spans="1:9" ht="18" customHeight="1">
      <c r="A489" s="48">
        <v>488</v>
      </c>
      <c r="B489" s="44" t="s">
        <v>762</v>
      </c>
      <c r="C489" s="53">
        <v>2</v>
      </c>
      <c r="D489" s="53"/>
      <c r="E489" s="20" t="s">
        <v>457</v>
      </c>
      <c r="F489" s="20" t="s">
        <v>546</v>
      </c>
      <c r="G489" s="20" t="s">
        <v>1399</v>
      </c>
      <c r="I489" s="21"/>
    </row>
    <row r="490" spans="1:9" ht="18" customHeight="1">
      <c r="A490" s="48">
        <v>489</v>
      </c>
      <c r="B490" s="44" t="s">
        <v>762</v>
      </c>
      <c r="C490" s="53">
        <v>2</v>
      </c>
      <c r="D490" s="53"/>
      <c r="E490" s="20" t="s">
        <v>457</v>
      </c>
      <c r="F490" s="20" t="s">
        <v>547</v>
      </c>
      <c r="G490" s="20" t="s">
        <v>1400</v>
      </c>
      <c r="I490" s="21"/>
    </row>
    <row r="491" spans="1:9" ht="18" customHeight="1">
      <c r="A491" s="48">
        <v>490</v>
      </c>
      <c r="B491" s="44" t="s">
        <v>762</v>
      </c>
      <c r="C491" s="53">
        <v>2</v>
      </c>
      <c r="D491" s="53"/>
      <c r="E491" s="20" t="s">
        <v>457</v>
      </c>
      <c r="F491" s="20" t="s">
        <v>548</v>
      </c>
      <c r="G491" s="20" t="s">
        <v>1401</v>
      </c>
      <c r="I491" s="21"/>
    </row>
    <row r="492" spans="1:9" ht="18" customHeight="1">
      <c r="A492" s="48">
        <v>491</v>
      </c>
      <c r="B492" s="44" t="s">
        <v>762</v>
      </c>
      <c r="C492" s="53">
        <v>2</v>
      </c>
      <c r="D492" s="53"/>
      <c r="E492" s="20" t="s">
        <v>457</v>
      </c>
      <c r="F492" s="20" t="s">
        <v>549</v>
      </c>
      <c r="G492" s="20" t="s">
        <v>1402</v>
      </c>
      <c r="I492" s="21"/>
    </row>
    <row r="493" spans="1:9" ht="18" customHeight="1">
      <c r="A493" s="48">
        <v>492</v>
      </c>
      <c r="B493" s="44" t="s">
        <v>762</v>
      </c>
      <c r="C493" s="53">
        <v>2</v>
      </c>
      <c r="D493" s="53"/>
      <c r="E493" s="20" t="s">
        <v>457</v>
      </c>
      <c r="F493" s="20" t="s">
        <v>550</v>
      </c>
      <c r="G493" s="20" t="s">
        <v>1403</v>
      </c>
      <c r="I493" s="21"/>
    </row>
    <row r="494" spans="1:9" ht="18" customHeight="1">
      <c r="A494" s="48">
        <v>493</v>
      </c>
      <c r="B494" s="44" t="s">
        <v>762</v>
      </c>
      <c r="C494" s="53">
        <v>2</v>
      </c>
      <c r="D494" s="53"/>
      <c r="E494" s="20" t="s">
        <v>457</v>
      </c>
      <c r="F494" s="20" t="s">
        <v>551</v>
      </c>
      <c r="G494" s="20" t="s">
        <v>1404</v>
      </c>
      <c r="I494" s="21"/>
    </row>
    <row r="495" spans="1:9" ht="18" customHeight="1">
      <c r="A495" s="48">
        <v>494</v>
      </c>
      <c r="B495" s="44" t="s">
        <v>762</v>
      </c>
      <c r="C495" s="53">
        <v>2</v>
      </c>
      <c r="D495" s="53"/>
      <c r="E495" s="20" t="s">
        <v>457</v>
      </c>
      <c r="F495" s="20" t="s">
        <v>552</v>
      </c>
      <c r="G495" s="20" t="s">
        <v>1405</v>
      </c>
      <c r="I495" s="21"/>
    </row>
    <row r="496" spans="1:9" ht="18" customHeight="1">
      <c r="A496" s="48">
        <v>495</v>
      </c>
      <c r="B496" s="44" t="s">
        <v>762</v>
      </c>
      <c r="C496" s="53">
        <v>2</v>
      </c>
      <c r="D496" s="53"/>
      <c r="E496" s="20" t="s">
        <v>457</v>
      </c>
      <c r="F496" s="20" t="s">
        <v>553</v>
      </c>
      <c r="G496" s="20" t="s">
        <v>1406</v>
      </c>
      <c r="I496" s="21"/>
    </row>
    <row r="497" spans="1:9" ht="18" customHeight="1">
      <c r="A497" s="48">
        <v>496</v>
      </c>
      <c r="B497" s="44" t="s">
        <v>762</v>
      </c>
      <c r="C497" s="53">
        <v>2</v>
      </c>
      <c r="D497" s="53"/>
      <c r="E497" s="20" t="s">
        <v>457</v>
      </c>
      <c r="F497" s="20" t="s">
        <v>554</v>
      </c>
      <c r="G497" s="20" t="s">
        <v>1407</v>
      </c>
      <c r="I497" s="21"/>
    </row>
    <row r="498" spans="1:9" ht="18" customHeight="1">
      <c r="A498" s="48">
        <v>497</v>
      </c>
      <c r="B498" s="44" t="s">
        <v>762</v>
      </c>
      <c r="C498" s="53">
        <v>4</v>
      </c>
      <c r="D498" s="53"/>
      <c r="E498" s="20" t="s">
        <v>218</v>
      </c>
      <c r="F498" s="20" t="s">
        <v>569</v>
      </c>
      <c r="G498" s="20" t="s">
        <v>1408</v>
      </c>
      <c r="I498" s="21"/>
    </row>
    <row r="499" spans="1:9" ht="18" customHeight="1">
      <c r="A499" s="48">
        <v>498</v>
      </c>
      <c r="B499" s="44" t="s">
        <v>762</v>
      </c>
      <c r="C499" s="53">
        <v>4</v>
      </c>
      <c r="D499" s="53"/>
      <c r="E499" s="20" t="s">
        <v>218</v>
      </c>
      <c r="F499" s="20" t="s">
        <v>570</v>
      </c>
      <c r="G499" s="20" t="s">
        <v>1409</v>
      </c>
      <c r="I499" s="21"/>
    </row>
    <row r="500" spans="1:9" ht="18" customHeight="1">
      <c r="A500" s="48">
        <v>499</v>
      </c>
      <c r="B500" s="44" t="s">
        <v>762</v>
      </c>
      <c r="C500" s="53">
        <v>4</v>
      </c>
      <c r="D500" s="53"/>
      <c r="E500" s="20" t="s">
        <v>218</v>
      </c>
      <c r="F500" s="20" t="s">
        <v>571</v>
      </c>
      <c r="G500" s="20" t="s">
        <v>1410</v>
      </c>
      <c r="I500" s="21"/>
    </row>
    <row r="501" spans="1:9" ht="18" customHeight="1">
      <c r="A501" s="48">
        <v>500</v>
      </c>
      <c r="B501" s="44" t="s">
        <v>762</v>
      </c>
      <c r="C501" s="53">
        <v>4</v>
      </c>
      <c r="D501" s="53"/>
      <c r="E501" s="20" t="s">
        <v>218</v>
      </c>
      <c r="F501" s="20" t="s">
        <v>572</v>
      </c>
      <c r="G501" s="20" t="s">
        <v>1411</v>
      </c>
      <c r="I501" s="21"/>
    </row>
    <row r="502" spans="1:9" ht="18" customHeight="1">
      <c r="A502" s="48">
        <v>501</v>
      </c>
      <c r="B502" s="44" t="s">
        <v>762</v>
      </c>
      <c r="C502" s="53">
        <v>4</v>
      </c>
      <c r="D502" s="53"/>
      <c r="E502" s="20" t="s">
        <v>457</v>
      </c>
      <c r="F502" s="20" t="s">
        <v>573</v>
      </c>
      <c r="G502" s="20" t="s">
        <v>1412</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opLeftCell="E1" workbookViewId="0">
      <selection activeCell="I2" sqref="I2"/>
    </sheetView>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56.75" customHeight="1" thickTop="1" thickBot="1">
      <c r="A1" s="90" t="s">
        <v>735</v>
      </c>
      <c r="B1" s="90" t="s">
        <v>736</v>
      </c>
      <c r="C1" s="91" t="s">
        <v>737</v>
      </c>
      <c r="D1" s="91" t="s">
        <v>752</v>
      </c>
      <c r="E1" s="174" t="s">
        <v>1425</v>
      </c>
      <c r="F1" s="175" t="s">
        <v>1427</v>
      </c>
      <c r="G1" s="176" t="s">
        <v>1573</v>
      </c>
      <c r="H1" s="176" t="s">
        <v>1574</v>
      </c>
      <c r="I1" s="176" t="s">
        <v>1579</v>
      </c>
      <c r="J1" s="176" t="s">
        <v>1535</v>
      </c>
      <c r="K1" s="177" t="s">
        <v>1426</v>
      </c>
      <c r="L1" s="178" t="s">
        <v>1582</v>
      </c>
      <c r="M1" s="178" t="s">
        <v>1595</v>
      </c>
      <c r="N1" s="178" t="s">
        <v>1596</v>
      </c>
      <c r="O1" s="178" t="s">
        <v>1536</v>
      </c>
      <c r="P1" s="178" t="s">
        <v>755</v>
      </c>
      <c r="Q1" s="178" t="s">
        <v>1537</v>
      </c>
      <c r="R1" s="179" t="s">
        <v>1586</v>
      </c>
      <c r="S1" s="180" t="s">
        <v>1594</v>
      </c>
      <c r="T1" s="180" t="s">
        <v>1593</v>
      </c>
      <c r="U1" s="181" t="s">
        <v>1417</v>
      </c>
      <c r="V1" s="181" t="s">
        <v>706</v>
      </c>
      <c r="W1" s="181" t="s">
        <v>1418</v>
      </c>
      <c r="X1" s="181" t="s">
        <v>707</v>
      </c>
      <c r="Y1" s="180" t="s">
        <v>1592</v>
      </c>
      <c r="Z1" s="180" t="s">
        <v>1415</v>
      </c>
      <c r="AA1" s="182" t="s">
        <v>1428</v>
      </c>
      <c r="AB1" s="221" t="s">
        <v>731</v>
      </c>
      <c r="AC1" s="183" t="s">
        <v>1429</v>
      </c>
      <c r="AD1" s="184" t="s">
        <v>1605</v>
      </c>
      <c r="AE1" s="184" t="s">
        <v>1606</v>
      </c>
      <c r="AF1" s="184" t="s">
        <v>1602</v>
      </c>
      <c r="AG1" s="184" t="s">
        <v>1604</v>
      </c>
      <c r="AH1" s="171" t="s">
        <v>1784</v>
      </c>
      <c r="AI1" s="172" t="s">
        <v>1783</v>
      </c>
      <c r="AJ1" s="172" t="s">
        <v>1420</v>
      </c>
      <c r="AK1" s="172" t="s">
        <v>1421</v>
      </c>
      <c r="AL1" s="170" t="s">
        <v>729</v>
      </c>
      <c r="AM1" s="170" t="s">
        <v>730</v>
      </c>
      <c r="AN1" s="173" t="s">
        <v>1785</v>
      </c>
      <c r="AO1" s="185" t="s">
        <v>1786</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1664</v>
      </c>
      <c r="M21" s="99" t="str">
        <f>INDEX(Tableau5[Att2],MATCH(Tableau3[[#This Row],[ID-SIG]],Tableau5[ID],0))&amp;""</f>
        <v/>
      </c>
      <c r="N21" s="99" t="str">
        <f>INDEX(Tableau5[Att3],MATCH(Tableau3[[#This Row],[ID-SIG]],Tableau5[ID],0))&amp;""</f>
        <v/>
      </c>
      <c r="O21" s="99"/>
      <c r="P21" s="99" t="s">
        <v>1667</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1668</v>
      </c>
      <c r="M72" s="99" t="str">
        <f>INDEX(Tableau5[Att2],MATCH(Tableau3[[#This Row],[ID-SIG]],Tableau5[ID],0))&amp;""</f>
        <v/>
      </c>
      <c r="N72" s="99" t="str">
        <f>INDEX(Tableau5[Att3],MATCH(Tableau3[[#This Row],[ID-SIG]],Tableau5[ID],0))&amp;""</f>
        <v/>
      </c>
      <c r="O72" s="99"/>
      <c r="P72" s="99" t="s">
        <v>1669</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1677</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1504</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1504</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1504</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1504</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1504</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1673</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1650</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1651</v>
      </c>
      <c r="I112" s="115" t="str">
        <f>INDEX(Tableau8[Att3],MATCH(Tableau3[[#This Row],[ID-INS]],Tableau8[ID],0))&amp;""</f>
        <v>Portail P4</v>
      </c>
      <c r="J112" s="102"/>
      <c r="K112" s="167" t="str">
        <f>INDEX(Tableau8[Nom du modele],MATCH(Tableau3[[#This Row],[ID-INS]],Tableau8[ID],0))&amp;""</f>
        <v>PortailBleuHydr_1</v>
      </c>
      <c r="L112" s="116" t="s">
        <v>1652</v>
      </c>
      <c r="M112" s="116" t="str">
        <f>INDEX(Tableau5[Att2],MATCH(Tableau3[[#This Row],[ID-SIG]],Tableau5[ID],0))&amp;""</f>
        <v/>
      </c>
      <c r="N112" s="116" t="str">
        <f>INDEX(Tableau5[Att3],MATCH(Tableau3[[#This Row],[ID-SIG]],Tableau5[ID],0))&amp;""</f>
        <v/>
      </c>
      <c r="O112" s="100"/>
      <c r="P112" s="116" t="s">
        <v>1654</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1504</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1650</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1651</v>
      </c>
      <c r="I113" s="115" t="str">
        <f>INDEX(Tableau8[Att3],MATCH(Tableau3[[#This Row],[ID-INS]],Tableau8[ID],0))&amp;""</f>
        <v>Portail P4</v>
      </c>
      <c r="J113" s="102"/>
      <c r="K113" s="167" t="str">
        <f>INDEX(Tableau8[Nom du modele],MATCH(Tableau3[[#This Row],[ID-INS]],Tableau8[ID],0))&amp;""</f>
        <v>PortailBleuHydr_1</v>
      </c>
      <c r="L113" s="116" t="s">
        <v>1653</v>
      </c>
      <c r="M113" s="116" t="str">
        <f>INDEX(Tableau5[Att2],MATCH(Tableau3[[#This Row],[ID-SIG]],Tableau5[ID],0))&amp;""</f>
        <v/>
      </c>
      <c r="N113" s="116" t="str">
        <f>INDEX(Tableau5[Att3],MATCH(Tableau3[[#This Row],[ID-SIG]],Tableau5[ID],0))&amp;""</f>
        <v/>
      </c>
      <c r="O113" s="100"/>
      <c r="P113" s="116" t="s">
        <v>1655</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1504</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1455</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1455</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1455</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1455</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1455</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1455</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1455</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1455</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1455</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1455</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1455</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1455</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1455</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1455</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1455</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1455</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1656</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1455</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1657</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1455</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1658</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1455</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1659</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1455</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1455</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1455</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1455</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1455</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1504</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1504</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1680</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1504</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1504</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1716</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1717</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1718</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1719</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1455</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1455</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1455</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1455</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1678</v>
      </c>
      <c r="M204" s="99" t="str">
        <f>INDEX(Tableau5[Att2],MATCH(Tableau3[[#This Row],[ID-SIG]],Tableau5[ID],0))&amp;""</f>
        <v/>
      </c>
      <c r="N204" s="99" t="str">
        <f>INDEX(Tableau5[Att3],MATCH(Tableau3[[#This Row],[ID-SIG]],Tableau5[ID],0))&amp;""</f>
        <v/>
      </c>
      <c r="O204" s="99"/>
      <c r="P204" s="155" t="s">
        <v>1720</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1664</v>
      </c>
      <c r="M216" s="141" t="str">
        <f>INDEX(Tableau5[Att2],MATCH(Tableau3[[#This Row],[ID-SIG]],Tableau5[ID],0))&amp;""</f>
        <v/>
      </c>
      <c r="N216" s="141" t="str">
        <f>INDEX(Tableau5[Att3],MATCH(Tableau3[[#This Row],[ID-SIG]],Tableau5[ID],0))&amp;""</f>
        <v/>
      </c>
      <c r="O216" s="99"/>
      <c r="P216" s="154" t="s">
        <v>1721</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1660</v>
      </c>
      <c r="M219" s="141" t="str">
        <f>INDEX(Tableau5[Att2],MATCH(Tableau3[[#This Row],[ID-SIG]],Tableau5[ID],0))&amp;""</f>
        <v/>
      </c>
      <c r="N219" s="141" t="str">
        <f>INDEX(Tableau5[Att3],MATCH(Tableau3[[#This Row],[ID-SIG]],Tableau5[ID],0))&amp;""</f>
        <v/>
      </c>
      <c r="O219" s="99"/>
      <c r="P219" s="154" t="s">
        <v>1722</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1660</v>
      </c>
      <c r="M234" s="99" t="str">
        <f>INDEX(Tableau5[Att2],MATCH(Tableau3[[#This Row],[ID-SIG]],Tableau5[ID],0))&amp;""</f>
        <v/>
      </c>
      <c r="N234" s="99" t="str">
        <f>INDEX(Tableau5[Att3],MATCH(Tableau3[[#This Row],[ID-SIG]],Tableau5[ID],0))&amp;""</f>
        <v/>
      </c>
      <c r="O234" s="99"/>
      <c r="P234" s="155" t="s">
        <v>1723</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1727</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1681</v>
      </c>
      <c r="M236" s="99" t="str">
        <f>INDEX(Tableau5[Att2],MATCH(Tableau3[[#This Row],[ID-SIG]],Tableau5[ID],0))&amp;""</f>
        <v/>
      </c>
      <c r="N236" s="99" t="str">
        <f>INDEX(Tableau5[Att3],MATCH(Tableau3[[#This Row],[ID-SIG]],Tableau5[ID],0))&amp;""</f>
        <v/>
      </c>
      <c r="O236" s="99"/>
      <c r="P236" s="155" t="s">
        <v>1724</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1725</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1671</v>
      </c>
      <c r="M238" s="99" t="str">
        <f>INDEX(Tableau5[Att2],MATCH(Tableau3[[#This Row],[ID-SIG]],Tableau5[ID],0))&amp;""</f>
        <v/>
      </c>
      <c r="N238" s="99" t="str">
        <f>INDEX(Tableau5[Att3],MATCH(Tableau3[[#This Row],[ID-SIG]],Tableau5[ID],0))&amp;""</f>
        <v/>
      </c>
      <c r="O238" s="99"/>
      <c r="P238" s="155" t="s">
        <v>1726</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1664</v>
      </c>
      <c r="M249" s="149" t="e">
        <f>INDEX(Tableau5[Att2],MATCH(Tableau3[[#This Row],[ID-SIG]],Tableau5[ID],0))&amp;""</f>
        <v>#N/A</v>
      </c>
      <c r="N249" s="149" t="e">
        <f>INDEX(Tableau5[Att3],MATCH(Tableau3[[#This Row],[ID-SIG]],Tableau5[ID],0))&amp;""</f>
        <v>#N/A</v>
      </c>
      <c r="O249" s="150"/>
      <c r="P249" s="149" t="s">
        <v>1728</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1455</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1729</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1455</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1664</v>
      </c>
      <c r="M251" s="141" t="str">
        <f>INDEX(Tableau5[Att2],MATCH(Tableau3[[#This Row],[ID-SIG]],Tableau5[ID],0))&amp;""</f>
        <v/>
      </c>
      <c r="N251" s="141" t="str">
        <f>INDEX(Tableau5[Att3],MATCH(Tableau3[[#This Row],[ID-SIG]],Tableau5[ID],0))&amp;""</f>
        <v/>
      </c>
      <c r="O251" s="99"/>
      <c r="P251" s="154" t="s">
        <v>1730</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1656</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1657</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1658</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747</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1664</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1732</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1660</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1732</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1731</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1732</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1733</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1705</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1705</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1706</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1706</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1660</v>
      </c>
      <c r="M350" s="99" t="str">
        <f>INDEX(Tableau5[Att2],MATCH(Tableau3[[#This Row],[ID-SIG]],Tableau5[ID],0))&amp;""</f>
        <v/>
      </c>
      <c r="N350" s="99" t="str">
        <f>INDEX(Tableau5[Att3],MATCH(Tableau3[[#This Row],[ID-SIG]],Tableau5[ID],0))&amp;""</f>
        <v/>
      </c>
      <c r="O350" s="99"/>
      <c r="P350" s="155" t="s">
        <v>1734</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1735</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1736</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1455</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746</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1455</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1455</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1455</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1455</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1455</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1455</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1455</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1660</v>
      </c>
      <c r="M378" s="99" t="str">
        <f>INDEX(Tableau5[Att2],MATCH(Tableau3[[#This Row],[ID-SIG]],Tableau5[ID],0))&amp;""</f>
        <v/>
      </c>
      <c r="N378" s="99" t="str">
        <f>INDEX(Tableau5[Att3],MATCH(Tableau3[[#This Row],[ID-SIG]],Tableau5[ID],0))&amp;""</f>
        <v/>
      </c>
      <c r="O378" s="99"/>
      <c r="P378" s="155" t="s">
        <v>1661</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1660</v>
      </c>
      <c r="M391" s="99" t="str">
        <f>INDEX(Tableau5[Att2],MATCH(Tableau3[[#This Row],[ID-SIG]],Tableau5[ID],0))&amp;""</f>
        <v/>
      </c>
      <c r="N391" s="99" t="str">
        <f>INDEX(Tableau5[Att3],MATCH(Tableau3[[#This Row],[ID-SIG]],Tableau5[ID],0))&amp;""</f>
        <v/>
      </c>
      <c r="O391" s="99"/>
      <c r="P391" s="155" t="s">
        <v>1663</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1664</v>
      </c>
      <c r="M396" s="99" t="str">
        <f>INDEX(Tableau5[Att2],MATCH(Tableau3[[#This Row],[ID-SIG]],Tableau5[ID],0))&amp;""</f>
        <v/>
      </c>
      <c r="N396" s="99" t="str">
        <f>INDEX(Tableau5[Att3],MATCH(Tableau3[[#This Row],[ID-SIG]],Tableau5[ID],0))&amp;""</f>
        <v/>
      </c>
      <c r="O396" s="99"/>
      <c r="P396" s="155" t="s">
        <v>1665</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1660</v>
      </c>
      <c r="M399" s="99" t="str">
        <f>INDEX(Tableau5[Att2],MATCH(Tableau3[[#This Row],[ID-SIG]],Tableau5[ID],0))&amp;""</f>
        <v/>
      </c>
      <c r="N399" s="99" t="str">
        <f>INDEX(Tableau5[Att3],MATCH(Tableau3[[#This Row],[ID-SIG]],Tableau5[ID],0))&amp;""</f>
        <v/>
      </c>
      <c r="O399" s="99"/>
      <c r="P399" s="155" t="s">
        <v>1666</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1664</v>
      </c>
      <c r="M422" s="99" t="str">
        <f>INDEX(Tableau5[Att2],MATCH(Tableau3[[#This Row],[ID-SIG]],Tableau5[ID],0))&amp;""</f>
        <v/>
      </c>
      <c r="N422" s="99" t="str">
        <f>INDEX(Tableau5[Att3],MATCH(Tableau3[[#This Row],[ID-SIG]],Tableau5[ID],0))&amp;""</f>
        <v/>
      </c>
      <c r="O422" s="99"/>
      <c r="P422" s="155" t="s">
        <v>1667</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1669</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1455</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1705</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1705</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1670</v>
      </c>
      <c r="M515" s="99" t="str">
        <f>INDEX(Tableau5[Att2],MATCH(Tableau3[[#This Row],[ID-SIG]],Tableau5[ID],0))&amp;""</f>
        <v/>
      </c>
      <c r="N515" s="99" t="str">
        <f>INDEX(Tableau5[Att3],MATCH(Tableau3[[#This Row],[ID-SIG]],Tableau5[ID],0))&amp;""</f>
        <v/>
      </c>
      <c r="O515" s="99"/>
      <c r="P515" s="155" t="s">
        <v>1670</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1737</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1671</v>
      </c>
      <c r="M517" s="99" t="str">
        <f>INDEX(Tableau5[Att2],MATCH(Tableau3[[#This Row],[ID-SIG]],Tableau5[ID],0))&amp;""</f>
        <v/>
      </c>
      <c r="N517" s="99" t="str">
        <f>INDEX(Tableau5[Att3],MATCH(Tableau3[[#This Row],[ID-SIG]],Tableau5[ID],0))&amp;""</f>
        <v/>
      </c>
      <c r="O517" s="99"/>
      <c r="P517" s="155" t="s">
        <v>1672</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1660</v>
      </c>
      <c r="M531" s="99" t="str">
        <f>INDEX(Tableau5[Att2],MATCH(Tableau3[[#This Row],[ID-SIG]],Tableau5[ID],0))&amp;""</f>
        <v/>
      </c>
      <c r="N531" s="99" t="str">
        <f>INDEX(Tableau5[Att3],MATCH(Tableau3[[#This Row],[ID-SIG]],Tableau5[ID],0))&amp;""</f>
        <v/>
      </c>
      <c r="O531" s="99"/>
      <c r="P531" s="155" t="s">
        <v>1673</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1706</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1660</v>
      </c>
      <c r="M536" s="99" t="str">
        <f>INDEX(Tableau5[Att2],MATCH(Tableau3[[#This Row],[ID-SIG]],Tableau5[ID],0))&amp;""</f>
        <v/>
      </c>
      <c r="N536" s="99" t="str">
        <f>INDEX(Tableau5[Att3],MATCH(Tableau3[[#This Row],[ID-SIG]],Tableau5[ID],0))&amp;""</f>
        <v/>
      </c>
      <c r="O536" s="99"/>
      <c r="P536" s="155" t="s">
        <v>1674</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1675</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1676</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1455</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1455</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1455</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1455</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1455</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1455</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1455</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1662</v>
      </c>
      <c r="M549" s="99" t="str">
        <f>INDEX(Tableau5[Att2],MATCH(Tableau3[[#This Row],[ID-SIG]],Tableau5[ID],0))&amp;""</f>
        <v/>
      </c>
      <c r="N549" s="99" t="str">
        <f>INDEX(Tableau5[Att3],MATCH(Tableau3[[#This Row],[ID-SIG]],Tableau5[ID],0))&amp;""</f>
        <v/>
      </c>
      <c r="O549" s="99"/>
      <c r="P549" s="155" t="s">
        <v>1677</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1678</v>
      </c>
      <c r="M553" s="99" t="str">
        <f>INDEX(Tableau5[Att2],MATCH(Tableau3[[#This Row],[ID-SIG]],Tableau5[ID],0))&amp;""</f>
        <v/>
      </c>
      <c r="N553" s="99" t="str">
        <f>INDEX(Tableau5[Att3],MATCH(Tableau3[[#This Row],[ID-SIG]],Tableau5[ID],0))&amp;""</f>
        <v/>
      </c>
      <c r="O553" s="99"/>
      <c r="P553" s="155" t="s">
        <v>1679</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1664</v>
      </c>
      <c r="M564" s="99" t="str">
        <f>INDEX(Tableau5[Att2],MATCH(Tableau3[[#This Row],[ID-SIG]],Tableau5[ID],0))&amp;""</f>
        <v/>
      </c>
      <c r="N564" s="99" t="str">
        <f>INDEX(Tableau5[Att3],MATCH(Tableau3[[#This Row],[ID-SIG]],Tableau5[ID],0))&amp;""</f>
        <v/>
      </c>
      <c r="O564" s="99"/>
      <c r="P564" s="155" t="s">
        <v>1680</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1681</v>
      </c>
      <c r="M571" s="99" t="str">
        <f>INDEX(Tableau5[Att2],MATCH(Tableau3[[#This Row],[ID-SIG]],Tableau5[ID],0))&amp;""</f>
        <v/>
      </c>
      <c r="N571" s="99" t="str">
        <f>INDEX(Tableau5[Att3],MATCH(Tableau3[[#This Row],[ID-SIG]],Tableau5[ID],0))&amp;""</f>
        <v/>
      </c>
      <c r="O571" s="99"/>
      <c r="P571" s="155" t="s">
        <v>1682</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1683</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1664</v>
      </c>
      <c r="M574" s="99" t="str">
        <f>INDEX(Tableau5[Att2],MATCH(Tableau3[[#This Row],[ID-SIG]],Tableau5[ID],0))&amp;""</f>
        <v/>
      </c>
      <c r="N574" s="99" t="str">
        <f>INDEX(Tableau5[Att3],MATCH(Tableau3[[#This Row],[ID-SIG]],Tableau5[ID],0))&amp;""</f>
        <v/>
      </c>
      <c r="O574" s="99"/>
      <c r="P574" s="155" t="s">
        <v>1684</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1685</v>
      </c>
      <c r="M669" s="99" t="str">
        <f>INDEX(Tableau5[Att2],MATCH(Tableau3[[#This Row],[ID-SIG]],Tableau5[ID],0))&amp;""</f>
        <v/>
      </c>
      <c r="N669" s="99" t="str">
        <f>INDEX(Tableau5[Att3],MATCH(Tableau3[[#This Row],[ID-SIG]],Tableau5[ID],0))&amp;""</f>
        <v/>
      </c>
      <c r="O669" s="99"/>
      <c r="P669" s="155" t="s">
        <v>1686</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1687</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1688</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1455</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747</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1455</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1664</v>
      </c>
      <c r="M684" s="99" t="str">
        <f>INDEX(Tableau5[Att2],MATCH(Tableau3[[#This Row],[ID-SIG]],Tableau5[ID],0))&amp;""</f>
        <v/>
      </c>
      <c r="N684" s="99" t="str">
        <f>INDEX(Tableau5[Att3],MATCH(Tableau3[[#This Row],[ID-SIG]],Tableau5[ID],0))&amp;""</f>
        <v/>
      </c>
      <c r="O684" s="99"/>
      <c r="P684" s="155" t="s">
        <v>1689</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1678</v>
      </c>
      <c r="M688" s="99" t="str">
        <f>INDEX(Tableau5[Att2],MATCH(Tableau3[[#This Row],[ID-SIG]],Tableau5[ID],0))&amp;""</f>
        <v/>
      </c>
      <c r="N688" s="99" t="str">
        <f>INDEX(Tableau5[Att3],MATCH(Tableau3[[#This Row],[ID-SIG]],Tableau5[ID],0))&amp;""</f>
        <v/>
      </c>
      <c r="O688" s="99"/>
      <c r="P688" s="155" t="s">
        <v>1738</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1664</v>
      </c>
      <c r="M695" s="99" t="str">
        <f>INDEX(Tableau5[Att2],MATCH(Tableau3[[#This Row],[ID-SIG]],Tableau5[ID],0))&amp;""</f>
        <v/>
      </c>
      <c r="N695" s="99" t="str">
        <f>INDEX(Tableau5[Att3],MATCH(Tableau3[[#This Row],[ID-SIG]],Tableau5[ID],0))&amp;""</f>
        <v/>
      </c>
      <c r="O695" s="99"/>
      <c r="P695" s="155" t="s">
        <v>1690</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1691</v>
      </c>
      <c r="M706" s="99" t="str">
        <f>INDEX(Tableau5[Att2],MATCH(Tableau3[[#This Row],[ID-SIG]],Tableau5[ID],0))&amp;""</f>
        <v/>
      </c>
      <c r="N706" s="99" t="str">
        <f>INDEX(Tableau5[Att3],MATCH(Tableau3[[#This Row],[ID-SIG]],Tableau5[ID],0))&amp;""</f>
        <v/>
      </c>
      <c r="O706" s="99"/>
      <c r="P706" s="155" t="s">
        <v>1692</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1742</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1741</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1739</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1671</v>
      </c>
      <c r="M710" s="99" t="str">
        <f>INDEX(Tableau5[Att2],MATCH(Tableau3[[#This Row],[ID-SIG]],Tableau5[ID],0))&amp;""</f>
        <v/>
      </c>
      <c r="N710" s="99" t="str">
        <f>INDEX(Tableau5[Att3],MATCH(Tableau3[[#This Row],[ID-SIG]],Tableau5[ID],0))&amp;""</f>
        <v/>
      </c>
      <c r="O710" s="99"/>
      <c r="P710" s="155" t="s">
        <v>1740</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1664</v>
      </c>
      <c r="M726" s="99" t="str">
        <f>INDEX(Tableau5[Att2],MATCH(Tableau3[[#This Row],[ID-SIG]],Tableau5[ID],0))&amp;""</f>
        <v/>
      </c>
      <c r="N726" s="99" t="str">
        <f>INDEX(Tableau5[Att3],MATCH(Tableau3[[#This Row],[ID-SIG]],Tableau5[ID],0))&amp;""</f>
        <v/>
      </c>
      <c r="O726" s="99"/>
      <c r="P726" s="155" t="s">
        <v>1693</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1664</v>
      </c>
      <c r="M761" s="99" t="str">
        <f>INDEX(Tableau5[Att2],MATCH(Tableau3[[#This Row],[ID-SIG]],Tableau5[ID],0))&amp;""</f>
        <v/>
      </c>
      <c r="N761" s="99" t="str">
        <f>INDEX(Tableau5[Att3],MATCH(Tableau3[[#This Row],[ID-SIG]],Tableau5[ID],0))&amp;""</f>
        <v/>
      </c>
      <c r="O761" s="99"/>
      <c r="P761" s="155" t="s">
        <v>1743</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1664</v>
      </c>
      <c r="M764" s="99" t="str">
        <f>INDEX(Tableau5[Att2],MATCH(Tableau3[[#This Row],[ID-SIG]],Tableau5[ID],0))&amp;""</f>
        <v/>
      </c>
      <c r="N764" s="99" t="str">
        <f>INDEX(Tableau5[Att3],MATCH(Tableau3[[#This Row],[ID-SIG]],Tableau5[ID],0))&amp;""</f>
        <v/>
      </c>
      <c r="O764" s="99"/>
      <c r="P764" s="155" t="s">
        <v>1744</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1694</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1455</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1455</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1745</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1746</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1695</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1696</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1699</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1455</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1697</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1700</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1455</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1698</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1701</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1455</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1702</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1455</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1455</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1455</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1455</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1455</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1455</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1455</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1455</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1455</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1455</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1747</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1660</v>
      </c>
      <c r="M893" s="99" t="str">
        <f>INDEX(Tableau5[Att2],MATCH(Tableau3[[#This Row],[ID-SIG]],Tableau5[ID],0))&amp;""</f>
        <v/>
      </c>
      <c r="N893" s="99" t="str">
        <f>INDEX(Tableau5[Att3],MATCH(Tableau3[[#This Row],[ID-SIG]],Tableau5[ID],0))&amp;""</f>
        <v/>
      </c>
      <c r="O893" s="99"/>
      <c r="P893" s="155" t="s">
        <v>1703</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1664</v>
      </c>
      <c r="M896" s="99" t="str">
        <f>INDEX(Tableau5[Att2],MATCH(Tableau3[[#This Row],[ID-SIG]],Tableau5[ID],0))&amp;""</f>
        <v/>
      </c>
      <c r="N896" s="99" t="str">
        <f>INDEX(Tableau5[Att3],MATCH(Tableau3[[#This Row],[ID-SIG]],Tableau5[ID],0))&amp;""</f>
        <v/>
      </c>
      <c r="O896" s="99"/>
      <c r="P896" s="155" t="s">
        <v>1704</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1025</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1705</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1705</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1705</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1716</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1748</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1716</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1749</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1716</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1750</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1716</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1751</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1752</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1753</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1754</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1504</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1504</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1504</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1504</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1504</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1455</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1706</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1706</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1706</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1706</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1504</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1504</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1504</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1504</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1664</v>
      </c>
      <c r="M1063" s="99" t="str">
        <f>INDEX(Tableau5[Att2],MATCH(Tableau3[[#This Row],[ID-SIG]],Tableau5[ID],0))&amp;""</f>
        <v/>
      </c>
      <c r="N1063" s="99" t="str">
        <f>INDEX(Tableau5[Att3],MATCH(Tableau3[[#This Row],[ID-SIG]],Tableau5[ID],0))&amp;""</f>
        <v/>
      </c>
      <c r="O1063" s="99"/>
      <c r="P1063" s="155" t="s">
        <v>1755</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1660</v>
      </c>
      <c r="M1064" s="99" t="str">
        <f>INDEX(Tableau5[Att2],MATCH(Tableau3[[#This Row],[ID-SIG]],Tableau5[ID],0))&amp;""</f>
        <v/>
      </c>
      <c r="N1064" s="99" t="str">
        <f>INDEX(Tableau5[Att3],MATCH(Tableau3[[#This Row],[ID-SIG]],Tableau5[ID],0))&amp;""</f>
        <v/>
      </c>
      <c r="O1064" s="99"/>
      <c r="P1064" s="155" t="s">
        <v>1755</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1731</v>
      </c>
      <c r="M1065" s="99" t="str">
        <f>INDEX(Tableau5[Att2],MATCH(Tableau3[[#This Row],[ID-SIG]],Tableau5[ID],0))&amp;""</f>
        <v/>
      </c>
      <c r="N1065" s="99" t="str">
        <f>INDEX(Tableau5[Att3],MATCH(Tableau3[[#This Row],[ID-SIG]],Tableau5[ID],0))&amp;""</f>
        <v/>
      </c>
      <c r="O1065" s="99"/>
      <c r="P1065" s="154" t="s">
        <v>1755</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1705</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1707</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1708</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1455</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1455</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1455</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1455</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1662</v>
      </c>
      <c r="M1098" s="99" t="str">
        <f>INDEX(Tableau5[Att2],MATCH(Tableau3[[#This Row],[ID-SIG]],Tableau5[ID],0))&amp;""</f>
        <v/>
      </c>
      <c r="N1098" s="99" t="str">
        <f>INDEX(Tableau5[Att3],MATCH(Tableau3[[#This Row],[ID-SIG]],Tableau5[ID],0))&amp;""</f>
        <v/>
      </c>
      <c r="O1098" s="99"/>
      <c r="P1098" s="155" t="s">
        <v>1756</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1757</v>
      </c>
      <c r="M1107" s="99" t="str">
        <f>INDEX(Tableau5[Att2],MATCH(Tableau3[[#This Row],[ID-SIG]],Tableau5[ID],0))&amp;""</f>
        <v/>
      </c>
      <c r="N1107" s="99" t="str">
        <f>INDEX(Tableau5[Att3],MATCH(Tableau3[[#This Row],[ID-SIG]],Tableau5[ID],0))&amp;""</f>
        <v/>
      </c>
      <c r="O1107" s="99"/>
      <c r="P1107" s="155" t="s">
        <v>1758</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1709</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1710</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1711</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1712</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1713</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1714</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1709</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1709</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1709</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1709</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1660</v>
      </c>
      <c r="M1173" s="100" t="str">
        <f>INDEX(Tableau5[Att2],MATCH(Tableau3[[#This Row],[ID-SIG]],Tableau5[ID],0))&amp;""</f>
        <v/>
      </c>
      <c r="N1173" s="100" t="str">
        <f>INDEX(Tableau5[Att3],MATCH(Tableau3[[#This Row],[ID-SIG]],Tableau5[ID],0))&amp;""</f>
        <v/>
      </c>
      <c r="O1173" s="100"/>
      <c r="P1173" s="150" t="s">
        <v>1715</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1455</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1455</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1455</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1455</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1455</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1455</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1455</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1455</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1455</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1455</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1455</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1455</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1455</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1455</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1455</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1455</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1455</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1455</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731</v>
      </c>
      <c r="M1194" s="99" t="str">
        <f>INDEX(Tableau5[Att2],MATCH(Tableau3[[#This Row],[ID-SIG]],Tableau5[ID],0))&amp;""</f>
        <v/>
      </c>
      <c r="N1194" s="99" t="str">
        <f>INDEX(Tableau5[Att3],MATCH(Tableau3[[#This Row],[ID-SIG]],Tableau5[ID],0))&amp;""</f>
        <v/>
      </c>
      <c r="O1194" s="99"/>
      <c r="P1194" s="155" t="s">
        <v>1759</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731</v>
      </c>
      <c r="M1195" s="99" t="str">
        <f>INDEX(Tableau5[Att2],MATCH(Tableau3[[#This Row],[ID-SIG]],Tableau5[ID],0))&amp;""</f>
        <v/>
      </c>
      <c r="N1195" s="99" t="str">
        <f>INDEX(Tableau5[Att3],MATCH(Tableau3[[#This Row],[ID-SIG]],Tableau5[ID],0))&amp;""</f>
        <v/>
      </c>
      <c r="O1195" s="99"/>
      <c r="P1195" s="155" t="s">
        <v>731</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731</v>
      </c>
      <c r="M1196" s="99" t="str">
        <f>INDEX(Tableau5[Att2],MATCH(Tableau3[[#This Row],[ID-SIG]],Tableau5[ID],0))&amp;""</f>
        <v/>
      </c>
      <c r="N1196" s="99" t="str">
        <f>INDEX(Tableau5[Att3],MATCH(Tableau3[[#This Row],[ID-SIG]],Tableau5[ID],0))&amp;""</f>
        <v/>
      </c>
      <c r="O1196" s="99"/>
      <c r="P1196" s="155" t="s">
        <v>731</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1455</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1455</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1455</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1455</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1455</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1455</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1455</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1455</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1760</v>
      </c>
      <c r="I1212" s="147" t="e">
        <f>INDEX(Tableau8[Att3],MATCH(Tableau3[[#This Row],[ID-INS]],Tableau8[ID],0))&amp;""</f>
        <v>#N/A</v>
      </c>
      <c r="J1212" s="148"/>
      <c r="K1212" s="167" t="e">
        <f>INDEX(Tableau8[Nom du modele],MATCH(Tableau3[[#This Row],[ID-INS]],Tableau8[ID],0))&amp;""</f>
        <v>#N/A</v>
      </c>
      <c r="L1212" s="149" t="s">
        <v>1762</v>
      </c>
      <c r="M1212" s="149" t="e">
        <f>INDEX(Tableau5[Att2],MATCH(Tableau3[[#This Row],[ID-SIG]],Tableau5[ID],0))&amp;""</f>
        <v>#N/A</v>
      </c>
      <c r="N1212" s="149" t="e">
        <f>INDEX(Tableau5[Att3],MATCH(Tableau3[[#This Row],[ID-SIG]],Tableau5[ID],0))&amp;""</f>
        <v>#N/A</v>
      </c>
      <c r="O1212" s="150"/>
      <c r="P1212" s="149" t="s">
        <v>1761</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1455</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1455</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1455</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1455</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1455</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1455</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1760</v>
      </c>
      <c r="I1223" s="147" t="e">
        <f>INDEX(Tableau8[Att3],MATCH(Tableau3[[#This Row],[ID-INS]],Tableau8[ID],0))&amp;""</f>
        <v>#N/A</v>
      </c>
      <c r="J1223" s="148"/>
      <c r="K1223" s="167" t="e">
        <f>INDEX(Tableau8[Nom du modele],MATCH(Tableau3[[#This Row],[ID-INS]],Tableau8[ID],0))&amp;""</f>
        <v>#N/A</v>
      </c>
      <c r="L1223" s="149" t="s">
        <v>1763</v>
      </c>
      <c r="M1223" s="149" t="e">
        <f>INDEX(Tableau5[Att2],MATCH(Tableau3[[#This Row],[ID-SIG]],Tableau5[ID],0))&amp;""</f>
        <v>#N/A</v>
      </c>
      <c r="N1223" s="149" t="e">
        <f>INDEX(Tableau5[Att3],MATCH(Tableau3[[#This Row],[ID-SIG]],Tableau5[ID],0))&amp;""</f>
        <v>#N/A</v>
      </c>
      <c r="O1223" s="150"/>
      <c r="P1223" s="149" t="s">
        <v>1764</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1455</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1455</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1455</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1455</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1455</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1455</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1455</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1455</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1455</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1455</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1455</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1765</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1766</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1455</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1768</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1455</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1769</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1455</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1770</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1455</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1641</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1771</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1455</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1767</v>
      </c>
      <c r="I1329" s="147" t="e">
        <f>INDEX(Tableau8[Att3],MATCH(Tableau3[[#This Row],[ID-INS]],Tableau8[ID],0))&amp;""</f>
        <v>#N/A</v>
      </c>
      <c r="J1329" s="148"/>
      <c r="K1329" s="167" t="e">
        <f>INDEX(Tableau8[Nom du modele],MATCH(Tableau3[[#This Row],[ID-INS]],Tableau8[ID],0))&amp;""</f>
        <v>#N/A</v>
      </c>
      <c r="L1329" s="149" t="s">
        <v>1767</v>
      </c>
      <c r="M1329" s="149" t="e">
        <f>INDEX(Tableau5[Att2],MATCH(Tableau3[[#This Row],[ID-SIG]],Tableau5[ID],0))&amp;""</f>
        <v>#N/A</v>
      </c>
      <c r="N1329" s="149" t="e">
        <f>INDEX(Tableau5[Att3],MATCH(Tableau3[[#This Row],[ID-SIG]],Tableau5[ID],0))&amp;""</f>
        <v>#N/A</v>
      </c>
      <c r="O1329" s="150"/>
      <c r="P1329" s="149" t="s">
        <v>1772</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1455</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1773</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1778</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1455</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1774</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1779</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1455</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1775</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1780</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1455</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1776</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1781</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1455</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1777</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1782</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1455</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1705</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1455</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1637</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1642</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1455</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1638</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1643</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1455</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1639</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1644</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1455</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1640</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1645</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1455</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1646</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1455</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1455</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1647</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1455</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1648</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1455</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1455</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1455</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1455</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1455</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1504</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1504</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1504</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1641</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1649</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1455</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6" type="noConversion"/>
  <conditionalFormatting sqref="U2:X1433">
    <cfRule type="expression" dxfId="44" priority="1">
      <formula>$AA2="X"</formula>
    </cfRule>
  </conditionalFormatting>
  <dataValidations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1"/>
      <c r="B1" s="105"/>
    </row>
    <row r="2" spans="1:21" ht="15" thickBot="1"/>
    <row r="3" spans="1:21" ht="15" thickBot="1">
      <c r="A3" s="60" t="s">
        <v>1609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1608</v>
      </c>
      <c r="C5" s="98" t="s">
        <v>1608</v>
      </c>
      <c r="D5" s="98" t="s">
        <v>1608</v>
      </c>
      <c r="E5" s="98" t="s">
        <v>1608</v>
      </c>
      <c r="F5" s="98" t="s">
        <v>1608</v>
      </c>
      <c r="G5" s="98" t="s">
        <v>1608</v>
      </c>
      <c r="H5" s="98" t="s">
        <v>1608</v>
      </c>
      <c r="I5" s="98" t="s">
        <v>1608</v>
      </c>
      <c r="J5" s="98" t="s">
        <v>1619</v>
      </c>
      <c r="K5" s="98" t="s">
        <v>1619</v>
      </c>
      <c r="L5" s="98" t="s">
        <v>1619</v>
      </c>
      <c r="M5" s="98" t="s">
        <v>1619</v>
      </c>
      <c r="N5" s="98" t="s">
        <v>1619</v>
      </c>
      <c r="O5" s="98" t="s">
        <v>1619</v>
      </c>
      <c r="P5" s="98" t="s">
        <v>1619</v>
      </c>
      <c r="Q5" s="98" t="s">
        <v>1619</v>
      </c>
      <c r="R5" s="98" t="s">
        <v>1619</v>
      </c>
      <c r="S5" s="98" t="s">
        <v>1619</v>
      </c>
    </row>
    <row r="6" spans="1:21">
      <c r="A6" s="64" t="s">
        <v>1551</v>
      </c>
      <c r="B6" s="98" t="s">
        <v>1620</v>
      </c>
      <c r="C6" s="98" t="s">
        <v>1621</v>
      </c>
      <c r="D6" s="98" t="s">
        <v>1622</v>
      </c>
      <c r="E6" s="98" t="s">
        <v>1623</v>
      </c>
      <c r="F6" s="98" t="s">
        <v>1624</v>
      </c>
      <c r="G6" s="98" t="s">
        <v>1625</v>
      </c>
      <c r="H6" s="98" t="s">
        <v>1626</v>
      </c>
      <c r="I6" s="98" t="s">
        <v>1627</v>
      </c>
      <c r="J6" s="98" t="s">
        <v>214</v>
      </c>
      <c r="K6" s="98" t="s">
        <v>1628</v>
      </c>
      <c r="L6" s="98" t="s">
        <v>1620</v>
      </c>
      <c r="M6" s="98" t="s">
        <v>1621</v>
      </c>
      <c r="N6" s="98" t="s">
        <v>1622</v>
      </c>
      <c r="O6" s="98" t="s">
        <v>1623</v>
      </c>
      <c r="P6" s="98" t="s">
        <v>1624</v>
      </c>
      <c r="Q6" s="98" t="s">
        <v>1625</v>
      </c>
      <c r="R6" s="98" t="s">
        <v>1626</v>
      </c>
      <c r="S6" s="98" t="s">
        <v>1627</v>
      </c>
    </row>
    <row r="7" spans="1:21">
      <c r="A7" s="64" t="s">
        <v>731</v>
      </c>
      <c r="B7" s="186" t="s">
        <v>1556</v>
      </c>
      <c r="C7" s="186" t="s">
        <v>1556</v>
      </c>
      <c r="D7" s="186" t="s">
        <v>1556</v>
      </c>
      <c r="E7" s="186" t="s">
        <v>1556</v>
      </c>
      <c r="F7" s="186" t="s">
        <v>1556</v>
      </c>
      <c r="G7" s="186" t="s">
        <v>1556</v>
      </c>
      <c r="H7" s="186" t="s">
        <v>1556</v>
      </c>
      <c r="I7" s="186" t="s">
        <v>1556</v>
      </c>
      <c r="J7" s="186" t="s">
        <v>1556</v>
      </c>
      <c r="K7" s="186" t="s">
        <v>1556</v>
      </c>
      <c r="L7" s="186" t="s">
        <v>1556</v>
      </c>
      <c r="M7" s="186" t="s">
        <v>1556</v>
      </c>
      <c r="N7" s="186" t="s">
        <v>1556</v>
      </c>
      <c r="O7" s="186" t="s">
        <v>1556</v>
      </c>
      <c r="P7" s="186" t="s">
        <v>1556</v>
      </c>
      <c r="Q7" s="186" t="s">
        <v>1556</v>
      </c>
      <c r="R7" s="186" t="s">
        <v>1556</v>
      </c>
      <c r="S7" s="186" t="s">
        <v>1556</v>
      </c>
    </row>
    <row r="8" spans="1:21" ht="15" thickBot="1"/>
    <row r="9" spans="1:21" ht="15" thickBot="1">
      <c r="A9" s="60" t="s">
        <v>1629</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1608</v>
      </c>
      <c r="C11" s="98" t="s">
        <v>1608</v>
      </c>
      <c r="D11" s="98" t="s">
        <v>1608</v>
      </c>
      <c r="E11" s="98" t="s">
        <v>1608</v>
      </c>
      <c r="F11" s="98" t="s">
        <v>1608</v>
      </c>
      <c r="G11" s="98" t="s">
        <v>1608</v>
      </c>
      <c r="H11" s="98" t="s">
        <v>1608</v>
      </c>
      <c r="I11" s="98" t="s">
        <v>1608</v>
      </c>
      <c r="J11" s="98" t="s">
        <v>1619</v>
      </c>
      <c r="K11" s="98" t="s">
        <v>1619</v>
      </c>
      <c r="L11" s="98" t="s">
        <v>1619</v>
      </c>
      <c r="M11" s="98" t="s">
        <v>1619</v>
      </c>
      <c r="N11" s="98" t="s">
        <v>1619</v>
      </c>
      <c r="O11" s="98" t="s">
        <v>1619</v>
      </c>
      <c r="P11" s="98" t="s">
        <v>1619</v>
      </c>
      <c r="Q11" s="98" t="s">
        <v>1619</v>
      </c>
      <c r="R11" s="98" t="s">
        <v>1619</v>
      </c>
      <c r="S11" s="98" t="s">
        <v>1619</v>
      </c>
    </row>
    <row r="12" spans="1:21">
      <c r="A12" s="64" t="s">
        <v>1551</v>
      </c>
      <c r="B12" s="98" t="s">
        <v>1620</v>
      </c>
      <c r="C12" s="98" t="s">
        <v>1621</v>
      </c>
      <c r="D12" s="98" t="s">
        <v>1622</v>
      </c>
      <c r="E12" s="98" t="s">
        <v>1623</v>
      </c>
      <c r="F12" s="98" t="s">
        <v>1624</v>
      </c>
      <c r="G12" s="98" t="s">
        <v>1625</v>
      </c>
      <c r="H12" s="98" t="s">
        <v>1626</v>
      </c>
      <c r="I12" s="98" t="s">
        <v>1627</v>
      </c>
      <c r="J12" s="98" t="s">
        <v>214</v>
      </c>
      <c r="K12" s="98" t="s">
        <v>1628</v>
      </c>
      <c r="L12" s="98" t="s">
        <v>1620</v>
      </c>
      <c r="M12" s="98" t="s">
        <v>1621</v>
      </c>
      <c r="N12" s="98" t="s">
        <v>1622</v>
      </c>
      <c r="O12" s="98" t="s">
        <v>1623</v>
      </c>
      <c r="P12" s="98" t="s">
        <v>1624</v>
      </c>
      <c r="Q12" s="98" t="s">
        <v>1625</v>
      </c>
      <c r="R12" s="98" t="s">
        <v>1626</v>
      </c>
      <c r="S12" s="98" t="s">
        <v>1627</v>
      </c>
    </row>
    <row r="13" spans="1:21">
      <c r="A13" s="64" t="s">
        <v>731</v>
      </c>
      <c r="B13" s="186" t="s">
        <v>1556</v>
      </c>
      <c r="C13" s="186" t="s">
        <v>1556</v>
      </c>
      <c r="D13" s="186" t="s">
        <v>1556</v>
      </c>
      <c r="E13" s="186" t="s">
        <v>1556</v>
      </c>
      <c r="F13" s="186" t="s">
        <v>1556</v>
      </c>
      <c r="G13" s="186" t="s">
        <v>1556</v>
      </c>
      <c r="H13" s="186" t="s">
        <v>1556</v>
      </c>
      <c r="I13" s="186" t="s">
        <v>1556</v>
      </c>
      <c r="J13" s="186" t="s">
        <v>1556</v>
      </c>
      <c r="K13" s="187" t="s">
        <v>1557</v>
      </c>
      <c r="L13" s="186" t="s">
        <v>1556</v>
      </c>
      <c r="M13" s="186" t="s">
        <v>1556</v>
      </c>
      <c r="N13" s="186" t="s">
        <v>1556</v>
      </c>
      <c r="O13" s="186" t="s">
        <v>1556</v>
      </c>
      <c r="P13" s="186" t="s">
        <v>1556</v>
      </c>
      <c r="Q13" s="186" t="s">
        <v>1558</v>
      </c>
      <c r="R13" s="186" t="s">
        <v>1558</v>
      </c>
      <c r="S13" s="186" t="s">
        <v>1558</v>
      </c>
    </row>
    <row r="14" spans="1:21" ht="15" thickBot="1"/>
    <row r="15" spans="1:21" ht="15" thickBot="1">
      <c r="A15" s="60" t="s">
        <v>1630</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1608</v>
      </c>
      <c r="C17" s="98" t="s">
        <v>1608</v>
      </c>
      <c r="D17" s="98" t="s">
        <v>1608</v>
      </c>
      <c r="E17" s="98" t="s">
        <v>1608</v>
      </c>
      <c r="F17" s="98" t="s">
        <v>1608</v>
      </c>
      <c r="G17" s="98" t="s">
        <v>1608</v>
      </c>
      <c r="H17" s="98" t="s">
        <v>1608</v>
      </c>
      <c r="I17" s="98" t="s">
        <v>1608</v>
      </c>
      <c r="J17" s="98" t="s">
        <v>1608</v>
      </c>
      <c r="K17" s="98" t="s">
        <v>1608</v>
      </c>
      <c r="L17" s="98" t="s">
        <v>1619</v>
      </c>
      <c r="M17" s="98" t="s">
        <v>1619</v>
      </c>
      <c r="N17" s="98" t="s">
        <v>1619</v>
      </c>
      <c r="O17" s="98" t="s">
        <v>1619</v>
      </c>
      <c r="P17" s="98" t="s">
        <v>1619</v>
      </c>
      <c r="Q17" s="98" t="s">
        <v>1619</v>
      </c>
      <c r="R17" s="98" t="s">
        <v>1619</v>
      </c>
      <c r="S17" s="98" t="s">
        <v>1619</v>
      </c>
      <c r="T17" s="98" t="s">
        <v>1619</v>
      </c>
      <c r="U17" s="98" t="s">
        <v>1619</v>
      </c>
    </row>
    <row r="18" spans="1:21">
      <c r="A18" s="64" t="s">
        <v>1551</v>
      </c>
      <c r="B18" s="98" t="s">
        <v>214</v>
      </c>
      <c r="C18" s="98" t="s">
        <v>1628</v>
      </c>
      <c r="D18" s="98" t="s">
        <v>1620</v>
      </c>
      <c r="E18" s="98" t="s">
        <v>1621</v>
      </c>
      <c r="F18" s="98" t="s">
        <v>1622</v>
      </c>
      <c r="G18" s="98" t="s">
        <v>1623</v>
      </c>
      <c r="H18" s="98" t="s">
        <v>1624</v>
      </c>
      <c r="I18" s="98" t="s">
        <v>1625</v>
      </c>
      <c r="J18" s="98" t="s">
        <v>1626</v>
      </c>
      <c r="K18" s="98" t="s">
        <v>1627</v>
      </c>
      <c r="L18" s="98" t="s">
        <v>214</v>
      </c>
      <c r="M18" s="98" t="s">
        <v>1628</v>
      </c>
      <c r="N18" s="98" t="s">
        <v>1620</v>
      </c>
      <c r="O18" s="98" t="s">
        <v>1621</v>
      </c>
      <c r="P18" s="98" t="s">
        <v>1622</v>
      </c>
      <c r="Q18" s="98" t="s">
        <v>1623</v>
      </c>
      <c r="R18" s="98" t="s">
        <v>1624</v>
      </c>
      <c r="S18" s="98" t="s">
        <v>1625</v>
      </c>
      <c r="T18" s="98" t="s">
        <v>1626</v>
      </c>
      <c r="U18" s="98" t="s">
        <v>1627</v>
      </c>
    </row>
    <row r="19" spans="1:21">
      <c r="A19" s="64" t="s">
        <v>731</v>
      </c>
      <c r="B19" s="187" t="s">
        <v>1557</v>
      </c>
      <c r="C19" s="186" t="s">
        <v>1556</v>
      </c>
      <c r="D19" s="186" t="s">
        <v>1556</v>
      </c>
      <c r="E19" s="186" t="s">
        <v>1556</v>
      </c>
      <c r="F19" s="186" t="s">
        <v>1556</v>
      </c>
      <c r="G19" s="186" t="s">
        <v>1556</v>
      </c>
      <c r="H19" s="186" t="s">
        <v>1556</v>
      </c>
      <c r="I19" s="186" t="s">
        <v>1556</v>
      </c>
      <c r="J19" s="186" t="s">
        <v>1556</v>
      </c>
      <c r="K19" s="186" t="s">
        <v>1556</v>
      </c>
      <c r="L19" s="187" t="s">
        <v>1557</v>
      </c>
      <c r="M19" s="186" t="s">
        <v>1556</v>
      </c>
      <c r="N19" s="186" t="s">
        <v>1556</v>
      </c>
      <c r="O19" s="186" t="s">
        <v>1556</v>
      </c>
      <c r="P19" s="186" t="s">
        <v>1556</v>
      </c>
      <c r="Q19" s="186" t="s">
        <v>1556</v>
      </c>
      <c r="R19" s="186" t="s">
        <v>1558</v>
      </c>
      <c r="S19" s="186" t="s">
        <v>1558</v>
      </c>
      <c r="T19" s="186" t="s">
        <v>1558</v>
      </c>
      <c r="U19" s="186" t="s">
        <v>1558</v>
      </c>
    </row>
    <row r="20" spans="1:21" ht="15" thickBot="1"/>
    <row r="21" spans="1:21" ht="15" thickBot="1">
      <c r="A21" s="60" t="s">
        <v>1631</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1608</v>
      </c>
      <c r="C23" s="98" t="s">
        <v>1608</v>
      </c>
      <c r="D23" s="98" t="s">
        <v>1608</v>
      </c>
      <c r="E23" s="98" t="s">
        <v>1608</v>
      </c>
      <c r="F23" s="98" t="s">
        <v>1608</v>
      </c>
      <c r="G23" s="98" t="s">
        <v>1608</v>
      </c>
      <c r="H23" s="98" t="s">
        <v>1608</v>
      </c>
      <c r="I23" s="98" t="s">
        <v>1608</v>
      </c>
      <c r="J23" s="98" t="s">
        <v>1619</v>
      </c>
      <c r="K23" s="98" t="s">
        <v>1619</v>
      </c>
      <c r="L23" s="98" t="s">
        <v>1619</v>
      </c>
      <c r="M23" s="98" t="s">
        <v>1619</v>
      </c>
      <c r="N23" s="98" t="s">
        <v>1619</v>
      </c>
      <c r="O23" s="98" t="s">
        <v>1619</v>
      </c>
      <c r="P23" s="98" t="s">
        <v>1619</v>
      </c>
      <c r="Q23" s="98" t="s">
        <v>1619</v>
      </c>
      <c r="R23" s="98" t="s">
        <v>1619</v>
      </c>
      <c r="S23" s="98" t="s">
        <v>1619</v>
      </c>
    </row>
    <row r="24" spans="1:21">
      <c r="A24" s="64" t="s">
        <v>1551</v>
      </c>
      <c r="B24" s="98" t="s">
        <v>1620</v>
      </c>
      <c r="C24" s="98" t="s">
        <v>1621</v>
      </c>
      <c r="D24" s="98" t="s">
        <v>1622</v>
      </c>
      <c r="E24" s="98" t="s">
        <v>1623</v>
      </c>
      <c r="F24" s="98" t="s">
        <v>1624</v>
      </c>
      <c r="G24" s="98" t="s">
        <v>1625</v>
      </c>
      <c r="H24" s="98" t="s">
        <v>1626</v>
      </c>
      <c r="I24" s="98" t="s">
        <v>1627</v>
      </c>
      <c r="J24" s="98" t="s">
        <v>214</v>
      </c>
      <c r="K24" s="98" t="s">
        <v>1628</v>
      </c>
      <c r="L24" s="98" t="s">
        <v>1620</v>
      </c>
      <c r="M24" s="98" t="s">
        <v>1621</v>
      </c>
      <c r="N24" s="98" t="s">
        <v>1622</v>
      </c>
      <c r="O24" s="98" t="s">
        <v>1623</v>
      </c>
      <c r="P24" s="98" t="s">
        <v>1624</v>
      </c>
      <c r="Q24" s="98" t="s">
        <v>1625</v>
      </c>
      <c r="R24" s="98" t="s">
        <v>1626</v>
      </c>
      <c r="S24" s="98" t="s">
        <v>1627</v>
      </c>
    </row>
    <row r="25" spans="1:21">
      <c r="A25" s="64" t="s">
        <v>731</v>
      </c>
      <c r="B25" s="186" t="s">
        <v>1556</v>
      </c>
      <c r="C25" s="186" t="s">
        <v>1556</v>
      </c>
      <c r="D25" s="186" t="s">
        <v>1556</v>
      </c>
      <c r="E25" s="186" t="s">
        <v>1556</v>
      </c>
      <c r="F25" s="186" t="s">
        <v>1556</v>
      </c>
      <c r="G25" s="186" t="s">
        <v>1556</v>
      </c>
      <c r="H25" s="186" t="s">
        <v>1556</v>
      </c>
      <c r="I25" s="187" t="s">
        <v>1557</v>
      </c>
      <c r="J25" s="186" t="s">
        <v>1556</v>
      </c>
      <c r="K25" s="186" t="s">
        <v>1556</v>
      </c>
      <c r="L25" s="186" t="s">
        <v>1556</v>
      </c>
      <c r="M25" s="186" t="s">
        <v>1556</v>
      </c>
      <c r="N25" s="187" t="s">
        <v>1557</v>
      </c>
      <c r="O25" s="186" t="s">
        <v>1558</v>
      </c>
      <c r="P25" s="186" t="s">
        <v>1558</v>
      </c>
      <c r="Q25" s="186" t="s">
        <v>1558</v>
      </c>
      <c r="R25" s="186" t="s">
        <v>1558</v>
      </c>
      <c r="S25" s="186" t="s">
        <v>1558</v>
      </c>
    </row>
    <row r="26" spans="1:21" ht="15" thickBot="1"/>
    <row r="27" spans="1:21" ht="15" thickBot="1">
      <c r="A27" s="60" t="s">
        <v>1632</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1608</v>
      </c>
      <c r="C29" s="98" t="s">
        <v>1608</v>
      </c>
      <c r="D29" s="98" t="s">
        <v>1608</v>
      </c>
      <c r="E29" s="98" t="s">
        <v>1608</v>
      </c>
      <c r="F29" s="98" t="s">
        <v>1608</v>
      </c>
      <c r="G29" s="98" t="s">
        <v>1608</v>
      </c>
      <c r="H29" s="98" t="s">
        <v>1608</v>
      </c>
      <c r="I29" s="98" t="s">
        <v>1608</v>
      </c>
      <c r="J29" s="98" t="s">
        <v>1619</v>
      </c>
      <c r="K29" s="98" t="s">
        <v>1619</v>
      </c>
      <c r="L29" s="98" t="s">
        <v>1619</v>
      </c>
      <c r="M29" s="98" t="s">
        <v>1619</v>
      </c>
      <c r="N29" s="98" t="s">
        <v>1619</v>
      </c>
      <c r="O29" s="98" t="s">
        <v>1619</v>
      </c>
      <c r="P29" s="98" t="s">
        <v>1619</v>
      </c>
      <c r="Q29" s="98" t="s">
        <v>1619</v>
      </c>
      <c r="R29" s="98" t="s">
        <v>1619</v>
      </c>
      <c r="S29" s="98" t="s">
        <v>1619</v>
      </c>
    </row>
    <row r="30" spans="1:21">
      <c r="A30" s="64" t="s">
        <v>1551</v>
      </c>
      <c r="B30" s="98" t="s">
        <v>1620</v>
      </c>
      <c r="C30" s="98" t="s">
        <v>1621</v>
      </c>
      <c r="D30" s="98" t="s">
        <v>1622</v>
      </c>
      <c r="E30" s="98" t="s">
        <v>1623</v>
      </c>
      <c r="F30" s="98" t="s">
        <v>1624</v>
      </c>
      <c r="G30" s="98" t="s">
        <v>1625</v>
      </c>
      <c r="H30" s="98" t="s">
        <v>1626</v>
      </c>
      <c r="I30" s="98" t="s">
        <v>1627</v>
      </c>
      <c r="J30" s="98" t="s">
        <v>214</v>
      </c>
      <c r="K30" s="98" t="s">
        <v>1628</v>
      </c>
      <c r="L30" s="98" t="s">
        <v>1620</v>
      </c>
      <c r="M30" s="98" t="s">
        <v>1621</v>
      </c>
      <c r="N30" s="98" t="s">
        <v>1622</v>
      </c>
      <c r="O30" s="98" t="s">
        <v>1623</v>
      </c>
      <c r="P30" s="98" t="s">
        <v>1624</v>
      </c>
      <c r="Q30" s="98" t="s">
        <v>1625</v>
      </c>
      <c r="R30" s="98" t="s">
        <v>1626</v>
      </c>
      <c r="S30" s="98" t="s">
        <v>1627</v>
      </c>
    </row>
    <row r="31" spans="1:21">
      <c r="A31" s="64" t="s">
        <v>731</v>
      </c>
      <c r="B31" s="186" t="s">
        <v>1556</v>
      </c>
      <c r="C31" s="186" t="s">
        <v>1556</v>
      </c>
      <c r="D31" s="186" t="s">
        <v>1556</v>
      </c>
      <c r="E31" s="186" t="s">
        <v>1556</v>
      </c>
      <c r="F31" s="186" t="s">
        <v>1556</v>
      </c>
      <c r="G31" s="186" t="s">
        <v>1556</v>
      </c>
      <c r="H31" s="186" t="s">
        <v>1556</v>
      </c>
      <c r="I31" s="186" t="s">
        <v>1556</v>
      </c>
      <c r="J31" s="186" t="s">
        <v>1556</v>
      </c>
      <c r="K31" s="187" t="s">
        <v>1557</v>
      </c>
      <c r="L31" s="187" t="s">
        <v>1557</v>
      </c>
      <c r="M31" s="186" t="s">
        <v>1556</v>
      </c>
      <c r="N31" s="186" t="s">
        <v>1556</v>
      </c>
      <c r="O31" s="186" t="s">
        <v>1556</v>
      </c>
      <c r="P31" s="186" t="s">
        <v>1556</v>
      </c>
      <c r="Q31" s="186" t="s">
        <v>1556</v>
      </c>
      <c r="R31" s="186" t="s">
        <v>1556</v>
      </c>
      <c r="S31" s="186" t="s">
        <v>1556</v>
      </c>
    </row>
    <row r="32" spans="1:21" ht="15" thickBot="1"/>
    <row r="33" spans="1:19" ht="15" thickBot="1">
      <c r="A33" s="60" t="s">
        <v>1633</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1608</v>
      </c>
      <c r="C35" s="98" t="s">
        <v>1608</v>
      </c>
      <c r="D35" s="98" t="s">
        <v>1608</v>
      </c>
      <c r="E35" s="98" t="s">
        <v>1608</v>
      </c>
      <c r="F35" s="98" t="s">
        <v>1608</v>
      </c>
      <c r="G35" s="98" t="s">
        <v>1608</v>
      </c>
      <c r="H35" s="98" t="s">
        <v>1608</v>
      </c>
      <c r="I35" s="98" t="s">
        <v>1608</v>
      </c>
      <c r="J35" s="98" t="s">
        <v>1619</v>
      </c>
      <c r="K35" s="98" t="s">
        <v>1619</v>
      </c>
      <c r="L35" s="98" t="s">
        <v>1619</v>
      </c>
      <c r="M35" s="98" t="s">
        <v>1619</v>
      </c>
      <c r="N35" s="98" t="s">
        <v>1619</v>
      </c>
      <c r="O35" s="98" t="s">
        <v>1619</v>
      </c>
      <c r="P35" s="98" t="s">
        <v>1619</v>
      </c>
      <c r="Q35" s="98" t="s">
        <v>1619</v>
      </c>
      <c r="R35" s="98" t="s">
        <v>1619</v>
      </c>
      <c r="S35" s="98" t="s">
        <v>1619</v>
      </c>
    </row>
    <row r="36" spans="1:19">
      <c r="A36" s="64" t="s">
        <v>1551</v>
      </c>
      <c r="B36" s="98" t="s">
        <v>1620</v>
      </c>
      <c r="C36" s="98" t="s">
        <v>1621</v>
      </c>
      <c r="D36" s="98" t="s">
        <v>1622</v>
      </c>
      <c r="E36" s="98" t="s">
        <v>1623</v>
      </c>
      <c r="F36" s="98" t="s">
        <v>1624</v>
      </c>
      <c r="G36" s="98" t="s">
        <v>1625</v>
      </c>
      <c r="H36" s="98" t="s">
        <v>1626</v>
      </c>
      <c r="I36" s="98" t="s">
        <v>1627</v>
      </c>
      <c r="J36" s="98" t="s">
        <v>214</v>
      </c>
      <c r="K36" s="98" t="s">
        <v>1628</v>
      </c>
      <c r="L36" s="98" t="s">
        <v>1620</v>
      </c>
      <c r="M36" s="98" t="s">
        <v>1621</v>
      </c>
      <c r="N36" s="98" t="s">
        <v>1622</v>
      </c>
      <c r="O36" s="98" t="s">
        <v>1623</v>
      </c>
      <c r="P36" s="98" t="s">
        <v>1624</v>
      </c>
      <c r="Q36" s="98" t="s">
        <v>1625</v>
      </c>
      <c r="R36" s="98" t="s">
        <v>1626</v>
      </c>
      <c r="S36" s="98" t="s">
        <v>1627</v>
      </c>
    </row>
    <row r="37" spans="1:19">
      <c r="A37" s="64" t="s">
        <v>731</v>
      </c>
      <c r="B37" s="186" t="s">
        <v>1556</v>
      </c>
      <c r="C37" s="186" t="s">
        <v>1556</v>
      </c>
      <c r="D37" s="186" t="s">
        <v>1556</v>
      </c>
      <c r="E37" s="186" t="s">
        <v>1556</v>
      </c>
      <c r="F37" s="186" t="s">
        <v>1556</v>
      </c>
      <c r="G37" s="186" t="s">
        <v>1556</v>
      </c>
      <c r="H37" s="186" t="s">
        <v>1556</v>
      </c>
      <c r="I37" s="186" t="s">
        <v>1556</v>
      </c>
      <c r="J37" s="186" t="s">
        <v>1556</v>
      </c>
      <c r="K37" s="186" t="s">
        <v>1556</v>
      </c>
      <c r="L37" s="186" t="s">
        <v>1556</v>
      </c>
      <c r="M37" s="186" t="s">
        <v>1556</v>
      </c>
      <c r="N37" s="186" t="s">
        <v>1556</v>
      </c>
      <c r="O37" s="186" t="s">
        <v>1556</v>
      </c>
      <c r="P37" s="186" t="s">
        <v>1556</v>
      </c>
      <c r="Q37" s="186" t="s">
        <v>1556</v>
      </c>
      <c r="R37" s="186" t="s">
        <v>1556</v>
      </c>
      <c r="S37" s="186" t="s">
        <v>1556</v>
      </c>
    </row>
    <row r="38" spans="1:19" ht="15" thickBot="1"/>
    <row r="39" spans="1:19" ht="15" thickBot="1">
      <c r="A39" s="60" t="s">
        <v>1634</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1608</v>
      </c>
      <c r="C41" s="98" t="s">
        <v>1608</v>
      </c>
      <c r="D41" s="98" t="s">
        <v>1608</v>
      </c>
      <c r="E41" s="98" t="s">
        <v>1608</v>
      </c>
      <c r="F41" s="98" t="s">
        <v>1608</v>
      </c>
      <c r="G41" s="98" t="s">
        <v>1608</v>
      </c>
      <c r="H41" s="98" t="s">
        <v>1608</v>
      </c>
      <c r="I41" s="98" t="s">
        <v>1608</v>
      </c>
    </row>
    <row r="42" spans="1:19">
      <c r="A42" s="64" t="s">
        <v>1551</v>
      </c>
      <c r="B42" s="98" t="s">
        <v>1620</v>
      </c>
      <c r="C42" s="98" t="s">
        <v>1621</v>
      </c>
      <c r="D42" s="98" t="s">
        <v>1622</v>
      </c>
      <c r="E42" s="98" t="s">
        <v>1623</v>
      </c>
      <c r="F42" s="98" t="s">
        <v>1624</v>
      </c>
      <c r="G42" s="98" t="s">
        <v>1625</v>
      </c>
      <c r="H42" s="98" t="s">
        <v>1626</v>
      </c>
      <c r="I42" s="98" t="s">
        <v>1627</v>
      </c>
    </row>
    <row r="43" spans="1:19">
      <c r="A43" s="64" t="s">
        <v>731</v>
      </c>
      <c r="B43" s="186" t="s">
        <v>1556</v>
      </c>
      <c r="C43" s="186" t="s">
        <v>1556</v>
      </c>
      <c r="D43" s="186" t="s">
        <v>1556</v>
      </c>
      <c r="E43" s="186" t="s">
        <v>1556</v>
      </c>
      <c r="F43" s="186" t="s">
        <v>1556</v>
      </c>
      <c r="G43" s="186" t="s">
        <v>1556</v>
      </c>
      <c r="H43" s="186" t="s">
        <v>1556</v>
      </c>
      <c r="I43" s="186" t="s">
        <v>1556</v>
      </c>
    </row>
    <row r="44" spans="1:19" ht="15" thickBot="1"/>
    <row r="45" spans="1:19" ht="15" thickBot="1">
      <c r="A45" s="60" t="s">
        <v>1635</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1608</v>
      </c>
      <c r="C47" s="98" t="s">
        <v>1608</v>
      </c>
      <c r="D47" s="98" t="s">
        <v>1608</v>
      </c>
      <c r="E47" s="98" t="s">
        <v>1608</v>
      </c>
      <c r="F47" s="98" t="s">
        <v>1608</v>
      </c>
      <c r="G47" s="98" t="s">
        <v>1608</v>
      </c>
      <c r="H47" s="98" t="s">
        <v>1608</v>
      </c>
      <c r="I47" s="98" t="s">
        <v>1608</v>
      </c>
    </row>
    <row r="48" spans="1:19">
      <c r="A48" s="64" t="s">
        <v>1551</v>
      </c>
      <c r="B48" s="98" t="s">
        <v>1620</v>
      </c>
      <c r="C48" s="98" t="s">
        <v>1621</v>
      </c>
      <c r="D48" s="98" t="s">
        <v>1622</v>
      </c>
      <c r="E48" s="98" t="s">
        <v>1623</v>
      </c>
      <c r="F48" s="98" t="s">
        <v>1624</v>
      </c>
      <c r="G48" s="98" t="s">
        <v>1625</v>
      </c>
      <c r="H48" s="98" t="s">
        <v>1626</v>
      </c>
      <c r="I48" s="98" t="s">
        <v>1627</v>
      </c>
    </row>
    <row r="49" spans="1:20">
      <c r="A49" s="64" t="s">
        <v>731</v>
      </c>
      <c r="B49" s="186" t="s">
        <v>1556</v>
      </c>
      <c r="C49" s="186" t="s">
        <v>1558</v>
      </c>
      <c r="D49" s="186" t="s">
        <v>1556</v>
      </c>
      <c r="E49" s="186" t="s">
        <v>1556</v>
      </c>
      <c r="F49" s="186" t="s">
        <v>1558</v>
      </c>
      <c r="G49" s="186" t="s">
        <v>1558</v>
      </c>
      <c r="H49" s="186" t="s">
        <v>1558</v>
      </c>
      <c r="I49" s="186" t="s">
        <v>1558</v>
      </c>
    </row>
    <row r="50" spans="1:20" ht="15" thickBot="1"/>
    <row r="51" spans="1:20" ht="15" thickBot="1">
      <c r="A51" s="60" t="s">
        <v>1636</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1608</v>
      </c>
      <c r="C53" s="98" t="s">
        <v>1608</v>
      </c>
      <c r="D53" s="98" t="s">
        <v>1608</v>
      </c>
      <c r="E53" s="98" t="s">
        <v>1608</v>
      </c>
      <c r="F53" s="98" t="s">
        <v>1608</v>
      </c>
      <c r="G53" s="98" t="s">
        <v>1608</v>
      </c>
      <c r="H53" s="98" t="s">
        <v>1608</v>
      </c>
      <c r="I53" s="98" t="s">
        <v>1608</v>
      </c>
      <c r="J53" s="98" t="s">
        <v>1608</v>
      </c>
      <c r="K53" s="98" t="s">
        <v>1619</v>
      </c>
      <c r="L53" s="98" t="s">
        <v>1619</v>
      </c>
      <c r="M53" s="98" t="s">
        <v>1619</v>
      </c>
      <c r="N53" s="98" t="s">
        <v>1619</v>
      </c>
      <c r="O53" s="98" t="s">
        <v>1619</v>
      </c>
      <c r="P53" s="98" t="s">
        <v>1619</v>
      </c>
      <c r="Q53" s="98" t="s">
        <v>1619</v>
      </c>
      <c r="R53" s="98" t="s">
        <v>1619</v>
      </c>
      <c r="S53" s="98" t="s">
        <v>1619</v>
      </c>
      <c r="T53" s="98" t="s">
        <v>1619</v>
      </c>
    </row>
    <row r="54" spans="1:20">
      <c r="A54" s="64" t="s">
        <v>1551</v>
      </c>
      <c r="B54" s="98" t="s">
        <v>1628</v>
      </c>
      <c r="C54" s="98" t="s">
        <v>1620</v>
      </c>
      <c r="D54" s="98" t="s">
        <v>1621</v>
      </c>
      <c r="E54" s="98" t="s">
        <v>1622</v>
      </c>
      <c r="F54" s="98" t="s">
        <v>1623</v>
      </c>
      <c r="G54" s="98" t="s">
        <v>1624</v>
      </c>
      <c r="H54" s="98" t="s">
        <v>1625</v>
      </c>
      <c r="I54" s="98" t="s">
        <v>1626</v>
      </c>
      <c r="J54" s="98" t="s">
        <v>1627</v>
      </c>
      <c r="K54" s="98" t="s">
        <v>214</v>
      </c>
      <c r="L54" s="98" t="s">
        <v>1628</v>
      </c>
      <c r="M54" s="98" t="s">
        <v>1620</v>
      </c>
      <c r="N54" s="98" t="s">
        <v>1621</v>
      </c>
      <c r="O54" s="98" t="s">
        <v>1622</v>
      </c>
      <c r="P54" s="98" t="s">
        <v>1623</v>
      </c>
      <c r="Q54" s="98" t="s">
        <v>1624</v>
      </c>
      <c r="R54" s="98" t="s">
        <v>1625</v>
      </c>
      <c r="S54" s="98" t="s">
        <v>1626</v>
      </c>
      <c r="T54" s="98" t="s">
        <v>1627</v>
      </c>
    </row>
    <row r="55" spans="1:20">
      <c r="A55" s="64" t="s">
        <v>731</v>
      </c>
      <c r="B55" s="186" t="s">
        <v>1556</v>
      </c>
      <c r="C55" s="186" t="s">
        <v>1556</v>
      </c>
      <c r="D55" s="186" t="s">
        <v>1556</v>
      </c>
      <c r="E55" s="186" t="s">
        <v>1556</v>
      </c>
      <c r="F55" s="186" t="s">
        <v>1556</v>
      </c>
      <c r="G55" s="186" t="s">
        <v>1556</v>
      </c>
      <c r="H55" s="186" t="s">
        <v>1556</v>
      </c>
      <c r="I55" s="186" t="s">
        <v>1556</v>
      </c>
      <c r="J55" s="186" t="s">
        <v>1556</v>
      </c>
      <c r="K55" s="186" t="s">
        <v>1556</v>
      </c>
      <c r="L55" s="186" t="s">
        <v>1556</v>
      </c>
      <c r="M55" s="186" t="s">
        <v>1556</v>
      </c>
      <c r="N55" s="186" t="s">
        <v>1556</v>
      </c>
      <c r="O55" s="186" t="s">
        <v>1556</v>
      </c>
      <c r="P55" s="186" t="s">
        <v>1556</v>
      </c>
      <c r="Q55" s="186" t="s">
        <v>1556</v>
      </c>
      <c r="R55" s="186" t="s">
        <v>1556</v>
      </c>
      <c r="S55" s="186" t="s">
        <v>1556</v>
      </c>
      <c r="T55" s="186" t="s">
        <v>1556</v>
      </c>
    </row>
    <row r="56" spans="1:20" ht="15" thickBot="1"/>
    <row r="57" spans="1:20" ht="15" thickBot="1">
      <c r="A57" s="60" t="s">
        <v>1610</v>
      </c>
    </row>
    <row r="58" spans="1:20">
      <c r="A58" s="64" t="s">
        <v>709</v>
      </c>
    </row>
    <row r="59" spans="1:20">
      <c r="A59" s="64" t="s">
        <v>223</v>
      </c>
    </row>
    <row r="60" spans="1:20">
      <c r="A60" s="64" t="s">
        <v>1551</v>
      </c>
    </row>
    <row r="61" spans="1:20">
      <c r="A61" s="64" t="s">
        <v>731</v>
      </c>
    </row>
    <row r="62" spans="1:20" ht="15" thickBot="1"/>
    <row r="63" spans="1:20" ht="15" thickBot="1">
      <c r="A63" s="60" t="s">
        <v>1610</v>
      </c>
    </row>
    <row r="64" spans="1:20">
      <c r="A64" s="64" t="s">
        <v>709</v>
      </c>
    </row>
    <row r="65" spans="1:1">
      <c r="A65" s="64" t="s">
        <v>223</v>
      </c>
    </row>
    <row r="66" spans="1:1">
      <c r="A66" s="64" t="s">
        <v>1551</v>
      </c>
    </row>
    <row r="67" spans="1:1">
      <c r="A67" s="64" t="s">
        <v>731</v>
      </c>
    </row>
    <row r="68" spans="1:1" ht="15" thickBot="1"/>
    <row r="69" spans="1:1" ht="15" thickBot="1">
      <c r="A69" s="60" t="s">
        <v>1610</v>
      </c>
    </row>
    <row r="70" spans="1:1">
      <c r="A70" s="64" t="s">
        <v>709</v>
      </c>
    </row>
    <row r="71" spans="1:1">
      <c r="A71" s="64" t="s">
        <v>223</v>
      </c>
    </row>
    <row r="72" spans="1:1">
      <c r="A72" s="64" t="s">
        <v>1551</v>
      </c>
    </row>
    <row r="73" spans="1:1">
      <c r="A73" s="64" t="s">
        <v>731</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3</vt:i4>
      </vt:variant>
    </vt:vector>
  </HeadingPairs>
  <TitlesOfParts>
    <vt:vector size="20"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2026-10-31T15:20:33Z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