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worksheets/sheet17.xml" ContentType="application/vnd.openxmlformats-officedocument.spreadsheetml.worksheet+xml"/>
  <Override PartName="/xl/worksheets/sheet18.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bookViews>
    <workbookView xWindow="-54120" yWindow="-120" windowWidth="29040" windowHeight="15720" tabRatio="882" firstSheet="3" activeTab="14"/>
  </bookViews>
  <sheets>
    <sheet name="Modèle Equipement" sheetId="1" state="hidden" r:id="rId1"/>
    <sheet name="Règle Nommage" sheetId="45" r:id="rId2"/>
    <sheet name="Options" sheetId="66" r:id="rId3"/>
    <sheet name="Evo" sheetId="51" r:id="rId4"/>
    <sheet name="Todo" sheetId="62" r:id="rId5"/>
    <sheet name="Dev" sheetId="64" state="hidden" r:id="rId6"/>
    <sheet name="Tests Unitaire" sheetId="69" state="hidden" r:id="rId7"/>
    <sheet name="Graphes" sheetId="70" r:id="rId8"/>
    <sheet name="Type Signals" sheetId="59" r:id="rId9"/>
    <sheet name="API" sheetId="65" r:id="rId10"/>
    <sheet name="Conf-API" sheetId="49" r:id="rId11"/>
    <sheet name="Voies" sheetId="50" r:id="rId12"/>
    <sheet name="Signaux" sheetId="53" r:id="rId13"/>
    <sheet name="Instances" sheetId="54" r:id="rId14"/>
    <sheet name="Liste ES" sheetId="5" r:id="rId15"/>
    <sheet name="#API" sheetId="67" r:id="rId16"/>
    <sheet name="#Voies" sheetId="68" r:id="rId17"/>
    <sheet name="Modèle" sheetId="4" state="hidden" r:id="rId18"/>
  </sheets>
  <functionGroups/>
  <definedNames>
    <definedName name="_xlnm._FilterDatabase" localSheetId="13" hidden="1">Instances!$F$1:$I$15</definedName>
    <definedName name="_xlnm._FilterDatabase" localSheetId="14" hidden="1">'Liste ES'!$A$1:$AL$1433</definedName>
    <definedName name="_xlnm._FilterDatabase" localSheetId="4" hidden="1">Todo!$A$4:$B$4</definedName>
    <definedName name="_xleta.COUNT" hidden="1" xlm="1">#NAME?</definedName>
    <definedName name="_xleta.IF" hidden="1" xlm="1">#NAME?</definedName>
    <definedName name="Evo">Tableau4[EVO]</definedName>
    <definedName name="_xlnm.Print_Titles" localSheetId="14">'Liste ES'!$1:$1</definedName>
    <definedName name="SeuilRes">Options!$B$2</definedName>
  </definedNames>
  <calcPr calcId="124519"/>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 i="5"/>
  <c r="AB2"/>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0"/>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3"/>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6"/>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79"/>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2"/>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5"/>
  <c r="AB1306"/>
  <c r="AB1307"/>
  <c r="AB1308"/>
  <c r="AB1309"/>
  <c r="AB1310"/>
  <c r="AB1311"/>
  <c r="AB1312"/>
  <c r="AB1313"/>
  <c r="AB1314"/>
  <c r="AB1315"/>
  <c r="AB1316"/>
  <c r="AB1317"/>
  <c r="AB1318"/>
  <c r="AB1319"/>
  <c r="AB1320"/>
  <c r="AB1321"/>
  <c r="AB1322"/>
  <c r="AB1323"/>
  <c r="AB1324"/>
  <c r="AB1325"/>
  <c r="AB1326"/>
  <c r="AB1327"/>
  <c r="AB1328"/>
  <c r="AB1329"/>
  <c r="AB1330"/>
  <c r="AB1331"/>
  <c r="AB1332"/>
  <c r="AB1333"/>
  <c r="AB1334"/>
  <c r="AB1335"/>
  <c r="AB1336"/>
  <c r="AB1337"/>
  <c r="AB1338"/>
  <c r="AB1339"/>
  <c r="AB1340"/>
  <c r="AB1341"/>
  <c r="AB1342"/>
  <c r="AB1343"/>
  <c r="AB1344"/>
  <c r="AB1345"/>
  <c r="AB1346"/>
  <c r="AB1347"/>
  <c r="AB1348"/>
  <c r="AB1349"/>
  <c r="AB1350"/>
  <c r="AB1351"/>
  <c r="AB1352"/>
  <c r="AB1353"/>
  <c r="AB1354"/>
  <c r="AB1355"/>
  <c r="AB1356"/>
  <c r="AB1357"/>
  <c r="AB1358"/>
  <c r="AB1359"/>
  <c r="AB1360"/>
  <c r="AB1361"/>
  <c r="AB1362"/>
  <c r="AB1363"/>
  <c r="AB1364"/>
  <c r="AB1365"/>
  <c r="AB1366"/>
  <c r="AB1367"/>
  <c r="AB1368"/>
  <c r="AB1369"/>
  <c r="AB1370"/>
  <c r="AB1371"/>
  <c r="AB1372"/>
  <c r="AB1373"/>
  <c r="AB1374"/>
  <c r="AB1375"/>
  <c r="AB1376"/>
  <c r="AB1377"/>
  <c r="AB1378"/>
  <c r="AB1379"/>
  <c r="AB1380"/>
  <c r="AB1381"/>
  <c r="AB1382"/>
  <c r="AB1383"/>
  <c r="AB1384"/>
  <c r="AB1385"/>
  <c r="AB1386"/>
  <c r="AB1387"/>
  <c r="AB1388"/>
  <c r="AB1389"/>
  <c r="AB1390"/>
  <c r="AB1391"/>
  <c r="AB1392"/>
  <c r="AB1393"/>
  <c r="AB1394"/>
  <c r="AB1395"/>
  <c r="AB1396"/>
  <c r="AB1397"/>
  <c r="AB1398"/>
  <c r="AB1399"/>
  <c r="AB1400"/>
  <c r="AB1401"/>
  <c r="AB1402"/>
  <c r="AB1403"/>
  <c r="AB1404"/>
  <c r="AB1405"/>
  <c r="AB1406"/>
  <c r="AB1407"/>
  <c r="AB1408"/>
  <c r="AB1409"/>
  <c r="AB1410"/>
  <c r="AB1411"/>
  <c r="AB1412"/>
  <c r="AB1413"/>
  <c r="AB1414"/>
  <c r="AB1415"/>
  <c r="AB1416"/>
  <c r="AB1417"/>
  <c r="AB1418"/>
  <c r="AB1419"/>
  <c r="AB1420"/>
  <c r="AB1421"/>
  <c r="AB1422"/>
  <c r="AB1423"/>
  <c r="AB1424"/>
  <c r="AB1425"/>
  <c r="AB1426"/>
  <c r="AB1427"/>
  <c r="AB1428"/>
  <c r="AB1429"/>
  <c r="AB1430"/>
  <c r="AB1431"/>
  <c r="AB1432"/>
  <c r="AB1433"/>
  <c r="Z2" i="49"/>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Z98"/>
  <c r="Z99"/>
  <c r="Z100"/>
  <c r="Z101"/>
  <c r="Z102"/>
  <c r="Z103"/>
  <c r="Z104"/>
  <c r="Z105"/>
  <c r="Z106"/>
  <c r="Z107"/>
  <c r="Z108"/>
  <c r="Z109"/>
  <c r="Z110"/>
  <c r="Z111"/>
  <c r="Z112"/>
  <c r="Z113"/>
  <c r="Z114"/>
  <c r="Z115"/>
  <c r="Z116"/>
  <c r="Z117"/>
  <c r="Z118"/>
  <c r="Z119"/>
  <c r="Z120"/>
  <c r="Z121"/>
  <c r="Z122"/>
  <c r="Z123"/>
  <c r="Z124"/>
  <c r="Z125"/>
  <c r="Z126"/>
  <c r="Z127"/>
  <c r="Z128"/>
  <c r="Z129"/>
  <c r="Z130"/>
  <c r="Z131"/>
  <c r="Z132"/>
  <c r="Z133"/>
  <c r="Z134"/>
  <c r="Z135"/>
  <c r="Z136"/>
  <c r="Z137"/>
  <c r="Z138"/>
  <c r="Z139"/>
  <c r="Z140"/>
  <c r="Z141"/>
  <c r="Z142"/>
  <c r="Z143"/>
  <c r="Z144"/>
  <c r="Z145"/>
  <c r="Z146"/>
  <c r="Y2"/>
  <c r="Y3"/>
  <c r="Y4"/>
  <c r="Y5"/>
  <c r="Y6"/>
  <c r="Y7"/>
  <c r="Y8"/>
  <c r="Y9"/>
  <c r="Y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X2"/>
  <c r="X3"/>
  <c r="X4"/>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W2"/>
  <c r="W3"/>
  <c r="W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V2"/>
  <c r="V3"/>
  <c r="V4"/>
  <c r="V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U2"/>
  <c r="U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T2"/>
  <c r="T3"/>
  <c r="T4"/>
  <c r="T5"/>
  <c r="T6"/>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T145"/>
  <c r="T146"/>
  <c r="S2"/>
  <c r="S3"/>
  <c r="S4"/>
  <c r="S5"/>
  <c r="S6"/>
  <c r="S7"/>
  <c r="S8"/>
  <c r="S9"/>
  <c r="S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8"/>
  <c r="S129"/>
  <c r="S130"/>
  <c r="S131"/>
  <c r="S132"/>
  <c r="S133"/>
  <c r="S134"/>
  <c r="S135"/>
  <c r="S136"/>
  <c r="S137"/>
  <c r="S138"/>
  <c r="S139"/>
  <c r="S140"/>
  <c r="S141"/>
  <c r="S142"/>
  <c r="S143"/>
  <c r="S144"/>
  <c r="S145"/>
  <c r="S146"/>
  <c r="R2"/>
  <c r="R3"/>
  <c r="R4"/>
  <c r="R5"/>
  <c r="R6"/>
  <c r="R7"/>
  <c r="R8"/>
  <c r="R9"/>
  <c r="R10"/>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Q2"/>
  <c r="Q3"/>
  <c r="Q4"/>
  <c r="Q5"/>
  <c r="Q6"/>
  <c r="Q7"/>
  <c r="Q8"/>
  <c r="Q9"/>
  <c r="Q10"/>
  <c r="Q11"/>
  <c r="Q12"/>
  <c r="Q13"/>
  <c r="Q14"/>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P2"/>
  <c r="P3"/>
  <c r="P4"/>
  <c r="P5"/>
  <c r="P6"/>
  <c r="P7"/>
  <c r="P8"/>
  <c r="P9"/>
  <c r="P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O2"/>
  <c r="O3"/>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AH2" i="5"/>
  <c r="AH3"/>
  <c r="AH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H305"/>
  <c r="AH306"/>
  <c r="AH307"/>
  <c r="AH308"/>
  <c r="AH309"/>
  <c r="AH310"/>
  <c r="AH311"/>
  <c r="AH312"/>
  <c r="AH313"/>
  <c r="AH314"/>
  <c r="AH315"/>
  <c r="AH316"/>
  <c r="AH317"/>
  <c r="AH318"/>
  <c r="AH319"/>
  <c r="AH320"/>
  <c r="AH321"/>
  <c r="AH322"/>
  <c r="AH323"/>
  <c r="AH324"/>
  <c r="AH325"/>
  <c r="AH326"/>
  <c r="AH327"/>
  <c r="AH328"/>
  <c r="AH329"/>
  <c r="AH330"/>
  <c r="AH331"/>
  <c r="AH332"/>
  <c r="AH333"/>
  <c r="AH334"/>
  <c r="AH335"/>
  <c r="AH336"/>
  <c r="AH337"/>
  <c r="AH338"/>
  <c r="AH339"/>
  <c r="AH340"/>
  <c r="AH341"/>
  <c r="AH342"/>
  <c r="AH343"/>
  <c r="AH344"/>
  <c r="AH345"/>
  <c r="AH346"/>
  <c r="AH347"/>
  <c r="AH348"/>
  <c r="AH349"/>
  <c r="AH350"/>
  <c r="AH351"/>
  <c r="AH352"/>
  <c r="AH353"/>
  <c r="AH354"/>
  <c r="AH355"/>
  <c r="AH356"/>
  <c r="AH357"/>
  <c r="AH358"/>
  <c r="AH359"/>
  <c r="AH360"/>
  <c r="AH361"/>
  <c r="AH362"/>
  <c r="AH363"/>
  <c r="AH364"/>
  <c r="AH365"/>
  <c r="AH366"/>
  <c r="AH367"/>
  <c r="AH368"/>
  <c r="AH369"/>
  <c r="AH370"/>
  <c r="AH371"/>
  <c r="AH372"/>
  <c r="AH373"/>
  <c r="AH374"/>
  <c r="AH375"/>
  <c r="AH376"/>
  <c r="AH377"/>
  <c r="AH378"/>
  <c r="AH379"/>
  <c r="AH380"/>
  <c r="AH381"/>
  <c r="AH382"/>
  <c r="AH383"/>
  <c r="AH384"/>
  <c r="AH385"/>
  <c r="AH386"/>
  <c r="AH387"/>
  <c r="AH388"/>
  <c r="AH389"/>
  <c r="AH390"/>
  <c r="AH391"/>
  <c r="AH392"/>
  <c r="AH393"/>
  <c r="AH394"/>
  <c r="AH395"/>
  <c r="AH396"/>
  <c r="AH397"/>
  <c r="AH398"/>
  <c r="AH399"/>
  <c r="AH400"/>
  <c r="AH401"/>
  <c r="AH402"/>
  <c r="AH403"/>
  <c r="AH404"/>
  <c r="AH405"/>
  <c r="AH406"/>
  <c r="AH407"/>
  <c r="AH408"/>
  <c r="AH409"/>
  <c r="AH410"/>
  <c r="AH411"/>
  <c r="AH412"/>
  <c r="AH413"/>
  <c r="AH414"/>
  <c r="AH415"/>
  <c r="AH416"/>
  <c r="AH417"/>
  <c r="AH418"/>
  <c r="AH419"/>
  <c r="AH420"/>
  <c r="AH421"/>
  <c r="AH422"/>
  <c r="AH423"/>
  <c r="AH424"/>
  <c r="AH425"/>
  <c r="AH426"/>
  <c r="AH427"/>
  <c r="AH428"/>
  <c r="AH429"/>
  <c r="AH430"/>
  <c r="AH431"/>
  <c r="AH432"/>
  <c r="AH433"/>
  <c r="AH434"/>
  <c r="AH435"/>
  <c r="AH436"/>
  <c r="AH437"/>
  <c r="AH438"/>
  <c r="AH439"/>
  <c r="AH440"/>
  <c r="AH441"/>
  <c r="AH442"/>
  <c r="AH443"/>
  <c r="AH444"/>
  <c r="AH445"/>
  <c r="AH446"/>
  <c r="AH447"/>
  <c r="AH448"/>
  <c r="AH449"/>
  <c r="AH450"/>
  <c r="AH451"/>
  <c r="AH452"/>
  <c r="AH453"/>
  <c r="AH454"/>
  <c r="AH455"/>
  <c r="AH456"/>
  <c r="AH457"/>
  <c r="AH458"/>
  <c r="AH459"/>
  <c r="AH460"/>
  <c r="AH461"/>
  <c r="AH462"/>
  <c r="AH463"/>
  <c r="AH464"/>
  <c r="AH465"/>
  <c r="AH466"/>
  <c r="AH467"/>
  <c r="AH468"/>
  <c r="AH469"/>
  <c r="AH470"/>
  <c r="AH471"/>
  <c r="AH472"/>
  <c r="AH473"/>
  <c r="AH474"/>
  <c r="AH475"/>
  <c r="AH476"/>
  <c r="AH477"/>
  <c r="AH478"/>
  <c r="AH479"/>
  <c r="AH480"/>
  <c r="AH481"/>
  <c r="AH482"/>
  <c r="AH483"/>
  <c r="AH484"/>
  <c r="AH485"/>
  <c r="AH486"/>
  <c r="AH487"/>
  <c r="AH488"/>
  <c r="AH489"/>
  <c r="AH490"/>
  <c r="AH491"/>
  <c r="AH492"/>
  <c r="AH493"/>
  <c r="AH494"/>
  <c r="AH495"/>
  <c r="AH496"/>
  <c r="AH497"/>
  <c r="AH498"/>
  <c r="AH499"/>
  <c r="AH500"/>
  <c r="AH501"/>
  <c r="AH502"/>
  <c r="AH503"/>
  <c r="AH504"/>
  <c r="AH505"/>
  <c r="AH506"/>
  <c r="AH507"/>
  <c r="AH508"/>
  <c r="AH509"/>
  <c r="AH510"/>
  <c r="AH511"/>
  <c r="AH512"/>
  <c r="AH513"/>
  <c r="AH514"/>
  <c r="AH515"/>
  <c r="AH516"/>
  <c r="AH517"/>
  <c r="AH518"/>
  <c r="AH519"/>
  <c r="AH520"/>
  <c r="AH521"/>
  <c r="AH522"/>
  <c r="AH523"/>
  <c r="AH524"/>
  <c r="AH525"/>
  <c r="AH526"/>
  <c r="AH527"/>
  <c r="AH528"/>
  <c r="AH529"/>
  <c r="AH530"/>
  <c r="AH531"/>
  <c r="AH532"/>
  <c r="AH533"/>
  <c r="AH534"/>
  <c r="AH535"/>
  <c r="AH536"/>
  <c r="AH537"/>
  <c r="AH538"/>
  <c r="AH539"/>
  <c r="AH540"/>
  <c r="AH541"/>
  <c r="AH542"/>
  <c r="AH543"/>
  <c r="AH544"/>
  <c r="AH545"/>
  <c r="AH546"/>
  <c r="AH547"/>
  <c r="AH548"/>
  <c r="AH549"/>
  <c r="AH550"/>
  <c r="AH551"/>
  <c r="AH552"/>
  <c r="AH553"/>
  <c r="AH554"/>
  <c r="AH555"/>
  <c r="AH556"/>
  <c r="AH557"/>
  <c r="AH558"/>
  <c r="AH559"/>
  <c r="AH560"/>
  <c r="AH561"/>
  <c r="AH562"/>
  <c r="AH563"/>
  <c r="AH564"/>
  <c r="AH565"/>
  <c r="AH566"/>
  <c r="AH567"/>
  <c r="AH568"/>
  <c r="AH569"/>
  <c r="AH570"/>
  <c r="AH571"/>
  <c r="AH572"/>
  <c r="AH573"/>
  <c r="AH574"/>
  <c r="AH575"/>
  <c r="AH576"/>
  <c r="AH577"/>
  <c r="AH578"/>
  <c r="AH579"/>
  <c r="AH580"/>
  <c r="AH581"/>
  <c r="AH582"/>
  <c r="AH583"/>
  <c r="AH584"/>
  <c r="AH585"/>
  <c r="AH586"/>
  <c r="AH587"/>
  <c r="AH588"/>
  <c r="AH589"/>
  <c r="AH590"/>
  <c r="AH591"/>
  <c r="AH592"/>
  <c r="AH593"/>
  <c r="AH594"/>
  <c r="AH595"/>
  <c r="AH596"/>
  <c r="AH597"/>
  <c r="AH598"/>
  <c r="AH599"/>
  <c r="AH600"/>
  <c r="AH601"/>
  <c r="AH602"/>
  <c r="AH603"/>
  <c r="AH604"/>
  <c r="AH605"/>
  <c r="AH606"/>
  <c r="AH607"/>
  <c r="AH608"/>
  <c r="AH609"/>
  <c r="AH610"/>
  <c r="AH611"/>
  <c r="AH612"/>
  <c r="AH613"/>
  <c r="AH614"/>
  <c r="AH615"/>
  <c r="AH616"/>
  <c r="AH617"/>
  <c r="AH618"/>
  <c r="AH619"/>
  <c r="AH620"/>
  <c r="AH621"/>
  <c r="AH622"/>
  <c r="AH623"/>
  <c r="AH624"/>
  <c r="AH625"/>
  <c r="AH626"/>
  <c r="AH627"/>
  <c r="AH628"/>
  <c r="AH629"/>
  <c r="AH630"/>
  <c r="AH631"/>
  <c r="AH632"/>
  <c r="AH633"/>
  <c r="AH634"/>
  <c r="AH635"/>
  <c r="AH636"/>
  <c r="AH637"/>
  <c r="AH638"/>
  <c r="AH639"/>
  <c r="AH640"/>
  <c r="AH641"/>
  <c r="AH642"/>
  <c r="AH643"/>
  <c r="AH644"/>
  <c r="AH645"/>
  <c r="AH646"/>
  <c r="AH647"/>
  <c r="AH648"/>
  <c r="AH649"/>
  <c r="AH650"/>
  <c r="AH651"/>
  <c r="AH652"/>
  <c r="AH653"/>
  <c r="AH654"/>
  <c r="AH655"/>
  <c r="AH656"/>
  <c r="AH657"/>
  <c r="AH658"/>
  <c r="AH659"/>
  <c r="AH660"/>
  <c r="AH661"/>
  <c r="AH662"/>
  <c r="AH663"/>
  <c r="AH664"/>
  <c r="AH665"/>
  <c r="AH666"/>
  <c r="AH667"/>
  <c r="AH668"/>
  <c r="AH669"/>
  <c r="AH670"/>
  <c r="AH671"/>
  <c r="AH672"/>
  <c r="AH673"/>
  <c r="AH674"/>
  <c r="AH675"/>
  <c r="AH676"/>
  <c r="AH677"/>
  <c r="AH678"/>
  <c r="AH679"/>
  <c r="AH680"/>
  <c r="AH681"/>
  <c r="AH682"/>
  <c r="AH683"/>
  <c r="AH684"/>
  <c r="AH685"/>
  <c r="AH686"/>
  <c r="AH687"/>
  <c r="AH688"/>
  <c r="AH689"/>
  <c r="AH690"/>
  <c r="AH691"/>
  <c r="AH692"/>
  <c r="AH693"/>
  <c r="AH694"/>
  <c r="AH695"/>
  <c r="AH696"/>
  <c r="AH697"/>
  <c r="AH698"/>
  <c r="AH699"/>
  <c r="AH700"/>
  <c r="AH701"/>
  <c r="AH702"/>
  <c r="AH703"/>
  <c r="AH704"/>
  <c r="AH705"/>
  <c r="AH706"/>
  <c r="AH707"/>
  <c r="AH708"/>
  <c r="AH709"/>
  <c r="AH710"/>
  <c r="AH711"/>
  <c r="AH712"/>
  <c r="AH713"/>
  <c r="AH714"/>
  <c r="AH715"/>
  <c r="AH716"/>
  <c r="AH717"/>
  <c r="AH718"/>
  <c r="AH719"/>
  <c r="AH720"/>
  <c r="AH721"/>
  <c r="AH722"/>
  <c r="AH723"/>
  <c r="AH724"/>
  <c r="AH725"/>
  <c r="AH726"/>
  <c r="AH727"/>
  <c r="AH728"/>
  <c r="AH729"/>
  <c r="AH730"/>
  <c r="AH731"/>
  <c r="AH732"/>
  <c r="AH733"/>
  <c r="AH734"/>
  <c r="AH735"/>
  <c r="AH736"/>
  <c r="AH737"/>
  <c r="AH738"/>
  <c r="AH739"/>
  <c r="AH740"/>
  <c r="AH741"/>
  <c r="AH742"/>
  <c r="AH743"/>
  <c r="AH744"/>
  <c r="AH745"/>
  <c r="AH746"/>
  <c r="AH747"/>
  <c r="AH748"/>
  <c r="AH749"/>
  <c r="AH750"/>
  <c r="AH751"/>
  <c r="AH752"/>
  <c r="AH753"/>
  <c r="AH754"/>
  <c r="AH755"/>
  <c r="AH756"/>
  <c r="AH757"/>
  <c r="AH758"/>
  <c r="AH759"/>
  <c r="AH760"/>
  <c r="AH761"/>
  <c r="AH762"/>
  <c r="AH763"/>
  <c r="AH764"/>
  <c r="AH765"/>
  <c r="AH766"/>
  <c r="AH767"/>
  <c r="AH768"/>
  <c r="AH769"/>
  <c r="AH770"/>
  <c r="AH771"/>
  <c r="AH772"/>
  <c r="AH773"/>
  <c r="AH774"/>
  <c r="AH775"/>
  <c r="AH776"/>
  <c r="AH777"/>
  <c r="AH778"/>
  <c r="AH779"/>
  <c r="AH780"/>
  <c r="AH781"/>
  <c r="AH782"/>
  <c r="AH783"/>
  <c r="AH784"/>
  <c r="AH785"/>
  <c r="AH786"/>
  <c r="AH787"/>
  <c r="AH788"/>
  <c r="AH789"/>
  <c r="AH790"/>
  <c r="AH791"/>
  <c r="AH792"/>
  <c r="AH793"/>
  <c r="AH794"/>
  <c r="AH795"/>
  <c r="AH796"/>
  <c r="AH797"/>
  <c r="AH798"/>
  <c r="AH799"/>
  <c r="AH800"/>
  <c r="AH801"/>
  <c r="AH802"/>
  <c r="AH803"/>
  <c r="AH804"/>
  <c r="AH805"/>
  <c r="AH806"/>
  <c r="AH807"/>
  <c r="AH808"/>
  <c r="AH809"/>
  <c r="AH810"/>
  <c r="AH811"/>
  <c r="AH812"/>
  <c r="AH813"/>
  <c r="AH814"/>
  <c r="AH815"/>
  <c r="AH816"/>
  <c r="AH817"/>
  <c r="AH818"/>
  <c r="AH819"/>
  <c r="AH820"/>
  <c r="AH821"/>
  <c r="AH822"/>
  <c r="AH823"/>
  <c r="AH824"/>
  <c r="AH825"/>
  <c r="AH826"/>
  <c r="AH827"/>
  <c r="AH828"/>
  <c r="AH829"/>
  <c r="AH830"/>
  <c r="AH831"/>
  <c r="AH832"/>
  <c r="AH833"/>
  <c r="AH834"/>
  <c r="AH835"/>
  <c r="AH836"/>
  <c r="AH837"/>
  <c r="AH838"/>
  <c r="AH839"/>
  <c r="AH840"/>
  <c r="AH841"/>
  <c r="AH842"/>
  <c r="AH843"/>
  <c r="AH844"/>
  <c r="AH845"/>
  <c r="AH846"/>
  <c r="AH847"/>
  <c r="AH848"/>
  <c r="AH849"/>
  <c r="AH850"/>
  <c r="AH851"/>
  <c r="AH852"/>
  <c r="AH853"/>
  <c r="AH854"/>
  <c r="AH855"/>
  <c r="AH856"/>
  <c r="AH857"/>
  <c r="AH858"/>
  <c r="AH859"/>
  <c r="AH860"/>
  <c r="AH861"/>
  <c r="AH862"/>
  <c r="AH863"/>
  <c r="AH864"/>
  <c r="AH865"/>
  <c r="AH866"/>
  <c r="AH867"/>
  <c r="AH868"/>
  <c r="AH869"/>
  <c r="AH870"/>
  <c r="AH871"/>
  <c r="AH872"/>
  <c r="AH873"/>
  <c r="AH874"/>
  <c r="AH875"/>
  <c r="AH876"/>
  <c r="AH877"/>
  <c r="AH878"/>
  <c r="AH879"/>
  <c r="AH880"/>
  <c r="AH881"/>
  <c r="AH882"/>
  <c r="AH883"/>
  <c r="AH884"/>
  <c r="AH885"/>
  <c r="AH886"/>
  <c r="AH887"/>
  <c r="AH888"/>
  <c r="AH889"/>
  <c r="AH890"/>
  <c r="AH891"/>
  <c r="AH892"/>
  <c r="AH893"/>
  <c r="AH894"/>
  <c r="AH895"/>
  <c r="AH896"/>
  <c r="AH897"/>
  <c r="AH898"/>
  <c r="AH899"/>
  <c r="AH900"/>
  <c r="AH901"/>
  <c r="AH902"/>
  <c r="AH903"/>
  <c r="AH904"/>
  <c r="AH905"/>
  <c r="AH906"/>
  <c r="AH907"/>
  <c r="AH908"/>
  <c r="AH909"/>
  <c r="AH910"/>
  <c r="AH911"/>
  <c r="AH912"/>
  <c r="AH913"/>
  <c r="AH914"/>
  <c r="AH915"/>
  <c r="AH916"/>
  <c r="AH917"/>
  <c r="AH918"/>
  <c r="AH919"/>
  <c r="AH920"/>
  <c r="AH921"/>
  <c r="AH922"/>
  <c r="AH923"/>
  <c r="AH924"/>
  <c r="AH925"/>
  <c r="AH926"/>
  <c r="AH927"/>
  <c r="AH928"/>
  <c r="AH929"/>
  <c r="AH930"/>
  <c r="AH931"/>
  <c r="AH932"/>
  <c r="AH933"/>
  <c r="AH934"/>
  <c r="AH935"/>
  <c r="AH936"/>
  <c r="AH937"/>
  <c r="AH938"/>
  <c r="AH939"/>
  <c r="AH940"/>
  <c r="AH941"/>
  <c r="AH942"/>
  <c r="AH943"/>
  <c r="AH944"/>
  <c r="AH945"/>
  <c r="AH946"/>
  <c r="AH947"/>
  <c r="AH948"/>
  <c r="AH949"/>
  <c r="AH950"/>
  <c r="AH951"/>
  <c r="AH952"/>
  <c r="AH953"/>
  <c r="AH954"/>
  <c r="AH955"/>
  <c r="AH956"/>
  <c r="AH957"/>
  <c r="AH958"/>
  <c r="AH959"/>
  <c r="AH960"/>
  <c r="AH961"/>
  <c r="AH962"/>
  <c r="AH963"/>
  <c r="AH964"/>
  <c r="AH965"/>
  <c r="AH966"/>
  <c r="AH967"/>
  <c r="AH968"/>
  <c r="AH969"/>
  <c r="AH970"/>
  <c r="AH971"/>
  <c r="AH972"/>
  <c r="AH973"/>
  <c r="AH974"/>
  <c r="AH975"/>
  <c r="AH976"/>
  <c r="AH977"/>
  <c r="AH978"/>
  <c r="AH979"/>
  <c r="AH980"/>
  <c r="AH981"/>
  <c r="AH982"/>
  <c r="AH983"/>
  <c r="AH984"/>
  <c r="AH985"/>
  <c r="AH986"/>
  <c r="AH987"/>
  <c r="AH988"/>
  <c r="AH989"/>
  <c r="AH990"/>
  <c r="AH991"/>
  <c r="AH992"/>
  <c r="AH993"/>
  <c r="AH994"/>
  <c r="AH995"/>
  <c r="AH996"/>
  <c r="AH997"/>
  <c r="AH998"/>
  <c r="AH999"/>
  <c r="AH1000"/>
  <c r="AH1001"/>
  <c r="AH1002"/>
  <c r="AH1003"/>
  <c r="AH1004"/>
  <c r="AH1005"/>
  <c r="AH1006"/>
  <c r="AH1007"/>
  <c r="AH1008"/>
  <c r="AH1009"/>
  <c r="AH1010"/>
  <c r="AH1011"/>
  <c r="AH1012"/>
  <c r="AH1013"/>
  <c r="AH1014"/>
  <c r="AH1015"/>
  <c r="AH1016"/>
  <c r="AH1017"/>
  <c r="AH1018"/>
  <c r="AH1019"/>
  <c r="AH1020"/>
  <c r="AH1021"/>
  <c r="AH1022"/>
  <c r="AH1023"/>
  <c r="AH1024"/>
  <c r="AH1025"/>
  <c r="AH1026"/>
  <c r="AH1027"/>
  <c r="AH1028"/>
  <c r="AH1029"/>
  <c r="AH1030"/>
  <c r="AH1031"/>
  <c r="AH1032"/>
  <c r="AH1033"/>
  <c r="AH1034"/>
  <c r="AH1035"/>
  <c r="AH1036"/>
  <c r="AH1037"/>
  <c r="AH1038"/>
  <c r="AH1039"/>
  <c r="AH1040"/>
  <c r="AH1041"/>
  <c r="AH1042"/>
  <c r="AH1043"/>
  <c r="AH1044"/>
  <c r="AH1045"/>
  <c r="AH1046"/>
  <c r="AH1047"/>
  <c r="AH1048"/>
  <c r="AH1049"/>
  <c r="AH1050"/>
  <c r="AH1051"/>
  <c r="AH1052"/>
  <c r="AH1053"/>
  <c r="AH1054"/>
  <c r="AH1055"/>
  <c r="AH1056"/>
  <c r="AH1057"/>
  <c r="AH1058"/>
  <c r="AH1059"/>
  <c r="AH1060"/>
  <c r="AH1061"/>
  <c r="AH1062"/>
  <c r="AH1063"/>
  <c r="AH1064"/>
  <c r="AH1065"/>
  <c r="AH1066"/>
  <c r="AH1067"/>
  <c r="AH1068"/>
  <c r="AH1069"/>
  <c r="AH1070"/>
  <c r="AH1071"/>
  <c r="AH1072"/>
  <c r="AH1073"/>
  <c r="AH1074"/>
  <c r="AH1075"/>
  <c r="AH1076"/>
  <c r="AH1077"/>
  <c r="AH1078"/>
  <c r="AH1079"/>
  <c r="AH1080"/>
  <c r="AH1081"/>
  <c r="AH1082"/>
  <c r="AH1083"/>
  <c r="AH1084"/>
  <c r="AH1085"/>
  <c r="AH1086"/>
  <c r="AH1087"/>
  <c r="AH1088"/>
  <c r="AH1089"/>
  <c r="AH1090"/>
  <c r="AH1091"/>
  <c r="AH1092"/>
  <c r="AH1093"/>
  <c r="AH1094"/>
  <c r="AH1095"/>
  <c r="AH1096"/>
  <c r="AH1097"/>
  <c r="AH1098"/>
  <c r="AH1099"/>
  <c r="AH1100"/>
  <c r="AH1101"/>
  <c r="AH1102"/>
  <c r="AH1103"/>
  <c r="AH1104"/>
  <c r="AH1105"/>
  <c r="AH1106"/>
  <c r="AH1107"/>
  <c r="AH1108"/>
  <c r="AH1109"/>
  <c r="AH1110"/>
  <c r="AH1111"/>
  <c r="AH1112"/>
  <c r="AH1113"/>
  <c r="AH1114"/>
  <c r="AH1115"/>
  <c r="AH1116"/>
  <c r="AH1117"/>
  <c r="AH1118"/>
  <c r="AH1119"/>
  <c r="AH1120"/>
  <c r="AH1121"/>
  <c r="AH1122"/>
  <c r="AH1123"/>
  <c r="AH1124"/>
  <c r="AH1125"/>
  <c r="AH1126"/>
  <c r="AH1127"/>
  <c r="AH1128"/>
  <c r="AH1129"/>
  <c r="AH1130"/>
  <c r="AH1131"/>
  <c r="AH1132"/>
  <c r="AH1133"/>
  <c r="AH1134"/>
  <c r="AH1135"/>
  <c r="AH1136"/>
  <c r="AH1137"/>
  <c r="AH1138"/>
  <c r="AH1139"/>
  <c r="AH1140"/>
  <c r="AH1141"/>
  <c r="AH1142"/>
  <c r="AH1143"/>
  <c r="AH1144"/>
  <c r="AH1145"/>
  <c r="AH1146"/>
  <c r="AH1147"/>
  <c r="AH1148"/>
  <c r="AH1149"/>
  <c r="AH1150"/>
  <c r="AH1151"/>
  <c r="AH1152"/>
  <c r="AH1153"/>
  <c r="AH1154"/>
  <c r="AH1155"/>
  <c r="AH1156"/>
  <c r="AH1157"/>
  <c r="AH1158"/>
  <c r="AH1159"/>
  <c r="AH1160"/>
  <c r="AH1161"/>
  <c r="AH1162"/>
  <c r="AH1163"/>
  <c r="AH1164"/>
  <c r="AH1165"/>
  <c r="AH1166"/>
  <c r="AH1167"/>
  <c r="AH1168"/>
  <c r="AH1169"/>
  <c r="AH1170"/>
  <c r="AH1171"/>
  <c r="AH1172"/>
  <c r="AH1173"/>
  <c r="AH1174"/>
  <c r="AH1175"/>
  <c r="AH1176"/>
  <c r="AH1177"/>
  <c r="AH1178"/>
  <c r="AH1179"/>
  <c r="AH1180"/>
  <c r="AH1181"/>
  <c r="AH1182"/>
  <c r="AH1183"/>
  <c r="AH1184"/>
  <c r="AH1185"/>
  <c r="AH1186"/>
  <c r="AH1187"/>
  <c r="AH1188"/>
  <c r="AH1189"/>
  <c r="AH1190"/>
  <c r="AH1191"/>
  <c r="AH1192"/>
  <c r="AH1193"/>
  <c r="AH1194"/>
  <c r="AH1195"/>
  <c r="AH1196"/>
  <c r="AH1197"/>
  <c r="AH1198"/>
  <c r="AH1199"/>
  <c r="AH1200"/>
  <c r="AH1201"/>
  <c r="AH1202"/>
  <c r="AH1203"/>
  <c r="AH1204"/>
  <c r="AH1205"/>
  <c r="AH1206"/>
  <c r="AH1207"/>
  <c r="AH1208"/>
  <c r="AH1209"/>
  <c r="AH1210"/>
  <c r="AH1211"/>
  <c r="AH1212"/>
  <c r="AH1213"/>
  <c r="AH1214"/>
  <c r="AH1215"/>
  <c r="AH1216"/>
  <c r="AH1217"/>
  <c r="AH1218"/>
  <c r="AH1219"/>
  <c r="AH1220"/>
  <c r="AH1221"/>
  <c r="AH1222"/>
  <c r="AH1223"/>
  <c r="AH1224"/>
  <c r="AH1225"/>
  <c r="AH1226"/>
  <c r="AH1227"/>
  <c r="AH1228"/>
  <c r="AH1229"/>
  <c r="AH1230"/>
  <c r="AH1231"/>
  <c r="AH1232"/>
  <c r="AH1233"/>
  <c r="AH1234"/>
  <c r="AH1235"/>
  <c r="AH1236"/>
  <c r="AH1237"/>
  <c r="AH1238"/>
  <c r="AH1239"/>
  <c r="AH1240"/>
  <c r="AH1241"/>
  <c r="AH1242"/>
  <c r="AH1243"/>
  <c r="AH1244"/>
  <c r="AH1245"/>
  <c r="AH1246"/>
  <c r="AH1247"/>
  <c r="AH1248"/>
  <c r="AH1249"/>
  <c r="AH1250"/>
  <c r="AH1251"/>
  <c r="AH1252"/>
  <c r="AH1253"/>
  <c r="AH1254"/>
  <c r="AH1255"/>
  <c r="AH1256"/>
  <c r="AH1257"/>
  <c r="AH1258"/>
  <c r="AH1259"/>
  <c r="AH1260"/>
  <c r="AH1261"/>
  <c r="AH1262"/>
  <c r="AH1263"/>
  <c r="AH1264"/>
  <c r="AH1265"/>
  <c r="AH1266"/>
  <c r="AH1267"/>
  <c r="AH1268"/>
  <c r="AH1269"/>
  <c r="AH1270"/>
  <c r="AH1271"/>
  <c r="AH1272"/>
  <c r="AH1273"/>
  <c r="AH1274"/>
  <c r="AH1275"/>
  <c r="AH1276"/>
  <c r="AH1277"/>
  <c r="AH1278"/>
  <c r="AH1279"/>
  <c r="AH1280"/>
  <c r="AH1281"/>
  <c r="AH1282"/>
  <c r="AH1283"/>
  <c r="AH1284"/>
  <c r="AH1285"/>
  <c r="AH1286"/>
  <c r="AH1287"/>
  <c r="AH1288"/>
  <c r="AH1289"/>
  <c r="AH1290"/>
  <c r="AH1291"/>
  <c r="AH1292"/>
  <c r="AH1293"/>
  <c r="AH1294"/>
  <c r="AH1295"/>
  <c r="AH1296"/>
  <c r="AH1297"/>
  <c r="AH1298"/>
  <c r="AH1299"/>
  <c r="AH1300"/>
  <c r="AH1301"/>
  <c r="AH1302"/>
  <c r="AH1303"/>
  <c r="AH1304"/>
  <c r="AH1305"/>
  <c r="AH1306"/>
  <c r="AH1307"/>
  <c r="AH1308"/>
  <c r="AH1309"/>
  <c r="AH1310"/>
  <c r="AH1311"/>
  <c r="AH1312"/>
  <c r="AH1313"/>
  <c r="AH1314"/>
  <c r="AH1315"/>
  <c r="AH1316"/>
  <c r="AH1317"/>
  <c r="AH1318"/>
  <c r="AH1319"/>
  <c r="AH1320"/>
  <c r="AH1321"/>
  <c r="AH1322"/>
  <c r="AH1323"/>
  <c r="AH1324"/>
  <c r="AH1325"/>
  <c r="AH1326"/>
  <c r="AH1327"/>
  <c r="AH1328"/>
  <c r="AH1329"/>
  <c r="AH1330"/>
  <c r="AH1331"/>
  <c r="AH1332"/>
  <c r="AH1333"/>
  <c r="AH1334"/>
  <c r="AH1335"/>
  <c r="AH1336"/>
  <c r="AH1337"/>
  <c r="AH1338"/>
  <c r="AH1339"/>
  <c r="AH1340"/>
  <c r="AH1341"/>
  <c r="AH1342"/>
  <c r="AH1343"/>
  <c r="AH1344"/>
  <c r="AH1345"/>
  <c r="AH1346"/>
  <c r="AH1347"/>
  <c r="AH1348"/>
  <c r="AH1349"/>
  <c r="AH1350"/>
  <c r="AH1351"/>
  <c r="AH1352"/>
  <c r="AH1353"/>
  <c r="AH1354"/>
  <c r="AH1355"/>
  <c r="AH1356"/>
  <c r="AH1357"/>
  <c r="AH1358"/>
  <c r="AH1359"/>
  <c r="AH1360"/>
  <c r="AH1361"/>
  <c r="AH1362"/>
  <c r="AH1363"/>
  <c r="AH1364"/>
  <c r="AH1365"/>
  <c r="AH1366"/>
  <c r="AH1367"/>
  <c r="AH1368"/>
  <c r="AH1369"/>
  <c r="AH1370"/>
  <c r="AH1371"/>
  <c r="AH1372"/>
  <c r="AH1373"/>
  <c r="AH1374"/>
  <c r="AH1375"/>
  <c r="AH1376"/>
  <c r="AH1377"/>
  <c r="AH1378"/>
  <c r="AH1379"/>
  <c r="AH1380"/>
  <c r="AH1381"/>
  <c r="AH1382"/>
  <c r="AH1383"/>
  <c r="AH1384"/>
  <c r="AH1385"/>
  <c r="AH1386"/>
  <c r="AH1387"/>
  <c r="AH1388"/>
  <c r="AH1389"/>
  <c r="AH1390"/>
  <c r="AH1391"/>
  <c r="AH1392"/>
  <c r="AH1393"/>
  <c r="AH1394"/>
  <c r="AH1395"/>
  <c r="AH1396"/>
  <c r="AH1397"/>
  <c r="AH1398"/>
  <c r="AH1399"/>
  <c r="AH1400"/>
  <c r="AH1401"/>
  <c r="AH1402"/>
  <c r="AH1403"/>
  <c r="AH1404"/>
  <c r="AH1405"/>
  <c r="AH1406"/>
  <c r="AH1407"/>
  <c r="AH1408"/>
  <c r="AH1409"/>
  <c r="AH1410"/>
  <c r="AH1411"/>
  <c r="AH1412"/>
  <c r="AH1413"/>
  <c r="AH1414"/>
  <c r="AH1415"/>
  <c r="AH1416"/>
  <c r="AH1417"/>
  <c r="AH1418"/>
  <c r="AH1419"/>
  <c r="AH1420"/>
  <c r="AH1421"/>
  <c r="AH1422"/>
  <c r="AH1423"/>
  <c r="AH1424"/>
  <c r="AH1425"/>
  <c r="AH1426"/>
  <c r="AH1427"/>
  <c r="AH1428"/>
  <c r="AH1429"/>
  <c r="AH1430"/>
  <c r="AH1431"/>
  <c r="AH1432"/>
  <c r="AH1433"/>
  <c r="G2" i="49"/>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K2" i="5"/>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392"/>
  <c r="K393"/>
  <c r="K394"/>
  <c r="K395"/>
  <c r="K396"/>
  <c r="K397"/>
  <c r="K398"/>
  <c r="K399"/>
  <c r="K400"/>
  <c r="K401"/>
  <c r="K402"/>
  <c r="K403"/>
  <c r="K404"/>
  <c r="K405"/>
  <c r="K406"/>
  <c r="K407"/>
  <c r="K408"/>
  <c r="K409"/>
  <c r="K410"/>
  <c r="K411"/>
  <c r="K412"/>
  <c r="K413"/>
  <c r="K414"/>
  <c r="K415"/>
  <c r="K416"/>
  <c r="K417"/>
  <c r="K418"/>
  <c r="K419"/>
  <c r="K420"/>
  <c r="K421"/>
  <c r="K422"/>
  <c r="K423"/>
  <c r="K424"/>
  <c r="K425"/>
  <c r="K426"/>
  <c r="K427"/>
  <c r="K428"/>
  <c r="K429"/>
  <c r="K430"/>
  <c r="K431"/>
  <c r="K432"/>
  <c r="K433"/>
  <c r="K434"/>
  <c r="K435"/>
  <c r="K436"/>
  <c r="K437"/>
  <c r="K438"/>
  <c r="K439"/>
  <c r="K440"/>
  <c r="K441"/>
  <c r="K442"/>
  <c r="K443"/>
  <c r="K444"/>
  <c r="K445"/>
  <c r="K446"/>
  <c r="K447"/>
  <c r="K448"/>
  <c r="K449"/>
  <c r="K450"/>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603"/>
  <c r="K604"/>
  <c r="K605"/>
  <c r="K606"/>
  <c r="K607"/>
  <c r="K608"/>
  <c r="K609"/>
  <c r="K610"/>
  <c r="K611"/>
  <c r="K612"/>
  <c r="K613"/>
  <c r="K614"/>
  <c r="K615"/>
  <c r="K616"/>
  <c r="K617"/>
  <c r="K618"/>
  <c r="K619"/>
  <c r="K620"/>
  <c r="K621"/>
  <c r="K622"/>
  <c r="K623"/>
  <c r="K624"/>
  <c r="K625"/>
  <c r="K626"/>
  <c r="K627"/>
  <c r="K628"/>
  <c r="K629"/>
  <c r="K630"/>
  <c r="K631"/>
  <c r="K632"/>
  <c r="K633"/>
  <c r="K634"/>
  <c r="K635"/>
  <c r="K636"/>
  <c r="K637"/>
  <c r="K638"/>
  <c r="K639"/>
  <c r="K640"/>
  <c r="K641"/>
  <c r="K642"/>
  <c r="K643"/>
  <c r="K644"/>
  <c r="K645"/>
  <c r="K646"/>
  <c r="K647"/>
  <c r="K648"/>
  <c r="K649"/>
  <c r="K650"/>
  <c r="K651"/>
  <c r="K652"/>
  <c r="K653"/>
  <c r="K654"/>
  <c r="K655"/>
  <c r="K656"/>
  <c r="K657"/>
  <c r="K658"/>
  <c r="K659"/>
  <c r="K660"/>
  <c r="K661"/>
  <c r="K662"/>
  <c r="K663"/>
  <c r="K664"/>
  <c r="K665"/>
  <c r="K666"/>
  <c r="K667"/>
  <c r="K668"/>
  <c r="K669"/>
  <c r="K670"/>
  <c r="K671"/>
  <c r="K672"/>
  <c r="K673"/>
  <c r="K674"/>
  <c r="K675"/>
  <c r="K676"/>
  <c r="K677"/>
  <c r="K678"/>
  <c r="K679"/>
  <c r="K680"/>
  <c r="K681"/>
  <c r="K682"/>
  <c r="K683"/>
  <c r="K684"/>
  <c r="K685"/>
  <c r="K686"/>
  <c r="K687"/>
  <c r="K688"/>
  <c r="K689"/>
  <c r="K690"/>
  <c r="K691"/>
  <c r="K692"/>
  <c r="K693"/>
  <c r="K694"/>
  <c r="K695"/>
  <c r="K696"/>
  <c r="K697"/>
  <c r="K698"/>
  <c r="K699"/>
  <c r="K700"/>
  <c r="K701"/>
  <c r="K702"/>
  <c r="K703"/>
  <c r="K704"/>
  <c r="K705"/>
  <c r="K706"/>
  <c r="K707"/>
  <c r="K708"/>
  <c r="K709"/>
  <c r="K710"/>
  <c r="K711"/>
  <c r="K712"/>
  <c r="K713"/>
  <c r="K714"/>
  <c r="K715"/>
  <c r="K716"/>
  <c r="K717"/>
  <c r="K718"/>
  <c r="K719"/>
  <c r="K720"/>
  <c r="K721"/>
  <c r="K722"/>
  <c r="K723"/>
  <c r="K724"/>
  <c r="K725"/>
  <c r="K726"/>
  <c r="K727"/>
  <c r="K728"/>
  <c r="K729"/>
  <c r="K730"/>
  <c r="K731"/>
  <c r="K732"/>
  <c r="K733"/>
  <c r="K734"/>
  <c r="K735"/>
  <c r="K736"/>
  <c r="K737"/>
  <c r="K738"/>
  <c r="K739"/>
  <c r="K740"/>
  <c r="K741"/>
  <c r="K742"/>
  <c r="K743"/>
  <c r="K744"/>
  <c r="K745"/>
  <c r="K746"/>
  <c r="K747"/>
  <c r="K748"/>
  <c r="K749"/>
  <c r="K750"/>
  <c r="K751"/>
  <c r="K752"/>
  <c r="K753"/>
  <c r="K754"/>
  <c r="K755"/>
  <c r="K756"/>
  <c r="K757"/>
  <c r="K758"/>
  <c r="K759"/>
  <c r="K760"/>
  <c r="K761"/>
  <c r="K762"/>
  <c r="K763"/>
  <c r="K764"/>
  <c r="K765"/>
  <c r="K766"/>
  <c r="K767"/>
  <c r="K768"/>
  <c r="K769"/>
  <c r="K770"/>
  <c r="K771"/>
  <c r="K772"/>
  <c r="K773"/>
  <c r="K774"/>
  <c r="K775"/>
  <c r="K776"/>
  <c r="K777"/>
  <c r="K778"/>
  <c r="K779"/>
  <c r="K780"/>
  <c r="K781"/>
  <c r="K782"/>
  <c r="K783"/>
  <c r="K784"/>
  <c r="K785"/>
  <c r="K786"/>
  <c r="K787"/>
  <c r="K788"/>
  <c r="K789"/>
  <c r="K790"/>
  <c r="K791"/>
  <c r="K792"/>
  <c r="K793"/>
  <c r="K794"/>
  <c r="K795"/>
  <c r="K796"/>
  <c r="K797"/>
  <c r="K798"/>
  <c r="K799"/>
  <c r="K800"/>
  <c r="K801"/>
  <c r="K802"/>
  <c r="K803"/>
  <c r="K804"/>
  <c r="K805"/>
  <c r="K806"/>
  <c r="K807"/>
  <c r="K808"/>
  <c r="K809"/>
  <c r="K810"/>
  <c r="K811"/>
  <c r="K812"/>
  <c r="K813"/>
  <c r="K814"/>
  <c r="K815"/>
  <c r="K816"/>
  <c r="K817"/>
  <c r="K818"/>
  <c r="K819"/>
  <c r="K820"/>
  <c r="K821"/>
  <c r="K822"/>
  <c r="K823"/>
  <c r="K824"/>
  <c r="K825"/>
  <c r="K826"/>
  <c r="K827"/>
  <c r="K828"/>
  <c r="K829"/>
  <c r="K830"/>
  <c r="K831"/>
  <c r="K832"/>
  <c r="K833"/>
  <c r="K834"/>
  <c r="K835"/>
  <c r="K836"/>
  <c r="K837"/>
  <c r="K838"/>
  <c r="K839"/>
  <c r="K840"/>
  <c r="K841"/>
  <c r="K842"/>
  <c r="K843"/>
  <c r="K844"/>
  <c r="K845"/>
  <c r="K846"/>
  <c r="K847"/>
  <c r="K848"/>
  <c r="K849"/>
  <c r="K850"/>
  <c r="K851"/>
  <c r="K852"/>
  <c r="K853"/>
  <c r="K854"/>
  <c r="K855"/>
  <c r="K856"/>
  <c r="K857"/>
  <c r="K858"/>
  <c r="K859"/>
  <c r="K860"/>
  <c r="K861"/>
  <c r="K862"/>
  <c r="K863"/>
  <c r="K864"/>
  <c r="K865"/>
  <c r="K866"/>
  <c r="K867"/>
  <c r="K868"/>
  <c r="K869"/>
  <c r="K870"/>
  <c r="K871"/>
  <c r="K872"/>
  <c r="K873"/>
  <c r="K874"/>
  <c r="K875"/>
  <c r="K876"/>
  <c r="K877"/>
  <c r="K878"/>
  <c r="K879"/>
  <c r="K880"/>
  <c r="K881"/>
  <c r="K882"/>
  <c r="K883"/>
  <c r="K884"/>
  <c r="K885"/>
  <c r="K886"/>
  <c r="K887"/>
  <c r="K888"/>
  <c r="K889"/>
  <c r="K890"/>
  <c r="K891"/>
  <c r="K892"/>
  <c r="K893"/>
  <c r="K894"/>
  <c r="K895"/>
  <c r="K896"/>
  <c r="K897"/>
  <c r="K898"/>
  <c r="K899"/>
  <c r="K900"/>
  <c r="K901"/>
  <c r="K902"/>
  <c r="K903"/>
  <c r="K904"/>
  <c r="K905"/>
  <c r="K906"/>
  <c r="K907"/>
  <c r="K908"/>
  <c r="K909"/>
  <c r="K910"/>
  <c r="K911"/>
  <c r="K912"/>
  <c r="K913"/>
  <c r="K914"/>
  <c r="K915"/>
  <c r="K916"/>
  <c r="K917"/>
  <c r="K918"/>
  <c r="K919"/>
  <c r="K920"/>
  <c r="K921"/>
  <c r="K922"/>
  <c r="K923"/>
  <c r="K924"/>
  <c r="K925"/>
  <c r="K926"/>
  <c r="K927"/>
  <c r="K928"/>
  <c r="K929"/>
  <c r="K930"/>
  <c r="K931"/>
  <c r="K932"/>
  <c r="K933"/>
  <c r="K934"/>
  <c r="K935"/>
  <c r="K936"/>
  <c r="K937"/>
  <c r="K938"/>
  <c r="K939"/>
  <c r="K940"/>
  <c r="K941"/>
  <c r="K942"/>
  <c r="K943"/>
  <c r="K944"/>
  <c r="K945"/>
  <c r="K946"/>
  <c r="K947"/>
  <c r="K948"/>
  <c r="K949"/>
  <c r="K950"/>
  <c r="K951"/>
  <c r="K952"/>
  <c r="K953"/>
  <c r="K954"/>
  <c r="K955"/>
  <c r="K956"/>
  <c r="K957"/>
  <c r="K958"/>
  <c r="K959"/>
  <c r="K960"/>
  <c r="K961"/>
  <c r="K962"/>
  <c r="K963"/>
  <c r="K964"/>
  <c r="K965"/>
  <c r="K966"/>
  <c r="K967"/>
  <c r="K968"/>
  <c r="K969"/>
  <c r="K970"/>
  <c r="K971"/>
  <c r="K972"/>
  <c r="K973"/>
  <c r="K974"/>
  <c r="K975"/>
  <c r="K976"/>
  <c r="K977"/>
  <c r="K978"/>
  <c r="K979"/>
  <c r="K980"/>
  <c r="K981"/>
  <c r="K982"/>
  <c r="K983"/>
  <c r="K984"/>
  <c r="K985"/>
  <c r="K986"/>
  <c r="K987"/>
  <c r="K988"/>
  <c r="K989"/>
  <c r="K990"/>
  <c r="K991"/>
  <c r="K992"/>
  <c r="K993"/>
  <c r="K994"/>
  <c r="K995"/>
  <c r="K996"/>
  <c r="K997"/>
  <c r="K998"/>
  <c r="K999"/>
  <c r="K1000"/>
  <c r="K1001"/>
  <c r="K1002"/>
  <c r="K1003"/>
  <c r="K1004"/>
  <c r="K1005"/>
  <c r="K1006"/>
  <c r="K1007"/>
  <c r="K1008"/>
  <c r="K1009"/>
  <c r="K1010"/>
  <c r="K1011"/>
  <c r="K1012"/>
  <c r="K1013"/>
  <c r="K1014"/>
  <c r="K1015"/>
  <c r="K1016"/>
  <c r="K1017"/>
  <c r="K1018"/>
  <c r="K1019"/>
  <c r="K1020"/>
  <c r="K1021"/>
  <c r="K1022"/>
  <c r="K1023"/>
  <c r="K1024"/>
  <c r="K1025"/>
  <c r="K1026"/>
  <c r="K1027"/>
  <c r="K1028"/>
  <c r="K1029"/>
  <c r="K1030"/>
  <c r="K1031"/>
  <c r="K1032"/>
  <c r="K1033"/>
  <c r="K1034"/>
  <c r="K1035"/>
  <c r="K1036"/>
  <c r="K1037"/>
  <c r="K1038"/>
  <c r="K1039"/>
  <c r="K1040"/>
  <c r="K1041"/>
  <c r="K1042"/>
  <c r="K1043"/>
  <c r="K1044"/>
  <c r="K1045"/>
  <c r="K1046"/>
  <c r="K1047"/>
  <c r="K1048"/>
  <c r="K1049"/>
  <c r="K1050"/>
  <c r="K1051"/>
  <c r="K1052"/>
  <c r="K1053"/>
  <c r="K1054"/>
  <c r="K1055"/>
  <c r="K1056"/>
  <c r="K1057"/>
  <c r="K1058"/>
  <c r="K1059"/>
  <c r="K1060"/>
  <c r="K1061"/>
  <c r="K1062"/>
  <c r="K1063"/>
  <c r="K1064"/>
  <c r="K1065"/>
  <c r="K1066"/>
  <c r="K1067"/>
  <c r="K1068"/>
  <c r="K1069"/>
  <c r="K1070"/>
  <c r="K1071"/>
  <c r="K1072"/>
  <c r="K1073"/>
  <c r="K1074"/>
  <c r="K1075"/>
  <c r="K1076"/>
  <c r="K1077"/>
  <c r="K1078"/>
  <c r="K1079"/>
  <c r="K1080"/>
  <c r="K1081"/>
  <c r="K1082"/>
  <c r="K1083"/>
  <c r="K1084"/>
  <c r="K1085"/>
  <c r="K1086"/>
  <c r="K1087"/>
  <c r="K1088"/>
  <c r="K1089"/>
  <c r="K1090"/>
  <c r="K1091"/>
  <c r="K1092"/>
  <c r="K1093"/>
  <c r="K1094"/>
  <c r="K1095"/>
  <c r="K1096"/>
  <c r="K1097"/>
  <c r="K1098"/>
  <c r="K1099"/>
  <c r="K1100"/>
  <c r="K1101"/>
  <c r="K1102"/>
  <c r="K1103"/>
  <c r="K1104"/>
  <c r="K1105"/>
  <c r="K1106"/>
  <c r="K1107"/>
  <c r="K1108"/>
  <c r="K1109"/>
  <c r="K1110"/>
  <c r="K1111"/>
  <c r="K1112"/>
  <c r="K1113"/>
  <c r="K1114"/>
  <c r="K1115"/>
  <c r="K1116"/>
  <c r="K1117"/>
  <c r="K1118"/>
  <c r="K1119"/>
  <c r="K1120"/>
  <c r="K1121"/>
  <c r="K1122"/>
  <c r="K1123"/>
  <c r="K1124"/>
  <c r="K1125"/>
  <c r="K1126"/>
  <c r="K1127"/>
  <c r="K1128"/>
  <c r="K1129"/>
  <c r="K1130"/>
  <c r="K1131"/>
  <c r="K1132"/>
  <c r="K1133"/>
  <c r="K1134"/>
  <c r="K1135"/>
  <c r="K1136"/>
  <c r="K1137"/>
  <c r="K1138"/>
  <c r="K1139"/>
  <c r="K1140"/>
  <c r="K1141"/>
  <c r="K1142"/>
  <c r="K1143"/>
  <c r="K1144"/>
  <c r="K1145"/>
  <c r="K1146"/>
  <c r="K1147"/>
  <c r="K1148"/>
  <c r="K1149"/>
  <c r="K1150"/>
  <c r="K1151"/>
  <c r="K1152"/>
  <c r="K1153"/>
  <c r="K1154"/>
  <c r="K1155"/>
  <c r="K1156"/>
  <c r="K1157"/>
  <c r="K1158"/>
  <c r="K1159"/>
  <c r="K1160"/>
  <c r="K1161"/>
  <c r="K1162"/>
  <c r="K1163"/>
  <c r="K1164"/>
  <c r="K1165"/>
  <c r="K1166"/>
  <c r="K1167"/>
  <c r="K1168"/>
  <c r="K1169"/>
  <c r="K1170"/>
  <c r="K1171"/>
  <c r="K1172"/>
  <c r="K1173"/>
  <c r="K1174"/>
  <c r="K1175"/>
  <c r="K1176"/>
  <c r="K1177"/>
  <c r="K1178"/>
  <c r="K1179"/>
  <c r="K1180"/>
  <c r="K1181"/>
  <c r="K1182"/>
  <c r="K1183"/>
  <c r="K1184"/>
  <c r="K1185"/>
  <c r="K1186"/>
  <c r="K1187"/>
  <c r="K1188"/>
  <c r="K1189"/>
  <c r="K1190"/>
  <c r="K1191"/>
  <c r="K1192"/>
  <c r="K1193"/>
  <c r="K1194"/>
  <c r="K1195"/>
  <c r="K1196"/>
  <c r="K1197"/>
  <c r="K1198"/>
  <c r="K1199"/>
  <c r="K1200"/>
  <c r="K1201"/>
  <c r="K1202"/>
  <c r="K1203"/>
  <c r="K1204"/>
  <c r="K1205"/>
  <c r="K1206"/>
  <c r="K1207"/>
  <c r="K1208"/>
  <c r="K1209"/>
  <c r="K1210"/>
  <c r="K1211"/>
  <c r="K1212"/>
  <c r="K1213"/>
  <c r="K1214"/>
  <c r="K1215"/>
  <c r="K1216"/>
  <c r="K1217"/>
  <c r="K1218"/>
  <c r="K1219"/>
  <c r="K1220"/>
  <c r="K1221"/>
  <c r="K1222"/>
  <c r="K1223"/>
  <c r="K1224"/>
  <c r="K1225"/>
  <c r="K1226"/>
  <c r="K1227"/>
  <c r="K1228"/>
  <c r="K1229"/>
  <c r="K1230"/>
  <c r="K1231"/>
  <c r="K1232"/>
  <c r="K1233"/>
  <c r="K1234"/>
  <c r="K1235"/>
  <c r="K1236"/>
  <c r="K1237"/>
  <c r="K1238"/>
  <c r="K1239"/>
  <c r="K1240"/>
  <c r="K1241"/>
  <c r="K1242"/>
  <c r="K1243"/>
  <c r="K1244"/>
  <c r="K1245"/>
  <c r="K1246"/>
  <c r="K1247"/>
  <c r="K1248"/>
  <c r="K1249"/>
  <c r="K1250"/>
  <c r="K1251"/>
  <c r="K1252"/>
  <c r="K1253"/>
  <c r="K1254"/>
  <c r="K1255"/>
  <c r="K1256"/>
  <c r="K1257"/>
  <c r="K1258"/>
  <c r="K1259"/>
  <c r="K1260"/>
  <c r="K1261"/>
  <c r="K1262"/>
  <c r="K1263"/>
  <c r="K1264"/>
  <c r="K1265"/>
  <c r="K1266"/>
  <c r="K1267"/>
  <c r="K1268"/>
  <c r="K1269"/>
  <c r="K1270"/>
  <c r="K1271"/>
  <c r="K1272"/>
  <c r="K1273"/>
  <c r="K1274"/>
  <c r="K1275"/>
  <c r="K1276"/>
  <c r="K1277"/>
  <c r="K1278"/>
  <c r="K1279"/>
  <c r="K1280"/>
  <c r="K1281"/>
  <c r="K1282"/>
  <c r="K1283"/>
  <c r="K1284"/>
  <c r="K1285"/>
  <c r="K1286"/>
  <c r="K1287"/>
  <c r="K1288"/>
  <c r="K1289"/>
  <c r="K1290"/>
  <c r="K1291"/>
  <c r="K1292"/>
  <c r="K1293"/>
  <c r="K1294"/>
  <c r="K1295"/>
  <c r="K1296"/>
  <c r="K1297"/>
  <c r="K1298"/>
  <c r="K1299"/>
  <c r="K1300"/>
  <c r="K1301"/>
  <c r="K1302"/>
  <c r="K1303"/>
  <c r="K1304"/>
  <c r="K1305"/>
  <c r="K1306"/>
  <c r="K1307"/>
  <c r="K1308"/>
  <c r="K1309"/>
  <c r="K1310"/>
  <c r="K1311"/>
  <c r="K1312"/>
  <c r="K1313"/>
  <c r="K1314"/>
  <c r="K1315"/>
  <c r="K1316"/>
  <c r="K1317"/>
  <c r="K1318"/>
  <c r="K1319"/>
  <c r="K1320"/>
  <c r="K1321"/>
  <c r="K1322"/>
  <c r="K1323"/>
  <c r="K1324"/>
  <c r="K1325"/>
  <c r="K1326"/>
  <c r="K1327"/>
  <c r="K1328"/>
  <c r="K1329"/>
  <c r="K1330"/>
  <c r="K1331"/>
  <c r="K1332"/>
  <c r="K1333"/>
  <c r="K1334"/>
  <c r="K1335"/>
  <c r="K1336"/>
  <c r="K1337"/>
  <c r="K1338"/>
  <c r="K1339"/>
  <c r="K1340"/>
  <c r="K1341"/>
  <c r="K1342"/>
  <c r="K1343"/>
  <c r="K1344"/>
  <c r="K1345"/>
  <c r="K1346"/>
  <c r="K1347"/>
  <c r="K1348"/>
  <c r="K1349"/>
  <c r="K1350"/>
  <c r="K1351"/>
  <c r="K1352"/>
  <c r="K1353"/>
  <c r="K1354"/>
  <c r="K1355"/>
  <c r="K1356"/>
  <c r="K1357"/>
  <c r="K1358"/>
  <c r="K1359"/>
  <c r="K1360"/>
  <c r="K1361"/>
  <c r="K1362"/>
  <c r="K1363"/>
  <c r="K1364"/>
  <c r="K1365"/>
  <c r="K1366"/>
  <c r="K1367"/>
  <c r="K1368"/>
  <c r="K1369"/>
  <c r="K1370"/>
  <c r="K1371"/>
  <c r="K1372"/>
  <c r="K1373"/>
  <c r="K1374"/>
  <c r="K1375"/>
  <c r="K1376"/>
  <c r="K1377"/>
  <c r="K1378"/>
  <c r="K1379"/>
  <c r="K1380"/>
  <c r="K1381"/>
  <c r="K1382"/>
  <c r="K1383"/>
  <c r="K1384"/>
  <c r="K1385"/>
  <c r="K1386"/>
  <c r="K1387"/>
  <c r="K1388"/>
  <c r="K1389"/>
  <c r="K1390"/>
  <c r="K1391"/>
  <c r="K1392"/>
  <c r="K1393"/>
  <c r="K1394"/>
  <c r="K1395"/>
  <c r="K1396"/>
  <c r="K1397"/>
  <c r="K1398"/>
  <c r="K1399"/>
  <c r="K1400"/>
  <c r="K1401"/>
  <c r="K1402"/>
  <c r="K1403"/>
  <c r="K1404"/>
  <c r="K1405"/>
  <c r="K1406"/>
  <c r="K1407"/>
  <c r="K1408"/>
  <c r="K1409"/>
  <c r="K1410"/>
  <c r="K1411"/>
  <c r="K1412"/>
  <c r="K1413"/>
  <c r="K1414"/>
  <c r="K1415"/>
  <c r="K1416"/>
  <c r="K1417"/>
  <c r="K1418"/>
  <c r="K1419"/>
  <c r="K1420"/>
  <c r="K1421"/>
  <c r="K1422"/>
  <c r="K1423"/>
  <c r="K1424"/>
  <c r="K1425"/>
  <c r="K1426"/>
  <c r="K1427"/>
  <c r="K1428"/>
  <c r="K1429"/>
  <c r="K1430"/>
  <c r="K1431"/>
  <c r="K1432"/>
  <c r="K1433"/>
  <c r="B1417"/>
  <c r="C1417"/>
  <c r="G1417"/>
  <c r="H1417"/>
  <c r="I1417"/>
  <c r="L1417"/>
  <c r="M1417"/>
  <c r="N1417"/>
  <c r="P1417"/>
  <c r="R1417" s="1"/>
  <c r="AD1417"/>
  <c r="AE1417"/>
  <c r="AF1417"/>
  <c r="AG1417"/>
  <c r="P1400"/>
  <c r="L1400"/>
  <c r="H1400"/>
  <c r="P1399"/>
  <c r="L1399"/>
  <c r="B1389"/>
  <c r="C1389"/>
  <c r="G1389"/>
  <c r="I1389"/>
  <c r="M1389"/>
  <c r="N1389"/>
  <c r="R1389"/>
  <c r="AD1389"/>
  <c r="AE1389"/>
  <c r="AF1389"/>
  <c r="AG1389"/>
  <c r="B1390"/>
  <c r="C1390"/>
  <c r="G1390"/>
  <c r="I1390"/>
  <c r="M1390"/>
  <c r="N1390"/>
  <c r="R1390"/>
  <c r="AD1390"/>
  <c r="AE1390"/>
  <c r="AF1390"/>
  <c r="AG1390"/>
  <c r="B1391"/>
  <c r="C1391"/>
  <c r="G1391"/>
  <c r="I1391"/>
  <c r="M1391"/>
  <c r="N1391"/>
  <c r="R1391"/>
  <c r="AD1391"/>
  <c r="AE1391"/>
  <c r="AF1391"/>
  <c r="AG1391"/>
  <c r="B1392"/>
  <c r="C1392"/>
  <c r="G1392"/>
  <c r="I1392"/>
  <c r="M1392"/>
  <c r="N1392"/>
  <c r="R1392"/>
  <c r="AD1392"/>
  <c r="AE1392"/>
  <c r="AF1392"/>
  <c r="AG1392"/>
  <c r="B1393"/>
  <c r="C1393"/>
  <c r="G1393"/>
  <c r="I1393"/>
  <c r="M1393"/>
  <c r="N1393"/>
  <c r="R1393"/>
  <c r="AD1393"/>
  <c r="AE1393"/>
  <c r="AF1393"/>
  <c r="AG1393"/>
  <c r="P1337"/>
  <c r="L1337"/>
  <c r="B1325"/>
  <c r="C1325"/>
  <c r="G1325"/>
  <c r="I1325"/>
  <c r="M1325"/>
  <c r="N1325"/>
  <c r="R1325"/>
  <c r="AD1325"/>
  <c r="AE1325"/>
  <c r="AF1325"/>
  <c r="AG1325"/>
  <c r="B1326"/>
  <c r="C1326"/>
  <c r="G1326"/>
  <c r="I1326"/>
  <c r="M1326"/>
  <c r="N1326"/>
  <c r="R1326"/>
  <c r="AD1326"/>
  <c r="AE1326"/>
  <c r="AF1326"/>
  <c r="AG1326"/>
  <c r="B1327"/>
  <c r="C1327"/>
  <c r="G1327"/>
  <c r="I1327"/>
  <c r="M1327"/>
  <c r="N1327"/>
  <c r="R1327"/>
  <c r="AD1327"/>
  <c r="AE1327"/>
  <c r="AF1327"/>
  <c r="AG1327"/>
  <c r="B1328"/>
  <c r="C1328"/>
  <c r="G1328"/>
  <c r="I1328"/>
  <c r="M1328"/>
  <c r="N1328"/>
  <c r="R1328"/>
  <c r="AD1328"/>
  <c r="AE1328"/>
  <c r="AF1328"/>
  <c r="AG1328"/>
  <c r="B1329"/>
  <c r="C1329"/>
  <c r="G1329"/>
  <c r="I1329"/>
  <c r="M1329"/>
  <c r="N1329"/>
  <c r="R1329"/>
  <c r="AD1329"/>
  <c r="AE1329"/>
  <c r="AF1329"/>
  <c r="AG1329"/>
  <c r="B1324"/>
  <c r="C1324"/>
  <c r="G1324"/>
  <c r="I1324"/>
  <c r="M1324"/>
  <c r="N1324"/>
  <c r="R1324"/>
  <c r="AD1324"/>
  <c r="AE1324"/>
  <c r="AF1324"/>
  <c r="AG1324"/>
  <c r="P1320"/>
  <c r="P1319"/>
  <c r="P1318"/>
  <c r="P1317"/>
  <c r="P1316"/>
  <c r="P1315"/>
  <c r="P1314"/>
  <c r="P1313"/>
  <c r="P1312"/>
  <c r="P1301"/>
  <c r="H1252"/>
  <c r="L1252"/>
  <c r="P1252"/>
  <c r="B1224"/>
  <c r="B1225"/>
  <c r="B1226"/>
  <c r="B1227"/>
  <c r="B1228"/>
  <c r="C1224"/>
  <c r="C1225"/>
  <c r="C1226"/>
  <c r="C1227"/>
  <c r="C1228"/>
  <c r="G1224"/>
  <c r="G1225"/>
  <c r="G1226"/>
  <c r="G1227"/>
  <c r="G1228"/>
  <c r="H1224"/>
  <c r="H1225"/>
  <c r="H1226"/>
  <c r="H1227"/>
  <c r="H1228"/>
  <c r="I1224"/>
  <c r="I1225"/>
  <c r="I1226"/>
  <c r="I1227"/>
  <c r="I1228"/>
  <c r="L1224"/>
  <c r="L1225"/>
  <c r="L1226"/>
  <c r="L1227"/>
  <c r="L1228"/>
  <c r="M1224"/>
  <c r="M1225"/>
  <c r="M1226"/>
  <c r="M1227"/>
  <c r="M1228"/>
  <c r="N1224"/>
  <c r="N1225"/>
  <c r="N1226"/>
  <c r="N1227"/>
  <c r="N1228"/>
  <c r="P1224"/>
  <c r="R1224" s="1"/>
  <c r="P1225"/>
  <c r="R1225" s="1"/>
  <c r="P1226"/>
  <c r="R1226" s="1"/>
  <c r="P1227"/>
  <c r="R1227" s="1"/>
  <c r="P1228"/>
  <c r="R1228" s="1"/>
  <c r="AD1224"/>
  <c r="AD1225"/>
  <c r="AD1226"/>
  <c r="AD1227"/>
  <c r="AD1228"/>
  <c r="AE1224"/>
  <c r="AE1225"/>
  <c r="AE1226"/>
  <c r="AE1227"/>
  <c r="AE1228"/>
  <c r="AF1224"/>
  <c r="AF1225"/>
  <c r="AF1226"/>
  <c r="AF1227"/>
  <c r="AF1228"/>
  <c r="AG1224"/>
  <c r="AG1225"/>
  <c r="AG1226"/>
  <c r="AG1227"/>
  <c r="AG1228"/>
  <c r="AI1227"/>
  <c r="B1229"/>
  <c r="C1229"/>
  <c r="G1229"/>
  <c r="H1229"/>
  <c r="I1229"/>
  <c r="L1229"/>
  <c r="M1229"/>
  <c r="N1229"/>
  <c r="P1229"/>
  <c r="R1229" s="1"/>
  <c r="AD1229"/>
  <c r="AE1229"/>
  <c r="AF1229"/>
  <c r="AG1229"/>
  <c r="B1230"/>
  <c r="C1230"/>
  <c r="G1230"/>
  <c r="H1230"/>
  <c r="I1230"/>
  <c r="L1230"/>
  <c r="M1230"/>
  <c r="N1230"/>
  <c r="P1230"/>
  <c r="R1230" s="1"/>
  <c r="AD1230"/>
  <c r="AE1230"/>
  <c r="AF1230"/>
  <c r="AG1230"/>
  <c r="B1231"/>
  <c r="C1231"/>
  <c r="G1231"/>
  <c r="H1231"/>
  <c r="I1231"/>
  <c r="L1231"/>
  <c r="M1231"/>
  <c r="N1231"/>
  <c r="P1231"/>
  <c r="R1231" s="1"/>
  <c r="AD1231"/>
  <c r="AE1231"/>
  <c r="AF1231"/>
  <c r="AG1231"/>
  <c r="B1232"/>
  <c r="C1232"/>
  <c r="G1232"/>
  <c r="H1232"/>
  <c r="I1232"/>
  <c r="L1232"/>
  <c r="M1232"/>
  <c r="N1232"/>
  <c r="P1232"/>
  <c r="R1232" s="1"/>
  <c r="AD1232"/>
  <c r="AE1232"/>
  <c r="AF1232"/>
  <c r="AG1232"/>
  <c r="B1233"/>
  <c r="C1233"/>
  <c r="G1233"/>
  <c r="H1233"/>
  <c r="I1233"/>
  <c r="L1233"/>
  <c r="M1233"/>
  <c r="N1233"/>
  <c r="P1233"/>
  <c r="R1233" s="1"/>
  <c r="AD1233"/>
  <c r="AE1233"/>
  <c r="AF1233"/>
  <c r="AG1233"/>
  <c r="B1223"/>
  <c r="C1223"/>
  <c r="G1223"/>
  <c r="I1223"/>
  <c r="M1223"/>
  <c r="N1223"/>
  <c r="R1223"/>
  <c r="AD1223"/>
  <c r="AE1223"/>
  <c r="AF1223"/>
  <c r="AG1223"/>
  <c r="B1212"/>
  <c r="C1212"/>
  <c r="G1212"/>
  <c r="I1212"/>
  <c r="M1212"/>
  <c r="N1212"/>
  <c r="R1212"/>
  <c r="AD1212"/>
  <c r="AE1212"/>
  <c r="AF1212"/>
  <c r="AG1212"/>
  <c r="B1213"/>
  <c r="C1213"/>
  <c r="G1213"/>
  <c r="H1213"/>
  <c r="I1213"/>
  <c r="L1213"/>
  <c r="M1213"/>
  <c r="N1213"/>
  <c r="P1213"/>
  <c r="R1213" s="1"/>
  <c r="AD1213"/>
  <c r="AE1213"/>
  <c r="AF1213"/>
  <c r="AG1213"/>
  <c r="B1214"/>
  <c r="C1214"/>
  <c r="G1214"/>
  <c r="H1214"/>
  <c r="I1214"/>
  <c r="L1214"/>
  <c r="M1214"/>
  <c r="N1214"/>
  <c r="P1214"/>
  <c r="R1214" s="1"/>
  <c r="AD1214"/>
  <c r="AE1214"/>
  <c r="AF1214"/>
  <c r="AG1214"/>
  <c r="B1215"/>
  <c r="C1215"/>
  <c r="G1215"/>
  <c r="H1215"/>
  <c r="I1215"/>
  <c r="L1215"/>
  <c r="M1215"/>
  <c r="N1215"/>
  <c r="P1215"/>
  <c r="R1215" s="1"/>
  <c r="AD1215"/>
  <c r="AE1215"/>
  <c r="AF1215"/>
  <c r="AG1215"/>
  <c r="B1216"/>
  <c r="C1216"/>
  <c r="G1216"/>
  <c r="H1216"/>
  <c r="I1216"/>
  <c r="L1216"/>
  <c r="M1216"/>
  <c r="N1216"/>
  <c r="P1216"/>
  <c r="R1216" s="1"/>
  <c r="AD1216"/>
  <c r="AE1216"/>
  <c r="AF1216"/>
  <c r="AG1216"/>
  <c r="B1217"/>
  <c r="C1217"/>
  <c r="G1217"/>
  <c r="H1217"/>
  <c r="I1217"/>
  <c r="L1217"/>
  <c r="M1217"/>
  <c r="N1217"/>
  <c r="P1217"/>
  <c r="R1217" s="1"/>
  <c r="AD1217"/>
  <c r="AE1217"/>
  <c r="AF1217"/>
  <c r="AG1217"/>
  <c r="B1206"/>
  <c r="C1206"/>
  <c r="G1206"/>
  <c r="H1206"/>
  <c r="I1206"/>
  <c r="L1206"/>
  <c r="M1206"/>
  <c r="N1206"/>
  <c r="P1206"/>
  <c r="R1206" s="1"/>
  <c r="AD1206"/>
  <c r="AE1206"/>
  <c r="AF1206"/>
  <c r="AG1206"/>
  <c r="B1207"/>
  <c r="C1207"/>
  <c r="G1207"/>
  <c r="H1207"/>
  <c r="I1207"/>
  <c r="L1207"/>
  <c r="M1207"/>
  <c r="N1207"/>
  <c r="P1207"/>
  <c r="R1207" s="1"/>
  <c r="AD1207"/>
  <c r="AE1207"/>
  <c r="AF1207"/>
  <c r="AG1207"/>
  <c r="B1208"/>
  <c r="C1208"/>
  <c r="G1208"/>
  <c r="H1208"/>
  <c r="I1208"/>
  <c r="L1208"/>
  <c r="M1208"/>
  <c r="N1208"/>
  <c r="P1208"/>
  <c r="R1208" s="1"/>
  <c r="AD1208"/>
  <c r="AE1208"/>
  <c r="AF1208"/>
  <c r="AG1208"/>
  <c r="B1187"/>
  <c r="B1188"/>
  <c r="B1189"/>
  <c r="B1190"/>
  <c r="B1191"/>
  <c r="C1187"/>
  <c r="C1188"/>
  <c r="C1189"/>
  <c r="C1190"/>
  <c r="C1191"/>
  <c r="G1187"/>
  <c r="G1188"/>
  <c r="G1189"/>
  <c r="G1190"/>
  <c r="G1191"/>
  <c r="H1187"/>
  <c r="H1188"/>
  <c r="H1189"/>
  <c r="H1190"/>
  <c r="H1191"/>
  <c r="I1187"/>
  <c r="I1188"/>
  <c r="I1189"/>
  <c r="I1190"/>
  <c r="I1191"/>
  <c r="L1187"/>
  <c r="L1188"/>
  <c r="L1189"/>
  <c r="L1190"/>
  <c r="L1191"/>
  <c r="M1187"/>
  <c r="M1188"/>
  <c r="M1189"/>
  <c r="M1190"/>
  <c r="M1191"/>
  <c r="N1187"/>
  <c r="N1188"/>
  <c r="N1189"/>
  <c r="N1190"/>
  <c r="N1191"/>
  <c r="P1187"/>
  <c r="R1187" s="1"/>
  <c r="P1188"/>
  <c r="R1188" s="1"/>
  <c r="P1189"/>
  <c r="R1189" s="1"/>
  <c r="P1190"/>
  <c r="R1190" s="1"/>
  <c r="P1191"/>
  <c r="R1191" s="1"/>
  <c r="AD1187"/>
  <c r="AD1188"/>
  <c r="AD1189"/>
  <c r="AD1190"/>
  <c r="AD1191"/>
  <c r="AE1187"/>
  <c r="AE1188"/>
  <c r="AE1189"/>
  <c r="AE1190"/>
  <c r="AE1191"/>
  <c r="AF1187"/>
  <c r="AF1188"/>
  <c r="AF1189"/>
  <c r="AF1190"/>
  <c r="AF1191"/>
  <c r="AG1187"/>
  <c r="AG1188"/>
  <c r="AG1189"/>
  <c r="AG1190"/>
  <c r="AG1191"/>
  <c r="B1192"/>
  <c r="B1193"/>
  <c r="C1192"/>
  <c r="C1193"/>
  <c r="G1192"/>
  <c r="G1193"/>
  <c r="H1192"/>
  <c r="H1193"/>
  <c r="I1192"/>
  <c r="I1193"/>
  <c r="L1192"/>
  <c r="L1193"/>
  <c r="M1192"/>
  <c r="M1193"/>
  <c r="N1192"/>
  <c r="N1193"/>
  <c r="P1192"/>
  <c r="R1192" s="1"/>
  <c r="P1193"/>
  <c r="R1193" s="1"/>
  <c r="AD1192"/>
  <c r="AD1193"/>
  <c r="AE1192"/>
  <c r="AE1193"/>
  <c r="AF1192"/>
  <c r="AF1193"/>
  <c r="AG1192"/>
  <c r="AG1193"/>
  <c r="B1197"/>
  <c r="C1197"/>
  <c r="G1197"/>
  <c r="H1197"/>
  <c r="I1197"/>
  <c r="L1197"/>
  <c r="M1197"/>
  <c r="N1197"/>
  <c r="P1197"/>
  <c r="R1197" s="1"/>
  <c r="AD1197"/>
  <c r="AE1197"/>
  <c r="AF1197"/>
  <c r="AG1197"/>
  <c r="B1198"/>
  <c r="C1198"/>
  <c r="G1198"/>
  <c r="H1198"/>
  <c r="I1198"/>
  <c r="L1198"/>
  <c r="M1198"/>
  <c r="N1198"/>
  <c r="P1198"/>
  <c r="R1198" s="1"/>
  <c r="AD1198"/>
  <c r="AE1198"/>
  <c r="AF1198"/>
  <c r="AG1198"/>
  <c r="B1199"/>
  <c r="C1199"/>
  <c r="G1199"/>
  <c r="H1199"/>
  <c r="I1199"/>
  <c r="L1199"/>
  <c r="M1199"/>
  <c r="N1199"/>
  <c r="P1199"/>
  <c r="R1199" s="1"/>
  <c r="AD1199"/>
  <c r="AE1199"/>
  <c r="AF1199"/>
  <c r="AG1199"/>
  <c r="B1200"/>
  <c r="C1200"/>
  <c r="G1200"/>
  <c r="H1200"/>
  <c r="I1200"/>
  <c r="L1200"/>
  <c r="M1200"/>
  <c r="N1200"/>
  <c r="P1200"/>
  <c r="R1200" s="1"/>
  <c r="AD1200"/>
  <c r="AE1200"/>
  <c r="AF1200"/>
  <c r="AG1200"/>
  <c r="B1201"/>
  <c r="C1201"/>
  <c r="G1201"/>
  <c r="H1201"/>
  <c r="I1201"/>
  <c r="L1201"/>
  <c r="M1201"/>
  <c r="N1201"/>
  <c r="P1201"/>
  <c r="R1201" s="1"/>
  <c r="AD1201"/>
  <c r="AE1201"/>
  <c r="AF1201"/>
  <c r="AG1201"/>
  <c r="B1175"/>
  <c r="C1175"/>
  <c r="G1175"/>
  <c r="H1175"/>
  <c r="I1175"/>
  <c r="L1175"/>
  <c r="M1175"/>
  <c r="N1175"/>
  <c r="P1175"/>
  <c r="R1175" s="1"/>
  <c r="AD1175"/>
  <c r="AE1175"/>
  <c r="AF1175"/>
  <c r="AG1175"/>
  <c r="B1176"/>
  <c r="C1176"/>
  <c r="G1176"/>
  <c r="H1176"/>
  <c r="I1176"/>
  <c r="L1176"/>
  <c r="M1176"/>
  <c r="N1176"/>
  <c r="P1176"/>
  <c r="R1176" s="1"/>
  <c r="AD1176"/>
  <c r="AE1176"/>
  <c r="AF1176"/>
  <c r="AG1176"/>
  <c r="B1177"/>
  <c r="C1177"/>
  <c r="G1177"/>
  <c r="H1177"/>
  <c r="I1177"/>
  <c r="L1177"/>
  <c r="M1177"/>
  <c r="N1177"/>
  <c r="P1177"/>
  <c r="R1177" s="1"/>
  <c r="AD1177"/>
  <c r="AE1177"/>
  <c r="AF1177"/>
  <c r="AG1177"/>
  <c r="B1178"/>
  <c r="C1178"/>
  <c r="G1178"/>
  <c r="H1178"/>
  <c r="I1178"/>
  <c r="L1178"/>
  <c r="M1178"/>
  <c r="N1178"/>
  <c r="P1178"/>
  <c r="R1178" s="1"/>
  <c r="AD1178"/>
  <c r="AE1178"/>
  <c r="AF1178"/>
  <c r="AG1178"/>
  <c r="B1179"/>
  <c r="C1179"/>
  <c r="G1179"/>
  <c r="H1179"/>
  <c r="I1179"/>
  <c r="L1179"/>
  <c r="M1179"/>
  <c r="N1179"/>
  <c r="P1179"/>
  <c r="R1179" s="1"/>
  <c r="AD1179"/>
  <c r="AE1179"/>
  <c r="AF1179"/>
  <c r="AG1179"/>
  <c r="B1180"/>
  <c r="C1180"/>
  <c r="G1180"/>
  <c r="H1180"/>
  <c r="I1180"/>
  <c r="L1180"/>
  <c r="M1180"/>
  <c r="N1180"/>
  <c r="P1180"/>
  <c r="R1180" s="1"/>
  <c r="AD1180"/>
  <c r="AE1180"/>
  <c r="AF1180"/>
  <c r="AG1180"/>
  <c r="B1181"/>
  <c r="C1181"/>
  <c r="G1181"/>
  <c r="H1181"/>
  <c r="I1181"/>
  <c r="L1181"/>
  <c r="M1181"/>
  <c r="N1181"/>
  <c r="P1181"/>
  <c r="R1181" s="1"/>
  <c r="AD1181"/>
  <c r="AE1181"/>
  <c r="AF1181"/>
  <c r="AG1181"/>
  <c r="B1182"/>
  <c r="C1182"/>
  <c r="G1182"/>
  <c r="H1182"/>
  <c r="I1182"/>
  <c r="L1182"/>
  <c r="M1182"/>
  <c r="N1182"/>
  <c r="P1182"/>
  <c r="R1182" s="1"/>
  <c r="AD1182"/>
  <c r="AE1182"/>
  <c r="AF1182"/>
  <c r="AG1182"/>
  <c r="B1183"/>
  <c r="C1183"/>
  <c r="G1183"/>
  <c r="H1183"/>
  <c r="I1183"/>
  <c r="L1183"/>
  <c r="M1183"/>
  <c r="N1183"/>
  <c r="P1183"/>
  <c r="R1183" s="1"/>
  <c r="AD1183"/>
  <c r="AE1183"/>
  <c r="AF1183"/>
  <c r="AG1183"/>
  <c r="B1184"/>
  <c r="C1184"/>
  <c r="G1184"/>
  <c r="H1184"/>
  <c r="I1184"/>
  <c r="L1184"/>
  <c r="M1184"/>
  <c r="N1184"/>
  <c r="P1184"/>
  <c r="R1184" s="1"/>
  <c r="AD1184"/>
  <c r="AE1184"/>
  <c r="AF1184"/>
  <c r="AG1184"/>
  <c r="B1185"/>
  <c r="C1185"/>
  <c r="G1185"/>
  <c r="H1185"/>
  <c r="I1185"/>
  <c r="L1185"/>
  <c r="M1185"/>
  <c r="N1185"/>
  <c r="P1185"/>
  <c r="R1185" s="1"/>
  <c r="AD1185"/>
  <c r="AE1185"/>
  <c r="AF1185"/>
  <c r="AG1185"/>
  <c r="P1146"/>
  <c r="L1146"/>
  <c r="B1094"/>
  <c r="C1094"/>
  <c r="G1094"/>
  <c r="I1094"/>
  <c r="M1094"/>
  <c r="N1094"/>
  <c r="R1094"/>
  <c r="AD1094"/>
  <c r="AE1094"/>
  <c r="AF1094"/>
  <c r="AG1094"/>
  <c r="B1095"/>
  <c r="C1095"/>
  <c r="G1095"/>
  <c r="H1095"/>
  <c r="I1095"/>
  <c r="L1095"/>
  <c r="M1095"/>
  <c r="N1095"/>
  <c r="P1095"/>
  <c r="R1095" s="1"/>
  <c r="AD1095"/>
  <c r="AE1095"/>
  <c r="AF1095"/>
  <c r="AG1095"/>
  <c r="B1096"/>
  <c r="C1096"/>
  <c r="G1096"/>
  <c r="H1096"/>
  <c r="I1096"/>
  <c r="L1096"/>
  <c r="M1096"/>
  <c r="N1096"/>
  <c r="P1096"/>
  <c r="R1096" s="1"/>
  <c r="AD1096"/>
  <c r="AE1096"/>
  <c r="AF1096"/>
  <c r="AG1096"/>
  <c r="B1097"/>
  <c r="C1097"/>
  <c r="G1097"/>
  <c r="H1097"/>
  <c r="I1097"/>
  <c r="L1097"/>
  <c r="M1097"/>
  <c r="N1097"/>
  <c r="P1097"/>
  <c r="R1097" s="1"/>
  <c r="AD1097"/>
  <c r="AE1097"/>
  <c r="AF1097"/>
  <c r="AG1097"/>
  <c r="P1036"/>
  <c r="L1036"/>
  <c r="P1034"/>
  <c r="L1034"/>
  <c r="B1033"/>
  <c r="C1033"/>
  <c r="G1033"/>
  <c r="H1033"/>
  <c r="I1033"/>
  <c r="L1033"/>
  <c r="M1033"/>
  <c r="N1033"/>
  <c r="P1033"/>
  <c r="R1033" s="1"/>
  <c r="AD1033"/>
  <c r="AE1033"/>
  <c r="AF1033"/>
  <c r="AG1033"/>
  <c r="P998"/>
  <c r="L998"/>
  <c r="P995"/>
  <c r="L995"/>
  <c r="P968"/>
  <c r="L968"/>
  <c r="P921"/>
  <c r="P907"/>
  <c r="L907"/>
  <c r="B877"/>
  <c r="C877"/>
  <c r="G877"/>
  <c r="I877"/>
  <c r="M877"/>
  <c r="N877"/>
  <c r="R877"/>
  <c r="AD877"/>
  <c r="AE877"/>
  <c r="AF877"/>
  <c r="AG877"/>
  <c r="B878"/>
  <c r="C878"/>
  <c r="G878"/>
  <c r="I878"/>
  <c r="M878"/>
  <c r="N878"/>
  <c r="R878"/>
  <c r="AD878"/>
  <c r="AE878"/>
  <c r="AF878"/>
  <c r="AG878"/>
  <c r="B879"/>
  <c r="C879"/>
  <c r="G879"/>
  <c r="I879"/>
  <c r="L879"/>
  <c r="M879"/>
  <c r="N879"/>
  <c r="R879"/>
  <c r="AD879"/>
  <c r="AE879"/>
  <c r="AF879"/>
  <c r="AG879"/>
  <c r="B880"/>
  <c r="C880"/>
  <c r="G880"/>
  <c r="H880"/>
  <c r="I880"/>
  <c r="L880"/>
  <c r="M880"/>
  <c r="N880"/>
  <c r="R880"/>
  <c r="AD880"/>
  <c r="AE880"/>
  <c r="AF880"/>
  <c r="AG880"/>
  <c r="B881"/>
  <c r="C881"/>
  <c r="G881"/>
  <c r="H881"/>
  <c r="I881"/>
  <c r="L881"/>
  <c r="M881"/>
  <c r="N881"/>
  <c r="P881"/>
  <c r="R881" s="1"/>
  <c r="AD881"/>
  <c r="AE881"/>
  <c r="AF881"/>
  <c r="AG881"/>
  <c r="B882"/>
  <c r="C882"/>
  <c r="G882"/>
  <c r="H882"/>
  <c r="I882"/>
  <c r="L882"/>
  <c r="M882"/>
  <c r="N882"/>
  <c r="P882"/>
  <c r="R882" s="1"/>
  <c r="AD882"/>
  <c r="AE882"/>
  <c r="AF882"/>
  <c r="AG882"/>
  <c r="B883"/>
  <c r="C883"/>
  <c r="G883"/>
  <c r="H883"/>
  <c r="I883"/>
  <c r="L883"/>
  <c r="M883"/>
  <c r="N883"/>
  <c r="P883"/>
  <c r="R883" s="1"/>
  <c r="AD883"/>
  <c r="AE883"/>
  <c r="AF883"/>
  <c r="AG883"/>
  <c r="B884"/>
  <c r="C884"/>
  <c r="G884"/>
  <c r="H884"/>
  <c r="I884"/>
  <c r="L884"/>
  <c r="M884"/>
  <c r="N884"/>
  <c r="P884"/>
  <c r="R884" s="1"/>
  <c r="AD884"/>
  <c r="AE884"/>
  <c r="AF884"/>
  <c r="AG884"/>
  <c r="B885"/>
  <c r="C885"/>
  <c r="G885"/>
  <c r="H885"/>
  <c r="I885"/>
  <c r="L885"/>
  <c r="M885"/>
  <c r="N885"/>
  <c r="P885"/>
  <c r="R885" s="1"/>
  <c r="AD885"/>
  <c r="AE885"/>
  <c r="AF885"/>
  <c r="AG885"/>
  <c r="B886"/>
  <c r="C886"/>
  <c r="G886"/>
  <c r="H886"/>
  <c r="I886"/>
  <c r="L886"/>
  <c r="M886"/>
  <c r="N886"/>
  <c r="P886"/>
  <c r="R886" s="1"/>
  <c r="AD886"/>
  <c r="AE886"/>
  <c r="AF886"/>
  <c r="AG886"/>
  <c r="B887"/>
  <c r="C887"/>
  <c r="G887"/>
  <c r="H887"/>
  <c r="I887"/>
  <c r="L887"/>
  <c r="M887"/>
  <c r="N887"/>
  <c r="P887"/>
  <c r="R887" s="1"/>
  <c r="AD887"/>
  <c r="AE887"/>
  <c r="AF887"/>
  <c r="AG887"/>
  <c r="B888"/>
  <c r="C888"/>
  <c r="G888"/>
  <c r="H888"/>
  <c r="I888"/>
  <c r="L888"/>
  <c r="M888"/>
  <c r="N888"/>
  <c r="P888"/>
  <c r="R888" s="1"/>
  <c r="AD888"/>
  <c r="AE888"/>
  <c r="AF888"/>
  <c r="AG888"/>
  <c r="B889"/>
  <c r="C889"/>
  <c r="G889"/>
  <c r="H889"/>
  <c r="I889"/>
  <c r="L889"/>
  <c r="M889"/>
  <c r="N889"/>
  <c r="P889"/>
  <c r="R889" s="1"/>
  <c r="AD889"/>
  <c r="AE889"/>
  <c r="AF889"/>
  <c r="AG889"/>
  <c r="P790"/>
  <c r="L790"/>
  <c r="P788"/>
  <c r="L788"/>
  <c r="B776"/>
  <c r="C776"/>
  <c r="G776"/>
  <c r="I776"/>
  <c r="M776"/>
  <c r="N776"/>
  <c r="R776"/>
  <c r="AD776"/>
  <c r="AE776"/>
  <c r="AF776"/>
  <c r="AG776"/>
  <c r="B777"/>
  <c r="C777"/>
  <c r="G777"/>
  <c r="H777"/>
  <c r="I777"/>
  <c r="L777"/>
  <c r="M777"/>
  <c r="N777"/>
  <c r="P777"/>
  <c r="R777" s="1"/>
  <c r="AD777"/>
  <c r="AE777"/>
  <c r="AF777"/>
  <c r="AG777"/>
  <c r="P703"/>
  <c r="L703"/>
  <c r="I700"/>
  <c r="P700"/>
  <c r="R700" s="1"/>
  <c r="L700"/>
  <c r="B680"/>
  <c r="C680"/>
  <c r="G680"/>
  <c r="I680"/>
  <c r="M680"/>
  <c r="N680"/>
  <c r="R680"/>
  <c r="AD680"/>
  <c r="AE680"/>
  <c r="AF680"/>
  <c r="AG680"/>
  <c r="B681"/>
  <c r="C681"/>
  <c r="G681"/>
  <c r="H681"/>
  <c r="I681"/>
  <c r="L681"/>
  <c r="M681"/>
  <c r="N681"/>
  <c r="R681"/>
  <c r="AD681"/>
  <c r="AE681"/>
  <c r="AF681"/>
  <c r="AG681"/>
  <c r="B539"/>
  <c r="C539"/>
  <c r="G539"/>
  <c r="I539"/>
  <c r="M539"/>
  <c r="N539"/>
  <c r="R539"/>
  <c r="AD539"/>
  <c r="AE539"/>
  <c r="AF539"/>
  <c r="AG539"/>
  <c r="B540"/>
  <c r="C540"/>
  <c r="G540"/>
  <c r="H540"/>
  <c r="I540"/>
  <c r="L540"/>
  <c r="M540"/>
  <c r="N540"/>
  <c r="P540"/>
  <c r="R540" s="1"/>
  <c r="AD540"/>
  <c r="AE540"/>
  <c r="AF540"/>
  <c r="AG540"/>
  <c r="B541"/>
  <c r="C541"/>
  <c r="G541"/>
  <c r="H541"/>
  <c r="I541"/>
  <c r="L541"/>
  <c r="M541"/>
  <c r="N541"/>
  <c r="P541"/>
  <c r="R541" s="1"/>
  <c r="AD541"/>
  <c r="AE541"/>
  <c r="AF541"/>
  <c r="AG541"/>
  <c r="B542"/>
  <c r="C542"/>
  <c r="G542"/>
  <c r="H542"/>
  <c r="I542"/>
  <c r="L542"/>
  <c r="M542"/>
  <c r="N542"/>
  <c r="P542"/>
  <c r="R542" s="1"/>
  <c r="AD542"/>
  <c r="AE542"/>
  <c r="AF542"/>
  <c r="AG542"/>
  <c r="B543"/>
  <c r="C543"/>
  <c r="G543"/>
  <c r="H543"/>
  <c r="I543"/>
  <c r="L543"/>
  <c r="M543"/>
  <c r="N543"/>
  <c r="P543"/>
  <c r="R543" s="1"/>
  <c r="AD543"/>
  <c r="AE543"/>
  <c r="AF543"/>
  <c r="AG543"/>
  <c r="B544"/>
  <c r="C544"/>
  <c r="G544"/>
  <c r="H544"/>
  <c r="I544"/>
  <c r="L544"/>
  <c r="M544"/>
  <c r="N544"/>
  <c r="P544"/>
  <c r="R544" s="1"/>
  <c r="AD544"/>
  <c r="AE544"/>
  <c r="AF544"/>
  <c r="AG544"/>
  <c r="B545"/>
  <c r="C545"/>
  <c r="G545"/>
  <c r="H545"/>
  <c r="I545"/>
  <c r="L545"/>
  <c r="M545"/>
  <c r="N545"/>
  <c r="P545"/>
  <c r="R545" s="1"/>
  <c r="AD545"/>
  <c r="AE545"/>
  <c r="AF545"/>
  <c r="AG545"/>
  <c r="P509"/>
  <c r="L509"/>
  <c r="P505"/>
  <c r="P504"/>
  <c r="H504"/>
  <c r="P502"/>
  <c r="L502"/>
  <c r="I502"/>
  <c r="H502"/>
  <c r="B465"/>
  <c r="C465"/>
  <c r="G465"/>
  <c r="H465"/>
  <c r="I465"/>
  <c r="L465"/>
  <c r="M465"/>
  <c r="N465"/>
  <c r="P465"/>
  <c r="R465" s="1"/>
  <c r="AD465"/>
  <c r="AE465"/>
  <c r="AF465"/>
  <c r="AG465"/>
  <c r="L448"/>
  <c r="P448"/>
  <c r="P453"/>
  <c r="L453"/>
  <c r="P442"/>
  <c r="L442"/>
  <c r="B370"/>
  <c r="B371"/>
  <c r="B372"/>
  <c r="B373"/>
  <c r="C370"/>
  <c r="C371"/>
  <c r="C372"/>
  <c r="C373"/>
  <c r="G370"/>
  <c r="G371"/>
  <c r="G372"/>
  <c r="G373"/>
  <c r="H371"/>
  <c r="H372"/>
  <c r="H373"/>
  <c r="I370"/>
  <c r="I371"/>
  <c r="I372"/>
  <c r="I373"/>
  <c r="L371"/>
  <c r="L372"/>
  <c r="L373"/>
  <c r="M370"/>
  <c r="M371"/>
  <c r="M372"/>
  <c r="M373"/>
  <c r="N370"/>
  <c r="N371"/>
  <c r="N372"/>
  <c r="N373"/>
  <c r="R370"/>
  <c r="R371"/>
  <c r="P372"/>
  <c r="R372" s="1"/>
  <c r="P373"/>
  <c r="R373" s="1"/>
  <c r="AD370"/>
  <c r="AD371"/>
  <c r="AD372"/>
  <c r="AD373"/>
  <c r="AE370"/>
  <c r="AE371"/>
  <c r="AE372"/>
  <c r="AE373"/>
  <c r="AF370"/>
  <c r="AF371"/>
  <c r="AF372"/>
  <c r="AF373"/>
  <c r="AG370"/>
  <c r="AG371"/>
  <c r="AG372"/>
  <c r="AG373"/>
  <c r="B374"/>
  <c r="B375"/>
  <c r="C374"/>
  <c r="C375"/>
  <c r="G374"/>
  <c r="G375"/>
  <c r="H374"/>
  <c r="H375"/>
  <c r="I374"/>
  <c r="I375"/>
  <c r="L374"/>
  <c r="L375"/>
  <c r="M374"/>
  <c r="M375"/>
  <c r="N374"/>
  <c r="N375"/>
  <c r="P374"/>
  <c r="R374" s="1"/>
  <c r="P375"/>
  <c r="R375" s="1"/>
  <c r="AD374"/>
  <c r="AD375"/>
  <c r="AE374"/>
  <c r="AE375"/>
  <c r="AF374"/>
  <c r="AF375"/>
  <c r="AG374"/>
  <c r="AG375"/>
  <c r="B376"/>
  <c r="C376"/>
  <c r="G376"/>
  <c r="H376"/>
  <c r="I376"/>
  <c r="L376"/>
  <c r="M376"/>
  <c r="N376"/>
  <c r="P376"/>
  <c r="R376" s="1"/>
  <c r="AD376"/>
  <c r="AE376"/>
  <c r="AF376"/>
  <c r="AG376"/>
  <c r="B377"/>
  <c r="C377"/>
  <c r="G377"/>
  <c r="H377"/>
  <c r="I377"/>
  <c r="L377"/>
  <c r="M377"/>
  <c r="N377"/>
  <c r="P377"/>
  <c r="R377" s="1"/>
  <c r="AD377"/>
  <c r="AE377"/>
  <c r="AF377"/>
  <c r="AG377"/>
  <c r="P335"/>
  <c r="L335"/>
  <c r="H332"/>
  <c r="H331"/>
  <c r="L332"/>
  <c r="P332"/>
  <c r="P331"/>
  <c r="L331"/>
  <c r="P307"/>
  <c r="L307"/>
  <c r="H288"/>
  <c r="L288"/>
  <c r="P288"/>
  <c r="P287"/>
  <c r="L287"/>
  <c r="H287"/>
  <c r="B250"/>
  <c r="C250"/>
  <c r="G250"/>
  <c r="H250"/>
  <c r="I250"/>
  <c r="M250"/>
  <c r="N250"/>
  <c r="R250"/>
  <c r="AD250"/>
  <c r="AE250"/>
  <c r="AF250"/>
  <c r="AG250"/>
  <c r="B249"/>
  <c r="C249"/>
  <c r="G249"/>
  <c r="H249"/>
  <c r="I249"/>
  <c r="M249"/>
  <c r="N249"/>
  <c r="R249"/>
  <c r="AD249"/>
  <c r="AE249"/>
  <c r="AF249"/>
  <c r="AG249"/>
  <c r="P217"/>
  <c r="B198"/>
  <c r="C198"/>
  <c r="G198"/>
  <c r="I198"/>
  <c r="M198"/>
  <c r="N198"/>
  <c r="R198"/>
  <c r="AD198"/>
  <c r="AE198"/>
  <c r="AF198"/>
  <c r="AG198"/>
  <c r="B199"/>
  <c r="C199"/>
  <c r="G199"/>
  <c r="H199"/>
  <c r="I199"/>
  <c r="L199"/>
  <c r="M199"/>
  <c r="N199"/>
  <c r="P199"/>
  <c r="R199" s="1"/>
  <c r="AD199"/>
  <c r="AE199"/>
  <c r="AF199"/>
  <c r="AG199"/>
  <c r="B200"/>
  <c r="C200"/>
  <c r="G200"/>
  <c r="H200"/>
  <c r="I200"/>
  <c r="L200"/>
  <c r="M200"/>
  <c r="N200"/>
  <c r="P200"/>
  <c r="R200" s="1"/>
  <c r="AD200"/>
  <c r="AE200"/>
  <c r="AF200"/>
  <c r="AG200"/>
  <c r="B201"/>
  <c r="C201"/>
  <c r="G201"/>
  <c r="H201"/>
  <c r="I201"/>
  <c r="L201"/>
  <c r="M201"/>
  <c r="N201"/>
  <c r="P201"/>
  <c r="R201" s="1"/>
  <c r="AD201"/>
  <c r="AE201"/>
  <c r="AF201"/>
  <c r="AG201"/>
  <c r="P152"/>
  <c r="L152"/>
  <c r="H152"/>
  <c r="L140"/>
  <c r="L83"/>
  <c r="L89"/>
  <c r="B114"/>
  <c r="B115"/>
  <c r="B116"/>
  <c r="B117"/>
  <c r="B118"/>
  <c r="B119"/>
  <c r="B120"/>
  <c r="B121"/>
  <c r="C114"/>
  <c r="C115"/>
  <c r="C116"/>
  <c r="C117"/>
  <c r="C118"/>
  <c r="C119"/>
  <c r="C120"/>
  <c r="C121"/>
  <c r="G114"/>
  <c r="G115"/>
  <c r="G116"/>
  <c r="G117"/>
  <c r="G118"/>
  <c r="G119"/>
  <c r="G120"/>
  <c r="G121"/>
  <c r="H114"/>
  <c r="H115"/>
  <c r="H116"/>
  <c r="H117"/>
  <c r="H118"/>
  <c r="H119"/>
  <c r="H120"/>
  <c r="H121"/>
  <c r="I114"/>
  <c r="I115"/>
  <c r="I116"/>
  <c r="I117"/>
  <c r="I118"/>
  <c r="I119"/>
  <c r="I120"/>
  <c r="I121"/>
  <c r="L114"/>
  <c r="L115"/>
  <c r="L116"/>
  <c r="L117"/>
  <c r="L118"/>
  <c r="L119"/>
  <c r="L120"/>
  <c r="L121"/>
  <c r="M114"/>
  <c r="M115"/>
  <c r="M116"/>
  <c r="M117"/>
  <c r="M118"/>
  <c r="M119"/>
  <c r="M120"/>
  <c r="M121"/>
  <c r="N114"/>
  <c r="N115"/>
  <c r="N116"/>
  <c r="N117"/>
  <c r="N118"/>
  <c r="N119"/>
  <c r="N120"/>
  <c r="N121"/>
  <c r="P114"/>
  <c r="R114" s="1"/>
  <c r="P115"/>
  <c r="R115" s="1"/>
  <c r="P116"/>
  <c r="R116" s="1"/>
  <c r="P117"/>
  <c r="R117" s="1"/>
  <c r="P118"/>
  <c r="R118" s="1"/>
  <c r="P119"/>
  <c r="R119" s="1"/>
  <c r="P120"/>
  <c r="R120" s="1"/>
  <c r="P121"/>
  <c r="R121" s="1"/>
  <c r="AD114"/>
  <c r="AD115"/>
  <c r="AD116"/>
  <c r="AD117"/>
  <c r="AD118"/>
  <c r="AD119"/>
  <c r="AD120"/>
  <c r="AD121"/>
  <c r="AE114"/>
  <c r="AE115"/>
  <c r="AE116"/>
  <c r="AE117"/>
  <c r="AE118"/>
  <c r="AE119"/>
  <c r="AE120"/>
  <c r="AE121"/>
  <c r="AF114"/>
  <c r="AF115"/>
  <c r="AF116"/>
  <c r="AF117"/>
  <c r="AF118"/>
  <c r="AF119"/>
  <c r="AF120"/>
  <c r="AF121"/>
  <c r="AG114"/>
  <c r="AG115"/>
  <c r="AG116"/>
  <c r="AG117"/>
  <c r="AG118"/>
  <c r="AG119"/>
  <c r="AG120"/>
  <c r="AG121"/>
  <c r="B122"/>
  <c r="B123"/>
  <c r="B124"/>
  <c r="B125"/>
  <c r="B126"/>
  <c r="B127"/>
  <c r="B128"/>
  <c r="B129"/>
  <c r="C122"/>
  <c r="C123"/>
  <c r="C124"/>
  <c r="C125"/>
  <c r="C126"/>
  <c r="C127"/>
  <c r="C128"/>
  <c r="C129"/>
  <c r="G122"/>
  <c r="G123"/>
  <c r="G124"/>
  <c r="G125"/>
  <c r="G126"/>
  <c r="G127"/>
  <c r="G128"/>
  <c r="G129"/>
  <c r="H122"/>
  <c r="H123"/>
  <c r="H124"/>
  <c r="H125"/>
  <c r="H126"/>
  <c r="H127"/>
  <c r="H128"/>
  <c r="H129"/>
  <c r="I122"/>
  <c r="I123"/>
  <c r="I124"/>
  <c r="I125"/>
  <c r="I126"/>
  <c r="I127"/>
  <c r="I128"/>
  <c r="I129"/>
  <c r="L122"/>
  <c r="L123"/>
  <c r="L124"/>
  <c r="L125"/>
  <c r="L126"/>
  <c r="L127"/>
  <c r="L128"/>
  <c r="L129"/>
  <c r="M122"/>
  <c r="M123"/>
  <c r="M124"/>
  <c r="M125"/>
  <c r="M126"/>
  <c r="M127"/>
  <c r="M128"/>
  <c r="M129"/>
  <c r="N122"/>
  <c r="N123"/>
  <c r="N124"/>
  <c r="N125"/>
  <c r="N126"/>
  <c r="N127"/>
  <c r="N128"/>
  <c r="N129"/>
  <c r="P122"/>
  <c r="R122" s="1"/>
  <c r="P123"/>
  <c r="R123" s="1"/>
  <c r="P124"/>
  <c r="R124" s="1"/>
  <c r="P125"/>
  <c r="R125" s="1"/>
  <c r="P126"/>
  <c r="R126" s="1"/>
  <c r="P127"/>
  <c r="R127" s="1"/>
  <c r="P128"/>
  <c r="R128" s="1"/>
  <c r="P129"/>
  <c r="R129" s="1"/>
  <c r="AD122"/>
  <c r="AD123"/>
  <c r="AD124"/>
  <c r="AD125"/>
  <c r="AD126"/>
  <c r="AD127"/>
  <c r="AD128"/>
  <c r="AD129"/>
  <c r="AE122"/>
  <c r="AE123"/>
  <c r="AE124"/>
  <c r="AE125"/>
  <c r="AE126"/>
  <c r="AE127"/>
  <c r="AE128"/>
  <c r="AE129"/>
  <c r="AF122"/>
  <c r="AF123"/>
  <c r="AF124"/>
  <c r="AF125"/>
  <c r="AF126"/>
  <c r="AF127"/>
  <c r="AF128"/>
  <c r="AF129"/>
  <c r="AG122"/>
  <c r="AG123"/>
  <c r="AG124"/>
  <c r="AG125"/>
  <c r="AG126"/>
  <c r="AG127"/>
  <c r="AG128"/>
  <c r="AG129"/>
  <c r="B130"/>
  <c r="B131"/>
  <c r="B132"/>
  <c r="B133"/>
  <c r="C130"/>
  <c r="C131"/>
  <c r="C132"/>
  <c r="C133"/>
  <c r="G130"/>
  <c r="G131"/>
  <c r="G132"/>
  <c r="G133"/>
  <c r="H130"/>
  <c r="H131"/>
  <c r="H132"/>
  <c r="H133"/>
  <c r="I130"/>
  <c r="I131"/>
  <c r="I132"/>
  <c r="I133"/>
  <c r="L130"/>
  <c r="L131"/>
  <c r="L132"/>
  <c r="L133"/>
  <c r="M130"/>
  <c r="M131"/>
  <c r="M132"/>
  <c r="M133"/>
  <c r="N130"/>
  <c r="N131"/>
  <c r="N132"/>
  <c r="N133"/>
  <c r="R130"/>
  <c r="R131"/>
  <c r="R132"/>
  <c r="R133"/>
  <c r="AD130"/>
  <c r="AD131"/>
  <c r="AD132"/>
  <c r="AD133"/>
  <c r="AE130"/>
  <c r="AE131"/>
  <c r="AE132"/>
  <c r="AE133"/>
  <c r="AF130"/>
  <c r="AF131"/>
  <c r="AF132"/>
  <c r="AF133"/>
  <c r="AG130"/>
  <c r="AG131"/>
  <c r="AG132"/>
  <c r="AG133"/>
  <c r="B134"/>
  <c r="B135"/>
  <c r="C134"/>
  <c r="C135"/>
  <c r="G134"/>
  <c r="G135"/>
  <c r="H134"/>
  <c r="H135"/>
  <c r="I134"/>
  <c r="I135"/>
  <c r="L134"/>
  <c r="L135"/>
  <c r="M134"/>
  <c r="M135"/>
  <c r="N134"/>
  <c r="N135"/>
  <c r="P134"/>
  <c r="R134" s="1"/>
  <c r="P135"/>
  <c r="R135" s="1"/>
  <c r="AD134"/>
  <c r="AD135"/>
  <c r="AE134"/>
  <c r="AE135"/>
  <c r="AF134"/>
  <c r="AF135"/>
  <c r="AG134"/>
  <c r="AG135"/>
  <c r="B136"/>
  <c r="C136"/>
  <c r="G136"/>
  <c r="H136"/>
  <c r="I136"/>
  <c r="L136"/>
  <c r="M136"/>
  <c r="N136"/>
  <c r="P136"/>
  <c r="R136" s="1"/>
  <c r="AD136"/>
  <c r="AE136"/>
  <c r="AF136"/>
  <c r="AG136"/>
  <c r="B137"/>
  <c r="C137"/>
  <c r="G137"/>
  <c r="H137"/>
  <c r="I137"/>
  <c r="L137"/>
  <c r="M137"/>
  <c r="N137"/>
  <c r="P137"/>
  <c r="R137" s="1"/>
  <c r="AD137"/>
  <c r="AE137"/>
  <c r="AF137"/>
  <c r="AG137"/>
  <c r="AI1226" l="1"/>
  <c r="AL1226" s="1"/>
  <c r="AM1226" s="1"/>
  <c r="AN1226" s="1"/>
  <c r="AK1227"/>
  <c r="AL1227"/>
  <c r="AJ1227" a="1"/>
  <c r="AJ1227" s="1"/>
  <c r="AI1178"/>
  <c r="AK1178" s="1"/>
  <c r="AI882"/>
  <c r="AK882" s="1"/>
  <c r="AI370"/>
  <c r="AK370" s="1"/>
  <c r="AI250"/>
  <c r="AK250" s="1"/>
  <c r="AI130"/>
  <c r="AK130" s="1"/>
  <c r="AI122"/>
  <c r="AK122" s="1"/>
  <c r="AI114"/>
  <c r="AK114" s="1"/>
  <c r="AI1187"/>
  <c r="AK1187" s="1"/>
  <c r="AI1179"/>
  <c r="AK1179" s="1"/>
  <c r="AI883"/>
  <c r="AK883" s="1"/>
  <c r="AI539"/>
  <c r="AK539" s="1"/>
  <c r="AI371"/>
  <c r="AK371" s="1"/>
  <c r="AI131"/>
  <c r="AK131" s="1"/>
  <c r="AI123"/>
  <c r="AK123" s="1"/>
  <c r="AI115"/>
  <c r="AK115" s="1"/>
  <c r="AI1324"/>
  <c r="AK1324" s="1"/>
  <c r="AI1228"/>
  <c r="AK1228" s="1"/>
  <c r="AI1212"/>
  <c r="AK1212" s="1"/>
  <c r="AI1188"/>
  <c r="AK1188" s="1"/>
  <c r="AI1180"/>
  <c r="AK1180" s="1"/>
  <c r="AI884"/>
  <c r="AK884" s="1"/>
  <c r="AI540"/>
  <c r="AK540" s="1"/>
  <c r="AI372"/>
  <c r="AK372" s="1"/>
  <c r="AI132"/>
  <c r="AK132" s="1"/>
  <c r="AI124"/>
  <c r="AK124" s="1"/>
  <c r="AI116"/>
  <c r="AK116" s="1"/>
  <c r="AI1389"/>
  <c r="AK1389" s="1"/>
  <c r="AI1325"/>
  <c r="AK1325" s="1"/>
  <c r="AI1229"/>
  <c r="AK1229" s="1"/>
  <c r="AI1213"/>
  <c r="AK1213" s="1"/>
  <c r="AI1197"/>
  <c r="AK1197" s="1"/>
  <c r="AI1189"/>
  <c r="AK1189" s="1"/>
  <c r="AI1181"/>
  <c r="AK1181" s="1"/>
  <c r="AI885"/>
  <c r="AK885" s="1"/>
  <c r="AI877"/>
  <c r="AK877" s="1"/>
  <c r="AI541"/>
  <c r="AK541" s="1"/>
  <c r="AI373"/>
  <c r="AK373" s="1"/>
  <c r="AI133"/>
  <c r="AK133" s="1"/>
  <c r="AI125"/>
  <c r="AK125" s="1"/>
  <c r="AI117"/>
  <c r="AK117" s="1"/>
  <c r="AI1390"/>
  <c r="AK1390" s="1"/>
  <c r="AI1326"/>
  <c r="AK1326" s="1"/>
  <c r="AI1230"/>
  <c r="AK1230" s="1"/>
  <c r="AI1214"/>
  <c r="AK1214" s="1"/>
  <c r="AI1206"/>
  <c r="AK1206" s="1"/>
  <c r="AI1198"/>
  <c r="AK1198" s="1"/>
  <c r="AI1190"/>
  <c r="AK1190" s="1"/>
  <c r="AI1182"/>
  <c r="AK1182" s="1"/>
  <c r="AI1094"/>
  <c r="AK1094" s="1"/>
  <c r="AI886"/>
  <c r="AK886" s="1"/>
  <c r="AI878"/>
  <c r="AK878" s="1"/>
  <c r="AI542"/>
  <c r="AK542" s="1"/>
  <c r="AI374"/>
  <c r="AK374" s="1"/>
  <c r="AI198"/>
  <c r="AK198" s="1"/>
  <c r="AI134"/>
  <c r="AK134" s="1"/>
  <c r="AI126"/>
  <c r="AK126" s="1"/>
  <c r="AI118"/>
  <c r="AK118" s="1"/>
  <c r="AI1391"/>
  <c r="AK1391" s="1"/>
  <c r="AI1327"/>
  <c r="AK1327" s="1"/>
  <c r="AI1231"/>
  <c r="AK1231" s="1"/>
  <c r="AI1223"/>
  <c r="AK1223" s="1"/>
  <c r="AI1215"/>
  <c r="AK1215" s="1"/>
  <c r="AI1207"/>
  <c r="AK1207" s="1"/>
  <c r="AI1199"/>
  <c r="AK1199" s="1"/>
  <c r="AI1191"/>
  <c r="AK1191" s="1"/>
  <c r="AI1183"/>
  <c r="AK1183" s="1"/>
  <c r="AI1175"/>
  <c r="AK1175" s="1"/>
  <c r="AI1095"/>
  <c r="AK1095" s="1"/>
  <c r="AI887"/>
  <c r="AK887" s="1"/>
  <c r="AI879"/>
  <c r="AK879" s="1"/>
  <c r="AI543"/>
  <c r="AK543" s="1"/>
  <c r="AI375"/>
  <c r="AK375" s="1"/>
  <c r="AI199"/>
  <c r="AK199" s="1"/>
  <c r="AI135"/>
  <c r="AK135" s="1"/>
  <c r="AI127"/>
  <c r="AK127" s="1"/>
  <c r="AI119"/>
  <c r="AK119" s="1"/>
  <c r="AI1392"/>
  <c r="AK1392" s="1"/>
  <c r="AI1328"/>
  <c r="AK1328" s="1"/>
  <c r="AI1232"/>
  <c r="AK1232" s="1"/>
  <c r="AI1224"/>
  <c r="AK1224" s="1"/>
  <c r="AI1216"/>
  <c r="AK1216" s="1"/>
  <c r="AI1208"/>
  <c r="AK1208" s="1"/>
  <c r="AI1200"/>
  <c r="AK1200" s="1"/>
  <c r="AI1192"/>
  <c r="AK1192" s="1"/>
  <c r="AI1184"/>
  <c r="AK1184" s="1"/>
  <c r="AI1176"/>
  <c r="AK1176" s="1"/>
  <c r="AI1096"/>
  <c r="AK1096" s="1"/>
  <c r="AI888"/>
  <c r="AK888" s="1"/>
  <c r="AI880"/>
  <c r="AK880" s="1"/>
  <c r="AI776"/>
  <c r="AK776" s="1"/>
  <c r="AI680"/>
  <c r="AK680" s="1"/>
  <c r="AI544"/>
  <c r="AK544" s="1"/>
  <c r="AI376"/>
  <c r="AK376" s="1"/>
  <c r="AI200"/>
  <c r="AK200" s="1"/>
  <c r="AI136"/>
  <c r="AK136" s="1"/>
  <c r="AI128"/>
  <c r="AK128" s="1"/>
  <c r="AI120"/>
  <c r="AK120" s="1"/>
  <c r="AI1417"/>
  <c r="AK1417" s="1"/>
  <c r="AI1393"/>
  <c r="AK1393" s="1"/>
  <c r="AI1329"/>
  <c r="AK1329" s="1"/>
  <c r="AI1233"/>
  <c r="AK1233" s="1"/>
  <c r="AI1225"/>
  <c r="AK1225" s="1"/>
  <c r="AI1217"/>
  <c r="AK1217" s="1"/>
  <c r="AI1201"/>
  <c r="AK1201" s="1"/>
  <c r="AI1193"/>
  <c r="AK1193" s="1"/>
  <c r="AI1185"/>
  <c r="AK1185" s="1"/>
  <c r="AI1177"/>
  <c r="AK1177" s="1"/>
  <c r="AI1097"/>
  <c r="AK1097" s="1"/>
  <c r="AI1033"/>
  <c r="AK1033" s="1"/>
  <c r="AI889"/>
  <c r="AK889" s="1"/>
  <c r="AI881"/>
  <c r="AK881" s="1"/>
  <c r="AI777"/>
  <c r="AK777" s="1"/>
  <c r="AI681"/>
  <c r="AK681" s="1"/>
  <c r="AI545"/>
  <c r="AK545" s="1"/>
  <c r="AI465"/>
  <c r="AK465" s="1"/>
  <c r="AI377"/>
  <c r="AK377" s="1"/>
  <c r="AI249"/>
  <c r="AK249" s="1"/>
  <c r="AI201"/>
  <c r="AK201" s="1"/>
  <c r="AI137"/>
  <c r="AK137" s="1"/>
  <c r="AI129"/>
  <c r="AK129" s="1"/>
  <c r="AI121"/>
  <c r="AK121" s="1"/>
  <c r="C2" i="50"/>
  <c r="Z1226" i="5" l="1"/>
  <c r="AK1226"/>
  <c r="AJ1226" a="1"/>
  <c r="AJ1226" s="1"/>
  <c r="AM1227"/>
  <c r="AN1227" s="1"/>
  <c r="Z1227"/>
  <c r="AL377"/>
  <c r="AL544"/>
  <c r="AL1192"/>
  <c r="AL119"/>
  <c r="AL1095"/>
  <c r="AL1231"/>
  <c r="AL542"/>
  <c r="AL1214"/>
  <c r="AL541"/>
  <c r="AL1325"/>
  <c r="AL1180"/>
  <c r="AL371"/>
  <c r="AL250"/>
  <c r="AL465"/>
  <c r="AL376"/>
  <c r="AL1184"/>
  <c r="AL1392"/>
  <c r="AL887"/>
  <c r="AL1223"/>
  <c r="AL374"/>
  <c r="AL1206"/>
  <c r="AL373"/>
  <c r="AL1229"/>
  <c r="AL884"/>
  <c r="AL131"/>
  <c r="AL130"/>
  <c r="AL1233"/>
  <c r="AL889"/>
  <c r="AL1225"/>
  <c r="AL200"/>
  <c r="AL1176"/>
  <c r="AL1328"/>
  <c r="AL879"/>
  <c r="AL1215"/>
  <c r="AL198"/>
  <c r="AL1198"/>
  <c r="AL133"/>
  <c r="AL1213"/>
  <c r="AL540"/>
  <c r="AL123"/>
  <c r="AL122"/>
  <c r="AL249"/>
  <c r="AL1217"/>
  <c r="AL136"/>
  <c r="AL1096"/>
  <c r="AL1232"/>
  <c r="AL543"/>
  <c r="AL1207"/>
  <c r="AL134"/>
  <c r="AL1190"/>
  <c r="AL125"/>
  <c r="AL1197"/>
  <c r="AL372"/>
  <c r="AL115"/>
  <c r="AL114"/>
  <c r="AL1177"/>
  <c r="AL1097"/>
  <c r="AL881"/>
  <c r="AL777"/>
  <c r="AL1201"/>
  <c r="AL128"/>
  <c r="AL888"/>
  <c r="AL1224"/>
  <c r="AL375"/>
  <c r="AL1199"/>
  <c r="AL126"/>
  <c r="AL1182"/>
  <c r="AL117"/>
  <c r="AL1189"/>
  <c r="AL132"/>
  <c r="AL1324"/>
  <c r="AL1187"/>
  <c r="AL1033"/>
  <c r="AL201"/>
  <c r="AL129"/>
  <c r="AL681"/>
  <c r="AL1193"/>
  <c r="AL120"/>
  <c r="AL880"/>
  <c r="AL1216"/>
  <c r="AL199"/>
  <c r="AL1191"/>
  <c r="AL118"/>
  <c r="AL1094"/>
  <c r="AL1390"/>
  <c r="AL1181"/>
  <c r="AL124"/>
  <c r="AL1228"/>
  <c r="AL1179"/>
  <c r="AL1178"/>
  <c r="AL1329"/>
  <c r="AL137"/>
  <c r="AL121"/>
  <c r="AL545"/>
  <c r="AL1185"/>
  <c r="AL1417"/>
  <c r="AL776"/>
  <c r="AL1208"/>
  <c r="AL135"/>
  <c r="AL1183"/>
  <c r="AL1391"/>
  <c r="AL886"/>
  <c r="AL1326"/>
  <c r="AL885"/>
  <c r="AL116"/>
  <c r="AL1212"/>
  <c r="AL883"/>
  <c r="AL882"/>
  <c r="AL1393"/>
  <c r="AL680"/>
  <c r="AL1200"/>
  <c r="AL127"/>
  <c r="AL1175"/>
  <c r="AL1327"/>
  <c r="AL878"/>
  <c r="AL1230"/>
  <c r="AL877"/>
  <c r="AL1389"/>
  <c r="AL1188"/>
  <c r="AL539"/>
  <c r="AL370"/>
  <c r="AJ1215" a="1"/>
  <c r="AJ1215" s="1"/>
  <c r="AJ1232" a="1"/>
  <c r="AJ1232" s="1"/>
  <c r="AJ1207" a="1"/>
  <c r="AJ1207" s="1"/>
  <c r="AJ134" a="1"/>
  <c r="AJ134" s="1"/>
  <c r="AJ1190" a="1"/>
  <c r="AJ1190" s="1"/>
  <c r="AJ125" a="1"/>
  <c r="AJ125" s="1"/>
  <c r="AJ1197" a="1"/>
  <c r="AJ1197" s="1"/>
  <c r="AJ372" a="1"/>
  <c r="AJ372" s="1"/>
  <c r="AJ115" a="1"/>
  <c r="AJ115" s="1"/>
  <c r="AJ114" a="1"/>
  <c r="AJ114" s="1"/>
  <c r="AJ201" a="1"/>
  <c r="AJ201" s="1"/>
  <c r="AJ889" a="1"/>
  <c r="AJ889" s="1"/>
  <c r="AJ200" a="1"/>
  <c r="AJ200" s="1"/>
  <c r="AJ1328" a="1"/>
  <c r="AJ1328" s="1"/>
  <c r="AJ1217" a="1"/>
  <c r="AJ1217" s="1"/>
  <c r="AJ777" a="1"/>
  <c r="AJ777" s="1"/>
  <c r="AJ1201" a="1"/>
  <c r="AJ1201" s="1"/>
  <c r="AJ128" a="1"/>
  <c r="AJ128" s="1"/>
  <c r="AJ888" a="1"/>
  <c r="AJ888" s="1"/>
  <c r="AJ1224" a="1"/>
  <c r="AJ1224" s="1"/>
  <c r="AJ375" a="1"/>
  <c r="AJ375" s="1"/>
  <c r="AJ1199" a="1"/>
  <c r="AJ1199" s="1"/>
  <c r="AJ126" a="1"/>
  <c r="AJ126" s="1"/>
  <c r="AJ1182" a="1"/>
  <c r="AJ1182" s="1"/>
  <c r="AJ117" a="1"/>
  <c r="AJ117" s="1"/>
  <c r="AJ1189" a="1"/>
  <c r="AJ1189" s="1"/>
  <c r="AJ132" a="1"/>
  <c r="AJ132" s="1"/>
  <c r="AJ1324" a="1"/>
  <c r="AJ1324" s="1"/>
  <c r="AJ1187" a="1"/>
  <c r="AJ1187" s="1"/>
  <c r="AJ1225" a="1"/>
  <c r="AJ1225" s="1"/>
  <c r="AJ1213" a="1"/>
  <c r="AJ1213" s="1"/>
  <c r="AJ137" a="1"/>
  <c r="AJ137" s="1"/>
  <c r="AJ881" a="1"/>
  <c r="AJ881" s="1"/>
  <c r="AJ136" a="1"/>
  <c r="AJ136" s="1"/>
  <c r="AJ1096" a="1"/>
  <c r="AJ1096" s="1"/>
  <c r="AJ129" a="1"/>
  <c r="AJ129" s="1"/>
  <c r="AJ681" a="1"/>
  <c r="AJ681" s="1"/>
  <c r="AJ1193" a="1"/>
  <c r="AJ1193" s="1"/>
  <c r="AJ120" a="1"/>
  <c r="AJ120" s="1"/>
  <c r="AJ880" a="1"/>
  <c r="AJ880" s="1"/>
  <c r="AJ1216" a="1"/>
  <c r="AJ1216" s="1"/>
  <c r="AJ199" a="1"/>
  <c r="AJ199" s="1"/>
  <c r="AJ1191" a="1"/>
  <c r="AJ1191" s="1"/>
  <c r="AJ118" a="1"/>
  <c r="AJ118" s="1"/>
  <c r="AJ1094" a="1"/>
  <c r="AJ1094" s="1"/>
  <c r="AJ1390" a="1"/>
  <c r="AJ1390" s="1"/>
  <c r="AJ1181" a="1"/>
  <c r="AJ1181" s="1"/>
  <c r="AJ124" a="1"/>
  <c r="AJ124" s="1"/>
  <c r="AJ1228" a="1"/>
  <c r="AJ1228" s="1"/>
  <c r="AJ1179" a="1"/>
  <c r="AJ1179" s="1"/>
  <c r="AJ1178" a="1"/>
  <c r="AJ1178" s="1"/>
  <c r="AJ249" a="1"/>
  <c r="AJ249" s="1"/>
  <c r="AJ1176" a="1"/>
  <c r="AJ1176" s="1"/>
  <c r="AJ879" a="1"/>
  <c r="AJ879" s="1"/>
  <c r="AJ198" a="1"/>
  <c r="AJ198" s="1"/>
  <c r="AJ133" a="1"/>
  <c r="AJ133" s="1"/>
  <c r="AJ543" a="1"/>
  <c r="AJ543" s="1"/>
  <c r="AJ121" a="1"/>
  <c r="AJ121" s="1"/>
  <c r="AJ545" a="1"/>
  <c r="AJ545" s="1"/>
  <c r="AJ1185" a="1"/>
  <c r="AJ1185" s="1"/>
  <c r="AJ1417" a="1"/>
  <c r="AJ1417" s="1"/>
  <c r="AJ776" a="1"/>
  <c r="AJ776" s="1"/>
  <c r="AJ1208" a="1"/>
  <c r="AJ1208" s="1"/>
  <c r="AJ135" a="1"/>
  <c r="AJ135" s="1"/>
  <c r="AJ1183" a="1"/>
  <c r="AJ1183" s="1"/>
  <c r="AJ1391" a="1"/>
  <c r="AJ1391" s="1"/>
  <c r="AJ886" a="1"/>
  <c r="AJ886" s="1"/>
  <c r="AJ1326" a="1"/>
  <c r="AJ1326" s="1"/>
  <c r="AJ885" a="1"/>
  <c r="AJ885" s="1"/>
  <c r="AJ116" a="1"/>
  <c r="AJ116" s="1"/>
  <c r="AJ1212" a="1"/>
  <c r="AJ1212" s="1"/>
  <c r="AJ883" a="1"/>
  <c r="AJ883" s="1"/>
  <c r="AJ882" a="1"/>
  <c r="AJ882" s="1"/>
  <c r="AJ1198" a="1"/>
  <c r="AJ1198" s="1"/>
  <c r="AJ465" a="1"/>
  <c r="AJ465" s="1"/>
  <c r="AJ1177" a="1"/>
  <c r="AJ1177" s="1"/>
  <c r="AJ1393" a="1"/>
  <c r="AJ1393" s="1"/>
  <c r="AJ680" a="1"/>
  <c r="AJ680" s="1"/>
  <c r="AJ1200" a="1"/>
  <c r="AJ1200" s="1"/>
  <c r="AJ127" a="1"/>
  <c r="AJ127" s="1"/>
  <c r="AJ1175" a="1"/>
  <c r="AJ1175" s="1"/>
  <c r="AJ1327" a="1"/>
  <c r="AJ1327" s="1"/>
  <c r="AJ878" a="1"/>
  <c r="AJ878" s="1"/>
  <c r="AJ1230" a="1"/>
  <c r="AJ1230" s="1"/>
  <c r="AJ877" a="1"/>
  <c r="AJ877" s="1"/>
  <c r="AJ1389" a="1"/>
  <c r="AJ1389" s="1"/>
  <c r="AJ1188" a="1"/>
  <c r="AJ1188" s="1"/>
  <c r="AJ539" a="1"/>
  <c r="AJ539" s="1"/>
  <c r="AJ370" a="1"/>
  <c r="AJ370" s="1"/>
  <c r="AJ377" a="1"/>
  <c r="AJ377" s="1"/>
  <c r="AJ1097" a="1"/>
  <c r="AJ1097" s="1"/>
  <c r="AJ1329" a="1"/>
  <c r="AJ1329" s="1"/>
  <c r="AJ544" a="1"/>
  <c r="AJ544" s="1"/>
  <c r="AJ1192" a="1"/>
  <c r="AJ1192" s="1"/>
  <c r="AJ119" a="1"/>
  <c r="AJ119" s="1"/>
  <c r="AJ1095" a="1"/>
  <c r="AJ1095" s="1"/>
  <c r="AJ1231" a="1"/>
  <c r="AJ1231" s="1"/>
  <c r="AJ542" a="1"/>
  <c r="AJ542" s="1"/>
  <c r="AJ1214" a="1"/>
  <c r="AJ1214" s="1"/>
  <c r="AJ541" a="1"/>
  <c r="AJ541" s="1"/>
  <c r="AJ1325" a="1"/>
  <c r="AJ1325" s="1"/>
  <c r="AJ1180" a="1"/>
  <c r="AJ1180" s="1"/>
  <c r="AJ371" a="1"/>
  <c r="AJ371" s="1"/>
  <c r="AJ250" a="1"/>
  <c r="AJ250" s="1"/>
  <c r="AJ1033" a="1"/>
  <c r="AJ1033" s="1"/>
  <c r="AJ1233" a="1"/>
  <c r="AJ1233" s="1"/>
  <c r="AJ376" a="1"/>
  <c r="AJ376" s="1"/>
  <c r="AJ1184" a="1"/>
  <c r="AJ1184" s="1"/>
  <c r="AJ1392" a="1"/>
  <c r="AJ1392" s="1"/>
  <c r="AJ887" a="1"/>
  <c r="AJ887" s="1"/>
  <c r="AJ1223" a="1"/>
  <c r="AJ1223" s="1"/>
  <c r="AJ374" a="1"/>
  <c r="AJ374" s="1"/>
  <c r="AJ1206" a="1"/>
  <c r="AJ1206" s="1"/>
  <c r="AJ373" a="1"/>
  <c r="AJ373" s="1"/>
  <c r="AJ1229" a="1"/>
  <c r="AJ1229" s="1"/>
  <c r="AJ884" a="1"/>
  <c r="AJ884" s="1"/>
  <c r="AJ131" a="1"/>
  <c r="AJ131" s="1"/>
  <c r="AJ130" a="1"/>
  <c r="AJ130" s="1"/>
  <c r="AJ540" a="1"/>
  <c r="AJ540" s="1"/>
  <c r="AJ123" a="1"/>
  <c r="AJ123" s="1"/>
  <c r="AJ122" a="1"/>
  <c r="AJ122" s="1"/>
  <c r="G1339"/>
  <c r="H1339"/>
  <c r="I1339"/>
  <c r="L1339"/>
  <c r="M1339"/>
  <c r="N1339"/>
  <c r="P1339"/>
  <c r="R1339" s="1"/>
  <c r="AD1339"/>
  <c r="AE1339"/>
  <c r="AF1339"/>
  <c r="AG1339"/>
  <c r="AI1339"/>
  <c r="AK1339" s="1"/>
  <c r="G1340"/>
  <c r="H1340"/>
  <c r="I1340"/>
  <c r="L1340"/>
  <c r="M1340"/>
  <c r="N1340"/>
  <c r="P1340"/>
  <c r="R1340" s="1"/>
  <c r="AD1340"/>
  <c r="AE1340"/>
  <c r="AF1340"/>
  <c r="AG1340"/>
  <c r="AI1340"/>
  <c r="AK1340" s="1"/>
  <c r="G1341"/>
  <c r="H1341"/>
  <c r="I1341"/>
  <c r="L1341"/>
  <c r="M1341"/>
  <c r="N1341"/>
  <c r="P1341"/>
  <c r="R1341" s="1"/>
  <c r="AD1341"/>
  <c r="AE1341"/>
  <c r="AF1341"/>
  <c r="AG1341"/>
  <c r="AI1341"/>
  <c r="AK1341" s="1"/>
  <c r="G1342"/>
  <c r="H1342"/>
  <c r="I1342"/>
  <c r="L1342"/>
  <c r="M1342"/>
  <c r="N1342"/>
  <c r="P1342"/>
  <c r="R1342" s="1"/>
  <c r="AD1342"/>
  <c r="AE1342"/>
  <c r="AF1342"/>
  <c r="AG1342"/>
  <c r="AI1342"/>
  <c r="AK1342" s="1"/>
  <c r="G1343"/>
  <c r="H1343"/>
  <c r="I1343"/>
  <c r="L1343"/>
  <c r="M1343"/>
  <c r="N1343"/>
  <c r="P1343"/>
  <c r="R1343" s="1"/>
  <c r="AD1343"/>
  <c r="AE1343"/>
  <c r="AF1343"/>
  <c r="AG1343"/>
  <c r="AI1343"/>
  <c r="AK1343" s="1"/>
  <c r="G1344"/>
  <c r="H1344"/>
  <c r="I1344"/>
  <c r="L1344"/>
  <c r="M1344"/>
  <c r="N1344"/>
  <c r="P1344"/>
  <c r="R1344" s="1"/>
  <c r="AD1344"/>
  <c r="AE1344"/>
  <c r="AF1344"/>
  <c r="AG1344"/>
  <c r="AI1344"/>
  <c r="AK1344" s="1"/>
  <c r="G1345"/>
  <c r="H1345"/>
  <c r="I1345"/>
  <c r="L1345"/>
  <c r="M1345"/>
  <c r="N1345"/>
  <c r="P1345"/>
  <c r="R1345" s="1"/>
  <c r="AD1345"/>
  <c r="AE1345"/>
  <c r="AF1345"/>
  <c r="AG1345"/>
  <c r="AI1345"/>
  <c r="AK1345" s="1"/>
  <c r="G1346"/>
  <c r="H1346"/>
  <c r="I1346"/>
  <c r="L1346"/>
  <c r="M1346"/>
  <c r="N1346"/>
  <c r="P1346"/>
  <c r="R1346" s="1"/>
  <c r="AD1346"/>
  <c r="AE1346"/>
  <c r="AF1346"/>
  <c r="AG1346"/>
  <c r="AI1346"/>
  <c r="AK1346" s="1"/>
  <c r="G1347"/>
  <c r="H1347"/>
  <c r="I1347"/>
  <c r="L1347"/>
  <c r="M1347"/>
  <c r="N1347"/>
  <c r="P1347"/>
  <c r="R1347" s="1"/>
  <c r="AD1347"/>
  <c r="AE1347"/>
  <c r="AF1347"/>
  <c r="AG1347"/>
  <c r="AI1347"/>
  <c r="AK1347" s="1"/>
  <c r="G1348"/>
  <c r="H1348"/>
  <c r="I1348"/>
  <c r="L1348"/>
  <c r="M1348"/>
  <c r="N1348"/>
  <c r="P1348"/>
  <c r="R1348" s="1"/>
  <c r="AD1348"/>
  <c r="AE1348"/>
  <c r="AF1348"/>
  <c r="AG1348"/>
  <c r="AI1348"/>
  <c r="AK1348" s="1"/>
  <c r="G1349"/>
  <c r="H1349"/>
  <c r="I1349"/>
  <c r="L1349"/>
  <c r="M1349"/>
  <c r="N1349"/>
  <c r="P1349"/>
  <c r="R1349" s="1"/>
  <c r="AD1349"/>
  <c r="AE1349"/>
  <c r="AF1349"/>
  <c r="AG1349"/>
  <c r="AI1349"/>
  <c r="AK1349" s="1"/>
  <c r="G1252"/>
  <c r="I1252"/>
  <c r="M1252"/>
  <c r="N1252"/>
  <c r="R1252"/>
  <c r="AD1252"/>
  <c r="AI1252"/>
  <c r="AK1252" s="1"/>
  <c r="G1253"/>
  <c r="H1253"/>
  <c r="I1253"/>
  <c r="L1253"/>
  <c r="M1253"/>
  <c r="N1253"/>
  <c r="P1253"/>
  <c r="R1253" s="1"/>
  <c r="AD1253"/>
  <c r="AI1253"/>
  <c r="AK1253" s="1"/>
  <c r="G1254"/>
  <c r="H1254"/>
  <c r="I1254"/>
  <c r="L1254"/>
  <c r="M1254"/>
  <c r="N1254"/>
  <c r="P1254"/>
  <c r="R1254" s="1"/>
  <c r="AD1254"/>
  <c r="AI1254"/>
  <c r="AK1254" s="1"/>
  <c r="G1255"/>
  <c r="H1255"/>
  <c r="I1255"/>
  <c r="L1255"/>
  <c r="M1255"/>
  <c r="N1255"/>
  <c r="P1255"/>
  <c r="R1255" s="1"/>
  <c r="AD1255"/>
  <c r="AI1255"/>
  <c r="AK1255" s="1"/>
  <c r="G1171"/>
  <c r="H1171"/>
  <c r="I1171"/>
  <c r="L1171"/>
  <c r="M1171"/>
  <c r="N1171"/>
  <c r="P1171"/>
  <c r="R1171" s="1"/>
  <c r="AD1171"/>
  <c r="AI1171"/>
  <c r="AK1171" s="1"/>
  <c r="G657"/>
  <c r="H657"/>
  <c r="I657"/>
  <c r="L657"/>
  <c r="M657"/>
  <c r="N657"/>
  <c r="P657"/>
  <c r="R657" s="1"/>
  <c r="AD657"/>
  <c r="AI657"/>
  <c r="AK657" s="1"/>
  <c r="G818"/>
  <c r="H818"/>
  <c r="I818"/>
  <c r="L818"/>
  <c r="M818"/>
  <c r="N818"/>
  <c r="P818"/>
  <c r="R818" s="1"/>
  <c r="AD818"/>
  <c r="AI818"/>
  <c r="AK818" s="1"/>
  <c r="G656"/>
  <c r="H656"/>
  <c r="I656"/>
  <c r="L656"/>
  <c r="M656"/>
  <c r="N656"/>
  <c r="P656"/>
  <c r="R656" s="1"/>
  <c r="AD656"/>
  <c r="AI656"/>
  <c r="AK656" s="1"/>
  <c r="G505"/>
  <c r="H505"/>
  <c r="I505"/>
  <c r="L505"/>
  <c r="M505"/>
  <c r="N505"/>
  <c r="R505"/>
  <c r="AD505"/>
  <c r="AI505"/>
  <c r="AK505" s="1"/>
  <c r="G1085"/>
  <c r="H1085"/>
  <c r="I1085"/>
  <c r="L1085"/>
  <c r="M1085"/>
  <c r="N1085"/>
  <c r="P1085"/>
  <c r="R1085" s="1"/>
  <c r="AD1085"/>
  <c r="AI1085"/>
  <c r="AK1085" s="1"/>
  <c r="G504"/>
  <c r="I504"/>
  <c r="L504"/>
  <c r="M504"/>
  <c r="N504"/>
  <c r="R504"/>
  <c r="AD504"/>
  <c r="AI504"/>
  <c r="AK504" s="1"/>
  <c r="G332"/>
  <c r="I332"/>
  <c r="M332"/>
  <c r="N332"/>
  <c r="R332"/>
  <c r="AD332"/>
  <c r="AI332"/>
  <c r="AK332" s="1"/>
  <c r="G817"/>
  <c r="H817"/>
  <c r="I817"/>
  <c r="L817"/>
  <c r="M817"/>
  <c r="N817"/>
  <c r="P817"/>
  <c r="R817" s="1"/>
  <c r="AD817"/>
  <c r="AI817"/>
  <c r="AK817" s="1"/>
  <c r="G1086"/>
  <c r="H1086"/>
  <c r="I1086"/>
  <c r="L1086"/>
  <c r="M1086"/>
  <c r="N1086"/>
  <c r="P1086"/>
  <c r="R1086" s="1"/>
  <c r="AD1086"/>
  <c r="AI1086"/>
  <c r="AK1086" s="1"/>
  <c r="G333"/>
  <c r="H333"/>
  <c r="I333"/>
  <c r="L333"/>
  <c r="M333"/>
  <c r="N333"/>
  <c r="P333"/>
  <c r="R333" s="1"/>
  <c r="AD333"/>
  <c r="AI333"/>
  <c r="AK333" s="1"/>
  <c r="G334"/>
  <c r="H334"/>
  <c r="I334"/>
  <c r="L334"/>
  <c r="M334"/>
  <c r="N334"/>
  <c r="P334"/>
  <c r="R334" s="1"/>
  <c r="AD334"/>
  <c r="AI334"/>
  <c r="AK334" s="1"/>
  <c r="G331"/>
  <c r="I331"/>
  <c r="M331"/>
  <c r="N331"/>
  <c r="R331"/>
  <c r="AD331"/>
  <c r="AI331"/>
  <c r="AK331" s="1"/>
  <c r="G506"/>
  <c r="H506"/>
  <c r="I506"/>
  <c r="L506"/>
  <c r="M506"/>
  <c r="N506"/>
  <c r="P506"/>
  <c r="R506" s="1"/>
  <c r="AD506"/>
  <c r="AI506"/>
  <c r="AK506" s="1"/>
  <c r="G152"/>
  <c r="I152"/>
  <c r="M152"/>
  <c r="N152"/>
  <c r="R152"/>
  <c r="AD152"/>
  <c r="AI152"/>
  <c r="AK152" s="1"/>
  <c r="G104"/>
  <c r="H104"/>
  <c r="I104"/>
  <c r="L104"/>
  <c r="M104"/>
  <c r="N104"/>
  <c r="P104"/>
  <c r="R104" s="1"/>
  <c r="AD104"/>
  <c r="AI104"/>
  <c r="AK104" s="1"/>
  <c r="G309"/>
  <c r="H309"/>
  <c r="I309"/>
  <c r="L309"/>
  <c r="M309"/>
  <c r="N309"/>
  <c r="R309"/>
  <c r="AD309"/>
  <c r="AI309"/>
  <c r="AK309" s="1"/>
  <c r="G287"/>
  <c r="I287"/>
  <c r="M287"/>
  <c r="N287"/>
  <c r="R287"/>
  <c r="AD287"/>
  <c r="AI287"/>
  <c r="AK287" s="1"/>
  <c r="G1401"/>
  <c r="G143"/>
  <c r="G144"/>
  <c r="H1401"/>
  <c r="H143"/>
  <c r="H144"/>
  <c r="I1401"/>
  <c r="I143"/>
  <c r="I144"/>
  <c r="L1401"/>
  <c r="L143"/>
  <c r="L144"/>
  <c r="M1401"/>
  <c r="M143"/>
  <c r="M144"/>
  <c r="N1401"/>
  <c r="N143"/>
  <c r="N144"/>
  <c r="P1401"/>
  <c r="R1401" s="1"/>
  <c r="P143"/>
  <c r="R143" s="1"/>
  <c r="P144"/>
  <c r="R144" s="1"/>
  <c r="AD1401"/>
  <c r="AD143"/>
  <c r="AD144"/>
  <c r="AI1401"/>
  <c r="AK1401" s="1"/>
  <c r="AI143"/>
  <c r="AK143" s="1"/>
  <c r="AI144"/>
  <c r="AK144" s="1"/>
  <c r="G1404"/>
  <c r="H1404"/>
  <c r="I1404"/>
  <c r="L1404"/>
  <c r="M1404"/>
  <c r="N1404"/>
  <c r="P1404"/>
  <c r="R1404" s="1"/>
  <c r="AD1404"/>
  <c r="AI1404"/>
  <c r="AK1404" s="1"/>
  <c r="G1403"/>
  <c r="H1403"/>
  <c r="I1403"/>
  <c r="L1403"/>
  <c r="M1403"/>
  <c r="N1403"/>
  <c r="P1403"/>
  <c r="R1403" s="1"/>
  <c r="AD1403"/>
  <c r="AI1403"/>
  <c r="AK1403" s="1"/>
  <c r="G1400"/>
  <c r="I1400"/>
  <c r="M1400"/>
  <c r="N1400"/>
  <c r="R1400"/>
  <c r="AD1400"/>
  <c r="AI1400"/>
  <c r="AK1400" s="1"/>
  <c r="G145"/>
  <c r="H145"/>
  <c r="I145"/>
  <c r="L145"/>
  <c r="M145"/>
  <c r="N145"/>
  <c r="P145"/>
  <c r="R145" s="1"/>
  <c r="AD145"/>
  <c r="AI145"/>
  <c r="AK145" s="1"/>
  <c r="G1221"/>
  <c r="H1221"/>
  <c r="I1221"/>
  <c r="L1221"/>
  <c r="M1221"/>
  <c r="N1221"/>
  <c r="P1221"/>
  <c r="R1221" s="1"/>
  <c r="AD1221"/>
  <c r="AI1221"/>
  <c r="AK1221" s="1"/>
  <c r="G964"/>
  <c r="G965"/>
  <c r="G1113"/>
  <c r="H964"/>
  <c r="H965"/>
  <c r="H1113"/>
  <c r="I964"/>
  <c r="I965"/>
  <c r="I1113"/>
  <c r="L964"/>
  <c r="L965"/>
  <c r="L1113"/>
  <c r="M964"/>
  <c r="M965"/>
  <c r="M1113"/>
  <c r="N964"/>
  <c r="N965"/>
  <c r="N1113"/>
  <c r="P964"/>
  <c r="R964" s="1"/>
  <c r="P965"/>
  <c r="R965" s="1"/>
  <c r="P1113"/>
  <c r="R1113" s="1"/>
  <c r="AD964"/>
  <c r="AD965"/>
  <c r="AD1113"/>
  <c r="AI964"/>
  <c r="AK964" s="1"/>
  <c r="AI965"/>
  <c r="AK965" s="1"/>
  <c r="AI1113"/>
  <c r="AK1113" s="1"/>
  <c r="G745"/>
  <c r="H745"/>
  <c r="I745"/>
  <c r="L745"/>
  <c r="M745"/>
  <c r="N745"/>
  <c r="P745"/>
  <c r="R745" s="1"/>
  <c r="AD745"/>
  <c r="AI745"/>
  <c r="AK745" s="1"/>
  <c r="G962"/>
  <c r="G963"/>
  <c r="H962"/>
  <c r="H963"/>
  <c r="I962"/>
  <c r="I963"/>
  <c r="L962"/>
  <c r="L963"/>
  <c r="M962"/>
  <c r="M963"/>
  <c r="N962"/>
  <c r="N963"/>
  <c r="P962"/>
  <c r="R962" s="1"/>
  <c r="P963"/>
  <c r="R963" s="1"/>
  <c r="AD962"/>
  <c r="AD963"/>
  <c r="AI962"/>
  <c r="AK962" s="1"/>
  <c r="AI963"/>
  <c r="AK963" s="1"/>
  <c r="G746"/>
  <c r="H746"/>
  <c r="I746"/>
  <c r="L746"/>
  <c r="M746"/>
  <c r="N746"/>
  <c r="P746"/>
  <c r="R746" s="1"/>
  <c r="AD746"/>
  <c r="AI746"/>
  <c r="AK746" s="1"/>
  <c r="G699"/>
  <c r="H699"/>
  <c r="I699"/>
  <c r="L699"/>
  <c r="M699"/>
  <c r="N699"/>
  <c r="P699"/>
  <c r="R699" s="1"/>
  <c r="AD699"/>
  <c r="AI699"/>
  <c r="AK699" s="1"/>
  <c r="G732"/>
  <c r="G2"/>
  <c r="H732"/>
  <c r="H2"/>
  <c r="I732"/>
  <c r="I2"/>
  <c r="L732"/>
  <c r="L2"/>
  <c r="M732"/>
  <c r="M2"/>
  <c r="N732"/>
  <c r="N2"/>
  <c r="P732"/>
  <c r="R732" s="1"/>
  <c r="P2"/>
  <c r="R2" s="1"/>
  <c r="AD732"/>
  <c r="AD2"/>
  <c r="AI732"/>
  <c r="AK732" s="1"/>
  <c r="AI2"/>
  <c r="AK2" s="1"/>
  <c r="G3"/>
  <c r="H3"/>
  <c r="I3"/>
  <c r="L3"/>
  <c r="M3"/>
  <c r="N3"/>
  <c r="P3"/>
  <c r="R3" s="1"/>
  <c r="AD3"/>
  <c r="AI3"/>
  <c r="AK3" s="1"/>
  <c r="G922"/>
  <c r="M922"/>
  <c r="N922"/>
  <c r="R922"/>
  <c r="AD922"/>
  <c r="AI922"/>
  <c r="AK922" s="1"/>
  <c r="G262"/>
  <c r="G263"/>
  <c r="G264"/>
  <c r="G217"/>
  <c r="H262"/>
  <c r="H263"/>
  <c r="H264"/>
  <c r="H217"/>
  <c r="I262"/>
  <c r="I263"/>
  <c r="I264"/>
  <c r="I217"/>
  <c r="L262"/>
  <c r="L263"/>
  <c r="L264"/>
  <c r="L217"/>
  <c r="M262"/>
  <c r="M263"/>
  <c r="M264"/>
  <c r="M217"/>
  <c r="N262"/>
  <c r="N263"/>
  <c r="N264"/>
  <c r="N217"/>
  <c r="R262"/>
  <c r="R263"/>
  <c r="R264"/>
  <c r="R217"/>
  <c r="AD262"/>
  <c r="AD263"/>
  <c r="AD264"/>
  <c r="AD217"/>
  <c r="AG262"/>
  <c r="AI262"/>
  <c r="AK262" s="1"/>
  <c r="AI263"/>
  <c r="AK263" s="1"/>
  <c r="AI264"/>
  <c r="AK264" s="1"/>
  <c r="AI217"/>
  <c r="AK217" s="1"/>
  <c r="G218"/>
  <c r="G219"/>
  <c r="H218"/>
  <c r="H219"/>
  <c r="I218"/>
  <c r="I219"/>
  <c r="L218"/>
  <c r="M218"/>
  <c r="M219"/>
  <c r="N218"/>
  <c r="N219"/>
  <c r="P218"/>
  <c r="R218" s="1"/>
  <c r="R219"/>
  <c r="AD218"/>
  <c r="AD219"/>
  <c r="AI218"/>
  <c r="AK218" s="1"/>
  <c r="AI219"/>
  <c r="AK219" s="1"/>
  <c r="G420"/>
  <c r="H420"/>
  <c r="I420"/>
  <c r="L420"/>
  <c r="M420"/>
  <c r="N420"/>
  <c r="P420"/>
  <c r="R420" s="1"/>
  <c r="AD420"/>
  <c r="AI420"/>
  <c r="AK420" s="1"/>
  <c r="G421"/>
  <c r="H421"/>
  <c r="I421"/>
  <c r="L421"/>
  <c r="M421"/>
  <c r="N421"/>
  <c r="P421"/>
  <c r="R421" s="1"/>
  <c r="AD421"/>
  <c r="AI421"/>
  <c r="AK421" s="1"/>
  <c r="G251"/>
  <c r="G252"/>
  <c r="G253"/>
  <c r="G212"/>
  <c r="G213"/>
  <c r="G214"/>
  <c r="G215"/>
  <c r="G216"/>
  <c r="H251"/>
  <c r="H252"/>
  <c r="H253"/>
  <c r="H212"/>
  <c r="H213"/>
  <c r="H214"/>
  <c r="H215"/>
  <c r="H216"/>
  <c r="I251"/>
  <c r="I252"/>
  <c r="I253"/>
  <c r="I212"/>
  <c r="I213"/>
  <c r="I214"/>
  <c r="I215"/>
  <c r="I216"/>
  <c r="L252"/>
  <c r="L253"/>
  <c r="L212"/>
  <c r="L213"/>
  <c r="L214"/>
  <c r="L215"/>
  <c r="M251"/>
  <c r="M252"/>
  <c r="M253"/>
  <c r="M212"/>
  <c r="M213"/>
  <c r="M214"/>
  <c r="M215"/>
  <c r="M216"/>
  <c r="N251"/>
  <c r="N252"/>
  <c r="N253"/>
  <c r="N212"/>
  <c r="N213"/>
  <c r="N214"/>
  <c r="N215"/>
  <c r="N216"/>
  <c r="R251"/>
  <c r="P252"/>
  <c r="R252" s="1"/>
  <c r="P253"/>
  <c r="R253" s="1"/>
  <c r="P212"/>
  <c r="R212" s="1"/>
  <c r="P213"/>
  <c r="R213" s="1"/>
  <c r="P214"/>
  <c r="R214" s="1"/>
  <c r="P215"/>
  <c r="R215" s="1"/>
  <c r="R216"/>
  <c r="AD251"/>
  <c r="AD252"/>
  <c r="AD253"/>
  <c r="AD212"/>
  <c r="AD213"/>
  <c r="AD214"/>
  <c r="AD215"/>
  <c r="AD216"/>
  <c r="AG251"/>
  <c r="AI251"/>
  <c r="AK251" s="1"/>
  <c r="AI252"/>
  <c r="AK252" s="1"/>
  <c r="AI253"/>
  <c r="AK253" s="1"/>
  <c r="AI212"/>
  <c r="AK212" s="1"/>
  <c r="AI213"/>
  <c r="AK213" s="1"/>
  <c r="AI214"/>
  <c r="AK214" s="1"/>
  <c r="AI215"/>
  <c r="AK215" s="1"/>
  <c r="AI216"/>
  <c r="AK216" s="1"/>
  <c r="G254"/>
  <c r="G255"/>
  <c r="G256"/>
  <c r="G257"/>
  <c r="H254"/>
  <c r="H255"/>
  <c r="H256"/>
  <c r="H257"/>
  <c r="I254"/>
  <c r="I255"/>
  <c r="I256"/>
  <c r="I257"/>
  <c r="L254"/>
  <c r="L255"/>
  <c r="L256"/>
  <c r="L257"/>
  <c r="M254"/>
  <c r="M255"/>
  <c r="M256"/>
  <c r="M257"/>
  <c r="N254"/>
  <c r="N255"/>
  <c r="N256"/>
  <c r="N257"/>
  <c r="P254"/>
  <c r="R254" s="1"/>
  <c r="P255"/>
  <c r="R255" s="1"/>
  <c r="P256"/>
  <c r="R256" s="1"/>
  <c r="P257"/>
  <c r="R257" s="1"/>
  <c r="AD254"/>
  <c r="AD255"/>
  <c r="AD256"/>
  <c r="AD257"/>
  <c r="AG254"/>
  <c r="AI254"/>
  <c r="AK254" s="1"/>
  <c r="AI255"/>
  <c r="AK255" s="1"/>
  <c r="AI256"/>
  <c r="AK256" s="1"/>
  <c r="AI257"/>
  <c r="AK257" s="1"/>
  <c r="G258"/>
  <c r="G259"/>
  <c r="H258"/>
  <c r="H259"/>
  <c r="I258"/>
  <c r="I259"/>
  <c r="L258"/>
  <c r="L259"/>
  <c r="M258"/>
  <c r="M259"/>
  <c r="N258"/>
  <c r="N259"/>
  <c r="P258"/>
  <c r="R258" s="1"/>
  <c r="P259"/>
  <c r="R259" s="1"/>
  <c r="AD258"/>
  <c r="AD259"/>
  <c r="AI258"/>
  <c r="AK258" s="1"/>
  <c r="AI259"/>
  <c r="AK259" s="1"/>
  <c r="G260"/>
  <c r="H260"/>
  <c r="I260"/>
  <c r="L260"/>
  <c r="M260"/>
  <c r="N260"/>
  <c r="P260"/>
  <c r="R260" s="1"/>
  <c r="AD260"/>
  <c r="AI260"/>
  <c r="AK260" s="1"/>
  <c r="G261"/>
  <c r="H261"/>
  <c r="I261"/>
  <c r="L261"/>
  <c r="M261"/>
  <c r="N261"/>
  <c r="P261"/>
  <c r="R261" s="1"/>
  <c r="AD261"/>
  <c r="AI261"/>
  <c r="AK261" s="1"/>
  <c r="G113"/>
  <c r="I113"/>
  <c r="M113"/>
  <c r="N113"/>
  <c r="R113"/>
  <c r="AD113"/>
  <c r="AI113"/>
  <c r="AK113" s="1"/>
  <c r="G112"/>
  <c r="I112"/>
  <c r="M112"/>
  <c r="N112"/>
  <c r="R112"/>
  <c r="AD112"/>
  <c r="AI112"/>
  <c r="AK112" s="1"/>
  <c r="AM1188" l="1"/>
  <c r="AN1188" s="1"/>
  <c r="Z1188"/>
  <c r="AM1200"/>
  <c r="AN1200" s="1"/>
  <c r="Z1200"/>
  <c r="AM1326"/>
  <c r="AN1326" s="1"/>
  <c r="Z1326"/>
  <c r="AM1185"/>
  <c r="AN1185" s="1"/>
  <c r="Z1185"/>
  <c r="AM124"/>
  <c r="AN124" s="1"/>
  <c r="Z124"/>
  <c r="AM880"/>
  <c r="AN880" s="1"/>
  <c r="Z880"/>
  <c r="AM1324"/>
  <c r="AN1324" s="1"/>
  <c r="Z1324"/>
  <c r="AM1224"/>
  <c r="AN1224" s="1"/>
  <c r="Z1224"/>
  <c r="AM114"/>
  <c r="AN114" s="1"/>
  <c r="Z114"/>
  <c r="AM543"/>
  <c r="AN543" s="1"/>
  <c r="Z543"/>
  <c r="AM540"/>
  <c r="AN540" s="1"/>
  <c r="Z540"/>
  <c r="AM1176"/>
  <c r="AN1176" s="1"/>
  <c r="Z1176"/>
  <c r="AM1229"/>
  <c r="AN1229" s="1"/>
  <c r="Z1229"/>
  <c r="AM376"/>
  <c r="AN376" s="1"/>
  <c r="Z376"/>
  <c r="AM542"/>
  <c r="AN542" s="1"/>
  <c r="Z542"/>
  <c r="AM539"/>
  <c r="AN539" s="1"/>
  <c r="Z539"/>
  <c r="AM127"/>
  <c r="AN127" s="1"/>
  <c r="Z127"/>
  <c r="AM885"/>
  <c r="AN885" s="1"/>
  <c r="Z885"/>
  <c r="AM1417"/>
  <c r="AN1417" s="1"/>
  <c r="Z1417"/>
  <c r="AM1228"/>
  <c r="AN1228" s="1"/>
  <c r="Z1228"/>
  <c r="AM1216"/>
  <c r="AN1216" s="1"/>
  <c r="Z1216"/>
  <c r="AM1187"/>
  <c r="AN1187" s="1"/>
  <c r="Z1187"/>
  <c r="AM375"/>
  <c r="AN375" s="1"/>
  <c r="Z375"/>
  <c r="AM1177"/>
  <c r="AN1177" s="1"/>
  <c r="Z1177"/>
  <c r="AM1207"/>
  <c r="AN1207" s="1"/>
  <c r="Z1207"/>
  <c r="AM123"/>
  <c r="AN123" s="1"/>
  <c r="Z123"/>
  <c r="AM1328"/>
  <c r="AN1328" s="1"/>
  <c r="Z1328"/>
  <c r="AM884"/>
  <c r="AN884" s="1"/>
  <c r="Z884"/>
  <c r="AM1184"/>
  <c r="AN1184" s="1"/>
  <c r="Z1184"/>
  <c r="AM1214"/>
  <c r="AN1214" s="1"/>
  <c r="Z1214"/>
  <c r="AM370"/>
  <c r="AN370" s="1"/>
  <c r="Z370"/>
  <c r="AM1175"/>
  <c r="AN1175" s="1"/>
  <c r="Z1175"/>
  <c r="AM116"/>
  <c r="AN116" s="1"/>
  <c r="Z116"/>
  <c r="AM776"/>
  <c r="AN776" s="1"/>
  <c r="Z776"/>
  <c r="AM1179"/>
  <c r="AN1179" s="1"/>
  <c r="Z1179"/>
  <c r="AM199"/>
  <c r="AN199" s="1"/>
  <c r="Z199"/>
  <c r="AM1033"/>
  <c r="AN1033" s="1"/>
  <c r="Z1033"/>
  <c r="AM1199"/>
  <c r="AN1199" s="1"/>
  <c r="Z1199"/>
  <c r="AM1097"/>
  <c r="AN1097" s="1"/>
  <c r="Z1097"/>
  <c r="AM134"/>
  <c r="AN134" s="1"/>
  <c r="Z134"/>
  <c r="AM122"/>
  <c r="AN122" s="1"/>
  <c r="Z122"/>
  <c r="AM879"/>
  <c r="AN879" s="1"/>
  <c r="Z879"/>
  <c r="AM131"/>
  <c r="AN131" s="1"/>
  <c r="Z131"/>
  <c r="AM1392"/>
  <c r="AN1392" s="1"/>
  <c r="Z1392"/>
  <c r="AM541"/>
  <c r="AN541" s="1"/>
  <c r="Z541"/>
  <c r="AM377"/>
  <c r="AN377" s="1"/>
  <c r="Z377"/>
  <c r="AM1327"/>
  <c r="AN1327" s="1"/>
  <c r="Z1327"/>
  <c r="AM1212"/>
  <c r="AN1212" s="1"/>
  <c r="Z1212"/>
  <c r="AM1208"/>
  <c r="AN1208" s="1"/>
  <c r="Z1208"/>
  <c r="AM1178"/>
  <c r="AN1178" s="1"/>
  <c r="Z1178"/>
  <c r="AM1191"/>
  <c r="AN1191" s="1"/>
  <c r="Z1191"/>
  <c r="AM201"/>
  <c r="AN201" s="1"/>
  <c r="Z201"/>
  <c r="AM126"/>
  <c r="AN126" s="1"/>
  <c r="Z126"/>
  <c r="AM881"/>
  <c r="AN881" s="1"/>
  <c r="Z881"/>
  <c r="AM1190"/>
  <c r="AN1190" s="1"/>
  <c r="Z1190"/>
  <c r="AM249"/>
  <c r="AN249" s="1"/>
  <c r="Z249"/>
  <c r="AM1215"/>
  <c r="AN1215" s="1"/>
  <c r="Z1215"/>
  <c r="AM130"/>
  <c r="AN130" s="1"/>
  <c r="Z130"/>
  <c r="AM887"/>
  <c r="AN887" s="1"/>
  <c r="Z887"/>
  <c r="AM1325"/>
  <c r="AN1325" s="1"/>
  <c r="Z1325"/>
  <c r="AM544"/>
  <c r="AN544" s="1"/>
  <c r="Z544"/>
  <c r="AM878"/>
  <c r="AN878" s="1"/>
  <c r="Z878"/>
  <c r="AM883"/>
  <c r="AN883" s="1"/>
  <c r="Z883"/>
  <c r="AM135"/>
  <c r="AN135" s="1"/>
  <c r="Z135"/>
  <c r="AM1329"/>
  <c r="AN1329" s="1"/>
  <c r="Z1329"/>
  <c r="AM118"/>
  <c r="AN118" s="1"/>
  <c r="Z118"/>
  <c r="AM129"/>
  <c r="AN129" s="1"/>
  <c r="Z129"/>
  <c r="AM1182"/>
  <c r="AN1182" s="1"/>
  <c r="Z1182"/>
  <c r="AM777"/>
  <c r="AN777" s="1"/>
  <c r="Z777"/>
  <c r="AM125"/>
  <c r="AN125" s="1"/>
  <c r="Z125"/>
  <c r="AM1217"/>
  <c r="AN1217" s="1"/>
  <c r="Z1217"/>
  <c r="AM198"/>
  <c r="AN198" s="1"/>
  <c r="Z198"/>
  <c r="AM1233"/>
  <c r="AN1233" s="1"/>
  <c r="Z1233"/>
  <c r="AM1223"/>
  <c r="AN1223" s="1"/>
  <c r="Z1223"/>
  <c r="AM1180"/>
  <c r="AN1180" s="1"/>
  <c r="Z1180"/>
  <c r="AM1192"/>
  <c r="AN1192" s="1"/>
  <c r="Z1192"/>
  <c r="AM1230"/>
  <c r="AN1230" s="1"/>
  <c r="Z1230"/>
  <c r="AM882"/>
  <c r="AN882" s="1"/>
  <c r="Z882"/>
  <c r="AM1183"/>
  <c r="AN1183" s="1"/>
  <c r="Z1183"/>
  <c r="AM137"/>
  <c r="AN137" s="1"/>
  <c r="Z137"/>
  <c r="AM1094"/>
  <c r="AN1094" s="1"/>
  <c r="Z1094"/>
  <c r="AM681"/>
  <c r="AN681" s="1"/>
  <c r="Z681"/>
  <c r="AM117"/>
  <c r="AN117" s="1"/>
  <c r="Z117"/>
  <c r="AM1201"/>
  <c r="AN1201" s="1"/>
  <c r="Z1201"/>
  <c r="AM1197"/>
  <c r="AN1197" s="1"/>
  <c r="Z1197"/>
  <c r="AM136"/>
  <c r="AN136" s="1"/>
  <c r="Z136"/>
  <c r="AM1198"/>
  <c r="AN1198" s="1"/>
  <c r="Z1198"/>
  <c r="AM889"/>
  <c r="AN889" s="1"/>
  <c r="Z889"/>
  <c r="AM374"/>
  <c r="AN374" s="1"/>
  <c r="Z374"/>
  <c r="AM371"/>
  <c r="AN371" s="1"/>
  <c r="Z371"/>
  <c r="AM119"/>
  <c r="AN119" s="1"/>
  <c r="Z119"/>
  <c r="AM877"/>
  <c r="AN877" s="1"/>
  <c r="Z877"/>
  <c r="AM1393"/>
  <c r="AN1393" s="1"/>
  <c r="Z1393"/>
  <c r="AM1391"/>
  <c r="AN1391" s="1"/>
  <c r="Z1391"/>
  <c r="AM121"/>
  <c r="AN121" s="1"/>
  <c r="Z121"/>
  <c r="AM1390"/>
  <c r="AN1390" s="1"/>
  <c r="Z1390"/>
  <c r="AM1193"/>
  <c r="AN1193" s="1"/>
  <c r="Z1193"/>
  <c r="AM1189"/>
  <c r="AN1189" s="1"/>
  <c r="Z1189"/>
  <c r="AM128"/>
  <c r="AN128" s="1"/>
  <c r="Z128"/>
  <c r="AM372"/>
  <c r="AN372" s="1"/>
  <c r="Z372"/>
  <c r="AM1096"/>
  <c r="AN1096" s="1"/>
  <c r="Z1096"/>
  <c r="AM133"/>
  <c r="AN133" s="1"/>
  <c r="Z133"/>
  <c r="AM1225"/>
  <c r="AN1225" s="1"/>
  <c r="Z1225"/>
  <c r="AM1206"/>
  <c r="AN1206" s="1"/>
  <c r="Z1206"/>
  <c r="AM250"/>
  <c r="AN250" s="1"/>
  <c r="Z250"/>
  <c r="AM1095"/>
  <c r="AN1095" s="1"/>
  <c r="Z1095"/>
  <c r="AM1389"/>
  <c r="AN1389" s="1"/>
  <c r="Z1389"/>
  <c r="AM680"/>
  <c r="AN680" s="1"/>
  <c r="Z680"/>
  <c r="AM886"/>
  <c r="AN886" s="1"/>
  <c r="Z886"/>
  <c r="AM545"/>
  <c r="AN545" s="1"/>
  <c r="Z545"/>
  <c r="AM1181"/>
  <c r="AN1181" s="1"/>
  <c r="Z1181"/>
  <c r="AM120"/>
  <c r="AN120" s="1"/>
  <c r="Z120"/>
  <c r="AM132"/>
  <c r="AN132" s="1"/>
  <c r="Z132"/>
  <c r="AM888"/>
  <c r="AN888" s="1"/>
  <c r="Z888"/>
  <c r="AM115"/>
  <c r="AN115" s="1"/>
  <c r="Z115"/>
  <c r="AM1232"/>
  <c r="AN1232" s="1"/>
  <c r="Z1232"/>
  <c r="AM1213"/>
  <c r="AN1213" s="1"/>
  <c r="Z1213"/>
  <c r="AM200"/>
  <c r="AN200" s="1"/>
  <c r="Z200"/>
  <c r="AM373"/>
  <c r="AN373" s="1"/>
  <c r="Z373"/>
  <c r="AM465"/>
  <c r="AN465" s="1"/>
  <c r="Z465"/>
  <c r="AM1231"/>
  <c r="AN1231" s="1"/>
  <c r="Z1231"/>
  <c r="AL252"/>
  <c r="Z252" s="1"/>
  <c r="AL112"/>
  <c r="Z112" s="1"/>
  <c r="AL1252"/>
  <c r="Z1252" s="1"/>
  <c r="AL1345"/>
  <c r="Z1345" s="1"/>
  <c r="AL254"/>
  <c r="Z254" s="1"/>
  <c r="AL261"/>
  <c r="Z261" s="1"/>
  <c r="AL216"/>
  <c r="Z216" s="1"/>
  <c r="AL421"/>
  <c r="Z421" s="1"/>
  <c r="AL922"/>
  <c r="Z922" s="1"/>
  <c r="AL505"/>
  <c r="Z505" s="1"/>
  <c r="AL1171"/>
  <c r="Z1171" s="1"/>
  <c r="AL251"/>
  <c r="Z251" s="1"/>
  <c r="AL964"/>
  <c r="Z964" s="1"/>
  <c r="AL309"/>
  <c r="Z309" s="1"/>
  <c r="AL506"/>
  <c r="Z506" s="1"/>
  <c r="AL333"/>
  <c r="Z333" s="1"/>
  <c r="AL1346"/>
  <c r="Z1346" s="1"/>
  <c r="AL258"/>
  <c r="Z258" s="1"/>
  <c r="AL218"/>
  <c r="Z218" s="1"/>
  <c r="AL965"/>
  <c r="Z965" s="1"/>
  <c r="AL656"/>
  <c r="Z656" s="1"/>
  <c r="AL1255"/>
  <c r="Z1255" s="1"/>
  <c r="AL1347"/>
  <c r="Z1347" s="1"/>
  <c r="AL1339"/>
  <c r="Z1339" s="1"/>
  <c r="AL260"/>
  <c r="Z260" s="1"/>
  <c r="AL420"/>
  <c r="Z420" s="1"/>
  <c r="AL259"/>
  <c r="Z259" s="1"/>
  <c r="AL255"/>
  <c r="Z255" s="1"/>
  <c r="AL253"/>
  <c r="Z253" s="1"/>
  <c r="AL219"/>
  <c r="Z219" s="1"/>
  <c r="AL262"/>
  <c r="Z262" s="1"/>
  <c r="AL699"/>
  <c r="Z699" s="1"/>
  <c r="AL745"/>
  <c r="Z745" s="1"/>
  <c r="AL1113"/>
  <c r="Z1113" s="1"/>
  <c r="AL1221"/>
  <c r="Z1221" s="1"/>
  <c r="AL1403"/>
  <c r="Z1403" s="1"/>
  <c r="AL1401"/>
  <c r="Z1401" s="1"/>
  <c r="AL104"/>
  <c r="Z104" s="1"/>
  <c r="AL331"/>
  <c r="Z331" s="1"/>
  <c r="AL1086"/>
  <c r="Z1086" s="1"/>
  <c r="AL504"/>
  <c r="Z504" s="1"/>
  <c r="AL1348"/>
  <c r="Z1348" s="1"/>
  <c r="AL1340"/>
  <c r="Z1340" s="1"/>
  <c r="AL212"/>
  <c r="Z212" s="1"/>
  <c r="AL143"/>
  <c r="Z143" s="1"/>
  <c r="AL818"/>
  <c r="Z818" s="1"/>
  <c r="AL1254"/>
  <c r="Z1254" s="1"/>
  <c r="AL1349"/>
  <c r="Z1349" s="1"/>
  <c r="AL1341"/>
  <c r="Z1341" s="1"/>
  <c r="AL263"/>
  <c r="Z263" s="1"/>
  <c r="AL257"/>
  <c r="Z257" s="1"/>
  <c r="AL213"/>
  <c r="Z213" s="1"/>
  <c r="AL264"/>
  <c r="Z264" s="1"/>
  <c r="AL3"/>
  <c r="Z3" s="1"/>
  <c r="AL732"/>
  <c r="Z732" s="1"/>
  <c r="AL746"/>
  <c r="Z746" s="1"/>
  <c r="AL962"/>
  <c r="Z962" s="1"/>
  <c r="AL145"/>
  <c r="Z145" s="1"/>
  <c r="AL1404"/>
  <c r="Z1404" s="1"/>
  <c r="AL144"/>
  <c r="Z144" s="1"/>
  <c r="AL287"/>
  <c r="Z287" s="1"/>
  <c r="AL152"/>
  <c r="Z152" s="1"/>
  <c r="AL817"/>
  <c r="Z817" s="1"/>
  <c r="AL1342"/>
  <c r="Z1342" s="1"/>
  <c r="AL256"/>
  <c r="Z256" s="1"/>
  <c r="AL214"/>
  <c r="Z214" s="1"/>
  <c r="AL657"/>
  <c r="Z657" s="1"/>
  <c r="AL1343"/>
  <c r="Z1343" s="1"/>
  <c r="AL113"/>
  <c r="Z113" s="1"/>
  <c r="AL217"/>
  <c r="Z217" s="1"/>
  <c r="AL2"/>
  <c r="Z2" s="1"/>
  <c r="AL963"/>
  <c r="Z963" s="1"/>
  <c r="AL1085"/>
  <c r="Z1085" s="1"/>
  <c r="AL1253"/>
  <c r="Z1253" s="1"/>
  <c r="AL215"/>
  <c r="Z215" s="1"/>
  <c r="AL1400"/>
  <c r="Z1400" s="1"/>
  <c r="AL334"/>
  <c r="Z334" s="1"/>
  <c r="AL332"/>
  <c r="Z332" s="1"/>
  <c r="AL1344"/>
  <c r="Z1344" s="1"/>
  <c r="AJ333" a="1"/>
  <c r="AJ333" s="1"/>
  <c r="AJ252" a="1"/>
  <c r="AJ252" s="1"/>
  <c r="AJ420" a="1"/>
  <c r="AJ420" s="1"/>
  <c r="AJ218" a="1"/>
  <c r="AJ218" s="1"/>
  <c r="AJ965" a="1"/>
  <c r="AJ965" s="1"/>
  <c r="AJ656" a="1"/>
  <c r="AJ656" s="1"/>
  <c r="AJ1255" a="1"/>
  <c r="AJ1255" s="1"/>
  <c r="AJ1347" a="1"/>
  <c r="AJ1347" s="1"/>
  <c r="AJ1339" a="1"/>
  <c r="AJ1339" s="1"/>
  <c r="AJ506" a="1"/>
  <c r="AJ506" s="1"/>
  <c r="AJ219" a="1"/>
  <c r="AJ219" s="1"/>
  <c r="AJ262" a="1"/>
  <c r="AJ262" s="1"/>
  <c r="AJ699" a="1"/>
  <c r="AJ699" s="1"/>
  <c r="AJ745" a="1"/>
  <c r="AJ745" s="1"/>
  <c r="AJ1113" a="1"/>
  <c r="AJ1113" s="1"/>
  <c r="AJ1221" a="1"/>
  <c r="AJ1221" s="1"/>
  <c r="AJ1403" a="1"/>
  <c r="AJ1403" s="1"/>
  <c r="AJ1401" a="1"/>
  <c r="AJ1401" s="1"/>
  <c r="AJ104" a="1"/>
  <c r="AJ104" s="1"/>
  <c r="AJ331" a="1"/>
  <c r="AJ331" s="1"/>
  <c r="AJ1086" a="1"/>
  <c r="AJ1086" s="1"/>
  <c r="AJ504" a="1"/>
  <c r="AJ504" s="1"/>
  <c r="AJ1348" a="1"/>
  <c r="AJ1348" s="1"/>
  <c r="AJ1340" a="1"/>
  <c r="AJ1340" s="1"/>
  <c r="AJ251" a="1"/>
  <c r="AJ251" s="1"/>
  <c r="AJ309" a="1"/>
  <c r="AJ309" s="1"/>
  <c r="AJ254" a="1"/>
  <c r="AJ254" s="1"/>
  <c r="AJ113" a="1"/>
  <c r="AJ113" s="1"/>
  <c r="AJ256" a="1"/>
  <c r="AJ256" s="1"/>
  <c r="AJ212" a="1"/>
  <c r="AJ212" s="1"/>
  <c r="AJ263" a="1"/>
  <c r="AJ263" s="1"/>
  <c r="AJ143" a="1"/>
  <c r="AJ143" s="1"/>
  <c r="AJ818" a="1"/>
  <c r="AJ818" s="1"/>
  <c r="AJ1254" a="1"/>
  <c r="AJ1254" s="1"/>
  <c r="AJ1349" a="1"/>
  <c r="AJ1349" s="1"/>
  <c r="AJ1341" a="1"/>
  <c r="AJ1341" s="1"/>
  <c r="AJ258" a="1"/>
  <c r="AJ258" s="1"/>
  <c r="AJ213" a="1"/>
  <c r="AJ213" s="1"/>
  <c r="AJ264" a="1"/>
  <c r="AJ264" s="1"/>
  <c r="AJ3" a="1"/>
  <c r="AJ3" s="1"/>
  <c r="AJ732" a="1"/>
  <c r="AJ732" s="1"/>
  <c r="AJ746" a="1"/>
  <c r="AJ746" s="1"/>
  <c r="AJ962" a="1"/>
  <c r="AJ962" s="1"/>
  <c r="AJ145" a="1"/>
  <c r="AJ145" s="1"/>
  <c r="AJ1404" a="1"/>
  <c r="AJ1404" s="1"/>
  <c r="AJ144" a="1"/>
  <c r="AJ144" s="1"/>
  <c r="AJ287" a="1"/>
  <c r="AJ287" s="1"/>
  <c r="AJ152" a="1"/>
  <c r="AJ152" s="1"/>
  <c r="AJ817" a="1"/>
  <c r="AJ817" s="1"/>
  <c r="AJ1342" a="1"/>
  <c r="AJ1342" s="1"/>
  <c r="AJ1346" a="1"/>
  <c r="AJ1346" s="1"/>
  <c r="AJ253" a="1"/>
  <c r="AJ253" s="1"/>
  <c r="AJ214" a="1"/>
  <c r="AJ214" s="1"/>
  <c r="AJ217" a="1"/>
  <c r="AJ217" s="1"/>
  <c r="AJ2" a="1"/>
  <c r="AJ2" s="1"/>
  <c r="AJ963" a="1"/>
  <c r="AJ963" s="1"/>
  <c r="AJ1085" a="1"/>
  <c r="AJ1085" s="1"/>
  <c r="AJ657" a="1"/>
  <c r="AJ657" s="1"/>
  <c r="AJ1253" a="1"/>
  <c r="AJ1253" s="1"/>
  <c r="AJ1343" a="1"/>
  <c r="AJ1343" s="1"/>
  <c r="AJ259" a="1"/>
  <c r="AJ259" s="1"/>
  <c r="AJ257" a="1"/>
  <c r="AJ257" s="1"/>
  <c r="AJ215" a="1"/>
  <c r="AJ215" s="1"/>
  <c r="AJ1400" a="1"/>
  <c r="AJ1400" s="1"/>
  <c r="AJ334" a="1"/>
  <c r="AJ334" s="1"/>
  <c r="AJ332" a="1"/>
  <c r="AJ332" s="1"/>
  <c r="AJ1344" a="1"/>
  <c r="AJ1344" s="1"/>
  <c r="AJ964" a="1"/>
  <c r="AJ964" s="1"/>
  <c r="AJ260" a="1"/>
  <c r="AJ260" s="1"/>
  <c r="AJ255" a="1"/>
  <c r="AJ255" s="1"/>
  <c r="AJ112" a="1"/>
  <c r="AJ112" s="1"/>
  <c r="AJ261" a="1"/>
  <c r="AJ261" s="1"/>
  <c r="AJ216" a="1"/>
  <c r="AJ216" s="1"/>
  <c r="AJ421" a="1"/>
  <c r="AJ421" s="1"/>
  <c r="AJ922" a="1"/>
  <c r="AJ922" s="1"/>
  <c r="AJ505" a="1"/>
  <c r="AJ505" s="1"/>
  <c r="AJ1171" a="1"/>
  <c r="AJ1171" s="1"/>
  <c r="AJ1252" a="1"/>
  <c r="AJ1252" s="1"/>
  <c r="AJ1345" a="1"/>
  <c r="AJ1345" s="1"/>
  <c r="C3" i="50"/>
  <c r="AG1241" i="5" s="1"/>
  <c r="C4" i="50"/>
  <c r="C5"/>
  <c r="C6"/>
  <c r="C7"/>
  <c r="C8"/>
  <c r="C9"/>
  <c r="C10"/>
  <c r="C11"/>
  <c r="C12"/>
  <c r="C13"/>
  <c r="C14"/>
  <c r="C15"/>
  <c r="C16"/>
  <c r="C17"/>
  <c r="C18"/>
  <c r="C19"/>
  <c r="C20"/>
  <c r="C21"/>
  <c r="C22"/>
  <c r="C23"/>
  <c r="C24"/>
  <c r="C25"/>
  <c r="C26"/>
  <c r="C27"/>
  <c r="C28"/>
  <c r="C29"/>
  <c r="C30"/>
  <c r="C31"/>
  <c r="C32"/>
  <c r="C33"/>
  <c r="AG1008" i="5"/>
  <c r="AG756"/>
  <c r="AG737"/>
  <c r="F3" i="49"/>
  <c r="F4"/>
  <c r="F5"/>
  <c r="F6"/>
  <c r="F7"/>
  <c r="AF1243" i="5" s="1"/>
  <c r="F8" i="49"/>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2"/>
  <c r="D2"/>
  <c r="D3"/>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AE1205" i="5"/>
  <c r="AE175"/>
  <c r="AE1053"/>
  <c r="AE1054"/>
  <c r="AE507"/>
  <c r="AE658"/>
  <c r="AE779"/>
  <c r="AE278"/>
  <c r="AE176"/>
  <c r="AE178"/>
  <c r="AE1055"/>
  <c r="AE1057"/>
  <c r="AE228"/>
  <c r="AE229"/>
  <c r="AE338"/>
  <c r="AE339"/>
  <c r="AE340"/>
  <c r="AE230"/>
  <c r="AE1012"/>
  <c r="AE1066"/>
  <c r="AE279"/>
  <c r="AE86"/>
  <c r="AE139"/>
  <c r="AE280"/>
  <c r="AE96"/>
  <c r="AE241"/>
  <c r="AE337"/>
  <c r="AE510"/>
  <c r="AE298"/>
  <c r="AE405"/>
  <c r="AE529"/>
  <c r="AE530"/>
  <c r="AE531"/>
  <c r="AE532"/>
  <c r="AE716"/>
  <c r="AE712"/>
  <c r="AE713"/>
  <c r="AE424"/>
  <c r="AE348"/>
  <c r="AE350"/>
  <c r="AE1413"/>
  <c r="AE511"/>
  <c r="AE18"/>
  <c r="AE56"/>
  <c r="AE758"/>
  <c r="AE1150"/>
  <c r="AE993"/>
  <c r="AE1350"/>
  <c r="AE302"/>
  <c r="AE772"/>
  <c r="AE1026"/>
  <c r="AE755"/>
  <c r="AE756"/>
  <c r="AE1148"/>
  <c r="AE1149"/>
  <c r="AE468"/>
  <c r="AE1027"/>
  <c r="AE19"/>
  <c r="AE469"/>
  <c r="AE1398"/>
  <c r="AE1399"/>
  <c r="AE92"/>
  <c r="AE1397"/>
  <c r="AE93"/>
  <c r="AE1336"/>
  <c r="AE1337"/>
  <c r="AE725"/>
  <c r="AE726"/>
  <c r="AE727"/>
  <c r="AE1008"/>
  <c r="AE1270"/>
  <c r="AE770"/>
  <c r="AE1268"/>
  <c r="AE1282"/>
  <c r="AE1283"/>
  <c r="AE1284"/>
  <c r="AE1285"/>
  <c r="AE293"/>
  <c r="AE664"/>
  <c r="AE508"/>
  <c r="AE665"/>
  <c r="AE666"/>
  <c r="AE204"/>
  <c r="AE1011"/>
  <c r="AE1063"/>
  <c r="AE1064"/>
  <c r="AE668"/>
  <c r="AE180"/>
  <c r="AE1163"/>
  <c r="AE1164"/>
  <c r="AE771"/>
  <c r="AE606"/>
  <c r="AE607"/>
  <c r="AE636"/>
  <c r="AE802"/>
  <c r="AE1092"/>
  <c r="AE1304"/>
  <c r="AE486"/>
  <c r="AE153"/>
  <c r="AE1153"/>
  <c r="AE1138"/>
  <c r="AE512"/>
  <c r="AE1372"/>
  <c r="AE393"/>
  <c r="AE392"/>
  <c r="AE717"/>
  <c r="AE171"/>
  <c r="AE1410"/>
  <c r="AE718"/>
  <c r="AE719"/>
  <c r="AE720"/>
  <c r="AE1373"/>
  <c r="AE1374"/>
  <c r="AE690"/>
  <c r="AE691"/>
  <c r="AE1375"/>
  <c r="AE783"/>
  <c r="AE1062"/>
  <c r="AE232"/>
  <c r="AE233"/>
  <c r="AE408"/>
  <c r="AE733"/>
  <c r="AE51"/>
  <c r="AE955"/>
  <c r="AE58"/>
  <c r="AE700"/>
  <c r="AE6"/>
  <c r="AE477"/>
  <c r="AE282"/>
  <c r="AE319"/>
  <c r="AE320"/>
  <c r="AE398"/>
  <c r="AE399"/>
  <c r="AE572"/>
  <c r="AE573"/>
  <c r="AE491"/>
  <c r="AE1050"/>
  <c r="AE592"/>
  <c r="AE1367"/>
  <c r="AE738"/>
  <c r="AE481"/>
  <c r="AE304"/>
  <c r="AE272"/>
  <c r="AE224"/>
  <c r="AE32"/>
  <c r="AE493"/>
  <c r="AE643"/>
  <c r="AE1241"/>
  <c r="AE924"/>
  <c r="AE925"/>
  <c r="AE1242"/>
  <c r="AE436"/>
  <c r="AE437"/>
  <c r="AE626"/>
  <c r="AE627"/>
  <c r="AE109"/>
  <c r="AE644"/>
  <c r="AE1243"/>
  <c r="AE749"/>
  <c r="AE750"/>
  <c r="AE751"/>
  <c r="AE940"/>
  <c r="AE941"/>
  <c r="AE897"/>
  <c r="AE701"/>
  <c r="AE911"/>
  <c r="AE912"/>
  <c r="AE913"/>
  <c r="AE914"/>
  <c r="AE974"/>
  <c r="AE1065"/>
  <c r="AE316"/>
  <c r="AE1140"/>
  <c r="AE1141"/>
  <c r="AE660"/>
  <c r="AE618"/>
  <c r="AE976"/>
  <c r="AE1087"/>
  <c r="AE849"/>
  <c r="AE654"/>
  <c r="AE655"/>
  <c r="AE784"/>
  <c r="AE1135"/>
  <c r="AE1078"/>
  <c r="AE728"/>
  <c r="AE620"/>
  <c r="AE409"/>
  <c r="AE729"/>
  <c r="AE1244"/>
  <c r="AE967"/>
  <c r="AE401"/>
  <c r="AE907"/>
  <c r="AE402"/>
  <c r="AE1044"/>
  <c r="AE1052"/>
  <c r="AE1046"/>
  <c r="AE403"/>
  <c r="AE438"/>
  <c r="AE147"/>
  <c r="AE81"/>
  <c r="AE898"/>
  <c r="AE94"/>
  <c r="AE1088"/>
  <c r="AE1430"/>
  <c r="AE611"/>
  <c r="AE1143"/>
  <c r="AE1144"/>
  <c r="AE1145"/>
  <c r="AE1154"/>
  <c r="AE641"/>
  <c r="AE107"/>
  <c r="AE1089"/>
  <c r="AE240"/>
  <c r="AE820"/>
  <c r="AE821"/>
  <c r="AE1412"/>
  <c r="AE822"/>
  <c r="AE1069"/>
  <c r="AE1112"/>
  <c r="AE670"/>
  <c r="AE471"/>
  <c r="AE300"/>
  <c r="AE518"/>
  <c r="AE194"/>
  <c r="AE1415"/>
  <c r="AE195"/>
  <c r="AE621"/>
  <c r="AE899"/>
  <c r="AE88"/>
  <c r="AE479"/>
  <c r="AE1001"/>
  <c r="AE1362"/>
  <c r="AE91"/>
  <c r="AE472"/>
  <c r="AE17"/>
  <c r="AE1218"/>
  <c r="AE60"/>
  <c r="AE65"/>
  <c r="AE1136"/>
  <c r="AE900"/>
  <c r="AE1352"/>
  <c r="AE600"/>
  <c r="AE155"/>
  <c r="AE318"/>
  <c r="AE1364"/>
  <c r="AE1353"/>
  <c r="AE439"/>
  <c r="AE985"/>
  <c r="AE630"/>
  <c r="AE1379"/>
  <c r="AE785"/>
  <c r="AE764"/>
  <c r="AE273"/>
  <c r="AE1083"/>
  <c r="AE890"/>
  <c r="AE892"/>
  <c r="AE893"/>
  <c r="AE994"/>
  <c r="AE138"/>
  <c r="AE141"/>
  <c r="AE1047"/>
  <c r="AE926"/>
  <c r="AE1247"/>
  <c r="AE274"/>
  <c r="AE82"/>
  <c r="AE1002"/>
  <c r="AE629"/>
  <c r="AE804"/>
  <c r="AE574"/>
  <c r="AE575"/>
  <c r="AE1237"/>
  <c r="AE556"/>
  <c r="AE577"/>
  <c r="AE578"/>
  <c r="AE276"/>
  <c r="AE1048"/>
  <c r="AE942"/>
  <c r="AE943"/>
  <c r="AE944"/>
  <c r="AE759"/>
  <c r="AE760"/>
  <c r="AE761"/>
  <c r="AE1256"/>
  <c r="AE288"/>
  <c r="AE1003"/>
  <c r="AE739"/>
  <c r="AE310"/>
  <c r="AE946"/>
  <c r="AE947"/>
  <c r="AE927"/>
  <c r="AE851"/>
  <c r="AE1257"/>
  <c r="AE773"/>
  <c r="AE1129"/>
  <c r="AE52"/>
  <c r="AE1381"/>
  <c r="AE1382"/>
  <c r="AE956"/>
  <c r="AE1383"/>
  <c r="AE1384"/>
  <c r="AE803"/>
  <c r="AE45"/>
  <c r="AE73"/>
  <c r="AE1014"/>
  <c r="AE1007"/>
  <c r="AE1015"/>
  <c r="AE1028"/>
  <c r="AE61"/>
  <c r="AE634"/>
  <c r="AE608"/>
  <c r="AE314"/>
  <c r="AE451"/>
  <c r="AE482"/>
  <c r="AE903"/>
  <c r="AE34"/>
  <c r="AE291"/>
  <c r="AE579"/>
  <c r="AE581"/>
  <c r="AE582"/>
  <c r="AE1322"/>
  <c r="AE1250"/>
  <c r="AE1251"/>
  <c r="AE1106"/>
  <c r="AE1107"/>
  <c r="AE1323"/>
  <c r="AE35"/>
  <c r="AE698"/>
  <c r="AE740"/>
  <c r="AE741"/>
  <c r="AE1010"/>
  <c r="AE742"/>
  <c r="AE743"/>
  <c r="AE929"/>
  <c r="AE960"/>
  <c r="AE931"/>
  <c r="AE932"/>
  <c r="AE466"/>
  <c r="AE1330"/>
  <c r="AE404"/>
  <c r="AE631"/>
  <c r="AE765"/>
  <c r="AE723"/>
  <c r="AE957"/>
  <c r="AE66"/>
  <c r="AE1067"/>
  <c r="AE100"/>
  <c r="AE1299"/>
  <c r="AE1300"/>
  <c r="AE921"/>
  <c r="AE986"/>
  <c r="AE560"/>
  <c r="AE561"/>
  <c r="AE766"/>
  <c r="AE378"/>
  <c r="AE1431"/>
  <c r="AE1432"/>
  <c r="AE1090"/>
  <c r="AE182"/>
  <c r="AE1165"/>
  <c r="AE1166"/>
  <c r="AE165"/>
  <c r="AE426"/>
  <c r="AE351"/>
  <c r="AE1022"/>
  <c r="AE458"/>
  <c r="AE786"/>
  <c r="AE623"/>
  <c r="AE475"/>
  <c r="AE1296"/>
  <c r="AE1114"/>
  <c r="AE1115"/>
  <c r="AE427"/>
  <c r="AE459"/>
  <c r="AE172"/>
  <c r="AE173"/>
  <c r="AE42"/>
  <c r="AE43"/>
  <c r="AE220"/>
  <c r="AE1269"/>
  <c r="AE1091"/>
  <c r="AE179"/>
  <c r="AE342"/>
  <c r="AE168"/>
  <c r="AE1408"/>
  <c r="AE514"/>
  <c r="AE352"/>
  <c r="AE1167"/>
  <c r="AE515"/>
  <c r="AE193"/>
  <c r="AE1168"/>
  <c r="AE1211"/>
  <c r="AE383"/>
  <c r="AE265"/>
  <c r="AE185"/>
  <c r="AE187"/>
  <c r="AE896"/>
  <c r="AE460"/>
  <c r="AE1416"/>
  <c r="AE384"/>
  <c r="AE235"/>
  <c r="AE95"/>
  <c r="AE148"/>
  <c r="AE188"/>
  <c r="AE1169"/>
  <c r="AE935"/>
  <c r="AE936"/>
  <c r="AE236"/>
  <c r="AE237"/>
  <c r="AE1127"/>
  <c r="AE1170"/>
  <c r="AE189"/>
  <c r="AE1313"/>
  <c r="AE1314"/>
  <c r="AE693"/>
  <c r="AE1334"/>
  <c r="AE190"/>
  <c r="AE534"/>
  <c r="AE270"/>
  <c r="AE449"/>
  <c r="AE207"/>
  <c r="AE238"/>
  <c r="AE379"/>
  <c r="AE1354"/>
  <c r="AE1355"/>
  <c r="AE1356"/>
  <c r="AE385"/>
  <c r="AE1357"/>
  <c r="AE551"/>
  <c r="AE570"/>
  <c r="AE781"/>
  <c r="AE414"/>
  <c r="AE415"/>
  <c r="AE552"/>
  <c r="AE553"/>
  <c r="AE571"/>
  <c r="AE537"/>
  <c r="AE54"/>
  <c r="AE67"/>
  <c r="AE1116"/>
  <c r="AE787"/>
  <c r="AE762"/>
  <c r="AE1101"/>
  <c r="AE476"/>
  <c r="AE1131"/>
  <c r="AE428"/>
  <c r="AE1385"/>
  <c r="AE102"/>
  <c r="AE1259"/>
  <c r="AE1260"/>
  <c r="AE1261"/>
  <c r="AE8"/>
  <c r="AE417"/>
  <c r="AE767"/>
  <c r="AE566"/>
  <c r="AE567"/>
  <c r="AE1173"/>
  <c r="AE74"/>
  <c r="AE736"/>
  <c r="AE1102"/>
  <c r="AE1317"/>
  <c r="AE1318"/>
  <c r="AE695"/>
  <c r="AE1262"/>
  <c r="AE1263"/>
  <c r="AE9"/>
  <c r="AE1280"/>
  <c r="AE1319"/>
  <c r="AE1320"/>
  <c r="AE28"/>
  <c r="AE1133"/>
  <c r="AE590"/>
  <c r="AE805"/>
  <c r="AE806"/>
  <c r="AE1249"/>
  <c r="AE1035"/>
  <c r="AE588"/>
  <c r="AE1036"/>
  <c r="AE589"/>
  <c r="AE559"/>
  <c r="AE284"/>
  <c r="AE285"/>
  <c r="AE1037"/>
  <c r="AE706"/>
  <c r="AE782"/>
  <c r="AE1103"/>
  <c r="AE429"/>
  <c r="AE29"/>
  <c r="AE69"/>
  <c r="AE1038"/>
  <c r="AE39"/>
  <c r="AE1108"/>
  <c r="AE1109"/>
  <c r="AE1289"/>
  <c r="AE682"/>
  <c r="AE247"/>
  <c r="AE754"/>
  <c r="AE406"/>
  <c r="AE737"/>
  <c r="AE55"/>
  <c r="AE1291"/>
  <c r="AE683"/>
  <c r="AE1009"/>
  <c r="AE1058"/>
  <c r="AE1040"/>
  <c r="AE386"/>
  <c r="AE1157"/>
  <c r="AE684"/>
  <c r="AE76"/>
  <c r="AE793"/>
  <c r="AE598"/>
  <c r="AE70"/>
  <c r="AE796"/>
  <c r="AE387"/>
  <c r="AE1158"/>
  <c r="AE708"/>
  <c r="AE709"/>
  <c r="AE1361"/>
  <c r="AE642"/>
  <c r="AE1074"/>
  <c r="AE519"/>
  <c r="AE1041"/>
  <c r="AE1160"/>
  <c r="AE710"/>
  <c r="AE1099"/>
  <c r="AE563"/>
  <c r="AE1161"/>
  <c r="AE154"/>
  <c r="AE1024"/>
  <c r="AE1025"/>
  <c r="AE852"/>
  <c r="AE845"/>
  <c r="AE853"/>
  <c r="AE846"/>
  <c r="AE520"/>
  <c r="AE978"/>
  <c r="AE21"/>
  <c r="AE915"/>
  <c r="AE970"/>
  <c r="AE971"/>
  <c r="AE972"/>
  <c r="AE1146"/>
  <c r="AE918"/>
  <c r="AE980"/>
  <c r="AE565"/>
  <c r="AE1032"/>
  <c r="AE546"/>
  <c r="AE669"/>
  <c r="AE516"/>
  <c r="AE517"/>
  <c r="AE353"/>
  <c r="AE730"/>
  <c r="AE731"/>
  <c r="AE391"/>
  <c r="AE1378"/>
  <c r="AE1387"/>
  <c r="AE1388"/>
  <c r="AE826"/>
  <c r="AE827"/>
  <c r="AE828"/>
  <c r="AE829"/>
  <c r="AE831"/>
  <c r="AE1174"/>
  <c r="AE209"/>
  <c r="AE297"/>
  <c r="AE1104"/>
  <c r="AE990"/>
  <c r="AE991"/>
  <c r="AE984"/>
  <c r="AE614"/>
  <c r="AE547"/>
  <c r="AE832"/>
  <c r="AE833"/>
  <c r="AE446"/>
  <c r="AE633"/>
  <c r="AE286"/>
  <c r="AE1395"/>
  <c r="AE834"/>
  <c r="AE835"/>
  <c r="AE696"/>
  <c r="AE697"/>
  <c r="AE906"/>
  <c r="AE961"/>
  <c r="AE1292"/>
  <c r="AE150"/>
  <c r="AE548"/>
  <c r="AE296"/>
  <c r="AE294"/>
  <c r="AE1306"/>
  <c r="AE836"/>
  <c r="AE837"/>
  <c r="AE838"/>
  <c r="AE839"/>
  <c r="AE1093"/>
  <c r="AE549"/>
  <c r="AE1414"/>
  <c r="AE295"/>
  <c r="AE824"/>
  <c r="AE819"/>
  <c r="AE162"/>
  <c r="AE1309"/>
  <c r="AE163"/>
  <c r="AE455"/>
  <c r="AE164"/>
  <c r="AE1406"/>
  <c r="AE456"/>
  <c r="AE1293"/>
  <c r="AE937"/>
  <c r="AE1294"/>
  <c r="AE1068"/>
  <c r="AE1295"/>
  <c r="AE844"/>
  <c r="AE840"/>
  <c r="AE1105"/>
  <c r="AE411"/>
  <c r="AE711"/>
  <c r="AE412"/>
  <c r="AE268"/>
  <c r="AE4"/>
  <c r="AE687"/>
  <c r="AE688"/>
  <c r="AE715"/>
  <c r="AE841"/>
  <c r="AE842"/>
  <c r="AE843"/>
  <c r="AE996"/>
  <c r="AE84"/>
  <c r="AE857"/>
  <c r="AE815"/>
  <c r="AE934"/>
  <c r="AE46"/>
  <c r="AE632"/>
  <c r="AE1407"/>
  <c r="AE490"/>
  <c r="AE920"/>
  <c r="AE1396"/>
  <c r="AE1004"/>
  <c r="AE1005"/>
  <c r="AE968"/>
  <c r="AE858"/>
  <c r="AE859"/>
  <c r="AE860"/>
  <c r="AE861"/>
  <c r="AE862"/>
  <c r="AE863"/>
  <c r="AE864"/>
  <c r="AE865"/>
  <c r="AE866"/>
  <c r="AE867"/>
  <c r="AE868"/>
  <c r="AE869"/>
  <c r="AE870"/>
  <c r="AE871"/>
  <c r="AE872"/>
  <c r="AE873"/>
  <c r="AE874"/>
  <c r="AE875"/>
  <c r="AE876"/>
  <c r="AE354"/>
  <c r="AE355"/>
  <c r="AE356"/>
  <c r="AE357"/>
  <c r="AE358"/>
  <c r="AE359"/>
  <c r="AE360"/>
  <c r="AE361"/>
  <c r="AE362"/>
  <c r="AE363"/>
  <c r="AE364"/>
  <c r="AE365"/>
  <c r="AE366"/>
  <c r="AE367"/>
  <c r="AE368"/>
  <c r="AE369"/>
  <c r="AE675"/>
  <c r="AE676"/>
  <c r="AE677"/>
  <c r="AE678"/>
  <c r="AE679"/>
  <c r="AE160"/>
  <c r="AE321"/>
  <c r="AE322"/>
  <c r="AE494"/>
  <c r="AE646"/>
  <c r="AE647"/>
  <c r="AE807"/>
  <c r="AE808"/>
  <c r="AE497"/>
  <c r="AE648"/>
  <c r="AE809"/>
  <c r="AE810"/>
  <c r="AE325"/>
  <c r="AE326"/>
  <c r="AE498"/>
  <c r="AE499"/>
  <c r="AE650"/>
  <c r="AE653"/>
  <c r="AE812"/>
  <c r="AE813"/>
  <c r="AE814"/>
  <c r="AE1082"/>
  <c r="AE329"/>
  <c r="AE502"/>
  <c r="AE1118"/>
  <c r="AE1120"/>
  <c r="AE432"/>
  <c r="AE1122"/>
  <c r="AE433"/>
  <c r="AE521"/>
  <c r="AE461"/>
  <c r="AE462"/>
  <c r="AE617"/>
  <c r="AE463"/>
  <c r="AE524"/>
  <c r="AE525"/>
  <c r="AE526"/>
  <c r="AE196"/>
  <c r="AE197"/>
  <c r="AE673"/>
  <c r="AE528"/>
  <c r="AE111"/>
  <c r="AE434"/>
  <c r="AE13"/>
  <c r="AE271"/>
  <c r="AE31"/>
  <c r="AE599"/>
  <c r="AE624"/>
  <c r="AE625"/>
  <c r="AE1030"/>
  <c r="AE1031"/>
  <c r="AE894"/>
  <c r="AE222"/>
  <c r="AE269"/>
  <c r="AE12"/>
  <c r="AE22"/>
  <c r="AE23"/>
  <c r="AE705"/>
  <c r="AE753"/>
  <c r="AE25"/>
  <c r="AE950"/>
  <c r="AE951"/>
  <c r="AE48"/>
  <c r="AE1394"/>
  <c r="AE1418"/>
  <c r="AE1425"/>
  <c r="AE1427"/>
  <c r="AE1428"/>
  <c r="AE1429"/>
  <c r="AE1433"/>
  <c r="AG1205"/>
  <c r="AG175"/>
  <c r="AG1006"/>
  <c r="AG1053"/>
  <c r="AG1054"/>
  <c r="AG507"/>
  <c r="AG659"/>
  <c r="AG335"/>
  <c r="AG779"/>
  <c r="AG278"/>
  <c r="AG1055"/>
  <c r="AG1056"/>
  <c r="AG1057"/>
  <c r="AG228"/>
  <c r="AG338"/>
  <c r="AG230"/>
  <c r="AG1264"/>
  <c r="AG1012"/>
  <c r="AG1066"/>
  <c r="AG279"/>
  <c r="AG86"/>
  <c r="AG139"/>
  <c r="AG280"/>
  <c r="AG96"/>
  <c r="AG97"/>
  <c r="AG241"/>
  <c r="AG344"/>
  <c r="AG667"/>
  <c r="AG337"/>
  <c r="AG281"/>
  <c r="AG405"/>
  <c r="AG529"/>
  <c r="AG530"/>
  <c r="AG531"/>
  <c r="AG532"/>
  <c r="AG716"/>
  <c r="AG713"/>
  <c r="AG685"/>
  <c r="AG422"/>
  <c r="AG423"/>
  <c r="AG533"/>
  <c r="AG348"/>
  <c r="AG350"/>
  <c r="AG480"/>
  <c r="AG18"/>
  <c r="AG56"/>
  <c r="AG16"/>
  <c r="AG1134"/>
  <c r="AG758"/>
  <c r="AG1150"/>
  <c r="AG594"/>
  <c r="AG301"/>
  <c r="AG993"/>
  <c r="AG1350"/>
  <c r="AG302"/>
  <c r="AG755"/>
  <c r="AG1148"/>
  <c r="AG1149"/>
  <c r="AG469"/>
  <c r="AG470"/>
  <c r="AG1398"/>
  <c r="AG1399"/>
  <c r="AG92"/>
  <c r="AG1335"/>
  <c r="AG1076"/>
  <c r="AG1397"/>
  <c r="AG142"/>
  <c r="AG93"/>
  <c r="AG1336"/>
  <c r="AG1337"/>
  <c r="AG1338"/>
  <c r="AG725"/>
  <c r="AG726"/>
  <c r="AG727"/>
  <c r="AG770"/>
  <c r="AG1282"/>
  <c r="AG1283"/>
  <c r="AG1284"/>
  <c r="AG1285"/>
  <c r="AG1265"/>
  <c r="AG609"/>
  <c r="AG293"/>
  <c r="AG202"/>
  <c r="AG664"/>
  <c r="AG336"/>
  <c r="AG509"/>
  <c r="AG1210"/>
  <c r="AG1011"/>
  <c r="AG1064"/>
  <c r="AG771"/>
  <c r="AG607"/>
  <c r="AG636"/>
  <c r="AG802"/>
  <c r="AG1304"/>
  <c r="AG149"/>
  <c r="AG450"/>
  <c r="AG484"/>
  <c r="AG485"/>
  <c r="AG98"/>
  <c r="AG153"/>
  <c r="AG1152"/>
  <c r="AG1153"/>
  <c r="AG1138"/>
  <c r="AG346"/>
  <c r="AG392"/>
  <c r="AG717"/>
  <c r="AG186"/>
  <c r="AG171"/>
  <c r="AG1410"/>
  <c r="AG719"/>
  <c r="AG720"/>
  <c r="AG1373"/>
  <c r="AG1374"/>
  <c r="AG690"/>
  <c r="AG691"/>
  <c r="AG1375"/>
  <c r="AG1402"/>
  <c r="AG90"/>
  <c r="AG1151"/>
  <c r="AG783"/>
  <c r="AG595"/>
  <c r="AG596"/>
  <c r="AG1062"/>
  <c r="AG231"/>
  <c r="AG232"/>
  <c r="AG233"/>
  <c r="AG303"/>
  <c r="AG408"/>
  <c r="AG700"/>
  <c r="AG6"/>
  <c r="AG477"/>
  <c r="AG282"/>
  <c r="AG319"/>
  <c r="AG320"/>
  <c r="AG398"/>
  <c r="AG572"/>
  <c r="AG573"/>
  <c r="AG491"/>
  <c r="AG492"/>
  <c r="AG1239"/>
  <c r="AG1240"/>
  <c r="AG591"/>
  <c r="AG592"/>
  <c r="AG593"/>
  <c r="AG1367"/>
  <c r="AG923"/>
  <c r="AG224"/>
  <c r="AG924"/>
  <c r="AG925"/>
  <c r="AG1242"/>
  <c r="AG436"/>
  <c r="AG437"/>
  <c r="AG626"/>
  <c r="AG627"/>
  <c r="AG108"/>
  <c r="AG109"/>
  <c r="AG1051"/>
  <c r="AG79"/>
  <c r="AG306"/>
  <c r="AG644"/>
  <c r="AG645"/>
  <c r="AG225"/>
  <c r="AG226"/>
  <c r="AG749"/>
  <c r="AG750"/>
  <c r="AG751"/>
  <c r="AG939"/>
  <c r="AG940"/>
  <c r="AG941"/>
  <c r="AG897"/>
  <c r="AG701"/>
  <c r="AG15"/>
  <c r="AG912"/>
  <c r="AG913"/>
  <c r="AG974"/>
  <c r="AG1065"/>
  <c r="AG316"/>
  <c r="AG1140"/>
  <c r="AG1141"/>
  <c r="AG660"/>
  <c r="AG618"/>
  <c r="AG661"/>
  <c r="AG454"/>
  <c r="AG1087"/>
  <c r="AG848"/>
  <c r="AG503"/>
  <c r="AG849"/>
  <c r="AG654"/>
  <c r="AG655"/>
  <c r="AG850"/>
  <c r="AG1135"/>
  <c r="AG1078"/>
  <c r="AG728"/>
  <c r="AG729"/>
  <c r="AG967"/>
  <c r="AG401"/>
  <c r="AG140"/>
  <c r="AG444"/>
  <c r="AG1046"/>
  <c r="AG478"/>
  <c r="AG403"/>
  <c r="AG146"/>
  <c r="AG438"/>
  <c r="AG147"/>
  <c r="AG83"/>
  <c r="AG898"/>
  <c r="AG94"/>
  <c r="AG1088"/>
  <c r="AG1430"/>
  <c r="AG489"/>
  <c r="AG610"/>
  <c r="AG611"/>
  <c r="AG641"/>
  <c r="AG820"/>
  <c r="AG821"/>
  <c r="AG181"/>
  <c r="AG1195"/>
  <c r="AG1411"/>
  <c r="AG1412"/>
  <c r="AG822"/>
  <c r="AG1112"/>
  <c r="AG442"/>
  <c r="AG670"/>
  <c r="AG299"/>
  <c r="AG471"/>
  <c r="AG300"/>
  <c r="AG518"/>
  <c r="AG194"/>
  <c r="AG1415"/>
  <c r="AG621"/>
  <c r="AG899"/>
  <c r="AG479"/>
  <c r="AG17"/>
  <c r="AG757"/>
  <c r="AG1218"/>
  <c r="AG65"/>
  <c r="AG900"/>
  <c r="AG1363"/>
  <c r="AG1352"/>
  <c r="AG318"/>
  <c r="AG439"/>
  <c r="AG985"/>
  <c r="AG630"/>
  <c r="AG1379"/>
  <c r="AG952"/>
  <c r="AG1203"/>
  <c r="AG49"/>
  <c r="AG953"/>
  <c r="AG999"/>
  <c r="AG763"/>
  <c r="AG764"/>
  <c r="AG597"/>
  <c r="AG1043"/>
  <c r="AG890"/>
  <c r="AG892"/>
  <c r="AG893"/>
  <c r="AG994"/>
  <c r="AG138"/>
  <c r="AG926"/>
  <c r="AG1247"/>
  <c r="AG274"/>
  <c r="AG82"/>
  <c r="AG804"/>
  <c r="AG574"/>
  <c r="AG575"/>
  <c r="AG901"/>
  <c r="AG443"/>
  <c r="AG1237"/>
  <c r="AG1238"/>
  <c r="AG275"/>
  <c r="AG556"/>
  <c r="AG558"/>
  <c r="AG577"/>
  <c r="AG276"/>
  <c r="AG942"/>
  <c r="AG944"/>
  <c r="AG1256"/>
  <c r="AG288"/>
  <c r="AG1003"/>
  <c r="AG739"/>
  <c r="AG310"/>
  <c r="AG946"/>
  <c r="AG947"/>
  <c r="AG927"/>
  <c r="AG928"/>
  <c r="AG447"/>
  <c r="AG289"/>
  <c r="AG311"/>
  <c r="AG312"/>
  <c r="AG851"/>
  <c r="AG1380"/>
  <c r="AG773"/>
  <c r="AG1129"/>
  <c r="AG52"/>
  <c r="AG1381"/>
  <c r="AG1382"/>
  <c r="AG956"/>
  <c r="AG1384"/>
  <c r="AG803"/>
  <c r="AG1073"/>
  <c r="AG45"/>
  <c r="AG73"/>
  <c r="AG1014"/>
  <c r="AG1007"/>
  <c r="AG61"/>
  <c r="AG20"/>
  <c r="AG973"/>
  <c r="AG748"/>
  <c r="AG605"/>
  <c r="AG634"/>
  <c r="AG487"/>
  <c r="AG608"/>
  <c r="AG639"/>
  <c r="AG948"/>
  <c r="AG902"/>
  <c r="AG903"/>
  <c r="AG34"/>
  <c r="AG291"/>
  <c r="AG77"/>
  <c r="AG580"/>
  <c r="AG581"/>
  <c r="AG582"/>
  <c r="AG1322"/>
  <c r="AG1250"/>
  <c r="AG1251"/>
  <c r="AG1106"/>
  <c r="AG1107"/>
  <c r="AG583"/>
  <c r="AG584"/>
  <c r="AG585"/>
  <c r="AG440"/>
  <c r="AG441"/>
  <c r="AG452"/>
  <c r="AG488"/>
  <c r="AG740"/>
  <c r="AG741"/>
  <c r="AG635"/>
  <c r="AG1010"/>
  <c r="AG742"/>
  <c r="AG743"/>
  <c r="AG929"/>
  <c r="AG930"/>
  <c r="AG959"/>
  <c r="AG932"/>
  <c r="AG466"/>
  <c r="AG404"/>
  <c r="AG631"/>
  <c r="AG765"/>
  <c r="AG798"/>
  <c r="AG799"/>
  <c r="AG1365"/>
  <c r="AG1297"/>
  <c r="AG1298"/>
  <c r="AG1130"/>
  <c r="AG957"/>
  <c r="AG66"/>
  <c r="AG1029"/>
  <c r="AG1310"/>
  <c r="AG1311"/>
  <c r="AG1299"/>
  <c r="AG1300"/>
  <c r="AG1301"/>
  <c r="AG921"/>
  <c r="AG560"/>
  <c r="AG378"/>
  <c r="AG234"/>
  <c r="AG1125"/>
  <c r="AG1432"/>
  <c r="AG1196"/>
  <c r="AG1090"/>
  <c r="AG182"/>
  <c r="AG1165"/>
  <c r="AG242"/>
  <c r="AG1166"/>
  <c r="AG165"/>
  <c r="AG426"/>
  <c r="AG513"/>
  <c r="AG1020"/>
  <c r="AG1021"/>
  <c r="AG1070"/>
  <c r="AG1022"/>
  <c r="AG458"/>
  <c r="AG786"/>
  <c r="AG623"/>
  <c r="AG475"/>
  <c r="AG1296"/>
  <c r="AG1114"/>
  <c r="AG1115"/>
  <c r="AG427"/>
  <c r="AG459"/>
  <c r="AG172"/>
  <c r="AG173"/>
  <c r="AG174"/>
  <c r="AG42"/>
  <c r="AG43"/>
  <c r="AG220"/>
  <c r="AG221"/>
  <c r="AG1269"/>
  <c r="AG1091"/>
  <c r="AG179"/>
  <c r="AG342"/>
  <c r="AG167"/>
  <c r="AG168"/>
  <c r="AG1408"/>
  <c r="AG352"/>
  <c r="AG1167"/>
  <c r="AG515"/>
  <c r="AG347"/>
  <c r="AG1168"/>
  <c r="AG343"/>
  <c r="AG382"/>
  <c r="AG383"/>
  <c r="AG265"/>
  <c r="AG1271"/>
  <c r="AG184"/>
  <c r="AG187"/>
  <c r="AG1222"/>
  <c r="AG735"/>
  <c r="AG460"/>
  <c r="AG1416"/>
  <c r="AG384"/>
  <c r="AG235"/>
  <c r="AG95"/>
  <c r="AG188"/>
  <c r="AG1169"/>
  <c r="AG236"/>
  <c r="AG237"/>
  <c r="AG266"/>
  <c r="AG637"/>
  <c r="AG638"/>
  <c r="AG568"/>
  <c r="AG243"/>
  <c r="AG1170"/>
  <c r="AG189"/>
  <c r="AG44"/>
  <c r="AG223"/>
  <c r="AG1313"/>
  <c r="AG190"/>
  <c r="AG270"/>
  <c r="AG1202"/>
  <c r="AG949"/>
  <c r="AG449"/>
  <c r="AG207"/>
  <c r="AG244"/>
  <c r="AG245"/>
  <c r="AG246"/>
  <c r="AG379"/>
  <c r="AG385"/>
  <c r="AG1357"/>
  <c r="AG208"/>
  <c r="AG569"/>
  <c r="AG535"/>
  <c r="AG780"/>
  <c r="AG413"/>
  <c r="AG1358"/>
  <c r="AG551"/>
  <c r="AG570"/>
  <c r="AG781"/>
  <c r="AG414"/>
  <c r="AG415"/>
  <c r="AG552"/>
  <c r="AG553"/>
  <c r="AG537"/>
  <c r="AG538"/>
  <c r="AG54"/>
  <c r="AG67"/>
  <c r="AG1116"/>
  <c r="AG787"/>
  <c r="AG1101"/>
  <c r="AG476"/>
  <c r="AG1131"/>
  <c r="AG1386"/>
  <c r="AG102"/>
  <c r="AG1272"/>
  <c r="AG1273"/>
  <c r="AG1315"/>
  <c r="AG1316"/>
  <c r="AG694"/>
  <c r="AG1274"/>
  <c r="AG1259"/>
  <c r="AG7"/>
  <c r="AG1260"/>
  <c r="AG1261"/>
  <c r="AG416"/>
  <c r="AG767"/>
  <c r="AG566"/>
  <c r="AG567"/>
  <c r="AG1172"/>
  <c r="AG1173"/>
  <c r="AG736"/>
  <c r="AG958"/>
  <c r="AG1317"/>
  <c r="AG1318"/>
  <c r="AG695"/>
  <c r="AG1262"/>
  <c r="AG1263"/>
  <c r="AG1275"/>
  <c r="AG10"/>
  <c r="AG1277"/>
  <c r="AG1278"/>
  <c r="AG1279"/>
  <c r="AG37"/>
  <c r="AG1319"/>
  <c r="AG28"/>
  <c r="AG1186"/>
  <c r="AG795"/>
  <c r="AG1034"/>
  <c r="AG27"/>
  <c r="AG1133"/>
  <c r="AG590"/>
  <c r="AG307"/>
  <c r="AG1248"/>
  <c r="AG1249"/>
  <c r="AG1035"/>
  <c r="AG586"/>
  <c r="AG588"/>
  <c r="AG1036"/>
  <c r="AG589"/>
  <c r="AG559"/>
  <c r="AG284"/>
  <c r="AG285"/>
  <c r="AG908"/>
  <c r="AG1287"/>
  <c r="AG800"/>
  <c r="AG1288"/>
  <c r="AG1132"/>
  <c r="AG1038"/>
  <c r="AG39"/>
  <c r="AG40"/>
  <c r="AG41"/>
  <c r="AG1108"/>
  <c r="AG1109"/>
  <c r="AG682"/>
  <c r="AG754"/>
  <c r="AG26"/>
  <c r="AG211"/>
  <c r="AG683"/>
  <c r="AG1009"/>
  <c r="AG1058"/>
  <c r="AG684"/>
  <c r="AG707"/>
  <c r="AG1059"/>
  <c r="AG1060"/>
  <c r="AG76"/>
  <c r="AG793"/>
  <c r="AG794"/>
  <c r="AG598"/>
  <c r="AG796"/>
  <c r="AG1158"/>
  <c r="AG708"/>
  <c r="AG709"/>
  <c r="AG1061"/>
  <c r="AG101"/>
  <c r="AG72"/>
  <c r="AG388"/>
  <c r="AG1159"/>
  <c r="AG1360"/>
  <c r="AG613"/>
  <c r="AG642"/>
  <c r="AG1074"/>
  <c r="AG519"/>
  <c r="AG797"/>
  <c r="AG1041"/>
  <c r="AG562"/>
  <c r="AG710"/>
  <c r="AG1099"/>
  <c r="AG1023"/>
  <c r="AG1161"/>
  <c r="AG445"/>
  <c r="AG1042"/>
  <c r="AG852"/>
  <c r="AG845"/>
  <c r="AG853"/>
  <c r="AG846"/>
  <c r="AG847"/>
  <c r="AG99"/>
  <c r="AG1072"/>
  <c r="AG989"/>
  <c r="AG977"/>
  <c r="AG915"/>
  <c r="AG972"/>
  <c r="AG916"/>
  <c r="AG917"/>
  <c r="AG918"/>
  <c r="AG981"/>
  <c r="AG982"/>
  <c r="AG669"/>
  <c r="AG353"/>
  <c r="AG855"/>
  <c r="AG856"/>
  <c r="AG103"/>
  <c r="AG390"/>
  <c r="AG731"/>
  <c r="AG391"/>
  <c r="AG1377"/>
  <c r="AG1387"/>
  <c r="AG1388"/>
  <c r="AG827"/>
  <c r="AG828"/>
  <c r="AG829"/>
  <c r="AG830"/>
  <c r="AG587"/>
  <c r="AG1174"/>
  <c r="AG209"/>
  <c r="AG418"/>
  <c r="AG614"/>
  <c r="AG674"/>
  <c r="AG823"/>
  <c r="AG697"/>
  <c r="AG788"/>
  <c r="AG905"/>
  <c r="AG906"/>
  <c r="AG961"/>
  <c r="AG602"/>
  <c r="AG1292"/>
  <c r="AG150"/>
  <c r="AG548"/>
  <c r="AG296"/>
  <c r="AG1306"/>
  <c r="AG789"/>
  <c r="AG790"/>
  <c r="AG839"/>
  <c r="AG791"/>
  <c r="AG792"/>
  <c r="AG1093"/>
  <c r="AG549"/>
  <c r="AG1414"/>
  <c r="AG295"/>
  <c r="AG317"/>
  <c r="AG824"/>
  <c r="AG1308"/>
  <c r="AG819"/>
  <c r="AG162"/>
  <c r="AG1309"/>
  <c r="AG1016"/>
  <c r="AG163"/>
  <c r="AG455"/>
  <c r="AG164"/>
  <c r="AG1406"/>
  <c r="AG456"/>
  <c r="AG1293"/>
  <c r="AG937"/>
  <c r="AG1294"/>
  <c r="AG1018"/>
  <c r="AG938"/>
  <c r="AG844"/>
  <c r="AG411"/>
  <c r="AG711"/>
  <c r="AG412"/>
  <c r="AG381"/>
  <c r="AG239"/>
  <c r="AG704"/>
  <c r="AG267"/>
  <c r="AG268"/>
  <c r="AG4"/>
  <c r="AG687"/>
  <c r="AG689"/>
  <c r="AG714"/>
  <c r="AG715"/>
  <c r="AG841"/>
  <c r="AG842"/>
  <c r="AG843"/>
  <c r="AG996"/>
  <c r="AG84"/>
  <c r="AG85"/>
  <c r="AG934"/>
  <c r="AG46"/>
  <c r="AG1124"/>
  <c r="AG1407"/>
  <c r="AG920"/>
  <c r="AG1396"/>
  <c r="AG909"/>
  <c r="AG968"/>
  <c r="AG858"/>
  <c r="AG859"/>
  <c r="AG860"/>
  <c r="AG861"/>
  <c r="AG862"/>
  <c r="AG863"/>
  <c r="AG864"/>
  <c r="AG865"/>
  <c r="AG866"/>
  <c r="AG867"/>
  <c r="AG868"/>
  <c r="AG869"/>
  <c r="AG870"/>
  <c r="AG872"/>
  <c r="AG873"/>
  <c r="AG874"/>
  <c r="AG875"/>
  <c r="AG876"/>
  <c r="AG354"/>
  <c r="AG355"/>
  <c r="AG356"/>
  <c r="AG357"/>
  <c r="AG359"/>
  <c r="AG360"/>
  <c r="AG361"/>
  <c r="AG362"/>
  <c r="AG363"/>
  <c r="AG364"/>
  <c r="AG365"/>
  <c r="AG366"/>
  <c r="AG367"/>
  <c r="AG368"/>
  <c r="AG369"/>
  <c r="AG675"/>
  <c r="AG676"/>
  <c r="AG678"/>
  <c r="AG679"/>
  <c r="AG158"/>
  <c r="AG159"/>
  <c r="AG160"/>
  <c r="AG161"/>
  <c r="AG321"/>
  <c r="AG322"/>
  <c r="AG494"/>
  <c r="AG495"/>
  <c r="AG646"/>
  <c r="AG647"/>
  <c r="AG323"/>
  <c r="AG648"/>
  <c r="AG649"/>
  <c r="AG809"/>
  <c r="AG325"/>
  <c r="AG326"/>
  <c r="AG498"/>
  <c r="AG499"/>
  <c r="AG327"/>
  <c r="AG652"/>
  <c r="AG653"/>
  <c r="AG811"/>
  <c r="AG812"/>
  <c r="AG813"/>
  <c r="AG814"/>
  <c r="AG1081"/>
  <c r="AG1082"/>
  <c r="AG431"/>
  <c r="AG1119"/>
  <c r="AG1120"/>
  <c r="AG1121"/>
  <c r="AG1122"/>
  <c r="AG433"/>
  <c r="AG617"/>
  <c r="AG522"/>
  <c r="AG671"/>
  <c r="AG775"/>
  <c r="AG523"/>
  <c r="AG524"/>
  <c r="AG110"/>
  <c r="AG525"/>
  <c r="AG526"/>
  <c r="AG673"/>
  <c r="AG389"/>
  <c r="AG434"/>
  <c r="AG13"/>
  <c r="AG400"/>
  <c r="AG271"/>
  <c r="AG30"/>
  <c r="AG1049"/>
  <c r="AG31"/>
  <c r="AG1031"/>
  <c r="AG1075"/>
  <c r="AG1234"/>
  <c r="AG1235"/>
  <c r="AG1236"/>
  <c r="AG435"/>
  <c r="AG397"/>
  <c r="AG269"/>
  <c r="AG23"/>
  <c r="AG705"/>
  <c r="AG753"/>
  <c r="AG778"/>
  <c r="AG24"/>
  <c r="AG25"/>
  <c r="AG63"/>
  <c r="AG64"/>
  <c r="AG1418"/>
  <c r="AG1419"/>
  <c r="AG1420"/>
  <c r="AG1421"/>
  <c r="AG1422"/>
  <c r="AG1423"/>
  <c r="AG1424"/>
  <c r="AG1425"/>
  <c r="AG1426"/>
  <c r="AG1427"/>
  <c r="AG1428"/>
  <c r="AG1429"/>
  <c r="AG1433"/>
  <c r="AF175"/>
  <c r="AF1006"/>
  <c r="AF1053"/>
  <c r="AF1054"/>
  <c r="AF507"/>
  <c r="AF659"/>
  <c r="AF335"/>
  <c r="AF177"/>
  <c r="AF178"/>
  <c r="AF1055"/>
  <c r="AF1056"/>
  <c r="AF1057"/>
  <c r="AF228"/>
  <c r="AF229"/>
  <c r="AF338"/>
  <c r="AF339"/>
  <c r="AF340"/>
  <c r="AF341"/>
  <c r="AF1267"/>
  <c r="AF1012"/>
  <c r="AF1013"/>
  <c r="AF1066"/>
  <c r="AF279"/>
  <c r="AF96"/>
  <c r="AF97"/>
  <c r="AF241"/>
  <c r="AF667"/>
  <c r="AF337"/>
  <c r="AF510"/>
  <c r="AF281"/>
  <c r="AF298"/>
  <c r="AF405"/>
  <c r="AF529"/>
  <c r="AF530"/>
  <c r="AF531"/>
  <c r="AF532"/>
  <c r="AF716"/>
  <c r="AF712"/>
  <c r="AF713"/>
  <c r="AF685"/>
  <c r="AF686"/>
  <c r="AF422"/>
  <c r="AF423"/>
  <c r="AF424"/>
  <c r="AF533"/>
  <c r="AF348"/>
  <c r="AF349"/>
  <c r="AF350"/>
  <c r="AF1413"/>
  <c r="AF511"/>
  <c r="AF480"/>
  <c r="AF18"/>
  <c r="AF56"/>
  <c r="AF16"/>
  <c r="AF1134"/>
  <c r="AF758"/>
  <c r="AF1150"/>
  <c r="AF594"/>
  <c r="AF301"/>
  <c r="AF993"/>
  <c r="AF1350"/>
  <c r="AF302"/>
  <c r="AF772"/>
  <c r="AF1026"/>
  <c r="AF755"/>
  <c r="AF756"/>
  <c r="AF1148"/>
  <c r="AF1149"/>
  <c r="AF468"/>
  <c r="AF1027"/>
  <c r="AF1219"/>
  <c r="AF1220"/>
  <c r="AF50"/>
  <c r="AF954"/>
  <c r="AF19"/>
  <c r="AF57"/>
  <c r="AF1398"/>
  <c r="AF1399"/>
  <c r="AF92"/>
  <c r="AF1335"/>
  <c r="AF1076"/>
  <c r="AF1397"/>
  <c r="AF142"/>
  <c r="AF89"/>
  <c r="AF93"/>
  <c r="AF1336"/>
  <c r="AF1337"/>
  <c r="AF1338"/>
  <c r="AF725"/>
  <c r="AF726"/>
  <c r="AF727"/>
  <c r="AF1268"/>
  <c r="AF1282"/>
  <c r="AF1283"/>
  <c r="AF1284"/>
  <c r="AF1285"/>
  <c r="AF202"/>
  <c r="AF664"/>
  <c r="AF336"/>
  <c r="AF509"/>
  <c r="AF665"/>
  <c r="AF666"/>
  <c r="AF1209"/>
  <c r="AF1210"/>
  <c r="AF203"/>
  <c r="AF204"/>
  <c r="AF1063"/>
  <c r="AF1064"/>
  <c r="AF662"/>
  <c r="AF1163"/>
  <c r="AF1164"/>
  <c r="AF606"/>
  <c r="AF607"/>
  <c r="AF636"/>
  <c r="AF802"/>
  <c r="AF1092"/>
  <c r="AF1304"/>
  <c r="AF149"/>
  <c r="AF450"/>
  <c r="AF484"/>
  <c r="AF485"/>
  <c r="AF486"/>
  <c r="AF105"/>
  <c r="AF153"/>
  <c r="AF106"/>
  <c r="AF1152"/>
  <c r="AF1153"/>
  <c r="AF1138"/>
  <c r="AF512"/>
  <c r="AF345"/>
  <c r="AF346"/>
  <c r="AF1372"/>
  <c r="AF393"/>
  <c r="AF718"/>
  <c r="AF719"/>
  <c r="AF720"/>
  <c r="AF1373"/>
  <c r="AF1374"/>
  <c r="AF690"/>
  <c r="AF691"/>
  <c r="AF1375"/>
  <c r="AF1376"/>
  <c r="AF394"/>
  <c r="AF1151"/>
  <c r="AF783"/>
  <c r="AF595"/>
  <c r="AF596"/>
  <c r="AF303"/>
  <c r="AF408"/>
  <c r="AF51"/>
  <c r="AF955"/>
  <c r="AF58"/>
  <c r="AF59"/>
  <c r="AF700"/>
  <c r="AF6"/>
  <c r="AF477"/>
  <c r="AF282"/>
  <c r="AF319"/>
  <c r="AF320"/>
  <c r="AF398"/>
  <c r="AF399"/>
  <c r="AF572"/>
  <c r="AF573"/>
  <c r="AF492"/>
  <c r="AF1239"/>
  <c r="AF1240"/>
  <c r="AF277"/>
  <c r="AF227"/>
  <c r="AF78"/>
  <c r="AF1050"/>
  <c r="AF1367"/>
  <c r="AF1368"/>
  <c r="AF738"/>
  <c r="AF481"/>
  <c r="AF923"/>
  <c r="AF304"/>
  <c r="AF272"/>
  <c r="AF224"/>
  <c r="AF32"/>
  <c r="AF283"/>
  <c r="AF493"/>
  <c r="AF643"/>
  <c r="AF1241"/>
  <c r="AF924"/>
  <c r="AF925"/>
  <c r="AF1242"/>
  <c r="AF436"/>
  <c r="AF1000"/>
  <c r="AF1051"/>
  <c r="AF79"/>
  <c r="AF305"/>
  <c r="AF306"/>
  <c r="AF644"/>
  <c r="AF645"/>
  <c r="AF749"/>
  <c r="AF750"/>
  <c r="AF751"/>
  <c r="AF939"/>
  <c r="AF940"/>
  <c r="AF941"/>
  <c r="AF15"/>
  <c r="AF911"/>
  <c r="AF912"/>
  <c r="AF913"/>
  <c r="AF914"/>
  <c r="AF975"/>
  <c r="AF1065"/>
  <c r="AF316"/>
  <c r="AF1139"/>
  <c r="AF1140"/>
  <c r="AF1141"/>
  <c r="AF660"/>
  <c r="AF1077"/>
  <c r="AF453"/>
  <c r="AF661"/>
  <c r="AF976"/>
  <c r="AF454"/>
  <c r="AF1087"/>
  <c r="AF848"/>
  <c r="AF503"/>
  <c r="AF849"/>
  <c r="AF654"/>
  <c r="AF655"/>
  <c r="AF850"/>
  <c r="AF784"/>
  <c r="AF1135"/>
  <c r="AF1078"/>
  <c r="AF619"/>
  <c r="AF728"/>
  <c r="AF620"/>
  <c r="AF409"/>
  <c r="AF729"/>
  <c r="AF966"/>
  <c r="AF1244"/>
  <c r="AF967"/>
  <c r="AF401"/>
  <c r="AF907"/>
  <c r="AF402"/>
  <c r="AF1044"/>
  <c r="AF1052"/>
  <c r="AF1045"/>
  <c r="AF80"/>
  <c r="AF140"/>
  <c r="AF444"/>
  <c r="AF1046"/>
  <c r="AF478"/>
  <c r="AF1405"/>
  <c r="AF403"/>
  <c r="AF146"/>
  <c r="AF438"/>
  <c r="AF147"/>
  <c r="AF81"/>
  <c r="AF83"/>
  <c r="AF94"/>
  <c r="AF1088"/>
  <c r="AF1430"/>
  <c r="AF489"/>
  <c r="AF610"/>
  <c r="AF611"/>
  <c r="AF1142"/>
  <c r="AF1143"/>
  <c r="AF1144"/>
  <c r="AF1145"/>
  <c r="AF1154"/>
  <c r="AF641"/>
  <c r="AF107"/>
  <c r="AF1089"/>
  <c r="AF240"/>
  <c r="AF1369"/>
  <c r="AF550"/>
  <c r="AF205"/>
  <c r="AF206"/>
  <c r="AF181"/>
  <c r="AF395"/>
  <c r="AF396"/>
  <c r="AF425"/>
  <c r="AF442"/>
  <c r="AF670"/>
  <c r="AF300"/>
  <c r="AF518"/>
  <c r="AF194"/>
  <c r="AF1415"/>
  <c r="AF195"/>
  <c r="AF621"/>
  <c r="AF88"/>
  <c r="AF479"/>
  <c r="AF628"/>
  <c r="AF601"/>
  <c r="AF1245"/>
  <c r="AF1246"/>
  <c r="AF1362"/>
  <c r="AF1351"/>
  <c r="AF622"/>
  <c r="AF472"/>
  <c r="AF17"/>
  <c r="AF757"/>
  <c r="AF1218"/>
  <c r="AF473"/>
  <c r="AF474"/>
  <c r="AF60"/>
  <c r="AF65"/>
  <c r="AF1136"/>
  <c r="AF1363"/>
  <c r="AF1352"/>
  <c r="AF600"/>
  <c r="AF155"/>
  <c r="AF318"/>
  <c r="AF1364"/>
  <c r="AF1353"/>
  <c r="AF439"/>
  <c r="AF985"/>
  <c r="AF630"/>
  <c r="AF1379"/>
  <c r="AF785"/>
  <c r="AF952"/>
  <c r="AF1203"/>
  <c r="AF49"/>
  <c r="AF953"/>
  <c r="AF1137"/>
  <c r="AF999"/>
  <c r="AF273"/>
  <c r="AF1083"/>
  <c r="AF1043"/>
  <c r="AF892"/>
  <c r="AF893"/>
  <c r="AF994"/>
  <c r="AF138"/>
  <c r="AF995"/>
  <c r="AF141"/>
  <c r="AF1047"/>
  <c r="AF926"/>
  <c r="AF1247"/>
  <c r="AF274"/>
  <c r="AF82"/>
  <c r="AF1002"/>
  <c r="AF629"/>
  <c r="AF804"/>
  <c r="AF575"/>
  <c r="AF554"/>
  <c r="AF901"/>
  <c r="AF555"/>
  <c r="AF443"/>
  <c r="AF1237"/>
  <c r="AF1238"/>
  <c r="AF275"/>
  <c r="AF556"/>
  <c r="AF557"/>
  <c r="AF558"/>
  <c r="AF577"/>
  <c r="AF578"/>
  <c r="AF276"/>
  <c r="AF1084"/>
  <c r="AF1048"/>
  <c r="AF942"/>
  <c r="AF943"/>
  <c r="AF944"/>
  <c r="AF945"/>
  <c r="AF759"/>
  <c r="AF760"/>
  <c r="AF761"/>
  <c r="AF1256"/>
  <c r="AF288"/>
  <c r="AF1003"/>
  <c r="AF739"/>
  <c r="AF310"/>
  <c r="AF946"/>
  <c r="AF947"/>
  <c r="AF927"/>
  <c r="AF928"/>
  <c r="AF447"/>
  <c r="AF448"/>
  <c r="AF289"/>
  <c r="AF311"/>
  <c r="AF312"/>
  <c r="AF816"/>
  <c r="AF851"/>
  <c r="AF313"/>
  <c r="AF1257"/>
  <c r="AF1380"/>
  <c r="AF1129"/>
  <c r="AF734"/>
  <c r="AF52"/>
  <c r="AF1381"/>
  <c r="AF1382"/>
  <c r="AF956"/>
  <c r="AF53"/>
  <c r="AF1383"/>
  <c r="AF1384"/>
  <c r="AF45"/>
  <c r="AF73"/>
  <c r="AF1007"/>
  <c r="AF61"/>
  <c r="AF1258"/>
  <c r="AF20"/>
  <c r="AF290"/>
  <c r="AF973"/>
  <c r="AF748"/>
  <c r="AF604"/>
  <c r="AF605"/>
  <c r="AF634"/>
  <c r="AF487"/>
  <c r="AF608"/>
  <c r="AF639"/>
  <c r="AF314"/>
  <c r="AF451"/>
  <c r="AF482"/>
  <c r="AF483"/>
  <c r="AF948"/>
  <c r="AF902"/>
  <c r="AF903"/>
  <c r="AF34"/>
  <c r="AF291"/>
  <c r="AF579"/>
  <c r="AF77"/>
  <c r="AF580"/>
  <c r="AF581"/>
  <c r="AF582"/>
  <c r="AF1321"/>
  <c r="AF1322"/>
  <c r="AF1250"/>
  <c r="AF1251"/>
  <c r="AF1106"/>
  <c r="AF1107"/>
  <c r="AF1323"/>
  <c r="AF583"/>
  <c r="AF585"/>
  <c r="AF440"/>
  <c r="AF441"/>
  <c r="AF35"/>
  <c r="AF315"/>
  <c r="AF698"/>
  <c r="AF488"/>
  <c r="AF740"/>
  <c r="AF741"/>
  <c r="AF742"/>
  <c r="AF743"/>
  <c r="AF929"/>
  <c r="AF930"/>
  <c r="AF959"/>
  <c r="AF960"/>
  <c r="AF931"/>
  <c r="AF904"/>
  <c r="AF932"/>
  <c r="AF933"/>
  <c r="AF466"/>
  <c r="AF1330"/>
  <c r="AF404"/>
  <c r="AF631"/>
  <c r="AF765"/>
  <c r="AF798"/>
  <c r="AF799"/>
  <c r="AF1297"/>
  <c r="AF1298"/>
  <c r="AF721"/>
  <c r="AF722"/>
  <c r="AF723"/>
  <c r="AF724"/>
  <c r="AF1130"/>
  <c r="AF957"/>
  <c r="AF66"/>
  <c r="AF1311"/>
  <c r="AF1299"/>
  <c r="AF1300"/>
  <c r="AF1301"/>
  <c r="AF921"/>
  <c r="AF986"/>
  <c r="AF560"/>
  <c r="AF561"/>
  <c r="AF766"/>
  <c r="AF378"/>
  <c r="AF234"/>
  <c r="AF1155"/>
  <c r="AF1156"/>
  <c r="AF1194"/>
  <c r="AF1431"/>
  <c r="AF1125"/>
  <c r="AF182"/>
  <c r="AF1165"/>
  <c r="AF242"/>
  <c r="AF1166"/>
  <c r="AF165"/>
  <c r="AF426"/>
  <c r="AF513"/>
  <c r="AF351"/>
  <c r="AF1020"/>
  <c r="AF786"/>
  <c r="AF623"/>
  <c r="AF475"/>
  <c r="AF1114"/>
  <c r="AF1115"/>
  <c r="AF427"/>
  <c r="AF459"/>
  <c r="AF1302"/>
  <c r="AF1303"/>
  <c r="AF1312"/>
  <c r="AF987"/>
  <c r="AF988"/>
  <c r="AF1331"/>
  <c r="AF1332"/>
  <c r="AF692"/>
  <c r="AF172"/>
  <c r="AF173"/>
  <c r="AF174"/>
  <c r="AF42"/>
  <c r="AF43"/>
  <c r="AF220"/>
  <c r="AF221"/>
  <c r="AF1269"/>
  <c r="AF342"/>
  <c r="AF166"/>
  <c r="AF167"/>
  <c r="AF168"/>
  <c r="AF1408"/>
  <c r="AF1409"/>
  <c r="AF514"/>
  <c r="AF352"/>
  <c r="AF1167"/>
  <c r="AF193"/>
  <c r="AF1168"/>
  <c r="AF343"/>
  <c r="AF183"/>
  <c r="AF382"/>
  <c r="AF1286"/>
  <c r="AF383"/>
  <c r="AF1126"/>
  <c r="AF265"/>
  <c r="AF1271"/>
  <c r="AF184"/>
  <c r="AF185"/>
  <c r="AF187"/>
  <c r="AF735"/>
  <c r="AF460"/>
  <c r="AF1416"/>
  <c r="AF384"/>
  <c r="AF235"/>
  <c r="AF380"/>
  <c r="AF419"/>
  <c r="AF95"/>
  <c r="AF148"/>
  <c r="AF169"/>
  <c r="AF1370"/>
  <c r="AF188"/>
  <c r="AF1169"/>
  <c r="AF236"/>
  <c r="AF237"/>
  <c r="AF1127"/>
  <c r="AF266"/>
  <c r="AF637"/>
  <c r="AF638"/>
  <c r="AF568"/>
  <c r="AF243"/>
  <c r="AF1170"/>
  <c r="AF189"/>
  <c r="AF44"/>
  <c r="AF223"/>
  <c r="AF693"/>
  <c r="AF1333"/>
  <c r="AF1334"/>
  <c r="AF190"/>
  <c r="AF534"/>
  <c r="AF1202"/>
  <c r="AF949"/>
  <c r="AF449"/>
  <c r="AF207"/>
  <c r="AF244"/>
  <c r="AF245"/>
  <c r="AF246"/>
  <c r="AF238"/>
  <c r="AF379"/>
  <c r="AF1354"/>
  <c r="AF1355"/>
  <c r="AF1356"/>
  <c r="AF385"/>
  <c r="AF208"/>
  <c r="AF569"/>
  <c r="AF535"/>
  <c r="AF780"/>
  <c r="AF413"/>
  <c r="AF551"/>
  <c r="AF570"/>
  <c r="AF536"/>
  <c r="AF781"/>
  <c r="AF415"/>
  <c r="AF552"/>
  <c r="AF553"/>
  <c r="AF571"/>
  <c r="AF537"/>
  <c r="AF538"/>
  <c r="AF910"/>
  <c r="AF54"/>
  <c r="AF67"/>
  <c r="AF1116"/>
  <c r="AF787"/>
  <c r="AF762"/>
  <c r="AF1101"/>
  <c r="AF1131"/>
  <c r="AF428"/>
  <c r="AF1385"/>
  <c r="AF1386"/>
  <c r="AF102"/>
  <c r="AF1272"/>
  <c r="AF1273"/>
  <c r="AF36"/>
  <c r="AF694"/>
  <c r="AF7"/>
  <c r="AF8"/>
  <c r="AF416"/>
  <c r="AF417"/>
  <c r="AF566"/>
  <c r="AF567"/>
  <c r="AF1098"/>
  <c r="AF1172"/>
  <c r="AF1173"/>
  <c r="AF74"/>
  <c r="AF1102"/>
  <c r="AF695"/>
  <c r="AF1262"/>
  <c r="AF1263"/>
  <c r="AF9"/>
  <c r="AF1275"/>
  <c r="AF1276"/>
  <c r="AF10"/>
  <c r="AF1277"/>
  <c r="AF1278"/>
  <c r="AF11"/>
  <c r="AF1279"/>
  <c r="AF1280"/>
  <c r="AF37"/>
  <c r="AF28"/>
  <c r="AF1186"/>
  <c r="AF795"/>
  <c r="AF1034"/>
  <c r="AF27"/>
  <c r="AF1133"/>
  <c r="AF590"/>
  <c r="AF805"/>
  <c r="AF806"/>
  <c r="AF307"/>
  <c r="AF1248"/>
  <c r="AF1249"/>
  <c r="AF1035"/>
  <c r="AF586"/>
  <c r="AF588"/>
  <c r="AF1036"/>
  <c r="AF589"/>
  <c r="AF559"/>
  <c r="AF308"/>
  <c r="AF284"/>
  <c r="AF285"/>
  <c r="AF1037"/>
  <c r="AF1281"/>
  <c r="AF908"/>
  <c r="AF38"/>
  <c r="AF706"/>
  <c r="AF170"/>
  <c r="AF1371"/>
  <c r="AF75"/>
  <c r="AF1147"/>
  <c r="AF782"/>
  <c r="AF1103"/>
  <c r="AF429"/>
  <c r="AF1132"/>
  <c r="AF29"/>
  <c r="AF69"/>
  <c r="AF1038"/>
  <c r="AF39"/>
  <c r="AF40"/>
  <c r="AF41"/>
  <c r="AF1108"/>
  <c r="AF1109"/>
  <c r="AF1110"/>
  <c r="AF768"/>
  <c r="AF682"/>
  <c r="AF247"/>
  <c r="AF754"/>
  <c r="AF406"/>
  <c r="AF737"/>
  <c r="AF55"/>
  <c r="AF248"/>
  <c r="AF210"/>
  <c r="AF407"/>
  <c r="AF467"/>
  <c r="AF68"/>
  <c r="AF26"/>
  <c r="AF1009"/>
  <c r="AF1058"/>
  <c r="AF1039"/>
  <c r="AF1040"/>
  <c r="AF1059"/>
  <c r="AF1060"/>
  <c r="AF76"/>
  <c r="AF793"/>
  <c r="AF794"/>
  <c r="AF598"/>
  <c r="AF70"/>
  <c r="AF1158"/>
  <c r="AF1061"/>
  <c r="AF612"/>
  <c r="AF101"/>
  <c r="AF151"/>
  <c r="AF71"/>
  <c r="AF72"/>
  <c r="AF388"/>
  <c r="AF1159"/>
  <c r="AF613"/>
  <c r="AF642"/>
  <c r="AF1074"/>
  <c r="AF519"/>
  <c r="AF797"/>
  <c r="AF1041"/>
  <c r="AF562"/>
  <c r="AF1160"/>
  <c r="AF1023"/>
  <c r="AF1071"/>
  <c r="AF563"/>
  <c r="AF1161"/>
  <c r="AF1024"/>
  <c r="AF1025"/>
  <c r="AF445"/>
  <c r="AF1042"/>
  <c r="AF852"/>
  <c r="AF845"/>
  <c r="AF853"/>
  <c r="AF846"/>
  <c r="AF854"/>
  <c r="AF847"/>
  <c r="AF564"/>
  <c r="AF1072"/>
  <c r="AF989"/>
  <c r="AF520"/>
  <c r="AF977"/>
  <c r="AF978"/>
  <c r="AF21"/>
  <c r="AF979"/>
  <c r="AF915"/>
  <c r="AF969"/>
  <c r="AF970"/>
  <c r="AF971"/>
  <c r="AF972"/>
  <c r="AF1146"/>
  <c r="AF916"/>
  <c r="AF917"/>
  <c r="AF918"/>
  <c r="AF980"/>
  <c r="AF981"/>
  <c r="AF982"/>
  <c r="AF983"/>
  <c r="AF1162"/>
  <c r="AF565"/>
  <c r="AF1032"/>
  <c r="AF546"/>
  <c r="AF669"/>
  <c r="AF516"/>
  <c r="AF517"/>
  <c r="AF855"/>
  <c r="AF856"/>
  <c r="AF103"/>
  <c r="AF390"/>
  <c r="AF730"/>
  <c r="AF731"/>
  <c r="AF391"/>
  <c r="AF1377"/>
  <c r="AF1378"/>
  <c r="AF1387"/>
  <c r="AF1388"/>
  <c r="AF825"/>
  <c r="AF826"/>
  <c r="AF827"/>
  <c r="AF828"/>
  <c r="AF829"/>
  <c r="AF830"/>
  <c r="AF831"/>
  <c r="AF587"/>
  <c r="AF1174"/>
  <c r="AF209"/>
  <c r="AF297"/>
  <c r="AF1104"/>
  <c r="AF990"/>
  <c r="AF991"/>
  <c r="AF984"/>
  <c r="AF614"/>
  <c r="AF547"/>
  <c r="AF457"/>
  <c r="AF919"/>
  <c r="AF832"/>
  <c r="AF833"/>
  <c r="AF446"/>
  <c r="AF992"/>
  <c r="AF633"/>
  <c r="AF286"/>
  <c r="AF1395"/>
  <c r="AF62"/>
  <c r="AF834"/>
  <c r="AF835"/>
  <c r="AF696"/>
  <c r="AF697"/>
  <c r="AF752"/>
  <c r="AF702"/>
  <c r="AF703"/>
  <c r="AF788"/>
  <c r="AF905"/>
  <c r="AF906"/>
  <c r="AF961"/>
  <c r="AF602"/>
  <c r="AF548"/>
  <c r="AF296"/>
  <c r="AF1306"/>
  <c r="AF836"/>
  <c r="AF837"/>
  <c r="AF789"/>
  <c r="AF790"/>
  <c r="AF838"/>
  <c r="AF839"/>
  <c r="AF791"/>
  <c r="AF792"/>
  <c r="AF1093"/>
  <c r="AF1307"/>
  <c r="AF549"/>
  <c r="AF295"/>
  <c r="AF317"/>
  <c r="AF1308"/>
  <c r="AF819"/>
  <c r="AF162"/>
  <c r="AF1309"/>
  <c r="AF1016"/>
  <c r="AF1017"/>
  <c r="AF163"/>
  <c r="AF455"/>
  <c r="AF164"/>
  <c r="AF1406"/>
  <c r="AF456"/>
  <c r="AF1293"/>
  <c r="AF1294"/>
  <c r="AF1068"/>
  <c r="AF1295"/>
  <c r="AF1018"/>
  <c r="AF938"/>
  <c r="AF1019"/>
  <c r="AF410"/>
  <c r="AF844"/>
  <c r="AF840"/>
  <c r="AF1105"/>
  <c r="AF1100"/>
  <c r="AF411"/>
  <c r="AF711"/>
  <c r="AF412"/>
  <c r="AF381"/>
  <c r="AF239"/>
  <c r="AF704"/>
  <c r="AF267"/>
  <c r="AF268"/>
  <c r="AF4"/>
  <c r="AF687"/>
  <c r="AF688"/>
  <c r="AF689"/>
  <c r="AF714"/>
  <c r="AF715"/>
  <c r="AF841"/>
  <c r="AF842"/>
  <c r="AF843"/>
  <c r="AF996"/>
  <c r="AF84"/>
  <c r="AF85"/>
  <c r="AF857"/>
  <c r="AF815"/>
  <c r="AF934"/>
  <c r="AF430"/>
  <c r="AF14"/>
  <c r="AF1117"/>
  <c r="AF997"/>
  <c r="AF603"/>
  <c r="AF998"/>
  <c r="AF632"/>
  <c r="AF1124"/>
  <c r="AF1407"/>
  <c r="AF490"/>
  <c r="AF909"/>
  <c r="AF1004"/>
  <c r="AF1005"/>
  <c r="AF968"/>
  <c r="AF858"/>
  <c r="AF859"/>
  <c r="AF860"/>
  <c r="AF861"/>
  <c r="AF862"/>
  <c r="AF863"/>
  <c r="AF864"/>
  <c r="AF865"/>
  <c r="AF866"/>
  <c r="AF867"/>
  <c r="AF868"/>
  <c r="AF869"/>
  <c r="AF870"/>
  <c r="AF871"/>
  <c r="AF872"/>
  <c r="AF873"/>
  <c r="AF359"/>
  <c r="AF360"/>
  <c r="AF361"/>
  <c r="AF362"/>
  <c r="AF363"/>
  <c r="AF364"/>
  <c r="AF365"/>
  <c r="AF366"/>
  <c r="AF367"/>
  <c r="AF368"/>
  <c r="AF369"/>
  <c r="AF675"/>
  <c r="AF676"/>
  <c r="AF677"/>
  <c r="AF678"/>
  <c r="AF679"/>
  <c r="AF158"/>
  <c r="AF159"/>
  <c r="AF160"/>
  <c r="AF161"/>
  <c r="AF321"/>
  <c r="AF322"/>
  <c r="AF494"/>
  <c r="AF495"/>
  <c r="AF646"/>
  <c r="AF647"/>
  <c r="AF807"/>
  <c r="AF808"/>
  <c r="AF323"/>
  <c r="AF324"/>
  <c r="AF496"/>
  <c r="AF497"/>
  <c r="AF648"/>
  <c r="AF649"/>
  <c r="AF809"/>
  <c r="AF810"/>
  <c r="AF325"/>
  <c r="AF326"/>
  <c r="AF498"/>
  <c r="AF499"/>
  <c r="AF650"/>
  <c r="AF651"/>
  <c r="AF1079"/>
  <c r="AF1080"/>
  <c r="AF327"/>
  <c r="AF328"/>
  <c r="AF500"/>
  <c r="AF501"/>
  <c r="AF652"/>
  <c r="AF653"/>
  <c r="AF811"/>
  <c r="AF812"/>
  <c r="AF813"/>
  <c r="AF814"/>
  <c r="AF1081"/>
  <c r="AF1082"/>
  <c r="AF329"/>
  <c r="AF330"/>
  <c r="AF502"/>
  <c r="AF1118"/>
  <c r="AF431"/>
  <c r="AF1119"/>
  <c r="AF1120"/>
  <c r="AF432"/>
  <c r="AF1121"/>
  <c r="AF1122"/>
  <c r="AF433"/>
  <c r="AF521"/>
  <c r="AF461"/>
  <c r="AF464"/>
  <c r="AF615"/>
  <c r="AF462"/>
  <c r="AF617"/>
  <c r="AF463"/>
  <c r="AF616"/>
  <c r="AF774"/>
  <c r="AF522"/>
  <c r="AF671"/>
  <c r="AF775"/>
  <c r="AF523"/>
  <c r="AF524"/>
  <c r="AF110"/>
  <c r="AF525"/>
  <c r="AF526"/>
  <c r="AF196"/>
  <c r="AF672"/>
  <c r="AF527"/>
  <c r="AF197"/>
  <c r="AF673"/>
  <c r="AF528"/>
  <c r="AF111"/>
  <c r="AF1123"/>
  <c r="AF389"/>
  <c r="AF434"/>
  <c r="AF13"/>
  <c r="AF400"/>
  <c r="AF271"/>
  <c r="AF30"/>
  <c r="AF1049"/>
  <c r="AF31"/>
  <c r="AF599"/>
  <c r="AF624"/>
  <c r="AF625"/>
  <c r="AF1030"/>
  <c r="AF1031"/>
  <c r="AF1075"/>
  <c r="AF1234"/>
  <c r="AF1235"/>
  <c r="AF1236"/>
  <c r="AF435"/>
  <c r="AF397"/>
  <c r="AF894"/>
  <c r="AF1111"/>
  <c r="AF1128"/>
  <c r="AF222"/>
  <c r="AF269"/>
  <c r="AF12"/>
  <c r="AF895"/>
  <c r="AF22"/>
  <c r="AF23"/>
  <c r="AF705"/>
  <c r="AF753"/>
  <c r="AF778"/>
  <c r="AF24"/>
  <c r="AF25"/>
  <c r="AF63"/>
  <c r="AF64"/>
  <c r="AF1418"/>
  <c r="AF1419"/>
  <c r="AF1420"/>
  <c r="AF1421"/>
  <c r="AF1422"/>
  <c r="AF1423"/>
  <c r="AF1424"/>
  <c r="AF1425"/>
  <c r="AF1426"/>
  <c r="AF1427"/>
  <c r="AF1428"/>
  <c r="AF1429"/>
  <c r="AF1433"/>
  <c r="AD1205"/>
  <c r="AD175"/>
  <c r="AD1006"/>
  <c r="AD1053"/>
  <c r="AD1054"/>
  <c r="AD507"/>
  <c r="AD658"/>
  <c r="AD659"/>
  <c r="AD335"/>
  <c r="AD779"/>
  <c r="AD278"/>
  <c r="AD176"/>
  <c r="AD177"/>
  <c r="AD178"/>
  <c r="AD1055"/>
  <c r="AD1056"/>
  <c r="AD1057"/>
  <c r="AD228"/>
  <c r="AD229"/>
  <c r="AD338"/>
  <c r="AD339"/>
  <c r="AD340"/>
  <c r="AD341"/>
  <c r="AD663"/>
  <c r="AD1266"/>
  <c r="AD1267"/>
  <c r="AD230"/>
  <c r="AD1264"/>
  <c r="AD1012"/>
  <c r="AD1013"/>
  <c r="AD1066"/>
  <c r="AD279"/>
  <c r="AD86"/>
  <c r="AD87"/>
  <c r="AD139"/>
  <c r="AD280"/>
  <c r="AD96"/>
  <c r="AD97"/>
  <c r="AD241"/>
  <c r="AD344"/>
  <c r="AD667"/>
  <c r="AD337"/>
  <c r="AD510"/>
  <c r="AD281"/>
  <c r="AD298"/>
  <c r="AD405"/>
  <c r="AD529"/>
  <c r="AD530"/>
  <c r="AD531"/>
  <c r="AD532"/>
  <c r="AD716"/>
  <c r="AD712"/>
  <c r="AD713"/>
  <c r="AD685"/>
  <c r="AD686"/>
  <c r="AD422"/>
  <c r="AD423"/>
  <c r="AD424"/>
  <c r="AD533"/>
  <c r="AD348"/>
  <c r="AD349"/>
  <c r="AD350"/>
  <c r="AD1413"/>
  <c r="AD511"/>
  <c r="AD480"/>
  <c r="AD18"/>
  <c r="AD56"/>
  <c r="AD16"/>
  <c r="AD1134"/>
  <c r="AD758"/>
  <c r="AD1150"/>
  <c r="AD594"/>
  <c r="AD301"/>
  <c r="AD993"/>
  <c r="AD1350"/>
  <c r="AD302"/>
  <c r="AD772"/>
  <c r="AD1026"/>
  <c r="AD755"/>
  <c r="AD756"/>
  <c r="AD1148"/>
  <c r="AD1149"/>
  <c r="AD468"/>
  <c r="AD1027"/>
  <c r="AD1219"/>
  <c r="AD1220"/>
  <c r="AD50"/>
  <c r="AD954"/>
  <c r="AD19"/>
  <c r="AD57"/>
  <c r="AD469"/>
  <c r="AD470"/>
  <c r="AD1398"/>
  <c r="AD1399"/>
  <c r="AD92"/>
  <c r="AD1335"/>
  <c r="AD1076"/>
  <c r="AD1397"/>
  <c r="AD142"/>
  <c r="AD89"/>
  <c r="AD93"/>
  <c r="AD1336"/>
  <c r="AD1337"/>
  <c r="AD1338"/>
  <c r="AD725"/>
  <c r="AD726"/>
  <c r="AD727"/>
  <c r="AD1008"/>
  <c r="AD1270"/>
  <c r="AD770"/>
  <c r="AD1268"/>
  <c r="AD1282"/>
  <c r="AD1283"/>
  <c r="AD1284"/>
  <c r="AD1285"/>
  <c r="AD1265"/>
  <c r="AD609"/>
  <c r="AD640"/>
  <c r="AD292"/>
  <c r="AD293"/>
  <c r="AD202"/>
  <c r="AD664"/>
  <c r="AD336"/>
  <c r="AD508"/>
  <c r="AD509"/>
  <c r="AD665"/>
  <c r="AD666"/>
  <c r="AD1209"/>
  <c r="AD1210"/>
  <c r="AD203"/>
  <c r="AD204"/>
  <c r="AD1011"/>
  <c r="AD1063"/>
  <c r="AD1064"/>
  <c r="AD662"/>
  <c r="AD668"/>
  <c r="AD180"/>
  <c r="AD1163"/>
  <c r="AD1164"/>
  <c r="AD771"/>
  <c r="AD606"/>
  <c r="AD607"/>
  <c r="AD636"/>
  <c r="AD802"/>
  <c r="AD1092"/>
  <c r="AD1304"/>
  <c r="AD149"/>
  <c r="AD450"/>
  <c r="AD484"/>
  <c r="AD485"/>
  <c r="AD486"/>
  <c r="AD98"/>
  <c r="AD105"/>
  <c r="AD153"/>
  <c r="AD106"/>
  <c r="AD1152"/>
  <c r="AD1153"/>
  <c r="AD1138"/>
  <c r="AD512"/>
  <c r="AD345"/>
  <c r="AD346"/>
  <c r="AD1372"/>
  <c r="AD393"/>
  <c r="AD392"/>
  <c r="AD717"/>
  <c r="AD186"/>
  <c r="AD171"/>
  <c r="AD1410"/>
  <c r="AD718"/>
  <c r="AD719"/>
  <c r="AD720"/>
  <c r="AD1373"/>
  <c r="AD1374"/>
  <c r="AD690"/>
  <c r="AD691"/>
  <c r="AD1375"/>
  <c r="AD1376"/>
  <c r="AD394"/>
  <c r="AD1402"/>
  <c r="AD90"/>
  <c r="AD1151"/>
  <c r="AD783"/>
  <c r="AD595"/>
  <c r="AD596"/>
  <c r="AD1062"/>
  <c r="AD231"/>
  <c r="AD232"/>
  <c r="AD233"/>
  <c r="AD303"/>
  <c r="AD408"/>
  <c r="AD1204"/>
  <c r="AD733"/>
  <c r="AD51"/>
  <c r="AD955"/>
  <c r="AD58"/>
  <c r="AD59"/>
  <c r="AD700"/>
  <c r="AD6"/>
  <c r="AD477"/>
  <c r="AD282"/>
  <c r="AD319"/>
  <c r="AD320"/>
  <c r="AD398"/>
  <c r="AD399"/>
  <c r="AD572"/>
  <c r="AD573"/>
  <c r="AD491"/>
  <c r="AD492"/>
  <c r="AD1239"/>
  <c r="AD1240"/>
  <c r="AD277"/>
  <c r="AD227"/>
  <c r="AD78"/>
  <c r="AD1050"/>
  <c r="AD591"/>
  <c r="AD592"/>
  <c r="AD593"/>
  <c r="AD1367"/>
  <c r="AD1368"/>
  <c r="AD738"/>
  <c r="AD481"/>
  <c r="AD923"/>
  <c r="AD304"/>
  <c r="AD272"/>
  <c r="AD224"/>
  <c r="AD32"/>
  <c r="AD283"/>
  <c r="AD493"/>
  <c r="AD643"/>
  <c r="AD1241"/>
  <c r="AD924"/>
  <c r="AD925"/>
  <c r="AD1242"/>
  <c r="AD436"/>
  <c r="AD437"/>
  <c r="AD1000"/>
  <c r="AD626"/>
  <c r="AD627"/>
  <c r="AD108"/>
  <c r="AD109"/>
  <c r="AD1051"/>
  <c r="AD79"/>
  <c r="AD305"/>
  <c r="AD306"/>
  <c r="AD644"/>
  <c r="AD645"/>
  <c r="AD1243"/>
  <c r="AD225"/>
  <c r="AD226"/>
  <c r="AD749"/>
  <c r="AD750"/>
  <c r="AD751"/>
  <c r="AD939"/>
  <c r="AD940"/>
  <c r="AD941"/>
  <c r="AD897"/>
  <c r="AD701"/>
  <c r="AD15"/>
  <c r="AD911"/>
  <c r="AD912"/>
  <c r="AD913"/>
  <c r="AD914"/>
  <c r="AD974"/>
  <c r="AD975"/>
  <c r="AD1065"/>
  <c r="AD316"/>
  <c r="AD1139"/>
  <c r="AD1140"/>
  <c r="AD1141"/>
  <c r="AD660"/>
  <c r="AD618"/>
  <c r="AD1077"/>
  <c r="AD453"/>
  <c r="AD661"/>
  <c r="AD747"/>
  <c r="AD976"/>
  <c r="AD454"/>
  <c r="AD1087"/>
  <c r="AD848"/>
  <c r="AD503"/>
  <c r="AD849"/>
  <c r="AD654"/>
  <c r="AD655"/>
  <c r="AD850"/>
  <c r="AD784"/>
  <c r="AD1135"/>
  <c r="AD1078"/>
  <c r="AD619"/>
  <c r="AD728"/>
  <c r="AD620"/>
  <c r="AD409"/>
  <c r="AD729"/>
  <c r="AD966"/>
  <c r="AD1244"/>
  <c r="AD967"/>
  <c r="AD401"/>
  <c r="AD907"/>
  <c r="AD402"/>
  <c r="AD1044"/>
  <c r="AD1052"/>
  <c r="AD1045"/>
  <c r="AD80"/>
  <c r="AD140"/>
  <c r="AD444"/>
  <c r="AD1046"/>
  <c r="AD478"/>
  <c r="AD1405"/>
  <c r="AD403"/>
  <c r="AD146"/>
  <c r="AD438"/>
  <c r="AD147"/>
  <c r="AD81"/>
  <c r="AD83"/>
  <c r="AD898"/>
  <c r="AD94"/>
  <c r="AD1088"/>
  <c r="AD1430"/>
  <c r="AD489"/>
  <c r="AD610"/>
  <c r="AD611"/>
  <c r="AD1142"/>
  <c r="AD1143"/>
  <c r="AD1144"/>
  <c r="AD1145"/>
  <c r="AD1154"/>
  <c r="AD641"/>
  <c r="AD107"/>
  <c r="AD1089"/>
  <c r="AD240"/>
  <c r="AD820"/>
  <c r="AD821"/>
  <c r="AD1369"/>
  <c r="AD550"/>
  <c r="AD205"/>
  <c r="AD206"/>
  <c r="AD181"/>
  <c r="AD1195"/>
  <c r="AD395"/>
  <c r="AD1411"/>
  <c r="AD1412"/>
  <c r="AD822"/>
  <c r="AD396"/>
  <c r="AD425"/>
  <c r="AD1069"/>
  <c r="AD1112"/>
  <c r="AD442"/>
  <c r="AD670"/>
  <c r="AD299"/>
  <c r="AD471"/>
  <c r="AD300"/>
  <c r="AD518"/>
  <c r="AD194"/>
  <c r="AD1415"/>
  <c r="AD195"/>
  <c r="AD621"/>
  <c r="AD899"/>
  <c r="AD88"/>
  <c r="AD479"/>
  <c r="AD1001"/>
  <c r="AD33"/>
  <c r="AD628"/>
  <c r="AD601"/>
  <c r="AD1245"/>
  <c r="AD1246"/>
  <c r="AD1362"/>
  <c r="AD1351"/>
  <c r="AD91"/>
  <c r="AD622"/>
  <c r="AD472"/>
  <c r="AD17"/>
  <c r="AD757"/>
  <c r="AD1218"/>
  <c r="AD473"/>
  <c r="AD474"/>
  <c r="AD60"/>
  <c r="AD65"/>
  <c r="AD1136"/>
  <c r="AD900"/>
  <c r="AD1363"/>
  <c r="AD1352"/>
  <c r="AD600"/>
  <c r="AD155"/>
  <c r="AD318"/>
  <c r="AD1364"/>
  <c r="AD1353"/>
  <c r="AD439"/>
  <c r="AD985"/>
  <c r="AD630"/>
  <c r="AD1379"/>
  <c r="AD785"/>
  <c r="AD952"/>
  <c r="AD1203"/>
  <c r="AD49"/>
  <c r="AD953"/>
  <c r="AD1137"/>
  <c r="AD999"/>
  <c r="AD763"/>
  <c r="AD764"/>
  <c r="AD597"/>
  <c r="AD273"/>
  <c r="AD1083"/>
  <c r="AD1043"/>
  <c r="AD890"/>
  <c r="AD891"/>
  <c r="AD892"/>
  <c r="AD893"/>
  <c r="AD994"/>
  <c r="AD138"/>
  <c r="AD995"/>
  <c r="AD141"/>
  <c r="AD1047"/>
  <c r="AD926"/>
  <c r="AD1247"/>
  <c r="AD274"/>
  <c r="AD82"/>
  <c r="AD1002"/>
  <c r="AD629"/>
  <c r="AD804"/>
  <c r="AD574"/>
  <c r="AD575"/>
  <c r="AD576"/>
  <c r="AD554"/>
  <c r="AD901"/>
  <c r="AD555"/>
  <c r="AD443"/>
  <c r="AD1237"/>
  <c r="AD1238"/>
  <c r="AD275"/>
  <c r="AD556"/>
  <c r="AD557"/>
  <c r="AD558"/>
  <c r="AD577"/>
  <c r="AD578"/>
  <c r="AD276"/>
  <c r="AD1084"/>
  <c r="AD1048"/>
  <c r="AD942"/>
  <c r="AD943"/>
  <c r="AD944"/>
  <c r="AD945"/>
  <c r="AD759"/>
  <c r="AD760"/>
  <c r="AD761"/>
  <c r="AD1256"/>
  <c r="AD288"/>
  <c r="AD1003"/>
  <c r="AD739"/>
  <c r="AD310"/>
  <c r="AD946"/>
  <c r="AD947"/>
  <c r="AD927"/>
  <c r="AD928"/>
  <c r="AD447"/>
  <c r="AD448"/>
  <c r="AD289"/>
  <c r="AD311"/>
  <c r="AD312"/>
  <c r="AD816"/>
  <c r="AD851"/>
  <c r="AD313"/>
  <c r="AD1257"/>
  <c r="AD1380"/>
  <c r="AD773"/>
  <c r="AD1129"/>
  <c r="AD734"/>
  <c r="AD52"/>
  <c r="AD1381"/>
  <c r="AD1382"/>
  <c r="AD956"/>
  <c r="AD53"/>
  <c r="AD1383"/>
  <c r="AD1384"/>
  <c r="AD803"/>
  <c r="AD1073"/>
  <c r="AD45"/>
  <c r="AD73"/>
  <c r="AD1014"/>
  <c r="AD1007"/>
  <c r="AD1015"/>
  <c r="AD1028"/>
  <c r="AD61"/>
  <c r="AD1258"/>
  <c r="AD20"/>
  <c r="AD290"/>
  <c r="AD973"/>
  <c r="AD748"/>
  <c r="AD604"/>
  <c r="AD605"/>
  <c r="AD634"/>
  <c r="AD487"/>
  <c r="AD608"/>
  <c r="AD639"/>
  <c r="AD314"/>
  <c r="AD451"/>
  <c r="AD482"/>
  <c r="AD483"/>
  <c r="AD948"/>
  <c r="AD902"/>
  <c r="AD903"/>
  <c r="AD34"/>
  <c r="AD291"/>
  <c r="AD579"/>
  <c r="AD77"/>
  <c r="AD580"/>
  <c r="AD581"/>
  <c r="AD582"/>
  <c r="AD1321"/>
  <c r="AD1322"/>
  <c r="AD1250"/>
  <c r="AD1251"/>
  <c r="AD1106"/>
  <c r="AD1107"/>
  <c r="AD1323"/>
  <c r="AD583"/>
  <c r="AD584"/>
  <c r="AD585"/>
  <c r="AD440"/>
  <c r="AD441"/>
  <c r="AD744"/>
  <c r="AD35"/>
  <c r="AD315"/>
  <c r="AD698"/>
  <c r="AD452"/>
  <c r="AD488"/>
  <c r="AD740"/>
  <c r="AD741"/>
  <c r="AD635"/>
  <c r="AD1010"/>
  <c r="AD742"/>
  <c r="AD743"/>
  <c r="AD929"/>
  <c r="AD930"/>
  <c r="AD959"/>
  <c r="AD960"/>
  <c r="AD931"/>
  <c r="AD904"/>
  <c r="AD932"/>
  <c r="AD933"/>
  <c r="AD466"/>
  <c r="AD1330"/>
  <c r="AD404"/>
  <c r="AD631"/>
  <c r="AD765"/>
  <c r="AD798"/>
  <c r="AD799"/>
  <c r="AD1365"/>
  <c r="AD1366"/>
  <c r="AD1297"/>
  <c r="AD1298"/>
  <c r="AD721"/>
  <c r="AD722"/>
  <c r="AD723"/>
  <c r="AD724"/>
  <c r="AD1130"/>
  <c r="AD957"/>
  <c r="AD66"/>
  <c r="AD1067"/>
  <c r="AD100"/>
  <c r="AD1029"/>
  <c r="AD1310"/>
  <c r="AD1311"/>
  <c r="AD1299"/>
  <c r="AD1300"/>
  <c r="AD1301"/>
  <c r="AD921"/>
  <c r="AD986"/>
  <c r="AD560"/>
  <c r="AD561"/>
  <c r="AD766"/>
  <c r="AD378"/>
  <c r="AD234"/>
  <c r="AD1155"/>
  <c r="AD1156"/>
  <c r="AD1194"/>
  <c r="AD1431"/>
  <c r="AD1125"/>
  <c r="AD1432"/>
  <c r="AD1196"/>
  <c r="AD1090"/>
  <c r="AD182"/>
  <c r="AD1165"/>
  <c r="AD242"/>
  <c r="AD1166"/>
  <c r="AD165"/>
  <c r="AD426"/>
  <c r="AD513"/>
  <c r="AD351"/>
  <c r="AD1020"/>
  <c r="AD1021"/>
  <c r="AD1070"/>
  <c r="AD1022"/>
  <c r="AD458"/>
  <c r="AD786"/>
  <c r="AD623"/>
  <c r="AD475"/>
  <c r="AD1296"/>
  <c r="AD1114"/>
  <c r="AD1115"/>
  <c r="AD427"/>
  <c r="AD459"/>
  <c r="AD1302"/>
  <c r="AD1303"/>
  <c r="AD1312"/>
  <c r="AD987"/>
  <c r="AD988"/>
  <c r="AD1331"/>
  <c r="AD1332"/>
  <c r="AD692"/>
  <c r="AD172"/>
  <c r="AD173"/>
  <c r="AD174"/>
  <c r="AD42"/>
  <c r="AD43"/>
  <c r="AD220"/>
  <c r="AD221"/>
  <c r="AD1269"/>
  <c r="AD1091"/>
  <c r="AD179"/>
  <c r="AD342"/>
  <c r="AD166"/>
  <c r="AD167"/>
  <c r="AD168"/>
  <c r="AD1408"/>
  <c r="AD1409"/>
  <c r="AD514"/>
  <c r="AD352"/>
  <c r="AD1167"/>
  <c r="AD515"/>
  <c r="AD347"/>
  <c r="AD191"/>
  <c r="AD192"/>
  <c r="AD193"/>
  <c r="AD1168"/>
  <c r="AD1211"/>
  <c r="AD343"/>
  <c r="AD183"/>
  <c r="AD382"/>
  <c r="AD1286"/>
  <c r="AD383"/>
  <c r="AD1126"/>
  <c r="AD265"/>
  <c r="AD1271"/>
  <c r="AD184"/>
  <c r="AD185"/>
  <c r="AD187"/>
  <c r="AD1222"/>
  <c r="AD896"/>
  <c r="AD735"/>
  <c r="AD460"/>
  <c r="AD1416"/>
  <c r="AD384"/>
  <c r="AD235"/>
  <c r="AD380"/>
  <c r="AD419"/>
  <c r="AD95"/>
  <c r="AD148"/>
  <c r="AD169"/>
  <c r="AD1370"/>
  <c r="AD188"/>
  <c r="AD1169"/>
  <c r="AD935"/>
  <c r="AD936"/>
  <c r="AD236"/>
  <c r="AD237"/>
  <c r="AD1127"/>
  <c r="AD266"/>
  <c r="AD637"/>
  <c r="AD638"/>
  <c r="AD568"/>
  <c r="AD243"/>
  <c r="AD1170"/>
  <c r="AD189"/>
  <c r="AD44"/>
  <c r="AD223"/>
  <c r="AD1313"/>
  <c r="AD1314"/>
  <c r="AD693"/>
  <c r="AD1333"/>
  <c r="AD1334"/>
  <c r="AD190"/>
  <c r="AD534"/>
  <c r="AD270"/>
  <c r="AD1202"/>
  <c r="AD949"/>
  <c r="AD449"/>
  <c r="AD207"/>
  <c r="AD244"/>
  <c r="AD245"/>
  <c r="AD246"/>
  <c r="AD238"/>
  <c r="AD379"/>
  <c r="AD1354"/>
  <c r="AD1355"/>
  <c r="AD1356"/>
  <c r="AD385"/>
  <c r="AD1357"/>
  <c r="AD208"/>
  <c r="AD569"/>
  <c r="AD535"/>
  <c r="AD780"/>
  <c r="AD413"/>
  <c r="AD1358"/>
  <c r="AD551"/>
  <c r="AD570"/>
  <c r="AD536"/>
  <c r="AD781"/>
  <c r="AD414"/>
  <c r="AD415"/>
  <c r="AD1359"/>
  <c r="AD552"/>
  <c r="AD553"/>
  <c r="AD571"/>
  <c r="AD537"/>
  <c r="AD538"/>
  <c r="AD910"/>
  <c r="AD54"/>
  <c r="AD67"/>
  <c r="AD1116"/>
  <c r="AD787"/>
  <c r="AD762"/>
  <c r="AD1101"/>
  <c r="AD476"/>
  <c r="AD1131"/>
  <c r="AD428"/>
  <c r="AD1385"/>
  <c r="AD1386"/>
  <c r="AD102"/>
  <c r="AD1272"/>
  <c r="AD1273"/>
  <c r="AD36"/>
  <c r="AD1315"/>
  <c r="AD1316"/>
  <c r="AD694"/>
  <c r="AD1274"/>
  <c r="AD1259"/>
  <c r="AD7"/>
  <c r="AD1260"/>
  <c r="AD1261"/>
  <c r="AD8"/>
  <c r="AD416"/>
  <c r="AD417"/>
  <c r="AD767"/>
  <c r="AD566"/>
  <c r="AD567"/>
  <c r="AD1098"/>
  <c r="AD1172"/>
  <c r="AD1173"/>
  <c r="AD74"/>
  <c r="AD736"/>
  <c r="AD958"/>
  <c r="AD1102"/>
  <c r="AD1317"/>
  <c r="AD1318"/>
  <c r="AD695"/>
  <c r="AD1262"/>
  <c r="AD1263"/>
  <c r="AD9"/>
  <c r="AD1275"/>
  <c r="AD1276"/>
  <c r="AD10"/>
  <c r="AD1277"/>
  <c r="AD1278"/>
  <c r="AD11"/>
  <c r="AD1279"/>
  <c r="AD1280"/>
  <c r="AD37"/>
  <c r="AD1319"/>
  <c r="AD1320"/>
  <c r="AD28"/>
  <c r="AD1186"/>
  <c r="AD795"/>
  <c r="AD1034"/>
  <c r="AD27"/>
  <c r="AD1133"/>
  <c r="AD590"/>
  <c r="AD805"/>
  <c r="AD806"/>
  <c r="AD307"/>
  <c r="AD1248"/>
  <c r="AD1249"/>
  <c r="AD1035"/>
  <c r="AD586"/>
  <c r="AD588"/>
  <c r="AD1036"/>
  <c r="AD589"/>
  <c r="AD559"/>
  <c r="AD308"/>
  <c r="AD284"/>
  <c r="AD285"/>
  <c r="AD1037"/>
  <c r="AD1281"/>
  <c r="AD908"/>
  <c r="AD38"/>
  <c r="AD1287"/>
  <c r="AD800"/>
  <c r="AD1288"/>
  <c r="AD706"/>
  <c r="AD170"/>
  <c r="AD1371"/>
  <c r="AD75"/>
  <c r="AD1147"/>
  <c r="AD782"/>
  <c r="AD1103"/>
  <c r="AD429"/>
  <c r="AD1132"/>
  <c r="AD29"/>
  <c r="AD69"/>
  <c r="AD1038"/>
  <c r="AD39"/>
  <c r="AD40"/>
  <c r="AD41"/>
  <c r="AD1108"/>
  <c r="AD1109"/>
  <c r="AD1110"/>
  <c r="AD768"/>
  <c r="AD1289"/>
  <c r="AD682"/>
  <c r="AD247"/>
  <c r="AD754"/>
  <c r="AD406"/>
  <c r="AD737"/>
  <c r="AD55"/>
  <c r="AD769"/>
  <c r="AD1290"/>
  <c r="AD248"/>
  <c r="AD210"/>
  <c r="AD407"/>
  <c r="AD467"/>
  <c r="AD68"/>
  <c r="AD26"/>
  <c r="AD801"/>
  <c r="AD1291"/>
  <c r="AD211"/>
  <c r="AD683"/>
  <c r="AD1009"/>
  <c r="AD1058"/>
  <c r="AD1039"/>
  <c r="AD1040"/>
  <c r="AD386"/>
  <c r="AD1157"/>
  <c r="AD684"/>
  <c r="AD707"/>
  <c r="AD1059"/>
  <c r="AD1060"/>
  <c r="AD76"/>
  <c r="AD793"/>
  <c r="AD794"/>
  <c r="AD598"/>
  <c r="AD70"/>
  <c r="AD796"/>
  <c r="AD387"/>
  <c r="AD1158"/>
  <c r="AD708"/>
  <c r="AD709"/>
  <c r="AD1061"/>
  <c r="AD612"/>
  <c r="AD101"/>
  <c r="AD151"/>
  <c r="AD71"/>
  <c r="AD72"/>
  <c r="AD388"/>
  <c r="AD1159"/>
  <c r="AD1360"/>
  <c r="AD1361"/>
  <c r="AD613"/>
  <c r="AD642"/>
  <c r="AD1074"/>
  <c r="AD519"/>
  <c r="AD797"/>
  <c r="AD1041"/>
  <c r="AD562"/>
  <c r="AD1160"/>
  <c r="AD710"/>
  <c r="AD1099"/>
  <c r="AD1023"/>
  <c r="AD1071"/>
  <c r="AD563"/>
  <c r="AD1161"/>
  <c r="AD1305"/>
  <c r="AD154"/>
  <c r="AD1024"/>
  <c r="AD1025"/>
  <c r="AD445"/>
  <c r="AD1042"/>
  <c r="AD852"/>
  <c r="AD845"/>
  <c r="AD853"/>
  <c r="AD846"/>
  <c r="AD854"/>
  <c r="AD847"/>
  <c r="AD564"/>
  <c r="AD99"/>
  <c r="AD1072"/>
  <c r="AD989"/>
  <c r="AD520"/>
  <c r="AD977"/>
  <c r="AD978"/>
  <c r="AD21"/>
  <c r="AD979"/>
  <c r="AD915"/>
  <c r="AD969"/>
  <c r="AD970"/>
  <c r="AD971"/>
  <c r="AD972"/>
  <c r="AD1146"/>
  <c r="AD916"/>
  <c r="AD917"/>
  <c r="AD918"/>
  <c r="AD980"/>
  <c r="AD981"/>
  <c r="AD982"/>
  <c r="AD983"/>
  <c r="AD1162"/>
  <c r="AD565"/>
  <c r="AD1032"/>
  <c r="AD546"/>
  <c r="AD669"/>
  <c r="AD516"/>
  <c r="AD517"/>
  <c r="AD353"/>
  <c r="AD855"/>
  <c r="AD856"/>
  <c r="AD103"/>
  <c r="AD390"/>
  <c r="AD730"/>
  <c r="AD731"/>
  <c r="AD391"/>
  <c r="AD1377"/>
  <c r="AD1378"/>
  <c r="AD1387"/>
  <c r="AD1388"/>
  <c r="AD825"/>
  <c r="AD826"/>
  <c r="AD827"/>
  <c r="AD828"/>
  <c r="AD829"/>
  <c r="AD830"/>
  <c r="AD831"/>
  <c r="AD587"/>
  <c r="AD1174"/>
  <c r="AD209"/>
  <c r="AD418"/>
  <c r="AD297"/>
  <c r="AD1104"/>
  <c r="AD990"/>
  <c r="AD991"/>
  <c r="AD984"/>
  <c r="AD614"/>
  <c r="AD547"/>
  <c r="AD457"/>
  <c r="AD674"/>
  <c r="AD823"/>
  <c r="AD919"/>
  <c r="AD832"/>
  <c r="AD833"/>
  <c r="AD446"/>
  <c r="AD992"/>
  <c r="AD633"/>
  <c r="AD286"/>
  <c r="AD1395"/>
  <c r="AD62"/>
  <c r="AD834"/>
  <c r="AD835"/>
  <c r="AD696"/>
  <c r="AD697"/>
  <c r="AD752"/>
  <c r="AD702"/>
  <c r="AD703"/>
  <c r="AD788"/>
  <c r="AD905"/>
  <c r="AD906"/>
  <c r="AD961"/>
  <c r="AD602"/>
  <c r="AD1292"/>
  <c r="AD150"/>
  <c r="AD548"/>
  <c r="AD296"/>
  <c r="AD294"/>
  <c r="AD1306"/>
  <c r="AD836"/>
  <c r="AD837"/>
  <c r="AD789"/>
  <c r="AD790"/>
  <c r="AD838"/>
  <c r="AD839"/>
  <c r="AD791"/>
  <c r="AD792"/>
  <c r="AD1093"/>
  <c r="AD1307"/>
  <c r="AD549"/>
  <c r="AD1414"/>
  <c r="AD295"/>
  <c r="AD317"/>
  <c r="AD824"/>
  <c r="AD1308"/>
  <c r="AD819"/>
  <c r="AD162"/>
  <c r="AD1309"/>
  <c r="AD1016"/>
  <c r="AD1017"/>
  <c r="AD163"/>
  <c r="AD455"/>
  <c r="AD164"/>
  <c r="AD1406"/>
  <c r="AD456"/>
  <c r="AD1293"/>
  <c r="AD937"/>
  <c r="AD1294"/>
  <c r="AD1068"/>
  <c r="AD1295"/>
  <c r="AD1018"/>
  <c r="AD938"/>
  <c r="AD1019"/>
  <c r="AD5"/>
  <c r="AD410"/>
  <c r="AD844"/>
  <c r="AD840"/>
  <c r="AD1105"/>
  <c r="AD1100"/>
  <c r="AD411"/>
  <c r="AD711"/>
  <c r="AD412"/>
  <c r="AD381"/>
  <c r="AD239"/>
  <c r="AD704"/>
  <c r="AD267"/>
  <c r="AD268"/>
  <c r="AD4"/>
  <c r="AD687"/>
  <c r="AD688"/>
  <c r="AD689"/>
  <c r="AD714"/>
  <c r="AD715"/>
  <c r="AD841"/>
  <c r="AD842"/>
  <c r="AD843"/>
  <c r="AD996"/>
  <c r="AD84"/>
  <c r="AD85"/>
  <c r="AD857"/>
  <c r="AD815"/>
  <c r="AD934"/>
  <c r="AD46"/>
  <c r="AD430"/>
  <c r="AD14"/>
  <c r="AD1117"/>
  <c r="AD997"/>
  <c r="AD603"/>
  <c r="AD998"/>
  <c r="AD632"/>
  <c r="AD1124"/>
  <c r="AD1407"/>
  <c r="AD490"/>
  <c r="AD920"/>
  <c r="AD1396"/>
  <c r="AD909"/>
  <c r="AD1004"/>
  <c r="AD1005"/>
  <c r="AD968"/>
  <c r="AD858"/>
  <c r="AD859"/>
  <c r="AD860"/>
  <c r="AD861"/>
  <c r="AD862"/>
  <c r="AD863"/>
  <c r="AD864"/>
  <c r="AD865"/>
  <c r="AD866"/>
  <c r="AD867"/>
  <c r="AD868"/>
  <c r="AD869"/>
  <c r="AD870"/>
  <c r="AD871"/>
  <c r="AD872"/>
  <c r="AD873"/>
  <c r="AD874"/>
  <c r="AD875"/>
  <c r="AD876"/>
  <c r="AD354"/>
  <c r="AD355"/>
  <c r="AD356"/>
  <c r="AD357"/>
  <c r="AD358"/>
  <c r="AD359"/>
  <c r="AD360"/>
  <c r="AD361"/>
  <c r="AD362"/>
  <c r="AD363"/>
  <c r="AD364"/>
  <c r="AD365"/>
  <c r="AD366"/>
  <c r="AD367"/>
  <c r="AD368"/>
  <c r="AD369"/>
  <c r="AD675"/>
  <c r="AD676"/>
  <c r="AD677"/>
  <c r="AD678"/>
  <c r="AD679"/>
  <c r="AD156"/>
  <c r="AD157"/>
  <c r="AD158"/>
  <c r="AD159"/>
  <c r="AD160"/>
  <c r="AD161"/>
  <c r="AD321"/>
  <c r="AD322"/>
  <c r="AD494"/>
  <c r="AD495"/>
  <c r="AD646"/>
  <c r="AD647"/>
  <c r="AD807"/>
  <c r="AD808"/>
  <c r="AD323"/>
  <c r="AD324"/>
  <c r="AD496"/>
  <c r="AD497"/>
  <c r="AD648"/>
  <c r="AD649"/>
  <c r="AD809"/>
  <c r="AD810"/>
  <c r="AD325"/>
  <c r="AD326"/>
  <c r="AD498"/>
  <c r="AD499"/>
  <c r="AD650"/>
  <c r="AD651"/>
  <c r="AD1079"/>
  <c r="AD1080"/>
  <c r="AD327"/>
  <c r="AD328"/>
  <c r="AD500"/>
  <c r="AD501"/>
  <c r="AD652"/>
  <c r="AD653"/>
  <c r="AD811"/>
  <c r="AD812"/>
  <c r="AD813"/>
  <c r="AD814"/>
  <c r="AD1081"/>
  <c r="AD1082"/>
  <c r="AD329"/>
  <c r="AD330"/>
  <c r="AD502"/>
  <c r="AD1118"/>
  <c r="AD431"/>
  <c r="AD1119"/>
  <c r="AD1120"/>
  <c r="AD432"/>
  <c r="AD1121"/>
  <c r="AD1122"/>
  <c r="AD433"/>
  <c r="AD521"/>
  <c r="AD461"/>
  <c r="AD464"/>
  <c r="AD615"/>
  <c r="AD462"/>
  <c r="AD617"/>
  <c r="AD463"/>
  <c r="AD616"/>
  <c r="AD774"/>
  <c r="AD522"/>
  <c r="AD671"/>
  <c r="AD775"/>
  <c r="AD523"/>
  <c r="AD524"/>
  <c r="AD110"/>
  <c r="AD525"/>
  <c r="AD526"/>
  <c r="AD196"/>
  <c r="AD672"/>
  <c r="AD527"/>
  <c r="AD197"/>
  <c r="AD673"/>
  <c r="AD528"/>
  <c r="AD111"/>
  <c r="AD1123"/>
  <c r="AD389"/>
  <c r="AD434"/>
  <c r="AD13"/>
  <c r="AD400"/>
  <c r="AD271"/>
  <c r="AD30"/>
  <c r="AD1049"/>
  <c r="AD31"/>
  <c r="AD599"/>
  <c r="AD624"/>
  <c r="AD625"/>
  <c r="AD1030"/>
  <c r="AD1031"/>
  <c r="AD1075"/>
  <c r="AD1234"/>
  <c r="AD1235"/>
  <c r="AD1236"/>
  <c r="AD435"/>
  <c r="AD397"/>
  <c r="AD894"/>
  <c r="AD1111"/>
  <c r="AD1128"/>
  <c r="AD222"/>
  <c r="AD269"/>
  <c r="AD12"/>
  <c r="AD895"/>
  <c r="AD22"/>
  <c r="AD23"/>
  <c r="AD705"/>
  <c r="AD753"/>
  <c r="AD778"/>
  <c r="AD24"/>
  <c r="AD25"/>
  <c r="AD63"/>
  <c r="AD64"/>
  <c r="AD950"/>
  <c r="AD47"/>
  <c r="AD951"/>
  <c r="AD48"/>
  <c r="AD1394"/>
  <c r="AD1418"/>
  <c r="AD1419"/>
  <c r="AD1420"/>
  <c r="AD1421"/>
  <c r="AD1422"/>
  <c r="AD1423"/>
  <c r="AD1424"/>
  <c r="AD1425"/>
  <c r="AD1426"/>
  <c r="AD1427"/>
  <c r="AD1428"/>
  <c r="AD1429"/>
  <c r="AD1433"/>
  <c r="B2" i="49"/>
  <c r="B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N1205" i="5"/>
  <c r="N175"/>
  <c r="N1006"/>
  <c r="N1053"/>
  <c r="N1054"/>
  <c r="N507"/>
  <c r="N658"/>
  <c r="N659"/>
  <c r="N335"/>
  <c r="N779"/>
  <c r="N278"/>
  <c r="N176"/>
  <c r="N177"/>
  <c r="N178"/>
  <c r="N1055"/>
  <c r="N1056"/>
  <c r="N1057"/>
  <c r="N228"/>
  <c r="N229"/>
  <c r="N338"/>
  <c r="N339"/>
  <c r="N340"/>
  <c r="N341"/>
  <c r="N663"/>
  <c r="N1266"/>
  <c r="N1267"/>
  <c r="N230"/>
  <c r="N1264"/>
  <c r="N1012"/>
  <c r="N1013"/>
  <c r="N1066"/>
  <c r="N279"/>
  <c r="N86"/>
  <c r="N87"/>
  <c r="N139"/>
  <c r="N280"/>
  <c r="N96"/>
  <c r="N97"/>
  <c r="N241"/>
  <c r="N344"/>
  <c r="N667"/>
  <c r="N337"/>
  <c r="N510"/>
  <c r="N281"/>
  <c r="N298"/>
  <c r="N405"/>
  <c r="N529"/>
  <c r="N530"/>
  <c r="N531"/>
  <c r="N532"/>
  <c r="N716"/>
  <c r="N712"/>
  <c r="N713"/>
  <c r="N685"/>
  <c r="N686"/>
  <c r="N422"/>
  <c r="N423"/>
  <c r="N424"/>
  <c r="N533"/>
  <c r="N348"/>
  <c r="N349"/>
  <c r="N350"/>
  <c r="N1413"/>
  <c r="N511"/>
  <c r="N480"/>
  <c r="N18"/>
  <c r="N56"/>
  <c r="N16"/>
  <c r="N1134"/>
  <c r="N758"/>
  <c r="N1150"/>
  <c r="N594"/>
  <c r="N301"/>
  <c r="N993"/>
  <c r="N1350"/>
  <c r="N302"/>
  <c r="N772"/>
  <c r="N1026"/>
  <c r="N755"/>
  <c r="N756"/>
  <c r="N1148"/>
  <c r="N1149"/>
  <c r="N468"/>
  <c r="N1027"/>
  <c r="N1219"/>
  <c r="N1220"/>
  <c r="N50"/>
  <c r="N954"/>
  <c r="N19"/>
  <c r="N57"/>
  <c r="N469"/>
  <c r="N470"/>
  <c r="N1398"/>
  <c r="N1399"/>
  <c r="N92"/>
  <c r="N1335"/>
  <c r="N1076"/>
  <c r="N1397"/>
  <c r="N142"/>
  <c r="N89"/>
  <c r="N93"/>
  <c r="N1336"/>
  <c r="N1337"/>
  <c r="N1338"/>
  <c r="N725"/>
  <c r="N726"/>
  <c r="N727"/>
  <c r="N1008"/>
  <c r="N1270"/>
  <c r="N770"/>
  <c r="N1268"/>
  <c r="N1282"/>
  <c r="N1283"/>
  <c r="N1284"/>
  <c r="N1285"/>
  <c r="N1265"/>
  <c r="N609"/>
  <c r="N640"/>
  <c r="N292"/>
  <c r="N293"/>
  <c r="N202"/>
  <c r="N664"/>
  <c r="N336"/>
  <c r="N508"/>
  <c r="N509"/>
  <c r="N665"/>
  <c r="N666"/>
  <c r="N1209"/>
  <c r="N1210"/>
  <c r="N203"/>
  <c r="N204"/>
  <c r="N1011"/>
  <c r="N1063"/>
  <c r="N1064"/>
  <c r="N662"/>
  <c r="N668"/>
  <c r="N180"/>
  <c r="N1163"/>
  <c r="N1164"/>
  <c r="N771"/>
  <c r="N606"/>
  <c r="N607"/>
  <c r="N636"/>
  <c r="N802"/>
  <c r="N1092"/>
  <c r="N1304"/>
  <c r="N149"/>
  <c r="N450"/>
  <c r="N484"/>
  <c r="N485"/>
  <c r="N486"/>
  <c r="N98"/>
  <c r="N105"/>
  <c r="N153"/>
  <c r="N106"/>
  <c r="N1152"/>
  <c r="N1153"/>
  <c r="N1138"/>
  <c r="N512"/>
  <c r="N345"/>
  <c r="N346"/>
  <c r="N1372"/>
  <c r="N393"/>
  <c r="N392"/>
  <c r="N717"/>
  <c r="N186"/>
  <c r="N171"/>
  <c r="N1410"/>
  <c r="N718"/>
  <c r="N719"/>
  <c r="N720"/>
  <c r="N1373"/>
  <c r="N1374"/>
  <c r="N690"/>
  <c r="N691"/>
  <c r="N1375"/>
  <c r="N1376"/>
  <c r="N394"/>
  <c r="N1402"/>
  <c r="N90"/>
  <c r="N1151"/>
  <c r="N783"/>
  <c r="N595"/>
  <c r="N596"/>
  <c r="N1062"/>
  <c r="N231"/>
  <c r="N232"/>
  <c r="N233"/>
  <c r="N303"/>
  <c r="N408"/>
  <c r="N1204"/>
  <c r="N733"/>
  <c r="N51"/>
  <c r="N955"/>
  <c r="N58"/>
  <c r="N59"/>
  <c r="N700"/>
  <c r="N6"/>
  <c r="N477"/>
  <c r="N282"/>
  <c r="N319"/>
  <c r="N320"/>
  <c r="N398"/>
  <c r="N399"/>
  <c r="N572"/>
  <c r="N573"/>
  <c r="N491"/>
  <c r="N492"/>
  <c r="N1239"/>
  <c r="N1240"/>
  <c r="N277"/>
  <c r="N227"/>
  <c r="N78"/>
  <c r="N1050"/>
  <c r="N591"/>
  <c r="N592"/>
  <c r="N593"/>
  <c r="N1367"/>
  <c r="N1368"/>
  <c r="N738"/>
  <c r="N481"/>
  <c r="N923"/>
  <c r="N304"/>
  <c r="N272"/>
  <c r="N224"/>
  <c r="N32"/>
  <c r="N283"/>
  <c r="N493"/>
  <c r="N643"/>
  <c r="N1241"/>
  <c r="N924"/>
  <c r="N925"/>
  <c r="N1242"/>
  <c r="N436"/>
  <c r="N437"/>
  <c r="N1000"/>
  <c r="N626"/>
  <c r="N627"/>
  <c r="N108"/>
  <c r="N109"/>
  <c r="N1051"/>
  <c r="N79"/>
  <c r="N305"/>
  <c r="N306"/>
  <c r="N644"/>
  <c r="N645"/>
  <c r="N1243"/>
  <c r="N225"/>
  <c r="N226"/>
  <c r="N749"/>
  <c r="N750"/>
  <c r="N751"/>
  <c r="N939"/>
  <c r="N940"/>
  <c r="N941"/>
  <c r="N897"/>
  <c r="N701"/>
  <c r="N15"/>
  <c r="N911"/>
  <c r="N912"/>
  <c r="N913"/>
  <c r="N914"/>
  <c r="N974"/>
  <c r="N975"/>
  <c r="N1065"/>
  <c r="N316"/>
  <c r="N1139"/>
  <c r="N1140"/>
  <c r="N1141"/>
  <c r="N660"/>
  <c r="N618"/>
  <c r="N1077"/>
  <c r="N453"/>
  <c r="N661"/>
  <c r="N747"/>
  <c r="N976"/>
  <c r="N454"/>
  <c r="N1087"/>
  <c r="N848"/>
  <c r="N503"/>
  <c r="N849"/>
  <c r="N654"/>
  <c r="N655"/>
  <c r="N850"/>
  <c r="N784"/>
  <c r="N1135"/>
  <c r="N1078"/>
  <c r="N619"/>
  <c r="N728"/>
  <c r="N620"/>
  <c r="N409"/>
  <c r="N729"/>
  <c r="N966"/>
  <c r="N1244"/>
  <c r="N967"/>
  <c r="N401"/>
  <c r="N907"/>
  <c r="N402"/>
  <c r="N1044"/>
  <c r="N1052"/>
  <c r="N1045"/>
  <c r="N80"/>
  <c r="N140"/>
  <c r="N444"/>
  <c r="N1046"/>
  <c r="N478"/>
  <c r="N1405"/>
  <c r="N403"/>
  <c r="N146"/>
  <c r="N438"/>
  <c r="N147"/>
  <c r="N81"/>
  <c r="N83"/>
  <c r="N898"/>
  <c r="N94"/>
  <c r="N1088"/>
  <c r="N1430"/>
  <c r="N489"/>
  <c r="N610"/>
  <c r="N611"/>
  <c r="N1142"/>
  <c r="N1143"/>
  <c r="N1144"/>
  <c r="N1145"/>
  <c r="N1154"/>
  <c r="N641"/>
  <c r="N107"/>
  <c r="N1089"/>
  <c r="N240"/>
  <c r="N820"/>
  <c r="N821"/>
  <c r="N1369"/>
  <c r="N550"/>
  <c r="N205"/>
  <c r="N206"/>
  <c r="N181"/>
  <c r="N1195"/>
  <c r="N395"/>
  <c r="N1411"/>
  <c r="N1412"/>
  <c r="N822"/>
  <c r="N396"/>
  <c r="N425"/>
  <c r="N1069"/>
  <c r="N1112"/>
  <c r="N442"/>
  <c r="N670"/>
  <c r="N299"/>
  <c r="N471"/>
  <c r="N300"/>
  <c r="N518"/>
  <c r="N194"/>
  <c r="N1415"/>
  <c r="N195"/>
  <c r="N621"/>
  <c r="N899"/>
  <c r="N88"/>
  <c r="N479"/>
  <c r="N1001"/>
  <c r="N33"/>
  <c r="N628"/>
  <c r="N601"/>
  <c r="N1245"/>
  <c r="N1246"/>
  <c r="N1362"/>
  <c r="N1351"/>
  <c r="N91"/>
  <c r="N622"/>
  <c r="N472"/>
  <c r="N17"/>
  <c r="N757"/>
  <c r="N1218"/>
  <c r="N473"/>
  <c r="N474"/>
  <c r="N60"/>
  <c r="N65"/>
  <c r="N1136"/>
  <c r="N900"/>
  <c r="N1363"/>
  <c r="N1352"/>
  <c r="N600"/>
  <c r="N155"/>
  <c r="N318"/>
  <c r="N1364"/>
  <c r="N1353"/>
  <c r="N439"/>
  <c r="N985"/>
  <c r="N630"/>
  <c r="N1379"/>
  <c r="N785"/>
  <c r="N952"/>
  <c r="N1203"/>
  <c r="N49"/>
  <c r="N953"/>
  <c r="N1137"/>
  <c r="N999"/>
  <c r="N763"/>
  <c r="N764"/>
  <c r="N597"/>
  <c r="N273"/>
  <c r="N1083"/>
  <c r="N1043"/>
  <c r="N890"/>
  <c r="N891"/>
  <c r="N892"/>
  <c r="N893"/>
  <c r="N994"/>
  <c r="N138"/>
  <c r="N995"/>
  <c r="N141"/>
  <c r="N1047"/>
  <c r="N926"/>
  <c r="N1247"/>
  <c r="N274"/>
  <c r="N82"/>
  <c r="N1002"/>
  <c r="N629"/>
  <c r="N804"/>
  <c r="N574"/>
  <c r="N575"/>
  <c r="N576"/>
  <c r="N554"/>
  <c r="N901"/>
  <c r="N555"/>
  <c r="N443"/>
  <c r="N1237"/>
  <c r="N1238"/>
  <c r="N275"/>
  <c r="N556"/>
  <c r="N557"/>
  <c r="N558"/>
  <c r="N577"/>
  <c r="N578"/>
  <c r="N276"/>
  <c r="N1084"/>
  <c r="N1048"/>
  <c r="N942"/>
  <c r="N943"/>
  <c r="N944"/>
  <c r="N945"/>
  <c r="N759"/>
  <c r="N760"/>
  <c r="N761"/>
  <c r="N1256"/>
  <c r="N288"/>
  <c r="N1003"/>
  <c r="N739"/>
  <c r="N310"/>
  <c r="N946"/>
  <c r="N947"/>
  <c r="N927"/>
  <c r="N928"/>
  <c r="N447"/>
  <c r="N448"/>
  <c r="N289"/>
  <c r="N311"/>
  <c r="N312"/>
  <c r="N816"/>
  <c r="N851"/>
  <c r="N313"/>
  <c r="N1257"/>
  <c r="N1380"/>
  <c r="N773"/>
  <c r="N1129"/>
  <c r="N734"/>
  <c r="N52"/>
  <c r="N1381"/>
  <c r="N1382"/>
  <c r="N956"/>
  <c r="N53"/>
  <c r="N1383"/>
  <c r="N1384"/>
  <c r="N803"/>
  <c r="N1073"/>
  <c r="N45"/>
  <c r="N73"/>
  <c r="N1014"/>
  <c r="N1007"/>
  <c r="N1015"/>
  <c r="N1028"/>
  <c r="N61"/>
  <c r="N1258"/>
  <c r="N20"/>
  <c r="N290"/>
  <c r="N973"/>
  <c r="N748"/>
  <c r="N604"/>
  <c r="N605"/>
  <c r="N634"/>
  <c r="N487"/>
  <c r="N608"/>
  <c r="N639"/>
  <c r="N314"/>
  <c r="N451"/>
  <c r="N482"/>
  <c r="N483"/>
  <c r="N948"/>
  <c r="N902"/>
  <c r="N903"/>
  <c r="N34"/>
  <c r="N291"/>
  <c r="N579"/>
  <c r="N77"/>
  <c r="N580"/>
  <c r="N581"/>
  <c r="N582"/>
  <c r="N1321"/>
  <c r="N1322"/>
  <c r="N1250"/>
  <c r="N1251"/>
  <c r="N1106"/>
  <c r="N1107"/>
  <c r="N1323"/>
  <c r="N583"/>
  <c r="N584"/>
  <c r="N585"/>
  <c r="N440"/>
  <c r="N441"/>
  <c r="N744"/>
  <c r="N35"/>
  <c r="N315"/>
  <c r="N698"/>
  <c r="N452"/>
  <c r="N488"/>
  <c r="N740"/>
  <c r="N741"/>
  <c r="N635"/>
  <c r="N1010"/>
  <c r="N742"/>
  <c r="N743"/>
  <c r="N929"/>
  <c r="N930"/>
  <c r="N959"/>
  <c r="N960"/>
  <c r="N931"/>
  <c r="N904"/>
  <c r="N932"/>
  <c r="N933"/>
  <c r="N466"/>
  <c r="N1330"/>
  <c r="N404"/>
  <c r="N631"/>
  <c r="N765"/>
  <c r="N798"/>
  <c r="N799"/>
  <c r="N1365"/>
  <c r="N1366"/>
  <c r="N1297"/>
  <c r="N1298"/>
  <c r="N721"/>
  <c r="N722"/>
  <c r="N723"/>
  <c r="N724"/>
  <c r="N1130"/>
  <c r="N957"/>
  <c r="N66"/>
  <c r="N1067"/>
  <c r="N100"/>
  <c r="N1029"/>
  <c r="N1310"/>
  <c r="N1311"/>
  <c r="N1299"/>
  <c r="N1300"/>
  <c r="N1301"/>
  <c r="N921"/>
  <c r="N986"/>
  <c r="N560"/>
  <c r="N561"/>
  <c r="N766"/>
  <c r="N378"/>
  <c r="N234"/>
  <c r="N1155"/>
  <c r="N1156"/>
  <c r="N1194"/>
  <c r="N1431"/>
  <c r="N1125"/>
  <c r="N1432"/>
  <c r="N1196"/>
  <c r="N1090"/>
  <c r="N182"/>
  <c r="N1165"/>
  <c r="N242"/>
  <c r="N1166"/>
  <c r="N165"/>
  <c r="N426"/>
  <c r="N513"/>
  <c r="N351"/>
  <c r="N1020"/>
  <c r="N1021"/>
  <c r="N1070"/>
  <c r="N1022"/>
  <c r="N458"/>
  <c r="N786"/>
  <c r="N623"/>
  <c r="N475"/>
  <c r="N1296"/>
  <c r="N1114"/>
  <c r="N1115"/>
  <c r="N427"/>
  <c r="N459"/>
  <c r="N1302"/>
  <c r="N1303"/>
  <c r="N1312"/>
  <c r="N987"/>
  <c r="N988"/>
  <c r="N1331"/>
  <c r="N1332"/>
  <c r="N692"/>
  <c r="N172"/>
  <c r="N173"/>
  <c r="N174"/>
  <c r="N42"/>
  <c r="N43"/>
  <c r="N220"/>
  <c r="N221"/>
  <c r="N1269"/>
  <c r="N1091"/>
  <c r="N179"/>
  <c r="N342"/>
  <c r="N166"/>
  <c r="N167"/>
  <c r="N168"/>
  <c r="N1408"/>
  <c r="N1409"/>
  <c r="N514"/>
  <c r="N352"/>
  <c r="N1167"/>
  <c r="N515"/>
  <c r="N347"/>
  <c r="N191"/>
  <c r="N192"/>
  <c r="N193"/>
  <c r="N1168"/>
  <c r="N1211"/>
  <c r="N343"/>
  <c r="N183"/>
  <c r="N382"/>
  <c r="N1286"/>
  <c r="N383"/>
  <c r="N1126"/>
  <c r="N265"/>
  <c r="N1271"/>
  <c r="N184"/>
  <c r="N185"/>
  <c r="N187"/>
  <c r="N1222"/>
  <c r="N896"/>
  <c r="N735"/>
  <c r="N460"/>
  <c r="N1416"/>
  <c r="N384"/>
  <c r="N235"/>
  <c r="N380"/>
  <c r="N419"/>
  <c r="N95"/>
  <c r="N148"/>
  <c r="N169"/>
  <c r="N1370"/>
  <c r="N188"/>
  <c r="N1169"/>
  <c r="N935"/>
  <c r="N936"/>
  <c r="N236"/>
  <c r="N237"/>
  <c r="N1127"/>
  <c r="N266"/>
  <c r="N637"/>
  <c r="N638"/>
  <c r="N568"/>
  <c r="N243"/>
  <c r="N1170"/>
  <c r="N189"/>
  <c r="N44"/>
  <c r="N223"/>
  <c r="N1313"/>
  <c r="N1314"/>
  <c r="N693"/>
  <c r="N1333"/>
  <c r="N1334"/>
  <c r="N190"/>
  <c r="N534"/>
  <c r="N270"/>
  <c r="N1202"/>
  <c r="N949"/>
  <c r="N449"/>
  <c r="N207"/>
  <c r="N244"/>
  <c r="N245"/>
  <c r="N246"/>
  <c r="N238"/>
  <c r="N379"/>
  <c r="N1354"/>
  <c r="N1355"/>
  <c r="N1356"/>
  <c r="N385"/>
  <c r="N1357"/>
  <c r="N208"/>
  <c r="N569"/>
  <c r="N535"/>
  <c r="N780"/>
  <c r="N413"/>
  <c r="N1358"/>
  <c r="N551"/>
  <c r="N570"/>
  <c r="N536"/>
  <c r="N781"/>
  <c r="N414"/>
  <c r="N415"/>
  <c r="N1359"/>
  <c r="N552"/>
  <c r="N553"/>
  <c r="N571"/>
  <c r="N537"/>
  <c r="N538"/>
  <c r="N910"/>
  <c r="N54"/>
  <c r="N67"/>
  <c r="N1116"/>
  <c r="N787"/>
  <c r="N762"/>
  <c r="N1101"/>
  <c r="N476"/>
  <c r="N1131"/>
  <c r="N428"/>
  <c r="N1385"/>
  <c r="N1386"/>
  <c r="N102"/>
  <c r="N1272"/>
  <c r="N1273"/>
  <c r="N36"/>
  <c r="N1315"/>
  <c r="N1316"/>
  <c r="N694"/>
  <c r="N1274"/>
  <c r="N1259"/>
  <c r="N7"/>
  <c r="N1260"/>
  <c r="N1261"/>
  <c r="N8"/>
  <c r="N416"/>
  <c r="N417"/>
  <c r="N767"/>
  <c r="N566"/>
  <c r="N567"/>
  <c r="N1098"/>
  <c r="N1172"/>
  <c r="N1173"/>
  <c r="N74"/>
  <c r="N736"/>
  <c r="N958"/>
  <c r="N1102"/>
  <c r="N1317"/>
  <c r="N1318"/>
  <c r="N695"/>
  <c r="N1262"/>
  <c r="N1263"/>
  <c r="N9"/>
  <c r="N1275"/>
  <c r="N1276"/>
  <c r="N10"/>
  <c r="N1277"/>
  <c r="N1278"/>
  <c r="N11"/>
  <c r="N1279"/>
  <c r="N1280"/>
  <c r="N37"/>
  <c r="N1319"/>
  <c r="N1320"/>
  <c r="N28"/>
  <c r="N1186"/>
  <c r="N795"/>
  <c r="N1034"/>
  <c r="N27"/>
  <c r="N1133"/>
  <c r="N590"/>
  <c r="N805"/>
  <c r="N806"/>
  <c r="N307"/>
  <c r="N1248"/>
  <c r="N1249"/>
  <c r="N1035"/>
  <c r="N586"/>
  <c r="N588"/>
  <c r="N1036"/>
  <c r="N589"/>
  <c r="N559"/>
  <c r="N308"/>
  <c r="N284"/>
  <c r="N285"/>
  <c r="N1037"/>
  <c r="N1281"/>
  <c r="N908"/>
  <c r="N38"/>
  <c r="N1287"/>
  <c r="N800"/>
  <c r="N1288"/>
  <c r="N706"/>
  <c r="N170"/>
  <c r="N1371"/>
  <c r="N75"/>
  <c r="N1147"/>
  <c r="N782"/>
  <c r="N1103"/>
  <c r="N429"/>
  <c r="N1132"/>
  <c r="N29"/>
  <c r="N69"/>
  <c r="N1038"/>
  <c r="N39"/>
  <c r="N40"/>
  <c r="N41"/>
  <c r="N1108"/>
  <c r="N1109"/>
  <c r="N1110"/>
  <c r="N768"/>
  <c r="N1289"/>
  <c r="N682"/>
  <c r="N247"/>
  <c r="N754"/>
  <c r="N406"/>
  <c r="N737"/>
  <c r="N55"/>
  <c r="N769"/>
  <c r="N1290"/>
  <c r="N248"/>
  <c r="N210"/>
  <c r="N407"/>
  <c r="N467"/>
  <c r="N68"/>
  <c r="N26"/>
  <c r="N801"/>
  <c r="N1291"/>
  <c r="N211"/>
  <c r="N683"/>
  <c r="N1009"/>
  <c r="N1058"/>
  <c r="N1039"/>
  <c r="N1040"/>
  <c r="N386"/>
  <c r="N1157"/>
  <c r="N684"/>
  <c r="N707"/>
  <c r="N1059"/>
  <c r="N1060"/>
  <c r="N76"/>
  <c r="N793"/>
  <c r="N794"/>
  <c r="N598"/>
  <c r="N70"/>
  <c r="N796"/>
  <c r="N387"/>
  <c r="N1158"/>
  <c r="N708"/>
  <c r="N709"/>
  <c r="N1061"/>
  <c r="N612"/>
  <c r="N101"/>
  <c r="N151"/>
  <c r="N71"/>
  <c r="N72"/>
  <c r="N388"/>
  <c r="N1159"/>
  <c r="N1360"/>
  <c r="N1361"/>
  <c r="N613"/>
  <c r="N642"/>
  <c r="N1074"/>
  <c r="N519"/>
  <c r="N797"/>
  <c r="N1041"/>
  <c r="N562"/>
  <c r="N1160"/>
  <c r="N710"/>
  <c r="N1099"/>
  <c r="N1023"/>
  <c r="N1071"/>
  <c r="N563"/>
  <c r="N1161"/>
  <c r="N1305"/>
  <c r="N154"/>
  <c r="N1024"/>
  <c r="N1025"/>
  <c r="N445"/>
  <c r="N1042"/>
  <c r="N852"/>
  <c r="N845"/>
  <c r="N853"/>
  <c r="N846"/>
  <c r="N854"/>
  <c r="N847"/>
  <c r="N564"/>
  <c r="N99"/>
  <c r="N1072"/>
  <c r="N989"/>
  <c r="N520"/>
  <c r="N977"/>
  <c r="N978"/>
  <c r="N21"/>
  <c r="N979"/>
  <c r="N915"/>
  <c r="N969"/>
  <c r="N970"/>
  <c r="N971"/>
  <c r="N972"/>
  <c r="N1146"/>
  <c r="N916"/>
  <c r="N917"/>
  <c r="N918"/>
  <c r="N980"/>
  <c r="N981"/>
  <c r="N982"/>
  <c r="N983"/>
  <c r="N1162"/>
  <c r="N565"/>
  <c r="N1032"/>
  <c r="N546"/>
  <c r="N669"/>
  <c r="N516"/>
  <c r="N517"/>
  <c r="N353"/>
  <c r="N855"/>
  <c r="N856"/>
  <c r="N103"/>
  <c r="N390"/>
  <c r="N730"/>
  <c r="N731"/>
  <c r="N391"/>
  <c r="N1377"/>
  <c r="N1378"/>
  <c r="N1387"/>
  <c r="N1388"/>
  <c r="N825"/>
  <c r="N826"/>
  <c r="N827"/>
  <c r="N828"/>
  <c r="N829"/>
  <c r="N830"/>
  <c r="N831"/>
  <c r="N587"/>
  <c r="N1174"/>
  <c r="N209"/>
  <c r="N418"/>
  <c r="N297"/>
  <c r="N1104"/>
  <c r="N990"/>
  <c r="N991"/>
  <c r="N984"/>
  <c r="N614"/>
  <c r="N547"/>
  <c r="N457"/>
  <c r="N674"/>
  <c r="N823"/>
  <c r="N919"/>
  <c r="N832"/>
  <c r="N833"/>
  <c r="N446"/>
  <c r="N992"/>
  <c r="N633"/>
  <c r="N286"/>
  <c r="N1395"/>
  <c r="N62"/>
  <c r="N834"/>
  <c r="N835"/>
  <c r="N696"/>
  <c r="N697"/>
  <c r="N752"/>
  <c r="N702"/>
  <c r="N703"/>
  <c r="N788"/>
  <c r="N905"/>
  <c r="N906"/>
  <c r="N961"/>
  <c r="N602"/>
  <c r="N1292"/>
  <c r="N150"/>
  <c r="N548"/>
  <c r="N296"/>
  <c r="N294"/>
  <c r="N1306"/>
  <c r="N836"/>
  <c r="N837"/>
  <c r="N789"/>
  <c r="N790"/>
  <c r="N838"/>
  <c r="N839"/>
  <c r="N791"/>
  <c r="N792"/>
  <c r="N1093"/>
  <c r="N1307"/>
  <c r="N549"/>
  <c r="N1414"/>
  <c r="N295"/>
  <c r="N317"/>
  <c r="N824"/>
  <c r="N1308"/>
  <c r="N819"/>
  <c r="N162"/>
  <c r="N1309"/>
  <c r="N1016"/>
  <c r="N1017"/>
  <c r="N163"/>
  <c r="N455"/>
  <c r="N164"/>
  <c r="N1406"/>
  <c r="N456"/>
  <c r="N1293"/>
  <c r="N937"/>
  <c r="N1294"/>
  <c r="N1068"/>
  <c r="N1295"/>
  <c r="N1018"/>
  <c r="N938"/>
  <c r="N1019"/>
  <c r="N5"/>
  <c r="N410"/>
  <c r="N844"/>
  <c r="N840"/>
  <c r="N1105"/>
  <c r="N1100"/>
  <c r="N411"/>
  <c r="N711"/>
  <c r="N412"/>
  <c r="N381"/>
  <c r="N239"/>
  <c r="N704"/>
  <c r="N267"/>
  <c r="N268"/>
  <c r="N4"/>
  <c r="N687"/>
  <c r="N688"/>
  <c r="N689"/>
  <c r="N714"/>
  <c r="N715"/>
  <c r="N841"/>
  <c r="N842"/>
  <c r="N843"/>
  <c r="N996"/>
  <c r="N84"/>
  <c r="N85"/>
  <c r="N857"/>
  <c r="N815"/>
  <c r="N934"/>
  <c r="N46"/>
  <c r="N430"/>
  <c r="N14"/>
  <c r="N1117"/>
  <c r="N997"/>
  <c r="N603"/>
  <c r="N998"/>
  <c r="N632"/>
  <c r="N1124"/>
  <c r="N1407"/>
  <c r="N490"/>
  <c r="N920"/>
  <c r="N1396"/>
  <c r="N909"/>
  <c r="N1004"/>
  <c r="N1005"/>
  <c r="N968"/>
  <c r="N858"/>
  <c r="N859"/>
  <c r="N860"/>
  <c r="N861"/>
  <c r="N862"/>
  <c r="N863"/>
  <c r="N864"/>
  <c r="N865"/>
  <c r="N866"/>
  <c r="N867"/>
  <c r="N868"/>
  <c r="N869"/>
  <c r="N870"/>
  <c r="N871"/>
  <c r="N872"/>
  <c r="N873"/>
  <c r="N874"/>
  <c r="N875"/>
  <c r="N876"/>
  <c r="N354"/>
  <c r="N355"/>
  <c r="N356"/>
  <c r="N357"/>
  <c r="N358"/>
  <c r="N359"/>
  <c r="N360"/>
  <c r="N361"/>
  <c r="N362"/>
  <c r="N363"/>
  <c r="N364"/>
  <c r="N365"/>
  <c r="N366"/>
  <c r="N367"/>
  <c r="N368"/>
  <c r="N369"/>
  <c r="N675"/>
  <c r="N676"/>
  <c r="N677"/>
  <c r="N678"/>
  <c r="N679"/>
  <c r="N156"/>
  <c r="N157"/>
  <c r="N158"/>
  <c r="N159"/>
  <c r="N160"/>
  <c r="N161"/>
  <c r="N321"/>
  <c r="N322"/>
  <c r="N494"/>
  <c r="N495"/>
  <c r="N646"/>
  <c r="N647"/>
  <c r="N807"/>
  <c r="N808"/>
  <c r="N323"/>
  <c r="N324"/>
  <c r="N496"/>
  <c r="N497"/>
  <c r="N648"/>
  <c r="N649"/>
  <c r="N809"/>
  <c r="N810"/>
  <c r="N325"/>
  <c r="N326"/>
  <c r="N498"/>
  <c r="N499"/>
  <c r="N650"/>
  <c r="N651"/>
  <c r="N1079"/>
  <c r="N1080"/>
  <c r="N327"/>
  <c r="N328"/>
  <c r="N500"/>
  <c r="N501"/>
  <c r="N652"/>
  <c r="N653"/>
  <c r="N811"/>
  <c r="N812"/>
  <c r="N813"/>
  <c r="N814"/>
  <c r="N1081"/>
  <c r="N1082"/>
  <c r="N329"/>
  <c r="N330"/>
  <c r="N502"/>
  <c r="N1118"/>
  <c r="N431"/>
  <c r="N1119"/>
  <c r="N1120"/>
  <c r="N432"/>
  <c r="N1121"/>
  <c r="N1122"/>
  <c r="N433"/>
  <c r="N521"/>
  <c r="N461"/>
  <c r="N464"/>
  <c r="N615"/>
  <c r="N462"/>
  <c r="N617"/>
  <c r="N463"/>
  <c r="N616"/>
  <c r="N774"/>
  <c r="N522"/>
  <c r="N671"/>
  <c r="N775"/>
  <c r="N523"/>
  <c r="N524"/>
  <c r="N110"/>
  <c r="N525"/>
  <c r="N526"/>
  <c r="N196"/>
  <c r="N672"/>
  <c r="N527"/>
  <c r="N197"/>
  <c r="N673"/>
  <c r="N528"/>
  <c r="N111"/>
  <c r="N1123"/>
  <c r="N389"/>
  <c r="N434"/>
  <c r="N13"/>
  <c r="N400"/>
  <c r="N271"/>
  <c r="N30"/>
  <c r="N1049"/>
  <c r="N31"/>
  <c r="N599"/>
  <c r="N624"/>
  <c r="N625"/>
  <c r="N1030"/>
  <c r="N1031"/>
  <c r="N1075"/>
  <c r="N1234"/>
  <c r="N1235"/>
  <c r="N1236"/>
  <c r="N435"/>
  <c r="N397"/>
  <c r="N894"/>
  <c r="N1111"/>
  <c r="N1128"/>
  <c r="N222"/>
  <c r="N269"/>
  <c r="N12"/>
  <c r="N895"/>
  <c r="N22"/>
  <c r="N23"/>
  <c r="N705"/>
  <c r="N753"/>
  <c r="N778"/>
  <c r="N24"/>
  <c r="N25"/>
  <c r="N63"/>
  <c r="N64"/>
  <c r="N950"/>
  <c r="N47"/>
  <c r="N951"/>
  <c r="N48"/>
  <c r="N1394"/>
  <c r="N1418"/>
  <c r="N1419"/>
  <c r="N1420"/>
  <c r="N1421"/>
  <c r="N1422"/>
  <c r="N1423"/>
  <c r="N1424"/>
  <c r="N1425"/>
  <c r="N1426"/>
  <c r="N1427"/>
  <c r="N1428"/>
  <c r="N1429"/>
  <c r="N1433"/>
  <c r="M1205"/>
  <c r="M175"/>
  <c r="M1006"/>
  <c r="M1053"/>
  <c r="M1054"/>
  <c r="M507"/>
  <c r="M658"/>
  <c r="M659"/>
  <c r="M335"/>
  <c r="M779"/>
  <c r="M278"/>
  <c r="M176"/>
  <c r="M177"/>
  <c r="M178"/>
  <c r="M1055"/>
  <c r="M1056"/>
  <c r="M1057"/>
  <c r="M228"/>
  <c r="M229"/>
  <c r="M338"/>
  <c r="M339"/>
  <c r="M340"/>
  <c r="M341"/>
  <c r="M663"/>
  <c r="M1266"/>
  <c r="M1267"/>
  <c r="M230"/>
  <c r="M1264"/>
  <c r="M1012"/>
  <c r="M1013"/>
  <c r="M1066"/>
  <c r="M279"/>
  <c r="M86"/>
  <c r="M87"/>
  <c r="M139"/>
  <c r="M280"/>
  <c r="M96"/>
  <c r="M97"/>
  <c r="M241"/>
  <c r="M344"/>
  <c r="M667"/>
  <c r="M337"/>
  <c r="M510"/>
  <c r="M281"/>
  <c r="M298"/>
  <c r="M405"/>
  <c r="M529"/>
  <c r="M530"/>
  <c r="M531"/>
  <c r="M532"/>
  <c r="M716"/>
  <c r="M712"/>
  <c r="M713"/>
  <c r="M685"/>
  <c r="M686"/>
  <c r="M422"/>
  <c r="M423"/>
  <c r="M424"/>
  <c r="M533"/>
  <c r="M348"/>
  <c r="M349"/>
  <c r="M350"/>
  <c r="M1413"/>
  <c r="M511"/>
  <c r="M480"/>
  <c r="M18"/>
  <c r="M56"/>
  <c r="M16"/>
  <c r="M1134"/>
  <c r="M758"/>
  <c r="M1150"/>
  <c r="M594"/>
  <c r="M301"/>
  <c r="M993"/>
  <c r="M1350"/>
  <c r="M302"/>
  <c r="M772"/>
  <c r="M1026"/>
  <c r="M755"/>
  <c r="M756"/>
  <c r="M1148"/>
  <c r="M1149"/>
  <c r="M468"/>
  <c r="M1027"/>
  <c r="M1219"/>
  <c r="M1220"/>
  <c r="M50"/>
  <c r="M954"/>
  <c r="M19"/>
  <c r="M57"/>
  <c r="M469"/>
  <c r="M470"/>
  <c r="M1398"/>
  <c r="M1399"/>
  <c r="M92"/>
  <c r="M1335"/>
  <c r="M1076"/>
  <c r="M1397"/>
  <c r="M142"/>
  <c r="M89"/>
  <c r="M93"/>
  <c r="M1336"/>
  <c r="M1337"/>
  <c r="M1338"/>
  <c r="M725"/>
  <c r="M726"/>
  <c r="M727"/>
  <c r="M1008"/>
  <c r="M1270"/>
  <c r="M770"/>
  <c r="M1268"/>
  <c r="M1282"/>
  <c r="M1283"/>
  <c r="M1284"/>
  <c r="M1285"/>
  <c r="M1265"/>
  <c r="M609"/>
  <c r="M640"/>
  <c r="M292"/>
  <c r="M293"/>
  <c r="M202"/>
  <c r="M664"/>
  <c r="M336"/>
  <c r="M508"/>
  <c r="M509"/>
  <c r="M665"/>
  <c r="M666"/>
  <c r="M1209"/>
  <c r="M1210"/>
  <c r="M203"/>
  <c r="M204"/>
  <c r="M1011"/>
  <c r="M1063"/>
  <c r="M1064"/>
  <c r="M662"/>
  <c r="M668"/>
  <c r="M180"/>
  <c r="M1163"/>
  <c r="M1164"/>
  <c r="M771"/>
  <c r="M606"/>
  <c r="M607"/>
  <c r="M636"/>
  <c r="M802"/>
  <c r="M1092"/>
  <c r="M1304"/>
  <c r="M149"/>
  <c r="M450"/>
  <c r="M484"/>
  <c r="M485"/>
  <c r="M486"/>
  <c r="M98"/>
  <c r="M105"/>
  <c r="M153"/>
  <c r="M106"/>
  <c r="M1152"/>
  <c r="M1153"/>
  <c r="M1138"/>
  <c r="M512"/>
  <c r="M345"/>
  <c r="M346"/>
  <c r="M1372"/>
  <c r="M393"/>
  <c r="M392"/>
  <c r="M717"/>
  <c r="M186"/>
  <c r="M171"/>
  <c r="M1410"/>
  <c r="M718"/>
  <c r="M719"/>
  <c r="M720"/>
  <c r="M1373"/>
  <c r="M1374"/>
  <c r="M690"/>
  <c r="M691"/>
  <c r="M1375"/>
  <c r="M1376"/>
  <c r="M394"/>
  <c r="M1402"/>
  <c r="M90"/>
  <c r="M1151"/>
  <c r="M783"/>
  <c r="M595"/>
  <c r="M596"/>
  <c r="M1062"/>
  <c r="M231"/>
  <c r="M232"/>
  <c r="M233"/>
  <c r="M303"/>
  <c r="M408"/>
  <c r="M1204"/>
  <c r="M733"/>
  <c r="M51"/>
  <c r="M955"/>
  <c r="M58"/>
  <c r="M59"/>
  <c r="M700"/>
  <c r="M6"/>
  <c r="M477"/>
  <c r="M282"/>
  <c r="M319"/>
  <c r="M320"/>
  <c r="M398"/>
  <c r="M399"/>
  <c r="M572"/>
  <c r="M573"/>
  <c r="M491"/>
  <c r="M492"/>
  <c r="M1239"/>
  <c r="M1240"/>
  <c r="M277"/>
  <c r="M227"/>
  <c r="M78"/>
  <c r="M1050"/>
  <c r="M591"/>
  <c r="M592"/>
  <c r="M593"/>
  <c r="M1367"/>
  <c r="M1368"/>
  <c r="M738"/>
  <c r="M481"/>
  <c r="M923"/>
  <c r="M304"/>
  <c r="M272"/>
  <c r="M224"/>
  <c r="M32"/>
  <c r="M283"/>
  <c r="M493"/>
  <c r="M643"/>
  <c r="M1241"/>
  <c r="M924"/>
  <c r="M925"/>
  <c r="M1242"/>
  <c r="M436"/>
  <c r="M437"/>
  <c r="M1000"/>
  <c r="M626"/>
  <c r="M627"/>
  <c r="M108"/>
  <c r="M109"/>
  <c r="M1051"/>
  <c r="M79"/>
  <c r="M305"/>
  <c r="M306"/>
  <c r="M644"/>
  <c r="M645"/>
  <c r="M1243"/>
  <c r="M225"/>
  <c r="M226"/>
  <c r="M749"/>
  <c r="M750"/>
  <c r="M751"/>
  <c r="M939"/>
  <c r="M940"/>
  <c r="M941"/>
  <c r="M897"/>
  <c r="M701"/>
  <c r="M15"/>
  <c r="M911"/>
  <c r="M912"/>
  <c r="M913"/>
  <c r="M914"/>
  <c r="M974"/>
  <c r="M975"/>
  <c r="M1065"/>
  <c r="M316"/>
  <c r="M1139"/>
  <c r="M1140"/>
  <c r="M1141"/>
  <c r="M660"/>
  <c r="M618"/>
  <c r="M1077"/>
  <c r="M453"/>
  <c r="M661"/>
  <c r="M747"/>
  <c r="M976"/>
  <c r="M454"/>
  <c r="M1087"/>
  <c r="M848"/>
  <c r="M503"/>
  <c r="M849"/>
  <c r="M654"/>
  <c r="M655"/>
  <c r="M850"/>
  <c r="M784"/>
  <c r="M1135"/>
  <c r="M1078"/>
  <c r="M619"/>
  <c r="M728"/>
  <c r="M620"/>
  <c r="M409"/>
  <c r="M729"/>
  <c r="M966"/>
  <c r="M1244"/>
  <c r="M967"/>
  <c r="M401"/>
  <c r="M907"/>
  <c r="M402"/>
  <c r="M1044"/>
  <c r="M1052"/>
  <c r="M1045"/>
  <c r="M80"/>
  <c r="M140"/>
  <c r="M444"/>
  <c r="M1046"/>
  <c r="M478"/>
  <c r="M1405"/>
  <c r="M403"/>
  <c r="M146"/>
  <c r="M438"/>
  <c r="M147"/>
  <c r="M81"/>
  <c r="M83"/>
  <c r="M898"/>
  <c r="M94"/>
  <c r="M1088"/>
  <c r="M1430"/>
  <c r="M489"/>
  <c r="M610"/>
  <c r="M611"/>
  <c r="M1142"/>
  <c r="M1143"/>
  <c r="M1144"/>
  <c r="M1145"/>
  <c r="M1154"/>
  <c r="M641"/>
  <c r="M107"/>
  <c r="M1089"/>
  <c r="M240"/>
  <c r="M820"/>
  <c r="M821"/>
  <c r="M1369"/>
  <c r="M550"/>
  <c r="M205"/>
  <c r="M206"/>
  <c r="M181"/>
  <c r="M1195"/>
  <c r="M395"/>
  <c r="M1411"/>
  <c r="M1412"/>
  <c r="M822"/>
  <c r="M396"/>
  <c r="M425"/>
  <c r="M1069"/>
  <c r="M1112"/>
  <c r="M442"/>
  <c r="M670"/>
  <c r="M299"/>
  <c r="M471"/>
  <c r="M300"/>
  <c r="M518"/>
  <c r="M194"/>
  <c r="M1415"/>
  <c r="M195"/>
  <c r="M621"/>
  <c r="M899"/>
  <c r="M88"/>
  <c r="M479"/>
  <c r="M1001"/>
  <c r="M33"/>
  <c r="M628"/>
  <c r="M601"/>
  <c r="M1245"/>
  <c r="M1246"/>
  <c r="M1362"/>
  <c r="M1351"/>
  <c r="M91"/>
  <c r="M622"/>
  <c r="M472"/>
  <c r="M17"/>
  <c r="M757"/>
  <c r="M1218"/>
  <c r="M473"/>
  <c r="M474"/>
  <c r="M60"/>
  <c r="M65"/>
  <c r="M1136"/>
  <c r="M900"/>
  <c r="M1363"/>
  <c r="M1352"/>
  <c r="M600"/>
  <c r="M155"/>
  <c r="M318"/>
  <c r="M1364"/>
  <c r="M1353"/>
  <c r="M439"/>
  <c r="M985"/>
  <c r="M630"/>
  <c r="M1379"/>
  <c r="M785"/>
  <c r="M952"/>
  <c r="M1203"/>
  <c r="M49"/>
  <c r="M953"/>
  <c r="M1137"/>
  <c r="M999"/>
  <c r="M763"/>
  <c r="M764"/>
  <c r="M597"/>
  <c r="M273"/>
  <c r="M1083"/>
  <c r="M1043"/>
  <c r="M890"/>
  <c r="M891"/>
  <c r="M892"/>
  <c r="M893"/>
  <c r="M994"/>
  <c r="M138"/>
  <c r="M995"/>
  <c r="M141"/>
  <c r="M1047"/>
  <c r="M926"/>
  <c r="M1247"/>
  <c r="M274"/>
  <c r="M82"/>
  <c r="M1002"/>
  <c r="M629"/>
  <c r="M804"/>
  <c r="M574"/>
  <c r="M575"/>
  <c r="M576"/>
  <c r="M554"/>
  <c r="M901"/>
  <c r="M555"/>
  <c r="M443"/>
  <c r="M1237"/>
  <c r="M1238"/>
  <c r="M275"/>
  <c r="M556"/>
  <c r="M557"/>
  <c r="M558"/>
  <c r="M577"/>
  <c r="M578"/>
  <c r="M276"/>
  <c r="M1084"/>
  <c r="M1048"/>
  <c r="M942"/>
  <c r="M943"/>
  <c r="M944"/>
  <c r="M945"/>
  <c r="M759"/>
  <c r="M760"/>
  <c r="M761"/>
  <c r="M1256"/>
  <c r="M288"/>
  <c r="M1003"/>
  <c r="M739"/>
  <c r="M310"/>
  <c r="M946"/>
  <c r="M947"/>
  <c r="M927"/>
  <c r="M928"/>
  <c r="M447"/>
  <c r="M448"/>
  <c r="M289"/>
  <c r="M311"/>
  <c r="M312"/>
  <c r="M816"/>
  <c r="M851"/>
  <c r="M313"/>
  <c r="M1257"/>
  <c r="M1380"/>
  <c r="M773"/>
  <c r="M1129"/>
  <c r="M734"/>
  <c r="M52"/>
  <c r="M1381"/>
  <c r="M1382"/>
  <c r="M956"/>
  <c r="M53"/>
  <c r="M1383"/>
  <c r="M1384"/>
  <c r="M803"/>
  <c r="M1073"/>
  <c r="M45"/>
  <c r="M73"/>
  <c r="M1014"/>
  <c r="M1007"/>
  <c r="M1015"/>
  <c r="M1028"/>
  <c r="M61"/>
  <c r="M1258"/>
  <c r="M20"/>
  <c r="M290"/>
  <c r="M973"/>
  <c r="M748"/>
  <c r="M604"/>
  <c r="M605"/>
  <c r="M634"/>
  <c r="M487"/>
  <c r="M608"/>
  <c r="M639"/>
  <c r="M314"/>
  <c r="M451"/>
  <c r="M482"/>
  <c r="M483"/>
  <c r="M948"/>
  <c r="M902"/>
  <c r="M903"/>
  <c r="M34"/>
  <c r="M291"/>
  <c r="M579"/>
  <c r="M77"/>
  <c r="M580"/>
  <c r="M581"/>
  <c r="M582"/>
  <c r="M1321"/>
  <c r="M1322"/>
  <c r="M1250"/>
  <c r="M1251"/>
  <c r="M1106"/>
  <c r="M1107"/>
  <c r="M1323"/>
  <c r="M583"/>
  <c r="M584"/>
  <c r="M585"/>
  <c r="M440"/>
  <c r="M441"/>
  <c r="M744"/>
  <c r="M35"/>
  <c r="M315"/>
  <c r="M698"/>
  <c r="M452"/>
  <c r="M488"/>
  <c r="M740"/>
  <c r="M741"/>
  <c r="M635"/>
  <c r="M1010"/>
  <c r="M742"/>
  <c r="M743"/>
  <c r="M929"/>
  <c r="M930"/>
  <c r="M959"/>
  <c r="M960"/>
  <c r="M931"/>
  <c r="M904"/>
  <c r="M932"/>
  <c r="M933"/>
  <c r="M466"/>
  <c r="M1330"/>
  <c r="M404"/>
  <c r="M631"/>
  <c r="M765"/>
  <c r="M798"/>
  <c r="M799"/>
  <c r="M1365"/>
  <c r="M1366"/>
  <c r="M1297"/>
  <c r="M1298"/>
  <c r="M721"/>
  <c r="M722"/>
  <c r="M723"/>
  <c r="M724"/>
  <c r="M1130"/>
  <c r="M957"/>
  <c r="M66"/>
  <c r="M1067"/>
  <c r="M100"/>
  <c r="M1029"/>
  <c r="M1310"/>
  <c r="M1311"/>
  <c r="M1299"/>
  <c r="M1300"/>
  <c r="M1301"/>
  <c r="M921"/>
  <c r="M986"/>
  <c r="M560"/>
  <c r="M561"/>
  <c r="M766"/>
  <c r="M378"/>
  <c r="M234"/>
  <c r="M1155"/>
  <c r="M1156"/>
  <c r="M1194"/>
  <c r="M1431"/>
  <c r="M1125"/>
  <c r="M1432"/>
  <c r="M1196"/>
  <c r="M1090"/>
  <c r="M182"/>
  <c r="M1165"/>
  <c r="M242"/>
  <c r="M1166"/>
  <c r="M165"/>
  <c r="M426"/>
  <c r="M513"/>
  <c r="M351"/>
  <c r="M1020"/>
  <c r="M1021"/>
  <c r="M1070"/>
  <c r="M1022"/>
  <c r="M458"/>
  <c r="M786"/>
  <c r="M623"/>
  <c r="M475"/>
  <c r="M1296"/>
  <c r="M1114"/>
  <c r="M1115"/>
  <c r="M427"/>
  <c r="M459"/>
  <c r="M1302"/>
  <c r="M1303"/>
  <c r="M1312"/>
  <c r="M987"/>
  <c r="M988"/>
  <c r="M1331"/>
  <c r="M1332"/>
  <c r="M692"/>
  <c r="M172"/>
  <c r="M173"/>
  <c r="M174"/>
  <c r="M42"/>
  <c r="M43"/>
  <c r="M220"/>
  <c r="M221"/>
  <c r="M1269"/>
  <c r="M1091"/>
  <c r="M179"/>
  <c r="M342"/>
  <c r="M166"/>
  <c r="M167"/>
  <c r="M168"/>
  <c r="M1408"/>
  <c r="M1409"/>
  <c r="M514"/>
  <c r="M352"/>
  <c r="M1167"/>
  <c r="M515"/>
  <c r="M347"/>
  <c r="M191"/>
  <c r="M192"/>
  <c r="M193"/>
  <c r="M1168"/>
  <c r="M1211"/>
  <c r="M343"/>
  <c r="M183"/>
  <c r="M382"/>
  <c r="M1286"/>
  <c r="M383"/>
  <c r="M1126"/>
  <c r="M265"/>
  <c r="M1271"/>
  <c r="M184"/>
  <c r="M185"/>
  <c r="M187"/>
  <c r="M1222"/>
  <c r="M896"/>
  <c r="M735"/>
  <c r="M460"/>
  <c r="M1416"/>
  <c r="M384"/>
  <c r="M235"/>
  <c r="M380"/>
  <c r="M419"/>
  <c r="M95"/>
  <c r="M148"/>
  <c r="M169"/>
  <c r="M1370"/>
  <c r="M188"/>
  <c r="M1169"/>
  <c r="M935"/>
  <c r="M936"/>
  <c r="M236"/>
  <c r="M237"/>
  <c r="M1127"/>
  <c r="M266"/>
  <c r="M637"/>
  <c r="M638"/>
  <c r="M568"/>
  <c r="M243"/>
  <c r="M1170"/>
  <c r="M189"/>
  <c r="M44"/>
  <c r="M223"/>
  <c r="M1313"/>
  <c r="M1314"/>
  <c r="M693"/>
  <c r="M1333"/>
  <c r="M1334"/>
  <c r="M190"/>
  <c r="M534"/>
  <c r="M270"/>
  <c r="M1202"/>
  <c r="M949"/>
  <c r="M449"/>
  <c r="M207"/>
  <c r="M244"/>
  <c r="M245"/>
  <c r="M246"/>
  <c r="M238"/>
  <c r="M379"/>
  <c r="M1354"/>
  <c r="M1355"/>
  <c r="M1356"/>
  <c r="M385"/>
  <c r="M1357"/>
  <c r="M208"/>
  <c r="M569"/>
  <c r="M535"/>
  <c r="M780"/>
  <c r="M413"/>
  <c r="M1358"/>
  <c r="M551"/>
  <c r="M570"/>
  <c r="M536"/>
  <c r="M781"/>
  <c r="M414"/>
  <c r="M415"/>
  <c r="M1359"/>
  <c r="M552"/>
  <c r="M553"/>
  <c r="M571"/>
  <c r="M537"/>
  <c r="M538"/>
  <c r="M910"/>
  <c r="M54"/>
  <c r="M67"/>
  <c r="M1116"/>
  <c r="M787"/>
  <c r="M762"/>
  <c r="M1101"/>
  <c r="M476"/>
  <c r="M1131"/>
  <c r="M428"/>
  <c r="M1385"/>
  <c r="M1386"/>
  <c r="M102"/>
  <c r="M1272"/>
  <c r="M1273"/>
  <c r="M36"/>
  <c r="M1315"/>
  <c r="M1316"/>
  <c r="M694"/>
  <c r="M1274"/>
  <c r="M1259"/>
  <c r="M7"/>
  <c r="M1260"/>
  <c r="M1261"/>
  <c r="M8"/>
  <c r="M416"/>
  <c r="M417"/>
  <c r="M767"/>
  <c r="M566"/>
  <c r="M567"/>
  <c r="M1098"/>
  <c r="M1172"/>
  <c r="M1173"/>
  <c r="M74"/>
  <c r="M736"/>
  <c r="M958"/>
  <c r="M1102"/>
  <c r="M1317"/>
  <c r="M1318"/>
  <c r="M695"/>
  <c r="M1262"/>
  <c r="M1263"/>
  <c r="M9"/>
  <c r="M1275"/>
  <c r="M1276"/>
  <c r="M10"/>
  <c r="M1277"/>
  <c r="M1278"/>
  <c r="M11"/>
  <c r="M1279"/>
  <c r="M1280"/>
  <c r="M37"/>
  <c r="M1319"/>
  <c r="M1320"/>
  <c r="M28"/>
  <c r="M1186"/>
  <c r="M795"/>
  <c r="M1034"/>
  <c r="M27"/>
  <c r="M1133"/>
  <c r="M590"/>
  <c r="M805"/>
  <c r="M806"/>
  <c r="M307"/>
  <c r="M1248"/>
  <c r="M1249"/>
  <c r="M1035"/>
  <c r="M586"/>
  <c r="M588"/>
  <c r="M1036"/>
  <c r="M589"/>
  <c r="M559"/>
  <c r="M308"/>
  <c r="M284"/>
  <c r="M285"/>
  <c r="M1037"/>
  <c r="M1281"/>
  <c r="M908"/>
  <c r="M38"/>
  <c r="M1287"/>
  <c r="M800"/>
  <c r="M1288"/>
  <c r="M706"/>
  <c r="M170"/>
  <c r="M1371"/>
  <c r="M75"/>
  <c r="M1147"/>
  <c r="M782"/>
  <c r="M1103"/>
  <c r="M429"/>
  <c r="M1132"/>
  <c r="M29"/>
  <c r="M69"/>
  <c r="M1038"/>
  <c r="M39"/>
  <c r="M40"/>
  <c r="M41"/>
  <c r="M1108"/>
  <c r="M1109"/>
  <c r="M1110"/>
  <c r="M768"/>
  <c r="M1289"/>
  <c r="M682"/>
  <c r="M247"/>
  <c r="M754"/>
  <c r="M406"/>
  <c r="M737"/>
  <c r="M55"/>
  <c r="M769"/>
  <c r="M1290"/>
  <c r="M248"/>
  <c r="M210"/>
  <c r="M407"/>
  <c r="M467"/>
  <c r="M68"/>
  <c r="M26"/>
  <c r="M801"/>
  <c r="M1291"/>
  <c r="M211"/>
  <c r="M683"/>
  <c r="M1009"/>
  <c r="M1058"/>
  <c r="M1039"/>
  <c r="M1040"/>
  <c r="M386"/>
  <c r="M1157"/>
  <c r="M684"/>
  <c r="M707"/>
  <c r="M1059"/>
  <c r="M1060"/>
  <c r="M76"/>
  <c r="M793"/>
  <c r="M794"/>
  <c r="M598"/>
  <c r="M70"/>
  <c r="M796"/>
  <c r="M387"/>
  <c r="M1158"/>
  <c r="M708"/>
  <c r="M709"/>
  <c r="M1061"/>
  <c r="M612"/>
  <c r="M101"/>
  <c r="M151"/>
  <c r="M71"/>
  <c r="M72"/>
  <c r="M388"/>
  <c r="M1159"/>
  <c r="M1360"/>
  <c r="M1361"/>
  <c r="M613"/>
  <c r="M642"/>
  <c r="M1074"/>
  <c r="M519"/>
  <c r="M797"/>
  <c r="M1041"/>
  <c r="M562"/>
  <c r="M1160"/>
  <c r="M710"/>
  <c r="M1099"/>
  <c r="M1023"/>
  <c r="M1071"/>
  <c r="M563"/>
  <c r="M1161"/>
  <c r="M1305"/>
  <c r="M154"/>
  <c r="M1024"/>
  <c r="M1025"/>
  <c r="M445"/>
  <c r="M1042"/>
  <c r="M852"/>
  <c r="M845"/>
  <c r="M853"/>
  <c r="M846"/>
  <c r="M854"/>
  <c r="M847"/>
  <c r="M564"/>
  <c r="M99"/>
  <c r="M1072"/>
  <c r="M989"/>
  <c r="M520"/>
  <c r="M977"/>
  <c r="M978"/>
  <c r="M21"/>
  <c r="M979"/>
  <c r="M915"/>
  <c r="M969"/>
  <c r="M970"/>
  <c r="M971"/>
  <c r="M972"/>
  <c r="M1146"/>
  <c r="M916"/>
  <c r="M917"/>
  <c r="M918"/>
  <c r="M980"/>
  <c r="M981"/>
  <c r="M982"/>
  <c r="M983"/>
  <c r="M1162"/>
  <c r="M565"/>
  <c r="M1032"/>
  <c r="M546"/>
  <c r="M669"/>
  <c r="M516"/>
  <c r="M517"/>
  <c r="M353"/>
  <c r="M855"/>
  <c r="M856"/>
  <c r="M103"/>
  <c r="M390"/>
  <c r="M730"/>
  <c r="M731"/>
  <c r="M391"/>
  <c r="M1377"/>
  <c r="M1378"/>
  <c r="M1387"/>
  <c r="M1388"/>
  <c r="M825"/>
  <c r="M826"/>
  <c r="M827"/>
  <c r="M828"/>
  <c r="M829"/>
  <c r="M830"/>
  <c r="M831"/>
  <c r="M587"/>
  <c r="M1174"/>
  <c r="M209"/>
  <c r="M418"/>
  <c r="M297"/>
  <c r="M1104"/>
  <c r="M990"/>
  <c r="M991"/>
  <c r="M984"/>
  <c r="M614"/>
  <c r="M547"/>
  <c r="M457"/>
  <c r="M674"/>
  <c r="M823"/>
  <c r="M919"/>
  <c r="M832"/>
  <c r="M833"/>
  <c r="M446"/>
  <c r="M992"/>
  <c r="M633"/>
  <c r="M286"/>
  <c r="M1395"/>
  <c r="M62"/>
  <c r="M834"/>
  <c r="M835"/>
  <c r="M696"/>
  <c r="M697"/>
  <c r="M752"/>
  <c r="M702"/>
  <c r="M703"/>
  <c r="M788"/>
  <c r="M905"/>
  <c r="M906"/>
  <c r="M961"/>
  <c r="M602"/>
  <c r="M1292"/>
  <c r="M150"/>
  <c r="M548"/>
  <c r="M296"/>
  <c r="M294"/>
  <c r="M1306"/>
  <c r="M836"/>
  <c r="M837"/>
  <c r="M789"/>
  <c r="M790"/>
  <c r="M838"/>
  <c r="M839"/>
  <c r="M791"/>
  <c r="M792"/>
  <c r="M1093"/>
  <c r="M1307"/>
  <c r="M549"/>
  <c r="M1414"/>
  <c r="M295"/>
  <c r="M317"/>
  <c r="M824"/>
  <c r="M1308"/>
  <c r="M819"/>
  <c r="M162"/>
  <c r="M1309"/>
  <c r="M1016"/>
  <c r="M1017"/>
  <c r="M163"/>
  <c r="M455"/>
  <c r="M164"/>
  <c r="M1406"/>
  <c r="M456"/>
  <c r="M1293"/>
  <c r="M937"/>
  <c r="M1294"/>
  <c r="M1068"/>
  <c r="M1295"/>
  <c r="M1018"/>
  <c r="M938"/>
  <c r="M1019"/>
  <c r="M5"/>
  <c r="M410"/>
  <c r="M844"/>
  <c r="M840"/>
  <c r="M1105"/>
  <c r="M1100"/>
  <c r="M411"/>
  <c r="M711"/>
  <c r="M412"/>
  <c r="M381"/>
  <c r="M239"/>
  <c r="M704"/>
  <c r="M267"/>
  <c r="M268"/>
  <c r="M4"/>
  <c r="M687"/>
  <c r="M688"/>
  <c r="M689"/>
  <c r="M714"/>
  <c r="M715"/>
  <c r="M841"/>
  <c r="M842"/>
  <c r="M843"/>
  <c r="M996"/>
  <c r="M84"/>
  <c r="M85"/>
  <c r="M857"/>
  <c r="M815"/>
  <c r="M934"/>
  <c r="M46"/>
  <c r="M430"/>
  <c r="M14"/>
  <c r="M1117"/>
  <c r="M997"/>
  <c r="M603"/>
  <c r="M998"/>
  <c r="M632"/>
  <c r="M1124"/>
  <c r="M1407"/>
  <c r="M490"/>
  <c r="M920"/>
  <c r="M1396"/>
  <c r="M909"/>
  <c r="M1004"/>
  <c r="M1005"/>
  <c r="M968"/>
  <c r="M858"/>
  <c r="M859"/>
  <c r="M860"/>
  <c r="M861"/>
  <c r="M862"/>
  <c r="M863"/>
  <c r="M864"/>
  <c r="M865"/>
  <c r="M866"/>
  <c r="M867"/>
  <c r="M868"/>
  <c r="M869"/>
  <c r="M870"/>
  <c r="M871"/>
  <c r="M872"/>
  <c r="M873"/>
  <c r="M874"/>
  <c r="M875"/>
  <c r="M876"/>
  <c r="M354"/>
  <c r="M355"/>
  <c r="M356"/>
  <c r="M357"/>
  <c r="M358"/>
  <c r="M359"/>
  <c r="M360"/>
  <c r="M361"/>
  <c r="M362"/>
  <c r="M363"/>
  <c r="M364"/>
  <c r="M365"/>
  <c r="M366"/>
  <c r="M367"/>
  <c r="M368"/>
  <c r="M369"/>
  <c r="M675"/>
  <c r="M676"/>
  <c r="M677"/>
  <c r="M678"/>
  <c r="M679"/>
  <c r="M156"/>
  <c r="M157"/>
  <c r="M158"/>
  <c r="M159"/>
  <c r="M160"/>
  <c r="M161"/>
  <c r="M321"/>
  <c r="M322"/>
  <c r="M494"/>
  <c r="M495"/>
  <c r="M646"/>
  <c r="M647"/>
  <c r="M807"/>
  <c r="M808"/>
  <c r="M323"/>
  <c r="M324"/>
  <c r="M496"/>
  <c r="M497"/>
  <c r="M648"/>
  <c r="M649"/>
  <c r="M809"/>
  <c r="M810"/>
  <c r="M325"/>
  <c r="M326"/>
  <c r="M498"/>
  <c r="M499"/>
  <c r="M650"/>
  <c r="M651"/>
  <c r="M1079"/>
  <c r="M1080"/>
  <c r="M327"/>
  <c r="M328"/>
  <c r="M500"/>
  <c r="M501"/>
  <c r="M652"/>
  <c r="M653"/>
  <c r="M811"/>
  <c r="M812"/>
  <c r="M813"/>
  <c r="M814"/>
  <c r="M1081"/>
  <c r="M1082"/>
  <c r="M329"/>
  <c r="M330"/>
  <c r="M502"/>
  <c r="M1118"/>
  <c r="M431"/>
  <c r="M1119"/>
  <c r="M1120"/>
  <c r="M432"/>
  <c r="M1121"/>
  <c r="M1122"/>
  <c r="M433"/>
  <c r="M521"/>
  <c r="M461"/>
  <c r="M464"/>
  <c r="M615"/>
  <c r="M462"/>
  <c r="M617"/>
  <c r="M463"/>
  <c r="M616"/>
  <c r="M774"/>
  <c r="M522"/>
  <c r="M671"/>
  <c r="M775"/>
  <c r="M523"/>
  <c r="M524"/>
  <c r="M110"/>
  <c r="M525"/>
  <c r="M526"/>
  <c r="M196"/>
  <c r="M672"/>
  <c r="M527"/>
  <c r="M197"/>
  <c r="M673"/>
  <c r="M528"/>
  <c r="M111"/>
  <c r="M1123"/>
  <c r="M389"/>
  <c r="M434"/>
  <c r="M13"/>
  <c r="M400"/>
  <c r="M271"/>
  <c r="M30"/>
  <c r="M1049"/>
  <c r="M31"/>
  <c r="M599"/>
  <c r="M624"/>
  <c r="M625"/>
  <c r="M1030"/>
  <c r="M1031"/>
  <c r="M1075"/>
  <c r="M1234"/>
  <c r="M1235"/>
  <c r="M1236"/>
  <c r="M435"/>
  <c r="M397"/>
  <c r="M894"/>
  <c r="M1111"/>
  <c r="M1128"/>
  <c r="M222"/>
  <c r="M269"/>
  <c r="M12"/>
  <c r="M895"/>
  <c r="M22"/>
  <c r="M23"/>
  <c r="M705"/>
  <c r="M753"/>
  <c r="M778"/>
  <c r="M24"/>
  <c r="M25"/>
  <c r="M63"/>
  <c r="M64"/>
  <c r="M950"/>
  <c r="M47"/>
  <c r="M951"/>
  <c r="M48"/>
  <c r="M1394"/>
  <c r="M1418"/>
  <c r="M1419"/>
  <c r="M1420"/>
  <c r="M1421"/>
  <c r="M1422"/>
  <c r="M1423"/>
  <c r="M1424"/>
  <c r="M1425"/>
  <c r="M1426"/>
  <c r="M1427"/>
  <c r="M1428"/>
  <c r="M1429"/>
  <c r="M1433"/>
  <c r="L1205"/>
  <c r="L175"/>
  <c r="L1006"/>
  <c r="L1053"/>
  <c r="L1054"/>
  <c r="L507"/>
  <c r="L658"/>
  <c r="L659"/>
  <c r="L779"/>
  <c r="L278"/>
  <c r="L176"/>
  <c r="L177"/>
  <c r="L178"/>
  <c r="L1055"/>
  <c r="L1056"/>
  <c r="L1057"/>
  <c r="L228"/>
  <c r="L229"/>
  <c r="L338"/>
  <c r="L339"/>
  <c r="L340"/>
  <c r="L341"/>
  <c r="L663"/>
  <c r="L1266"/>
  <c r="L1267"/>
  <c r="L230"/>
  <c r="L1264"/>
  <c r="L1012"/>
  <c r="L1013"/>
  <c r="L1066"/>
  <c r="L279"/>
  <c r="L86"/>
  <c r="L87"/>
  <c r="L139"/>
  <c r="L280"/>
  <c r="L96"/>
  <c r="L97"/>
  <c r="L241"/>
  <c r="L344"/>
  <c r="L667"/>
  <c r="L337"/>
  <c r="L510"/>
  <c r="L281"/>
  <c r="L298"/>
  <c r="L405"/>
  <c r="L529"/>
  <c r="L530"/>
  <c r="L532"/>
  <c r="L716"/>
  <c r="L712"/>
  <c r="L713"/>
  <c r="L685"/>
  <c r="L686"/>
  <c r="L423"/>
  <c r="L424"/>
  <c r="L533"/>
  <c r="L348"/>
  <c r="L349"/>
  <c r="L1413"/>
  <c r="L511"/>
  <c r="L480"/>
  <c r="L18"/>
  <c r="L56"/>
  <c r="L16"/>
  <c r="L1134"/>
  <c r="L758"/>
  <c r="L1150"/>
  <c r="L594"/>
  <c r="L301"/>
  <c r="L993"/>
  <c r="L1350"/>
  <c r="L302"/>
  <c r="L772"/>
  <c r="L1026"/>
  <c r="L755"/>
  <c r="L756"/>
  <c r="L1148"/>
  <c r="L1149"/>
  <c r="L468"/>
  <c r="L1027"/>
  <c r="L1219"/>
  <c r="L1220"/>
  <c r="L50"/>
  <c r="L954"/>
  <c r="L19"/>
  <c r="L57"/>
  <c r="L469"/>
  <c r="L470"/>
  <c r="L1398"/>
  <c r="L92"/>
  <c r="L1335"/>
  <c r="L1076"/>
  <c r="L1397"/>
  <c r="L142"/>
  <c r="L93"/>
  <c r="L1336"/>
  <c r="L1338"/>
  <c r="L725"/>
  <c r="L727"/>
  <c r="L1008"/>
  <c r="L1270"/>
  <c r="L770"/>
  <c r="L1268"/>
  <c r="L1282"/>
  <c r="L1283"/>
  <c r="L1284"/>
  <c r="L1285"/>
  <c r="L1265"/>
  <c r="L609"/>
  <c r="L640"/>
  <c r="L292"/>
  <c r="L293"/>
  <c r="L202"/>
  <c r="L664"/>
  <c r="L336"/>
  <c r="L508"/>
  <c r="L665"/>
  <c r="L666"/>
  <c r="L1209"/>
  <c r="L1210"/>
  <c r="L203"/>
  <c r="L1011"/>
  <c r="L662"/>
  <c r="L668"/>
  <c r="L180"/>
  <c r="L1163"/>
  <c r="L1164"/>
  <c r="L771"/>
  <c r="L606"/>
  <c r="L607"/>
  <c r="L636"/>
  <c r="L802"/>
  <c r="L1092"/>
  <c r="L1304"/>
  <c r="L149"/>
  <c r="L450"/>
  <c r="L484"/>
  <c r="L485"/>
  <c r="L486"/>
  <c r="L98"/>
  <c r="L105"/>
  <c r="L153"/>
  <c r="L106"/>
  <c r="L1152"/>
  <c r="L1153"/>
  <c r="L1138"/>
  <c r="L512"/>
  <c r="L345"/>
  <c r="L346"/>
  <c r="L1372"/>
  <c r="L393"/>
  <c r="L392"/>
  <c r="L717"/>
  <c r="L186"/>
  <c r="L171"/>
  <c r="L1410"/>
  <c r="L718"/>
  <c r="L719"/>
  <c r="L720"/>
  <c r="L1373"/>
  <c r="L1374"/>
  <c r="L690"/>
  <c r="L691"/>
  <c r="L1375"/>
  <c r="L1376"/>
  <c r="L394"/>
  <c r="L1402"/>
  <c r="L90"/>
  <c r="L1151"/>
  <c r="L783"/>
  <c r="L595"/>
  <c r="L596"/>
  <c r="L1062"/>
  <c r="L231"/>
  <c r="L232"/>
  <c r="L233"/>
  <c r="L303"/>
  <c r="L408"/>
  <c r="L1204"/>
  <c r="L733"/>
  <c r="L51"/>
  <c r="L955"/>
  <c r="L58"/>
  <c r="L59"/>
  <c r="L6"/>
  <c r="L477"/>
  <c r="L282"/>
  <c r="L319"/>
  <c r="L320"/>
  <c r="L398"/>
  <c r="L573"/>
  <c r="L491"/>
  <c r="L492"/>
  <c r="L1239"/>
  <c r="L1240"/>
  <c r="L277"/>
  <c r="L227"/>
  <c r="L78"/>
  <c r="L1050"/>
  <c r="L591"/>
  <c r="L592"/>
  <c r="L593"/>
  <c r="L1367"/>
  <c r="L1368"/>
  <c r="L738"/>
  <c r="L481"/>
  <c r="L304"/>
  <c r="L272"/>
  <c r="L224"/>
  <c r="L32"/>
  <c r="L283"/>
  <c r="L493"/>
  <c r="L643"/>
  <c r="L1241"/>
  <c r="L925"/>
  <c r="L1242"/>
  <c r="L436"/>
  <c r="L437"/>
  <c r="L1000"/>
  <c r="L626"/>
  <c r="L627"/>
  <c r="L108"/>
  <c r="L109"/>
  <c r="L1051"/>
  <c r="L79"/>
  <c r="L305"/>
  <c r="L306"/>
  <c r="L644"/>
  <c r="L645"/>
  <c r="L1243"/>
  <c r="L225"/>
  <c r="L226"/>
  <c r="L749"/>
  <c r="L750"/>
  <c r="L751"/>
  <c r="L939"/>
  <c r="L940"/>
  <c r="L941"/>
  <c r="L897"/>
  <c r="L701"/>
  <c r="L15"/>
  <c r="L911"/>
  <c r="L912"/>
  <c r="L913"/>
  <c r="L914"/>
  <c r="L974"/>
  <c r="L975"/>
  <c r="L316"/>
  <c r="L1139"/>
  <c r="L1140"/>
  <c r="L1141"/>
  <c r="L660"/>
  <c r="L618"/>
  <c r="L1077"/>
  <c r="L661"/>
  <c r="L747"/>
  <c r="L976"/>
  <c r="L454"/>
  <c r="L1087"/>
  <c r="L848"/>
  <c r="L503"/>
  <c r="L849"/>
  <c r="L654"/>
  <c r="L655"/>
  <c r="L850"/>
  <c r="L784"/>
  <c r="L1135"/>
  <c r="L1078"/>
  <c r="L619"/>
  <c r="L728"/>
  <c r="L620"/>
  <c r="L409"/>
  <c r="L729"/>
  <c r="L966"/>
  <c r="L1244"/>
  <c r="L967"/>
  <c r="L401"/>
  <c r="L402"/>
  <c r="L1044"/>
  <c r="L1052"/>
  <c r="L1045"/>
  <c r="L80"/>
  <c r="L444"/>
  <c r="L1046"/>
  <c r="L478"/>
  <c r="L1405"/>
  <c r="L403"/>
  <c r="L146"/>
  <c r="L438"/>
  <c r="L147"/>
  <c r="L81"/>
  <c r="L898"/>
  <c r="L94"/>
  <c r="L1088"/>
  <c r="L1430"/>
  <c r="L489"/>
  <c r="L610"/>
  <c r="L611"/>
  <c r="L1142"/>
  <c r="L1143"/>
  <c r="L1144"/>
  <c r="L1145"/>
  <c r="L1154"/>
  <c r="L641"/>
  <c r="L107"/>
  <c r="L1089"/>
  <c r="L240"/>
  <c r="L820"/>
  <c r="L821"/>
  <c r="L1369"/>
  <c r="L550"/>
  <c r="L205"/>
  <c r="L206"/>
  <c r="L181"/>
  <c r="L395"/>
  <c r="L1411"/>
  <c r="L1412"/>
  <c r="L822"/>
  <c r="L425"/>
  <c r="L1069"/>
  <c r="L1112"/>
  <c r="L670"/>
  <c r="L299"/>
  <c r="L471"/>
  <c r="L300"/>
  <c r="L518"/>
  <c r="L194"/>
  <c r="L1415"/>
  <c r="L195"/>
  <c r="L621"/>
  <c r="L899"/>
  <c r="L88"/>
  <c r="L479"/>
  <c r="L1001"/>
  <c r="L33"/>
  <c r="L628"/>
  <c r="L601"/>
  <c r="L1245"/>
  <c r="L1246"/>
  <c r="L1362"/>
  <c r="L1351"/>
  <c r="L91"/>
  <c r="L622"/>
  <c r="L472"/>
  <c r="L17"/>
  <c r="L757"/>
  <c r="L1218"/>
  <c r="L473"/>
  <c r="L474"/>
  <c r="L60"/>
  <c r="L65"/>
  <c r="L1136"/>
  <c r="L900"/>
  <c r="L1363"/>
  <c r="L1352"/>
  <c r="L600"/>
  <c r="L155"/>
  <c r="L318"/>
  <c r="L1364"/>
  <c r="L1353"/>
  <c r="L439"/>
  <c r="L985"/>
  <c r="L630"/>
  <c r="L1379"/>
  <c r="L785"/>
  <c r="L952"/>
  <c r="L1203"/>
  <c r="L49"/>
  <c r="L953"/>
  <c r="L1137"/>
  <c r="L999"/>
  <c r="L763"/>
  <c r="L597"/>
  <c r="L273"/>
  <c r="L1083"/>
  <c r="L1043"/>
  <c r="L890"/>
  <c r="L891"/>
  <c r="L994"/>
  <c r="L138"/>
  <c r="L141"/>
  <c r="L1047"/>
  <c r="L926"/>
  <c r="L1247"/>
  <c r="L274"/>
  <c r="L82"/>
  <c r="L1002"/>
  <c r="L629"/>
  <c r="L804"/>
  <c r="L575"/>
  <c r="L576"/>
  <c r="L554"/>
  <c r="L901"/>
  <c r="L555"/>
  <c r="L443"/>
  <c r="L1237"/>
  <c r="L1238"/>
  <c r="L275"/>
  <c r="L556"/>
  <c r="L557"/>
  <c r="L558"/>
  <c r="L577"/>
  <c r="L578"/>
  <c r="L276"/>
  <c r="L1084"/>
  <c r="L1048"/>
  <c r="L942"/>
  <c r="L943"/>
  <c r="L944"/>
  <c r="L945"/>
  <c r="L759"/>
  <c r="L760"/>
  <c r="L1256"/>
  <c r="L1003"/>
  <c r="L739"/>
  <c r="L310"/>
  <c r="L946"/>
  <c r="L947"/>
  <c r="L928"/>
  <c r="L447"/>
  <c r="L289"/>
  <c r="L816"/>
  <c r="L851"/>
  <c r="L1257"/>
  <c r="L1380"/>
  <c r="L773"/>
  <c r="L1129"/>
  <c r="L734"/>
  <c r="L52"/>
  <c r="L1381"/>
  <c r="L1382"/>
  <c r="L956"/>
  <c r="L53"/>
  <c r="L1383"/>
  <c r="L1384"/>
  <c r="L803"/>
  <c r="L1073"/>
  <c r="L45"/>
  <c r="L73"/>
  <c r="L1014"/>
  <c r="L1007"/>
  <c r="L1015"/>
  <c r="L1028"/>
  <c r="L61"/>
  <c r="L1258"/>
  <c r="L20"/>
  <c r="L290"/>
  <c r="L973"/>
  <c r="L748"/>
  <c r="L604"/>
  <c r="L605"/>
  <c r="L634"/>
  <c r="L487"/>
  <c r="L608"/>
  <c r="L639"/>
  <c r="L314"/>
  <c r="L451"/>
  <c r="L482"/>
  <c r="L483"/>
  <c r="L948"/>
  <c r="L902"/>
  <c r="L903"/>
  <c r="L34"/>
  <c r="L291"/>
  <c r="L579"/>
  <c r="L77"/>
  <c r="L580"/>
  <c r="L581"/>
  <c r="L582"/>
  <c r="L1321"/>
  <c r="L1322"/>
  <c r="L1250"/>
  <c r="L1251"/>
  <c r="L1106"/>
  <c r="L1323"/>
  <c r="L583"/>
  <c r="L584"/>
  <c r="L585"/>
  <c r="L440"/>
  <c r="L441"/>
  <c r="L744"/>
  <c r="L35"/>
  <c r="L315"/>
  <c r="L698"/>
  <c r="L452"/>
  <c r="L488"/>
  <c r="L740"/>
  <c r="L741"/>
  <c r="L635"/>
  <c r="L1010"/>
  <c r="L742"/>
  <c r="L743"/>
  <c r="L929"/>
  <c r="L930"/>
  <c r="L959"/>
  <c r="L960"/>
  <c r="L931"/>
  <c r="L904"/>
  <c r="L932"/>
  <c r="L933"/>
  <c r="L466"/>
  <c r="L1330"/>
  <c r="L404"/>
  <c r="L631"/>
  <c r="L765"/>
  <c r="L798"/>
  <c r="L799"/>
  <c r="L1365"/>
  <c r="L1366"/>
  <c r="L1297"/>
  <c r="L1298"/>
  <c r="L721"/>
  <c r="L722"/>
  <c r="L723"/>
  <c r="L724"/>
  <c r="L1130"/>
  <c r="L957"/>
  <c r="L66"/>
  <c r="L1067"/>
  <c r="L100"/>
  <c r="L1029"/>
  <c r="L1310"/>
  <c r="L1311"/>
  <c r="L1299"/>
  <c r="L1300"/>
  <c r="L1301"/>
  <c r="L921"/>
  <c r="L986"/>
  <c r="L560"/>
  <c r="L561"/>
  <c r="L766"/>
  <c r="L1155"/>
  <c r="L1156"/>
  <c r="L1431"/>
  <c r="L1125"/>
  <c r="L1432"/>
  <c r="L1090"/>
  <c r="L182"/>
  <c r="L1165"/>
  <c r="L242"/>
  <c r="L1166"/>
  <c r="L165"/>
  <c r="L426"/>
  <c r="L513"/>
  <c r="L351"/>
  <c r="L1020"/>
  <c r="L1021"/>
  <c r="L1070"/>
  <c r="L1022"/>
  <c r="L458"/>
  <c r="L786"/>
  <c r="L623"/>
  <c r="L475"/>
  <c r="L1296"/>
  <c r="L1114"/>
  <c r="L1115"/>
  <c r="L427"/>
  <c r="L459"/>
  <c r="L1302"/>
  <c r="L1303"/>
  <c r="L1312"/>
  <c r="L987"/>
  <c r="L988"/>
  <c r="L1331"/>
  <c r="L1332"/>
  <c r="L692"/>
  <c r="L172"/>
  <c r="L173"/>
  <c r="L174"/>
  <c r="L42"/>
  <c r="L43"/>
  <c r="L220"/>
  <c r="L221"/>
  <c r="L1269"/>
  <c r="L1091"/>
  <c r="L179"/>
  <c r="L342"/>
  <c r="L166"/>
  <c r="L167"/>
  <c r="L168"/>
  <c r="L1408"/>
  <c r="L1409"/>
  <c r="L514"/>
  <c r="L352"/>
  <c r="L1167"/>
  <c r="L347"/>
  <c r="L191"/>
  <c r="L193"/>
  <c r="L1168"/>
  <c r="L1211"/>
  <c r="L343"/>
  <c r="L183"/>
  <c r="L382"/>
  <c r="L1286"/>
  <c r="L383"/>
  <c r="L1126"/>
  <c r="L265"/>
  <c r="L1271"/>
  <c r="L184"/>
  <c r="L185"/>
  <c r="L187"/>
  <c r="L1222"/>
  <c r="L735"/>
  <c r="L460"/>
  <c r="L1416"/>
  <c r="L384"/>
  <c r="L235"/>
  <c r="L380"/>
  <c r="L419"/>
  <c r="L95"/>
  <c r="L148"/>
  <c r="L169"/>
  <c r="L1370"/>
  <c r="L188"/>
  <c r="L1169"/>
  <c r="L935"/>
  <c r="L936"/>
  <c r="L1127"/>
  <c r="L266"/>
  <c r="L637"/>
  <c r="L638"/>
  <c r="L568"/>
  <c r="L243"/>
  <c r="L1170"/>
  <c r="L189"/>
  <c r="L44"/>
  <c r="L223"/>
  <c r="L1313"/>
  <c r="L1314"/>
  <c r="L693"/>
  <c r="L1333"/>
  <c r="L1334"/>
  <c r="L190"/>
  <c r="L534"/>
  <c r="L270"/>
  <c r="L1202"/>
  <c r="L949"/>
  <c r="L449"/>
  <c r="L207"/>
  <c r="L244"/>
  <c r="L245"/>
  <c r="L246"/>
  <c r="L379"/>
  <c r="L1354"/>
  <c r="L1355"/>
  <c r="L1356"/>
  <c r="L385"/>
  <c r="L1357"/>
  <c r="L208"/>
  <c r="L569"/>
  <c r="L535"/>
  <c r="L780"/>
  <c r="L413"/>
  <c r="L1358"/>
  <c r="L551"/>
  <c r="L570"/>
  <c r="L781"/>
  <c r="L414"/>
  <c r="L415"/>
  <c r="L1359"/>
  <c r="L552"/>
  <c r="L537"/>
  <c r="L538"/>
  <c r="L910"/>
  <c r="L54"/>
  <c r="L67"/>
  <c r="L1116"/>
  <c r="L787"/>
  <c r="L762"/>
  <c r="L1101"/>
  <c r="L476"/>
  <c r="L1131"/>
  <c r="L428"/>
  <c r="L1385"/>
  <c r="L1386"/>
  <c r="L102"/>
  <c r="L1272"/>
  <c r="L1273"/>
  <c r="L36"/>
  <c r="L1315"/>
  <c r="L1316"/>
  <c r="L694"/>
  <c r="L1274"/>
  <c r="L1259"/>
  <c r="L7"/>
  <c r="L1260"/>
  <c r="L1261"/>
  <c r="L8"/>
  <c r="L416"/>
  <c r="L417"/>
  <c r="L767"/>
  <c r="L566"/>
  <c r="L567"/>
  <c r="L1172"/>
  <c r="L74"/>
  <c r="L736"/>
  <c r="L958"/>
  <c r="L1102"/>
  <c r="L1317"/>
  <c r="L1318"/>
  <c r="L1262"/>
  <c r="L1263"/>
  <c r="L9"/>
  <c r="L1275"/>
  <c r="L1276"/>
  <c r="L10"/>
  <c r="L1277"/>
  <c r="L1278"/>
  <c r="L11"/>
  <c r="L1279"/>
  <c r="L1280"/>
  <c r="L37"/>
  <c r="L1319"/>
  <c r="L1320"/>
  <c r="L28"/>
  <c r="L1186"/>
  <c r="L795"/>
  <c r="L27"/>
  <c r="L1133"/>
  <c r="L590"/>
  <c r="L805"/>
  <c r="L806"/>
  <c r="L1248"/>
  <c r="L1249"/>
  <c r="L1035"/>
  <c r="L586"/>
  <c r="L588"/>
  <c r="L589"/>
  <c r="L559"/>
  <c r="L308"/>
  <c r="L284"/>
  <c r="L285"/>
  <c r="L1037"/>
  <c r="L1281"/>
  <c r="L908"/>
  <c r="L38"/>
  <c r="L1287"/>
  <c r="L800"/>
  <c r="L1288"/>
  <c r="L170"/>
  <c r="L1371"/>
  <c r="L75"/>
  <c r="L1147"/>
  <c r="L782"/>
  <c r="L1103"/>
  <c r="L429"/>
  <c r="L1132"/>
  <c r="L29"/>
  <c r="L69"/>
  <c r="L1038"/>
  <c r="L39"/>
  <c r="L40"/>
  <c r="L41"/>
  <c r="L1108"/>
  <c r="L1109"/>
  <c r="L1110"/>
  <c r="L768"/>
  <c r="L1289"/>
  <c r="L682"/>
  <c r="L247"/>
  <c r="L754"/>
  <c r="L406"/>
  <c r="L737"/>
  <c r="L55"/>
  <c r="L769"/>
  <c r="L1290"/>
  <c r="L248"/>
  <c r="L210"/>
  <c r="L407"/>
  <c r="L467"/>
  <c r="L68"/>
  <c r="L26"/>
  <c r="L801"/>
  <c r="L1291"/>
  <c r="L211"/>
  <c r="L683"/>
  <c r="L1009"/>
  <c r="L1058"/>
  <c r="L1039"/>
  <c r="L1040"/>
  <c r="L386"/>
  <c r="L1157"/>
  <c r="L707"/>
  <c r="L1059"/>
  <c r="L1060"/>
  <c r="L76"/>
  <c r="L793"/>
  <c r="L794"/>
  <c r="L598"/>
  <c r="L70"/>
  <c r="L796"/>
  <c r="L387"/>
  <c r="L1158"/>
  <c r="L708"/>
  <c r="L1061"/>
  <c r="L612"/>
  <c r="L101"/>
  <c r="L151"/>
  <c r="L71"/>
  <c r="L388"/>
  <c r="L1159"/>
  <c r="L1360"/>
  <c r="L1361"/>
  <c r="L613"/>
  <c r="L642"/>
  <c r="L1074"/>
  <c r="L519"/>
  <c r="L797"/>
  <c r="L1041"/>
  <c r="L562"/>
  <c r="L1160"/>
  <c r="L1099"/>
  <c r="L1023"/>
  <c r="L1071"/>
  <c r="L563"/>
  <c r="L1161"/>
  <c r="L1305"/>
  <c r="L154"/>
  <c r="L1024"/>
  <c r="L1025"/>
  <c r="L445"/>
  <c r="L1042"/>
  <c r="L852"/>
  <c r="L845"/>
  <c r="L853"/>
  <c r="L846"/>
  <c r="L854"/>
  <c r="L847"/>
  <c r="L99"/>
  <c r="L1072"/>
  <c r="L989"/>
  <c r="L520"/>
  <c r="L977"/>
  <c r="L978"/>
  <c r="L979"/>
  <c r="L915"/>
  <c r="L969"/>
  <c r="L970"/>
  <c r="L971"/>
  <c r="L972"/>
  <c r="L916"/>
  <c r="L917"/>
  <c r="L918"/>
  <c r="L980"/>
  <c r="L981"/>
  <c r="L982"/>
  <c r="L983"/>
  <c r="L1162"/>
  <c r="L565"/>
  <c r="L1032"/>
  <c r="L546"/>
  <c r="L516"/>
  <c r="L353"/>
  <c r="L855"/>
  <c r="L856"/>
  <c r="L103"/>
  <c r="L390"/>
  <c r="L730"/>
  <c r="L731"/>
  <c r="L1377"/>
  <c r="L1378"/>
  <c r="L1387"/>
  <c r="L1388"/>
  <c r="L825"/>
  <c r="L826"/>
  <c r="L827"/>
  <c r="L828"/>
  <c r="L829"/>
  <c r="L830"/>
  <c r="L831"/>
  <c r="L587"/>
  <c r="L1174"/>
  <c r="L209"/>
  <c r="L418"/>
  <c r="L297"/>
  <c r="L1104"/>
  <c r="L990"/>
  <c r="L991"/>
  <c r="L984"/>
  <c r="L614"/>
  <c r="L547"/>
  <c r="L457"/>
  <c r="L674"/>
  <c r="L823"/>
  <c r="L919"/>
  <c r="L832"/>
  <c r="L833"/>
  <c r="L446"/>
  <c r="L992"/>
  <c r="L633"/>
  <c r="L286"/>
  <c r="L1395"/>
  <c r="L62"/>
  <c r="L834"/>
  <c r="L835"/>
  <c r="L696"/>
  <c r="L697"/>
  <c r="L752"/>
  <c r="L702"/>
  <c r="L905"/>
  <c r="L906"/>
  <c r="L961"/>
  <c r="L602"/>
  <c r="L1292"/>
  <c r="L150"/>
  <c r="L548"/>
  <c r="L296"/>
  <c r="L294"/>
  <c r="L1306"/>
  <c r="L836"/>
  <c r="L837"/>
  <c r="L789"/>
  <c r="L838"/>
  <c r="L839"/>
  <c r="L791"/>
  <c r="L792"/>
  <c r="L1093"/>
  <c r="L1307"/>
  <c r="L1414"/>
  <c r="L295"/>
  <c r="L317"/>
  <c r="L824"/>
  <c r="L1308"/>
  <c r="L819"/>
  <c r="L162"/>
  <c r="L1309"/>
  <c r="L1016"/>
  <c r="L1017"/>
  <c r="L163"/>
  <c r="L455"/>
  <c r="L164"/>
  <c r="L1406"/>
  <c r="L456"/>
  <c r="L1293"/>
  <c r="L1294"/>
  <c r="L1068"/>
  <c r="L1295"/>
  <c r="L1018"/>
  <c r="L938"/>
  <c r="L1019"/>
  <c r="L5"/>
  <c r="L410"/>
  <c r="L844"/>
  <c r="L840"/>
  <c r="L1105"/>
  <c r="L1100"/>
  <c r="L411"/>
  <c r="L711"/>
  <c r="L412"/>
  <c r="L381"/>
  <c r="L239"/>
  <c r="L704"/>
  <c r="L267"/>
  <c r="L268"/>
  <c r="L4"/>
  <c r="L687"/>
  <c r="L689"/>
  <c r="L714"/>
  <c r="L715"/>
  <c r="L841"/>
  <c r="L842"/>
  <c r="L843"/>
  <c r="L996"/>
  <c r="L84"/>
  <c r="L85"/>
  <c r="L857"/>
  <c r="L815"/>
  <c r="L46"/>
  <c r="L430"/>
  <c r="L14"/>
  <c r="L1117"/>
  <c r="L997"/>
  <c r="L603"/>
  <c r="L632"/>
  <c r="L1124"/>
  <c r="L1407"/>
  <c r="L490"/>
  <c r="L920"/>
  <c r="L1396"/>
  <c r="L909"/>
  <c r="L1004"/>
  <c r="L1005"/>
  <c r="L858"/>
  <c r="L859"/>
  <c r="L860"/>
  <c r="L861"/>
  <c r="L862"/>
  <c r="L863"/>
  <c r="L864"/>
  <c r="L865"/>
  <c r="L866"/>
  <c r="L867"/>
  <c r="L868"/>
  <c r="L869"/>
  <c r="L870"/>
  <c r="L871"/>
  <c r="L872"/>
  <c r="L873"/>
  <c r="L874"/>
  <c r="L875"/>
  <c r="L876"/>
  <c r="L354"/>
  <c r="L355"/>
  <c r="L356"/>
  <c r="L357"/>
  <c r="L358"/>
  <c r="L359"/>
  <c r="L360"/>
  <c r="L361"/>
  <c r="L362"/>
  <c r="L363"/>
  <c r="L364"/>
  <c r="L365"/>
  <c r="L366"/>
  <c r="L367"/>
  <c r="L368"/>
  <c r="L369"/>
  <c r="L675"/>
  <c r="L676"/>
  <c r="L677"/>
  <c r="L678"/>
  <c r="L679"/>
  <c r="L156"/>
  <c r="L157"/>
  <c r="L158"/>
  <c r="L159"/>
  <c r="L160"/>
  <c r="L161"/>
  <c r="L321"/>
  <c r="L322"/>
  <c r="L494"/>
  <c r="L495"/>
  <c r="L646"/>
  <c r="L647"/>
  <c r="L807"/>
  <c r="L808"/>
  <c r="L323"/>
  <c r="L324"/>
  <c r="L496"/>
  <c r="L497"/>
  <c r="L648"/>
  <c r="L649"/>
  <c r="L809"/>
  <c r="L810"/>
  <c r="L325"/>
  <c r="L326"/>
  <c r="L498"/>
  <c r="L499"/>
  <c r="L650"/>
  <c r="L651"/>
  <c r="L1079"/>
  <c r="L1080"/>
  <c r="L327"/>
  <c r="L328"/>
  <c r="L500"/>
  <c r="L501"/>
  <c r="L652"/>
  <c r="L653"/>
  <c r="L811"/>
  <c r="L812"/>
  <c r="L813"/>
  <c r="L814"/>
  <c r="L1081"/>
  <c r="L1082"/>
  <c r="L329"/>
  <c r="L330"/>
  <c r="L1118"/>
  <c r="L431"/>
  <c r="L1119"/>
  <c r="L1120"/>
  <c r="L432"/>
  <c r="L1121"/>
  <c r="L1122"/>
  <c r="L433"/>
  <c r="L521"/>
  <c r="L461"/>
  <c r="L464"/>
  <c r="L615"/>
  <c r="L462"/>
  <c r="L617"/>
  <c r="L616"/>
  <c r="L774"/>
  <c r="L522"/>
  <c r="L671"/>
  <c r="L775"/>
  <c r="L523"/>
  <c r="L524"/>
  <c r="L110"/>
  <c r="L525"/>
  <c r="L526"/>
  <c r="L196"/>
  <c r="L672"/>
  <c r="L527"/>
  <c r="L197"/>
  <c r="L673"/>
  <c r="L528"/>
  <c r="L111"/>
  <c r="L1123"/>
  <c r="L389"/>
  <c r="L434"/>
  <c r="L13"/>
  <c r="L400"/>
  <c r="L271"/>
  <c r="L30"/>
  <c r="L1049"/>
  <c r="L31"/>
  <c r="L599"/>
  <c r="L624"/>
  <c r="L625"/>
  <c r="L1030"/>
  <c r="L1031"/>
  <c r="L1075"/>
  <c r="L1234"/>
  <c r="L1235"/>
  <c r="L1236"/>
  <c r="L435"/>
  <c r="L397"/>
  <c r="L894"/>
  <c r="L1111"/>
  <c r="L1128"/>
  <c r="L222"/>
  <c r="L269"/>
  <c r="L12"/>
  <c r="L895"/>
  <c r="L22"/>
  <c r="L23"/>
  <c r="L705"/>
  <c r="L753"/>
  <c r="L778"/>
  <c r="L24"/>
  <c r="L25"/>
  <c r="L63"/>
  <c r="L64"/>
  <c r="L950"/>
  <c r="L47"/>
  <c r="L951"/>
  <c r="L48"/>
  <c r="L1394"/>
  <c r="I1205"/>
  <c r="I175"/>
  <c r="I1006"/>
  <c r="I1053"/>
  <c r="I1054"/>
  <c r="I507"/>
  <c r="I658"/>
  <c r="I659"/>
  <c r="I335"/>
  <c r="I779"/>
  <c r="I278"/>
  <c r="I176"/>
  <c r="I177"/>
  <c r="I178"/>
  <c r="I1055"/>
  <c r="I1056"/>
  <c r="I1057"/>
  <c r="I228"/>
  <c r="I229"/>
  <c r="I338"/>
  <c r="I339"/>
  <c r="I340"/>
  <c r="I341"/>
  <c r="I663"/>
  <c r="I1266"/>
  <c r="I1267"/>
  <c r="I230"/>
  <c r="I1264"/>
  <c r="I1012"/>
  <c r="I1013"/>
  <c r="I1066"/>
  <c r="I279"/>
  <c r="I86"/>
  <c r="I87"/>
  <c r="I139"/>
  <c r="I280"/>
  <c r="I96"/>
  <c r="I97"/>
  <c r="I241"/>
  <c r="I344"/>
  <c r="I667"/>
  <c r="I337"/>
  <c r="I510"/>
  <c r="I281"/>
  <c r="I298"/>
  <c r="I405"/>
  <c r="I529"/>
  <c r="I530"/>
  <c r="I531"/>
  <c r="I532"/>
  <c r="I716"/>
  <c r="I712"/>
  <c r="I713"/>
  <c r="I685"/>
  <c r="I686"/>
  <c r="I422"/>
  <c r="I423"/>
  <c r="I424"/>
  <c r="I533"/>
  <c r="I348"/>
  <c r="I349"/>
  <c r="I350"/>
  <c r="I1413"/>
  <c r="I511"/>
  <c r="I480"/>
  <c r="I18"/>
  <c r="I56"/>
  <c r="I16"/>
  <c r="I1134"/>
  <c r="I758"/>
  <c r="I1150"/>
  <c r="I594"/>
  <c r="I301"/>
  <c r="I993"/>
  <c r="I1350"/>
  <c r="I302"/>
  <c r="I772"/>
  <c r="I1026"/>
  <c r="I755"/>
  <c r="I756"/>
  <c r="I1148"/>
  <c r="I1149"/>
  <c r="I468"/>
  <c r="I1027"/>
  <c r="I1219"/>
  <c r="I1220"/>
  <c r="I50"/>
  <c r="I954"/>
  <c r="I19"/>
  <c r="I57"/>
  <c r="I469"/>
  <c r="I470"/>
  <c r="I1398"/>
  <c r="I1399"/>
  <c r="I92"/>
  <c r="I1335"/>
  <c r="I1076"/>
  <c r="I1397"/>
  <c r="I142"/>
  <c r="I89"/>
  <c r="I93"/>
  <c r="I1336"/>
  <c r="I1337"/>
  <c r="I1338"/>
  <c r="I725"/>
  <c r="I726"/>
  <c r="I727"/>
  <c r="I1008"/>
  <c r="I1270"/>
  <c r="I770"/>
  <c r="I1268"/>
  <c r="I1282"/>
  <c r="I1283"/>
  <c r="I1284"/>
  <c r="I1285"/>
  <c r="I1265"/>
  <c r="I609"/>
  <c r="I640"/>
  <c r="I292"/>
  <c r="I293"/>
  <c r="I202"/>
  <c r="I664"/>
  <c r="I336"/>
  <c r="I508"/>
  <c r="I509"/>
  <c r="I665"/>
  <c r="I666"/>
  <c r="I1209"/>
  <c r="I1210"/>
  <c r="I203"/>
  <c r="I204"/>
  <c r="I1011"/>
  <c r="I1063"/>
  <c r="I1064"/>
  <c r="I662"/>
  <c r="I668"/>
  <c r="I180"/>
  <c r="I1163"/>
  <c r="I1164"/>
  <c r="I771"/>
  <c r="I606"/>
  <c r="I607"/>
  <c r="I636"/>
  <c r="I802"/>
  <c r="I1092"/>
  <c r="I1304"/>
  <c r="I149"/>
  <c r="I450"/>
  <c r="I484"/>
  <c r="I485"/>
  <c r="I486"/>
  <c r="I98"/>
  <c r="I105"/>
  <c r="I153"/>
  <c r="I106"/>
  <c r="I1152"/>
  <c r="I1153"/>
  <c r="I1138"/>
  <c r="I512"/>
  <c r="I345"/>
  <c r="I346"/>
  <c r="I1372"/>
  <c r="I393"/>
  <c r="I392"/>
  <c r="I717"/>
  <c r="I186"/>
  <c r="I171"/>
  <c r="I1410"/>
  <c r="I718"/>
  <c r="I719"/>
  <c r="I720"/>
  <c r="I1373"/>
  <c r="I1374"/>
  <c r="I690"/>
  <c r="I691"/>
  <c r="I1375"/>
  <c r="I1376"/>
  <c r="I394"/>
  <c r="I1402"/>
  <c r="I90"/>
  <c r="I1151"/>
  <c r="I783"/>
  <c r="I595"/>
  <c r="I596"/>
  <c r="I1062"/>
  <c r="I231"/>
  <c r="I232"/>
  <c r="I233"/>
  <c r="I303"/>
  <c r="I408"/>
  <c r="I1204"/>
  <c r="I733"/>
  <c r="I51"/>
  <c r="I955"/>
  <c r="I58"/>
  <c r="I59"/>
  <c r="I6"/>
  <c r="I477"/>
  <c r="I282"/>
  <c r="I319"/>
  <c r="I320"/>
  <c r="I398"/>
  <c r="I399"/>
  <c r="I572"/>
  <c r="I573"/>
  <c r="I491"/>
  <c r="I492"/>
  <c r="I1239"/>
  <c r="I1240"/>
  <c r="I277"/>
  <c r="I227"/>
  <c r="I78"/>
  <c r="I1050"/>
  <c r="I591"/>
  <c r="I592"/>
  <c r="I593"/>
  <c r="I1367"/>
  <c r="I1368"/>
  <c r="I738"/>
  <c r="I481"/>
  <c r="I304"/>
  <c r="I272"/>
  <c r="I224"/>
  <c r="I32"/>
  <c r="I283"/>
  <c r="I493"/>
  <c r="I643"/>
  <c r="I1241"/>
  <c r="I925"/>
  <c r="I1242"/>
  <c r="I436"/>
  <c r="I437"/>
  <c r="I1000"/>
  <c r="I626"/>
  <c r="I627"/>
  <c r="I108"/>
  <c r="I109"/>
  <c r="I1051"/>
  <c r="I79"/>
  <c r="I305"/>
  <c r="I306"/>
  <c r="I644"/>
  <c r="I645"/>
  <c r="I1243"/>
  <c r="I225"/>
  <c r="I226"/>
  <c r="I749"/>
  <c r="I750"/>
  <c r="I751"/>
  <c r="I939"/>
  <c r="I940"/>
  <c r="I941"/>
  <c r="I897"/>
  <c r="I701"/>
  <c r="I15"/>
  <c r="I911"/>
  <c r="I912"/>
  <c r="I913"/>
  <c r="I914"/>
  <c r="I974"/>
  <c r="I975"/>
  <c r="I1065"/>
  <c r="I316"/>
  <c r="I1139"/>
  <c r="I1140"/>
  <c r="I1141"/>
  <c r="I660"/>
  <c r="I618"/>
  <c r="I1077"/>
  <c r="I453"/>
  <c r="I661"/>
  <c r="I747"/>
  <c r="I976"/>
  <c r="I454"/>
  <c r="I1087"/>
  <c r="I848"/>
  <c r="I503"/>
  <c r="I849"/>
  <c r="I654"/>
  <c r="I655"/>
  <c r="I850"/>
  <c r="I784"/>
  <c r="I1135"/>
  <c r="I1078"/>
  <c r="I619"/>
  <c r="I728"/>
  <c r="I620"/>
  <c r="I409"/>
  <c r="I729"/>
  <c r="I966"/>
  <c r="I1244"/>
  <c r="I967"/>
  <c r="I401"/>
  <c r="I402"/>
  <c r="I1044"/>
  <c r="I1052"/>
  <c r="I1045"/>
  <c r="I80"/>
  <c r="I140"/>
  <c r="I444"/>
  <c r="I1046"/>
  <c r="I478"/>
  <c r="I1405"/>
  <c r="I403"/>
  <c r="I146"/>
  <c r="I438"/>
  <c r="I147"/>
  <c r="I81"/>
  <c r="I83"/>
  <c r="I898"/>
  <c r="I94"/>
  <c r="I1088"/>
  <c r="I1430"/>
  <c r="I489"/>
  <c r="I610"/>
  <c r="I611"/>
  <c r="I1142"/>
  <c r="I1143"/>
  <c r="I1144"/>
  <c r="I1145"/>
  <c r="I1154"/>
  <c r="I641"/>
  <c r="I107"/>
  <c r="I1089"/>
  <c r="I240"/>
  <c r="I820"/>
  <c r="I821"/>
  <c r="I1369"/>
  <c r="I550"/>
  <c r="I205"/>
  <c r="I206"/>
  <c r="I181"/>
  <c r="I395"/>
  <c r="I1411"/>
  <c r="I1412"/>
  <c r="I822"/>
  <c r="I396"/>
  <c r="I425"/>
  <c r="I1069"/>
  <c r="I1112"/>
  <c r="I442"/>
  <c r="I670"/>
  <c r="I299"/>
  <c r="I471"/>
  <c r="I300"/>
  <c r="I518"/>
  <c r="I194"/>
  <c r="I1415"/>
  <c r="I195"/>
  <c r="I621"/>
  <c r="I899"/>
  <c r="I88"/>
  <c r="I479"/>
  <c r="I1001"/>
  <c r="I33"/>
  <c r="I628"/>
  <c r="I601"/>
  <c r="I1245"/>
  <c r="I1246"/>
  <c r="I1362"/>
  <c r="I1351"/>
  <c r="I91"/>
  <c r="I622"/>
  <c r="I472"/>
  <c r="I17"/>
  <c r="I757"/>
  <c r="I1218"/>
  <c r="I473"/>
  <c r="I474"/>
  <c r="I60"/>
  <c r="I65"/>
  <c r="I900"/>
  <c r="I1363"/>
  <c r="I1352"/>
  <c r="I600"/>
  <c r="I155"/>
  <c r="I318"/>
  <c r="I1364"/>
  <c r="I1353"/>
  <c r="I439"/>
  <c r="I985"/>
  <c r="I630"/>
  <c r="I1379"/>
  <c r="I952"/>
  <c r="I1203"/>
  <c r="I49"/>
  <c r="I953"/>
  <c r="I999"/>
  <c r="I763"/>
  <c r="I764"/>
  <c r="I597"/>
  <c r="I273"/>
  <c r="I1083"/>
  <c r="I1043"/>
  <c r="I890"/>
  <c r="I891"/>
  <c r="I892"/>
  <c r="I893"/>
  <c r="I994"/>
  <c r="I138"/>
  <c r="I995"/>
  <c r="I141"/>
  <c r="I1047"/>
  <c r="I926"/>
  <c r="I1247"/>
  <c r="I274"/>
  <c r="I82"/>
  <c r="I1002"/>
  <c r="I629"/>
  <c r="I804"/>
  <c r="I574"/>
  <c r="I575"/>
  <c r="I576"/>
  <c r="I554"/>
  <c r="I901"/>
  <c r="I555"/>
  <c r="I443"/>
  <c r="I1237"/>
  <c r="I1238"/>
  <c r="I275"/>
  <c r="I556"/>
  <c r="I557"/>
  <c r="I558"/>
  <c r="I577"/>
  <c r="I578"/>
  <c r="I276"/>
  <c r="I1084"/>
  <c r="I1048"/>
  <c r="I942"/>
  <c r="I943"/>
  <c r="I944"/>
  <c r="I945"/>
  <c r="I759"/>
  <c r="I760"/>
  <c r="I761"/>
  <c r="I1256"/>
  <c r="I288"/>
  <c r="I1003"/>
  <c r="I739"/>
  <c r="I310"/>
  <c r="I946"/>
  <c r="I947"/>
  <c r="I928"/>
  <c r="I447"/>
  <c r="I448"/>
  <c r="I289"/>
  <c r="I311"/>
  <c r="I312"/>
  <c r="I816"/>
  <c r="I851"/>
  <c r="I313"/>
  <c r="I1257"/>
  <c r="I1380"/>
  <c r="I773"/>
  <c r="I1129"/>
  <c r="I734"/>
  <c r="I52"/>
  <c r="I1381"/>
  <c r="I1382"/>
  <c r="I956"/>
  <c r="I53"/>
  <c r="I1383"/>
  <c r="I1384"/>
  <c r="I803"/>
  <c r="I1073"/>
  <c r="I45"/>
  <c r="I73"/>
  <c r="I1014"/>
  <c r="I1007"/>
  <c r="I1015"/>
  <c r="I1028"/>
  <c r="I61"/>
  <c r="I1258"/>
  <c r="I20"/>
  <c r="I290"/>
  <c r="I973"/>
  <c r="I748"/>
  <c r="I604"/>
  <c r="I605"/>
  <c r="I634"/>
  <c r="I487"/>
  <c r="I608"/>
  <c r="I639"/>
  <c r="I314"/>
  <c r="I451"/>
  <c r="I482"/>
  <c r="I483"/>
  <c r="I948"/>
  <c r="I902"/>
  <c r="I903"/>
  <c r="I34"/>
  <c r="I291"/>
  <c r="I579"/>
  <c r="I77"/>
  <c r="I580"/>
  <c r="I581"/>
  <c r="I582"/>
  <c r="I1321"/>
  <c r="I1322"/>
  <c r="I1250"/>
  <c r="I1251"/>
  <c r="I1106"/>
  <c r="I1107"/>
  <c r="I1323"/>
  <c r="I583"/>
  <c r="I584"/>
  <c r="I585"/>
  <c r="I440"/>
  <c r="I441"/>
  <c r="I744"/>
  <c r="I35"/>
  <c r="I315"/>
  <c r="I698"/>
  <c r="I452"/>
  <c r="I488"/>
  <c r="I740"/>
  <c r="I741"/>
  <c r="I635"/>
  <c r="I1010"/>
  <c r="I742"/>
  <c r="I743"/>
  <c r="I929"/>
  <c r="I930"/>
  <c r="I959"/>
  <c r="I960"/>
  <c r="I931"/>
  <c r="I904"/>
  <c r="I932"/>
  <c r="I933"/>
  <c r="I466"/>
  <c r="I1330"/>
  <c r="I404"/>
  <c r="I631"/>
  <c r="I765"/>
  <c r="I798"/>
  <c r="I799"/>
  <c r="I1365"/>
  <c r="I1366"/>
  <c r="I1297"/>
  <c r="I1298"/>
  <c r="I721"/>
  <c r="I722"/>
  <c r="I723"/>
  <c r="I724"/>
  <c r="I1130"/>
  <c r="I957"/>
  <c r="I66"/>
  <c r="I1067"/>
  <c r="I100"/>
  <c r="I1029"/>
  <c r="I1310"/>
  <c r="I1311"/>
  <c r="I1299"/>
  <c r="I1300"/>
  <c r="I1301"/>
  <c r="I921"/>
  <c r="I986"/>
  <c r="I560"/>
  <c r="I561"/>
  <c r="I766"/>
  <c r="I378"/>
  <c r="I234"/>
  <c r="I1155"/>
  <c r="I1156"/>
  <c r="I1431"/>
  <c r="I1125"/>
  <c r="I1432"/>
  <c r="I1090"/>
  <c r="I182"/>
  <c r="I1165"/>
  <c r="I242"/>
  <c r="I1166"/>
  <c r="I165"/>
  <c r="I426"/>
  <c r="I513"/>
  <c r="I351"/>
  <c r="I1020"/>
  <c r="I1021"/>
  <c r="I1070"/>
  <c r="I1022"/>
  <c r="I458"/>
  <c r="I786"/>
  <c r="I623"/>
  <c r="I475"/>
  <c r="I1296"/>
  <c r="I1114"/>
  <c r="I1115"/>
  <c r="I427"/>
  <c r="I459"/>
  <c r="I1302"/>
  <c r="I1303"/>
  <c r="I1312"/>
  <c r="I987"/>
  <c r="I988"/>
  <c r="I1331"/>
  <c r="I1332"/>
  <c r="I692"/>
  <c r="I172"/>
  <c r="I173"/>
  <c r="I174"/>
  <c r="I42"/>
  <c r="I43"/>
  <c r="I220"/>
  <c r="I221"/>
  <c r="I1269"/>
  <c r="I1091"/>
  <c r="I179"/>
  <c r="I342"/>
  <c r="I166"/>
  <c r="I167"/>
  <c r="I168"/>
  <c r="I1408"/>
  <c r="I1409"/>
  <c r="I514"/>
  <c r="I352"/>
  <c r="I1167"/>
  <c r="I515"/>
  <c r="I347"/>
  <c r="I191"/>
  <c r="I193"/>
  <c r="I1168"/>
  <c r="I1211"/>
  <c r="I343"/>
  <c r="I183"/>
  <c r="I382"/>
  <c r="I1286"/>
  <c r="I383"/>
  <c r="I1126"/>
  <c r="I265"/>
  <c r="I1271"/>
  <c r="I184"/>
  <c r="I185"/>
  <c r="I187"/>
  <c r="I1222"/>
  <c r="I896"/>
  <c r="I735"/>
  <c r="I460"/>
  <c r="I1416"/>
  <c r="I384"/>
  <c r="I235"/>
  <c r="I380"/>
  <c r="I419"/>
  <c r="I95"/>
  <c r="I148"/>
  <c r="I169"/>
  <c r="I1370"/>
  <c r="I188"/>
  <c r="I1169"/>
  <c r="I935"/>
  <c r="I936"/>
  <c r="I236"/>
  <c r="I237"/>
  <c r="I1127"/>
  <c r="I266"/>
  <c r="I637"/>
  <c r="I638"/>
  <c r="I568"/>
  <c r="I243"/>
  <c r="I1170"/>
  <c r="I189"/>
  <c r="I44"/>
  <c r="I223"/>
  <c r="I1313"/>
  <c r="I1314"/>
  <c r="I693"/>
  <c r="I1333"/>
  <c r="I1334"/>
  <c r="I190"/>
  <c r="I534"/>
  <c r="I270"/>
  <c r="I1202"/>
  <c r="I949"/>
  <c r="I449"/>
  <c r="I207"/>
  <c r="I244"/>
  <c r="I245"/>
  <c r="I246"/>
  <c r="I238"/>
  <c r="I379"/>
  <c r="I1354"/>
  <c r="I1355"/>
  <c r="I1356"/>
  <c r="I385"/>
  <c r="I1357"/>
  <c r="I208"/>
  <c r="I569"/>
  <c r="I535"/>
  <c r="I780"/>
  <c r="I413"/>
  <c r="I1358"/>
  <c r="I551"/>
  <c r="I570"/>
  <c r="I536"/>
  <c r="I781"/>
  <c r="I414"/>
  <c r="I415"/>
  <c r="I1359"/>
  <c r="I552"/>
  <c r="I553"/>
  <c r="I571"/>
  <c r="I537"/>
  <c r="I538"/>
  <c r="I910"/>
  <c r="I54"/>
  <c r="I67"/>
  <c r="I1116"/>
  <c r="I787"/>
  <c r="I762"/>
  <c r="I1101"/>
  <c r="I476"/>
  <c r="I1131"/>
  <c r="I428"/>
  <c r="I1385"/>
  <c r="I1386"/>
  <c r="I102"/>
  <c r="I1272"/>
  <c r="I1273"/>
  <c r="I36"/>
  <c r="I1315"/>
  <c r="I1316"/>
  <c r="I694"/>
  <c r="I1274"/>
  <c r="I1259"/>
  <c r="I7"/>
  <c r="I1260"/>
  <c r="I1261"/>
  <c r="I8"/>
  <c r="I416"/>
  <c r="I417"/>
  <c r="I767"/>
  <c r="I566"/>
  <c r="I567"/>
  <c r="I1098"/>
  <c r="I1172"/>
  <c r="I1173"/>
  <c r="I74"/>
  <c r="I736"/>
  <c r="I958"/>
  <c r="I1102"/>
  <c r="I1317"/>
  <c r="I1318"/>
  <c r="I695"/>
  <c r="I1262"/>
  <c r="I1263"/>
  <c r="I9"/>
  <c r="I1275"/>
  <c r="I1276"/>
  <c r="I10"/>
  <c r="I1277"/>
  <c r="I1278"/>
  <c r="I11"/>
  <c r="I1279"/>
  <c r="I1280"/>
  <c r="I37"/>
  <c r="I1319"/>
  <c r="I1320"/>
  <c r="I28"/>
  <c r="I1186"/>
  <c r="I795"/>
  <c r="I1034"/>
  <c r="I27"/>
  <c r="I1133"/>
  <c r="I590"/>
  <c r="I805"/>
  <c r="I806"/>
  <c r="I307"/>
  <c r="I1248"/>
  <c r="I1249"/>
  <c r="I1035"/>
  <c r="I586"/>
  <c r="I588"/>
  <c r="I1036"/>
  <c r="I589"/>
  <c r="I559"/>
  <c r="I308"/>
  <c r="I284"/>
  <c r="I285"/>
  <c r="I1037"/>
  <c r="I1281"/>
  <c r="I908"/>
  <c r="I38"/>
  <c r="I1287"/>
  <c r="I800"/>
  <c r="I1288"/>
  <c r="I706"/>
  <c r="I170"/>
  <c r="I1371"/>
  <c r="I75"/>
  <c r="I1147"/>
  <c r="I782"/>
  <c r="I1103"/>
  <c r="I429"/>
  <c r="I1132"/>
  <c r="I29"/>
  <c r="I69"/>
  <c r="I1038"/>
  <c r="I39"/>
  <c r="I40"/>
  <c r="I41"/>
  <c r="I1108"/>
  <c r="I1109"/>
  <c r="I1110"/>
  <c r="I768"/>
  <c r="I1289"/>
  <c r="I682"/>
  <c r="I247"/>
  <c r="I754"/>
  <c r="I406"/>
  <c r="I737"/>
  <c r="I55"/>
  <c r="I769"/>
  <c r="I1290"/>
  <c r="I248"/>
  <c r="I210"/>
  <c r="I407"/>
  <c r="I467"/>
  <c r="I68"/>
  <c r="I26"/>
  <c r="I801"/>
  <c r="I1291"/>
  <c r="I211"/>
  <c r="I683"/>
  <c r="I1009"/>
  <c r="I1058"/>
  <c r="I1039"/>
  <c r="I1040"/>
  <c r="I386"/>
  <c r="I1157"/>
  <c r="I684"/>
  <c r="I707"/>
  <c r="I1059"/>
  <c r="I1060"/>
  <c r="I76"/>
  <c r="I793"/>
  <c r="I794"/>
  <c r="I598"/>
  <c r="I70"/>
  <c r="I796"/>
  <c r="I387"/>
  <c r="I1158"/>
  <c r="I708"/>
  <c r="I709"/>
  <c r="I1061"/>
  <c r="I612"/>
  <c r="I101"/>
  <c r="I151"/>
  <c r="I71"/>
  <c r="I72"/>
  <c r="I388"/>
  <c r="I1159"/>
  <c r="I1360"/>
  <c r="I1361"/>
  <c r="I613"/>
  <c r="I642"/>
  <c r="I1074"/>
  <c r="I519"/>
  <c r="I797"/>
  <c r="I1041"/>
  <c r="I562"/>
  <c r="I1160"/>
  <c r="I710"/>
  <c r="I1099"/>
  <c r="I1023"/>
  <c r="I1071"/>
  <c r="I563"/>
  <c r="I1161"/>
  <c r="I1305"/>
  <c r="I154"/>
  <c r="I1024"/>
  <c r="I1025"/>
  <c r="I445"/>
  <c r="I1042"/>
  <c r="I852"/>
  <c r="I845"/>
  <c r="I853"/>
  <c r="I846"/>
  <c r="I854"/>
  <c r="I847"/>
  <c r="I564"/>
  <c r="I99"/>
  <c r="I1072"/>
  <c r="I989"/>
  <c r="I520"/>
  <c r="I977"/>
  <c r="I978"/>
  <c r="I21"/>
  <c r="I979"/>
  <c r="I915"/>
  <c r="I969"/>
  <c r="I970"/>
  <c r="I971"/>
  <c r="I972"/>
  <c r="I1146"/>
  <c r="I916"/>
  <c r="I917"/>
  <c r="I918"/>
  <c r="I980"/>
  <c r="I981"/>
  <c r="I982"/>
  <c r="I983"/>
  <c r="I1162"/>
  <c r="I565"/>
  <c r="I1032"/>
  <c r="I546"/>
  <c r="I669"/>
  <c r="I516"/>
  <c r="I517"/>
  <c r="I353"/>
  <c r="I855"/>
  <c r="I856"/>
  <c r="I103"/>
  <c r="I390"/>
  <c r="I730"/>
  <c r="I731"/>
  <c r="I391"/>
  <c r="I1377"/>
  <c r="I1378"/>
  <c r="I1387"/>
  <c r="I1388"/>
  <c r="I825"/>
  <c r="I826"/>
  <c r="I827"/>
  <c r="I828"/>
  <c r="I829"/>
  <c r="I830"/>
  <c r="I831"/>
  <c r="I587"/>
  <c r="I1174"/>
  <c r="I209"/>
  <c r="I418"/>
  <c r="I297"/>
  <c r="I1104"/>
  <c r="I990"/>
  <c r="I991"/>
  <c r="I984"/>
  <c r="I614"/>
  <c r="I547"/>
  <c r="I457"/>
  <c r="I674"/>
  <c r="I823"/>
  <c r="I919"/>
  <c r="I832"/>
  <c r="I833"/>
  <c r="I446"/>
  <c r="I992"/>
  <c r="I633"/>
  <c r="I286"/>
  <c r="I1395"/>
  <c r="I62"/>
  <c r="I834"/>
  <c r="I835"/>
  <c r="I696"/>
  <c r="I697"/>
  <c r="I752"/>
  <c r="I702"/>
  <c r="I703"/>
  <c r="I788"/>
  <c r="I905"/>
  <c r="I906"/>
  <c r="I961"/>
  <c r="I602"/>
  <c r="I1292"/>
  <c r="I150"/>
  <c r="I548"/>
  <c r="I296"/>
  <c r="I294"/>
  <c r="I1306"/>
  <c r="I836"/>
  <c r="I837"/>
  <c r="I789"/>
  <c r="I790"/>
  <c r="I838"/>
  <c r="I839"/>
  <c r="I791"/>
  <c r="I792"/>
  <c r="I1093"/>
  <c r="I1307"/>
  <c r="I549"/>
  <c r="I1414"/>
  <c r="I295"/>
  <c r="I317"/>
  <c r="I824"/>
  <c r="I1308"/>
  <c r="I819"/>
  <c r="I162"/>
  <c r="I1309"/>
  <c r="I1016"/>
  <c r="I1017"/>
  <c r="I163"/>
  <c r="I455"/>
  <c r="I164"/>
  <c r="I1406"/>
  <c r="I456"/>
  <c r="I1293"/>
  <c r="I937"/>
  <c r="I1294"/>
  <c r="I1068"/>
  <c r="I1295"/>
  <c r="I1018"/>
  <c r="I938"/>
  <c r="I1019"/>
  <c r="I5"/>
  <c r="I410"/>
  <c r="I844"/>
  <c r="I840"/>
  <c r="I1105"/>
  <c r="I1100"/>
  <c r="I411"/>
  <c r="I711"/>
  <c r="I412"/>
  <c r="I381"/>
  <c r="I239"/>
  <c r="I704"/>
  <c r="I267"/>
  <c r="I268"/>
  <c r="I4"/>
  <c r="I687"/>
  <c r="I688"/>
  <c r="I689"/>
  <c r="I714"/>
  <c r="I715"/>
  <c r="I841"/>
  <c r="I842"/>
  <c r="I843"/>
  <c r="I996"/>
  <c r="I84"/>
  <c r="I85"/>
  <c r="I857"/>
  <c r="I815"/>
  <c r="I46"/>
  <c r="I430"/>
  <c r="I14"/>
  <c r="I1117"/>
  <c r="I997"/>
  <c r="I603"/>
  <c r="I998"/>
  <c r="I632"/>
  <c r="I1124"/>
  <c r="I1407"/>
  <c r="I490"/>
  <c r="I920"/>
  <c r="I1396"/>
  <c r="I909"/>
  <c r="I1004"/>
  <c r="I1005"/>
  <c r="I968"/>
  <c r="I858"/>
  <c r="I859"/>
  <c r="I860"/>
  <c r="I861"/>
  <c r="I862"/>
  <c r="I863"/>
  <c r="I864"/>
  <c r="I865"/>
  <c r="I866"/>
  <c r="I867"/>
  <c r="I868"/>
  <c r="I869"/>
  <c r="I870"/>
  <c r="I871"/>
  <c r="I872"/>
  <c r="I873"/>
  <c r="I874"/>
  <c r="I875"/>
  <c r="I876"/>
  <c r="I354"/>
  <c r="I355"/>
  <c r="I356"/>
  <c r="I357"/>
  <c r="I358"/>
  <c r="I359"/>
  <c r="I360"/>
  <c r="I361"/>
  <c r="I362"/>
  <c r="I363"/>
  <c r="I364"/>
  <c r="I365"/>
  <c r="I366"/>
  <c r="I367"/>
  <c r="I368"/>
  <c r="I369"/>
  <c r="I675"/>
  <c r="I676"/>
  <c r="I677"/>
  <c r="I678"/>
  <c r="I679"/>
  <c r="I156"/>
  <c r="I157"/>
  <c r="I158"/>
  <c r="I159"/>
  <c r="I160"/>
  <c r="I161"/>
  <c r="I321"/>
  <c r="I322"/>
  <c r="I494"/>
  <c r="I495"/>
  <c r="I646"/>
  <c r="I647"/>
  <c r="I807"/>
  <c r="I808"/>
  <c r="I323"/>
  <c r="I324"/>
  <c r="I496"/>
  <c r="I497"/>
  <c r="I648"/>
  <c r="I649"/>
  <c r="I809"/>
  <c r="I810"/>
  <c r="I325"/>
  <c r="I326"/>
  <c r="I498"/>
  <c r="I499"/>
  <c r="I650"/>
  <c r="I651"/>
  <c r="I1079"/>
  <c r="I1080"/>
  <c r="I327"/>
  <c r="I328"/>
  <c r="I500"/>
  <c r="I501"/>
  <c r="I652"/>
  <c r="I653"/>
  <c r="I811"/>
  <c r="I812"/>
  <c r="I813"/>
  <c r="I814"/>
  <c r="I1081"/>
  <c r="I1082"/>
  <c r="I329"/>
  <c r="I330"/>
  <c r="I1118"/>
  <c r="I431"/>
  <c r="I1119"/>
  <c r="I1120"/>
  <c r="I432"/>
  <c r="I1121"/>
  <c r="I1122"/>
  <c r="I433"/>
  <c r="I521"/>
  <c r="I461"/>
  <c r="I464"/>
  <c r="I615"/>
  <c r="I462"/>
  <c r="I617"/>
  <c r="I463"/>
  <c r="I616"/>
  <c r="I774"/>
  <c r="I522"/>
  <c r="I671"/>
  <c r="I775"/>
  <c r="I523"/>
  <c r="I524"/>
  <c r="I110"/>
  <c r="I525"/>
  <c r="I526"/>
  <c r="I196"/>
  <c r="I672"/>
  <c r="I527"/>
  <c r="I197"/>
  <c r="I673"/>
  <c r="I528"/>
  <c r="I111"/>
  <c r="I1123"/>
  <c r="I389"/>
  <c r="I434"/>
  <c r="I13"/>
  <c r="I400"/>
  <c r="I271"/>
  <c r="I30"/>
  <c r="I1049"/>
  <c r="I31"/>
  <c r="I599"/>
  <c r="I624"/>
  <c r="I625"/>
  <c r="I1030"/>
  <c r="I1031"/>
  <c r="I1075"/>
  <c r="I1234"/>
  <c r="I1235"/>
  <c r="I1236"/>
  <c r="I435"/>
  <c r="I397"/>
  <c r="I894"/>
  <c r="I1111"/>
  <c r="I1128"/>
  <c r="I222"/>
  <c r="I269"/>
  <c r="I12"/>
  <c r="I895"/>
  <c r="I22"/>
  <c r="I23"/>
  <c r="I705"/>
  <c r="I753"/>
  <c r="I778"/>
  <c r="I24"/>
  <c r="I25"/>
  <c r="I63"/>
  <c r="I64"/>
  <c r="I950"/>
  <c r="I47"/>
  <c r="I951"/>
  <c r="I48"/>
  <c r="I1394"/>
  <c r="I1418"/>
  <c r="I1419"/>
  <c r="I1420"/>
  <c r="I1421"/>
  <c r="I1422"/>
  <c r="I1423"/>
  <c r="I1424"/>
  <c r="I1425"/>
  <c r="I1426"/>
  <c r="I1427"/>
  <c r="I1428"/>
  <c r="I1429"/>
  <c r="I1433"/>
  <c r="H1205"/>
  <c r="H175"/>
  <c r="H1006"/>
  <c r="H1053"/>
  <c r="H1054"/>
  <c r="H507"/>
  <c r="H658"/>
  <c r="H659"/>
  <c r="H335"/>
  <c r="H779"/>
  <c r="H278"/>
  <c r="H176"/>
  <c r="H177"/>
  <c r="H178"/>
  <c r="H1055"/>
  <c r="H1056"/>
  <c r="H1057"/>
  <c r="H228"/>
  <c r="H229"/>
  <c r="H338"/>
  <c r="H339"/>
  <c r="H340"/>
  <c r="H341"/>
  <c r="H663"/>
  <c r="H1266"/>
  <c r="H1267"/>
  <c r="H230"/>
  <c r="H1264"/>
  <c r="H1012"/>
  <c r="H1013"/>
  <c r="H1066"/>
  <c r="H279"/>
  <c r="H86"/>
  <c r="H87"/>
  <c r="H139"/>
  <c r="H280"/>
  <c r="H96"/>
  <c r="H97"/>
  <c r="H241"/>
  <c r="H667"/>
  <c r="H337"/>
  <c r="H510"/>
  <c r="H281"/>
  <c r="H298"/>
  <c r="H405"/>
  <c r="H529"/>
  <c r="H530"/>
  <c r="H531"/>
  <c r="H532"/>
  <c r="H716"/>
  <c r="H712"/>
  <c r="H713"/>
  <c r="H685"/>
  <c r="H686"/>
  <c r="H422"/>
  <c r="H423"/>
  <c r="H424"/>
  <c r="H533"/>
  <c r="H348"/>
  <c r="H349"/>
  <c r="H350"/>
  <c r="H1413"/>
  <c r="H511"/>
  <c r="H480"/>
  <c r="H18"/>
  <c r="H56"/>
  <c r="H16"/>
  <c r="H1134"/>
  <c r="H758"/>
  <c r="H1150"/>
  <c r="H594"/>
  <c r="H301"/>
  <c r="H993"/>
  <c r="H1350"/>
  <c r="H302"/>
  <c r="H772"/>
  <c r="H1026"/>
  <c r="H755"/>
  <c r="H756"/>
  <c r="H1148"/>
  <c r="H1149"/>
  <c r="H468"/>
  <c r="H1027"/>
  <c r="H1219"/>
  <c r="H1220"/>
  <c r="H50"/>
  <c r="H954"/>
  <c r="H19"/>
  <c r="H57"/>
  <c r="H469"/>
  <c r="H470"/>
  <c r="H1398"/>
  <c r="H1399"/>
  <c r="H92"/>
  <c r="H1335"/>
  <c r="H1076"/>
  <c r="H1397"/>
  <c r="H142"/>
  <c r="H89"/>
  <c r="H93"/>
  <c r="H1336"/>
  <c r="H1337"/>
  <c r="H1338"/>
  <c r="H725"/>
  <c r="H726"/>
  <c r="H727"/>
  <c r="H1008"/>
  <c r="H1270"/>
  <c r="H770"/>
  <c r="H1268"/>
  <c r="H1282"/>
  <c r="H1283"/>
  <c r="H1284"/>
  <c r="H1285"/>
  <c r="H1265"/>
  <c r="H609"/>
  <c r="H640"/>
  <c r="H292"/>
  <c r="H293"/>
  <c r="H202"/>
  <c r="H664"/>
  <c r="H336"/>
  <c r="H508"/>
  <c r="H509"/>
  <c r="H665"/>
  <c r="H666"/>
  <c r="H1209"/>
  <c r="H1210"/>
  <c r="H203"/>
  <c r="H204"/>
  <c r="H1011"/>
  <c r="H1063"/>
  <c r="H1064"/>
  <c r="H662"/>
  <c r="H668"/>
  <c r="H180"/>
  <c r="H1163"/>
  <c r="H1164"/>
  <c r="H771"/>
  <c r="H606"/>
  <c r="H607"/>
  <c r="H636"/>
  <c r="H802"/>
  <c r="H1092"/>
  <c r="H1304"/>
  <c r="H149"/>
  <c r="H450"/>
  <c r="H484"/>
  <c r="H485"/>
  <c r="H486"/>
  <c r="H98"/>
  <c r="H105"/>
  <c r="H153"/>
  <c r="H106"/>
  <c r="H1152"/>
  <c r="H1153"/>
  <c r="H1138"/>
  <c r="H512"/>
  <c r="H345"/>
  <c r="H346"/>
  <c r="H1372"/>
  <c r="H393"/>
  <c r="H392"/>
  <c r="H717"/>
  <c r="H186"/>
  <c r="H171"/>
  <c r="H1410"/>
  <c r="H718"/>
  <c r="H719"/>
  <c r="H720"/>
  <c r="H1373"/>
  <c r="H1374"/>
  <c r="H690"/>
  <c r="H691"/>
  <c r="H1375"/>
  <c r="H1376"/>
  <c r="H394"/>
  <c r="H1402"/>
  <c r="H90"/>
  <c r="H1151"/>
  <c r="H783"/>
  <c r="H595"/>
  <c r="H596"/>
  <c r="H1062"/>
  <c r="H231"/>
  <c r="H232"/>
  <c r="H233"/>
  <c r="H303"/>
  <c r="H408"/>
  <c r="H1204"/>
  <c r="H733"/>
  <c r="H51"/>
  <c r="H955"/>
  <c r="H58"/>
  <c r="H59"/>
  <c r="H700"/>
  <c r="H6"/>
  <c r="H477"/>
  <c r="H282"/>
  <c r="H319"/>
  <c r="H320"/>
  <c r="H398"/>
  <c r="H399"/>
  <c r="H572"/>
  <c r="H573"/>
  <c r="H491"/>
  <c r="H492"/>
  <c r="H1239"/>
  <c r="H1240"/>
  <c r="H277"/>
  <c r="H227"/>
  <c r="H78"/>
  <c r="H1050"/>
  <c r="H591"/>
  <c r="H592"/>
  <c r="H593"/>
  <c r="H1367"/>
  <c r="H1368"/>
  <c r="H738"/>
  <c r="H481"/>
  <c r="H304"/>
  <c r="H272"/>
  <c r="H224"/>
  <c r="H32"/>
  <c r="H283"/>
  <c r="H493"/>
  <c r="H643"/>
  <c r="H1241"/>
  <c r="H925"/>
  <c r="H1242"/>
  <c r="H436"/>
  <c r="H437"/>
  <c r="H1000"/>
  <c r="H626"/>
  <c r="H627"/>
  <c r="H108"/>
  <c r="H109"/>
  <c r="H1051"/>
  <c r="H79"/>
  <c r="H305"/>
  <c r="H306"/>
  <c r="H644"/>
  <c r="H645"/>
  <c r="H1243"/>
  <c r="H225"/>
  <c r="H226"/>
  <c r="H749"/>
  <c r="H750"/>
  <c r="H751"/>
  <c r="H939"/>
  <c r="H940"/>
  <c r="H941"/>
  <c r="H897"/>
  <c r="H701"/>
  <c r="H15"/>
  <c r="H911"/>
  <c r="H912"/>
  <c r="H913"/>
  <c r="H914"/>
  <c r="H974"/>
  <c r="H975"/>
  <c r="H1065"/>
  <c r="H316"/>
  <c r="H1139"/>
  <c r="H1140"/>
  <c r="H1141"/>
  <c r="H660"/>
  <c r="H618"/>
  <c r="H1077"/>
  <c r="H453"/>
  <c r="H661"/>
  <c r="H747"/>
  <c r="H976"/>
  <c r="H454"/>
  <c r="H1087"/>
  <c r="H503"/>
  <c r="H654"/>
  <c r="H655"/>
  <c r="H850"/>
  <c r="H784"/>
  <c r="H1135"/>
  <c r="H1078"/>
  <c r="H619"/>
  <c r="H728"/>
  <c r="H620"/>
  <c r="H409"/>
  <c r="H729"/>
  <c r="H966"/>
  <c r="H1244"/>
  <c r="H967"/>
  <c r="H401"/>
  <c r="H907"/>
  <c r="H402"/>
  <c r="H1044"/>
  <c r="H1052"/>
  <c r="H1045"/>
  <c r="H80"/>
  <c r="H140"/>
  <c r="H444"/>
  <c r="H1046"/>
  <c r="H478"/>
  <c r="H1405"/>
  <c r="H403"/>
  <c r="H146"/>
  <c r="H438"/>
  <c r="H147"/>
  <c r="H81"/>
  <c r="H83"/>
  <c r="H898"/>
  <c r="H94"/>
  <c r="H1088"/>
  <c r="H1430"/>
  <c r="H489"/>
  <c r="H610"/>
  <c r="H611"/>
  <c r="H1142"/>
  <c r="H1143"/>
  <c r="H1144"/>
  <c r="H1145"/>
  <c r="H1154"/>
  <c r="H641"/>
  <c r="H107"/>
  <c r="H1089"/>
  <c r="H240"/>
  <c r="H820"/>
  <c r="H821"/>
  <c r="H1369"/>
  <c r="H550"/>
  <c r="H205"/>
  <c r="H206"/>
  <c r="H181"/>
  <c r="H395"/>
  <c r="H1411"/>
  <c r="H1412"/>
  <c r="H822"/>
  <c r="H396"/>
  <c r="H425"/>
  <c r="H1069"/>
  <c r="H1112"/>
  <c r="H442"/>
  <c r="H670"/>
  <c r="H299"/>
  <c r="H471"/>
  <c r="H300"/>
  <c r="H518"/>
  <c r="H194"/>
  <c r="H1415"/>
  <c r="H195"/>
  <c r="H621"/>
  <c r="H899"/>
  <c r="H88"/>
  <c r="H479"/>
  <c r="H1001"/>
  <c r="H33"/>
  <c r="H628"/>
  <c r="H601"/>
  <c r="H1245"/>
  <c r="H1246"/>
  <c r="H1362"/>
  <c r="H1351"/>
  <c r="H91"/>
  <c r="H622"/>
  <c r="H472"/>
  <c r="H17"/>
  <c r="H757"/>
  <c r="H1218"/>
  <c r="H473"/>
  <c r="H474"/>
  <c r="H60"/>
  <c r="H65"/>
  <c r="H1136"/>
  <c r="H900"/>
  <c r="H1363"/>
  <c r="H1352"/>
  <c r="H600"/>
  <c r="H155"/>
  <c r="H318"/>
  <c r="H1364"/>
  <c r="H1353"/>
  <c r="H439"/>
  <c r="H985"/>
  <c r="H630"/>
  <c r="H1379"/>
  <c r="H785"/>
  <c r="H952"/>
  <c r="H1203"/>
  <c r="H49"/>
  <c r="H953"/>
  <c r="H1137"/>
  <c r="H999"/>
  <c r="H763"/>
  <c r="H764"/>
  <c r="H597"/>
  <c r="H273"/>
  <c r="H1083"/>
  <c r="H1043"/>
  <c r="H890"/>
  <c r="H891"/>
  <c r="H892"/>
  <c r="H893"/>
  <c r="H994"/>
  <c r="H138"/>
  <c r="H995"/>
  <c r="H141"/>
  <c r="H1047"/>
  <c r="H926"/>
  <c r="H1247"/>
  <c r="H274"/>
  <c r="H82"/>
  <c r="H1002"/>
  <c r="H629"/>
  <c r="H804"/>
  <c r="H574"/>
  <c r="H575"/>
  <c r="H576"/>
  <c r="H554"/>
  <c r="H901"/>
  <c r="H555"/>
  <c r="H443"/>
  <c r="H1237"/>
  <c r="H1238"/>
  <c r="H275"/>
  <c r="H556"/>
  <c r="H557"/>
  <c r="H558"/>
  <c r="H577"/>
  <c r="H578"/>
  <c r="H276"/>
  <c r="H1084"/>
  <c r="H1048"/>
  <c r="H942"/>
  <c r="H943"/>
  <c r="H944"/>
  <c r="H945"/>
  <c r="H759"/>
  <c r="H760"/>
  <c r="H761"/>
  <c r="H1256"/>
  <c r="H1003"/>
  <c r="H739"/>
  <c r="H310"/>
  <c r="H946"/>
  <c r="H947"/>
  <c r="H928"/>
  <c r="H447"/>
  <c r="H448"/>
  <c r="H289"/>
  <c r="H311"/>
  <c r="H312"/>
  <c r="H816"/>
  <c r="H851"/>
  <c r="H313"/>
  <c r="H1257"/>
  <c r="H1380"/>
  <c r="H773"/>
  <c r="H1129"/>
  <c r="H734"/>
  <c r="H52"/>
  <c r="H1381"/>
  <c r="H1382"/>
  <c r="H956"/>
  <c r="H53"/>
  <c r="H1383"/>
  <c r="H1384"/>
  <c r="H803"/>
  <c r="H1073"/>
  <c r="H45"/>
  <c r="H73"/>
  <c r="H1014"/>
  <c r="H1007"/>
  <c r="H1015"/>
  <c r="H1028"/>
  <c r="H61"/>
  <c r="H1258"/>
  <c r="H20"/>
  <c r="H290"/>
  <c r="H973"/>
  <c r="H748"/>
  <c r="H604"/>
  <c r="H605"/>
  <c r="H634"/>
  <c r="H487"/>
  <c r="H608"/>
  <c r="H639"/>
  <c r="H314"/>
  <c r="H451"/>
  <c r="H482"/>
  <c r="H483"/>
  <c r="H948"/>
  <c r="H902"/>
  <c r="H903"/>
  <c r="H34"/>
  <c r="H291"/>
  <c r="H579"/>
  <c r="H77"/>
  <c r="H580"/>
  <c r="H581"/>
  <c r="H582"/>
  <c r="H1321"/>
  <c r="H1322"/>
  <c r="H1250"/>
  <c r="H1251"/>
  <c r="H1106"/>
  <c r="H1323"/>
  <c r="H583"/>
  <c r="H584"/>
  <c r="H585"/>
  <c r="H440"/>
  <c r="H441"/>
  <c r="H744"/>
  <c r="H35"/>
  <c r="H315"/>
  <c r="H698"/>
  <c r="H452"/>
  <c r="H488"/>
  <c r="H740"/>
  <c r="H741"/>
  <c r="H635"/>
  <c r="H1010"/>
  <c r="H742"/>
  <c r="H743"/>
  <c r="H929"/>
  <c r="H930"/>
  <c r="H959"/>
  <c r="H960"/>
  <c r="H931"/>
  <c r="H904"/>
  <c r="H932"/>
  <c r="H933"/>
  <c r="H466"/>
  <c r="H1330"/>
  <c r="H404"/>
  <c r="H631"/>
  <c r="H765"/>
  <c r="H798"/>
  <c r="H799"/>
  <c r="H1365"/>
  <c r="H1366"/>
  <c r="H1297"/>
  <c r="H1298"/>
  <c r="H721"/>
  <c r="H722"/>
  <c r="H723"/>
  <c r="H724"/>
  <c r="H1130"/>
  <c r="H957"/>
  <c r="H66"/>
  <c r="H1067"/>
  <c r="H100"/>
  <c r="H1029"/>
  <c r="H1310"/>
  <c r="H1311"/>
  <c r="H1299"/>
  <c r="H1300"/>
  <c r="H1301"/>
  <c r="H921"/>
  <c r="H986"/>
  <c r="H560"/>
  <c r="H561"/>
  <c r="H766"/>
  <c r="H378"/>
  <c r="H234"/>
  <c r="H1155"/>
  <c r="H1156"/>
  <c r="H1431"/>
  <c r="H1125"/>
  <c r="H1432"/>
  <c r="H1090"/>
  <c r="H182"/>
  <c r="H1165"/>
  <c r="H242"/>
  <c r="H1166"/>
  <c r="H165"/>
  <c r="H426"/>
  <c r="H513"/>
  <c r="H351"/>
  <c r="H1020"/>
  <c r="H1021"/>
  <c r="H1070"/>
  <c r="H1022"/>
  <c r="H458"/>
  <c r="H786"/>
  <c r="H623"/>
  <c r="H475"/>
  <c r="H1296"/>
  <c r="H1114"/>
  <c r="H1115"/>
  <c r="H427"/>
  <c r="H459"/>
  <c r="H1302"/>
  <c r="H1303"/>
  <c r="H1312"/>
  <c r="H987"/>
  <c r="H988"/>
  <c r="H1331"/>
  <c r="H1332"/>
  <c r="H692"/>
  <c r="H172"/>
  <c r="H173"/>
  <c r="H174"/>
  <c r="H42"/>
  <c r="H43"/>
  <c r="H220"/>
  <c r="H221"/>
  <c r="H1269"/>
  <c r="H1091"/>
  <c r="H179"/>
  <c r="H342"/>
  <c r="H166"/>
  <c r="H167"/>
  <c r="H168"/>
  <c r="H1408"/>
  <c r="H1409"/>
  <c r="H514"/>
  <c r="H352"/>
  <c r="H1167"/>
  <c r="H515"/>
  <c r="H347"/>
  <c r="H191"/>
  <c r="H193"/>
  <c r="H1168"/>
  <c r="H1211"/>
  <c r="H343"/>
  <c r="H183"/>
  <c r="H382"/>
  <c r="H1286"/>
  <c r="H383"/>
  <c r="H1126"/>
  <c r="H265"/>
  <c r="H1271"/>
  <c r="H184"/>
  <c r="H185"/>
  <c r="H187"/>
  <c r="H1222"/>
  <c r="H896"/>
  <c r="H735"/>
  <c r="H460"/>
  <c r="H1416"/>
  <c r="H384"/>
  <c r="H235"/>
  <c r="H380"/>
  <c r="H419"/>
  <c r="H95"/>
  <c r="H148"/>
  <c r="H169"/>
  <c r="H1370"/>
  <c r="H188"/>
  <c r="H1169"/>
  <c r="H935"/>
  <c r="H936"/>
  <c r="H236"/>
  <c r="H237"/>
  <c r="H1127"/>
  <c r="H266"/>
  <c r="H637"/>
  <c r="H638"/>
  <c r="H568"/>
  <c r="H243"/>
  <c r="H1170"/>
  <c r="H189"/>
  <c r="H44"/>
  <c r="H223"/>
  <c r="H1313"/>
  <c r="H1314"/>
  <c r="H693"/>
  <c r="H1333"/>
  <c r="H1334"/>
  <c r="H190"/>
  <c r="H534"/>
  <c r="H270"/>
  <c r="H1202"/>
  <c r="H949"/>
  <c r="H449"/>
  <c r="H207"/>
  <c r="H244"/>
  <c r="H245"/>
  <c r="H246"/>
  <c r="H238"/>
  <c r="H379"/>
  <c r="H1354"/>
  <c r="H1355"/>
  <c r="H1356"/>
  <c r="H385"/>
  <c r="H1357"/>
  <c r="H208"/>
  <c r="H569"/>
  <c r="H535"/>
  <c r="H780"/>
  <c r="H413"/>
  <c r="H1358"/>
  <c r="H551"/>
  <c r="H570"/>
  <c r="H536"/>
  <c r="H781"/>
  <c r="H414"/>
  <c r="H415"/>
  <c r="H1359"/>
  <c r="H552"/>
  <c r="H553"/>
  <c r="H571"/>
  <c r="H537"/>
  <c r="H538"/>
  <c r="H910"/>
  <c r="H54"/>
  <c r="H67"/>
  <c r="H1116"/>
  <c r="H787"/>
  <c r="H762"/>
  <c r="H1101"/>
  <c r="H476"/>
  <c r="H1131"/>
  <c r="H428"/>
  <c r="H1385"/>
  <c r="H1386"/>
  <c r="H102"/>
  <c r="H1272"/>
  <c r="H1273"/>
  <c r="H36"/>
  <c r="H1315"/>
  <c r="H1316"/>
  <c r="H694"/>
  <c r="H1274"/>
  <c r="H1259"/>
  <c r="H7"/>
  <c r="H1260"/>
  <c r="H1261"/>
  <c r="H8"/>
  <c r="H416"/>
  <c r="H417"/>
  <c r="H767"/>
  <c r="H566"/>
  <c r="H567"/>
  <c r="H1098"/>
  <c r="H1172"/>
  <c r="H1173"/>
  <c r="H74"/>
  <c r="H736"/>
  <c r="H958"/>
  <c r="H1102"/>
  <c r="H1317"/>
  <c r="H1318"/>
  <c r="H695"/>
  <c r="H1262"/>
  <c r="H1263"/>
  <c r="H9"/>
  <c r="H1275"/>
  <c r="H1276"/>
  <c r="H10"/>
  <c r="H1277"/>
  <c r="H1278"/>
  <c r="H11"/>
  <c r="H1279"/>
  <c r="H1280"/>
  <c r="H37"/>
  <c r="H1319"/>
  <c r="H1320"/>
  <c r="H28"/>
  <c r="H1186"/>
  <c r="H795"/>
  <c r="H1034"/>
  <c r="H27"/>
  <c r="H1133"/>
  <c r="H590"/>
  <c r="H805"/>
  <c r="H806"/>
  <c r="H307"/>
  <c r="H1248"/>
  <c r="H1249"/>
  <c r="H1035"/>
  <c r="H586"/>
  <c r="H588"/>
  <c r="H1036"/>
  <c r="H589"/>
  <c r="H559"/>
  <c r="H308"/>
  <c r="H284"/>
  <c r="H285"/>
  <c r="H1037"/>
  <c r="H1281"/>
  <c r="H908"/>
  <c r="H38"/>
  <c r="H1287"/>
  <c r="H800"/>
  <c r="H1288"/>
  <c r="H706"/>
  <c r="H170"/>
  <c r="H1371"/>
  <c r="H75"/>
  <c r="H1147"/>
  <c r="H782"/>
  <c r="H1103"/>
  <c r="H429"/>
  <c r="H1132"/>
  <c r="H29"/>
  <c r="H69"/>
  <c r="H1038"/>
  <c r="H39"/>
  <c r="H40"/>
  <c r="H41"/>
  <c r="H1108"/>
  <c r="H1109"/>
  <c r="H1110"/>
  <c r="H768"/>
  <c r="H1289"/>
  <c r="H682"/>
  <c r="H247"/>
  <c r="H754"/>
  <c r="H406"/>
  <c r="H737"/>
  <c r="H55"/>
  <c r="H769"/>
  <c r="H1290"/>
  <c r="H248"/>
  <c r="H210"/>
  <c r="H407"/>
  <c r="H467"/>
  <c r="H68"/>
  <c r="H26"/>
  <c r="H801"/>
  <c r="H1291"/>
  <c r="H211"/>
  <c r="H683"/>
  <c r="H1009"/>
  <c r="H1058"/>
  <c r="H1039"/>
  <c r="H1040"/>
  <c r="H386"/>
  <c r="H1157"/>
  <c r="H684"/>
  <c r="H707"/>
  <c r="H1059"/>
  <c r="H1060"/>
  <c r="H76"/>
  <c r="H793"/>
  <c r="H794"/>
  <c r="H598"/>
  <c r="H70"/>
  <c r="H796"/>
  <c r="H387"/>
  <c r="H1158"/>
  <c r="H708"/>
  <c r="H709"/>
  <c r="H1061"/>
  <c r="H612"/>
  <c r="H101"/>
  <c r="H151"/>
  <c r="H71"/>
  <c r="H72"/>
  <c r="H388"/>
  <c r="H1159"/>
  <c r="H1360"/>
  <c r="H1361"/>
  <c r="H613"/>
  <c r="H642"/>
  <c r="H1074"/>
  <c r="H519"/>
  <c r="H797"/>
  <c r="H1041"/>
  <c r="H562"/>
  <c r="H1160"/>
  <c r="H710"/>
  <c r="H1099"/>
  <c r="H1023"/>
  <c r="H1071"/>
  <c r="H563"/>
  <c r="H1161"/>
  <c r="H1305"/>
  <c r="H154"/>
  <c r="H1024"/>
  <c r="H1025"/>
  <c r="H445"/>
  <c r="H1042"/>
  <c r="H852"/>
  <c r="H845"/>
  <c r="H853"/>
  <c r="H846"/>
  <c r="H854"/>
  <c r="H847"/>
  <c r="H564"/>
  <c r="H99"/>
  <c r="H1072"/>
  <c r="H989"/>
  <c r="H520"/>
  <c r="H977"/>
  <c r="H978"/>
  <c r="H21"/>
  <c r="H979"/>
  <c r="H915"/>
  <c r="H969"/>
  <c r="H970"/>
  <c r="H971"/>
  <c r="H972"/>
  <c r="H1146"/>
  <c r="H916"/>
  <c r="H917"/>
  <c r="H918"/>
  <c r="H980"/>
  <c r="H981"/>
  <c r="H982"/>
  <c r="H983"/>
  <c r="H1162"/>
  <c r="H565"/>
  <c r="H1032"/>
  <c r="H546"/>
  <c r="H669"/>
  <c r="H516"/>
  <c r="H517"/>
  <c r="H353"/>
  <c r="H855"/>
  <c r="H856"/>
  <c r="H103"/>
  <c r="H390"/>
  <c r="H730"/>
  <c r="H731"/>
  <c r="H391"/>
  <c r="H1377"/>
  <c r="H1378"/>
  <c r="H1387"/>
  <c r="H1388"/>
  <c r="H825"/>
  <c r="H826"/>
  <c r="H827"/>
  <c r="H828"/>
  <c r="H829"/>
  <c r="H830"/>
  <c r="H831"/>
  <c r="H587"/>
  <c r="H1174"/>
  <c r="H209"/>
  <c r="H418"/>
  <c r="H297"/>
  <c r="H1104"/>
  <c r="H990"/>
  <c r="H991"/>
  <c r="H984"/>
  <c r="H614"/>
  <c r="H547"/>
  <c r="H457"/>
  <c r="H674"/>
  <c r="H823"/>
  <c r="H919"/>
  <c r="H832"/>
  <c r="H833"/>
  <c r="H446"/>
  <c r="H992"/>
  <c r="H633"/>
  <c r="H286"/>
  <c r="H1395"/>
  <c r="H62"/>
  <c r="H834"/>
  <c r="H835"/>
  <c r="H696"/>
  <c r="H697"/>
  <c r="H752"/>
  <c r="H702"/>
  <c r="H703"/>
  <c r="H788"/>
  <c r="H905"/>
  <c r="H906"/>
  <c r="H961"/>
  <c r="H602"/>
  <c r="H1292"/>
  <c r="H150"/>
  <c r="H548"/>
  <c r="H296"/>
  <c r="H294"/>
  <c r="H1306"/>
  <c r="H836"/>
  <c r="H837"/>
  <c r="H789"/>
  <c r="H790"/>
  <c r="H838"/>
  <c r="H839"/>
  <c r="H791"/>
  <c r="H792"/>
  <c r="H1093"/>
  <c r="H1307"/>
  <c r="H549"/>
  <c r="H1414"/>
  <c r="H295"/>
  <c r="H317"/>
  <c r="H824"/>
  <c r="H1308"/>
  <c r="H819"/>
  <c r="H162"/>
  <c r="H1309"/>
  <c r="H1016"/>
  <c r="H1017"/>
  <c r="H163"/>
  <c r="H455"/>
  <c r="H164"/>
  <c r="H1406"/>
  <c r="H456"/>
  <c r="H1293"/>
  <c r="H937"/>
  <c r="H1294"/>
  <c r="H1068"/>
  <c r="H1295"/>
  <c r="H1018"/>
  <c r="H938"/>
  <c r="H1019"/>
  <c r="H5"/>
  <c r="H410"/>
  <c r="H844"/>
  <c r="H840"/>
  <c r="H1105"/>
  <c r="H1100"/>
  <c r="H411"/>
  <c r="H711"/>
  <c r="H412"/>
  <c r="H381"/>
  <c r="H239"/>
  <c r="H704"/>
  <c r="H267"/>
  <c r="H268"/>
  <c r="H4"/>
  <c r="H687"/>
  <c r="H688"/>
  <c r="H689"/>
  <c r="H714"/>
  <c r="H715"/>
  <c r="H841"/>
  <c r="H842"/>
  <c r="H843"/>
  <c r="H996"/>
  <c r="H84"/>
  <c r="H85"/>
  <c r="H857"/>
  <c r="H815"/>
  <c r="H46"/>
  <c r="H430"/>
  <c r="H14"/>
  <c r="H1117"/>
  <c r="H997"/>
  <c r="H603"/>
  <c r="H998"/>
  <c r="H632"/>
  <c r="H1124"/>
  <c r="H1407"/>
  <c r="H490"/>
  <c r="H920"/>
  <c r="H1396"/>
  <c r="H909"/>
  <c r="H1004"/>
  <c r="H1005"/>
  <c r="H968"/>
  <c r="H858"/>
  <c r="H859"/>
  <c r="H860"/>
  <c r="H861"/>
  <c r="H862"/>
  <c r="H863"/>
  <c r="H864"/>
  <c r="H865"/>
  <c r="H866"/>
  <c r="H867"/>
  <c r="H868"/>
  <c r="H870"/>
  <c r="H871"/>
  <c r="H872"/>
  <c r="H873"/>
  <c r="H874"/>
  <c r="H875"/>
  <c r="H876"/>
  <c r="H354"/>
  <c r="H355"/>
  <c r="H356"/>
  <c r="H357"/>
  <c r="H358"/>
  <c r="H359"/>
  <c r="H360"/>
  <c r="H361"/>
  <c r="H362"/>
  <c r="H363"/>
  <c r="H364"/>
  <c r="H365"/>
  <c r="H366"/>
  <c r="H367"/>
  <c r="H368"/>
  <c r="H369"/>
  <c r="H675"/>
  <c r="H676"/>
  <c r="H677"/>
  <c r="H678"/>
  <c r="H679"/>
  <c r="H156"/>
  <c r="H157"/>
  <c r="H158"/>
  <c r="H159"/>
  <c r="H160"/>
  <c r="H161"/>
  <c r="H321"/>
  <c r="H322"/>
  <c r="H494"/>
  <c r="H495"/>
  <c r="H646"/>
  <c r="H647"/>
  <c r="H807"/>
  <c r="H808"/>
  <c r="H323"/>
  <c r="H324"/>
  <c r="H496"/>
  <c r="H497"/>
  <c r="H648"/>
  <c r="H649"/>
  <c r="H809"/>
  <c r="H810"/>
  <c r="H325"/>
  <c r="H326"/>
  <c r="H498"/>
  <c r="H499"/>
  <c r="H650"/>
  <c r="H651"/>
  <c r="H1079"/>
  <c r="H1080"/>
  <c r="H327"/>
  <c r="H328"/>
  <c r="H500"/>
  <c r="H501"/>
  <c r="H652"/>
  <c r="H653"/>
  <c r="H811"/>
  <c r="H812"/>
  <c r="H813"/>
  <c r="H814"/>
  <c r="H1081"/>
  <c r="H1082"/>
  <c r="H329"/>
  <c r="H330"/>
  <c r="H1118"/>
  <c r="H431"/>
  <c r="H1119"/>
  <c r="H1120"/>
  <c r="H432"/>
  <c r="H1121"/>
  <c r="H1122"/>
  <c r="H433"/>
  <c r="H521"/>
  <c r="H461"/>
  <c r="H464"/>
  <c r="H615"/>
  <c r="H462"/>
  <c r="H617"/>
  <c r="H463"/>
  <c r="H616"/>
  <c r="H774"/>
  <c r="H522"/>
  <c r="H671"/>
  <c r="H775"/>
  <c r="H523"/>
  <c r="H524"/>
  <c r="H110"/>
  <c r="H525"/>
  <c r="H526"/>
  <c r="H196"/>
  <c r="H672"/>
  <c r="H527"/>
  <c r="H197"/>
  <c r="H673"/>
  <c r="H528"/>
  <c r="H111"/>
  <c r="H1123"/>
  <c r="H389"/>
  <c r="H434"/>
  <c r="H13"/>
  <c r="H400"/>
  <c r="H271"/>
  <c r="H30"/>
  <c r="H1049"/>
  <c r="H31"/>
  <c r="H599"/>
  <c r="H624"/>
  <c r="H625"/>
  <c r="H1030"/>
  <c r="H1031"/>
  <c r="H1075"/>
  <c r="H1234"/>
  <c r="H1235"/>
  <c r="H1236"/>
  <c r="H435"/>
  <c r="H397"/>
  <c r="H894"/>
  <c r="H1111"/>
  <c r="H1128"/>
  <c r="H222"/>
  <c r="H269"/>
  <c r="H12"/>
  <c r="H895"/>
  <c r="H22"/>
  <c r="H23"/>
  <c r="H705"/>
  <c r="H753"/>
  <c r="H778"/>
  <c r="H24"/>
  <c r="H25"/>
  <c r="H63"/>
  <c r="H64"/>
  <c r="H950"/>
  <c r="H47"/>
  <c r="H951"/>
  <c r="H48"/>
  <c r="H1394"/>
  <c r="G1205"/>
  <c r="G175"/>
  <c r="G1006"/>
  <c r="G1053"/>
  <c r="G1054"/>
  <c r="G507"/>
  <c r="G658"/>
  <c r="G659"/>
  <c r="G335"/>
  <c r="G779"/>
  <c r="G278"/>
  <c r="G176"/>
  <c r="G177"/>
  <c r="G178"/>
  <c r="G1055"/>
  <c r="G1056"/>
  <c r="G1057"/>
  <c r="G228"/>
  <c r="G229"/>
  <c r="G338"/>
  <c r="G339"/>
  <c r="G340"/>
  <c r="G341"/>
  <c r="G663"/>
  <c r="G1266"/>
  <c r="G1267"/>
  <c r="G230"/>
  <c r="G1264"/>
  <c r="G1012"/>
  <c r="G1013"/>
  <c r="G1066"/>
  <c r="G279"/>
  <c r="G86"/>
  <c r="G87"/>
  <c r="G139"/>
  <c r="G280"/>
  <c r="G96"/>
  <c r="G97"/>
  <c r="G241"/>
  <c r="G344"/>
  <c r="G667"/>
  <c r="G337"/>
  <c r="G510"/>
  <c r="G281"/>
  <c r="G298"/>
  <c r="G405"/>
  <c r="G529"/>
  <c r="G530"/>
  <c r="G531"/>
  <c r="G532"/>
  <c r="G716"/>
  <c r="G712"/>
  <c r="G713"/>
  <c r="G685"/>
  <c r="G686"/>
  <c r="G422"/>
  <c r="G423"/>
  <c r="G424"/>
  <c r="G533"/>
  <c r="G348"/>
  <c r="G349"/>
  <c r="G350"/>
  <c r="G1413"/>
  <c r="G511"/>
  <c r="G480"/>
  <c r="G18"/>
  <c r="G56"/>
  <c r="G16"/>
  <c r="G1134"/>
  <c r="G758"/>
  <c r="G1150"/>
  <c r="G594"/>
  <c r="G301"/>
  <c r="G993"/>
  <c r="G1350"/>
  <c r="G302"/>
  <c r="G772"/>
  <c r="G1026"/>
  <c r="G755"/>
  <c r="G756"/>
  <c r="G1148"/>
  <c r="G1149"/>
  <c r="G468"/>
  <c r="G1027"/>
  <c r="G1219"/>
  <c r="G1220"/>
  <c r="G50"/>
  <c r="G954"/>
  <c r="G19"/>
  <c r="G57"/>
  <c r="G469"/>
  <c r="G470"/>
  <c r="G1398"/>
  <c r="G1399"/>
  <c r="G92"/>
  <c r="G1335"/>
  <c r="G1076"/>
  <c r="G1397"/>
  <c r="G142"/>
  <c r="G89"/>
  <c r="G93"/>
  <c r="G1336"/>
  <c r="G1337"/>
  <c r="G1338"/>
  <c r="G725"/>
  <c r="G726"/>
  <c r="G727"/>
  <c r="G1008"/>
  <c r="G1270"/>
  <c r="G770"/>
  <c r="G1268"/>
  <c r="G1282"/>
  <c r="G1283"/>
  <c r="G1284"/>
  <c r="G1285"/>
  <c r="G1265"/>
  <c r="G609"/>
  <c r="G640"/>
  <c r="G292"/>
  <c r="G293"/>
  <c r="G202"/>
  <c r="G664"/>
  <c r="G336"/>
  <c r="G508"/>
  <c r="G509"/>
  <c r="G665"/>
  <c r="G666"/>
  <c r="G1209"/>
  <c r="G1210"/>
  <c r="G203"/>
  <c r="G204"/>
  <c r="G1011"/>
  <c r="G1063"/>
  <c r="G1064"/>
  <c r="G662"/>
  <c r="G668"/>
  <c r="G180"/>
  <c r="G1163"/>
  <c r="G1164"/>
  <c r="G771"/>
  <c r="G606"/>
  <c r="G607"/>
  <c r="G636"/>
  <c r="G802"/>
  <c r="G1092"/>
  <c r="G1304"/>
  <c r="G149"/>
  <c r="G450"/>
  <c r="G484"/>
  <c r="G485"/>
  <c r="G486"/>
  <c r="G98"/>
  <c r="G105"/>
  <c r="G153"/>
  <c r="G106"/>
  <c r="G1152"/>
  <c r="G1153"/>
  <c r="G1138"/>
  <c r="G512"/>
  <c r="G345"/>
  <c r="G346"/>
  <c r="G1372"/>
  <c r="G393"/>
  <c r="G392"/>
  <c r="G717"/>
  <c r="G186"/>
  <c r="G171"/>
  <c r="G1410"/>
  <c r="G718"/>
  <c r="G719"/>
  <c r="G720"/>
  <c r="G1373"/>
  <c r="G1374"/>
  <c r="G690"/>
  <c r="G691"/>
  <c r="G1375"/>
  <c r="G1376"/>
  <c r="G394"/>
  <c r="G1402"/>
  <c r="G90"/>
  <c r="G1151"/>
  <c r="G783"/>
  <c r="G595"/>
  <c r="G596"/>
  <c r="G1062"/>
  <c r="G231"/>
  <c r="G232"/>
  <c r="G233"/>
  <c r="G303"/>
  <c r="G408"/>
  <c r="G1204"/>
  <c r="G733"/>
  <c r="G51"/>
  <c r="G955"/>
  <c r="G58"/>
  <c r="G59"/>
  <c r="G700"/>
  <c r="G6"/>
  <c r="G477"/>
  <c r="G282"/>
  <c r="G319"/>
  <c r="G320"/>
  <c r="G398"/>
  <c r="G399"/>
  <c r="G572"/>
  <c r="G573"/>
  <c r="G491"/>
  <c r="G492"/>
  <c r="G1239"/>
  <c r="G1240"/>
  <c r="G277"/>
  <c r="G227"/>
  <c r="G78"/>
  <c r="G1050"/>
  <c r="G591"/>
  <c r="G592"/>
  <c r="G593"/>
  <c r="G1367"/>
  <c r="G1368"/>
  <c r="G738"/>
  <c r="G481"/>
  <c r="G923"/>
  <c r="G304"/>
  <c r="G272"/>
  <c r="G224"/>
  <c r="G32"/>
  <c r="G283"/>
  <c r="G493"/>
  <c r="G643"/>
  <c r="G1241"/>
  <c r="G924"/>
  <c r="G925"/>
  <c r="G1242"/>
  <c r="G436"/>
  <c r="G437"/>
  <c r="G1000"/>
  <c r="G626"/>
  <c r="G627"/>
  <c r="G108"/>
  <c r="G109"/>
  <c r="G1051"/>
  <c r="G79"/>
  <c r="G305"/>
  <c r="G306"/>
  <c r="G644"/>
  <c r="G645"/>
  <c r="G1243"/>
  <c r="G225"/>
  <c r="G226"/>
  <c r="G749"/>
  <c r="G750"/>
  <c r="G751"/>
  <c r="G939"/>
  <c r="G940"/>
  <c r="G941"/>
  <c r="G897"/>
  <c r="G701"/>
  <c r="G15"/>
  <c r="G911"/>
  <c r="G912"/>
  <c r="G913"/>
  <c r="G914"/>
  <c r="G974"/>
  <c r="G975"/>
  <c r="G1065"/>
  <c r="G316"/>
  <c r="G1139"/>
  <c r="G1140"/>
  <c r="G1141"/>
  <c r="G660"/>
  <c r="G618"/>
  <c r="G1077"/>
  <c r="G453"/>
  <c r="G661"/>
  <c r="G747"/>
  <c r="G976"/>
  <c r="G454"/>
  <c r="G1087"/>
  <c r="G848"/>
  <c r="G503"/>
  <c r="G849"/>
  <c r="G654"/>
  <c r="G655"/>
  <c r="G850"/>
  <c r="G784"/>
  <c r="G1135"/>
  <c r="G1078"/>
  <c r="G619"/>
  <c r="G728"/>
  <c r="G620"/>
  <c r="G409"/>
  <c r="G729"/>
  <c r="G966"/>
  <c r="G1244"/>
  <c r="G967"/>
  <c r="G401"/>
  <c r="G907"/>
  <c r="G402"/>
  <c r="G1044"/>
  <c r="G1052"/>
  <c r="G1045"/>
  <c r="G80"/>
  <c r="G140"/>
  <c r="G444"/>
  <c r="G1046"/>
  <c r="G478"/>
  <c r="G1405"/>
  <c r="G403"/>
  <c r="G146"/>
  <c r="G438"/>
  <c r="G147"/>
  <c r="G81"/>
  <c r="G83"/>
  <c r="G898"/>
  <c r="G94"/>
  <c r="G1088"/>
  <c r="G1430"/>
  <c r="G489"/>
  <c r="G610"/>
  <c r="G611"/>
  <c r="G1142"/>
  <c r="G1143"/>
  <c r="G1144"/>
  <c r="G1145"/>
  <c r="G1154"/>
  <c r="G641"/>
  <c r="G107"/>
  <c r="G1089"/>
  <c r="G240"/>
  <c r="G820"/>
  <c r="G821"/>
  <c r="G1369"/>
  <c r="G550"/>
  <c r="G205"/>
  <c r="G206"/>
  <c r="G181"/>
  <c r="G1195"/>
  <c r="G395"/>
  <c r="G1411"/>
  <c r="G1412"/>
  <c r="G822"/>
  <c r="G396"/>
  <c r="G425"/>
  <c r="G1069"/>
  <c r="G1112"/>
  <c r="G442"/>
  <c r="G670"/>
  <c r="G299"/>
  <c r="G471"/>
  <c r="G300"/>
  <c r="G518"/>
  <c r="G194"/>
  <c r="G1415"/>
  <c r="G195"/>
  <c r="G621"/>
  <c r="G899"/>
  <c r="G88"/>
  <c r="G479"/>
  <c r="G1001"/>
  <c r="G33"/>
  <c r="G628"/>
  <c r="G601"/>
  <c r="G1245"/>
  <c r="G1246"/>
  <c r="G1362"/>
  <c r="G1351"/>
  <c r="G91"/>
  <c r="G622"/>
  <c r="G472"/>
  <c r="G17"/>
  <c r="G757"/>
  <c r="G1218"/>
  <c r="G473"/>
  <c r="G474"/>
  <c r="G60"/>
  <c r="G65"/>
  <c r="G1136"/>
  <c r="G900"/>
  <c r="G1363"/>
  <c r="G1352"/>
  <c r="G600"/>
  <c r="G155"/>
  <c r="G318"/>
  <c r="G1364"/>
  <c r="G1353"/>
  <c r="G439"/>
  <c r="G985"/>
  <c r="G630"/>
  <c r="G1379"/>
  <c r="G785"/>
  <c r="G952"/>
  <c r="G1203"/>
  <c r="G49"/>
  <c r="G953"/>
  <c r="G1137"/>
  <c r="G999"/>
  <c r="G763"/>
  <c r="G764"/>
  <c r="G597"/>
  <c r="G273"/>
  <c r="G1083"/>
  <c r="G1043"/>
  <c r="G890"/>
  <c r="G891"/>
  <c r="G892"/>
  <c r="G893"/>
  <c r="G994"/>
  <c r="G138"/>
  <c r="G995"/>
  <c r="G141"/>
  <c r="G1047"/>
  <c r="G926"/>
  <c r="G1247"/>
  <c r="G274"/>
  <c r="G82"/>
  <c r="G1002"/>
  <c r="G629"/>
  <c r="G804"/>
  <c r="G574"/>
  <c r="G575"/>
  <c r="G576"/>
  <c r="G554"/>
  <c r="G901"/>
  <c r="G555"/>
  <c r="G443"/>
  <c r="G1237"/>
  <c r="G1238"/>
  <c r="G275"/>
  <c r="G556"/>
  <c r="G557"/>
  <c r="G558"/>
  <c r="G577"/>
  <c r="G578"/>
  <c r="G276"/>
  <c r="G1084"/>
  <c r="G1048"/>
  <c r="G942"/>
  <c r="G943"/>
  <c r="G944"/>
  <c r="G945"/>
  <c r="G759"/>
  <c r="G760"/>
  <c r="G761"/>
  <c r="G1256"/>
  <c r="G288"/>
  <c r="G1003"/>
  <c r="G739"/>
  <c r="G310"/>
  <c r="G946"/>
  <c r="G947"/>
  <c r="G927"/>
  <c r="G928"/>
  <c r="G447"/>
  <c r="G448"/>
  <c r="G289"/>
  <c r="G311"/>
  <c r="G312"/>
  <c r="G816"/>
  <c r="G851"/>
  <c r="G313"/>
  <c r="G1257"/>
  <c r="G1380"/>
  <c r="G773"/>
  <c r="G1129"/>
  <c r="G734"/>
  <c r="G52"/>
  <c r="G1381"/>
  <c r="G1382"/>
  <c r="G956"/>
  <c r="G53"/>
  <c r="G1383"/>
  <c r="G1384"/>
  <c r="G803"/>
  <c r="G1073"/>
  <c r="G45"/>
  <c r="G73"/>
  <c r="G1014"/>
  <c r="G1007"/>
  <c r="G1015"/>
  <c r="G1028"/>
  <c r="G61"/>
  <c r="G1258"/>
  <c r="G20"/>
  <c r="G290"/>
  <c r="G973"/>
  <c r="G748"/>
  <c r="G604"/>
  <c r="G605"/>
  <c r="G634"/>
  <c r="G487"/>
  <c r="G608"/>
  <c r="G639"/>
  <c r="G314"/>
  <c r="G451"/>
  <c r="G482"/>
  <c r="G483"/>
  <c r="G948"/>
  <c r="G902"/>
  <c r="G903"/>
  <c r="G34"/>
  <c r="G291"/>
  <c r="G579"/>
  <c r="G77"/>
  <c r="G580"/>
  <c r="G581"/>
  <c r="G582"/>
  <c r="G1321"/>
  <c r="G1322"/>
  <c r="G1250"/>
  <c r="G1251"/>
  <c r="G1106"/>
  <c r="G1107"/>
  <c r="G1323"/>
  <c r="G583"/>
  <c r="G584"/>
  <c r="G585"/>
  <c r="G440"/>
  <c r="G441"/>
  <c r="G744"/>
  <c r="G35"/>
  <c r="G315"/>
  <c r="G698"/>
  <c r="G452"/>
  <c r="G488"/>
  <c r="G740"/>
  <c r="G741"/>
  <c r="G635"/>
  <c r="G1010"/>
  <c r="G742"/>
  <c r="G743"/>
  <c r="G929"/>
  <c r="G930"/>
  <c r="G959"/>
  <c r="G960"/>
  <c r="G931"/>
  <c r="G904"/>
  <c r="G932"/>
  <c r="G933"/>
  <c r="G466"/>
  <c r="G1330"/>
  <c r="G404"/>
  <c r="G631"/>
  <c r="G765"/>
  <c r="G798"/>
  <c r="G799"/>
  <c r="G1365"/>
  <c r="G1366"/>
  <c r="G1297"/>
  <c r="G1298"/>
  <c r="G721"/>
  <c r="G722"/>
  <c r="G723"/>
  <c r="G724"/>
  <c r="G1130"/>
  <c r="G957"/>
  <c r="G66"/>
  <c r="G1067"/>
  <c r="G100"/>
  <c r="G1029"/>
  <c r="G1310"/>
  <c r="G1311"/>
  <c r="G1299"/>
  <c r="G1300"/>
  <c r="G1301"/>
  <c r="G921"/>
  <c r="G986"/>
  <c r="G560"/>
  <c r="G561"/>
  <c r="G766"/>
  <c r="G378"/>
  <c r="G234"/>
  <c r="G1155"/>
  <c r="G1156"/>
  <c r="G1194"/>
  <c r="G1431"/>
  <c r="G1125"/>
  <c r="G1432"/>
  <c r="G1196"/>
  <c r="G1090"/>
  <c r="G182"/>
  <c r="G1165"/>
  <c r="G242"/>
  <c r="G1166"/>
  <c r="G165"/>
  <c r="G426"/>
  <c r="G513"/>
  <c r="G351"/>
  <c r="G1020"/>
  <c r="G1021"/>
  <c r="G1070"/>
  <c r="G1022"/>
  <c r="G458"/>
  <c r="G786"/>
  <c r="G623"/>
  <c r="G475"/>
  <c r="G1296"/>
  <c r="G1114"/>
  <c r="G1115"/>
  <c r="G427"/>
  <c r="G459"/>
  <c r="G1302"/>
  <c r="G1303"/>
  <c r="G1312"/>
  <c r="G987"/>
  <c r="G988"/>
  <c r="G1331"/>
  <c r="G1332"/>
  <c r="G692"/>
  <c r="G172"/>
  <c r="G173"/>
  <c r="G174"/>
  <c r="G42"/>
  <c r="G43"/>
  <c r="G220"/>
  <c r="G221"/>
  <c r="G1269"/>
  <c r="G1091"/>
  <c r="G179"/>
  <c r="G342"/>
  <c r="G166"/>
  <c r="G167"/>
  <c r="G168"/>
  <c r="G1408"/>
  <c r="G1409"/>
  <c r="G514"/>
  <c r="G352"/>
  <c r="G1167"/>
  <c r="G515"/>
  <c r="G347"/>
  <c r="G191"/>
  <c r="G192"/>
  <c r="G193"/>
  <c r="G1168"/>
  <c r="G1211"/>
  <c r="G343"/>
  <c r="G183"/>
  <c r="G382"/>
  <c r="G1286"/>
  <c r="G383"/>
  <c r="G1126"/>
  <c r="G265"/>
  <c r="G1271"/>
  <c r="G184"/>
  <c r="G185"/>
  <c r="G187"/>
  <c r="G1222"/>
  <c r="G896"/>
  <c r="G735"/>
  <c r="G460"/>
  <c r="G1416"/>
  <c r="G384"/>
  <c r="G235"/>
  <c r="G380"/>
  <c r="G419"/>
  <c r="G95"/>
  <c r="G148"/>
  <c r="G169"/>
  <c r="G1370"/>
  <c r="G188"/>
  <c r="G1169"/>
  <c r="G935"/>
  <c r="G936"/>
  <c r="G236"/>
  <c r="G237"/>
  <c r="G1127"/>
  <c r="G266"/>
  <c r="G637"/>
  <c r="G638"/>
  <c r="G568"/>
  <c r="G243"/>
  <c r="G1170"/>
  <c r="G189"/>
  <c r="G44"/>
  <c r="G223"/>
  <c r="G1313"/>
  <c r="G1314"/>
  <c r="G693"/>
  <c r="G1333"/>
  <c r="G1334"/>
  <c r="G190"/>
  <c r="G534"/>
  <c r="G270"/>
  <c r="G1202"/>
  <c r="G949"/>
  <c r="G449"/>
  <c r="G207"/>
  <c r="G244"/>
  <c r="G245"/>
  <c r="G246"/>
  <c r="G238"/>
  <c r="G379"/>
  <c r="G1354"/>
  <c r="G1355"/>
  <c r="G1356"/>
  <c r="G385"/>
  <c r="G1357"/>
  <c r="G208"/>
  <c r="G569"/>
  <c r="G535"/>
  <c r="G780"/>
  <c r="G413"/>
  <c r="G1358"/>
  <c r="G551"/>
  <c r="G570"/>
  <c r="G536"/>
  <c r="G781"/>
  <c r="G414"/>
  <c r="G415"/>
  <c r="G1359"/>
  <c r="G552"/>
  <c r="G553"/>
  <c r="G571"/>
  <c r="G537"/>
  <c r="G538"/>
  <c r="G910"/>
  <c r="G54"/>
  <c r="G67"/>
  <c r="G1116"/>
  <c r="G787"/>
  <c r="G762"/>
  <c r="G1101"/>
  <c r="G476"/>
  <c r="G1131"/>
  <c r="G428"/>
  <c r="G1385"/>
  <c r="G1386"/>
  <c r="G102"/>
  <c r="G1272"/>
  <c r="G1273"/>
  <c r="G36"/>
  <c r="G1315"/>
  <c r="G1316"/>
  <c r="G694"/>
  <c r="G1274"/>
  <c r="G1259"/>
  <c r="G7"/>
  <c r="G1260"/>
  <c r="G1261"/>
  <c r="G8"/>
  <c r="G416"/>
  <c r="G417"/>
  <c r="G767"/>
  <c r="G566"/>
  <c r="G567"/>
  <c r="G1098"/>
  <c r="G1172"/>
  <c r="G1173"/>
  <c r="G74"/>
  <c r="G736"/>
  <c r="G958"/>
  <c r="G1102"/>
  <c r="G1317"/>
  <c r="G1318"/>
  <c r="G695"/>
  <c r="G1262"/>
  <c r="G1263"/>
  <c r="G9"/>
  <c r="G1275"/>
  <c r="G1276"/>
  <c r="G10"/>
  <c r="G1277"/>
  <c r="G1278"/>
  <c r="G11"/>
  <c r="G1279"/>
  <c r="G1280"/>
  <c r="G37"/>
  <c r="G1319"/>
  <c r="G1320"/>
  <c r="G28"/>
  <c r="G1186"/>
  <c r="G795"/>
  <c r="G1034"/>
  <c r="G27"/>
  <c r="G1133"/>
  <c r="G590"/>
  <c r="G805"/>
  <c r="G806"/>
  <c r="G307"/>
  <c r="G1248"/>
  <c r="G1249"/>
  <c r="G1035"/>
  <c r="G586"/>
  <c r="G588"/>
  <c r="G1036"/>
  <c r="G589"/>
  <c r="G559"/>
  <c r="G308"/>
  <c r="G284"/>
  <c r="G285"/>
  <c r="G1037"/>
  <c r="G1281"/>
  <c r="G908"/>
  <c r="G38"/>
  <c r="G1287"/>
  <c r="G800"/>
  <c r="G1288"/>
  <c r="G706"/>
  <c r="G170"/>
  <c r="G1371"/>
  <c r="G75"/>
  <c r="G1147"/>
  <c r="G782"/>
  <c r="G1103"/>
  <c r="G429"/>
  <c r="G1132"/>
  <c r="G29"/>
  <c r="G69"/>
  <c r="G1038"/>
  <c r="G39"/>
  <c r="G40"/>
  <c r="G41"/>
  <c r="G1108"/>
  <c r="G1109"/>
  <c r="G1110"/>
  <c r="G768"/>
  <c r="G1289"/>
  <c r="G682"/>
  <c r="G247"/>
  <c r="G754"/>
  <c r="G406"/>
  <c r="G737"/>
  <c r="G55"/>
  <c r="G769"/>
  <c r="G1290"/>
  <c r="G248"/>
  <c r="G210"/>
  <c r="G407"/>
  <c r="G467"/>
  <c r="G68"/>
  <c r="G26"/>
  <c r="G801"/>
  <c r="G1291"/>
  <c r="G211"/>
  <c r="G683"/>
  <c r="G1009"/>
  <c r="G1058"/>
  <c r="G1039"/>
  <c r="G1040"/>
  <c r="G386"/>
  <c r="G1157"/>
  <c r="G684"/>
  <c r="G707"/>
  <c r="G1059"/>
  <c r="G1060"/>
  <c r="G76"/>
  <c r="G793"/>
  <c r="G794"/>
  <c r="G598"/>
  <c r="G70"/>
  <c r="G796"/>
  <c r="G387"/>
  <c r="G1158"/>
  <c r="G708"/>
  <c r="G709"/>
  <c r="G1061"/>
  <c r="G612"/>
  <c r="G101"/>
  <c r="G151"/>
  <c r="G71"/>
  <c r="G72"/>
  <c r="G388"/>
  <c r="G1159"/>
  <c r="G1360"/>
  <c r="G1361"/>
  <c r="G613"/>
  <c r="G642"/>
  <c r="G1074"/>
  <c r="G519"/>
  <c r="G797"/>
  <c r="G1041"/>
  <c r="G562"/>
  <c r="G1160"/>
  <c r="G710"/>
  <c r="G1099"/>
  <c r="G1023"/>
  <c r="G1071"/>
  <c r="G563"/>
  <c r="G1161"/>
  <c r="G1305"/>
  <c r="G154"/>
  <c r="G1024"/>
  <c r="G1025"/>
  <c r="G445"/>
  <c r="G1042"/>
  <c r="G852"/>
  <c r="G845"/>
  <c r="G853"/>
  <c r="G846"/>
  <c r="G854"/>
  <c r="G847"/>
  <c r="G564"/>
  <c r="G99"/>
  <c r="G1072"/>
  <c r="G989"/>
  <c r="G520"/>
  <c r="G977"/>
  <c r="G978"/>
  <c r="G21"/>
  <c r="G979"/>
  <c r="G915"/>
  <c r="G969"/>
  <c r="G970"/>
  <c r="G971"/>
  <c r="G972"/>
  <c r="G1146"/>
  <c r="G916"/>
  <c r="G917"/>
  <c r="G918"/>
  <c r="G980"/>
  <c r="G981"/>
  <c r="G982"/>
  <c r="G983"/>
  <c r="G1162"/>
  <c r="G565"/>
  <c r="G1032"/>
  <c r="G546"/>
  <c r="G669"/>
  <c r="G516"/>
  <c r="G517"/>
  <c r="G353"/>
  <c r="G855"/>
  <c r="G856"/>
  <c r="G103"/>
  <c r="G390"/>
  <c r="G730"/>
  <c r="G731"/>
  <c r="G391"/>
  <c r="G1377"/>
  <c r="G1378"/>
  <c r="G1387"/>
  <c r="G1388"/>
  <c r="G825"/>
  <c r="G826"/>
  <c r="G827"/>
  <c r="G828"/>
  <c r="G829"/>
  <c r="G830"/>
  <c r="G831"/>
  <c r="G587"/>
  <c r="G1174"/>
  <c r="G209"/>
  <c r="G418"/>
  <c r="G297"/>
  <c r="G1104"/>
  <c r="G990"/>
  <c r="G991"/>
  <c r="G984"/>
  <c r="G614"/>
  <c r="G547"/>
  <c r="G457"/>
  <c r="G674"/>
  <c r="G823"/>
  <c r="G919"/>
  <c r="G832"/>
  <c r="G833"/>
  <c r="G446"/>
  <c r="G992"/>
  <c r="G633"/>
  <c r="G286"/>
  <c r="G1395"/>
  <c r="G62"/>
  <c r="G834"/>
  <c r="G835"/>
  <c r="G696"/>
  <c r="G697"/>
  <c r="G752"/>
  <c r="G702"/>
  <c r="G703"/>
  <c r="G788"/>
  <c r="G905"/>
  <c r="G906"/>
  <c r="G961"/>
  <c r="G602"/>
  <c r="G1292"/>
  <c r="G150"/>
  <c r="G548"/>
  <c r="G296"/>
  <c r="G294"/>
  <c r="G1306"/>
  <c r="G836"/>
  <c r="G837"/>
  <c r="G789"/>
  <c r="G790"/>
  <c r="G838"/>
  <c r="G839"/>
  <c r="G791"/>
  <c r="G792"/>
  <c r="G1093"/>
  <c r="G1307"/>
  <c r="G549"/>
  <c r="G1414"/>
  <c r="G295"/>
  <c r="G317"/>
  <c r="G824"/>
  <c r="G1308"/>
  <c r="G819"/>
  <c r="G162"/>
  <c r="G1309"/>
  <c r="G1016"/>
  <c r="G1017"/>
  <c r="G163"/>
  <c r="G455"/>
  <c r="G164"/>
  <c r="G1406"/>
  <c r="G456"/>
  <c r="G1293"/>
  <c r="G937"/>
  <c r="G1294"/>
  <c r="G1068"/>
  <c r="G1295"/>
  <c r="G1018"/>
  <c r="G938"/>
  <c r="G1019"/>
  <c r="G5"/>
  <c r="G410"/>
  <c r="G844"/>
  <c r="G840"/>
  <c r="G1105"/>
  <c r="G1100"/>
  <c r="G411"/>
  <c r="G711"/>
  <c r="G412"/>
  <c r="G381"/>
  <c r="G239"/>
  <c r="G704"/>
  <c r="G267"/>
  <c r="G268"/>
  <c r="G4"/>
  <c r="G687"/>
  <c r="G688"/>
  <c r="G689"/>
  <c r="G714"/>
  <c r="G715"/>
  <c r="G841"/>
  <c r="G842"/>
  <c r="G843"/>
  <c r="G996"/>
  <c r="G84"/>
  <c r="G85"/>
  <c r="G857"/>
  <c r="G815"/>
  <c r="G934"/>
  <c r="G46"/>
  <c r="G430"/>
  <c r="G14"/>
  <c r="G1117"/>
  <c r="G997"/>
  <c r="G603"/>
  <c r="G998"/>
  <c r="G632"/>
  <c r="G1124"/>
  <c r="G1407"/>
  <c r="G490"/>
  <c r="G920"/>
  <c r="G1396"/>
  <c r="G909"/>
  <c r="G1004"/>
  <c r="G1005"/>
  <c r="G968"/>
  <c r="G858"/>
  <c r="G859"/>
  <c r="G860"/>
  <c r="G861"/>
  <c r="G862"/>
  <c r="G863"/>
  <c r="G864"/>
  <c r="G865"/>
  <c r="G866"/>
  <c r="G867"/>
  <c r="G868"/>
  <c r="G869"/>
  <c r="G870"/>
  <c r="G871"/>
  <c r="G872"/>
  <c r="G873"/>
  <c r="G874"/>
  <c r="G875"/>
  <c r="G876"/>
  <c r="G354"/>
  <c r="G355"/>
  <c r="G356"/>
  <c r="G357"/>
  <c r="G358"/>
  <c r="G359"/>
  <c r="G360"/>
  <c r="G361"/>
  <c r="G362"/>
  <c r="G363"/>
  <c r="G364"/>
  <c r="G365"/>
  <c r="G366"/>
  <c r="G367"/>
  <c r="G368"/>
  <c r="G369"/>
  <c r="G675"/>
  <c r="G676"/>
  <c r="G677"/>
  <c r="G678"/>
  <c r="G679"/>
  <c r="G156"/>
  <c r="G157"/>
  <c r="G158"/>
  <c r="G159"/>
  <c r="G160"/>
  <c r="G161"/>
  <c r="G321"/>
  <c r="G322"/>
  <c r="G494"/>
  <c r="G495"/>
  <c r="G646"/>
  <c r="G647"/>
  <c r="G807"/>
  <c r="G808"/>
  <c r="G323"/>
  <c r="G324"/>
  <c r="G496"/>
  <c r="G497"/>
  <c r="G648"/>
  <c r="G649"/>
  <c r="G809"/>
  <c r="G810"/>
  <c r="G325"/>
  <c r="G326"/>
  <c r="G498"/>
  <c r="G499"/>
  <c r="G650"/>
  <c r="G651"/>
  <c r="G1079"/>
  <c r="G1080"/>
  <c r="G327"/>
  <c r="G328"/>
  <c r="G500"/>
  <c r="G501"/>
  <c r="G652"/>
  <c r="G653"/>
  <c r="G811"/>
  <c r="G812"/>
  <c r="G813"/>
  <c r="G814"/>
  <c r="G1081"/>
  <c r="G1082"/>
  <c r="G329"/>
  <c r="G330"/>
  <c r="G502"/>
  <c r="G1118"/>
  <c r="G431"/>
  <c r="G1119"/>
  <c r="G1120"/>
  <c r="G432"/>
  <c r="G1121"/>
  <c r="G1122"/>
  <c r="G433"/>
  <c r="G521"/>
  <c r="G461"/>
  <c r="G464"/>
  <c r="G615"/>
  <c r="G462"/>
  <c r="G617"/>
  <c r="G463"/>
  <c r="G616"/>
  <c r="G774"/>
  <c r="G522"/>
  <c r="G671"/>
  <c r="G775"/>
  <c r="G523"/>
  <c r="G524"/>
  <c r="G110"/>
  <c r="G525"/>
  <c r="G526"/>
  <c r="G196"/>
  <c r="G672"/>
  <c r="G527"/>
  <c r="G197"/>
  <c r="G673"/>
  <c r="G528"/>
  <c r="G111"/>
  <c r="G1123"/>
  <c r="G389"/>
  <c r="G434"/>
  <c r="G13"/>
  <c r="G400"/>
  <c r="G271"/>
  <c r="G30"/>
  <c r="G1049"/>
  <c r="G31"/>
  <c r="G599"/>
  <c r="G624"/>
  <c r="G625"/>
  <c r="G1030"/>
  <c r="G1031"/>
  <c r="G1075"/>
  <c r="G1234"/>
  <c r="G1235"/>
  <c r="G1236"/>
  <c r="G435"/>
  <c r="G397"/>
  <c r="G894"/>
  <c r="G1111"/>
  <c r="G1128"/>
  <c r="G222"/>
  <c r="G269"/>
  <c r="G12"/>
  <c r="G895"/>
  <c r="G22"/>
  <c r="G23"/>
  <c r="G705"/>
  <c r="G753"/>
  <c r="G778"/>
  <c r="G24"/>
  <c r="G25"/>
  <c r="G63"/>
  <c r="G64"/>
  <c r="G950"/>
  <c r="G47"/>
  <c r="G951"/>
  <c r="G48"/>
  <c r="G1394"/>
  <c r="G1418"/>
  <c r="G1419"/>
  <c r="G1420"/>
  <c r="G1421"/>
  <c r="G1422"/>
  <c r="G1423"/>
  <c r="G1424"/>
  <c r="G1425"/>
  <c r="G1426"/>
  <c r="G1427"/>
  <c r="G1428"/>
  <c r="G1429"/>
  <c r="G1433"/>
  <c r="P1205"/>
  <c r="R1205" s="1"/>
  <c r="P175"/>
  <c r="R175" s="1"/>
  <c r="P1006"/>
  <c r="R1006" s="1"/>
  <c r="P1053"/>
  <c r="R1053" s="1"/>
  <c r="P1054"/>
  <c r="R1054" s="1"/>
  <c r="P507"/>
  <c r="R507" s="1"/>
  <c r="P658"/>
  <c r="R658" s="1"/>
  <c r="P659"/>
  <c r="R659" s="1"/>
  <c r="R335"/>
  <c r="P779"/>
  <c r="R779" s="1"/>
  <c r="P278"/>
  <c r="R278" s="1"/>
  <c r="P176"/>
  <c r="R176" s="1"/>
  <c r="P177"/>
  <c r="R177" s="1"/>
  <c r="P178"/>
  <c r="R178" s="1"/>
  <c r="P1055"/>
  <c r="R1055" s="1"/>
  <c r="P1056"/>
  <c r="R1056" s="1"/>
  <c r="P1057"/>
  <c r="R1057" s="1"/>
  <c r="P228"/>
  <c r="R228" s="1"/>
  <c r="P229"/>
  <c r="R229" s="1"/>
  <c r="P338"/>
  <c r="R338" s="1"/>
  <c r="P339"/>
  <c r="R339" s="1"/>
  <c r="P340"/>
  <c r="R340" s="1"/>
  <c r="P341"/>
  <c r="R341" s="1"/>
  <c r="P663"/>
  <c r="R663" s="1"/>
  <c r="P1266"/>
  <c r="R1266" s="1"/>
  <c r="P1267"/>
  <c r="R1267" s="1"/>
  <c r="P230"/>
  <c r="R230" s="1"/>
  <c r="P1264"/>
  <c r="R1264" s="1"/>
  <c r="P1012"/>
  <c r="R1012" s="1"/>
  <c r="P1013"/>
  <c r="R1013" s="1"/>
  <c r="P1066"/>
  <c r="R1066" s="1"/>
  <c r="P279"/>
  <c r="R279" s="1"/>
  <c r="P86"/>
  <c r="R86" s="1"/>
  <c r="P87"/>
  <c r="R87" s="1"/>
  <c r="P139"/>
  <c r="R139" s="1"/>
  <c r="P280"/>
  <c r="R280" s="1"/>
  <c r="P96"/>
  <c r="R96" s="1"/>
  <c r="P97"/>
  <c r="R97" s="1"/>
  <c r="P241"/>
  <c r="R241" s="1"/>
  <c r="P344"/>
  <c r="R344" s="1"/>
  <c r="P667"/>
  <c r="R667" s="1"/>
  <c r="P337"/>
  <c r="R337" s="1"/>
  <c r="P510"/>
  <c r="R510" s="1"/>
  <c r="P281"/>
  <c r="R281" s="1"/>
  <c r="P298"/>
  <c r="R298" s="1"/>
  <c r="P405"/>
  <c r="R405" s="1"/>
  <c r="P529"/>
  <c r="R529" s="1"/>
  <c r="P530"/>
  <c r="R530" s="1"/>
  <c r="R531"/>
  <c r="P532"/>
  <c r="R532" s="1"/>
  <c r="P716"/>
  <c r="R716" s="1"/>
  <c r="P712"/>
  <c r="R712" s="1"/>
  <c r="P713"/>
  <c r="R713" s="1"/>
  <c r="P685"/>
  <c r="R685" s="1"/>
  <c r="P686"/>
  <c r="R686" s="1"/>
  <c r="R422"/>
  <c r="P423"/>
  <c r="R423" s="1"/>
  <c r="P424"/>
  <c r="R424" s="1"/>
  <c r="R533"/>
  <c r="R348"/>
  <c r="R349"/>
  <c r="R350"/>
  <c r="R1413"/>
  <c r="R511"/>
  <c r="P480"/>
  <c r="R480" s="1"/>
  <c r="P18"/>
  <c r="R18" s="1"/>
  <c r="P56"/>
  <c r="R56" s="1"/>
  <c r="P16"/>
  <c r="R16" s="1"/>
  <c r="P1134"/>
  <c r="R1134" s="1"/>
  <c r="P758"/>
  <c r="R758" s="1"/>
  <c r="P1150"/>
  <c r="R1150" s="1"/>
  <c r="P594"/>
  <c r="R594" s="1"/>
  <c r="P301"/>
  <c r="R301" s="1"/>
  <c r="P993"/>
  <c r="R993" s="1"/>
  <c r="P1350"/>
  <c r="R1350" s="1"/>
  <c r="P302"/>
  <c r="R302" s="1"/>
  <c r="P772"/>
  <c r="R772" s="1"/>
  <c r="P1026"/>
  <c r="R1026" s="1"/>
  <c r="P755"/>
  <c r="R755" s="1"/>
  <c r="P756"/>
  <c r="R756" s="1"/>
  <c r="P1148"/>
  <c r="R1148" s="1"/>
  <c r="P1149"/>
  <c r="R1149" s="1"/>
  <c r="P468"/>
  <c r="R468" s="1"/>
  <c r="P1027"/>
  <c r="R1027" s="1"/>
  <c r="P1219"/>
  <c r="R1219" s="1"/>
  <c r="P1220"/>
  <c r="R1220" s="1"/>
  <c r="P50"/>
  <c r="R50" s="1"/>
  <c r="P954"/>
  <c r="R954" s="1"/>
  <c r="P19"/>
  <c r="R19" s="1"/>
  <c r="P57"/>
  <c r="R57" s="1"/>
  <c r="P469"/>
  <c r="R469" s="1"/>
  <c r="P470"/>
  <c r="R470" s="1"/>
  <c r="P1398"/>
  <c r="R1398" s="1"/>
  <c r="R1399"/>
  <c r="P92"/>
  <c r="R92" s="1"/>
  <c r="P1335"/>
  <c r="R1335" s="1"/>
  <c r="P1076"/>
  <c r="R1076" s="1"/>
  <c r="P1397"/>
  <c r="R1397" s="1"/>
  <c r="P142"/>
  <c r="R142" s="1"/>
  <c r="R89"/>
  <c r="P93"/>
  <c r="R93" s="1"/>
  <c r="P1336"/>
  <c r="R1336" s="1"/>
  <c r="R1337"/>
  <c r="P1338"/>
  <c r="R1338" s="1"/>
  <c r="P725"/>
  <c r="R725" s="1"/>
  <c r="R726"/>
  <c r="P727"/>
  <c r="R727" s="1"/>
  <c r="P1008"/>
  <c r="R1008" s="1"/>
  <c r="P1270"/>
  <c r="R1270" s="1"/>
  <c r="P770"/>
  <c r="R770" s="1"/>
  <c r="P1268"/>
  <c r="R1268" s="1"/>
  <c r="P1282"/>
  <c r="R1282" s="1"/>
  <c r="P1283"/>
  <c r="R1283" s="1"/>
  <c r="P1284"/>
  <c r="R1284" s="1"/>
  <c r="P1285"/>
  <c r="R1285" s="1"/>
  <c r="P1265"/>
  <c r="R1265" s="1"/>
  <c r="P609"/>
  <c r="R609" s="1"/>
  <c r="P640"/>
  <c r="R640" s="1"/>
  <c r="P292"/>
  <c r="R292" s="1"/>
  <c r="P293"/>
  <c r="R293" s="1"/>
  <c r="P202"/>
  <c r="R202" s="1"/>
  <c r="P664"/>
  <c r="R664" s="1"/>
  <c r="P336"/>
  <c r="R336" s="1"/>
  <c r="P508"/>
  <c r="R508" s="1"/>
  <c r="R509"/>
  <c r="P665"/>
  <c r="R665" s="1"/>
  <c r="P666"/>
  <c r="R666" s="1"/>
  <c r="P1209"/>
  <c r="R1209" s="1"/>
  <c r="P1210"/>
  <c r="R1210" s="1"/>
  <c r="P203"/>
  <c r="R203" s="1"/>
  <c r="R204"/>
  <c r="P1011"/>
  <c r="R1011" s="1"/>
  <c r="R1063"/>
  <c r="R1064"/>
  <c r="P662"/>
  <c r="R662" s="1"/>
  <c r="P668"/>
  <c r="R668" s="1"/>
  <c r="P180"/>
  <c r="R180" s="1"/>
  <c r="P1163"/>
  <c r="R1163" s="1"/>
  <c r="P1164"/>
  <c r="R1164" s="1"/>
  <c r="P771"/>
  <c r="R771" s="1"/>
  <c r="P606"/>
  <c r="R606" s="1"/>
  <c r="P607"/>
  <c r="R607" s="1"/>
  <c r="P636"/>
  <c r="R636" s="1"/>
  <c r="P802"/>
  <c r="R802" s="1"/>
  <c r="P1092"/>
  <c r="R1092" s="1"/>
  <c r="P1304"/>
  <c r="R1304" s="1"/>
  <c r="P149"/>
  <c r="R149" s="1"/>
  <c r="P450"/>
  <c r="R450" s="1"/>
  <c r="P484"/>
  <c r="R484" s="1"/>
  <c r="P485"/>
  <c r="R485" s="1"/>
  <c r="P486"/>
  <c r="R486" s="1"/>
  <c r="P98"/>
  <c r="R98" s="1"/>
  <c r="P105"/>
  <c r="R105" s="1"/>
  <c r="P153"/>
  <c r="R153" s="1"/>
  <c r="P106"/>
  <c r="R106" s="1"/>
  <c r="P1152"/>
  <c r="R1152" s="1"/>
  <c r="P1153"/>
  <c r="R1153" s="1"/>
  <c r="P1138"/>
  <c r="R1138" s="1"/>
  <c r="R512"/>
  <c r="R345"/>
  <c r="R346"/>
  <c r="P1372"/>
  <c r="R1372" s="1"/>
  <c r="P393"/>
  <c r="R393" s="1"/>
  <c r="P392"/>
  <c r="R392" s="1"/>
  <c r="P717"/>
  <c r="R717" s="1"/>
  <c r="P186"/>
  <c r="R186" s="1"/>
  <c r="P171"/>
  <c r="R171" s="1"/>
  <c r="P1410"/>
  <c r="R1410" s="1"/>
  <c r="P718"/>
  <c r="R718" s="1"/>
  <c r="P719"/>
  <c r="R719" s="1"/>
  <c r="P720"/>
  <c r="R720" s="1"/>
  <c r="P1373"/>
  <c r="R1373" s="1"/>
  <c r="P1374"/>
  <c r="R1374" s="1"/>
  <c r="P690"/>
  <c r="R690" s="1"/>
  <c r="P691"/>
  <c r="R691" s="1"/>
  <c r="P1375"/>
  <c r="R1375" s="1"/>
  <c r="P1376"/>
  <c r="R1376" s="1"/>
  <c r="P394"/>
  <c r="R394" s="1"/>
  <c r="P1402"/>
  <c r="R1402" s="1"/>
  <c r="P90"/>
  <c r="R90" s="1"/>
  <c r="P1151"/>
  <c r="R1151" s="1"/>
  <c r="P783"/>
  <c r="R783" s="1"/>
  <c r="P595"/>
  <c r="R595" s="1"/>
  <c r="P596"/>
  <c r="R596" s="1"/>
  <c r="P1062"/>
  <c r="R1062" s="1"/>
  <c r="P231"/>
  <c r="R231" s="1"/>
  <c r="P232"/>
  <c r="R232" s="1"/>
  <c r="P233"/>
  <c r="R233" s="1"/>
  <c r="P303"/>
  <c r="R303" s="1"/>
  <c r="P408"/>
  <c r="R408" s="1"/>
  <c r="P1204"/>
  <c r="R1204" s="1"/>
  <c r="P733"/>
  <c r="R733" s="1"/>
  <c r="P51"/>
  <c r="R51" s="1"/>
  <c r="P955"/>
  <c r="R955" s="1"/>
  <c r="P58"/>
  <c r="R58" s="1"/>
  <c r="P59"/>
  <c r="R59" s="1"/>
  <c r="P6"/>
  <c r="R6" s="1"/>
  <c r="P477"/>
  <c r="R477" s="1"/>
  <c r="P282"/>
  <c r="R282" s="1"/>
  <c r="P319"/>
  <c r="R319" s="1"/>
  <c r="P320"/>
  <c r="R320" s="1"/>
  <c r="P398"/>
  <c r="R398" s="1"/>
  <c r="R399"/>
  <c r="R572"/>
  <c r="P573"/>
  <c r="R573" s="1"/>
  <c r="P491"/>
  <c r="R491" s="1"/>
  <c r="P492"/>
  <c r="R492" s="1"/>
  <c r="P1239"/>
  <c r="R1239" s="1"/>
  <c r="P1240"/>
  <c r="R1240" s="1"/>
  <c r="P277"/>
  <c r="R277" s="1"/>
  <c r="P227"/>
  <c r="R227" s="1"/>
  <c r="P78"/>
  <c r="R78" s="1"/>
  <c r="P1050"/>
  <c r="R1050" s="1"/>
  <c r="P591"/>
  <c r="R591" s="1"/>
  <c r="P592"/>
  <c r="R592" s="1"/>
  <c r="P593"/>
  <c r="R593" s="1"/>
  <c r="P1367"/>
  <c r="R1367" s="1"/>
  <c r="P1368"/>
  <c r="R1368" s="1"/>
  <c r="P738"/>
  <c r="R738" s="1"/>
  <c r="P481"/>
  <c r="R481" s="1"/>
  <c r="R923"/>
  <c r="P304"/>
  <c r="R304" s="1"/>
  <c r="P272"/>
  <c r="R272" s="1"/>
  <c r="P224"/>
  <c r="R224" s="1"/>
  <c r="P32"/>
  <c r="R32" s="1"/>
  <c r="P283"/>
  <c r="R283" s="1"/>
  <c r="P493"/>
  <c r="R493" s="1"/>
  <c r="P643"/>
  <c r="R643" s="1"/>
  <c r="P1241"/>
  <c r="R1241" s="1"/>
  <c r="R924"/>
  <c r="P925"/>
  <c r="R925" s="1"/>
  <c r="P1242"/>
  <c r="R1242" s="1"/>
  <c r="P436"/>
  <c r="R436" s="1"/>
  <c r="P437"/>
  <c r="R437" s="1"/>
  <c r="P1000"/>
  <c r="R1000" s="1"/>
  <c r="P626"/>
  <c r="R626" s="1"/>
  <c r="P627"/>
  <c r="R627" s="1"/>
  <c r="P108"/>
  <c r="R108" s="1"/>
  <c r="P109"/>
  <c r="R109" s="1"/>
  <c r="P1051"/>
  <c r="R1051" s="1"/>
  <c r="P79"/>
  <c r="R79" s="1"/>
  <c r="P305"/>
  <c r="R305" s="1"/>
  <c r="P306"/>
  <c r="R306" s="1"/>
  <c r="P644"/>
  <c r="R644" s="1"/>
  <c r="P645"/>
  <c r="R645" s="1"/>
  <c r="P1243"/>
  <c r="R1243" s="1"/>
  <c r="P225"/>
  <c r="R225" s="1"/>
  <c r="P226"/>
  <c r="R226" s="1"/>
  <c r="P749"/>
  <c r="R749" s="1"/>
  <c r="P750"/>
  <c r="R750" s="1"/>
  <c r="P751"/>
  <c r="R751" s="1"/>
  <c r="P939"/>
  <c r="R939" s="1"/>
  <c r="P940"/>
  <c r="R940" s="1"/>
  <c r="P941"/>
  <c r="R941" s="1"/>
  <c r="P897"/>
  <c r="R897" s="1"/>
  <c r="P701"/>
  <c r="R701" s="1"/>
  <c r="P15"/>
  <c r="R15" s="1"/>
  <c r="P911"/>
  <c r="R911" s="1"/>
  <c r="P912"/>
  <c r="R912" s="1"/>
  <c r="P913"/>
  <c r="R913" s="1"/>
  <c r="P914"/>
  <c r="R914" s="1"/>
  <c r="P974"/>
  <c r="R974" s="1"/>
  <c r="P975"/>
  <c r="R975" s="1"/>
  <c r="R1065"/>
  <c r="P316"/>
  <c r="R316" s="1"/>
  <c r="P1139"/>
  <c r="R1139" s="1"/>
  <c r="P1140"/>
  <c r="R1140" s="1"/>
  <c r="P1141"/>
  <c r="R1141" s="1"/>
  <c r="P660"/>
  <c r="R660" s="1"/>
  <c r="P618"/>
  <c r="R618" s="1"/>
  <c r="P1077"/>
  <c r="R1077" s="1"/>
  <c r="R453"/>
  <c r="P661"/>
  <c r="R661" s="1"/>
  <c r="P747"/>
  <c r="R747" s="1"/>
  <c r="P976"/>
  <c r="R976" s="1"/>
  <c r="P454"/>
  <c r="R454" s="1"/>
  <c r="P1087"/>
  <c r="R1087" s="1"/>
  <c r="P848"/>
  <c r="R848" s="1"/>
  <c r="P503"/>
  <c r="R503" s="1"/>
  <c r="P849"/>
  <c r="R849" s="1"/>
  <c r="P654"/>
  <c r="R654" s="1"/>
  <c r="P655"/>
  <c r="R655" s="1"/>
  <c r="P850"/>
  <c r="R850" s="1"/>
  <c r="P784"/>
  <c r="R784" s="1"/>
  <c r="P1135"/>
  <c r="R1135" s="1"/>
  <c r="P1078"/>
  <c r="R1078" s="1"/>
  <c r="P619"/>
  <c r="R619" s="1"/>
  <c r="P728"/>
  <c r="R728" s="1"/>
  <c r="P620"/>
  <c r="R620" s="1"/>
  <c r="P409"/>
  <c r="R409" s="1"/>
  <c r="P729"/>
  <c r="R729" s="1"/>
  <c r="P966"/>
  <c r="R966" s="1"/>
  <c r="P1244"/>
  <c r="R1244" s="1"/>
  <c r="P967"/>
  <c r="R967" s="1"/>
  <c r="P401"/>
  <c r="R401" s="1"/>
  <c r="R907"/>
  <c r="P402"/>
  <c r="R402" s="1"/>
  <c r="P1044"/>
  <c r="R1044" s="1"/>
  <c r="P1052"/>
  <c r="R1052" s="1"/>
  <c r="P1045"/>
  <c r="R1045" s="1"/>
  <c r="P80"/>
  <c r="R80" s="1"/>
  <c r="R140"/>
  <c r="P444"/>
  <c r="R444" s="1"/>
  <c r="P1046"/>
  <c r="R1046" s="1"/>
  <c r="P478"/>
  <c r="R478" s="1"/>
  <c r="P1405"/>
  <c r="R1405" s="1"/>
  <c r="P403"/>
  <c r="R403" s="1"/>
  <c r="P146"/>
  <c r="R146" s="1"/>
  <c r="P438"/>
  <c r="R438" s="1"/>
  <c r="P147"/>
  <c r="R147" s="1"/>
  <c r="P81"/>
  <c r="R81" s="1"/>
  <c r="R83"/>
  <c r="P898"/>
  <c r="R898" s="1"/>
  <c r="P94"/>
  <c r="R94" s="1"/>
  <c r="P1088"/>
  <c r="R1088" s="1"/>
  <c r="P1430"/>
  <c r="R1430" s="1"/>
  <c r="P489"/>
  <c r="R489" s="1"/>
  <c r="P610"/>
  <c r="R610" s="1"/>
  <c r="P611"/>
  <c r="R611" s="1"/>
  <c r="P1142"/>
  <c r="R1142" s="1"/>
  <c r="R1143"/>
  <c r="P1144"/>
  <c r="R1144" s="1"/>
  <c r="P1145"/>
  <c r="R1145" s="1"/>
  <c r="R1154"/>
  <c r="P641"/>
  <c r="R641" s="1"/>
  <c r="P107"/>
  <c r="R107" s="1"/>
  <c r="R1089"/>
  <c r="P240"/>
  <c r="R240" s="1"/>
  <c r="P820"/>
  <c r="R820" s="1"/>
  <c r="P821"/>
  <c r="R821" s="1"/>
  <c r="P1369"/>
  <c r="R1369" s="1"/>
  <c r="P550"/>
  <c r="R550" s="1"/>
  <c r="P205"/>
  <c r="R205" s="1"/>
  <c r="P206"/>
  <c r="R206" s="1"/>
  <c r="P181"/>
  <c r="R181" s="1"/>
  <c r="R1195"/>
  <c r="P395"/>
  <c r="R395" s="1"/>
  <c r="P1411"/>
  <c r="R1411" s="1"/>
  <c r="P1412"/>
  <c r="R1412" s="1"/>
  <c r="P822"/>
  <c r="R822" s="1"/>
  <c r="R396"/>
  <c r="P425"/>
  <c r="R425" s="1"/>
  <c r="P1069"/>
  <c r="R1069" s="1"/>
  <c r="P1112"/>
  <c r="R1112" s="1"/>
  <c r="R442"/>
  <c r="P670"/>
  <c r="R670" s="1"/>
  <c r="P299"/>
  <c r="R299" s="1"/>
  <c r="P471"/>
  <c r="R471" s="1"/>
  <c r="P300"/>
  <c r="R300" s="1"/>
  <c r="P518"/>
  <c r="R518" s="1"/>
  <c r="P194"/>
  <c r="R194" s="1"/>
  <c r="P1415"/>
  <c r="R1415" s="1"/>
  <c r="P195"/>
  <c r="R195" s="1"/>
  <c r="P621"/>
  <c r="R621" s="1"/>
  <c r="P899"/>
  <c r="R899" s="1"/>
  <c r="P88"/>
  <c r="R88" s="1"/>
  <c r="P479"/>
  <c r="R479" s="1"/>
  <c r="P1001"/>
  <c r="R1001" s="1"/>
  <c r="P33"/>
  <c r="R33" s="1"/>
  <c r="P628"/>
  <c r="R628" s="1"/>
  <c r="P601"/>
  <c r="R601" s="1"/>
  <c r="P1245"/>
  <c r="R1245" s="1"/>
  <c r="P1246"/>
  <c r="R1246" s="1"/>
  <c r="P1362"/>
  <c r="R1362" s="1"/>
  <c r="P1351"/>
  <c r="R1351" s="1"/>
  <c r="P91"/>
  <c r="R91" s="1"/>
  <c r="P622"/>
  <c r="R622" s="1"/>
  <c r="P472"/>
  <c r="R472" s="1"/>
  <c r="P17"/>
  <c r="R17" s="1"/>
  <c r="P757"/>
  <c r="R757" s="1"/>
  <c r="P1218"/>
  <c r="R1218" s="1"/>
  <c r="P473"/>
  <c r="R473" s="1"/>
  <c r="P474"/>
  <c r="R474" s="1"/>
  <c r="P60"/>
  <c r="R60" s="1"/>
  <c r="P65"/>
  <c r="R65" s="1"/>
  <c r="P1136"/>
  <c r="R1136" s="1"/>
  <c r="P900"/>
  <c r="R900" s="1"/>
  <c r="P1363"/>
  <c r="R1363" s="1"/>
  <c r="P1352"/>
  <c r="R1352" s="1"/>
  <c r="P600"/>
  <c r="R600" s="1"/>
  <c r="P155"/>
  <c r="R155" s="1"/>
  <c r="P318"/>
  <c r="R318" s="1"/>
  <c r="P1364"/>
  <c r="R1364" s="1"/>
  <c r="P1353"/>
  <c r="R1353" s="1"/>
  <c r="P439"/>
  <c r="R439" s="1"/>
  <c r="P985"/>
  <c r="R985" s="1"/>
  <c r="P630"/>
  <c r="R630" s="1"/>
  <c r="P1379"/>
  <c r="R1379" s="1"/>
  <c r="P785"/>
  <c r="R785" s="1"/>
  <c r="P952"/>
  <c r="R952" s="1"/>
  <c r="P1203"/>
  <c r="R1203" s="1"/>
  <c r="P49"/>
  <c r="R49" s="1"/>
  <c r="P953"/>
  <c r="R953" s="1"/>
  <c r="P1137"/>
  <c r="R1137" s="1"/>
  <c r="P999"/>
  <c r="R999" s="1"/>
  <c r="P763"/>
  <c r="R763" s="1"/>
  <c r="R764"/>
  <c r="P597"/>
  <c r="R597" s="1"/>
  <c r="P273"/>
  <c r="R273" s="1"/>
  <c r="P1083"/>
  <c r="R1083" s="1"/>
  <c r="P1043"/>
  <c r="R1043" s="1"/>
  <c r="P890"/>
  <c r="R890" s="1"/>
  <c r="P891"/>
  <c r="R891" s="1"/>
  <c r="R892"/>
  <c r="R893"/>
  <c r="P994"/>
  <c r="R994" s="1"/>
  <c r="P138"/>
  <c r="R138" s="1"/>
  <c r="R995"/>
  <c r="P141"/>
  <c r="R141" s="1"/>
  <c r="P1047"/>
  <c r="R1047" s="1"/>
  <c r="P926"/>
  <c r="R926" s="1"/>
  <c r="P1247"/>
  <c r="R1247" s="1"/>
  <c r="P274"/>
  <c r="R274" s="1"/>
  <c r="P82"/>
  <c r="R82" s="1"/>
  <c r="P1002"/>
  <c r="R1002" s="1"/>
  <c r="P629"/>
  <c r="R629" s="1"/>
  <c r="P804"/>
  <c r="R804" s="1"/>
  <c r="R574"/>
  <c r="P575"/>
  <c r="R575" s="1"/>
  <c r="P576"/>
  <c r="R576" s="1"/>
  <c r="P554"/>
  <c r="R554" s="1"/>
  <c r="P901"/>
  <c r="R901" s="1"/>
  <c r="P555"/>
  <c r="R555" s="1"/>
  <c r="P443"/>
  <c r="R443" s="1"/>
  <c r="P1237"/>
  <c r="R1237" s="1"/>
  <c r="P1238"/>
  <c r="R1238" s="1"/>
  <c r="P275"/>
  <c r="R275" s="1"/>
  <c r="P556"/>
  <c r="R556" s="1"/>
  <c r="P557"/>
  <c r="R557" s="1"/>
  <c r="P558"/>
  <c r="R558" s="1"/>
  <c r="P577"/>
  <c r="R577" s="1"/>
  <c r="P578"/>
  <c r="R578" s="1"/>
  <c r="P276"/>
  <c r="R276" s="1"/>
  <c r="P1084"/>
  <c r="R1084" s="1"/>
  <c r="P1048"/>
  <c r="R1048" s="1"/>
  <c r="P942"/>
  <c r="R942" s="1"/>
  <c r="P943"/>
  <c r="R943" s="1"/>
  <c r="P944"/>
  <c r="R944" s="1"/>
  <c r="P945"/>
  <c r="R945" s="1"/>
  <c r="P759"/>
  <c r="R759" s="1"/>
  <c r="P760"/>
  <c r="R760" s="1"/>
  <c r="R761"/>
  <c r="P1256"/>
  <c r="R1256" s="1"/>
  <c r="R288"/>
  <c r="P1003"/>
  <c r="R1003" s="1"/>
  <c r="P739"/>
  <c r="R739" s="1"/>
  <c r="P310"/>
  <c r="R310" s="1"/>
  <c r="P946"/>
  <c r="R946" s="1"/>
  <c r="P947"/>
  <c r="R947" s="1"/>
  <c r="R927"/>
  <c r="P928"/>
  <c r="R928" s="1"/>
  <c r="P447"/>
  <c r="R447" s="1"/>
  <c r="R448"/>
  <c r="P289"/>
  <c r="R289" s="1"/>
  <c r="P311"/>
  <c r="P312"/>
  <c r="P816"/>
  <c r="R816" s="1"/>
  <c r="P851"/>
  <c r="R851" s="1"/>
  <c r="P313"/>
  <c r="P1257"/>
  <c r="R1257" s="1"/>
  <c r="P1380"/>
  <c r="R1380" s="1"/>
  <c r="P773"/>
  <c r="R773" s="1"/>
  <c r="P1129"/>
  <c r="R1129" s="1"/>
  <c r="P734"/>
  <c r="R734" s="1"/>
  <c r="P52"/>
  <c r="R52" s="1"/>
  <c r="P1381"/>
  <c r="R1381" s="1"/>
  <c r="P1382"/>
  <c r="R1382" s="1"/>
  <c r="P956"/>
  <c r="R956" s="1"/>
  <c r="P53"/>
  <c r="R53" s="1"/>
  <c r="P1383"/>
  <c r="R1383" s="1"/>
  <c r="P1384"/>
  <c r="R1384" s="1"/>
  <c r="P803"/>
  <c r="R803" s="1"/>
  <c r="P1073"/>
  <c r="R1073" s="1"/>
  <c r="P45"/>
  <c r="R45" s="1"/>
  <c r="P73"/>
  <c r="R73" s="1"/>
  <c r="P1014"/>
  <c r="R1014" s="1"/>
  <c r="P1007"/>
  <c r="R1007" s="1"/>
  <c r="P1015"/>
  <c r="R1015" s="1"/>
  <c r="P1028"/>
  <c r="R1028" s="1"/>
  <c r="P61"/>
  <c r="R61" s="1"/>
  <c r="P1258"/>
  <c r="R1258" s="1"/>
  <c r="P20"/>
  <c r="R20" s="1"/>
  <c r="P290"/>
  <c r="R290" s="1"/>
  <c r="P973"/>
  <c r="R973" s="1"/>
  <c r="P748"/>
  <c r="R748" s="1"/>
  <c r="P604"/>
  <c r="R604" s="1"/>
  <c r="P605"/>
  <c r="R605" s="1"/>
  <c r="P634"/>
  <c r="R634" s="1"/>
  <c r="P487"/>
  <c r="R487" s="1"/>
  <c r="P608"/>
  <c r="R608" s="1"/>
  <c r="P639"/>
  <c r="R639" s="1"/>
  <c r="P314"/>
  <c r="R314" s="1"/>
  <c r="P451"/>
  <c r="R451" s="1"/>
  <c r="P482"/>
  <c r="R482" s="1"/>
  <c r="P483"/>
  <c r="R483" s="1"/>
  <c r="P948"/>
  <c r="R948" s="1"/>
  <c r="P902"/>
  <c r="R902" s="1"/>
  <c r="P903"/>
  <c r="R903" s="1"/>
  <c r="P34"/>
  <c r="R34" s="1"/>
  <c r="P291"/>
  <c r="R291" s="1"/>
  <c r="P579"/>
  <c r="R579" s="1"/>
  <c r="P77"/>
  <c r="R77" s="1"/>
  <c r="P580"/>
  <c r="R580" s="1"/>
  <c r="P581"/>
  <c r="R581" s="1"/>
  <c r="P582"/>
  <c r="R582" s="1"/>
  <c r="P1321"/>
  <c r="R1321" s="1"/>
  <c r="P1322"/>
  <c r="R1322" s="1"/>
  <c r="P1250"/>
  <c r="R1250" s="1"/>
  <c r="P1251"/>
  <c r="R1251" s="1"/>
  <c r="P1106"/>
  <c r="R1106" s="1"/>
  <c r="R1107"/>
  <c r="P1323"/>
  <c r="R1323" s="1"/>
  <c r="P583"/>
  <c r="R583" s="1"/>
  <c r="P584"/>
  <c r="R584" s="1"/>
  <c r="P585"/>
  <c r="R585" s="1"/>
  <c r="P440"/>
  <c r="R440" s="1"/>
  <c r="P441"/>
  <c r="R441" s="1"/>
  <c r="P744"/>
  <c r="R744" s="1"/>
  <c r="P35"/>
  <c r="R35" s="1"/>
  <c r="P315"/>
  <c r="R315" s="1"/>
  <c r="P698"/>
  <c r="R698" s="1"/>
  <c r="P452"/>
  <c r="R452" s="1"/>
  <c r="P488"/>
  <c r="R488" s="1"/>
  <c r="P740"/>
  <c r="R740" s="1"/>
  <c r="P741"/>
  <c r="R741" s="1"/>
  <c r="P635"/>
  <c r="R635" s="1"/>
  <c r="P1010"/>
  <c r="R1010" s="1"/>
  <c r="P742"/>
  <c r="R742" s="1"/>
  <c r="P743"/>
  <c r="R743" s="1"/>
  <c r="P929"/>
  <c r="R929" s="1"/>
  <c r="P930"/>
  <c r="R930" s="1"/>
  <c r="P959"/>
  <c r="R959" s="1"/>
  <c r="P960"/>
  <c r="R960" s="1"/>
  <c r="P931"/>
  <c r="R931" s="1"/>
  <c r="P904"/>
  <c r="R904" s="1"/>
  <c r="P932"/>
  <c r="R932" s="1"/>
  <c r="P933"/>
  <c r="R933" s="1"/>
  <c r="P466"/>
  <c r="R466" s="1"/>
  <c r="P1330"/>
  <c r="R1330" s="1"/>
  <c r="P404"/>
  <c r="R404" s="1"/>
  <c r="P631"/>
  <c r="R631" s="1"/>
  <c r="P765"/>
  <c r="R765" s="1"/>
  <c r="P798"/>
  <c r="R798" s="1"/>
  <c r="P799"/>
  <c r="R799" s="1"/>
  <c r="P1365"/>
  <c r="R1365" s="1"/>
  <c r="P1366"/>
  <c r="R1366" s="1"/>
  <c r="P1297"/>
  <c r="R1297" s="1"/>
  <c r="P1298"/>
  <c r="R1298" s="1"/>
  <c r="P721"/>
  <c r="R721" s="1"/>
  <c r="P722"/>
  <c r="R722" s="1"/>
  <c r="P723"/>
  <c r="R723" s="1"/>
  <c r="P724"/>
  <c r="R724" s="1"/>
  <c r="P1130"/>
  <c r="R1130" s="1"/>
  <c r="P957"/>
  <c r="R957" s="1"/>
  <c r="P66"/>
  <c r="R66" s="1"/>
  <c r="P1067"/>
  <c r="R1067" s="1"/>
  <c r="P100"/>
  <c r="R100" s="1"/>
  <c r="P1029"/>
  <c r="R1029" s="1"/>
  <c r="P1310"/>
  <c r="R1310" s="1"/>
  <c r="P1311"/>
  <c r="R1311" s="1"/>
  <c r="P1299"/>
  <c r="R1299" s="1"/>
  <c r="P1300"/>
  <c r="R1300" s="1"/>
  <c r="R1301"/>
  <c r="R921"/>
  <c r="P986"/>
  <c r="R986" s="1"/>
  <c r="P560"/>
  <c r="R560" s="1"/>
  <c r="P561"/>
  <c r="R561" s="1"/>
  <c r="P766"/>
  <c r="R766" s="1"/>
  <c r="R378"/>
  <c r="R234"/>
  <c r="R1155"/>
  <c r="R1156"/>
  <c r="R1194"/>
  <c r="P1431"/>
  <c r="R1431" s="1"/>
  <c r="P1125"/>
  <c r="R1125" s="1"/>
  <c r="P1432"/>
  <c r="R1432" s="1"/>
  <c r="R1196"/>
  <c r="P1090"/>
  <c r="R1090" s="1"/>
  <c r="P182"/>
  <c r="R182" s="1"/>
  <c r="P1165"/>
  <c r="R1165" s="1"/>
  <c r="P242"/>
  <c r="R242" s="1"/>
  <c r="P1166"/>
  <c r="R1166" s="1"/>
  <c r="P165"/>
  <c r="R165" s="1"/>
  <c r="P426"/>
  <c r="R426" s="1"/>
  <c r="P513"/>
  <c r="R513" s="1"/>
  <c r="P351"/>
  <c r="R351" s="1"/>
  <c r="P1020"/>
  <c r="R1020" s="1"/>
  <c r="P1021"/>
  <c r="R1021" s="1"/>
  <c r="P1070"/>
  <c r="R1070" s="1"/>
  <c r="P1022"/>
  <c r="R1022" s="1"/>
  <c r="P458"/>
  <c r="R458" s="1"/>
  <c r="P786"/>
  <c r="R786" s="1"/>
  <c r="P623"/>
  <c r="R623" s="1"/>
  <c r="P475"/>
  <c r="R475" s="1"/>
  <c r="P1296"/>
  <c r="R1296" s="1"/>
  <c r="P1114"/>
  <c r="R1114" s="1"/>
  <c r="P1115"/>
  <c r="R1115" s="1"/>
  <c r="P427"/>
  <c r="R427" s="1"/>
  <c r="P459"/>
  <c r="R459" s="1"/>
  <c r="P1302"/>
  <c r="R1302" s="1"/>
  <c r="P1303"/>
  <c r="R1303" s="1"/>
  <c r="R1312"/>
  <c r="P987"/>
  <c r="R987" s="1"/>
  <c r="P988"/>
  <c r="R988" s="1"/>
  <c r="P1331"/>
  <c r="R1331" s="1"/>
  <c r="P1332"/>
  <c r="R1332" s="1"/>
  <c r="P692"/>
  <c r="R692" s="1"/>
  <c r="P172"/>
  <c r="R172" s="1"/>
  <c r="P173"/>
  <c r="R173" s="1"/>
  <c r="P174"/>
  <c r="R174" s="1"/>
  <c r="P42"/>
  <c r="R42" s="1"/>
  <c r="P43"/>
  <c r="R43" s="1"/>
  <c r="P220"/>
  <c r="R220" s="1"/>
  <c r="P221"/>
  <c r="R221" s="1"/>
  <c r="P1269"/>
  <c r="R1269" s="1"/>
  <c r="P1091"/>
  <c r="R1091" s="1"/>
  <c r="P179"/>
  <c r="R179" s="1"/>
  <c r="P342"/>
  <c r="R342" s="1"/>
  <c r="P166"/>
  <c r="R166" s="1"/>
  <c r="P167"/>
  <c r="R167" s="1"/>
  <c r="P168"/>
  <c r="R168" s="1"/>
  <c r="P1408"/>
  <c r="R1408" s="1"/>
  <c r="P1409"/>
  <c r="R1409" s="1"/>
  <c r="P514"/>
  <c r="R514" s="1"/>
  <c r="P352"/>
  <c r="R352" s="1"/>
  <c r="P1167"/>
  <c r="R1167" s="1"/>
  <c r="R515"/>
  <c r="P347"/>
  <c r="R347" s="1"/>
  <c r="P191"/>
  <c r="R191" s="1"/>
  <c r="R192"/>
  <c r="P193"/>
  <c r="R193" s="1"/>
  <c r="P1168"/>
  <c r="R1168" s="1"/>
  <c r="P1211"/>
  <c r="R1211" s="1"/>
  <c r="P343"/>
  <c r="R343" s="1"/>
  <c r="P183"/>
  <c r="R183" s="1"/>
  <c r="P382"/>
  <c r="R382" s="1"/>
  <c r="P1286"/>
  <c r="R1286" s="1"/>
  <c r="P383"/>
  <c r="R383" s="1"/>
  <c r="P1126"/>
  <c r="R1126" s="1"/>
  <c r="P265"/>
  <c r="R265" s="1"/>
  <c r="P1271"/>
  <c r="R1271" s="1"/>
  <c r="P184"/>
  <c r="R184" s="1"/>
  <c r="P185"/>
  <c r="R185" s="1"/>
  <c r="P187"/>
  <c r="R187" s="1"/>
  <c r="P1222"/>
  <c r="R1222" s="1"/>
  <c r="R896"/>
  <c r="P735"/>
  <c r="R735" s="1"/>
  <c r="P460"/>
  <c r="R460" s="1"/>
  <c r="P1416"/>
  <c r="R1416" s="1"/>
  <c r="P384"/>
  <c r="R384" s="1"/>
  <c r="R235"/>
  <c r="P380"/>
  <c r="R380" s="1"/>
  <c r="P419"/>
  <c r="R419" s="1"/>
  <c r="P95"/>
  <c r="R95" s="1"/>
  <c r="P148"/>
  <c r="R148" s="1"/>
  <c r="P169"/>
  <c r="R169" s="1"/>
  <c r="P1370"/>
  <c r="R1370" s="1"/>
  <c r="P188"/>
  <c r="R188" s="1"/>
  <c r="P1169"/>
  <c r="R1169" s="1"/>
  <c r="P935"/>
  <c r="R935" s="1"/>
  <c r="P936"/>
  <c r="R936" s="1"/>
  <c r="R236"/>
  <c r="R237"/>
  <c r="P1127"/>
  <c r="R1127" s="1"/>
  <c r="P266"/>
  <c r="R266" s="1"/>
  <c r="P637"/>
  <c r="R637" s="1"/>
  <c r="P638"/>
  <c r="R638" s="1"/>
  <c r="P568"/>
  <c r="R568" s="1"/>
  <c r="P243"/>
  <c r="R243" s="1"/>
  <c r="P1170"/>
  <c r="R1170" s="1"/>
  <c r="P189"/>
  <c r="R189" s="1"/>
  <c r="P44"/>
  <c r="R44" s="1"/>
  <c r="P223"/>
  <c r="R223" s="1"/>
  <c r="R1313"/>
  <c r="R1314"/>
  <c r="P693"/>
  <c r="R693" s="1"/>
  <c r="P1333"/>
  <c r="R1333" s="1"/>
  <c r="P1334"/>
  <c r="R1334" s="1"/>
  <c r="P190"/>
  <c r="R190" s="1"/>
  <c r="P534"/>
  <c r="R534" s="1"/>
  <c r="P270"/>
  <c r="R270" s="1"/>
  <c r="P1202"/>
  <c r="R1202" s="1"/>
  <c r="P949"/>
  <c r="R949" s="1"/>
  <c r="P449"/>
  <c r="R449" s="1"/>
  <c r="P207"/>
  <c r="R207" s="1"/>
  <c r="P244"/>
  <c r="R244" s="1"/>
  <c r="P245"/>
  <c r="R245" s="1"/>
  <c r="P246"/>
  <c r="R246" s="1"/>
  <c r="R238"/>
  <c r="P379"/>
  <c r="R379" s="1"/>
  <c r="P1354"/>
  <c r="R1354" s="1"/>
  <c r="P1355"/>
  <c r="R1355" s="1"/>
  <c r="P1356"/>
  <c r="R1356" s="1"/>
  <c r="P385"/>
  <c r="R385" s="1"/>
  <c r="P1357"/>
  <c r="R1357" s="1"/>
  <c r="P208"/>
  <c r="R208" s="1"/>
  <c r="P569"/>
  <c r="R569" s="1"/>
  <c r="P535"/>
  <c r="R535" s="1"/>
  <c r="P780"/>
  <c r="R780" s="1"/>
  <c r="P413"/>
  <c r="R413" s="1"/>
  <c r="P1358"/>
  <c r="R1358" s="1"/>
  <c r="P551"/>
  <c r="R551" s="1"/>
  <c r="P570"/>
  <c r="R570" s="1"/>
  <c r="R536"/>
  <c r="P781"/>
  <c r="R781" s="1"/>
  <c r="P414"/>
  <c r="R414" s="1"/>
  <c r="P415"/>
  <c r="R415" s="1"/>
  <c r="P1359"/>
  <c r="R1359" s="1"/>
  <c r="P552"/>
  <c r="R552" s="1"/>
  <c r="R553"/>
  <c r="R571"/>
  <c r="P537"/>
  <c r="R537" s="1"/>
  <c r="P538"/>
  <c r="R538" s="1"/>
  <c r="R910"/>
  <c r="P54"/>
  <c r="R54" s="1"/>
  <c r="P67"/>
  <c r="R67" s="1"/>
  <c r="P1116"/>
  <c r="R1116" s="1"/>
  <c r="P787"/>
  <c r="R787" s="1"/>
  <c r="P762"/>
  <c r="R762" s="1"/>
  <c r="P1101"/>
  <c r="R1101" s="1"/>
  <c r="P476"/>
  <c r="R476" s="1"/>
  <c r="P1131"/>
  <c r="R1131" s="1"/>
  <c r="P428"/>
  <c r="R428" s="1"/>
  <c r="P1385"/>
  <c r="R1385" s="1"/>
  <c r="P1386"/>
  <c r="R1386" s="1"/>
  <c r="P102"/>
  <c r="R102" s="1"/>
  <c r="P1272"/>
  <c r="R1272" s="1"/>
  <c r="P1273"/>
  <c r="R1273" s="1"/>
  <c r="P36"/>
  <c r="R36" s="1"/>
  <c r="R1315"/>
  <c r="R1316"/>
  <c r="P694"/>
  <c r="R694" s="1"/>
  <c r="P1274"/>
  <c r="R1274" s="1"/>
  <c r="P1259"/>
  <c r="R1259" s="1"/>
  <c r="P7"/>
  <c r="R7" s="1"/>
  <c r="P1260"/>
  <c r="R1260" s="1"/>
  <c r="P1261"/>
  <c r="R1261" s="1"/>
  <c r="P8"/>
  <c r="R8" s="1"/>
  <c r="P416"/>
  <c r="R416" s="1"/>
  <c r="P417"/>
  <c r="R417" s="1"/>
  <c r="P767"/>
  <c r="R767" s="1"/>
  <c r="P566"/>
  <c r="R566" s="1"/>
  <c r="P567"/>
  <c r="R567" s="1"/>
  <c r="R1098"/>
  <c r="P1172"/>
  <c r="R1172" s="1"/>
  <c r="R1173"/>
  <c r="P74"/>
  <c r="R74" s="1"/>
  <c r="P736"/>
  <c r="R736" s="1"/>
  <c r="P958"/>
  <c r="R958" s="1"/>
  <c r="P1102"/>
  <c r="R1102" s="1"/>
  <c r="R1317"/>
  <c r="R1318"/>
  <c r="R695"/>
  <c r="P1262"/>
  <c r="R1262" s="1"/>
  <c r="P1263"/>
  <c r="R1263" s="1"/>
  <c r="P9"/>
  <c r="R9" s="1"/>
  <c r="P1275"/>
  <c r="R1275" s="1"/>
  <c r="P1276"/>
  <c r="R1276" s="1"/>
  <c r="P10"/>
  <c r="R10" s="1"/>
  <c r="P1277"/>
  <c r="R1277" s="1"/>
  <c r="P1278"/>
  <c r="R1278" s="1"/>
  <c r="P11"/>
  <c r="R11" s="1"/>
  <c r="P1279"/>
  <c r="R1279" s="1"/>
  <c r="P1280"/>
  <c r="R1280" s="1"/>
  <c r="P37"/>
  <c r="R37" s="1"/>
  <c r="R1319"/>
  <c r="R1320"/>
  <c r="P28"/>
  <c r="R28" s="1"/>
  <c r="P1186"/>
  <c r="R1186" s="1"/>
  <c r="P795"/>
  <c r="R795" s="1"/>
  <c r="R1034"/>
  <c r="P27"/>
  <c r="R27" s="1"/>
  <c r="P1133"/>
  <c r="R1133" s="1"/>
  <c r="P590"/>
  <c r="R590" s="1"/>
  <c r="P805"/>
  <c r="R805" s="1"/>
  <c r="P806"/>
  <c r="R806" s="1"/>
  <c r="R307"/>
  <c r="P1248"/>
  <c r="R1248" s="1"/>
  <c r="P1249"/>
  <c r="R1249" s="1"/>
  <c r="P1035"/>
  <c r="R1035" s="1"/>
  <c r="P586"/>
  <c r="R586" s="1"/>
  <c r="P588"/>
  <c r="R588" s="1"/>
  <c r="R1036"/>
  <c r="P589"/>
  <c r="R589" s="1"/>
  <c r="P559"/>
  <c r="R559" s="1"/>
  <c r="P308"/>
  <c r="R308" s="1"/>
  <c r="P284"/>
  <c r="R284" s="1"/>
  <c r="P285"/>
  <c r="R285" s="1"/>
  <c r="P1037"/>
  <c r="R1037" s="1"/>
  <c r="P1281"/>
  <c r="R1281" s="1"/>
  <c r="P908"/>
  <c r="R908" s="1"/>
  <c r="P38"/>
  <c r="R38" s="1"/>
  <c r="P1287"/>
  <c r="R1287" s="1"/>
  <c r="P800"/>
  <c r="R800" s="1"/>
  <c r="P1288"/>
  <c r="R1288" s="1"/>
  <c r="R706"/>
  <c r="P170"/>
  <c r="R170" s="1"/>
  <c r="P1371"/>
  <c r="R1371" s="1"/>
  <c r="P75"/>
  <c r="R75" s="1"/>
  <c r="P1147"/>
  <c r="R1147" s="1"/>
  <c r="P782"/>
  <c r="R782" s="1"/>
  <c r="P1103"/>
  <c r="R1103" s="1"/>
  <c r="P429"/>
  <c r="R429" s="1"/>
  <c r="P1132"/>
  <c r="R1132" s="1"/>
  <c r="P29"/>
  <c r="R29" s="1"/>
  <c r="P69"/>
  <c r="R69" s="1"/>
  <c r="P1038"/>
  <c r="R1038" s="1"/>
  <c r="P39"/>
  <c r="R39" s="1"/>
  <c r="P40"/>
  <c r="R40" s="1"/>
  <c r="P41"/>
  <c r="R41" s="1"/>
  <c r="P1108"/>
  <c r="R1108" s="1"/>
  <c r="P1109"/>
  <c r="R1109" s="1"/>
  <c r="P1110"/>
  <c r="R1110" s="1"/>
  <c r="P768"/>
  <c r="R768" s="1"/>
  <c r="P1289"/>
  <c r="R1289" s="1"/>
  <c r="P682"/>
  <c r="R682" s="1"/>
  <c r="P247"/>
  <c r="R247" s="1"/>
  <c r="P754"/>
  <c r="R754" s="1"/>
  <c r="P406"/>
  <c r="R406" s="1"/>
  <c r="P737"/>
  <c r="R737" s="1"/>
  <c r="P55"/>
  <c r="R55" s="1"/>
  <c r="P769"/>
  <c r="R769" s="1"/>
  <c r="P1290"/>
  <c r="R1290" s="1"/>
  <c r="P248"/>
  <c r="R248" s="1"/>
  <c r="P210"/>
  <c r="R210" s="1"/>
  <c r="P407"/>
  <c r="R407" s="1"/>
  <c r="P467"/>
  <c r="R467" s="1"/>
  <c r="P68"/>
  <c r="R68" s="1"/>
  <c r="P26"/>
  <c r="R26" s="1"/>
  <c r="P801"/>
  <c r="R801" s="1"/>
  <c r="P1291"/>
  <c r="R1291" s="1"/>
  <c r="P211"/>
  <c r="R211" s="1"/>
  <c r="P683"/>
  <c r="R683" s="1"/>
  <c r="P1009"/>
  <c r="R1009" s="1"/>
  <c r="P1058"/>
  <c r="R1058" s="1"/>
  <c r="R1039"/>
  <c r="R1040"/>
  <c r="P386"/>
  <c r="R386" s="1"/>
  <c r="R1157"/>
  <c r="R684"/>
  <c r="R707"/>
  <c r="P1059"/>
  <c r="R1059" s="1"/>
  <c r="P1060"/>
  <c r="R1060" s="1"/>
  <c r="P76"/>
  <c r="R76" s="1"/>
  <c r="P793"/>
  <c r="R793" s="1"/>
  <c r="P794"/>
  <c r="R794" s="1"/>
  <c r="P598"/>
  <c r="R598" s="1"/>
  <c r="P70"/>
  <c r="R70" s="1"/>
  <c r="P796"/>
  <c r="R796" s="1"/>
  <c r="P387"/>
  <c r="R387" s="1"/>
  <c r="R1158"/>
  <c r="R708"/>
  <c r="R709"/>
  <c r="P1061"/>
  <c r="R1061" s="1"/>
  <c r="P612"/>
  <c r="R612" s="1"/>
  <c r="P101"/>
  <c r="R101" s="1"/>
  <c r="P151"/>
  <c r="R151" s="1"/>
  <c r="P71"/>
  <c r="R71" s="1"/>
  <c r="R72"/>
  <c r="P388"/>
  <c r="R388" s="1"/>
  <c r="R1159"/>
  <c r="P1360"/>
  <c r="R1360" s="1"/>
  <c r="P1361"/>
  <c r="R1361" s="1"/>
  <c r="P613"/>
  <c r="R613" s="1"/>
  <c r="P642"/>
  <c r="R642" s="1"/>
  <c r="P1074"/>
  <c r="R1074" s="1"/>
  <c r="P519"/>
  <c r="R519" s="1"/>
  <c r="P797"/>
  <c r="R797" s="1"/>
  <c r="R1041"/>
  <c r="P562"/>
  <c r="R562" s="1"/>
  <c r="R1160"/>
  <c r="R710"/>
  <c r="P1099"/>
  <c r="R1099" s="1"/>
  <c r="P1023"/>
  <c r="R1023" s="1"/>
  <c r="P1071"/>
  <c r="R1071" s="1"/>
  <c r="P563"/>
  <c r="R563" s="1"/>
  <c r="R1161"/>
  <c r="P1305"/>
  <c r="R1305" s="1"/>
  <c r="P154"/>
  <c r="R154" s="1"/>
  <c r="P1024"/>
  <c r="R1024" s="1"/>
  <c r="P1025"/>
  <c r="R1025" s="1"/>
  <c r="P445"/>
  <c r="R445" s="1"/>
  <c r="R1042"/>
  <c r="P852"/>
  <c r="R852" s="1"/>
  <c r="P845"/>
  <c r="R845" s="1"/>
  <c r="P853"/>
  <c r="R853" s="1"/>
  <c r="P846"/>
  <c r="R846" s="1"/>
  <c r="P854"/>
  <c r="R854" s="1"/>
  <c r="P847"/>
  <c r="R847" s="1"/>
  <c r="R564"/>
  <c r="P99"/>
  <c r="R99" s="1"/>
  <c r="P1072"/>
  <c r="R1072" s="1"/>
  <c r="P989"/>
  <c r="R989" s="1"/>
  <c r="P520"/>
  <c r="R520" s="1"/>
  <c r="P977"/>
  <c r="R977" s="1"/>
  <c r="P978"/>
  <c r="R978" s="1"/>
  <c r="R21"/>
  <c r="P979"/>
  <c r="R979" s="1"/>
  <c r="P915"/>
  <c r="R915" s="1"/>
  <c r="P969"/>
  <c r="R969" s="1"/>
  <c r="P970"/>
  <c r="R970" s="1"/>
  <c r="P971"/>
  <c r="R971" s="1"/>
  <c r="P972"/>
  <c r="R972" s="1"/>
  <c r="R1146"/>
  <c r="P916"/>
  <c r="R916" s="1"/>
  <c r="P917"/>
  <c r="R917" s="1"/>
  <c r="P918"/>
  <c r="R918" s="1"/>
  <c r="P980"/>
  <c r="R980" s="1"/>
  <c r="P981"/>
  <c r="R981" s="1"/>
  <c r="P982"/>
  <c r="R982" s="1"/>
  <c r="P983"/>
  <c r="R983" s="1"/>
  <c r="R1162"/>
  <c r="P565"/>
  <c r="R565" s="1"/>
  <c r="P1032"/>
  <c r="R1032" s="1"/>
  <c r="P546"/>
  <c r="R546" s="1"/>
  <c r="R669"/>
  <c r="R516"/>
  <c r="R517"/>
  <c r="P353"/>
  <c r="R353" s="1"/>
  <c r="P855"/>
  <c r="R855" s="1"/>
  <c r="P856"/>
  <c r="R856" s="1"/>
  <c r="P103"/>
  <c r="R103" s="1"/>
  <c r="P390"/>
  <c r="R390" s="1"/>
  <c r="P730"/>
  <c r="R730" s="1"/>
  <c r="P731"/>
  <c r="R731" s="1"/>
  <c r="R391"/>
  <c r="P1377"/>
  <c r="R1377" s="1"/>
  <c r="P1378"/>
  <c r="R1378" s="1"/>
  <c r="P1387"/>
  <c r="R1387" s="1"/>
  <c r="P1388"/>
  <c r="R1388" s="1"/>
  <c r="P825"/>
  <c r="R825" s="1"/>
  <c r="P826"/>
  <c r="R826" s="1"/>
  <c r="P827"/>
  <c r="R827" s="1"/>
  <c r="P828"/>
  <c r="R828" s="1"/>
  <c r="P829"/>
  <c r="R829" s="1"/>
  <c r="P830"/>
  <c r="R830" s="1"/>
  <c r="P831"/>
  <c r="R831" s="1"/>
  <c r="P587"/>
  <c r="R587" s="1"/>
  <c r="P1174"/>
  <c r="R1174" s="1"/>
  <c r="P209"/>
  <c r="R209" s="1"/>
  <c r="P418"/>
  <c r="R418" s="1"/>
  <c r="P297"/>
  <c r="R297" s="1"/>
  <c r="P1104"/>
  <c r="R1104" s="1"/>
  <c r="P990"/>
  <c r="R990" s="1"/>
  <c r="P991"/>
  <c r="R991" s="1"/>
  <c r="P984"/>
  <c r="R984" s="1"/>
  <c r="P614"/>
  <c r="R614" s="1"/>
  <c r="P547"/>
  <c r="R547" s="1"/>
  <c r="P457"/>
  <c r="R457" s="1"/>
  <c r="P674"/>
  <c r="R674" s="1"/>
  <c r="P823"/>
  <c r="R823" s="1"/>
  <c r="R919"/>
  <c r="P832"/>
  <c r="R832" s="1"/>
  <c r="P833"/>
  <c r="R833" s="1"/>
  <c r="P446"/>
  <c r="R446" s="1"/>
  <c r="P992"/>
  <c r="R992" s="1"/>
  <c r="P633"/>
  <c r="R633" s="1"/>
  <c r="P286"/>
  <c r="R286" s="1"/>
  <c r="P1395"/>
  <c r="R1395" s="1"/>
  <c r="P62"/>
  <c r="R62" s="1"/>
  <c r="P834"/>
  <c r="R834" s="1"/>
  <c r="P835"/>
  <c r="R835" s="1"/>
  <c r="P696"/>
  <c r="R696" s="1"/>
  <c r="P697"/>
  <c r="R697" s="1"/>
  <c r="P752"/>
  <c r="R752" s="1"/>
  <c r="P702"/>
  <c r="R702" s="1"/>
  <c r="R703"/>
  <c r="R788"/>
  <c r="P905"/>
  <c r="R905" s="1"/>
  <c r="P906"/>
  <c r="R906" s="1"/>
  <c r="P961"/>
  <c r="R961" s="1"/>
  <c r="P602"/>
  <c r="R602" s="1"/>
  <c r="P1292"/>
  <c r="R1292" s="1"/>
  <c r="P150"/>
  <c r="R150" s="1"/>
  <c r="P548"/>
  <c r="R548" s="1"/>
  <c r="P296"/>
  <c r="R296" s="1"/>
  <c r="P294"/>
  <c r="R294" s="1"/>
  <c r="P1306"/>
  <c r="R1306" s="1"/>
  <c r="P836"/>
  <c r="R836" s="1"/>
  <c r="P837"/>
  <c r="R837" s="1"/>
  <c r="P789"/>
  <c r="R789" s="1"/>
  <c r="R790"/>
  <c r="P838"/>
  <c r="R838" s="1"/>
  <c r="P839"/>
  <c r="R839" s="1"/>
  <c r="P791"/>
  <c r="R791" s="1"/>
  <c r="P792"/>
  <c r="R792" s="1"/>
  <c r="P1093"/>
  <c r="R1093" s="1"/>
  <c r="P1307"/>
  <c r="R1307" s="1"/>
  <c r="R549"/>
  <c r="P1414"/>
  <c r="R1414" s="1"/>
  <c r="P295"/>
  <c r="R295" s="1"/>
  <c r="P317"/>
  <c r="R317" s="1"/>
  <c r="P824"/>
  <c r="R824" s="1"/>
  <c r="P1308"/>
  <c r="R1308" s="1"/>
  <c r="P819"/>
  <c r="R819" s="1"/>
  <c r="P162"/>
  <c r="R162" s="1"/>
  <c r="P1309"/>
  <c r="R1309" s="1"/>
  <c r="P1016"/>
  <c r="R1016" s="1"/>
  <c r="P1017"/>
  <c r="R1017" s="1"/>
  <c r="P163"/>
  <c r="R163" s="1"/>
  <c r="P455"/>
  <c r="R455" s="1"/>
  <c r="P164"/>
  <c r="R164" s="1"/>
  <c r="P1406"/>
  <c r="R1406" s="1"/>
  <c r="P456"/>
  <c r="R456" s="1"/>
  <c r="P1293"/>
  <c r="R1293" s="1"/>
  <c r="R937"/>
  <c r="P1294"/>
  <c r="R1294" s="1"/>
  <c r="P1068"/>
  <c r="R1068" s="1"/>
  <c r="P1295"/>
  <c r="R1295" s="1"/>
  <c r="P1018"/>
  <c r="R1018" s="1"/>
  <c r="P938"/>
  <c r="R938" s="1"/>
  <c r="P1019"/>
  <c r="R1019" s="1"/>
  <c r="P5"/>
  <c r="R5" s="1"/>
  <c r="P410"/>
  <c r="R410" s="1"/>
  <c r="P844"/>
  <c r="R844" s="1"/>
  <c r="P840"/>
  <c r="R840" s="1"/>
  <c r="P1105"/>
  <c r="R1105" s="1"/>
  <c r="P1100"/>
  <c r="R1100" s="1"/>
  <c r="P411"/>
  <c r="R411" s="1"/>
  <c r="P711"/>
  <c r="R711" s="1"/>
  <c r="P412"/>
  <c r="R412" s="1"/>
  <c r="P381"/>
  <c r="R381" s="1"/>
  <c r="P239"/>
  <c r="R239" s="1"/>
  <c r="P704"/>
  <c r="R704" s="1"/>
  <c r="P267"/>
  <c r="R267" s="1"/>
  <c r="P268"/>
  <c r="R268" s="1"/>
  <c r="P4"/>
  <c r="R4" s="1"/>
  <c r="P687"/>
  <c r="R687" s="1"/>
  <c r="R688"/>
  <c r="P689"/>
  <c r="R689" s="1"/>
  <c r="P714"/>
  <c r="R714" s="1"/>
  <c r="P715"/>
  <c r="R715" s="1"/>
  <c r="P841"/>
  <c r="R841" s="1"/>
  <c r="P842"/>
  <c r="R842" s="1"/>
  <c r="P843"/>
  <c r="R843" s="1"/>
  <c r="P996"/>
  <c r="R996" s="1"/>
  <c r="P84"/>
  <c r="R84" s="1"/>
  <c r="P85"/>
  <c r="R85" s="1"/>
  <c r="P857"/>
  <c r="R857" s="1"/>
  <c r="P815"/>
  <c r="R815" s="1"/>
  <c r="R934"/>
  <c r="P46"/>
  <c r="R46" s="1"/>
  <c r="P430"/>
  <c r="R430" s="1"/>
  <c r="P14"/>
  <c r="R14" s="1"/>
  <c r="P1117"/>
  <c r="R1117" s="1"/>
  <c r="P997"/>
  <c r="R997" s="1"/>
  <c r="P603"/>
  <c r="R603" s="1"/>
  <c r="R998"/>
  <c r="P632"/>
  <c r="R632" s="1"/>
  <c r="P1124"/>
  <c r="R1124" s="1"/>
  <c r="P1407"/>
  <c r="R1407" s="1"/>
  <c r="P490"/>
  <c r="R490" s="1"/>
  <c r="R920"/>
  <c r="P1396"/>
  <c r="R1396" s="1"/>
  <c r="P909"/>
  <c r="R909" s="1"/>
  <c r="P1004"/>
  <c r="R1004" s="1"/>
  <c r="P1005"/>
  <c r="R1005" s="1"/>
  <c r="R968"/>
  <c r="P858"/>
  <c r="R858" s="1"/>
  <c r="P859"/>
  <c r="R859" s="1"/>
  <c r="P860"/>
  <c r="R860" s="1"/>
  <c r="P861"/>
  <c r="R861" s="1"/>
  <c r="P862"/>
  <c r="R862" s="1"/>
  <c r="P863"/>
  <c r="R863" s="1"/>
  <c r="P864"/>
  <c r="R864" s="1"/>
  <c r="P865"/>
  <c r="R865" s="1"/>
  <c r="P866"/>
  <c r="R866" s="1"/>
  <c r="P867"/>
  <c r="R867" s="1"/>
  <c r="P868"/>
  <c r="R868" s="1"/>
  <c r="P869"/>
  <c r="R869" s="1"/>
  <c r="P870"/>
  <c r="R870" s="1"/>
  <c r="P871"/>
  <c r="R871" s="1"/>
  <c r="P872"/>
  <c r="R872" s="1"/>
  <c r="P873"/>
  <c r="R873" s="1"/>
  <c r="P874"/>
  <c r="R874" s="1"/>
  <c r="P875"/>
  <c r="R875" s="1"/>
  <c r="P876"/>
  <c r="R876" s="1"/>
  <c r="P354"/>
  <c r="R354" s="1"/>
  <c r="P355"/>
  <c r="R355" s="1"/>
  <c r="P356"/>
  <c r="R356" s="1"/>
  <c r="P357"/>
  <c r="R357" s="1"/>
  <c r="P358"/>
  <c r="R358" s="1"/>
  <c r="P359"/>
  <c r="R359" s="1"/>
  <c r="P360"/>
  <c r="R360" s="1"/>
  <c r="P361"/>
  <c r="R361" s="1"/>
  <c r="P362"/>
  <c r="R362" s="1"/>
  <c r="P363"/>
  <c r="R363" s="1"/>
  <c r="P364"/>
  <c r="R364" s="1"/>
  <c r="P365"/>
  <c r="R365" s="1"/>
  <c r="P366"/>
  <c r="R366" s="1"/>
  <c r="P367"/>
  <c r="R367" s="1"/>
  <c r="P368"/>
  <c r="R368" s="1"/>
  <c r="P369"/>
  <c r="R369" s="1"/>
  <c r="P675"/>
  <c r="R675" s="1"/>
  <c r="P676"/>
  <c r="R676" s="1"/>
  <c r="P677"/>
  <c r="R677" s="1"/>
  <c r="P678"/>
  <c r="R678" s="1"/>
  <c r="P679"/>
  <c r="R679" s="1"/>
  <c r="P156"/>
  <c r="R156" s="1"/>
  <c r="P157"/>
  <c r="R157" s="1"/>
  <c r="P158"/>
  <c r="R158" s="1"/>
  <c r="P159"/>
  <c r="R159" s="1"/>
  <c r="P160"/>
  <c r="R160" s="1"/>
  <c r="P161"/>
  <c r="R161" s="1"/>
  <c r="P321"/>
  <c r="R321" s="1"/>
  <c r="P322"/>
  <c r="R322" s="1"/>
  <c r="P494"/>
  <c r="R494" s="1"/>
  <c r="P495"/>
  <c r="R495" s="1"/>
  <c r="P646"/>
  <c r="R646" s="1"/>
  <c r="P647"/>
  <c r="R647" s="1"/>
  <c r="P807"/>
  <c r="R807" s="1"/>
  <c r="P808"/>
  <c r="R808" s="1"/>
  <c r="P323"/>
  <c r="R323" s="1"/>
  <c r="P324"/>
  <c r="R324" s="1"/>
  <c r="P496"/>
  <c r="R496" s="1"/>
  <c r="P497"/>
  <c r="R497" s="1"/>
  <c r="P648"/>
  <c r="R648" s="1"/>
  <c r="P649"/>
  <c r="R649" s="1"/>
  <c r="P809"/>
  <c r="R809" s="1"/>
  <c r="P810"/>
  <c r="R810" s="1"/>
  <c r="P325"/>
  <c r="R325" s="1"/>
  <c r="P326"/>
  <c r="R326" s="1"/>
  <c r="P498"/>
  <c r="R498" s="1"/>
  <c r="P499"/>
  <c r="R499" s="1"/>
  <c r="P650"/>
  <c r="R650" s="1"/>
  <c r="P651"/>
  <c r="R651" s="1"/>
  <c r="P1079"/>
  <c r="R1079" s="1"/>
  <c r="P1080"/>
  <c r="R1080" s="1"/>
  <c r="P327"/>
  <c r="R327" s="1"/>
  <c r="P328"/>
  <c r="R328" s="1"/>
  <c r="P500"/>
  <c r="R500" s="1"/>
  <c r="P501"/>
  <c r="R501" s="1"/>
  <c r="P652"/>
  <c r="R652" s="1"/>
  <c r="P653"/>
  <c r="R653" s="1"/>
  <c r="P811"/>
  <c r="R811" s="1"/>
  <c r="P812"/>
  <c r="R812" s="1"/>
  <c r="P813"/>
  <c r="R813" s="1"/>
  <c r="P814"/>
  <c r="R814" s="1"/>
  <c r="P1081"/>
  <c r="R1081" s="1"/>
  <c r="P1082"/>
  <c r="R1082" s="1"/>
  <c r="P329"/>
  <c r="R329" s="1"/>
  <c r="P330"/>
  <c r="R330" s="1"/>
  <c r="R502"/>
  <c r="P1118"/>
  <c r="R1118" s="1"/>
  <c r="P431"/>
  <c r="R431" s="1"/>
  <c r="P1119"/>
  <c r="R1119" s="1"/>
  <c r="P1120"/>
  <c r="R1120" s="1"/>
  <c r="P432"/>
  <c r="R432" s="1"/>
  <c r="P1121"/>
  <c r="R1121" s="1"/>
  <c r="P1122"/>
  <c r="R1122" s="1"/>
  <c r="P433"/>
  <c r="R433" s="1"/>
  <c r="P521"/>
  <c r="R521" s="1"/>
  <c r="P461"/>
  <c r="R461" s="1"/>
  <c r="P464"/>
  <c r="R464" s="1"/>
  <c r="P615"/>
  <c r="R615" s="1"/>
  <c r="P462"/>
  <c r="R462" s="1"/>
  <c r="P617"/>
  <c r="R617" s="1"/>
  <c r="R463"/>
  <c r="P616"/>
  <c r="R616" s="1"/>
  <c r="P774"/>
  <c r="R774" s="1"/>
  <c r="P522"/>
  <c r="R522" s="1"/>
  <c r="P671"/>
  <c r="R671" s="1"/>
  <c r="P775"/>
  <c r="R775" s="1"/>
  <c r="P523"/>
  <c r="R523" s="1"/>
  <c r="P524"/>
  <c r="R524" s="1"/>
  <c r="P110"/>
  <c r="R110" s="1"/>
  <c r="P525"/>
  <c r="R525" s="1"/>
  <c r="P526"/>
  <c r="R526" s="1"/>
  <c r="P196"/>
  <c r="R196" s="1"/>
  <c r="P672"/>
  <c r="R672" s="1"/>
  <c r="P527"/>
  <c r="R527" s="1"/>
  <c r="P197"/>
  <c r="R197" s="1"/>
  <c r="P673"/>
  <c r="R673" s="1"/>
  <c r="P528"/>
  <c r="R528" s="1"/>
  <c r="P111"/>
  <c r="R111" s="1"/>
  <c r="P1123"/>
  <c r="R1123" s="1"/>
  <c r="P389"/>
  <c r="R389" s="1"/>
  <c r="P434"/>
  <c r="R434" s="1"/>
  <c r="P13"/>
  <c r="R13" s="1"/>
  <c r="P400"/>
  <c r="R400" s="1"/>
  <c r="P271"/>
  <c r="R271" s="1"/>
  <c r="P30"/>
  <c r="R30" s="1"/>
  <c r="P1049"/>
  <c r="R1049" s="1"/>
  <c r="P31"/>
  <c r="R31" s="1"/>
  <c r="P599"/>
  <c r="R599" s="1"/>
  <c r="P624"/>
  <c r="R624" s="1"/>
  <c r="P625"/>
  <c r="R625" s="1"/>
  <c r="P1030"/>
  <c r="R1030" s="1"/>
  <c r="P1031"/>
  <c r="R1031" s="1"/>
  <c r="P1075"/>
  <c r="R1075" s="1"/>
  <c r="P1234"/>
  <c r="R1234" s="1"/>
  <c r="P1235"/>
  <c r="R1235" s="1"/>
  <c r="P1236"/>
  <c r="R1236" s="1"/>
  <c r="P435"/>
  <c r="R435" s="1"/>
  <c r="P397"/>
  <c r="R397" s="1"/>
  <c r="P894"/>
  <c r="R894" s="1"/>
  <c r="P1111"/>
  <c r="R1111" s="1"/>
  <c r="P1128"/>
  <c r="R1128" s="1"/>
  <c r="P222"/>
  <c r="R222" s="1"/>
  <c r="P269"/>
  <c r="R269" s="1"/>
  <c r="P12"/>
  <c r="R12" s="1"/>
  <c r="P895"/>
  <c r="R895" s="1"/>
  <c r="P22"/>
  <c r="R22" s="1"/>
  <c r="P23"/>
  <c r="R23" s="1"/>
  <c r="P705"/>
  <c r="R705" s="1"/>
  <c r="P753"/>
  <c r="R753" s="1"/>
  <c r="P778"/>
  <c r="R778" s="1"/>
  <c r="P24"/>
  <c r="R24" s="1"/>
  <c r="P25"/>
  <c r="R25" s="1"/>
  <c r="P63"/>
  <c r="R63" s="1"/>
  <c r="P64"/>
  <c r="R64" s="1"/>
  <c r="P950"/>
  <c r="R950" s="1"/>
  <c r="P47"/>
  <c r="R47" s="1"/>
  <c r="P951"/>
  <c r="R951" s="1"/>
  <c r="P48"/>
  <c r="R48" s="1"/>
  <c r="P1394"/>
  <c r="R1394" s="1"/>
  <c r="R1418"/>
  <c r="R1419"/>
  <c r="R1420"/>
  <c r="R1421"/>
  <c r="R1422"/>
  <c r="R1423"/>
  <c r="R1424"/>
  <c r="R1425"/>
  <c r="R1426"/>
  <c r="R1427"/>
  <c r="R1428"/>
  <c r="R1429"/>
  <c r="R1433"/>
  <c r="P11" i="65"/>
  <c r="P12"/>
  <c r="P13"/>
  <c r="O11"/>
  <c r="O12"/>
  <c r="O13"/>
  <c r="N11"/>
  <c r="N12"/>
  <c r="N13"/>
  <c r="M11"/>
  <c r="M12"/>
  <c r="M13"/>
  <c r="L11"/>
  <c r="L12"/>
  <c r="L13"/>
  <c r="K11"/>
  <c r="K12"/>
  <c r="K13"/>
  <c r="J2"/>
  <c r="V2" s="1"/>
  <c r="J3"/>
  <c r="V3" s="1"/>
  <c r="J4"/>
  <c r="V4" s="1"/>
  <c r="J5"/>
  <c r="V5" s="1"/>
  <c r="J6"/>
  <c r="V6" s="1"/>
  <c r="J7"/>
  <c r="V7" s="1"/>
  <c r="J8"/>
  <c r="V8" s="1"/>
  <c r="J9"/>
  <c r="V9" s="1"/>
  <c r="J10"/>
  <c r="V10" s="1"/>
  <c r="J11"/>
  <c r="V11" s="1"/>
  <c r="J12"/>
  <c r="V12" s="1"/>
  <c r="J13"/>
  <c r="V13" s="1"/>
  <c r="I2"/>
  <c r="U2" s="1"/>
  <c r="I3"/>
  <c r="U3" s="1"/>
  <c r="I4"/>
  <c r="U4" s="1"/>
  <c r="I5"/>
  <c r="U5" s="1"/>
  <c r="I6"/>
  <c r="U6" s="1"/>
  <c r="I7"/>
  <c r="U7" s="1"/>
  <c r="I8"/>
  <c r="U8" s="1"/>
  <c r="I9"/>
  <c r="U9" s="1"/>
  <c r="I10"/>
  <c r="U10" s="1"/>
  <c r="I11"/>
  <c r="U11" s="1"/>
  <c r="I12"/>
  <c r="U12" s="1"/>
  <c r="I13"/>
  <c r="U13" s="1"/>
  <c r="H2"/>
  <c r="T2" s="1"/>
  <c r="H3"/>
  <c r="T3" s="1"/>
  <c r="H4"/>
  <c r="T4" s="1"/>
  <c r="H5"/>
  <c r="T5" s="1"/>
  <c r="H6"/>
  <c r="T6" s="1"/>
  <c r="H7"/>
  <c r="T7" s="1"/>
  <c r="H8"/>
  <c r="T8" s="1"/>
  <c r="H9"/>
  <c r="T9" s="1"/>
  <c r="H10"/>
  <c r="T10" s="1"/>
  <c r="H11"/>
  <c r="T11" s="1"/>
  <c r="H12"/>
  <c r="T12" s="1"/>
  <c r="H13"/>
  <c r="T13" s="1"/>
  <c r="G2"/>
  <c r="S2" s="1"/>
  <c r="G3"/>
  <c r="S3" s="1"/>
  <c r="G4"/>
  <c r="S4" s="1"/>
  <c r="G5"/>
  <c r="S5" s="1"/>
  <c r="G6"/>
  <c r="S6" s="1"/>
  <c r="G7"/>
  <c r="S7" s="1"/>
  <c r="G8"/>
  <c r="S8" s="1"/>
  <c r="G9"/>
  <c r="S9" s="1"/>
  <c r="G10"/>
  <c r="S10" s="1"/>
  <c r="G11"/>
  <c r="S11" s="1"/>
  <c r="G12"/>
  <c r="S12" s="1"/>
  <c r="G13"/>
  <c r="S13" s="1"/>
  <c r="F2"/>
  <c r="R2" s="1"/>
  <c r="F3"/>
  <c r="R3" s="1"/>
  <c r="F4"/>
  <c r="R4" s="1"/>
  <c r="F5"/>
  <c r="R5" s="1"/>
  <c r="F6"/>
  <c r="R6" s="1"/>
  <c r="F7"/>
  <c r="R7" s="1"/>
  <c r="F8"/>
  <c r="R8" s="1"/>
  <c r="F9"/>
  <c r="R9" s="1"/>
  <c r="F10"/>
  <c r="R10" s="1"/>
  <c r="F11"/>
  <c r="R11" s="1"/>
  <c r="F12"/>
  <c r="R12" s="1"/>
  <c r="F13"/>
  <c r="R13" s="1"/>
  <c r="E2"/>
  <c r="Q2" s="1"/>
  <c r="E3"/>
  <c r="Q3" s="1"/>
  <c r="E4"/>
  <c r="Q4" s="1"/>
  <c r="E5"/>
  <c r="Q5" s="1"/>
  <c r="E6"/>
  <c r="Q6" s="1"/>
  <c r="E7"/>
  <c r="Q7" s="1"/>
  <c r="E8"/>
  <c r="Q8" s="1"/>
  <c r="E9"/>
  <c r="Q9" s="1"/>
  <c r="E10"/>
  <c r="Q10" s="1"/>
  <c r="E11"/>
  <c r="Q11" s="1"/>
  <c r="E12"/>
  <c r="Q12" s="1"/>
  <c r="E13"/>
  <c r="Q13" s="1"/>
  <c r="AI1205" i="5"/>
  <c r="AK1205" s="1"/>
  <c r="AI175"/>
  <c r="AK175" s="1"/>
  <c r="AI1006"/>
  <c r="AK1006" s="1"/>
  <c r="AI1053"/>
  <c r="AK1053" s="1"/>
  <c r="AI1054"/>
  <c r="AK1054" s="1"/>
  <c r="AI507"/>
  <c r="AK507" s="1"/>
  <c r="AI658"/>
  <c r="AK658" s="1"/>
  <c r="AI659"/>
  <c r="AK659" s="1"/>
  <c r="AI335"/>
  <c r="AK335" s="1"/>
  <c r="AI779"/>
  <c r="AK779" s="1"/>
  <c r="AI278"/>
  <c r="AK278" s="1"/>
  <c r="AI176"/>
  <c r="AK176" s="1"/>
  <c r="AI177"/>
  <c r="AK177" s="1"/>
  <c r="AI178"/>
  <c r="AK178" s="1"/>
  <c r="AI1055"/>
  <c r="AK1055" s="1"/>
  <c r="AI1056"/>
  <c r="AK1056" s="1"/>
  <c r="AI1057"/>
  <c r="AK1057" s="1"/>
  <c r="AI228"/>
  <c r="AK228" s="1"/>
  <c r="AI229"/>
  <c r="AK229" s="1"/>
  <c r="AI338"/>
  <c r="AK338" s="1"/>
  <c r="AI339"/>
  <c r="AK339" s="1"/>
  <c r="AI340"/>
  <c r="AK340" s="1"/>
  <c r="AI341"/>
  <c r="AK341" s="1"/>
  <c r="AI663"/>
  <c r="AK663" s="1"/>
  <c r="AI1266"/>
  <c r="AK1266" s="1"/>
  <c r="AI1267"/>
  <c r="AK1267" s="1"/>
  <c r="AI230"/>
  <c r="AK230" s="1"/>
  <c r="AI1264"/>
  <c r="AK1264" s="1"/>
  <c r="AI1012"/>
  <c r="AK1012" s="1"/>
  <c r="AI1013"/>
  <c r="AK1013" s="1"/>
  <c r="AI1066"/>
  <c r="AK1066" s="1"/>
  <c r="AI279"/>
  <c r="AK279" s="1"/>
  <c r="AI86"/>
  <c r="AK86" s="1"/>
  <c r="AI87"/>
  <c r="AK87" s="1"/>
  <c r="AI139"/>
  <c r="AK139" s="1"/>
  <c r="AI280"/>
  <c r="AK280" s="1"/>
  <c r="AI96"/>
  <c r="AK96" s="1"/>
  <c r="AI97"/>
  <c r="AK97" s="1"/>
  <c r="AI241"/>
  <c r="AK241" s="1"/>
  <c r="AI344"/>
  <c r="AK344" s="1"/>
  <c r="AI667"/>
  <c r="AK667" s="1"/>
  <c r="AI337"/>
  <c r="AK337" s="1"/>
  <c r="AI510"/>
  <c r="AK510" s="1"/>
  <c r="AI281"/>
  <c r="AK281" s="1"/>
  <c r="AI298"/>
  <c r="AK298" s="1"/>
  <c r="AI405"/>
  <c r="AK405" s="1"/>
  <c r="AI529"/>
  <c r="AK529" s="1"/>
  <c r="AI530"/>
  <c r="AK530" s="1"/>
  <c r="AI531"/>
  <c r="AK531" s="1"/>
  <c r="AI532"/>
  <c r="AK532" s="1"/>
  <c r="AI716"/>
  <c r="AK716" s="1"/>
  <c r="AI712"/>
  <c r="AK712" s="1"/>
  <c r="AI713"/>
  <c r="AK713" s="1"/>
  <c r="AI685"/>
  <c r="AK685" s="1"/>
  <c r="AI686"/>
  <c r="AK686" s="1"/>
  <c r="AI422"/>
  <c r="AK422" s="1"/>
  <c r="AI423"/>
  <c r="AK423" s="1"/>
  <c r="AI424"/>
  <c r="AK424" s="1"/>
  <c r="AI533"/>
  <c r="AK533" s="1"/>
  <c r="AI348"/>
  <c r="AK348" s="1"/>
  <c r="AI349"/>
  <c r="AK349" s="1"/>
  <c r="AI350"/>
  <c r="AK350" s="1"/>
  <c r="AI1413"/>
  <c r="AK1413" s="1"/>
  <c r="AI511"/>
  <c r="AK511" s="1"/>
  <c r="AI480"/>
  <c r="AK480" s="1"/>
  <c r="AI18"/>
  <c r="AK18" s="1"/>
  <c r="AI56"/>
  <c r="AK56" s="1"/>
  <c r="AI16"/>
  <c r="AK16" s="1"/>
  <c r="AI1134"/>
  <c r="AK1134" s="1"/>
  <c r="AI758"/>
  <c r="AK758" s="1"/>
  <c r="AI1150"/>
  <c r="AK1150" s="1"/>
  <c r="AI594"/>
  <c r="AK594" s="1"/>
  <c r="AI301"/>
  <c r="AK301" s="1"/>
  <c r="AI993"/>
  <c r="AK993" s="1"/>
  <c r="AI1350"/>
  <c r="AK1350" s="1"/>
  <c r="AI302"/>
  <c r="AK302" s="1"/>
  <c r="AI772"/>
  <c r="AK772" s="1"/>
  <c r="AI1026"/>
  <c r="AK1026" s="1"/>
  <c r="AI755"/>
  <c r="AK755" s="1"/>
  <c r="AI756"/>
  <c r="AK756" s="1"/>
  <c r="AI1148"/>
  <c r="AK1148" s="1"/>
  <c r="AI1149"/>
  <c r="AK1149" s="1"/>
  <c r="AI468"/>
  <c r="AK468" s="1"/>
  <c r="AI1027"/>
  <c r="AK1027" s="1"/>
  <c r="AI1219"/>
  <c r="AK1219" s="1"/>
  <c r="AI1220"/>
  <c r="AK1220" s="1"/>
  <c r="AI50"/>
  <c r="AK50" s="1"/>
  <c r="AI954"/>
  <c r="AK954" s="1"/>
  <c r="AI19"/>
  <c r="AK19" s="1"/>
  <c r="AI57"/>
  <c r="AK57" s="1"/>
  <c r="AI469"/>
  <c r="AK469" s="1"/>
  <c r="AI470"/>
  <c r="AK470" s="1"/>
  <c r="AI1398"/>
  <c r="AK1398" s="1"/>
  <c r="AI1399"/>
  <c r="AK1399" s="1"/>
  <c r="AI92"/>
  <c r="AK92" s="1"/>
  <c r="AI1335"/>
  <c r="AK1335" s="1"/>
  <c r="AI1076"/>
  <c r="AK1076" s="1"/>
  <c r="AI1397"/>
  <c r="AK1397" s="1"/>
  <c r="AI142"/>
  <c r="AK142" s="1"/>
  <c r="AI89"/>
  <c r="AK89" s="1"/>
  <c r="AI93"/>
  <c r="AK93" s="1"/>
  <c r="AI1336"/>
  <c r="AK1336" s="1"/>
  <c r="AI1337"/>
  <c r="AK1337" s="1"/>
  <c r="AI1338"/>
  <c r="AK1338" s="1"/>
  <c r="AI725"/>
  <c r="AK725" s="1"/>
  <c r="AI726"/>
  <c r="AK726" s="1"/>
  <c r="AI727"/>
  <c r="AK727" s="1"/>
  <c r="AI1008"/>
  <c r="AK1008" s="1"/>
  <c r="AI1270"/>
  <c r="AK1270" s="1"/>
  <c r="AI770"/>
  <c r="AK770" s="1"/>
  <c r="AI1268"/>
  <c r="AK1268" s="1"/>
  <c r="AI1282"/>
  <c r="AK1282" s="1"/>
  <c r="AI1283"/>
  <c r="AK1283" s="1"/>
  <c r="AI1284"/>
  <c r="AK1284" s="1"/>
  <c r="AI1285"/>
  <c r="AK1285" s="1"/>
  <c r="AI1265"/>
  <c r="AK1265" s="1"/>
  <c r="AI609"/>
  <c r="AK609" s="1"/>
  <c r="AI640"/>
  <c r="AK640" s="1"/>
  <c r="AI292"/>
  <c r="AK292" s="1"/>
  <c r="AI293"/>
  <c r="AK293" s="1"/>
  <c r="AI202"/>
  <c r="AK202" s="1"/>
  <c r="AI664"/>
  <c r="AK664" s="1"/>
  <c r="AI336"/>
  <c r="AK336" s="1"/>
  <c r="AI508"/>
  <c r="AK508" s="1"/>
  <c r="AI509"/>
  <c r="AK509" s="1"/>
  <c r="AI665"/>
  <c r="AK665" s="1"/>
  <c r="AI666"/>
  <c r="AK666" s="1"/>
  <c r="AI1209"/>
  <c r="AK1209" s="1"/>
  <c r="AI1210"/>
  <c r="AK1210" s="1"/>
  <c r="AI203"/>
  <c r="AK203" s="1"/>
  <c r="AI204"/>
  <c r="AK204" s="1"/>
  <c r="AI1011"/>
  <c r="AK1011" s="1"/>
  <c r="AI1063"/>
  <c r="AK1063" s="1"/>
  <c r="AI1064"/>
  <c r="AK1064" s="1"/>
  <c r="AI662"/>
  <c r="AK662" s="1"/>
  <c r="AI668"/>
  <c r="AK668" s="1"/>
  <c r="AI180"/>
  <c r="AK180" s="1"/>
  <c r="AI1163"/>
  <c r="AK1163" s="1"/>
  <c r="AI1164"/>
  <c r="AK1164" s="1"/>
  <c r="AI771"/>
  <c r="AK771" s="1"/>
  <c r="AI606"/>
  <c r="AK606" s="1"/>
  <c r="AI607"/>
  <c r="AK607" s="1"/>
  <c r="AI636"/>
  <c r="AK636" s="1"/>
  <c r="AI802"/>
  <c r="AK802" s="1"/>
  <c r="AI1092"/>
  <c r="AK1092" s="1"/>
  <c r="AI1304"/>
  <c r="AK1304" s="1"/>
  <c r="AI149"/>
  <c r="AK149" s="1"/>
  <c r="AI450"/>
  <c r="AK450" s="1"/>
  <c r="AI484"/>
  <c r="AK484" s="1"/>
  <c r="AI485"/>
  <c r="AK485" s="1"/>
  <c r="AI486"/>
  <c r="AK486" s="1"/>
  <c r="AI98"/>
  <c r="AK98" s="1"/>
  <c r="AI105"/>
  <c r="AK105" s="1"/>
  <c r="AI153"/>
  <c r="AK153" s="1"/>
  <c r="AI106"/>
  <c r="AK106" s="1"/>
  <c r="AI1152"/>
  <c r="AK1152" s="1"/>
  <c r="AI1153"/>
  <c r="AK1153" s="1"/>
  <c r="AI1138"/>
  <c r="AK1138" s="1"/>
  <c r="AI512"/>
  <c r="AK512" s="1"/>
  <c r="AI345"/>
  <c r="AK345" s="1"/>
  <c r="AI346"/>
  <c r="AK346" s="1"/>
  <c r="AI1372"/>
  <c r="AK1372" s="1"/>
  <c r="AI393"/>
  <c r="AK393" s="1"/>
  <c r="AI392"/>
  <c r="AK392" s="1"/>
  <c r="AI717"/>
  <c r="AK717" s="1"/>
  <c r="AI186"/>
  <c r="AK186" s="1"/>
  <c r="AI171"/>
  <c r="AK171" s="1"/>
  <c r="AI1410"/>
  <c r="AK1410" s="1"/>
  <c r="AI718"/>
  <c r="AK718" s="1"/>
  <c r="AI719"/>
  <c r="AK719" s="1"/>
  <c r="AI720"/>
  <c r="AK720" s="1"/>
  <c r="AI1373"/>
  <c r="AK1373" s="1"/>
  <c r="AI1374"/>
  <c r="AK1374" s="1"/>
  <c r="AI690"/>
  <c r="AK690" s="1"/>
  <c r="AI691"/>
  <c r="AK691" s="1"/>
  <c r="AI1375"/>
  <c r="AK1375" s="1"/>
  <c r="AI1376"/>
  <c r="AK1376" s="1"/>
  <c r="AI394"/>
  <c r="AK394" s="1"/>
  <c r="AI1402"/>
  <c r="AK1402" s="1"/>
  <c r="AI90"/>
  <c r="AK90" s="1"/>
  <c r="AI1151"/>
  <c r="AK1151" s="1"/>
  <c r="AI783"/>
  <c r="AK783" s="1"/>
  <c r="AI595"/>
  <c r="AK595" s="1"/>
  <c r="AI596"/>
  <c r="AK596" s="1"/>
  <c r="AI1062"/>
  <c r="AK1062" s="1"/>
  <c r="AI231"/>
  <c r="AK231" s="1"/>
  <c r="AI232"/>
  <c r="AK232" s="1"/>
  <c r="AI233"/>
  <c r="AK233" s="1"/>
  <c r="AI303"/>
  <c r="AK303" s="1"/>
  <c r="AI408"/>
  <c r="AK408" s="1"/>
  <c r="AI1204"/>
  <c r="AK1204" s="1"/>
  <c r="AI733"/>
  <c r="AK733" s="1"/>
  <c r="AI51"/>
  <c r="AK51" s="1"/>
  <c r="AI955"/>
  <c r="AK955" s="1"/>
  <c r="AI58"/>
  <c r="AK58" s="1"/>
  <c r="AI59"/>
  <c r="AK59" s="1"/>
  <c r="AI700"/>
  <c r="AK700" s="1"/>
  <c r="AI6"/>
  <c r="AK6" s="1"/>
  <c r="AI477"/>
  <c r="AK477" s="1"/>
  <c r="AI282"/>
  <c r="AK282" s="1"/>
  <c r="AI319"/>
  <c r="AK319" s="1"/>
  <c r="AI320"/>
  <c r="AK320" s="1"/>
  <c r="AI398"/>
  <c r="AK398" s="1"/>
  <c r="AI399"/>
  <c r="AK399" s="1"/>
  <c r="AI572"/>
  <c r="AK572" s="1"/>
  <c r="AI573"/>
  <c r="AK573" s="1"/>
  <c r="AI491"/>
  <c r="AK491" s="1"/>
  <c r="AI492"/>
  <c r="AK492" s="1"/>
  <c r="AI1239"/>
  <c r="AK1239" s="1"/>
  <c r="AI1240"/>
  <c r="AK1240" s="1"/>
  <c r="AI277"/>
  <c r="AK277" s="1"/>
  <c r="AI227"/>
  <c r="AK227" s="1"/>
  <c r="AI78"/>
  <c r="AK78" s="1"/>
  <c r="AI1050"/>
  <c r="AK1050" s="1"/>
  <c r="AI591"/>
  <c r="AK591" s="1"/>
  <c r="AI592"/>
  <c r="AK592" s="1"/>
  <c r="AI593"/>
  <c r="AK593" s="1"/>
  <c r="AI1367"/>
  <c r="AK1367" s="1"/>
  <c r="AI1368"/>
  <c r="AK1368" s="1"/>
  <c r="AI738"/>
  <c r="AK738" s="1"/>
  <c r="AI481"/>
  <c r="AK481" s="1"/>
  <c r="AI923"/>
  <c r="AK923" s="1"/>
  <c r="AI304"/>
  <c r="AK304" s="1"/>
  <c r="AI272"/>
  <c r="AK272" s="1"/>
  <c r="AI224"/>
  <c r="AK224" s="1"/>
  <c r="AI32"/>
  <c r="AK32" s="1"/>
  <c r="AI283"/>
  <c r="AK283" s="1"/>
  <c r="AI493"/>
  <c r="AK493" s="1"/>
  <c r="AI643"/>
  <c r="AK643" s="1"/>
  <c r="AI1241"/>
  <c r="AK1241" s="1"/>
  <c r="AI924"/>
  <c r="AK924" s="1"/>
  <c r="AI925"/>
  <c r="AK925" s="1"/>
  <c r="AI1242"/>
  <c r="AK1242" s="1"/>
  <c r="AI436"/>
  <c r="AK436" s="1"/>
  <c r="AI437"/>
  <c r="AK437" s="1"/>
  <c r="AI1000"/>
  <c r="AK1000" s="1"/>
  <c r="AI626"/>
  <c r="AK626" s="1"/>
  <c r="AI627"/>
  <c r="AK627" s="1"/>
  <c r="AI108"/>
  <c r="AK108" s="1"/>
  <c r="AI109"/>
  <c r="AK109" s="1"/>
  <c r="AI1051"/>
  <c r="AK1051" s="1"/>
  <c r="AI79"/>
  <c r="AK79" s="1"/>
  <c r="AI305"/>
  <c r="AK305" s="1"/>
  <c r="AI306"/>
  <c r="AK306" s="1"/>
  <c r="AI644"/>
  <c r="AK644" s="1"/>
  <c r="AI645"/>
  <c r="AK645" s="1"/>
  <c r="AI1243"/>
  <c r="AK1243" s="1"/>
  <c r="AI225"/>
  <c r="AK225" s="1"/>
  <c r="AI226"/>
  <c r="AK226" s="1"/>
  <c r="AI749"/>
  <c r="AK749" s="1"/>
  <c r="AI750"/>
  <c r="AK750" s="1"/>
  <c r="AI751"/>
  <c r="AK751" s="1"/>
  <c r="AI939"/>
  <c r="AK939" s="1"/>
  <c r="AI940"/>
  <c r="AK940" s="1"/>
  <c r="AI941"/>
  <c r="AK941" s="1"/>
  <c r="AI897"/>
  <c r="AK897" s="1"/>
  <c r="AI701"/>
  <c r="AK701" s="1"/>
  <c r="AI15"/>
  <c r="AK15" s="1"/>
  <c r="AI911"/>
  <c r="AK911" s="1"/>
  <c r="AI912"/>
  <c r="AK912" s="1"/>
  <c r="AI913"/>
  <c r="AK913" s="1"/>
  <c r="AI914"/>
  <c r="AK914" s="1"/>
  <c r="AI974"/>
  <c r="AK974" s="1"/>
  <c r="AI975"/>
  <c r="AK975" s="1"/>
  <c r="AI1065"/>
  <c r="AK1065" s="1"/>
  <c r="AI316"/>
  <c r="AK316" s="1"/>
  <c r="AI1139"/>
  <c r="AK1139" s="1"/>
  <c r="AI1140"/>
  <c r="AK1140" s="1"/>
  <c r="AI1141"/>
  <c r="AK1141" s="1"/>
  <c r="AI660"/>
  <c r="AK660" s="1"/>
  <c r="AI618"/>
  <c r="AK618" s="1"/>
  <c r="AI1077"/>
  <c r="AK1077" s="1"/>
  <c r="AI453"/>
  <c r="AK453" s="1"/>
  <c r="AI661"/>
  <c r="AK661" s="1"/>
  <c r="AI747"/>
  <c r="AK747" s="1"/>
  <c r="AI976"/>
  <c r="AK976" s="1"/>
  <c r="AI454"/>
  <c r="AK454" s="1"/>
  <c r="AI1087"/>
  <c r="AK1087" s="1"/>
  <c r="AI848"/>
  <c r="AK848" s="1"/>
  <c r="AI503"/>
  <c r="AK503" s="1"/>
  <c r="AI849"/>
  <c r="AK849" s="1"/>
  <c r="AI654"/>
  <c r="AK654" s="1"/>
  <c r="AI655"/>
  <c r="AK655" s="1"/>
  <c r="AI850"/>
  <c r="AK850" s="1"/>
  <c r="AI784"/>
  <c r="AK784" s="1"/>
  <c r="AI1135"/>
  <c r="AK1135" s="1"/>
  <c r="AI1078"/>
  <c r="AK1078" s="1"/>
  <c r="AI619"/>
  <c r="AK619" s="1"/>
  <c r="AI728"/>
  <c r="AK728" s="1"/>
  <c r="AI620"/>
  <c r="AK620" s="1"/>
  <c r="AI409"/>
  <c r="AK409" s="1"/>
  <c r="AI729"/>
  <c r="AK729" s="1"/>
  <c r="AI966"/>
  <c r="AK966" s="1"/>
  <c r="AI1244"/>
  <c r="AK1244" s="1"/>
  <c r="AI967"/>
  <c r="AK967" s="1"/>
  <c r="AI401"/>
  <c r="AK401" s="1"/>
  <c r="AI907"/>
  <c r="AK907" s="1"/>
  <c r="AI402"/>
  <c r="AK402" s="1"/>
  <c r="AI1044"/>
  <c r="AK1044" s="1"/>
  <c r="AI1052"/>
  <c r="AK1052" s="1"/>
  <c r="AI1045"/>
  <c r="AK1045" s="1"/>
  <c r="AI80"/>
  <c r="AK80" s="1"/>
  <c r="AI140"/>
  <c r="AK140" s="1"/>
  <c r="AI444"/>
  <c r="AK444" s="1"/>
  <c r="AI1046"/>
  <c r="AK1046" s="1"/>
  <c r="AI478"/>
  <c r="AK478" s="1"/>
  <c r="AI1405"/>
  <c r="AK1405" s="1"/>
  <c r="AI403"/>
  <c r="AK403" s="1"/>
  <c r="AI146"/>
  <c r="AK146" s="1"/>
  <c r="AI438"/>
  <c r="AK438" s="1"/>
  <c r="AI147"/>
  <c r="AK147" s="1"/>
  <c r="AI81"/>
  <c r="AK81" s="1"/>
  <c r="AI83"/>
  <c r="AK83" s="1"/>
  <c r="AI898"/>
  <c r="AK898" s="1"/>
  <c r="AI94"/>
  <c r="AK94" s="1"/>
  <c r="AI1088"/>
  <c r="AK1088" s="1"/>
  <c r="AI1430"/>
  <c r="AK1430" s="1"/>
  <c r="AI489"/>
  <c r="AK489" s="1"/>
  <c r="AI610"/>
  <c r="AK610" s="1"/>
  <c r="AI611"/>
  <c r="AK611" s="1"/>
  <c r="AI1142"/>
  <c r="AK1142" s="1"/>
  <c r="AI1143"/>
  <c r="AK1143" s="1"/>
  <c r="AI1144"/>
  <c r="AK1144" s="1"/>
  <c r="AI1145"/>
  <c r="AK1145" s="1"/>
  <c r="AI1154"/>
  <c r="AK1154" s="1"/>
  <c r="AI641"/>
  <c r="AK641" s="1"/>
  <c r="AI107"/>
  <c r="AK107" s="1"/>
  <c r="AI1089"/>
  <c r="AK1089" s="1"/>
  <c r="AI240"/>
  <c r="AK240" s="1"/>
  <c r="AI820"/>
  <c r="AK820" s="1"/>
  <c r="AI821"/>
  <c r="AK821" s="1"/>
  <c r="AI1369"/>
  <c r="AK1369" s="1"/>
  <c r="AI550"/>
  <c r="AK550" s="1"/>
  <c r="AI205"/>
  <c r="AK205" s="1"/>
  <c r="AI206"/>
  <c r="AK206" s="1"/>
  <c r="AI181"/>
  <c r="AK181" s="1"/>
  <c r="AI1195"/>
  <c r="AK1195" s="1"/>
  <c r="AI395"/>
  <c r="AK395" s="1"/>
  <c r="AI1411"/>
  <c r="AK1411" s="1"/>
  <c r="AI1412"/>
  <c r="AK1412" s="1"/>
  <c r="AI822"/>
  <c r="AK822" s="1"/>
  <c r="AI396"/>
  <c r="AK396" s="1"/>
  <c r="AI425"/>
  <c r="AK425" s="1"/>
  <c r="AI1069"/>
  <c r="AK1069" s="1"/>
  <c r="AI1112"/>
  <c r="AK1112" s="1"/>
  <c r="AI442"/>
  <c r="AK442" s="1"/>
  <c r="AI670"/>
  <c r="AK670" s="1"/>
  <c r="AI299"/>
  <c r="AK299" s="1"/>
  <c r="AI471"/>
  <c r="AK471" s="1"/>
  <c r="AI300"/>
  <c r="AK300" s="1"/>
  <c r="AI518"/>
  <c r="AK518" s="1"/>
  <c r="AI194"/>
  <c r="AK194" s="1"/>
  <c r="AI1415"/>
  <c r="AK1415" s="1"/>
  <c r="AI195"/>
  <c r="AK195" s="1"/>
  <c r="AI621"/>
  <c r="AK621" s="1"/>
  <c r="AI899"/>
  <c r="AK899" s="1"/>
  <c r="AI88"/>
  <c r="AK88" s="1"/>
  <c r="AI479"/>
  <c r="AK479" s="1"/>
  <c r="AI1001"/>
  <c r="AK1001" s="1"/>
  <c r="AI33"/>
  <c r="AK33" s="1"/>
  <c r="AI628"/>
  <c r="AK628" s="1"/>
  <c r="AI601"/>
  <c r="AK601" s="1"/>
  <c r="AI1245"/>
  <c r="AK1245" s="1"/>
  <c r="AI1246"/>
  <c r="AK1246" s="1"/>
  <c r="AI1362"/>
  <c r="AK1362" s="1"/>
  <c r="AI1351"/>
  <c r="AK1351" s="1"/>
  <c r="AI91"/>
  <c r="AK91" s="1"/>
  <c r="AI622"/>
  <c r="AK622" s="1"/>
  <c r="AI472"/>
  <c r="AK472" s="1"/>
  <c r="AI17"/>
  <c r="AK17" s="1"/>
  <c r="AI757"/>
  <c r="AK757" s="1"/>
  <c r="AI1218"/>
  <c r="AK1218" s="1"/>
  <c r="AI473"/>
  <c r="AK473" s="1"/>
  <c r="AI474"/>
  <c r="AK474" s="1"/>
  <c r="AI60"/>
  <c r="AK60" s="1"/>
  <c r="AI65"/>
  <c r="AK65" s="1"/>
  <c r="AI1136"/>
  <c r="AK1136" s="1"/>
  <c r="AI900"/>
  <c r="AK900" s="1"/>
  <c r="AI1363"/>
  <c r="AK1363" s="1"/>
  <c r="AI1352"/>
  <c r="AK1352" s="1"/>
  <c r="AI600"/>
  <c r="AK600" s="1"/>
  <c r="AI155"/>
  <c r="AK155" s="1"/>
  <c r="AI318"/>
  <c r="AK318" s="1"/>
  <c r="AI1364"/>
  <c r="AK1364" s="1"/>
  <c r="AI1353"/>
  <c r="AK1353" s="1"/>
  <c r="AI439"/>
  <c r="AK439" s="1"/>
  <c r="AI985"/>
  <c r="AK985" s="1"/>
  <c r="AI630"/>
  <c r="AK630" s="1"/>
  <c r="AI1379"/>
  <c r="AK1379" s="1"/>
  <c r="AI785"/>
  <c r="AK785" s="1"/>
  <c r="AI952"/>
  <c r="AK952" s="1"/>
  <c r="AI1203"/>
  <c r="AK1203" s="1"/>
  <c r="AI49"/>
  <c r="AK49" s="1"/>
  <c r="AI953"/>
  <c r="AK953" s="1"/>
  <c r="AI1137"/>
  <c r="AK1137" s="1"/>
  <c r="AI999"/>
  <c r="AK999" s="1"/>
  <c r="AI763"/>
  <c r="AK763" s="1"/>
  <c r="AI764"/>
  <c r="AK764" s="1"/>
  <c r="AI597"/>
  <c r="AK597" s="1"/>
  <c r="AI273"/>
  <c r="AK273" s="1"/>
  <c r="AI1083"/>
  <c r="AK1083" s="1"/>
  <c r="AI1043"/>
  <c r="AK1043" s="1"/>
  <c r="AI890"/>
  <c r="AK890" s="1"/>
  <c r="AI891"/>
  <c r="AK891" s="1"/>
  <c r="AI892"/>
  <c r="AK892" s="1"/>
  <c r="AI893"/>
  <c r="AK893" s="1"/>
  <c r="AI994"/>
  <c r="AK994" s="1"/>
  <c r="AI138"/>
  <c r="AK138" s="1"/>
  <c r="AI995"/>
  <c r="AK995" s="1"/>
  <c r="AI141"/>
  <c r="AK141" s="1"/>
  <c r="AI1047"/>
  <c r="AK1047" s="1"/>
  <c r="AI926"/>
  <c r="AK926" s="1"/>
  <c r="AI1247"/>
  <c r="AK1247" s="1"/>
  <c r="AI274"/>
  <c r="AK274" s="1"/>
  <c r="AI82"/>
  <c r="AK82" s="1"/>
  <c r="AI1002"/>
  <c r="AK1002" s="1"/>
  <c r="AI629"/>
  <c r="AK629" s="1"/>
  <c r="AI804"/>
  <c r="AK804" s="1"/>
  <c r="AI574"/>
  <c r="AK574" s="1"/>
  <c r="AI575"/>
  <c r="AK575" s="1"/>
  <c r="AI576"/>
  <c r="AK576" s="1"/>
  <c r="AI554"/>
  <c r="AK554" s="1"/>
  <c r="AI901"/>
  <c r="AK901" s="1"/>
  <c r="AI555"/>
  <c r="AK555" s="1"/>
  <c r="AI443"/>
  <c r="AK443" s="1"/>
  <c r="AI1237"/>
  <c r="AK1237" s="1"/>
  <c r="AI1238"/>
  <c r="AK1238" s="1"/>
  <c r="AI275"/>
  <c r="AK275" s="1"/>
  <c r="AI556"/>
  <c r="AK556" s="1"/>
  <c r="AI557"/>
  <c r="AK557" s="1"/>
  <c r="AI558"/>
  <c r="AK558" s="1"/>
  <c r="AI577"/>
  <c r="AK577" s="1"/>
  <c r="AI578"/>
  <c r="AK578" s="1"/>
  <c r="AI276"/>
  <c r="AK276" s="1"/>
  <c r="AI1084"/>
  <c r="AK1084" s="1"/>
  <c r="AI1048"/>
  <c r="AK1048" s="1"/>
  <c r="AI942"/>
  <c r="AK942" s="1"/>
  <c r="AI943"/>
  <c r="AK943" s="1"/>
  <c r="AI944"/>
  <c r="AK944" s="1"/>
  <c r="AI945"/>
  <c r="AK945" s="1"/>
  <c r="AI759"/>
  <c r="AK759" s="1"/>
  <c r="AI760"/>
  <c r="AK760" s="1"/>
  <c r="AI761"/>
  <c r="AK761" s="1"/>
  <c r="AI1256"/>
  <c r="AK1256" s="1"/>
  <c r="AI288"/>
  <c r="AK288" s="1"/>
  <c r="AI1003"/>
  <c r="AK1003" s="1"/>
  <c r="AI739"/>
  <c r="AK739" s="1"/>
  <c r="AI310"/>
  <c r="AK310" s="1"/>
  <c r="AI946"/>
  <c r="AK946" s="1"/>
  <c r="AI947"/>
  <c r="AK947" s="1"/>
  <c r="AI927"/>
  <c r="AK927" s="1"/>
  <c r="AI928"/>
  <c r="AK928" s="1"/>
  <c r="AI447"/>
  <c r="AK447" s="1"/>
  <c r="AI448"/>
  <c r="AK448" s="1"/>
  <c r="AI289"/>
  <c r="AK289" s="1"/>
  <c r="AI311"/>
  <c r="AK311" s="1"/>
  <c r="AI312"/>
  <c r="AK312" s="1"/>
  <c r="AI816"/>
  <c r="AK816" s="1"/>
  <c r="AI851"/>
  <c r="AK851" s="1"/>
  <c r="AI313"/>
  <c r="AK313" s="1"/>
  <c r="AI1257"/>
  <c r="AK1257" s="1"/>
  <c r="AI1380"/>
  <c r="AK1380" s="1"/>
  <c r="AI773"/>
  <c r="AK773" s="1"/>
  <c r="AI1129"/>
  <c r="AK1129" s="1"/>
  <c r="AI734"/>
  <c r="AK734" s="1"/>
  <c r="AI52"/>
  <c r="AK52" s="1"/>
  <c r="AI1381"/>
  <c r="AK1381" s="1"/>
  <c r="AI1382"/>
  <c r="AK1382" s="1"/>
  <c r="AI956"/>
  <c r="AK956" s="1"/>
  <c r="AI53"/>
  <c r="AK53" s="1"/>
  <c r="AI1383"/>
  <c r="AK1383" s="1"/>
  <c r="AI1384"/>
  <c r="AK1384" s="1"/>
  <c r="AI803"/>
  <c r="AK803" s="1"/>
  <c r="AI1073"/>
  <c r="AK1073" s="1"/>
  <c r="AI45"/>
  <c r="AK45" s="1"/>
  <c r="AI73"/>
  <c r="AK73" s="1"/>
  <c r="AI1014"/>
  <c r="AK1014" s="1"/>
  <c r="AI1007"/>
  <c r="AK1007" s="1"/>
  <c r="AI1015"/>
  <c r="AK1015" s="1"/>
  <c r="AI1028"/>
  <c r="AK1028" s="1"/>
  <c r="AI61"/>
  <c r="AK61" s="1"/>
  <c r="AI1258"/>
  <c r="AK1258" s="1"/>
  <c r="AI20"/>
  <c r="AK20" s="1"/>
  <c r="AI290"/>
  <c r="AK290" s="1"/>
  <c r="AI973"/>
  <c r="AK973" s="1"/>
  <c r="AI748"/>
  <c r="AK748" s="1"/>
  <c r="AI604"/>
  <c r="AK604" s="1"/>
  <c r="AI605"/>
  <c r="AK605" s="1"/>
  <c r="AI634"/>
  <c r="AK634" s="1"/>
  <c r="AI487"/>
  <c r="AK487" s="1"/>
  <c r="AI608"/>
  <c r="AK608" s="1"/>
  <c r="AI639"/>
  <c r="AK639" s="1"/>
  <c r="AI314"/>
  <c r="AK314" s="1"/>
  <c r="AI451"/>
  <c r="AK451" s="1"/>
  <c r="AI482"/>
  <c r="AK482" s="1"/>
  <c r="AI483"/>
  <c r="AK483" s="1"/>
  <c r="AI948"/>
  <c r="AK948" s="1"/>
  <c r="AI902"/>
  <c r="AK902" s="1"/>
  <c r="AI903"/>
  <c r="AK903" s="1"/>
  <c r="AI34"/>
  <c r="AK34" s="1"/>
  <c r="AI291"/>
  <c r="AK291" s="1"/>
  <c r="AI579"/>
  <c r="AK579" s="1"/>
  <c r="AI77"/>
  <c r="AK77" s="1"/>
  <c r="AI580"/>
  <c r="AK580" s="1"/>
  <c r="AI581"/>
  <c r="AK581" s="1"/>
  <c r="AI582"/>
  <c r="AK582" s="1"/>
  <c r="AI1321"/>
  <c r="AK1321" s="1"/>
  <c r="AI1322"/>
  <c r="AK1322" s="1"/>
  <c r="AI1250"/>
  <c r="AK1250" s="1"/>
  <c r="AI1251"/>
  <c r="AK1251" s="1"/>
  <c r="AI1106"/>
  <c r="AK1106" s="1"/>
  <c r="AI1107"/>
  <c r="AK1107" s="1"/>
  <c r="AI1323"/>
  <c r="AK1323" s="1"/>
  <c r="AI583"/>
  <c r="AK583" s="1"/>
  <c r="AI584"/>
  <c r="AK584" s="1"/>
  <c r="AI585"/>
  <c r="AK585" s="1"/>
  <c r="AI440"/>
  <c r="AK440" s="1"/>
  <c r="AI441"/>
  <c r="AK441" s="1"/>
  <c r="AI744"/>
  <c r="AK744" s="1"/>
  <c r="AI35"/>
  <c r="AK35" s="1"/>
  <c r="AI315"/>
  <c r="AK315" s="1"/>
  <c r="AI698"/>
  <c r="AK698" s="1"/>
  <c r="AI452"/>
  <c r="AK452" s="1"/>
  <c r="AI488"/>
  <c r="AK488" s="1"/>
  <c r="AI740"/>
  <c r="AK740" s="1"/>
  <c r="AI741"/>
  <c r="AK741" s="1"/>
  <c r="AI635"/>
  <c r="AK635" s="1"/>
  <c r="AI1010"/>
  <c r="AK1010" s="1"/>
  <c r="AI742"/>
  <c r="AK742" s="1"/>
  <c r="AI743"/>
  <c r="AK743" s="1"/>
  <c r="AI929"/>
  <c r="AK929" s="1"/>
  <c r="AI930"/>
  <c r="AK930" s="1"/>
  <c r="AI959"/>
  <c r="AK959" s="1"/>
  <c r="AI960"/>
  <c r="AK960" s="1"/>
  <c r="AI931"/>
  <c r="AK931" s="1"/>
  <c r="AI904"/>
  <c r="AK904" s="1"/>
  <c r="AI932"/>
  <c r="AK932" s="1"/>
  <c r="AI933"/>
  <c r="AK933" s="1"/>
  <c r="AI466"/>
  <c r="AK466" s="1"/>
  <c r="AI1330"/>
  <c r="AK1330" s="1"/>
  <c r="AI404"/>
  <c r="AK404" s="1"/>
  <c r="AI631"/>
  <c r="AK631" s="1"/>
  <c r="AI765"/>
  <c r="AK765" s="1"/>
  <c r="AI798"/>
  <c r="AK798" s="1"/>
  <c r="AI799"/>
  <c r="AK799" s="1"/>
  <c r="AI1365"/>
  <c r="AK1365" s="1"/>
  <c r="AI1366"/>
  <c r="AK1366" s="1"/>
  <c r="AI1297"/>
  <c r="AK1297" s="1"/>
  <c r="AI1298"/>
  <c r="AK1298" s="1"/>
  <c r="AI721"/>
  <c r="AK721" s="1"/>
  <c r="AI722"/>
  <c r="AK722" s="1"/>
  <c r="AI723"/>
  <c r="AK723" s="1"/>
  <c r="AI724"/>
  <c r="AK724" s="1"/>
  <c r="AI1130"/>
  <c r="AK1130" s="1"/>
  <c r="AI957"/>
  <c r="AK957" s="1"/>
  <c r="AI66"/>
  <c r="AK66" s="1"/>
  <c r="AI1067"/>
  <c r="AK1067" s="1"/>
  <c r="AI100"/>
  <c r="AK100" s="1"/>
  <c r="AI1029"/>
  <c r="AK1029" s="1"/>
  <c r="AI1310"/>
  <c r="AK1310" s="1"/>
  <c r="AI1311"/>
  <c r="AK1311" s="1"/>
  <c r="AI1299"/>
  <c r="AK1299" s="1"/>
  <c r="AI1300"/>
  <c r="AK1300" s="1"/>
  <c r="AI1301"/>
  <c r="AK1301" s="1"/>
  <c r="AI921"/>
  <c r="AK921" s="1"/>
  <c r="AI986"/>
  <c r="AK986" s="1"/>
  <c r="AI560"/>
  <c r="AK560" s="1"/>
  <c r="AI561"/>
  <c r="AK561" s="1"/>
  <c r="AI766"/>
  <c r="AK766" s="1"/>
  <c r="AI378"/>
  <c r="AK378" s="1"/>
  <c r="AI234"/>
  <c r="AK234" s="1"/>
  <c r="AI1155"/>
  <c r="AK1155" s="1"/>
  <c r="AI1156"/>
  <c r="AK1156" s="1"/>
  <c r="AI1194"/>
  <c r="AK1194" s="1"/>
  <c r="AI1431"/>
  <c r="AK1431" s="1"/>
  <c r="AI1125"/>
  <c r="AK1125" s="1"/>
  <c r="AI1432"/>
  <c r="AK1432" s="1"/>
  <c r="AI1196"/>
  <c r="AK1196" s="1"/>
  <c r="AI1090"/>
  <c r="AK1090" s="1"/>
  <c r="AI182"/>
  <c r="AK182" s="1"/>
  <c r="AI1165"/>
  <c r="AK1165" s="1"/>
  <c r="AI242"/>
  <c r="AK242" s="1"/>
  <c r="AI1166"/>
  <c r="AK1166" s="1"/>
  <c r="AI165"/>
  <c r="AK165" s="1"/>
  <c r="AI426"/>
  <c r="AK426" s="1"/>
  <c r="AI513"/>
  <c r="AK513" s="1"/>
  <c r="AI351"/>
  <c r="AK351" s="1"/>
  <c r="AI1020"/>
  <c r="AK1020" s="1"/>
  <c r="AI1021"/>
  <c r="AK1021" s="1"/>
  <c r="AI1070"/>
  <c r="AK1070" s="1"/>
  <c r="AI1022"/>
  <c r="AK1022" s="1"/>
  <c r="AI458"/>
  <c r="AK458" s="1"/>
  <c r="AI786"/>
  <c r="AK786" s="1"/>
  <c r="AI623"/>
  <c r="AK623" s="1"/>
  <c r="AI475"/>
  <c r="AK475" s="1"/>
  <c r="AI1296"/>
  <c r="AK1296" s="1"/>
  <c r="AI1114"/>
  <c r="AK1114" s="1"/>
  <c r="AI1115"/>
  <c r="AK1115" s="1"/>
  <c r="AI427"/>
  <c r="AK427" s="1"/>
  <c r="AI459"/>
  <c r="AK459" s="1"/>
  <c r="AI1302"/>
  <c r="AK1302" s="1"/>
  <c r="AI1303"/>
  <c r="AK1303" s="1"/>
  <c r="AI1312"/>
  <c r="AK1312" s="1"/>
  <c r="AI987"/>
  <c r="AK987" s="1"/>
  <c r="AI988"/>
  <c r="AK988" s="1"/>
  <c r="AI1331"/>
  <c r="AK1331" s="1"/>
  <c r="AI1332"/>
  <c r="AK1332" s="1"/>
  <c r="AI692"/>
  <c r="AK692" s="1"/>
  <c r="AI172"/>
  <c r="AK172" s="1"/>
  <c r="AI173"/>
  <c r="AK173" s="1"/>
  <c r="AI174"/>
  <c r="AK174" s="1"/>
  <c r="AI42"/>
  <c r="AK42" s="1"/>
  <c r="AI43"/>
  <c r="AK43" s="1"/>
  <c r="AI220"/>
  <c r="AK220" s="1"/>
  <c r="AI221"/>
  <c r="AK221" s="1"/>
  <c r="AI1269"/>
  <c r="AK1269" s="1"/>
  <c r="AI1091"/>
  <c r="AK1091" s="1"/>
  <c r="AI179"/>
  <c r="AK179" s="1"/>
  <c r="AI342"/>
  <c r="AK342" s="1"/>
  <c r="AI166"/>
  <c r="AK166" s="1"/>
  <c r="AI167"/>
  <c r="AK167" s="1"/>
  <c r="AI168"/>
  <c r="AK168" s="1"/>
  <c r="AI1408"/>
  <c r="AK1408" s="1"/>
  <c r="AI1409"/>
  <c r="AK1409" s="1"/>
  <c r="AI514"/>
  <c r="AK514" s="1"/>
  <c r="AI352"/>
  <c r="AK352" s="1"/>
  <c r="AI1167"/>
  <c r="AK1167" s="1"/>
  <c r="AI515"/>
  <c r="AK515" s="1"/>
  <c r="AI347"/>
  <c r="AK347" s="1"/>
  <c r="AI191"/>
  <c r="AK191" s="1"/>
  <c r="AI192"/>
  <c r="AK192" s="1"/>
  <c r="AI193"/>
  <c r="AK193" s="1"/>
  <c r="AI1168"/>
  <c r="AK1168" s="1"/>
  <c r="AI1211"/>
  <c r="AK1211" s="1"/>
  <c r="AI343"/>
  <c r="AK343" s="1"/>
  <c r="AI183"/>
  <c r="AK183" s="1"/>
  <c r="AI382"/>
  <c r="AK382" s="1"/>
  <c r="AI1286"/>
  <c r="AK1286" s="1"/>
  <c r="AI383"/>
  <c r="AK383" s="1"/>
  <c r="AI1126"/>
  <c r="AK1126" s="1"/>
  <c r="AI265"/>
  <c r="AK265" s="1"/>
  <c r="AI1271"/>
  <c r="AK1271" s="1"/>
  <c r="AI184"/>
  <c r="AK184" s="1"/>
  <c r="AI185"/>
  <c r="AK185" s="1"/>
  <c r="AI187"/>
  <c r="AK187" s="1"/>
  <c r="AI1222"/>
  <c r="AK1222" s="1"/>
  <c r="AI896"/>
  <c r="AK896" s="1"/>
  <c r="AI735"/>
  <c r="AK735" s="1"/>
  <c r="AI460"/>
  <c r="AK460" s="1"/>
  <c r="AI1416"/>
  <c r="AK1416" s="1"/>
  <c r="AI384"/>
  <c r="AK384" s="1"/>
  <c r="AI235"/>
  <c r="AK235" s="1"/>
  <c r="AI380"/>
  <c r="AK380" s="1"/>
  <c r="AI419"/>
  <c r="AK419" s="1"/>
  <c r="AI95"/>
  <c r="AK95" s="1"/>
  <c r="AI148"/>
  <c r="AK148" s="1"/>
  <c r="AI169"/>
  <c r="AK169" s="1"/>
  <c r="AI1370"/>
  <c r="AK1370" s="1"/>
  <c r="AI188"/>
  <c r="AK188" s="1"/>
  <c r="AI1169"/>
  <c r="AK1169" s="1"/>
  <c r="AI935"/>
  <c r="AK935" s="1"/>
  <c r="AI936"/>
  <c r="AK936" s="1"/>
  <c r="AI236"/>
  <c r="AK236" s="1"/>
  <c r="AI237"/>
  <c r="AK237" s="1"/>
  <c r="AI1127"/>
  <c r="AK1127" s="1"/>
  <c r="AI266"/>
  <c r="AK266" s="1"/>
  <c r="AI637"/>
  <c r="AK637" s="1"/>
  <c r="AI638"/>
  <c r="AK638" s="1"/>
  <c r="AI568"/>
  <c r="AK568" s="1"/>
  <c r="AI243"/>
  <c r="AK243" s="1"/>
  <c r="AI1170"/>
  <c r="AK1170" s="1"/>
  <c r="AI189"/>
  <c r="AK189" s="1"/>
  <c r="AI44"/>
  <c r="AK44" s="1"/>
  <c r="AI223"/>
  <c r="AK223" s="1"/>
  <c r="AI1313"/>
  <c r="AK1313" s="1"/>
  <c r="AI1314"/>
  <c r="AK1314" s="1"/>
  <c r="AI693"/>
  <c r="AK693" s="1"/>
  <c r="AI1333"/>
  <c r="AK1333" s="1"/>
  <c r="AI1334"/>
  <c r="AK1334" s="1"/>
  <c r="AI190"/>
  <c r="AK190" s="1"/>
  <c r="AI534"/>
  <c r="AK534" s="1"/>
  <c r="AI270"/>
  <c r="AK270" s="1"/>
  <c r="AI1202"/>
  <c r="AK1202" s="1"/>
  <c r="AI949"/>
  <c r="AK949" s="1"/>
  <c r="AI449"/>
  <c r="AK449" s="1"/>
  <c r="AI207"/>
  <c r="AK207" s="1"/>
  <c r="AI244"/>
  <c r="AK244" s="1"/>
  <c r="AI245"/>
  <c r="AK245" s="1"/>
  <c r="AI246"/>
  <c r="AK246" s="1"/>
  <c r="AI238"/>
  <c r="AK238" s="1"/>
  <c r="AI379"/>
  <c r="AK379" s="1"/>
  <c r="AI1354"/>
  <c r="AK1354" s="1"/>
  <c r="AI1355"/>
  <c r="AK1355" s="1"/>
  <c r="AI1356"/>
  <c r="AK1356" s="1"/>
  <c r="AI385"/>
  <c r="AK385" s="1"/>
  <c r="AI1357"/>
  <c r="AK1357" s="1"/>
  <c r="AI208"/>
  <c r="AK208" s="1"/>
  <c r="AI569"/>
  <c r="AK569" s="1"/>
  <c r="AI535"/>
  <c r="AK535" s="1"/>
  <c r="AI780"/>
  <c r="AK780" s="1"/>
  <c r="AI413"/>
  <c r="AK413" s="1"/>
  <c r="AI1358"/>
  <c r="AK1358" s="1"/>
  <c r="AI551"/>
  <c r="AK551" s="1"/>
  <c r="AI570"/>
  <c r="AK570" s="1"/>
  <c r="AI536"/>
  <c r="AK536" s="1"/>
  <c r="AI781"/>
  <c r="AK781" s="1"/>
  <c r="AI414"/>
  <c r="AK414" s="1"/>
  <c r="AI415"/>
  <c r="AK415" s="1"/>
  <c r="AI1359"/>
  <c r="AK1359" s="1"/>
  <c r="AI552"/>
  <c r="AK552" s="1"/>
  <c r="AI553"/>
  <c r="AK553" s="1"/>
  <c r="AI571"/>
  <c r="AK571" s="1"/>
  <c r="AI537"/>
  <c r="AK537" s="1"/>
  <c r="AI538"/>
  <c r="AK538" s="1"/>
  <c r="AI910"/>
  <c r="AK910" s="1"/>
  <c r="AI54"/>
  <c r="AK54" s="1"/>
  <c r="AI67"/>
  <c r="AK67" s="1"/>
  <c r="AI1116"/>
  <c r="AK1116" s="1"/>
  <c r="AI787"/>
  <c r="AK787" s="1"/>
  <c r="AI762"/>
  <c r="AK762" s="1"/>
  <c r="AI1101"/>
  <c r="AK1101" s="1"/>
  <c r="AI476"/>
  <c r="AK476" s="1"/>
  <c r="AI1131"/>
  <c r="AK1131" s="1"/>
  <c r="AI428"/>
  <c r="AK428" s="1"/>
  <c r="AI1385"/>
  <c r="AK1385" s="1"/>
  <c r="AI1386"/>
  <c r="AK1386" s="1"/>
  <c r="AI102"/>
  <c r="AK102" s="1"/>
  <c r="AI1272"/>
  <c r="AK1272" s="1"/>
  <c r="AI1273"/>
  <c r="AK1273" s="1"/>
  <c r="AI36"/>
  <c r="AK36" s="1"/>
  <c r="AI1315"/>
  <c r="AK1315" s="1"/>
  <c r="AI1316"/>
  <c r="AK1316" s="1"/>
  <c r="AI694"/>
  <c r="AK694" s="1"/>
  <c r="AI1274"/>
  <c r="AK1274" s="1"/>
  <c r="AI1259"/>
  <c r="AK1259" s="1"/>
  <c r="AI7"/>
  <c r="AK7" s="1"/>
  <c r="AI1260"/>
  <c r="AK1260" s="1"/>
  <c r="AI1261"/>
  <c r="AK1261" s="1"/>
  <c r="AI8"/>
  <c r="AK8" s="1"/>
  <c r="AI416"/>
  <c r="AK416" s="1"/>
  <c r="AI417"/>
  <c r="AK417" s="1"/>
  <c r="AI767"/>
  <c r="AK767" s="1"/>
  <c r="AI566"/>
  <c r="AK566" s="1"/>
  <c r="AI567"/>
  <c r="AK567" s="1"/>
  <c r="AI1098"/>
  <c r="AK1098" s="1"/>
  <c r="AI1172"/>
  <c r="AK1172" s="1"/>
  <c r="AI1173"/>
  <c r="AK1173" s="1"/>
  <c r="AI74"/>
  <c r="AK74" s="1"/>
  <c r="AI736"/>
  <c r="AK736" s="1"/>
  <c r="AI958"/>
  <c r="AK958" s="1"/>
  <c r="AI1102"/>
  <c r="AK1102" s="1"/>
  <c r="AI1317"/>
  <c r="AK1317" s="1"/>
  <c r="AI1318"/>
  <c r="AK1318" s="1"/>
  <c r="AI695"/>
  <c r="AK695" s="1"/>
  <c r="AI1262"/>
  <c r="AK1262" s="1"/>
  <c r="AI1263"/>
  <c r="AK1263" s="1"/>
  <c r="AI9"/>
  <c r="AK9" s="1"/>
  <c r="AI1275"/>
  <c r="AK1275" s="1"/>
  <c r="AI1276"/>
  <c r="AK1276" s="1"/>
  <c r="AI10"/>
  <c r="AK10" s="1"/>
  <c r="AI1277"/>
  <c r="AK1277" s="1"/>
  <c r="AI1278"/>
  <c r="AK1278" s="1"/>
  <c r="AI11"/>
  <c r="AK11" s="1"/>
  <c r="AI1279"/>
  <c r="AK1279" s="1"/>
  <c r="AI1280"/>
  <c r="AK1280" s="1"/>
  <c r="AI37"/>
  <c r="AK37" s="1"/>
  <c r="AI1319"/>
  <c r="AK1319" s="1"/>
  <c r="AI1320"/>
  <c r="AK1320" s="1"/>
  <c r="AI28"/>
  <c r="AK28" s="1"/>
  <c r="AI1186"/>
  <c r="AK1186" s="1"/>
  <c r="AI795"/>
  <c r="AK795" s="1"/>
  <c r="AI1034"/>
  <c r="AK1034" s="1"/>
  <c r="AI27"/>
  <c r="AK27" s="1"/>
  <c r="AI1133"/>
  <c r="AK1133" s="1"/>
  <c r="AI590"/>
  <c r="AK590" s="1"/>
  <c r="AI805"/>
  <c r="AK805" s="1"/>
  <c r="AI806"/>
  <c r="AK806" s="1"/>
  <c r="AI307"/>
  <c r="AK307" s="1"/>
  <c r="AI1248"/>
  <c r="AK1248" s="1"/>
  <c r="AI1249"/>
  <c r="AK1249" s="1"/>
  <c r="AI1035"/>
  <c r="AK1035" s="1"/>
  <c r="AI586"/>
  <c r="AK586" s="1"/>
  <c r="AI588"/>
  <c r="AK588" s="1"/>
  <c r="AI1036"/>
  <c r="AK1036" s="1"/>
  <c r="AI589"/>
  <c r="AK589" s="1"/>
  <c r="AI559"/>
  <c r="AK559" s="1"/>
  <c r="AI308"/>
  <c r="AK308" s="1"/>
  <c r="AI284"/>
  <c r="AK284" s="1"/>
  <c r="AI285"/>
  <c r="AK285" s="1"/>
  <c r="AI1037"/>
  <c r="AK1037" s="1"/>
  <c r="AI1281"/>
  <c r="AK1281" s="1"/>
  <c r="AI908"/>
  <c r="AK908" s="1"/>
  <c r="AI38"/>
  <c r="AK38" s="1"/>
  <c r="AI1287"/>
  <c r="AK1287" s="1"/>
  <c r="AI800"/>
  <c r="AK800" s="1"/>
  <c r="AI1288"/>
  <c r="AK1288" s="1"/>
  <c r="AI706"/>
  <c r="AK706" s="1"/>
  <c r="AI170"/>
  <c r="AK170" s="1"/>
  <c r="AI1371"/>
  <c r="AK1371" s="1"/>
  <c r="AI75"/>
  <c r="AK75" s="1"/>
  <c r="AI1147"/>
  <c r="AK1147" s="1"/>
  <c r="AI782"/>
  <c r="AK782" s="1"/>
  <c r="AI1103"/>
  <c r="AK1103" s="1"/>
  <c r="AI429"/>
  <c r="AK429" s="1"/>
  <c r="AI1132"/>
  <c r="AK1132" s="1"/>
  <c r="AI29"/>
  <c r="AK29" s="1"/>
  <c r="AI69"/>
  <c r="AK69" s="1"/>
  <c r="AI1038"/>
  <c r="AK1038" s="1"/>
  <c r="AI39"/>
  <c r="AK39" s="1"/>
  <c r="AI40"/>
  <c r="AK40" s="1"/>
  <c r="AI41"/>
  <c r="AK41" s="1"/>
  <c r="AI1108"/>
  <c r="AK1108" s="1"/>
  <c r="AI1109"/>
  <c r="AK1109" s="1"/>
  <c r="AI1110"/>
  <c r="AK1110" s="1"/>
  <c r="AI768"/>
  <c r="AK768" s="1"/>
  <c r="AI1289"/>
  <c r="AK1289" s="1"/>
  <c r="AI682"/>
  <c r="AK682" s="1"/>
  <c r="AI247"/>
  <c r="AK247" s="1"/>
  <c r="AI754"/>
  <c r="AK754" s="1"/>
  <c r="AI406"/>
  <c r="AK406" s="1"/>
  <c r="AI737"/>
  <c r="AK737" s="1"/>
  <c r="AI55"/>
  <c r="AK55" s="1"/>
  <c r="AI769"/>
  <c r="AK769" s="1"/>
  <c r="AI1290"/>
  <c r="AK1290" s="1"/>
  <c r="AI248"/>
  <c r="AK248" s="1"/>
  <c r="AI210"/>
  <c r="AK210" s="1"/>
  <c r="AI407"/>
  <c r="AK407" s="1"/>
  <c r="AI467"/>
  <c r="AK467" s="1"/>
  <c r="AI68"/>
  <c r="AK68" s="1"/>
  <c r="AI26"/>
  <c r="AK26" s="1"/>
  <c r="AI801"/>
  <c r="AK801" s="1"/>
  <c r="AI1291"/>
  <c r="AK1291" s="1"/>
  <c r="AI211"/>
  <c r="AK211" s="1"/>
  <c r="AI683"/>
  <c r="AK683" s="1"/>
  <c r="AI1009"/>
  <c r="AK1009" s="1"/>
  <c r="AI1058"/>
  <c r="AK1058" s="1"/>
  <c r="AI1039"/>
  <c r="AK1039" s="1"/>
  <c r="AI1040"/>
  <c r="AK1040" s="1"/>
  <c r="AI386"/>
  <c r="AK386" s="1"/>
  <c r="AI1157"/>
  <c r="AK1157" s="1"/>
  <c r="AI684"/>
  <c r="AK684" s="1"/>
  <c r="AI707"/>
  <c r="AK707" s="1"/>
  <c r="AI1059"/>
  <c r="AK1059" s="1"/>
  <c r="AI1060"/>
  <c r="AK1060" s="1"/>
  <c r="AI76"/>
  <c r="AK76" s="1"/>
  <c r="AI793"/>
  <c r="AK793" s="1"/>
  <c r="AI794"/>
  <c r="AK794" s="1"/>
  <c r="AI598"/>
  <c r="AK598" s="1"/>
  <c r="AI70"/>
  <c r="AK70" s="1"/>
  <c r="AI796"/>
  <c r="AK796" s="1"/>
  <c r="AI387"/>
  <c r="AK387" s="1"/>
  <c r="AI1158"/>
  <c r="AK1158" s="1"/>
  <c r="AI708"/>
  <c r="AK708" s="1"/>
  <c r="AI709"/>
  <c r="AK709" s="1"/>
  <c r="AI1061"/>
  <c r="AK1061" s="1"/>
  <c r="AI612"/>
  <c r="AK612" s="1"/>
  <c r="AI101"/>
  <c r="AK101" s="1"/>
  <c r="AI151"/>
  <c r="AK151" s="1"/>
  <c r="AI71"/>
  <c r="AK71" s="1"/>
  <c r="AI72"/>
  <c r="AK72" s="1"/>
  <c r="AI388"/>
  <c r="AK388" s="1"/>
  <c r="AI1159"/>
  <c r="AK1159" s="1"/>
  <c r="AI1360"/>
  <c r="AK1360" s="1"/>
  <c r="AI1361"/>
  <c r="AK1361" s="1"/>
  <c r="AI613"/>
  <c r="AK613" s="1"/>
  <c r="AI642"/>
  <c r="AK642" s="1"/>
  <c r="AI1074"/>
  <c r="AK1074" s="1"/>
  <c r="AI519"/>
  <c r="AK519" s="1"/>
  <c r="AI797"/>
  <c r="AK797" s="1"/>
  <c r="AI1041"/>
  <c r="AK1041" s="1"/>
  <c r="AI562"/>
  <c r="AK562" s="1"/>
  <c r="AI1160"/>
  <c r="AK1160" s="1"/>
  <c r="AI710"/>
  <c r="AK710" s="1"/>
  <c r="AI1099"/>
  <c r="AK1099" s="1"/>
  <c r="AI1023"/>
  <c r="AK1023" s="1"/>
  <c r="AI1071"/>
  <c r="AK1071" s="1"/>
  <c r="AI563"/>
  <c r="AK563" s="1"/>
  <c r="AI1161"/>
  <c r="AK1161" s="1"/>
  <c r="AI1305"/>
  <c r="AK1305" s="1"/>
  <c r="AI154"/>
  <c r="AK154" s="1"/>
  <c r="AI1024"/>
  <c r="AK1024" s="1"/>
  <c r="AI1025"/>
  <c r="AK1025" s="1"/>
  <c r="AI445"/>
  <c r="AK445" s="1"/>
  <c r="AI1042"/>
  <c r="AK1042" s="1"/>
  <c r="AI852"/>
  <c r="AK852" s="1"/>
  <c r="AI845"/>
  <c r="AK845" s="1"/>
  <c r="AI853"/>
  <c r="AK853" s="1"/>
  <c r="AI846"/>
  <c r="AK846" s="1"/>
  <c r="AI854"/>
  <c r="AK854" s="1"/>
  <c r="AI847"/>
  <c r="AK847" s="1"/>
  <c r="AI564"/>
  <c r="AK564" s="1"/>
  <c r="AI99"/>
  <c r="AK99" s="1"/>
  <c r="AI1072"/>
  <c r="AK1072" s="1"/>
  <c r="AI989"/>
  <c r="AK989" s="1"/>
  <c r="AI520"/>
  <c r="AK520" s="1"/>
  <c r="AI977"/>
  <c r="AK977" s="1"/>
  <c r="AI978"/>
  <c r="AK978" s="1"/>
  <c r="AI21"/>
  <c r="AK21" s="1"/>
  <c r="AI979"/>
  <c r="AK979" s="1"/>
  <c r="AI915"/>
  <c r="AK915" s="1"/>
  <c r="AI969"/>
  <c r="AK969" s="1"/>
  <c r="AI970"/>
  <c r="AK970" s="1"/>
  <c r="AI971"/>
  <c r="AK971" s="1"/>
  <c r="AI972"/>
  <c r="AK972" s="1"/>
  <c r="AI1146"/>
  <c r="AK1146" s="1"/>
  <c r="AI916"/>
  <c r="AK916" s="1"/>
  <c r="AI917"/>
  <c r="AK917" s="1"/>
  <c r="AI918"/>
  <c r="AK918" s="1"/>
  <c r="AI980"/>
  <c r="AK980" s="1"/>
  <c r="AI981"/>
  <c r="AK981" s="1"/>
  <c r="AI982"/>
  <c r="AK982" s="1"/>
  <c r="AI983"/>
  <c r="AK983" s="1"/>
  <c r="AI1162"/>
  <c r="AK1162" s="1"/>
  <c r="AI565"/>
  <c r="AK565" s="1"/>
  <c r="AI1032"/>
  <c r="AK1032" s="1"/>
  <c r="AI546"/>
  <c r="AK546" s="1"/>
  <c r="AI669"/>
  <c r="AK669" s="1"/>
  <c r="AI516"/>
  <c r="AK516" s="1"/>
  <c r="AI517"/>
  <c r="AK517" s="1"/>
  <c r="AI353"/>
  <c r="AK353" s="1"/>
  <c r="AI855"/>
  <c r="AK855" s="1"/>
  <c r="AI856"/>
  <c r="AK856" s="1"/>
  <c r="AI103"/>
  <c r="AK103" s="1"/>
  <c r="AI390"/>
  <c r="AK390" s="1"/>
  <c r="AI730"/>
  <c r="AK730" s="1"/>
  <c r="AI731"/>
  <c r="AK731" s="1"/>
  <c r="AI391"/>
  <c r="AK391" s="1"/>
  <c r="AI1377"/>
  <c r="AK1377" s="1"/>
  <c r="AI1378"/>
  <c r="AK1378" s="1"/>
  <c r="AI1387"/>
  <c r="AK1387" s="1"/>
  <c r="AI1388"/>
  <c r="AK1388" s="1"/>
  <c r="AI825"/>
  <c r="AK825" s="1"/>
  <c r="AI826"/>
  <c r="AK826" s="1"/>
  <c r="AI827"/>
  <c r="AK827" s="1"/>
  <c r="AI828"/>
  <c r="AK828" s="1"/>
  <c r="AI829"/>
  <c r="AK829" s="1"/>
  <c r="AI830"/>
  <c r="AK830" s="1"/>
  <c r="AI831"/>
  <c r="AK831" s="1"/>
  <c r="AI587"/>
  <c r="AK587" s="1"/>
  <c r="AI1174"/>
  <c r="AK1174" s="1"/>
  <c r="AI209"/>
  <c r="AK209" s="1"/>
  <c r="AI418"/>
  <c r="AK418" s="1"/>
  <c r="AI297"/>
  <c r="AK297" s="1"/>
  <c r="AI1104"/>
  <c r="AK1104" s="1"/>
  <c r="AI990"/>
  <c r="AK990" s="1"/>
  <c r="AI991"/>
  <c r="AK991" s="1"/>
  <c r="AI984"/>
  <c r="AK984" s="1"/>
  <c r="AI614"/>
  <c r="AK614" s="1"/>
  <c r="AI547"/>
  <c r="AK547" s="1"/>
  <c r="AI457"/>
  <c r="AK457" s="1"/>
  <c r="AI674"/>
  <c r="AK674" s="1"/>
  <c r="AI823"/>
  <c r="AK823" s="1"/>
  <c r="AI919"/>
  <c r="AK919" s="1"/>
  <c r="AI832"/>
  <c r="AK832" s="1"/>
  <c r="AI833"/>
  <c r="AK833" s="1"/>
  <c r="AI446"/>
  <c r="AK446" s="1"/>
  <c r="AI992"/>
  <c r="AK992" s="1"/>
  <c r="AI633"/>
  <c r="AK633" s="1"/>
  <c r="AI286"/>
  <c r="AK286" s="1"/>
  <c r="AI1395"/>
  <c r="AK1395" s="1"/>
  <c r="AI62"/>
  <c r="AK62" s="1"/>
  <c r="AI834"/>
  <c r="AK834" s="1"/>
  <c r="AI835"/>
  <c r="AK835" s="1"/>
  <c r="AI696"/>
  <c r="AK696" s="1"/>
  <c r="AI697"/>
  <c r="AK697" s="1"/>
  <c r="AI752"/>
  <c r="AK752" s="1"/>
  <c r="AI702"/>
  <c r="AK702" s="1"/>
  <c r="AI703"/>
  <c r="AK703" s="1"/>
  <c r="AI788"/>
  <c r="AK788" s="1"/>
  <c r="AI905"/>
  <c r="AK905" s="1"/>
  <c r="AI906"/>
  <c r="AK906" s="1"/>
  <c r="AI961"/>
  <c r="AK961" s="1"/>
  <c r="AI602"/>
  <c r="AK602" s="1"/>
  <c r="AI1292"/>
  <c r="AK1292" s="1"/>
  <c r="AI150"/>
  <c r="AK150" s="1"/>
  <c r="AI548"/>
  <c r="AK548" s="1"/>
  <c r="AI296"/>
  <c r="AK296" s="1"/>
  <c r="AI294"/>
  <c r="AK294" s="1"/>
  <c r="AI1306"/>
  <c r="AK1306" s="1"/>
  <c r="AI836"/>
  <c r="AK836" s="1"/>
  <c r="AI837"/>
  <c r="AK837" s="1"/>
  <c r="AI789"/>
  <c r="AK789" s="1"/>
  <c r="AI790"/>
  <c r="AK790" s="1"/>
  <c r="AI838"/>
  <c r="AK838" s="1"/>
  <c r="AI839"/>
  <c r="AK839" s="1"/>
  <c r="AI791"/>
  <c r="AK791" s="1"/>
  <c r="AI792"/>
  <c r="AK792" s="1"/>
  <c r="AI1093"/>
  <c r="AK1093" s="1"/>
  <c r="AI1307"/>
  <c r="AK1307" s="1"/>
  <c r="AI549"/>
  <c r="AK549" s="1"/>
  <c r="AI1414"/>
  <c r="AK1414" s="1"/>
  <c r="AI295"/>
  <c r="AK295" s="1"/>
  <c r="AI317"/>
  <c r="AK317" s="1"/>
  <c r="AI824"/>
  <c r="AK824" s="1"/>
  <c r="AI1308"/>
  <c r="AK1308" s="1"/>
  <c r="AI819"/>
  <c r="AK819" s="1"/>
  <c r="AI162"/>
  <c r="AK162" s="1"/>
  <c r="AI1309"/>
  <c r="AK1309" s="1"/>
  <c r="AI1016"/>
  <c r="AK1016" s="1"/>
  <c r="AI1017"/>
  <c r="AK1017" s="1"/>
  <c r="AI163"/>
  <c r="AK163" s="1"/>
  <c r="AI455"/>
  <c r="AK455" s="1"/>
  <c r="AI164"/>
  <c r="AK164" s="1"/>
  <c r="AI1406"/>
  <c r="AK1406" s="1"/>
  <c r="AI456"/>
  <c r="AK456" s="1"/>
  <c r="AI1293"/>
  <c r="AK1293" s="1"/>
  <c r="AI937"/>
  <c r="AK937" s="1"/>
  <c r="AI1294"/>
  <c r="AK1294" s="1"/>
  <c r="AI1068"/>
  <c r="AK1068" s="1"/>
  <c r="AI1295"/>
  <c r="AK1295" s="1"/>
  <c r="AI1018"/>
  <c r="AK1018" s="1"/>
  <c r="AI938"/>
  <c r="AK938" s="1"/>
  <c r="AI1019"/>
  <c r="AK1019" s="1"/>
  <c r="AI5"/>
  <c r="AK5" s="1"/>
  <c r="AI410"/>
  <c r="AK410" s="1"/>
  <c r="AI844"/>
  <c r="AK844" s="1"/>
  <c r="AI840"/>
  <c r="AK840" s="1"/>
  <c r="AI1105"/>
  <c r="AK1105" s="1"/>
  <c r="AI1100"/>
  <c r="AK1100" s="1"/>
  <c r="AI411"/>
  <c r="AK411" s="1"/>
  <c r="AI711"/>
  <c r="AK711" s="1"/>
  <c r="AI412"/>
  <c r="AK412" s="1"/>
  <c r="AI381"/>
  <c r="AK381" s="1"/>
  <c r="AI239"/>
  <c r="AK239" s="1"/>
  <c r="AI704"/>
  <c r="AK704" s="1"/>
  <c r="AI267"/>
  <c r="AK267" s="1"/>
  <c r="AI268"/>
  <c r="AK268" s="1"/>
  <c r="AI4"/>
  <c r="AK4" s="1"/>
  <c r="AI687"/>
  <c r="AK687" s="1"/>
  <c r="AI688"/>
  <c r="AK688" s="1"/>
  <c r="AI689"/>
  <c r="AK689" s="1"/>
  <c r="AI714"/>
  <c r="AK714" s="1"/>
  <c r="AI715"/>
  <c r="AK715" s="1"/>
  <c r="AI841"/>
  <c r="AK841" s="1"/>
  <c r="AI842"/>
  <c r="AK842" s="1"/>
  <c r="AI843"/>
  <c r="AK843" s="1"/>
  <c r="AI996"/>
  <c r="AK996" s="1"/>
  <c r="AI84"/>
  <c r="AK84" s="1"/>
  <c r="AI85"/>
  <c r="AK85" s="1"/>
  <c r="AI857"/>
  <c r="AK857" s="1"/>
  <c r="AI815"/>
  <c r="AK815" s="1"/>
  <c r="AI934"/>
  <c r="AK934" s="1"/>
  <c r="AI46"/>
  <c r="AK46" s="1"/>
  <c r="AI430"/>
  <c r="AK430" s="1"/>
  <c r="AI14"/>
  <c r="AK14" s="1"/>
  <c r="AI1117"/>
  <c r="AK1117" s="1"/>
  <c r="AI997"/>
  <c r="AK997" s="1"/>
  <c r="AI603"/>
  <c r="AK603" s="1"/>
  <c r="AI998"/>
  <c r="AK998" s="1"/>
  <c r="AI632"/>
  <c r="AK632" s="1"/>
  <c r="AI1124"/>
  <c r="AK1124" s="1"/>
  <c r="AI1407"/>
  <c r="AK1407" s="1"/>
  <c r="AI490"/>
  <c r="AK490" s="1"/>
  <c r="AI920"/>
  <c r="AK920" s="1"/>
  <c r="AI1396"/>
  <c r="AK1396" s="1"/>
  <c r="AI909"/>
  <c r="AK909" s="1"/>
  <c r="AI1004"/>
  <c r="AK1004" s="1"/>
  <c r="AI1005"/>
  <c r="AK1005" s="1"/>
  <c r="AI968"/>
  <c r="AK968" s="1"/>
  <c r="AI858"/>
  <c r="AK858" s="1"/>
  <c r="AI859"/>
  <c r="AK859" s="1"/>
  <c r="AI860"/>
  <c r="AK860" s="1"/>
  <c r="AI861"/>
  <c r="AK861" s="1"/>
  <c r="AI862"/>
  <c r="AK862" s="1"/>
  <c r="AI863"/>
  <c r="AK863" s="1"/>
  <c r="AI864"/>
  <c r="AK864" s="1"/>
  <c r="AI865"/>
  <c r="AK865" s="1"/>
  <c r="AI866"/>
  <c r="AK866" s="1"/>
  <c r="AI867"/>
  <c r="AK867" s="1"/>
  <c r="AI868"/>
  <c r="AK868" s="1"/>
  <c r="AI869"/>
  <c r="AK869" s="1"/>
  <c r="AI870"/>
  <c r="AK870" s="1"/>
  <c r="AI871"/>
  <c r="AK871" s="1"/>
  <c r="AI872"/>
  <c r="AK872" s="1"/>
  <c r="AI873"/>
  <c r="AK873" s="1"/>
  <c r="AI874"/>
  <c r="AK874" s="1"/>
  <c r="AI875"/>
  <c r="AK875" s="1"/>
  <c r="AI876"/>
  <c r="AK876" s="1"/>
  <c r="AI354"/>
  <c r="AK354" s="1"/>
  <c r="AI355"/>
  <c r="AK355" s="1"/>
  <c r="AI356"/>
  <c r="AK356" s="1"/>
  <c r="AI357"/>
  <c r="AK357" s="1"/>
  <c r="AI358"/>
  <c r="AK358" s="1"/>
  <c r="AI359"/>
  <c r="AK359" s="1"/>
  <c r="AI360"/>
  <c r="AK360" s="1"/>
  <c r="AI361"/>
  <c r="AK361" s="1"/>
  <c r="AI362"/>
  <c r="AK362" s="1"/>
  <c r="AI363"/>
  <c r="AK363" s="1"/>
  <c r="AI364"/>
  <c r="AK364" s="1"/>
  <c r="AI365"/>
  <c r="AK365" s="1"/>
  <c r="AI366"/>
  <c r="AK366" s="1"/>
  <c r="AI367"/>
  <c r="AK367" s="1"/>
  <c r="AI368"/>
  <c r="AK368" s="1"/>
  <c r="AI369"/>
  <c r="AK369" s="1"/>
  <c r="AI675"/>
  <c r="AK675" s="1"/>
  <c r="AI676"/>
  <c r="AK676" s="1"/>
  <c r="AI677"/>
  <c r="AK677" s="1"/>
  <c r="AI678"/>
  <c r="AK678" s="1"/>
  <c r="AI679"/>
  <c r="AK679" s="1"/>
  <c r="AI156"/>
  <c r="AK156" s="1"/>
  <c r="AI157"/>
  <c r="AK157" s="1"/>
  <c r="AI158"/>
  <c r="AK158" s="1"/>
  <c r="AI159"/>
  <c r="AK159" s="1"/>
  <c r="AI160"/>
  <c r="AK160" s="1"/>
  <c r="AI161"/>
  <c r="AK161" s="1"/>
  <c r="AI321"/>
  <c r="AK321" s="1"/>
  <c r="AI322"/>
  <c r="AK322" s="1"/>
  <c r="AI494"/>
  <c r="AK494" s="1"/>
  <c r="AI495"/>
  <c r="AK495" s="1"/>
  <c r="AI646"/>
  <c r="AK646" s="1"/>
  <c r="AI647"/>
  <c r="AK647" s="1"/>
  <c r="AI807"/>
  <c r="AK807" s="1"/>
  <c r="AI808"/>
  <c r="AK808" s="1"/>
  <c r="AI323"/>
  <c r="AK323" s="1"/>
  <c r="AI324"/>
  <c r="AK324" s="1"/>
  <c r="AI496"/>
  <c r="AK496" s="1"/>
  <c r="AI497"/>
  <c r="AK497" s="1"/>
  <c r="AI648"/>
  <c r="AK648" s="1"/>
  <c r="AI649"/>
  <c r="AK649" s="1"/>
  <c r="AI809"/>
  <c r="AK809" s="1"/>
  <c r="AI810"/>
  <c r="AK810" s="1"/>
  <c r="AI325"/>
  <c r="AK325" s="1"/>
  <c r="AI326"/>
  <c r="AK326" s="1"/>
  <c r="AI498"/>
  <c r="AK498" s="1"/>
  <c r="AI499"/>
  <c r="AK499" s="1"/>
  <c r="AI650"/>
  <c r="AK650" s="1"/>
  <c r="AI651"/>
  <c r="AK651" s="1"/>
  <c r="AI1079"/>
  <c r="AK1079" s="1"/>
  <c r="AI1080"/>
  <c r="AK1080" s="1"/>
  <c r="AI327"/>
  <c r="AK327" s="1"/>
  <c r="AI328"/>
  <c r="AK328" s="1"/>
  <c r="AI500"/>
  <c r="AK500" s="1"/>
  <c r="AI501"/>
  <c r="AK501" s="1"/>
  <c r="AI652"/>
  <c r="AK652" s="1"/>
  <c r="AI653"/>
  <c r="AK653" s="1"/>
  <c r="AI811"/>
  <c r="AK811" s="1"/>
  <c r="AI812"/>
  <c r="AK812" s="1"/>
  <c r="AI813"/>
  <c r="AK813" s="1"/>
  <c r="AI814"/>
  <c r="AK814" s="1"/>
  <c r="AI1081"/>
  <c r="AK1081" s="1"/>
  <c r="AI1082"/>
  <c r="AK1082" s="1"/>
  <c r="AI329"/>
  <c r="AK329" s="1"/>
  <c r="AI330"/>
  <c r="AK330" s="1"/>
  <c r="AI502"/>
  <c r="AK502" s="1"/>
  <c r="AI1118"/>
  <c r="AK1118" s="1"/>
  <c r="AI431"/>
  <c r="AK431" s="1"/>
  <c r="AI1119"/>
  <c r="AK1119" s="1"/>
  <c r="AI1120"/>
  <c r="AK1120" s="1"/>
  <c r="AI432"/>
  <c r="AK432" s="1"/>
  <c r="AI1121"/>
  <c r="AK1121" s="1"/>
  <c r="AI1122"/>
  <c r="AK1122" s="1"/>
  <c r="AI433"/>
  <c r="AK433" s="1"/>
  <c r="AI521"/>
  <c r="AK521" s="1"/>
  <c r="AI461"/>
  <c r="AK461" s="1"/>
  <c r="AI464"/>
  <c r="AK464" s="1"/>
  <c r="AI615"/>
  <c r="AK615" s="1"/>
  <c r="AI462"/>
  <c r="AK462" s="1"/>
  <c r="AI617"/>
  <c r="AK617" s="1"/>
  <c r="AI463"/>
  <c r="AK463" s="1"/>
  <c r="AI616"/>
  <c r="AK616" s="1"/>
  <c r="AI774"/>
  <c r="AK774" s="1"/>
  <c r="AI522"/>
  <c r="AK522" s="1"/>
  <c r="AI671"/>
  <c r="AK671" s="1"/>
  <c r="AI775"/>
  <c r="AK775" s="1"/>
  <c r="AI523"/>
  <c r="AK523" s="1"/>
  <c r="AI524"/>
  <c r="AK524" s="1"/>
  <c r="AI110"/>
  <c r="AK110" s="1"/>
  <c r="AI525"/>
  <c r="AK525" s="1"/>
  <c r="AI526"/>
  <c r="AK526" s="1"/>
  <c r="AI196"/>
  <c r="AK196" s="1"/>
  <c r="AI672"/>
  <c r="AK672" s="1"/>
  <c r="AI527"/>
  <c r="AK527" s="1"/>
  <c r="AI197"/>
  <c r="AK197" s="1"/>
  <c r="AI673"/>
  <c r="AK673" s="1"/>
  <c r="AI528"/>
  <c r="AK528" s="1"/>
  <c r="AI111"/>
  <c r="AK111" s="1"/>
  <c r="AI1123"/>
  <c r="AK1123" s="1"/>
  <c r="AI389"/>
  <c r="AK389" s="1"/>
  <c r="AI434"/>
  <c r="AK434" s="1"/>
  <c r="AI13"/>
  <c r="AK13" s="1"/>
  <c r="AI400"/>
  <c r="AK400" s="1"/>
  <c r="AI271"/>
  <c r="AK271" s="1"/>
  <c r="AI30"/>
  <c r="AK30" s="1"/>
  <c r="AI1049"/>
  <c r="AK1049" s="1"/>
  <c r="AI31"/>
  <c r="AK31" s="1"/>
  <c r="AI599"/>
  <c r="AK599" s="1"/>
  <c r="AI624"/>
  <c r="AK624" s="1"/>
  <c r="AI625"/>
  <c r="AK625" s="1"/>
  <c r="AI1030"/>
  <c r="AK1030" s="1"/>
  <c r="AI1031"/>
  <c r="AK1031" s="1"/>
  <c r="AI1075"/>
  <c r="AK1075" s="1"/>
  <c r="AI1234"/>
  <c r="AK1234" s="1"/>
  <c r="AI1235"/>
  <c r="AK1235" s="1"/>
  <c r="AI1236"/>
  <c r="AK1236" s="1"/>
  <c r="AI435"/>
  <c r="AK435" s="1"/>
  <c r="AI397"/>
  <c r="AK397" s="1"/>
  <c r="AI894"/>
  <c r="AK894" s="1"/>
  <c r="AI1111"/>
  <c r="AK1111" s="1"/>
  <c r="AI1128"/>
  <c r="AK1128" s="1"/>
  <c r="AI222"/>
  <c r="AK222" s="1"/>
  <c r="AI269"/>
  <c r="AK269" s="1"/>
  <c r="AI12"/>
  <c r="AK12" s="1"/>
  <c r="AI895"/>
  <c r="AK895" s="1"/>
  <c r="AI22"/>
  <c r="AK22" s="1"/>
  <c r="AI23"/>
  <c r="AK23" s="1"/>
  <c r="AI705"/>
  <c r="AK705" s="1"/>
  <c r="AI753"/>
  <c r="AK753" s="1"/>
  <c r="AI778"/>
  <c r="AK778" s="1"/>
  <c r="AI24"/>
  <c r="AK24" s="1"/>
  <c r="AI25"/>
  <c r="AK25" s="1"/>
  <c r="AI63"/>
  <c r="AK63" s="1"/>
  <c r="AI64"/>
  <c r="AK64" s="1"/>
  <c r="AI950"/>
  <c r="AK950" s="1"/>
  <c r="AI47"/>
  <c r="AK47" s="1"/>
  <c r="AI951"/>
  <c r="AK951" s="1"/>
  <c r="AI48"/>
  <c r="AK48" s="1"/>
  <c r="AI1394"/>
  <c r="AK1394" s="1"/>
  <c r="AI1418"/>
  <c r="AK1418" s="1"/>
  <c r="AI1419"/>
  <c r="AK1419" s="1"/>
  <c r="AI1420"/>
  <c r="AK1420" s="1"/>
  <c r="AI1421"/>
  <c r="AK1421" s="1"/>
  <c r="AI1422"/>
  <c r="AK1422" s="1"/>
  <c r="AI1423"/>
  <c r="AK1423" s="1"/>
  <c r="AI1424"/>
  <c r="AK1424" s="1"/>
  <c r="AI1425"/>
  <c r="AK1425" s="1"/>
  <c r="AI1426"/>
  <c r="AK1426" s="1"/>
  <c r="AI1427"/>
  <c r="AK1427" s="1"/>
  <c r="AI1428"/>
  <c r="AK1428" s="1"/>
  <c r="AI1429"/>
  <c r="AK1429" s="1"/>
  <c r="AI1433"/>
  <c r="AK1433" s="1"/>
  <c r="K2" i="53"/>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E2" i="50"/>
  <c r="E3"/>
  <c r="E4"/>
  <c r="E5"/>
  <c r="E6"/>
  <c r="E7"/>
  <c r="E8"/>
  <c r="E9"/>
  <c r="E10"/>
  <c r="E11"/>
  <c r="E12"/>
  <c r="E13"/>
  <c r="E14"/>
  <c r="E15"/>
  <c r="E16"/>
  <c r="E17"/>
  <c r="E18"/>
  <c r="E19"/>
  <c r="E20"/>
  <c r="E21"/>
  <c r="E22"/>
  <c r="E23"/>
  <c r="E24"/>
  <c r="E25"/>
  <c r="E26"/>
  <c r="E27"/>
  <c r="E28"/>
  <c r="E29"/>
  <c r="E30"/>
  <c r="E31"/>
  <c r="E32"/>
  <c r="E33"/>
  <c r="AL1418" i="5" l="1"/>
  <c r="Z1418" s="1"/>
  <c r="AL25"/>
  <c r="Z25" s="1"/>
  <c r="AL12"/>
  <c r="Z12" s="1"/>
  <c r="AL1236"/>
  <c r="Z1236" s="1"/>
  <c r="AL389"/>
  <c r="Z389" s="1"/>
  <c r="AL196"/>
  <c r="Z196" s="1"/>
  <c r="AL522"/>
  <c r="Z522" s="1"/>
  <c r="AL461"/>
  <c r="Z461" s="1"/>
  <c r="AL431"/>
  <c r="Z431" s="1"/>
  <c r="AL327"/>
  <c r="Z327" s="1"/>
  <c r="AL325"/>
  <c r="Z325" s="1"/>
  <c r="AL323"/>
  <c r="Z323" s="1"/>
  <c r="AL321"/>
  <c r="Z321" s="1"/>
  <c r="AL678"/>
  <c r="Z678" s="1"/>
  <c r="AL365"/>
  <c r="Z365" s="1"/>
  <c r="AL357"/>
  <c r="Z357" s="1"/>
  <c r="AL872"/>
  <c r="Z872" s="1"/>
  <c r="AL864"/>
  <c r="Z864" s="1"/>
  <c r="AL1005"/>
  <c r="Z1005" s="1"/>
  <c r="AL632"/>
  <c r="Z632" s="1"/>
  <c r="AL934"/>
  <c r="Z934" s="1"/>
  <c r="AL841"/>
  <c r="Z841" s="1"/>
  <c r="AL267"/>
  <c r="Z267" s="1"/>
  <c r="AL1105"/>
  <c r="Z1105" s="1"/>
  <c r="AL1295"/>
  <c r="Z1295" s="1"/>
  <c r="AL455"/>
  <c r="Z455" s="1"/>
  <c r="AL824"/>
  <c r="Z824" s="1"/>
  <c r="AL791"/>
  <c r="Z791" s="1"/>
  <c r="AL294"/>
  <c r="Z294" s="1"/>
  <c r="AL905"/>
  <c r="Z905" s="1"/>
  <c r="AL834"/>
  <c r="Z834" s="1"/>
  <c r="AL832"/>
  <c r="Z832" s="1"/>
  <c r="AL991"/>
  <c r="Z991" s="1"/>
  <c r="AL831"/>
  <c r="Z831" s="1"/>
  <c r="AL1387"/>
  <c r="Z1387" s="1"/>
  <c r="AL856"/>
  <c r="Z856" s="1"/>
  <c r="AL565"/>
  <c r="Z565" s="1"/>
  <c r="AL916"/>
  <c r="Z916" s="1"/>
  <c r="AL21"/>
  <c r="Z21" s="1"/>
  <c r="AL847"/>
  <c r="Z847" s="1"/>
  <c r="AL1025"/>
  <c r="Z1025" s="1"/>
  <c r="AL1099"/>
  <c r="Z1099" s="1"/>
  <c r="AL642"/>
  <c r="Z642" s="1"/>
  <c r="AL151"/>
  <c r="Z151" s="1"/>
  <c r="AL796"/>
  <c r="Z796" s="1"/>
  <c r="AL707"/>
  <c r="Z707" s="1"/>
  <c r="AL683"/>
  <c r="Z683" s="1"/>
  <c r="AL210"/>
  <c r="Z210" s="1"/>
  <c r="AL247"/>
  <c r="Z247" s="1"/>
  <c r="AL40"/>
  <c r="Z40" s="1"/>
  <c r="AL782"/>
  <c r="Z782" s="1"/>
  <c r="AL1287"/>
  <c r="Z1287" s="1"/>
  <c r="AL559"/>
  <c r="Z559" s="1"/>
  <c r="AL307"/>
  <c r="Z307" s="1"/>
  <c r="AL1186"/>
  <c r="Z1186" s="1"/>
  <c r="AL1278"/>
  <c r="Z1278" s="1"/>
  <c r="AL695"/>
  <c r="Z695" s="1"/>
  <c r="AL1172"/>
  <c r="Z1172" s="1"/>
  <c r="AL1261"/>
  <c r="Z1261" s="1"/>
  <c r="AL36"/>
  <c r="Z36" s="1"/>
  <c r="AL476"/>
  <c r="Z476" s="1"/>
  <c r="AL538"/>
  <c r="Z538" s="1"/>
  <c r="AL781"/>
  <c r="Z781" s="1"/>
  <c r="AL569"/>
  <c r="Z569" s="1"/>
  <c r="AL238"/>
  <c r="Z238" s="1"/>
  <c r="AL270"/>
  <c r="Z270" s="1"/>
  <c r="AL223"/>
  <c r="Z223" s="1"/>
  <c r="AL266"/>
  <c r="Z266" s="1"/>
  <c r="AL1370"/>
  <c r="Z1370" s="1"/>
  <c r="AL1416"/>
  <c r="Z1416" s="1"/>
  <c r="AL1271"/>
  <c r="Z1271" s="1"/>
  <c r="AL1211"/>
  <c r="Z1211" s="1"/>
  <c r="AL352"/>
  <c r="Z352" s="1"/>
  <c r="AL179"/>
  <c r="Z179" s="1"/>
  <c r="AL173"/>
  <c r="Z173" s="1"/>
  <c r="AL1303"/>
  <c r="Z1303" s="1"/>
  <c r="AL623"/>
  <c r="Z623" s="1"/>
  <c r="AL513"/>
  <c r="Z513" s="1"/>
  <c r="AL1196"/>
  <c r="Z1196" s="1"/>
  <c r="AL378"/>
  <c r="Z378" s="1"/>
  <c r="AL1299"/>
  <c r="Z1299" s="1"/>
  <c r="AL1130"/>
  <c r="Z1130" s="1"/>
  <c r="AL1365"/>
  <c r="Z1365" s="1"/>
  <c r="AL933"/>
  <c r="Z933" s="1"/>
  <c r="AL743"/>
  <c r="Z743" s="1"/>
  <c r="AL698"/>
  <c r="Z698" s="1"/>
  <c r="AL583"/>
  <c r="Z583" s="1"/>
  <c r="AL582"/>
  <c r="Z582" s="1"/>
  <c r="AL902"/>
  <c r="Z902" s="1"/>
  <c r="AL487"/>
  <c r="Z487" s="1"/>
  <c r="AL1258"/>
  <c r="Z1258" s="1"/>
  <c r="AL1073"/>
  <c r="Z1073" s="1"/>
  <c r="AL52"/>
  <c r="Z52" s="1"/>
  <c r="AL816"/>
  <c r="Z816" s="1"/>
  <c r="AL947"/>
  <c r="Z947" s="1"/>
  <c r="AL760"/>
  <c r="Z760" s="1"/>
  <c r="AL276"/>
  <c r="Z276" s="1"/>
  <c r="AL1237"/>
  <c r="Z1237" s="1"/>
  <c r="AL804"/>
  <c r="Z804" s="1"/>
  <c r="AL141"/>
  <c r="Z141" s="1"/>
  <c r="AL1043"/>
  <c r="Z1043" s="1"/>
  <c r="AL953"/>
  <c r="Z953" s="1"/>
  <c r="AL439"/>
  <c r="Z439" s="1"/>
  <c r="AL900"/>
  <c r="Z900" s="1"/>
  <c r="AL17"/>
  <c r="Z17" s="1"/>
  <c r="AL601"/>
  <c r="Z601" s="1"/>
  <c r="AL195"/>
  <c r="Z195" s="1"/>
  <c r="AL442"/>
  <c r="Z442" s="1"/>
  <c r="AL395"/>
  <c r="Z395" s="1"/>
  <c r="AL820"/>
  <c r="Z820" s="1"/>
  <c r="AL1143"/>
  <c r="Z1143" s="1"/>
  <c r="AL898"/>
  <c r="Z898" s="1"/>
  <c r="AL478"/>
  <c r="Z478" s="1"/>
  <c r="AL402"/>
  <c r="Z402" s="1"/>
  <c r="AL620"/>
  <c r="Z620" s="1"/>
  <c r="AL654"/>
  <c r="Z654" s="1"/>
  <c r="AL661"/>
  <c r="Z661" s="1"/>
  <c r="AL316"/>
  <c r="Z316" s="1"/>
  <c r="AL15"/>
  <c r="Z15" s="1"/>
  <c r="AL749"/>
  <c r="Z749" s="1"/>
  <c r="AL79"/>
  <c r="Z79" s="1"/>
  <c r="AL436"/>
  <c r="Z436" s="1"/>
  <c r="AL32"/>
  <c r="Z32" s="1"/>
  <c r="AL1367"/>
  <c r="Z1367" s="1"/>
  <c r="AL1240"/>
  <c r="Z1240" s="1"/>
  <c r="AL320"/>
  <c r="Z320" s="1"/>
  <c r="AL955"/>
  <c r="Z955" s="1"/>
  <c r="AL231"/>
  <c r="Z231" s="1"/>
  <c r="AL394"/>
  <c r="Z394" s="1"/>
  <c r="AL719"/>
  <c r="Z719" s="1"/>
  <c r="AL1372"/>
  <c r="Z1372" s="1"/>
  <c r="AL153"/>
  <c r="Z153" s="1"/>
  <c r="AL1304"/>
  <c r="Z1304" s="1"/>
  <c r="AL1163"/>
  <c r="Z1163" s="1"/>
  <c r="AL203"/>
  <c r="Z203" s="1"/>
  <c r="AL664"/>
  <c r="Z664" s="1"/>
  <c r="AL1284"/>
  <c r="Z1284" s="1"/>
  <c r="AL726"/>
  <c r="Z726" s="1"/>
  <c r="AL1397"/>
  <c r="Z1397" s="1"/>
  <c r="AL57"/>
  <c r="Z57" s="1"/>
  <c r="AL1149"/>
  <c r="Z1149" s="1"/>
  <c r="AL993"/>
  <c r="Z993" s="1"/>
  <c r="AL18"/>
  <c r="Z18" s="1"/>
  <c r="AL424"/>
  <c r="Z424" s="1"/>
  <c r="AL532"/>
  <c r="Z532" s="1"/>
  <c r="AL337"/>
  <c r="Z337" s="1"/>
  <c r="AL87"/>
  <c r="Z87" s="1"/>
  <c r="AL1267"/>
  <c r="Z1267" s="1"/>
  <c r="AL228"/>
  <c r="Z228" s="1"/>
  <c r="AL779"/>
  <c r="Z779" s="1"/>
  <c r="AL175"/>
  <c r="Z175" s="1"/>
  <c r="AL1426"/>
  <c r="Z1426" s="1"/>
  <c r="AL599"/>
  <c r="Z599" s="1"/>
  <c r="AL813"/>
  <c r="Z813" s="1"/>
  <c r="AL1427"/>
  <c r="Z1427" s="1"/>
  <c r="AL1419"/>
  <c r="Z1419" s="1"/>
  <c r="AL63"/>
  <c r="Z63" s="1"/>
  <c r="AL895"/>
  <c r="Z895" s="1"/>
  <c r="AL435"/>
  <c r="Z435" s="1"/>
  <c r="AL624"/>
  <c r="Z624" s="1"/>
  <c r="AL434"/>
  <c r="Z434" s="1"/>
  <c r="AL672"/>
  <c r="Z672" s="1"/>
  <c r="AL671"/>
  <c r="Z671" s="1"/>
  <c r="AL464"/>
  <c r="Z464" s="1"/>
  <c r="AL1119"/>
  <c r="Z1119" s="1"/>
  <c r="AL814"/>
  <c r="Z814" s="1"/>
  <c r="AL328"/>
  <c r="Z328" s="1"/>
  <c r="AL326"/>
  <c r="Z326" s="1"/>
  <c r="AL324"/>
  <c r="Z324" s="1"/>
  <c r="AL322"/>
  <c r="Z322" s="1"/>
  <c r="AL679"/>
  <c r="Z679" s="1"/>
  <c r="AL366"/>
  <c r="Z366" s="1"/>
  <c r="AL358"/>
  <c r="Z358" s="1"/>
  <c r="AL873"/>
  <c r="Z873" s="1"/>
  <c r="AL865"/>
  <c r="Z865" s="1"/>
  <c r="AL968"/>
  <c r="Z968" s="1"/>
  <c r="AL1124"/>
  <c r="Z1124" s="1"/>
  <c r="AL46"/>
  <c r="Z46" s="1"/>
  <c r="AL842"/>
  <c r="Z842" s="1"/>
  <c r="AL268"/>
  <c r="Z268" s="1"/>
  <c r="AL1100"/>
  <c r="Z1100" s="1"/>
  <c r="AL1018"/>
  <c r="Z1018" s="1"/>
  <c r="AL164"/>
  <c r="Z164" s="1"/>
  <c r="AL1308"/>
  <c r="Z1308" s="1"/>
  <c r="AL792"/>
  <c r="Z792" s="1"/>
  <c r="AL1306"/>
  <c r="Z1306" s="1"/>
  <c r="AL906"/>
  <c r="Z906" s="1"/>
  <c r="AL835"/>
  <c r="Z835" s="1"/>
  <c r="AL833"/>
  <c r="Z833" s="1"/>
  <c r="AL984"/>
  <c r="Z984" s="1"/>
  <c r="AL587"/>
  <c r="Z587" s="1"/>
  <c r="AL1388"/>
  <c r="Z1388" s="1"/>
  <c r="AL103"/>
  <c r="Z103" s="1"/>
  <c r="AL1032"/>
  <c r="Z1032" s="1"/>
  <c r="AL917"/>
  <c r="Z917" s="1"/>
  <c r="AL979"/>
  <c r="Z979" s="1"/>
  <c r="AL564"/>
  <c r="Z564" s="1"/>
  <c r="AL445"/>
  <c r="Z445" s="1"/>
  <c r="AL1023"/>
  <c r="Z1023" s="1"/>
  <c r="AL1074"/>
  <c r="Z1074" s="1"/>
  <c r="AL71"/>
  <c r="Z71" s="1"/>
  <c r="AL387"/>
  <c r="Z387" s="1"/>
  <c r="AL1059"/>
  <c r="Z1059" s="1"/>
  <c r="AL1009"/>
  <c r="Z1009" s="1"/>
  <c r="AL407"/>
  <c r="Z407" s="1"/>
  <c r="AL754"/>
  <c r="Z754" s="1"/>
  <c r="AL41"/>
  <c r="Z41" s="1"/>
  <c r="AL1103"/>
  <c r="Z1103" s="1"/>
  <c r="AL800"/>
  <c r="Z800" s="1"/>
  <c r="AL308"/>
  <c r="Z308" s="1"/>
  <c r="AL1248"/>
  <c r="Z1248" s="1"/>
  <c r="AL795"/>
  <c r="Z795" s="1"/>
  <c r="AL11"/>
  <c r="Z11" s="1"/>
  <c r="AL1262"/>
  <c r="Z1262" s="1"/>
  <c r="AL1173"/>
  <c r="Z1173" s="1"/>
  <c r="AL8"/>
  <c r="Z8" s="1"/>
  <c r="AL1315"/>
  <c r="Z1315" s="1"/>
  <c r="AL1131"/>
  <c r="Z1131" s="1"/>
  <c r="AL910"/>
  <c r="Z910" s="1"/>
  <c r="AL414"/>
  <c r="Z414" s="1"/>
  <c r="AL535"/>
  <c r="Z535" s="1"/>
  <c r="AL379"/>
  <c r="Z379" s="1"/>
  <c r="AL1202"/>
  <c r="Z1202" s="1"/>
  <c r="AL1313"/>
  <c r="Z1313" s="1"/>
  <c r="AL637"/>
  <c r="Z637" s="1"/>
  <c r="AL188"/>
  <c r="Z188" s="1"/>
  <c r="AL384"/>
  <c r="Z384" s="1"/>
  <c r="AL184"/>
  <c r="Z184" s="1"/>
  <c r="AL343"/>
  <c r="Z343" s="1"/>
  <c r="AL1167"/>
  <c r="Z1167" s="1"/>
  <c r="AL342"/>
  <c r="Z342" s="1"/>
  <c r="AL174"/>
  <c r="Z174" s="1"/>
  <c r="AL1312"/>
  <c r="Z1312" s="1"/>
  <c r="AL475"/>
  <c r="Z475" s="1"/>
  <c r="AL351"/>
  <c r="Z351" s="1"/>
  <c r="AL1090"/>
  <c r="Z1090" s="1"/>
  <c r="AL234"/>
  <c r="Z234" s="1"/>
  <c r="AL1300"/>
  <c r="Z1300" s="1"/>
  <c r="AL957"/>
  <c r="Z957" s="1"/>
  <c r="AL1366"/>
  <c r="Z1366" s="1"/>
  <c r="AL466"/>
  <c r="Z466" s="1"/>
  <c r="AL929"/>
  <c r="Z929" s="1"/>
  <c r="AL452"/>
  <c r="Z452" s="1"/>
  <c r="AL584"/>
  <c r="Z584" s="1"/>
  <c r="AL1321"/>
  <c r="Z1321" s="1"/>
  <c r="AL903"/>
  <c r="Z903" s="1"/>
  <c r="AL608"/>
  <c r="Z608" s="1"/>
  <c r="AL20"/>
  <c r="Z20" s="1"/>
  <c r="AL45"/>
  <c r="Z45" s="1"/>
  <c r="AL1381"/>
  <c r="Z1381" s="1"/>
  <c r="AL851"/>
  <c r="Z851" s="1"/>
  <c r="AL927"/>
  <c r="Z927" s="1"/>
  <c r="AL761"/>
  <c r="Z761" s="1"/>
  <c r="AL1084"/>
  <c r="Z1084" s="1"/>
  <c r="AL1238"/>
  <c r="Z1238" s="1"/>
  <c r="AL574"/>
  <c r="Z574" s="1"/>
  <c r="AL1047"/>
  <c r="Z1047" s="1"/>
  <c r="AL890"/>
  <c r="Z890" s="1"/>
  <c r="AL1137"/>
  <c r="Z1137" s="1"/>
  <c r="AL985"/>
  <c r="Z985" s="1"/>
  <c r="AL1363"/>
  <c r="Z1363" s="1"/>
  <c r="AL757"/>
  <c r="Z757" s="1"/>
  <c r="AL1245"/>
  <c r="Z1245" s="1"/>
  <c r="AL621"/>
  <c r="Z621" s="1"/>
  <c r="AL670"/>
  <c r="Z670" s="1"/>
  <c r="AL1411"/>
  <c r="Z1411" s="1"/>
  <c r="AL821"/>
  <c r="Z821" s="1"/>
  <c r="AL1144"/>
  <c r="Z1144" s="1"/>
  <c r="AL94"/>
  <c r="Z94" s="1"/>
  <c r="AL1405"/>
  <c r="Z1405" s="1"/>
  <c r="AL1044"/>
  <c r="Z1044" s="1"/>
  <c r="AL409"/>
  <c r="Z409" s="1"/>
  <c r="AL655"/>
  <c r="Z655" s="1"/>
  <c r="AL747"/>
  <c r="Z747" s="1"/>
  <c r="AL1139"/>
  <c r="Z1139" s="1"/>
  <c r="AL911"/>
  <c r="Z911" s="1"/>
  <c r="AL750"/>
  <c r="Z750" s="1"/>
  <c r="AL305"/>
  <c r="Z305" s="1"/>
  <c r="AL437"/>
  <c r="Z437" s="1"/>
  <c r="AL283"/>
  <c r="Z283" s="1"/>
  <c r="AL1368"/>
  <c r="Z1368" s="1"/>
  <c r="AL277"/>
  <c r="Z277" s="1"/>
  <c r="AL398"/>
  <c r="Z398" s="1"/>
  <c r="AL58"/>
  <c r="Z58" s="1"/>
  <c r="AL232"/>
  <c r="Z232" s="1"/>
  <c r="AL1402"/>
  <c r="Z1402" s="1"/>
  <c r="AL720"/>
  <c r="Z720" s="1"/>
  <c r="AL393"/>
  <c r="Z393" s="1"/>
  <c r="AL106"/>
  <c r="Z106" s="1"/>
  <c r="AL149"/>
  <c r="Z149" s="1"/>
  <c r="AL1164"/>
  <c r="Z1164" s="1"/>
  <c r="AL204"/>
  <c r="Z204" s="1"/>
  <c r="AL336"/>
  <c r="Z336" s="1"/>
  <c r="AL1285"/>
  <c r="Z1285" s="1"/>
  <c r="AL727"/>
  <c r="Z727" s="1"/>
  <c r="AL142"/>
  <c r="Z142" s="1"/>
  <c r="AL469"/>
  <c r="Z469" s="1"/>
  <c r="AL468"/>
  <c r="Z468" s="1"/>
  <c r="AL1350"/>
  <c r="Z1350" s="1"/>
  <c r="AL56"/>
  <c r="Z56" s="1"/>
  <c r="AL533"/>
  <c r="Z533" s="1"/>
  <c r="AL716"/>
  <c r="Z716" s="1"/>
  <c r="AL510"/>
  <c r="Z510" s="1"/>
  <c r="AL139"/>
  <c r="Z139" s="1"/>
  <c r="AL230"/>
  <c r="Z230" s="1"/>
  <c r="AL229"/>
  <c r="Z229" s="1"/>
  <c r="AL278"/>
  <c r="Z278" s="1"/>
  <c r="AL1006"/>
  <c r="Z1006" s="1"/>
  <c r="AL1428"/>
  <c r="Z1428" s="1"/>
  <c r="AL1420"/>
  <c r="Z1420" s="1"/>
  <c r="AL64"/>
  <c r="Z64" s="1"/>
  <c r="AL22"/>
  <c r="Z22" s="1"/>
  <c r="AL397"/>
  <c r="Z397" s="1"/>
  <c r="AL625"/>
  <c r="Z625" s="1"/>
  <c r="AL13"/>
  <c r="Z13" s="1"/>
  <c r="AL527"/>
  <c r="Z527" s="1"/>
  <c r="AL775"/>
  <c r="Z775" s="1"/>
  <c r="AL615"/>
  <c r="Z615" s="1"/>
  <c r="AL1120"/>
  <c r="Z1120" s="1"/>
  <c r="AL1081"/>
  <c r="Z1081" s="1"/>
  <c r="AL500"/>
  <c r="Z500" s="1"/>
  <c r="AL498"/>
  <c r="Z498" s="1"/>
  <c r="AL496"/>
  <c r="Z496" s="1"/>
  <c r="AL494"/>
  <c r="Z494" s="1"/>
  <c r="AL156"/>
  <c r="Z156" s="1"/>
  <c r="AL367"/>
  <c r="Z367" s="1"/>
  <c r="AL359"/>
  <c r="Z359" s="1"/>
  <c r="AL874"/>
  <c r="Z874" s="1"/>
  <c r="AL866"/>
  <c r="Z866" s="1"/>
  <c r="AL858"/>
  <c r="Z858" s="1"/>
  <c r="AL1407"/>
  <c r="Z1407" s="1"/>
  <c r="AL430"/>
  <c r="Z430" s="1"/>
  <c r="AL843"/>
  <c r="Z843" s="1"/>
  <c r="AL4"/>
  <c r="Z4" s="1"/>
  <c r="AL411"/>
  <c r="Z411" s="1"/>
  <c r="AL938"/>
  <c r="Z938" s="1"/>
  <c r="AL1406"/>
  <c r="Z1406" s="1"/>
  <c r="AL819"/>
  <c r="Z819" s="1"/>
  <c r="AL1093"/>
  <c r="Z1093" s="1"/>
  <c r="AL836"/>
  <c r="Z836" s="1"/>
  <c r="AL961"/>
  <c r="Z961" s="1"/>
  <c r="AL696"/>
  <c r="Z696" s="1"/>
  <c r="AL446"/>
  <c r="Z446" s="1"/>
  <c r="AL614"/>
  <c r="Z614" s="1"/>
  <c r="AL1174"/>
  <c r="Z1174" s="1"/>
  <c r="AL825"/>
  <c r="Z825" s="1"/>
  <c r="AL390"/>
  <c r="Z390" s="1"/>
  <c r="AL546"/>
  <c r="Z546" s="1"/>
  <c r="AL918"/>
  <c r="Z918" s="1"/>
  <c r="AL915"/>
  <c r="Z915" s="1"/>
  <c r="AL99"/>
  <c r="Z99" s="1"/>
  <c r="AL1042"/>
  <c r="Z1042" s="1"/>
  <c r="AL1071"/>
  <c r="Z1071" s="1"/>
  <c r="AL519"/>
  <c r="Z519" s="1"/>
  <c r="AL72"/>
  <c r="Z72" s="1"/>
  <c r="AL1158"/>
  <c r="Z1158" s="1"/>
  <c r="AL1060"/>
  <c r="Z1060" s="1"/>
  <c r="AL1058"/>
  <c r="Z1058" s="1"/>
  <c r="AL467"/>
  <c r="Z467" s="1"/>
  <c r="AL406"/>
  <c r="Z406" s="1"/>
  <c r="AL1108"/>
  <c r="Z1108" s="1"/>
  <c r="AL429"/>
  <c r="Z429" s="1"/>
  <c r="AL1288"/>
  <c r="Z1288" s="1"/>
  <c r="AL284"/>
  <c r="Z284" s="1"/>
  <c r="AL1249"/>
  <c r="Z1249" s="1"/>
  <c r="AL1034"/>
  <c r="Z1034" s="1"/>
  <c r="AL1279"/>
  <c r="Z1279" s="1"/>
  <c r="AL1263"/>
  <c r="Z1263" s="1"/>
  <c r="AL74"/>
  <c r="Z74" s="1"/>
  <c r="AL416"/>
  <c r="Z416" s="1"/>
  <c r="AL1316"/>
  <c r="Z1316" s="1"/>
  <c r="AL428"/>
  <c r="Z428" s="1"/>
  <c r="AL54"/>
  <c r="Z54" s="1"/>
  <c r="AL415"/>
  <c r="Z415" s="1"/>
  <c r="AL780"/>
  <c r="Z780" s="1"/>
  <c r="AL1354"/>
  <c r="Z1354" s="1"/>
  <c r="AL949"/>
  <c r="Z949" s="1"/>
  <c r="AL1314"/>
  <c r="Z1314" s="1"/>
  <c r="AL638"/>
  <c r="Z638" s="1"/>
  <c r="AL1169"/>
  <c r="Z1169" s="1"/>
  <c r="AL235"/>
  <c r="Z235" s="1"/>
  <c r="AL185"/>
  <c r="Z185" s="1"/>
  <c r="AL183"/>
  <c r="Z183" s="1"/>
  <c r="AL515"/>
  <c r="Z515" s="1"/>
  <c r="AL166"/>
  <c r="Z166" s="1"/>
  <c r="AL42"/>
  <c r="Z42" s="1"/>
  <c r="AL987"/>
  <c r="Z987" s="1"/>
  <c r="AL1296"/>
  <c r="Z1296" s="1"/>
  <c r="AL1020"/>
  <c r="Z1020" s="1"/>
  <c r="AL182"/>
  <c r="Z182" s="1"/>
  <c r="AL1155"/>
  <c r="Z1155" s="1"/>
  <c r="AL1301"/>
  <c r="Z1301" s="1"/>
  <c r="AL66"/>
  <c r="Z66" s="1"/>
  <c r="AL1297"/>
  <c r="Z1297" s="1"/>
  <c r="AL1330"/>
  <c r="Z1330" s="1"/>
  <c r="AL930"/>
  <c r="Z930" s="1"/>
  <c r="AL488"/>
  <c r="Z488" s="1"/>
  <c r="AL585"/>
  <c r="Z585" s="1"/>
  <c r="AL1322"/>
  <c r="Z1322" s="1"/>
  <c r="AL34"/>
  <c r="Z34" s="1"/>
  <c r="AL639"/>
  <c r="Z639" s="1"/>
  <c r="AL290"/>
  <c r="Z290" s="1"/>
  <c r="AL73"/>
  <c r="Z73" s="1"/>
  <c r="AL1382"/>
  <c r="Z1382" s="1"/>
  <c r="AL313"/>
  <c r="Z313" s="1"/>
  <c r="AL928"/>
  <c r="Z928" s="1"/>
  <c r="AL1256"/>
  <c r="Z1256" s="1"/>
  <c r="AL1048"/>
  <c r="Z1048" s="1"/>
  <c r="AL275"/>
  <c r="Z275" s="1"/>
  <c r="AL575"/>
  <c r="Z575" s="1"/>
  <c r="AL926"/>
  <c r="Z926" s="1"/>
  <c r="AL891"/>
  <c r="Z891" s="1"/>
  <c r="AL999"/>
  <c r="Z999" s="1"/>
  <c r="AL630"/>
  <c r="Z630" s="1"/>
  <c r="AL1352"/>
  <c r="Z1352" s="1"/>
  <c r="AL1218"/>
  <c r="Z1218" s="1"/>
  <c r="AL1246"/>
  <c r="Z1246" s="1"/>
  <c r="AL899"/>
  <c r="Z899" s="1"/>
  <c r="AL299"/>
  <c r="Z299" s="1"/>
  <c r="AL1412"/>
  <c r="Z1412" s="1"/>
  <c r="AL1369"/>
  <c r="Z1369" s="1"/>
  <c r="AL1145"/>
  <c r="Z1145" s="1"/>
  <c r="AL1088"/>
  <c r="Z1088" s="1"/>
  <c r="AL403"/>
  <c r="Z403" s="1"/>
  <c r="AL1052"/>
  <c r="Z1052" s="1"/>
  <c r="AL729"/>
  <c r="Z729" s="1"/>
  <c r="AL850"/>
  <c r="Z850" s="1"/>
  <c r="AL976"/>
  <c r="Z976" s="1"/>
  <c r="AL1140"/>
  <c r="Z1140" s="1"/>
  <c r="AL912"/>
  <c r="Z912" s="1"/>
  <c r="AL751"/>
  <c r="Z751" s="1"/>
  <c r="AL306"/>
  <c r="Z306" s="1"/>
  <c r="AL1000"/>
  <c r="Z1000" s="1"/>
  <c r="AL493"/>
  <c r="Z493" s="1"/>
  <c r="AL738"/>
  <c r="Z738" s="1"/>
  <c r="AL227"/>
  <c r="Z227" s="1"/>
  <c r="AL399"/>
  <c r="Z399" s="1"/>
  <c r="AL59"/>
  <c r="Z59" s="1"/>
  <c r="AL233"/>
  <c r="Z233" s="1"/>
  <c r="AL90"/>
  <c r="Z90" s="1"/>
  <c r="AL1373"/>
  <c r="Z1373" s="1"/>
  <c r="AL392"/>
  <c r="Z392" s="1"/>
  <c r="AL1152"/>
  <c r="Z1152" s="1"/>
  <c r="AL450"/>
  <c r="Z450" s="1"/>
  <c r="AL771"/>
  <c r="Z771" s="1"/>
  <c r="AL1011"/>
  <c r="Z1011" s="1"/>
  <c r="AL508"/>
  <c r="Z508" s="1"/>
  <c r="AL1265"/>
  <c r="Z1265" s="1"/>
  <c r="AL1008"/>
  <c r="Z1008" s="1"/>
  <c r="AL89"/>
  <c r="Z89" s="1"/>
  <c r="AL470"/>
  <c r="Z470" s="1"/>
  <c r="AL1027"/>
  <c r="Z1027" s="1"/>
  <c r="AL302"/>
  <c r="Z302" s="1"/>
  <c r="AL16"/>
  <c r="Z16" s="1"/>
  <c r="AL348"/>
  <c r="Z348" s="1"/>
  <c r="AL712"/>
  <c r="Z712" s="1"/>
  <c r="AL281"/>
  <c r="Z281" s="1"/>
  <c r="AL280"/>
  <c r="Z280" s="1"/>
  <c r="AL1264"/>
  <c r="Z1264" s="1"/>
  <c r="AL338"/>
  <c r="Z338" s="1"/>
  <c r="AL176"/>
  <c r="Z176" s="1"/>
  <c r="AL1053"/>
  <c r="Z1053" s="1"/>
  <c r="AL1421"/>
  <c r="Z1421" s="1"/>
  <c r="AL894"/>
  <c r="Z894" s="1"/>
  <c r="AL523"/>
  <c r="Z523" s="1"/>
  <c r="AL462"/>
  <c r="Z462" s="1"/>
  <c r="AL432"/>
  <c r="Z432" s="1"/>
  <c r="AL1082"/>
  <c r="Z1082" s="1"/>
  <c r="AL497"/>
  <c r="Z497" s="1"/>
  <c r="AL495"/>
  <c r="Z495" s="1"/>
  <c r="AL157"/>
  <c r="Z157" s="1"/>
  <c r="AL368"/>
  <c r="Z368" s="1"/>
  <c r="AL360"/>
  <c r="Z360" s="1"/>
  <c r="AL875"/>
  <c r="Z875" s="1"/>
  <c r="AL867"/>
  <c r="Z867" s="1"/>
  <c r="AL859"/>
  <c r="Z859" s="1"/>
  <c r="AL490"/>
  <c r="Z490" s="1"/>
  <c r="AL14"/>
  <c r="Z14" s="1"/>
  <c r="AL996"/>
  <c r="Z996" s="1"/>
  <c r="AL687"/>
  <c r="Z687" s="1"/>
  <c r="AL711"/>
  <c r="Z711" s="1"/>
  <c r="AL1019"/>
  <c r="Z1019" s="1"/>
  <c r="AL456"/>
  <c r="Z456" s="1"/>
  <c r="AL162"/>
  <c r="Z162" s="1"/>
  <c r="AL1307"/>
  <c r="Z1307" s="1"/>
  <c r="AL837"/>
  <c r="Z837" s="1"/>
  <c r="AL602"/>
  <c r="Z602" s="1"/>
  <c r="AL697"/>
  <c r="Z697" s="1"/>
  <c r="AL992"/>
  <c r="Z992" s="1"/>
  <c r="AL547"/>
  <c r="Z547" s="1"/>
  <c r="AL209"/>
  <c r="Z209" s="1"/>
  <c r="AL826"/>
  <c r="Z826" s="1"/>
  <c r="AL730"/>
  <c r="Z730" s="1"/>
  <c r="AL669"/>
  <c r="Z669" s="1"/>
  <c r="AL980"/>
  <c r="Z980" s="1"/>
  <c r="AL969"/>
  <c r="Z969" s="1"/>
  <c r="AL1072"/>
  <c r="Z1072" s="1"/>
  <c r="AL852"/>
  <c r="Z852" s="1"/>
  <c r="AL563"/>
  <c r="Z563" s="1"/>
  <c r="AL797"/>
  <c r="Z797" s="1"/>
  <c r="AL388"/>
  <c r="Z388" s="1"/>
  <c r="AL708"/>
  <c r="Z708" s="1"/>
  <c r="AL76"/>
  <c r="Z76" s="1"/>
  <c r="AL1039"/>
  <c r="Z1039" s="1"/>
  <c r="AL68"/>
  <c r="Z68" s="1"/>
  <c r="AL737"/>
  <c r="Z737" s="1"/>
  <c r="AL1109"/>
  <c r="Z1109" s="1"/>
  <c r="AL1132"/>
  <c r="Z1132" s="1"/>
  <c r="AL706"/>
  <c r="Z706" s="1"/>
  <c r="AL285"/>
  <c r="Z285" s="1"/>
  <c r="AL1035"/>
  <c r="Z1035" s="1"/>
  <c r="AL27"/>
  <c r="Z27" s="1"/>
  <c r="AL1280"/>
  <c r="Z1280" s="1"/>
  <c r="AL9"/>
  <c r="Z9" s="1"/>
  <c r="AL736"/>
  <c r="Z736" s="1"/>
  <c r="AL417"/>
  <c r="Z417" s="1"/>
  <c r="AL694"/>
  <c r="Z694" s="1"/>
  <c r="AL1385"/>
  <c r="Z1385" s="1"/>
  <c r="AL67"/>
  <c r="Z67" s="1"/>
  <c r="AL1359"/>
  <c r="Z1359" s="1"/>
  <c r="AL413"/>
  <c r="Z413" s="1"/>
  <c r="AL1355"/>
  <c r="Z1355" s="1"/>
  <c r="AL449"/>
  <c r="Z449" s="1"/>
  <c r="AL693"/>
  <c r="Z693" s="1"/>
  <c r="AL568"/>
  <c r="Z568" s="1"/>
  <c r="AL935"/>
  <c r="Z935" s="1"/>
  <c r="AL380"/>
  <c r="Z380" s="1"/>
  <c r="AL187"/>
  <c r="Z187" s="1"/>
  <c r="AL382"/>
  <c r="Z382" s="1"/>
  <c r="AL347"/>
  <c r="Z347" s="1"/>
  <c r="AL167"/>
  <c r="Z167" s="1"/>
  <c r="AL43"/>
  <c r="Z43" s="1"/>
  <c r="AL988"/>
  <c r="Z988" s="1"/>
  <c r="AL1114"/>
  <c r="Z1114" s="1"/>
  <c r="AL1021"/>
  <c r="Z1021" s="1"/>
  <c r="AL1165"/>
  <c r="Z1165" s="1"/>
  <c r="AL1156"/>
  <c r="Z1156" s="1"/>
  <c r="AL921"/>
  <c r="Z921" s="1"/>
  <c r="AL1067"/>
  <c r="Z1067" s="1"/>
  <c r="AL1298"/>
  <c r="Z1298" s="1"/>
  <c r="AL404"/>
  <c r="Z404" s="1"/>
  <c r="AL959"/>
  <c r="Z959" s="1"/>
  <c r="AL740"/>
  <c r="Z740" s="1"/>
  <c r="AL440"/>
  <c r="Z440" s="1"/>
  <c r="AL1250"/>
  <c r="Z1250" s="1"/>
  <c r="AL291"/>
  <c r="Z291" s="1"/>
  <c r="AL314"/>
  <c r="Z314" s="1"/>
  <c r="AL973"/>
  <c r="Z973" s="1"/>
  <c r="AL1014"/>
  <c r="Z1014" s="1"/>
  <c r="AL956"/>
  <c r="Z956" s="1"/>
  <c r="AL1257"/>
  <c r="Z1257" s="1"/>
  <c r="AL447"/>
  <c r="Z447" s="1"/>
  <c r="AL288"/>
  <c r="Z288" s="1"/>
  <c r="AL942"/>
  <c r="Z942" s="1"/>
  <c r="AL556"/>
  <c r="Z556" s="1"/>
  <c r="AL576"/>
  <c r="Z576" s="1"/>
  <c r="AL1247"/>
  <c r="Z1247" s="1"/>
  <c r="AL892"/>
  <c r="Z892" s="1"/>
  <c r="AL763"/>
  <c r="Z763" s="1"/>
  <c r="AL1379"/>
  <c r="Z1379" s="1"/>
  <c r="AL600"/>
  <c r="Z600" s="1"/>
  <c r="AL473"/>
  <c r="Z473" s="1"/>
  <c r="AL1362"/>
  <c r="Z1362" s="1"/>
  <c r="AL88"/>
  <c r="Z88" s="1"/>
  <c r="AL471"/>
  <c r="Z471" s="1"/>
  <c r="AL822"/>
  <c r="Z822" s="1"/>
  <c r="AL550"/>
  <c r="Z550" s="1"/>
  <c r="AL1154"/>
  <c r="Z1154" s="1"/>
  <c r="AL1430"/>
  <c r="Z1430" s="1"/>
  <c r="AL146"/>
  <c r="Z146" s="1"/>
  <c r="AL1045"/>
  <c r="Z1045" s="1"/>
  <c r="AL966"/>
  <c r="Z966" s="1"/>
  <c r="AL784"/>
  <c r="Z784" s="1"/>
  <c r="AL454"/>
  <c r="Z454" s="1"/>
  <c r="AL1141"/>
  <c r="Z1141" s="1"/>
  <c r="AL913"/>
  <c r="Z913" s="1"/>
  <c r="AL939"/>
  <c r="Z939" s="1"/>
  <c r="AL644"/>
  <c r="Z644" s="1"/>
  <c r="AL626"/>
  <c r="Z626" s="1"/>
  <c r="AL643"/>
  <c r="Z643" s="1"/>
  <c r="AL481"/>
  <c r="Z481" s="1"/>
  <c r="AL78"/>
  <c r="Z78" s="1"/>
  <c r="AL572"/>
  <c r="Z572" s="1"/>
  <c r="AL700"/>
  <c r="Z700" s="1"/>
  <c r="AL303"/>
  <c r="Z303" s="1"/>
  <c r="AL1151"/>
  <c r="Z1151" s="1"/>
  <c r="AL1374"/>
  <c r="Z1374" s="1"/>
  <c r="AL717"/>
  <c r="Z717" s="1"/>
  <c r="AL1153"/>
  <c r="Z1153" s="1"/>
  <c r="AL484"/>
  <c r="Z484" s="1"/>
  <c r="AL606"/>
  <c r="Z606" s="1"/>
  <c r="AL1063"/>
  <c r="Z1063" s="1"/>
  <c r="AL509"/>
  <c r="Z509" s="1"/>
  <c r="AL609"/>
  <c r="Z609" s="1"/>
  <c r="AL1270"/>
  <c r="Z1270" s="1"/>
  <c r="AL93"/>
  <c r="Z93" s="1"/>
  <c r="AL1398"/>
  <c r="Z1398" s="1"/>
  <c r="AL1219"/>
  <c r="Z1219" s="1"/>
  <c r="AL772"/>
  <c r="Z772" s="1"/>
  <c r="AL1134"/>
  <c r="Z1134" s="1"/>
  <c r="AL349"/>
  <c r="Z349" s="1"/>
  <c r="AL713"/>
  <c r="Z713" s="1"/>
  <c r="AL298"/>
  <c r="Z298" s="1"/>
  <c r="AL96"/>
  <c r="Z96" s="1"/>
  <c r="AL1012"/>
  <c r="Z1012" s="1"/>
  <c r="AL339"/>
  <c r="Z339" s="1"/>
  <c r="AL177"/>
  <c r="Z177" s="1"/>
  <c r="AL1054"/>
  <c r="Z1054" s="1"/>
  <c r="AL400"/>
  <c r="Z400" s="1"/>
  <c r="AL197"/>
  <c r="Z197" s="1"/>
  <c r="AL501"/>
  <c r="Z501" s="1"/>
  <c r="AL1433"/>
  <c r="Z1433" s="1"/>
  <c r="AL1422"/>
  <c r="Z1422" s="1"/>
  <c r="AL47"/>
  <c r="Z47" s="1"/>
  <c r="AL705"/>
  <c r="Z705" s="1"/>
  <c r="AL1111"/>
  <c r="Z1111" s="1"/>
  <c r="AL1031"/>
  <c r="Z1031" s="1"/>
  <c r="AL271"/>
  <c r="Z271" s="1"/>
  <c r="AL673"/>
  <c r="Z673" s="1"/>
  <c r="AL524"/>
  <c r="Z524" s="1"/>
  <c r="AL617"/>
  <c r="Z617" s="1"/>
  <c r="AL1121"/>
  <c r="Z1121" s="1"/>
  <c r="AL329"/>
  <c r="Z329" s="1"/>
  <c r="AL652"/>
  <c r="Z652" s="1"/>
  <c r="AL650"/>
  <c r="Z650" s="1"/>
  <c r="AL648"/>
  <c r="Z648" s="1"/>
  <c r="AL646"/>
  <c r="Z646" s="1"/>
  <c r="AL158"/>
  <c r="Z158" s="1"/>
  <c r="AL369"/>
  <c r="Z369" s="1"/>
  <c r="AL361"/>
  <c r="Z361" s="1"/>
  <c r="AL876"/>
  <c r="Z876" s="1"/>
  <c r="AL868"/>
  <c r="Z868" s="1"/>
  <c r="AL860"/>
  <c r="Z860" s="1"/>
  <c r="AL920"/>
  <c r="Z920" s="1"/>
  <c r="AL1117"/>
  <c r="Z1117" s="1"/>
  <c r="AL84"/>
  <c r="Z84" s="1"/>
  <c r="AL688"/>
  <c r="Z688" s="1"/>
  <c r="AL412"/>
  <c r="Z412" s="1"/>
  <c r="AL5"/>
  <c r="Z5" s="1"/>
  <c r="AL1293"/>
  <c r="Z1293" s="1"/>
  <c r="AL1309"/>
  <c r="Z1309" s="1"/>
  <c r="AL549"/>
  <c r="Z549" s="1"/>
  <c r="AL789"/>
  <c r="Z789" s="1"/>
  <c r="AL1292"/>
  <c r="Z1292" s="1"/>
  <c r="AL752"/>
  <c r="Z752" s="1"/>
  <c r="AL633"/>
  <c r="Z633" s="1"/>
  <c r="AL457"/>
  <c r="Z457" s="1"/>
  <c r="AL418"/>
  <c r="Z418" s="1"/>
  <c r="AL827"/>
  <c r="Z827" s="1"/>
  <c r="AL731"/>
  <c r="Z731" s="1"/>
  <c r="AL516"/>
  <c r="Z516" s="1"/>
  <c r="AL981"/>
  <c r="Z981" s="1"/>
  <c r="AL970"/>
  <c r="Z970" s="1"/>
  <c r="AL989"/>
  <c r="Z989" s="1"/>
  <c r="AL845"/>
  <c r="Z845" s="1"/>
  <c r="AL1161"/>
  <c r="Z1161" s="1"/>
  <c r="AL1041"/>
  <c r="Z1041" s="1"/>
  <c r="AL1159"/>
  <c r="Z1159" s="1"/>
  <c r="AL709"/>
  <c r="Z709" s="1"/>
  <c r="AL793"/>
  <c r="Z793" s="1"/>
  <c r="AL1040"/>
  <c r="Z1040" s="1"/>
  <c r="AL26"/>
  <c r="Z26" s="1"/>
  <c r="AL55"/>
  <c r="Z55" s="1"/>
  <c r="AL1110"/>
  <c r="Z1110" s="1"/>
  <c r="AL29"/>
  <c r="Z29" s="1"/>
  <c r="AL170"/>
  <c r="Z170" s="1"/>
  <c r="AL1037"/>
  <c r="Z1037" s="1"/>
  <c r="AL586"/>
  <c r="Z586" s="1"/>
  <c r="AL1133"/>
  <c r="Z1133" s="1"/>
  <c r="AL37"/>
  <c r="Z37" s="1"/>
  <c r="AL1275"/>
  <c r="Z1275" s="1"/>
  <c r="AL958"/>
  <c r="Z958" s="1"/>
  <c r="AL767"/>
  <c r="Z767" s="1"/>
  <c r="AL1274"/>
  <c r="Z1274" s="1"/>
  <c r="AL1386"/>
  <c r="Z1386" s="1"/>
  <c r="AL1116"/>
  <c r="Z1116" s="1"/>
  <c r="AL552"/>
  <c r="Z552" s="1"/>
  <c r="AL1358"/>
  <c r="Z1358" s="1"/>
  <c r="AL1356"/>
  <c r="Z1356" s="1"/>
  <c r="AL207"/>
  <c r="Z207" s="1"/>
  <c r="AL1333"/>
  <c r="Z1333" s="1"/>
  <c r="AL243"/>
  <c r="Z243" s="1"/>
  <c r="AL936"/>
  <c r="Z936" s="1"/>
  <c r="AL419"/>
  <c r="Z419" s="1"/>
  <c r="AL1222"/>
  <c r="Z1222" s="1"/>
  <c r="AL1286"/>
  <c r="Z1286" s="1"/>
  <c r="AL191"/>
  <c r="Z191" s="1"/>
  <c r="AL168"/>
  <c r="Z168" s="1"/>
  <c r="AL220"/>
  <c r="Z220" s="1"/>
  <c r="AL1331"/>
  <c r="Z1331" s="1"/>
  <c r="AL1115"/>
  <c r="Z1115" s="1"/>
  <c r="AL1070"/>
  <c r="Z1070" s="1"/>
  <c r="AL242"/>
  <c r="Z242" s="1"/>
  <c r="AL1194"/>
  <c r="Z1194" s="1"/>
  <c r="AL986"/>
  <c r="Z986" s="1"/>
  <c r="AL100"/>
  <c r="Z100" s="1"/>
  <c r="AL721"/>
  <c r="Z721" s="1"/>
  <c r="AL631"/>
  <c r="Z631" s="1"/>
  <c r="AL960"/>
  <c r="Z960" s="1"/>
  <c r="AL741"/>
  <c r="Z741" s="1"/>
  <c r="AL441"/>
  <c r="Z441" s="1"/>
  <c r="AL1251"/>
  <c r="Z1251" s="1"/>
  <c r="AL579"/>
  <c r="Z579" s="1"/>
  <c r="AL451"/>
  <c r="Z451" s="1"/>
  <c r="AL748"/>
  <c r="Z748" s="1"/>
  <c r="AL1007"/>
  <c r="Z1007" s="1"/>
  <c r="AL53"/>
  <c r="Z53" s="1"/>
  <c r="AL1380"/>
  <c r="Z1380" s="1"/>
  <c r="AL448"/>
  <c r="Z448" s="1"/>
  <c r="AL1003"/>
  <c r="Z1003" s="1"/>
  <c r="AL943"/>
  <c r="Z943" s="1"/>
  <c r="AL557"/>
  <c r="Z557" s="1"/>
  <c r="AL554"/>
  <c r="Z554" s="1"/>
  <c r="AL274"/>
  <c r="Z274" s="1"/>
  <c r="AL893"/>
  <c r="Z893" s="1"/>
  <c r="AL764"/>
  <c r="Z764" s="1"/>
  <c r="AL785"/>
  <c r="Z785" s="1"/>
  <c r="AL155"/>
  <c r="Z155" s="1"/>
  <c r="AL474"/>
  <c r="Z474" s="1"/>
  <c r="AL1351"/>
  <c r="Z1351" s="1"/>
  <c r="AL479"/>
  <c r="Z479" s="1"/>
  <c r="AL300"/>
  <c r="Z300" s="1"/>
  <c r="AL396"/>
  <c r="Z396" s="1"/>
  <c r="AL205"/>
  <c r="Z205" s="1"/>
  <c r="AL641"/>
  <c r="Z641" s="1"/>
  <c r="AL489"/>
  <c r="Z489" s="1"/>
  <c r="AL438"/>
  <c r="Z438" s="1"/>
  <c r="AL80"/>
  <c r="Z80" s="1"/>
  <c r="AL1244"/>
  <c r="Z1244" s="1"/>
  <c r="AL1135"/>
  <c r="Z1135" s="1"/>
  <c r="AL1087"/>
  <c r="Z1087" s="1"/>
  <c r="AL660"/>
  <c r="Z660" s="1"/>
  <c r="AL914"/>
  <c r="Z914" s="1"/>
  <c r="AL940"/>
  <c r="Z940" s="1"/>
  <c r="AL645"/>
  <c r="Z645" s="1"/>
  <c r="AL627"/>
  <c r="Z627" s="1"/>
  <c r="AL1241"/>
  <c r="Z1241" s="1"/>
  <c r="AL923"/>
  <c r="Z923" s="1"/>
  <c r="AL1050"/>
  <c r="Z1050" s="1"/>
  <c r="AL573"/>
  <c r="Z573" s="1"/>
  <c r="AL6"/>
  <c r="Z6" s="1"/>
  <c r="AL408"/>
  <c r="Z408" s="1"/>
  <c r="AL783"/>
  <c r="Z783" s="1"/>
  <c r="AL690"/>
  <c r="Z690" s="1"/>
  <c r="AL186"/>
  <c r="Z186" s="1"/>
  <c r="AL1138"/>
  <c r="Z1138" s="1"/>
  <c r="AL485"/>
  <c r="Z485" s="1"/>
  <c r="AL607"/>
  <c r="Z607" s="1"/>
  <c r="AL1064"/>
  <c r="Z1064" s="1"/>
  <c r="AL665"/>
  <c r="Z665" s="1"/>
  <c r="AL640"/>
  <c r="Z640" s="1"/>
  <c r="AL770"/>
  <c r="Z770" s="1"/>
  <c r="AL1336"/>
  <c r="Z1336" s="1"/>
  <c r="AL1399"/>
  <c r="Z1399" s="1"/>
  <c r="AL1220"/>
  <c r="Z1220" s="1"/>
  <c r="AL1026"/>
  <c r="Z1026" s="1"/>
  <c r="AL758"/>
  <c r="Z758" s="1"/>
  <c r="AL350"/>
  <c r="Z350" s="1"/>
  <c r="AL685"/>
  <c r="Z685" s="1"/>
  <c r="AL405"/>
  <c r="Z405" s="1"/>
  <c r="AL97"/>
  <c r="Z97" s="1"/>
  <c r="AL1013"/>
  <c r="Z1013" s="1"/>
  <c r="AL340"/>
  <c r="Z340" s="1"/>
  <c r="AL178"/>
  <c r="Z178" s="1"/>
  <c r="AL507"/>
  <c r="Z507" s="1"/>
  <c r="AL1429"/>
  <c r="Z1429" s="1"/>
  <c r="AL950"/>
  <c r="Z950" s="1"/>
  <c r="AL23"/>
  <c r="Z23" s="1"/>
  <c r="AL1030"/>
  <c r="Z1030" s="1"/>
  <c r="AL499"/>
  <c r="Z499" s="1"/>
  <c r="AL1423"/>
  <c r="Z1423" s="1"/>
  <c r="AL951"/>
  <c r="Z951" s="1"/>
  <c r="AL753"/>
  <c r="Z753" s="1"/>
  <c r="AL1128"/>
  <c r="Z1128" s="1"/>
  <c r="AL1075"/>
  <c r="Z1075" s="1"/>
  <c r="AL30"/>
  <c r="Z30" s="1"/>
  <c r="AL528"/>
  <c r="Z528" s="1"/>
  <c r="AL110"/>
  <c r="Z110" s="1"/>
  <c r="AL463"/>
  <c r="Z463" s="1"/>
  <c r="AL1122"/>
  <c r="Z1122" s="1"/>
  <c r="AL330"/>
  <c r="Z330" s="1"/>
  <c r="AL653"/>
  <c r="Z653" s="1"/>
  <c r="AL651"/>
  <c r="Z651" s="1"/>
  <c r="AL649"/>
  <c r="Z649" s="1"/>
  <c r="AL647"/>
  <c r="Z647" s="1"/>
  <c r="AL159"/>
  <c r="Z159" s="1"/>
  <c r="AL675"/>
  <c r="Z675" s="1"/>
  <c r="AL362"/>
  <c r="Z362" s="1"/>
  <c r="AL354"/>
  <c r="Z354" s="1"/>
  <c r="AL869"/>
  <c r="Z869" s="1"/>
  <c r="AL861"/>
  <c r="Z861" s="1"/>
  <c r="AL1396"/>
  <c r="Z1396" s="1"/>
  <c r="AL997"/>
  <c r="Z997" s="1"/>
  <c r="AL85"/>
  <c r="Z85" s="1"/>
  <c r="AL689"/>
  <c r="Z689" s="1"/>
  <c r="AL381"/>
  <c r="Z381" s="1"/>
  <c r="AL410"/>
  <c r="Z410" s="1"/>
  <c r="AL937"/>
  <c r="Z937" s="1"/>
  <c r="AL1016"/>
  <c r="Z1016" s="1"/>
  <c r="AL1414"/>
  <c r="Z1414" s="1"/>
  <c r="AL790"/>
  <c r="Z790" s="1"/>
  <c r="AL150"/>
  <c r="Z150" s="1"/>
  <c r="AL702"/>
  <c r="Z702" s="1"/>
  <c r="AL286"/>
  <c r="Z286" s="1"/>
  <c r="AL674"/>
  <c r="Z674" s="1"/>
  <c r="AL297"/>
  <c r="Z297" s="1"/>
  <c r="AL828"/>
  <c r="Z828" s="1"/>
  <c r="AL391"/>
  <c r="Z391" s="1"/>
  <c r="AL517"/>
  <c r="Z517" s="1"/>
  <c r="AL982"/>
  <c r="Z982" s="1"/>
  <c r="AL971"/>
  <c r="Z971" s="1"/>
  <c r="AL520"/>
  <c r="Z520" s="1"/>
  <c r="AL853"/>
  <c r="Z853" s="1"/>
  <c r="AL1305"/>
  <c r="Z1305" s="1"/>
  <c r="AL562"/>
  <c r="Z562" s="1"/>
  <c r="AL1360"/>
  <c r="Z1360" s="1"/>
  <c r="AL1061"/>
  <c r="Z1061" s="1"/>
  <c r="AL794"/>
  <c r="Z794" s="1"/>
  <c r="AL386"/>
  <c r="Z386" s="1"/>
  <c r="AL801"/>
  <c r="Z801" s="1"/>
  <c r="AL769"/>
  <c r="Z769" s="1"/>
  <c r="AL768"/>
  <c r="Z768" s="1"/>
  <c r="AL69"/>
  <c r="Z69" s="1"/>
  <c r="AL1371"/>
  <c r="Z1371" s="1"/>
  <c r="AL1281"/>
  <c r="Z1281" s="1"/>
  <c r="AL588"/>
  <c r="Z588" s="1"/>
  <c r="AL590"/>
  <c r="Z590" s="1"/>
  <c r="AL1319"/>
  <c r="Z1319" s="1"/>
  <c r="AL1276"/>
  <c r="Z1276" s="1"/>
  <c r="AL1102"/>
  <c r="Z1102" s="1"/>
  <c r="AL566"/>
  <c r="Z566" s="1"/>
  <c r="AL1259"/>
  <c r="Z1259" s="1"/>
  <c r="AL102"/>
  <c r="Z102" s="1"/>
  <c r="AL787"/>
  <c r="Z787" s="1"/>
  <c r="AL553"/>
  <c r="Z553" s="1"/>
  <c r="AL551"/>
  <c r="Z551" s="1"/>
  <c r="AL385"/>
  <c r="Z385" s="1"/>
  <c r="AL244"/>
  <c r="Z244" s="1"/>
  <c r="AL1334"/>
  <c r="Z1334" s="1"/>
  <c r="AL1170"/>
  <c r="Z1170" s="1"/>
  <c r="AL236"/>
  <c r="Z236" s="1"/>
  <c r="AL95"/>
  <c r="Z95" s="1"/>
  <c r="AL896"/>
  <c r="Z896" s="1"/>
  <c r="AL383"/>
  <c r="Z383" s="1"/>
  <c r="AL192"/>
  <c r="Z192" s="1"/>
  <c r="AL1408"/>
  <c r="Z1408" s="1"/>
  <c r="AL221"/>
  <c r="Z221" s="1"/>
  <c r="AL1332"/>
  <c r="Z1332" s="1"/>
  <c r="AL427"/>
  <c r="Z427" s="1"/>
  <c r="AL1022"/>
  <c r="Z1022" s="1"/>
  <c r="AL1166"/>
  <c r="Z1166" s="1"/>
  <c r="AL1431"/>
  <c r="Z1431" s="1"/>
  <c r="AL560"/>
  <c r="Z560" s="1"/>
  <c r="AL1029"/>
  <c r="Z1029" s="1"/>
  <c r="AL722"/>
  <c r="Z722" s="1"/>
  <c r="AL765"/>
  <c r="Z765" s="1"/>
  <c r="AL931"/>
  <c r="Z931" s="1"/>
  <c r="AL635"/>
  <c r="Z635" s="1"/>
  <c r="AL744"/>
  <c r="Z744" s="1"/>
  <c r="AL1106"/>
  <c r="Z1106" s="1"/>
  <c r="AL77"/>
  <c r="Z77" s="1"/>
  <c r="AL482"/>
  <c r="Z482" s="1"/>
  <c r="AL604"/>
  <c r="Z604" s="1"/>
  <c r="AL1015"/>
  <c r="Z1015" s="1"/>
  <c r="AL1383"/>
  <c r="Z1383" s="1"/>
  <c r="AL773"/>
  <c r="Z773" s="1"/>
  <c r="AL289"/>
  <c r="Z289" s="1"/>
  <c r="AL739"/>
  <c r="Z739" s="1"/>
  <c r="AL944"/>
  <c r="Z944" s="1"/>
  <c r="AL558"/>
  <c r="Z558" s="1"/>
  <c r="AL901"/>
  <c r="Z901" s="1"/>
  <c r="AL82"/>
  <c r="Z82" s="1"/>
  <c r="AL994"/>
  <c r="Z994" s="1"/>
  <c r="AL597"/>
  <c r="Z597" s="1"/>
  <c r="AL952"/>
  <c r="Z952" s="1"/>
  <c r="AL318"/>
  <c r="Z318" s="1"/>
  <c r="AL60"/>
  <c r="Z60" s="1"/>
  <c r="AL91"/>
  <c r="Z91" s="1"/>
  <c r="AL1001"/>
  <c r="Z1001" s="1"/>
  <c r="AL518"/>
  <c r="Z518" s="1"/>
  <c r="AL425"/>
  <c r="Z425" s="1"/>
  <c r="AL206"/>
  <c r="Z206" s="1"/>
  <c r="AL107"/>
  <c r="Z107" s="1"/>
  <c r="AL610"/>
  <c r="Z610" s="1"/>
  <c r="AL147"/>
  <c r="Z147" s="1"/>
  <c r="AL140"/>
  <c r="Z140" s="1"/>
  <c r="AL967"/>
  <c r="Z967" s="1"/>
  <c r="AL1078"/>
  <c r="Z1078" s="1"/>
  <c r="AL848"/>
  <c r="Z848" s="1"/>
  <c r="AL618"/>
  <c r="Z618" s="1"/>
  <c r="AL974"/>
  <c r="Z974" s="1"/>
  <c r="AL941"/>
  <c r="Z941" s="1"/>
  <c r="AL1243"/>
  <c r="Z1243" s="1"/>
  <c r="AL108"/>
  <c r="Z108" s="1"/>
  <c r="AL924"/>
  <c r="Z924" s="1"/>
  <c r="AL304"/>
  <c r="Z304" s="1"/>
  <c r="AL591"/>
  <c r="Z591" s="1"/>
  <c r="AL491"/>
  <c r="Z491" s="1"/>
  <c r="AL477"/>
  <c r="Z477" s="1"/>
  <c r="AL1204"/>
  <c r="Z1204" s="1"/>
  <c r="AL595"/>
  <c r="Z595" s="1"/>
  <c r="AL691"/>
  <c r="Z691" s="1"/>
  <c r="AL171"/>
  <c r="Z171" s="1"/>
  <c r="AL512"/>
  <c r="Z512" s="1"/>
  <c r="AL486"/>
  <c r="Z486" s="1"/>
  <c r="AL636"/>
  <c r="Z636" s="1"/>
  <c r="AL662"/>
  <c r="Z662" s="1"/>
  <c r="AL666"/>
  <c r="Z666" s="1"/>
  <c r="AL292"/>
  <c r="Z292" s="1"/>
  <c r="AL1268"/>
  <c r="Z1268" s="1"/>
  <c r="AL1337"/>
  <c r="Z1337" s="1"/>
  <c r="AL92"/>
  <c r="Z92" s="1"/>
  <c r="AL50"/>
  <c r="Z50" s="1"/>
  <c r="AL755"/>
  <c r="Z755" s="1"/>
  <c r="AL1150"/>
  <c r="Z1150" s="1"/>
  <c r="AL1413"/>
  <c r="Z1413" s="1"/>
  <c r="AL686"/>
  <c r="Z686" s="1"/>
  <c r="AL529"/>
  <c r="Z529" s="1"/>
  <c r="AL241"/>
  <c r="Z241" s="1"/>
  <c r="AL1066"/>
  <c r="Z1066" s="1"/>
  <c r="AL341"/>
  <c r="Z341" s="1"/>
  <c r="AL1055"/>
  <c r="Z1055" s="1"/>
  <c r="AL658"/>
  <c r="Z658" s="1"/>
  <c r="AL1424"/>
  <c r="Z1424" s="1"/>
  <c r="AL48"/>
  <c r="Z48" s="1"/>
  <c r="AL778"/>
  <c r="Z778" s="1"/>
  <c r="AL222"/>
  <c r="Z222" s="1"/>
  <c r="AL1234"/>
  <c r="Z1234" s="1"/>
  <c r="AL1049"/>
  <c r="Z1049" s="1"/>
  <c r="AL111"/>
  <c r="Z111" s="1"/>
  <c r="AL616"/>
  <c r="Z616" s="1"/>
  <c r="AL433"/>
  <c r="Z433" s="1"/>
  <c r="AL502"/>
  <c r="Z502" s="1"/>
  <c r="AL811"/>
  <c r="Z811" s="1"/>
  <c r="AL1079"/>
  <c r="Z1079" s="1"/>
  <c r="AL809"/>
  <c r="Z809" s="1"/>
  <c r="AL807"/>
  <c r="Z807" s="1"/>
  <c r="AL160"/>
  <c r="Z160" s="1"/>
  <c r="AL676"/>
  <c r="Z676" s="1"/>
  <c r="AL363"/>
  <c r="Z363" s="1"/>
  <c r="AL355"/>
  <c r="Z355" s="1"/>
  <c r="AL870"/>
  <c r="Z870" s="1"/>
  <c r="AL862"/>
  <c r="Z862" s="1"/>
  <c r="AL909"/>
  <c r="Z909" s="1"/>
  <c r="AL603"/>
  <c r="Z603" s="1"/>
  <c r="AL857"/>
  <c r="Z857" s="1"/>
  <c r="AL714"/>
  <c r="Z714" s="1"/>
  <c r="AL239"/>
  <c r="Z239" s="1"/>
  <c r="AL844"/>
  <c r="Z844" s="1"/>
  <c r="AL1294"/>
  <c r="Z1294" s="1"/>
  <c r="AL1017"/>
  <c r="Z1017" s="1"/>
  <c r="AL295"/>
  <c r="Z295" s="1"/>
  <c r="AL838"/>
  <c r="Z838" s="1"/>
  <c r="AL548"/>
  <c r="Z548" s="1"/>
  <c r="AL703"/>
  <c r="Z703" s="1"/>
  <c r="AL1395"/>
  <c r="Z1395" s="1"/>
  <c r="AL823"/>
  <c r="Z823" s="1"/>
  <c r="AL1104"/>
  <c r="Z1104" s="1"/>
  <c r="AL829"/>
  <c r="Z829" s="1"/>
  <c r="AL1377"/>
  <c r="Z1377" s="1"/>
  <c r="AL353"/>
  <c r="Z353" s="1"/>
  <c r="AL983"/>
  <c r="Z983" s="1"/>
  <c r="AL972"/>
  <c r="Z972" s="1"/>
  <c r="AL977"/>
  <c r="Z977" s="1"/>
  <c r="AL846"/>
  <c r="Z846" s="1"/>
  <c r="AL154"/>
  <c r="Z154" s="1"/>
  <c r="AL1160"/>
  <c r="Z1160" s="1"/>
  <c r="AL1361"/>
  <c r="Z1361" s="1"/>
  <c r="AL612"/>
  <c r="Z612" s="1"/>
  <c r="AL598"/>
  <c r="Z598" s="1"/>
  <c r="AL1157"/>
  <c r="Z1157" s="1"/>
  <c r="AL1291"/>
  <c r="Z1291" s="1"/>
  <c r="AL1290"/>
  <c r="Z1290" s="1"/>
  <c r="AL1289"/>
  <c r="Z1289" s="1"/>
  <c r="AL1038"/>
  <c r="Z1038" s="1"/>
  <c r="AL75"/>
  <c r="Z75" s="1"/>
  <c r="AL908"/>
  <c r="Z908" s="1"/>
  <c r="AL1036"/>
  <c r="Z1036" s="1"/>
  <c r="AL805"/>
  <c r="Z805" s="1"/>
  <c r="AL1320"/>
  <c r="Z1320" s="1"/>
  <c r="AL10"/>
  <c r="Z10" s="1"/>
  <c r="AL1317"/>
  <c r="Z1317" s="1"/>
  <c r="AL567"/>
  <c r="Z567" s="1"/>
  <c r="AL7"/>
  <c r="Z7" s="1"/>
  <c r="AL1272"/>
  <c r="Z1272" s="1"/>
  <c r="AL762"/>
  <c r="Z762" s="1"/>
  <c r="AL571"/>
  <c r="Z571" s="1"/>
  <c r="AL570"/>
  <c r="Z570" s="1"/>
  <c r="AL1357"/>
  <c r="Z1357" s="1"/>
  <c r="AL245"/>
  <c r="Z245" s="1"/>
  <c r="AL190"/>
  <c r="Z190" s="1"/>
  <c r="AL189"/>
  <c r="Z189" s="1"/>
  <c r="AL237"/>
  <c r="Z237" s="1"/>
  <c r="AL148"/>
  <c r="Z148" s="1"/>
  <c r="AL735"/>
  <c r="Z735" s="1"/>
  <c r="AL1126"/>
  <c r="Z1126" s="1"/>
  <c r="AL193"/>
  <c r="Z193" s="1"/>
  <c r="AL1409"/>
  <c r="Z1409" s="1"/>
  <c r="AL1269"/>
  <c r="Z1269" s="1"/>
  <c r="AL692"/>
  <c r="Z692" s="1"/>
  <c r="AL459"/>
  <c r="Z459" s="1"/>
  <c r="AL458"/>
  <c r="Z458" s="1"/>
  <c r="AL165"/>
  <c r="Z165" s="1"/>
  <c r="AL1125"/>
  <c r="Z1125" s="1"/>
  <c r="AL561"/>
  <c r="Z561" s="1"/>
  <c r="AL1310"/>
  <c r="Z1310" s="1"/>
  <c r="AL723"/>
  <c r="Z723" s="1"/>
  <c r="AL798"/>
  <c r="Z798" s="1"/>
  <c r="AL904"/>
  <c r="Z904" s="1"/>
  <c r="AL1010"/>
  <c r="Z1010" s="1"/>
  <c r="AL35"/>
  <c r="Z35" s="1"/>
  <c r="AL1107"/>
  <c r="Z1107" s="1"/>
  <c r="AL580"/>
  <c r="Z580" s="1"/>
  <c r="AL483"/>
  <c r="Z483" s="1"/>
  <c r="AL605"/>
  <c r="Z605" s="1"/>
  <c r="AL1028"/>
  <c r="Z1028" s="1"/>
  <c r="AL1384"/>
  <c r="Z1384" s="1"/>
  <c r="AL1129"/>
  <c r="Z1129" s="1"/>
  <c r="AL311"/>
  <c r="Z311" s="1"/>
  <c r="AL310"/>
  <c r="Z310" s="1"/>
  <c r="AL945"/>
  <c r="Z945" s="1"/>
  <c r="AL577"/>
  <c r="Z577" s="1"/>
  <c r="AL555"/>
  <c r="Z555" s="1"/>
  <c r="AL1002"/>
  <c r="Z1002" s="1"/>
  <c r="AL138"/>
  <c r="Z138" s="1"/>
  <c r="AL273"/>
  <c r="Z273" s="1"/>
  <c r="AL1203"/>
  <c r="Z1203" s="1"/>
  <c r="AL1364"/>
  <c r="Z1364" s="1"/>
  <c r="AL65"/>
  <c r="Z65" s="1"/>
  <c r="AL622"/>
  <c r="Z622" s="1"/>
  <c r="AL33"/>
  <c r="Z33" s="1"/>
  <c r="AL194"/>
  <c r="Z194" s="1"/>
  <c r="AL1069"/>
  <c r="Z1069" s="1"/>
  <c r="AL181"/>
  <c r="Z181" s="1"/>
  <c r="AL1089"/>
  <c r="Z1089" s="1"/>
  <c r="AL611"/>
  <c r="Z611" s="1"/>
  <c r="AL81"/>
  <c r="Z81" s="1"/>
  <c r="AL444"/>
  <c r="Z444" s="1"/>
  <c r="AL401"/>
  <c r="Z401" s="1"/>
  <c r="AL619"/>
  <c r="Z619" s="1"/>
  <c r="AL503"/>
  <c r="Z503" s="1"/>
  <c r="AL1077"/>
  <c r="Z1077" s="1"/>
  <c r="AL975"/>
  <c r="Z975" s="1"/>
  <c r="AL897"/>
  <c r="Z897" s="1"/>
  <c r="AL225"/>
  <c r="Z225" s="1"/>
  <c r="AL109"/>
  <c r="Z109" s="1"/>
  <c r="AL925"/>
  <c r="Z925" s="1"/>
  <c r="AL272"/>
  <c r="Z272" s="1"/>
  <c r="AL592"/>
  <c r="Z592" s="1"/>
  <c r="AL492"/>
  <c r="Z492" s="1"/>
  <c r="AL282"/>
  <c r="Z282" s="1"/>
  <c r="AL733"/>
  <c r="Z733" s="1"/>
  <c r="AL596"/>
  <c r="Z596" s="1"/>
  <c r="AL1375"/>
  <c r="Z1375" s="1"/>
  <c r="AL1410"/>
  <c r="Z1410" s="1"/>
  <c r="AL345"/>
  <c r="Z345" s="1"/>
  <c r="AL98"/>
  <c r="Z98" s="1"/>
  <c r="AL802"/>
  <c r="Z802" s="1"/>
  <c r="AL668"/>
  <c r="Z668" s="1"/>
  <c r="AL1209"/>
  <c r="Z1209" s="1"/>
  <c r="AL293"/>
  <c r="Z293" s="1"/>
  <c r="AL1282"/>
  <c r="Z1282" s="1"/>
  <c r="AL1338"/>
  <c r="Z1338" s="1"/>
  <c r="AL1335"/>
  <c r="Z1335" s="1"/>
  <c r="AL954"/>
  <c r="Z954" s="1"/>
  <c r="AL756"/>
  <c r="Z756" s="1"/>
  <c r="AL594"/>
  <c r="Z594" s="1"/>
  <c r="AL511"/>
  <c r="Z511" s="1"/>
  <c r="AL422"/>
  <c r="Z422" s="1"/>
  <c r="AL530"/>
  <c r="Z530" s="1"/>
  <c r="AL344"/>
  <c r="Z344" s="1"/>
  <c r="AL279"/>
  <c r="Z279" s="1"/>
  <c r="AL663"/>
  <c r="Z663" s="1"/>
  <c r="AL1056"/>
  <c r="Z1056" s="1"/>
  <c r="AL659"/>
  <c r="Z659" s="1"/>
  <c r="AL525"/>
  <c r="Z525" s="1"/>
  <c r="AL1425"/>
  <c r="Z1425" s="1"/>
  <c r="AL1394"/>
  <c r="Z1394" s="1"/>
  <c r="AL24"/>
  <c r="Z24" s="1"/>
  <c r="AL269"/>
  <c r="Z269" s="1"/>
  <c r="AL1235"/>
  <c r="Z1235" s="1"/>
  <c r="AL31"/>
  <c r="Z31" s="1"/>
  <c r="AL1123"/>
  <c r="Z1123" s="1"/>
  <c r="AL526"/>
  <c r="Z526" s="1"/>
  <c r="AL774"/>
  <c r="Z774" s="1"/>
  <c r="AL521"/>
  <c r="Z521" s="1"/>
  <c r="AL1118"/>
  <c r="Z1118" s="1"/>
  <c r="AL812"/>
  <c r="Z812" s="1"/>
  <c r="AL1080"/>
  <c r="Z1080" s="1"/>
  <c r="AL810"/>
  <c r="Z810" s="1"/>
  <c r="AL808"/>
  <c r="Z808" s="1"/>
  <c r="AL161"/>
  <c r="Z161" s="1"/>
  <c r="AL677"/>
  <c r="Z677" s="1"/>
  <c r="AL364"/>
  <c r="Z364" s="1"/>
  <c r="AL356"/>
  <c r="Z356" s="1"/>
  <c r="AL871"/>
  <c r="Z871" s="1"/>
  <c r="AL863"/>
  <c r="Z863" s="1"/>
  <c r="AL1004"/>
  <c r="Z1004" s="1"/>
  <c r="AL998"/>
  <c r="Z998" s="1"/>
  <c r="AL815"/>
  <c r="Z815" s="1"/>
  <c r="AL715"/>
  <c r="Z715" s="1"/>
  <c r="AL704"/>
  <c r="Z704" s="1"/>
  <c r="AL840"/>
  <c r="Z840" s="1"/>
  <c r="AL1068"/>
  <c r="Z1068" s="1"/>
  <c r="AL163"/>
  <c r="Z163" s="1"/>
  <c r="AL317"/>
  <c r="Z317" s="1"/>
  <c r="AL839"/>
  <c r="Z839" s="1"/>
  <c r="AL296"/>
  <c r="Z296" s="1"/>
  <c r="AL788"/>
  <c r="Z788" s="1"/>
  <c r="AL62"/>
  <c r="Z62" s="1"/>
  <c r="AL919"/>
  <c r="Z919" s="1"/>
  <c r="AL990"/>
  <c r="Z990" s="1"/>
  <c r="AL830"/>
  <c r="Z830" s="1"/>
  <c r="AL1378"/>
  <c r="Z1378" s="1"/>
  <c r="AL855"/>
  <c r="Z855" s="1"/>
  <c r="AL1162"/>
  <c r="Z1162" s="1"/>
  <c r="AL1146"/>
  <c r="Z1146" s="1"/>
  <c r="AL978"/>
  <c r="Z978" s="1"/>
  <c r="AL854"/>
  <c r="Z854" s="1"/>
  <c r="AL1024"/>
  <c r="Z1024" s="1"/>
  <c r="AL710"/>
  <c r="Z710" s="1"/>
  <c r="AL613"/>
  <c r="Z613" s="1"/>
  <c r="AL101"/>
  <c r="Z101" s="1"/>
  <c r="AL70"/>
  <c r="Z70" s="1"/>
  <c r="AL684"/>
  <c r="Z684" s="1"/>
  <c r="AL211"/>
  <c r="Z211" s="1"/>
  <c r="AL248"/>
  <c r="Z248" s="1"/>
  <c r="AL682"/>
  <c r="Z682" s="1"/>
  <c r="AL39"/>
  <c r="Z39" s="1"/>
  <c r="AL1147"/>
  <c r="Z1147" s="1"/>
  <c r="AL38"/>
  <c r="Z38" s="1"/>
  <c r="AL589"/>
  <c r="Z589" s="1"/>
  <c r="AL806"/>
  <c r="Z806" s="1"/>
  <c r="AL28"/>
  <c r="Z28" s="1"/>
  <c r="AL1277"/>
  <c r="Z1277" s="1"/>
  <c r="AL1318"/>
  <c r="Z1318" s="1"/>
  <c r="AL1098"/>
  <c r="Z1098" s="1"/>
  <c r="AL1260"/>
  <c r="Z1260" s="1"/>
  <c r="AL1273"/>
  <c r="Z1273" s="1"/>
  <c r="AL1101"/>
  <c r="Z1101" s="1"/>
  <c r="AL537"/>
  <c r="Z537" s="1"/>
  <c r="AL536"/>
  <c r="Z536" s="1"/>
  <c r="AL208"/>
  <c r="Z208" s="1"/>
  <c r="AL246"/>
  <c r="Z246" s="1"/>
  <c r="AL534"/>
  <c r="Z534" s="1"/>
  <c r="AL44"/>
  <c r="Z44" s="1"/>
  <c r="AL1127"/>
  <c r="Z1127" s="1"/>
  <c r="AL169"/>
  <c r="Z169" s="1"/>
  <c r="AL460"/>
  <c r="Z460" s="1"/>
  <c r="AL265"/>
  <c r="Z265" s="1"/>
  <c r="AL1168"/>
  <c r="Z1168" s="1"/>
  <c r="AL514"/>
  <c r="Z514" s="1"/>
  <c r="AL1091"/>
  <c r="Z1091" s="1"/>
  <c r="AL172"/>
  <c r="Z172" s="1"/>
  <c r="AL1302"/>
  <c r="Z1302" s="1"/>
  <c r="AL786"/>
  <c r="Z786" s="1"/>
  <c r="AL426"/>
  <c r="Z426" s="1"/>
  <c r="AL1432"/>
  <c r="Z1432" s="1"/>
  <c r="AL766"/>
  <c r="Z766" s="1"/>
  <c r="AL1311"/>
  <c r="Z1311" s="1"/>
  <c r="AL724"/>
  <c r="Z724" s="1"/>
  <c r="AL799"/>
  <c r="Z799" s="1"/>
  <c r="AL932"/>
  <c r="Z932" s="1"/>
  <c r="AL742"/>
  <c r="Z742" s="1"/>
  <c r="AL315"/>
  <c r="Z315" s="1"/>
  <c r="AL1323"/>
  <c r="Z1323" s="1"/>
  <c r="AL581"/>
  <c r="Z581" s="1"/>
  <c r="AL948"/>
  <c r="Z948" s="1"/>
  <c r="AL634"/>
  <c r="Z634" s="1"/>
  <c r="AL61"/>
  <c r="Z61" s="1"/>
  <c r="AL803"/>
  <c r="Z803" s="1"/>
  <c r="AL734"/>
  <c r="Z734" s="1"/>
  <c r="AL312"/>
  <c r="Z312" s="1"/>
  <c r="AL946"/>
  <c r="Z946" s="1"/>
  <c r="AL759"/>
  <c r="Z759" s="1"/>
  <c r="AL578"/>
  <c r="Z578" s="1"/>
  <c r="AL443"/>
  <c r="Z443" s="1"/>
  <c r="AL629"/>
  <c r="Z629" s="1"/>
  <c r="AL995"/>
  <c r="Z995" s="1"/>
  <c r="AL1083"/>
  <c r="Z1083" s="1"/>
  <c r="AL49"/>
  <c r="Z49" s="1"/>
  <c r="AL1353"/>
  <c r="Z1353" s="1"/>
  <c r="AL1136"/>
  <c r="Z1136" s="1"/>
  <c r="AL472"/>
  <c r="Z472" s="1"/>
  <c r="AL628"/>
  <c r="Z628" s="1"/>
  <c r="AL1415"/>
  <c r="Z1415" s="1"/>
  <c r="AL1112"/>
  <c r="Z1112" s="1"/>
  <c r="AL1195"/>
  <c r="Z1195" s="1"/>
  <c r="AL240"/>
  <c r="Z240" s="1"/>
  <c r="AL1142"/>
  <c r="Z1142" s="1"/>
  <c r="AL83"/>
  <c r="Z83" s="1"/>
  <c r="AL1046"/>
  <c r="Z1046" s="1"/>
  <c r="AL907"/>
  <c r="Z907" s="1"/>
  <c r="AL728"/>
  <c r="Z728" s="1"/>
  <c r="AL849"/>
  <c r="Z849" s="1"/>
  <c r="AL453"/>
  <c r="Z453" s="1"/>
  <c r="AL1065"/>
  <c r="Z1065" s="1"/>
  <c r="AL701"/>
  <c r="Z701" s="1"/>
  <c r="AL226"/>
  <c r="Z226" s="1"/>
  <c r="AL1051"/>
  <c r="Z1051" s="1"/>
  <c r="AL1242"/>
  <c r="Z1242" s="1"/>
  <c r="AL224"/>
  <c r="Z224" s="1"/>
  <c r="AL593"/>
  <c r="Z593" s="1"/>
  <c r="AL1239"/>
  <c r="Z1239" s="1"/>
  <c r="AL319"/>
  <c r="Z319" s="1"/>
  <c r="AL51"/>
  <c r="Z51" s="1"/>
  <c r="AL1062"/>
  <c r="Z1062" s="1"/>
  <c r="AL1376"/>
  <c r="Z1376" s="1"/>
  <c r="AL718"/>
  <c r="Z718" s="1"/>
  <c r="AL346"/>
  <c r="Z346" s="1"/>
  <c r="AL105"/>
  <c r="Z105" s="1"/>
  <c r="AL1092"/>
  <c r="Z1092" s="1"/>
  <c r="AL180"/>
  <c r="Z180" s="1"/>
  <c r="AL1210"/>
  <c r="Z1210" s="1"/>
  <c r="AL202"/>
  <c r="Z202" s="1"/>
  <c r="AL1283"/>
  <c r="Z1283" s="1"/>
  <c r="AL725"/>
  <c r="Z725" s="1"/>
  <c r="AL1076"/>
  <c r="Z1076" s="1"/>
  <c r="AL19"/>
  <c r="Z19" s="1"/>
  <c r="AL1148"/>
  <c r="Z1148" s="1"/>
  <c r="AL301"/>
  <c r="Z301" s="1"/>
  <c r="AL480"/>
  <c r="Z480" s="1"/>
  <c r="AL423"/>
  <c r="Z423" s="1"/>
  <c r="AL531"/>
  <c r="Z531" s="1"/>
  <c r="AL667"/>
  <c r="Z667" s="1"/>
  <c r="AL86"/>
  <c r="Z86" s="1"/>
  <c r="AL1266"/>
  <c r="Z1266" s="1"/>
  <c r="AL1057"/>
  <c r="Z1057" s="1"/>
  <c r="AL335"/>
  <c r="Z335" s="1"/>
  <c r="AL1205"/>
  <c r="Z1205" s="1"/>
  <c r="AJ1123" a="1"/>
  <c r="AJ1123" s="1"/>
  <c r="AJ810" a="1"/>
  <c r="AJ810" s="1"/>
  <c r="AJ161" a="1"/>
  <c r="AJ161" s="1"/>
  <c r="AJ1004" a="1"/>
  <c r="AJ1004" s="1"/>
  <c r="AJ296" a="1"/>
  <c r="AJ296" s="1"/>
  <c r="AJ1162" a="1"/>
  <c r="AJ1162" s="1"/>
  <c r="AJ211" a="1"/>
  <c r="AJ211" s="1"/>
  <c r="AJ38" a="1"/>
  <c r="AJ38" s="1"/>
  <c r="AJ536" a="1"/>
  <c r="AJ536" s="1"/>
  <c r="AJ1168" a="1"/>
  <c r="AJ1168" s="1"/>
  <c r="AJ1432" a="1"/>
  <c r="AJ1432" s="1"/>
  <c r="AJ634" a="1"/>
  <c r="AJ634" s="1"/>
  <c r="AJ734" a="1"/>
  <c r="AJ734" s="1"/>
  <c r="AJ1136" a="1"/>
  <c r="AJ1136" s="1"/>
  <c r="AJ1142" a="1"/>
  <c r="AJ1142" s="1"/>
  <c r="AJ701" a="1"/>
  <c r="AJ701" s="1"/>
  <c r="AJ1210" a="1"/>
  <c r="AJ1210" s="1"/>
  <c r="AJ1205" a="1"/>
  <c r="AJ1205" s="1"/>
  <c r="AJ1426" a="1"/>
  <c r="AJ1426" s="1"/>
  <c r="AJ1418" a="1"/>
  <c r="AJ1418" s="1"/>
  <c r="AJ25" a="1"/>
  <c r="AJ25" s="1"/>
  <c r="AJ12" a="1"/>
  <c r="AJ12" s="1"/>
  <c r="AJ389" a="1"/>
  <c r="AJ389" s="1"/>
  <c r="AJ196" a="1"/>
  <c r="AJ196" s="1"/>
  <c r="AJ522" a="1"/>
  <c r="AJ522" s="1"/>
  <c r="AJ461" a="1"/>
  <c r="AJ461" s="1"/>
  <c r="AJ431" a="1"/>
  <c r="AJ431" s="1"/>
  <c r="AJ813" a="1"/>
  <c r="AJ813" s="1"/>
  <c r="AJ327" a="1"/>
  <c r="AJ327" s="1"/>
  <c r="AJ325" a="1"/>
  <c r="AJ325" s="1"/>
  <c r="AJ323" a="1"/>
  <c r="AJ323" s="1"/>
  <c r="AJ321" a="1"/>
  <c r="AJ321" s="1"/>
  <c r="AJ678" a="1"/>
  <c r="AJ678" s="1"/>
  <c r="AJ365" a="1"/>
  <c r="AJ365" s="1"/>
  <c r="AJ357" a="1"/>
  <c r="AJ357" s="1"/>
  <c r="AJ872" a="1"/>
  <c r="AJ872" s="1"/>
  <c r="AJ864" a="1"/>
  <c r="AJ864" s="1"/>
  <c r="AJ1005" a="1"/>
  <c r="AJ1005" s="1"/>
  <c r="AJ632" a="1"/>
  <c r="AJ632" s="1"/>
  <c r="AJ934" a="1"/>
  <c r="AJ934" s="1"/>
  <c r="AJ841" a="1"/>
  <c r="AJ841" s="1"/>
  <c r="AJ267" a="1"/>
  <c r="AJ267" s="1"/>
  <c r="AJ1105" a="1"/>
  <c r="AJ1105" s="1"/>
  <c r="AJ1295" a="1"/>
  <c r="AJ1295" s="1"/>
  <c r="AJ455" a="1"/>
  <c r="AJ455" s="1"/>
  <c r="AJ824" a="1"/>
  <c r="AJ824" s="1"/>
  <c r="AJ791" a="1"/>
  <c r="AJ791" s="1"/>
  <c r="AJ294" a="1"/>
  <c r="AJ294" s="1"/>
  <c r="AJ905" a="1"/>
  <c r="AJ905" s="1"/>
  <c r="AJ834" a="1"/>
  <c r="AJ834" s="1"/>
  <c r="AJ832" a="1"/>
  <c r="AJ832" s="1"/>
  <c r="AJ991" a="1"/>
  <c r="AJ991" s="1"/>
  <c r="AJ831" a="1"/>
  <c r="AJ831" s="1"/>
  <c r="AJ1387" a="1"/>
  <c r="AJ1387" s="1"/>
  <c r="AJ856" a="1"/>
  <c r="AJ856" s="1"/>
  <c r="AJ565" a="1"/>
  <c r="AJ565" s="1"/>
  <c r="AJ916" a="1"/>
  <c r="AJ916" s="1"/>
  <c r="AJ21" a="1"/>
  <c r="AJ21" s="1"/>
  <c r="AJ847" a="1"/>
  <c r="AJ847" s="1"/>
  <c r="AJ1025" a="1"/>
  <c r="AJ1025" s="1"/>
  <c r="AJ1099" a="1"/>
  <c r="AJ1099" s="1"/>
  <c r="AJ642" a="1"/>
  <c r="AJ642" s="1"/>
  <c r="AJ151" a="1"/>
  <c r="AJ151" s="1"/>
  <c r="AJ796" a="1"/>
  <c r="AJ796" s="1"/>
  <c r="AJ707" a="1"/>
  <c r="AJ707" s="1"/>
  <c r="AJ683" a="1"/>
  <c r="AJ683" s="1"/>
  <c r="AJ210" a="1"/>
  <c r="AJ210" s="1"/>
  <c r="AJ247" a="1"/>
  <c r="AJ247" s="1"/>
  <c r="AJ40" a="1"/>
  <c r="AJ40" s="1"/>
  <c r="AJ782" a="1"/>
  <c r="AJ782" s="1"/>
  <c r="AJ1287" a="1"/>
  <c r="AJ1287" s="1"/>
  <c r="AJ559" a="1"/>
  <c r="AJ559" s="1"/>
  <c r="AJ307" a="1"/>
  <c r="AJ307" s="1"/>
  <c r="AJ1186" a="1"/>
  <c r="AJ1186" s="1"/>
  <c r="AJ1278" a="1"/>
  <c r="AJ1278" s="1"/>
  <c r="AJ695" a="1"/>
  <c r="AJ695" s="1"/>
  <c r="AJ1172" a="1"/>
  <c r="AJ1172" s="1"/>
  <c r="AJ1261" a="1"/>
  <c r="AJ1261" s="1"/>
  <c r="AJ36" a="1"/>
  <c r="AJ36" s="1"/>
  <c r="AJ476" a="1"/>
  <c r="AJ476" s="1"/>
  <c r="AJ538" a="1"/>
  <c r="AJ538" s="1"/>
  <c r="AJ781" a="1"/>
  <c r="AJ781" s="1"/>
  <c r="AJ569" a="1"/>
  <c r="AJ569" s="1"/>
  <c r="AJ238" a="1"/>
  <c r="AJ238" s="1"/>
  <c r="AJ270" a="1"/>
  <c r="AJ270" s="1"/>
  <c r="AJ223" a="1"/>
  <c r="AJ223" s="1"/>
  <c r="AJ266" a="1"/>
  <c r="AJ266" s="1"/>
  <c r="AJ1370" a="1"/>
  <c r="AJ1370" s="1"/>
  <c r="AJ1416" a="1"/>
  <c r="AJ1416" s="1"/>
  <c r="AJ1271" a="1"/>
  <c r="AJ1271" s="1"/>
  <c r="AJ1211" a="1"/>
  <c r="AJ1211" s="1"/>
  <c r="AJ352" a="1"/>
  <c r="AJ352" s="1"/>
  <c r="AJ179" a="1"/>
  <c r="AJ179" s="1"/>
  <c r="AJ173" a="1"/>
  <c r="AJ173" s="1"/>
  <c r="AJ1303" a="1"/>
  <c r="AJ1303" s="1"/>
  <c r="AJ623" a="1"/>
  <c r="AJ623" s="1"/>
  <c r="AJ513" a="1"/>
  <c r="AJ513" s="1"/>
  <c r="AJ1196" a="1"/>
  <c r="AJ1196" s="1"/>
  <c r="AJ378" a="1"/>
  <c r="AJ378" s="1"/>
  <c r="AJ1299" a="1"/>
  <c r="AJ1299" s="1"/>
  <c r="AJ1130" a="1"/>
  <c r="AJ1130" s="1"/>
  <c r="AJ1365" a="1"/>
  <c r="AJ1365" s="1"/>
  <c r="AJ933" a="1"/>
  <c r="AJ933" s="1"/>
  <c r="AJ743" a="1"/>
  <c r="AJ743" s="1"/>
  <c r="AJ698" a="1"/>
  <c r="AJ698" s="1"/>
  <c r="AJ583" a="1"/>
  <c r="AJ583" s="1"/>
  <c r="AJ582" a="1"/>
  <c r="AJ582" s="1"/>
  <c r="AJ902" a="1"/>
  <c r="AJ902" s="1"/>
  <c r="AJ487" a="1"/>
  <c r="AJ487" s="1"/>
  <c r="AJ1258" a="1"/>
  <c r="AJ1258" s="1"/>
  <c r="AJ1073" a="1"/>
  <c r="AJ1073" s="1"/>
  <c r="AJ52" a="1"/>
  <c r="AJ52" s="1"/>
  <c r="AJ816" a="1"/>
  <c r="AJ816" s="1"/>
  <c r="AJ947" a="1"/>
  <c r="AJ947" s="1"/>
  <c r="AJ760" a="1"/>
  <c r="AJ760" s="1"/>
  <c r="AJ276" a="1"/>
  <c r="AJ276" s="1"/>
  <c r="AJ1237" a="1"/>
  <c r="AJ1237" s="1"/>
  <c r="AJ804" a="1"/>
  <c r="AJ804" s="1"/>
  <c r="AJ141" a="1"/>
  <c r="AJ141" s="1"/>
  <c r="AJ1043" a="1"/>
  <c r="AJ1043" s="1"/>
  <c r="AJ953" a="1"/>
  <c r="AJ953" s="1"/>
  <c r="AJ439" a="1"/>
  <c r="AJ439" s="1"/>
  <c r="AJ900" a="1"/>
  <c r="AJ900" s="1"/>
  <c r="AJ17" a="1"/>
  <c r="AJ17" s="1"/>
  <c r="AJ601" a="1"/>
  <c r="AJ601" s="1"/>
  <c r="AJ195" a="1"/>
  <c r="AJ195" s="1"/>
  <c r="AJ442" a="1"/>
  <c r="AJ442" s="1"/>
  <c r="AJ395" a="1"/>
  <c r="AJ395" s="1"/>
  <c r="AJ820" a="1"/>
  <c r="AJ820" s="1"/>
  <c r="AJ1143" a="1"/>
  <c r="AJ1143" s="1"/>
  <c r="AJ898" a="1"/>
  <c r="AJ898" s="1"/>
  <c r="AJ478" a="1"/>
  <c r="AJ478" s="1"/>
  <c r="AJ402" a="1"/>
  <c r="AJ402" s="1"/>
  <c r="AJ620" a="1"/>
  <c r="AJ620" s="1"/>
  <c r="AJ654" a="1"/>
  <c r="AJ654" s="1"/>
  <c r="AJ661" a="1"/>
  <c r="AJ661" s="1"/>
  <c r="AJ316" a="1"/>
  <c r="AJ316" s="1"/>
  <c r="AJ15" a="1"/>
  <c r="AJ15" s="1"/>
  <c r="AJ749" a="1"/>
  <c r="AJ749" s="1"/>
  <c r="AJ79" a="1"/>
  <c r="AJ79" s="1"/>
  <c r="AJ436" a="1"/>
  <c r="AJ436" s="1"/>
  <c r="AJ32" a="1"/>
  <c r="AJ32" s="1"/>
  <c r="AJ1367" a="1"/>
  <c r="AJ1367" s="1"/>
  <c r="AJ1240" a="1"/>
  <c r="AJ1240" s="1"/>
  <c r="AJ320" a="1"/>
  <c r="AJ320" s="1"/>
  <c r="AJ955" a="1"/>
  <c r="AJ955" s="1"/>
  <c r="AJ231" a="1"/>
  <c r="AJ231" s="1"/>
  <c r="AJ394" a="1"/>
  <c r="AJ394" s="1"/>
  <c r="AJ719" a="1"/>
  <c r="AJ719" s="1"/>
  <c r="AJ1372" a="1"/>
  <c r="AJ1372" s="1"/>
  <c r="AJ153" a="1"/>
  <c r="AJ153" s="1"/>
  <c r="AJ1304" a="1"/>
  <c r="AJ1304" s="1"/>
  <c r="AJ1163" a="1"/>
  <c r="AJ1163" s="1"/>
  <c r="AJ203" a="1"/>
  <c r="AJ203" s="1"/>
  <c r="AJ664" a="1"/>
  <c r="AJ664" s="1"/>
  <c r="AJ1284" a="1"/>
  <c r="AJ1284" s="1"/>
  <c r="AJ726" a="1"/>
  <c r="AJ726" s="1"/>
  <c r="AJ1397" a="1"/>
  <c r="AJ1397" s="1"/>
  <c r="AJ57" a="1"/>
  <c r="AJ57" s="1"/>
  <c r="AJ1149" a="1"/>
  <c r="AJ1149" s="1"/>
  <c r="AJ993" a="1"/>
  <c r="AJ993" s="1"/>
  <c r="AJ18" a="1"/>
  <c r="AJ18" s="1"/>
  <c r="AJ424" a="1"/>
  <c r="AJ424" s="1"/>
  <c r="AJ532" a="1"/>
  <c r="AJ532" s="1"/>
  <c r="AJ337" a="1"/>
  <c r="AJ337" s="1"/>
  <c r="AJ87" a="1"/>
  <c r="AJ87" s="1"/>
  <c r="AJ1267" a="1"/>
  <c r="AJ1267" s="1"/>
  <c r="AJ228" a="1"/>
  <c r="AJ228" s="1"/>
  <c r="AJ779" a="1"/>
  <c r="AJ779" s="1"/>
  <c r="AJ175" a="1"/>
  <c r="AJ175" s="1"/>
  <c r="AJ1394" a="1"/>
  <c r="AJ1394" s="1"/>
  <c r="AJ774" a="1"/>
  <c r="AJ774" s="1"/>
  <c r="AJ808" a="1"/>
  <c r="AJ808" s="1"/>
  <c r="AJ815" a="1"/>
  <c r="AJ815" s="1"/>
  <c r="AJ788" a="1"/>
  <c r="AJ788" s="1"/>
  <c r="AJ613" a="1"/>
  <c r="AJ613" s="1"/>
  <c r="AJ70" a="1"/>
  <c r="AJ70" s="1"/>
  <c r="AJ806" a="1"/>
  <c r="AJ806" s="1"/>
  <c r="AJ1260" a="1"/>
  <c r="AJ1260" s="1"/>
  <c r="AJ246" a="1"/>
  <c r="AJ246" s="1"/>
  <c r="AJ44" a="1"/>
  <c r="AJ44" s="1"/>
  <c r="AJ169" a="1"/>
  <c r="AJ169" s="1"/>
  <c r="AJ172" a="1"/>
  <c r="AJ172" s="1"/>
  <c r="AJ1311" a="1"/>
  <c r="AJ1311" s="1"/>
  <c r="AJ1323" a="1"/>
  <c r="AJ1323" s="1"/>
  <c r="AJ629" a="1"/>
  <c r="AJ629" s="1"/>
  <c r="AJ1083" a="1"/>
  <c r="AJ1083" s="1"/>
  <c r="AJ1112" a="1"/>
  <c r="AJ1112" s="1"/>
  <c r="AJ849" a="1"/>
  <c r="AJ849" s="1"/>
  <c r="AJ1051" a="1"/>
  <c r="AJ1051" s="1"/>
  <c r="AJ1239" a="1"/>
  <c r="AJ1239" s="1"/>
  <c r="AJ51" a="1"/>
  <c r="AJ51" s="1"/>
  <c r="AJ105" a="1"/>
  <c r="AJ105" s="1"/>
  <c r="AJ1148" a="1"/>
  <c r="AJ1148" s="1"/>
  <c r="AJ335" a="1"/>
  <c r="AJ335" s="1"/>
  <c r="AJ1236" a="1"/>
  <c r="AJ1236" s="1"/>
  <c r="AJ1427" a="1"/>
  <c r="AJ1427" s="1"/>
  <c r="AJ1419" a="1"/>
  <c r="AJ1419" s="1"/>
  <c r="AJ63" a="1"/>
  <c r="AJ63" s="1"/>
  <c r="AJ895" a="1"/>
  <c r="AJ895" s="1"/>
  <c r="AJ435" a="1"/>
  <c r="AJ435" s="1"/>
  <c r="AJ624" a="1"/>
  <c r="AJ624" s="1"/>
  <c r="AJ434" a="1"/>
  <c r="AJ434" s="1"/>
  <c r="AJ672" a="1"/>
  <c r="AJ672" s="1"/>
  <c r="AJ671" a="1"/>
  <c r="AJ671" s="1"/>
  <c r="AJ464" a="1"/>
  <c r="AJ464" s="1"/>
  <c r="AJ1119" a="1"/>
  <c r="AJ1119" s="1"/>
  <c r="AJ814" a="1"/>
  <c r="AJ814" s="1"/>
  <c r="AJ328" a="1"/>
  <c r="AJ328" s="1"/>
  <c r="AJ326" a="1"/>
  <c r="AJ326" s="1"/>
  <c r="AJ324" a="1"/>
  <c r="AJ324" s="1"/>
  <c r="AJ322" a="1"/>
  <c r="AJ322" s="1"/>
  <c r="AJ679" a="1"/>
  <c r="AJ679" s="1"/>
  <c r="AJ366" a="1"/>
  <c r="AJ366" s="1"/>
  <c r="AJ358" a="1"/>
  <c r="AJ358" s="1"/>
  <c r="AJ873" a="1"/>
  <c r="AJ873" s="1"/>
  <c r="AJ865" a="1"/>
  <c r="AJ865" s="1"/>
  <c r="AJ968" a="1"/>
  <c r="AJ968" s="1"/>
  <c r="AJ1124" a="1"/>
  <c r="AJ1124" s="1"/>
  <c r="AJ46" a="1"/>
  <c r="AJ46" s="1"/>
  <c r="AJ842" a="1"/>
  <c r="AJ842" s="1"/>
  <c r="AJ268" a="1"/>
  <c r="AJ268" s="1"/>
  <c r="AJ1100" a="1"/>
  <c r="AJ1100" s="1"/>
  <c r="AJ1018" a="1"/>
  <c r="AJ1018" s="1"/>
  <c r="AJ164" a="1"/>
  <c r="AJ164" s="1"/>
  <c r="AJ1308" a="1"/>
  <c r="AJ1308" s="1"/>
  <c r="AJ792" a="1"/>
  <c r="AJ792" s="1"/>
  <c r="AJ1306" a="1"/>
  <c r="AJ1306" s="1"/>
  <c r="AJ906" a="1"/>
  <c r="AJ906" s="1"/>
  <c r="AJ835" a="1"/>
  <c r="AJ835" s="1"/>
  <c r="AJ833" a="1"/>
  <c r="AJ833" s="1"/>
  <c r="AJ984" a="1"/>
  <c r="AJ984" s="1"/>
  <c r="AJ587" a="1"/>
  <c r="AJ587" s="1"/>
  <c r="AJ1388" a="1"/>
  <c r="AJ1388" s="1"/>
  <c r="AJ103" a="1"/>
  <c r="AJ103" s="1"/>
  <c r="AJ1032" a="1"/>
  <c r="AJ1032" s="1"/>
  <c r="AJ917" a="1"/>
  <c r="AJ917" s="1"/>
  <c r="AJ979" a="1"/>
  <c r="AJ979" s="1"/>
  <c r="AJ564" a="1"/>
  <c r="AJ564" s="1"/>
  <c r="AJ445" a="1"/>
  <c r="AJ445" s="1"/>
  <c r="AJ1023" a="1"/>
  <c r="AJ1023" s="1"/>
  <c r="AJ1074" a="1"/>
  <c r="AJ1074" s="1"/>
  <c r="AJ71" a="1"/>
  <c r="AJ71" s="1"/>
  <c r="AJ387" a="1"/>
  <c r="AJ387" s="1"/>
  <c r="AJ1059" a="1"/>
  <c r="AJ1059" s="1"/>
  <c r="AJ1009" a="1"/>
  <c r="AJ1009" s="1"/>
  <c r="AJ407" a="1"/>
  <c r="AJ407" s="1"/>
  <c r="AJ754" a="1"/>
  <c r="AJ754" s="1"/>
  <c r="AJ41" a="1"/>
  <c r="AJ41" s="1"/>
  <c r="AJ1103" a="1"/>
  <c r="AJ1103" s="1"/>
  <c r="AJ800" a="1"/>
  <c r="AJ800" s="1"/>
  <c r="AJ308" a="1"/>
  <c r="AJ308" s="1"/>
  <c r="AJ1248" a="1"/>
  <c r="AJ1248" s="1"/>
  <c r="AJ795" a="1"/>
  <c r="AJ795" s="1"/>
  <c r="AJ11" a="1"/>
  <c r="AJ11" s="1"/>
  <c r="AJ1262" a="1"/>
  <c r="AJ1262" s="1"/>
  <c r="AJ1173" a="1"/>
  <c r="AJ1173" s="1"/>
  <c r="AJ8" a="1"/>
  <c r="AJ8" s="1"/>
  <c r="AJ1315" a="1"/>
  <c r="AJ1315" s="1"/>
  <c r="AJ1131" a="1"/>
  <c r="AJ1131" s="1"/>
  <c r="AJ910" a="1"/>
  <c r="AJ910" s="1"/>
  <c r="AJ414" a="1"/>
  <c r="AJ414" s="1"/>
  <c r="AJ535" a="1"/>
  <c r="AJ535" s="1"/>
  <c r="AJ379" a="1"/>
  <c r="AJ379" s="1"/>
  <c r="AJ1202" a="1"/>
  <c r="AJ1202" s="1"/>
  <c r="AJ1313" a="1"/>
  <c r="AJ1313" s="1"/>
  <c r="AJ637" a="1"/>
  <c r="AJ637" s="1"/>
  <c r="AJ188" a="1"/>
  <c r="AJ188" s="1"/>
  <c r="AJ384" a="1"/>
  <c r="AJ384" s="1"/>
  <c r="AJ184" a="1"/>
  <c r="AJ184" s="1"/>
  <c r="AJ343" a="1"/>
  <c r="AJ343" s="1"/>
  <c r="AJ1167" a="1"/>
  <c r="AJ1167" s="1"/>
  <c r="AJ342" a="1"/>
  <c r="AJ342" s="1"/>
  <c r="AJ174" a="1"/>
  <c r="AJ174" s="1"/>
  <c r="AJ1312" a="1"/>
  <c r="AJ1312" s="1"/>
  <c r="AJ475" a="1"/>
  <c r="AJ475" s="1"/>
  <c r="AJ351" a="1"/>
  <c r="AJ351" s="1"/>
  <c r="AJ1090" a="1"/>
  <c r="AJ1090" s="1"/>
  <c r="AJ234" a="1"/>
  <c r="AJ234" s="1"/>
  <c r="AJ1300" a="1"/>
  <c r="AJ1300" s="1"/>
  <c r="AJ957" a="1"/>
  <c r="AJ957" s="1"/>
  <c r="AJ1366" a="1"/>
  <c r="AJ1366" s="1"/>
  <c r="AJ466" a="1"/>
  <c r="AJ466" s="1"/>
  <c r="AJ929" a="1"/>
  <c r="AJ929" s="1"/>
  <c r="AJ452" a="1"/>
  <c r="AJ452" s="1"/>
  <c r="AJ584" a="1"/>
  <c r="AJ584" s="1"/>
  <c r="AJ1321" a="1"/>
  <c r="AJ1321" s="1"/>
  <c r="AJ903" a="1"/>
  <c r="AJ903" s="1"/>
  <c r="AJ608" a="1"/>
  <c r="AJ608" s="1"/>
  <c r="AJ20" a="1"/>
  <c r="AJ20" s="1"/>
  <c r="AJ45" a="1"/>
  <c r="AJ45" s="1"/>
  <c r="AJ1381" a="1"/>
  <c r="AJ1381" s="1"/>
  <c r="AJ851" a="1"/>
  <c r="AJ851" s="1"/>
  <c r="AJ927" a="1"/>
  <c r="AJ927" s="1"/>
  <c r="AJ761" a="1"/>
  <c r="AJ761" s="1"/>
  <c r="AJ1084" a="1"/>
  <c r="AJ1084" s="1"/>
  <c r="AJ1238" a="1"/>
  <c r="AJ1238" s="1"/>
  <c r="AJ574" a="1"/>
  <c r="AJ574" s="1"/>
  <c r="AJ1047" a="1"/>
  <c r="AJ1047" s="1"/>
  <c r="AJ890" a="1"/>
  <c r="AJ890" s="1"/>
  <c r="AJ1137" a="1"/>
  <c r="AJ1137" s="1"/>
  <c r="AJ985" a="1"/>
  <c r="AJ985" s="1"/>
  <c r="AJ1363" a="1"/>
  <c r="AJ1363" s="1"/>
  <c r="AJ757" a="1"/>
  <c r="AJ757" s="1"/>
  <c r="AJ1245" a="1"/>
  <c r="AJ1245" s="1"/>
  <c r="AJ621" a="1"/>
  <c r="AJ621" s="1"/>
  <c r="AJ670" a="1"/>
  <c r="AJ670" s="1"/>
  <c r="AJ1411" a="1"/>
  <c r="AJ1411" s="1"/>
  <c r="AJ821" a="1"/>
  <c r="AJ821" s="1"/>
  <c r="AJ1144" a="1"/>
  <c r="AJ1144" s="1"/>
  <c r="AJ94" a="1"/>
  <c r="AJ94" s="1"/>
  <c r="AJ1405" a="1"/>
  <c r="AJ1405" s="1"/>
  <c r="AJ1044" a="1"/>
  <c r="AJ1044" s="1"/>
  <c r="AJ409" a="1"/>
  <c r="AJ409" s="1"/>
  <c r="AJ655" a="1"/>
  <c r="AJ655" s="1"/>
  <c r="AJ747" a="1"/>
  <c r="AJ747" s="1"/>
  <c r="AJ1139" a="1"/>
  <c r="AJ1139" s="1"/>
  <c r="AJ911" a="1"/>
  <c r="AJ911" s="1"/>
  <c r="AJ750" a="1"/>
  <c r="AJ750" s="1"/>
  <c r="AJ305" a="1"/>
  <c r="AJ305" s="1"/>
  <c r="AJ437" a="1"/>
  <c r="AJ437" s="1"/>
  <c r="AJ283" a="1"/>
  <c r="AJ283" s="1"/>
  <c r="AJ1368" a="1"/>
  <c r="AJ1368" s="1"/>
  <c r="AJ277" a="1"/>
  <c r="AJ277" s="1"/>
  <c r="AJ398" a="1"/>
  <c r="AJ398" s="1"/>
  <c r="AJ58" a="1"/>
  <c r="AJ58" s="1"/>
  <c r="AJ232" a="1"/>
  <c r="AJ232" s="1"/>
  <c r="AJ1402" a="1"/>
  <c r="AJ1402" s="1"/>
  <c r="AJ720" a="1"/>
  <c r="AJ720" s="1"/>
  <c r="AJ393" a="1"/>
  <c r="AJ393" s="1"/>
  <c r="AJ106" a="1"/>
  <c r="AJ106" s="1"/>
  <c r="AJ149" a="1"/>
  <c r="AJ149" s="1"/>
  <c r="AJ1164" a="1"/>
  <c r="AJ1164" s="1"/>
  <c r="AJ204" a="1"/>
  <c r="AJ204" s="1"/>
  <c r="AJ336" a="1"/>
  <c r="AJ336" s="1"/>
  <c r="AJ1285" a="1"/>
  <c r="AJ1285" s="1"/>
  <c r="AJ727" a="1"/>
  <c r="AJ727" s="1"/>
  <c r="AJ142" a="1"/>
  <c r="AJ142" s="1"/>
  <c r="AJ469" a="1"/>
  <c r="AJ469" s="1"/>
  <c r="AJ468" a="1"/>
  <c r="AJ468" s="1"/>
  <c r="AJ1350" a="1"/>
  <c r="AJ1350" s="1"/>
  <c r="AJ56" a="1"/>
  <c r="AJ56" s="1"/>
  <c r="AJ533" a="1"/>
  <c r="AJ533" s="1"/>
  <c r="AJ716" a="1"/>
  <c r="AJ716" s="1"/>
  <c r="AJ510" a="1"/>
  <c r="AJ510" s="1"/>
  <c r="AJ139" a="1"/>
  <c r="AJ139" s="1"/>
  <c r="AJ230" a="1"/>
  <c r="AJ230" s="1"/>
  <c r="AJ229" a="1"/>
  <c r="AJ229" s="1"/>
  <c r="AJ278" a="1"/>
  <c r="AJ278" s="1"/>
  <c r="AJ1006" a="1"/>
  <c r="AJ1006" s="1"/>
  <c r="AJ1235" a="1"/>
  <c r="AJ1235" s="1"/>
  <c r="AJ812" a="1"/>
  <c r="AJ812" s="1"/>
  <c r="AJ871" a="1"/>
  <c r="AJ871" s="1"/>
  <c r="AJ317" a="1"/>
  <c r="AJ317" s="1"/>
  <c r="AJ62" a="1"/>
  <c r="AJ62" s="1"/>
  <c r="AJ1378" a="1"/>
  <c r="AJ1378" s="1"/>
  <c r="AJ1024" a="1"/>
  <c r="AJ1024" s="1"/>
  <c r="AJ684" a="1"/>
  <c r="AJ684" s="1"/>
  <c r="AJ39" a="1"/>
  <c r="AJ39" s="1"/>
  <c r="AJ1277" a="1"/>
  <c r="AJ1277" s="1"/>
  <c r="AJ1273" a="1"/>
  <c r="AJ1273" s="1"/>
  <c r="AJ1127" a="1"/>
  <c r="AJ1127" s="1"/>
  <c r="AJ786" a="1"/>
  <c r="AJ786" s="1"/>
  <c r="AJ315" a="1"/>
  <c r="AJ315" s="1"/>
  <c r="AJ443" a="1"/>
  <c r="AJ443" s="1"/>
  <c r="AJ1195" a="1"/>
  <c r="AJ1195" s="1"/>
  <c r="AJ907" a="1"/>
  <c r="AJ907" s="1"/>
  <c r="AJ1065" a="1"/>
  <c r="AJ1065" s="1"/>
  <c r="AJ1242" a="1"/>
  <c r="AJ1242" s="1"/>
  <c r="AJ718" a="1"/>
  <c r="AJ718" s="1"/>
  <c r="AJ1283" a="1"/>
  <c r="AJ1283" s="1"/>
  <c r="AJ19" a="1"/>
  <c r="AJ19" s="1"/>
  <c r="AJ531" a="1"/>
  <c r="AJ531" s="1"/>
  <c r="AJ599" a="1"/>
  <c r="AJ599" s="1"/>
  <c r="AJ1428" a="1"/>
  <c r="AJ1428" s="1"/>
  <c r="AJ1420" a="1"/>
  <c r="AJ1420" s="1"/>
  <c r="AJ64" a="1"/>
  <c r="AJ64" s="1"/>
  <c r="AJ22" a="1"/>
  <c r="AJ22" s="1"/>
  <c r="AJ397" a="1"/>
  <c r="AJ397" s="1"/>
  <c r="AJ625" a="1"/>
  <c r="AJ625" s="1"/>
  <c r="AJ13" a="1"/>
  <c r="AJ13" s="1"/>
  <c r="AJ527" a="1"/>
  <c r="AJ527" s="1"/>
  <c r="AJ775" a="1"/>
  <c r="AJ775" s="1"/>
  <c r="AJ615" a="1"/>
  <c r="AJ615" s="1"/>
  <c r="AJ1120" a="1"/>
  <c r="AJ1120" s="1"/>
  <c r="AJ1081" a="1"/>
  <c r="AJ1081" s="1"/>
  <c r="AJ500" a="1"/>
  <c r="AJ500" s="1"/>
  <c r="AJ498" a="1"/>
  <c r="AJ498" s="1"/>
  <c r="AJ496" a="1"/>
  <c r="AJ496" s="1"/>
  <c r="AJ494" a="1"/>
  <c r="AJ494" s="1"/>
  <c r="AJ156" a="1"/>
  <c r="AJ156" s="1"/>
  <c r="AJ367" a="1"/>
  <c r="AJ367" s="1"/>
  <c r="AJ359" a="1"/>
  <c r="AJ359" s="1"/>
  <c r="AJ874" a="1"/>
  <c r="AJ874" s="1"/>
  <c r="AJ866" a="1"/>
  <c r="AJ866" s="1"/>
  <c r="AJ858" a="1"/>
  <c r="AJ858" s="1"/>
  <c r="AJ1407" a="1"/>
  <c r="AJ1407" s="1"/>
  <c r="AJ430" a="1"/>
  <c r="AJ430" s="1"/>
  <c r="AJ843" a="1"/>
  <c r="AJ843" s="1"/>
  <c r="AJ4" a="1"/>
  <c r="AJ4" s="1"/>
  <c r="AJ411" a="1"/>
  <c r="AJ411" s="1"/>
  <c r="AJ938" a="1"/>
  <c r="AJ938" s="1"/>
  <c r="AJ1406" a="1"/>
  <c r="AJ1406" s="1"/>
  <c r="AJ819" a="1"/>
  <c r="AJ819" s="1"/>
  <c r="AJ1093" a="1"/>
  <c r="AJ1093" s="1"/>
  <c r="AJ836" a="1"/>
  <c r="AJ836" s="1"/>
  <c r="AJ961" a="1"/>
  <c r="AJ961" s="1"/>
  <c r="AJ696" a="1"/>
  <c r="AJ696" s="1"/>
  <c r="AJ446" a="1"/>
  <c r="AJ446" s="1"/>
  <c r="AJ614" a="1"/>
  <c r="AJ614" s="1"/>
  <c r="AJ1174" a="1"/>
  <c r="AJ1174" s="1"/>
  <c r="AJ825" a="1"/>
  <c r="AJ825" s="1"/>
  <c r="AJ390" a="1"/>
  <c r="AJ390" s="1"/>
  <c r="AJ546" a="1"/>
  <c r="AJ546" s="1"/>
  <c r="AJ918" a="1"/>
  <c r="AJ918" s="1"/>
  <c r="AJ915" a="1"/>
  <c r="AJ915" s="1"/>
  <c r="AJ99" a="1"/>
  <c r="AJ99" s="1"/>
  <c r="AJ1042" a="1"/>
  <c r="AJ1042" s="1"/>
  <c r="AJ1071" a="1"/>
  <c r="AJ1071" s="1"/>
  <c r="AJ519" a="1"/>
  <c r="AJ519" s="1"/>
  <c r="AJ72" a="1"/>
  <c r="AJ72" s="1"/>
  <c r="AJ1158" a="1"/>
  <c r="AJ1158" s="1"/>
  <c r="AJ1060" a="1"/>
  <c r="AJ1060" s="1"/>
  <c r="AJ1058" a="1"/>
  <c r="AJ1058" s="1"/>
  <c r="AJ467" a="1"/>
  <c r="AJ467" s="1"/>
  <c r="AJ406" a="1"/>
  <c r="AJ406" s="1"/>
  <c r="AJ1108" a="1"/>
  <c r="AJ1108" s="1"/>
  <c r="AJ429" a="1"/>
  <c r="AJ429" s="1"/>
  <c r="AJ1288" a="1"/>
  <c r="AJ1288" s="1"/>
  <c r="AJ284" a="1"/>
  <c r="AJ284" s="1"/>
  <c r="AJ1249" a="1"/>
  <c r="AJ1249" s="1"/>
  <c r="AJ1034" a="1"/>
  <c r="AJ1034" s="1"/>
  <c r="AJ1279" a="1"/>
  <c r="AJ1279" s="1"/>
  <c r="AJ1263" a="1"/>
  <c r="AJ1263" s="1"/>
  <c r="AJ74" a="1"/>
  <c r="AJ74" s="1"/>
  <c r="AJ416" a="1"/>
  <c r="AJ416" s="1"/>
  <c r="AJ1316" a="1"/>
  <c r="AJ1316" s="1"/>
  <c r="AJ428" a="1"/>
  <c r="AJ428" s="1"/>
  <c r="AJ54" a="1"/>
  <c r="AJ54" s="1"/>
  <c r="AJ415" a="1"/>
  <c r="AJ415" s="1"/>
  <c r="AJ780" a="1"/>
  <c r="AJ780" s="1"/>
  <c r="AJ1354" a="1"/>
  <c r="AJ1354" s="1"/>
  <c r="AJ949" a="1"/>
  <c r="AJ949" s="1"/>
  <c r="AJ1314" a="1"/>
  <c r="AJ1314" s="1"/>
  <c r="AJ638" a="1"/>
  <c r="AJ638" s="1"/>
  <c r="AJ1169" a="1"/>
  <c r="AJ1169" s="1"/>
  <c r="AJ235" a="1"/>
  <c r="AJ235" s="1"/>
  <c r="AJ185" a="1"/>
  <c r="AJ185" s="1"/>
  <c r="AJ183" a="1"/>
  <c r="AJ183" s="1"/>
  <c r="AJ515" a="1"/>
  <c r="AJ515" s="1"/>
  <c r="AJ166" a="1"/>
  <c r="AJ166" s="1"/>
  <c r="AJ42" a="1"/>
  <c r="AJ42" s="1"/>
  <c r="AJ987" a="1"/>
  <c r="AJ987" s="1"/>
  <c r="AJ1296" a="1"/>
  <c r="AJ1296" s="1"/>
  <c r="AJ1020" a="1"/>
  <c r="AJ1020" s="1"/>
  <c r="AJ182" a="1"/>
  <c r="AJ182" s="1"/>
  <c r="AJ1155" a="1"/>
  <c r="AJ1155" s="1"/>
  <c r="AJ1301" a="1"/>
  <c r="AJ1301" s="1"/>
  <c r="AJ66" a="1"/>
  <c r="AJ66" s="1"/>
  <c r="AJ1297" a="1"/>
  <c r="AJ1297" s="1"/>
  <c r="AJ1330" a="1"/>
  <c r="AJ1330" s="1"/>
  <c r="AJ930" a="1"/>
  <c r="AJ930" s="1"/>
  <c r="AJ488" a="1"/>
  <c r="AJ488" s="1"/>
  <c r="AJ585" a="1"/>
  <c r="AJ585" s="1"/>
  <c r="AJ1322" a="1"/>
  <c r="AJ1322" s="1"/>
  <c r="AJ34" a="1"/>
  <c r="AJ34" s="1"/>
  <c r="AJ639" a="1"/>
  <c r="AJ639" s="1"/>
  <c r="AJ290" a="1"/>
  <c r="AJ290" s="1"/>
  <c r="AJ73" a="1"/>
  <c r="AJ73" s="1"/>
  <c r="AJ1382" a="1"/>
  <c r="AJ1382" s="1"/>
  <c r="AJ313" a="1"/>
  <c r="AJ313" s="1"/>
  <c r="AJ928" a="1"/>
  <c r="AJ928" s="1"/>
  <c r="AJ1256" a="1"/>
  <c r="AJ1256" s="1"/>
  <c r="AJ1048" a="1"/>
  <c r="AJ1048" s="1"/>
  <c r="AJ275" a="1"/>
  <c r="AJ275" s="1"/>
  <c r="AJ575" a="1"/>
  <c r="AJ575" s="1"/>
  <c r="AJ926" a="1"/>
  <c r="AJ926" s="1"/>
  <c r="AJ891" a="1"/>
  <c r="AJ891" s="1"/>
  <c r="AJ999" a="1"/>
  <c r="AJ999" s="1"/>
  <c r="AJ630" a="1"/>
  <c r="AJ630" s="1"/>
  <c r="AJ1352" a="1"/>
  <c r="AJ1352" s="1"/>
  <c r="AJ1218" a="1"/>
  <c r="AJ1218" s="1"/>
  <c r="AJ1246" a="1"/>
  <c r="AJ1246" s="1"/>
  <c r="AJ899" a="1"/>
  <c r="AJ899" s="1"/>
  <c r="AJ299" a="1"/>
  <c r="AJ299" s="1"/>
  <c r="AJ1412" a="1"/>
  <c r="AJ1412" s="1"/>
  <c r="AJ1369" a="1"/>
  <c r="AJ1369" s="1"/>
  <c r="AJ1145" a="1"/>
  <c r="AJ1145" s="1"/>
  <c r="AJ1088" a="1"/>
  <c r="AJ1088" s="1"/>
  <c r="AJ403" a="1"/>
  <c r="AJ403" s="1"/>
  <c r="AJ1052" a="1"/>
  <c r="AJ1052" s="1"/>
  <c r="AJ729" a="1"/>
  <c r="AJ729" s="1"/>
  <c r="AJ850" a="1"/>
  <c r="AJ850" s="1"/>
  <c r="AJ976" a="1"/>
  <c r="AJ976" s="1"/>
  <c r="AJ1140" a="1"/>
  <c r="AJ1140" s="1"/>
  <c r="AJ912" a="1"/>
  <c r="AJ912" s="1"/>
  <c r="AJ751" a="1"/>
  <c r="AJ751" s="1"/>
  <c r="AJ306" a="1"/>
  <c r="AJ306" s="1"/>
  <c r="AJ1000" a="1"/>
  <c r="AJ1000" s="1"/>
  <c r="AJ493" a="1"/>
  <c r="AJ493" s="1"/>
  <c r="AJ738" a="1"/>
  <c r="AJ738" s="1"/>
  <c r="AJ227" a="1"/>
  <c r="AJ227" s="1"/>
  <c r="AJ399" a="1"/>
  <c r="AJ399" s="1"/>
  <c r="AJ59" a="1"/>
  <c r="AJ59" s="1"/>
  <c r="AJ233" a="1"/>
  <c r="AJ233" s="1"/>
  <c r="AJ90" a="1"/>
  <c r="AJ90" s="1"/>
  <c r="AJ1373" a="1"/>
  <c r="AJ1373" s="1"/>
  <c r="AJ392" a="1"/>
  <c r="AJ392" s="1"/>
  <c r="AJ1152" a="1"/>
  <c r="AJ1152" s="1"/>
  <c r="AJ450" a="1"/>
  <c r="AJ450" s="1"/>
  <c r="AJ771" a="1"/>
  <c r="AJ771" s="1"/>
  <c r="AJ1011" a="1"/>
  <c r="AJ1011" s="1"/>
  <c r="AJ508" a="1"/>
  <c r="AJ508" s="1"/>
  <c r="AJ1265" a="1"/>
  <c r="AJ1265" s="1"/>
  <c r="AJ1008" a="1"/>
  <c r="AJ1008" s="1"/>
  <c r="AJ89" a="1"/>
  <c r="AJ89" s="1"/>
  <c r="AJ470" a="1"/>
  <c r="AJ470" s="1"/>
  <c r="AJ1027" a="1"/>
  <c r="AJ1027" s="1"/>
  <c r="AJ302" a="1"/>
  <c r="AJ302" s="1"/>
  <c r="AJ16" a="1"/>
  <c r="AJ16" s="1"/>
  <c r="AJ348" a="1"/>
  <c r="AJ348" s="1"/>
  <c r="AJ712" a="1"/>
  <c r="AJ712" s="1"/>
  <c r="AJ281" a="1"/>
  <c r="AJ281" s="1"/>
  <c r="AJ280" a="1"/>
  <c r="AJ280" s="1"/>
  <c r="AJ1264" a="1"/>
  <c r="AJ1264" s="1"/>
  <c r="AJ338" a="1"/>
  <c r="AJ338" s="1"/>
  <c r="AJ176" a="1"/>
  <c r="AJ176" s="1"/>
  <c r="AJ1053" a="1"/>
  <c r="AJ1053" s="1"/>
  <c r="AJ1425" a="1"/>
  <c r="AJ1425" s="1"/>
  <c r="AJ24" a="1"/>
  <c r="AJ24" s="1"/>
  <c r="AJ1118" a="1"/>
  <c r="AJ1118" s="1"/>
  <c r="AJ356" a="1"/>
  <c r="AJ356" s="1"/>
  <c r="AJ704" a="1"/>
  <c r="AJ704" s="1"/>
  <c r="AJ163" a="1"/>
  <c r="AJ163" s="1"/>
  <c r="AJ990" a="1"/>
  <c r="AJ990" s="1"/>
  <c r="AJ854" a="1"/>
  <c r="AJ854" s="1"/>
  <c r="AJ101" a="1"/>
  <c r="AJ101" s="1"/>
  <c r="AJ682" a="1"/>
  <c r="AJ682" s="1"/>
  <c r="AJ1318" a="1"/>
  <c r="AJ1318" s="1"/>
  <c r="AJ534" a="1"/>
  <c r="AJ534" s="1"/>
  <c r="AJ460" a="1"/>
  <c r="AJ460" s="1"/>
  <c r="AJ1091" a="1"/>
  <c r="AJ1091" s="1"/>
  <c r="AJ581" a="1"/>
  <c r="AJ581" s="1"/>
  <c r="AJ312" a="1"/>
  <c r="AJ312" s="1"/>
  <c r="AJ628" a="1"/>
  <c r="AJ628" s="1"/>
  <c r="AJ728" a="1"/>
  <c r="AJ728" s="1"/>
  <c r="AJ224" a="1"/>
  <c r="AJ224" s="1"/>
  <c r="AJ1376" a="1"/>
  <c r="AJ1376" s="1"/>
  <c r="AJ1092" a="1"/>
  <c r="AJ1092" s="1"/>
  <c r="AJ1076" a="1"/>
  <c r="AJ1076" s="1"/>
  <c r="AJ423" a="1"/>
  <c r="AJ423" s="1"/>
  <c r="AJ86" a="1"/>
  <c r="AJ86" s="1"/>
  <c r="AJ1429" a="1"/>
  <c r="AJ1429" s="1"/>
  <c r="AJ1421" a="1"/>
  <c r="AJ1421" s="1"/>
  <c r="AJ950" a="1"/>
  <c r="AJ950" s="1"/>
  <c r="AJ23" a="1"/>
  <c r="AJ23" s="1"/>
  <c r="AJ894" a="1"/>
  <c r="AJ894" s="1"/>
  <c r="AJ1030" a="1"/>
  <c r="AJ1030" s="1"/>
  <c r="AJ400" a="1"/>
  <c r="AJ400" s="1"/>
  <c r="AJ197" a="1"/>
  <c r="AJ197" s="1"/>
  <c r="AJ523" a="1"/>
  <c r="AJ523" s="1"/>
  <c r="AJ462" a="1"/>
  <c r="AJ462" s="1"/>
  <c r="AJ432" a="1"/>
  <c r="AJ432" s="1"/>
  <c r="AJ1082" a="1"/>
  <c r="AJ1082" s="1"/>
  <c r="AJ501" a="1"/>
  <c r="AJ501" s="1"/>
  <c r="AJ499" a="1"/>
  <c r="AJ499" s="1"/>
  <c r="AJ497" a="1"/>
  <c r="AJ497" s="1"/>
  <c r="AJ495" a="1"/>
  <c r="AJ495" s="1"/>
  <c r="AJ157" a="1"/>
  <c r="AJ157" s="1"/>
  <c r="AJ368" a="1"/>
  <c r="AJ368" s="1"/>
  <c r="AJ360" a="1"/>
  <c r="AJ360" s="1"/>
  <c r="AJ875" a="1"/>
  <c r="AJ875" s="1"/>
  <c r="AJ867" a="1"/>
  <c r="AJ867" s="1"/>
  <c r="AJ859" a="1"/>
  <c r="AJ859" s="1"/>
  <c r="AJ490" a="1"/>
  <c r="AJ490" s="1"/>
  <c r="AJ14" a="1"/>
  <c r="AJ14" s="1"/>
  <c r="AJ996" a="1"/>
  <c r="AJ996" s="1"/>
  <c r="AJ687" a="1"/>
  <c r="AJ687" s="1"/>
  <c r="AJ711" a="1"/>
  <c r="AJ711" s="1"/>
  <c r="AJ1019" a="1"/>
  <c r="AJ1019" s="1"/>
  <c r="AJ456" a="1"/>
  <c r="AJ456" s="1"/>
  <c r="AJ162" a="1"/>
  <c r="AJ162" s="1"/>
  <c r="AJ1307" a="1"/>
  <c r="AJ1307" s="1"/>
  <c r="AJ837" a="1"/>
  <c r="AJ837" s="1"/>
  <c r="AJ602" a="1"/>
  <c r="AJ602" s="1"/>
  <c r="AJ697" a="1"/>
  <c r="AJ697" s="1"/>
  <c r="AJ992" a="1"/>
  <c r="AJ992" s="1"/>
  <c r="AJ547" a="1"/>
  <c r="AJ547" s="1"/>
  <c r="AJ209" a="1"/>
  <c r="AJ209" s="1"/>
  <c r="AJ826" a="1"/>
  <c r="AJ826" s="1"/>
  <c r="AJ730" a="1"/>
  <c r="AJ730" s="1"/>
  <c r="AJ669" a="1"/>
  <c r="AJ669" s="1"/>
  <c r="AJ980" a="1"/>
  <c r="AJ980" s="1"/>
  <c r="AJ969" a="1"/>
  <c r="AJ969" s="1"/>
  <c r="AJ1072" a="1"/>
  <c r="AJ1072" s="1"/>
  <c r="AJ852" a="1"/>
  <c r="AJ852" s="1"/>
  <c r="AJ563" a="1"/>
  <c r="AJ563" s="1"/>
  <c r="AJ797" a="1"/>
  <c r="AJ797" s="1"/>
  <c r="AJ388" a="1"/>
  <c r="AJ388" s="1"/>
  <c r="AJ708" a="1"/>
  <c r="AJ708" s="1"/>
  <c r="AJ76" a="1"/>
  <c r="AJ76" s="1"/>
  <c r="AJ1039" a="1"/>
  <c r="AJ1039" s="1"/>
  <c r="AJ68" a="1"/>
  <c r="AJ68" s="1"/>
  <c r="AJ737" a="1"/>
  <c r="AJ737" s="1"/>
  <c r="AJ1109" a="1"/>
  <c r="AJ1109" s="1"/>
  <c r="AJ1132" a="1"/>
  <c r="AJ1132" s="1"/>
  <c r="AJ706" a="1"/>
  <c r="AJ706" s="1"/>
  <c r="AJ285" a="1"/>
  <c r="AJ285" s="1"/>
  <c r="AJ1035" a="1"/>
  <c r="AJ1035" s="1"/>
  <c r="AJ27" a="1"/>
  <c r="AJ27" s="1"/>
  <c r="AJ1280" a="1"/>
  <c r="AJ1280" s="1"/>
  <c r="AJ9" a="1"/>
  <c r="AJ9" s="1"/>
  <c r="AJ736" a="1"/>
  <c r="AJ736" s="1"/>
  <c r="AJ417" a="1"/>
  <c r="AJ417" s="1"/>
  <c r="AJ694" a="1"/>
  <c r="AJ694" s="1"/>
  <c r="AJ1385" a="1"/>
  <c r="AJ1385" s="1"/>
  <c r="AJ67" a="1"/>
  <c r="AJ67" s="1"/>
  <c r="AJ1359" a="1"/>
  <c r="AJ1359" s="1"/>
  <c r="AJ413" a="1"/>
  <c r="AJ413" s="1"/>
  <c r="AJ1355" a="1"/>
  <c r="AJ1355" s="1"/>
  <c r="AJ449" a="1"/>
  <c r="AJ449" s="1"/>
  <c r="AJ693" a="1"/>
  <c r="AJ693" s="1"/>
  <c r="AJ568" a="1"/>
  <c r="AJ568" s="1"/>
  <c r="AJ935" a="1"/>
  <c r="AJ935" s="1"/>
  <c r="AJ380" a="1"/>
  <c r="AJ380" s="1"/>
  <c r="AJ187" a="1"/>
  <c r="AJ187" s="1"/>
  <c r="AJ382" a="1"/>
  <c r="AJ382" s="1"/>
  <c r="AJ347" a="1"/>
  <c r="AJ347" s="1"/>
  <c r="AJ167" a="1"/>
  <c r="AJ167" s="1"/>
  <c r="AJ43" a="1"/>
  <c r="AJ43" s="1"/>
  <c r="AJ988" a="1"/>
  <c r="AJ988" s="1"/>
  <c r="AJ1114" a="1"/>
  <c r="AJ1114" s="1"/>
  <c r="AJ1021" a="1"/>
  <c r="AJ1021" s="1"/>
  <c r="AJ1165" a="1"/>
  <c r="AJ1165" s="1"/>
  <c r="AJ1156" a="1"/>
  <c r="AJ1156" s="1"/>
  <c r="AJ921" a="1"/>
  <c r="AJ921" s="1"/>
  <c r="AJ1067" a="1"/>
  <c r="AJ1067" s="1"/>
  <c r="AJ1298" a="1"/>
  <c r="AJ1298" s="1"/>
  <c r="AJ404" a="1"/>
  <c r="AJ404" s="1"/>
  <c r="AJ959" a="1"/>
  <c r="AJ959" s="1"/>
  <c r="AJ740" a="1"/>
  <c r="AJ740" s="1"/>
  <c r="AJ440" a="1"/>
  <c r="AJ440" s="1"/>
  <c r="AJ1250" a="1"/>
  <c r="AJ1250" s="1"/>
  <c r="AJ291" a="1"/>
  <c r="AJ291" s="1"/>
  <c r="AJ314" a="1"/>
  <c r="AJ314" s="1"/>
  <c r="AJ973" a="1"/>
  <c r="AJ973" s="1"/>
  <c r="AJ1014" a="1"/>
  <c r="AJ1014" s="1"/>
  <c r="AJ956" a="1"/>
  <c r="AJ956" s="1"/>
  <c r="AJ1257" a="1"/>
  <c r="AJ1257" s="1"/>
  <c r="AJ447" a="1"/>
  <c r="AJ447" s="1"/>
  <c r="AJ288" a="1"/>
  <c r="AJ288" s="1"/>
  <c r="AJ942" a="1"/>
  <c r="AJ942" s="1"/>
  <c r="AJ556" a="1"/>
  <c r="AJ556" s="1"/>
  <c r="AJ576" a="1"/>
  <c r="AJ576" s="1"/>
  <c r="AJ1247" a="1"/>
  <c r="AJ1247" s="1"/>
  <c r="AJ892" a="1"/>
  <c r="AJ892" s="1"/>
  <c r="AJ763" a="1"/>
  <c r="AJ763" s="1"/>
  <c r="AJ1379" a="1"/>
  <c r="AJ1379" s="1"/>
  <c r="AJ600" a="1"/>
  <c r="AJ600" s="1"/>
  <c r="AJ473" a="1"/>
  <c r="AJ473" s="1"/>
  <c r="AJ1362" a="1"/>
  <c r="AJ1362" s="1"/>
  <c r="AJ88" a="1"/>
  <c r="AJ88" s="1"/>
  <c r="AJ471" a="1"/>
  <c r="AJ471" s="1"/>
  <c r="AJ822" a="1"/>
  <c r="AJ822" s="1"/>
  <c r="AJ550" a="1"/>
  <c r="AJ550" s="1"/>
  <c r="AJ1154" a="1"/>
  <c r="AJ1154" s="1"/>
  <c r="AJ1430" a="1"/>
  <c r="AJ1430" s="1"/>
  <c r="AJ146" a="1"/>
  <c r="AJ146" s="1"/>
  <c r="AJ1045" a="1"/>
  <c r="AJ1045" s="1"/>
  <c r="AJ966" a="1"/>
  <c r="AJ966" s="1"/>
  <c r="AJ784" a="1"/>
  <c r="AJ784" s="1"/>
  <c r="AJ454" a="1"/>
  <c r="AJ454" s="1"/>
  <c r="AJ1141" a="1"/>
  <c r="AJ1141" s="1"/>
  <c r="AJ913" a="1"/>
  <c r="AJ913" s="1"/>
  <c r="AJ939" a="1"/>
  <c r="AJ939" s="1"/>
  <c r="AJ644" a="1"/>
  <c r="AJ644" s="1"/>
  <c r="AJ626" a="1"/>
  <c r="AJ626" s="1"/>
  <c r="AJ643" a="1"/>
  <c r="AJ643" s="1"/>
  <c r="AJ481" a="1"/>
  <c r="AJ481" s="1"/>
  <c r="AJ78" a="1"/>
  <c r="AJ78" s="1"/>
  <c r="AJ572" a="1"/>
  <c r="AJ572" s="1"/>
  <c r="AJ700" a="1"/>
  <c r="AJ700" s="1"/>
  <c r="AJ303" a="1"/>
  <c r="AJ303" s="1"/>
  <c r="AJ1151" a="1"/>
  <c r="AJ1151" s="1"/>
  <c r="AJ1374" a="1"/>
  <c r="AJ1374" s="1"/>
  <c r="AJ717" a="1"/>
  <c r="AJ717" s="1"/>
  <c r="AJ1153" a="1"/>
  <c r="AJ1153" s="1"/>
  <c r="AJ484" a="1"/>
  <c r="AJ484" s="1"/>
  <c r="AJ606" a="1"/>
  <c r="AJ606" s="1"/>
  <c r="AJ1063" a="1"/>
  <c r="AJ1063" s="1"/>
  <c r="AJ509" a="1"/>
  <c r="AJ509" s="1"/>
  <c r="AJ609" a="1"/>
  <c r="AJ609" s="1"/>
  <c r="AJ1270" a="1"/>
  <c r="AJ1270" s="1"/>
  <c r="AJ93" a="1"/>
  <c r="AJ93" s="1"/>
  <c r="AJ1398" a="1"/>
  <c r="AJ1398" s="1"/>
  <c r="AJ1219" a="1"/>
  <c r="AJ1219" s="1"/>
  <c r="AJ772" a="1"/>
  <c r="AJ772" s="1"/>
  <c r="AJ1134" a="1"/>
  <c r="AJ1134" s="1"/>
  <c r="AJ349" a="1"/>
  <c r="AJ349" s="1"/>
  <c r="AJ713" a="1"/>
  <c r="AJ713" s="1"/>
  <c r="AJ298" a="1"/>
  <c r="AJ298" s="1"/>
  <c r="AJ96" a="1"/>
  <c r="AJ96" s="1"/>
  <c r="AJ1012" a="1"/>
  <c r="AJ1012" s="1"/>
  <c r="AJ339" a="1"/>
  <c r="AJ339" s="1"/>
  <c r="AJ177" a="1"/>
  <c r="AJ177" s="1"/>
  <c r="AJ1054" a="1"/>
  <c r="AJ1054" s="1"/>
  <c r="AJ269" a="1"/>
  <c r="AJ269" s="1"/>
  <c r="AJ31" a="1"/>
  <c r="AJ31" s="1"/>
  <c r="AJ677" a="1"/>
  <c r="AJ677" s="1"/>
  <c r="AJ715" a="1"/>
  <c r="AJ715" s="1"/>
  <c r="AJ1068" a="1"/>
  <c r="AJ1068" s="1"/>
  <c r="AJ919" a="1"/>
  <c r="AJ919" s="1"/>
  <c r="AJ1146" a="1"/>
  <c r="AJ1146" s="1"/>
  <c r="AJ248" a="1"/>
  <c r="AJ248" s="1"/>
  <c r="AJ1098" a="1"/>
  <c r="AJ1098" s="1"/>
  <c r="AJ208" a="1"/>
  <c r="AJ208" s="1"/>
  <c r="AJ426" a="1"/>
  <c r="AJ426" s="1"/>
  <c r="AJ799" a="1"/>
  <c r="AJ799" s="1"/>
  <c r="AJ948" a="1"/>
  <c r="AJ948" s="1"/>
  <c r="AJ61" a="1"/>
  <c r="AJ61" s="1"/>
  <c r="AJ759" a="1"/>
  <c r="AJ759" s="1"/>
  <c r="AJ995" a="1"/>
  <c r="AJ995" s="1"/>
  <c r="AJ49" a="1"/>
  <c r="AJ49" s="1"/>
  <c r="AJ1415" a="1"/>
  <c r="AJ1415" s="1"/>
  <c r="AJ1046" a="1"/>
  <c r="AJ1046" s="1"/>
  <c r="AJ593" a="1"/>
  <c r="AJ593" s="1"/>
  <c r="AJ1062" a="1"/>
  <c r="AJ1062" s="1"/>
  <c r="AJ725" a="1"/>
  <c r="AJ725" s="1"/>
  <c r="AJ667" a="1"/>
  <c r="AJ667" s="1"/>
  <c r="AJ1433" a="1"/>
  <c r="AJ1433" s="1"/>
  <c r="AJ705" a="1"/>
  <c r="AJ705" s="1"/>
  <c r="AJ1031" a="1"/>
  <c r="AJ1031" s="1"/>
  <c r="AJ673" a="1"/>
  <c r="AJ673" s="1"/>
  <c r="AJ617" a="1"/>
  <c r="AJ617" s="1"/>
  <c r="AJ329" a="1"/>
  <c r="AJ329" s="1"/>
  <c r="AJ652" a="1"/>
  <c r="AJ652" s="1"/>
  <c r="AJ650" a="1"/>
  <c r="AJ650" s="1"/>
  <c r="AJ646" a="1"/>
  <c r="AJ646" s="1"/>
  <c r="AJ158" a="1"/>
  <c r="AJ158" s="1"/>
  <c r="AJ369" a="1"/>
  <c r="AJ369" s="1"/>
  <c r="AJ361" a="1"/>
  <c r="AJ361" s="1"/>
  <c r="AJ876" a="1"/>
  <c r="AJ876" s="1"/>
  <c r="AJ868" a="1"/>
  <c r="AJ868" s="1"/>
  <c r="AJ860" a="1"/>
  <c r="AJ860" s="1"/>
  <c r="AJ920" a="1"/>
  <c r="AJ920" s="1"/>
  <c r="AJ1117" a="1"/>
  <c r="AJ1117" s="1"/>
  <c r="AJ84" a="1"/>
  <c r="AJ84" s="1"/>
  <c r="AJ688" a="1"/>
  <c r="AJ688" s="1"/>
  <c r="AJ412" a="1"/>
  <c r="AJ412" s="1"/>
  <c r="AJ5" a="1"/>
  <c r="AJ5" s="1"/>
  <c r="AJ1293" a="1"/>
  <c r="AJ1293" s="1"/>
  <c r="AJ1309" a="1"/>
  <c r="AJ1309" s="1"/>
  <c r="AJ549" a="1"/>
  <c r="AJ549" s="1"/>
  <c r="AJ789" a="1"/>
  <c r="AJ789" s="1"/>
  <c r="AJ1292" a="1"/>
  <c r="AJ1292" s="1"/>
  <c r="AJ752" a="1"/>
  <c r="AJ752" s="1"/>
  <c r="AJ633" a="1"/>
  <c r="AJ633" s="1"/>
  <c r="AJ457" a="1"/>
  <c r="AJ457" s="1"/>
  <c r="AJ418" a="1"/>
  <c r="AJ418" s="1"/>
  <c r="AJ827" a="1"/>
  <c r="AJ827" s="1"/>
  <c r="AJ731" a="1"/>
  <c r="AJ731" s="1"/>
  <c r="AJ516" a="1"/>
  <c r="AJ516" s="1"/>
  <c r="AJ981" a="1"/>
  <c r="AJ981" s="1"/>
  <c r="AJ970" a="1"/>
  <c r="AJ970" s="1"/>
  <c r="AJ989" a="1"/>
  <c r="AJ989" s="1"/>
  <c r="AJ845" a="1"/>
  <c r="AJ845" s="1"/>
  <c r="AJ1161" a="1"/>
  <c r="AJ1161" s="1"/>
  <c r="AJ1041" a="1"/>
  <c r="AJ1041" s="1"/>
  <c r="AJ1159" a="1"/>
  <c r="AJ1159" s="1"/>
  <c r="AJ709" a="1"/>
  <c r="AJ709" s="1"/>
  <c r="AJ793" a="1"/>
  <c r="AJ793" s="1"/>
  <c r="AJ1040" a="1"/>
  <c r="AJ1040" s="1"/>
  <c r="AJ26" a="1"/>
  <c r="AJ26" s="1"/>
  <c r="AJ55" a="1"/>
  <c r="AJ55" s="1"/>
  <c r="AJ1110" a="1"/>
  <c r="AJ1110" s="1"/>
  <c r="AJ29" a="1"/>
  <c r="AJ29" s="1"/>
  <c r="AJ170" a="1"/>
  <c r="AJ170" s="1"/>
  <c r="AJ1037" a="1"/>
  <c r="AJ1037" s="1"/>
  <c r="AJ586" a="1"/>
  <c r="AJ586" s="1"/>
  <c r="AJ1133" a="1"/>
  <c r="AJ1133" s="1"/>
  <c r="AJ37" a="1"/>
  <c r="AJ37" s="1"/>
  <c r="AJ1275" a="1"/>
  <c r="AJ1275" s="1"/>
  <c r="AJ958" a="1"/>
  <c r="AJ958" s="1"/>
  <c r="AJ767" a="1"/>
  <c r="AJ767" s="1"/>
  <c r="AJ1274" a="1"/>
  <c r="AJ1274" s="1"/>
  <c r="AJ1386" a="1"/>
  <c r="AJ1386" s="1"/>
  <c r="AJ1116" a="1"/>
  <c r="AJ1116" s="1"/>
  <c r="AJ552" a="1"/>
  <c r="AJ552" s="1"/>
  <c r="AJ1358" a="1"/>
  <c r="AJ1358" s="1"/>
  <c r="AJ1356" a="1"/>
  <c r="AJ1356" s="1"/>
  <c r="AJ207" a="1"/>
  <c r="AJ207" s="1"/>
  <c r="AJ1333" a="1"/>
  <c r="AJ1333" s="1"/>
  <c r="AJ243" a="1"/>
  <c r="AJ243" s="1"/>
  <c r="AJ936" a="1"/>
  <c r="AJ936" s="1"/>
  <c r="AJ419" a="1"/>
  <c r="AJ419" s="1"/>
  <c r="AJ1222" a="1"/>
  <c r="AJ1222" s="1"/>
  <c r="AJ1286" a="1"/>
  <c r="AJ1286" s="1"/>
  <c r="AJ191" a="1"/>
  <c r="AJ191" s="1"/>
  <c r="AJ168" a="1"/>
  <c r="AJ168" s="1"/>
  <c r="AJ220" a="1"/>
  <c r="AJ220" s="1"/>
  <c r="AJ1331" a="1"/>
  <c r="AJ1331" s="1"/>
  <c r="AJ1115" a="1"/>
  <c r="AJ1115" s="1"/>
  <c r="AJ1070" a="1"/>
  <c r="AJ1070" s="1"/>
  <c r="AJ242" a="1"/>
  <c r="AJ242" s="1"/>
  <c r="AJ1194" a="1"/>
  <c r="AJ1194" s="1"/>
  <c r="AJ986" a="1"/>
  <c r="AJ986" s="1"/>
  <c r="AJ100" a="1"/>
  <c r="AJ100" s="1"/>
  <c r="AJ721" a="1"/>
  <c r="AJ721" s="1"/>
  <c r="AJ631" a="1"/>
  <c r="AJ631" s="1"/>
  <c r="AJ960" a="1"/>
  <c r="AJ960" s="1"/>
  <c r="AJ741" a="1"/>
  <c r="AJ741" s="1"/>
  <c r="AJ441" a="1"/>
  <c r="AJ441" s="1"/>
  <c r="AJ1251" a="1"/>
  <c r="AJ1251" s="1"/>
  <c r="AJ579" a="1"/>
  <c r="AJ579" s="1"/>
  <c r="AJ451" a="1"/>
  <c r="AJ451" s="1"/>
  <c r="AJ748" a="1"/>
  <c r="AJ748" s="1"/>
  <c r="AJ1007" a="1"/>
  <c r="AJ1007" s="1"/>
  <c r="AJ53" a="1"/>
  <c r="AJ53" s="1"/>
  <c r="AJ1380" a="1"/>
  <c r="AJ1380" s="1"/>
  <c r="AJ448" a="1"/>
  <c r="AJ448" s="1"/>
  <c r="AJ1003" a="1"/>
  <c r="AJ1003" s="1"/>
  <c r="AJ943" a="1"/>
  <c r="AJ943" s="1"/>
  <c r="AJ557" a="1"/>
  <c r="AJ557" s="1"/>
  <c r="AJ554" a="1"/>
  <c r="AJ554" s="1"/>
  <c r="AJ274" a="1"/>
  <c r="AJ274" s="1"/>
  <c r="AJ893" a="1"/>
  <c r="AJ893" s="1"/>
  <c r="AJ764" a="1"/>
  <c r="AJ764" s="1"/>
  <c r="AJ785" a="1"/>
  <c r="AJ785" s="1"/>
  <c r="AJ155" a="1"/>
  <c r="AJ155" s="1"/>
  <c r="AJ474" a="1"/>
  <c r="AJ474" s="1"/>
  <c r="AJ1351" a="1"/>
  <c r="AJ1351" s="1"/>
  <c r="AJ479" a="1"/>
  <c r="AJ479" s="1"/>
  <c r="AJ300" a="1"/>
  <c r="AJ300" s="1"/>
  <c r="AJ396" a="1"/>
  <c r="AJ396" s="1"/>
  <c r="AJ205" a="1"/>
  <c r="AJ205" s="1"/>
  <c r="AJ641" a="1"/>
  <c r="AJ641" s="1"/>
  <c r="AJ489" a="1"/>
  <c r="AJ489" s="1"/>
  <c r="AJ438" a="1"/>
  <c r="AJ438" s="1"/>
  <c r="AJ80" a="1"/>
  <c r="AJ80" s="1"/>
  <c r="AJ1244" a="1"/>
  <c r="AJ1244" s="1"/>
  <c r="AJ1135" a="1"/>
  <c r="AJ1135" s="1"/>
  <c r="AJ1087" a="1"/>
  <c r="AJ1087" s="1"/>
  <c r="AJ660" a="1"/>
  <c r="AJ660" s="1"/>
  <c r="AJ914" a="1"/>
  <c r="AJ914" s="1"/>
  <c r="AJ940" a="1"/>
  <c r="AJ940" s="1"/>
  <c r="AJ645" a="1"/>
  <c r="AJ645" s="1"/>
  <c r="AJ627" a="1"/>
  <c r="AJ627" s="1"/>
  <c r="AJ1241" a="1"/>
  <c r="AJ1241" s="1"/>
  <c r="AJ923" a="1"/>
  <c r="AJ923" s="1"/>
  <c r="AJ1050" a="1"/>
  <c r="AJ1050" s="1"/>
  <c r="AJ573" a="1"/>
  <c r="AJ573" s="1"/>
  <c r="AJ6" a="1"/>
  <c r="AJ6" s="1"/>
  <c r="AJ408" a="1"/>
  <c r="AJ408" s="1"/>
  <c r="AJ783" a="1"/>
  <c r="AJ783" s="1"/>
  <c r="AJ690" a="1"/>
  <c r="AJ690" s="1"/>
  <c r="AJ186" a="1"/>
  <c r="AJ186" s="1"/>
  <c r="AJ1138" a="1"/>
  <c r="AJ1138" s="1"/>
  <c r="AJ485" a="1"/>
  <c r="AJ485" s="1"/>
  <c r="AJ607" a="1"/>
  <c r="AJ607" s="1"/>
  <c r="AJ1064" a="1"/>
  <c r="AJ1064" s="1"/>
  <c r="AJ665" a="1"/>
  <c r="AJ665" s="1"/>
  <c r="AJ640" a="1"/>
  <c r="AJ640" s="1"/>
  <c r="AJ770" a="1"/>
  <c r="AJ770" s="1"/>
  <c r="AJ1336" a="1"/>
  <c r="AJ1336" s="1"/>
  <c r="AJ1399" a="1"/>
  <c r="AJ1399" s="1"/>
  <c r="AJ1220" a="1"/>
  <c r="AJ1220" s="1"/>
  <c r="AJ1026" a="1"/>
  <c r="AJ1026" s="1"/>
  <c r="AJ758" a="1"/>
  <c r="AJ758" s="1"/>
  <c r="AJ350" a="1"/>
  <c r="AJ350" s="1"/>
  <c r="AJ685" a="1"/>
  <c r="AJ685" s="1"/>
  <c r="AJ405" a="1"/>
  <c r="AJ405" s="1"/>
  <c r="AJ97" a="1"/>
  <c r="AJ97" s="1"/>
  <c r="AJ1013" a="1"/>
  <c r="AJ1013" s="1"/>
  <c r="AJ340" a="1"/>
  <c r="AJ340" s="1"/>
  <c r="AJ178" a="1"/>
  <c r="AJ178" s="1"/>
  <c r="AJ507" a="1"/>
  <c r="AJ507" s="1"/>
  <c r="AJ526" a="1"/>
  <c r="AJ526" s="1"/>
  <c r="AJ1080" a="1"/>
  <c r="AJ1080" s="1"/>
  <c r="AJ863" a="1"/>
  <c r="AJ863" s="1"/>
  <c r="AJ840" a="1"/>
  <c r="AJ840" s="1"/>
  <c r="AJ830" a="1"/>
  <c r="AJ830" s="1"/>
  <c r="AJ710" a="1"/>
  <c r="AJ710" s="1"/>
  <c r="AJ1147" a="1"/>
  <c r="AJ1147" s="1"/>
  <c r="AJ537" a="1"/>
  <c r="AJ537" s="1"/>
  <c r="AJ265" a="1"/>
  <c r="AJ265" s="1"/>
  <c r="AJ1302" a="1"/>
  <c r="AJ1302" s="1"/>
  <c r="AJ766" a="1"/>
  <c r="AJ766" s="1"/>
  <c r="AJ742" a="1"/>
  <c r="AJ742" s="1"/>
  <c r="AJ803" a="1"/>
  <c r="AJ803" s="1"/>
  <c r="AJ946" a="1"/>
  <c r="AJ946" s="1"/>
  <c r="AJ472" a="1"/>
  <c r="AJ472" s="1"/>
  <c r="AJ453" a="1"/>
  <c r="AJ453" s="1"/>
  <c r="AJ319" a="1"/>
  <c r="AJ319" s="1"/>
  <c r="AJ202" a="1"/>
  <c r="AJ202" s="1"/>
  <c r="AJ301" a="1"/>
  <c r="AJ301" s="1"/>
  <c r="AJ1266" a="1"/>
  <c r="AJ1266" s="1"/>
  <c r="AJ1422" a="1"/>
  <c r="AJ1422" s="1"/>
  <c r="AJ47" a="1"/>
  <c r="AJ47" s="1"/>
  <c r="AJ1111" a="1"/>
  <c r="AJ1111" s="1"/>
  <c r="AJ271" a="1"/>
  <c r="AJ271" s="1"/>
  <c r="AJ524" a="1"/>
  <c r="AJ524" s="1"/>
  <c r="AJ1121" a="1"/>
  <c r="AJ1121" s="1"/>
  <c r="AJ648" a="1"/>
  <c r="AJ648" s="1"/>
  <c r="AJ1423" a="1"/>
  <c r="AJ1423" s="1"/>
  <c r="AJ951" a="1"/>
  <c r="AJ951" s="1"/>
  <c r="AJ753" a="1"/>
  <c r="AJ753" s="1"/>
  <c r="AJ1128" a="1"/>
  <c r="AJ1128" s="1"/>
  <c r="AJ1075" a="1"/>
  <c r="AJ1075" s="1"/>
  <c r="AJ30" a="1"/>
  <c r="AJ30" s="1"/>
  <c r="AJ528" a="1"/>
  <c r="AJ528" s="1"/>
  <c r="AJ110" a="1"/>
  <c r="AJ110" s="1"/>
  <c r="AJ463" a="1"/>
  <c r="AJ463" s="1"/>
  <c r="AJ1122" a="1"/>
  <c r="AJ1122" s="1"/>
  <c r="AJ330" a="1"/>
  <c r="AJ330" s="1"/>
  <c r="AJ653" a="1"/>
  <c r="AJ653" s="1"/>
  <c r="AJ651" a="1"/>
  <c r="AJ651" s="1"/>
  <c r="AJ649" a="1"/>
  <c r="AJ649" s="1"/>
  <c r="AJ647" a="1"/>
  <c r="AJ647" s="1"/>
  <c r="AJ159" a="1"/>
  <c r="AJ159" s="1"/>
  <c r="AJ675" a="1"/>
  <c r="AJ675" s="1"/>
  <c r="AJ362" a="1"/>
  <c r="AJ362" s="1"/>
  <c r="AJ354" a="1"/>
  <c r="AJ354" s="1"/>
  <c r="AJ869" a="1"/>
  <c r="AJ869" s="1"/>
  <c r="AJ861" a="1"/>
  <c r="AJ861" s="1"/>
  <c r="AJ1396" a="1"/>
  <c r="AJ1396" s="1"/>
  <c r="AJ997" a="1"/>
  <c r="AJ997" s="1"/>
  <c r="AJ85" a="1"/>
  <c r="AJ85" s="1"/>
  <c r="AJ689" a="1"/>
  <c r="AJ689" s="1"/>
  <c r="AJ381" a="1"/>
  <c r="AJ381" s="1"/>
  <c r="AJ410" a="1"/>
  <c r="AJ410" s="1"/>
  <c r="AJ937" a="1"/>
  <c r="AJ937" s="1"/>
  <c r="AJ1016" a="1"/>
  <c r="AJ1016" s="1"/>
  <c r="AJ1414" a="1"/>
  <c r="AJ1414" s="1"/>
  <c r="AJ790" a="1"/>
  <c r="AJ790" s="1"/>
  <c r="AJ150" a="1"/>
  <c r="AJ150" s="1"/>
  <c r="AJ702" a="1"/>
  <c r="AJ702" s="1"/>
  <c r="AJ286" a="1"/>
  <c r="AJ286" s="1"/>
  <c r="AJ674" a="1"/>
  <c r="AJ674" s="1"/>
  <c r="AJ297" a="1"/>
  <c r="AJ297" s="1"/>
  <c r="AJ828" a="1"/>
  <c r="AJ828" s="1"/>
  <c r="AJ391" a="1"/>
  <c r="AJ391" s="1"/>
  <c r="AJ517" a="1"/>
  <c r="AJ517" s="1"/>
  <c r="AJ982" a="1"/>
  <c r="AJ982" s="1"/>
  <c r="AJ971" a="1"/>
  <c r="AJ971" s="1"/>
  <c r="AJ520" a="1"/>
  <c r="AJ520" s="1"/>
  <c r="AJ853" a="1"/>
  <c r="AJ853" s="1"/>
  <c r="AJ1305" a="1"/>
  <c r="AJ1305" s="1"/>
  <c r="AJ562" a="1"/>
  <c r="AJ562" s="1"/>
  <c r="AJ1360" a="1"/>
  <c r="AJ1360" s="1"/>
  <c r="AJ1061" a="1"/>
  <c r="AJ1061" s="1"/>
  <c r="AJ794" a="1"/>
  <c r="AJ794" s="1"/>
  <c r="AJ386" a="1"/>
  <c r="AJ386" s="1"/>
  <c r="AJ801" a="1"/>
  <c r="AJ801" s="1"/>
  <c r="AJ769" a="1"/>
  <c r="AJ769" s="1"/>
  <c r="AJ768" a="1"/>
  <c r="AJ768" s="1"/>
  <c r="AJ69" a="1"/>
  <c r="AJ69" s="1"/>
  <c r="AJ1371" a="1"/>
  <c r="AJ1371" s="1"/>
  <c r="AJ1281" a="1"/>
  <c r="AJ1281" s="1"/>
  <c r="AJ588" a="1"/>
  <c r="AJ588" s="1"/>
  <c r="AJ590" a="1"/>
  <c r="AJ590" s="1"/>
  <c r="AJ1319" a="1"/>
  <c r="AJ1319" s="1"/>
  <c r="AJ1276" a="1"/>
  <c r="AJ1276" s="1"/>
  <c r="AJ1102" a="1"/>
  <c r="AJ1102" s="1"/>
  <c r="AJ566" a="1"/>
  <c r="AJ566" s="1"/>
  <c r="AJ1259" a="1"/>
  <c r="AJ1259" s="1"/>
  <c r="AJ102" a="1"/>
  <c r="AJ102" s="1"/>
  <c r="AJ787" a="1"/>
  <c r="AJ787" s="1"/>
  <c r="AJ553" a="1"/>
  <c r="AJ553" s="1"/>
  <c r="AJ551" a="1"/>
  <c r="AJ551" s="1"/>
  <c r="AJ385" a="1"/>
  <c r="AJ385" s="1"/>
  <c r="AJ244" a="1"/>
  <c r="AJ244" s="1"/>
  <c r="AJ1334" a="1"/>
  <c r="AJ1334" s="1"/>
  <c r="AJ1170" a="1"/>
  <c r="AJ1170" s="1"/>
  <c r="AJ236" a="1"/>
  <c r="AJ236" s="1"/>
  <c r="AJ95" a="1"/>
  <c r="AJ95" s="1"/>
  <c r="AJ896" a="1"/>
  <c r="AJ896" s="1"/>
  <c r="AJ383" a="1"/>
  <c r="AJ383" s="1"/>
  <c r="AJ192" a="1"/>
  <c r="AJ192" s="1"/>
  <c r="AJ1408" a="1"/>
  <c r="AJ1408" s="1"/>
  <c r="AJ221" a="1"/>
  <c r="AJ221" s="1"/>
  <c r="AJ1332" a="1"/>
  <c r="AJ1332" s="1"/>
  <c r="AJ427" a="1"/>
  <c r="AJ427" s="1"/>
  <c r="AJ1022" a="1"/>
  <c r="AJ1022" s="1"/>
  <c r="AJ1166" a="1"/>
  <c r="AJ1166" s="1"/>
  <c r="AJ1431" a="1"/>
  <c r="AJ1431" s="1"/>
  <c r="AJ560" a="1"/>
  <c r="AJ560" s="1"/>
  <c r="AJ1029" a="1"/>
  <c r="AJ1029" s="1"/>
  <c r="AJ722" a="1"/>
  <c r="AJ722" s="1"/>
  <c r="AJ765" a="1"/>
  <c r="AJ765" s="1"/>
  <c r="AJ931" a="1"/>
  <c r="AJ931" s="1"/>
  <c r="AJ635" a="1"/>
  <c r="AJ635" s="1"/>
  <c r="AJ744" a="1"/>
  <c r="AJ744" s="1"/>
  <c r="AJ1106" a="1"/>
  <c r="AJ1106" s="1"/>
  <c r="AJ77" a="1"/>
  <c r="AJ77" s="1"/>
  <c r="AJ482" a="1"/>
  <c r="AJ482" s="1"/>
  <c r="AJ604" a="1"/>
  <c r="AJ604" s="1"/>
  <c r="AJ1015" a="1"/>
  <c r="AJ1015" s="1"/>
  <c r="AJ1383" a="1"/>
  <c r="AJ1383" s="1"/>
  <c r="AJ773" a="1"/>
  <c r="AJ773" s="1"/>
  <c r="AJ289" a="1"/>
  <c r="AJ289" s="1"/>
  <c r="AJ739" a="1"/>
  <c r="AJ739" s="1"/>
  <c r="AJ944" a="1"/>
  <c r="AJ944" s="1"/>
  <c r="AJ558" a="1"/>
  <c r="AJ558" s="1"/>
  <c r="AJ901" a="1"/>
  <c r="AJ901" s="1"/>
  <c r="AJ82" a="1"/>
  <c r="AJ82" s="1"/>
  <c r="AJ994" a="1"/>
  <c r="AJ994" s="1"/>
  <c r="AJ597" a="1"/>
  <c r="AJ597" s="1"/>
  <c r="AJ952" a="1"/>
  <c r="AJ952" s="1"/>
  <c r="AJ318" a="1"/>
  <c r="AJ318" s="1"/>
  <c r="AJ60" a="1"/>
  <c r="AJ60" s="1"/>
  <c r="AJ91" a="1"/>
  <c r="AJ91" s="1"/>
  <c r="AJ1001" a="1"/>
  <c r="AJ1001" s="1"/>
  <c r="AJ518" a="1"/>
  <c r="AJ518" s="1"/>
  <c r="AJ425" a="1"/>
  <c r="AJ425" s="1"/>
  <c r="AJ206" a="1"/>
  <c r="AJ206" s="1"/>
  <c r="AJ107" a="1"/>
  <c r="AJ107" s="1"/>
  <c r="AJ610" a="1"/>
  <c r="AJ610" s="1"/>
  <c r="AJ147" a="1"/>
  <c r="AJ147" s="1"/>
  <c r="AJ140" a="1"/>
  <c r="AJ140" s="1"/>
  <c r="AJ967" a="1"/>
  <c r="AJ967" s="1"/>
  <c r="AJ1078" a="1"/>
  <c r="AJ1078" s="1"/>
  <c r="AJ848" a="1"/>
  <c r="AJ848" s="1"/>
  <c r="AJ618" a="1"/>
  <c r="AJ618" s="1"/>
  <c r="AJ974" a="1"/>
  <c r="AJ974" s="1"/>
  <c r="AJ941" a="1"/>
  <c r="AJ941" s="1"/>
  <c r="AJ1243" a="1"/>
  <c r="AJ1243" s="1"/>
  <c r="AJ108" a="1"/>
  <c r="AJ108" s="1"/>
  <c r="AJ924" a="1"/>
  <c r="AJ924" s="1"/>
  <c r="AJ304" a="1"/>
  <c r="AJ304" s="1"/>
  <c r="AJ591" a="1"/>
  <c r="AJ591" s="1"/>
  <c r="AJ491" a="1"/>
  <c r="AJ491" s="1"/>
  <c r="AJ477" a="1"/>
  <c r="AJ477" s="1"/>
  <c r="AJ1204" a="1"/>
  <c r="AJ1204" s="1"/>
  <c r="AJ595" a="1"/>
  <c r="AJ595" s="1"/>
  <c r="AJ691" a="1"/>
  <c r="AJ691" s="1"/>
  <c r="AJ171" a="1"/>
  <c r="AJ171" s="1"/>
  <c r="AJ512" a="1"/>
  <c r="AJ512" s="1"/>
  <c r="AJ486" a="1"/>
  <c r="AJ486" s="1"/>
  <c r="AJ636" a="1"/>
  <c r="AJ636" s="1"/>
  <c r="AJ662" a="1"/>
  <c r="AJ662" s="1"/>
  <c r="AJ666" a="1"/>
  <c r="AJ666" s="1"/>
  <c r="AJ292" a="1"/>
  <c r="AJ292" s="1"/>
  <c r="AJ1268" a="1"/>
  <c r="AJ1268" s="1"/>
  <c r="AJ1337" a="1"/>
  <c r="AJ1337" s="1"/>
  <c r="AJ92" a="1"/>
  <c r="AJ92" s="1"/>
  <c r="AJ50" a="1"/>
  <c r="AJ50" s="1"/>
  <c r="AJ755" a="1"/>
  <c r="AJ755" s="1"/>
  <c r="AJ1150" a="1"/>
  <c r="AJ1150" s="1"/>
  <c r="AJ1413" a="1"/>
  <c r="AJ1413" s="1"/>
  <c r="AJ686" a="1"/>
  <c r="AJ686" s="1"/>
  <c r="AJ529" a="1"/>
  <c r="AJ529" s="1"/>
  <c r="AJ241" a="1"/>
  <c r="AJ241" s="1"/>
  <c r="AJ1066" a="1"/>
  <c r="AJ1066" s="1"/>
  <c r="AJ341" a="1"/>
  <c r="AJ341" s="1"/>
  <c r="AJ1055" a="1"/>
  <c r="AJ1055" s="1"/>
  <c r="AJ658" a="1"/>
  <c r="AJ658" s="1"/>
  <c r="AJ521" a="1"/>
  <c r="AJ521" s="1"/>
  <c r="AJ364" a="1"/>
  <c r="AJ364" s="1"/>
  <c r="AJ998" a="1"/>
  <c r="AJ998" s="1"/>
  <c r="AJ839" a="1"/>
  <c r="AJ839" s="1"/>
  <c r="AJ855" a="1"/>
  <c r="AJ855" s="1"/>
  <c r="AJ978" a="1"/>
  <c r="AJ978" s="1"/>
  <c r="AJ589" a="1"/>
  <c r="AJ589" s="1"/>
  <c r="AJ28" a="1"/>
  <c r="AJ28" s="1"/>
  <c r="AJ1101" a="1"/>
  <c r="AJ1101" s="1"/>
  <c r="AJ514" a="1"/>
  <c r="AJ514" s="1"/>
  <c r="AJ724" a="1"/>
  <c r="AJ724" s="1"/>
  <c r="AJ932" a="1"/>
  <c r="AJ932" s="1"/>
  <c r="AJ578" a="1"/>
  <c r="AJ578" s="1"/>
  <c r="AJ1353" a="1"/>
  <c r="AJ1353" s="1"/>
  <c r="AJ240" a="1"/>
  <c r="AJ240" s="1"/>
  <c r="AJ83" a="1"/>
  <c r="AJ83" s="1"/>
  <c r="AJ226" a="1"/>
  <c r="AJ226" s="1"/>
  <c r="AJ346" a="1"/>
  <c r="AJ346" s="1"/>
  <c r="AJ180" a="1"/>
  <c r="AJ180" s="1"/>
  <c r="AJ480" a="1"/>
  <c r="AJ480" s="1"/>
  <c r="AJ1057" a="1"/>
  <c r="AJ1057" s="1"/>
  <c r="AJ1424" a="1"/>
  <c r="AJ1424" s="1"/>
  <c r="AJ48" a="1"/>
  <c r="AJ48" s="1"/>
  <c r="AJ778" a="1"/>
  <c r="AJ778" s="1"/>
  <c r="AJ222" a="1"/>
  <c r="AJ222" s="1"/>
  <c r="AJ1234" a="1"/>
  <c r="AJ1234" s="1"/>
  <c r="AJ1049" a="1"/>
  <c r="AJ1049" s="1"/>
  <c r="AJ111" a="1"/>
  <c r="AJ111" s="1"/>
  <c r="AJ525" a="1"/>
  <c r="AJ525" s="1"/>
  <c r="AJ616" a="1"/>
  <c r="AJ616" s="1"/>
  <c r="AJ433" a="1"/>
  <c r="AJ433" s="1"/>
  <c r="AJ502" a="1"/>
  <c r="AJ502" s="1"/>
  <c r="AJ811" a="1"/>
  <c r="AJ811" s="1"/>
  <c r="AJ1079" a="1"/>
  <c r="AJ1079" s="1"/>
  <c r="AJ809" a="1"/>
  <c r="AJ809" s="1"/>
  <c r="AJ807" a="1"/>
  <c r="AJ807" s="1"/>
  <c r="AJ160" a="1"/>
  <c r="AJ160" s="1"/>
  <c r="AJ676" a="1"/>
  <c r="AJ676" s="1"/>
  <c r="AJ363" a="1"/>
  <c r="AJ363" s="1"/>
  <c r="AJ355" a="1"/>
  <c r="AJ355" s="1"/>
  <c r="AJ870" a="1"/>
  <c r="AJ870" s="1"/>
  <c r="AJ862" a="1"/>
  <c r="AJ862" s="1"/>
  <c r="AJ909" a="1"/>
  <c r="AJ909" s="1"/>
  <c r="AJ603" a="1"/>
  <c r="AJ603" s="1"/>
  <c r="AJ857" a="1"/>
  <c r="AJ857" s="1"/>
  <c r="AJ714" a="1"/>
  <c r="AJ714" s="1"/>
  <c r="AJ239" a="1"/>
  <c r="AJ239" s="1"/>
  <c r="AJ844" a="1"/>
  <c r="AJ844" s="1"/>
  <c r="AJ1294" a="1"/>
  <c r="AJ1294" s="1"/>
  <c r="AJ1017" a="1"/>
  <c r="AJ1017" s="1"/>
  <c r="AJ295" a="1"/>
  <c r="AJ295" s="1"/>
  <c r="AJ838" a="1"/>
  <c r="AJ838" s="1"/>
  <c r="AJ548" a="1"/>
  <c r="AJ548" s="1"/>
  <c r="AJ703" a="1"/>
  <c r="AJ703" s="1"/>
  <c r="AJ1395" a="1"/>
  <c r="AJ1395" s="1"/>
  <c r="AJ823" a="1"/>
  <c r="AJ823" s="1"/>
  <c r="AJ1104" a="1"/>
  <c r="AJ1104" s="1"/>
  <c r="AJ829" a="1"/>
  <c r="AJ829" s="1"/>
  <c r="AJ1377" a="1"/>
  <c r="AJ1377" s="1"/>
  <c r="AJ353" a="1"/>
  <c r="AJ353" s="1"/>
  <c r="AJ983" a="1"/>
  <c r="AJ983" s="1"/>
  <c r="AJ972" a="1"/>
  <c r="AJ972" s="1"/>
  <c r="AJ977" a="1"/>
  <c r="AJ977" s="1"/>
  <c r="AJ846" a="1"/>
  <c r="AJ846" s="1"/>
  <c r="AJ154" a="1"/>
  <c r="AJ154" s="1"/>
  <c r="AJ1160" a="1"/>
  <c r="AJ1160" s="1"/>
  <c r="AJ1361" a="1"/>
  <c r="AJ1361" s="1"/>
  <c r="AJ612" a="1"/>
  <c r="AJ612" s="1"/>
  <c r="AJ598" a="1"/>
  <c r="AJ598" s="1"/>
  <c r="AJ1157" a="1"/>
  <c r="AJ1157" s="1"/>
  <c r="AJ1291" a="1"/>
  <c r="AJ1291" s="1"/>
  <c r="AJ1290" a="1"/>
  <c r="AJ1290" s="1"/>
  <c r="AJ1289" a="1"/>
  <c r="AJ1289" s="1"/>
  <c r="AJ1038" a="1"/>
  <c r="AJ1038" s="1"/>
  <c r="AJ75" a="1"/>
  <c r="AJ75" s="1"/>
  <c r="AJ908" a="1"/>
  <c r="AJ908" s="1"/>
  <c r="AJ1036" a="1"/>
  <c r="AJ1036" s="1"/>
  <c r="AJ805" a="1"/>
  <c r="AJ805" s="1"/>
  <c r="AJ1320" a="1"/>
  <c r="AJ1320" s="1"/>
  <c r="AJ10" a="1"/>
  <c r="AJ10" s="1"/>
  <c r="AJ1317" a="1"/>
  <c r="AJ1317" s="1"/>
  <c r="AJ567" a="1"/>
  <c r="AJ567" s="1"/>
  <c r="AJ7" a="1"/>
  <c r="AJ7" s="1"/>
  <c r="AJ1272" a="1"/>
  <c r="AJ1272" s="1"/>
  <c r="AJ762" a="1"/>
  <c r="AJ762" s="1"/>
  <c r="AJ571" a="1"/>
  <c r="AJ571" s="1"/>
  <c r="AJ570" a="1"/>
  <c r="AJ570" s="1"/>
  <c r="AJ1357" a="1"/>
  <c r="AJ1357" s="1"/>
  <c r="AJ245" a="1"/>
  <c r="AJ245" s="1"/>
  <c r="AJ190" a="1"/>
  <c r="AJ190" s="1"/>
  <c r="AJ189" a="1"/>
  <c r="AJ189" s="1"/>
  <c r="AJ237" a="1"/>
  <c r="AJ237" s="1"/>
  <c r="AJ148" a="1"/>
  <c r="AJ148" s="1"/>
  <c r="AJ735" a="1"/>
  <c r="AJ735" s="1"/>
  <c r="AJ1126" a="1"/>
  <c r="AJ1126" s="1"/>
  <c r="AJ193" a="1"/>
  <c r="AJ193" s="1"/>
  <c r="AJ1409" a="1"/>
  <c r="AJ1409" s="1"/>
  <c r="AJ1269" a="1"/>
  <c r="AJ1269" s="1"/>
  <c r="AJ692" a="1"/>
  <c r="AJ692" s="1"/>
  <c r="AJ459" a="1"/>
  <c r="AJ459" s="1"/>
  <c r="AJ458" a="1"/>
  <c r="AJ458" s="1"/>
  <c r="AJ165" a="1"/>
  <c r="AJ165" s="1"/>
  <c r="AJ1125" a="1"/>
  <c r="AJ1125" s="1"/>
  <c r="AJ561" a="1"/>
  <c r="AJ561" s="1"/>
  <c r="AJ1310" a="1"/>
  <c r="AJ1310" s="1"/>
  <c r="AJ723" a="1"/>
  <c r="AJ723" s="1"/>
  <c r="AJ798" a="1"/>
  <c r="AJ798" s="1"/>
  <c r="AJ904" a="1"/>
  <c r="AJ904" s="1"/>
  <c r="AJ1010" a="1"/>
  <c r="AJ1010" s="1"/>
  <c r="AJ35" a="1"/>
  <c r="AJ35" s="1"/>
  <c r="AJ1107" a="1"/>
  <c r="AJ1107" s="1"/>
  <c r="AJ580" a="1"/>
  <c r="AJ580" s="1"/>
  <c r="AJ483" a="1"/>
  <c r="AJ483" s="1"/>
  <c r="AJ605" a="1"/>
  <c r="AJ605" s="1"/>
  <c r="AJ1028" a="1"/>
  <c r="AJ1028" s="1"/>
  <c r="AJ1384" a="1"/>
  <c r="AJ1384" s="1"/>
  <c r="AJ1129" a="1"/>
  <c r="AJ1129" s="1"/>
  <c r="AJ311" a="1"/>
  <c r="AJ311" s="1"/>
  <c r="AJ310" a="1"/>
  <c r="AJ310" s="1"/>
  <c r="AJ945" a="1"/>
  <c r="AJ945" s="1"/>
  <c r="AJ577" a="1"/>
  <c r="AJ577" s="1"/>
  <c r="AJ555" a="1"/>
  <c r="AJ555" s="1"/>
  <c r="AJ1002" a="1"/>
  <c r="AJ1002" s="1"/>
  <c r="AJ138" a="1"/>
  <c r="AJ138" s="1"/>
  <c r="AJ273" a="1"/>
  <c r="AJ273" s="1"/>
  <c r="AJ1203" a="1"/>
  <c r="AJ1203" s="1"/>
  <c r="AJ1364" a="1"/>
  <c r="AJ1364" s="1"/>
  <c r="AJ65" a="1"/>
  <c r="AJ65" s="1"/>
  <c r="AJ622" a="1"/>
  <c r="AJ622" s="1"/>
  <c r="AJ33" a="1"/>
  <c r="AJ33" s="1"/>
  <c r="AJ194" a="1"/>
  <c r="AJ194" s="1"/>
  <c r="AJ1069" a="1"/>
  <c r="AJ1069" s="1"/>
  <c r="AJ181" a="1"/>
  <c r="AJ181" s="1"/>
  <c r="AJ1089" a="1"/>
  <c r="AJ1089" s="1"/>
  <c r="AJ611" a="1"/>
  <c r="AJ611" s="1"/>
  <c r="AJ81" a="1"/>
  <c r="AJ81" s="1"/>
  <c r="AJ444" a="1"/>
  <c r="AJ444" s="1"/>
  <c r="AJ401" a="1"/>
  <c r="AJ401" s="1"/>
  <c r="AJ619" a="1"/>
  <c r="AJ619" s="1"/>
  <c r="AJ503" a="1"/>
  <c r="AJ503" s="1"/>
  <c r="AJ1077" a="1"/>
  <c r="AJ1077" s="1"/>
  <c r="AJ975" a="1"/>
  <c r="AJ975" s="1"/>
  <c r="AJ897" a="1"/>
  <c r="AJ897" s="1"/>
  <c r="AJ225" a="1"/>
  <c r="AJ225" s="1"/>
  <c r="AJ109" a="1"/>
  <c r="AJ109" s="1"/>
  <c r="AJ925" a="1"/>
  <c r="AJ925" s="1"/>
  <c r="AJ272" a="1"/>
  <c r="AJ272" s="1"/>
  <c r="AJ592" a="1"/>
  <c r="AJ592" s="1"/>
  <c r="AJ492" a="1"/>
  <c r="AJ492" s="1"/>
  <c r="AJ282" a="1"/>
  <c r="AJ282" s="1"/>
  <c r="AJ733" a="1"/>
  <c r="AJ733" s="1"/>
  <c r="AJ596" a="1"/>
  <c r="AJ596" s="1"/>
  <c r="AJ1375" a="1"/>
  <c r="AJ1375" s="1"/>
  <c r="AJ1410" a="1"/>
  <c r="AJ1410" s="1"/>
  <c r="AJ345" a="1"/>
  <c r="AJ345" s="1"/>
  <c r="AJ98" a="1"/>
  <c r="AJ98" s="1"/>
  <c r="AJ802" a="1"/>
  <c r="AJ802" s="1"/>
  <c r="AJ668" a="1"/>
  <c r="AJ668" s="1"/>
  <c r="AJ1209" a="1"/>
  <c r="AJ1209" s="1"/>
  <c r="AJ293" a="1"/>
  <c r="AJ293" s="1"/>
  <c r="AJ1282" a="1"/>
  <c r="AJ1282" s="1"/>
  <c r="AJ1338" a="1"/>
  <c r="AJ1338" s="1"/>
  <c r="AJ1335" a="1"/>
  <c r="AJ1335" s="1"/>
  <c r="AJ954" a="1"/>
  <c r="AJ954" s="1"/>
  <c r="AJ756" a="1"/>
  <c r="AJ756" s="1"/>
  <c r="AJ594" a="1"/>
  <c r="AJ594" s="1"/>
  <c r="AJ511" a="1"/>
  <c r="AJ511" s="1"/>
  <c r="AJ422" a="1"/>
  <c r="AJ422" s="1"/>
  <c r="AJ530" a="1"/>
  <c r="AJ530" s="1"/>
  <c r="AJ344" a="1"/>
  <c r="AJ344" s="1"/>
  <c r="AJ279" a="1"/>
  <c r="AJ279" s="1"/>
  <c r="AJ663" a="1"/>
  <c r="AJ663" s="1"/>
  <c r="AJ1056" a="1"/>
  <c r="AJ1056" s="1"/>
  <c r="AJ659" a="1"/>
  <c r="AJ659" s="1"/>
  <c r="AF663"/>
  <c r="AF745"/>
  <c r="AF1113"/>
  <c r="AF963"/>
  <c r="AF746"/>
  <c r="AF965"/>
  <c r="AF962"/>
  <c r="AF964"/>
  <c r="AF699"/>
  <c r="AG807"/>
  <c r="AG964"/>
  <c r="AG1401"/>
  <c r="AG818"/>
  <c r="AG264"/>
  <c r="AG253"/>
  <c r="AG256"/>
  <c r="AM1339"/>
  <c r="AN1339" s="1"/>
  <c r="AM965"/>
  <c r="AN965" s="1"/>
  <c r="AM217"/>
  <c r="AN217" s="1"/>
  <c r="AM1252"/>
  <c r="AN1252" s="1"/>
  <c r="AM215"/>
  <c r="AN215" s="1"/>
  <c r="AM1349"/>
  <c r="AN1349" s="1"/>
  <c r="AM1086"/>
  <c r="AN1086" s="1"/>
  <c r="AM1400"/>
  <c r="AN1400" s="1"/>
  <c r="AM251"/>
  <c r="AN251" s="1"/>
  <c r="AM3"/>
  <c r="AN3" s="1"/>
  <c r="AM112"/>
  <c r="AN112" s="1"/>
  <c r="AG1089"/>
  <c r="AG965"/>
  <c r="AG1085"/>
  <c r="AG143"/>
  <c r="AG331"/>
  <c r="AG217"/>
  <c r="AG212"/>
  <c r="AG257"/>
  <c r="AM1404"/>
  <c r="AN1404" s="1"/>
  <c r="AM2"/>
  <c r="AN2" s="1"/>
  <c r="AM1344"/>
  <c r="AN1344" s="1"/>
  <c r="AM421"/>
  <c r="AN421" s="1"/>
  <c r="AM1341"/>
  <c r="AN1341" s="1"/>
  <c r="AM1171"/>
  <c r="AN1171" s="1"/>
  <c r="AM287"/>
  <c r="AN287" s="1"/>
  <c r="AM252"/>
  <c r="AN252" s="1"/>
  <c r="AM963"/>
  <c r="AN963" s="1"/>
  <c r="AM331"/>
  <c r="AN331" s="1"/>
  <c r="AG1048"/>
  <c r="AG1086"/>
  <c r="AG144"/>
  <c r="AG732"/>
  <c r="AG1113"/>
  <c r="AG1252"/>
  <c r="AG272"/>
  <c r="AG332"/>
  <c r="AG218"/>
  <c r="AG213"/>
  <c r="AG258"/>
  <c r="AM104"/>
  <c r="AN104" s="1"/>
  <c r="AM746"/>
  <c r="AN746" s="1"/>
  <c r="AM1345"/>
  <c r="AN1345" s="1"/>
  <c r="AM218"/>
  <c r="AN218" s="1"/>
  <c r="AM1113"/>
  <c r="AN1113" s="1"/>
  <c r="AM255"/>
  <c r="AN255" s="1"/>
  <c r="AM506"/>
  <c r="AN506" s="1"/>
  <c r="AM1401"/>
  <c r="AN1401" s="1"/>
  <c r="AM1403"/>
  <c r="AN1403" s="1"/>
  <c r="AM699"/>
  <c r="AN699" s="1"/>
  <c r="AF796"/>
  <c r="AF1252"/>
  <c r="AF505"/>
  <c r="AF922"/>
  <c r="AF657"/>
  <c r="AF333"/>
  <c r="AF1254"/>
  <c r="AF332"/>
  <c r="AF506"/>
  <c r="AF1255"/>
  <c r="AF656"/>
  <c r="AF504"/>
  <c r="AF3"/>
  <c r="AF1086"/>
  <c r="AF1221"/>
  <c r="AF334"/>
  <c r="AF817"/>
  <c r="AF1253"/>
  <c r="AF1085"/>
  <c r="AF331"/>
  <c r="AF2"/>
  <c r="AF818"/>
  <c r="AF732"/>
  <c r="AG619"/>
  <c r="AG333"/>
  <c r="AG1403"/>
  <c r="AG2"/>
  <c r="AG1253"/>
  <c r="AG745"/>
  <c r="AG486"/>
  <c r="AG504"/>
  <c r="AG219"/>
  <c r="AG214"/>
  <c r="AG259"/>
  <c r="AG663"/>
  <c r="AM334"/>
  <c r="AN334" s="1"/>
  <c r="AM964"/>
  <c r="AN964" s="1"/>
  <c r="AM113"/>
  <c r="AN113" s="1"/>
  <c r="AM264"/>
  <c r="AN264" s="1"/>
  <c r="AM1085"/>
  <c r="AN1085" s="1"/>
  <c r="AM214"/>
  <c r="AN214" s="1"/>
  <c r="AM332"/>
  <c r="AN332" s="1"/>
  <c r="AM962"/>
  <c r="AN962" s="1"/>
  <c r="AM144"/>
  <c r="AN144" s="1"/>
  <c r="AM1348"/>
  <c r="AN1348" s="1"/>
  <c r="AF744"/>
  <c r="AF152"/>
  <c r="AF104"/>
  <c r="AG578"/>
  <c r="AG1254"/>
  <c r="AG287"/>
  <c r="AG3"/>
  <c r="AG746"/>
  <c r="AG334"/>
  <c r="AG1404"/>
  <c r="AG960"/>
  <c r="AG152"/>
  <c r="AG420"/>
  <c r="AG215"/>
  <c r="AG260"/>
  <c r="AG505"/>
  <c r="AG112"/>
  <c r="AM818"/>
  <c r="AN818" s="1"/>
  <c r="AM145"/>
  <c r="AN145" s="1"/>
  <c r="AM259"/>
  <c r="AN259" s="1"/>
  <c r="AM922"/>
  <c r="AN922" s="1"/>
  <c r="AM253"/>
  <c r="AN253" s="1"/>
  <c r="AM263"/>
  <c r="AN263" s="1"/>
  <c r="AM1254"/>
  <c r="AN1254" s="1"/>
  <c r="AM143"/>
  <c r="AN143" s="1"/>
  <c r="AM309"/>
  <c r="AN309" s="1"/>
  <c r="AM1340"/>
  <c r="AN1340" s="1"/>
  <c r="AF112"/>
  <c r="AF113"/>
  <c r="AF763"/>
  <c r="AF216"/>
  <c r="AF287"/>
  <c r="AF215"/>
  <c r="AF251"/>
  <c r="AF309"/>
  <c r="AF214"/>
  <c r="AF252"/>
  <c r="AF213"/>
  <c r="AF212"/>
  <c r="AF253"/>
  <c r="AG1378"/>
  <c r="AG506"/>
  <c r="AG922"/>
  <c r="AG309"/>
  <c r="AG699"/>
  <c r="AG1255"/>
  <c r="AG145"/>
  <c r="AG536"/>
  <c r="AG216"/>
  <c r="AG656"/>
  <c r="AG421"/>
  <c r="AG1171"/>
  <c r="AG1221"/>
  <c r="AG113"/>
  <c r="AG261"/>
  <c r="AG104"/>
  <c r="AF1008"/>
  <c r="AM1342"/>
  <c r="AN1342" s="1"/>
  <c r="AM817"/>
  <c r="AN817" s="1"/>
  <c r="AM257"/>
  <c r="AN257" s="1"/>
  <c r="AM732"/>
  <c r="AN732" s="1"/>
  <c r="AM261"/>
  <c r="AN261" s="1"/>
  <c r="AM152"/>
  <c r="AN152" s="1"/>
  <c r="AM1346"/>
  <c r="AN1346" s="1"/>
  <c r="AM254"/>
  <c r="AN254" s="1"/>
  <c r="AM504"/>
  <c r="AN504" s="1"/>
  <c r="AM260"/>
  <c r="AN260" s="1"/>
  <c r="AE1298"/>
  <c r="AE1255"/>
  <c r="AE817"/>
  <c r="AE145"/>
  <c r="AE746"/>
  <c r="AE732"/>
  <c r="AE262"/>
  <c r="AE1252"/>
  <c r="AE505"/>
  <c r="AE745"/>
  <c r="AE922"/>
  <c r="AE421"/>
  <c r="AE216"/>
  <c r="AE261"/>
  <c r="AE256"/>
  <c r="AE104"/>
  <c r="AE1404"/>
  <c r="AE263"/>
  <c r="AE255"/>
  <c r="AE657"/>
  <c r="AE333"/>
  <c r="AE152"/>
  <c r="AE144"/>
  <c r="AE215"/>
  <c r="AE251"/>
  <c r="AE1254"/>
  <c r="AE332"/>
  <c r="AE506"/>
  <c r="AE287"/>
  <c r="AE143"/>
  <c r="AE1400"/>
  <c r="AE963"/>
  <c r="AE214"/>
  <c r="AE2"/>
  <c r="AE219"/>
  <c r="AE254"/>
  <c r="AE258"/>
  <c r="AE656"/>
  <c r="AE504"/>
  <c r="AE309"/>
  <c r="AE1401"/>
  <c r="AE1403"/>
  <c r="AE1113"/>
  <c r="AE962"/>
  <c r="AE3"/>
  <c r="AE420"/>
  <c r="AE213"/>
  <c r="AE260"/>
  <c r="AE1253"/>
  <c r="AE1085"/>
  <c r="AE331"/>
  <c r="AE964"/>
  <c r="AE264"/>
  <c r="AE253"/>
  <c r="AE259"/>
  <c r="AE112"/>
  <c r="AE218"/>
  <c r="AE113"/>
  <c r="AE1171"/>
  <c r="AE1086"/>
  <c r="AE965"/>
  <c r="AE699"/>
  <c r="AE217"/>
  <c r="AE212"/>
  <c r="AE257"/>
  <c r="AE818"/>
  <c r="AE334"/>
  <c r="AE252"/>
  <c r="AE659"/>
  <c r="AE1221"/>
  <c r="AF257"/>
  <c r="AF258"/>
  <c r="AF261"/>
  <c r="AF256"/>
  <c r="AF255"/>
  <c r="AF260"/>
  <c r="AF254"/>
  <c r="AF259"/>
  <c r="AG657"/>
  <c r="AG962"/>
  <c r="AG712"/>
  <c r="AM1255"/>
  <c r="AN1255" s="1"/>
  <c r="AM216"/>
  <c r="AN216" s="1"/>
  <c r="AM745"/>
  <c r="AN745" s="1"/>
  <c r="AM258"/>
  <c r="AN258" s="1"/>
  <c r="AM333"/>
  <c r="AN333" s="1"/>
  <c r="AM1253"/>
  <c r="AN1253" s="1"/>
  <c r="AM213"/>
  <c r="AN213" s="1"/>
  <c r="AM656"/>
  <c r="AN656" s="1"/>
  <c r="AM212"/>
  <c r="AN212" s="1"/>
  <c r="AF668"/>
  <c r="AF143"/>
  <c r="AF1401"/>
  <c r="AF217"/>
  <c r="AF144"/>
  <c r="AF1400"/>
  <c r="AF264"/>
  <c r="AF218"/>
  <c r="AF1403"/>
  <c r="AF263"/>
  <c r="AF420"/>
  <c r="AF421"/>
  <c r="AF1171"/>
  <c r="AF262"/>
  <c r="AF1404"/>
  <c r="AF219"/>
  <c r="AF145"/>
  <c r="AG510"/>
  <c r="AG1400"/>
  <c r="AG817"/>
  <c r="AG963"/>
  <c r="AG298"/>
  <c r="AG263"/>
  <c r="AG255"/>
  <c r="AG252"/>
  <c r="AG747"/>
  <c r="AM1347"/>
  <c r="AN1347" s="1"/>
  <c r="AM219"/>
  <c r="AN219" s="1"/>
  <c r="AM505"/>
  <c r="AN505" s="1"/>
  <c r="AM256"/>
  <c r="AN256" s="1"/>
  <c r="AM657"/>
  <c r="AN657" s="1"/>
  <c r="AM1221"/>
  <c r="AN1221" s="1"/>
  <c r="AM262"/>
  <c r="AN262" s="1"/>
  <c r="AM1343"/>
  <c r="AN1343" s="1"/>
  <c r="AM420"/>
  <c r="AN420" s="1"/>
  <c r="AF707"/>
  <c r="AF1310"/>
  <c r="AF1028"/>
  <c r="AF91"/>
  <c r="AF822"/>
  <c r="AF898"/>
  <c r="AF684"/>
  <c r="AF1029"/>
  <c r="AF1015"/>
  <c r="AF1412"/>
  <c r="AF1157"/>
  <c r="AF1411"/>
  <c r="AF1067"/>
  <c r="AF294"/>
  <c r="AF1318"/>
  <c r="AF1195"/>
  <c r="AF186"/>
  <c r="AF1317"/>
  <c r="AF476"/>
  <c r="AF1073"/>
  <c r="AF717"/>
  <c r="AF278"/>
  <c r="AE47"/>
  <c r="AE400"/>
  <c r="AE1121"/>
  <c r="AE649"/>
  <c r="AE602"/>
  <c r="AE418"/>
  <c r="AE981"/>
  <c r="AE1305"/>
  <c r="AE794"/>
  <c r="AE1110"/>
  <c r="AE586"/>
  <c r="AE958"/>
  <c r="AE246"/>
  <c r="AE169"/>
  <c r="AE1409"/>
  <c r="AE1301"/>
  <c r="AE904"/>
  <c r="AE1321"/>
  <c r="AE1073"/>
  <c r="AF674"/>
  <c r="AF1357"/>
  <c r="AF353"/>
  <c r="AF99"/>
  <c r="AF1361"/>
  <c r="AF1010"/>
  <c r="AF803"/>
  <c r="AF33"/>
  <c r="AF392"/>
  <c r="AF1011"/>
  <c r="AF779"/>
  <c r="AF897"/>
  <c r="AF171"/>
  <c r="AF150"/>
  <c r="AF1360"/>
  <c r="AF683"/>
  <c r="AF958"/>
  <c r="AF1090"/>
  <c r="AF635"/>
  <c r="AF1001"/>
  <c r="AF1292"/>
  <c r="AF211"/>
  <c r="AF736"/>
  <c r="AF936"/>
  <c r="AF1211"/>
  <c r="AF1196"/>
  <c r="AE24"/>
  <c r="AE389"/>
  <c r="AE1119"/>
  <c r="AE496"/>
  <c r="AE714"/>
  <c r="AE1017"/>
  <c r="AE905"/>
  <c r="AE917"/>
  <c r="AE1071"/>
  <c r="AE1060"/>
  <c r="AE41"/>
  <c r="AE1248"/>
  <c r="AE949"/>
  <c r="AE419"/>
  <c r="AE167"/>
  <c r="AE1070"/>
  <c r="AE1310"/>
  <c r="AE959"/>
  <c r="AE580"/>
  <c r="AF823"/>
  <c r="AF386"/>
  <c r="AF937"/>
  <c r="AF1394"/>
  <c r="AF1291"/>
  <c r="AF935"/>
  <c r="AF1432"/>
  <c r="AF226"/>
  <c r="AF233"/>
  <c r="AE778"/>
  <c r="AE1123"/>
  <c r="AE431"/>
  <c r="AE323"/>
  <c r="AE689"/>
  <c r="AE1016"/>
  <c r="AE752"/>
  <c r="AE830"/>
  <c r="AE916"/>
  <c r="AE1023"/>
  <c r="AE707"/>
  <c r="AE40"/>
  <c r="AE307"/>
  <c r="AE1172"/>
  <c r="AE538"/>
  <c r="AE1202"/>
  <c r="AE380"/>
  <c r="AE166"/>
  <c r="AE1020"/>
  <c r="AE1029"/>
  <c r="AE930"/>
  <c r="AE77"/>
  <c r="AE53"/>
  <c r="AE945"/>
  <c r="AE995"/>
  <c r="AE1363"/>
  <c r="AE299"/>
  <c r="AE610"/>
  <c r="AE619"/>
  <c r="AE15"/>
  <c r="AE283"/>
  <c r="AE59"/>
  <c r="AE186"/>
  <c r="AE662"/>
  <c r="AE1338"/>
  <c r="AE301"/>
  <c r="AE344"/>
  <c r="AE335"/>
  <c r="AF100"/>
  <c r="AF951"/>
  <c r="AF358"/>
  <c r="AF1396"/>
  <c r="AF192"/>
  <c r="AF452"/>
  <c r="AF820"/>
  <c r="AF593"/>
  <c r="AF231"/>
  <c r="AF1014"/>
  <c r="AF1410"/>
  <c r="AF48"/>
  <c r="AF801"/>
  <c r="AF821"/>
  <c r="AF225"/>
  <c r="AF47"/>
  <c r="AF357"/>
  <c r="AF920"/>
  <c r="AF418"/>
  <c r="AF191"/>
  <c r="AF747"/>
  <c r="AF592"/>
  <c r="AF1062"/>
  <c r="AF701"/>
  <c r="AF899"/>
  <c r="AF232"/>
  <c r="AF950"/>
  <c r="AF157"/>
  <c r="AF356"/>
  <c r="AF347"/>
  <c r="AF591"/>
  <c r="AF280"/>
  <c r="AF156"/>
  <c r="AF355"/>
  <c r="AF515"/>
  <c r="AF470"/>
  <c r="AF87"/>
  <c r="AF1205"/>
  <c r="AE895"/>
  <c r="AE527"/>
  <c r="AE1081"/>
  <c r="AE495"/>
  <c r="AE909"/>
  <c r="AE267"/>
  <c r="AE317"/>
  <c r="AE62"/>
  <c r="AE825"/>
  <c r="AE969"/>
  <c r="AE797"/>
  <c r="AE1039"/>
  <c r="AE1132"/>
  <c r="AE1186"/>
  <c r="AE416"/>
  <c r="AE1359"/>
  <c r="AE1333"/>
  <c r="AE735"/>
  <c r="AE221"/>
  <c r="AE242"/>
  <c r="AE1130"/>
  <c r="AE635"/>
  <c r="AE483"/>
  <c r="AE734"/>
  <c r="AE1084"/>
  <c r="AE891"/>
  <c r="AE473"/>
  <c r="AE396"/>
  <c r="AE83"/>
  <c r="AE850"/>
  <c r="AE939"/>
  <c r="AE923"/>
  <c r="AE1204"/>
  <c r="AE346"/>
  <c r="AE1210"/>
  <c r="AE1335"/>
  <c r="AE480"/>
  <c r="AE87"/>
  <c r="AE1006"/>
  <c r="AF876"/>
  <c r="AF618"/>
  <c r="AF709"/>
  <c r="AF900"/>
  <c r="AF354"/>
  <c r="AF767"/>
  <c r="AF875"/>
  <c r="AF708"/>
  <c r="AF1290"/>
  <c r="AF1288"/>
  <c r="AF1320"/>
  <c r="AF773"/>
  <c r="AF471"/>
  <c r="AF109"/>
  <c r="AF90"/>
  <c r="AF293"/>
  <c r="AF874"/>
  <c r="AF154"/>
  <c r="AF769"/>
  <c r="AF800"/>
  <c r="AF1319"/>
  <c r="AF1359"/>
  <c r="AF1296"/>
  <c r="AF584"/>
  <c r="AF891"/>
  <c r="AF299"/>
  <c r="AF108"/>
  <c r="AF1402"/>
  <c r="AF292"/>
  <c r="AE1426"/>
  <c r="AE1111"/>
  <c r="AE110"/>
  <c r="AE811"/>
  <c r="AE161"/>
  <c r="AE1100"/>
  <c r="AE1307"/>
  <c r="AE992"/>
  <c r="AE1377"/>
  <c r="AE977"/>
  <c r="AE613"/>
  <c r="AE211"/>
  <c r="AE170"/>
  <c r="AE37"/>
  <c r="AE7"/>
  <c r="AE536"/>
  <c r="AE44"/>
  <c r="AE184"/>
  <c r="AE174"/>
  <c r="AE1196"/>
  <c r="AE724"/>
  <c r="AE315"/>
  <c r="AE639"/>
  <c r="AE1380"/>
  <c r="AE558"/>
  <c r="AE597"/>
  <c r="AE622"/>
  <c r="AE1411"/>
  <c r="AE146"/>
  <c r="AE503"/>
  <c r="AE225"/>
  <c r="AE593"/>
  <c r="AE231"/>
  <c r="AE106"/>
  <c r="AE336"/>
  <c r="AE470"/>
  <c r="AE349"/>
  <c r="AE1013"/>
  <c r="AF1305"/>
  <c r="AF627"/>
  <c r="AF1414"/>
  <c r="AF387"/>
  <c r="AF890"/>
  <c r="AF1264"/>
  <c r="AF1259"/>
  <c r="AF414"/>
  <c r="AF626"/>
  <c r="AF609"/>
  <c r="AF230"/>
  <c r="AE1424"/>
  <c r="AE397"/>
  <c r="AE523"/>
  <c r="AE652"/>
  <c r="AE159"/>
  <c r="AE998"/>
  <c r="AE792"/>
  <c r="AE989"/>
  <c r="AE1360"/>
  <c r="AE801"/>
  <c r="AE1288"/>
  <c r="AE1279"/>
  <c r="AE1274"/>
  <c r="AE1126"/>
  <c r="AE1125"/>
  <c r="AE722"/>
  <c r="AE744"/>
  <c r="AE487"/>
  <c r="AE313"/>
  <c r="AE275"/>
  <c r="AE763"/>
  <c r="AE1351"/>
  <c r="AE395"/>
  <c r="AE478"/>
  <c r="AE454"/>
  <c r="AE645"/>
  <c r="AE591"/>
  <c r="AE596"/>
  <c r="AE98"/>
  <c r="AE202"/>
  <c r="AE57"/>
  <c r="AE533"/>
  <c r="AE1264"/>
  <c r="AF469"/>
  <c r="AF640"/>
  <c r="AF1274"/>
  <c r="AF1112"/>
  <c r="AF1265"/>
  <c r="AE1423"/>
  <c r="AE435"/>
  <c r="AE775"/>
  <c r="AE501"/>
  <c r="AE158"/>
  <c r="AE603"/>
  <c r="AE791"/>
  <c r="AE1072"/>
  <c r="AE1159"/>
  <c r="AE26"/>
  <c r="AE800"/>
  <c r="AE11"/>
  <c r="AE694"/>
  <c r="AE413"/>
  <c r="AE243"/>
  <c r="AE692"/>
  <c r="AE1297"/>
  <c r="AE441"/>
  <c r="AE999"/>
  <c r="AE181"/>
  <c r="AF1314"/>
  <c r="AF458"/>
  <c r="AF1069"/>
  <c r="AE1422"/>
  <c r="AE1236"/>
  <c r="AE671"/>
  <c r="AE500"/>
  <c r="AE157"/>
  <c r="AE997"/>
  <c r="AE410"/>
  <c r="AE919"/>
  <c r="AE390"/>
  <c r="AE99"/>
  <c r="AE388"/>
  <c r="AE210"/>
  <c r="AE1287"/>
  <c r="AE1278"/>
  <c r="AE1316"/>
  <c r="AE780"/>
  <c r="AE568"/>
  <c r="AE1286"/>
  <c r="AE1332"/>
  <c r="AE1194"/>
  <c r="AE1366"/>
  <c r="AE440"/>
  <c r="AE605"/>
  <c r="AE312"/>
  <c r="AE443"/>
  <c r="AE1137"/>
  <c r="AE1245"/>
  <c r="AE206"/>
  <c r="AE444"/>
  <c r="AE747"/>
  <c r="AE306"/>
  <c r="AE78"/>
  <c r="AE1151"/>
  <c r="AE485"/>
  <c r="AE292"/>
  <c r="AE954"/>
  <c r="AE423"/>
  <c r="AE1267"/>
  <c r="AF824"/>
  <c r="AF1287"/>
  <c r="AF46"/>
  <c r="AF1316"/>
  <c r="AF1313"/>
  <c r="AF896"/>
  <c r="AF1022"/>
  <c r="AF597"/>
  <c r="AE1421"/>
  <c r="AE1235"/>
  <c r="AE522"/>
  <c r="AE328"/>
  <c r="AE1117"/>
  <c r="AE5"/>
  <c r="AE823"/>
  <c r="AE103"/>
  <c r="AE564"/>
  <c r="AE72"/>
  <c r="AE248"/>
  <c r="AE38"/>
  <c r="AE1277"/>
  <c r="AE36"/>
  <c r="AE535"/>
  <c r="AE638"/>
  <c r="AE382"/>
  <c r="AE1331"/>
  <c r="AE1156"/>
  <c r="AE1365"/>
  <c r="AE585"/>
  <c r="AE604"/>
  <c r="AE311"/>
  <c r="AE555"/>
  <c r="AE49"/>
  <c r="AE601"/>
  <c r="AE205"/>
  <c r="AE140"/>
  <c r="AE661"/>
  <c r="AE305"/>
  <c r="AE227"/>
  <c r="AE1402"/>
  <c r="AE484"/>
  <c r="AE640"/>
  <c r="AE50"/>
  <c r="AE422"/>
  <c r="AE1266"/>
  <c r="AF5"/>
  <c r="AF1099"/>
  <c r="AF1315"/>
  <c r="AF1222"/>
  <c r="AF179"/>
  <c r="AF1070"/>
  <c r="AF764"/>
  <c r="AE1420"/>
  <c r="AE1234"/>
  <c r="AE774"/>
  <c r="AE327"/>
  <c r="AE14"/>
  <c r="AE1019"/>
  <c r="AE789"/>
  <c r="AE674"/>
  <c r="AE856"/>
  <c r="AE847"/>
  <c r="AE71"/>
  <c r="AE1290"/>
  <c r="AE908"/>
  <c r="AE10"/>
  <c r="AE1273"/>
  <c r="AE569"/>
  <c r="AE637"/>
  <c r="AE183"/>
  <c r="AE988"/>
  <c r="AE1155"/>
  <c r="AE799"/>
  <c r="AE584"/>
  <c r="AE748"/>
  <c r="AE448"/>
  <c r="AE554"/>
  <c r="AE1203"/>
  <c r="AE628"/>
  <c r="AE550"/>
  <c r="AE80"/>
  <c r="AE453"/>
  <c r="AE79"/>
  <c r="AE1240"/>
  <c r="AE394"/>
  <c r="AE450"/>
  <c r="AE609"/>
  <c r="AE1220"/>
  <c r="AE686"/>
  <c r="AE663"/>
  <c r="AF710"/>
  <c r="AF1289"/>
  <c r="AF1358"/>
  <c r="AF1091"/>
  <c r="AF1021"/>
  <c r="AE1419"/>
  <c r="AE1075"/>
  <c r="AE616"/>
  <c r="AE1080"/>
  <c r="AE430"/>
  <c r="AE938"/>
  <c r="AE457"/>
  <c r="AE855"/>
  <c r="AE854"/>
  <c r="AE151"/>
  <c r="AE769"/>
  <c r="AE1281"/>
  <c r="AE1275"/>
  <c r="AE1272"/>
  <c r="AE208"/>
  <c r="AE266"/>
  <c r="AE343"/>
  <c r="AE987"/>
  <c r="AE234"/>
  <c r="AE798"/>
  <c r="AE583"/>
  <c r="AE290"/>
  <c r="AE928"/>
  <c r="AE576"/>
  <c r="AE952"/>
  <c r="AE33"/>
  <c r="AE1369"/>
  <c r="AE1045"/>
  <c r="AE1077"/>
  <c r="AE1051"/>
  <c r="AE1239"/>
  <c r="AE1376"/>
  <c r="AE149"/>
  <c r="AE1265"/>
  <c r="AE1219"/>
  <c r="AE685"/>
  <c r="AE341"/>
  <c r="AG1118"/>
  <c r="AG1071"/>
  <c r="AG11"/>
  <c r="AG1409"/>
  <c r="AG816"/>
  <c r="AG87"/>
  <c r="AG677"/>
  <c r="AG688"/>
  <c r="AG980"/>
  <c r="AG1160"/>
  <c r="AG1281"/>
  <c r="AG1276"/>
  <c r="AG1385"/>
  <c r="AG238"/>
  <c r="AG148"/>
  <c r="AG166"/>
  <c r="AG351"/>
  <c r="AG35"/>
  <c r="AG604"/>
  <c r="AG448"/>
  <c r="AG629"/>
  <c r="AG600"/>
  <c r="AG1069"/>
  <c r="AG1405"/>
  <c r="AG453"/>
  <c r="AG305"/>
  <c r="AG399"/>
  <c r="AG1063"/>
  <c r="AG89"/>
  <c r="AG349"/>
  <c r="AG1013"/>
  <c r="AG55"/>
  <c r="AG290"/>
  <c r="AG1394"/>
  <c r="AG111"/>
  <c r="AG1040"/>
  <c r="AG1136"/>
  <c r="AG341"/>
  <c r="AG1243"/>
  <c r="AG547"/>
  <c r="AG386"/>
  <c r="AG396"/>
  <c r="AG203"/>
  <c r="AG668"/>
  <c r="AG528"/>
  <c r="AG971"/>
  <c r="AG1039"/>
  <c r="AG995"/>
  <c r="AG1052"/>
  <c r="AG666"/>
  <c r="AG340"/>
  <c r="AG380"/>
  <c r="AG1037"/>
  <c r="AG425"/>
  <c r="AG204"/>
  <c r="AG969"/>
  <c r="AG896"/>
  <c r="AG402"/>
  <c r="AG1000"/>
  <c r="AG1372"/>
  <c r="AG240"/>
  <c r="AG1395"/>
  <c r="AG1077"/>
  <c r="AG473"/>
  <c r="AG1361"/>
  <c r="AG910"/>
  <c r="AG907"/>
  <c r="AG975"/>
  <c r="AG733"/>
  <c r="AG508"/>
  <c r="AG229"/>
  <c r="AG1204"/>
  <c r="AG339"/>
  <c r="AG520"/>
  <c r="AG1334"/>
  <c r="AG185"/>
  <c r="AG891"/>
  <c r="AG622"/>
  <c r="AG914"/>
  <c r="AG970"/>
  <c r="AG393"/>
  <c r="AG838"/>
  <c r="AG406"/>
  <c r="AG1333"/>
  <c r="AG91"/>
  <c r="AG1157"/>
  <c r="AG1044"/>
  <c r="AG497"/>
  <c r="AG410"/>
  <c r="AG693"/>
  <c r="AG1312"/>
  <c r="AG933"/>
  <c r="AG601"/>
  <c r="AG409"/>
  <c r="AG106"/>
  <c r="AG22"/>
  <c r="AG496"/>
  <c r="AG490"/>
  <c r="AG5"/>
  <c r="AG825"/>
  <c r="AG71"/>
  <c r="AG247"/>
  <c r="AG806"/>
  <c r="AG1314"/>
  <c r="AG1303"/>
  <c r="AG1321"/>
  <c r="AG1383"/>
  <c r="AG1083"/>
  <c r="AG628"/>
  <c r="AG107"/>
  <c r="AG911"/>
  <c r="AG640"/>
  <c r="AG1026"/>
  <c r="AG178"/>
  <c r="AG895"/>
  <c r="AG324"/>
  <c r="AG358"/>
  <c r="AG1019"/>
  <c r="AG836"/>
  <c r="AG564"/>
  <c r="AG151"/>
  <c r="AG417"/>
  <c r="AG1126"/>
  <c r="AG1302"/>
  <c r="AG561"/>
  <c r="AG904"/>
  <c r="AG53"/>
  <c r="AG1084"/>
  <c r="AG273"/>
  <c r="AG1001"/>
  <c r="AG620"/>
  <c r="AG32"/>
  <c r="AG105"/>
  <c r="AG772"/>
  <c r="AG177"/>
  <c r="AG662"/>
  <c r="AG1045"/>
  <c r="AG665"/>
  <c r="AG12"/>
  <c r="AG768"/>
  <c r="AG931"/>
  <c r="AG1142"/>
  <c r="AG176"/>
  <c r="AG457"/>
  <c r="AG521"/>
  <c r="AG430"/>
  <c r="AG294"/>
  <c r="AG854"/>
  <c r="AG612"/>
  <c r="AG1110"/>
  <c r="AG1286"/>
  <c r="AG986"/>
  <c r="AG88"/>
  <c r="AG286"/>
  <c r="AG633"/>
  <c r="AG197"/>
  <c r="AG815"/>
  <c r="AG992"/>
  <c r="AG1154"/>
  <c r="AG345"/>
  <c r="AG222"/>
  <c r="AG527"/>
  <c r="AG502"/>
  <c r="AG857"/>
  <c r="AG446"/>
  <c r="AG1289"/>
  <c r="AG1257"/>
  <c r="AG1145"/>
  <c r="AG1050"/>
  <c r="AG512"/>
  <c r="AG1128"/>
  <c r="AG672"/>
  <c r="AG330"/>
  <c r="AG833"/>
  <c r="AG979"/>
  <c r="AG308"/>
  <c r="AG1323"/>
  <c r="AG313"/>
  <c r="AG1144"/>
  <c r="AG78"/>
  <c r="AG1111"/>
  <c r="AG196"/>
  <c r="AG329"/>
  <c r="AG1295"/>
  <c r="AG832"/>
  <c r="AG21"/>
  <c r="AG36"/>
  <c r="AG1330"/>
  <c r="AG60"/>
  <c r="AG1143"/>
  <c r="AG1244"/>
  <c r="AG227"/>
  <c r="AG894"/>
  <c r="AG808"/>
  <c r="AG1068"/>
  <c r="AG837"/>
  <c r="AG919"/>
  <c r="AG730"/>
  <c r="AG978"/>
  <c r="AG9"/>
  <c r="AG557"/>
  <c r="AG474"/>
  <c r="AG966"/>
  <c r="AG1139"/>
  <c r="AG277"/>
  <c r="AG1209"/>
  <c r="AG501"/>
  <c r="AG1127"/>
  <c r="AG48"/>
  <c r="AG625"/>
  <c r="AG616"/>
  <c r="AG500"/>
  <c r="AG1017"/>
  <c r="AG1104"/>
  <c r="AG546"/>
  <c r="AG1291"/>
  <c r="AG429"/>
  <c r="AG805"/>
  <c r="AG74"/>
  <c r="AG762"/>
  <c r="AG1354"/>
  <c r="AG183"/>
  <c r="AG692"/>
  <c r="AG576"/>
  <c r="AG1362"/>
  <c r="AG81"/>
  <c r="AG292"/>
  <c r="AG1413"/>
  <c r="AG658"/>
  <c r="AG1356"/>
  <c r="AG1137"/>
  <c r="AG1030"/>
  <c r="AG1004"/>
  <c r="AG990"/>
  <c r="AG1355"/>
  <c r="AG554"/>
  <c r="AG1351"/>
  <c r="AG511"/>
  <c r="AG951"/>
  <c r="AG624"/>
  <c r="AG463"/>
  <c r="AG328"/>
  <c r="AG297"/>
  <c r="AG1032"/>
  <c r="AG801"/>
  <c r="AG1103"/>
  <c r="AG1332"/>
  <c r="AG1246"/>
  <c r="AG784"/>
  <c r="AG643"/>
  <c r="AG57"/>
  <c r="AG100"/>
  <c r="AG1067"/>
  <c r="AG47"/>
  <c r="AG599"/>
  <c r="AG565"/>
  <c r="AG782"/>
  <c r="AG936"/>
  <c r="AG1211"/>
  <c r="AG1331"/>
  <c r="AG579"/>
  <c r="AG1245"/>
  <c r="AG395"/>
  <c r="AG493"/>
  <c r="AG1092"/>
  <c r="AG19"/>
  <c r="AG1258"/>
  <c r="AG472"/>
  <c r="AG517"/>
  <c r="AG1102"/>
  <c r="AG1015"/>
  <c r="AG555"/>
  <c r="AG1376"/>
  <c r="AG516"/>
  <c r="AG774"/>
  <c r="AG950"/>
  <c r="AG462"/>
  <c r="AG1080"/>
  <c r="AG157"/>
  <c r="AG1162"/>
  <c r="AG68"/>
  <c r="AG1147"/>
  <c r="AG1098"/>
  <c r="AG935"/>
  <c r="AG988"/>
  <c r="AG724"/>
  <c r="AG785"/>
  <c r="AG283"/>
  <c r="AG954"/>
  <c r="AG984"/>
  <c r="AG615"/>
  <c r="AG1079"/>
  <c r="AG156"/>
  <c r="AG703"/>
  <c r="AG983"/>
  <c r="AG467"/>
  <c r="AG75"/>
  <c r="AG193"/>
  <c r="AG987"/>
  <c r="AG723"/>
  <c r="AG50"/>
  <c r="AG428"/>
  <c r="AG394"/>
  <c r="AG464"/>
  <c r="AG651"/>
  <c r="AG702"/>
  <c r="AG407"/>
  <c r="AG1371"/>
  <c r="AG192"/>
  <c r="AG1431"/>
  <c r="AG722"/>
  <c r="AG1002"/>
  <c r="AG33"/>
  <c r="AG206"/>
  <c r="AG1220"/>
  <c r="AG424"/>
  <c r="AG461"/>
  <c r="AG650"/>
  <c r="AG632"/>
  <c r="AG752"/>
  <c r="AG831"/>
  <c r="AG1025"/>
  <c r="AG210"/>
  <c r="AG170"/>
  <c r="AG1370"/>
  <c r="AG191"/>
  <c r="AG1194"/>
  <c r="AG721"/>
  <c r="AG761"/>
  <c r="AG205"/>
  <c r="AG59"/>
  <c r="AG718"/>
  <c r="AG606"/>
  <c r="AG1219"/>
  <c r="AG998"/>
  <c r="AG1024"/>
  <c r="AG248"/>
  <c r="AG706"/>
  <c r="AG169"/>
  <c r="AG1156"/>
  <c r="AG760"/>
  <c r="AG550"/>
  <c r="AG304"/>
  <c r="AG58"/>
  <c r="AG1027"/>
  <c r="AG1028"/>
  <c r="AG603"/>
  <c r="AG696"/>
  <c r="AG154"/>
  <c r="AG1290"/>
  <c r="AG1320"/>
  <c r="AG571"/>
  <c r="AG1155"/>
  <c r="AG698"/>
  <c r="AG483"/>
  <c r="AG759"/>
  <c r="AG1353"/>
  <c r="AG1369"/>
  <c r="AG955"/>
  <c r="AG1164"/>
  <c r="AG1268"/>
  <c r="AG468"/>
  <c r="AG686"/>
  <c r="AG997"/>
  <c r="AG1100"/>
  <c r="AG835"/>
  <c r="AG1305"/>
  <c r="AG387"/>
  <c r="AG769"/>
  <c r="AG8"/>
  <c r="AG315"/>
  <c r="AG482"/>
  <c r="AG945"/>
  <c r="AG1364"/>
  <c r="AG481"/>
  <c r="AG51"/>
  <c r="AG1163"/>
  <c r="AG1267"/>
  <c r="AG1117"/>
  <c r="AG1105"/>
  <c r="AG834"/>
  <c r="AG419"/>
  <c r="AG1366"/>
  <c r="AG451"/>
  <c r="AG1047"/>
  <c r="AG80"/>
  <c r="AG976"/>
  <c r="AG738"/>
  <c r="AG180"/>
  <c r="AG1270"/>
  <c r="AG1266"/>
  <c r="AG69"/>
  <c r="AG1005"/>
  <c r="AG991"/>
  <c r="AG29"/>
  <c r="AG1123"/>
  <c r="AG432"/>
  <c r="AG810"/>
  <c r="AG871"/>
  <c r="AG14"/>
  <c r="AG840"/>
  <c r="AG1307"/>
  <c r="AG62"/>
  <c r="AG826"/>
  <c r="AG1146"/>
  <c r="AG563"/>
  <c r="AG70"/>
  <c r="AG38"/>
  <c r="AG1280"/>
  <c r="AG1359"/>
  <c r="AG534"/>
  <c r="AG514"/>
  <c r="AG766"/>
  <c r="AG744"/>
  <c r="AG314"/>
  <c r="AG734"/>
  <c r="AG943"/>
  <c r="AG141"/>
  <c r="AG155"/>
  <c r="AG195"/>
  <c r="AG1368"/>
  <c r="AF974"/>
  <c r="AF437"/>
  <c r="AF491"/>
  <c r="AF98"/>
  <c r="AF508"/>
  <c r="AF344"/>
  <c r="AF176"/>
  <c r="AF576"/>
  <c r="AF139"/>
  <c r="AF658"/>
  <c r="AF574"/>
  <c r="AF86"/>
  <c r="AF771"/>
  <c r="AF770"/>
  <c r="AF1261"/>
  <c r="AF270"/>
  <c r="AF1366"/>
  <c r="AF733"/>
  <c r="AF180"/>
  <c r="AF1270"/>
  <c r="AF1266"/>
  <c r="AF1260"/>
  <c r="AF1365"/>
  <c r="AF1204"/>
  <c r="AE1128"/>
  <c r="AE672"/>
  <c r="AE330"/>
  <c r="AE324"/>
  <c r="AE85"/>
  <c r="AE1018"/>
  <c r="AE790"/>
  <c r="AE979"/>
  <c r="AE562"/>
  <c r="AE1059"/>
  <c r="AE768"/>
  <c r="AE308"/>
  <c r="AE1276"/>
  <c r="AE1315"/>
  <c r="AE1358"/>
  <c r="AE223"/>
  <c r="AE1222"/>
  <c r="AE1021"/>
  <c r="AE1311"/>
  <c r="AE933"/>
  <c r="AE20"/>
  <c r="AE447"/>
  <c r="AE901"/>
  <c r="AE953"/>
  <c r="AE1246"/>
  <c r="AE1195"/>
  <c r="AE1405"/>
  <c r="AE848"/>
  <c r="AE226"/>
  <c r="AE1368"/>
  <c r="AE303"/>
  <c r="AE345"/>
  <c r="AE203"/>
  <c r="AE142"/>
  <c r="AE16"/>
  <c r="AE97"/>
  <c r="AE704"/>
  <c r="AE788"/>
  <c r="AE1162"/>
  <c r="AE101"/>
  <c r="AE68"/>
  <c r="AE1147"/>
  <c r="AE27"/>
  <c r="AE1098"/>
  <c r="AE245"/>
  <c r="AE192"/>
  <c r="AE1312"/>
  <c r="AE721"/>
  <c r="AE488"/>
  <c r="AE902"/>
  <c r="AE64"/>
  <c r="AE1049"/>
  <c r="AE615"/>
  <c r="AE1079"/>
  <c r="AE156"/>
  <c r="AE239"/>
  <c r="AE703"/>
  <c r="AE983"/>
  <c r="AE1042"/>
  <c r="AE612"/>
  <c r="AE467"/>
  <c r="AE75"/>
  <c r="AE1034"/>
  <c r="AE910"/>
  <c r="AE244"/>
  <c r="AE191"/>
  <c r="AE1303"/>
  <c r="AE452"/>
  <c r="AE948"/>
  <c r="AE63"/>
  <c r="AE30"/>
  <c r="AE464"/>
  <c r="AE651"/>
  <c r="AE1124"/>
  <c r="AE381"/>
  <c r="AE1308"/>
  <c r="AE702"/>
  <c r="AE587"/>
  <c r="AE982"/>
  <c r="AE445"/>
  <c r="AE1061"/>
  <c r="AE407"/>
  <c r="AE1371"/>
  <c r="AE795"/>
  <c r="AE1370"/>
  <c r="AE347"/>
  <c r="AE1302"/>
  <c r="AE973"/>
  <c r="AE816"/>
  <c r="AE557"/>
  <c r="AE1043"/>
  <c r="AE474"/>
  <c r="AE442"/>
  <c r="AE1142"/>
  <c r="AE966"/>
  <c r="AE1139"/>
  <c r="AE108"/>
  <c r="AE277"/>
  <c r="AE595"/>
  <c r="AE1152"/>
  <c r="AE1209"/>
  <c r="AE89"/>
  <c r="AE594"/>
  <c r="AE281"/>
  <c r="AE1056"/>
  <c r="AE1386"/>
  <c r="AE1271"/>
  <c r="AE513"/>
  <c r="AE1258"/>
  <c r="AE289"/>
  <c r="AE1238"/>
  <c r="AE757"/>
  <c r="AE425"/>
  <c r="AE489"/>
  <c r="AE975"/>
  <c r="AE1000"/>
  <c r="AE492"/>
  <c r="AE90"/>
  <c r="AE105"/>
  <c r="AE509"/>
  <c r="AE1076"/>
  <c r="AE1134"/>
  <c r="AE667"/>
  <c r="AE177"/>
  <c r="O9" i="65"/>
  <c r="L5"/>
  <c r="P8"/>
  <c r="L9"/>
  <c r="M10"/>
  <c r="K7"/>
  <c r="L7"/>
  <c r="O3"/>
  <c r="P4"/>
  <c r="K8"/>
  <c r="M7"/>
  <c r="O6"/>
  <c r="N10"/>
  <c r="O2"/>
  <c r="O10"/>
  <c r="K9"/>
  <c r="O8"/>
  <c r="O7"/>
  <c r="N6"/>
  <c r="P5"/>
  <c r="N3"/>
  <c r="K4"/>
  <c r="K6"/>
  <c r="N8"/>
  <c r="P10"/>
  <c r="M2"/>
  <c r="N2"/>
  <c r="N4"/>
  <c r="O5"/>
  <c r="P6"/>
  <c r="P9"/>
  <c r="M8"/>
  <c r="P3"/>
  <c r="L4"/>
  <c r="L6"/>
  <c r="L3"/>
  <c r="P2"/>
  <c r="L2"/>
  <c r="M3"/>
  <c r="M5"/>
  <c r="N5"/>
  <c r="N7"/>
  <c r="P7"/>
  <c r="K2"/>
  <c r="L8"/>
  <c r="M9"/>
  <c r="O4"/>
  <c r="M6"/>
  <c r="M4"/>
  <c r="K10"/>
  <c r="K5"/>
  <c r="K3"/>
  <c r="N9"/>
  <c r="L10"/>
  <c r="AM1134" i="5"/>
  <c r="AN1134" s="1"/>
  <c r="AM1150"/>
  <c r="AN1150" s="1"/>
  <c r="AM758"/>
  <c r="AN758" s="1"/>
  <c r="AM337"/>
  <c r="AN337" s="1"/>
  <c r="AM178"/>
  <c r="AN178" s="1"/>
  <c r="AM241"/>
  <c r="AN241" s="1"/>
  <c r="AM91" l="1"/>
  <c r="AN91" s="1"/>
  <c r="AM685"/>
  <c r="AN685" s="1"/>
  <c r="AM1194"/>
  <c r="AN1194" s="1"/>
  <c r="AM801"/>
  <c r="AN801" s="1"/>
  <c r="AM225"/>
  <c r="AN225" s="1"/>
  <c r="AM664"/>
  <c r="AN664" s="1"/>
  <c r="AM1008"/>
  <c r="AN1008" s="1"/>
  <c r="AM976"/>
  <c r="AN976" s="1"/>
  <c r="AM1163"/>
  <c r="AN1163" s="1"/>
  <c r="AM835"/>
  <c r="AN835" s="1"/>
  <c r="AM60"/>
  <c r="AN60" s="1"/>
  <c r="AM571"/>
  <c r="AN571" s="1"/>
  <c r="AM566"/>
  <c r="AN566" s="1"/>
  <c r="AM718"/>
  <c r="AN718" s="1"/>
  <c r="AM1432"/>
  <c r="AN1432" s="1"/>
  <c r="AM354"/>
  <c r="AN354" s="1"/>
  <c r="AM893"/>
  <c r="AN893" s="1"/>
  <c r="AM641"/>
  <c r="AN641" s="1"/>
  <c r="AM85"/>
  <c r="AN85" s="1"/>
  <c r="AM1040"/>
  <c r="AN1040" s="1"/>
  <c r="AM573"/>
  <c r="AN573" s="1"/>
  <c r="AM267"/>
  <c r="AN267" s="1"/>
  <c r="AM1292"/>
  <c r="AN1292" s="1"/>
  <c r="AM1242"/>
  <c r="AN1242" s="1"/>
  <c r="AM610"/>
  <c r="AN610" s="1"/>
  <c r="AM303"/>
  <c r="AN303" s="1"/>
  <c r="AM514"/>
  <c r="AN514" s="1"/>
  <c r="AM668"/>
  <c r="AN668" s="1"/>
  <c r="AM80"/>
  <c r="AN80" s="1"/>
  <c r="AM186"/>
  <c r="AN186" s="1"/>
  <c r="AM1414"/>
  <c r="AN1414" s="1"/>
  <c r="AM740"/>
  <c r="AN740" s="1"/>
  <c r="AM1158"/>
  <c r="AN1158" s="1"/>
  <c r="AM795"/>
  <c r="AN795" s="1"/>
  <c r="AM205"/>
  <c r="AN205" s="1"/>
  <c r="AM1098"/>
  <c r="AN1098" s="1"/>
  <c r="AM1337"/>
  <c r="AN1337" s="1"/>
  <c r="AM276"/>
  <c r="AN276" s="1"/>
  <c r="AM518"/>
  <c r="AN518" s="1"/>
  <c r="AM159"/>
  <c r="AN159" s="1"/>
  <c r="AM675"/>
  <c r="AN675" s="1"/>
  <c r="AM1299"/>
  <c r="AN1299" s="1"/>
  <c r="AM476"/>
  <c r="AN476" s="1"/>
  <c r="AM403"/>
  <c r="AN403" s="1"/>
  <c r="AM172"/>
  <c r="AN172" s="1"/>
  <c r="AM597"/>
  <c r="AN597" s="1"/>
  <c r="AM345"/>
  <c r="AN345" s="1"/>
  <c r="AM1236"/>
  <c r="AN1236" s="1"/>
  <c r="AM941"/>
  <c r="AN941" s="1"/>
  <c r="AM831"/>
  <c r="AN831" s="1"/>
  <c r="AM1076"/>
  <c r="AN1076" s="1"/>
  <c r="AM581"/>
  <c r="AN581" s="1"/>
  <c r="AM672"/>
  <c r="AN672" s="1"/>
  <c r="AM1005"/>
  <c r="AN1005" s="1"/>
  <c r="AM1050"/>
  <c r="AN1050" s="1"/>
  <c r="AM1015"/>
  <c r="AN1015" s="1"/>
  <c r="AM161"/>
  <c r="AN161" s="1"/>
  <c r="AM1411"/>
  <c r="AN1411" s="1"/>
  <c r="AM69"/>
  <c r="AN69" s="1"/>
  <c r="AM458"/>
  <c r="AN458" s="1"/>
  <c r="AM652"/>
  <c r="AN652" s="1"/>
  <c r="AM959"/>
  <c r="AN959" s="1"/>
  <c r="AM1238"/>
  <c r="AN1238" s="1"/>
  <c r="AM103"/>
  <c r="AN103" s="1"/>
  <c r="AM1048"/>
  <c r="AN1048" s="1"/>
  <c r="AM563"/>
  <c r="AN563" s="1"/>
  <c r="AM943"/>
  <c r="AN943" s="1"/>
  <c r="AM1047"/>
  <c r="AN1047" s="1"/>
  <c r="AM454"/>
  <c r="AN454" s="1"/>
  <c r="AM753"/>
  <c r="AN753" s="1"/>
  <c r="AM93"/>
  <c r="AN93" s="1"/>
  <c r="AM874"/>
  <c r="AN874" s="1"/>
  <c r="AM282"/>
  <c r="AN282" s="1"/>
  <c r="AM461"/>
  <c r="AN461" s="1"/>
  <c r="AM395"/>
  <c r="AN395" s="1"/>
  <c r="AM1145"/>
  <c r="AN1145" s="1"/>
  <c r="AM786"/>
  <c r="AN786" s="1"/>
  <c r="AM986"/>
  <c r="AN986" s="1"/>
  <c r="AM203"/>
  <c r="AN203" s="1"/>
  <c r="AM1317"/>
  <c r="AN1317" s="1"/>
  <c r="AM1412"/>
  <c r="AN1412" s="1"/>
  <c r="AM90"/>
  <c r="AN90" s="1"/>
  <c r="AM49"/>
  <c r="AN49" s="1"/>
  <c r="AM1384"/>
  <c r="AN1384" s="1"/>
  <c r="AM784"/>
  <c r="AN784" s="1"/>
  <c r="AM360"/>
  <c r="AN360" s="1"/>
  <c r="AM643"/>
  <c r="AN643" s="1"/>
  <c r="AM592"/>
  <c r="AN592" s="1"/>
  <c r="AM1121"/>
  <c r="AN1121" s="1"/>
  <c r="AM141"/>
  <c r="AN141" s="1"/>
  <c r="AM790"/>
  <c r="AN790" s="1"/>
  <c r="AM51"/>
  <c r="AN51" s="1"/>
  <c r="AM954"/>
  <c r="AN954" s="1"/>
  <c r="AM326"/>
  <c r="AN326" s="1"/>
  <c r="AM1420"/>
  <c r="AN1420" s="1"/>
  <c r="AM781"/>
  <c r="AN781" s="1"/>
  <c r="AM491"/>
  <c r="AN491" s="1"/>
  <c r="AM694"/>
  <c r="AN694" s="1"/>
  <c r="AM579"/>
  <c r="AN579" s="1"/>
  <c r="AM570"/>
  <c r="AN570" s="1"/>
  <c r="AM189"/>
  <c r="AN189" s="1"/>
  <c r="AM1281"/>
  <c r="AN1281" s="1"/>
  <c r="AM923"/>
  <c r="AN923" s="1"/>
  <c r="AM62"/>
  <c r="AN62" s="1"/>
  <c r="AM378"/>
  <c r="AN378" s="1"/>
  <c r="AM945"/>
  <c r="AN945" s="1"/>
  <c r="AM596"/>
  <c r="AN596" s="1"/>
  <c r="AM210"/>
  <c r="AN210" s="1"/>
  <c r="AM1012"/>
  <c r="AN1012" s="1"/>
  <c r="AM75"/>
  <c r="AN75" s="1"/>
  <c r="AM238"/>
  <c r="AN238" s="1"/>
  <c r="AM188"/>
  <c r="AN188" s="1"/>
  <c r="AM905"/>
  <c r="AN905" s="1"/>
  <c r="AM10"/>
  <c r="AN10" s="1"/>
  <c r="AM710"/>
  <c r="AN710" s="1"/>
  <c r="AM793"/>
  <c r="AN793" s="1"/>
  <c r="AM1424"/>
  <c r="AN1424" s="1"/>
  <c r="AM742"/>
  <c r="AN742" s="1"/>
  <c r="AM469"/>
  <c r="AN469" s="1"/>
  <c r="AM823"/>
  <c r="AN823" s="1"/>
  <c r="AM484"/>
  <c r="AN484" s="1"/>
  <c r="AM1165"/>
  <c r="AN1165" s="1"/>
  <c r="AM1270"/>
  <c r="AN1270" s="1"/>
  <c r="AM319"/>
  <c r="AN319" s="1"/>
  <c r="AM1004"/>
  <c r="AN1004" s="1"/>
  <c r="AM723"/>
  <c r="AN723" s="1"/>
  <c r="AM618"/>
  <c r="AN618" s="1"/>
  <c r="AM1154"/>
  <c r="AN1154" s="1"/>
  <c r="AM1032"/>
  <c r="AN1032" s="1"/>
  <c r="AM455"/>
  <c r="AN455" s="1"/>
  <c r="AM1101"/>
  <c r="AN1101" s="1"/>
  <c r="AM477"/>
  <c r="AN477" s="1"/>
  <c r="AM411"/>
  <c r="AN411" s="1"/>
  <c r="AM821"/>
  <c r="AN821" s="1"/>
  <c r="AM38"/>
  <c r="AN38" s="1"/>
  <c r="AM1278"/>
  <c r="AN1278" s="1"/>
  <c r="AM1383"/>
  <c r="AN1383" s="1"/>
  <c r="AM845"/>
  <c r="AN845" s="1"/>
  <c r="AM1237"/>
  <c r="AN1237" s="1"/>
  <c r="AM1381"/>
  <c r="AN1381" s="1"/>
  <c r="AM851"/>
  <c r="AN851" s="1"/>
  <c r="AM59"/>
  <c r="AN59" s="1"/>
  <c r="AM1283"/>
  <c r="AN1283" s="1"/>
  <c r="AM612"/>
  <c r="AN612" s="1"/>
  <c r="AM151"/>
  <c r="AN151" s="1"/>
  <c r="AM1061"/>
  <c r="AN1061" s="1"/>
  <c r="AM920"/>
  <c r="AN920" s="1"/>
  <c r="AM1289"/>
  <c r="AN1289" s="1"/>
  <c r="AM992"/>
  <c r="AN992" s="1"/>
  <c r="AM1099"/>
  <c r="AN1099" s="1"/>
  <c r="AM1022"/>
  <c r="AN1022" s="1"/>
  <c r="AM1090"/>
  <c r="AN1090" s="1"/>
  <c r="AM531"/>
  <c r="AN531" s="1"/>
  <c r="AM627"/>
  <c r="AN627" s="1"/>
  <c r="AM4"/>
  <c r="AN4" s="1"/>
  <c r="AM690"/>
  <c r="AN690" s="1"/>
  <c r="AM658"/>
  <c r="AN658" s="1"/>
  <c r="AM524"/>
  <c r="AN524" s="1"/>
  <c r="AM346"/>
  <c r="AN346" s="1"/>
  <c r="AM532"/>
  <c r="AN532" s="1"/>
  <c r="AM404"/>
  <c r="AN404" s="1"/>
  <c r="AM726"/>
  <c r="AN726" s="1"/>
  <c r="AM196"/>
  <c r="AN196" s="1"/>
  <c r="AM1371"/>
  <c r="AN1371" s="1"/>
  <c r="AM584"/>
  <c r="AN584" s="1"/>
  <c r="AM1025"/>
  <c r="AN1025" s="1"/>
  <c r="AM66"/>
  <c r="AN66" s="1"/>
  <c r="AM1333"/>
  <c r="AN1333" s="1"/>
  <c r="AM693"/>
  <c r="AN693" s="1"/>
  <c r="AM33"/>
  <c r="AN33" s="1"/>
  <c r="AM782"/>
  <c r="AN782" s="1"/>
  <c r="AM247"/>
  <c r="AN247" s="1"/>
  <c r="AM794"/>
  <c r="AN794" s="1"/>
  <c r="AM1222"/>
  <c r="AN1222" s="1"/>
  <c r="AM272"/>
  <c r="AN272" s="1"/>
  <c r="AM1042"/>
  <c r="AN1042" s="1"/>
  <c r="AM565"/>
  <c r="AN565" s="1"/>
  <c r="AM538"/>
  <c r="AN538" s="1"/>
  <c r="AM1377"/>
  <c r="AN1377" s="1"/>
  <c r="AM1019"/>
  <c r="AN1019" s="1"/>
  <c r="AM1387"/>
  <c r="AN1387" s="1"/>
  <c r="AM982"/>
  <c r="AN982" s="1"/>
  <c r="AM236"/>
  <c r="AN236" s="1"/>
  <c r="AM772"/>
  <c r="AN772" s="1"/>
  <c r="AM1311"/>
  <c r="AN1311" s="1"/>
  <c r="AM1413"/>
  <c r="AN1413" s="1"/>
  <c r="AM802"/>
  <c r="AN802" s="1"/>
  <c r="AM1083"/>
  <c r="AN1083" s="1"/>
  <c r="AM901"/>
  <c r="AN901" s="1"/>
  <c r="AM1013"/>
  <c r="AN1013" s="1"/>
  <c r="AM1002"/>
  <c r="AN1002" s="1"/>
  <c r="AM392"/>
  <c r="AN392" s="1"/>
  <c r="AM761"/>
  <c r="AN761" s="1"/>
  <c r="AM1149"/>
  <c r="AN1149" s="1"/>
  <c r="AM1243"/>
  <c r="AN1243" s="1"/>
  <c r="AM896"/>
  <c r="AN896" s="1"/>
  <c r="AM1286"/>
  <c r="AN1286" s="1"/>
  <c r="AM179"/>
  <c r="AN179" s="1"/>
  <c r="AM92"/>
  <c r="AN92" s="1"/>
  <c r="AM459"/>
  <c r="AN459" s="1"/>
  <c r="AM402"/>
  <c r="AN402" s="1"/>
  <c r="AM734"/>
  <c r="AN734" s="1"/>
  <c r="AM1204"/>
  <c r="AN1204" s="1"/>
  <c r="AM53"/>
  <c r="AN53" s="1"/>
  <c r="AM990"/>
  <c r="AN990" s="1"/>
  <c r="AM425"/>
  <c r="AN425" s="1"/>
  <c r="AM1044"/>
  <c r="AN1044" s="1"/>
  <c r="AM1045"/>
  <c r="AN1045" s="1"/>
  <c r="AM1133"/>
  <c r="AN1133" s="1"/>
  <c r="AM1092"/>
  <c r="AN1092" s="1"/>
  <c r="AM1143"/>
  <c r="AN1143" s="1"/>
  <c r="AM299"/>
  <c r="AN299" s="1"/>
  <c r="AM1408"/>
  <c r="AN1408" s="1"/>
  <c r="AM599"/>
  <c r="AN599" s="1"/>
  <c r="AM193"/>
  <c r="AN193" s="1"/>
  <c r="AM783"/>
  <c r="AN783" s="1"/>
  <c r="AM35"/>
  <c r="AN35" s="1"/>
  <c r="AM285"/>
  <c r="AN285" s="1"/>
  <c r="AM804"/>
  <c r="AN804" s="1"/>
  <c r="AM616"/>
  <c r="AN616" s="1"/>
  <c r="AM1146"/>
  <c r="AN1146" s="1"/>
  <c r="AM926"/>
  <c r="AN926" s="1"/>
  <c r="AM529"/>
  <c r="AN529" s="1"/>
  <c r="AM1369"/>
  <c r="AN1369" s="1"/>
  <c r="AM43"/>
  <c r="AN43" s="1"/>
  <c r="AM519"/>
  <c r="AN519" s="1"/>
  <c r="AM483"/>
  <c r="AN483" s="1"/>
  <c r="AM810"/>
  <c r="AN810" s="1"/>
  <c r="AM482"/>
  <c r="AN482" s="1"/>
  <c r="AM293"/>
  <c r="AN293" s="1"/>
  <c r="AM265"/>
  <c r="AN265" s="1"/>
  <c r="AM586"/>
  <c r="AN586" s="1"/>
  <c r="AM843"/>
  <c r="AN843" s="1"/>
  <c r="AM1023"/>
  <c r="AN1023" s="1"/>
  <c r="AM662"/>
  <c r="AN662" s="1"/>
  <c r="AM23"/>
  <c r="AN23" s="1"/>
  <c r="AM1261"/>
  <c r="AN1261" s="1"/>
  <c r="AM315"/>
  <c r="AN315" s="1"/>
  <c r="AM559"/>
  <c r="AN559" s="1"/>
  <c r="AM26"/>
  <c r="AN26" s="1"/>
  <c r="AM503"/>
  <c r="AN503" s="1"/>
  <c r="AM703"/>
  <c r="AN703" s="1"/>
  <c r="AM981"/>
  <c r="AN981" s="1"/>
  <c r="AM357"/>
  <c r="AN357" s="1"/>
  <c r="AM815"/>
  <c r="AN815" s="1"/>
  <c r="AM5"/>
  <c r="AN5" s="1"/>
  <c r="AM54"/>
  <c r="AN54" s="1"/>
  <c r="AM379"/>
  <c r="AN379" s="1"/>
  <c r="AM341"/>
  <c r="AN341" s="1"/>
  <c r="AM1294"/>
  <c r="AN1294" s="1"/>
  <c r="AM629"/>
  <c r="AN629" s="1"/>
  <c r="AM96"/>
  <c r="AN96" s="1"/>
  <c r="AM344"/>
  <c r="AN344" s="1"/>
  <c r="AM163"/>
  <c r="AN163" s="1"/>
  <c r="AM972"/>
  <c r="AN972" s="1"/>
  <c r="AM1244"/>
  <c r="AN1244" s="1"/>
  <c r="AM1104"/>
  <c r="AN1104" s="1"/>
  <c r="AM1318"/>
  <c r="AN1318" s="1"/>
  <c r="AM601"/>
  <c r="AN601" s="1"/>
  <c r="AM957"/>
  <c r="AN957" s="1"/>
  <c r="AM387"/>
  <c r="AN387" s="1"/>
  <c r="AM625"/>
  <c r="AN625" s="1"/>
  <c r="AM1305"/>
  <c r="AN1305" s="1"/>
  <c r="AM292"/>
  <c r="AN292" s="1"/>
  <c r="AM239"/>
  <c r="AN239" s="1"/>
  <c r="AM485"/>
  <c r="AN485" s="1"/>
  <c r="AM1172"/>
  <c r="AN1172" s="1"/>
  <c r="AM593"/>
  <c r="AN593" s="1"/>
  <c r="AM6"/>
  <c r="AN6" s="1"/>
  <c r="AM328"/>
  <c r="AN328" s="1"/>
  <c r="AM1059"/>
  <c r="AN1059" s="1"/>
  <c r="AM1054"/>
  <c r="AN1054" s="1"/>
  <c r="AM289"/>
  <c r="AN289" s="1"/>
  <c r="AM493"/>
  <c r="AN493" s="1"/>
  <c r="AM578"/>
  <c r="AN578" s="1"/>
  <c r="AM692"/>
  <c r="AN692" s="1"/>
  <c r="AM52"/>
  <c r="AN52" s="1"/>
  <c r="AM457"/>
  <c r="AN457" s="1"/>
  <c r="AM432"/>
  <c r="AN432" s="1"/>
  <c r="AM1196"/>
  <c r="AN1196" s="1"/>
  <c r="AM313"/>
  <c r="AN313" s="1"/>
  <c r="AM1174"/>
  <c r="AN1174" s="1"/>
  <c r="AM813"/>
  <c r="AN813" s="1"/>
  <c r="AM517"/>
  <c r="AN517" s="1"/>
  <c r="AM1211"/>
  <c r="AN1211" s="1"/>
  <c r="AM1106"/>
  <c r="AN1106" s="1"/>
  <c r="AM754"/>
  <c r="AN754" s="1"/>
  <c r="AM511"/>
  <c r="AN511" s="1"/>
  <c r="AM1386"/>
  <c r="AN1386" s="1"/>
  <c r="AM552"/>
  <c r="AN552" s="1"/>
  <c r="AM488"/>
  <c r="AN488" s="1"/>
  <c r="AM450"/>
  <c r="AN450" s="1"/>
  <c r="AM568"/>
  <c r="AN568" s="1"/>
  <c r="AM312"/>
  <c r="AN312" s="1"/>
  <c r="AM642"/>
  <c r="AN642" s="1"/>
  <c r="AM971"/>
  <c r="AN971" s="1"/>
  <c r="AM408"/>
  <c r="AN408" s="1"/>
  <c r="AM834"/>
  <c r="AN834" s="1"/>
  <c r="AM37"/>
  <c r="AN37" s="1"/>
  <c r="AM1297"/>
  <c r="AN1297" s="1"/>
  <c r="AM1303"/>
  <c r="AN1303" s="1"/>
  <c r="AM741"/>
  <c r="AN741" s="1"/>
  <c r="AM1001"/>
  <c r="AN1001" s="1"/>
  <c r="AM983"/>
  <c r="AN983" s="1"/>
  <c r="AM84"/>
  <c r="AN84" s="1"/>
  <c r="AM677"/>
  <c r="AN677" s="1"/>
  <c r="AM678"/>
  <c r="AN678" s="1"/>
  <c r="AM1304"/>
  <c r="AN1304" s="1"/>
  <c r="AM297"/>
  <c r="AN297" s="1"/>
  <c r="AM755"/>
  <c r="AN755" s="1"/>
  <c r="AM1055"/>
  <c r="AN1055" s="1"/>
  <c r="AM45"/>
  <c r="AN45" s="1"/>
  <c r="AM362"/>
  <c r="AN362" s="1"/>
  <c r="AM1063"/>
  <c r="AN1063" s="1"/>
  <c r="AM1144"/>
  <c r="AN1144" s="1"/>
  <c r="AM844"/>
  <c r="AN844" s="1"/>
  <c r="AM1209"/>
  <c r="AN1209" s="1"/>
  <c r="AM993"/>
  <c r="AN993" s="1"/>
  <c r="AM508"/>
  <c r="AN508" s="1"/>
  <c r="AM48"/>
  <c r="AN48" s="1"/>
  <c r="AM1030"/>
  <c r="AN1030" s="1"/>
  <c r="AM244"/>
  <c r="AN244" s="1"/>
  <c r="AM900"/>
  <c r="AN900" s="1"/>
  <c r="AM1100"/>
  <c r="AN1100" s="1"/>
  <c r="AM1084"/>
  <c r="AN1084" s="1"/>
  <c r="AM621"/>
  <c r="AN621" s="1"/>
  <c r="AM587"/>
  <c r="AN587" s="1"/>
  <c r="AM737"/>
  <c r="AN737" s="1"/>
  <c r="AM921"/>
  <c r="AN921" s="1"/>
  <c r="AM1129"/>
  <c r="AN1129" s="1"/>
  <c r="AM460"/>
  <c r="AN460" s="1"/>
  <c r="AM840"/>
  <c r="AN840" s="1"/>
  <c r="AM628"/>
  <c r="AN628" s="1"/>
  <c r="AM1257"/>
  <c r="AN1257" s="1"/>
  <c r="AM237"/>
  <c r="AN237" s="1"/>
  <c r="AM1248"/>
  <c r="AN1248" s="1"/>
  <c r="AM428"/>
  <c r="AN428" s="1"/>
  <c r="AM365"/>
  <c r="AN365" s="1"/>
  <c r="AM1360"/>
  <c r="AN1360" s="1"/>
  <c r="AM1259"/>
  <c r="AN1259" s="1"/>
  <c r="AM1364"/>
  <c r="AN1364" s="1"/>
  <c r="AM1276"/>
  <c r="AN1276" s="1"/>
  <c r="AM192"/>
  <c r="AN192" s="1"/>
  <c r="AM580"/>
  <c r="AN580" s="1"/>
  <c r="AM871"/>
  <c r="AN871" s="1"/>
  <c r="AM924"/>
  <c r="AN924" s="1"/>
  <c r="AM39"/>
  <c r="AN39" s="1"/>
  <c r="AM1269"/>
  <c r="AN1269" s="1"/>
  <c r="AM989"/>
  <c r="AN989" s="1"/>
  <c r="AM807"/>
  <c r="AN807" s="1"/>
  <c r="AM410"/>
  <c r="AN410" s="1"/>
  <c r="AM1052"/>
  <c r="AN1052" s="1"/>
  <c r="AM182"/>
  <c r="AN182" s="1"/>
  <c r="AM1287"/>
  <c r="AN1287" s="1"/>
  <c r="AM234"/>
  <c r="AN234" s="1"/>
  <c r="AM170"/>
  <c r="AN170" s="1"/>
  <c r="AM1140"/>
  <c r="AN1140" s="1"/>
  <c r="AM82"/>
  <c r="AN82" s="1"/>
  <c r="AM615"/>
  <c r="AN615" s="1"/>
  <c r="AM1431"/>
  <c r="AN1431" s="1"/>
  <c r="AM1138"/>
  <c r="AN1138" s="1"/>
  <c r="AM527"/>
  <c r="AN527" s="1"/>
  <c r="AM1203"/>
  <c r="AN1203" s="1"/>
  <c r="AM268"/>
  <c r="AN268" s="1"/>
  <c r="AM663"/>
  <c r="AN663" s="1"/>
  <c r="AM607"/>
  <c r="AN607" s="1"/>
  <c r="AM909"/>
  <c r="AN909" s="1"/>
  <c r="AM320"/>
  <c r="AN320" s="1"/>
  <c r="AM97"/>
  <c r="AN97" s="1"/>
  <c r="AM86"/>
  <c r="AN86" s="1"/>
  <c r="AM1267"/>
  <c r="AN1267" s="1"/>
  <c r="AM825"/>
  <c r="AN825" s="1"/>
  <c r="AM846"/>
  <c r="AN846" s="1"/>
  <c r="AM1075"/>
  <c r="AN1075" s="1"/>
  <c r="AM424"/>
  <c r="AN424" s="1"/>
  <c r="AM305"/>
  <c r="AN305" s="1"/>
  <c r="AM1026"/>
  <c r="AN1026" s="1"/>
  <c r="AM1235"/>
  <c r="AN1235" s="1"/>
  <c r="AM77"/>
  <c r="AN77" s="1"/>
  <c r="AM1147"/>
  <c r="AN1147" s="1"/>
  <c r="AM492"/>
  <c r="AN492" s="1"/>
  <c r="AM665"/>
  <c r="AN665" s="1"/>
  <c r="AM691"/>
  <c r="AN691" s="1"/>
  <c r="AM626"/>
  <c r="AN626" s="1"/>
  <c r="AM94"/>
  <c r="AN94" s="1"/>
  <c r="AM275"/>
  <c r="AN275" s="1"/>
  <c r="AM918"/>
  <c r="AN918" s="1"/>
  <c r="AM1398"/>
  <c r="AN1398" s="1"/>
  <c r="AM622"/>
  <c r="AN622" s="1"/>
  <c r="AM696"/>
  <c r="AN696" s="1"/>
  <c r="AM194"/>
  <c r="AN194" s="1"/>
  <c r="AM318"/>
  <c r="AN318" s="1"/>
  <c r="AM635"/>
  <c r="AN635" s="1"/>
  <c r="AM939"/>
  <c r="AN939" s="1"/>
  <c r="AM140"/>
  <c r="AN140" s="1"/>
  <c r="AM426"/>
  <c r="AN426" s="1"/>
  <c r="AM743"/>
  <c r="AN743" s="1"/>
  <c r="AM1260"/>
  <c r="AN1260" s="1"/>
  <c r="AM748"/>
  <c r="AN748" s="1"/>
  <c r="AM897"/>
  <c r="AN897" s="1"/>
  <c r="AM577"/>
  <c r="AN577" s="1"/>
  <c r="AM904"/>
  <c r="AN904" s="1"/>
  <c r="AM1331"/>
  <c r="AN1331" s="1"/>
  <c r="AM1102"/>
  <c r="AN1102" s="1"/>
  <c r="AM220"/>
  <c r="AN220" s="1"/>
  <c r="AM551"/>
  <c r="AN551" s="1"/>
  <c r="AM704"/>
  <c r="AN704" s="1"/>
  <c r="AM614"/>
  <c r="AN614" s="1"/>
  <c r="AM1272"/>
  <c r="AN1272" s="1"/>
  <c r="AM1351"/>
  <c r="AN1351" s="1"/>
  <c r="AM613"/>
  <c r="AN613" s="1"/>
  <c r="AM1088"/>
  <c r="AN1088" s="1"/>
  <c r="AM294"/>
  <c r="AN294" s="1"/>
  <c r="AM525"/>
  <c r="AN525" s="1"/>
  <c r="AM1415"/>
  <c r="AN1415" s="1"/>
  <c r="AM171"/>
  <c r="AN171" s="1"/>
  <c r="AM55"/>
  <c r="AN55" s="1"/>
  <c r="AM1167"/>
  <c r="AN1167" s="1"/>
  <c r="AM1309"/>
  <c r="AN1309" s="1"/>
  <c r="AM1358"/>
  <c r="AN1358" s="1"/>
  <c r="AM767"/>
  <c r="AN767" s="1"/>
  <c r="AM1320"/>
  <c r="AN1320" s="1"/>
  <c r="AM604"/>
  <c r="AN604" s="1"/>
  <c r="AM1425"/>
  <c r="AN1425" s="1"/>
  <c r="AM1118"/>
  <c r="AN1118" s="1"/>
  <c r="AM648"/>
  <c r="AN648" s="1"/>
  <c r="AM1016"/>
  <c r="AN1016" s="1"/>
  <c r="AM951"/>
  <c r="AN951" s="1"/>
  <c r="AM712"/>
  <c r="AN712" s="1"/>
  <c r="AM1405"/>
  <c r="AN1405" s="1"/>
  <c r="AM1028"/>
  <c r="AN1028" s="1"/>
  <c r="AM762"/>
  <c r="AN762" s="1"/>
  <c r="AM714"/>
  <c r="AN714" s="1"/>
  <c r="AM1300"/>
  <c r="AN1300" s="1"/>
  <c r="AM603"/>
  <c r="AN603" s="1"/>
  <c r="AM1000"/>
  <c r="AN1000" s="1"/>
  <c r="AM1234"/>
  <c r="AN1234" s="1"/>
  <c r="AM768"/>
  <c r="AN768" s="1"/>
  <c r="AM513"/>
  <c r="AN513" s="1"/>
  <c r="AM242"/>
  <c r="AN242" s="1"/>
  <c r="AM246"/>
  <c r="AN246" s="1"/>
  <c r="AM947"/>
  <c r="AN947" s="1"/>
  <c r="AM1091"/>
  <c r="AN1091" s="1"/>
  <c r="AM739"/>
  <c r="AN739" s="1"/>
  <c r="AM391"/>
  <c r="AN391" s="1"/>
  <c r="AM683"/>
  <c r="AN683" s="1"/>
  <c r="AM290"/>
  <c r="AN290" s="1"/>
  <c r="AM291"/>
  <c r="AN291" s="1"/>
  <c r="AM349"/>
  <c r="AN349" s="1"/>
  <c r="AM721"/>
  <c r="AN721" s="1"/>
  <c r="AM195"/>
  <c r="AN195" s="1"/>
  <c r="AM585"/>
  <c r="AN585" s="1"/>
  <c r="AM944"/>
  <c r="AN944" s="1"/>
  <c r="AM536"/>
  <c r="AN536" s="1"/>
  <c r="AM1251"/>
  <c r="AN1251" s="1"/>
  <c r="AM1010"/>
  <c r="AN1010" s="1"/>
  <c r="AM277"/>
  <c r="AN277" s="1"/>
  <c r="AM451"/>
  <c r="AN451" s="1"/>
  <c r="AM702"/>
  <c r="AN702" s="1"/>
  <c r="AM605"/>
  <c r="AN605" s="1"/>
  <c r="AM70"/>
  <c r="AN70" s="1"/>
  <c r="AM1037"/>
  <c r="AN1037" s="1"/>
  <c r="AM11"/>
  <c r="AN11" s="1"/>
  <c r="AM567"/>
  <c r="AN567" s="1"/>
  <c r="AM979"/>
  <c r="AN979" s="1"/>
  <c r="AM243"/>
  <c r="AN243" s="1"/>
  <c r="AM1355"/>
  <c r="AN1355" s="1"/>
  <c r="AM859"/>
  <c r="AN859" s="1"/>
  <c r="AM472"/>
  <c r="AN472" s="1"/>
  <c r="AM1293"/>
  <c r="AN1293" s="1"/>
  <c r="AM397"/>
  <c r="AN397" s="1"/>
  <c r="AM649"/>
  <c r="AN649" s="1"/>
  <c r="AM1087"/>
  <c r="AN1087" s="1"/>
  <c r="AM796"/>
  <c r="AN796" s="1"/>
  <c r="AM95"/>
  <c r="AN95" s="1"/>
  <c r="AM1373"/>
  <c r="AN1373" s="1"/>
  <c r="AM19"/>
  <c r="AN19" s="1"/>
  <c r="AM1186"/>
  <c r="AN1186" s="1"/>
  <c r="AM803"/>
  <c r="AN803" s="1"/>
  <c r="AM1290"/>
  <c r="AN1290" s="1"/>
  <c r="AM651"/>
  <c r="AN651" s="1"/>
  <c r="AM562"/>
  <c r="AN562" s="1"/>
  <c r="AM1427"/>
  <c r="AN1427" s="1"/>
  <c r="AM358"/>
  <c r="AN358" s="1"/>
  <c r="AM1370"/>
  <c r="AN1370" s="1"/>
  <c r="AM756"/>
  <c r="AN756" s="1"/>
  <c r="AM862"/>
  <c r="AN862" s="1"/>
  <c r="AM805"/>
  <c r="AN805" s="1"/>
  <c r="AM1117"/>
  <c r="AN1117" s="1"/>
  <c r="AM180"/>
  <c r="AN180" s="1"/>
  <c r="AM717"/>
  <c r="AN717" s="1"/>
  <c r="AM233"/>
  <c r="AN233" s="1"/>
  <c r="AM325"/>
  <c r="AN325" s="1"/>
  <c r="AM606"/>
  <c r="AN606" s="1"/>
  <c r="AM917"/>
  <c r="AN917" s="1"/>
  <c r="AM1157"/>
  <c r="AN1157" s="1"/>
  <c r="AM770"/>
  <c r="AN770" s="1"/>
  <c r="AM1135"/>
  <c r="AN1135" s="1"/>
  <c r="AM516"/>
  <c r="AN516" s="1"/>
  <c r="AM489"/>
  <c r="AN489" s="1"/>
  <c r="AM512"/>
  <c r="AN512" s="1"/>
  <c r="AM946"/>
  <c r="AN946" s="1"/>
  <c r="AM609"/>
  <c r="AN609" s="1"/>
  <c r="AM327"/>
  <c r="AN327" s="1"/>
  <c r="AM928"/>
  <c r="AN928" s="1"/>
  <c r="AM226"/>
  <c r="AN226" s="1"/>
  <c r="AM433"/>
  <c r="AN433" s="1"/>
  <c r="AM158"/>
  <c r="AN158" s="1"/>
  <c r="AM383"/>
  <c r="AN383" s="1"/>
  <c r="AM1353"/>
  <c r="AN1353" s="1"/>
  <c r="AM1112"/>
  <c r="AN1112" s="1"/>
  <c r="AM850"/>
  <c r="AN850" s="1"/>
  <c r="AM1313"/>
  <c r="AN1313" s="1"/>
  <c r="AM245"/>
  <c r="AN245" s="1"/>
  <c r="AM355"/>
  <c r="AN355" s="1"/>
  <c r="AM1268"/>
  <c r="AN1268" s="1"/>
  <c r="AM682"/>
  <c r="AN682" s="1"/>
  <c r="AM569"/>
  <c r="AN569" s="1"/>
  <c r="AM211"/>
  <c r="AN211" s="1"/>
  <c r="AM443"/>
  <c r="AN443" s="1"/>
  <c r="AM860"/>
  <c r="AN860" s="1"/>
  <c r="AM1421"/>
  <c r="AN1421" s="1"/>
  <c r="AM908"/>
  <c r="AN908" s="1"/>
  <c r="AM759"/>
  <c r="AN759" s="1"/>
  <c r="AM1161"/>
  <c r="AN1161" s="1"/>
  <c r="AM553"/>
  <c r="AN553" s="1"/>
  <c r="AM988"/>
  <c r="AN988" s="1"/>
  <c r="AM574"/>
  <c r="AN574" s="1"/>
  <c r="AM709"/>
  <c r="AN709" s="1"/>
  <c r="AM1079"/>
  <c r="AN1079" s="1"/>
  <c r="AM154"/>
  <c r="AN154" s="1"/>
  <c r="AM1066"/>
  <c r="AN1066" s="1"/>
  <c r="AM590"/>
  <c r="AN590" s="1"/>
  <c r="AM207"/>
  <c r="AN207" s="1"/>
  <c r="AM405"/>
  <c r="AN405" s="1"/>
  <c r="AM40"/>
  <c r="AN40" s="1"/>
  <c r="AM1266"/>
  <c r="AN1266" s="1"/>
  <c r="AM1219"/>
  <c r="AN1219" s="1"/>
  <c r="AM1291"/>
  <c r="AN1291" s="1"/>
  <c r="AM1361"/>
  <c r="AN1361" s="1"/>
  <c r="AM822"/>
  <c r="AN822" s="1"/>
  <c r="AM769"/>
  <c r="AN769" s="1"/>
  <c r="AM1038"/>
  <c r="AN1038" s="1"/>
  <c r="AM927"/>
  <c r="AN927" s="1"/>
  <c r="AM1168"/>
  <c r="AN1168" s="1"/>
  <c r="AM310"/>
  <c r="AN310" s="1"/>
  <c r="AM1284"/>
  <c r="AN1284" s="1"/>
  <c r="AM438"/>
  <c r="AN438" s="1"/>
  <c r="AM240"/>
  <c r="AN240" s="1"/>
  <c r="AM1077"/>
  <c r="AN1077" s="1"/>
  <c r="AM828"/>
  <c r="AN828" s="1"/>
  <c r="AM700"/>
  <c r="AN700" s="1"/>
  <c r="AM788"/>
  <c r="AN788" s="1"/>
  <c r="AM985"/>
  <c r="AN985" s="1"/>
  <c r="AM1372"/>
  <c r="AN1372" s="1"/>
  <c r="AM1359"/>
  <c r="AN1359" s="1"/>
  <c r="AM1073"/>
  <c r="AN1073" s="1"/>
  <c r="AM146"/>
  <c r="AN146" s="1"/>
  <c r="AM1280"/>
  <c r="AN1280" s="1"/>
  <c r="AM486"/>
  <c r="AN486" s="1"/>
  <c r="AM588"/>
  <c r="AN588" s="1"/>
  <c r="AM1336"/>
  <c r="AN1336" s="1"/>
  <c r="AM744"/>
  <c r="AN744" s="1"/>
  <c r="AM478"/>
  <c r="AN478" s="1"/>
  <c r="AM160"/>
  <c r="AN160" s="1"/>
  <c r="AM1241"/>
  <c r="AN1241" s="1"/>
  <c r="AM1210"/>
  <c r="AN1210" s="1"/>
  <c r="AM806"/>
  <c r="AN806" s="1"/>
  <c r="AM414"/>
  <c r="AN414" s="1"/>
  <c r="AM47"/>
  <c r="AN47" s="1"/>
  <c r="AM827"/>
  <c r="AN827" s="1"/>
  <c r="AM735"/>
  <c r="AN735" s="1"/>
  <c r="AM977"/>
  <c r="AN977" s="1"/>
  <c r="AM1271"/>
  <c r="AN1271" s="1"/>
  <c r="AM1205"/>
  <c r="AN1205" s="1"/>
  <c r="AM57"/>
  <c r="AN57" s="1"/>
  <c r="AM984"/>
  <c r="AN984" s="1"/>
  <c r="AM352"/>
  <c r="AN352" s="1"/>
  <c r="AM774"/>
  <c r="AN774" s="1"/>
  <c r="AM669"/>
  <c r="AN669" s="1"/>
  <c r="AM202"/>
  <c r="AN202" s="1"/>
  <c r="AM1126"/>
  <c r="AN1126" s="1"/>
  <c r="AM667"/>
  <c r="AN667" s="1"/>
  <c r="AM598"/>
  <c r="AN598" s="1"/>
  <c r="AM1298"/>
  <c r="AN1298" s="1"/>
  <c r="AM916"/>
  <c r="AN916" s="1"/>
  <c r="AM8"/>
  <c r="AN8" s="1"/>
  <c r="AM30"/>
  <c r="AN30" s="1"/>
  <c r="AM1116"/>
  <c r="AN1116" s="1"/>
  <c r="AM412"/>
  <c r="AN412" s="1"/>
  <c r="AM279"/>
  <c r="AN279" s="1"/>
  <c r="AM829"/>
  <c r="AN829" s="1"/>
  <c r="AM636"/>
  <c r="AN636" s="1"/>
  <c r="AM731"/>
  <c r="AN731" s="1"/>
  <c r="AM530"/>
  <c r="AN530" s="1"/>
  <c r="AM1062"/>
  <c r="AN1062" s="1"/>
  <c r="AM841"/>
  <c r="AN841" s="1"/>
  <c r="AM713"/>
  <c r="AN713" s="1"/>
  <c r="AM1220"/>
  <c r="AN1220" s="1"/>
  <c r="AM666"/>
  <c r="AN666" s="1"/>
  <c r="AM399"/>
  <c r="AN399" s="1"/>
  <c r="AM800"/>
  <c r="AN800" s="1"/>
  <c r="AM1141"/>
  <c r="AN1141" s="1"/>
  <c r="AM811"/>
  <c r="AN811" s="1"/>
  <c r="AM232"/>
  <c r="AN232" s="1"/>
  <c r="AM381"/>
  <c r="AN381" s="1"/>
  <c r="AM546"/>
  <c r="AN546" s="1"/>
  <c r="AM733"/>
  <c r="AN733" s="1"/>
  <c r="AM686"/>
  <c r="AN686" s="1"/>
  <c r="AM738"/>
  <c r="AN738" s="1"/>
  <c r="AM1256"/>
  <c r="AN1256" s="1"/>
  <c r="AM1285"/>
  <c r="AN1285" s="1"/>
  <c r="AM1064"/>
  <c r="AN1064" s="1"/>
  <c r="AM335"/>
  <c r="AN335" s="1"/>
  <c r="AM975"/>
  <c r="AN975" s="1"/>
  <c r="AM820"/>
  <c r="AN820" s="1"/>
  <c r="AM634"/>
  <c r="AN634" s="1"/>
  <c r="AM481"/>
  <c r="AN481" s="1"/>
  <c r="AM773"/>
  <c r="AN773" s="1"/>
  <c r="AM757"/>
  <c r="AN757" s="1"/>
  <c r="AM660"/>
  <c r="AN660" s="1"/>
  <c r="AM826"/>
  <c r="AN826" s="1"/>
  <c r="AM952"/>
  <c r="AN952" s="1"/>
  <c r="AM736"/>
  <c r="AN736" s="1"/>
  <c r="AM1125"/>
  <c r="AN1125" s="1"/>
  <c r="AM301"/>
  <c r="AN301" s="1"/>
  <c r="AM359"/>
  <c r="AN359" s="1"/>
  <c r="AM899"/>
  <c r="AN899" s="1"/>
  <c r="AM1017"/>
  <c r="AN1017" s="1"/>
  <c r="AM620"/>
  <c r="AN620" s="1"/>
  <c r="AM473"/>
  <c r="AN473" s="1"/>
  <c r="AM50"/>
  <c r="AN50" s="1"/>
  <c r="AM729"/>
  <c r="AN729" s="1"/>
  <c r="AM1366"/>
  <c r="AN1366" s="1"/>
  <c r="AM1245"/>
  <c r="AN1245" s="1"/>
  <c r="AM1130"/>
  <c r="AN1130" s="1"/>
  <c r="AM17"/>
  <c r="AN17" s="1"/>
  <c r="AM659"/>
  <c r="AN659" s="1"/>
  <c r="AM1128"/>
  <c r="AN1128" s="1"/>
  <c r="AM602"/>
  <c r="AN602" s="1"/>
  <c r="AM898"/>
  <c r="AN898" s="1"/>
  <c r="AM1357"/>
  <c r="AN1357" s="1"/>
  <c r="AM646"/>
  <c r="AN646" s="1"/>
  <c r="AM1258"/>
  <c r="AN1258" s="1"/>
  <c r="AM1071"/>
  <c r="AN1071" s="1"/>
  <c r="AM148"/>
  <c r="AN148" s="1"/>
  <c r="AM549"/>
  <c r="AN549" s="1"/>
  <c r="AM1319"/>
  <c r="AN1319" s="1"/>
  <c r="AM1049"/>
  <c r="AN1049" s="1"/>
  <c r="AM751"/>
  <c r="AN751" s="1"/>
  <c r="AM1265"/>
  <c r="AN1265" s="1"/>
  <c r="AM295"/>
  <c r="AN295" s="1"/>
  <c r="AM940"/>
  <c r="AN940" s="1"/>
  <c r="AM1295"/>
  <c r="AN1295" s="1"/>
  <c r="AM1338"/>
  <c r="AN1338" s="1"/>
  <c r="AM725"/>
  <c r="AN725" s="1"/>
  <c r="AM350"/>
  <c r="AN350" s="1"/>
  <c r="AM1051"/>
  <c r="AN1051" s="1"/>
  <c r="AM522"/>
  <c r="AN522" s="1"/>
  <c r="AM1148"/>
  <c r="AN1148" s="1"/>
  <c r="AM501"/>
  <c r="AN501" s="1"/>
  <c r="AM165"/>
  <c r="AN165" s="1"/>
  <c r="AM72"/>
  <c r="AN72" s="1"/>
  <c r="AM314"/>
  <c r="AN314" s="1"/>
  <c r="AM495"/>
  <c r="AN495" s="1"/>
  <c r="AM1218"/>
  <c r="AN1218" s="1"/>
  <c r="AM184"/>
  <c r="AN184" s="1"/>
  <c r="AM406"/>
  <c r="AN406" s="1"/>
  <c r="AM474"/>
  <c r="AN474" s="1"/>
  <c r="AM995"/>
  <c r="AN995" s="1"/>
  <c r="AM1406"/>
  <c r="AN1406" s="1"/>
  <c r="AM394"/>
  <c r="AN394" s="1"/>
  <c r="AM1312"/>
  <c r="AN1312" s="1"/>
  <c r="AM36"/>
  <c r="AN36" s="1"/>
  <c r="AM44"/>
  <c r="AN44" s="1"/>
  <c r="AM876"/>
  <c r="AN876" s="1"/>
  <c r="AM1078"/>
  <c r="AN1078" s="1"/>
  <c r="AM101"/>
  <c r="AN101" s="1"/>
  <c r="AM1122"/>
  <c r="AN1122" s="1"/>
  <c r="AM705"/>
  <c r="AN705" s="1"/>
  <c r="AM1350"/>
  <c r="AN1350" s="1"/>
  <c r="AM1378"/>
  <c r="AN1378" s="1"/>
  <c r="AM523"/>
  <c r="AN523" s="1"/>
  <c r="AM838"/>
  <c r="AN838" s="1"/>
  <c r="AM1334"/>
  <c r="AN1334" s="1"/>
  <c r="AM386"/>
  <c r="AN386" s="1"/>
  <c r="AM861"/>
  <c r="AN861" s="1"/>
  <c r="AM273"/>
  <c r="AN273" s="1"/>
  <c r="AM561"/>
  <c r="AN561" s="1"/>
  <c r="AM190"/>
  <c r="AN190" s="1"/>
  <c r="AM221"/>
  <c r="AN221" s="1"/>
  <c r="AM110"/>
  <c r="AN110" s="1"/>
  <c r="AM791"/>
  <c r="AN791" s="1"/>
  <c r="AM1119"/>
  <c r="AN1119" s="1"/>
  <c r="AM13"/>
  <c r="AN13" s="1"/>
  <c r="AM149"/>
  <c r="AN149" s="1"/>
  <c r="AM1089"/>
  <c r="AN1089" s="1"/>
  <c r="AM576"/>
  <c r="AN576" s="1"/>
  <c r="AM288"/>
  <c r="AN288" s="1"/>
  <c r="AM185"/>
  <c r="AN185" s="1"/>
  <c r="AM1314"/>
  <c r="AN1314" s="1"/>
  <c r="AM1249"/>
  <c r="AN1249" s="1"/>
  <c r="AM1108"/>
  <c r="AN1108" s="1"/>
  <c r="AM1058"/>
  <c r="AN1058" s="1"/>
  <c r="AM367"/>
  <c r="AN367" s="1"/>
  <c r="AM1081"/>
  <c r="AN1081" s="1"/>
  <c r="AM1376"/>
  <c r="AN1376" s="1"/>
  <c r="AM1103"/>
  <c r="AN1103" s="1"/>
  <c r="AM1018"/>
  <c r="AN1018" s="1"/>
  <c r="AM227"/>
  <c r="AN227" s="1"/>
  <c r="AM894"/>
  <c r="AN894" s="1"/>
  <c r="AM1152"/>
  <c r="AN1152" s="1"/>
  <c r="AM1153"/>
  <c r="AN1153" s="1"/>
  <c r="AM269"/>
  <c r="AN269" s="1"/>
  <c r="AM266"/>
  <c r="AN266" s="1"/>
  <c r="AM1070"/>
  <c r="AN1070" s="1"/>
  <c r="AM978"/>
  <c r="AN978" s="1"/>
  <c r="AM21"/>
  <c r="AN21" s="1"/>
  <c r="AM1396"/>
  <c r="AN1396" s="1"/>
  <c r="AM1332"/>
  <c r="AN1332" s="1"/>
  <c r="AM1275"/>
  <c r="AN1275" s="1"/>
  <c r="AM707"/>
  <c r="AN707" s="1"/>
  <c r="AM730"/>
  <c r="AN730" s="1"/>
  <c r="AM572"/>
  <c r="AN572" s="1"/>
  <c r="AM594"/>
  <c r="AN594" s="1"/>
  <c r="AM936"/>
  <c r="AN936" s="1"/>
  <c r="AM935"/>
  <c r="AN935" s="1"/>
  <c r="AM67"/>
  <c r="AN67" s="1"/>
  <c r="AM398"/>
  <c r="AN398" s="1"/>
  <c r="AM162"/>
  <c r="AN162" s="1"/>
  <c r="AM83"/>
  <c r="AN83" s="1"/>
  <c r="AM969"/>
  <c r="AN969" s="1"/>
  <c r="AM1418"/>
  <c r="AN1418" s="1"/>
  <c r="AM107"/>
  <c r="AN107" s="1"/>
  <c r="AM1352"/>
  <c r="AN1352" s="1"/>
  <c r="AM330"/>
  <c r="AN330" s="1"/>
  <c r="AM932"/>
  <c r="AN932" s="1"/>
  <c r="AM1151"/>
  <c r="AN1151" s="1"/>
  <c r="AM431"/>
  <c r="AN431" s="1"/>
  <c r="AM949"/>
  <c r="AN949" s="1"/>
  <c r="AM139"/>
  <c r="AN139" s="1"/>
  <c r="AM1362"/>
  <c r="AN1362" s="1"/>
  <c r="AM156"/>
  <c r="AN156" s="1"/>
  <c r="AM228"/>
  <c r="AN228" s="1"/>
  <c r="AM1131"/>
  <c r="AN1131" s="1"/>
  <c r="AM25"/>
  <c r="AN25" s="1"/>
  <c r="AM463"/>
  <c r="AN463" s="1"/>
  <c r="AM785"/>
  <c r="AN785" s="1"/>
  <c r="AM470"/>
  <c r="AN470" s="1"/>
  <c r="AM633"/>
  <c r="AN633" s="1"/>
  <c r="AM866"/>
  <c r="AN866" s="1"/>
  <c r="AM479"/>
  <c r="AN479" s="1"/>
  <c r="AM873"/>
  <c r="AN873" s="1"/>
  <c r="AM548"/>
  <c r="AN548" s="1"/>
  <c r="AM419"/>
  <c r="AN419" s="1"/>
  <c r="AM1416"/>
  <c r="AN1416" s="1"/>
  <c r="AM1240"/>
  <c r="AN1240" s="1"/>
  <c r="AM583"/>
  <c r="AN583" s="1"/>
  <c r="AM147"/>
  <c r="AN147" s="1"/>
  <c r="AM789"/>
  <c r="AN789" s="1"/>
  <c r="AM526"/>
  <c r="AN526" s="1"/>
  <c r="AM814"/>
  <c r="AN814" s="1"/>
  <c r="AM600"/>
  <c r="AN600" s="1"/>
  <c r="AM872"/>
  <c r="AN872" s="1"/>
  <c r="AM550"/>
  <c r="AN550" s="1"/>
  <c r="AM1277"/>
  <c r="AN1277" s="1"/>
  <c r="AM1335"/>
  <c r="AN1335" s="1"/>
  <c r="AM1262"/>
  <c r="AN1262" s="1"/>
  <c r="AM809"/>
  <c r="AN809" s="1"/>
  <c r="AM487"/>
  <c r="AN487" s="1"/>
  <c r="AM1105"/>
  <c r="AN1105" s="1"/>
  <c r="AM1365"/>
  <c r="AN1365" s="1"/>
  <c r="AM46"/>
  <c r="AN46" s="1"/>
  <c r="AM417"/>
  <c r="AN417" s="1"/>
  <c r="AM1060"/>
  <c r="AN1060" s="1"/>
  <c r="AM24"/>
  <c r="AN24" s="1"/>
  <c r="AM934"/>
  <c r="AN934" s="1"/>
  <c r="AM1264"/>
  <c r="AN1264" s="1"/>
  <c r="AM760"/>
  <c r="AN760" s="1"/>
  <c r="AM706"/>
  <c r="AN706" s="1"/>
  <c r="AM980"/>
  <c r="AN980" s="1"/>
  <c r="AM711"/>
  <c r="AN711" s="1"/>
  <c r="AM938"/>
  <c r="AN938" s="1"/>
  <c r="AM7"/>
  <c r="AN7" s="1"/>
  <c r="AM1027"/>
  <c r="AN1027" s="1"/>
  <c r="AM856"/>
  <c r="AN856" s="1"/>
  <c r="AM1127"/>
  <c r="AN1127" s="1"/>
  <c r="AM1039"/>
  <c r="AN1039" s="1"/>
  <c r="AM100"/>
  <c r="AN100" s="1"/>
  <c r="AM336"/>
  <c r="AN336" s="1"/>
  <c r="AM847"/>
  <c r="AN847" s="1"/>
  <c r="AM999"/>
  <c r="AN999" s="1"/>
  <c r="AM1114"/>
  <c r="AN1114" s="1"/>
  <c r="AM475"/>
  <c r="AN475" s="1"/>
  <c r="AM12"/>
  <c r="AN12" s="1"/>
  <c r="AM168"/>
  <c r="AN168" s="1"/>
  <c r="AM230"/>
  <c r="AN230" s="1"/>
  <c r="AM716"/>
  <c r="AN716" s="1"/>
  <c r="AM719"/>
  <c r="AN719" s="1"/>
  <c r="AM15"/>
  <c r="AN15" s="1"/>
  <c r="AM728"/>
  <c r="AN728" s="1"/>
  <c r="AM88"/>
  <c r="AN88" s="1"/>
  <c r="AM73"/>
  <c r="AN73" s="1"/>
  <c r="AM42"/>
  <c r="AN42" s="1"/>
  <c r="AM415"/>
  <c r="AN415" s="1"/>
  <c r="AM416"/>
  <c r="AN416" s="1"/>
  <c r="AM961"/>
  <c r="AN961" s="1"/>
  <c r="AM175"/>
  <c r="AN175" s="1"/>
  <c r="AM630"/>
  <c r="AN630" s="1"/>
  <c r="AM351"/>
  <c r="AN351" s="1"/>
  <c r="AM71"/>
  <c r="AN71" s="1"/>
  <c r="AM321"/>
  <c r="AN321" s="1"/>
  <c r="AM797"/>
  <c r="AN797" s="1"/>
  <c r="AM688"/>
  <c r="AN688" s="1"/>
  <c r="AM1056"/>
  <c r="AN1056" s="1"/>
  <c r="AM715"/>
  <c r="AN715" s="1"/>
  <c r="AM1021"/>
  <c r="AN1021" s="1"/>
  <c r="AM1142"/>
  <c r="AN1142" s="1"/>
  <c r="AM832"/>
  <c r="AN832" s="1"/>
  <c r="AM1330"/>
  <c r="AN1330" s="1"/>
  <c r="AM958"/>
  <c r="AN958" s="1"/>
  <c r="AM61"/>
  <c r="AN61" s="1"/>
  <c r="AM864"/>
  <c r="AN864" s="1"/>
  <c r="AM208"/>
  <c r="AN208" s="1"/>
  <c r="AM281"/>
  <c r="AN281" s="1"/>
  <c r="AM1139"/>
  <c r="AN1139" s="1"/>
  <c r="AM307"/>
  <c r="AN307" s="1"/>
  <c r="AM191"/>
  <c r="AN191" s="1"/>
  <c r="AM617"/>
  <c r="AN617" s="1"/>
  <c r="AM929"/>
  <c r="AN929" s="1"/>
  <c r="AM1250"/>
  <c r="AN1250" s="1"/>
  <c r="AM1053"/>
  <c r="AN1053" s="1"/>
  <c r="AM547"/>
  <c r="AN547" s="1"/>
  <c r="AM1402"/>
  <c r="AN1402" s="1"/>
  <c r="AM1014"/>
  <c r="AN1014" s="1"/>
  <c r="AM400"/>
  <c r="AN400" s="1"/>
  <c r="AM895"/>
  <c r="AN895" s="1"/>
  <c r="AM65"/>
  <c r="AN65" s="1"/>
  <c r="AM509"/>
  <c r="AN509" s="1"/>
  <c r="AM1169"/>
  <c r="AN1169" s="1"/>
  <c r="AM1109"/>
  <c r="AN1109" s="1"/>
  <c r="AM442"/>
  <c r="AN442" s="1"/>
  <c r="AM842"/>
  <c r="AN842" s="1"/>
  <c r="AM1368"/>
  <c r="AN1368" s="1"/>
  <c r="AM956"/>
  <c r="AN956" s="1"/>
  <c r="AM998"/>
  <c r="AN998" s="1"/>
  <c r="AM497"/>
  <c r="AN497" s="1"/>
  <c r="AM533"/>
  <c r="AN533" s="1"/>
  <c r="AM436"/>
  <c r="AN436" s="1"/>
  <c r="AM1379"/>
  <c r="AN1379" s="1"/>
  <c r="AM779"/>
  <c r="AN779" s="1"/>
  <c r="AM910"/>
  <c r="AN910" s="1"/>
  <c r="AM684"/>
  <c r="AN684" s="1"/>
  <c r="AM1394"/>
  <c r="AN1394" s="1"/>
  <c r="AM197"/>
  <c r="AN197" s="1"/>
  <c r="AM300"/>
  <c r="AN300" s="1"/>
  <c r="AM169"/>
  <c r="AN169" s="1"/>
  <c r="AM1433"/>
  <c r="AN1433" s="1"/>
  <c r="AM338"/>
  <c r="AN338" s="1"/>
  <c r="AM496"/>
  <c r="AN496" s="1"/>
  <c r="AM99"/>
  <c r="AN99" s="1"/>
  <c r="AM366"/>
  <c r="AN366" s="1"/>
  <c r="AM286"/>
  <c r="AN286" s="1"/>
  <c r="AM380"/>
  <c r="AN380" s="1"/>
  <c r="AM1395"/>
  <c r="AN1395" s="1"/>
  <c r="AM339"/>
  <c r="AN339" s="1"/>
  <c r="AM138"/>
  <c r="AN138" s="1"/>
  <c r="AM997"/>
  <c r="AN997" s="1"/>
  <c r="AM284"/>
  <c r="AN284" s="1"/>
  <c r="AM778"/>
  <c r="AN778" s="1"/>
  <c r="AM679"/>
  <c r="AN679" s="1"/>
  <c r="AM79"/>
  <c r="AN79" s="1"/>
  <c r="AM869"/>
  <c r="AN869" s="1"/>
  <c r="AM1429"/>
  <c r="AN1429" s="1"/>
  <c r="AM515"/>
  <c r="AN515" s="1"/>
  <c r="AM58"/>
  <c r="AN58" s="1"/>
  <c r="AM1046"/>
  <c r="AN1046" s="1"/>
  <c r="AM970"/>
  <c r="AN970" s="1"/>
  <c r="AM639"/>
  <c r="AN639" s="1"/>
  <c r="AM632"/>
  <c r="AN632" s="1"/>
  <c r="AM555"/>
  <c r="AN555" s="1"/>
  <c r="AM1397"/>
  <c r="AN1397" s="1"/>
  <c r="AM974"/>
  <c r="AN974" s="1"/>
  <c r="AM554"/>
  <c r="AN554" s="1"/>
  <c r="AM296"/>
  <c r="AN296" s="1"/>
  <c r="AM18"/>
  <c r="AN18" s="1"/>
  <c r="AM619"/>
  <c r="AN619" s="1"/>
  <c r="AM1160"/>
  <c r="AN1160" s="1"/>
  <c r="AM1072"/>
  <c r="AN1072" s="1"/>
  <c r="AM953"/>
  <c r="AN953" s="1"/>
  <c r="AM775"/>
  <c r="AN775" s="1"/>
  <c r="AM967"/>
  <c r="AN967" s="1"/>
  <c r="AM384"/>
  <c r="AN384" s="1"/>
  <c r="AM41"/>
  <c r="AN41" s="1"/>
  <c r="AM937"/>
  <c r="AN937" s="1"/>
  <c r="AM435"/>
  <c r="AN435" s="1"/>
  <c r="AM799"/>
  <c r="AN799" s="1"/>
  <c r="AM235"/>
  <c r="AN235" s="1"/>
  <c r="AM1069"/>
  <c r="AN1069" s="1"/>
  <c r="AM102"/>
  <c r="AN102" s="1"/>
  <c r="AM1306"/>
  <c r="AN1306" s="1"/>
  <c r="AM528"/>
  <c r="AN528" s="1"/>
  <c r="AM111"/>
  <c r="AN111" s="1"/>
  <c r="AM468"/>
  <c r="AN468" s="1"/>
  <c r="AM955"/>
  <c r="AN955" s="1"/>
  <c r="AM611"/>
  <c r="AN611" s="1"/>
  <c r="AM1247"/>
  <c r="AN1247" s="1"/>
  <c r="AM942"/>
  <c r="AN942" s="1"/>
  <c r="AM1382"/>
  <c r="AN1382" s="1"/>
  <c r="AM1322"/>
  <c r="AN1322" s="1"/>
  <c r="AM933"/>
  <c r="AN933" s="1"/>
  <c r="AM1034"/>
  <c r="AN1034" s="1"/>
  <c r="AM858"/>
  <c r="AN858" s="1"/>
  <c r="AM500"/>
  <c r="AN500" s="1"/>
  <c r="AM849"/>
  <c r="AN849" s="1"/>
  <c r="AM1321"/>
  <c r="AN1321" s="1"/>
  <c r="AM637"/>
  <c r="AN637" s="1"/>
  <c r="AM1173"/>
  <c r="AN1173" s="1"/>
  <c r="AM1308"/>
  <c r="AN1308" s="1"/>
  <c r="AM865"/>
  <c r="AN865" s="1"/>
  <c r="AM369"/>
  <c r="AN369" s="1"/>
  <c r="AM650"/>
  <c r="AN650" s="1"/>
  <c r="AM991"/>
  <c r="AN991" s="1"/>
  <c r="AM853"/>
  <c r="AN853" s="1"/>
  <c r="AM653"/>
  <c r="AN653" s="1"/>
  <c r="AM1110"/>
  <c r="AN1110" s="1"/>
  <c r="AM466"/>
  <c r="AN466" s="1"/>
  <c r="AM1007"/>
  <c r="AN1007" s="1"/>
  <c r="AM557"/>
  <c r="AN557" s="1"/>
  <c r="AM9"/>
  <c r="AN9" s="1"/>
  <c r="AM670"/>
  <c r="AN670" s="1"/>
  <c r="AM298"/>
  <c r="AN298" s="1"/>
  <c r="AM655"/>
  <c r="AN655" s="1"/>
  <c r="AM157"/>
  <c r="AN157" s="1"/>
  <c r="AM448"/>
  <c r="AN448" s="1"/>
  <c r="AM907"/>
  <c r="AN907" s="1"/>
  <c r="AM852"/>
  <c r="AN852" s="1"/>
  <c r="AM1380"/>
  <c r="AN1380" s="1"/>
  <c r="AM388"/>
  <c r="AN388" s="1"/>
  <c r="AM453"/>
  <c r="AN453" s="1"/>
  <c r="AM914"/>
  <c r="AN914" s="1"/>
  <c r="AM480"/>
  <c r="AN480" s="1"/>
  <c r="AM1093"/>
  <c r="AN1093" s="1"/>
  <c r="AM389"/>
  <c r="AN389" s="1"/>
  <c r="AM74"/>
  <c r="AN74" s="1"/>
  <c r="AM64"/>
  <c r="AN64" s="1"/>
  <c r="AM224"/>
  <c r="AN224" s="1"/>
  <c r="AM833"/>
  <c r="AN833" s="1"/>
  <c r="AM863"/>
  <c r="AN863" s="1"/>
  <c r="AM973"/>
  <c r="AN973" s="1"/>
  <c r="AM854"/>
  <c r="AN854" s="1"/>
  <c r="AM1162"/>
  <c r="AN1162" s="1"/>
  <c r="AM280"/>
  <c r="AN280" s="1"/>
  <c r="AM521"/>
  <c r="AN521" s="1"/>
  <c r="AM994"/>
  <c r="AN994" s="1"/>
  <c r="AM830"/>
  <c r="AN830" s="1"/>
  <c r="AM78"/>
  <c r="AN78" s="1"/>
  <c r="AM361"/>
  <c r="AN361" s="1"/>
  <c r="AM1296"/>
  <c r="AN1296" s="1"/>
  <c r="AM444"/>
  <c r="AN444" s="1"/>
  <c r="AM819"/>
  <c r="AN819" s="1"/>
  <c r="AM445"/>
  <c r="AN445" s="1"/>
  <c r="AM29"/>
  <c r="AN29" s="1"/>
  <c r="AM912"/>
  <c r="AN912" s="1"/>
  <c r="AM1132"/>
  <c r="AN1132" s="1"/>
  <c r="AM498"/>
  <c r="AN498" s="1"/>
  <c r="AM644"/>
  <c r="AN644" s="1"/>
  <c r="AM304"/>
  <c r="AN304" s="1"/>
  <c r="AM430"/>
  <c r="AN430" s="1"/>
  <c r="AM423"/>
  <c r="AN423" s="1"/>
  <c r="AM153"/>
  <c r="AN153" s="1"/>
  <c r="AM308"/>
  <c r="AN308" s="1"/>
  <c r="AM105"/>
  <c r="AN105" s="1"/>
  <c r="AM537"/>
  <c r="AN537" s="1"/>
  <c r="AM1136"/>
  <c r="AN1136" s="1"/>
  <c r="AM1274"/>
  <c r="AN1274" s="1"/>
  <c r="AM676"/>
  <c r="AN676" s="1"/>
  <c r="AM441"/>
  <c r="AN441" s="1"/>
  <c r="AM868"/>
  <c r="AN868" s="1"/>
  <c r="AM857"/>
  <c r="AN857" s="1"/>
  <c r="AM870"/>
  <c r="AN870" s="1"/>
  <c r="AM645"/>
  <c r="AN645" s="1"/>
  <c r="AM274"/>
  <c r="AN274" s="1"/>
  <c r="AM452"/>
  <c r="AN452" s="1"/>
  <c r="AM28"/>
  <c r="AN28" s="1"/>
  <c r="AM1024"/>
  <c r="AN1024" s="1"/>
  <c r="AM317"/>
  <c r="AN317" s="1"/>
  <c r="AM608"/>
  <c r="AN608" s="1"/>
  <c r="AM930"/>
  <c r="AN930" s="1"/>
  <c r="AM176"/>
  <c r="AN176" s="1"/>
  <c r="AM1031"/>
  <c r="AN1031" s="1"/>
  <c r="AM855"/>
  <c r="AN855" s="1"/>
  <c r="AM456"/>
  <c r="AN456" s="1"/>
  <c r="AM836"/>
  <c r="AN836" s="1"/>
  <c r="AM76"/>
  <c r="AN76" s="1"/>
  <c r="AM1011"/>
  <c r="AN1011" s="1"/>
  <c r="AM687"/>
  <c r="AN687" s="1"/>
  <c r="AM222"/>
  <c r="AN222" s="1"/>
  <c r="AM766"/>
  <c r="AN766" s="1"/>
  <c r="AM1202"/>
  <c r="AN1202" s="1"/>
  <c r="AM623"/>
  <c r="AN623" s="1"/>
  <c r="AM1006"/>
  <c r="AN1006" s="1"/>
  <c r="AM727"/>
  <c r="AN727" s="1"/>
  <c r="AM1164"/>
  <c r="AN1164" s="1"/>
  <c r="AM749"/>
  <c r="AN749" s="1"/>
  <c r="AM471"/>
  <c r="AN471" s="1"/>
  <c r="AM1155"/>
  <c r="AN1155" s="1"/>
  <c r="AM987"/>
  <c r="AN987" s="1"/>
  <c r="AM1316"/>
  <c r="AN1316" s="1"/>
  <c r="AM467"/>
  <c r="AN467" s="1"/>
  <c r="AM446"/>
  <c r="AN446" s="1"/>
  <c r="AM903"/>
  <c r="AN903" s="1"/>
  <c r="AM1009"/>
  <c r="AN1009" s="1"/>
  <c r="AM63"/>
  <c r="AN63" s="1"/>
  <c r="AM1159"/>
  <c r="AN1159" s="1"/>
  <c r="AM1111"/>
  <c r="AN1111" s="1"/>
  <c r="AM1385"/>
  <c r="AN1385" s="1"/>
  <c r="AM764"/>
  <c r="AN764" s="1"/>
  <c r="AM223"/>
  <c r="AN223" s="1"/>
  <c r="AM890"/>
  <c r="AN890" s="1"/>
  <c r="AM109"/>
  <c r="AN109" s="1"/>
  <c r="AM1375"/>
  <c r="AN1375" s="1"/>
  <c r="AM595"/>
  <c r="AN595" s="1"/>
  <c r="AM385"/>
  <c r="AN385" s="1"/>
  <c r="AM720"/>
  <c r="AN720" s="1"/>
  <c r="AM911"/>
  <c r="AN911" s="1"/>
  <c r="AM68"/>
  <c r="AN68" s="1"/>
  <c r="AM283"/>
  <c r="AN283" s="1"/>
  <c r="AM1035"/>
  <c r="AN1035" s="1"/>
  <c r="AM750"/>
  <c r="AN750" s="1"/>
  <c r="AM902"/>
  <c r="AN902" s="1"/>
  <c r="AM591"/>
  <c r="AN591" s="1"/>
  <c r="AM671"/>
  <c r="AN671" s="1"/>
  <c r="AM534"/>
  <c r="AN534" s="1"/>
  <c r="AM20"/>
  <c r="AN20" s="1"/>
  <c r="AM1020"/>
  <c r="AN1020" s="1"/>
  <c r="AM1124"/>
  <c r="AN1124" s="1"/>
  <c r="AM1374"/>
  <c r="AN1374" s="1"/>
  <c r="AM787"/>
  <c r="AN787" s="1"/>
  <c r="AM490"/>
  <c r="AN490" s="1"/>
  <c r="AM248"/>
  <c r="AN248" s="1"/>
  <c r="AM278"/>
  <c r="AN278" s="1"/>
  <c r="AM427"/>
  <c r="AN427" s="1"/>
  <c r="AM891"/>
  <c r="AN891" s="1"/>
  <c r="AM966"/>
  <c r="AN966" s="1"/>
  <c r="AM1399"/>
  <c r="AN1399" s="1"/>
  <c r="AM1423"/>
  <c r="AN1423" s="1"/>
  <c r="AM1246"/>
  <c r="AN1246" s="1"/>
  <c r="AM364"/>
  <c r="AN364" s="1"/>
  <c r="AM356"/>
  <c r="AN356" s="1"/>
  <c r="AM1036"/>
  <c r="AN1036" s="1"/>
  <c r="AM311"/>
  <c r="AN311" s="1"/>
  <c r="AM765"/>
  <c r="AN765" s="1"/>
  <c r="AM798"/>
  <c r="AN798" s="1"/>
  <c r="AM1363"/>
  <c r="AN1363" s="1"/>
  <c r="AM915"/>
  <c r="AN915" s="1"/>
  <c r="AM499"/>
  <c r="AN499" s="1"/>
  <c r="AM747"/>
  <c r="AN747" s="1"/>
  <c r="AM449"/>
  <c r="AN449" s="1"/>
  <c r="AM401"/>
  <c r="AN401" s="1"/>
  <c r="AM1410"/>
  <c r="AN1410" s="1"/>
  <c r="AM848"/>
  <c r="AN848" s="1"/>
  <c r="AM875"/>
  <c r="AN875" s="1"/>
  <c r="AM22"/>
  <c r="AN22" s="1"/>
  <c r="AM340"/>
  <c r="AN340" s="1"/>
  <c r="AM752"/>
  <c r="AN752" s="1"/>
  <c r="AM1419"/>
  <c r="AN1419" s="1"/>
  <c r="AM177"/>
  <c r="AN177" s="1"/>
  <c r="AM396"/>
  <c r="AN396" s="1"/>
  <c r="AM1029"/>
  <c r="AN1029" s="1"/>
  <c r="AM960"/>
  <c r="AN960" s="1"/>
  <c r="AM167"/>
  <c r="AN167" s="1"/>
  <c r="AM839"/>
  <c r="AN839" s="1"/>
  <c r="AM631"/>
  <c r="AN631" s="1"/>
  <c r="AM1310"/>
  <c r="AN1310" s="1"/>
  <c r="AM1065"/>
  <c r="AN1065" s="1"/>
  <c r="AM674"/>
  <c r="AN674" s="1"/>
  <c r="AM647"/>
  <c r="AN647" s="1"/>
  <c r="AM1409"/>
  <c r="AN1409" s="1"/>
  <c r="AM535"/>
  <c r="AN535" s="1"/>
  <c r="AM1239"/>
  <c r="AN1239" s="1"/>
  <c r="AM560"/>
  <c r="AN560" s="1"/>
  <c r="AM673"/>
  <c r="AN673" s="1"/>
  <c r="AM1115"/>
  <c r="AN1115" s="1"/>
  <c r="AM510"/>
  <c r="AN510" s="1"/>
  <c r="AM56"/>
  <c r="AN56" s="1"/>
  <c r="AM393"/>
  <c r="AN393" s="1"/>
  <c r="AM231"/>
  <c r="AN231" s="1"/>
  <c r="AM32"/>
  <c r="AN32" s="1"/>
  <c r="AM654"/>
  <c r="AN654" s="1"/>
  <c r="AM556"/>
  <c r="AN556" s="1"/>
  <c r="AM638"/>
  <c r="AN638" s="1"/>
  <c r="AM1279"/>
  <c r="AN1279" s="1"/>
  <c r="AM429"/>
  <c r="AN429" s="1"/>
  <c r="AM701"/>
  <c r="AN701" s="1"/>
  <c r="AM1301"/>
  <c r="AN1301" s="1"/>
  <c r="AM342"/>
  <c r="AN342" s="1"/>
  <c r="AM1315"/>
  <c r="AN1315" s="1"/>
  <c r="AM906"/>
  <c r="AN906" s="1"/>
  <c r="AM322"/>
  <c r="AN322" s="1"/>
  <c r="AM343"/>
  <c r="AN343" s="1"/>
  <c r="AM1273"/>
  <c r="AN1273" s="1"/>
  <c r="AM1166"/>
  <c r="AN1166" s="1"/>
  <c r="AM925"/>
  <c r="AN925" s="1"/>
  <c r="AM996"/>
  <c r="AN996" s="1"/>
  <c r="AM931"/>
  <c r="AN931" s="1"/>
  <c r="AM108"/>
  <c r="AN108" s="1"/>
  <c r="AM89"/>
  <c r="AN89" s="1"/>
  <c r="AM1422"/>
  <c r="AN1422" s="1"/>
  <c r="AM413"/>
  <c r="AN413" s="1"/>
  <c r="AM271"/>
  <c r="AN271" s="1"/>
  <c r="AM867"/>
  <c r="AN867" s="1"/>
  <c r="AM1080"/>
  <c r="AN1080" s="1"/>
  <c r="AM437"/>
  <c r="AN437" s="1"/>
  <c r="AM27"/>
  <c r="AN27" s="1"/>
  <c r="AM302"/>
  <c r="AN302" s="1"/>
  <c r="AM812"/>
  <c r="AN812" s="1"/>
  <c r="AM724"/>
  <c r="AN724" s="1"/>
  <c r="AM409"/>
  <c r="AN409" s="1"/>
  <c r="AM771"/>
  <c r="AN771" s="1"/>
  <c r="AM913"/>
  <c r="AN913" s="1"/>
  <c r="AM1137"/>
  <c r="AN1137" s="1"/>
  <c r="AM1074"/>
  <c r="AN1074" s="1"/>
  <c r="AM106"/>
  <c r="AN106" s="1"/>
  <c r="AM447"/>
  <c r="AN447" s="1"/>
  <c r="AM174"/>
  <c r="AN174" s="1"/>
  <c r="AM187"/>
  <c r="AN187" s="1"/>
  <c r="AM689"/>
  <c r="AN689" s="1"/>
  <c r="AM824"/>
  <c r="AN824" s="1"/>
  <c r="AM582"/>
  <c r="AN582" s="1"/>
  <c r="AM892"/>
  <c r="AN892" s="1"/>
  <c r="AM1156"/>
  <c r="AN1156" s="1"/>
  <c r="AM16"/>
  <c r="AN16" s="1"/>
  <c r="AM1123"/>
  <c r="AN1123" s="1"/>
  <c r="AM316"/>
  <c r="AN316" s="1"/>
  <c r="AM1323"/>
  <c r="AN1323" s="1"/>
  <c r="AM464"/>
  <c r="AN464" s="1"/>
  <c r="AM1170"/>
  <c r="AN1170" s="1"/>
  <c r="AM695"/>
  <c r="AN695" s="1"/>
  <c r="AM520"/>
  <c r="AN520" s="1"/>
  <c r="AM155"/>
  <c r="AN155" s="1"/>
  <c r="AM422"/>
  <c r="AN422" s="1"/>
  <c r="AM347"/>
  <c r="AN347" s="1"/>
  <c r="AM1388"/>
  <c r="AN1388" s="1"/>
  <c r="AM1282"/>
  <c r="AN1282" s="1"/>
  <c r="AM14"/>
  <c r="AN14" s="1"/>
  <c r="AM229"/>
  <c r="AN229" s="1"/>
  <c r="AM439"/>
  <c r="AN439" s="1"/>
  <c r="AM948"/>
  <c r="AN948" s="1"/>
  <c r="AM1302"/>
  <c r="AN1302" s="1"/>
  <c r="AM708"/>
  <c r="AN708" s="1"/>
  <c r="AM697"/>
  <c r="AN697" s="1"/>
  <c r="AM306"/>
  <c r="AN306" s="1"/>
  <c r="AM363"/>
  <c r="AN363" s="1"/>
  <c r="AM164"/>
  <c r="AN164" s="1"/>
  <c r="AM1356"/>
  <c r="AN1356" s="1"/>
  <c r="AM353"/>
  <c r="AN353" s="1"/>
  <c r="AM150"/>
  <c r="AN150" s="1"/>
  <c r="AM1430"/>
  <c r="AN1430" s="1"/>
  <c r="AM1263"/>
  <c r="AN1263" s="1"/>
  <c r="AM502"/>
  <c r="AN502" s="1"/>
  <c r="AM564"/>
  <c r="AN564" s="1"/>
  <c r="AM166"/>
  <c r="AN166" s="1"/>
  <c r="AM1307"/>
  <c r="AN1307" s="1"/>
  <c r="AM1120"/>
  <c r="AN1120" s="1"/>
  <c r="AM792"/>
  <c r="AN792" s="1"/>
  <c r="AM270"/>
  <c r="AN270" s="1"/>
  <c r="AM440"/>
  <c r="AN440" s="1"/>
  <c r="AM1428"/>
  <c r="AN1428" s="1"/>
  <c r="AM434"/>
  <c r="AN434" s="1"/>
  <c r="AM142"/>
  <c r="AN142" s="1"/>
  <c r="AM204"/>
  <c r="AN204" s="1"/>
  <c r="AM1367"/>
  <c r="AN1367" s="1"/>
  <c r="AM661"/>
  <c r="AN661" s="1"/>
  <c r="AM81"/>
  <c r="AN81" s="1"/>
  <c r="AM181"/>
  <c r="AN181" s="1"/>
  <c r="AM763"/>
  <c r="AN763" s="1"/>
  <c r="AM34"/>
  <c r="AN34" s="1"/>
  <c r="AM698"/>
  <c r="AN698" s="1"/>
  <c r="AM1067"/>
  <c r="AN1067" s="1"/>
  <c r="AM183"/>
  <c r="AN183" s="1"/>
  <c r="AM1354"/>
  <c r="AN1354" s="1"/>
  <c r="AM1288"/>
  <c r="AN1288" s="1"/>
  <c r="AM390"/>
  <c r="AN390" s="1"/>
  <c r="AM1407"/>
  <c r="AN1407" s="1"/>
  <c r="AM494"/>
  <c r="AN494" s="1"/>
  <c r="AM575"/>
  <c r="AN575" s="1"/>
  <c r="AM722"/>
  <c r="AN722" s="1"/>
  <c r="AM407"/>
  <c r="AN407" s="1"/>
  <c r="AM816"/>
  <c r="AN816" s="1"/>
  <c r="AM1041"/>
  <c r="AN1041" s="1"/>
  <c r="AM507"/>
  <c r="AN507" s="1"/>
  <c r="AM98"/>
  <c r="AN98" s="1"/>
  <c r="AM1057"/>
  <c r="AN1057" s="1"/>
  <c r="AM919"/>
  <c r="AN919" s="1"/>
  <c r="AM1043"/>
  <c r="AN1043" s="1"/>
  <c r="AM558"/>
  <c r="AN558" s="1"/>
  <c r="AM1426"/>
  <c r="AN1426" s="1"/>
  <c r="AM173"/>
  <c r="AN173" s="1"/>
  <c r="AM589"/>
  <c r="AN589" s="1"/>
  <c r="AM368"/>
  <c r="AN368" s="1"/>
  <c r="AM418"/>
  <c r="AN418" s="1"/>
  <c r="AM209"/>
  <c r="AN209" s="1"/>
  <c r="AM348"/>
  <c r="AN348" s="1"/>
  <c r="AM382"/>
  <c r="AN382" s="1"/>
  <c r="AM950"/>
  <c r="AN950" s="1"/>
  <c r="AM1003"/>
  <c r="AN1003" s="1"/>
  <c r="B7" i="51"/>
  <c r="B8"/>
  <c r="B9"/>
  <c r="B10"/>
  <c r="B11"/>
  <c r="B12"/>
  <c r="B13"/>
  <c r="B14"/>
  <c r="B15"/>
  <c r="B16"/>
  <c r="B17"/>
  <c r="B18"/>
  <c r="B19"/>
  <c r="B2"/>
  <c r="B4"/>
  <c r="B3"/>
  <c r="B5"/>
  <c r="B6"/>
  <c r="C1342" i="5" l="1"/>
  <c r="B1345"/>
  <c r="C1252"/>
  <c r="B1253"/>
  <c r="C818"/>
  <c r="B1085"/>
  <c r="C334"/>
  <c r="C104"/>
  <c r="B144"/>
  <c r="C1404"/>
  <c r="C965"/>
  <c r="B962"/>
  <c r="B262"/>
  <c r="B1342"/>
  <c r="C1347"/>
  <c r="B1252"/>
  <c r="C1255"/>
  <c r="B818"/>
  <c r="C817"/>
  <c r="B334"/>
  <c r="C152"/>
  <c r="B104"/>
  <c r="B143"/>
  <c r="B1404"/>
  <c r="C145"/>
  <c r="C964"/>
  <c r="C746"/>
  <c r="C2"/>
  <c r="C217"/>
  <c r="C219"/>
  <c r="B216"/>
  <c r="C216"/>
  <c r="C257"/>
  <c r="C259"/>
  <c r="B260"/>
  <c r="B1348"/>
  <c r="B251"/>
  <c r="C1344"/>
  <c r="B1347"/>
  <c r="B1255"/>
  <c r="C505"/>
  <c r="C332"/>
  <c r="B817"/>
  <c r="B152"/>
  <c r="C287"/>
  <c r="B1401"/>
  <c r="C1400"/>
  <c r="B145"/>
  <c r="B1113"/>
  <c r="C745"/>
  <c r="B746"/>
  <c r="C732"/>
  <c r="C922"/>
  <c r="C264"/>
  <c r="C218"/>
  <c r="C421"/>
  <c r="B215"/>
  <c r="C215"/>
  <c r="C256"/>
  <c r="C258"/>
  <c r="C261"/>
  <c r="B264"/>
  <c r="B420"/>
  <c r="B1339"/>
  <c r="B1171"/>
  <c r="C1085"/>
  <c r="C1401"/>
  <c r="C252"/>
  <c r="C1341"/>
  <c r="B1344"/>
  <c r="C1349"/>
  <c r="C657"/>
  <c r="B505"/>
  <c r="B332"/>
  <c r="C333"/>
  <c r="B287"/>
  <c r="B1400"/>
  <c r="B965"/>
  <c r="B745"/>
  <c r="B2"/>
  <c r="B922"/>
  <c r="C263"/>
  <c r="B219"/>
  <c r="B421"/>
  <c r="B214"/>
  <c r="C214"/>
  <c r="C255"/>
  <c r="B259"/>
  <c r="B261"/>
  <c r="C1340"/>
  <c r="B1343"/>
  <c r="C1171"/>
  <c r="C1086"/>
  <c r="B1403"/>
  <c r="B963"/>
  <c r="B255"/>
  <c r="C251"/>
  <c r="B1341"/>
  <c r="C1346"/>
  <c r="B1349"/>
  <c r="C1254"/>
  <c r="B657"/>
  <c r="C504"/>
  <c r="B333"/>
  <c r="C506"/>
  <c r="B964"/>
  <c r="B732"/>
  <c r="C262"/>
  <c r="B218"/>
  <c r="B213"/>
  <c r="C213"/>
  <c r="C254"/>
  <c r="B258"/>
  <c r="B331"/>
  <c r="C962"/>
  <c r="C112"/>
  <c r="C1253"/>
  <c r="B1086"/>
  <c r="C1113"/>
  <c r="B252"/>
  <c r="C113"/>
  <c r="B112"/>
  <c r="B113"/>
  <c r="C1343"/>
  <c r="B1346"/>
  <c r="B1254"/>
  <c r="C656"/>
  <c r="B504"/>
  <c r="C331"/>
  <c r="B506"/>
  <c r="C309"/>
  <c r="C144"/>
  <c r="C1403"/>
  <c r="C963"/>
  <c r="C3"/>
  <c r="B217"/>
  <c r="C420"/>
  <c r="B212"/>
  <c r="C212"/>
  <c r="B257"/>
  <c r="C260"/>
  <c r="C1339"/>
  <c r="C1348"/>
  <c r="B656"/>
  <c r="B309"/>
  <c r="C143"/>
  <c r="C1221"/>
  <c r="C699"/>
  <c r="B3"/>
  <c r="B253"/>
  <c r="C253"/>
  <c r="B256"/>
  <c r="B1340"/>
  <c r="C1345"/>
  <c r="B1221"/>
  <c r="B699"/>
  <c r="B263"/>
  <c r="B254"/>
  <c r="AM462"/>
  <c r="AN462" s="1"/>
  <c r="AM1068"/>
  <c r="AN1068" s="1"/>
  <c r="AM31"/>
  <c r="AN31" s="1"/>
  <c r="AM837"/>
  <c r="AN837" s="1"/>
  <c r="AM640"/>
  <c r="AN640" s="1"/>
  <c r="AM323"/>
  <c r="AN323" s="1"/>
  <c r="AM1082"/>
  <c r="AN1082" s="1"/>
  <c r="AM968"/>
  <c r="AN968" s="1"/>
  <c r="AM87"/>
  <c r="AN87" s="1"/>
  <c r="AM624"/>
  <c r="AN624" s="1"/>
  <c r="AM329"/>
  <c r="AN329" s="1"/>
  <c r="AM206"/>
  <c r="AN206" s="1"/>
  <c r="AM324"/>
  <c r="AN324" s="1"/>
  <c r="AM1195"/>
  <c r="AN1195" s="1"/>
  <c r="AM1107"/>
  <c r="AN1107" s="1"/>
  <c r="AM808"/>
  <c r="AN808" s="1"/>
  <c r="AM780"/>
  <c r="AN780" s="1"/>
  <c r="B668"/>
  <c r="C668"/>
  <c r="B802"/>
  <c r="C802"/>
  <c r="C450"/>
  <c r="C98"/>
  <c r="B607"/>
  <c r="C1304"/>
  <c r="B662"/>
  <c r="C662"/>
  <c r="B636"/>
  <c r="C636"/>
  <c r="C149"/>
  <c r="B98"/>
  <c r="B1064"/>
  <c r="C1064"/>
  <c r="C607"/>
  <c r="C486"/>
  <c r="B1092"/>
  <c r="B1063"/>
  <c r="C1063"/>
  <c r="B606"/>
  <c r="C606"/>
  <c r="C1092"/>
  <c r="B486"/>
  <c r="B1011"/>
  <c r="C1011"/>
  <c r="B771"/>
  <c r="C771"/>
  <c r="B450"/>
  <c r="C485"/>
  <c r="C204"/>
  <c r="B1164"/>
  <c r="B149"/>
  <c r="B204"/>
  <c r="C1164"/>
  <c r="C484"/>
  <c r="B203"/>
  <c r="C203"/>
  <c r="B1163"/>
  <c r="C1163"/>
  <c r="B1304"/>
  <c r="B485"/>
  <c r="B1210"/>
  <c r="C1210"/>
  <c r="B180"/>
  <c r="C180"/>
  <c r="B484"/>
  <c r="B904"/>
  <c r="B931"/>
  <c r="B932"/>
  <c r="C363"/>
  <c r="B706"/>
  <c r="B1288"/>
  <c r="B987"/>
  <c r="B404"/>
  <c r="C1426"/>
  <c r="C648"/>
  <c r="B170"/>
  <c r="C700"/>
  <c r="C156"/>
  <c r="B31"/>
  <c r="B790"/>
  <c r="B789"/>
  <c r="B836"/>
  <c r="B1306"/>
  <c r="B782"/>
  <c r="C649"/>
  <c r="C359"/>
  <c r="C867"/>
  <c r="B1236"/>
  <c r="C866"/>
  <c r="B1075"/>
  <c r="C59"/>
  <c r="B1031"/>
  <c r="C231"/>
  <c r="B1030"/>
  <c r="C1151"/>
  <c r="B625"/>
  <c r="C1220"/>
  <c r="B599"/>
  <c r="C224"/>
  <c r="C362"/>
  <c r="B876"/>
  <c r="B868"/>
  <c r="B851"/>
  <c r="C236"/>
  <c r="C865"/>
  <c r="C861"/>
  <c r="C588"/>
  <c r="B871"/>
  <c r="B1010"/>
  <c r="C1035"/>
  <c r="B870"/>
  <c r="B1257"/>
  <c r="C307"/>
  <c r="B267"/>
  <c r="B897"/>
  <c r="C936"/>
  <c r="B239"/>
  <c r="B941"/>
  <c r="C1169"/>
  <c r="B381"/>
  <c r="B940"/>
  <c r="C265"/>
  <c r="B711"/>
  <c r="B939"/>
  <c r="C1126"/>
  <c r="B929"/>
  <c r="B749"/>
  <c r="C221"/>
  <c r="B1074"/>
  <c r="B691"/>
  <c r="C1332"/>
  <c r="B875"/>
  <c r="C272"/>
  <c r="B783"/>
  <c r="B642"/>
  <c r="B690"/>
  <c r="C738"/>
  <c r="B959"/>
  <c r="B742"/>
  <c r="B645"/>
  <c r="B1038"/>
  <c r="B894"/>
  <c r="B69"/>
  <c r="B293"/>
  <c r="C591"/>
  <c r="B562"/>
  <c r="C342"/>
  <c r="B797"/>
  <c r="C1269"/>
  <c r="B519"/>
  <c r="B1374"/>
  <c r="C593"/>
  <c r="B397"/>
  <c r="B1103"/>
  <c r="B292"/>
  <c r="B652"/>
  <c r="B1287"/>
  <c r="B1136"/>
  <c r="B96"/>
  <c r="C859"/>
  <c r="C440"/>
  <c r="B501"/>
  <c r="B908"/>
  <c r="C585"/>
  <c r="B1079"/>
  <c r="B1385"/>
  <c r="B139"/>
  <c r="C579"/>
  <c r="B498"/>
  <c r="B938"/>
  <c r="B428"/>
  <c r="B557"/>
  <c r="B87"/>
  <c r="C920"/>
  <c r="C748"/>
  <c r="B326"/>
  <c r="B1294"/>
  <c r="B781"/>
  <c r="B300"/>
  <c r="B341"/>
  <c r="C490"/>
  <c r="C973"/>
  <c r="B325"/>
  <c r="B937"/>
  <c r="B536"/>
  <c r="B471"/>
  <c r="B228"/>
  <c r="C547"/>
  <c r="C290"/>
  <c r="B809"/>
  <c r="B1395"/>
  <c r="B238"/>
  <c r="B299"/>
  <c r="B1057"/>
  <c r="C1387"/>
  <c r="C1014"/>
  <c r="B649"/>
  <c r="B832"/>
  <c r="B246"/>
  <c r="B670"/>
  <c r="B1056"/>
  <c r="C391"/>
  <c r="C45"/>
  <c r="B648"/>
  <c r="B1174"/>
  <c r="B352"/>
  <c r="B442"/>
  <c r="B1055"/>
  <c r="C103"/>
  <c r="C1073"/>
  <c r="B587"/>
  <c r="B514"/>
  <c r="B1112"/>
  <c r="C516"/>
  <c r="C1363"/>
  <c r="B828"/>
  <c r="B1409"/>
  <c r="B1069"/>
  <c r="C546"/>
  <c r="C17"/>
  <c r="B1387"/>
  <c r="B1408"/>
  <c r="B425"/>
  <c r="C1162"/>
  <c r="C472"/>
  <c r="B840"/>
  <c r="B1084"/>
  <c r="B280"/>
  <c r="C202"/>
  <c r="B1019"/>
  <c r="B558"/>
  <c r="C968"/>
  <c r="B172"/>
  <c r="B395"/>
  <c r="C983"/>
  <c r="C1351"/>
  <c r="B1319"/>
  <c r="B692"/>
  <c r="B660"/>
  <c r="C982"/>
  <c r="B1278"/>
  <c r="B1141"/>
  <c r="C601"/>
  <c r="C858"/>
  <c r="B1320"/>
  <c r="C1362"/>
  <c r="B1332"/>
  <c r="C429"/>
  <c r="B710"/>
  <c r="B988"/>
  <c r="B15"/>
  <c r="C1103"/>
  <c r="C1277"/>
  <c r="C628"/>
  <c r="B286"/>
  <c r="B762"/>
  <c r="B60"/>
  <c r="B665"/>
  <c r="C358"/>
  <c r="C10"/>
  <c r="C240"/>
  <c r="B446"/>
  <c r="B787"/>
  <c r="B816"/>
  <c r="B508"/>
  <c r="C808"/>
  <c r="C1263"/>
  <c r="C1089"/>
  <c r="B833"/>
  <c r="B1116"/>
  <c r="B760"/>
  <c r="B202"/>
  <c r="C807"/>
  <c r="C1262"/>
  <c r="B1378"/>
  <c r="B206"/>
  <c r="C1124"/>
  <c r="B315"/>
  <c r="C44"/>
  <c r="B949"/>
  <c r="B613"/>
  <c r="B640"/>
  <c r="C1146"/>
  <c r="B1377"/>
  <c r="B305"/>
  <c r="C1374"/>
  <c r="B434"/>
  <c r="B647"/>
  <c r="B864"/>
  <c r="B455"/>
  <c r="B391"/>
  <c r="B1360"/>
  <c r="B308"/>
  <c r="B1114"/>
  <c r="B35"/>
  <c r="B1238"/>
  <c r="B1142"/>
  <c r="B1051"/>
  <c r="B1265"/>
  <c r="C778"/>
  <c r="C239"/>
  <c r="C971"/>
  <c r="C266"/>
  <c r="C786"/>
  <c r="C1381"/>
  <c r="C610"/>
  <c r="C509"/>
  <c r="B1428"/>
  <c r="B389"/>
  <c r="B646"/>
  <c r="B863"/>
  <c r="B162"/>
  <c r="B731"/>
  <c r="B151"/>
  <c r="B1249"/>
  <c r="B1202"/>
  <c r="B1296"/>
  <c r="B1322"/>
  <c r="B1237"/>
  <c r="B611"/>
  <c r="B738"/>
  <c r="B1285"/>
  <c r="C23"/>
  <c r="C840"/>
  <c r="C1320"/>
  <c r="C1318"/>
  <c r="C458"/>
  <c r="C1129"/>
  <c r="C620"/>
  <c r="C336"/>
  <c r="B774"/>
  <c r="B1123"/>
  <c r="B495"/>
  <c r="B860"/>
  <c r="B819"/>
  <c r="B390"/>
  <c r="B612"/>
  <c r="B1248"/>
  <c r="B190"/>
  <c r="B475"/>
  <c r="B1321"/>
  <c r="B576"/>
  <c r="B1088"/>
  <c r="B1368"/>
  <c r="B1284"/>
  <c r="C22"/>
  <c r="C1018"/>
  <c r="C1280"/>
  <c r="C1102"/>
  <c r="C1022"/>
  <c r="C900"/>
  <c r="C728"/>
  <c r="C664"/>
  <c r="B1433"/>
  <c r="B617"/>
  <c r="B111"/>
  <c r="B160"/>
  <c r="B968"/>
  <c r="B906"/>
  <c r="B103"/>
  <c r="B708"/>
  <c r="B568"/>
  <c r="B1334"/>
  <c r="B513"/>
  <c r="B903"/>
  <c r="B575"/>
  <c r="B898"/>
  <c r="B78"/>
  <c r="B1398"/>
  <c r="C895"/>
  <c r="C163"/>
  <c r="C1279"/>
  <c r="C1098"/>
  <c r="C1432"/>
  <c r="C1136"/>
  <c r="C572"/>
  <c r="C335"/>
  <c r="C96"/>
  <c r="C480"/>
  <c r="C1054"/>
  <c r="C105"/>
  <c r="C90"/>
  <c r="C725"/>
  <c r="C493"/>
  <c r="C897"/>
  <c r="C850"/>
  <c r="C80"/>
  <c r="C820"/>
  <c r="C621"/>
  <c r="C952"/>
  <c r="C574"/>
  <c r="C739"/>
  <c r="C52"/>
  <c r="C451"/>
  <c r="C35"/>
  <c r="C1366"/>
  <c r="C378"/>
  <c r="C1115"/>
  <c r="C352"/>
  <c r="C419"/>
  <c r="C238"/>
  <c r="C1116"/>
  <c r="C1172"/>
  <c r="C586"/>
  <c r="C40"/>
  <c r="C1040"/>
  <c r="C642"/>
  <c r="C989"/>
  <c r="C856"/>
  <c r="C457"/>
  <c r="C1025"/>
  <c r="C1293"/>
  <c r="C841"/>
  <c r="C860"/>
  <c r="C791"/>
  <c r="C158"/>
  <c r="C325"/>
  <c r="C1121"/>
  <c r="C599"/>
  <c r="C47"/>
  <c r="B1012"/>
  <c r="B423"/>
  <c r="C278"/>
  <c r="C241"/>
  <c r="C56"/>
  <c r="C658"/>
  <c r="C106"/>
  <c r="C783"/>
  <c r="C727"/>
  <c r="C1241"/>
  <c r="C15"/>
  <c r="C444"/>
  <c r="C1369"/>
  <c r="C88"/>
  <c r="C49"/>
  <c r="C576"/>
  <c r="C946"/>
  <c r="C1382"/>
  <c r="C483"/>
  <c r="C698"/>
  <c r="C1298"/>
  <c r="C1155"/>
  <c r="C459"/>
  <c r="C515"/>
  <c r="C148"/>
  <c r="C1354"/>
  <c r="C762"/>
  <c r="C74"/>
  <c r="C1036"/>
  <c r="C1108"/>
  <c r="C1157"/>
  <c r="C519"/>
  <c r="C977"/>
  <c r="C390"/>
  <c r="C823"/>
  <c r="C1042"/>
  <c r="C1294"/>
  <c r="C843"/>
  <c r="C862"/>
  <c r="C1093"/>
  <c r="C160"/>
  <c r="C498"/>
  <c r="C433"/>
  <c r="C625"/>
  <c r="C48"/>
  <c r="B1066"/>
  <c r="C176"/>
  <c r="C344"/>
  <c r="C16"/>
  <c r="C659"/>
  <c r="C1152"/>
  <c r="C595"/>
  <c r="C1008"/>
  <c r="C924"/>
  <c r="C911"/>
  <c r="C1135"/>
  <c r="C1046"/>
  <c r="C550"/>
  <c r="C479"/>
  <c r="C953"/>
  <c r="C554"/>
  <c r="C947"/>
  <c r="C956"/>
  <c r="C948"/>
  <c r="C452"/>
  <c r="C1156"/>
  <c r="C1302"/>
  <c r="C347"/>
  <c r="C169"/>
  <c r="C1355"/>
  <c r="C1101"/>
  <c r="C736"/>
  <c r="C589"/>
  <c r="C1109"/>
  <c r="C684"/>
  <c r="C797"/>
  <c r="C978"/>
  <c r="C730"/>
  <c r="C919"/>
  <c r="C852"/>
  <c r="C1068"/>
  <c r="C996"/>
  <c r="C863"/>
  <c r="C1307"/>
  <c r="C161"/>
  <c r="C499"/>
  <c r="C521"/>
  <c r="C1030"/>
  <c r="C1394"/>
  <c r="B279"/>
  <c r="C177"/>
  <c r="C667"/>
  <c r="C1134"/>
  <c r="C19"/>
  <c r="C1153"/>
  <c r="C596"/>
  <c r="C1270"/>
  <c r="C925"/>
  <c r="C912"/>
  <c r="C282"/>
  <c r="C478"/>
  <c r="C205"/>
  <c r="C1001"/>
  <c r="C1137"/>
  <c r="C901"/>
  <c r="C927"/>
  <c r="C53"/>
  <c r="C902"/>
  <c r="C488"/>
  <c r="C721"/>
  <c r="C1194"/>
  <c r="C1303"/>
  <c r="C191"/>
  <c r="C1370"/>
  <c r="C1356"/>
  <c r="C476"/>
  <c r="C958"/>
  <c r="C559"/>
  <c r="C1110"/>
  <c r="C707"/>
  <c r="C1041"/>
  <c r="C21"/>
  <c r="C731"/>
  <c r="C832"/>
  <c r="C845"/>
  <c r="C1295"/>
  <c r="C84"/>
  <c r="C864"/>
  <c r="C549"/>
  <c r="C321"/>
  <c r="C650"/>
  <c r="C522"/>
  <c r="C1031"/>
  <c r="B86"/>
  <c r="B349"/>
  <c r="B1205"/>
  <c r="B509"/>
  <c r="B1375"/>
  <c r="B93"/>
  <c r="B272"/>
  <c r="B751"/>
  <c r="B503"/>
  <c r="B402"/>
  <c r="B641"/>
  <c r="B518"/>
  <c r="B985"/>
  <c r="B82"/>
  <c r="B761"/>
  <c r="B773"/>
  <c r="B487"/>
  <c r="B585"/>
  <c r="B765"/>
  <c r="B986"/>
  <c r="B623"/>
  <c r="B168"/>
  <c r="B1416"/>
  <c r="B207"/>
  <c r="B538"/>
  <c r="B767"/>
  <c r="B307"/>
  <c r="B29"/>
  <c r="B683"/>
  <c r="B1159"/>
  <c r="B847"/>
  <c r="B516"/>
  <c r="B991"/>
  <c r="B1161"/>
  <c r="C339"/>
  <c r="C531"/>
  <c r="C772"/>
  <c r="C1283"/>
  <c r="C717"/>
  <c r="C733"/>
  <c r="C227"/>
  <c r="C109"/>
  <c r="C1140"/>
  <c r="C1078"/>
  <c r="C898"/>
  <c r="C822"/>
  <c r="C91"/>
  <c r="C890"/>
  <c r="C558"/>
  <c r="C757"/>
  <c r="C1007"/>
  <c r="C582"/>
  <c r="C930"/>
  <c r="C957"/>
  <c r="C242"/>
  <c r="C173"/>
  <c r="C1286"/>
  <c r="C223"/>
  <c r="C1358"/>
  <c r="C36"/>
  <c r="C243"/>
  <c r="C1287"/>
  <c r="C55"/>
  <c r="C796"/>
  <c r="C37"/>
  <c r="C916"/>
  <c r="C827"/>
  <c r="C834"/>
  <c r="C1292"/>
  <c r="C1105"/>
  <c r="C1117"/>
  <c r="C872"/>
  <c r="C369"/>
  <c r="C357"/>
  <c r="C652"/>
  <c r="C196"/>
  <c r="C1111"/>
  <c r="C461"/>
  <c r="B177"/>
  <c r="B667"/>
  <c r="B1134"/>
  <c r="B19"/>
  <c r="B1153"/>
  <c r="B596"/>
  <c r="B1270"/>
  <c r="B925"/>
  <c r="B912"/>
  <c r="B282"/>
  <c r="B478"/>
  <c r="B205"/>
  <c r="B1001"/>
  <c r="B1137"/>
  <c r="B901"/>
  <c r="B927"/>
  <c r="B53"/>
  <c r="B902"/>
  <c r="B488"/>
  <c r="B721"/>
  <c r="B1194"/>
  <c r="B1303"/>
  <c r="B191"/>
  <c r="B1370"/>
  <c r="B1356"/>
  <c r="B476"/>
  <c r="B958"/>
  <c r="B559"/>
  <c r="B1110"/>
  <c r="B707"/>
  <c r="B1041"/>
  <c r="C340"/>
  <c r="C532"/>
  <c r="C1026"/>
  <c r="C1284"/>
  <c r="C186"/>
  <c r="C51"/>
  <c r="C78"/>
  <c r="C1051"/>
  <c r="C1141"/>
  <c r="C619"/>
  <c r="C94"/>
  <c r="C622"/>
  <c r="C891"/>
  <c r="C577"/>
  <c r="C1218"/>
  <c r="C1015"/>
  <c r="C1321"/>
  <c r="C959"/>
  <c r="C66"/>
  <c r="C1166"/>
  <c r="C174"/>
  <c r="C383"/>
  <c r="C1313"/>
  <c r="C551"/>
  <c r="C1315"/>
  <c r="C1170"/>
  <c r="C800"/>
  <c r="C769"/>
  <c r="C387"/>
  <c r="C1319"/>
  <c r="C917"/>
  <c r="C828"/>
  <c r="C835"/>
  <c r="C150"/>
  <c r="C1100"/>
  <c r="C405"/>
  <c r="C1149"/>
  <c r="C508"/>
  <c r="C1062"/>
  <c r="C277"/>
  <c r="C1243"/>
  <c r="C849"/>
  <c r="C146"/>
  <c r="C1364"/>
  <c r="C804"/>
  <c r="C311"/>
  <c r="C20"/>
  <c r="C584"/>
  <c r="C722"/>
  <c r="C1165"/>
  <c r="C1091"/>
  <c r="C384"/>
  <c r="C208"/>
  <c r="C694"/>
  <c r="C1276"/>
  <c r="C39"/>
  <c r="C794"/>
  <c r="C795"/>
  <c r="C669"/>
  <c r="C833"/>
  <c r="C602"/>
  <c r="C704"/>
  <c r="C1005"/>
  <c r="C1414"/>
  <c r="C324"/>
  <c r="C1120"/>
  <c r="C1235"/>
  <c r="C464"/>
  <c r="B779"/>
  <c r="B281"/>
  <c r="B1350"/>
  <c r="B1283"/>
  <c r="B171"/>
  <c r="B59"/>
  <c r="B1367"/>
  <c r="B225"/>
  <c r="B1087"/>
  <c r="B1044"/>
  <c r="B240"/>
  <c r="B899"/>
  <c r="B953"/>
  <c r="B443"/>
  <c r="B289"/>
  <c r="B73"/>
  <c r="B582"/>
  <c r="B960"/>
  <c r="B1029"/>
  <c r="B1020"/>
  <c r="B179"/>
  <c r="B735"/>
  <c r="B244"/>
  <c r="B67"/>
  <c r="B1173"/>
  <c r="B589"/>
  <c r="B1289"/>
  <c r="B793"/>
  <c r="B1279"/>
  <c r="B1146"/>
  <c r="B827"/>
  <c r="B835"/>
  <c r="B548"/>
  <c r="B411"/>
  <c r="B603"/>
  <c r="B874"/>
  <c r="B676"/>
  <c r="B359"/>
  <c r="B811"/>
  <c r="B527"/>
  <c r="B222"/>
  <c r="B615"/>
  <c r="C1057"/>
  <c r="C713"/>
  <c r="C50"/>
  <c r="C153"/>
  <c r="C408"/>
  <c r="C1367"/>
  <c r="C751"/>
  <c r="C320"/>
  <c r="C1088"/>
  <c r="C670"/>
  <c r="C1379"/>
  <c r="C1238"/>
  <c r="C60"/>
  <c r="C230"/>
  <c r="C349"/>
  <c r="C469"/>
  <c r="C171"/>
  <c r="C1076"/>
  <c r="C32"/>
  <c r="C975"/>
  <c r="C1145"/>
  <c r="C899"/>
  <c r="C1083"/>
  <c r="C942"/>
  <c r="C773"/>
  <c r="C34"/>
  <c r="C960"/>
  <c r="C1300"/>
  <c r="C1296"/>
  <c r="C1211"/>
  <c r="C1333"/>
  <c r="C571"/>
  <c r="C1173"/>
  <c r="C908"/>
  <c r="C467"/>
  <c r="C1159"/>
  <c r="C915"/>
  <c r="C829"/>
  <c r="C1099"/>
  <c r="C1406"/>
  <c r="C934"/>
  <c r="C874"/>
  <c r="C322"/>
  <c r="C500"/>
  <c r="C673"/>
  <c r="C753"/>
  <c r="C1429"/>
  <c r="B663"/>
  <c r="B424"/>
  <c r="B954"/>
  <c r="B666"/>
  <c r="B90"/>
  <c r="B727"/>
  <c r="B1242"/>
  <c r="B974"/>
  <c r="B572"/>
  <c r="B83"/>
  <c r="B17"/>
  <c r="B138"/>
  <c r="B943"/>
  <c r="B313"/>
  <c r="B634"/>
  <c r="C716"/>
  <c r="C1205"/>
  <c r="C1372"/>
  <c r="C1397"/>
  <c r="C436"/>
  <c r="C453"/>
  <c r="C1052"/>
  <c r="C1412"/>
  <c r="C439"/>
  <c r="C275"/>
  <c r="C851"/>
  <c r="C482"/>
  <c r="C931"/>
  <c r="C921"/>
  <c r="C988"/>
  <c r="C184"/>
  <c r="C244"/>
  <c r="C102"/>
  <c r="C9"/>
  <c r="C41"/>
  <c r="C1158"/>
  <c r="C805"/>
  <c r="C1377"/>
  <c r="C752"/>
  <c r="C455"/>
  <c r="C46"/>
  <c r="C354"/>
  <c r="C360"/>
  <c r="C502"/>
  <c r="C1075"/>
  <c r="C615"/>
  <c r="B338"/>
  <c r="B686"/>
  <c r="B175"/>
  <c r="B153"/>
  <c r="B231"/>
  <c r="B1240"/>
  <c r="B79"/>
  <c r="B661"/>
  <c r="B401"/>
  <c r="B820"/>
  <c r="B33"/>
  <c r="B273"/>
  <c r="B577"/>
  <c r="B65"/>
  <c r="B604"/>
  <c r="B441"/>
  <c r="B1297"/>
  <c r="B1431"/>
  <c r="B1331"/>
  <c r="B382"/>
  <c r="B1314"/>
  <c r="B414"/>
  <c r="B1261"/>
  <c r="B1277"/>
  <c r="B39"/>
  <c r="B1157"/>
  <c r="B1160"/>
  <c r="B970"/>
  <c r="B825"/>
  <c r="B834"/>
  <c r="B296"/>
  <c r="B412"/>
  <c r="B1124"/>
  <c r="B355"/>
  <c r="B496"/>
  <c r="B1118"/>
  <c r="B271"/>
  <c r="B63"/>
  <c r="B1429"/>
  <c r="C779"/>
  <c r="C712"/>
  <c r="C175"/>
  <c r="C393"/>
  <c r="C142"/>
  <c r="C437"/>
  <c r="C661"/>
  <c r="C1045"/>
  <c r="C396"/>
  <c r="C985"/>
  <c r="C556"/>
  <c r="C313"/>
  <c r="C903"/>
  <c r="C904"/>
  <c r="C986"/>
  <c r="C1331"/>
  <c r="C185"/>
  <c r="C245"/>
  <c r="C1272"/>
  <c r="C1275"/>
  <c r="C768"/>
  <c r="C708"/>
  <c r="C806"/>
  <c r="C1378"/>
  <c r="C702"/>
  <c r="C164"/>
  <c r="C430"/>
  <c r="C355"/>
  <c r="C361"/>
  <c r="C1118"/>
  <c r="C1234"/>
  <c r="B339"/>
  <c r="C178"/>
  <c r="C1055"/>
  <c r="C1056"/>
  <c r="C228"/>
  <c r="C423"/>
  <c r="C57"/>
  <c r="C1337"/>
  <c r="C108"/>
  <c r="C1087"/>
  <c r="C438"/>
  <c r="C442"/>
  <c r="C999"/>
  <c r="C1084"/>
  <c r="C580"/>
  <c r="C1330"/>
  <c r="C234"/>
  <c r="C42"/>
  <c r="C735"/>
  <c r="C1357"/>
  <c r="C1259"/>
  <c r="C1248"/>
  <c r="C754"/>
  <c r="C101"/>
  <c r="C1072"/>
  <c r="C826"/>
  <c r="C1071"/>
  <c r="C938"/>
  <c r="C998"/>
  <c r="C836"/>
  <c r="C323"/>
  <c r="C1122"/>
  <c r="C894"/>
  <c r="C774"/>
  <c r="B1267"/>
  <c r="B1413"/>
  <c r="B658"/>
  <c r="B345"/>
  <c r="B1204"/>
  <c r="B591"/>
  <c r="B1243"/>
  <c r="B849"/>
  <c r="B140"/>
  <c r="B181"/>
  <c r="B1362"/>
  <c r="B892"/>
  <c r="B942"/>
  <c r="B1380"/>
  <c r="B451"/>
  <c r="B452"/>
  <c r="B724"/>
  <c r="B182"/>
  <c r="B174"/>
  <c r="B1271"/>
  <c r="B534"/>
  <c r="B571"/>
  <c r="B567"/>
  <c r="B588"/>
  <c r="B768"/>
  <c r="B794"/>
  <c r="B37"/>
  <c r="B918"/>
  <c r="B831"/>
  <c r="B703"/>
  <c r="B1309"/>
  <c r="B268"/>
  <c r="B909"/>
  <c r="B837"/>
  <c r="B156"/>
  <c r="B810"/>
  <c r="B1121"/>
  <c r="B624"/>
  <c r="B48"/>
  <c r="C229"/>
  <c r="C424"/>
  <c r="C470"/>
  <c r="C719"/>
  <c r="C1338"/>
  <c r="C79"/>
  <c r="C848"/>
  <c r="C147"/>
  <c r="C299"/>
  <c r="C763"/>
  <c r="C1048"/>
  <c r="C734"/>
  <c r="C581"/>
  <c r="C404"/>
  <c r="C1431"/>
  <c r="C43"/>
  <c r="C460"/>
  <c r="C569"/>
  <c r="C7"/>
  <c r="C1249"/>
  <c r="C406"/>
  <c r="C151"/>
  <c r="C520"/>
  <c r="C830"/>
  <c r="C563"/>
  <c r="C1019"/>
  <c r="C632"/>
  <c r="C837"/>
  <c r="C496"/>
  <c r="C671"/>
  <c r="C1128"/>
  <c r="C1423"/>
  <c r="B230"/>
  <c r="B511"/>
  <c r="B659"/>
  <c r="B346"/>
  <c r="B733"/>
  <c r="B592"/>
  <c r="B226"/>
  <c r="B654"/>
  <c r="B444"/>
  <c r="B1195"/>
  <c r="B1351"/>
  <c r="B893"/>
  <c r="B944"/>
  <c r="B1129"/>
  <c r="B482"/>
  <c r="B740"/>
  <c r="B1165"/>
  <c r="B42"/>
  <c r="B184"/>
  <c r="B270"/>
  <c r="C1266"/>
  <c r="C1413"/>
  <c r="C1335"/>
  <c r="C690"/>
  <c r="C1282"/>
  <c r="C645"/>
  <c r="C784"/>
  <c r="C489"/>
  <c r="C194"/>
  <c r="C1043"/>
  <c r="C759"/>
  <c r="C803"/>
  <c r="C798"/>
  <c r="C1090"/>
  <c r="C179"/>
  <c r="C95"/>
  <c r="C570"/>
  <c r="C416"/>
  <c r="C284"/>
  <c r="C210"/>
  <c r="C1012"/>
  <c r="C758"/>
  <c r="C609"/>
  <c r="C1376"/>
  <c r="C1240"/>
  <c r="C749"/>
  <c r="C399"/>
  <c r="C1142"/>
  <c r="C33"/>
  <c r="C994"/>
  <c r="C1256"/>
  <c r="C73"/>
  <c r="C1107"/>
  <c r="C1297"/>
  <c r="C426"/>
  <c r="C167"/>
  <c r="C935"/>
  <c r="C414"/>
  <c r="C566"/>
  <c r="C1281"/>
  <c r="C26"/>
  <c r="C1074"/>
  <c r="C918"/>
  <c r="C1104"/>
  <c r="C846"/>
  <c r="C412"/>
  <c r="C1004"/>
  <c r="C317"/>
  <c r="C651"/>
  <c r="C672"/>
  <c r="C705"/>
  <c r="B97"/>
  <c r="B594"/>
  <c r="B1335"/>
  <c r="B718"/>
  <c r="B1076"/>
  <c r="B224"/>
  <c r="B701"/>
  <c r="B320"/>
  <c r="B81"/>
  <c r="B155"/>
  <c r="B274"/>
  <c r="B739"/>
  <c r="B1383"/>
  <c r="B77"/>
  <c r="B930"/>
  <c r="B100"/>
  <c r="B1021"/>
  <c r="B166"/>
  <c r="B235"/>
  <c r="B379"/>
  <c r="B1131"/>
  <c r="B266"/>
  <c r="B38"/>
  <c r="B1290"/>
  <c r="B1061"/>
  <c r="B1133"/>
  <c r="B546"/>
  <c r="B984"/>
  <c r="B1024"/>
  <c r="B1293"/>
  <c r="B842"/>
  <c r="B862"/>
  <c r="B1307"/>
  <c r="B494"/>
  <c r="B1080"/>
  <c r="B524"/>
  <c r="B435"/>
  <c r="B1421"/>
  <c r="C1013"/>
  <c r="C1150"/>
  <c r="C640"/>
  <c r="C301"/>
  <c r="C1209"/>
  <c r="C93"/>
  <c r="C226"/>
  <c r="C409"/>
  <c r="C395"/>
  <c r="C764"/>
  <c r="C1003"/>
  <c r="C604"/>
  <c r="C929"/>
  <c r="C1196"/>
  <c r="C514"/>
  <c r="C270"/>
  <c r="C1316"/>
  <c r="C1037"/>
  <c r="C1058"/>
  <c r="C1034"/>
  <c r="C1388"/>
  <c r="C1024"/>
  <c r="C267"/>
  <c r="C868"/>
  <c r="C326"/>
  <c r="C1123"/>
  <c r="C1418"/>
  <c r="B405"/>
  <c r="B468"/>
  <c r="B105"/>
  <c r="B408"/>
  <c r="B481"/>
  <c r="B911"/>
  <c r="B619"/>
  <c r="B1144"/>
  <c r="B479"/>
  <c r="B891"/>
  <c r="B1256"/>
  <c r="B803"/>
  <c r="B1251"/>
  <c r="B631"/>
  <c r="B1156"/>
  <c r="B173"/>
  <c r="B896"/>
  <c r="B1355"/>
  <c r="B1272"/>
  <c r="B695"/>
  <c r="B429"/>
  <c r="B386"/>
  <c r="B11"/>
  <c r="B981"/>
  <c r="B297"/>
  <c r="B1025"/>
  <c r="B1295"/>
  <c r="B934"/>
  <c r="B872"/>
  <c r="B679"/>
  <c r="B157"/>
  <c r="B499"/>
  <c r="B523"/>
  <c r="B1111"/>
  <c r="B463"/>
  <c r="C338"/>
  <c r="C993"/>
  <c r="C1138"/>
  <c r="C1336"/>
  <c r="C750"/>
  <c r="C729"/>
  <c r="C597"/>
  <c r="C310"/>
  <c r="C605"/>
  <c r="C932"/>
  <c r="C182"/>
  <c r="C1167"/>
  <c r="C1202"/>
  <c r="C1274"/>
  <c r="C38"/>
  <c r="C1039"/>
  <c r="C27"/>
  <c r="C825"/>
  <c r="C445"/>
  <c r="C268"/>
  <c r="C869"/>
  <c r="C1079"/>
  <c r="C389"/>
  <c r="C1419"/>
  <c r="B529"/>
  <c r="B1027"/>
  <c r="B106"/>
  <c r="B51"/>
  <c r="B923"/>
  <c r="B913"/>
  <c r="B728"/>
  <c r="B1145"/>
  <c r="B628"/>
  <c r="B994"/>
  <c r="B288"/>
  <c r="B1073"/>
  <c r="B798"/>
  <c r="B1125"/>
  <c r="B43"/>
  <c r="B385"/>
  <c r="B1273"/>
  <c r="B1262"/>
  <c r="B1132"/>
  <c r="B684"/>
  <c r="B1280"/>
  <c r="B982"/>
  <c r="B1104"/>
  <c r="B445"/>
  <c r="B46"/>
  <c r="B873"/>
  <c r="B158"/>
  <c r="B110"/>
  <c r="B1128"/>
  <c r="B616"/>
  <c r="C1080"/>
  <c r="B460"/>
  <c r="B1018"/>
  <c r="B650"/>
  <c r="C1420"/>
  <c r="B601"/>
  <c r="B220"/>
  <c r="B1357"/>
  <c r="C341"/>
  <c r="C1350"/>
  <c r="C512"/>
  <c r="C726"/>
  <c r="C939"/>
  <c r="C966"/>
  <c r="C1411"/>
  <c r="C273"/>
  <c r="C928"/>
  <c r="C634"/>
  <c r="C933"/>
  <c r="C165"/>
  <c r="C192"/>
  <c r="C949"/>
  <c r="C1260"/>
  <c r="C1288"/>
  <c r="C386"/>
  <c r="C1133"/>
  <c r="C831"/>
  <c r="C853"/>
  <c r="C4"/>
  <c r="C870"/>
  <c r="C434"/>
  <c r="B530"/>
  <c r="B1219"/>
  <c r="B1152"/>
  <c r="B955"/>
  <c r="B304"/>
  <c r="B914"/>
  <c r="B620"/>
  <c r="B1154"/>
  <c r="B995"/>
  <c r="B1003"/>
  <c r="B45"/>
  <c r="B799"/>
  <c r="B384"/>
  <c r="B36"/>
  <c r="B1263"/>
  <c r="C663"/>
  <c r="C302"/>
  <c r="C345"/>
  <c r="C770"/>
  <c r="C940"/>
  <c r="C1244"/>
  <c r="C425"/>
  <c r="C892"/>
  <c r="C447"/>
  <c r="C487"/>
  <c r="C466"/>
  <c r="C513"/>
  <c r="C193"/>
  <c r="C449"/>
  <c r="C1261"/>
  <c r="C706"/>
  <c r="C1059"/>
  <c r="C590"/>
  <c r="C587"/>
  <c r="C854"/>
  <c r="C687"/>
  <c r="C871"/>
  <c r="C327"/>
  <c r="C13"/>
  <c r="C1421"/>
  <c r="B531"/>
  <c r="B1220"/>
  <c r="B1138"/>
  <c r="B58"/>
  <c r="B32"/>
  <c r="B975"/>
  <c r="B107"/>
  <c r="B1245"/>
  <c r="B141"/>
  <c r="B310"/>
  <c r="B1014"/>
  <c r="B1106"/>
  <c r="B1365"/>
  <c r="B1196"/>
  <c r="B221"/>
  <c r="B380"/>
  <c r="B208"/>
  <c r="B1315"/>
  <c r="C1267"/>
  <c r="C755"/>
  <c r="C346"/>
  <c r="C1268"/>
  <c r="C941"/>
  <c r="C967"/>
  <c r="C1069"/>
  <c r="C893"/>
  <c r="C448"/>
  <c r="C608"/>
  <c r="C351"/>
  <c r="C1168"/>
  <c r="C207"/>
  <c r="C8"/>
  <c r="C170"/>
  <c r="C1060"/>
  <c r="C847"/>
  <c r="C1174"/>
  <c r="C905"/>
  <c r="C688"/>
  <c r="C873"/>
  <c r="C328"/>
  <c r="C400"/>
  <c r="C1422"/>
  <c r="B532"/>
  <c r="B50"/>
  <c r="B512"/>
  <c r="B700"/>
  <c r="B283"/>
  <c r="B1065"/>
  <c r="B409"/>
  <c r="B1089"/>
  <c r="B1246"/>
  <c r="B1047"/>
  <c r="B946"/>
  <c r="B1007"/>
  <c r="B1107"/>
  <c r="B1366"/>
  <c r="B1090"/>
  <c r="B1269"/>
  <c r="B419"/>
  <c r="B569"/>
  <c r="B1316"/>
  <c r="B1275"/>
  <c r="B40"/>
  <c r="B76"/>
  <c r="B28"/>
  <c r="B565"/>
  <c r="B547"/>
  <c r="B845"/>
  <c r="B5"/>
  <c r="B1117"/>
  <c r="B354"/>
  <c r="B161"/>
  <c r="B327"/>
  <c r="B196"/>
  <c r="B895"/>
  <c r="B1424"/>
  <c r="C913"/>
  <c r="B1053"/>
  <c r="B148"/>
  <c r="B23"/>
  <c r="C468"/>
  <c r="C979"/>
  <c r="C356"/>
  <c r="C811"/>
  <c r="B713"/>
  <c r="B1140"/>
  <c r="C1264"/>
  <c r="C756"/>
  <c r="C392"/>
  <c r="C492"/>
  <c r="C701"/>
  <c r="C401"/>
  <c r="C1112"/>
  <c r="C138"/>
  <c r="C289"/>
  <c r="C639"/>
  <c r="C631"/>
  <c r="C1020"/>
  <c r="C343"/>
  <c r="C246"/>
  <c r="C417"/>
  <c r="C1371"/>
  <c r="C76"/>
  <c r="C564"/>
  <c r="C209"/>
  <c r="C906"/>
  <c r="C689"/>
  <c r="C875"/>
  <c r="C501"/>
  <c r="C271"/>
  <c r="C462"/>
  <c r="B335"/>
  <c r="B716"/>
  <c r="B1006"/>
  <c r="B1372"/>
  <c r="B6"/>
  <c r="B493"/>
  <c r="B316"/>
  <c r="B729"/>
  <c r="B821"/>
  <c r="B91"/>
  <c r="B926"/>
  <c r="B947"/>
  <c r="B1015"/>
  <c r="B1323"/>
  <c r="B1298"/>
  <c r="B242"/>
  <c r="B1091"/>
  <c r="B95"/>
  <c r="B535"/>
  <c r="B694"/>
  <c r="B1276"/>
  <c r="B41"/>
  <c r="B598"/>
  <c r="B1186"/>
  <c r="B1032"/>
  <c r="B457"/>
  <c r="B853"/>
  <c r="B410"/>
  <c r="B997"/>
  <c r="B356"/>
  <c r="B321"/>
  <c r="B328"/>
  <c r="B672"/>
  <c r="B22"/>
  <c r="B1425"/>
  <c r="C1066"/>
  <c r="C1148"/>
  <c r="C1410"/>
  <c r="C1239"/>
  <c r="C907"/>
  <c r="C471"/>
  <c r="C995"/>
  <c r="C312"/>
  <c r="C314"/>
  <c r="C765"/>
  <c r="C1021"/>
  <c r="C183"/>
  <c r="C379"/>
  <c r="C767"/>
  <c r="C75"/>
  <c r="C793"/>
  <c r="C99"/>
  <c r="C418"/>
  <c r="C961"/>
  <c r="C714"/>
  <c r="C876"/>
  <c r="C653"/>
  <c r="C30"/>
  <c r="C617"/>
  <c r="B278"/>
  <c r="B712"/>
  <c r="B393"/>
  <c r="B477"/>
  <c r="B643"/>
  <c r="B1139"/>
  <c r="B966"/>
  <c r="B1369"/>
  <c r="B622"/>
  <c r="B1247"/>
  <c r="B928"/>
  <c r="B583"/>
  <c r="B1166"/>
  <c r="B342"/>
  <c r="B780"/>
  <c r="B1274"/>
  <c r="B10"/>
  <c r="B1108"/>
  <c r="B70"/>
  <c r="B795"/>
  <c r="B669"/>
  <c r="B674"/>
  <c r="B846"/>
  <c r="B844"/>
  <c r="B998"/>
  <c r="B294"/>
  <c r="B322"/>
  <c r="B500"/>
  <c r="B197"/>
  <c r="B1426"/>
  <c r="C279"/>
  <c r="C718"/>
  <c r="C1050"/>
  <c r="C914"/>
  <c r="C402"/>
  <c r="C300"/>
  <c r="C141"/>
  <c r="C816"/>
  <c r="C291"/>
  <c r="C799"/>
  <c r="C1070"/>
  <c r="C382"/>
  <c r="C385"/>
  <c r="C567"/>
  <c r="C1147"/>
  <c r="C598"/>
  <c r="C297"/>
  <c r="C548"/>
  <c r="C715"/>
  <c r="C1049"/>
  <c r="C463"/>
  <c r="B176"/>
  <c r="B1054"/>
  <c r="B392"/>
  <c r="B1397"/>
  <c r="B1241"/>
  <c r="B1244"/>
  <c r="B550"/>
  <c r="B472"/>
  <c r="B1002"/>
  <c r="B447"/>
  <c r="B61"/>
  <c r="B584"/>
  <c r="B165"/>
  <c r="B167"/>
  <c r="B1028"/>
  <c r="C87"/>
  <c r="C1219"/>
  <c r="C1373"/>
  <c r="C592"/>
  <c r="C1065"/>
  <c r="C140"/>
  <c r="C1415"/>
  <c r="C926"/>
  <c r="C280"/>
  <c r="C954"/>
  <c r="C691"/>
  <c r="C1368"/>
  <c r="C1139"/>
  <c r="C403"/>
  <c r="C337"/>
  <c r="C1053"/>
  <c r="C394"/>
  <c r="C481"/>
  <c r="C618"/>
  <c r="C83"/>
  <c r="C1245"/>
  <c r="C1002"/>
  <c r="C1257"/>
  <c r="C1114"/>
  <c r="C896"/>
  <c r="C415"/>
  <c r="C637"/>
  <c r="C69"/>
  <c r="C72"/>
  <c r="C980"/>
  <c r="C674"/>
  <c r="C1309"/>
  <c r="C997"/>
  <c r="C839"/>
  <c r="C495"/>
  <c r="C329"/>
  <c r="C222"/>
  <c r="C1428"/>
  <c r="B229"/>
  <c r="B480"/>
  <c r="B1399"/>
  <c r="B720"/>
  <c r="B725"/>
  <c r="B627"/>
  <c r="B747"/>
  <c r="B1046"/>
  <c r="B822"/>
  <c r="B1353"/>
  <c r="B554"/>
  <c r="B1218"/>
  <c r="B605"/>
  <c r="B741"/>
  <c r="B66"/>
  <c r="B458"/>
  <c r="B515"/>
  <c r="B237"/>
  <c r="B415"/>
  <c r="B566"/>
  <c r="B284"/>
  <c r="B55"/>
  <c r="B101"/>
  <c r="B99"/>
  <c r="B730"/>
  <c r="B633"/>
  <c r="B150"/>
  <c r="B704"/>
  <c r="B1005"/>
  <c r="B791"/>
  <c r="B358"/>
  <c r="B1081"/>
  <c r="B13"/>
  <c r="B950"/>
  <c r="C510"/>
  <c r="C507"/>
  <c r="C1402"/>
  <c r="C923"/>
  <c r="C1077"/>
  <c r="C1430"/>
  <c r="C1246"/>
  <c r="C629"/>
  <c r="C1380"/>
  <c r="C1106"/>
  <c r="C1130"/>
  <c r="C427"/>
  <c r="C1416"/>
  <c r="C1359"/>
  <c r="C638"/>
  <c r="C1038"/>
  <c r="C388"/>
  <c r="C981"/>
  <c r="C446"/>
  <c r="C1016"/>
  <c r="C603"/>
  <c r="C792"/>
  <c r="C646"/>
  <c r="C330"/>
  <c r="C269"/>
  <c r="B340"/>
  <c r="B18"/>
  <c r="B92"/>
  <c r="B1373"/>
  <c r="B726"/>
  <c r="B108"/>
  <c r="B976"/>
  <c r="B1405"/>
  <c r="B396"/>
  <c r="B439"/>
  <c r="B555"/>
  <c r="C97"/>
  <c r="C665"/>
  <c r="C626"/>
  <c r="C1144"/>
  <c r="C1247"/>
  <c r="C1028"/>
  <c r="C166"/>
  <c r="C553"/>
  <c r="C308"/>
  <c r="C562"/>
  <c r="C990"/>
  <c r="C5"/>
  <c r="C789"/>
  <c r="C1082"/>
  <c r="C950"/>
  <c r="B1150"/>
  <c r="B717"/>
  <c r="B1239"/>
  <c r="B618"/>
  <c r="B1430"/>
  <c r="B1364"/>
  <c r="B1048"/>
  <c r="B608"/>
  <c r="B933"/>
  <c r="B351"/>
  <c r="B183"/>
  <c r="B413"/>
  <c r="B74"/>
  <c r="B1371"/>
  <c r="B1060"/>
  <c r="B564"/>
  <c r="B1388"/>
  <c r="B563"/>
  <c r="B1105"/>
  <c r="B858"/>
  <c r="B366"/>
  <c r="B807"/>
  <c r="B502"/>
  <c r="B1234"/>
  <c r="B1423"/>
  <c r="B1358"/>
  <c r="B826"/>
  <c r="B1100"/>
  <c r="B367"/>
  <c r="B808"/>
  <c r="B1235"/>
  <c r="C720"/>
  <c r="C305"/>
  <c r="C82"/>
  <c r="C100"/>
  <c r="C538"/>
  <c r="C710"/>
  <c r="C844"/>
  <c r="B993"/>
  <c r="B227"/>
  <c r="B610"/>
  <c r="B759"/>
  <c r="B1330"/>
  <c r="B383"/>
  <c r="B1102"/>
  <c r="B387"/>
  <c r="C281"/>
  <c r="C666"/>
  <c r="C627"/>
  <c r="C1154"/>
  <c r="C274"/>
  <c r="C61"/>
  <c r="C1067"/>
  <c r="C168"/>
  <c r="C537"/>
  <c r="C285"/>
  <c r="C1160"/>
  <c r="C991"/>
  <c r="C410"/>
  <c r="C790"/>
  <c r="C431"/>
  <c r="C951"/>
  <c r="B301"/>
  <c r="B186"/>
  <c r="B277"/>
  <c r="B1077"/>
  <c r="B489"/>
  <c r="B630"/>
  <c r="B945"/>
  <c r="B639"/>
  <c r="B466"/>
  <c r="B1070"/>
  <c r="B1286"/>
  <c r="B736"/>
  <c r="B75"/>
  <c r="B796"/>
  <c r="B1072"/>
  <c r="B1305"/>
  <c r="B859"/>
  <c r="B431"/>
  <c r="B1427"/>
  <c r="C298"/>
  <c r="C641"/>
  <c r="C1258"/>
  <c r="C1408"/>
  <c r="C782"/>
  <c r="C984"/>
  <c r="C838"/>
  <c r="C1119"/>
  <c r="B178"/>
  <c r="B1410"/>
  <c r="B453"/>
  <c r="B1379"/>
  <c r="B314"/>
  <c r="B1022"/>
  <c r="B551"/>
  <c r="B1147"/>
  <c r="B989"/>
  <c r="C533"/>
  <c r="C233"/>
  <c r="C660"/>
  <c r="C181"/>
  <c r="C578"/>
  <c r="C1322"/>
  <c r="C1222"/>
  <c r="C428"/>
  <c r="C682"/>
  <c r="C28"/>
  <c r="C1395"/>
  <c r="C842"/>
  <c r="C675"/>
  <c r="C157"/>
  <c r="C525"/>
  <c r="C1427"/>
  <c r="B1266"/>
  <c r="B1148"/>
  <c r="B1376"/>
  <c r="B924"/>
  <c r="B763"/>
  <c r="B757"/>
  <c r="B579"/>
  <c r="B427"/>
  <c r="B169"/>
  <c r="B553"/>
  <c r="B243"/>
  <c r="B682"/>
  <c r="B71"/>
  <c r="B915"/>
  <c r="B418"/>
  <c r="B961"/>
  <c r="B688"/>
  <c r="B867"/>
  <c r="B323"/>
  <c r="B522"/>
  <c r="B753"/>
  <c r="C348"/>
  <c r="C303"/>
  <c r="C747"/>
  <c r="C1195"/>
  <c r="C276"/>
  <c r="C1250"/>
  <c r="C560"/>
  <c r="C235"/>
  <c r="C1385"/>
  <c r="C247"/>
  <c r="C1186"/>
  <c r="C62"/>
  <c r="C85"/>
  <c r="C676"/>
  <c r="C159"/>
  <c r="C526"/>
  <c r="B1264"/>
  <c r="B1149"/>
  <c r="B394"/>
  <c r="B436"/>
  <c r="B1135"/>
  <c r="B1411"/>
  <c r="B764"/>
  <c r="B473"/>
  <c r="B580"/>
  <c r="B1130"/>
  <c r="B459"/>
  <c r="B188"/>
  <c r="B537"/>
  <c r="B1170"/>
  <c r="B247"/>
  <c r="B72"/>
  <c r="B969"/>
  <c r="B990"/>
  <c r="B602"/>
  <c r="B689"/>
  <c r="C350"/>
  <c r="C1204"/>
  <c r="C976"/>
  <c r="C518"/>
  <c r="C943"/>
  <c r="C1251"/>
  <c r="C561"/>
  <c r="C380"/>
  <c r="C1386"/>
  <c r="C737"/>
  <c r="C969"/>
  <c r="C696"/>
  <c r="C857"/>
  <c r="C677"/>
  <c r="C494"/>
  <c r="C527"/>
  <c r="B1013"/>
  <c r="B507"/>
  <c r="B1402"/>
  <c r="B437"/>
  <c r="B319"/>
  <c r="B1412"/>
  <c r="B597"/>
  <c r="B474"/>
  <c r="B581"/>
  <c r="B957"/>
  <c r="B1302"/>
  <c r="B1169"/>
  <c r="B910"/>
  <c r="B189"/>
  <c r="B754"/>
  <c r="B388"/>
  <c r="B971"/>
  <c r="B614"/>
  <c r="B1292"/>
  <c r="B714"/>
  <c r="B869"/>
  <c r="B497"/>
  <c r="B775"/>
  <c r="B24"/>
  <c r="C511"/>
  <c r="C955"/>
  <c r="C454"/>
  <c r="C195"/>
  <c r="C944"/>
  <c r="C1323"/>
  <c r="C766"/>
  <c r="C188"/>
  <c r="C1273"/>
  <c r="C1290"/>
  <c r="C970"/>
  <c r="C697"/>
  <c r="C815"/>
  <c r="C678"/>
  <c r="C647"/>
  <c r="C197"/>
  <c r="C232"/>
  <c r="C573"/>
  <c r="C785"/>
  <c r="C77"/>
  <c r="C475"/>
  <c r="C536"/>
  <c r="C1289"/>
  <c r="C565"/>
  <c r="C456"/>
  <c r="C368"/>
  <c r="C364"/>
  <c r="C25"/>
  <c r="B337"/>
  <c r="B664"/>
  <c r="B1050"/>
  <c r="B573"/>
  <c r="B194"/>
  <c r="B578"/>
  <c r="B34"/>
  <c r="B1300"/>
  <c r="B1167"/>
  <c r="B1354"/>
  <c r="B44"/>
  <c r="B467"/>
  <c r="B1034"/>
  <c r="B829"/>
  <c r="B824"/>
  <c r="B85"/>
  <c r="B839"/>
  <c r="B357"/>
  <c r="B433"/>
  <c r="B64"/>
  <c r="C86"/>
  <c r="C58"/>
  <c r="C491"/>
  <c r="C1203"/>
  <c r="C583"/>
  <c r="C1312"/>
  <c r="C781"/>
  <c r="C248"/>
  <c r="C1032"/>
  <c r="C937"/>
  <c r="C679"/>
  <c r="C497"/>
  <c r="C63"/>
  <c r="B510"/>
  <c r="B336"/>
  <c r="B593"/>
  <c r="B491"/>
  <c r="B1415"/>
  <c r="B276"/>
  <c r="B291"/>
  <c r="B1301"/>
  <c r="B347"/>
  <c r="B570"/>
  <c r="B9"/>
  <c r="B68"/>
  <c r="B27"/>
  <c r="B830"/>
  <c r="B1308"/>
  <c r="B857"/>
  <c r="B792"/>
  <c r="B360"/>
  <c r="B521"/>
  <c r="B47"/>
  <c r="C530"/>
  <c r="C6"/>
  <c r="C1044"/>
  <c r="C555"/>
  <c r="C441"/>
  <c r="C692"/>
  <c r="C54"/>
  <c r="C801"/>
  <c r="C517"/>
  <c r="C411"/>
  <c r="C809"/>
  <c r="C616"/>
  <c r="B422"/>
  <c r="B1209"/>
  <c r="B1000"/>
  <c r="B907"/>
  <c r="B88"/>
  <c r="B448"/>
  <c r="B1250"/>
  <c r="B560"/>
  <c r="B1168"/>
  <c r="B1359"/>
  <c r="B1035"/>
  <c r="B1291"/>
  <c r="B806"/>
  <c r="B209"/>
  <c r="B1016"/>
  <c r="B14"/>
  <c r="B1414"/>
  <c r="B363"/>
  <c r="B526"/>
  <c r="B1017"/>
  <c r="B632"/>
  <c r="B295"/>
  <c r="B364"/>
  <c r="B673"/>
  <c r="C686"/>
  <c r="C89"/>
  <c r="C81"/>
  <c r="C1237"/>
  <c r="C315"/>
  <c r="C220"/>
  <c r="C787"/>
  <c r="C211"/>
  <c r="C855"/>
  <c r="C381"/>
  <c r="C812"/>
  <c r="C1425"/>
  <c r="B348"/>
  <c r="B719"/>
  <c r="B109"/>
  <c r="B1045"/>
  <c r="B1352"/>
  <c r="B312"/>
  <c r="B744"/>
  <c r="B766"/>
  <c r="B343"/>
  <c r="B54"/>
  <c r="B1036"/>
  <c r="B1009"/>
  <c r="B977"/>
  <c r="B919"/>
  <c r="B163"/>
  <c r="B1407"/>
  <c r="B317"/>
  <c r="B324"/>
  <c r="B528"/>
  <c r="C685"/>
  <c r="C477"/>
  <c r="C1405"/>
  <c r="C443"/>
  <c r="C744"/>
  <c r="C172"/>
  <c r="C67"/>
  <c r="C1291"/>
  <c r="C353"/>
  <c r="C711"/>
  <c r="C810"/>
  <c r="C1424"/>
  <c r="B533"/>
  <c r="B626"/>
  <c r="B1052"/>
  <c r="B1363"/>
  <c r="B311"/>
  <c r="B440"/>
  <c r="B561"/>
  <c r="B1211"/>
  <c r="B552"/>
  <c r="B586"/>
  <c r="B211"/>
  <c r="B520"/>
  <c r="B823"/>
  <c r="C1027"/>
  <c r="C304"/>
  <c r="C107"/>
  <c r="C761"/>
  <c r="C1010"/>
  <c r="C1409"/>
  <c r="C1317"/>
  <c r="C709"/>
  <c r="C614"/>
  <c r="C1407"/>
  <c r="C432"/>
  <c r="B758"/>
  <c r="B1151"/>
  <c r="B644"/>
  <c r="B438"/>
  <c r="B952"/>
  <c r="B900"/>
  <c r="B635"/>
  <c r="B1432"/>
  <c r="B187"/>
  <c r="B1101"/>
  <c r="B1281"/>
  <c r="B1059"/>
  <c r="B972"/>
  <c r="B992"/>
  <c r="B456"/>
  <c r="C1398"/>
  <c r="C283"/>
  <c r="C821"/>
  <c r="C474"/>
  <c r="C1365"/>
  <c r="C1271"/>
  <c r="C568"/>
  <c r="C71"/>
  <c r="C633"/>
  <c r="C1396"/>
  <c r="C524"/>
  <c r="B1026"/>
  <c r="B1062"/>
  <c r="B750"/>
  <c r="B94"/>
  <c r="B999"/>
  <c r="B743"/>
  <c r="B786"/>
  <c r="B936"/>
  <c r="B1386"/>
  <c r="B800"/>
  <c r="B709"/>
  <c r="B980"/>
  <c r="B62"/>
  <c r="B1068"/>
  <c r="B861"/>
  <c r="B651"/>
  <c r="B1049"/>
  <c r="B462"/>
  <c r="C1399"/>
  <c r="C206"/>
  <c r="C65"/>
  <c r="C723"/>
  <c r="C187"/>
  <c r="C189"/>
  <c r="C1360"/>
  <c r="C286"/>
  <c r="C909"/>
  <c r="C110"/>
  <c r="B755"/>
  <c r="B232"/>
  <c r="C14"/>
  <c r="B1158"/>
  <c r="B146"/>
  <c r="B698"/>
  <c r="C1375"/>
  <c r="B164"/>
  <c r="B1115"/>
  <c r="C24"/>
  <c r="C293"/>
  <c r="B461"/>
  <c r="B671"/>
  <c r="B1396"/>
  <c r="B854"/>
  <c r="B855"/>
  <c r="B1040"/>
  <c r="B637"/>
  <c r="B693"/>
  <c r="B1155"/>
  <c r="B483"/>
  <c r="B804"/>
  <c r="B1282"/>
  <c r="B469"/>
  <c r="C397"/>
  <c r="C162"/>
  <c r="C1278"/>
  <c r="C910"/>
  <c r="C1301"/>
  <c r="C288"/>
  <c r="C319"/>
  <c r="C292"/>
  <c r="B1422"/>
  <c r="B1122"/>
  <c r="B920"/>
  <c r="B852"/>
  <c r="B353"/>
  <c r="B1039"/>
  <c r="B1318"/>
  <c r="B1313"/>
  <c r="B234"/>
  <c r="B748"/>
  <c r="B629"/>
  <c r="B403"/>
  <c r="B1268"/>
  <c r="B57"/>
  <c r="C435"/>
  <c r="C819"/>
  <c r="C613"/>
  <c r="C552"/>
  <c r="C1299"/>
  <c r="C760"/>
  <c r="C655"/>
  <c r="C1265"/>
  <c r="B866"/>
  <c r="C1131"/>
  <c r="B609"/>
  <c r="C1311"/>
  <c r="B1127"/>
  <c r="C575"/>
  <c r="C1006"/>
  <c r="B30"/>
  <c r="C11"/>
  <c r="B951"/>
  <c r="B329"/>
  <c r="B369"/>
  <c r="B996"/>
  <c r="B1099"/>
  <c r="B916"/>
  <c r="B210"/>
  <c r="B416"/>
  <c r="B1222"/>
  <c r="B1311"/>
  <c r="B1384"/>
  <c r="B1203"/>
  <c r="B398"/>
  <c r="B1336"/>
  <c r="B56"/>
  <c r="C528"/>
  <c r="C367"/>
  <c r="C1305"/>
  <c r="C1009"/>
  <c r="C190"/>
  <c r="C724"/>
  <c r="C630"/>
  <c r="C225"/>
  <c r="C594"/>
  <c r="B556"/>
  <c r="C987"/>
  <c r="B449"/>
  <c r="C1433"/>
  <c r="C1383"/>
  <c r="B464"/>
  <c r="B905"/>
  <c r="B1333"/>
  <c r="B574"/>
  <c r="B492"/>
  <c r="C12"/>
  <c r="C1125"/>
  <c r="B432"/>
  <c r="B490"/>
  <c r="B1058"/>
  <c r="B378"/>
  <c r="B890"/>
  <c r="C413"/>
  <c r="C945"/>
  <c r="B1419"/>
  <c r="B1120"/>
  <c r="B678"/>
  <c r="B430"/>
  <c r="B154"/>
  <c r="B1162"/>
  <c r="B801"/>
  <c r="B1172"/>
  <c r="B921"/>
  <c r="B290"/>
  <c r="B1043"/>
  <c r="B967"/>
  <c r="B1008"/>
  <c r="B772"/>
  <c r="C624"/>
  <c r="C824"/>
  <c r="C612"/>
  <c r="C780"/>
  <c r="C1310"/>
  <c r="C557"/>
  <c r="C503"/>
  <c r="C92"/>
  <c r="B1418"/>
  <c r="B1119"/>
  <c r="B677"/>
  <c r="B815"/>
  <c r="B1071"/>
  <c r="B983"/>
  <c r="B26"/>
  <c r="B1098"/>
  <c r="B236"/>
  <c r="B20"/>
  <c r="B1083"/>
  <c r="B1078"/>
  <c r="B1338"/>
  <c r="B302"/>
  <c r="C31"/>
  <c r="C296"/>
  <c r="C1061"/>
  <c r="C535"/>
  <c r="C1029"/>
  <c r="C316"/>
  <c r="B1394"/>
  <c r="B330"/>
  <c r="B675"/>
  <c r="B84"/>
  <c r="B1023"/>
  <c r="B917"/>
  <c r="B407"/>
  <c r="B417"/>
  <c r="B935"/>
  <c r="B1299"/>
  <c r="B1258"/>
  <c r="B49"/>
  <c r="B399"/>
  <c r="B1337"/>
  <c r="B16"/>
  <c r="C111"/>
  <c r="C154"/>
  <c r="C70"/>
  <c r="C534"/>
  <c r="C1047"/>
  <c r="C974"/>
  <c r="B25"/>
  <c r="B1082"/>
  <c r="B368"/>
  <c r="B843"/>
  <c r="B788"/>
  <c r="B979"/>
  <c r="B248"/>
  <c r="B8"/>
  <c r="B185"/>
  <c r="B1310"/>
  <c r="B956"/>
  <c r="B785"/>
  <c r="B784"/>
  <c r="B89"/>
  <c r="B350"/>
  <c r="C523"/>
  <c r="C366"/>
  <c r="C1161"/>
  <c r="C683"/>
  <c r="C1334"/>
  <c r="C743"/>
  <c r="C1353"/>
  <c r="C644"/>
  <c r="C18"/>
  <c r="B1037"/>
  <c r="C695"/>
  <c r="B865"/>
  <c r="B275"/>
  <c r="C611"/>
  <c r="B159"/>
  <c r="B770"/>
  <c r="B362"/>
  <c r="B306"/>
  <c r="C1143"/>
  <c r="B361"/>
  <c r="B1361"/>
  <c r="B1143"/>
  <c r="C623"/>
  <c r="B525"/>
  <c r="B638"/>
  <c r="B948"/>
  <c r="B470"/>
  <c r="C398"/>
  <c r="B1420"/>
  <c r="B1042"/>
  <c r="B1317"/>
  <c r="B973"/>
  <c r="B756"/>
  <c r="C1308"/>
  <c r="C1285"/>
  <c r="B778"/>
  <c r="B365"/>
  <c r="B702"/>
  <c r="B21"/>
  <c r="B1260"/>
  <c r="B1067"/>
  <c r="B318"/>
  <c r="B142"/>
  <c r="C365"/>
  <c r="C68"/>
  <c r="C742"/>
  <c r="C422"/>
  <c r="B737"/>
  <c r="B245"/>
  <c r="C1384"/>
  <c r="B285"/>
  <c r="C972"/>
  <c r="B1004"/>
  <c r="B426"/>
  <c r="B147"/>
  <c r="C1017"/>
  <c r="C473"/>
  <c r="B517"/>
  <c r="B223"/>
  <c r="B80"/>
  <c r="C1236"/>
  <c r="C1361"/>
  <c r="C654"/>
  <c r="B814"/>
  <c r="B841"/>
  <c r="B769"/>
  <c r="B265"/>
  <c r="B1382"/>
  <c r="B850"/>
  <c r="B685"/>
  <c r="C775"/>
  <c r="C1023"/>
  <c r="C693"/>
  <c r="C318"/>
  <c r="C306"/>
  <c r="B1406"/>
  <c r="B1312"/>
  <c r="C64"/>
  <c r="B400"/>
  <c r="B856"/>
  <c r="B705"/>
  <c r="B813"/>
  <c r="B549"/>
  <c r="B715"/>
  <c r="B752"/>
  <c r="B978"/>
  <c r="B7"/>
  <c r="B1126"/>
  <c r="B1381"/>
  <c r="B600"/>
  <c r="B655"/>
  <c r="B303"/>
  <c r="B298"/>
  <c r="C1081"/>
  <c r="C295"/>
  <c r="C788"/>
  <c r="C407"/>
  <c r="C1314"/>
  <c r="C635"/>
  <c r="C155"/>
  <c r="C1000"/>
  <c r="C529"/>
  <c r="B12"/>
  <c r="B812"/>
  <c r="B1093"/>
  <c r="B687"/>
  <c r="B697"/>
  <c r="B805"/>
  <c r="B406"/>
  <c r="B1259"/>
  <c r="B193"/>
  <c r="B723"/>
  <c r="B52"/>
  <c r="B621"/>
  <c r="B848"/>
  <c r="B233"/>
  <c r="B344"/>
  <c r="C814"/>
  <c r="C1306"/>
  <c r="C703"/>
  <c r="C29"/>
  <c r="C1127"/>
  <c r="C741"/>
  <c r="C600"/>
  <c r="C1242"/>
  <c r="C139"/>
  <c r="B269"/>
  <c r="B653"/>
  <c r="B838"/>
  <c r="B4"/>
  <c r="B696"/>
  <c r="B590"/>
  <c r="B1109"/>
  <c r="B102"/>
  <c r="B192"/>
  <c r="B722"/>
  <c r="B734"/>
  <c r="B195"/>
  <c r="B454"/>
  <c r="B595"/>
  <c r="B241"/>
  <c r="C813"/>
  <c r="C294"/>
  <c r="C992"/>
  <c r="C1132"/>
  <c r="C237"/>
  <c r="C740"/>
  <c r="C1352"/>
  <c r="C643"/>
</calcChain>
</file>

<file path=xl/sharedStrings.xml><?xml version="1.0" encoding="utf-8"?>
<sst xmlns="http://schemas.openxmlformats.org/spreadsheetml/2006/main" count="7982" uniqueCount="1912">
  <si>
    <t>BOOL_BIT</t>
  </si>
  <si>
    <t>INT_REG</t>
  </si>
  <si>
    <t>INT_CTV</t>
  </si>
  <si>
    <t>REEL_REG</t>
  </si>
  <si>
    <t>REEL_CTV</t>
  </si>
  <si>
    <t>BOOL_CMD</t>
  </si>
  <si>
    <t>BOOL_ALA</t>
  </si>
  <si>
    <t>F2</t>
  </si>
  <si>
    <t>F3</t>
  </si>
  <si>
    <t>F4</t>
  </si>
  <si>
    <t>F5</t>
  </si>
  <si>
    <t>F6</t>
  </si>
  <si>
    <t>F7</t>
  </si>
  <si>
    <t>F8</t>
  </si>
  <si>
    <t>F9</t>
  </si>
  <si>
    <t>F10</t>
  </si>
  <si>
    <t>F11</t>
  </si>
  <si>
    <t>F17</t>
  </si>
  <si>
    <t>F18</t>
  </si>
  <si>
    <t>F19</t>
  </si>
  <si>
    <t>Feu_Cmd</t>
  </si>
  <si>
    <t>F22</t>
  </si>
  <si>
    <t>F23</t>
  </si>
  <si>
    <t>F24</t>
  </si>
  <si>
    <t>F25</t>
  </si>
  <si>
    <t>F26</t>
  </si>
  <si>
    <t>F27</t>
  </si>
  <si>
    <t>P2</t>
  </si>
  <si>
    <t>P9</t>
  </si>
  <si>
    <t>P11</t>
  </si>
  <si>
    <t>TRSS1</t>
  </si>
  <si>
    <t>Signal</t>
  </si>
  <si>
    <t>CmdForc</t>
  </si>
  <si>
    <t>C1</t>
  </si>
  <si>
    <t>C2</t>
  </si>
  <si>
    <t>C3</t>
  </si>
  <si>
    <t>C4</t>
  </si>
  <si>
    <t>C5</t>
  </si>
  <si>
    <t>C6</t>
  </si>
  <si>
    <t>C7</t>
  </si>
  <si>
    <t>C8</t>
  </si>
  <si>
    <t>C9</t>
  </si>
  <si>
    <t>C10</t>
  </si>
  <si>
    <t>Zone/Batiment</t>
  </si>
  <si>
    <t>Repère équipement</t>
  </si>
  <si>
    <t>P1</t>
  </si>
  <si>
    <t>P3</t>
  </si>
  <si>
    <t>P4</t>
  </si>
  <si>
    <t>P5</t>
  </si>
  <si>
    <t>P6</t>
  </si>
  <si>
    <t>P7</t>
  </si>
  <si>
    <t>P8</t>
  </si>
  <si>
    <t>P4P5P6</t>
  </si>
  <si>
    <t>P1P2P3</t>
  </si>
  <si>
    <t>P10</t>
  </si>
  <si>
    <t>PassEffec</t>
  </si>
  <si>
    <t>AutorBadge</t>
  </si>
  <si>
    <t>DmdOuv</t>
  </si>
  <si>
    <t>UTLR1</t>
  </si>
  <si>
    <t>UTLR2</t>
  </si>
  <si>
    <t>UTLR3</t>
  </si>
  <si>
    <t>UTLR4</t>
  </si>
  <si>
    <t>UTLR6</t>
  </si>
  <si>
    <t>UTLR7</t>
  </si>
  <si>
    <t>UTLR8</t>
  </si>
  <si>
    <t>UTLR9</t>
  </si>
  <si>
    <t>UTLR10</t>
  </si>
  <si>
    <t>UTLR11</t>
  </si>
  <si>
    <t>UTLR12</t>
  </si>
  <si>
    <t>B2</t>
  </si>
  <si>
    <t>B3</t>
  </si>
  <si>
    <t>UTLB4</t>
  </si>
  <si>
    <t>UTLB6</t>
  </si>
  <si>
    <t>UTLB7</t>
  </si>
  <si>
    <t>UTLB10</t>
  </si>
  <si>
    <t>UTLB11</t>
  </si>
  <si>
    <t>CORA1</t>
  </si>
  <si>
    <t>CORA2</t>
  </si>
  <si>
    <t>CORA3</t>
  </si>
  <si>
    <t>CORA4</t>
  </si>
  <si>
    <t>CORA5</t>
  </si>
  <si>
    <t>CORA6</t>
  </si>
  <si>
    <t>CORA7</t>
  </si>
  <si>
    <t>DEVR1</t>
  </si>
  <si>
    <t>DEVR2</t>
  </si>
  <si>
    <t>DEVR3</t>
  </si>
  <si>
    <t>B1</t>
  </si>
  <si>
    <t>B4</t>
  </si>
  <si>
    <t>B6</t>
  </si>
  <si>
    <t>B7</t>
  </si>
  <si>
    <t>B8</t>
  </si>
  <si>
    <t>B9</t>
  </si>
  <si>
    <t>B10</t>
  </si>
  <si>
    <t>B11</t>
  </si>
  <si>
    <t>B12</t>
  </si>
  <si>
    <t>B13</t>
  </si>
  <si>
    <t>B14</t>
  </si>
  <si>
    <t>B15</t>
  </si>
  <si>
    <t>B16</t>
  </si>
  <si>
    <t>B17</t>
  </si>
  <si>
    <t>B18</t>
  </si>
  <si>
    <t>B19</t>
  </si>
  <si>
    <t>B21</t>
  </si>
  <si>
    <t>B22</t>
  </si>
  <si>
    <t>B23</t>
  </si>
  <si>
    <t>B24</t>
  </si>
  <si>
    <t>B25</t>
  </si>
  <si>
    <t>B26</t>
  </si>
  <si>
    <t>B27</t>
  </si>
  <si>
    <t>B28</t>
  </si>
  <si>
    <t>B29</t>
  </si>
  <si>
    <t>B30</t>
  </si>
  <si>
    <t>B31</t>
  </si>
  <si>
    <t>B32</t>
  </si>
  <si>
    <t>B33</t>
  </si>
  <si>
    <t>B34</t>
  </si>
  <si>
    <t>B35</t>
  </si>
  <si>
    <t>B36</t>
  </si>
  <si>
    <t>B37</t>
  </si>
  <si>
    <t>BR1</t>
  </si>
  <si>
    <t>BR2</t>
  </si>
  <si>
    <t>BR3</t>
  </si>
  <si>
    <t>AVB1</t>
  </si>
  <si>
    <t>AVB2</t>
  </si>
  <si>
    <t>BH1</t>
  </si>
  <si>
    <t>BH2</t>
  </si>
  <si>
    <t>BH3</t>
  </si>
  <si>
    <t>BH4</t>
  </si>
  <si>
    <t>BH5</t>
  </si>
  <si>
    <t>BH6</t>
  </si>
  <si>
    <t>BH7</t>
  </si>
  <si>
    <t>BH8</t>
  </si>
  <si>
    <t>BH9</t>
  </si>
  <si>
    <t>BH10</t>
  </si>
  <si>
    <t>TRSD1</t>
  </si>
  <si>
    <t>PMR3</t>
  </si>
  <si>
    <t>TRSD2</t>
  </si>
  <si>
    <t>PMR4</t>
  </si>
  <si>
    <t>TRSD3</t>
  </si>
  <si>
    <t>TRSD4</t>
  </si>
  <si>
    <t>PMR5</t>
  </si>
  <si>
    <t>PMR6</t>
  </si>
  <si>
    <t>PMR1</t>
  </si>
  <si>
    <t>PMR2</t>
  </si>
  <si>
    <t>EL1</t>
  </si>
  <si>
    <t>EL2</t>
  </si>
  <si>
    <t>EL3</t>
  </si>
  <si>
    <t>EL4</t>
  </si>
  <si>
    <t>EL5</t>
  </si>
  <si>
    <t>EL6</t>
  </si>
  <si>
    <t>EL7</t>
  </si>
  <si>
    <t>EL8</t>
  </si>
  <si>
    <t>EL9</t>
  </si>
  <si>
    <t>EL10</t>
  </si>
  <si>
    <t>EL11</t>
  </si>
  <si>
    <t>EL12</t>
  </si>
  <si>
    <t>EL13</t>
  </si>
  <si>
    <t>EL14</t>
  </si>
  <si>
    <t>EL15</t>
  </si>
  <si>
    <t>EL16</t>
  </si>
  <si>
    <t>EL17</t>
  </si>
  <si>
    <t>EL18</t>
  </si>
  <si>
    <t>EL19</t>
  </si>
  <si>
    <t>EL20</t>
  </si>
  <si>
    <t>EL21</t>
  </si>
  <si>
    <t>EL22</t>
  </si>
  <si>
    <t>EL23</t>
  </si>
  <si>
    <t>EL24</t>
  </si>
  <si>
    <t>EL25</t>
  </si>
  <si>
    <t>EL26</t>
  </si>
  <si>
    <t>EL27</t>
  </si>
  <si>
    <t>EL28</t>
  </si>
  <si>
    <t>EL29</t>
  </si>
  <si>
    <t>EL30</t>
  </si>
  <si>
    <t>EL31</t>
  </si>
  <si>
    <t>EL32</t>
  </si>
  <si>
    <t>EL33</t>
  </si>
  <si>
    <t>EL34</t>
  </si>
  <si>
    <t>EL35</t>
  </si>
  <si>
    <t>EL36</t>
  </si>
  <si>
    <t>EL37</t>
  </si>
  <si>
    <t>EL38</t>
  </si>
  <si>
    <t>EL39</t>
  </si>
  <si>
    <t>EL40</t>
  </si>
  <si>
    <t>EL41</t>
  </si>
  <si>
    <t>EL42</t>
  </si>
  <si>
    <t>TEA1</t>
  </si>
  <si>
    <t>TEA2</t>
  </si>
  <si>
    <t>TEA3</t>
  </si>
  <si>
    <t>TEA4</t>
  </si>
  <si>
    <t>TEA5</t>
  </si>
  <si>
    <t>TEA6</t>
  </si>
  <si>
    <t>TEA7</t>
  </si>
  <si>
    <t>TEA8</t>
  </si>
  <si>
    <t>TEA9</t>
  </si>
  <si>
    <t>TEA10</t>
  </si>
  <si>
    <t>TEA11</t>
  </si>
  <si>
    <t>TEA12</t>
  </si>
  <si>
    <t>TEA13</t>
  </si>
  <si>
    <t>TEA14</t>
  </si>
  <si>
    <t>TEA15</t>
  </si>
  <si>
    <t>TEA16</t>
  </si>
  <si>
    <t>TEA17</t>
  </si>
  <si>
    <t>TEA18</t>
  </si>
  <si>
    <t>TEA19</t>
  </si>
  <si>
    <t>TEA20</t>
  </si>
  <si>
    <t>TEA21</t>
  </si>
  <si>
    <t>TEA22</t>
  </si>
  <si>
    <t>TEA23</t>
  </si>
  <si>
    <t>TEA24</t>
  </si>
  <si>
    <t>TEA25</t>
  </si>
  <si>
    <t>TEA26</t>
  </si>
  <si>
    <t>TEA27</t>
  </si>
  <si>
    <t>X</t>
  </si>
  <si>
    <t>S1</t>
  </si>
  <si>
    <t>E3</t>
  </si>
  <si>
    <t>V1</t>
  </si>
  <si>
    <t>V2</t>
  </si>
  <si>
    <t>V3</t>
  </si>
  <si>
    <t>V4</t>
  </si>
  <si>
    <t>V5</t>
  </si>
  <si>
    <t>GR</t>
  </si>
  <si>
    <t>Al</t>
  </si>
  <si>
    <t>Rack</t>
  </si>
  <si>
    <t>FeuV_Cmd</t>
  </si>
  <si>
    <t>FeuO_Cmd</t>
  </si>
  <si>
    <t>FeuR_Cmd</t>
  </si>
  <si>
    <t>Vx_CellInfraInt</t>
  </si>
  <si>
    <t>Vx_CellInfraExt</t>
  </si>
  <si>
    <t>Vx_OuvCmd</t>
  </si>
  <si>
    <t>Vx_SignalCmd</t>
  </si>
  <si>
    <t>Vx_GrpHydAlimDef</t>
  </si>
  <si>
    <t>Vx_EVEtatAlim</t>
  </si>
  <si>
    <t>VG_Ouv</t>
  </si>
  <si>
    <t>VG_Fer</t>
  </si>
  <si>
    <t>VD_Fer</t>
  </si>
  <si>
    <t>VD_Ouv</t>
  </si>
  <si>
    <t>VD_BandeP</t>
  </si>
  <si>
    <t>VG_BandeP</t>
  </si>
  <si>
    <t>V_OuvCmd</t>
  </si>
  <si>
    <t>V_Ouv</t>
  </si>
  <si>
    <t>V1_SignalCmd</t>
  </si>
  <si>
    <t>V1_OuvCmd</t>
  </si>
  <si>
    <t>V1_Ouv</t>
  </si>
  <si>
    <t>V1_OuvProtect</t>
  </si>
  <si>
    <t>V1_FerProtect</t>
  </si>
  <si>
    <t>V2_SignalCmd</t>
  </si>
  <si>
    <t>V2_OuvCmd</t>
  </si>
  <si>
    <t>V2_Ouv</t>
  </si>
  <si>
    <t>V2_OuvProtect</t>
  </si>
  <si>
    <t>V2_FerProtect</t>
  </si>
  <si>
    <t>Vx_OuvGCmd</t>
  </si>
  <si>
    <t>Vx_FerGCmd</t>
  </si>
  <si>
    <t>RetMa</t>
  </si>
  <si>
    <t>_</t>
  </si>
  <si>
    <t>FerCmd</t>
  </si>
  <si>
    <t>OuvCmd</t>
  </si>
  <si>
    <t>Ouv</t>
  </si>
  <si>
    <t>Fer</t>
  </si>
  <si>
    <t>SynthDef</t>
  </si>
  <si>
    <t>Def</t>
  </si>
  <si>
    <t>Info</t>
  </si>
  <si>
    <t>Pres</t>
  </si>
  <si>
    <t>SynthEffr</t>
  </si>
  <si>
    <t>TE_OuvCmd</t>
  </si>
  <si>
    <t>TE_PassageOK</t>
  </si>
  <si>
    <t>TS_PassageOK</t>
  </si>
  <si>
    <t>T_SynthDef</t>
  </si>
  <si>
    <t>T1E_OuvCmd</t>
  </si>
  <si>
    <t>T2E_OuvCmd</t>
  </si>
  <si>
    <t>T1E_PassageOK</t>
  </si>
  <si>
    <t>T1S_PassageOK</t>
  </si>
  <si>
    <t>T2E_PassageOK</t>
  </si>
  <si>
    <t>T2S_PassageOK</t>
  </si>
  <si>
    <t>Appui</t>
  </si>
  <si>
    <t>-</t>
  </si>
  <si>
    <t>CmdOuv</t>
  </si>
  <si>
    <t>P12</t>
  </si>
  <si>
    <t>P13</t>
  </si>
  <si>
    <t>BH11</t>
  </si>
  <si>
    <t>BH12</t>
  </si>
  <si>
    <t>V123</t>
  </si>
  <si>
    <t>V12</t>
  </si>
  <si>
    <t>Ext</t>
  </si>
  <si>
    <t>Detect</t>
  </si>
  <si>
    <t>FeuR_RM</t>
  </si>
  <si>
    <t>FeuV_RM</t>
  </si>
  <si>
    <t>FeuO_RM</t>
  </si>
  <si>
    <t>Feu_RM</t>
  </si>
  <si>
    <t>F13</t>
  </si>
  <si>
    <t>F14</t>
  </si>
  <si>
    <t>F15</t>
  </si>
  <si>
    <t>F16</t>
  </si>
  <si>
    <t>TE_PictoAutor</t>
  </si>
  <si>
    <t>TS_PictoAutor</t>
  </si>
  <si>
    <t>T1E_PictoAutor</t>
  </si>
  <si>
    <t>T1S_PictoAutor</t>
  </si>
  <si>
    <t>T2E_PictoAutor</t>
  </si>
  <si>
    <t>T2S_PictoAutor</t>
  </si>
  <si>
    <t>BP1</t>
  </si>
  <si>
    <t>BP2</t>
  </si>
  <si>
    <t>PGA_CDP1</t>
  </si>
  <si>
    <t>PCS_ARUMONU</t>
  </si>
  <si>
    <t>PCS_CDP3</t>
  </si>
  <si>
    <t>VIGIE_ARUP1</t>
  </si>
  <si>
    <t>VIGIE_ARUP2</t>
  </si>
  <si>
    <t>VIGIE_CDP2</t>
  </si>
  <si>
    <t>DescCmd</t>
  </si>
  <si>
    <t>Descendu</t>
  </si>
  <si>
    <t>ECLNasse</t>
  </si>
  <si>
    <t>ECLPK</t>
  </si>
  <si>
    <t>ECLGR</t>
  </si>
  <si>
    <t>UTLB8_1</t>
  </si>
  <si>
    <t>UTLB9_1</t>
  </si>
  <si>
    <t>UTLB12_1</t>
  </si>
  <si>
    <t>UTLB13_1</t>
  </si>
  <si>
    <t>UTLB13_2</t>
  </si>
  <si>
    <t>UTLB12_2</t>
  </si>
  <si>
    <t>UTLB9_2</t>
  </si>
  <si>
    <t>UTLB8_2</t>
  </si>
  <si>
    <t>UTLB5</t>
  </si>
  <si>
    <t>VIGIE_LocDist</t>
  </si>
  <si>
    <t>PV1</t>
  </si>
  <si>
    <t>UTLB1</t>
  </si>
  <si>
    <t>UTLB2</t>
  </si>
  <si>
    <t>UTLB3</t>
  </si>
  <si>
    <t>V1_R2-1C4V2_BH1_ST_OuvCmd</t>
  </si>
  <si>
    <t>V1_R2-1C4V3_BH1_ST_FerCmd</t>
  </si>
  <si>
    <t>Vx_Verrouil</t>
  </si>
  <si>
    <t>V1_R2-1C7V12_BH1_ET_Ouv</t>
  </si>
  <si>
    <t>V1_R2-1C7V13_BH1_ET_Fer</t>
  </si>
  <si>
    <t>API/RIO</t>
  </si>
  <si>
    <t>N°Carte sur le rack</t>
  </si>
  <si>
    <t>Voie sur la carte</t>
  </si>
  <si>
    <t>Type de signal</t>
  </si>
  <si>
    <t>V0</t>
  </si>
  <si>
    <t>N°RackRIO</t>
  </si>
  <si>
    <t>AL (ALAS)</t>
  </si>
  <si>
    <t>R1 (RIO1)</t>
  </si>
  <si>
    <t>Fx</t>
  </si>
  <si>
    <t>B11 (B11)</t>
  </si>
  <si>
    <t>R2 (RIO2)</t>
  </si>
  <si>
    <t>Px</t>
  </si>
  <si>
    <t>B21 (B21)</t>
  </si>
  <si>
    <t>R3 (RIO3)</t>
  </si>
  <si>
    <t>BHx</t>
  </si>
  <si>
    <t>B22 (B22)</t>
  </si>
  <si>
    <t>R4 (RIO4)</t>
  </si>
  <si>
    <t>BRx</t>
  </si>
  <si>
    <t>EXT (Extérieur)</t>
  </si>
  <si>
    <t>R5 (RIO5)</t>
  </si>
  <si>
    <t>Bx</t>
  </si>
  <si>
    <t>GR ( Gare routière)</t>
  </si>
  <si>
    <t>R6 (RIO6)</t>
  </si>
  <si>
    <t>CORAx</t>
  </si>
  <si>
    <t>V1 (Voie 1)</t>
  </si>
  <si>
    <t>R7 (RIO7)</t>
  </si>
  <si>
    <t>V6</t>
  </si>
  <si>
    <t>ULTx</t>
  </si>
  <si>
    <t>V2 (Voie 2)</t>
  </si>
  <si>
    <t>R8 (RIO8)</t>
  </si>
  <si>
    <t>V7</t>
  </si>
  <si>
    <t>PMRx</t>
  </si>
  <si>
    <t>V3 (Voie 3)</t>
  </si>
  <si>
    <t>V8</t>
  </si>
  <si>
    <t>TRSx</t>
  </si>
  <si>
    <t>V4 (Voie 4)</t>
  </si>
  <si>
    <t>V9</t>
  </si>
  <si>
    <t>CPx</t>
  </si>
  <si>
    <t>V5 (Voie 5)</t>
  </si>
  <si>
    <t>V10</t>
  </si>
  <si>
    <t>DEVERx</t>
  </si>
  <si>
    <t>V12 (Voie 1 et 2)</t>
  </si>
  <si>
    <t>V11</t>
  </si>
  <si>
    <t>ARUx</t>
  </si>
  <si>
    <t>V123 (Voie 1, 2 et 3)</t>
  </si>
  <si>
    <t>CDPx</t>
  </si>
  <si>
    <t>X (A DEFINIR)</t>
  </si>
  <si>
    <t>V13</t>
  </si>
  <si>
    <t>AVBx</t>
  </si>
  <si>
    <t>V14</t>
  </si>
  <si>
    <t>TEAx</t>
  </si>
  <si>
    <t>V15</t>
  </si>
  <si>
    <t>Elx</t>
  </si>
  <si>
    <t>BPx</t>
  </si>
  <si>
    <t>ECLx</t>
  </si>
  <si>
    <t>ET (Entrée TOR)</t>
  </si>
  <si>
    <t>ST (Sortie TOR)</t>
  </si>
  <si>
    <t>Correspond au batiment concerné par l'entrée ou la sortie</t>
  </si>
  <si>
    <t>Rx Correspond au numéro du RIO sur le quel est connecté l'entrée ou la sortie</t>
  </si>
  <si>
    <t>Numéro de rack RIO 1 (Rack principale) 2 (Rack secondaire)</t>
  </si>
  <si>
    <t>Numéro de carte sur le rack</t>
  </si>
  <si>
    <t>Numéro de voie sur la carte</t>
  </si>
  <si>
    <t>Le repère équipement correspond à l'identifiant de l'équipement</t>
  </si>
  <si>
    <t>...</t>
  </si>
  <si>
    <t>Exemple :</t>
  </si>
  <si>
    <t>Commande d'ouverture de la barrière BH1 de la voie 1 qui est câblée sur la voie 2 de la carte 4 du RIO 2 Principale</t>
  </si>
  <si>
    <t>Commande de fermeture de la barrière BH1 de la voie 1 qui est câblée sur la voie 3 de la carte 4 du RIO 2 Principale</t>
  </si>
  <si>
    <t>Retour d'état ouvert de la barrière BH1 de la voie 1 qui est câblée sur la voie 12 de la carte 7 du RIO 2 Principale</t>
  </si>
  <si>
    <t>Retour d'état fermé de la barrière BH1 de la voie 1 qui est câblée sur la voie 13 de la carte 7 du RIO 2 Principale</t>
  </si>
  <si>
    <t>Correspond à la désignation de l'entrée ou sortie</t>
  </si>
  <si>
    <t xml:space="preserve"> ET (Entrée Tout Ou Rien), ST (Sortie Tout Ou Rien)</t>
  </si>
  <si>
    <t>RESERVE</t>
  </si>
  <si>
    <t>Objectif : Assurer que les noms des variables, fonctions, classes, et autres éléments de code soient clairs, descriptifs et compréhensibles.</t>
  </si>
  <si>
    <t>TEA28</t>
  </si>
  <si>
    <t>TEA29</t>
  </si>
  <si>
    <t>TEA30</t>
  </si>
  <si>
    <t>TEA31</t>
  </si>
  <si>
    <t>TEA32</t>
  </si>
  <si>
    <t>TEA33</t>
  </si>
  <si>
    <t>TEA34</t>
  </si>
  <si>
    <t>TEA35</t>
  </si>
  <si>
    <t>TEA36</t>
  </si>
  <si>
    <t>TEA37</t>
  </si>
  <si>
    <t>TEA38</t>
  </si>
  <si>
    <t>TEA39</t>
  </si>
  <si>
    <t>TEA40</t>
  </si>
  <si>
    <t>TEA41</t>
  </si>
  <si>
    <t>TEA42</t>
  </si>
  <si>
    <t>TEA43</t>
  </si>
  <si>
    <t>TEA44</t>
  </si>
  <si>
    <t>TEA45</t>
  </si>
  <si>
    <t>TEA46</t>
  </si>
  <si>
    <t>TEA47</t>
  </si>
  <si>
    <t>TEA48</t>
  </si>
  <si>
    <t>TEA49</t>
  </si>
  <si>
    <t>TEA50</t>
  </si>
  <si>
    <t>TEA51</t>
  </si>
  <si>
    <t>TEA52</t>
  </si>
  <si>
    <t>TEA53</t>
  </si>
  <si>
    <t>TEA54</t>
  </si>
  <si>
    <t>TEA55</t>
  </si>
  <si>
    <t>TEA56</t>
  </si>
  <si>
    <t>TEA57</t>
  </si>
  <si>
    <t>TEA58</t>
  </si>
  <si>
    <t>TEA59</t>
  </si>
  <si>
    <t>TEA60</t>
  </si>
  <si>
    <t>TEA61</t>
  </si>
  <si>
    <t>TEA62</t>
  </si>
  <si>
    <t>TEA63</t>
  </si>
  <si>
    <t>TEA64</t>
  </si>
  <si>
    <t>TEA65</t>
  </si>
  <si>
    <t>TEA66</t>
  </si>
  <si>
    <t>TEA67</t>
  </si>
  <si>
    <t>TEA68</t>
  </si>
  <si>
    <t>TEA69</t>
  </si>
  <si>
    <t>TEA70</t>
  </si>
  <si>
    <t>TEA71</t>
  </si>
  <si>
    <t>TEA72</t>
  </si>
  <si>
    <t>TEA73</t>
  </si>
  <si>
    <t>TEA74</t>
  </si>
  <si>
    <t>TEA75</t>
  </si>
  <si>
    <t>TEA76</t>
  </si>
  <si>
    <t>TEA77</t>
  </si>
  <si>
    <t>TEA78</t>
  </si>
  <si>
    <t>TEA79</t>
  </si>
  <si>
    <t>TEA80</t>
  </si>
  <si>
    <t>V1/V2</t>
  </si>
  <si>
    <t>TEA81</t>
  </si>
  <si>
    <t>TEA82</t>
  </si>
  <si>
    <t>TEA83</t>
  </si>
  <si>
    <t>TEA84</t>
  </si>
  <si>
    <t>TEA85</t>
  </si>
  <si>
    <t>TEA86</t>
  </si>
  <si>
    <t>TEA87</t>
  </si>
  <si>
    <t>TEA88</t>
  </si>
  <si>
    <t>TEA89</t>
  </si>
  <si>
    <t>TEA90</t>
  </si>
  <si>
    <t>V_FerCmd2</t>
  </si>
  <si>
    <t>V1_FerCmd2</t>
  </si>
  <si>
    <t>V2_StopCmd</t>
  </si>
  <si>
    <t>V2_FerCmd1</t>
  </si>
  <si>
    <t>CmdFer</t>
  </si>
  <si>
    <t>FerCmd2</t>
  </si>
  <si>
    <t>MontCmd2</t>
  </si>
  <si>
    <t>TS_OuvCmd1</t>
  </si>
  <si>
    <t>TS_OuvCmd2</t>
  </si>
  <si>
    <t>T2S_OuvCmd2</t>
  </si>
  <si>
    <t>T1S_OuvCmd1</t>
  </si>
  <si>
    <t>V1_FerRet2</t>
  </si>
  <si>
    <t>V2_FerRet1</t>
  </si>
  <si>
    <t>V1_Fer2</t>
  </si>
  <si>
    <t>V2_Fer1</t>
  </si>
  <si>
    <t>V2_OuvFerProtectBarrage</t>
  </si>
  <si>
    <t>Decl1</t>
  </si>
  <si>
    <t>Fer2</t>
  </si>
  <si>
    <t>TS_OuvRet1</t>
  </si>
  <si>
    <t>Effraction</t>
  </si>
  <si>
    <t>Deverrouillage</t>
  </si>
  <si>
    <t>T1S_OuvRet2</t>
  </si>
  <si>
    <t>T1_SynthDef</t>
  </si>
  <si>
    <t>T1S_OuvRet1</t>
  </si>
  <si>
    <t>T1_Fer</t>
  </si>
  <si>
    <t>T1S_OuvCmd2</t>
  </si>
  <si>
    <t>T2S_OuvCmd1</t>
  </si>
  <si>
    <t>Fer1</t>
  </si>
  <si>
    <t>FerRet2</t>
  </si>
  <si>
    <t>MontRet2</t>
  </si>
  <si>
    <t>Montee1</t>
  </si>
  <si>
    <t>V_FerRet2</t>
  </si>
  <si>
    <t>V_Fer2</t>
  </si>
  <si>
    <t>F21</t>
  </si>
  <si>
    <t>T2S_OuvRet2</t>
  </si>
  <si>
    <t>T2_SynthDef</t>
  </si>
  <si>
    <t>EL43</t>
  </si>
  <si>
    <t>T2_Fer</t>
  </si>
  <si>
    <t>T2S_OuvRet1</t>
  </si>
  <si>
    <t>TS_OuvRet2</t>
  </si>
  <si>
    <t>Vx_OuvGCmd1</t>
  </si>
  <si>
    <t>V1_GrpHydCmd1</t>
  </si>
  <si>
    <t>V1_FerCmd1</t>
  </si>
  <si>
    <t>V2_GrpHydCmd2</t>
  </si>
  <si>
    <t>V2_FerCmd2</t>
  </si>
  <si>
    <t>Vx_GrpHydCmd1</t>
  </si>
  <si>
    <t>Vx_FerCmd1</t>
  </si>
  <si>
    <t>Vx_GrpHydCmd2</t>
  </si>
  <si>
    <t>Vx_FerCmd2</t>
  </si>
  <si>
    <t>FerCmd1</t>
  </si>
  <si>
    <t>Vx_GacheOuv1</t>
  </si>
  <si>
    <t>V2_GrpHydRet2</t>
  </si>
  <si>
    <t>V2_FerRet2</t>
  </si>
  <si>
    <t>V2_Fer2</t>
  </si>
  <si>
    <t>V1_Fer1</t>
  </si>
  <si>
    <t>V1_ProtectBarrage</t>
  </si>
  <si>
    <t>Vx_Disj</t>
  </si>
  <si>
    <t>V1_GrpHydRet1</t>
  </si>
  <si>
    <t>V_FerRet1</t>
  </si>
  <si>
    <t>V_GrpHydRet1</t>
  </si>
  <si>
    <t>PresTension</t>
  </si>
  <si>
    <t>FerRet1</t>
  </si>
  <si>
    <t>FeuB_Cmd</t>
  </si>
  <si>
    <t>Buzzer_Cmd</t>
  </si>
  <si>
    <t>BP3</t>
  </si>
  <si>
    <t>EL44</t>
  </si>
  <si>
    <t>EL45</t>
  </si>
  <si>
    <t>V1_FerRet1</t>
  </si>
  <si>
    <t>V_GrpHydRet2</t>
  </si>
  <si>
    <t>VD_Fer2</t>
  </si>
  <si>
    <t>VG_Fer2</t>
  </si>
  <si>
    <t>PPH82</t>
  </si>
  <si>
    <t>PPH83</t>
  </si>
  <si>
    <t>PPH84</t>
  </si>
  <si>
    <t>PPH85</t>
  </si>
  <si>
    <t>PPH86</t>
  </si>
  <si>
    <t>PPH87</t>
  </si>
  <si>
    <t>PPH88</t>
  </si>
  <si>
    <t>PPH89</t>
  </si>
  <si>
    <t>PPH90</t>
  </si>
  <si>
    <t>PPH91</t>
  </si>
  <si>
    <t>PPH92</t>
  </si>
  <si>
    <t>PPH93</t>
  </si>
  <si>
    <t>PPH94</t>
  </si>
  <si>
    <t>PPH95</t>
  </si>
  <si>
    <t>PPH96</t>
  </si>
  <si>
    <t>PPH97</t>
  </si>
  <si>
    <t>V1_GrpHydCmd2</t>
  </si>
  <si>
    <t>V2_GrpHydCmd1</t>
  </si>
  <si>
    <t>V1_GrpHydRet2</t>
  </si>
  <si>
    <t>V2_ProtectBarrage</t>
  </si>
  <si>
    <t>V2_GrpHydRet1</t>
  </si>
  <si>
    <t>Vx_OuvGCmd2</t>
  </si>
  <si>
    <t>BP4</t>
  </si>
  <si>
    <t>Vx_GacheOuv2</t>
  </si>
  <si>
    <t>V1_OuvFerProtectBarrage</t>
  </si>
  <si>
    <t>BP5</t>
  </si>
  <si>
    <t>EL46</t>
  </si>
  <si>
    <t>EL47</t>
  </si>
  <si>
    <t>V2V3</t>
  </si>
  <si>
    <t>P1P2</t>
  </si>
  <si>
    <t>PPH98</t>
  </si>
  <si>
    <t>PPH99</t>
  </si>
  <si>
    <t>PPH100</t>
  </si>
  <si>
    <t>PPH101</t>
  </si>
  <si>
    <t>PPH102</t>
  </si>
  <si>
    <t>V_FerCmd1</t>
  </si>
  <si>
    <t>MontCmd1</t>
  </si>
  <si>
    <t>V_VentColle</t>
  </si>
  <si>
    <t>V_Fer1</t>
  </si>
  <si>
    <t>V_BandeP</t>
  </si>
  <si>
    <t>V_CellInfraInt</t>
  </si>
  <si>
    <t>V_CellInfraExt</t>
  </si>
  <si>
    <t>Montee2</t>
  </si>
  <si>
    <t>MontRet1</t>
  </si>
  <si>
    <t>F12</t>
  </si>
  <si>
    <t>PPH79</t>
  </si>
  <si>
    <t>PPH80</t>
  </si>
  <si>
    <t>PPH81</t>
  </si>
  <si>
    <t>B38</t>
  </si>
  <si>
    <t>P2P3</t>
  </si>
  <si>
    <t>PPH41</t>
  </si>
  <si>
    <t>PPH42</t>
  </si>
  <si>
    <t>PPH43</t>
  </si>
  <si>
    <t>PPH44</t>
  </si>
  <si>
    <t>PPH45</t>
  </si>
  <si>
    <t>PPH46</t>
  </si>
  <si>
    <t>PPH47</t>
  </si>
  <si>
    <t>PPH48</t>
  </si>
  <si>
    <t>PPH49</t>
  </si>
  <si>
    <t>PPH50</t>
  </si>
  <si>
    <t>PPH51</t>
  </si>
  <si>
    <t>PPH52</t>
  </si>
  <si>
    <t>PPH53</t>
  </si>
  <si>
    <t>PPH54</t>
  </si>
  <si>
    <t>PPH55</t>
  </si>
  <si>
    <t>PPH56</t>
  </si>
  <si>
    <t>PPH57</t>
  </si>
  <si>
    <t>PPH58</t>
  </si>
  <si>
    <t>PPH59</t>
  </si>
  <si>
    <t>PPH60</t>
  </si>
  <si>
    <t>PPH61</t>
  </si>
  <si>
    <t>PPH62</t>
  </si>
  <si>
    <t>TECH13</t>
  </si>
  <si>
    <t>TECH14</t>
  </si>
  <si>
    <t>PPH65</t>
  </si>
  <si>
    <t>PPH66</t>
  </si>
  <si>
    <t>TECH15</t>
  </si>
  <si>
    <t>PPH67</t>
  </si>
  <si>
    <t>PPH68</t>
  </si>
  <si>
    <t>TECH16</t>
  </si>
  <si>
    <t>PPH69</t>
  </si>
  <si>
    <t>PPH70</t>
  </si>
  <si>
    <t>TECH17</t>
  </si>
  <si>
    <t>PPH71</t>
  </si>
  <si>
    <t>PPH72</t>
  </si>
  <si>
    <t>TECH18</t>
  </si>
  <si>
    <t>PPH73</t>
  </si>
  <si>
    <t>PPH74</t>
  </si>
  <si>
    <t>TECH19</t>
  </si>
  <si>
    <t>PPH75</t>
  </si>
  <si>
    <t>PPH76</t>
  </si>
  <si>
    <t>TECH20</t>
  </si>
  <si>
    <t>TECH21</t>
  </si>
  <si>
    <t>TECH22</t>
  </si>
  <si>
    <t>PPH77</t>
  </si>
  <si>
    <t>PPH78</t>
  </si>
  <si>
    <t>V1_StopCmd</t>
  </si>
  <si>
    <t>XX</t>
  </si>
  <si>
    <t>Decl2</t>
  </si>
  <si>
    <t>BP6</t>
  </si>
  <si>
    <t>B39</t>
  </si>
  <si>
    <t>StopCmd</t>
  </si>
  <si>
    <t>Comut_PCSVIGIE</t>
  </si>
  <si>
    <t>Deverrouillage2</t>
  </si>
  <si>
    <t>PCS_ARUBLEU</t>
  </si>
  <si>
    <t>Deverrouillage1</t>
  </si>
  <si>
    <t>PPH1</t>
  </si>
  <si>
    <t>PPH2</t>
  </si>
  <si>
    <t>PPH3</t>
  </si>
  <si>
    <t>PPH4</t>
  </si>
  <si>
    <t>PPH5</t>
  </si>
  <si>
    <t>PPH6</t>
  </si>
  <si>
    <t>PPH7</t>
  </si>
  <si>
    <t>PPH8</t>
  </si>
  <si>
    <t>PPH9</t>
  </si>
  <si>
    <t>PPH10</t>
  </si>
  <si>
    <t>PPH11</t>
  </si>
  <si>
    <t>PPH12</t>
  </si>
  <si>
    <t>PPH13</t>
  </si>
  <si>
    <t>PPH14</t>
  </si>
  <si>
    <t>PPH15</t>
  </si>
  <si>
    <t>PPH16</t>
  </si>
  <si>
    <t>TECH1</t>
  </si>
  <si>
    <t>TECH2</t>
  </si>
  <si>
    <t>TECH3</t>
  </si>
  <si>
    <t>SSI1</t>
  </si>
  <si>
    <t>SSI2</t>
  </si>
  <si>
    <t>SSI3</t>
  </si>
  <si>
    <t>SSI4</t>
  </si>
  <si>
    <t>SSI5</t>
  </si>
  <si>
    <t>SSI6</t>
  </si>
  <si>
    <t>SSI7</t>
  </si>
  <si>
    <t>PPH17</t>
  </si>
  <si>
    <t>PPH18</t>
  </si>
  <si>
    <t>TECH4</t>
  </si>
  <si>
    <t>PPH19</t>
  </si>
  <si>
    <t>PPH20</t>
  </si>
  <si>
    <t>TECH5</t>
  </si>
  <si>
    <t>PPH21</t>
  </si>
  <si>
    <t>PPH22</t>
  </si>
  <si>
    <t>TECH6</t>
  </si>
  <si>
    <t>PPH23</t>
  </si>
  <si>
    <t>PPH24</t>
  </si>
  <si>
    <t>TECH7</t>
  </si>
  <si>
    <t>PPH25</t>
  </si>
  <si>
    <t>PPH26</t>
  </si>
  <si>
    <t>TECH8</t>
  </si>
  <si>
    <t>TECH9</t>
  </si>
  <si>
    <t>PPH27</t>
  </si>
  <si>
    <t>PPH28</t>
  </si>
  <si>
    <t>TECH10</t>
  </si>
  <si>
    <t>PPH29</t>
  </si>
  <si>
    <t>PPH30</t>
  </si>
  <si>
    <t>PPH31</t>
  </si>
  <si>
    <t>PPH32</t>
  </si>
  <si>
    <t>PPH33</t>
  </si>
  <si>
    <t>PPH34</t>
  </si>
  <si>
    <t>TECH11</t>
  </si>
  <si>
    <t>TECH12</t>
  </si>
  <si>
    <t>PPH35</t>
  </si>
  <si>
    <t>PPH36</t>
  </si>
  <si>
    <t>PPH37</t>
  </si>
  <si>
    <t>PPH38</t>
  </si>
  <si>
    <t>PPH39</t>
  </si>
  <si>
    <t>PPH40</t>
  </si>
  <si>
    <t>V4V5</t>
  </si>
  <si>
    <t>P3P10</t>
  </si>
  <si>
    <t>ID-RACK</t>
  </si>
  <si>
    <t>ID-VOIE</t>
  </si>
  <si>
    <t>SDO0802</t>
  </si>
  <si>
    <t>Ref-Carte</t>
  </si>
  <si>
    <t>SDI1602</t>
  </si>
  <si>
    <t>DRA0815</t>
  </si>
  <si>
    <t>Voie</t>
  </si>
  <si>
    <t>Borne</t>
  </si>
  <si>
    <t>0B</t>
  </si>
  <si>
    <t>1B</t>
  </si>
  <si>
    <t>2B</t>
  </si>
  <si>
    <t>3B</t>
  </si>
  <si>
    <t>4B</t>
  </si>
  <si>
    <t>5B</t>
  </si>
  <si>
    <t>6B</t>
  </si>
  <si>
    <t>7B</t>
  </si>
  <si>
    <t>0A</t>
  </si>
  <si>
    <t>1A</t>
  </si>
  <si>
    <t>2A</t>
  </si>
  <si>
    <t>3A</t>
  </si>
  <si>
    <t>4A</t>
  </si>
  <si>
    <t>5A</t>
  </si>
  <si>
    <t>6A</t>
  </si>
  <si>
    <t>7A</t>
  </si>
  <si>
    <t>ID-CARTEVOIE</t>
  </si>
  <si>
    <t>BORNE</t>
  </si>
  <si>
    <t>Reserve</t>
  </si>
  <si>
    <t>Designation</t>
  </si>
  <si>
    <t>Date</t>
  </si>
  <si>
    <t>ID</t>
  </si>
  <si>
    <t>EVO</t>
  </si>
  <si>
    <t>EVO-DATE</t>
  </si>
  <si>
    <t>EVO-DESIGN</t>
  </si>
  <si>
    <t>Ajout Bouton Rearm pupitre PC FLS</t>
  </si>
  <si>
    <t>Suppression Cde SIL3 +retour ARU non utilisé</t>
  </si>
  <si>
    <t>Ajout défaut alimentation B21 et B22</t>
  </si>
  <si>
    <t>Buzzer F12</t>
  </si>
  <si>
    <t>Ajout alarmes onduleur, DCU et PT B21 et B22</t>
  </si>
  <si>
    <t>Confirmation sorties Cdm ouverture P12 et P13</t>
  </si>
  <si>
    <t>EL48 devient EL55</t>
  </si>
  <si>
    <t>Ajout 2E-TOR synthese alarme ouverture Baie C/C cellule V1/V2 et V3</t>
  </si>
  <si>
    <t>Synthèse Alarme ouverture Baies C/C Cellule V1/V2</t>
  </si>
  <si>
    <t>Synthèse Alarme ouverture Baies C/C Cellule V3</t>
  </si>
  <si>
    <t>Déplacement E/S Eclairage + Ajout 1S Bip CORA SPR</t>
  </si>
  <si>
    <t>Ajout PT TDOA1, TGO22, INV. TG22( 4E-TOR)</t>
  </si>
  <si>
    <t>UTLB17</t>
  </si>
  <si>
    <t>Mail BLD du 5/5/2026 11:21</t>
  </si>
  <si>
    <t>A Faire</t>
  </si>
  <si>
    <t>TQC Armoire B22 (2801)</t>
  </si>
  <si>
    <t>TQC Armoires V1V2 et V3 (2803-2804)</t>
  </si>
  <si>
    <t>Description</t>
  </si>
  <si>
    <t>Type Signal</t>
  </si>
  <si>
    <t>BoutonPoussoir</t>
  </si>
  <si>
    <t>EntréeTOR</t>
  </si>
  <si>
    <t>S_Divers</t>
  </si>
  <si>
    <t>Sortie 1</t>
  </si>
  <si>
    <t>SortieTOR</t>
  </si>
  <si>
    <t>E_Divers</t>
  </si>
  <si>
    <t>Contact</t>
  </si>
  <si>
    <t>E_DiversSIL3</t>
  </si>
  <si>
    <t>Contact 1</t>
  </si>
  <si>
    <t>Contact 2</t>
  </si>
  <si>
    <t>Synthèse effraction</t>
  </si>
  <si>
    <t>DeverrouillageSIL3</t>
  </si>
  <si>
    <t>CORA</t>
  </si>
  <si>
    <t>Détection</t>
  </si>
  <si>
    <t>Défaut</t>
  </si>
  <si>
    <t>Entrée 3</t>
  </si>
  <si>
    <t>UTL</t>
  </si>
  <si>
    <t>Commande passage effectué vers UTL</t>
  </si>
  <si>
    <t>Commande autorisation badgeage vers UTL</t>
  </si>
  <si>
    <t>Demande d'ouverture venant UTL</t>
  </si>
  <si>
    <t>TRSS_1</t>
  </si>
  <si>
    <t>Commande 2 ouverture sortie</t>
  </si>
  <si>
    <t>Retour Commande 2 ouverture sortie</t>
  </si>
  <si>
    <t>Commande ouverture entrée</t>
  </si>
  <si>
    <t>Commande 1 ouverture sortie</t>
  </si>
  <si>
    <t>Commande Picto entrée</t>
  </si>
  <si>
    <t>Commande Picto sortie</t>
  </si>
  <si>
    <t>Passage effectuée entrée</t>
  </si>
  <si>
    <t>Passage effectuée sortie</t>
  </si>
  <si>
    <t>Synthèse défaut</t>
  </si>
  <si>
    <t>Position fermée</t>
  </si>
  <si>
    <t>TRSS_2</t>
  </si>
  <si>
    <t>Retour Commande 1 ouverture sortie</t>
  </si>
  <si>
    <t>TRSD_1</t>
  </si>
  <si>
    <t>Commande 2 ouverture sortie 1</t>
  </si>
  <si>
    <t>Retour Commande 2 ouverture sortie 1</t>
  </si>
  <si>
    <t>Commande 2 ouverture sortie 2</t>
  </si>
  <si>
    <t>Retour Commande 2 ouverture sortie 2</t>
  </si>
  <si>
    <t>Commande ouverture entrée 1</t>
  </si>
  <si>
    <t>Commande 1 ouverture sortie 1</t>
  </si>
  <si>
    <t>Commande ouverture entrée 2</t>
  </si>
  <si>
    <t>Commande 1 ouverture sortie 2</t>
  </si>
  <si>
    <t>Commande Picto entrée 1</t>
  </si>
  <si>
    <t>Commande Picto sortie 1</t>
  </si>
  <si>
    <t>Commande Picto entrée 2</t>
  </si>
  <si>
    <t>Commande Picto sortie 2</t>
  </si>
  <si>
    <t>Passage effectuée entrée 1</t>
  </si>
  <si>
    <t>Passage effectuée sortie 1</t>
  </si>
  <si>
    <t>Passage effectuée entrée 2</t>
  </si>
  <si>
    <t>Passage effectuée sortie 2</t>
  </si>
  <si>
    <t>Synthèse défaut entrée 1</t>
  </si>
  <si>
    <t>Synthèse défaut entrée 2</t>
  </si>
  <si>
    <t>Retour Commande 1 ouverture sortie 1</t>
  </si>
  <si>
    <t>Position fermée entrée 1</t>
  </si>
  <si>
    <t>TRSD_2</t>
  </si>
  <si>
    <t>Position fermée entrée 2</t>
  </si>
  <si>
    <t>Retour Commande 1 ouverture sortie 2</t>
  </si>
  <si>
    <t>PMR_1</t>
  </si>
  <si>
    <t>Réserve</t>
  </si>
  <si>
    <t>Porte fermée 2</t>
  </si>
  <si>
    <t>PMR_2</t>
  </si>
  <si>
    <t>Porte fermée 1</t>
  </si>
  <si>
    <t>BarriereLisse</t>
  </si>
  <si>
    <t>Commande ouverture</t>
  </si>
  <si>
    <t>Commande fermeture</t>
  </si>
  <si>
    <t>Position ouverte</t>
  </si>
  <si>
    <t>Présence sous la barrière (Cellule)</t>
  </si>
  <si>
    <t>BarriereHerse_1</t>
  </si>
  <si>
    <t>Commande 2 fermeture</t>
  </si>
  <si>
    <t>Position 2 fermé</t>
  </si>
  <si>
    <t>Commande 1 fermeture</t>
  </si>
  <si>
    <t>Retour Commande 1 fermeture</t>
  </si>
  <si>
    <t>BarriereHerse_2</t>
  </si>
  <si>
    <t>Retour Commande 2 fermeture</t>
  </si>
  <si>
    <t xml:space="preserve">Position 1 fermée </t>
  </si>
  <si>
    <t>Boucle</t>
  </si>
  <si>
    <t>Présence</t>
  </si>
  <si>
    <t>AVB_1</t>
  </si>
  <si>
    <t>Commande 2 montée</t>
  </si>
  <si>
    <t>Position 2 montée</t>
  </si>
  <si>
    <t>Commande descente</t>
  </si>
  <si>
    <t>Commande 1 montée</t>
  </si>
  <si>
    <t>Position descendu</t>
  </si>
  <si>
    <t>Retour Commande 1 monter</t>
  </si>
  <si>
    <t>Présence sur AVB</t>
  </si>
  <si>
    <t>AVB_2</t>
  </si>
  <si>
    <t>Retour Commande 2 monter</t>
  </si>
  <si>
    <t>Position 1 montée</t>
  </si>
  <si>
    <t>TEA</t>
  </si>
  <si>
    <t>Commande</t>
  </si>
  <si>
    <t>ARU</t>
  </si>
  <si>
    <t>Déclenchement contact 1</t>
  </si>
  <si>
    <t>Déclenchement contact 2</t>
  </si>
  <si>
    <t>CDP</t>
  </si>
  <si>
    <t>SurvElec</t>
  </si>
  <si>
    <t>PorteVitree</t>
  </si>
  <si>
    <t>Commande de fermeture</t>
  </si>
  <si>
    <t>Retour d'etat fermée</t>
  </si>
  <si>
    <t>Portillon</t>
  </si>
  <si>
    <t>Commande d'ouverture</t>
  </si>
  <si>
    <t>Retour d'état fermée</t>
  </si>
  <si>
    <t>PortailR1V_1</t>
  </si>
  <si>
    <t>Commande de marche 2 du groupe hydraulique</t>
  </si>
  <si>
    <t>Commande de fermeture 2 du vantail 1</t>
  </si>
  <si>
    <t>Commande d'ARU 2</t>
  </si>
  <si>
    <t>Vx_ARUCmd2</t>
  </si>
  <si>
    <t>Retour Commande de marche 1 du groupe hydraulique</t>
  </si>
  <si>
    <t>Retour Commande de fermeture 1 du vantail 1</t>
  </si>
  <si>
    <t>Retour Commande d'ARU 1</t>
  </si>
  <si>
    <t>Vx_ARURet1</t>
  </si>
  <si>
    <t xml:space="preserve">Réserve </t>
  </si>
  <si>
    <t>Commande signalisation</t>
  </si>
  <si>
    <t>Commande de marche 1 du groupe hydraulique</t>
  </si>
  <si>
    <t>Commande d'ouverture du vantail 1</t>
  </si>
  <si>
    <t>Commande de fermeture 1 du vantail 1</t>
  </si>
  <si>
    <t>Commande d'ouverture gâche</t>
  </si>
  <si>
    <t>Commande de fermeture gâche</t>
  </si>
  <si>
    <t>Commande d'ARU 1</t>
  </si>
  <si>
    <t>Vx_ARUCmd1</t>
  </si>
  <si>
    <t>Ventail en fdc Ouvert</t>
  </si>
  <si>
    <t>Vantail 1 en fdc Fermé 1</t>
  </si>
  <si>
    <t>Protection à l'ouverture par bande palpeuse</t>
  </si>
  <si>
    <t>Protection à fermeture et ouverture par cellule</t>
  </si>
  <si>
    <t>Protection fermeture par bande palpeuse</t>
  </si>
  <si>
    <t>Portail verrouillé</t>
  </si>
  <si>
    <t>PortailR1V_2</t>
  </si>
  <si>
    <t>Fin de course ouvert 1 gâche</t>
  </si>
  <si>
    <t>Fin de course ouvert 2 gâche</t>
  </si>
  <si>
    <t>Retour de Commande 2 d'ARU</t>
  </si>
  <si>
    <t>Vx_ARURet2</t>
  </si>
  <si>
    <t>Vantail 1 et 2 Disjonction (OF SD)</t>
  </si>
  <si>
    <t>Retour Commande 2 marche groupe hydraulique</t>
  </si>
  <si>
    <t>Commande 2 marche groupe hydraulique vantail 2</t>
  </si>
  <si>
    <t>Commande 2 fermeture vantail 2</t>
  </si>
  <si>
    <t>Retour Commande 2 marche groupe hydraulique vantail 2</t>
  </si>
  <si>
    <t>Retour Commande 2 fermeture vantail 2</t>
  </si>
  <si>
    <t>Vantail 2 Fermé 2</t>
  </si>
  <si>
    <t>Commande signalisation du vantail 2</t>
  </si>
  <si>
    <t>Commande de marche 1 du groupe hydraulique vantail 2</t>
  </si>
  <si>
    <t>Commande d'ouverture du vantail 2</t>
  </si>
  <si>
    <t>Commande de fermeture 1 du vantail 2</t>
  </si>
  <si>
    <t>Vantail 2 en fdc Ouvert</t>
  </si>
  <si>
    <t>Vantail 2 en fdc Fermé 1</t>
  </si>
  <si>
    <t>Vantail 2 Protection à l'ouverture par bande palpeuse</t>
  </si>
  <si>
    <t>Vantail 2 Protection par cellule</t>
  </si>
  <si>
    <t>Vantail 2 Protection de fermeture par bande palpeuse</t>
  </si>
  <si>
    <t>Retour Commande 1 marche groupe hydraulique vantail 2</t>
  </si>
  <si>
    <t>Retour Commande 2 fermeture vantail 1</t>
  </si>
  <si>
    <t>Retour Commande 1 fermeture vantail 2</t>
  </si>
  <si>
    <t>Vantail 1 en fdc Fermé 2</t>
  </si>
  <si>
    <t>PortailR2VElec</t>
  </si>
  <si>
    <t>Commande 2 d'ARU</t>
  </si>
  <si>
    <t>Commande 1 d'ARU</t>
  </si>
  <si>
    <t>Retour Commande 1 d'ARU</t>
  </si>
  <si>
    <t>Retour de Commande de fermeture 2 du vantail 2</t>
  </si>
  <si>
    <t>Retour de commande de fermeture 1 du vantail 1</t>
  </si>
  <si>
    <t>Vantail 2 en fdc Fermé 2</t>
  </si>
  <si>
    <t>Commande stop vantail 1</t>
  </si>
  <si>
    <t>Vantail 1 en fdc Ouvert</t>
  </si>
  <si>
    <t>Vantail 1 Protection à l'ouverture par cellule</t>
  </si>
  <si>
    <t>Vantail 1 Protection à fermeture et ouverture par cellule</t>
  </si>
  <si>
    <t>Vantail 1 Protection fermeture par bande palpeuse</t>
  </si>
  <si>
    <t>Commande de fermeture 2 du vantail 2</t>
  </si>
  <si>
    <t>Retour de commande 2 fermeture du vantail 1</t>
  </si>
  <si>
    <t>Retour Commande de fermeture 1 du vantail 2</t>
  </si>
  <si>
    <t>Vantail 1 en fdc fermé 2</t>
  </si>
  <si>
    <t>Commande stop vantail 2</t>
  </si>
  <si>
    <t>Commande ouverture vantail 2</t>
  </si>
  <si>
    <t>Vantail 2 Protection à l'ouverture par cellule</t>
  </si>
  <si>
    <t>Vantail 2 Protection à fermeture et ouverture par cellule</t>
  </si>
  <si>
    <t>Vantail 2 Protection fermeture par bande palpeuse</t>
  </si>
  <si>
    <t>Retour Commande 2 d'ARU</t>
  </si>
  <si>
    <t>PortailR2V_1</t>
  </si>
  <si>
    <t>Commande 2 ARU</t>
  </si>
  <si>
    <t>Retour Commande 2 ARU</t>
  </si>
  <si>
    <t>Commande 1 ouverture gâche</t>
  </si>
  <si>
    <t>Commande fermeture gâche</t>
  </si>
  <si>
    <t>Commande 1 ARU</t>
  </si>
  <si>
    <t>Fin de course 1 ouvert gâche</t>
  </si>
  <si>
    <t>Fin de course fermé gâche</t>
  </si>
  <si>
    <t>Vx_GacheFer</t>
  </si>
  <si>
    <t>Retour Commande 1 ARU</t>
  </si>
  <si>
    <t>Commande 2 marche groupe hydraulique vantail 1</t>
  </si>
  <si>
    <t>Commande 2 fermeture vantail 1</t>
  </si>
  <si>
    <t>Commande signalisation vantail 1</t>
  </si>
  <si>
    <t>Commande 1 marche groupe hydraulique vantail 1</t>
  </si>
  <si>
    <t>Commande ouverture vantail1</t>
  </si>
  <si>
    <t>Commande 1 fermeture vantail 1</t>
  </si>
  <si>
    <t>Vantail 1 en fdc ouvert</t>
  </si>
  <si>
    <t>Vantail 1 en fdc fermé 1</t>
  </si>
  <si>
    <t>Vantail 1 Protection à l'ouverture par bande ou lame palpeuse</t>
  </si>
  <si>
    <t>Vantail 1 Protection à fermeture et ouverture par barrage</t>
  </si>
  <si>
    <t>Vantail 1 Protection fermeture par bande palpeuse et barrage</t>
  </si>
  <si>
    <t>Retour Commande 1 marche groupe hydraulique vantail 1</t>
  </si>
  <si>
    <t>Retour Commande 2 marche groupe hydraulique vantail 1</t>
  </si>
  <si>
    <t>Commande 1 marche groupe hydraulique vantail 2</t>
  </si>
  <si>
    <t>Commande ouverture vantail</t>
  </si>
  <si>
    <t>Commande 1 fermeture vantail 2</t>
  </si>
  <si>
    <t>Vantail 2 en fdc ouvert</t>
  </si>
  <si>
    <t>Vantail 2 Protection à l'ouverture par bande ou lame palpeuse</t>
  </si>
  <si>
    <t>Vantail 2 Protection à fermeture et ouverture par barrage</t>
  </si>
  <si>
    <t>Vantail 2 Protection fermeture par bande palpeuse et barrage</t>
  </si>
  <si>
    <t>PortailR2V_2</t>
  </si>
  <si>
    <t>Commande 2 ouverture gâche</t>
  </si>
  <si>
    <t>Fdc ouvert 2 gâche</t>
  </si>
  <si>
    <t>Retour Commande 1 fermeture vantail 1</t>
  </si>
  <si>
    <t>PortailBleuElec_1</t>
  </si>
  <si>
    <t>V_ARUCmd2</t>
  </si>
  <si>
    <t>Report Ventouse collé</t>
  </si>
  <si>
    <t>V_ARURet1</t>
  </si>
  <si>
    <t>Vantail en fdc ouvert</t>
  </si>
  <si>
    <t>Vantail en fdc fermé 1</t>
  </si>
  <si>
    <t>Bande palpeuse à la fermeture</t>
  </si>
  <si>
    <t>Cellule infrarouge intérieure</t>
  </si>
  <si>
    <t>Cellule infrarouge extérieure</t>
  </si>
  <si>
    <t>PortailBleuElec_2</t>
  </si>
  <si>
    <t>V_ARURet2</t>
  </si>
  <si>
    <t>Vantail en fdc fermé 2</t>
  </si>
  <si>
    <t>PortailBleuHydr_1</t>
  </si>
  <si>
    <t>Commande 2 groupe hydraulique</t>
  </si>
  <si>
    <t>Commande 1 groupe hydraulique</t>
  </si>
  <si>
    <t xml:space="preserve">Commande ouverture </t>
  </si>
  <si>
    <t>Commande signalisation en mouvement</t>
  </si>
  <si>
    <t>Vantail droit fdc ouvert</t>
  </si>
  <si>
    <t>Vantail droit fdc fermé</t>
  </si>
  <si>
    <t>Vantail gauche fdc ouvert</t>
  </si>
  <si>
    <t>Vantail gauche fdc fermé</t>
  </si>
  <si>
    <t>Défaut alimentation groupe hydraulique</t>
  </si>
  <si>
    <t>Retour Commande 1 marche groupe hydr</t>
  </si>
  <si>
    <t>Bande palpeuse droite à la fermeture</t>
  </si>
  <si>
    <t>Bande palpeuse gauche à la fermeture</t>
  </si>
  <si>
    <t>Etat alimentation EV commande portail</t>
  </si>
  <si>
    <t>PortailBleuHydr_2</t>
  </si>
  <si>
    <t>Retour Commande 2 marche groupe hydr</t>
  </si>
  <si>
    <t>Vantail droit en fdc fermé 2</t>
  </si>
  <si>
    <t>Vantail gauche en fdc fermé 2</t>
  </si>
  <si>
    <t>PortailGareR</t>
  </si>
  <si>
    <t>Ouverture portail</t>
  </si>
  <si>
    <t>Fermeture portail</t>
  </si>
  <si>
    <t xml:space="preserve">Commande Stop </t>
  </si>
  <si>
    <t>Fdc Ouvert</t>
  </si>
  <si>
    <t>Fdc Fermé</t>
  </si>
  <si>
    <t>Presence tension</t>
  </si>
  <si>
    <t>PortailAlas2V</t>
  </si>
  <si>
    <t>Fdc ouvert</t>
  </si>
  <si>
    <t>Fdc fermé</t>
  </si>
  <si>
    <t>FeuOuvV</t>
  </si>
  <si>
    <t xml:space="preserve">Commande Feu </t>
  </si>
  <si>
    <t>Retour de marche Feu</t>
  </si>
  <si>
    <t>FeuBiCora</t>
  </si>
  <si>
    <t>Commande Feu Orange</t>
  </si>
  <si>
    <t>Commande Feu Rouge</t>
  </si>
  <si>
    <t>Retour de marche Feu Orange</t>
  </si>
  <si>
    <t>Retour de marche Feu Rouge</t>
  </si>
  <si>
    <t>FeuBi_1</t>
  </si>
  <si>
    <t>Commande Feu Vert</t>
  </si>
  <si>
    <t xml:space="preserve">Retour de marche Feu rouge </t>
  </si>
  <si>
    <t>Retour de marche Feu Vert</t>
  </si>
  <si>
    <t>FeuBi_2</t>
  </si>
  <si>
    <t>FeuContrAleaVLPL1</t>
  </si>
  <si>
    <t>Commande Feu Blanc</t>
  </si>
  <si>
    <t xml:space="preserve">Commande Feu Rouge </t>
  </si>
  <si>
    <t>FeuContrAleaVLPL2</t>
  </si>
  <si>
    <t>BuzzerContrAleaVLPL</t>
  </si>
  <si>
    <t>Commande Buzzeur</t>
  </si>
  <si>
    <t>Ecl</t>
  </si>
  <si>
    <t>Retour d'éclairage</t>
  </si>
  <si>
    <t>Commande de Forçage</t>
  </si>
  <si>
    <t>Portail P1</t>
  </si>
  <si>
    <t>OK</t>
  </si>
  <si>
    <t>Portail P2</t>
  </si>
  <si>
    <t>Portail P3</t>
  </si>
  <si>
    <t>Portail P4</t>
  </si>
  <si>
    <t>Portail P5</t>
  </si>
  <si>
    <t>Portail P6</t>
  </si>
  <si>
    <t>Portail P7</t>
  </si>
  <si>
    <t>Portail P8</t>
  </si>
  <si>
    <t>Portail P9</t>
  </si>
  <si>
    <t>Portail P10</t>
  </si>
  <si>
    <t>Portail P11</t>
  </si>
  <si>
    <t>Portail P12</t>
  </si>
  <si>
    <t>Portail P13</t>
  </si>
  <si>
    <t>Porte vitrée PV1</t>
  </si>
  <si>
    <t>Portail P1 P2 P3</t>
  </si>
  <si>
    <t>Portail P4 P5 P6</t>
  </si>
  <si>
    <t>PCS CDP3</t>
  </si>
  <si>
    <t>PCS ARUMONU</t>
  </si>
  <si>
    <t>Commutateur PCS/VIGIE</t>
  </si>
  <si>
    <t>PGA CDP1</t>
  </si>
  <si>
    <t>VIGIE ARUP1</t>
  </si>
  <si>
    <t>VIGIE ARUP2</t>
  </si>
  <si>
    <t>VIGIE CDP2</t>
  </si>
  <si>
    <t>VIGIE BP Acquit lumineux</t>
  </si>
  <si>
    <t>Barrière BH6</t>
  </si>
  <si>
    <t>Barrière BH7</t>
  </si>
  <si>
    <t>Barrière BH8</t>
  </si>
  <si>
    <t>Barrière BH11</t>
  </si>
  <si>
    <t>Barrière BH12</t>
  </si>
  <si>
    <t>Anti-belier AVB1</t>
  </si>
  <si>
    <t>Anti-belier AVB2</t>
  </si>
  <si>
    <t>Déverrouillage urgence PCS</t>
  </si>
  <si>
    <t>Déverrouillage urgence SAS Vélo</t>
  </si>
  <si>
    <t>Déverrouillage urgence SAS PMR</t>
  </si>
  <si>
    <t>Tourniquet TRSD1</t>
  </si>
  <si>
    <t>Tourniquet TRSD2</t>
  </si>
  <si>
    <t>Tourniquet TRSS1</t>
  </si>
  <si>
    <t>Tourniquet TRSD3</t>
  </si>
  <si>
    <t>Tourniquet TRSD4</t>
  </si>
  <si>
    <t>Barrière BH9</t>
  </si>
  <si>
    <t>Barrière BH10</t>
  </si>
  <si>
    <t>Barrière BH1</t>
  </si>
  <si>
    <t>Barrière BH2</t>
  </si>
  <si>
    <t>Barrière BH3</t>
  </si>
  <si>
    <t>Barrière BH4</t>
  </si>
  <si>
    <t>Barrière BH5</t>
  </si>
  <si>
    <t>Barrière BR1</t>
  </si>
  <si>
    <t>Barrière BR2</t>
  </si>
  <si>
    <t>Barrière BR3</t>
  </si>
  <si>
    <t>Feu F2</t>
  </si>
  <si>
    <t>Feu F3</t>
  </si>
  <si>
    <t>Feu F4</t>
  </si>
  <si>
    <t>Feu F5</t>
  </si>
  <si>
    <t>Feu F6</t>
  </si>
  <si>
    <t>Feu F7</t>
  </si>
  <si>
    <t>Feu F8</t>
  </si>
  <si>
    <t>Feu F9</t>
  </si>
  <si>
    <t>Feu F10</t>
  </si>
  <si>
    <t>Feu F11</t>
  </si>
  <si>
    <t>Feu F17</t>
  </si>
  <si>
    <t>Feu F18</t>
  </si>
  <si>
    <t>Feu F19</t>
  </si>
  <si>
    <t>Feu F13</t>
  </si>
  <si>
    <t>Feu F14</t>
  </si>
  <si>
    <t>Feu F15</t>
  </si>
  <si>
    <t>Feu F16</t>
  </si>
  <si>
    <t>Feu F22</t>
  </si>
  <si>
    <t>Feu F23</t>
  </si>
  <si>
    <t>Feu F24</t>
  </si>
  <si>
    <t>Feu F25</t>
  </si>
  <si>
    <t>Feu F26</t>
  </si>
  <si>
    <t>Feu F27</t>
  </si>
  <si>
    <t>UTL rouge IDVL1/BH1</t>
  </si>
  <si>
    <t>UTL rouge IDVL2/BH2</t>
  </si>
  <si>
    <t>UTL rouge IDVL3/BH3</t>
  </si>
  <si>
    <t>UTL rouge IDVL4/IDPL1/BH4</t>
  </si>
  <si>
    <t>UTL rouge IDP2/PMR3</t>
  </si>
  <si>
    <t>UTL rouge IDP3/TRSD1-1</t>
  </si>
  <si>
    <t>UTL rouge IDP4/TRSD1-2</t>
  </si>
  <si>
    <t>UTL rouge IDP7/PMR4/FRX1</t>
  </si>
  <si>
    <t>UTL rouge IDP8/TRSS1/FRX2</t>
  </si>
  <si>
    <t>UTL rouge IDP9/TRSD2-1/FRX3</t>
  </si>
  <si>
    <t>UTL rouge IDP10/TRSD2-2/FRX4</t>
  </si>
  <si>
    <t>UTL bleue AUTVL1/ IDVL5/BH6</t>
  </si>
  <si>
    <t>UTL bleue AUTVL2/IDVL6/BH7</t>
  </si>
  <si>
    <t>UTL bleue AUTVL3/IDVL7BH8</t>
  </si>
  <si>
    <t>UTL bleue AUTVL4/AUTPL1/BH9</t>
  </si>
  <si>
    <t>UTL bleue IDVL8/ IDPL2/BH10</t>
  </si>
  <si>
    <t>UTL bleue AUTP1/PMR1</t>
  </si>
  <si>
    <t>UTL bleue IDP1/PMR2</t>
  </si>
  <si>
    <t>UTL bleue AUTP2/TRSD3-1/FRX5</t>
  </si>
  <si>
    <t>UTL bleue IDP11/TRSD3-1/FRX5</t>
  </si>
  <si>
    <t>UTL bleue AUTP3/TRSD3-2/FRX6</t>
  </si>
  <si>
    <t>UTL bleue IDP12/TRSD3-2/FRX6</t>
  </si>
  <si>
    <t>UTL bleue AUTP4/PMR5/FRX7</t>
  </si>
  <si>
    <t>UTL bleue IDP13/PMR6</t>
  </si>
  <si>
    <t>UTL bleue AUTP5/TRSD4-1/FRX8</t>
  </si>
  <si>
    <t>UTL bleue IDP14/TRSD4-1/FRX8</t>
  </si>
  <si>
    <t>UTL bleue AUTP6/TRSD4-2/FRX9</t>
  </si>
  <si>
    <t>UTL bleue IDP15/TRSD4-2/FRX9</t>
  </si>
  <si>
    <t>UTL bleue Porte Vigie</t>
  </si>
  <si>
    <t>CORA Zone 1</t>
  </si>
  <si>
    <t>CORA Zone 2</t>
  </si>
  <si>
    <t>CORA Zone 3</t>
  </si>
  <si>
    <t>CORA Zone 4</t>
  </si>
  <si>
    <t>CORA Zone 5</t>
  </si>
  <si>
    <t>CORA Zone 6</t>
  </si>
  <si>
    <t>CORA Zone Vélo</t>
  </si>
  <si>
    <t>Boucle B1</t>
  </si>
  <si>
    <t>Boucle B2</t>
  </si>
  <si>
    <t>Boucle B3</t>
  </si>
  <si>
    <t>Boucle B4</t>
  </si>
  <si>
    <t>Boucle B6</t>
  </si>
  <si>
    <t>Boucle B7</t>
  </si>
  <si>
    <t>Boucle B8</t>
  </si>
  <si>
    <t>Boucle B9</t>
  </si>
  <si>
    <t>Boucle B10</t>
  </si>
  <si>
    <t>Boucle B11</t>
  </si>
  <si>
    <t>Boucle B12</t>
  </si>
  <si>
    <t>Boucle B13</t>
  </si>
  <si>
    <t>Boucle B14</t>
  </si>
  <si>
    <t>Boucle B15</t>
  </si>
  <si>
    <t>Boucle B16</t>
  </si>
  <si>
    <t>Boucle B17</t>
  </si>
  <si>
    <t>Boucle B18</t>
  </si>
  <si>
    <t>Boucle B19</t>
  </si>
  <si>
    <t>Boucle B21</t>
  </si>
  <si>
    <t>Boucle B22</t>
  </si>
  <si>
    <t>Boucle B23</t>
  </si>
  <si>
    <t>Boucle B24</t>
  </si>
  <si>
    <t>Boucle B25</t>
  </si>
  <si>
    <t>Boucle B26</t>
  </si>
  <si>
    <t>Boucle B27</t>
  </si>
  <si>
    <t>Boucle B28</t>
  </si>
  <si>
    <t>Boucle B29</t>
  </si>
  <si>
    <t>Boucle B30</t>
  </si>
  <si>
    <t>Boucle B31</t>
  </si>
  <si>
    <t>Boucle B32</t>
  </si>
  <si>
    <t>Boucle B33</t>
  </si>
  <si>
    <t>Boucle B34</t>
  </si>
  <si>
    <t>Boucle B35</t>
  </si>
  <si>
    <t>Boucle B36</t>
  </si>
  <si>
    <t>Boucle B37</t>
  </si>
  <si>
    <t>ECLAIRAGE EXTERIEUR NASSE + ENTREE</t>
  </si>
  <si>
    <t>ECLAIRAGE EXTERIEUR PARKING EXTERIEUR</t>
  </si>
  <si>
    <t>ECLAIRAGE EXTERIEUR GARE ROUTIERE</t>
  </si>
  <si>
    <t>Bouton d'acquittement contrôle aléatoire V1</t>
  </si>
  <si>
    <t>Bouton d'acquittement contrôle aléatoire V2</t>
  </si>
  <si>
    <t>Bouton d'acquittement contrôle aléatoire V3</t>
  </si>
  <si>
    <t>Bouton d'acquittement contrôle aléatoire V5</t>
  </si>
  <si>
    <t>bouton poussoir Demande d'ouverture accès PMR3 dans le sens sortie</t>
  </si>
  <si>
    <t>bouton poussoir Demande d'ouverture accès PMR4 dans le sens sortie</t>
  </si>
  <si>
    <t>API1 Synthèse disjonction auxiliaire</t>
  </si>
  <si>
    <t>RIO2/3 Défaut batterie</t>
  </si>
  <si>
    <t>RIO2/3 Synthèse disjonction auxiliaire + puissance</t>
  </si>
  <si>
    <t>RIO4 Défaut batterie</t>
  </si>
  <si>
    <t>RIO4 Synthèse disjonction auxiliaire + puissance</t>
  </si>
  <si>
    <t>RIO8 Défaut batterie</t>
  </si>
  <si>
    <t>RIO8 Synthèse disjonction auxiliaire + puissance</t>
  </si>
  <si>
    <t>RIO5/7 Défaut batterie</t>
  </si>
  <si>
    <t>RIO5/7 Synthèse disjonction auxiliaire + puissance</t>
  </si>
  <si>
    <t>RIO1/6 Défaut batterie</t>
  </si>
  <si>
    <t>RIO1/6 Synthèse disjonction auxiliaire + puissance</t>
  </si>
  <si>
    <t>Buzzer contrôle Aleatoire / CORA V5</t>
  </si>
  <si>
    <t>Buzzer contrôle Aleatoire / CORA V3</t>
  </si>
  <si>
    <t>Buzzer contrôle Aleatoire / CORA V2</t>
  </si>
  <si>
    <t>Buzzer contrôle Aleatoire / CORA V1</t>
  </si>
  <si>
    <t>Boucle B38</t>
  </si>
  <si>
    <t>Boucle B39</t>
  </si>
  <si>
    <t>API1 Défaut batterie</t>
  </si>
  <si>
    <t>Feu F12</t>
  </si>
  <si>
    <t>Feu F21</t>
  </si>
  <si>
    <t>Synthèse alarme CORA</t>
  </si>
  <si>
    <t>Synthèse défaut technique CORA</t>
  </si>
  <si>
    <t>Fermeture urgence sécurité nasse gobale</t>
  </si>
  <si>
    <t>Fermeture urgence sécurité nasse ligne rouge</t>
  </si>
  <si>
    <t>Alarme hôtesse d’accueil B21</t>
  </si>
  <si>
    <t>Alarme appel urgence contrôleur Rayon X B22</t>
  </si>
  <si>
    <t>Effraction TRS/PMR rouge Accueil B21 (Fraude)</t>
  </si>
  <si>
    <t>Effraction TRS/PMR rouge Gare routière</t>
  </si>
  <si>
    <t>Effraction TRS/PMR bleus Contrôle B22</t>
  </si>
  <si>
    <t>Mouvement TRS/PMR bleus Contrôle B22</t>
  </si>
  <si>
    <t>Synthèse action Déverrouillage sortie TRS/PMR bleus (hors sas vélo)</t>
  </si>
  <si>
    <t>Effraction Sas vélo bleu</t>
  </si>
  <si>
    <t>Mouvement Sas vélo bleu</t>
  </si>
  <si>
    <t>P1 non fermé ou non verrouillé</t>
  </si>
  <si>
    <t>Ouverture coffret P1</t>
  </si>
  <si>
    <t>P2 non fermé ou non verrouillé</t>
  </si>
  <si>
    <t>Ouverture coffret P2</t>
  </si>
  <si>
    <t>P3 non fermé ou non verrouillé</t>
  </si>
  <si>
    <t>Ouverture coffret P3</t>
  </si>
  <si>
    <t>P10 non fermé ou non verrouillé</t>
  </si>
  <si>
    <t>Ouverture coffret P10</t>
  </si>
  <si>
    <t>P4 non fermé</t>
  </si>
  <si>
    <t>Ouverture coffret P4</t>
  </si>
  <si>
    <t>P5 non fermé</t>
  </si>
  <si>
    <t>Ouverture coffret P5</t>
  </si>
  <si>
    <t>P6 non fermé</t>
  </si>
  <si>
    <t>Ouverture coffret P6</t>
  </si>
  <si>
    <t>P7 non fermé</t>
  </si>
  <si>
    <t>Ouverture coffret P7</t>
  </si>
  <si>
    <t>P8 non fermé</t>
  </si>
  <si>
    <t>Ouverture coffret P8</t>
  </si>
  <si>
    <t>Alarme Intrusion Local CFIS B21</t>
  </si>
  <si>
    <t>Fraude Intrusion Local CFIS B21</t>
  </si>
  <si>
    <t>Alarme effraction Local CFIS B21</t>
  </si>
  <si>
    <t>Alarme Intrusion Hall d’accueil</t>
  </si>
  <si>
    <t>Fraude Intrusion Hall d’accueil</t>
  </si>
  <si>
    <t>Alarme Intrusion local CFIS B22</t>
  </si>
  <si>
    <t>Fraude Intrusion local CFIS B22</t>
  </si>
  <si>
    <t>Alarme effraction Local CFIS B22</t>
  </si>
  <si>
    <t xml:space="preserve"> Alarme Intrusion Hall de contrôle bagage</t>
  </si>
  <si>
    <t xml:space="preserve"> Fraude Intrusion Hall de contrôle bagage</t>
  </si>
  <si>
    <t>Alarme Intrusion PA</t>
  </si>
  <si>
    <t>Fraude Intrusion PA</t>
  </si>
  <si>
    <t>Alarme effraction PA</t>
  </si>
  <si>
    <t>Alarme effraction Salle repos/bureau hôtesses Bât Accueil</t>
  </si>
  <si>
    <t>Alarme effraction vigie FLS</t>
  </si>
  <si>
    <t>Alarme effraction local SPR</t>
  </si>
  <si>
    <t>Alarme Intrusion Bureau Hôtesses</t>
  </si>
  <si>
    <t>Fraude Intrusion Bureau Hôtesses</t>
  </si>
  <si>
    <t>Alarme effraction FLS Contrôle</t>
  </si>
  <si>
    <t>Alarme effraction Voie VL/PL</t>
  </si>
  <si>
    <t>Alarme effraction local CFO B21</t>
  </si>
  <si>
    <t>Alarme effraction local CFI B22</t>
  </si>
  <si>
    <t>Rideau métallique Bât accueil non fermé</t>
  </si>
  <si>
    <t>Rideau métallique Bât contrôle non fermé</t>
  </si>
  <si>
    <t>Défaut bloquant entrée Centre</t>
  </si>
  <si>
    <t>Synthèse Dérangement câble à choc entrée centre</t>
  </si>
  <si>
    <t>Synthèse Alarme Câble à choc clôture entrée centre</t>
  </si>
  <si>
    <t>Synthèse Alarme Câble à choc Portail entrée centre</t>
  </si>
  <si>
    <t>Alarme Capteur Sismique(perçage) mur B22</t>
  </si>
  <si>
    <t>Fraude Capteur Sismique(perçage) mur B22</t>
  </si>
  <si>
    <t>Alarme déclenchement DM B21</t>
  </si>
  <si>
    <t>Alarme détection incendie B21</t>
  </si>
  <si>
    <t>Alarme déclenchement DM B22</t>
  </si>
  <si>
    <t>Alarme détection incendie B22</t>
  </si>
  <si>
    <t>Dérangement centrale entrée centre B22</t>
  </si>
  <si>
    <t>Veille restreinte centrale entrée centre B22</t>
  </si>
  <si>
    <t>Synthèse inhibition centrale</t>
  </si>
  <si>
    <t>Synthèse Dérangement intrusion toiture cellules entrée</t>
  </si>
  <si>
    <t>Synthèse Alarme intrusion toiture cellules entrée</t>
  </si>
  <si>
    <t>Synthèse fraude intrusion toiture cellules entrée</t>
  </si>
  <si>
    <t>Synthèse Mouvement TRS/PMR rouge Accueil B21 et Gare routière</t>
  </si>
  <si>
    <t>Synthèse défaut  technique TRS/PMR rouge Accueil B21 et gare routière + TRS/PMR bleus contrôle B22 + SAS VELO</t>
  </si>
  <si>
    <t>Synthèse Déverrouillage Sas Vélo Bleu ou Sas PMR Bleu</t>
  </si>
  <si>
    <t>Synthèse défaut technique P1 ou P2 ou P3 ou P10  ou barrières rouges</t>
  </si>
  <si>
    <t>Synthèse défaut technique P4 ou P5 ou P6 ou P7 ou P8 ou barrières bleues ou AVB1 ou AVB2</t>
  </si>
  <si>
    <t>Synthèse défaut technique P9 ou P11</t>
  </si>
  <si>
    <t xml:space="preserve"> Synthèse Portillon ALAS non fermé ou non verrouillé ou P11 non fermé</t>
  </si>
  <si>
    <t xml:space="preserve"> Synthèse Portillon piéton gare routière non fermé ou non verrouillé ou P9 non fermé</t>
  </si>
  <si>
    <t>Synthèse Dérangement Intrusion Local CFIS B21 ou Dérangement Intrusion Hall d’accueil ou  Dérangement Intrusion PA ou Dérangement Intrusion Bureau Hôtesses</t>
  </si>
  <si>
    <t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t>
  </si>
  <si>
    <t>Synthèse Alarme ouverture Baies C/C local CFIS B21 ou Synthèse Alarme ouverture Baies informatiques local CFIS B21</t>
  </si>
  <si>
    <t>Synthèse Alarme ouverture répartireur TEA local CFIS B22 ou Synthèse Alarme ouverture Baies C/C local CFIS B22 ou Synthèse Alarme ouverture Baies informatiques local CFIS B22</t>
  </si>
  <si>
    <t xml:space="preserve">Synthèse Barrières rouges non fermées ou Barrières bleues non fermées  ou AVB non fermées </t>
  </si>
  <si>
    <t xml:space="preserve">Synthèse Ouverture coffret barrières rouges </t>
  </si>
  <si>
    <t>Synthèse Ouverture coffret barrières bleues ou Ouverture coffret AVB1/AVB2</t>
  </si>
  <si>
    <t>Synthèse Défaut Ondulé B22 ou Défaut ondulé B21 ou Défaut alimentation B22 ou Défaut alimentation B21 ou Défaut ondulé CADAM/RDO B21 ou Défaut ondulé CADAM/RDO B22</t>
  </si>
  <si>
    <t>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t>
  </si>
  <si>
    <t>Portail P8 ouvert</t>
  </si>
  <si>
    <t>Portail P10 ouvert</t>
  </si>
  <si>
    <t>Portail P10 non vérrouillé</t>
  </si>
  <si>
    <t>Alarme CP4 local CFIS</t>
  </si>
  <si>
    <t>Fraude CP4 local CFIS</t>
  </si>
  <si>
    <t>Alarme CP5 locaux SPR/CFO</t>
  </si>
  <si>
    <t>Fraude CP5 locaux SPR/CFO</t>
  </si>
  <si>
    <t>Alarme CP6 local VIGIE</t>
  </si>
  <si>
    <t>Fraude CP6 local VIGIE</t>
  </si>
  <si>
    <t>Alarme CP9 portillon voie PL</t>
  </si>
  <si>
    <t>Fraude CP9 portillon voie PL</t>
  </si>
  <si>
    <t>Alarme CP10 porte sortie FLS CTRL</t>
  </si>
  <si>
    <t>Fraude CP10 porte sortie FLS CTRL</t>
  </si>
  <si>
    <t>Alarme CP13 local CFI</t>
  </si>
  <si>
    <t>Fraude CP13 local CFI</t>
  </si>
  <si>
    <t>Alarme SOS5 appel d'urgence contrôleur rayon X</t>
  </si>
  <si>
    <t>Alarme température local CFIS B22</t>
  </si>
  <si>
    <t>Synthèse défaut technique Ventilation B22</t>
  </si>
  <si>
    <t>Synthèse défaut technique Chauffage/Climatisation B22</t>
  </si>
  <si>
    <t>Alarme détecteur volumétrique DVOL2</t>
  </si>
  <si>
    <t>Fraude détecteur volumétrique DVOL2</t>
  </si>
  <si>
    <t>Dérangement détecteur volumétrique DVOL2</t>
  </si>
  <si>
    <t>Alarme détecteur volumétrique DVOL3</t>
  </si>
  <si>
    <t>Fraude détecteur volumétrique DVOL3</t>
  </si>
  <si>
    <t>Dérangement détecteur volumétrique DVOL3</t>
  </si>
  <si>
    <t>Alarme détecteur volumétrique DVOL4</t>
  </si>
  <si>
    <t>Fraude détecteur volumétrique DVOL4</t>
  </si>
  <si>
    <t>Dérangement détecteur volumétrique DVOL4</t>
  </si>
  <si>
    <t>Alarme détecteur volumétrique DVOL5</t>
  </si>
  <si>
    <t>Fraude détecteur volumétrique DVOL5</t>
  </si>
  <si>
    <t>Dérangement détecteur volumétrique DVOL5</t>
  </si>
  <si>
    <t>Alarme détecteur sismique SYS1</t>
  </si>
  <si>
    <t>Fraude détecteur sismique SYS1</t>
  </si>
  <si>
    <t>Dérangement détecteur sismique SYS1</t>
  </si>
  <si>
    <t>Dérangement centrale câble à choc sur cloture bleu</t>
  </si>
  <si>
    <t>Alarme Câble à choc sur panneaux clôture bleu</t>
  </si>
  <si>
    <t>Alarme Câble à choc sur bavolet clôture bleu</t>
  </si>
  <si>
    <t>Dérangement centrale câble à choc sur portails bleus P7/P8</t>
  </si>
  <si>
    <t>Alarme Câble à choc sur portail bleu P7</t>
  </si>
  <si>
    <t>Alarme Câble à choc sur portail bleu P8</t>
  </si>
  <si>
    <t>Alarme CP18 armoire RIO B22</t>
  </si>
  <si>
    <t>Alarme CP17 répartiteur TEA</t>
  </si>
  <si>
    <t>Alarme rideau métallique RM2 ouvert</t>
  </si>
  <si>
    <t>Fraude rideau métallique RM2</t>
  </si>
  <si>
    <t>Onduleur CADAM B22 sur batterie</t>
  </si>
  <si>
    <t>Défaut onduleur CADAM B22</t>
  </si>
  <si>
    <t>Ouverture baie S B22</t>
  </si>
  <si>
    <t>Ouverture baie RFSI B22</t>
  </si>
  <si>
    <t>Ouverture baie FO B22</t>
  </si>
  <si>
    <t>Ouverture baie RDO B22</t>
  </si>
  <si>
    <t>Ouverture baie interphone B22</t>
  </si>
  <si>
    <t>Ouverture baie téléphone B22</t>
  </si>
  <si>
    <t>Portail P7 ouvert</t>
  </si>
  <si>
    <t>Portail P9 ouvert</t>
  </si>
  <si>
    <t>Alarme CP8 portillon Gare routière</t>
  </si>
  <si>
    <t>Fraude CP8 portillon Gare routière</t>
  </si>
  <si>
    <t>Portail P3 ouvert</t>
  </si>
  <si>
    <t>Portail P3 non vérrouillé</t>
  </si>
  <si>
    <t>Alarme CP1 local CFIS B21</t>
  </si>
  <si>
    <t>Fraude CP1 local CFIS B21</t>
  </si>
  <si>
    <t>Alarme CP2 local repos B21</t>
  </si>
  <si>
    <t>Fraude CP2 local repos B21</t>
  </si>
  <si>
    <t>Alarme CP3 local repos B21</t>
  </si>
  <si>
    <t>Fraude CP3 local repos B21</t>
  </si>
  <si>
    <t>Alarme CP7 local PA B21</t>
  </si>
  <si>
    <t>Fraude CP7 local PA B21</t>
  </si>
  <si>
    <t>Alarme CP12 local CFO/CFI B22</t>
  </si>
  <si>
    <t>Fraude CP12 local CFO/CFI B22</t>
  </si>
  <si>
    <t>Alarme SOS1 appel d'urgence hotesse accueil</t>
  </si>
  <si>
    <t>Alarme SOS2 appel d'urgence hotesse accueil</t>
  </si>
  <si>
    <t>Alarme SOS3 appel d'urgence hotesse accueil</t>
  </si>
  <si>
    <t>Alarme SOS4 appel d'urgence hotesse accueil</t>
  </si>
  <si>
    <t>Alarme rideau métallique RM1 ouvert</t>
  </si>
  <si>
    <t>Fraude rideau métallique RM1</t>
  </si>
  <si>
    <t>Alarme température local CFIS B21</t>
  </si>
  <si>
    <t>PPH63</t>
  </si>
  <si>
    <t>Synthèse défaut technique Ventilation B21</t>
  </si>
  <si>
    <t>PPH64</t>
  </si>
  <si>
    <t>Synthèse défaut technique Chauffage/Climatisation B21</t>
  </si>
  <si>
    <t>Synthèse défaut technique Récupération eau de Pluie B21</t>
  </si>
  <si>
    <t>Alarme détecteur volumétrique DVOL1</t>
  </si>
  <si>
    <t>Fraude détecteur volumétrique DVOL1</t>
  </si>
  <si>
    <t>Dérangement détecteur volumétrique DVOL1</t>
  </si>
  <si>
    <t>Alarme détecteur volumétrique DVOL6</t>
  </si>
  <si>
    <t>Fraude détecteur volumétrique DVOL6</t>
  </si>
  <si>
    <t>Dérangement détecteur volumétrique DVOL6</t>
  </si>
  <si>
    <t>Alarme détecteur volumétrique DVOL7</t>
  </si>
  <si>
    <t>Fraude détecteur volumétrique DVOL7</t>
  </si>
  <si>
    <t>Dérangement détecteur volumétrique DVOL7</t>
  </si>
  <si>
    <t>Alarme détecteur volumétrique DVOL8</t>
  </si>
  <si>
    <t>Fraude détecteur volumétrique DVOL8</t>
  </si>
  <si>
    <t>Dérangement détecteur volumétrique DVOL8</t>
  </si>
  <si>
    <t>Alarme détecteur volumétrique DVOL9</t>
  </si>
  <si>
    <t>Fraude détecteur volumétrique DVOL9</t>
  </si>
  <si>
    <t>Dérangement détecteur volumétrique DVOL9</t>
  </si>
  <si>
    <t>Alarme détecteur volumétrique DVOL10</t>
  </si>
  <si>
    <t>Fraude détecteur volumétrique DVOL10</t>
  </si>
  <si>
    <t>Dérangement détecteur volumétrique DVOL10</t>
  </si>
  <si>
    <t>Alarme CP15 armoire RIO B21</t>
  </si>
  <si>
    <t>Onduleur CADAM B21 sur batterie</t>
  </si>
  <si>
    <t>Défaut onduleur CADAM B21</t>
  </si>
  <si>
    <t>Ouverture baie S B21</t>
  </si>
  <si>
    <t>Ouverture baie RFSI B21</t>
  </si>
  <si>
    <t>Ouverture baie FO B21</t>
  </si>
  <si>
    <t>Ouverture baie téléphone B21</t>
  </si>
  <si>
    <t>Ouverture trappe accès ventail 2 P3</t>
  </si>
  <si>
    <t>Portail P11 ouvert</t>
  </si>
  <si>
    <t>Alarme CP11 portillon ALAS</t>
  </si>
  <si>
    <t>Fraude CP11 portillon ALAS</t>
  </si>
  <si>
    <t>Portail P1 ouvert</t>
  </si>
  <si>
    <t>Portail P1 non vérrouillé</t>
  </si>
  <si>
    <t>Portail P4 ouvert</t>
  </si>
  <si>
    <t>Portail P5 ouvert</t>
  </si>
  <si>
    <t>Alarme CP19 armoire RIO V1/V2</t>
  </si>
  <si>
    <t>Alarme Radar Laser Cellules sous toiture</t>
  </si>
  <si>
    <t>Fraude Radar Laser Cellules sous toiture</t>
  </si>
  <si>
    <t>Dérangement Radar Laser Cellules sous toiture</t>
  </si>
  <si>
    <t>Alarme Barrière IR sur toiture</t>
  </si>
  <si>
    <t>Fraude Barrière IR sur toiture</t>
  </si>
  <si>
    <t>Dérangement Barrière IR sur toiture</t>
  </si>
  <si>
    <t>Ouverture trappe accès ventail 1 P1</t>
  </si>
  <si>
    <t>Ouverture trappe accès ventail 2 P1 et vantail 1 P2</t>
  </si>
  <si>
    <t>Portail P2 ouvert</t>
  </si>
  <si>
    <t>Portail P2 non vérrouillé</t>
  </si>
  <si>
    <t>Portail P6 ouvert</t>
  </si>
  <si>
    <t>Alarme CP20 armoire RIO V3</t>
  </si>
  <si>
    <t>Ouverture trappe accès ventail 2 P2 et vantail 1 P3</t>
  </si>
  <si>
    <t>ST</t>
  </si>
  <si>
    <t>ET</t>
  </si>
  <si>
    <t>TS</t>
  </si>
  <si>
    <t>TypeSignal</t>
  </si>
  <si>
    <t>ID-API</t>
  </si>
  <si>
    <t>ID-SLOT</t>
  </si>
  <si>
    <t>TS1</t>
  </si>
  <si>
    <t>TS2</t>
  </si>
  <si>
    <t>TS3</t>
  </si>
  <si>
    <t>TS4</t>
  </si>
  <si>
    <t>TS5</t>
  </si>
  <si>
    <t>TS6</t>
  </si>
  <si>
    <t>ID-INS</t>
  </si>
  <si>
    <t>Nom du modele</t>
  </si>
  <si>
    <t>ID-SIG</t>
  </si>
  <si>
    <t>Forcé</t>
  </si>
  <si>
    <t>Erreur</t>
  </si>
  <si>
    <t>ID_API_S inexistant dans Conf-API</t>
  </si>
  <si>
    <t>ID_API_P et ID_API_S identiques</t>
  </si>
  <si>
    <t>ID_API_P inexistant dans Conf-API</t>
  </si>
  <si>
    <t>Protection des cellules ID-INS et ID-SIG (+ la ligne entière ?) sur activation Forcage</t>
  </si>
  <si>
    <t>Élément contrôlé</t>
  </si>
  <si>
    <t>ID manquant</t>
  </si>
  <si>
    <t>Plusieurs lignes possèdent le même ID</t>
  </si>
  <si>
    <t>ID en doublon</t>
  </si>
  <si>
    <t>ModelName</t>
  </si>
  <si>
    <t>ModelName manquant</t>
  </si>
  <si>
    <t>API principale / secondaire</t>
  </si>
  <si>
    <t>API principale</t>
  </si>
  <si>
    <t>API secondaire</t>
  </si>
  <si>
    <t>La cellule ID est vide</t>
  </si>
  <si>
    <t>La cellule ModelName est vide</t>
  </si>
  <si>
    <t>ID_API_P et ID_API_S sont tous deux renseignés et identiques</t>
  </si>
  <si>
    <t>ID_API_P est renseigné mais absent de la feuille Conf-API</t>
  </si>
  <si>
    <t>ID_API_S est renseigné mais absent de la feuille Conf-API</t>
  </si>
  <si>
    <t>La cellule TS est vide</t>
  </si>
  <si>
    <t>Type de signal manquant</t>
  </si>
  <si>
    <t>La valeur de TS n’existe pas dans la colonne TS de TypeSignals</t>
  </si>
  <si>
    <t>Type de signal inexistant</t>
  </si>
  <si>
    <t>La combinaison n’est pas exactement l’une des deux configurations autorisées : API_P = "X" et API_S vide, ou API_P vide et API_S = "X"</t>
  </si>
  <si>
    <t>ID_INS</t>
  </si>
  <si>
    <t>La cellule ID_INS est vide</t>
  </si>
  <si>
    <t>ID_INS manquant</t>
  </si>
  <si>
    <t>La valeur de ID_INS n’existe pas dans la feuille Instances</t>
  </si>
  <si>
    <t>ID_INS inexistant dans Instances</t>
  </si>
  <si>
    <t>ID_SIG</t>
  </si>
  <si>
    <t>La cellule ID_SIG est vide</t>
  </si>
  <si>
    <t>ID_SIG manquant</t>
  </si>
  <si>
    <t>La valeur de ID_SIG n’existe pas dans la feuille Signaux</t>
  </si>
  <si>
    <t>ID_SIG inexistant dans Signaux</t>
  </si>
  <si>
    <t>Couple ID_INS + ID_SIG</t>
  </si>
  <si>
    <t>Le même couple existe sur une autre ligne</t>
  </si>
  <si>
    <t>Couple ID_INS + ID_SIG en doublon</t>
  </si>
  <si>
    <t>Le ModelName de l’instance est différent de celui du signal</t>
  </si>
  <si>
    <t>ModelName Instance / Signal incohérent</t>
  </si>
  <si>
    <t>La valeur est renseignée et différente de X, sans tenir compte de la casse</t>
  </si>
  <si>
    <t>Valeur Forcé invalide</t>
  </si>
  <si>
    <t>ID_API</t>
  </si>
  <si>
    <t>ID_API est vide sur une ligne forcée</t>
  </si>
  <si>
    <t>ID_API manquant pour une ligne forcée</t>
  </si>
  <si>
    <t>ID_RACK</t>
  </si>
  <si>
    <t>ID_RACK est vide sur une ligne forcée</t>
  </si>
  <si>
    <t>ID_RACK manquant pour une ligne forcée</t>
  </si>
  <si>
    <t>ID_SLOT</t>
  </si>
  <si>
    <t>ID_SLOT est vide sur une ligne forcée</t>
  </si>
  <si>
    <t>ID_SLOT manquant pour une ligne forcée</t>
  </si>
  <si>
    <t>ID_VOIE</t>
  </si>
  <si>
    <t>ID_VOIE est vide sur une ligne forcée</t>
  </si>
  <si>
    <t>ID_VOIE manquant pour une ligne forcée</t>
  </si>
  <si>
    <t>API_P / API_S</t>
  </si>
  <si>
    <t>ID_API forcé</t>
  </si>
  <si>
    <t>Aucun enregistrement correspondant à l’ID_API n’existe dans Conf-API</t>
  </si>
  <si>
    <t>ID_API inexistant dans Conf-API</t>
  </si>
  <si>
    <t>ID_RACK / ID_SLOT</t>
  </si>
  <si>
    <t>Le type de signal n’existe pas dans la feuille des types de signaux</t>
  </si>
  <si>
    <t>Voies disponibles</t>
  </si>
  <si>
    <t>La voie forcée n’est pas disponible pour la carte et le type de signal concernés</t>
  </si>
  <si>
    <t>ID_VOIE incompatible avec la carte et le type de signal</t>
  </si>
  <si>
    <t>Ressource forcée</t>
  </si>
  <si>
    <t>Une autre ligne forcée utilise le même ID_API, ID_RACK, ID_SLOT et ID_VOIE</t>
  </si>
  <si>
    <t>Ressource déjà utilisée par une ligne forcée</t>
  </si>
  <si>
    <t>Instances</t>
  </si>
  <si>
    <t>Signaux</t>
  </si>
  <si>
    <t>ListeES</t>
  </si>
  <si>
    <t>Test</t>
  </si>
  <si>
    <t>Test inutile puisque valeur obtenu directement depuis ConfAPI par formule Excel</t>
  </si>
  <si>
    <t>Contexte</t>
  </si>
  <si>
    <t>API-P</t>
  </si>
  <si>
    <t>API-S</t>
  </si>
  <si>
    <t>API_P / API_S : une seule valeur doit être X</t>
  </si>
  <si>
    <t>La configuration API-P / API-S est incorrecte.</t>
  </si>
  <si>
    <t>ID_API forcé différent de l'ID_API attendu</t>
  </si>
  <si>
    <t>L’ID_API renseigné est différent de l’API attendue</t>
  </si>
  <si>
    <t>ID_RACK / ID_SLOT absent de Conf-API pour cet ID_API</t>
  </si>
  <si>
    <t>Le couple ID_RACK / ID_SLOT n'existe pas dans Conf-API pour cet ID_API</t>
  </si>
  <si>
    <t>Aucune voie de la carte pour ce type de signal</t>
  </si>
  <si>
    <t>Aucune voie disponible sur la carte pour ce type de signal</t>
  </si>
  <si>
    <t>Indiquer la désynchonisation entre les données du modele et la listeES</t>
  </si>
  <si>
    <t>Contrôle de Validation</t>
  </si>
  <si>
    <t>Suit ID (Instances)</t>
  </si>
  <si>
    <t>Suit ID (Signaux)</t>
  </si>
  <si>
    <t>Calculé</t>
  </si>
  <si>
    <t>Calculé depuis Instances+Signaux</t>
  </si>
  <si>
    <t>NON</t>
  </si>
  <si>
    <t>NON [A]</t>
  </si>
  <si>
    <t>[A] Relecture lignes existantes (avec ID-INS et ID-SIG)</t>
  </si>
  <si>
    <t>Instances+Signaux</t>
  </si>
  <si>
    <t>Suit ID (Signaux) ?</t>
  </si>
  <si>
    <t>NON ?</t>
  </si>
  <si>
    <t>ID-RES : ID-API+ID-RACK+ID-SLOT+ID-VOIE</t>
  </si>
  <si>
    <t>ID-API Forcé</t>
  </si>
  <si>
    <t>ID-SLOT Forcé</t>
  </si>
  <si>
    <t>ID-VOIE Forcé</t>
  </si>
  <si>
    <t>ID-RACK Forcé</t>
  </si>
  <si>
    <t>?</t>
  </si>
  <si>
    <t>Algo</t>
  </si>
  <si>
    <t>Lecture</t>
  </si>
  <si>
    <t>NA</t>
  </si>
  <si>
    <t>OUI</t>
  </si>
  <si>
    <t>API P et S (Liste non finie) -&gt; Abandonné car c'est une relation plusieurs à plusieurs difficile à modéliser sous Excel</t>
  </si>
  <si>
    <t>Abandonné</t>
  </si>
  <si>
    <t>Non prioritaire</t>
  </si>
  <si>
    <t>Colonne1</t>
  </si>
  <si>
    <t>Colonne2</t>
  </si>
  <si>
    <t>Colonne3</t>
  </si>
  <si>
    <t>TS1-T</t>
  </si>
  <si>
    <t>TS2-T</t>
  </si>
  <si>
    <t>TS3-T</t>
  </si>
  <si>
    <t>TS4-T</t>
  </si>
  <si>
    <t>TS5-T</t>
  </si>
  <si>
    <t>TS6-T</t>
  </si>
  <si>
    <t>TS1%</t>
  </si>
  <si>
    <t>TS2%</t>
  </si>
  <si>
    <t>TS3%</t>
  </si>
  <si>
    <t>TS4%</t>
  </si>
  <si>
    <t>TS5%</t>
  </si>
  <si>
    <t>TS6%</t>
  </si>
  <si>
    <t>Seuil % reserve insuffisante</t>
  </si>
  <si>
    <t>Slot</t>
  </si>
  <si>
    <t>ID-API à générer</t>
  </si>
  <si>
    <t>Tableau non extensible !!!</t>
  </si>
  <si>
    <t>ID-API-P</t>
  </si>
  <si>
    <t>ID-API-S</t>
  </si>
  <si>
    <t>Colors</t>
  </si>
  <si>
    <t>0,00%</t>
  </si>
  <si>
    <t>100,00%</t>
  </si>
  <si>
    <t>-100,00%</t>
  </si>
  <si>
    <t>API View Color1</t>
  </si>
  <si>
    <t>Key</t>
  </si>
  <si>
    <t>Valeur</t>
  </si>
  <si>
    <t>seuil_res</t>
  </si>
  <si>
    <t>Texte</t>
  </si>
  <si>
    <t>view_api_format1</t>
  </si>
  <si>
    <t>view_api_format2</t>
  </si>
  <si>
    <t>view_api_format3</t>
  </si>
  <si>
    <t>Proteger la colonne Options/Key</t>
  </si>
  <si>
    <t>view_api_format4</t>
  </si>
  <si>
    <t>view_api_format_reserve</t>
  </si>
  <si>
    <t>TEXTE</t>
  </si>
  <si>
    <t>Att1</t>
  </si>
  <si>
    <t>Att2</t>
  </si>
  <si>
    <t>Att1-Ins</t>
  </si>
  <si>
    <t>Att2-Ins</t>
  </si>
  <si>
    <t>Att1-Ins (Zone)</t>
  </si>
  <si>
    <t>Att2-Ins (Repère)</t>
  </si>
  <si>
    <t>Att3</t>
  </si>
  <si>
    <t>Att3-Ins (Equipement)</t>
  </si>
  <si>
    <t>Att3-Ins</t>
  </si>
  <si>
    <t>ModelName inexistant dans Signaux</t>
  </si>
  <si>
    <t>Le ModelName n'existe pas dans Signaux</t>
  </si>
  <si>
    <t>Att1-Sig</t>
  </si>
  <si>
    <t>Att1-Sig (Signal)</t>
  </si>
  <si>
    <t>Nom</t>
  </si>
  <si>
    <t>Automate1</t>
  </si>
  <si>
    <t>Libelle</t>
  </si>
  <si>
    <t>Suit Description</t>
  </si>
  <si>
    <t>Désynchro Signaux/Instances</t>
  </si>
  <si>
    <t>API/Voie Forcé</t>
  </si>
  <si>
    <t>ID-INS/ID-SIG Vide</t>
  </si>
  <si>
    <t>Color</t>
  </si>
  <si>
    <t>Color_TS</t>
  </si>
  <si>
    <t>Color_Sig</t>
  </si>
  <si>
    <t>Color_Ins</t>
  </si>
  <si>
    <t>Color_INS</t>
  </si>
  <si>
    <t>Color_SIG</t>
  </si>
  <si>
    <t>Att2-Sig</t>
  </si>
  <si>
    <t>Att3-Sig</t>
  </si>
  <si>
    <t>ID-Voie</t>
  </si>
  <si>
    <t>Limittaions</t>
  </si>
  <si>
    <t>Pas possible de forcer les informations issues de Signaux et Instances, ces informations suivent les ID-INS et ID-SIG</t>
  </si>
  <si>
    <t>Autrement dit chaque ligne de la listeES doivent avoir in ID-INS et un ID-SIG (c'est un inconveniant mais aussi un avantage du fait de l'impossibilité de désynchroniser les informations)</t>
  </si>
  <si>
    <t>Repere</t>
  </si>
  <si>
    <t>Repere-Slot</t>
  </si>
  <si>
    <t>Repere_API</t>
  </si>
  <si>
    <t>Repere-Voie</t>
  </si>
  <si>
    <t>Repere-API</t>
  </si>
  <si>
    <t>Repere-Rack</t>
  </si>
  <si>
    <t>v0</t>
  </si>
  <si>
    <t>v1</t>
  </si>
  <si>
    <t>v2</t>
  </si>
  <si>
    <t>v3</t>
  </si>
  <si>
    <t>v4</t>
  </si>
  <si>
    <t>v5</t>
  </si>
  <si>
    <t>v6</t>
  </si>
  <si>
    <t>v7</t>
  </si>
  <si>
    <t>v8</t>
  </si>
  <si>
    <t>v9</t>
  </si>
  <si>
    <t>v10</t>
  </si>
  <si>
    <t>v11</t>
  </si>
  <si>
    <t>v12</t>
  </si>
  <si>
    <t>v13</t>
  </si>
  <si>
    <t>v14</t>
  </si>
  <si>
    <t>v15</t>
  </si>
  <si>
    <t>A1</t>
  </si>
  <si>
    <t>R1</t>
  </si>
  <si>
    <t>API: A1 - Automate1</t>
  </si>
  <si>
    <t xml:space="preserve">API:  - </t>
  </si>
  <si>
    <t>API: A1</t>
  </si>
  <si>
    <t>A2</t>
  </si>
  <si>
    <t>A3</t>
  </si>
  <si>
    <t>A4</t>
  </si>
  <si>
    <t>A5</t>
  </si>
  <si>
    <t>A6</t>
  </si>
  <si>
    <t>A7</t>
  </si>
  <si>
    <t>A8</t>
  </si>
  <si>
    <t>A9</t>
  </si>
  <si>
    <t>R2</t>
  </si>
  <si>
    <t>S3</t>
  </si>
  <si>
    <t>S4</t>
  </si>
  <si>
    <t>S5</t>
  </si>
  <si>
    <t>S6</t>
  </si>
  <si>
    <t>S7</t>
  </si>
  <si>
    <t>S8</t>
  </si>
  <si>
    <t>S9</t>
  </si>
  <si>
    <t>S10</t>
  </si>
  <si>
    <t>S2</t>
  </si>
  <si>
    <t xml:space="preserve">API: A2 - </t>
  </si>
  <si>
    <t xml:space="preserve">API: A3 - </t>
  </si>
  <si>
    <t xml:space="preserve">API: A4 - </t>
  </si>
  <si>
    <t xml:space="preserve">API: A5 - </t>
  </si>
  <si>
    <t xml:space="preserve">API: A6 - </t>
  </si>
  <si>
    <t xml:space="preserve">API: A7 - </t>
  </si>
  <si>
    <t xml:space="preserve">API: A8 - </t>
  </si>
  <si>
    <t xml:space="preserve">API: A9 - </t>
  </si>
  <si>
    <t>TECH27</t>
  </si>
  <si>
    <t>TECH28</t>
  </si>
  <si>
    <t>TECH29</t>
  </si>
  <si>
    <t>TECH30</t>
  </si>
  <si>
    <t>ECL_ENT_B22</t>
  </si>
  <si>
    <t>Défaut générale onduleur TGO B22</t>
  </si>
  <si>
    <t>Défaut basculement sur batterie onduleur TGO B22</t>
  </si>
  <si>
    <t>Défaut batterie faible onduleur TGO B22</t>
  </si>
  <si>
    <t>Défaut onduleur sur By-pass TGO B22</t>
  </si>
  <si>
    <t>Presence Tension TGO22 B22</t>
  </si>
  <si>
    <t>Inverseur de source TG22 sur Secteur</t>
  </si>
  <si>
    <t>Inverseur de source TG22  sur GE</t>
  </si>
  <si>
    <t>ECLAIRAGE EXTERIEUR PARKING B22 - Retour d'éclairage</t>
  </si>
  <si>
    <t>E12</t>
  </si>
  <si>
    <t>VIGIE</t>
  </si>
  <si>
    <t>Buzzer_Vigie_Cmd_1</t>
  </si>
  <si>
    <t>Buzzer_Vigie_Cmd_2</t>
  </si>
  <si>
    <t>Commande buzzer vigie commande 1</t>
  </si>
  <si>
    <t>Commande buzzer vigie commande 2</t>
  </si>
  <si>
    <t>TEA92</t>
  </si>
  <si>
    <t>TEA93</t>
  </si>
  <si>
    <t>TEA94</t>
  </si>
  <si>
    <t>TEA95</t>
  </si>
  <si>
    <t>Reserve2</t>
  </si>
  <si>
    <t>Portail P1 - Sortie Réserve 2</t>
  </si>
  <si>
    <t>V1_Verrouil</t>
  </si>
  <si>
    <t>Portail P4 - Sortie Réserve 2</t>
  </si>
  <si>
    <t>Reserve1</t>
  </si>
  <si>
    <t>Portail P5 - Sortie Réserve 1</t>
  </si>
  <si>
    <t>Portail P6 - Sortie Réserve 2</t>
  </si>
  <si>
    <t>Portail P5 - Entrée Réserve 1</t>
  </si>
  <si>
    <t>VxOuvGCmd2</t>
  </si>
  <si>
    <t>Portail P2 - Commande d'ouverture gâche 2</t>
  </si>
  <si>
    <t>Vx_GacheOuv2 (Reserve)</t>
  </si>
  <si>
    <t>V2_GacheFer</t>
  </si>
  <si>
    <t>VANTAIL P2V2 - Retourd'état Gâche sortie</t>
  </si>
  <si>
    <t>Portail P4 - Entrée Réserve 2</t>
  </si>
  <si>
    <t>Portail P6 - Entrée Réserve 2</t>
  </si>
  <si>
    <t>EL52</t>
  </si>
  <si>
    <t>Synthèse Défaut alimentation rack d'extension du RIO 3 - Défaut</t>
  </si>
  <si>
    <t>Portail P2V1 - Verrouillage</t>
  </si>
  <si>
    <t>V2_Verrouil</t>
  </si>
  <si>
    <t>Portail P2V2 - Verrouillage</t>
  </si>
  <si>
    <t>Portail P2 - Entrée Réserve 1</t>
  </si>
  <si>
    <t>V1_GacheFer</t>
  </si>
  <si>
    <t>VANTAIL P2V1 - Retourd'état Gâche sortie</t>
  </si>
  <si>
    <t>VANTAIL P2V1 - Retourd'état Gâche rentrée</t>
  </si>
  <si>
    <t>Portail P6 - Entrée Réserve 1</t>
  </si>
  <si>
    <t>Vx_GacheOuv1 (Reserve)</t>
  </si>
  <si>
    <t>Portail P2 - Fin de course ouvert 1 gâche (Reserve)</t>
  </si>
  <si>
    <t>EL53</t>
  </si>
  <si>
    <t>Synthèse Défaut alimentation rack d'extension du RIO 4 - Défaut</t>
  </si>
  <si>
    <t>Portail P3 - Sortie Réserve 1</t>
  </si>
  <si>
    <t>Portail P7 -  Sortie Réserve 1</t>
  </si>
  <si>
    <t>Appui (Reserve)</t>
  </si>
  <si>
    <t>Bouton poussoir Demande d'ouverture AVB et BH fin de voie 4 (reserve)</t>
  </si>
  <si>
    <t>Portail P7 - Entrée Réserve 1</t>
  </si>
  <si>
    <t>Feu F12 - Commande Buzzer</t>
  </si>
  <si>
    <t>PPH103</t>
  </si>
  <si>
    <t>EL54</t>
  </si>
  <si>
    <t>ELB21</t>
  </si>
  <si>
    <t>TECH23</t>
  </si>
  <si>
    <t>Synthèse Défaut alimentation rack d'extension du RIO 5 - Défaut</t>
  </si>
  <si>
    <t>Défaut alimentation B21</t>
  </si>
  <si>
    <t>Défaut presence tension normale TDA1 - B21</t>
  </si>
  <si>
    <t>Presence Tension TDOA1 B21</t>
  </si>
  <si>
    <t>Portail P8 - Sortie Réserve 2</t>
  </si>
  <si>
    <t>Portail P10 - Sortie Réserve 1</t>
  </si>
  <si>
    <t>Réserve - Sortie 1</t>
  </si>
  <si>
    <t>Réserve - Contact</t>
  </si>
  <si>
    <t>EL50</t>
  </si>
  <si>
    <t>Synthèse Défaut alimentation rack d'extension du RIO 6 - Défaut</t>
  </si>
  <si>
    <t>Réserve - Défaut</t>
  </si>
  <si>
    <t>Tourniquet TRSD1 - Défaut T2</t>
  </si>
  <si>
    <t>RIO5/7 Défaut batterie - Défaut</t>
  </si>
  <si>
    <t>RIO5/7 Synthèse disjonction auxiliaire + puissance - Défaut</t>
  </si>
  <si>
    <t>RIO1/6 Défaut batterie - Défaut</t>
  </si>
  <si>
    <t>RIO1/6 Synthèse disjonction auxiliaire + puissance - Défaut</t>
  </si>
  <si>
    <t>Portail P7 - Entrée Réserve 2</t>
  </si>
  <si>
    <t>BR5</t>
  </si>
  <si>
    <t>Barrière BR5 - Synthèse défaut</t>
  </si>
  <si>
    <t>EL48 EL55</t>
  </si>
  <si>
    <t>Synthèse Défaut alimentation rack d'extension du RIO 1 - Défaut</t>
  </si>
  <si>
    <t>Portail P1V2 - Verrouillage</t>
  </si>
  <si>
    <t>Portail P4 - Sortie Réserve 1</t>
  </si>
  <si>
    <t>Portail P5 - Sortie Réserve 2</t>
  </si>
  <si>
    <t>Portail P1 - Entrée Réserve 2</t>
  </si>
  <si>
    <t>VENTAIL P1V1 - Retour d'état Gâche sortie</t>
  </si>
  <si>
    <t>VENTAIL P1V2 - Retour d'état Gâche rentrée</t>
  </si>
  <si>
    <t>VENTAIL P1V2 - Retour d'état Gâche sortie</t>
  </si>
  <si>
    <t>VENTAIL P1V1 - Retour d'état Gâche rentrée</t>
  </si>
  <si>
    <t>Portail P4 - Réserve</t>
  </si>
  <si>
    <t>Portail P4 - Retour Commande 1 fermeture</t>
  </si>
  <si>
    <t>Portail P4 - Entrée Réserve 1</t>
  </si>
  <si>
    <t>Reserve3</t>
  </si>
  <si>
    <t>Feu F16 - Réserve</t>
  </si>
  <si>
    <t>EL48</t>
  </si>
  <si>
    <t>Portail P5 - Entrée Réserve 2</t>
  </si>
  <si>
    <t>EL51</t>
  </si>
  <si>
    <t>Synthèse Défaut alimentation rack d'extension du RIO 2 - Défaut</t>
  </si>
  <si>
    <t>VANTAIL P2V2 - Retourd'état Gâche rentrée</t>
  </si>
  <si>
    <t>Portail P3V2 - Verrouillage</t>
  </si>
  <si>
    <t>VANTAIL P3V2 - Retour d'état Gâche rentrée</t>
  </si>
  <si>
    <t>VANTAIL P3V2 - Retour d'état Gâche sortie</t>
  </si>
  <si>
    <t>VANTAIL P3V1 - Retour d'état Gâche sortie</t>
  </si>
  <si>
    <t>VANTAIL P3V1 - Retour d'état Gâche rentrée</t>
  </si>
  <si>
    <t>Barrière BH9 - Réserve</t>
  </si>
  <si>
    <t>Barrière BH4 - Réserve</t>
  </si>
  <si>
    <t>TECH31</t>
  </si>
  <si>
    <t>TECH32</t>
  </si>
  <si>
    <t>Barrière BR5 - Commande fermeture</t>
  </si>
  <si>
    <t>Barrière BR5 - Effraction</t>
  </si>
  <si>
    <t>Barrière BR5 - Présence sous la barrière (Cellule)</t>
  </si>
  <si>
    <t>Barrière BR5 - Position ouverte</t>
  </si>
  <si>
    <t>Barrière BR5 - Position fermée</t>
  </si>
  <si>
    <t>B20</t>
  </si>
  <si>
    <t>Boucle B20 - Défaut</t>
  </si>
  <si>
    <t>Boucle B20 - Présence</t>
  </si>
  <si>
    <t>Feu F13 - Réserve</t>
  </si>
  <si>
    <t>Portail P3V1 - Verrouillage</t>
  </si>
  <si>
    <t>CmdMaintien</t>
  </si>
  <si>
    <t>Portail P12 - Commande de maintien par ventouse</t>
  </si>
  <si>
    <t>Reserv</t>
  </si>
  <si>
    <t>Comut_PCS_Rearm</t>
  </si>
  <si>
    <t>Bouton tournant à clé pour réarmement CDP Nasse (NO)</t>
  </si>
  <si>
    <t>BTRearm1</t>
  </si>
  <si>
    <t>BTRearm2</t>
  </si>
  <si>
    <t>Bouton tournant à clé pour réarmement CDP Nasse (NC)</t>
  </si>
  <si>
    <t>TEA91</t>
  </si>
  <si>
    <t>Voie sortie VL/PL V5 ouverte</t>
  </si>
  <si>
    <t>CORA_BIP</t>
  </si>
  <si>
    <t>ECLAIRAGE EXTERIEUR NASSE + ENTREE - Commande de Forçage</t>
  </si>
  <si>
    <t>ECLAIRAGE EXTERIEUR PARKING EXTERIEUR - Commande de Forçage</t>
  </si>
  <si>
    <t>ECLAIRAGE EXTERIEUR GARE ROUTIERE - Commande de Forçage</t>
  </si>
  <si>
    <t>ECLAIRAGE EXTERIEUR PARKING B22 - Commande de Forçage</t>
  </si>
  <si>
    <t>Défaut CORA BIP SPR</t>
  </si>
  <si>
    <t>EL49</t>
  </si>
  <si>
    <t>ELB22</t>
  </si>
  <si>
    <t>TECH24</t>
  </si>
  <si>
    <t>TECH25</t>
  </si>
  <si>
    <t>TECH26</t>
  </si>
  <si>
    <t>Synthèse Défaut alimentation rack d'extension du RIO 9 - Défaut</t>
  </si>
  <si>
    <t>Défaut alimentation B22</t>
  </si>
  <si>
    <t>Défaut présence tension normale TG22 B22</t>
  </si>
  <si>
    <t>Défaut DCU Exterieur enclenché B22</t>
  </si>
  <si>
    <t>Défaut DCU Exterieur enclenché B21</t>
  </si>
  <si>
    <t>Ref-Carte2</t>
  </si>
  <si>
    <t>ID-RRS</t>
  </si>
  <si>
    <t>RRSB</t>
  </si>
  <si>
    <t>Commentaires</t>
  </si>
  <si>
    <t>Impossible de déterminer l'API attendue pour ce signal.</t>
  </si>
  <si>
    <t>ID_API absent ou invalide.</t>
  </si>
  <si>
    <t>ID_API affecté différent de l'API attendue.</t>
  </si>
  <si>
    <t>Voici le tableau de synthèse des messages d'erreur relevés dans le code que tu m'as transmis. Je distingue les deux parcours :</t>
  </si>
  <si>
    <r>
      <t xml:space="preserve">Validation avant génération : </t>
    </r>
    <r>
      <rPr>
        <sz val="10"/>
        <rFont val="Arial Unicode MS"/>
        <family val="2"/>
      </rPr>
      <t>ValidateData()</t>
    </r>
    <r>
      <rPr>
        <sz val="11"/>
        <rFont val="Aptos Narrow"/>
        <family val="2"/>
        <scheme val="minor"/>
      </rPr>
      <t xml:space="preserve"> — contrôle les feuilles </t>
    </r>
    <r>
      <rPr>
        <sz val="10"/>
        <rFont val="Arial Unicode MS"/>
        <family val="2"/>
      </rPr>
      <t>Instances</t>
    </r>
    <r>
      <rPr>
        <sz val="11"/>
        <rFont val="Aptos Narrow"/>
        <family val="2"/>
        <scheme val="minor"/>
      </rPr>
      <t xml:space="preserve">, </t>
    </r>
    <r>
      <rPr>
        <sz val="10"/>
        <rFont val="Arial Unicode MS"/>
        <family val="2"/>
      </rPr>
      <t>Signaux</t>
    </r>
    <r>
      <rPr>
        <sz val="11"/>
        <rFont val="Aptos Narrow"/>
        <family val="2"/>
        <scheme val="minor"/>
      </rPr>
      <t xml:space="preserve"> et </t>
    </r>
    <r>
      <rPr>
        <sz val="10"/>
        <rFont val="Arial Unicode MS"/>
        <family val="2"/>
      </rPr>
      <t>ListeES</t>
    </r>
    <r>
      <rPr>
        <sz val="11"/>
        <rFont val="Aptos Narrow"/>
        <family val="2"/>
        <scheme val="minor"/>
      </rPr>
      <t>.</t>
    </r>
  </si>
  <si>
    <r>
      <t xml:space="preserve">Validation complémentaire : </t>
    </r>
    <r>
      <rPr>
        <sz val="10"/>
        <rFont val="Arial Unicode MS"/>
        <family val="2"/>
      </rPr>
      <t>ValidateListeESResult()</t>
    </r>
    <r>
      <rPr>
        <sz val="11"/>
        <rFont val="Aptos Narrow"/>
        <family val="2"/>
        <scheme val="minor"/>
      </rPr>
      <t xml:space="preserve"> — reprend les contrôles de </t>
    </r>
    <r>
      <rPr>
        <sz val="10"/>
        <rFont val="Arial Unicode MS"/>
        <family val="2"/>
      </rPr>
      <t>ValidateListeES()</t>
    </r>
    <r>
      <rPr>
        <sz val="11"/>
        <rFont val="Aptos Narrow"/>
        <family val="2"/>
        <scheme val="minor"/>
      </rPr>
      <t xml:space="preserve"> et ajoute la recherche des associations manquantes, la vérification détaillée des affectations et la détection des voies physiques en double.</t>
    </r>
  </si>
  <si>
    <r>
      <t xml:space="preserve">Règle importante : </t>
    </r>
    <r>
      <rPr>
        <sz val="10"/>
        <rFont val="Arial Unicode MS"/>
        <family val="2"/>
      </rPr>
      <t>SetValidationError()</t>
    </r>
    <r>
      <rPr>
        <sz val="11"/>
        <rFont val="Aptos Narrow"/>
        <family val="2"/>
        <scheme val="minor"/>
      </rPr>
      <t xml:space="preserve"> conserve uniquement la première erreur inscrite dans la cellule </t>
    </r>
    <r>
      <rPr>
        <sz val="10"/>
        <rFont val="Arial Unicode MS"/>
        <family val="2"/>
      </rPr>
      <t>Erreur</t>
    </r>
    <r>
      <rPr>
        <sz val="11"/>
        <rFont val="Aptos Narrow"/>
        <family val="2"/>
        <scheme val="minor"/>
      </rPr>
      <t xml:space="preserve"> d'une ligne. Pour tester un message précis, il faut donc éviter qu'un autre contrôle inscrive une erreur avant lui.</t>
    </r>
  </si>
  <si>
    <t>1. Validation des données avant génération</t>
  </si>
  <si>
    <r>
      <t xml:space="preserve">Tous ces messages sont inscrits dans </t>
    </r>
    <r>
      <rPr>
        <sz val="10"/>
        <rFont val="Arial Unicode MS"/>
        <family val="2"/>
      </rPr>
      <t>Instances.Erreur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</si>
  <si>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Message exact</t>
  </si>
  <si>
    <t>Condition à tester</t>
  </si>
  <si>
    <t>Vider l'ID d'une instance.</t>
  </si>
  <si>
    <t>Créer deux instances avec le même ID.</t>
  </si>
  <si>
    <r>
      <t xml:space="preserve">Vider le </t>
    </r>
    <r>
      <rPr>
        <sz val="10"/>
        <rFont val="Arial Unicode MS"/>
        <family val="2"/>
      </rPr>
      <t>ModelName</t>
    </r>
    <r>
      <rPr>
        <sz val="11"/>
        <rFont val="Aptos Narrow"/>
        <family val="2"/>
        <scheme val="minor"/>
      </rPr>
      <t>.</t>
    </r>
  </si>
  <si>
    <r>
      <t xml:space="preserve">Mettre un </t>
    </r>
    <r>
      <rPr>
        <sz val="10"/>
        <rFont val="Arial Unicode MS"/>
        <family val="2"/>
      </rPr>
      <t>ModelName</t>
    </r>
    <r>
      <rPr>
        <sz val="11"/>
        <rFont val="Aptos Narrow"/>
        <family val="2"/>
        <scheme val="minor"/>
      </rPr>
      <t xml:space="preserve"> absent de la feuille </t>
    </r>
    <r>
      <rPr>
        <sz val="10"/>
        <rFont val="Arial Unicode MS"/>
        <family val="2"/>
      </rPr>
      <t>Signaux</t>
    </r>
    <r>
      <rPr>
        <sz val="11"/>
        <rFont val="Aptos Narrow"/>
        <family val="2"/>
        <scheme val="minor"/>
      </rPr>
      <t>.</t>
    </r>
  </si>
  <si>
    <t>Renseigner les deux API avec la même valeur non vide.</t>
  </si>
  <si>
    <r>
      <t xml:space="preserve">Renseigner un </t>
    </r>
    <r>
      <rPr>
        <sz val="10"/>
        <rFont val="Arial Unicode MS"/>
        <family val="2"/>
      </rPr>
      <t>ID_API_P</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</si>
  <si>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Renseigner un </t>
    </r>
    <r>
      <rPr>
        <sz val="10"/>
        <rFont val="Arial Unicode MS"/>
        <family val="2"/>
      </rPr>
      <t>ID_API_S</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</si>
  <si>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Tous ces messages sont inscrits dans </t>
    </r>
    <r>
      <rPr>
        <sz val="10"/>
        <rFont val="Arial Unicode MS"/>
        <family val="2"/>
      </rPr>
      <t>Signaux.Erreur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</si>
  <si>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Vider l'ID d'un signal.</t>
  </si>
  <si>
    <t>Créer deux signaux avec le même ID.</t>
  </si>
  <si>
    <r>
      <t xml:space="preserve">Vider </t>
    </r>
    <r>
      <rPr>
        <sz val="10"/>
        <rFont val="Arial Unicode MS"/>
        <family val="2"/>
      </rPr>
      <t>TS</t>
    </r>
    <r>
      <rPr>
        <sz val="11"/>
        <rFont val="Aptos Narrow"/>
        <family val="2"/>
        <scheme val="minor"/>
      </rPr>
      <t xml:space="preserve">, en tenant compte du résultat de </t>
    </r>
    <r>
      <rPr>
        <sz val="10"/>
        <rFont val="Arial Unicode MS"/>
        <family val="2"/>
      </rPr>
      <t>ValeurOuVide()</t>
    </r>
    <r>
      <rPr>
        <sz val="11"/>
        <rFont val="Aptos Narrow"/>
        <family val="2"/>
        <scheme val="minor"/>
      </rPr>
      <t>.</t>
    </r>
  </si>
  <si>
    <r>
      <t xml:space="preserve">Mettre des indicateurs autres que </t>
    </r>
    <r>
      <rPr>
        <sz val="10"/>
        <rFont val="Arial Unicode MS"/>
        <family val="2"/>
      </rPr>
      <t>API_P = "X"</t>
    </r>
    <r>
      <rPr>
        <sz val="11"/>
        <rFont val="Aptos Narrow"/>
        <family val="2"/>
        <scheme val="minor"/>
      </rPr>
      <t xml:space="preserve"> et </t>
    </r>
    <r>
      <rPr>
        <sz val="10"/>
        <rFont val="Arial Unicode MS"/>
        <family val="2"/>
      </rPr>
      <t>API_S = ""</t>
    </r>
    <r>
      <rPr>
        <sz val="11"/>
        <rFont val="Aptos Narrow"/>
        <family val="2"/>
        <scheme val="minor"/>
      </rPr>
      <t xml:space="preserve">, ou l'inverse. Par exemple, les deux à </t>
    </r>
    <r>
      <rPr>
        <sz val="10"/>
        <rFont val="Arial Unicode MS"/>
        <family val="2"/>
      </rPr>
      <t>X</t>
    </r>
    <r>
      <rPr>
        <sz val="11"/>
        <rFont val="Aptos Narrow"/>
        <family val="2"/>
        <scheme val="minor"/>
      </rPr>
      <t>, les deux vides ou une valeur incorrecte.</t>
    </r>
  </si>
  <si>
    <t>Toutes</t>
  </si>
  <si>
    <r>
      <t xml:space="preserve">Vider </t>
    </r>
    <r>
      <rPr>
        <sz val="10"/>
        <rFont val="Arial Unicode MS"/>
        <family val="2"/>
      </rPr>
      <t>ID_INS</t>
    </r>
    <r>
      <rPr>
        <sz val="11"/>
        <rFont val="Aptos Narrow"/>
        <family val="2"/>
        <scheme val="minor"/>
      </rPr>
      <t>.</t>
    </r>
  </si>
  <si>
    <r>
      <t xml:space="preserve">Renseigner un </t>
    </r>
    <r>
      <rPr>
        <sz val="10"/>
        <rFont val="Arial Unicode MS"/>
        <family val="2"/>
      </rPr>
      <t>ID_INS</t>
    </r>
    <r>
      <rPr>
        <sz val="11"/>
        <rFont val="Aptos Narrow"/>
        <family val="2"/>
        <scheme val="minor"/>
      </rPr>
      <t xml:space="preserve"> absent de </t>
    </r>
    <r>
      <rPr>
        <sz val="10"/>
        <rFont val="Arial Unicode MS"/>
        <family val="2"/>
      </rPr>
      <t>Instances</t>
    </r>
    <r>
      <rPr>
        <sz val="11"/>
        <rFont val="Aptos Narrow"/>
        <family val="2"/>
        <scheme val="minor"/>
      </rPr>
      <t>.</t>
    </r>
  </si>
  <si>
    <r>
      <t xml:space="preserve">Vider </t>
    </r>
    <r>
      <rPr>
        <sz val="10"/>
        <rFont val="Arial Unicode MS"/>
        <family val="2"/>
      </rPr>
      <t>ID_SIG</t>
    </r>
    <r>
      <rPr>
        <sz val="11"/>
        <rFont val="Aptos Narrow"/>
        <family val="2"/>
        <scheme val="minor"/>
      </rPr>
      <t>.</t>
    </r>
  </si>
  <si>
    <r>
      <t xml:space="preserve">Renseigner un </t>
    </r>
    <r>
      <rPr>
        <sz val="10"/>
        <rFont val="Arial Unicode MS"/>
        <family val="2"/>
      </rPr>
      <t>ID_SIG</t>
    </r>
    <r>
      <rPr>
        <sz val="11"/>
        <rFont val="Aptos Narrow"/>
        <family val="2"/>
        <scheme val="minor"/>
      </rPr>
      <t xml:space="preserve"> absent de </t>
    </r>
    <r>
      <rPr>
        <sz val="10"/>
        <rFont val="Arial Unicode MS"/>
        <family val="2"/>
      </rPr>
      <t>Signaux</t>
    </r>
    <r>
      <rPr>
        <sz val="11"/>
        <rFont val="Aptos Narrow"/>
        <family val="2"/>
        <scheme val="minor"/>
      </rPr>
      <t>.</t>
    </r>
  </si>
  <si>
    <t>Créer deux lignes avec le même couple d'identifiants.</t>
  </si>
  <si>
    <r>
      <t xml:space="preserve">Associer une instance à un signal dont le </t>
    </r>
    <r>
      <rPr>
        <sz val="10"/>
        <rFont val="Arial Unicode MS"/>
        <family val="2"/>
      </rPr>
      <t>ModelName</t>
    </r>
    <r>
      <rPr>
        <sz val="11"/>
        <rFont val="Aptos Narrow"/>
        <family val="2"/>
        <scheme val="minor"/>
      </rPr>
      <t xml:space="preserve"> diffère.</t>
    </r>
  </si>
  <si>
    <r>
      <t xml:space="preserve">Renseigner </t>
    </r>
    <r>
      <rPr>
        <sz val="10"/>
        <rFont val="Arial Unicode MS"/>
        <family val="2"/>
      </rPr>
      <t>Forcé</t>
    </r>
    <r>
      <rPr>
        <sz val="11"/>
        <rFont val="Aptos Narrow"/>
        <family val="2"/>
        <scheme val="minor"/>
      </rPr>
      <t xml:space="preserve"> avec une valeur autre que vide ou </t>
    </r>
    <r>
      <rPr>
        <sz val="10"/>
        <rFont val="Arial Unicode MS"/>
        <family val="2"/>
      </rPr>
      <t>X</t>
    </r>
    <r>
      <rPr>
        <sz val="11"/>
        <rFont val="Aptos Narrow"/>
        <family val="2"/>
        <scheme val="minor"/>
      </rPr>
      <t>.</t>
    </r>
  </si>
  <si>
    <t>Forcée</t>
  </si>
  <si>
    <r>
      <t xml:space="preserve">Mettre </t>
    </r>
    <r>
      <rPr>
        <sz val="10"/>
        <rFont val="Arial Unicode MS"/>
        <family val="2"/>
      </rPr>
      <t>Forcé = X</t>
    </r>
    <r>
      <rPr>
        <sz val="11"/>
        <rFont val="Aptos Narrow"/>
        <family val="2"/>
        <scheme val="minor"/>
      </rPr>
      <t xml:space="preserve"> et laisser </t>
    </r>
    <r>
      <rPr>
        <sz val="10"/>
        <rFont val="Arial Unicode MS"/>
        <family val="2"/>
      </rPr>
      <t>ID_API</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</si>
  <si>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ID_RACK</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</si>
  <si>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ID_SLOT</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</si>
  <si>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ID_VOIE</t>
    </r>
    <r>
      <rPr>
        <sz val="11"/>
        <rFont val="Aptos Narrow"/>
        <family val="2"/>
        <scheme val="minor"/>
      </rPr>
      <t xml:space="preserve"> vide.</t>
    </r>
  </si>
  <si>
    <t>Rendre les indicateurs du signal incompatibles avec une sélection unique d'API.</t>
  </si>
  <si>
    <t>Renseigner une API existante, mais différente de celle sélectionnée par le signal et l'instance.</t>
  </si>
  <si>
    <r>
      <t xml:space="preserve">Utiliser un </t>
    </r>
    <r>
      <rPr>
        <sz val="10"/>
        <rFont val="Arial Unicode MS"/>
        <family val="2"/>
      </rPr>
      <t>ID_API</t>
    </r>
    <r>
      <rPr>
        <sz val="11"/>
        <rFont val="Aptos Narrow"/>
        <family val="2"/>
        <scheme val="minor"/>
      </rPr>
      <t xml:space="preserve"> absent de </t>
    </r>
    <r>
      <rPr>
        <sz val="10"/>
        <rFont val="Arial Unicode MS"/>
        <family val="2"/>
      </rPr>
      <t>Conf-API</t>
    </r>
    <r>
      <rPr>
        <sz val="11"/>
        <rFont val="Aptos Narrow"/>
        <family val="2"/>
        <scheme val="minor"/>
      </rPr>
      <t>, sans déclencher auparavant une erreur sur la ligne.</t>
    </r>
  </si>
  <si>
    <t>Utiliser une API existante, mais un couple rack/slot qui n'existe pas pour cette API.</t>
  </si>
  <si>
    <r>
      <t xml:space="preserve">Choisir une configuration valide, mais aucune voie compatible avec son </t>
    </r>
    <r>
      <rPr>
        <sz val="10"/>
        <rFont val="Arial Unicode MS"/>
        <family val="2"/>
      </rPr>
      <t>Ref_Carte</t>
    </r>
    <r>
      <rPr>
        <sz val="11"/>
        <rFont val="Aptos Narrow"/>
        <family val="2"/>
        <scheme val="minor"/>
      </rPr>
      <t xml:space="preserve"> et le </t>
    </r>
    <r>
      <rPr>
        <sz val="10"/>
        <rFont val="Arial Unicode MS"/>
        <family val="2"/>
      </rPr>
      <t>TS</t>
    </r>
    <r>
      <rPr>
        <sz val="11"/>
        <rFont val="Aptos Narrow"/>
        <family val="2"/>
        <scheme val="minor"/>
      </rPr>
      <t xml:space="preserve"> du signal.</t>
    </r>
  </si>
  <si>
    <t>Choisir une voie qui n'appartient pas aux voies compatibles avec la carte et le type de signal.</t>
  </si>
  <si>
    <t>Créer deux lignes forcées utilisant le même quadruplet API/rack/slot/voie.</t>
  </si>
  <si>
    <r>
      <t xml:space="preserve">Pour les lignes non forcées, </t>
    </r>
    <r>
      <rPr>
        <sz val="10"/>
        <rFont val="Arial Unicode MS"/>
        <family val="2"/>
      </rPr>
      <t>ValidateListeES()</t>
    </r>
    <r>
      <rPr>
        <sz val="11"/>
        <rFont val="Aptos Narrow"/>
        <family val="2"/>
        <scheme val="minor"/>
      </rPr>
      <t xml:space="preserve"> ignore volontairement les valeurs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puisqu'elles doivent être recalculées.</t>
    </r>
  </si>
  <si>
    <r>
      <t xml:space="preserve">Ces contrôles sont lancés par </t>
    </r>
    <r>
      <rPr>
        <sz val="10"/>
        <rFont val="Arial Unicode MS"/>
        <family val="2"/>
      </rPr>
      <t>ValidateListeES_Click()</t>
    </r>
    <r>
      <rPr>
        <sz val="11"/>
        <rFont val="Aptos Narrow"/>
        <family val="2"/>
        <scheme val="minor"/>
      </rPr>
      <t xml:space="preserve">. Ils ne font pas partie du parcours </t>
    </r>
    <r>
      <rPr>
        <sz val="10"/>
        <rFont val="Arial Unicode MS"/>
        <family val="2"/>
      </rPr>
      <t>ValidateData()</t>
    </r>
    <r>
      <rPr>
        <sz val="11"/>
        <rFont val="Aptos Narrow"/>
        <family val="2"/>
        <scheme val="minor"/>
      </rPr>
      <t xml:space="preserve"> montré dans ton code.</t>
    </r>
  </si>
  <si>
    <r>
      <t xml:space="preserve">Avec une API attendue valide, mettre </t>
    </r>
    <r>
      <rPr>
        <sz val="10"/>
        <rFont val="Arial Unicode MS"/>
        <family val="2"/>
      </rPr>
      <t>ID_API</t>
    </r>
    <r>
      <rPr>
        <sz val="11"/>
        <rFont val="Aptos Narrow"/>
        <family val="2"/>
        <scheme val="minor"/>
      </rPr>
      <t xml:space="preserve"> dans </t>
    </r>
    <r>
      <rPr>
        <sz val="10"/>
        <rFont val="Arial Unicode MS"/>
        <family val="2"/>
      </rPr>
      <t>ListeES</t>
    </r>
    <r>
      <rPr>
        <sz val="11"/>
        <rFont val="Aptos Narrow"/>
        <family val="2"/>
        <scheme val="minor"/>
      </rPr>
      <t xml:space="preserve"> à vide ou à une valeur non numérique.</t>
    </r>
  </si>
  <si>
    <t>Affectation incomplète ou invalide : ID_RACK, ID_SLOT ou ID_VOIE.</t>
  </si>
  <si>
    <t>Aucune voie disponible pour ce type de signal.</t>
  </si>
  <si>
    <t>ID_RACK / ID_SLOT absent(s) de ConfAPI pour cet ID_API.</t>
  </si>
  <si>
    <r>
      <t xml:space="preserve">Utiliser un quadruplet API/rack/slot qui ne correspond à aucune ligne de </t>
    </r>
    <r>
      <rPr>
        <sz val="10"/>
        <rFont val="Arial Unicode MS"/>
        <family val="2"/>
      </rPr>
      <t>ConfAPI</t>
    </r>
    <r>
      <rPr>
        <sz val="11"/>
        <rFont val="Aptos Narrow"/>
        <family val="2"/>
        <scheme val="minor"/>
      </rPr>
      <t>.</t>
    </r>
  </si>
  <si>
    <t>ID_VOIE incompatible avec la carte ou le type de signal TS '…'.</t>
  </si>
  <si>
    <r>
      <t xml:space="preserve">Attention aux doublons de messages : certains contrôles de cette procédure recouvrent ceux de </t>
    </r>
    <r>
      <rPr>
        <sz val="10"/>
        <rFont val="Arial Unicode MS"/>
        <family val="2"/>
      </rPr>
      <t>ValidateListeES()</t>
    </r>
    <r>
      <rPr>
        <sz val="11"/>
        <rFont val="Aptos Narrow"/>
        <family val="2"/>
        <scheme val="minor"/>
      </rPr>
      <t xml:space="preserve">, mais leur texte diffère. Par exemple, les deux procédures ont leur propre message concernant la compatibilité de </t>
    </r>
    <r>
      <rPr>
        <sz val="10"/>
        <rFont val="Arial Unicode MS"/>
        <family val="2"/>
      </rPr>
      <t>ID_VOIE</t>
    </r>
    <r>
      <rPr>
        <sz val="11"/>
        <rFont val="Aptos Narrow"/>
        <family val="2"/>
        <scheme val="minor"/>
      </rPr>
      <t>.</t>
    </r>
  </si>
  <si>
    <t>Association(s) manquante(s) dans ListeES : ID_SIG …</t>
  </si>
  <si>
    <r>
      <t xml:space="preserve">Pour une instance, retirer de </t>
    </r>
    <r>
      <rPr>
        <sz val="10"/>
        <rFont val="Arial Unicode MS"/>
        <family val="2"/>
      </rPr>
      <t>ListeES</t>
    </r>
    <r>
      <rPr>
        <sz val="11"/>
        <rFont val="Aptos Narrow"/>
        <family val="2"/>
        <scheme val="minor"/>
      </rPr>
      <t xml:space="preserve"> une ou plusieurs associations attendues avec les signaux ayant le même </t>
    </r>
    <r>
      <rPr>
        <sz val="10"/>
        <rFont val="Arial Unicode MS"/>
        <family val="2"/>
      </rPr>
      <t>ModelName</t>
    </r>
    <r>
      <rPr>
        <sz val="11"/>
        <rFont val="Aptos Narrow"/>
        <family val="2"/>
        <scheme val="minor"/>
      </rPr>
      <t>.</t>
    </r>
  </si>
  <si>
    <r>
      <t xml:space="preserve">Le message liste les </t>
    </r>
    <r>
      <rPr>
        <sz val="10"/>
        <rFont val="Arial Unicode MS"/>
        <family val="2"/>
      </rPr>
      <t>ID_SIG</t>
    </r>
    <r>
      <rPr>
        <sz val="11"/>
        <rFont val="Aptos Narrow"/>
        <family val="2"/>
        <scheme val="minor"/>
      </rPr>
      <t xml:space="preserve"> manquants, séparés par des virgules. Il est inscrit dans </t>
    </r>
    <r>
      <rPr>
        <sz val="10"/>
        <rFont val="Arial Unicode MS"/>
        <family val="2"/>
      </rPr>
      <t>Instances.Erreur</t>
    </r>
    <r>
      <rPr>
        <sz val="11"/>
        <rFont val="Aptos Narrow"/>
        <family val="2"/>
        <scheme val="minor"/>
      </rPr>
      <t xml:space="preserve">, et non dans </t>
    </r>
    <r>
      <rPr>
        <sz val="10"/>
        <rFont val="Arial Unicode MS"/>
        <family val="2"/>
      </rPr>
      <t>ListeES.Erreur</t>
    </r>
    <r>
      <rPr>
        <sz val="11"/>
        <rFont val="Aptos Narrow"/>
        <family val="2"/>
        <scheme val="minor"/>
      </rPr>
      <t>.</t>
    </r>
  </si>
  <si>
    <t>Voie physique déjà affectée à une autre association.</t>
  </si>
  <si>
    <t>Contrôle</t>
  </si>
  <si>
    <r>
      <t>Validation avant génération (</t>
    </r>
    <r>
      <rPr>
        <b/>
        <sz val="10"/>
        <rFont val="Arial Unicode MS"/>
        <family val="2"/>
      </rPr>
      <t>ValidateData</t>
    </r>
    <r>
      <rPr>
        <b/>
        <sz val="11"/>
        <rFont val="Aptos Narrow"/>
        <family val="2"/>
        <scheme val="minor"/>
      </rPr>
      <t>)</t>
    </r>
  </si>
  <si>
    <r>
      <t>Validation complémentaire (</t>
    </r>
    <r>
      <rPr>
        <b/>
        <sz val="10"/>
        <rFont val="Arial Unicode MS"/>
        <family val="2"/>
      </rPr>
      <t>ValidateListeESResult</t>
    </r>
    <r>
      <rPr>
        <b/>
        <sz val="11"/>
        <rFont val="Aptos Narrow"/>
        <family val="2"/>
        <scheme val="minor"/>
      </rPr>
      <t>)</t>
    </r>
  </si>
  <si>
    <t>ValidateInstances</t>
  </si>
  <si>
    <t>Oui</t>
  </si>
  <si>
    <t>Non</t>
  </si>
  <si>
    <t>ValidateSignaux</t>
  </si>
  <si>
    <t>ValidateListeES</t>
  </si>
  <si>
    <r>
      <t xml:space="preserve">Associations manquantes dans </t>
    </r>
    <r>
      <rPr>
        <sz val="10"/>
        <rFont val="Arial Unicode MS"/>
        <family val="2"/>
      </rPr>
      <t>ListeES</t>
    </r>
  </si>
  <si>
    <t>ValidateListeESAllocation</t>
  </si>
  <si>
    <t>ValidateListeESDuplicateVoies</t>
  </si>
  <si>
    <t>Les deux fonctions effacent les erreurs précédentes avant leurs contrôles, puis bloquent leur résultat positif dès qu'une erreur est trouvée dans l'une des trois feuilles.</t>
  </si>
  <si>
    <r>
      <t xml:space="preserve">Tester une erreur à la fois. </t>
    </r>
    <r>
      <rPr>
        <sz val="10"/>
        <rFont val="Arial Unicode MS"/>
        <family val="2"/>
      </rPr>
      <t>SetValidationError()</t>
    </r>
    <r>
      <rPr>
        <sz val="11"/>
        <rFont val="Aptos Narrow"/>
        <family val="2"/>
        <scheme val="minor"/>
      </rPr>
      <t xml:space="preserve"> conserve la première erreur écrite sur chaque ligne.</t>
    </r>
  </si>
  <si>
    <r>
      <t xml:space="preserve">Vérifier les deux parcours séparément. Une affectation incohérente peut être signalée par </t>
    </r>
    <r>
      <rPr>
        <sz val="10"/>
        <rFont val="Arial Unicode MS"/>
        <family val="2"/>
      </rPr>
      <t>ValidateListeESResult()</t>
    </r>
    <r>
      <rPr>
        <sz val="11"/>
        <rFont val="Aptos Narrow"/>
        <family val="2"/>
        <scheme val="minor"/>
      </rPr>
      <t xml:space="preserve"> sans l'être par </t>
    </r>
    <r>
      <rPr>
        <sz val="10"/>
        <rFont val="Arial Unicode MS"/>
        <family val="2"/>
      </rPr>
      <t>ValidateData()</t>
    </r>
    <r>
      <rPr>
        <sz val="11"/>
        <rFont val="Aptos Narrow"/>
        <family val="2"/>
        <scheme val="minor"/>
      </rPr>
      <t xml:space="preserve">, car ce dernier ne lance pas </t>
    </r>
    <r>
      <rPr>
        <sz val="10"/>
        <rFont val="Arial Unicode MS"/>
        <family val="2"/>
      </rPr>
      <t>ValidateListeESAllocation()</t>
    </r>
    <r>
      <rPr>
        <sz val="11"/>
        <rFont val="Aptos Narrow"/>
        <family val="2"/>
        <scheme val="minor"/>
      </rPr>
      <t xml:space="preserve"> ni </t>
    </r>
    <r>
      <rPr>
        <sz val="10"/>
        <rFont val="Arial Unicode MS"/>
        <family val="2"/>
      </rPr>
      <t>ValidateListeESDuplicateVoies()</t>
    </r>
    <r>
      <rPr>
        <sz val="11"/>
        <rFont val="Aptos Narrow"/>
        <family val="2"/>
        <scheme val="minor"/>
      </rPr>
      <t>.</t>
    </r>
  </si>
  <si>
    <r>
      <t xml:space="preserve">Ne pas confondre vide, zéro et valeur négative. Dans </t>
    </r>
    <r>
      <rPr>
        <sz val="10"/>
        <rFont val="Arial Unicode MS"/>
        <family val="2"/>
      </rPr>
      <t>ValidateListeESAllocation()</t>
    </r>
    <r>
      <rPr>
        <sz val="11"/>
        <rFont val="Aptos Narrow"/>
        <family val="2"/>
        <scheme val="minor"/>
      </rPr>
      <t xml:space="preserve">, </t>
    </r>
    <r>
      <rPr>
        <sz val="10"/>
        <rFont val="Arial Unicode MS"/>
        <family val="2"/>
      </rPr>
      <t>ID_VOIE = 0</t>
    </r>
    <r>
      <rPr>
        <sz val="11"/>
        <rFont val="Aptos Narrow"/>
        <family val="2"/>
        <scheme val="minor"/>
      </rPr>
      <t xml:space="preserve"> ne déclenche pas le message « Aucune voie disponible… » et n'est pas pris en compte dans le contrôle des doublons de voies.</t>
    </r>
  </si>
  <si>
    <r>
      <t xml:space="preserve">Ne pas tester le message </t>
    </r>
    <r>
      <rPr>
        <sz val="10"/>
        <rFont val="Arial Unicode MS"/>
        <family val="2"/>
      </rPr>
      <t>Type de signal inexistant</t>
    </r>
    <r>
      <rPr>
        <sz val="11"/>
        <rFont val="Aptos Narrow"/>
        <family val="2"/>
        <scheme val="minor"/>
      </rPr>
      <t>. Ce contrôle est commenté dans les deux procédures où il apparaît.</t>
    </r>
  </si>
  <si>
    <t>Respecter les prérequis de chaque test. Pour tester une erreur d'affectation, les identifiants source doivent être valides et les contrôles précédents ne doivent pas déjà avoir écrit un message sur la même ligne.</t>
  </si>
  <si>
    <r>
      <t xml:space="preserve">Une nuance importante : </t>
    </r>
    <r>
      <rPr>
        <sz val="10"/>
        <rFont val="Arial Unicode MS"/>
        <family val="2"/>
      </rPr>
      <t>ValidateListeESResult()</t>
    </r>
    <r>
      <rPr>
        <sz val="11"/>
        <rFont val="Aptos Narrow"/>
        <family val="2"/>
        <scheme val="minor"/>
      </rPr>
      <t xml:space="preserve"> appelle </t>
    </r>
    <r>
      <rPr>
        <sz val="10"/>
        <rFont val="Arial Unicode MS"/>
        <family val="2"/>
      </rPr>
      <t>ValidateListeES()</t>
    </r>
    <r>
      <rPr>
        <sz val="11"/>
        <rFont val="Aptos Narrow"/>
        <family val="2"/>
        <scheme val="minor"/>
      </rPr>
      <t xml:space="preserve"> avant ses contrôles complémentaires. Si cette première procédure écrit une erreur sur une ligne, un message ultérieur visant la même cellule </t>
    </r>
    <r>
      <rPr>
        <sz val="10"/>
        <rFont val="Arial Unicode MS"/>
        <family val="2"/>
      </rPr>
      <t>Erreur</t>
    </r>
    <r>
      <rPr>
        <sz val="11"/>
        <rFont val="Aptos Narrow"/>
        <family val="2"/>
        <scheme val="minor"/>
      </rPr>
      <t xml:space="preserve"> ne la remplacera pas. Pour tester un message complémentaire précis, il faut donc préparer la ligne de façon que </t>
    </r>
    <r>
      <rPr>
        <sz val="10"/>
        <rFont val="Arial Unicode MS"/>
        <family val="2"/>
      </rPr>
      <t>ValidateListeES()</t>
    </r>
    <r>
      <rPr>
        <sz val="11"/>
        <rFont val="Aptos Narrow"/>
        <family val="2"/>
        <scheme val="minor"/>
      </rPr>
      <t xml:space="preserve"> ne produise pas déjà une erreur sur cette ligne.</t>
    </r>
  </si>
  <si>
    <t>Description d’erreur</t>
  </si>
  <si>
    <r>
      <t xml:space="preserve">Feuille </t>
    </r>
    <r>
      <rPr>
        <b/>
        <sz val="10"/>
        <color theme="5" tint="-0.249977111117893"/>
        <rFont val="Arial Unicode MS"/>
        <family val="2"/>
      </rPr>
      <t>Instances</t>
    </r>
    <r>
      <rPr>
        <b/>
        <sz val="13.5"/>
        <color theme="5" tint="-0.249977111117893"/>
        <rFont val="Aptos Narrow"/>
        <family val="2"/>
        <scheme val="minor"/>
      </rPr>
      <t xml:space="preserve"> — associations manquantes</t>
    </r>
  </si>
  <si>
    <r>
      <t xml:space="preserve">Feuille </t>
    </r>
    <r>
      <rPr>
        <b/>
        <sz val="10"/>
        <color theme="5" tint="-0.249977111117893"/>
        <rFont val="Arial Unicode MS"/>
        <family val="2"/>
      </rPr>
      <t>ListeES</t>
    </r>
    <r>
      <rPr>
        <b/>
        <sz val="13.5"/>
        <color theme="5" tint="-0.249977111117893"/>
        <rFont val="Aptos Narrow"/>
        <family val="2"/>
        <scheme val="minor"/>
      </rPr>
      <t xml:space="preserve"> — doublons de voies physiques</t>
    </r>
  </si>
  <si>
    <r>
      <t xml:space="preserve">Feuille </t>
    </r>
    <r>
      <rPr>
        <b/>
        <sz val="10"/>
        <color theme="5" tint="-0.249977111117893"/>
        <rFont val="Arial Unicode MS"/>
        <family val="2"/>
      </rPr>
      <t>ListeES</t>
    </r>
    <r>
      <rPr>
        <b/>
        <sz val="13.5"/>
        <color theme="5" tint="-0.249977111117893"/>
        <rFont val="Aptos Narrow"/>
        <family val="2"/>
        <scheme val="minor"/>
      </rPr>
      <t xml:space="preserve"> — vérification détaillée des affectations</t>
    </r>
  </si>
  <si>
    <r>
      <t xml:space="preserve">Feuille </t>
    </r>
    <r>
      <rPr>
        <b/>
        <sz val="10"/>
        <color theme="5" tint="-0.249977111117893"/>
        <rFont val="Arial Unicode MS"/>
        <family val="2"/>
      </rPr>
      <t>Signaux</t>
    </r>
  </si>
  <si>
    <r>
      <t xml:space="preserve">Feuille </t>
    </r>
    <r>
      <rPr>
        <b/>
        <sz val="10"/>
        <color theme="5" tint="-0.249977111117893"/>
        <rFont val="Arial Unicode MS"/>
        <family val="2"/>
      </rPr>
      <t>Instances</t>
    </r>
  </si>
  <si>
    <r>
      <t xml:space="preserve">2. Validation des associations et des affectations dans </t>
    </r>
    <r>
      <rPr>
        <b/>
        <sz val="10"/>
        <color theme="7" tint="-0.249977111117893"/>
        <rFont val="Arial Unicode MS"/>
        <family val="2"/>
      </rPr>
      <t>ListeES</t>
    </r>
  </si>
  <si>
    <r>
      <t xml:space="preserve">Pour un couple instance/signal existant, mettre </t>
    </r>
    <r>
      <rPr>
        <sz val="10"/>
        <rFont val="Arial Unicode MS"/>
        <family val="2"/>
      </rPr>
      <t>API_P</t>
    </r>
    <r>
      <rPr>
        <sz val="11"/>
        <rFont val="Aptos Narrow"/>
        <family val="2"/>
        <scheme val="minor"/>
      </rPr>
      <t xml:space="preserve"> et </t>
    </r>
    <r>
      <rPr>
        <sz val="10"/>
        <rFont val="Arial Unicode MS"/>
        <family val="2"/>
      </rPr>
      <t>API_S</t>
    </r>
    <r>
      <rPr>
        <sz val="11"/>
        <rFont val="Aptos Narrow"/>
        <family val="2"/>
        <scheme val="minor"/>
      </rPr>
      <t xml:space="preserve"> tous les deux à </t>
    </r>
    <r>
      <rPr>
        <sz val="10"/>
        <rFont val="Arial Unicode MS"/>
        <family val="2"/>
      </rPr>
      <t>X</t>
    </r>
    <r>
      <rPr>
        <sz val="11"/>
        <rFont val="Aptos Narrow"/>
        <family val="2"/>
        <scheme val="minor"/>
      </rPr>
      <t>, tous les deux vides, ou utiliser des valeurs incorrectes. (La ligne doit être non forcée pour ne pas que le message précédent masque ce message).</t>
    </r>
  </si>
  <si>
    <r>
      <t xml:space="preserve">Renseigner un </t>
    </r>
    <r>
      <rPr>
        <sz val="10"/>
        <rFont val="Arial Unicode MS"/>
        <family val="2"/>
      </rPr>
      <t>ID_API</t>
    </r>
    <r>
      <rPr>
        <sz val="11"/>
        <rFont val="Aptos Narrow"/>
        <family val="2"/>
        <scheme val="minor"/>
      </rPr>
      <t xml:space="preserve"> numérique, mais différent de l'API attendue. (La ligne doit être non forcée pour ne pas que le message précédent masque ce message).</t>
    </r>
  </si>
  <si>
    <r>
      <t xml:space="preserve">Mettre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ou </t>
    </r>
    <r>
      <rPr>
        <sz val="10"/>
        <rFont val="Arial Unicode MS"/>
        <family val="2"/>
      </rPr>
      <t>ID_VOIE</t>
    </r>
    <r>
      <rPr>
        <sz val="11"/>
        <rFont val="Aptos Narrow"/>
        <family val="2"/>
        <scheme val="minor"/>
      </rPr>
      <t xml:space="preserve"> à vide ou à une valeur non numérique. (La ligne doit être non forcée pour ne pas que le message précédent masque ce message).</t>
    </r>
  </si>
  <si>
    <r>
      <t xml:space="preserve">Mettre </t>
    </r>
    <r>
      <rPr>
        <sz val="10"/>
        <rFont val="Arial Unicode MS"/>
        <family val="2"/>
      </rPr>
      <t>ID_VOIE</t>
    </r>
    <r>
      <rPr>
        <sz val="11"/>
        <rFont val="Aptos Narrow"/>
        <family val="2"/>
        <scheme val="minor"/>
      </rPr>
      <t xml:space="preserve"> à une valeur numérique négative. (La ligne doit être non forcée pour ne pas que le message précédent masque ce message).</t>
    </r>
  </si>
  <si>
    <r>
      <t xml:space="preserve">Avec une configuration API/rack/slot valide, choisir un </t>
    </r>
    <r>
      <rPr>
        <sz val="10"/>
        <rFont val="Arial Unicode MS"/>
        <family val="2"/>
      </rPr>
      <t>ID_VOIE</t>
    </r>
    <r>
      <rPr>
        <sz val="11"/>
        <rFont val="Aptos Narrow"/>
        <family val="2"/>
        <scheme val="minor"/>
      </rPr>
      <t xml:space="preserve"> absent des voies compatibles avec la carte et le </t>
    </r>
    <r>
      <rPr>
        <sz val="10"/>
        <rFont val="Arial Unicode MS"/>
        <family val="2"/>
      </rPr>
      <t>TS</t>
    </r>
    <r>
      <rPr>
        <sz val="11"/>
        <rFont val="Aptos Narrow"/>
        <family val="2"/>
        <scheme val="minor"/>
      </rPr>
      <t xml:space="preserve"> du signal. (La ligne doit être non forcée pour ne pas que le message précédent masque ce message).</t>
    </r>
  </si>
  <si>
    <r>
      <t xml:space="preserve">Créer deux lignes ayant le même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xml:space="preserve">, avec un </t>
    </r>
    <r>
      <rPr>
        <sz val="10"/>
        <rFont val="Arial Unicode MS"/>
        <family val="2"/>
      </rPr>
      <t>ID_VOIE</t>
    </r>
    <r>
      <rPr>
        <sz val="11"/>
        <rFont val="Aptos Narrow"/>
        <family val="2"/>
        <scheme val="minor"/>
      </rPr>
      <t xml:space="preserve"> strictement supérieur à zéro. Les deux lignes sont signalées. Le contrôle ne tient pas compte de Forcé : il peut donc détecter un doublon entre deux lignes non forcées, entre deux lignes forcées ou entre une ligne forcée et une ligne non forcée.</t>
    </r>
  </si>
  <si>
    <r>
      <t xml:space="preserve">Ces messages sont produits par </t>
    </r>
    <r>
      <rPr>
        <sz val="10"/>
        <rFont val="Arial Unicode MS"/>
        <family val="2"/>
      </rPr>
      <t>ValidateListeES()</t>
    </r>
    <r>
      <rPr>
        <sz val="11"/>
        <rFont val="Aptos Narrow"/>
        <family val="2"/>
        <scheme val="minor"/>
      </rPr>
      <t>, appelée par les deux parcours.</t>
    </r>
  </si>
  <si>
    <r>
      <t>Les contrôles d'association s'appliquent aux lignes forcées comme non forcées. Les contrôles d'affectation ci-dessous s'appliquent uniquement aux lignes forcées (</t>
    </r>
    <r>
      <rPr>
        <sz val="10"/>
        <rFont val="Arial Unicode MS"/>
        <family val="2"/>
      </rPr>
      <t>Forcé = X</t>
    </r>
    <r>
      <rPr>
        <sz val="11"/>
        <rFont val="Aptos Narrow"/>
        <family val="2"/>
        <scheme val="minor"/>
      </rPr>
      <t>).</t>
    </r>
  </si>
  <si>
    <r>
      <t xml:space="preserve">Feuille </t>
    </r>
    <r>
      <rPr>
        <b/>
        <sz val="10"/>
        <color theme="5" tint="-0.249977111117893"/>
        <rFont val="Arial Unicode MS"/>
        <family val="2"/>
      </rPr>
      <t>ListeES</t>
    </r>
  </si>
  <si>
    <t>mode_reserve</t>
  </si>
  <si>
    <t>Mode de calcul des réserves (R1, R2, TOTAL)</t>
  </si>
  <si>
    <t>TOTAL</t>
  </si>
  <si>
    <t>Graphe d'actualisation</t>
  </si>
  <si>
    <t>Todo</t>
  </si>
  <si>
    <t>Vérifier le calcul des réserves en cas de Slot vide (Slot déclaré mais sans Ref-Carte)</t>
  </si>
  <si>
    <t>Aucune voie configurée pour ce type de signal sur l'API attendue.</t>
  </si>
  <si>
    <t>5. Récapitulatif des parcours</t>
  </si>
  <si>
    <t>6. Points à retenir pour les tests</t>
  </si>
  <si>
    <r>
      <t xml:space="preserve">4. Contrôles complémentaires de </t>
    </r>
    <r>
      <rPr>
        <b/>
        <sz val="10"/>
        <color theme="7" tint="-0.249977111117893"/>
        <rFont val="Arial Unicode MS"/>
        <family val="2"/>
      </rPr>
      <t>ValidateListeESResult()</t>
    </r>
  </si>
  <si>
    <t>3. Erreur d'allocation de AllocateListeES</t>
  </si>
  <si>
    <r>
      <t>Ces contrôles sont lancés par AllocateListeES</t>
    </r>
    <r>
      <rPr>
        <sz val="10"/>
        <rFont val="Arial Unicode MS"/>
        <family val="2"/>
      </rPr>
      <t>()</t>
    </r>
    <r>
      <rPr>
        <sz val="11"/>
        <rFont val="Aptos Narrow"/>
        <family val="2"/>
        <scheme val="minor"/>
      </rPr>
      <t>. Ils ne font pas partie de l'algotithme d'allocation des ressources</t>
    </r>
    <r>
      <rPr>
        <sz val="11"/>
        <rFont val="Aptos Narrow"/>
        <family val="2"/>
        <scheme val="minor"/>
      </rPr>
      <t>.</t>
    </r>
  </si>
  <si>
    <t>Feuille ListeES</t>
  </si>
  <si>
    <t>Toutes les voies compatibles sont déjà affectées.</t>
  </si>
</sst>
</file>

<file path=xl/styles.xml><?xml version="1.0" encoding="utf-8"?>
<styleSheet xmlns="http://schemas.openxmlformats.org/spreadsheetml/2006/main">
  <fonts count="48">
    <font>
      <sz val="1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8"/>
      <name val="Aptos Narrow"/>
      <family val="2"/>
      <scheme val="minor"/>
    </font>
    <font>
      <sz val="10"/>
      <name val="Arial"/>
      <family val="2"/>
    </font>
    <font>
      <sz val="11"/>
      <color theme="1"/>
      <name val="Aptos Narrow"/>
      <family val="2"/>
      <scheme val="minor"/>
    </font>
    <font>
      <b/>
      <sz val="9"/>
      <color rgb="FF242424"/>
      <name val="Arial"/>
      <family val="2"/>
    </font>
    <font>
      <sz val="11"/>
      <color rgb="FF3F3F76"/>
      <name val="Aptos Narrow"/>
      <family val="2"/>
      <scheme val="minor"/>
    </font>
    <font>
      <b/>
      <sz val="11"/>
      <color theme="0"/>
      <name val="Aptos Narrow"/>
      <family val="2"/>
      <scheme val="minor"/>
    </font>
    <font>
      <sz val="11"/>
      <name val="Aptos Narrow"/>
      <family val="2"/>
      <scheme val="minor"/>
    </font>
    <font>
      <sz val="11"/>
      <color theme="0"/>
      <name val="Aptos Narrow"/>
      <family val="2"/>
      <scheme val="minor"/>
    </font>
    <font>
      <b/>
      <sz val="14"/>
      <color theme="1"/>
      <name val="Aptos Narrow"/>
      <family val="2"/>
      <scheme val="minor"/>
    </font>
    <font>
      <sz val="10"/>
      <color theme="1"/>
      <name val="Aptos Narrow"/>
      <family val="2"/>
      <scheme val="minor"/>
    </font>
    <font>
      <sz val="11"/>
      <color theme="1"/>
      <name val="Aptos Narrow"/>
      <family val="2"/>
      <scheme val="minor"/>
    </font>
    <font>
      <sz val="11"/>
      <color theme="1"/>
      <name val="Arial Narrow"/>
      <family val="2"/>
    </font>
    <font>
      <sz val="11"/>
      <color theme="1"/>
      <name val="TechnicLite"/>
      <charset val="2"/>
    </font>
    <font>
      <sz val="10"/>
      <name val="Arial Narrow"/>
      <family val="2"/>
    </font>
    <font>
      <b/>
      <sz val="11"/>
      <color theme="0"/>
      <name val="TechnicBold"/>
      <charset val="2"/>
    </font>
    <font>
      <sz val="10"/>
      <color theme="0"/>
      <name val="Technic"/>
      <charset val="2"/>
    </font>
    <font>
      <sz val="10"/>
      <name val="Technic"/>
      <charset val="2"/>
    </font>
    <font>
      <sz val="10"/>
      <color indexed="10"/>
      <name val="Technic"/>
      <charset val="2"/>
    </font>
    <font>
      <sz val="10"/>
      <color indexed="17"/>
      <name val="Technic"/>
      <charset val="2"/>
    </font>
    <font>
      <b/>
      <sz val="11"/>
      <color theme="1"/>
      <name val="Arial"/>
      <family val="2"/>
    </font>
    <font>
      <sz val="10"/>
      <color theme="1"/>
      <name val="Arial Narrow"/>
      <family val="2"/>
    </font>
    <font>
      <sz val="10"/>
      <color theme="1"/>
      <name val="Technic"/>
      <charset val="2"/>
    </font>
    <font>
      <sz val="11"/>
      <color theme="1"/>
      <name val="Aptos Narrow"/>
      <scheme val="minor"/>
    </font>
    <font>
      <sz val="11"/>
      <color theme="0"/>
      <name val="Aptos Narrow"/>
      <scheme val="minor"/>
    </font>
    <font>
      <sz val="11"/>
      <color theme="1"/>
      <name val="Aptos Narrow"/>
    </font>
    <font>
      <sz val="11"/>
      <name val="Aptos Narrow"/>
      <scheme val="minor"/>
    </font>
    <font>
      <sz val="10"/>
      <color theme="1"/>
      <name val="Aptos Narrow"/>
      <scheme val="minor"/>
    </font>
    <font>
      <sz val="11"/>
      <color rgb="FF3F3F76"/>
      <name val="Aptos Narrow"/>
      <scheme val="minor"/>
    </font>
    <font>
      <b/>
      <sz val="11"/>
      <name val="Aptos Narrow"/>
      <family val="2"/>
      <scheme val="minor"/>
    </font>
    <font>
      <sz val="10"/>
      <name val="Arial Unicode MS"/>
      <family val="2"/>
    </font>
    <font>
      <b/>
      <sz val="13.5"/>
      <name val="Aptos Narrow"/>
      <family val="2"/>
      <scheme val="minor"/>
    </font>
    <font>
      <b/>
      <sz val="10"/>
      <name val="Arial Unicode MS"/>
      <family val="2"/>
    </font>
    <font>
      <strike/>
      <sz val="11"/>
      <name val="Aptos Narrow"/>
      <family val="2"/>
      <scheme val="minor"/>
    </font>
    <font>
      <b/>
      <sz val="11"/>
      <name val="Aptos Narrow"/>
      <scheme val="minor"/>
    </font>
    <font>
      <b/>
      <sz val="13.5"/>
      <color theme="5" tint="-0.249977111117893"/>
      <name val="Aptos Narrow"/>
      <family val="2"/>
      <scheme val="minor"/>
    </font>
    <font>
      <b/>
      <sz val="10"/>
      <color theme="5" tint="-0.249977111117893"/>
      <name val="Arial Unicode MS"/>
      <family val="2"/>
    </font>
    <font>
      <b/>
      <sz val="10"/>
      <color theme="7" tint="-0.249977111117893"/>
      <name val="Arial Unicode MS"/>
      <family val="2"/>
    </font>
    <font>
      <b/>
      <sz val="18"/>
      <color theme="7" tint="-0.249977111117893"/>
      <name val="Aptos Narrow"/>
      <family val="2"/>
      <scheme val="minor"/>
    </font>
    <font>
      <sz val="14"/>
      <name val="Aptos Narrow"/>
      <family val="2"/>
      <scheme val="minor"/>
    </font>
    <font>
      <sz val="11"/>
      <color rgb="FF000000"/>
      <name val="Aptos Narrow"/>
      <scheme val="minor"/>
    </font>
  </fonts>
  <fills count="4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theme="9" tint="0.59999389629810485"/>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0"/>
        <bgColor indexed="64"/>
      </patternFill>
    </fill>
    <fill>
      <patternFill patternType="solid">
        <fgColor theme="2" tint="-0.499984740745262"/>
        <bgColor indexed="64"/>
      </patternFill>
    </fill>
    <fill>
      <patternFill patternType="solid">
        <fgColor rgb="FFFFCC99"/>
      </patternFill>
    </fill>
    <fill>
      <patternFill patternType="solid">
        <fgColor rgb="FFA5A5A5"/>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1" tint="0.249977111117893"/>
        <bgColor indexed="64"/>
      </patternFill>
    </fill>
    <fill>
      <patternFill patternType="solid">
        <fgColor rgb="FFFFFFCC"/>
      </patternFill>
    </fill>
    <fill>
      <patternFill patternType="solid">
        <fgColor theme="5" tint="0.59999389629810485"/>
        <bgColor indexed="65"/>
      </patternFill>
    </fill>
    <fill>
      <patternFill patternType="solid">
        <fgColor theme="5" tint="0.39997558519241921"/>
        <bgColor indexed="65"/>
      </patternFill>
    </fill>
    <fill>
      <patternFill patternType="solid">
        <fgColor theme="8" tint="0.59999389629810485"/>
        <bgColor indexed="65"/>
      </patternFill>
    </fill>
    <fill>
      <patternFill patternType="solid">
        <fgColor theme="2" tint="-9.9978637043366805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6" tint="0.59999389629810485"/>
        <bgColor indexed="64"/>
      </patternFill>
    </fill>
    <fill>
      <patternFill patternType="solid">
        <fgColor rgb="FFC1E5F5"/>
        <bgColor indexed="64"/>
      </patternFill>
    </fill>
    <fill>
      <patternFill patternType="solid">
        <fgColor rgb="FFFFFFFF"/>
        <bgColor indexed="64"/>
      </patternFill>
    </fill>
    <fill>
      <patternFill patternType="solid">
        <fgColor rgb="FFC04D14"/>
        <bgColor indexed="64"/>
      </patternFill>
    </fill>
    <fill>
      <patternFill patternType="solid">
        <fgColor rgb="FFD86ECB"/>
        <bgColor indexed="64"/>
      </patternFill>
    </fill>
    <fill>
      <patternFill patternType="solid">
        <fgColor theme="7" tint="0.79998168889431442"/>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style="double">
        <color rgb="FF3F3F3F"/>
      </bottom>
      <diagonal/>
    </border>
    <border>
      <left style="thin">
        <color rgb="FF7F7F7F"/>
      </left>
      <right style="thin">
        <color rgb="FF7F7F7F"/>
      </right>
      <top style="thin">
        <color rgb="FF7F7F7F"/>
      </top>
      <bottom/>
      <diagonal/>
    </border>
    <border>
      <left style="double">
        <color rgb="FF3F3F3F"/>
      </left>
      <right style="thin">
        <color indexed="64"/>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theme="4"/>
      </top>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5">
    <xf numFmtId="0" fontId="0" fillId="0" borderId="0"/>
    <xf numFmtId="0" fontId="12" fillId="13" borderId="11" applyNumberFormat="0" applyAlignment="0" applyProtection="0"/>
    <xf numFmtId="0" fontId="13" fillId="14" borderId="12" applyNumberFormat="0" applyAlignment="0" applyProtection="0"/>
    <xf numFmtId="0" fontId="15" fillId="17"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4" borderId="16" applyNumberFormat="0" applyFont="0" applyAlignment="0" applyProtection="0"/>
    <xf numFmtId="0" fontId="10"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1" borderId="0" applyNumberFormat="0" applyBorder="0" applyAlignment="0" applyProtection="0"/>
  </cellStyleXfs>
  <cellXfs count="252">
    <xf numFmtId="0" fontId="0" fillId="0" borderId="0" xfId="0"/>
    <xf numFmtId="0" fontId="0" fillId="0" borderId="1" xfId="0"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7" borderId="2" xfId="0" applyFill="1" applyBorder="1"/>
    <xf numFmtId="0" fontId="0" fillId="8" borderId="2" xfId="0" applyFill="1" applyBorder="1"/>
    <xf numFmtId="0" fontId="0" fillId="9" borderId="2" xfId="0" applyFill="1" applyBorder="1"/>
    <xf numFmtId="0" fontId="0" fillId="2" borderId="1" xfId="0" applyFill="1" applyBorder="1"/>
    <xf numFmtId="0" fontId="0" fillId="0" borderId="3" xfId="0" applyBorder="1"/>
    <xf numFmtId="0" fontId="0" fillId="0" borderId="5" xfId="0" applyBorder="1"/>
    <xf numFmtId="0" fontId="0" fillId="0" borderId="4"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 xfId="0" quotePrefix="1" applyBorder="1"/>
    <xf numFmtId="0" fontId="0" fillId="2" borderId="1" xfId="0" quotePrefix="1" applyFill="1" applyBorder="1"/>
    <xf numFmtId="0" fontId="0" fillId="0" borderId="0" xfId="0" applyAlignment="1">
      <alignment vertical="center"/>
    </xf>
    <xf numFmtId="0" fontId="12" fillId="13" borderId="11" xfId="1" applyAlignment="1">
      <alignment vertical="center"/>
    </xf>
    <xf numFmtId="14" fontId="0" fillId="0" borderId="0" xfId="0" applyNumberFormat="1"/>
    <xf numFmtId="0" fontId="15" fillId="17" borderId="0" xfId="3"/>
    <xf numFmtId="0" fontId="0" fillId="18" borderId="0" xfId="0" applyFill="1"/>
    <xf numFmtId="0" fontId="0" fillId="3" borderId="0" xfId="0" applyFill="1"/>
    <xf numFmtId="0" fontId="0" fillId="0" borderId="0" xfId="0" applyAlignment="1">
      <alignment wrapText="1"/>
    </xf>
    <xf numFmtId="0" fontId="0" fillId="12" borderId="0" xfId="0" applyFill="1" applyAlignment="1">
      <alignment wrapText="1"/>
    </xf>
    <xf numFmtId="0" fontId="0" fillId="9" borderId="0" xfId="0" applyFill="1"/>
    <xf numFmtId="0" fontId="10" fillId="26" borderId="0" xfId="10"/>
    <xf numFmtId="0" fontId="10" fillId="25" borderId="0" xfId="9"/>
    <xf numFmtId="0" fontId="14" fillId="28" borderId="0" xfId="4" applyFont="1" applyFill="1"/>
    <xf numFmtId="10" fontId="14" fillId="28" borderId="0" xfId="4" applyNumberFormat="1" applyFont="1" applyFill="1"/>
    <xf numFmtId="0" fontId="12" fillId="13" borderId="11" xfId="1" applyAlignment="1">
      <alignment horizontal="center" wrapText="1"/>
    </xf>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10" borderId="0" xfId="0" applyFill="1"/>
    <xf numFmtId="0" fontId="0" fillId="30" borderId="0" xfId="0" applyFill="1"/>
    <xf numFmtId="0" fontId="0" fillId="37" borderId="0" xfId="0" applyFill="1"/>
    <xf numFmtId="0" fontId="0" fillId="23" borderId="0" xfId="0" applyFill="1"/>
    <xf numFmtId="0" fontId="0" fillId="24" borderId="16" xfId="8" applyFont="1" applyAlignment="1">
      <alignment vertical="center"/>
    </xf>
    <xf numFmtId="0" fontId="14" fillId="24" borderId="16" xfId="8" applyFont="1" applyAlignment="1"/>
    <xf numFmtId="0" fontId="12" fillId="13" borderId="11" xfId="1" applyAlignment="1"/>
    <xf numFmtId="0" fontId="16" fillId="0" borderId="0" xfId="0" applyFont="1" applyAlignment="1">
      <alignment vertical="center" wrapText="1"/>
    </xf>
    <xf numFmtId="0" fontId="15" fillId="20" borderId="0" xfId="5" applyAlignment="1">
      <alignment horizontal="left" vertical="center"/>
    </xf>
    <xf numFmtId="0" fontId="0" fillId="0" borderId="0" xfId="0" applyAlignment="1">
      <alignment horizontal="left" vertical="center"/>
    </xf>
    <xf numFmtId="0" fontId="9" fillId="0" borderId="0" xfId="0" applyFont="1" applyAlignment="1">
      <alignment horizontal="left" vertical="center"/>
    </xf>
    <xf numFmtId="0" fontId="0" fillId="24" borderId="16" xfId="8" applyFont="1" applyAlignment="1">
      <alignment horizontal="left" vertical="center"/>
    </xf>
    <xf numFmtId="0" fontId="17" fillId="0" borderId="0" xfId="0" applyFont="1" applyAlignment="1">
      <alignment horizontal="left" vertical="center"/>
    </xf>
    <xf numFmtId="0" fontId="0" fillId="0" borderId="0" xfId="0" applyAlignment="1">
      <alignment horizontal="center" vertical="center"/>
    </xf>
    <xf numFmtId="0" fontId="9" fillId="0" borderId="0" xfId="0" applyFont="1" applyAlignment="1">
      <alignment horizontal="center" vertical="center"/>
    </xf>
    <xf numFmtId="0" fontId="14" fillId="11" borderId="0" xfId="3" applyFont="1" applyFill="1" applyAlignment="1">
      <alignment horizontal="center" vertical="center"/>
    </xf>
    <xf numFmtId="10" fontId="0" fillId="0" borderId="0" xfId="0" applyNumberFormat="1" applyAlignment="1">
      <alignment vertical="center"/>
    </xf>
    <xf numFmtId="0" fontId="18" fillId="0" borderId="0" xfId="0" applyFont="1" applyAlignment="1">
      <alignment vertical="center"/>
    </xf>
    <xf numFmtId="0" fontId="19" fillId="0" borderId="0" xfId="0" applyFont="1" applyAlignment="1">
      <alignment vertical="center"/>
    </xf>
    <xf numFmtId="0" fontId="20" fillId="0" borderId="0" xfId="0" applyFont="1" applyAlignment="1">
      <alignment vertical="center"/>
    </xf>
    <xf numFmtId="0" fontId="22" fillId="38" borderId="19" xfId="0" applyFont="1" applyFill="1" applyBorder="1" applyAlignment="1">
      <alignment horizontal="center" vertical="center"/>
    </xf>
    <xf numFmtId="0" fontId="23" fillId="37" borderId="0" xfId="0" applyFont="1" applyFill="1" applyAlignment="1">
      <alignment vertical="center"/>
    </xf>
    <xf numFmtId="0" fontId="21" fillId="18" borderId="1" xfId="0" applyFont="1" applyFill="1" applyBorder="1" applyAlignment="1">
      <alignment horizontal="center" vertical="center"/>
    </xf>
    <xf numFmtId="0" fontId="24" fillId="18" borderId="1" xfId="0" applyFont="1" applyFill="1" applyBorder="1" applyAlignment="1">
      <alignment horizontal="center" vertical="center"/>
    </xf>
    <xf numFmtId="0" fontId="23" fillId="37" borderId="20" xfId="0" applyFont="1" applyFill="1" applyBorder="1" applyAlignment="1">
      <alignment vertical="center"/>
    </xf>
    <xf numFmtId="0" fontId="15" fillId="29" borderId="1" xfId="0" applyFont="1" applyFill="1" applyBorder="1" applyAlignment="1">
      <alignment horizontal="center" vertical="center"/>
    </xf>
    <xf numFmtId="0" fontId="15" fillId="20" borderId="0" xfId="5" applyAlignment="1">
      <alignment horizontal="center" wrapText="1"/>
    </xf>
    <xf numFmtId="0" fontId="14" fillId="24" borderId="16" xfId="8" applyFont="1" applyAlignment="1">
      <alignment horizontal="center" wrapText="1"/>
    </xf>
    <xf numFmtId="0" fontId="0" fillId="0" borderId="1" xfId="0" applyBorder="1" applyAlignment="1">
      <alignment vertical="center"/>
    </xf>
    <xf numFmtId="14" fontId="0" fillId="0" borderId="1" xfId="0" applyNumberFormat="1" applyBorder="1" applyAlignment="1">
      <alignment vertical="center"/>
    </xf>
    <xf numFmtId="0" fontId="15" fillId="20" borderId="0" xfId="5" applyAlignment="1">
      <alignment vertical="center"/>
    </xf>
    <xf numFmtId="0" fontId="0" fillId="27" borderId="0" xfId="11" applyFont="1" applyAlignment="1">
      <alignment vertical="center"/>
    </xf>
    <xf numFmtId="0" fontId="13" fillId="14" borderId="12" xfId="2" applyNumberFormat="1" applyAlignment="1">
      <alignment vertical="center"/>
    </xf>
    <xf numFmtId="0" fontId="13" fillId="14" borderId="13" xfId="2" applyBorder="1" applyAlignment="1">
      <alignment vertical="center"/>
    </xf>
    <xf numFmtId="0" fontId="0" fillId="15" borderId="1" xfId="0" applyFill="1" applyBorder="1" applyAlignment="1">
      <alignment vertical="center"/>
    </xf>
    <xf numFmtId="0" fontId="0" fillId="0" borderId="2" xfId="0" applyBorder="1" applyAlignment="1">
      <alignment vertical="center"/>
    </xf>
    <xf numFmtId="14" fontId="0" fillId="0" borderId="2" xfId="0" applyNumberFormat="1" applyBorder="1" applyAlignment="1">
      <alignment vertical="center"/>
    </xf>
    <xf numFmtId="0" fontId="13" fillId="14" borderId="15" xfId="2" applyBorder="1" applyAlignment="1">
      <alignment vertical="center"/>
    </xf>
    <xf numFmtId="0" fontId="0" fillId="11" borderId="1" xfId="0" applyFill="1" applyBorder="1" applyAlignment="1">
      <alignment vertical="center"/>
    </xf>
    <xf numFmtId="0" fontId="15" fillId="20" borderId="2" xfId="5" applyBorder="1" applyAlignment="1">
      <alignment vertical="center"/>
    </xf>
    <xf numFmtId="0" fontId="0" fillId="27" borderId="2" xfId="11" applyFont="1" applyBorder="1" applyAlignment="1">
      <alignment vertical="center"/>
    </xf>
    <xf numFmtId="0" fontId="0" fillId="0" borderId="2" xfId="0" applyBorder="1" applyAlignment="1">
      <alignment horizontal="center" vertical="center"/>
    </xf>
    <xf numFmtId="0" fontId="14" fillId="18" borderId="0" xfId="3" applyFont="1" applyFill="1" applyAlignment="1">
      <alignment horizontal="left"/>
    </xf>
    <xf numFmtId="0" fontId="17" fillId="35" borderId="0" xfId="0" applyFont="1" applyFill="1" applyAlignment="1">
      <alignment horizontal="left" vertical="center"/>
    </xf>
    <xf numFmtId="0" fontId="10" fillId="21" borderId="0" xfId="6"/>
    <xf numFmtId="0" fontId="0" fillId="33" borderId="0" xfId="0" applyFill="1" applyAlignment="1">
      <alignment vertical="center"/>
    </xf>
    <xf numFmtId="0" fontId="17" fillId="31" borderId="0" xfId="0" applyFont="1" applyFill="1" applyAlignment="1">
      <alignment horizontal="left" vertical="center"/>
    </xf>
    <xf numFmtId="0" fontId="10" fillId="21" borderId="0" xfId="6" applyAlignment="1">
      <alignment horizontal="center" vertical="center"/>
    </xf>
    <xf numFmtId="0" fontId="10" fillId="21" borderId="2" xfId="6" applyBorder="1" applyAlignment="1">
      <alignment horizontal="center" vertical="center"/>
    </xf>
    <xf numFmtId="0" fontId="7" fillId="18" borderId="0" xfId="0" applyFont="1" applyFill="1"/>
    <xf numFmtId="0" fontId="27" fillId="16" borderId="5" xfId="0" applyFont="1" applyFill="1" applyBorder="1" applyAlignment="1">
      <alignment vertical="center" textRotation="90"/>
    </xf>
    <xf numFmtId="0" fontId="27" fillId="16" borderId="5" xfId="0" applyFont="1" applyFill="1" applyBorder="1" applyAlignment="1">
      <alignment vertical="center" wrapText="1"/>
    </xf>
    <xf numFmtId="0" fontId="7" fillId="18" borderId="0" xfId="0" applyFont="1" applyFill="1" applyAlignment="1">
      <alignment horizontal="center" wrapText="1"/>
    </xf>
    <xf numFmtId="0" fontId="7" fillId="18" borderId="0" xfId="0" applyFont="1" applyFill="1" applyAlignment="1">
      <alignment horizontal="center"/>
    </xf>
    <xf numFmtId="0" fontId="7" fillId="18" borderId="0" xfId="0" applyFont="1" applyFill="1" applyAlignment="1">
      <alignment horizontal="left"/>
    </xf>
    <xf numFmtId="0" fontId="15" fillId="22" borderId="0" xfId="7" applyFont="1" applyAlignment="1">
      <alignment horizontal="left"/>
    </xf>
    <xf numFmtId="0" fontId="15" fillId="22" borderId="0" xfId="7" applyFont="1" applyAlignment="1">
      <alignment vertical="center"/>
    </xf>
    <xf numFmtId="0" fontId="28" fillId="18" borderId="1" xfId="0" applyFont="1" applyFill="1" applyBorder="1" applyAlignment="1">
      <alignment horizontal="center" vertical="center"/>
    </xf>
    <xf numFmtId="0" fontId="29" fillId="18" borderId="1" xfId="0" applyFont="1" applyFill="1" applyBorder="1" applyAlignment="1">
      <alignment horizontal="center" vertical="center"/>
    </xf>
    <xf numFmtId="0" fontId="10" fillId="41" borderId="0" xfId="14" applyAlignment="1">
      <alignment vertical="center"/>
    </xf>
    <xf numFmtId="0" fontId="10" fillId="41" borderId="2" xfId="14" applyBorder="1" applyAlignment="1">
      <alignment vertical="center"/>
    </xf>
    <xf numFmtId="0" fontId="10" fillId="40" borderId="0" xfId="13" applyAlignment="1">
      <alignment vertical="center"/>
    </xf>
    <xf numFmtId="0" fontId="10" fillId="40" borderId="2" xfId="13" applyBorder="1" applyAlignment="1">
      <alignment vertical="center"/>
    </xf>
    <xf numFmtId="0" fontId="15" fillId="17" borderId="0" xfId="3" applyAlignment="1">
      <alignment vertical="center"/>
    </xf>
    <xf numFmtId="0" fontId="15" fillId="17" borderId="2" xfId="3" applyBorder="1" applyAlignment="1">
      <alignment vertical="center"/>
    </xf>
    <xf numFmtId="0" fontId="10" fillId="0" borderId="0" xfId="9" applyNumberFormat="1" applyFill="1" applyBorder="1" applyAlignment="1">
      <alignment horizontal="center"/>
    </xf>
    <xf numFmtId="0" fontId="7" fillId="18" borderId="0" xfId="0" applyFont="1" applyFill="1" applyAlignment="1">
      <alignment horizontal="left" textRotation="90" wrapText="1"/>
    </xf>
    <xf numFmtId="0" fontId="0" fillId="39" borderId="0" xfId="12" applyFont="1" applyAlignment="1">
      <alignment horizontal="center" vertical="center" textRotation="90"/>
    </xf>
    <xf numFmtId="0" fontId="15" fillId="17" borderId="11" xfId="3" applyBorder="1" applyAlignment="1">
      <alignment vertical="center"/>
    </xf>
    <xf numFmtId="0" fontId="15" fillId="17" borderId="14" xfId="3" applyBorder="1" applyAlignment="1">
      <alignment vertical="center"/>
    </xf>
    <xf numFmtId="0" fontId="30" fillId="0" borderId="2" xfId="0" applyFont="1" applyBorder="1" applyAlignment="1">
      <alignment vertical="center"/>
    </xf>
    <xf numFmtId="14" fontId="30" fillId="0" borderId="2" xfId="0" applyNumberFormat="1" applyFont="1" applyBorder="1" applyAlignment="1">
      <alignment vertical="center"/>
    </xf>
    <xf numFmtId="0" fontId="30" fillId="0" borderId="2" xfId="0" applyNumberFormat="1" applyFont="1" applyBorder="1" applyAlignment="1">
      <alignment vertical="center"/>
    </xf>
    <xf numFmtId="0" fontId="15" fillId="20" borderId="2" xfId="5" applyFont="1" applyBorder="1" applyAlignment="1">
      <alignment vertical="center"/>
    </xf>
    <xf numFmtId="0" fontId="6" fillId="27" borderId="2" xfId="11" applyFont="1" applyBorder="1" applyAlignment="1">
      <alignment vertical="center"/>
    </xf>
    <xf numFmtId="0" fontId="10" fillId="40" borderId="2" xfId="13" applyNumberFormat="1" applyBorder="1" applyAlignment="1">
      <alignment vertical="center"/>
    </xf>
    <xf numFmtId="0" fontId="10" fillId="41" borderId="2" xfId="14" applyNumberFormat="1" applyBorder="1" applyAlignment="1">
      <alignment vertical="center"/>
    </xf>
    <xf numFmtId="0" fontId="15" fillId="17" borderId="2" xfId="3" applyNumberFormat="1" applyBorder="1" applyAlignment="1">
      <alignment vertical="center"/>
    </xf>
    <xf numFmtId="0" fontId="0" fillId="0" borderId="2" xfId="0" applyFont="1" applyBorder="1" applyAlignment="1">
      <alignment horizontal="center" vertical="center"/>
    </xf>
    <xf numFmtId="0" fontId="12" fillId="13" borderId="11" xfId="1" applyFont="1" applyAlignment="1">
      <alignment vertical="center"/>
    </xf>
    <xf numFmtId="0" fontId="15" fillId="17" borderId="11" xfId="3" applyNumberFormat="1" applyBorder="1" applyAlignment="1">
      <alignment vertical="center"/>
    </xf>
    <xf numFmtId="0" fontId="15" fillId="17" borderId="14" xfId="3" applyNumberFormat="1" applyBorder="1" applyAlignment="1">
      <alignment vertical="center"/>
    </xf>
    <xf numFmtId="0" fontId="13" fillId="14" borderId="12" xfId="2" applyNumberFormat="1" applyFont="1" applyAlignment="1">
      <alignment vertical="center"/>
    </xf>
    <xf numFmtId="0" fontId="13" fillId="14" borderId="15" xfId="2" applyNumberFormat="1" applyFont="1" applyBorder="1" applyAlignment="1">
      <alignment vertical="center"/>
    </xf>
    <xf numFmtId="0" fontId="0" fillId="15" borderId="1" xfId="0" applyNumberFormat="1" applyFont="1" applyFill="1" applyBorder="1" applyAlignment="1">
      <alignment vertical="center"/>
    </xf>
    <xf numFmtId="0" fontId="0" fillId="0" borderId="1" xfId="0" applyFont="1" applyFill="1" applyBorder="1"/>
    <xf numFmtId="0" fontId="10" fillId="40" borderId="22" xfId="13" applyBorder="1" applyAlignment="1">
      <alignment vertical="center"/>
    </xf>
    <xf numFmtId="0" fontId="10" fillId="41" borderId="22" xfId="14" applyBorder="1" applyAlignment="1">
      <alignment vertical="center"/>
    </xf>
    <xf numFmtId="0" fontId="15" fillId="17" borderId="22" xfId="3" applyNumberFormat="1" applyBorder="1" applyAlignment="1">
      <alignment vertical="center"/>
    </xf>
    <xf numFmtId="0" fontId="0" fillId="0" borderId="22" xfId="0" applyBorder="1" applyAlignment="1">
      <alignment vertical="center"/>
    </xf>
    <xf numFmtId="0" fontId="10" fillId="21" borderId="22" xfId="6" applyBorder="1" applyAlignment="1">
      <alignment horizontal="center" vertical="center"/>
    </xf>
    <xf numFmtId="0" fontId="6" fillId="41" borderId="0" xfId="14" applyFont="1" applyAlignment="1">
      <alignment vertical="center"/>
    </xf>
    <xf numFmtId="0" fontId="6" fillId="40" borderId="0" xfId="13" applyFont="1" applyAlignment="1">
      <alignment vertical="center"/>
    </xf>
    <xf numFmtId="0" fontId="6" fillId="40" borderId="2" xfId="13" applyNumberFormat="1" applyFont="1" applyBorder="1" applyAlignment="1">
      <alignment vertical="center"/>
    </xf>
    <xf numFmtId="0" fontId="30" fillId="0" borderId="1" xfId="0" applyFont="1" applyBorder="1" applyAlignment="1">
      <alignment vertical="center"/>
    </xf>
    <xf numFmtId="14" fontId="30" fillId="0" borderId="1" xfId="0" applyNumberFormat="1" applyFont="1" applyBorder="1" applyAlignment="1">
      <alignment vertical="center"/>
    </xf>
    <xf numFmtId="0" fontId="30" fillId="0" borderId="1" xfId="0" applyNumberFormat="1" applyFont="1" applyBorder="1" applyAlignment="1">
      <alignment vertical="center"/>
    </xf>
    <xf numFmtId="0" fontId="15" fillId="20" borderId="0" xfId="5" applyFont="1" applyAlignment="1">
      <alignment vertical="center"/>
    </xf>
    <xf numFmtId="0" fontId="6" fillId="27" borderId="0" xfId="11" applyFont="1" applyAlignment="1">
      <alignment vertical="center"/>
    </xf>
    <xf numFmtId="0" fontId="10" fillId="40" borderId="0" xfId="13" applyNumberFormat="1" applyAlignment="1">
      <alignment vertical="center"/>
    </xf>
    <xf numFmtId="0" fontId="6" fillId="40" borderId="0" xfId="13" applyNumberFormat="1" applyFont="1" applyAlignment="1">
      <alignment vertical="center"/>
    </xf>
    <xf numFmtId="0" fontId="10" fillId="41" borderId="0" xfId="14" applyNumberFormat="1" applyAlignment="1">
      <alignment vertical="center"/>
    </xf>
    <xf numFmtId="0" fontId="15" fillId="17" borderId="0" xfId="3" applyNumberFormat="1" applyAlignment="1">
      <alignment vertical="center"/>
    </xf>
    <xf numFmtId="0" fontId="15" fillId="17" borderId="22" xfId="3" applyBorder="1" applyAlignment="1">
      <alignment vertical="center"/>
    </xf>
    <xf numFmtId="0" fontId="0" fillId="0" borderId="0" xfId="0" applyFont="1" applyAlignment="1">
      <alignment horizontal="center" vertical="center"/>
    </xf>
    <xf numFmtId="0" fontId="13" fillId="14" borderId="13" xfId="2" applyNumberFormat="1" applyFont="1" applyBorder="1" applyAlignment="1">
      <alignment vertical="center"/>
    </xf>
    <xf numFmtId="0" fontId="5" fillId="27" borderId="2" xfId="11" applyFont="1" applyBorder="1" applyAlignment="1">
      <alignment vertical="center"/>
    </xf>
    <xf numFmtId="0" fontId="5" fillId="40" borderId="2" xfId="13" applyNumberFormat="1" applyFont="1" applyBorder="1" applyAlignment="1">
      <alignment vertical="center"/>
    </xf>
    <xf numFmtId="0" fontId="5" fillId="40" borderId="2" xfId="13" applyFont="1" applyBorder="1" applyAlignment="1">
      <alignment vertical="center"/>
    </xf>
    <xf numFmtId="0" fontId="5" fillId="41" borderId="2" xfId="14" applyNumberFormat="1" applyFont="1" applyBorder="1" applyAlignment="1">
      <alignment vertical="center"/>
    </xf>
    <xf numFmtId="0" fontId="5" fillId="41" borderId="2" xfId="14" applyFont="1" applyBorder="1" applyAlignment="1">
      <alignment vertical="center"/>
    </xf>
    <xf numFmtId="0" fontId="5" fillId="21" borderId="2" xfId="6" applyFont="1" applyBorder="1" applyAlignment="1">
      <alignment horizontal="center" vertical="center"/>
    </xf>
    <xf numFmtId="0" fontId="5" fillId="40" borderId="0" xfId="13" applyNumberFormat="1" applyFont="1" applyAlignment="1">
      <alignment vertical="center"/>
    </xf>
    <xf numFmtId="0" fontId="5" fillId="40" borderId="0" xfId="13" applyFont="1" applyAlignment="1">
      <alignment vertical="center"/>
    </xf>
    <xf numFmtId="0" fontId="5" fillId="41" borderId="0" xfId="14" applyNumberFormat="1" applyFont="1" applyAlignment="1">
      <alignment vertical="center"/>
    </xf>
    <xf numFmtId="0" fontId="5" fillId="41" borderId="0" xfId="14" applyFont="1" applyAlignment="1">
      <alignment vertical="center"/>
    </xf>
    <xf numFmtId="0" fontId="5" fillId="40" borderId="22" xfId="13" applyNumberFormat="1" applyFont="1" applyBorder="1" applyAlignment="1">
      <alignment vertical="center"/>
    </xf>
    <xf numFmtId="0" fontId="5" fillId="40" borderId="22" xfId="13" applyFont="1" applyBorder="1" applyAlignment="1">
      <alignment vertical="center"/>
    </xf>
    <xf numFmtId="0" fontId="5" fillId="41" borderId="22" xfId="14" applyNumberFormat="1" applyFont="1" applyBorder="1" applyAlignment="1">
      <alignment vertical="center"/>
    </xf>
    <xf numFmtId="0" fontId="5" fillId="41" borderId="22" xfId="14" applyFont="1" applyBorder="1" applyAlignment="1">
      <alignment vertical="center"/>
    </xf>
    <xf numFmtId="0" fontId="5" fillId="21" borderId="22" xfId="6" applyFont="1" applyBorder="1" applyAlignment="1">
      <alignment horizontal="center" vertical="center"/>
    </xf>
    <xf numFmtId="0" fontId="6" fillId="41" borderId="0" xfId="14" applyNumberFormat="1" applyFont="1" applyAlignment="1">
      <alignment vertical="center"/>
    </xf>
    <xf numFmtId="0" fontId="10" fillId="42" borderId="0" xfId="13" applyFill="1" applyAlignment="1">
      <alignment vertical="center"/>
    </xf>
    <xf numFmtId="0" fontId="10" fillId="42" borderId="2" xfId="13" applyFill="1" applyBorder="1" applyAlignment="1">
      <alignment vertical="center"/>
    </xf>
    <xf numFmtId="0" fontId="13" fillId="14" borderId="12" xfId="2"/>
    <xf numFmtId="0" fontId="4" fillId="25" borderId="0" xfId="9" applyNumberFormat="1" applyFont="1" applyAlignment="1">
      <alignment horizontal="center" vertical="center"/>
    </xf>
    <xf numFmtId="0" fontId="4" fillId="25" borderId="2" xfId="9" applyNumberFormat="1" applyFont="1" applyBorder="1" applyAlignment="1">
      <alignment horizontal="center" vertical="center"/>
    </xf>
    <xf numFmtId="0" fontId="0" fillId="24" borderId="16" xfId="8" applyNumberFormat="1" applyFont="1" applyAlignment="1">
      <alignment vertical="center"/>
    </xf>
    <xf numFmtId="0" fontId="13" fillId="14" borderId="12" xfId="2" applyNumberFormat="1"/>
    <xf numFmtId="0" fontId="4" fillId="18" borderId="0" xfId="0" applyFont="1" applyFill="1"/>
    <xf numFmtId="0" fontId="15" fillId="14" borderId="12" xfId="2" applyFont="1" applyAlignment="1"/>
    <xf numFmtId="0" fontId="31" fillId="14" borderId="12" xfId="2" applyFont="1" applyAlignment="1"/>
    <xf numFmtId="0" fontId="31" fillId="14" borderId="12" xfId="2" applyFont="1"/>
    <xf numFmtId="0" fontId="32" fillId="15" borderId="5" xfId="0" applyFont="1" applyFill="1" applyBorder="1" applyAlignment="1"/>
    <xf numFmtId="0" fontId="31" fillId="20" borderId="0" xfId="5" applyFont="1"/>
    <xf numFmtId="0" fontId="31" fillId="22" borderId="0" xfId="7" applyFont="1"/>
    <xf numFmtId="0" fontId="30" fillId="40" borderId="0" xfId="13" applyFont="1"/>
    <xf numFmtId="0" fontId="30" fillId="24" borderId="16" xfId="8" applyFont="1"/>
    <xf numFmtId="0" fontId="30" fillId="41" borderId="0" xfId="14" applyFont="1"/>
    <xf numFmtId="0" fontId="31" fillId="17" borderId="0" xfId="3" applyFont="1"/>
    <xf numFmtId="0" fontId="33" fillId="0" borderId="0" xfId="0" applyFont="1"/>
    <xf numFmtId="0" fontId="34" fillId="21" borderId="0" xfId="6" applyFont="1" applyAlignment="1">
      <alignment horizontal="left" textRotation="90"/>
    </xf>
    <xf numFmtId="0" fontId="30" fillId="3" borderId="0" xfId="0" applyFont="1" applyFill="1" applyAlignment="1">
      <alignment horizontal="left"/>
    </xf>
    <xf numFmtId="0" fontId="35" fillId="13" borderId="11" xfId="1" applyFont="1"/>
    <xf numFmtId="0" fontId="31" fillId="17" borderId="11" xfId="3" applyFont="1" applyBorder="1"/>
    <xf numFmtId="0" fontId="4" fillId="10" borderId="0" xfId="0" applyFont="1" applyFill="1" applyAlignment="1">
      <alignment horizontal="center"/>
    </xf>
    <xf numFmtId="0" fontId="25" fillId="43" borderId="1" xfId="0" applyFont="1" applyFill="1" applyBorder="1" applyAlignment="1">
      <alignment horizontal="center" vertical="center"/>
    </xf>
    <xf numFmtId="0" fontId="26" fillId="43" borderId="1" xfId="0" applyFont="1" applyFill="1" applyBorder="1" applyAlignment="1">
      <alignment horizontal="center" vertical="center"/>
    </xf>
    <xf numFmtId="0" fontId="0" fillId="0" borderId="0" xfId="0"/>
    <xf numFmtId="0" fontId="38" fillId="0" borderId="0" xfId="0" applyFont="1"/>
    <xf numFmtId="0" fontId="36" fillId="0" borderId="0" xfId="0" applyFont="1" applyAlignment="1">
      <alignment horizontal="center" vertical="center" wrapText="1"/>
    </xf>
    <xf numFmtId="0" fontId="37" fillId="0" borderId="0" xfId="0" applyFont="1" applyAlignment="1">
      <alignment wrapText="1"/>
    </xf>
    <xf numFmtId="0" fontId="0" fillId="0" borderId="0" xfId="0"/>
    <xf numFmtId="0" fontId="0" fillId="0" borderId="0" xfId="0" applyFont="1"/>
    <xf numFmtId="0" fontId="42" fillId="0" borderId="0" xfId="0" applyFont="1"/>
    <xf numFmtId="0" fontId="45" fillId="0" borderId="0" xfId="0" applyFont="1"/>
    <xf numFmtId="0" fontId="3" fillId="21" borderId="0" xfId="6" applyFont="1" applyAlignment="1">
      <alignment horizontal="center" vertical="center"/>
    </xf>
    <xf numFmtId="0" fontId="37" fillId="0" borderId="1" xfId="0" applyFont="1" applyBorder="1" applyAlignment="1">
      <alignment wrapText="1"/>
    </xf>
    <xf numFmtId="0" fontId="0" fillId="0" borderId="1" xfId="0" applyBorder="1" applyAlignment="1">
      <alignment wrapText="1"/>
    </xf>
    <xf numFmtId="0" fontId="0" fillId="0" borderId="1" xfId="0" applyFont="1" applyBorder="1"/>
    <xf numFmtId="0" fontId="0" fillId="4" borderId="1" xfId="0" applyFont="1" applyFill="1" applyBorder="1"/>
    <xf numFmtId="0" fontId="0" fillId="4" borderId="1" xfId="0" applyFill="1" applyBorder="1"/>
    <xf numFmtId="0" fontId="40" fillId="0" borderId="1" xfId="0" applyFont="1" applyBorder="1"/>
    <xf numFmtId="0" fontId="0" fillId="0" borderId="26" xfId="0" applyFont="1" applyBorder="1"/>
    <xf numFmtId="0" fontId="0" fillId="0" borderId="27" xfId="0" applyBorder="1"/>
    <xf numFmtId="0" fontId="0" fillId="0" borderId="28" xfId="0" applyFont="1" applyBorder="1"/>
    <xf numFmtId="0" fontId="37" fillId="0" borderId="29" xfId="0" applyFont="1" applyBorder="1" applyAlignment="1">
      <alignment wrapText="1"/>
    </xf>
    <xf numFmtId="0" fontId="0" fillId="0" borderId="29" xfId="0" applyFont="1" applyBorder="1"/>
    <xf numFmtId="0" fontId="0" fillId="0" borderId="29" xfId="0" applyBorder="1"/>
    <xf numFmtId="0" fontId="0" fillId="0" borderId="29" xfId="0" applyBorder="1" applyAlignment="1">
      <alignment wrapText="1"/>
    </xf>
    <xf numFmtId="0" fontId="0" fillId="4" borderId="29" xfId="0" applyFont="1" applyFill="1" applyBorder="1"/>
    <xf numFmtId="0" fontId="0" fillId="0" borderId="30" xfId="0" applyBorder="1"/>
    <xf numFmtId="0" fontId="40" fillId="0" borderId="26" xfId="0" applyFont="1" applyBorder="1"/>
    <xf numFmtId="0" fontId="0" fillId="0" borderId="28" xfId="0" applyBorder="1"/>
    <xf numFmtId="0" fontId="0" fillId="3" borderId="29" xfId="0" applyFill="1" applyBorder="1"/>
    <xf numFmtId="0" fontId="41" fillId="2" borderId="23" xfId="0" applyFont="1" applyFill="1" applyBorder="1"/>
    <xf numFmtId="0" fontId="36" fillId="2" borderId="24" xfId="0" applyFont="1" applyFill="1" applyBorder="1" applyAlignment="1">
      <alignment horizontal="center" vertical="center" wrapText="1"/>
    </xf>
    <xf numFmtId="0" fontId="41" fillId="2" borderId="24" xfId="0" applyFont="1" applyFill="1" applyBorder="1"/>
    <xf numFmtId="0" fontId="36" fillId="2" borderId="25" xfId="0" applyFont="1" applyFill="1" applyBorder="1" applyAlignment="1">
      <alignment horizontal="center" vertical="center" wrapText="1"/>
    </xf>
    <xf numFmtId="0" fontId="0" fillId="0" borderId="29" xfId="0" applyFont="1" applyBorder="1" applyAlignment="1">
      <alignment wrapText="1"/>
    </xf>
    <xf numFmtId="0" fontId="10" fillId="26" borderId="0" xfId="10" applyNumberFormat="1"/>
    <xf numFmtId="0" fontId="0" fillId="0" borderId="0" xfId="0"/>
    <xf numFmtId="0" fontId="0" fillId="18" borderId="0" xfId="3" applyFont="1" applyFill="1" applyAlignment="1">
      <alignment horizontal="left"/>
    </xf>
    <xf numFmtId="0" fontId="0" fillId="0" borderId="0" xfId="0" applyNumberFormat="1" applyAlignment="1">
      <alignment horizontal="center" vertical="center"/>
    </xf>
    <xf numFmtId="0" fontId="0" fillId="0" borderId="0" xfId="0" applyNumberFormat="1" applyFont="1" applyAlignment="1">
      <alignment horizontal="center" vertical="center"/>
    </xf>
    <xf numFmtId="0" fontId="0"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0" fillId="11" borderId="0" xfId="3" applyFont="1" applyFill="1" applyAlignment="1">
      <alignment horizontal="center" vertical="center"/>
    </xf>
    <xf numFmtId="0" fontId="0" fillId="0" borderId="0" xfId="0"/>
    <xf numFmtId="0" fontId="17" fillId="44" borderId="20" xfId="0" applyFont="1" applyFill="1" applyBorder="1" applyAlignment="1">
      <alignment horizontal="left" vertical="center"/>
    </xf>
    <xf numFmtId="0" fontId="2" fillId="44" borderId="20" xfId="0" applyFont="1" applyFill="1" applyBorder="1" applyAlignment="1">
      <alignment vertical="center"/>
    </xf>
    <xf numFmtId="0" fontId="17" fillId="45" borderId="20" xfId="0" applyFont="1" applyFill="1" applyBorder="1" applyAlignment="1">
      <alignment horizontal="left" vertical="center"/>
    </xf>
    <xf numFmtId="0" fontId="2" fillId="44" borderId="2" xfId="0" applyFont="1" applyFill="1" applyBorder="1" applyAlignment="1">
      <alignment vertical="center"/>
    </xf>
    <xf numFmtId="0" fontId="2" fillId="46" borderId="20" xfId="0" applyFont="1" applyFill="1" applyBorder="1" applyAlignment="1">
      <alignment vertical="center"/>
    </xf>
    <xf numFmtId="0" fontId="0" fillId="0" borderId="0" xfId="0"/>
    <xf numFmtId="0" fontId="46" fillId="0" borderId="0" xfId="0" applyFont="1"/>
    <xf numFmtId="0" fontId="15" fillId="6" borderId="17" xfId="4" applyNumberFormat="1" applyFill="1" applyBorder="1" applyAlignment="1">
      <alignment wrapText="1"/>
    </xf>
    <xf numFmtId="0" fontId="0" fillId="47" borderId="18" xfId="9" applyNumberFormat="1" applyFont="1" applyFill="1" applyBorder="1" applyAlignment="1">
      <alignment horizontal="center"/>
    </xf>
    <xf numFmtId="0" fontId="15" fillId="6" borderId="19" xfId="4" applyNumberFormat="1" applyFill="1" applyBorder="1" applyAlignment="1">
      <alignment wrapText="1"/>
    </xf>
    <xf numFmtId="0" fontId="0" fillId="0" borderId="0" xfId="0"/>
    <xf numFmtId="0" fontId="0" fillId="0" borderId="0" xfId="0"/>
    <xf numFmtId="0" fontId="0" fillId="0" borderId="0" xfId="0"/>
    <xf numFmtId="0" fontId="47" fillId="0" borderId="0" xfId="0" applyFont="1"/>
    <xf numFmtId="0" fontId="7" fillId="18" borderId="0" xfId="0" applyFont="1" applyFill="1" applyAlignment="1">
      <alignment horizontal="left" wrapText="1"/>
    </xf>
    <xf numFmtId="0" fontId="0" fillId="0" borderId="0" xfId="0"/>
    <xf numFmtId="0" fontId="1" fillId="30" borderId="21" xfId="0" applyFont="1" applyFill="1" applyBorder="1"/>
    <xf numFmtId="0" fontId="1" fillId="10" borderId="21" xfId="0" applyFont="1" applyFill="1" applyBorder="1"/>
    <xf numFmtId="0" fontId="11" fillId="0" borderId="0" xfId="0" applyFont="1" applyAlignment="1">
      <alignment vertical="center" wrapText="1"/>
    </xf>
    <xf numFmtId="0" fontId="0" fillId="0" borderId="0" xfId="0"/>
    <xf numFmtId="0" fontId="0" fillId="0" borderId="0" xfId="0" applyAlignment="1">
      <alignment horizontal="center" wrapText="1"/>
    </xf>
    <xf numFmtId="0" fontId="0" fillId="12" borderId="0" xfId="0" applyFill="1" applyAlignment="1">
      <alignment horizontal="center" wrapText="1"/>
    </xf>
    <xf numFmtId="0" fontId="0" fillId="30" borderId="0" xfId="0" applyFill="1" applyAlignment="1">
      <alignment horizontal="center"/>
    </xf>
  </cellXfs>
  <cellStyles count="15">
    <cellStyle name="20 % - Accent1" xfId="12" builtinId="30"/>
    <cellStyle name="20 % - Accent5" xfId="6" builtinId="46"/>
    <cellStyle name="40 % - Accent2" xfId="9" builtinId="35"/>
    <cellStyle name="40 % - Accent3" xfId="13" builtinId="39"/>
    <cellStyle name="40 % - Accent4" xfId="14" builtinId="43"/>
    <cellStyle name="40 % - Accent5" xfId="11" builtinId="47"/>
    <cellStyle name="60 % - Accent2" xfId="10" builtinId="36"/>
    <cellStyle name="60 % - Accent5" xfId="7" builtinId="48"/>
    <cellStyle name="Accent2" xfId="4" builtinId="33"/>
    <cellStyle name="Accent4" xfId="3" builtinId="41"/>
    <cellStyle name="Accent5" xfId="5" builtinId="45"/>
    <cellStyle name="Commentaire" xfId="8" builtinId="10"/>
    <cellStyle name="Entrée" xfId="1" builtinId="20"/>
    <cellStyle name="Normal" xfId="0" builtinId="0" customBuiltin="1"/>
    <cellStyle name="Vérification" xfId="2" builtinId="23"/>
  </cellStyles>
  <dxfs count="119">
    <dxf>
      <font>
        <strike val="0"/>
        <outline val="0"/>
        <shadow val="0"/>
        <u val="none"/>
        <vertAlign val="baseline"/>
        <sz val="11"/>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fill>
        <patternFill patternType="solid">
          <fgColor indexed="64"/>
          <bgColor theme="8" tint="0.79998168889431442"/>
        </patternFill>
      </fil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border diagonalUp="0" diagonalDown="0" outline="0">
        <right style="thin">
          <color indexed="64"/>
        </right>
      </border>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0" wrapText="0" indent="0" relativeIndent="255" justifyLastLine="0" shrinkToFit="0" readingOrder="0"/>
    </dxf>
    <dxf>
      <numFmt numFmtId="0" formatCode="General"/>
      <alignment horizontal="center" vertical="center" textRotation="0" wrapText="0" indent="0" relativeIndent="0" justifyLastLine="0" shrinkToFit="0" mergeCell="0" readingOrder="0"/>
    </dxf>
    <dxf>
      <font>
        <strike val="0"/>
        <outline val="0"/>
        <shadow val="0"/>
        <u val="none"/>
        <vertAlign val="baseline"/>
        <sz val="11"/>
      </font>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numFmt numFmtId="0" formatCode="General"/>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0"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0" formatCode="Genera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19" formatCode="dd/mm/yyyy"/>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border outline="0">
        <right style="thin">
          <color indexed="64"/>
        </right>
      </border>
    </dxf>
    <dxf>
      <font>
        <strike val="0"/>
        <outline val="0"/>
        <shadow val="0"/>
        <u val="none"/>
        <vertAlign val="baseline"/>
        <sz val="11"/>
      </font>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90" wrapText="0" indent="0" relativeIndent="255" justifyLastLine="0" shrinkToFit="0" readingOrder="0"/>
    </dxf>
    <dxf>
      <font>
        <color theme="0"/>
      </font>
      <fill>
        <patternFill>
          <bgColor theme="0" tint="-0.499984740745262"/>
        </patternFill>
      </fill>
    </dxf>
    <dxf>
      <alignment vertical="center" textRotation="0" indent="0" relativeIndent="255" justifyLastLine="0" shrinkToFit="0" readingOrder="0"/>
    </dxf>
    <dxf>
      <alignment horizontal="general" vertical="center" textRotation="0" wrapText="0" indent="0" relativeIndent="0" justifyLastLine="0" shrinkToFit="0" readingOrder="0"/>
    </dxf>
    <dxf>
      <alignment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horizontal="center" vertical="bottom" textRotation="0" wrapText="1" indent="0" relativeIndent="255" justifyLastLine="0" shrinkToFit="0" readingOrder="0"/>
    </dxf>
    <dxf>
      <numFmt numFmtId="0" formatCode="General"/>
      <alignment horizontal="general" vertical="center" textRotation="0" indent="0" relativeIndent="255" justifyLastLine="0" shrinkToFit="0" readingOrder="0"/>
    </dxf>
    <dxf>
      <alignment horizontal="general" vertical="center" textRotation="0" indent="0" relativeIndent="255" justifyLastLine="0" shrinkToFit="0" readingOrder="0"/>
    </dxf>
    <dxf>
      <font>
        <b val="0"/>
        <i val="0"/>
        <strike val="0"/>
        <condense val="0"/>
        <extend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0" justifyLastLine="0" shrinkToFit="0" mergeCell="0" readingOrder="0"/>
    </dxf>
    <dxf>
      <font>
        <strike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255" justifyLastLine="0" shrinkToFit="0" readingOrder="0"/>
    </dxf>
    <dxf>
      <alignment horizontal="center"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theme="0"/>
        <name val="Aptos Narrow"/>
        <scheme val="minor"/>
      </font>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auto="1"/>
        <name val="Aptos Narrow"/>
        <scheme val="minor"/>
      </font>
      <alignment horizontal="general" vertical="center" textRotation="0" indent="0" relativeIndent="255" justifyLastLine="0" shrinkToFit="0" readingOrder="0"/>
    </dxf>
    <dxf>
      <numFmt numFmtId="0" formatCode="General"/>
    </dxf>
    <dxf>
      <numFmt numFmtId="0" formatCode="Genera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numFmt numFmtId="0" formatCode="General"/>
    </dxf>
    <dxf>
      <numFmt numFmtId="0" formatCode="General"/>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fill>
        <patternFill>
          <bgColor rgb="FFFFFF00"/>
        </patternFill>
      </fill>
    </dxf>
  </dxfs>
  <tableStyles count="0" defaultTableStyle="TableStyleMedium2" defaultPivotStyle="PivotStyleLight16"/>
  <colors>
    <mruColors>
      <color rgb="FFFEE96A"/>
      <color rgb="FFEC924E"/>
      <color rgb="FFF1B227"/>
      <color rgb="FFEAA64C"/>
      <color rgb="FFFFD44B"/>
      <color rgb="FFED9F59"/>
      <color rgb="FF56EEFE"/>
      <color rgb="FF1560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8</xdr:col>
      <xdr:colOff>121167</xdr:colOff>
      <xdr:row>15</xdr:row>
      <xdr:rowOff>0</xdr:rowOff>
    </xdr:from>
    <xdr:to>
      <xdr:col>11</xdr:col>
      <xdr:colOff>431410</xdr:colOff>
      <xdr:row>48</xdr:row>
      <xdr:rowOff>89647</xdr:rowOff>
    </xdr:to>
    <xdr:sp macro="" textlink="">
      <xdr:nvSpPr>
        <xdr:cNvPr id="55" name="ZoneTexte 54"/>
        <xdr:cNvSpPr txBox="1"/>
      </xdr:nvSpPr>
      <xdr:spPr>
        <a:xfrm>
          <a:off x="6844696" y="3272118"/>
          <a:ext cx="2831567" cy="6006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Utilitaires</a:t>
          </a:r>
        </a:p>
      </xdr:txBody>
    </xdr:sp>
    <xdr:clientData/>
  </xdr:twoCellAnchor>
  <xdr:twoCellAnchor>
    <xdr:from>
      <xdr:col>6</xdr:col>
      <xdr:colOff>767602</xdr:colOff>
      <xdr:row>2</xdr:row>
      <xdr:rowOff>33618</xdr:rowOff>
    </xdr:from>
    <xdr:to>
      <xdr:col>8</xdr:col>
      <xdr:colOff>453279</xdr:colOff>
      <xdr:row>7</xdr:row>
      <xdr:rowOff>67236</xdr:rowOff>
    </xdr:to>
    <xdr:sp macro="" textlink="">
      <xdr:nvSpPr>
        <xdr:cNvPr id="2" name="Cylindre 1"/>
        <xdr:cNvSpPr/>
      </xdr:nvSpPr>
      <xdr:spPr>
        <a:xfrm>
          <a:off x="5810249" y="437030"/>
          <a:ext cx="1366559" cy="930088"/>
        </a:xfrm>
        <a:prstGeom prst="can">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fr-FR" sz="1000"/>
            <a:t>Données source à jour  : Feuille Signaux</a:t>
          </a:r>
        </a:p>
      </xdr:txBody>
    </xdr:sp>
    <xdr:clientData/>
  </xdr:twoCellAnchor>
  <xdr:twoCellAnchor>
    <xdr:from>
      <xdr:col>8</xdr:col>
      <xdr:colOff>635935</xdr:colOff>
      <xdr:row>2</xdr:row>
      <xdr:rowOff>22411</xdr:rowOff>
    </xdr:from>
    <xdr:to>
      <xdr:col>10</xdr:col>
      <xdr:colOff>264460</xdr:colOff>
      <xdr:row>7</xdr:row>
      <xdr:rowOff>11206</xdr:rowOff>
    </xdr:to>
    <xdr:sp macro="" textlink="">
      <xdr:nvSpPr>
        <xdr:cNvPr id="3" name="Cylindre 2"/>
        <xdr:cNvSpPr/>
      </xdr:nvSpPr>
      <xdr:spPr>
        <a:xfrm>
          <a:off x="7359464" y="425823"/>
          <a:ext cx="1309408" cy="885265"/>
        </a:xfrm>
        <a:prstGeom prst="can">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fr-FR" sz="1000"/>
            <a:t>Données source à jour  : Feuille Instances</a:t>
          </a:r>
        </a:p>
      </xdr:txBody>
    </xdr:sp>
    <xdr:clientData/>
  </xdr:twoCellAnchor>
  <xdr:twoCellAnchor>
    <xdr:from>
      <xdr:col>8</xdr:col>
      <xdr:colOff>345140</xdr:colOff>
      <xdr:row>22</xdr:row>
      <xdr:rowOff>61632</xdr:rowOff>
    </xdr:from>
    <xdr:to>
      <xdr:col>11</xdr:col>
      <xdr:colOff>89647</xdr:colOff>
      <xdr:row>25</xdr:row>
      <xdr:rowOff>61634</xdr:rowOff>
    </xdr:to>
    <xdr:sp macro="[0]!ColorSignaux_Click" textlink="">
      <xdr:nvSpPr>
        <xdr:cNvPr id="18" name="Rectangle : coins arrondis 3">
          <a:extLst>
            <a:ext uri="{FF2B5EF4-FFF2-40B4-BE49-F238E27FC236}">
              <a16:creationId xmlns="" xmlns:a16="http://schemas.microsoft.com/office/drawing/2014/main" id="{B43D806D-E19B-48B2-9534-9DC8555CD7DC}"/>
            </a:ext>
          </a:extLst>
        </xdr:cNvPr>
        <xdr:cNvSpPr/>
      </xdr:nvSpPr>
      <xdr:spPr>
        <a:xfrm>
          <a:off x="7068669" y="4050926"/>
          <a:ext cx="2265831" cy="537884"/>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les signaux de la feuille Signaux</a:t>
          </a:r>
        </a:p>
      </xdr:txBody>
    </xdr:sp>
    <xdr:clientData/>
  </xdr:twoCellAnchor>
  <xdr:twoCellAnchor>
    <xdr:from>
      <xdr:col>8</xdr:col>
      <xdr:colOff>352983</xdr:colOff>
      <xdr:row>26</xdr:row>
      <xdr:rowOff>160806</xdr:rowOff>
    </xdr:from>
    <xdr:to>
      <xdr:col>11</xdr:col>
      <xdr:colOff>100852</xdr:colOff>
      <xdr:row>29</xdr:row>
      <xdr:rowOff>141145</xdr:rowOff>
    </xdr:to>
    <xdr:sp macro="[0]!ColorListeES_Click" textlink="">
      <xdr:nvSpPr>
        <xdr:cNvPr id="21" name="Rectangle : coins arrondis 3">
          <a:extLst>
            <a:ext uri="{FF2B5EF4-FFF2-40B4-BE49-F238E27FC236}">
              <a16:creationId xmlns="" xmlns:a16="http://schemas.microsoft.com/office/drawing/2014/main" id="{B43D806D-E19B-48B2-9534-9DC8555CD7DC}"/>
            </a:ext>
          </a:extLst>
        </xdr:cNvPr>
        <xdr:cNvSpPr/>
      </xdr:nvSpPr>
      <xdr:spPr>
        <a:xfrm>
          <a:off x="7076512" y="4867277"/>
          <a:ext cx="2269193" cy="518221"/>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ListeES</a:t>
          </a:r>
        </a:p>
      </xdr:txBody>
    </xdr:sp>
    <xdr:clientData/>
  </xdr:twoCellAnchor>
  <xdr:twoCellAnchor>
    <xdr:from>
      <xdr:col>0</xdr:col>
      <xdr:colOff>142874</xdr:colOff>
      <xdr:row>9</xdr:row>
      <xdr:rowOff>11206</xdr:rowOff>
    </xdr:from>
    <xdr:to>
      <xdr:col>11</xdr:col>
      <xdr:colOff>728382</xdr:colOff>
      <xdr:row>57</xdr:row>
      <xdr:rowOff>56028</xdr:rowOff>
    </xdr:to>
    <xdr:sp macro="" textlink="">
      <xdr:nvSpPr>
        <xdr:cNvPr id="36" name="Rectangle 35"/>
        <xdr:cNvSpPr/>
      </xdr:nvSpPr>
      <xdr:spPr>
        <a:xfrm>
          <a:off x="142874" y="2745441"/>
          <a:ext cx="9830361" cy="865094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1</xdr:col>
      <xdr:colOff>833092</xdr:colOff>
      <xdr:row>7</xdr:row>
      <xdr:rowOff>67236</xdr:rowOff>
    </xdr:from>
    <xdr:to>
      <xdr:col>7</xdr:col>
      <xdr:colOff>610442</xdr:colOff>
      <xdr:row>16</xdr:row>
      <xdr:rowOff>137349</xdr:rowOff>
    </xdr:to>
    <xdr:cxnSp macro="">
      <xdr:nvCxnSpPr>
        <xdr:cNvPr id="39" name="Connecteur en angle 38"/>
        <xdr:cNvCxnSpPr>
          <a:stCxn id="2" idx="3"/>
          <a:endCxn id="4" idx="0"/>
        </xdr:cNvCxnSpPr>
      </xdr:nvCxnSpPr>
      <xdr:spPr>
        <a:xfrm rot="5400000">
          <a:off x="2703769" y="336882"/>
          <a:ext cx="2759525" cy="4819997"/>
        </a:xfrm>
        <a:prstGeom prst="bentConnector3">
          <a:avLst>
            <a:gd name="adj1" fmla="val 66006"/>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330574</xdr:colOff>
      <xdr:row>31</xdr:row>
      <xdr:rowOff>34737</xdr:rowOff>
    </xdr:from>
    <xdr:to>
      <xdr:col>11</xdr:col>
      <xdr:colOff>123265</xdr:colOff>
      <xdr:row>34</xdr:row>
      <xdr:rowOff>44262</xdr:rowOff>
    </xdr:to>
    <xdr:sp macro="[0]!mValidateListeES.ValidateListeES_Click" textlink="">
      <xdr:nvSpPr>
        <xdr:cNvPr id="44" name="Rectangle : coins arrondis 3">
          <a:extLst>
            <a:ext uri="{FF2B5EF4-FFF2-40B4-BE49-F238E27FC236}">
              <a16:creationId xmlns="" xmlns:a16="http://schemas.microsoft.com/office/drawing/2014/main" id="{AAA1D87E-3CBC-40AF-91B8-65CD514F3058}"/>
            </a:ext>
          </a:extLst>
        </xdr:cNvPr>
        <xdr:cNvSpPr/>
      </xdr:nvSpPr>
      <xdr:spPr>
        <a:xfrm>
          <a:off x="7054103" y="5637678"/>
          <a:ext cx="2314015" cy="547408"/>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post-validation ListeES</a:t>
          </a:r>
          <a:endParaRPr lang="fr-FR" sz="1200" b="1"/>
        </a:p>
      </xdr:txBody>
    </xdr:sp>
    <xdr:clientData/>
  </xdr:twoCellAnchor>
  <xdr:twoCellAnchor editAs="absolute">
    <xdr:from>
      <xdr:col>0</xdr:col>
      <xdr:colOff>495858</xdr:colOff>
      <xdr:row>49</xdr:row>
      <xdr:rowOff>112620</xdr:rowOff>
    </xdr:from>
    <xdr:to>
      <xdr:col>3</xdr:col>
      <xdr:colOff>305358</xdr:colOff>
      <xdr:row>52</xdr:row>
      <xdr:rowOff>64994</xdr:rowOff>
    </xdr:to>
    <xdr:sp macro="[0]!GenerateAPIView" textlink="">
      <xdr:nvSpPr>
        <xdr:cNvPr id="53" name="Rectangle : coins arrondis 1">
          <a:extLst>
            <a:ext uri="{FF2B5EF4-FFF2-40B4-BE49-F238E27FC236}">
              <a16:creationId xmlns="" xmlns:a16="http://schemas.microsoft.com/office/drawing/2014/main" id="{FC20C1C7-3AD3-4940-9749-0B84A476C784}"/>
            </a:ext>
          </a:extLst>
        </xdr:cNvPr>
        <xdr:cNvSpPr/>
      </xdr:nvSpPr>
      <xdr:spPr>
        <a:xfrm>
          <a:off x="495858" y="8942855"/>
          <a:ext cx="2330824" cy="49025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twoCellAnchor editAs="absolute">
    <xdr:from>
      <xdr:col>0</xdr:col>
      <xdr:colOff>502021</xdr:colOff>
      <xdr:row>53</xdr:row>
      <xdr:rowOff>135030</xdr:rowOff>
    </xdr:from>
    <xdr:to>
      <xdr:col>3</xdr:col>
      <xdr:colOff>292472</xdr:colOff>
      <xdr:row>56</xdr:row>
      <xdr:rowOff>68355</xdr:rowOff>
    </xdr:to>
    <xdr:sp macro="[0]!GenerateVoiesView" textlink="">
      <xdr:nvSpPr>
        <xdr:cNvPr id="54" name="Rectangle : coins arrondis 2">
          <a:extLst>
            <a:ext uri="{FF2B5EF4-FFF2-40B4-BE49-F238E27FC236}">
              <a16:creationId xmlns="" xmlns:a16="http://schemas.microsoft.com/office/drawing/2014/main" id="{6CE2C21C-FF5F-4F2C-BA8B-9A120A5607A9}"/>
            </a:ext>
          </a:extLst>
        </xdr:cNvPr>
        <xdr:cNvSpPr/>
      </xdr:nvSpPr>
      <xdr:spPr>
        <a:xfrm>
          <a:off x="502021" y="9682442"/>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twoCellAnchor>
    <xdr:from>
      <xdr:col>0</xdr:col>
      <xdr:colOff>123264</xdr:colOff>
      <xdr:row>1</xdr:row>
      <xdr:rowOff>177613</xdr:rowOff>
    </xdr:from>
    <xdr:to>
      <xdr:col>5</xdr:col>
      <xdr:colOff>806823</xdr:colOff>
      <xdr:row>7</xdr:row>
      <xdr:rowOff>64994</xdr:rowOff>
    </xdr:to>
    <xdr:grpSp>
      <xdr:nvGrpSpPr>
        <xdr:cNvPr id="231" name="Groupe 230"/>
        <xdr:cNvGrpSpPr/>
      </xdr:nvGrpSpPr>
      <xdr:grpSpPr>
        <a:xfrm>
          <a:off x="123264" y="401731"/>
          <a:ext cx="4885765" cy="963145"/>
          <a:chOff x="571500" y="412937"/>
          <a:chExt cx="4885765" cy="963145"/>
        </a:xfrm>
      </xdr:grpSpPr>
      <xdr:sp macro="" textlink="">
        <xdr:nvSpPr>
          <xdr:cNvPr id="62" name="ZoneTexte 61"/>
          <xdr:cNvSpPr txBox="1"/>
        </xdr:nvSpPr>
        <xdr:spPr>
          <a:xfrm>
            <a:off x="571500" y="412937"/>
            <a:ext cx="4885765" cy="963145"/>
          </a:xfrm>
          <a:prstGeom prst="rect">
            <a:avLst/>
          </a:prstGeom>
          <a:ln/>
        </xdr:spPr>
        <xdr:style>
          <a:lnRef idx="1">
            <a:schemeClr val="accent4"/>
          </a:lnRef>
          <a:fillRef idx="2">
            <a:schemeClr val="accent4"/>
          </a:fillRef>
          <a:effectRef idx="1">
            <a:schemeClr val="accent4"/>
          </a:effectRef>
          <a:fontRef idx="minor">
            <a:schemeClr val="dk1"/>
          </a:fontRef>
        </xdr:style>
        <xdr:txBody>
          <a:bodyPr wrap="square" rtlCol="0" anchor="t"/>
          <a:lstStyle/>
          <a:p>
            <a:r>
              <a:rPr lang="fr-FR" sz="1100"/>
              <a:t>Données sources</a:t>
            </a:r>
          </a:p>
        </xdr:txBody>
      </xdr:sp>
      <xdr:sp macro="" textlink="">
        <xdr:nvSpPr>
          <xdr:cNvPr id="56" name="Cylindre 55"/>
          <xdr:cNvSpPr/>
        </xdr:nvSpPr>
        <xdr:spPr>
          <a:xfrm>
            <a:off x="657453" y="658445"/>
            <a:ext cx="802225"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Options</a:t>
            </a:r>
          </a:p>
        </xdr:txBody>
      </xdr:sp>
      <xdr:sp macro="" textlink="">
        <xdr:nvSpPr>
          <xdr:cNvPr id="57" name="Cylindre 56"/>
          <xdr:cNvSpPr/>
        </xdr:nvSpPr>
        <xdr:spPr>
          <a:xfrm>
            <a:off x="4620829" y="639559"/>
            <a:ext cx="601669"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Voies</a:t>
            </a:r>
          </a:p>
        </xdr:txBody>
      </xdr:sp>
      <xdr:sp macro="" textlink="">
        <xdr:nvSpPr>
          <xdr:cNvPr id="58" name="Cylindre 57"/>
          <xdr:cNvSpPr/>
        </xdr:nvSpPr>
        <xdr:spPr>
          <a:xfrm>
            <a:off x="1707985" y="649002"/>
            <a:ext cx="888178"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TypeSignals</a:t>
            </a:r>
          </a:p>
        </xdr:txBody>
      </xdr:sp>
      <xdr:sp macro="" textlink="">
        <xdr:nvSpPr>
          <xdr:cNvPr id="59" name="Cylindre 58"/>
          <xdr:cNvSpPr/>
        </xdr:nvSpPr>
        <xdr:spPr>
          <a:xfrm>
            <a:off x="2854022" y="658445"/>
            <a:ext cx="601669"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APIs</a:t>
            </a:r>
          </a:p>
        </xdr:txBody>
      </xdr:sp>
      <xdr:sp macro="" textlink="">
        <xdr:nvSpPr>
          <xdr:cNvPr id="60" name="Cylindre 59"/>
          <xdr:cNvSpPr/>
        </xdr:nvSpPr>
        <xdr:spPr>
          <a:xfrm>
            <a:off x="3694449" y="658445"/>
            <a:ext cx="706722"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ConfAPI</a:t>
            </a:r>
          </a:p>
        </xdr:txBody>
      </xdr:sp>
    </xdr:grpSp>
    <xdr:clientData/>
  </xdr:twoCellAnchor>
  <xdr:twoCellAnchor>
    <xdr:from>
      <xdr:col>5</xdr:col>
      <xdr:colOff>630130</xdr:colOff>
      <xdr:row>22</xdr:row>
      <xdr:rowOff>19397</xdr:rowOff>
    </xdr:from>
    <xdr:to>
      <xdr:col>6</xdr:col>
      <xdr:colOff>560294</xdr:colOff>
      <xdr:row>31</xdr:row>
      <xdr:rowOff>147917</xdr:rowOff>
    </xdr:to>
    <xdr:cxnSp macro="">
      <xdr:nvCxnSpPr>
        <xdr:cNvPr id="68" name="Connecteur en angle 67"/>
        <xdr:cNvCxnSpPr>
          <a:stCxn id="19" idx="2"/>
          <a:endCxn id="47" idx="1"/>
        </xdr:cNvCxnSpPr>
      </xdr:nvCxnSpPr>
      <xdr:spPr>
        <a:xfrm rot="16200000" flipH="1">
          <a:off x="4346555" y="4494472"/>
          <a:ext cx="1742167" cy="77060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828675</xdr:colOff>
      <xdr:row>30</xdr:row>
      <xdr:rowOff>79841</xdr:rowOff>
    </xdr:from>
    <xdr:to>
      <xdr:col>1</xdr:col>
      <xdr:colOff>834489</xdr:colOff>
      <xdr:row>32</xdr:row>
      <xdr:rowOff>28576</xdr:rowOff>
    </xdr:to>
    <xdr:cxnSp macro="">
      <xdr:nvCxnSpPr>
        <xdr:cNvPr id="70" name="Forme 69"/>
        <xdr:cNvCxnSpPr>
          <a:stCxn id="20" idx="2"/>
          <a:endCxn id="79" idx="1"/>
        </xdr:cNvCxnSpPr>
      </xdr:nvCxnSpPr>
      <xdr:spPr>
        <a:xfrm rot="5400000">
          <a:off x="1518361" y="6192125"/>
          <a:ext cx="307324" cy="5814"/>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815602</xdr:colOff>
      <xdr:row>37</xdr:row>
      <xdr:rowOff>2</xdr:rowOff>
    </xdr:from>
    <xdr:to>
      <xdr:col>1</xdr:col>
      <xdr:colOff>828675</xdr:colOff>
      <xdr:row>38</xdr:row>
      <xdr:rowOff>69276</xdr:rowOff>
    </xdr:to>
    <xdr:cxnSp macro="">
      <xdr:nvCxnSpPr>
        <xdr:cNvPr id="74" name="Connecteur en angle 73"/>
        <xdr:cNvCxnSpPr>
          <a:stCxn id="79" idx="3"/>
          <a:endCxn id="45" idx="0"/>
        </xdr:cNvCxnSpPr>
      </xdr:nvCxnSpPr>
      <xdr:spPr>
        <a:xfrm rot="5400000">
          <a:off x="1538296" y="7334337"/>
          <a:ext cx="248568" cy="1307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814669</xdr:colOff>
      <xdr:row>41</xdr:row>
      <xdr:rowOff>41010</xdr:rowOff>
    </xdr:from>
    <xdr:to>
      <xdr:col>1</xdr:col>
      <xdr:colOff>815602</xdr:colOff>
      <xdr:row>43</xdr:row>
      <xdr:rowOff>63314</xdr:rowOff>
    </xdr:to>
    <xdr:cxnSp macro="">
      <xdr:nvCxnSpPr>
        <xdr:cNvPr id="87" name="Connecteur en angle 86"/>
        <xdr:cNvCxnSpPr>
          <a:stCxn id="45" idx="2"/>
          <a:endCxn id="48" idx="1"/>
        </xdr:cNvCxnSpPr>
      </xdr:nvCxnSpPr>
      <xdr:spPr>
        <a:xfrm rot="5400000">
          <a:off x="1465131" y="8164754"/>
          <a:ext cx="380892" cy="93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817468</xdr:colOff>
      <xdr:row>52</xdr:row>
      <xdr:rowOff>64995</xdr:rowOff>
    </xdr:from>
    <xdr:to>
      <xdr:col>1</xdr:col>
      <xdr:colOff>820829</xdr:colOff>
      <xdr:row>53</xdr:row>
      <xdr:rowOff>135031</xdr:rowOff>
    </xdr:to>
    <xdr:cxnSp macro="">
      <xdr:nvCxnSpPr>
        <xdr:cNvPr id="91" name="Forme 90"/>
        <xdr:cNvCxnSpPr>
          <a:stCxn id="53" idx="2"/>
          <a:endCxn id="54" idx="0"/>
        </xdr:cNvCxnSpPr>
      </xdr:nvCxnSpPr>
      <xdr:spPr>
        <a:xfrm rot="5400000">
          <a:off x="1534925" y="9556097"/>
          <a:ext cx="249330" cy="3361"/>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299196</xdr:colOff>
      <xdr:row>9</xdr:row>
      <xdr:rowOff>107576</xdr:rowOff>
    </xdr:from>
    <xdr:to>
      <xdr:col>5</xdr:col>
      <xdr:colOff>403971</xdr:colOff>
      <xdr:row>12</xdr:row>
      <xdr:rowOff>88526</xdr:rowOff>
    </xdr:to>
    <xdr:sp macro="" textlink="">
      <xdr:nvSpPr>
        <xdr:cNvPr id="38" name="txtProgress"/>
        <xdr:cNvSpPr txBox="1"/>
      </xdr:nvSpPr>
      <xdr:spPr>
        <a:xfrm>
          <a:off x="299196" y="2841811"/>
          <a:ext cx="4306981" cy="518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Validation de listeES terminée en 91,742 seconde(s)</a:t>
          </a:r>
        </a:p>
      </xdr:txBody>
    </xdr:sp>
    <xdr:clientData/>
  </xdr:twoCellAnchor>
  <xdr:twoCellAnchor>
    <xdr:from>
      <xdr:col>5</xdr:col>
      <xdr:colOff>569819</xdr:colOff>
      <xdr:row>36</xdr:row>
      <xdr:rowOff>119342</xdr:rowOff>
    </xdr:from>
    <xdr:to>
      <xdr:col>6</xdr:col>
      <xdr:colOff>560294</xdr:colOff>
      <xdr:row>49</xdr:row>
      <xdr:rowOff>96931</xdr:rowOff>
    </xdr:to>
    <xdr:cxnSp macro="">
      <xdr:nvCxnSpPr>
        <xdr:cNvPr id="43" name="Connecteur en angle 42"/>
        <xdr:cNvCxnSpPr>
          <a:stCxn id="47" idx="3"/>
          <a:endCxn id="71" idx="0"/>
        </xdr:cNvCxnSpPr>
      </xdr:nvCxnSpPr>
      <xdr:spPr>
        <a:xfrm rot="5400000">
          <a:off x="4033277" y="7357502"/>
          <a:ext cx="2308412" cy="830916"/>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292983</xdr:colOff>
      <xdr:row>14</xdr:row>
      <xdr:rowOff>168088</xdr:rowOff>
    </xdr:from>
    <xdr:to>
      <xdr:col>3</xdr:col>
      <xdr:colOff>586373</xdr:colOff>
      <xdr:row>48</xdr:row>
      <xdr:rowOff>67235</xdr:rowOff>
    </xdr:to>
    <xdr:grpSp>
      <xdr:nvGrpSpPr>
        <xdr:cNvPr id="126" name="Groupe 125"/>
        <xdr:cNvGrpSpPr/>
      </xdr:nvGrpSpPr>
      <xdr:grpSpPr>
        <a:xfrm>
          <a:off x="292983" y="2723029"/>
          <a:ext cx="2814714" cy="5995147"/>
          <a:chOff x="292983" y="3260912"/>
          <a:chExt cx="2814714" cy="5995147"/>
        </a:xfrm>
      </xdr:grpSpPr>
      <xdr:sp macro="" textlink="">
        <xdr:nvSpPr>
          <xdr:cNvPr id="26" name="ZoneTexte 25"/>
          <xdr:cNvSpPr txBox="1"/>
        </xdr:nvSpPr>
        <xdr:spPr>
          <a:xfrm>
            <a:off x="292983" y="3260912"/>
            <a:ext cx="2814714" cy="5995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Détaillé</a:t>
            </a:r>
          </a:p>
        </xdr:txBody>
      </xdr:sp>
      <xdr:sp macro="[0]!ValidateInstances_Click" textlink="">
        <xdr:nvSpPr>
          <xdr:cNvPr id="4" name="Rectangle : coins arrondis 3">
            <a:extLst>
              <a:ext uri="{FF2B5EF4-FFF2-40B4-BE49-F238E27FC236}">
                <a16:creationId xmlns="" xmlns:a16="http://schemas.microsoft.com/office/drawing/2014/main" id="{AAA1D87E-3CBC-40AF-91B8-65CD514F3058}"/>
              </a:ext>
            </a:extLst>
          </xdr:cNvPr>
          <xdr:cNvSpPr/>
        </xdr:nvSpPr>
        <xdr:spPr>
          <a:xfrm>
            <a:off x="473927" y="3588761"/>
            <a:ext cx="2399210" cy="45387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sp macro="[0]!ValidateSignaux_Click" textlink="">
        <xdr:nvSpPr>
          <xdr:cNvPr id="5" name="Rectangle : coins arrondis 3">
            <a:extLst>
              <a:ext uri="{FF2B5EF4-FFF2-40B4-BE49-F238E27FC236}">
                <a16:creationId xmlns="" xmlns:a16="http://schemas.microsoft.com/office/drawing/2014/main" id="{AAA1D87E-3CBC-40AF-91B8-65CD514F3058}"/>
              </a:ext>
            </a:extLst>
          </xdr:cNvPr>
          <xdr:cNvSpPr/>
        </xdr:nvSpPr>
        <xdr:spPr>
          <a:xfrm>
            <a:off x="492878" y="4240433"/>
            <a:ext cx="2370727" cy="444351"/>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sp macro="[0]!mValidatePreGenDatas.ValidateListeES_Click" textlink="">
        <xdr:nvSpPr>
          <xdr:cNvPr id="8" name="Rectangle : coins arrondis 3">
            <a:extLst>
              <a:ext uri="{FF2B5EF4-FFF2-40B4-BE49-F238E27FC236}">
                <a16:creationId xmlns="" xmlns:a16="http://schemas.microsoft.com/office/drawing/2014/main" id="{AAA1D87E-3CBC-40AF-91B8-65CD514F3058}"/>
              </a:ext>
            </a:extLst>
          </xdr:cNvPr>
          <xdr:cNvSpPr/>
        </xdr:nvSpPr>
        <xdr:spPr>
          <a:xfrm>
            <a:off x="500700" y="4862413"/>
            <a:ext cx="2361233" cy="471249"/>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0]!CreateListeES_Click" textlink="">
        <xdr:nvSpPr>
          <xdr:cNvPr id="20" name="Rectangle : coins arrondis 1">
            <a:extLst>
              <a:ext uri="{FF2B5EF4-FFF2-40B4-BE49-F238E27FC236}">
                <a16:creationId xmlns="" xmlns:a16="http://schemas.microsoft.com/office/drawing/2014/main" id="{51384C3E-A491-480E-93EE-669369B7C2E7}"/>
              </a:ext>
            </a:extLst>
          </xdr:cNvPr>
          <xdr:cNvSpPr/>
        </xdr:nvSpPr>
        <xdr:spPr>
          <a:xfrm>
            <a:off x="480072" y="5503441"/>
            <a:ext cx="2389716" cy="537929"/>
          </a:xfrm>
          <a:prstGeom prst="roundRect">
            <a:avLst/>
          </a:prstGeom>
          <a:gradFill flip="none" rotWithShape="1">
            <a:gsLst>
              <a:gs pos="0">
                <a:schemeClr val="tx1">
                  <a:lumMod val="85000"/>
                  <a:lumOff val="15000"/>
                </a:schemeClr>
              </a:gs>
              <a:gs pos="48000">
                <a:schemeClr val="tx1">
                  <a:lumMod val="65000"/>
                  <a:lumOff val="35000"/>
                </a:schemeClr>
              </a:gs>
              <a:gs pos="100000">
                <a:schemeClr val="tx1">
                  <a:lumMod val="85000"/>
                  <a:lumOff val="1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 (Ne pas utiliser)</a:t>
            </a:r>
          </a:p>
        </xdr:txBody>
      </xdr:sp>
      <xdr:sp macro="[0]!RecalculerReserves_Click" textlink="">
        <xdr:nvSpPr>
          <xdr:cNvPr id="45" name="Rectangle : coins arrondis 3">
            <a:extLst>
              <a:ext uri="{FF2B5EF4-FFF2-40B4-BE49-F238E27FC236}">
                <a16:creationId xmlns="" xmlns:a16="http://schemas.microsoft.com/office/drawing/2014/main" id="{AAA1D87E-3CBC-40AF-91B8-65CD514F3058}"/>
              </a:ext>
            </a:extLst>
          </xdr:cNvPr>
          <xdr:cNvSpPr/>
        </xdr:nvSpPr>
        <xdr:spPr>
          <a:xfrm>
            <a:off x="481662" y="7465157"/>
            <a:ext cx="2348761" cy="509617"/>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48" name="Cylindre 47"/>
          <xdr:cNvSpPr/>
        </xdr:nvSpPr>
        <xdr:spPr>
          <a:xfrm>
            <a:off x="996764" y="8355666"/>
            <a:ext cx="1316691" cy="660027"/>
          </a:xfrm>
          <a:prstGeom prst="can">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fr-FR" sz="1000"/>
              <a:t>Feuille ConfAPI actualisé</a:t>
            </a:r>
          </a:p>
        </xdr:txBody>
      </xdr:sp>
      <xdr:sp macro="" textlink="">
        <xdr:nvSpPr>
          <xdr:cNvPr id="79" name="Cylindre 78"/>
          <xdr:cNvSpPr/>
        </xdr:nvSpPr>
        <xdr:spPr>
          <a:xfrm>
            <a:off x="1018614" y="6348694"/>
            <a:ext cx="1301003" cy="867895"/>
          </a:xfrm>
          <a:prstGeom prst="can">
            <a:avLst/>
          </a:prstGeom>
        </xdr:spPr>
        <xdr:style>
          <a:lnRef idx="3">
            <a:schemeClr val="lt1"/>
          </a:lnRef>
          <a:fillRef idx="1">
            <a:schemeClr val="accent1"/>
          </a:fillRef>
          <a:effectRef idx="1">
            <a:schemeClr val="accent1"/>
          </a:effectRef>
          <a:fontRef idx="minor">
            <a:schemeClr val="lt1"/>
          </a:fontRef>
        </xdr:style>
        <xdr:txBody>
          <a:bodyPr rtlCol="0" anchor="ctr"/>
          <a:lstStyle/>
          <a:p>
            <a:pPr algn="ctr"/>
            <a:r>
              <a:rPr lang="fr-FR" sz="1000"/>
              <a:t>Feuille</a:t>
            </a:r>
            <a:r>
              <a:rPr lang="fr-FR" sz="1000" baseline="0"/>
              <a:t> ListeES actualisé</a:t>
            </a:r>
            <a:endParaRPr lang="fr-FR" sz="1000"/>
          </a:p>
        </xdr:txBody>
      </xdr:sp>
    </xdr:grpSp>
    <xdr:clientData/>
  </xdr:twoCellAnchor>
  <xdr:twoCellAnchor>
    <xdr:from>
      <xdr:col>3</xdr:col>
      <xdr:colOff>705970</xdr:colOff>
      <xdr:row>15</xdr:row>
      <xdr:rowOff>22411</xdr:rowOff>
    </xdr:from>
    <xdr:to>
      <xdr:col>7</xdr:col>
      <xdr:colOff>726685</xdr:colOff>
      <xdr:row>48</xdr:row>
      <xdr:rowOff>89647</xdr:rowOff>
    </xdr:to>
    <xdr:grpSp>
      <xdr:nvGrpSpPr>
        <xdr:cNvPr id="127" name="Groupe 126"/>
        <xdr:cNvGrpSpPr/>
      </xdr:nvGrpSpPr>
      <xdr:grpSpPr>
        <a:xfrm>
          <a:off x="3227294" y="2756646"/>
          <a:ext cx="3382479" cy="5983942"/>
          <a:chOff x="3227294" y="3294529"/>
          <a:chExt cx="3382479" cy="5983942"/>
        </a:xfrm>
      </xdr:grpSpPr>
      <xdr:sp macro="" textlink="">
        <xdr:nvSpPr>
          <xdr:cNvPr id="32" name="ZoneTexte 31"/>
          <xdr:cNvSpPr txBox="1"/>
        </xdr:nvSpPr>
        <xdr:spPr>
          <a:xfrm>
            <a:off x="3227294" y="3294529"/>
            <a:ext cx="3382479" cy="59839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Simplifié</a:t>
            </a:r>
          </a:p>
        </xdr:txBody>
      </xdr:sp>
      <xdr:sp macro="[0]!CreateListeES2_Click" textlink="">
        <xdr:nvSpPr>
          <xdr:cNvPr id="19" name="Rectangle : coins arrondis 1">
            <a:extLst>
              <a:ext uri="{FF2B5EF4-FFF2-40B4-BE49-F238E27FC236}">
                <a16:creationId xmlns="" xmlns:a16="http://schemas.microsoft.com/office/drawing/2014/main" id="{51384C3E-A491-480E-93EE-669369B7C2E7}"/>
              </a:ext>
            </a:extLst>
          </xdr:cNvPr>
          <xdr:cNvSpPr/>
        </xdr:nvSpPr>
        <xdr:spPr>
          <a:xfrm>
            <a:off x="3548192" y="3998284"/>
            <a:ext cx="2568287" cy="548291"/>
          </a:xfrm>
          <a:prstGeom prst="roundRect">
            <a:avLst/>
          </a:prstGeom>
          <a:gradFill flip="none" rotWithShape="1">
            <a:gsLst>
              <a:gs pos="0">
                <a:schemeClr val="accent6">
                  <a:lumMod val="75000"/>
                </a:schemeClr>
              </a:gs>
              <a:gs pos="48000">
                <a:schemeClr val="accent6">
                  <a:lumMod val="60000"/>
                  <a:lumOff val="40000"/>
                </a:schemeClr>
              </a:gs>
              <a:gs pos="100000">
                <a:schemeClr val="accent6">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sp macro="" textlink="">
        <xdr:nvSpPr>
          <xdr:cNvPr id="47" name="Cylindre 46"/>
          <xdr:cNvSpPr/>
        </xdr:nvSpPr>
        <xdr:spPr>
          <a:xfrm>
            <a:off x="4964206" y="6288742"/>
            <a:ext cx="1277470" cy="867895"/>
          </a:xfrm>
          <a:prstGeom prst="can">
            <a:avLst/>
          </a:prstGeom>
        </xdr:spPr>
        <xdr:style>
          <a:lnRef idx="3">
            <a:schemeClr val="lt1"/>
          </a:lnRef>
          <a:fillRef idx="1">
            <a:schemeClr val="accent1"/>
          </a:fillRef>
          <a:effectRef idx="1">
            <a:schemeClr val="accent1"/>
          </a:effectRef>
          <a:fontRef idx="minor">
            <a:schemeClr val="lt1"/>
          </a:fontRef>
        </xdr:style>
        <xdr:txBody>
          <a:bodyPr rtlCol="0" anchor="ctr"/>
          <a:lstStyle/>
          <a:p>
            <a:pPr algn="ctr"/>
            <a:r>
              <a:rPr lang="fr-FR" sz="1000"/>
              <a:t>Feuille</a:t>
            </a:r>
            <a:r>
              <a:rPr lang="fr-FR" sz="1000" baseline="0"/>
              <a:t> ListeES actualisé</a:t>
            </a:r>
            <a:endParaRPr lang="fr-FR" sz="1000"/>
          </a:p>
        </xdr:txBody>
      </xdr:sp>
      <xdr:sp macro="" textlink="">
        <xdr:nvSpPr>
          <xdr:cNvPr id="65" name="Cylindre 64"/>
          <xdr:cNvSpPr/>
        </xdr:nvSpPr>
        <xdr:spPr>
          <a:xfrm>
            <a:off x="3379137" y="6308912"/>
            <a:ext cx="1316691" cy="851647"/>
          </a:xfrm>
          <a:prstGeom prst="can">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fr-FR" sz="1000"/>
              <a:t>Feuille ConfAPI actualisé</a:t>
            </a:r>
          </a:p>
        </xdr:txBody>
      </xdr:sp>
    </xdr:grpSp>
    <xdr:clientData/>
  </xdr:twoCellAnchor>
  <xdr:twoCellAnchor editAs="absolute">
    <xdr:from>
      <xdr:col>4</xdr:col>
      <xdr:colOff>244848</xdr:colOff>
      <xdr:row>49</xdr:row>
      <xdr:rowOff>96931</xdr:rowOff>
    </xdr:from>
    <xdr:to>
      <xdr:col>7</xdr:col>
      <xdr:colOff>54349</xdr:colOff>
      <xdr:row>52</xdr:row>
      <xdr:rowOff>49305</xdr:rowOff>
    </xdr:to>
    <xdr:sp macro="[0]!GenerateAPIView" textlink="">
      <xdr:nvSpPr>
        <xdr:cNvPr id="71" name="Rectangle : coins arrondis 1">
          <a:extLst>
            <a:ext uri="{FF2B5EF4-FFF2-40B4-BE49-F238E27FC236}">
              <a16:creationId xmlns="" xmlns:a16="http://schemas.microsoft.com/office/drawing/2014/main" id="{FC20C1C7-3AD3-4940-9749-0B84A476C784}"/>
            </a:ext>
          </a:extLst>
        </xdr:cNvPr>
        <xdr:cNvSpPr/>
      </xdr:nvSpPr>
      <xdr:spPr>
        <a:xfrm>
          <a:off x="3606613" y="8927166"/>
          <a:ext cx="2330824" cy="49025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twoCellAnchor editAs="absolute">
    <xdr:from>
      <xdr:col>4</xdr:col>
      <xdr:colOff>239804</xdr:colOff>
      <xdr:row>53</xdr:row>
      <xdr:rowOff>119342</xdr:rowOff>
    </xdr:from>
    <xdr:to>
      <xdr:col>7</xdr:col>
      <xdr:colOff>30256</xdr:colOff>
      <xdr:row>56</xdr:row>
      <xdr:rowOff>52667</xdr:rowOff>
    </xdr:to>
    <xdr:sp macro="[0]!GenerateVoiesView" textlink="">
      <xdr:nvSpPr>
        <xdr:cNvPr id="72" name="Rectangle : coins arrondis 2">
          <a:extLst>
            <a:ext uri="{FF2B5EF4-FFF2-40B4-BE49-F238E27FC236}">
              <a16:creationId xmlns="" xmlns:a16="http://schemas.microsoft.com/office/drawing/2014/main" id="{6CE2C21C-FF5F-4F2C-BA8B-9A120A5607A9}"/>
            </a:ext>
          </a:extLst>
        </xdr:cNvPr>
        <xdr:cNvSpPr/>
      </xdr:nvSpPr>
      <xdr:spPr>
        <a:xfrm>
          <a:off x="3601569" y="9666754"/>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twoCellAnchor>
    <xdr:from>
      <xdr:col>4</xdr:col>
      <xdr:colOff>675719</xdr:colOff>
      <xdr:row>22</xdr:row>
      <xdr:rowOff>19398</xdr:rowOff>
    </xdr:from>
    <xdr:to>
      <xdr:col>5</xdr:col>
      <xdr:colOff>630131</xdr:colOff>
      <xdr:row>31</xdr:row>
      <xdr:rowOff>168088</xdr:rowOff>
    </xdr:to>
    <xdr:cxnSp macro="">
      <xdr:nvCxnSpPr>
        <xdr:cNvPr id="83" name="Connecteur en angle 82"/>
        <xdr:cNvCxnSpPr>
          <a:stCxn id="19" idx="2"/>
          <a:endCxn id="65" idx="1"/>
        </xdr:cNvCxnSpPr>
      </xdr:nvCxnSpPr>
      <xdr:spPr>
        <a:xfrm rot="5400000">
          <a:off x="3553742" y="4492434"/>
          <a:ext cx="1762337" cy="79485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675718</xdr:colOff>
      <xdr:row>36</xdr:row>
      <xdr:rowOff>123264</xdr:rowOff>
    </xdr:from>
    <xdr:to>
      <xdr:col>5</xdr:col>
      <xdr:colOff>569819</xdr:colOff>
      <xdr:row>49</xdr:row>
      <xdr:rowOff>96931</xdr:rowOff>
    </xdr:to>
    <xdr:cxnSp macro="">
      <xdr:nvCxnSpPr>
        <xdr:cNvPr id="88" name="Connecteur en angle 87"/>
        <xdr:cNvCxnSpPr>
          <a:stCxn id="65" idx="3"/>
          <a:endCxn id="71" idx="0"/>
        </xdr:cNvCxnSpPr>
      </xdr:nvCxnSpPr>
      <xdr:spPr>
        <a:xfrm rot="16200000" flipH="1">
          <a:off x="3252509" y="7407650"/>
          <a:ext cx="2304490" cy="734542"/>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833092</xdr:colOff>
      <xdr:row>7</xdr:row>
      <xdr:rowOff>11205</xdr:rowOff>
    </xdr:from>
    <xdr:to>
      <xdr:col>9</xdr:col>
      <xdr:colOff>450198</xdr:colOff>
      <xdr:row>16</xdr:row>
      <xdr:rowOff>137348</xdr:rowOff>
    </xdr:to>
    <xdr:cxnSp macro="">
      <xdr:nvCxnSpPr>
        <xdr:cNvPr id="114" name="Connecteur en angle 113"/>
        <xdr:cNvCxnSpPr>
          <a:stCxn id="3" idx="3"/>
          <a:endCxn id="4" idx="0"/>
        </xdr:cNvCxnSpPr>
      </xdr:nvCxnSpPr>
      <xdr:spPr>
        <a:xfrm rot="5400000">
          <a:off x="3436073" y="-451453"/>
          <a:ext cx="2815555" cy="6340636"/>
        </a:xfrm>
        <a:prstGeom prst="bentConnector3">
          <a:avLst>
            <a:gd name="adj1" fmla="val 66607"/>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630131</xdr:colOff>
      <xdr:row>7</xdr:row>
      <xdr:rowOff>11205</xdr:rowOff>
    </xdr:from>
    <xdr:to>
      <xdr:col>9</xdr:col>
      <xdr:colOff>450198</xdr:colOff>
      <xdr:row>19</xdr:row>
      <xdr:rowOff>8988</xdr:rowOff>
    </xdr:to>
    <xdr:cxnSp macro="">
      <xdr:nvCxnSpPr>
        <xdr:cNvPr id="116" name="Connecteur en angle 115"/>
        <xdr:cNvCxnSpPr>
          <a:stCxn id="3" idx="3"/>
          <a:endCxn id="19" idx="0"/>
        </xdr:cNvCxnSpPr>
      </xdr:nvCxnSpPr>
      <xdr:spPr>
        <a:xfrm rot="5400000">
          <a:off x="5348596" y="794828"/>
          <a:ext cx="2149313" cy="3181832"/>
        </a:xfrm>
        <a:prstGeom prst="bentConnector3">
          <a:avLst>
            <a:gd name="adj1" fmla="val 5365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833091</xdr:colOff>
      <xdr:row>19</xdr:row>
      <xdr:rowOff>53345</xdr:rowOff>
    </xdr:from>
    <xdr:to>
      <xdr:col>1</xdr:col>
      <xdr:colOff>837801</xdr:colOff>
      <xdr:row>20</xdr:row>
      <xdr:rowOff>71845</xdr:rowOff>
    </xdr:to>
    <xdr:cxnSp macro="">
      <xdr:nvCxnSpPr>
        <xdr:cNvPr id="129" name="Forme 128"/>
        <xdr:cNvCxnSpPr>
          <a:stCxn id="4" idx="2"/>
          <a:endCxn id="5" idx="0"/>
        </xdr:cNvCxnSpPr>
      </xdr:nvCxnSpPr>
      <xdr:spPr>
        <a:xfrm rot="16200000" flipH="1">
          <a:off x="1576990" y="4139181"/>
          <a:ext cx="197794" cy="471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837801</xdr:colOff>
      <xdr:row>22</xdr:row>
      <xdr:rowOff>157607</xdr:rowOff>
    </xdr:from>
    <xdr:to>
      <xdr:col>2</xdr:col>
      <xdr:colOff>435</xdr:colOff>
      <xdr:row>23</xdr:row>
      <xdr:rowOff>155941</xdr:rowOff>
    </xdr:to>
    <xdr:cxnSp macro="">
      <xdr:nvCxnSpPr>
        <xdr:cNvPr id="132" name="Forme 131"/>
        <xdr:cNvCxnSpPr>
          <a:stCxn id="5" idx="2"/>
          <a:endCxn id="8" idx="0"/>
        </xdr:cNvCxnSpPr>
      </xdr:nvCxnSpPr>
      <xdr:spPr>
        <a:xfrm rot="16200000" flipH="1">
          <a:off x="1590965" y="4772060"/>
          <a:ext cx="177629" cy="307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834490</xdr:colOff>
      <xdr:row>26</xdr:row>
      <xdr:rowOff>89309</xdr:rowOff>
    </xdr:from>
    <xdr:to>
      <xdr:col>2</xdr:col>
      <xdr:colOff>436</xdr:colOff>
      <xdr:row>27</xdr:row>
      <xdr:rowOff>79794</xdr:rowOff>
    </xdr:to>
    <xdr:cxnSp macro="">
      <xdr:nvCxnSpPr>
        <xdr:cNvPr id="135" name="Forme 134"/>
        <xdr:cNvCxnSpPr>
          <a:stCxn id="8" idx="2"/>
          <a:endCxn id="20" idx="0"/>
        </xdr:cNvCxnSpPr>
      </xdr:nvCxnSpPr>
      <xdr:spPr>
        <a:xfrm rot="5400000">
          <a:off x="1593235" y="5415358"/>
          <a:ext cx="169779" cy="6387"/>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828675</xdr:colOff>
      <xdr:row>30</xdr:row>
      <xdr:rowOff>79841</xdr:rowOff>
    </xdr:from>
    <xdr:to>
      <xdr:col>1</xdr:col>
      <xdr:colOff>834489</xdr:colOff>
      <xdr:row>32</xdr:row>
      <xdr:rowOff>28576</xdr:rowOff>
    </xdr:to>
    <xdr:cxnSp macro="">
      <xdr:nvCxnSpPr>
        <xdr:cNvPr id="138" name="Forme 137"/>
        <xdr:cNvCxnSpPr>
          <a:stCxn id="20" idx="2"/>
          <a:endCxn id="79" idx="1"/>
        </xdr:cNvCxnSpPr>
      </xdr:nvCxnSpPr>
      <xdr:spPr>
        <a:xfrm rot="5400000">
          <a:off x="1518361" y="6192125"/>
          <a:ext cx="307324" cy="5814"/>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815602</xdr:colOff>
      <xdr:row>37</xdr:row>
      <xdr:rowOff>2</xdr:rowOff>
    </xdr:from>
    <xdr:to>
      <xdr:col>1</xdr:col>
      <xdr:colOff>828675</xdr:colOff>
      <xdr:row>38</xdr:row>
      <xdr:rowOff>69276</xdr:rowOff>
    </xdr:to>
    <xdr:cxnSp macro="">
      <xdr:nvCxnSpPr>
        <xdr:cNvPr id="141" name="Connecteur en angle 140"/>
        <xdr:cNvCxnSpPr>
          <a:stCxn id="79" idx="3"/>
          <a:endCxn id="45" idx="0"/>
        </xdr:cNvCxnSpPr>
      </xdr:nvCxnSpPr>
      <xdr:spPr>
        <a:xfrm rot="5400000">
          <a:off x="1538296" y="7334337"/>
          <a:ext cx="248568" cy="1307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814669</xdr:colOff>
      <xdr:row>41</xdr:row>
      <xdr:rowOff>41010</xdr:rowOff>
    </xdr:from>
    <xdr:to>
      <xdr:col>1</xdr:col>
      <xdr:colOff>815602</xdr:colOff>
      <xdr:row>43</xdr:row>
      <xdr:rowOff>63314</xdr:rowOff>
    </xdr:to>
    <xdr:cxnSp macro="">
      <xdr:nvCxnSpPr>
        <xdr:cNvPr id="143" name="Forme 142"/>
        <xdr:cNvCxnSpPr>
          <a:stCxn id="45" idx="2"/>
          <a:endCxn id="48" idx="1"/>
        </xdr:cNvCxnSpPr>
      </xdr:nvCxnSpPr>
      <xdr:spPr>
        <a:xfrm rot="5400000">
          <a:off x="1465131" y="8164754"/>
          <a:ext cx="380892" cy="93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814670</xdr:colOff>
      <xdr:row>47</xdr:row>
      <xdr:rowOff>6162</xdr:rowOff>
    </xdr:from>
    <xdr:to>
      <xdr:col>1</xdr:col>
      <xdr:colOff>820830</xdr:colOff>
      <xdr:row>49</xdr:row>
      <xdr:rowOff>112619</xdr:rowOff>
    </xdr:to>
    <xdr:cxnSp macro="">
      <xdr:nvCxnSpPr>
        <xdr:cNvPr id="146" name="Connecteur en angle 145"/>
        <xdr:cNvCxnSpPr>
          <a:stCxn id="48" idx="3"/>
          <a:endCxn id="53" idx="0"/>
        </xdr:cNvCxnSpPr>
      </xdr:nvCxnSpPr>
      <xdr:spPr>
        <a:xfrm rot="16200000" flipH="1">
          <a:off x="1425668" y="8707252"/>
          <a:ext cx="465045" cy="616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630130</xdr:colOff>
      <xdr:row>22</xdr:row>
      <xdr:rowOff>19397</xdr:rowOff>
    </xdr:from>
    <xdr:to>
      <xdr:col>6</xdr:col>
      <xdr:colOff>560294</xdr:colOff>
      <xdr:row>31</xdr:row>
      <xdr:rowOff>147917</xdr:rowOff>
    </xdr:to>
    <xdr:cxnSp macro="">
      <xdr:nvCxnSpPr>
        <xdr:cNvPr id="151" name="Connecteur en angle 150"/>
        <xdr:cNvCxnSpPr>
          <a:stCxn id="19" idx="2"/>
          <a:endCxn id="47" idx="1"/>
        </xdr:cNvCxnSpPr>
      </xdr:nvCxnSpPr>
      <xdr:spPr>
        <a:xfrm rot="16200000" flipH="1">
          <a:off x="4346555" y="4494472"/>
          <a:ext cx="1742167" cy="770605"/>
        </a:xfrm>
        <a:prstGeom prst="bentConnector3">
          <a:avLst>
            <a:gd name="adj1" fmla="val 51286"/>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569819</xdr:colOff>
      <xdr:row>36</xdr:row>
      <xdr:rowOff>119342</xdr:rowOff>
    </xdr:from>
    <xdr:to>
      <xdr:col>6</xdr:col>
      <xdr:colOff>560294</xdr:colOff>
      <xdr:row>49</xdr:row>
      <xdr:rowOff>96931</xdr:rowOff>
    </xdr:to>
    <xdr:cxnSp macro="">
      <xdr:nvCxnSpPr>
        <xdr:cNvPr id="154" name="Connecteur en angle 153"/>
        <xdr:cNvCxnSpPr>
          <a:stCxn id="47" idx="3"/>
          <a:endCxn id="71" idx="0"/>
        </xdr:cNvCxnSpPr>
      </xdr:nvCxnSpPr>
      <xdr:spPr>
        <a:xfrm rot="5400000">
          <a:off x="4033277" y="7357502"/>
          <a:ext cx="2308412" cy="830916"/>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555252</xdr:colOff>
      <xdr:row>52</xdr:row>
      <xdr:rowOff>49304</xdr:rowOff>
    </xdr:from>
    <xdr:to>
      <xdr:col>5</xdr:col>
      <xdr:colOff>569820</xdr:colOff>
      <xdr:row>53</xdr:row>
      <xdr:rowOff>119341</xdr:rowOff>
    </xdr:to>
    <xdr:cxnSp macro="">
      <xdr:nvCxnSpPr>
        <xdr:cNvPr id="245" name="Forme 244"/>
        <xdr:cNvCxnSpPr>
          <a:stCxn id="71" idx="2"/>
          <a:endCxn id="72" idx="0"/>
        </xdr:cNvCxnSpPr>
      </xdr:nvCxnSpPr>
      <xdr:spPr>
        <a:xfrm rot="5400000">
          <a:off x="4640076" y="9534804"/>
          <a:ext cx="249331" cy="14568"/>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345286</xdr:colOff>
      <xdr:row>17</xdr:row>
      <xdr:rowOff>44823</xdr:rowOff>
    </xdr:from>
    <xdr:to>
      <xdr:col>11</xdr:col>
      <xdr:colOff>112060</xdr:colOff>
      <xdr:row>20</xdr:row>
      <xdr:rowOff>157984</xdr:rowOff>
    </xdr:to>
    <xdr:sp macro="[0]!ValidatePreGenDatas_Click" textlink="">
      <xdr:nvSpPr>
        <xdr:cNvPr id="284" name="Rectangle : coins arrondis 3">
          <a:extLst>
            <a:ext uri="{FF2B5EF4-FFF2-40B4-BE49-F238E27FC236}">
              <a16:creationId xmlns="" xmlns:a16="http://schemas.microsoft.com/office/drawing/2014/main" id="{AAA1D87E-3CBC-40AF-91B8-65CD514F3058}"/>
            </a:ext>
          </a:extLst>
        </xdr:cNvPr>
        <xdr:cNvSpPr/>
      </xdr:nvSpPr>
      <xdr:spPr>
        <a:xfrm>
          <a:off x="7068815" y="3137647"/>
          <a:ext cx="2288098" cy="651043"/>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Controler les erreurs de pré-génération</a:t>
          </a:r>
        </a:p>
      </xdr:txBody>
    </xdr:sp>
    <xdr:clientData/>
  </xdr:twoCellAnchor>
  <xdr:twoCellAnchor>
    <xdr:from>
      <xdr:col>3</xdr:col>
      <xdr:colOff>44824</xdr:colOff>
      <xdr:row>7</xdr:row>
      <xdr:rowOff>64993</xdr:rowOff>
    </xdr:from>
    <xdr:to>
      <xdr:col>6</xdr:col>
      <xdr:colOff>15409</xdr:colOff>
      <xdr:row>9</xdr:row>
      <xdr:rowOff>11205</xdr:rowOff>
    </xdr:to>
    <xdr:cxnSp macro="">
      <xdr:nvCxnSpPr>
        <xdr:cNvPr id="63" name="Connecteur en angle 62"/>
        <xdr:cNvCxnSpPr>
          <a:stCxn id="62" idx="2"/>
          <a:endCxn id="36" idx="0"/>
        </xdr:cNvCxnSpPr>
      </xdr:nvCxnSpPr>
      <xdr:spPr>
        <a:xfrm rot="16200000" flipH="1">
          <a:off x="3659701" y="271322"/>
          <a:ext cx="304801" cy="2491908"/>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82551</xdr:colOff>
      <xdr:row>0</xdr:row>
      <xdr:rowOff>95250</xdr:rowOff>
    </xdr:from>
    <xdr:to>
      <xdr:col>0</xdr:col>
      <xdr:colOff>1797051</xdr:colOff>
      <xdr:row>0</xdr:row>
      <xdr:rowOff>596900</xdr:rowOff>
    </xdr:to>
    <xdr:sp macro="" textlink="">
      <xdr:nvSpPr>
        <xdr:cNvPr id="2" name="ZoneTexte 1">
          <a:extLst>
            <a:ext uri="{FF2B5EF4-FFF2-40B4-BE49-F238E27FC236}">
              <a16:creationId xmlns="" xmlns:a16="http://schemas.microsoft.com/office/drawing/2014/main" id="{7D83A815-097C-427F-8950-4C9BF7DA9EA8}"/>
            </a:ext>
          </a:extLst>
        </xdr:cNvPr>
        <xdr:cNvSpPr txBox="1"/>
      </xdr:nvSpPr>
      <xdr:spPr>
        <a:xfrm>
          <a:off x="82551" y="95250"/>
          <a:ext cx="1714500" cy="50165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est</a:t>
          </a:r>
          <a:r>
            <a:rPr lang="fr-FR" sz="1100" baseline="0">
              <a:solidFill>
                <a:schemeClr val="dk1"/>
              </a:solidFill>
              <a:latin typeface="+mn-lt"/>
              <a:ea typeface="+mn-ea"/>
              <a:cs typeface="+mn-cs"/>
            </a:rPr>
            <a:t> limitée à 6 Type de signaux Maximum</a:t>
          </a:r>
          <a:endParaRPr lang="fr-FR" sz="10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47625</xdr:rowOff>
    </xdr:from>
    <xdr:to>
      <xdr:col>5</xdr:col>
      <xdr:colOff>501651</xdr:colOff>
      <xdr:row>0</xdr:row>
      <xdr:rowOff>1431924</xdr:rowOff>
    </xdr:to>
    <xdr:grpSp>
      <xdr:nvGrpSpPr>
        <xdr:cNvPr id="7" name="Groupe 6"/>
        <xdr:cNvGrpSpPr/>
      </xdr:nvGrpSpPr>
      <xdr:grpSpPr>
        <a:xfrm>
          <a:off x="104775" y="47625"/>
          <a:ext cx="4502151" cy="1384299"/>
          <a:chOff x="2708274" y="73026"/>
          <a:chExt cx="4502151" cy="1384299"/>
        </a:xfrm>
      </xdr:grpSpPr>
      <xdr:sp macro="" textlink="">
        <xdr:nvSpPr>
          <xdr:cNvPr id="8" name="Rectangle 7">
            <a:extLst>
              <a:ext uri="{FF2B5EF4-FFF2-40B4-BE49-F238E27FC236}">
                <a16:creationId xmlns="" xmlns:a16="http://schemas.microsoft.com/office/drawing/2014/main" id="{D3E1F1D6-0DDB-BD13-C2C7-690962A4160C}"/>
              </a:ext>
            </a:extLst>
          </xdr:cNvPr>
          <xdr:cNvSpPr/>
        </xdr:nvSpPr>
        <xdr:spPr>
          <a:xfrm>
            <a:off x="2708274" y="73026"/>
            <a:ext cx="4502151" cy="138429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RecalculerReserves_Click" textlink="">
        <xdr:nvSpPr>
          <xdr:cNvPr id="9" name="Rectangle : coins arrondis 3">
            <a:extLst>
              <a:ext uri="{FF2B5EF4-FFF2-40B4-BE49-F238E27FC236}">
                <a16:creationId xmlns="" xmlns:a16="http://schemas.microsoft.com/office/drawing/2014/main" id="{AAA1D87E-3CBC-40AF-91B8-65CD514F3058}"/>
              </a:ext>
            </a:extLst>
          </xdr:cNvPr>
          <xdr:cNvSpPr/>
        </xdr:nvSpPr>
        <xdr:spPr>
          <a:xfrm>
            <a:off x="2768024" y="139895"/>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11"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Calcul des réserves terminée en 20,477 seconde(s)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523872</xdr:colOff>
      <xdr:row>0</xdr:row>
      <xdr:rowOff>85725</xdr:rowOff>
    </xdr:from>
    <xdr:to>
      <xdr:col>11</xdr:col>
      <xdr:colOff>276224</xdr:colOff>
      <xdr:row>0</xdr:row>
      <xdr:rowOff>885825</xdr:rowOff>
    </xdr:to>
    <xdr:sp macro="" textlink="">
      <xdr:nvSpPr>
        <xdr:cNvPr id="2" name="ZoneTexte 1">
          <a:extLst>
            <a:ext uri="{FF2B5EF4-FFF2-40B4-BE49-F238E27FC236}">
              <a16:creationId xmlns="" xmlns:a16="http://schemas.microsoft.com/office/drawing/2014/main" id="{7D83A815-097C-427F-8950-4C9BF7DA9EA8}"/>
            </a:ext>
          </a:extLst>
        </xdr:cNvPr>
        <xdr:cNvSpPr txBox="1"/>
      </xdr:nvSpPr>
      <xdr:spPr>
        <a:xfrm>
          <a:off x="4648197" y="85725"/>
          <a:ext cx="4086227" cy="80010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 est construite</a:t>
          </a:r>
          <a:r>
            <a:rPr lang="fr-FR" sz="1100" baseline="0">
              <a:solidFill>
                <a:schemeClr val="dk1"/>
              </a:solidFill>
              <a:latin typeface="+mn-lt"/>
              <a:ea typeface="+mn-ea"/>
              <a:cs typeface="+mn-cs"/>
            </a:rPr>
            <a:t> dans l'ordre des instances et Signal.</a:t>
          </a:r>
        </a:p>
        <a:p>
          <a:endParaRPr lang="fr-FR" sz="1100" baseline="0">
            <a:solidFill>
              <a:schemeClr val="dk1"/>
            </a:solidFill>
            <a:latin typeface="+mn-lt"/>
            <a:ea typeface="+mn-ea"/>
            <a:cs typeface="+mn-cs"/>
          </a:endParaRPr>
        </a:p>
        <a:p>
          <a:r>
            <a:rPr lang="fr-FR" sz="1000"/>
            <a:t>La colonne "Nom du modele" n'a pas besoin d'être ordonné, seul les signaux du modele doivent être ordonné.</a:t>
          </a:r>
          <a:endParaRPr lang="fr-FR" sz="1000" baseline="0"/>
        </a:p>
      </xdr:txBody>
    </xdr:sp>
    <xdr:clientData/>
  </xdr:twoCellAnchor>
  <xdr:twoCellAnchor>
    <xdr:from>
      <xdr:col>0</xdr:col>
      <xdr:colOff>95250</xdr:colOff>
      <xdr:row>0</xdr:row>
      <xdr:rowOff>85724</xdr:rowOff>
    </xdr:from>
    <xdr:to>
      <xdr:col>3</xdr:col>
      <xdr:colOff>473076</xdr:colOff>
      <xdr:row>0</xdr:row>
      <xdr:rowOff>1562100</xdr:rowOff>
    </xdr:to>
    <xdr:grpSp>
      <xdr:nvGrpSpPr>
        <xdr:cNvPr id="8" name="Groupe 7"/>
        <xdr:cNvGrpSpPr/>
      </xdr:nvGrpSpPr>
      <xdr:grpSpPr>
        <a:xfrm>
          <a:off x="95250" y="85724"/>
          <a:ext cx="4502151" cy="1476376"/>
          <a:chOff x="3810000" y="76199"/>
          <a:chExt cx="4502151" cy="1476376"/>
        </a:xfrm>
      </xdr:grpSpPr>
      <xdr:sp macro="" textlink="">
        <xdr:nvSpPr>
          <xdr:cNvPr id="10" name="Rectangle 9">
            <a:extLst>
              <a:ext uri="{FF2B5EF4-FFF2-40B4-BE49-F238E27FC236}">
                <a16:creationId xmlns="" xmlns:a16="http://schemas.microsoft.com/office/drawing/2014/main" id="{D3E1F1D6-0DDB-BD13-C2C7-690962A4160C}"/>
              </a:ext>
            </a:extLst>
          </xdr:cNvPr>
          <xdr:cNvSpPr/>
        </xdr:nvSpPr>
        <xdr:spPr>
          <a:xfrm>
            <a:off x="3810000" y="76199"/>
            <a:ext cx="4502151" cy="147637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ColorSignaux_Click" textlink="">
        <xdr:nvSpPr>
          <xdr:cNvPr id="13" name="Rectangle : coins arrondis 3">
            <a:extLst>
              <a:ext uri="{FF2B5EF4-FFF2-40B4-BE49-F238E27FC236}">
                <a16:creationId xmlns="" xmlns:a16="http://schemas.microsoft.com/office/drawing/2014/main" id="{B43D806D-E19B-48B2-9534-9DC8555CD7DC}"/>
              </a:ext>
            </a:extLst>
          </xdr:cNvPr>
          <xdr:cNvSpPr/>
        </xdr:nvSpPr>
        <xdr:spPr>
          <a:xfrm>
            <a:off x="5442014" y="152132"/>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sp macro="" textlink="">
        <xdr:nvSpPr>
          <xdr:cNvPr id="14" name="txtProgress"/>
          <xdr:cNvSpPr txBox="1"/>
        </xdr:nvSpPr>
        <xdr:spPr>
          <a:xfrm>
            <a:off x="3949701" y="917574"/>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Coloration des Signaux terminée en 5,633 seconde(s)</a:t>
            </a:r>
          </a:p>
        </xdr:txBody>
      </xdr:sp>
      <xdr:sp macro="[0]!ValidateSignaux_Click" textlink="">
        <xdr:nvSpPr>
          <xdr:cNvPr id="7" name="Rectangle : coins arrondis 3">
            <a:extLst>
              <a:ext uri="{FF2B5EF4-FFF2-40B4-BE49-F238E27FC236}">
                <a16:creationId xmlns="" xmlns:a16="http://schemas.microsoft.com/office/drawing/2014/main" id="{AAA1D87E-3CBC-40AF-91B8-65CD514F3058}"/>
              </a:ext>
            </a:extLst>
          </xdr:cNvPr>
          <xdr:cNvSpPr/>
        </xdr:nvSpPr>
        <xdr:spPr>
          <a:xfrm>
            <a:off x="3943350" y="15240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98424</xdr:colOff>
      <xdr:row>0</xdr:row>
      <xdr:rowOff>63501</xdr:rowOff>
    </xdr:from>
    <xdr:to>
      <xdr:col>5</xdr:col>
      <xdr:colOff>466725</xdr:colOff>
      <xdr:row>0</xdr:row>
      <xdr:rowOff>1466850</xdr:rowOff>
    </xdr:to>
    <xdr:grpSp>
      <xdr:nvGrpSpPr>
        <xdr:cNvPr id="8" name="Groupe 7"/>
        <xdr:cNvGrpSpPr/>
      </xdr:nvGrpSpPr>
      <xdr:grpSpPr>
        <a:xfrm>
          <a:off x="98424" y="63501"/>
          <a:ext cx="4502151" cy="1403349"/>
          <a:chOff x="2708274" y="73026"/>
          <a:chExt cx="4502151" cy="1403349"/>
        </a:xfrm>
      </xdr:grpSpPr>
      <xdr:sp macro="" textlink="">
        <xdr:nvSpPr>
          <xdr:cNvPr id="5" name="Rectangle 4">
            <a:extLst>
              <a:ext uri="{FF2B5EF4-FFF2-40B4-BE49-F238E27FC236}">
                <a16:creationId xmlns="" xmlns:a16="http://schemas.microsoft.com/office/drawing/2014/main" id="{D3E1F1D6-0DDB-BD13-C2C7-690962A4160C}"/>
              </a:ext>
            </a:extLst>
          </xdr:cNvPr>
          <xdr:cNvSpPr/>
        </xdr:nvSpPr>
        <xdr:spPr>
          <a:xfrm>
            <a:off x="2708274" y="73026"/>
            <a:ext cx="4502151" cy="140334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 textlink="">
        <xdr:nvSpPr>
          <xdr:cNvPr id="7"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 la vue APIs terminée.</a:t>
            </a:r>
          </a:p>
        </xdr:txBody>
      </xdr:sp>
      <xdr:sp macro="[0]!ValidateInstances_Click" textlink="">
        <xdr:nvSpPr>
          <xdr:cNvPr id="9" name="Rectangle : coins arrondis 3">
            <a:extLst>
              <a:ext uri="{FF2B5EF4-FFF2-40B4-BE49-F238E27FC236}">
                <a16:creationId xmlns="" xmlns:a16="http://schemas.microsoft.com/office/drawing/2014/main" id="{AAA1D87E-3CBC-40AF-91B8-65CD514F3058}"/>
              </a:ext>
            </a:extLst>
          </xdr:cNvPr>
          <xdr:cNvSpPr/>
        </xdr:nvSpPr>
        <xdr:spPr>
          <a:xfrm>
            <a:off x="2781300" y="13335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76200</xdr:colOff>
      <xdr:row>0</xdr:row>
      <xdr:rowOff>76200</xdr:rowOff>
    </xdr:from>
    <xdr:to>
      <xdr:col>10</xdr:col>
      <xdr:colOff>673101</xdr:colOff>
      <xdr:row>0</xdr:row>
      <xdr:rowOff>1590675</xdr:rowOff>
    </xdr:to>
    <xdr:grpSp>
      <xdr:nvGrpSpPr>
        <xdr:cNvPr id="10" name="Groupe 9"/>
        <xdr:cNvGrpSpPr/>
      </xdr:nvGrpSpPr>
      <xdr:grpSpPr>
        <a:xfrm>
          <a:off x="76200" y="76200"/>
          <a:ext cx="4502151" cy="1514475"/>
          <a:chOff x="1038225" y="76200"/>
          <a:chExt cx="4502151" cy="1514475"/>
        </a:xfrm>
      </xdr:grpSpPr>
      <xdr:sp macro="" textlink="">
        <xdr:nvSpPr>
          <xdr:cNvPr id="8" name="Rectangle 7">
            <a:extLst>
              <a:ext uri="{FF2B5EF4-FFF2-40B4-BE49-F238E27FC236}">
                <a16:creationId xmlns="" xmlns:a16="http://schemas.microsoft.com/office/drawing/2014/main" id="{D3E1F1D6-0DDB-BD13-C2C7-690962A4160C}"/>
              </a:ext>
            </a:extLst>
          </xdr:cNvPr>
          <xdr:cNvSpPr/>
        </xdr:nvSpPr>
        <xdr:spPr>
          <a:xfrm>
            <a:off x="1038225" y="76200"/>
            <a:ext cx="4502151" cy="15144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mValidatePreGenDatas.ValidateListeES_Click" textlink="">
        <xdr:nvSpPr>
          <xdr:cNvPr id="9" name="Rectangle : coins arrondis 3">
            <a:extLst>
              <a:ext uri="{FF2B5EF4-FFF2-40B4-BE49-F238E27FC236}">
                <a16:creationId xmlns="" xmlns:a16="http://schemas.microsoft.com/office/drawing/2014/main" id="{AAA1D87E-3CBC-40AF-91B8-65CD514F3058}"/>
              </a:ext>
            </a:extLst>
          </xdr:cNvPr>
          <xdr:cNvSpPr/>
        </xdr:nvSpPr>
        <xdr:spPr>
          <a:xfrm>
            <a:off x="1117025" y="162119"/>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 textlink="">
        <xdr:nvSpPr>
          <xdr:cNvPr id="14" name="txtProgress"/>
          <xdr:cNvSpPr txBox="1"/>
        </xdr:nvSpPr>
        <xdr:spPr>
          <a:xfrm>
            <a:off x="1114425" y="885825"/>
            <a:ext cx="43148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 1296 ligne(s) terminée(s) en 44,188 seconde(s)</a:t>
            </a:r>
          </a:p>
        </xdr:txBody>
      </xdr:sp>
      <xdr:sp macro="[0]!ColorListeES_Click" textlink="">
        <xdr:nvSpPr>
          <xdr:cNvPr id="16" name="Rectangle : coins arrondis 3">
            <a:extLst>
              <a:ext uri="{FF2B5EF4-FFF2-40B4-BE49-F238E27FC236}">
                <a16:creationId xmlns="" xmlns:a16="http://schemas.microsoft.com/office/drawing/2014/main" id="{B43D806D-E19B-48B2-9534-9DC8555CD7DC}"/>
              </a:ext>
            </a:extLst>
          </xdr:cNvPr>
          <xdr:cNvSpPr/>
        </xdr:nvSpPr>
        <xdr:spPr>
          <a:xfrm>
            <a:off x="2609850" y="171450"/>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114299</xdr:colOff>
      <xdr:row>0</xdr:row>
      <xdr:rowOff>34925</xdr:rowOff>
    </xdr:from>
    <xdr:to>
      <xdr:col>0</xdr:col>
      <xdr:colOff>1374299</xdr:colOff>
      <xdr:row>0</xdr:row>
      <xdr:rowOff>682925</xdr:rowOff>
    </xdr:to>
    <xdr:sp macro="[0]!GenerateAPIView_Click" textlink="">
      <xdr:nvSpPr>
        <xdr:cNvPr id="2" name="Rectangle : coins arrondis 1">
          <a:extLst>
            <a:ext uri="{FF2B5EF4-FFF2-40B4-BE49-F238E27FC236}">
              <a16:creationId xmlns="" xmlns:a16="http://schemas.microsoft.com/office/drawing/2014/main" id="{FC20C1C7-3AD3-4940-9749-0B84A476C784}"/>
            </a:ext>
          </a:extLst>
        </xdr:cNvPr>
        <xdr:cNvSpPr/>
      </xdr:nvSpPr>
      <xdr:spPr>
        <a:xfrm>
          <a:off x="114299" y="34925"/>
          <a:ext cx="1260000" cy="6480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41274</xdr:colOff>
      <xdr:row>0</xdr:row>
      <xdr:rowOff>47623</xdr:rowOff>
    </xdr:from>
    <xdr:to>
      <xdr:col>0</xdr:col>
      <xdr:colOff>1307624</xdr:colOff>
      <xdr:row>0</xdr:row>
      <xdr:rowOff>695623</xdr:rowOff>
    </xdr:to>
    <xdr:sp macro="[0]!GenerateVoiesView_Click" textlink="">
      <xdr:nvSpPr>
        <xdr:cNvPr id="3" name="Rectangle : coins arrondis 2">
          <a:extLst>
            <a:ext uri="{FF2B5EF4-FFF2-40B4-BE49-F238E27FC236}">
              <a16:creationId xmlns="" xmlns:a16="http://schemas.microsoft.com/office/drawing/2014/main" id="{6CE2C21C-FF5F-4F2C-BA8B-9A120A5607A9}"/>
            </a:ext>
          </a:extLst>
        </xdr:cNvPr>
        <xdr:cNvSpPr/>
      </xdr:nvSpPr>
      <xdr:spPr>
        <a:xfrm>
          <a:off x="41274" y="47623"/>
          <a:ext cx="1260000" cy="6480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wsDr>
</file>

<file path=xl/tables/table1.xml><?xml version="1.0" encoding="utf-8"?>
<table xmlns="http://schemas.openxmlformats.org/spreadsheetml/2006/main" id="9" name="Tableau9" displayName="Tableau9" ref="A1:C21" totalsRowShown="0" headerRowDxfId="117" dataDxfId="116">
  <autoFilter ref="A1:C21"/>
  <tableColumns count="3">
    <tableColumn id="4" name="Key" dataDxfId="115"/>
    <tableColumn id="2" name="Valeur" dataDxfId="114"/>
    <tableColumn id="1" name="Description" dataDxfId="113"/>
  </tableColumns>
  <tableStyleInfo name="TableStyleLight9" showFirstColumn="0" showLastColumn="0" showRowStripes="1" showColumnStripes="0"/>
</table>
</file>

<file path=xl/tables/table2.xml><?xml version="1.0" encoding="utf-8"?>
<table xmlns="http://schemas.openxmlformats.org/spreadsheetml/2006/main" id="4" name="Tableau4" displayName="Tableau4" ref="A1:D19" totalsRowShown="0">
  <autoFilter ref="A1:D19"/>
  <tableColumns count="4">
    <tableColumn id="1" name="ID"/>
    <tableColumn id="4" name="EVO" dataDxfId="112" dataCellStyle="Accent4">
      <calculatedColumnFormula>"E"&amp;Tableau4[[#This Row],[ID]]</calculatedColumnFormula>
    </tableColumn>
    <tableColumn id="2" name="Date" dataDxfId="111"/>
    <tableColumn id="3" name="Designation"/>
  </tableColumns>
  <tableStyleInfo name="TableStyleMedium2" showFirstColumn="0" showLastColumn="0" showRowStripes="1" showColumnStripes="0"/>
</table>
</file>

<file path=xl/tables/table3.xml><?xml version="1.0" encoding="utf-8"?>
<table xmlns="http://schemas.openxmlformats.org/spreadsheetml/2006/main" id="6" name="Tableau6" displayName="Tableau6" ref="A1:C7" totalsRowShown="0">
  <autoFilter ref="A1:C7"/>
  <tableColumns count="3">
    <tableColumn id="1" name="TypeSignal"/>
    <tableColumn id="2" name="TS"/>
    <tableColumn id="3" name="Color"/>
  </tableColumns>
  <tableStyleInfo name="TableStyleMedium2" showFirstColumn="0" showLastColumn="0" showRowStripes="1" showColumnStripes="0"/>
</table>
</file>

<file path=xl/tables/table4.xml><?xml version="1.0" encoding="utf-8"?>
<table xmlns="http://schemas.openxmlformats.org/spreadsheetml/2006/main" id="7" name="Tableau7" displayName="Tableau7" ref="A1:V13" totalsRowShown="0">
  <autoFilter ref="A1:V13"/>
  <tableColumns count="22">
    <tableColumn id="1" name="ID-API" dataCellStyle="20 % - Accent5"/>
    <tableColumn id="22" name="Repere" dataCellStyle="Normal"/>
    <tableColumn id="21" name="Nom"/>
    <tableColumn id="20" name="Colors"/>
    <tableColumn id="2" name="TS1" dataDxfId="108" dataCellStyle="40 % - Accent2">
      <calculatedColumnFormula>SUMIFS(Tableau1[TS1],Tableau1[ID-API],Tableau7[[#This Row],[ID-API]])</calculatedColumnFormula>
    </tableColumn>
    <tableColumn id="3" name="TS2" dataDxfId="107" dataCellStyle="40 % - Accent2">
      <calculatedColumnFormula>SUMIFS(Tableau1[TS2],Tableau1[ID-API],Tableau7[[#This Row],[ID-API]])</calculatedColumnFormula>
    </tableColumn>
    <tableColumn id="4" name="TS3" dataDxfId="106" dataCellStyle="40 % - Accent2">
      <calculatedColumnFormula>SUMIFS(Tableau1[TS3],Tableau1[ID-API],Tableau7[[#This Row],[ID-API]])</calculatedColumnFormula>
    </tableColumn>
    <tableColumn id="5" name="TS4" dataDxfId="105" dataCellStyle="40 % - Accent2">
      <calculatedColumnFormula>SUMIFS(Tableau1[TS4],Tableau1[ID-API],Tableau7[[#This Row],[ID-API]])</calculatedColumnFormula>
    </tableColumn>
    <tableColumn id="6" name="TS5" dataDxfId="104" dataCellStyle="40 % - Accent2">
      <calculatedColumnFormula>SUMIFS(Tableau1[TS5],Tableau1[ID-API],Tableau7[[#This Row],[ID-API]])</calculatedColumnFormula>
    </tableColumn>
    <tableColumn id="7" name="TS6" dataDxfId="103" dataCellStyle="40 % - Accent2">
      <calculatedColumnFormula>SUMIFS(Tableau1[TS6],Tableau1[ID-API],Tableau7[[#This Row],[ID-API]])</calculatedColumnFormula>
    </tableColumn>
    <tableColumn id="8" name="TS1-T" dataDxfId="102" dataCellStyle="60 % - Accent2">
      <calculatedColumnFormula>SUMIFS(Tableau1[TS1-T],Tableau1[ID-API],Tableau7[[#This Row],[ID-API]])</calculatedColumnFormula>
    </tableColumn>
    <tableColumn id="9" name="TS2-T" dataDxfId="101" dataCellStyle="60 % - Accent2">
      <calculatedColumnFormula>SUMIFS(Tableau1[TS2-T],Tableau1[ID-API],Tableau7[[#This Row],[ID-API]])</calculatedColumnFormula>
    </tableColumn>
    <tableColumn id="10" name="TS3-T" dataDxfId="100" dataCellStyle="60 % - Accent2">
      <calculatedColumnFormula>SUMIFS(Tableau1[TS3-T],Tableau1[ID-API],Tableau7[[#This Row],[ID-API]])</calculatedColumnFormula>
    </tableColumn>
    <tableColumn id="11" name="TS4-T" dataDxfId="99" dataCellStyle="60 % - Accent2">
      <calculatedColumnFormula>SUMIFS(Tableau1[TS4-T],Tableau1[ID-API],Tableau7[[#This Row],[ID-API]])</calculatedColumnFormula>
    </tableColumn>
    <tableColumn id="12" name="TS5-T" dataDxfId="98" dataCellStyle="60 % - Accent2">
      <calculatedColumnFormula>SUMIFS(Tableau1[TS5-T],Tableau1[ID-API],Tableau7[[#This Row],[ID-API]])</calculatedColumnFormula>
    </tableColumn>
    <tableColumn id="13" name="TS6-T" dataDxfId="97" dataCellStyle="60 % - Accent2">
      <calculatedColumnFormula>SUMIFS(Tableau1[TS6-T],Tableau1[ID-API],Tableau7[[#This Row],[ID-API]])</calculatedColumnFormula>
    </tableColumn>
    <tableColumn id="14" name="TS1%" dataDxfId="96" dataCellStyle="Accent2">
      <calculatedColumnFormula>IFERROR(Tableau7[[#This Row],[TS1]]/Tableau7[[#This Row],[TS1-T]],"")</calculatedColumnFormula>
    </tableColumn>
    <tableColumn id="15" name="TS2%" dataDxfId="95" dataCellStyle="Accent2">
      <calculatedColumnFormula>IFERROR(Tableau7[[#This Row],[TS2]]/Tableau7[[#This Row],[TS2-T]],"")</calculatedColumnFormula>
    </tableColumn>
    <tableColumn id="16" name="TS3%" dataDxfId="94" dataCellStyle="Accent2">
      <calculatedColumnFormula>IFERROR(Tableau7[[#This Row],[TS3]]/Tableau7[[#This Row],[TS3-T]],"")</calculatedColumnFormula>
    </tableColumn>
    <tableColumn id="17" name="TS4%" dataDxfId="93" dataCellStyle="Accent2">
      <calculatedColumnFormula>IFERROR(Tableau7[[#This Row],[TS4]]/Tableau7[[#This Row],[TS4-T]],"")</calculatedColumnFormula>
    </tableColumn>
    <tableColumn id="18" name="TS5%" dataDxfId="92" dataCellStyle="Accent2">
      <calculatedColumnFormula>IFERROR(Tableau7[[#This Row],[TS5]]/Tableau7[[#This Row],[TS5-T]],"")</calculatedColumnFormula>
    </tableColumn>
    <tableColumn id="19" name="TS6%" dataDxfId="91" dataCellStyle="Accent2">
      <calculatedColumnFormula>IFERROR(Tableau7[[#This Row],[TS6]]/Tableau7[[#This Row],[TS6-T]],"")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 name="Tableau1" displayName="Tableau1" ref="A1:Z146" totalsRowShown="0">
  <autoFilter ref="A1:Z146"/>
  <tableColumns count="26">
    <tableColumn id="3" name="ID-API" dataCellStyle="20 % - Accent5"/>
    <tableColumn id="25" name="Repere_API" dataDxfId="88" dataCellStyle="Accent4">
      <calculatedColumnFormula>INDEX(Tableau7[Repere],MATCH(Tableau1[[#This Row],[ID-API]],Tableau7[ID-API],0))&amp;""</calculatedColumnFormula>
    </tableColumn>
    <tableColumn id="4" name="ID-RACK" dataCellStyle="20 % - Accent5"/>
    <tableColumn id="26" name="Repere-Rack" dataDxfId="87" dataCellStyle="Normal">
      <calculatedColumnFormula>"R" &amp; Tableau1[[#This Row],[ID-RACK]]</calculatedColumnFormula>
    </tableColumn>
    <tableColumn id="5" name="ID-SLOT" dataCellStyle="20 % - Accent5"/>
    <tableColumn id="24" name="Repere-Slot" dataCellStyle="Normal">
      <calculatedColumnFormula>"S" &amp; Tableau1[[#This Row],[ID-SLOT]]</calculatedColumnFormula>
    </tableColumn>
    <tableColumn id="1" name="ID-RRS" dataDxfId="86" dataCellStyle="Vérification">
      <calculatedColumnFormula>Tableau1[[#This Row],[ID-API]]&amp; "." &amp;Tableau1[[#This Row],[ID-RACK]]&amp; "." &amp;Tableau1[[#This Row],[ID-SLOT]]</calculatedColumnFormula>
    </tableColumn>
    <tableColumn id="2" name="Ref-Carte"/>
    <tableColumn id="6" name="TS1" dataCellStyle="40 % - Accent2"/>
    <tableColumn id="7" name="TS2" dataCellStyle="40 % - Accent2"/>
    <tableColumn id="8" name="TS3" dataCellStyle="40 % - Accent2"/>
    <tableColumn id="9" name="TS4" dataCellStyle="40 % - Accent2"/>
    <tableColumn id="10" name="TS5" dataCellStyle="40 % - Accent2"/>
    <tableColumn id="11" name="TS6" dataCellStyle="40 % - Accent2"/>
    <tableColumn id="12" name="TS1-T" dataDxfId="85" dataCellStyle="60 % - Accent2">
      <calculatedColumnFormula>COUNTIFS(Tableau2[Ref-Carte],Tableau1[[#This Row],[Ref-Carte]],Tableau2[TS],INDEX(Tableau6[TS],COLUMN()-COLUMN(Tableau1[[#All],[TS1-T]])+1))</calculatedColumnFormula>
    </tableColumn>
    <tableColumn id="13" name="TS2-T" dataDxfId="84" dataCellStyle="60 % - Accent2">
      <calculatedColumnFormula>COUNTIFS(Tableau2[Ref-Carte],Tableau1[[#This Row],[Ref-Carte]],Tableau2[TS],INDEX(Tableau6[TS],COLUMN()-COLUMN(Tableau1[[#All],[TS1-T]])+1))</calculatedColumnFormula>
    </tableColumn>
    <tableColumn id="14" name="TS3-T" dataDxfId="83" dataCellStyle="60 % - Accent2">
      <calculatedColumnFormula>COUNTIFS(Tableau2[Ref-Carte],Tableau1[[#This Row],[Ref-Carte]],Tableau2[TS],INDEX(Tableau6[TS],COLUMN()-COLUMN(Tableau1[[#All],[TS1-T]])+1))</calculatedColumnFormula>
    </tableColumn>
    <tableColumn id="15" name="TS4-T" dataDxfId="82" dataCellStyle="60 % - Accent2">
      <calculatedColumnFormula>COUNTIFS(Tableau2[Ref-Carte],Tableau1[[#This Row],[Ref-Carte]],Tableau2[TS],INDEX(Tableau6[TS],COLUMN()-COLUMN(Tableau1[[#All],[TS1-T]])+1))</calculatedColumnFormula>
    </tableColumn>
    <tableColumn id="16" name="TS5-T" dataDxfId="81" dataCellStyle="60 % - Accent2">
      <calculatedColumnFormula>COUNTIFS(Tableau2[Ref-Carte],Tableau1[[#This Row],[Ref-Carte]],Tableau2[TS],INDEX(Tableau6[TS],COLUMN()-COLUMN(Tableau1[[#All],[TS1-T]])+1))</calculatedColumnFormula>
    </tableColumn>
    <tableColumn id="17" name="TS6-T" dataDxfId="80" dataCellStyle="60 % - Accent2">
      <calculatedColumnFormula>COUNTIFS(Tableau2[Ref-Carte],Tableau1[[#This Row],[Ref-Carte]],Tableau2[TS],INDEX(Tableau6[TS],COLUMN()-COLUMN(Tableau1[[#All],[TS1-T]])+1))</calculatedColumnFormula>
    </tableColumn>
    <tableColumn id="18" name="TS1%" dataDxfId="79" dataCellStyle="Accent2">
      <calculatedColumnFormula>IFERROR(Tableau1[[#This Row],[TS1]]/Tableau1[[#This Row],[TS1-T]],"")</calculatedColumnFormula>
    </tableColumn>
    <tableColumn id="19" name="TS2%" dataDxfId="78" dataCellStyle="Accent2">
      <calculatedColumnFormula>IFERROR(Tableau1[[#This Row],[TS2]]/Tableau1[[#This Row],[TS2-T]],"")</calculatedColumnFormula>
    </tableColumn>
    <tableColumn id="20" name="TS3%" dataDxfId="77" dataCellStyle="Accent2">
      <calculatedColumnFormula>IFERROR(Tableau1[[#This Row],[TS3]]/Tableau1[[#This Row],[TS3-T]],"")</calculatedColumnFormula>
    </tableColumn>
    <tableColumn id="21" name="TS4%" dataDxfId="76" dataCellStyle="Accent2">
      <calculatedColumnFormula>IFERROR(Tableau1[[#This Row],[TS4]]/Tableau1[[#This Row],[TS4-T]],"")</calculatedColumnFormula>
    </tableColumn>
    <tableColumn id="22" name="TS5%" dataDxfId="75" dataCellStyle="Accent2">
      <calculatedColumnFormula>IFERROR(Tableau1[[#This Row],[TS5]]/Tableau1[[#This Row],[TS5-T]],"")</calculatedColumnFormula>
    </tableColumn>
    <tableColumn id="23" name="TS6%" dataDxfId="74" dataCellStyle="Accent2">
      <calculatedColumnFormula>IFERROR(Tableau1[[#This Row],[TS6]]/Tableau1[[#This Row],[TS6-T]],"")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2" name="Tableau2" displayName="Tableau2" ref="A1:F33" totalsRowShown="0">
  <autoFilter ref="A1:F33"/>
  <tableColumns count="6">
    <tableColumn id="2" name="Ref-Carte"/>
    <tableColumn id="3" name="ID-Voie" dataCellStyle="20 % - Accent5"/>
    <tableColumn id="5" name="Repere-Voie" dataDxfId="73" dataCellStyle="Normal">
      <calculatedColumnFormula xml:space="preserve"> "v" &amp; Tableau2[[#This Row],[ID-Voie]]</calculatedColumnFormula>
    </tableColumn>
    <tableColumn id="7" name="TS" dataCellStyle="Normal"/>
    <tableColumn id="1" name="ID-CARTEVOIE" dataDxfId="72" dataCellStyle="Accent4">
      <calculatedColumnFormula>Tableau2[[#This Row],[Ref-Carte]]&amp;"/"&amp;Tableau2[[#This Row],[ID-Voie]]</calculatedColumnFormula>
    </tableColumn>
    <tableColumn id="4" name="Borne"/>
  </tableColumns>
  <tableStyleInfo name="TableStyleMedium2" showFirstColumn="0" showLastColumn="0" showRowStripes="1" showColumnStripes="0"/>
</table>
</file>

<file path=xl/tables/table7.xml><?xml version="1.0" encoding="utf-8"?>
<table xmlns="http://schemas.openxmlformats.org/spreadsheetml/2006/main" id="5" name="Tableau5" displayName="Tableau5" ref="A1:N326" totalsRowShown="0" headerRowDxfId="71" dataDxfId="70">
  <autoFilter ref="A1:N326">
    <filterColumn colId="11"/>
  </autoFilter>
  <tableColumns count="14">
    <tableColumn id="9" name="ID" dataDxfId="69" dataCellStyle="60 % - Accent5"/>
    <tableColumn id="1" name="Nom du modele" dataDxfId="68"/>
    <tableColumn id="2" name="Description" dataDxfId="67"/>
    <tableColumn id="4" name="Att1" dataDxfId="66"/>
    <tableColumn id="12" name="Att2" dataDxfId="65"/>
    <tableColumn id="13" name="Att3" dataDxfId="64"/>
    <tableColumn id="11" name="Color" dataDxfId="63"/>
    <tableColumn id="5" name="API-P" dataDxfId="62"/>
    <tableColumn id="6" name="API-S" dataDxfId="61"/>
    <tableColumn id="7" name="Color_TS" dataDxfId="60"/>
    <tableColumn id="8" name="TS" dataDxfId="59" dataCellStyle="Accent4">
      <calculatedColumnFormula>INDEX(Tableau6[TS],MATCH(Tableau5[[#This Row],[Type Signal]],Tableau6[TypeSignal],0))&amp;""</calculatedColumnFormula>
    </tableColumn>
    <tableColumn id="14" name="Reserve" dataDxfId="58" dataCellStyle="Accent4"/>
    <tableColumn id="10" name="Erreur" dataDxfId="57" dataCellStyle="Entrée"/>
    <tableColumn id="3" name="Type Signal" dataDxfId="56" dataCellStyle="Vérification"/>
  </tableColumns>
  <tableStyleInfo name="TableStyleMedium2" showFirstColumn="0" showLastColumn="0" showRowStripes="1" showColumnStripes="0"/>
</table>
</file>

<file path=xl/tables/table8.xml><?xml version="1.0" encoding="utf-8"?>
<table xmlns="http://schemas.openxmlformats.org/spreadsheetml/2006/main" id="8" name="Tableau8" displayName="Tableau8" ref="A1:I502" totalsRowShown="0" headerRowDxfId="55" dataDxfId="54">
  <autoFilter ref="A1:I502"/>
  <tableColumns count="9">
    <tableColumn id="13" name="ID" dataDxfId="53" dataCellStyle="Accent5"/>
    <tableColumn id="2" name="Nom du modele" dataDxfId="52"/>
    <tableColumn id="5" name="ID-API-P" dataDxfId="51"/>
    <tableColumn id="6" name="ID-API-S" dataDxfId="50"/>
    <tableColumn id="3" name="Att1" dataDxfId="49"/>
    <tableColumn id="1" name="Att2" dataDxfId="48"/>
    <tableColumn id="10" name="Att3" dataDxfId="47"/>
    <tableColumn id="4" name="Color" dataDxfId="46"/>
    <tableColumn id="14" name="Erreur" dataDxfId="45" dataCellStyle="Entrée"/>
  </tableColumns>
  <tableStyleInfo name="TableStyleMedium2" showFirstColumn="0" showLastColumn="0" showRowStripes="1" showColumnStripes="0"/>
</table>
</file>

<file path=xl/tables/table9.xml><?xml version="1.0" encoding="utf-8"?>
<table xmlns="http://schemas.openxmlformats.org/spreadsheetml/2006/main" id="3" name="Tableau3" displayName="Tableau3" ref="A1:AO1433" totalsRowShown="0" headerRowDxfId="43" dataDxfId="42" tableBorderDxfId="41" headerRowCellStyle="Vérification" dataCellStyle="Vérification">
  <autoFilter ref="A1:AO1433">
    <filterColumn colId="27"/>
    <filterColumn colId="34"/>
    <filterColumn colId="35"/>
    <filterColumn colId="36"/>
  </autoFilter>
  <sortState ref="A2:AN1433">
    <sortCondition ref="U1:U1433"/>
  </sortState>
  <tableColumns count="41">
    <tableColumn id="39" name="EVO" dataDxfId="40"/>
    <tableColumn id="40" name="EVO-DATE" dataDxfId="39">
      <calculatedColumnFormula>IFERROR(INDEX(Tableau4[Date],MATCH($A2,Tableau4[EVO],0)),"")</calculatedColumnFormula>
    </tableColumn>
    <tableColumn id="41" name="EVO-DESIGN" dataDxfId="38">
      <calculatedColumnFormula>IFERROR(INDEX(Tableau4[Designation],MATCH($A2,Tableau4[EVO],0)),"")</calculatedColumnFormula>
    </tableColumn>
    <tableColumn id="1" name="A Faire" dataDxfId="37"/>
    <tableColumn id="35" name="ID-INS" dataDxfId="36" dataCellStyle="Accent5"/>
    <tableColumn id="37" name="ID-SIG" dataDxfId="35" dataCellStyle="40 % - Accent5"/>
    <tableColumn id="43" name="Att1-Ins" dataDxfId="34" dataCellStyle="40 % - Accent3">
      <calculatedColumnFormula>INDEX(Tableau8[Att1],MATCH(Tableau3[[#This Row],[ID-INS]],Tableau8[ID],0))&amp;""</calculatedColumnFormula>
    </tableColumn>
    <tableColumn id="44" name="Att2-Ins" dataDxfId="33" dataCellStyle="40 % - Accent3">
      <calculatedColumnFormula>INDEX(Tableau8[Att2],MATCH(Tableau3[[#This Row],[ID-INS]],Tableau8[ID],0))&amp;""</calculatedColumnFormula>
    </tableColumn>
    <tableColumn id="45" name="Att3-Ins" dataDxfId="32" dataCellStyle="40 % - Accent3">
      <calculatedColumnFormula>INDEX(Tableau8[Att3],MATCH(Tableau3[[#This Row],[ID-INS]],Tableau8[ID],0))&amp;""</calculatedColumnFormula>
    </tableColumn>
    <tableColumn id="42" name="Colonne1" dataDxfId="31" dataCellStyle="40 % - Accent3"/>
    <tableColumn id="46" name="Nom du modele" dataDxfId="30">
      <calculatedColumnFormula>INDEX(Tableau8[Nom du modele],MATCH(Tableau3[[#This Row],[ID-INS]],Tableau8[ID],0))&amp;""</calculatedColumnFormula>
    </tableColumn>
    <tableColumn id="47" name="Att1-Sig" dataDxfId="29" dataCellStyle="40 % - Accent4">
      <calculatedColumnFormula>INDEX(Tableau5[Att1],MATCH(Tableau3[[#This Row],[ID-SIG]],Tableau5[ID],0))&amp;""</calculatedColumnFormula>
    </tableColumn>
    <tableColumn id="6" name="Att2-Sig" dataDxfId="28" dataCellStyle="40 % - Accent4">
      <calculatedColumnFormula>INDEX(Tableau5[Att2],MATCH(Tableau3[[#This Row],[ID-SIG]],Tableau5[ID],0))&amp;""</calculatedColumnFormula>
    </tableColumn>
    <tableColumn id="7" name="Att3-Sig" dataDxfId="27" dataCellStyle="40 % - Accent4">
      <calculatedColumnFormula>INDEX(Tableau5[Att3],MATCH(Tableau3[[#This Row],[ID-SIG]],Tableau5[ID],0))&amp;""</calculatedColumnFormula>
    </tableColumn>
    <tableColumn id="49" name="Colonne2" dataDxfId="26" dataCellStyle="40 % - Accent4"/>
    <tableColumn id="2" name="Description" dataDxfId="25" dataCellStyle="40 % - Accent4">
      <calculatedColumnFormula>INDEX(Tableau5[Description],MATCH(Tableau3[[#This Row],[ID-SIG]],Tableau5[ID],0))</calculatedColumnFormula>
    </tableColumn>
    <tableColumn id="50" name="Colonne3" dataDxfId="24" dataCellStyle="40 % - Accent4"/>
    <tableColumn id="48" name="Libelle" dataDxfId="23" dataCellStyle="Accent4">
      <calculatedColumnFormula>Tableau3[[#This Row],[Description]]</calculatedColumnFormula>
    </tableColumn>
    <tableColumn id="5" name="Color_Ins" dataDxfId="22"/>
    <tableColumn id="3" name="Color_Sig" dataDxfId="21"/>
    <tableColumn id="53" name="ID-API" dataDxfId="20" dataCellStyle="20 % - Accent5"/>
    <tableColumn id="54" name="ID-RACK" dataDxfId="19" dataCellStyle="20 % - Accent5"/>
    <tableColumn id="55" name="ID-SLOT" dataDxfId="18" dataCellStyle="20 % - Accent5"/>
    <tableColumn id="56" name="ID-VOIE" dataDxfId="17" dataCellStyle="20 % - Accent5"/>
    <tableColumn id="4" name="Color_TS" dataDxfId="16"/>
    <tableColumn id="57" name="TS" dataDxfId="15" dataCellStyle="40 % - Accent2">
      <calculatedColumnFormula>INDEX(Tableau2[TS],MATCH(Tableau3[[#This Row],[ID-CARTEVOIE]],Tableau2[ID-CARTEVOIE],0))</calculatedColumnFormula>
    </tableColumn>
    <tableColumn id="58" name="Forcé" dataDxfId="14"/>
    <tableColumn id="14" name="Reserve" dataDxfId="13">
      <calculatedColumnFormula>IFERROR(INDEX(Tableau5[Reserve],MATCH(Tableau3[[#This Row],[ID-SIG]],Tableau5[ID],0))&amp;"","")</calculatedColumnFormula>
    </tableColumn>
    <tableColumn id="59" name="Erreur" dataDxfId="12" dataCellStyle="Entrée"/>
    <tableColumn id="8" name="Repere-API" dataDxfId="11" dataCellStyle="Accent4">
      <calculatedColumnFormula>INDEX(Tableau7[Repere],MATCH(Tableau3[[#This Row],[ID-API]],Tableau7[ID-API],0))&amp;""</calculatedColumnFormula>
    </tableColumn>
    <tableColumn id="11" name="Repere-Rack" dataDxfId="10" dataCellStyle="Accent4">
      <calculatedColumnFormula>INDEX(Tableau1[Repere-Rack],MATCH(Tableau3[[#This Row],[ID-RACK]],Tableau1[ID-RACK],0))&amp;""</calculatedColumnFormula>
    </tableColumn>
    <tableColumn id="9" name="Repere-Slot" dataDxfId="9" dataCellStyle="Accent4">
      <calculatedColumnFormula>INDEX(Tableau1[Repere-Slot],MATCH(Tableau3[[#This Row],[ID-SLOT]],Tableau1[ID-SLOT],0))&amp;""</calculatedColumnFormula>
    </tableColumn>
    <tableColumn id="10" name="Repere-Voie" dataDxfId="8" dataCellStyle="Accent4">
      <calculatedColumnFormula>INDEX(Tableau2[Repere-Voie],MATCH(Tableau3[[#This Row],[ID-VOIE]],Tableau2[ID-Voie],0))&amp;""</calculatedColumnFormula>
    </tableColumn>
    <tableColumn id="24" name="ID-RRS" dataDxfId="7" dataCellStyle="Vérification">
      <calculatedColumnFormula>Tableau3[[#This Row],[ID-API]]&amp; "." &amp;Tableau3[[#This Row],[ID-RACK]]&amp; "." &amp;Tableau3[[#This Row],[ID-SLOT]]</calculatedColumnFormula>
    </tableColumn>
    <tableColumn id="12" name="Ref-Carte2" dataDxfId="6" dataCellStyle="Vérification">
      <calculatedColumnFormula>INDEX(Tableau1[Ref-Carte],MATCH(Tableau3[[#This Row],[ID-RRS]],Tableau1[ID-RRS],0))</calculatedColumnFormula>
    </tableColumn>
    <tableColumn id="13" name="TS2" dataDxfId="5" dataCellStyle="Vérification">
      <calculatedColumnFormula array="1">IFERROR(INDEX(Tableau2[TS],MATCH(1,(Tableau2[Ref-Carte]=Tableau3[[#This Row],[Ref-Carte2]])*(Tableau2[ID-Voie]=Tableau3[[#This Row],[ID-VOIE]]),0)),"")</calculatedColumnFormula>
    </tableColumn>
    <tableColumn id="31" name="TS3" dataDxfId="4" dataCellStyle="Vérification">
      <calculatedColumnFormula>IFERROR(INDEX(Tableau2[TS],SUMPRODUCT((Tableau2[Ref-Carte]=Tableau3[[#This Row],[Ref-Carte2]])*(Tableau2[ID-Voie]=Tableau3[[#This Row],[ID-VOIE]])*ROW(Tableau2[TS]))-ROW(Tableau2[#Headers])),"")</calculatedColumnFormula>
    </tableColumn>
    <tableColumn id="26" name="ID-CARTEVOIE" dataDxfId="3" dataCellStyle="Vérification">
      <calculatedColumnFormula>Tableau3[[#This Row],[Ref-Carte2]]&amp;"/"&amp;Tableau3[[#This Row],[ID-VOIE]]</calculatedColumnFormula>
    </tableColumn>
    <tableColumn id="27" name="BORNE" dataDxfId="2" dataCellStyle="Vérification">
      <calculatedColumnFormula>INDEX(Tableau2[Borne],MATCH(Tableau3[[#This Row],[ID-CARTEVOIE]],Tableau2[ID-CARTEVOIE],0))&amp;""</calculatedColumnFormula>
    </tableColumn>
    <tableColumn id="28" name="RRSB" dataDxfId="1">
      <calculatedColumnFormula>Tableau3[[#This Row],[ID-API]]&amp;Tableau3[[#This Row],[ID-RACK]]&amp;Tableau3[[#This Row],[ID-SLOT]]&amp;Tableau3[[#This Row],[BORNE]]</calculatedColumnFormula>
    </tableColumn>
    <tableColumn id="38" name="Commentaires" dataDxfId="0" dataCellStyle="Normal"/>
  </tableColumns>
  <tableStyleInfo name="TableStyleLight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sheetPr codeName="Feuil1"/>
  <dimension ref="A1"/>
  <sheetViews>
    <sheetView workbookViewId="0">
      <selection sqref="A1:XFD5"/>
    </sheetView>
  </sheetViews>
  <sheetFormatPr baseColWidth="10" defaultRowHeight="14.25"/>
  <cols>
    <col min="1" max="1" width="21.125" customWidth="1"/>
    <col min="2" max="2" width="34.125" bestFit="1" customWidth="1"/>
    <col min="3" max="3" width="27.125" bestFit="1" customWidth="1"/>
    <col min="4" max="4" width="26.125" bestFit="1" customWidth="1"/>
    <col min="5" max="5" width="20" bestFit="1" customWidth="1"/>
    <col min="6" max="6" width="21" bestFit="1" customWidth="1"/>
    <col min="7" max="7" width="16" bestFit="1" customWidth="1"/>
    <col min="8" max="9" width="15" bestFit="1" customWidth="1"/>
    <col min="10" max="10" width="15.125" bestFit="1" customWidth="1"/>
    <col min="11" max="11" width="4.125" bestFit="1" customWidth="1"/>
    <col min="12" max="12" width="20.875" bestFit="1" customWidth="1"/>
    <col min="13" max="13" width="13.125" bestFit="1" customWidth="1"/>
    <col min="14" max="14" width="8.875" bestFit="1" customWidth="1"/>
    <col min="15" max="15" width="9.125" bestFit="1" customWidth="1"/>
    <col min="16" max="16" width="17.125" bestFit="1" customWidth="1"/>
    <col min="17" max="17" width="14.125" bestFit="1" customWidth="1"/>
    <col min="18" max="18" width="14.87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euil3">
    <tabColor rgb="FFFFFF00"/>
    <pageSetUpPr fitToPage="1"/>
  </sheetPr>
  <dimension ref="A1:M37"/>
  <sheetViews>
    <sheetView zoomScaleSheetLayoutView="115" workbookViewId="0">
      <selection activeCell="A12" sqref="A12"/>
    </sheetView>
  </sheetViews>
  <sheetFormatPr baseColWidth="10" defaultRowHeight="14.25"/>
  <cols>
    <col min="1" max="1" width="37.875" customWidth="1"/>
    <col min="2" max="2" width="1.875" customWidth="1"/>
    <col min="3" max="3" width="9" customWidth="1"/>
    <col min="4" max="4" width="1.5" customWidth="1"/>
    <col min="5" max="5" width="10.125" customWidth="1"/>
    <col min="6" max="6" width="16.5" customWidth="1"/>
    <col min="7" max="7" width="14.5" customWidth="1"/>
    <col min="8" max="8" width="1.875" customWidth="1"/>
    <col min="9" max="9" width="17.125" customWidth="1"/>
    <col min="10" max="10" width="1.875" customWidth="1"/>
    <col min="11" max="11" width="13.5" customWidth="1"/>
    <col min="12" max="12" width="1.875" customWidth="1"/>
    <col min="13" max="13" width="14.5" customWidth="1"/>
  </cols>
  <sheetData>
    <row r="1" spans="1:13" ht="28.5" customHeight="1">
      <c r="A1" s="247" t="s">
        <v>403</v>
      </c>
      <c r="B1" s="248"/>
      <c r="C1" s="248"/>
      <c r="D1" s="248"/>
      <c r="E1" s="248"/>
      <c r="F1" s="248"/>
    </row>
    <row r="3" spans="1:13">
      <c r="A3" s="9" t="s">
        <v>43</v>
      </c>
      <c r="B3" s="9" t="s">
        <v>254</v>
      </c>
      <c r="C3" s="9" t="s">
        <v>331</v>
      </c>
      <c r="D3" s="19" t="s">
        <v>275</v>
      </c>
      <c r="E3" s="19" t="s">
        <v>336</v>
      </c>
      <c r="F3" s="9" t="s">
        <v>332</v>
      </c>
      <c r="G3" s="9" t="s">
        <v>333</v>
      </c>
      <c r="H3" s="9" t="s">
        <v>254</v>
      </c>
      <c r="I3" s="9" t="s">
        <v>44</v>
      </c>
      <c r="J3" s="9" t="s">
        <v>254</v>
      </c>
      <c r="K3" s="9" t="s">
        <v>334</v>
      </c>
      <c r="L3" s="9" t="s">
        <v>254</v>
      </c>
      <c r="M3" s="9" t="s">
        <v>31</v>
      </c>
    </row>
    <row r="4" spans="1:13">
      <c r="A4" s="1" t="s">
        <v>337</v>
      </c>
      <c r="B4" s="1" t="s">
        <v>254</v>
      </c>
      <c r="C4" s="1" t="s">
        <v>338</v>
      </c>
      <c r="D4" s="18" t="s">
        <v>275</v>
      </c>
      <c r="E4" s="18">
        <v>1</v>
      </c>
      <c r="F4" s="1" t="s">
        <v>33</v>
      </c>
      <c r="G4" s="1" t="s">
        <v>335</v>
      </c>
      <c r="H4" s="1" t="s">
        <v>254</v>
      </c>
      <c r="I4" s="1" t="s">
        <v>339</v>
      </c>
      <c r="J4" s="1" t="s">
        <v>254</v>
      </c>
      <c r="K4" s="1" t="s">
        <v>387</v>
      </c>
      <c r="L4" s="1" t="s">
        <v>254</v>
      </c>
      <c r="M4" s="1" t="s">
        <v>225</v>
      </c>
    </row>
    <row r="5" spans="1:13">
      <c r="A5" s="1" t="s">
        <v>340</v>
      </c>
      <c r="B5" s="1" t="s">
        <v>254</v>
      </c>
      <c r="C5" s="1" t="s">
        <v>341</v>
      </c>
      <c r="D5" s="18" t="s">
        <v>275</v>
      </c>
      <c r="E5" s="1">
        <v>2</v>
      </c>
      <c r="F5" s="1" t="s">
        <v>34</v>
      </c>
      <c r="G5" s="1" t="s">
        <v>216</v>
      </c>
      <c r="H5" s="1" t="s">
        <v>254</v>
      </c>
      <c r="I5" s="1" t="s">
        <v>342</v>
      </c>
      <c r="J5" s="1" t="s">
        <v>254</v>
      </c>
      <c r="K5" s="1" t="s">
        <v>386</v>
      </c>
      <c r="L5" s="1" t="s">
        <v>254</v>
      </c>
      <c r="M5" s="1" t="s">
        <v>287</v>
      </c>
    </row>
    <row r="6" spans="1:13">
      <c r="A6" s="1" t="s">
        <v>343</v>
      </c>
      <c r="B6" s="1" t="s">
        <v>254</v>
      </c>
      <c r="C6" s="1" t="s">
        <v>344</v>
      </c>
      <c r="D6" s="18" t="s">
        <v>275</v>
      </c>
      <c r="E6" s="1"/>
      <c r="F6" s="1" t="s">
        <v>35</v>
      </c>
      <c r="G6" s="1" t="s">
        <v>217</v>
      </c>
      <c r="H6" s="1" t="s">
        <v>254</v>
      </c>
      <c r="I6" s="1" t="s">
        <v>345</v>
      </c>
      <c r="J6" s="1" t="s">
        <v>254</v>
      </c>
      <c r="K6" s="1"/>
      <c r="L6" s="1" t="s">
        <v>254</v>
      </c>
      <c r="M6" s="1" t="s">
        <v>226</v>
      </c>
    </row>
    <row r="7" spans="1:13">
      <c r="A7" s="1" t="s">
        <v>346</v>
      </c>
      <c r="B7" s="1" t="s">
        <v>254</v>
      </c>
      <c r="C7" s="1" t="s">
        <v>347</v>
      </c>
      <c r="D7" s="18" t="s">
        <v>275</v>
      </c>
      <c r="E7" s="1"/>
      <c r="F7" s="1" t="s">
        <v>36</v>
      </c>
      <c r="G7" s="1" t="s">
        <v>218</v>
      </c>
      <c r="H7" s="1" t="s">
        <v>254</v>
      </c>
      <c r="I7" s="1" t="s">
        <v>348</v>
      </c>
      <c r="J7" s="1" t="s">
        <v>254</v>
      </c>
      <c r="K7" s="1"/>
      <c r="L7" s="1" t="s">
        <v>254</v>
      </c>
      <c r="M7" s="1" t="s">
        <v>285</v>
      </c>
    </row>
    <row r="8" spans="1:13">
      <c r="A8" s="1" t="s">
        <v>349</v>
      </c>
      <c r="B8" s="1" t="s">
        <v>254</v>
      </c>
      <c r="C8" s="1" t="s">
        <v>350</v>
      </c>
      <c r="D8" s="18" t="s">
        <v>275</v>
      </c>
      <c r="E8" s="1"/>
      <c r="F8" s="1" t="s">
        <v>37</v>
      </c>
      <c r="G8" s="1" t="s">
        <v>219</v>
      </c>
      <c r="H8" s="1" t="s">
        <v>254</v>
      </c>
      <c r="I8" s="1" t="s">
        <v>351</v>
      </c>
      <c r="J8" s="1" t="s">
        <v>254</v>
      </c>
      <c r="K8" s="1"/>
      <c r="L8" s="1" t="s">
        <v>254</v>
      </c>
      <c r="M8" s="1" t="s">
        <v>394</v>
      </c>
    </row>
    <row r="9" spans="1:13">
      <c r="A9" s="1" t="s">
        <v>352</v>
      </c>
      <c r="B9" s="1" t="s">
        <v>254</v>
      </c>
      <c r="C9" s="1" t="s">
        <v>353</v>
      </c>
      <c r="D9" s="18" t="s">
        <v>275</v>
      </c>
      <c r="E9" s="1"/>
      <c r="F9" s="1" t="s">
        <v>38</v>
      </c>
      <c r="G9" s="1" t="s">
        <v>220</v>
      </c>
      <c r="H9" s="1" t="s">
        <v>254</v>
      </c>
      <c r="I9" s="1" t="s">
        <v>354</v>
      </c>
      <c r="J9" s="1" t="s">
        <v>254</v>
      </c>
      <c r="K9" s="1"/>
      <c r="L9" s="1" t="s">
        <v>254</v>
      </c>
      <c r="M9" s="1"/>
    </row>
    <row r="10" spans="1:13">
      <c r="A10" s="1" t="s">
        <v>355</v>
      </c>
      <c r="B10" s="1" t="s">
        <v>254</v>
      </c>
      <c r="C10" s="1" t="s">
        <v>356</v>
      </c>
      <c r="D10" s="18" t="s">
        <v>275</v>
      </c>
      <c r="E10" s="1"/>
      <c r="F10" s="1" t="s">
        <v>39</v>
      </c>
      <c r="G10" s="1" t="s">
        <v>357</v>
      </c>
      <c r="H10" s="1" t="s">
        <v>254</v>
      </c>
      <c r="I10" s="1" t="s">
        <v>358</v>
      </c>
      <c r="J10" s="1" t="s">
        <v>254</v>
      </c>
      <c r="K10" s="1"/>
      <c r="L10" s="1" t="s">
        <v>254</v>
      </c>
      <c r="M10" s="1"/>
    </row>
    <row r="11" spans="1:13">
      <c r="A11" s="1" t="s">
        <v>359</v>
      </c>
      <c r="B11" s="1" t="s">
        <v>254</v>
      </c>
      <c r="C11" s="1" t="s">
        <v>360</v>
      </c>
      <c r="D11" s="18" t="s">
        <v>275</v>
      </c>
      <c r="E11" s="1"/>
      <c r="F11" s="1" t="s">
        <v>40</v>
      </c>
      <c r="G11" s="1" t="s">
        <v>361</v>
      </c>
      <c r="H11" s="1" t="s">
        <v>254</v>
      </c>
      <c r="I11" s="1" t="s">
        <v>362</v>
      </c>
      <c r="J11" s="1" t="s">
        <v>254</v>
      </c>
      <c r="K11" s="1"/>
      <c r="L11" s="1" t="s">
        <v>254</v>
      </c>
      <c r="M11" s="1"/>
    </row>
    <row r="12" spans="1:13">
      <c r="A12" s="1" t="s">
        <v>363</v>
      </c>
      <c r="B12" s="1" t="s">
        <v>254</v>
      </c>
      <c r="C12" s="1"/>
      <c r="D12" s="18" t="s">
        <v>275</v>
      </c>
      <c r="E12" s="1"/>
      <c r="F12" s="1" t="s">
        <v>41</v>
      </c>
      <c r="G12" s="1" t="s">
        <v>364</v>
      </c>
      <c r="H12" s="1" t="s">
        <v>254</v>
      </c>
      <c r="I12" s="1" t="s">
        <v>365</v>
      </c>
      <c r="J12" s="1" t="s">
        <v>254</v>
      </c>
      <c r="K12" s="1"/>
      <c r="L12" s="1" t="s">
        <v>254</v>
      </c>
      <c r="M12" s="1"/>
    </row>
    <row r="13" spans="1:13">
      <c r="A13" s="1" t="s">
        <v>366</v>
      </c>
      <c r="B13" s="1" t="s">
        <v>254</v>
      </c>
      <c r="C13" s="1"/>
      <c r="D13" s="18" t="s">
        <v>275</v>
      </c>
      <c r="E13" s="1"/>
      <c r="F13" s="1" t="s">
        <v>42</v>
      </c>
      <c r="G13" s="1" t="s">
        <v>367</v>
      </c>
      <c r="H13" s="1" t="s">
        <v>254</v>
      </c>
      <c r="I13" s="1" t="s">
        <v>368</v>
      </c>
      <c r="J13" s="1" t="s">
        <v>254</v>
      </c>
      <c r="K13" s="1"/>
      <c r="L13" s="1" t="s">
        <v>254</v>
      </c>
      <c r="M13" s="1"/>
    </row>
    <row r="14" spans="1:13">
      <c r="A14" s="1" t="s">
        <v>369</v>
      </c>
      <c r="B14" s="1" t="s">
        <v>254</v>
      </c>
      <c r="C14" s="1"/>
      <c r="D14" s="18" t="s">
        <v>275</v>
      </c>
      <c r="E14" s="1"/>
      <c r="F14" s="1"/>
      <c r="G14" s="1" t="s">
        <v>370</v>
      </c>
      <c r="H14" s="1" t="s">
        <v>254</v>
      </c>
      <c r="I14" s="1" t="s">
        <v>371</v>
      </c>
      <c r="J14" s="1" t="s">
        <v>254</v>
      </c>
      <c r="K14" s="1"/>
      <c r="L14" s="1" t="s">
        <v>254</v>
      </c>
      <c r="M14" s="1"/>
    </row>
    <row r="15" spans="1:13">
      <c r="A15" s="1" t="s">
        <v>372</v>
      </c>
      <c r="B15" s="1" t="s">
        <v>254</v>
      </c>
      <c r="C15" s="1"/>
      <c r="D15" s="18" t="s">
        <v>275</v>
      </c>
      <c r="E15" s="1"/>
      <c r="F15" s="1"/>
      <c r="G15" s="1" t="s">
        <v>373</v>
      </c>
      <c r="H15" s="1" t="s">
        <v>254</v>
      </c>
      <c r="I15" s="1" t="s">
        <v>374</v>
      </c>
      <c r="J15" s="1" t="s">
        <v>254</v>
      </c>
      <c r="K15" s="1"/>
      <c r="L15" s="1" t="s">
        <v>254</v>
      </c>
      <c r="M15" s="1"/>
    </row>
    <row r="16" spans="1:13">
      <c r="A16" s="1" t="s">
        <v>375</v>
      </c>
      <c r="B16" s="1" t="s">
        <v>254</v>
      </c>
      <c r="C16" s="1"/>
      <c r="D16" s="18" t="s">
        <v>275</v>
      </c>
      <c r="E16" s="1"/>
      <c r="F16" s="1"/>
      <c r="G16" s="1" t="s">
        <v>282</v>
      </c>
      <c r="H16" s="1" t="s">
        <v>254</v>
      </c>
      <c r="I16" s="1" t="s">
        <v>376</v>
      </c>
      <c r="J16" s="1" t="s">
        <v>254</v>
      </c>
      <c r="K16" s="1"/>
      <c r="L16" s="1" t="s">
        <v>254</v>
      </c>
      <c r="M16" s="1"/>
    </row>
    <row r="17" spans="1:13">
      <c r="A17" s="1" t="s">
        <v>377</v>
      </c>
      <c r="B17" s="1" t="s">
        <v>254</v>
      </c>
      <c r="C17" s="1"/>
      <c r="D17" s="18" t="s">
        <v>275</v>
      </c>
      <c r="E17" s="1"/>
      <c r="F17" s="1"/>
      <c r="G17" s="1" t="s">
        <v>378</v>
      </c>
      <c r="H17" s="1" t="s">
        <v>254</v>
      </c>
      <c r="I17" s="1" t="s">
        <v>379</v>
      </c>
      <c r="J17" s="1" t="s">
        <v>254</v>
      </c>
      <c r="K17" s="1"/>
      <c r="L17" s="1" t="s">
        <v>254</v>
      </c>
      <c r="M17" s="1"/>
    </row>
    <row r="18" spans="1:13">
      <c r="A18" s="1"/>
      <c r="B18" s="1" t="s">
        <v>254</v>
      </c>
      <c r="C18" s="1"/>
      <c r="D18" s="18" t="s">
        <v>275</v>
      </c>
      <c r="E18" s="1"/>
      <c r="F18" s="1"/>
      <c r="G18" s="1" t="s">
        <v>380</v>
      </c>
      <c r="H18" s="1" t="s">
        <v>254</v>
      </c>
      <c r="I18" s="1" t="s">
        <v>381</v>
      </c>
      <c r="J18" s="1" t="s">
        <v>254</v>
      </c>
      <c r="K18" s="1"/>
      <c r="L18" s="1" t="s">
        <v>254</v>
      </c>
      <c r="M18" s="1"/>
    </row>
    <row r="19" spans="1:13">
      <c r="A19" s="1"/>
      <c r="B19" s="1" t="s">
        <v>254</v>
      </c>
      <c r="C19" s="1"/>
      <c r="D19" s="18" t="s">
        <v>275</v>
      </c>
      <c r="E19" s="1"/>
      <c r="F19" s="1"/>
      <c r="G19" s="1" t="s">
        <v>382</v>
      </c>
      <c r="H19" s="1" t="s">
        <v>254</v>
      </c>
      <c r="I19" s="1" t="s">
        <v>383</v>
      </c>
      <c r="J19" s="1" t="s">
        <v>254</v>
      </c>
      <c r="K19" s="1"/>
      <c r="L19" s="1" t="s">
        <v>254</v>
      </c>
      <c r="M19" s="1"/>
    </row>
    <row r="20" spans="1:13">
      <c r="A20" s="1"/>
      <c r="B20" s="1" t="s">
        <v>254</v>
      </c>
      <c r="C20" s="1"/>
      <c r="D20" s="18" t="s">
        <v>275</v>
      </c>
      <c r="E20" s="1"/>
      <c r="F20" s="1"/>
      <c r="G20" s="1"/>
      <c r="H20" s="1" t="s">
        <v>254</v>
      </c>
      <c r="I20" s="1" t="s">
        <v>384</v>
      </c>
      <c r="J20" s="1" t="s">
        <v>254</v>
      </c>
      <c r="K20" s="1"/>
      <c r="L20" s="1" t="s">
        <v>254</v>
      </c>
      <c r="M20" s="1"/>
    </row>
    <row r="21" spans="1:13">
      <c r="A21" s="1"/>
      <c r="B21" s="1" t="s">
        <v>254</v>
      </c>
      <c r="C21" s="1"/>
      <c r="D21" s="18" t="s">
        <v>275</v>
      </c>
      <c r="E21" s="1"/>
      <c r="F21" s="1"/>
      <c r="G21" s="1"/>
      <c r="H21" s="1" t="s">
        <v>254</v>
      </c>
      <c r="I21" s="1" t="s">
        <v>385</v>
      </c>
      <c r="J21" s="1" t="s">
        <v>254</v>
      </c>
      <c r="K21" s="1"/>
      <c r="L21" s="1" t="s">
        <v>254</v>
      </c>
      <c r="M21" s="1"/>
    </row>
    <row r="23" spans="1:13">
      <c r="A23" t="s">
        <v>395</v>
      </c>
    </row>
    <row r="24" spans="1:13">
      <c r="A24" s="1" t="s">
        <v>326</v>
      </c>
      <c r="C24" s="11" t="s">
        <v>396</v>
      </c>
      <c r="D24" s="12"/>
      <c r="E24" s="12"/>
      <c r="F24" s="12"/>
      <c r="G24" s="12"/>
      <c r="H24" s="12"/>
      <c r="I24" s="12"/>
      <c r="J24" s="12"/>
      <c r="K24" s="12"/>
      <c r="L24" s="12"/>
      <c r="M24" s="13"/>
    </row>
    <row r="25" spans="1:13">
      <c r="A25" s="1" t="s">
        <v>327</v>
      </c>
      <c r="C25" s="10" t="s">
        <v>397</v>
      </c>
      <c r="M25" s="14"/>
    </row>
    <row r="26" spans="1:13">
      <c r="A26" s="1" t="s">
        <v>329</v>
      </c>
      <c r="C26" s="10" t="s">
        <v>398</v>
      </c>
      <c r="M26" s="14"/>
    </row>
    <row r="27" spans="1:13">
      <c r="A27" s="1" t="s">
        <v>330</v>
      </c>
      <c r="C27" s="15" t="s">
        <v>399</v>
      </c>
      <c r="D27" s="16"/>
      <c r="E27" s="16"/>
      <c r="F27" s="16"/>
      <c r="G27" s="16"/>
      <c r="H27" s="16"/>
      <c r="I27" s="16"/>
      <c r="J27" s="16"/>
      <c r="K27" s="16"/>
      <c r="L27" s="16"/>
      <c r="M27" s="17"/>
    </row>
    <row r="30" spans="1:13">
      <c r="A30" s="9" t="s">
        <v>43</v>
      </c>
      <c r="C30" t="s">
        <v>388</v>
      </c>
    </row>
    <row r="31" spans="1:13">
      <c r="A31" s="9" t="s">
        <v>331</v>
      </c>
      <c r="C31" t="s">
        <v>389</v>
      </c>
    </row>
    <row r="32" spans="1:13">
      <c r="A32" s="19" t="s">
        <v>336</v>
      </c>
      <c r="C32" t="s">
        <v>390</v>
      </c>
    </row>
    <row r="33" spans="1:3">
      <c r="A33" s="9" t="s">
        <v>332</v>
      </c>
      <c r="C33" t="s">
        <v>391</v>
      </c>
    </row>
    <row r="34" spans="1:3">
      <c r="A34" s="9" t="s">
        <v>333</v>
      </c>
      <c r="C34" t="s">
        <v>392</v>
      </c>
    </row>
    <row r="35" spans="1:3">
      <c r="A35" s="9" t="s">
        <v>44</v>
      </c>
      <c r="C35" t="s">
        <v>393</v>
      </c>
    </row>
    <row r="36" spans="1:3">
      <c r="A36" s="9" t="s">
        <v>334</v>
      </c>
      <c r="C36" t="s">
        <v>401</v>
      </c>
    </row>
    <row r="37" spans="1:3">
      <c r="A37" s="9" t="s">
        <v>31</v>
      </c>
      <c r="C37" t="s">
        <v>400</v>
      </c>
    </row>
  </sheetData>
  <mergeCells count="1">
    <mergeCell ref="A1:F1"/>
  </mergeCells>
  <conditionalFormatting sqref="A24:A27">
    <cfRule type="containsText" dxfId="118" priority="2" operator="containsText" text="_SIL3">
      <formula>NOT(ISERROR(SEARCH("_SIL3",A24)))</formula>
    </cfRule>
  </conditionalFormatting>
  <pageMargins left="0.70866141732283472" right="0.70866141732283472" top="0.74803149606299213" bottom="0.74803149606299213" header="0.31496062992125984" footer="0.31496062992125984"/>
  <pageSetup paperSize="9" scale="83" orientation="landscape" r:id="rId1"/>
  <headerFooter>
    <oddHeader>&amp;C&amp;G&amp;F&amp;A</oddHeader>
  </headerFooter>
  <legacyDrawingHF r:id="rId2"/>
</worksheet>
</file>

<file path=xl/worksheets/sheet3.xml><?xml version="1.0" encoding="utf-8"?>
<worksheet xmlns="http://schemas.openxmlformats.org/spreadsheetml/2006/main" xmlns:r="http://schemas.openxmlformats.org/officeDocument/2006/relationships">
  <sheetPr codeName="Params">
    <tabColor theme="0" tint="-0.249977111117893"/>
  </sheetPr>
  <dimension ref="A1:F11"/>
  <sheetViews>
    <sheetView workbookViewId="0">
      <selection activeCell="A8" sqref="A8"/>
    </sheetView>
  </sheetViews>
  <sheetFormatPr baseColWidth="10" defaultColWidth="11" defaultRowHeight="18" customHeight="1"/>
  <cols>
    <col min="1" max="1" width="21.625" style="20" customWidth="1"/>
    <col min="2" max="2" width="12" style="20" customWidth="1"/>
    <col min="3" max="3" width="42.625" style="20" customWidth="1"/>
    <col min="4" max="16384" width="11" style="20"/>
  </cols>
  <sheetData>
    <row r="1" spans="1:6" ht="18" customHeight="1">
      <c r="A1" s="20" t="s">
        <v>1562</v>
      </c>
      <c r="B1" s="20" t="s">
        <v>1563</v>
      </c>
      <c r="C1" s="20" t="s">
        <v>756</v>
      </c>
    </row>
    <row r="2" spans="1:6" ht="18" customHeight="1" thickBot="1">
      <c r="A2" s="20" t="s">
        <v>1564</v>
      </c>
      <c r="B2" s="56">
        <v>0.2</v>
      </c>
      <c r="C2" s="20" t="s">
        <v>1551</v>
      </c>
    </row>
    <row r="3" spans="1:6" ht="18" customHeight="1" thickBot="1">
      <c r="A3" s="20" t="s">
        <v>1566</v>
      </c>
      <c r="B3" s="60" t="s">
        <v>1565</v>
      </c>
      <c r="C3" s="20" t="s">
        <v>1561</v>
      </c>
    </row>
    <row r="4" spans="1:6" ht="18" customHeight="1">
      <c r="A4" s="20" t="s">
        <v>1567</v>
      </c>
      <c r="B4" s="61" t="s">
        <v>1565</v>
      </c>
    </row>
    <row r="5" spans="1:6" ht="18" customHeight="1">
      <c r="A5" s="20" t="s">
        <v>1568</v>
      </c>
      <c r="B5" s="62" t="s">
        <v>1565</v>
      </c>
    </row>
    <row r="6" spans="1:6" ht="18" customHeight="1">
      <c r="A6" s="20" t="s">
        <v>1570</v>
      </c>
      <c r="B6" s="63" t="s">
        <v>1565</v>
      </c>
    </row>
    <row r="7" spans="1:6" ht="18" customHeight="1">
      <c r="A7" s="20" t="s">
        <v>1571</v>
      </c>
      <c r="B7" s="65" t="s">
        <v>1572</v>
      </c>
      <c r="F7" s="58"/>
    </row>
    <row r="8" spans="1:6" ht="18" customHeight="1">
      <c r="A8" s="20" t="s">
        <v>1898</v>
      </c>
      <c r="B8" s="20" t="s">
        <v>1900</v>
      </c>
      <c r="C8" s="20" t="s">
        <v>1899</v>
      </c>
      <c r="F8" s="59"/>
    </row>
    <row r="10" spans="1:6" ht="18" customHeight="1">
      <c r="F10" s="57"/>
    </row>
    <row r="11" spans="1:6" ht="18" customHeight="1">
      <c r="F11" s="57"/>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sheetPr codeName="Feuil4"/>
  <dimension ref="A1:D19"/>
  <sheetViews>
    <sheetView workbookViewId="0">
      <selection activeCell="D8" sqref="D8"/>
    </sheetView>
  </sheetViews>
  <sheetFormatPr baseColWidth="10" defaultRowHeight="14.25"/>
  <cols>
    <col min="1" max="1" width="5" customWidth="1"/>
    <col min="2" max="2" width="6.125" customWidth="1"/>
    <col min="3" max="3" width="11.75" customWidth="1"/>
    <col min="4" max="4" width="69.75" customWidth="1"/>
  </cols>
  <sheetData>
    <row r="1" spans="1:4">
      <c r="A1" t="s">
        <v>735</v>
      </c>
      <c r="B1" t="s">
        <v>736</v>
      </c>
      <c r="C1" t="s">
        <v>734</v>
      </c>
      <c r="D1" t="s">
        <v>733</v>
      </c>
    </row>
    <row r="2" spans="1:4">
      <c r="A2">
        <v>1</v>
      </c>
      <c r="B2" s="23" t="str">
        <f>"E"&amp;Tableau4[[#This Row],[ID]]</f>
        <v>E1</v>
      </c>
      <c r="C2" s="22">
        <v>45946</v>
      </c>
      <c r="D2" t="s">
        <v>739</v>
      </c>
    </row>
    <row r="3" spans="1:4">
      <c r="A3">
        <v>2</v>
      </c>
      <c r="B3" s="23" t="str">
        <f>"E"&amp;Tableau4[[#This Row],[ID]]</f>
        <v>E2</v>
      </c>
      <c r="C3" s="22">
        <v>45950</v>
      </c>
      <c r="D3" t="s">
        <v>742</v>
      </c>
    </row>
    <row r="4" spans="1:4">
      <c r="A4">
        <v>3</v>
      </c>
      <c r="B4" s="23" t="str">
        <f>"E"&amp;Tableau4[[#This Row],[ID]]</f>
        <v>E3</v>
      </c>
      <c r="C4" s="22">
        <v>45589</v>
      </c>
      <c r="D4" t="s">
        <v>741</v>
      </c>
    </row>
    <row r="5" spans="1:4">
      <c r="A5">
        <v>4</v>
      </c>
      <c r="B5" s="23" t="str">
        <f>"E"&amp;Tableau4[[#This Row],[ID]]</f>
        <v>E4</v>
      </c>
      <c r="C5" s="22">
        <v>45959</v>
      </c>
      <c r="D5" t="s">
        <v>740</v>
      </c>
    </row>
    <row r="6" spans="1:4">
      <c r="A6">
        <v>5</v>
      </c>
      <c r="B6" s="23" t="str">
        <f>"E"&amp;Tableau4[[#This Row],[ID]]</f>
        <v>E5</v>
      </c>
      <c r="C6" s="22">
        <v>45967</v>
      </c>
      <c r="D6" t="s">
        <v>743</v>
      </c>
    </row>
    <row r="7" spans="1:4">
      <c r="A7">
        <v>6</v>
      </c>
      <c r="B7" s="23" t="str">
        <f>"E"&amp;Tableau4[[#This Row],[ID]]</f>
        <v>E6</v>
      </c>
      <c r="C7" s="22">
        <v>45975</v>
      </c>
      <c r="D7" t="s">
        <v>744</v>
      </c>
    </row>
    <row r="8" spans="1:4">
      <c r="A8">
        <v>7</v>
      </c>
      <c r="B8" s="23" t="str">
        <f>"E"&amp;Tableau4[[#This Row],[ID]]</f>
        <v>E7</v>
      </c>
      <c r="C8" s="22">
        <v>45993</v>
      </c>
      <c r="D8" t="s">
        <v>745</v>
      </c>
    </row>
    <row r="9" spans="1:4">
      <c r="A9">
        <v>8</v>
      </c>
      <c r="B9" s="23" t="str">
        <f>"E"&amp;Tableau4[[#This Row],[ID]]</f>
        <v>E8</v>
      </c>
      <c r="C9" s="22">
        <v>45993</v>
      </c>
      <c r="D9" t="s">
        <v>746</v>
      </c>
    </row>
    <row r="10" spans="1:4">
      <c r="A10">
        <v>9</v>
      </c>
      <c r="B10" s="23" t="str">
        <f>"E"&amp;Tableau4[[#This Row],[ID]]</f>
        <v>E9</v>
      </c>
      <c r="C10" s="22">
        <v>46029</v>
      </c>
      <c r="D10" t="s">
        <v>749</v>
      </c>
    </row>
    <row r="11" spans="1:4">
      <c r="A11">
        <v>10</v>
      </c>
      <c r="B11" s="23" t="str">
        <f>"E"&amp;Tableau4[[#This Row],[ID]]</f>
        <v>E10</v>
      </c>
      <c r="C11" s="22">
        <v>46045</v>
      </c>
      <c r="D11" t="s">
        <v>750</v>
      </c>
    </row>
    <row r="12" spans="1:4">
      <c r="A12">
        <v>11</v>
      </c>
      <c r="B12" s="23" t="str">
        <f>"E"&amp;Tableau4[[#This Row],[ID]]</f>
        <v>E11</v>
      </c>
      <c r="C12" s="22">
        <v>46154</v>
      </c>
      <c r="D12" t="s">
        <v>752</v>
      </c>
    </row>
    <row r="13" spans="1:4">
      <c r="A13">
        <v>12</v>
      </c>
      <c r="B13" s="23" t="str">
        <f>"E"&amp;Tableau4[[#This Row],[ID]]</f>
        <v>E12</v>
      </c>
      <c r="C13" s="22">
        <v>46204</v>
      </c>
      <c r="D13" t="s">
        <v>754</v>
      </c>
    </row>
    <row r="14" spans="1:4">
      <c r="A14">
        <v>13</v>
      </c>
      <c r="B14" s="23" t="str">
        <f>"E"&amp;Tableau4[[#This Row],[ID]]</f>
        <v>E13</v>
      </c>
      <c r="C14" s="22">
        <v>46212</v>
      </c>
      <c r="D14" t="s">
        <v>755</v>
      </c>
    </row>
    <row r="15" spans="1:4">
      <c r="A15">
        <v>14</v>
      </c>
      <c r="B15" s="23" t="str">
        <f>"E"&amp;Tableau4[[#This Row],[ID]]</f>
        <v>E14</v>
      </c>
    </row>
    <row r="16" spans="1:4">
      <c r="A16">
        <v>15</v>
      </c>
      <c r="B16" s="23" t="str">
        <f>"E"&amp;Tableau4[[#This Row],[ID]]</f>
        <v>E15</v>
      </c>
    </row>
    <row r="17" spans="1:2">
      <c r="A17">
        <v>16</v>
      </c>
      <c r="B17" s="23" t="str">
        <f>"E"&amp;Tableau4[[#This Row],[ID]]</f>
        <v>E16</v>
      </c>
    </row>
    <row r="18" spans="1:2">
      <c r="A18">
        <v>17</v>
      </c>
      <c r="B18" s="23" t="str">
        <f>"E"&amp;Tableau4[[#This Row],[ID]]</f>
        <v>E17</v>
      </c>
    </row>
    <row r="19" spans="1:2">
      <c r="A19">
        <v>18</v>
      </c>
      <c r="B19" s="23" t="str">
        <f>"E"&amp;Tableau4[[#This Row],[ID]]</f>
        <v>E18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euil6"/>
  <dimension ref="A3:B19"/>
  <sheetViews>
    <sheetView workbookViewId="0">
      <selection activeCell="A7" sqref="A7"/>
    </sheetView>
  </sheetViews>
  <sheetFormatPr baseColWidth="10" defaultRowHeight="14.25"/>
  <cols>
    <col min="1" max="1" width="16.125" customWidth="1"/>
    <col min="2" max="2" width="12.875" customWidth="1"/>
    <col min="3" max="3" width="10.875" customWidth="1"/>
    <col min="4" max="4" width="10.25" customWidth="1"/>
  </cols>
  <sheetData>
    <row r="3" spans="1:2">
      <c r="A3" t="s">
        <v>1602</v>
      </c>
      <c r="B3" t="s">
        <v>1603</v>
      </c>
    </row>
    <row r="4" spans="1:2">
      <c r="B4" t="s">
        <v>1604</v>
      </c>
    </row>
    <row r="7" spans="1:2">
      <c r="A7" s="239" t="s">
        <v>1902</v>
      </c>
      <c r="B7" s="240" t="s">
        <v>1903</v>
      </c>
    </row>
    <row r="8" spans="1:2">
      <c r="B8" s="239"/>
    </row>
    <row r="12" spans="1:2">
      <c r="A12" t="s">
        <v>1535</v>
      </c>
      <c r="B12" t="s">
        <v>1434</v>
      </c>
    </row>
    <row r="13" spans="1:2">
      <c r="B13" t="s">
        <v>1569</v>
      </c>
    </row>
    <row r="18" spans="1:2">
      <c r="A18" t="s">
        <v>1534</v>
      </c>
      <c r="B18" t="s">
        <v>1533</v>
      </c>
    </row>
    <row r="19" spans="1:2">
      <c r="B19" t="s">
        <v>1511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9"/>
  <dimension ref="A1:J32"/>
  <sheetViews>
    <sheetView workbookViewId="0">
      <selection activeCell="E18" sqref="E18"/>
    </sheetView>
  </sheetViews>
  <sheetFormatPr baseColWidth="10" defaultRowHeight="14.25"/>
  <cols>
    <col min="1" max="1" width="18.625" customWidth="1"/>
    <col min="2" max="2" width="15.5" customWidth="1"/>
    <col min="3" max="3" width="11.625" customWidth="1"/>
    <col min="4" max="4" width="16.625" customWidth="1"/>
    <col min="5" max="5" width="17.375" customWidth="1"/>
    <col min="6" max="6" width="17.25" customWidth="1"/>
    <col min="7" max="7" width="11.125" customWidth="1"/>
    <col min="8" max="8" width="12.875" customWidth="1"/>
    <col min="9" max="9" width="12.5" customWidth="1"/>
    <col min="10" max="10" width="12.375" customWidth="1"/>
  </cols>
  <sheetData>
    <row r="1" spans="1:10" s="26" customFormat="1" ht="33.6" customHeight="1">
      <c r="B1" s="249" t="s">
        <v>1512</v>
      </c>
      <c r="C1" s="249"/>
      <c r="D1" s="26" t="s">
        <v>1590</v>
      </c>
      <c r="E1" s="249" t="s">
        <v>1529</v>
      </c>
      <c r="F1" s="249"/>
      <c r="G1" s="250" t="s">
        <v>1529</v>
      </c>
      <c r="H1" s="250"/>
      <c r="I1" s="250"/>
      <c r="J1" s="250"/>
    </row>
    <row r="2" spans="1:10" s="26" customFormat="1" ht="15" customHeight="1">
      <c r="G2" s="27" t="s">
        <v>1524</v>
      </c>
      <c r="H2" s="27" t="s">
        <v>1527</v>
      </c>
      <c r="I2" s="27" t="s">
        <v>1525</v>
      </c>
      <c r="J2" s="27" t="s">
        <v>1526</v>
      </c>
    </row>
    <row r="3" spans="1:10" s="26" customFormat="1" ht="15" customHeight="1">
      <c r="G3" s="27"/>
      <c r="H3" s="27"/>
      <c r="I3" s="27"/>
      <c r="J3" s="27"/>
    </row>
    <row r="4" spans="1:10" s="26" customFormat="1" ht="15" customHeight="1">
      <c r="A4" s="26" t="s">
        <v>1591</v>
      </c>
      <c r="B4" s="26" t="s">
        <v>1517</v>
      </c>
      <c r="C4" s="26" t="s">
        <v>1532</v>
      </c>
      <c r="D4" s="26" t="s">
        <v>1532</v>
      </c>
      <c r="E4" s="26" t="s">
        <v>1517</v>
      </c>
      <c r="F4" s="26" t="s">
        <v>1532</v>
      </c>
      <c r="G4" s="27"/>
      <c r="H4" s="27"/>
      <c r="I4" s="27"/>
      <c r="J4" s="27"/>
    </row>
    <row r="5" spans="1:10" s="26" customFormat="1" ht="15" customHeight="1">
      <c r="A5" s="26" t="s">
        <v>1592</v>
      </c>
      <c r="G5" s="27"/>
      <c r="H5" s="27"/>
      <c r="I5" s="27"/>
      <c r="J5" s="27"/>
    </row>
    <row r="6" spans="1:10" s="26" customFormat="1" ht="15" customHeight="1">
      <c r="A6" s="27" t="s">
        <v>1418</v>
      </c>
      <c r="B6" s="27"/>
      <c r="C6" s="27"/>
      <c r="D6" s="27"/>
      <c r="E6" s="27"/>
      <c r="F6" s="27"/>
      <c r="G6" s="27" t="s">
        <v>1532</v>
      </c>
      <c r="H6" s="27"/>
      <c r="I6" s="27"/>
      <c r="J6" s="27"/>
    </row>
    <row r="7" spans="1:10" s="26" customFormat="1" ht="15" customHeight="1">
      <c r="A7" s="27" t="s">
        <v>706</v>
      </c>
      <c r="B7" s="27"/>
      <c r="C7" s="27"/>
      <c r="D7" s="27"/>
      <c r="E7" s="27"/>
      <c r="F7" s="27"/>
      <c r="G7" s="27"/>
      <c r="H7" s="27" t="s">
        <v>1532</v>
      </c>
      <c r="I7" s="27"/>
      <c r="J7" s="27"/>
    </row>
    <row r="8" spans="1:10" s="26" customFormat="1" ht="15" customHeight="1">
      <c r="A8" s="27" t="s">
        <v>1419</v>
      </c>
      <c r="B8" s="27"/>
      <c r="C8" s="27"/>
      <c r="D8" s="27"/>
      <c r="E8" s="27"/>
      <c r="F8" s="27"/>
      <c r="G8" s="27"/>
      <c r="H8" s="27"/>
      <c r="I8" s="27" t="s">
        <v>1532</v>
      </c>
      <c r="J8" s="27"/>
    </row>
    <row r="9" spans="1:10" s="26" customFormat="1" ht="15" customHeight="1">
      <c r="A9" s="27" t="s">
        <v>707</v>
      </c>
      <c r="B9" s="27"/>
      <c r="C9" s="27"/>
      <c r="D9" s="27"/>
      <c r="E9" s="27"/>
      <c r="F9" s="27"/>
      <c r="G9" s="27"/>
      <c r="H9" s="27"/>
      <c r="I9" s="27"/>
      <c r="J9" s="27" t="s">
        <v>1532</v>
      </c>
    </row>
    <row r="10" spans="1:10" s="26" customFormat="1" ht="15" customHeight="1"/>
    <row r="11" spans="1:10" s="26" customFormat="1" ht="15" customHeight="1">
      <c r="A11" s="26" t="s">
        <v>1497</v>
      </c>
    </row>
    <row r="12" spans="1:10">
      <c r="A12" t="s">
        <v>1426</v>
      </c>
      <c r="B12" t="s">
        <v>1532</v>
      </c>
      <c r="D12" t="s">
        <v>1517</v>
      </c>
      <c r="E12" t="s">
        <v>1513</v>
      </c>
      <c r="F12" t="s">
        <v>1518</v>
      </c>
    </row>
    <row r="13" spans="1:10">
      <c r="A13" t="s">
        <v>1428</v>
      </c>
      <c r="B13" t="s">
        <v>1532</v>
      </c>
      <c r="D13" t="s">
        <v>1517</v>
      </c>
      <c r="E13" t="s">
        <v>1514</v>
      </c>
      <c r="F13" t="s">
        <v>1518</v>
      </c>
    </row>
    <row r="14" spans="1:10">
      <c r="A14" t="s">
        <v>1577</v>
      </c>
      <c r="D14" t="s">
        <v>1517</v>
      </c>
      <c r="E14" t="s">
        <v>1513</v>
      </c>
      <c r="F14" t="s">
        <v>1513</v>
      </c>
    </row>
    <row r="15" spans="1:10">
      <c r="A15" t="s">
        <v>1578</v>
      </c>
      <c r="D15" t="s">
        <v>1517</v>
      </c>
      <c r="E15" t="s">
        <v>1513</v>
      </c>
      <c r="F15" t="s">
        <v>1513</v>
      </c>
    </row>
    <row r="16" spans="1:10">
      <c r="A16" t="s">
        <v>1580</v>
      </c>
      <c r="D16" t="s">
        <v>1517</v>
      </c>
      <c r="E16" t="s">
        <v>1513</v>
      </c>
      <c r="F16" t="s">
        <v>1513</v>
      </c>
    </row>
    <row r="17" spans="1:6">
      <c r="A17" t="s">
        <v>1427</v>
      </c>
      <c r="D17" t="s">
        <v>1517</v>
      </c>
      <c r="E17" t="s">
        <v>1513</v>
      </c>
      <c r="F17" t="s">
        <v>1513</v>
      </c>
    </row>
    <row r="18" spans="1:6">
      <c r="A18" t="s">
        <v>1585</v>
      </c>
      <c r="D18" t="s">
        <v>1517</v>
      </c>
      <c r="E18" t="s">
        <v>1514</v>
      </c>
      <c r="F18" t="s">
        <v>1514</v>
      </c>
    </row>
    <row r="19" spans="1:6">
      <c r="A19" t="s">
        <v>756</v>
      </c>
      <c r="D19" t="s">
        <v>1517</v>
      </c>
      <c r="E19" t="s">
        <v>1514</v>
      </c>
      <c r="F19" t="s">
        <v>1514</v>
      </c>
    </row>
    <row r="20" spans="1:6">
      <c r="A20" t="s">
        <v>1588</v>
      </c>
      <c r="D20" t="s">
        <v>1517</v>
      </c>
      <c r="E20" t="s">
        <v>1589</v>
      </c>
      <c r="F20" t="s">
        <v>1589</v>
      </c>
    </row>
    <row r="21" spans="1:6">
      <c r="A21" t="s">
        <v>1418</v>
      </c>
      <c r="D21" t="s">
        <v>1520</v>
      </c>
      <c r="E21" t="s">
        <v>1516</v>
      </c>
      <c r="F21" t="s">
        <v>1429</v>
      </c>
    </row>
    <row r="22" spans="1:6">
      <c r="A22" t="s">
        <v>706</v>
      </c>
      <c r="D22" t="s">
        <v>1517</v>
      </c>
      <c r="E22" t="s">
        <v>1515</v>
      </c>
      <c r="F22" t="s">
        <v>1429</v>
      </c>
    </row>
    <row r="23" spans="1:6">
      <c r="A23" t="s">
        <v>1419</v>
      </c>
      <c r="D23" t="s">
        <v>1517</v>
      </c>
      <c r="E23" t="s">
        <v>1515</v>
      </c>
      <c r="F23" t="s">
        <v>1429</v>
      </c>
    </row>
    <row r="24" spans="1:6">
      <c r="A24" t="s">
        <v>707</v>
      </c>
      <c r="D24" t="s">
        <v>1517</v>
      </c>
      <c r="E24" t="s">
        <v>1515</v>
      </c>
      <c r="F24" t="s">
        <v>1429</v>
      </c>
    </row>
    <row r="25" spans="1:6">
      <c r="A25" t="s">
        <v>1416</v>
      </c>
      <c r="B25" t="s">
        <v>1528</v>
      </c>
      <c r="C25" t="s">
        <v>1528</v>
      </c>
      <c r="D25" t="s">
        <v>1522</v>
      </c>
      <c r="E25" t="s">
        <v>1514</v>
      </c>
      <c r="F25" t="s">
        <v>1521</v>
      </c>
    </row>
    <row r="26" spans="1:6">
      <c r="A26" t="s">
        <v>1429</v>
      </c>
      <c r="B26" t="s">
        <v>1530</v>
      </c>
      <c r="C26" t="s">
        <v>1530</v>
      </c>
      <c r="D26" t="s">
        <v>1530</v>
      </c>
      <c r="E26" t="s">
        <v>1530</v>
      </c>
      <c r="F26" t="s">
        <v>1530</v>
      </c>
    </row>
    <row r="27" spans="1:6">
      <c r="A27" t="s">
        <v>1430</v>
      </c>
      <c r="B27" t="s">
        <v>1515</v>
      </c>
      <c r="C27" t="s">
        <v>1515</v>
      </c>
      <c r="D27" t="s">
        <v>1531</v>
      </c>
      <c r="E27" t="s">
        <v>1531</v>
      </c>
      <c r="F27" t="s">
        <v>1531</v>
      </c>
    </row>
    <row r="30" spans="1:6" ht="42.75">
      <c r="F30" s="26" t="s">
        <v>1519</v>
      </c>
    </row>
    <row r="32" spans="1:6">
      <c r="F32" t="s">
        <v>1523</v>
      </c>
    </row>
  </sheetData>
  <mergeCells count="3">
    <mergeCell ref="B1:C1"/>
    <mergeCell ref="E1:F1"/>
    <mergeCell ref="G1:J1"/>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5"/>
  <dimension ref="A1:K121"/>
  <sheetViews>
    <sheetView topLeftCell="A52" workbookViewId="0">
      <selection activeCell="C67" sqref="C67"/>
    </sheetView>
  </sheetViews>
  <sheetFormatPr baseColWidth="10" defaultRowHeight="14.25"/>
  <cols>
    <col min="1" max="1" width="3.375" customWidth="1"/>
    <col min="2" max="2" width="3.875" style="192" customWidth="1"/>
    <col min="3" max="3" width="25.75" style="192" customWidth="1"/>
    <col min="4" max="4" width="40" customWidth="1"/>
    <col min="5" max="5" width="55.125" customWidth="1"/>
    <col min="6" max="6" width="11" customWidth="1"/>
    <col min="7" max="7" width="49.375" customWidth="1"/>
    <col min="8" max="8" width="7.375" customWidth="1"/>
    <col min="9" max="9" width="9.375" bestFit="1" customWidth="1"/>
    <col min="10" max="10" width="8" bestFit="1" customWidth="1"/>
    <col min="11" max="11" width="7.75" bestFit="1" customWidth="1"/>
  </cols>
  <sheetData>
    <row r="1" spans="1:11">
      <c r="D1" t="s">
        <v>1811</v>
      </c>
    </row>
    <row r="3" spans="1:11" ht="15.75">
      <c r="D3" s="188" t="s">
        <v>1812</v>
      </c>
    </row>
    <row r="4" spans="1:11" ht="15.75">
      <c r="D4" s="188" t="s">
        <v>1813</v>
      </c>
    </row>
    <row r="6" spans="1:11" ht="15.75">
      <c r="D6" s="188" t="s">
        <v>1814</v>
      </c>
    </row>
    <row r="8" spans="1:11" ht="23.25">
      <c r="A8" s="195" t="s">
        <v>1815</v>
      </c>
    </row>
    <row r="10" spans="1:11" ht="15.75">
      <c r="D10" s="188" t="s">
        <v>1816</v>
      </c>
      <c r="E10" s="193"/>
      <c r="H10" s="193"/>
      <c r="J10" s="193"/>
    </row>
    <row r="11" spans="1:11" ht="18.75" thickBot="1">
      <c r="C11" s="194" t="s">
        <v>1887</v>
      </c>
      <c r="E11" s="193"/>
      <c r="H11" s="193"/>
      <c r="J11" s="193"/>
    </row>
    <row r="12" spans="1:11" ht="15">
      <c r="C12" s="215" t="s">
        <v>1435</v>
      </c>
      <c r="D12" s="216" t="s">
        <v>1817</v>
      </c>
      <c r="E12" s="217" t="s">
        <v>1882</v>
      </c>
      <c r="F12" s="216" t="s">
        <v>1500</v>
      </c>
      <c r="G12" s="216" t="s">
        <v>1818</v>
      </c>
      <c r="H12" s="217" t="s">
        <v>1498</v>
      </c>
      <c r="I12" s="216" t="s">
        <v>1495</v>
      </c>
      <c r="J12" s="216" t="s">
        <v>1496</v>
      </c>
      <c r="K12" s="218" t="s">
        <v>1497</v>
      </c>
    </row>
    <row r="13" spans="1:11" ht="15.75">
      <c r="C13" s="203" t="s">
        <v>735</v>
      </c>
      <c r="D13" s="197" t="s">
        <v>1436</v>
      </c>
      <c r="E13" s="199" t="s">
        <v>1444</v>
      </c>
      <c r="F13" s="1"/>
      <c r="G13" s="198" t="s">
        <v>1819</v>
      </c>
      <c r="H13" s="200" t="s">
        <v>1027</v>
      </c>
      <c r="I13" s="199" t="s">
        <v>213</v>
      </c>
      <c r="J13" s="1"/>
      <c r="K13" s="204"/>
    </row>
    <row r="14" spans="1:11" ht="15.75">
      <c r="C14" s="203" t="s">
        <v>735</v>
      </c>
      <c r="D14" s="197" t="s">
        <v>1438</v>
      </c>
      <c r="E14" s="199" t="s">
        <v>1437</v>
      </c>
      <c r="F14" s="1"/>
      <c r="G14" s="198" t="s">
        <v>1820</v>
      </c>
      <c r="H14" s="200" t="s">
        <v>1027</v>
      </c>
      <c r="I14" s="199" t="s">
        <v>213</v>
      </c>
      <c r="J14" s="1"/>
      <c r="K14" s="204"/>
    </row>
    <row r="15" spans="1:11" ht="15.75">
      <c r="C15" s="203" t="s">
        <v>1439</v>
      </c>
      <c r="D15" s="197" t="s">
        <v>1440</v>
      </c>
      <c r="E15" s="199" t="s">
        <v>1445</v>
      </c>
      <c r="F15" s="1"/>
      <c r="G15" s="198" t="s">
        <v>1821</v>
      </c>
      <c r="H15" s="200" t="s">
        <v>1027</v>
      </c>
      <c r="I15" s="199" t="s">
        <v>213</v>
      </c>
      <c r="J15" s="1"/>
      <c r="K15" s="204"/>
    </row>
    <row r="16" spans="1:11" ht="15.75">
      <c r="C16" s="203" t="s">
        <v>1439</v>
      </c>
      <c r="D16" s="197" t="s">
        <v>1582</v>
      </c>
      <c r="E16" s="199" t="s">
        <v>1583</v>
      </c>
      <c r="F16" s="1"/>
      <c r="G16" s="198" t="s">
        <v>1822</v>
      </c>
      <c r="H16" s="201" t="s">
        <v>1027</v>
      </c>
      <c r="I16" s="199" t="s">
        <v>213</v>
      </c>
      <c r="J16" s="1"/>
      <c r="K16" s="204"/>
    </row>
    <row r="17" spans="3:11" ht="15.75">
      <c r="C17" s="203" t="s">
        <v>1441</v>
      </c>
      <c r="D17" s="197" t="s">
        <v>1432</v>
      </c>
      <c r="E17" s="199" t="s">
        <v>1446</v>
      </c>
      <c r="F17" s="1"/>
      <c r="G17" s="198" t="s">
        <v>1823</v>
      </c>
      <c r="H17" s="200" t="s">
        <v>1027</v>
      </c>
      <c r="I17" s="199" t="s">
        <v>213</v>
      </c>
      <c r="J17" s="1"/>
      <c r="K17" s="204"/>
    </row>
    <row r="18" spans="3:11" ht="15.75">
      <c r="C18" s="203" t="s">
        <v>1442</v>
      </c>
      <c r="D18" s="197" t="s">
        <v>1433</v>
      </c>
      <c r="E18" s="199" t="s">
        <v>1447</v>
      </c>
      <c r="F18" s="1"/>
      <c r="G18" s="198" t="s">
        <v>1824</v>
      </c>
      <c r="H18" s="200" t="s">
        <v>1027</v>
      </c>
      <c r="I18" s="199" t="s">
        <v>213</v>
      </c>
      <c r="J18" s="1"/>
      <c r="K18" s="204"/>
    </row>
    <row r="19" spans="3:11" ht="16.5" thickBot="1">
      <c r="C19" s="205" t="s">
        <v>1443</v>
      </c>
      <c r="D19" s="206" t="s">
        <v>1431</v>
      </c>
      <c r="E19" s="207" t="s">
        <v>1448</v>
      </c>
      <c r="F19" s="208"/>
      <c r="G19" s="209" t="s">
        <v>1825</v>
      </c>
      <c r="H19" s="210" t="s">
        <v>1027</v>
      </c>
      <c r="I19" s="207" t="s">
        <v>213</v>
      </c>
      <c r="J19" s="208"/>
      <c r="K19" s="211"/>
    </row>
    <row r="20" spans="3:11">
      <c r="C20" s="193"/>
      <c r="E20" s="193"/>
      <c r="H20" s="193"/>
    </row>
    <row r="21" spans="3:11">
      <c r="C21" s="193"/>
      <c r="E21" s="193"/>
      <c r="H21" s="193"/>
    </row>
    <row r="22" spans="3:11" ht="15.75">
      <c r="C22" s="193"/>
      <c r="D22" s="188" t="s">
        <v>1826</v>
      </c>
      <c r="E22" s="193"/>
      <c r="H22" s="193"/>
    </row>
    <row r="23" spans="3:11" ht="18.75" thickBot="1">
      <c r="C23" s="194" t="s">
        <v>1886</v>
      </c>
      <c r="E23" s="193"/>
      <c r="H23" s="193"/>
    </row>
    <row r="24" spans="3:11" ht="15">
      <c r="C24" s="215" t="s">
        <v>1435</v>
      </c>
      <c r="D24" s="216" t="s">
        <v>1817</v>
      </c>
      <c r="E24" s="217" t="s">
        <v>1882</v>
      </c>
      <c r="F24" s="216" t="s">
        <v>1500</v>
      </c>
      <c r="G24" s="216" t="s">
        <v>1818</v>
      </c>
      <c r="H24" s="217" t="s">
        <v>1498</v>
      </c>
      <c r="I24" s="216" t="s">
        <v>1495</v>
      </c>
      <c r="J24" s="216" t="s">
        <v>1496</v>
      </c>
      <c r="K24" s="218" t="s">
        <v>1497</v>
      </c>
    </row>
    <row r="25" spans="3:11" ht="15.75">
      <c r="C25" s="203" t="s">
        <v>735</v>
      </c>
      <c r="D25" s="197" t="s">
        <v>1436</v>
      </c>
      <c r="E25" s="199" t="s">
        <v>1444</v>
      </c>
      <c r="F25" s="1"/>
      <c r="G25" s="198" t="s">
        <v>1827</v>
      </c>
      <c r="H25" s="200" t="s">
        <v>1027</v>
      </c>
      <c r="I25" s="1"/>
      <c r="J25" s="1" t="s">
        <v>213</v>
      </c>
      <c r="K25" s="204"/>
    </row>
    <row r="26" spans="3:11" ht="15.75">
      <c r="C26" s="203" t="s">
        <v>735</v>
      </c>
      <c r="D26" s="197" t="s">
        <v>1438</v>
      </c>
      <c r="E26" s="199" t="s">
        <v>1437</v>
      </c>
      <c r="F26" s="1"/>
      <c r="G26" s="198" t="s">
        <v>1828</v>
      </c>
      <c r="H26" s="200" t="s">
        <v>1027</v>
      </c>
      <c r="I26" s="1"/>
      <c r="J26" s="1" t="s">
        <v>213</v>
      </c>
      <c r="K26" s="204"/>
    </row>
    <row r="27" spans="3:11" ht="15.75">
      <c r="C27" s="203" t="s">
        <v>1439</v>
      </c>
      <c r="D27" s="197" t="s">
        <v>1440</v>
      </c>
      <c r="E27" s="199" t="s">
        <v>1445</v>
      </c>
      <c r="F27" s="1"/>
      <c r="G27" s="198" t="s">
        <v>1821</v>
      </c>
      <c r="H27" s="200" t="s">
        <v>1027</v>
      </c>
      <c r="I27" s="1"/>
      <c r="J27" s="1" t="s">
        <v>213</v>
      </c>
      <c r="K27" s="204"/>
    </row>
    <row r="28" spans="3:11" ht="15.75">
      <c r="C28" s="203" t="s">
        <v>334</v>
      </c>
      <c r="D28" s="197" t="s">
        <v>1450</v>
      </c>
      <c r="E28" s="199" t="s">
        <v>1449</v>
      </c>
      <c r="F28" s="1"/>
      <c r="G28" s="198" t="s">
        <v>1829</v>
      </c>
      <c r="H28" s="200" t="s">
        <v>1027</v>
      </c>
      <c r="I28" s="1"/>
      <c r="J28" s="1" t="s">
        <v>213</v>
      </c>
      <c r="K28" s="204"/>
    </row>
    <row r="29" spans="3:11" ht="15.75">
      <c r="C29" s="212" t="s">
        <v>334</v>
      </c>
      <c r="D29" s="197" t="s">
        <v>1452</v>
      </c>
      <c r="E29" s="202" t="s">
        <v>1451</v>
      </c>
      <c r="F29" s="1"/>
      <c r="G29" s="1"/>
      <c r="H29" s="199" t="s">
        <v>1499</v>
      </c>
      <c r="I29" s="1"/>
      <c r="J29" s="1" t="s">
        <v>213</v>
      </c>
      <c r="K29" s="204"/>
    </row>
    <row r="30" spans="3:11" ht="48" thickBot="1">
      <c r="C30" s="205" t="s">
        <v>1441</v>
      </c>
      <c r="D30" s="206" t="s">
        <v>1503</v>
      </c>
      <c r="E30" s="219" t="s">
        <v>1453</v>
      </c>
      <c r="F30" s="208"/>
      <c r="G30" s="209" t="s">
        <v>1830</v>
      </c>
      <c r="H30" s="210" t="s">
        <v>1027</v>
      </c>
      <c r="I30" s="208"/>
      <c r="J30" s="208" t="s">
        <v>213</v>
      </c>
      <c r="K30" s="211"/>
    </row>
    <row r="31" spans="3:11">
      <c r="C31" s="193"/>
      <c r="D31" s="188"/>
      <c r="E31" s="193"/>
      <c r="H31" s="193"/>
    </row>
    <row r="32" spans="3:11">
      <c r="C32" s="193"/>
      <c r="E32" s="193"/>
      <c r="H32" s="193"/>
    </row>
    <row r="33" spans="1:11" ht="23.25">
      <c r="A33" s="195" t="s">
        <v>1888</v>
      </c>
      <c r="C33" s="193"/>
      <c r="E33" s="193"/>
      <c r="H33" s="193"/>
    </row>
    <row r="34" spans="1:11">
      <c r="C34" s="193"/>
      <c r="E34" s="193"/>
      <c r="H34" s="193"/>
    </row>
    <row r="35" spans="1:11" s="192" customFormat="1" ht="15.75">
      <c r="C35" s="193"/>
      <c r="D35" s="192" t="s">
        <v>1895</v>
      </c>
      <c r="E35" s="193"/>
      <c r="H35" s="193"/>
    </row>
    <row r="36" spans="1:11" ht="15.75">
      <c r="C36" s="193"/>
      <c r="D36" s="192" t="s">
        <v>1896</v>
      </c>
      <c r="E36" s="193"/>
      <c r="H36" s="193"/>
    </row>
    <row r="37" spans="1:11" ht="18.75" thickBot="1">
      <c r="C37" s="194" t="s">
        <v>1897</v>
      </c>
      <c r="E37" s="193"/>
      <c r="H37" s="193"/>
    </row>
    <row r="38" spans="1:11" ht="15">
      <c r="C38" s="215" t="s">
        <v>1435</v>
      </c>
      <c r="D38" s="216" t="s">
        <v>1817</v>
      </c>
      <c r="E38" s="217" t="s">
        <v>1882</v>
      </c>
      <c r="F38" s="216" t="s">
        <v>1500</v>
      </c>
      <c r="G38" s="216" t="s">
        <v>1818</v>
      </c>
      <c r="H38" s="217" t="s">
        <v>1498</v>
      </c>
      <c r="I38" s="216" t="s">
        <v>1495</v>
      </c>
      <c r="J38" s="216" t="s">
        <v>1496</v>
      </c>
      <c r="K38" s="218" t="s">
        <v>1497</v>
      </c>
    </row>
    <row r="39" spans="1:11" ht="15.75">
      <c r="C39" s="203" t="s">
        <v>1454</v>
      </c>
      <c r="D39" s="197" t="s">
        <v>1456</v>
      </c>
      <c r="E39" s="199" t="s">
        <v>1455</v>
      </c>
      <c r="F39" s="198" t="s">
        <v>1831</v>
      </c>
      <c r="G39" s="198" t="s">
        <v>1832</v>
      </c>
      <c r="H39" s="200" t="s">
        <v>1027</v>
      </c>
      <c r="I39" s="1"/>
      <c r="J39" s="1"/>
      <c r="K39" s="204" t="s">
        <v>213</v>
      </c>
    </row>
    <row r="40" spans="1:11" ht="15.75">
      <c r="C40" s="203" t="s">
        <v>1454</v>
      </c>
      <c r="D40" s="197" t="s">
        <v>1458</v>
      </c>
      <c r="E40" s="199" t="s">
        <v>1457</v>
      </c>
      <c r="F40" s="198" t="s">
        <v>1831</v>
      </c>
      <c r="G40" s="198" t="s">
        <v>1833</v>
      </c>
      <c r="H40" s="200" t="s">
        <v>1027</v>
      </c>
      <c r="I40" s="1"/>
      <c r="J40" s="1"/>
      <c r="K40" s="204" t="s">
        <v>213</v>
      </c>
    </row>
    <row r="41" spans="1:11" ht="15.75">
      <c r="C41" s="203" t="s">
        <v>1459</v>
      </c>
      <c r="D41" s="197" t="s">
        <v>1461</v>
      </c>
      <c r="E41" s="199" t="s">
        <v>1460</v>
      </c>
      <c r="F41" s="198" t="s">
        <v>1831</v>
      </c>
      <c r="G41" s="198" t="s">
        <v>1834</v>
      </c>
      <c r="H41" s="200" t="s">
        <v>1027</v>
      </c>
      <c r="I41" s="1"/>
      <c r="J41" s="1"/>
      <c r="K41" s="204" t="s">
        <v>213</v>
      </c>
    </row>
    <row r="42" spans="1:11" ht="15.75">
      <c r="C42" s="203" t="s">
        <v>1459</v>
      </c>
      <c r="D42" s="197" t="s">
        <v>1463</v>
      </c>
      <c r="E42" s="199" t="s">
        <v>1462</v>
      </c>
      <c r="F42" s="198" t="s">
        <v>1831</v>
      </c>
      <c r="G42" s="198" t="s">
        <v>1835</v>
      </c>
      <c r="H42" s="200" t="s">
        <v>1027</v>
      </c>
      <c r="I42" s="1"/>
      <c r="J42" s="1"/>
      <c r="K42" s="204" t="s">
        <v>213</v>
      </c>
    </row>
    <row r="43" spans="1:11" ht="15.75">
      <c r="C43" s="203" t="s">
        <v>1464</v>
      </c>
      <c r="D43" s="197" t="s">
        <v>1466</v>
      </c>
      <c r="E43" s="199" t="s">
        <v>1465</v>
      </c>
      <c r="F43" s="198" t="s">
        <v>1831</v>
      </c>
      <c r="G43" s="198" t="s">
        <v>1836</v>
      </c>
      <c r="H43" s="200" t="s">
        <v>1027</v>
      </c>
      <c r="I43" s="1"/>
      <c r="J43" s="1"/>
      <c r="K43" s="204" t="s">
        <v>213</v>
      </c>
    </row>
    <row r="44" spans="1:11" ht="31.5">
      <c r="C44" s="203" t="s">
        <v>1439</v>
      </c>
      <c r="D44" s="197" t="s">
        <v>1468</v>
      </c>
      <c r="E44" s="199" t="s">
        <v>1467</v>
      </c>
      <c r="F44" s="198" t="s">
        <v>1831</v>
      </c>
      <c r="G44" s="198" t="s">
        <v>1837</v>
      </c>
      <c r="H44" s="200" t="s">
        <v>1027</v>
      </c>
      <c r="I44" s="1"/>
      <c r="J44" s="1"/>
      <c r="K44" s="204" t="s">
        <v>213</v>
      </c>
    </row>
    <row r="45" spans="1:11" ht="15.75">
      <c r="C45" s="203" t="s">
        <v>1429</v>
      </c>
      <c r="D45" s="197" t="s">
        <v>1470</v>
      </c>
      <c r="E45" s="199" t="s">
        <v>1469</v>
      </c>
      <c r="F45" s="198" t="s">
        <v>1831</v>
      </c>
      <c r="G45" s="198" t="s">
        <v>1838</v>
      </c>
      <c r="H45" s="200" t="s">
        <v>1027</v>
      </c>
      <c r="I45" s="1"/>
      <c r="J45" s="1"/>
      <c r="K45" s="204" t="s">
        <v>213</v>
      </c>
    </row>
    <row r="46" spans="1:11" ht="15.75">
      <c r="C46" s="203" t="s">
        <v>1471</v>
      </c>
      <c r="D46" s="197" t="s">
        <v>1473</v>
      </c>
      <c r="E46" s="199" t="s">
        <v>1472</v>
      </c>
      <c r="F46" s="198" t="s">
        <v>1839</v>
      </c>
      <c r="G46" s="198" t="s">
        <v>1840</v>
      </c>
      <c r="H46" s="200" t="s">
        <v>1027</v>
      </c>
      <c r="I46" s="1"/>
      <c r="J46" s="1"/>
      <c r="K46" s="204" t="s">
        <v>213</v>
      </c>
    </row>
    <row r="47" spans="1:11" ht="15.75">
      <c r="C47" s="203" t="s">
        <v>1474</v>
      </c>
      <c r="D47" s="197" t="s">
        <v>1476</v>
      </c>
      <c r="E47" s="199" t="s">
        <v>1475</v>
      </c>
      <c r="F47" s="198" t="s">
        <v>1839</v>
      </c>
      <c r="G47" s="198" t="s">
        <v>1841</v>
      </c>
      <c r="H47" s="200" t="s">
        <v>1027</v>
      </c>
      <c r="I47" s="1"/>
      <c r="J47" s="1"/>
      <c r="K47" s="204" t="s">
        <v>213</v>
      </c>
    </row>
    <row r="48" spans="1:11" ht="15.75">
      <c r="C48" s="203" t="s">
        <v>1477</v>
      </c>
      <c r="D48" s="197" t="s">
        <v>1479</v>
      </c>
      <c r="E48" s="199" t="s">
        <v>1478</v>
      </c>
      <c r="F48" s="198" t="s">
        <v>1839</v>
      </c>
      <c r="G48" s="198" t="s">
        <v>1842</v>
      </c>
      <c r="H48" s="200" t="s">
        <v>1027</v>
      </c>
      <c r="I48" s="1"/>
      <c r="J48" s="1"/>
      <c r="K48" s="204" t="s">
        <v>213</v>
      </c>
    </row>
    <row r="49" spans="1:11" ht="15.75">
      <c r="C49" s="203" t="s">
        <v>1480</v>
      </c>
      <c r="D49" s="197" t="s">
        <v>1482</v>
      </c>
      <c r="E49" s="199" t="s">
        <v>1481</v>
      </c>
      <c r="F49" s="198" t="s">
        <v>1839</v>
      </c>
      <c r="G49" s="198" t="s">
        <v>1843</v>
      </c>
      <c r="H49" s="200" t="s">
        <v>1027</v>
      </c>
      <c r="I49" s="1"/>
      <c r="J49" s="1"/>
      <c r="K49" s="204" t="s">
        <v>213</v>
      </c>
    </row>
    <row r="50" spans="1:11" ht="30">
      <c r="C50" s="203" t="s">
        <v>1483</v>
      </c>
      <c r="D50" s="197" t="s">
        <v>1503</v>
      </c>
      <c r="E50" s="199" t="s">
        <v>1504</v>
      </c>
      <c r="F50" s="198" t="s">
        <v>1839</v>
      </c>
      <c r="G50" s="198" t="s">
        <v>1844</v>
      </c>
      <c r="H50" s="200" t="s">
        <v>1027</v>
      </c>
      <c r="I50" s="1"/>
      <c r="J50" s="1"/>
      <c r="K50" s="204" t="s">
        <v>213</v>
      </c>
    </row>
    <row r="51" spans="1:11" ht="30">
      <c r="C51" s="203" t="s">
        <v>1484</v>
      </c>
      <c r="D51" s="197" t="s">
        <v>1505</v>
      </c>
      <c r="E51" s="199" t="s">
        <v>1506</v>
      </c>
      <c r="F51" s="198" t="s">
        <v>1839</v>
      </c>
      <c r="G51" s="198" t="s">
        <v>1845</v>
      </c>
      <c r="H51" s="200" t="s">
        <v>1027</v>
      </c>
      <c r="I51" s="1"/>
      <c r="J51" s="1"/>
      <c r="K51" s="204" t="s">
        <v>213</v>
      </c>
    </row>
    <row r="52" spans="1:11" ht="31.5">
      <c r="C52" s="203" t="s">
        <v>1471</v>
      </c>
      <c r="D52" s="197" t="s">
        <v>1486</v>
      </c>
      <c r="E52" s="199" t="s">
        <v>1485</v>
      </c>
      <c r="F52" s="198" t="s">
        <v>1839</v>
      </c>
      <c r="G52" s="198" t="s">
        <v>1846</v>
      </c>
      <c r="H52" s="200" t="s">
        <v>1027</v>
      </c>
      <c r="I52" s="1"/>
      <c r="J52" s="1"/>
      <c r="K52" s="204" t="s">
        <v>213</v>
      </c>
    </row>
    <row r="53" spans="1:11" ht="30">
      <c r="C53" s="203" t="s">
        <v>1487</v>
      </c>
      <c r="D53" s="197" t="s">
        <v>1507</v>
      </c>
      <c r="E53" s="199" t="s">
        <v>1508</v>
      </c>
      <c r="F53" s="198" t="s">
        <v>1839</v>
      </c>
      <c r="G53" s="198" t="s">
        <v>1847</v>
      </c>
      <c r="H53" s="200" t="s">
        <v>1027</v>
      </c>
      <c r="I53" s="1"/>
      <c r="J53" s="1"/>
      <c r="K53" s="204" t="s">
        <v>213</v>
      </c>
    </row>
    <row r="54" spans="1:11" ht="15.75">
      <c r="C54" s="212" t="s">
        <v>334</v>
      </c>
      <c r="D54" s="197" t="s">
        <v>1452</v>
      </c>
      <c r="E54" s="202" t="s">
        <v>1488</v>
      </c>
      <c r="F54" s="1"/>
      <c r="G54" s="1"/>
      <c r="H54" s="200"/>
      <c r="I54" s="1"/>
      <c r="J54" s="1"/>
      <c r="K54" s="204" t="s">
        <v>213</v>
      </c>
    </row>
    <row r="55" spans="1:11" ht="30">
      <c r="C55" s="203" t="s">
        <v>1489</v>
      </c>
      <c r="D55" s="197" t="s">
        <v>1509</v>
      </c>
      <c r="E55" s="199" t="s">
        <v>1510</v>
      </c>
      <c r="F55" s="198" t="s">
        <v>1839</v>
      </c>
      <c r="G55" s="198" t="s">
        <v>1848</v>
      </c>
      <c r="H55" s="200" t="s">
        <v>1027</v>
      </c>
      <c r="I55" s="1"/>
      <c r="J55" s="1"/>
      <c r="K55" s="204" t="s">
        <v>213</v>
      </c>
    </row>
    <row r="56" spans="1:11" ht="30">
      <c r="C56" s="203" t="s">
        <v>1480</v>
      </c>
      <c r="D56" s="197" t="s">
        <v>1491</v>
      </c>
      <c r="E56" s="199" t="s">
        <v>1490</v>
      </c>
      <c r="F56" s="198" t="s">
        <v>1839</v>
      </c>
      <c r="G56" s="198" t="s">
        <v>1849</v>
      </c>
      <c r="H56" s="200" t="s">
        <v>1027</v>
      </c>
      <c r="I56" s="1"/>
      <c r="J56" s="1"/>
      <c r="K56" s="204" t="s">
        <v>213</v>
      </c>
    </row>
    <row r="57" spans="1:11" ht="30.75" thickBot="1">
      <c r="C57" s="205" t="s">
        <v>1492</v>
      </c>
      <c r="D57" s="206" t="s">
        <v>1494</v>
      </c>
      <c r="E57" s="207" t="s">
        <v>1493</v>
      </c>
      <c r="F57" s="209" t="s">
        <v>1839</v>
      </c>
      <c r="G57" s="209" t="s">
        <v>1850</v>
      </c>
      <c r="H57" s="210" t="s">
        <v>1027</v>
      </c>
      <c r="I57" s="208"/>
      <c r="J57" s="208"/>
      <c r="K57" s="211" t="s">
        <v>213</v>
      </c>
    </row>
    <row r="58" spans="1:11">
      <c r="C58" s="193"/>
      <c r="E58" s="193"/>
      <c r="H58" s="193"/>
    </row>
    <row r="59" spans="1:11" ht="15.75">
      <c r="C59" s="193"/>
      <c r="D59" s="188" t="s">
        <v>1851</v>
      </c>
      <c r="E59" s="193"/>
      <c r="H59" s="193"/>
    </row>
    <row r="60" spans="1:11" s="244" customFormat="1">
      <c r="C60" s="193"/>
      <c r="E60" s="193"/>
      <c r="H60" s="193"/>
    </row>
    <row r="61" spans="1:11" s="244" customFormat="1" ht="23.25">
      <c r="A61" s="195" t="s">
        <v>1908</v>
      </c>
      <c r="C61" s="193"/>
      <c r="E61" s="193"/>
      <c r="H61" s="193"/>
    </row>
    <row r="62" spans="1:11" s="244" customFormat="1">
      <c r="C62" s="193"/>
      <c r="E62" s="193"/>
      <c r="H62" s="193"/>
    </row>
    <row r="63" spans="1:11" s="244" customFormat="1" ht="15.75">
      <c r="C63" s="193"/>
      <c r="D63" s="244" t="s">
        <v>1909</v>
      </c>
      <c r="E63" s="193"/>
      <c r="H63" s="193"/>
    </row>
    <row r="64" spans="1:11" s="244" customFormat="1">
      <c r="C64" s="193"/>
      <c r="E64" s="193"/>
      <c r="H64" s="193"/>
    </row>
    <row r="65" spans="1:11" s="244" customFormat="1" ht="18" thickBot="1">
      <c r="C65" s="194" t="s">
        <v>1910</v>
      </c>
      <c r="E65" s="193"/>
      <c r="H65" s="193"/>
    </row>
    <row r="66" spans="1:11" s="244" customFormat="1" ht="15">
      <c r="C66" s="215" t="s">
        <v>1435</v>
      </c>
      <c r="D66" s="216" t="s">
        <v>1817</v>
      </c>
      <c r="E66" s="217" t="s">
        <v>1882</v>
      </c>
      <c r="F66" s="216" t="s">
        <v>1500</v>
      </c>
      <c r="G66" s="216" t="s">
        <v>1818</v>
      </c>
      <c r="H66" s="217" t="s">
        <v>1498</v>
      </c>
      <c r="I66" s="216" t="s">
        <v>1495</v>
      </c>
      <c r="J66" s="216" t="s">
        <v>1496</v>
      </c>
      <c r="K66" s="218" t="s">
        <v>1497</v>
      </c>
    </row>
    <row r="67" spans="1:11" s="244" customFormat="1" ht="30">
      <c r="C67" s="203"/>
      <c r="D67" s="197" t="s">
        <v>1904</v>
      </c>
      <c r="E67" s="199"/>
      <c r="F67" s="1"/>
      <c r="G67" s="198"/>
      <c r="H67" s="201" t="s">
        <v>1027</v>
      </c>
      <c r="I67" s="1"/>
      <c r="J67" s="1"/>
      <c r="K67" s="204" t="s">
        <v>213</v>
      </c>
    </row>
    <row r="68" spans="1:11" s="244" customFormat="1" ht="15.75">
      <c r="C68" s="203"/>
      <c r="D68" s="197" t="s">
        <v>1911</v>
      </c>
      <c r="E68" s="199"/>
      <c r="F68" s="1"/>
      <c r="G68" s="198"/>
      <c r="H68" s="125"/>
      <c r="I68" s="1"/>
      <c r="J68" s="1"/>
      <c r="K68" s="204" t="s">
        <v>213</v>
      </c>
    </row>
    <row r="69" spans="1:11" s="244" customFormat="1">
      <c r="C69" s="193"/>
      <c r="E69" s="193"/>
      <c r="H69" s="193"/>
    </row>
    <row r="70" spans="1:11" s="244" customFormat="1">
      <c r="E70" s="193"/>
      <c r="H70" s="193"/>
    </row>
    <row r="71" spans="1:11" ht="23.25">
      <c r="A71" s="195" t="s">
        <v>1907</v>
      </c>
      <c r="E71" s="193"/>
      <c r="H71" s="193"/>
    </row>
    <row r="72" spans="1:11">
      <c r="E72" s="193"/>
      <c r="H72" s="193"/>
    </row>
    <row r="73" spans="1:11" ht="15.75">
      <c r="D73" s="188" t="s">
        <v>1852</v>
      </c>
      <c r="E73" s="193"/>
      <c r="H73" s="193"/>
    </row>
    <row r="74" spans="1:11">
      <c r="C74" s="193"/>
      <c r="E74" s="193"/>
      <c r="H74" s="193"/>
    </row>
    <row r="75" spans="1:11" ht="18.75" thickBot="1">
      <c r="C75" s="194" t="s">
        <v>1885</v>
      </c>
      <c r="E75" s="193"/>
      <c r="H75" s="193"/>
    </row>
    <row r="76" spans="1:11" ht="15">
      <c r="C76" s="215" t="s">
        <v>1435</v>
      </c>
      <c r="D76" s="216" t="s">
        <v>1817</v>
      </c>
      <c r="E76" s="217" t="s">
        <v>1882</v>
      </c>
      <c r="F76" s="216" t="s">
        <v>1500</v>
      </c>
      <c r="G76" s="216" t="s">
        <v>1818</v>
      </c>
      <c r="H76" s="217" t="s">
        <v>1498</v>
      </c>
      <c r="I76" s="216" t="s">
        <v>1495</v>
      </c>
      <c r="J76" s="216" t="s">
        <v>1496</v>
      </c>
      <c r="K76" s="218" t="s">
        <v>1497</v>
      </c>
    </row>
    <row r="77" spans="1:11" ht="61.5">
      <c r="C77" s="203"/>
      <c r="D77" s="197" t="s">
        <v>1808</v>
      </c>
      <c r="E77" s="199"/>
      <c r="F77" s="1"/>
      <c r="G77" s="198" t="s">
        <v>1889</v>
      </c>
      <c r="H77" s="201" t="s">
        <v>1027</v>
      </c>
      <c r="I77" s="1"/>
      <c r="J77" s="1"/>
      <c r="K77" s="204" t="s">
        <v>213</v>
      </c>
    </row>
    <row r="78" spans="1:11" ht="31.5">
      <c r="C78" s="203"/>
      <c r="D78" s="197" t="s">
        <v>1809</v>
      </c>
      <c r="E78" s="199"/>
      <c r="F78" s="1"/>
      <c r="G78" s="198" t="s">
        <v>1853</v>
      </c>
      <c r="H78" s="200" t="s">
        <v>1027</v>
      </c>
      <c r="I78" s="1"/>
      <c r="J78" s="1"/>
      <c r="K78" s="204" t="s">
        <v>213</v>
      </c>
    </row>
    <row r="79" spans="1:11" ht="45.75">
      <c r="C79" s="203"/>
      <c r="D79" s="197" t="s">
        <v>1810</v>
      </c>
      <c r="E79" s="199"/>
      <c r="F79" s="1"/>
      <c r="G79" s="198" t="s">
        <v>1890</v>
      </c>
      <c r="H79" s="200" t="s">
        <v>1027</v>
      </c>
      <c r="I79" s="1"/>
      <c r="J79" s="1"/>
      <c r="K79" s="204" t="s">
        <v>213</v>
      </c>
    </row>
    <row r="80" spans="1:11" ht="45.75">
      <c r="C80" s="203"/>
      <c r="D80" s="197" t="s">
        <v>1854</v>
      </c>
      <c r="E80" s="199"/>
      <c r="F80" s="1"/>
      <c r="G80" s="198" t="s">
        <v>1891</v>
      </c>
      <c r="H80" s="200" t="s">
        <v>1027</v>
      </c>
      <c r="I80" s="1"/>
      <c r="J80" s="1"/>
      <c r="K80" s="204" t="s">
        <v>213</v>
      </c>
    </row>
    <row r="81" spans="3:11" ht="45.75">
      <c r="C81" s="203"/>
      <c r="D81" s="197" t="s">
        <v>1855</v>
      </c>
      <c r="E81" s="199"/>
      <c r="F81" s="1"/>
      <c r="G81" s="198" t="s">
        <v>1892</v>
      </c>
      <c r="H81" s="200" t="s">
        <v>1027</v>
      </c>
      <c r="I81" s="1"/>
      <c r="J81" s="1"/>
      <c r="K81" s="204" t="s">
        <v>213</v>
      </c>
    </row>
    <row r="82" spans="3:11" ht="30">
      <c r="C82" s="203"/>
      <c r="D82" s="197" t="s">
        <v>1856</v>
      </c>
      <c r="E82" s="199"/>
      <c r="F82" s="1"/>
      <c r="G82" s="198" t="s">
        <v>1857</v>
      </c>
      <c r="H82" s="200" t="s">
        <v>1027</v>
      </c>
      <c r="I82" s="1"/>
      <c r="J82" s="1"/>
      <c r="K82" s="204" t="s">
        <v>213</v>
      </c>
    </row>
    <row r="83" spans="3:11" ht="62.25" thickBot="1">
      <c r="C83" s="205"/>
      <c r="D83" s="206" t="s">
        <v>1858</v>
      </c>
      <c r="E83" s="207"/>
      <c r="F83" s="208"/>
      <c r="G83" s="209" t="s">
        <v>1893</v>
      </c>
      <c r="H83" s="210" t="s">
        <v>1027</v>
      </c>
      <c r="I83" s="208"/>
      <c r="J83" s="208"/>
      <c r="K83" s="211" t="s">
        <v>213</v>
      </c>
    </row>
    <row r="84" spans="3:11">
      <c r="C84" s="193"/>
      <c r="E84" s="193"/>
      <c r="H84" s="193"/>
    </row>
    <row r="85" spans="3:11" ht="15.75">
      <c r="C85" s="193"/>
      <c r="D85" s="188" t="s">
        <v>1859</v>
      </c>
      <c r="E85" s="193"/>
      <c r="H85" s="193"/>
    </row>
    <row r="86" spans="3:11">
      <c r="C86" s="193"/>
      <c r="E86" s="193"/>
      <c r="H86" s="193"/>
    </row>
    <row r="87" spans="3:11" ht="18.75" thickBot="1">
      <c r="C87" s="194" t="s">
        <v>1883</v>
      </c>
      <c r="E87" s="193"/>
      <c r="H87" s="193"/>
    </row>
    <row r="88" spans="3:11" ht="15">
      <c r="C88" s="215" t="s">
        <v>1435</v>
      </c>
      <c r="D88" s="216" t="s">
        <v>1817</v>
      </c>
      <c r="E88" s="217" t="s">
        <v>1882</v>
      </c>
      <c r="F88" s="216" t="s">
        <v>1500</v>
      </c>
      <c r="G88" s="216" t="s">
        <v>1818</v>
      </c>
      <c r="H88" s="217" t="s">
        <v>1498</v>
      </c>
      <c r="I88" s="216" t="s">
        <v>1495</v>
      </c>
      <c r="J88" s="216" t="s">
        <v>1496</v>
      </c>
      <c r="K88" s="218" t="s">
        <v>1497</v>
      </c>
    </row>
    <row r="89" spans="3:11" ht="46.5" thickBot="1">
      <c r="C89" s="205" t="s">
        <v>1459</v>
      </c>
      <c r="D89" s="206" t="s">
        <v>1860</v>
      </c>
      <c r="E89" s="207"/>
      <c r="F89" s="208"/>
      <c r="G89" s="209" t="s">
        <v>1861</v>
      </c>
      <c r="H89" s="210" t="s">
        <v>1027</v>
      </c>
      <c r="I89" s="207" t="s">
        <v>213</v>
      </c>
      <c r="J89" s="208"/>
      <c r="K89" s="211"/>
    </row>
    <row r="91" spans="3:11" ht="15.75">
      <c r="D91" s="188" t="s">
        <v>1862</v>
      </c>
    </row>
    <row r="92" spans="3:11" ht="17.25">
      <c r="C92" s="189"/>
    </row>
    <row r="93" spans="3:11" ht="18.75" thickBot="1">
      <c r="C93" s="194" t="s">
        <v>1884</v>
      </c>
    </row>
    <row r="94" spans="3:11" ht="15">
      <c r="C94" s="215" t="s">
        <v>1435</v>
      </c>
      <c r="D94" s="216" t="s">
        <v>1817</v>
      </c>
      <c r="E94" s="217" t="s">
        <v>1882</v>
      </c>
      <c r="F94" s="216" t="s">
        <v>1500</v>
      </c>
      <c r="G94" s="216" t="s">
        <v>1818</v>
      </c>
      <c r="H94" s="217" t="s">
        <v>1498</v>
      </c>
      <c r="I94" s="216" t="s">
        <v>1495</v>
      </c>
      <c r="J94" s="216" t="s">
        <v>1496</v>
      </c>
      <c r="K94" s="218" t="s">
        <v>1497</v>
      </c>
    </row>
    <row r="95" spans="3:11" ht="90.75" thickBot="1">
      <c r="C95" s="213"/>
      <c r="D95" s="206" t="s">
        <v>1863</v>
      </c>
      <c r="E95" s="208"/>
      <c r="F95" s="208"/>
      <c r="G95" s="209" t="s">
        <v>1894</v>
      </c>
      <c r="H95" s="214"/>
      <c r="I95" s="208"/>
      <c r="J95" s="208"/>
      <c r="K95" s="211" t="s">
        <v>213</v>
      </c>
    </row>
    <row r="97" spans="1:7" ht="23.25">
      <c r="A97" s="195" t="s">
        <v>1905</v>
      </c>
    </row>
    <row r="99" spans="1:7" ht="76.5">
      <c r="D99" s="190" t="s">
        <v>1864</v>
      </c>
      <c r="F99" s="190" t="s">
        <v>1866</v>
      </c>
      <c r="G99" s="190" t="s">
        <v>1865</v>
      </c>
    </row>
    <row r="100" spans="1:7" ht="15.75">
      <c r="D100" s="191" t="s">
        <v>1867</v>
      </c>
      <c r="F100" s="26" t="s">
        <v>1869</v>
      </c>
      <c r="G100" s="26" t="s">
        <v>1868</v>
      </c>
    </row>
    <row r="101" spans="1:7" ht="15.75">
      <c r="D101" s="191" t="s">
        <v>1870</v>
      </c>
      <c r="F101" s="26" t="s">
        <v>1869</v>
      </c>
      <c r="G101" s="26" t="s">
        <v>1868</v>
      </c>
    </row>
    <row r="102" spans="1:7" ht="15.75">
      <c r="D102" s="191" t="s">
        <v>1871</v>
      </c>
      <c r="F102" s="26" t="s">
        <v>1868</v>
      </c>
      <c r="G102" s="26" t="s">
        <v>1868</v>
      </c>
    </row>
    <row r="103" spans="1:7" ht="15.75">
      <c r="D103" s="26" t="s">
        <v>1872</v>
      </c>
      <c r="F103" s="26" t="s">
        <v>1868</v>
      </c>
      <c r="G103" s="26" t="s">
        <v>1869</v>
      </c>
    </row>
    <row r="104" spans="1:7" ht="15.75">
      <c r="D104" s="191" t="s">
        <v>1873</v>
      </c>
      <c r="F104" s="26" t="s">
        <v>1868</v>
      </c>
      <c r="G104" s="26" t="s">
        <v>1869</v>
      </c>
    </row>
    <row r="105" spans="1:7" ht="15.75">
      <c r="D105" s="191" t="s">
        <v>1874</v>
      </c>
      <c r="F105" s="26" t="s">
        <v>1868</v>
      </c>
      <c r="G105" s="26" t="s">
        <v>1869</v>
      </c>
    </row>
    <row r="107" spans="1:7">
      <c r="D107" t="s">
        <v>1875</v>
      </c>
    </row>
    <row r="109" spans="1:7" ht="23.25">
      <c r="A109" s="195" t="s">
        <v>1906</v>
      </c>
    </row>
    <row r="111" spans="1:7" ht="15.75">
      <c r="D111" s="188" t="s">
        <v>1876</v>
      </c>
    </row>
    <row r="113" spans="4:4" ht="15.75">
      <c r="D113" s="188" t="s">
        <v>1877</v>
      </c>
    </row>
    <row r="115" spans="4:4" ht="15.75">
      <c r="D115" s="188" t="s">
        <v>1878</v>
      </c>
    </row>
    <row r="117" spans="4:4" ht="15.75">
      <c r="D117" s="188" t="s">
        <v>1879</v>
      </c>
    </row>
    <row r="119" spans="4:4">
      <c r="D119" t="s">
        <v>1880</v>
      </c>
    </row>
    <row r="121" spans="4:4" ht="15.75">
      <c r="D121" s="188" t="s">
        <v>1881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sheetPr codeName="Feuil7">
    <tabColor rgb="FFFFC000"/>
  </sheetPr>
  <dimension ref="A1:I22"/>
  <sheetViews>
    <sheetView zoomScale="85" zoomScaleNormal="85" workbookViewId="0">
      <selection activeCell="G11" sqref="G11"/>
    </sheetView>
  </sheetViews>
  <sheetFormatPr baseColWidth="10" defaultRowHeight="14.25"/>
  <sheetData>
    <row r="1" spans="1:1" ht="18">
      <c r="A1" s="235" t="s">
        <v>1901</v>
      </c>
    </row>
    <row r="4" spans="1:1" s="234" customFormat="1"/>
    <row r="5" spans="1:1" s="234" customFormat="1"/>
    <row r="6" spans="1:1" s="234" customFormat="1"/>
    <row r="7" spans="1:1" s="234" customFormat="1"/>
    <row r="9" spans="1:1" s="241" customFormat="1"/>
    <row r="10" spans="1:1" s="241" customFormat="1"/>
    <row r="17" spans="7:9">
      <c r="G17" s="228"/>
    </row>
    <row r="22" spans="7:9">
      <c r="I22" s="242"/>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TypeSignals"/>
  <dimension ref="A1:C8"/>
  <sheetViews>
    <sheetView workbookViewId="0">
      <selection activeCell="B4" sqref="B4"/>
    </sheetView>
  </sheetViews>
  <sheetFormatPr baseColWidth="10" defaultRowHeight="14.25"/>
  <cols>
    <col min="1" max="1" width="29.25" customWidth="1"/>
    <col min="2" max="2" width="6.875" customWidth="1"/>
    <col min="3" max="3" width="2.125" customWidth="1"/>
  </cols>
  <sheetData>
    <row r="1" spans="1:3" ht="80.25" customHeight="1">
      <c r="A1" t="s">
        <v>1417</v>
      </c>
      <c r="B1" t="s">
        <v>1416</v>
      </c>
      <c r="C1" s="107" t="s">
        <v>1593</v>
      </c>
    </row>
    <row r="2" spans="1:3">
      <c r="A2" t="s">
        <v>759</v>
      </c>
      <c r="B2" t="s">
        <v>1415</v>
      </c>
      <c r="C2" s="40"/>
    </row>
    <row r="3" spans="1:3">
      <c r="A3" t="s">
        <v>762</v>
      </c>
      <c r="B3" t="s">
        <v>1414</v>
      </c>
      <c r="C3" s="41"/>
    </row>
    <row r="4" spans="1:3">
      <c r="B4" s="192"/>
      <c r="C4" s="36"/>
    </row>
    <row r="5" spans="1:3">
      <c r="C5" s="42"/>
    </row>
    <row r="6" spans="1:3">
      <c r="C6" s="35"/>
    </row>
    <row r="7" spans="1:3">
      <c r="C7" s="38"/>
    </row>
    <row r="8" spans="1:3">
      <c r="A8" s="251" t="s">
        <v>1554</v>
      </c>
      <c r="B8" s="251"/>
      <c r="C8" s="251"/>
    </row>
  </sheetData>
  <mergeCells count="1">
    <mergeCell ref="A8:C8"/>
  </mergeCells>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sheetPr codeName="APIs"/>
  <dimension ref="A1:V13"/>
  <sheetViews>
    <sheetView workbookViewId="0">
      <selection activeCell="R3" sqref="R3"/>
    </sheetView>
  </sheetViews>
  <sheetFormatPr baseColWidth="10" defaultRowHeight="14.25" outlineLevelCol="1"/>
  <cols>
    <col min="1" max="2" width="8.25" customWidth="1"/>
    <col min="3" max="3" width="15.375" customWidth="1"/>
    <col min="4" max="4" width="5.875" customWidth="1"/>
    <col min="5" max="10" width="6.25" hidden="1" customWidth="1" outlineLevel="1"/>
    <col min="11" max="16" width="7.875" hidden="1" customWidth="1" outlineLevel="1"/>
    <col min="17" max="17" width="7.75" customWidth="1" collapsed="1"/>
    <col min="18" max="22" width="7.75" customWidth="1"/>
  </cols>
  <sheetData>
    <row r="1" spans="1:22" ht="42.95" customHeight="1">
      <c r="A1" s="84" t="s">
        <v>1418</v>
      </c>
      <c r="B1" t="s">
        <v>1605</v>
      </c>
      <c r="C1" t="s">
        <v>1586</v>
      </c>
      <c r="D1" s="43" t="s">
        <v>1557</v>
      </c>
      <c r="E1" s="30" t="s">
        <v>1420</v>
      </c>
      <c r="F1" s="30" t="s">
        <v>1421</v>
      </c>
      <c r="G1" s="30" t="s">
        <v>1422</v>
      </c>
      <c r="H1" s="30" t="s">
        <v>1423</v>
      </c>
      <c r="I1" s="30" t="s">
        <v>1424</v>
      </c>
      <c r="J1" s="30" t="s">
        <v>1425</v>
      </c>
      <c r="K1" s="29" t="s">
        <v>1539</v>
      </c>
      <c r="L1" s="29" t="s">
        <v>1540</v>
      </c>
      <c r="M1" s="29" t="s">
        <v>1541</v>
      </c>
      <c r="N1" s="29" t="s">
        <v>1542</v>
      </c>
      <c r="O1" s="29" t="s">
        <v>1543</v>
      </c>
      <c r="P1" s="29" t="s">
        <v>1544</v>
      </c>
      <c r="Q1" s="31" t="s">
        <v>1545</v>
      </c>
      <c r="R1" s="31" t="s">
        <v>1546</v>
      </c>
      <c r="S1" s="31" t="s">
        <v>1547</v>
      </c>
      <c r="T1" s="31" t="s">
        <v>1548</v>
      </c>
      <c r="U1" s="31" t="s">
        <v>1549</v>
      </c>
      <c r="V1" s="31" t="s">
        <v>1550</v>
      </c>
    </row>
    <row r="2" spans="1:22">
      <c r="A2" s="84">
        <v>1</v>
      </c>
      <c r="B2" t="s">
        <v>1627</v>
      </c>
      <c r="C2" t="s">
        <v>1587</v>
      </c>
      <c r="D2" s="28"/>
      <c r="E2" s="30">
        <f>SUMIFS(Tableau1[TS1],Tableau1[ID-API],Tableau7[[#This Row],[ID-API]])</f>
        <v>0</v>
      </c>
      <c r="F2" s="30">
        <f>SUMIFS(Tableau1[TS2],Tableau1[ID-API],Tableau7[[#This Row],[ID-API]])</f>
        <v>0</v>
      </c>
      <c r="G2" s="30">
        <f>SUMIFS(Tableau1[TS3],Tableau1[ID-API],Tableau7[[#This Row],[ID-API]])</f>
        <v>0</v>
      </c>
      <c r="H2" s="30">
        <f>SUMIFS(Tableau1[TS4],Tableau1[ID-API],Tableau7[[#This Row],[ID-API]])</f>
        <v>0</v>
      </c>
      <c r="I2" s="30">
        <f>SUMIFS(Tableau1[TS5],Tableau1[ID-API],Tableau7[[#This Row],[ID-API]])</f>
        <v>0</v>
      </c>
      <c r="J2" s="30">
        <f>SUMIFS(Tableau1[TS6],Tableau1[ID-API],Tableau7[[#This Row],[ID-API]])</f>
        <v>0</v>
      </c>
      <c r="K2" s="29">
        <f>SUMIFS(Tableau1[TS1-T],Tableau1[ID-API],Tableau7[[#This Row],[ID-API]])</f>
        <v>112</v>
      </c>
      <c r="L2" s="29">
        <f>SUMIFS(Tableau1[TS2-T],Tableau1[ID-API],Tableau7[[#This Row],[ID-API]])</f>
        <v>88</v>
      </c>
      <c r="M2" s="29">
        <f>SUMIFS(Tableau1[TS3-T],Tableau1[ID-API],Tableau7[[#This Row],[ID-API]])</f>
        <v>0</v>
      </c>
      <c r="N2" s="29">
        <f>SUMIFS(Tableau1[TS4-T],Tableau1[ID-API],Tableau7[[#This Row],[ID-API]])</f>
        <v>0</v>
      </c>
      <c r="O2" s="29">
        <f>SUMIFS(Tableau1[TS5-T],Tableau1[ID-API],Tableau7[[#This Row],[ID-API]])</f>
        <v>0</v>
      </c>
      <c r="P2" s="29">
        <f>SUMIFS(Tableau1[TS6-T],Tableau1[ID-API],Tableau7[[#This Row],[ID-API]])</f>
        <v>0</v>
      </c>
      <c r="Q2" s="32">
        <f>IFERROR(Tableau7[[#This Row],[TS1]]/Tableau7[[#This Row],[TS1-T]],"")</f>
        <v>0</v>
      </c>
      <c r="R2" s="32">
        <f>IFERROR(Tableau7[[#This Row],[TS2]]/Tableau7[[#This Row],[TS2-T]],"")</f>
        <v>0</v>
      </c>
      <c r="S2" s="32" t="str">
        <f>IFERROR(Tableau7[[#This Row],[TS3]]/Tableau7[[#This Row],[TS3-T]],"")</f>
        <v/>
      </c>
      <c r="T2" s="32" t="str">
        <f>IFERROR(Tableau7[[#This Row],[TS4]]/Tableau7[[#This Row],[TS4-T]],"")</f>
        <v/>
      </c>
      <c r="U2" s="32" t="str">
        <f>IFERROR(Tableau7[[#This Row],[TS5]]/Tableau7[[#This Row],[TS5-T]],"")</f>
        <v/>
      </c>
      <c r="V2" s="32" t="str">
        <f>IFERROR(Tableau7[[#This Row],[TS6]]/Tableau7[[#This Row],[TS6-T]],"")</f>
        <v/>
      </c>
    </row>
    <row r="3" spans="1:22">
      <c r="A3" s="84">
        <v>2</v>
      </c>
      <c r="B3" t="s">
        <v>1632</v>
      </c>
      <c r="D3" s="25"/>
      <c r="E3" s="30">
        <f>SUMIFS(Tableau1[TS1],Tableau1[ID-API],Tableau7[[#This Row],[ID-API]])</f>
        <v>0</v>
      </c>
      <c r="F3" s="30">
        <f>SUMIFS(Tableau1[TS2],Tableau1[ID-API],Tableau7[[#This Row],[ID-API]])</f>
        <v>8</v>
      </c>
      <c r="G3" s="30">
        <f>SUMIFS(Tableau1[TS3],Tableau1[ID-API],Tableau7[[#This Row],[ID-API]])</f>
        <v>0</v>
      </c>
      <c r="H3" s="30">
        <f>SUMIFS(Tableau1[TS4],Tableau1[ID-API],Tableau7[[#This Row],[ID-API]])</f>
        <v>0</v>
      </c>
      <c r="I3" s="30">
        <f>SUMIFS(Tableau1[TS5],Tableau1[ID-API],Tableau7[[#This Row],[ID-API]])</f>
        <v>0</v>
      </c>
      <c r="J3" s="30">
        <f>SUMIFS(Tableau1[TS6],Tableau1[ID-API],Tableau7[[#This Row],[ID-API]])</f>
        <v>0</v>
      </c>
      <c r="K3" s="29">
        <f>SUMIFS(Tableau1[TS1-T],Tableau1[ID-API],Tableau7[[#This Row],[ID-API]])</f>
        <v>128</v>
      </c>
      <c r="L3" s="29">
        <f>SUMIFS(Tableau1[TS2-T],Tableau1[ID-API],Tableau7[[#This Row],[ID-API]])</f>
        <v>56</v>
      </c>
      <c r="M3" s="29">
        <f>SUMIFS(Tableau1[TS3-T],Tableau1[ID-API],Tableau7[[#This Row],[ID-API]])</f>
        <v>0</v>
      </c>
      <c r="N3" s="29">
        <f>SUMIFS(Tableau1[TS4-T],Tableau1[ID-API],Tableau7[[#This Row],[ID-API]])</f>
        <v>0</v>
      </c>
      <c r="O3" s="29">
        <f>SUMIFS(Tableau1[TS5-T],Tableau1[ID-API],Tableau7[[#This Row],[ID-API]])</f>
        <v>0</v>
      </c>
      <c r="P3" s="29">
        <f>SUMIFS(Tableau1[TS6-T],Tableau1[ID-API],Tableau7[[#This Row],[ID-API]])</f>
        <v>0</v>
      </c>
      <c r="Q3" s="32">
        <f>IFERROR(Tableau7[[#This Row],[TS1]]/Tableau7[[#This Row],[TS1-T]],"")</f>
        <v>0</v>
      </c>
      <c r="R3" s="32">
        <f>IFERROR(Tableau7[[#This Row],[TS2]]/Tableau7[[#This Row],[TS2-T]],"")</f>
        <v>0.14285714285714285</v>
      </c>
      <c r="S3" s="32" t="str">
        <f>IFERROR(Tableau7[[#This Row],[TS3]]/Tableau7[[#This Row],[TS3-T]],"")</f>
        <v/>
      </c>
      <c r="T3" s="32" t="str">
        <f>IFERROR(Tableau7[[#This Row],[TS4]]/Tableau7[[#This Row],[TS4-T]],"")</f>
        <v/>
      </c>
      <c r="U3" s="32" t="str">
        <f>IFERROR(Tableau7[[#This Row],[TS5]]/Tableau7[[#This Row],[TS5-T]],"")</f>
        <v/>
      </c>
      <c r="V3" s="32" t="str">
        <f>IFERROR(Tableau7[[#This Row],[TS6]]/Tableau7[[#This Row],[TS6-T]],"")</f>
        <v/>
      </c>
    </row>
    <row r="4" spans="1:22">
      <c r="A4" s="84">
        <v>3</v>
      </c>
      <c r="B4" t="s">
        <v>1633</v>
      </c>
      <c r="D4" s="34"/>
      <c r="E4" s="30">
        <f>SUMIFS(Tableau1[TS1],Tableau1[ID-API],Tableau7[[#This Row],[ID-API]])</f>
        <v>0</v>
      </c>
      <c r="F4" s="30">
        <f>SUMIFS(Tableau1[TS2],Tableau1[ID-API],Tableau7[[#This Row],[ID-API]])</f>
        <v>16</v>
      </c>
      <c r="G4" s="30">
        <f>SUMIFS(Tableau1[TS3],Tableau1[ID-API],Tableau7[[#This Row],[ID-API]])</f>
        <v>0</v>
      </c>
      <c r="H4" s="30">
        <f>SUMIFS(Tableau1[TS4],Tableau1[ID-API],Tableau7[[#This Row],[ID-API]])</f>
        <v>0</v>
      </c>
      <c r="I4" s="30">
        <f>SUMIFS(Tableau1[TS5],Tableau1[ID-API],Tableau7[[#This Row],[ID-API]])</f>
        <v>0</v>
      </c>
      <c r="J4" s="30">
        <f>SUMIFS(Tableau1[TS6],Tableau1[ID-API],Tableau7[[#This Row],[ID-API]])</f>
        <v>0</v>
      </c>
      <c r="K4" s="29">
        <f>SUMIFS(Tableau1[TS1-T],Tableau1[ID-API],Tableau7[[#This Row],[ID-API]])</f>
        <v>112</v>
      </c>
      <c r="L4" s="29">
        <f>SUMIFS(Tableau1[TS2-T],Tableau1[ID-API],Tableau7[[#This Row],[ID-API]])</f>
        <v>72</v>
      </c>
      <c r="M4" s="29">
        <f>SUMIFS(Tableau1[TS3-T],Tableau1[ID-API],Tableau7[[#This Row],[ID-API]])</f>
        <v>0</v>
      </c>
      <c r="N4" s="29">
        <f>SUMIFS(Tableau1[TS4-T],Tableau1[ID-API],Tableau7[[#This Row],[ID-API]])</f>
        <v>0</v>
      </c>
      <c r="O4" s="29">
        <f>SUMIFS(Tableau1[TS5-T],Tableau1[ID-API],Tableau7[[#This Row],[ID-API]])</f>
        <v>0</v>
      </c>
      <c r="P4" s="29">
        <f>SUMIFS(Tableau1[TS6-T],Tableau1[ID-API],Tableau7[[#This Row],[ID-API]])</f>
        <v>0</v>
      </c>
      <c r="Q4" s="32">
        <f>IFERROR(Tableau7[[#This Row],[TS1]]/Tableau7[[#This Row],[TS1-T]],"")</f>
        <v>0</v>
      </c>
      <c r="R4" s="32">
        <f>IFERROR(Tableau7[[#This Row],[TS2]]/Tableau7[[#This Row],[TS2-T]],"")</f>
        <v>0.22222222222222221</v>
      </c>
      <c r="S4" s="32" t="str">
        <f>IFERROR(Tableau7[[#This Row],[TS3]]/Tableau7[[#This Row],[TS3-T]],"")</f>
        <v/>
      </c>
      <c r="T4" s="32" t="str">
        <f>IFERROR(Tableau7[[#This Row],[TS4]]/Tableau7[[#This Row],[TS4-T]],"")</f>
        <v/>
      </c>
      <c r="U4" s="32" t="str">
        <f>IFERROR(Tableau7[[#This Row],[TS5]]/Tableau7[[#This Row],[TS5-T]],"")</f>
        <v/>
      </c>
      <c r="V4" s="32" t="str">
        <f>IFERROR(Tableau7[[#This Row],[TS6]]/Tableau7[[#This Row],[TS6-T]],"")</f>
        <v/>
      </c>
    </row>
    <row r="5" spans="1:22">
      <c r="A5" s="84">
        <v>4</v>
      </c>
      <c r="B5" t="s">
        <v>1634</v>
      </c>
      <c r="D5" s="35"/>
      <c r="E5" s="30">
        <f>SUMIFS(Tableau1[TS1],Tableau1[ID-API],Tableau7[[#This Row],[ID-API]])</f>
        <v>16</v>
      </c>
      <c r="F5" s="30">
        <f>SUMIFS(Tableau1[TS2],Tableau1[ID-API],Tableau7[[#This Row],[ID-API]])</f>
        <v>8</v>
      </c>
      <c r="G5" s="30">
        <f>SUMIFS(Tableau1[TS3],Tableau1[ID-API],Tableau7[[#This Row],[ID-API]])</f>
        <v>0</v>
      </c>
      <c r="H5" s="30">
        <f>SUMIFS(Tableau1[TS4],Tableau1[ID-API],Tableau7[[#This Row],[ID-API]])</f>
        <v>0</v>
      </c>
      <c r="I5" s="30">
        <f>SUMIFS(Tableau1[TS5],Tableau1[ID-API],Tableau7[[#This Row],[ID-API]])</f>
        <v>0</v>
      </c>
      <c r="J5" s="30">
        <f>SUMIFS(Tableau1[TS6],Tableau1[ID-API],Tableau7[[#This Row],[ID-API]])</f>
        <v>0</v>
      </c>
      <c r="K5" s="29">
        <f>SUMIFS(Tableau1[TS1-T],Tableau1[ID-API],Tableau7[[#This Row],[ID-API]])</f>
        <v>112</v>
      </c>
      <c r="L5" s="29">
        <f>SUMIFS(Tableau1[TS2-T],Tableau1[ID-API],Tableau7[[#This Row],[ID-API]])</f>
        <v>48</v>
      </c>
      <c r="M5" s="29">
        <f>SUMIFS(Tableau1[TS3-T],Tableau1[ID-API],Tableau7[[#This Row],[ID-API]])</f>
        <v>0</v>
      </c>
      <c r="N5" s="29">
        <f>SUMIFS(Tableau1[TS4-T],Tableau1[ID-API],Tableau7[[#This Row],[ID-API]])</f>
        <v>0</v>
      </c>
      <c r="O5" s="29">
        <f>SUMIFS(Tableau1[TS5-T],Tableau1[ID-API],Tableau7[[#This Row],[ID-API]])</f>
        <v>0</v>
      </c>
      <c r="P5" s="29">
        <f>SUMIFS(Tableau1[TS6-T],Tableau1[ID-API],Tableau7[[#This Row],[ID-API]])</f>
        <v>0</v>
      </c>
      <c r="Q5" s="32">
        <f>IFERROR(Tableau7[[#This Row],[TS1]]/Tableau7[[#This Row],[TS1-T]],"")</f>
        <v>0.14285714285714285</v>
      </c>
      <c r="R5" s="32">
        <f>IFERROR(Tableau7[[#This Row],[TS2]]/Tableau7[[#This Row],[TS2-T]],"")</f>
        <v>0.16666666666666666</v>
      </c>
      <c r="S5" s="32" t="str">
        <f>IFERROR(Tableau7[[#This Row],[TS3]]/Tableau7[[#This Row],[TS3-T]],"")</f>
        <v/>
      </c>
      <c r="T5" s="32" t="str">
        <f>IFERROR(Tableau7[[#This Row],[TS4]]/Tableau7[[#This Row],[TS4-T]],"")</f>
        <v/>
      </c>
      <c r="U5" s="32" t="str">
        <f>IFERROR(Tableau7[[#This Row],[TS5]]/Tableau7[[#This Row],[TS5-T]],"")</f>
        <v/>
      </c>
      <c r="V5" s="32" t="str">
        <f>IFERROR(Tableau7[[#This Row],[TS6]]/Tableau7[[#This Row],[TS6-T]],"")</f>
        <v/>
      </c>
    </row>
    <row r="6" spans="1:22">
      <c r="A6" s="84">
        <v>5</v>
      </c>
      <c r="B6" t="s">
        <v>1635</v>
      </c>
      <c r="D6" s="36"/>
      <c r="E6" s="30">
        <f>SUMIFS(Tableau1[TS1],Tableau1[ID-API],Tableau7[[#This Row],[ID-API]])</f>
        <v>0</v>
      </c>
      <c r="F6" s="30">
        <f>SUMIFS(Tableau1[TS2],Tableau1[ID-API],Tableau7[[#This Row],[ID-API]])</f>
        <v>16</v>
      </c>
      <c r="G6" s="30">
        <f>SUMIFS(Tableau1[TS3],Tableau1[ID-API],Tableau7[[#This Row],[ID-API]])</f>
        <v>0</v>
      </c>
      <c r="H6" s="30">
        <f>SUMIFS(Tableau1[TS4],Tableau1[ID-API],Tableau7[[#This Row],[ID-API]])</f>
        <v>0</v>
      </c>
      <c r="I6" s="30">
        <f>SUMIFS(Tableau1[TS5],Tableau1[ID-API],Tableau7[[#This Row],[ID-API]])</f>
        <v>0</v>
      </c>
      <c r="J6" s="30">
        <f>SUMIFS(Tableau1[TS6],Tableau1[ID-API],Tableau7[[#This Row],[ID-API]])</f>
        <v>0</v>
      </c>
      <c r="K6" s="29">
        <f>SUMIFS(Tableau1[TS1-T],Tableau1[ID-API],Tableau7[[#This Row],[ID-API]])</f>
        <v>160</v>
      </c>
      <c r="L6" s="29">
        <f>SUMIFS(Tableau1[TS2-T],Tableau1[ID-API],Tableau7[[#This Row],[ID-API]])</f>
        <v>64</v>
      </c>
      <c r="M6" s="29">
        <f>SUMIFS(Tableau1[TS3-T],Tableau1[ID-API],Tableau7[[#This Row],[ID-API]])</f>
        <v>0</v>
      </c>
      <c r="N6" s="29">
        <f>SUMIFS(Tableau1[TS4-T],Tableau1[ID-API],Tableau7[[#This Row],[ID-API]])</f>
        <v>0</v>
      </c>
      <c r="O6" s="29">
        <f>SUMIFS(Tableau1[TS5-T],Tableau1[ID-API],Tableau7[[#This Row],[ID-API]])</f>
        <v>0</v>
      </c>
      <c r="P6" s="29">
        <f>SUMIFS(Tableau1[TS6-T],Tableau1[ID-API],Tableau7[[#This Row],[ID-API]])</f>
        <v>0</v>
      </c>
      <c r="Q6" s="32">
        <f>IFERROR(Tableau7[[#This Row],[TS1]]/Tableau7[[#This Row],[TS1-T]],"")</f>
        <v>0</v>
      </c>
      <c r="R6" s="32">
        <f>IFERROR(Tableau7[[#This Row],[TS2]]/Tableau7[[#This Row],[TS2-T]],"")</f>
        <v>0.25</v>
      </c>
      <c r="S6" s="32" t="str">
        <f>IFERROR(Tableau7[[#This Row],[TS3]]/Tableau7[[#This Row],[TS3-T]],"")</f>
        <v/>
      </c>
      <c r="T6" s="32" t="str">
        <f>IFERROR(Tableau7[[#This Row],[TS4]]/Tableau7[[#This Row],[TS4-T]],"")</f>
        <v/>
      </c>
      <c r="U6" s="32" t="str">
        <f>IFERROR(Tableau7[[#This Row],[TS5]]/Tableau7[[#This Row],[TS5-T]],"")</f>
        <v/>
      </c>
      <c r="V6" s="32" t="str">
        <f>IFERROR(Tableau7[[#This Row],[TS6]]/Tableau7[[#This Row],[TS6-T]],"")</f>
        <v/>
      </c>
    </row>
    <row r="7" spans="1:22">
      <c r="A7" s="84">
        <v>6</v>
      </c>
      <c r="B7" t="s">
        <v>1636</v>
      </c>
      <c r="D7" s="37"/>
      <c r="E7" s="30">
        <f>SUMIFS(Tableau1[TS1],Tableau1[ID-API],Tableau7[[#This Row],[ID-API]])</f>
        <v>0</v>
      </c>
      <c r="F7" s="30">
        <f>SUMIFS(Tableau1[TS2],Tableau1[ID-API],Tableau7[[#This Row],[ID-API]])</f>
        <v>0</v>
      </c>
      <c r="G7" s="30">
        <f>SUMIFS(Tableau1[TS3],Tableau1[ID-API],Tableau7[[#This Row],[ID-API]])</f>
        <v>0</v>
      </c>
      <c r="H7" s="30">
        <f>SUMIFS(Tableau1[TS4],Tableau1[ID-API],Tableau7[[#This Row],[ID-API]])</f>
        <v>0</v>
      </c>
      <c r="I7" s="30">
        <f>SUMIFS(Tableau1[TS5],Tableau1[ID-API],Tableau7[[#This Row],[ID-API]])</f>
        <v>0</v>
      </c>
      <c r="J7" s="30">
        <f>SUMIFS(Tableau1[TS6],Tableau1[ID-API],Tableau7[[#This Row],[ID-API]])</f>
        <v>0</v>
      </c>
      <c r="K7" s="29">
        <f>SUMIFS(Tableau1[TS1-T],Tableau1[ID-API],Tableau7[[#This Row],[ID-API]])</f>
        <v>128</v>
      </c>
      <c r="L7" s="29">
        <f>SUMIFS(Tableau1[TS2-T],Tableau1[ID-API],Tableau7[[#This Row],[ID-API]])</f>
        <v>80</v>
      </c>
      <c r="M7" s="29">
        <f>SUMIFS(Tableau1[TS3-T],Tableau1[ID-API],Tableau7[[#This Row],[ID-API]])</f>
        <v>0</v>
      </c>
      <c r="N7" s="29">
        <f>SUMIFS(Tableau1[TS4-T],Tableau1[ID-API],Tableau7[[#This Row],[ID-API]])</f>
        <v>0</v>
      </c>
      <c r="O7" s="29">
        <f>SUMIFS(Tableau1[TS5-T],Tableau1[ID-API],Tableau7[[#This Row],[ID-API]])</f>
        <v>0</v>
      </c>
      <c r="P7" s="29">
        <f>SUMIFS(Tableau1[TS6-T],Tableau1[ID-API],Tableau7[[#This Row],[ID-API]])</f>
        <v>0</v>
      </c>
      <c r="Q7" s="32">
        <f>IFERROR(Tableau7[[#This Row],[TS1]]/Tableau7[[#This Row],[TS1-T]],"")</f>
        <v>0</v>
      </c>
      <c r="R7" s="32">
        <f>IFERROR(Tableau7[[#This Row],[TS2]]/Tableau7[[#This Row],[TS2-T]],"")</f>
        <v>0</v>
      </c>
      <c r="S7" s="32" t="str">
        <f>IFERROR(Tableau7[[#This Row],[TS3]]/Tableau7[[#This Row],[TS3-T]],"")</f>
        <v/>
      </c>
      <c r="T7" s="32" t="str">
        <f>IFERROR(Tableau7[[#This Row],[TS4]]/Tableau7[[#This Row],[TS4-T]],"")</f>
        <v/>
      </c>
      <c r="U7" s="32" t="str">
        <f>IFERROR(Tableau7[[#This Row],[TS5]]/Tableau7[[#This Row],[TS5-T]],"")</f>
        <v/>
      </c>
      <c r="V7" s="32" t="str">
        <f>IFERROR(Tableau7[[#This Row],[TS6]]/Tableau7[[#This Row],[TS6-T]],"")</f>
        <v/>
      </c>
    </row>
    <row r="8" spans="1:22">
      <c r="A8" s="84">
        <v>7</v>
      </c>
      <c r="B8" t="s">
        <v>1637</v>
      </c>
      <c r="D8" s="38"/>
      <c r="E8" s="30">
        <f>SUMIFS(Tableau1[TS1],Tableau1[ID-API],Tableau7[[#This Row],[ID-API]])</f>
        <v>0</v>
      </c>
      <c r="F8" s="30">
        <f>SUMIFS(Tableau1[TS2],Tableau1[ID-API],Tableau7[[#This Row],[ID-API]])</f>
        <v>0</v>
      </c>
      <c r="G8" s="30">
        <f>SUMIFS(Tableau1[TS3],Tableau1[ID-API],Tableau7[[#This Row],[ID-API]])</f>
        <v>0</v>
      </c>
      <c r="H8" s="30">
        <f>SUMIFS(Tableau1[TS4],Tableau1[ID-API],Tableau7[[#This Row],[ID-API]])</f>
        <v>0</v>
      </c>
      <c r="I8" s="30">
        <f>SUMIFS(Tableau1[TS5],Tableau1[ID-API],Tableau7[[#This Row],[ID-API]])</f>
        <v>0</v>
      </c>
      <c r="J8" s="30">
        <f>SUMIFS(Tableau1[TS6],Tableau1[ID-API],Tableau7[[#This Row],[ID-API]])</f>
        <v>0</v>
      </c>
      <c r="K8" s="29">
        <f>SUMIFS(Tableau1[TS1-T],Tableau1[ID-API],Tableau7[[#This Row],[ID-API]])</f>
        <v>64</v>
      </c>
      <c r="L8" s="29">
        <f>SUMIFS(Tableau1[TS2-T],Tableau1[ID-API],Tableau7[[#This Row],[ID-API]])</f>
        <v>32</v>
      </c>
      <c r="M8" s="29">
        <f>SUMIFS(Tableau1[TS3-T],Tableau1[ID-API],Tableau7[[#This Row],[ID-API]])</f>
        <v>0</v>
      </c>
      <c r="N8" s="29">
        <f>SUMIFS(Tableau1[TS4-T],Tableau1[ID-API],Tableau7[[#This Row],[ID-API]])</f>
        <v>0</v>
      </c>
      <c r="O8" s="29">
        <f>SUMIFS(Tableau1[TS5-T],Tableau1[ID-API],Tableau7[[#This Row],[ID-API]])</f>
        <v>0</v>
      </c>
      <c r="P8" s="29">
        <f>SUMIFS(Tableau1[TS6-T],Tableau1[ID-API],Tableau7[[#This Row],[ID-API]])</f>
        <v>0</v>
      </c>
      <c r="Q8" s="32">
        <f>IFERROR(Tableau7[[#This Row],[TS1]]/Tableau7[[#This Row],[TS1-T]],"")</f>
        <v>0</v>
      </c>
      <c r="R8" s="32">
        <f>IFERROR(Tableau7[[#This Row],[TS2]]/Tableau7[[#This Row],[TS2-T]],"")</f>
        <v>0</v>
      </c>
      <c r="S8" s="32" t="str">
        <f>IFERROR(Tableau7[[#This Row],[TS3]]/Tableau7[[#This Row],[TS3-T]],"")</f>
        <v/>
      </c>
      <c r="T8" s="32" t="str">
        <f>IFERROR(Tableau7[[#This Row],[TS4]]/Tableau7[[#This Row],[TS4-T]],"")</f>
        <v/>
      </c>
      <c r="U8" s="32" t="str">
        <f>IFERROR(Tableau7[[#This Row],[TS5]]/Tableau7[[#This Row],[TS5-T]],"")</f>
        <v/>
      </c>
      <c r="V8" s="32" t="str">
        <f>IFERROR(Tableau7[[#This Row],[TS6]]/Tableau7[[#This Row],[TS6-T]],"")</f>
        <v/>
      </c>
    </row>
    <row r="9" spans="1:22">
      <c r="A9" s="84">
        <v>8</v>
      </c>
      <c r="B9" t="s">
        <v>1638</v>
      </c>
      <c r="D9" s="39"/>
      <c r="E9" s="30">
        <f>SUMIFS(Tableau1[TS1],Tableau1[ID-API],Tableau7[[#This Row],[ID-API]])</f>
        <v>0</v>
      </c>
      <c r="F9" s="30">
        <f>SUMIFS(Tableau1[TS2],Tableau1[ID-API],Tableau7[[#This Row],[ID-API]])</f>
        <v>0</v>
      </c>
      <c r="G9" s="30">
        <f>SUMIFS(Tableau1[TS3],Tableau1[ID-API],Tableau7[[#This Row],[ID-API]])</f>
        <v>0</v>
      </c>
      <c r="H9" s="30">
        <f>SUMIFS(Tableau1[TS4],Tableau1[ID-API],Tableau7[[#This Row],[ID-API]])</f>
        <v>0</v>
      </c>
      <c r="I9" s="30">
        <f>SUMIFS(Tableau1[TS5],Tableau1[ID-API],Tableau7[[#This Row],[ID-API]])</f>
        <v>0</v>
      </c>
      <c r="J9" s="30">
        <f>SUMIFS(Tableau1[TS6],Tableau1[ID-API],Tableau7[[#This Row],[ID-API]])</f>
        <v>0</v>
      </c>
      <c r="K9" s="29">
        <f>SUMIFS(Tableau1[TS1-T],Tableau1[ID-API],Tableau7[[#This Row],[ID-API]])</f>
        <v>32</v>
      </c>
      <c r="L9" s="29">
        <f>SUMIFS(Tableau1[TS2-T],Tableau1[ID-API],Tableau7[[#This Row],[ID-API]])</f>
        <v>8</v>
      </c>
      <c r="M9" s="29">
        <f>SUMIFS(Tableau1[TS3-T],Tableau1[ID-API],Tableau7[[#This Row],[ID-API]])</f>
        <v>0</v>
      </c>
      <c r="N9" s="29">
        <f>SUMIFS(Tableau1[TS4-T],Tableau1[ID-API],Tableau7[[#This Row],[ID-API]])</f>
        <v>0</v>
      </c>
      <c r="O9" s="29">
        <f>SUMIFS(Tableau1[TS5-T],Tableau1[ID-API],Tableau7[[#This Row],[ID-API]])</f>
        <v>0</v>
      </c>
      <c r="P9" s="29">
        <f>SUMIFS(Tableau1[TS6-T],Tableau1[ID-API],Tableau7[[#This Row],[ID-API]])</f>
        <v>0</v>
      </c>
      <c r="Q9" s="32">
        <f>IFERROR(Tableau7[[#This Row],[TS1]]/Tableau7[[#This Row],[TS1-T]],"")</f>
        <v>0</v>
      </c>
      <c r="R9" s="32">
        <f>IFERROR(Tableau7[[#This Row],[TS2]]/Tableau7[[#This Row],[TS2-T]],"")</f>
        <v>0</v>
      </c>
      <c r="S9" s="32" t="str">
        <f>IFERROR(Tableau7[[#This Row],[TS3]]/Tableau7[[#This Row],[TS3-T]],"")</f>
        <v/>
      </c>
      <c r="T9" s="32" t="str">
        <f>IFERROR(Tableau7[[#This Row],[TS4]]/Tableau7[[#This Row],[TS4-T]],"")</f>
        <v/>
      </c>
      <c r="U9" s="32" t="str">
        <f>IFERROR(Tableau7[[#This Row],[TS5]]/Tableau7[[#This Row],[TS5-T]],"")</f>
        <v/>
      </c>
      <c r="V9" s="32" t="str">
        <f>IFERROR(Tableau7[[#This Row],[TS6]]/Tableau7[[#This Row],[TS6-T]],"")</f>
        <v/>
      </c>
    </row>
    <row r="10" spans="1:22">
      <c r="A10" s="84">
        <v>9</v>
      </c>
      <c r="B10" t="s">
        <v>1639</v>
      </c>
      <c r="D10" s="40"/>
      <c r="E10" s="30">
        <f>SUMIFS(Tableau1[TS1],Tableau1[ID-API],Tableau7[[#This Row],[ID-API]])</f>
        <v>0</v>
      </c>
      <c r="F10" s="30">
        <f>SUMIFS(Tableau1[TS2],Tableau1[ID-API],Tableau7[[#This Row],[ID-API]])</f>
        <v>0</v>
      </c>
      <c r="G10" s="30">
        <f>SUMIFS(Tableau1[TS3],Tableau1[ID-API],Tableau7[[#This Row],[ID-API]])</f>
        <v>0</v>
      </c>
      <c r="H10" s="30">
        <f>SUMIFS(Tableau1[TS4],Tableau1[ID-API],Tableau7[[#This Row],[ID-API]])</f>
        <v>0</v>
      </c>
      <c r="I10" s="30">
        <f>SUMIFS(Tableau1[TS5],Tableau1[ID-API],Tableau7[[#This Row],[ID-API]])</f>
        <v>0</v>
      </c>
      <c r="J10" s="30">
        <f>SUMIFS(Tableau1[TS6],Tableau1[ID-API],Tableau7[[#This Row],[ID-API]])</f>
        <v>0</v>
      </c>
      <c r="K10" s="29">
        <f>SUMIFS(Tableau1[TS1-T],Tableau1[ID-API],Tableau7[[#This Row],[ID-API]])</f>
        <v>96</v>
      </c>
      <c r="L10" s="29">
        <f>SUMIFS(Tableau1[TS2-T],Tableau1[ID-API],Tableau7[[#This Row],[ID-API]])</f>
        <v>104</v>
      </c>
      <c r="M10" s="29">
        <f>SUMIFS(Tableau1[TS3-T],Tableau1[ID-API],Tableau7[[#This Row],[ID-API]])</f>
        <v>0</v>
      </c>
      <c r="N10" s="29">
        <f>SUMIFS(Tableau1[TS4-T],Tableau1[ID-API],Tableau7[[#This Row],[ID-API]])</f>
        <v>0</v>
      </c>
      <c r="O10" s="29">
        <f>SUMIFS(Tableau1[TS5-T],Tableau1[ID-API],Tableau7[[#This Row],[ID-API]])</f>
        <v>0</v>
      </c>
      <c r="P10" s="29">
        <f>SUMIFS(Tableau1[TS6-T],Tableau1[ID-API],Tableau7[[#This Row],[ID-API]])</f>
        <v>0</v>
      </c>
      <c r="Q10" s="32">
        <f>IFERROR(Tableau7[[#This Row],[TS1]]/Tableau7[[#This Row],[TS1-T]],"")</f>
        <v>0</v>
      </c>
      <c r="R10" s="32">
        <f>IFERROR(Tableau7[[#This Row],[TS2]]/Tableau7[[#This Row],[TS2-T]],"")</f>
        <v>0</v>
      </c>
      <c r="S10" s="32" t="str">
        <f>IFERROR(Tableau7[[#This Row],[TS3]]/Tableau7[[#This Row],[TS3-T]],"")</f>
        <v/>
      </c>
      <c r="T10" s="32" t="str">
        <f>IFERROR(Tableau7[[#This Row],[TS4]]/Tableau7[[#This Row],[TS4-T]],"")</f>
        <v/>
      </c>
      <c r="U10" s="32" t="str">
        <f>IFERROR(Tableau7[[#This Row],[TS5]]/Tableau7[[#This Row],[TS5-T]],"")</f>
        <v/>
      </c>
      <c r="V10" s="32" t="str">
        <f>IFERROR(Tableau7[[#This Row],[TS6]]/Tableau7[[#This Row],[TS6-T]],"")</f>
        <v/>
      </c>
    </row>
    <row r="11" spans="1:22">
      <c r="A11" s="84"/>
      <c r="E11" s="30">
        <f>SUMIFS(Tableau1[TS1],Tableau1[ID-API],Tableau7[[#This Row],[ID-API]])</f>
        <v>0</v>
      </c>
      <c r="F11" s="30">
        <f>SUMIFS(Tableau1[TS2],Tableau1[ID-API],Tableau7[[#This Row],[ID-API]])</f>
        <v>0</v>
      </c>
      <c r="G11" s="30">
        <f>SUMIFS(Tableau1[TS3],Tableau1[ID-API],Tableau7[[#This Row],[ID-API]])</f>
        <v>0</v>
      </c>
      <c r="H11" s="30">
        <f>SUMIFS(Tableau1[TS4],Tableau1[ID-API],Tableau7[[#This Row],[ID-API]])</f>
        <v>0</v>
      </c>
      <c r="I11" s="30">
        <f>SUMIFS(Tableau1[TS5],Tableau1[ID-API],Tableau7[[#This Row],[ID-API]])</f>
        <v>0</v>
      </c>
      <c r="J11" s="30">
        <f>SUMIFS(Tableau1[TS6],Tableau1[ID-API],Tableau7[[#This Row],[ID-API]])</f>
        <v>0</v>
      </c>
      <c r="K11" s="29">
        <f>SUMIFS(Tableau1[TS1-T],Tableau1[ID-API],Tableau7[[#This Row],[ID-API]])</f>
        <v>0</v>
      </c>
      <c r="L11" s="29">
        <f>SUMIFS(Tableau1[TS2-T],Tableau1[ID-API],Tableau7[[#This Row],[ID-API]])</f>
        <v>0</v>
      </c>
      <c r="M11" s="29">
        <f>SUMIFS(Tableau1[TS3-T],Tableau1[ID-API],Tableau7[[#This Row],[ID-API]])</f>
        <v>0</v>
      </c>
      <c r="N11" s="29">
        <f>SUMIFS(Tableau1[TS4-T],Tableau1[ID-API],Tableau7[[#This Row],[ID-API]])</f>
        <v>0</v>
      </c>
      <c r="O11" s="29">
        <f>SUMIFS(Tableau1[TS5-T],Tableau1[ID-API],Tableau7[[#This Row],[ID-API]])</f>
        <v>0</v>
      </c>
      <c r="P11" s="29">
        <f>SUMIFS(Tableau1[TS6-T],Tableau1[ID-API],Tableau7[[#This Row],[ID-API]])</f>
        <v>0</v>
      </c>
      <c r="Q11" s="32" t="str">
        <f>IFERROR(Tableau7[[#This Row],[TS1]]/Tableau7[[#This Row],[TS1-T]],"")</f>
        <v/>
      </c>
      <c r="R11" s="32" t="str">
        <f>IFERROR(Tableau7[[#This Row],[TS2]]/Tableau7[[#This Row],[TS2-T]],"")</f>
        <v/>
      </c>
      <c r="S11" s="32" t="str">
        <f>IFERROR(Tableau7[[#This Row],[TS3]]/Tableau7[[#This Row],[TS3-T]],"")</f>
        <v/>
      </c>
      <c r="T11" s="32" t="str">
        <f>IFERROR(Tableau7[[#This Row],[TS4]]/Tableau7[[#This Row],[TS4-T]],"")</f>
        <v/>
      </c>
      <c r="U11" s="32" t="str">
        <f>IFERROR(Tableau7[[#This Row],[TS5]]/Tableau7[[#This Row],[TS5-T]],"")</f>
        <v/>
      </c>
      <c r="V11" s="32" t="str">
        <f>IFERROR(Tableau7[[#This Row],[TS6]]/Tableau7[[#This Row],[TS6-T]],"")</f>
        <v/>
      </c>
    </row>
    <row r="12" spans="1:22">
      <c r="A12" s="84"/>
      <c r="E12" s="30">
        <f>SUMIFS(Tableau1[TS1],Tableau1[ID-API],Tableau7[[#This Row],[ID-API]])</f>
        <v>0</v>
      </c>
      <c r="F12" s="30">
        <f>SUMIFS(Tableau1[TS2],Tableau1[ID-API],Tableau7[[#This Row],[ID-API]])</f>
        <v>0</v>
      </c>
      <c r="G12" s="30">
        <f>SUMIFS(Tableau1[TS3],Tableau1[ID-API],Tableau7[[#This Row],[ID-API]])</f>
        <v>0</v>
      </c>
      <c r="H12" s="30">
        <f>SUMIFS(Tableau1[TS4],Tableau1[ID-API],Tableau7[[#This Row],[ID-API]])</f>
        <v>0</v>
      </c>
      <c r="I12" s="30">
        <f>SUMIFS(Tableau1[TS5],Tableau1[ID-API],Tableau7[[#This Row],[ID-API]])</f>
        <v>0</v>
      </c>
      <c r="J12" s="30">
        <f>SUMIFS(Tableau1[TS6],Tableau1[ID-API],Tableau7[[#This Row],[ID-API]])</f>
        <v>0</v>
      </c>
      <c r="K12" s="29">
        <f>SUMIFS(Tableau1[TS1-T],Tableau1[ID-API],Tableau7[[#This Row],[ID-API]])</f>
        <v>0</v>
      </c>
      <c r="L12" s="29">
        <f>SUMIFS(Tableau1[TS2-T],Tableau1[ID-API],Tableau7[[#This Row],[ID-API]])</f>
        <v>0</v>
      </c>
      <c r="M12" s="29">
        <f>SUMIFS(Tableau1[TS3-T],Tableau1[ID-API],Tableau7[[#This Row],[ID-API]])</f>
        <v>0</v>
      </c>
      <c r="N12" s="29">
        <f>SUMIFS(Tableau1[TS4-T],Tableau1[ID-API],Tableau7[[#This Row],[ID-API]])</f>
        <v>0</v>
      </c>
      <c r="O12" s="29">
        <f>SUMIFS(Tableau1[TS5-T],Tableau1[ID-API],Tableau7[[#This Row],[ID-API]])</f>
        <v>0</v>
      </c>
      <c r="P12" s="29">
        <f>SUMIFS(Tableau1[TS6-T],Tableau1[ID-API],Tableau7[[#This Row],[ID-API]])</f>
        <v>0</v>
      </c>
      <c r="Q12" s="32" t="str">
        <f>IFERROR(Tableau7[[#This Row],[TS1]]/Tableau7[[#This Row],[TS1-T]],"")</f>
        <v/>
      </c>
      <c r="R12" s="32" t="str">
        <f>IFERROR(Tableau7[[#This Row],[TS2]]/Tableau7[[#This Row],[TS2-T]],"")</f>
        <v/>
      </c>
      <c r="S12" s="32" t="str">
        <f>IFERROR(Tableau7[[#This Row],[TS3]]/Tableau7[[#This Row],[TS3-T]],"")</f>
        <v/>
      </c>
      <c r="T12" s="32" t="str">
        <f>IFERROR(Tableau7[[#This Row],[TS4]]/Tableau7[[#This Row],[TS4-T]],"")</f>
        <v/>
      </c>
      <c r="U12" s="32" t="str">
        <f>IFERROR(Tableau7[[#This Row],[TS5]]/Tableau7[[#This Row],[TS5-T]],"")</f>
        <v/>
      </c>
      <c r="V12" s="32" t="str">
        <f>IFERROR(Tableau7[[#This Row],[TS6]]/Tableau7[[#This Row],[TS6-T]],"")</f>
        <v/>
      </c>
    </row>
    <row r="13" spans="1:22">
      <c r="A13" s="84"/>
      <c r="E13" s="30">
        <f>SUMIFS(Tableau1[TS1],Tableau1[ID-API],Tableau7[[#This Row],[ID-API]])</f>
        <v>0</v>
      </c>
      <c r="F13" s="30">
        <f>SUMIFS(Tableau1[TS2],Tableau1[ID-API],Tableau7[[#This Row],[ID-API]])</f>
        <v>0</v>
      </c>
      <c r="G13" s="30">
        <f>SUMIFS(Tableau1[TS3],Tableau1[ID-API],Tableau7[[#This Row],[ID-API]])</f>
        <v>0</v>
      </c>
      <c r="H13" s="30">
        <f>SUMIFS(Tableau1[TS4],Tableau1[ID-API],Tableau7[[#This Row],[ID-API]])</f>
        <v>0</v>
      </c>
      <c r="I13" s="30">
        <f>SUMIFS(Tableau1[TS5],Tableau1[ID-API],Tableau7[[#This Row],[ID-API]])</f>
        <v>0</v>
      </c>
      <c r="J13" s="30">
        <f>SUMIFS(Tableau1[TS6],Tableau1[ID-API],Tableau7[[#This Row],[ID-API]])</f>
        <v>0</v>
      </c>
      <c r="K13" s="29">
        <f>SUMIFS(Tableau1[TS1-T],Tableau1[ID-API],Tableau7[[#This Row],[ID-API]])</f>
        <v>0</v>
      </c>
      <c r="L13" s="29">
        <f>SUMIFS(Tableau1[TS2-T],Tableau1[ID-API],Tableau7[[#This Row],[ID-API]])</f>
        <v>0</v>
      </c>
      <c r="M13" s="29">
        <f>SUMIFS(Tableau1[TS3-T],Tableau1[ID-API],Tableau7[[#This Row],[ID-API]])</f>
        <v>0</v>
      </c>
      <c r="N13" s="29">
        <f>SUMIFS(Tableau1[TS4-T],Tableau1[ID-API],Tableau7[[#This Row],[ID-API]])</f>
        <v>0</v>
      </c>
      <c r="O13" s="29">
        <f>SUMIFS(Tableau1[TS5-T],Tableau1[ID-API],Tableau7[[#This Row],[ID-API]])</f>
        <v>0</v>
      </c>
      <c r="P13" s="29">
        <f>SUMIFS(Tableau1[TS6-T],Tableau1[ID-API],Tableau7[[#This Row],[ID-API]])</f>
        <v>0</v>
      </c>
      <c r="Q13" s="32" t="str">
        <f>IFERROR(Tableau7[[#This Row],[TS1]]/Tableau7[[#This Row],[TS1-T]],"")</f>
        <v/>
      </c>
      <c r="R13" s="32" t="str">
        <f>IFERROR(Tableau7[[#This Row],[TS2]]/Tableau7[[#This Row],[TS2-T]],"")</f>
        <v/>
      </c>
      <c r="S13" s="32" t="str">
        <f>IFERROR(Tableau7[[#This Row],[TS3]]/Tableau7[[#This Row],[TS3-T]],"")</f>
        <v/>
      </c>
      <c r="T13" s="32" t="str">
        <f>IFERROR(Tableau7[[#This Row],[TS4]]/Tableau7[[#This Row],[TS4-T]],"")</f>
        <v/>
      </c>
      <c r="U13" s="32" t="str">
        <f>IFERROR(Tableau7[[#This Row],[TS5]]/Tableau7[[#This Row],[TS5-T]],"")</f>
        <v/>
      </c>
      <c r="V13" s="32" t="str">
        <f>IFERROR(Tableau7[[#This Row],[TS6]]/Tableau7[[#This Row],[TS6-T]],"")</f>
        <v/>
      </c>
    </row>
  </sheetData>
  <conditionalFormatting sqref="Q2:V13">
    <cfRule type="expression" dxfId="110" priority="1">
      <formula>AND(Q2&lt;&gt;"",Q2&gt;=SeuilRes)</formula>
    </cfRule>
    <cfRule type="expression" dxfId="109" priority="2">
      <formula>Q2&lt;SeuilRes</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sheetPr codeName="ConfAPI"/>
  <dimension ref="A1:Z147"/>
  <sheetViews>
    <sheetView workbookViewId="0">
      <selection activeCell="D2" sqref="D2"/>
    </sheetView>
  </sheetViews>
  <sheetFormatPr baseColWidth="10" defaultRowHeight="14.25" outlineLevelCol="1"/>
  <cols>
    <col min="1" max="1" width="8.5" customWidth="1"/>
    <col min="2" max="2" width="12.125" customWidth="1"/>
    <col min="3" max="3" width="10.625" customWidth="1"/>
    <col min="4" max="4" width="12.5" customWidth="1"/>
    <col min="5" max="5" width="10.125" customWidth="1"/>
    <col min="6" max="6" width="11.875" customWidth="1"/>
    <col min="7" max="7" width="10.375" customWidth="1"/>
    <col min="8" max="8" width="14.5" customWidth="1"/>
    <col min="9" max="14" width="6.375" hidden="1" customWidth="1" outlineLevel="1"/>
    <col min="15" max="15" width="7.875" hidden="1" customWidth="1" outlineLevel="1"/>
    <col min="16" max="16" width="8.875" hidden="1" customWidth="1" outlineLevel="1"/>
    <col min="17" max="20" width="7.875" hidden="1" customWidth="1" outlineLevel="1"/>
    <col min="21" max="21" width="7.875" customWidth="1" collapsed="1"/>
    <col min="22" max="22" width="7.875" customWidth="1"/>
    <col min="23" max="26" width="7.75" customWidth="1"/>
  </cols>
  <sheetData>
    <row r="1" spans="1:26" ht="135.75" customHeight="1" thickTop="1" thickBot="1">
      <c r="A1" s="84" t="s">
        <v>1418</v>
      </c>
      <c r="B1" t="s">
        <v>1607</v>
      </c>
      <c r="C1" s="84" t="s">
        <v>706</v>
      </c>
      <c r="D1" t="s">
        <v>1610</v>
      </c>
      <c r="E1" s="84" t="s">
        <v>1419</v>
      </c>
      <c r="F1" t="s">
        <v>1606</v>
      </c>
      <c r="G1" s="164" t="s">
        <v>1805</v>
      </c>
      <c r="H1" s="169" t="s">
        <v>709</v>
      </c>
      <c r="I1" s="30" t="s">
        <v>1420</v>
      </c>
      <c r="J1" s="30" t="s">
        <v>1421</v>
      </c>
      <c r="K1" s="30" t="s">
        <v>1422</v>
      </c>
      <c r="L1" s="30" t="s">
        <v>1423</v>
      </c>
      <c r="M1" s="30" t="s">
        <v>1424</v>
      </c>
      <c r="N1" s="30" t="s">
        <v>1425</v>
      </c>
      <c r="O1" s="29" t="s">
        <v>1539</v>
      </c>
      <c r="P1" s="29" t="s">
        <v>1540</v>
      </c>
      <c r="Q1" s="29" t="s">
        <v>1541</v>
      </c>
      <c r="R1" s="29" t="s">
        <v>1542</v>
      </c>
      <c r="S1" s="29" t="s">
        <v>1543</v>
      </c>
      <c r="T1" s="29" t="s">
        <v>1544</v>
      </c>
      <c r="U1" s="31" t="s">
        <v>1545</v>
      </c>
      <c r="V1" s="31" t="s">
        <v>1546</v>
      </c>
      <c r="W1" s="31" t="s">
        <v>1547</v>
      </c>
      <c r="X1" s="31" t="s">
        <v>1548</v>
      </c>
      <c r="Y1" s="31" t="s">
        <v>1549</v>
      </c>
      <c r="Z1" s="31" t="s">
        <v>1550</v>
      </c>
    </row>
    <row r="2" spans="1:26" ht="16.5" thickTop="1" thickBot="1">
      <c r="A2" s="84">
        <v>1</v>
      </c>
      <c r="B2" s="23" t="str">
        <f>INDEX(Tableau7[Repere],MATCH(Tableau1[[#This Row],[ID-API]],Tableau7[ID-API],0))&amp;""</f>
        <v>A1</v>
      </c>
      <c r="C2" s="84">
        <v>1</v>
      </c>
      <c r="D2" t="str">
        <f>"R" &amp; Tableau1[[#This Row],[ID-RACK]]</f>
        <v>R1</v>
      </c>
      <c r="E2" s="84">
        <v>3</v>
      </c>
      <c r="F2" t="str">
        <f>"S" &amp; Tableau1[[#This Row],[ID-SLOT]]</f>
        <v>S3</v>
      </c>
      <c r="G2" s="168" t="str">
        <f>Tableau1[[#This Row],[ID-API]]&amp; "." &amp;Tableau1[[#This Row],[ID-RACK]]&amp; "." &amp;Tableau1[[#This Row],[ID-SLOT]]</f>
        <v>1.1.3</v>
      </c>
      <c r="H2" t="s">
        <v>708</v>
      </c>
      <c r="I2" s="30">
        <v>0</v>
      </c>
      <c r="J2" s="30">
        <v>0</v>
      </c>
      <c r="K2" s="30">
        <v>0</v>
      </c>
      <c r="L2" s="30">
        <v>0</v>
      </c>
      <c r="M2" s="30">
        <v>0</v>
      </c>
      <c r="N2" s="30">
        <v>0</v>
      </c>
      <c r="O2" s="220">
        <f>COUNTIFS(Tableau2[Ref-Carte],Tableau1[[#This Row],[Ref-Carte]],Tableau2[TS],INDEX(Tableau6[TS],COLUMN()-COLUMN(Tableau1[[#All],[TS1-T]])+1))</f>
        <v>0</v>
      </c>
      <c r="P2" s="220">
        <f>COUNTIFS(Tableau2[Ref-Carte],Tableau1[[#This Row],[Ref-Carte]],Tableau2[TS],INDEX(Tableau6[TS],COLUMN()-COLUMN(Tableau1[[#All],[TS1-T]])+1))</f>
        <v>8</v>
      </c>
      <c r="Q2" s="220">
        <f>COUNTIFS(Tableau2[Ref-Carte],Tableau1[[#This Row],[Ref-Carte]],Tableau2[TS],INDEX(Tableau6[TS],COLUMN()-COLUMN(Tableau1[[#All],[TS1-T]])+1))</f>
        <v>0</v>
      </c>
      <c r="R2" s="220">
        <f>COUNTIFS(Tableau2[Ref-Carte],Tableau1[[#This Row],[Ref-Carte]],Tableau2[TS],INDEX(Tableau6[TS],COLUMN()-COLUMN(Tableau1[[#All],[TS1-T]])+1))</f>
        <v>0</v>
      </c>
      <c r="S2" s="220">
        <f>COUNTIFS(Tableau2[Ref-Carte],Tableau1[[#This Row],[Ref-Carte]],Tableau2[TS],INDEX(Tableau6[TS],COLUMN()-COLUMN(Tableau1[[#All],[TS1-T]])+1))</f>
        <v>0</v>
      </c>
      <c r="T2" s="220">
        <f>COUNTIFS(Tableau2[Ref-Carte],Tableau1[[#This Row],[Ref-Carte]],Tableau2[TS],INDEX(Tableau6[TS],COLUMN()-COLUMN(Tableau1[[#All],[TS1-T]])+1))</f>
        <v>0</v>
      </c>
      <c r="U2" s="32" t="str">
        <f>IFERROR(Tableau1[[#This Row],[TS1]]/Tableau1[[#This Row],[TS1-T]],"")</f>
        <v/>
      </c>
      <c r="V2" s="32">
        <f>IFERROR(Tableau1[[#This Row],[TS2]]/Tableau1[[#This Row],[TS2-T]],"")</f>
        <v>0</v>
      </c>
      <c r="W2" s="32" t="str">
        <f>IFERROR(Tableau1[[#This Row],[TS3]]/Tableau1[[#This Row],[TS3-T]],"")</f>
        <v/>
      </c>
      <c r="X2" s="32" t="str">
        <f>IFERROR(Tableau1[[#This Row],[TS4]]/Tableau1[[#This Row],[TS4-T]],"")</f>
        <v/>
      </c>
      <c r="Y2" s="32" t="str">
        <f>IFERROR(Tableau1[[#This Row],[TS5]]/Tableau1[[#This Row],[TS5-T]],"")</f>
        <v/>
      </c>
      <c r="Z2" s="32" t="str">
        <f>IFERROR(Tableau1[[#This Row],[TS6]]/Tableau1[[#This Row],[TS6-T]],"")</f>
        <v/>
      </c>
    </row>
    <row r="3" spans="1:26" ht="16.5" thickTop="1" thickBot="1">
      <c r="A3" s="84">
        <v>1</v>
      </c>
      <c r="B3" s="23" t="str">
        <f>INDEX(Tableau7[Repere],MATCH(Tableau1[[#This Row],[ID-API]],Tableau7[ID-API],0))&amp;""</f>
        <v>A1</v>
      </c>
      <c r="C3" s="84">
        <v>1</v>
      </c>
      <c r="D3" t="str">
        <f>"R" &amp; Tableau1[[#This Row],[ID-RACK]]</f>
        <v>R1</v>
      </c>
      <c r="E3" s="84">
        <v>4</v>
      </c>
      <c r="F3" t="str">
        <f>"S" &amp; Tableau1[[#This Row],[ID-SLOT]]</f>
        <v>S4</v>
      </c>
      <c r="G3" s="168" t="str">
        <f>Tableau1[[#This Row],[ID-API]]&amp; "." &amp;Tableau1[[#This Row],[ID-RACK]]&amp; "." &amp;Tableau1[[#This Row],[ID-SLOT]]</f>
        <v>1.1.4</v>
      </c>
      <c r="H3" t="s">
        <v>708</v>
      </c>
      <c r="I3" s="30">
        <v>0</v>
      </c>
      <c r="J3" s="30">
        <v>0</v>
      </c>
      <c r="K3" s="30">
        <v>0</v>
      </c>
      <c r="L3" s="30">
        <v>0</v>
      </c>
      <c r="M3" s="30">
        <v>0</v>
      </c>
      <c r="N3" s="30">
        <v>0</v>
      </c>
      <c r="O3" s="220">
        <f>COUNTIFS(Tableau2[Ref-Carte],Tableau1[[#This Row],[Ref-Carte]],Tableau2[TS],INDEX(Tableau6[TS],COLUMN()-COLUMN(Tableau1[[#All],[TS1-T]])+1))</f>
        <v>0</v>
      </c>
      <c r="P3" s="220">
        <f>COUNTIFS(Tableau2[Ref-Carte],Tableau1[[#This Row],[Ref-Carte]],Tableau2[TS],INDEX(Tableau6[TS],COLUMN()-COLUMN(Tableau1[[#All],[TS1-T]])+1))</f>
        <v>8</v>
      </c>
      <c r="Q3" s="220">
        <f>COUNTIFS(Tableau2[Ref-Carte],Tableau1[[#This Row],[Ref-Carte]],Tableau2[TS],INDEX(Tableau6[TS],COLUMN()-COLUMN(Tableau1[[#All],[TS1-T]])+1))</f>
        <v>0</v>
      </c>
      <c r="R3" s="220">
        <f>COUNTIFS(Tableau2[Ref-Carte],Tableau1[[#This Row],[Ref-Carte]],Tableau2[TS],INDEX(Tableau6[TS],COLUMN()-COLUMN(Tableau1[[#All],[TS1-T]])+1))</f>
        <v>0</v>
      </c>
      <c r="S3" s="220">
        <f>COUNTIFS(Tableau2[Ref-Carte],Tableau1[[#This Row],[Ref-Carte]],Tableau2[TS],INDEX(Tableau6[TS],COLUMN()-COLUMN(Tableau1[[#All],[TS1-T]])+1))</f>
        <v>0</v>
      </c>
      <c r="T3" s="220">
        <f>COUNTIFS(Tableau2[Ref-Carte],Tableau1[[#This Row],[Ref-Carte]],Tableau2[TS],INDEX(Tableau6[TS],COLUMN()-COLUMN(Tableau1[[#All],[TS1-T]])+1))</f>
        <v>0</v>
      </c>
      <c r="U3" s="32" t="str">
        <f>IFERROR(Tableau1[[#This Row],[TS1]]/Tableau1[[#This Row],[TS1-T]],"")</f>
        <v/>
      </c>
      <c r="V3" s="32">
        <f>IFERROR(Tableau1[[#This Row],[TS2]]/Tableau1[[#This Row],[TS2-T]],"")</f>
        <v>0</v>
      </c>
      <c r="W3" s="32" t="str">
        <f>IFERROR(Tableau1[[#This Row],[TS3]]/Tableau1[[#This Row],[TS3-T]],"")</f>
        <v/>
      </c>
      <c r="X3" s="32" t="str">
        <f>IFERROR(Tableau1[[#This Row],[TS4]]/Tableau1[[#This Row],[TS4-T]],"")</f>
        <v/>
      </c>
      <c r="Y3" s="32" t="str">
        <f>IFERROR(Tableau1[[#This Row],[TS5]]/Tableau1[[#This Row],[TS5-T]],"")</f>
        <v/>
      </c>
      <c r="Z3" s="32" t="str">
        <f>IFERROR(Tableau1[[#This Row],[TS6]]/Tableau1[[#This Row],[TS6-T]],"")</f>
        <v/>
      </c>
    </row>
    <row r="4" spans="1:26" ht="16.5" thickTop="1" thickBot="1">
      <c r="A4" s="84">
        <v>1</v>
      </c>
      <c r="B4" s="23" t="str">
        <f>INDEX(Tableau7[Repere],MATCH(Tableau1[[#This Row],[ID-API]],Tableau7[ID-API],0))&amp;""</f>
        <v>A1</v>
      </c>
      <c r="C4" s="84">
        <v>1</v>
      </c>
      <c r="D4" t="str">
        <f>"R" &amp; Tableau1[[#This Row],[ID-RACK]]</f>
        <v>R1</v>
      </c>
      <c r="E4" s="84">
        <v>5</v>
      </c>
      <c r="F4" t="str">
        <f>"S" &amp; Tableau1[[#This Row],[ID-SLOT]]</f>
        <v>S5</v>
      </c>
      <c r="G4" s="168" t="str">
        <f>Tableau1[[#This Row],[ID-API]]&amp; "." &amp;Tableau1[[#This Row],[ID-RACK]]&amp; "." &amp;Tableau1[[#This Row],[ID-SLOT]]</f>
        <v>1.1.5</v>
      </c>
      <c r="H4" t="s">
        <v>708</v>
      </c>
      <c r="I4" s="30">
        <v>0</v>
      </c>
      <c r="J4" s="30">
        <v>0</v>
      </c>
      <c r="K4" s="30">
        <v>0</v>
      </c>
      <c r="L4" s="30">
        <v>0</v>
      </c>
      <c r="M4" s="30">
        <v>0</v>
      </c>
      <c r="N4" s="30">
        <v>0</v>
      </c>
      <c r="O4" s="220">
        <f>COUNTIFS(Tableau2[Ref-Carte],Tableau1[[#This Row],[Ref-Carte]],Tableau2[TS],INDEX(Tableau6[TS],COLUMN()-COLUMN(Tableau1[[#All],[TS1-T]])+1))</f>
        <v>0</v>
      </c>
      <c r="P4" s="220">
        <f>COUNTIFS(Tableau2[Ref-Carte],Tableau1[[#This Row],[Ref-Carte]],Tableau2[TS],INDEX(Tableau6[TS],COLUMN()-COLUMN(Tableau1[[#All],[TS1-T]])+1))</f>
        <v>8</v>
      </c>
      <c r="Q4" s="220">
        <f>COUNTIFS(Tableau2[Ref-Carte],Tableau1[[#This Row],[Ref-Carte]],Tableau2[TS],INDEX(Tableau6[TS],COLUMN()-COLUMN(Tableau1[[#All],[TS1-T]])+1))</f>
        <v>0</v>
      </c>
      <c r="R4" s="220">
        <f>COUNTIFS(Tableau2[Ref-Carte],Tableau1[[#This Row],[Ref-Carte]],Tableau2[TS],INDEX(Tableau6[TS],COLUMN()-COLUMN(Tableau1[[#All],[TS1-T]])+1))</f>
        <v>0</v>
      </c>
      <c r="S4" s="220">
        <f>COUNTIFS(Tableau2[Ref-Carte],Tableau1[[#This Row],[Ref-Carte]],Tableau2[TS],INDEX(Tableau6[TS],COLUMN()-COLUMN(Tableau1[[#All],[TS1-T]])+1))</f>
        <v>0</v>
      </c>
      <c r="T4" s="220">
        <f>COUNTIFS(Tableau2[Ref-Carte],Tableau1[[#This Row],[Ref-Carte]],Tableau2[TS],INDEX(Tableau6[TS],COLUMN()-COLUMN(Tableau1[[#All],[TS1-T]])+1))</f>
        <v>0</v>
      </c>
      <c r="U4" s="32" t="str">
        <f>IFERROR(Tableau1[[#This Row],[TS1]]/Tableau1[[#This Row],[TS1-T]],"")</f>
        <v/>
      </c>
      <c r="V4" s="32">
        <f>IFERROR(Tableau1[[#This Row],[TS2]]/Tableau1[[#This Row],[TS2-T]],"")</f>
        <v>0</v>
      </c>
      <c r="W4" s="32" t="str">
        <f>IFERROR(Tableau1[[#This Row],[TS3]]/Tableau1[[#This Row],[TS3-T]],"")</f>
        <v/>
      </c>
      <c r="X4" s="32" t="str">
        <f>IFERROR(Tableau1[[#This Row],[TS4]]/Tableau1[[#This Row],[TS4-T]],"")</f>
        <v/>
      </c>
      <c r="Y4" s="32" t="str">
        <f>IFERROR(Tableau1[[#This Row],[TS5]]/Tableau1[[#This Row],[TS5-T]],"")</f>
        <v/>
      </c>
      <c r="Z4" s="32" t="str">
        <f>IFERROR(Tableau1[[#This Row],[TS6]]/Tableau1[[#This Row],[TS6-T]],"")</f>
        <v/>
      </c>
    </row>
    <row r="5" spans="1:26" ht="16.5" thickTop="1" thickBot="1">
      <c r="A5" s="84">
        <v>1</v>
      </c>
      <c r="B5" s="23" t="str">
        <f>INDEX(Tableau7[Repere],MATCH(Tableau1[[#This Row],[ID-API]],Tableau7[ID-API],0))&amp;""</f>
        <v>A1</v>
      </c>
      <c r="C5" s="84">
        <v>1</v>
      </c>
      <c r="D5" t="str">
        <f>"R" &amp; Tableau1[[#This Row],[ID-RACK]]</f>
        <v>R1</v>
      </c>
      <c r="E5" s="84">
        <v>6</v>
      </c>
      <c r="F5" t="str">
        <f>"S" &amp; Tableau1[[#This Row],[ID-SLOT]]</f>
        <v>S6</v>
      </c>
      <c r="G5" s="168" t="str">
        <f>Tableau1[[#This Row],[ID-API]]&amp; "." &amp;Tableau1[[#This Row],[ID-RACK]]&amp; "." &amp;Tableau1[[#This Row],[ID-SLOT]]</f>
        <v>1.1.6</v>
      </c>
      <c r="H5" t="s">
        <v>708</v>
      </c>
      <c r="I5" s="30">
        <v>0</v>
      </c>
      <c r="J5" s="30">
        <v>0</v>
      </c>
      <c r="K5" s="30">
        <v>0</v>
      </c>
      <c r="L5" s="30">
        <v>0</v>
      </c>
      <c r="M5" s="30">
        <v>0</v>
      </c>
      <c r="N5" s="30">
        <v>0</v>
      </c>
      <c r="O5" s="220">
        <f>COUNTIFS(Tableau2[Ref-Carte],Tableau1[[#This Row],[Ref-Carte]],Tableau2[TS],INDEX(Tableau6[TS],COLUMN()-COLUMN(Tableau1[[#All],[TS1-T]])+1))</f>
        <v>0</v>
      </c>
      <c r="P5" s="220">
        <f>COUNTIFS(Tableau2[Ref-Carte],Tableau1[[#This Row],[Ref-Carte]],Tableau2[TS],INDEX(Tableau6[TS],COLUMN()-COLUMN(Tableau1[[#All],[TS1-T]])+1))</f>
        <v>8</v>
      </c>
      <c r="Q5" s="220">
        <f>COUNTIFS(Tableau2[Ref-Carte],Tableau1[[#This Row],[Ref-Carte]],Tableau2[TS],INDEX(Tableau6[TS],COLUMN()-COLUMN(Tableau1[[#All],[TS1-T]])+1))</f>
        <v>0</v>
      </c>
      <c r="R5" s="220">
        <f>COUNTIFS(Tableau2[Ref-Carte],Tableau1[[#This Row],[Ref-Carte]],Tableau2[TS],INDEX(Tableau6[TS],COLUMN()-COLUMN(Tableau1[[#All],[TS1-T]])+1))</f>
        <v>0</v>
      </c>
      <c r="S5" s="220">
        <f>COUNTIFS(Tableau2[Ref-Carte],Tableau1[[#This Row],[Ref-Carte]],Tableau2[TS],INDEX(Tableau6[TS],COLUMN()-COLUMN(Tableau1[[#All],[TS1-T]])+1))</f>
        <v>0</v>
      </c>
      <c r="T5" s="220">
        <f>COUNTIFS(Tableau2[Ref-Carte],Tableau1[[#This Row],[Ref-Carte]],Tableau2[TS],INDEX(Tableau6[TS],COLUMN()-COLUMN(Tableau1[[#All],[TS1-T]])+1))</f>
        <v>0</v>
      </c>
      <c r="U5" s="32" t="str">
        <f>IFERROR(Tableau1[[#This Row],[TS1]]/Tableau1[[#This Row],[TS1-T]],"")</f>
        <v/>
      </c>
      <c r="V5" s="32">
        <f>IFERROR(Tableau1[[#This Row],[TS2]]/Tableau1[[#This Row],[TS2-T]],"")</f>
        <v>0</v>
      </c>
      <c r="W5" s="32" t="str">
        <f>IFERROR(Tableau1[[#This Row],[TS3]]/Tableau1[[#This Row],[TS3-T]],"")</f>
        <v/>
      </c>
      <c r="X5" s="32" t="str">
        <f>IFERROR(Tableau1[[#This Row],[TS4]]/Tableau1[[#This Row],[TS4-T]],"")</f>
        <v/>
      </c>
      <c r="Y5" s="32" t="str">
        <f>IFERROR(Tableau1[[#This Row],[TS5]]/Tableau1[[#This Row],[TS5-T]],"")</f>
        <v/>
      </c>
      <c r="Z5" s="32" t="str">
        <f>IFERROR(Tableau1[[#This Row],[TS6]]/Tableau1[[#This Row],[TS6-T]],"")</f>
        <v/>
      </c>
    </row>
    <row r="6" spans="1:26" ht="16.5" thickTop="1" thickBot="1">
      <c r="A6" s="84">
        <v>1</v>
      </c>
      <c r="B6" s="23" t="str">
        <f>INDEX(Tableau7[Repere],MATCH(Tableau1[[#This Row],[ID-API]],Tableau7[ID-API],0))&amp;""</f>
        <v>A1</v>
      </c>
      <c r="C6" s="84">
        <v>1</v>
      </c>
      <c r="D6" t="str">
        <f>"R" &amp; Tableau1[[#This Row],[ID-RACK]]</f>
        <v>R1</v>
      </c>
      <c r="E6" s="84">
        <v>7</v>
      </c>
      <c r="F6" t="str">
        <f>"S" &amp; Tableau1[[#This Row],[ID-SLOT]]</f>
        <v>S7</v>
      </c>
      <c r="G6" s="168" t="str">
        <f>Tableau1[[#This Row],[ID-API]]&amp; "." &amp;Tableau1[[#This Row],[ID-RACK]]&amp; "." &amp;Tableau1[[#This Row],[ID-SLOT]]</f>
        <v>1.1.7</v>
      </c>
      <c r="H6" t="s">
        <v>710</v>
      </c>
      <c r="I6" s="30">
        <v>0</v>
      </c>
      <c r="J6" s="30">
        <v>0</v>
      </c>
      <c r="K6" s="30">
        <v>0</v>
      </c>
      <c r="L6" s="30">
        <v>0</v>
      </c>
      <c r="M6" s="30">
        <v>0</v>
      </c>
      <c r="N6" s="30">
        <v>0</v>
      </c>
      <c r="O6" s="220">
        <f>COUNTIFS(Tableau2[Ref-Carte],Tableau1[[#This Row],[Ref-Carte]],Tableau2[TS],INDEX(Tableau6[TS],COLUMN()-COLUMN(Tableau1[[#All],[TS1-T]])+1))</f>
        <v>16</v>
      </c>
      <c r="P6" s="220">
        <f>COUNTIFS(Tableau2[Ref-Carte],Tableau1[[#This Row],[Ref-Carte]],Tableau2[TS],INDEX(Tableau6[TS],COLUMN()-COLUMN(Tableau1[[#All],[TS1-T]])+1))</f>
        <v>0</v>
      </c>
      <c r="Q6" s="220">
        <f>COUNTIFS(Tableau2[Ref-Carte],Tableau1[[#This Row],[Ref-Carte]],Tableau2[TS],INDEX(Tableau6[TS],COLUMN()-COLUMN(Tableau1[[#All],[TS1-T]])+1))</f>
        <v>0</v>
      </c>
      <c r="R6" s="220">
        <f>COUNTIFS(Tableau2[Ref-Carte],Tableau1[[#This Row],[Ref-Carte]],Tableau2[TS],INDEX(Tableau6[TS],COLUMN()-COLUMN(Tableau1[[#All],[TS1-T]])+1))</f>
        <v>0</v>
      </c>
      <c r="S6" s="220">
        <f>COUNTIFS(Tableau2[Ref-Carte],Tableau1[[#This Row],[Ref-Carte]],Tableau2[TS],INDEX(Tableau6[TS],COLUMN()-COLUMN(Tableau1[[#All],[TS1-T]])+1))</f>
        <v>0</v>
      </c>
      <c r="T6" s="220">
        <f>COUNTIFS(Tableau2[Ref-Carte],Tableau1[[#This Row],[Ref-Carte]],Tableau2[TS],INDEX(Tableau6[TS],COLUMN()-COLUMN(Tableau1[[#All],[TS1-T]])+1))</f>
        <v>0</v>
      </c>
      <c r="U6" s="32">
        <f>IFERROR(Tableau1[[#This Row],[TS1]]/Tableau1[[#This Row],[TS1-T]],"")</f>
        <v>0</v>
      </c>
      <c r="V6" s="32" t="str">
        <f>IFERROR(Tableau1[[#This Row],[TS2]]/Tableau1[[#This Row],[TS2-T]],"")</f>
        <v/>
      </c>
      <c r="W6" s="32" t="str">
        <f>IFERROR(Tableau1[[#This Row],[TS3]]/Tableau1[[#This Row],[TS3-T]],"")</f>
        <v/>
      </c>
      <c r="X6" s="32" t="str">
        <f>IFERROR(Tableau1[[#This Row],[TS4]]/Tableau1[[#This Row],[TS4-T]],"")</f>
        <v/>
      </c>
      <c r="Y6" s="32" t="str">
        <f>IFERROR(Tableau1[[#This Row],[TS5]]/Tableau1[[#This Row],[TS5-T]],"")</f>
        <v/>
      </c>
      <c r="Z6" s="32" t="str">
        <f>IFERROR(Tableau1[[#This Row],[TS6]]/Tableau1[[#This Row],[TS6-T]],"")</f>
        <v/>
      </c>
    </row>
    <row r="7" spans="1:26" ht="16.5" thickTop="1" thickBot="1">
      <c r="A7" s="84">
        <v>1</v>
      </c>
      <c r="B7" s="23" t="str">
        <f>INDEX(Tableau7[Repere],MATCH(Tableau1[[#This Row],[ID-API]],Tableau7[ID-API],0))&amp;""</f>
        <v>A1</v>
      </c>
      <c r="C7" s="84">
        <v>1</v>
      </c>
      <c r="D7" t="str">
        <f>"R" &amp; Tableau1[[#This Row],[ID-RACK]]</f>
        <v>R1</v>
      </c>
      <c r="E7" s="84">
        <v>8</v>
      </c>
      <c r="F7" t="str">
        <f>"S" &amp; Tableau1[[#This Row],[ID-SLOT]]</f>
        <v>S8</v>
      </c>
      <c r="G7" s="168" t="str">
        <f>Tableau1[[#This Row],[ID-API]]&amp; "." &amp;Tableau1[[#This Row],[ID-RACK]]&amp; "." &amp;Tableau1[[#This Row],[ID-SLOT]]</f>
        <v>1.1.8</v>
      </c>
      <c r="H7" t="s">
        <v>710</v>
      </c>
      <c r="I7" s="30">
        <v>0</v>
      </c>
      <c r="J7" s="30">
        <v>0</v>
      </c>
      <c r="K7" s="30">
        <v>0</v>
      </c>
      <c r="L7" s="30">
        <v>0</v>
      </c>
      <c r="M7" s="30">
        <v>0</v>
      </c>
      <c r="N7" s="30">
        <v>0</v>
      </c>
      <c r="O7" s="220">
        <f>COUNTIFS(Tableau2[Ref-Carte],Tableau1[[#This Row],[Ref-Carte]],Tableau2[TS],INDEX(Tableau6[TS],COLUMN()-COLUMN(Tableau1[[#All],[TS1-T]])+1))</f>
        <v>16</v>
      </c>
      <c r="P7" s="220">
        <f>COUNTIFS(Tableau2[Ref-Carte],Tableau1[[#This Row],[Ref-Carte]],Tableau2[TS],INDEX(Tableau6[TS],COLUMN()-COLUMN(Tableau1[[#All],[TS1-T]])+1))</f>
        <v>0</v>
      </c>
      <c r="Q7" s="220">
        <f>COUNTIFS(Tableau2[Ref-Carte],Tableau1[[#This Row],[Ref-Carte]],Tableau2[TS],INDEX(Tableau6[TS],COLUMN()-COLUMN(Tableau1[[#All],[TS1-T]])+1))</f>
        <v>0</v>
      </c>
      <c r="R7" s="220">
        <f>COUNTIFS(Tableau2[Ref-Carte],Tableau1[[#This Row],[Ref-Carte]],Tableau2[TS],INDEX(Tableau6[TS],COLUMN()-COLUMN(Tableau1[[#All],[TS1-T]])+1))</f>
        <v>0</v>
      </c>
      <c r="S7" s="220">
        <f>COUNTIFS(Tableau2[Ref-Carte],Tableau1[[#This Row],[Ref-Carte]],Tableau2[TS],INDEX(Tableau6[TS],COLUMN()-COLUMN(Tableau1[[#All],[TS1-T]])+1))</f>
        <v>0</v>
      </c>
      <c r="T7" s="220">
        <f>COUNTIFS(Tableau2[Ref-Carte],Tableau1[[#This Row],[Ref-Carte]],Tableau2[TS],INDEX(Tableau6[TS],COLUMN()-COLUMN(Tableau1[[#All],[TS1-T]])+1))</f>
        <v>0</v>
      </c>
      <c r="U7" s="32">
        <f>IFERROR(Tableau1[[#This Row],[TS1]]/Tableau1[[#This Row],[TS1-T]],"")</f>
        <v>0</v>
      </c>
      <c r="V7" s="32" t="str">
        <f>IFERROR(Tableau1[[#This Row],[TS2]]/Tableau1[[#This Row],[TS2-T]],"")</f>
        <v/>
      </c>
      <c r="W7" s="32" t="str">
        <f>IFERROR(Tableau1[[#This Row],[TS3]]/Tableau1[[#This Row],[TS3-T]],"")</f>
        <v/>
      </c>
      <c r="X7" s="32" t="str">
        <f>IFERROR(Tableau1[[#This Row],[TS4]]/Tableau1[[#This Row],[TS4-T]],"")</f>
        <v/>
      </c>
      <c r="Y7" s="32" t="str">
        <f>IFERROR(Tableau1[[#This Row],[TS5]]/Tableau1[[#This Row],[TS5-T]],"")</f>
        <v/>
      </c>
      <c r="Z7" s="32" t="str">
        <f>IFERROR(Tableau1[[#This Row],[TS6]]/Tableau1[[#This Row],[TS6-T]],"")</f>
        <v/>
      </c>
    </row>
    <row r="8" spans="1:26" ht="16.5" thickTop="1" thickBot="1">
      <c r="A8" s="84">
        <v>1</v>
      </c>
      <c r="B8" s="23" t="str">
        <f>INDEX(Tableau7[Repere],MATCH(Tableau1[[#This Row],[ID-API]],Tableau7[ID-API],0))&amp;""</f>
        <v>A1</v>
      </c>
      <c r="C8" s="84">
        <v>1</v>
      </c>
      <c r="D8" t="str">
        <f>"R" &amp; Tableau1[[#This Row],[ID-RACK]]</f>
        <v>R1</v>
      </c>
      <c r="E8" s="84">
        <v>9</v>
      </c>
      <c r="F8" t="str">
        <f>"S" &amp; Tableau1[[#This Row],[ID-SLOT]]</f>
        <v>S9</v>
      </c>
      <c r="G8" s="168" t="str">
        <f>Tableau1[[#This Row],[ID-API]]&amp; "." &amp;Tableau1[[#This Row],[ID-RACK]]&amp; "." &amp;Tableau1[[#This Row],[ID-SLOT]]</f>
        <v>1.1.9</v>
      </c>
      <c r="H8" t="s">
        <v>710</v>
      </c>
      <c r="I8" s="30">
        <v>0</v>
      </c>
      <c r="J8" s="30">
        <v>0</v>
      </c>
      <c r="K8" s="30">
        <v>0</v>
      </c>
      <c r="L8" s="30">
        <v>0</v>
      </c>
      <c r="M8" s="30">
        <v>0</v>
      </c>
      <c r="N8" s="30">
        <v>0</v>
      </c>
      <c r="O8" s="220">
        <f>COUNTIFS(Tableau2[Ref-Carte],Tableau1[[#This Row],[Ref-Carte]],Tableau2[TS],INDEX(Tableau6[TS],COLUMN()-COLUMN(Tableau1[[#All],[TS1-T]])+1))</f>
        <v>16</v>
      </c>
      <c r="P8" s="220">
        <f>COUNTIFS(Tableau2[Ref-Carte],Tableau1[[#This Row],[Ref-Carte]],Tableau2[TS],INDEX(Tableau6[TS],COLUMN()-COLUMN(Tableau1[[#All],[TS1-T]])+1))</f>
        <v>0</v>
      </c>
      <c r="Q8" s="220">
        <f>COUNTIFS(Tableau2[Ref-Carte],Tableau1[[#This Row],[Ref-Carte]],Tableau2[TS],INDEX(Tableau6[TS],COLUMN()-COLUMN(Tableau1[[#All],[TS1-T]])+1))</f>
        <v>0</v>
      </c>
      <c r="R8" s="220">
        <f>COUNTIFS(Tableau2[Ref-Carte],Tableau1[[#This Row],[Ref-Carte]],Tableau2[TS],INDEX(Tableau6[TS],COLUMN()-COLUMN(Tableau1[[#All],[TS1-T]])+1))</f>
        <v>0</v>
      </c>
      <c r="S8" s="220">
        <f>COUNTIFS(Tableau2[Ref-Carte],Tableau1[[#This Row],[Ref-Carte]],Tableau2[TS],INDEX(Tableau6[TS],COLUMN()-COLUMN(Tableau1[[#All],[TS1-T]])+1))</f>
        <v>0</v>
      </c>
      <c r="T8" s="220">
        <f>COUNTIFS(Tableau2[Ref-Carte],Tableau1[[#This Row],[Ref-Carte]],Tableau2[TS],INDEX(Tableau6[TS],COLUMN()-COLUMN(Tableau1[[#All],[TS1-T]])+1))</f>
        <v>0</v>
      </c>
      <c r="U8" s="32">
        <f>IFERROR(Tableau1[[#This Row],[TS1]]/Tableau1[[#This Row],[TS1-T]],"")</f>
        <v>0</v>
      </c>
      <c r="V8" s="32" t="str">
        <f>IFERROR(Tableau1[[#This Row],[TS2]]/Tableau1[[#This Row],[TS2-T]],"")</f>
        <v/>
      </c>
      <c r="W8" s="32" t="str">
        <f>IFERROR(Tableau1[[#This Row],[TS3]]/Tableau1[[#This Row],[TS3-T]],"")</f>
        <v/>
      </c>
      <c r="X8" s="32" t="str">
        <f>IFERROR(Tableau1[[#This Row],[TS4]]/Tableau1[[#This Row],[TS4-T]],"")</f>
        <v/>
      </c>
      <c r="Y8" s="32" t="str">
        <f>IFERROR(Tableau1[[#This Row],[TS5]]/Tableau1[[#This Row],[TS5-T]],"")</f>
        <v/>
      </c>
      <c r="Z8" s="32" t="str">
        <f>IFERROR(Tableau1[[#This Row],[TS6]]/Tableau1[[#This Row],[TS6-T]],"")</f>
        <v/>
      </c>
    </row>
    <row r="9" spans="1:26" ht="16.5" thickTop="1" thickBot="1">
      <c r="A9" s="84">
        <v>1</v>
      </c>
      <c r="B9" s="23" t="str">
        <f>INDEX(Tableau7[Repere],MATCH(Tableau1[[#This Row],[ID-API]],Tableau7[ID-API],0))&amp;""</f>
        <v>A1</v>
      </c>
      <c r="C9" s="84">
        <v>1</v>
      </c>
      <c r="D9" t="str">
        <f>"R" &amp; Tableau1[[#This Row],[ID-RACK]]</f>
        <v>R1</v>
      </c>
      <c r="E9" s="84">
        <v>10</v>
      </c>
      <c r="F9" t="str">
        <f>"S" &amp; Tableau1[[#This Row],[ID-SLOT]]</f>
        <v>S10</v>
      </c>
      <c r="G9" s="168" t="str">
        <f>Tableau1[[#This Row],[ID-API]]&amp; "." &amp;Tableau1[[#This Row],[ID-RACK]]&amp; "." &amp;Tableau1[[#This Row],[ID-SLOT]]</f>
        <v>1.1.10</v>
      </c>
      <c r="H9" t="s">
        <v>708</v>
      </c>
      <c r="I9" s="30">
        <v>0</v>
      </c>
      <c r="J9" s="30">
        <v>0</v>
      </c>
      <c r="K9" s="30">
        <v>0</v>
      </c>
      <c r="L9" s="30">
        <v>0</v>
      </c>
      <c r="M9" s="30">
        <v>0</v>
      </c>
      <c r="N9" s="30">
        <v>0</v>
      </c>
      <c r="O9" s="220">
        <f>COUNTIFS(Tableau2[Ref-Carte],Tableau1[[#This Row],[Ref-Carte]],Tableau2[TS],INDEX(Tableau6[TS],COLUMN()-COLUMN(Tableau1[[#All],[TS1-T]])+1))</f>
        <v>0</v>
      </c>
      <c r="P9" s="220">
        <f>COUNTIFS(Tableau2[Ref-Carte],Tableau1[[#This Row],[Ref-Carte]],Tableau2[TS],INDEX(Tableau6[TS],COLUMN()-COLUMN(Tableau1[[#All],[TS1-T]])+1))</f>
        <v>8</v>
      </c>
      <c r="Q9" s="220">
        <f>COUNTIFS(Tableau2[Ref-Carte],Tableau1[[#This Row],[Ref-Carte]],Tableau2[TS],INDEX(Tableau6[TS],COLUMN()-COLUMN(Tableau1[[#All],[TS1-T]])+1))</f>
        <v>0</v>
      </c>
      <c r="R9" s="220">
        <f>COUNTIFS(Tableau2[Ref-Carte],Tableau1[[#This Row],[Ref-Carte]],Tableau2[TS],INDEX(Tableau6[TS],COLUMN()-COLUMN(Tableau1[[#All],[TS1-T]])+1))</f>
        <v>0</v>
      </c>
      <c r="S9" s="220">
        <f>COUNTIFS(Tableau2[Ref-Carte],Tableau1[[#This Row],[Ref-Carte]],Tableau2[TS],INDEX(Tableau6[TS],COLUMN()-COLUMN(Tableau1[[#All],[TS1-T]])+1))</f>
        <v>0</v>
      </c>
      <c r="T9" s="220">
        <f>COUNTIFS(Tableau2[Ref-Carte],Tableau1[[#This Row],[Ref-Carte]],Tableau2[TS],INDEX(Tableau6[TS],COLUMN()-COLUMN(Tableau1[[#All],[TS1-T]])+1))</f>
        <v>0</v>
      </c>
      <c r="U9" s="32" t="str">
        <f>IFERROR(Tableau1[[#This Row],[TS1]]/Tableau1[[#This Row],[TS1-T]],"")</f>
        <v/>
      </c>
      <c r="V9" s="32">
        <f>IFERROR(Tableau1[[#This Row],[TS2]]/Tableau1[[#This Row],[TS2-T]],"")</f>
        <v>0</v>
      </c>
      <c r="W9" s="32" t="str">
        <f>IFERROR(Tableau1[[#This Row],[TS3]]/Tableau1[[#This Row],[TS3-T]],"")</f>
        <v/>
      </c>
      <c r="X9" s="32" t="str">
        <f>IFERROR(Tableau1[[#This Row],[TS4]]/Tableau1[[#This Row],[TS4-T]],"")</f>
        <v/>
      </c>
      <c r="Y9" s="32" t="str">
        <f>IFERROR(Tableau1[[#This Row],[TS5]]/Tableau1[[#This Row],[TS5-T]],"")</f>
        <v/>
      </c>
      <c r="Z9" s="32" t="str">
        <f>IFERROR(Tableau1[[#This Row],[TS6]]/Tableau1[[#This Row],[TS6-T]],"")</f>
        <v/>
      </c>
    </row>
    <row r="10" spans="1:26" ht="16.5" thickTop="1" thickBot="1">
      <c r="A10" s="84">
        <v>1</v>
      </c>
      <c r="B10" s="23" t="str">
        <f>INDEX(Tableau7[Repere],MATCH(Tableau1[[#This Row],[ID-API]],Tableau7[ID-API],0))&amp;""</f>
        <v>A1</v>
      </c>
      <c r="C10" s="84">
        <v>2</v>
      </c>
      <c r="D10" t="str">
        <f>"R" &amp; Tableau1[[#This Row],[ID-RACK]]</f>
        <v>R2</v>
      </c>
      <c r="E10" s="84">
        <v>1</v>
      </c>
      <c r="F10" t="str">
        <f>"S" &amp; Tableau1[[#This Row],[ID-SLOT]]</f>
        <v>S1</v>
      </c>
      <c r="G10" s="168" t="str">
        <f>Tableau1[[#This Row],[ID-API]]&amp; "." &amp;Tableau1[[#This Row],[ID-RACK]]&amp; "." &amp;Tableau1[[#This Row],[ID-SLOT]]</f>
        <v>1.2.1</v>
      </c>
      <c r="H10" t="s">
        <v>708</v>
      </c>
      <c r="I10" s="30">
        <v>0</v>
      </c>
      <c r="J10" s="30">
        <v>0</v>
      </c>
      <c r="K10" s="30">
        <v>0</v>
      </c>
      <c r="L10" s="30">
        <v>0</v>
      </c>
      <c r="M10" s="30">
        <v>0</v>
      </c>
      <c r="N10" s="30">
        <v>0</v>
      </c>
      <c r="O10" s="220">
        <f>COUNTIFS(Tableau2[Ref-Carte],Tableau1[[#This Row],[Ref-Carte]],Tableau2[TS],INDEX(Tableau6[TS],COLUMN()-COLUMN(Tableau1[[#All],[TS1-T]])+1))</f>
        <v>0</v>
      </c>
      <c r="P10" s="220">
        <f>COUNTIFS(Tableau2[Ref-Carte],Tableau1[[#This Row],[Ref-Carte]],Tableau2[TS],INDEX(Tableau6[TS],COLUMN()-COLUMN(Tableau1[[#All],[TS1-T]])+1))</f>
        <v>8</v>
      </c>
      <c r="Q10" s="220">
        <f>COUNTIFS(Tableau2[Ref-Carte],Tableau1[[#This Row],[Ref-Carte]],Tableau2[TS],INDEX(Tableau6[TS],COLUMN()-COLUMN(Tableau1[[#All],[TS1-T]])+1))</f>
        <v>0</v>
      </c>
      <c r="R10" s="220">
        <f>COUNTIFS(Tableau2[Ref-Carte],Tableau1[[#This Row],[Ref-Carte]],Tableau2[TS],INDEX(Tableau6[TS],COLUMN()-COLUMN(Tableau1[[#All],[TS1-T]])+1))</f>
        <v>0</v>
      </c>
      <c r="S10" s="220">
        <f>COUNTIFS(Tableau2[Ref-Carte],Tableau1[[#This Row],[Ref-Carte]],Tableau2[TS],INDEX(Tableau6[TS],COLUMN()-COLUMN(Tableau1[[#All],[TS1-T]])+1))</f>
        <v>0</v>
      </c>
      <c r="T10" s="220">
        <f>COUNTIFS(Tableau2[Ref-Carte],Tableau1[[#This Row],[Ref-Carte]],Tableau2[TS],INDEX(Tableau6[TS],COLUMN()-COLUMN(Tableau1[[#All],[TS1-T]])+1))</f>
        <v>0</v>
      </c>
      <c r="U10" s="32" t="str">
        <f>IFERROR(Tableau1[[#This Row],[TS1]]/Tableau1[[#This Row],[TS1-T]],"")</f>
        <v/>
      </c>
      <c r="V10" s="32">
        <f>IFERROR(Tableau1[[#This Row],[TS2]]/Tableau1[[#This Row],[TS2-T]],"")</f>
        <v>0</v>
      </c>
      <c r="W10" s="32" t="str">
        <f>IFERROR(Tableau1[[#This Row],[TS3]]/Tableau1[[#This Row],[TS3-T]],"")</f>
        <v/>
      </c>
      <c r="X10" s="32" t="str">
        <f>IFERROR(Tableau1[[#This Row],[TS4]]/Tableau1[[#This Row],[TS4-T]],"")</f>
        <v/>
      </c>
      <c r="Y10" s="32" t="str">
        <f>IFERROR(Tableau1[[#This Row],[TS5]]/Tableau1[[#This Row],[TS5-T]],"")</f>
        <v/>
      </c>
      <c r="Z10" s="32" t="str">
        <f>IFERROR(Tableau1[[#This Row],[TS6]]/Tableau1[[#This Row],[TS6-T]],"")</f>
        <v/>
      </c>
    </row>
    <row r="11" spans="1:26" ht="16.5" thickTop="1" thickBot="1">
      <c r="A11" s="84">
        <v>1</v>
      </c>
      <c r="B11" s="23" t="str">
        <f>INDEX(Tableau7[Repere],MATCH(Tableau1[[#This Row],[ID-API]],Tableau7[ID-API],0))&amp;""</f>
        <v>A1</v>
      </c>
      <c r="C11" s="84">
        <v>2</v>
      </c>
      <c r="D11" t="str">
        <f>"R" &amp; Tableau1[[#This Row],[ID-RACK]]</f>
        <v>R2</v>
      </c>
      <c r="E11" s="84">
        <v>2</v>
      </c>
      <c r="F11" t="str">
        <f>"S" &amp; Tableau1[[#This Row],[ID-SLOT]]</f>
        <v>S2</v>
      </c>
      <c r="G11" s="168" t="str">
        <f>Tableau1[[#This Row],[ID-API]]&amp; "." &amp;Tableau1[[#This Row],[ID-RACK]]&amp; "." &amp;Tableau1[[#This Row],[ID-SLOT]]</f>
        <v>1.2.2</v>
      </c>
      <c r="H11" t="s">
        <v>708</v>
      </c>
      <c r="I11" s="30">
        <v>0</v>
      </c>
      <c r="J11" s="30">
        <v>0</v>
      </c>
      <c r="K11" s="30">
        <v>0</v>
      </c>
      <c r="L11" s="30">
        <v>0</v>
      </c>
      <c r="M11" s="30">
        <v>0</v>
      </c>
      <c r="N11" s="30">
        <v>0</v>
      </c>
      <c r="O11" s="220">
        <f>COUNTIFS(Tableau2[Ref-Carte],Tableau1[[#This Row],[Ref-Carte]],Tableau2[TS],INDEX(Tableau6[TS],COLUMN()-COLUMN(Tableau1[[#All],[TS1-T]])+1))</f>
        <v>0</v>
      </c>
      <c r="P11" s="220">
        <f>COUNTIFS(Tableau2[Ref-Carte],Tableau1[[#This Row],[Ref-Carte]],Tableau2[TS],INDEX(Tableau6[TS],COLUMN()-COLUMN(Tableau1[[#All],[TS1-T]])+1))</f>
        <v>8</v>
      </c>
      <c r="Q11" s="220">
        <f>COUNTIFS(Tableau2[Ref-Carte],Tableau1[[#This Row],[Ref-Carte]],Tableau2[TS],INDEX(Tableau6[TS],COLUMN()-COLUMN(Tableau1[[#All],[TS1-T]])+1))</f>
        <v>0</v>
      </c>
      <c r="R11" s="220">
        <f>COUNTIFS(Tableau2[Ref-Carte],Tableau1[[#This Row],[Ref-Carte]],Tableau2[TS],INDEX(Tableau6[TS],COLUMN()-COLUMN(Tableau1[[#All],[TS1-T]])+1))</f>
        <v>0</v>
      </c>
      <c r="S11" s="220">
        <f>COUNTIFS(Tableau2[Ref-Carte],Tableau1[[#This Row],[Ref-Carte]],Tableau2[TS],INDEX(Tableau6[TS],COLUMN()-COLUMN(Tableau1[[#All],[TS1-T]])+1))</f>
        <v>0</v>
      </c>
      <c r="T11" s="220">
        <f>COUNTIFS(Tableau2[Ref-Carte],Tableau1[[#This Row],[Ref-Carte]],Tableau2[TS],INDEX(Tableau6[TS],COLUMN()-COLUMN(Tableau1[[#All],[TS1-T]])+1))</f>
        <v>0</v>
      </c>
      <c r="U11" s="32" t="str">
        <f>IFERROR(Tableau1[[#This Row],[TS1]]/Tableau1[[#This Row],[TS1-T]],"")</f>
        <v/>
      </c>
      <c r="V11" s="32">
        <f>IFERROR(Tableau1[[#This Row],[TS2]]/Tableau1[[#This Row],[TS2-T]],"")</f>
        <v>0</v>
      </c>
      <c r="W11" s="32" t="str">
        <f>IFERROR(Tableau1[[#This Row],[TS3]]/Tableau1[[#This Row],[TS3-T]],"")</f>
        <v/>
      </c>
      <c r="X11" s="32" t="str">
        <f>IFERROR(Tableau1[[#This Row],[TS4]]/Tableau1[[#This Row],[TS4-T]],"")</f>
        <v/>
      </c>
      <c r="Y11" s="32" t="str">
        <f>IFERROR(Tableau1[[#This Row],[TS5]]/Tableau1[[#This Row],[TS5-T]],"")</f>
        <v/>
      </c>
      <c r="Z11" s="32" t="str">
        <f>IFERROR(Tableau1[[#This Row],[TS6]]/Tableau1[[#This Row],[TS6-T]],"")</f>
        <v/>
      </c>
    </row>
    <row r="12" spans="1:26" ht="16.5" thickTop="1" thickBot="1">
      <c r="A12" s="84">
        <v>1</v>
      </c>
      <c r="B12" s="23" t="str">
        <f>INDEX(Tableau7[Repere],MATCH(Tableau1[[#This Row],[ID-API]],Tableau7[ID-API],0))&amp;""</f>
        <v>A1</v>
      </c>
      <c r="C12" s="84">
        <v>2</v>
      </c>
      <c r="D12" t="str">
        <f>"R" &amp; Tableau1[[#This Row],[ID-RACK]]</f>
        <v>R2</v>
      </c>
      <c r="E12" s="84">
        <v>3</v>
      </c>
      <c r="F12" t="str">
        <f>"S" &amp; Tableau1[[#This Row],[ID-SLOT]]</f>
        <v>S3</v>
      </c>
      <c r="G12" s="168" t="str">
        <f>Tableau1[[#This Row],[ID-API]]&amp; "." &amp;Tableau1[[#This Row],[ID-RACK]]&amp; "." &amp;Tableau1[[#This Row],[ID-SLOT]]</f>
        <v>1.2.3</v>
      </c>
      <c r="H12" t="s">
        <v>708</v>
      </c>
      <c r="I12" s="30">
        <v>0</v>
      </c>
      <c r="J12" s="30">
        <v>0</v>
      </c>
      <c r="K12" s="30">
        <v>0</v>
      </c>
      <c r="L12" s="30">
        <v>0</v>
      </c>
      <c r="M12" s="30">
        <v>0</v>
      </c>
      <c r="N12" s="30">
        <v>0</v>
      </c>
      <c r="O12" s="220">
        <f>COUNTIFS(Tableau2[Ref-Carte],Tableau1[[#This Row],[Ref-Carte]],Tableau2[TS],INDEX(Tableau6[TS],COLUMN()-COLUMN(Tableau1[[#All],[TS1-T]])+1))</f>
        <v>0</v>
      </c>
      <c r="P12" s="220">
        <f>COUNTIFS(Tableau2[Ref-Carte],Tableau1[[#This Row],[Ref-Carte]],Tableau2[TS],INDEX(Tableau6[TS],COLUMN()-COLUMN(Tableau1[[#All],[TS1-T]])+1))</f>
        <v>8</v>
      </c>
      <c r="Q12" s="220">
        <f>COUNTIFS(Tableau2[Ref-Carte],Tableau1[[#This Row],[Ref-Carte]],Tableau2[TS],INDEX(Tableau6[TS],COLUMN()-COLUMN(Tableau1[[#All],[TS1-T]])+1))</f>
        <v>0</v>
      </c>
      <c r="R12" s="220">
        <f>COUNTIFS(Tableau2[Ref-Carte],Tableau1[[#This Row],[Ref-Carte]],Tableau2[TS],INDEX(Tableau6[TS],COLUMN()-COLUMN(Tableau1[[#All],[TS1-T]])+1))</f>
        <v>0</v>
      </c>
      <c r="S12" s="220">
        <f>COUNTIFS(Tableau2[Ref-Carte],Tableau1[[#This Row],[Ref-Carte]],Tableau2[TS],INDEX(Tableau6[TS],COLUMN()-COLUMN(Tableau1[[#All],[TS1-T]])+1))</f>
        <v>0</v>
      </c>
      <c r="T12" s="220">
        <f>COUNTIFS(Tableau2[Ref-Carte],Tableau1[[#This Row],[Ref-Carte]],Tableau2[TS],INDEX(Tableau6[TS],COLUMN()-COLUMN(Tableau1[[#All],[TS1-T]])+1))</f>
        <v>0</v>
      </c>
      <c r="U12" s="32" t="str">
        <f>IFERROR(Tableau1[[#This Row],[TS1]]/Tableau1[[#This Row],[TS1-T]],"")</f>
        <v/>
      </c>
      <c r="V12" s="32">
        <f>IFERROR(Tableau1[[#This Row],[TS2]]/Tableau1[[#This Row],[TS2-T]],"")</f>
        <v>0</v>
      </c>
      <c r="W12" s="32" t="str">
        <f>IFERROR(Tableau1[[#This Row],[TS3]]/Tableau1[[#This Row],[TS3-T]],"")</f>
        <v/>
      </c>
      <c r="X12" s="32" t="str">
        <f>IFERROR(Tableau1[[#This Row],[TS4]]/Tableau1[[#This Row],[TS4-T]],"")</f>
        <v/>
      </c>
      <c r="Y12" s="32" t="str">
        <f>IFERROR(Tableau1[[#This Row],[TS5]]/Tableau1[[#This Row],[TS5-T]],"")</f>
        <v/>
      </c>
      <c r="Z12" s="32" t="str">
        <f>IFERROR(Tableau1[[#This Row],[TS6]]/Tableau1[[#This Row],[TS6-T]],"")</f>
        <v/>
      </c>
    </row>
    <row r="13" spans="1:26" ht="16.5" thickTop="1" thickBot="1">
      <c r="A13" s="84">
        <v>1</v>
      </c>
      <c r="B13" s="23" t="str">
        <f>INDEX(Tableau7[Repere],MATCH(Tableau1[[#This Row],[ID-API]],Tableau7[ID-API],0))&amp;""</f>
        <v>A1</v>
      </c>
      <c r="C13" s="84">
        <v>2</v>
      </c>
      <c r="D13" t="str">
        <f>"R" &amp; Tableau1[[#This Row],[ID-RACK]]</f>
        <v>R2</v>
      </c>
      <c r="E13" s="84">
        <v>4</v>
      </c>
      <c r="F13" t="str">
        <f>"S" &amp; Tableau1[[#This Row],[ID-SLOT]]</f>
        <v>S4</v>
      </c>
      <c r="G13" s="168" t="str">
        <f>Tableau1[[#This Row],[ID-API]]&amp; "." &amp;Tableau1[[#This Row],[ID-RACK]]&amp; "." &amp;Tableau1[[#This Row],[ID-SLOT]]</f>
        <v>1.2.4</v>
      </c>
      <c r="H13" t="s">
        <v>708</v>
      </c>
      <c r="I13" s="30">
        <v>0</v>
      </c>
      <c r="J13" s="30">
        <v>0</v>
      </c>
      <c r="K13" s="30">
        <v>0</v>
      </c>
      <c r="L13" s="30">
        <v>0</v>
      </c>
      <c r="M13" s="30">
        <v>0</v>
      </c>
      <c r="N13" s="30">
        <v>0</v>
      </c>
      <c r="O13" s="220">
        <f>COUNTIFS(Tableau2[Ref-Carte],Tableau1[[#This Row],[Ref-Carte]],Tableau2[TS],INDEX(Tableau6[TS],COLUMN()-COLUMN(Tableau1[[#All],[TS1-T]])+1))</f>
        <v>0</v>
      </c>
      <c r="P13" s="220">
        <f>COUNTIFS(Tableau2[Ref-Carte],Tableau1[[#This Row],[Ref-Carte]],Tableau2[TS],INDEX(Tableau6[TS],COLUMN()-COLUMN(Tableau1[[#All],[TS1-T]])+1))</f>
        <v>8</v>
      </c>
      <c r="Q13" s="220">
        <f>COUNTIFS(Tableau2[Ref-Carte],Tableau1[[#This Row],[Ref-Carte]],Tableau2[TS],INDEX(Tableau6[TS],COLUMN()-COLUMN(Tableau1[[#All],[TS1-T]])+1))</f>
        <v>0</v>
      </c>
      <c r="R13" s="220">
        <f>COUNTIFS(Tableau2[Ref-Carte],Tableau1[[#This Row],[Ref-Carte]],Tableau2[TS],INDEX(Tableau6[TS],COLUMN()-COLUMN(Tableau1[[#All],[TS1-T]])+1))</f>
        <v>0</v>
      </c>
      <c r="S13" s="220">
        <f>COUNTIFS(Tableau2[Ref-Carte],Tableau1[[#This Row],[Ref-Carte]],Tableau2[TS],INDEX(Tableau6[TS],COLUMN()-COLUMN(Tableau1[[#All],[TS1-T]])+1))</f>
        <v>0</v>
      </c>
      <c r="T13" s="220">
        <f>COUNTIFS(Tableau2[Ref-Carte],Tableau1[[#This Row],[Ref-Carte]],Tableau2[TS],INDEX(Tableau6[TS],COLUMN()-COLUMN(Tableau1[[#All],[TS1-T]])+1))</f>
        <v>0</v>
      </c>
      <c r="U13" s="32" t="str">
        <f>IFERROR(Tableau1[[#This Row],[TS1]]/Tableau1[[#This Row],[TS1-T]],"")</f>
        <v/>
      </c>
      <c r="V13" s="32">
        <f>IFERROR(Tableau1[[#This Row],[TS2]]/Tableau1[[#This Row],[TS2-T]],"")</f>
        <v>0</v>
      </c>
      <c r="W13" s="32" t="str">
        <f>IFERROR(Tableau1[[#This Row],[TS3]]/Tableau1[[#This Row],[TS3-T]],"")</f>
        <v/>
      </c>
      <c r="X13" s="32" t="str">
        <f>IFERROR(Tableau1[[#This Row],[TS4]]/Tableau1[[#This Row],[TS4-T]],"")</f>
        <v/>
      </c>
      <c r="Y13" s="32" t="str">
        <f>IFERROR(Tableau1[[#This Row],[TS5]]/Tableau1[[#This Row],[TS5-T]],"")</f>
        <v/>
      </c>
      <c r="Z13" s="32" t="str">
        <f>IFERROR(Tableau1[[#This Row],[TS6]]/Tableau1[[#This Row],[TS6-T]],"")</f>
        <v/>
      </c>
    </row>
    <row r="14" spans="1:26" ht="16.5" thickTop="1" thickBot="1">
      <c r="A14" s="84">
        <v>1</v>
      </c>
      <c r="B14" s="23" t="str">
        <f>INDEX(Tableau7[Repere],MATCH(Tableau1[[#This Row],[ID-API]],Tableau7[ID-API],0))&amp;""</f>
        <v>A1</v>
      </c>
      <c r="C14" s="84">
        <v>2</v>
      </c>
      <c r="D14" t="str">
        <f>"R" &amp; Tableau1[[#This Row],[ID-RACK]]</f>
        <v>R2</v>
      </c>
      <c r="E14" s="84">
        <v>5</v>
      </c>
      <c r="F14" t="str">
        <f>"S" &amp; Tableau1[[#This Row],[ID-SLOT]]</f>
        <v>S5</v>
      </c>
      <c r="G14" s="168" t="str">
        <f>Tableau1[[#This Row],[ID-API]]&amp; "." &amp;Tableau1[[#This Row],[ID-RACK]]&amp; "." &amp;Tableau1[[#This Row],[ID-SLOT]]</f>
        <v>1.2.5</v>
      </c>
      <c r="H14" t="s">
        <v>708</v>
      </c>
      <c r="I14" s="30">
        <v>0</v>
      </c>
      <c r="J14" s="30">
        <v>0</v>
      </c>
      <c r="K14" s="30">
        <v>0</v>
      </c>
      <c r="L14" s="30">
        <v>0</v>
      </c>
      <c r="M14" s="30">
        <v>0</v>
      </c>
      <c r="N14" s="30">
        <v>0</v>
      </c>
      <c r="O14" s="220">
        <f>COUNTIFS(Tableau2[Ref-Carte],Tableau1[[#This Row],[Ref-Carte]],Tableau2[TS],INDEX(Tableau6[TS],COLUMN()-COLUMN(Tableau1[[#All],[TS1-T]])+1))</f>
        <v>0</v>
      </c>
      <c r="P14" s="220">
        <f>COUNTIFS(Tableau2[Ref-Carte],Tableau1[[#This Row],[Ref-Carte]],Tableau2[TS],INDEX(Tableau6[TS],COLUMN()-COLUMN(Tableau1[[#All],[TS1-T]])+1))</f>
        <v>8</v>
      </c>
      <c r="Q14" s="220">
        <f>COUNTIFS(Tableau2[Ref-Carte],Tableau1[[#This Row],[Ref-Carte]],Tableau2[TS],INDEX(Tableau6[TS],COLUMN()-COLUMN(Tableau1[[#All],[TS1-T]])+1))</f>
        <v>0</v>
      </c>
      <c r="R14" s="220">
        <f>COUNTIFS(Tableau2[Ref-Carte],Tableau1[[#This Row],[Ref-Carte]],Tableau2[TS],INDEX(Tableau6[TS],COLUMN()-COLUMN(Tableau1[[#All],[TS1-T]])+1))</f>
        <v>0</v>
      </c>
      <c r="S14" s="220">
        <f>COUNTIFS(Tableau2[Ref-Carte],Tableau1[[#This Row],[Ref-Carte]],Tableau2[TS],INDEX(Tableau6[TS],COLUMN()-COLUMN(Tableau1[[#All],[TS1-T]])+1))</f>
        <v>0</v>
      </c>
      <c r="T14" s="220">
        <f>COUNTIFS(Tableau2[Ref-Carte],Tableau1[[#This Row],[Ref-Carte]],Tableau2[TS],INDEX(Tableau6[TS],COLUMN()-COLUMN(Tableau1[[#All],[TS1-T]])+1))</f>
        <v>0</v>
      </c>
      <c r="U14" s="32" t="str">
        <f>IFERROR(Tableau1[[#This Row],[TS1]]/Tableau1[[#This Row],[TS1-T]],"")</f>
        <v/>
      </c>
      <c r="V14" s="32">
        <f>IFERROR(Tableau1[[#This Row],[TS2]]/Tableau1[[#This Row],[TS2-T]],"")</f>
        <v>0</v>
      </c>
      <c r="W14" s="32" t="str">
        <f>IFERROR(Tableau1[[#This Row],[TS3]]/Tableau1[[#This Row],[TS3-T]],"")</f>
        <v/>
      </c>
      <c r="X14" s="32" t="str">
        <f>IFERROR(Tableau1[[#This Row],[TS4]]/Tableau1[[#This Row],[TS4-T]],"")</f>
        <v/>
      </c>
      <c r="Y14" s="32" t="str">
        <f>IFERROR(Tableau1[[#This Row],[TS5]]/Tableau1[[#This Row],[TS5-T]],"")</f>
        <v/>
      </c>
      <c r="Z14" s="32" t="str">
        <f>IFERROR(Tableau1[[#This Row],[TS6]]/Tableau1[[#This Row],[TS6-T]],"")</f>
        <v/>
      </c>
    </row>
    <row r="15" spans="1:26" ht="16.5" thickTop="1" thickBot="1">
      <c r="A15" s="84">
        <v>1</v>
      </c>
      <c r="B15" s="23" t="str">
        <f>INDEX(Tableau7[Repere],MATCH(Tableau1[[#This Row],[ID-API]],Tableau7[ID-API],0))&amp;""</f>
        <v>A1</v>
      </c>
      <c r="C15" s="84">
        <v>2</v>
      </c>
      <c r="D15" t="str">
        <f>"R" &amp; Tableau1[[#This Row],[ID-RACK]]</f>
        <v>R2</v>
      </c>
      <c r="E15" s="84">
        <v>6</v>
      </c>
      <c r="F15" t="str">
        <f>"S" &amp; Tableau1[[#This Row],[ID-SLOT]]</f>
        <v>S6</v>
      </c>
      <c r="G15" s="168" t="str">
        <f>Tableau1[[#This Row],[ID-API]]&amp; "." &amp;Tableau1[[#This Row],[ID-RACK]]&amp; "." &amp;Tableau1[[#This Row],[ID-SLOT]]</f>
        <v>1.2.6</v>
      </c>
      <c r="H15" t="s">
        <v>708</v>
      </c>
      <c r="I15" s="30">
        <v>0</v>
      </c>
      <c r="J15" s="30">
        <v>0</v>
      </c>
      <c r="K15" s="30">
        <v>0</v>
      </c>
      <c r="L15" s="30">
        <v>0</v>
      </c>
      <c r="M15" s="30">
        <v>0</v>
      </c>
      <c r="N15" s="30">
        <v>0</v>
      </c>
      <c r="O15" s="220">
        <f>COUNTIFS(Tableau2[Ref-Carte],Tableau1[[#This Row],[Ref-Carte]],Tableau2[TS],INDEX(Tableau6[TS],COLUMN()-COLUMN(Tableau1[[#All],[TS1-T]])+1))</f>
        <v>0</v>
      </c>
      <c r="P15" s="220">
        <f>COUNTIFS(Tableau2[Ref-Carte],Tableau1[[#This Row],[Ref-Carte]],Tableau2[TS],INDEX(Tableau6[TS],COLUMN()-COLUMN(Tableau1[[#All],[TS1-T]])+1))</f>
        <v>8</v>
      </c>
      <c r="Q15" s="220">
        <f>COUNTIFS(Tableau2[Ref-Carte],Tableau1[[#This Row],[Ref-Carte]],Tableau2[TS],INDEX(Tableau6[TS],COLUMN()-COLUMN(Tableau1[[#All],[TS1-T]])+1))</f>
        <v>0</v>
      </c>
      <c r="R15" s="220">
        <f>COUNTIFS(Tableau2[Ref-Carte],Tableau1[[#This Row],[Ref-Carte]],Tableau2[TS],INDEX(Tableau6[TS],COLUMN()-COLUMN(Tableau1[[#All],[TS1-T]])+1))</f>
        <v>0</v>
      </c>
      <c r="S15" s="220">
        <f>COUNTIFS(Tableau2[Ref-Carte],Tableau1[[#This Row],[Ref-Carte]],Tableau2[TS],INDEX(Tableau6[TS],COLUMN()-COLUMN(Tableau1[[#All],[TS1-T]])+1))</f>
        <v>0</v>
      </c>
      <c r="T15" s="220">
        <f>COUNTIFS(Tableau2[Ref-Carte],Tableau1[[#This Row],[Ref-Carte]],Tableau2[TS],INDEX(Tableau6[TS],COLUMN()-COLUMN(Tableau1[[#All],[TS1-T]])+1))</f>
        <v>0</v>
      </c>
      <c r="U15" s="32" t="str">
        <f>IFERROR(Tableau1[[#This Row],[TS1]]/Tableau1[[#This Row],[TS1-T]],"")</f>
        <v/>
      </c>
      <c r="V15" s="32">
        <f>IFERROR(Tableau1[[#This Row],[TS2]]/Tableau1[[#This Row],[TS2-T]],"")</f>
        <v>0</v>
      </c>
      <c r="W15" s="32" t="str">
        <f>IFERROR(Tableau1[[#This Row],[TS3]]/Tableau1[[#This Row],[TS3-T]],"")</f>
        <v/>
      </c>
      <c r="X15" s="32" t="str">
        <f>IFERROR(Tableau1[[#This Row],[TS4]]/Tableau1[[#This Row],[TS4-T]],"")</f>
        <v/>
      </c>
      <c r="Y15" s="32" t="str">
        <f>IFERROR(Tableau1[[#This Row],[TS5]]/Tableau1[[#This Row],[TS5-T]],"")</f>
        <v/>
      </c>
      <c r="Z15" s="32" t="str">
        <f>IFERROR(Tableau1[[#This Row],[TS6]]/Tableau1[[#This Row],[TS6-T]],"")</f>
        <v/>
      </c>
    </row>
    <row r="16" spans="1:26" ht="16.5" thickTop="1" thickBot="1">
      <c r="A16" s="84">
        <v>1</v>
      </c>
      <c r="B16" s="23" t="str">
        <f>INDEX(Tableau7[Repere],MATCH(Tableau1[[#This Row],[ID-API]],Tableau7[ID-API],0))&amp;""</f>
        <v>A1</v>
      </c>
      <c r="C16" s="84">
        <v>2</v>
      </c>
      <c r="D16" t="str">
        <f>"R" &amp; Tableau1[[#This Row],[ID-RACK]]</f>
        <v>R2</v>
      </c>
      <c r="E16" s="84">
        <v>7</v>
      </c>
      <c r="F16" t="str">
        <f>"S" &amp; Tableau1[[#This Row],[ID-SLOT]]</f>
        <v>S7</v>
      </c>
      <c r="G16" s="168" t="str">
        <f>Tableau1[[#This Row],[ID-API]]&amp; "." &amp;Tableau1[[#This Row],[ID-RACK]]&amp; "." &amp;Tableau1[[#This Row],[ID-SLOT]]</f>
        <v>1.2.7</v>
      </c>
      <c r="H16" t="s">
        <v>710</v>
      </c>
      <c r="I16" s="30">
        <v>0</v>
      </c>
      <c r="J16" s="30">
        <v>0</v>
      </c>
      <c r="K16" s="30">
        <v>0</v>
      </c>
      <c r="L16" s="30">
        <v>0</v>
      </c>
      <c r="M16" s="30">
        <v>0</v>
      </c>
      <c r="N16" s="30">
        <v>0</v>
      </c>
      <c r="O16" s="220">
        <f>COUNTIFS(Tableau2[Ref-Carte],Tableau1[[#This Row],[Ref-Carte]],Tableau2[TS],INDEX(Tableau6[TS],COLUMN()-COLUMN(Tableau1[[#All],[TS1-T]])+1))</f>
        <v>16</v>
      </c>
      <c r="P16" s="220">
        <f>COUNTIFS(Tableau2[Ref-Carte],Tableau1[[#This Row],[Ref-Carte]],Tableau2[TS],INDEX(Tableau6[TS],COLUMN()-COLUMN(Tableau1[[#All],[TS1-T]])+1))</f>
        <v>0</v>
      </c>
      <c r="Q16" s="220">
        <f>COUNTIFS(Tableau2[Ref-Carte],Tableau1[[#This Row],[Ref-Carte]],Tableau2[TS],INDEX(Tableau6[TS],COLUMN()-COLUMN(Tableau1[[#All],[TS1-T]])+1))</f>
        <v>0</v>
      </c>
      <c r="R16" s="220">
        <f>COUNTIFS(Tableau2[Ref-Carte],Tableau1[[#This Row],[Ref-Carte]],Tableau2[TS],INDEX(Tableau6[TS],COLUMN()-COLUMN(Tableau1[[#All],[TS1-T]])+1))</f>
        <v>0</v>
      </c>
      <c r="S16" s="220">
        <f>COUNTIFS(Tableau2[Ref-Carte],Tableau1[[#This Row],[Ref-Carte]],Tableau2[TS],INDEX(Tableau6[TS],COLUMN()-COLUMN(Tableau1[[#All],[TS1-T]])+1))</f>
        <v>0</v>
      </c>
      <c r="T16" s="220">
        <f>COUNTIFS(Tableau2[Ref-Carte],Tableau1[[#This Row],[Ref-Carte]],Tableau2[TS],INDEX(Tableau6[TS],COLUMN()-COLUMN(Tableau1[[#All],[TS1-T]])+1))</f>
        <v>0</v>
      </c>
      <c r="U16" s="32">
        <f>IFERROR(Tableau1[[#This Row],[TS1]]/Tableau1[[#This Row],[TS1-T]],"")</f>
        <v>0</v>
      </c>
      <c r="V16" s="32" t="str">
        <f>IFERROR(Tableau1[[#This Row],[TS2]]/Tableau1[[#This Row],[TS2-T]],"")</f>
        <v/>
      </c>
      <c r="W16" s="32" t="str">
        <f>IFERROR(Tableau1[[#This Row],[TS3]]/Tableau1[[#This Row],[TS3-T]],"")</f>
        <v/>
      </c>
      <c r="X16" s="32" t="str">
        <f>IFERROR(Tableau1[[#This Row],[TS4]]/Tableau1[[#This Row],[TS4-T]],"")</f>
        <v/>
      </c>
      <c r="Y16" s="32" t="str">
        <f>IFERROR(Tableau1[[#This Row],[TS5]]/Tableau1[[#This Row],[TS5-T]],"")</f>
        <v/>
      </c>
      <c r="Z16" s="32" t="str">
        <f>IFERROR(Tableau1[[#This Row],[TS6]]/Tableau1[[#This Row],[TS6-T]],"")</f>
        <v/>
      </c>
    </row>
    <row r="17" spans="1:26" ht="16.5" thickTop="1" thickBot="1">
      <c r="A17" s="84">
        <v>1</v>
      </c>
      <c r="B17" s="23" t="str">
        <f>INDEX(Tableau7[Repere],MATCH(Tableau1[[#This Row],[ID-API]],Tableau7[ID-API],0))&amp;""</f>
        <v>A1</v>
      </c>
      <c r="C17" s="84">
        <v>2</v>
      </c>
      <c r="D17" t="str">
        <f>"R" &amp; Tableau1[[#This Row],[ID-RACK]]</f>
        <v>R2</v>
      </c>
      <c r="E17" s="84">
        <v>8</v>
      </c>
      <c r="F17" t="str">
        <f>"S" &amp; Tableau1[[#This Row],[ID-SLOT]]</f>
        <v>S8</v>
      </c>
      <c r="G17" s="168" t="str">
        <f>Tableau1[[#This Row],[ID-API]]&amp; "." &amp;Tableau1[[#This Row],[ID-RACK]]&amp; "." &amp;Tableau1[[#This Row],[ID-SLOT]]</f>
        <v>1.2.8</v>
      </c>
      <c r="H17" t="s">
        <v>710</v>
      </c>
      <c r="I17" s="30">
        <v>0</v>
      </c>
      <c r="J17" s="30">
        <v>0</v>
      </c>
      <c r="K17" s="30">
        <v>0</v>
      </c>
      <c r="L17" s="30">
        <v>0</v>
      </c>
      <c r="M17" s="30">
        <v>0</v>
      </c>
      <c r="N17" s="30">
        <v>0</v>
      </c>
      <c r="O17" s="220">
        <f>COUNTIFS(Tableau2[Ref-Carte],Tableau1[[#This Row],[Ref-Carte]],Tableau2[TS],INDEX(Tableau6[TS],COLUMN()-COLUMN(Tableau1[[#All],[TS1-T]])+1))</f>
        <v>16</v>
      </c>
      <c r="P17" s="220">
        <f>COUNTIFS(Tableau2[Ref-Carte],Tableau1[[#This Row],[Ref-Carte]],Tableau2[TS],INDEX(Tableau6[TS],COLUMN()-COLUMN(Tableau1[[#All],[TS1-T]])+1))</f>
        <v>0</v>
      </c>
      <c r="Q17" s="220">
        <f>COUNTIFS(Tableau2[Ref-Carte],Tableau1[[#This Row],[Ref-Carte]],Tableau2[TS],INDEX(Tableau6[TS],COLUMN()-COLUMN(Tableau1[[#All],[TS1-T]])+1))</f>
        <v>0</v>
      </c>
      <c r="R17" s="220">
        <f>COUNTIFS(Tableau2[Ref-Carte],Tableau1[[#This Row],[Ref-Carte]],Tableau2[TS],INDEX(Tableau6[TS],COLUMN()-COLUMN(Tableau1[[#All],[TS1-T]])+1))</f>
        <v>0</v>
      </c>
      <c r="S17" s="220">
        <f>COUNTIFS(Tableau2[Ref-Carte],Tableau1[[#This Row],[Ref-Carte]],Tableau2[TS],INDEX(Tableau6[TS],COLUMN()-COLUMN(Tableau1[[#All],[TS1-T]])+1))</f>
        <v>0</v>
      </c>
      <c r="T17" s="220">
        <f>COUNTIFS(Tableau2[Ref-Carte],Tableau1[[#This Row],[Ref-Carte]],Tableau2[TS],INDEX(Tableau6[TS],COLUMN()-COLUMN(Tableau1[[#All],[TS1-T]])+1))</f>
        <v>0</v>
      </c>
      <c r="U17" s="32">
        <f>IFERROR(Tableau1[[#This Row],[TS1]]/Tableau1[[#This Row],[TS1-T]],"")</f>
        <v>0</v>
      </c>
      <c r="V17" s="32" t="str">
        <f>IFERROR(Tableau1[[#This Row],[TS2]]/Tableau1[[#This Row],[TS2-T]],"")</f>
        <v/>
      </c>
      <c r="W17" s="32" t="str">
        <f>IFERROR(Tableau1[[#This Row],[TS3]]/Tableau1[[#This Row],[TS3-T]],"")</f>
        <v/>
      </c>
      <c r="X17" s="32" t="str">
        <f>IFERROR(Tableau1[[#This Row],[TS4]]/Tableau1[[#This Row],[TS4-T]],"")</f>
        <v/>
      </c>
      <c r="Y17" s="32" t="str">
        <f>IFERROR(Tableau1[[#This Row],[TS5]]/Tableau1[[#This Row],[TS5-T]],"")</f>
        <v/>
      </c>
      <c r="Z17" s="32" t="str">
        <f>IFERROR(Tableau1[[#This Row],[TS6]]/Tableau1[[#This Row],[TS6-T]],"")</f>
        <v/>
      </c>
    </row>
    <row r="18" spans="1:26" ht="16.5" thickTop="1" thickBot="1">
      <c r="A18" s="84">
        <v>1</v>
      </c>
      <c r="B18" s="23" t="str">
        <f>INDEX(Tableau7[Repere],MATCH(Tableau1[[#This Row],[ID-API]],Tableau7[ID-API],0))&amp;""</f>
        <v>A1</v>
      </c>
      <c r="C18" s="84">
        <v>2</v>
      </c>
      <c r="D18" t="str">
        <f>"R" &amp; Tableau1[[#This Row],[ID-RACK]]</f>
        <v>R2</v>
      </c>
      <c r="E18" s="84">
        <v>9</v>
      </c>
      <c r="F18" t="str">
        <f>"S" &amp; Tableau1[[#This Row],[ID-SLOT]]</f>
        <v>S9</v>
      </c>
      <c r="G18" s="168" t="str">
        <f>Tableau1[[#This Row],[ID-API]]&amp; "." &amp;Tableau1[[#This Row],[ID-RACK]]&amp; "." &amp;Tableau1[[#This Row],[ID-SLOT]]</f>
        <v>1.2.9</v>
      </c>
      <c r="H18" t="s">
        <v>710</v>
      </c>
      <c r="I18" s="30">
        <v>0</v>
      </c>
      <c r="J18" s="30">
        <v>0</v>
      </c>
      <c r="K18" s="30">
        <v>0</v>
      </c>
      <c r="L18" s="30">
        <v>0</v>
      </c>
      <c r="M18" s="30">
        <v>0</v>
      </c>
      <c r="N18" s="30">
        <v>0</v>
      </c>
      <c r="O18" s="220">
        <f>COUNTIFS(Tableau2[Ref-Carte],Tableau1[[#This Row],[Ref-Carte]],Tableau2[TS],INDEX(Tableau6[TS],COLUMN()-COLUMN(Tableau1[[#All],[TS1-T]])+1))</f>
        <v>16</v>
      </c>
      <c r="P18" s="220">
        <f>COUNTIFS(Tableau2[Ref-Carte],Tableau1[[#This Row],[Ref-Carte]],Tableau2[TS],INDEX(Tableau6[TS],COLUMN()-COLUMN(Tableau1[[#All],[TS1-T]])+1))</f>
        <v>0</v>
      </c>
      <c r="Q18" s="220">
        <f>COUNTIFS(Tableau2[Ref-Carte],Tableau1[[#This Row],[Ref-Carte]],Tableau2[TS],INDEX(Tableau6[TS],COLUMN()-COLUMN(Tableau1[[#All],[TS1-T]])+1))</f>
        <v>0</v>
      </c>
      <c r="R18" s="220">
        <f>COUNTIFS(Tableau2[Ref-Carte],Tableau1[[#This Row],[Ref-Carte]],Tableau2[TS],INDEX(Tableau6[TS],COLUMN()-COLUMN(Tableau1[[#All],[TS1-T]])+1))</f>
        <v>0</v>
      </c>
      <c r="S18" s="220">
        <f>COUNTIFS(Tableau2[Ref-Carte],Tableau1[[#This Row],[Ref-Carte]],Tableau2[TS],INDEX(Tableau6[TS],COLUMN()-COLUMN(Tableau1[[#All],[TS1-T]])+1))</f>
        <v>0</v>
      </c>
      <c r="T18" s="220">
        <f>COUNTIFS(Tableau2[Ref-Carte],Tableau1[[#This Row],[Ref-Carte]],Tableau2[TS],INDEX(Tableau6[TS],COLUMN()-COLUMN(Tableau1[[#All],[TS1-T]])+1))</f>
        <v>0</v>
      </c>
      <c r="U18" s="32">
        <f>IFERROR(Tableau1[[#This Row],[TS1]]/Tableau1[[#This Row],[TS1-T]],"")</f>
        <v>0</v>
      </c>
      <c r="V18" s="32" t="str">
        <f>IFERROR(Tableau1[[#This Row],[TS2]]/Tableau1[[#This Row],[TS2-T]],"")</f>
        <v/>
      </c>
      <c r="W18" s="32" t="str">
        <f>IFERROR(Tableau1[[#This Row],[TS3]]/Tableau1[[#This Row],[TS3-T]],"")</f>
        <v/>
      </c>
      <c r="X18" s="32" t="str">
        <f>IFERROR(Tableau1[[#This Row],[TS4]]/Tableau1[[#This Row],[TS4-T]],"")</f>
        <v/>
      </c>
      <c r="Y18" s="32" t="str">
        <f>IFERROR(Tableau1[[#This Row],[TS5]]/Tableau1[[#This Row],[TS5-T]],"")</f>
        <v/>
      </c>
      <c r="Z18" s="32" t="str">
        <f>IFERROR(Tableau1[[#This Row],[TS6]]/Tableau1[[#This Row],[TS6-T]],"")</f>
        <v/>
      </c>
    </row>
    <row r="19" spans="1:26" ht="16.5" thickTop="1" thickBot="1">
      <c r="A19" s="84">
        <v>1</v>
      </c>
      <c r="B19" s="23" t="str">
        <f>INDEX(Tableau7[Repere],MATCH(Tableau1[[#This Row],[ID-API]],Tableau7[ID-API],0))&amp;""</f>
        <v>A1</v>
      </c>
      <c r="C19" s="84">
        <v>2</v>
      </c>
      <c r="D19" t="str">
        <f>"R" &amp; Tableau1[[#This Row],[ID-RACK]]</f>
        <v>R2</v>
      </c>
      <c r="E19" s="84">
        <v>10</v>
      </c>
      <c r="F19" t="str">
        <f>"S" &amp; Tableau1[[#This Row],[ID-SLOT]]</f>
        <v>S10</v>
      </c>
      <c r="G19" s="168" t="str">
        <f>Tableau1[[#This Row],[ID-API]]&amp; "." &amp;Tableau1[[#This Row],[ID-RACK]]&amp; "." &amp;Tableau1[[#This Row],[ID-SLOT]]</f>
        <v>1.2.10</v>
      </c>
      <c r="H19" t="s">
        <v>710</v>
      </c>
      <c r="I19" s="30">
        <v>0</v>
      </c>
      <c r="J19" s="30">
        <v>0</v>
      </c>
      <c r="K19" s="30">
        <v>0</v>
      </c>
      <c r="L19" s="30">
        <v>0</v>
      </c>
      <c r="M19" s="30">
        <v>0</v>
      </c>
      <c r="N19" s="30">
        <v>0</v>
      </c>
      <c r="O19" s="220">
        <f>COUNTIFS(Tableau2[Ref-Carte],Tableau1[[#This Row],[Ref-Carte]],Tableau2[TS],INDEX(Tableau6[TS],COLUMN()-COLUMN(Tableau1[[#All],[TS1-T]])+1))</f>
        <v>16</v>
      </c>
      <c r="P19" s="220">
        <f>COUNTIFS(Tableau2[Ref-Carte],Tableau1[[#This Row],[Ref-Carte]],Tableau2[TS],INDEX(Tableau6[TS],COLUMN()-COLUMN(Tableau1[[#All],[TS1-T]])+1))</f>
        <v>0</v>
      </c>
      <c r="Q19" s="220">
        <f>COUNTIFS(Tableau2[Ref-Carte],Tableau1[[#This Row],[Ref-Carte]],Tableau2[TS],INDEX(Tableau6[TS],COLUMN()-COLUMN(Tableau1[[#All],[TS1-T]])+1))</f>
        <v>0</v>
      </c>
      <c r="R19" s="220">
        <f>COUNTIFS(Tableau2[Ref-Carte],Tableau1[[#This Row],[Ref-Carte]],Tableau2[TS],INDEX(Tableau6[TS],COLUMN()-COLUMN(Tableau1[[#All],[TS1-T]])+1))</f>
        <v>0</v>
      </c>
      <c r="S19" s="220">
        <f>COUNTIFS(Tableau2[Ref-Carte],Tableau1[[#This Row],[Ref-Carte]],Tableau2[TS],INDEX(Tableau6[TS],COLUMN()-COLUMN(Tableau1[[#All],[TS1-T]])+1))</f>
        <v>0</v>
      </c>
      <c r="T19" s="220">
        <f>COUNTIFS(Tableau2[Ref-Carte],Tableau1[[#This Row],[Ref-Carte]],Tableau2[TS],INDEX(Tableau6[TS],COLUMN()-COLUMN(Tableau1[[#All],[TS1-T]])+1))</f>
        <v>0</v>
      </c>
      <c r="U19" s="32">
        <f>IFERROR(Tableau1[[#This Row],[TS1]]/Tableau1[[#This Row],[TS1-T]],"")</f>
        <v>0</v>
      </c>
      <c r="V19" s="32" t="str">
        <f>IFERROR(Tableau1[[#This Row],[TS2]]/Tableau1[[#This Row],[TS2-T]],"")</f>
        <v/>
      </c>
      <c r="W19" s="32" t="str">
        <f>IFERROR(Tableau1[[#This Row],[TS3]]/Tableau1[[#This Row],[TS3-T]],"")</f>
        <v/>
      </c>
      <c r="X19" s="32" t="str">
        <f>IFERROR(Tableau1[[#This Row],[TS4]]/Tableau1[[#This Row],[TS4-T]],"")</f>
        <v/>
      </c>
      <c r="Y19" s="32" t="str">
        <f>IFERROR(Tableau1[[#This Row],[TS5]]/Tableau1[[#This Row],[TS5-T]],"")</f>
        <v/>
      </c>
      <c r="Z19" s="32" t="str">
        <f>IFERROR(Tableau1[[#This Row],[TS6]]/Tableau1[[#This Row],[TS6-T]],"")</f>
        <v/>
      </c>
    </row>
    <row r="20" spans="1:26" ht="16.5" thickTop="1" thickBot="1">
      <c r="A20" s="84">
        <v>6</v>
      </c>
      <c r="B20" s="23" t="str">
        <f>INDEX(Tableau7[Repere],MATCH(Tableau1[[#This Row],[ID-API]],Tableau7[ID-API],0))&amp;""</f>
        <v>A6</v>
      </c>
      <c r="C20" s="84">
        <v>1</v>
      </c>
      <c r="D20" t="str">
        <f>"R" &amp; Tableau1[[#This Row],[ID-RACK]]</f>
        <v>R1</v>
      </c>
      <c r="E20" s="84">
        <v>3</v>
      </c>
      <c r="F20" t="str">
        <f>"S" &amp; Tableau1[[#This Row],[ID-SLOT]]</f>
        <v>S3</v>
      </c>
      <c r="G20" s="168" t="str">
        <f>Tableau1[[#This Row],[ID-API]]&amp; "." &amp;Tableau1[[#This Row],[ID-RACK]]&amp; "." &amp;Tableau1[[#This Row],[ID-SLOT]]</f>
        <v>6.1.3</v>
      </c>
      <c r="H20" t="s">
        <v>708</v>
      </c>
      <c r="I20" s="30">
        <v>0</v>
      </c>
      <c r="J20" s="30">
        <v>0</v>
      </c>
      <c r="K20" s="30">
        <v>0</v>
      </c>
      <c r="L20" s="30">
        <v>0</v>
      </c>
      <c r="M20" s="30">
        <v>0</v>
      </c>
      <c r="N20" s="30">
        <v>0</v>
      </c>
      <c r="O20" s="220">
        <f>COUNTIFS(Tableau2[Ref-Carte],Tableau1[[#This Row],[Ref-Carte]],Tableau2[TS],INDEX(Tableau6[TS],COLUMN()-COLUMN(Tableau1[[#All],[TS1-T]])+1))</f>
        <v>0</v>
      </c>
      <c r="P20" s="220">
        <f>COUNTIFS(Tableau2[Ref-Carte],Tableau1[[#This Row],[Ref-Carte]],Tableau2[TS],INDEX(Tableau6[TS],COLUMN()-COLUMN(Tableau1[[#All],[TS1-T]])+1))</f>
        <v>8</v>
      </c>
      <c r="Q20" s="220">
        <f>COUNTIFS(Tableau2[Ref-Carte],Tableau1[[#This Row],[Ref-Carte]],Tableau2[TS],INDEX(Tableau6[TS],COLUMN()-COLUMN(Tableau1[[#All],[TS1-T]])+1))</f>
        <v>0</v>
      </c>
      <c r="R20" s="220">
        <f>COUNTIFS(Tableau2[Ref-Carte],Tableau1[[#This Row],[Ref-Carte]],Tableau2[TS],INDEX(Tableau6[TS],COLUMN()-COLUMN(Tableau1[[#All],[TS1-T]])+1))</f>
        <v>0</v>
      </c>
      <c r="S20" s="220">
        <f>COUNTIFS(Tableau2[Ref-Carte],Tableau1[[#This Row],[Ref-Carte]],Tableau2[TS],INDEX(Tableau6[TS],COLUMN()-COLUMN(Tableau1[[#All],[TS1-T]])+1))</f>
        <v>0</v>
      </c>
      <c r="T20" s="220">
        <f>COUNTIFS(Tableau2[Ref-Carte],Tableau1[[#This Row],[Ref-Carte]],Tableau2[TS],INDEX(Tableau6[TS],COLUMN()-COLUMN(Tableau1[[#All],[TS1-T]])+1))</f>
        <v>0</v>
      </c>
      <c r="U20" s="32" t="str">
        <f>IFERROR(Tableau1[[#This Row],[TS1]]/Tableau1[[#This Row],[TS1-T]],"")</f>
        <v/>
      </c>
      <c r="V20" s="32">
        <f>IFERROR(Tableau1[[#This Row],[TS2]]/Tableau1[[#This Row],[TS2-T]],"")</f>
        <v>0</v>
      </c>
      <c r="W20" s="32" t="str">
        <f>IFERROR(Tableau1[[#This Row],[TS3]]/Tableau1[[#This Row],[TS3-T]],"")</f>
        <v/>
      </c>
      <c r="X20" s="32" t="str">
        <f>IFERROR(Tableau1[[#This Row],[TS4]]/Tableau1[[#This Row],[TS4-T]],"")</f>
        <v/>
      </c>
      <c r="Y20" s="32" t="str">
        <f>IFERROR(Tableau1[[#This Row],[TS5]]/Tableau1[[#This Row],[TS5-T]],"")</f>
        <v/>
      </c>
      <c r="Z20" s="32" t="str">
        <f>IFERROR(Tableau1[[#This Row],[TS6]]/Tableau1[[#This Row],[TS6-T]],"")</f>
        <v/>
      </c>
    </row>
    <row r="21" spans="1:26" ht="16.5" thickTop="1" thickBot="1">
      <c r="A21" s="84">
        <v>6</v>
      </c>
      <c r="B21" s="23" t="str">
        <f>INDEX(Tableau7[Repere],MATCH(Tableau1[[#This Row],[ID-API]],Tableau7[ID-API],0))&amp;""</f>
        <v>A6</v>
      </c>
      <c r="C21" s="84">
        <v>1</v>
      </c>
      <c r="D21" t="str">
        <f>"R" &amp; Tableau1[[#This Row],[ID-RACK]]</f>
        <v>R1</v>
      </c>
      <c r="E21" s="84">
        <v>4</v>
      </c>
      <c r="F21" t="str">
        <f>"S" &amp; Tableau1[[#This Row],[ID-SLOT]]</f>
        <v>S4</v>
      </c>
      <c r="G21" s="168" t="str">
        <f>Tableau1[[#This Row],[ID-API]]&amp; "." &amp;Tableau1[[#This Row],[ID-RACK]]&amp; "." &amp;Tableau1[[#This Row],[ID-SLOT]]</f>
        <v>6.1.4</v>
      </c>
      <c r="H21" t="s">
        <v>708</v>
      </c>
      <c r="I21" s="30">
        <v>0</v>
      </c>
      <c r="J21" s="30">
        <v>0</v>
      </c>
      <c r="K21" s="30">
        <v>0</v>
      </c>
      <c r="L21" s="30">
        <v>0</v>
      </c>
      <c r="M21" s="30">
        <v>0</v>
      </c>
      <c r="N21" s="30">
        <v>0</v>
      </c>
      <c r="O21" s="220">
        <f>COUNTIFS(Tableau2[Ref-Carte],Tableau1[[#This Row],[Ref-Carte]],Tableau2[TS],INDEX(Tableau6[TS],COLUMN()-COLUMN(Tableau1[[#All],[TS1-T]])+1))</f>
        <v>0</v>
      </c>
      <c r="P21" s="220">
        <f>COUNTIFS(Tableau2[Ref-Carte],Tableau1[[#This Row],[Ref-Carte]],Tableau2[TS],INDEX(Tableau6[TS],COLUMN()-COLUMN(Tableau1[[#All],[TS1-T]])+1))</f>
        <v>8</v>
      </c>
      <c r="Q21" s="220">
        <f>COUNTIFS(Tableau2[Ref-Carte],Tableau1[[#This Row],[Ref-Carte]],Tableau2[TS],INDEX(Tableau6[TS],COLUMN()-COLUMN(Tableau1[[#All],[TS1-T]])+1))</f>
        <v>0</v>
      </c>
      <c r="R21" s="220">
        <f>COUNTIFS(Tableau2[Ref-Carte],Tableau1[[#This Row],[Ref-Carte]],Tableau2[TS],INDEX(Tableau6[TS],COLUMN()-COLUMN(Tableau1[[#All],[TS1-T]])+1))</f>
        <v>0</v>
      </c>
      <c r="S21" s="220">
        <f>COUNTIFS(Tableau2[Ref-Carte],Tableau1[[#This Row],[Ref-Carte]],Tableau2[TS],INDEX(Tableau6[TS],COLUMN()-COLUMN(Tableau1[[#All],[TS1-T]])+1))</f>
        <v>0</v>
      </c>
      <c r="T21" s="220">
        <f>COUNTIFS(Tableau2[Ref-Carte],Tableau1[[#This Row],[Ref-Carte]],Tableau2[TS],INDEX(Tableau6[TS],COLUMN()-COLUMN(Tableau1[[#All],[TS1-T]])+1))</f>
        <v>0</v>
      </c>
      <c r="U21" s="32" t="str">
        <f>IFERROR(Tableau1[[#This Row],[TS1]]/Tableau1[[#This Row],[TS1-T]],"")</f>
        <v/>
      </c>
      <c r="V21" s="32">
        <f>IFERROR(Tableau1[[#This Row],[TS2]]/Tableau1[[#This Row],[TS2-T]],"")</f>
        <v>0</v>
      </c>
      <c r="W21" s="32" t="str">
        <f>IFERROR(Tableau1[[#This Row],[TS3]]/Tableau1[[#This Row],[TS3-T]],"")</f>
        <v/>
      </c>
      <c r="X21" s="32" t="str">
        <f>IFERROR(Tableau1[[#This Row],[TS4]]/Tableau1[[#This Row],[TS4-T]],"")</f>
        <v/>
      </c>
      <c r="Y21" s="32" t="str">
        <f>IFERROR(Tableau1[[#This Row],[TS5]]/Tableau1[[#This Row],[TS5-T]],"")</f>
        <v/>
      </c>
      <c r="Z21" s="32" t="str">
        <f>IFERROR(Tableau1[[#This Row],[TS6]]/Tableau1[[#This Row],[TS6-T]],"")</f>
        <v/>
      </c>
    </row>
    <row r="22" spans="1:26" ht="16.5" thickTop="1" thickBot="1">
      <c r="A22" s="84">
        <v>6</v>
      </c>
      <c r="B22" s="23" t="str">
        <f>INDEX(Tableau7[Repere],MATCH(Tableau1[[#This Row],[ID-API]],Tableau7[ID-API],0))&amp;""</f>
        <v>A6</v>
      </c>
      <c r="C22" s="84">
        <v>1</v>
      </c>
      <c r="D22" t="str">
        <f>"R" &amp; Tableau1[[#This Row],[ID-RACK]]</f>
        <v>R1</v>
      </c>
      <c r="E22" s="84">
        <v>5</v>
      </c>
      <c r="F22" t="str">
        <f>"S" &amp; Tableau1[[#This Row],[ID-SLOT]]</f>
        <v>S5</v>
      </c>
      <c r="G22" s="168" t="str">
        <f>Tableau1[[#This Row],[ID-API]]&amp; "." &amp;Tableau1[[#This Row],[ID-RACK]]&amp; "." &amp;Tableau1[[#This Row],[ID-SLOT]]</f>
        <v>6.1.5</v>
      </c>
      <c r="H22" t="s">
        <v>708</v>
      </c>
      <c r="I22" s="30">
        <v>0</v>
      </c>
      <c r="J22" s="30">
        <v>0</v>
      </c>
      <c r="K22" s="30">
        <v>0</v>
      </c>
      <c r="L22" s="30">
        <v>0</v>
      </c>
      <c r="M22" s="30">
        <v>0</v>
      </c>
      <c r="N22" s="30">
        <v>0</v>
      </c>
      <c r="O22" s="220">
        <f>COUNTIFS(Tableau2[Ref-Carte],Tableau1[[#This Row],[Ref-Carte]],Tableau2[TS],INDEX(Tableau6[TS],COLUMN()-COLUMN(Tableau1[[#All],[TS1-T]])+1))</f>
        <v>0</v>
      </c>
      <c r="P22" s="220">
        <f>COUNTIFS(Tableau2[Ref-Carte],Tableau1[[#This Row],[Ref-Carte]],Tableau2[TS],INDEX(Tableau6[TS],COLUMN()-COLUMN(Tableau1[[#All],[TS1-T]])+1))</f>
        <v>8</v>
      </c>
      <c r="Q22" s="220">
        <f>COUNTIFS(Tableau2[Ref-Carte],Tableau1[[#This Row],[Ref-Carte]],Tableau2[TS],INDEX(Tableau6[TS],COLUMN()-COLUMN(Tableau1[[#All],[TS1-T]])+1))</f>
        <v>0</v>
      </c>
      <c r="R22" s="220">
        <f>COUNTIFS(Tableau2[Ref-Carte],Tableau1[[#This Row],[Ref-Carte]],Tableau2[TS],INDEX(Tableau6[TS],COLUMN()-COLUMN(Tableau1[[#All],[TS1-T]])+1))</f>
        <v>0</v>
      </c>
      <c r="S22" s="220">
        <f>COUNTIFS(Tableau2[Ref-Carte],Tableau1[[#This Row],[Ref-Carte]],Tableau2[TS],INDEX(Tableau6[TS],COLUMN()-COLUMN(Tableau1[[#All],[TS1-T]])+1))</f>
        <v>0</v>
      </c>
      <c r="T22" s="220">
        <f>COUNTIFS(Tableau2[Ref-Carte],Tableau1[[#This Row],[Ref-Carte]],Tableau2[TS],INDEX(Tableau6[TS],COLUMN()-COLUMN(Tableau1[[#All],[TS1-T]])+1))</f>
        <v>0</v>
      </c>
      <c r="U22" s="32" t="str">
        <f>IFERROR(Tableau1[[#This Row],[TS1]]/Tableau1[[#This Row],[TS1-T]],"")</f>
        <v/>
      </c>
      <c r="V22" s="32">
        <f>IFERROR(Tableau1[[#This Row],[TS2]]/Tableau1[[#This Row],[TS2-T]],"")</f>
        <v>0</v>
      </c>
      <c r="W22" s="32" t="str">
        <f>IFERROR(Tableau1[[#This Row],[TS3]]/Tableau1[[#This Row],[TS3-T]],"")</f>
        <v/>
      </c>
      <c r="X22" s="32" t="str">
        <f>IFERROR(Tableau1[[#This Row],[TS4]]/Tableau1[[#This Row],[TS4-T]],"")</f>
        <v/>
      </c>
      <c r="Y22" s="32" t="str">
        <f>IFERROR(Tableau1[[#This Row],[TS5]]/Tableau1[[#This Row],[TS5-T]],"")</f>
        <v/>
      </c>
      <c r="Z22" s="32" t="str">
        <f>IFERROR(Tableau1[[#This Row],[TS6]]/Tableau1[[#This Row],[TS6-T]],"")</f>
        <v/>
      </c>
    </row>
    <row r="23" spans="1:26" ht="16.5" thickTop="1" thickBot="1">
      <c r="A23" s="84">
        <v>6</v>
      </c>
      <c r="B23" s="23" t="str">
        <f>INDEX(Tableau7[Repere],MATCH(Tableau1[[#This Row],[ID-API]],Tableau7[ID-API],0))&amp;""</f>
        <v>A6</v>
      </c>
      <c r="C23" s="84">
        <v>1</v>
      </c>
      <c r="D23" t="str">
        <f>"R" &amp; Tableau1[[#This Row],[ID-RACK]]</f>
        <v>R1</v>
      </c>
      <c r="E23" s="84">
        <v>6</v>
      </c>
      <c r="F23" t="str">
        <f>"S" &amp; Tableau1[[#This Row],[ID-SLOT]]</f>
        <v>S6</v>
      </c>
      <c r="G23" s="168" t="str">
        <f>Tableau1[[#This Row],[ID-API]]&amp; "." &amp;Tableau1[[#This Row],[ID-RACK]]&amp; "." &amp;Tableau1[[#This Row],[ID-SLOT]]</f>
        <v>6.1.6</v>
      </c>
      <c r="H23" t="s">
        <v>708</v>
      </c>
      <c r="I23" s="30">
        <v>0</v>
      </c>
      <c r="J23" s="30">
        <v>0</v>
      </c>
      <c r="K23" s="30">
        <v>0</v>
      </c>
      <c r="L23" s="30">
        <v>0</v>
      </c>
      <c r="M23" s="30">
        <v>0</v>
      </c>
      <c r="N23" s="30">
        <v>0</v>
      </c>
      <c r="O23" s="220">
        <f>COUNTIFS(Tableau2[Ref-Carte],Tableau1[[#This Row],[Ref-Carte]],Tableau2[TS],INDEX(Tableau6[TS],COLUMN()-COLUMN(Tableau1[[#All],[TS1-T]])+1))</f>
        <v>0</v>
      </c>
      <c r="P23" s="220">
        <f>COUNTIFS(Tableau2[Ref-Carte],Tableau1[[#This Row],[Ref-Carte]],Tableau2[TS],INDEX(Tableau6[TS],COLUMN()-COLUMN(Tableau1[[#All],[TS1-T]])+1))</f>
        <v>8</v>
      </c>
      <c r="Q23" s="220">
        <f>COUNTIFS(Tableau2[Ref-Carte],Tableau1[[#This Row],[Ref-Carte]],Tableau2[TS],INDEX(Tableau6[TS],COLUMN()-COLUMN(Tableau1[[#All],[TS1-T]])+1))</f>
        <v>0</v>
      </c>
      <c r="R23" s="220">
        <f>COUNTIFS(Tableau2[Ref-Carte],Tableau1[[#This Row],[Ref-Carte]],Tableau2[TS],INDEX(Tableau6[TS],COLUMN()-COLUMN(Tableau1[[#All],[TS1-T]])+1))</f>
        <v>0</v>
      </c>
      <c r="S23" s="220">
        <f>COUNTIFS(Tableau2[Ref-Carte],Tableau1[[#This Row],[Ref-Carte]],Tableau2[TS],INDEX(Tableau6[TS],COLUMN()-COLUMN(Tableau1[[#All],[TS1-T]])+1))</f>
        <v>0</v>
      </c>
      <c r="T23" s="220">
        <f>COUNTIFS(Tableau2[Ref-Carte],Tableau1[[#This Row],[Ref-Carte]],Tableau2[TS],INDEX(Tableau6[TS],COLUMN()-COLUMN(Tableau1[[#All],[TS1-T]])+1))</f>
        <v>0</v>
      </c>
      <c r="U23" s="32" t="str">
        <f>IFERROR(Tableau1[[#This Row],[TS1]]/Tableau1[[#This Row],[TS1-T]],"")</f>
        <v/>
      </c>
      <c r="V23" s="32">
        <f>IFERROR(Tableau1[[#This Row],[TS2]]/Tableau1[[#This Row],[TS2-T]],"")</f>
        <v>0</v>
      </c>
      <c r="W23" s="32" t="str">
        <f>IFERROR(Tableau1[[#This Row],[TS3]]/Tableau1[[#This Row],[TS3-T]],"")</f>
        <v/>
      </c>
      <c r="X23" s="32" t="str">
        <f>IFERROR(Tableau1[[#This Row],[TS4]]/Tableau1[[#This Row],[TS4-T]],"")</f>
        <v/>
      </c>
      <c r="Y23" s="32" t="str">
        <f>IFERROR(Tableau1[[#This Row],[TS5]]/Tableau1[[#This Row],[TS5-T]],"")</f>
        <v/>
      </c>
      <c r="Z23" s="32" t="str">
        <f>IFERROR(Tableau1[[#This Row],[TS6]]/Tableau1[[#This Row],[TS6-T]],"")</f>
        <v/>
      </c>
    </row>
    <row r="24" spans="1:26" ht="16.5" thickTop="1" thickBot="1">
      <c r="A24" s="84">
        <v>6</v>
      </c>
      <c r="B24" s="23" t="str">
        <f>INDEX(Tableau7[Repere],MATCH(Tableau1[[#This Row],[ID-API]],Tableau7[ID-API],0))&amp;""</f>
        <v>A6</v>
      </c>
      <c r="C24" s="84">
        <v>1</v>
      </c>
      <c r="D24" t="str">
        <f>"R" &amp; Tableau1[[#This Row],[ID-RACK]]</f>
        <v>R1</v>
      </c>
      <c r="E24" s="84">
        <v>7</v>
      </c>
      <c r="F24" t="str">
        <f>"S" &amp; Tableau1[[#This Row],[ID-SLOT]]</f>
        <v>S7</v>
      </c>
      <c r="G24" s="168" t="str">
        <f>Tableau1[[#This Row],[ID-API]]&amp; "." &amp;Tableau1[[#This Row],[ID-RACK]]&amp; "." &amp;Tableau1[[#This Row],[ID-SLOT]]</f>
        <v>6.1.7</v>
      </c>
      <c r="H24" t="s">
        <v>710</v>
      </c>
      <c r="I24" s="30">
        <v>0</v>
      </c>
      <c r="J24" s="30">
        <v>0</v>
      </c>
      <c r="K24" s="30">
        <v>0</v>
      </c>
      <c r="L24" s="30">
        <v>0</v>
      </c>
      <c r="M24" s="30">
        <v>0</v>
      </c>
      <c r="N24" s="30">
        <v>0</v>
      </c>
      <c r="O24" s="220">
        <f>COUNTIFS(Tableau2[Ref-Carte],Tableau1[[#This Row],[Ref-Carte]],Tableau2[TS],INDEX(Tableau6[TS],COLUMN()-COLUMN(Tableau1[[#All],[TS1-T]])+1))</f>
        <v>16</v>
      </c>
      <c r="P24" s="220">
        <f>COUNTIFS(Tableau2[Ref-Carte],Tableau1[[#This Row],[Ref-Carte]],Tableau2[TS],INDEX(Tableau6[TS],COLUMN()-COLUMN(Tableau1[[#All],[TS1-T]])+1))</f>
        <v>0</v>
      </c>
      <c r="Q24" s="220">
        <f>COUNTIFS(Tableau2[Ref-Carte],Tableau1[[#This Row],[Ref-Carte]],Tableau2[TS],INDEX(Tableau6[TS],COLUMN()-COLUMN(Tableau1[[#All],[TS1-T]])+1))</f>
        <v>0</v>
      </c>
      <c r="R24" s="220">
        <f>COUNTIFS(Tableau2[Ref-Carte],Tableau1[[#This Row],[Ref-Carte]],Tableau2[TS],INDEX(Tableau6[TS],COLUMN()-COLUMN(Tableau1[[#All],[TS1-T]])+1))</f>
        <v>0</v>
      </c>
      <c r="S24" s="220">
        <f>COUNTIFS(Tableau2[Ref-Carte],Tableau1[[#This Row],[Ref-Carte]],Tableau2[TS],INDEX(Tableau6[TS],COLUMN()-COLUMN(Tableau1[[#All],[TS1-T]])+1))</f>
        <v>0</v>
      </c>
      <c r="T24" s="220">
        <f>COUNTIFS(Tableau2[Ref-Carte],Tableau1[[#This Row],[Ref-Carte]],Tableau2[TS],INDEX(Tableau6[TS],COLUMN()-COLUMN(Tableau1[[#All],[TS1-T]])+1))</f>
        <v>0</v>
      </c>
      <c r="U24" s="32">
        <f>IFERROR(Tableau1[[#This Row],[TS1]]/Tableau1[[#This Row],[TS1-T]],"")</f>
        <v>0</v>
      </c>
      <c r="V24" s="32" t="str">
        <f>IFERROR(Tableau1[[#This Row],[TS2]]/Tableau1[[#This Row],[TS2-T]],"")</f>
        <v/>
      </c>
      <c r="W24" s="32" t="str">
        <f>IFERROR(Tableau1[[#This Row],[TS3]]/Tableau1[[#This Row],[TS3-T]],"")</f>
        <v/>
      </c>
      <c r="X24" s="32" t="str">
        <f>IFERROR(Tableau1[[#This Row],[TS4]]/Tableau1[[#This Row],[TS4-T]],"")</f>
        <v/>
      </c>
      <c r="Y24" s="32" t="str">
        <f>IFERROR(Tableau1[[#This Row],[TS5]]/Tableau1[[#This Row],[TS5-T]],"")</f>
        <v/>
      </c>
      <c r="Z24" s="32" t="str">
        <f>IFERROR(Tableau1[[#This Row],[TS6]]/Tableau1[[#This Row],[TS6-T]],"")</f>
        <v/>
      </c>
    </row>
    <row r="25" spans="1:26" ht="16.5" thickTop="1" thickBot="1">
      <c r="A25" s="84">
        <v>6</v>
      </c>
      <c r="B25" s="23" t="str">
        <f>INDEX(Tableau7[Repere],MATCH(Tableau1[[#This Row],[ID-API]],Tableau7[ID-API],0))&amp;""</f>
        <v>A6</v>
      </c>
      <c r="C25" s="84">
        <v>1</v>
      </c>
      <c r="D25" t="str">
        <f>"R" &amp; Tableau1[[#This Row],[ID-RACK]]</f>
        <v>R1</v>
      </c>
      <c r="E25" s="84">
        <v>8</v>
      </c>
      <c r="F25" t="str">
        <f>"S" &amp; Tableau1[[#This Row],[ID-SLOT]]</f>
        <v>S8</v>
      </c>
      <c r="G25" s="168" t="str">
        <f>Tableau1[[#This Row],[ID-API]]&amp; "." &amp;Tableau1[[#This Row],[ID-RACK]]&amp; "." &amp;Tableau1[[#This Row],[ID-SLOT]]</f>
        <v>6.1.8</v>
      </c>
      <c r="H25" t="s">
        <v>710</v>
      </c>
      <c r="I25" s="30">
        <v>0</v>
      </c>
      <c r="J25" s="30">
        <v>0</v>
      </c>
      <c r="K25" s="30">
        <v>0</v>
      </c>
      <c r="L25" s="30">
        <v>0</v>
      </c>
      <c r="M25" s="30">
        <v>0</v>
      </c>
      <c r="N25" s="30">
        <v>0</v>
      </c>
      <c r="O25" s="220">
        <f>COUNTIFS(Tableau2[Ref-Carte],Tableau1[[#This Row],[Ref-Carte]],Tableau2[TS],INDEX(Tableau6[TS],COLUMN()-COLUMN(Tableau1[[#All],[TS1-T]])+1))</f>
        <v>16</v>
      </c>
      <c r="P25" s="220">
        <f>COUNTIFS(Tableau2[Ref-Carte],Tableau1[[#This Row],[Ref-Carte]],Tableau2[TS],INDEX(Tableau6[TS],COLUMN()-COLUMN(Tableau1[[#All],[TS1-T]])+1))</f>
        <v>0</v>
      </c>
      <c r="Q25" s="220">
        <f>COUNTIFS(Tableau2[Ref-Carte],Tableau1[[#This Row],[Ref-Carte]],Tableau2[TS],INDEX(Tableau6[TS],COLUMN()-COLUMN(Tableau1[[#All],[TS1-T]])+1))</f>
        <v>0</v>
      </c>
      <c r="R25" s="220">
        <f>COUNTIFS(Tableau2[Ref-Carte],Tableau1[[#This Row],[Ref-Carte]],Tableau2[TS],INDEX(Tableau6[TS],COLUMN()-COLUMN(Tableau1[[#All],[TS1-T]])+1))</f>
        <v>0</v>
      </c>
      <c r="S25" s="220">
        <f>COUNTIFS(Tableau2[Ref-Carte],Tableau1[[#This Row],[Ref-Carte]],Tableau2[TS],INDEX(Tableau6[TS],COLUMN()-COLUMN(Tableau1[[#All],[TS1-T]])+1))</f>
        <v>0</v>
      </c>
      <c r="T25" s="220">
        <f>COUNTIFS(Tableau2[Ref-Carte],Tableau1[[#This Row],[Ref-Carte]],Tableau2[TS],INDEX(Tableau6[TS],COLUMN()-COLUMN(Tableau1[[#All],[TS1-T]])+1))</f>
        <v>0</v>
      </c>
      <c r="U25" s="32">
        <f>IFERROR(Tableau1[[#This Row],[TS1]]/Tableau1[[#This Row],[TS1-T]],"")</f>
        <v>0</v>
      </c>
      <c r="V25" s="32" t="str">
        <f>IFERROR(Tableau1[[#This Row],[TS2]]/Tableau1[[#This Row],[TS2-T]],"")</f>
        <v/>
      </c>
      <c r="W25" s="32" t="str">
        <f>IFERROR(Tableau1[[#This Row],[TS3]]/Tableau1[[#This Row],[TS3-T]],"")</f>
        <v/>
      </c>
      <c r="X25" s="32" t="str">
        <f>IFERROR(Tableau1[[#This Row],[TS4]]/Tableau1[[#This Row],[TS4-T]],"")</f>
        <v/>
      </c>
      <c r="Y25" s="32" t="str">
        <f>IFERROR(Tableau1[[#This Row],[TS5]]/Tableau1[[#This Row],[TS5-T]],"")</f>
        <v/>
      </c>
      <c r="Z25" s="32" t="str">
        <f>IFERROR(Tableau1[[#This Row],[TS6]]/Tableau1[[#This Row],[TS6-T]],"")</f>
        <v/>
      </c>
    </row>
    <row r="26" spans="1:26" ht="16.5" thickTop="1" thickBot="1">
      <c r="A26" s="84">
        <v>6</v>
      </c>
      <c r="B26" s="23" t="str">
        <f>INDEX(Tableau7[Repere],MATCH(Tableau1[[#This Row],[ID-API]],Tableau7[ID-API],0))&amp;""</f>
        <v>A6</v>
      </c>
      <c r="C26" s="84">
        <v>1</v>
      </c>
      <c r="D26" t="str">
        <f>"R" &amp; Tableau1[[#This Row],[ID-RACK]]</f>
        <v>R1</v>
      </c>
      <c r="E26" s="84">
        <v>9</v>
      </c>
      <c r="F26" t="str">
        <f>"S" &amp; Tableau1[[#This Row],[ID-SLOT]]</f>
        <v>S9</v>
      </c>
      <c r="G26" s="168" t="str">
        <f>Tableau1[[#This Row],[ID-API]]&amp; "." &amp;Tableau1[[#This Row],[ID-RACK]]&amp; "." &amp;Tableau1[[#This Row],[ID-SLOT]]</f>
        <v>6.1.9</v>
      </c>
      <c r="H26" t="s">
        <v>710</v>
      </c>
      <c r="I26" s="30">
        <v>0</v>
      </c>
      <c r="J26" s="30">
        <v>0</v>
      </c>
      <c r="K26" s="30">
        <v>0</v>
      </c>
      <c r="L26" s="30">
        <v>0</v>
      </c>
      <c r="M26" s="30">
        <v>0</v>
      </c>
      <c r="N26" s="30">
        <v>0</v>
      </c>
      <c r="O26" s="220">
        <f>COUNTIFS(Tableau2[Ref-Carte],Tableau1[[#This Row],[Ref-Carte]],Tableau2[TS],INDEX(Tableau6[TS],COLUMN()-COLUMN(Tableau1[[#All],[TS1-T]])+1))</f>
        <v>16</v>
      </c>
      <c r="P26" s="220">
        <f>COUNTIFS(Tableau2[Ref-Carte],Tableau1[[#This Row],[Ref-Carte]],Tableau2[TS],INDEX(Tableau6[TS],COLUMN()-COLUMN(Tableau1[[#All],[TS1-T]])+1))</f>
        <v>0</v>
      </c>
      <c r="Q26" s="220">
        <f>COUNTIFS(Tableau2[Ref-Carte],Tableau1[[#This Row],[Ref-Carte]],Tableau2[TS],INDEX(Tableau6[TS],COLUMN()-COLUMN(Tableau1[[#All],[TS1-T]])+1))</f>
        <v>0</v>
      </c>
      <c r="R26" s="220">
        <f>COUNTIFS(Tableau2[Ref-Carte],Tableau1[[#This Row],[Ref-Carte]],Tableau2[TS],INDEX(Tableau6[TS],COLUMN()-COLUMN(Tableau1[[#All],[TS1-T]])+1))</f>
        <v>0</v>
      </c>
      <c r="S26" s="220">
        <f>COUNTIFS(Tableau2[Ref-Carte],Tableau1[[#This Row],[Ref-Carte]],Tableau2[TS],INDEX(Tableau6[TS],COLUMN()-COLUMN(Tableau1[[#All],[TS1-T]])+1))</f>
        <v>0</v>
      </c>
      <c r="T26" s="220">
        <f>COUNTIFS(Tableau2[Ref-Carte],Tableau1[[#This Row],[Ref-Carte]],Tableau2[TS],INDEX(Tableau6[TS],COLUMN()-COLUMN(Tableau1[[#All],[TS1-T]])+1))</f>
        <v>0</v>
      </c>
      <c r="U26" s="32">
        <f>IFERROR(Tableau1[[#This Row],[TS1]]/Tableau1[[#This Row],[TS1-T]],"")</f>
        <v>0</v>
      </c>
      <c r="V26" s="32" t="str">
        <f>IFERROR(Tableau1[[#This Row],[TS2]]/Tableau1[[#This Row],[TS2-T]],"")</f>
        <v/>
      </c>
      <c r="W26" s="32" t="str">
        <f>IFERROR(Tableau1[[#This Row],[TS3]]/Tableau1[[#This Row],[TS3-T]],"")</f>
        <v/>
      </c>
      <c r="X26" s="32" t="str">
        <f>IFERROR(Tableau1[[#This Row],[TS4]]/Tableau1[[#This Row],[TS4-T]],"")</f>
        <v/>
      </c>
      <c r="Y26" s="32" t="str">
        <f>IFERROR(Tableau1[[#This Row],[TS5]]/Tableau1[[#This Row],[TS5-T]],"")</f>
        <v/>
      </c>
      <c r="Z26" s="32" t="str">
        <f>IFERROR(Tableau1[[#This Row],[TS6]]/Tableau1[[#This Row],[TS6-T]],"")</f>
        <v/>
      </c>
    </row>
    <row r="27" spans="1:26" ht="16.5" thickTop="1" thickBot="1">
      <c r="A27" s="84">
        <v>6</v>
      </c>
      <c r="B27" s="23" t="str">
        <f>INDEX(Tableau7[Repere],MATCH(Tableau1[[#This Row],[ID-API]],Tableau7[ID-API],0))&amp;""</f>
        <v>A6</v>
      </c>
      <c r="C27" s="84">
        <v>1</v>
      </c>
      <c r="D27" t="str">
        <f>"R" &amp; Tableau1[[#This Row],[ID-RACK]]</f>
        <v>R1</v>
      </c>
      <c r="E27" s="84">
        <v>10</v>
      </c>
      <c r="F27" t="str">
        <f>"S" &amp; Tableau1[[#This Row],[ID-SLOT]]</f>
        <v>S10</v>
      </c>
      <c r="G27" s="168" t="str">
        <f>Tableau1[[#This Row],[ID-API]]&amp; "." &amp;Tableau1[[#This Row],[ID-RACK]]&amp; "." &amp;Tableau1[[#This Row],[ID-SLOT]]</f>
        <v>6.1.10</v>
      </c>
      <c r="H27" t="s">
        <v>710</v>
      </c>
      <c r="I27" s="30">
        <v>0</v>
      </c>
      <c r="J27" s="30">
        <v>0</v>
      </c>
      <c r="K27" s="30">
        <v>0</v>
      </c>
      <c r="L27" s="30">
        <v>0</v>
      </c>
      <c r="M27" s="30">
        <v>0</v>
      </c>
      <c r="N27" s="30">
        <v>0</v>
      </c>
      <c r="O27" s="220">
        <f>COUNTIFS(Tableau2[Ref-Carte],Tableau1[[#This Row],[Ref-Carte]],Tableau2[TS],INDEX(Tableau6[TS],COLUMN()-COLUMN(Tableau1[[#All],[TS1-T]])+1))</f>
        <v>16</v>
      </c>
      <c r="P27" s="220">
        <f>COUNTIFS(Tableau2[Ref-Carte],Tableau1[[#This Row],[Ref-Carte]],Tableau2[TS],INDEX(Tableau6[TS],COLUMN()-COLUMN(Tableau1[[#All],[TS1-T]])+1))</f>
        <v>0</v>
      </c>
      <c r="Q27" s="220">
        <f>COUNTIFS(Tableau2[Ref-Carte],Tableau1[[#This Row],[Ref-Carte]],Tableau2[TS],INDEX(Tableau6[TS],COLUMN()-COLUMN(Tableau1[[#All],[TS1-T]])+1))</f>
        <v>0</v>
      </c>
      <c r="R27" s="220">
        <f>COUNTIFS(Tableau2[Ref-Carte],Tableau1[[#This Row],[Ref-Carte]],Tableau2[TS],INDEX(Tableau6[TS],COLUMN()-COLUMN(Tableau1[[#All],[TS1-T]])+1))</f>
        <v>0</v>
      </c>
      <c r="S27" s="220">
        <f>COUNTIFS(Tableau2[Ref-Carte],Tableau1[[#This Row],[Ref-Carte]],Tableau2[TS],INDEX(Tableau6[TS],COLUMN()-COLUMN(Tableau1[[#All],[TS1-T]])+1))</f>
        <v>0</v>
      </c>
      <c r="T27" s="220">
        <f>COUNTIFS(Tableau2[Ref-Carte],Tableau1[[#This Row],[Ref-Carte]],Tableau2[TS],INDEX(Tableau6[TS],COLUMN()-COLUMN(Tableau1[[#All],[TS1-T]])+1))</f>
        <v>0</v>
      </c>
      <c r="U27" s="32">
        <f>IFERROR(Tableau1[[#This Row],[TS1]]/Tableau1[[#This Row],[TS1-T]],"")</f>
        <v>0</v>
      </c>
      <c r="V27" s="32" t="str">
        <f>IFERROR(Tableau1[[#This Row],[TS2]]/Tableau1[[#This Row],[TS2-T]],"")</f>
        <v/>
      </c>
      <c r="W27" s="32" t="str">
        <f>IFERROR(Tableau1[[#This Row],[TS3]]/Tableau1[[#This Row],[TS3-T]],"")</f>
        <v/>
      </c>
      <c r="X27" s="32" t="str">
        <f>IFERROR(Tableau1[[#This Row],[TS4]]/Tableau1[[#This Row],[TS4-T]],"")</f>
        <v/>
      </c>
      <c r="Y27" s="32" t="str">
        <f>IFERROR(Tableau1[[#This Row],[TS5]]/Tableau1[[#This Row],[TS5-T]],"")</f>
        <v/>
      </c>
      <c r="Z27" s="32" t="str">
        <f>IFERROR(Tableau1[[#This Row],[TS6]]/Tableau1[[#This Row],[TS6-T]],"")</f>
        <v/>
      </c>
    </row>
    <row r="28" spans="1:26" ht="16.5" thickTop="1" thickBot="1">
      <c r="A28" s="84">
        <v>6</v>
      </c>
      <c r="B28" s="23" t="str">
        <f>INDEX(Tableau7[Repere],MATCH(Tableau1[[#This Row],[ID-API]],Tableau7[ID-API],0))&amp;""</f>
        <v>A6</v>
      </c>
      <c r="C28" s="84">
        <v>2</v>
      </c>
      <c r="D28" t="str">
        <f>"R" &amp; Tableau1[[#This Row],[ID-RACK]]</f>
        <v>R2</v>
      </c>
      <c r="E28" s="84">
        <v>1</v>
      </c>
      <c r="F28" t="str">
        <f>"S" &amp; Tableau1[[#This Row],[ID-SLOT]]</f>
        <v>S1</v>
      </c>
      <c r="G28" s="168" t="str">
        <f>Tableau1[[#This Row],[ID-API]]&amp; "." &amp;Tableau1[[#This Row],[ID-RACK]]&amp; "." &amp;Tableau1[[#This Row],[ID-SLOT]]</f>
        <v>6.2.1</v>
      </c>
      <c r="H28" t="s">
        <v>708</v>
      </c>
      <c r="I28" s="30">
        <v>0</v>
      </c>
      <c r="J28" s="30">
        <v>0</v>
      </c>
      <c r="K28" s="30">
        <v>0</v>
      </c>
      <c r="L28" s="30">
        <v>0</v>
      </c>
      <c r="M28" s="30">
        <v>0</v>
      </c>
      <c r="N28" s="30">
        <v>0</v>
      </c>
      <c r="O28" s="220">
        <f>COUNTIFS(Tableau2[Ref-Carte],Tableau1[[#This Row],[Ref-Carte]],Tableau2[TS],INDEX(Tableau6[TS],COLUMN()-COLUMN(Tableau1[[#All],[TS1-T]])+1))</f>
        <v>0</v>
      </c>
      <c r="P28" s="220">
        <f>COUNTIFS(Tableau2[Ref-Carte],Tableau1[[#This Row],[Ref-Carte]],Tableau2[TS],INDEX(Tableau6[TS],COLUMN()-COLUMN(Tableau1[[#All],[TS1-T]])+1))</f>
        <v>8</v>
      </c>
      <c r="Q28" s="220">
        <f>COUNTIFS(Tableau2[Ref-Carte],Tableau1[[#This Row],[Ref-Carte]],Tableau2[TS],INDEX(Tableau6[TS],COLUMN()-COLUMN(Tableau1[[#All],[TS1-T]])+1))</f>
        <v>0</v>
      </c>
      <c r="R28" s="220">
        <f>COUNTIFS(Tableau2[Ref-Carte],Tableau1[[#This Row],[Ref-Carte]],Tableau2[TS],INDEX(Tableau6[TS],COLUMN()-COLUMN(Tableau1[[#All],[TS1-T]])+1))</f>
        <v>0</v>
      </c>
      <c r="S28" s="220">
        <f>COUNTIFS(Tableau2[Ref-Carte],Tableau1[[#This Row],[Ref-Carte]],Tableau2[TS],INDEX(Tableau6[TS],COLUMN()-COLUMN(Tableau1[[#All],[TS1-T]])+1))</f>
        <v>0</v>
      </c>
      <c r="T28" s="220">
        <f>COUNTIFS(Tableau2[Ref-Carte],Tableau1[[#This Row],[Ref-Carte]],Tableau2[TS],INDEX(Tableau6[TS],COLUMN()-COLUMN(Tableau1[[#All],[TS1-T]])+1))</f>
        <v>0</v>
      </c>
      <c r="U28" s="32" t="str">
        <f>IFERROR(Tableau1[[#This Row],[TS1]]/Tableau1[[#This Row],[TS1-T]],"")</f>
        <v/>
      </c>
      <c r="V28" s="32">
        <f>IFERROR(Tableau1[[#This Row],[TS2]]/Tableau1[[#This Row],[TS2-T]],"")</f>
        <v>0</v>
      </c>
      <c r="W28" s="32" t="str">
        <f>IFERROR(Tableau1[[#This Row],[TS3]]/Tableau1[[#This Row],[TS3-T]],"")</f>
        <v/>
      </c>
      <c r="X28" s="32" t="str">
        <f>IFERROR(Tableau1[[#This Row],[TS4]]/Tableau1[[#This Row],[TS4-T]],"")</f>
        <v/>
      </c>
      <c r="Y28" s="32" t="str">
        <f>IFERROR(Tableau1[[#This Row],[TS5]]/Tableau1[[#This Row],[TS5-T]],"")</f>
        <v/>
      </c>
      <c r="Z28" s="32" t="str">
        <f>IFERROR(Tableau1[[#This Row],[TS6]]/Tableau1[[#This Row],[TS6-T]],"")</f>
        <v/>
      </c>
    </row>
    <row r="29" spans="1:26" ht="16.5" thickTop="1" thickBot="1">
      <c r="A29" s="84">
        <v>6</v>
      </c>
      <c r="B29" s="23" t="str">
        <f>INDEX(Tableau7[Repere],MATCH(Tableau1[[#This Row],[ID-API]],Tableau7[ID-API],0))&amp;""</f>
        <v>A6</v>
      </c>
      <c r="C29" s="84">
        <v>2</v>
      </c>
      <c r="D29" t="str">
        <f>"R" &amp; Tableau1[[#This Row],[ID-RACK]]</f>
        <v>R2</v>
      </c>
      <c r="E29" s="84">
        <v>2</v>
      </c>
      <c r="F29" t="str">
        <f>"S" &amp; Tableau1[[#This Row],[ID-SLOT]]</f>
        <v>S2</v>
      </c>
      <c r="G29" s="168" t="str">
        <f>Tableau1[[#This Row],[ID-API]]&amp; "." &amp;Tableau1[[#This Row],[ID-RACK]]&amp; "." &amp;Tableau1[[#This Row],[ID-SLOT]]</f>
        <v>6.2.2</v>
      </c>
      <c r="H29" t="s">
        <v>708</v>
      </c>
      <c r="I29" s="30">
        <v>0</v>
      </c>
      <c r="J29" s="30">
        <v>0</v>
      </c>
      <c r="K29" s="30">
        <v>0</v>
      </c>
      <c r="L29" s="30">
        <v>0</v>
      </c>
      <c r="M29" s="30">
        <v>0</v>
      </c>
      <c r="N29" s="30">
        <v>0</v>
      </c>
      <c r="O29" s="220">
        <f>COUNTIFS(Tableau2[Ref-Carte],Tableau1[[#This Row],[Ref-Carte]],Tableau2[TS],INDEX(Tableau6[TS],COLUMN()-COLUMN(Tableau1[[#All],[TS1-T]])+1))</f>
        <v>0</v>
      </c>
      <c r="P29" s="220">
        <f>COUNTIFS(Tableau2[Ref-Carte],Tableau1[[#This Row],[Ref-Carte]],Tableau2[TS],INDEX(Tableau6[TS],COLUMN()-COLUMN(Tableau1[[#All],[TS1-T]])+1))</f>
        <v>8</v>
      </c>
      <c r="Q29" s="220">
        <f>COUNTIFS(Tableau2[Ref-Carte],Tableau1[[#This Row],[Ref-Carte]],Tableau2[TS],INDEX(Tableau6[TS],COLUMN()-COLUMN(Tableau1[[#All],[TS1-T]])+1))</f>
        <v>0</v>
      </c>
      <c r="R29" s="220">
        <f>COUNTIFS(Tableau2[Ref-Carte],Tableau1[[#This Row],[Ref-Carte]],Tableau2[TS],INDEX(Tableau6[TS],COLUMN()-COLUMN(Tableau1[[#All],[TS1-T]])+1))</f>
        <v>0</v>
      </c>
      <c r="S29" s="220">
        <f>COUNTIFS(Tableau2[Ref-Carte],Tableau1[[#This Row],[Ref-Carte]],Tableau2[TS],INDEX(Tableau6[TS],COLUMN()-COLUMN(Tableau1[[#All],[TS1-T]])+1))</f>
        <v>0</v>
      </c>
      <c r="T29" s="220">
        <f>COUNTIFS(Tableau2[Ref-Carte],Tableau1[[#This Row],[Ref-Carte]],Tableau2[TS],INDEX(Tableau6[TS],COLUMN()-COLUMN(Tableau1[[#All],[TS1-T]])+1))</f>
        <v>0</v>
      </c>
      <c r="U29" s="32" t="str">
        <f>IFERROR(Tableau1[[#This Row],[TS1]]/Tableau1[[#This Row],[TS1-T]],"")</f>
        <v/>
      </c>
      <c r="V29" s="32">
        <f>IFERROR(Tableau1[[#This Row],[TS2]]/Tableau1[[#This Row],[TS2-T]],"")</f>
        <v>0</v>
      </c>
      <c r="W29" s="32" t="str">
        <f>IFERROR(Tableau1[[#This Row],[TS3]]/Tableau1[[#This Row],[TS3-T]],"")</f>
        <v/>
      </c>
      <c r="X29" s="32" t="str">
        <f>IFERROR(Tableau1[[#This Row],[TS4]]/Tableau1[[#This Row],[TS4-T]],"")</f>
        <v/>
      </c>
      <c r="Y29" s="32" t="str">
        <f>IFERROR(Tableau1[[#This Row],[TS5]]/Tableau1[[#This Row],[TS5-T]],"")</f>
        <v/>
      </c>
      <c r="Z29" s="32" t="str">
        <f>IFERROR(Tableau1[[#This Row],[TS6]]/Tableau1[[#This Row],[TS6-T]],"")</f>
        <v/>
      </c>
    </row>
    <row r="30" spans="1:26" ht="16.5" thickTop="1" thickBot="1">
      <c r="A30" s="84">
        <v>6</v>
      </c>
      <c r="B30" s="23" t="str">
        <f>INDEX(Tableau7[Repere],MATCH(Tableau1[[#This Row],[ID-API]],Tableau7[ID-API],0))&amp;""</f>
        <v>A6</v>
      </c>
      <c r="C30" s="84">
        <v>2</v>
      </c>
      <c r="D30" t="str">
        <f>"R" &amp; Tableau1[[#This Row],[ID-RACK]]</f>
        <v>R2</v>
      </c>
      <c r="E30" s="84">
        <v>3</v>
      </c>
      <c r="F30" t="str">
        <f>"S" &amp; Tableau1[[#This Row],[ID-SLOT]]</f>
        <v>S3</v>
      </c>
      <c r="G30" s="168" t="str">
        <f>Tableau1[[#This Row],[ID-API]]&amp; "." &amp;Tableau1[[#This Row],[ID-RACK]]&amp; "." &amp;Tableau1[[#This Row],[ID-SLOT]]</f>
        <v>6.2.3</v>
      </c>
      <c r="H30" t="s">
        <v>708</v>
      </c>
      <c r="I30" s="30">
        <v>0</v>
      </c>
      <c r="J30" s="30">
        <v>0</v>
      </c>
      <c r="K30" s="30">
        <v>0</v>
      </c>
      <c r="L30" s="30">
        <v>0</v>
      </c>
      <c r="M30" s="30">
        <v>0</v>
      </c>
      <c r="N30" s="30">
        <v>0</v>
      </c>
      <c r="O30" s="220">
        <f>COUNTIFS(Tableau2[Ref-Carte],Tableau1[[#This Row],[Ref-Carte]],Tableau2[TS],INDEX(Tableau6[TS],COLUMN()-COLUMN(Tableau1[[#All],[TS1-T]])+1))</f>
        <v>0</v>
      </c>
      <c r="P30" s="220">
        <f>COUNTIFS(Tableau2[Ref-Carte],Tableau1[[#This Row],[Ref-Carte]],Tableau2[TS],INDEX(Tableau6[TS],COLUMN()-COLUMN(Tableau1[[#All],[TS1-T]])+1))</f>
        <v>8</v>
      </c>
      <c r="Q30" s="220">
        <f>COUNTIFS(Tableau2[Ref-Carte],Tableau1[[#This Row],[Ref-Carte]],Tableau2[TS],INDEX(Tableau6[TS],COLUMN()-COLUMN(Tableau1[[#All],[TS1-T]])+1))</f>
        <v>0</v>
      </c>
      <c r="R30" s="220">
        <f>COUNTIFS(Tableau2[Ref-Carte],Tableau1[[#This Row],[Ref-Carte]],Tableau2[TS],INDEX(Tableau6[TS],COLUMN()-COLUMN(Tableau1[[#All],[TS1-T]])+1))</f>
        <v>0</v>
      </c>
      <c r="S30" s="220">
        <f>COUNTIFS(Tableau2[Ref-Carte],Tableau1[[#This Row],[Ref-Carte]],Tableau2[TS],INDEX(Tableau6[TS],COLUMN()-COLUMN(Tableau1[[#All],[TS1-T]])+1))</f>
        <v>0</v>
      </c>
      <c r="T30" s="220">
        <f>COUNTIFS(Tableau2[Ref-Carte],Tableau1[[#This Row],[Ref-Carte]],Tableau2[TS],INDEX(Tableau6[TS],COLUMN()-COLUMN(Tableau1[[#All],[TS1-T]])+1))</f>
        <v>0</v>
      </c>
      <c r="U30" s="32" t="str">
        <f>IFERROR(Tableau1[[#This Row],[TS1]]/Tableau1[[#This Row],[TS1-T]],"")</f>
        <v/>
      </c>
      <c r="V30" s="32">
        <f>IFERROR(Tableau1[[#This Row],[TS2]]/Tableau1[[#This Row],[TS2-T]],"")</f>
        <v>0</v>
      </c>
      <c r="W30" s="32" t="str">
        <f>IFERROR(Tableau1[[#This Row],[TS3]]/Tableau1[[#This Row],[TS3-T]],"")</f>
        <v/>
      </c>
      <c r="X30" s="32" t="str">
        <f>IFERROR(Tableau1[[#This Row],[TS4]]/Tableau1[[#This Row],[TS4-T]],"")</f>
        <v/>
      </c>
      <c r="Y30" s="32" t="str">
        <f>IFERROR(Tableau1[[#This Row],[TS5]]/Tableau1[[#This Row],[TS5-T]],"")</f>
        <v/>
      </c>
      <c r="Z30" s="32" t="str">
        <f>IFERROR(Tableau1[[#This Row],[TS6]]/Tableau1[[#This Row],[TS6-T]],"")</f>
        <v/>
      </c>
    </row>
    <row r="31" spans="1:26" ht="16.5" thickTop="1" thickBot="1">
      <c r="A31" s="84">
        <v>6</v>
      </c>
      <c r="B31" s="23" t="str">
        <f>INDEX(Tableau7[Repere],MATCH(Tableau1[[#This Row],[ID-API]],Tableau7[ID-API],0))&amp;""</f>
        <v>A6</v>
      </c>
      <c r="C31" s="84">
        <v>2</v>
      </c>
      <c r="D31" t="str">
        <f>"R" &amp; Tableau1[[#This Row],[ID-RACK]]</f>
        <v>R2</v>
      </c>
      <c r="E31" s="84">
        <v>4</v>
      </c>
      <c r="F31" t="str">
        <f>"S" &amp; Tableau1[[#This Row],[ID-SLOT]]</f>
        <v>S4</v>
      </c>
      <c r="G31" s="168" t="str">
        <f>Tableau1[[#This Row],[ID-API]]&amp; "." &amp;Tableau1[[#This Row],[ID-RACK]]&amp; "." &amp;Tableau1[[#This Row],[ID-SLOT]]</f>
        <v>6.2.4</v>
      </c>
      <c r="H31" t="s">
        <v>708</v>
      </c>
      <c r="I31" s="30">
        <v>0</v>
      </c>
      <c r="J31" s="30">
        <v>0</v>
      </c>
      <c r="K31" s="30">
        <v>0</v>
      </c>
      <c r="L31" s="30">
        <v>0</v>
      </c>
      <c r="M31" s="30">
        <v>0</v>
      </c>
      <c r="N31" s="30">
        <v>0</v>
      </c>
      <c r="O31" s="220">
        <f>COUNTIFS(Tableau2[Ref-Carte],Tableau1[[#This Row],[Ref-Carte]],Tableau2[TS],INDEX(Tableau6[TS],COLUMN()-COLUMN(Tableau1[[#All],[TS1-T]])+1))</f>
        <v>0</v>
      </c>
      <c r="P31" s="220">
        <f>COUNTIFS(Tableau2[Ref-Carte],Tableau1[[#This Row],[Ref-Carte]],Tableau2[TS],INDEX(Tableau6[TS],COLUMN()-COLUMN(Tableau1[[#All],[TS1-T]])+1))</f>
        <v>8</v>
      </c>
      <c r="Q31" s="220">
        <f>COUNTIFS(Tableau2[Ref-Carte],Tableau1[[#This Row],[Ref-Carte]],Tableau2[TS],INDEX(Tableau6[TS],COLUMN()-COLUMN(Tableau1[[#All],[TS1-T]])+1))</f>
        <v>0</v>
      </c>
      <c r="R31" s="220">
        <f>COUNTIFS(Tableau2[Ref-Carte],Tableau1[[#This Row],[Ref-Carte]],Tableau2[TS],INDEX(Tableau6[TS],COLUMN()-COLUMN(Tableau1[[#All],[TS1-T]])+1))</f>
        <v>0</v>
      </c>
      <c r="S31" s="220">
        <f>COUNTIFS(Tableau2[Ref-Carte],Tableau1[[#This Row],[Ref-Carte]],Tableau2[TS],INDEX(Tableau6[TS],COLUMN()-COLUMN(Tableau1[[#All],[TS1-T]])+1))</f>
        <v>0</v>
      </c>
      <c r="T31" s="220">
        <f>COUNTIFS(Tableau2[Ref-Carte],Tableau1[[#This Row],[Ref-Carte]],Tableau2[TS],INDEX(Tableau6[TS],COLUMN()-COLUMN(Tableau1[[#All],[TS1-T]])+1))</f>
        <v>0</v>
      </c>
      <c r="U31" s="32" t="str">
        <f>IFERROR(Tableau1[[#This Row],[TS1]]/Tableau1[[#This Row],[TS1-T]],"")</f>
        <v/>
      </c>
      <c r="V31" s="32">
        <f>IFERROR(Tableau1[[#This Row],[TS2]]/Tableau1[[#This Row],[TS2-T]],"")</f>
        <v>0</v>
      </c>
      <c r="W31" s="32" t="str">
        <f>IFERROR(Tableau1[[#This Row],[TS3]]/Tableau1[[#This Row],[TS3-T]],"")</f>
        <v/>
      </c>
      <c r="X31" s="32" t="str">
        <f>IFERROR(Tableau1[[#This Row],[TS4]]/Tableau1[[#This Row],[TS4-T]],"")</f>
        <v/>
      </c>
      <c r="Y31" s="32" t="str">
        <f>IFERROR(Tableau1[[#This Row],[TS5]]/Tableau1[[#This Row],[TS5-T]],"")</f>
        <v/>
      </c>
      <c r="Z31" s="32" t="str">
        <f>IFERROR(Tableau1[[#This Row],[TS6]]/Tableau1[[#This Row],[TS6-T]],"")</f>
        <v/>
      </c>
    </row>
    <row r="32" spans="1:26" ht="16.5" thickTop="1" thickBot="1">
      <c r="A32" s="84">
        <v>6</v>
      </c>
      <c r="B32" s="23" t="str">
        <f>INDEX(Tableau7[Repere],MATCH(Tableau1[[#This Row],[ID-API]],Tableau7[ID-API],0))&amp;""</f>
        <v>A6</v>
      </c>
      <c r="C32" s="84">
        <v>2</v>
      </c>
      <c r="D32" t="str">
        <f>"R" &amp; Tableau1[[#This Row],[ID-RACK]]</f>
        <v>R2</v>
      </c>
      <c r="E32" s="84">
        <v>5</v>
      </c>
      <c r="F32" t="str">
        <f>"S" &amp; Tableau1[[#This Row],[ID-SLOT]]</f>
        <v>S5</v>
      </c>
      <c r="G32" s="168" t="str">
        <f>Tableau1[[#This Row],[ID-API]]&amp; "." &amp;Tableau1[[#This Row],[ID-RACK]]&amp; "." &amp;Tableau1[[#This Row],[ID-SLOT]]</f>
        <v>6.2.5</v>
      </c>
      <c r="H32" t="s">
        <v>708</v>
      </c>
      <c r="I32" s="30">
        <v>0</v>
      </c>
      <c r="J32" s="30">
        <v>0</v>
      </c>
      <c r="K32" s="30">
        <v>0</v>
      </c>
      <c r="L32" s="30">
        <v>0</v>
      </c>
      <c r="M32" s="30">
        <v>0</v>
      </c>
      <c r="N32" s="30">
        <v>0</v>
      </c>
      <c r="O32" s="220">
        <f>COUNTIFS(Tableau2[Ref-Carte],Tableau1[[#This Row],[Ref-Carte]],Tableau2[TS],INDEX(Tableau6[TS],COLUMN()-COLUMN(Tableau1[[#All],[TS1-T]])+1))</f>
        <v>0</v>
      </c>
      <c r="P32" s="220">
        <f>COUNTIFS(Tableau2[Ref-Carte],Tableau1[[#This Row],[Ref-Carte]],Tableau2[TS],INDEX(Tableau6[TS],COLUMN()-COLUMN(Tableau1[[#All],[TS1-T]])+1))</f>
        <v>8</v>
      </c>
      <c r="Q32" s="220">
        <f>COUNTIFS(Tableau2[Ref-Carte],Tableau1[[#This Row],[Ref-Carte]],Tableau2[TS],INDEX(Tableau6[TS],COLUMN()-COLUMN(Tableau1[[#All],[TS1-T]])+1))</f>
        <v>0</v>
      </c>
      <c r="R32" s="220">
        <f>COUNTIFS(Tableau2[Ref-Carte],Tableau1[[#This Row],[Ref-Carte]],Tableau2[TS],INDEX(Tableau6[TS],COLUMN()-COLUMN(Tableau1[[#All],[TS1-T]])+1))</f>
        <v>0</v>
      </c>
      <c r="S32" s="220">
        <f>COUNTIFS(Tableau2[Ref-Carte],Tableau1[[#This Row],[Ref-Carte]],Tableau2[TS],INDEX(Tableau6[TS],COLUMN()-COLUMN(Tableau1[[#All],[TS1-T]])+1))</f>
        <v>0</v>
      </c>
      <c r="T32" s="220">
        <f>COUNTIFS(Tableau2[Ref-Carte],Tableau1[[#This Row],[Ref-Carte]],Tableau2[TS],INDEX(Tableau6[TS],COLUMN()-COLUMN(Tableau1[[#All],[TS1-T]])+1))</f>
        <v>0</v>
      </c>
      <c r="U32" s="32" t="str">
        <f>IFERROR(Tableau1[[#This Row],[TS1]]/Tableau1[[#This Row],[TS1-T]],"")</f>
        <v/>
      </c>
      <c r="V32" s="32">
        <f>IFERROR(Tableau1[[#This Row],[TS2]]/Tableau1[[#This Row],[TS2-T]],"")</f>
        <v>0</v>
      </c>
      <c r="W32" s="32" t="str">
        <f>IFERROR(Tableau1[[#This Row],[TS3]]/Tableau1[[#This Row],[TS3-T]],"")</f>
        <v/>
      </c>
      <c r="X32" s="32" t="str">
        <f>IFERROR(Tableau1[[#This Row],[TS4]]/Tableau1[[#This Row],[TS4-T]],"")</f>
        <v/>
      </c>
      <c r="Y32" s="32" t="str">
        <f>IFERROR(Tableau1[[#This Row],[TS5]]/Tableau1[[#This Row],[TS5-T]],"")</f>
        <v/>
      </c>
      <c r="Z32" s="32" t="str">
        <f>IFERROR(Tableau1[[#This Row],[TS6]]/Tableau1[[#This Row],[TS6-T]],"")</f>
        <v/>
      </c>
    </row>
    <row r="33" spans="1:26" ht="16.5" thickTop="1" thickBot="1">
      <c r="A33" s="84">
        <v>6</v>
      </c>
      <c r="B33" s="23" t="str">
        <f>INDEX(Tableau7[Repere],MATCH(Tableau1[[#This Row],[ID-API]],Tableau7[ID-API],0))&amp;""</f>
        <v>A6</v>
      </c>
      <c r="C33" s="84">
        <v>2</v>
      </c>
      <c r="D33" t="str">
        <f>"R" &amp; Tableau1[[#This Row],[ID-RACK]]</f>
        <v>R2</v>
      </c>
      <c r="E33" s="84">
        <v>6</v>
      </c>
      <c r="F33" t="str">
        <f>"S" &amp; Tableau1[[#This Row],[ID-SLOT]]</f>
        <v>S6</v>
      </c>
      <c r="G33" s="168" t="str">
        <f>Tableau1[[#This Row],[ID-API]]&amp; "." &amp;Tableau1[[#This Row],[ID-RACK]]&amp; "." &amp;Tableau1[[#This Row],[ID-SLOT]]</f>
        <v>6.2.6</v>
      </c>
      <c r="H33" t="s">
        <v>708</v>
      </c>
      <c r="I33" s="30">
        <v>0</v>
      </c>
      <c r="J33" s="30">
        <v>0</v>
      </c>
      <c r="K33" s="30">
        <v>0</v>
      </c>
      <c r="L33" s="30">
        <v>0</v>
      </c>
      <c r="M33" s="30">
        <v>0</v>
      </c>
      <c r="N33" s="30">
        <v>0</v>
      </c>
      <c r="O33" s="220">
        <f>COUNTIFS(Tableau2[Ref-Carte],Tableau1[[#This Row],[Ref-Carte]],Tableau2[TS],INDEX(Tableau6[TS],COLUMN()-COLUMN(Tableau1[[#All],[TS1-T]])+1))</f>
        <v>0</v>
      </c>
      <c r="P33" s="220">
        <f>COUNTIFS(Tableau2[Ref-Carte],Tableau1[[#This Row],[Ref-Carte]],Tableau2[TS],INDEX(Tableau6[TS],COLUMN()-COLUMN(Tableau1[[#All],[TS1-T]])+1))</f>
        <v>8</v>
      </c>
      <c r="Q33" s="220">
        <f>COUNTIFS(Tableau2[Ref-Carte],Tableau1[[#This Row],[Ref-Carte]],Tableau2[TS],INDEX(Tableau6[TS],COLUMN()-COLUMN(Tableau1[[#All],[TS1-T]])+1))</f>
        <v>0</v>
      </c>
      <c r="R33" s="220">
        <f>COUNTIFS(Tableau2[Ref-Carte],Tableau1[[#This Row],[Ref-Carte]],Tableau2[TS],INDEX(Tableau6[TS],COLUMN()-COLUMN(Tableau1[[#All],[TS1-T]])+1))</f>
        <v>0</v>
      </c>
      <c r="S33" s="220">
        <f>COUNTIFS(Tableau2[Ref-Carte],Tableau1[[#This Row],[Ref-Carte]],Tableau2[TS],INDEX(Tableau6[TS],COLUMN()-COLUMN(Tableau1[[#All],[TS1-T]])+1))</f>
        <v>0</v>
      </c>
      <c r="T33" s="220">
        <f>COUNTIFS(Tableau2[Ref-Carte],Tableau1[[#This Row],[Ref-Carte]],Tableau2[TS],INDEX(Tableau6[TS],COLUMN()-COLUMN(Tableau1[[#All],[TS1-T]])+1))</f>
        <v>0</v>
      </c>
      <c r="U33" s="32" t="str">
        <f>IFERROR(Tableau1[[#This Row],[TS1]]/Tableau1[[#This Row],[TS1-T]],"")</f>
        <v/>
      </c>
      <c r="V33" s="32">
        <f>IFERROR(Tableau1[[#This Row],[TS2]]/Tableau1[[#This Row],[TS2-T]],"")</f>
        <v>0</v>
      </c>
      <c r="W33" s="32" t="str">
        <f>IFERROR(Tableau1[[#This Row],[TS3]]/Tableau1[[#This Row],[TS3-T]],"")</f>
        <v/>
      </c>
      <c r="X33" s="32" t="str">
        <f>IFERROR(Tableau1[[#This Row],[TS4]]/Tableau1[[#This Row],[TS4-T]],"")</f>
        <v/>
      </c>
      <c r="Y33" s="32" t="str">
        <f>IFERROR(Tableau1[[#This Row],[TS5]]/Tableau1[[#This Row],[TS5-T]],"")</f>
        <v/>
      </c>
      <c r="Z33" s="32" t="str">
        <f>IFERROR(Tableau1[[#This Row],[TS6]]/Tableau1[[#This Row],[TS6-T]],"")</f>
        <v/>
      </c>
    </row>
    <row r="34" spans="1:26" ht="16.5" thickTop="1" thickBot="1">
      <c r="A34" s="84">
        <v>6</v>
      </c>
      <c r="B34" s="23" t="str">
        <f>INDEX(Tableau7[Repere],MATCH(Tableau1[[#This Row],[ID-API]],Tableau7[ID-API],0))&amp;""</f>
        <v>A6</v>
      </c>
      <c r="C34" s="84">
        <v>2</v>
      </c>
      <c r="D34" t="str">
        <f>"R" &amp; Tableau1[[#This Row],[ID-RACK]]</f>
        <v>R2</v>
      </c>
      <c r="E34" s="84">
        <v>7</v>
      </c>
      <c r="F34" t="str">
        <f>"S" &amp; Tableau1[[#This Row],[ID-SLOT]]</f>
        <v>S7</v>
      </c>
      <c r="G34" s="168" t="str">
        <f>Tableau1[[#This Row],[ID-API]]&amp; "." &amp;Tableau1[[#This Row],[ID-RACK]]&amp; "." &amp;Tableau1[[#This Row],[ID-SLOT]]</f>
        <v>6.2.7</v>
      </c>
      <c r="H34" t="s">
        <v>710</v>
      </c>
      <c r="I34" s="30">
        <v>0</v>
      </c>
      <c r="J34" s="30">
        <v>0</v>
      </c>
      <c r="K34" s="30">
        <v>0</v>
      </c>
      <c r="L34" s="30">
        <v>0</v>
      </c>
      <c r="M34" s="30">
        <v>0</v>
      </c>
      <c r="N34" s="30">
        <v>0</v>
      </c>
      <c r="O34" s="220">
        <f>COUNTIFS(Tableau2[Ref-Carte],Tableau1[[#This Row],[Ref-Carte]],Tableau2[TS],INDEX(Tableau6[TS],COLUMN()-COLUMN(Tableau1[[#All],[TS1-T]])+1))</f>
        <v>16</v>
      </c>
      <c r="P34" s="220">
        <f>COUNTIFS(Tableau2[Ref-Carte],Tableau1[[#This Row],[Ref-Carte]],Tableau2[TS],INDEX(Tableau6[TS],COLUMN()-COLUMN(Tableau1[[#All],[TS1-T]])+1))</f>
        <v>0</v>
      </c>
      <c r="Q34" s="220">
        <f>COUNTIFS(Tableau2[Ref-Carte],Tableau1[[#This Row],[Ref-Carte]],Tableau2[TS],INDEX(Tableau6[TS],COLUMN()-COLUMN(Tableau1[[#All],[TS1-T]])+1))</f>
        <v>0</v>
      </c>
      <c r="R34" s="220">
        <f>COUNTIFS(Tableau2[Ref-Carte],Tableau1[[#This Row],[Ref-Carte]],Tableau2[TS],INDEX(Tableau6[TS],COLUMN()-COLUMN(Tableau1[[#All],[TS1-T]])+1))</f>
        <v>0</v>
      </c>
      <c r="S34" s="220">
        <f>COUNTIFS(Tableau2[Ref-Carte],Tableau1[[#This Row],[Ref-Carte]],Tableau2[TS],INDEX(Tableau6[TS],COLUMN()-COLUMN(Tableau1[[#All],[TS1-T]])+1))</f>
        <v>0</v>
      </c>
      <c r="T34" s="220">
        <f>COUNTIFS(Tableau2[Ref-Carte],Tableau1[[#This Row],[Ref-Carte]],Tableau2[TS],INDEX(Tableau6[TS],COLUMN()-COLUMN(Tableau1[[#All],[TS1-T]])+1))</f>
        <v>0</v>
      </c>
      <c r="U34" s="32">
        <f>IFERROR(Tableau1[[#This Row],[TS1]]/Tableau1[[#This Row],[TS1-T]],"")</f>
        <v>0</v>
      </c>
      <c r="V34" s="32" t="str">
        <f>IFERROR(Tableau1[[#This Row],[TS2]]/Tableau1[[#This Row],[TS2-T]],"")</f>
        <v/>
      </c>
      <c r="W34" s="32" t="str">
        <f>IFERROR(Tableau1[[#This Row],[TS3]]/Tableau1[[#This Row],[TS3-T]],"")</f>
        <v/>
      </c>
      <c r="X34" s="32" t="str">
        <f>IFERROR(Tableau1[[#This Row],[TS4]]/Tableau1[[#This Row],[TS4-T]],"")</f>
        <v/>
      </c>
      <c r="Y34" s="32" t="str">
        <f>IFERROR(Tableau1[[#This Row],[TS5]]/Tableau1[[#This Row],[TS5-T]],"")</f>
        <v/>
      </c>
      <c r="Z34" s="32" t="str">
        <f>IFERROR(Tableau1[[#This Row],[TS6]]/Tableau1[[#This Row],[TS6-T]],"")</f>
        <v/>
      </c>
    </row>
    <row r="35" spans="1:26" ht="16.5" thickTop="1" thickBot="1">
      <c r="A35" s="84">
        <v>6</v>
      </c>
      <c r="B35" s="23" t="str">
        <f>INDEX(Tableau7[Repere],MATCH(Tableau1[[#This Row],[ID-API]],Tableau7[ID-API],0))&amp;""</f>
        <v>A6</v>
      </c>
      <c r="C35" s="84">
        <v>2</v>
      </c>
      <c r="D35" t="str">
        <f>"R" &amp; Tableau1[[#This Row],[ID-RACK]]</f>
        <v>R2</v>
      </c>
      <c r="E35" s="84">
        <v>8</v>
      </c>
      <c r="F35" t="str">
        <f>"S" &amp; Tableau1[[#This Row],[ID-SLOT]]</f>
        <v>S8</v>
      </c>
      <c r="G35" s="168" t="str">
        <f>Tableau1[[#This Row],[ID-API]]&amp; "." &amp;Tableau1[[#This Row],[ID-RACK]]&amp; "." &amp;Tableau1[[#This Row],[ID-SLOT]]</f>
        <v>6.2.8</v>
      </c>
      <c r="H35" t="s">
        <v>710</v>
      </c>
      <c r="I35" s="30">
        <v>0</v>
      </c>
      <c r="J35" s="30">
        <v>0</v>
      </c>
      <c r="K35" s="30">
        <v>0</v>
      </c>
      <c r="L35" s="30">
        <v>0</v>
      </c>
      <c r="M35" s="30">
        <v>0</v>
      </c>
      <c r="N35" s="30">
        <v>0</v>
      </c>
      <c r="O35" s="220">
        <f>COUNTIFS(Tableau2[Ref-Carte],Tableau1[[#This Row],[Ref-Carte]],Tableau2[TS],INDEX(Tableau6[TS],COLUMN()-COLUMN(Tableau1[[#All],[TS1-T]])+1))</f>
        <v>16</v>
      </c>
      <c r="P35" s="220">
        <f>COUNTIFS(Tableau2[Ref-Carte],Tableau1[[#This Row],[Ref-Carte]],Tableau2[TS],INDEX(Tableau6[TS],COLUMN()-COLUMN(Tableau1[[#All],[TS1-T]])+1))</f>
        <v>0</v>
      </c>
      <c r="Q35" s="220">
        <f>COUNTIFS(Tableau2[Ref-Carte],Tableau1[[#This Row],[Ref-Carte]],Tableau2[TS],INDEX(Tableau6[TS],COLUMN()-COLUMN(Tableau1[[#All],[TS1-T]])+1))</f>
        <v>0</v>
      </c>
      <c r="R35" s="220">
        <f>COUNTIFS(Tableau2[Ref-Carte],Tableau1[[#This Row],[Ref-Carte]],Tableau2[TS],INDEX(Tableau6[TS],COLUMN()-COLUMN(Tableau1[[#All],[TS1-T]])+1))</f>
        <v>0</v>
      </c>
      <c r="S35" s="220">
        <f>COUNTIFS(Tableau2[Ref-Carte],Tableau1[[#This Row],[Ref-Carte]],Tableau2[TS],INDEX(Tableau6[TS],COLUMN()-COLUMN(Tableau1[[#All],[TS1-T]])+1))</f>
        <v>0</v>
      </c>
      <c r="T35" s="220">
        <f>COUNTIFS(Tableau2[Ref-Carte],Tableau1[[#This Row],[Ref-Carte]],Tableau2[TS],INDEX(Tableau6[TS],COLUMN()-COLUMN(Tableau1[[#All],[TS1-T]])+1))</f>
        <v>0</v>
      </c>
      <c r="U35" s="32">
        <f>IFERROR(Tableau1[[#This Row],[TS1]]/Tableau1[[#This Row],[TS1-T]],"")</f>
        <v>0</v>
      </c>
      <c r="V35" s="32" t="str">
        <f>IFERROR(Tableau1[[#This Row],[TS2]]/Tableau1[[#This Row],[TS2-T]],"")</f>
        <v/>
      </c>
      <c r="W35" s="32" t="str">
        <f>IFERROR(Tableau1[[#This Row],[TS3]]/Tableau1[[#This Row],[TS3-T]],"")</f>
        <v/>
      </c>
      <c r="X35" s="32" t="str">
        <f>IFERROR(Tableau1[[#This Row],[TS4]]/Tableau1[[#This Row],[TS4-T]],"")</f>
        <v/>
      </c>
      <c r="Y35" s="32" t="str">
        <f>IFERROR(Tableau1[[#This Row],[TS5]]/Tableau1[[#This Row],[TS5-T]],"")</f>
        <v/>
      </c>
      <c r="Z35" s="32" t="str">
        <f>IFERROR(Tableau1[[#This Row],[TS6]]/Tableau1[[#This Row],[TS6-T]],"")</f>
        <v/>
      </c>
    </row>
    <row r="36" spans="1:26" ht="16.5" thickTop="1" thickBot="1">
      <c r="A36" s="84">
        <v>6</v>
      </c>
      <c r="B36" s="23" t="str">
        <f>INDEX(Tableau7[Repere],MATCH(Tableau1[[#This Row],[ID-API]],Tableau7[ID-API],0))&amp;""</f>
        <v>A6</v>
      </c>
      <c r="C36" s="84">
        <v>2</v>
      </c>
      <c r="D36" t="str">
        <f>"R" &amp; Tableau1[[#This Row],[ID-RACK]]</f>
        <v>R2</v>
      </c>
      <c r="E36" s="84">
        <v>9</v>
      </c>
      <c r="F36" t="str">
        <f>"S" &amp; Tableau1[[#This Row],[ID-SLOT]]</f>
        <v>S9</v>
      </c>
      <c r="G36" s="168" t="str">
        <f>Tableau1[[#This Row],[ID-API]]&amp; "." &amp;Tableau1[[#This Row],[ID-RACK]]&amp; "." &amp;Tableau1[[#This Row],[ID-SLOT]]</f>
        <v>6.2.9</v>
      </c>
      <c r="H36" t="s">
        <v>710</v>
      </c>
      <c r="I36" s="30">
        <v>0</v>
      </c>
      <c r="J36" s="30">
        <v>0</v>
      </c>
      <c r="K36" s="30">
        <v>0</v>
      </c>
      <c r="L36" s="30">
        <v>0</v>
      </c>
      <c r="M36" s="30">
        <v>0</v>
      </c>
      <c r="N36" s="30">
        <v>0</v>
      </c>
      <c r="O36" s="220">
        <f>COUNTIFS(Tableau2[Ref-Carte],Tableau1[[#This Row],[Ref-Carte]],Tableau2[TS],INDEX(Tableau6[TS],COLUMN()-COLUMN(Tableau1[[#All],[TS1-T]])+1))</f>
        <v>16</v>
      </c>
      <c r="P36" s="220">
        <f>COUNTIFS(Tableau2[Ref-Carte],Tableau1[[#This Row],[Ref-Carte]],Tableau2[TS],INDEX(Tableau6[TS],COLUMN()-COLUMN(Tableau1[[#All],[TS1-T]])+1))</f>
        <v>0</v>
      </c>
      <c r="Q36" s="220">
        <f>COUNTIFS(Tableau2[Ref-Carte],Tableau1[[#This Row],[Ref-Carte]],Tableau2[TS],INDEX(Tableau6[TS],COLUMN()-COLUMN(Tableau1[[#All],[TS1-T]])+1))</f>
        <v>0</v>
      </c>
      <c r="R36" s="220">
        <f>COUNTIFS(Tableau2[Ref-Carte],Tableau1[[#This Row],[Ref-Carte]],Tableau2[TS],INDEX(Tableau6[TS],COLUMN()-COLUMN(Tableau1[[#All],[TS1-T]])+1))</f>
        <v>0</v>
      </c>
      <c r="S36" s="220">
        <f>COUNTIFS(Tableau2[Ref-Carte],Tableau1[[#This Row],[Ref-Carte]],Tableau2[TS],INDEX(Tableau6[TS],COLUMN()-COLUMN(Tableau1[[#All],[TS1-T]])+1))</f>
        <v>0</v>
      </c>
      <c r="T36" s="220">
        <f>COUNTIFS(Tableau2[Ref-Carte],Tableau1[[#This Row],[Ref-Carte]],Tableau2[TS],INDEX(Tableau6[TS],COLUMN()-COLUMN(Tableau1[[#All],[TS1-T]])+1))</f>
        <v>0</v>
      </c>
      <c r="U36" s="32">
        <f>IFERROR(Tableau1[[#This Row],[TS1]]/Tableau1[[#This Row],[TS1-T]],"")</f>
        <v>0</v>
      </c>
      <c r="V36" s="32" t="str">
        <f>IFERROR(Tableau1[[#This Row],[TS2]]/Tableau1[[#This Row],[TS2-T]],"")</f>
        <v/>
      </c>
      <c r="W36" s="32" t="str">
        <f>IFERROR(Tableau1[[#This Row],[TS3]]/Tableau1[[#This Row],[TS3-T]],"")</f>
        <v/>
      </c>
      <c r="X36" s="32" t="str">
        <f>IFERROR(Tableau1[[#This Row],[TS4]]/Tableau1[[#This Row],[TS4-T]],"")</f>
        <v/>
      </c>
      <c r="Y36" s="32" t="str">
        <f>IFERROR(Tableau1[[#This Row],[TS5]]/Tableau1[[#This Row],[TS5-T]],"")</f>
        <v/>
      </c>
      <c r="Z36" s="32" t="str">
        <f>IFERROR(Tableau1[[#This Row],[TS6]]/Tableau1[[#This Row],[TS6-T]],"")</f>
        <v/>
      </c>
    </row>
    <row r="37" spans="1:26" ht="16.5" thickTop="1" thickBot="1">
      <c r="A37" s="84">
        <v>6</v>
      </c>
      <c r="B37" s="23" t="str">
        <f>INDEX(Tableau7[Repere],MATCH(Tableau1[[#This Row],[ID-API]],Tableau7[ID-API],0))&amp;""</f>
        <v>A6</v>
      </c>
      <c r="C37" s="84">
        <v>2</v>
      </c>
      <c r="D37" t="str">
        <f>"R" &amp; Tableau1[[#This Row],[ID-RACK]]</f>
        <v>R2</v>
      </c>
      <c r="E37" s="84">
        <v>10</v>
      </c>
      <c r="F37" t="str">
        <f>"S" &amp; Tableau1[[#This Row],[ID-SLOT]]</f>
        <v>S10</v>
      </c>
      <c r="G37" s="168" t="str">
        <f>Tableau1[[#This Row],[ID-API]]&amp; "." &amp;Tableau1[[#This Row],[ID-RACK]]&amp; "." &amp;Tableau1[[#This Row],[ID-SLOT]]</f>
        <v>6.2.10</v>
      </c>
      <c r="H37" t="s">
        <v>710</v>
      </c>
      <c r="I37" s="30">
        <v>0</v>
      </c>
      <c r="J37" s="30">
        <v>0</v>
      </c>
      <c r="K37" s="30">
        <v>0</v>
      </c>
      <c r="L37" s="30">
        <v>0</v>
      </c>
      <c r="M37" s="30">
        <v>0</v>
      </c>
      <c r="N37" s="30">
        <v>0</v>
      </c>
      <c r="O37" s="220">
        <f>COUNTIFS(Tableau2[Ref-Carte],Tableau1[[#This Row],[Ref-Carte]],Tableau2[TS],INDEX(Tableau6[TS],COLUMN()-COLUMN(Tableau1[[#All],[TS1-T]])+1))</f>
        <v>16</v>
      </c>
      <c r="P37" s="220">
        <f>COUNTIFS(Tableau2[Ref-Carte],Tableau1[[#This Row],[Ref-Carte]],Tableau2[TS],INDEX(Tableau6[TS],COLUMN()-COLUMN(Tableau1[[#All],[TS1-T]])+1))</f>
        <v>0</v>
      </c>
      <c r="Q37" s="220">
        <f>COUNTIFS(Tableau2[Ref-Carte],Tableau1[[#This Row],[Ref-Carte]],Tableau2[TS],INDEX(Tableau6[TS],COLUMN()-COLUMN(Tableau1[[#All],[TS1-T]])+1))</f>
        <v>0</v>
      </c>
      <c r="R37" s="220">
        <f>COUNTIFS(Tableau2[Ref-Carte],Tableau1[[#This Row],[Ref-Carte]],Tableau2[TS],INDEX(Tableau6[TS],COLUMN()-COLUMN(Tableau1[[#All],[TS1-T]])+1))</f>
        <v>0</v>
      </c>
      <c r="S37" s="220">
        <f>COUNTIFS(Tableau2[Ref-Carte],Tableau1[[#This Row],[Ref-Carte]],Tableau2[TS],INDEX(Tableau6[TS],COLUMN()-COLUMN(Tableau1[[#All],[TS1-T]])+1))</f>
        <v>0</v>
      </c>
      <c r="T37" s="220">
        <f>COUNTIFS(Tableau2[Ref-Carte],Tableau1[[#This Row],[Ref-Carte]],Tableau2[TS],INDEX(Tableau6[TS],COLUMN()-COLUMN(Tableau1[[#All],[TS1-T]])+1))</f>
        <v>0</v>
      </c>
      <c r="U37" s="32">
        <f>IFERROR(Tableau1[[#This Row],[TS1]]/Tableau1[[#This Row],[TS1-T]],"")</f>
        <v>0</v>
      </c>
      <c r="V37" s="32" t="str">
        <f>IFERROR(Tableau1[[#This Row],[TS2]]/Tableau1[[#This Row],[TS2-T]],"")</f>
        <v/>
      </c>
      <c r="W37" s="32" t="str">
        <f>IFERROR(Tableau1[[#This Row],[TS3]]/Tableau1[[#This Row],[TS3-T]],"")</f>
        <v/>
      </c>
      <c r="X37" s="32" t="str">
        <f>IFERROR(Tableau1[[#This Row],[TS4]]/Tableau1[[#This Row],[TS4-T]],"")</f>
        <v/>
      </c>
      <c r="Y37" s="32" t="str">
        <f>IFERROR(Tableau1[[#This Row],[TS5]]/Tableau1[[#This Row],[TS5-T]],"")</f>
        <v/>
      </c>
      <c r="Z37" s="32" t="str">
        <f>IFERROR(Tableau1[[#This Row],[TS6]]/Tableau1[[#This Row],[TS6-T]],"")</f>
        <v/>
      </c>
    </row>
    <row r="38" spans="1:26" ht="16.5" thickTop="1" thickBot="1">
      <c r="A38" s="84">
        <v>9</v>
      </c>
      <c r="B38" s="23" t="str">
        <f>INDEX(Tableau7[Repere],MATCH(Tableau1[[#This Row],[ID-API]],Tableau7[ID-API],0))&amp;""</f>
        <v>A9</v>
      </c>
      <c r="C38" s="84">
        <v>1</v>
      </c>
      <c r="D38" t="str">
        <f>"R" &amp; Tableau1[[#This Row],[ID-RACK]]</f>
        <v>R1</v>
      </c>
      <c r="E38" s="84">
        <v>2</v>
      </c>
      <c r="F38" t="str">
        <f>"S" &amp; Tableau1[[#This Row],[ID-SLOT]]</f>
        <v>S2</v>
      </c>
      <c r="G38" s="168" t="str">
        <f>Tableau1[[#This Row],[ID-API]]&amp; "." &amp;Tableau1[[#This Row],[ID-RACK]]&amp; "." &amp;Tableau1[[#This Row],[ID-SLOT]]</f>
        <v>9.1.2</v>
      </c>
      <c r="H38" t="s">
        <v>711</v>
      </c>
      <c r="I38" s="30">
        <v>0</v>
      </c>
      <c r="J38" s="30">
        <v>0</v>
      </c>
      <c r="K38" s="30">
        <v>0</v>
      </c>
      <c r="L38" s="30">
        <v>0</v>
      </c>
      <c r="M38" s="30">
        <v>0</v>
      </c>
      <c r="N38" s="30">
        <v>0</v>
      </c>
      <c r="O38" s="220">
        <f>COUNTIFS(Tableau2[Ref-Carte],Tableau1[[#This Row],[Ref-Carte]],Tableau2[TS],INDEX(Tableau6[TS],COLUMN()-COLUMN(Tableau1[[#All],[TS1-T]])+1))</f>
        <v>0</v>
      </c>
      <c r="P38" s="220">
        <f>COUNTIFS(Tableau2[Ref-Carte],Tableau1[[#This Row],[Ref-Carte]],Tableau2[TS],INDEX(Tableau6[TS],COLUMN()-COLUMN(Tableau1[[#All],[TS1-T]])+1))</f>
        <v>8</v>
      </c>
      <c r="Q38" s="220">
        <f>COUNTIFS(Tableau2[Ref-Carte],Tableau1[[#This Row],[Ref-Carte]],Tableau2[TS],INDEX(Tableau6[TS],COLUMN()-COLUMN(Tableau1[[#All],[TS1-T]])+1))</f>
        <v>0</v>
      </c>
      <c r="R38" s="220">
        <f>COUNTIFS(Tableau2[Ref-Carte],Tableau1[[#This Row],[Ref-Carte]],Tableau2[TS],INDEX(Tableau6[TS],COLUMN()-COLUMN(Tableau1[[#All],[TS1-T]])+1))</f>
        <v>0</v>
      </c>
      <c r="S38" s="220">
        <f>COUNTIFS(Tableau2[Ref-Carte],Tableau1[[#This Row],[Ref-Carte]],Tableau2[TS],INDEX(Tableau6[TS],COLUMN()-COLUMN(Tableau1[[#All],[TS1-T]])+1))</f>
        <v>0</v>
      </c>
      <c r="T38" s="220">
        <f>COUNTIFS(Tableau2[Ref-Carte],Tableau1[[#This Row],[Ref-Carte]],Tableau2[TS],INDEX(Tableau6[TS],COLUMN()-COLUMN(Tableau1[[#All],[TS1-T]])+1))</f>
        <v>0</v>
      </c>
      <c r="U38" s="32" t="str">
        <f>IFERROR(Tableau1[[#This Row],[TS1]]/Tableau1[[#This Row],[TS1-T]],"")</f>
        <v/>
      </c>
      <c r="V38" s="32">
        <f>IFERROR(Tableau1[[#This Row],[TS2]]/Tableau1[[#This Row],[TS2-T]],"")</f>
        <v>0</v>
      </c>
      <c r="W38" s="32" t="str">
        <f>IFERROR(Tableau1[[#This Row],[TS3]]/Tableau1[[#This Row],[TS3-T]],"")</f>
        <v/>
      </c>
      <c r="X38" s="32" t="str">
        <f>IFERROR(Tableau1[[#This Row],[TS4]]/Tableau1[[#This Row],[TS4-T]],"")</f>
        <v/>
      </c>
      <c r="Y38" s="32" t="str">
        <f>IFERROR(Tableau1[[#This Row],[TS5]]/Tableau1[[#This Row],[TS5-T]],"")</f>
        <v/>
      </c>
      <c r="Z38" s="32" t="str">
        <f>IFERROR(Tableau1[[#This Row],[TS6]]/Tableau1[[#This Row],[TS6-T]],"")</f>
        <v/>
      </c>
    </row>
    <row r="39" spans="1:26" ht="16.5" thickTop="1" thickBot="1">
      <c r="A39" s="84">
        <v>9</v>
      </c>
      <c r="B39" s="23" t="str">
        <f>INDEX(Tableau7[Repere],MATCH(Tableau1[[#This Row],[ID-API]],Tableau7[ID-API],0))&amp;""</f>
        <v>A9</v>
      </c>
      <c r="C39" s="84">
        <v>1</v>
      </c>
      <c r="D39" t="str">
        <f>"R" &amp; Tableau1[[#This Row],[ID-RACK]]</f>
        <v>R1</v>
      </c>
      <c r="E39" s="84">
        <v>3</v>
      </c>
      <c r="F39" t="str">
        <f>"S" &amp; Tableau1[[#This Row],[ID-SLOT]]</f>
        <v>S3</v>
      </c>
      <c r="G39" s="168" t="str">
        <f>Tableau1[[#This Row],[ID-API]]&amp; "." &amp;Tableau1[[#This Row],[ID-RACK]]&amp; "." &amp;Tableau1[[#This Row],[ID-SLOT]]</f>
        <v>9.1.3</v>
      </c>
      <c r="H39" t="s">
        <v>711</v>
      </c>
      <c r="I39" s="30">
        <v>0</v>
      </c>
      <c r="J39" s="30">
        <v>0</v>
      </c>
      <c r="K39" s="30">
        <v>0</v>
      </c>
      <c r="L39" s="30">
        <v>0</v>
      </c>
      <c r="M39" s="30">
        <v>0</v>
      </c>
      <c r="N39" s="30">
        <v>0</v>
      </c>
      <c r="O39" s="220">
        <f>COUNTIFS(Tableau2[Ref-Carte],Tableau1[[#This Row],[Ref-Carte]],Tableau2[TS],INDEX(Tableau6[TS],COLUMN()-COLUMN(Tableau1[[#All],[TS1-T]])+1))</f>
        <v>0</v>
      </c>
      <c r="P39" s="220">
        <f>COUNTIFS(Tableau2[Ref-Carte],Tableau1[[#This Row],[Ref-Carte]],Tableau2[TS],INDEX(Tableau6[TS],COLUMN()-COLUMN(Tableau1[[#All],[TS1-T]])+1))</f>
        <v>8</v>
      </c>
      <c r="Q39" s="220">
        <f>COUNTIFS(Tableau2[Ref-Carte],Tableau1[[#This Row],[Ref-Carte]],Tableau2[TS],INDEX(Tableau6[TS],COLUMN()-COLUMN(Tableau1[[#All],[TS1-T]])+1))</f>
        <v>0</v>
      </c>
      <c r="R39" s="220">
        <f>COUNTIFS(Tableau2[Ref-Carte],Tableau1[[#This Row],[Ref-Carte]],Tableau2[TS],INDEX(Tableau6[TS],COLUMN()-COLUMN(Tableau1[[#All],[TS1-T]])+1))</f>
        <v>0</v>
      </c>
      <c r="S39" s="220">
        <f>COUNTIFS(Tableau2[Ref-Carte],Tableau1[[#This Row],[Ref-Carte]],Tableau2[TS],INDEX(Tableau6[TS],COLUMN()-COLUMN(Tableau1[[#All],[TS1-T]])+1))</f>
        <v>0</v>
      </c>
      <c r="T39" s="220">
        <f>COUNTIFS(Tableau2[Ref-Carte],Tableau1[[#This Row],[Ref-Carte]],Tableau2[TS],INDEX(Tableau6[TS],COLUMN()-COLUMN(Tableau1[[#All],[TS1-T]])+1))</f>
        <v>0</v>
      </c>
      <c r="U39" s="32" t="str">
        <f>IFERROR(Tableau1[[#This Row],[TS1]]/Tableau1[[#This Row],[TS1-T]],"")</f>
        <v/>
      </c>
      <c r="V39" s="32">
        <f>IFERROR(Tableau1[[#This Row],[TS2]]/Tableau1[[#This Row],[TS2-T]],"")</f>
        <v>0</v>
      </c>
      <c r="W39" s="32" t="str">
        <f>IFERROR(Tableau1[[#This Row],[TS3]]/Tableau1[[#This Row],[TS3-T]],"")</f>
        <v/>
      </c>
      <c r="X39" s="32" t="str">
        <f>IFERROR(Tableau1[[#This Row],[TS4]]/Tableau1[[#This Row],[TS4-T]],"")</f>
        <v/>
      </c>
      <c r="Y39" s="32" t="str">
        <f>IFERROR(Tableau1[[#This Row],[TS5]]/Tableau1[[#This Row],[TS5-T]],"")</f>
        <v/>
      </c>
      <c r="Z39" s="32" t="str">
        <f>IFERROR(Tableau1[[#This Row],[TS6]]/Tableau1[[#This Row],[TS6-T]],"")</f>
        <v/>
      </c>
    </row>
    <row r="40" spans="1:26" ht="16.5" thickTop="1" thickBot="1">
      <c r="A40" s="84">
        <v>9</v>
      </c>
      <c r="B40" s="23" t="str">
        <f>INDEX(Tableau7[Repere],MATCH(Tableau1[[#This Row],[ID-API]],Tableau7[ID-API],0))&amp;""</f>
        <v>A9</v>
      </c>
      <c r="C40" s="84">
        <v>1</v>
      </c>
      <c r="D40" t="str">
        <f>"R" &amp; Tableau1[[#This Row],[ID-RACK]]</f>
        <v>R1</v>
      </c>
      <c r="E40" s="84">
        <v>4</v>
      </c>
      <c r="F40" t="str">
        <f>"S" &amp; Tableau1[[#This Row],[ID-SLOT]]</f>
        <v>S4</v>
      </c>
      <c r="G40" s="168" t="str">
        <f>Tableau1[[#This Row],[ID-API]]&amp; "." &amp;Tableau1[[#This Row],[ID-RACK]]&amp; "." &amp;Tableau1[[#This Row],[ID-SLOT]]</f>
        <v>9.1.4</v>
      </c>
      <c r="H40" t="s">
        <v>711</v>
      </c>
      <c r="I40" s="30">
        <v>0</v>
      </c>
      <c r="J40" s="30">
        <v>0</v>
      </c>
      <c r="K40" s="30">
        <v>0</v>
      </c>
      <c r="L40" s="30">
        <v>0</v>
      </c>
      <c r="M40" s="30">
        <v>0</v>
      </c>
      <c r="N40" s="30">
        <v>0</v>
      </c>
      <c r="O40" s="220">
        <f>COUNTIFS(Tableau2[Ref-Carte],Tableau1[[#This Row],[Ref-Carte]],Tableau2[TS],INDEX(Tableau6[TS],COLUMN()-COLUMN(Tableau1[[#All],[TS1-T]])+1))</f>
        <v>0</v>
      </c>
      <c r="P40" s="220">
        <f>COUNTIFS(Tableau2[Ref-Carte],Tableau1[[#This Row],[Ref-Carte]],Tableau2[TS],INDEX(Tableau6[TS],COLUMN()-COLUMN(Tableau1[[#All],[TS1-T]])+1))</f>
        <v>8</v>
      </c>
      <c r="Q40" s="220">
        <f>COUNTIFS(Tableau2[Ref-Carte],Tableau1[[#This Row],[Ref-Carte]],Tableau2[TS],INDEX(Tableau6[TS],COLUMN()-COLUMN(Tableau1[[#All],[TS1-T]])+1))</f>
        <v>0</v>
      </c>
      <c r="R40" s="220">
        <f>COUNTIFS(Tableau2[Ref-Carte],Tableau1[[#This Row],[Ref-Carte]],Tableau2[TS],INDEX(Tableau6[TS],COLUMN()-COLUMN(Tableau1[[#All],[TS1-T]])+1))</f>
        <v>0</v>
      </c>
      <c r="S40" s="220">
        <f>COUNTIFS(Tableau2[Ref-Carte],Tableau1[[#This Row],[Ref-Carte]],Tableau2[TS],INDEX(Tableau6[TS],COLUMN()-COLUMN(Tableau1[[#All],[TS1-T]])+1))</f>
        <v>0</v>
      </c>
      <c r="T40" s="220">
        <f>COUNTIFS(Tableau2[Ref-Carte],Tableau1[[#This Row],[Ref-Carte]],Tableau2[TS],INDEX(Tableau6[TS],COLUMN()-COLUMN(Tableau1[[#All],[TS1-T]])+1))</f>
        <v>0</v>
      </c>
      <c r="U40" s="32" t="str">
        <f>IFERROR(Tableau1[[#This Row],[TS1]]/Tableau1[[#This Row],[TS1-T]],"")</f>
        <v/>
      </c>
      <c r="V40" s="32">
        <f>IFERROR(Tableau1[[#This Row],[TS2]]/Tableau1[[#This Row],[TS2-T]],"")</f>
        <v>0</v>
      </c>
      <c r="W40" s="32" t="str">
        <f>IFERROR(Tableau1[[#This Row],[TS3]]/Tableau1[[#This Row],[TS3-T]],"")</f>
        <v/>
      </c>
      <c r="X40" s="32" t="str">
        <f>IFERROR(Tableau1[[#This Row],[TS4]]/Tableau1[[#This Row],[TS4-T]],"")</f>
        <v/>
      </c>
      <c r="Y40" s="32" t="str">
        <f>IFERROR(Tableau1[[#This Row],[TS5]]/Tableau1[[#This Row],[TS5-T]],"")</f>
        <v/>
      </c>
      <c r="Z40" s="32" t="str">
        <f>IFERROR(Tableau1[[#This Row],[TS6]]/Tableau1[[#This Row],[TS6-T]],"")</f>
        <v/>
      </c>
    </row>
    <row r="41" spans="1:26" ht="16.5" thickTop="1" thickBot="1">
      <c r="A41" s="84">
        <v>9</v>
      </c>
      <c r="B41" s="23" t="str">
        <f>INDEX(Tableau7[Repere],MATCH(Tableau1[[#This Row],[ID-API]],Tableau7[ID-API],0))&amp;""</f>
        <v>A9</v>
      </c>
      <c r="C41" s="84">
        <v>1</v>
      </c>
      <c r="D41" t="str">
        <f>"R" &amp; Tableau1[[#This Row],[ID-RACK]]</f>
        <v>R1</v>
      </c>
      <c r="E41" s="84">
        <v>5</v>
      </c>
      <c r="F41" t="str">
        <f>"S" &amp; Tableau1[[#This Row],[ID-SLOT]]</f>
        <v>S5</v>
      </c>
      <c r="G41" s="168" t="str">
        <f>Tableau1[[#This Row],[ID-API]]&amp; "." &amp;Tableau1[[#This Row],[ID-RACK]]&amp; "." &amp;Tableau1[[#This Row],[ID-SLOT]]</f>
        <v>9.1.5</v>
      </c>
      <c r="H41" t="s">
        <v>711</v>
      </c>
      <c r="I41" s="30">
        <v>0</v>
      </c>
      <c r="J41" s="30">
        <v>0</v>
      </c>
      <c r="K41" s="30">
        <v>0</v>
      </c>
      <c r="L41" s="30">
        <v>0</v>
      </c>
      <c r="M41" s="30">
        <v>0</v>
      </c>
      <c r="N41" s="30">
        <v>0</v>
      </c>
      <c r="O41" s="220">
        <f>COUNTIFS(Tableau2[Ref-Carte],Tableau1[[#This Row],[Ref-Carte]],Tableau2[TS],INDEX(Tableau6[TS],COLUMN()-COLUMN(Tableau1[[#All],[TS1-T]])+1))</f>
        <v>0</v>
      </c>
      <c r="P41" s="220">
        <f>COUNTIFS(Tableau2[Ref-Carte],Tableau1[[#This Row],[Ref-Carte]],Tableau2[TS],INDEX(Tableau6[TS],COLUMN()-COLUMN(Tableau1[[#All],[TS1-T]])+1))</f>
        <v>8</v>
      </c>
      <c r="Q41" s="220">
        <f>COUNTIFS(Tableau2[Ref-Carte],Tableau1[[#This Row],[Ref-Carte]],Tableau2[TS],INDEX(Tableau6[TS],COLUMN()-COLUMN(Tableau1[[#All],[TS1-T]])+1))</f>
        <v>0</v>
      </c>
      <c r="R41" s="220">
        <f>COUNTIFS(Tableau2[Ref-Carte],Tableau1[[#This Row],[Ref-Carte]],Tableau2[TS],INDEX(Tableau6[TS],COLUMN()-COLUMN(Tableau1[[#All],[TS1-T]])+1))</f>
        <v>0</v>
      </c>
      <c r="S41" s="220">
        <f>COUNTIFS(Tableau2[Ref-Carte],Tableau1[[#This Row],[Ref-Carte]],Tableau2[TS],INDEX(Tableau6[TS],COLUMN()-COLUMN(Tableau1[[#All],[TS1-T]])+1))</f>
        <v>0</v>
      </c>
      <c r="T41" s="220">
        <f>COUNTIFS(Tableau2[Ref-Carte],Tableau1[[#This Row],[Ref-Carte]],Tableau2[TS],INDEX(Tableau6[TS],COLUMN()-COLUMN(Tableau1[[#All],[TS1-T]])+1))</f>
        <v>0</v>
      </c>
      <c r="U41" s="32" t="str">
        <f>IFERROR(Tableau1[[#This Row],[TS1]]/Tableau1[[#This Row],[TS1-T]],"")</f>
        <v/>
      </c>
      <c r="V41" s="32">
        <f>IFERROR(Tableau1[[#This Row],[TS2]]/Tableau1[[#This Row],[TS2-T]],"")</f>
        <v>0</v>
      </c>
      <c r="W41" s="32" t="str">
        <f>IFERROR(Tableau1[[#This Row],[TS3]]/Tableau1[[#This Row],[TS3-T]],"")</f>
        <v/>
      </c>
      <c r="X41" s="32" t="str">
        <f>IFERROR(Tableau1[[#This Row],[TS4]]/Tableau1[[#This Row],[TS4-T]],"")</f>
        <v/>
      </c>
      <c r="Y41" s="32" t="str">
        <f>IFERROR(Tableau1[[#This Row],[TS5]]/Tableau1[[#This Row],[TS5-T]],"")</f>
        <v/>
      </c>
      <c r="Z41" s="32" t="str">
        <f>IFERROR(Tableau1[[#This Row],[TS6]]/Tableau1[[#This Row],[TS6-T]],"")</f>
        <v/>
      </c>
    </row>
    <row r="42" spans="1:26" ht="16.5" thickTop="1" thickBot="1">
      <c r="A42" s="84">
        <v>9</v>
      </c>
      <c r="B42" s="23" t="str">
        <f>INDEX(Tableau7[Repere],MATCH(Tableau1[[#This Row],[ID-API]],Tableau7[ID-API],0))&amp;""</f>
        <v>A9</v>
      </c>
      <c r="C42" s="84">
        <v>1</v>
      </c>
      <c r="D42" t="str">
        <f>"R" &amp; Tableau1[[#This Row],[ID-RACK]]</f>
        <v>R1</v>
      </c>
      <c r="E42" s="84">
        <v>6</v>
      </c>
      <c r="F42" t="str">
        <f>"S" &amp; Tableau1[[#This Row],[ID-SLOT]]</f>
        <v>S6</v>
      </c>
      <c r="G42" s="168" t="str">
        <f>Tableau1[[#This Row],[ID-API]]&amp; "." &amp;Tableau1[[#This Row],[ID-RACK]]&amp; "." &amp;Tableau1[[#This Row],[ID-SLOT]]</f>
        <v>9.1.6</v>
      </c>
      <c r="H42" t="s">
        <v>711</v>
      </c>
      <c r="I42" s="30">
        <v>0</v>
      </c>
      <c r="J42" s="30">
        <v>0</v>
      </c>
      <c r="K42" s="30">
        <v>0</v>
      </c>
      <c r="L42" s="30">
        <v>0</v>
      </c>
      <c r="M42" s="30">
        <v>0</v>
      </c>
      <c r="N42" s="30">
        <v>0</v>
      </c>
      <c r="O42" s="220">
        <f>COUNTIFS(Tableau2[Ref-Carte],Tableau1[[#This Row],[Ref-Carte]],Tableau2[TS],INDEX(Tableau6[TS],COLUMN()-COLUMN(Tableau1[[#All],[TS1-T]])+1))</f>
        <v>0</v>
      </c>
      <c r="P42" s="220">
        <f>COUNTIFS(Tableau2[Ref-Carte],Tableau1[[#This Row],[Ref-Carte]],Tableau2[TS],INDEX(Tableau6[TS],COLUMN()-COLUMN(Tableau1[[#All],[TS1-T]])+1))</f>
        <v>8</v>
      </c>
      <c r="Q42" s="220">
        <f>COUNTIFS(Tableau2[Ref-Carte],Tableau1[[#This Row],[Ref-Carte]],Tableau2[TS],INDEX(Tableau6[TS],COLUMN()-COLUMN(Tableau1[[#All],[TS1-T]])+1))</f>
        <v>0</v>
      </c>
      <c r="R42" s="220">
        <f>COUNTIFS(Tableau2[Ref-Carte],Tableau1[[#This Row],[Ref-Carte]],Tableau2[TS],INDEX(Tableau6[TS],COLUMN()-COLUMN(Tableau1[[#All],[TS1-T]])+1))</f>
        <v>0</v>
      </c>
      <c r="S42" s="220">
        <f>COUNTIFS(Tableau2[Ref-Carte],Tableau1[[#This Row],[Ref-Carte]],Tableau2[TS],INDEX(Tableau6[TS],COLUMN()-COLUMN(Tableau1[[#All],[TS1-T]])+1))</f>
        <v>0</v>
      </c>
      <c r="T42" s="220">
        <f>COUNTIFS(Tableau2[Ref-Carte],Tableau1[[#This Row],[Ref-Carte]],Tableau2[TS],INDEX(Tableau6[TS],COLUMN()-COLUMN(Tableau1[[#All],[TS1-T]])+1))</f>
        <v>0</v>
      </c>
      <c r="U42" s="32" t="str">
        <f>IFERROR(Tableau1[[#This Row],[TS1]]/Tableau1[[#This Row],[TS1-T]],"")</f>
        <v/>
      </c>
      <c r="V42" s="32">
        <f>IFERROR(Tableau1[[#This Row],[TS2]]/Tableau1[[#This Row],[TS2-T]],"")</f>
        <v>0</v>
      </c>
      <c r="W42" s="32" t="str">
        <f>IFERROR(Tableau1[[#This Row],[TS3]]/Tableau1[[#This Row],[TS3-T]],"")</f>
        <v/>
      </c>
      <c r="X42" s="32" t="str">
        <f>IFERROR(Tableau1[[#This Row],[TS4]]/Tableau1[[#This Row],[TS4-T]],"")</f>
        <v/>
      </c>
      <c r="Y42" s="32" t="str">
        <f>IFERROR(Tableau1[[#This Row],[TS5]]/Tableau1[[#This Row],[TS5-T]],"")</f>
        <v/>
      </c>
      <c r="Z42" s="32" t="str">
        <f>IFERROR(Tableau1[[#This Row],[TS6]]/Tableau1[[#This Row],[TS6-T]],"")</f>
        <v/>
      </c>
    </row>
    <row r="43" spans="1:26" ht="16.5" thickTop="1" thickBot="1">
      <c r="A43" s="84">
        <v>9</v>
      </c>
      <c r="B43" s="23" t="str">
        <f>INDEX(Tableau7[Repere],MATCH(Tableau1[[#This Row],[ID-API]],Tableau7[ID-API],0))&amp;""</f>
        <v>A9</v>
      </c>
      <c r="C43" s="84">
        <v>1</v>
      </c>
      <c r="D43" t="str">
        <f>"R" &amp; Tableau1[[#This Row],[ID-RACK]]</f>
        <v>R1</v>
      </c>
      <c r="E43" s="84">
        <v>7</v>
      </c>
      <c r="F43" t="str">
        <f>"S" &amp; Tableau1[[#This Row],[ID-SLOT]]</f>
        <v>S7</v>
      </c>
      <c r="G43" s="168" t="str">
        <f>Tableau1[[#This Row],[ID-API]]&amp; "." &amp;Tableau1[[#This Row],[ID-RACK]]&amp; "." &amp;Tableau1[[#This Row],[ID-SLOT]]</f>
        <v>9.1.7</v>
      </c>
      <c r="H43" t="s">
        <v>711</v>
      </c>
      <c r="I43" s="30">
        <v>0</v>
      </c>
      <c r="J43" s="30">
        <v>0</v>
      </c>
      <c r="K43" s="30">
        <v>0</v>
      </c>
      <c r="L43" s="30">
        <v>0</v>
      </c>
      <c r="M43" s="30">
        <v>0</v>
      </c>
      <c r="N43" s="30">
        <v>0</v>
      </c>
      <c r="O43" s="220">
        <f>COUNTIFS(Tableau2[Ref-Carte],Tableau1[[#This Row],[Ref-Carte]],Tableau2[TS],INDEX(Tableau6[TS],COLUMN()-COLUMN(Tableau1[[#All],[TS1-T]])+1))</f>
        <v>0</v>
      </c>
      <c r="P43" s="220">
        <f>COUNTIFS(Tableau2[Ref-Carte],Tableau1[[#This Row],[Ref-Carte]],Tableau2[TS],INDEX(Tableau6[TS],COLUMN()-COLUMN(Tableau1[[#All],[TS1-T]])+1))</f>
        <v>8</v>
      </c>
      <c r="Q43" s="220">
        <f>COUNTIFS(Tableau2[Ref-Carte],Tableau1[[#This Row],[Ref-Carte]],Tableau2[TS],INDEX(Tableau6[TS],COLUMN()-COLUMN(Tableau1[[#All],[TS1-T]])+1))</f>
        <v>0</v>
      </c>
      <c r="R43" s="220">
        <f>COUNTIFS(Tableau2[Ref-Carte],Tableau1[[#This Row],[Ref-Carte]],Tableau2[TS],INDEX(Tableau6[TS],COLUMN()-COLUMN(Tableau1[[#All],[TS1-T]])+1))</f>
        <v>0</v>
      </c>
      <c r="S43" s="220">
        <f>COUNTIFS(Tableau2[Ref-Carte],Tableau1[[#This Row],[Ref-Carte]],Tableau2[TS],INDEX(Tableau6[TS],COLUMN()-COLUMN(Tableau1[[#All],[TS1-T]])+1))</f>
        <v>0</v>
      </c>
      <c r="T43" s="220">
        <f>COUNTIFS(Tableau2[Ref-Carte],Tableau1[[#This Row],[Ref-Carte]],Tableau2[TS],INDEX(Tableau6[TS],COLUMN()-COLUMN(Tableau1[[#All],[TS1-T]])+1))</f>
        <v>0</v>
      </c>
      <c r="U43" s="32" t="str">
        <f>IFERROR(Tableau1[[#This Row],[TS1]]/Tableau1[[#This Row],[TS1-T]],"")</f>
        <v/>
      </c>
      <c r="V43" s="32">
        <f>IFERROR(Tableau1[[#This Row],[TS2]]/Tableau1[[#This Row],[TS2-T]],"")</f>
        <v>0</v>
      </c>
      <c r="W43" s="32" t="str">
        <f>IFERROR(Tableau1[[#This Row],[TS3]]/Tableau1[[#This Row],[TS3-T]],"")</f>
        <v/>
      </c>
      <c r="X43" s="32" t="str">
        <f>IFERROR(Tableau1[[#This Row],[TS4]]/Tableau1[[#This Row],[TS4-T]],"")</f>
        <v/>
      </c>
      <c r="Y43" s="32" t="str">
        <f>IFERROR(Tableau1[[#This Row],[TS5]]/Tableau1[[#This Row],[TS5-T]],"")</f>
        <v/>
      </c>
      <c r="Z43" s="32" t="str">
        <f>IFERROR(Tableau1[[#This Row],[TS6]]/Tableau1[[#This Row],[TS6-T]],"")</f>
        <v/>
      </c>
    </row>
    <row r="44" spans="1:26" ht="16.5" thickTop="1" thickBot="1">
      <c r="A44" s="84">
        <v>9</v>
      </c>
      <c r="B44" s="23" t="str">
        <f>INDEX(Tableau7[Repere],MATCH(Tableau1[[#This Row],[ID-API]],Tableau7[ID-API],0))&amp;""</f>
        <v>A9</v>
      </c>
      <c r="C44" s="84">
        <v>1</v>
      </c>
      <c r="D44" t="str">
        <f>"R" &amp; Tableau1[[#This Row],[ID-RACK]]</f>
        <v>R1</v>
      </c>
      <c r="E44" s="84">
        <v>8</v>
      </c>
      <c r="F44" t="str">
        <f>"S" &amp; Tableau1[[#This Row],[ID-SLOT]]</f>
        <v>S8</v>
      </c>
      <c r="G44" s="168" t="str">
        <f>Tableau1[[#This Row],[ID-API]]&amp; "." &amp;Tableau1[[#This Row],[ID-RACK]]&amp; "." &amp;Tableau1[[#This Row],[ID-SLOT]]</f>
        <v>9.1.8</v>
      </c>
      <c r="H44" t="s">
        <v>711</v>
      </c>
      <c r="I44" s="30">
        <v>0</v>
      </c>
      <c r="J44" s="30">
        <v>0</v>
      </c>
      <c r="K44" s="30">
        <v>0</v>
      </c>
      <c r="L44" s="30">
        <v>0</v>
      </c>
      <c r="M44" s="30">
        <v>0</v>
      </c>
      <c r="N44" s="30">
        <v>0</v>
      </c>
      <c r="O44" s="220">
        <f>COUNTIFS(Tableau2[Ref-Carte],Tableau1[[#This Row],[Ref-Carte]],Tableau2[TS],INDEX(Tableau6[TS],COLUMN()-COLUMN(Tableau1[[#All],[TS1-T]])+1))</f>
        <v>0</v>
      </c>
      <c r="P44" s="220">
        <f>COUNTIFS(Tableau2[Ref-Carte],Tableau1[[#This Row],[Ref-Carte]],Tableau2[TS],INDEX(Tableau6[TS],COLUMN()-COLUMN(Tableau1[[#All],[TS1-T]])+1))</f>
        <v>8</v>
      </c>
      <c r="Q44" s="220">
        <f>COUNTIFS(Tableau2[Ref-Carte],Tableau1[[#This Row],[Ref-Carte]],Tableau2[TS],INDEX(Tableau6[TS],COLUMN()-COLUMN(Tableau1[[#All],[TS1-T]])+1))</f>
        <v>0</v>
      </c>
      <c r="R44" s="220">
        <f>COUNTIFS(Tableau2[Ref-Carte],Tableau1[[#This Row],[Ref-Carte]],Tableau2[TS],INDEX(Tableau6[TS],COLUMN()-COLUMN(Tableau1[[#All],[TS1-T]])+1))</f>
        <v>0</v>
      </c>
      <c r="S44" s="220">
        <f>COUNTIFS(Tableau2[Ref-Carte],Tableau1[[#This Row],[Ref-Carte]],Tableau2[TS],INDEX(Tableau6[TS],COLUMN()-COLUMN(Tableau1[[#All],[TS1-T]])+1))</f>
        <v>0</v>
      </c>
      <c r="T44" s="220">
        <f>COUNTIFS(Tableau2[Ref-Carte],Tableau1[[#This Row],[Ref-Carte]],Tableau2[TS],INDEX(Tableau6[TS],COLUMN()-COLUMN(Tableau1[[#All],[TS1-T]])+1))</f>
        <v>0</v>
      </c>
      <c r="U44" s="32" t="str">
        <f>IFERROR(Tableau1[[#This Row],[TS1]]/Tableau1[[#This Row],[TS1-T]],"")</f>
        <v/>
      </c>
      <c r="V44" s="32">
        <f>IFERROR(Tableau1[[#This Row],[TS2]]/Tableau1[[#This Row],[TS2-T]],"")</f>
        <v>0</v>
      </c>
      <c r="W44" s="32" t="str">
        <f>IFERROR(Tableau1[[#This Row],[TS3]]/Tableau1[[#This Row],[TS3-T]],"")</f>
        <v/>
      </c>
      <c r="X44" s="32" t="str">
        <f>IFERROR(Tableau1[[#This Row],[TS4]]/Tableau1[[#This Row],[TS4-T]],"")</f>
        <v/>
      </c>
      <c r="Y44" s="32" t="str">
        <f>IFERROR(Tableau1[[#This Row],[TS5]]/Tableau1[[#This Row],[TS5-T]],"")</f>
        <v/>
      </c>
      <c r="Z44" s="32" t="str">
        <f>IFERROR(Tableau1[[#This Row],[TS6]]/Tableau1[[#This Row],[TS6-T]],"")</f>
        <v/>
      </c>
    </row>
    <row r="45" spans="1:26" ht="16.5" thickTop="1" thickBot="1">
      <c r="A45" s="84">
        <v>9</v>
      </c>
      <c r="B45" s="23" t="str">
        <f>INDEX(Tableau7[Repere],MATCH(Tableau1[[#This Row],[ID-API]],Tableau7[ID-API],0))&amp;""</f>
        <v>A9</v>
      </c>
      <c r="C45" s="84">
        <v>1</v>
      </c>
      <c r="D45" t="str">
        <f>"R" &amp; Tableau1[[#This Row],[ID-RACK]]</f>
        <v>R1</v>
      </c>
      <c r="E45" s="84">
        <v>9</v>
      </c>
      <c r="F45" t="str">
        <f>"S" &amp; Tableau1[[#This Row],[ID-SLOT]]</f>
        <v>S9</v>
      </c>
      <c r="G45" s="168" t="str">
        <f>Tableau1[[#This Row],[ID-API]]&amp; "." &amp;Tableau1[[#This Row],[ID-RACK]]&amp; "." &amp;Tableau1[[#This Row],[ID-SLOT]]</f>
        <v>9.1.9</v>
      </c>
      <c r="H45" t="s">
        <v>711</v>
      </c>
      <c r="I45" s="30">
        <v>0</v>
      </c>
      <c r="J45" s="30">
        <v>0</v>
      </c>
      <c r="K45" s="30">
        <v>0</v>
      </c>
      <c r="L45" s="30">
        <v>0</v>
      </c>
      <c r="M45" s="30">
        <v>0</v>
      </c>
      <c r="N45" s="30">
        <v>0</v>
      </c>
      <c r="O45" s="220">
        <f>COUNTIFS(Tableau2[Ref-Carte],Tableau1[[#This Row],[Ref-Carte]],Tableau2[TS],INDEX(Tableau6[TS],COLUMN()-COLUMN(Tableau1[[#All],[TS1-T]])+1))</f>
        <v>0</v>
      </c>
      <c r="P45" s="220">
        <f>COUNTIFS(Tableau2[Ref-Carte],Tableau1[[#This Row],[Ref-Carte]],Tableau2[TS],INDEX(Tableau6[TS],COLUMN()-COLUMN(Tableau1[[#All],[TS1-T]])+1))</f>
        <v>8</v>
      </c>
      <c r="Q45" s="220">
        <f>COUNTIFS(Tableau2[Ref-Carte],Tableau1[[#This Row],[Ref-Carte]],Tableau2[TS],INDEX(Tableau6[TS],COLUMN()-COLUMN(Tableau1[[#All],[TS1-T]])+1))</f>
        <v>0</v>
      </c>
      <c r="R45" s="220">
        <f>COUNTIFS(Tableau2[Ref-Carte],Tableau1[[#This Row],[Ref-Carte]],Tableau2[TS],INDEX(Tableau6[TS],COLUMN()-COLUMN(Tableau1[[#All],[TS1-T]])+1))</f>
        <v>0</v>
      </c>
      <c r="S45" s="220">
        <f>COUNTIFS(Tableau2[Ref-Carte],Tableau1[[#This Row],[Ref-Carte]],Tableau2[TS],INDEX(Tableau6[TS],COLUMN()-COLUMN(Tableau1[[#All],[TS1-T]])+1))</f>
        <v>0</v>
      </c>
      <c r="T45" s="220">
        <f>COUNTIFS(Tableau2[Ref-Carte],Tableau1[[#This Row],[Ref-Carte]],Tableau2[TS],INDEX(Tableau6[TS],COLUMN()-COLUMN(Tableau1[[#All],[TS1-T]])+1))</f>
        <v>0</v>
      </c>
      <c r="U45" s="32" t="str">
        <f>IFERROR(Tableau1[[#This Row],[TS1]]/Tableau1[[#This Row],[TS1-T]],"")</f>
        <v/>
      </c>
      <c r="V45" s="32">
        <f>IFERROR(Tableau1[[#This Row],[TS2]]/Tableau1[[#This Row],[TS2-T]],"")</f>
        <v>0</v>
      </c>
      <c r="W45" s="32" t="str">
        <f>IFERROR(Tableau1[[#This Row],[TS3]]/Tableau1[[#This Row],[TS3-T]],"")</f>
        <v/>
      </c>
      <c r="X45" s="32" t="str">
        <f>IFERROR(Tableau1[[#This Row],[TS4]]/Tableau1[[#This Row],[TS4-T]],"")</f>
        <v/>
      </c>
      <c r="Y45" s="32" t="str">
        <f>IFERROR(Tableau1[[#This Row],[TS5]]/Tableau1[[#This Row],[TS5-T]],"")</f>
        <v/>
      </c>
      <c r="Z45" s="32" t="str">
        <f>IFERROR(Tableau1[[#This Row],[TS6]]/Tableau1[[#This Row],[TS6-T]],"")</f>
        <v/>
      </c>
    </row>
    <row r="46" spans="1:26" ht="16.5" thickTop="1" thickBot="1">
      <c r="A46" s="84">
        <v>9</v>
      </c>
      <c r="B46" s="23" t="str">
        <f>INDEX(Tableau7[Repere],MATCH(Tableau1[[#This Row],[ID-API]],Tableau7[ID-API],0))&amp;""</f>
        <v>A9</v>
      </c>
      <c r="C46" s="84">
        <v>1</v>
      </c>
      <c r="D46" t="str">
        <f>"R" &amp; Tableau1[[#This Row],[ID-RACK]]</f>
        <v>R1</v>
      </c>
      <c r="E46" s="84">
        <v>10</v>
      </c>
      <c r="F46" t="str">
        <f>"S" &amp; Tableau1[[#This Row],[ID-SLOT]]</f>
        <v>S10</v>
      </c>
      <c r="G46" s="168" t="str">
        <f>Tableau1[[#This Row],[ID-API]]&amp; "." &amp;Tableau1[[#This Row],[ID-RACK]]&amp; "." &amp;Tableau1[[#This Row],[ID-SLOT]]</f>
        <v>9.1.10</v>
      </c>
      <c r="H46" t="s">
        <v>711</v>
      </c>
      <c r="I46" s="30">
        <v>0</v>
      </c>
      <c r="J46" s="30">
        <v>0</v>
      </c>
      <c r="K46" s="30">
        <v>0</v>
      </c>
      <c r="L46" s="30">
        <v>0</v>
      </c>
      <c r="M46" s="30">
        <v>0</v>
      </c>
      <c r="N46" s="30">
        <v>0</v>
      </c>
      <c r="O46" s="220">
        <f>COUNTIFS(Tableau2[Ref-Carte],Tableau1[[#This Row],[Ref-Carte]],Tableau2[TS],INDEX(Tableau6[TS],COLUMN()-COLUMN(Tableau1[[#All],[TS1-T]])+1))</f>
        <v>0</v>
      </c>
      <c r="P46" s="220">
        <f>COUNTIFS(Tableau2[Ref-Carte],Tableau1[[#This Row],[Ref-Carte]],Tableau2[TS],INDEX(Tableau6[TS],COLUMN()-COLUMN(Tableau1[[#All],[TS1-T]])+1))</f>
        <v>8</v>
      </c>
      <c r="Q46" s="220">
        <f>COUNTIFS(Tableau2[Ref-Carte],Tableau1[[#This Row],[Ref-Carte]],Tableau2[TS],INDEX(Tableau6[TS],COLUMN()-COLUMN(Tableau1[[#All],[TS1-T]])+1))</f>
        <v>0</v>
      </c>
      <c r="R46" s="220">
        <f>COUNTIFS(Tableau2[Ref-Carte],Tableau1[[#This Row],[Ref-Carte]],Tableau2[TS],INDEX(Tableau6[TS],COLUMN()-COLUMN(Tableau1[[#All],[TS1-T]])+1))</f>
        <v>0</v>
      </c>
      <c r="S46" s="220">
        <f>COUNTIFS(Tableau2[Ref-Carte],Tableau1[[#This Row],[Ref-Carte]],Tableau2[TS],INDEX(Tableau6[TS],COLUMN()-COLUMN(Tableau1[[#All],[TS1-T]])+1))</f>
        <v>0</v>
      </c>
      <c r="T46" s="220">
        <f>COUNTIFS(Tableau2[Ref-Carte],Tableau1[[#This Row],[Ref-Carte]],Tableau2[TS],INDEX(Tableau6[TS],COLUMN()-COLUMN(Tableau1[[#All],[TS1-T]])+1))</f>
        <v>0</v>
      </c>
      <c r="U46" s="32" t="str">
        <f>IFERROR(Tableau1[[#This Row],[TS1]]/Tableau1[[#This Row],[TS1-T]],"")</f>
        <v/>
      </c>
      <c r="V46" s="32">
        <f>IFERROR(Tableau1[[#This Row],[TS2]]/Tableau1[[#This Row],[TS2-T]],"")</f>
        <v>0</v>
      </c>
      <c r="W46" s="32" t="str">
        <f>IFERROR(Tableau1[[#This Row],[TS3]]/Tableau1[[#This Row],[TS3-T]],"")</f>
        <v/>
      </c>
      <c r="X46" s="32" t="str">
        <f>IFERROR(Tableau1[[#This Row],[TS4]]/Tableau1[[#This Row],[TS4-T]],"")</f>
        <v/>
      </c>
      <c r="Y46" s="32" t="str">
        <f>IFERROR(Tableau1[[#This Row],[TS5]]/Tableau1[[#This Row],[TS5-T]],"")</f>
        <v/>
      </c>
      <c r="Z46" s="32" t="str">
        <f>IFERROR(Tableau1[[#This Row],[TS6]]/Tableau1[[#This Row],[TS6-T]],"")</f>
        <v/>
      </c>
    </row>
    <row r="47" spans="1:26" ht="16.5" thickTop="1" thickBot="1">
      <c r="A47" s="84">
        <v>9</v>
      </c>
      <c r="B47" s="23" t="str">
        <f>INDEX(Tableau7[Repere],MATCH(Tableau1[[#This Row],[ID-API]],Tableau7[ID-API],0))&amp;""</f>
        <v>A9</v>
      </c>
      <c r="C47" s="84">
        <v>2</v>
      </c>
      <c r="D47" t="str">
        <f>"R" &amp; Tableau1[[#This Row],[ID-RACK]]</f>
        <v>R2</v>
      </c>
      <c r="E47" s="84">
        <v>1</v>
      </c>
      <c r="F47" t="str">
        <f>"S" &amp; Tableau1[[#This Row],[ID-SLOT]]</f>
        <v>S1</v>
      </c>
      <c r="G47" s="168" t="str">
        <f>Tableau1[[#This Row],[ID-API]]&amp; "." &amp;Tableau1[[#This Row],[ID-RACK]]&amp; "." &amp;Tableau1[[#This Row],[ID-SLOT]]</f>
        <v>9.2.1</v>
      </c>
      <c r="H47" t="s">
        <v>711</v>
      </c>
      <c r="I47" s="30">
        <v>0</v>
      </c>
      <c r="J47" s="30">
        <v>0</v>
      </c>
      <c r="K47" s="30">
        <v>0</v>
      </c>
      <c r="L47" s="30">
        <v>0</v>
      </c>
      <c r="M47" s="30">
        <v>0</v>
      </c>
      <c r="N47" s="30">
        <v>0</v>
      </c>
      <c r="O47" s="220">
        <f>COUNTIFS(Tableau2[Ref-Carte],Tableau1[[#This Row],[Ref-Carte]],Tableau2[TS],INDEX(Tableau6[TS],COLUMN()-COLUMN(Tableau1[[#All],[TS1-T]])+1))</f>
        <v>0</v>
      </c>
      <c r="P47" s="220">
        <f>COUNTIFS(Tableau2[Ref-Carte],Tableau1[[#This Row],[Ref-Carte]],Tableau2[TS],INDEX(Tableau6[TS],COLUMN()-COLUMN(Tableau1[[#All],[TS1-T]])+1))</f>
        <v>8</v>
      </c>
      <c r="Q47" s="220">
        <f>COUNTIFS(Tableau2[Ref-Carte],Tableau1[[#This Row],[Ref-Carte]],Tableau2[TS],INDEX(Tableau6[TS],COLUMN()-COLUMN(Tableau1[[#All],[TS1-T]])+1))</f>
        <v>0</v>
      </c>
      <c r="R47" s="220">
        <f>COUNTIFS(Tableau2[Ref-Carte],Tableau1[[#This Row],[Ref-Carte]],Tableau2[TS],INDEX(Tableau6[TS],COLUMN()-COLUMN(Tableau1[[#All],[TS1-T]])+1))</f>
        <v>0</v>
      </c>
      <c r="S47" s="220">
        <f>COUNTIFS(Tableau2[Ref-Carte],Tableau1[[#This Row],[Ref-Carte]],Tableau2[TS],INDEX(Tableau6[TS],COLUMN()-COLUMN(Tableau1[[#All],[TS1-T]])+1))</f>
        <v>0</v>
      </c>
      <c r="T47" s="220">
        <f>COUNTIFS(Tableau2[Ref-Carte],Tableau1[[#This Row],[Ref-Carte]],Tableau2[TS],INDEX(Tableau6[TS],COLUMN()-COLUMN(Tableau1[[#All],[TS1-T]])+1))</f>
        <v>0</v>
      </c>
      <c r="U47" s="32" t="str">
        <f>IFERROR(Tableau1[[#This Row],[TS1]]/Tableau1[[#This Row],[TS1-T]],"")</f>
        <v/>
      </c>
      <c r="V47" s="32">
        <f>IFERROR(Tableau1[[#This Row],[TS2]]/Tableau1[[#This Row],[TS2-T]],"")</f>
        <v>0</v>
      </c>
      <c r="W47" s="32" t="str">
        <f>IFERROR(Tableau1[[#This Row],[TS3]]/Tableau1[[#This Row],[TS3-T]],"")</f>
        <v/>
      </c>
      <c r="X47" s="32" t="str">
        <f>IFERROR(Tableau1[[#This Row],[TS4]]/Tableau1[[#This Row],[TS4-T]],"")</f>
        <v/>
      </c>
      <c r="Y47" s="32" t="str">
        <f>IFERROR(Tableau1[[#This Row],[TS5]]/Tableau1[[#This Row],[TS5-T]],"")</f>
        <v/>
      </c>
      <c r="Z47" s="32" t="str">
        <f>IFERROR(Tableau1[[#This Row],[TS6]]/Tableau1[[#This Row],[TS6-T]],"")</f>
        <v/>
      </c>
    </row>
    <row r="48" spans="1:26" ht="16.5" thickTop="1" thickBot="1">
      <c r="A48" s="84">
        <v>9</v>
      </c>
      <c r="B48" s="23" t="str">
        <f>INDEX(Tableau7[Repere],MATCH(Tableau1[[#This Row],[ID-API]],Tableau7[ID-API],0))&amp;""</f>
        <v>A9</v>
      </c>
      <c r="C48" s="84">
        <v>2</v>
      </c>
      <c r="D48" t="str">
        <f>"R" &amp; Tableau1[[#This Row],[ID-RACK]]</f>
        <v>R2</v>
      </c>
      <c r="E48" s="84">
        <v>2</v>
      </c>
      <c r="F48" t="str">
        <f>"S" &amp; Tableau1[[#This Row],[ID-SLOT]]</f>
        <v>S2</v>
      </c>
      <c r="G48" s="168" t="str">
        <f>Tableau1[[#This Row],[ID-API]]&amp; "." &amp;Tableau1[[#This Row],[ID-RACK]]&amp; "." &amp;Tableau1[[#This Row],[ID-SLOT]]</f>
        <v>9.2.2</v>
      </c>
      <c r="H48" t="s">
        <v>711</v>
      </c>
      <c r="I48" s="30">
        <v>0</v>
      </c>
      <c r="J48" s="30">
        <v>0</v>
      </c>
      <c r="K48" s="30">
        <v>0</v>
      </c>
      <c r="L48" s="30">
        <v>0</v>
      </c>
      <c r="M48" s="30">
        <v>0</v>
      </c>
      <c r="N48" s="30">
        <v>0</v>
      </c>
      <c r="O48" s="220">
        <f>COUNTIFS(Tableau2[Ref-Carte],Tableau1[[#This Row],[Ref-Carte]],Tableau2[TS],INDEX(Tableau6[TS],COLUMN()-COLUMN(Tableau1[[#All],[TS1-T]])+1))</f>
        <v>0</v>
      </c>
      <c r="P48" s="220">
        <f>COUNTIFS(Tableau2[Ref-Carte],Tableau1[[#This Row],[Ref-Carte]],Tableau2[TS],INDEX(Tableau6[TS],COLUMN()-COLUMN(Tableau1[[#All],[TS1-T]])+1))</f>
        <v>8</v>
      </c>
      <c r="Q48" s="220">
        <f>COUNTIFS(Tableau2[Ref-Carte],Tableau1[[#This Row],[Ref-Carte]],Tableau2[TS],INDEX(Tableau6[TS],COLUMN()-COLUMN(Tableau1[[#All],[TS1-T]])+1))</f>
        <v>0</v>
      </c>
      <c r="R48" s="220">
        <f>COUNTIFS(Tableau2[Ref-Carte],Tableau1[[#This Row],[Ref-Carte]],Tableau2[TS],INDEX(Tableau6[TS],COLUMN()-COLUMN(Tableau1[[#All],[TS1-T]])+1))</f>
        <v>0</v>
      </c>
      <c r="S48" s="220">
        <f>COUNTIFS(Tableau2[Ref-Carte],Tableau1[[#This Row],[Ref-Carte]],Tableau2[TS],INDEX(Tableau6[TS],COLUMN()-COLUMN(Tableau1[[#All],[TS1-T]])+1))</f>
        <v>0</v>
      </c>
      <c r="T48" s="220">
        <f>COUNTIFS(Tableau2[Ref-Carte],Tableau1[[#This Row],[Ref-Carte]],Tableau2[TS],INDEX(Tableau6[TS],COLUMN()-COLUMN(Tableau1[[#All],[TS1-T]])+1))</f>
        <v>0</v>
      </c>
      <c r="U48" s="32" t="str">
        <f>IFERROR(Tableau1[[#This Row],[TS1]]/Tableau1[[#This Row],[TS1-T]],"")</f>
        <v/>
      </c>
      <c r="V48" s="32">
        <f>IFERROR(Tableau1[[#This Row],[TS2]]/Tableau1[[#This Row],[TS2-T]],"")</f>
        <v>0</v>
      </c>
      <c r="W48" s="32" t="str">
        <f>IFERROR(Tableau1[[#This Row],[TS3]]/Tableau1[[#This Row],[TS3-T]],"")</f>
        <v/>
      </c>
      <c r="X48" s="32" t="str">
        <f>IFERROR(Tableau1[[#This Row],[TS4]]/Tableau1[[#This Row],[TS4-T]],"")</f>
        <v/>
      </c>
      <c r="Y48" s="32" t="str">
        <f>IFERROR(Tableau1[[#This Row],[TS5]]/Tableau1[[#This Row],[TS5-T]],"")</f>
        <v/>
      </c>
      <c r="Z48" s="32" t="str">
        <f>IFERROR(Tableau1[[#This Row],[TS6]]/Tableau1[[#This Row],[TS6-T]],"")</f>
        <v/>
      </c>
    </row>
    <row r="49" spans="1:26" ht="16.5" thickTop="1" thickBot="1">
      <c r="A49" s="84">
        <v>9</v>
      </c>
      <c r="B49" s="23" t="str">
        <f>INDEX(Tableau7[Repere],MATCH(Tableau1[[#This Row],[ID-API]],Tableau7[ID-API],0))&amp;""</f>
        <v>A9</v>
      </c>
      <c r="C49" s="84">
        <v>2</v>
      </c>
      <c r="D49" t="str">
        <f>"R" &amp; Tableau1[[#This Row],[ID-RACK]]</f>
        <v>R2</v>
      </c>
      <c r="E49" s="84">
        <v>3</v>
      </c>
      <c r="F49" t="str">
        <f>"S" &amp; Tableau1[[#This Row],[ID-SLOT]]</f>
        <v>S3</v>
      </c>
      <c r="G49" s="168" t="str">
        <f>Tableau1[[#This Row],[ID-API]]&amp; "." &amp;Tableau1[[#This Row],[ID-RACK]]&amp; "." &amp;Tableau1[[#This Row],[ID-SLOT]]</f>
        <v>9.2.3</v>
      </c>
      <c r="H49" t="s">
        <v>711</v>
      </c>
      <c r="I49" s="30">
        <v>0</v>
      </c>
      <c r="J49" s="30">
        <v>0</v>
      </c>
      <c r="K49" s="30">
        <v>0</v>
      </c>
      <c r="L49" s="30">
        <v>0</v>
      </c>
      <c r="M49" s="30">
        <v>0</v>
      </c>
      <c r="N49" s="30">
        <v>0</v>
      </c>
      <c r="O49" s="220">
        <f>COUNTIFS(Tableau2[Ref-Carte],Tableau1[[#This Row],[Ref-Carte]],Tableau2[TS],INDEX(Tableau6[TS],COLUMN()-COLUMN(Tableau1[[#All],[TS1-T]])+1))</f>
        <v>0</v>
      </c>
      <c r="P49" s="220">
        <f>COUNTIFS(Tableau2[Ref-Carte],Tableau1[[#This Row],[Ref-Carte]],Tableau2[TS],INDEX(Tableau6[TS],COLUMN()-COLUMN(Tableau1[[#All],[TS1-T]])+1))</f>
        <v>8</v>
      </c>
      <c r="Q49" s="220">
        <f>COUNTIFS(Tableau2[Ref-Carte],Tableau1[[#This Row],[Ref-Carte]],Tableau2[TS],INDEX(Tableau6[TS],COLUMN()-COLUMN(Tableau1[[#All],[TS1-T]])+1))</f>
        <v>0</v>
      </c>
      <c r="R49" s="220">
        <f>COUNTIFS(Tableau2[Ref-Carte],Tableau1[[#This Row],[Ref-Carte]],Tableau2[TS],INDEX(Tableau6[TS],COLUMN()-COLUMN(Tableau1[[#All],[TS1-T]])+1))</f>
        <v>0</v>
      </c>
      <c r="S49" s="220">
        <f>COUNTIFS(Tableau2[Ref-Carte],Tableau1[[#This Row],[Ref-Carte]],Tableau2[TS],INDEX(Tableau6[TS],COLUMN()-COLUMN(Tableau1[[#All],[TS1-T]])+1))</f>
        <v>0</v>
      </c>
      <c r="T49" s="220">
        <f>COUNTIFS(Tableau2[Ref-Carte],Tableau1[[#This Row],[Ref-Carte]],Tableau2[TS],INDEX(Tableau6[TS],COLUMN()-COLUMN(Tableau1[[#All],[TS1-T]])+1))</f>
        <v>0</v>
      </c>
      <c r="U49" s="32" t="str">
        <f>IFERROR(Tableau1[[#This Row],[TS1]]/Tableau1[[#This Row],[TS1-T]],"")</f>
        <v/>
      </c>
      <c r="V49" s="32">
        <f>IFERROR(Tableau1[[#This Row],[TS2]]/Tableau1[[#This Row],[TS2-T]],"")</f>
        <v>0</v>
      </c>
      <c r="W49" s="32" t="str">
        <f>IFERROR(Tableau1[[#This Row],[TS3]]/Tableau1[[#This Row],[TS3-T]],"")</f>
        <v/>
      </c>
      <c r="X49" s="32" t="str">
        <f>IFERROR(Tableau1[[#This Row],[TS4]]/Tableau1[[#This Row],[TS4-T]],"")</f>
        <v/>
      </c>
      <c r="Y49" s="32" t="str">
        <f>IFERROR(Tableau1[[#This Row],[TS5]]/Tableau1[[#This Row],[TS5-T]],"")</f>
        <v/>
      </c>
      <c r="Z49" s="32" t="str">
        <f>IFERROR(Tableau1[[#This Row],[TS6]]/Tableau1[[#This Row],[TS6-T]],"")</f>
        <v/>
      </c>
    </row>
    <row r="50" spans="1:26" ht="16.5" thickTop="1" thickBot="1">
      <c r="A50" s="84">
        <v>9</v>
      </c>
      <c r="B50" s="23" t="str">
        <f>INDEX(Tableau7[Repere],MATCH(Tableau1[[#This Row],[ID-API]],Tableau7[ID-API],0))&amp;""</f>
        <v>A9</v>
      </c>
      <c r="C50" s="84">
        <v>2</v>
      </c>
      <c r="D50" t="str">
        <f>"R" &amp; Tableau1[[#This Row],[ID-RACK]]</f>
        <v>R2</v>
      </c>
      <c r="E50" s="84">
        <v>4</v>
      </c>
      <c r="F50" t="str">
        <f>"S" &amp; Tableau1[[#This Row],[ID-SLOT]]</f>
        <v>S4</v>
      </c>
      <c r="G50" s="168" t="str">
        <f>Tableau1[[#This Row],[ID-API]]&amp; "." &amp;Tableau1[[#This Row],[ID-RACK]]&amp; "." &amp;Tableau1[[#This Row],[ID-SLOT]]</f>
        <v>9.2.4</v>
      </c>
      <c r="H50" t="s">
        <v>710</v>
      </c>
      <c r="I50" s="30">
        <v>0</v>
      </c>
      <c r="J50" s="30">
        <v>0</v>
      </c>
      <c r="K50" s="30">
        <v>0</v>
      </c>
      <c r="L50" s="30">
        <v>0</v>
      </c>
      <c r="M50" s="30">
        <v>0</v>
      </c>
      <c r="N50" s="30">
        <v>0</v>
      </c>
      <c r="O50" s="220">
        <f>COUNTIFS(Tableau2[Ref-Carte],Tableau1[[#This Row],[Ref-Carte]],Tableau2[TS],INDEX(Tableau6[TS],COLUMN()-COLUMN(Tableau1[[#All],[TS1-T]])+1))</f>
        <v>16</v>
      </c>
      <c r="P50" s="220">
        <f>COUNTIFS(Tableau2[Ref-Carte],Tableau1[[#This Row],[Ref-Carte]],Tableau2[TS],INDEX(Tableau6[TS],COLUMN()-COLUMN(Tableau1[[#All],[TS1-T]])+1))</f>
        <v>0</v>
      </c>
      <c r="Q50" s="220">
        <f>COUNTIFS(Tableau2[Ref-Carte],Tableau1[[#This Row],[Ref-Carte]],Tableau2[TS],INDEX(Tableau6[TS],COLUMN()-COLUMN(Tableau1[[#All],[TS1-T]])+1))</f>
        <v>0</v>
      </c>
      <c r="R50" s="220">
        <f>COUNTIFS(Tableau2[Ref-Carte],Tableau1[[#This Row],[Ref-Carte]],Tableau2[TS],INDEX(Tableau6[TS],COLUMN()-COLUMN(Tableau1[[#All],[TS1-T]])+1))</f>
        <v>0</v>
      </c>
      <c r="S50" s="220">
        <f>COUNTIFS(Tableau2[Ref-Carte],Tableau1[[#This Row],[Ref-Carte]],Tableau2[TS],INDEX(Tableau6[TS],COLUMN()-COLUMN(Tableau1[[#All],[TS1-T]])+1))</f>
        <v>0</v>
      </c>
      <c r="T50" s="220">
        <f>COUNTIFS(Tableau2[Ref-Carte],Tableau1[[#This Row],[Ref-Carte]],Tableau2[TS],INDEX(Tableau6[TS],COLUMN()-COLUMN(Tableau1[[#All],[TS1-T]])+1))</f>
        <v>0</v>
      </c>
      <c r="U50" s="32">
        <f>IFERROR(Tableau1[[#This Row],[TS1]]/Tableau1[[#This Row],[TS1-T]],"")</f>
        <v>0</v>
      </c>
      <c r="V50" s="32" t="str">
        <f>IFERROR(Tableau1[[#This Row],[TS2]]/Tableau1[[#This Row],[TS2-T]],"")</f>
        <v/>
      </c>
      <c r="W50" s="32" t="str">
        <f>IFERROR(Tableau1[[#This Row],[TS3]]/Tableau1[[#This Row],[TS3-T]],"")</f>
        <v/>
      </c>
      <c r="X50" s="32" t="str">
        <f>IFERROR(Tableau1[[#This Row],[TS4]]/Tableau1[[#This Row],[TS4-T]],"")</f>
        <v/>
      </c>
      <c r="Y50" s="32" t="str">
        <f>IFERROR(Tableau1[[#This Row],[TS5]]/Tableau1[[#This Row],[TS5-T]],"")</f>
        <v/>
      </c>
      <c r="Z50" s="32" t="str">
        <f>IFERROR(Tableau1[[#This Row],[TS6]]/Tableau1[[#This Row],[TS6-T]],"")</f>
        <v/>
      </c>
    </row>
    <row r="51" spans="1:26" ht="16.5" thickTop="1" thickBot="1">
      <c r="A51" s="84">
        <v>9</v>
      </c>
      <c r="B51" s="23" t="str">
        <f>INDEX(Tableau7[Repere],MATCH(Tableau1[[#This Row],[ID-API]],Tableau7[ID-API],0))&amp;""</f>
        <v>A9</v>
      </c>
      <c r="C51" s="84">
        <v>2</v>
      </c>
      <c r="D51" t="str">
        <f>"R" &amp; Tableau1[[#This Row],[ID-RACK]]</f>
        <v>R2</v>
      </c>
      <c r="E51" s="84">
        <v>5</v>
      </c>
      <c r="F51" t="str">
        <f>"S" &amp; Tableau1[[#This Row],[ID-SLOT]]</f>
        <v>S5</v>
      </c>
      <c r="G51" s="168" t="str">
        <f>Tableau1[[#This Row],[ID-API]]&amp; "." &amp;Tableau1[[#This Row],[ID-RACK]]&amp; "." &amp;Tableau1[[#This Row],[ID-SLOT]]</f>
        <v>9.2.5</v>
      </c>
      <c r="H51" t="s">
        <v>710</v>
      </c>
      <c r="I51" s="30">
        <v>0</v>
      </c>
      <c r="J51" s="30">
        <v>0</v>
      </c>
      <c r="K51" s="30">
        <v>0</v>
      </c>
      <c r="L51" s="30">
        <v>0</v>
      </c>
      <c r="M51" s="30">
        <v>0</v>
      </c>
      <c r="N51" s="30">
        <v>0</v>
      </c>
      <c r="O51" s="220">
        <f>COUNTIFS(Tableau2[Ref-Carte],Tableau1[[#This Row],[Ref-Carte]],Tableau2[TS],INDEX(Tableau6[TS],COLUMN()-COLUMN(Tableau1[[#All],[TS1-T]])+1))</f>
        <v>16</v>
      </c>
      <c r="P51" s="220">
        <f>COUNTIFS(Tableau2[Ref-Carte],Tableau1[[#This Row],[Ref-Carte]],Tableau2[TS],INDEX(Tableau6[TS],COLUMN()-COLUMN(Tableau1[[#All],[TS1-T]])+1))</f>
        <v>0</v>
      </c>
      <c r="Q51" s="220">
        <f>COUNTIFS(Tableau2[Ref-Carte],Tableau1[[#This Row],[Ref-Carte]],Tableau2[TS],INDEX(Tableau6[TS],COLUMN()-COLUMN(Tableau1[[#All],[TS1-T]])+1))</f>
        <v>0</v>
      </c>
      <c r="R51" s="220">
        <f>COUNTIFS(Tableau2[Ref-Carte],Tableau1[[#This Row],[Ref-Carte]],Tableau2[TS],INDEX(Tableau6[TS],COLUMN()-COLUMN(Tableau1[[#All],[TS1-T]])+1))</f>
        <v>0</v>
      </c>
      <c r="S51" s="220">
        <f>COUNTIFS(Tableau2[Ref-Carte],Tableau1[[#This Row],[Ref-Carte]],Tableau2[TS],INDEX(Tableau6[TS],COLUMN()-COLUMN(Tableau1[[#All],[TS1-T]])+1))</f>
        <v>0</v>
      </c>
      <c r="T51" s="220">
        <f>COUNTIFS(Tableau2[Ref-Carte],Tableau1[[#This Row],[Ref-Carte]],Tableau2[TS],INDEX(Tableau6[TS],COLUMN()-COLUMN(Tableau1[[#All],[TS1-T]])+1))</f>
        <v>0</v>
      </c>
      <c r="U51" s="32">
        <f>IFERROR(Tableau1[[#This Row],[TS1]]/Tableau1[[#This Row],[TS1-T]],"")</f>
        <v>0</v>
      </c>
      <c r="V51" s="32" t="str">
        <f>IFERROR(Tableau1[[#This Row],[TS2]]/Tableau1[[#This Row],[TS2-T]],"")</f>
        <v/>
      </c>
      <c r="W51" s="32" t="str">
        <f>IFERROR(Tableau1[[#This Row],[TS3]]/Tableau1[[#This Row],[TS3-T]],"")</f>
        <v/>
      </c>
      <c r="X51" s="32" t="str">
        <f>IFERROR(Tableau1[[#This Row],[TS4]]/Tableau1[[#This Row],[TS4-T]],"")</f>
        <v/>
      </c>
      <c r="Y51" s="32" t="str">
        <f>IFERROR(Tableau1[[#This Row],[TS5]]/Tableau1[[#This Row],[TS5-T]],"")</f>
        <v/>
      </c>
      <c r="Z51" s="32" t="str">
        <f>IFERROR(Tableau1[[#This Row],[TS6]]/Tableau1[[#This Row],[TS6-T]],"")</f>
        <v/>
      </c>
    </row>
    <row r="52" spans="1:26" ht="16.5" thickTop="1" thickBot="1">
      <c r="A52" s="84">
        <v>9</v>
      </c>
      <c r="B52" s="23" t="str">
        <f>INDEX(Tableau7[Repere],MATCH(Tableau1[[#This Row],[ID-API]],Tableau7[ID-API],0))&amp;""</f>
        <v>A9</v>
      </c>
      <c r="C52" s="84">
        <v>2</v>
      </c>
      <c r="D52" t="str">
        <f>"R" &amp; Tableau1[[#This Row],[ID-RACK]]</f>
        <v>R2</v>
      </c>
      <c r="E52" s="84">
        <v>6</v>
      </c>
      <c r="F52" t="str">
        <f>"S" &amp; Tableau1[[#This Row],[ID-SLOT]]</f>
        <v>S6</v>
      </c>
      <c r="G52" s="168" t="str">
        <f>Tableau1[[#This Row],[ID-API]]&amp; "." &amp;Tableau1[[#This Row],[ID-RACK]]&amp; "." &amp;Tableau1[[#This Row],[ID-SLOT]]</f>
        <v>9.2.6</v>
      </c>
      <c r="H52" t="s">
        <v>710</v>
      </c>
      <c r="I52" s="30">
        <v>0</v>
      </c>
      <c r="J52" s="30">
        <v>0</v>
      </c>
      <c r="K52" s="30">
        <v>0</v>
      </c>
      <c r="L52" s="30">
        <v>0</v>
      </c>
      <c r="M52" s="30">
        <v>0</v>
      </c>
      <c r="N52" s="30">
        <v>0</v>
      </c>
      <c r="O52" s="220">
        <f>COUNTIFS(Tableau2[Ref-Carte],Tableau1[[#This Row],[Ref-Carte]],Tableau2[TS],INDEX(Tableau6[TS],COLUMN()-COLUMN(Tableau1[[#All],[TS1-T]])+1))</f>
        <v>16</v>
      </c>
      <c r="P52" s="220">
        <f>COUNTIFS(Tableau2[Ref-Carte],Tableau1[[#This Row],[Ref-Carte]],Tableau2[TS],INDEX(Tableau6[TS],COLUMN()-COLUMN(Tableau1[[#All],[TS1-T]])+1))</f>
        <v>0</v>
      </c>
      <c r="Q52" s="220">
        <f>COUNTIFS(Tableau2[Ref-Carte],Tableau1[[#This Row],[Ref-Carte]],Tableau2[TS],INDEX(Tableau6[TS],COLUMN()-COLUMN(Tableau1[[#All],[TS1-T]])+1))</f>
        <v>0</v>
      </c>
      <c r="R52" s="220">
        <f>COUNTIFS(Tableau2[Ref-Carte],Tableau1[[#This Row],[Ref-Carte]],Tableau2[TS],INDEX(Tableau6[TS],COLUMN()-COLUMN(Tableau1[[#All],[TS1-T]])+1))</f>
        <v>0</v>
      </c>
      <c r="S52" s="220">
        <f>COUNTIFS(Tableau2[Ref-Carte],Tableau1[[#This Row],[Ref-Carte]],Tableau2[TS],INDEX(Tableau6[TS],COLUMN()-COLUMN(Tableau1[[#All],[TS1-T]])+1))</f>
        <v>0</v>
      </c>
      <c r="T52" s="220">
        <f>COUNTIFS(Tableau2[Ref-Carte],Tableau1[[#This Row],[Ref-Carte]],Tableau2[TS],INDEX(Tableau6[TS],COLUMN()-COLUMN(Tableau1[[#All],[TS1-T]])+1))</f>
        <v>0</v>
      </c>
      <c r="U52" s="32">
        <f>IFERROR(Tableau1[[#This Row],[TS1]]/Tableau1[[#This Row],[TS1-T]],"")</f>
        <v>0</v>
      </c>
      <c r="V52" s="32" t="str">
        <f>IFERROR(Tableau1[[#This Row],[TS2]]/Tableau1[[#This Row],[TS2-T]],"")</f>
        <v/>
      </c>
      <c r="W52" s="32" t="str">
        <f>IFERROR(Tableau1[[#This Row],[TS3]]/Tableau1[[#This Row],[TS3-T]],"")</f>
        <v/>
      </c>
      <c r="X52" s="32" t="str">
        <f>IFERROR(Tableau1[[#This Row],[TS4]]/Tableau1[[#This Row],[TS4-T]],"")</f>
        <v/>
      </c>
      <c r="Y52" s="32" t="str">
        <f>IFERROR(Tableau1[[#This Row],[TS5]]/Tableau1[[#This Row],[TS5-T]],"")</f>
        <v/>
      </c>
      <c r="Z52" s="32" t="str">
        <f>IFERROR(Tableau1[[#This Row],[TS6]]/Tableau1[[#This Row],[TS6-T]],"")</f>
        <v/>
      </c>
    </row>
    <row r="53" spans="1:26" ht="16.5" thickTop="1" thickBot="1">
      <c r="A53" s="84">
        <v>9</v>
      </c>
      <c r="B53" s="23" t="str">
        <f>INDEX(Tableau7[Repere],MATCH(Tableau1[[#This Row],[ID-API]],Tableau7[ID-API],0))&amp;""</f>
        <v>A9</v>
      </c>
      <c r="C53" s="84">
        <v>2</v>
      </c>
      <c r="D53" t="str">
        <f>"R" &amp; Tableau1[[#This Row],[ID-RACK]]</f>
        <v>R2</v>
      </c>
      <c r="E53" s="84">
        <v>7</v>
      </c>
      <c r="F53" t="str">
        <f>"S" &amp; Tableau1[[#This Row],[ID-SLOT]]</f>
        <v>S7</v>
      </c>
      <c r="G53" s="168" t="str">
        <f>Tableau1[[#This Row],[ID-API]]&amp; "." &amp;Tableau1[[#This Row],[ID-RACK]]&amp; "." &amp;Tableau1[[#This Row],[ID-SLOT]]</f>
        <v>9.2.7</v>
      </c>
      <c r="H53" t="s">
        <v>710</v>
      </c>
      <c r="I53" s="30">
        <v>0</v>
      </c>
      <c r="J53" s="30">
        <v>0</v>
      </c>
      <c r="K53" s="30">
        <v>0</v>
      </c>
      <c r="L53" s="30">
        <v>0</v>
      </c>
      <c r="M53" s="30">
        <v>0</v>
      </c>
      <c r="N53" s="30">
        <v>0</v>
      </c>
      <c r="O53" s="220">
        <f>COUNTIFS(Tableau2[Ref-Carte],Tableau1[[#This Row],[Ref-Carte]],Tableau2[TS],INDEX(Tableau6[TS],COLUMN()-COLUMN(Tableau1[[#All],[TS1-T]])+1))</f>
        <v>16</v>
      </c>
      <c r="P53" s="220">
        <f>COUNTIFS(Tableau2[Ref-Carte],Tableau1[[#This Row],[Ref-Carte]],Tableau2[TS],INDEX(Tableau6[TS],COLUMN()-COLUMN(Tableau1[[#All],[TS1-T]])+1))</f>
        <v>0</v>
      </c>
      <c r="Q53" s="220">
        <f>COUNTIFS(Tableau2[Ref-Carte],Tableau1[[#This Row],[Ref-Carte]],Tableau2[TS],INDEX(Tableau6[TS],COLUMN()-COLUMN(Tableau1[[#All],[TS1-T]])+1))</f>
        <v>0</v>
      </c>
      <c r="R53" s="220">
        <f>COUNTIFS(Tableau2[Ref-Carte],Tableau1[[#This Row],[Ref-Carte]],Tableau2[TS],INDEX(Tableau6[TS],COLUMN()-COLUMN(Tableau1[[#All],[TS1-T]])+1))</f>
        <v>0</v>
      </c>
      <c r="S53" s="220">
        <f>COUNTIFS(Tableau2[Ref-Carte],Tableau1[[#This Row],[Ref-Carte]],Tableau2[TS],INDEX(Tableau6[TS],COLUMN()-COLUMN(Tableau1[[#All],[TS1-T]])+1))</f>
        <v>0</v>
      </c>
      <c r="T53" s="220">
        <f>COUNTIFS(Tableau2[Ref-Carte],Tableau1[[#This Row],[Ref-Carte]],Tableau2[TS],INDEX(Tableau6[TS],COLUMN()-COLUMN(Tableau1[[#All],[TS1-T]])+1))</f>
        <v>0</v>
      </c>
      <c r="U53" s="32">
        <f>IFERROR(Tableau1[[#This Row],[TS1]]/Tableau1[[#This Row],[TS1-T]],"")</f>
        <v>0</v>
      </c>
      <c r="V53" s="32" t="str">
        <f>IFERROR(Tableau1[[#This Row],[TS2]]/Tableau1[[#This Row],[TS2-T]],"")</f>
        <v/>
      </c>
      <c r="W53" s="32" t="str">
        <f>IFERROR(Tableau1[[#This Row],[TS3]]/Tableau1[[#This Row],[TS3-T]],"")</f>
        <v/>
      </c>
      <c r="X53" s="32" t="str">
        <f>IFERROR(Tableau1[[#This Row],[TS4]]/Tableau1[[#This Row],[TS4-T]],"")</f>
        <v/>
      </c>
      <c r="Y53" s="32" t="str">
        <f>IFERROR(Tableau1[[#This Row],[TS5]]/Tableau1[[#This Row],[TS5-T]],"")</f>
        <v/>
      </c>
      <c r="Z53" s="32" t="str">
        <f>IFERROR(Tableau1[[#This Row],[TS6]]/Tableau1[[#This Row],[TS6-T]],"")</f>
        <v/>
      </c>
    </row>
    <row r="54" spans="1:26" ht="16.5" thickTop="1" thickBot="1">
      <c r="A54" s="84">
        <v>9</v>
      </c>
      <c r="B54" s="23" t="str">
        <f>INDEX(Tableau7[Repere],MATCH(Tableau1[[#This Row],[ID-API]],Tableau7[ID-API],0))&amp;""</f>
        <v>A9</v>
      </c>
      <c r="C54" s="84">
        <v>2</v>
      </c>
      <c r="D54" t="str">
        <f>"R" &amp; Tableau1[[#This Row],[ID-RACK]]</f>
        <v>R2</v>
      </c>
      <c r="E54" s="84">
        <v>8</v>
      </c>
      <c r="F54" t="str">
        <f>"S" &amp; Tableau1[[#This Row],[ID-SLOT]]</f>
        <v>S8</v>
      </c>
      <c r="G54" s="168" t="str">
        <f>Tableau1[[#This Row],[ID-API]]&amp; "." &amp;Tableau1[[#This Row],[ID-RACK]]&amp; "." &amp;Tableau1[[#This Row],[ID-SLOT]]</f>
        <v>9.2.8</v>
      </c>
      <c r="H54" t="s">
        <v>708</v>
      </c>
      <c r="I54" s="30">
        <v>0</v>
      </c>
      <c r="J54" s="30">
        <v>0</v>
      </c>
      <c r="K54" s="30">
        <v>0</v>
      </c>
      <c r="L54" s="30">
        <v>0</v>
      </c>
      <c r="M54" s="30">
        <v>0</v>
      </c>
      <c r="N54" s="30">
        <v>0</v>
      </c>
      <c r="O54" s="220">
        <f>COUNTIFS(Tableau2[Ref-Carte],Tableau1[[#This Row],[Ref-Carte]],Tableau2[TS],INDEX(Tableau6[TS],COLUMN()-COLUMN(Tableau1[[#All],[TS1-T]])+1))</f>
        <v>0</v>
      </c>
      <c r="P54" s="220">
        <f>COUNTIFS(Tableau2[Ref-Carte],Tableau1[[#This Row],[Ref-Carte]],Tableau2[TS],INDEX(Tableau6[TS],COLUMN()-COLUMN(Tableau1[[#All],[TS1-T]])+1))</f>
        <v>8</v>
      </c>
      <c r="Q54" s="220">
        <f>COUNTIFS(Tableau2[Ref-Carte],Tableau1[[#This Row],[Ref-Carte]],Tableau2[TS],INDEX(Tableau6[TS],COLUMN()-COLUMN(Tableau1[[#All],[TS1-T]])+1))</f>
        <v>0</v>
      </c>
      <c r="R54" s="220">
        <f>COUNTIFS(Tableau2[Ref-Carte],Tableau1[[#This Row],[Ref-Carte]],Tableau2[TS],INDEX(Tableau6[TS],COLUMN()-COLUMN(Tableau1[[#All],[TS1-T]])+1))</f>
        <v>0</v>
      </c>
      <c r="S54" s="220">
        <f>COUNTIFS(Tableau2[Ref-Carte],Tableau1[[#This Row],[Ref-Carte]],Tableau2[TS],INDEX(Tableau6[TS],COLUMN()-COLUMN(Tableau1[[#All],[TS1-T]])+1))</f>
        <v>0</v>
      </c>
      <c r="T54" s="220">
        <f>COUNTIFS(Tableau2[Ref-Carte],Tableau1[[#This Row],[Ref-Carte]],Tableau2[TS],INDEX(Tableau6[TS],COLUMN()-COLUMN(Tableau1[[#All],[TS1-T]])+1))</f>
        <v>0</v>
      </c>
      <c r="U54" s="32" t="str">
        <f>IFERROR(Tableau1[[#This Row],[TS1]]/Tableau1[[#This Row],[TS1-T]],"")</f>
        <v/>
      </c>
      <c r="V54" s="32">
        <f>IFERROR(Tableau1[[#This Row],[TS2]]/Tableau1[[#This Row],[TS2-T]],"")</f>
        <v>0</v>
      </c>
      <c r="W54" s="32" t="str">
        <f>IFERROR(Tableau1[[#This Row],[TS3]]/Tableau1[[#This Row],[TS3-T]],"")</f>
        <v/>
      </c>
      <c r="X54" s="32" t="str">
        <f>IFERROR(Tableau1[[#This Row],[TS4]]/Tableau1[[#This Row],[TS4-T]],"")</f>
        <v/>
      </c>
      <c r="Y54" s="32" t="str">
        <f>IFERROR(Tableau1[[#This Row],[TS5]]/Tableau1[[#This Row],[TS5-T]],"")</f>
        <v/>
      </c>
      <c r="Z54" s="32" t="str">
        <f>IFERROR(Tableau1[[#This Row],[TS6]]/Tableau1[[#This Row],[TS6-T]],"")</f>
        <v/>
      </c>
    </row>
    <row r="55" spans="1:26" ht="16.5" thickTop="1" thickBot="1">
      <c r="A55" s="84">
        <v>9</v>
      </c>
      <c r="B55" s="23" t="str">
        <f>INDEX(Tableau7[Repere],MATCH(Tableau1[[#This Row],[ID-API]],Tableau7[ID-API],0))&amp;""</f>
        <v>A9</v>
      </c>
      <c r="C55" s="84">
        <v>2</v>
      </c>
      <c r="D55" t="str">
        <f>"R" &amp; Tableau1[[#This Row],[ID-RACK]]</f>
        <v>R2</v>
      </c>
      <c r="E55" s="84">
        <v>9</v>
      </c>
      <c r="F55" t="str">
        <f>"S" &amp; Tableau1[[#This Row],[ID-SLOT]]</f>
        <v>S9</v>
      </c>
      <c r="G55" s="168" t="str">
        <f>Tableau1[[#This Row],[ID-API]]&amp; "." &amp;Tableau1[[#This Row],[ID-RACK]]&amp; "." &amp;Tableau1[[#This Row],[ID-SLOT]]</f>
        <v>9.2.9</v>
      </c>
      <c r="H55" t="s">
        <v>710</v>
      </c>
      <c r="I55" s="30">
        <v>0</v>
      </c>
      <c r="J55" s="30">
        <v>0</v>
      </c>
      <c r="K55" s="30">
        <v>0</v>
      </c>
      <c r="L55" s="30">
        <v>0</v>
      </c>
      <c r="M55" s="30">
        <v>0</v>
      </c>
      <c r="N55" s="30">
        <v>0</v>
      </c>
      <c r="O55" s="220">
        <f>COUNTIFS(Tableau2[Ref-Carte],Tableau1[[#This Row],[Ref-Carte]],Tableau2[TS],INDEX(Tableau6[TS],COLUMN()-COLUMN(Tableau1[[#All],[TS1-T]])+1))</f>
        <v>16</v>
      </c>
      <c r="P55" s="220">
        <f>COUNTIFS(Tableau2[Ref-Carte],Tableau1[[#This Row],[Ref-Carte]],Tableau2[TS],INDEX(Tableau6[TS],COLUMN()-COLUMN(Tableau1[[#All],[TS1-T]])+1))</f>
        <v>0</v>
      </c>
      <c r="Q55" s="220">
        <f>COUNTIFS(Tableau2[Ref-Carte],Tableau1[[#This Row],[Ref-Carte]],Tableau2[TS],INDEX(Tableau6[TS],COLUMN()-COLUMN(Tableau1[[#All],[TS1-T]])+1))</f>
        <v>0</v>
      </c>
      <c r="R55" s="220">
        <f>COUNTIFS(Tableau2[Ref-Carte],Tableau1[[#This Row],[Ref-Carte]],Tableau2[TS],INDEX(Tableau6[TS],COLUMN()-COLUMN(Tableau1[[#All],[TS1-T]])+1))</f>
        <v>0</v>
      </c>
      <c r="S55" s="220">
        <f>COUNTIFS(Tableau2[Ref-Carte],Tableau1[[#This Row],[Ref-Carte]],Tableau2[TS],INDEX(Tableau6[TS],COLUMN()-COLUMN(Tableau1[[#All],[TS1-T]])+1))</f>
        <v>0</v>
      </c>
      <c r="T55" s="220">
        <f>COUNTIFS(Tableau2[Ref-Carte],Tableau1[[#This Row],[Ref-Carte]],Tableau2[TS],INDEX(Tableau6[TS],COLUMN()-COLUMN(Tableau1[[#All],[TS1-T]])+1))</f>
        <v>0</v>
      </c>
      <c r="U55" s="32">
        <f>IFERROR(Tableau1[[#This Row],[TS1]]/Tableau1[[#This Row],[TS1-T]],"")</f>
        <v>0</v>
      </c>
      <c r="V55" s="32" t="str">
        <f>IFERROR(Tableau1[[#This Row],[TS2]]/Tableau1[[#This Row],[TS2-T]],"")</f>
        <v/>
      </c>
      <c r="W55" s="32" t="str">
        <f>IFERROR(Tableau1[[#This Row],[TS3]]/Tableau1[[#This Row],[TS3-T]],"")</f>
        <v/>
      </c>
      <c r="X55" s="32" t="str">
        <f>IFERROR(Tableau1[[#This Row],[TS4]]/Tableau1[[#This Row],[TS4-T]],"")</f>
        <v/>
      </c>
      <c r="Y55" s="32" t="str">
        <f>IFERROR(Tableau1[[#This Row],[TS5]]/Tableau1[[#This Row],[TS5-T]],"")</f>
        <v/>
      </c>
      <c r="Z55" s="32" t="str">
        <f>IFERROR(Tableau1[[#This Row],[TS6]]/Tableau1[[#This Row],[TS6-T]],"")</f>
        <v/>
      </c>
    </row>
    <row r="56" spans="1:26" ht="16.5" thickTop="1" thickBot="1">
      <c r="A56" s="84">
        <v>9</v>
      </c>
      <c r="B56" s="23" t="str">
        <f>INDEX(Tableau7[Repere],MATCH(Tableau1[[#This Row],[ID-API]],Tableau7[ID-API],0))&amp;""</f>
        <v>A9</v>
      </c>
      <c r="C56" s="84">
        <v>2</v>
      </c>
      <c r="D56" t="str">
        <f>"R" &amp; Tableau1[[#This Row],[ID-RACK]]</f>
        <v>R2</v>
      </c>
      <c r="E56" s="84">
        <v>10</v>
      </c>
      <c r="F56" t="str">
        <f>"S" &amp; Tableau1[[#This Row],[ID-SLOT]]</f>
        <v>S10</v>
      </c>
      <c r="G56" s="168" t="str">
        <f>Tableau1[[#This Row],[ID-API]]&amp; "." &amp;Tableau1[[#This Row],[ID-RACK]]&amp; "." &amp;Tableau1[[#This Row],[ID-SLOT]]</f>
        <v>9.2.10</v>
      </c>
      <c r="H56" t="s">
        <v>710</v>
      </c>
      <c r="I56" s="30">
        <v>0</v>
      </c>
      <c r="J56" s="30">
        <v>0</v>
      </c>
      <c r="K56" s="30">
        <v>0</v>
      </c>
      <c r="L56" s="30">
        <v>0</v>
      </c>
      <c r="M56" s="30">
        <v>0</v>
      </c>
      <c r="N56" s="30">
        <v>0</v>
      </c>
      <c r="O56" s="220">
        <f>COUNTIFS(Tableau2[Ref-Carte],Tableau1[[#This Row],[Ref-Carte]],Tableau2[TS],INDEX(Tableau6[TS],COLUMN()-COLUMN(Tableau1[[#All],[TS1-T]])+1))</f>
        <v>16</v>
      </c>
      <c r="P56" s="220">
        <f>COUNTIFS(Tableau2[Ref-Carte],Tableau1[[#This Row],[Ref-Carte]],Tableau2[TS],INDEX(Tableau6[TS],COLUMN()-COLUMN(Tableau1[[#All],[TS1-T]])+1))</f>
        <v>0</v>
      </c>
      <c r="Q56" s="220">
        <f>COUNTIFS(Tableau2[Ref-Carte],Tableau1[[#This Row],[Ref-Carte]],Tableau2[TS],INDEX(Tableau6[TS],COLUMN()-COLUMN(Tableau1[[#All],[TS1-T]])+1))</f>
        <v>0</v>
      </c>
      <c r="R56" s="220">
        <f>COUNTIFS(Tableau2[Ref-Carte],Tableau1[[#This Row],[Ref-Carte]],Tableau2[TS],INDEX(Tableau6[TS],COLUMN()-COLUMN(Tableau1[[#All],[TS1-T]])+1))</f>
        <v>0</v>
      </c>
      <c r="S56" s="220">
        <f>COUNTIFS(Tableau2[Ref-Carte],Tableau1[[#This Row],[Ref-Carte]],Tableau2[TS],INDEX(Tableau6[TS],COLUMN()-COLUMN(Tableau1[[#All],[TS1-T]])+1))</f>
        <v>0</v>
      </c>
      <c r="T56" s="220">
        <f>COUNTIFS(Tableau2[Ref-Carte],Tableau1[[#This Row],[Ref-Carte]],Tableau2[TS],INDEX(Tableau6[TS],COLUMN()-COLUMN(Tableau1[[#All],[TS1-T]])+1))</f>
        <v>0</v>
      </c>
      <c r="U56" s="32">
        <f>IFERROR(Tableau1[[#This Row],[TS1]]/Tableau1[[#This Row],[TS1-T]],"")</f>
        <v>0</v>
      </c>
      <c r="V56" s="32" t="str">
        <f>IFERROR(Tableau1[[#This Row],[TS2]]/Tableau1[[#This Row],[TS2-T]],"")</f>
        <v/>
      </c>
      <c r="W56" s="32" t="str">
        <f>IFERROR(Tableau1[[#This Row],[TS3]]/Tableau1[[#This Row],[TS3-T]],"")</f>
        <v/>
      </c>
      <c r="X56" s="32" t="str">
        <f>IFERROR(Tableau1[[#This Row],[TS4]]/Tableau1[[#This Row],[TS4-T]],"")</f>
        <v/>
      </c>
      <c r="Y56" s="32" t="str">
        <f>IFERROR(Tableau1[[#This Row],[TS5]]/Tableau1[[#This Row],[TS5-T]],"")</f>
        <v/>
      </c>
      <c r="Z56" s="32" t="str">
        <f>IFERROR(Tableau1[[#This Row],[TS6]]/Tableau1[[#This Row],[TS6-T]],"")</f>
        <v/>
      </c>
    </row>
    <row r="57" spans="1:26" ht="16.5" thickTop="1" thickBot="1">
      <c r="A57" s="84">
        <v>5</v>
      </c>
      <c r="B57" s="23" t="str">
        <f>INDEX(Tableau7[Repere],MATCH(Tableau1[[#This Row],[ID-API]],Tableau7[ID-API],0))&amp;""</f>
        <v>A5</v>
      </c>
      <c r="C57" s="84">
        <v>1</v>
      </c>
      <c r="D57" t="str">
        <f>"R" &amp; Tableau1[[#This Row],[ID-RACK]]</f>
        <v>R1</v>
      </c>
      <c r="E57" s="84">
        <v>3</v>
      </c>
      <c r="F57" t="str">
        <f>"S" &amp; Tableau1[[#This Row],[ID-SLOT]]</f>
        <v>S3</v>
      </c>
      <c r="G57" s="168" t="str">
        <f>Tableau1[[#This Row],[ID-API]]&amp; "." &amp;Tableau1[[#This Row],[ID-RACK]]&amp; "." &amp;Tableau1[[#This Row],[ID-SLOT]]</f>
        <v>5.1.3</v>
      </c>
      <c r="H57" t="s">
        <v>708</v>
      </c>
      <c r="I57" s="30">
        <v>0</v>
      </c>
      <c r="J57" s="30">
        <v>0</v>
      </c>
      <c r="K57" s="30">
        <v>0</v>
      </c>
      <c r="L57" s="30">
        <v>0</v>
      </c>
      <c r="M57" s="30">
        <v>0</v>
      </c>
      <c r="N57" s="30">
        <v>0</v>
      </c>
      <c r="O57" s="220">
        <f>COUNTIFS(Tableau2[Ref-Carte],Tableau1[[#This Row],[Ref-Carte]],Tableau2[TS],INDEX(Tableau6[TS],COLUMN()-COLUMN(Tableau1[[#All],[TS1-T]])+1))</f>
        <v>0</v>
      </c>
      <c r="P57" s="220">
        <f>COUNTIFS(Tableau2[Ref-Carte],Tableau1[[#This Row],[Ref-Carte]],Tableau2[TS],INDEX(Tableau6[TS],COLUMN()-COLUMN(Tableau1[[#All],[TS1-T]])+1))</f>
        <v>8</v>
      </c>
      <c r="Q57" s="220">
        <f>COUNTIFS(Tableau2[Ref-Carte],Tableau1[[#This Row],[Ref-Carte]],Tableau2[TS],INDEX(Tableau6[TS],COLUMN()-COLUMN(Tableau1[[#All],[TS1-T]])+1))</f>
        <v>0</v>
      </c>
      <c r="R57" s="220">
        <f>COUNTIFS(Tableau2[Ref-Carte],Tableau1[[#This Row],[Ref-Carte]],Tableau2[TS],INDEX(Tableau6[TS],COLUMN()-COLUMN(Tableau1[[#All],[TS1-T]])+1))</f>
        <v>0</v>
      </c>
      <c r="S57" s="220">
        <f>COUNTIFS(Tableau2[Ref-Carte],Tableau1[[#This Row],[Ref-Carte]],Tableau2[TS],INDEX(Tableau6[TS],COLUMN()-COLUMN(Tableau1[[#All],[TS1-T]])+1))</f>
        <v>0</v>
      </c>
      <c r="T57" s="220">
        <f>COUNTIFS(Tableau2[Ref-Carte],Tableau1[[#This Row],[Ref-Carte]],Tableau2[TS],INDEX(Tableau6[TS],COLUMN()-COLUMN(Tableau1[[#All],[TS1-T]])+1))</f>
        <v>0</v>
      </c>
      <c r="U57" s="32" t="str">
        <f>IFERROR(Tableau1[[#This Row],[TS1]]/Tableau1[[#This Row],[TS1-T]],"")</f>
        <v/>
      </c>
      <c r="V57" s="32">
        <f>IFERROR(Tableau1[[#This Row],[TS2]]/Tableau1[[#This Row],[TS2-T]],"")</f>
        <v>0</v>
      </c>
      <c r="W57" s="32" t="str">
        <f>IFERROR(Tableau1[[#This Row],[TS3]]/Tableau1[[#This Row],[TS3-T]],"")</f>
        <v/>
      </c>
      <c r="X57" s="32" t="str">
        <f>IFERROR(Tableau1[[#This Row],[TS4]]/Tableau1[[#This Row],[TS4-T]],"")</f>
        <v/>
      </c>
      <c r="Y57" s="32" t="str">
        <f>IFERROR(Tableau1[[#This Row],[TS5]]/Tableau1[[#This Row],[TS5-T]],"")</f>
        <v/>
      </c>
      <c r="Z57" s="32" t="str">
        <f>IFERROR(Tableau1[[#This Row],[TS6]]/Tableau1[[#This Row],[TS6-T]],"")</f>
        <v/>
      </c>
    </row>
    <row r="58" spans="1:26" ht="16.5" thickTop="1" thickBot="1">
      <c r="A58" s="84">
        <v>5</v>
      </c>
      <c r="B58" s="23" t="str">
        <f>INDEX(Tableau7[Repere],MATCH(Tableau1[[#This Row],[ID-API]],Tableau7[ID-API],0))&amp;""</f>
        <v>A5</v>
      </c>
      <c r="C58" s="84">
        <v>1</v>
      </c>
      <c r="D58" t="str">
        <f>"R" &amp; Tableau1[[#This Row],[ID-RACK]]</f>
        <v>R1</v>
      </c>
      <c r="E58" s="84">
        <v>4</v>
      </c>
      <c r="F58" t="str">
        <f>"S" &amp; Tableau1[[#This Row],[ID-SLOT]]</f>
        <v>S4</v>
      </c>
      <c r="G58" s="168" t="str">
        <f>Tableau1[[#This Row],[ID-API]]&amp; "." &amp;Tableau1[[#This Row],[ID-RACK]]&amp; "." &amp;Tableau1[[#This Row],[ID-SLOT]]</f>
        <v>5.1.4</v>
      </c>
      <c r="H58" t="s">
        <v>708</v>
      </c>
      <c r="I58" s="30">
        <v>0</v>
      </c>
      <c r="J58" s="30">
        <v>0</v>
      </c>
      <c r="K58" s="30">
        <v>0</v>
      </c>
      <c r="L58" s="30">
        <v>0</v>
      </c>
      <c r="M58" s="30">
        <v>0</v>
      </c>
      <c r="N58" s="30">
        <v>0</v>
      </c>
      <c r="O58" s="220">
        <f>COUNTIFS(Tableau2[Ref-Carte],Tableau1[[#This Row],[Ref-Carte]],Tableau2[TS],INDEX(Tableau6[TS],COLUMN()-COLUMN(Tableau1[[#All],[TS1-T]])+1))</f>
        <v>0</v>
      </c>
      <c r="P58" s="220">
        <f>COUNTIFS(Tableau2[Ref-Carte],Tableau1[[#This Row],[Ref-Carte]],Tableau2[TS],INDEX(Tableau6[TS],COLUMN()-COLUMN(Tableau1[[#All],[TS1-T]])+1))</f>
        <v>8</v>
      </c>
      <c r="Q58" s="220">
        <f>COUNTIFS(Tableau2[Ref-Carte],Tableau1[[#This Row],[Ref-Carte]],Tableau2[TS],INDEX(Tableau6[TS],COLUMN()-COLUMN(Tableau1[[#All],[TS1-T]])+1))</f>
        <v>0</v>
      </c>
      <c r="R58" s="220">
        <f>COUNTIFS(Tableau2[Ref-Carte],Tableau1[[#This Row],[Ref-Carte]],Tableau2[TS],INDEX(Tableau6[TS],COLUMN()-COLUMN(Tableau1[[#All],[TS1-T]])+1))</f>
        <v>0</v>
      </c>
      <c r="S58" s="220">
        <f>COUNTIFS(Tableau2[Ref-Carte],Tableau1[[#This Row],[Ref-Carte]],Tableau2[TS],INDEX(Tableau6[TS],COLUMN()-COLUMN(Tableau1[[#All],[TS1-T]])+1))</f>
        <v>0</v>
      </c>
      <c r="T58" s="220">
        <f>COUNTIFS(Tableau2[Ref-Carte],Tableau1[[#This Row],[Ref-Carte]],Tableau2[TS],INDEX(Tableau6[TS],COLUMN()-COLUMN(Tableau1[[#All],[TS1-T]])+1))</f>
        <v>0</v>
      </c>
      <c r="U58" s="32" t="str">
        <f>IFERROR(Tableau1[[#This Row],[TS1]]/Tableau1[[#This Row],[TS1-T]],"")</f>
        <v/>
      </c>
      <c r="V58" s="32">
        <f>IFERROR(Tableau1[[#This Row],[TS2]]/Tableau1[[#This Row],[TS2-T]],"")</f>
        <v>0</v>
      </c>
      <c r="W58" s="32" t="str">
        <f>IFERROR(Tableau1[[#This Row],[TS3]]/Tableau1[[#This Row],[TS3-T]],"")</f>
        <v/>
      </c>
      <c r="X58" s="32" t="str">
        <f>IFERROR(Tableau1[[#This Row],[TS4]]/Tableau1[[#This Row],[TS4-T]],"")</f>
        <v/>
      </c>
      <c r="Y58" s="32" t="str">
        <f>IFERROR(Tableau1[[#This Row],[TS5]]/Tableau1[[#This Row],[TS5-T]],"")</f>
        <v/>
      </c>
      <c r="Z58" s="32" t="str">
        <f>IFERROR(Tableau1[[#This Row],[TS6]]/Tableau1[[#This Row],[TS6-T]],"")</f>
        <v/>
      </c>
    </row>
    <row r="59" spans="1:26" ht="16.5" thickTop="1" thickBot="1">
      <c r="A59" s="84">
        <v>5</v>
      </c>
      <c r="B59" s="23" t="str">
        <f>INDEX(Tableau7[Repere],MATCH(Tableau1[[#This Row],[ID-API]],Tableau7[ID-API],0))&amp;""</f>
        <v>A5</v>
      </c>
      <c r="C59" s="84">
        <v>1</v>
      </c>
      <c r="D59" t="str">
        <f>"R" &amp; Tableau1[[#This Row],[ID-RACK]]</f>
        <v>R1</v>
      </c>
      <c r="E59" s="84">
        <v>5</v>
      </c>
      <c r="F59" t="str">
        <f>"S" &amp; Tableau1[[#This Row],[ID-SLOT]]</f>
        <v>S5</v>
      </c>
      <c r="G59" s="168" t="str">
        <f>Tableau1[[#This Row],[ID-API]]&amp; "." &amp;Tableau1[[#This Row],[ID-RACK]]&amp; "." &amp;Tableau1[[#This Row],[ID-SLOT]]</f>
        <v>5.1.5</v>
      </c>
      <c r="H59" t="s">
        <v>708</v>
      </c>
      <c r="I59" s="30">
        <v>0</v>
      </c>
      <c r="J59" s="30">
        <v>0</v>
      </c>
      <c r="K59" s="30">
        <v>0</v>
      </c>
      <c r="L59" s="30">
        <v>0</v>
      </c>
      <c r="M59" s="30">
        <v>0</v>
      </c>
      <c r="N59" s="30">
        <v>0</v>
      </c>
      <c r="O59" s="220">
        <f>COUNTIFS(Tableau2[Ref-Carte],Tableau1[[#This Row],[Ref-Carte]],Tableau2[TS],INDEX(Tableau6[TS],COLUMN()-COLUMN(Tableau1[[#All],[TS1-T]])+1))</f>
        <v>0</v>
      </c>
      <c r="P59" s="220">
        <f>COUNTIFS(Tableau2[Ref-Carte],Tableau1[[#This Row],[Ref-Carte]],Tableau2[TS],INDEX(Tableau6[TS],COLUMN()-COLUMN(Tableau1[[#All],[TS1-T]])+1))</f>
        <v>8</v>
      </c>
      <c r="Q59" s="220">
        <f>COUNTIFS(Tableau2[Ref-Carte],Tableau1[[#This Row],[Ref-Carte]],Tableau2[TS],INDEX(Tableau6[TS],COLUMN()-COLUMN(Tableau1[[#All],[TS1-T]])+1))</f>
        <v>0</v>
      </c>
      <c r="R59" s="220">
        <f>COUNTIFS(Tableau2[Ref-Carte],Tableau1[[#This Row],[Ref-Carte]],Tableau2[TS],INDEX(Tableau6[TS],COLUMN()-COLUMN(Tableau1[[#All],[TS1-T]])+1))</f>
        <v>0</v>
      </c>
      <c r="S59" s="220">
        <f>COUNTIFS(Tableau2[Ref-Carte],Tableau1[[#This Row],[Ref-Carte]],Tableau2[TS],INDEX(Tableau6[TS],COLUMN()-COLUMN(Tableau1[[#All],[TS1-T]])+1))</f>
        <v>0</v>
      </c>
      <c r="T59" s="220">
        <f>COUNTIFS(Tableau2[Ref-Carte],Tableau1[[#This Row],[Ref-Carte]],Tableau2[TS],INDEX(Tableau6[TS],COLUMN()-COLUMN(Tableau1[[#All],[TS1-T]])+1))</f>
        <v>0</v>
      </c>
      <c r="U59" s="32" t="str">
        <f>IFERROR(Tableau1[[#This Row],[TS1]]/Tableau1[[#This Row],[TS1-T]],"")</f>
        <v/>
      </c>
      <c r="V59" s="32">
        <f>IFERROR(Tableau1[[#This Row],[TS2]]/Tableau1[[#This Row],[TS2-T]],"")</f>
        <v>0</v>
      </c>
      <c r="W59" s="32" t="str">
        <f>IFERROR(Tableau1[[#This Row],[TS3]]/Tableau1[[#This Row],[TS3-T]],"")</f>
        <v/>
      </c>
      <c r="X59" s="32" t="str">
        <f>IFERROR(Tableau1[[#This Row],[TS4]]/Tableau1[[#This Row],[TS4-T]],"")</f>
        <v/>
      </c>
      <c r="Y59" s="32" t="str">
        <f>IFERROR(Tableau1[[#This Row],[TS5]]/Tableau1[[#This Row],[TS5-T]],"")</f>
        <v/>
      </c>
      <c r="Z59" s="32" t="str">
        <f>IFERROR(Tableau1[[#This Row],[TS6]]/Tableau1[[#This Row],[TS6-T]],"")</f>
        <v/>
      </c>
    </row>
    <row r="60" spans="1:26" ht="16.5" thickTop="1" thickBot="1">
      <c r="A60" s="84">
        <v>5</v>
      </c>
      <c r="B60" s="23" t="str">
        <f>INDEX(Tableau7[Repere],MATCH(Tableau1[[#This Row],[ID-API]],Tableau7[ID-API],0))&amp;""</f>
        <v>A5</v>
      </c>
      <c r="C60" s="84">
        <v>1</v>
      </c>
      <c r="D60" t="str">
        <f>"R" &amp; Tableau1[[#This Row],[ID-RACK]]</f>
        <v>R1</v>
      </c>
      <c r="E60" s="84">
        <v>6</v>
      </c>
      <c r="F60" t="str">
        <f>"S" &amp; Tableau1[[#This Row],[ID-SLOT]]</f>
        <v>S6</v>
      </c>
      <c r="G60" s="168" t="str">
        <f>Tableau1[[#This Row],[ID-API]]&amp; "." &amp;Tableau1[[#This Row],[ID-RACK]]&amp; "." &amp;Tableau1[[#This Row],[ID-SLOT]]</f>
        <v>5.1.6</v>
      </c>
      <c r="H60" t="s">
        <v>710</v>
      </c>
      <c r="I60" s="30">
        <v>0</v>
      </c>
      <c r="J60" s="30">
        <v>0</v>
      </c>
      <c r="K60" s="30">
        <v>0</v>
      </c>
      <c r="L60" s="30">
        <v>0</v>
      </c>
      <c r="M60" s="30">
        <v>0</v>
      </c>
      <c r="N60" s="30">
        <v>0</v>
      </c>
      <c r="O60" s="220">
        <f>COUNTIFS(Tableau2[Ref-Carte],Tableau1[[#This Row],[Ref-Carte]],Tableau2[TS],INDEX(Tableau6[TS],COLUMN()-COLUMN(Tableau1[[#All],[TS1-T]])+1))</f>
        <v>16</v>
      </c>
      <c r="P60" s="220">
        <f>COUNTIFS(Tableau2[Ref-Carte],Tableau1[[#This Row],[Ref-Carte]],Tableau2[TS],INDEX(Tableau6[TS],COLUMN()-COLUMN(Tableau1[[#All],[TS1-T]])+1))</f>
        <v>0</v>
      </c>
      <c r="Q60" s="220">
        <f>COUNTIFS(Tableau2[Ref-Carte],Tableau1[[#This Row],[Ref-Carte]],Tableau2[TS],INDEX(Tableau6[TS],COLUMN()-COLUMN(Tableau1[[#All],[TS1-T]])+1))</f>
        <v>0</v>
      </c>
      <c r="R60" s="220">
        <f>COUNTIFS(Tableau2[Ref-Carte],Tableau1[[#This Row],[Ref-Carte]],Tableau2[TS],INDEX(Tableau6[TS],COLUMN()-COLUMN(Tableau1[[#All],[TS1-T]])+1))</f>
        <v>0</v>
      </c>
      <c r="S60" s="220">
        <f>COUNTIFS(Tableau2[Ref-Carte],Tableau1[[#This Row],[Ref-Carte]],Tableau2[TS],INDEX(Tableau6[TS],COLUMN()-COLUMN(Tableau1[[#All],[TS1-T]])+1))</f>
        <v>0</v>
      </c>
      <c r="T60" s="220">
        <f>COUNTIFS(Tableau2[Ref-Carte],Tableau1[[#This Row],[Ref-Carte]],Tableau2[TS],INDEX(Tableau6[TS],COLUMN()-COLUMN(Tableau1[[#All],[TS1-T]])+1))</f>
        <v>0</v>
      </c>
      <c r="U60" s="32">
        <f>IFERROR(Tableau1[[#This Row],[TS1]]/Tableau1[[#This Row],[TS1-T]],"")</f>
        <v>0</v>
      </c>
      <c r="V60" s="32" t="str">
        <f>IFERROR(Tableau1[[#This Row],[TS2]]/Tableau1[[#This Row],[TS2-T]],"")</f>
        <v/>
      </c>
      <c r="W60" s="32" t="str">
        <f>IFERROR(Tableau1[[#This Row],[TS3]]/Tableau1[[#This Row],[TS3-T]],"")</f>
        <v/>
      </c>
      <c r="X60" s="32" t="str">
        <f>IFERROR(Tableau1[[#This Row],[TS4]]/Tableau1[[#This Row],[TS4-T]],"")</f>
        <v/>
      </c>
      <c r="Y60" s="32" t="str">
        <f>IFERROR(Tableau1[[#This Row],[TS5]]/Tableau1[[#This Row],[TS5-T]],"")</f>
        <v/>
      </c>
      <c r="Z60" s="32" t="str">
        <f>IFERROR(Tableau1[[#This Row],[TS6]]/Tableau1[[#This Row],[TS6-T]],"")</f>
        <v/>
      </c>
    </row>
    <row r="61" spans="1:26" ht="16.5" thickTop="1" thickBot="1">
      <c r="A61" s="84">
        <v>5</v>
      </c>
      <c r="B61" s="23" t="str">
        <f>INDEX(Tableau7[Repere],MATCH(Tableau1[[#This Row],[ID-API]],Tableau7[ID-API],0))&amp;""</f>
        <v>A5</v>
      </c>
      <c r="C61" s="84">
        <v>1</v>
      </c>
      <c r="D61" t="str">
        <f>"R" &amp; Tableau1[[#This Row],[ID-RACK]]</f>
        <v>R1</v>
      </c>
      <c r="E61" s="84">
        <v>7</v>
      </c>
      <c r="F61" t="str">
        <f>"S" &amp; Tableau1[[#This Row],[ID-SLOT]]</f>
        <v>S7</v>
      </c>
      <c r="G61" s="168" t="str">
        <f>Tableau1[[#This Row],[ID-API]]&amp; "." &amp;Tableau1[[#This Row],[ID-RACK]]&amp; "." &amp;Tableau1[[#This Row],[ID-SLOT]]</f>
        <v>5.1.7</v>
      </c>
      <c r="H61" t="s">
        <v>710</v>
      </c>
      <c r="I61" s="30">
        <v>0</v>
      </c>
      <c r="J61" s="30">
        <v>0</v>
      </c>
      <c r="K61" s="30">
        <v>0</v>
      </c>
      <c r="L61" s="30">
        <v>0</v>
      </c>
      <c r="M61" s="30">
        <v>0</v>
      </c>
      <c r="N61" s="30">
        <v>0</v>
      </c>
      <c r="O61" s="220">
        <f>COUNTIFS(Tableau2[Ref-Carte],Tableau1[[#This Row],[Ref-Carte]],Tableau2[TS],INDEX(Tableau6[TS],COLUMN()-COLUMN(Tableau1[[#All],[TS1-T]])+1))</f>
        <v>16</v>
      </c>
      <c r="P61" s="220">
        <f>COUNTIFS(Tableau2[Ref-Carte],Tableau1[[#This Row],[Ref-Carte]],Tableau2[TS],INDEX(Tableau6[TS],COLUMN()-COLUMN(Tableau1[[#All],[TS1-T]])+1))</f>
        <v>0</v>
      </c>
      <c r="Q61" s="220">
        <f>COUNTIFS(Tableau2[Ref-Carte],Tableau1[[#This Row],[Ref-Carte]],Tableau2[TS],INDEX(Tableau6[TS],COLUMN()-COLUMN(Tableau1[[#All],[TS1-T]])+1))</f>
        <v>0</v>
      </c>
      <c r="R61" s="220">
        <f>COUNTIFS(Tableau2[Ref-Carte],Tableau1[[#This Row],[Ref-Carte]],Tableau2[TS],INDEX(Tableau6[TS],COLUMN()-COLUMN(Tableau1[[#All],[TS1-T]])+1))</f>
        <v>0</v>
      </c>
      <c r="S61" s="220">
        <f>COUNTIFS(Tableau2[Ref-Carte],Tableau1[[#This Row],[Ref-Carte]],Tableau2[TS],INDEX(Tableau6[TS],COLUMN()-COLUMN(Tableau1[[#All],[TS1-T]])+1))</f>
        <v>0</v>
      </c>
      <c r="T61" s="220">
        <f>COUNTIFS(Tableau2[Ref-Carte],Tableau1[[#This Row],[Ref-Carte]],Tableau2[TS],INDEX(Tableau6[TS],COLUMN()-COLUMN(Tableau1[[#All],[TS1-T]])+1))</f>
        <v>0</v>
      </c>
      <c r="U61" s="32">
        <f>IFERROR(Tableau1[[#This Row],[TS1]]/Tableau1[[#This Row],[TS1-T]],"")</f>
        <v>0</v>
      </c>
      <c r="V61" s="32" t="str">
        <f>IFERROR(Tableau1[[#This Row],[TS2]]/Tableau1[[#This Row],[TS2-T]],"")</f>
        <v/>
      </c>
      <c r="W61" s="32" t="str">
        <f>IFERROR(Tableau1[[#This Row],[TS3]]/Tableau1[[#This Row],[TS3-T]],"")</f>
        <v/>
      </c>
      <c r="X61" s="32" t="str">
        <f>IFERROR(Tableau1[[#This Row],[TS4]]/Tableau1[[#This Row],[TS4-T]],"")</f>
        <v/>
      </c>
      <c r="Y61" s="32" t="str">
        <f>IFERROR(Tableau1[[#This Row],[TS5]]/Tableau1[[#This Row],[TS5-T]],"")</f>
        <v/>
      </c>
      <c r="Z61" s="32" t="str">
        <f>IFERROR(Tableau1[[#This Row],[TS6]]/Tableau1[[#This Row],[TS6-T]],"")</f>
        <v/>
      </c>
    </row>
    <row r="62" spans="1:26" ht="16.5" thickTop="1" thickBot="1">
      <c r="A62" s="84">
        <v>5</v>
      </c>
      <c r="B62" s="23" t="str">
        <f>INDEX(Tableau7[Repere],MATCH(Tableau1[[#This Row],[ID-API]],Tableau7[ID-API],0))&amp;""</f>
        <v>A5</v>
      </c>
      <c r="C62" s="84">
        <v>1</v>
      </c>
      <c r="D62" t="str">
        <f>"R" &amp; Tableau1[[#This Row],[ID-RACK]]</f>
        <v>R1</v>
      </c>
      <c r="E62" s="84">
        <v>8</v>
      </c>
      <c r="F62" t="str">
        <f>"S" &amp; Tableau1[[#This Row],[ID-SLOT]]</f>
        <v>S8</v>
      </c>
      <c r="G62" s="168" t="str">
        <f>Tableau1[[#This Row],[ID-API]]&amp; "." &amp;Tableau1[[#This Row],[ID-RACK]]&amp; "." &amp;Tableau1[[#This Row],[ID-SLOT]]</f>
        <v>5.1.8</v>
      </c>
      <c r="H62" t="s">
        <v>710</v>
      </c>
      <c r="I62" s="30">
        <v>0</v>
      </c>
      <c r="J62" s="30">
        <v>0</v>
      </c>
      <c r="K62" s="30">
        <v>0</v>
      </c>
      <c r="L62" s="30">
        <v>0</v>
      </c>
      <c r="M62" s="30">
        <v>0</v>
      </c>
      <c r="N62" s="30">
        <v>0</v>
      </c>
      <c r="O62" s="220">
        <f>COUNTIFS(Tableau2[Ref-Carte],Tableau1[[#This Row],[Ref-Carte]],Tableau2[TS],INDEX(Tableau6[TS],COLUMN()-COLUMN(Tableau1[[#All],[TS1-T]])+1))</f>
        <v>16</v>
      </c>
      <c r="P62" s="220">
        <f>COUNTIFS(Tableau2[Ref-Carte],Tableau1[[#This Row],[Ref-Carte]],Tableau2[TS],INDEX(Tableau6[TS],COLUMN()-COLUMN(Tableau1[[#All],[TS1-T]])+1))</f>
        <v>0</v>
      </c>
      <c r="Q62" s="220">
        <f>COUNTIFS(Tableau2[Ref-Carte],Tableau1[[#This Row],[Ref-Carte]],Tableau2[TS],INDEX(Tableau6[TS],COLUMN()-COLUMN(Tableau1[[#All],[TS1-T]])+1))</f>
        <v>0</v>
      </c>
      <c r="R62" s="220">
        <f>COUNTIFS(Tableau2[Ref-Carte],Tableau1[[#This Row],[Ref-Carte]],Tableau2[TS],INDEX(Tableau6[TS],COLUMN()-COLUMN(Tableau1[[#All],[TS1-T]])+1))</f>
        <v>0</v>
      </c>
      <c r="S62" s="220">
        <f>COUNTIFS(Tableau2[Ref-Carte],Tableau1[[#This Row],[Ref-Carte]],Tableau2[TS],INDEX(Tableau6[TS],COLUMN()-COLUMN(Tableau1[[#All],[TS1-T]])+1))</f>
        <v>0</v>
      </c>
      <c r="T62" s="220">
        <f>COUNTIFS(Tableau2[Ref-Carte],Tableau1[[#This Row],[Ref-Carte]],Tableau2[TS],INDEX(Tableau6[TS],COLUMN()-COLUMN(Tableau1[[#All],[TS1-T]])+1))</f>
        <v>0</v>
      </c>
      <c r="U62" s="32">
        <f>IFERROR(Tableau1[[#This Row],[TS1]]/Tableau1[[#This Row],[TS1-T]],"")</f>
        <v>0</v>
      </c>
      <c r="V62" s="32" t="str">
        <f>IFERROR(Tableau1[[#This Row],[TS2]]/Tableau1[[#This Row],[TS2-T]],"")</f>
        <v/>
      </c>
      <c r="W62" s="32" t="str">
        <f>IFERROR(Tableau1[[#This Row],[TS3]]/Tableau1[[#This Row],[TS3-T]],"")</f>
        <v/>
      </c>
      <c r="X62" s="32" t="str">
        <f>IFERROR(Tableau1[[#This Row],[TS4]]/Tableau1[[#This Row],[TS4-T]],"")</f>
        <v/>
      </c>
      <c r="Y62" s="32" t="str">
        <f>IFERROR(Tableau1[[#This Row],[TS5]]/Tableau1[[#This Row],[TS5-T]],"")</f>
        <v/>
      </c>
      <c r="Z62" s="32" t="str">
        <f>IFERROR(Tableau1[[#This Row],[TS6]]/Tableau1[[#This Row],[TS6-T]],"")</f>
        <v/>
      </c>
    </row>
    <row r="63" spans="1:26" ht="16.5" thickTop="1" thickBot="1">
      <c r="A63" s="84">
        <v>5</v>
      </c>
      <c r="B63" s="23" t="str">
        <f>INDEX(Tableau7[Repere],MATCH(Tableau1[[#This Row],[ID-API]],Tableau7[ID-API],0))&amp;""</f>
        <v>A5</v>
      </c>
      <c r="C63" s="84">
        <v>1</v>
      </c>
      <c r="D63" t="str">
        <f>"R" &amp; Tableau1[[#This Row],[ID-RACK]]</f>
        <v>R1</v>
      </c>
      <c r="E63" s="84">
        <v>9</v>
      </c>
      <c r="F63" t="str">
        <f>"S" &amp; Tableau1[[#This Row],[ID-SLOT]]</f>
        <v>S9</v>
      </c>
      <c r="G63" s="168" t="str">
        <f>Tableau1[[#This Row],[ID-API]]&amp; "." &amp;Tableau1[[#This Row],[ID-RACK]]&amp; "." &amp;Tableau1[[#This Row],[ID-SLOT]]</f>
        <v>5.1.9</v>
      </c>
      <c r="H63" t="s">
        <v>708</v>
      </c>
      <c r="I63" s="30">
        <v>0</v>
      </c>
      <c r="J63" s="30">
        <v>0</v>
      </c>
      <c r="K63" s="30">
        <v>0</v>
      </c>
      <c r="L63" s="30">
        <v>0</v>
      </c>
      <c r="M63" s="30">
        <v>0</v>
      </c>
      <c r="N63" s="30">
        <v>0</v>
      </c>
      <c r="O63" s="220">
        <f>COUNTIFS(Tableau2[Ref-Carte],Tableau1[[#This Row],[Ref-Carte]],Tableau2[TS],INDEX(Tableau6[TS],COLUMN()-COLUMN(Tableau1[[#All],[TS1-T]])+1))</f>
        <v>0</v>
      </c>
      <c r="P63" s="220">
        <f>COUNTIFS(Tableau2[Ref-Carte],Tableau1[[#This Row],[Ref-Carte]],Tableau2[TS],INDEX(Tableau6[TS],COLUMN()-COLUMN(Tableau1[[#All],[TS1-T]])+1))</f>
        <v>8</v>
      </c>
      <c r="Q63" s="220">
        <f>COUNTIFS(Tableau2[Ref-Carte],Tableau1[[#This Row],[Ref-Carte]],Tableau2[TS],INDEX(Tableau6[TS],COLUMN()-COLUMN(Tableau1[[#All],[TS1-T]])+1))</f>
        <v>0</v>
      </c>
      <c r="R63" s="220">
        <f>COUNTIFS(Tableau2[Ref-Carte],Tableau1[[#This Row],[Ref-Carte]],Tableau2[TS],INDEX(Tableau6[TS],COLUMN()-COLUMN(Tableau1[[#All],[TS1-T]])+1))</f>
        <v>0</v>
      </c>
      <c r="S63" s="220">
        <f>COUNTIFS(Tableau2[Ref-Carte],Tableau1[[#This Row],[Ref-Carte]],Tableau2[TS],INDEX(Tableau6[TS],COLUMN()-COLUMN(Tableau1[[#All],[TS1-T]])+1))</f>
        <v>0</v>
      </c>
      <c r="T63" s="220">
        <f>COUNTIFS(Tableau2[Ref-Carte],Tableau1[[#This Row],[Ref-Carte]],Tableau2[TS],INDEX(Tableau6[TS],COLUMN()-COLUMN(Tableau1[[#All],[TS1-T]])+1))</f>
        <v>0</v>
      </c>
      <c r="U63" s="32" t="str">
        <f>IFERROR(Tableau1[[#This Row],[TS1]]/Tableau1[[#This Row],[TS1-T]],"")</f>
        <v/>
      </c>
      <c r="V63" s="32">
        <f>IFERROR(Tableau1[[#This Row],[TS2]]/Tableau1[[#This Row],[TS2-T]],"")</f>
        <v>0</v>
      </c>
      <c r="W63" s="32" t="str">
        <f>IFERROR(Tableau1[[#This Row],[TS3]]/Tableau1[[#This Row],[TS3-T]],"")</f>
        <v/>
      </c>
      <c r="X63" s="32" t="str">
        <f>IFERROR(Tableau1[[#This Row],[TS4]]/Tableau1[[#This Row],[TS4-T]],"")</f>
        <v/>
      </c>
      <c r="Y63" s="32" t="str">
        <f>IFERROR(Tableau1[[#This Row],[TS5]]/Tableau1[[#This Row],[TS5-T]],"")</f>
        <v/>
      </c>
      <c r="Z63" s="32" t="str">
        <f>IFERROR(Tableau1[[#This Row],[TS6]]/Tableau1[[#This Row],[TS6-T]],"")</f>
        <v/>
      </c>
    </row>
    <row r="64" spans="1:26" ht="16.5" thickTop="1" thickBot="1">
      <c r="A64" s="84">
        <v>5</v>
      </c>
      <c r="B64" s="23" t="str">
        <f>INDEX(Tableau7[Repere],MATCH(Tableau1[[#This Row],[ID-API]],Tableau7[ID-API],0))&amp;""</f>
        <v>A5</v>
      </c>
      <c r="C64" s="84">
        <v>1</v>
      </c>
      <c r="D64" t="str">
        <f>"R" &amp; Tableau1[[#This Row],[ID-RACK]]</f>
        <v>R1</v>
      </c>
      <c r="E64" s="84">
        <v>10</v>
      </c>
      <c r="F64" t="str">
        <f>"S" &amp; Tableau1[[#This Row],[ID-SLOT]]</f>
        <v>S10</v>
      </c>
      <c r="G64" s="168" t="str">
        <f>Tableau1[[#This Row],[ID-API]]&amp; "." &amp;Tableau1[[#This Row],[ID-RACK]]&amp; "." &amp;Tableau1[[#This Row],[ID-SLOT]]</f>
        <v>5.1.10</v>
      </c>
      <c r="H64" t="s">
        <v>708</v>
      </c>
      <c r="I64" s="30">
        <v>0</v>
      </c>
      <c r="J64" s="30">
        <v>0</v>
      </c>
      <c r="K64" s="30">
        <v>0</v>
      </c>
      <c r="L64" s="30">
        <v>0</v>
      </c>
      <c r="M64" s="30">
        <v>0</v>
      </c>
      <c r="N64" s="30">
        <v>0</v>
      </c>
      <c r="O64" s="220">
        <f>COUNTIFS(Tableau2[Ref-Carte],Tableau1[[#This Row],[Ref-Carte]],Tableau2[TS],INDEX(Tableau6[TS],COLUMN()-COLUMN(Tableau1[[#All],[TS1-T]])+1))</f>
        <v>0</v>
      </c>
      <c r="P64" s="220">
        <f>COUNTIFS(Tableau2[Ref-Carte],Tableau1[[#This Row],[Ref-Carte]],Tableau2[TS],INDEX(Tableau6[TS],COLUMN()-COLUMN(Tableau1[[#All],[TS1-T]])+1))</f>
        <v>8</v>
      </c>
      <c r="Q64" s="220">
        <f>COUNTIFS(Tableau2[Ref-Carte],Tableau1[[#This Row],[Ref-Carte]],Tableau2[TS],INDEX(Tableau6[TS],COLUMN()-COLUMN(Tableau1[[#All],[TS1-T]])+1))</f>
        <v>0</v>
      </c>
      <c r="R64" s="220">
        <f>COUNTIFS(Tableau2[Ref-Carte],Tableau1[[#This Row],[Ref-Carte]],Tableau2[TS],INDEX(Tableau6[TS],COLUMN()-COLUMN(Tableau1[[#All],[TS1-T]])+1))</f>
        <v>0</v>
      </c>
      <c r="S64" s="220">
        <f>COUNTIFS(Tableau2[Ref-Carte],Tableau1[[#This Row],[Ref-Carte]],Tableau2[TS],INDEX(Tableau6[TS],COLUMN()-COLUMN(Tableau1[[#All],[TS1-T]])+1))</f>
        <v>0</v>
      </c>
      <c r="T64" s="220">
        <f>COUNTIFS(Tableau2[Ref-Carte],Tableau1[[#This Row],[Ref-Carte]],Tableau2[TS],INDEX(Tableau6[TS],COLUMN()-COLUMN(Tableau1[[#All],[TS1-T]])+1))</f>
        <v>0</v>
      </c>
      <c r="U64" s="32" t="str">
        <f>IFERROR(Tableau1[[#This Row],[TS1]]/Tableau1[[#This Row],[TS1-T]],"")</f>
        <v/>
      </c>
      <c r="V64" s="32">
        <f>IFERROR(Tableau1[[#This Row],[TS2]]/Tableau1[[#This Row],[TS2-T]],"")</f>
        <v>0</v>
      </c>
      <c r="W64" s="32" t="str">
        <f>IFERROR(Tableau1[[#This Row],[TS3]]/Tableau1[[#This Row],[TS3-T]],"")</f>
        <v/>
      </c>
      <c r="X64" s="32" t="str">
        <f>IFERROR(Tableau1[[#This Row],[TS4]]/Tableau1[[#This Row],[TS4-T]],"")</f>
        <v/>
      </c>
      <c r="Y64" s="32" t="str">
        <f>IFERROR(Tableau1[[#This Row],[TS5]]/Tableau1[[#This Row],[TS5-T]],"")</f>
        <v/>
      </c>
      <c r="Z64" s="32" t="str">
        <f>IFERROR(Tableau1[[#This Row],[TS6]]/Tableau1[[#This Row],[TS6-T]],"")</f>
        <v/>
      </c>
    </row>
    <row r="65" spans="1:26" ht="16.5" thickTop="1" thickBot="1">
      <c r="A65" s="84">
        <v>5</v>
      </c>
      <c r="B65" s="23" t="str">
        <f>INDEX(Tableau7[Repere],MATCH(Tableau1[[#This Row],[ID-API]],Tableau7[ID-API],0))&amp;""</f>
        <v>A5</v>
      </c>
      <c r="C65" s="84">
        <v>2</v>
      </c>
      <c r="D65" t="str">
        <f>"R" &amp; Tableau1[[#This Row],[ID-RACK]]</f>
        <v>R2</v>
      </c>
      <c r="E65" s="84">
        <v>1</v>
      </c>
      <c r="F65" t="str">
        <f>"S" &amp; Tableau1[[#This Row],[ID-SLOT]]</f>
        <v>S1</v>
      </c>
      <c r="G65" s="168" t="str">
        <f>Tableau1[[#This Row],[ID-API]]&amp; "." &amp;Tableau1[[#This Row],[ID-RACK]]&amp; "." &amp;Tableau1[[#This Row],[ID-SLOT]]</f>
        <v>5.2.1</v>
      </c>
      <c r="H65" t="s">
        <v>708</v>
      </c>
      <c r="I65" s="30">
        <v>0</v>
      </c>
      <c r="J65" s="30">
        <v>0</v>
      </c>
      <c r="K65" s="30">
        <v>0</v>
      </c>
      <c r="L65" s="30">
        <v>0</v>
      </c>
      <c r="M65" s="30">
        <v>0</v>
      </c>
      <c r="N65" s="30">
        <v>0</v>
      </c>
      <c r="O65" s="220">
        <f>COUNTIFS(Tableau2[Ref-Carte],Tableau1[[#This Row],[Ref-Carte]],Tableau2[TS],INDEX(Tableau6[TS],COLUMN()-COLUMN(Tableau1[[#All],[TS1-T]])+1))</f>
        <v>0</v>
      </c>
      <c r="P65" s="220">
        <f>COUNTIFS(Tableau2[Ref-Carte],Tableau1[[#This Row],[Ref-Carte]],Tableau2[TS],INDEX(Tableau6[TS],COLUMN()-COLUMN(Tableau1[[#All],[TS1-T]])+1))</f>
        <v>8</v>
      </c>
      <c r="Q65" s="220">
        <f>COUNTIFS(Tableau2[Ref-Carte],Tableau1[[#This Row],[Ref-Carte]],Tableau2[TS],INDEX(Tableau6[TS],COLUMN()-COLUMN(Tableau1[[#All],[TS1-T]])+1))</f>
        <v>0</v>
      </c>
      <c r="R65" s="220">
        <f>COUNTIFS(Tableau2[Ref-Carte],Tableau1[[#This Row],[Ref-Carte]],Tableau2[TS],INDEX(Tableau6[TS],COLUMN()-COLUMN(Tableau1[[#All],[TS1-T]])+1))</f>
        <v>0</v>
      </c>
      <c r="S65" s="220">
        <f>COUNTIFS(Tableau2[Ref-Carte],Tableau1[[#This Row],[Ref-Carte]],Tableau2[TS],INDEX(Tableau6[TS],COLUMN()-COLUMN(Tableau1[[#All],[TS1-T]])+1))</f>
        <v>0</v>
      </c>
      <c r="T65" s="220">
        <f>COUNTIFS(Tableau2[Ref-Carte],Tableau1[[#This Row],[Ref-Carte]],Tableau2[TS],INDEX(Tableau6[TS],COLUMN()-COLUMN(Tableau1[[#All],[TS1-T]])+1))</f>
        <v>0</v>
      </c>
      <c r="U65" s="32" t="str">
        <f>IFERROR(Tableau1[[#This Row],[TS1]]/Tableau1[[#This Row],[TS1-T]],"")</f>
        <v/>
      </c>
      <c r="V65" s="32">
        <f>IFERROR(Tableau1[[#This Row],[TS2]]/Tableau1[[#This Row],[TS2-T]],"")</f>
        <v>0</v>
      </c>
      <c r="W65" s="32" t="str">
        <f>IFERROR(Tableau1[[#This Row],[TS3]]/Tableau1[[#This Row],[TS3-T]],"")</f>
        <v/>
      </c>
      <c r="X65" s="32" t="str">
        <f>IFERROR(Tableau1[[#This Row],[TS4]]/Tableau1[[#This Row],[TS4-T]],"")</f>
        <v/>
      </c>
      <c r="Y65" s="32" t="str">
        <f>IFERROR(Tableau1[[#This Row],[TS5]]/Tableau1[[#This Row],[TS5-T]],"")</f>
        <v/>
      </c>
      <c r="Z65" s="32" t="str">
        <f>IFERROR(Tableau1[[#This Row],[TS6]]/Tableau1[[#This Row],[TS6-T]],"")</f>
        <v/>
      </c>
    </row>
    <row r="66" spans="1:26" ht="16.5" thickTop="1" thickBot="1">
      <c r="A66" s="84">
        <v>5</v>
      </c>
      <c r="B66" s="23" t="str">
        <f>INDEX(Tableau7[Repere],MATCH(Tableau1[[#This Row],[ID-API]],Tableau7[ID-API],0))&amp;""</f>
        <v>A5</v>
      </c>
      <c r="C66" s="84">
        <v>2</v>
      </c>
      <c r="D66" t="str">
        <f>"R" &amp; Tableau1[[#This Row],[ID-RACK]]</f>
        <v>R2</v>
      </c>
      <c r="E66" s="84">
        <v>2</v>
      </c>
      <c r="F66" t="str">
        <f>"S" &amp; Tableau1[[#This Row],[ID-SLOT]]</f>
        <v>S2</v>
      </c>
      <c r="G66" s="168" t="str">
        <f>Tableau1[[#This Row],[ID-API]]&amp; "." &amp;Tableau1[[#This Row],[ID-RACK]]&amp; "." &amp;Tableau1[[#This Row],[ID-SLOT]]</f>
        <v>5.2.2</v>
      </c>
      <c r="H66" t="s">
        <v>708</v>
      </c>
      <c r="I66" s="30">
        <v>0</v>
      </c>
      <c r="J66" s="30">
        <v>8</v>
      </c>
      <c r="K66" s="30">
        <v>0</v>
      </c>
      <c r="L66" s="30">
        <v>0</v>
      </c>
      <c r="M66" s="30">
        <v>0</v>
      </c>
      <c r="N66" s="30">
        <v>0</v>
      </c>
      <c r="O66" s="220">
        <f>COUNTIFS(Tableau2[Ref-Carte],Tableau1[[#This Row],[Ref-Carte]],Tableau2[TS],INDEX(Tableau6[TS],COLUMN()-COLUMN(Tableau1[[#All],[TS1-T]])+1))</f>
        <v>0</v>
      </c>
      <c r="P66" s="220">
        <f>COUNTIFS(Tableau2[Ref-Carte],Tableau1[[#This Row],[Ref-Carte]],Tableau2[TS],INDEX(Tableau6[TS],COLUMN()-COLUMN(Tableau1[[#All],[TS1-T]])+1))</f>
        <v>8</v>
      </c>
      <c r="Q66" s="220">
        <f>COUNTIFS(Tableau2[Ref-Carte],Tableau1[[#This Row],[Ref-Carte]],Tableau2[TS],INDEX(Tableau6[TS],COLUMN()-COLUMN(Tableau1[[#All],[TS1-T]])+1))</f>
        <v>0</v>
      </c>
      <c r="R66" s="220">
        <f>COUNTIFS(Tableau2[Ref-Carte],Tableau1[[#This Row],[Ref-Carte]],Tableau2[TS],INDEX(Tableau6[TS],COLUMN()-COLUMN(Tableau1[[#All],[TS1-T]])+1))</f>
        <v>0</v>
      </c>
      <c r="S66" s="220">
        <f>COUNTIFS(Tableau2[Ref-Carte],Tableau1[[#This Row],[Ref-Carte]],Tableau2[TS],INDEX(Tableau6[TS],COLUMN()-COLUMN(Tableau1[[#All],[TS1-T]])+1))</f>
        <v>0</v>
      </c>
      <c r="T66" s="220">
        <f>COUNTIFS(Tableau2[Ref-Carte],Tableau1[[#This Row],[Ref-Carte]],Tableau2[TS],INDEX(Tableau6[TS],COLUMN()-COLUMN(Tableau1[[#All],[TS1-T]])+1))</f>
        <v>0</v>
      </c>
      <c r="U66" s="32" t="str">
        <f>IFERROR(Tableau1[[#This Row],[TS1]]/Tableau1[[#This Row],[TS1-T]],"")</f>
        <v/>
      </c>
      <c r="V66" s="32">
        <f>IFERROR(Tableau1[[#This Row],[TS2]]/Tableau1[[#This Row],[TS2-T]],"")</f>
        <v>1</v>
      </c>
      <c r="W66" s="32" t="str">
        <f>IFERROR(Tableau1[[#This Row],[TS3]]/Tableau1[[#This Row],[TS3-T]],"")</f>
        <v/>
      </c>
      <c r="X66" s="32" t="str">
        <f>IFERROR(Tableau1[[#This Row],[TS4]]/Tableau1[[#This Row],[TS4-T]],"")</f>
        <v/>
      </c>
      <c r="Y66" s="32" t="str">
        <f>IFERROR(Tableau1[[#This Row],[TS5]]/Tableau1[[#This Row],[TS5-T]],"")</f>
        <v/>
      </c>
      <c r="Z66" s="32" t="str">
        <f>IFERROR(Tableau1[[#This Row],[TS6]]/Tableau1[[#This Row],[TS6-T]],"")</f>
        <v/>
      </c>
    </row>
    <row r="67" spans="1:26" ht="16.5" thickTop="1" thickBot="1">
      <c r="A67" s="84">
        <v>5</v>
      </c>
      <c r="B67" s="23" t="str">
        <f>INDEX(Tableau7[Repere],MATCH(Tableau1[[#This Row],[ID-API]],Tableau7[ID-API],0))&amp;""</f>
        <v>A5</v>
      </c>
      <c r="C67" s="84">
        <v>2</v>
      </c>
      <c r="D67" t="str">
        <f>"R" &amp; Tableau1[[#This Row],[ID-RACK]]</f>
        <v>R2</v>
      </c>
      <c r="E67" s="84">
        <v>3</v>
      </c>
      <c r="F67" t="str">
        <f>"S" &amp; Tableau1[[#This Row],[ID-SLOT]]</f>
        <v>S3</v>
      </c>
      <c r="G67" s="168" t="str">
        <f>Tableau1[[#This Row],[ID-API]]&amp; "." &amp;Tableau1[[#This Row],[ID-RACK]]&amp; "." &amp;Tableau1[[#This Row],[ID-SLOT]]</f>
        <v>5.2.3</v>
      </c>
      <c r="H67" t="s">
        <v>708</v>
      </c>
      <c r="I67" s="30">
        <v>0</v>
      </c>
      <c r="J67" s="30">
        <v>8</v>
      </c>
      <c r="K67" s="30">
        <v>0</v>
      </c>
      <c r="L67" s="30">
        <v>0</v>
      </c>
      <c r="M67" s="30">
        <v>0</v>
      </c>
      <c r="N67" s="30">
        <v>0</v>
      </c>
      <c r="O67" s="220">
        <f>COUNTIFS(Tableau2[Ref-Carte],Tableau1[[#This Row],[Ref-Carte]],Tableau2[TS],INDEX(Tableau6[TS],COLUMN()-COLUMN(Tableau1[[#All],[TS1-T]])+1))</f>
        <v>0</v>
      </c>
      <c r="P67" s="220">
        <f>COUNTIFS(Tableau2[Ref-Carte],Tableau1[[#This Row],[Ref-Carte]],Tableau2[TS],INDEX(Tableau6[TS],COLUMN()-COLUMN(Tableau1[[#All],[TS1-T]])+1))</f>
        <v>8</v>
      </c>
      <c r="Q67" s="220">
        <f>COUNTIFS(Tableau2[Ref-Carte],Tableau1[[#This Row],[Ref-Carte]],Tableau2[TS],INDEX(Tableau6[TS],COLUMN()-COLUMN(Tableau1[[#All],[TS1-T]])+1))</f>
        <v>0</v>
      </c>
      <c r="R67" s="220">
        <f>COUNTIFS(Tableau2[Ref-Carte],Tableau1[[#This Row],[Ref-Carte]],Tableau2[TS],INDEX(Tableau6[TS],COLUMN()-COLUMN(Tableau1[[#All],[TS1-T]])+1))</f>
        <v>0</v>
      </c>
      <c r="S67" s="220">
        <f>COUNTIFS(Tableau2[Ref-Carte],Tableau1[[#This Row],[Ref-Carte]],Tableau2[TS],INDEX(Tableau6[TS],COLUMN()-COLUMN(Tableau1[[#All],[TS1-T]])+1))</f>
        <v>0</v>
      </c>
      <c r="T67" s="220">
        <f>COUNTIFS(Tableau2[Ref-Carte],Tableau1[[#This Row],[Ref-Carte]],Tableau2[TS],INDEX(Tableau6[TS],COLUMN()-COLUMN(Tableau1[[#All],[TS1-T]])+1))</f>
        <v>0</v>
      </c>
      <c r="U67" s="32" t="str">
        <f>IFERROR(Tableau1[[#This Row],[TS1]]/Tableau1[[#This Row],[TS1-T]],"")</f>
        <v/>
      </c>
      <c r="V67" s="32">
        <f>IFERROR(Tableau1[[#This Row],[TS2]]/Tableau1[[#This Row],[TS2-T]],"")</f>
        <v>1</v>
      </c>
      <c r="W67" s="32" t="str">
        <f>IFERROR(Tableau1[[#This Row],[TS3]]/Tableau1[[#This Row],[TS3-T]],"")</f>
        <v/>
      </c>
      <c r="X67" s="32" t="str">
        <f>IFERROR(Tableau1[[#This Row],[TS4]]/Tableau1[[#This Row],[TS4-T]],"")</f>
        <v/>
      </c>
      <c r="Y67" s="32" t="str">
        <f>IFERROR(Tableau1[[#This Row],[TS5]]/Tableau1[[#This Row],[TS5-T]],"")</f>
        <v/>
      </c>
      <c r="Z67" s="32" t="str">
        <f>IFERROR(Tableau1[[#This Row],[TS6]]/Tableau1[[#This Row],[TS6-T]],"")</f>
        <v/>
      </c>
    </row>
    <row r="68" spans="1:26" ht="16.5" thickTop="1" thickBot="1">
      <c r="A68" s="84">
        <v>5</v>
      </c>
      <c r="B68" s="23" t="str">
        <f>INDEX(Tableau7[Repere],MATCH(Tableau1[[#This Row],[ID-API]],Tableau7[ID-API],0))&amp;""</f>
        <v>A5</v>
      </c>
      <c r="C68" s="84">
        <v>2</v>
      </c>
      <c r="D68" t="str">
        <f>"R" &amp; Tableau1[[#This Row],[ID-RACK]]</f>
        <v>R2</v>
      </c>
      <c r="E68" s="84">
        <v>4</v>
      </c>
      <c r="F68" t="str">
        <f>"S" &amp; Tableau1[[#This Row],[ID-SLOT]]</f>
        <v>S4</v>
      </c>
      <c r="G68" s="168" t="str">
        <f>Tableau1[[#This Row],[ID-API]]&amp; "." &amp;Tableau1[[#This Row],[ID-RACK]]&amp; "." &amp;Tableau1[[#This Row],[ID-SLOT]]</f>
        <v>5.2.4</v>
      </c>
      <c r="H68" t="s">
        <v>710</v>
      </c>
      <c r="I68" s="30">
        <v>0</v>
      </c>
      <c r="J68" s="30">
        <v>0</v>
      </c>
      <c r="K68" s="30">
        <v>0</v>
      </c>
      <c r="L68" s="30">
        <v>0</v>
      </c>
      <c r="M68" s="30">
        <v>0</v>
      </c>
      <c r="N68" s="30">
        <v>0</v>
      </c>
      <c r="O68" s="220">
        <f>COUNTIFS(Tableau2[Ref-Carte],Tableau1[[#This Row],[Ref-Carte]],Tableau2[TS],INDEX(Tableau6[TS],COLUMN()-COLUMN(Tableau1[[#All],[TS1-T]])+1))</f>
        <v>16</v>
      </c>
      <c r="P68" s="220">
        <f>COUNTIFS(Tableau2[Ref-Carte],Tableau1[[#This Row],[Ref-Carte]],Tableau2[TS],INDEX(Tableau6[TS],COLUMN()-COLUMN(Tableau1[[#All],[TS1-T]])+1))</f>
        <v>0</v>
      </c>
      <c r="Q68" s="220">
        <f>COUNTIFS(Tableau2[Ref-Carte],Tableau1[[#This Row],[Ref-Carte]],Tableau2[TS],INDEX(Tableau6[TS],COLUMN()-COLUMN(Tableau1[[#All],[TS1-T]])+1))</f>
        <v>0</v>
      </c>
      <c r="R68" s="220">
        <f>COUNTIFS(Tableau2[Ref-Carte],Tableau1[[#This Row],[Ref-Carte]],Tableau2[TS],INDEX(Tableau6[TS],COLUMN()-COLUMN(Tableau1[[#All],[TS1-T]])+1))</f>
        <v>0</v>
      </c>
      <c r="S68" s="220">
        <f>COUNTIFS(Tableau2[Ref-Carte],Tableau1[[#This Row],[Ref-Carte]],Tableau2[TS],INDEX(Tableau6[TS],COLUMN()-COLUMN(Tableau1[[#All],[TS1-T]])+1))</f>
        <v>0</v>
      </c>
      <c r="T68" s="220">
        <f>COUNTIFS(Tableau2[Ref-Carte],Tableau1[[#This Row],[Ref-Carte]],Tableau2[TS],INDEX(Tableau6[TS],COLUMN()-COLUMN(Tableau1[[#All],[TS1-T]])+1))</f>
        <v>0</v>
      </c>
      <c r="U68" s="32">
        <f>IFERROR(Tableau1[[#This Row],[TS1]]/Tableau1[[#This Row],[TS1-T]],"")</f>
        <v>0</v>
      </c>
      <c r="V68" s="32" t="str">
        <f>IFERROR(Tableau1[[#This Row],[TS2]]/Tableau1[[#This Row],[TS2-T]],"")</f>
        <v/>
      </c>
      <c r="W68" s="32" t="str">
        <f>IFERROR(Tableau1[[#This Row],[TS3]]/Tableau1[[#This Row],[TS3-T]],"")</f>
        <v/>
      </c>
      <c r="X68" s="32" t="str">
        <f>IFERROR(Tableau1[[#This Row],[TS4]]/Tableau1[[#This Row],[TS4-T]],"")</f>
        <v/>
      </c>
      <c r="Y68" s="32" t="str">
        <f>IFERROR(Tableau1[[#This Row],[TS5]]/Tableau1[[#This Row],[TS5-T]],"")</f>
        <v/>
      </c>
      <c r="Z68" s="32" t="str">
        <f>IFERROR(Tableau1[[#This Row],[TS6]]/Tableau1[[#This Row],[TS6-T]],"")</f>
        <v/>
      </c>
    </row>
    <row r="69" spans="1:26" ht="16.5" thickTop="1" thickBot="1">
      <c r="A69" s="84">
        <v>5</v>
      </c>
      <c r="B69" s="23" t="str">
        <f>INDEX(Tableau7[Repere],MATCH(Tableau1[[#This Row],[ID-API]],Tableau7[ID-API],0))&amp;""</f>
        <v>A5</v>
      </c>
      <c r="C69" s="84">
        <v>2</v>
      </c>
      <c r="D69" t="str">
        <f>"R" &amp; Tableau1[[#This Row],[ID-RACK]]</f>
        <v>R2</v>
      </c>
      <c r="E69" s="84">
        <v>5</v>
      </c>
      <c r="F69" t="str">
        <f>"S" &amp; Tableau1[[#This Row],[ID-SLOT]]</f>
        <v>S5</v>
      </c>
      <c r="G69" s="168" t="str">
        <f>Tableau1[[#This Row],[ID-API]]&amp; "." &amp;Tableau1[[#This Row],[ID-RACK]]&amp; "." &amp;Tableau1[[#This Row],[ID-SLOT]]</f>
        <v>5.2.5</v>
      </c>
      <c r="H69" t="s">
        <v>710</v>
      </c>
      <c r="I69" s="30">
        <v>0</v>
      </c>
      <c r="J69" s="30">
        <v>0</v>
      </c>
      <c r="K69" s="30">
        <v>0</v>
      </c>
      <c r="L69" s="30">
        <v>0</v>
      </c>
      <c r="M69" s="30">
        <v>0</v>
      </c>
      <c r="N69" s="30">
        <v>0</v>
      </c>
      <c r="O69" s="220">
        <f>COUNTIFS(Tableau2[Ref-Carte],Tableau1[[#This Row],[Ref-Carte]],Tableau2[TS],INDEX(Tableau6[TS],COLUMN()-COLUMN(Tableau1[[#All],[TS1-T]])+1))</f>
        <v>16</v>
      </c>
      <c r="P69" s="220">
        <f>COUNTIFS(Tableau2[Ref-Carte],Tableau1[[#This Row],[Ref-Carte]],Tableau2[TS],INDEX(Tableau6[TS],COLUMN()-COLUMN(Tableau1[[#All],[TS1-T]])+1))</f>
        <v>0</v>
      </c>
      <c r="Q69" s="220">
        <f>COUNTIFS(Tableau2[Ref-Carte],Tableau1[[#This Row],[Ref-Carte]],Tableau2[TS],INDEX(Tableau6[TS],COLUMN()-COLUMN(Tableau1[[#All],[TS1-T]])+1))</f>
        <v>0</v>
      </c>
      <c r="R69" s="220">
        <f>COUNTIFS(Tableau2[Ref-Carte],Tableau1[[#This Row],[Ref-Carte]],Tableau2[TS],INDEX(Tableau6[TS],COLUMN()-COLUMN(Tableau1[[#All],[TS1-T]])+1))</f>
        <v>0</v>
      </c>
      <c r="S69" s="220">
        <f>COUNTIFS(Tableau2[Ref-Carte],Tableau1[[#This Row],[Ref-Carte]],Tableau2[TS],INDEX(Tableau6[TS],COLUMN()-COLUMN(Tableau1[[#All],[TS1-T]])+1))</f>
        <v>0</v>
      </c>
      <c r="T69" s="220">
        <f>COUNTIFS(Tableau2[Ref-Carte],Tableau1[[#This Row],[Ref-Carte]],Tableau2[TS],INDEX(Tableau6[TS],COLUMN()-COLUMN(Tableau1[[#All],[TS1-T]])+1))</f>
        <v>0</v>
      </c>
      <c r="U69" s="32">
        <f>IFERROR(Tableau1[[#This Row],[TS1]]/Tableau1[[#This Row],[TS1-T]],"")</f>
        <v>0</v>
      </c>
      <c r="V69" s="32" t="str">
        <f>IFERROR(Tableau1[[#This Row],[TS2]]/Tableau1[[#This Row],[TS2-T]],"")</f>
        <v/>
      </c>
      <c r="W69" s="32" t="str">
        <f>IFERROR(Tableau1[[#This Row],[TS3]]/Tableau1[[#This Row],[TS3-T]],"")</f>
        <v/>
      </c>
      <c r="X69" s="32" t="str">
        <f>IFERROR(Tableau1[[#This Row],[TS4]]/Tableau1[[#This Row],[TS4-T]],"")</f>
        <v/>
      </c>
      <c r="Y69" s="32" t="str">
        <f>IFERROR(Tableau1[[#This Row],[TS5]]/Tableau1[[#This Row],[TS5-T]],"")</f>
        <v/>
      </c>
      <c r="Z69" s="32" t="str">
        <f>IFERROR(Tableau1[[#This Row],[TS6]]/Tableau1[[#This Row],[TS6-T]],"")</f>
        <v/>
      </c>
    </row>
    <row r="70" spans="1:26" ht="16.5" thickTop="1" thickBot="1">
      <c r="A70" s="84">
        <v>5</v>
      </c>
      <c r="B70" s="23" t="str">
        <f>INDEX(Tableau7[Repere],MATCH(Tableau1[[#This Row],[ID-API]],Tableau7[ID-API],0))&amp;""</f>
        <v>A5</v>
      </c>
      <c r="C70" s="84">
        <v>2</v>
      </c>
      <c r="D70" t="str">
        <f>"R" &amp; Tableau1[[#This Row],[ID-RACK]]</f>
        <v>R2</v>
      </c>
      <c r="E70" s="84">
        <v>6</v>
      </c>
      <c r="F70" t="str">
        <f>"S" &amp; Tableau1[[#This Row],[ID-SLOT]]</f>
        <v>S6</v>
      </c>
      <c r="G70" s="168" t="str">
        <f>Tableau1[[#This Row],[ID-API]]&amp; "." &amp;Tableau1[[#This Row],[ID-RACK]]&amp; "." &amp;Tableau1[[#This Row],[ID-SLOT]]</f>
        <v>5.2.6</v>
      </c>
      <c r="H70" t="s">
        <v>710</v>
      </c>
      <c r="I70" s="30">
        <v>0</v>
      </c>
      <c r="J70" s="30">
        <v>0</v>
      </c>
      <c r="K70" s="30">
        <v>0</v>
      </c>
      <c r="L70" s="30">
        <v>0</v>
      </c>
      <c r="M70" s="30">
        <v>0</v>
      </c>
      <c r="N70" s="30">
        <v>0</v>
      </c>
      <c r="O70" s="220">
        <f>COUNTIFS(Tableau2[Ref-Carte],Tableau1[[#This Row],[Ref-Carte]],Tableau2[TS],INDEX(Tableau6[TS],COLUMN()-COLUMN(Tableau1[[#All],[TS1-T]])+1))</f>
        <v>16</v>
      </c>
      <c r="P70" s="220">
        <f>COUNTIFS(Tableau2[Ref-Carte],Tableau1[[#This Row],[Ref-Carte]],Tableau2[TS],INDEX(Tableau6[TS],COLUMN()-COLUMN(Tableau1[[#All],[TS1-T]])+1))</f>
        <v>0</v>
      </c>
      <c r="Q70" s="220">
        <f>COUNTIFS(Tableau2[Ref-Carte],Tableau1[[#This Row],[Ref-Carte]],Tableau2[TS],INDEX(Tableau6[TS],COLUMN()-COLUMN(Tableau1[[#All],[TS1-T]])+1))</f>
        <v>0</v>
      </c>
      <c r="R70" s="220">
        <f>COUNTIFS(Tableau2[Ref-Carte],Tableau1[[#This Row],[Ref-Carte]],Tableau2[TS],INDEX(Tableau6[TS],COLUMN()-COLUMN(Tableau1[[#All],[TS1-T]])+1))</f>
        <v>0</v>
      </c>
      <c r="S70" s="220">
        <f>COUNTIFS(Tableau2[Ref-Carte],Tableau1[[#This Row],[Ref-Carte]],Tableau2[TS],INDEX(Tableau6[TS],COLUMN()-COLUMN(Tableau1[[#All],[TS1-T]])+1))</f>
        <v>0</v>
      </c>
      <c r="T70" s="220">
        <f>COUNTIFS(Tableau2[Ref-Carte],Tableau1[[#This Row],[Ref-Carte]],Tableau2[TS],INDEX(Tableau6[TS],COLUMN()-COLUMN(Tableau1[[#All],[TS1-T]])+1))</f>
        <v>0</v>
      </c>
      <c r="U70" s="32">
        <f>IFERROR(Tableau1[[#This Row],[TS1]]/Tableau1[[#This Row],[TS1-T]],"")</f>
        <v>0</v>
      </c>
      <c r="V70" s="32" t="str">
        <f>IFERROR(Tableau1[[#This Row],[TS2]]/Tableau1[[#This Row],[TS2-T]],"")</f>
        <v/>
      </c>
      <c r="W70" s="32" t="str">
        <f>IFERROR(Tableau1[[#This Row],[TS3]]/Tableau1[[#This Row],[TS3-T]],"")</f>
        <v/>
      </c>
      <c r="X70" s="32" t="str">
        <f>IFERROR(Tableau1[[#This Row],[TS4]]/Tableau1[[#This Row],[TS4-T]],"")</f>
        <v/>
      </c>
      <c r="Y70" s="32" t="str">
        <f>IFERROR(Tableau1[[#This Row],[TS5]]/Tableau1[[#This Row],[TS5-T]],"")</f>
        <v/>
      </c>
      <c r="Z70" s="32" t="str">
        <f>IFERROR(Tableau1[[#This Row],[TS6]]/Tableau1[[#This Row],[TS6-T]],"")</f>
        <v/>
      </c>
    </row>
    <row r="71" spans="1:26" ht="16.5" thickTop="1" thickBot="1">
      <c r="A71" s="84">
        <v>5</v>
      </c>
      <c r="B71" s="23" t="str">
        <f>INDEX(Tableau7[Repere],MATCH(Tableau1[[#This Row],[ID-API]],Tableau7[ID-API],0))&amp;""</f>
        <v>A5</v>
      </c>
      <c r="C71" s="84">
        <v>2</v>
      </c>
      <c r="D71" t="str">
        <f>"R" &amp; Tableau1[[#This Row],[ID-RACK]]</f>
        <v>R2</v>
      </c>
      <c r="E71" s="84">
        <v>7</v>
      </c>
      <c r="F71" t="str">
        <f>"S" &amp; Tableau1[[#This Row],[ID-SLOT]]</f>
        <v>S7</v>
      </c>
      <c r="G71" s="168" t="str">
        <f>Tableau1[[#This Row],[ID-API]]&amp; "." &amp;Tableau1[[#This Row],[ID-RACK]]&amp; "." &amp;Tableau1[[#This Row],[ID-SLOT]]</f>
        <v>5.2.7</v>
      </c>
      <c r="H71" t="s">
        <v>710</v>
      </c>
      <c r="I71" s="30">
        <v>0</v>
      </c>
      <c r="J71" s="30">
        <v>0</v>
      </c>
      <c r="K71" s="30">
        <v>0</v>
      </c>
      <c r="L71" s="30">
        <v>0</v>
      </c>
      <c r="M71" s="30">
        <v>0</v>
      </c>
      <c r="N71" s="30">
        <v>0</v>
      </c>
      <c r="O71" s="220">
        <f>COUNTIFS(Tableau2[Ref-Carte],Tableau1[[#This Row],[Ref-Carte]],Tableau2[TS],INDEX(Tableau6[TS],COLUMN()-COLUMN(Tableau1[[#All],[TS1-T]])+1))</f>
        <v>16</v>
      </c>
      <c r="P71" s="220">
        <f>COUNTIFS(Tableau2[Ref-Carte],Tableau1[[#This Row],[Ref-Carte]],Tableau2[TS],INDEX(Tableau6[TS],COLUMN()-COLUMN(Tableau1[[#All],[TS1-T]])+1))</f>
        <v>0</v>
      </c>
      <c r="Q71" s="220">
        <f>COUNTIFS(Tableau2[Ref-Carte],Tableau1[[#This Row],[Ref-Carte]],Tableau2[TS],INDEX(Tableau6[TS],COLUMN()-COLUMN(Tableau1[[#All],[TS1-T]])+1))</f>
        <v>0</v>
      </c>
      <c r="R71" s="220">
        <f>COUNTIFS(Tableau2[Ref-Carte],Tableau1[[#This Row],[Ref-Carte]],Tableau2[TS],INDEX(Tableau6[TS],COLUMN()-COLUMN(Tableau1[[#All],[TS1-T]])+1))</f>
        <v>0</v>
      </c>
      <c r="S71" s="220">
        <f>COUNTIFS(Tableau2[Ref-Carte],Tableau1[[#This Row],[Ref-Carte]],Tableau2[TS],INDEX(Tableau6[TS],COLUMN()-COLUMN(Tableau1[[#All],[TS1-T]])+1))</f>
        <v>0</v>
      </c>
      <c r="T71" s="220">
        <f>COUNTIFS(Tableau2[Ref-Carte],Tableau1[[#This Row],[Ref-Carte]],Tableau2[TS],INDEX(Tableau6[TS],COLUMN()-COLUMN(Tableau1[[#All],[TS1-T]])+1))</f>
        <v>0</v>
      </c>
      <c r="U71" s="32">
        <f>IFERROR(Tableau1[[#This Row],[TS1]]/Tableau1[[#This Row],[TS1-T]],"")</f>
        <v>0</v>
      </c>
      <c r="V71" s="32" t="str">
        <f>IFERROR(Tableau1[[#This Row],[TS2]]/Tableau1[[#This Row],[TS2-T]],"")</f>
        <v/>
      </c>
      <c r="W71" s="32" t="str">
        <f>IFERROR(Tableau1[[#This Row],[TS3]]/Tableau1[[#This Row],[TS3-T]],"")</f>
        <v/>
      </c>
      <c r="X71" s="32" t="str">
        <f>IFERROR(Tableau1[[#This Row],[TS4]]/Tableau1[[#This Row],[TS4-T]],"")</f>
        <v/>
      </c>
      <c r="Y71" s="32" t="str">
        <f>IFERROR(Tableau1[[#This Row],[TS5]]/Tableau1[[#This Row],[TS5-T]],"")</f>
        <v/>
      </c>
      <c r="Z71" s="32" t="str">
        <f>IFERROR(Tableau1[[#This Row],[TS6]]/Tableau1[[#This Row],[TS6-T]],"")</f>
        <v/>
      </c>
    </row>
    <row r="72" spans="1:26" ht="16.5" thickTop="1" thickBot="1">
      <c r="A72" s="84">
        <v>5</v>
      </c>
      <c r="B72" s="23" t="str">
        <f>INDEX(Tableau7[Repere],MATCH(Tableau1[[#This Row],[ID-API]],Tableau7[ID-API],0))&amp;""</f>
        <v>A5</v>
      </c>
      <c r="C72" s="84">
        <v>2</v>
      </c>
      <c r="D72" t="str">
        <f>"R" &amp; Tableau1[[#This Row],[ID-RACK]]</f>
        <v>R2</v>
      </c>
      <c r="E72" s="84">
        <v>8</v>
      </c>
      <c r="F72" t="str">
        <f>"S" &amp; Tableau1[[#This Row],[ID-SLOT]]</f>
        <v>S8</v>
      </c>
      <c r="G72" s="168" t="str">
        <f>Tableau1[[#This Row],[ID-API]]&amp; "." &amp;Tableau1[[#This Row],[ID-RACK]]&amp; "." &amp;Tableau1[[#This Row],[ID-SLOT]]</f>
        <v>5.2.8</v>
      </c>
      <c r="H72" t="s">
        <v>710</v>
      </c>
      <c r="I72" s="30">
        <v>0</v>
      </c>
      <c r="J72" s="30">
        <v>0</v>
      </c>
      <c r="K72" s="30">
        <v>0</v>
      </c>
      <c r="L72" s="30">
        <v>0</v>
      </c>
      <c r="M72" s="30">
        <v>0</v>
      </c>
      <c r="N72" s="30">
        <v>0</v>
      </c>
      <c r="O72" s="220">
        <f>COUNTIFS(Tableau2[Ref-Carte],Tableau1[[#This Row],[Ref-Carte]],Tableau2[TS],INDEX(Tableau6[TS],COLUMN()-COLUMN(Tableau1[[#All],[TS1-T]])+1))</f>
        <v>16</v>
      </c>
      <c r="P72" s="220">
        <f>COUNTIFS(Tableau2[Ref-Carte],Tableau1[[#This Row],[Ref-Carte]],Tableau2[TS],INDEX(Tableau6[TS],COLUMN()-COLUMN(Tableau1[[#All],[TS1-T]])+1))</f>
        <v>0</v>
      </c>
      <c r="Q72" s="220">
        <f>COUNTIFS(Tableau2[Ref-Carte],Tableau1[[#This Row],[Ref-Carte]],Tableau2[TS],INDEX(Tableau6[TS],COLUMN()-COLUMN(Tableau1[[#All],[TS1-T]])+1))</f>
        <v>0</v>
      </c>
      <c r="R72" s="220">
        <f>COUNTIFS(Tableau2[Ref-Carte],Tableau1[[#This Row],[Ref-Carte]],Tableau2[TS],INDEX(Tableau6[TS],COLUMN()-COLUMN(Tableau1[[#All],[TS1-T]])+1))</f>
        <v>0</v>
      </c>
      <c r="S72" s="220">
        <f>COUNTIFS(Tableau2[Ref-Carte],Tableau1[[#This Row],[Ref-Carte]],Tableau2[TS],INDEX(Tableau6[TS],COLUMN()-COLUMN(Tableau1[[#All],[TS1-T]])+1))</f>
        <v>0</v>
      </c>
      <c r="T72" s="220">
        <f>COUNTIFS(Tableau2[Ref-Carte],Tableau1[[#This Row],[Ref-Carte]],Tableau2[TS],INDEX(Tableau6[TS],COLUMN()-COLUMN(Tableau1[[#All],[TS1-T]])+1))</f>
        <v>0</v>
      </c>
      <c r="U72" s="32">
        <f>IFERROR(Tableau1[[#This Row],[TS1]]/Tableau1[[#This Row],[TS1-T]],"")</f>
        <v>0</v>
      </c>
      <c r="V72" s="32" t="str">
        <f>IFERROR(Tableau1[[#This Row],[TS2]]/Tableau1[[#This Row],[TS2-T]],"")</f>
        <v/>
      </c>
      <c r="W72" s="32" t="str">
        <f>IFERROR(Tableau1[[#This Row],[TS3]]/Tableau1[[#This Row],[TS3-T]],"")</f>
        <v/>
      </c>
      <c r="X72" s="32" t="str">
        <f>IFERROR(Tableau1[[#This Row],[TS4]]/Tableau1[[#This Row],[TS4-T]],"")</f>
        <v/>
      </c>
      <c r="Y72" s="32" t="str">
        <f>IFERROR(Tableau1[[#This Row],[TS5]]/Tableau1[[#This Row],[TS5-T]],"")</f>
        <v/>
      </c>
      <c r="Z72" s="32" t="str">
        <f>IFERROR(Tableau1[[#This Row],[TS6]]/Tableau1[[#This Row],[TS6-T]],"")</f>
        <v/>
      </c>
    </row>
    <row r="73" spans="1:26" ht="16.5" thickTop="1" thickBot="1">
      <c r="A73" s="84">
        <v>5</v>
      </c>
      <c r="B73" s="23" t="str">
        <f>INDEX(Tableau7[Repere],MATCH(Tableau1[[#This Row],[ID-API]],Tableau7[ID-API],0))&amp;""</f>
        <v>A5</v>
      </c>
      <c r="C73" s="84">
        <v>2</v>
      </c>
      <c r="D73" t="str">
        <f>"R" &amp; Tableau1[[#This Row],[ID-RACK]]</f>
        <v>R2</v>
      </c>
      <c r="E73" s="84">
        <v>9</v>
      </c>
      <c r="F73" t="str">
        <f>"S" &amp; Tableau1[[#This Row],[ID-SLOT]]</f>
        <v>S9</v>
      </c>
      <c r="G73" s="168" t="str">
        <f>Tableau1[[#This Row],[ID-API]]&amp; "." &amp;Tableau1[[#This Row],[ID-RACK]]&amp; "." &amp;Tableau1[[#This Row],[ID-SLOT]]</f>
        <v>5.2.9</v>
      </c>
      <c r="H73" t="s">
        <v>710</v>
      </c>
      <c r="I73" s="30">
        <v>0</v>
      </c>
      <c r="J73" s="30">
        <v>0</v>
      </c>
      <c r="K73" s="30">
        <v>0</v>
      </c>
      <c r="L73" s="30">
        <v>0</v>
      </c>
      <c r="M73" s="30">
        <v>0</v>
      </c>
      <c r="N73" s="30">
        <v>0</v>
      </c>
      <c r="O73" s="220">
        <f>COUNTIFS(Tableau2[Ref-Carte],Tableau1[[#This Row],[Ref-Carte]],Tableau2[TS],INDEX(Tableau6[TS],COLUMN()-COLUMN(Tableau1[[#All],[TS1-T]])+1))</f>
        <v>16</v>
      </c>
      <c r="P73" s="220">
        <f>COUNTIFS(Tableau2[Ref-Carte],Tableau1[[#This Row],[Ref-Carte]],Tableau2[TS],INDEX(Tableau6[TS],COLUMN()-COLUMN(Tableau1[[#All],[TS1-T]])+1))</f>
        <v>0</v>
      </c>
      <c r="Q73" s="220">
        <f>COUNTIFS(Tableau2[Ref-Carte],Tableau1[[#This Row],[Ref-Carte]],Tableau2[TS],INDEX(Tableau6[TS],COLUMN()-COLUMN(Tableau1[[#All],[TS1-T]])+1))</f>
        <v>0</v>
      </c>
      <c r="R73" s="220">
        <f>COUNTIFS(Tableau2[Ref-Carte],Tableau1[[#This Row],[Ref-Carte]],Tableau2[TS],INDEX(Tableau6[TS],COLUMN()-COLUMN(Tableau1[[#All],[TS1-T]])+1))</f>
        <v>0</v>
      </c>
      <c r="S73" s="220">
        <f>COUNTIFS(Tableau2[Ref-Carte],Tableau1[[#This Row],[Ref-Carte]],Tableau2[TS],INDEX(Tableau6[TS],COLUMN()-COLUMN(Tableau1[[#All],[TS1-T]])+1))</f>
        <v>0</v>
      </c>
      <c r="T73" s="220">
        <f>COUNTIFS(Tableau2[Ref-Carte],Tableau1[[#This Row],[Ref-Carte]],Tableau2[TS],INDEX(Tableau6[TS],COLUMN()-COLUMN(Tableau1[[#All],[TS1-T]])+1))</f>
        <v>0</v>
      </c>
      <c r="U73" s="32">
        <f>IFERROR(Tableau1[[#This Row],[TS1]]/Tableau1[[#This Row],[TS1-T]],"")</f>
        <v>0</v>
      </c>
      <c r="V73" s="32" t="str">
        <f>IFERROR(Tableau1[[#This Row],[TS2]]/Tableau1[[#This Row],[TS2-T]],"")</f>
        <v/>
      </c>
      <c r="W73" s="32" t="str">
        <f>IFERROR(Tableau1[[#This Row],[TS3]]/Tableau1[[#This Row],[TS3-T]],"")</f>
        <v/>
      </c>
      <c r="X73" s="32" t="str">
        <f>IFERROR(Tableau1[[#This Row],[TS4]]/Tableau1[[#This Row],[TS4-T]],"")</f>
        <v/>
      </c>
      <c r="Y73" s="32" t="str">
        <f>IFERROR(Tableau1[[#This Row],[TS5]]/Tableau1[[#This Row],[TS5-T]],"")</f>
        <v/>
      </c>
      <c r="Z73" s="32" t="str">
        <f>IFERROR(Tableau1[[#This Row],[TS6]]/Tableau1[[#This Row],[TS6-T]],"")</f>
        <v/>
      </c>
    </row>
    <row r="74" spans="1:26" ht="16.5" thickTop="1" thickBot="1">
      <c r="A74" s="84">
        <v>5</v>
      </c>
      <c r="B74" s="23" t="str">
        <f>INDEX(Tableau7[Repere],MATCH(Tableau1[[#This Row],[ID-API]],Tableau7[ID-API],0))&amp;""</f>
        <v>A5</v>
      </c>
      <c r="C74" s="84">
        <v>2</v>
      </c>
      <c r="D74" t="str">
        <f>"R" &amp; Tableau1[[#This Row],[ID-RACK]]</f>
        <v>R2</v>
      </c>
      <c r="E74" s="84">
        <v>10</v>
      </c>
      <c r="F74" t="str">
        <f>"S" &amp; Tableau1[[#This Row],[ID-SLOT]]</f>
        <v>S10</v>
      </c>
      <c r="G74" s="168" t="str">
        <f>Tableau1[[#This Row],[ID-API]]&amp; "." &amp;Tableau1[[#This Row],[ID-RACK]]&amp; "." &amp;Tableau1[[#This Row],[ID-SLOT]]</f>
        <v>5.2.10</v>
      </c>
      <c r="H74" t="s">
        <v>710</v>
      </c>
      <c r="I74" s="30">
        <v>0</v>
      </c>
      <c r="J74" s="30">
        <v>0</v>
      </c>
      <c r="K74" s="30">
        <v>0</v>
      </c>
      <c r="L74" s="30">
        <v>0</v>
      </c>
      <c r="M74" s="30">
        <v>0</v>
      </c>
      <c r="N74" s="30">
        <v>0</v>
      </c>
      <c r="O74" s="220">
        <f>COUNTIFS(Tableau2[Ref-Carte],Tableau1[[#This Row],[Ref-Carte]],Tableau2[TS],INDEX(Tableau6[TS],COLUMN()-COLUMN(Tableau1[[#All],[TS1-T]])+1))</f>
        <v>16</v>
      </c>
      <c r="P74" s="220">
        <f>COUNTIFS(Tableau2[Ref-Carte],Tableau1[[#This Row],[Ref-Carte]],Tableau2[TS],INDEX(Tableau6[TS],COLUMN()-COLUMN(Tableau1[[#All],[TS1-T]])+1))</f>
        <v>0</v>
      </c>
      <c r="Q74" s="220">
        <f>COUNTIFS(Tableau2[Ref-Carte],Tableau1[[#This Row],[Ref-Carte]],Tableau2[TS],INDEX(Tableau6[TS],COLUMN()-COLUMN(Tableau1[[#All],[TS1-T]])+1))</f>
        <v>0</v>
      </c>
      <c r="R74" s="220">
        <f>COUNTIFS(Tableau2[Ref-Carte],Tableau1[[#This Row],[Ref-Carte]],Tableau2[TS],INDEX(Tableau6[TS],COLUMN()-COLUMN(Tableau1[[#All],[TS1-T]])+1))</f>
        <v>0</v>
      </c>
      <c r="S74" s="220">
        <f>COUNTIFS(Tableau2[Ref-Carte],Tableau1[[#This Row],[Ref-Carte]],Tableau2[TS],INDEX(Tableau6[TS],COLUMN()-COLUMN(Tableau1[[#All],[TS1-T]])+1))</f>
        <v>0</v>
      </c>
      <c r="T74" s="220">
        <f>COUNTIFS(Tableau2[Ref-Carte],Tableau1[[#This Row],[Ref-Carte]],Tableau2[TS],INDEX(Tableau6[TS],COLUMN()-COLUMN(Tableau1[[#All],[TS1-T]])+1))</f>
        <v>0</v>
      </c>
      <c r="U74" s="32">
        <f>IFERROR(Tableau1[[#This Row],[TS1]]/Tableau1[[#This Row],[TS1-T]],"")</f>
        <v>0</v>
      </c>
      <c r="V74" s="32" t="str">
        <f>IFERROR(Tableau1[[#This Row],[TS2]]/Tableau1[[#This Row],[TS2-T]],"")</f>
        <v/>
      </c>
      <c r="W74" s="32" t="str">
        <f>IFERROR(Tableau1[[#This Row],[TS3]]/Tableau1[[#This Row],[TS3-T]],"")</f>
        <v/>
      </c>
      <c r="X74" s="32" t="str">
        <f>IFERROR(Tableau1[[#This Row],[TS4]]/Tableau1[[#This Row],[TS4-T]],"")</f>
        <v/>
      </c>
      <c r="Y74" s="32" t="str">
        <f>IFERROR(Tableau1[[#This Row],[TS5]]/Tableau1[[#This Row],[TS5-T]],"")</f>
        <v/>
      </c>
      <c r="Z74" s="32" t="str">
        <f>IFERROR(Tableau1[[#This Row],[TS6]]/Tableau1[[#This Row],[TS6-T]],"")</f>
        <v/>
      </c>
    </row>
    <row r="75" spans="1:26" ht="16.5" thickTop="1" thickBot="1">
      <c r="A75" s="84">
        <v>7</v>
      </c>
      <c r="B75" s="23" t="str">
        <f>INDEX(Tableau7[Repere],MATCH(Tableau1[[#This Row],[ID-API]],Tableau7[ID-API],0))&amp;""</f>
        <v>A7</v>
      </c>
      <c r="C75" s="84">
        <v>1</v>
      </c>
      <c r="D75" t="str">
        <f>"R" &amp; Tableau1[[#This Row],[ID-RACK]]</f>
        <v>R1</v>
      </c>
      <c r="E75" s="84">
        <v>3</v>
      </c>
      <c r="F75" t="str">
        <f>"S" &amp; Tableau1[[#This Row],[ID-SLOT]]</f>
        <v>S3</v>
      </c>
      <c r="G75" s="168" t="str">
        <f>Tableau1[[#This Row],[ID-API]]&amp; "." &amp;Tableau1[[#This Row],[ID-RACK]]&amp; "." &amp;Tableau1[[#This Row],[ID-SLOT]]</f>
        <v>7.1.3</v>
      </c>
      <c r="H75" t="s">
        <v>708</v>
      </c>
      <c r="I75" s="30">
        <v>0</v>
      </c>
      <c r="J75" s="30">
        <v>0</v>
      </c>
      <c r="K75" s="30">
        <v>0</v>
      </c>
      <c r="L75" s="30">
        <v>0</v>
      </c>
      <c r="M75" s="30">
        <v>0</v>
      </c>
      <c r="N75" s="30">
        <v>0</v>
      </c>
      <c r="O75" s="220">
        <f>COUNTIFS(Tableau2[Ref-Carte],Tableau1[[#This Row],[Ref-Carte]],Tableau2[TS],INDEX(Tableau6[TS],COLUMN()-COLUMN(Tableau1[[#All],[TS1-T]])+1))</f>
        <v>0</v>
      </c>
      <c r="P75" s="220">
        <f>COUNTIFS(Tableau2[Ref-Carte],Tableau1[[#This Row],[Ref-Carte]],Tableau2[TS],INDEX(Tableau6[TS],COLUMN()-COLUMN(Tableau1[[#All],[TS1-T]])+1))</f>
        <v>8</v>
      </c>
      <c r="Q75" s="220">
        <f>COUNTIFS(Tableau2[Ref-Carte],Tableau1[[#This Row],[Ref-Carte]],Tableau2[TS],INDEX(Tableau6[TS],COLUMN()-COLUMN(Tableau1[[#All],[TS1-T]])+1))</f>
        <v>0</v>
      </c>
      <c r="R75" s="220">
        <f>COUNTIFS(Tableau2[Ref-Carte],Tableau1[[#This Row],[Ref-Carte]],Tableau2[TS],INDEX(Tableau6[TS],COLUMN()-COLUMN(Tableau1[[#All],[TS1-T]])+1))</f>
        <v>0</v>
      </c>
      <c r="S75" s="220">
        <f>COUNTIFS(Tableau2[Ref-Carte],Tableau1[[#This Row],[Ref-Carte]],Tableau2[TS],INDEX(Tableau6[TS],COLUMN()-COLUMN(Tableau1[[#All],[TS1-T]])+1))</f>
        <v>0</v>
      </c>
      <c r="T75" s="220">
        <f>COUNTIFS(Tableau2[Ref-Carte],Tableau1[[#This Row],[Ref-Carte]],Tableau2[TS],INDEX(Tableau6[TS],COLUMN()-COLUMN(Tableau1[[#All],[TS1-T]])+1))</f>
        <v>0</v>
      </c>
      <c r="U75" s="32" t="str">
        <f>IFERROR(Tableau1[[#This Row],[TS1]]/Tableau1[[#This Row],[TS1-T]],"")</f>
        <v/>
      </c>
      <c r="V75" s="32">
        <f>IFERROR(Tableau1[[#This Row],[TS2]]/Tableau1[[#This Row],[TS2-T]],"")</f>
        <v>0</v>
      </c>
      <c r="W75" s="32" t="str">
        <f>IFERROR(Tableau1[[#This Row],[TS3]]/Tableau1[[#This Row],[TS3-T]],"")</f>
        <v/>
      </c>
      <c r="X75" s="32" t="str">
        <f>IFERROR(Tableau1[[#This Row],[TS4]]/Tableau1[[#This Row],[TS4-T]],"")</f>
        <v/>
      </c>
      <c r="Y75" s="32" t="str">
        <f>IFERROR(Tableau1[[#This Row],[TS5]]/Tableau1[[#This Row],[TS5-T]],"")</f>
        <v/>
      </c>
      <c r="Z75" s="32" t="str">
        <f>IFERROR(Tableau1[[#This Row],[TS6]]/Tableau1[[#This Row],[TS6-T]],"")</f>
        <v/>
      </c>
    </row>
    <row r="76" spans="1:26" ht="16.5" thickTop="1" thickBot="1">
      <c r="A76" s="84">
        <v>7</v>
      </c>
      <c r="B76" s="23" t="str">
        <f>INDEX(Tableau7[Repere],MATCH(Tableau1[[#This Row],[ID-API]],Tableau7[ID-API],0))&amp;""</f>
        <v>A7</v>
      </c>
      <c r="C76" s="84">
        <v>1</v>
      </c>
      <c r="D76" t="str">
        <f>"R" &amp; Tableau1[[#This Row],[ID-RACK]]</f>
        <v>R1</v>
      </c>
      <c r="E76" s="84">
        <v>4</v>
      </c>
      <c r="F76" t="str">
        <f>"S" &amp; Tableau1[[#This Row],[ID-SLOT]]</f>
        <v>S4</v>
      </c>
      <c r="G76" s="168" t="str">
        <f>Tableau1[[#This Row],[ID-API]]&amp; "." &amp;Tableau1[[#This Row],[ID-RACK]]&amp; "." &amp;Tableau1[[#This Row],[ID-SLOT]]</f>
        <v>7.1.4</v>
      </c>
      <c r="H76" t="s">
        <v>708</v>
      </c>
      <c r="I76" s="30">
        <v>0</v>
      </c>
      <c r="J76" s="30">
        <v>0</v>
      </c>
      <c r="K76" s="30">
        <v>0</v>
      </c>
      <c r="L76" s="30">
        <v>0</v>
      </c>
      <c r="M76" s="30">
        <v>0</v>
      </c>
      <c r="N76" s="30">
        <v>0</v>
      </c>
      <c r="O76" s="220">
        <f>COUNTIFS(Tableau2[Ref-Carte],Tableau1[[#This Row],[Ref-Carte]],Tableau2[TS],INDEX(Tableau6[TS],COLUMN()-COLUMN(Tableau1[[#All],[TS1-T]])+1))</f>
        <v>0</v>
      </c>
      <c r="P76" s="220">
        <f>COUNTIFS(Tableau2[Ref-Carte],Tableau1[[#This Row],[Ref-Carte]],Tableau2[TS],INDEX(Tableau6[TS],COLUMN()-COLUMN(Tableau1[[#All],[TS1-T]])+1))</f>
        <v>8</v>
      </c>
      <c r="Q76" s="220">
        <f>COUNTIFS(Tableau2[Ref-Carte],Tableau1[[#This Row],[Ref-Carte]],Tableau2[TS],INDEX(Tableau6[TS],COLUMN()-COLUMN(Tableau1[[#All],[TS1-T]])+1))</f>
        <v>0</v>
      </c>
      <c r="R76" s="220">
        <f>COUNTIFS(Tableau2[Ref-Carte],Tableau1[[#This Row],[Ref-Carte]],Tableau2[TS],INDEX(Tableau6[TS],COLUMN()-COLUMN(Tableau1[[#All],[TS1-T]])+1))</f>
        <v>0</v>
      </c>
      <c r="S76" s="220">
        <f>COUNTIFS(Tableau2[Ref-Carte],Tableau1[[#This Row],[Ref-Carte]],Tableau2[TS],INDEX(Tableau6[TS],COLUMN()-COLUMN(Tableau1[[#All],[TS1-T]])+1))</f>
        <v>0</v>
      </c>
      <c r="T76" s="220">
        <f>COUNTIFS(Tableau2[Ref-Carte],Tableau1[[#This Row],[Ref-Carte]],Tableau2[TS],INDEX(Tableau6[TS],COLUMN()-COLUMN(Tableau1[[#All],[TS1-T]])+1))</f>
        <v>0</v>
      </c>
      <c r="U76" s="32" t="str">
        <f>IFERROR(Tableau1[[#This Row],[TS1]]/Tableau1[[#This Row],[TS1-T]],"")</f>
        <v/>
      </c>
      <c r="V76" s="32">
        <f>IFERROR(Tableau1[[#This Row],[TS2]]/Tableau1[[#This Row],[TS2-T]],"")</f>
        <v>0</v>
      </c>
      <c r="W76" s="32" t="str">
        <f>IFERROR(Tableau1[[#This Row],[TS3]]/Tableau1[[#This Row],[TS3-T]],"")</f>
        <v/>
      </c>
      <c r="X76" s="32" t="str">
        <f>IFERROR(Tableau1[[#This Row],[TS4]]/Tableau1[[#This Row],[TS4-T]],"")</f>
        <v/>
      </c>
      <c r="Y76" s="32" t="str">
        <f>IFERROR(Tableau1[[#This Row],[TS5]]/Tableau1[[#This Row],[TS5-T]],"")</f>
        <v/>
      </c>
      <c r="Z76" s="32" t="str">
        <f>IFERROR(Tableau1[[#This Row],[TS6]]/Tableau1[[#This Row],[TS6-T]],"")</f>
        <v/>
      </c>
    </row>
    <row r="77" spans="1:26" ht="16.5" thickTop="1" thickBot="1">
      <c r="A77" s="84">
        <v>7</v>
      </c>
      <c r="B77" s="23" t="str">
        <f>INDEX(Tableau7[Repere],MATCH(Tableau1[[#This Row],[ID-API]],Tableau7[ID-API],0))&amp;""</f>
        <v>A7</v>
      </c>
      <c r="C77" s="84">
        <v>1</v>
      </c>
      <c r="D77" t="str">
        <f>"R" &amp; Tableau1[[#This Row],[ID-RACK]]</f>
        <v>R1</v>
      </c>
      <c r="E77" s="84">
        <v>5</v>
      </c>
      <c r="F77" t="str">
        <f>"S" &amp; Tableau1[[#This Row],[ID-SLOT]]</f>
        <v>S5</v>
      </c>
      <c r="G77" s="168" t="str">
        <f>Tableau1[[#This Row],[ID-API]]&amp; "." &amp;Tableau1[[#This Row],[ID-RACK]]&amp; "." &amp;Tableau1[[#This Row],[ID-SLOT]]</f>
        <v>7.1.5</v>
      </c>
      <c r="H77" t="s">
        <v>710</v>
      </c>
      <c r="I77" s="30">
        <v>0</v>
      </c>
      <c r="J77" s="30">
        <v>0</v>
      </c>
      <c r="K77" s="30">
        <v>0</v>
      </c>
      <c r="L77" s="30">
        <v>0</v>
      </c>
      <c r="M77" s="30">
        <v>0</v>
      </c>
      <c r="N77" s="30">
        <v>0</v>
      </c>
      <c r="O77" s="220">
        <f>COUNTIFS(Tableau2[Ref-Carte],Tableau1[[#This Row],[Ref-Carte]],Tableau2[TS],INDEX(Tableau6[TS],COLUMN()-COLUMN(Tableau1[[#All],[TS1-T]])+1))</f>
        <v>16</v>
      </c>
      <c r="P77" s="220">
        <f>COUNTIFS(Tableau2[Ref-Carte],Tableau1[[#This Row],[Ref-Carte]],Tableau2[TS],INDEX(Tableau6[TS],COLUMN()-COLUMN(Tableau1[[#All],[TS1-T]])+1))</f>
        <v>0</v>
      </c>
      <c r="Q77" s="220">
        <f>COUNTIFS(Tableau2[Ref-Carte],Tableau1[[#This Row],[Ref-Carte]],Tableau2[TS],INDEX(Tableau6[TS],COLUMN()-COLUMN(Tableau1[[#All],[TS1-T]])+1))</f>
        <v>0</v>
      </c>
      <c r="R77" s="220">
        <f>COUNTIFS(Tableau2[Ref-Carte],Tableau1[[#This Row],[Ref-Carte]],Tableau2[TS],INDEX(Tableau6[TS],COLUMN()-COLUMN(Tableau1[[#All],[TS1-T]])+1))</f>
        <v>0</v>
      </c>
      <c r="S77" s="220">
        <f>COUNTIFS(Tableau2[Ref-Carte],Tableau1[[#This Row],[Ref-Carte]],Tableau2[TS],INDEX(Tableau6[TS],COLUMN()-COLUMN(Tableau1[[#All],[TS1-T]])+1))</f>
        <v>0</v>
      </c>
      <c r="T77" s="220">
        <f>COUNTIFS(Tableau2[Ref-Carte],Tableau1[[#This Row],[Ref-Carte]],Tableau2[TS],INDEX(Tableau6[TS],COLUMN()-COLUMN(Tableau1[[#All],[TS1-T]])+1))</f>
        <v>0</v>
      </c>
      <c r="U77" s="32">
        <f>IFERROR(Tableau1[[#This Row],[TS1]]/Tableau1[[#This Row],[TS1-T]],"")</f>
        <v>0</v>
      </c>
      <c r="V77" s="32" t="str">
        <f>IFERROR(Tableau1[[#This Row],[TS2]]/Tableau1[[#This Row],[TS2-T]],"")</f>
        <v/>
      </c>
      <c r="W77" s="32" t="str">
        <f>IFERROR(Tableau1[[#This Row],[TS3]]/Tableau1[[#This Row],[TS3-T]],"")</f>
        <v/>
      </c>
      <c r="X77" s="32" t="str">
        <f>IFERROR(Tableau1[[#This Row],[TS4]]/Tableau1[[#This Row],[TS4-T]],"")</f>
        <v/>
      </c>
      <c r="Y77" s="32" t="str">
        <f>IFERROR(Tableau1[[#This Row],[TS5]]/Tableau1[[#This Row],[TS5-T]],"")</f>
        <v/>
      </c>
      <c r="Z77" s="32" t="str">
        <f>IFERROR(Tableau1[[#This Row],[TS6]]/Tableau1[[#This Row],[TS6-T]],"")</f>
        <v/>
      </c>
    </row>
    <row r="78" spans="1:26" ht="16.5" thickTop="1" thickBot="1">
      <c r="A78" s="84">
        <v>7</v>
      </c>
      <c r="B78" s="23" t="str">
        <f>INDEX(Tableau7[Repere],MATCH(Tableau1[[#This Row],[ID-API]],Tableau7[ID-API],0))&amp;""</f>
        <v>A7</v>
      </c>
      <c r="C78" s="84">
        <v>1</v>
      </c>
      <c r="D78" t="str">
        <f>"R" &amp; Tableau1[[#This Row],[ID-RACK]]</f>
        <v>R1</v>
      </c>
      <c r="E78" s="84">
        <v>6</v>
      </c>
      <c r="F78" t="str">
        <f>"S" &amp; Tableau1[[#This Row],[ID-SLOT]]</f>
        <v>S6</v>
      </c>
      <c r="G78" s="168" t="str">
        <f>Tableau1[[#This Row],[ID-API]]&amp; "." &amp;Tableau1[[#This Row],[ID-RACK]]&amp; "." &amp;Tableau1[[#This Row],[ID-SLOT]]</f>
        <v>7.1.6</v>
      </c>
      <c r="H78" t="s">
        <v>710</v>
      </c>
      <c r="I78" s="30">
        <v>0</v>
      </c>
      <c r="J78" s="30">
        <v>0</v>
      </c>
      <c r="K78" s="30">
        <v>0</v>
      </c>
      <c r="L78" s="30">
        <v>0</v>
      </c>
      <c r="M78" s="30">
        <v>0</v>
      </c>
      <c r="N78" s="30">
        <v>0</v>
      </c>
      <c r="O78" s="220">
        <f>COUNTIFS(Tableau2[Ref-Carte],Tableau1[[#This Row],[Ref-Carte]],Tableau2[TS],INDEX(Tableau6[TS],COLUMN()-COLUMN(Tableau1[[#All],[TS1-T]])+1))</f>
        <v>16</v>
      </c>
      <c r="P78" s="220">
        <f>COUNTIFS(Tableau2[Ref-Carte],Tableau1[[#This Row],[Ref-Carte]],Tableau2[TS],INDEX(Tableau6[TS],COLUMN()-COLUMN(Tableau1[[#All],[TS1-T]])+1))</f>
        <v>0</v>
      </c>
      <c r="Q78" s="220">
        <f>COUNTIFS(Tableau2[Ref-Carte],Tableau1[[#This Row],[Ref-Carte]],Tableau2[TS],INDEX(Tableau6[TS],COLUMN()-COLUMN(Tableau1[[#All],[TS1-T]])+1))</f>
        <v>0</v>
      </c>
      <c r="R78" s="220">
        <f>COUNTIFS(Tableau2[Ref-Carte],Tableau1[[#This Row],[Ref-Carte]],Tableau2[TS],INDEX(Tableau6[TS],COLUMN()-COLUMN(Tableau1[[#All],[TS1-T]])+1))</f>
        <v>0</v>
      </c>
      <c r="S78" s="220">
        <f>COUNTIFS(Tableau2[Ref-Carte],Tableau1[[#This Row],[Ref-Carte]],Tableau2[TS],INDEX(Tableau6[TS],COLUMN()-COLUMN(Tableau1[[#All],[TS1-T]])+1))</f>
        <v>0</v>
      </c>
      <c r="T78" s="220">
        <f>COUNTIFS(Tableau2[Ref-Carte],Tableau1[[#This Row],[Ref-Carte]],Tableau2[TS],INDEX(Tableau6[TS],COLUMN()-COLUMN(Tableau1[[#All],[TS1-T]])+1))</f>
        <v>0</v>
      </c>
      <c r="U78" s="32">
        <f>IFERROR(Tableau1[[#This Row],[TS1]]/Tableau1[[#This Row],[TS1-T]],"")</f>
        <v>0</v>
      </c>
      <c r="V78" s="32" t="str">
        <f>IFERROR(Tableau1[[#This Row],[TS2]]/Tableau1[[#This Row],[TS2-T]],"")</f>
        <v/>
      </c>
      <c r="W78" s="32" t="str">
        <f>IFERROR(Tableau1[[#This Row],[TS3]]/Tableau1[[#This Row],[TS3-T]],"")</f>
        <v/>
      </c>
      <c r="X78" s="32" t="str">
        <f>IFERROR(Tableau1[[#This Row],[TS4]]/Tableau1[[#This Row],[TS4-T]],"")</f>
        <v/>
      </c>
      <c r="Y78" s="32" t="str">
        <f>IFERROR(Tableau1[[#This Row],[TS5]]/Tableau1[[#This Row],[TS5-T]],"")</f>
        <v/>
      </c>
      <c r="Z78" s="32" t="str">
        <f>IFERROR(Tableau1[[#This Row],[TS6]]/Tableau1[[#This Row],[TS6-T]],"")</f>
        <v/>
      </c>
    </row>
    <row r="79" spans="1:26" ht="16.5" thickTop="1" thickBot="1">
      <c r="A79" s="84">
        <v>7</v>
      </c>
      <c r="B79" s="23" t="str">
        <f>INDEX(Tableau7[Repere],MATCH(Tableau1[[#This Row],[ID-API]],Tableau7[ID-API],0))&amp;""</f>
        <v>A7</v>
      </c>
      <c r="C79" s="84">
        <v>1</v>
      </c>
      <c r="D79" t="str">
        <f>"R" &amp; Tableau1[[#This Row],[ID-RACK]]</f>
        <v>R1</v>
      </c>
      <c r="E79" s="84">
        <v>7</v>
      </c>
      <c r="F79" t="str">
        <f>"S" &amp; Tableau1[[#This Row],[ID-SLOT]]</f>
        <v>S7</v>
      </c>
      <c r="G79" s="168" t="str">
        <f>Tableau1[[#This Row],[ID-API]]&amp; "." &amp;Tableau1[[#This Row],[ID-RACK]]&amp; "." &amp;Tableau1[[#This Row],[ID-SLOT]]</f>
        <v>7.1.7</v>
      </c>
      <c r="H79" t="s">
        <v>708</v>
      </c>
      <c r="I79" s="30">
        <v>0</v>
      </c>
      <c r="J79" s="30">
        <v>0</v>
      </c>
      <c r="K79" s="30">
        <v>0</v>
      </c>
      <c r="L79" s="30">
        <v>0</v>
      </c>
      <c r="M79" s="30">
        <v>0</v>
      </c>
      <c r="N79" s="30">
        <v>0</v>
      </c>
      <c r="O79" s="220">
        <f>COUNTIFS(Tableau2[Ref-Carte],Tableau1[[#This Row],[Ref-Carte]],Tableau2[TS],INDEX(Tableau6[TS],COLUMN()-COLUMN(Tableau1[[#All],[TS1-T]])+1))</f>
        <v>0</v>
      </c>
      <c r="P79" s="220">
        <f>COUNTIFS(Tableau2[Ref-Carte],Tableau1[[#This Row],[Ref-Carte]],Tableau2[TS],INDEX(Tableau6[TS],COLUMN()-COLUMN(Tableau1[[#All],[TS1-T]])+1))</f>
        <v>8</v>
      </c>
      <c r="Q79" s="220">
        <f>COUNTIFS(Tableau2[Ref-Carte],Tableau1[[#This Row],[Ref-Carte]],Tableau2[TS],INDEX(Tableau6[TS],COLUMN()-COLUMN(Tableau1[[#All],[TS1-T]])+1))</f>
        <v>0</v>
      </c>
      <c r="R79" s="220">
        <f>COUNTIFS(Tableau2[Ref-Carte],Tableau1[[#This Row],[Ref-Carte]],Tableau2[TS],INDEX(Tableau6[TS],COLUMN()-COLUMN(Tableau1[[#All],[TS1-T]])+1))</f>
        <v>0</v>
      </c>
      <c r="S79" s="220">
        <f>COUNTIFS(Tableau2[Ref-Carte],Tableau1[[#This Row],[Ref-Carte]],Tableau2[TS],INDEX(Tableau6[TS],COLUMN()-COLUMN(Tableau1[[#All],[TS1-T]])+1))</f>
        <v>0</v>
      </c>
      <c r="T79" s="220">
        <f>COUNTIFS(Tableau2[Ref-Carte],Tableau1[[#This Row],[Ref-Carte]],Tableau2[TS],INDEX(Tableau6[TS],COLUMN()-COLUMN(Tableau1[[#All],[TS1-T]])+1))</f>
        <v>0</v>
      </c>
      <c r="U79" s="32" t="str">
        <f>IFERROR(Tableau1[[#This Row],[TS1]]/Tableau1[[#This Row],[TS1-T]],"")</f>
        <v/>
      </c>
      <c r="V79" s="32">
        <f>IFERROR(Tableau1[[#This Row],[TS2]]/Tableau1[[#This Row],[TS2-T]],"")</f>
        <v>0</v>
      </c>
      <c r="W79" s="32" t="str">
        <f>IFERROR(Tableau1[[#This Row],[TS3]]/Tableau1[[#This Row],[TS3-T]],"")</f>
        <v/>
      </c>
      <c r="X79" s="32" t="str">
        <f>IFERROR(Tableau1[[#This Row],[TS4]]/Tableau1[[#This Row],[TS4-T]],"")</f>
        <v/>
      </c>
      <c r="Y79" s="32" t="str">
        <f>IFERROR(Tableau1[[#This Row],[TS5]]/Tableau1[[#This Row],[TS5-T]],"")</f>
        <v/>
      </c>
      <c r="Z79" s="32" t="str">
        <f>IFERROR(Tableau1[[#This Row],[TS6]]/Tableau1[[#This Row],[TS6-T]],"")</f>
        <v/>
      </c>
    </row>
    <row r="80" spans="1:26" ht="16.5" thickTop="1" thickBot="1">
      <c r="A80" s="84">
        <v>7</v>
      </c>
      <c r="B80" s="23" t="str">
        <f>INDEX(Tableau7[Repere],MATCH(Tableau1[[#This Row],[ID-API]],Tableau7[ID-API],0))&amp;""</f>
        <v>A7</v>
      </c>
      <c r="C80" s="84">
        <v>1</v>
      </c>
      <c r="D80" t="str">
        <f>"R" &amp; Tableau1[[#This Row],[ID-RACK]]</f>
        <v>R1</v>
      </c>
      <c r="E80" s="84">
        <v>8</v>
      </c>
      <c r="F80" t="str">
        <f>"S" &amp; Tableau1[[#This Row],[ID-SLOT]]</f>
        <v>S8</v>
      </c>
      <c r="G80" s="168" t="str">
        <f>Tableau1[[#This Row],[ID-API]]&amp; "." &amp;Tableau1[[#This Row],[ID-RACK]]&amp; "." &amp;Tableau1[[#This Row],[ID-SLOT]]</f>
        <v>7.1.8</v>
      </c>
      <c r="H80" t="s">
        <v>710</v>
      </c>
      <c r="I80" s="30">
        <v>0</v>
      </c>
      <c r="J80" s="30">
        <v>0</v>
      </c>
      <c r="K80" s="30">
        <v>0</v>
      </c>
      <c r="L80" s="30">
        <v>0</v>
      </c>
      <c r="M80" s="30">
        <v>0</v>
      </c>
      <c r="N80" s="30">
        <v>0</v>
      </c>
      <c r="O80" s="220">
        <f>COUNTIFS(Tableau2[Ref-Carte],Tableau1[[#This Row],[Ref-Carte]],Tableau2[TS],INDEX(Tableau6[TS],COLUMN()-COLUMN(Tableau1[[#All],[TS1-T]])+1))</f>
        <v>16</v>
      </c>
      <c r="P80" s="220">
        <f>COUNTIFS(Tableau2[Ref-Carte],Tableau1[[#This Row],[Ref-Carte]],Tableau2[TS],INDEX(Tableau6[TS],COLUMN()-COLUMN(Tableau1[[#All],[TS1-T]])+1))</f>
        <v>0</v>
      </c>
      <c r="Q80" s="220">
        <f>COUNTIFS(Tableau2[Ref-Carte],Tableau1[[#This Row],[Ref-Carte]],Tableau2[TS],INDEX(Tableau6[TS],COLUMN()-COLUMN(Tableau1[[#All],[TS1-T]])+1))</f>
        <v>0</v>
      </c>
      <c r="R80" s="220">
        <f>COUNTIFS(Tableau2[Ref-Carte],Tableau1[[#This Row],[Ref-Carte]],Tableau2[TS],INDEX(Tableau6[TS],COLUMN()-COLUMN(Tableau1[[#All],[TS1-T]])+1))</f>
        <v>0</v>
      </c>
      <c r="S80" s="220">
        <f>COUNTIFS(Tableau2[Ref-Carte],Tableau1[[#This Row],[Ref-Carte]],Tableau2[TS],INDEX(Tableau6[TS],COLUMN()-COLUMN(Tableau1[[#All],[TS1-T]])+1))</f>
        <v>0</v>
      </c>
      <c r="T80" s="220">
        <f>COUNTIFS(Tableau2[Ref-Carte],Tableau1[[#This Row],[Ref-Carte]],Tableau2[TS],INDEX(Tableau6[TS],COLUMN()-COLUMN(Tableau1[[#All],[TS1-T]])+1))</f>
        <v>0</v>
      </c>
      <c r="U80" s="32">
        <f>IFERROR(Tableau1[[#This Row],[TS1]]/Tableau1[[#This Row],[TS1-T]],"")</f>
        <v>0</v>
      </c>
      <c r="V80" s="32" t="str">
        <f>IFERROR(Tableau1[[#This Row],[TS2]]/Tableau1[[#This Row],[TS2-T]],"")</f>
        <v/>
      </c>
      <c r="W80" s="32" t="str">
        <f>IFERROR(Tableau1[[#This Row],[TS3]]/Tableau1[[#This Row],[TS3-T]],"")</f>
        <v/>
      </c>
      <c r="X80" s="32" t="str">
        <f>IFERROR(Tableau1[[#This Row],[TS4]]/Tableau1[[#This Row],[TS4-T]],"")</f>
        <v/>
      </c>
      <c r="Y80" s="32" t="str">
        <f>IFERROR(Tableau1[[#This Row],[TS5]]/Tableau1[[#This Row],[TS5-T]],"")</f>
        <v/>
      </c>
      <c r="Z80" s="32" t="str">
        <f>IFERROR(Tableau1[[#This Row],[TS6]]/Tableau1[[#This Row],[TS6-T]],"")</f>
        <v/>
      </c>
    </row>
    <row r="81" spans="1:26" ht="16.5" thickTop="1" thickBot="1">
      <c r="A81" s="84">
        <v>7</v>
      </c>
      <c r="B81" s="23" t="str">
        <f>INDEX(Tableau7[Repere],MATCH(Tableau1[[#This Row],[ID-API]],Tableau7[ID-API],0))&amp;""</f>
        <v>A7</v>
      </c>
      <c r="C81" s="84">
        <v>1</v>
      </c>
      <c r="D81" t="str">
        <f>"R" &amp; Tableau1[[#This Row],[ID-RACK]]</f>
        <v>R1</v>
      </c>
      <c r="E81" s="84">
        <v>9</v>
      </c>
      <c r="F81" t="str">
        <f>"S" &amp; Tableau1[[#This Row],[ID-SLOT]]</f>
        <v>S9</v>
      </c>
      <c r="G81" s="168" t="str">
        <f>Tableau1[[#This Row],[ID-API]]&amp; "." &amp;Tableau1[[#This Row],[ID-RACK]]&amp; "." &amp;Tableau1[[#This Row],[ID-SLOT]]</f>
        <v>7.1.9</v>
      </c>
      <c r="H81" t="s">
        <v>710</v>
      </c>
      <c r="I81" s="30">
        <v>0</v>
      </c>
      <c r="J81" s="30">
        <v>0</v>
      </c>
      <c r="K81" s="30">
        <v>0</v>
      </c>
      <c r="L81" s="30">
        <v>0</v>
      </c>
      <c r="M81" s="30">
        <v>0</v>
      </c>
      <c r="N81" s="30">
        <v>0</v>
      </c>
      <c r="O81" s="220">
        <f>COUNTIFS(Tableau2[Ref-Carte],Tableau1[[#This Row],[Ref-Carte]],Tableau2[TS],INDEX(Tableau6[TS],COLUMN()-COLUMN(Tableau1[[#All],[TS1-T]])+1))</f>
        <v>16</v>
      </c>
      <c r="P81" s="220">
        <f>COUNTIFS(Tableau2[Ref-Carte],Tableau1[[#This Row],[Ref-Carte]],Tableau2[TS],INDEX(Tableau6[TS],COLUMN()-COLUMN(Tableau1[[#All],[TS1-T]])+1))</f>
        <v>0</v>
      </c>
      <c r="Q81" s="220">
        <f>COUNTIFS(Tableau2[Ref-Carte],Tableau1[[#This Row],[Ref-Carte]],Tableau2[TS],INDEX(Tableau6[TS],COLUMN()-COLUMN(Tableau1[[#All],[TS1-T]])+1))</f>
        <v>0</v>
      </c>
      <c r="R81" s="220">
        <f>COUNTIFS(Tableau2[Ref-Carte],Tableau1[[#This Row],[Ref-Carte]],Tableau2[TS],INDEX(Tableau6[TS],COLUMN()-COLUMN(Tableau1[[#All],[TS1-T]])+1))</f>
        <v>0</v>
      </c>
      <c r="S81" s="220">
        <f>COUNTIFS(Tableau2[Ref-Carte],Tableau1[[#This Row],[Ref-Carte]],Tableau2[TS],INDEX(Tableau6[TS],COLUMN()-COLUMN(Tableau1[[#All],[TS1-T]])+1))</f>
        <v>0</v>
      </c>
      <c r="T81" s="220">
        <f>COUNTIFS(Tableau2[Ref-Carte],Tableau1[[#This Row],[Ref-Carte]],Tableau2[TS],INDEX(Tableau6[TS],COLUMN()-COLUMN(Tableau1[[#All],[TS1-T]])+1))</f>
        <v>0</v>
      </c>
      <c r="U81" s="32">
        <f>IFERROR(Tableau1[[#This Row],[TS1]]/Tableau1[[#This Row],[TS1-T]],"")</f>
        <v>0</v>
      </c>
      <c r="V81" s="32" t="str">
        <f>IFERROR(Tableau1[[#This Row],[TS2]]/Tableau1[[#This Row],[TS2-T]],"")</f>
        <v/>
      </c>
      <c r="W81" s="32" t="str">
        <f>IFERROR(Tableau1[[#This Row],[TS3]]/Tableau1[[#This Row],[TS3-T]],"")</f>
        <v/>
      </c>
      <c r="X81" s="32" t="str">
        <f>IFERROR(Tableau1[[#This Row],[TS4]]/Tableau1[[#This Row],[TS4-T]],"")</f>
        <v/>
      </c>
      <c r="Y81" s="32" t="str">
        <f>IFERROR(Tableau1[[#This Row],[TS5]]/Tableau1[[#This Row],[TS5-T]],"")</f>
        <v/>
      </c>
      <c r="Z81" s="32" t="str">
        <f>IFERROR(Tableau1[[#This Row],[TS6]]/Tableau1[[#This Row],[TS6-T]],"")</f>
        <v/>
      </c>
    </row>
    <row r="82" spans="1:26" ht="16.5" thickTop="1" thickBot="1">
      <c r="A82" s="84">
        <v>7</v>
      </c>
      <c r="B82" s="23" t="str">
        <f>INDEX(Tableau7[Repere],MATCH(Tableau1[[#This Row],[ID-API]],Tableau7[ID-API],0))&amp;""</f>
        <v>A7</v>
      </c>
      <c r="C82" s="84">
        <v>1</v>
      </c>
      <c r="D82" t="str">
        <f>"R" &amp; Tableau1[[#This Row],[ID-RACK]]</f>
        <v>R1</v>
      </c>
      <c r="E82" s="84">
        <v>10</v>
      </c>
      <c r="F82" t="str">
        <f>"S" &amp; Tableau1[[#This Row],[ID-SLOT]]</f>
        <v>S10</v>
      </c>
      <c r="G82" s="168" t="str">
        <f>Tableau1[[#This Row],[ID-API]]&amp; "." &amp;Tableau1[[#This Row],[ID-RACK]]&amp; "." &amp;Tableau1[[#This Row],[ID-SLOT]]</f>
        <v>7.1.10</v>
      </c>
      <c r="H82" t="s">
        <v>708</v>
      </c>
      <c r="I82" s="30">
        <v>0</v>
      </c>
      <c r="J82" s="30">
        <v>0</v>
      </c>
      <c r="K82" s="30">
        <v>0</v>
      </c>
      <c r="L82" s="30">
        <v>0</v>
      </c>
      <c r="M82" s="30">
        <v>0</v>
      </c>
      <c r="N82" s="30">
        <v>0</v>
      </c>
      <c r="O82" s="220">
        <f>COUNTIFS(Tableau2[Ref-Carte],Tableau1[[#This Row],[Ref-Carte]],Tableau2[TS],INDEX(Tableau6[TS],COLUMN()-COLUMN(Tableau1[[#All],[TS1-T]])+1))</f>
        <v>0</v>
      </c>
      <c r="P82" s="220">
        <f>COUNTIFS(Tableau2[Ref-Carte],Tableau1[[#This Row],[Ref-Carte]],Tableau2[TS],INDEX(Tableau6[TS],COLUMN()-COLUMN(Tableau1[[#All],[TS1-T]])+1))</f>
        <v>8</v>
      </c>
      <c r="Q82" s="220">
        <f>COUNTIFS(Tableau2[Ref-Carte],Tableau1[[#This Row],[Ref-Carte]],Tableau2[TS],INDEX(Tableau6[TS],COLUMN()-COLUMN(Tableau1[[#All],[TS1-T]])+1))</f>
        <v>0</v>
      </c>
      <c r="R82" s="220">
        <f>COUNTIFS(Tableau2[Ref-Carte],Tableau1[[#This Row],[Ref-Carte]],Tableau2[TS],INDEX(Tableau6[TS],COLUMN()-COLUMN(Tableau1[[#All],[TS1-T]])+1))</f>
        <v>0</v>
      </c>
      <c r="S82" s="220">
        <f>COUNTIFS(Tableau2[Ref-Carte],Tableau1[[#This Row],[Ref-Carte]],Tableau2[TS],INDEX(Tableau6[TS],COLUMN()-COLUMN(Tableau1[[#All],[TS1-T]])+1))</f>
        <v>0</v>
      </c>
      <c r="T82" s="220">
        <f>COUNTIFS(Tableau2[Ref-Carte],Tableau1[[#This Row],[Ref-Carte]],Tableau2[TS],INDEX(Tableau6[TS],COLUMN()-COLUMN(Tableau1[[#All],[TS1-T]])+1))</f>
        <v>0</v>
      </c>
      <c r="U82" s="32" t="str">
        <f>IFERROR(Tableau1[[#This Row],[TS1]]/Tableau1[[#This Row],[TS1-T]],"")</f>
        <v/>
      </c>
      <c r="V82" s="32">
        <f>IFERROR(Tableau1[[#This Row],[TS2]]/Tableau1[[#This Row],[TS2-T]],"")</f>
        <v>0</v>
      </c>
      <c r="W82" s="32" t="str">
        <f>IFERROR(Tableau1[[#This Row],[TS3]]/Tableau1[[#This Row],[TS3-T]],"")</f>
        <v/>
      </c>
      <c r="X82" s="32" t="str">
        <f>IFERROR(Tableau1[[#This Row],[TS4]]/Tableau1[[#This Row],[TS4-T]],"")</f>
        <v/>
      </c>
      <c r="Y82" s="32" t="str">
        <f>IFERROR(Tableau1[[#This Row],[TS5]]/Tableau1[[#This Row],[TS5-T]],"")</f>
        <v/>
      </c>
      <c r="Z82" s="32" t="str">
        <f>IFERROR(Tableau1[[#This Row],[TS6]]/Tableau1[[#This Row],[TS6-T]],"")</f>
        <v/>
      </c>
    </row>
    <row r="83" spans="1:26" ht="16.5" thickTop="1" thickBot="1">
      <c r="A83" s="84">
        <v>2</v>
      </c>
      <c r="B83" s="23" t="str">
        <f>INDEX(Tableau7[Repere],MATCH(Tableau1[[#This Row],[ID-API]],Tableau7[ID-API],0))&amp;""</f>
        <v>A2</v>
      </c>
      <c r="C83" s="84">
        <v>1</v>
      </c>
      <c r="D83" t="str">
        <f>"R" &amp; Tableau1[[#This Row],[ID-RACK]]</f>
        <v>R1</v>
      </c>
      <c r="E83" s="84">
        <v>3</v>
      </c>
      <c r="F83" t="str">
        <f>"S" &amp; Tableau1[[#This Row],[ID-SLOT]]</f>
        <v>S3</v>
      </c>
      <c r="G83" s="168" t="str">
        <f>Tableau1[[#This Row],[ID-API]]&amp; "." &amp;Tableau1[[#This Row],[ID-RACK]]&amp; "." &amp;Tableau1[[#This Row],[ID-SLOT]]</f>
        <v>2.1.3</v>
      </c>
      <c r="H83" t="s">
        <v>708</v>
      </c>
      <c r="I83" s="30">
        <v>0</v>
      </c>
      <c r="J83" s="30">
        <v>0</v>
      </c>
      <c r="K83" s="30">
        <v>0</v>
      </c>
      <c r="L83" s="30">
        <v>0</v>
      </c>
      <c r="M83" s="30">
        <v>0</v>
      </c>
      <c r="N83" s="30">
        <v>0</v>
      </c>
      <c r="O83" s="220">
        <f>COUNTIFS(Tableau2[Ref-Carte],Tableau1[[#This Row],[Ref-Carte]],Tableau2[TS],INDEX(Tableau6[TS],COLUMN()-COLUMN(Tableau1[[#All],[TS1-T]])+1))</f>
        <v>0</v>
      </c>
      <c r="P83" s="220">
        <f>COUNTIFS(Tableau2[Ref-Carte],Tableau1[[#This Row],[Ref-Carte]],Tableau2[TS],INDEX(Tableau6[TS],COLUMN()-COLUMN(Tableau1[[#All],[TS1-T]])+1))</f>
        <v>8</v>
      </c>
      <c r="Q83" s="220">
        <f>COUNTIFS(Tableau2[Ref-Carte],Tableau1[[#This Row],[Ref-Carte]],Tableau2[TS],INDEX(Tableau6[TS],COLUMN()-COLUMN(Tableau1[[#All],[TS1-T]])+1))</f>
        <v>0</v>
      </c>
      <c r="R83" s="220">
        <f>COUNTIFS(Tableau2[Ref-Carte],Tableau1[[#This Row],[Ref-Carte]],Tableau2[TS],INDEX(Tableau6[TS],COLUMN()-COLUMN(Tableau1[[#All],[TS1-T]])+1))</f>
        <v>0</v>
      </c>
      <c r="S83" s="220">
        <f>COUNTIFS(Tableau2[Ref-Carte],Tableau1[[#This Row],[Ref-Carte]],Tableau2[TS],INDEX(Tableau6[TS],COLUMN()-COLUMN(Tableau1[[#All],[TS1-T]])+1))</f>
        <v>0</v>
      </c>
      <c r="T83" s="220">
        <f>COUNTIFS(Tableau2[Ref-Carte],Tableau1[[#This Row],[Ref-Carte]],Tableau2[TS],INDEX(Tableau6[TS],COLUMN()-COLUMN(Tableau1[[#All],[TS1-T]])+1))</f>
        <v>0</v>
      </c>
      <c r="U83" s="32" t="str">
        <f>IFERROR(Tableau1[[#This Row],[TS1]]/Tableau1[[#This Row],[TS1-T]],"")</f>
        <v/>
      </c>
      <c r="V83" s="32">
        <f>IFERROR(Tableau1[[#This Row],[TS2]]/Tableau1[[#This Row],[TS2-T]],"")</f>
        <v>0</v>
      </c>
      <c r="W83" s="32" t="str">
        <f>IFERROR(Tableau1[[#This Row],[TS3]]/Tableau1[[#This Row],[TS3-T]],"")</f>
        <v/>
      </c>
      <c r="X83" s="32" t="str">
        <f>IFERROR(Tableau1[[#This Row],[TS4]]/Tableau1[[#This Row],[TS4-T]],"")</f>
        <v/>
      </c>
      <c r="Y83" s="32" t="str">
        <f>IFERROR(Tableau1[[#This Row],[TS5]]/Tableau1[[#This Row],[TS5-T]],"")</f>
        <v/>
      </c>
      <c r="Z83" s="32" t="str">
        <f>IFERROR(Tableau1[[#This Row],[TS6]]/Tableau1[[#This Row],[TS6-T]],"")</f>
        <v/>
      </c>
    </row>
    <row r="84" spans="1:26" ht="16.5" thickTop="1" thickBot="1">
      <c r="A84" s="84">
        <v>2</v>
      </c>
      <c r="B84" s="23" t="str">
        <f>INDEX(Tableau7[Repere],MATCH(Tableau1[[#This Row],[ID-API]],Tableau7[ID-API],0))&amp;""</f>
        <v>A2</v>
      </c>
      <c r="C84" s="84">
        <v>1</v>
      </c>
      <c r="D84" t="str">
        <f>"R" &amp; Tableau1[[#This Row],[ID-RACK]]</f>
        <v>R1</v>
      </c>
      <c r="E84" s="84">
        <v>4</v>
      </c>
      <c r="F84" t="str">
        <f>"S" &amp; Tableau1[[#This Row],[ID-SLOT]]</f>
        <v>S4</v>
      </c>
      <c r="G84" s="168" t="str">
        <f>Tableau1[[#This Row],[ID-API]]&amp; "." &amp;Tableau1[[#This Row],[ID-RACK]]&amp; "." &amp;Tableau1[[#This Row],[ID-SLOT]]</f>
        <v>2.1.4</v>
      </c>
      <c r="H84" t="s">
        <v>708</v>
      </c>
      <c r="I84" s="30">
        <v>0</v>
      </c>
      <c r="J84" s="30">
        <v>0</v>
      </c>
      <c r="K84" s="30">
        <v>0</v>
      </c>
      <c r="L84" s="30">
        <v>0</v>
      </c>
      <c r="M84" s="30">
        <v>0</v>
      </c>
      <c r="N84" s="30">
        <v>0</v>
      </c>
      <c r="O84" s="220">
        <f>COUNTIFS(Tableau2[Ref-Carte],Tableau1[[#This Row],[Ref-Carte]],Tableau2[TS],INDEX(Tableau6[TS],COLUMN()-COLUMN(Tableau1[[#All],[TS1-T]])+1))</f>
        <v>0</v>
      </c>
      <c r="P84" s="220">
        <f>COUNTIFS(Tableau2[Ref-Carte],Tableau1[[#This Row],[Ref-Carte]],Tableau2[TS],INDEX(Tableau6[TS],COLUMN()-COLUMN(Tableau1[[#All],[TS1-T]])+1))</f>
        <v>8</v>
      </c>
      <c r="Q84" s="220">
        <f>COUNTIFS(Tableau2[Ref-Carte],Tableau1[[#This Row],[Ref-Carte]],Tableau2[TS],INDEX(Tableau6[TS],COLUMN()-COLUMN(Tableau1[[#All],[TS1-T]])+1))</f>
        <v>0</v>
      </c>
      <c r="R84" s="220">
        <f>COUNTIFS(Tableau2[Ref-Carte],Tableau1[[#This Row],[Ref-Carte]],Tableau2[TS],INDEX(Tableau6[TS],COLUMN()-COLUMN(Tableau1[[#All],[TS1-T]])+1))</f>
        <v>0</v>
      </c>
      <c r="S84" s="220">
        <f>COUNTIFS(Tableau2[Ref-Carte],Tableau1[[#This Row],[Ref-Carte]],Tableau2[TS],INDEX(Tableau6[TS],COLUMN()-COLUMN(Tableau1[[#All],[TS1-T]])+1))</f>
        <v>0</v>
      </c>
      <c r="T84" s="220">
        <f>COUNTIFS(Tableau2[Ref-Carte],Tableau1[[#This Row],[Ref-Carte]],Tableau2[TS],INDEX(Tableau6[TS],COLUMN()-COLUMN(Tableau1[[#All],[TS1-T]])+1))</f>
        <v>0</v>
      </c>
      <c r="U84" s="32" t="str">
        <f>IFERROR(Tableau1[[#This Row],[TS1]]/Tableau1[[#This Row],[TS1-T]],"")</f>
        <v/>
      </c>
      <c r="V84" s="32">
        <f>IFERROR(Tableau1[[#This Row],[TS2]]/Tableau1[[#This Row],[TS2-T]],"")</f>
        <v>0</v>
      </c>
      <c r="W84" s="32" t="str">
        <f>IFERROR(Tableau1[[#This Row],[TS3]]/Tableau1[[#This Row],[TS3-T]],"")</f>
        <v/>
      </c>
      <c r="X84" s="32" t="str">
        <f>IFERROR(Tableau1[[#This Row],[TS4]]/Tableau1[[#This Row],[TS4-T]],"")</f>
        <v/>
      </c>
      <c r="Y84" s="32" t="str">
        <f>IFERROR(Tableau1[[#This Row],[TS5]]/Tableau1[[#This Row],[TS5-T]],"")</f>
        <v/>
      </c>
      <c r="Z84" s="32" t="str">
        <f>IFERROR(Tableau1[[#This Row],[TS6]]/Tableau1[[#This Row],[TS6-T]],"")</f>
        <v/>
      </c>
    </row>
    <row r="85" spans="1:26" ht="16.5" thickTop="1" thickBot="1">
      <c r="A85" s="84">
        <v>2</v>
      </c>
      <c r="B85" s="23" t="str">
        <f>INDEX(Tableau7[Repere],MATCH(Tableau1[[#This Row],[ID-API]],Tableau7[ID-API],0))&amp;""</f>
        <v>A2</v>
      </c>
      <c r="C85" s="84">
        <v>1</v>
      </c>
      <c r="D85" t="str">
        <f>"R" &amp; Tableau1[[#This Row],[ID-RACK]]</f>
        <v>R1</v>
      </c>
      <c r="E85" s="84">
        <v>5</v>
      </c>
      <c r="F85" t="str">
        <f>"S" &amp; Tableau1[[#This Row],[ID-SLOT]]</f>
        <v>S5</v>
      </c>
      <c r="G85" s="168" t="str">
        <f>Tableau1[[#This Row],[ID-API]]&amp; "." &amp;Tableau1[[#This Row],[ID-RACK]]&amp; "." &amp;Tableau1[[#This Row],[ID-SLOT]]</f>
        <v>2.1.5</v>
      </c>
      <c r="H85" t="s">
        <v>708</v>
      </c>
      <c r="I85" s="30">
        <v>0</v>
      </c>
      <c r="J85" s="30">
        <v>0</v>
      </c>
      <c r="K85" s="30">
        <v>0</v>
      </c>
      <c r="L85" s="30">
        <v>0</v>
      </c>
      <c r="M85" s="30">
        <v>0</v>
      </c>
      <c r="N85" s="30">
        <v>0</v>
      </c>
      <c r="O85" s="220">
        <f>COUNTIFS(Tableau2[Ref-Carte],Tableau1[[#This Row],[Ref-Carte]],Tableau2[TS],INDEX(Tableau6[TS],COLUMN()-COLUMN(Tableau1[[#All],[TS1-T]])+1))</f>
        <v>0</v>
      </c>
      <c r="P85" s="220">
        <f>COUNTIFS(Tableau2[Ref-Carte],Tableau1[[#This Row],[Ref-Carte]],Tableau2[TS],INDEX(Tableau6[TS],COLUMN()-COLUMN(Tableau1[[#All],[TS1-T]])+1))</f>
        <v>8</v>
      </c>
      <c r="Q85" s="220">
        <f>COUNTIFS(Tableau2[Ref-Carte],Tableau1[[#This Row],[Ref-Carte]],Tableau2[TS],INDEX(Tableau6[TS],COLUMN()-COLUMN(Tableau1[[#All],[TS1-T]])+1))</f>
        <v>0</v>
      </c>
      <c r="R85" s="220">
        <f>COUNTIFS(Tableau2[Ref-Carte],Tableau1[[#This Row],[Ref-Carte]],Tableau2[TS],INDEX(Tableau6[TS],COLUMN()-COLUMN(Tableau1[[#All],[TS1-T]])+1))</f>
        <v>0</v>
      </c>
      <c r="S85" s="220">
        <f>COUNTIFS(Tableau2[Ref-Carte],Tableau1[[#This Row],[Ref-Carte]],Tableau2[TS],INDEX(Tableau6[TS],COLUMN()-COLUMN(Tableau1[[#All],[TS1-T]])+1))</f>
        <v>0</v>
      </c>
      <c r="T85" s="220">
        <f>COUNTIFS(Tableau2[Ref-Carte],Tableau1[[#This Row],[Ref-Carte]],Tableau2[TS],INDEX(Tableau6[TS],COLUMN()-COLUMN(Tableau1[[#All],[TS1-T]])+1))</f>
        <v>0</v>
      </c>
      <c r="U85" s="32" t="str">
        <f>IFERROR(Tableau1[[#This Row],[TS1]]/Tableau1[[#This Row],[TS1-T]],"")</f>
        <v/>
      </c>
      <c r="V85" s="32">
        <f>IFERROR(Tableau1[[#This Row],[TS2]]/Tableau1[[#This Row],[TS2-T]],"")</f>
        <v>0</v>
      </c>
      <c r="W85" s="32" t="str">
        <f>IFERROR(Tableau1[[#This Row],[TS3]]/Tableau1[[#This Row],[TS3-T]],"")</f>
        <v/>
      </c>
      <c r="X85" s="32" t="str">
        <f>IFERROR(Tableau1[[#This Row],[TS4]]/Tableau1[[#This Row],[TS4-T]],"")</f>
        <v/>
      </c>
      <c r="Y85" s="32" t="str">
        <f>IFERROR(Tableau1[[#This Row],[TS5]]/Tableau1[[#This Row],[TS5-T]],"")</f>
        <v/>
      </c>
      <c r="Z85" s="32" t="str">
        <f>IFERROR(Tableau1[[#This Row],[TS6]]/Tableau1[[#This Row],[TS6-T]],"")</f>
        <v/>
      </c>
    </row>
    <row r="86" spans="1:26" ht="16.5" thickTop="1" thickBot="1">
      <c r="A86" s="84">
        <v>2</v>
      </c>
      <c r="B86" s="23" t="str">
        <f>INDEX(Tableau7[Repere],MATCH(Tableau1[[#This Row],[ID-API]],Tableau7[ID-API],0))&amp;""</f>
        <v>A2</v>
      </c>
      <c r="C86" s="84">
        <v>1</v>
      </c>
      <c r="D86" t="str">
        <f>"R" &amp; Tableau1[[#This Row],[ID-RACK]]</f>
        <v>R1</v>
      </c>
      <c r="E86" s="84">
        <v>6</v>
      </c>
      <c r="F86" t="str">
        <f>"S" &amp; Tableau1[[#This Row],[ID-SLOT]]</f>
        <v>S6</v>
      </c>
      <c r="G86" s="168" t="str">
        <f>Tableau1[[#This Row],[ID-API]]&amp; "." &amp;Tableau1[[#This Row],[ID-RACK]]&amp; "." &amp;Tableau1[[#This Row],[ID-SLOT]]</f>
        <v>2.1.6</v>
      </c>
      <c r="H86" t="s">
        <v>708</v>
      </c>
      <c r="I86" s="30">
        <v>0</v>
      </c>
      <c r="J86" s="30">
        <v>0</v>
      </c>
      <c r="K86" s="30">
        <v>0</v>
      </c>
      <c r="L86" s="30">
        <v>0</v>
      </c>
      <c r="M86" s="30">
        <v>0</v>
      </c>
      <c r="N86" s="30">
        <v>0</v>
      </c>
      <c r="O86" s="220">
        <f>COUNTIFS(Tableau2[Ref-Carte],Tableau1[[#This Row],[Ref-Carte]],Tableau2[TS],INDEX(Tableau6[TS],COLUMN()-COLUMN(Tableau1[[#All],[TS1-T]])+1))</f>
        <v>0</v>
      </c>
      <c r="P86" s="220">
        <f>COUNTIFS(Tableau2[Ref-Carte],Tableau1[[#This Row],[Ref-Carte]],Tableau2[TS],INDEX(Tableau6[TS],COLUMN()-COLUMN(Tableau1[[#All],[TS1-T]])+1))</f>
        <v>8</v>
      </c>
      <c r="Q86" s="220">
        <f>COUNTIFS(Tableau2[Ref-Carte],Tableau1[[#This Row],[Ref-Carte]],Tableau2[TS],INDEX(Tableau6[TS],COLUMN()-COLUMN(Tableau1[[#All],[TS1-T]])+1))</f>
        <v>0</v>
      </c>
      <c r="R86" s="220">
        <f>COUNTIFS(Tableau2[Ref-Carte],Tableau1[[#This Row],[Ref-Carte]],Tableau2[TS],INDEX(Tableau6[TS],COLUMN()-COLUMN(Tableau1[[#All],[TS1-T]])+1))</f>
        <v>0</v>
      </c>
      <c r="S86" s="220">
        <f>COUNTIFS(Tableau2[Ref-Carte],Tableau1[[#This Row],[Ref-Carte]],Tableau2[TS],INDEX(Tableau6[TS],COLUMN()-COLUMN(Tableau1[[#All],[TS1-T]])+1))</f>
        <v>0</v>
      </c>
      <c r="T86" s="220">
        <f>COUNTIFS(Tableau2[Ref-Carte],Tableau1[[#This Row],[Ref-Carte]],Tableau2[TS],INDEX(Tableau6[TS],COLUMN()-COLUMN(Tableau1[[#All],[TS1-T]])+1))</f>
        <v>0</v>
      </c>
      <c r="U86" s="32" t="str">
        <f>IFERROR(Tableau1[[#This Row],[TS1]]/Tableau1[[#This Row],[TS1-T]],"")</f>
        <v/>
      </c>
      <c r="V86" s="32">
        <f>IFERROR(Tableau1[[#This Row],[TS2]]/Tableau1[[#This Row],[TS2-T]],"")</f>
        <v>0</v>
      </c>
      <c r="W86" s="32" t="str">
        <f>IFERROR(Tableau1[[#This Row],[TS3]]/Tableau1[[#This Row],[TS3-T]],"")</f>
        <v/>
      </c>
      <c r="X86" s="32" t="str">
        <f>IFERROR(Tableau1[[#This Row],[TS4]]/Tableau1[[#This Row],[TS4-T]],"")</f>
        <v/>
      </c>
      <c r="Y86" s="32" t="str">
        <f>IFERROR(Tableau1[[#This Row],[TS5]]/Tableau1[[#This Row],[TS5-T]],"")</f>
        <v/>
      </c>
      <c r="Z86" s="32" t="str">
        <f>IFERROR(Tableau1[[#This Row],[TS6]]/Tableau1[[#This Row],[TS6-T]],"")</f>
        <v/>
      </c>
    </row>
    <row r="87" spans="1:26" ht="16.5" thickTop="1" thickBot="1">
      <c r="A87" s="84">
        <v>2</v>
      </c>
      <c r="B87" s="23" t="str">
        <f>INDEX(Tableau7[Repere],MATCH(Tableau1[[#This Row],[ID-API]],Tableau7[ID-API],0))&amp;""</f>
        <v>A2</v>
      </c>
      <c r="C87" s="84">
        <v>1</v>
      </c>
      <c r="D87" t="str">
        <f>"R" &amp; Tableau1[[#This Row],[ID-RACK]]</f>
        <v>R1</v>
      </c>
      <c r="E87" s="84">
        <v>7</v>
      </c>
      <c r="F87" t="str">
        <f>"S" &amp; Tableau1[[#This Row],[ID-SLOT]]</f>
        <v>S7</v>
      </c>
      <c r="G87" s="168" t="str">
        <f>Tableau1[[#This Row],[ID-API]]&amp; "." &amp;Tableau1[[#This Row],[ID-RACK]]&amp; "." &amp;Tableau1[[#This Row],[ID-SLOT]]</f>
        <v>2.1.7</v>
      </c>
      <c r="H87" t="s">
        <v>710</v>
      </c>
      <c r="I87" s="30">
        <v>0</v>
      </c>
      <c r="J87" s="30">
        <v>0</v>
      </c>
      <c r="K87" s="30">
        <v>0</v>
      </c>
      <c r="L87" s="30">
        <v>0</v>
      </c>
      <c r="M87" s="30">
        <v>0</v>
      </c>
      <c r="N87" s="30">
        <v>0</v>
      </c>
      <c r="O87" s="220">
        <f>COUNTIFS(Tableau2[Ref-Carte],Tableau1[[#This Row],[Ref-Carte]],Tableau2[TS],INDEX(Tableau6[TS],COLUMN()-COLUMN(Tableau1[[#All],[TS1-T]])+1))</f>
        <v>16</v>
      </c>
      <c r="P87" s="220">
        <f>COUNTIFS(Tableau2[Ref-Carte],Tableau1[[#This Row],[Ref-Carte]],Tableau2[TS],INDEX(Tableau6[TS],COLUMN()-COLUMN(Tableau1[[#All],[TS1-T]])+1))</f>
        <v>0</v>
      </c>
      <c r="Q87" s="220">
        <f>COUNTIFS(Tableau2[Ref-Carte],Tableau1[[#This Row],[Ref-Carte]],Tableau2[TS],INDEX(Tableau6[TS],COLUMN()-COLUMN(Tableau1[[#All],[TS1-T]])+1))</f>
        <v>0</v>
      </c>
      <c r="R87" s="220">
        <f>COUNTIFS(Tableau2[Ref-Carte],Tableau1[[#This Row],[Ref-Carte]],Tableau2[TS],INDEX(Tableau6[TS],COLUMN()-COLUMN(Tableau1[[#All],[TS1-T]])+1))</f>
        <v>0</v>
      </c>
      <c r="S87" s="220">
        <f>COUNTIFS(Tableau2[Ref-Carte],Tableau1[[#This Row],[Ref-Carte]],Tableau2[TS],INDEX(Tableau6[TS],COLUMN()-COLUMN(Tableau1[[#All],[TS1-T]])+1))</f>
        <v>0</v>
      </c>
      <c r="T87" s="220">
        <f>COUNTIFS(Tableau2[Ref-Carte],Tableau1[[#This Row],[Ref-Carte]],Tableau2[TS],INDEX(Tableau6[TS],COLUMN()-COLUMN(Tableau1[[#All],[TS1-T]])+1))</f>
        <v>0</v>
      </c>
      <c r="U87" s="32">
        <f>IFERROR(Tableau1[[#This Row],[TS1]]/Tableau1[[#This Row],[TS1-T]],"")</f>
        <v>0</v>
      </c>
      <c r="V87" s="32" t="str">
        <f>IFERROR(Tableau1[[#This Row],[TS2]]/Tableau1[[#This Row],[TS2-T]],"")</f>
        <v/>
      </c>
      <c r="W87" s="32" t="str">
        <f>IFERROR(Tableau1[[#This Row],[TS3]]/Tableau1[[#This Row],[TS3-T]],"")</f>
        <v/>
      </c>
      <c r="X87" s="32" t="str">
        <f>IFERROR(Tableau1[[#This Row],[TS4]]/Tableau1[[#This Row],[TS4-T]],"")</f>
        <v/>
      </c>
      <c r="Y87" s="32" t="str">
        <f>IFERROR(Tableau1[[#This Row],[TS5]]/Tableau1[[#This Row],[TS5-T]],"")</f>
        <v/>
      </c>
      <c r="Z87" s="32" t="str">
        <f>IFERROR(Tableau1[[#This Row],[TS6]]/Tableau1[[#This Row],[TS6-T]],"")</f>
        <v/>
      </c>
    </row>
    <row r="88" spans="1:26" ht="16.5" thickTop="1" thickBot="1">
      <c r="A88" s="84">
        <v>2</v>
      </c>
      <c r="B88" s="23" t="str">
        <f>INDEX(Tableau7[Repere],MATCH(Tableau1[[#This Row],[ID-API]],Tableau7[ID-API],0))&amp;""</f>
        <v>A2</v>
      </c>
      <c r="C88" s="84">
        <v>1</v>
      </c>
      <c r="D88" t="str">
        <f>"R" &amp; Tableau1[[#This Row],[ID-RACK]]</f>
        <v>R1</v>
      </c>
      <c r="E88" s="84">
        <v>8</v>
      </c>
      <c r="F88" t="str">
        <f>"S" &amp; Tableau1[[#This Row],[ID-SLOT]]</f>
        <v>S8</v>
      </c>
      <c r="G88" s="168" t="str">
        <f>Tableau1[[#This Row],[ID-API]]&amp; "." &amp;Tableau1[[#This Row],[ID-RACK]]&amp; "." &amp;Tableau1[[#This Row],[ID-SLOT]]</f>
        <v>2.1.8</v>
      </c>
      <c r="H88" t="s">
        <v>710</v>
      </c>
      <c r="I88" s="30">
        <v>0</v>
      </c>
      <c r="J88" s="30">
        <v>0</v>
      </c>
      <c r="K88" s="30">
        <v>0</v>
      </c>
      <c r="L88" s="30">
        <v>0</v>
      </c>
      <c r="M88" s="30">
        <v>0</v>
      </c>
      <c r="N88" s="30">
        <v>0</v>
      </c>
      <c r="O88" s="220">
        <f>COUNTIFS(Tableau2[Ref-Carte],Tableau1[[#This Row],[Ref-Carte]],Tableau2[TS],INDEX(Tableau6[TS],COLUMN()-COLUMN(Tableau1[[#All],[TS1-T]])+1))</f>
        <v>16</v>
      </c>
      <c r="P88" s="220">
        <f>COUNTIFS(Tableau2[Ref-Carte],Tableau1[[#This Row],[Ref-Carte]],Tableau2[TS],INDEX(Tableau6[TS],COLUMN()-COLUMN(Tableau1[[#All],[TS1-T]])+1))</f>
        <v>0</v>
      </c>
      <c r="Q88" s="220">
        <f>COUNTIFS(Tableau2[Ref-Carte],Tableau1[[#This Row],[Ref-Carte]],Tableau2[TS],INDEX(Tableau6[TS],COLUMN()-COLUMN(Tableau1[[#All],[TS1-T]])+1))</f>
        <v>0</v>
      </c>
      <c r="R88" s="220">
        <f>COUNTIFS(Tableau2[Ref-Carte],Tableau1[[#This Row],[Ref-Carte]],Tableau2[TS],INDEX(Tableau6[TS],COLUMN()-COLUMN(Tableau1[[#All],[TS1-T]])+1))</f>
        <v>0</v>
      </c>
      <c r="S88" s="220">
        <f>COUNTIFS(Tableau2[Ref-Carte],Tableau1[[#This Row],[Ref-Carte]],Tableau2[TS],INDEX(Tableau6[TS],COLUMN()-COLUMN(Tableau1[[#All],[TS1-T]])+1))</f>
        <v>0</v>
      </c>
      <c r="T88" s="220">
        <f>COUNTIFS(Tableau2[Ref-Carte],Tableau1[[#This Row],[Ref-Carte]],Tableau2[TS],INDEX(Tableau6[TS],COLUMN()-COLUMN(Tableau1[[#All],[TS1-T]])+1))</f>
        <v>0</v>
      </c>
      <c r="U88" s="32">
        <f>IFERROR(Tableau1[[#This Row],[TS1]]/Tableau1[[#This Row],[TS1-T]],"")</f>
        <v>0</v>
      </c>
      <c r="V88" s="32" t="str">
        <f>IFERROR(Tableau1[[#This Row],[TS2]]/Tableau1[[#This Row],[TS2-T]],"")</f>
        <v/>
      </c>
      <c r="W88" s="32" t="str">
        <f>IFERROR(Tableau1[[#This Row],[TS3]]/Tableau1[[#This Row],[TS3-T]],"")</f>
        <v/>
      </c>
      <c r="X88" s="32" t="str">
        <f>IFERROR(Tableau1[[#This Row],[TS4]]/Tableau1[[#This Row],[TS4-T]],"")</f>
        <v/>
      </c>
      <c r="Y88" s="32" t="str">
        <f>IFERROR(Tableau1[[#This Row],[TS5]]/Tableau1[[#This Row],[TS5-T]],"")</f>
        <v/>
      </c>
      <c r="Z88" s="32" t="str">
        <f>IFERROR(Tableau1[[#This Row],[TS6]]/Tableau1[[#This Row],[TS6-T]],"")</f>
        <v/>
      </c>
    </row>
    <row r="89" spans="1:26" ht="16.5" thickTop="1" thickBot="1">
      <c r="A89" s="84">
        <v>2</v>
      </c>
      <c r="B89" s="23" t="str">
        <f>INDEX(Tableau7[Repere],MATCH(Tableau1[[#This Row],[ID-API]],Tableau7[ID-API],0))&amp;""</f>
        <v>A2</v>
      </c>
      <c r="C89" s="84">
        <v>1</v>
      </c>
      <c r="D89" t="str">
        <f>"R" &amp; Tableau1[[#This Row],[ID-RACK]]</f>
        <v>R1</v>
      </c>
      <c r="E89" s="84">
        <v>9</v>
      </c>
      <c r="F89" t="str">
        <f>"S" &amp; Tableau1[[#This Row],[ID-SLOT]]</f>
        <v>S9</v>
      </c>
      <c r="G89" s="168" t="str">
        <f>Tableau1[[#This Row],[ID-API]]&amp; "." &amp;Tableau1[[#This Row],[ID-RACK]]&amp; "." &amp;Tableau1[[#This Row],[ID-SLOT]]</f>
        <v>2.1.9</v>
      </c>
      <c r="H89" t="s">
        <v>710</v>
      </c>
      <c r="I89" s="30">
        <v>0</v>
      </c>
      <c r="J89" s="30">
        <v>0</v>
      </c>
      <c r="K89" s="30">
        <v>0</v>
      </c>
      <c r="L89" s="30">
        <v>0</v>
      </c>
      <c r="M89" s="30">
        <v>0</v>
      </c>
      <c r="N89" s="30">
        <v>0</v>
      </c>
      <c r="O89" s="220">
        <f>COUNTIFS(Tableau2[Ref-Carte],Tableau1[[#This Row],[Ref-Carte]],Tableau2[TS],INDEX(Tableau6[TS],COLUMN()-COLUMN(Tableau1[[#All],[TS1-T]])+1))</f>
        <v>16</v>
      </c>
      <c r="P89" s="220">
        <f>COUNTIFS(Tableau2[Ref-Carte],Tableau1[[#This Row],[Ref-Carte]],Tableau2[TS],INDEX(Tableau6[TS],COLUMN()-COLUMN(Tableau1[[#All],[TS1-T]])+1))</f>
        <v>0</v>
      </c>
      <c r="Q89" s="220">
        <f>COUNTIFS(Tableau2[Ref-Carte],Tableau1[[#This Row],[Ref-Carte]],Tableau2[TS],INDEX(Tableau6[TS],COLUMN()-COLUMN(Tableau1[[#All],[TS1-T]])+1))</f>
        <v>0</v>
      </c>
      <c r="R89" s="220">
        <f>COUNTIFS(Tableau2[Ref-Carte],Tableau1[[#This Row],[Ref-Carte]],Tableau2[TS],INDEX(Tableau6[TS],COLUMN()-COLUMN(Tableau1[[#All],[TS1-T]])+1))</f>
        <v>0</v>
      </c>
      <c r="S89" s="220">
        <f>COUNTIFS(Tableau2[Ref-Carte],Tableau1[[#This Row],[Ref-Carte]],Tableau2[TS],INDEX(Tableau6[TS],COLUMN()-COLUMN(Tableau1[[#All],[TS1-T]])+1))</f>
        <v>0</v>
      </c>
      <c r="T89" s="220">
        <f>COUNTIFS(Tableau2[Ref-Carte],Tableau1[[#This Row],[Ref-Carte]],Tableau2[TS],INDEX(Tableau6[TS],COLUMN()-COLUMN(Tableau1[[#All],[TS1-T]])+1))</f>
        <v>0</v>
      </c>
      <c r="U89" s="32">
        <f>IFERROR(Tableau1[[#This Row],[TS1]]/Tableau1[[#This Row],[TS1-T]],"")</f>
        <v>0</v>
      </c>
      <c r="V89" s="32" t="str">
        <f>IFERROR(Tableau1[[#This Row],[TS2]]/Tableau1[[#This Row],[TS2-T]],"")</f>
        <v/>
      </c>
      <c r="W89" s="32" t="str">
        <f>IFERROR(Tableau1[[#This Row],[TS3]]/Tableau1[[#This Row],[TS3-T]],"")</f>
        <v/>
      </c>
      <c r="X89" s="32" t="str">
        <f>IFERROR(Tableau1[[#This Row],[TS4]]/Tableau1[[#This Row],[TS4-T]],"")</f>
        <v/>
      </c>
      <c r="Y89" s="32" t="str">
        <f>IFERROR(Tableau1[[#This Row],[TS5]]/Tableau1[[#This Row],[TS5-T]],"")</f>
        <v/>
      </c>
      <c r="Z89" s="32" t="str">
        <f>IFERROR(Tableau1[[#This Row],[TS6]]/Tableau1[[#This Row],[TS6-T]],"")</f>
        <v/>
      </c>
    </row>
    <row r="90" spans="1:26" ht="16.5" thickTop="1" thickBot="1">
      <c r="A90" s="84">
        <v>2</v>
      </c>
      <c r="B90" s="23" t="str">
        <f>INDEX(Tableau7[Repere],MATCH(Tableau1[[#This Row],[ID-API]],Tableau7[ID-API],0))&amp;""</f>
        <v>A2</v>
      </c>
      <c r="C90" s="84">
        <v>1</v>
      </c>
      <c r="D90" t="str">
        <f>"R" &amp; Tableau1[[#This Row],[ID-RACK]]</f>
        <v>R1</v>
      </c>
      <c r="E90" s="84">
        <v>10</v>
      </c>
      <c r="F90" t="str">
        <f>"S" &amp; Tableau1[[#This Row],[ID-SLOT]]</f>
        <v>S10</v>
      </c>
      <c r="G90" s="168" t="str">
        <f>Tableau1[[#This Row],[ID-API]]&amp; "." &amp;Tableau1[[#This Row],[ID-RACK]]&amp; "." &amp;Tableau1[[#This Row],[ID-SLOT]]</f>
        <v>2.1.10</v>
      </c>
      <c r="H90" t="s">
        <v>708</v>
      </c>
      <c r="I90" s="30">
        <v>0</v>
      </c>
      <c r="J90" s="30">
        <v>0</v>
      </c>
      <c r="K90" s="30">
        <v>0</v>
      </c>
      <c r="L90" s="30">
        <v>0</v>
      </c>
      <c r="M90" s="30">
        <v>0</v>
      </c>
      <c r="N90" s="30">
        <v>0</v>
      </c>
      <c r="O90" s="220">
        <f>COUNTIFS(Tableau2[Ref-Carte],Tableau1[[#This Row],[Ref-Carte]],Tableau2[TS],INDEX(Tableau6[TS],COLUMN()-COLUMN(Tableau1[[#All],[TS1-T]])+1))</f>
        <v>0</v>
      </c>
      <c r="P90" s="220">
        <f>COUNTIFS(Tableau2[Ref-Carte],Tableau1[[#This Row],[Ref-Carte]],Tableau2[TS],INDEX(Tableau6[TS],COLUMN()-COLUMN(Tableau1[[#All],[TS1-T]])+1))</f>
        <v>8</v>
      </c>
      <c r="Q90" s="220">
        <f>COUNTIFS(Tableau2[Ref-Carte],Tableau1[[#This Row],[Ref-Carte]],Tableau2[TS],INDEX(Tableau6[TS],COLUMN()-COLUMN(Tableau1[[#All],[TS1-T]])+1))</f>
        <v>0</v>
      </c>
      <c r="R90" s="220">
        <f>COUNTIFS(Tableau2[Ref-Carte],Tableau1[[#This Row],[Ref-Carte]],Tableau2[TS],INDEX(Tableau6[TS],COLUMN()-COLUMN(Tableau1[[#All],[TS1-T]])+1))</f>
        <v>0</v>
      </c>
      <c r="S90" s="220">
        <f>COUNTIFS(Tableau2[Ref-Carte],Tableau1[[#This Row],[Ref-Carte]],Tableau2[TS],INDEX(Tableau6[TS],COLUMN()-COLUMN(Tableau1[[#All],[TS1-T]])+1))</f>
        <v>0</v>
      </c>
      <c r="T90" s="220">
        <f>COUNTIFS(Tableau2[Ref-Carte],Tableau1[[#This Row],[Ref-Carte]],Tableau2[TS],INDEX(Tableau6[TS],COLUMN()-COLUMN(Tableau1[[#All],[TS1-T]])+1))</f>
        <v>0</v>
      </c>
      <c r="U90" s="32" t="str">
        <f>IFERROR(Tableau1[[#This Row],[TS1]]/Tableau1[[#This Row],[TS1-T]],"")</f>
        <v/>
      </c>
      <c r="V90" s="32">
        <f>IFERROR(Tableau1[[#This Row],[TS2]]/Tableau1[[#This Row],[TS2-T]],"")</f>
        <v>0</v>
      </c>
      <c r="W90" s="32" t="str">
        <f>IFERROR(Tableau1[[#This Row],[TS3]]/Tableau1[[#This Row],[TS3-T]],"")</f>
        <v/>
      </c>
      <c r="X90" s="32" t="str">
        <f>IFERROR(Tableau1[[#This Row],[TS4]]/Tableau1[[#This Row],[TS4-T]],"")</f>
        <v/>
      </c>
      <c r="Y90" s="32" t="str">
        <f>IFERROR(Tableau1[[#This Row],[TS5]]/Tableau1[[#This Row],[TS5-T]],"")</f>
        <v/>
      </c>
      <c r="Z90" s="32" t="str">
        <f>IFERROR(Tableau1[[#This Row],[TS6]]/Tableau1[[#This Row],[TS6-T]],"")</f>
        <v/>
      </c>
    </row>
    <row r="91" spans="1:26" ht="16.5" thickTop="1" thickBot="1">
      <c r="A91" s="84">
        <v>2</v>
      </c>
      <c r="B91" s="23" t="str">
        <f>INDEX(Tableau7[Repere],MATCH(Tableau1[[#This Row],[ID-API]],Tableau7[ID-API],0))&amp;""</f>
        <v>A2</v>
      </c>
      <c r="C91" s="84">
        <v>2</v>
      </c>
      <c r="D91" t="str">
        <f>"R" &amp; Tableau1[[#This Row],[ID-RACK]]</f>
        <v>R2</v>
      </c>
      <c r="E91" s="84">
        <v>1</v>
      </c>
      <c r="F91" t="str">
        <f>"S" &amp; Tableau1[[#This Row],[ID-SLOT]]</f>
        <v>S1</v>
      </c>
      <c r="G91" s="168" t="str">
        <f>Tableau1[[#This Row],[ID-API]]&amp; "." &amp;Tableau1[[#This Row],[ID-RACK]]&amp; "." &amp;Tableau1[[#This Row],[ID-SLOT]]</f>
        <v>2.2.1</v>
      </c>
      <c r="H91" t="s">
        <v>708</v>
      </c>
      <c r="I91" s="30">
        <v>0</v>
      </c>
      <c r="J91" s="30">
        <v>0</v>
      </c>
      <c r="K91" s="30">
        <v>0</v>
      </c>
      <c r="L91" s="30">
        <v>0</v>
      </c>
      <c r="M91" s="30">
        <v>0</v>
      </c>
      <c r="N91" s="30">
        <v>0</v>
      </c>
      <c r="O91" s="220">
        <f>COUNTIFS(Tableau2[Ref-Carte],Tableau1[[#This Row],[Ref-Carte]],Tableau2[TS],INDEX(Tableau6[TS],COLUMN()-COLUMN(Tableau1[[#All],[TS1-T]])+1))</f>
        <v>0</v>
      </c>
      <c r="P91" s="220">
        <f>COUNTIFS(Tableau2[Ref-Carte],Tableau1[[#This Row],[Ref-Carte]],Tableau2[TS],INDEX(Tableau6[TS],COLUMN()-COLUMN(Tableau1[[#All],[TS1-T]])+1))</f>
        <v>8</v>
      </c>
      <c r="Q91" s="220">
        <f>COUNTIFS(Tableau2[Ref-Carte],Tableau1[[#This Row],[Ref-Carte]],Tableau2[TS],INDEX(Tableau6[TS],COLUMN()-COLUMN(Tableau1[[#All],[TS1-T]])+1))</f>
        <v>0</v>
      </c>
      <c r="R91" s="220">
        <f>COUNTIFS(Tableau2[Ref-Carte],Tableau1[[#This Row],[Ref-Carte]],Tableau2[TS],INDEX(Tableau6[TS],COLUMN()-COLUMN(Tableau1[[#All],[TS1-T]])+1))</f>
        <v>0</v>
      </c>
      <c r="S91" s="220">
        <f>COUNTIFS(Tableau2[Ref-Carte],Tableau1[[#This Row],[Ref-Carte]],Tableau2[TS],INDEX(Tableau6[TS],COLUMN()-COLUMN(Tableau1[[#All],[TS1-T]])+1))</f>
        <v>0</v>
      </c>
      <c r="T91" s="220">
        <f>COUNTIFS(Tableau2[Ref-Carte],Tableau1[[#This Row],[Ref-Carte]],Tableau2[TS],INDEX(Tableau6[TS],COLUMN()-COLUMN(Tableau1[[#All],[TS1-T]])+1))</f>
        <v>0</v>
      </c>
      <c r="U91" s="32" t="str">
        <f>IFERROR(Tableau1[[#This Row],[TS1]]/Tableau1[[#This Row],[TS1-T]],"")</f>
        <v/>
      </c>
      <c r="V91" s="32">
        <f>IFERROR(Tableau1[[#This Row],[TS2]]/Tableau1[[#This Row],[TS2-T]],"")</f>
        <v>0</v>
      </c>
      <c r="W91" s="32" t="str">
        <f>IFERROR(Tableau1[[#This Row],[TS3]]/Tableau1[[#This Row],[TS3-T]],"")</f>
        <v/>
      </c>
      <c r="X91" s="32" t="str">
        <f>IFERROR(Tableau1[[#This Row],[TS4]]/Tableau1[[#This Row],[TS4-T]],"")</f>
        <v/>
      </c>
      <c r="Y91" s="32" t="str">
        <f>IFERROR(Tableau1[[#This Row],[TS5]]/Tableau1[[#This Row],[TS5-T]],"")</f>
        <v/>
      </c>
      <c r="Z91" s="32" t="str">
        <f>IFERROR(Tableau1[[#This Row],[TS6]]/Tableau1[[#This Row],[TS6-T]],"")</f>
        <v/>
      </c>
    </row>
    <row r="92" spans="1:26" ht="16.5" thickTop="1" thickBot="1">
      <c r="A92" s="84">
        <v>2</v>
      </c>
      <c r="B92" s="23" t="str">
        <f>INDEX(Tableau7[Repere],MATCH(Tableau1[[#This Row],[ID-API]],Tableau7[ID-API],0))&amp;""</f>
        <v>A2</v>
      </c>
      <c r="C92" s="84">
        <v>2</v>
      </c>
      <c r="D92" t="str">
        <f>"R" &amp; Tableau1[[#This Row],[ID-RACK]]</f>
        <v>R2</v>
      </c>
      <c r="E92" s="84">
        <v>2</v>
      </c>
      <c r="F92" t="str">
        <f>"S" &amp; Tableau1[[#This Row],[ID-SLOT]]</f>
        <v>S2</v>
      </c>
      <c r="G92" s="168" t="str">
        <f>Tableau1[[#This Row],[ID-API]]&amp; "." &amp;Tableau1[[#This Row],[ID-RACK]]&amp; "." &amp;Tableau1[[#This Row],[ID-SLOT]]</f>
        <v>2.2.2</v>
      </c>
      <c r="H92" t="s">
        <v>708</v>
      </c>
      <c r="I92" s="30">
        <v>0</v>
      </c>
      <c r="J92" s="30">
        <v>8</v>
      </c>
      <c r="K92" s="30">
        <v>0</v>
      </c>
      <c r="L92" s="30">
        <v>0</v>
      </c>
      <c r="M92" s="30">
        <v>0</v>
      </c>
      <c r="N92" s="30">
        <v>0</v>
      </c>
      <c r="O92" s="220">
        <f>COUNTIFS(Tableau2[Ref-Carte],Tableau1[[#This Row],[Ref-Carte]],Tableau2[TS],INDEX(Tableau6[TS],COLUMN()-COLUMN(Tableau1[[#All],[TS1-T]])+1))</f>
        <v>0</v>
      </c>
      <c r="P92" s="220">
        <f>COUNTIFS(Tableau2[Ref-Carte],Tableau1[[#This Row],[Ref-Carte]],Tableau2[TS],INDEX(Tableau6[TS],COLUMN()-COLUMN(Tableau1[[#All],[TS1-T]])+1))</f>
        <v>8</v>
      </c>
      <c r="Q92" s="220">
        <f>COUNTIFS(Tableau2[Ref-Carte],Tableau1[[#This Row],[Ref-Carte]],Tableau2[TS],INDEX(Tableau6[TS],COLUMN()-COLUMN(Tableau1[[#All],[TS1-T]])+1))</f>
        <v>0</v>
      </c>
      <c r="R92" s="220">
        <f>COUNTIFS(Tableau2[Ref-Carte],Tableau1[[#This Row],[Ref-Carte]],Tableau2[TS],INDEX(Tableau6[TS],COLUMN()-COLUMN(Tableau1[[#All],[TS1-T]])+1))</f>
        <v>0</v>
      </c>
      <c r="S92" s="220">
        <f>COUNTIFS(Tableau2[Ref-Carte],Tableau1[[#This Row],[Ref-Carte]],Tableau2[TS],INDEX(Tableau6[TS],COLUMN()-COLUMN(Tableau1[[#All],[TS1-T]])+1))</f>
        <v>0</v>
      </c>
      <c r="T92" s="220">
        <f>COUNTIFS(Tableau2[Ref-Carte],Tableau1[[#This Row],[Ref-Carte]],Tableau2[TS],INDEX(Tableau6[TS],COLUMN()-COLUMN(Tableau1[[#All],[TS1-T]])+1))</f>
        <v>0</v>
      </c>
      <c r="U92" s="32" t="str">
        <f>IFERROR(Tableau1[[#This Row],[TS1]]/Tableau1[[#This Row],[TS1-T]],"")</f>
        <v/>
      </c>
      <c r="V92" s="32">
        <f>IFERROR(Tableau1[[#This Row],[TS2]]/Tableau1[[#This Row],[TS2-T]],"")</f>
        <v>1</v>
      </c>
      <c r="W92" s="32" t="str">
        <f>IFERROR(Tableau1[[#This Row],[TS3]]/Tableau1[[#This Row],[TS3-T]],"")</f>
        <v/>
      </c>
      <c r="X92" s="32" t="str">
        <f>IFERROR(Tableau1[[#This Row],[TS4]]/Tableau1[[#This Row],[TS4-T]],"")</f>
        <v/>
      </c>
      <c r="Y92" s="32" t="str">
        <f>IFERROR(Tableau1[[#This Row],[TS5]]/Tableau1[[#This Row],[TS5-T]],"")</f>
        <v/>
      </c>
      <c r="Z92" s="32" t="str">
        <f>IFERROR(Tableau1[[#This Row],[TS6]]/Tableau1[[#This Row],[TS6-T]],"")</f>
        <v/>
      </c>
    </row>
    <row r="93" spans="1:26" ht="16.5" thickTop="1" thickBot="1">
      <c r="A93" s="84">
        <v>2</v>
      </c>
      <c r="B93" s="23" t="str">
        <f>INDEX(Tableau7[Repere],MATCH(Tableau1[[#This Row],[ID-API]],Tableau7[ID-API],0))&amp;""</f>
        <v>A2</v>
      </c>
      <c r="C93" s="84">
        <v>2</v>
      </c>
      <c r="D93" t="str">
        <f>"R" &amp; Tableau1[[#This Row],[ID-RACK]]</f>
        <v>R2</v>
      </c>
      <c r="E93" s="84">
        <v>3</v>
      </c>
      <c r="F93" t="str">
        <f>"S" &amp; Tableau1[[#This Row],[ID-SLOT]]</f>
        <v>S3</v>
      </c>
      <c r="G93" s="168" t="str">
        <f>Tableau1[[#This Row],[ID-API]]&amp; "." &amp;Tableau1[[#This Row],[ID-RACK]]&amp; "." &amp;Tableau1[[#This Row],[ID-SLOT]]</f>
        <v>2.2.3</v>
      </c>
      <c r="H93" t="s">
        <v>710</v>
      </c>
      <c r="I93" s="30">
        <v>0</v>
      </c>
      <c r="J93" s="30">
        <v>0</v>
      </c>
      <c r="K93" s="30">
        <v>0</v>
      </c>
      <c r="L93" s="30">
        <v>0</v>
      </c>
      <c r="M93" s="30">
        <v>0</v>
      </c>
      <c r="N93" s="30">
        <v>0</v>
      </c>
      <c r="O93" s="220">
        <f>COUNTIFS(Tableau2[Ref-Carte],Tableau1[[#This Row],[Ref-Carte]],Tableau2[TS],INDEX(Tableau6[TS],COLUMN()-COLUMN(Tableau1[[#All],[TS1-T]])+1))</f>
        <v>16</v>
      </c>
      <c r="P93" s="220">
        <f>COUNTIFS(Tableau2[Ref-Carte],Tableau1[[#This Row],[Ref-Carte]],Tableau2[TS],INDEX(Tableau6[TS],COLUMN()-COLUMN(Tableau1[[#All],[TS1-T]])+1))</f>
        <v>0</v>
      </c>
      <c r="Q93" s="220">
        <f>COUNTIFS(Tableau2[Ref-Carte],Tableau1[[#This Row],[Ref-Carte]],Tableau2[TS],INDEX(Tableau6[TS],COLUMN()-COLUMN(Tableau1[[#All],[TS1-T]])+1))</f>
        <v>0</v>
      </c>
      <c r="R93" s="220">
        <f>COUNTIFS(Tableau2[Ref-Carte],Tableau1[[#This Row],[Ref-Carte]],Tableau2[TS],INDEX(Tableau6[TS],COLUMN()-COLUMN(Tableau1[[#All],[TS1-T]])+1))</f>
        <v>0</v>
      </c>
      <c r="S93" s="220">
        <f>COUNTIFS(Tableau2[Ref-Carte],Tableau1[[#This Row],[Ref-Carte]],Tableau2[TS],INDEX(Tableau6[TS],COLUMN()-COLUMN(Tableau1[[#All],[TS1-T]])+1))</f>
        <v>0</v>
      </c>
      <c r="T93" s="220">
        <f>COUNTIFS(Tableau2[Ref-Carte],Tableau1[[#This Row],[Ref-Carte]],Tableau2[TS],INDEX(Tableau6[TS],COLUMN()-COLUMN(Tableau1[[#All],[TS1-T]])+1))</f>
        <v>0</v>
      </c>
      <c r="U93" s="32">
        <f>IFERROR(Tableau1[[#This Row],[TS1]]/Tableau1[[#This Row],[TS1-T]],"")</f>
        <v>0</v>
      </c>
      <c r="V93" s="32" t="str">
        <f>IFERROR(Tableau1[[#This Row],[TS2]]/Tableau1[[#This Row],[TS2-T]],"")</f>
        <v/>
      </c>
      <c r="W93" s="32" t="str">
        <f>IFERROR(Tableau1[[#This Row],[TS3]]/Tableau1[[#This Row],[TS3-T]],"")</f>
        <v/>
      </c>
      <c r="X93" s="32" t="str">
        <f>IFERROR(Tableau1[[#This Row],[TS4]]/Tableau1[[#This Row],[TS4-T]],"")</f>
        <v/>
      </c>
      <c r="Y93" s="32" t="str">
        <f>IFERROR(Tableau1[[#This Row],[TS5]]/Tableau1[[#This Row],[TS5-T]],"")</f>
        <v/>
      </c>
      <c r="Z93" s="32" t="str">
        <f>IFERROR(Tableau1[[#This Row],[TS6]]/Tableau1[[#This Row],[TS6-T]],"")</f>
        <v/>
      </c>
    </row>
    <row r="94" spans="1:26" ht="16.5" thickTop="1" thickBot="1">
      <c r="A94" s="84">
        <v>2</v>
      </c>
      <c r="B94" s="23" t="str">
        <f>INDEX(Tableau7[Repere],MATCH(Tableau1[[#This Row],[ID-API]],Tableau7[ID-API],0))&amp;""</f>
        <v>A2</v>
      </c>
      <c r="C94" s="84">
        <v>2</v>
      </c>
      <c r="D94" t="str">
        <f>"R" &amp; Tableau1[[#This Row],[ID-RACK]]</f>
        <v>R2</v>
      </c>
      <c r="E94" s="84">
        <v>4</v>
      </c>
      <c r="F94" t="str">
        <f>"S" &amp; Tableau1[[#This Row],[ID-SLOT]]</f>
        <v>S4</v>
      </c>
      <c r="G94" s="168" t="str">
        <f>Tableau1[[#This Row],[ID-API]]&amp; "." &amp;Tableau1[[#This Row],[ID-RACK]]&amp; "." &amp;Tableau1[[#This Row],[ID-SLOT]]</f>
        <v>2.2.4</v>
      </c>
      <c r="H94" t="s">
        <v>710</v>
      </c>
      <c r="I94" s="30">
        <v>0</v>
      </c>
      <c r="J94" s="30">
        <v>0</v>
      </c>
      <c r="K94" s="30">
        <v>0</v>
      </c>
      <c r="L94" s="30">
        <v>0</v>
      </c>
      <c r="M94" s="30">
        <v>0</v>
      </c>
      <c r="N94" s="30">
        <v>0</v>
      </c>
      <c r="O94" s="220">
        <f>COUNTIFS(Tableau2[Ref-Carte],Tableau1[[#This Row],[Ref-Carte]],Tableau2[TS],INDEX(Tableau6[TS],COLUMN()-COLUMN(Tableau1[[#All],[TS1-T]])+1))</f>
        <v>16</v>
      </c>
      <c r="P94" s="220">
        <f>COUNTIFS(Tableau2[Ref-Carte],Tableau1[[#This Row],[Ref-Carte]],Tableau2[TS],INDEX(Tableau6[TS],COLUMN()-COLUMN(Tableau1[[#All],[TS1-T]])+1))</f>
        <v>0</v>
      </c>
      <c r="Q94" s="220">
        <f>COUNTIFS(Tableau2[Ref-Carte],Tableau1[[#This Row],[Ref-Carte]],Tableau2[TS],INDEX(Tableau6[TS],COLUMN()-COLUMN(Tableau1[[#All],[TS1-T]])+1))</f>
        <v>0</v>
      </c>
      <c r="R94" s="220">
        <f>COUNTIFS(Tableau2[Ref-Carte],Tableau1[[#This Row],[Ref-Carte]],Tableau2[TS],INDEX(Tableau6[TS],COLUMN()-COLUMN(Tableau1[[#All],[TS1-T]])+1))</f>
        <v>0</v>
      </c>
      <c r="S94" s="220">
        <f>COUNTIFS(Tableau2[Ref-Carte],Tableau1[[#This Row],[Ref-Carte]],Tableau2[TS],INDEX(Tableau6[TS],COLUMN()-COLUMN(Tableau1[[#All],[TS1-T]])+1))</f>
        <v>0</v>
      </c>
      <c r="T94" s="220">
        <f>COUNTIFS(Tableau2[Ref-Carte],Tableau1[[#This Row],[Ref-Carte]],Tableau2[TS],INDEX(Tableau6[TS],COLUMN()-COLUMN(Tableau1[[#All],[TS1-T]])+1))</f>
        <v>0</v>
      </c>
      <c r="U94" s="32">
        <f>IFERROR(Tableau1[[#This Row],[TS1]]/Tableau1[[#This Row],[TS1-T]],"")</f>
        <v>0</v>
      </c>
      <c r="V94" s="32" t="str">
        <f>IFERROR(Tableau1[[#This Row],[TS2]]/Tableau1[[#This Row],[TS2-T]],"")</f>
        <v/>
      </c>
      <c r="W94" s="32" t="str">
        <f>IFERROR(Tableau1[[#This Row],[TS3]]/Tableau1[[#This Row],[TS3-T]],"")</f>
        <v/>
      </c>
      <c r="X94" s="32" t="str">
        <f>IFERROR(Tableau1[[#This Row],[TS4]]/Tableau1[[#This Row],[TS4-T]],"")</f>
        <v/>
      </c>
      <c r="Y94" s="32" t="str">
        <f>IFERROR(Tableau1[[#This Row],[TS5]]/Tableau1[[#This Row],[TS5-T]],"")</f>
        <v/>
      </c>
      <c r="Z94" s="32" t="str">
        <f>IFERROR(Tableau1[[#This Row],[TS6]]/Tableau1[[#This Row],[TS6-T]],"")</f>
        <v/>
      </c>
    </row>
    <row r="95" spans="1:26" ht="16.5" thickTop="1" thickBot="1">
      <c r="A95" s="84">
        <v>2</v>
      </c>
      <c r="B95" s="23" t="str">
        <f>INDEX(Tableau7[Repere],MATCH(Tableau1[[#This Row],[ID-API]],Tableau7[ID-API],0))&amp;""</f>
        <v>A2</v>
      </c>
      <c r="C95" s="84">
        <v>2</v>
      </c>
      <c r="D95" t="str">
        <f>"R" &amp; Tableau1[[#This Row],[ID-RACK]]</f>
        <v>R2</v>
      </c>
      <c r="E95" s="84">
        <v>5</v>
      </c>
      <c r="F95" t="str">
        <f>"S" &amp; Tableau1[[#This Row],[ID-SLOT]]</f>
        <v>S5</v>
      </c>
      <c r="G95" s="168" t="str">
        <f>Tableau1[[#This Row],[ID-API]]&amp; "." &amp;Tableau1[[#This Row],[ID-RACK]]&amp; "." &amp;Tableau1[[#This Row],[ID-SLOT]]</f>
        <v>2.2.5</v>
      </c>
      <c r="H95" t="s">
        <v>710</v>
      </c>
      <c r="I95" s="30">
        <v>0</v>
      </c>
      <c r="J95" s="30">
        <v>0</v>
      </c>
      <c r="K95" s="30">
        <v>0</v>
      </c>
      <c r="L95" s="30">
        <v>0</v>
      </c>
      <c r="M95" s="30">
        <v>0</v>
      </c>
      <c r="N95" s="30">
        <v>0</v>
      </c>
      <c r="O95" s="220">
        <f>COUNTIFS(Tableau2[Ref-Carte],Tableau1[[#This Row],[Ref-Carte]],Tableau2[TS],INDEX(Tableau6[TS],COLUMN()-COLUMN(Tableau1[[#All],[TS1-T]])+1))</f>
        <v>16</v>
      </c>
      <c r="P95" s="220">
        <f>COUNTIFS(Tableau2[Ref-Carte],Tableau1[[#This Row],[Ref-Carte]],Tableau2[TS],INDEX(Tableau6[TS],COLUMN()-COLUMN(Tableau1[[#All],[TS1-T]])+1))</f>
        <v>0</v>
      </c>
      <c r="Q95" s="220">
        <f>COUNTIFS(Tableau2[Ref-Carte],Tableau1[[#This Row],[Ref-Carte]],Tableau2[TS],INDEX(Tableau6[TS],COLUMN()-COLUMN(Tableau1[[#All],[TS1-T]])+1))</f>
        <v>0</v>
      </c>
      <c r="R95" s="220">
        <f>COUNTIFS(Tableau2[Ref-Carte],Tableau1[[#This Row],[Ref-Carte]],Tableau2[TS],INDEX(Tableau6[TS],COLUMN()-COLUMN(Tableau1[[#All],[TS1-T]])+1))</f>
        <v>0</v>
      </c>
      <c r="S95" s="220">
        <f>COUNTIFS(Tableau2[Ref-Carte],Tableau1[[#This Row],[Ref-Carte]],Tableau2[TS],INDEX(Tableau6[TS],COLUMN()-COLUMN(Tableau1[[#All],[TS1-T]])+1))</f>
        <v>0</v>
      </c>
      <c r="T95" s="220">
        <f>COUNTIFS(Tableau2[Ref-Carte],Tableau1[[#This Row],[Ref-Carte]],Tableau2[TS],INDEX(Tableau6[TS],COLUMN()-COLUMN(Tableau1[[#All],[TS1-T]])+1))</f>
        <v>0</v>
      </c>
      <c r="U95" s="32">
        <f>IFERROR(Tableau1[[#This Row],[TS1]]/Tableau1[[#This Row],[TS1-T]],"")</f>
        <v>0</v>
      </c>
      <c r="V95" s="32" t="str">
        <f>IFERROR(Tableau1[[#This Row],[TS2]]/Tableau1[[#This Row],[TS2-T]],"")</f>
        <v/>
      </c>
      <c r="W95" s="32" t="str">
        <f>IFERROR(Tableau1[[#This Row],[TS3]]/Tableau1[[#This Row],[TS3-T]],"")</f>
        <v/>
      </c>
      <c r="X95" s="32" t="str">
        <f>IFERROR(Tableau1[[#This Row],[TS4]]/Tableau1[[#This Row],[TS4-T]],"")</f>
        <v/>
      </c>
      <c r="Y95" s="32" t="str">
        <f>IFERROR(Tableau1[[#This Row],[TS5]]/Tableau1[[#This Row],[TS5-T]],"")</f>
        <v/>
      </c>
      <c r="Z95" s="32" t="str">
        <f>IFERROR(Tableau1[[#This Row],[TS6]]/Tableau1[[#This Row],[TS6-T]],"")</f>
        <v/>
      </c>
    </row>
    <row r="96" spans="1:26" ht="16.5" thickTop="1" thickBot="1">
      <c r="A96" s="84">
        <v>2</v>
      </c>
      <c r="B96" s="23" t="str">
        <f>INDEX(Tableau7[Repere],MATCH(Tableau1[[#This Row],[ID-API]],Tableau7[ID-API],0))&amp;""</f>
        <v>A2</v>
      </c>
      <c r="C96" s="84">
        <v>2</v>
      </c>
      <c r="D96" t="str">
        <f>"R" &amp; Tableau1[[#This Row],[ID-RACK]]</f>
        <v>R2</v>
      </c>
      <c r="E96" s="84">
        <v>6</v>
      </c>
      <c r="F96" t="str">
        <f>"S" &amp; Tableau1[[#This Row],[ID-SLOT]]</f>
        <v>S6</v>
      </c>
      <c r="G96" s="168" t="str">
        <f>Tableau1[[#This Row],[ID-API]]&amp; "." &amp;Tableau1[[#This Row],[ID-RACK]]&amp; "." &amp;Tableau1[[#This Row],[ID-SLOT]]</f>
        <v>2.2.6</v>
      </c>
      <c r="H96" t="s">
        <v>710</v>
      </c>
      <c r="I96" s="30">
        <v>0</v>
      </c>
      <c r="J96" s="30">
        <v>0</v>
      </c>
      <c r="K96" s="30">
        <v>0</v>
      </c>
      <c r="L96" s="30">
        <v>0</v>
      </c>
      <c r="M96" s="30">
        <v>0</v>
      </c>
      <c r="N96" s="30">
        <v>0</v>
      </c>
      <c r="O96" s="220">
        <f>COUNTIFS(Tableau2[Ref-Carte],Tableau1[[#This Row],[Ref-Carte]],Tableau2[TS],INDEX(Tableau6[TS],COLUMN()-COLUMN(Tableau1[[#All],[TS1-T]])+1))</f>
        <v>16</v>
      </c>
      <c r="P96" s="220">
        <f>COUNTIFS(Tableau2[Ref-Carte],Tableau1[[#This Row],[Ref-Carte]],Tableau2[TS],INDEX(Tableau6[TS],COLUMN()-COLUMN(Tableau1[[#All],[TS1-T]])+1))</f>
        <v>0</v>
      </c>
      <c r="Q96" s="220">
        <f>COUNTIFS(Tableau2[Ref-Carte],Tableau1[[#This Row],[Ref-Carte]],Tableau2[TS],INDEX(Tableau6[TS],COLUMN()-COLUMN(Tableau1[[#All],[TS1-T]])+1))</f>
        <v>0</v>
      </c>
      <c r="R96" s="220">
        <f>COUNTIFS(Tableau2[Ref-Carte],Tableau1[[#This Row],[Ref-Carte]],Tableau2[TS],INDEX(Tableau6[TS],COLUMN()-COLUMN(Tableau1[[#All],[TS1-T]])+1))</f>
        <v>0</v>
      </c>
      <c r="S96" s="220">
        <f>COUNTIFS(Tableau2[Ref-Carte],Tableau1[[#This Row],[Ref-Carte]],Tableau2[TS],INDEX(Tableau6[TS],COLUMN()-COLUMN(Tableau1[[#All],[TS1-T]])+1))</f>
        <v>0</v>
      </c>
      <c r="T96" s="220">
        <f>COUNTIFS(Tableau2[Ref-Carte],Tableau1[[#This Row],[Ref-Carte]],Tableau2[TS],INDEX(Tableau6[TS],COLUMN()-COLUMN(Tableau1[[#All],[TS1-T]])+1))</f>
        <v>0</v>
      </c>
      <c r="U96" s="32">
        <f>IFERROR(Tableau1[[#This Row],[TS1]]/Tableau1[[#This Row],[TS1-T]],"")</f>
        <v>0</v>
      </c>
      <c r="V96" s="32" t="str">
        <f>IFERROR(Tableau1[[#This Row],[TS2]]/Tableau1[[#This Row],[TS2-T]],"")</f>
        <v/>
      </c>
      <c r="W96" s="32" t="str">
        <f>IFERROR(Tableau1[[#This Row],[TS3]]/Tableau1[[#This Row],[TS3-T]],"")</f>
        <v/>
      </c>
      <c r="X96" s="32" t="str">
        <f>IFERROR(Tableau1[[#This Row],[TS4]]/Tableau1[[#This Row],[TS4-T]],"")</f>
        <v/>
      </c>
      <c r="Y96" s="32" t="str">
        <f>IFERROR(Tableau1[[#This Row],[TS5]]/Tableau1[[#This Row],[TS5-T]],"")</f>
        <v/>
      </c>
      <c r="Z96" s="32" t="str">
        <f>IFERROR(Tableau1[[#This Row],[TS6]]/Tableau1[[#This Row],[TS6-T]],"")</f>
        <v/>
      </c>
    </row>
    <row r="97" spans="1:26" ht="16.5" thickTop="1" thickBot="1">
      <c r="A97" s="84">
        <v>2</v>
      </c>
      <c r="B97" s="23" t="str">
        <f>INDEX(Tableau7[Repere],MATCH(Tableau1[[#This Row],[ID-API]],Tableau7[ID-API],0))&amp;""</f>
        <v>A2</v>
      </c>
      <c r="C97" s="84">
        <v>2</v>
      </c>
      <c r="D97" t="str">
        <f>"R" &amp; Tableau1[[#This Row],[ID-RACK]]</f>
        <v>R2</v>
      </c>
      <c r="E97" s="84">
        <v>7</v>
      </c>
      <c r="F97" t="str">
        <f>"S" &amp; Tableau1[[#This Row],[ID-SLOT]]</f>
        <v>S7</v>
      </c>
      <c r="G97" s="168" t="str">
        <f>Tableau1[[#This Row],[ID-API]]&amp; "." &amp;Tableau1[[#This Row],[ID-RACK]]&amp; "." &amp;Tableau1[[#This Row],[ID-SLOT]]</f>
        <v>2.2.7</v>
      </c>
      <c r="H97" t="s">
        <v>710</v>
      </c>
      <c r="I97" s="30">
        <v>0</v>
      </c>
      <c r="J97" s="30">
        <v>0</v>
      </c>
      <c r="K97" s="30">
        <v>0</v>
      </c>
      <c r="L97" s="30">
        <v>0</v>
      </c>
      <c r="M97" s="30">
        <v>0</v>
      </c>
      <c r="N97" s="30">
        <v>0</v>
      </c>
      <c r="O97" s="220">
        <f>COUNTIFS(Tableau2[Ref-Carte],Tableau1[[#This Row],[Ref-Carte]],Tableau2[TS],INDEX(Tableau6[TS],COLUMN()-COLUMN(Tableau1[[#All],[TS1-T]])+1))</f>
        <v>16</v>
      </c>
      <c r="P97" s="220">
        <f>COUNTIFS(Tableau2[Ref-Carte],Tableau1[[#This Row],[Ref-Carte]],Tableau2[TS],INDEX(Tableau6[TS],COLUMN()-COLUMN(Tableau1[[#All],[TS1-T]])+1))</f>
        <v>0</v>
      </c>
      <c r="Q97" s="220">
        <f>COUNTIFS(Tableau2[Ref-Carte],Tableau1[[#This Row],[Ref-Carte]],Tableau2[TS],INDEX(Tableau6[TS],COLUMN()-COLUMN(Tableau1[[#All],[TS1-T]])+1))</f>
        <v>0</v>
      </c>
      <c r="R97" s="220">
        <f>COUNTIFS(Tableau2[Ref-Carte],Tableau1[[#This Row],[Ref-Carte]],Tableau2[TS],INDEX(Tableau6[TS],COLUMN()-COLUMN(Tableau1[[#All],[TS1-T]])+1))</f>
        <v>0</v>
      </c>
      <c r="S97" s="220">
        <f>COUNTIFS(Tableau2[Ref-Carte],Tableau1[[#This Row],[Ref-Carte]],Tableau2[TS],INDEX(Tableau6[TS],COLUMN()-COLUMN(Tableau1[[#All],[TS1-T]])+1))</f>
        <v>0</v>
      </c>
      <c r="T97" s="220">
        <f>COUNTIFS(Tableau2[Ref-Carte],Tableau1[[#This Row],[Ref-Carte]],Tableau2[TS],INDEX(Tableau6[TS],COLUMN()-COLUMN(Tableau1[[#All],[TS1-T]])+1))</f>
        <v>0</v>
      </c>
      <c r="U97" s="32">
        <f>IFERROR(Tableau1[[#This Row],[TS1]]/Tableau1[[#This Row],[TS1-T]],"")</f>
        <v>0</v>
      </c>
      <c r="V97" s="32" t="str">
        <f>IFERROR(Tableau1[[#This Row],[TS2]]/Tableau1[[#This Row],[TS2-T]],"")</f>
        <v/>
      </c>
      <c r="W97" s="32" t="str">
        <f>IFERROR(Tableau1[[#This Row],[TS3]]/Tableau1[[#This Row],[TS3-T]],"")</f>
        <v/>
      </c>
      <c r="X97" s="32" t="str">
        <f>IFERROR(Tableau1[[#This Row],[TS4]]/Tableau1[[#This Row],[TS4-T]],"")</f>
        <v/>
      </c>
      <c r="Y97" s="32" t="str">
        <f>IFERROR(Tableau1[[#This Row],[TS5]]/Tableau1[[#This Row],[TS5-T]],"")</f>
        <v/>
      </c>
      <c r="Z97" s="32" t="str">
        <f>IFERROR(Tableau1[[#This Row],[TS6]]/Tableau1[[#This Row],[TS6-T]],"")</f>
        <v/>
      </c>
    </row>
    <row r="98" spans="1:26" ht="16.5" thickTop="1" thickBot="1">
      <c r="A98" s="84">
        <v>2</v>
      </c>
      <c r="B98" s="23" t="str">
        <f>INDEX(Tableau7[Repere],MATCH(Tableau1[[#This Row],[ID-API]],Tableau7[ID-API],0))&amp;""</f>
        <v>A2</v>
      </c>
      <c r="C98" s="84">
        <v>2</v>
      </c>
      <c r="D98" t="str">
        <f>"R" &amp; Tableau1[[#This Row],[ID-RACK]]</f>
        <v>R2</v>
      </c>
      <c r="E98" s="84">
        <v>8</v>
      </c>
      <c r="F98" t="str">
        <f>"S" &amp; Tableau1[[#This Row],[ID-SLOT]]</f>
        <v>S8</v>
      </c>
      <c r="G98" s="168" t="str">
        <f>Tableau1[[#This Row],[ID-API]]&amp; "." &amp;Tableau1[[#This Row],[ID-RACK]]&amp; "." &amp;Tableau1[[#This Row],[ID-SLOT]]</f>
        <v>2.2.8</v>
      </c>
      <c r="H98" t="s">
        <v>402</v>
      </c>
      <c r="I98" s="30">
        <v>0</v>
      </c>
      <c r="J98" s="30">
        <v>0</v>
      </c>
      <c r="K98" s="30">
        <v>0</v>
      </c>
      <c r="L98" s="30">
        <v>0</v>
      </c>
      <c r="M98" s="30">
        <v>0</v>
      </c>
      <c r="N98" s="30">
        <v>0</v>
      </c>
      <c r="O98" s="220">
        <f>COUNTIFS(Tableau2[Ref-Carte],Tableau1[[#This Row],[Ref-Carte]],Tableau2[TS],INDEX(Tableau6[TS],COLUMN()-COLUMN(Tableau1[[#All],[TS1-T]])+1))</f>
        <v>0</v>
      </c>
      <c r="P98" s="220">
        <f>COUNTIFS(Tableau2[Ref-Carte],Tableau1[[#This Row],[Ref-Carte]],Tableau2[TS],INDEX(Tableau6[TS],COLUMN()-COLUMN(Tableau1[[#All],[TS1-T]])+1))</f>
        <v>0</v>
      </c>
      <c r="Q98" s="220">
        <f>COUNTIFS(Tableau2[Ref-Carte],Tableau1[[#This Row],[Ref-Carte]],Tableau2[TS],INDEX(Tableau6[TS],COLUMN()-COLUMN(Tableau1[[#All],[TS1-T]])+1))</f>
        <v>0</v>
      </c>
      <c r="R98" s="220">
        <f>COUNTIFS(Tableau2[Ref-Carte],Tableau1[[#This Row],[Ref-Carte]],Tableau2[TS],INDEX(Tableau6[TS],COLUMN()-COLUMN(Tableau1[[#All],[TS1-T]])+1))</f>
        <v>0</v>
      </c>
      <c r="S98" s="220">
        <f>COUNTIFS(Tableau2[Ref-Carte],Tableau1[[#This Row],[Ref-Carte]],Tableau2[TS],INDEX(Tableau6[TS],COLUMN()-COLUMN(Tableau1[[#All],[TS1-T]])+1))</f>
        <v>0</v>
      </c>
      <c r="T98" s="220">
        <f>COUNTIFS(Tableau2[Ref-Carte],Tableau1[[#This Row],[Ref-Carte]],Tableau2[TS],INDEX(Tableau6[TS],COLUMN()-COLUMN(Tableau1[[#All],[TS1-T]])+1))</f>
        <v>0</v>
      </c>
      <c r="U98" s="32" t="str">
        <f>IFERROR(Tableau1[[#This Row],[TS1]]/Tableau1[[#This Row],[TS1-T]],"")</f>
        <v/>
      </c>
      <c r="V98" s="32" t="str">
        <f>IFERROR(Tableau1[[#This Row],[TS2]]/Tableau1[[#This Row],[TS2-T]],"")</f>
        <v/>
      </c>
      <c r="W98" s="32" t="str">
        <f>IFERROR(Tableau1[[#This Row],[TS3]]/Tableau1[[#This Row],[TS3-T]],"")</f>
        <v/>
      </c>
      <c r="X98" s="32" t="str">
        <f>IFERROR(Tableau1[[#This Row],[TS4]]/Tableau1[[#This Row],[TS4-T]],"")</f>
        <v/>
      </c>
      <c r="Y98" s="32" t="str">
        <f>IFERROR(Tableau1[[#This Row],[TS5]]/Tableau1[[#This Row],[TS5-T]],"")</f>
        <v/>
      </c>
      <c r="Z98" s="32" t="str">
        <f>IFERROR(Tableau1[[#This Row],[TS6]]/Tableau1[[#This Row],[TS6-T]],"")</f>
        <v/>
      </c>
    </row>
    <row r="99" spans="1:26" ht="16.5" thickTop="1" thickBot="1">
      <c r="A99" s="84">
        <v>2</v>
      </c>
      <c r="B99" s="23" t="str">
        <f>INDEX(Tableau7[Repere],MATCH(Tableau1[[#This Row],[ID-API]],Tableau7[ID-API],0))&amp;""</f>
        <v>A2</v>
      </c>
      <c r="C99" s="84">
        <v>2</v>
      </c>
      <c r="D99" t="str">
        <f>"R" &amp; Tableau1[[#This Row],[ID-RACK]]</f>
        <v>R2</v>
      </c>
      <c r="E99" s="84">
        <v>9</v>
      </c>
      <c r="F99" t="str">
        <f>"S" &amp; Tableau1[[#This Row],[ID-SLOT]]</f>
        <v>S9</v>
      </c>
      <c r="G99" s="168" t="str">
        <f>Tableau1[[#This Row],[ID-API]]&amp; "." &amp;Tableau1[[#This Row],[ID-RACK]]&amp; "." &amp;Tableau1[[#This Row],[ID-SLOT]]</f>
        <v>2.2.9</v>
      </c>
      <c r="H99" t="s">
        <v>402</v>
      </c>
      <c r="I99" s="30">
        <v>0</v>
      </c>
      <c r="J99" s="30">
        <v>0</v>
      </c>
      <c r="K99" s="30">
        <v>0</v>
      </c>
      <c r="L99" s="30">
        <v>0</v>
      </c>
      <c r="M99" s="30">
        <v>0</v>
      </c>
      <c r="N99" s="30">
        <v>0</v>
      </c>
      <c r="O99" s="220">
        <f>COUNTIFS(Tableau2[Ref-Carte],Tableau1[[#This Row],[Ref-Carte]],Tableau2[TS],INDEX(Tableau6[TS],COLUMN()-COLUMN(Tableau1[[#All],[TS1-T]])+1))</f>
        <v>0</v>
      </c>
      <c r="P99" s="220">
        <f>COUNTIFS(Tableau2[Ref-Carte],Tableau1[[#This Row],[Ref-Carte]],Tableau2[TS],INDEX(Tableau6[TS],COLUMN()-COLUMN(Tableau1[[#All],[TS1-T]])+1))</f>
        <v>0</v>
      </c>
      <c r="Q99" s="220">
        <f>COUNTIFS(Tableau2[Ref-Carte],Tableau1[[#This Row],[Ref-Carte]],Tableau2[TS],INDEX(Tableau6[TS],COLUMN()-COLUMN(Tableau1[[#All],[TS1-T]])+1))</f>
        <v>0</v>
      </c>
      <c r="R99" s="220">
        <f>COUNTIFS(Tableau2[Ref-Carte],Tableau1[[#This Row],[Ref-Carte]],Tableau2[TS],INDEX(Tableau6[TS],COLUMN()-COLUMN(Tableau1[[#All],[TS1-T]])+1))</f>
        <v>0</v>
      </c>
      <c r="S99" s="220">
        <f>COUNTIFS(Tableau2[Ref-Carte],Tableau1[[#This Row],[Ref-Carte]],Tableau2[TS],INDEX(Tableau6[TS],COLUMN()-COLUMN(Tableau1[[#All],[TS1-T]])+1))</f>
        <v>0</v>
      </c>
      <c r="T99" s="220">
        <f>COUNTIFS(Tableau2[Ref-Carte],Tableau1[[#This Row],[Ref-Carte]],Tableau2[TS],INDEX(Tableau6[TS],COLUMN()-COLUMN(Tableau1[[#All],[TS1-T]])+1))</f>
        <v>0</v>
      </c>
      <c r="U99" s="32" t="str">
        <f>IFERROR(Tableau1[[#This Row],[TS1]]/Tableau1[[#This Row],[TS1-T]],"")</f>
        <v/>
      </c>
      <c r="V99" s="32" t="str">
        <f>IFERROR(Tableau1[[#This Row],[TS2]]/Tableau1[[#This Row],[TS2-T]],"")</f>
        <v/>
      </c>
      <c r="W99" s="32" t="str">
        <f>IFERROR(Tableau1[[#This Row],[TS3]]/Tableau1[[#This Row],[TS3-T]],"")</f>
        <v/>
      </c>
      <c r="X99" s="32" t="str">
        <f>IFERROR(Tableau1[[#This Row],[TS4]]/Tableau1[[#This Row],[TS4-T]],"")</f>
        <v/>
      </c>
      <c r="Y99" s="32" t="str">
        <f>IFERROR(Tableau1[[#This Row],[TS5]]/Tableau1[[#This Row],[TS5-T]],"")</f>
        <v/>
      </c>
      <c r="Z99" s="32" t="str">
        <f>IFERROR(Tableau1[[#This Row],[TS6]]/Tableau1[[#This Row],[TS6-T]],"")</f>
        <v/>
      </c>
    </row>
    <row r="100" spans="1:26" ht="16.5" thickTop="1" thickBot="1">
      <c r="A100" s="84">
        <v>2</v>
      </c>
      <c r="B100" s="23" t="str">
        <f>INDEX(Tableau7[Repere],MATCH(Tableau1[[#This Row],[ID-API]],Tableau7[ID-API],0))&amp;""</f>
        <v>A2</v>
      </c>
      <c r="C100" s="84">
        <v>2</v>
      </c>
      <c r="D100" t="str">
        <f>"R" &amp; Tableau1[[#This Row],[ID-RACK]]</f>
        <v>R2</v>
      </c>
      <c r="E100" s="84">
        <v>10</v>
      </c>
      <c r="F100" t="str">
        <f>"S" &amp; Tableau1[[#This Row],[ID-SLOT]]</f>
        <v>S10</v>
      </c>
      <c r="G100" s="168" t="str">
        <f>Tableau1[[#This Row],[ID-API]]&amp; "." &amp;Tableau1[[#This Row],[ID-RACK]]&amp; "." &amp;Tableau1[[#This Row],[ID-SLOT]]</f>
        <v>2.2.10</v>
      </c>
      <c r="H100" t="s">
        <v>402</v>
      </c>
      <c r="I100" s="30">
        <v>0</v>
      </c>
      <c r="J100" s="30">
        <v>0</v>
      </c>
      <c r="K100" s="30">
        <v>0</v>
      </c>
      <c r="L100" s="30">
        <v>0</v>
      </c>
      <c r="M100" s="30">
        <v>0</v>
      </c>
      <c r="N100" s="30">
        <v>0</v>
      </c>
      <c r="O100" s="220">
        <f>COUNTIFS(Tableau2[Ref-Carte],Tableau1[[#This Row],[Ref-Carte]],Tableau2[TS],INDEX(Tableau6[TS],COLUMN()-COLUMN(Tableau1[[#All],[TS1-T]])+1))</f>
        <v>0</v>
      </c>
      <c r="P100" s="220">
        <f>COUNTIFS(Tableau2[Ref-Carte],Tableau1[[#This Row],[Ref-Carte]],Tableau2[TS],INDEX(Tableau6[TS],COLUMN()-COLUMN(Tableau1[[#All],[TS1-T]])+1))</f>
        <v>0</v>
      </c>
      <c r="Q100" s="220">
        <f>COUNTIFS(Tableau2[Ref-Carte],Tableau1[[#This Row],[Ref-Carte]],Tableau2[TS],INDEX(Tableau6[TS],COLUMN()-COLUMN(Tableau1[[#All],[TS1-T]])+1))</f>
        <v>0</v>
      </c>
      <c r="R100" s="220">
        <f>COUNTIFS(Tableau2[Ref-Carte],Tableau1[[#This Row],[Ref-Carte]],Tableau2[TS],INDEX(Tableau6[TS],COLUMN()-COLUMN(Tableau1[[#All],[TS1-T]])+1))</f>
        <v>0</v>
      </c>
      <c r="S100" s="220">
        <f>COUNTIFS(Tableau2[Ref-Carte],Tableau1[[#This Row],[Ref-Carte]],Tableau2[TS],INDEX(Tableau6[TS],COLUMN()-COLUMN(Tableau1[[#All],[TS1-T]])+1))</f>
        <v>0</v>
      </c>
      <c r="T100" s="220">
        <f>COUNTIFS(Tableau2[Ref-Carte],Tableau1[[#This Row],[Ref-Carte]],Tableau2[TS],INDEX(Tableau6[TS],COLUMN()-COLUMN(Tableau1[[#All],[TS1-T]])+1))</f>
        <v>0</v>
      </c>
      <c r="U100" s="32" t="str">
        <f>IFERROR(Tableau1[[#This Row],[TS1]]/Tableau1[[#This Row],[TS1-T]],"")</f>
        <v/>
      </c>
      <c r="V100" s="32" t="str">
        <f>IFERROR(Tableau1[[#This Row],[TS2]]/Tableau1[[#This Row],[TS2-T]],"")</f>
        <v/>
      </c>
      <c r="W100" s="32" t="str">
        <f>IFERROR(Tableau1[[#This Row],[TS3]]/Tableau1[[#This Row],[TS3-T]],"")</f>
        <v/>
      </c>
      <c r="X100" s="32" t="str">
        <f>IFERROR(Tableau1[[#This Row],[TS4]]/Tableau1[[#This Row],[TS4-T]],"")</f>
        <v/>
      </c>
      <c r="Y100" s="32" t="str">
        <f>IFERROR(Tableau1[[#This Row],[TS5]]/Tableau1[[#This Row],[TS5-T]],"")</f>
        <v/>
      </c>
      <c r="Z100" s="32" t="str">
        <f>IFERROR(Tableau1[[#This Row],[TS6]]/Tableau1[[#This Row],[TS6-T]],"")</f>
        <v/>
      </c>
    </row>
    <row r="101" spans="1:26" ht="16.5" thickTop="1" thickBot="1">
      <c r="A101" s="84">
        <v>3</v>
      </c>
      <c r="B101" s="23" t="str">
        <f>INDEX(Tableau7[Repere],MATCH(Tableau1[[#This Row],[ID-API]],Tableau7[ID-API],0))&amp;""</f>
        <v>A3</v>
      </c>
      <c r="C101" s="84">
        <v>1</v>
      </c>
      <c r="D101" t="str">
        <f>"R" &amp; Tableau1[[#This Row],[ID-RACK]]</f>
        <v>R1</v>
      </c>
      <c r="E101" s="84">
        <v>1</v>
      </c>
      <c r="F101" t="str">
        <f>"S" &amp; Tableau1[[#This Row],[ID-SLOT]]</f>
        <v>S1</v>
      </c>
      <c r="G101" s="168" t="str">
        <f>Tableau1[[#This Row],[ID-API]]&amp; "." &amp;Tableau1[[#This Row],[ID-RACK]]&amp; "." &amp;Tableau1[[#This Row],[ID-SLOT]]</f>
        <v>3.1.1</v>
      </c>
      <c r="H101" t="s">
        <v>708</v>
      </c>
      <c r="I101" s="30">
        <v>0</v>
      </c>
      <c r="J101" s="30">
        <v>8</v>
      </c>
      <c r="K101" s="30">
        <v>0</v>
      </c>
      <c r="L101" s="30">
        <v>0</v>
      </c>
      <c r="M101" s="30">
        <v>0</v>
      </c>
      <c r="N101" s="30">
        <v>0</v>
      </c>
      <c r="O101" s="220">
        <f>COUNTIFS(Tableau2[Ref-Carte],Tableau1[[#This Row],[Ref-Carte]],Tableau2[TS],INDEX(Tableau6[TS],COLUMN()-COLUMN(Tableau1[[#All],[TS1-T]])+1))</f>
        <v>0</v>
      </c>
      <c r="P101" s="220">
        <f>COUNTIFS(Tableau2[Ref-Carte],Tableau1[[#This Row],[Ref-Carte]],Tableau2[TS],INDEX(Tableau6[TS],COLUMN()-COLUMN(Tableau1[[#All],[TS1-T]])+1))</f>
        <v>8</v>
      </c>
      <c r="Q101" s="220">
        <f>COUNTIFS(Tableau2[Ref-Carte],Tableau1[[#This Row],[Ref-Carte]],Tableau2[TS],INDEX(Tableau6[TS],COLUMN()-COLUMN(Tableau1[[#All],[TS1-T]])+1))</f>
        <v>0</v>
      </c>
      <c r="R101" s="220">
        <f>COUNTIFS(Tableau2[Ref-Carte],Tableau1[[#This Row],[Ref-Carte]],Tableau2[TS],INDEX(Tableau6[TS],COLUMN()-COLUMN(Tableau1[[#All],[TS1-T]])+1))</f>
        <v>0</v>
      </c>
      <c r="S101" s="220">
        <f>COUNTIFS(Tableau2[Ref-Carte],Tableau1[[#This Row],[Ref-Carte]],Tableau2[TS],INDEX(Tableau6[TS],COLUMN()-COLUMN(Tableau1[[#All],[TS1-T]])+1))</f>
        <v>0</v>
      </c>
      <c r="T101" s="220">
        <f>COUNTIFS(Tableau2[Ref-Carte],Tableau1[[#This Row],[Ref-Carte]],Tableau2[TS],INDEX(Tableau6[TS],COLUMN()-COLUMN(Tableau1[[#All],[TS1-T]])+1))</f>
        <v>0</v>
      </c>
      <c r="U101" s="32" t="str">
        <f>IFERROR(Tableau1[[#This Row],[TS1]]/Tableau1[[#This Row],[TS1-T]],"")</f>
        <v/>
      </c>
      <c r="V101" s="32">
        <f>IFERROR(Tableau1[[#This Row],[TS2]]/Tableau1[[#This Row],[TS2-T]],"")</f>
        <v>1</v>
      </c>
      <c r="W101" s="32" t="str">
        <f>IFERROR(Tableau1[[#This Row],[TS3]]/Tableau1[[#This Row],[TS3-T]],"")</f>
        <v/>
      </c>
      <c r="X101" s="32" t="str">
        <f>IFERROR(Tableau1[[#This Row],[TS4]]/Tableau1[[#This Row],[TS4-T]],"")</f>
        <v/>
      </c>
      <c r="Y101" s="32" t="str">
        <f>IFERROR(Tableau1[[#This Row],[TS5]]/Tableau1[[#This Row],[TS5-T]],"")</f>
        <v/>
      </c>
      <c r="Z101" s="32" t="str">
        <f>IFERROR(Tableau1[[#This Row],[TS6]]/Tableau1[[#This Row],[TS6-T]],"")</f>
        <v/>
      </c>
    </row>
    <row r="102" spans="1:26" ht="16.5" thickTop="1" thickBot="1">
      <c r="A102" s="84">
        <v>3</v>
      </c>
      <c r="B102" s="23" t="str">
        <f>INDEX(Tableau7[Repere],MATCH(Tableau1[[#This Row],[ID-API]],Tableau7[ID-API],0))&amp;""</f>
        <v>A3</v>
      </c>
      <c r="C102" s="84">
        <v>1</v>
      </c>
      <c r="D102" t="str">
        <f>"R" &amp; Tableau1[[#This Row],[ID-RACK]]</f>
        <v>R1</v>
      </c>
      <c r="E102" s="84">
        <v>2</v>
      </c>
      <c r="F102" t="str">
        <f>"S" &amp; Tableau1[[#This Row],[ID-SLOT]]</f>
        <v>S2</v>
      </c>
      <c r="G102" s="168" t="str">
        <f>Tableau1[[#This Row],[ID-API]]&amp; "." &amp;Tableau1[[#This Row],[ID-RACK]]&amp; "." &amp;Tableau1[[#This Row],[ID-SLOT]]</f>
        <v>3.1.2</v>
      </c>
      <c r="H102" t="s">
        <v>708</v>
      </c>
      <c r="I102" s="30">
        <v>0</v>
      </c>
      <c r="J102" s="30">
        <v>0</v>
      </c>
      <c r="K102" s="30">
        <v>0</v>
      </c>
      <c r="L102" s="30">
        <v>0</v>
      </c>
      <c r="M102" s="30">
        <v>0</v>
      </c>
      <c r="N102" s="30">
        <v>0</v>
      </c>
      <c r="O102" s="220">
        <f>COUNTIFS(Tableau2[Ref-Carte],Tableau1[[#This Row],[Ref-Carte]],Tableau2[TS],INDEX(Tableau6[TS],COLUMN()-COLUMN(Tableau1[[#All],[TS1-T]])+1))</f>
        <v>0</v>
      </c>
      <c r="P102" s="220">
        <f>COUNTIFS(Tableau2[Ref-Carte],Tableau1[[#This Row],[Ref-Carte]],Tableau2[TS],INDEX(Tableau6[TS],COLUMN()-COLUMN(Tableau1[[#All],[TS1-T]])+1))</f>
        <v>8</v>
      </c>
      <c r="Q102" s="220">
        <f>COUNTIFS(Tableau2[Ref-Carte],Tableau1[[#This Row],[Ref-Carte]],Tableau2[TS],INDEX(Tableau6[TS],COLUMN()-COLUMN(Tableau1[[#All],[TS1-T]])+1))</f>
        <v>0</v>
      </c>
      <c r="R102" s="220">
        <f>COUNTIFS(Tableau2[Ref-Carte],Tableau1[[#This Row],[Ref-Carte]],Tableau2[TS],INDEX(Tableau6[TS],COLUMN()-COLUMN(Tableau1[[#All],[TS1-T]])+1))</f>
        <v>0</v>
      </c>
      <c r="S102" s="220">
        <f>COUNTIFS(Tableau2[Ref-Carte],Tableau1[[#This Row],[Ref-Carte]],Tableau2[TS],INDEX(Tableau6[TS],COLUMN()-COLUMN(Tableau1[[#All],[TS1-T]])+1))</f>
        <v>0</v>
      </c>
      <c r="T102" s="220">
        <f>COUNTIFS(Tableau2[Ref-Carte],Tableau1[[#This Row],[Ref-Carte]],Tableau2[TS],INDEX(Tableau6[TS],COLUMN()-COLUMN(Tableau1[[#All],[TS1-T]])+1))</f>
        <v>0</v>
      </c>
      <c r="U102" s="32" t="str">
        <f>IFERROR(Tableau1[[#This Row],[TS1]]/Tableau1[[#This Row],[TS1-T]],"")</f>
        <v/>
      </c>
      <c r="V102" s="32">
        <f>IFERROR(Tableau1[[#This Row],[TS2]]/Tableau1[[#This Row],[TS2-T]],"")</f>
        <v>0</v>
      </c>
      <c r="W102" s="32" t="str">
        <f>IFERROR(Tableau1[[#This Row],[TS3]]/Tableau1[[#This Row],[TS3-T]],"")</f>
        <v/>
      </c>
      <c r="X102" s="32" t="str">
        <f>IFERROR(Tableau1[[#This Row],[TS4]]/Tableau1[[#This Row],[TS4-T]],"")</f>
        <v/>
      </c>
      <c r="Y102" s="32" t="str">
        <f>IFERROR(Tableau1[[#This Row],[TS5]]/Tableau1[[#This Row],[TS5-T]],"")</f>
        <v/>
      </c>
      <c r="Z102" s="32" t="str">
        <f>IFERROR(Tableau1[[#This Row],[TS6]]/Tableau1[[#This Row],[TS6-T]],"")</f>
        <v/>
      </c>
    </row>
    <row r="103" spans="1:26" ht="16.5" thickTop="1" thickBot="1">
      <c r="A103" s="84">
        <v>3</v>
      </c>
      <c r="B103" s="23" t="str">
        <f>INDEX(Tableau7[Repere],MATCH(Tableau1[[#This Row],[ID-API]],Tableau7[ID-API],0))&amp;""</f>
        <v>A3</v>
      </c>
      <c r="C103" s="84">
        <v>1</v>
      </c>
      <c r="D103" t="str">
        <f>"R" &amp; Tableau1[[#This Row],[ID-RACK]]</f>
        <v>R1</v>
      </c>
      <c r="E103" s="84">
        <v>3</v>
      </c>
      <c r="F103" t="str">
        <f>"S" &amp; Tableau1[[#This Row],[ID-SLOT]]</f>
        <v>S3</v>
      </c>
      <c r="G103" s="168" t="str">
        <f>Tableau1[[#This Row],[ID-API]]&amp; "." &amp;Tableau1[[#This Row],[ID-RACK]]&amp; "." &amp;Tableau1[[#This Row],[ID-SLOT]]</f>
        <v>3.1.3</v>
      </c>
      <c r="H103" t="s">
        <v>708</v>
      </c>
      <c r="I103" s="30">
        <v>0</v>
      </c>
      <c r="J103" s="30">
        <v>0</v>
      </c>
      <c r="K103" s="30">
        <v>0</v>
      </c>
      <c r="L103" s="30">
        <v>0</v>
      </c>
      <c r="M103" s="30">
        <v>0</v>
      </c>
      <c r="N103" s="30">
        <v>0</v>
      </c>
      <c r="O103" s="220">
        <f>COUNTIFS(Tableau2[Ref-Carte],Tableau1[[#This Row],[Ref-Carte]],Tableau2[TS],INDEX(Tableau6[TS],COLUMN()-COLUMN(Tableau1[[#All],[TS1-T]])+1))</f>
        <v>0</v>
      </c>
      <c r="P103" s="220">
        <f>COUNTIFS(Tableau2[Ref-Carte],Tableau1[[#This Row],[Ref-Carte]],Tableau2[TS],INDEX(Tableau6[TS],COLUMN()-COLUMN(Tableau1[[#All],[TS1-T]])+1))</f>
        <v>8</v>
      </c>
      <c r="Q103" s="220">
        <f>COUNTIFS(Tableau2[Ref-Carte],Tableau1[[#This Row],[Ref-Carte]],Tableau2[TS],INDEX(Tableau6[TS],COLUMN()-COLUMN(Tableau1[[#All],[TS1-T]])+1))</f>
        <v>0</v>
      </c>
      <c r="R103" s="220">
        <f>COUNTIFS(Tableau2[Ref-Carte],Tableau1[[#This Row],[Ref-Carte]],Tableau2[TS],INDEX(Tableau6[TS],COLUMN()-COLUMN(Tableau1[[#All],[TS1-T]])+1))</f>
        <v>0</v>
      </c>
      <c r="S103" s="220">
        <f>COUNTIFS(Tableau2[Ref-Carte],Tableau1[[#This Row],[Ref-Carte]],Tableau2[TS],INDEX(Tableau6[TS],COLUMN()-COLUMN(Tableau1[[#All],[TS1-T]])+1))</f>
        <v>0</v>
      </c>
      <c r="T103" s="220">
        <f>COUNTIFS(Tableau2[Ref-Carte],Tableau1[[#This Row],[Ref-Carte]],Tableau2[TS],INDEX(Tableau6[TS],COLUMN()-COLUMN(Tableau1[[#All],[TS1-T]])+1))</f>
        <v>0</v>
      </c>
      <c r="U103" s="32" t="str">
        <f>IFERROR(Tableau1[[#This Row],[TS1]]/Tableau1[[#This Row],[TS1-T]],"")</f>
        <v/>
      </c>
      <c r="V103" s="32">
        <f>IFERROR(Tableau1[[#This Row],[TS2]]/Tableau1[[#This Row],[TS2-T]],"")</f>
        <v>0</v>
      </c>
      <c r="W103" s="32" t="str">
        <f>IFERROR(Tableau1[[#This Row],[TS3]]/Tableau1[[#This Row],[TS3-T]],"")</f>
        <v/>
      </c>
      <c r="X103" s="32" t="str">
        <f>IFERROR(Tableau1[[#This Row],[TS4]]/Tableau1[[#This Row],[TS4-T]],"")</f>
        <v/>
      </c>
      <c r="Y103" s="32" t="str">
        <f>IFERROR(Tableau1[[#This Row],[TS5]]/Tableau1[[#This Row],[TS5-T]],"")</f>
        <v/>
      </c>
      <c r="Z103" s="32" t="str">
        <f>IFERROR(Tableau1[[#This Row],[TS6]]/Tableau1[[#This Row],[TS6-T]],"")</f>
        <v/>
      </c>
    </row>
    <row r="104" spans="1:26" ht="16.5" thickTop="1" thickBot="1">
      <c r="A104" s="84">
        <v>3</v>
      </c>
      <c r="B104" s="23" t="str">
        <f>INDEX(Tableau7[Repere],MATCH(Tableau1[[#This Row],[ID-API]],Tableau7[ID-API],0))&amp;""</f>
        <v>A3</v>
      </c>
      <c r="C104" s="84">
        <v>1</v>
      </c>
      <c r="D104" t="str">
        <f>"R" &amp; Tableau1[[#This Row],[ID-RACK]]</f>
        <v>R1</v>
      </c>
      <c r="E104" s="84">
        <v>4</v>
      </c>
      <c r="F104" t="str">
        <f>"S" &amp; Tableau1[[#This Row],[ID-SLOT]]</f>
        <v>S4</v>
      </c>
      <c r="G104" s="168" t="str">
        <f>Tableau1[[#This Row],[ID-API]]&amp; "." &amp;Tableau1[[#This Row],[ID-RACK]]&amp; "." &amp;Tableau1[[#This Row],[ID-SLOT]]</f>
        <v>3.1.4</v>
      </c>
      <c r="H104" t="s">
        <v>708</v>
      </c>
      <c r="I104" s="30">
        <v>0</v>
      </c>
      <c r="J104" s="30">
        <v>0</v>
      </c>
      <c r="K104" s="30">
        <v>0</v>
      </c>
      <c r="L104" s="30">
        <v>0</v>
      </c>
      <c r="M104" s="30">
        <v>0</v>
      </c>
      <c r="N104" s="30">
        <v>0</v>
      </c>
      <c r="O104" s="220">
        <f>COUNTIFS(Tableau2[Ref-Carte],Tableau1[[#This Row],[Ref-Carte]],Tableau2[TS],INDEX(Tableau6[TS],COLUMN()-COLUMN(Tableau1[[#All],[TS1-T]])+1))</f>
        <v>0</v>
      </c>
      <c r="P104" s="220">
        <f>COUNTIFS(Tableau2[Ref-Carte],Tableau1[[#This Row],[Ref-Carte]],Tableau2[TS],INDEX(Tableau6[TS],COLUMN()-COLUMN(Tableau1[[#All],[TS1-T]])+1))</f>
        <v>8</v>
      </c>
      <c r="Q104" s="220">
        <f>COUNTIFS(Tableau2[Ref-Carte],Tableau1[[#This Row],[Ref-Carte]],Tableau2[TS],INDEX(Tableau6[TS],COLUMN()-COLUMN(Tableau1[[#All],[TS1-T]])+1))</f>
        <v>0</v>
      </c>
      <c r="R104" s="220">
        <f>COUNTIFS(Tableau2[Ref-Carte],Tableau1[[#This Row],[Ref-Carte]],Tableau2[TS],INDEX(Tableau6[TS],COLUMN()-COLUMN(Tableau1[[#All],[TS1-T]])+1))</f>
        <v>0</v>
      </c>
      <c r="S104" s="220">
        <f>COUNTIFS(Tableau2[Ref-Carte],Tableau1[[#This Row],[Ref-Carte]],Tableau2[TS],INDEX(Tableau6[TS],COLUMN()-COLUMN(Tableau1[[#All],[TS1-T]])+1))</f>
        <v>0</v>
      </c>
      <c r="T104" s="220">
        <f>COUNTIFS(Tableau2[Ref-Carte],Tableau1[[#This Row],[Ref-Carte]],Tableau2[TS],INDEX(Tableau6[TS],COLUMN()-COLUMN(Tableau1[[#All],[TS1-T]])+1))</f>
        <v>0</v>
      </c>
      <c r="U104" s="32" t="str">
        <f>IFERROR(Tableau1[[#This Row],[TS1]]/Tableau1[[#This Row],[TS1-T]],"")</f>
        <v/>
      </c>
      <c r="V104" s="32">
        <f>IFERROR(Tableau1[[#This Row],[TS2]]/Tableau1[[#This Row],[TS2-T]],"")</f>
        <v>0</v>
      </c>
      <c r="W104" s="32" t="str">
        <f>IFERROR(Tableau1[[#This Row],[TS3]]/Tableau1[[#This Row],[TS3-T]],"")</f>
        <v/>
      </c>
      <c r="X104" s="32" t="str">
        <f>IFERROR(Tableau1[[#This Row],[TS4]]/Tableau1[[#This Row],[TS4-T]],"")</f>
        <v/>
      </c>
      <c r="Y104" s="32" t="str">
        <f>IFERROR(Tableau1[[#This Row],[TS5]]/Tableau1[[#This Row],[TS5-T]],"")</f>
        <v/>
      </c>
      <c r="Z104" s="32" t="str">
        <f>IFERROR(Tableau1[[#This Row],[TS6]]/Tableau1[[#This Row],[TS6-T]],"")</f>
        <v/>
      </c>
    </row>
    <row r="105" spans="1:26" ht="16.5" thickTop="1" thickBot="1">
      <c r="A105" s="84">
        <v>3</v>
      </c>
      <c r="B105" s="23" t="str">
        <f>INDEX(Tableau7[Repere],MATCH(Tableau1[[#This Row],[ID-API]],Tableau7[ID-API],0))&amp;""</f>
        <v>A3</v>
      </c>
      <c r="C105" s="84">
        <v>1</v>
      </c>
      <c r="D105" t="str">
        <f>"R" &amp; Tableau1[[#This Row],[ID-RACK]]</f>
        <v>R1</v>
      </c>
      <c r="E105" s="84">
        <v>5</v>
      </c>
      <c r="F105" t="str">
        <f>"S" &amp; Tableau1[[#This Row],[ID-SLOT]]</f>
        <v>S5</v>
      </c>
      <c r="G105" s="168" t="str">
        <f>Tableau1[[#This Row],[ID-API]]&amp; "." &amp;Tableau1[[#This Row],[ID-RACK]]&amp; "." &amp;Tableau1[[#This Row],[ID-SLOT]]</f>
        <v>3.1.5</v>
      </c>
      <c r="H105" t="s">
        <v>708</v>
      </c>
      <c r="I105" s="30">
        <v>0</v>
      </c>
      <c r="J105" s="30">
        <v>0</v>
      </c>
      <c r="K105" s="30">
        <v>0</v>
      </c>
      <c r="L105" s="30">
        <v>0</v>
      </c>
      <c r="M105" s="30">
        <v>0</v>
      </c>
      <c r="N105" s="30">
        <v>0</v>
      </c>
      <c r="O105" s="220">
        <f>COUNTIFS(Tableau2[Ref-Carte],Tableau1[[#This Row],[Ref-Carte]],Tableau2[TS],INDEX(Tableau6[TS],COLUMN()-COLUMN(Tableau1[[#All],[TS1-T]])+1))</f>
        <v>0</v>
      </c>
      <c r="P105" s="220">
        <f>COUNTIFS(Tableau2[Ref-Carte],Tableau1[[#This Row],[Ref-Carte]],Tableau2[TS],INDEX(Tableau6[TS],COLUMN()-COLUMN(Tableau1[[#All],[TS1-T]])+1))</f>
        <v>8</v>
      </c>
      <c r="Q105" s="220">
        <f>COUNTIFS(Tableau2[Ref-Carte],Tableau1[[#This Row],[Ref-Carte]],Tableau2[TS],INDEX(Tableau6[TS],COLUMN()-COLUMN(Tableau1[[#All],[TS1-T]])+1))</f>
        <v>0</v>
      </c>
      <c r="R105" s="220">
        <f>COUNTIFS(Tableau2[Ref-Carte],Tableau1[[#This Row],[Ref-Carte]],Tableau2[TS],INDEX(Tableau6[TS],COLUMN()-COLUMN(Tableau1[[#All],[TS1-T]])+1))</f>
        <v>0</v>
      </c>
      <c r="S105" s="220">
        <f>COUNTIFS(Tableau2[Ref-Carte],Tableau1[[#This Row],[Ref-Carte]],Tableau2[TS],INDEX(Tableau6[TS],COLUMN()-COLUMN(Tableau1[[#All],[TS1-T]])+1))</f>
        <v>0</v>
      </c>
      <c r="T105" s="220">
        <f>COUNTIFS(Tableau2[Ref-Carte],Tableau1[[#This Row],[Ref-Carte]],Tableau2[TS],INDEX(Tableau6[TS],COLUMN()-COLUMN(Tableau1[[#All],[TS1-T]])+1))</f>
        <v>0</v>
      </c>
      <c r="U105" s="32" t="str">
        <f>IFERROR(Tableau1[[#This Row],[TS1]]/Tableau1[[#This Row],[TS1-T]],"")</f>
        <v/>
      </c>
      <c r="V105" s="32">
        <f>IFERROR(Tableau1[[#This Row],[TS2]]/Tableau1[[#This Row],[TS2-T]],"")</f>
        <v>0</v>
      </c>
      <c r="W105" s="32" t="str">
        <f>IFERROR(Tableau1[[#This Row],[TS3]]/Tableau1[[#This Row],[TS3-T]],"")</f>
        <v/>
      </c>
      <c r="X105" s="32" t="str">
        <f>IFERROR(Tableau1[[#This Row],[TS4]]/Tableau1[[#This Row],[TS4-T]],"")</f>
        <v/>
      </c>
      <c r="Y105" s="32" t="str">
        <f>IFERROR(Tableau1[[#This Row],[TS5]]/Tableau1[[#This Row],[TS5-T]],"")</f>
        <v/>
      </c>
      <c r="Z105" s="32" t="str">
        <f>IFERROR(Tableau1[[#This Row],[TS6]]/Tableau1[[#This Row],[TS6-T]],"")</f>
        <v/>
      </c>
    </row>
    <row r="106" spans="1:26" ht="16.5" thickTop="1" thickBot="1">
      <c r="A106" s="84">
        <v>3</v>
      </c>
      <c r="B106" s="23" t="str">
        <f>INDEX(Tableau7[Repere],MATCH(Tableau1[[#This Row],[ID-API]],Tableau7[ID-API],0))&amp;""</f>
        <v>A3</v>
      </c>
      <c r="C106" s="84">
        <v>1</v>
      </c>
      <c r="D106" t="str">
        <f>"R" &amp; Tableau1[[#This Row],[ID-RACK]]</f>
        <v>R1</v>
      </c>
      <c r="E106" s="84">
        <v>6</v>
      </c>
      <c r="F106" t="str">
        <f>"S" &amp; Tableau1[[#This Row],[ID-SLOT]]</f>
        <v>S6</v>
      </c>
      <c r="G106" s="168" t="str">
        <f>Tableau1[[#This Row],[ID-API]]&amp; "." &amp;Tableau1[[#This Row],[ID-RACK]]&amp; "." &amp;Tableau1[[#This Row],[ID-SLOT]]</f>
        <v>3.1.6</v>
      </c>
      <c r="H106" t="s">
        <v>710</v>
      </c>
      <c r="I106" s="30">
        <v>0</v>
      </c>
      <c r="J106" s="30">
        <v>0</v>
      </c>
      <c r="K106" s="30">
        <v>0</v>
      </c>
      <c r="L106" s="30">
        <v>0</v>
      </c>
      <c r="M106" s="30">
        <v>0</v>
      </c>
      <c r="N106" s="30">
        <v>0</v>
      </c>
      <c r="O106" s="220">
        <f>COUNTIFS(Tableau2[Ref-Carte],Tableau1[[#This Row],[Ref-Carte]],Tableau2[TS],INDEX(Tableau6[TS],COLUMN()-COLUMN(Tableau1[[#All],[TS1-T]])+1))</f>
        <v>16</v>
      </c>
      <c r="P106" s="220">
        <f>COUNTIFS(Tableau2[Ref-Carte],Tableau1[[#This Row],[Ref-Carte]],Tableau2[TS],INDEX(Tableau6[TS],COLUMN()-COLUMN(Tableau1[[#All],[TS1-T]])+1))</f>
        <v>0</v>
      </c>
      <c r="Q106" s="220">
        <f>COUNTIFS(Tableau2[Ref-Carte],Tableau1[[#This Row],[Ref-Carte]],Tableau2[TS],INDEX(Tableau6[TS],COLUMN()-COLUMN(Tableau1[[#All],[TS1-T]])+1))</f>
        <v>0</v>
      </c>
      <c r="R106" s="220">
        <f>COUNTIFS(Tableau2[Ref-Carte],Tableau1[[#This Row],[Ref-Carte]],Tableau2[TS],INDEX(Tableau6[TS],COLUMN()-COLUMN(Tableau1[[#All],[TS1-T]])+1))</f>
        <v>0</v>
      </c>
      <c r="S106" s="220">
        <f>COUNTIFS(Tableau2[Ref-Carte],Tableau1[[#This Row],[Ref-Carte]],Tableau2[TS],INDEX(Tableau6[TS],COLUMN()-COLUMN(Tableau1[[#All],[TS1-T]])+1))</f>
        <v>0</v>
      </c>
      <c r="T106" s="220">
        <f>COUNTIFS(Tableau2[Ref-Carte],Tableau1[[#This Row],[Ref-Carte]],Tableau2[TS],INDEX(Tableau6[TS],COLUMN()-COLUMN(Tableau1[[#All],[TS1-T]])+1))</f>
        <v>0</v>
      </c>
      <c r="U106" s="32">
        <f>IFERROR(Tableau1[[#This Row],[TS1]]/Tableau1[[#This Row],[TS1-T]],"")</f>
        <v>0</v>
      </c>
      <c r="V106" s="32" t="str">
        <f>IFERROR(Tableau1[[#This Row],[TS2]]/Tableau1[[#This Row],[TS2-T]],"")</f>
        <v/>
      </c>
      <c r="W106" s="32" t="str">
        <f>IFERROR(Tableau1[[#This Row],[TS3]]/Tableau1[[#This Row],[TS3-T]],"")</f>
        <v/>
      </c>
      <c r="X106" s="32" t="str">
        <f>IFERROR(Tableau1[[#This Row],[TS4]]/Tableau1[[#This Row],[TS4-T]],"")</f>
        <v/>
      </c>
      <c r="Y106" s="32" t="str">
        <f>IFERROR(Tableau1[[#This Row],[TS5]]/Tableau1[[#This Row],[TS5-T]],"")</f>
        <v/>
      </c>
      <c r="Z106" s="32" t="str">
        <f>IFERROR(Tableau1[[#This Row],[TS6]]/Tableau1[[#This Row],[TS6-T]],"")</f>
        <v/>
      </c>
    </row>
    <row r="107" spans="1:26" ht="16.5" thickTop="1" thickBot="1">
      <c r="A107" s="84">
        <v>3</v>
      </c>
      <c r="B107" s="23" t="str">
        <f>INDEX(Tableau7[Repere],MATCH(Tableau1[[#This Row],[ID-API]],Tableau7[ID-API],0))&amp;""</f>
        <v>A3</v>
      </c>
      <c r="C107" s="84">
        <v>1</v>
      </c>
      <c r="D107" t="str">
        <f>"R" &amp; Tableau1[[#This Row],[ID-RACK]]</f>
        <v>R1</v>
      </c>
      <c r="E107" s="84">
        <v>7</v>
      </c>
      <c r="F107" t="str">
        <f>"S" &amp; Tableau1[[#This Row],[ID-SLOT]]</f>
        <v>S7</v>
      </c>
      <c r="G107" s="168" t="str">
        <f>Tableau1[[#This Row],[ID-API]]&amp; "." &amp;Tableau1[[#This Row],[ID-RACK]]&amp; "." &amp;Tableau1[[#This Row],[ID-SLOT]]</f>
        <v>3.1.7</v>
      </c>
      <c r="H107" t="s">
        <v>710</v>
      </c>
      <c r="I107" s="30">
        <v>0</v>
      </c>
      <c r="J107" s="30">
        <v>0</v>
      </c>
      <c r="K107" s="30">
        <v>0</v>
      </c>
      <c r="L107" s="30">
        <v>0</v>
      </c>
      <c r="M107" s="30">
        <v>0</v>
      </c>
      <c r="N107" s="30">
        <v>0</v>
      </c>
      <c r="O107" s="220">
        <f>COUNTIFS(Tableau2[Ref-Carte],Tableau1[[#This Row],[Ref-Carte]],Tableau2[TS],INDEX(Tableau6[TS],COLUMN()-COLUMN(Tableau1[[#All],[TS1-T]])+1))</f>
        <v>16</v>
      </c>
      <c r="P107" s="220">
        <f>COUNTIFS(Tableau2[Ref-Carte],Tableau1[[#This Row],[Ref-Carte]],Tableau2[TS],INDEX(Tableau6[TS],COLUMN()-COLUMN(Tableau1[[#All],[TS1-T]])+1))</f>
        <v>0</v>
      </c>
      <c r="Q107" s="220">
        <f>COUNTIFS(Tableau2[Ref-Carte],Tableau1[[#This Row],[Ref-Carte]],Tableau2[TS],INDEX(Tableau6[TS],COLUMN()-COLUMN(Tableau1[[#All],[TS1-T]])+1))</f>
        <v>0</v>
      </c>
      <c r="R107" s="220">
        <f>COUNTIFS(Tableau2[Ref-Carte],Tableau1[[#This Row],[Ref-Carte]],Tableau2[TS],INDEX(Tableau6[TS],COLUMN()-COLUMN(Tableau1[[#All],[TS1-T]])+1))</f>
        <v>0</v>
      </c>
      <c r="S107" s="220">
        <f>COUNTIFS(Tableau2[Ref-Carte],Tableau1[[#This Row],[Ref-Carte]],Tableau2[TS],INDEX(Tableau6[TS],COLUMN()-COLUMN(Tableau1[[#All],[TS1-T]])+1))</f>
        <v>0</v>
      </c>
      <c r="T107" s="220">
        <f>COUNTIFS(Tableau2[Ref-Carte],Tableau1[[#This Row],[Ref-Carte]],Tableau2[TS],INDEX(Tableau6[TS],COLUMN()-COLUMN(Tableau1[[#All],[TS1-T]])+1))</f>
        <v>0</v>
      </c>
      <c r="U107" s="32">
        <f>IFERROR(Tableau1[[#This Row],[TS1]]/Tableau1[[#This Row],[TS1-T]],"")</f>
        <v>0</v>
      </c>
      <c r="V107" s="32" t="str">
        <f>IFERROR(Tableau1[[#This Row],[TS2]]/Tableau1[[#This Row],[TS2-T]],"")</f>
        <v/>
      </c>
      <c r="W107" s="32" t="str">
        <f>IFERROR(Tableau1[[#This Row],[TS3]]/Tableau1[[#This Row],[TS3-T]],"")</f>
        <v/>
      </c>
      <c r="X107" s="32" t="str">
        <f>IFERROR(Tableau1[[#This Row],[TS4]]/Tableau1[[#This Row],[TS4-T]],"")</f>
        <v/>
      </c>
      <c r="Y107" s="32" t="str">
        <f>IFERROR(Tableau1[[#This Row],[TS5]]/Tableau1[[#This Row],[TS5-T]],"")</f>
        <v/>
      </c>
      <c r="Z107" s="32" t="str">
        <f>IFERROR(Tableau1[[#This Row],[TS6]]/Tableau1[[#This Row],[TS6-T]],"")</f>
        <v/>
      </c>
    </row>
    <row r="108" spans="1:26" ht="16.5" thickTop="1" thickBot="1">
      <c r="A108" s="84">
        <v>3</v>
      </c>
      <c r="B108" s="23" t="str">
        <f>INDEX(Tableau7[Repere],MATCH(Tableau1[[#This Row],[ID-API]],Tableau7[ID-API],0))&amp;""</f>
        <v>A3</v>
      </c>
      <c r="C108" s="84">
        <v>1</v>
      </c>
      <c r="D108" t="str">
        <f>"R" &amp; Tableau1[[#This Row],[ID-RACK]]</f>
        <v>R1</v>
      </c>
      <c r="E108" s="84">
        <v>8</v>
      </c>
      <c r="F108" t="str">
        <f>"S" &amp; Tableau1[[#This Row],[ID-SLOT]]</f>
        <v>S8</v>
      </c>
      <c r="G108" s="168" t="str">
        <f>Tableau1[[#This Row],[ID-API]]&amp; "." &amp;Tableau1[[#This Row],[ID-RACK]]&amp; "." &amp;Tableau1[[#This Row],[ID-SLOT]]</f>
        <v>3.1.8</v>
      </c>
      <c r="H108" t="s">
        <v>708</v>
      </c>
      <c r="I108" s="30">
        <v>0</v>
      </c>
      <c r="J108" s="30">
        <v>0</v>
      </c>
      <c r="K108" s="30">
        <v>0</v>
      </c>
      <c r="L108" s="30">
        <v>0</v>
      </c>
      <c r="M108" s="30">
        <v>0</v>
      </c>
      <c r="N108" s="30">
        <v>0</v>
      </c>
      <c r="O108" s="220">
        <f>COUNTIFS(Tableau2[Ref-Carte],Tableau1[[#This Row],[Ref-Carte]],Tableau2[TS],INDEX(Tableau6[TS],COLUMN()-COLUMN(Tableau1[[#All],[TS1-T]])+1))</f>
        <v>0</v>
      </c>
      <c r="P108" s="220">
        <f>COUNTIFS(Tableau2[Ref-Carte],Tableau1[[#This Row],[Ref-Carte]],Tableau2[TS],INDEX(Tableau6[TS],COLUMN()-COLUMN(Tableau1[[#All],[TS1-T]])+1))</f>
        <v>8</v>
      </c>
      <c r="Q108" s="220">
        <f>COUNTIFS(Tableau2[Ref-Carte],Tableau1[[#This Row],[Ref-Carte]],Tableau2[TS],INDEX(Tableau6[TS],COLUMN()-COLUMN(Tableau1[[#All],[TS1-T]])+1))</f>
        <v>0</v>
      </c>
      <c r="R108" s="220">
        <f>COUNTIFS(Tableau2[Ref-Carte],Tableau1[[#This Row],[Ref-Carte]],Tableau2[TS],INDEX(Tableau6[TS],COLUMN()-COLUMN(Tableau1[[#All],[TS1-T]])+1))</f>
        <v>0</v>
      </c>
      <c r="S108" s="220">
        <f>COUNTIFS(Tableau2[Ref-Carte],Tableau1[[#This Row],[Ref-Carte]],Tableau2[TS],INDEX(Tableau6[TS],COLUMN()-COLUMN(Tableau1[[#All],[TS1-T]])+1))</f>
        <v>0</v>
      </c>
      <c r="T108" s="220">
        <f>COUNTIFS(Tableau2[Ref-Carte],Tableau1[[#This Row],[Ref-Carte]],Tableau2[TS],INDEX(Tableau6[TS],COLUMN()-COLUMN(Tableau1[[#All],[TS1-T]])+1))</f>
        <v>0</v>
      </c>
      <c r="U108" s="32" t="str">
        <f>IFERROR(Tableau1[[#This Row],[TS1]]/Tableau1[[#This Row],[TS1-T]],"")</f>
        <v/>
      </c>
      <c r="V108" s="32">
        <f>IFERROR(Tableau1[[#This Row],[TS2]]/Tableau1[[#This Row],[TS2-T]],"")</f>
        <v>0</v>
      </c>
      <c r="W108" s="32" t="str">
        <f>IFERROR(Tableau1[[#This Row],[TS3]]/Tableau1[[#This Row],[TS3-T]],"")</f>
        <v/>
      </c>
      <c r="X108" s="32" t="str">
        <f>IFERROR(Tableau1[[#This Row],[TS4]]/Tableau1[[#This Row],[TS4-T]],"")</f>
        <v/>
      </c>
      <c r="Y108" s="32" t="str">
        <f>IFERROR(Tableau1[[#This Row],[TS5]]/Tableau1[[#This Row],[TS5-T]],"")</f>
        <v/>
      </c>
      <c r="Z108" s="32" t="str">
        <f>IFERROR(Tableau1[[#This Row],[TS6]]/Tableau1[[#This Row],[TS6-T]],"")</f>
        <v/>
      </c>
    </row>
    <row r="109" spans="1:26" ht="16.5" thickTop="1" thickBot="1">
      <c r="A109" s="84">
        <v>3</v>
      </c>
      <c r="B109" s="23" t="str">
        <f>INDEX(Tableau7[Repere],MATCH(Tableau1[[#This Row],[ID-API]],Tableau7[ID-API],0))&amp;""</f>
        <v>A3</v>
      </c>
      <c r="C109" s="84">
        <v>1</v>
      </c>
      <c r="D109" t="str">
        <f>"R" &amp; Tableau1[[#This Row],[ID-RACK]]</f>
        <v>R1</v>
      </c>
      <c r="E109" s="84">
        <v>9</v>
      </c>
      <c r="F109" t="str">
        <f>"S" &amp; Tableau1[[#This Row],[ID-SLOT]]</f>
        <v>S9</v>
      </c>
      <c r="G109" s="168" t="str">
        <f>Tableau1[[#This Row],[ID-API]]&amp; "." &amp;Tableau1[[#This Row],[ID-RACK]]&amp; "." &amp;Tableau1[[#This Row],[ID-SLOT]]</f>
        <v>3.1.9</v>
      </c>
      <c r="H109" t="s">
        <v>708</v>
      </c>
      <c r="I109" s="30">
        <v>0</v>
      </c>
      <c r="J109" s="30">
        <v>0</v>
      </c>
      <c r="K109" s="30">
        <v>0</v>
      </c>
      <c r="L109" s="30">
        <v>0</v>
      </c>
      <c r="M109" s="30">
        <v>0</v>
      </c>
      <c r="N109" s="30">
        <v>0</v>
      </c>
      <c r="O109" s="220">
        <f>COUNTIFS(Tableau2[Ref-Carte],Tableau1[[#This Row],[Ref-Carte]],Tableau2[TS],INDEX(Tableau6[TS],COLUMN()-COLUMN(Tableau1[[#All],[TS1-T]])+1))</f>
        <v>0</v>
      </c>
      <c r="P109" s="220">
        <f>COUNTIFS(Tableau2[Ref-Carte],Tableau1[[#This Row],[Ref-Carte]],Tableau2[TS],INDEX(Tableau6[TS],COLUMN()-COLUMN(Tableau1[[#All],[TS1-T]])+1))</f>
        <v>8</v>
      </c>
      <c r="Q109" s="220">
        <f>COUNTIFS(Tableau2[Ref-Carte],Tableau1[[#This Row],[Ref-Carte]],Tableau2[TS],INDEX(Tableau6[TS],COLUMN()-COLUMN(Tableau1[[#All],[TS1-T]])+1))</f>
        <v>0</v>
      </c>
      <c r="R109" s="220">
        <f>COUNTIFS(Tableau2[Ref-Carte],Tableau1[[#This Row],[Ref-Carte]],Tableau2[TS],INDEX(Tableau6[TS],COLUMN()-COLUMN(Tableau1[[#All],[TS1-T]])+1))</f>
        <v>0</v>
      </c>
      <c r="S109" s="220">
        <f>COUNTIFS(Tableau2[Ref-Carte],Tableau1[[#This Row],[Ref-Carte]],Tableau2[TS],INDEX(Tableau6[TS],COLUMN()-COLUMN(Tableau1[[#All],[TS1-T]])+1))</f>
        <v>0</v>
      </c>
      <c r="T109" s="220">
        <f>COUNTIFS(Tableau2[Ref-Carte],Tableau1[[#This Row],[Ref-Carte]],Tableau2[TS],INDEX(Tableau6[TS],COLUMN()-COLUMN(Tableau1[[#All],[TS1-T]])+1))</f>
        <v>0</v>
      </c>
      <c r="U109" s="32" t="str">
        <f>IFERROR(Tableau1[[#This Row],[TS1]]/Tableau1[[#This Row],[TS1-T]],"")</f>
        <v/>
      </c>
      <c r="V109" s="32">
        <f>IFERROR(Tableau1[[#This Row],[TS2]]/Tableau1[[#This Row],[TS2-T]],"")</f>
        <v>0</v>
      </c>
      <c r="W109" s="32" t="str">
        <f>IFERROR(Tableau1[[#This Row],[TS3]]/Tableau1[[#This Row],[TS3-T]],"")</f>
        <v/>
      </c>
      <c r="X109" s="32" t="str">
        <f>IFERROR(Tableau1[[#This Row],[TS4]]/Tableau1[[#This Row],[TS4-T]],"")</f>
        <v/>
      </c>
      <c r="Y109" s="32" t="str">
        <f>IFERROR(Tableau1[[#This Row],[TS5]]/Tableau1[[#This Row],[TS5-T]],"")</f>
        <v/>
      </c>
      <c r="Z109" s="32" t="str">
        <f>IFERROR(Tableau1[[#This Row],[TS6]]/Tableau1[[#This Row],[TS6-T]],"")</f>
        <v/>
      </c>
    </row>
    <row r="110" spans="1:26" ht="16.5" thickTop="1" thickBot="1">
      <c r="A110" s="84">
        <v>3</v>
      </c>
      <c r="B110" s="23" t="str">
        <f>INDEX(Tableau7[Repere],MATCH(Tableau1[[#This Row],[ID-API]],Tableau7[ID-API],0))&amp;""</f>
        <v>A3</v>
      </c>
      <c r="C110" s="84">
        <v>1</v>
      </c>
      <c r="D110" t="str">
        <f>"R" &amp; Tableau1[[#This Row],[ID-RACK]]</f>
        <v>R1</v>
      </c>
      <c r="E110" s="84">
        <v>10</v>
      </c>
      <c r="F110" t="str">
        <f>"S" &amp; Tableau1[[#This Row],[ID-SLOT]]</f>
        <v>S10</v>
      </c>
      <c r="G110" s="168" t="str">
        <f>Tableau1[[#This Row],[ID-API]]&amp; "." &amp;Tableau1[[#This Row],[ID-RACK]]&amp; "." &amp;Tableau1[[#This Row],[ID-SLOT]]</f>
        <v>3.1.10</v>
      </c>
      <c r="H110" t="s">
        <v>708</v>
      </c>
      <c r="I110" s="30">
        <v>0</v>
      </c>
      <c r="J110" s="30">
        <v>0</v>
      </c>
      <c r="K110" s="30">
        <v>0</v>
      </c>
      <c r="L110" s="30">
        <v>0</v>
      </c>
      <c r="M110" s="30">
        <v>0</v>
      </c>
      <c r="N110" s="30">
        <v>0</v>
      </c>
      <c r="O110" s="220">
        <f>COUNTIFS(Tableau2[Ref-Carte],Tableau1[[#This Row],[Ref-Carte]],Tableau2[TS],INDEX(Tableau6[TS],COLUMN()-COLUMN(Tableau1[[#All],[TS1-T]])+1))</f>
        <v>0</v>
      </c>
      <c r="P110" s="220">
        <f>COUNTIFS(Tableau2[Ref-Carte],Tableau1[[#This Row],[Ref-Carte]],Tableau2[TS],INDEX(Tableau6[TS],COLUMN()-COLUMN(Tableau1[[#All],[TS1-T]])+1))</f>
        <v>8</v>
      </c>
      <c r="Q110" s="220">
        <f>COUNTIFS(Tableau2[Ref-Carte],Tableau1[[#This Row],[Ref-Carte]],Tableau2[TS],INDEX(Tableau6[TS],COLUMN()-COLUMN(Tableau1[[#All],[TS1-T]])+1))</f>
        <v>0</v>
      </c>
      <c r="R110" s="220">
        <f>COUNTIFS(Tableau2[Ref-Carte],Tableau1[[#This Row],[Ref-Carte]],Tableau2[TS],INDEX(Tableau6[TS],COLUMN()-COLUMN(Tableau1[[#All],[TS1-T]])+1))</f>
        <v>0</v>
      </c>
      <c r="S110" s="220">
        <f>COUNTIFS(Tableau2[Ref-Carte],Tableau1[[#This Row],[Ref-Carte]],Tableau2[TS],INDEX(Tableau6[TS],COLUMN()-COLUMN(Tableau1[[#All],[TS1-T]])+1))</f>
        <v>0</v>
      </c>
      <c r="T110" s="220">
        <f>COUNTIFS(Tableau2[Ref-Carte],Tableau1[[#This Row],[Ref-Carte]],Tableau2[TS],INDEX(Tableau6[TS],COLUMN()-COLUMN(Tableau1[[#All],[TS1-T]])+1))</f>
        <v>0</v>
      </c>
      <c r="U110" s="32" t="str">
        <f>IFERROR(Tableau1[[#This Row],[TS1]]/Tableau1[[#This Row],[TS1-T]],"")</f>
        <v/>
      </c>
      <c r="V110" s="32">
        <f>IFERROR(Tableau1[[#This Row],[TS2]]/Tableau1[[#This Row],[TS2-T]],"")</f>
        <v>0</v>
      </c>
      <c r="W110" s="32" t="str">
        <f>IFERROR(Tableau1[[#This Row],[TS3]]/Tableau1[[#This Row],[TS3-T]],"")</f>
        <v/>
      </c>
      <c r="X110" s="32" t="str">
        <f>IFERROR(Tableau1[[#This Row],[TS4]]/Tableau1[[#This Row],[TS4-T]],"")</f>
        <v/>
      </c>
      <c r="Y110" s="32" t="str">
        <f>IFERROR(Tableau1[[#This Row],[TS5]]/Tableau1[[#This Row],[TS5-T]],"")</f>
        <v/>
      </c>
      <c r="Z110" s="32" t="str">
        <f>IFERROR(Tableau1[[#This Row],[TS6]]/Tableau1[[#This Row],[TS6-T]],"")</f>
        <v/>
      </c>
    </row>
    <row r="111" spans="1:26" ht="16.5" thickTop="1" thickBot="1">
      <c r="A111" s="84">
        <v>3</v>
      </c>
      <c r="B111" s="23" t="str">
        <f>INDEX(Tableau7[Repere],MATCH(Tableau1[[#This Row],[ID-API]],Tableau7[ID-API],0))&amp;""</f>
        <v>A3</v>
      </c>
      <c r="C111" s="84">
        <v>2</v>
      </c>
      <c r="D111" t="str">
        <f>"R" &amp; Tableau1[[#This Row],[ID-RACK]]</f>
        <v>R2</v>
      </c>
      <c r="E111" s="84">
        <v>1</v>
      </c>
      <c r="F111" t="str">
        <f>"S" &amp; Tableau1[[#This Row],[ID-SLOT]]</f>
        <v>S1</v>
      </c>
      <c r="G111" s="168" t="str">
        <f>Tableau1[[#This Row],[ID-API]]&amp; "." &amp;Tableau1[[#This Row],[ID-RACK]]&amp; "." &amp;Tableau1[[#This Row],[ID-SLOT]]</f>
        <v>3.2.1</v>
      </c>
      <c r="H111" t="s">
        <v>708</v>
      </c>
      <c r="I111" s="30">
        <v>0</v>
      </c>
      <c r="J111" s="30">
        <v>8</v>
      </c>
      <c r="K111" s="30">
        <v>0</v>
      </c>
      <c r="L111" s="30">
        <v>0</v>
      </c>
      <c r="M111" s="30">
        <v>0</v>
      </c>
      <c r="N111" s="30">
        <v>0</v>
      </c>
      <c r="O111" s="220">
        <f>COUNTIFS(Tableau2[Ref-Carte],Tableau1[[#This Row],[Ref-Carte]],Tableau2[TS],INDEX(Tableau6[TS],COLUMN()-COLUMN(Tableau1[[#All],[TS1-T]])+1))</f>
        <v>0</v>
      </c>
      <c r="P111" s="220">
        <f>COUNTIFS(Tableau2[Ref-Carte],Tableau1[[#This Row],[Ref-Carte]],Tableau2[TS],INDEX(Tableau6[TS],COLUMN()-COLUMN(Tableau1[[#All],[TS1-T]])+1))</f>
        <v>8</v>
      </c>
      <c r="Q111" s="220">
        <f>COUNTIFS(Tableau2[Ref-Carte],Tableau1[[#This Row],[Ref-Carte]],Tableau2[TS],INDEX(Tableau6[TS],COLUMN()-COLUMN(Tableau1[[#All],[TS1-T]])+1))</f>
        <v>0</v>
      </c>
      <c r="R111" s="220">
        <f>COUNTIFS(Tableau2[Ref-Carte],Tableau1[[#This Row],[Ref-Carte]],Tableau2[TS],INDEX(Tableau6[TS],COLUMN()-COLUMN(Tableau1[[#All],[TS1-T]])+1))</f>
        <v>0</v>
      </c>
      <c r="S111" s="220">
        <f>COUNTIFS(Tableau2[Ref-Carte],Tableau1[[#This Row],[Ref-Carte]],Tableau2[TS],INDEX(Tableau6[TS],COLUMN()-COLUMN(Tableau1[[#All],[TS1-T]])+1))</f>
        <v>0</v>
      </c>
      <c r="T111" s="220">
        <f>COUNTIFS(Tableau2[Ref-Carte],Tableau1[[#This Row],[Ref-Carte]],Tableau2[TS],INDEX(Tableau6[TS],COLUMN()-COLUMN(Tableau1[[#All],[TS1-T]])+1))</f>
        <v>0</v>
      </c>
      <c r="U111" s="32" t="str">
        <f>IFERROR(Tableau1[[#This Row],[TS1]]/Tableau1[[#This Row],[TS1-T]],"")</f>
        <v/>
      </c>
      <c r="V111" s="32">
        <f>IFERROR(Tableau1[[#This Row],[TS2]]/Tableau1[[#This Row],[TS2-T]],"")</f>
        <v>1</v>
      </c>
      <c r="W111" s="32" t="str">
        <f>IFERROR(Tableau1[[#This Row],[TS3]]/Tableau1[[#This Row],[TS3-T]],"")</f>
        <v/>
      </c>
      <c r="X111" s="32" t="str">
        <f>IFERROR(Tableau1[[#This Row],[TS4]]/Tableau1[[#This Row],[TS4-T]],"")</f>
        <v/>
      </c>
      <c r="Y111" s="32" t="str">
        <f>IFERROR(Tableau1[[#This Row],[TS5]]/Tableau1[[#This Row],[TS5-T]],"")</f>
        <v/>
      </c>
      <c r="Z111" s="32" t="str">
        <f>IFERROR(Tableau1[[#This Row],[TS6]]/Tableau1[[#This Row],[TS6-T]],"")</f>
        <v/>
      </c>
    </row>
    <row r="112" spans="1:26" ht="16.5" thickTop="1" thickBot="1">
      <c r="A112" s="84">
        <v>3</v>
      </c>
      <c r="B112" s="23" t="str">
        <f>INDEX(Tableau7[Repere],MATCH(Tableau1[[#This Row],[ID-API]],Tableau7[ID-API],0))&amp;""</f>
        <v>A3</v>
      </c>
      <c r="C112" s="84">
        <v>2</v>
      </c>
      <c r="D112" t="str">
        <f>"R" &amp; Tableau1[[#This Row],[ID-RACK]]</f>
        <v>R2</v>
      </c>
      <c r="E112" s="84">
        <v>2</v>
      </c>
      <c r="F112" t="str">
        <f>"S" &amp; Tableau1[[#This Row],[ID-SLOT]]</f>
        <v>S2</v>
      </c>
      <c r="G112" s="168" t="str">
        <f>Tableau1[[#This Row],[ID-API]]&amp; "." &amp;Tableau1[[#This Row],[ID-RACK]]&amp; "." &amp;Tableau1[[#This Row],[ID-SLOT]]</f>
        <v>3.2.2</v>
      </c>
      <c r="H112" t="s">
        <v>710</v>
      </c>
      <c r="I112" s="30">
        <v>0</v>
      </c>
      <c r="J112" s="30">
        <v>0</v>
      </c>
      <c r="K112" s="30">
        <v>0</v>
      </c>
      <c r="L112" s="30">
        <v>0</v>
      </c>
      <c r="M112" s="30">
        <v>0</v>
      </c>
      <c r="N112" s="30">
        <v>0</v>
      </c>
      <c r="O112" s="220">
        <f>COUNTIFS(Tableau2[Ref-Carte],Tableau1[[#This Row],[Ref-Carte]],Tableau2[TS],INDEX(Tableau6[TS],COLUMN()-COLUMN(Tableau1[[#All],[TS1-T]])+1))</f>
        <v>16</v>
      </c>
      <c r="P112" s="220">
        <f>COUNTIFS(Tableau2[Ref-Carte],Tableau1[[#This Row],[Ref-Carte]],Tableau2[TS],INDEX(Tableau6[TS],COLUMN()-COLUMN(Tableau1[[#All],[TS1-T]])+1))</f>
        <v>0</v>
      </c>
      <c r="Q112" s="220">
        <f>COUNTIFS(Tableau2[Ref-Carte],Tableau1[[#This Row],[Ref-Carte]],Tableau2[TS],INDEX(Tableau6[TS],COLUMN()-COLUMN(Tableau1[[#All],[TS1-T]])+1))</f>
        <v>0</v>
      </c>
      <c r="R112" s="220">
        <f>COUNTIFS(Tableau2[Ref-Carte],Tableau1[[#This Row],[Ref-Carte]],Tableau2[TS],INDEX(Tableau6[TS],COLUMN()-COLUMN(Tableau1[[#All],[TS1-T]])+1))</f>
        <v>0</v>
      </c>
      <c r="S112" s="220">
        <f>COUNTIFS(Tableau2[Ref-Carte],Tableau1[[#This Row],[Ref-Carte]],Tableau2[TS],INDEX(Tableau6[TS],COLUMN()-COLUMN(Tableau1[[#All],[TS1-T]])+1))</f>
        <v>0</v>
      </c>
      <c r="T112" s="220">
        <f>COUNTIFS(Tableau2[Ref-Carte],Tableau1[[#This Row],[Ref-Carte]],Tableau2[TS],INDEX(Tableau6[TS],COLUMN()-COLUMN(Tableau1[[#All],[TS1-T]])+1))</f>
        <v>0</v>
      </c>
      <c r="U112" s="32">
        <f>IFERROR(Tableau1[[#This Row],[TS1]]/Tableau1[[#This Row],[TS1-T]],"")</f>
        <v>0</v>
      </c>
      <c r="V112" s="32" t="str">
        <f>IFERROR(Tableau1[[#This Row],[TS2]]/Tableau1[[#This Row],[TS2-T]],"")</f>
        <v/>
      </c>
      <c r="W112" s="32" t="str">
        <f>IFERROR(Tableau1[[#This Row],[TS3]]/Tableau1[[#This Row],[TS3-T]],"")</f>
        <v/>
      </c>
      <c r="X112" s="32" t="str">
        <f>IFERROR(Tableau1[[#This Row],[TS4]]/Tableau1[[#This Row],[TS4-T]],"")</f>
        <v/>
      </c>
      <c r="Y112" s="32" t="str">
        <f>IFERROR(Tableau1[[#This Row],[TS5]]/Tableau1[[#This Row],[TS5-T]],"")</f>
        <v/>
      </c>
      <c r="Z112" s="32" t="str">
        <f>IFERROR(Tableau1[[#This Row],[TS6]]/Tableau1[[#This Row],[TS6-T]],"")</f>
        <v/>
      </c>
    </row>
    <row r="113" spans="1:26" ht="16.5" thickTop="1" thickBot="1">
      <c r="A113" s="84">
        <v>3</v>
      </c>
      <c r="B113" s="23" t="str">
        <f>INDEX(Tableau7[Repere],MATCH(Tableau1[[#This Row],[ID-API]],Tableau7[ID-API],0))&amp;""</f>
        <v>A3</v>
      </c>
      <c r="C113" s="84">
        <v>2</v>
      </c>
      <c r="D113" t="str">
        <f>"R" &amp; Tableau1[[#This Row],[ID-RACK]]</f>
        <v>R2</v>
      </c>
      <c r="E113" s="84">
        <v>3</v>
      </c>
      <c r="F113" t="str">
        <f>"S" &amp; Tableau1[[#This Row],[ID-SLOT]]</f>
        <v>S3</v>
      </c>
      <c r="G113" s="168" t="str">
        <f>Tableau1[[#This Row],[ID-API]]&amp; "." &amp;Tableau1[[#This Row],[ID-RACK]]&amp; "." &amp;Tableau1[[#This Row],[ID-SLOT]]</f>
        <v>3.2.3</v>
      </c>
      <c r="H113" t="s">
        <v>710</v>
      </c>
      <c r="I113" s="30">
        <v>0</v>
      </c>
      <c r="J113" s="30">
        <v>0</v>
      </c>
      <c r="K113" s="30">
        <v>0</v>
      </c>
      <c r="L113" s="30">
        <v>0</v>
      </c>
      <c r="M113" s="30">
        <v>0</v>
      </c>
      <c r="N113" s="30">
        <v>0</v>
      </c>
      <c r="O113" s="220">
        <f>COUNTIFS(Tableau2[Ref-Carte],Tableau1[[#This Row],[Ref-Carte]],Tableau2[TS],INDEX(Tableau6[TS],COLUMN()-COLUMN(Tableau1[[#All],[TS1-T]])+1))</f>
        <v>16</v>
      </c>
      <c r="P113" s="220">
        <f>COUNTIFS(Tableau2[Ref-Carte],Tableau1[[#This Row],[Ref-Carte]],Tableau2[TS],INDEX(Tableau6[TS],COLUMN()-COLUMN(Tableau1[[#All],[TS1-T]])+1))</f>
        <v>0</v>
      </c>
      <c r="Q113" s="220">
        <f>COUNTIFS(Tableau2[Ref-Carte],Tableau1[[#This Row],[Ref-Carte]],Tableau2[TS],INDEX(Tableau6[TS],COLUMN()-COLUMN(Tableau1[[#All],[TS1-T]])+1))</f>
        <v>0</v>
      </c>
      <c r="R113" s="220">
        <f>COUNTIFS(Tableau2[Ref-Carte],Tableau1[[#This Row],[Ref-Carte]],Tableau2[TS],INDEX(Tableau6[TS],COLUMN()-COLUMN(Tableau1[[#All],[TS1-T]])+1))</f>
        <v>0</v>
      </c>
      <c r="S113" s="220">
        <f>COUNTIFS(Tableau2[Ref-Carte],Tableau1[[#This Row],[Ref-Carte]],Tableau2[TS],INDEX(Tableau6[TS],COLUMN()-COLUMN(Tableau1[[#All],[TS1-T]])+1))</f>
        <v>0</v>
      </c>
      <c r="T113" s="220">
        <f>COUNTIFS(Tableau2[Ref-Carte],Tableau1[[#This Row],[Ref-Carte]],Tableau2[TS],INDEX(Tableau6[TS],COLUMN()-COLUMN(Tableau1[[#All],[TS1-T]])+1))</f>
        <v>0</v>
      </c>
      <c r="U113" s="32">
        <f>IFERROR(Tableau1[[#This Row],[TS1]]/Tableau1[[#This Row],[TS1-T]],"")</f>
        <v>0</v>
      </c>
      <c r="V113" s="32" t="str">
        <f>IFERROR(Tableau1[[#This Row],[TS2]]/Tableau1[[#This Row],[TS2-T]],"")</f>
        <v/>
      </c>
      <c r="W113" s="32" t="str">
        <f>IFERROR(Tableau1[[#This Row],[TS3]]/Tableau1[[#This Row],[TS3-T]],"")</f>
        <v/>
      </c>
      <c r="X113" s="32" t="str">
        <f>IFERROR(Tableau1[[#This Row],[TS4]]/Tableau1[[#This Row],[TS4-T]],"")</f>
        <v/>
      </c>
      <c r="Y113" s="32" t="str">
        <f>IFERROR(Tableau1[[#This Row],[TS5]]/Tableau1[[#This Row],[TS5-T]],"")</f>
        <v/>
      </c>
      <c r="Z113" s="32" t="str">
        <f>IFERROR(Tableau1[[#This Row],[TS6]]/Tableau1[[#This Row],[TS6-T]],"")</f>
        <v/>
      </c>
    </row>
    <row r="114" spans="1:26" ht="16.5" thickTop="1" thickBot="1">
      <c r="A114" s="84">
        <v>3</v>
      </c>
      <c r="B114" s="23" t="str">
        <f>INDEX(Tableau7[Repere],MATCH(Tableau1[[#This Row],[ID-API]],Tableau7[ID-API],0))&amp;""</f>
        <v>A3</v>
      </c>
      <c r="C114" s="84">
        <v>2</v>
      </c>
      <c r="D114" t="str">
        <f>"R" &amp; Tableau1[[#This Row],[ID-RACK]]</f>
        <v>R2</v>
      </c>
      <c r="E114" s="84">
        <v>4</v>
      </c>
      <c r="F114" t="str">
        <f>"S" &amp; Tableau1[[#This Row],[ID-SLOT]]</f>
        <v>S4</v>
      </c>
      <c r="G114" s="168" t="str">
        <f>Tableau1[[#This Row],[ID-API]]&amp; "." &amp;Tableau1[[#This Row],[ID-RACK]]&amp; "." &amp;Tableau1[[#This Row],[ID-SLOT]]</f>
        <v>3.2.4</v>
      </c>
      <c r="H114" t="s">
        <v>710</v>
      </c>
      <c r="I114" s="30">
        <v>0</v>
      </c>
      <c r="J114" s="30">
        <v>0</v>
      </c>
      <c r="K114" s="30">
        <v>0</v>
      </c>
      <c r="L114" s="30">
        <v>0</v>
      </c>
      <c r="M114" s="30">
        <v>0</v>
      </c>
      <c r="N114" s="30">
        <v>0</v>
      </c>
      <c r="O114" s="220">
        <f>COUNTIFS(Tableau2[Ref-Carte],Tableau1[[#This Row],[Ref-Carte]],Tableau2[TS],INDEX(Tableau6[TS],COLUMN()-COLUMN(Tableau1[[#All],[TS1-T]])+1))</f>
        <v>16</v>
      </c>
      <c r="P114" s="220">
        <f>COUNTIFS(Tableau2[Ref-Carte],Tableau1[[#This Row],[Ref-Carte]],Tableau2[TS],INDEX(Tableau6[TS],COLUMN()-COLUMN(Tableau1[[#All],[TS1-T]])+1))</f>
        <v>0</v>
      </c>
      <c r="Q114" s="220">
        <f>COUNTIFS(Tableau2[Ref-Carte],Tableau1[[#This Row],[Ref-Carte]],Tableau2[TS],INDEX(Tableau6[TS],COLUMN()-COLUMN(Tableau1[[#All],[TS1-T]])+1))</f>
        <v>0</v>
      </c>
      <c r="R114" s="220">
        <f>COUNTIFS(Tableau2[Ref-Carte],Tableau1[[#This Row],[Ref-Carte]],Tableau2[TS],INDEX(Tableau6[TS],COLUMN()-COLUMN(Tableau1[[#All],[TS1-T]])+1))</f>
        <v>0</v>
      </c>
      <c r="S114" s="220">
        <f>COUNTIFS(Tableau2[Ref-Carte],Tableau1[[#This Row],[Ref-Carte]],Tableau2[TS],INDEX(Tableau6[TS],COLUMN()-COLUMN(Tableau1[[#All],[TS1-T]])+1))</f>
        <v>0</v>
      </c>
      <c r="T114" s="220">
        <f>COUNTIFS(Tableau2[Ref-Carte],Tableau1[[#This Row],[Ref-Carte]],Tableau2[TS],INDEX(Tableau6[TS],COLUMN()-COLUMN(Tableau1[[#All],[TS1-T]])+1))</f>
        <v>0</v>
      </c>
      <c r="U114" s="32">
        <f>IFERROR(Tableau1[[#This Row],[TS1]]/Tableau1[[#This Row],[TS1-T]],"")</f>
        <v>0</v>
      </c>
      <c r="V114" s="32" t="str">
        <f>IFERROR(Tableau1[[#This Row],[TS2]]/Tableau1[[#This Row],[TS2-T]],"")</f>
        <v/>
      </c>
      <c r="W114" s="32" t="str">
        <f>IFERROR(Tableau1[[#This Row],[TS3]]/Tableau1[[#This Row],[TS3-T]],"")</f>
        <v/>
      </c>
      <c r="X114" s="32" t="str">
        <f>IFERROR(Tableau1[[#This Row],[TS4]]/Tableau1[[#This Row],[TS4-T]],"")</f>
        <v/>
      </c>
      <c r="Y114" s="32" t="str">
        <f>IFERROR(Tableau1[[#This Row],[TS5]]/Tableau1[[#This Row],[TS5-T]],"")</f>
        <v/>
      </c>
      <c r="Z114" s="32" t="str">
        <f>IFERROR(Tableau1[[#This Row],[TS6]]/Tableau1[[#This Row],[TS6-T]],"")</f>
        <v/>
      </c>
    </row>
    <row r="115" spans="1:26" ht="16.5" thickTop="1" thickBot="1">
      <c r="A115" s="84">
        <v>3</v>
      </c>
      <c r="B115" s="23" t="str">
        <f>INDEX(Tableau7[Repere],MATCH(Tableau1[[#This Row],[ID-API]],Tableau7[ID-API],0))&amp;""</f>
        <v>A3</v>
      </c>
      <c r="C115" s="84">
        <v>2</v>
      </c>
      <c r="D115" t="str">
        <f>"R" &amp; Tableau1[[#This Row],[ID-RACK]]</f>
        <v>R2</v>
      </c>
      <c r="E115" s="84">
        <v>5</v>
      </c>
      <c r="F115" t="str">
        <f>"S" &amp; Tableau1[[#This Row],[ID-SLOT]]</f>
        <v>S5</v>
      </c>
      <c r="G115" s="168" t="str">
        <f>Tableau1[[#This Row],[ID-API]]&amp; "." &amp;Tableau1[[#This Row],[ID-RACK]]&amp; "." &amp;Tableau1[[#This Row],[ID-SLOT]]</f>
        <v>3.2.5</v>
      </c>
      <c r="H115" t="s">
        <v>710</v>
      </c>
      <c r="I115" s="30">
        <v>0</v>
      </c>
      <c r="J115" s="30">
        <v>0</v>
      </c>
      <c r="K115" s="30">
        <v>0</v>
      </c>
      <c r="L115" s="30">
        <v>0</v>
      </c>
      <c r="M115" s="30">
        <v>0</v>
      </c>
      <c r="N115" s="30">
        <v>0</v>
      </c>
      <c r="O115" s="220">
        <f>COUNTIFS(Tableau2[Ref-Carte],Tableau1[[#This Row],[Ref-Carte]],Tableau2[TS],INDEX(Tableau6[TS],COLUMN()-COLUMN(Tableau1[[#All],[TS1-T]])+1))</f>
        <v>16</v>
      </c>
      <c r="P115" s="220">
        <f>COUNTIFS(Tableau2[Ref-Carte],Tableau1[[#This Row],[Ref-Carte]],Tableau2[TS],INDEX(Tableau6[TS],COLUMN()-COLUMN(Tableau1[[#All],[TS1-T]])+1))</f>
        <v>0</v>
      </c>
      <c r="Q115" s="220">
        <f>COUNTIFS(Tableau2[Ref-Carte],Tableau1[[#This Row],[Ref-Carte]],Tableau2[TS],INDEX(Tableau6[TS],COLUMN()-COLUMN(Tableau1[[#All],[TS1-T]])+1))</f>
        <v>0</v>
      </c>
      <c r="R115" s="220">
        <f>COUNTIFS(Tableau2[Ref-Carte],Tableau1[[#This Row],[Ref-Carte]],Tableau2[TS],INDEX(Tableau6[TS],COLUMN()-COLUMN(Tableau1[[#All],[TS1-T]])+1))</f>
        <v>0</v>
      </c>
      <c r="S115" s="220">
        <f>COUNTIFS(Tableau2[Ref-Carte],Tableau1[[#This Row],[Ref-Carte]],Tableau2[TS],INDEX(Tableau6[TS],COLUMN()-COLUMN(Tableau1[[#All],[TS1-T]])+1))</f>
        <v>0</v>
      </c>
      <c r="T115" s="220">
        <f>COUNTIFS(Tableau2[Ref-Carte],Tableau1[[#This Row],[Ref-Carte]],Tableau2[TS],INDEX(Tableau6[TS],COLUMN()-COLUMN(Tableau1[[#All],[TS1-T]])+1))</f>
        <v>0</v>
      </c>
      <c r="U115" s="32">
        <f>IFERROR(Tableau1[[#This Row],[TS1]]/Tableau1[[#This Row],[TS1-T]],"")</f>
        <v>0</v>
      </c>
      <c r="V115" s="32" t="str">
        <f>IFERROR(Tableau1[[#This Row],[TS2]]/Tableau1[[#This Row],[TS2-T]],"")</f>
        <v/>
      </c>
      <c r="W115" s="32" t="str">
        <f>IFERROR(Tableau1[[#This Row],[TS3]]/Tableau1[[#This Row],[TS3-T]],"")</f>
        <v/>
      </c>
      <c r="X115" s="32" t="str">
        <f>IFERROR(Tableau1[[#This Row],[TS4]]/Tableau1[[#This Row],[TS4-T]],"")</f>
        <v/>
      </c>
      <c r="Y115" s="32" t="str">
        <f>IFERROR(Tableau1[[#This Row],[TS5]]/Tableau1[[#This Row],[TS5-T]],"")</f>
        <v/>
      </c>
      <c r="Z115" s="32" t="str">
        <f>IFERROR(Tableau1[[#This Row],[TS6]]/Tableau1[[#This Row],[TS6-T]],"")</f>
        <v/>
      </c>
    </row>
    <row r="116" spans="1:26" ht="16.5" thickTop="1" thickBot="1">
      <c r="A116" s="84">
        <v>3</v>
      </c>
      <c r="B116" s="23" t="str">
        <f>INDEX(Tableau7[Repere],MATCH(Tableau1[[#This Row],[ID-API]],Tableau7[ID-API],0))&amp;""</f>
        <v>A3</v>
      </c>
      <c r="C116" s="84">
        <v>2</v>
      </c>
      <c r="D116" t="str">
        <f>"R" &amp; Tableau1[[#This Row],[ID-RACK]]</f>
        <v>R2</v>
      </c>
      <c r="E116" s="84">
        <v>6</v>
      </c>
      <c r="F116" t="str">
        <f>"S" &amp; Tableau1[[#This Row],[ID-SLOT]]</f>
        <v>S6</v>
      </c>
      <c r="G116" s="168" t="str">
        <f>Tableau1[[#This Row],[ID-API]]&amp; "." &amp;Tableau1[[#This Row],[ID-RACK]]&amp; "." &amp;Tableau1[[#This Row],[ID-SLOT]]</f>
        <v>3.2.6</v>
      </c>
      <c r="H116" t="s">
        <v>710</v>
      </c>
      <c r="I116" s="30">
        <v>0</v>
      </c>
      <c r="J116" s="30">
        <v>0</v>
      </c>
      <c r="K116" s="30">
        <v>0</v>
      </c>
      <c r="L116" s="30">
        <v>0</v>
      </c>
      <c r="M116" s="30">
        <v>0</v>
      </c>
      <c r="N116" s="30">
        <v>0</v>
      </c>
      <c r="O116" s="220">
        <f>COUNTIFS(Tableau2[Ref-Carte],Tableau1[[#This Row],[Ref-Carte]],Tableau2[TS],INDEX(Tableau6[TS],COLUMN()-COLUMN(Tableau1[[#All],[TS1-T]])+1))</f>
        <v>16</v>
      </c>
      <c r="P116" s="220">
        <f>COUNTIFS(Tableau2[Ref-Carte],Tableau1[[#This Row],[Ref-Carte]],Tableau2[TS],INDEX(Tableau6[TS],COLUMN()-COLUMN(Tableau1[[#All],[TS1-T]])+1))</f>
        <v>0</v>
      </c>
      <c r="Q116" s="220">
        <f>COUNTIFS(Tableau2[Ref-Carte],Tableau1[[#This Row],[Ref-Carte]],Tableau2[TS],INDEX(Tableau6[TS],COLUMN()-COLUMN(Tableau1[[#All],[TS1-T]])+1))</f>
        <v>0</v>
      </c>
      <c r="R116" s="220">
        <f>COUNTIFS(Tableau2[Ref-Carte],Tableau1[[#This Row],[Ref-Carte]],Tableau2[TS],INDEX(Tableau6[TS],COLUMN()-COLUMN(Tableau1[[#All],[TS1-T]])+1))</f>
        <v>0</v>
      </c>
      <c r="S116" s="220">
        <f>COUNTIFS(Tableau2[Ref-Carte],Tableau1[[#This Row],[Ref-Carte]],Tableau2[TS],INDEX(Tableau6[TS],COLUMN()-COLUMN(Tableau1[[#All],[TS1-T]])+1))</f>
        <v>0</v>
      </c>
      <c r="T116" s="220">
        <f>COUNTIFS(Tableau2[Ref-Carte],Tableau1[[#This Row],[Ref-Carte]],Tableau2[TS],INDEX(Tableau6[TS],COLUMN()-COLUMN(Tableau1[[#All],[TS1-T]])+1))</f>
        <v>0</v>
      </c>
      <c r="U116" s="32">
        <f>IFERROR(Tableau1[[#This Row],[TS1]]/Tableau1[[#This Row],[TS1-T]],"")</f>
        <v>0</v>
      </c>
      <c r="V116" s="32" t="str">
        <f>IFERROR(Tableau1[[#This Row],[TS2]]/Tableau1[[#This Row],[TS2-T]],"")</f>
        <v/>
      </c>
      <c r="W116" s="32" t="str">
        <f>IFERROR(Tableau1[[#This Row],[TS3]]/Tableau1[[#This Row],[TS3-T]],"")</f>
        <v/>
      </c>
      <c r="X116" s="32" t="str">
        <f>IFERROR(Tableau1[[#This Row],[TS4]]/Tableau1[[#This Row],[TS4-T]],"")</f>
        <v/>
      </c>
      <c r="Y116" s="32" t="str">
        <f>IFERROR(Tableau1[[#This Row],[TS5]]/Tableau1[[#This Row],[TS5-T]],"")</f>
        <v/>
      </c>
      <c r="Z116" s="32" t="str">
        <f>IFERROR(Tableau1[[#This Row],[TS6]]/Tableau1[[#This Row],[TS6-T]],"")</f>
        <v/>
      </c>
    </row>
    <row r="117" spans="1:26" ht="16.5" thickTop="1" thickBot="1">
      <c r="A117" s="84">
        <v>3</v>
      </c>
      <c r="B117" s="23" t="str">
        <f>INDEX(Tableau7[Repere],MATCH(Tableau1[[#This Row],[ID-API]],Tableau7[ID-API],0))&amp;""</f>
        <v>A3</v>
      </c>
      <c r="C117" s="84">
        <v>2</v>
      </c>
      <c r="D117" t="str">
        <f>"R" &amp; Tableau1[[#This Row],[ID-RACK]]</f>
        <v>R2</v>
      </c>
      <c r="E117" s="84">
        <v>7</v>
      </c>
      <c r="F117" t="str">
        <f>"S" &amp; Tableau1[[#This Row],[ID-SLOT]]</f>
        <v>S7</v>
      </c>
      <c r="G117" s="168" t="str">
        <f>Tableau1[[#This Row],[ID-API]]&amp; "." &amp;Tableau1[[#This Row],[ID-RACK]]&amp; "." &amp;Tableau1[[#This Row],[ID-SLOT]]</f>
        <v>3.2.7</v>
      </c>
      <c r="H117" t="s">
        <v>402</v>
      </c>
      <c r="I117" s="30">
        <v>0</v>
      </c>
      <c r="J117" s="30">
        <v>0</v>
      </c>
      <c r="K117" s="30">
        <v>0</v>
      </c>
      <c r="L117" s="30">
        <v>0</v>
      </c>
      <c r="M117" s="30">
        <v>0</v>
      </c>
      <c r="N117" s="30">
        <v>0</v>
      </c>
      <c r="O117" s="220">
        <f>COUNTIFS(Tableau2[Ref-Carte],Tableau1[[#This Row],[Ref-Carte]],Tableau2[TS],INDEX(Tableau6[TS],COLUMN()-COLUMN(Tableau1[[#All],[TS1-T]])+1))</f>
        <v>0</v>
      </c>
      <c r="P117" s="220">
        <f>COUNTIFS(Tableau2[Ref-Carte],Tableau1[[#This Row],[Ref-Carte]],Tableau2[TS],INDEX(Tableau6[TS],COLUMN()-COLUMN(Tableau1[[#All],[TS1-T]])+1))</f>
        <v>0</v>
      </c>
      <c r="Q117" s="220">
        <f>COUNTIFS(Tableau2[Ref-Carte],Tableau1[[#This Row],[Ref-Carte]],Tableau2[TS],INDEX(Tableau6[TS],COLUMN()-COLUMN(Tableau1[[#All],[TS1-T]])+1))</f>
        <v>0</v>
      </c>
      <c r="R117" s="220">
        <f>COUNTIFS(Tableau2[Ref-Carte],Tableau1[[#This Row],[Ref-Carte]],Tableau2[TS],INDEX(Tableau6[TS],COLUMN()-COLUMN(Tableau1[[#All],[TS1-T]])+1))</f>
        <v>0</v>
      </c>
      <c r="S117" s="220">
        <f>COUNTIFS(Tableau2[Ref-Carte],Tableau1[[#This Row],[Ref-Carte]],Tableau2[TS],INDEX(Tableau6[TS],COLUMN()-COLUMN(Tableau1[[#All],[TS1-T]])+1))</f>
        <v>0</v>
      </c>
      <c r="T117" s="220">
        <f>COUNTIFS(Tableau2[Ref-Carte],Tableau1[[#This Row],[Ref-Carte]],Tableau2[TS],INDEX(Tableau6[TS],COLUMN()-COLUMN(Tableau1[[#All],[TS1-T]])+1))</f>
        <v>0</v>
      </c>
      <c r="U117" s="32" t="str">
        <f>IFERROR(Tableau1[[#This Row],[TS1]]/Tableau1[[#This Row],[TS1-T]],"")</f>
        <v/>
      </c>
      <c r="V117" s="32" t="str">
        <f>IFERROR(Tableau1[[#This Row],[TS2]]/Tableau1[[#This Row],[TS2-T]],"")</f>
        <v/>
      </c>
      <c r="W117" s="32" t="str">
        <f>IFERROR(Tableau1[[#This Row],[TS3]]/Tableau1[[#This Row],[TS3-T]],"")</f>
        <v/>
      </c>
      <c r="X117" s="32" t="str">
        <f>IFERROR(Tableau1[[#This Row],[TS4]]/Tableau1[[#This Row],[TS4-T]],"")</f>
        <v/>
      </c>
      <c r="Y117" s="32" t="str">
        <f>IFERROR(Tableau1[[#This Row],[TS5]]/Tableau1[[#This Row],[TS5-T]],"")</f>
        <v/>
      </c>
      <c r="Z117" s="32" t="str">
        <f>IFERROR(Tableau1[[#This Row],[TS6]]/Tableau1[[#This Row],[TS6-T]],"")</f>
        <v/>
      </c>
    </row>
    <row r="118" spans="1:26" ht="16.5" thickTop="1" thickBot="1">
      <c r="A118" s="84">
        <v>3</v>
      </c>
      <c r="B118" s="23" t="str">
        <f>INDEX(Tableau7[Repere],MATCH(Tableau1[[#This Row],[ID-API]],Tableau7[ID-API],0))&amp;""</f>
        <v>A3</v>
      </c>
      <c r="C118" s="84">
        <v>2</v>
      </c>
      <c r="D118" t="str">
        <f>"R" &amp; Tableau1[[#This Row],[ID-RACK]]</f>
        <v>R2</v>
      </c>
      <c r="E118" s="84">
        <v>8</v>
      </c>
      <c r="F118" t="str">
        <f>"S" &amp; Tableau1[[#This Row],[ID-SLOT]]</f>
        <v>S8</v>
      </c>
      <c r="G118" s="168" t="str">
        <f>Tableau1[[#This Row],[ID-API]]&amp; "." &amp;Tableau1[[#This Row],[ID-RACK]]&amp; "." &amp;Tableau1[[#This Row],[ID-SLOT]]</f>
        <v>3.2.8</v>
      </c>
      <c r="H118" t="s">
        <v>402</v>
      </c>
      <c r="I118" s="30">
        <v>0</v>
      </c>
      <c r="J118" s="30">
        <v>0</v>
      </c>
      <c r="K118" s="30">
        <v>0</v>
      </c>
      <c r="L118" s="30">
        <v>0</v>
      </c>
      <c r="M118" s="30">
        <v>0</v>
      </c>
      <c r="N118" s="30">
        <v>0</v>
      </c>
      <c r="O118" s="220">
        <f>COUNTIFS(Tableau2[Ref-Carte],Tableau1[[#This Row],[Ref-Carte]],Tableau2[TS],INDEX(Tableau6[TS],COLUMN()-COLUMN(Tableau1[[#All],[TS1-T]])+1))</f>
        <v>0</v>
      </c>
      <c r="P118" s="220">
        <f>COUNTIFS(Tableau2[Ref-Carte],Tableau1[[#This Row],[Ref-Carte]],Tableau2[TS],INDEX(Tableau6[TS],COLUMN()-COLUMN(Tableau1[[#All],[TS1-T]])+1))</f>
        <v>0</v>
      </c>
      <c r="Q118" s="220">
        <f>COUNTIFS(Tableau2[Ref-Carte],Tableau1[[#This Row],[Ref-Carte]],Tableau2[TS],INDEX(Tableau6[TS],COLUMN()-COLUMN(Tableau1[[#All],[TS1-T]])+1))</f>
        <v>0</v>
      </c>
      <c r="R118" s="220">
        <f>COUNTIFS(Tableau2[Ref-Carte],Tableau1[[#This Row],[Ref-Carte]],Tableau2[TS],INDEX(Tableau6[TS],COLUMN()-COLUMN(Tableau1[[#All],[TS1-T]])+1))</f>
        <v>0</v>
      </c>
      <c r="S118" s="220">
        <f>COUNTIFS(Tableau2[Ref-Carte],Tableau1[[#This Row],[Ref-Carte]],Tableau2[TS],INDEX(Tableau6[TS],COLUMN()-COLUMN(Tableau1[[#All],[TS1-T]])+1))</f>
        <v>0</v>
      </c>
      <c r="T118" s="220">
        <f>COUNTIFS(Tableau2[Ref-Carte],Tableau1[[#This Row],[Ref-Carte]],Tableau2[TS],INDEX(Tableau6[TS],COLUMN()-COLUMN(Tableau1[[#All],[TS1-T]])+1))</f>
        <v>0</v>
      </c>
      <c r="U118" s="32" t="str">
        <f>IFERROR(Tableau1[[#This Row],[TS1]]/Tableau1[[#This Row],[TS1-T]],"")</f>
        <v/>
      </c>
      <c r="V118" s="32" t="str">
        <f>IFERROR(Tableau1[[#This Row],[TS2]]/Tableau1[[#This Row],[TS2-T]],"")</f>
        <v/>
      </c>
      <c r="W118" s="32" t="str">
        <f>IFERROR(Tableau1[[#This Row],[TS3]]/Tableau1[[#This Row],[TS3-T]],"")</f>
        <v/>
      </c>
      <c r="X118" s="32" t="str">
        <f>IFERROR(Tableau1[[#This Row],[TS4]]/Tableau1[[#This Row],[TS4-T]],"")</f>
        <v/>
      </c>
      <c r="Y118" s="32" t="str">
        <f>IFERROR(Tableau1[[#This Row],[TS5]]/Tableau1[[#This Row],[TS5-T]],"")</f>
        <v/>
      </c>
      <c r="Z118" s="32" t="str">
        <f>IFERROR(Tableau1[[#This Row],[TS6]]/Tableau1[[#This Row],[TS6-T]],"")</f>
        <v/>
      </c>
    </row>
    <row r="119" spans="1:26" ht="16.5" thickTop="1" thickBot="1">
      <c r="A119" s="84">
        <v>3</v>
      </c>
      <c r="B119" s="23" t="str">
        <f>INDEX(Tableau7[Repere],MATCH(Tableau1[[#This Row],[ID-API]],Tableau7[ID-API],0))&amp;""</f>
        <v>A3</v>
      </c>
      <c r="C119" s="84">
        <v>2</v>
      </c>
      <c r="D119" t="str">
        <f>"R" &amp; Tableau1[[#This Row],[ID-RACK]]</f>
        <v>R2</v>
      </c>
      <c r="E119" s="84">
        <v>9</v>
      </c>
      <c r="F119" t="str">
        <f>"S" &amp; Tableau1[[#This Row],[ID-SLOT]]</f>
        <v>S9</v>
      </c>
      <c r="G119" s="168" t="str">
        <f>Tableau1[[#This Row],[ID-API]]&amp; "." &amp;Tableau1[[#This Row],[ID-RACK]]&amp; "." &amp;Tableau1[[#This Row],[ID-SLOT]]</f>
        <v>3.2.9</v>
      </c>
      <c r="H119" t="s">
        <v>402</v>
      </c>
      <c r="I119" s="30">
        <v>0</v>
      </c>
      <c r="J119" s="30">
        <v>0</v>
      </c>
      <c r="K119" s="30">
        <v>0</v>
      </c>
      <c r="L119" s="30">
        <v>0</v>
      </c>
      <c r="M119" s="30">
        <v>0</v>
      </c>
      <c r="N119" s="30">
        <v>0</v>
      </c>
      <c r="O119" s="220">
        <f>COUNTIFS(Tableau2[Ref-Carte],Tableau1[[#This Row],[Ref-Carte]],Tableau2[TS],INDEX(Tableau6[TS],COLUMN()-COLUMN(Tableau1[[#All],[TS1-T]])+1))</f>
        <v>0</v>
      </c>
      <c r="P119" s="220">
        <f>COUNTIFS(Tableau2[Ref-Carte],Tableau1[[#This Row],[Ref-Carte]],Tableau2[TS],INDEX(Tableau6[TS],COLUMN()-COLUMN(Tableau1[[#All],[TS1-T]])+1))</f>
        <v>0</v>
      </c>
      <c r="Q119" s="220">
        <f>COUNTIFS(Tableau2[Ref-Carte],Tableau1[[#This Row],[Ref-Carte]],Tableau2[TS],INDEX(Tableau6[TS],COLUMN()-COLUMN(Tableau1[[#All],[TS1-T]])+1))</f>
        <v>0</v>
      </c>
      <c r="R119" s="220">
        <f>COUNTIFS(Tableau2[Ref-Carte],Tableau1[[#This Row],[Ref-Carte]],Tableau2[TS],INDEX(Tableau6[TS],COLUMN()-COLUMN(Tableau1[[#All],[TS1-T]])+1))</f>
        <v>0</v>
      </c>
      <c r="S119" s="220">
        <f>COUNTIFS(Tableau2[Ref-Carte],Tableau1[[#This Row],[Ref-Carte]],Tableau2[TS],INDEX(Tableau6[TS],COLUMN()-COLUMN(Tableau1[[#All],[TS1-T]])+1))</f>
        <v>0</v>
      </c>
      <c r="T119" s="220">
        <f>COUNTIFS(Tableau2[Ref-Carte],Tableau1[[#This Row],[Ref-Carte]],Tableau2[TS],INDEX(Tableau6[TS],COLUMN()-COLUMN(Tableau1[[#All],[TS1-T]])+1))</f>
        <v>0</v>
      </c>
      <c r="U119" s="32" t="str">
        <f>IFERROR(Tableau1[[#This Row],[TS1]]/Tableau1[[#This Row],[TS1-T]],"")</f>
        <v/>
      </c>
      <c r="V119" s="32" t="str">
        <f>IFERROR(Tableau1[[#This Row],[TS2]]/Tableau1[[#This Row],[TS2-T]],"")</f>
        <v/>
      </c>
      <c r="W119" s="32" t="str">
        <f>IFERROR(Tableau1[[#This Row],[TS3]]/Tableau1[[#This Row],[TS3-T]],"")</f>
        <v/>
      </c>
      <c r="X119" s="32" t="str">
        <f>IFERROR(Tableau1[[#This Row],[TS4]]/Tableau1[[#This Row],[TS4-T]],"")</f>
        <v/>
      </c>
      <c r="Y119" s="32" t="str">
        <f>IFERROR(Tableau1[[#This Row],[TS5]]/Tableau1[[#This Row],[TS5-T]],"")</f>
        <v/>
      </c>
      <c r="Z119" s="32" t="str">
        <f>IFERROR(Tableau1[[#This Row],[TS6]]/Tableau1[[#This Row],[TS6-T]],"")</f>
        <v/>
      </c>
    </row>
    <row r="120" spans="1:26" ht="16.5" thickTop="1" thickBot="1">
      <c r="A120" s="84">
        <v>3</v>
      </c>
      <c r="B120" s="23" t="str">
        <f>INDEX(Tableau7[Repere],MATCH(Tableau1[[#This Row],[ID-API]],Tableau7[ID-API],0))&amp;""</f>
        <v>A3</v>
      </c>
      <c r="C120" s="84">
        <v>2</v>
      </c>
      <c r="D120" t="str">
        <f>"R" &amp; Tableau1[[#This Row],[ID-RACK]]</f>
        <v>R2</v>
      </c>
      <c r="E120" s="84">
        <v>10</v>
      </c>
      <c r="F120" t="str">
        <f>"S" &amp; Tableau1[[#This Row],[ID-SLOT]]</f>
        <v>S10</v>
      </c>
      <c r="G120" s="168" t="str">
        <f>Tableau1[[#This Row],[ID-API]]&amp; "." &amp;Tableau1[[#This Row],[ID-RACK]]&amp; "." &amp;Tableau1[[#This Row],[ID-SLOT]]</f>
        <v>3.2.10</v>
      </c>
      <c r="H120" t="s">
        <v>402</v>
      </c>
      <c r="I120" s="30">
        <v>0</v>
      </c>
      <c r="J120" s="30">
        <v>0</v>
      </c>
      <c r="K120" s="30">
        <v>0</v>
      </c>
      <c r="L120" s="30">
        <v>0</v>
      </c>
      <c r="M120" s="30">
        <v>0</v>
      </c>
      <c r="N120" s="30">
        <v>0</v>
      </c>
      <c r="O120" s="220">
        <f>COUNTIFS(Tableau2[Ref-Carte],Tableau1[[#This Row],[Ref-Carte]],Tableau2[TS],INDEX(Tableau6[TS],COLUMN()-COLUMN(Tableau1[[#All],[TS1-T]])+1))</f>
        <v>0</v>
      </c>
      <c r="P120" s="220">
        <f>COUNTIFS(Tableau2[Ref-Carte],Tableau1[[#This Row],[Ref-Carte]],Tableau2[TS],INDEX(Tableau6[TS],COLUMN()-COLUMN(Tableau1[[#All],[TS1-T]])+1))</f>
        <v>0</v>
      </c>
      <c r="Q120" s="220">
        <f>COUNTIFS(Tableau2[Ref-Carte],Tableau1[[#This Row],[Ref-Carte]],Tableau2[TS],INDEX(Tableau6[TS],COLUMN()-COLUMN(Tableau1[[#All],[TS1-T]])+1))</f>
        <v>0</v>
      </c>
      <c r="R120" s="220">
        <f>COUNTIFS(Tableau2[Ref-Carte],Tableau1[[#This Row],[Ref-Carte]],Tableau2[TS],INDEX(Tableau6[TS],COLUMN()-COLUMN(Tableau1[[#All],[TS1-T]])+1))</f>
        <v>0</v>
      </c>
      <c r="S120" s="220">
        <f>COUNTIFS(Tableau2[Ref-Carte],Tableau1[[#This Row],[Ref-Carte]],Tableau2[TS],INDEX(Tableau6[TS],COLUMN()-COLUMN(Tableau1[[#All],[TS1-T]])+1))</f>
        <v>0</v>
      </c>
      <c r="T120" s="220">
        <f>COUNTIFS(Tableau2[Ref-Carte],Tableau1[[#This Row],[Ref-Carte]],Tableau2[TS],INDEX(Tableau6[TS],COLUMN()-COLUMN(Tableau1[[#All],[TS1-T]])+1))</f>
        <v>0</v>
      </c>
      <c r="U120" s="32" t="str">
        <f>IFERROR(Tableau1[[#This Row],[TS1]]/Tableau1[[#This Row],[TS1-T]],"")</f>
        <v/>
      </c>
      <c r="V120" s="32" t="str">
        <f>IFERROR(Tableau1[[#This Row],[TS2]]/Tableau1[[#This Row],[TS2-T]],"")</f>
        <v/>
      </c>
      <c r="W120" s="32" t="str">
        <f>IFERROR(Tableau1[[#This Row],[TS3]]/Tableau1[[#This Row],[TS3-T]],"")</f>
        <v/>
      </c>
      <c r="X120" s="32" t="str">
        <f>IFERROR(Tableau1[[#This Row],[TS4]]/Tableau1[[#This Row],[TS4-T]],"")</f>
        <v/>
      </c>
      <c r="Y120" s="32" t="str">
        <f>IFERROR(Tableau1[[#This Row],[TS5]]/Tableau1[[#This Row],[TS5-T]],"")</f>
        <v/>
      </c>
      <c r="Z120" s="32" t="str">
        <f>IFERROR(Tableau1[[#This Row],[TS6]]/Tableau1[[#This Row],[TS6-T]],"")</f>
        <v/>
      </c>
    </row>
    <row r="121" spans="1:26" ht="16.5" thickTop="1" thickBot="1">
      <c r="A121" s="84">
        <v>4</v>
      </c>
      <c r="B121" s="23" t="str">
        <f>INDEX(Tableau7[Repere],MATCH(Tableau1[[#This Row],[ID-API]],Tableau7[ID-API],0))&amp;""</f>
        <v>A4</v>
      </c>
      <c r="C121" s="84">
        <v>1</v>
      </c>
      <c r="D121" t="str">
        <f>"R" &amp; Tableau1[[#This Row],[ID-RACK]]</f>
        <v>R1</v>
      </c>
      <c r="E121" s="84">
        <v>3</v>
      </c>
      <c r="F121" t="str">
        <f>"S" &amp; Tableau1[[#This Row],[ID-SLOT]]</f>
        <v>S3</v>
      </c>
      <c r="G121" s="168" t="str">
        <f>Tableau1[[#This Row],[ID-API]]&amp; "." &amp;Tableau1[[#This Row],[ID-RACK]]&amp; "." &amp;Tableau1[[#This Row],[ID-SLOT]]</f>
        <v>4.1.3</v>
      </c>
      <c r="H121" t="s">
        <v>708</v>
      </c>
      <c r="I121" s="30">
        <v>0</v>
      </c>
      <c r="J121" s="30">
        <v>0</v>
      </c>
      <c r="K121" s="30">
        <v>0</v>
      </c>
      <c r="L121" s="30">
        <v>0</v>
      </c>
      <c r="M121" s="30">
        <v>0</v>
      </c>
      <c r="N121" s="30">
        <v>0</v>
      </c>
      <c r="O121" s="220">
        <f>COUNTIFS(Tableau2[Ref-Carte],Tableau1[[#This Row],[Ref-Carte]],Tableau2[TS],INDEX(Tableau6[TS],COLUMN()-COLUMN(Tableau1[[#All],[TS1-T]])+1))</f>
        <v>0</v>
      </c>
      <c r="P121" s="220">
        <f>COUNTIFS(Tableau2[Ref-Carte],Tableau1[[#This Row],[Ref-Carte]],Tableau2[TS],INDEX(Tableau6[TS],COLUMN()-COLUMN(Tableau1[[#All],[TS1-T]])+1))</f>
        <v>8</v>
      </c>
      <c r="Q121" s="220">
        <f>COUNTIFS(Tableau2[Ref-Carte],Tableau1[[#This Row],[Ref-Carte]],Tableau2[TS],INDEX(Tableau6[TS],COLUMN()-COLUMN(Tableau1[[#All],[TS1-T]])+1))</f>
        <v>0</v>
      </c>
      <c r="R121" s="220">
        <f>COUNTIFS(Tableau2[Ref-Carte],Tableau1[[#This Row],[Ref-Carte]],Tableau2[TS],INDEX(Tableau6[TS],COLUMN()-COLUMN(Tableau1[[#All],[TS1-T]])+1))</f>
        <v>0</v>
      </c>
      <c r="S121" s="220">
        <f>COUNTIFS(Tableau2[Ref-Carte],Tableau1[[#This Row],[Ref-Carte]],Tableau2[TS],INDEX(Tableau6[TS],COLUMN()-COLUMN(Tableau1[[#All],[TS1-T]])+1))</f>
        <v>0</v>
      </c>
      <c r="T121" s="220">
        <f>COUNTIFS(Tableau2[Ref-Carte],Tableau1[[#This Row],[Ref-Carte]],Tableau2[TS],INDEX(Tableau6[TS],COLUMN()-COLUMN(Tableau1[[#All],[TS1-T]])+1))</f>
        <v>0</v>
      </c>
      <c r="U121" s="32" t="str">
        <f>IFERROR(Tableau1[[#This Row],[TS1]]/Tableau1[[#This Row],[TS1-T]],"")</f>
        <v/>
      </c>
      <c r="V121" s="32">
        <f>IFERROR(Tableau1[[#This Row],[TS2]]/Tableau1[[#This Row],[TS2-T]],"")</f>
        <v>0</v>
      </c>
      <c r="W121" s="32" t="str">
        <f>IFERROR(Tableau1[[#This Row],[TS3]]/Tableau1[[#This Row],[TS3-T]],"")</f>
        <v/>
      </c>
      <c r="X121" s="32" t="str">
        <f>IFERROR(Tableau1[[#This Row],[TS4]]/Tableau1[[#This Row],[TS4-T]],"")</f>
        <v/>
      </c>
      <c r="Y121" s="32" t="str">
        <f>IFERROR(Tableau1[[#This Row],[TS5]]/Tableau1[[#This Row],[TS5-T]],"")</f>
        <v/>
      </c>
      <c r="Z121" s="32" t="str">
        <f>IFERROR(Tableau1[[#This Row],[TS6]]/Tableau1[[#This Row],[TS6-T]],"")</f>
        <v/>
      </c>
    </row>
    <row r="122" spans="1:26" ht="16.5" thickTop="1" thickBot="1">
      <c r="A122" s="84">
        <v>4</v>
      </c>
      <c r="B122" s="23" t="str">
        <f>INDEX(Tableau7[Repere],MATCH(Tableau1[[#This Row],[ID-API]],Tableau7[ID-API],0))&amp;""</f>
        <v>A4</v>
      </c>
      <c r="C122" s="84">
        <v>1</v>
      </c>
      <c r="D122" t="str">
        <f>"R" &amp; Tableau1[[#This Row],[ID-RACK]]</f>
        <v>R1</v>
      </c>
      <c r="E122" s="84">
        <v>4</v>
      </c>
      <c r="F122" t="str">
        <f>"S" &amp; Tableau1[[#This Row],[ID-SLOT]]</f>
        <v>S4</v>
      </c>
      <c r="G122" s="168" t="str">
        <f>Tableau1[[#This Row],[ID-API]]&amp; "." &amp;Tableau1[[#This Row],[ID-RACK]]&amp; "." &amp;Tableau1[[#This Row],[ID-SLOT]]</f>
        <v>4.1.4</v>
      </c>
      <c r="H122" t="s">
        <v>708</v>
      </c>
      <c r="I122" s="30">
        <v>0</v>
      </c>
      <c r="J122" s="30">
        <v>0</v>
      </c>
      <c r="K122" s="30">
        <v>0</v>
      </c>
      <c r="L122" s="30">
        <v>0</v>
      </c>
      <c r="M122" s="30">
        <v>0</v>
      </c>
      <c r="N122" s="30">
        <v>0</v>
      </c>
      <c r="O122" s="220">
        <f>COUNTIFS(Tableau2[Ref-Carte],Tableau1[[#This Row],[Ref-Carte]],Tableau2[TS],INDEX(Tableau6[TS],COLUMN()-COLUMN(Tableau1[[#All],[TS1-T]])+1))</f>
        <v>0</v>
      </c>
      <c r="P122" s="220">
        <f>COUNTIFS(Tableau2[Ref-Carte],Tableau1[[#This Row],[Ref-Carte]],Tableau2[TS],INDEX(Tableau6[TS],COLUMN()-COLUMN(Tableau1[[#All],[TS1-T]])+1))</f>
        <v>8</v>
      </c>
      <c r="Q122" s="220">
        <f>COUNTIFS(Tableau2[Ref-Carte],Tableau1[[#This Row],[Ref-Carte]],Tableau2[TS],INDEX(Tableau6[TS],COLUMN()-COLUMN(Tableau1[[#All],[TS1-T]])+1))</f>
        <v>0</v>
      </c>
      <c r="R122" s="220">
        <f>COUNTIFS(Tableau2[Ref-Carte],Tableau1[[#This Row],[Ref-Carte]],Tableau2[TS],INDEX(Tableau6[TS],COLUMN()-COLUMN(Tableau1[[#All],[TS1-T]])+1))</f>
        <v>0</v>
      </c>
      <c r="S122" s="220">
        <f>COUNTIFS(Tableau2[Ref-Carte],Tableau1[[#This Row],[Ref-Carte]],Tableau2[TS],INDEX(Tableau6[TS],COLUMN()-COLUMN(Tableau1[[#All],[TS1-T]])+1))</f>
        <v>0</v>
      </c>
      <c r="T122" s="220">
        <f>COUNTIFS(Tableau2[Ref-Carte],Tableau1[[#This Row],[Ref-Carte]],Tableau2[TS],INDEX(Tableau6[TS],COLUMN()-COLUMN(Tableau1[[#All],[TS1-T]])+1))</f>
        <v>0</v>
      </c>
      <c r="U122" s="32" t="str">
        <f>IFERROR(Tableau1[[#This Row],[TS1]]/Tableau1[[#This Row],[TS1-T]],"")</f>
        <v/>
      </c>
      <c r="V122" s="32">
        <f>IFERROR(Tableau1[[#This Row],[TS2]]/Tableau1[[#This Row],[TS2-T]],"")</f>
        <v>0</v>
      </c>
      <c r="W122" s="32" t="str">
        <f>IFERROR(Tableau1[[#This Row],[TS3]]/Tableau1[[#This Row],[TS3-T]],"")</f>
        <v/>
      </c>
      <c r="X122" s="32" t="str">
        <f>IFERROR(Tableau1[[#This Row],[TS4]]/Tableau1[[#This Row],[TS4-T]],"")</f>
        <v/>
      </c>
      <c r="Y122" s="32" t="str">
        <f>IFERROR(Tableau1[[#This Row],[TS5]]/Tableau1[[#This Row],[TS5-T]],"")</f>
        <v/>
      </c>
      <c r="Z122" s="32" t="str">
        <f>IFERROR(Tableau1[[#This Row],[TS6]]/Tableau1[[#This Row],[TS6-T]],"")</f>
        <v/>
      </c>
    </row>
    <row r="123" spans="1:26" ht="16.5" thickTop="1" thickBot="1">
      <c r="A123" s="84">
        <v>4</v>
      </c>
      <c r="B123" s="23" t="str">
        <f>INDEX(Tableau7[Repere],MATCH(Tableau1[[#This Row],[ID-API]],Tableau7[ID-API],0))&amp;""</f>
        <v>A4</v>
      </c>
      <c r="C123" s="84">
        <v>1</v>
      </c>
      <c r="D123" t="str">
        <f>"R" &amp; Tableau1[[#This Row],[ID-RACK]]</f>
        <v>R1</v>
      </c>
      <c r="E123" s="84">
        <v>5</v>
      </c>
      <c r="F123" t="str">
        <f>"S" &amp; Tableau1[[#This Row],[ID-SLOT]]</f>
        <v>S5</v>
      </c>
      <c r="G123" s="168" t="str">
        <f>Tableau1[[#This Row],[ID-API]]&amp; "." &amp;Tableau1[[#This Row],[ID-RACK]]&amp; "." &amp;Tableau1[[#This Row],[ID-SLOT]]</f>
        <v>4.1.5</v>
      </c>
      <c r="H123" t="s">
        <v>710</v>
      </c>
      <c r="I123" s="30">
        <v>0</v>
      </c>
      <c r="J123" s="30">
        <v>0</v>
      </c>
      <c r="K123" s="30">
        <v>0</v>
      </c>
      <c r="L123" s="30">
        <v>0</v>
      </c>
      <c r="M123" s="30">
        <v>0</v>
      </c>
      <c r="N123" s="30">
        <v>0</v>
      </c>
      <c r="O123" s="220">
        <f>COUNTIFS(Tableau2[Ref-Carte],Tableau1[[#This Row],[Ref-Carte]],Tableau2[TS],INDEX(Tableau6[TS],COLUMN()-COLUMN(Tableau1[[#All],[TS1-T]])+1))</f>
        <v>16</v>
      </c>
      <c r="P123" s="220">
        <f>COUNTIFS(Tableau2[Ref-Carte],Tableau1[[#This Row],[Ref-Carte]],Tableau2[TS],INDEX(Tableau6[TS],COLUMN()-COLUMN(Tableau1[[#All],[TS1-T]])+1))</f>
        <v>0</v>
      </c>
      <c r="Q123" s="220">
        <f>COUNTIFS(Tableau2[Ref-Carte],Tableau1[[#This Row],[Ref-Carte]],Tableau2[TS],INDEX(Tableau6[TS],COLUMN()-COLUMN(Tableau1[[#All],[TS1-T]])+1))</f>
        <v>0</v>
      </c>
      <c r="R123" s="220">
        <f>COUNTIFS(Tableau2[Ref-Carte],Tableau1[[#This Row],[Ref-Carte]],Tableau2[TS],INDEX(Tableau6[TS],COLUMN()-COLUMN(Tableau1[[#All],[TS1-T]])+1))</f>
        <v>0</v>
      </c>
      <c r="S123" s="220">
        <f>COUNTIFS(Tableau2[Ref-Carte],Tableau1[[#This Row],[Ref-Carte]],Tableau2[TS],INDEX(Tableau6[TS],COLUMN()-COLUMN(Tableau1[[#All],[TS1-T]])+1))</f>
        <v>0</v>
      </c>
      <c r="T123" s="220">
        <f>COUNTIFS(Tableau2[Ref-Carte],Tableau1[[#This Row],[Ref-Carte]],Tableau2[TS],INDEX(Tableau6[TS],COLUMN()-COLUMN(Tableau1[[#All],[TS1-T]])+1))</f>
        <v>0</v>
      </c>
      <c r="U123" s="32">
        <f>IFERROR(Tableau1[[#This Row],[TS1]]/Tableau1[[#This Row],[TS1-T]],"")</f>
        <v>0</v>
      </c>
      <c r="V123" s="32" t="str">
        <f>IFERROR(Tableau1[[#This Row],[TS2]]/Tableau1[[#This Row],[TS2-T]],"")</f>
        <v/>
      </c>
      <c r="W123" s="32" t="str">
        <f>IFERROR(Tableau1[[#This Row],[TS3]]/Tableau1[[#This Row],[TS3-T]],"")</f>
        <v/>
      </c>
      <c r="X123" s="32" t="str">
        <f>IFERROR(Tableau1[[#This Row],[TS4]]/Tableau1[[#This Row],[TS4-T]],"")</f>
        <v/>
      </c>
      <c r="Y123" s="32" t="str">
        <f>IFERROR(Tableau1[[#This Row],[TS5]]/Tableau1[[#This Row],[TS5-T]],"")</f>
        <v/>
      </c>
      <c r="Z123" s="32" t="str">
        <f>IFERROR(Tableau1[[#This Row],[TS6]]/Tableau1[[#This Row],[TS6-T]],"")</f>
        <v/>
      </c>
    </row>
    <row r="124" spans="1:26" ht="16.5" thickTop="1" thickBot="1">
      <c r="A124" s="84">
        <v>4</v>
      </c>
      <c r="B124" s="23" t="str">
        <f>INDEX(Tableau7[Repere],MATCH(Tableau1[[#This Row],[ID-API]],Tableau7[ID-API],0))&amp;""</f>
        <v>A4</v>
      </c>
      <c r="C124" s="84">
        <v>1</v>
      </c>
      <c r="D124" t="str">
        <f>"R" &amp; Tableau1[[#This Row],[ID-RACK]]</f>
        <v>R1</v>
      </c>
      <c r="E124" s="84">
        <v>6</v>
      </c>
      <c r="F124" t="str">
        <f>"S" &amp; Tableau1[[#This Row],[ID-SLOT]]</f>
        <v>S6</v>
      </c>
      <c r="G124" s="168" t="str">
        <f>Tableau1[[#This Row],[ID-API]]&amp; "." &amp;Tableau1[[#This Row],[ID-RACK]]&amp; "." &amp;Tableau1[[#This Row],[ID-SLOT]]</f>
        <v>4.1.6</v>
      </c>
      <c r="H124" t="s">
        <v>710</v>
      </c>
      <c r="I124" s="30">
        <v>0</v>
      </c>
      <c r="J124" s="30">
        <v>0</v>
      </c>
      <c r="K124" s="30">
        <v>0</v>
      </c>
      <c r="L124" s="30">
        <v>0</v>
      </c>
      <c r="M124" s="30">
        <v>0</v>
      </c>
      <c r="N124" s="30">
        <v>0</v>
      </c>
      <c r="O124" s="220">
        <f>COUNTIFS(Tableau2[Ref-Carte],Tableau1[[#This Row],[Ref-Carte]],Tableau2[TS],INDEX(Tableau6[TS],COLUMN()-COLUMN(Tableau1[[#All],[TS1-T]])+1))</f>
        <v>16</v>
      </c>
      <c r="P124" s="220">
        <f>COUNTIFS(Tableau2[Ref-Carte],Tableau1[[#This Row],[Ref-Carte]],Tableau2[TS],INDEX(Tableau6[TS],COLUMN()-COLUMN(Tableau1[[#All],[TS1-T]])+1))</f>
        <v>0</v>
      </c>
      <c r="Q124" s="220">
        <f>COUNTIFS(Tableau2[Ref-Carte],Tableau1[[#This Row],[Ref-Carte]],Tableau2[TS],INDEX(Tableau6[TS],COLUMN()-COLUMN(Tableau1[[#All],[TS1-T]])+1))</f>
        <v>0</v>
      </c>
      <c r="R124" s="220">
        <f>COUNTIFS(Tableau2[Ref-Carte],Tableau1[[#This Row],[Ref-Carte]],Tableau2[TS],INDEX(Tableau6[TS],COLUMN()-COLUMN(Tableau1[[#All],[TS1-T]])+1))</f>
        <v>0</v>
      </c>
      <c r="S124" s="220">
        <f>COUNTIFS(Tableau2[Ref-Carte],Tableau1[[#This Row],[Ref-Carte]],Tableau2[TS],INDEX(Tableau6[TS],COLUMN()-COLUMN(Tableau1[[#All],[TS1-T]])+1))</f>
        <v>0</v>
      </c>
      <c r="T124" s="220">
        <f>COUNTIFS(Tableau2[Ref-Carte],Tableau1[[#This Row],[Ref-Carte]],Tableau2[TS],INDEX(Tableau6[TS],COLUMN()-COLUMN(Tableau1[[#All],[TS1-T]])+1))</f>
        <v>0</v>
      </c>
      <c r="U124" s="32">
        <f>IFERROR(Tableau1[[#This Row],[TS1]]/Tableau1[[#This Row],[TS1-T]],"")</f>
        <v>0</v>
      </c>
      <c r="V124" s="32" t="str">
        <f>IFERROR(Tableau1[[#This Row],[TS2]]/Tableau1[[#This Row],[TS2-T]],"")</f>
        <v/>
      </c>
      <c r="W124" s="32" t="str">
        <f>IFERROR(Tableau1[[#This Row],[TS3]]/Tableau1[[#This Row],[TS3-T]],"")</f>
        <v/>
      </c>
      <c r="X124" s="32" t="str">
        <f>IFERROR(Tableau1[[#This Row],[TS4]]/Tableau1[[#This Row],[TS4-T]],"")</f>
        <v/>
      </c>
      <c r="Y124" s="32" t="str">
        <f>IFERROR(Tableau1[[#This Row],[TS5]]/Tableau1[[#This Row],[TS5-T]],"")</f>
        <v/>
      </c>
      <c r="Z124" s="32" t="str">
        <f>IFERROR(Tableau1[[#This Row],[TS6]]/Tableau1[[#This Row],[TS6-T]],"")</f>
        <v/>
      </c>
    </row>
    <row r="125" spans="1:26" ht="16.5" thickTop="1" thickBot="1">
      <c r="A125" s="84">
        <v>4</v>
      </c>
      <c r="B125" s="23" t="str">
        <f>INDEX(Tableau7[Repere],MATCH(Tableau1[[#This Row],[ID-API]],Tableau7[ID-API],0))&amp;""</f>
        <v>A4</v>
      </c>
      <c r="C125" s="84">
        <v>1</v>
      </c>
      <c r="D125" t="str">
        <f>"R" &amp; Tableau1[[#This Row],[ID-RACK]]</f>
        <v>R1</v>
      </c>
      <c r="E125" s="84">
        <v>7</v>
      </c>
      <c r="F125" t="str">
        <f>"S" &amp; Tableau1[[#This Row],[ID-SLOT]]</f>
        <v>S7</v>
      </c>
      <c r="G125" s="168" t="str">
        <f>Tableau1[[#This Row],[ID-API]]&amp; "." &amp;Tableau1[[#This Row],[ID-RACK]]&amp; "." &amp;Tableau1[[#This Row],[ID-SLOT]]</f>
        <v>4.1.7</v>
      </c>
      <c r="H125" t="s">
        <v>708</v>
      </c>
      <c r="I125" s="30">
        <v>0</v>
      </c>
      <c r="J125" s="30">
        <v>0</v>
      </c>
      <c r="K125" s="30">
        <v>0</v>
      </c>
      <c r="L125" s="30">
        <v>0</v>
      </c>
      <c r="M125" s="30">
        <v>0</v>
      </c>
      <c r="N125" s="30">
        <v>0</v>
      </c>
      <c r="O125" s="220">
        <f>COUNTIFS(Tableau2[Ref-Carte],Tableau1[[#This Row],[Ref-Carte]],Tableau2[TS],INDEX(Tableau6[TS],COLUMN()-COLUMN(Tableau1[[#All],[TS1-T]])+1))</f>
        <v>0</v>
      </c>
      <c r="P125" s="220">
        <f>COUNTIFS(Tableau2[Ref-Carte],Tableau1[[#This Row],[Ref-Carte]],Tableau2[TS],INDEX(Tableau6[TS],COLUMN()-COLUMN(Tableau1[[#All],[TS1-T]])+1))</f>
        <v>8</v>
      </c>
      <c r="Q125" s="220">
        <f>COUNTIFS(Tableau2[Ref-Carte],Tableau1[[#This Row],[Ref-Carte]],Tableau2[TS],INDEX(Tableau6[TS],COLUMN()-COLUMN(Tableau1[[#All],[TS1-T]])+1))</f>
        <v>0</v>
      </c>
      <c r="R125" s="220">
        <f>COUNTIFS(Tableau2[Ref-Carte],Tableau1[[#This Row],[Ref-Carte]],Tableau2[TS],INDEX(Tableau6[TS],COLUMN()-COLUMN(Tableau1[[#All],[TS1-T]])+1))</f>
        <v>0</v>
      </c>
      <c r="S125" s="220">
        <f>COUNTIFS(Tableau2[Ref-Carte],Tableau1[[#This Row],[Ref-Carte]],Tableau2[TS],INDEX(Tableau6[TS],COLUMN()-COLUMN(Tableau1[[#All],[TS1-T]])+1))</f>
        <v>0</v>
      </c>
      <c r="T125" s="220">
        <f>COUNTIFS(Tableau2[Ref-Carte],Tableau1[[#This Row],[Ref-Carte]],Tableau2[TS],INDEX(Tableau6[TS],COLUMN()-COLUMN(Tableau1[[#All],[TS1-T]])+1))</f>
        <v>0</v>
      </c>
      <c r="U125" s="32" t="str">
        <f>IFERROR(Tableau1[[#This Row],[TS1]]/Tableau1[[#This Row],[TS1-T]],"")</f>
        <v/>
      </c>
      <c r="V125" s="32">
        <f>IFERROR(Tableau1[[#This Row],[TS2]]/Tableau1[[#This Row],[TS2-T]],"")</f>
        <v>0</v>
      </c>
      <c r="W125" s="32" t="str">
        <f>IFERROR(Tableau1[[#This Row],[TS3]]/Tableau1[[#This Row],[TS3-T]],"")</f>
        <v/>
      </c>
      <c r="X125" s="32" t="str">
        <f>IFERROR(Tableau1[[#This Row],[TS4]]/Tableau1[[#This Row],[TS4-T]],"")</f>
        <v/>
      </c>
      <c r="Y125" s="32" t="str">
        <f>IFERROR(Tableau1[[#This Row],[TS5]]/Tableau1[[#This Row],[TS5-T]],"")</f>
        <v/>
      </c>
      <c r="Z125" s="32" t="str">
        <f>IFERROR(Tableau1[[#This Row],[TS6]]/Tableau1[[#This Row],[TS6-T]],"")</f>
        <v/>
      </c>
    </row>
    <row r="126" spans="1:26" ht="16.5" thickTop="1" thickBot="1">
      <c r="A126" s="84">
        <v>4</v>
      </c>
      <c r="B126" s="23" t="str">
        <f>INDEX(Tableau7[Repere],MATCH(Tableau1[[#This Row],[ID-API]],Tableau7[ID-API],0))&amp;""</f>
        <v>A4</v>
      </c>
      <c r="C126" s="84">
        <v>1</v>
      </c>
      <c r="D126" t="str">
        <f>"R" &amp; Tableau1[[#This Row],[ID-RACK]]</f>
        <v>R1</v>
      </c>
      <c r="E126" s="84">
        <v>8</v>
      </c>
      <c r="F126" t="str">
        <f>"S" &amp; Tableau1[[#This Row],[ID-SLOT]]</f>
        <v>S8</v>
      </c>
      <c r="G126" s="168" t="str">
        <f>Tableau1[[#This Row],[ID-API]]&amp; "." &amp;Tableau1[[#This Row],[ID-RACK]]&amp; "." &amp;Tableau1[[#This Row],[ID-SLOT]]</f>
        <v>4.1.8</v>
      </c>
      <c r="H126" t="s">
        <v>708</v>
      </c>
      <c r="I126" s="30">
        <v>0</v>
      </c>
      <c r="J126" s="30">
        <v>0</v>
      </c>
      <c r="K126" s="30">
        <v>0</v>
      </c>
      <c r="L126" s="30">
        <v>0</v>
      </c>
      <c r="M126" s="30">
        <v>0</v>
      </c>
      <c r="N126" s="30">
        <v>0</v>
      </c>
      <c r="O126" s="220">
        <f>COUNTIFS(Tableau2[Ref-Carte],Tableau1[[#This Row],[Ref-Carte]],Tableau2[TS],INDEX(Tableau6[TS],COLUMN()-COLUMN(Tableau1[[#All],[TS1-T]])+1))</f>
        <v>0</v>
      </c>
      <c r="P126" s="220">
        <f>COUNTIFS(Tableau2[Ref-Carte],Tableau1[[#This Row],[Ref-Carte]],Tableau2[TS],INDEX(Tableau6[TS],COLUMN()-COLUMN(Tableau1[[#All],[TS1-T]])+1))</f>
        <v>8</v>
      </c>
      <c r="Q126" s="220">
        <f>COUNTIFS(Tableau2[Ref-Carte],Tableau1[[#This Row],[Ref-Carte]],Tableau2[TS],INDEX(Tableau6[TS],COLUMN()-COLUMN(Tableau1[[#All],[TS1-T]])+1))</f>
        <v>0</v>
      </c>
      <c r="R126" s="220">
        <f>COUNTIFS(Tableau2[Ref-Carte],Tableau1[[#This Row],[Ref-Carte]],Tableau2[TS],INDEX(Tableau6[TS],COLUMN()-COLUMN(Tableau1[[#All],[TS1-T]])+1))</f>
        <v>0</v>
      </c>
      <c r="S126" s="220">
        <f>COUNTIFS(Tableau2[Ref-Carte],Tableau1[[#This Row],[Ref-Carte]],Tableau2[TS],INDEX(Tableau6[TS],COLUMN()-COLUMN(Tableau1[[#All],[TS1-T]])+1))</f>
        <v>0</v>
      </c>
      <c r="T126" s="220">
        <f>COUNTIFS(Tableau2[Ref-Carte],Tableau1[[#This Row],[Ref-Carte]],Tableau2[TS],INDEX(Tableau6[TS],COLUMN()-COLUMN(Tableau1[[#All],[TS1-T]])+1))</f>
        <v>0</v>
      </c>
      <c r="U126" s="32" t="str">
        <f>IFERROR(Tableau1[[#This Row],[TS1]]/Tableau1[[#This Row],[TS1-T]],"")</f>
        <v/>
      </c>
      <c r="V126" s="32">
        <f>IFERROR(Tableau1[[#This Row],[TS2]]/Tableau1[[#This Row],[TS2-T]],"")</f>
        <v>0</v>
      </c>
      <c r="W126" s="32" t="str">
        <f>IFERROR(Tableau1[[#This Row],[TS3]]/Tableau1[[#This Row],[TS3-T]],"")</f>
        <v/>
      </c>
      <c r="X126" s="32" t="str">
        <f>IFERROR(Tableau1[[#This Row],[TS4]]/Tableau1[[#This Row],[TS4-T]],"")</f>
        <v/>
      </c>
      <c r="Y126" s="32" t="str">
        <f>IFERROR(Tableau1[[#This Row],[TS5]]/Tableau1[[#This Row],[TS5-T]],"")</f>
        <v/>
      </c>
      <c r="Z126" s="32" t="str">
        <f>IFERROR(Tableau1[[#This Row],[TS6]]/Tableau1[[#This Row],[TS6-T]],"")</f>
        <v/>
      </c>
    </row>
    <row r="127" spans="1:26" ht="16.5" thickTop="1" thickBot="1">
      <c r="A127" s="84">
        <v>4</v>
      </c>
      <c r="B127" s="23" t="str">
        <f>INDEX(Tableau7[Repere],MATCH(Tableau1[[#This Row],[ID-API]],Tableau7[ID-API],0))&amp;""</f>
        <v>A4</v>
      </c>
      <c r="C127" s="84">
        <v>1</v>
      </c>
      <c r="D127" t="str">
        <f>"R" &amp; Tableau1[[#This Row],[ID-RACK]]</f>
        <v>R1</v>
      </c>
      <c r="E127" s="84">
        <v>9</v>
      </c>
      <c r="F127" t="str">
        <f>"S" &amp; Tableau1[[#This Row],[ID-SLOT]]</f>
        <v>S9</v>
      </c>
      <c r="G127" s="168" t="str">
        <f>Tableau1[[#This Row],[ID-API]]&amp; "." &amp;Tableau1[[#This Row],[ID-RACK]]&amp; "." &amp;Tableau1[[#This Row],[ID-SLOT]]</f>
        <v>4.1.9</v>
      </c>
      <c r="H127" t="s">
        <v>708</v>
      </c>
      <c r="I127" s="30">
        <v>0</v>
      </c>
      <c r="J127" s="30">
        <v>0</v>
      </c>
      <c r="K127" s="30">
        <v>0</v>
      </c>
      <c r="L127" s="30">
        <v>0</v>
      </c>
      <c r="M127" s="30">
        <v>0</v>
      </c>
      <c r="N127" s="30">
        <v>0</v>
      </c>
      <c r="O127" s="220">
        <f>COUNTIFS(Tableau2[Ref-Carte],Tableau1[[#This Row],[Ref-Carte]],Tableau2[TS],INDEX(Tableau6[TS],COLUMN()-COLUMN(Tableau1[[#All],[TS1-T]])+1))</f>
        <v>0</v>
      </c>
      <c r="P127" s="220">
        <f>COUNTIFS(Tableau2[Ref-Carte],Tableau1[[#This Row],[Ref-Carte]],Tableau2[TS],INDEX(Tableau6[TS],COLUMN()-COLUMN(Tableau1[[#All],[TS1-T]])+1))</f>
        <v>8</v>
      </c>
      <c r="Q127" s="220">
        <f>COUNTIFS(Tableau2[Ref-Carte],Tableau1[[#This Row],[Ref-Carte]],Tableau2[TS],INDEX(Tableau6[TS],COLUMN()-COLUMN(Tableau1[[#All],[TS1-T]])+1))</f>
        <v>0</v>
      </c>
      <c r="R127" s="220">
        <f>COUNTIFS(Tableau2[Ref-Carte],Tableau1[[#This Row],[Ref-Carte]],Tableau2[TS],INDEX(Tableau6[TS],COLUMN()-COLUMN(Tableau1[[#All],[TS1-T]])+1))</f>
        <v>0</v>
      </c>
      <c r="S127" s="220">
        <f>COUNTIFS(Tableau2[Ref-Carte],Tableau1[[#This Row],[Ref-Carte]],Tableau2[TS],INDEX(Tableau6[TS],COLUMN()-COLUMN(Tableau1[[#All],[TS1-T]])+1))</f>
        <v>0</v>
      </c>
      <c r="T127" s="220">
        <f>COUNTIFS(Tableau2[Ref-Carte],Tableau1[[#This Row],[Ref-Carte]],Tableau2[TS],INDEX(Tableau6[TS],COLUMN()-COLUMN(Tableau1[[#All],[TS1-T]])+1))</f>
        <v>0</v>
      </c>
      <c r="U127" s="32" t="str">
        <f>IFERROR(Tableau1[[#This Row],[TS1]]/Tableau1[[#This Row],[TS1-T]],"")</f>
        <v/>
      </c>
      <c r="V127" s="32">
        <f>IFERROR(Tableau1[[#This Row],[TS2]]/Tableau1[[#This Row],[TS2-T]],"")</f>
        <v>0</v>
      </c>
      <c r="W127" s="32" t="str">
        <f>IFERROR(Tableau1[[#This Row],[TS3]]/Tableau1[[#This Row],[TS3-T]],"")</f>
        <v/>
      </c>
      <c r="X127" s="32" t="str">
        <f>IFERROR(Tableau1[[#This Row],[TS4]]/Tableau1[[#This Row],[TS4-T]],"")</f>
        <v/>
      </c>
      <c r="Y127" s="32" t="str">
        <f>IFERROR(Tableau1[[#This Row],[TS5]]/Tableau1[[#This Row],[TS5-T]],"")</f>
        <v/>
      </c>
      <c r="Z127" s="32" t="str">
        <f>IFERROR(Tableau1[[#This Row],[TS6]]/Tableau1[[#This Row],[TS6-T]],"")</f>
        <v/>
      </c>
    </row>
    <row r="128" spans="1:26" ht="16.5" thickTop="1" thickBot="1">
      <c r="A128" s="84">
        <v>4</v>
      </c>
      <c r="B128" s="23" t="str">
        <f>INDEX(Tableau7[Repere],MATCH(Tableau1[[#This Row],[ID-API]],Tableau7[ID-API],0))&amp;""</f>
        <v>A4</v>
      </c>
      <c r="C128" s="84">
        <v>1</v>
      </c>
      <c r="D128" t="str">
        <f>"R" &amp; Tableau1[[#This Row],[ID-RACK]]</f>
        <v>R1</v>
      </c>
      <c r="E128" s="84">
        <v>10</v>
      </c>
      <c r="F128" t="str">
        <f>"S" &amp; Tableau1[[#This Row],[ID-SLOT]]</f>
        <v>S10</v>
      </c>
      <c r="G128" s="168" t="str">
        <f>Tableau1[[#This Row],[ID-API]]&amp; "." &amp;Tableau1[[#This Row],[ID-RACK]]&amp; "." &amp;Tableau1[[#This Row],[ID-SLOT]]</f>
        <v>4.1.10</v>
      </c>
      <c r="H128" t="s">
        <v>708</v>
      </c>
      <c r="I128" s="30">
        <v>0</v>
      </c>
      <c r="J128" s="30">
        <v>8</v>
      </c>
      <c r="K128" s="30">
        <v>0</v>
      </c>
      <c r="L128" s="30">
        <v>0</v>
      </c>
      <c r="M128" s="30">
        <v>0</v>
      </c>
      <c r="N128" s="30">
        <v>0</v>
      </c>
      <c r="O128" s="220">
        <f>COUNTIFS(Tableau2[Ref-Carte],Tableau1[[#This Row],[Ref-Carte]],Tableau2[TS],INDEX(Tableau6[TS],COLUMN()-COLUMN(Tableau1[[#All],[TS1-T]])+1))</f>
        <v>0</v>
      </c>
      <c r="P128" s="220">
        <f>COUNTIFS(Tableau2[Ref-Carte],Tableau1[[#This Row],[Ref-Carte]],Tableau2[TS],INDEX(Tableau6[TS],COLUMN()-COLUMN(Tableau1[[#All],[TS1-T]])+1))</f>
        <v>8</v>
      </c>
      <c r="Q128" s="220">
        <f>COUNTIFS(Tableau2[Ref-Carte],Tableau1[[#This Row],[Ref-Carte]],Tableau2[TS],INDEX(Tableau6[TS],COLUMN()-COLUMN(Tableau1[[#All],[TS1-T]])+1))</f>
        <v>0</v>
      </c>
      <c r="R128" s="220">
        <f>COUNTIFS(Tableau2[Ref-Carte],Tableau1[[#This Row],[Ref-Carte]],Tableau2[TS],INDEX(Tableau6[TS],COLUMN()-COLUMN(Tableau1[[#All],[TS1-T]])+1))</f>
        <v>0</v>
      </c>
      <c r="S128" s="220">
        <f>COUNTIFS(Tableau2[Ref-Carte],Tableau1[[#This Row],[Ref-Carte]],Tableau2[TS],INDEX(Tableau6[TS],COLUMN()-COLUMN(Tableau1[[#All],[TS1-T]])+1))</f>
        <v>0</v>
      </c>
      <c r="T128" s="220">
        <f>COUNTIFS(Tableau2[Ref-Carte],Tableau1[[#This Row],[Ref-Carte]],Tableau2[TS],INDEX(Tableau6[TS],COLUMN()-COLUMN(Tableau1[[#All],[TS1-T]])+1))</f>
        <v>0</v>
      </c>
      <c r="U128" s="32" t="str">
        <f>IFERROR(Tableau1[[#This Row],[TS1]]/Tableau1[[#This Row],[TS1-T]],"")</f>
        <v/>
      </c>
      <c r="V128" s="32">
        <f>IFERROR(Tableau1[[#This Row],[TS2]]/Tableau1[[#This Row],[TS2-T]],"")</f>
        <v>1</v>
      </c>
      <c r="W128" s="32" t="str">
        <f>IFERROR(Tableau1[[#This Row],[TS3]]/Tableau1[[#This Row],[TS3-T]],"")</f>
        <v/>
      </c>
      <c r="X128" s="32" t="str">
        <f>IFERROR(Tableau1[[#This Row],[TS4]]/Tableau1[[#This Row],[TS4-T]],"")</f>
        <v/>
      </c>
      <c r="Y128" s="32" t="str">
        <f>IFERROR(Tableau1[[#This Row],[TS5]]/Tableau1[[#This Row],[TS5-T]],"")</f>
        <v/>
      </c>
      <c r="Z128" s="32" t="str">
        <f>IFERROR(Tableau1[[#This Row],[TS6]]/Tableau1[[#This Row],[TS6-T]],"")</f>
        <v/>
      </c>
    </row>
    <row r="129" spans="1:26" ht="16.5" thickTop="1" thickBot="1">
      <c r="A129" s="84">
        <v>4</v>
      </c>
      <c r="B129" s="23" t="str">
        <f>INDEX(Tableau7[Repere],MATCH(Tableau1[[#This Row],[ID-API]],Tableau7[ID-API],0))&amp;""</f>
        <v>A4</v>
      </c>
      <c r="C129" s="84">
        <v>2</v>
      </c>
      <c r="D129" t="str">
        <f>"R" &amp; Tableau1[[#This Row],[ID-RACK]]</f>
        <v>R2</v>
      </c>
      <c r="E129" s="84">
        <v>1</v>
      </c>
      <c r="F129" t="str">
        <f>"S" &amp; Tableau1[[#This Row],[ID-SLOT]]</f>
        <v>S1</v>
      </c>
      <c r="G129" s="168" t="str">
        <f>Tableau1[[#This Row],[ID-API]]&amp; "." &amp;Tableau1[[#This Row],[ID-RACK]]&amp; "." &amp;Tableau1[[#This Row],[ID-SLOT]]</f>
        <v>4.2.1</v>
      </c>
      <c r="H129" t="s">
        <v>710</v>
      </c>
      <c r="I129" s="30">
        <v>0</v>
      </c>
      <c r="J129" s="30">
        <v>0</v>
      </c>
      <c r="K129" s="30">
        <v>0</v>
      </c>
      <c r="L129" s="30">
        <v>0</v>
      </c>
      <c r="M129" s="30">
        <v>0</v>
      </c>
      <c r="N129" s="30">
        <v>0</v>
      </c>
      <c r="O129" s="220">
        <f>COUNTIFS(Tableau2[Ref-Carte],Tableau1[[#This Row],[Ref-Carte]],Tableau2[TS],INDEX(Tableau6[TS],COLUMN()-COLUMN(Tableau1[[#All],[TS1-T]])+1))</f>
        <v>16</v>
      </c>
      <c r="P129" s="220">
        <f>COUNTIFS(Tableau2[Ref-Carte],Tableau1[[#This Row],[Ref-Carte]],Tableau2[TS],INDEX(Tableau6[TS],COLUMN()-COLUMN(Tableau1[[#All],[TS1-T]])+1))</f>
        <v>0</v>
      </c>
      <c r="Q129" s="220">
        <f>COUNTIFS(Tableau2[Ref-Carte],Tableau1[[#This Row],[Ref-Carte]],Tableau2[TS],INDEX(Tableau6[TS],COLUMN()-COLUMN(Tableau1[[#All],[TS1-T]])+1))</f>
        <v>0</v>
      </c>
      <c r="R129" s="220">
        <f>COUNTIFS(Tableau2[Ref-Carte],Tableau1[[#This Row],[Ref-Carte]],Tableau2[TS],INDEX(Tableau6[TS],COLUMN()-COLUMN(Tableau1[[#All],[TS1-T]])+1))</f>
        <v>0</v>
      </c>
      <c r="S129" s="220">
        <f>COUNTIFS(Tableau2[Ref-Carte],Tableau1[[#This Row],[Ref-Carte]],Tableau2[TS],INDEX(Tableau6[TS],COLUMN()-COLUMN(Tableau1[[#All],[TS1-T]])+1))</f>
        <v>0</v>
      </c>
      <c r="T129" s="220">
        <f>COUNTIFS(Tableau2[Ref-Carte],Tableau1[[#This Row],[Ref-Carte]],Tableau2[TS],INDEX(Tableau6[TS],COLUMN()-COLUMN(Tableau1[[#All],[TS1-T]])+1))</f>
        <v>0</v>
      </c>
      <c r="U129" s="32">
        <f>IFERROR(Tableau1[[#This Row],[TS1]]/Tableau1[[#This Row],[TS1-T]],"")</f>
        <v>0</v>
      </c>
      <c r="V129" s="32" t="str">
        <f>IFERROR(Tableau1[[#This Row],[TS2]]/Tableau1[[#This Row],[TS2-T]],"")</f>
        <v/>
      </c>
      <c r="W129" s="32" t="str">
        <f>IFERROR(Tableau1[[#This Row],[TS3]]/Tableau1[[#This Row],[TS3-T]],"")</f>
        <v/>
      </c>
      <c r="X129" s="32" t="str">
        <f>IFERROR(Tableau1[[#This Row],[TS4]]/Tableau1[[#This Row],[TS4-T]],"")</f>
        <v/>
      </c>
      <c r="Y129" s="32" t="str">
        <f>IFERROR(Tableau1[[#This Row],[TS5]]/Tableau1[[#This Row],[TS5-T]],"")</f>
        <v/>
      </c>
      <c r="Z129" s="32" t="str">
        <f>IFERROR(Tableau1[[#This Row],[TS6]]/Tableau1[[#This Row],[TS6-T]],"")</f>
        <v/>
      </c>
    </row>
    <row r="130" spans="1:26" ht="16.5" thickTop="1" thickBot="1">
      <c r="A130" s="84">
        <v>4</v>
      </c>
      <c r="B130" s="23" t="str">
        <f>INDEX(Tableau7[Repere],MATCH(Tableau1[[#This Row],[ID-API]],Tableau7[ID-API],0))&amp;""</f>
        <v>A4</v>
      </c>
      <c r="C130" s="84">
        <v>2</v>
      </c>
      <c r="D130" t="str">
        <f>"R" &amp; Tableau1[[#This Row],[ID-RACK]]</f>
        <v>R2</v>
      </c>
      <c r="E130" s="84">
        <v>2</v>
      </c>
      <c r="F130" t="str">
        <f>"S" &amp; Tableau1[[#This Row],[ID-SLOT]]</f>
        <v>S2</v>
      </c>
      <c r="G130" s="168" t="str">
        <f>Tableau1[[#This Row],[ID-API]]&amp; "." &amp;Tableau1[[#This Row],[ID-RACK]]&amp; "." &amp;Tableau1[[#This Row],[ID-SLOT]]</f>
        <v>4.2.2</v>
      </c>
      <c r="H130" t="s">
        <v>710</v>
      </c>
      <c r="I130" s="30">
        <v>0</v>
      </c>
      <c r="J130" s="30">
        <v>0</v>
      </c>
      <c r="K130" s="30">
        <v>0</v>
      </c>
      <c r="L130" s="30">
        <v>0</v>
      </c>
      <c r="M130" s="30">
        <v>0</v>
      </c>
      <c r="N130" s="30">
        <v>0</v>
      </c>
      <c r="O130" s="220">
        <f>COUNTIFS(Tableau2[Ref-Carte],Tableau1[[#This Row],[Ref-Carte]],Tableau2[TS],INDEX(Tableau6[TS],COLUMN()-COLUMN(Tableau1[[#All],[TS1-T]])+1))</f>
        <v>16</v>
      </c>
      <c r="P130" s="220">
        <f>COUNTIFS(Tableau2[Ref-Carte],Tableau1[[#This Row],[Ref-Carte]],Tableau2[TS],INDEX(Tableau6[TS],COLUMN()-COLUMN(Tableau1[[#All],[TS1-T]])+1))</f>
        <v>0</v>
      </c>
      <c r="Q130" s="220">
        <f>COUNTIFS(Tableau2[Ref-Carte],Tableau1[[#This Row],[Ref-Carte]],Tableau2[TS],INDEX(Tableau6[TS],COLUMN()-COLUMN(Tableau1[[#All],[TS1-T]])+1))</f>
        <v>0</v>
      </c>
      <c r="R130" s="220">
        <f>COUNTIFS(Tableau2[Ref-Carte],Tableau1[[#This Row],[Ref-Carte]],Tableau2[TS],INDEX(Tableau6[TS],COLUMN()-COLUMN(Tableau1[[#All],[TS1-T]])+1))</f>
        <v>0</v>
      </c>
      <c r="S130" s="220">
        <f>COUNTIFS(Tableau2[Ref-Carte],Tableau1[[#This Row],[Ref-Carte]],Tableau2[TS],INDEX(Tableau6[TS],COLUMN()-COLUMN(Tableau1[[#All],[TS1-T]])+1))</f>
        <v>0</v>
      </c>
      <c r="T130" s="220">
        <f>COUNTIFS(Tableau2[Ref-Carte],Tableau1[[#This Row],[Ref-Carte]],Tableau2[TS],INDEX(Tableau6[TS],COLUMN()-COLUMN(Tableau1[[#All],[TS1-T]])+1))</f>
        <v>0</v>
      </c>
      <c r="U130" s="32">
        <f>IFERROR(Tableau1[[#This Row],[TS1]]/Tableau1[[#This Row],[TS1-T]],"")</f>
        <v>0</v>
      </c>
      <c r="V130" s="32" t="str">
        <f>IFERROR(Tableau1[[#This Row],[TS2]]/Tableau1[[#This Row],[TS2-T]],"")</f>
        <v/>
      </c>
      <c r="W130" s="32" t="str">
        <f>IFERROR(Tableau1[[#This Row],[TS3]]/Tableau1[[#This Row],[TS3-T]],"")</f>
        <v/>
      </c>
      <c r="X130" s="32" t="str">
        <f>IFERROR(Tableau1[[#This Row],[TS4]]/Tableau1[[#This Row],[TS4-T]],"")</f>
        <v/>
      </c>
      <c r="Y130" s="32" t="str">
        <f>IFERROR(Tableau1[[#This Row],[TS5]]/Tableau1[[#This Row],[TS5-T]],"")</f>
        <v/>
      </c>
      <c r="Z130" s="32" t="str">
        <f>IFERROR(Tableau1[[#This Row],[TS6]]/Tableau1[[#This Row],[TS6-T]],"")</f>
        <v/>
      </c>
    </row>
    <row r="131" spans="1:26" ht="16.5" thickTop="1" thickBot="1">
      <c r="A131" s="84">
        <v>4</v>
      </c>
      <c r="B131" s="23" t="str">
        <f>INDEX(Tableau7[Repere],MATCH(Tableau1[[#This Row],[ID-API]],Tableau7[ID-API],0))&amp;""</f>
        <v>A4</v>
      </c>
      <c r="C131" s="84">
        <v>2</v>
      </c>
      <c r="D131" t="str">
        <f>"R" &amp; Tableau1[[#This Row],[ID-RACK]]</f>
        <v>R2</v>
      </c>
      <c r="E131" s="84">
        <v>3</v>
      </c>
      <c r="F131" t="str">
        <f>"S" &amp; Tableau1[[#This Row],[ID-SLOT]]</f>
        <v>S3</v>
      </c>
      <c r="G131" s="168" t="str">
        <f>Tableau1[[#This Row],[ID-API]]&amp; "." &amp;Tableau1[[#This Row],[ID-RACK]]&amp; "." &amp;Tableau1[[#This Row],[ID-SLOT]]</f>
        <v>4.2.3</v>
      </c>
      <c r="H131" t="s">
        <v>710</v>
      </c>
      <c r="I131" s="30">
        <v>0</v>
      </c>
      <c r="J131" s="30">
        <v>0</v>
      </c>
      <c r="K131" s="30">
        <v>0</v>
      </c>
      <c r="L131" s="30">
        <v>0</v>
      </c>
      <c r="M131" s="30">
        <v>0</v>
      </c>
      <c r="N131" s="30">
        <v>0</v>
      </c>
      <c r="O131" s="220">
        <f>COUNTIFS(Tableau2[Ref-Carte],Tableau1[[#This Row],[Ref-Carte]],Tableau2[TS],INDEX(Tableau6[TS],COLUMN()-COLUMN(Tableau1[[#All],[TS1-T]])+1))</f>
        <v>16</v>
      </c>
      <c r="P131" s="220">
        <f>COUNTIFS(Tableau2[Ref-Carte],Tableau1[[#This Row],[Ref-Carte]],Tableau2[TS],INDEX(Tableau6[TS],COLUMN()-COLUMN(Tableau1[[#All],[TS1-T]])+1))</f>
        <v>0</v>
      </c>
      <c r="Q131" s="220">
        <f>COUNTIFS(Tableau2[Ref-Carte],Tableau1[[#This Row],[Ref-Carte]],Tableau2[TS],INDEX(Tableau6[TS],COLUMN()-COLUMN(Tableau1[[#All],[TS1-T]])+1))</f>
        <v>0</v>
      </c>
      <c r="R131" s="220">
        <f>COUNTIFS(Tableau2[Ref-Carte],Tableau1[[#This Row],[Ref-Carte]],Tableau2[TS],INDEX(Tableau6[TS],COLUMN()-COLUMN(Tableau1[[#All],[TS1-T]])+1))</f>
        <v>0</v>
      </c>
      <c r="S131" s="220">
        <f>COUNTIFS(Tableau2[Ref-Carte],Tableau1[[#This Row],[Ref-Carte]],Tableau2[TS],INDEX(Tableau6[TS],COLUMN()-COLUMN(Tableau1[[#All],[TS1-T]])+1))</f>
        <v>0</v>
      </c>
      <c r="T131" s="220">
        <f>COUNTIFS(Tableau2[Ref-Carte],Tableau1[[#This Row],[Ref-Carte]],Tableau2[TS],INDEX(Tableau6[TS],COLUMN()-COLUMN(Tableau1[[#All],[TS1-T]])+1))</f>
        <v>0</v>
      </c>
      <c r="U131" s="32">
        <f>IFERROR(Tableau1[[#This Row],[TS1]]/Tableau1[[#This Row],[TS1-T]],"")</f>
        <v>0</v>
      </c>
      <c r="V131" s="32" t="str">
        <f>IFERROR(Tableau1[[#This Row],[TS2]]/Tableau1[[#This Row],[TS2-T]],"")</f>
        <v/>
      </c>
      <c r="W131" s="32" t="str">
        <f>IFERROR(Tableau1[[#This Row],[TS3]]/Tableau1[[#This Row],[TS3-T]],"")</f>
        <v/>
      </c>
      <c r="X131" s="32" t="str">
        <f>IFERROR(Tableau1[[#This Row],[TS4]]/Tableau1[[#This Row],[TS4-T]],"")</f>
        <v/>
      </c>
      <c r="Y131" s="32" t="str">
        <f>IFERROR(Tableau1[[#This Row],[TS5]]/Tableau1[[#This Row],[TS5-T]],"")</f>
        <v/>
      </c>
      <c r="Z131" s="32" t="str">
        <f>IFERROR(Tableau1[[#This Row],[TS6]]/Tableau1[[#This Row],[TS6-T]],"")</f>
        <v/>
      </c>
    </row>
    <row r="132" spans="1:26" ht="16.5" thickTop="1" thickBot="1">
      <c r="A132" s="84">
        <v>4</v>
      </c>
      <c r="B132" s="23" t="str">
        <f>INDEX(Tableau7[Repere],MATCH(Tableau1[[#This Row],[ID-API]],Tableau7[ID-API],0))&amp;""</f>
        <v>A4</v>
      </c>
      <c r="C132" s="84">
        <v>2</v>
      </c>
      <c r="D132" t="str">
        <f>"R" &amp; Tableau1[[#This Row],[ID-RACK]]</f>
        <v>R2</v>
      </c>
      <c r="E132" s="84">
        <v>4</v>
      </c>
      <c r="F132" t="str">
        <f>"S" &amp; Tableau1[[#This Row],[ID-SLOT]]</f>
        <v>S4</v>
      </c>
      <c r="G132" s="168" t="str">
        <f>Tableau1[[#This Row],[ID-API]]&amp; "." &amp;Tableau1[[#This Row],[ID-RACK]]&amp; "." &amp;Tableau1[[#This Row],[ID-SLOT]]</f>
        <v>4.2.4</v>
      </c>
      <c r="H132" t="s">
        <v>710</v>
      </c>
      <c r="I132" s="30">
        <v>0</v>
      </c>
      <c r="J132" s="30">
        <v>0</v>
      </c>
      <c r="K132" s="30">
        <v>0</v>
      </c>
      <c r="L132" s="30">
        <v>0</v>
      </c>
      <c r="M132" s="30">
        <v>0</v>
      </c>
      <c r="N132" s="30">
        <v>0</v>
      </c>
      <c r="O132" s="220">
        <f>COUNTIFS(Tableau2[Ref-Carte],Tableau1[[#This Row],[Ref-Carte]],Tableau2[TS],INDEX(Tableau6[TS],COLUMN()-COLUMN(Tableau1[[#All],[TS1-T]])+1))</f>
        <v>16</v>
      </c>
      <c r="P132" s="220">
        <f>COUNTIFS(Tableau2[Ref-Carte],Tableau1[[#This Row],[Ref-Carte]],Tableau2[TS],INDEX(Tableau6[TS],COLUMN()-COLUMN(Tableau1[[#All],[TS1-T]])+1))</f>
        <v>0</v>
      </c>
      <c r="Q132" s="220">
        <f>COUNTIFS(Tableau2[Ref-Carte],Tableau1[[#This Row],[Ref-Carte]],Tableau2[TS],INDEX(Tableau6[TS],COLUMN()-COLUMN(Tableau1[[#All],[TS1-T]])+1))</f>
        <v>0</v>
      </c>
      <c r="R132" s="220">
        <f>COUNTIFS(Tableau2[Ref-Carte],Tableau1[[#This Row],[Ref-Carte]],Tableau2[TS],INDEX(Tableau6[TS],COLUMN()-COLUMN(Tableau1[[#All],[TS1-T]])+1))</f>
        <v>0</v>
      </c>
      <c r="S132" s="220">
        <f>COUNTIFS(Tableau2[Ref-Carte],Tableau1[[#This Row],[Ref-Carte]],Tableau2[TS],INDEX(Tableau6[TS],COLUMN()-COLUMN(Tableau1[[#All],[TS1-T]])+1))</f>
        <v>0</v>
      </c>
      <c r="T132" s="220">
        <f>COUNTIFS(Tableau2[Ref-Carte],Tableau1[[#This Row],[Ref-Carte]],Tableau2[TS],INDEX(Tableau6[TS],COLUMN()-COLUMN(Tableau1[[#All],[TS1-T]])+1))</f>
        <v>0</v>
      </c>
      <c r="U132" s="32">
        <f>IFERROR(Tableau1[[#This Row],[TS1]]/Tableau1[[#This Row],[TS1-T]],"")</f>
        <v>0</v>
      </c>
      <c r="V132" s="32" t="str">
        <f>IFERROR(Tableau1[[#This Row],[TS2]]/Tableau1[[#This Row],[TS2-T]],"")</f>
        <v/>
      </c>
      <c r="W132" s="32" t="str">
        <f>IFERROR(Tableau1[[#This Row],[TS3]]/Tableau1[[#This Row],[TS3-T]],"")</f>
        <v/>
      </c>
      <c r="X132" s="32" t="str">
        <f>IFERROR(Tableau1[[#This Row],[TS4]]/Tableau1[[#This Row],[TS4-T]],"")</f>
        <v/>
      </c>
      <c r="Y132" s="32" t="str">
        <f>IFERROR(Tableau1[[#This Row],[TS5]]/Tableau1[[#This Row],[TS5-T]],"")</f>
        <v/>
      </c>
      <c r="Z132" s="32" t="str">
        <f>IFERROR(Tableau1[[#This Row],[TS6]]/Tableau1[[#This Row],[TS6-T]],"")</f>
        <v/>
      </c>
    </row>
    <row r="133" spans="1:26" ht="16.5" thickTop="1" thickBot="1">
      <c r="A133" s="84">
        <v>4</v>
      </c>
      <c r="B133" s="23" t="str">
        <f>INDEX(Tableau7[Repere],MATCH(Tableau1[[#This Row],[ID-API]],Tableau7[ID-API],0))&amp;""</f>
        <v>A4</v>
      </c>
      <c r="C133" s="84">
        <v>2</v>
      </c>
      <c r="D133" t="str">
        <f>"R" &amp; Tableau1[[#This Row],[ID-RACK]]</f>
        <v>R2</v>
      </c>
      <c r="E133" s="84">
        <v>5</v>
      </c>
      <c r="F133" t="str">
        <f>"S" &amp; Tableau1[[#This Row],[ID-SLOT]]</f>
        <v>S5</v>
      </c>
      <c r="G133" s="168" t="str">
        <f>Tableau1[[#This Row],[ID-API]]&amp; "." &amp;Tableau1[[#This Row],[ID-RACK]]&amp; "." &amp;Tableau1[[#This Row],[ID-SLOT]]</f>
        <v>4.2.5</v>
      </c>
      <c r="H133" t="s">
        <v>710</v>
      </c>
      <c r="I133" s="30">
        <v>16</v>
      </c>
      <c r="J133" s="30">
        <v>0</v>
      </c>
      <c r="K133" s="30">
        <v>0</v>
      </c>
      <c r="L133" s="30">
        <v>0</v>
      </c>
      <c r="M133" s="30">
        <v>0</v>
      </c>
      <c r="N133" s="30">
        <v>0</v>
      </c>
      <c r="O133" s="220">
        <f>COUNTIFS(Tableau2[Ref-Carte],Tableau1[[#This Row],[Ref-Carte]],Tableau2[TS],INDEX(Tableau6[TS],COLUMN()-COLUMN(Tableau1[[#All],[TS1-T]])+1))</f>
        <v>16</v>
      </c>
      <c r="P133" s="220">
        <f>COUNTIFS(Tableau2[Ref-Carte],Tableau1[[#This Row],[Ref-Carte]],Tableau2[TS],INDEX(Tableau6[TS],COLUMN()-COLUMN(Tableau1[[#All],[TS1-T]])+1))</f>
        <v>0</v>
      </c>
      <c r="Q133" s="220">
        <f>COUNTIFS(Tableau2[Ref-Carte],Tableau1[[#This Row],[Ref-Carte]],Tableau2[TS],INDEX(Tableau6[TS],COLUMN()-COLUMN(Tableau1[[#All],[TS1-T]])+1))</f>
        <v>0</v>
      </c>
      <c r="R133" s="220">
        <f>COUNTIFS(Tableau2[Ref-Carte],Tableau1[[#This Row],[Ref-Carte]],Tableau2[TS],INDEX(Tableau6[TS],COLUMN()-COLUMN(Tableau1[[#All],[TS1-T]])+1))</f>
        <v>0</v>
      </c>
      <c r="S133" s="220">
        <f>COUNTIFS(Tableau2[Ref-Carte],Tableau1[[#This Row],[Ref-Carte]],Tableau2[TS],INDEX(Tableau6[TS],COLUMN()-COLUMN(Tableau1[[#All],[TS1-T]])+1))</f>
        <v>0</v>
      </c>
      <c r="T133" s="220">
        <f>COUNTIFS(Tableau2[Ref-Carte],Tableau1[[#This Row],[Ref-Carte]],Tableau2[TS],INDEX(Tableau6[TS],COLUMN()-COLUMN(Tableau1[[#All],[TS1-T]])+1))</f>
        <v>0</v>
      </c>
      <c r="U133" s="32">
        <f>IFERROR(Tableau1[[#This Row],[TS1]]/Tableau1[[#This Row],[TS1-T]],"")</f>
        <v>1</v>
      </c>
      <c r="V133" s="32" t="str">
        <f>IFERROR(Tableau1[[#This Row],[TS2]]/Tableau1[[#This Row],[TS2-T]],"")</f>
        <v/>
      </c>
      <c r="W133" s="32" t="str">
        <f>IFERROR(Tableau1[[#This Row],[TS3]]/Tableau1[[#This Row],[TS3-T]],"")</f>
        <v/>
      </c>
      <c r="X133" s="32" t="str">
        <f>IFERROR(Tableau1[[#This Row],[TS4]]/Tableau1[[#This Row],[TS4-T]],"")</f>
        <v/>
      </c>
      <c r="Y133" s="32" t="str">
        <f>IFERROR(Tableau1[[#This Row],[TS5]]/Tableau1[[#This Row],[TS5-T]],"")</f>
        <v/>
      </c>
      <c r="Z133" s="32" t="str">
        <f>IFERROR(Tableau1[[#This Row],[TS6]]/Tableau1[[#This Row],[TS6-T]],"")</f>
        <v/>
      </c>
    </row>
    <row r="134" spans="1:26" ht="16.5" thickTop="1" thickBot="1">
      <c r="A134" s="84">
        <v>4</v>
      </c>
      <c r="B134" s="23" t="str">
        <f>INDEX(Tableau7[Repere],MATCH(Tableau1[[#This Row],[ID-API]],Tableau7[ID-API],0))&amp;""</f>
        <v>A4</v>
      </c>
      <c r="C134" s="84">
        <v>2</v>
      </c>
      <c r="D134" t="str">
        <f>"R" &amp; Tableau1[[#This Row],[ID-RACK]]</f>
        <v>R2</v>
      </c>
      <c r="E134" s="84">
        <v>6</v>
      </c>
      <c r="F134" t="str">
        <f>"S" &amp; Tableau1[[#This Row],[ID-SLOT]]</f>
        <v>S6</v>
      </c>
      <c r="G134" s="168" t="str">
        <f>Tableau1[[#This Row],[ID-API]]&amp; "." &amp;Tableau1[[#This Row],[ID-RACK]]&amp; "." &amp;Tableau1[[#This Row],[ID-SLOT]]</f>
        <v>4.2.6</v>
      </c>
      <c r="H134" t="s">
        <v>402</v>
      </c>
      <c r="I134" s="30">
        <v>0</v>
      </c>
      <c r="J134" s="30">
        <v>0</v>
      </c>
      <c r="K134" s="30">
        <v>0</v>
      </c>
      <c r="L134" s="30">
        <v>0</v>
      </c>
      <c r="M134" s="30">
        <v>0</v>
      </c>
      <c r="N134" s="30">
        <v>0</v>
      </c>
      <c r="O134" s="220">
        <f>COUNTIFS(Tableau2[Ref-Carte],Tableau1[[#This Row],[Ref-Carte]],Tableau2[TS],INDEX(Tableau6[TS],COLUMN()-COLUMN(Tableau1[[#All],[TS1-T]])+1))</f>
        <v>0</v>
      </c>
      <c r="P134" s="220">
        <f>COUNTIFS(Tableau2[Ref-Carte],Tableau1[[#This Row],[Ref-Carte]],Tableau2[TS],INDEX(Tableau6[TS],COLUMN()-COLUMN(Tableau1[[#All],[TS1-T]])+1))</f>
        <v>0</v>
      </c>
      <c r="Q134" s="220">
        <f>COUNTIFS(Tableau2[Ref-Carte],Tableau1[[#This Row],[Ref-Carte]],Tableau2[TS],INDEX(Tableau6[TS],COLUMN()-COLUMN(Tableau1[[#All],[TS1-T]])+1))</f>
        <v>0</v>
      </c>
      <c r="R134" s="220">
        <f>COUNTIFS(Tableau2[Ref-Carte],Tableau1[[#This Row],[Ref-Carte]],Tableau2[TS],INDEX(Tableau6[TS],COLUMN()-COLUMN(Tableau1[[#All],[TS1-T]])+1))</f>
        <v>0</v>
      </c>
      <c r="S134" s="220">
        <f>COUNTIFS(Tableau2[Ref-Carte],Tableau1[[#This Row],[Ref-Carte]],Tableau2[TS],INDEX(Tableau6[TS],COLUMN()-COLUMN(Tableau1[[#All],[TS1-T]])+1))</f>
        <v>0</v>
      </c>
      <c r="T134" s="220">
        <f>COUNTIFS(Tableau2[Ref-Carte],Tableau1[[#This Row],[Ref-Carte]],Tableau2[TS],INDEX(Tableau6[TS],COLUMN()-COLUMN(Tableau1[[#All],[TS1-T]])+1))</f>
        <v>0</v>
      </c>
      <c r="U134" s="32" t="str">
        <f>IFERROR(Tableau1[[#This Row],[TS1]]/Tableau1[[#This Row],[TS1-T]],"")</f>
        <v/>
      </c>
      <c r="V134" s="32" t="str">
        <f>IFERROR(Tableau1[[#This Row],[TS2]]/Tableau1[[#This Row],[TS2-T]],"")</f>
        <v/>
      </c>
      <c r="W134" s="32" t="str">
        <f>IFERROR(Tableau1[[#This Row],[TS3]]/Tableau1[[#This Row],[TS3-T]],"")</f>
        <v/>
      </c>
      <c r="X134" s="32" t="str">
        <f>IFERROR(Tableau1[[#This Row],[TS4]]/Tableau1[[#This Row],[TS4-T]],"")</f>
        <v/>
      </c>
      <c r="Y134" s="32" t="str">
        <f>IFERROR(Tableau1[[#This Row],[TS5]]/Tableau1[[#This Row],[TS5-T]],"")</f>
        <v/>
      </c>
      <c r="Z134" s="32" t="str">
        <f>IFERROR(Tableau1[[#This Row],[TS6]]/Tableau1[[#This Row],[TS6-T]],"")</f>
        <v/>
      </c>
    </row>
    <row r="135" spans="1:26" ht="16.5" thickTop="1" thickBot="1">
      <c r="A135" s="84">
        <v>4</v>
      </c>
      <c r="B135" s="23" t="str">
        <f>INDEX(Tableau7[Repere],MATCH(Tableau1[[#This Row],[ID-API]],Tableau7[ID-API],0))&amp;""</f>
        <v>A4</v>
      </c>
      <c r="C135" s="84">
        <v>2</v>
      </c>
      <c r="D135" t="str">
        <f>"R" &amp; Tableau1[[#This Row],[ID-RACK]]</f>
        <v>R2</v>
      </c>
      <c r="E135" s="84">
        <v>7</v>
      </c>
      <c r="F135" t="str">
        <f>"S" &amp; Tableau1[[#This Row],[ID-SLOT]]</f>
        <v>S7</v>
      </c>
      <c r="G135" s="168" t="str">
        <f>Tableau1[[#This Row],[ID-API]]&amp; "." &amp;Tableau1[[#This Row],[ID-RACK]]&amp; "." &amp;Tableau1[[#This Row],[ID-SLOT]]</f>
        <v>4.2.7</v>
      </c>
      <c r="H135" t="s">
        <v>402</v>
      </c>
      <c r="I135" s="30">
        <v>0</v>
      </c>
      <c r="J135" s="30">
        <v>0</v>
      </c>
      <c r="K135" s="30">
        <v>0</v>
      </c>
      <c r="L135" s="30">
        <v>0</v>
      </c>
      <c r="M135" s="30">
        <v>0</v>
      </c>
      <c r="N135" s="30">
        <v>0</v>
      </c>
      <c r="O135" s="220">
        <f>COUNTIFS(Tableau2[Ref-Carte],Tableau1[[#This Row],[Ref-Carte]],Tableau2[TS],INDEX(Tableau6[TS],COLUMN()-COLUMN(Tableau1[[#All],[TS1-T]])+1))</f>
        <v>0</v>
      </c>
      <c r="P135" s="220">
        <f>COUNTIFS(Tableau2[Ref-Carte],Tableau1[[#This Row],[Ref-Carte]],Tableau2[TS],INDEX(Tableau6[TS],COLUMN()-COLUMN(Tableau1[[#All],[TS1-T]])+1))</f>
        <v>0</v>
      </c>
      <c r="Q135" s="220">
        <f>COUNTIFS(Tableau2[Ref-Carte],Tableau1[[#This Row],[Ref-Carte]],Tableau2[TS],INDEX(Tableau6[TS],COLUMN()-COLUMN(Tableau1[[#All],[TS1-T]])+1))</f>
        <v>0</v>
      </c>
      <c r="R135" s="220">
        <f>COUNTIFS(Tableau2[Ref-Carte],Tableau1[[#This Row],[Ref-Carte]],Tableau2[TS],INDEX(Tableau6[TS],COLUMN()-COLUMN(Tableau1[[#All],[TS1-T]])+1))</f>
        <v>0</v>
      </c>
      <c r="S135" s="220">
        <f>COUNTIFS(Tableau2[Ref-Carte],Tableau1[[#This Row],[Ref-Carte]],Tableau2[TS],INDEX(Tableau6[TS],COLUMN()-COLUMN(Tableau1[[#All],[TS1-T]])+1))</f>
        <v>0</v>
      </c>
      <c r="T135" s="220">
        <f>COUNTIFS(Tableau2[Ref-Carte],Tableau1[[#This Row],[Ref-Carte]],Tableau2[TS],INDEX(Tableau6[TS],COLUMN()-COLUMN(Tableau1[[#All],[TS1-T]])+1))</f>
        <v>0</v>
      </c>
      <c r="U135" s="32" t="str">
        <f>IFERROR(Tableau1[[#This Row],[TS1]]/Tableau1[[#This Row],[TS1-T]],"")</f>
        <v/>
      </c>
      <c r="V135" s="32" t="str">
        <f>IFERROR(Tableau1[[#This Row],[TS2]]/Tableau1[[#This Row],[TS2-T]],"")</f>
        <v/>
      </c>
      <c r="W135" s="32" t="str">
        <f>IFERROR(Tableau1[[#This Row],[TS3]]/Tableau1[[#This Row],[TS3-T]],"")</f>
        <v/>
      </c>
      <c r="X135" s="32" t="str">
        <f>IFERROR(Tableau1[[#This Row],[TS4]]/Tableau1[[#This Row],[TS4-T]],"")</f>
        <v/>
      </c>
      <c r="Y135" s="32" t="str">
        <f>IFERROR(Tableau1[[#This Row],[TS5]]/Tableau1[[#This Row],[TS5-T]],"")</f>
        <v/>
      </c>
      <c r="Z135" s="32" t="str">
        <f>IFERROR(Tableau1[[#This Row],[TS6]]/Tableau1[[#This Row],[TS6-T]],"")</f>
        <v/>
      </c>
    </row>
    <row r="136" spans="1:26" ht="16.5" thickTop="1" thickBot="1">
      <c r="A136" s="84">
        <v>4</v>
      </c>
      <c r="B136" s="23" t="str">
        <f>INDEX(Tableau7[Repere],MATCH(Tableau1[[#This Row],[ID-API]],Tableau7[ID-API],0))&amp;""</f>
        <v>A4</v>
      </c>
      <c r="C136" s="84">
        <v>2</v>
      </c>
      <c r="D136" t="str">
        <f>"R" &amp; Tableau1[[#This Row],[ID-RACK]]</f>
        <v>R2</v>
      </c>
      <c r="E136" s="84">
        <v>8</v>
      </c>
      <c r="F136" t="str">
        <f>"S" &amp; Tableau1[[#This Row],[ID-SLOT]]</f>
        <v>S8</v>
      </c>
      <c r="G136" s="168" t="str">
        <f>Tableau1[[#This Row],[ID-API]]&amp; "." &amp;Tableau1[[#This Row],[ID-RACK]]&amp; "." &amp;Tableau1[[#This Row],[ID-SLOT]]</f>
        <v>4.2.8</v>
      </c>
      <c r="H136" t="s">
        <v>402</v>
      </c>
      <c r="I136" s="30">
        <v>0</v>
      </c>
      <c r="J136" s="30">
        <v>0</v>
      </c>
      <c r="K136" s="30">
        <v>0</v>
      </c>
      <c r="L136" s="30">
        <v>0</v>
      </c>
      <c r="M136" s="30">
        <v>0</v>
      </c>
      <c r="N136" s="30">
        <v>0</v>
      </c>
      <c r="O136" s="220">
        <f>COUNTIFS(Tableau2[Ref-Carte],Tableau1[[#This Row],[Ref-Carte]],Tableau2[TS],INDEX(Tableau6[TS],COLUMN()-COLUMN(Tableau1[[#All],[TS1-T]])+1))</f>
        <v>0</v>
      </c>
      <c r="P136" s="220">
        <f>COUNTIFS(Tableau2[Ref-Carte],Tableau1[[#This Row],[Ref-Carte]],Tableau2[TS],INDEX(Tableau6[TS],COLUMN()-COLUMN(Tableau1[[#All],[TS1-T]])+1))</f>
        <v>0</v>
      </c>
      <c r="Q136" s="220">
        <f>COUNTIFS(Tableau2[Ref-Carte],Tableau1[[#This Row],[Ref-Carte]],Tableau2[TS],INDEX(Tableau6[TS],COLUMN()-COLUMN(Tableau1[[#All],[TS1-T]])+1))</f>
        <v>0</v>
      </c>
      <c r="R136" s="220">
        <f>COUNTIFS(Tableau2[Ref-Carte],Tableau1[[#This Row],[Ref-Carte]],Tableau2[TS],INDEX(Tableau6[TS],COLUMN()-COLUMN(Tableau1[[#All],[TS1-T]])+1))</f>
        <v>0</v>
      </c>
      <c r="S136" s="220">
        <f>COUNTIFS(Tableau2[Ref-Carte],Tableau1[[#This Row],[Ref-Carte]],Tableau2[TS],INDEX(Tableau6[TS],COLUMN()-COLUMN(Tableau1[[#All],[TS1-T]])+1))</f>
        <v>0</v>
      </c>
      <c r="T136" s="220">
        <f>COUNTIFS(Tableau2[Ref-Carte],Tableau1[[#This Row],[Ref-Carte]],Tableau2[TS],INDEX(Tableau6[TS],COLUMN()-COLUMN(Tableau1[[#All],[TS1-T]])+1))</f>
        <v>0</v>
      </c>
      <c r="U136" s="32" t="str">
        <f>IFERROR(Tableau1[[#This Row],[TS1]]/Tableau1[[#This Row],[TS1-T]],"")</f>
        <v/>
      </c>
      <c r="V136" s="32" t="str">
        <f>IFERROR(Tableau1[[#This Row],[TS2]]/Tableau1[[#This Row],[TS2-T]],"")</f>
        <v/>
      </c>
      <c r="W136" s="32" t="str">
        <f>IFERROR(Tableau1[[#This Row],[TS3]]/Tableau1[[#This Row],[TS3-T]],"")</f>
        <v/>
      </c>
      <c r="X136" s="32" t="str">
        <f>IFERROR(Tableau1[[#This Row],[TS4]]/Tableau1[[#This Row],[TS4-T]],"")</f>
        <v/>
      </c>
      <c r="Y136" s="32" t="str">
        <f>IFERROR(Tableau1[[#This Row],[TS5]]/Tableau1[[#This Row],[TS5-T]],"")</f>
        <v/>
      </c>
      <c r="Z136" s="32" t="str">
        <f>IFERROR(Tableau1[[#This Row],[TS6]]/Tableau1[[#This Row],[TS6-T]],"")</f>
        <v/>
      </c>
    </row>
    <row r="137" spans="1:26" ht="16.5" thickTop="1" thickBot="1">
      <c r="A137" s="84">
        <v>4</v>
      </c>
      <c r="B137" s="23" t="str">
        <f>INDEX(Tableau7[Repere],MATCH(Tableau1[[#This Row],[ID-API]],Tableau7[ID-API],0))&amp;""</f>
        <v>A4</v>
      </c>
      <c r="C137" s="84">
        <v>2</v>
      </c>
      <c r="D137" t="str">
        <f>"R" &amp; Tableau1[[#This Row],[ID-RACK]]</f>
        <v>R2</v>
      </c>
      <c r="E137" s="84">
        <v>9</v>
      </c>
      <c r="F137" t="str">
        <f>"S" &amp; Tableau1[[#This Row],[ID-SLOT]]</f>
        <v>S9</v>
      </c>
      <c r="G137" s="168" t="str">
        <f>Tableau1[[#This Row],[ID-API]]&amp; "." &amp;Tableau1[[#This Row],[ID-RACK]]&amp; "." &amp;Tableau1[[#This Row],[ID-SLOT]]</f>
        <v>4.2.9</v>
      </c>
      <c r="H137" t="s">
        <v>402</v>
      </c>
      <c r="I137" s="30">
        <v>0</v>
      </c>
      <c r="J137" s="30">
        <v>0</v>
      </c>
      <c r="K137" s="30">
        <v>0</v>
      </c>
      <c r="L137" s="30">
        <v>0</v>
      </c>
      <c r="M137" s="30">
        <v>0</v>
      </c>
      <c r="N137" s="30">
        <v>0</v>
      </c>
      <c r="O137" s="220">
        <f>COUNTIFS(Tableau2[Ref-Carte],Tableau1[[#This Row],[Ref-Carte]],Tableau2[TS],INDEX(Tableau6[TS],COLUMN()-COLUMN(Tableau1[[#All],[TS1-T]])+1))</f>
        <v>0</v>
      </c>
      <c r="P137" s="220">
        <f>COUNTIFS(Tableau2[Ref-Carte],Tableau1[[#This Row],[Ref-Carte]],Tableau2[TS],INDEX(Tableau6[TS],COLUMN()-COLUMN(Tableau1[[#All],[TS1-T]])+1))</f>
        <v>0</v>
      </c>
      <c r="Q137" s="220">
        <f>COUNTIFS(Tableau2[Ref-Carte],Tableau1[[#This Row],[Ref-Carte]],Tableau2[TS],INDEX(Tableau6[TS],COLUMN()-COLUMN(Tableau1[[#All],[TS1-T]])+1))</f>
        <v>0</v>
      </c>
      <c r="R137" s="220">
        <f>COUNTIFS(Tableau2[Ref-Carte],Tableau1[[#This Row],[Ref-Carte]],Tableau2[TS],INDEX(Tableau6[TS],COLUMN()-COLUMN(Tableau1[[#All],[TS1-T]])+1))</f>
        <v>0</v>
      </c>
      <c r="S137" s="220">
        <f>COUNTIFS(Tableau2[Ref-Carte],Tableau1[[#This Row],[Ref-Carte]],Tableau2[TS],INDEX(Tableau6[TS],COLUMN()-COLUMN(Tableau1[[#All],[TS1-T]])+1))</f>
        <v>0</v>
      </c>
      <c r="T137" s="220">
        <f>COUNTIFS(Tableau2[Ref-Carte],Tableau1[[#This Row],[Ref-Carte]],Tableau2[TS],INDEX(Tableau6[TS],COLUMN()-COLUMN(Tableau1[[#All],[TS1-T]])+1))</f>
        <v>0</v>
      </c>
      <c r="U137" s="32" t="str">
        <f>IFERROR(Tableau1[[#This Row],[TS1]]/Tableau1[[#This Row],[TS1-T]],"")</f>
        <v/>
      </c>
      <c r="V137" s="32" t="str">
        <f>IFERROR(Tableau1[[#This Row],[TS2]]/Tableau1[[#This Row],[TS2-T]],"")</f>
        <v/>
      </c>
      <c r="W137" s="32" t="str">
        <f>IFERROR(Tableau1[[#This Row],[TS3]]/Tableau1[[#This Row],[TS3-T]],"")</f>
        <v/>
      </c>
      <c r="X137" s="32" t="str">
        <f>IFERROR(Tableau1[[#This Row],[TS4]]/Tableau1[[#This Row],[TS4-T]],"")</f>
        <v/>
      </c>
      <c r="Y137" s="32" t="str">
        <f>IFERROR(Tableau1[[#This Row],[TS5]]/Tableau1[[#This Row],[TS5-T]],"")</f>
        <v/>
      </c>
      <c r="Z137" s="32" t="str">
        <f>IFERROR(Tableau1[[#This Row],[TS6]]/Tableau1[[#This Row],[TS6-T]],"")</f>
        <v/>
      </c>
    </row>
    <row r="138" spans="1:26" ht="16.5" thickTop="1" thickBot="1">
      <c r="A138" s="84">
        <v>4</v>
      </c>
      <c r="B138" s="23" t="str">
        <f>INDEX(Tableau7[Repere],MATCH(Tableau1[[#This Row],[ID-API]],Tableau7[ID-API],0))&amp;""</f>
        <v>A4</v>
      </c>
      <c r="C138" s="84">
        <v>2</v>
      </c>
      <c r="D138" t="str">
        <f>"R" &amp; Tableau1[[#This Row],[ID-RACK]]</f>
        <v>R2</v>
      </c>
      <c r="E138" s="84">
        <v>10</v>
      </c>
      <c r="F138" t="str">
        <f>"S" &amp; Tableau1[[#This Row],[ID-SLOT]]</f>
        <v>S10</v>
      </c>
      <c r="G138" s="168" t="str">
        <f>Tableau1[[#This Row],[ID-API]]&amp; "." &amp;Tableau1[[#This Row],[ID-RACK]]&amp; "." &amp;Tableau1[[#This Row],[ID-SLOT]]</f>
        <v>4.2.10</v>
      </c>
      <c r="H138" t="s">
        <v>402</v>
      </c>
      <c r="I138" s="30">
        <v>0</v>
      </c>
      <c r="J138" s="30">
        <v>0</v>
      </c>
      <c r="K138" s="30">
        <v>0</v>
      </c>
      <c r="L138" s="30">
        <v>0</v>
      </c>
      <c r="M138" s="30">
        <v>0</v>
      </c>
      <c r="N138" s="30">
        <v>0</v>
      </c>
      <c r="O138" s="220">
        <f>COUNTIFS(Tableau2[Ref-Carte],Tableau1[[#This Row],[Ref-Carte]],Tableau2[TS],INDEX(Tableau6[TS],COLUMN()-COLUMN(Tableau1[[#All],[TS1-T]])+1))</f>
        <v>0</v>
      </c>
      <c r="P138" s="220">
        <f>COUNTIFS(Tableau2[Ref-Carte],Tableau1[[#This Row],[Ref-Carte]],Tableau2[TS],INDEX(Tableau6[TS],COLUMN()-COLUMN(Tableau1[[#All],[TS1-T]])+1))</f>
        <v>0</v>
      </c>
      <c r="Q138" s="220">
        <f>COUNTIFS(Tableau2[Ref-Carte],Tableau1[[#This Row],[Ref-Carte]],Tableau2[TS],INDEX(Tableau6[TS],COLUMN()-COLUMN(Tableau1[[#All],[TS1-T]])+1))</f>
        <v>0</v>
      </c>
      <c r="R138" s="220">
        <f>COUNTIFS(Tableau2[Ref-Carte],Tableau1[[#This Row],[Ref-Carte]],Tableau2[TS],INDEX(Tableau6[TS],COLUMN()-COLUMN(Tableau1[[#All],[TS1-T]])+1))</f>
        <v>0</v>
      </c>
      <c r="S138" s="220">
        <f>COUNTIFS(Tableau2[Ref-Carte],Tableau1[[#This Row],[Ref-Carte]],Tableau2[TS],INDEX(Tableau6[TS],COLUMN()-COLUMN(Tableau1[[#All],[TS1-T]])+1))</f>
        <v>0</v>
      </c>
      <c r="T138" s="220">
        <f>COUNTIFS(Tableau2[Ref-Carte],Tableau1[[#This Row],[Ref-Carte]],Tableau2[TS],INDEX(Tableau6[TS],COLUMN()-COLUMN(Tableau1[[#All],[TS1-T]])+1))</f>
        <v>0</v>
      </c>
      <c r="U138" s="32" t="str">
        <f>IFERROR(Tableau1[[#This Row],[TS1]]/Tableau1[[#This Row],[TS1-T]],"")</f>
        <v/>
      </c>
      <c r="V138" s="32" t="str">
        <f>IFERROR(Tableau1[[#This Row],[TS2]]/Tableau1[[#This Row],[TS2-T]],"")</f>
        <v/>
      </c>
      <c r="W138" s="32" t="str">
        <f>IFERROR(Tableau1[[#This Row],[TS3]]/Tableau1[[#This Row],[TS3-T]],"")</f>
        <v/>
      </c>
      <c r="X138" s="32" t="str">
        <f>IFERROR(Tableau1[[#This Row],[TS4]]/Tableau1[[#This Row],[TS4-T]],"")</f>
        <v/>
      </c>
      <c r="Y138" s="32" t="str">
        <f>IFERROR(Tableau1[[#This Row],[TS5]]/Tableau1[[#This Row],[TS5-T]],"")</f>
        <v/>
      </c>
      <c r="Z138" s="32" t="str">
        <f>IFERROR(Tableau1[[#This Row],[TS6]]/Tableau1[[#This Row],[TS6-T]],"")</f>
        <v/>
      </c>
    </row>
    <row r="139" spans="1:26" ht="16.5" thickTop="1" thickBot="1">
      <c r="A139" s="84">
        <v>8</v>
      </c>
      <c r="B139" s="23" t="str">
        <f>INDEX(Tableau7[Repere],MATCH(Tableau1[[#This Row],[ID-API]],Tableau7[ID-API],0))&amp;""</f>
        <v>A8</v>
      </c>
      <c r="C139" s="84">
        <v>1</v>
      </c>
      <c r="D139" t="str">
        <f>"R" &amp; Tableau1[[#This Row],[ID-RACK]]</f>
        <v>R1</v>
      </c>
      <c r="E139" s="84">
        <v>3</v>
      </c>
      <c r="F139" t="str">
        <f>"S" &amp; Tableau1[[#This Row],[ID-SLOT]]</f>
        <v>S3</v>
      </c>
      <c r="G139" s="168" t="str">
        <f>Tableau1[[#This Row],[ID-API]]&amp; "." &amp;Tableau1[[#This Row],[ID-RACK]]&amp; "." &amp;Tableau1[[#This Row],[ID-SLOT]]</f>
        <v>8.1.3</v>
      </c>
      <c r="H139" t="s">
        <v>708</v>
      </c>
      <c r="I139" s="30">
        <v>0</v>
      </c>
      <c r="J139" s="30">
        <v>0</v>
      </c>
      <c r="K139" s="30">
        <v>0</v>
      </c>
      <c r="L139" s="30">
        <v>0</v>
      </c>
      <c r="M139" s="30">
        <v>0</v>
      </c>
      <c r="N139" s="30">
        <v>0</v>
      </c>
      <c r="O139" s="220">
        <f>COUNTIFS(Tableau2[Ref-Carte],Tableau1[[#This Row],[Ref-Carte]],Tableau2[TS],INDEX(Tableau6[TS],COLUMN()-COLUMN(Tableau1[[#All],[TS1-T]])+1))</f>
        <v>0</v>
      </c>
      <c r="P139" s="220">
        <f>COUNTIFS(Tableau2[Ref-Carte],Tableau1[[#This Row],[Ref-Carte]],Tableau2[TS],INDEX(Tableau6[TS],COLUMN()-COLUMN(Tableau1[[#All],[TS1-T]])+1))</f>
        <v>8</v>
      </c>
      <c r="Q139" s="220">
        <f>COUNTIFS(Tableau2[Ref-Carte],Tableau1[[#This Row],[Ref-Carte]],Tableau2[TS],INDEX(Tableau6[TS],COLUMN()-COLUMN(Tableau1[[#All],[TS1-T]])+1))</f>
        <v>0</v>
      </c>
      <c r="R139" s="220">
        <f>COUNTIFS(Tableau2[Ref-Carte],Tableau1[[#This Row],[Ref-Carte]],Tableau2[TS],INDEX(Tableau6[TS],COLUMN()-COLUMN(Tableau1[[#All],[TS1-T]])+1))</f>
        <v>0</v>
      </c>
      <c r="S139" s="220">
        <f>COUNTIFS(Tableau2[Ref-Carte],Tableau1[[#This Row],[Ref-Carte]],Tableau2[TS],INDEX(Tableau6[TS],COLUMN()-COLUMN(Tableau1[[#All],[TS1-T]])+1))</f>
        <v>0</v>
      </c>
      <c r="T139" s="220">
        <f>COUNTIFS(Tableau2[Ref-Carte],Tableau1[[#This Row],[Ref-Carte]],Tableau2[TS],INDEX(Tableau6[TS],COLUMN()-COLUMN(Tableau1[[#All],[TS1-T]])+1))</f>
        <v>0</v>
      </c>
      <c r="U139" s="32" t="str">
        <f>IFERROR(Tableau1[[#This Row],[TS1]]/Tableau1[[#This Row],[TS1-T]],"")</f>
        <v/>
      </c>
      <c r="V139" s="32">
        <f>IFERROR(Tableau1[[#This Row],[TS2]]/Tableau1[[#This Row],[TS2-T]],"")</f>
        <v>0</v>
      </c>
      <c r="W139" s="32" t="str">
        <f>IFERROR(Tableau1[[#This Row],[TS3]]/Tableau1[[#This Row],[TS3-T]],"")</f>
        <v/>
      </c>
      <c r="X139" s="32" t="str">
        <f>IFERROR(Tableau1[[#This Row],[TS4]]/Tableau1[[#This Row],[TS4-T]],"")</f>
        <v/>
      </c>
      <c r="Y139" s="32" t="str">
        <f>IFERROR(Tableau1[[#This Row],[TS5]]/Tableau1[[#This Row],[TS5-T]],"")</f>
        <v/>
      </c>
      <c r="Z139" s="32" t="str">
        <f>IFERROR(Tableau1[[#This Row],[TS6]]/Tableau1[[#This Row],[TS6-T]],"")</f>
        <v/>
      </c>
    </row>
    <row r="140" spans="1:26" ht="16.5" thickTop="1" thickBot="1">
      <c r="A140" s="84">
        <v>8</v>
      </c>
      <c r="B140" s="23" t="str">
        <f>INDEX(Tableau7[Repere],MATCH(Tableau1[[#This Row],[ID-API]],Tableau7[ID-API],0))&amp;""</f>
        <v>A8</v>
      </c>
      <c r="C140" s="84">
        <v>1</v>
      </c>
      <c r="D140" t="str">
        <f>"R" &amp; Tableau1[[#This Row],[ID-RACK]]</f>
        <v>R1</v>
      </c>
      <c r="E140" s="84">
        <v>4</v>
      </c>
      <c r="F140" t="str">
        <f>"S" &amp; Tableau1[[#This Row],[ID-SLOT]]</f>
        <v>S4</v>
      </c>
      <c r="G140" s="168" t="str">
        <f>Tableau1[[#This Row],[ID-API]]&amp; "." &amp;Tableau1[[#This Row],[ID-RACK]]&amp; "." &amp;Tableau1[[#This Row],[ID-SLOT]]</f>
        <v>8.1.4</v>
      </c>
      <c r="H140" t="s">
        <v>402</v>
      </c>
      <c r="I140" s="30">
        <v>0</v>
      </c>
      <c r="J140" s="30">
        <v>0</v>
      </c>
      <c r="K140" s="30">
        <v>0</v>
      </c>
      <c r="L140" s="30">
        <v>0</v>
      </c>
      <c r="M140" s="30">
        <v>0</v>
      </c>
      <c r="N140" s="30">
        <v>0</v>
      </c>
      <c r="O140" s="220">
        <f>COUNTIFS(Tableau2[Ref-Carte],Tableau1[[#This Row],[Ref-Carte]],Tableau2[TS],INDEX(Tableau6[TS],COLUMN()-COLUMN(Tableau1[[#All],[TS1-T]])+1))</f>
        <v>0</v>
      </c>
      <c r="P140" s="220">
        <f>COUNTIFS(Tableau2[Ref-Carte],Tableau1[[#This Row],[Ref-Carte]],Tableau2[TS],INDEX(Tableau6[TS],COLUMN()-COLUMN(Tableau1[[#All],[TS1-T]])+1))</f>
        <v>0</v>
      </c>
      <c r="Q140" s="220">
        <f>COUNTIFS(Tableau2[Ref-Carte],Tableau1[[#This Row],[Ref-Carte]],Tableau2[TS],INDEX(Tableau6[TS],COLUMN()-COLUMN(Tableau1[[#All],[TS1-T]])+1))</f>
        <v>0</v>
      </c>
      <c r="R140" s="220">
        <f>COUNTIFS(Tableau2[Ref-Carte],Tableau1[[#This Row],[Ref-Carte]],Tableau2[TS],INDEX(Tableau6[TS],COLUMN()-COLUMN(Tableau1[[#All],[TS1-T]])+1))</f>
        <v>0</v>
      </c>
      <c r="S140" s="220">
        <f>COUNTIFS(Tableau2[Ref-Carte],Tableau1[[#This Row],[Ref-Carte]],Tableau2[TS],INDEX(Tableau6[TS],COLUMN()-COLUMN(Tableau1[[#All],[TS1-T]])+1))</f>
        <v>0</v>
      </c>
      <c r="T140" s="220">
        <f>COUNTIFS(Tableau2[Ref-Carte],Tableau1[[#This Row],[Ref-Carte]],Tableau2[TS],INDEX(Tableau6[TS],COLUMN()-COLUMN(Tableau1[[#All],[TS1-T]])+1))</f>
        <v>0</v>
      </c>
      <c r="U140" s="32" t="str">
        <f>IFERROR(Tableau1[[#This Row],[TS1]]/Tableau1[[#This Row],[TS1-T]],"")</f>
        <v/>
      </c>
      <c r="V140" s="32" t="str">
        <f>IFERROR(Tableau1[[#This Row],[TS2]]/Tableau1[[#This Row],[TS2-T]],"")</f>
        <v/>
      </c>
      <c r="W140" s="32" t="str">
        <f>IFERROR(Tableau1[[#This Row],[TS3]]/Tableau1[[#This Row],[TS3-T]],"")</f>
        <v/>
      </c>
      <c r="X140" s="32" t="str">
        <f>IFERROR(Tableau1[[#This Row],[TS4]]/Tableau1[[#This Row],[TS4-T]],"")</f>
        <v/>
      </c>
      <c r="Y140" s="32" t="str">
        <f>IFERROR(Tableau1[[#This Row],[TS5]]/Tableau1[[#This Row],[TS5-T]],"")</f>
        <v/>
      </c>
      <c r="Z140" s="32" t="str">
        <f>IFERROR(Tableau1[[#This Row],[TS6]]/Tableau1[[#This Row],[TS6-T]],"")</f>
        <v/>
      </c>
    </row>
    <row r="141" spans="1:26" ht="16.5" thickTop="1" thickBot="1">
      <c r="A141" s="84">
        <v>8</v>
      </c>
      <c r="B141" s="23" t="str">
        <f>INDEX(Tableau7[Repere],MATCH(Tableau1[[#This Row],[ID-API]],Tableau7[ID-API],0))&amp;""</f>
        <v>A8</v>
      </c>
      <c r="C141" s="84">
        <v>1</v>
      </c>
      <c r="D141" t="str">
        <f>"R" &amp; Tableau1[[#This Row],[ID-RACK]]</f>
        <v>R1</v>
      </c>
      <c r="E141" s="84">
        <v>5</v>
      </c>
      <c r="F141" t="str">
        <f>"S" &amp; Tableau1[[#This Row],[ID-SLOT]]</f>
        <v>S5</v>
      </c>
      <c r="G141" s="168" t="str">
        <f>Tableau1[[#This Row],[ID-API]]&amp; "." &amp;Tableau1[[#This Row],[ID-RACK]]&amp; "." &amp;Tableau1[[#This Row],[ID-SLOT]]</f>
        <v>8.1.5</v>
      </c>
      <c r="H141" t="s">
        <v>710</v>
      </c>
      <c r="I141" s="30">
        <v>0</v>
      </c>
      <c r="J141" s="30">
        <v>0</v>
      </c>
      <c r="K141" s="30">
        <v>0</v>
      </c>
      <c r="L141" s="30">
        <v>0</v>
      </c>
      <c r="M141" s="30">
        <v>0</v>
      </c>
      <c r="N141" s="30">
        <v>0</v>
      </c>
      <c r="O141" s="220">
        <f>COUNTIFS(Tableau2[Ref-Carte],Tableau1[[#This Row],[Ref-Carte]],Tableau2[TS],INDEX(Tableau6[TS],COLUMN()-COLUMN(Tableau1[[#All],[TS1-T]])+1))</f>
        <v>16</v>
      </c>
      <c r="P141" s="220">
        <f>COUNTIFS(Tableau2[Ref-Carte],Tableau1[[#This Row],[Ref-Carte]],Tableau2[TS],INDEX(Tableau6[TS],COLUMN()-COLUMN(Tableau1[[#All],[TS1-T]])+1))</f>
        <v>0</v>
      </c>
      <c r="Q141" s="220">
        <f>COUNTIFS(Tableau2[Ref-Carte],Tableau1[[#This Row],[Ref-Carte]],Tableau2[TS],INDEX(Tableau6[TS],COLUMN()-COLUMN(Tableau1[[#All],[TS1-T]])+1))</f>
        <v>0</v>
      </c>
      <c r="R141" s="220">
        <f>COUNTIFS(Tableau2[Ref-Carte],Tableau1[[#This Row],[Ref-Carte]],Tableau2[TS],INDEX(Tableau6[TS],COLUMN()-COLUMN(Tableau1[[#All],[TS1-T]])+1))</f>
        <v>0</v>
      </c>
      <c r="S141" s="220">
        <f>COUNTIFS(Tableau2[Ref-Carte],Tableau1[[#This Row],[Ref-Carte]],Tableau2[TS],INDEX(Tableau6[TS],COLUMN()-COLUMN(Tableau1[[#All],[TS1-T]])+1))</f>
        <v>0</v>
      </c>
      <c r="T141" s="220">
        <f>COUNTIFS(Tableau2[Ref-Carte],Tableau1[[#This Row],[Ref-Carte]],Tableau2[TS],INDEX(Tableau6[TS],COLUMN()-COLUMN(Tableau1[[#All],[TS1-T]])+1))</f>
        <v>0</v>
      </c>
      <c r="U141" s="32">
        <f>IFERROR(Tableau1[[#This Row],[TS1]]/Tableau1[[#This Row],[TS1-T]],"")</f>
        <v>0</v>
      </c>
      <c r="V141" s="32" t="str">
        <f>IFERROR(Tableau1[[#This Row],[TS2]]/Tableau1[[#This Row],[TS2-T]],"")</f>
        <v/>
      </c>
      <c r="W141" s="32" t="str">
        <f>IFERROR(Tableau1[[#This Row],[TS3]]/Tableau1[[#This Row],[TS3-T]],"")</f>
        <v/>
      </c>
      <c r="X141" s="32" t="str">
        <f>IFERROR(Tableau1[[#This Row],[TS4]]/Tableau1[[#This Row],[TS4-T]],"")</f>
        <v/>
      </c>
      <c r="Y141" s="32" t="str">
        <f>IFERROR(Tableau1[[#This Row],[TS5]]/Tableau1[[#This Row],[TS5-T]],"")</f>
        <v/>
      </c>
      <c r="Z141" s="32" t="str">
        <f>IFERROR(Tableau1[[#This Row],[TS6]]/Tableau1[[#This Row],[TS6-T]],"")</f>
        <v/>
      </c>
    </row>
    <row r="142" spans="1:26" ht="16.5" thickTop="1" thickBot="1">
      <c r="A142" s="84">
        <v>8</v>
      </c>
      <c r="B142" s="23" t="str">
        <f>INDEX(Tableau7[Repere],MATCH(Tableau1[[#This Row],[ID-API]],Tableau7[ID-API],0))&amp;""</f>
        <v>A8</v>
      </c>
      <c r="C142" s="84">
        <v>1</v>
      </c>
      <c r="D142" t="str">
        <f>"R" &amp; Tableau1[[#This Row],[ID-RACK]]</f>
        <v>R1</v>
      </c>
      <c r="E142" s="84">
        <v>6</v>
      </c>
      <c r="F142" t="str">
        <f>"S" &amp; Tableau1[[#This Row],[ID-SLOT]]</f>
        <v>S6</v>
      </c>
      <c r="G142" s="168" t="str">
        <f>Tableau1[[#This Row],[ID-API]]&amp; "." &amp;Tableau1[[#This Row],[ID-RACK]]&amp; "." &amp;Tableau1[[#This Row],[ID-SLOT]]</f>
        <v>8.1.6</v>
      </c>
      <c r="H142" t="s">
        <v>710</v>
      </c>
      <c r="I142" s="30">
        <v>0</v>
      </c>
      <c r="J142" s="30">
        <v>0</v>
      </c>
      <c r="K142" s="30">
        <v>0</v>
      </c>
      <c r="L142" s="30">
        <v>0</v>
      </c>
      <c r="M142" s="30">
        <v>0</v>
      </c>
      <c r="N142" s="30">
        <v>0</v>
      </c>
      <c r="O142" s="220">
        <f>COUNTIFS(Tableau2[Ref-Carte],Tableau1[[#This Row],[Ref-Carte]],Tableau2[TS],INDEX(Tableau6[TS],COLUMN()-COLUMN(Tableau1[[#All],[TS1-T]])+1))</f>
        <v>16</v>
      </c>
      <c r="P142" s="220">
        <f>COUNTIFS(Tableau2[Ref-Carte],Tableau1[[#This Row],[Ref-Carte]],Tableau2[TS],INDEX(Tableau6[TS],COLUMN()-COLUMN(Tableau1[[#All],[TS1-T]])+1))</f>
        <v>0</v>
      </c>
      <c r="Q142" s="220">
        <f>COUNTIFS(Tableau2[Ref-Carte],Tableau1[[#This Row],[Ref-Carte]],Tableau2[TS],INDEX(Tableau6[TS],COLUMN()-COLUMN(Tableau1[[#All],[TS1-T]])+1))</f>
        <v>0</v>
      </c>
      <c r="R142" s="220">
        <f>COUNTIFS(Tableau2[Ref-Carte],Tableau1[[#This Row],[Ref-Carte]],Tableau2[TS],INDEX(Tableau6[TS],COLUMN()-COLUMN(Tableau1[[#All],[TS1-T]])+1))</f>
        <v>0</v>
      </c>
      <c r="S142" s="220">
        <f>COUNTIFS(Tableau2[Ref-Carte],Tableau1[[#This Row],[Ref-Carte]],Tableau2[TS],INDEX(Tableau6[TS],COLUMN()-COLUMN(Tableau1[[#All],[TS1-T]])+1))</f>
        <v>0</v>
      </c>
      <c r="T142" s="220">
        <f>COUNTIFS(Tableau2[Ref-Carte],Tableau1[[#This Row],[Ref-Carte]],Tableau2[TS],INDEX(Tableau6[TS],COLUMN()-COLUMN(Tableau1[[#All],[TS1-T]])+1))</f>
        <v>0</v>
      </c>
      <c r="U142" s="32">
        <f>IFERROR(Tableau1[[#This Row],[TS1]]/Tableau1[[#This Row],[TS1-T]],"")</f>
        <v>0</v>
      </c>
      <c r="V142" s="32" t="str">
        <f>IFERROR(Tableau1[[#This Row],[TS2]]/Tableau1[[#This Row],[TS2-T]],"")</f>
        <v/>
      </c>
      <c r="W142" s="32" t="str">
        <f>IFERROR(Tableau1[[#This Row],[TS3]]/Tableau1[[#This Row],[TS3-T]],"")</f>
        <v/>
      </c>
      <c r="X142" s="32" t="str">
        <f>IFERROR(Tableau1[[#This Row],[TS4]]/Tableau1[[#This Row],[TS4-T]],"")</f>
        <v/>
      </c>
      <c r="Y142" s="32" t="str">
        <f>IFERROR(Tableau1[[#This Row],[TS5]]/Tableau1[[#This Row],[TS5-T]],"")</f>
        <v/>
      </c>
      <c r="Z142" s="32" t="str">
        <f>IFERROR(Tableau1[[#This Row],[TS6]]/Tableau1[[#This Row],[TS6-T]],"")</f>
        <v/>
      </c>
    </row>
    <row r="143" spans="1:26" ht="16.5" thickTop="1" thickBot="1">
      <c r="A143" s="84">
        <v>8</v>
      </c>
      <c r="B143" s="23" t="str">
        <f>INDEX(Tableau7[Repere],MATCH(Tableau1[[#This Row],[ID-API]],Tableau7[ID-API],0))&amp;""</f>
        <v>A8</v>
      </c>
      <c r="C143" s="84">
        <v>1</v>
      </c>
      <c r="D143" t="str">
        <f>"R" &amp; Tableau1[[#This Row],[ID-RACK]]</f>
        <v>R1</v>
      </c>
      <c r="E143" s="84">
        <v>7</v>
      </c>
      <c r="F143" t="str">
        <f>"S" &amp; Tableau1[[#This Row],[ID-SLOT]]</f>
        <v>S7</v>
      </c>
      <c r="G143" s="168" t="str">
        <f>Tableau1[[#This Row],[ID-API]]&amp; "." &amp;Tableau1[[#This Row],[ID-RACK]]&amp; "." &amp;Tableau1[[#This Row],[ID-SLOT]]</f>
        <v>8.1.7</v>
      </c>
      <c r="H143" t="s">
        <v>402</v>
      </c>
      <c r="I143" s="30">
        <v>0</v>
      </c>
      <c r="J143" s="30">
        <v>0</v>
      </c>
      <c r="K143" s="30">
        <v>0</v>
      </c>
      <c r="L143" s="30">
        <v>0</v>
      </c>
      <c r="M143" s="30">
        <v>0</v>
      </c>
      <c r="N143" s="30">
        <v>0</v>
      </c>
      <c r="O143" s="220">
        <f>COUNTIFS(Tableau2[Ref-Carte],Tableau1[[#This Row],[Ref-Carte]],Tableau2[TS],INDEX(Tableau6[TS],COLUMN()-COLUMN(Tableau1[[#All],[TS1-T]])+1))</f>
        <v>0</v>
      </c>
      <c r="P143" s="220">
        <f>COUNTIFS(Tableau2[Ref-Carte],Tableau1[[#This Row],[Ref-Carte]],Tableau2[TS],INDEX(Tableau6[TS],COLUMN()-COLUMN(Tableau1[[#All],[TS1-T]])+1))</f>
        <v>0</v>
      </c>
      <c r="Q143" s="220">
        <f>COUNTIFS(Tableau2[Ref-Carte],Tableau1[[#This Row],[Ref-Carte]],Tableau2[TS],INDEX(Tableau6[TS],COLUMN()-COLUMN(Tableau1[[#All],[TS1-T]])+1))</f>
        <v>0</v>
      </c>
      <c r="R143" s="220">
        <f>COUNTIFS(Tableau2[Ref-Carte],Tableau1[[#This Row],[Ref-Carte]],Tableau2[TS],INDEX(Tableau6[TS],COLUMN()-COLUMN(Tableau1[[#All],[TS1-T]])+1))</f>
        <v>0</v>
      </c>
      <c r="S143" s="220">
        <f>COUNTIFS(Tableau2[Ref-Carte],Tableau1[[#This Row],[Ref-Carte]],Tableau2[TS],INDEX(Tableau6[TS],COLUMN()-COLUMN(Tableau1[[#All],[TS1-T]])+1))</f>
        <v>0</v>
      </c>
      <c r="T143" s="220">
        <f>COUNTIFS(Tableau2[Ref-Carte],Tableau1[[#This Row],[Ref-Carte]],Tableau2[TS],INDEX(Tableau6[TS],COLUMN()-COLUMN(Tableau1[[#All],[TS1-T]])+1))</f>
        <v>0</v>
      </c>
      <c r="U143" s="32" t="str">
        <f>IFERROR(Tableau1[[#This Row],[TS1]]/Tableau1[[#This Row],[TS1-T]],"")</f>
        <v/>
      </c>
      <c r="V143" s="32" t="str">
        <f>IFERROR(Tableau1[[#This Row],[TS2]]/Tableau1[[#This Row],[TS2-T]],"")</f>
        <v/>
      </c>
      <c r="W143" s="32" t="str">
        <f>IFERROR(Tableau1[[#This Row],[TS3]]/Tableau1[[#This Row],[TS3-T]],"")</f>
        <v/>
      </c>
      <c r="X143" s="32" t="str">
        <f>IFERROR(Tableau1[[#This Row],[TS4]]/Tableau1[[#This Row],[TS4-T]],"")</f>
        <v/>
      </c>
      <c r="Y143" s="32" t="str">
        <f>IFERROR(Tableau1[[#This Row],[TS5]]/Tableau1[[#This Row],[TS5-T]],"")</f>
        <v/>
      </c>
      <c r="Z143" s="32" t="str">
        <f>IFERROR(Tableau1[[#This Row],[TS6]]/Tableau1[[#This Row],[TS6-T]],"")</f>
        <v/>
      </c>
    </row>
    <row r="144" spans="1:26" ht="16.5" thickTop="1" thickBot="1">
      <c r="A144" s="84">
        <v>8</v>
      </c>
      <c r="B144" s="23" t="str">
        <f>INDEX(Tableau7[Repere],MATCH(Tableau1[[#This Row],[ID-API]],Tableau7[ID-API],0))&amp;""</f>
        <v>A8</v>
      </c>
      <c r="C144" s="84">
        <v>1</v>
      </c>
      <c r="D144" t="str">
        <f>"R" &amp; Tableau1[[#This Row],[ID-RACK]]</f>
        <v>R1</v>
      </c>
      <c r="E144" s="84">
        <v>8</v>
      </c>
      <c r="F144" t="str">
        <f>"S" &amp; Tableau1[[#This Row],[ID-SLOT]]</f>
        <v>S8</v>
      </c>
      <c r="G144" s="168" t="str">
        <f>Tableau1[[#This Row],[ID-API]]&amp; "." &amp;Tableau1[[#This Row],[ID-RACK]]&amp; "." &amp;Tableau1[[#This Row],[ID-SLOT]]</f>
        <v>8.1.8</v>
      </c>
      <c r="H144" t="s">
        <v>402</v>
      </c>
      <c r="I144" s="30">
        <v>0</v>
      </c>
      <c r="J144" s="30">
        <v>0</v>
      </c>
      <c r="K144" s="30">
        <v>0</v>
      </c>
      <c r="L144" s="30">
        <v>0</v>
      </c>
      <c r="M144" s="30">
        <v>0</v>
      </c>
      <c r="N144" s="30">
        <v>0</v>
      </c>
      <c r="O144" s="220">
        <f>COUNTIFS(Tableau2[Ref-Carte],Tableau1[[#This Row],[Ref-Carte]],Tableau2[TS],INDEX(Tableau6[TS],COLUMN()-COLUMN(Tableau1[[#All],[TS1-T]])+1))</f>
        <v>0</v>
      </c>
      <c r="P144" s="220">
        <f>COUNTIFS(Tableau2[Ref-Carte],Tableau1[[#This Row],[Ref-Carte]],Tableau2[TS],INDEX(Tableau6[TS],COLUMN()-COLUMN(Tableau1[[#All],[TS1-T]])+1))</f>
        <v>0</v>
      </c>
      <c r="Q144" s="220">
        <f>COUNTIFS(Tableau2[Ref-Carte],Tableau1[[#This Row],[Ref-Carte]],Tableau2[TS],INDEX(Tableau6[TS],COLUMN()-COLUMN(Tableau1[[#All],[TS1-T]])+1))</f>
        <v>0</v>
      </c>
      <c r="R144" s="220">
        <f>COUNTIFS(Tableau2[Ref-Carte],Tableau1[[#This Row],[Ref-Carte]],Tableau2[TS],INDEX(Tableau6[TS],COLUMN()-COLUMN(Tableau1[[#All],[TS1-T]])+1))</f>
        <v>0</v>
      </c>
      <c r="S144" s="220">
        <f>COUNTIFS(Tableau2[Ref-Carte],Tableau1[[#This Row],[Ref-Carte]],Tableau2[TS],INDEX(Tableau6[TS],COLUMN()-COLUMN(Tableau1[[#All],[TS1-T]])+1))</f>
        <v>0</v>
      </c>
      <c r="T144" s="220">
        <f>COUNTIFS(Tableau2[Ref-Carte],Tableau1[[#This Row],[Ref-Carte]],Tableau2[TS],INDEX(Tableau6[TS],COLUMN()-COLUMN(Tableau1[[#All],[TS1-T]])+1))</f>
        <v>0</v>
      </c>
      <c r="U144" s="32" t="str">
        <f>IFERROR(Tableau1[[#This Row],[TS1]]/Tableau1[[#This Row],[TS1-T]],"")</f>
        <v/>
      </c>
      <c r="V144" s="32" t="str">
        <f>IFERROR(Tableau1[[#This Row],[TS2]]/Tableau1[[#This Row],[TS2-T]],"")</f>
        <v/>
      </c>
      <c r="W144" s="32" t="str">
        <f>IFERROR(Tableau1[[#This Row],[TS3]]/Tableau1[[#This Row],[TS3-T]],"")</f>
        <v/>
      </c>
      <c r="X144" s="32" t="str">
        <f>IFERROR(Tableau1[[#This Row],[TS4]]/Tableau1[[#This Row],[TS4-T]],"")</f>
        <v/>
      </c>
      <c r="Y144" s="32" t="str">
        <f>IFERROR(Tableau1[[#This Row],[TS5]]/Tableau1[[#This Row],[TS5-T]],"")</f>
        <v/>
      </c>
      <c r="Z144" s="32" t="str">
        <f>IFERROR(Tableau1[[#This Row],[TS6]]/Tableau1[[#This Row],[TS6-T]],"")</f>
        <v/>
      </c>
    </row>
    <row r="145" spans="1:26" ht="16.5" thickTop="1" thickBot="1">
      <c r="A145" s="84">
        <v>8</v>
      </c>
      <c r="B145" s="23" t="str">
        <f>INDEX(Tableau7[Repere],MATCH(Tableau1[[#This Row],[ID-API]],Tableau7[ID-API],0))&amp;""</f>
        <v>A8</v>
      </c>
      <c r="C145" s="84">
        <v>1</v>
      </c>
      <c r="D145" t="str">
        <f>"R" &amp; Tableau1[[#This Row],[ID-RACK]]</f>
        <v>R1</v>
      </c>
      <c r="E145" s="84">
        <v>9</v>
      </c>
      <c r="F145" t="str">
        <f>"S" &amp; Tableau1[[#This Row],[ID-SLOT]]</f>
        <v>S9</v>
      </c>
      <c r="G145" s="168" t="str">
        <f>Tableau1[[#This Row],[ID-API]]&amp; "." &amp;Tableau1[[#This Row],[ID-RACK]]&amp; "." &amp;Tableau1[[#This Row],[ID-SLOT]]</f>
        <v>8.1.9</v>
      </c>
      <c r="H145" t="s">
        <v>402</v>
      </c>
      <c r="I145" s="30">
        <v>0</v>
      </c>
      <c r="J145" s="30">
        <v>0</v>
      </c>
      <c r="K145" s="30">
        <v>0</v>
      </c>
      <c r="L145" s="30">
        <v>0</v>
      </c>
      <c r="M145" s="30">
        <v>0</v>
      </c>
      <c r="N145" s="30">
        <v>0</v>
      </c>
      <c r="O145" s="220">
        <f>COUNTIFS(Tableau2[Ref-Carte],Tableau1[[#This Row],[Ref-Carte]],Tableau2[TS],INDEX(Tableau6[TS],COLUMN()-COLUMN(Tableau1[[#All],[TS1-T]])+1))</f>
        <v>0</v>
      </c>
      <c r="P145" s="220">
        <f>COUNTIFS(Tableau2[Ref-Carte],Tableau1[[#This Row],[Ref-Carte]],Tableau2[TS],INDEX(Tableau6[TS],COLUMN()-COLUMN(Tableau1[[#All],[TS1-T]])+1))</f>
        <v>0</v>
      </c>
      <c r="Q145" s="220">
        <f>COUNTIFS(Tableau2[Ref-Carte],Tableau1[[#This Row],[Ref-Carte]],Tableau2[TS],INDEX(Tableau6[TS],COLUMN()-COLUMN(Tableau1[[#All],[TS1-T]])+1))</f>
        <v>0</v>
      </c>
      <c r="R145" s="220">
        <f>COUNTIFS(Tableau2[Ref-Carte],Tableau1[[#This Row],[Ref-Carte]],Tableau2[TS],INDEX(Tableau6[TS],COLUMN()-COLUMN(Tableau1[[#All],[TS1-T]])+1))</f>
        <v>0</v>
      </c>
      <c r="S145" s="220">
        <f>COUNTIFS(Tableau2[Ref-Carte],Tableau1[[#This Row],[Ref-Carte]],Tableau2[TS],INDEX(Tableau6[TS],COLUMN()-COLUMN(Tableau1[[#All],[TS1-T]])+1))</f>
        <v>0</v>
      </c>
      <c r="T145" s="220">
        <f>COUNTIFS(Tableau2[Ref-Carte],Tableau1[[#This Row],[Ref-Carte]],Tableau2[TS],INDEX(Tableau6[TS],COLUMN()-COLUMN(Tableau1[[#All],[TS1-T]])+1))</f>
        <v>0</v>
      </c>
      <c r="U145" s="32" t="str">
        <f>IFERROR(Tableau1[[#This Row],[TS1]]/Tableau1[[#This Row],[TS1-T]],"")</f>
        <v/>
      </c>
      <c r="V145" s="32" t="str">
        <f>IFERROR(Tableau1[[#This Row],[TS2]]/Tableau1[[#This Row],[TS2-T]],"")</f>
        <v/>
      </c>
      <c r="W145" s="32" t="str">
        <f>IFERROR(Tableau1[[#This Row],[TS3]]/Tableau1[[#This Row],[TS3-T]],"")</f>
        <v/>
      </c>
      <c r="X145" s="32" t="str">
        <f>IFERROR(Tableau1[[#This Row],[TS4]]/Tableau1[[#This Row],[TS4-T]],"")</f>
        <v/>
      </c>
      <c r="Y145" s="32" t="str">
        <f>IFERROR(Tableau1[[#This Row],[TS5]]/Tableau1[[#This Row],[TS5-T]],"")</f>
        <v/>
      </c>
      <c r="Z145" s="32" t="str">
        <f>IFERROR(Tableau1[[#This Row],[TS6]]/Tableau1[[#This Row],[TS6-T]],"")</f>
        <v/>
      </c>
    </row>
    <row r="146" spans="1:26" ht="16.5" thickTop="1" thickBot="1">
      <c r="A146" s="84">
        <v>8</v>
      </c>
      <c r="B146" s="23" t="str">
        <f>INDEX(Tableau7[Repere],MATCH(Tableau1[[#This Row],[ID-API]],Tableau7[ID-API],0))&amp;""</f>
        <v>A8</v>
      </c>
      <c r="C146" s="84">
        <v>1</v>
      </c>
      <c r="D146" t="str">
        <f>"R" &amp; Tableau1[[#This Row],[ID-RACK]]</f>
        <v>R1</v>
      </c>
      <c r="E146" s="84">
        <v>10</v>
      </c>
      <c r="F146" t="str">
        <f>"S" &amp; Tableau1[[#This Row],[ID-SLOT]]</f>
        <v>S10</v>
      </c>
      <c r="G146" s="168" t="str">
        <f>Tableau1[[#This Row],[ID-API]]&amp; "." &amp;Tableau1[[#This Row],[ID-RACK]]&amp; "." &amp;Tableau1[[#This Row],[ID-SLOT]]</f>
        <v>8.1.10</v>
      </c>
      <c r="H146" t="s">
        <v>402</v>
      </c>
      <c r="I146" s="30">
        <v>0</v>
      </c>
      <c r="J146" s="30">
        <v>0</v>
      </c>
      <c r="K146" s="30">
        <v>0</v>
      </c>
      <c r="L146" s="30">
        <v>0</v>
      </c>
      <c r="M146" s="30">
        <v>0</v>
      </c>
      <c r="N146" s="30">
        <v>0</v>
      </c>
      <c r="O146" s="220">
        <f>COUNTIFS(Tableau2[Ref-Carte],Tableau1[[#This Row],[Ref-Carte]],Tableau2[TS],INDEX(Tableau6[TS],COLUMN()-COLUMN(Tableau1[[#All],[TS1-T]])+1))</f>
        <v>0</v>
      </c>
      <c r="P146" s="220">
        <f>COUNTIFS(Tableau2[Ref-Carte],Tableau1[[#This Row],[Ref-Carte]],Tableau2[TS],INDEX(Tableau6[TS],COLUMN()-COLUMN(Tableau1[[#All],[TS1-T]])+1))</f>
        <v>0</v>
      </c>
      <c r="Q146" s="220">
        <f>COUNTIFS(Tableau2[Ref-Carte],Tableau1[[#This Row],[Ref-Carte]],Tableau2[TS],INDEX(Tableau6[TS],COLUMN()-COLUMN(Tableau1[[#All],[TS1-T]])+1))</f>
        <v>0</v>
      </c>
      <c r="R146" s="220">
        <f>COUNTIFS(Tableau2[Ref-Carte],Tableau1[[#This Row],[Ref-Carte]],Tableau2[TS],INDEX(Tableau6[TS],COLUMN()-COLUMN(Tableau1[[#All],[TS1-T]])+1))</f>
        <v>0</v>
      </c>
      <c r="S146" s="220">
        <f>COUNTIFS(Tableau2[Ref-Carte],Tableau1[[#This Row],[Ref-Carte]],Tableau2[TS],INDEX(Tableau6[TS],COLUMN()-COLUMN(Tableau1[[#All],[TS1-T]])+1))</f>
        <v>0</v>
      </c>
      <c r="T146" s="220">
        <f>COUNTIFS(Tableau2[Ref-Carte],Tableau1[[#This Row],[Ref-Carte]],Tableau2[TS],INDEX(Tableau6[TS],COLUMN()-COLUMN(Tableau1[[#All],[TS1-T]])+1))</f>
        <v>0</v>
      </c>
      <c r="U146" s="32" t="str">
        <f>IFERROR(Tableau1[[#This Row],[TS1]]/Tableau1[[#This Row],[TS1-T]],"")</f>
        <v/>
      </c>
      <c r="V146" s="32" t="str">
        <f>IFERROR(Tableau1[[#This Row],[TS2]]/Tableau1[[#This Row],[TS2-T]],"")</f>
        <v/>
      </c>
      <c r="W146" s="32" t="str">
        <f>IFERROR(Tableau1[[#This Row],[TS3]]/Tableau1[[#This Row],[TS3-T]],"")</f>
        <v/>
      </c>
      <c r="X146" s="32" t="str">
        <f>IFERROR(Tableau1[[#This Row],[TS4]]/Tableau1[[#This Row],[TS4-T]],"")</f>
        <v/>
      </c>
      <c r="Y146" s="32" t="str">
        <f>IFERROR(Tableau1[[#This Row],[TS5]]/Tableau1[[#This Row],[TS5-T]],"")</f>
        <v/>
      </c>
      <c r="Z146" s="32" t="str">
        <f>IFERROR(Tableau1[[#This Row],[TS6]]/Tableau1[[#This Row],[TS6-T]],"")</f>
        <v/>
      </c>
    </row>
    <row r="147" spans="1:26" ht="15" thickTop="1"/>
  </sheetData>
  <phoneticPr fontId="8" type="noConversion"/>
  <conditionalFormatting sqref="U2:Y146">
    <cfRule type="expression" dxfId="90" priority="1">
      <formula>AND(U2&lt;&gt;"",U2&gt;=SeuilRes)</formula>
    </cfRule>
    <cfRule type="expression" dxfId="89" priority="2">
      <formula>U2&lt;SeuilRes</formula>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sheetPr codeName="Voies"/>
  <dimension ref="A1:F33"/>
  <sheetViews>
    <sheetView workbookViewId="0">
      <selection activeCell="C2" sqref="C2"/>
    </sheetView>
  </sheetViews>
  <sheetFormatPr baseColWidth="10" defaultRowHeight="14.25"/>
  <cols>
    <col min="1" max="1" width="11.375" customWidth="1"/>
    <col min="2" max="2" width="7.875" customWidth="1"/>
    <col min="3" max="3" width="14" bestFit="1" customWidth="1"/>
    <col min="4" max="4" width="6.5" customWidth="1"/>
    <col min="5" max="5" width="15.125" customWidth="1"/>
    <col min="6" max="6" width="8.125" customWidth="1"/>
  </cols>
  <sheetData>
    <row r="1" spans="1:6" ht="40.5" customHeight="1">
      <c r="A1" s="24" t="s">
        <v>709</v>
      </c>
      <c r="B1" s="84" t="s">
        <v>1601</v>
      </c>
      <c r="C1" t="s">
        <v>1608</v>
      </c>
      <c r="D1" s="24" t="s">
        <v>1416</v>
      </c>
      <c r="E1" t="s">
        <v>730</v>
      </c>
      <c r="F1" t="s">
        <v>713</v>
      </c>
    </row>
    <row r="2" spans="1:6">
      <c r="A2" t="s">
        <v>708</v>
      </c>
      <c r="B2" s="84">
        <v>0</v>
      </c>
      <c r="C2" t="str">
        <f xml:space="preserve"> "v" &amp; Tableau2[[#This Row],[ID-Voie]]</f>
        <v>v0</v>
      </c>
      <c r="D2" s="192" t="s">
        <v>1414</v>
      </c>
      <c r="E2" s="23" t="str">
        <f>Tableau2[[#This Row],[Ref-Carte]]&amp;"/"&amp;Tableau2[[#This Row],[ID-Voie]]</f>
        <v>SDO0802/0</v>
      </c>
      <c r="F2">
        <v>0</v>
      </c>
    </row>
    <row r="3" spans="1:6">
      <c r="A3" t="s">
        <v>708</v>
      </c>
      <c r="B3" s="84">
        <v>1</v>
      </c>
      <c r="C3" t="str">
        <f xml:space="preserve"> "v" &amp; Tableau2[[#This Row],[ID-Voie]]</f>
        <v>v1</v>
      </c>
      <c r="D3" t="s">
        <v>1414</v>
      </c>
      <c r="E3" s="23" t="str">
        <f>Tableau2[[#This Row],[Ref-Carte]]&amp;"/"&amp;Tableau2[[#This Row],[ID-Voie]]</f>
        <v>SDO0802/1</v>
      </c>
      <c r="F3">
        <v>1</v>
      </c>
    </row>
    <row r="4" spans="1:6">
      <c r="A4" t="s">
        <v>708</v>
      </c>
      <c r="B4" s="84">
        <v>2</v>
      </c>
      <c r="C4" t="str">
        <f xml:space="preserve"> "v" &amp; Tableau2[[#This Row],[ID-Voie]]</f>
        <v>v2</v>
      </c>
      <c r="D4" t="s">
        <v>1414</v>
      </c>
      <c r="E4" s="23" t="str">
        <f>Tableau2[[#This Row],[Ref-Carte]]&amp;"/"&amp;Tableau2[[#This Row],[ID-Voie]]</f>
        <v>SDO0802/2</v>
      </c>
      <c r="F4">
        <v>2</v>
      </c>
    </row>
    <row r="5" spans="1:6">
      <c r="A5" t="s">
        <v>708</v>
      </c>
      <c r="B5" s="84">
        <v>3</v>
      </c>
      <c r="C5" t="str">
        <f xml:space="preserve"> "v" &amp; Tableau2[[#This Row],[ID-Voie]]</f>
        <v>v3</v>
      </c>
      <c r="D5" t="s">
        <v>1414</v>
      </c>
      <c r="E5" s="23" t="str">
        <f>Tableau2[[#This Row],[Ref-Carte]]&amp;"/"&amp;Tableau2[[#This Row],[ID-Voie]]</f>
        <v>SDO0802/3</v>
      </c>
      <c r="F5">
        <v>3</v>
      </c>
    </row>
    <row r="6" spans="1:6">
      <c r="A6" t="s">
        <v>708</v>
      </c>
      <c r="B6" s="84">
        <v>4</v>
      </c>
      <c r="C6" t="str">
        <f xml:space="preserve"> "v" &amp; Tableau2[[#This Row],[ID-Voie]]</f>
        <v>v4</v>
      </c>
      <c r="D6" t="s">
        <v>1414</v>
      </c>
      <c r="E6" s="23" t="str">
        <f>Tableau2[[#This Row],[Ref-Carte]]&amp;"/"&amp;Tableau2[[#This Row],[ID-Voie]]</f>
        <v>SDO0802/4</v>
      </c>
      <c r="F6">
        <v>4</v>
      </c>
    </row>
    <row r="7" spans="1:6">
      <c r="A7" t="s">
        <v>708</v>
      </c>
      <c r="B7" s="84">
        <v>5</v>
      </c>
      <c r="C7" t="str">
        <f xml:space="preserve"> "v" &amp; Tableau2[[#This Row],[ID-Voie]]</f>
        <v>v5</v>
      </c>
      <c r="D7" t="s">
        <v>1414</v>
      </c>
      <c r="E7" s="23" t="str">
        <f>Tableau2[[#This Row],[Ref-Carte]]&amp;"/"&amp;Tableau2[[#This Row],[ID-Voie]]</f>
        <v>SDO0802/5</v>
      </c>
      <c r="F7">
        <v>5</v>
      </c>
    </row>
    <row r="8" spans="1:6">
      <c r="A8" t="s">
        <v>708</v>
      </c>
      <c r="B8" s="84">
        <v>6</v>
      </c>
      <c r="C8" t="str">
        <f xml:space="preserve"> "v" &amp; Tableau2[[#This Row],[ID-Voie]]</f>
        <v>v6</v>
      </c>
      <c r="D8" t="s">
        <v>1414</v>
      </c>
      <c r="E8" s="23" t="str">
        <f>Tableau2[[#This Row],[Ref-Carte]]&amp;"/"&amp;Tableau2[[#This Row],[ID-Voie]]</f>
        <v>SDO0802/6</v>
      </c>
      <c r="F8">
        <v>6</v>
      </c>
    </row>
    <row r="9" spans="1:6">
      <c r="A9" t="s">
        <v>708</v>
      </c>
      <c r="B9" s="84">
        <v>7</v>
      </c>
      <c r="C9" t="str">
        <f xml:space="preserve"> "v" &amp; Tableau2[[#This Row],[ID-Voie]]</f>
        <v>v7</v>
      </c>
      <c r="D9" t="s">
        <v>1414</v>
      </c>
      <c r="E9" s="23" t="str">
        <f>Tableau2[[#This Row],[Ref-Carte]]&amp;"/"&amp;Tableau2[[#This Row],[ID-Voie]]</f>
        <v>SDO0802/7</v>
      </c>
      <c r="F9">
        <v>7</v>
      </c>
    </row>
    <row r="10" spans="1:6">
      <c r="A10" t="s">
        <v>710</v>
      </c>
      <c r="B10" s="84">
        <v>0</v>
      </c>
      <c r="C10" t="str">
        <f xml:space="preserve"> "v" &amp; Tableau2[[#This Row],[ID-Voie]]</f>
        <v>v0</v>
      </c>
      <c r="D10" t="s">
        <v>1415</v>
      </c>
      <c r="E10" s="23" t="str">
        <f>Tableau2[[#This Row],[Ref-Carte]]&amp;"/"&amp;Tableau2[[#This Row],[ID-Voie]]</f>
        <v>SDI1602/0</v>
      </c>
      <c r="F10" t="s">
        <v>714</v>
      </c>
    </row>
    <row r="11" spans="1:6">
      <c r="A11" t="s">
        <v>710</v>
      </c>
      <c r="B11" s="84">
        <v>1</v>
      </c>
      <c r="C11" t="str">
        <f xml:space="preserve"> "v" &amp; Tableau2[[#This Row],[ID-Voie]]</f>
        <v>v1</v>
      </c>
      <c r="D11" t="s">
        <v>1415</v>
      </c>
      <c r="E11" s="23" t="str">
        <f>Tableau2[[#This Row],[Ref-Carte]]&amp;"/"&amp;Tableau2[[#This Row],[ID-Voie]]</f>
        <v>SDI1602/1</v>
      </c>
      <c r="F11" t="s">
        <v>722</v>
      </c>
    </row>
    <row r="12" spans="1:6">
      <c r="A12" t="s">
        <v>710</v>
      </c>
      <c r="B12" s="84">
        <v>2</v>
      </c>
      <c r="C12" t="str">
        <f xml:space="preserve"> "v" &amp; Tableau2[[#This Row],[ID-Voie]]</f>
        <v>v2</v>
      </c>
      <c r="D12" t="s">
        <v>1415</v>
      </c>
      <c r="E12" s="23" t="str">
        <f>Tableau2[[#This Row],[Ref-Carte]]&amp;"/"&amp;Tableau2[[#This Row],[ID-Voie]]</f>
        <v>SDI1602/2</v>
      </c>
      <c r="F12" t="s">
        <v>715</v>
      </c>
    </row>
    <row r="13" spans="1:6">
      <c r="A13" t="s">
        <v>710</v>
      </c>
      <c r="B13" s="84">
        <v>3</v>
      </c>
      <c r="C13" t="str">
        <f xml:space="preserve"> "v" &amp; Tableau2[[#This Row],[ID-Voie]]</f>
        <v>v3</v>
      </c>
      <c r="D13" t="s">
        <v>1415</v>
      </c>
      <c r="E13" s="23" t="str">
        <f>Tableau2[[#This Row],[Ref-Carte]]&amp;"/"&amp;Tableau2[[#This Row],[ID-Voie]]</f>
        <v>SDI1602/3</v>
      </c>
      <c r="F13" t="s">
        <v>723</v>
      </c>
    </row>
    <row r="14" spans="1:6">
      <c r="A14" t="s">
        <v>710</v>
      </c>
      <c r="B14" s="84">
        <v>4</v>
      </c>
      <c r="C14" t="str">
        <f xml:space="preserve"> "v" &amp; Tableau2[[#This Row],[ID-Voie]]</f>
        <v>v4</v>
      </c>
      <c r="D14" t="s">
        <v>1415</v>
      </c>
      <c r="E14" s="23" t="str">
        <f>Tableau2[[#This Row],[Ref-Carte]]&amp;"/"&amp;Tableau2[[#This Row],[ID-Voie]]</f>
        <v>SDI1602/4</v>
      </c>
      <c r="F14" t="s">
        <v>716</v>
      </c>
    </row>
    <row r="15" spans="1:6">
      <c r="A15" t="s">
        <v>710</v>
      </c>
      <c r="B15" s="84">
        <v>5</v>
      </c>
      <c r="C15" t="str">
        <f xml:space="preserve"> "v" &amp; Tableau2[[#This Row],[ID-Voie]]</f>
        <v>v5</v>
      </c>
      <c r="D15" t="s">
        <v>1415</v>
      </c>
      <c r="E15" s="23" t="str">
        <f>Tableau2[[#This Row],[Ref-Carte]]&amp;"/"&amp;Tableau2[[#This Row],[ID-Voie]]</f>
        <v>SDI1602/5</v>
      </c>
      <c r="F15" t="s">
        <v>724</v>
      </c>
    </row>
    <row r="16" spans="1:6">
      <c r="A16" t="s">
        <v>710</v>
      </c>
      <c r="B16" s="84">
        <v>6</v>
      </c>
      <c r="C16" t="str">
        <f xml:space="preserve"> "v" &amp; Tableau2[[#This Row],[ID-Voie]]</f>
        <v>v6</v>
      </c>
      <c r="D16" t="s">
        <v>1415</v>
      </c>
      <c r="E16" s="23" t="str">
        <f>Tableau2[[#This Row],[Ref-Carte]]&amp;"/"&amp;Tableau2[[#This Row],[ID-Voie]]</f>
        <v>SDI1602/6</v>
      </c>
      <c r="F16" t="s">
        <v>717</v>
      </c>
    </row>
    <row r="17" spans="1:6">
      <c r="A17" t="s">
        <v>710</v>
      </c>
      <c r="B17" s="84">
        <v>7</v>
      </c>
      <c r="C17" t="str">
        <f xml:space="preserve"> "v" &amp; Tableau2[[#This Row],[ID-Voie]]</f>
        <v>v7</v>
      </c>
      <c r="D17" t="s">
        <v>1415</v>
      </c>
      <c r="E17" s="23" t="str">
        <f>Tableau2[[#This Row],[Ref-Carte]]&amp;"/"&amp;Tableau2[[#This Row],[ID-Voie]]</f>
        <v>SDI1602/7</v>
      </c>
      <c r="F17" t="s">
        <v>725</v>
      </c>
    </row>
    <row r="18" spans="1:6">
      <c r="A18" t="s">
        <v>710</v>
      </c>
      <c r="B18" s="84">
        <v>8</v>
      </c>
      <c r="C18" t="str">
        <f xml:space="preserve"> "v" &amp; Tableau2[[#This Row],[ID-Voie]]</f>
        <v>v8</v>
      </c>
      <c r="D18" t="s">
        <v>1415</v>
      </c>
      <c r="E18" s="23" t="str">
        <f>Tableau2[[#This Row],[Ref-Carte]]&amp;"/"&amp;Tableau2[[#This Row],[ID-Voie]]</f>
        <v>SDI1602/8</v>
      </c>
      <c r="F18" t="s">
        <v>718</v>
      </c>
    </row>
    <row r="19" spans="1:6">
      <c r="A19" t="s">
        <v>710</v>
      </c>
      <c r="B19" s="84">
        <v>9</v>
      </c>
      <c r="C19" t="str">
        <f xml:space="preserve"> "v" &amp; Tableau2[[#This Row],[ID-Voie]]</f>
        <v>v9</v>
      </c>
      <c r="D19" t="s">
        <v>1415</v>
      </c>
      <c r="E19" s="23" t="str">
        <f>Tableau2[[#This Row],[Ref-Carte]]&amp;"/"&amp;Tableau2[[#This Row],[ID-Voie]]</f>
        <v>SDI1602/9</v>
      </c>
      <c r="F19" t="s">
        <v>726</v>
      </c>
    </row>
    <row r="20" spans="1:6">
      <c r="A20" t="s">
        <v>710</v>
      </c>
      <c r="B20" s="84">
        <v>10</v>
      </c>
      <c r="C20" t="str">
        <f xml:space="preserve"> "v" &amp; Tableau2[[#This Row],[ID-Voie]]</f>
        <v>v10</v>
      </c>
      <c r="D20" t="s">
        <v>1415</v>
      </c>
      <c r="E20" s="23" t="str">
        <f>Tableau2[[#This Row],[Ref-Carte]]&amp;"/"&amp;Tableau2[[#This Row],[ID-Voie]]</f>
        <v>SDI1602/10</v>
      </c>
      <c r="F20" t="s">
        <v>719</v>
      </c>
    </row>
    <row r="21" spans="1:6">
      <c r="A21" t="s">
        <v>710</v>
      </c>
      <c r="B21" s="84">
        <v>11</v>
      </c>
      <c r="C21" t="str">
        <f xml:space="preserve"> "v" &amp; Tableau2[[#This Row],[ID-Voie]]</f>
        <v>v11</v>
      </c>
      <c r="D21" t="s">
        <v>1415</v>
      </c>
      <c r="E21" s="23" t="str">
        <f>Tableau2[[#This Row],[Ref-Carte]]&amp;"/"&amp;Tableau2[[#This Row],[ID-Voie]]</f>
        <v>SDI1602/11</v>
      </c>
      <c r="F21" t="s">
        <v>727</v>
      </c>
    </row>
    <row r="22" spans="1:6">
      <c r="A22" t="s">
        <v>710</v>
      </c>
      <c r="B22" s="84">
        <v>12</v>
      </c>
      <c r="C22" t="str">
        <f xml:space="preserve"> "v" &amp; Tableau2[[#This Row],[ID-Voie]]</f>
        <v>v12</v>
      </c>
      <c r="D22" t="s">
        <v>1415</v>
      </c>
      <c r="E22" s="23" t="str">
        <f>Tableau2[[#This Row],[Ref-Carte]]&amp;"/"&amp;Tableau2[[#This Row],[ID-Voie]]</f>
        <v>SDI1602/12</v>
      </c>
      <c r="F22" t="s">
        <v>720</v>
      </c>
    </row>
    <row r="23" spans="1:6">
      <c r="A23" t="s">
        <v>710</v>
      </c>
      <c r="B23" s="84">
        <v>13</v>
      </c>
      <c r="C23" t="str">
        <f xml:space="preserve"> "v" &amp; Tableau2[[#This Row],[ID-Voie]]</f>
        <v>v13</v>
      </c>
      <c r="D23" t="s">
        <v>1415</v>
      </c>
      <c r="E23" s="23" t="str">
        <f>Tableau2[[#This Row],[Ref-Carte]]&amp;"/"&amp;Tableau2[[#This Row],[ID-Voie]]</f>
        <v>SDI1602/13</v>
      </c>
      <c r="F23" t="s">
        <v>728</v>
      </c>
    </row>
    <row r="24" spans="1:6">
      <c r="A24" t="s">
        <v>710</v>
      </c>
      <c r="B24" s="84">
        <v>14</v>
      </c>
      <c r="C24" t="str">
        <f xml:space="preserve"> "v" &amp; Tableau2[[#This Row],[ID-Voie]]</f>
        <v>v14</v>
      </c>
      <c r="D24" t="s">
        <v>1415</v>
      </c>
      <c r="E24" s="23" t="str">
        <f>Tableau2[[#This Row],[Ref-Carte]]&amp;"/"&amp;Tableau2[[#This Row],[ID-Voie]]</f>
        <v>SDI1602/14</v>
      </c>
      <c r="F24" t="s">
        <v>721</v>
      </c>
    </row>
    <row r="25" spans="1:6">
      <c r="A25" t="s">
        <v>710</v>
      </c>
      <c r="B25" s="84">
        <v>15</v>
      </c>
      <c r="C25" t="str">
        <f xml:space="preserve"> "v" &amp; Tableau2[[#This Row],[ID-Voie]]</f>
        <v>v15</v>
      </c>
      <c r="D25" t="s">
        <v>1415</v>
      </c>
      <c r="E25" s="23" t="str">
        <f>Tableau2[[#This Row],[Ref-Carte]]&amp;"/"&amp;Tableau2[[#This Row],[ID-Voie]]</f>
        <v>SDI1602/15</v>
      </c>
      <c r="F25" t="s">
        <v>729</v>
      </c>
    </row>
    <row r="26" spans="1:6">
      <c r="A26" t="s">
        <v>711</v>
      </c>
      <c r="B26" s="84">
        <v>0</v>
      </c>
      <c r="C26" t="str">
        <f xml:space="preserve"> "v" &amp; Tableau2[[#This Row],[ID-Voie]]</f>
        <v>v0</v>
      </c>
      <c r="D26" t="s">
        <v>1414</v>
      </c>
      <c r="E26" s="23" t="str">
        <f>Tableau2[[#This Row],[Ref-Carte]]&amp;"/"&amp;Tableau2[[#This Row],[ID-Voie]]</f>
        <v>DRA0815/0</v>
      </c>
      <c r="F26">
        <v>0</v>
      </c>
    </row>
    <row r="27" spans="1:6">
      <c r="A27" t="s">
        <v>711</v>
      </c>
      <c r="B27" s="84">
        <v>1</v>
      </c>
      <c r="C27" t="str">
        <f xml:space="preserve"> "v" &amp; Tableau2[[#This Row],[ID-Voie]]</f>
        <v>v1</v>
      </c>
      <c r="D27" t="s">
        <v>1414</v>
      </c>
      <c r="E27" s="23" t="str">
        <f>Tableau2[[#This Row],[Ref-Carte]]&amp;"/"&amp;Tableau2[[#This Row],[ID-Voie]]</f>
        <v>DRA0815/1</v>
      </c>
      <c r="F27">
        <v>1</v>
      </c>
    </row>
    <row r="28" spans="1:6">
      <c r="A28" t="s">
        <v>711</v>
      </c>
      <c r="B28" s="84">
        <v>2</v>
      </c>
      <c r="C28" t="str">
        <f xml:space="preserve"> "v" &amp; Tableau2[[#This Row],[ID-Voie]]</f>
        <v>v2</v>
      </c>
      <c r="D28" t="s">
        <v>1414</v>
      </c>
      <c r="E28" s="23" t="str">
        <f>Tableau2[[#This Row],[Ref-Carte]]&amp;"/"&amp;Tableau2[[#This Row],[ID-Voie]]</f>
        <v>DRA0815/2</v>
      </c>
      <c r="F28">
        <v>2</v>
      </c>
    </row>
    <row r="29" spans="1:6">
      <c r="A29" t="s">
        <v>711</v>
      </c>
      <c r="B29" s="84">
        <v>3</v>
      </c>
      <c r="C29" t="str">
        <f xml:space="preserve"> "v" &amp; Tableau2[[#This Row],[ID-Voie]]</f>
        <v>v3</v>
      </c>
      <c r="D29" t="s">
        <v>1414</v>
      </c>
      <c r="E29" s="23" t="str">
        <f>Tableau2[[#This Row],[Ref-Carte]]&amp;"/"&amp;Tableau2[[#This Row],[ID-Voie]]</f>
        <v>DRA0815/3</v>
      </c>
      <c r="F29">
        <v>3</v>
      </c>
    </row>
    <row r="30" spans="1:6">
      <c r="A30" t="s">
        <v>711</v>
      </c>
      <c r="B30" s="84">
        <v>4</v>
      </c>
      <c r="C30" t="str">
        <f xml:space="preserve"> "v" &amp; Tableau2[[#This Row],[ID-Voie]]</f>
        <v>v4</v>
      </c>
      <c r="D30" t="s">
        <v>1414</v>
      </c>
      <c r="E30" s="23" t="str">
        <f>Tableau2[[#This Row],[Ref-Carte]]&amp;"/"&amp;Tableau2[[#This Row],[ID-Voie]]</f>
        <v>DRA0815/4</v>
      </c>
      <c r="F30">
        <v>4</v>
      </c>
    </row>
    <row r="31" spans="1:6">
      <c r="A31" t="s">
        <v>711</v>
      </c>
      <c r="B31" s="84">
        <v>5</v>
      </c>
      <c r="C31" t="str">
        <f xml:space="preserve"> "v" &amp; Tableau2[[#This Row],[ID-Voie]]</f>
        <v>v5</v>
      </c>
      <c r="D31" t="s">
        <v>1414</v>
      </c>
      <c r="E31" s="23" t="str">
        <f>Tableau2[[#This Row],[Ref-Carte]]&amp;"/"&amp;Tableau2[[#This Row],[ID-Voie]]</f>
        <v>DRA0815/5</v>
      </c>
      <c r="F31">
        <v>5</v>
      </c>
    </row>
    <row r="32" spans="1:6">
      <c r="A32" t="s">
        <v>711</v>
      </c>
      <c r="B32" s="84">
        <v>6</v>
      </c>
      <c r="C32" t="str">
        <f xml:space="preserve"> "v" &amp; Tableau2[[#This Row],[ID-Voie]]</f>
        <v>v6</v>
      </c>
      <c r="D32" t="s">
        <v>1414</v>
      </c>
      <c r="E32" s="23" t="str">
        <f>Tableau2[[#This Row],[Ref-Carte]]&amp;"/"&amp;Tableau2[[#This Row],[ID-Voie]]</f>
        <v>DRA0815/6</v>
      </c>
      <c r="F32">
        <v>6</v>
      </c>
    </row>
    <row r="33" spans="1:6">
      <c r="A33" t="s">
        <v>711</v>
      </c>
      <c r="B33" s="84">
        <v>7</v>
      </c>
      <c r="C33" t="str">
        <f xml:space="preserve"> "v" &amp; Tableau2[[#This Row],[ID-Voie]]</f>
        <v>v7</v>
      </c>
      <c r="D33" t="s">
        <v>1414</v>
      </c>
      <c r="E33" s="23" t="str">
        <f>Tableau2[[#This Row],[Ref-Carte]]&amp;"/"&amp;Tableau2[[#This Row],[ID-Voie]]</f>
        <v>DRA0815/7</v>
      </c>
      <c r="F33">
        <v>7</v>
      </c>
    </row>
  </sheetData>
  <phoneticPr fontId="8"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sheetPr codeName="Signaux">
    <tabColor theme="4" tint="0.59999389629810485"/>
  </sheetPr>
  <dimension ref="A1:N326"/>
  <sheetViews>
    <sheetView workbookViewId="0">
      <selection activeCell="C2" sqref="C2"/>
    </sheetView>
  </sheetViews>
  <sheetFormatPr baseColWidth="10" defaultColWidth="10.875" defaultRowHeight="18" customHeight="1"/>
  <cols>
    <col min="1" max="1" width="5.5" style="20" customWidth="1"/>
    <col min="2" max="2" width="18.375" style="20" customWidth="1"/>
    <col min="3" max="3" width="30.25" style="20" customWidth="1"/>
    <col min="4" max="4" width="16.75" style="20" customWidth="1"/>
    <col min="5" max="5" width="10" style="20" customWidth="1"/>
    <col min="6" max="6" width="8" style="20" customWidth="1"/>
    <col min="7" max="7" width="3.375" style="20" customWidth="1"/>
    <col min="8" max="9" width="5.75" style="53" bestFit="1" customWidth="1"/>
    <col min="10" max="10" width="1" style="53" customWidth="1"/>
    <col min="11" max="12" width="6.25" style="53" customWidth="1"/>
    <col min="13" max="13" width="30.875" style="20" customWidth="1"/>
    <col min="14" max="14" width="13.25" style="20" customWidth="1"/>
    <col min="15" max="16384" width="10.875" style="20"/>
  </cols>
  <sheetData>
    <row r="1" spans="1:14" ht="140.25" customHeight="1">
      <c r="A1" s="95" t="s">
        <v>735</v>
      </c>
      <c r="B1" s="45" t="s">
        <v>1427</v>
      </c>
      <c r="C1" s="89" t="s">
        <v>756</v>
      </c>
      <c r="D1" s="89" t="s">
        <v>1573</v>
      </c>
      <c r="E1" s="89" t="s">
        <v>1574</v>
      </c>
      <c r="F1" s="89" t="s">
        <v>1579</v>
      </c>
      <c r="G1" s="89" t="s">
        <v>1593</v>
      </c>
      <c r="H1" s="106" t="s">
        <v>1501</v>
      </c>
      <c r="I1" s="106" t="s">
        <v>1502</v>
      </c>
      <c r="J1" s="94" t="s">
        <v>1594</v>
      </c>
      <c r="K1" s="82" t="s">
        <v>1416</v>
      </c>
      <c r="L1" s="222" t="s">
        <v>732</v>
      </c>
      <c r="M1" s="46" t="s">
        <v>1430</v>
      </c>
      <c r="N1" t="s">
        <v>757</v>
      </c>
    </row>
    <row r="2" spans="1:14" ht="18" customHeight="1">
      <c r="A2" s="96">
        <v>1</v>
      </c>
      <c r="B2" s="44" t="s">
        <v>758</v>
      </c>
      <c r="C2" s="20" t="s">
        <v>274</v>
      </c>
      <c r="D2" s="20" t="s">
        <v>274</v>
      </c>
      <c r="G2" s="85"/>
      <c r="H2" s="53" t="s">
        <v>213</v>
      </c>
      <c r="J2" s="40"/>
      <c r="K2" s="55" t="str">
        <f>INDEX(Tableau6[TS],MATCH(Tableau5[[#This Row],[Type Signal]],Tableau6[TypeSignal],0))&amp;""</f>
        <v>ET</v>
      </c>
      <c r="L2" s="227"/>
      <c r="M2" s="21"/>
      <c r="N2" s="20" t="s">
        <v>759</v>
      </c>
    </row>
    <row r="3" spans="1:14" ht="18" customHeight="1">
      <c r="A3" s="96">
        <v>2</v>
      </c>
      <c r="B3" s="44" t="s">
        <v>760</v>
      </c>
      <c r="C3" s="20" t="s">
        <v>761</v>
      </c>
      <c r="D3" s="20" t="s">
        <v>214</v>
      </c>
      <c r="H3" s="53" t="s">
        <v>213</v>
      </c>
      <c r="J3" s="41"/>
      <c r="K3" s="55" t="str">
        <f>INDEX(Tableau6[TS],MATCH(Tableau5[[#This Row],[Type Signal]],Tableau6[TypeSignal],0))&amp;""</f>
        <v>ST</v>
      </c>
      <c r="L3" s="55"/>
      <c r="M3" s="21"/>
      <c r="N3" s="20" t="s">
        <v>762</v>
      </c>
    </row>
    <row r="4" spans="1:14" ht="18" customHeight="1">
      <c r="A4" s="96">
        <v>3</v>
      </c>
      <c r="B4" s="44" t="s">
        <v>763</v>
      </c>
      <c r="C4" s="20" t="s">
        <v>764</v>
      </c>
      <c r="D4" s="20" t="s">
        <v>33</v>
      </c>
      <c r="H4" s="53" t="s">
        <v>213</v>
      </c>
      <c r="J4" s="40"/>
      <c r="K4" s="55" t="str">
        <f>INDEX(Tableau6[TS],MATCH(Tableau5[[#This Row],[Type Signal]],Tableau6[TypeSignal],0))&amp;""</f>
        <v>ET</v>
      </c>
      <c r="L4" s="55"/>
      <c r="M4" s="21"/>
      <c r="N4" s="20" t="s">
        <v>759</v>
      </c>
    </row>
    <row r="5" spans="1:14" ht="18" customHeight="1">
      <c r="A5" s="96">
        <v>4</v>
      </c>
      <c r="B5" s="44" t="s">
        <v>765</v>
      </c>
      <c r="C5" s="20" t="s">
        <v>766</v>
      </c>
      <c r="D5" s="20" t="s">
        <v>33</v>
      </c>
      <c r="I5" s="53" t="s">
        <v>213</v>
      </c>
      <c r="J5" s="40"/>
      <c r="K5" s="55" t="str">
        <f>INDEX(Tableau6[TS],MATCH(Tableau5[[#This Row],[Type Signal]],Tableau6[TypeSignal],0))&amp;""</f>
        <v>ET</v>
      </c>
      <c r="L5" s="55"/>
      <c r="M5" s="21"/>
      <c r="N5" s="20" t="s">
        <v>759</v>
      </c>
    </row>
    <row r="6" spans="1:14" ht="18" customHeight="1">
      <c r="A6" s="96">
        <v>5</v>
      </c>
      <c r="B6" s="44" t="s">
        <v>765</v>
      </c>
      <c r="C6" s="20" t="s">
        <v>767</v>
      </c>
      <c r="D6" s="20" t="s">
        <v>34</v>
      </c>
      <c r="H6" s="53" t="s">
        <v>213</v>
      </c>
      <c r="J6" s="40"/>
      <c r="K6" s="55" t="str">
        <f>INDEX(Tableau6[TS],MATCH(Tableau5[[#This Row],[Type Signal]],Tableau6[TypeSignal],0))&amp;""</f>
        <v>ET</v>
      </c>
      <c r="L6" s="55"/>
      <c r="M6" s="21"/>
      <c r="N6" s="20" t="s">
        <v>759</v>
      </c>
    </row>
    <row r="7" spans="1:14" ht="18" customHeight="1">
      <c r="A7" s="96">
        <v>6</v>
      </c>
      <c r="B7" s="44" t="s">
        <v>487</v>
      </c>
      <c r="C7" s="20" t="s">
        <v>768</v>
      </c>
      <c r="D7" s="20" t="s">
        <v>263</v>
      </c>
      <c r="H7" s="53" t="s">
        <v>213</v>
      </c>
      <c r="J7" s="40"/>
      <c r="K7" s="55" t="str">
        <f>INDEX(Tableau6[TS],MATCH(Tableau5[[#This Row],[Type Signal]],Tableau6[TypeSignal],0))&amp;""</f>
        <v>ET</v>
      </c>
      <c r="L7" s="55"/>
      <c r="M7" s="21"/>
      <c r="N7" s="20" t="s">
        <v>759</v>
      </c>
    </row>
    <row r="8" spans="1:14" ht="18" customHeight="1">
      <c r="A8" s="96">
        <v>7</v>
      </c>
      <c r="B8" s="44" t="s">
        <v>488</v>
      </c>
      <c r="C8" s="20" t="s">
        <v>488</v>
      </c>
      <c r="D8" s="20" t="s">
        <v>488</v>
      </c>
      <c r="H8" s="53" t="s">
        <v>213</v>
      </c>
      <c r="J8" s="40"/>
      <c r="K8" s="55" t="str">
        <f>INDEX(Tableau6[TS],MATCH(Tableau5[[#This Row],[Type Signal]],Tableau6[TypeSignal],0))&amp;""</f>
        <v>ET</v>
      </c>
      <c r="L8" s="55"/>
      <c r="M8" s="21"/>
      <c r="N8" s="20" t="s">
        <v>759</v>
      </c>
    </row>
    <row r="9" spans="1:14" ht="18" customHeight="1">
      <c r="A9" s="96">
        <v>8</v>
      </c>
      <c r="B9" s="44" t="s">
        <v>769</v>
      </c>
      <c r="C9" s="20" t="s">
        <v>644</v>
      </c>
      <c r="D9" s="20" t="s">
        <v>644</v>
      </c>
      <c r="I9" s="53" t="s">
        <v>213</v>
      </c>
      <c r="J9" s="40"/>
      <c r="K9" s="55" t="str">
        <f>INDEX(Tableau6[TS],MATCH(Tableau5[[#This Row],[Type Signal]],Tableau6[TypeSignal],0))&amp;""</f>
        <v>ET</v>
      </c>
      <c r="L9" s="55"/>
      <c r="M9" s="21"/>
      <c r="N9" s="20" t="s">
        <v>759</v>
      </c>
    </row>
    <row r="10" spans="1:14" ht="18" customHeight="1">
      <c r="A10" s="96">
        <v>9</v>
      </c>
      <c r="B10" s="44" t="s">
        <v>769</v>
      </c>
      <c r="C10" s="20" t="s">
        <v>642</v>
      </c>
      <c r="D10" s="20" t="s">
        <v>642</v>
      </c>
      <c r="H10" s="53" t="s">
        <v>213</v>
      </c>
      <c r="J10" s="40"/>
      <c r="K10" s="55" t="str">
        <f>INDEX(Tableau6[TS],MATCH(Tableau5[[#This Row],[Type Signal]],Tableau6[TypeSignal],0))&amp;""</f>
        <v>ET</v>
      </c>
      <c r="L10" s="55"/>
      <c r="M10" s="21"/>
      <c r="N10" s="20" t="s">
        <v>759</v>
      </c>
    </row>
    <row r="11" spans="1:14" ht="18" customHeight="1">
      <c r="A11" s="96">
        <v>10</v>
      </c>
      <c r="B11" s="44" t="s">
        <v>770</v>
      </c>
      <c r="C11" s="20" t="s">
        <v>771</v>
      </c>
      <c r="D11" s="20" t="s">
        <v>284</v>
      </c>
      <c r="H11" s="53" t="s">
        <v>213</v>
      </c>
      <c r="J11" s="40"/>
      <c r="K11" s="55" t="str">
        <f>INDEX(Tableau6[TS],MATCH(Tableau5[[#This Row],[Type Signal]],Tableau6[TypeSignal],0))&amp;""</f>
        <v>ET</v>
      </c>
      <c r="L11" s="55"/>
      <c r="M11" s="21"/>
      <c r="N11" s="20" t="s">
        <v>759</v>
      </c>
    </row>
    <row r="12" spans="1:14" ht="18" customHeight="1">
      <c r="A12" s="96">
        <v>11</v>
      </c>
      <c r="B12" s="44" t="s">
        <v>770</v>
      </c>
      <c r="C12" s="20" t="s">
        <v>772</v>
      </c>
      <c r="D12" s="20" t="s">
        <v>260</v>
      </c>
      <c r="H12" s="53" t="s">
        <v>213</v>
      </c>
      <c r="J12" s="40"/>
      <c r="K12" s="55" t="str">
        <f>INDEX(Tableau6[TS],MATCH(Tableau5[[#This Row],[Type Signal]],Tableau6[TypeSignal],0))&amp;""</f>
        <v>ET</v>
      </c>
      <c r="L12" s="55"/>
      <c r="M12" s="21"/>
      <c r="N12" s="20" t="s">
        <v>759</v>
      </c>
    </row>
    <row r="13" spans="1:14" ht="18" customHeight="1">
      <c r="A13" s="96">
        <v>12</v>
      </c>
      <c r="B13" s="44" t="s">
        <v>770</v>
      </c>
      <c r="C13" s="20" t="s">
        <v>773</v>
      </c>
      <c r="D13" s="20" t="s">
        <v>215</v>
      </c>
      <c r="H13" s="53" t="s">
        <v>213</v>
      </c>
      <c r="J13" s="40"/>
      <c r="K13" s="55" t="str">
        <f>INDEX(Tableau6[TS],MATCH(Tableau5[[#This Row],[Type Signal]],Tableau6[TypeSignal],0))&amp;""</f>
        <v>ET</v>
      </c>
      <c r="L13" s="55"/>
      <c r="M13" s="21"/>
      <c r="N13" s="20" t="s">
        <v>759</v>
      </c>
    </row>
    <row r="14" spans="1:14" ht="18" customHeight="1">
      <c r="A14" s="96">
        <v>13</v>
      </c>
      <c r="B14" s="44" t="s">
        <v>774</v>
      </c>
      <c r="C14" s="20" t="s">
        <v>775</v>
      </c>
      <c r="D14" s="20" t="s">
        <v>55</v>
      </c>
      <c r="H14" s="53" t="s">
        <v>213</v>
      </c>
      <c r="J14" s="41"/>
      <c r="K14" s="55" t="str">
        <f>INDEX(Tableau6[TS],MATCH(Tableau5[[#This Row],[Type Signal]],Tableau6[TypeSignal],0))&amp;""</f>
        <v>ST</v>
      </c>
      <c r="L14" s="55"/>
      <c r="M14" s="21"/>
      <c r="N14" s="20" t="s">
        <v>762</v>
      </c>
    </row>
    <row r="15" spans="1:14" ht="18" customHeight="1">
      <c r="A15" s="96">
        <v>14</v>
      </c>
      <c r="B15" s="44" t="s">
        <v>774</v>
      </c>
      <c r="C15" s="20" t="s">
        <v>776</v>
      </c>
      <c r="D15" s="20" t="s">
        <v>56</v>
      </c>
      <c r="H15" s="53" t="s">
        <v>213</v>
      </c>
      <c r="J15" s="41"/>
      <c r="K15" s="55" t="str">
        <f>INDEX(Tableau6[TS],MATCH(Tableau5[[#This Row],[Type Signal]],Tableau6[TypeSignal],0))&amp;""</f>
        <v>ST</v>
      </c>
      <c r="L15" s="55"/>
      <c r="M15" s="21"/>
      <c r="N15" s="20" t="s">
        <v>762</v>
      </c>
    </row>
    <row r="16" spans="1:14" ht="18" customHeight="1">
      <c r="A16" s="96">
        <v>15</v>
      </c>
      <c r="B16" s="44" t="s">
        <v>774</v>
      </c>
      <c r="C16" s="20" t="s">
        <v>777</v>
      </c>
      <c r="D16" s="20" t="s">
        <v>57</v>
      </c>
      <c r="H16" s="53" t="s">
        <v>213</v>
      </c>
      <c r="J16" s="40"/>
      <c r="K16" s="55" t="str">
        <f>INDEX(Tableau6[TS],MATCH(Tableau5[[#This Row],[Type Signal]],Tableau6[TypeSignal],0))&amp;""</f>
        <v>ET</v>
      </c>
      <c r="L16" s="55"/>
      <c r="M16" s="21"/>
      <c r="N16" s="20" t="s">
        <v>759</v>
      </c>
    </row>
    <row r="17" spans="1:14" ht="18" customHeight="1">
      <c r="A17" s="96">
        <v>16</v>
      </c>
      <c r="B17" s="44" t="s">
        <v>778</v>
      </c>
      <c r="C17" s="20" t="s">
        <v>779</v>
      </c>
      <c r="D17" s="20" t="s">
        <v>476</v>
      </c>
      <c r="I17" s="53" t="s">
        <v>213</v>
      </c>
      <c r="J17" s="41"/>
      <c r="K17" s="55" t="str">
        <f>INDEX(Tableau6[TS],MATCH(Tableau5[[#This Row],[Type Signal]],Tableau6[TypeSignal],0))&amp;""</f>
        <v>ST</v>
      </c>
      <c r="L17" s="55"/>
      <c r="M17" s="21"/>
      <c r="N17" s="20" t="s">
        <v>762</v>
      </c>
    </row>
    <row r="18" spans="1:14" ht="18" customHeight="1">
      <c r="A18" s="96">
        <v>17</v>
      </c>
      <c r="B18" s="44" t="s">
        <v>778</v>
      </c>
      <c r="C18" s="20" t="s">
        <v>780</v>
      </c>
      <c r="D18" s="20" t="s">
        <v>507</v>
      </c>
      <c r="H18" s="53" t="s">
        <v>213</v>
      </c>
      <c r="J18" s="40"/>
      <c r="K18" s="55" t="str">
        <f>INDEX(Tableau6[TS],MATCH(Tableau5[[#This Row],[Type Signal]],Tableau6[TypeSignal],0))&amp;""</f>
        <v>ET</v>
      </c>
      <c r="L18" s="55"/>
      <c r="M18" s="21"/>
      <c r="N18" s="20" t="s">
        <v>759</v>
      </c>
    </row>
    <row r="19" spans="1:14" ht="18" customHeight="1">
      <c r="A19" s="96">
        <v>18</v>
      </c>
      <c r="B19" s="44" t="s">
        <v>778</v>
      </c>
      <c r="C19" s="20" t="s">
        <v>781</v>
      </c>
      <c r="D19" s="20" t="s">
        <v>264</v>
      </c>
      <c r="H19" s="53" t="s">
        <v>213</v>
      </c>
      <c r="J19" s="41"/>
      <c r="K19" s="55" t="str">
        <f>INDEX(Tableau6[TS],MATCH(Tableau5[[#This Row],[Type Signal]],Tableau6[TypeSignal],0))&amp;""</f>
        <v>ST</v>
      </c>
      <c r="L19" s="55"/>
      <c r="M19" s="21"/>
      <c r="N19" s="20" t="s">
        <v>762</v>
      </c>
    </row>
    <row r="20" spans="1:14" ht="18" customHeight="1">
      <c r="A20" s="96">
        <v>19</v>
      </c>
      <c r="B20" s="44" t="s">
        <v>778</v>
      </c>
      <c r="C20" s="20" t="s">
        <v>782</v>
      </c>
      <c r="D20" s="20" t="s">
        <v>475</v>
      </c>
      <c r="H20" s="53" t="s">
        <v>213</v>
      </c>
      <c r="J20" s="41"/>
      <c r="K20" s="55" t="str">
        <f>INDEX(Tableau6[TS],MATCH(Tableau5[[#This Row],[Type Signal]],Tableau6[TypeSignal],0))&amp;""</f>
        <v>ST</v>
      </c>
      <c r="L20" s="55"/>
      <c r="M20" s="21"/>
      <c r="N20" s="20" t="s">
        <v>762</v>
      </c>
    </row>
    <row r="21" spans="1:14" ht="18" customHeight="1">
      <c r="A21" s="96">
        <v>20</v>
      </c>
      <c r="B21" s="44" t="s">
        <v>778</v>
      </c>
      <c r="C21" s="20" t="s">
        <v>783</v>
      </c>
      <c r="D21" s="20" t="s">
        <v>293</v>
      </c>
      <c r="H21" s="53" t="s">
        <v>213</v>
      </c>
      <c r="J21" s="41"/>
      <c r="K21" s="55" t="str">
        <f>INDEX(Tableau6[TS],MATCH(Tableau5[[#This Row],[Type Signal]],Tableau6[TypeSignal],0))&amp;""</f>
        <v>ST</v>
      </c>
      <c r="L21" s="55"/>
      <c r="M21" s="21"/>
      <c r="N21" s="20" t="s">
        <v>762</v>
      </c>
    </row>
    <row r="22" spans="1:14" ht="18" customHeight="1">
      <c r="A22" s="96">
        <v>21</v>
      </c>
      <c r="B22" s="44" t="s">
        <v>778</v>
      </c>
      <c r="C22" s="20" t="s">
        <v>784</v>
      </c>
      <c r="D22" s="20" t="s">
        <v>294</v>
      </c>
      <c r="H22" s="53" t="s">
        <v>213</v>
      </c>
      <c r="J22" s="41"/>
      <c r="K22" s="55" t="str">
        <f>INDEX(Tableau6[TS],MATCH(Tableau5[[#This Row],[Type Signal]],Tableau6[TypeSignal],0))&amp;""</f>
        <v>ST</v>
      </c>
      <c r="L22" s="55"/>
      <c r="M22" s="21"/>
      <c r="N22" s="20" t="s">
        <v>762</v>
      </c>
    </row>
    <row r="23" spans="1:14" ht="18" customHeight="1">
      <c r="A23" s="96">
        <v>22</v>
      </c>
      <c r="B23" s="44" t="s">
        <v>778</v>
      </c>
      <c r="C23" s="20" t="s">
        <v>785</v>
      </c>
      <c r="D23" s="20" t="s">
        <v>265</v>
      </c>
      <c r="H23" s="53" t="s">
        <v>213</v>
      </c>
      <c r="J23" s="40"/>
      <c r="K23" s="55" t="str">
        <f>INDEX(Tableau6[TS],MATCH(Tableau5[[#This Row],[Type Signal]],Tableau6[TypeSignal],0))&amp;""</f>
        <v>ET</v>
      </c>
      <c r="L23" s="55"/>
      <c r="M23" s="21"/>
      <c r="N23" s="20" t="s">
        <v>759</v>
      </c>
    </row>
    <row r="24" spans="1:14" ht="18" customHeight="1">
      <c r="A24" s="96">
        <v>23</v>
      </c>
      <c r="B24" s="44" t="s">
        <v>778</v>
      </c>
      <c r="C24" s="20" t="s">
        <v>786</v>
      </c>
      <c r="D24" s="20" t="s">
        <v>266</v>
      </c>
      <c r="H24" s="53" t="s">
        <v>213</v>
      </c>
      <c r="J24" s="40"/>
      <c r="K24" s="55" t="str">
        <f>INDEX(Tableau6[TS],MATCH(Tableau5[[#This Row],[Type Signal]],Tableau6[TypeSignal],0))&amp;""</f>
        <v>ET</v>
      </c>
      <c r="L24" s="55"/>
      <c r="M24" s="21"/>
      <c r="N24" s="20" t="s">
        <v>759</v>
      </c>
    </row>
    <row r="25" spans="1:14" ht="18" customHeight="1">
      <c r="A25" s="96">
        <v>24</v>
      </c>
      <c r="B25" s="44" t="s">
        <v>778</v>
      </c>
      <c r="C25" s="20" t="s">
        <v>787</v>
      </c>
      <c r="D25" s="20" t="s">
        <v>267</v>
      </c>
      <c r="H25" s="53" t="s">
        <v>213</v>
      </c>
      <c r="J25" s="40"/>
      <c r="K25" s="55" t="str">
        <f>INDEX(Tableau6[TS],MATCH(Tableau5[[#This Row],[Type Signal]],Tableau6[TypeSignal],0))&amp;""</f>
        <v>ET</v>
      </c>
      <c r="L25" s="55"/>
      <c r="M25" s="21"/>
      <c r="N25" s="20" t="s">
        <v>759</v>
      </c>
    </row>
    <row r="26" spans="1:14" ht="18" customHeight="1">
      <c r="A26" s="96">
        <v>25</v>
      </c>
      <c r="B26" s="44" t="s">
        <v>778</v>
      </c>
      <c r="C26" s="20" t="s">
        <v>487</v>
      </c>
      <c r="D26" s="20" t="s">
        <v>487</v>
      </c>
      <c r="H26" s="53" t="s">
        <v>213</v>
      </c>
      <c r="J26" s="40"/>
      <c r="K26" s="55" t="str">
        <f>INDEX(Tableau6[TS],MATCH(Tableau5[[#This Row],[Type Signal]],Tableau6[TypeSignal],0))&amp;""</f>
        <v>ET</v>
      </c>
      <c r="L26" s="55"/>
      <c r="M26" s="21"/>
      <c r="N26" s="20" t="s">
        <v>759</v>
      </c>
    </row>
    <row r="27" spans="1:14" ht="18" customHeight="1">
      <c r="A27" s="96">
        <v>26</v>
      </c>
      <c r="B27" s="44" t="s">
        <v>778</v>
      </c>
      <c r="C27" s="20" t="s">
        <v>788</v>
      </c>
      <c r="D27" s="20" t="s">
        <v>258</v>
      </c>
      <c r="H27" s="53" t="s">
        <v>213</v>
      </c>
      <c r="J27" s="40"/>
      <c r="K27" s="55" t="str">
        <f>INDEX(Tableau6[TS],MATCH(Tableau5[[#This Row],[Type Signal]],Tableau6[TypeSignal],0))&amp;""</f>
        <v>ET</v>
      </c>
      <c r="L27" s="55"/>
      <c r="M27" s="21"/>
      <c r="N27" s="20" t="s">
        <v>759</v>
      </c>
    </row>
    <row r="28" spans="1:14" ht="18" customHeight="1">
      <c r="A28" s="96">
        <v>27</v>
      </c>
      <c r="B28" s="44" t="s">
        <v>789</v>
      </c>
      <c r="C28" s="20" t="s">
        <v>790</v>
      </c>
      <c r="D28" s="20" t="s">
        <v>486</v>
      </c>
      <c r="I28" s="53" t="s">
        <v>213</v>
      </c>
      <c r="J28" s="40"/>
      <c r="K28" s="55" t="str">
        <f>INDEX(Tableau6[TS],MATCH(Tableau5[[#This Row],[Type Signal]],Tableau6[TypeSignal],0))&amp;""</f>
        <v>ET</v>
      </c>
      <c r="L28" s="55"/>
      <c r="M28" s="21"/>
      <c r="N28" s="20" t="s">
        <v>759</v>
      </c>
    </row>
    <row r="29" spans="1:14" ht="18" customHeight="1">
      <c r="A29" s="96">
        <v>28</v>
      </c>
      <c r="B29" s="44" t="s">
        <v>791</v>
      </c>
      <c r="C29" s="20" t="s">
        <v>792</v>
      </c>
      <c r="D29" s="20" t="s">
        <v>493</v>
      </c>
      <c r="I29" s="53" t="s">
        <v>213</v>
      </c>
      <c r="J29" s="41"/>
      <c r="K29" s="55" t="str">
        <f>INDEX(Tableau6[TS],MATCH(Tableau5[[#This Row],[Type Signal]],Tableau6[TypeSignal],0))&amp;""</f>
        <v>ST</v>
      </c>
      <c r="L29" s="55"/>
      <c r="M29" s="21"/>
      <c r="N29" s="20" t="s">
        <v>762</v>
      </c>
    </row>
    <row r="30" spans="1:14" ht="18" customHeight="1">
      <c r="A30" s="96">
        <v>29</v>
      </c>
      <c r="B30" s="44" t="s">
        <v>791</v>
      </c>
      <c r="C30" s="20" t="s">
        <v>793</v>
      </c>
      <c r="D30" s="20" t="s">
        <v>489</v>
      </c>
      <c r="H30" s="53" t="s">
        <v>213</v>
      </c>
      <c r="J30" s="40"/>
      <c r="K30" s="55" t="str">
        <f>INDEX(Tableau6[TS],MATCH(Tableau5[[#This Row],[Type Signal]],Tableau6[TypeSignal],0))&amp;""</f>
        <v>ET</v>
      </c>
      <c r="L30" s="55"/>
      <c r="M30" s="21"/>
      <c r="N30" s="20" t="s">
        <v>759</v>
      </c>
    </row>
    <row r="31" spans="1:14" ht="18" customHeight="1">
      <c r="A31" s="96">
        <v>30</v>
      </c>
      <c r="B31" s="44" t="s">
        <v>791</v>
      </c>
      <c r="C31" s="20" t="s">
        <v>794</v>
      </c>
      <c r="D31" s="20" t="s">
        <v>477</v>
      </c>
      <c r="H31" s="53" t="s">
        <v>213</v>
      </c>
      <c r="J31" s="41"/>
      <c r="K31" s="55" t="str">
        <f>INDEX(Tableau6[TS],MATCH(Tableau5[[#This Row],[Type Signal]],Tableau6[TypeSignal],0))&amp;""</f>
        <v>ST</v>
      </c>
      <c r="L31" s="55"/>
      <c r="M31" s="21"/>
      <c r="N31" s="20" t="s">
        <v>762</v>
      </c>
    </row>
    <row r="32" spans="1:14" ht="18" customHeight="1">
      <c r="A32" s="96">
        <v>31</v>
      </c>
      <c r="B32" s="44" t="s">
        <v>791</v>
      </c>
      <c r="C32" s="20" t="s">
        <v>795</v>
      </c>
      <c r="D32" s="20" t="s">
        <v>502</v>
      </c>
      <c r="I32" s="53" t="s">
        <v>213</v>
      </c>
      <c r="J32" s="40"/>
      <c r="K32" s="55" t="str">
        <f>INDEX(Tableau6[TS],MATCH(Tableau5[[#This Row],[Type Signal]],Tableau6[TypeSignal],0))&amp;""</f>
        <v>ET</v>
      </c>
      <c r="L32" s="55"/>
      <c r="M32" s="21"/>
      <c r="N32" s="20" t="s">
        <v>759</v>
      </c>
    </row>
    <row r="33" spans="1:14" ht="18" customHeight="1">
      <c r="A33" s="96">
        <v>32</v>
      </c>
      <c r="B33" s="44" t="s">
        <v>791</v>
      </c>
      <c r="C33" s="20" t="s">
        <v>796</v>
      </c>
      <c r="D33" s="20" t="s">
        <v>268</v>
      </c>
      <c r="H33" s="53" t="s">
        <v>213</v>
      </c>
      <c r="J33" s="41"/>
      <c r="K33" s="55" t="str">
        <f>INDEX(Tableau6[TS],MATCH(Tableau5[[#This Row],[Type Signal]],Tableau6[TypeSignal],0))&amp;""</f>
        <v>ST</v>
      </c>
      <c r="L33" s="55"/>
      <c r="M33" s="21"/>
      <c r="N33" s="20" t="s">
        <v>762</v>
      </c>
    </row>
    <row r="34" spans="1:14" ht="18" customHeight="1">
      <c r="A34" s="96">
        <v>33</v>
      </c>
      <c r="B34" s="44" t="s">
        <v>791</v>
      </c>
      <c r="C34" s="20" t="s">
        <v>797</v>
      </c>
      <c r="D34" s="20" t="s">
        <v>478</v>
      </c>
      <c r="H34" s="53" t="s">
        <v>213</v>
      </c>
      <c r="J34" s="41"/>
      <c r="K34" s="55" t="str">
        <f>INDEX(Tableau6[TS],MATCH(Tableau5[[#This Row],[Type Signal]],Tableau6[TypeSignal],0))&amp;""</f>
        <v>ST</v>
      </c>
      <c r="L34" s="55"/>
      <c r="M34" s="21"/>
      <c r="N34" s="20" t="s">
        <v>762</v>
      </c>
    </row>
    <row r="35" spans="1:14" ht="18" customHeight="1">
      <c r="A35" s="96">
        <v>34</v>
      </c>
      <c r="B35" s="44" t="s">
        <v>791</v>
      </c>
      <c r="C35" s="20" t="s">
        <v>798</v>
      </c>
      <c r="D35" s="20" t="s">
        <v>269</v>
      </c>
      <c r="I35" s="53" t="s">
        <v>213</v>
      </c>
      <c r="J35" s="41"/>
      <c r="K35" s="55" t="str">
        <f>INDEX(Tableau6[TS],MATCH(Tableau5[[#This Row],[Type Signal]],Tableau6[TypeSignal],0))&amp;""</f>
        <v>ST</v>
      </c>
      <c r="L35" s="55"/>
      <c r="M35" s="21"/>
      <c r="N35" s="20" t="s">
        <v>762</v>
      </c>
    </row>
    <row r="36" spans="1:14" ht="18" customHeight="1">
      <c r="A36" s="96">
        <v>35</v>
      </c>
      <c r="B36" s="44" t="s">
        <v>791</v>
      </c>
      <c r="C36" s="20" t="s">
        <v>799</v>
      </c>
      <c r="D36" s="20" t="s">
        <v>494</v>
      </c>
      <c r="I36" s="53" t="s">
        <v>213</v>
      </c>
      <c r="J36" s="41"/>
      <c r="K36" s="55" t="str">
        <f>INDEX(Tableau6[TS],MATCH(Tableau5[[#This Row],[Type Signal]],Tableau6[TypeSignal],0))&amp;""</f>
        <v>ST</v>
      </c>
      <c r="L36" s="55"/>
      <c r="M36" s="21"/>
      <c r="N36" s="20" t="s">
        <v>762</v>
      </c>
    </row>
    <row r="37" spans="1:14" ht="18" customHeight="1">
      <c r="A37" s="96">
        <v>36</v>
      </c>
      <c r="B37" s="44" t="s">
        <v>791</v>
      </c>
      <c r="C37" s="20" t="s">
        <v>800</v>
      </c>
      <c r="D37" s="20" t="s">
        <v>295</v>
      </c>
      <c r="H37" s="53" t="s">
        <v>213</v>
      </c>
      <c r="J37" s="41"/>
      <c r="K37" s="55" t="str">
        <f>INDEX(Tableau6[TS],MATCH(Tableau5[[#This Row],[Type Signal]],Tableau6[TypeSignal],0))&amp;""</f>
        <v>ST</v>
      </c>
      <c r="L37" s="55"/>
      <c r="M37" s="21"/>
      <c r="N37" s="20" t="s">
        <v>762</v>
      </c>
    </row>
    <row r="38" spans="1:14" ht="18" customHeight="1">
      <c r="A38" s="96">
        <v>37</v>
      </c>
      <c r="B38" s="44" t="s">
        <v>791</v>
      </c>
      <c r="C38" s="20" t="s">
        <v>801</v>
      </c>
      <c r="D38" s="20" t="s">
        <v>296</v>
      </c>
      <c r="H38" s="53" t="s">
        <v>213</v>
      </c>
      <c r="J38" s="41"/>
      <c r="K38" s="55" t="str">
        <f>INDEX(Tableau6[TS],MATCH(Tableau5[[#This Row],[Type Signal]],Tableau6[TypeSignal],0))&amp;""</f>
        <v>ST</v>
      </c>
      <c r="L38" s="55"/>
      <c r="M38" s="21"/>
      <c r="N38" s="20" t="s">
        <v>762</v>
      </c>
    </row>
    <row r="39" spans="1:14" ht="18" customHeight="1">
      <c r="A39" s="96">
        <v>38</v>
      </c>
      <c r="B39" s="44" t="s">
        <v>791</v>
      </c>
      <c r="C39" s="20" t="s">
        <v>802</v>
      </c>
      <c r="D39" s="20" t="s">
        <v>297</v>
      </c>
      <c r="I39" s="53" t="s">
        <v>213</v>
      </c>
      <c r="J39" s="41"/>
      <c r="K39" s="55" t="str">
        <f>INDEX(Tableau6[TS],MATCH(Tableau5[[#This Row],[Type Signal]],Tableau6[TypeSignal],0))&amp;""</f>
        <v>ST</v>
      </c>
      <c r="L39" s="55"/>
      <c r="M39" s="21"/>
      <c r="N39" s="20" t="s">
        <v>762</v>
      </c>
    </row>
    <row r="40" spans="1:14" ht="18" customHeight="1">
      <c r="A40" s="96">
        <v>39</v>
      </c>
      <c r="B40" s="44" t="s">
        <v>791</v>
      </c>
      <c r="C40" s="20" t="s">
        <v>803</v>
      </c>
      <c r="D40" s="20" t="s">
        <v>298</v>
      </c>
      <c r="I40" s="53" t="s">
        <v>213</v>
      </c>
      <c r="J40" s="41"/>
      <c r="K40" s="55" t="str">
        <f>INDEX(Tableau6[TS],MATCH(Tableau5[[#This Row],[Type Signal]],Tableau6[TypeSignal],0))&amp;""</f>
        <v>ST</v>
      </c>
      <c r="L40" s="55"/>
      <c r="M40" s="21"/>
      <c r="N40" s="20" t="s">
        <v>762</v>
      </c>
    </row>
    <row r="41" spans="1:14" ht="18" customHeight="1">
      <c r="A41" s="96">
        <v>40</v>
      </c>
      <c r="B41" s="44" t="s">
        <v>791</v>
      </c>
      <c r="C41" s="20" t="s">
        <v>804</v>
      </c>
      <c r="D41" s="20" t="s">
        <v>270</v>
      </c>
      <c r="H41" s="53" t="s">
        <v>213</v>
      </c>
      <c r="J41" s="40"/>
      <c r="K41" s="55" t="str">
        <f>INDEX(Tableau6[TS],MATCH(Tableau5[[#This Row],[Type Signal]],Tableau6[TypeSignal],0))&amp;""</f>
        <v>ET</v>
      </c>
      <c r="L41" s="55"/>
      <c r="M41" s="21"/>
      <c r="N41" s="20" t="s">
        <v>759</v>
      </c>
    </row>
    <row r="42" spans="1:14" ht="18" customHeight="1">
      <c r="A42" s="96">
        <v>41</v>
      </c>
      <c r="B42" s="44" t="s">
        <v>791</v>
      </c>
      <c r="C42" s="20" t="s">
        <v>805</v>
      </c>
      <c r="D42" s="20" t="s">
        <v>271</v>
      </c>
      <c r="H42" s="53" t="s">
        <v>213</v>
      </c>
      <c r="J42" s="40"/>
      <c r="K42" s="55" t="str">
        <f>INDEX(Tableau6[TS],MATCH(Tableau5[[#This Row],[Type Signal]],Tableau6[TypeSignal],0))&amp;""</f>
        <v>ET</v>
      </c>
      <c r="L42" s="55"/>
      <c r="M42" s="21"/>
      <c r="N42" s="20" t="s">
        <v>759</v>
      </c>
    </row>
    <row r="43" spans="1:14" ht="18" customHeight="1">
      <c r="A43" s="96">
        <v>42</v>
      </c>
      <c r="B43" s="44" t="s">
        <v>791</v>
      </c>
      <c r="C43" s="20" t="s">
        <v>806</v>
      </c>
      <c r="D43" s="20" t="s">
        <v>272</v>
      </c>
      <c r="I43" s="53" t="s">
        <v>213</v>
      </c>
      <c r="J43" s="40"/>
      <c r="K43" s="55" t="str">
        <f>INDEX(Tableau6[TS],MATCH(Tableau5[[#This Row],[Type Signal]],Tableau6[TypeSignal],0))&amp;""</f>
        <v>ET</v>
      </c>
      <c r="L43" s="55"/>
      <c r="M43" s="21"/>
      <c r="N43" s="20" t="s">
        <v>759</v>
      </c>
    </row>
    <row r="44" spans="1:14" ht="18" customHeight="1">
      <c r="A44" s="96">
        <v>43</v>
      </c>
      <c r="B44" s="44" t="s">
        <v>791</v>
      </c>
      <c r="C44" s="20" t="s">
        <v>807</v>
      </c>
      <c r="D44" s="20" t="s">
        <v>273</v>
      </c>
      <c r="I44" s="53" t="s">
        <v>213</v>
      </c>
      <c r="J44" s="40"/>
      <c r="K44" s="55" t="str">
        <f>INDEX(Tableau6[TS],MATCH(Tableau5[[#This Row],[Type Signal]],Tableau6[TypeSignal],0))&amp;""</f>
        <v>ET</v>
      </c>
      <c r="L44" s="55"/>
      <c r="M44" s="21"/>
      <c r="N44" s="20" t="s">
        <v>759</v>
      </c>
    </row>
    <row r="45" spans="1:14" ht="18" customHeight="1">
      <c r="A45" s="96">
        <v>44</v>
      </c>
      <c r="B45" s="44" t="s">
        <v>791</v>
      </c>
      <c r="C45" s="20" t="s">
        <v>808</v>
      </c>
      <c r="D45" s="20" t="s">
        <v>490</v>
      </c>
      <c r="H45" s="53" t="s">
        <v>213</v>
      </c>
      <c r="J45" s="40"/>
      <c r="K45" s="55" t="str">
        <f>INDEX(Tableau6[TS],MATCH(Tableau5[[#This Row],[Type Signal]],Tableau6[TypeSignal],0))&amp;""</f>
        <v>ET</v>
      </c>
      <c r="L45" s="55"/>
      <c r="M45" s="21"/>
      <c r="N45" s="20" t="s">
        <v>759</v>
      </c>
    </row>
    <row r="46" spans="1:14" ht="18" customHeight="1">
      <c r="A46" s="96">
        <v>45</v>
      </c>
      <c r="B46" s="44" t="s">
        <v>791</v>
      </c>
      <c r="C46" s="20" t="s">
        <v>809</v>
      </c>
      <c r="D46" s="20" t="s">
        <v>503</v>
      </c>
      <c r="I46" s="53" t="s">
        <v>213</v>
      </c>
      <c r="J46" s="40"/>
      <c r="K46" s="55" t="str">
        <f>INDEX(Tableau6[TS],MATCH(Tableau5[[#This Row],[Type Signal]],Tableau6[TypeSignal],0))&amp;""</f>
        <v>ET</v>
      </c>
      <c r="L46" s="55"/>
      <c r="M46" s="21"/>
      <c r="N46" s="20" t="s">
        <v>759</v>
      </c>
    </row>
    <row r="47" spans="1:14" ht="18" customHeight="1">
      <c r="A47" s="96">
        <v>46</v>
      </c>
      <c r="B47" s="44" t="s">
        <v>791</v>
      </c>
      <c r="C47" s="20" t="s">
        <v>810</v>
      </c>
      <c r="D47" s="20" t="s">
        <v>491</v>
      </c>
      <c r="H47" s="53" t="s">
        <v>213</v>
      </c>
      <c r="J47" s="40"/>
      <c r="K47" s="55" t="str">
        <f>INDEX(Tableau6[TS],MATCH(Tableau5[[#This Row],[Type Signal]],Tableau6[TypeSignal],0))&amp;""</f>
        <v>ET</v>
      </c>
      <c r="L47" s="55"/>
      <c r="M47" s="21"/>
      <c r="N47" s="20" t="s">
        <v>759</v>
      </c>
    </row>
    <row r="48" spans="1:14" ht="18" customHeight="1">
      <c r="A48" s="96">
        <v>47</v>
      </c>
      <c r="B48" s="44" t="s">
        <v>791</v>
      </c>
      <c r="C48" s="20" t="s">
        <v>811</v>
      </c>
      <c r="D48" s="20" t="s">
        <v>492</v>
      </c>
      <c r="H48" s="53" t="s">
        <v>213</v>
      </c>
      <c r="J48" s="40"/>
      <c r="K48" s="55" t="str">
        <f>INDEX(Tableau6[TS],MATCH(Tableau5[[#This Row],[Type Signal]],Tableau6[TypeSignal],0))&amp;""</f>
        <v>ET</v>
      </c>
      <c r="L48" s="55"/>
      <c r="M48" s="21"/>
      <c r="N48" s="20" t="s">
        <v>759</v>
      </c>
    </row>
    <row r="49" spans="1:14" ht="18" customHeight="1">
      <c r="A49" s="96">
        <v>48</v>
      </c>
      <c r="B49" s="44" t="s">
        <v>812</v>
      </c>
      <c r="C49" s="20" t="s">
        <v>813</v>
      </c>
      <c r="D49" s="20" t="s">
        <v>505</v>
      </c>
      <c r="I49" s="53" t="s">
        <v>213</v>
      </c>
      <c r="J49" s="40"/>
      <c r="K49" s="55" t="str">
        <f>INDEX(Tableau6[TS],MATCH(Tableau5[[#This Row],[Type Signal]],Tableau6[TypeSignal],0))&amp;""</f>
        <v>ET</v>
      </c>
      <c r="L49" s="55"/>
      <c r="M49" s="21"/>
      <c r="N49" s="20" t="s">
        <v>759</v>
      </c>
    </row>
    <row r="50" spans="1:14" ht="18" customHeight="1">
      <c r="A50" s="96">
        <v>49</v>
      </c>
      <c r="B50" s="44" t="s">
        <v>812</v>
      </c>
      <c r="C50" s="20" t="s">
        <v>814</v>
      </c>
      <c r="D50" s="20" t="s">
        <v>506</v>
      </c>
      <c r="I50" s="53" t="s">
        <v>213</v>
      </c>
      <c r="J50" s="40"/>
      <c r="K50" s="55" t="str">
        <f>INDEX(Tableau6[TS],MATCH(Tableau5[[#This Row],[Type Signal]],Tableau6[TypeSignal],0))&amp;""</f>
        <v>ET</v>
      </c>
      <c r="L50" s="55"/>
      <c r="M50" s="21"/>
      <c r="N50" s="20" t="s">
        <v>759</v>
      </c>
    </row>
    <row r="51" spans="1:14" ht="18" customHeight="1">
      <c r="A51" s="96">
        <v>50</v>
      </c>
      <c r="B51" s="44" t="s">
        <v>815</v>
      </c>
      <c r="C51" s="20" t="s">
        <v>779</v>
      </c>
      <c r="D51" s="20" t="s">
        <v>476</v>
      </c>
      <c r="I51" s="53" t="s">
        <v>213</v>
      </c>
      <c r="J51" s="41"/>
      <c r="K51" s="55" t="str">
        <f>INDEX(Tableau6[TS],MATCH(Tableau5[[#This Row],[Type Signal]],Tableau6[TypeSignal],0))&amp;""</f>
        <v>ST</v>
      </c>
      <c r="L51" s="55"/>
      <c r="M51" s="21"/>
      <c r="N51" s="20" t="s">
        <v>762</v>
      </c>
    </row>
    <row r="52" spans="1:14" ht="18" customHeight="1">
      <c r="A52" s="96">
        <v>51</v>
      </c>
      <c r="B52" s="44" t="s">
        <v>815</v>
      </c>
      <c r="C52" s="20" t="s">
        <v>816</v>
      </c>
      <c r="D52" s="20" t="s">
        <v>816</v>
      </c>
      <c r="H52" s="53" t="s">
        <v>213</v>
      </c>
      <c r="J52" s="40"/>
      <c r="K52" s="55" t="str">
        <f>INDEX(Tableau6[TS],MATCH(Tableau5[[#This Row],[Type Signal]],Tableau6[TypeSignal],0))&amp;""</f>
        <v>ET</v>
      </c>
      <c r="L52" s="55"/>
      <c r="M52" s="21"/>
      <c r="N52" s="20" t="s">
        <v>759</v>
      </c>
    </row>
    <row r="53" spans="1:14" ht="18" customHeight="1">
      <c r="A53" s="96">
        <v>52</v>
      </c>
      <c r="B53" s="44" t="s">
        <v>815</v>
      </c>
      <c r="C53" s="20" t="s">
        <v>781</v>
      </c>
      <c r="D53" s="20" t="s">
        <v>264</v>
      </c>
      <c r="H53" s="53" t="s">
        <v>213</v>
      </c>
      <c r="J53" s="41"/>
      <c r="K53" s="55" t="str">
        <f>INDEX(Tableau6[TS],MATCH(Tableau5[[#This Row],[Type Signal]],Tableau6[TypeSignal],0))&amp;""</f>
        <v>ST</v>
      </c>
      <c r="L53" s="55"/>
      <c r="M53" s="21"/>
      <c r="N53" s="20" t="s">
        <v>762</v>
      </c>
    </row>
    <row r="54" spans="1:14" ht="18" customHeight="1">
      <c r="A54" s="96">
        <v>53</v>
      </c>
      <c r="B54" s="44" t="s">
        <v>815</v>
      </c>
      <c r="C54" s="20" t="s">
        <v>782</v>
      </c>
      <c r="D54" s="20" t="s">
        <v>475</v>
      </c>
      <c r="H54" s="53" t="s">
        <v>213</v>
      </c>
      <c r="J54" s="41"/>
      <c r="K54" s="55" t="str">
        <f>INDEX(Tableau6[TS],MATCH(Tableau5[[#This Row],[Type Signal]],Tableau6[TypeSignal],0))&amp;""</f>
        <v>ST</v>
      </c>
      <c r="L54" s="55"/>
      <c r="M54" s="21"/>
      <c r="N54" s="20" t="s">
        <v>762</v>
      </c>
    </row>
    <row r="55" spans="1:14" ht="18" customHeight="1">
      <c r="A55" s="96">
        <v>54</v>
      </c>
      <c r="B55" s="44" t="s">
        <v>815</v>
      </c>
      <c r="C55" s="20" t="s">
        <v>783</v>
      </c>
      <c r="D55" s="20" t="s">
        <v>293</v>
      </c>
      <c r="H55" s="53" t="s">
        <v>213</v>
      </c>
      <c r="J55" s="41"/>
      <c r="K55" s="55" t="str">
        <f>INDEX(Tableau6[TS],MATCH(Tableau5[[#This Row],[Type Signal]],Tableau6[TypeSignal],0))&amp;""</f>
        <v>ST</v>
      </c>
      <c r="L55" s="55"/>
      <c r="M55" s="21"/>
      <c r="N55" s="20" t="s">
        <v>762</v>
      </c>
    </row>
    <row r="56" spans="1:14" ht="18" customHeight="1">
      <c r="A56" s="96">
        <v>55</v>
      </c>
      <c r="B56" s="44" t="s">
        <v>815</v>
      </c>
      <c r="C56" s="20" t="s">
        <v>784</v>
      </c>
      <c r="D56" s="20" t="s">
        <v>294</v>
      </c>
      <c r="H56" s="53" t="s">
        <v>213</v>
      </c>
      <c r="J56" s="41"/>
      <c r="K56" s="55" t="str">
        <f>INDEX(Tableau6[TS],MATCH(Tableau5[[#This Row],[Type Signal]],Tableau6[TypeSignal],0))&amp;""</f>
        <v>ST</v>
      </c>
      <c r="L56" s="55"/>
      <c r="M56" s="21"/>
      <c r="N56" s="20" t="s">
        <v>762</v>
      </c>
    </row>
    <row r="57" spans="1:14" ht="18" customHeight="1">
      <c r="A57" s="96">
        <v>56</v>
      </c>
      <c r="B57" s="44" t="s">
        <v>815</v>
      </c>
      <c r="C57" s="20" t="s">
        <v>817</v>
      </c>
      <c r="D57" s="20" t="s">
        <v>485</v>
      </c>
      <c r="H57" s="53" t="s">
        <v>213</v>
      </c>
      <c r="J57" s="40"/>
      <c r="K57" s="55" t="str">
        <f>INDEX(Tableau6[TS],MATCH(Tableau5[[#This Row],[Type Signal]],Tableau6[TypeSignal],0))&amp;""</f>
        <v>ET</v>
      </c>
      <c r="L57" s="55"/>
      <c r="M57" s="21"/>
      <c r="N57" s="20" t="s">
        <v>759</v>
      </c>
    </row>
    <row r="58" spans="1:14" ht="18" customHeight="1">
      <c r="A58" s="96">
        <v>57</v>
      </c>
      <c r="B58" s="44" t="s">
        <v>815</v>
      </c>
      <c r="C58" s="20" t="s">
        <v>790</v>
      </c>
      <c r="D58" s="20" t="s">
        <v>486</v>
      </c>
      <c r="H58" s="53" t="s">
        <v>213</v>
      </c>
      <c r="J58" s="40"/>
      <c r="K58" s="55" t="str">
        <f>INDEX(Tableau6[TS],MATCH(Tableau5[[#This Row],[Type Signal]],Tableau6[TypeSignal],0))&amp;""</f>
        <v>ET</v>
      </c>
      <c r="L58" s="55"/>
      <c r="M58" s="21"/>
      <c r="N58" s="20" t="s">
        <v>759</v>
      </c>
    </row>
    <row r="59" spans="1:14" ht="18" customHeight="1">
      <c r="A59" s="96">
        <v>58</v>
      </c>
      <c r="B59" s="44" t="s">
        <v>815</v>
      </c>
      <c r="C59" s="20" t="s">
        <v>816</v>
      </c>
      <c r="D59" s="20" t="s">
        <v>816</v>
      </c>
      <c r="H59" s="53" t="s">
        <v>213</v>
      </c>
      <c r="J59" s="40"/>
      <c r="K59" s="55" t="str">
        <f>INDEX(Tableau6[TS],MATCH(Tableau5[[#This Row],[Type Signal]],Tableau6[TypeSignal],0))&amp;""</f>
        <v>ET</v>
      </c>
      <c r="L59" s="55"/>
      <c r="M59" s="21"/>
      <c r="N59" s="20" t="s">
        <v>759</v>
      </c>
    </row>
    <row r="60" spans="1:14" ht="18" customHeight="1">
      <c r="A60" s="96">
        <v>59</v>
      </c>
      <c r="B60" s="44" t="s">
        <v>815</v>
      </c>
      <c r="C60" s="20" t="s">
        <v>787</v>
      </c>
      <c r="D60" s="20" t="s">
        <v>267</v>
      </c>
      <c r="H60" s="53" t="s">
        <v>213</v>
      </c>
      <c r="J60" s="40"/>
      <c r="K60" s="55" t="str">
        <f>INDEX(Tableau6[TS],MATCH(Tableau5[[#This Row],[Type Signal]],Tableau6[TypeSignal],0))&amp;""</f>
        <v>ET</v>
      </c>
      <c r="L60" s="55"/>
      <c r="M60" s="21"/>
      <c r="N60" s="20" t="s">
        <v>759</v>
      </c>
    </row>
    <row r="61" spans="1:14" ht="18" customHeight="1">
      <c r="A61" s="96">
        <v>60</v>
      </c>
      <c r="B61" s="44" t="s">
        <v>815</v>
      </c>
      <c r="C61" s="20" t="s">
        <v>487</v>
      </c>
      <c r="D61" s="20" t="s">
        <v>487</v>
      </c>
      <c r="H61" s="53" t="s">
        <v>213</v>
      </c>
      <c r="J61" s="40"/>
      <c r="K61" s="55" t="str">
        <f>INDEX(Tableau6[TS],MATCH(Tableau5[[#This Row],[Type Signal]],Tableau6[TypeSignal],0))&amp;""</f>
        <v>ET</v>
      </c>
      <c r="L61" s="55"/>
      <c r="M61" s="21"/>
      <c r="N61" s="20" t="s">
        <v>759</v>
      </c>
    </row>
    <row r="62" spans="1:14" ht="18" customHeight="1">
      <c r="A62" s="96">
        <v>61</v>
      </c>
      <c r="B62" s="44" t="s">
        <v>818</v>
      </c>
      <c r="C62" s="20" t="s">
        <v>780</v>
      </c>
      <c r="D62" s="20" t="s">
        <v>507</v>
      </c>
      <c r="I62" s="53" t="s">
        <v>213</v>
      </c>
      <c r="J62" s="40"/>
      <c r="K62" s="55" t="str">
        <f>INDEX(Tableau6[TS],MATCH(Tableau5[[#This Row],[Type Signal]],Tableau6[TypeSignal],0))&amp;""</f>
        <v>ET</v>
      </c>
      <c r="L62" s="55"/>
      <c r="M62" s="21"/>
      <c r="N62" s="20" t="s">
        <v>759</v>
      </c>
    </row>
    <row r="63" spans="1:14" ht="18" customHeight="1">
      <c r="A63" s="96">
        <v>62</v>
      </c>
      <c r="B63" s="44" t="s">
        <v>818</v>
      </c>
      <c r="C63" s="20" t="s">
        <v>819</v>
      </c>
      <c r="D63" s="20" t="s">
        <v>495</v>
      </c>
      <c r="I63" s="53" t="s">
        <v>213</v>
      </c>
      <c r="J63" s="40"/>
      <c r="K63" s="55" t="str">
        <f>INDEX(Tableau6[TS],MATCH(Tableau5[[#This Row],[Type Signal]],Tableau6[TypeSignal],0))&amp;""</f>
        <v>ET</v>
      </c>
      <c r="L63" s="55"/>
      <c r="M63" s="21"/>
      <c r="N63" s="20" t="s">
        <v>759</v>
      </c>
    </row>
    <row r="64" spans="1:14" ht="18" customHeight="1">
      <c r="A64" s="96">
        <v>63</v>
      </c>
      <c r="B64" s="44" t="s">
        <v>820</v>
      </c>
      <c r="C64" s="20" t="s">
        <v>821</v>
      </c>
      <c r="D64" s="20" t="s">
        <v>256</v>
      </c>
      <c r="H64" s="53" t="s">
        <v>213</v>
      </c>
      <c r="J64" s="41"/>
      <c r="K64" s="55" t="str">
        <f>INDEX(Tableau6[TS],MATCH(Tableau5[[#This Row],[Type Signal]],Tableau6[TypeSignal],0))&amp;""</f>
        <v>ST</v>
      </c>
      <c r="L64" s="55"/>
      <c r="M64" s="21"/>
      <c r="N64" s="20" t="s">
        <v>762</v>
      </c>
    </row>
    <row r="65" spans="1:14" ht="18" customHeight="1">
      <c r="A65" s="96">
        <v>64</v>
      </c>
      <c r="B65" s="44" t="s">
        <v>820</v>
      </c>
      <c r="C65" s="20" t="s">
        <v>822</v>
      </c>
      <c r="D65" s="20" t="s">
        <v>255</v>
      </c>
      <c r="H65" s="53" t="s">
        <v>213</v>
      </c>
      <c r="J65" s="41"/>
      <c r="K65" s="55" t="str">
        <f>INDEX(Tableau6[TS],MATCH(Tableau5[[#This Row],[Type Signal]],Tableau6[TypeSignal],0))&amp;""</f>
        <v>ST</v>
      </c>
      <c r="L65" s="55"/>
      <c r="M65" s="21"/>
      <c r="N65" s="20" t="s">
        <v>762</v>
      </c>
    </row>
    <row r="66" spans="1:14" ht="18" customHeight="1">
      <c r="A66" s="96">
        <v>65</v>
      </c>
      <c r="B66" s="44" t="s">
        <v>820</v>
      </c>
      <c r="C66" s="20" t="s">
        <v>816</v>
      </c>
      <c r="D66" s="20" t="s">
        <v>816</v>
      </c>
      <c r="H66" s="53" t="s">
        <v>213</v>
      </c>
      <c r="J66" s="41"/>
      <c r="K66" s="55" t="str">
        <f>INDEX(Tableau6[TS],MATCH(Tableau5[[#This Row],[Type Signal]],Tableau6[TypeSignal],0))&amp;""</f>
        <v>ST</v>
      </c>
      <c r="L66" s="55"/>
      <c r="M66" s="21"/>
      <c r="N66" s="20" t="s">
        <v>762</v>
      </c>
    </row>
    <row r="67" spans="1:14" ht="18" customHeight="1">
      <c r="A67" s="96">
        <v>66</v>
      </c>
      <c r="B67" s="44" t="s">
        <v>820</v>
      </c>
      <c r="C67" s="20" t="s">
        <v>823</v>
      </c>
      <c r="D67" s="20" t="s">
        <v>257</v>
      </c>
      <c r="H67" s="53" t="s">
        <v>213</v>
      </c>
      <c r="J67" s="40"/>
      <c r="K67" s="55" t="str">
        <f>INDEX(Tableau6[TS],MATCH(Tableau5[[#This Row],[Type Signal]],Tableau6[TypeSignal],0))&amp;""</f>
        <v>ET</v>
      </c>
      <c r="L67" s="55"/>
      <c r="M67" s="21"/>
      <c r="N67" s="20" t="s">
        <v>759</v>
      </c>
    </row>
    <row r="68" spans="1:14" ht="18" customHeight="1">
      <c r="A68" s="96">
        <v>67</v>
      </c>
      <c r="B68" s="44" t="s">
        <v>820</v>
      </c>
      <c r="C68" s="20" t="s">
        <v>788</v>
      </c>
      <c r="D68" s="20" t="s">
        <v>258</v>
      </c>
      <c r="H68" s="53" t="s">
        <v>213</v>
      </c>
      <c r="J68" s="40"/>
      <c r="K68" s="55" t="str">
        <f>INDEX(Tableau6[TS],MATCH(Tableau5[[#This Row],[Type Signal]],Tableau6[TypeSignal],0))&amp;""</f>
        <v>ET</v>
      </c>
      <c r="L68" s="55"/>
      <c r="M68" s="21"/>
      <c r="N68" s="20" t="s">
        <v>759</v>
      </c>
    </row>
    <row r="69" spans="1:14" ht="18" customHeight="1">
      <c r="A69" s="96">
        <v>68</v>
      </c>
      <c r="B69" s="44" t="s">
        <v>820</v>
      </c>
      <c r="C69" s="20" t="s">
        <v>787</v>
      </c>
      <c r="D69" s="20" t="s">
        <v>259</v>
      </c>
      <c r="H69" s="53" t="s">
        <v>213</v>
      </c>
      <c r="J69" s="40"/>
      <c r="K69" s="55" t="str">
        <f>INDEX(Tableau6[TS],MATCH(Tableau5[[#This Row],[Type Signal]],Tableau6[TypeSignal],0))&amp;""</f>
        <v>ET</v>
      </c>
      <c r="L69" s="55"/>
      <c r="M69" s="21"/>
      <c r="N69" s="20" t="s">
        <v>759</v>
      </c>
    </row>
    <row r="70" spans="1:14" ht="18" customHeight="1">
      <c r="A70" s="96">
        <v>69</v>
      </c>
      <c r="B70" s="44" t="s">
        <v>820</v>
      </c>
      <c r="C70" s="20" t="s">
        <v>487</v>
      </c>
      <c r="D70" s="20" t="s">
        <v>487</v>
      </c>
      <c r="H70" s="53" t="s">
        <v>213</v>
      </c>
      <c r="J70" s="40"/>
      <c r="K70" s="55" t="str">
        <f>INDEX(Tableau6[TS],MATCH(Tableau5[[#This Row],[Type Signal]],Tableau6[TypeSignal],0))&amp;""</f>
        <v>ET</v>
      </c>
      <c r="L70" s="55"/>
      <c r="M70" s="21"/>
      <c r="N70" s="20" t="s">
        <v>759</v>
      </c>
    </row>
    <row r="71" spans="1:14" ht="18" customHeight="1">
      <c r="A71" s="96">
        <v>70</v>
      </c>
      <c r="B71" s="44" t="s">
        <v>820</v>
      </c>
      <c r="C71" s="20" t="s">
        <v>824</v>
      </c>
      <c r="D71" s="20" t="s">
        <v>262</v>
      </c>
      <c r="H71" s="53" t="s">
        <v>213</v>
      </c>
      <c r="J71" s="40"/>
      <c r="K71" s="55" t="str">
        <f>INDEX(Tableau6[TS],MATCH(Tableau5[[#This Row],[Type Signal]],Tableau6[TypeSignal],0))&amp;""</f>
        <v>ET</v>
      </c>
      <c r="L71" s="55"/>
      <c r="M71" s="21"/>
      <c r="N71" s="20" t="s">
        <v>759</v>
      </c>
    </row>
    <row r="72" spans="1:14" ht="18" customHeight="1">
      <c r="A72" s="96">
        <v>71</v>
      </c>
      <c r="B72" s="44" t="s">
        <v>825</v>
      </c>
      <c r="C72" s="20" t="s">
        <v>826</v>
      </c>
      <c r="D72" s="20" t="s">
        <v>473</v>
      </c>
      <c r="I72" s="53" t="s">
        <v>213</v>
      </c>
      <c r="J72" s="41"/>
      <c r="K72" s="55" t="str">
        <f>INDEX(Tableau6[TS],MATCH(Tableau5[[#This Row],[Type Signal]],Tableau6[TypeSignal],0))&amp;""</f>
        <v>ST</v>
      </c>
      <c r="L72" s="55"/>
      <c r="M72" s="21"/>
      <c r="N72" s="20" t="s">
        <v>762</v>
      </c>
    </row>
    <row r="73" spans="1:14" ht="18" customHeight="1">
      <c r="A73" s="96">
        <v>72</v>
      </c>
      <c r="B73" s="44" t="s">
        <v>825</v>
      </c>
      <c r="C73" s="20" t="s">
        <v>816</v>
      </c>
      <c r="D73" s="20" t="s">
        <v>816</v>
      </c>
      <c r="H73" s="53" t="s">
        <v>213</v>
      </c>
      <c r="J73" s="40"/>
      <c r="K73" s="55" t="str">
        <f>INDEX(Tableau6[TS],MATCH(Tableau5[[#This Row],[Type Signal]],Tableau6[TypeSignal],0))&amp;""</f>
        <v>ET</v>
      </c>
      <c r="L73" s="55"/>
      <c r="M73" s="21"/>
      <c r="N73" s="20" t="s">
        <v>759</v>
      </c>
    </row>
    <row r="74" spans="1:14" ht="18" customHeight="1">
      <c r="A74" s="96">
        <v>73</v>
      </c>
      <c r="B74" s="44" t="s">
        <v>825</v>
      </c>
      <c r="C74" s="20" t="s">
        <v>827</v>
      </c>
      <c r="D74" s="20" t="s">
        <v>485</v>
      </c>
      <c r="H74" s="53" t="s">
        <v>213</v>
      </c>
      <c r="J74" s="40"/>
      <c r="K74" s="55" t="str">
        <f>INDEX(Tableau6[TS],MATCH(Tableau5[[#This Row],[Type Signal]],Tableau6[TypeSignal],0))&amp;""</f>
        <v>ET</v>
      </c>
      <c r="L74" s="55"/>
      <c r="M74" s="21"/>
      <c r="N74" s="20" t="s">
        <v>759</v>
      </c>
    </row>
    <row r="75" spans="1:14" ht="18" customHeight="1">
      <c r="A75" s="96">
        <v>74</v>
      </c>
      <c r="B75" s="44" t="s">
        <v>825</v>
      </c>
      <c r="C75" s="20" t="s">
        <v>821</v>
      </c>
      <c r="D75" s="20" t="s">
        <v>256</v>
      </c>
      <c r="H75" s="53" t="s">
        <v>213</v>
      </c>
      <c r="J75" s="41"/>
      <c r="K75" s="55" t="str">
        <f>INDEX(Tableau6[TS],MATCH(Tableau5[[#This Row],[Type Signal]],Tableau6[TypeSignal],0))&amp;""</f>
        <v>ST</v>
      </c>
      <c r="L75" s="55"/>
      <c r="M75" s="21"/>
      <c r="N75" s="20" t="s">
        <v>762</v>
      </c>
    </row>
    <row r="76" spans="1:14" ht="18" customHeight="1">
      <c r="A76" s="96">
        <v>75</v>
      </c>
      <c r="B76" s="44" t="s">
        <v>825</v>
      </c>
      <c r="C76" s="20" t="s">
        <v>816</v>
      </c>
      <c r="D76" s="20" t="s">
        <v>816</v>
      </c>
      <c r="H76" s="53" t="s">
        <v>213</v>
      </c>
      <c r="J76" s="41"/>
      <c r="K76" s="55" t="str">
        <f>INDEX(Tableau6[TS],MATCH(Tableau5[[#This Row],[Type Signal]],Tableau6[TypeSignal],0))&amp;""</f>
        <v>ST</v>
      </c>
      <c r="L76" s="55"/>
      <c r="M76" s="21"/>
      <c r="N76" s="20" t="s">
        <v>762</v>
      </c>
    </row>
    <row r="77" spans="1:14" ht="18" customHeight="1">
      <c r="A77" s="96">
        <v>76</v>
      </c>
      <c r="B77" s="44" t="s">
        <v>825</v>
      </c>
      <c r="C77" s="20" t="s">
        <v>828</v>
      </c>
      <c r="D77" s="20" t="s">
        <v>517</v>
      </c>
      <c r="H77" s="53" t="s">
        <v>213</v>
      </c>
      <c r="J77" s="41"/>
      <c r="K77" s="55" t="str">
        <f>INDEX(Tableau6[TS],MATCH(Tableau5[[#This Row],[Type Signal]],Tableau6[TypeSignal],0))&amp;""</f>
        <v>ST</v>
      </c>
      <c r="L77" s="55"/>
      <c r="M77" s="21"/>
      <c r="N77" s="20" t="s">
        <v>762</v>
      </c>
    </row>
    <row r="78" spans="1:14" ht="18" customHeight="1">
      <c r="A78" s="96">
        <v>77</v>
      </c>
      <c r="B78" s="44" t="s">
        <v>825</v>
      </c>
      <c r="C78" s="20" t="s">
        <v>823</v>
      </c>
      <c r="D78" s="20" t="s">
        <v>257</v>
      </c>
      <c r="H78" s="53" t="s">
        <v>213</v>
      </c>
      <c r="J78" s="40"/>
      <c r="K78" s="55" t="str">
        <f>INDEX(Tableau6[TS],MATCH(Tableau5[[#This Row],[Type Signal]],Tableau6[TypeSignal],0))&amp;""</f>
        <v>ET</v>
      </c>
      <c r="L78" s="55"/>
      <c r="M78" s="21"/>
      <c r="N78" s="20" t="s">
        <v>759</v>
      </c>
    </row>
    <row r="79" spans="1:14" ht="18" customHeight="1">
      <c r="A79" s="96">
        <v>78</v>
      </c>
      <c r="B79" s="44" t="s">
        <v>825</v>
      </c>
      <c r="C79" s="20" t="s">
        <v>487</v>
      </c>
      <c r="D79" s="20" t="s">
        <v>487</v>
      </c>
      <c r="H79" s="53" t="s">
        <v>213</v>
      </c>
      <c r="J79" s="40"/>
      <c r="K79" s="55" t="str">
        <f>INDEX(Tableau6[TS],MATCH(Tableau5[[#This Row],[Type Signal]],Tableau6[TypeSignal],0))&amp;""</f>
        <v>ET</v>
      </c>
      <c r="L79" s="55"/>
      <c r="M79" s="21"/>
      <c r="N79" s="20" t="s">
        <v>759</v>
      </c>
    </row>
    <row r="80" spans="1:14" ht="18" customHeight="1">
      <c r="A80" s="96">
        <v>79</v>
      </c>
      <c r="B80" s="44" t="s">
        <v>825</v>
      </c>
      <c r="C80" s="20" t="s">
        <v>787</v>
      </c>
      <c r="D80" s="20" t="s">
        <v>259</v>
      </c>
      <c r="H80" s="53" t="s">
        <v>213</v>
      </c>
      <c r="J80" s="40"/>
      <c r="K80" s="55" t="str">
        <f>INDEX(Tableau6[TS],MATCH(Tableau5[[#This Row],[Type Signal]],Tableau6[TypeSignal],0))&amp;""</f>
        <v>ET</v>
      </c>
      <c r="L80" s="55"/>
      <c r="M80" s="21"/>
      <c r="N80" s="20" t="s">
        <v>759</v>
      </c>
    </row>
    <row r="81" spans="1:14" ht="18" customHeight="1">
      <c r="A81" s="96">
        <v>80</v>
      </c>
      <c r="B81" s="44" t="s">
        <v>825</v>
      </c>
      <c r="C81" s="20" t="s">
        <v>829</v>
      </c>
      <c r="D81" s="20" t="s">
        <v>529</v>
      </c>
      <c r="H81" s="53" t="s">
        <v>213</v>
      </c>
      <c r="J81" s="40"/>
      <c r="K81" s="55" t="str">
        <f>INDEX(Tableau6[TS],MATCH(Tableau5[[#This Row],[Type Signal]],Tableau6[TypeSignal],0))&amp;""</f>
        <v>ET</v>
      </c>
      <c r="L81" s="55"/>
      <c r="M81" s="21"/>
      <c r="N81" s="20" t="s">
        <v>759</v>
      </c>
    </row>
    <row r="82" spans="1:14" ht="18" customHeight="1">
      <c r="A82" s="96">
        <v>81</v>
      </c>
      <c r="B82" s="44" t="s">
        <v>825</v>
      </c>
      <c r="C82" s="20" t="s">
        <v>824</v>
      </c>
      <c r="D82" s="20" t="s">
        <v>262</v>
      </c>
      <c r="H82" s="53" t="s">
        <v>213</v>
      </c>
      <c r="J82" s="40"/>
      <c r="K82" s="55" t="str">
        <f>INDEX(Tableau6[TS],MATCH(Tableau5[[#This Row],[Type Signal]],Tableau6[TypeSignal],0))&amp;""</f>
        <v>ET</v>
      </c>
      <c r="L82" s="55"/>
      <c r="M82" s="21"/>
      <c r="N82" s="20" t="s">
        <v>759</v>
      </c>
    </row>
    <row r="83" spans="1:14" ht="18" customHeight="1">
      <c r="A83" s="96">
        <v>82</v>
      </c>
      <c r="B83" s="44" t="s">
        <v>830</v>
      </c>
      <c r="C83" s="20" t="s">
        <v>831</v>
      </c>
      <c r="D83" s="20" t="s">
        <v>496</v>
      </c>
      <c r="I83" s="53" t="s">
        <v>213</v>
      </c>
      <c r="J83" s="40"/>
      <c r="K83" s="55" t="str">
        <f>INDEX(Tableau6[TS],MATCH(Tableau5[[#This Row],[Type Signal]],Tableau6[TypeSignal],0))&amp;""</f>
        <v>ET</v>
      </c>
      <c r="L83" s="55"/>
      <c r="M83" s="21"/>
      <c r="N83" s="20" t="s">
        <v>759</v>
      </c>
    </row>
    <row r="84" spans="1:14" ht="18" customHeight="1">
      <c r="A84" s="96">
        <v>83</v>
      </c>
      <c r="B84" s="44" t="s">
        <v>830</v>
      </c>
      <c r="C84" s="20" t="s">
        <v>832</v>
      </c>
      <c r="D84" s="20" t="s">
        <v>495</v>
      </c>
      <c r="I84" s="53" t="s">
        <v>213</v>
      </c>
      <c r="J84" s="40"/>
      <c r="K84" s="55" t="str">
        <f>INDEX(Tableau6[TS],MATCH(Tableau5[[#This Row],[Type Signal]],Tableau6[TypeSignal],0))&amp;""</f>
        <v>ET</v>
      </c>
      <c r="L84" s="55"/>
      <c r="M84" s="21"/>
      <c r="N84" s="20" t="s">
        <v>759</v>
      </c>
    </row>
    <row r="85" spans="1:14" ht="18" customHeight="1">
      <c r="A85" s="96">
        <v>84</v>
      </c>
      <c r="B85" s="44" t="s">
        <v>833</v>
      </c>
      <c r="C85" s="20" t="s">
        <v>772</v>
      </c>
      <c r="D85" s="20" t="s">
        <v>260</v>
      </c>
      <c r="H85" s="53" t="s">
        <v>213</v>
      </c>
      <c r="J85" s="40"/>
      <c r="K85" s="55" t="str">
        <f>INDEX(Tableau6[TS],MATCH(Tableau5[[#This Row],[Type Signal]],Tableau6[TypeSignal],0))&amp;""</f>
        <v>ET</v>
      </c>
      <c r="L85" s="55"/>
      <c r="M85" s="21"/>
      <c r="N85" s="20" t="s">
        <v>759</v>
      </c>
    </row>
    <row r="86" spans="1:14" ht="18" customHeight="1">
      <c r="A86" s="96">
        <v>85</v>
      </c>
      <c r="B86" s="44" t="s">
        <v>833</v>
      </c>
      <c r="C86" s="20" t="s">
        <v>834</v>
      </c>
      <c r="D86" s="20" t="s">
        <v>262</v>
      </c>
      <c r="H86" s="53" t="s">
        <v>213</v>
      </c>
      <c r="J86" s="40"/>
      <c r="K86" s="55" t="str">
        <f>INDEX(Tableau6[TS],MATCH(Tableau5[[#This Row],[Type Signal]],Tableau6[TypeSignal],0))&amp;""</f>
        <v>ET</v>
      </c>
      <c r="L86" s="55"/>
      <c r="M86" s="21"/>
      <c r="N86" s="20" t="s">
        <v>759</v>
      </c>
    </row>
    <row r="87" spans="1:14" ht="18" customHeight="1">
      <c r="A87" s="96">
        <v>86</v>
      </c>
      <c r="B87" s="44" t="s">
        <v>835</v>
      </c>
      <c r="C87" s="20" t="s">
        <v>836</v>
      </c>
      <c r="D87" s="20" t="s">
        <v>474</v>
      </c>
      <c r="I87" s="53" t="s">
        <v>213</v>
      </c>
      <c r="J87" s="41"/>
      <c r="K87" s="55" t="str">
        <f>INDEX(Tableau6[TS],MATCH(Tableau5[[#This Row],[Type Signal]],Tableau6[TypeSignal],0))&amp;""</f>
        <v>ST</v>
      </c>
      <c r="L87" s="55"/>
      <c r="M87" s="21"/>
      <c r="N87" s="20" t="s">
        <v>762</v>
      </c>
    </row>
    <row r="88" spans="1:14" ht="18" customHeight="1">
      <c r="A88" s="96">
        <v>87</v>
      </c>
      <c r="B88" s="44" t="s">
        <v>835</v>
      </c>
      <c r="C88" s="20" t="s">
        <v>816</v>
      </c>
      <c r="D88" s="20" t="s">
        <v>816</v>
      </c>
      <c r="H88" s="53" t="s">
        <v>213</v>
      </c>
      <c r="J88" s="40"/>
      <c r="K88" s="55" t="str">
        <f>INDEX(Tableau6[TS],MATCH(Tableau5[[#This Row],[Type Signal]],Tableau6[TypeSignal],0))&amp;""</f>
        <v>ET</v>
      </c>
      <c r="L88" s="55"/>
      <c r="M88" s="21"/>
      <c r="N88" s="20" t="s">
        <v>759</v>
      </c>
    </row>
    <row r="89" spans="1:14" ht="18" customHeight="1">
      <c r="A89" s="96">
        <v>88</v>
      </c>
      <c r="B89" s="44" t="s">
        <v>835</v>
      </c>
      <c r="C89" s="20" t="s">
        <v>837</v>
      </c>
      <c r="D89" s="20" t="s">
        <v>581</v>
      </c>
      <c r="H89" s="53" t="s">
        <v>213</v>
      </c>
      <c r="J89" s="40"/>
      <c r="K89" s="55" t="str">
        <f>INDEX(Tableau6[TS],MATCH(Tableau5[[#This Row],[Type Signal]],Tableau6[TypeSignal],0))&amp;""</f>
        <v>ET</v>
      </c>
      <c r="L89" s="55"/>
      <c r="M89" s="21"/>
      <c r="N89" s="20" t="s">
        <v>759</v>
      </c>
    </row>
    <row r="90" spans="1:14" ht="18" customHeight="1">
      <c r="A90" s="96">
        <v>89</v>
      </c>
      <c r="B90" s="44" t="s">
        <v>835</v>
      </c>
      <c r="C90" s="20" t="s">
        <v>838</v>
      </c>
      <c r="D90" s="20" t="s">
        <v>307</v>
      </c>
      <c r="H90" s="53" t="s">
        <v>213</v>
      </c>
      <c r="J90" s="41"/>
      <c r="K90" s="55" t="str">
        <f>INDEX(Tableau6[TS],MATCH(Tableau5[[#This Row],[Type Signal]],Tableau6[TypeSignal],0))&amp;""</f>
        <v>ST</v>
      </c>
      <c r="L90" s="55"/>
      <c r="M90" s="21"/>
      <c r="N90" s="20" t="s">
        <v>762</v>
      </c>
    </row>
    <row r="91" spans="1:14" ht="18" customHeight="1">
      <c r="A91" s="96">
        <v>90</v>
      </c>
      <c r="B91" s="44" t="s">
        <v>835</v>
      </c>
      <c r="C91" s="20" t="s">
        <v>839</v>
      </c>
      <c r="D91" s="20" t="s">
        <v>575</v>
      </c>
      <c r="H91" s="53" t="s">
        <v>213</v>
      </c>
      <c r="J91" s="41"/>
      <c r="K91" s="55" t="str">
        <f>INDEX(Tableau6[TS],MATCH(Tableau5[[#This Row],[Type Signal]],Tableau6[TypeSignal],0))&amp;""</f>
        <v>ST</v>
      </c>
      <c r="L91" s="55"/>
      <c r="M91" s="21"/>
      <c r="N91" s="20" t="s">
        <v>762</v>
      </c>
    </row>
    <row r="92" spans="1:14" ht="18" customHeight="1">
      <c r="A92" s="96">
        <v>91</v>
      </c>
      <c r="B92" s="44" t="s">
        <v>835</v>
      </c>
      <c r="C92" s="20" t="s">
        <v>816</v>
      </c>
      <c r="D92" s="20" t="s">
        <v>816</v>
      </c>
      <c r="H92" s="53" t="s">
        <v>213</v>
      </c>
      <c r="J92" s="41"/>
      <c r="K92" s="55" t="str">
        <f>INDEX(Tableau6[TS],MATCH(Tableau5[[#This Row],[Type Signal]],Tableau6[TypeSignal],0))&amp;""</f>
        <v>ST</v>
      </c>
      <c r="L92" s="55"/>
      <c r="M92" s="21"/>
      <c r="N92" s="20" t="s">
        <v>762</v>
      </c>
    </row>
    <row r="93" spans="1:14" ht="18" customHeight="1">
      <c r="A93" s="96">
        <v>92</v>
      </c>
      <c r="B93" s="44" t="s">
        <v>835</v>
      </c>
      <c r="C93" s="20" t="s">
        <v>840</v>
      </c>
      <c r="D93" s="20" t="s">
        <v>308</v>
      </c>
      <c r="H93" s="53" t="s">
        <v>213</v>
      </c>
      <c r="J93" s="40"/>
      <c r="K93" s="55" t="str">
        <f>INDEX(Tableau6[TS],MATCH(Tableau5[[#This Row],[Type Signal]],Tableau6[TypeSignal],0))&amp;""</f>
        <v>ET</v>
      </c>
      <c r="L93" s="55"/>
      <c r="M93" s="21"/>
      <c r="N93" s="20" t="s">
        <v>759</v>
      </c>
    </row>
    <row r="94" spans="1:14" ht="18" customHeight="1">
      <c r="A94" s="96">
        <v>93</v>
      </c>
      <c r="B94" s="44" t="s">
        <v>835</v>
      </c>
      <c r="C94" s="20" t="s">
        <v>487</v>
      </c>
      <c r="D94" s="20" t="s">
        <v>487</v>
      </c>
      <c r="H94" s="53" t="s">
        <v>213</v>
      </c>
      <c r="J94" s="40"/>
      <c r="K94" s="55" t="str">
        <f>INDEX(Tableau6[TS],MATCH(Tableau5[[#This Row],[Type Signal]],Tableau6[TypeSignal],0))&amp;""</f>
        <v>ET</v>
      </c>
      <c r="L94" s="55"/>
      <c r="M94" s="21"/>
      <c r="N94" s="20" t="s">
        <v>759</v>
      </c>
    </row>
    <row r="95" spans="1:14" ht="18" customHeight="1">
      <c r="A95" s="96">
        <v>94</v>
      </c>
      <c r="B95" s="44" t="s">
        <v>835</v>
      </c>
      <c r="C95" s="20" t="s">
        <v>787</v>
      </c>
      <c r="D95" s="20" t="s">
        <v>259</v>
      </c>
      <c r="H95" s="53" t="s">
        <v>213</v>
      </c>
      <c r="J95" s="40"/>
      <c r="K95" s="55" t="str">
        <f>INDEX(Tableau6[TS],MATCH(Tableau5[[#This Row],[Type Signal]],Tableau6[TypeSignal],0))&amp;""</f>
        <v>ET</v>
      </c>
      <c r="L95" s="55"/>
      <c r="M95" s="21"/>
      <c r="N95" s="20" t="s">
        <v>759</v>
      </c>
    </row>
    <row r="96" spans="1:14" ht="18" customHeight="1">
      <c r="A96" s="96">
        <v>95</v>
      </c>
      <c r="B96" s="44" t="s">
        <v>835</v>
      </c>
      <c r="C96" s="20" t="s">
        <v>841</v>
      </c>
      <c r="D96" s="20" t="s">
        <v>582</v>
      </c>
      <c r="H96" s="53" t="s">
        <v>213</v>
      </c>
      <c r="J96" s="40"/>
      <c r="K96" s="55" t="str">
        <f>INDEX(Tableau6[TS],MATCH(Tableau5[[#This Row],[Type Signal]],Tableau6[TypeSignal],0))&amp;""</f>
        <v>ET</v>
      </c>
      <c r="L96" s="55"/>
      <c r="M96" s="21"/>
      <c r="N96" s="20" t="s">
        <v>759</v>
      </c>
    </row>
    <row r="97" spans="1:14" ht="18" customHeight="1">
      <c r="A97" s="96">
        <v>96</v>
      </c>
      <c r="B97" s="44" t="s">
        <v>835</v>
      </c>
      <c r="C97" s="20" t="s">
        <v>842</v>
      </c>
      <c r="D97" s="20" t="s">
        <v>262</v>
      </c>
      <c r="H97" s="53" t="s">
        <v>213</v>
      </c>
      <c r="J97" s="40"/>
      <c r="K97" s="55" t="str">
        <f>INDEX(Tableau6[TS],MATCH(Tableau5[[#This Row],[Type Signal]],Tableau6[TypeSignal],0))&amp;""</f>
        <v>ET</v>
      </c>
      <c r="L97" s="55"/>
      <c r="M97" s="21"/>
      <c r="N97" s="20" t="s">
        <v>759</v>
      </c>
    </row>
    <row r="98" spans="1:14" ht="18" customHeight="1">
      <c r="A98" s="96">
        <v>97</v>
      </c>
      <c r="B98" s="44" t="s">
        <v>843</v>
      </c>
      <c r="C98" s="20" t="s">
        <v>844</v>
      </c>
      <c r="D98" s="20" t="s">
        <v>497</v>
      </c>
      <c r="I98" s="53" t="s">
        <v>213</v>
      </c>
      <c r="J98" s="40"/>
      <c r="K98" s="55" t="str">
        <f>INDEX(Tableau6[TS],MATCH(Tableau5[[#This Row],[Type Signal]],Tableau6[TypeSignal],0))&amp;""</f>
        <v>ET</v>
      </c>
      <c r="L98" s="55"/>
      <c r="M98" s="21"/>
      <c r="N98" s="20" t="s">
        <v>759</v>
      </c>
    </row>
    <row r="99" spans="1:14" ht="18" customHeight="1">
      <c r="A99" s="96">
        <v>98</v>
      </c>
      <c r="B99" s="44" t="s">
        <v>843</v>
      </c>
      <c r="C99" s="20" t="s">
        <v>845</v>
      </c>
      <c r="D99" s="20" t="s">
        <v>498</v>
      </c>
      <c r="I99" s="53" t="s">
        <v>213</v>
      </c>
      <c r="J99" s="40"/>
      <c r="K99" s="55" t="str">
        <f>INDEX(Tableau6[TS],MATCH(Tableau5[[#This Row],[Type Signal]],Tableau6[TypeSignal],0))&amp;""</f>
        <v>ET</v>
      </c>
      <c r="L99" s="55"/>
      <c r="M99" s="21"/>
      <c r="N99" s="20" t="s">
        <v>759</v>
      </c>
    </row>
    <row r="100" spans="1:14" ht="18" customHeight="1">
      <c r="A100" s="96">
        <v>99</v>
      </c>
      <c r="B100" s="44" t="s">
        <v>846</v>
      </c>
      <c r="C100" s="20" t="s">
        <v>847</v>
      </c>
      <c r="D100" s="20" t="s">
        <v>261</v>
      </c>
      <c r="H100" s="53" t="s">
        <v>213</v>
      </c>
      <c r="J100" s="41"/>
      <c r="K100" s="55" t="str">
        <f>INDEX(Tableau6[TS],MATCH(Tableau5[[#This Row],[Type Signal]],Tableau6[TypeSignal],0))&amp;""</f>
        <v>ST</v>
      </c>
      <c r="L100" s="55"/>
      <c r="M100" s="21"/>
      <c r="N100" s="20" t="s">
        <v>762</v>
      </c>
    </row>
    <row r="101" spans="1:14" ht="18" customHeight="1">
      <c r="A101" s="96">
        <v>100</v>
      </c>
      <c r="B101" s="44" t="s">
        <v>848</v>
      </c>
      <c r="C101" s="20" t="s">
        <v>849</v>
      </c>
      <c r="D101" s="20" t="s">
        <v>484</v>
      </c>
      <c r="H101" s="53" t="s">
        <v>213</v>
      </c>
      <c r="J101" s="40"/>
      <c r="K101" s="55" t="str">
        <f>INDEX(Tableau6[TS],MATCH(Tableau5[[#This Row],[Type Signal]],Tableau6[TypeSignal],0))&amp;""</f>
        <v>ET</v>
      </c>
      <c r="L101" s="55"/>
      <c r="M101" s="21"/>
      <c r="N101" s="20" t="s">
        <v>759</v>
      </c>
    </row>
    <row r="102" spans="1:14" ht="18" customHeight="1">
      <c r="A102" s="96">
        <v>101</v>
      </c>
      <c r="B102" s="44" t="s">
        <v>848</v>
      </c>
      <c r="C102" s="20" t="s">
        <v>850</v>
      </c>
      <c r="D102" s="20" t="s">
        <v>637</v>
      </c>
      <c r="I102" s="53" t="s">
        <v>213</v>
      </c>
      <c r="J102" s="40"/>
      <c r="K102" s="55" t="str">
        <f>INDEX(Tableau6[TS],MATCH(Tableau5[[#This Row],[Type Signal]],Tableau6[TypeSignal],0))&amp;""</f>
        <v>ET</v>
      </c>
      <c r="L102" s="55"/>
      <c r="M102" s="21"/>
      <c r="N102" s="20" t="s">
        <v>759</v>
      </c>
    </row>
    <row r="103" spans="1:14" ht="18" customHeight="1">
      <c r="A103" s="96">
        <v>102</v>
      </c>
      <c r="B103" s="44" t="s">
        <v>851</v>
      </c>
      <c r="C103" s="20" t="s">
        <v>849</v>
      </c>
      <c r="D103" s="20" t="s">
        <v>484</v>
      </c>
      <c r="H103" s="53" t="s">
        <v>213</v>
      </c>
      <c r="J103" s="40"/>
      <c r="K103" s="55" t="str">
        <f>INDEX(Tableau6[TS],MATCH(Tableau5[[#This Row],[Type Signal]],Tableau6[TypeSignal],0))&amp;""</f>
        <v>ET</v>
      </c>
      <c r="L103" s="55"/>
      <c r="M103" s="21"/>
      <c r="N103" s="20" t="s">
        <v>759</v>
      </c>
    </row>
    <row r="104" spans="1:14" ht="18" customHeight="1">
      <c r="A104" s="96">
        <v>103</v>
      </c>
      <c r="B104" s="44" t="s">
        <v>851</v>
      </c>
      <c r="C104" s="20" t="s">
        <v>850</v>
      </c>
      <c r="D104" s="20" t="s">
        <v>637</v>
      </c>
      <c r="I104" s="53" t="s">
        <v>213</v>
      </c>
      <c r="J104" s="40"/>
      <c r="K104" s="55" t="str">
        <f>INDEX(Tableau6[TS],MATCH(Tableau5[[#This Row],[Type Signal]],Tableau6[TypeSignal],0))&amp;""</f>
        <v>ET</v>
      </c>
      <c r="L104" s="55"/>
      <c r="M104" s="21"/>
      <c r="N104" s="20" t="s">
        <v>759</v>
      </c>
    </row>
    <row r="105" spans="1:14" ht="18" customHeight="1">
      <c r="A105" s="96">
        <v>104</v>
      </c>
      <c r="B105" s="44" t="s">
        <v>852</v>
      </c>
      <c r="C105" s="20" t="s">
        <v>772</v>
      </c>
      <c r="D105" s="20" t="s">
        <v>260</v>
      </c>
      <c r="H105" s="53" t="s">
        <v>213</v>
      </c>
      <c r="J105" s="40"/>
      <c r="K105" s="55" t="str">
        <f>INDEX(Tableau6[TS],MATCH(Tableau5[[#This Row],[Type Signal]],Tableau6[TypeSignal],0))&amp;""</f>
        <v>ET</v>
      </c>
      <c r="L105" s="55"/>
      <c r="M105" s="21"/>
      <c r="N105" s="20" t="s">
        <v>759</v>
      </c>
    </row>
    <row r="106" spans="1:14" ht="18" customHeight="1">
      <c r="A106" s="96">
        <v>105</v>
      </c>
      <c r="B106" s="44" t="s">
        <v>853</v>
      </c>
      <c r="C106" s="20" t="s">
        <v>854</v>
      </c>
      <c r="D106" s="20" t="s">
        <v>472</v>
      </c>
      <c r="H106" s="53" t="s">
        <v>213</v>
      </c>
      <c r="J106" s="41"/>
      <c r="K106" s="55" t="str">
        <f>INDEX(Tableau6[TS],MATCH(Tableau5[[#This Row],[Type Signal]],Tableau6[TypeSignal],0))&amp;""</f>
        <v>ST</v>
      </c>
      <c r="L106" s="55"/>
      <c r="M106" s="21"/>
      <c r="N106" s="20" t="s">
        <v>762</v>
      </c>
    </row>
    <row r="107" spans="1:14" ht="18" customHeight="1">
      <c r="A107" s="96">
        <v>106</v>
      </c>
      <c r="B107" s="44" t="s">
        <v>853</v>
      </c>
      <c r="C107" s="20" t="s">
        <v>855</v>
      </c>
      <c r="D107" s="20" t="s">
        <v>258</v>
      </c>
      <c r="H107" s="53" t="s">
        <v>213</v>
      </c>
      <c r="J107" s="40"/>
      <c r="K107" s="55" t="str">
        <f>INDEX(Tableau6[TS],MATCH(Tableau5[[#This Row],[Type Signal]],Tableau6[TypeSignal],0))&amp;""</f>
        <v>ET</v>
      </c>
      <c r="L107" s="55"/>
      <c r="M107" s="21"/>
      <c r="N107" s="20" t="s">
        <v>759</v>
      </c>
    </row>
    <row r="108" spans="1:14" ht="18" customHeight="1">
      <c r="A108" s="96">
        <v>107</v>
      </c>
      <c r="B108" s="44" t="s">
        <v>856</v>
      </c>
      <c r="C108" s="20" t="s">
        <v>857</v>
      </c>
      <c r="D108" s="20" t="s">
        <v>276</v>
      </c>
      <c r="H108" s="53" t="s">
        <v>213</v>
      </c>
      <c r="J108" s="41"/>
      <c r="K108" s="55" t="str">
        <f>INDEX(Tableau6[TS],MATCH(Tableau5[[#This Row],[Type Signal]],Tableau6[TypeSignal],0))&amp;""</f>
        <v>ST</v>
      </c>
      <c r="L108" s="55"/>
      <c r="M108" s="21"/>
      <c r="N108" s="20" t="s">
        <v>762</v>
      </c>
    </row>
    <row r="109" spans="1:14" ht="18" customHeight="1">
      <c r="A109" s="96">
        <v>108</v>
      </c>
      <c r="B109" s="44" t="s">
        <v>856</v>
      </c>
      <c r="C109" s="20" t="s">
        <v>858</v>
      </c>
      <c r="D109" s="20" t="s">
        <v>258</v>
      </c>
      <c r="H109" s="53" t="s">
        <v>213</v>
      </c>
      <c r="J109" s="40"/>
      <c r="K109" s="55" t="str">
        <f>INDEX(Tableau6[TS],MATCH(Tableau5[[#This Row],[Type Signal]],Tableau6[TypeSignal],0))&amp;""</f>
        <v>ET</v>
      </c>
      <c r="L109" s="55"/>
      <c r="M109" s="21"/>
      <c r="N109" s="20" t="s">
        <v>759</v>
      </c>
    </row>
    <row r="110" spans="1:14" ht="18" customHeight="1">
      <c r="A110" s="96">
        <v>109</v>
      </c>
      <c r="B110" s="44" t="s">
        <v>859</v>
      </c>
      <c r="C110" s="20" t="s">
        <v>860</v>
      </c>
      <c r="D110" s="20" t="s">
        <v>555</v>
      </c>
      <c r="I110" s="53" t="s">
        <v>213</v>
      </c>
      <c r="J110" s="41"/>
      <c r="K110" s="55" t="str">
        <f>INDEX(Tableau6[TS],MATCH(Tableau5[[#This Row],[Type Signal]],Tableau6[TypeSignal],0))&amp;""</f>
        <v>ST</v>
      </c>
      <c r="L110" s="55"/>
      <c r="M110" s="21"/>
      <c r="N110" s="20" t="s">
        <v>762</v>
      </c>
    </row>
    <row r="111" spans="1:14" ht="18" customHeight="1">
      <c r="A111" s="96">
        <v>110</v>
      </c>
      <c r="B111" s="44" t="s">
        <v>859</v>
      </c>
      <c r="C111" s="20" t="s">
        <v>861</v>
      </c>
      <c r="D111" s="20" t="s">
        <v>469</v>
      </c>
      <c r="I111" s="53" t="s">
        <v>213</v>
      </c>
      <c r="J111" s="41"/>
      <c r="K111" s="55" t="str">
        <f>INDEX(Tableau6[TS],MATCH(Tableau5[[#This Row],[Type Signal]],Tableau6[TypeSignal],0))&amp;""</f>
        <v>ST</v>
      </c>
      <c r="L111" s="55"/>
      <c r="M111" s="21"/>
      <c r="N111" s="20" t="s">
        <v>762</v>
      </c>
    </row>
    <row r="112" spans="1:14" ht="18" customHeight="1">
      <c r="A112" s="96">
        <v>111</v>
      </c>
      <c r="B112" s="44" t="s">
        <v>859</v>
      </c>
      <c r="C112" s="20" t="s">
        <v>862</v>
      </c>
      <c r="D112" s="20" t="s">
        <v>863</v>
      </c>
      <c r="I112" s="53" t="s">
        <v>213</v>
      </c>
      <c r="J112" s="41"/>
      <c r="K112" s="55" t="str">
        <f>INDEX(Tableau6[TS],MATCH(Tableau5[[#This Row],[Type Signal]],Tableau6[TypeSignal],0))&amp;""</f>
        <v>ST</v>
      </c>
      <c r="L112" s="55"/>
      <c r="M112" s="21"/>
      <c r="N112" s="20" t="s">
        <v>762</v>
      </c>
    </row>
    <row r="113" spans="1:14" ht="18" customHeight="1">
      <c r="A113" s="96">
        <v>112</v>
      </c>
      <c r="B113" s="44" t="s">
        <v>859</v>
      </c>
      <c r="C113" s="20" t="s">
        <v>864</v>
      </c>
      <c r="D113" s="20" t="s">
        <v>525</v>
      </c>
      <c r="H113" s="53" t="s">
        <v>213</v>
      </c>
      <c r="J113" s="40"/>
      <c r="K113" s="55" t="str">
        <f>INDEX(Tableau6[TS],MATCH(Tableau5[[#This Row],[Type Signal]],Tableau6[TypeSignal],0))&amp;""</f>
        <v>ET</v>
      </c>
      <c r="L113" s="55"/>
      <c r="M113" s="21"/>
      <c r="N113" s="20" t="s">
        <v>759</v>
      </c>
    </row>
    <row r="114" spans="1:14" ht="18" customHeight="1">
      <c r="A114" s="96">
        <v>113</v>
      </c>
      <c r="B114" s="44" t="s">
        <v>859</v>
      </c>
      <c r="C114" s="20" t="s">
        <v>865</v>
      </c>
      <c r="D114" s="20" t="s">
        <v>535</v>
      </c>
      <c r="H114" s="53" t="s">
        <v>213</v>
      </c>
      <c r="J114" s="40"/>
      <c r="K114" s="55" t="str">
        <f>INDEX(Tableau6[TS],MATCH(Tableau5[[#This Row],[Type Signal]],Tableau6[TypeSignal],0))&amp;""</f>
        <v>ET</v>
      </c>
      <c r="L114" s="55"/>
      <c r="M114" s="21"/>
      <c r="N114" s="20" t="s">
        <v>759</v>
      </c>
    </row>
    <row r="115" spans="1:14" ht="18" customHeight="1">
      <c r="A115" s="96">
        <v>114</v>
      </c>
      <c r="B115" s="44" t="s">
        <v>859</v>
      </c>
      <c r="C115" s="20" t="s">
        <v>866</v>
      </c>
      <c r="D115" s="20" t="s">
        <v>867</v>
      </c>
      <c r="H115" s="53" t="s">
        <v>213</v>
      </c>
      <c r="J115" s="40"/>
      <c r="K115" s="55" t="str">
        <f>INDEX(Tableau6[TS],MATCH(Tableau5[[#This Row],[Type Signal]],Tableau6[TypeSignal],0))&amp;""</f>
        <v>ET</v>
      </c>
      <c r="L115" s="55"/>
      <c r="M115" s="21"/>
      <c r="N115" s="20" t="s">
        <v>759</v>
      </c>
    </row>
    <row r="116" spans="1:14" ht="18" customHeight="1">
      <c r="A116" s="96">
        <v>115</v>
      </c>
      <c r="B116" s="44" t="s">
        <v>859</v>
      </c>
      <c r="C116" s="20" t="s">
        <v>868</v>
      </c>
      <c r="D116" s="20" t="s">
        <v>816</v>
      </c>
      <c r="H116" s="53" t="s">
        <v>213</v>
      </c>
      <c r="J116" s="40"/>
      <c r="K116" s="55" t="str">
        <f>INDEX(Tableau6[TS],MATCH(Tableau5[[#This Row],[Type Signal]],Tableau6[TypeSignal],0))&amp;""</f>
        <v>ET</v>
      </c>
      <c r="L116" s="55"/>
      <c r="M116" s="21"/>
      <c r="N116" s="20" t="s">
        <v>759</v>
      </c>
    </row>
    <row r="117" spans="1:14" ht="18" customHeight="1">
      <c r="A117" s="96">
        <v>116</v>
      </c>
      <c r="B117" s="44" t="s">
        <v>859</v>
      </c>
      <c r="C117" s="20" t="s">
        <v>869</v>
      </c>
      <c r="D117" s="20" t="s">
        <v>241</v>
      </c>
      <c r="H117" s="53" t="s">
        <v>213</v>
      </c>
      <c r="J117" s="41"/>
      <c r="K117" s="55" t="str">
        <f>INDEX(Tableau6[TS],MATCH(Tableau5[[#This Row],[Type Signal]],Tableau6[TypeSignal],0))&amp;""</f>
        <v>ST</v>
      </c>
      <c r="L117" s="55"/>
      <c r="M117" s="21"/>
      <c r="N117" s="20" t="s">
        <v>762</v>
      </c>
    </row>
    <row r="118" spans="1:14" ht="18" customHeight="1">
      <c r="A118" s="96">
        <v>117</v>
      </c>
      <c r="B118" s="44" t="s">
        <v>859</v>
      </c>
      <c r="C118" s="20" t="s">
        <v>870</v>
      </c>
      <c r="D118" s="20" t="s">
        <v>509</v>
      </c>
      <c r="H118" s="53" t="s">
        <v>213</v>
      </c>
      <c r="J118" s="41"/>
      <c r="K118" s="55" t="str">
        <f>INDEX(Tableau6[TS],MATCH(Tableau5[[#This Row],[Type Signal]],Tableau6[TypeSignal],0))&amp;""</f>
        <v>ST</v>
      </c>
      <c r="L118" s="55"/>
      <c r="M118" s="21"/>
      <c r="N118" s="20" t="s">
        <v>762</v>
      </c>
    </row>
    <row r="119" spans="1:14" ht="18" customHeight="1">
      <c r="A119" s="96">
        <v>118</v>
      </c>
      <c r="B119" s="44" t="s">
        <v>859</v>
      </c>
      <c r="C119" s="20" t="s">
        <v>871</v>
      </c>
      <c r="D119" s="20" t="s">
        <v>242</v>
      </c>
      <c r="H119" s="53" t="s">
        <v>213</v>
      </c>
      <c r="J119" s="41"/>
      <c r="K119" s="55" t="str">
        <f>INDEX(Tableau6[TS],MATCH(Tableau5[[#This Row],[Type Signal]],Tableau6[TypeSignal],0))&amp;""</f>
        <v>ST</v>
      </c>
      <c r="L119" s="55"/>
      <c r="M119" s="21"/>
      <c r="N119" s="20" t="s">
        <v>762</v>
      </c>
    </row>
    <row r="120" spans="1:14" ht="18" customHeight="1">
      <c r="A120" s="96">
        <v>119</v>
      </c>
      <c r="B120" s="44" t="s">
        <v>859</v>
      </c>
      <c r="C120" s="20" t="s">
        <v>868</v>
      </c>
      <c r="D120" s="20" t="s">
        <v>816</v>
      </c>
      <c r="H120" s="53" t="s">
        <v>213</v>
      </c>
      <c r="J120" s="41"/>
      <c r="K120" s="55" t="str">
        <f>INDEX(Tableau6[TS],MATCH(Tableau5[[#This Row],[Type Signal]],Tableau6[TypeSignal],0))&amp;""</f>
        <v>ST</v>
      </c>
      <c r="L120" s="55"/>
      <c r="M120" s="21"/>
      <c r="N120" s="20" t="s">
        <v>762</v>
      </c>
    </row>
    <row r="121" spans="1:14" ht="18" customHeight="1">
      <c r="A121" s="96">
        <v>120</v>
      </c>
      <c r="B121" s="44" t="s">
        <v>859</v>
      </c>
      <c r="C121" s="20" t="s">
        <v>872</v>
      </c>
      <c r="D121" s="20" t="s">
        <v>510</v>
      </c>
      <c r="H121" s="53" t="s">
        <v>213</v>
      </c>
      <c r="J121" s="41"/>
      <c r="K121" s="55" t="str">
        <f>INDEX(Tableau6[TS],MATCH(Tableau5[[#This Row],[Type Signal]],Tableau6[TypeSignal],0))&amp;""</f>
        <v>ST</v>
      </c>
      <c r="L121" s="55"/>
      <c r="M121" s="21"/>
      <c r="N121" s="20" t="s">
        <v>762</v>
      </c>
    </row>
    <row r="122" spans="1:14" ht="18" customHeight="1">
      <c r="A122" s="96">
        <v>121</v>
      </c>
      <c r="B122" s="44" t="s">
        <v>859</v>
      </c>
      <c r="C122" s="20" t="s">
        <v>873</v>
      </c>
      <c r="D122" s="20" t="s">
        <v>251</v>
      </c>
      <c r="H122" s="53" t="s">
        <v>213</v>
      </c>
      <c r="J122" s="41"/>
      <c r="K122" s="55" t="str">
        <f>INDEX(Tableau6[TS],MATCH(Tableau5[[#This Row],[Type Signal]],Tableau6[TypeSignal],0))&amp;""</f>
        <v>ST</v>
      </c>
      <c r="L122" s="55"/>
      <c r="M122" s="21"/>
      <c r="N122" s="20" t="s">
        <v>762</v>
      </c>
    </row>
    <row r="123" spans="1:14" ht="18" customHeight="1">
      <c r="A123" s="96">
        <v>122</v>
      </c>
      <c r="B123" s="44" t="s">
        <v>859</v>
      </c>
      <c r="C123" s="20" t="s">
        <v>874</v>
      </c>
      <c r="D123" s="20" t="s">
        <v>252</v>
      </c>
      <c r="H123" s="53" t="s">
        <v>213</v>
      </c>
      <c r="J123" s="41"/>
      <c r="K123" s="55" t="str">
        <f>INDEX(Tableau6[TS],MATCH(Tableau5[[#This Row],[Type Signal]],Tableau6[TypeSignal],0))&amp;""</f>
        <v>ST</v>
      </c>
      <c r="L123" s="55"/>
      <c r="M123" s="21"/>
      <c r="N123" s="20" t="s">
        <v>762</v>
      </c>
    </row>
    <row r="124" spans="1:14" ht="18" customHeight="1">
      <c r="A124" s="96">
        <v>123</v>
      </c>
      <c r="B124" s="44" t="s">
        <v>859</v>
      </c>
      <c r="C124" s="20" t="s">
        <v>875</v>
      </c>
      <c r="D124" s="20" t="s">
        <v>876</v>
      </c>
      <c r="H124" s="53" t="s">
        <v>213</v>
      </c>
      <c r="J124" s="41"/>
      <c r="K124" s="55" t="str">
        <f>INDEX(Tableau6[TS],MATCH(Tableau5[[#This Row],[Type Signal]],Tableau6[TypeSignal],0))&amp;""</f>
        <v>ST</v>
      </c>
      <c r="L124" s="55"/>
      <c r="M124" s="21"/>
      <c r="N124" s="20" t="s">
        <v>762</v>
      </c>
    </row>
    <row r="125" spans="1:14" ht="18" customHeight="1">
      <c r="A125" s="96">
        <v>124</v>
      </c>
      <c r="B125" s="44" t="s">
        <v>859</v>
      </c>
      <c r="C125" s="20" t="s">
        <v>877</v>
      </c>
      <c r="D125" s="20" t="s">
        <v>240</v>
      </c>
      <c r="H125" s="53" t="s">
        <v>213</v>
      </c>
      <c r="J125" s="40"/>
      <c r="K125" s="55" t="str">
        <f>INDEX(Tableau6[TS],MATCH(Tableau5[[#This Row],[Type Signal]],Tableau6[TypeSignal],0))&amp;""</f>
        <v>ET</v>
      </c>
      <c r="L125" s="55"/>
      <c r="M125" s="21"/>
      <c r="N125" s="20" t="s">
        <v>759</v>
      </c>
    </row>
    <row r="126" spans="1:14" ht="18" customHeight="1">
      <c r="A126" s="96">
        <v>125</v>
      </c>
      <c r="B126" s="44" t="s">
        <v>859</v>
      </c>
      <c r="C126" s="20" t="s">
        <v>878</v>
      </c>
      <c r="D126" s="20" t="s">
        <v>522</v>
      </c>
      <c r="H126" s="53" t="s">
        <v>213</v>
      </c>
      <c r="J126" s="40"/>
      <c r="K126" s="55" t="str">
        <f>INDEX(Tableau6[TS],MATCH(Tableau5[[#This Row],[Type Signal]],Tableau6[TypeSignal],0))&amp;""</f>
        <v>ET</v>
      </c>
      <c r="L126" s="55"/>
      <c r="M126" s="21"/>
      <c r="N126" s="20" t="s">
        <v>759</v>
      </c>
    </row>
    <row r="127" spans="1:14" ht="18" customHeight="1">
      <c r="A127" s="96">
        <v>126</v>
      </c>
      <c r="B127" s="44" t="s">
        <v>859</v>
      </c>
      <c r="C127" s="20" t="s">
        <v>879</v>
      </c>
      <c r="D127" s="20" t="s">
        <v>244</v>
      </c>
      <c r="H127" s="53" t="s">
        <v>213</v>
      </c>
      <c r="J127" s="40"/>
      <c r="K127" s="55" t="str">
        <f>INDEX(Tableau6[TS],MATCH(Tableau5[[#This Row],[Type Signal]],Tableau6[TypeSignal],0))&amp;""</f>
        <v>ET</v>
      </c>
      <c r="L127" s="55"/>
      <c r="M127" s="21"/>
      <c r="N127" s="20" t="s">
        <v>759</v>
      </c>
    </row>
    <row r="128" spans="1:14" ht="18" customHeight="1">
      <c r="A128" s="96">
        <v>127</v>
      </c>
      <c r="B128" s="44" t="s">
        <v>859</v>
      </c>
      <c r="C128" s="20" t="s">
        <v>880</v>
      </c>
      <c r="D128" s="20" t="s">
        <v>563</v>
      </c>
      <c r="H128" s="53" t="s">
        <v>213</v>
      </c>
      <c r="J128" s="40"/>
      <c r="K128" s="55" t="str">
        <f>INDEX(Tableau6[TS],MATCH(Tableau5[[#This Row],[Type Signal]],Tableau6[TypeSignal],0))&amp;""</f>
        <v>ET</v>
      </c>
      <c r="L128" s="55"/>
      <c r="M128" s="21"/>
      <c r="N128" s="20" t="s">
        <v>759</v>
      </c>
    </row>
    <row r="129" spans="1:14" ht="18" customHeight="1">
      <c r="A129" s="96">
        <v>128</v>
      </c>
      <c r="B129" s="44" t="s">
        <v>859</v>
      </c>
      <c r="C129" s="20" t="s">
        <v>881</v>
      </c>
      <c r="D129" s="20" t="s">
        <v>245</v>
      </c>
      <c r="H129" s="53" t="s">
        <v>213</v>
      </c>
      <c r="J129" s="40"/>
      <c r="K129" s="55" t="str">
        <f>INDEX(Tableau6[TS],MATCH(Tableau5[[#This Row],[Type Signal]],Tableau6[TypeSignal],0))&amp;""</f>
        <v>ET</v>
      </c>
      <c r="L129" s="55"/>
      <c r="M129" s="21"/>
      <c r="N129" s="20" t="s">
        <v>759</v>
      </c>
    </row>
    <row r="130" spans="1:14" ht="18" customHeight="1">
      <c r="A130" s="96">
        <v>129</v>
      </c>
      <c r="B130" s="44" t="s">
        <v>859</v>
      </c>
      <c r="C130" s="20" t="s">
        <v>882</v>
      </c>
      <c r="D130" s="20" t="s">
        <v>328</v>
      </c>
      <c r="H130" s="53" t="s">
        <v>213</v>
      </c>
      <c r="J130" s="40"/>
      <c r="K130" s="55" t="str">
        <f>INDEX(Tableau6[TS],MATCH(Tableau5[[#This Row],[Type Signal]],Tableau6[TypeSignal],0))&amp;""</f>
        <v>ET</v>
      </c>
      <c r="L130" s="55"/>
      <c r="M130" s="21"/>
      <c r="N130" s="20" t="s">
        <v>759</v>
      </c>
    </row>
    <row r="131" spans="1:14" ht="18" customHeight="1">
      <c r="A131" s="96">
        <v>130</v>
      </c>
      <c r="B131" s="44" t="s">
        <v>883</v>
      </c>
      <c r="C131" s="20" t="s">
        <v>884</v>
      </c>
      <c r="D131" s="20" t="s">
        <v>518</v>
      </c>
      <c r="H131" s="53" t="s">
        <v>213</v>
      </c>
      <c r="J131" s="40"/>
      <c r="K131" s="55" t="str">
        <f>INDEX(Tableau6[TS],MATCH(Tableau5[[#This Row],[Type Signal]],Tableau6[TypeSignal],0))&amp;""</f>
        <v>ET</v>
      </c>
      <c r="L131" s="55"/>
      <c r="M131" s="21"/>
      <c r="N131" s="20" t="s">
        <v>759</v>
      </c>
    </row>
    <row r="132" spans="1:14" ht="18" customHeight="1">
      <c r="A132" s="96">
        <v>131</v>
      </c>
      <c r="B132" s="44" t="s">
        <v>883</v>
      </c>
      <c r="C132" s="20" t="s">
        <v>885</v>
      </c>
      <c r="D132" s="20" t="s">
        <v>562</v>
      </c>
      <c r="I132" s="53" t="s">
        <v>213</v>
      </c>
      <c r="J132" s="40"/>
      <c r="K132" s="55" t="str">
        <f>INDEX(Tableau6[TS],MATCH(Tableau5[[#This Row],[Type Signal]],Tableau6[TypeSignal],0))&amp;""</f>
        <v>ET</v>
      </c>
      <c r="L132" s="55"/>
      <c r="M132" s="21"/>
      <c r="N132" s="20" t="s">
        <v>759</v>
      </c>
    </row>
    <row r="133" spans="1:14" ht="18" customHeight="1">
      <c r="A133" s="96">
        <v>132</v>
      </c>
      <c r="B133" s="44" t="s">
        <v>883</v>
      </c>
      <c r="C133" s="20" t="s">
        <v>886</v>
      </c>
      <c r="D133" s="20" t="s">
        <v>887</v>
      </c>
      <c r="I133" s="53" t="s">
        <v>213</v>
      </c>
      <c r="J133" s="40"/>
      <c r="K133" s="55" t="str">
        <f>INDEX(Tableau6[TS],MATCH(Tableau5[[#This Row],[Type Signal]],Tableau6[TypeSignal],0))&amp;""</f>
        <v>ET</v>
      </c>
      <c r="L133" s="55"/>
      <c r="M133" s="21"/>
      <c r="N133" s="20" t="s">
        <v>759</v>
      </c>
    </row>
    <row r="134" spans="1:14" ht="18" customHeight="1">
      <c r="A134" s="96">
        <v>133</v>
      </c>
      <c r="B134" s="44" t="s">
        <v>883</v>
      </c>
      <c r="C134" s="20" t="s">
        <v>888</v>
      </c>
      <c r="D134" s="20" t="s">
        <v>524</v>
      </c>
      <c r="H134" s="53" t="s">
        <v>213</v>
      </c>
      <c r="J134" s="40"/>
      <c r="K134" s="55" t="str">
        <f>INDEX(Tableau6[TS],MATCH(Tableau5[[#This Row],[Type Signal]],Tableau6[TypeSignal],0))&amp;""</f>
        <v>ET</v>
      </c>
      <c r="L134" s="55"/>
      <c r="M134" s="21"/>
      <c r="N134" s="20" t="s">
        <v>759</v>
      </c>
    </row>
    <row r="135" spans="1:14" ht="18" customHeight="1">
      <c r="A135" s="96">
        <v>134</v>
      </c>
      <c r="B135" s="44" t="s">
        <v>883</v>
      </c>
      <c r="C135" s="20" t="s">
        <v>889</v>
      </c>
      <c r="D135" s="20" t="s">
        <v>557</v>
      </c>
      <c r="I135" s="53" t="s">
        <v>213</v>
      </c>
      <c r="J135" s="40"/>
      <c r="K135" s="55" t="str">
        <f>INDEX(Tableau6[TS],MATCH(Tableau5[[#This Row],[Type Signal]],Tableau6[TypeSignal],0))&amp;""</f>
        <v>ET</v>
      </c>
      <c r="L135" s="55"/>
      <c r="M135" s="21"/>
      <c r="N135" s="20" t="s">
        <v>759</v>
      </c>
    </row>
    <row r="136" spans="1:14" ht="18" customHeight="1">
      <c r="A136" s="96">
        <v>135</v>
      </c>
      <c r="B136" s="44" t="s">
        <v>883</v>
      </c>
      <c r="C136" s="20" t="s">
        <v>890</v>
      </c>
      <c r="D136" s="20" t="s">
        <v>511</v>
      </c>
      <c r="I136" s="53" t="s">
        <v>213</v>
      </c>
      <c r="J136" s="41"/>
      <c r="K136" s="55" t="str">
        <f>INDEX(Tableau6[TS],MATCH(Tableau5[[#This Row],[Type Signal]],Tableau6[TypeSignal],0))&amp;""</f>
        <v>ST</v>
      </c>
      <c r="L136" s="55"/>
      <c r="M136" s="21"/>
      <c r="N136" s="20" t="s">
        <v>762</v>
      </c>
    </row>
    <row r="137" spans="1:14" ht="18" customHeight="1">
      <c r="A137" s="96">
        <v>136</v>
      </c>
      <c r="B137" s="44" t="s">
        <v>883</v>
      </c>
      <c r="C137" s="20" t="s">
        <v>891</v>
      </c>
      <c r="D137" s="20" t="s">
        <v>512</v>
      </c>
      <c r="I137" s="53" t="s">
        <v>213</v>
      </c>
      <c r="J137" s="41"/>
      <c r="K137" s="55" t="str">
        <f>INDEX(Tableau6[TS],MATCH(Tableau5[[#This Row],[Type Signal]],Tableau6[TypeSignal],0))&amp;""</f>
        <v>ST</v>
      </c>
      <c r="L137" s="55"/>
      <c r="M137" s="21"/>
      <c r="N137" s="20" t="s">
        <v>762</v>
      </c>
    </row>
    <row r="138" spans="1:14" ht="18" customHeight="1">
      <c r="A138" s="96">
        <v>137</v>
      </c>
      <c r="B138" s="44" t="s">
        <v>883</v>
      </c>
      <c r="C138" s="20" t="s">
        <v>892</v>
      </c>
      <c r="D138" s="20" t="s">
        <v>519</v>
      </c>
      <c r="I138" s="53" t="s">
        <v>213</v>
      </c>
      <c r="J138" s="40"/>
      <c r="K138" s="55" t="str">
        <f>INDEX(Tableau6[TS],MATCH(Tableau5[[#This Row],[Type Signal]],Tableau6[TypeSignal],0))&amp;""</f>
        <v>ET</v>
      </c>
      <c r="L138" s="55"/>
      <c r="M138" s="21"/>
      <c r="N138" s="20" t="s">
        <v>759</v>
      </c>
    </row>
    <row r="139" spans="1:14" ht="18" customHeight="1">
      <c r="A139" s="96">
        <v>138</v>
      </c>
      <c r="B139" s="44" t="s">
        <v>883</v>
      </c>
      <c r="C139" s="20" t="s">
        <v>893</v>
      </c>
      <c r="D139" s="20" t="s">
        <v>520</v>
      </c>
      <c r="I139" s="53" t="s">
        <v>213</v>
      </c>
      <c r="J139" s="40"/>
      <c r="K139" s="55" t="str">
        <f>INDEX(Tableau6[TS],MATCH(Tableau5[[#This Row],[Type Signal]],Tableau6[TypeSignal],0))&amp;""</f>
        <v>ET</v>
      </c>
      <c r="L139" s="55"/>
      <c r="M139" s="21"/>
      <c r="N139" s="20" t="s">
        <v>759</v>
      </c>
    </row>
    <row r="140" spans="1:14" ht="18" customHeight="1">
      <c r="A140" s="96">
        <v>139</v>
      </c>
      <c r="B140" s="44" t="s">
        <v>883</v>
      </c>
      <c r="C140" s="20" t="s">
        <v>894</v>
      </c>
      <c r="D140" s="20" t="s">
        <v>521</v>
      </c>
      <c r="I140" s="53" t="s">
        <v>213</v>
      </c>
      <c r="J140" s="40"/>
      <c r="K140" s="55" t="str">
        <f>INDEX(Tableau6[TS],MATCH(Tableau5[[#This Row],[Type Signal]],Tableau6[TypeSignal],0))&amp;""</f>
        <v>ET</v>
      </c>
      <c r="L140" s="55"/>
      <c r="M140" s="21"/>
      <c r="N140" s="20" t="s">
        <v>759</v>
      </c>
    </row>
    <row r="141" spans="1:14" ht="18" customHeight="1">
      <c r="A141" s="96">
        <v>140</v>
      </c>
      <c r="B141" s="44" t="s">
        <v>883</v>
      </c>
      <c r="C141" s="20" t="s">
        <v>895</v>
      </c>
      <c r="D141" s="20" t="s">
        <v>246</v>
      </c>
      <c r="I141" s="53" t="s">
        <v>213</v>
      </c>
      <c r="J141" s="41"/>
      <c r="K141" s="55" t="str">
        <f>INDEX(Tableau6[TS],MATCH(Tableau5[[#This Row],[Type Signal]],Tableau6[TypeSignal],0))&amp;""</f>
        <v>ST</v>
      </c>
      <c r="L141" s="55"/>
      <c r="M141" s="21"/>
      <c r="N141" s="20" t="s">
        <v>762</v>
      </c>
    </row>
    <row r="142" spans="1:14" ht="18" customHeight="1">
      <c r="A142" s="96">
        <v>141</v>
      </c>
      <c r="B142" s="44" t="s">
        <v>883</v>
      </c>
      <c r="C142" s="20" t="s">
        <v>896</v>
      </c>
      <c r="D142" s="20" t="s">
        <v>556</v>
      </c>
      <c r="H142" s="53" t="s">
        <v>213</v>
      </c>
      <c r="J142" s="41"/>
      <c r="K142" s="55" t="str">
        <f>INDEX(Tableau6[TS],MATCH(Tableau5[[#This Row],[Type Signal]],Tableau6[TypeSignal],0))&amp;""</f>
        <v>ST</v>
      </c>
      <c r="L142" s="55"/>
      <c r="M142" s="21"/>
      <c r="N142" s="20" t="s">
        <v>762</v>
      </c>
    </row>
    <row r="143" spans="1:14" ht="18" customHeight="1">
      <c r="A143" s="96">
        <v>142</v>
      </c>
      <c r="B143" s="44" t="s">
        <v>883</v>
      </c>
      <c r="C143" s="20" t="s">
        <v>897</v>
      </c>
      <c r="D143" s="20" t="s">
        <v>247</v>
      </c>
      <c r="I143" s="53" t="s">
        <v>213</v>
      </c>
      <c r="J143" s="41"/>
      <c r="K143" s="55" t="str">
        <f>INDEX(Tableau6[TS],MATCH(Tableau5[[#This Row],[Type Signal]],Tableau6[TypeSignal],0))&amp;""</f>
        <v>ST</v>
      </c>
      <c r="L143" s="55"/>
      <c r="M143" s="21"/>
      <c r="N143" s="20" t="s">
        <v>762</v>
      </c>
    </row>
    <row r="144" spans="1:14" ht="18" customHeight="1">
      <c r="A144" s="96">
        <v>143</v>
      </c>
      <c r="B144" s="44" t="s">
        <v>883</v>
      </c>
      <c r="C144" s="20" t="s">
        <v>868</v>
      </c>
      <c r="D144" s="20" t="s">
        <v>732</v>
      </c>
      <c r="I144" s="53" t="s">
        <v>213</v>
      </c>
      <c r="J144" s="41"/>
      <c r="K144" s="55" t="str">
        <f>INDEX(Tableau6[TS],MATCH(Tableau5[[#This Row],[Type Signal]],Tableau6[TypeSignal],0))&amp;""</f>
        <v>ST</v>
      </c>
      <c r="L144" s="55"/>
      <c r="M144" s="21"/>
      <c r="N144" s="20" t="s">
        <v>762</v>
      </c>
    </row>
    <row r="145" spans="1:14" ht="18" customHeight="1">
      <c r="A145" s="96">
        <v>144</v>
      </c>
      <c r="B145" s="44" t="s">
        <v>883</v>
      </c>
      <c r="C145" s="20" t="s">
        <v>898</v>
      </c>
      <c r="D145" s="20" t="s">
        <v>471</v>
      </c>
      <c r="H145" s="53" t="s">
        <v>213</v>
      </c>
      <c r="J145" s="41"/>
      <c r="K145" s="55" t="str">
        <f>INDEX(Tableau6[TS],MATCH(Tableau5[[#This Row],[Type Signal]],Tableau6[TypeSignal],0))&amp;""</f>
        <v>ST</v>
      </c>
      <c r="L145" s="55"/>
      <c r="M145" s="21"/>
      <c r="N145" s="20" t="s">
        <v>762</v>
      </c>
    </row>
    <row r="146" spans="1:14" ht="18" customHeight="1">
      <c r="A146" s="96">
        <v>145</v>
      </c>
      <c r="B146" s="44" t="s">
        <v>883</v>
      </c>
      <c r="C146" s="20" t="s">
        <v>899</v>
      </c>
      <c r="D146" s="20" t="s">
        <v>248</v>
      </c>
      <c r="I146" s="53" t="s">
        <v>213</v>
      </c>
      <c r="J146" s="40"/>
      <c r="K146" s="55" t="str">
        <f>INDEX(Tableau6[TS],MATCH(Tableau5[[#This Row],[Type Signal]],Tableau6[TypeSignal],0))&amp;""</f>
        <v>ET</v>
      </c>
      <c r="L146" s="55"/>
      <c r="M146" s="21"/>
      <c r="N146" s="20" t="s">
        <v>759</v>
      </c>
    </row>
    <row r="147" spans="1:14" ht="18" customHeight="1">
      <c r="A147" s="96">
        <v>146</v>
      </c>
      <c r="B147" s="44" t="s">
        <v>883</v>
      </c>
      <c r="C147" s="20" t="s">
        <v>900</v>
      </c>
      <c r="D147" s="20" t="s">
        <v>482</v>
      </c>
      <c r="H147" s="53" t="s">
        <v>213</v>
      </c>
      <c r="J147" s="40"/>
      <c r="K147" s="55" t="str">
        <f>INDEX(Tableau6[TS],MATCH(Tableau5[[#This Row],[Type Signal]],Tableau6[TypeSignal],0))&amp;""</f>
        <v>ET</v>
      </c>
      <c r="L147" s="55"/>
      <c r="M147" s="21"/>
      <c r="N147" s="20" t="s">
        <v>759</v>
      </c>
    </row>
    <row r="148" spans="1:14" ht="18" customHeight="1">
      <c r="A148" s="96">
        <v>147</v>
      </c>
      <c r="B148" s="44" t="s">
        <v>883</v>
      </c>
      <c r="C148" s="20" t="s">
        <v>901</v>
      </c>
      <c r="D148" s="20" t="s">
        <v>249</v>
      </c>
      <c r="I148" s="53" t="s">
        <v>213</v>
      </c>
      <c r="J148" s="40"/>
      <c r="K148" s="55" t="str">
        <f>INDEX(Tableau6[TS],MATCH(Tableau5[[#This Row],[Type Signal]],Tableau6[TypeSignal],0))&amp;""</f>
        <v>ET</v>
      </c>
      <c r="L148" s="55"/>
      <c r="M148" s="21"/>
      <c r="N148" s="20" t="s">
        <v>759</v>
      </c>
    </row>
    <row r="149" spans="1:14" ht="18" customHeight="1">
      <c r="A149" s="96">
        <v>148</v>
      </c>
      <c r="B149" s="44" t="s">
        <v>883</v>
      </c>
      <c r="C149" s="20" t="s">
        <v>902</v>
      </c>
      <c r="D149" s="20" t="s">
        <v>558</v>
      </c>
      <c r="I149" s="53" t="s">
        <v>213</v>
      </c>
      <c r="J149" s="40"/>
      <c r="K149" s="55" t="str">
        <f>INDEX(Tableau6[TS],MATCH(Tableau5[[#This Row],[Type Signal]],Tableau6[TypeSignal],0))&amp;""</f>
        <v>ET</v>
      </c>
      <c r="L149" s="55"/>
      <c r="M149" s="21"/>
      <c r="N149" s="20" t="s">
        <v>759</v>
      </c>
    </row>
    <row r="150" spans="1:14" ht="18" customHeight="1">
      <c r="A150" s="96">
        <v>149</v>
      </c>
      <c r="B150" s="44" t="s">
        <v>883</v>
      </c>
      <c r="C150" s="20" t="s">
        <v>903</v>
      </c>
      <c r="D150" s="20" t="s">
        <v>250</v>
      </c>
      <c r="I150" s="53" t="s">
        <v>213</v>
      </c>
      <c r="J150" s="40"/>
      <c r="K150" s="55" t="str">
        <f>INDEX(Tableau6[TS],MATCH(Tableau5[[#This Row],[Type Signal]],Tableau6[TypeSignal],0))&amp;""</f>
        <v>ET</v>
      </c>
      <c r="L150" s="55"/>
      <c r="M150" s="21"/>
      <c r="N150" s="20" t="s">
        <v>759</v>
      </c>
    </row>
    <row r="151" spans="1:14" ht="18" customHeight="1">
      <c r="A151" s="96">
        <v>150</v>
      </c>
      <c r="B151" s="44" t="s">
        <v>883</v>
      </c>
      <c r="C151" s="20" t="s">
        <v>868</v>
      </c>
      <c r="D151" s="20" t="s">
        <v>816</v>
      </c>
      <c r="I151" s="53" t="s">
        <v>213</v>
      </c>
      <c r="J151" s="40"/>
      <c r="K151" s="55" t="str">
        <f>INDEX(Tableau6[TS],MATCH(Tableau5[[#This Row],[Type Signal]],Tableau6[TypeSignal],0))&amp;""</f>
        <v>ET</v>
      </c>
      <c r="L151" s="55"/>
      <c r="M151" s="21"/>
      <c r="N151" s="20" t="s">
        <v>759</v>
      </c>
    </row>
    <row r="152" spans="1:14" ht="18" customHeight="1">
      <c r="A152" s="96">
        <v>151</v>
      </c>
      <c r="B152" s="44" t="s">
        <v>883</v>
      </c>
      <c r="C152" s="20" t="s">
        <v>904</v>
      </c>
      <c r="D152" s="20" t="s">
        <v>559</v>
      </c>
      <c r="H152" s="53" t="s">
        <v>213</v>
      </c>
      <c r="J152" s="40"/>
      <c r="K152" s="55" t="str">
        <f>INDEX(Tableau6[TS],MATCH(Tableau5[[#This Row],[Type Signal]],Tableau6[TypeSignal],0))&amp;""</f>
        <v>ET</v>
      </c>
      <c r="L152" s="55"/>
      <c r="M152" s="21"/>
      <c r="N152" s="20" t="s">
        <v>759</v>
      </c>
    </row>
    <row r="153" spans="1:14" ht="18" customHeight="1">
      <c r="A153" s="96">
        <v>152</v>
      </c>
      <c r="B153" s="44" t="s">
        <v>883</v>
      </c>
      <c r="C153" s="20" t="s">
        <v>905</v>
      </c>
      <c r="D153" s="20" t="s">
        <v>479</v>
      </c>
      <c r="I153" s="53" t="s">
        <v>213</v>
      </c>
      <c r="J153" s="40"/>
      <c r="K153" s="55" t="str">
        <f>INDEX(Tableau6[TS],MATCH(Tableau5[[#This Row],[Type Signal]],Tableau6[TypeSignal],0))&amp;""</f>
        <v>ET</v>
      </c>
      <c r="L153" s="55"/>
      <c r="M153" s="21"/>
      <c r="N153" s="20" t="s">
        <v>759</v>
      </c>
    </row>
    <row r="154" spans="1:14" ht="18" customHeight="1">
      <c r="A154" s="96">
        <v>153</v>
      </c>
      <c r="B154" s="44" t="s">
        <v>883</v>
      </c>
      <c r="C154" s="20" t="s">
        <v>906</v>
      </c>
      <c r="D154" s="20" t="s">
        <v>480</v>
      </c>
      <c r="H154" s="53" t="s">
        <v>213</v>
      </c>
      <c r="J154" s="40"/>
      <c r="K154" s="55" t="str">
        <f>INDEX(Tableau6[TS],MATCH(Tableau5[[#This Row],[Type Signal]],Tableau6[TypeSignal],0))&amp;""</f>
        <v>ET</v>
      </c>
      <c r="L154" s="55"/>
      <c r="M154" s="21"/>
      <c r="N154" s="20" t="s">
        <v>759</v>
      </c>
    </row>
    <row r="155" spans="1:14" ht="18" customHeight="1">
      <c r="A155" s="96">
        <v>154</v>
      </c>
      <c r="B155" s="44" t="s">
        <v>883</v>
      </c>
      <c r="C155" s="20" t="s">
        <v>907</v>
      </c>
      <c r="D155" s="20" t="s">
        <v>481</v>
      </c>
      <c r="I155" s="53" t="s">
        <v>213</v>
      </c>
      <c r="J155" s="40"/>
      <c r="K155" s="55" t="str">
        <f>INDEX(Tableau6[TS],MATCH(Tableau5[[#This Row],[Type Signal]],Tableau6[TypeSignal],0))&amp;""</f>
        <v>ET</v>
      </c>
      <c r="L155" s="55"/>
      <c r="M155" s="21"/>
      <c r="N155" s="20" t="s">
        <v>759</v>
      </c>
    </row>
    <row r="156" spans="1:14" ht="18" customHeight="1">
      <c r="A156" s="96">
        <v>155</v>
      </c>
      <c r="B156" s="44" t="s">
        <v>908</v>
      </c>
      <c r="C156" s="20" t="s">
        <v>909</v>
      </c>
      <c r="D156" s="20" t="s">
        <v>863</v>
      </c>
      <c r="I156" s="53" t="s">
        <v>213</v>
      </c>
      <c r="J156" s="41"/>
      <c r="K156" s="55" t="str">
        <f>INDEX(Tableau6[TS],MATCH(Tableau5[[#This Row],[Type Signal]],Tableau6[TypeSignal],0))&amp;""</f>
        <v>ST</v>
      </c>
      <c r="L156" s="55"/>
      <c r="M156" s="21"/>
      <c r="N156" s="20" t="s">
        <v>762</v>
      </c>
    </row>
    <row r="157" spans="1:14" ht="18" customHeight="1">
      <c r="A157" s="96">
        <v>156</v>
      </c>
      <c r="B157" s="44" t="s">
        <v>908</v>
      </c>
      <c r="C157" s="20" t="s">
        <v>816</v>
      </c>
      <c r="D157" s="20" t="s">
        <v>816</v>
      </c>
      <c r="H157" s="53" t="s">
        <v>213</v>
      </c>
      <c r="J157" s="40"/>
      <c r="K157" s="55" t="str">
        <f>INDEX(Tableau6[TS],MATCH(Tableau5[[#This Row],[Type Signal]],Tableau6[TypeSignal],0))&amp;""</f>
        <v>ET</v>
      </c>
      <c r="L157" s="55"/>
      <c r="M157" s="21"/>
      <c r="N157" s="20" t="s">
        <v>759</v>
      </c>
    </row>
    <row r="158" spans="1:14" ht="18" customHeight="1">
      <c r="A158" s="96">
        <v>157</v>
      </c>
      <c r="B158" s="44" t="s">
        <v>908</v>
      </c>
      <c r="C158" s="20" t="s">
        <v>873</v>
      </c>
      <c r="D158" s="20" t="s">
        <v>251</v>
      </c>
      <c r="H158" s="53" t="s">
        <v>213</v>
      </c>
      <c r="J158" s="41"/>
      <c r="K158" s="55" t="str">
        <f>INDEX(Tableau6[TS],MATCH(Tableau5[[#This Row],[Type Signal]],Tableau6[TypeSignal],0))&amp;""</f>
        <v>ST</v>
      </c>
      <c r="L158" s="55"/>
      <c r="M158" s="21"/>
      <c r="N158" s="20" t="s">
        <v>762</v>
      </c>
    </row>
    <row r="159" spans="1:14" ht="18" customHeight="1">
      <c r="A159" s="96">
        <v>158</v>
      </c>
      <c r="B159" s="44" t="s">
        <v>908</v>
      </c>
      <c r="C159" s="20" t="s">
        <v>874</v>
      </c>
      <c r="D159" s="20" t="s">
        <v>252</v>
      </c>
      <c r="H159" s="53" t="s">
        <v>213</v>
      </c>
      <c r="J159" s="41"/>
      <c r="K159" s="55" t="str">
        <f>INDEX(Tableau6[TS],MATCH(Tableau5[[#This Row],[Type Signal]],Tableau6[TypeSignal],0))&amp;""</f>
        <v>ST</v>
      </c>
      <c r="L159" s="55"/>
      <c r="M159" s="21"/>
      <c r="N159" s="20" t="s">
        <v>762</v>
      </c>
    </row>
    <row r="160" spans="1:14" ht="18" customHeight="1">
      <c r="A160" s="96">
        <v>159</v>
      </c>
      <c r="B160" s="44" t="s">
        <v>908</v>
      </c>
      <c r="C160" s="20" t="s">
        <v>910</v>
      </c>
      <c r="D160" s="20" t="s">
        <v>876</v>
      </c>
      <c r="H160" s="53" t="s">
        <v>213</v>
      </c>
      <c r="J160" s="41"/>
      <c r="K160" s="55" t="str">
        <f>INDEX(Tableau6[TS],MATCH(Tableau5[[#This Row],[Type Signal]],Tableau6[TypeSignal],0))&amp;""</f>
        <v>ST</v>
      </c>
      <c r="L160" s="55"/>
      <c r="M160" s="21"/>
      <c r="N160" s="20" t="s">
        <v>762</v>
      </c>
    </row>
    <row r="161" spans="1:14" ht="18" customHeight="1">
      <c r="A161" s="96">
        <v>160</v>
      </c>
      <c r="B161" s="44" t="s">
        <v>908</v>
      </c>
      <c r="C161" s="20" t="s">
        <v>884</v>
      </c>
      <c r="D161" s="20" t="s">
        <v>518</v>
      </c>
      <c r="H161" s="53" t="s">
        <v>213</v>
      </c>
      <c r="J161" s="40"/>
      <c r="K161" s="55" t="str">
        <f>INDEX(Tableau6[TS],MATCH(Tableau5[[#This Row],[Type Signal]],Tableau6[TypeSignal],0))&amp;""</f>
        <v>ET</v>
      </c>
      <c r="L161" s="55"/>
      <c r="M161" s="21"/>
      <c r="N161" s="20" t="s">
        <v>759</v>
      </c>
    </row>
    <row r="162" spans="1:14" ht="18" customHeight="1">
      <c r="A162" s="96">
        <v>161</v>
      </c>
      <c r="B162" s="44" t="s">
        <v>908</v>
      </c>
      <c r="C162" s="20" t="s">
        <v>885</v>
      </c>
      <c r="D162" s="20" t="s">
        <v>562</v>
      </c>
      <c r="H162" s="53" t="s">
        <v>213</v>
      </c>
      <c r="J162" s="40"/>
      <c r="K162" s="55" t="str">
        <f>INDEX(Tableau6[TS],MATCH(Tableau5[[#This Row],[Type Signal]],Tableau6[TypeSignal],0))&amp;""</f>
        <v>ET</v>
      </c>
      <c r="L162" s="55"/>
      <c r="M162" s="21"/>
      <c r="N162" s="20" t="s">
        <v>759</v>
      </c>
    </row>
    <row r="163" spans="1:14" ht="18" customHeight="1">
      <c r="A163" s="96">
        <v>162</v>
      </c>
      <c r="B163" s="44" t="s">
        <v>908</v>
      </c>
      <c r="C163" s="20" t="s">
        <v>911</v>
      </c>
      <c r="D163" s="20" t="s">
        <v>867</v>
      </c>
      <c r="H163" s="53" t="s">
        <v>213</v>
      </c>
      <c r="J163" s="40"/>
      <c r="K163" s="55" t="str">
        <f>INDEX(Tableau6[TS],MATCH(Tableau5[[#This Row],[Type Signal]],Tableau6[TypeSignal],0))&amp;""</f>
        <v>ET</v>
      </c>
      <c r="L163" s="55"/>
      <c r="M163" s="21"/>
      <c r="N163" s="20" t="s">
        <v>759</v>
      </c>
    </row>
    <row r="164" spans="1:14" ht="18" customHeight="1">
      <c r="A164" s="96">
        <v>163</v>
      </c>
      <c r="B164" s="44" t="s">
        <v>908</v>
      </c>
      <c r="C164" s="20" t="s">
        <v>882</v>
      </c>
      <c r="D164" s="20" t="s">
        <v>328</v>
      </c>
      <c r="H164" s="53" t="s">
        <v>213</v>
      </c>
      <c r="J164" s="40"/>
      <c r="K164" s="55" t="str">
        <f>INDEX(Tableau6[TS],MATCH(Tableau5[[#This Row],[Type Signal]],Tableau6[TypeSignal],0))&amp;""</f>
        <v>ET</v>
      </c>
      <c r="L164" s="55"/>
      <c r="M164" s="21"/>
      <c r="N164" s="20" t="s">
        <v>759</v>
      </c>
    </row>
    <row r="165" spans="1:14" ht="18" customHeight="1">
      <c r="A165" s="96">
        <v>164</v>
      </c>
      <c r="B165" s="44" t="s">
        <v>908</v>
      </c>
      <c r="C165" s="20" t="s">
        <v>816</v>
      </c>
      <c r="D165" s="20" t="s">
        <v>816</v>
      </c>
      <c r="I165" s="53" t="s">
        <v>213</v>
      </c>
      <c r="J165" s="41"/>
      <c r="K165" s="55" t="str">
        <f>INDEX(Tableau6[TS],MATCH(Tableau5[[#This Row],[Type Signal]],Tableau6[TypeSignal],0))&amp;""</f>
        <v>ST</v>
      </c>
      <c r="L165" s="55"/>
      <c r="M165" s="21"/>
      <c r="N165" s="20" t="s">
        <v>762</v>
      </c>
    </row>
    <row r="166" spans="1:14" ht="18" customHeight="1">
      <c r="A166" s="96">
        <v>165</v>
      </c>
      <c r="B166" s="44" t="s">
        <v>908</v>
      </c>
      <c r="C166" s="20" t="s">
        <v>861</v>
      </c>
      <c r="D166" s="20" t="s">
        <v>469</v>
      </c>
      <c r="I166" s="53" t="s">
        <v>213</v>
      </c>
      <c r="J166" s="41"/>
      <c r="K166" s="55" t="str">
        <f>INDEX(Tableau6[TS],MATCH(Tableau5[[#This Row],[Type Signal]],Tableau6[TypeSignal],0))&amp;""</f>
        <v>ST</v>
      </c>
      <c r="L166" s="55"/>
      <c r="M166" s="21"/>
      <c r="N166" s="20" t="s">
        <v>762</v>
      </c>
    </row>
    <row r="167" spans="1:14" ht="18" customHeight="1">
      <c r="A167" s="96">
        <v>166</v>
      </c>
      <c r="B167" s="44" t="s">
        <v>908</v>
      </c>
      <c r="C167" s="20" t="s">
        <v>912</v>
      </c>
      <c r="D167" s="20" t="s">
        <v>520</v>
      </c>
      <c r="H167" s="53" t="s">
        <v>213</v>
      </c>
      <c r="J167" s="40"/>
      <c r="K167" s="55" t="str">
        <f>INDEX(Tableau6[TS],MATCH(Tableau5[[#This Row],[Type Signal]],Tableau6[TypeSignal],0))&amp;""</f>
        <v>ET</v>
      </c>
      <c r="L167" s="55"/>
      <c r="M167" s="21"/>
      <c r="N167" s="20" t="s">
        <v>759</v>
      </c>
    </row>
    <row r="168" spans="1:14" ht="18" customHeight="1">
      <c r="A168" s="96">
        <v>167</v>
      </c>
      <c r="B168" s="44" t="s">
        <v>908</v>
      </c>
      <c r="C168" s="20" t="s">
        <v>913</v>
      </c>
      <c r="D168" s="20" t="s">
        <v>535</v>
      </c>
      <c r="H168" s="53" t="s">
        <v>213</v>
      </c>
      <c r="J168" s="40"/>
      <c r="K168" s="55" t="str">
        <f>INDEX(Tableau6[TS],MATCH(Tableau5[[#This Row],[Type Signal]],Tableau6[TypeSignal],0))&amp;""</f>
        <v>ET</v>
      </c>
      <c r="L168" s="55"/>
      <c r="M168" s="21"/>
      <c r="N168" s="20" t="s">
        <v>759</v>
      </c>
    </row>
    <row r="169" spans="1:14" ht="18" customHeight="1">
      <c r="A169" s="96">
        <v>168</v>
      </c>
      <c r="B169" s="44" t="s">
        <v>908</v>
      </c>
      <c r="C169" s="20" t="s">
        <v>914</v>
      </c>
      <c r="D169" s="20" t="s">
        <v>521</v>
      </c>
      <c r="H169" s="53" t="s">
        <v>213</v>
      </c>
      <c r="J169" s="40"/>
      <c r="K169" s="55" t="str">
        <f>INDEX(Tableau6[TS],MATCH(Tableau5[[#This Row],[Type Signal]],Tableau6[TypeSignal],0))&amp;""</f>
        <v>ET</v>
      </c>
      <c r="L169" s="55"/>
      <c r="M169" s="21"/>
      <c r="N169" s="20" t="s">
        <v>759</v>
      </c>
    </row>
    <row r="170" spans="1:14" ht="18" customHeight="1">
      <c r="A170" s="96">
        <v>169</v>
      </c>
      <c r="B170" s="44" t="s">
        <v>908</v>
      </c>
      <c r="C170" s="20" t="s">
        <v>915</v>
      </c>
      <c r="D170" s="20" t="s">
        <v>635</v>
      </c>
      <c r="H170" s="53" t="s">
        <v>213</v>
      </c>
      <c r="J170" s="41"/>
      <c r="K170" s="55" t="str">
        <f>INDEX(Tableau6[TS],MATCH(Tableau5[[#This Row],[Type Signal]],Tableau6[TypeSignal],0))&amp;""</f>
        <v>ST</v>
      </c>
      <c r="L170" s="55"/>
      <c r="M170" s="21"/>
      <c r="N170" s="20" t="s">
        <v>762</v>
      </c>
    </row>
    <row r="171" spans="1:14" ht="18" customHeight="1">
      <c r="A171" s="96">
        <v>170</v>
      </c>
      <c r="B171" s="44" t="s">
        <v>908</v>
      </c>
      <c r="C171" s="20" t="s">
        <v>816</v>
      </c>
      <c r="D171" s="20" t="s">
        <v>816</v>
      </c>
      <c r="H171" s="53" t="s">
        <v>213</v>
      </c>
      <c r="J171" s="41"/>
      <c r="K171" s="55" t="str">
        <f>INDEX(Tableau6[TS],MATCH(Tableau5[[#This Row],[Type Signal]],Tableau6[TypeSignal],0))&amp;""</f>
        <v>ST</v>
      </c>
      <c r="L171" s="55"/>
      <c r="M171" s="21"/>
      <c r="N171" s="20" t="s">
        <v>762</v>
      </c>
    </row>
    <row r="172" spans="1:14" ht="18" customHeight="1">
      <c r="A172" s="96">
        <v>171</v>
      </c>
      <c r="B172" s="44" t="s">
        <v>908</v>
      </c>
      <c r="C172" s="20" t="s">
        <v>871</v>
      </c>
      <c r="D172" s="20" t="s">
        <v>242</v>
      </c>
      <c r="H172" s="53" t="s">
        <v>213</v>
      </c>
      <c r="J172" s="41"/>
      <c r="K172" s="55" t="str">
        <f>INDEX(Tableau6[TS],MATCH(Tableau5[[#This Row],[Type Signal]],Tableau6[TypeSignal],0))&amp;""</f>
        <v>ST</v>
      </c>
      <c r="L172" s="55"/>
      <c r="M172" s="21"/>
      <c r="N172" s="20" t="s">
        <v>762</v>
      </c>
    </row>
    <row r="173" spans="1:14" ht="18" customHeight="1">
      <c r="A173" s="96">
        <v>172</v>
      </c>
      <c r="B173" s="44" t="s">
        <v>908</v>
      </c>
      <c r="C173" s="20" t="s">
        <v>816</v>
      </c>
      <c r="D173" s="20" t="s">
        <v>816</v>
      </c>
      <c r="H173" s="53" t="s">
        <v>213</v>
      </c>
      <c r="J173" s="41"/>
      <c r="K173" s="55" t="str">
        <f>INDEX(Tableau6[TS],MATCH(Tableau5[[#This Row],[Type Signal]],Tableau6[TypeSignal],0))&amp;""</f>
        <v>ST</v>
      </c>
      <c r="L173" s="55"/>
      <c r="M173" s="21"/>
      <c r="N173" s="20" t="s">
        <v>762</v>
      </c>
    </row>
    <row r="174" spans="1:14" ht="18" customHeight="1">
      <c r="A174" s="96">
        <v>173</v>
      </c>
      <c r="B174" s="44" t="s">
        <v>908</v>
      </c>
      <c r="C174" s="20" t="s">
        <v>872</v>
      </c>
      <c r="D174" s="20" t="s">
        <v>510</v>
      </c>
      <c r="H174" s="53" t="s">
        <v>213</v>
      </c>
      <c r="J174" s="41"/>
      <c r="K174" s="55" t="str">
        <f>INDEX(Tableau6[TS],MATCH(Tableau5[[#This Row],[Type Signal]],Tableau6[TypeSignal],0))&amp;""</f>
        <v>ST</v>
      </c>
      <c r="L174" s="55"/>
      <c r="M174" s="21"/>
      <c r="N174" s="20" t="s">
        <v>762</v>
      </c>
    </row>
    <row r="175" spans="1:14" ht="18" customHeight="1">
      <c r="A175" s="96">
        <v>174</v>
      </c>
      <c r="B175" s="44" t="s">
        <v>908</v>
      </c>
      <c r="C175" s="20" t="s">
        <v>916</v>
      </c>
      <c r="D175" s="20" t="s">
        <v>243</v>
      </c>
      <c r="H175" s="53" t="s">
        <v>213</v>
      </c>
      <c r="J175" s="40"/>
      <c r="K175" s="55" t="str">
        <f>INDEX(Tableau6[TS],MATCH(Tableau5[[#This Row],[Type Signal]],Tableau6[TypeSignal],0))&amp;""</f>
        <v>ET</v>
      </c>
      <c r="L175" s="55"/>
      <c r="M175" s="21"/>
      <c r="N175" s="20" t="s">
        <v>759</v>
      </c>
    </row>
    <row r="176" spans="1:14" ht="18" customHeight="1">
      <c r="A176" s="96">
        <v>175</v>
      </c>
      <c r="B176" s="44" t="s">
        <v>908</v>
      </c>
      <c r="C176" s="20" t="s">
        <v>878</v>
      </c>
      <c r="D176" s="20" t="s">
        <v>522</v>
      </c>
      <c r="H176" s="53" t="s">
        <v>213</v>
      </c>
      <c r="J176" s="40"/>
      <c r="K176" s="55" t="str">
        <f>INDEX(Tableau6[TS],MATCH(Tableau5[[#This Row],[Type Signal]],Tableau6[TypeSignal],0))&amp;""</f>
        <v>ET</v>
      </c>
      <c r="L176" s="55"/>
      <c r="M176" s="21"/>
      <c r="N176" s="20" t="s">
        <v>759</v>
      </c>
    </row>
    <row r="177" spans="1:14" ht="18" customHeight="1">
      <c r="A177" s="96">
        <v>176</v>
      </c>
      <c r="B177" s="44" t="s">
        <v>908</v>
      </c>
      <c r="C177" s="20" t="s">
        <v>917</v>
      </c>
      <c r="D177" s="20" t="s">
        <v>244</v>
      </c>
      <c r="H177" s="53" t="s">
        <v>213</v>
      </c>
      <c r="J177" s="40"/>
      <c r="K177" s="55" t="str">
        <f>INDEX(Tableau6[TS],MATCH(Tableau5[[#This Row],[Type Signal]],Tableau6[TypeSignal],0))&amp;""</f>
        <v>ET</v>
      </c>
      <c r="L177" s="55"/>
      <c r="M177" s="21"/>
      <c r="N177" s="20" t="s">
        <v>759</v>
      </c>
    </row>
    <row r="178" spans="1:14" ht="18" customHeight="1">
      <c r="A178" s="96">
        <v>177</v>
      </c>
      <c r="B178" s="44" t="s">
        <v>908</v>
      </c>
      <c r="C178" s="20" t="s">
        <v>918</v>
      </c>
      <c r="D178" s="20" t="s">
        <v>563</v>
      </c>
      <c r="H178" s="53" t="s">
        <v>213</v>
      </c>
      <c r="J178" s="40"/>
      <c r="K178" s="55" t="str">
        <f>INDEX(Tableau6[TS],MATCH(Tableau5[[#This Row],[Type Signal]],Tableau6[TypeSignal],0))&amp;""</f>
        <v>ET</v>
      </c>
      <c r="L178" s="55"/>
      <c r="M178" s="21"/>
      <c r="N178" s="20" t="s">
        <v>759</v>
      </c>
    </row>
    <row r="179" spans="1:14" ht="18" customHeight="1">
      <c r="A179" s="96">
        <v>178</v>
      </c>
      <c r="B179" s="44" t="s">
        <v>908</v>
      </c>
      <c r="C179" s="20" t="s">
        <v>919</v>
      </c>
      <c r="D179" s="20" t="s">
        <v>245</v>
      </c>
      <c r="H179" s="53" t="s">
        <v>213</v>
      </c>
      <c r="J179" s="40"/>
      <c r="K179" s="55" t="str">
        <f>INDEX(Tableau6[TS],MATCH(Tableau5[[#This Row],[Type Signal]],Tableau6[TypeSignal],0))&amp;""</f>
        <v>ET</v>
      </c>
      <c r="L179" s="55"/>
      <c r="M179" s="21"/>
      <c r="N179" s="20" t="s">
        <v>759</v>
      </c>
    </row>
    <row r="180" spans="1:14" ht="18" customHeight="1">
      <c r="A180" s="96">
        <v>179</v>
      </c>
      <c r="B180" s="44" t="s">
        <v>908</v>
      </c>
      <c r="C180" s="20" t="s">
        <v>888</v>
      </c>
      <c r="D180" s="20" t="s">
        <v>524</v>
      </c>
      <c r="H180" s="53" t="s">
        <v>213</v>
      </c>
      <c r="J180" s="40"/>
      <c r="K180" s="55" t="str">
        <f>INDEX(Tableau6[TS],MATCH(Tableau5[[#This Row],[Type Signal]],Tableau6[TypeSignal],0))&amp;""</f>
        <v>ET</v>
      </c>
      <c r="L180" s="55"/>
      <c r="M180" s="21"/>
      <c r="N180" s="20" t="s">
        <v>759</v>
      </c>
    </row>
    <row r="181" spans="1:14" ht="18" customHeight="1">
      <c r="A181" s="96">
        <v>180</v>
      </c>
      <c r="B181" s="44" t="s">
        <v>908</v>
      </c>
      <c r="C181" s="20" t="s">
        <v>816</v>
      </c>
      <c r="D181" s="20" t="s">
        <v>816</v>
      </c>
      <c r="H181" s="53" t="s">
        <v>213</v>
      </c>
      <c r="J181" s="40"/>
      <c r="K181" s="55" t="str">
        <f>INDEX(Tableau6[TS],MATCH(Tableau5[[#This Row],[Type Signal]],Tableau6[TypeSignal],0))&amp;""</f>
        <v>ET</v>
      </c>
      <c r="L181" s="55"/>
      <c r="M181" s="21"/>
      <c r="N181" s="20" t="s">
        <v>759</v>
      </c>
    </row>
    <row r="182" spans="1:14" ht="18" customHeight="1">
      <c r="A182" s="96">
        <v>181</v>
      </c>
      <c r="B182" s="44" t="s">
        <v>908</v>
      </c>
      <c r="C182" s="20" t="s">
        <v>816</v>
      </c>
      <c r="D182" s="20" t="s">
        <v>816</v>
      </c>
      <c r="H182" s="53" t="s">
        <v>213</v>
      </c>
      <c r="J182" s="41"/>
      <c r="K182" s="55" t="str">
        <f>INDEX(Tableau6[TS],MATCH(Tableau5[[#This Row],[Type Signal]],Tableau6[TypeSignal],0))&amp;""</f>
        <v>ST</v>
      </c>
      <c r="L182" s="55"/>
      <c r="M182" s="21"/>
      <c r="N182" s="20" t="s">
        <v>762</v>
      </c>
    </row>
    <row r="183" spans="1:14" ht="18" customHeight="1">
      <c r="A183" s="96">
        <v>182</v>
      </c>
      <c r="B183" s="44" t="s">
        <v>908</v>
      </c>
      <c r="C183" s="20" t="s">
        <v>920</v>
      </c>
      <c r="D183" s="20" t="s">
        <v>512</v>
      </c>
      <c r="H183" s="53" t="s">
        <v>213</v>
      </c>
      <c r="J183" s="41"/>
      <c r="K183" s="55" t="str">
        <f>INDEX(Tableau6[TS],MATCH(Tableau5[[#This Row],[Type Signal]],Tableau6[TypeSignal],0))&amp;""</f>
        <v>ST</v>
      </c>
      <c r="L183" s="55"/>
      <c r="M183" s="21"/>
      <c r="N183" s="20" t="s">
        <v>762</v>
      </c>
    </row>
    <row r="184" spans="1:14" ht="18" customHeight="1">
      <c r="A184" s="96">
        <v>183</v>
      </c>
      <c r="B184" s="44" t="s">
        <v>908</v>
      </c>
      <c r="C184" s="20" t="s">
        <v>921</v>
      </c>
      <c r="D184" s="20" t="s">
        <v>479</v>
      </c>
      <c r="I184" s="53" t="s">
        <v>213</v>
      </c>
      <c r="J184" s="40"/>
      <c r="K184" s="55" t="str">
        <f>INDEX(Tableau6[TS],MATCH(Tableau5[[#This Row],[Type Signal]],Tableau6[TypeSignal],0))&amp;""</f>
        <v>ET</v>
      </c>
      <c r="L184" s="55"/>
      <c r="M184" s="21"/>
      <c r="N184" s="20" t="s">
        <v>759</v>
      </c>
    </row>
    <row r="185" spans="1:14" ht="18" customHeight="1">
      <c r="A185" s="96">
        <v>184</v>
      </c>
      <c r="B185" s="44" t="s">
        <v>908</v>
      </c>
      <c r="C185" s="20" t="s">
        <v>922</v>
      </c>
      <c r="D185" s="20" t="s">
        <v>480</v>
      </c>
      <c r="I185" s="53" t="s">
        <v>213</v>
      </c>
      <c r="J185" s="40"/>
      <c r="K185" s="55" t="str">
        <f>INDEX(Tableau6[TS],MATCH(Tableau5[[#This Row],[Type Signal]],Tableau6[TypeSignal],0))&amp;""</f>
        <v>ET</v>
      </c>
      <c r="L185" s="55"/>
      <c r="M185" s="21"/>
      <c r="N185" s="20" t="s">
        <v>759</v>
      </c>
    </row>
    <row r="186" spans="1:14" ht="18" customHeight="1">
      <c r="A186" s="96">
        <v>185</v>
      </c>
      <c r="B186" s="44" t="s">
        <v>908</v>
      </c>
      <c r="C186" s="20" t="s">
        <v>923</v>
      </c>
      <c r="D186" s="20" t="s">
        <v>481</v>
      </c>
      <c r="I186" s="53" t="s">
        <v>213</v>
      </c>
      <c r="J186" s="40"/>
      <c r="K186" s="55" t="str">
        <f>INDEX(Tableau6[TS],MATCH(Tableau5[[#This Row],[Type Signal]],Tableau6[TypeSignal],0))&amp;""</f>
        <v>ET</v>
      </c>
      <c r="L186" s="55"/>
      <c r="M186" s="21"/>
      <c r="N186" s="20" t="s">
        <v>759</v>
      </c>
    </row>
    <row r="187" spans="1:14" ht="18" customHeight="1">
      <c r="A187" s="96">
        <v>186</v>
      </c>
      <c r="B187" s="44" t="s">
        <v>908</v>
      </c>
      <c r="C187" s="20" t="s">
        <v>924</v>
      </c>
      <c r="D187" s="20" t="s">
        <v>470</v>
      </c>
      <c r="I187" s="53" t="s">
        <v>213</v>
      </c>
      <c r="J187" s="41"/>
      <c r="K187" s="55" t="str">
        <f>INDEX(Tableau6[TS],MATCH(Tableau5[[#This Row],[Type Signal]],Tableau6[TypeSignal],0))&amp;""</f>
        <v>ST</v>
      </c>
      <c r="L187" s="55"/>
      <c r="M187" s="21"/>
      <c r="N187" s="20" t="s">
        <v>762</v>
      </c>
    </row>
    <row r="188" spans="1:14" ht="18" customHeight="1">
      <c r="A188" s="96">
        <v>187</v>
      </c>
      <c r="B188" s="44" t="s">
        <v>908</v>
      </c>
      <c r="C188" s="20" t="s">
        <v>816</v>
      </c>
      <c r="D188" s="20" t="s">
        <v>816</v>
      </c>
      <c r="I188" s="53" t="s">
        <v>213</v>
      </c>
      <c r="J188" s="41"/>
      <c r="K188" s="55" t="str">
        <f>INDEX(Tableau6[TS],MATCH(Tableau5[[#This Row],[Type Signal]],Tableau6[TypeSignal],0))&amp;""</f>
        <v>ST</v>
      </c>
      <c r="L188" s="55"/>
      <c r="M188" s="21"/>
      <c r="N188" s="20" t="s">
        <v>762</v>
      </c>
    </row>
    <row r="189" spans="1:14" ht="18" customHeight="1">
      <c r="A189" s="96">
        <v>188</v>
      </c>
      <c r="B189" s="44" t="s">
        <v>908</v>
      </c>
      <c r="C189" s="20" t="s">
        <v>925</v>
      </c>
      <c r="D189" s="20" t="s">
        <v>247</v>
      </c>
      <c r="I189" s="53" t="s">
        <v>213</v>
      </c>
      <c r="J189" s="41"/>
      <c r="K189" s="55" t="str">
        <f>INDEX(Tableau6[TS],MATCH(Tableau5[[#This Row],[Type Signal]],Tableau6[TypeSignal],0))&amp;""</f>
        <v>ST</v>
      </c>
      <c r="L189" s="55"/>
      <c r="M189" s="21"/>
      <c r="N189" s="20" t="s">
        <v>762</v>
      </c>
    </row>
    <row r="190" spans="1:14" ht="18" customHeight="1">
      <c r="A190" s="96">
        <v>189</v>
      </c>
      <c r="B190" s="44" t="s">
        <v>908</v>
      </c>
      <c r="C190" s="20" t="s">
        <v>816</v>
      </c>
      <c r="D190" s="20" t="s">
        <v>816</v>
      </c>
      <c r="I190" s="53" t="s">
        <v>213</v>
      </c>
      <c r="J190" s="41"/>
      <c r="K190" s="55" t="str">
        <f>INDEX(Tableau6[TS],MATCH(Tableau5[[#This Row],[Type Signal]],Tableau6[TypeSignal],0))&amp;""</f>
        <v>ST</v>
      </c>
      <c r="L190" s="55"/>
      <c r="M190" s="21"/>
      <c r="N190" s="20" t="s">
        <v>762</v>
      </c>
    </row>
    <row r="191" spans="1:14" ht="18" customHeight="1">
      <c r="A191" s="96">
        <v>190</v>
      </c>
      <c r="B191" s="44" t="s">
        <v>908</v>
      </c>
      <c r="C191" s="20" t="s">
        <v>898</v>
      </c>
      <c r="D191" s="20" t="s">
        <v>471</v>
      </c>
      <c r="I191" s="53" t="s">
        <v>213</v>
      </c>
      <c r="J191" s="41"/>
      <c r="K191" s="55" t="str">
        <f>INDEX(Tableau6[TS],MATCH(Tableau5[[#This Row],[Type Signal]],Tableau6[TypeSignal],0))&amp;""</f>
        <v>ST</v>
      </c>
      <c r="L191" s="55"/>
      <c r="M191" s="21"/>
      <c r="N191" s="20" t="s">
        <v>762</v>
      </c>
    </row>
    <row r="192" spans="1:14" ht="18" customHeight="1">
      <c r="A192" s="96">
        <v>191</v>
      </c>
      <c r="B192" s="44" t="s">
        <v>908</v>
      </c>
      <c r="C192" s="20" t="s">
        <v>899</v>
      </c>
      <c r="D192" s="20" t="s">
        <v>248</v>
      </c>
      <c r="I192" s="53" t="s">
        <v>213</v>
      </c>
      <c r="J192" s="40"/>
      <c r="K192" s="55" t="str">
        <f>INDEX(Tableau6[TS],MATCH(Tableau5[[#This Row],[Type Signal]],Tableau6[TypeSignal],0))&amp;""</f>
        <v>ET</v>
      </c>
      <c r="L192" s="55"/>
      <c r="M192" s="21"/>
      <c r="N192" s="20" t="s">
        <v>759</v>
      </c>
    </row>
    <row r="193" spans="1:14" ht="18" customHeight="1">
      <c r="A193" s="96">
        <v>192</v>
      </c>
      <c r="B193" s="44" t="s">
        <v>908</v>
      </c>
      <c r="C193" s="20" t="s">
        <v>900</v>
      </c>
      <c r="D193" s="20" t="s">
        <v>482</v>
      </c>
      <c r="I193" s="53" t="s">
        <v>213</v>
      </c>
      <c r="J193" s="40"/>
      <c r="K193" s="55" t="str">
        <f>INDEX(Tableau6[TS],MATCH(Tableau5[[#This Row],[Type Signal]],Tableau6[TypeSignal],0))&amp;""</f>
        <v>ET</v>
      </c>
      <c r="L193" s="55"/>
      <c r="M193" s="21"/>
      <c r="N193" s="20" t="s">
        <v>759</v>
      </c>
    </row>
    <row r="194" spans="1:14" ht="18" customHeight="1">
      <c r="A194" s="96">
        <v>193</v>
      </c>
      <c r="B194" s="44" t="s">
        <v>908</v>
      </c>
      <c r="C194" s="20" t="s">
        <v>926</v>
      </c>
      <c r="D194" s="20" t="s">
        <v>249</v>
      </c>
      <c r="I194" s="53" t="s">
        <v>213</v>
      </c>
      <c r="J194" s="40"/>
      <c r="K194" s="55" t="str">
        <f>INDEX(Tableau6[TS],MATCH(Tableau5[[#This Row],[Type Signal]],Tableau6[TypeSignal],0))&amp;""</f>
        <v>ET</v>
      </c>
      <c r="L194" s="55"/>
      <c r="M194" s="21"/>
      <c r="N194" s="20" t="s">
        <v>759</v>
      </c>
    </row>
    <row r="195" spans="1:14" ht="18" customHeight="1">
      <c r="A195" s="96">
        <v>194</v>
      </c>
      <c r="B195" s="44" t="s">
        <v>908</v>
      </c>
      <c r="C195" s="20" t="s">
        <v>927</v>
      </c>
      <c r="D195" s="20" t="s">
        <v>483</v>
      </c>
      <c r="I195" s="53" t="s">
        <v>213</v>
      </c>
      <c r="J195" s="40"/>
      <c r="K195" s="55" t="str">
        <f>INDEX(Tableau6[TS],MATCH(Tableau5[[#This Row],[Type Signal]],Tableau6[TypeSignal],0))&amp;""</f>
        <v>ET</v>
      </c>
      <c r="L195" s="55"/>
      <c r="M195" s="21"/>
      <c r="N195" s="20" t="s">
        <v>759</v>
      </c>
    </row>
    <row r="196" spans="1:14" ht="18" customHeight="1">
      <c r="A196" s="96">
        <v>195</v>
      </c>
      <c r="B196" s="44" t="s">
        <v>908</v>
      </c>
      <c r="C196" s="20" t="s">
        <v>928</v>
      </c>
      <c r="D196" s="20" t="s">
        <v>250</v>
      </c>
      <c r="I196" s="53" t="s">
        <v>213</v>
      </c>
      <c r="J196" s="40"/>
      <c r="K196" s="55" t="str">
        <f>INDEX(Tableau6[TS],MATCH(Tableau5[[#This Row],[Type Signal]],Tableau6[TypeSignal],0))&amp;""</f>
        <v>ET</v>
      </c>
      <c r="L196" s="55"/>
      <c r="M196" s="21"/>
      <c r="N196" s="20" t="s">
        <v>759</v>
      </c>
    </row>
    <row r="197" spans="1:14" ht="18" customHeight="1">
      <c r="A197" s="96">
        <v>196</v>
      </c>
      <c r="B197" s="44" t="s">
        <v>908</v>
      </c>
      <c r="C197" s="20" t="s">
        <v>929</v>
      </c>
      <c r="D197" s="20" t="s">
        <v>887</v>
      </c>
      <c r="I197" s="53" t="s">
        <v>213</v>
      </c>
      <c r="J197" s="40"/>
      <c r="K197" s="55" t="str">
        <f>INDEX(Tableau6[TS],MATCH(Tableau5[[#This Row],[Type Signal]],Tableau6[TypeSignal],0))&amp;""</f>
        <v>ET</v>
      </c>
      <c r="L197" s="55"/>
      <c r="M197" s="21"/>
      <c r="N197" s="20" t="s">
        <v>759</v>
      </c>
    </row>
    <row r="198" spans="1:14" ht="18" customHeight="1">
      <c r="A198" s="96">
        <v>197</v>
      </c>
      <c r="B198" s="44" t="s">
        <v>908</v>
      </c>
      <c r="C198" s="20" t="s">
        <v>816</v>
      </c>
      <c r="D198" s="20" t="s">
        <v>816</v>
      </c>
      <c r="I198" s="53" t="s">
        <v>213</v>
      </c>
      <c r="J198" s="40"/>
      <c r="K198" s="55" t="str">
        <f>INDEX(Tableau6[TS],MATCH(Tableau5[[#This Row],[Type Signal]],Tableau6[TypeSignal],0))&amp;""</f>
        <v>ET</v>
      </c>
      <c r="L198" s="55"/>
      <c r="M198" s="21"/>
      <c r="N198" s="20" t="s">
        <v>759</v>
      </c>
    </row>
    <row r="199" spans="1:14" ht="18" customHeight="1">
      <c r="A199" s="96">
        <v>198</v>
      </c>
      <c r="B199" s="44" t="s">
        <v>930</v>
      </c>
      <c r="C199" s="20" t="s">
        <v>931</v>
      </c>
      <c r="D199" s="20" t="s">
        <v>863</v>
      </c>
      <c r="I199" s="53" t="s">
        <v>213</v>
      </c>
      <c r="J199" s="41"/>
      <c r="K199" s="55" t="str">
        <f>INDEX(Tableau6[TS],MATCH(Tableau5[[#This Row],[Type Signal]],Tableau6[TypeSignal],0))&amp;""</f>
        <v>ST</v>
      </c>
      <c r="L199" s="55"/>
      <c r="M199" s="21"/>
      <c r="N199" s="20" t="s">
        <v>762</v>
      </c>
    </row>
    <row r="200" spans="1:14" ht="18" customHeight="1">
      <c r="A200" s="96">
        <v>199</v>
      </c>
      <c r="B200" s="44" t="s">
        <v>930</v>
      </c>
      <c r="C200" s="20" t="s">
        <v>932</v>
      </c>
      <c r="D200" s="20" t="s">
        <v>887</v>
      </c>
      <c r="H200" s="53" t="s">
        <v>213</v>
      </c>
      <c r="J200" s="40"/>
      <c r="K200" s="55" t="str">
        <f>INDEX(Tableau6[TS],MATCH(Tableau5[[#This Row],[Type Signal]],Tableau6[TypeSignal],0))&amp;""</f>
        <v>ET</v>
      </c>
      <c r="L200" s="55"/>
      <c r="M200" s="21"/>
      <c r="N200" s="20" t="s">
        <v>759</v>
      </c>
    </row>
    <row r="201" spans="1:14" ht="18" customHeight="1">
      <c r="A201" s="96">
        <v>200</v>
      </c>
      <c r="B201" s="44" t="s">
        <v>930</v>
      </c>
      <c r="C201" s="20" t="s">
        <v>933</v>
      </c>
      <c r="D201" s="20" t="s">
        <v>508</v>
      </c>
      <c r="H201" s="53" t="s">
        <v>213</v>
      </c>
      <c r="J201" s="41"/>
      <c r="K201" s="55" t="str">
        <f>INDEX(Tableau6[TS],MATCH(Tableau5[[#This Row],[Type Signal]],Tableau6[TypeSignal],0))&amp;""</f>
        <v>ST</v>
      </c>
      <c r="L201" s="55"/>
      <c r="M201" s="21"/>
      <c r="N201" s="20" t="s">
        <v>762</v>
      </c>
    </row>
    <row r="202" spans="1:14" ht="18" customHeight="1">
      <c r="A202" s="96">
        <v>201</v>
      </c>
      <c r="B202" s="44" t="s">
        <v>930</v>
      </c>
      <c r="C202" s="20" t="s">
        <v>934</v>
      </c>
      <c r="D202" s="20" t="s">
        <v>252</v>
      </c>
      <c r="H202" s="53" t="s">
        <v>213</v>
      </c>
      <c r="J202" s="41"/>
      <c r="K202" s="55" t="str">
        <f>INDEX(Tableau6[TS],MATCH(Tableau5[[#This Row],[Type Signal]],Tableau6[TypeSignal],0))&amp;""</f>
        <v>ST</v>
      </c>
      <c r="L202" s="55"/>
      <c r="M202" s="21"/>
      <c r="N202" s="20" t="s">
        <v>762</v>
      </c>
    </row>
    <row r="203" spans="1:14" ht="18" customHeight="1">
      <c r="A203" s="96">
        <v>202</v>
      </c>
      <c r="B203" s="44" t="s">
        <v>930</v>
      </c>
      <c r="C203" s="20" t="s">
        <v>935</v>
      </c>
      <c r="D203" s="20" t="s">
        <v>876</v>
      </c>
      <c r="H203" s="53" t="s">
        <v>213</v>
      </c>
      <c r="J203" s="41"/>
      <c r="K203" s="55" t="str">
        <f>INDEX(Tableau6[TS],MATCH(Tableau5[[#This Row],[Type Signal]],Tableau6[TypeSignal],0))&amp;""</f>
        <v>ST</v>
      </c>
      <c r="L203" s="55"/>
      <c r="M203" s="21"/>
      <c r="N203" s="20" t="s">
        <v>762</v>
      </c>
    </row>
    <row r="204" spans="1:14" ht="18" customHeight="1">
      <c r="A204" s="96">
        <v>203</v>
      </c>
      <c r="B204" s="44" t="s">
        <v>930</v>
      </c>
      <c r="C204" s="20" t="s">
        <v>936</v>
      </c>
      <c r="D204" s="20" t="s">
        <v>518</v>
      </c>
      <c r="H204" s="53" t="s">
        <v>213</v>
      </c>
      <c r="J204" s="40"/>
      <c r="K204" s="55" t="str">
        <f>INDEX(Tableau6[TS],MATCH(Tableau5[[#This Row],[Type Signal]],Tableau6[TypeSignal],0))&amp;""</f>
        <v>ET</v>
      </c>
      <c r="L204" s="55"/>
      <c r="M204" s="21"/>
      <c r="N204" s="20" t="s">
        <v>759</v>
      </c>
    </row>
    <row r="205" spans="1:14" ht="18" customHeight="1">
      <c r="A205" s="96">
        <v>204</v>
      </c>
      <c r="B205" s="44" t="s">
        <v>930</v>
      </c>
      <c r="C205" s="20" t="s">
        <v>937</v>
      </c>
      <c r="D205" s="20" t="s">
        <v>938</v>
      </c>
      <c r="H205" s="53" t="s">
        <v>213</v>
      </c>
      <c r="J205" s="40"/>
      <c r="K205" s="55" t="str">
        <f>INDEX(Tableau6[TS],MATCH(Tableau5[[#This Row],[Type Signal]],Tableau6[TypeSignal],0))&amp;""</f>
        <v>ET</v>
      </c>
      <c r="L205" s="55"/>
      <c r="M205" s="21"/>
      <c r="N205" s="20" t="s">
        <v>759</v>
      </c>
    </row>
    <row r="206" spans="1:14" ht="18" customHeight="1">
      <c r="A206" s="96">
        <v>205</v>
      </c>
      <c r="B206" s="44" t="s">
        <v>930</v>
      </c>
      <c r="C206" s="20" t="s">
        <v>939</v>
      </c>
      <c r="D206" s="20" t="s">
        <v>867</v>
      </c>
      <c r="H206" s="53" t="s">
        <v>213</v>
      </c>
      <c r="J206" s="40"/>
      <c r="K206" s="55" t="str">
        <f>INDEX(Tableau6[TS],MATCH(Tableau5[[#This Row],[Type Signal]],Tableau6[TypeSignal],0))&amp;""</f>
        <v>ET</v>
      </c>
      <c r="L206" s="55"/>
      <c r="M206" s="21"/>
      <c r="N206" s="20" t="s">
        <v>759</v>
      </c>
    </row>
    <row r="207" spans="1:14" ht="18" customHeight="1">
      <c r="A207" s="96">
        <v>206</v>
      </c>
      <c r="B207" s="44" t="s">
        <v>930</v>
      </c>
      <c r="C207" s="20" t="s">
        <v>882</v>
      </c>
      <c r="D207" s="20" t="s">
        <v>328</v>
      </c>
      <c r="H207" s="53" t="s">
        <v>213</v>
      </c>
      <c r="J207" s="40"/>
      <c r="K207" s="55" t="str">
        <f>INDEX(Tableau6[TS],MATCH(Tableau5[[#This Row],[Type Signal]],Tableau6[TypeSignal],0))&amp;""</f>
        <v>ET</v>
      </c>
      <c r="L207" s="55"/>
      <c r="M207" s="21"/>
      <c r="N207" s="20" t="s">
        <v>759</v>
      </c>
    </row>
    <row r="208" spans="1:14" ht="18" customHeight="1">
      <c r="A208" s="96">
        <v>207</v>
      </c>
      <c r="B208" s="44" t="s">
        <v>930</v>
      </c>
      <c r="C208" s="20" t="s">
        <v>940</v>
      </c>
      <c r="D208" s="20" t="s">
        <v>555</v>
      </c>
      <c r="I208" s="53" t="s">
        <v>213</v>
      </c>
      <c r="J208" s="41"/>
      <c r="K208" s="55" t="str">
        <f>INDEX(Tableau6[TS],MATCH(Tableau5[[#This Row],[Type Signal]],Tableau6[TypeSignal],0))&amp;""</f>
        <v>ST</v>
      </c>
      <c r="L208" s="55"/>
      <c r="M208" s="21"/>
      <c r="N208" s="20" t="s">
        <v>762</v>
      </c>
    </row>
    <row r="209" spans="1:14" ht="18" customHeight="1">
      <c r="A209" s="96">
        <v>208</v>
      </c>
      <c r="B209" s="44" t="s">
        <v>930</v>
      </c>
      <c r="C209" s="20" t="s">
        <v>941</v>
      </c>
      <c r="D209" s="20" t="s">
        <v>469</v>
      </c>
      <c r="I209" s="53" t="s">
        <v>213</v>
      </c>
      <c r="J209" s="41"/>
      <c r="K209" s="55" t="str">
        <f>INDEX(Tableau6[TS],MATCH(Tableau5[[#This Row],[Type Signal]],Tableau6[TypeSignal],0))&amp;""</f>
        <v>ST</v>
      </c>
      <c r="L209" s="55"/>
      <c r="M209" s="21"/>
      <c r="N209" s="20" t="s">
        <v>762</v>
      </c>
    </row>
    <row r="210" spans="1:14" ht="18" customHeight="1">
      <c r="A210" s="96">
        <v>209</v>
      </c>
      <c r="B210" s="44" t="s">
        <v>930</v>
      </c>
      <c r="C210" s="20" t="s">
        <v>892</v>
      </c>
      <c r="D210" s="20" t="s">
        <v>519</v>
      </c>
      <c r="H210" s="53" t="s">
        <v>213</v>
      </c>
      <c r="J210" s="40"/>
      <c r="K210" s="55" t="str">
        <f>INDEX(Tableau6[TS],MATCH(Tableau5[[#This Row],[Type Signal]],Tableau6[TypeSignal],0))&amp;""</f>
        <v>ET</v>
      </c>
      <c r="L210" s="55"/>
      <c r="M210" s="21"/>
      <c r="N210" s="20" t="s">
        <v>759</v>
      </c>
    </row>
    <row r="211" spans="1:14" ht="18" customHeight="1">
      <c r="A211" s="96">
        <v>210</v>
      </c>
      <c r="B211" s="44" t="s">
        <v>930</v>
      </c>
      <c r="C211" s="20" t="s">
        <v>893</v>
      </c>
      <c r="D211" s="20" t="s">
        <v>520</v>
      </c>
      <c r="H211" s="53" t="s">
        <v>213</v>
      </c>
      <c r="J211" s="40"/>
      <c r="K211" s="55" t="str">
        <f>INDEX(Tableau6[TS],MATCH(Tableau5[[#This Row],[Type Signal]],Tableau6[TypeSignal],0))&amp;""</f>
        <v>ET</v>
      </c>
      <c r="L211" s="55"/>
      <c r="M211" s="21"/>
      <c r="N211" s="20" t="s">
        <v>759</v>
      </c>
    </row>
    <row r="212" spans="1:14" ht="18" customHeight="1">
      <c r="A212" s="96">
        <v>211</v>
      </c>
      <c r="B212" s="44" t="s">
        <v>930</v>
      </c>
      <c r="C212" s="20" t="s">
        <v>914</v>
      </c>
      <c r="D212" s="20" t="s">
        <v>521</v>
      </c>
      <c r="H212" s="53" t="s">
        <v>213</v>
      </c>
      <c r="J212" s="40"/>
      <c r="K212" s="55" t="str">
        <f>INDEX(Tableau6[TS],MATCH(Tableau5[[#This Row],[Type Signal]],Tableau6[TypeSignal],0))&amp;""</f>
        <v>ET</v>
      </c>
      <c r="L212" s="55"/>
      <c r="M212" s="21"/>
      <c r="N212" s="20" t="s">
        <v>759</v>
      </c>
    </row>
    <row r="213" spans="1:14" ht="18" customHeight="1">
      <c r="A213" s="96">
        <v>212</v>
      </c>
      <c r="B213" s="44" t="s">
        <v>930</v>
      </c>
      <c r="C213" s="20" t="s">
        <v>942</v>
      </c>
      <c r="D213" s="20" t="s">
        <v>241</v>
      </c>
      <c r="H213" s="53" t="s">
        <v>213</v>
      </c>
      <c r="J213" s="41"/>
      <c r="K213" s="55" t="str">
        <f>INDEX(Tableau6[TS],MATCH(Tableau5[[#This Row],[Type Signal]],Tableau6[TypeSignal],0))&amp;""</f>
        <v>ST</v>
      </c>
      <c r="L213" s="55"/>
      <c r="M213" s="21"/>
      <c r="N213" s="20" t="s">
        <v>762</v>
      </c>
    </row>
    <row r="214" spans="1:14" ht="18" customHeight="1">
      <c r="A214" s="96">
        <v>213</v>
      </c>
      <c r="B214" s="44" t="s">
        <v>930</v>
      </c>
      <c r="C214" s="20" t="s">
        <v>943</v>
      </c>
      <c r="D214" s="20" t="s">
        <v>509</v>
      </c>
      <c r="H214" s="53" t="s">
        <v>213</v>
      </c>
      <c r="J214" s="41"/>
      <c r="K214" s="55" t="str">
        <f>INDEX(Tableau6[TS],MATCH(Tableau5[[#This Row],[Type Signal]],Tableau6[TypeSignal],0))&amp;""</f>
        <v>ST</v>
      </c>
      <c r="L214" s="55"/>
      <c r="M214" s="21"/>
      <c r="N214" s="20" t="s">
        <v>762</v>
      </c>
    </row>
    <row r="215" spans="1:14" ht="18" customHeight="1">
      <c r="A215" s="96">
        <v>214</v>
      </c>
      <c r="B215" s="44" t="s">
        <v>930</v>
      </c>
      <c r="C215" s="20" t="s">
        <v>944</v>
      </c>
      <c r="D215" s="20" t="s">
        <v>242</v>
      </c>
      <c r="H215" s="53" t="s">
        <v>213</v>
      </c>
      <c r="J215" s="41"/>
      <c r="K215" s="55" t="str">
        <f>INDEX(Tableau6[TS],MATCH(Tableau5[[#This Row],[Type Signal]],Tableau6[TypeSignal],0))&amp;""</f>
        <v>ST</v>
      </c>
      <c r="L215" s="55"/>
      <c r="M215" s="21"/>
      <c r="N215" s="20" t="s">
        <v>762</v>
      </c>
    </row>
    <row r="216" spans="1:14" ht="18" customHeight="1">
      <c r="A216" s="96">
        <v>215</v>
      </c>
      <c r="B216" s="44" t="s">
        <v>930</v>
      </c>
      <c r="C216" s="20" t="s">
        <v>816</v>
      </c>
      <c r="D216" s="20" t="s">
        <v>816</v>
      </c>
      <c r="H216" s="53" t="s">
        <v>213</v>
      </c>
      <c r="J216" s="41"/>
      <c r="K216" s="55" t="str">
        <f>INDEX(Tableau6[TS],MATCH(Tableau5[[#This Row],[Type Signal]],Tableau6[TypeSignal],0))&amp;""</f>
        <v>ST</v>
      </c>
      <c r="L216" s="55"/>
      <c r="M216" s="21"/>
      <c r="N216" s="20" t="s">
        <v>762</v>
      </c>
    </row>
    <row r="217" spans="1:14" ht="18" customHeight="1">
      <c r="A217" s="96">
        <v>216</v>
      </c>
      <c r="B217" s="44" t="s">
        <v>930</v>
      </c>
      <c r="C217" s="20" t="s">
        <v>945</v>
      </c>
      <c r="D217" s="20" t="s">
        <v>510</v>
      </c>
      <c r="H217" s="53" t="s">
        <v>213</v>
      </c>
      <c r="J217" s="41"/>
      <c r="K217" s="55" t="str">
        <f>INDEX(Tableau6[TS],MATCH(Tableau5[[#This Row],[Type Signal]],Tableau6[TypeSignal],0))&amp;""</f>
        <v>ST</v>
      </c>
      <c r="L217" s="55"/>
      <c r="M217" s="21"/>
      <c r="N217" s="20" t="s">
        <v>762</v>
      </c>
    </row>
    <row r="218" spans="1:14" ht="18" customHeight="1">
      <c r="A218" s="96">
        <v>217</v>
      </c>
      <c r="B218" s="44" t="s">
        <v>930</v>
      </c>
      <c r="C218" s="20" t="s">
        <v>946</v>
      </c>
      <c r="D218" s="20" t="s">
        <v>243</v>
      </c>
      <c r="H218" s="53" t="s">
        <v>213</v>
      </c>
      <c r="J218" s="40"/>
      <c r="K218" s="55" t="str">
        <f>INDEX(Tableau6[TS],MATCH(Tableau5[[#This Row],[Type Signal]],Tableau6[TypeSignal],0))&amp;""</f>
        <v>ET</v>
      </c>
      <c r="L218" s="55"/>
      <c r="M218" s="21"/>
      <c r="N218" s="20" t="s">
        <v>759</v>
      </c>
    </row>
    <row r="219" spans="1:14" ht="18" customHeight="1">
      <c r="A219" s="96">
        <v>218</v>
      </c>
      <c r="B219" s="44" t="s">
        <v>930</v>
      </c>
      <c r="C219" s="20" t="s">
        <v>947</v>
      </c>
      <c r="D219" s="20" t="s">
        <v>522</v>
      </c>
      <c r="H219" s="53" t="s">
        <v>213</v>
      </c>
      <c r="J219" s="40"/>
      <c r="K219" s="55" t="str">
        <f>INDEX(Tableau6[TS],MATCH(Tableau5[[#This Row],[Type Signal]],Tableau6[TypeSignal],0))&amp;""</f>
        <v>ET</v>
      </c>
      <c r="L219" s="55"/>
      <c r="M219" s="21"/>
      <c r="N219" s="20" t="s">
        <v>759</v>
      </c>
    </row>
    <row r="220" spans="1:14" ht="18" customHeight="1">
      <c r="A220" s="96">
        <v>219</v>
      </c>
      <c r="B220" s="44" t="s">
        <v>930</v>
      </c>
      <c r="C220" s="20" t="s">
        <v>948</v>
      </c>
      <c r="D220" s="20" t="s">
        <v>244</v>
      </c>
      <c r="H220" s="53" t="s">
        <v>213</v>
      </c>
      <c r="J220" s="40"/>
      <c r="K220" s="55" t="str">
        <f>INDEX(Tableau6[TS],MATCH(Tableau5[[#This Row],[Type Signal]],Tableau6[TypeSignal],0))&amp;""</f>
        <v>ET</v>
      </c>
      <c r="L220" s="55"/>
      <c r="M220" s="21"/>
      <c r="N220" s="20" t="s">
        <v>759</v>
      </c>
    </row>
    <row r="221" spans="1:14" ht="18" customHeight="1">
      <c r="A221" s="96">
        <v>220</v>
      </c>
      <c r="B221" s="44" t="s">
        <v>930</v>
      </c>
      <c r="C221" s="20" t="s">
        <v>949</v>
      </c>
      <c r="D221" s="20" t="s">
        <v>523</v>
      </c>
      <c r="H221" s="53" t="s">
        <v>213</v>
      </c>
      <c r="J221" s="40"/>
      <c r="K221" s="55" t="str">
        <f>INDEX(Tableau6[TS],MATCH(Tableau5[[#This Row],[Type Signal]],Tableau6[TypeSignal],0))&amp;""</f>
        <v>ET</v>
      </c>
      <c r="L221" s="55"/>
      <c r="M221" s="21"/>
      <c r="N221" s="20" t="s">
        <v>759</v>
      </c>
    </row>
    <row r="222" spans="1:14" ht="18" customHeight="1">
      <c r="A222" s="96">
        <v>221</v>
      </c>
      <c r="B222" s="44" t="s">
        <v>930</v>
      </c>
      <c r="C222" s="20" t="s">
        <v>950</v>
      </c>
      <c r="D222" s="20" t="s">
        <v>245</v>
      </c>
      <c r="H222" s="53" t="s">
        <v>213</v>
      </c>
      <c r="J222" s="40"/>
      <c r="K222" s="55" t="str">
        <f>INDEX(Tableau6[TS],MATCH(Tableau5[[#This Row],[Type Signal]],Tableau6[TypeSignal],0))&amp;""</f>
        <v>ET</v>
      </c>
      <c r="L222" s="55"/>
      <c r="M222" s="21"/>
      <c r="N222" s="20" t="s">
        <v>759</v>
      </c>
    </row>
    <row r="223" spans="1:14" ht="18" customHeight="1">
      <c r="A223" s="96">
        <v>222</v>
      </c>
      <c r="B223" s="44" t="s">
        <v>930</v>
      </c>
      <c r="C223" s="20" t="s">
        <v>888</v>
      </c>
      <c r="D223" s="20" t="s">
        <v>524</v>
      </c>
      <c r="H223" s="53" t="s">
        <v>213</v>
      </c>
      <c r="J223" s="40"/>
      <c r="K223" s="55" t="str">
        <f>INDEX(Tableau6[TS],MATCH(Tableau5[[#This Row],[Type Signal]],Tableau6[TypeSignal],0))&amp;""</f>
        <v>ET</v>
      </c>
      <c r="L223" s="55"/>
      <c r="M223" s="21"/>
      <c r="N223" s="20" t="s">
        <v>759</v>
      </c>
    </row>
    <row r="224" spans="1:14" ht="18" customHeight="1">
      <c r="A224" s="96">
        <v>223</v>
      </c>
      <c r="B224" s="44" t="s">
        <v>930</v>
      </c>
      <c r="C224" s="20" t="s">
        <v>951</v>
      </c>
      <c r="D224" s="20" t="s">
        <v>525</v>
      </c>
      <c r="H224" s="53" t="s">
        <v>213</v>
      </c>
      <c r="J224" s="40"/>
      <c r="K224" s="55" t="str">
        <f>INDEX(Tableau6[TS],MATCH(Tableau5[[#This Row],[Type Signal]],Tableau6[TypeSignal],0))&amp;""</f>
        <v>ET</v>
      </c>
      <c r="L224" s="55"/>
      <c r="M224" s="21"/>
      <c r="N224" s="20" t="s">
        <v>759</v>
      </c>
    </row>
    <row r="225" spans="1:14" ht="18" customHeight="1">
      <c r="A225" s="96">
        <v>224</v>
      </c>
      <c r="B225" s="44" t="s">
        <v>930</v>
      </c>
      <c r="C225" s="20" t="s">
        <v>890</v>
      </c>
      <c r="D225" s="20" t="s">
        <v>511</v>
      </c>
      <c r="H225" s="53" t="s">
        <v>213</v>
      </c>
      <c r="J225" s="41"/>
      <c r="K225" s="55" t="str">
        <f>INDEX(Tableau6[TS],MATCH(Tableau5[[#This Row],[Type Signal]],Tableau6[TypeSignal],0))&amp;""</f>
        <v>ST</v>
      </c>
      <c r="L225" s="55"/>
      <c r="M225" s="21"/>
      <c r="N225" s="20" t="s">
        <v>762</v>
      </c>
    </row>
    <row r="226" spans="1:14" ht="18" customHeight="1">
      <c r="A226" s="96">
        <v>225</v>
      </c>
      <c r="B226" s="44" t="s">
        <v>930</v>
      </c>
      <c r="C226" s="20" t="s">
        <v>891</v>
      </c>
      <c r="D226" s="20" t="s">
        <v>512</v>
      </c>
      <c r="H226" s="53" t="s">
        <v>213</v>
      </c>
      <c r="J226" s="41"/>
      <c r="K226" s="55" t="str">
        <f>INDEX(Tableau6[TS],MATCH(Tableau5[[#This Row],[Type Signal]],Tableau6[TypeSignal],0))&amp;""</f>
        <v>ST</v>
      </c>
      <c r="L226" s="55"/>
      <c r="M226" s="21"/>
      <c r="N226" s="20" t="s">
        <v>762</v>
      </c>
    </row>
    <row r="227" spans="1:14" ht="18" customHeight="1">
      <c r="A227" s="96">
        <v>226</v>
      </c>
      <c r="B227" s="44" t="s">
        <v>930</v>
      </c>
      <c r="C227" s="20" t="s">
        <v>952</v>
      </c>
      <c r="D227" s="20" t="s">
        <v>557</v>
      </c>
      <c r="I227" s="53" t="s">
        <v>213</v>
      </c>
      <c r="J227" s="40"/>
      <c r="K227" s="55" t="str">
        <f>INDEX(Tableau6[TS],MATCH(Tableau5[[#This Row],[Type Signal]],Tableau6[TypeSignal],0))&amp;""</f>
        <v>ET</v>
      </c>
      <c r="L227" s="55"/>
      <c r="M227" s="21"/>
      <c r="N227" s="20" t="s">
        <v>759</v>
      </c>
    </row>
    <row r="228" spans="1:14" ht="18" customHeight="1">
      <c r="A228" s="96">
        <v>227</v>
      </c>
      <c r="B228" s="44" t="s">
        <v>930</v>
      </c>
      <c r="C228" s="20" t="s">
        <v>905</v>
      </c>
      <c r="D228" s="20" t="s">
        <v>479</v>
      </c>
      <c r="I228" s="53" t="s">
        <v>213</v>
      </c>
      <c r="J228" s="40"/>
      <c r="K228" s="55" t="str">
        <f>INDEX(Tableau6[TS],MATCH(Tableau5[[#This Row],[Type Signal]],Tableau6[TypeSignal],0))&amp;""</f>
        <v>ET</v>
      </c>
      <c r="L228" s="55"/>
      <c r="M228" s="21"/>
      <c r="N228" s="20" t="s">
        <v>759</v>
      </c>
    </row>
    <row r="229" spans="1:14" ht="18" customHeight="1">
      <c r="A229" s="96">
        <v>228</v>
      </c>
      <c r="B229" s="44" t="s">
        <v>930</v>
      </c>
      <c r="C229" s="20" t="s">
        <v>907</v>
      </c>
      <c r="D229" s="20" t="s">
        <v>481</v>
      </c>
      <c r="I229" s="53" t="s">
        <v>213</v>
      </c>
      <c r="J229" s="40"/>
      <c r="K229" s="55" t="str">
        <f>INDEX(Tableau6[TS],MATCH(Tableau5[[#This Row],[Type Signal]],Tableau6[TypeSignal],0))&amp;""</f>
        <v>ET</v>
      </c>
      <c r="L229" s="55"/>
      <c r="M229" s="21"/>
      <c r="N229" s="20" t="s">
        <v>759</v>
      </c>
    </row>
    <row r="230" spans="1:14" ht="18" customHeight="1">
      <c r="A230" s="96">
        <v>229</v>
      </c>
      <c r="B230" s="44" t="s">
        <v>930</v>
      </c>
      <c r="C230" s="20" t="s">
        <v>869</v>
      </c>
      <c r="D230" s="20" t="s">
        <v>246</v>
      </c>
      <c r="I230" s="53" t="s">
        <v>213</v>
      </c>
      <c r="J230" s="41"/>
      <c r="K230" s="55" t="str">
        <f>INDEX(Tableau6[TS],MATCH(Tableau5[[#This Row],[Type Signal]],Tableau6[TypeSignal],0))&amp;""</f>
        <v>ST</v>
      </c>
      <c r="L230" s="55"/>
      <c r="M230" s="21"/>
      <c r="N230" s="20" t="s">
        <v>762</v>
      </c>
    </row>
    <row r="231" spans="1:14" ht="18" customHeight="1">
      <c r="A231" s="96">
        <v>230</v>
      </c>
      <c r="B231" s="44" t="s">
        <v>930</v>
      </c>
      <c r="C231" s="20" t="s">
        <v>953</v>
      </c>
      <c r="D231" s="20" t="s">
        <v>556</v>
      </c>
      <c r="I231" s="53" t="s">
        <v>213</v>
      </c>
      <c r="J231" s="41"/>
      <c r="K231" s="55" t="str">
        <f>INDEX(Tableau6[TS],MATCH(Tableau5[[#This Row],[Type Signal]],Tableau6[TypeSignal],0))&amp;""</f>
        <v>ST</v>
      </c>
      <c r="L231" s="55"/>
      <c r="M231" s="21"/>
      <c r="N231" s="20" t="s">
        <v>762</v>
      </c>
    </row>
    <row r="232" spans="1:14" ht="18" customHeight="1">
      <c r="A232" s="96">
        <v>231</v>
      </c>
      <c r="B232" s="44" t="s">
        <v>930</v>
      </c>
      <c r="C232" s="20" t="s">
        <v>954</v>
      </c>
      <c r="D232" s="20" t="s">
        <v>247</v>
      </c>
      <c r="I232" s="53" t="s">
        <v>213</v>
      </c>
      <c r="J232" s="41"/>
      <c r="K232" s="55" t="str">
        <f>INDEX(Tableau6[TS],MATCH(Tableau5[[#This Row],[Type Signal]],Tableau6[TypeSignal],0))&amp;""</f>
        <v>ST</v>
      </c>
      <c r="L232" s="55"/>
      <c r="M232" s="21"/>
      <c r="N232" s="20" t="s">
        <v>762</v>
      </c>
    </row>
    <row r="233" spans="1:14" ht="18" customHeight="1">
      <c r="A233" s="96">
        <v>232</v>
      </c>
      <c r="B233" s="44" t="s">
        <v>930</v>
      </c>
      <c r="C233" s="20" t="s">
        <v>816</v>
      </c>
      <c r="D233" s="20" t="s">
        <v>816</v>
      </c>
      <c r="I233" s="53" t="s">
        <v>213</v>
      </c>
      <c r="J233" s="41"/>
      <c r="K233" s="55" t="str">
        <f>INDEX(Tableau6[TS],MATCH(Tableau5[[#This Row],[Type Signal]],Tableau6[TypeSignal],0))&amp;""</f>
        <v>ST</v>
      </c>
      <c r="L233" s="55"/>
      <c r="M233" s="21"/>
      <c r="N233" s="20" t="s">
        <v>762</v>
      </c>
    </row>
    <row r="234" spans="1:14" ht="18" customHeight="1">
      <c r="A234" s="96">
        <v>233</v>
      </c>
      <c r="B234" s="44" t="s">
        <v>930</v>
      </c>
      <c r="C234" s="20" t="s">
        <v>955</v>
      </c>
      <c r="D234" s="20" t="s">
        <v>471</v>
      </c>
      <c r="I234" s="53" t="s">
        <v>213</v>
      </c>
      <c r="J234" s="41"/>
      <c r="K234" s="55" t="str">
        <f>INDEX(Tableau6[TS],MATCH(Tableau5[[#This Row],[Type Signal]],Tableau6[TypeSignal],0))&amp;""</f>
        <v>ST</v>
      </c>
      <c r="L234" s="55"/>
      <c r="M234" s="21"/>
      <c r="N234" s="20" t="s">
        <v>762</v>
      </c>
    </row>
    <row r="235" spans="1:14" ht="18" customHeight="1">
      <c r="A235" s="96">
        <v>234</v>
      </c>
      <c r="B235" s="44" t="s">
        <v>930</v>
      </c>
      <c r="C235" s="20" t="s">
        <v>956</v>
      </c>
      <c r="D235" s="20" t="s">
        <v>248</v>
      </c>
      <c r="I235" s="53" t="s">
        <v>213</v>
      </c>
      <c r="J235" s="40"/>
      <c r="K235" s="55" t="str">
        <f>INDEX(Tableau6[TS],MATCH(Tableau5[[#This Row],[Type Signal]],Tableau6[TypeSignal],0))&amp;""</f>
        <v>ET</v>
      </c>
      <c r="L235" s="55"/>
      <c r="M235" s="21"/>
      <c r="N235" s="20" t="s">
        <v>759</v>
      </c>
    </row>
    <row r="236" spans="1:14" ht="18" customHeight="1">
      <c r="A236" s="96">
        <v>235</v>
      </c>
      <c r="B236" s="44" t="s">
        <v>930</v>
      </c>
      <c r="C236" s="20" t="s">
        <v>900</v>
      </c>
      <c r="D236" s="20" t="s">
        <v>482</v>
      </c>
      <c r="I236" s="53" t="s">
        <v>213</v>
      </c>
      <c r="J236" s="40"/>
      <c r="K236" s="55" t="str">
        <f>INDEX(Tableau6[TS],MATCH(Tableau5[[#This Row],[Type Signal]],Tableau6[TypeSignal],0))&amp;""</f>
        <v>ET</v>
      </c>
      <c r="L236" s="55"/>
      <c r="M236" s="21"/>
      <c r="N236" s="20" t="s">
        <v>759</v>
      </c>
    </row>
    <row r="237" spans="1:14" ht="18" customHeight="1">
      <c r="A237" s="96">
        <v>236</v>
      </c>
      <c r="B237" s="44" t="s">
        <v>930</v>
      </c>
      <c r="C237" s="20" t="s">
        <v>957</v>
      </c>
      <c r="D237" s="20" t="s">
        <v>249</v>
      </c>
      <c r="I237" s="53" t="s">
        <v>213</v>
      </c>
      <c r="J237" s="40"/>
      <c r="K237" s="55" t="str">
        <f>INDEX(Tableau6[TS],MATCH(Tableau5[[#This Row],[Type Signal]],Tableau6[TypeSignal],0))&amp;""</f>
        <v>ET</v>
      </c>
      <c r="L237" s="55"/>
      <c r="M237" s="21"/>
      <c r="N237" s="20" t="s">
        <v>759</v>
      </c>
    </row>
    <row r="238" spans="1:14" ht="18" customHeight="1">
      <c r="A238" s="96">
        <v>237</v>
      </c>
      <c r="B238" s="44" t="s">
        <v>930</v>
      </c>
      <c r="C238" s="20" t="s">
        <v>958</v>
      </c>
      <c r="D238" s="20" t="s">
        <v>558</v>
      </c>
      <c r="I238" s="53" t="s">
        <v>213</v>
      </c>
      <c r="J238" s="40"/>
      <c r="K238" s="55" t="str">
        <f>INDEX(Tableau6[TS],MATCH(Tableau5[[#This Row],[Type Signal]],Tableau6[TypeSignal],0))&amp;""</f>
        <v>ET</v>
      </c>
      <c r="L238" s="55"/>
      <c r="M238" s="21"/>
      <c r="N238" s="20" t="s">
        <v>759</v>
      </c>
    </row>
    <row r="239" spans="1:14" ht="18" customHeight="1">
      <c r="A239" s="96">
        <v>238</v>
      </c>
      <c r="B239" s="44" t="s">
        <v>930</v>
      </c>
      <c r="C239" s="20" t="s">
        <v>959</v>
      </c>
      <c r="D239" s="20" t="s">
        <v>250</v>
      </c>
      <c r="I239" s="53" t="s">
        <v>213</v>
      </c>
      <c r="J239" s="40"/>
      <c r="K239" s="55" t="str">
        <f>INDEX(Tableau6[TS],MATCH(Tableau5[[#This Row],[Type Signal]],Tableau6[TypeSignal],0))&amp;""</f>
        <v>ET</v>
      </c>
      <c r="L239" s="55"/>
      <c r="M239" s="21"/>
      <c r="N239" s="20" t="s">
        <v>759</v>
      </c>
    </row>
    <row r="240" spans="1:14" ht="18" customHeight="1">
      <c r="A240" s="96">
        <v>239</v>
      </c>
      <c r="B240" s="44" t="s">
        <v>930</v>
      </c>
      <c r="C240" s="20" t="s">
        <v>906</v>
      </c>
      <c r="D240" s="20" t="s">
        <v>480</v>
      </c>
      <c r="I240" s="53" t="s">
        <v>213</v>
      </c>
      <c r="J240" s="40"/>
      <c r="K240" s="55" t="str">
        <f>INDEX(Tableau6[TS],MATCH(Tableau5[[#This Row],[Type Signal]],Tableau6[TypeSignal],0))&amp;""</f>
        <v>ET</v>
      </c>
      <c r="L240" s="55"/>
      <c r="M240" s="21"/>
      <c r="N240" s="20" t="s">
        <v>759</v>
      </c>
    </row>
    <row r="241" spans="1:14" ht="18" customHeight="1">
      <c r="A241" s="96">
        <v>240</v>
      </c>
      <c r="B241" s="44" t="s">
        <v>930</v>
      </c>
      <c r="C241" s="20" t="s">
        <v>904</v>
      </c>
      <c r="D241" s="20" t="s">
        <v>559</v>
      </c>
      <c r="I241" s="53" t="s">
        <v>213</v>
      </c>
      <c r="J241" s="40"/>
      <c r="K241" s="55" t="str">
        <f>INDEX(Tableau6[TS],MATCH(Tableau5[[#This Row],[Type Signal]],Tableau6[TypeSignal],0))&amp;""</f>
        <v>ET</v>
      </c>
      <c r="L241" s="55"/>
      <c r="M241" s="21"/>
      <c r="N241" s="20" t="s">
        <v>759</v>
      </c>
    </row>
    <row r="242" spans="1:14" ht="18" customHeight="1">
      <c r="A242" s="96">
        <v>241</v>
      </c>
      <c r="B242" s="44" t="s">
        <v>960</v>
      </c>
      <c r="C242" s="20" t="s">
        <v>961</v>
      </c>
      <c r="D242" s="20" t="s">
        <v>560</v>
      </c>
      <c r="I242" s="53" t="s">
        <v>213</v>
      </c>
      <c r="J242" s="41"/>
      <c r="K242" s="55" t="str">
        <f>INDEX(Tableau6[TS],MATCH(Tableau5[[#This Row],[Type Signal]],Tableau6[TypeSignal],0))&amp;""</f>
        <v>ST</v>
      </c>
      <c r="L242" s="55"/>
      <c r="M242" s="21"/>
      <c r="N242" s="20" t="s">
        <v>762</v>
      </c>
    </row>
    <row r="243" spans="1:14" ht="18" customHeight="1">
      <c r="A243" s="96">
        <v>242</v>
      </c>
      <c r="B243" s="44" t="s">
        <v>960</v>
      </c>
      <c r="C243" s="20" t="s">
        <v>962</v>
      </c>
      <c r="D243" s="20" t="s">
        <v>562</v>
      </c>
      <c r="I243" s="53" t="s">
        <v>213</v>
      </c>
      <c r="J243" s="40"/>
      <c r="K243" s="55" t="str">
        <f>INDEX(Tableau6[TS],MATCH(Tableau5[[#This Row],[Type Signal]],Tableau6[TypeSignal],0))&amp;""</f>
        <v>ET</v>
      </c>
      <c r="L243" s="55"/>
      <c r="M243" s="21"/>
      <c r="N243" s="20" t="s">
        <v>759</v>
      </c>
    </row>
    <row r="244" spans="1:14" ht="18" customHeight="1">
      <c r="A244" s="96">
        <v>243</v>
      </c>
      <c r="B244" s="44" t="s">
        <v>960</v>
      </c>
      <c r="C244" s="20" t="s">
        <v>963</v>
      </c>
      <c r="D244" s="20" t="s">
        <v>535</v>
      </c>
      <c r="H244" s="53" t="s">
        <v>213</v>
      </c>
      <c r="J244" s="40"/>
      <c r="K244" s="55" t="str">
        <f>INDEX(Tableau6[TS],MATCH(Tableau5[[#This Row],[Type Signal]],Tableau6[TypeSignal],0))&amp;""</f>
        <v>ET</v>
      </c>
      <c r="L244" s="55"/>
      <c r="M244" s="21"/>
      <c r="N244" s="20" t="s">
        <v>759</v>
      </c>
    </row>
    <row r="245" spans="1:14" ht="18" customHeight="1">
      <c r="A245" s="96">
        <v>244</v>
      </c>
      <c r="B245" s="44" t="s">
        <v>964</v>
      </c>
      <c r="C245" s="20" t="s">
        <v>826</v>
      </c>
      <c r="D245" s="20" t="s">
        <v>468</v>
      </c>
      <c r="I245" s="53" t="s">
        <v>213</v>
      </c>
      <c r="J245" s="41"/>
      <c r="K245" s="55" t="str">
        <f>INDEX(Tableau6[TS],MATCH(Tableau5[[#This Row],[Type Signal]],Tableau6[TypeSignal],0))&amp;""</f>
        <v>ST</v>
      </c>
      <c r="L245" s="55"/>
      <c r="M245" s="21"/>
      <c r="N245" s="20" t="s">
        <v>762</v>
      </c>
    </row>
    <row r="246" spans="1:14" ht="18" customHeight="1">
      <c r="A246" s="96">
        <v>245</v>
      </c>
      <c r="B246" s="44" t="s">
        <v>964</v>
      </c>
      <c r="C246" s="20" t="s">
        <v>931</v>
      </c>
      <c r="D246" s="20" t="s">
        <v>965</v>
      </c>
      <c r="I246" s="53" t="s">
        <v>213</v>
      </c>
      <c r="J246" s="41"/>
      <c r="K246" s="55" t="str">
        <f>INDEX(Tableau6[TS],MATCH(Tableau5[[#This Row],[Type Signal]],Tableau6[TypeSignal],0))&amp;""</f>
        <v>ST</v>
      </c>
      <c r="L246" s="55"/>
      <c r="M246" s="21"/>
      <c r="N246" s="20" t="s">
        <v>762</v>
      </c>
    </row>
    <row r="247" spans="1:14" ht="18" customHeight="1">
      <c r="A247" s="96">
        <v>246</v>
      </c>
      <c r="B247" s="44" t="s">
        <v>964</v>
      </c>
      <c r="C247" s="20" t="s">
        <v>816</v>
      </c>
      <c r="D247" s="20" t="s">
        <v>816</v>
      </c>
      <c r="H247" s="53" t="s">
        <v>213</v>
      </c>
      <c r="J247" s="40"/>
      <c r="K247" s="55" t="str">
        <f>INDEX(Tableau6[TS],MATCH(Tableau5[[#This Row],[Type Signal]],Tableau6[TypeSignal],0))&amp;""</f>
        <v>ET</v>
      </c>
      <c r="L247" s="55"/>
      <c r="M247" s="21"/>
      <c r="N247" s="20" t="s">
        <v>759</v>
      </c>
    </row>
    <row r="248" spans="1:14" ht="18" customHeight="1">
      <c r="A248" s="96">
        <v>247</v>
      </c>
      <c r="B248" s="44" t="s">
        <v>964</v>
      </c>
      <c r="C248" s="20" t="s">
        <v>816</v>
      </c>
      <c r="D248" s="20" t="s">
        <v>816</v>
      </c>
      <c r="H248" s="53" t="s">
        <v>213</v>
      </c>
      <c r="J248" s="40"/>
      <c r="K248" s="55" t="str">
        <f>INDEX(Tableau6[TS],MATCH(Tableau5[[#This Row],[Type Signal]],Tableau6[TypeSignal],0))&amp;""</f>
        <v>ET</v>
      </c>
      <c r="L248" s="55"/>
      <c r="M248" s="21"/>
      <c r="N248" s="20" t="s">
        <v>759</v>
      </c>
    </row>
    <row r="249" spans="1:14" ht="18" customHeight="1">
      <c r="A249" s="96">
        <v>248</v>
      </c>
      <c r="B249" s="44" t="s">
        <v>964</v>
      </c>
      <c r="C249" s="20" t="s">
        <v>816</v>
      </c>
      <c r="D249" s="20" t="s">
        <v>816</v>
      </c>
      <c r="H249" s="53" t="s">
        <v>213</v>
      </c>
      <c r="J249" s="40"/>
      <c r="K249" s="55" t="str">
        <f>INDEX(Tableau6[TS],MATCH(Tableau5[[#This Row],[Type Signal]],Tableau6[TypeSignal],0))&amp;""</f>
        <v>ET</v>
      </c>
      <c r="L249" s="55"/>
      <c r="M249" s="21"/>
      <c r="N249" s="20" t="s">
        <v>759</v>
      </c>
    </row>
    <row r="250" spans="1:14" ht="18" customHeight="1">
      <c r="A250" s="96">
        <v>249</v>
      </c>
      <c r="B250" s="44" t="s">
        <v>964</v>
      </c>
      <c r="C250" s="20" t="s">
        <v>829</v>
      </c>
      <c r="D250" s="20" t="s">
        <v>526</v>
      </c>
      <c r="H250" s="53" t="s">
        <v>213</v>
      </c>
      <c r="J250" s="40"/>
      <c r="K250" s="55" t="str">
        <f>INDEX(Tableau6[TS],MATCH(Tableau5[[#This Row],[Type Signal]],Tableau6[TypeSignal],0))&amp;""</f>
        <v>ET</v>
      </c>
      <c r="L250" s="55"/>
      <c r="M250" s="21"/>
      <c r="N250" s="20" t="s">
        <v>759</v>
      </c>
    </row>
    <row r="251" spans="1:14" ht="18" customHeight="1">
      <c r="A251" s="96">
        <v>250</v>
      </c>
      <c r="B251" s="44" t="s">
        <v>964</v>
      </c>
      <c r="C251" s="20" t="s">
        <v>821</v>
      </c>
      <c r="D251" s="20" t="s">
        <v>239</v>
      </c>
      <c r="H251" s="53" t="s">
        <v>213</v>
      </c>
      <c r="J251" s="41"/>
      <c r="K251" s="55" t="str">
        <f>INDEX(Tableau6[TS],MATCH(Tableau5[[#This Row],[Type Signal]],Tableau6[TypeSignal],0))&amp;""</f>
        <v>ST</v>
      </c>
      <c r="L251" s="55"/>
      <c r="M251" s="21"/>
      <c r="N251" s="20" t="s">
        <v>762</v>
      </c>
    </row>
    <row r="252" spans="1:14" ht="18" customHeight="1">
      <c r="A252" s="96">
        <v>251</v>
      </c>
      <c r="B252" s="44" t="s">
        <v>964</v>
      </c>
      <c r="C252" s="20" t="s">
        <v>828</v>
      </c>
      <c r="D252" s="20" t="s">
        <v>574</v>
      </c>
      <c r="H252" s="53" t="s">
        <v>213</v>
      </c>
      <c r="J252" s="41"/>
      <c r="K252" s="55" t="str">
        <f>INDEX(Tableau6[TS],MATCH(Tableau5[[#This Row],[Type Signal]],Tableau6[TypeSignal],0))&amp;""</f>
        <v>ST</v>
      </c>
      <c r="L252" s="55"/>
      <c r="M252" s="21"/>
      <c r="N252" s="20" t="s">
        <v>762</v>
      </c>
    </row>
    <row r="253" spans="1:14" ht="18" customHeight="1">
      <c r="A253" s="96">
        <v>252</v>
      </c>
      <c r="B253" s="44" t="s">
        <v>964</v>
      </c>
      <c r="C253" s="20" t="s">
        <v>816</v>
      </c>
      <c r="D253" s="20" t="s">
        <v>816</v>
      </c>
      <c r="H253" s="53" t="s">
        <v>213</v>
      </c>
      <c r="J253" s="41"/>
      <c r="K253" s="55" t="str">
        <f>INDEX(Tableau6[TS],MATCH(Tableau5[[#This Row],[Type Signal]],Tableau6[TypeSignal],0))&amp;""</f>
        <v>ST</v>
      </c>
      <c r="L253" s="55"/>
      <c r="M253" s="21"/>
      <c r="N253" s="20" t="s">
        <v>762</v>
      </c>
    </row>
    <row r="254" spans="1:14" ht="18" customHeight="1">
      <c r="A254" s="96">
        <v>253</v>
      </c>
      <c r="B254" s="44" t="s">
        <v>964</v>
      </c>
      <c r="C254" s="20" t="s">
        <v>935</v>
      </c>
      <c r="D254" s="20" t="s">
        <v>876</v>
      </c>
      <c r="H254" s="53" t="s">
        <v>213</v>
      </c>
      <c r="J254" s="41"/>
      <c r="K254" s="55" t="str">
        <f>INDEX(Tableau6[TS],MATCH(Tableau5[[#This Row],[Type Signal]],Tableau6[TypeSignal],0))&amp;""</f>
        <v>ST</v>
      </c>
      <c r="L254" s="55"/>
      <c r="M254" s="21"/>
      <c r="N254" s="20" t="s">
        <v>762</v>
      </c>
    </row>
    <row r="255" spans="1:14" ht="18" customHeight="1">
      <c r="A255" s="96">
        <v>254</v>
      </c>
      <c r="B255" s="44" t="s">
        <v>964</v>
      </c>
      <c r="C255" s="20" t="s">
        <v>966</v>
      </c>
      <c r="D255" s="20" t="s">
        <v>576</v>
      </c>
      <c r="H255" s="53" t="s">
        <v>213</v>
      </c>
      <c r="J255" s="40"/>
      <c r="K255" s="55" t="str">
        <f>INDEX(Tableau6[TS],MATCH(Tableau5[[#This Row],[Type Signal]],Tableau6[TypeSignal],0))&amp;""</f>
        <v>ET</v>
      </c>
      <c r="L255" s="55"/>
      <c r="M255" s="21"/>
      <c r="N255" s="20" t="s">
        <v>759</v>
      </c>
    </row>
    <row r="256" spans="1:14" ht="18" customHeight="1">
      <c r="A256" s="96">
        <v>255</v>
      </c>
      <c r="B256" s="44" t="s">
        <v>964</v>
      </c>
      <c r="C256" s="20" t="s">
        <v>939</v>
      </c>
      <c r="D256" s="20" t="s">
        <v>967</v>
      </c>
      <c r="H256" s="53" t="s">
        <v>213</v>
      </c>
      <c r="J256" s="40"/>
      <c r="K256" s="55" t="str">
        <f>INDEX(Tableau6[TS],MATCH(Tableau5[[#This Row],[Type Signal]],Tableau6[TypeSignal],0))&amp;""</f>
        <v>ET</v>
      </c>
      <c r="L256" s="55"/>
      <c r="M256" s="21"/>
      <c r="N256" s="20" t="s">
        <v>759</v>
      </c>
    </row>
    <row r="257" spans="1:14" ht="18" customHeight="1">
      <c r="A257" s="96">
        <v>256</v>
      </c>
      <c r="B257" s="44" t="s">
        <v>964</v>
      </c>
      <c r="C257" s="20" t="s">
        <v>968</v>
      </c>
      <c r="D257" s="20" t="s">
        <v>240</v>
      </c>
      <c r="H257" s="53" t="s">
        <v>213</v>
      </c>
      <c r="J257" s="40"/>
      <c r="K257" s="55" t="str">
        <f>INDEX(Tableau6[TS],MATCH(Tableau5[[#This Row],[Type Signal]],Tableau6[TypeSignal],0))&amp;""</f>
        <v>ET</v>
      </c>
      <c r="L257" s="55"/>
      <c r="M257" s="21"/>
      <c r="N257" s="20" t="s">
        <v>759</v>
      </c>
    </row>
    <row r="258" spans="1:14" ht="18" customHeight="1">
      <c r="A258" s="96">
        <v>257</v>
      </c>
      <c r="B258" s="44" t="s">
        <v>964</v>
      </c>
      <c r="C258" s="20" t="s">
        <v>969</v>
      </c>
      <c r="D258" s="20" t="s">
        <v>577</v>
      </c>
      <c r="H258" s="53" t="s">
        <v>213</v>
      </c>
      <c r="J258" s="40"/>
      <c r="K258" s="55" t="str">
        <f>INDEX(Tableau6[TS],MATCH(Tableau5[[#This Row],[Type Signal]],Tableau6[TypeSignal],0))&amp;""</f>
        <v>ET</v>
      </c>
      <c r="L258" s="55"/>
      <c r="M258" s="21"/>
      <c r="N258" s="20" t="s">
        <v>759</v>
      </c>
    </row>
    <row r="259" spans="1:14" ht="18" customHeight="1">
      <c r="A259" s="96">
        <v>258</v>
      </c>
      <c r="B259" s="44" t="s">
        <v>964</v>
      </c>
      <c r="C259" s="20" t="s">
        <v>970</v>
      </c>
      <c r="D259" s="20" t="s">
        <v>578</v>
      </c>
      <c r="H259" s="53" t="s">
        <v>213</v>
      </c>
      <c r="J259" s="40"/>
      <c r="K259" s="55" t="str">
        <f>INDEX(Tableau6[TS],MATCH(Tableau5[[#This Row],[Type Signal]],Tableau6[TypeSignal],0))&amp;""</f>
        <v>ET</v>
      </c>
      <c r="L259" s="55"/>
      <c r="M259" s="21"/>
      <c r="N259" s="20" t="s">
        <v>759</v>
      </c>
    </row>
    <row r="260" spans="1:14" ht="18" customHeight="1">
      <c r="A260" s="96">
        <v>259</v>
      </c>
      <c r="B260" s="44" t="s">
        <v>964</v>
      </c>
      <c r="C260" s="20" t="s">
        <v>487</v>
      </c>
      <c r="D260" s="20" t="s">
        <v>487</v>
      </c>
      <c r="H260" s="53" t="s">
        <v>213</v>
      </c>
      <c r="J260" s="40"/>
      <c r="K260" s="55" t="str">
        <f>INDEX(Tableau6[TS],MATCH(Tableau5[[#This Row],[Type Signal]],Tableau6[TypeSignal],0))&amp;""</f>
        <v>ET</v>
      </c>
      <c r="L260" s="55"/>
      <c r="M260" s="21"/>
      <c r="N260" s="20" t="s">
        <v>759</v>
      </c>
    </row>
    <row r="261" spans="1:14" ht="18" customHeight="1">
      <c r="A261" s="96">
        <v>260</v>
      </c>
      <c r="B261" s="44" t="s">
        <v>964</v>
      </c>
      <c r="C261" s="20" t="s">
        <v>971</v>
      </c>
      <c r="D261" s="20" t="s">
        <v>579</v>
      </c>
      <c r="H261" s="53" t="s">
        <v>213</v>
      </c>
      <c r="J261" s="40"/>
      <c r="K261" s="55" t="str">
        <f>INDEX(Tableau6[TS],MATCH(Tableau5[[#This Row],[Type Signal]],Tableau6[TypeSignal],0))&amp;""</f>
        <v>ET</v>
      </c>
      <c r="L261" s="55"/>
      <c r="M261" s="21"/>
      <c r="N261" s="20" t="s">
        <v>759</v>
      </c>
    </row>
    <row r="262" spans="1:14" ht="18" customHeight="1">
      <c r="A262" s="96">
        <v>261</v>
      </c>
      <c r="B262" s="44" t="s">
        <v>964</v>
      </c>
      <c r="C262" s="20" t="s">
        <v>972</v>
      </c>
      <c r="D262" s="20" t="s">
        <v>580</v>
      </c>
      <c r="H262" s="53" t="s">
        <v>213</v>
      </c>
      <c r="J262" s="40"/>
      <c r="K262" s="55" t="str">
        <f>INDEX(Tableau6[TS],MATCH(Tableau5[[#This Row],[Type Signal]],Tableau6[TypeSignal],0))&amp;""</f>
        <v>ET</v>
      </c>
      <c r="L262" s="55"/>
      <c r="M262" s="21"/>
      <c r="N262" s="20" t="s">
        <v>759</v>
      </c>
    </row>
    <row r="263" spans="1:14" ht="18" customHeight="1">
      <c r="A263" s="96">
        <v>262</v>
      </c>
      <c r="B263" s="44" t="s">
        <v>973</v>
      </c>
      <c r="C263" s="20" t="s">
        <v>831</v>
      </c>
      <c r="D263" s="20" t="s">
        <v>499</v>
      </c>
      <c r="I263" s="53" t="s">
        <v>213</v>
      </c>
      <c r="J263" s="40"/>
      <c r="K263" s="55" t="str">
        <f>INDEX(Tableau6[TS],MATCH(Tableau5[[#This Row],[Type Signal]],Tableau6[TypeSignal],0))&amp;""</f>
        <v>ET</v>
      </c>
      <c r="L263" s="55"/>
      <c r="M263" s="21"/>
      <c r="N263" s="20" t="s">
        <v>759</v>
      </c>
    </row>
    <row r="264" spans="1:14" ht="18" customHeight="1">
      <c r="A264" s="96">
        <v>263</v>
      </c>
      <c r="B264" s="44" t="s">
        <v>973</v>
      </c>
      <c r="C264" s="20" t="s">
        <v>932</v>
      </c>
      <c r="D264" s="20" t="s">
        <v>974</v>
      </c>
      <c r="I264" s="53" t="s">
        <v>213</v>
      </c>
      <c r="J264" s="40"/>
      <c r="K264" s="55" t="str">
        <f>INDEX(Tableau6[TS],MATCH(Tableau5[[#This Row],[Type Signal]],Tableau6[TypeSignal],0))&amp;""</f>
        <v>ET</v>
      </c>
      <c r="L264" s="55"/>
      <c r="M264" s="21"/>
      <c r="N264" s="20" t="s">
        <v>759</v>
      </c>
    </row>
    <row r="265" spans="1:14" ht="18" customHeight="1">
      <c r="A265" s="96">
        <v>264</v>
      </c>
      <c r="B265" s="44" t="s">
        <v>973</v>
      </c>
      <c r="C265" s="20" t="s">
        <v>975</v>
      </c>
      <c r="D265" s="20" t="s">
        <v>500</v>
      </c>
      <c r="I265" s="53" t="s">
        <v>213</v>
      </c>
      <c r="J265" s="40"/>
      <c r="K265" s="55" t="str">
        <f>INDEX(Tableau6[TS],MATCH(Tableau5[[#This Row],[Type Signal]],Tableau6[TypeSignal],0))&amp;""</f>
        <v>ET</v>
      </c>
      <c r="L265" s="55"/>
      <c r="M265" s="21"/>
      <c r="N265" s="20" t="s">
        <v>759</v>
      </c>
    </row>
    <row r="266" spans="1:14" ht="18" customHeight="1">
      <c r="A266" s="96">
        <v>265</v>
      </c>
      <c r="B266" s="44" t="s">
        <v>976</v>
      </c>
      <c r="C266" s="20" t="s">
        <v>977</v>
      </c>
      <c r="D266" s="20" t="s">
        <v>515</v>
      </c>
      <c r="I266" s="53" t="s">
        <v>213</v>
      </c>
      <c r="J266" s="41"/>
      <c r="K266" s="55" t="str">
        <f>INDEX(Tableau6[TS],MATCH(Tableau5[[#This Row],[Type Signal]],Tableau6[TypeSignal],0))&amp;""</f>
        <v>ST</v>
      </c>
      <c r="L266" s="55"/>
      <c r="M266" s="21"/>
      <c r="N266" s="20" t="s">
        <v>762</v>
      </c>
    </row>
    <row r="267" spans="1:14" ht="18" customHeight="1">
      <c r="A267" s="96">
        <v>266</v>
      </c>
      <c r="B267" s="44" t="s">
        <v>976</v>
      </c>
      <c r="C267" s="20" t="s">
        <v>826</v>
      </c>
      <c r="D267" s="20" t="s">
        <v>516</v>
      </c>
      <c r="I267" s="53" t="s">
        <v>213</v>
      </c>
      <c r="J267" s="41"/>
      <c r="K267" s="55" t="str">
        <f>INDEX(Tableau6[TS],MATCH(Tableau5[[#This Row],[Type Signal]],Tableau6[TypeSignal],0))&amp;""</f>
        <v>ST</v>
      </c>
      <c r="L267" s="55"/>
      <c r="M267" s="21"/>
      <c r="N267" s="20" t="s">
        <v>762</v>
      </c>
    </row>
    <row r="268" spans="1:14" ht="18" customHeight="1">
      <c r="A268" s="96">
        <v>267</v>
      </c>
      <c r="B268" s="44" t="s">
        <v>976</v>
      </c>
      <c r="C268" s="20" t="s">
        <v>931</v>
      </c>
      <c r="D268" s="20" t="s">
        <v>863</v>
      </c>
      <c r="I268" s="53" t="s">
        <v>213</v>
      </c>
      <c r="J268" s="41"/>
      <c r="K268" s="55" t="str">
        <f>INDEX(Tableau6[TS],MATCH(Tableau5[[#This Row],[Type Signal]],Tableau6[TypeSignal],0))&amp;""</f>
        <v>ST</v>
      </c>
      <c r="L268" s="55"/>
      <c r="M268" s="21"/>
      <c r="N268" s="20" t="s">
        <v>762</v>
      </c>
    </row>
    <row r="269" spans="1:14" ht="18" customHeight="1">
      <c r="A269" s="96">
        <v>268</v>
      </c>
      <c r="B269" s="44" t="s">
        <v>976</v>
      </c>
      <c r="C269" s="20" t="s">
        <v>816</v>
      </c>
      <c r="D269" s="20" t="s">
        <v>816</v>
      </c>
      <c r="H269" s="53" t="s">
        <v>213</v>
      </c>
      <c r="J269" s="40"/>
      <c r="K269" s="55" t="str">
        <f>INDEX(Tableau6[TS],MATCH(Tableau5[[#This Row],[Type Signal]],Tableau6[TypeSignal],0))&amp;""</f>
        <v>ET</v>
      </c>
      <c r="L269" s="55"/>
      <c r="M269" s="21"/>
      <c r="N269" s="20" t="s">
        <v>759</v>
      </c>
    </row>
    <row r="270" spans="1:14" ht="18" customHeight="1">
      <c r="A270" s="96">
        <v>269</v>
      </c>
      <c r="B270" s="44" t="s">
        <v>976</v>
      </c>
      <c r="C270" s="20" t="s">
        <v>829</v>
      </c>
      <c r="D270" s="20" t="s">
        <v>526</v>
      </c>
      <c r="H270" s="53" t="s">
        <v>213</v>
      </c>
      <c r="J270" s="40"/>
      <c r="K270" s="55" t="str">
        <f>INDEX(Tableau6[TS],MATCH(Tableau5[[#This Row],[Type Signal]],Tableau6[TypeSignal],0))&amp;""</f>
        <v>ET</v>
      </c>
      <c r="L270" s="55"/>
      <c r="M270" s="21"/>
      <c r="N270" s="20" t="s">
        <v>759</v>
      </c>
    </row>
    <row r="271" spans="1:14" ht="18" customHeight="1">
      <c r="A271" s="96">
        <v>270</v>
      </c>
      <c r="B271" s="44" t="s">
        <v>976</v>
      </c>
      <c r="C271" s="20" t="s">
        <v>939</v>
      </c>
      <c r="D271" s="20" t="s">
        <v>867</v>
      </c>
      <c r="H271" s="53" t="s">
        <v>213</v>
      </c>
      <c r="J271" s="40"/>
      <c r="K271" s="55" t="str">
        <f>INDEX(Tableau6[TS],MATCH(Tableau5[[#This Row],[Type Signal]],Tableau6[TypeSignal],0))&amp;""</f>
        <v>ET</v>
      </c>
      <c r="L271" s="55"/>
      <c r="M271" s="21"/>
      <c r="N271" s="20" t="s">
        <v>759</v>
      </c>
    </row>
    <row r="272" spans="1:14" ht="18" customHeight="1">
      <c r="A272" s="96">
        <v>271</v>
      </c>
      <c r="B272" s="44" t="s">
        <v>976</v>
      </c>
      <c r="C272" s="20" t="s">
        <v>816</v>
      </c>
      <c r="D272" s="20" t="s">
        <v>816</v>
      </c>
      <c r="H272" s="53" t="s">
        <v>213</v>
      </c>
      <c r="J272" s="40"/>
      <c r="K272" s="55" t="str">
        <f>INDEX(Tableau6[TS],MATCH(Tableau5[[#This Row],[Type Signal]],Tableau6[TypeSignal],0))&amp;""</f>
        <v>ET</v>
      </c>
      <c r="L272" s="55"/>
      <c r="M272" s="21"/>
      <c r="N272" s="20" t="s">
        <v>759</v>
      </c>
    </row>
    <row r="273" spans="1:14" ht="18" customHeight="1">
      <c r="A273" s="96">
        <v>272</v>
      </c>
      <c r="B273" s="44" t="s">
        <v>976</v>
      </c>
      <c r="C273" s="20" t="s">
        <v>487</v>
      </c>
      <c r="D273" s="20" t="s">
        <v>487</v>
      </c>
      <c r="H273" s="53" t="s">
        <v>213</v>
      </c>
      <c r="J273" s="40"/>
      <c r="K273" s="55" t="str">
        <f>INDEX(Tableau6[TS],MATCH(Tableau5[[#This Row],[Type Signal]],Tableau6[TypeSignal],0))&amp;""</f>
        <v>ET</v>
      </c>
      <c r="L273" s="55"/>
      <c r="M273" s="21"/>
      <c r="N273" s="20" t="s">
        <v>759</v>
      </c>
    </row>
    <row r="274" spans="1:14" ht="18" customHeight="1">
      <c r="A274" s="96">
        <v>273</v>
      </c>
      <c r="B274" s="44" t="s">
        <v>976</v>
      </c>
      <c r="C274" s="20" t="s">
        <v>978</v>
      </c>
      <c r="D274" s="20" t="s">
        <v>513</v>
      </c>
      <c r="H274" s="53" t="s">
        <v>213</v>
      </c>
      <c r="J274" s="41"/>
      <c r="K274" s="55" t="str">
        <f>INDEX(Tableau6[TS],MATCH(Tableau5[[#This Row],[Type Signal]],Tableau6[TypeSignal],0))&amp;""</f>
        <v>ST</v>
      </c>
      <c r="L274" s="55"/>
      <c r="M274" s="21"/>
      <c r="N274" s="20" t="s">
        <v>762</v>
      </c>
    </row>
    <row r="275" spans="1:14" ht="18" customHeight="1">
      <c r="A275" s="96">
        <v>274</v>
      </c>
      <c r="B275" s="44" t="s">
        <v>976</v>
      </c>
      <c r="C275" s="20" t="s">
        <v>979</v>
      </c>
      <c r="D275" s="20" t="s">
        <v>229</v>
      </c>
      <c r="H275" s="53" t="s">
        <v>213</v>
      </c>
      <c r="J275" s="41"/>
      <c r="K275" s="55" t="str">
        <f>INDEX(Tableau6[TS],MATCH(Tableau5[[#This Row],[Type Signal]],Tableau6[TypeSignal],0))&amp;""</f>
        <v>ST</v>
      </c>
      <c r="L275" s="55"/>
      <c r="M275" s="21"/>
      <c r="N275" s="20" t="s">
        <v>762</v>
      </c>
    </row>
    <row r="276" spans="1:14" ht="18" customHeight="1">
      <c r="A276" s="96">
        <v>275</v>
      </c>
      <c r="B276" s="44" t="s">
        <v>976</v>
      </c>
      <c r="C276" s="20" t="s">
        <v>828</v>
      </c>
      <c r="D276" s="20" t="s">
        <v>514</v>
      </c>
      <c r="H276" s="53" t="s">
        <v>213</v>
      </c>
      <c r="J276" s="41"/>
      <c r="K276" s="55" t="str">
        <f>INDEX(Tableau6[TS],MATCH(Tableau5[[#This Row],[Type Signal]],Tableau6[TypeSignal],0))&amp;""</f>
        <v>ST</v>
      </c>
      <c r="L276" s="55"/>
      <c r="M276" s="21"/>
      <c r="N276" s="20" t="s">
        <v>762</v>
      </c>
    </row>
    <row r="277" spans="1:14" ht="18" customHeight="1">
      <c r="A277" s="96">
        <v>276</v>
      </c>
      <c r="B277" s="44" t="s">
        <v>976</v>
      </c>
      <c r="C277" s="20" t="s">
        <v>980</v>
      </c>
      <c r="D277" s="20" t="s">
        <v>230</v>
      </c>
      <c r="H277" s="53" t="s">
        <v>213</v>
      </c>
      <c r="J277" s="41"/>
      <c r="K277" s="55" t="str">
        <f>INDEX(Tableau6[TS],MATCH(Tableau5[[#This Row],[Type Signal]],Tableau6[TypeSignal],0))&amp;""</f>
        <v>ST</v>
      </c>
      <c r="L277" s="55"/>
      <c r="M277" s="21"/>
      <c r="N277" s="20" t="s">
        <v>762</v>
      </c>
    </row>
    <row r="278" spans="1:14" ht="18" customHeight="1">
      <c r="A278" s="96">
        <v>277</v>
      </c>
      <c r="B278" s="44" t="s">
        <v>976</v>
      </c>
      <c r="C278" s="20" t="s">
        <v>935</v>
      </c>
      <c r="D278" s="20" t="s">
        <v>876</v>
      </c>
      <c r="H278" s="53" t="s">
        <v>213</v>
      </c>
      <c r="J278" s="41"/>
      <c r="K278" s="55" t="str">
        <f>INDEX(Tableau6[TS],MATCH(Tableau5[[#This Row],[Type Signal]],Tableau6[TypeSignal],0))&amp;""</f>
        <v>ST</v>
      </c>
      <c r="L278" s="55"/>
      <c r="M278" s="21"/>
      <c r="N278" s="20" t="s">
        <v>762</v>
      </c>
    </row>
    <row r="279" spans="1:14" ht="18" customHeight="1">
      <c r="A279" s="96">
        <v>278</v>
      </c>
      <c r="B279" s="44" t="s">
        <v>976</v>
      </c>
      <c r="C279" s="20" t="s">
        <v>981</v>
      </c>
      <c r="D279" s="20" t="s">
        <v>236</v>
      </c>
      <c r="H279" s="53" t="s">
        <v>213</v>
      </c>
      <c r="J279" s="40"/>
      <c r="K279" s="55" t="str">
        <f>INDEX(Tableau6[TS],MATCH(Tableau5[[#This Row],[Type Signal]],Tableau6[TypeSignal],0))&amp;""</f>
        <v>ET</v>
      </c>
      <c r="L279" s="55"/>
      <c r="M279" s="21"/>
      <c r="N279" s="20" t="s">
        <v>759</v>
      </c>
    </row>
    <row r="280" spans="1:14" ht="18" customHeight="1">
      <c r="A280" s="96">
        <v>279</v>
      </c>
      <c r="B280" s="44" t="s">
        <v>976</v>
      </c>
      <c r="C280" s="20" t="s">
        <v>982</v>
      </c>
      <c r="D280" s="20" t="s">
        <v>235</v>
      </c>
      <c r="H280" s="53" t="s">
        <v>213</v>
      </c>
      <c r="J280" s="40"/>
      <c r="K280" s="55" t="str">
        <f>INDEX(Tableau6[TS],MATCH(Tableau5[[#This Row],[Type Signal]],Tableau6[TypeSignal],0))&amp;""</f>
        <v>ET</v>
      </c>
      <c r="L280" s="55"/>
      <c r="M280" s="21"/>
      <c r="N280" s="20" t="s">
        <v>759</v>
      </c>
    </row>
    <row r="281" spans="1:14" ht="18" customHeight="1">
      <c r="A281" s="96">
        <v>280</v>
      </c>
      <c r="B281" s="44" t="s">
        <v>976</v>
      </c>
      <c r="C281" s="20" t="s">
        <v>983</v>
      </c>
      <c r="D281" s="20" t="s">
        <v>233</v>
      </c>
      <c r="H281" s="53" t="s">
        <v>213</v>
      </c>
      <c r="J281" s="40"/>
      <c r="K281" s="55" t="str">
        <f>INDEX(Tableau6[TS],MATCH(Tableau5[[#This Row],[Type Signal]],Tableau6[TypeSignal],0))&amp;""</f>
        <v>ET</v>
      </c>
      <c r="L281" s="55"/>
      <c r="M281" s="21"/>
      <c r="N281" s="20" t="s">
        <v>759</v>
      </c>
    </row>
    <row r="282" spans="1:14" ht="18" customHeight="1">
      <c r="A282" s="96">
        <v>281</v>
      </c>
      <c r="B282" s="44" t="s">
        <v>976</v>
      </c>
      <c r="C282" s="20" t="s">
        <v>984</v>
      </c>
      <c r="D282" s="20" t="s">
        <v>234</v>
      </c>
      <c r="H282" s="53" t="s">
        <v>213</v>
      </c>
      <c r="J282" s="40"/>
      <c r="K282" s="55" t="str">
        <f>INDEX(Tableau6[TS],MATCH(Tableau5[[#This Row],[Type Signal]],Tableau6[TypeSignal],0))&amp;""</f>
        <v>ET</v>
      </c>
      <c r="L282" s="55"/>
      <c r="M282" s="21"/>
      <c r="N282" s="20" t="s">
        <v>759</v>
      </c>
    </row>
    <row r="283" spans="1:14" ht="18" customHeight="1">
      <c r="A283" s="96">
        <v>282</v>
      </c>
      <c r="B283" s="44" t="s">
        <v>976</v>
      </c>
      <c r="C283" s="20" t="s">
        <v>985</v>
      </c>
      <c r="D283" s="20" t="s">
        <v>231</v>
      </c>
      <c r="H283" s="53" t="s">
        <v>213</v>
      </c>
      <c r="J283" s="40"/>
      <c r="K283" s="55" t="str">
        <f>INDEX(Tableau6[TS],MATCH(Tableau5[[#This Row],[Type Signal]],Tableau6[TypeSignal],0))&amp;""</f>
        <v>ET</v>
      </c>
      <c r="L283" s="55"/>
      <c r="M283" s="21"/>
      <c r="N283" s="20" t="s">
        <v>759</v>
      </c>
    </row>
    <row r="284" spans="1:14" ht="18" customHeight="1">
      <c r="A284" s="96">
        <v>283</v>
      </c>
      <c r="B284" s="44" t="s">
        <v>976</v>
      </c>
      <c r="C284" s="20" t="s">
        <v>986</v>
      </c>
      <c r="D284" s="20" t="s">
        <v>527</v>
      </c>
      <c r="H284" s="53" t="s">
        <v>213</v>
      </c>
      <c r="J284" s="40"/>
      <c r="K284" s="55" t="str">
        <f>INDEX(Tableau6[TS],MATCH(Tableau5[[#This Row],[Type Signal]],Tableau6[TypeSignal],0))&amp;""</f>
        <v>ET</v>
      </c>
      <c r="L284" s="55"/>
      <c r="M284" s="21"/>
      <c r="N284" s="20" t="s">
        <v>759</v>
      </c>
    </row>
    <row r="285" spans="1:14" ht="18" customHeight="1">
      <c r="A285" s="96">
        <v>284</v>
      </c>
      <c r="B285" s="44" t="s">
        <v>976</v>
      </c>
      <c r="C285" s="20" t="s">
        <v>987</v>
      </c>
      <c r="D285" s="20" t="s">
        <v>237</v>
      </c>
      <c r="H285" s="53" t="s">
        <v>213</v>
      </c>
      <c r="J285" s="40"/>
      <c r="K285" s="55" t="str">
        <f>INDEX(Tableau6[TS],MATCH(Tableau5[[#This Row],[Type Signal]],Tableau6[TypeSignal],0))&amp;""</f>
        <v>ET</v>
      </c>
      <c r="L285" s="55"/>
      <c r="M285" s="21"/>
      <c r="N285" s="20" t="s">
        <v>759</v>
      </c>
    </row>
    <row r="286" spans="1:14" ht="18" customHeight="1">
      <c r="A286" s="96">
        <v>285</v>
      </c>
      <c r="B286" s="44" t="s">
        <v>976</v>
      </c>
      <c r="C286" s="20" t="s">
        <v>988</v>
      </c>
      <c r="D286" s="20" t="s">
        <v>238</v>
      </c>
      <c r="H286" s="53" t="s">
        <v>213</v>
      </c>
      <c r="J286" s="40"/>
      <c r="K286" s="55" t="str">
        <f>INDEX(Tableau6[TS],MATCH(Tableau5[[#This Row],[Type Signal]],Tableau6[TypeSignal],0))&amp;""</f>
        <v>ET</v>
      </c>
      <c r="L286" s="55"/>
      <c r="M286" s="21"/>
      <c r="N286" s="20" t="s">
        <v>759</v>
      </c>
    </row>
    <row r="287" spans="1:14" ht="18" customHeight="1">
      <c r="A287" s="96">
        <v>286</v>
      </c>
      <c r="B287" s="44" t="s">
        <v>976</v>
      </c>
      <c r="C287" s="20" t="s">
        <v>971</v>
      </c>
      <c r="D287" s="20" t="s">
        <v>227</v>
      </c>
      <c r="H287" s="53" t="s">
        <v>213</v>
      </c>
      <c r="J287" s="40"/>
      <c r="K287" s="55" t="str">
        <f>INDEX(Tableau6[TS],MATCH(Tableau5[[#This Row],[Type Signal]],Tableau6[TypeSignal],0))&amp;""</f>
        <v>ET</v>
      </c>
      <c r="L287" s="55"/>
      <c r="M287" s="21"/>
      <c r="N287" s="20" t="s">
        <v>759</v>
      </c>
    </row>
    <row r="288" spans="1:14" ht="18" customHeight="1">
      <c r="A288" s="96">
        <v>287</v>
      </c>
      <c r="B288" s="44" t="s">
        <v>976</v>
      </c>
      <c r="C288" s="20" t="s">
        <v>972</v>
      </c>
      <c r="D288" s="20" t="s">
        <v>228</v>
      </c>
      <c r="H288" s="53" t="s">
        <v>213</v>
      </c>
      <c r="J288" s="40"/>
      <c r="K288" s="55" t="str">
        <f>INDEX(Tableau6[TS],MATCH(Tableau5[[#This Row],[Type Signal]],Tableau6[TypeSignal],0))&amp;""</f>
        <v>ET</v>
      </c>
      <c r="L288" s="55"/>
      <c r="M288" s="21"/>
      <c r="N288" s="20" t="s">
        <v>759</v>
      </c>
    </row>
    <row r="289" spans="1:14" ht="18" customHeight="1">
      <c r="A289" s="96">
        <v>288</v>
      </c>
      <c r="B289" s="44" t="s">
        <v>976</v>
      </c>
      <c r="C289" s="20" t="s">
        <v>989</v>
      </c>
      <c r="D289" s="20" t="s">
        <v>232</v>
      </c>
      <c r="H289" s="53" t="s">
        <v>213</v>
      </c>
      <c r="J289" s="40"/>
      <c r="K289" s="55" t="str">
        <f>INDEX(Tableau6[TS],MATCH(Tableau5[[#This Row],[Type Signal]],Tableau6[TypeSignal],0))&amp;""</f>
        <v>ET</v>
      </c>
      <c r="L289" s="55"/>
      <c r="M289" s="21"/>
      <c r="N289" s="20" t="s">
        <v>759</v>
      </c>
    </row>
    <row r="290" spans="1:14" ht="18" customHeight="1">
      <c r="A290" s="96">
        <v>289</v>
      </c>
      <c r="B290" s="44" t="s">
        <v>990</v>
      </c>
      <c r="C290" s="20" t="s">
        <v>991</v>
      </c>
      <c r="D290" s="20" t="s">
        <v>536</v>
      </c>
      <c r="I290" s="53" t="s">
        <v>213</v>
      </c>
      <c r="J290" s="40"/>
      <c r="K290" s="55" t="str">
        <f>INDEX(Tableau6[TS],MATCH(Tableau5[[#This Row],[Type Signal]],Tableau6[TypeSignal],0))&amp;""</f>
        <v>ET</v>
      </c>
      <c r="L290" s="55"/>
      <c r="M290" s="21"/>
      <c r="N290" s="20" t="s">
        <v>759</v>
      </c>
    </row>
    <row r="291" spans="1:14" ht="18" customHeight="1">
      <c r="A291" s="96">
        <v>290</v>
      </c>
      <c r="B291" s="44" t="s">
        <v>990</v>
      </c>
      <c r="C291" s="20" t="s">
        <v>831</v>
      </c>
      <c r="D291" s="20" t="s">
        <v>499</v>
      </c>
      <c r="I291" s="53" t="s">
        <v>213</v>
      </c>
      <c r="J291" s="40"/>
      <c r="K291" s="55" t="str">
        <f>INDEX(Tableau6[TS],MATCH(Tableau5[[#This Row],[Type Signal]],Tableau6[TypeSignal],0))&amp;""</f>
        <v>ET</v>
      </c>
      <c r="L291" s="55"/>
      <c r="M291" s="21"/>
      <c r="N291" s="20" t="s">
        <v>759</v>
      </c>
    </row>
    <row r="292" spans="1:14" ht="18" customHeight="1">
      <c r="A292" s="96">
        <v>291</v>
      </c>
      <c r="B292" s="44" t="s">
        <v>990</v>
      </c>
      <c r="C292" s="20" t="s">
        <v>932</v>
      </c>
      <c r="D292" s="20" t="s">
        <v>887</v>
      </c>
      <c r="I292" s="53" t="s">
        <v>213</v>
      </c>
      <c r="J292" s="40"/>
      <c r="K292" s="55" t="str">
        <f>INDEX(Tableau6[TS],MATCH(Tableau5[[#This Row],[Type Signal]],Tableau6[TypeSignal],0))&amp;""</f>
        <v>ET</v>
      </c>
      <c r="L292" s="55"/>
      <c r="M292" s="21"/>
      <c r="N292" s="20" t="s">
        <v>759</v>
      </c>
    </row>
    <row r="293" spans="1:14" ht="18" customHeight="1">
      <c r="A293" s="96">
        <v>292</v>
      </c>
      <c r="B293" s="44" t="s">
        <v>990</v>
      </c>
      <c r="C293" s="20" t="s">
        <v>992</v>
      </c>
      <c r="D293" s="20" t="s">
        <v>537</v>
      </c>
      <c r="I293" s="53" t="s">
        <v>213</v>
      </c>
      <c r="J293" s="40"/>
      <c r="K293" s="55" t="str">
        <f>INDEX(Tableau6[TS],MATCH(Tableau5[[#This Row],[Type Signal]],Tableau6[TypeSignal],0))&amp;""</f>
        <v>ET</v>
      </c>
      <c r="L293" s="55"/>
      <c r="M293" s="21"/>
      <c r="N293" s="20" t="s">
        <v>759</v>
      </c>
    </row>
    <row r="294" spans="1:14" ht="18" customHeight="1">
      <c r="A294" s="96">
        <v>293</v>
      </c>
      <c r="B294" s="44" t="s">
        <v>990</v>
      </c>
      <c r="C294" s="20" t="s">
        <v>993</v>
      </c>
      <c r="D294" s="20" t="s">
        <v>538</v>
      </c>
      <c r="I294" s="53" t="s">
        <v>213</v>
      </c>
      <c r="J294" s="40"/>
      <c r="K294" s="55" t="str">
        <f>INDEX(Tableau6[TS],MATCH(Tableau5[[#This Row],[Type Signal]],Tableau6[TypeSignal],0))&amp;""</f>
        <v>ET</v>
      </c>
      <c r="L294" s="55"/>
      <c r="M294" s="21"/>
      <c r="N294" s="20" t="s">
        <v>759</v>
      </c>
    </row>
    <row r="295" spans="1:14" ht="18" customHeight="1">
      <c r="A295" s="96">
        <v>294</v>
      </c>
      <c r="B295" s="44" t="s">
        <v>994</v>
      </c>
      <c r="C295" s="20" t="s">
        <v>995</v>
      </c>
      <c r="D295" s="20" t="s">
        <v>256</v>
      </c>
      <c r="H295" s="53" t="s">
        <v>213</v>
      </c>
      <c r="J295" s="41"/>
      <c r="K295" s="55" t="str">
        <f>INDEX(Tableau6[TS],MATCH(Tableau5[[#This Row],[Type Signal]],Tableau6[TypeSignal],0))&amp;""</f>
        <v>ST</v>
      </c>
      <c r="L295" s="55"/>
      <c r="M295" s="21"/>
      <c r="N295" s="20" t="s">
        <v>762</v>
      </c>
    </row>
    <row r="296" spans="1:14" ht="18" customHeight="1">
      <c r="A296" s="96">
        <v>295</v>
      </c>
      <c r="B296" s="44" t="s">
        <v>994</v>
      </c>
      <c r="C296" s="20" t="s">
        <v>996</v>
      </c>
      <c r="D296" s="20" t="s">
        <v>255</v>
      </c>
      <c r="H296" s="53" t="s">
        <v>213</v>
      </c>
      <c r="J296" s="41"/>
      <c r="K296" s="55" t="str">
        <f>INDEX(Tableau6[TS],MATCH(Tableau5[[#This Row],[Type Signal]],Tableau6[TypeSignal],0))&amp;""</f>
        <v>ST</v>
      </c>
      <c r="L296" s="55"/>
      <c r="M296" s="21"/>
      <c r="N296" s="20" t="s">
        <v>762</v>
      </c>
    </row>
    <row r="297" spans="1:14" ht="18" customHeight="1">
      <c r="A297" s="96">
        <v>296</v>
      </c>
      <c r="B297" s="44" t="s">
        <v>994</v>
      </c>
      <c r="C297" s="20" t="s">
        <v>997</v>
      </c>
      <c r="D297" s="20" t="s">
        <v>640</v>
      </c>
      <c r="H297" s="53" t="s">
        <v>213</v>
      </c>
      <c r="J297" s="41"/>
      <c r="K297" s="55" t="str">
        <f>INDEX(Tableau6[TS],MATCH(Tableau5[[#This Row],[Type Signal]],Tableau6[TypeSignal],0))&amp;""</f>
        <v>ST</v>
      </c>
      <c r="L297" s="55"/>
      <c r="M297" s="21"/>
      <c r="N297" s="20" t="s">
        <v>762</v>
      </c>
    </row>
    <row r="298" spans="1:14" ht="18" customHeight="1">
      <c r="A298" s="96">
        <v>297</v>
      </c>
      <c r="B298" s="44" t="s">
        <v>994</v>
      </c>
      <c r="C298" s="20" t="s">
        <v>487</v>
      </c>
      <c r="D298" s="20" t="s">
        <v>487</v>
      </c>
      <c r="H298" s="53" t="s">
        <v>213</v>
      </c>
      <c r="J298" s="40"/>
      <c r="K298" s="55" t="str">
        <f>INDEX(Tableau6[TS],MATCH(Tableau5[[#This Row],[Type Signal]],Tableau6[TypeSignal],0))&amp;""</f>
        <v>ET</v>
      </c>
      <c r="L298" s="55"/>
      <c r="M298" s="21"/>
      <c r="N298" s="20" t="s">
        <v>759</v>
      </c>
    </row>
    <row r="299" spans="1:14" ht="18" customHeight="1">
      <c r="A299" s="96">
        <v>298</v>
      </c>
      <c r="B299" s="44" t="s">
        <v>994</v>
      </c>
      <c r="C299" s="20" t="s">
        <v>998</v>
      </c>
      <c r="D299" s="20" t="s">
        <v>257</v>
      </c>
      <c r="H299" s="53" t="s">
        <v>213</v>
      </c>
      <c r="J299" s="40"/>
      <c r="K299" s="55" t="str">
        <f>INDEX(Tableau6[TS],MATCH(Tableau5[[#This Row],[Type Signal]],Tableau6[TypeSignal],0))&amp;""</f>
        <v>ET</v>
      </c>
      <c r="L299" s="55"/>
      <c r="M299" s="21"/>
      <c r="N299" s="20" t="s">
        <v>759</v>
      </c>
    </row>
    <row r="300" spans="1:14" ht="18" customHeight="1">
      <c r="A300" s="96">
        <v>299</v>
      </c>
      <c r="B300" s="44" t="s">
        <v>994</v>
      </c>
      <c r="C300" s="20" t="s">
        <v>999</v>
      </c>
      <c r="D300" s="20" t="s">
        <v>258</v>
      </c>
      <c r="H300" s="53" t="s">
        <v>213</v>
      </c>
      <c r="J300" s="40"/>
      <c r="K300" s="55" t="str">
        <f>INDEX(Tableau6[TS],MATCH(Tableau5[[#This Row],[Type Signal]],Tableau6[TypeSignal],0))&amp;""</f>
        <v>ET</v>
      </c>
      <c r="L300" s="55"/>
      <c r="M300" s="21"/>
      <c r="N300" s="20" t="s">
        <v>759</v>
      </c>
    </row>
    <row r="301" spans="1:14" ht="18" customHeight="1">
      <c r="A301" s="96">
        <v>300</v>
      </c>
      <c r="B301" s="44" t="s">
        <v>994</v>
      </c>
      <c r="C301" s="20" t="s">
        <v>1000</v>
      </c>
      <c r="D301" s="20" t="s">
        <v>528</v>
      </c>
      <c r="H301" s="53" t="s">
        <v>213</v>
      </c>
      <c r="J301" s="40"/>
      <c r="K301" s="55" t="str">
        <f>INDEX(Tableau6[TS],MATCH(Tableau5[[#This Row],[Type Signal]],Tableau6[TypeSignal],0))&amp;""</f>
        <v>ET</v>
      </c>
      <c r="L301" s="55"/>
      <c r="M301" s="21"/>
      <c r="N301" s="20" t="s">
        <v>759</v>
      </c>
    </row>
    <row r="302" spans="1:14" ht="18" customHeight="1">
      <c r="A302" s="96">
        <v>301</v>
      </c>
      <c r="B302" s="44" t="s">
        <v>1001</v>
      </c>
      <c r="C302" s="20" t="s">
        <v>995</v>
      </c>
      <c r="D302" s="20" t="s">
        <v>256</v>
      </c>
      <c r="H302" s="53" t="s">
        <v>213</v>
      </c>
      <c r="J302" s="41"/>
      <c r="K302" s="55" t="str">
        <f>INDEX(Tableau6[TS],MATCH(Tableau5[[#This Row],[Type Signal]],Tableau6[TypeSignal],0))&amp;""</f>
        <v>ST</v>
      </c>
      <c r="L302" s="55"/>
      <c r="M302" s="21"/>
      <c r="N302" s="20" t="s">
        <v>762</v>
      </c>
    </row>
    <row r="303" spans="1:14" ht="18" customHeight="1">
      <c r="A303" s="96">
        <v>302</v>
      </c>
      <c r="B303" s="44" t="s">
        <v>1001</v>
      </c>
      <c r="C303" s="20" t="s">
        <v>996</v>
      </c>
      <c r="D303" s="20" t="s">
        <v>255</v>
      </c>
      <c r="H303" s="53" t="s">
        <v>213</v>
      </c>
      <c r="J303" s="41"/>
      <c r="K303" s="55" t="str">
        <f>INDEX(Tableau6[TS],MATCH(Tableau5[[#This Row],[Type Signal]],Tableau6[TypeSignal],0))&amp;""</f>
        <v>ST</v>
      </c>
      <c r="L303" s="55"/>
      <c r="M303" s="21"/>
      <c r="N303" s="20" t="s">
        <v>762</v>
      </c>
    </row>
    <row r="304" spans="1:14" ht="18" customHeight="1">
      <c r="A304" s="96">
        <v>303</v>
      </c>
      <c r="B304" s="44" t="s">
        <v>1001</v>
      </c>
      <c r="C304" s="20" t="s">
        <v>487</v>
      </c>
      <c r="D304" s="20" t="s">
        <v>487</v>
      </c>
      <c r="H304" s="53" t="s">
        <v>213</v>
      </c>
      <c r="J304" s="40"/>
      <c r="K304" s="55" t="str">
        <f>INDEX(Tableau6[TS],MATCH(Tableau5[[#This Row],[Type Signal]],Tableau6[TypeSignal],0))&amp;""</f>
        <v>ET</v>
      </c>
      <c r="L304" s="55"/>
      <c r="M304" s="21"/>
      <c r="N304" s="20" t="s">
        <v>759</v>
      </c>
    </row>
    <row r="305" spans="1:14" ht="18" customHeight="1">
      <c r="A305" s="96">
        <v>304</v>
      </c>
      <c r="B305" s="44" t="s">
        <v>1001</v>
      </c>
      <c r="C305" s="20" t="s">
        <v>1002</v>
      </c>
      <c r="D305" s="20" t="s">
        <v>257</v>
      </c>
      <c r="H305" s="53" t="s">
        <v>213</v>
      </c>
      <c r="J305" s="40"/>
      <c r="K305" s="55" t="str">
        <f>INDEX(Tableau6[TS],MATCH(Tableau5[[#This Row],[Type Signal]],Tableau6[TypeSignal],0))&amp;""</f>
        <v>ET</v>
      </c>
      <c r="L305" s="55"/>
      <c r="M305" s="21"/>
      <c r="N305" s="20" t="s">
        <v>759</v>
      </c>
    </row>
    <row r="306" spans="1:14" ht="18" customHeight="1">
      <c r="A306" s="96">
        <v>305</v>
      </c>
      <c r="B306" s="44" t="s">
        <v>1001</v>
      </c>
      <c r="C306" s="20" t="s">
        <v>1003</v>
      </c>
      <c r="D306" s="20" t="s">
        <v>258</v>
      </c>
      <c r="H306" s="53" t="s">
        <v>213</v>
      </c>
      <c r="J306" s="40"/>
      <c r="K306" s="55" t="str">
        <f>INDEX(Tableau6[TS],MATCH(Tableau5[[#This Row],[Type Signal]],Tableau6[TypeSignal],0))&amp;""</f>
        <v>ET</v>
      </c>
      <c r="L306" s="55"/>
      <c r="M306" s="21"/>
      <c r="N306" s="20" t="s">
        <v>759</v>
      </c>
    </row>
    <row r="307" spans="1:14" ht="18" customHeight="1">
      <c r="A307" s="96">
        <v>306</v>
      </c>
      <c r="B307" s="44" t="s">
        <v>1001</v>
      </c>
      <c r="C307" s="20" t="s">
        <v>1000</v>
      </c>
      <c r="D307" s="20" t="s">
        <v>528</v>
      </c>
      <c r="H307" s="53" t="s">
        <v>213</v>
      </c>
      <c r="J307" s="40"/>
      <c r="K307" s="55" t="str">
        <f>INDEX(Tableau6[TS],MATCH(Tableau5[[#This Row],[Type Signal]],Tableau6[TypeSignal],0))&amp;""</f>
        <v>ET</v>
      </c>
      <c r="L307" s="55"/>
      <c r="M307" s="21"/>
      <c r="N307" s="20" t="s">
        <v>759</v>
      </c>
    </row>
    <row r="308" spans="1:14" ht="18" customHeight="1">
      <c r="A308" s="96">
        <v>307</v>
      </c>
      <c r="B308" s="44" t="s">
        <v>1004</v>
      </c>
      <c r="C308" s="20" t="s">
        <v>1005</v>
      </c>
      <c r="D308" s="20" t="s">
        <v>20</v>
      </c>
      <c r="H308" s="53" t="s">
        <v>213</v>
      </c>
      <c r="J308" s="41"/>
      <c r="K308" s="55" t="str">
        <f>INDEX(Tableau6[TS],MATCH(Tableau5[[#This Row],[Type Signal]],Tableau6[TypeSignal],0))&amp;""</f>
        <v>ST</v>
      </c>
      <c r="L308" s="55"/>
      <c r="M308" s="21"/>
      <c r="N308" s="20" t="s">
        <v>762</v>
      </c>
    </row>
    <row r="309" spans="1:14" ht="18" customHeight="1">
      <c r="A309" s="96">
        <v>308</v>
      </c>
      <c r="B309" s="44" t="s">
        <v>1004</v>
      </c>
      <c r="C309" s="20" t="s">
        <v>1006</v>
      </c>
      <c r="D309" s="20" t="s">
        <v>288</v>
      </c>
      <c r="H309" s="53" t="s">
        <v>213</v>
      </c>
      <c r="J309" s="40"/>
      <c r="K309" s="55" t="str">
        <f>INDEX(Tableau6[TS],MATCH(Tableau5[[#This Row],[Type Signal]],Tableau6[TypeSignal],0))&amp;""</f>
        <v>ET</v>
      </c>
      <c r="L309" s="55"/>
      <c r="M309" s="21"/>
      <c r="N309" s="20" t="s">
        <v>759</v>
      </c>
    </row>
    <row r="310" spans="1:14" ht="18" customHeight="1">
      <c r="A310" s="96">
        <v>309</v>
      </c>
      <c r="B310" s="44" t="s">
        <v>1007</v>
      </c>
      <c r="C310" s="20" t="s">
        <v>1008</v>
      </c>
      <c r="D310" s="20" t="s">
        <v>225</v>
      </c>
      <c r="H310" s="53" t="s">
        <v>213</v>
      </c>
      <c r="J310" s="41"/>
      <c r="K310" s="55" t="str">
        <f>INDEX(Tableau6[TS],MATCH(Tableau5[[#This Row],[Type Signal]],Tableau6[TypeSignal],0))&amp;""</f>
        <v>ST</v>
      </c>
      <c r="L310" s="55"/>
      <c r="M310" s="21"/>
      <c r="N310" s="20" t="s">
        <v>762</v>
      </c>
    </row>
    <row r="311" spans="1:14" ht="18" customHeight="1">
      <c r="A311" s="96">
        <v>310</v>
      </c>
      <c r="B311" s="44" t="s">
        <v>1007</v>
      </c>
      <c r="C311" s="20" t="s">
        <v>1009</v>
      </c>
      <c r="D311" s="20" t="s">
        <v>226</v>
      </c>
      <c r="H311" s="53" t="s">
        <v>213</v>
      </c>
      <c r="J311" s="41"/>
      <c r="K311" s="55" t="str">
        <f>INDEX(Tableau6[TS],MATCH(Tableau5[[#This Row],[Type Signal]],Tableau6[TypeSignal],0))&amp;""</f>
        <v>ST</v>
      </c>
      <c r="L311" s="55"/>
      <c r="M311" s="21"/>
      <c r="N311" s="20" t="s">
        <v>762</v>
      </c>
    </row>
    <row r="312" spans="1:14" ht="18" customHeight="1">
      <c r="A312" s="96">
        <v>311</v>
      </c>
      <c r="B312" s="44" t="s">
        <v>1007</v>
      </c>
      <c r="C312" s="20" t="s">
        <v>1010</v>
      </c>
      <c r="D312" s="20" t="s">
        <v>287</v>
      </c>
      <c r="H312" s="53" t="s">
        <v>213</v>
      </c>
      <c r="J312" s="40"/>
      <c r="K312" s="55" t="str">
        <f>INDEX(Tableau6[TS],MATCH(Tableau5[[#This Row],[Type Signal]],Tableau6[TypeSignal],0))&amp;""</f>
        <v>ET</v>
      </c>
      <c r="L312" s="55"/>
      <c r="M312" s="21"/>
      <c r="N312" s="20" t="s">
        <v>759</v>
      </c>
    </row>
    <row r="313" spans="1:14" ht="18" customHeight="1">
      <c r="A313" s="96">
        <v>312</v>
      </c>
      <c r="B313" s="44" t="s">
        <v>1007</v>
      </c>
      <c r="C313" s="20" t="s">
        <v>1011</v>
      </c>
      <c r="D313" s="20" t="s">
        <v>285</v>
      </c>
      <c r="H313" s="53" t="s">
        <v>213</v>
      </c>
      <c r="J313" s="40"/>
      <c r="K313" s="55" t="str">
        <f>INDEX(Tableau6[TS],MATCH(Tableau5[[#This Row],[Type Signal]],Tableau6[TypeSignal],0))&amp;""</f>
        <v>ET</v>
      </c>
      <c r="L313" s="55"/>
      <c r="M313" s="21"/>
      <c r="N313" s="20" t="s">
        <v>759</v>
      </c>
    </row>
    <row r="314" spans="1:14" ht="18" customHeight="1">
      <c r="A314" s="96">
        <v>313</v>
      </c>
      <c r="B314" s="44" t="s">
        <v>1012</v>
      </c>
      <c r="C314" s="20" t="s">
        <v>1013</v>
      </c>
      <c r="D314" s="20" t="s">
        <v>224</v>
      </c>
      <c r="H314" s="53" t="s">
        <v>213</v>
      </c>
      <c r="J314" s="41"/>
      <c r="K314" s="55" t="str">
        <f>INDEX(Tableau6[TS],MATCH(Tableau5[[#This Row],[Type Signal]],Tableau6[TypeSignal],0))&amp;""</f>
        <v>ST</v>
      </c>
      <c r="L314" s="55"/>
      <c r="M314" s="21"/>
      <c r="N314" s="20" t="s">
        <v>762</v>
      </c>
    </row>
    <row r="315" spans="1:14" ht="18" customHeight="1">
      <c r="A315" s="96">
        <v>314</v>
      </c>
      <c r="B315" s="44" t="s">
        <v>1012</v>
      </c>
      <c r="C315" s="20" t="s">
        <v>1014</v>
      </c>
      <c r="D315" s="20" t="s">
        <v>285</v>
      </c>
      <c r="H315" s="53" t="s">
        <v>213</v>
      </c>
      <c r="J315" s="40"/>
      <c r="K315" s="55" t="str">
        <f>INDEX(Tableau6[TS],MATCH(Tableau5[[#This Row],[Type Signal]],Tableau6[TypeSignal],0))&amp;""</f>
        <v>ET</v>
      </c>
      <c r="L315" s="55"/>
      <c r="M315" s="21"/>
      <c r="N315" s="20" t="s">
        <v>759</v>
      </c>
    </row>
    <row r="316" spans="1:14" ht="18" customHeight="1">
      <c r="A316" s="96">
        <v>315</v>
      </c>
      <c r="B316" s="44" t="s">
        <v>1012</v>
      </c>
      <c r="C316" s="20" t="s">
        <v>1015</v>
      </c>
      <c r="D316" s="20" t="s">
        <v>286</v>
      </c>
      <c r="H316" s="53" t="s">
        <v>213</v>
      </c>
      <c r="J316" s="40"/>
      <c r="K316" s="55" t="str">
        <f>INDEX(Tableau6[TS],MATCH(Tableau5[[#This Row],[Type Signal]],Tableau6[TypeSignal],0))&amp;""</f>
        <v>ET</v>
      </c>
      <c r="L316" s="55"/>
      <c r="M316" s="21"/>
      <c r="N316" s="20" t="s">
        <v>759</v>
      </c>
    </row>
    <row r="317" spans="1:14" ht="18" customHeight="1">
      <c r="A317" s="96">
        <v>316</v>
      </c>
      <c r="B317" s="44" t="s">
        <v>1016</v>
      </c>
      <c r="C317" s="20" t="s">
        <v>1009</v>
      </c>
      <c r="D317" s="20" t="s">
        <v>226</v>
      </c>
      <c r="H317" s="53" t="s">
        <v>213</v>
      </c>
      <c r="J317" s="41"/>
      <c r="K317" s="55" t="str">
        <f>INDEX(Tableau6[TS],MATCH(Tableau5[[#This Row],[Type Signal]],Tableau6[TypeSignal],0))&amp;""</f>
        <v>ST</v>
      </c>
      <c r="L317" s="55"/>
      <c r="M317" s="21"/>
      <c r="N317" s="20" t="s">
        <v>762</v>
      </c>
    </row>
    <row r="318" spans="1:14" ht="18" customHeight="1">
      <c r="A318" s="96">
        <v>317</v>
      </c>
      <c r="B318" s="44" t="s">
        <v>1017</v>
      </c>
      <c r="C318" s="20" t="s">
        <v>1018</v>
      </c>
      <c r="D318" s="20" t="s">
        <v>530</v>
      </c>
      <c r="H318" s="53" t="s">
        <v>213</v>
      </c>
      <c r="J318" s="41"/>
      <c r="K318" s="55" t="str">
        <f>INDEX(Tableau6[TS],MATCH(Tableau5[[#This Row],[Type Signal]],Tableau6[TypeSignal],0))&amp;""</f>
        <v>ST</v>
      </c>
      <c r="L318" s="55"/>
      <c r="M318" s="21"/>
      <c r="N318" s="20" t="s">
        <v>762</v>
      </c>
    </row>
    <row r="319" spans="1:14" ht="18" customHeight="1">
      <c r="A319" s="96">
        <v>318</v>
      </c>
      <c r="B319" s="44" t="s">
        <v>1017</v>
      </c>
      <c r="C319" s="20" t="s">
        <v>1019</v>
      </c>
      <c r="D319" s="20" t="s">
        <v>226</v>
      </c>
      <c r="H319" s="53" t="s">
        <v>213</v>
      </c>
      <c r="J319" s="41"/>
      <c r="K319" s="55" t="str">
        <f>INDEX(Tableau6[TS],MATCH(Tableau5[[#This Row],[Type Signal]],Tableau6[TypeSignal],0))&amp;""</f>
        <v>ST</v>
      </c>
      <c r="L319" s="55"/>
      <c r="M319" s="21"/>
      <c r="N319" s="20" t="s">
        <v>762</v>
      </c>
    </row>
    <row r="320" spans="1:14" ht="18" customHeight="1">
      <c r="A320" s="96">
        <v>319</v>
      </c>
      <c r="B320" s="44" t="s">
        <v>1017</v>
      </c>
      <c r="C320" s="20" t="s">
        <v>816</v>
      </c>
      <c r="D320" s="20" t="s">
        <v>816</v>
      </c>
      <c r="H320" s="53" t="s">
        <v>213</v>
      </c>
      <c r="J320" s="40"/>
      <c r="K320" s="55" t="str">
        <f>INDEX(Tableau6[TS],MATCH(Tableau5[[#This Row],[Type Signal]],Tableau6[TypeSignal],0))&amp;""</f>
        <v>ET</v>
      </c>
      <c r="L320" s="55"/>
      <c r="M320" s="21"/>
      <c r="N320" s="20" t="s">
        <v>759</v>
      </c>
    </row>
    <row r="321" spans="1:14" ht="18" customHeight="1">
      <c r="A321" s="96">
        <v>320</v>
      </c>
      <c r="B321" s="44" t="s">
        <v>1017</v>
      </c>
      <c r="C321" s="20" t="s">
        <v>816</v>
      </c>
      <c r="D321" s="20" t="s">
        <v>816</v>
      </c>
      <c r="H321" s="53" t="s">
        <v>213</v>
      </c>
      <c r="J321" s="40"/>
      <c r="K321" s="55" t="str">
        <f>INDEX(Tableau6[TS],MATCH(Tableau5[[#This Row],[Type Signal]],Tableau6[TypeSignal],0))&amp;""</f>
        <v>ET</v>
      </c>
      <c r="L321" s="55"/>
      <c r="M321" s="21"/>
      <c r="N321" s="20" t="s">
        <v>759</v>
      </c>
    </row>
    <row r="322" spans="1:14" ht="18" customHeight="1">
      <c r="A322" s="96">
        <v>321</v>
      </c>
      <c r="B322" s="44" t="s">
        <v>1017</v>
      </c>
      <c r="C322" s="20" t="s">
        <v>816</v>
      </c>
      <c r="D322" s="20" t="s">
        <v>816</v>
      </c>
      <c r="H322" s="53" t="s">
        <v>213</v>
      </c>
      <c r="J322" s="40"/>
      <c r="K322" s="55" t="str">
        <f>INDEX(Tableau6[TS],MATCH(Tableau5[[#This Row],[Type Signal]],Tableau6[TypeSignal],0))&amp;""</f>
        <v>ET</v>
      </c>
      <c r="L322" s="55"/>
      <c r="M322" s="21"/>
      <c r="N322" s="20" t="s">
        <v>759</v>
      </c>
    </row>
    <row r="323" spans="1:14" ht="18" customHeight="1">
      <c r="A323" s="96">
        <v>322</v>
      </c>
      <c r="B323" s="44" t="s">
        <v>1020</v>
      </c>
      <c r="C323" s="20" t="s">
        <v>1019</v>
      </c>
      <c r="D323" s="20" t="s">
        <v>226</v>
      </c>
      <c r="H323" s="53" t="s">
        <v>213</v>
      </c>
      <c r="J323" s="41"/>
      <c r="K323" s="55" t="str">
        <f>INDEX(Tableau6[TS],MATCH(Tableau5[[#This Row],[Type Signal]],Tableau6[TypeSignal],0))&amp;""</f>
        <v>ST</v>
      </c>
      <c r="L323" s="55"/>
      <c r="M323" s="21"/>
      <c r="N323" s="20" t="s">
        <v>762</v>
      </c>
    </row>
    <row r="324" spans="1:14" ht="18" customHeight="1">
      <c r="A324" s="96">
        <v>323</v>
      </c>
      <c r="B324" s="44" t="s">
        <v>1021</v>
      </c>
      <c r="C324" s="20" t="s">
        <v>1022</v>
      </c>
      <c r="D324" s="20" t="s">
        <v>531</v>
      </c>
      <c r="H324" s="53" t="s">
        <v>213</v>
      </c>
      <c r="J324" s="41"/>
      <c r="K324" s="55" t="str">
        <f>INDEX(Tableau6[TS],MATCH(Tableau5[[#This Row],[Type Signal]],Tableau6[TypeSignal],0))&amp;""</f>
        <v>ST</v>
      </c>
      <c r="L324" s="55"/>
      <c r="M324" s="21"/>
      <c r="N324" s="20" t="s">
        <v>762</v>
      </c>
    </row>
    <row r="325" spans="1:14" ht="18" customHeight="1">
      <c r="A325" s="96">
        <v>324</v>
      </c>
      <c r="B325" s="44" t="s">
        <v>1023</v>
      </c>
      <c r="C325" s="20" t="s">
        <v>1024</v>
      </c>
      <c r="D325" s="20" t="s">
        <v>253</v>
      </c>
      <c r="H325" s="53" t="s">
        <v>213</v>
      </c>
      <c r="J325" s="40"/>
      <c r="K325" s="55" t="str">
        <f>INDEX(Tableau6[TS],MATCH(Tableau5[[#This Row],[Type Signal]],Tableau6[TypeSignal],0))&amp;""</f>
        <v>ET</v>
      </c>
      <c r="L325" s="55"/>
      <c r="M325" s="21"/>
      <c r="N325" s="20" t="s">
        <v>759</v>
      </c>
    </row>
    <row r="326" spans="1:14" ht="18" customHeight="1">
      <c r="A326" s="96">
        <v>325</v>
      </c>
      <c r="B326" s="44" t="s">
        <v>1023</v>
      </c>
      <c r="C326" s="20" t="s">
        <v>1025</v>
      </c>
      <c r="D326" s="20" t="s">
        <v>32</v>
      </c>
      <c r="H326" s="53" t="s">
        <v>213</v>
      </c>
      <c r="J326" s="41"/>
      <c r="K326" s="55" t="str">
        <f>INDEX(Tableau6[TS],MATCH(Tableau5[[#This Row],[Type Signal]],Tableau6[TypeSignal],0))&amp;""</f>
        <v>ST</v>
      </c>
      <c r="L326" s="55"/>
      <c r="M326" s="21"/>
      <c r="N326" s="20" t="s">
        <v>762</v>
      </c>
    </row>
  </sheetData>
  <phoneticPr fontId="8" type="noConversion"/>
  <pageMargins left="0.7" right="0.7" top="0.75" bottom="0.75" header="0.3" footer="0.3"/>
  <pageSetup paperSize="9" orientation="portrait" r:id="rId1"/>
  <drawing r:id="rId2"/>
  <tableParts count="1">
    <tablePart r:id="rId3"/>
  </tableParts>
  <extLst xmlns:xr="http://schemas.microsoft.com/office/spreadsheetml/2014/revision">
    <ext xmlns:x14="http://schemas.microsoft.com/office/spreadsheetml/2009/9/main" uri="{CCE6A557-97BC-4b89-ADB6-D9C93CAAB3DF}">
      <x14:dataValidations xmlns:xm="http://schemas.microsoft.com/office/excel/2006/main" count="1">
        <x14:dataValidation type="list" allowBlank="1" showInputMessage="1" showErrorMessage="1" xr:uid="{C3A85B99-7AF7-4FB0-80D8-B8ECB2E86FDD}">
          <x14:formula1>
            <xm:f>'Type Signals'!$A$2:$A$7</xm:f>
          </x14:formula1>
          <xm:sqref>M2:M326</xm:sqref>
        </x14:dataValidation>
      </x14:dataValidations>
    </ext>
  </extLst>
</worksheet>
</file>

<file path=xl/worksheets/sheet14.xml><?xml version="1.0" encoding="utf-8"?>
<worksheet xmlns="http://schemas.openxmlformats.org/spreadsheetml/2006/main" xmlns:r="http://schemas.openxmlformats.org/officeDocument/2006/relationships">
  <sheetPr codeName="Instances">
    <tabColor theme="6" tint="0.59999389629810485"/>
  </sheetPr>
  <dimension ref="A1:I502"/>
  <sheetViews>
    <sheetView workbookViewId="0">
      <pane ySplit="1" topLeftCell="A2" activePane="bottomLeft" state="frozen"/>
      <selection pane="bottomLeft" activeCell="E2" sqref="E2"/>
    </sheetView>
  </sheetViews>
  <sheetFormatPr baseColWidth="10" defaultColWidth="11.5" defaultRowHeight="18" customHeight="1"/>
  <cols>
    <col min="1" max="1" width="7.125" style="20" customWidth="1"/>
    <col min="2" max="2" width="18.125" style="20" customWidth="1"/>
    <col min="3" max="4" width="5.75" style="20" bestFit="1" customWidth="1"/>
    <col min="5" max="5" width="17.5" style="53" customWidth="1"/>
    <col min="6" max="6" width="18.125" style="53" customWidth="1"/>
    <col min="7" max="7" width="22" style="20" customWidth="1"/>
    <col min="8" max="8" width="3.5" style="20" customWidth="1"/>
    <col min="9" max="9" width="32.5" style="20" customWidth="1"/>
    <col min="10" max="16384" width="11.5" style="20"/>
  </cols>
  <sheetData>
    <row r="1" spans="1:9" s="47" customFormat="1" ht="144" customHeight="1">
      <c r="A1" s="66" t="s">
        <v>735</v>
      </c>
      <c r="B1" s="67" t="s">
        <v>1427</v>
      </c>
      <c r="C1" s="243" t="s">
        <v>1555</v>
      </c>
      <c r="D1" s="243" t="s">
        <v>1556</v>
      </c>
      <c r="E1" s="92" t="s">
        <v>1573</v>
      </c>
      <c r="F1" s="92" t="s">
        <v>1574</v>
      </c>
      <c r="G1" s="92" t="s">
        <v>1579</v>
      </c>
      <c r="H1" s="93" t="s">
        <v>1593</v>
      </c>
      <c r="I1" s="33" t="s">
        <v>1430</v>
      </c>
    </row>
    <row r="2" spans="1:9" ht="18" customHeight="1">
      <c r="A2" s="48">
        <v>1</v>
      </c>
      <c r="B2" s="51" t="s">
        <v>930</v>
      </c>
      <c r="C2" s="53">
        <v>2</v>
      </c>
      <c r="D2" s="53">
        <v>3</v>
      </c>
      <c r="E2" s="49" t="s">
        <v>282</v>
      </c>
      <c r="F2" s="50" t="s">
        <v>45</v>
      </c>
      <c r="G2" s="52" t="s">
        <v>1026</v>
      </c>
      <c r="H2" s="86"/>
      <c r="I2" s="21"/>
    </row>
    <row r="3" spans="1:9" ht="18" customHeight="1">
      <c r="A3" s="48">
        <v>2</v>
      </c>
      <c r="B3" s="51" t="s">
        <v>859</v>
      </c>
      <c r="C3" s="53">
        <v>4</v>
      </c>
      <c r="D3" s="53">
        <v>3</v>
      </c>
      <c r="E3" s="49" t="s">
        <v>218</v>
      </c>
      <c r="F3" s="49" t="s">
        <v>27</v>
      </c>
      <c r="G3" s="52" t="s">
        <v>1028</v>
      </c>
      <c r="H3" s="52"/>
      <c r="I3" s="21"/>
    </row>
    <row r="4" spans="1:9" ht="18" customHeight="1">
      <c r="A4" s="48">
        <v>3</v>
      </c>
      <c r="B4" s="51" t="s">
        <v>930</v>
      </c>
      <c r="C4" s="53">
        <v>5</v>
      </c>
      <c r="D4" s="53">
        <v>7</v>
      </c>
      <c r="E4" s="49" t="s">
        <v>219</v>
      </c>
      <c r="F4" s="49" t="s">
        <v>46</v>
      </c>
      <c r="G4" s="52" t="s">
        <v>1029</v>
      </c>
      <c r="H4" s="52"/>
      <c r="I4" s="21"/>
    </row>
    <row r="5" spans="1:9" ht="18" customHeight="1">
      <c r="A5" s="48">
        <v>4</v>
      </c>
      <c r="B5" s="51" t="s">
        <v>976</v>
      </c>
      <c r="C5" s="53">
        <v>2</v>
      </c>
      <c r="D5" s="53">
        <v>3</v>
      </c>
      <c r="E5" s="49" t="s">
        <v>216</v>
      </c>
      <c r="F5" s="49" t="s">
        <v>47</v>
      </c>
      <c r="G5" s="52" t="s">
        <v>1030</v>
      </c>
      <c r="H5" s="52"/>
      <c r="I5" s="21"/>
    </row>
    <row r="6" spans="1:9" ht="18" customHeight="1">
      <c r="A6" s="48">
        <v>5</v>
      </c>
      <c r="B6" s="51" t="s">
        <v>976</v>
      </c>
      <c r="C6" s="53">
        <v>3</v>
      </c>
      <c r="D6" s="53">
        <v>2</v>
      </c>
      <c r="E6" s="49" t="s">
        <v>217</v>
      </c>
      <c r="F6" s="49" t="s">
        <v>48</v>
      </c>
      <c r="G6" s="52" t="s">
        <v>1031</v>
      </c>
      <c r="H6" s="52"/>
      <c r="I6" s="21"/>
    </row>
    <row r="7" spans="1:9" ht="18" customHeight="1">
      <c r="A7" s="48">
        <v>6</v>
      </c>
      <c r="B7" s="51" t="s">
        <v>976</v>
      </c>
      <c r="C7" s="53">
        <v>4</v>
      </c>
      <c r="D7" s="53">
        <v>3</v>
      </c>
      <c r="E7" s="49" t="s">
        <v>218</v>
      </c>
      <c r="F7" s="49" t="s">
        <v>49</v>
      </c>
      <c r="G7" s="52" t="s">
        <v>1032</v>
      </c>
      <c r="H7" s="52"/>
      <c r="I7" s="21"/>
    </row>
    <row r="8" spans="1:9" ht="18" customHeight="1">
      <c r="A8" s="48">
        <v>7</v>
      </c>
      <c r="B8" s="51" t="s">
        <v>964</v>
      </c>
      <c r="C8" s="53">
        <v>5</v>
      </c>
      <c r="D8" s="53">
        <v>7</v>
      </c>
      <c r="E8" s="49" t="s">
        <v>219</v>
      </c>
      <c r="F8" s="49" t="s">
        <v>50</v>
      </c>
      <c r="G8" s="52" t="s">
        <v>1033</v>
      </c>
      <c r="H8" s="52"/>
      <c r="I8" s="21"/>
    </row>
    <row r="9" spans="1:9" ht="18" customHeight="1">
      <c r="A9" s="48">
        <v>8</v>
      </c>
      <c r="B9" s="51" t="s">
        <v>964</v>
      </c>
      <c r="C9" s="53">
        <v>6</v>
      </c>
      <c r="D9" s="53">
        <v>1</v>
      </c>
      <c r="E9" s="49" t="s">
        <v>220</v>
      </c>
      <c r="F9" s="49" t="s">
        <v>51</v>
      </c>
      <c r="G9" s="52" t="s">
        <v>1034</v>
      </c>
      <c r="H9" s="52"/>
      <c r="I9" s="21"/>
    </row>
    <row r="10" spans="1:9" ht="18" customHeight="1">
      <c r="A10" s="48">
        <v>9</v>
      </c>
      <c r="B10" s="51" t="s">
        <v>994</v>
      </c>
      <c r="C10" s="53">
        <v>7</v>
      </c>
      <c r="D10" s="53"/>
      <c r="E10" s="49" t="s">
        <v>221</v>
      </c>
      <c r="F10" s="49" t="s">
        <v>28</v>
      </c>
      <c r="G10" s="52" t="s">
        <v>1035</v>
      </c>
      <c r="H10" s="52"/>
      <c r="I10" s="21"/>
    </row>
    <row r="11" spans="1:9" ht="18" customHeight="1">
      <c r="A11" s="48">
        <v>10</v>
      </c>
      <c r="B11" s="51" t="s">
        <v>908</v>
      </c>
      <c r="C11" s="53">
        <v>6</v>
      </c>
      <c r="D11" s="53">
        <v>1</v>
      </c>
      <c r="E11" s="49" t="s">
        <v>220</v>
      </c>
      <c r="F11" s="49" t="s">
        <v>54</v>
      </c>
      <c r="G11" s="52" t="s">
        <v>1036</v>
      </c>
      <c r="H11" s="83"/>
      <c r="I11" s="21"/>
    </row>
    <row r="12" spans="1:9" ht="18" customHeight="1">
      <c r="A12" s="48">
        <v>11</v>
      </c>
      <c r="B12" s="51" t="s">
        <v>1001</v>
      </c>
      <c r="C12" s="53">
        <v>2</v>
      </c>
      <c r="D12" s="53"/>
      <c r="E12" s="49" t="s">
        <v>222</v>
      </c>
      <c r="F12" s="49" t="s">
        <v>29</v>
      </c>
      <c r="G12" s="52" t="s">
        <v>1037</v>
      </c>
      <c r="H12" s="52"/>
      <c r="I12" s="21"/>
    </row>
    <row r="13" spans="1:9" ht="18" customHeight="1">
      <c r="A13" s="48">
        <v>12</v>
      </c>
      <c r="B13" s="51" t="s">
        <v>856</v>
      </c>
      <c r="C13" s="53">
        <v>7</v>
      </c>
      <c r="D13" s="53"/>
      <c r="E13" s="49" t="s">
        <v>221</v>
      </c>
      <c r="F13" s="49" t="s">
        <v>277</v>
      </c>
      <c r="G13" s="52" t="s">
        <v>1038</v>
      </c>
      <c r="H13" s="52"/>
      <c r="I13" s="21"/>
    </row>
    <row r="14" spans="1:9" ht="18" customHeight="1">
      <c r="A14" s="48">
        <v>13</v>
      </c>
      <c r="B14" s="51" t="s">
        <v>856</v>
      </c>
      <c r="C14" s="53">
        <v>2</v>
      </c>
      <c r="D14" s="53"/>
      <c r="E14" s="49" t="s">
        <v>222</v>
      </c>
      <c r="F14" s="49" t="s">
        <v>278</v>
      </c>
      <c r="G14" s="52" t="s">
        <v>1039</v>
      </c>
      <c r="H14" s="52"/>
      <c r="I14" s="21"/>
    </row>
    <row r="15" spans="1:9" ht="18" customHeight="1">
      <c r="A15" s="48">
        <v>14</v>
      </c>
      <c r="B15" s="51" t="s">
        <v>853</v>
      </c>
      <c r="C15" s="54">
        <v>1</v>
      </c>
      <c r="D15" s="53"/>
      <c r="E15" s="49" t="s">
        <v>103</v>
      </c>
      <c r="F15" s="49" t="s">
        <v>322</v>
      </c>
      <c r="G15" s="52" t="s">
        <v>1040</v>
      </c>
      <c r="H15" s="52"/>
      <c r="I15" s="21"/>
    </row>
    <row r="16" spans="1:9" ht="18" customHeight="1">
      <c r="A16" s="48">
        <v>15</v>
      </c>
      <c r="B16" s="44" t="s">
        <v>760</v>
      </c>
      <c r="C16" s="53">
        <v>2</v>
      </c>
      <c r="D16" s="53"/>
      <c r="E16" s="20" t="s">
        <v>281</v>
      </c>
      <c r="F16" s="20" t="s">
        <v>53</v>
      </c>
      <c r="G16" s="20" t="s">
        <v>1041</v>
      </c>
      <c r="I16" s="21"/>
    </row>
    <row r="17" spans="1:9" ht="18" customHeight="1">
      <c r="A17" s="48">
        <v>16</v>
      </c>
      <c r="B17" s="44" t="s">
        <v>763</v>
      </c>
      <c r="C17" s="53">
        <v>2</v>
      </c>
      <c r="D17" s="53"/>
      <c r="E17" s="20" t="s">
        <v>281</v>
      </c>
      <c r="F17" s="20" t="s">
        <v>52</v>
      </c>
      <c r="G17" s="20" t="s">
        <v>1042</v>
      </c>
      <c r="I17" s="21"/>
    </row>
    <row r="18" spans="1:9" ht="18" customHeight="1">
      <c r="A18" s="48">
        <v>17</v>
      </c>
      <c r="B18" s="44" t="s">
        <v>848</v>
      </c>
      <c r="C18" s="53">
        <v>8</v>
      </c>
      <c r="D18" s="53">
        <v>8</v>
      </c>
      <c r="E18" s="20" t="s">
        <v>93</v>
      </c>
      <c r="F18" s="20" t="s">
        <v>303</v>
      </c>
      <c r="G18" s="20" t="s">
        <v>1043</v>
      </c>
      <c r="I18" s="21"/>
    </row>
    <row r="19" spans="1:9" ht="18" customHeight="1">
      <c r="A19" s="48">
        <v>18</v>
      </c>
      <c r="B19" s="44" t="s">
        <v>848</v>
      </c>
      <c r="C19" s="53">
        <v>8</v>
      </c>
      <c r="D19" s="53">
        <v>8</v>
      </c>
      <c r="E19" s="20" t="s">
        <v>93</v>
      </c>
      <c r="F19" s="20" t="s">
        <v>302</v>
      </c>
      <c r="G19" s="20" t="s">
        <v>1044</v>
      </c>
      <c r="I19" s="21"/>
    </row>
    <row r="20" spans="1:9" ht="18" customHeight="1">
      <c r="A20" s="48">
        <v>19</v>
      </c>
      <c r="B20" s="44" t="s">
        <v>765</v>
      </c>
      <c r="C20" s="53">
        <v>8</v>
      </c>
      <c r="D20" s="53">
        <v>8</v>
      </c>
      <c r="E20" s="20" t="s">
        <v>93</v>
      </c>
      <c r="F20" s="20" t="s">
        <v>641</v>
      </c>
      <c r="G20" s="20" t="s">
        <v>1045</v>
      </c>
      <c r="I20" s="21"/>
    </row>
    <row r="21" spans="1:9" ht="18" customHeight="1">
      <c r="A21" s="48">
        <v>20</v>
      </c>
      <c r="B21" s="44" t="s">
        <v>848</v>
      </c>
      <c r="C21" s="53">
        <v>5</v>
      </c>
      <c r="D21" s="53">
        <v>7</v>
      </c>
      <c r="E21" s="20" t="s">
        <v>102</v>
      </c>
      <c r="F21" s="20" t="s">
        <v>301</v>
      </c>
      <c r="G21" s="20" t="s">
        <v>1046</v>
      </c>
      <c r="I21" s="21"/>
    </row>
    <row r="22" spans="1:9" ht="18" customHeight="1">
      <c r="A22" s="48">
        <v>21</v>
      </c>
      <c r="B22" s="44" t="s">
        <v>848</v>
      </c>
      <c r="C22" s="53">
        <v>5</v>
      </c>
      <c r="D22" s="53">
        <v>7</v>
      </c>
      <c r="E22" s="20" t="s">
        <v>102</v>
      </c>
      <c r="F22" s="20" t="s">
        <v>816</v>
      </c>
      <c r="G22" s="20" t="s">
        <v>816</v>
      </c>
      <c r="I22" s="21"/>
    </row>
    <row r="23" spans="1:9" ht="18" customHeight="1">
      <c r="A23" s="48">
        <v>22</v>
      </c>
      <c r="B23" s="44" t="s">
        <v>848</v>
      </c>
      <c r="C23" s="53">
        <v>5</v>
      </c>
      <c r="D23" s="53">
        <v>7</v>
      </c>
      <c r="E23" s="20" t="s">
        <v>102</v>
      </c>
      <c r="F23" s="20" t="s">
        <v>816</v>
      </c>
      <c r="G23" s="20" t="s">
        <v>816</v>
      </c>
      <c r="I23" s="21"/>
    </row>
    <row r="24" spans="1:9" ht="18" customHeight="1">
      <c r="A24" s="48">
        <v>23</v>
      </c>
      <c r="B24" s="44" t="s">
        <v>848</v>
      </c>
      <c r="C24" s="53">
        <v>5</v>
      </c>
      <c r="D24" s="53">
        <v>7</v>
      </c>
      <c r="E24" s="20" t="s">
        <v>102</v>
      </c>
      <c r="F24" s="20" t="s">
        <v>816</v>
      </c>
      <c r="G24" s="20" t="s">
        <v>816</v>
      </c>
      <c r="I24" s="21"/>
    </row>
    <row r="25" spans="1:9" ht="18" customHeight="1">
      <c r="A25" s="48">
        <v>24</v>
      </c>
      <c r="B25" s="44" t="s">
        <v>848</v>
      </c>
      <c r="C25" s="53">
        <v>5</v>
      </c>
      <c r="D25" s="53">
        <v>7</v>
      </c>
      <c r="E25" s="20" t="s">
        <v>102</v>
      </c>
      <c r="F25" s="20" t="s">
        <v>816</v>
      </c>
      <c r="G25" s="20" t="s">
        <v>816</v>
      </c>
      <c r="I25" s="21"/>
    </row>
    <row r="26" spans="1:9" ht="18" customHeight="1">
      <c r="A26" s="48">
        <v>25</v>
      </c>
      <c r="B26" s="44" t="s">
        <v>848</v>
      </c>
      <c r="C26" s="53">
        <v>1</v>
      </c>
      <c r="D26" s="53">
        <v>6</v>
      </c>
      <c r="E26" s="20" t="s">
        <v>103</v>
      </c>
      <c r="F26" s="20" t="s">
        <v>304</v>
      </c>
      <c r="G26" s="20" t="s">
        <v>1047</v>
      </c>
      <c r="I26" s="21"/>
    </row>
    <row r="27" spans="1:9" ht="18" customHeight="1">
      <c r="A27" s="48">
        <v>26</v>
      </c>
      <c r="B27" s="44" t="s">
        <v>848</v>
      </c>
      <c r="C27" s="53">
        <v>1</v>
      </c>
      <c r="D27" s="53">
        <v>6</v>
      </c>
      <c r="E27" s="20" t="s">
        <v>103</v>
      </c>
      <c r="F27" s="20" t="s">
        <v>305</v>
      </c>
      <c r="G27" s="20" t="s">
        <v>1048</v>
      </c>
      <c r="I27" s="21"/>
    </row>
    <row r="28" spans="1:9" ht="18" customHeight="1">
      <c r="A28" s="48">
        <v>27</v>
      </c>
      <c r="B28" s="44" t="s">
        <v>848</v>
      </c>
      <c r="C28" s="53">
        <v>1</v>
      </c>
      <c r="D28" s="53">
        <v>6</v>
      </c>
      <c r="E28" s="20" t="s">
        <v>103</v>
      </c>
      <c r="F28" s="20" t="s">
        <v>816</v>
      </c>
      <c r="G28" s="20" t="s">
        <v>816</v>
      </c>
      <c r="I28" s="21"/>
    </row>
    <row r="29" spans="1:9" ht="18" customHeight="1">
      <c r="A29" s="48">
        <v>28</v>
      </c>
      <c r="B29" s="44" t="s">
        <v>848</v>
      </c>
      <c r="C29" s="53">
        <v>1</v>
      </c>
      <c r="D29" s="53">
        <v>6</v>
      </c>
      <c r="E29" s="20" t="s">
        <v>103</v>
      </c>
      <c r="F29" s="20" t="s">
        <v>816</v>
      </c>
      <c r="G29" s="20" t="s">
        <v>816</v>
      </c>
      <c r="I29" s="21"/>
    </row>
    <row r="30" spans="1:9" ht="18" customHeight="1">
      <c r="A30" s="48">
        <v>29</v>
      </c>
      <c r="B30" s="44" t="s">
        <v>848</v>
      </c>
      <c r="C30" s="53">
        <v>1</v>
      </c>
      <c r="D30" s="53">
        <v>6</v>
      </c>
      <c r="E30" s="20" t="s">
        <v>103</v>
      </c>
      <c r="F30" s="20" t="s">
        <v>306</v>
      </c>
      <c r="G30" s="20" t="s">
        <v>1049</v>
      </c>
      <c r="I30" s="21"/>
    </row>
    <row r="31" spans="1:9" ht="18" customHeight="1">
      <c r="A31" s="48">
        <v>30</v>
      </c>
      <c r="B31" s="44" t="s">
        <v>848</v>
      </c>
      <c r="C31" s="53">
        <v>1</v>
      </c>
      <c r="D31" s="53">
        <v>6</v>
      </c>
      <c r="E31" s="20" t="s">
        <v>103</v>
      </c>
      <c r="F31" s="20" t="s">
        <v>816</v>
      </c>
      <c r="G31" s="20" t="s">
        <v>816</v>
      </c>
      <c r="I31" s="21"/>
    </row>
    <row r="32" spans="1:9" ht="18" customHeight="1">
      <c r="A32" s="48">
        <v>31</v>
      </c>
      <c r="B32" s="44" t="s">
        <v>848</v>
      </c>
      <c r="C32" s="53">
        <v>1</v>
      </c>
      <c r="D32" s="53">
        <v>6</v>
      </c>
      <c r="E32" s="20" t="s">
        <v>103</v>
      </c>
      <c r="F32" s="20" t="s">
        <v>816</v>
      </c>
      <c r="G32" s="20" t="s">
        <v>816</v>
      </c>
      <c r="I32" s="21"/>
    </row>
    <row r="33" spans="1:9" ht="18" customHeight="1">
      <c r="A33" s="48">
        <v>32</v>
      </c>
      <c r="B33" s="44" t="s">
        <v>848</v>
      </c>
      <c r="C33" s="53">
        <v>1</v>
      </c>
      <c r="D33" s="53">
        <v>6</v>
      </c>
      <c r="E33" s="20" t="s">
        <v>103</v>
      </c>
      <c r="F33" s="20" t="s">
        <v>816</v>
      </c>
      <c r="G33" s="20" t="s">
        <v>816</v>
      </c>
      <c r="I33" s="21"/>
    </row>
    <row r="34" spans="1:9" ht="18" customHeight="1">
      <c r="A34" s="48">
        <v>33</v>
      </c>
      <c r="B34" s="44" t="s">
        <v>848</v>
      </c>
      <c r="C34" s="53">
        <v>1</v>
      </c>
      <c r="D34" s="53">
        <v>6</v>
      </c>
      <c r="E34" s="20" t="s">
        <v>103</v>
      </c>
      <c r="F34" s="20" t="s">
        <v>816</v>
      </c>
      <c r="G34" s="20" t="s">
        <v>816</v>
      </c>
      <c r="I34" s="21"/>
    </row>
    <row r="35" spans="1:9" ht="18" customHeight="1">
      <c r="A35" s="48">
        <v>34</v>
      </c>
      <c r="B35" s="44" t="s">
        <v>848</v>
      </c>
      <c r="C35" s="53">
        <v>1</v>
      </c>
      <c r="D35" s="53">
        <v>6</v>
      </c>
      <c r="E35" s="20" t="s">
        <v>103</v>
      </c>
      <c r="F35" s="20" t="s">
        <v>816</v>
      </c>
      <c r="G35" s="20" t="s">
        <v>816</v>
      </c>
      <c r="I35" s="21"/>
    </row>
    <row r="36" spans="1:9" ht="18" customHeight="1">
      <c r="A36" s="48">
        <v>35</v>
      </c>
      <c r="B36" s="44" t="s">
        <v>763</v>
      </c>
      <c r="C36" s="53">
        <v>1</v>
      </c>
      <c r="D36" s="53"/>
      <c r="E36" s="20" t="s">
        <v>103</v>
      </c>
      <c r="F36" s="20" t="s">
        <v>321</v>
      </c>
      <c r="G36" s="20" t="s">
        <v>1050</v>
      </c>
      <c r="I36" s="21"/>
    </row>
    <row r="37" spans="1:9" ht="18" customHeight="1">
      <c r="A37" s="48">
        <v>36</v>
      </c>
      <c r="B37" s="44" t="s">
        <v>760</v>
      </c>
      <c r="C37" s="53">
        <v>1</v>
      </c>
      <c r="D37" s="53"/>
      <c r="E37" s="20" t="s">
        <v>103</v>
      </c>
      <c r="F37" s="20" t="s">
        <v>321</v>
      </c>
      <c r="G37" s="20" t="s">
        <v>1050</v>
      </c>
      <c r="I37" s="21"/>
    </row>
    <row r="38" spans="1:9" ht="18" customHeight="1">
      <c r="A38" s="48">
        <v>37</v>
      </c>
      <c r="B38" s="44" t="s">
        <v>825</v>
      </c>
      <c r="C38" s="53">
        <v>2</v>
      </c>
      <c r="D38" s="53">
        <v>3</v>
      </c>
      <c r="E38" s="20" t="s">
        <v>216</v>
      </c>
      <c r="F38" s="20" t="s">
        <v>129</v>
      </c>
      <c r="G38" s="20" t="s">
        <v>1051</v>
      </c>
      <c r="I38" s="21"/>
    </row>
    <row r="39" spans="1:9" ht="18" customHeight="1">
      <c r="A39" s="48">
        <v>38</v>
      </c>
      <c r="B39" s="44" t="s">
        <v>825</v>
      </c>
      <c r="C39" s="53">
        <v>3</v>
      </c>
      <c r="D39" s="53">
        <v>2</v>
      </c>
      <c r="E39" s="20" t="s">
        <v>217</v>
      </c>
      <c r="F39" s="20" t="s">
        <v>130</v>
      </c>
      <c r="G39" s="20" t="s">
        <v>1052</v>
      </c>
      <c r="I39" s="21"/>
    </row>
    <row r="40" spans="1:9" ht="18" customHeight="1">
      <c r="A40" s="48">
        <v>39</v>
      </c>
      <c r="B40" s="44" t="s">
        <v>825</v>
      </c>
      <c r="C40" s="53">
        <v>4</v>
      </c>
      <c r="D40" s="53">
        <v>3</v>
      </c>
      <c r="E40" s="20" t="s">
        <v>218</v>
      </c>
      <c r="F40" s="20" t="s">
        <v>131</v>
      </c>
      <c r="G40" s="20" t="s">
        <v>1053</v>
      </c>
      <c r="I40" s="21"/>
    </row>
    <row r="41" spans="1:9" ht="18" customHeight="1">
      <c r="A41" s="48">
        <v>40</v>
      </c>
      <c r="B41" s="44" t="s">
        <v>825</v>
      </c>
      <c r="C41" s="53">
        <v>5</v>
      </c>
      <c r="D41" s="53">
        <v>7</v>
      </c>
      <c r="E41" s="20" t="s">
        <v>219</v>
      </c>
      <c r="F41" s="20" t="s">
        <v>279</v>
      </c>
      <c r="G41" s="20" t="s">
        <v>1054</v>
      </c>
      <c r="I41" s="21"/>
    </row>
    <row r="42" spans="1:9" ht="18" customHeight="1">
      <c r="A42" s="48">
        <v>41</v>
      </c>
      <c r="B42" s="44" t="s">
        <v>825</v>
      </c>
      <c r="C42" s="53">
        <v>6</v>
      </c>
      <c r="D42" s="53">
        <v>1</v>
      </c>
      <c r="E42" s="20" t="s">
        <v>220</v>
      </c>
      <c r="F42" s="20" t="s">
        <v>280</v>
      </c>
      <c r="G42" s="20" t="s">
        <v>1055</v>
      </c>
      <c r="I42" s="21"/>
    </row>
    <row r="43" spans="1:9" ht="18" customHeight="1">
      <c r="A43" s="48">
        <v>42</v>
      </c>
      <c r="B43" s="44" t="s">
        <v>835</v>
      </c>
      <c r="C43" s="53">
        <v>5</v>
      </c>
      <c r="D43" s="53">
        <v>7</v>
      </c>
      <c r="E43" s="20" t="s">
        <v>219</v>
      </c>
      <c r="F43" s="20" t="s">
        <v>122</v>
      </c>
      <c r="G43" s="20" t="s">
        <v>1056</v>
      </c>
      <c r="I43" s="21"/>
    </row>
    <row r="44" spans="1:9" ht="18" customHeight="1">
      <c r="A44" s="48">
        <v>43</v>
      </c>
      <c r="B44" s="44" t="s">
        <v>835</v>
      </c>
      <c r="C44" s="53">
        <v>6</v>
      </c>
      <c r="D44" s="53">
        <v>1</v>
      </c>
      <c r="E44" s="20" t="s">
        <v>220</v>
      </c>
      <c r="F44" s="20" t="s">
        <v>123</v>
      </c>
      <c r="G44" s="20" t="s">
        <v>1057</v>
      </c>
      <c r="I44" s="21"/>
    </row>
    <row r="45" spans="1:9" ht="18" customHeight="1">
      <c r="A45" s="48">
        <v>44</v>
      </c>
      <c r="B45" s="44" t="s">
        <v>815</v>
      </c>
      <c r="C45" s="53">
        <v>5</v>
      </c>
      <c r="D45" s="53">
        <v>7</v>
      </c>
      <c r="E45" s="20" t="s">
        <v>102</v>
      </c>
      <c r="F45" s="20" t="s">
        <v>135</v>
      </c>
      <c r="G45" s="20" t="s">
        <v>135</v>
      </c>
      <c r="I45" s="21"/>
    </row>
    <row r="46" spans="1:9" ht="18" customHeight="1">
      <c r="A46" s="48">
        <v>45</v>
      </c>
      <c r="B46" s="44" t="s">
        <v>760</v>
      </c>
      <c r="C46" s="53">
        <v>6</v>
      </c>
      <c r="D46" s="53"/>
      <c r="E46" s="20" t="s">
        <v>636</v>
      </c>
      <c r="F46" s="20" t="s">
        <v>816</v>
      </c>
      <c r="G46" s="20" t="s">
        <v>816</v>
      </c>
      <c r="I46" s="21"/>
    </row>
    <row r="47" spans="1:9" ht="18" customHeight="1">
      <c r="A47" s="48">
        <v>46</v>
      </c>
      <c r="B47" s="44" t="s">
        <v>815</v>
      </c>
      <c r="C47" s="53">
        <v>1</v>
      </c>
      <c r="D47" s="53">
        <v>9</v>
      </c>
      <c r="E47" s="20" t="s">
        <v>221</v>
      </c>
      <c r="F47" s="20" t="s">
        <v>137</v>
      </c>
      <c r="G47" s="20" t="s">
        <v>137</v>
      </c>
      <c r="I47" s="21"/>
    </row>
    <row r="48" spans="1:9" ht="18" customHeight="1">
      <c r="A48" s="48">
        <v>47</v>
      </c>
      <c r="B48" s="44" t="s">
        <v>815</v>
      </c>
      <c r="C48" s="53">
        <v>6</v>
      </c>
      <c r="D48" s="53">
        <v>1</v>
      </c>
      <c r="E48" s="20" t="s">
        <v>103</v>
      </c>
      <c r="F48" s="20" t="s">
        <v>140</v>
      </c>
      <c r="G48" s="20" t="s">
        <v>140</v>
      </c>
      <c r="I48" s="21"/>
    </row>
    <row r="49" spans="1:9" ht="18" customHeight="1">
      <c r="A49" s="48">
        <v>48</v>
      </c>
      <c r="B49" s="44" t="s">
        <v>815</v>
      </c>
      <c r="C49" s="53">
        <v>6</v>
      </c>
      <c r="D49" s="53">
        <v>1</v>
      </c>
      <c r="E49" s="20" t="s">
        <v>103</v>
      </c>
      <c r="F49" s="20" t="s">
        <v>141</v>
      </c>
      <c r="G49" s="20" t="s">
        <v>141</v>
      </c>
      <c r="I49" s="21"/>
    </row>
    <row r="50" spans="1:9" ht="18" customHeight="1">
      <c r="A50" s="48">
        <v>49</v>
      </c>
      <c r="B50" s="44" t="s">
        <v>760</v>
      </c>
      <c r="C50" s="53">
        <v>6</v>
      </c>
      <c r="D50" s="53"/>
      <c r="E50" s="20" t="s">
        <v>636</v>
      </c>
      <c r="F50" s="20" t="s">
        <v>816</v>
      </c>
      <c r="G50" s="20" t="s">
        <v>816</v>
      </c>
      <c r="I50" s="21"/>
    </row>
    <row r="51" spans="1:9" ht="18" customHeight="1">
      <c r="A51" s="48">
        <v>50</v>
      </c>
      <c r="B51" s="44" t="s">
        <v>815</v>
      </c>
      <c r="C51" s="53">
        <v>1</v>
      </c>
      <c r="D51" s="53">
        <v>9</v>
      </c>
      <c r="E51" s="20" t="s">
        <v>103</v>
      </c>
      <c r="F51" s="20" t="s">
        <v>142</v>
      </c>
      <c r="G51" s="20" t="s">
        <v>142</v>
      </c>
      <c r="I51" s="21"/>
    </row>
    <row r="52" spans="1:9" ht="18" customHeight="1">
      <c r="A52" s="48">
        <v>51</v>
      </c>
      <c r="B52" s="44" t="s">
        <v>760</v>
      </c>
      <c r="C52" s="53">
        <v>6</v>
      </c>
      <c r="D52" s="53"/>
      <c r="E52" s="20" t="s">
        <v>636</v>
      </c>
      <c r="F52" s="20" t="s">
        <v>816</v>
      </c>
      <c r="G52" s="20" t="s">
        <v>816</v>
      </c>
      <c r="I52" s="21"/>
    </row>
    <row r="53" spans="1:9" ht="18" customHeight="1">
      <c r="A53" s="48">
        <v>52</v>
      </c>
      <c r="B53" s="44" t="s">
        <v>815</v>
      </c>
      <c r="C53" s="53">
        <v>1</v>
      </c>
      <c r="D53" s="53">
        <v>9</v>
      </c>
      <c r="E53" s="20" t="s">
        <v>103</v>
      </c>
      <c r="F53" s="20" t="s">
        <v>143</v>
      </c>
      <c r="G53" s="20" t="s">
        <v>143</v>
      </c>
      <c r="I53" s="21"/>
    </row>
    <row r="54" spans="1:9" ht="18" customHeight="1">
      <c r="A54" s="48">
        <v>53</v>
      </c>
      <c r="B54" s="44" t="s">
        <v>769</v>
      </c>
      <c r="C54" s="53">
        <v>8</v>
      </c>
      <c r="D54" s="53">
        <v>8</v>
      </c>
      <c r="E54" s="20" t="s">
        <v>93</v>
      </c>
      <c r="F54" s="20" t="s">
        <v>83</v>
      </c>
      <c r="G54" s="20" t="s">
        <v>1058</v>
      </c>
      <c r="I54" s="21"/>
    </row>
    <row r="55" spans="1:9" ht="18" customHeight="1">
      <c r="A55" s="48">
        <v>54</v>
      </c>
      <c r="B55" s="44" t="s">
        <v>488</v>
      </c>
      <c r="C55" s="53">
        <v>1</v>
      </c>
      <c r="D55" s="53"/>
      <c r="E55" s="20" t="s">
        <v>103</v>
      </c>
      <c r="F55" s="20" t="s">
        <v>84</v>
      </c>
      <c r="G55" s="20" t="s">
        <v>1059</v>
      </c>
      <c r="I55" s="21"/>
    </row>
    <row r="56" spans="1:9" ht="18" customHeight="1">
      <c r="A56" s="48">
        <v>55</v>
      </c>
      <c r="B56" s="44" t="s">
        <v>488</v>
      </c>
      <c r="C56" s="53">
        <v>1</v>
      </c>
      <c r="D56" s="53"/>
      <c r="E56" s="20" t="s">
        <v>103</v>
      </c>
      <c r="F56" s="20" t="s">
        <v>85</v>
      </c>
      <c r="G56" s="20" t="s">
        <v>1060</v>
      </c>
      <c r="I56" s="21"/>
    </row>
    <row r="57" spans="1:9" ht="18" customHeight="1">
      <c r="A57" s="48">
        <v>56</v>
      </c>
      <c r="B57" s="44" t="s">
        <v>791</v>
      </c>
      <c r="C57" s="53">
        <v>5</v>
      </c>
      <c r="D57" s="53">
        <v>7</v>
      </c>
      <c r="E57" s="20" t="s">
        <v>102</v>
      </c>
      <c r="F57" s="20" t="s">
        <v>134</v>
      </c>
      <c r="G57" s="20" t="s">
        <v>1061</v>
      </c>
      <c r="I57" s="21"/>
    </row>
    <row r="58" spans="1:9" ht="18" customHeight="1">
      <c r="A58" s="48">
        <v>57</v>
      </c>
      <c r="B58" s="44" t="s">
        <v>791</v>
      </c>
      <c r="C58" s="53">
        <v>1</v>
      </c>
      <c r="D58" s="53">
        <v>1</v>
      </c>
      <c r="E58" s="20" t="s">
        <v>221</v>
      </c>
      <c r="F58" s="20" t="s">
        <v>136</v>
      </c>
      <c r="G58" s="20" t="s">
        <v>1062</v>
      </c>
      <c r="I58" s="21"/>
    </row>
    <row r="59" spans="1:9" ht="18" customHeight="1">
      <c r="A59" s="48">
        <v>58</v>
      </c>
      <c r="B59" s="44" t="s">
        <v>778</v>
      </c>
      <c r="C59" s="53">
        <v>6</v>
      </c>
      <c r="D59" s="53">
        <v>1</v>
      </c>
      <c r="E59" s="20" t="s">
        <v>221</v>
      </c>
      <c r="F59" s="20" t="s">
        <v>30</v>
      </c>
      <c r="G59" s="20" t="s">
        <v>1063</v>
      </c>
      <c r="I59" s="21"/>
    </row>
    <row r="60" spans="1:9" ht="18" customHeight="1">
      <c r="A60" s="48">
        <v>59</v>
      </c>
      <c r="B60" s="44" t="s">
        <v>763</v>
      </c>
      <c r="C60" s="53">
        <v>6</v>
      </c>
      <c r="D60" s="53"/>
      <c r="E60" s="20" t="s">
        <v>636</v>
      </c>
      <c r="F60" s="20" t="s">
        <v>816</v>
      </c>
      <c r="G60" s="20" t="s">
        <v>816</v>
      </c>
      <c r="I60" s="21"/>
    </row>
    <row r="61" spans="1:9" ht="18" customHeight="1">
      <c r="A61" s="48">
        <v>60</v>
      </c>
      <c r="B61" s="44" t="s">
        <v>763</v>
      </c>
      <c r="C61" s="53">
        <v>6</v>
      </c>
      <c r="D61" s="53"/>
      <c r="E61" s="20" t="s">
        <v>636</v>
      </c>
      <c r="F61" s="20" t="s">
        <v>816</v>
      </c>
      <c r="G61" s="20" t="s">
        <v>816</v>
      </c>
      <c r="I61" s="21"/>
    </row>
    <row r="62" spans="1:9" ht="18" customHeight="1">
      <c r="A62" s="48">
        <v>61</v>
      </c>
      <c r="B62" s="44" t="s">
        <v>763</v>
      </c>
      <c r="C62" s="53">
        <v>6</v>
      </c>
      <c r="D62" s="53"/>
      <c r="E62" s="20" t="s">
        <v>636</v>
      </c>
      <c r="F62" s="20" t="s">
        <v>816</v>
      </c>
      <c r="G62" s="20" t="s">
        <v>816</v>
      </c>
      <c r="I62" s="21"/>
    </row>
    <row r="63" spans="1:9" ht="18" customHeight="1">
      <c r="A63" s="48">
        <v>62</v>
      </c>
      <c r="B63" s="44" t="s">
        <v>763</v>
      </c>
      <c r="C63" s="53">
        <v>6</v>
      </c>
      <c r="D63" s="53"/>
      <c r="E63" s="20" t="s">
        <v>636</v>
      </c>
      <c r="F63" s="20" t="s">
        <v>816</v>
      </c>
      <c r="G63" s="20" t="s">
        <v>816</v>
      </c>
      <c r="I63" s="21"/>
    </row>
    <row r="64" spans="1:9" ht="18" customHeight="1">
      <c r="A64" s="48">
        <v>63</v>
      </c>
      <c r="B64" s="44" t="s">
        <v>760</v>
      </c>
      <c r="C64" s="53">
        <v>6</v>
      </c>
      <c r="D64" s="53"/>
      <c r="E64" s="20" t="s">
        <v>636</v>
      </c>
      <c r="F64" s="20" t="s">
        <v>816</v>
      </c>
      <c r="G64" s="20" t="s">
        <v>816</v>
      </c>
      <c r="I64" s="21"/>
    </row>
    <row r="65" spans="1:9" ht="18" customHeight="1">
      <c r="A65" s="48">
        <v>64</v>
      </c>
      <c r="B65" s="44" t="s">
        <v>760</v>
      </c>
      <c r="C65" s="53">
        <v>6</v>
      </c>
      <c r="D65" s="53"/>
      <c r="E65" s="20" t="s">
        <v>636</v>
      </c>
      <c r="F65" s="20" t="s">
        <v>816</v>
      </c>
      <c r="G65" s="20" t="s">
        <v>816</v>
      </c>
      <c r="I65" s="21"/>
    </row>
    <row r="66" spans="1:9" ht="18" customHeight="1">
      <c r="A66" s="48">
        <v>65</v>
      </c>
      <c r="B66" s="44" t="s">
        <v>760</v>
      </c>
      <c r="C66" s="53">
        <v>6</v>
      </c>
      <c r="D66" s="53"/>
      <c r="E66" s="20" t="s">
        <v>636</v>
      </c>
      <c r="F66" s="20" t="s">
        <v>816</v>
      </c>
      <c r="G66" s="20" t="s">
        <v>816</v>
      </c>
      <c r="I66" s="21"/>
    </row>
    <row r="67" spans="1:9" ht="18" customHeight="1">
      <c r="A67" s="48">
        <v>66</v>
      </c>
      <c r="B67" s="44" t="s">
        <v>760</v>
      </c>
      <c r="C67" s="53">
        <v>6</v>
      </c>
      <c r="D67" s="53"/>
      <c r="E67" s="20" t="s">
        <v>636</v>
      </c>
      <c r="F67" s="20" t="s">
        <v>816</v>
      </c>
      <c r="G67" s="20" t="s">
        <v>816</v>
      </c>
      <c r="I67" s="21"/>
    </row>
    <row r="68" spans="1:9" ht="18" customHeight="1">
      <c r="A68" s="48">
        <v>67</v>
      </c>
      <c r="B68" s="44" t="s">
        <v>760</v>
      </c>
      <c r="C68" s="53">
        <v>6</v>
      </c>
      <c r="D68" s="53"/>
      <c r="E68" s="20" t="s">
        <v>636</v>
      </c>
      <c r="F68" s="20" t="s">
        <v>816</v>
      </c>
      <c r="G68" s="20" t="s">
        <v>816</v>
      </c>
      <c r="I68" s="21"/>
    </row>
    <row r="69" spans="1:9" ht="18" customHeight="1">
      <c r="A69" s="48">
        <v>68</v>
      </c>
      <c r="B69" s="44" t="s">
        <v>791</v>
      </c>
      <c r="C69" s="53">
        <v>1</v>
      </c>
      <c r="D69" s="53">
        <v>9</v>
      </c>
      <c r="E69" s="20" t="s">
        <v>103</v>
      </c>
      <c r="F69" s="20" t="s">
        <v>138</v>
      </c>
      <c r="G69" s="20" t="s">
        <v>1064</v>
      </c>
      <c r="I69" s="21"/>
    </row>
    <row r="70" spans="1:9" ht="18" customHeight="1">
      <c r="A70" s="48">
        <v>69</v>
      </c>
      <c r="B70" s="44" t="s">
        <v>791</v>
      </c>
      <c r="C70" s="53">
        <v>6</v>
      </c>
      <c r="D70" s="53">
        <v>6</v>
      </c>
      <c r="E70" s="20" t="s">
        <v>103</v>
      </c>
      <c r="F70" s="20" t="s">
        <v>139</v>
      </c>
      <c r="G70" s="20" t="s">
        <v>1065</v>
      </c>
      <c r="I70" s="21"/>
    </row>
    <row r="71" spans="1:9" ht="18" customHeight="1">
      <c r="A71" s="48">
        <v>70</v>
      </c>
      <c r="B71" s="44" t="s">
        <v>820</v>
      </c>
      <c r="C71" s="53">
        <v>5</v>
      </c>
      <c r="D71" s="53"/>
      <c r="E71" s="20" t="s">
        <v>219</v>
      </c>
      <c r="F71" s="20" t="s">
        <v>132</v>
      </c>
      <c r="G71" s="20" t="s">
        <v>1066</v>
      </c>
      <c r="I71" s="21"/>
    </row>
    <row r="72" spans="1:9" ht="18" customHeight="1">
      <c r="A72" s="48">
        <v>71</v>
      </c>
      <c r="B72" s="44" t="s">
        <v>820</v>
      </c>
      <c r="C72" s="53">
        <v>6</v>
      </c>
      <c r="D72" s="53"/>
      <c r="E72" s="20" t="s">
        <v>220</v>
      </c>
      <c r="F72" s="20" t="s">
        <v>133</v>
      </c>
      <c r="G72" s="20" t="s">
        <v>1067</v>
      </c>
      <c r="I72" s="21"/>
    </row>
    <row r="73" spans="1:9" ht="18" customHeight="1">
      <c r="A73" s="48">
        <v>72</v>
      </c>
      <c r="B73" s="44" t="s">
        <v>820</v>
      </c>
      <c r="C73" s="53">
        <v>2</v>
      </c>
      <c r="D73" s="53"/>
      <c r="E73" s="20" t="s">
        <v>216</v>
      </c>
      <c r="F73" s="20" t="s">
        <v>124</v>
      </c>
      <c r="G73" s="20" t="s">
        <v>1068</v>
      </c>
      <c r="I73" s="21"/>
    </row>
    <row r="74" spans="1:9" ht="18" customHeight="1">
      <c r="A74" s="48">
        <v>73</v>
      </c>
      <c r="B74" s="44" t="s">
        <v>820</v>
      </c>
      <c r="C74" s="53">
        <v>3</v>
      </c>
      <c r="D74" s="53"/>
      <c r="E74" s="20" t="s">
        <v>217</v>
      </c>
      <c r="F74" s="20" t="s">
        <v>125</v>
      </c>
      <c r="G74" s="20" t="s">
        <v>1069</v>
      </c>
      <c r="I74" s="21"/>
    </row>
    <row r="75" spans="1:9" ht="18" customHeight="1">
      <c r="A75" s="48">
        <v>74</v>
      </c>
      <c r="B75" s="44" t="s">
        <v>820</v>
      </c>
      <c r="C75" s="53">
        <v>4</v>
      </c>
      <c r="D75" s="53"/>
      <c r="E75" s="20" t="s">
        <v>218</v>
      </c>
      <c r="F75" s="20" t="s">
        <v>126</v>
      </c>
      <c r="G75" s="20" t="s">
        <v>1070</v>
      </c>
      <c r="I75" s="21"/>
    </row>
    <row r="76" spans="1:9" ht="18" customHeight="1">
      <c r="A76" s="48">
        <v>75</v>
      </c>
      <c r="B76" s="44" t="s">
        <v>820</v>
      </c>
      <c r="C76" s="53">
        <v>5</v>
      </c>
      <c r="D76" s="53"/>
      <c r="E76" s="20" t="s">
        <v>219</v>
      </c>
      <c r="F76" s="20" t="s">
        <v>127</v>
      </c>
      <c r="G76" s="20" t="s">
        <v>1071</v>
      </c>
      <c r="I76" s="21"/>
    </row>
    <row r="77" spans="1:9" ht="18" customHeight="1">
      <c r="A77" s="48">
        <v>76</v>
      </c>
      <c r="B77" s="44" t="s">
        <v>820</v>
      </c>
      <c r="C77" s="53">
        <v>6</v>
      </c>
      <c r="D77" s="53"/>
      <c r="E77" s="20" t="s">
        <v>220</v>
      </c>
      <c r="F77" s="20" t="s">
        <v>128</v>
      </c>
      <c r="G77" s="20" t="s">
        <v>1072</v>
      </c>
      <c r="I77" s="21"/>
    </row>
    <row r="78" spans="1:9" ht="18" customHeight="1">
      <c r="A78" s="48">
        <v>77</v>
      </c>
      <c r="B78" s="44" t="s">
        <v>820</v>
      </c>
      <c r="C78" s="53">
        <v>2</v>
      </c>
      <c r="D78" s="53"/>
      <c r="E78" s="20" t="s">
        <v>216</v>
      </c>
      <c r="F78" s="20" t="s">
        <v>119</v>
      </c>
      <c r="G78" s="20" t="s">
        <v>1073</v>
      </c>
      <c r="I78" s="21"/>
    </row>
    <row r="79" spans="1:9" ht="18" customHeight="1">
      <c r="A79" s="48">
        <v>78</v>
      </c>
      <c r="B79" s="44" t="s">
        <v>820</v>
      </c>
      <c r="C79" s="53">
        <v>3</v>
      </c>
      <c r="D79" s="53"/>
      <c r="E79" s="20" t="s">
        <v>217</v>
      </c>
      <c r="F79" s="20" t="s">
        <v>120</v>
      </c>
      <c r="G79" s="20" t="s">
        <v>1074</v>
      </c>
      <c r="I79" s="21"/>
    </row>
    <row r="80" spans="1:9" ht="18" customHeight="1">
      <c r="A80" s="48">
        <v>79</v>
      </c>
      <c r="B80" s="44" t="s">
        <v>820</v>
      </c>
      <c r="C80" s="53">
        <v>4</v>
      </c>
      <c r="D80" s="53"/>
      <c r="E80" s="20" t="s">
        <v>218</v>
      </c>
      <c r="F80" s="20" t="s">
        <v>121</v>
      </c>
      <c r="G80" s="20" t="s">
        <v>1075</v>
      </c>
      <c r="I80" s="21"/>
    </row>
    <row r="81" spans="1:9" ht="18" customHeight="1">
      <c r="A81" s="48">
        <v>80</v>
      </c>
      <c r="B81" s="44" t="s">
        <v>1004</v>
      </c>
      <c r="C81" s="53">
        <v>4</v>
      </c>
      <c r="D81" s="53"/>
      <c r="E81" s="20" t="s">
        <v>218</v>
      </c>
      <c r="F81" s="20" t="s">
        <v>7</v>
      </c>
      <c r="G81" s="20" t="s">
        <v>1076</v>
      </c>
      <c r="I81" s="21"/>
    </row>
    <row r="82" spans="1:9" ht="18" customHeight="1">
      <c r="A82" s="48">
        <v>81</v>
      </c>
      <c r="B82" s="44" t="s">
        <v>1004</v>
      </c>
      <c r="C82" s="53">
        <v>3</v>
      </c>
      <c r="D82" s="53"/>
      <c r="E82" s="20" t="s">
        <v>217</v>
      </c>
      <c r="F82" s="20" t="s">
        <v>8</v>
      </c>
      <c r="G82" s="20" t="s">
        <v>1077</v>
      </c>
      <c r="I82" s="21"/>
    </row>
    <row r="83" spans="1:9" ht="18" customHeight="1">
      <c r="A83" s="48">
        <v>82</v>
      </c>
      <c r="B83" s="44" t="s">
        <v>1004</v>
      </c>
      <c r="C83" s="53">
        <v>2</v>
      </c>
      <c r="D83" s="53"/>
      <c r="E83" s="20" t="s">
        <v>216</v>
      </c>
      <c r="F83" s="20" t="s">
        <v>9</v>
      </c>
      <c r="G83" s="20" t="s">
        <v>1078</v>
      </c>
      <c r="I83" s="21"/>
    </row>
    <row r="84" spans="1:9" ht="18" customHeight="1">
      <c r="A84" s="48">
        <v>83</v>
      </c>
      <c r="B84" s="44" t="s">
        <v>1012</v>
      </c>
      <c r="C84" s="53">
        <v>2</v>
      </c>
      <c r="D84" s="53"/>
      <c r="E84" s="20" t="s">
        <v>216</v>
      </c>
      <c r="F84" s="20" t="s">
        <v>10</v>
      </c>
      <c r="G84" s="20" t="s">
        <v>1079</v>
      </c>
      <c r="I84" s="21"/>
    </row>
    <row r="85" spans="1:9" ht="18" customHeight="1">
      <c r="A85" s="48">
        <v>84</v>
      </c>
      <c r="B85" s="44" t="s">
        <v>1012</v>
      </c>
      <c r="C85" s="53">
        <v>3</v>
      </c>
      <c r="D85" s="53"/>
      <c r="E85" s="20" t="s">
        <v>217</v>
      </c>
      <c r="F85" s="20" t="s">
        <v>11</v>
      </c>
      <c r="G85" s="20" t="s">
        <v>1080</v>
      </c>
      <c r="I85" s="21"/>
    </row>
    <row r="86" spans="1:9" ht="18" customHeight="1">
      <c r="A86" s="48">
        <v>85</v>
      </c>
      <c r="B86" s="44" t="s">
        <v>1012</v>
      </c>
      <c r="C86" s="53">
        <v>4</v>
      </c>
      <c r="D86" s="53"/>
      <c r="E86" s="20" t="s">
        <v>218</v>
      </c>
      <c r="F86" s="20" t="s">
        <v>12</v>
      </c>
      <c r="G86" s="20" t="s">
        <v>1081</v>
      </c>
      <c r="I86" s="21"/>
    </row>
    <row r="87" spans="1:9" ht="18" customHeight="1">
      <c r="A87" s="48">
        <v>86</v>
      </c>
      <c r="B87" s="44" t="s">
        <v>1012</v>
      </c>
      <c r="C87" s="53">
        <v>5</v>
      </c>
      <c r="D87" s="53"/>
      <c r="E87" s="20" t="s">
        <v>219</v>
      </c>
      <c r="F87" s="20" t="s">
        <v>13</v>
      </c>
      <c r="G87" s="20" t="s">
        <v>1082</v>
      </c>
      <c r="I87" s="21"/>
    </row>
    <row r="88" spans="1:9" ht="18" customHeight="1">
      <c r="A88" s="48">
        <v>87</v>
      </c>
      <c r="B88" s="44" t="s">
        <v>1007</v>
      </c>
      <c r="C88" s="53">
        <v>2</v>
      </c>
      <c r="D88" s="53"/>
      <c r="E88" s="20" t="s">
        <v>216</v>
      </c>
      <c r="F88" s="20" t="s">
        <v>14</v>
      </c>
      <c r="G88" s="20" t="s">
        <v>1083</v>
      </c>
      <c r="I88" s="21"/>
    </row>
    <row r="89" spans="1:9" ht="18" customHeight="1">
      <c r="A89" s="48">
        <v>88</v>
      </c>
      <c r="B89" s="44" t="s">
        <v>1007</v>
      </c>
      <c r="C89" s="53">
        <v>3</v>
      </c>
      <c r="D89" s="53"/>
      <c r="E89" s="20" t="s">
        <v>217</v>
      </c>
      <c r="F89" s="20" t="s">
        <v>15</v>
      </c>
      <c r="G89" s="20" t="s">
        <v>1084</v>
      </c>
      <c r="I89" s="21"/>
    </row>
    <row r="90" spans="1:9" ht="18" customHeight="1">
      <c r="A90" s="48">
        <v>89</v>
      </c>
      <c r="B90" s="44" t="s">
        <v>1007</v>
      </c>
      <c r="C90" s="53">
        <v>4</v>
      </c>
      <c r="D90" s="53"/>
      <c r="E90" s="20" t="s">
        <v>218</v>
      </c>
      <c r="F90" s="20" t="s">
        <v>16</v>
      </c>
      <c r="G90" s="20" t="s">
        <v>1085</v>
      </c>
      <c r="I90" s="21"/>
    </row>
    <row r="91" spans="1:9" ht="18" customHeight="1">
      <c r="A91" s="48">
        <v>90</v>
      </c>
      <c r="B91" s="44" t="s">
        <v>1007</v>
      </c>
      <c r="C91" s="53">
        <v>2</v>
      </c>
      <c r="D91" s="53"/>
      <c r="E91" s="20" t="s">
        <v>216</v>
      </c>
      <c r="F91" s="20" t="s">
        <v>17</v>
      </c>
      <c r="G91" s="20" t="s">
        <v>1086</v>
      </c>
      <c r="I91" s="21"/>
    </row>
    <row r="92" spans="1:9" ht="18" customHeight="1">
      <c r="A92" s="48">
        <v>91</v>
      </c>
      <c r="B92" s="44" t="s">
        <v>1007</v>
      </c>
      <c r="C92" s="53">
        <v>3</v>
      </c>
      <c r="D92" s="53"/>
      <c r="E92" s="20" t="s">
        <v>217</v>
      </c>
      <c r="F92" s="20" t="s">
        <v>18</v>
      </c>
      <c r="G92" s="20" t="s">
        <v>1087</v>
      </c>
      <c r="I92" s="21"/>
    </row>
    <row r="93" spans="1:9" ht="18" customHeight="1">
      <c r="A93" s="48">
        <v>92</v>
      </c>
      <c r="B93" s="44" t="s">
        <v>1007</v>
      </c>
      <c r="C93" s="53">
        <v>4</v>
      </c>
      <c r="D93" s="53"/>
      <c r="E93" s="20" t="s">
        <v>218</v>
      </c>
      <c r="F93" s="20" t="s">
        <v>19</v>
      </c>
      <c r="G93" s="20" t="s">
        <v>1088</v>
      </c>
      <c r="I93" s="21"/>
    </row>
    <row r="94" spans="1:9" ht="18" customHeight="1">
      <c r="A94" s="48">
        <v>93</v>
      </c>
      <c r="B94" s="44" t="s">
        <v>1017</v>
      </c>
      <c r="C94" s="53">
        <v>6</v>
      </c>
      <c r="D94" s="53"/>
      <c r="E94" s="20" t="s">
        <v>220</v>
      </c>
      <c r="F94" s="20" t="s">
        <v>289</v>
      </c>
      <c r="G94" s="20" t="s">
        <v>1089</v>
      </c>
      <c r="I94" s="21"/>
    </row>
    <row r="95" spans="1:9" ht="18" customHeight="1">
      <c r="A95" s="48">
        <v>94</v>
      </c>
      <c r="B95" s="44" t="s">
        <v>1017</v>
      </c>
      <c r="C95" s="53">
        <v>4</v>
      </c>
      <c r="D95" s="53"/>
      <c r="E95" s="20" t="s">
        <v>218</v>
      </c>
      <c r="F95" s="20" t="s">
        <v>290</v>
      </c>
      <c r="G95" s="20" t="s">
        <v>1090</v>
      </c>
      <c r="I95" s="21"/>
    </row>
    <row r="96" spans="1:9" ht="18" customHeight="1">
      <c r="A96" s="48">
        <v>95</v>
      </c>
      <c r="B96" s="44" t="s">
        <v>1017</v>
      </c>
      <c r="C96" s="53">
        <v>3</v>
      </c>
      <c r="D96" s="53"/>
      <c r="E96" s="20" t="s">
        <v>217</v>
      </c>
      <c r="F96" s="20" t="s">
        <v>291</v>
      </c>
      <c r="G96" s="20" t="s">
        <v>1091</v>
      </c>
      <c r="I96" s="21"/>
    </row>
    <row r="97" spans="1:9" ht="18" customHeight="1">
      <c r="A97" s="48">
        <v>96</v>
      </c>
      <c r="B97" s="44" t="s">
        <v>1017</v>
      </c>
      <c r="C97" s="53">
        <v>2</v>
      </c>
      <c r="D97" s="53"/>
      <c r="E97" s="20" t="s">
        <v>216</v>
      </c>
      <c r="F97" s="20" t="s">
        <v>292</v>
      </c>
      <c r="G97" s="20" t="s">
        <v>1092</v>
      </c>
      <c r="I97" s="21"/>
    </row>
    <row r="98" spans="1:9" ht="18" customHeight="1">
      <c r="A98" s="48">
        <v>97</v>
      </c>
      <c r="B98" s="44" t="s">
        <v>1004</v>
      </c>
      <c r="C98" s="53">
        <v>2</v>
      </c>
      <c r="D98" s="53"/>
      <c r="E98" s="20" t="s">
        <v>216</v>
      </c>
      <c r="F98" s="20" t="s">
        <v>21</v>
      </c>
      <c r="G98" s="20" t="s">
        <v>1093</v>
      </c>
      <c r="I98" s="21"/>
    </row>
    <row r="99" spans="1:9" ht="18" customHeight="1">
      <c r="A99" s="48">
        <v>98</v>
      </c>
      <c r="B99" s="44" t="s">
        <v>1004</v>
      </c>
      <c r="C99" s="53">
        <v>3</v>
      </c>
      <c r="D99" s="53"/>
      <c r="E99" s="20" t="s">
        <v>217</v>
      </c>
      <c r="F99" s="20" t="s">
        <v>22</v>
      </c>
      <c r="G99" s="20" t="s">
        <v>1094</v>
      </c>
      <c r="I99" s="21"/>
    </row>
    <row r="100" spans="1:9" ht="18" customHeight="1">
      <c r="A100" s="48">
        <v>99</v>
      </c>
      <c r="B100" s="44" t="s">
        <v>1004</v>
      </c>
      <c r="C100" s="53">
        <v>4</v>
      </c>
      <c r="D100" s="53"/>
      <c r="E100" s="20" t="s">
        <v>218</v>
      </c>
      <c r="F100" s="20" t="s">
        <v>23</v>
      </c>
      <c r="G100" s="20" t="s">
        <v>1095</v>
      </c>
      <c r="I100" s="21"/>
    </row>
    <row r="101" spans="1:9" ht="18" customHeight="1">
      <c r="A101" s="48">
        <v>100</v>
      </c>
      <c r="B101" s="44" t="s">
        <v>1004</v>
      </c>
      <c r="C101" s="53">
        <v>2</v>
      </c>
      <c r="D101" s="53"/>
      <c r="E101" s="20" t="s">
        <v>216</v>
      </c>
      <c r="F101" s="20" t="s">
        <v>24</v>
      </c>
      <c r="G101" s="20" t="s">
        <v>1096</v>
      </c>
      <c r="I101" s="21"/>
    </row>
    <row r="102" spans="1:9" ht="18" customHeight="1">
      <c r="A102" s="48">
        <v>101</v>
      </c>
      <c r="B102" s="44" t="s">
        <v>1004</v>
      </c>
      <c r="C102" s="53">
        <v>3</v>
      </c>
      <c r="D102" s="53"/>
      <c r="E102" s="20" t="s">
        <v>217</v>
      </c>
      <c r="F102" s="20" t="s">
        <v>25</v>
      </c>
      <c r="G102" s="20" t="s">
        <v>1097</v>
      </c>
      <c r="I102" s="21"/>
    </row>
    <row r="103" spans="1:9" ht="18" customHeight="1">
      <c r="A103" s="48">
        <v>102</v>
      </c>
      <c r="B103" s="44" t="s">
        <v>1004</v>
      </c>
      <c r="C103" s="53">
        <v>4</v>
      </c>
      <c r="D103" s="53"/>
      <c r="E103" s="20" t="s">
        <v>218</v>
      </c>
      <c r="F103" s="20" t="s">
        <v>26</v>
      </c>
      <c r="G103" s="20" t="s">
        <v>1098</v>
      </c>
      <c r="I103" s="21"/>
    </row>
    <row r="104" spans="1:9" ht="18" customHeight="1">
      <c r="A104" s="48">
        <v>103</v>
      </c>
      <c r="B104" s="44" t="s">
        <v>774</v>
      </c>
      <c r="C104" s="53">
        <v>2</v>
      </c>
      <c r="D104" s="53"/>
      <c r="E104" s="20" t="s">
        <v>216</v>
      </c>
      <c r="F104" s="20" t="s">
        <v>58</v>
      </c>
      <c r="G104" s="20" t="s">
        <v>1099</v>
      </c>
      <c r="I104" s="21"/>
    </row>
    <row r="105" spans="1:9" ht="18" customHeight="1">
      <c r="A105" s="48">
        <v>104</v>
      </c>
      <c r="B105" s="44" t="s">
        <v>774</v>
      </c>
      <c r="C105" s="53">
        <v>3</v>
      </c>
      <c r="D105" s="53"/>
      <c r="E105" s="20" t="s">
        <v>217</v>
      </c>
      <c r="F105" s="20" t="s">
        <v>59</v>
      </c>
      <c r="G105" s="20" t="s">
        <v>1100</v>
      </c>
      <c r="I105" s="21"/>
    </row>
    <row r="106" spans="1:9" ht="18" customHeight="1">
      <c r="A106" s="48">
        <v>105</v>
      </c>
      <c r="B106" s="44" t="s">
        <v>774</v>
      </c>
      <c r="C106" s="53">
        <v>4</v>
      </c>
      <c r="D106" s="53"/>
      <c r="E106" s="20" t="s">
        <v>218</v>
      </c>
      <c r="F106" s="20" t="s">
        <v>60</v>
      </c>
      <c r="G106" s="20" t="s">
        <v>1101</v>
      </c>
      <c r="I106" s="21"/>
    </row>
    <row r="107" spans="1:9" ht="18" customHeight="1">
      <c r="A107" s="48">
        <v>106</v>
      </c>
      <c r="B107" s="44" t="s">
        <v>774</v>
      </c>
      <c r="C107" s="53">
        <v>5</v>
      </c>
      <c r="D107" s="53"/>
      <c r="E107" s="20" t="s">
        <v>219</v>
      </c>
      <c r="F107" s="20" t="s">
        <v>61</v>
      </c>
      <c r="G107" s="20" t="s">
        <v>1102</v>
      </c>
      <c r="I107" s="21"/>
    </row>
    <row r="108" spans="1:9" ht="18" customHeight="1">
      <c r="A108" s="48">
        <v>107</v>
      </c>
      <c r="B108" s="44" t="s">
        <v>774</v>
      </c>
      <c r="C108" s="53">
        <v>5</v>
      </c>
      <c r="D108" s="53"/>
      <c r="E108" s="20" t="s">
        <v>102</v>
      </c>
      <c r="F108" s="20" t="s">
        <v>62</v>
      </c>
      <c r="G108" s="20" t="s">
        <v>1103</v>
      </c>
      <c r="I108" s="21"/>
    </row>
    <row r="109" spans="1:9" ht="18" customHeight="1">
      <c r="A109" s="48">
        <v>108</v>
      </c>
      <c r="B109" s="44" t="s">
        <v>774</v>
      </c>
      <c r="C109" s="53">
        <v>5</v>
      </c>
      <c r="D109" s="53"/>
      <c r="E109" s="20" t="s">
        <v>102</v>
      </c>
      <c r="F109" s="20" t="s">
        <v>63</v>
      </c>
      <c r="G109" s="20" t="s">
        <v>1104</v>
      </c>
      <c r="I109" s="21"/>
    </row>
    <row r="110" spans="1:9" ht="18" customHeight="1">
      <c r="A110" s="48">
        <v>109</v>
      </c>
      <c r="B110" s="44" t="s">
        <v>774</v>
      </c>
      <c r="C110" s="53">
        <v>7</v>
      </c>
      <c r="D110" s="53"/>
      <c r="E110" s="20" t="s">
        <v>102</v>
      </c>
      <c r="F110" s="20" t="s">
        <v>64</v>
      </c>
      <c r="G110" s="20" t="s">
        <v>1105</v>
      </c>
      <c r="I110" s="21"/>
    </row>
    <row r="111" spans="1:9" ht="18" customHeight="1">
      <c r="A111" s="48">
        <v>110</v>
      </c>
      <c r="B111" s="44" t="s">
        <v>774</v>
      </c>
      <c r="C111" s="53">
        <v>1</v>
      </c>
      <c r="D111" s="53"/>
      <c r="E111" s="20" t="s">
        <v>221</v>
      </c>
      <c r="F111" s="20" t="s">
        <v>65</v>
      </c>
      <c r="G111" s="20" t="s">
        <v>1106</v>
      </c>
      <c r="I111" s="21"/>
    </row>
    <row r="112" spans="1:9" ht="18" customHeight="1">
      <c r="A112" s="48">
        <v>111</v>
      </c>
      <c r="B112" s="44" t="s">
        <v>774</v>
      </c>
      <c r="C112" s="53">
        <v>6</v>
      </c>
      <c r="D112" s="53"/>
      <c r="E112" s="20" t="s">
        <v>221</v>
      </c>
      <c r="F112" s="20" t="s">
        <v>66</v>
      </c>
      <c r="G112" s="20" t="s">
        <v>1107</v>
      </c>
      <c r="I112" s="21"/>
    </row>
    <row r="113" spans="1:9" ht="18" customHeight="1">
      <c r="A113" s="48">
        <v>112</v>
      </c>
      <c r="B113" s="44" t="s">
        <v>774</v>
      </c>
      <c r="C113" s="53">
        <v>1</v>
      </c>
      <c r="D113" s="53"/>
      <c r="E113" s="20" t="s">
        <v>221</v>
      </c>
      <c r="F113" s="20" t="s">
        <v>67</v>
      </c>
      <c r="G113" s="20" t="s">
        <v>1108</v>
      </c>
      <c r="I113" s="21"/>
    </row>
    <row r="114" spans="1:9" ht="18" customHeight="1">
      <c r="A114" s="48">
        <v>113</v>
      </c>
      <c r="B114" s="44" t="s">
        <v>774</v>
      </c>
      <c r="C114" s="53">
        <v>1</v>
      </c>
      <c r="D114" s="53"/>
      <c r="E114" s="20" t="s">
        <v>221</v>
      </c>
      <c r="F114" s="20" t="s">
        <v>68</v>
      </c>
      <c r="G114" s="20" t="s">
        <v>1109</v>
      </c>
      <c r="I114" s="21"/>
    </row>
    <row r="115" spans="1:9" ht="18" customHeight="1">
      <c r="A115" s="48">
        <v>114</v>
      </c>
      <c r="B115" s="44" t="s">
        <v>774</v>
      </c>
      <c r="C115" s="53">
        <v>2</v>
      </c>
      <c r="D115" s="53"/>
      <c r="E115" s="20" t="s">
        <v>216</v>
      </c>
      <c r="F115" s="20" t="s">
        <v>323</v>
      </c>
      <c r="G115" s="20" t="s">
        <v>1110</v>
      </c>
      <c r="I115" s="21"/>
    </row>
    <row r="116" spans="1:9" ht="18" customHeight="1">
      <c r="A116" s="48">
        <v>115</v>
      </c>
      <c r="B116" s="44" t="s">
        <v>774</v>
      </c>
      <c r="C116" s="53">
        <v>3</v>
      </c>
      <c r="D116" s="53"/>
      <c r="E116" s="20" t="s">
        <v>217</v>
      </c>
      <c r="F116" s="20" t="s">
        <v>324</v>
      </c>
      <c r="G116" s="20" t="s">
        <v>1111</v>
      </c>
      <c r="I116" s="21"/>
    </row>
    <row r="117" spans="1:9" ht="18" customHeight="1">
      <c r="A117" s="48">
        <v>116</v>
      </c>
      <c r="B117" s="44" t="s">
        <v>774</v>
      </c>
      <c r="C117" s="53">
        <v>4</v>
      </c>
      <c r="D117" s="53"/>
      <c r="E117" s="20" t="s">
        <v>218</v>
      </c>
      <c r="F117" s="20" t="s">
        <v>325</v>
      </c>
      <c r="G117" s="20" t="s">
        <v>1112</v>
      </c>
      <c r="I117" s="21"/>
    </row>
    <row r="118" spans="1:9" ht="18" customHeight="1">
      <c r="A118" s="48">
        <v>117</v>
      </c>
      <c r="B118" s="44" t="s">
        <v>774</v>
      </c>
      <c r="C118" s="53">
        <v>5</v>
      </c>
      <c r="D118" s="53"/>
      <c r="E118" s="20" t="s">
        <v>219</v>
      </c>
      <c r="F118" s="20" t="s">
        <v>71</v>
      </c>
      <c r="G118" s="20" t="s">
        <v>1113</v>
      </c>
      <c r="I118" s="21"/>
    </row>
    <row r="119" spans="1:9" ht="18" customHeight="1">
      <c r="A119" s="48">
        <v>118</v>
      </c>
      <c r="B119" s="44" t="s">
        <v>774</v>
      </c>
      <c r="C119" s="53">
        <v>6</v>
      </c>
      <c r="D119" s="53"/>
      <c r="E119" s="20" t="s">
        <v>220</v>
      </c>
      <c r="F119" s="20" t="s">
        <v>320</v>
      </c>
      <c r="G119" s="20" t="s">
        <v>1114</v>
      </c>
      <c r="I119" s="21"/>
    </row>
    <row r="120" spans="1:9" ht="18" customHeight="1">
      <c r="A120" s="48">
        <v>119</v>
      </c>
      <c r="B120" s="44" t="s">
        <v>774</v>
      </c>
      <c r="C120" s="53">
        <v>1</v>
      </c>
      <c r="D120" s="53"/>
      <c r="E120" s="20" t="s">
        <v>103</v>
      </c>
      <c r="F120" s="20" t="s">
        <v>72</v>
      </c>
      <c r="G120" s="20" t="s">
        <v>1115</v>
      </c>
      <c r="I120" s="21"/>
    </row>
    <row r="121" spans="1:9" ht="18" customHeight="1">
      <c r="A121" s="48">
        <v>120</v>
      </c>
      <c r="B121" s="44" t="s">
        <v>774</v>
      </c>
      <c r="C121" s="53">
        <v>1</v>
      </c>
      <c r="D121" s="53"/>
      <c r="E121" s="20" t="s">
        <v>103</v>
      </c>
      <c r="F121" s="20" t="s">
        <v>73</v>
      </c>
      <c r="G121" s="20" t="s">
        <v>1116</v>
      </c>
      <c r="I121" s="21"/>
    </row>
    <row r="122" spans="1:9" ht="18" customHeight="1">
      <c r="A122" s="48">
        <v>121</v>
      </c>
      <c r="B122" s="44" t="s">
        <v>774</v>
      </c>
      <c r="C122" s="53">
        <v>1</v>
      </c>
      <c r="D122" s="53"/>
      <c r="E122" s="20" t="s">
        <v>103</v>
      </c>
      <c r="F122" s="20" t="s">
        <v>312</v>
      </c>
      <c r="G122" s="20" t="s">
        <v>1117</v>
      </c>
      <c r="I122" s="21"/>
    </row>
    <row r="123" spans="1:9" ht="18" customHeight="1">
      <c r="A123" s="48">
        <v>122</v>
      </c>
      <c r="B123" s="44" t="s">
        <v>774</v>
      </c>
      <c r="C123" s="53">
        <v>1</v>
      </c>
      <c r="D123" s="53"/>
      <c r="E123" s="20" t="s">
        <v>103</v>
      </c>
      <c r="F123" s="20" t="s">
        <v>319</v>
      </c>
      <c r="G123" s="20" t="s">
        <v>1118</v>
      </c>
      <c r="I123" s="21"/>
    </row>
    <row r="124" spans="1:9" ht="18" customHeight="1">
      <c r="A124" s="48">
        <v>123</v>
      </c>
      <c r="B124" s="44" t="s">
        <v>774</v>
      </c>
      <c r="C124" s="53">
        <v>6</v>
      </c>
      <c r="D124" s="53"/>
      <c r="E124" s="20" t="s">
        <v>103</v>
      </c>
      <c r="F124" s="20" t="s">
        <v>313</v>
      </c>
      <c r="G124" s="20" t="s">
        <v>1119</v>
      </c>
      <c r="I124" s="21"/>
    </row>
    <row r="125" spans="1:9" ht="18" customHeight="1">
      <c r="A125" s="48">
        <v>124</v>
      </c>
      <c r="B125" s="44" t="s">
        <v>774</v>
      </c>
      <c r="C125" s="53">
        <v>6</v>
      </c>
      <c r="D125" s="53"/>
      <c r="E125" s="20" t="s">
        <v>103</v>
      </c>
      <c r="F125" s="20" t="s">
        <v>318</v>
      </c>
      <c r="G125" s="20" t="s">
        <v>1120</v>
      </c>
      <c r="I125" s="21"/>
    </row>
    <row r="126" spans="1:9" ht="18" customHeight="1">
      <c r="A126" s="48">
        <v>125</v>
      </c>
      <c r="B126" s="44" t="s">
        <v>774</v>
      </c>
      <c r="C126" s="53">
        <v>6</v>
      </c>
      <c r="D126" s="53"/>
      <c r="E126" s="20" t="s">
        <v>103</v>
      </c>
      <c r="F126" s="20" t="s">
        <v>74</v>
      </c>
      <c r="G126" s="20" t="s">
        <v>1121</v>
      </c>
      <c r="I126" s="21"/>
    </row>
    <row r="127" spans="1:9" ht="18" customHeight="1">
      <c r="A127" s="48">
        <v>126</v>
      </c>
      <c r="B127" s="44" t="s">
        <v>774</v>
      </c>
      <c r="C127" s="53">
        <v>6</v>
      </c>
      <c r="D127" s="53"/>
      <c r="E127" s="20" t="s">
        <v>103</v>
      </c>
      <c r="F127" s="20" t="s">
        <v>75</v>
      </c>
      <c r="G127" s="20" t="s">
        <v>1122</v>
      </c>
      <c r="I127" s="21"/>
    </row>
    <row r="128" spans="1:9" ht="18" customHeight="1">
      <c r="A128" s="48">
        <v>127</v>
      </c>
      <c r="B128" s="44" t="s">
        <v>774</v>
      </c>
      <c r="C128" s="53">
        <v>6</v>
      </c>
      <c r="D128" s="53"/>
      <c r="E128" s="20" t="s">
        <v>103</v>
      </c>
      <c r="F128" s="20" t="s">
        <v>314</v>
      </c>
      <c r="G128" s="20" t="s">
        <v>1123</v>
      </c>
      <c r="I128" s="21"/>
    </row>
    <row r="129" spans="1:9" ht="18" customHeight="1">
      <c r="A129" s="48">
        <v>128</v>
      </c>
      <c r="B129" s="44" t="s">
        <v>774</v>
      </c>
      <c r="C129" s="53">
        <v>6</v>
      </c>
      <c r="D129" s="53"/>
      <c r="E129" s="20" t="s">
        <v>103</v>
      </c>
      <c r="F129" s="20" t="s">
        <v>317</v>
      </c>
      <c r="G129" s="20" t="s">
        <v>1124</v>
      </c>
      <c r="I129" s="21"/>
    </row>
    <row r="130" spans="1:9" ht="18" customHeight="1">
      <c r="A130" s="48">
        <v>129</v>
      </c>
      <c r="B130" s="44" t="s">
        <v>774</v>
      </c>
      <c r="C130" s="53">
        <v>6</v>
      </c>
      <c r="D130" s="53"/>
      <c r="E130" s="20" t="s">
        <v>103</v>
      </c>
      <c r="F130" s="20" t="s">
        <v>315</v>
      </c>
      <c r="G130" s="20" t="s">
        <v>1125</v>
      </c>
      <c r="I130" s="21"/>
    </row>
    <row r="131" spans="1:9" ht="18" customHeight="1">
      <c r="A131" s="48">
        <v>130</v>
      </c>
      <c r="B131" s="44" t="s">
        <v>774</v>
      </c>
      <c r="C131" s="53">
        <v>6</v>
      </c>
      <c r="D131" s="53"/>
      <c r="E131" s="20" t="s">
        <v>103</v>
      </c>
      <c r="F131" s="20" t="s">
        <v>316</v>
      </c>
      <c r="G131" s="20" t="s">
        <v>1126</v>
      </c>
      <c r="I131" s="21"/>
    </row>
    <row r="132" spans="1:9" ht="18" customHeight="1">
      <c r="A132" s="48">
        <v>131</v>
      </c>
      <c r="B132" s="44" t="s">
        <v>774</v>
      </c>
      <c r="C132" s="53">
        <v>1</v>
      </c>
      <c r="D132" s="53"/>
      <c r="E132" s="20" t="s">
        <v>103</v>
      </c>
      <c r="F132" s="20" t="s">
        <v>751</v>
      </c>
      <c r="G132" s="20" t="s">
        <v>1127</v>
      </c>
      <c r="I132" s="21"/>
    </row>
    <row r="133" spans="1:9" ht="18" customHeight="1">
      <c r="A133" s="48">
        <v>132</v>
      </c>
      <c r="B133" s="44" t="s">
        <v>770</v>
      </c>
      <c r="C133" s="53">
        <v>2</v>
      </c>
      <c r="D133" s="53"/>
      <c r="E133" s="20" t="s">
        <v>216</v>
      </c>
      <c r="F133" s="20" t="s">
        <v>76</v>
      </c>
      <c r="G133" s="20" t="s">
        <v>1128</v>
      </c>
      <c r="I133" s="21"/>
    </row>
    <row r="134" spans="1:9" ht="18" customHeight="1">
      <c r="A134" s="48">
        <v>133</v>
      </c>
      <c r="B134" s="44" t="s">
        <v>770</v>
      </c>
      <c r="C134" s="53">
        <v>3</v>
      </c>
      <c r="D134" s="53"/>
      <c r="E134" s="20" t="s">
        <v>217</v>
      </c>
      <c r="F134" s="20" t="s">
        <v>77</v>
      </c>
      <c r="G134" s="20" t="s">
        <v>1129</v>
      </c>
      <c r="I134" s="21"/>
    </row>
    <row r="135" spans="1:9" ht="18" customHeight="1">
      <c r="A135" s="48">
        <v>134</v>
      </c>
      <c r="B135" s="44" t="s">
        <v>770</v>
      </c>
      <c r="C135" s="53">
        <v>4</v>
      </c>
      <c r="D135" s="53"/>
      <c r="E135" s="20" t="s">
        <v>218</v>
      </c>
      <c r="F135" s="20" t="s">
        <v>78</v>
      </c>
      <c r="G135" s="20" t="s">
        <v>1130</v>
      </c>
      <c r="I135" s="21"/>
    </row>
    <row r="136" spans="1:9" ht="18" customHeight="1">
      <c r="A136" s="48">
        <v>135</v>
      </c>
      <c r="B136" s="44" t="s">
        <v>770</v>
      </c>
      <c r="C136" s="53">
        <v>5</v>
      </c>
      <c r="D136" s="53"/>
      <c r="E136" s="20" t="s">
        <v>219</v>
      </c>
      <c r="F136" s="20" t="s">
        <v>79</v>
      </c>
      <c r="G136" s="20" t="s">
        <v>1131</v>
      </c>
      <c r="I136" s="21"/>
    </row>
    <row r="137" spans="1:9" ht="18" customHeight="1">
      <c r="A137" s="48">
        <v>136</v>
      </c>
      <c r="B137" s="44" t="s">
        <v>770</v>
      </c>
      <c r="C137" s="53">
        <v>6</v>
      </c>
      <c r="D137" s="53"/>
      <c r="E137" s="20" t="s">
        <v>220</v>
      </c>
      <c r="F137" s="20" t="s">
        <v>80</v>
      </c>
      <c r="G137" s="20" t="s">
        <v>1132</v>
      </c>
      <c r="I137" s="21"/>
    </row>
    <row r="138" spans="1:9" ht="18" customHeight="1">
      <c r="A138" s="48">
        <v>137</v>
      </c>
      <c r="B138" s="44" t="s">
        <v>770</v>
      </c>
      <c r="C138" s="53">
        <v>1</v>
      </c>
      <c r="D138" s="53"/>
      <c r="E138" s="20" t="s">
        <v>103</v>
      </c>
      <c r="F138" s="20" t="s">
        <v>81</v>
      </c>
      <c r="G138" s="20" t="s">
        <v>1133</v>
      </c>
      <c r="I138" s="21"/>
    </row>
    <row r="139" spans="1:9" ht="18" customHeight="1">
      <c r="A139" s="48">
        <v>138</v>
      </c>
      <c r="B139" s="44" t="s">
        <v>770</v>
      </c>
      <c r="C139" s="53">
        <v>1</v>
      </c>
      <c r="D139" s="53"/>
      <c r="E139" s="20" t="s">
        <v>103</v>
      </c>
      <c r="F139" s="20" t="s">
        <v>82</v>
      </c>
      <c r="G139" s="20" t="s">
        <v>1134</v>
      </c>
      <c r="I139" s="21"/>
    </row>
    <row r="140" spans="1:9" ht="18" customHeight="1">
      <c r="A140" s="48">
        <v>139</v>
      </c>
      <c r="B140" s="44" t="s">
        <v>833</v>
      </c>
      <c r="C140" s="53">
        <v>2</v>
      </c>
      <c r="D140" s="53"/>
      <c r="E140" s="20" t="s">
        <v>216</v>
      </c>
      <c r="F140" s="20" t="s">
        <v>86</v>
      </c>
      <c r="G140" s="20" t="s">
        <v>1135</v>
      </c>
      <c r="I140" s="21"/>
    </row>
    <row r="141" spans="1:9" ht="18" customHeight="1">
      <c r="A141" s="48">
        <v>140</v>
      </c>
      <c r="B141" s="44" t="s">
        <v>833</v>
      </c>
      <c r="C141" s="53">
        <v>3</v>
      </c>
      <c r="D141" s="53"/>
      <c r="E141" s="20" t="s">
        <v>217</v>
      </c>
      <c r="F141" s="20" t="s">
        <v>69</v>
      </c>
      <c r="G141" s="20" t="s">
        <v>1136</v>
      </c>
      <c r="I141" s="21"/>
    </row>
    <row r="142" spans="1:9" ht="18" customHeight="1">
      <c r="A142" s="48">
        <v>141</v>
      </c>
      <c r="B142" s="44" t="s">
        <v>833</v>
      </c>
      <c r="C142" s="53">
        <v>4</v>
      </c>
      <c r="D142" s="53"/>
      <c r="E142" s="20" t="s">
        <v>218</v>
      </c>
      <c r="F142" s="20" t="s">
        <v>70</v>
      </c>
      <c r="G142" s="20" t="s">
        <v>1137</v>
      </c>
      <c r="I142" s="21"/>
    </row>
    <row r="143" spans="1:9" ht="18" customHeight="1">
      <c r="A143" s="48">
        <v>142</v>
      </c>
      <c r="B143" s="44" t="s">
        <v>833</v>
      </c>
      <c r="C143" s="53">
        <v>5</v>
      </c>
      <c r="D143" s="53"/>
      <c r="E143" s="20" t="s">
        <v>219</v>
      </c>
      <c r="F143" s="20" t="s">
        <v>87</v>
      </c>
      <c r="G143" s="20" t="s">
        <v>1138</v>
      </c>
      <c r="I143" s="21"/>
    </row>
    <row r="144" spans="1:9" ht="18" customHeight="1">
      <c r="A144" s="48">
        <v>143</v>
      </c>
      <c r="B144" s="44" t="s">
        <v>833</v>
      </c>
      <c r="C144" s="53">
        <v>2</v>
      </c>
      <c r="D144" s="53"/>
      <c r="E144" s="20" t="s">
        <v>216</v>
      </c>
      <c r="F144" s="20" t="s">
        <v>88</v>
      </c>
      <c r="G144" s="20" t="s">
        <v>1139</v>
      </c>
      <c r="I144" s="21"/>
    </row>
    <row r="145" spans="1:9" ht="18" customHeight="1">
      <c r="A145" s="48">
        <v>144</v>
      </c>
      <c r="B145" s="44" t="s">
        <v>833</v>
      </c>
      <c r="C145" s="53">
        <v>3</v>
      </c>
      <c r="D145" s="53"/>
      <c r="E145" s="20" t="s">
        <v>217</v>
      </c>
      <c r="F145" s="20" t="s">
        <v>89</v>
      </c>
      <c r="G145" s="20" t="s">
        <v>1140</v>
      </c>
      <c r="I145" s="21"/>
    </row>
    <row r="146" spans="1:9" ht="18" customHeight="1">
      <c r="A146" s="48">
        <v>145</v>
      </c>
      <c r="B146" s="44" t="s">
        <v>833</v>
      </c>
      <c r="C146" s="53">
        <v>4</v>
      </c>
      <c r="D146" s="53"/>
      <c r="E146" s="20" t="s">
        <v>218</v>
      </c>
      <c r="F146" s="20" t="s">
        <v>90</v>
      </c>
      <c r="G146" s="20" t="s">
        <v>1141</v>
      </c>
      <c r="I146" s="21"/>
    </row>
    <row r="147" spans="1:9" ht="18" customHeight="1">
      <c r="A147" s="48">
        <v>146</v>
      </c>
      <c r="B147" s="44" t="s">
        <v>833</v>
      </c>
      <c r="C147" s="53">
        <v>5</v>
      </c>
      <c r="D147" s="53"/>
      <c r="E147" s="20" t="s">
        <v>219</v>
      </c>
      <c r="F147" s="20" t="s">
        <v>91</v>
      </c>
      <c r="G147" s="20" t="s">
        <v>1142</v>
      </c>
      <c r="I147" s="21"/>
    </row>
    <row r="148" spans="1:9" ht="18" customHeight="1">
      <c r="A148" s="48">
        <v>147</v>
      </c>
      <c r="B148" s="44" t="s">
        <v>833</v>
      </c>
      <c r="C148" s="53">
        <v>2</v>
      </c>
      <c r="D148" s="53"/>
      <c r="E148" s="20" t="s">
        <v>216</v>
      </c>
      <c r="F148" s="20" t="s">
        <v>92</v>
      </c>
      <c r="G148" s="20" t="s">
        <v>1143</v>
      </c>
      <c r="I148" s="21"/>
    </row>
    <row r="149" spans="1:9" ht="18" customHeight="1">
      <c r="A149" s="48">
        <v>148</v>
      </c>
      <c r="B149" s="44" t="s">
        <v>833</v>
      </c>
      <c r="C149" s="53">
        <v>3</v>
      </c>
      <c r="D149" s="53"/>
      <c r="E149" s="20" t="s">
        <v>217</v>
      </c>
      <c r="F149" s="20" t="s">
        <v>93</v>
      </c>
      <c r="G149" s="20" t="s">
        <v>1144</v>
      </c>
      <c r="I149" s="21"/>
    </row>
    <row r="150" spans="1:9" ht="18" customHeight="1">
      <c r="A150" s="48">
        <v>149</v>
      </c>
      <c r="B150" s="44" t="s">
        <v>833</v>
      </c>
      <c r="C150" s="53">
        <v>4</v>
      </c>
      <c r="D150" s="53"/>
      <c r="E150" s="20" t="s">
        <v>218</v>
      </c>
      <c r="F150" s="20" t="s">
        <v>94</v>
      </c>
      <c r="G150" s="20" t="s">
        <v>1145</v>
      </c>
      <c r="I150" s="21"/>
    </row>
    <row r="151" spans="1:9" ht="18" customHeight="1">
      <c r="A151" s="48">
        <v>150</v>
      </c>
      <c r="B151" s="44" t="s">
        <v>833</v>
      </c>
      <c r="C151" s="53">
        <v>6</v>
      </c>
      <c r="D151" s="53"/>
      <c r="E151" s="20" t="s">
        <v>220</v>
      </c>
      <c r="F151" s="20" t="s">
        <v>95</v>
      </c>
      <c r="G151" s="20" t="s">
        <v>1146</v>
      </c>
      <c r="I151" s="21"/>
    </row>
    <row r="152" spans="1:9" ht="18" customHeight="1">
      <c r="A152" s="48">
        <v>151</v>
      </c>
      <c r="B152" s="44" t="s">
        <v>833</v>
      </c>
      <c r="C152" s="53">
        <v>2</v>
      </c>
      <c r="D152" s="53"/>
      <c r="E152" s="20" t="s">
        <v>216</v>
      </c>
      <c r="F152" s="20" t="s">
        <v>96</v>
      </c>
      <c r="G152" s="20" t="s">
        <v>1147</v>
      </c>
      <c r="I152" s="21"/>
    </row>
    <row r="153" spans="1:9" ht="18" customHeight="1">
      <c r="A153" s="48">
        <v>152</v>
      </c>
      <c r="B153" s="44" t="s">
        <v>833</v>
      </c>
      <c r="C153" s="53">
        <v>3</v>
      </c>
      <c r="D153" s="53"/>
      <c r="E153" s="20" t="s">
        <v>217</v>
      </c>
      <c r="F153" s="20" t="s">
        <v>97</v>
      </c>
      <c r="G153" s="20" t="s">
        <v>1148</v>
      </c>
      <c r="I153" s="21"/>
    </row>
    <row r="154" spans="1:9" ht="18" customHeight="1">
      <c r="A154" s="48">
        <v>153</v>
      </c>
      <c r="B154" s="44" t="s">
        <v>833</v>
      </c>
      <c r="C154" s="53">
        <v>4</v>
      </c>
      <c r="D154" s="53"/>
      <c r="E154" s="20" t="s">
        <v>218</v>
      </c>
      <c r="F154" s="20" t="s">
        <v>98</v>
      </c>
      <c r="G154" s="20" t="s">
        <v>1149</v>
      </c>
      <c r="I154" s="21"/>
    </row>
    <row r="155" spans="1:9" ht="18" customHeight="1">
      <c r="A155" s="48">
        <v>154</v>
      </c>
      <c r="B155" s="44" t="s">
        <v>833</v>
      </c>
      <c r="C155" s="53">
        <v>5</v>
      </c>
      <c r="D155" s="53"/>
      <c r="E155" s="20" t="s">
        <v>219</v>
      </c>
      <c r="F155" s="20" t="s">
        <v>99</v>
      </c>
      <c r="G155" s="20" t="s">
        <v>1150</v>
      </c>
      <c r="I155" s="21"/>
    </row>
    <row r="156" spans="1:9" ht="18" customHeight="1">
      <c r="A156" s="48">
        <v>155</v>
      </c>
      <c r="B156" s="44" t="s">
        <v>833</v>
      </c>
      <c r="C156" s="53">
        <v>5</v>
      </c>
      <c r="D156" s="53"/>
      <c r="E156" s="20" t="s">
        <v>219</v>
      </c>
      <c r="F156" s="20" t="s">
        <v>100</v>
      </c>
      <c r="G156" s="20" t="s">
        <v>1151</v>
      </c>
      <c r="I156" s="21"/>
    </row>
    <row r="157" spans="1:9" ht="18" customHeight="1">
      <c r="A157" s="48">
        <v>156</v>
      </c>
      <c r="B157" s="44" t="s">
        <v>833</v>
      </c>
      <c r="C157" s="53">
        <v>6</v>
      </c>
      <c r="D157" s="53"/>
      <c r="E157" s="20" t="s">
        <v>220</v>
      </c>
      <c r="F157" s="20" t="s">
        <v>101</v>
      </c>
      <c r="G157" s="20" t="s">
        <v>1152</v>
      </c>
      <c r="I157" s="21"/>
    </row>
    <row r="158" spans="1:9" ht="18" customHeight="1">
      <c r="A158" s="48">
        <v>157</v>
      </c>
      <c r="B158" s="44" t="s">
        <v>833</v>
      </c>
      <c r="C158" s="53">
        <v>2</v>
      </c>
      <c r="D158" s="53"/>
      <c r="E158" s="20" t="s">
        <v>216</v>
      </c>
      <c r="F158" s="20" t="s">
        <v>102</v>
      </c>
      <c r="G158" s="20" t="s">
        <v>1153</v>
      </c>
      <c r="I158" s="21"/>
    </row>
    <row r="159" spans="1:9" ht="18" customHeight="1">
      <c r="A159" s="48">
        <v>158</v>
      </c>
      <c r="B159" s="44" t="s">
        <v>833</v>
      </c>
      <c r="C159" s="53">
        <v>3</v>
      </c>
      <c r="D159" s="53"/>
      <c r="E159" s="20" t="s">
        <v>217</v>
      </c>
      <c r="F159" s="20" t="s">
        <v>103</v>
      </c>
      <c r="G159" s="20" t="s">
        <v>1154</v>
      </c>
      <c r="I159" s="21"/>
    </row>
    <row r="160" spans="1:9" ht="18" customHeight="1">
      <c r="A160" s="48">
        <v>159</v>
      </c>
      <c r="B160" s="44" t="s">
        <v>833</v>
      </c>
      <c r="C160" s="53">
        <v>4</v>
      </c>
      <c r="D160" s="53"/>
      <c r="E160" s="20" t="s">
        <v>218</v>
      </c>
      <c r="F160" s="20" t="s">
        <v>104</v>
      </c>
      <c r="G160" s="20" t="s">
        <v>1155</v>
      </c>
      <c r="I160" s="21"/>
    </row>
    <row r="161" spans="1:9" ht="18" customHeight="1">
      <c r="A161" s="48">
        <v>160</v>
      </c>
      <c r="B161" s="44" t="s">
        <v>833</v>
      </c>
      <c r="C161" s="53">
        <v>5</v>
      </c>
      <c r="D161" s="53"/>
      <c r="E161" s="20" t="s">
        <v>219</v>
      </c>
      <c r="F161" s="20" t="s">
        <v>105</v>
      </c>
      <c r="G161" s="20" t="s">
        <v>1156</v>
      </c>
      <c r="I161" s="21"/>
    </row>
    <row r="162" spans="1:9" ht="18" customHeight="1">
      <c r="A162" s="48">
        <v>161</v>
      </c>
      <c r="B162" s="44" t="s">
        <v>833</v>
      </c>
      <c r="C162" s="53">
        <v>6</v>
      </c>
      <c r="D162" s="53"/>
      <c r="E162" s="20" t="s">
        <v>220</v>
      </c>
      <c r="F162" s="20" t="s">
        <v>106</v>
      </c>
      <c r="G162" s="20" t="s">
        <v>1157</v>
      </c>
      <c r="I162" s="21"/>
    </row>
    <row r="163" spans="1:9" ht="18" customHeight="1">
      <c r="A163" s="48">
        <v>162</v>
      </c>
      <c r="B163" s="44" t="s">
        <v>833</v>
      </c>
      <c r="C163" s="53">
        <v>2</v>
      </c>
      <c r="D163" s="53"/>
      <c r="E163" s="20" t="s">
        <v>216</v>
      </c>
      <c r="F163" s="20" t="s">
        <v>107</v>
      </c>
      <c r="G163" s="20" t="s">
        <v>1158</v>
      </c>
      <c r="I163" s="21"/>
    </row>
    <row r="164" spans="1:9" ht="18" customHeight="1">
      <c r="A164" s="48">
        <v>163</v>
      </c>
      <c r="B164" s="44" t="s">
        <v>833</v>
      </c>
      <c r="C164" s="53">
        <v>3</v>
      </c>
      <c r="D164" s="53"/>
      <c r="E164" s="20" t="s">
        <v>217</v>
      </c>
      <c r="F164" s="20" t="s">
        <v>108</v>
      </c>
      <c r="G164" s="20" t="s">
        <v>1159</v>
      </c>
      <c r="I164" s="21"/>
    </row>
    <row r="165" spans="1:9" ht="18" customHeight="1">
      <c r="A165" s="48">
        <v>164</v>
      </c>
      <c r="B165" s="44" t="s">
        <v>833</v>
      </c>
      <c r="C165" s="53">
        <v>4</v>
      </c>
      <c r="D165" s="53"/>
      <c r="E165" s="20" t="s">
        <v>218</v>
      </c>
      <c r="F165" s="20" t="s">
        <v>109</v>
      </c>
      <c r="G165" s="20" t="s">
        <v>1160</v>
      </c>
      <c r="I165" s="21"/>
    </row>
    <row r="166" spans="1:9" ht="18" customHeight="1">
      <c r="A166" s="48">
        <v>165</v>
      </c>
      <c r="B166" s="44" t="s">
        <v>833</v>
      </c>
      <c r="C166" s="53">
        <v>5</v>
      </c>
      <c r="D166" s="53"/>
      <c r="E166" s="20" t="s">
        <v>219</v>
      </c>
      <c r="F166" s="20" t="s">
        <v>110</v>
      </c>
      <c r="G166" s="20" t="s">
        <v>1161</v>
      </c>
      <c r="I166" s="21"/>
    </row>
    <row r="167" spans="1:9" ht="18" customHeight="1">
      <c r="A167" s="48">
        <v>166</v>
      </c>
      <c r="B167" s="44" t="s">
        <v>833</v>
      </c>
      <c r="C167" s="53">
        <v>6</v>
      </c>
      <c r="D167" s="53"/>
      <c r="E167" s="20" t="s">
        <v>220</v>
      </c>
      <c r="F167" s="20" t="s">
        <v>111</v>
      </c>
      <c r="G167" s="20" t="s">
        <v>1162</v>
      </c>
      <c r="I167" s="21"/>
    </row>
    <row r="168" spans="1:9" ht="18" customHeight="1">
      <c r="A168" s="48">
        <v>167</v>
      </c>
      <c r="B168" s="44" t="s">
        <v>833</v>
      </c>
      <c r="C168" s="53">
        <v>2</v>
      </c>
      <c r="D168" s="53"/>
      <c r="E168" s="20" t="s">
        <v>216</v>
      </c>
      <c r="F168" s="20" t="s">
        <v>112</v>
      </c>
      <c r="G168" s="20" t="s">
        <v>1163</v>
      </c>
      <c r="I168" s="21"/>
    </row>
    <row r="169" spans="1:9" ht="18" customHeight="1">
      <c r="A169" s="48">
        <v>168</v>
      </c>
      <c r="B169" s="44" t="s">
        <v>833</v>
      </c>
      <c r="C169" s="53">
        <v>3</v>
      </c>
      <c r="D169" s="53"/>
      <c r="E169" s="20" t="s">
        <v>217</v>
      </c>
      <c r="F169" s="20" t="s">
        <v>113</v>
      </c>
      <c r="G169" s="20" t="s">
        <v>1164</v>
      </c>
      <c r="I169" s="21"/>
    </row>
    <row r="170" spans="1:9" ht="18" customHeight="1">
      <c r="A170" s="48">
        <v>169</v>
      </c>
      <c r="B170" s="44" t="s">
        <v>833</v>
      </c>
      <c r="C170" s="53">
        <v>4</v>
      </c>
      <c r="D170" s="53"/>
      <c r="E170" s="20" t="s">
        <v>218</v>
      </c>
      <c r="F170" s="20" t="s">
        <v>114</v>
      </c>
      <c r="G170" s="20" t="s">
        <v>1165</v>
      </c>
      <c r="I170" s="21"/>
    </row>
    <row r="171" spans="1:9" ht="18" customHeight="1">
      <c r="A171" s="48">
        <v>170</v>
      </c>
      <c r="B171" s="44" t="s">
        <v>833</v>
      </c>
      <c r="C171" s="53">
        <v>2</v>
      </c>
      <c r="D171" s="53"/>
      <c r="E171" s="20" t="s">
        <v>216</v>
      </c>
      <c r="F171" s="20" t="s">
        <v>115</v>
      </c>
      <c r="G171" s="20" t="s">
        <v>1166</v>
      </c>
      <c r="I171" s="21"/>
    </row>
    <row r="172" spans="1:9" ht="18" customHeight="1">
      <c r="A172" s="48">
        <v>171</v>
      </c>
      <c r="B172" s="44" t="s">
        <v>833</v>
      </c>
      <c r="C172" s="53">
        <v>3</v>
      </c>
      <c r="D172" s="53"/>
      <c r="E172" s="20" t="s">
        <v>217</v>
      </c>
      <c r="F172" s="20" t="s">
        <v>116</v>
      </c>
      <c r="G172" s="20" t="s">
        <v>1167</v>
      </c>
      <c r="I172" s="21"/>
    </row>
    <row r="173" spans="1:9" ht="18" customHeight="1">
      <c r="A173" s="48">
        <v>172</v>
      </c>
      <c r="B173" s="44" t="s">
        <v>833</v>
      </c>
      <c r="C173" s="53">
        <v>4</v>
      </c>
      <c r="D173" s="53"/>
      <c r="E173" s="20" t="s">
        <v>218</v>
      </c>
      <c r="F173" s="20" t="s">
        <v>117</v>
      </c>
      <c r="G173" s="20" t="s">
        <v>1168</v>
      </c>
      <c r="I173" s="21"/>
    </row>
    <row r="174" spans="1:9" ht="18" customHeight="1">
      <c r="A174" s="48">
        <v>173</v>
      </c>
      <c r="B174" s="44" t="s">
        <v>833</v>
      </c>
      <c r="C174" s="53">
        <v>6</v>
      </c>
      <c r="D174" s="53"/>
      <c r="E174" s="20" t="s">
        <v>220</v>
      </c>
      <c r="F174" s="20" t="s">
        <v>118</v>
      </c>
      <c r="G174" s="20" t="s">
        <v>1169</v>
      </c>
      <c r="I174" s="21"/>
    </row>
    <row r="175" spans="1:9" ht="18" customHeight="1">
      <c r="A175" s="48">
        <v>174</v>
      </c>
      <c r="B175" s="44" t="s">
        <v>1023</v>
      </c>
      <c r="C175" s="53">
        <v>8</v>
      </c>
      <c r="D175" s="53"/>
      <c r="E175" s="20" t="s">
        <v>283</v>
      </c>
      <c r="F175" s="20" t="s">
        <v>309</v>
      </c>
      <c r="G175" s="20" t="s">
        <v>1170</v>
      </c>
      <c r="I175" s="21"/>
    </row>
    <row r="176" spans="1:9" ht="18" customHeight="1">
      <c r="A176" s="48">
        <v>175</v>
      </c>
      <c r="B176" s="44" t="s">
        <v>1023</v>
      </c>
      <c r="C176" s="53">
        <v>8</v>
      </c>
      <c r="D176" s="53"/>
      <c r="E176" s="20" t="s">
        <v>283</v>
      </c>
      <c r="F176" s="20" t="s">
        <v>310</v>
      </c>
      <c r="G176" s="20" t="s">
        <v>1171</v>
      </c>
      <c r="I176" s="21"/>
    </row>
    <row r="177" spans="1:9" ht="18" customHeight="1">
      <c r="A177" s="48">
        <v>176</v>
      </c>
      <c r="B177" s="44" t="s">
        <v>1023</v>
      </c>
      <c r="C177" s="53">
        <v>8</v>
      </c>
      <c r="D177" s="53"/>
      <c r="E177" s="20" t="s">
        <v>283</v>
      </c>
      <c r="F177" s="20" t="s">
        <v>311</v>
      </c>
      <c r="G177" s="20" t="s">
        <v>1172</v>
      </c>
      <c r="I177" s="21"/>
    </row>
    <row r="178" spans="1:9" ht="18" customHeight="1">
      <c r="A178" s="48">
        <v>177</v>
      </c>
      <c r="B178" s="44" t="s">
        <v>758</v>
      </c>
      <c r="C178" s="53">
        <v>2</v>
      </c>
      <c r="D178" s="53"/>
      <c r="E178" s="20" t="s">
        <v>216</v>
      </c>
      <c r="F178" s="20" t="s">
        <v>532</v>
      </c>
      <c r="G178" s="20" t="s">
        <v>1173</v>
      </c>
      <c r="I178" s="21"/>
    </row>
    <row r="179" spans="1:9" ht="18" customHeight="1">
      <c r="A179" s="48">
        <v>178</v>
      </c>
      <c r="B179" s="44" t="s">
        <v>758</v>
      </c>
      <c r="C179" s="53">
        <v>3</v>
      </c>
      <c r="D179" s="53"/>
      <c r="E179" s="20" t="s">
        <v>217</v>
      </c>
      <c r="F179" s="20" t="s">
        <v>561</v>
      </c>
      <c r="G179" s="20" t="s">
        <v>1174</v>
      </c>
      <c r="I179" s="21"/>
    </row>
    <row r="180" spans="1:9" ht="18" customHeight="1">
      <c r="A180" s="48">
        <v>179</v>
      </c>
      <c r="B180" s="44" t="s">
        <v>758</v>
      </c>
      <c r="C180" s="53">
        <v>4</v>
      </c>
      <c r="D180" s="53"/>
      <c r="E180" s="20" t="s">
        <v>218</v>
      </c>
      <c r="F180" s="20" t="s">
        <v>564</v>
      </c>
      <c r="G180" s="20" t="s">
        <v>1175</v>
      </c>
      <c r="I180" s="21"/>
    </row>
    <row r="181" spans="1:9" ht="18" customHeight="1">
      <c r="A181" s="48">
        <v>180</v>
      </c>
      <c r="B181" s="44" t="s">
        <v>758</v>
      </c>
      <c r="C181" s="53">
        <v>6</v>
      </c>
      <c r="D181" s="53"/>
      <c r="E181" s="20" t="s">
        <v>220</v>
      </c>
      <c r="F181" s="20" t="s">
        <v>638</v>
      </c>
      <c r="G181" s="20" t="s">
        <v>1176</v>
      </c>
      <c r="I181" s="21"/>
    </row>
    <row r="182" spans="1:9" ht="18" customHeight="1">
      <c r="A182" s="48">
        <v>181</v>
      </c>
      <c r="B182" s="44" t="s">
        <v>758</v>
      </c>
      <c r="C182" s="53">
        <v>5</v>
      </c>
      <c r="D182" s="53"/>
      <c r="E182" s="20" t="s">
        <v>102</v>
      </c>
      <c r="F182" s="20" t="s">
        <v>299</v>
      </c>
      <c r="G182" s="20" t="s">
        <v>1177</v>
      </c>
      <c r="I182" s="21"/>
    </row>
    <row r="183" spans="1:9" ht="18" customHeight="1">
      <c r="A183" s="48">
        <v>182</v>
      </c>
      <c r="B183" s="44" t="s">
        <v>758</v>
      </c>
      <c r="C183" s="53">
        <v>1</v>
      </c>
      <c r="D183" s="53"/>
      <c r="E183" s="20" t="s">
        <v>221</v>
      </c>
      <c r="F183" s="20" t="s">
        <v>300</v>
      </c>
      <c r="G183" s="20" t="s">
        <v>1178</v>
      </c>
      <c r="I183" s="21"/>
    </row>
    <row r="184" spans="1:9" ht="18" customHeight="1">
      <c r="A184" s="48">
        <v>183</v>
      </c>
      <c r="B184" s="44" t="s">
        <v>852</v>
      </c>
      <c r="C184" s="53">
        <v>1</v>
      </c>
      <c r="D184" s="53"/>
      <c r="E184" s="20" t="s">
        <v>213</v>
      </c>
      <c r="F184" s="20" t="s">
        <v>144</v>
      </c>
      <c r="G184" s="20" t="s">
        <v>1034</v>
      </c>
      <c r="I184" s="21"/>
    </row>
    <row r="185" spans="1:9" ht="18" customHeight="1">
      <c r="A185" s="48">
        <v>184</v>
      </c>
      <c r="B185" s="44" t="s">
        <v>852</v>
      </c>
      <c r="C185" s="53">
        <v>1</v>
      </c>
      <c r="D185" s="53"/>
      <c r="E185" s="20" t="s">
        <v>213</v>
      </c>
      <c r="F185" s="20" t="s">
        <v>145</v>
      </c>
      <c r="G185" s="20" t="s">
        <v>1055</v>
      </c>
      <c r="I185" s="21"/>
    </row>
    <row r="186" spans="1:9" ht="18" customHeight="1">
      <c r="A186" s="48">
        <v>185</v>
      </c>
      <c r="B186" s="44" t="s">
        <v>852</v>
      </c>
      <c r="C186" s="53">
        <v>1</v>
      </c>
      <c r="D186" s="53"/>
      <c r="E186" s="20" t="s">
        <v>213</v>
      </c>
      <c r="F186" s="20" t="s">
        <v>146</v>
      </c>
      <c r="G186" s="20" t="s">
        <v>1057</v>
      </c>
      <c r="I186" s="21"/>
    </row>
    <row r="187" spans="1:9" ht="18" customHeight="1">
      <c r="A187" s="48">
        <v>186</v>
      </c>
      <c r="B187" s="44" t="s">
        <v>852</v>
      </c>
      <c r="C187" s="53">
        <v>1</v>
      </c>
      <c r="D187" s="53"/>
      <c r="E187" s="20" t="s">
        <v>213</v>
      </c>
      <c r="F187" s="20" t="s">
        <v>147</v>
      </c>
      <c r="G187" s="20" t="s">
        <v>142</v>
      </c>
      <c r="I187" s="21"/>
    </row>
    <row r="188" spans="1:9" ht="18" customHeight="1">
      <c r="A188" s="48">
        <v>187</v>
      </c>
      <c r="B188" s="44" t="s">
        <v>852</v>
      </c>
      <c r="C188" s="53">
        <v>1</v>
      </c>
      <c r="D188" s="53"/>
      <c r="E188" s="20" t="s">
        <v>213</v>
      </c>
      <c r="F188" s="20" t="s">
        <v>148</v>
      </c>
      <c r="G188" s="20" t="s">
        <v>143</v>
      </c>
      <c r="I188" s="21"/>
    </row>
    <row r="189" spans="1:9" ht="18" customHeight="1">
      <c r="A189" s="48">
        <v>188</v>
      </c>
      <c r="B189" s="44" t="s">
        <v>852</v>
      </c>
      <c r="C189" s="53">
        <v>1</v>
      </c>
      <c r="D189" s="53"/>
      <c r="E189" s="20" t="s">
        <v>213</v>
      </c>
      <c r="F189" s="20" t="s">
        <v>149</v>
      </c>
      <c r="G189" s="20" t="s">
        <v>137</v>
      </c>
      <c r="I189" s="21"/>
    </row>
    <row r="190" spans="1:9" ht="18" customHeight="1">
      <c r="A190" s="48">
        <v>189</v>
      </c>
      <c r="B190" s="44" t="s">
        <v>852</v>
      </c>
      <c r="C190" s="53">
        <v>1</v>
      </c>
      <c r="D190" s="53"/>
      <c r="E190" s="20" t="s">
        <v>213</v>
      </c>
      <c r="F190" s="20" t="s">
        <v>150</v>
      </c>
      <c r="G190" s="20" t="s">
        <v>140</v>
      </c>
      <c r="I190" s="21"/>
    </row>
    <row r="191" spans="1:9" ht="18" customHeight="1">
      <c r="A191" s="48">
        <v>190</v>
      </c>
      <c r="B191" s="44" t="s">
        <v>852</v>
      </c>
      <c r="C191" s="53">
        <v>1</v>
      </c>
      <c r="D191" s="53"/>
      <c r="E191" s="20" t="s">
        <v>213</v>
      </c>
      <c r="F191" s="20" t="s">
        <v>151</v>
      </c>
      <c r="G191" s="20" t="s">
        <v>141</v>
      </c>
      <c r="I191" s="21"/>
    </row>
    <row r="192" spans="1:9" ht="18" customHeight="1">
      <c r="A192" s="48">
        <v>191</v>
      </c>
      <c r="B192" s="44" t="s">
        <v>852</v>
      </c>
      <c r="C192" s="53">
        <v>1</v>
      </c>
      <c r="D192" s="53"/>
      <c r="E192" s="20" t="s">
        <v>213</v>
      </c>
      <c r="F192" s="20" t="s">
        <v>152</v>
      </c>
      <c r="G192" s="20" t="s">
        <v>1062</v>
      </c>
      <c r="I192" s="21"/>
    </row>
    <row r="193" spans="1:9" ht="18" customHeight="1">
      <c r="A193" s="48">
        <v>192</v>
      </c>
      <c r="B193" s="44" t="s">
        <v>852</v>
      </c>
      <c r="C193" s="53">
        <v>1</v>
      </c>
      <c r="D193" s="53"/>
      <c r="E193" s="20" t="s">
        <v>213</v>
      </c>
      <c r="F193" s="20" t="s">
        <v>153</v>
      </c>
      <c r="G193" s="20" t="s">
        <v>1062</v>
      </c>
      <c r="I193" s="21"/>
    </row>
    <row r="194" spans="1:9" ht="18" customHeight="1">
      <c r="A194" s="48">
        <v>193</v>
      </c>
      <c r="B194" s="44" t="s">
        <v>852</v>
      </c>
      <c r="C194" s="53">
        <v>1</v>
      </c>
      <c r="D194" s="53"/>
      <c r="E194" s="20" t="s">
        <v>213</v>
      </c>
      <c r="F194" s="20" t="s">
        <v>154</v>
      </c>
      <c r="G194" s="20" t="s">
        <v>1063</v>
      </c>
      <c r="I194" s="21"/>
    </row>
    <row r="195" spans="1:9" ht="18" customHeight="1">
      <c r="A195" s="48">
        <v>194</v>
      </c>
      <c r="B195" s="44" t="s">
        <v>852</v>
      </c>
      <c r="C195" s="53">
        <v>1</v>
      </c>
      <c r="D195" s="53"/>
      <c r="E195" s="20" t="s">
        <v>213</v>
      </c>
      <c r="F195" s="20" t="s">
        <v>155</v>
      </c>
      <c r="G195" s="20" t="s">
        <v>1064</v>
      </c>
      <c r="I195" s="21"/>
    </row>
    <row r="196" spans="1:9" ht="18" customHeight="1">
      <c r="A196" s="48">
        <v>195</v>
      </c>
      <c r="B196" s="44" t="s">
        <v>852</v>
      </c>
      <c r="C196" s="53">
        <v>1</v>
      </c>
      <c r="D196" s="53"/>
      <c r="E196" s="20" t="s">
        <v>213</v>
      </c>
      <c r="F196" s="20" t="s">
        <v>156</v>
      </c>
      <c r="G196" s="20" t="s">
        <v>1064</v>
      </c>
      <c r="I196" s="21"/>
    </row>
    <row r="197" spans="1:9" ht="18" customHeight="1">
      <c r="A197" s="48">
        <v>196</v>
      </c>
      <c r="B197" s="44" t="s">
        <v>852</v>
      </c>
      <c r="C197" s="53">
        <v>1</v>
      </c>
      <c r="D197" s="53"/>
      <c r="E197" s="20" t="s">
        <v>213</v>
      </c>
      <c r="F197" s="20" t="s">
        <v>157</v>
      </c>
      <c r="G197" s="20" t="s">
        <v>1065</v>
      </c>
      <c r="I197" s="21"/>
    </row>
    <row r="198" spans="1:9" ht="18" customHeight="1">
      <c r="A198" s="48">
        <v>197</v>
      </c>
      <c r="B198" s="44" t="s">
        <v>852</v>
      </c>
      <c r="C198" s="53">
        <v>1</v>
      </c>
      <c r="D198" s="53"/>
      <c r="E198" s="20" t="s">
        <v>213</v>
      </c>
      <c r="F198" s="20" t="s">
        <v>158</v>
      </c>
      <c r="G198" s="20" t="s">
        <v>1065</v>
      </c>
      <c r="I198" s="21"/>
    </row>
    <row r="199" spans="1:9" ht="18" customHeight="1">
      <c r="A199" s="48">
        <v>198</v>
      </c>
      <c r="B199" s="44" t="s">
        <v>852</v>
      </c>
      <c r="C199" s="53">
        <v>1</v>
      </c>
      <c r="D199" s="53"/>
      <c r="E199" s="20" t="s">
        <v>213</v>
      </c>
      <c r="F199" s="20" t="s">
        <v>159</v>
      </c>
      <c r="G199" s="20" t="s">
        <v>1179</v>
      </c>
      <c r="I199" s="21"/>
    </row>
    <row r="200" spans="1:9" ht="18" customHeight="1">
      <c r="A200" s="48">
        <v>199</v>
      </c>
      <c r="B200" s="44" t="s">
        <v>852</v>
      </c>
      <c r="C200" s="53">
        <v>2</v>
      </c>
      <c r="D200" s="53"/>
      <c r="E200" s="20" t="s">
        <v>213</v>
      </c>
      <c r="F200" s="20" t="s">
        <v>160</v>
      </c>
      <c r="G200" s="20" t="s">
        <v>1180</v>
      </c>
      <c r="I200" s="21"/>
    </row>
    <row r="201" spans="1:9" ht="18" customHeight="1">
      <c r="A201" s="48">
        <v>200</v>
      </c>
      <c r="B201" s="44" t="s">
        <v>852</v>
      </c>
      <c r="C201" s="53">
        <v>2</v>
      </c>
      <c r="D201" s="53"/>
      <c r="E201" s="20" t="s">
        <v>213</v>
      </c>
      <c r="F201" s="20" t="s">
        <v>161</v>
      </c>
      <c r="G201" s="20" t="s">
        <v>1181</v>
      </c>
      <c r="I201" s="21"/>
    </row>
    <row r="202" spans="1:9" ht="18" customHeight="1">
      <c r="A202" s="48">
        <v>201</v>
      </c>
      <c r="B202" s="44" t="s">
        <v>852</v>
      </c>
      <c r="C202" s="53">
        <v>2</v>
      </c>
      <c r="D202" s="53"/>
      <c r="E202" s="20" t="s">
        <v>213</v>
      </c>
      <c r="F202" s="20" t="s">
        <v>162</v>
      </c>
      <c r="G202" s="20" t="s">
        <v>1037</v>
      </c>
      <c r="I202" s="21"/>
    </row>
    <row r="203" spans="1:9" ht="18" customHeight="1">
      <c r="A203" s="48">
        <v>202</v>
      </c>
      <c r="B203" s="44" t="s">
        <v>852</v>
      </c>
      <c r="C203" s="53">
        <v>2</v>
      </c>
      <c r="D203" s="53"/>
      <c r="E203" s="20" t="s">
        <v>213</v>
      </c>
      <c r="F203" s="20" t="s">
        <v>163</v>
      </c>
      <c r="G203" s="20" t="s">
        <v>1030</v>
      </c>
      <c r="I203" s="21"/>
    </row>
    <row r="204" spans="1:9" ht="18" customHeight="1">
      <c r="A204" s="48">
        <v>203</v>
      </c>
      <c r="B204" s="44" t="s">
        <v>852</v>
      </c>
      <c r="C204" s="53">
        <v>4</v>
      </c>
      <c r="D204" s="53"/>
      <c r="E204" s="20" t="s">
        <v>213</v>
      </c>
      <c r="F204" s="20" t="s">
        <v>164</v>
      </c>
      <c r="G204" s="20" t="s">
        <v>1182</v>
      </c>
      <c r="I204" s="21"/>
    </row>
    <row r="205" spans="1:9" ht="18" customHeight="1">
      <c r="A205" s="48">
        <v>204</v>
      </c>
      <c r="B205" s="44" t="s">
        <v>852</v>
      </c>
      <c r="C205" s="53">
        <v>4</v>
      </c>
      <c r="D205" s="53"/>
      <c r="E205" s="20" t="s">
        <v>213</v>
      </c>
      <c r="F205" s="20" t="s">
        <v>165</v>
      </c>
      <c r="G205" s="20" t="s">
        <v>1183</v>
      </c>
      <c r="I205" s="21"/>
    </row>
    <row r="206" spans="1:9" ht="18" customHeight="1">
      <c r="A206" s="48">
        <v>205</v>
      </c>
      <c r="B206" s="44" t="s">
        <v>852</v>
      </c>
      <c r="C206" s="53">
        <v>4</v>
      </c>
      <c r="D206" s="53"/>
      <c r="E206" s="20" t="s">
        <v>213</v>
      </c>
      <c r="F206" s="20" t="s">
        <v>166</v>
      </c>
      <c r="G206" s="20" t="s">
        <v>1028</v>
      </c>
      <c r="I206" s="21"/>
    </row>
    <row r="207" spans="1:9" ht="18" customHeight="1">
      <c r="A207" s="48">
        <v>206</v>
      </c>
      <c r="B207" s="44" t="s">
        <v>852</v>
      </c>
      <c r="C207" s="53">
        <v>4</v>
      </c>
      <c r="D207" s="53"/>
      <c r="E207" s="20" t="s">
        <v>213</v>
      </c>
      <c r="F207" s="20" t="s">
        <v>167</v>
      </c>
      <c r="G207" s="20" t="s">
        <v>1028</v>
      </c>
      <c r="I207" s="21"/>
    </row>
    <row r="208" spans="1:9" ht="18" customHeight="1">
      <c r="A208" s="48">
        <v>207</v>
      </c>
      <c r="B208" s="44" t="s">
        <v>852</v>
      </c>
      <c r="C208" s="53">
        <v>8</v>
      </c>
      <c r="D208" s="53"/>
      <c r="E208" s="20" t="s">
        <v>213</v>
      </c>
      <c r="F208" s="20" t="s">
        <v>168</v>
      </c>
      <c r="G208" s="20" t="s">
        <v>1184</v>
      </c>
      <c r="I208" s="21"/>
    </row>
    <row r="209" spans="1:9" ht="18" customHeight="1">
      <c r="A209" s="48">
        <v>208</v>
      </c>
      <c r="B209" s="44" t="s">
        <v>852</v>
      </c>
      <c r="C209" s="53">
        <v>8</v>
      </c>
      <c r="D209" s="53"/>
      <c r="E209" s="20" t="s">
        <v>213</v>
      </c>
      <c r="F209" s="20" t="s">
        <v>169</v>
      </c>
      <c r="G209" s="20" t="s">
        <v>1185</v>
      </c>
      <c r="I209" s="21"/>
    </row>
    <row r="210" spans="1:9" ht="18" customHeight="1">
      <c r="A210" s="48">
        <v>209</v>
      </c>
      <c r="B210" s="44" t="s">
        <v>852</v>
      </c>
      <c r="C210" s="53">
        <v>7</v>
      </c>
      <c r="D210" s="53"/>
      <c r="E210" s="20" t="s">
        <v>213</v>
      </c>
      <c r="F210" s="20" t="s">
        <v>170</v>
      </c>
      <c r="G210" s="20" t="s">
        <v>1033</v>
      </c>
      <c r="I210" s="21"/>
    </row>
    <row r="211" spans="1:9" ht="18" customHeight="1">
      <c r="A211" s="48">
        <v>210</v>
      </c>
      <c r="B211" s="44" t="s">
        <v>852</v>
      </c>
      <c r="C211" s="53">
        <v>7</v>
      </c>
      <c r="D211" s="53"/>
      <c r="E211" s="20" t="s">
        <v>213</v>
      </c>
      <c r="F211" s="20" t="s">
        <v>171</v>
      </c>
      <c r="G211" s="20" t="s">
        <v>1035</v>
      </c>
      <c r="I211" s="21"/>
    </row>
    <row r="212" spans="1:9" ht="18" customHeight="1">
      <c r="A212" s="48">
        <v>211</v>
      </c>
      <c r="B212" s="44" t="s">
        <v>852</v>
      </c>
      <c r="C212" s="53">
        <v>7</v>
      </c>
      <c r="D212" s="53"/>
      <c r="E212" s="20" t="s">
        <v>213</v>
      </c>
      <c r="F212" s="20" t="s">
        <v>172</v>
      </c>
      <c r="G212" s="20" t="s">
        <v>1054</v>
      </c>
      <c r="I212" s="21"/>
    </row>
    <row r="213" spans="1:9" ht="18" customHeight="1">
      <c r="A213" s="48">
        <v>212</v>
      </c>
      <c r="B213" s="44" t="s">
        <v>852</v>
      </c>
      <c r="C213" s="53">
        <v>7</v>
      </c>
      <c r="D213" s="53"/>
      <c r="E213" s="20" t="s">
        <v>213</v>
      </c>
      <c r="F213" s="20" t="s">
        <v>173</v>
      </c>
      <c r="G213" s="20" t="s">
        <v>1056</v>
      </c>
      <c r="I213" s="21"/>
    </row>
    <row r="214" spans="1:9" ht="18" customHeight="1">
      <c r="A214" s="48">
        <v>213</v>
      </c>
      <c r="B214" s="44" t="s">
        <v>852</v>
      </c>
      <c r="C214" s="53">
        <v>7</v>
      </c>
      <c r="D214" s="53"/>
      <c r="E214" s="20" t="s">
        <v>213</v>
      </c>
      <c r="F214" s="20" t="s">
        <v>174</v>
      </c>
      <c r="G214" s="20" t="s">
        <v>1057</v>
      </c>
      <c r="I214" s="21"/>
    </row>
    <row r="215" spans="1:9" ht="18" customHeight="1">
      <c r="A215" s="48">
        <v>214</v>
      </c>
      <c r="B215" s="44" t="s">
        <v>852</v>
      </c>
      <c r="C215" s="53">
        <v>7</v>
      </c>
      <c r="D215" s="53"/>
      <c r="E215" s="20" t="s">
        <v>213</v>
      </c>
      <c r="F215" s="20" t="s">
        <v>175</v>
      </c>
      <c r="G215" s="20" t="s">
        <v>135</v>
      </c>
      <c r="I215" s="21"/>
    </row>
    <row r="216" spans="1:9" ht="18" customHeight="1">
      <c r="A216" s="48">
        <v>215</v>
      </c>
      <c r="B216" s="44" t="s">
        <v>852</v>
      </c>
      <c r="C216" s="53">
        <v>7</v>
      </c>
      <c r="D216" s="53"/>
      <c r="E216" s="20" t="s">
        <v>213</v>
      </c>
      <c r="F216" s="20" t="s">
        <v>176</v>
      </c>
      <c r="G216" s="20" t="s">
        <v>1061</v>
      </c>
      <c r="I216" s="21"/>
    </row>
    <row r="217" spans="1:9" ht="18" customHeight="1">
      <c r="A217" s="48">
        <v>216</v>
      </c>
      <c r="B217" s="44" t="s">
        <v>852</v>
      </c>
      <c r="C217" s="53">
        <v>7</v>
      </c>
      <c r="D217" s="53"/>
      <c r="E217" s="20" t="s">
        <v>213</v>
      </c>
      <c r="F217" s="20" t="s">
        <v>177</v>
      </c>
      <c r="G217" s="20" t="s">
        <v>1061</v>
      </c>
      <c r="I217" s="21"/>
    </row>
    <row r="218" spans="1:9" ht="18" customHeight="1">
      <c r="A218" s="48">
        <v>217</v>
      </c>
      <c r="B218" s="44" t="s">
        <v>852</v>
      </c>
      <c r="C218" s="53">
        <v>7</v>
      </c>
      <c r="D218" s="53"/>
      <c r="E218" s="20" t="s">
        <v>213</v>
      </c>
      <c r="F218" s="20" t="s">
        <v>178</v>
      </c>
      <c r="G218" s="20" t="s">
        <v>1186</v>
      </c>
      <c r="I218" s="21"/>
    </row>
    <row r="219" spans="1:9" ht="18" customHeight="1">
      <c r="A219" s="48">
        <v>218</v>
      </c>
      <c r="B219" s="44" t="s">
        <v>852</v>
      </c>
      <c r="C219" s="53">
        <v>7</v>
      </c>
      <c r="D219" s="53"/>
      <c r="E219" s="20" t="s">
        <v>213</v>
      </c>
      <c r="F219" s="20" t="s">
        <v>179</v>
      </c>
      <c r="G219" s="20" t="s">
        <v>1187</v>
      </c>
      <c r="I219" s="21"/>
    </row>
    <row r="220" spans="1:9" ht="18" customHeight="1">
      <c r="A220" s="48">
        <v>219</v>
      </c>
      <c r="B220" s="44" t="s">
        <v>852</v>
      </c>
      <c r="C220" s="53">
        <v>7</v>
      </c>
      <c r="D220" s="53"/>
      <c r="E220" s="20" t="s">
        <v>213</v>
      </c>
      <c r="F220" s="20" t="s">
        <v>180</v>
      </c>
      <c r="G220" s="20" t="s">
        <v>1188</v>
      </c>
      <c r="I220" s="21"/>
    </row>
    <row r="221" spans="1:9" ht="18" customHeight="1">
      <c r="A221" s="48">
        <v>220</v>
      </c>
      <c r="B221" s="44" t="s">
        <v>852</v>
      </c>
      <c r="C221" s="53">
        <v>7</v>
      </c>
      <c r="D221" s="53"/>
      <c r="E221" s="20" t="s">
        <v>213</v>
      </c>
      <c r="F221" s="20" t="s">
        <v>181</v>
      </c>
      <c r="G221" s="20" t="s">
        <v>1189</v>
      </c>
      <c r="I221" s="21"/>
    </row>
    <row r="222" spans="1:9" ht="18" customHeight="1">
      <c r="A222" s="48">
        <v>221</v>
      </c>
      <c r="B222" s="44" t="s">
        <v>852</v>
      </c>
      <c r="C222" s="53">
        <v>7</v>
      </c>
      <c r="D222" s="53"/>
      <c r="E222" s="20" t="s">
        <v>213</v>
      </c>
      <c r="F222" s="20" t="s">
        <v>182</v>
      </c>
      <c r="G222" s="20" t="s">
        <v>816</v>
      </c>
      <c r="I222" s="21"/>
    </row>
    <row r="223" spans="1:9" ht="18" customHeight="1">
      <c r="A223" s="48">
        <v>222</v>
      </c>
      <c r="B223" s="44" t="s">
        <v>852</v>
      </c>
      <c r="C223" s="53">
        <v>7</v>
      </c>
      <c r="D223" s="53"/>
      <c r="E223" s="20" t="s">
        <v>213</v>
      </c>
      <c r="F223" s="20" t="s">
        <v>183</v>
      </c>
      <c r="G223" s="20" t="s">
        <v>816</v>
      </c>
      <c r="I223" s="21"/>
    </row>
    <row r="224" spans="1:9" ht="18" customHeight="1">
      <c r="A224" s="48">
        <v>223</v>
      </c>
      <c r="B224" s="44" t="s">
        <v>852</v>
      </c>
      <c r="C224" s="53">
        <v>7</v>
      </c>
      <c r="D224" s="53"/>
      <c r="E224" s="20" t="s">
        <v>213</v>
      </c>
      <c r="F224" s="20" t="s">
        <v>184</v>
      </c>
      <c r="G224" s="20" t="s">
        <v>816</v>
      </c>
      <c r="I224" s="21"/>
    </row>
    <row r="225" spans="1:9" ht="18" customHeight="1">
      <c r="A225" s="48">
        <v>224</v>
      </c>
      <c r="B225" s="44" t="s">
        <v>852</v>
      </c>
      <c r="C225" s="53">
        <v>7</v>
      </c>
      <c r="D225" s="53"/>
      <c r="E225" s="20" t="s">
        <v>213</v>
      </c>
      <c r="F225" s="20" t="s">
        <v>185</v>
      </c>
      <c r="G225" s="20" t="s">
        <v>816</v>
      </c>
      <c r="I225" s="21"/>
    </row>
    <row r="226" spans="1:9" ht="18" customHeight="1">
      <c r="A226" s="48">
        <v>225</v>
      </c>
      <c r="B226" s="44" t="s">
        <v>1021</v>
      </c>
      <c r="C226" s="53">
        <v>6</v>
      </c>
      <c r="D226" s="53"/>
      <c r="E226" s="20" t="s">
        <v>220</v>
      </c>
      <c r="F226" s="20" t="s">
        <v>289</v>
      </c>
      <c r="G226" s="20" t="s">
        <v>1190</v>
      </c>
      <c r="I226" s="21"/>
    </row>
    <row r="227" spans="1:9" ht="18" customHeight="1">
      <c r="A227" s="48">
        <v>226</v>
      </c>
      <c r="B227" s="44" t="s">
        <v>1021</v>
      </c>
      <c r="C227" s="53">
        <v>4</v>
      </c>
      <c r="D227" s="53"/>
      <c r="E227" s="20" t="s">
        <v>218</v>
      </c>
      <c r="F227" s="20" t="s">
        <v>290</v>
      </c>
      <c r="G227" s="20" t="s">
        <v>1191</v>
      </c>
      <c r="I227" s="21"/>
    </row>
    <row r="228" spans="1:9" ht="18" customHeight="1">
      <c r="A228" s="48">
        <v>227</v>
      </c>
      <c r="B228" s="44" t="s">
        <v>1021</v>
      </c>
      <c r="C228" s="53">
        <v>3</v>
      </c>
      <c r="D228" s="53"/>
      <c r="E228" s="20" t="s">
        <v>217</v>
      </c>
      <c r="F228" s="20" t="s">
        <v>291</v>
      </c>
      <c r="G228" s="20" t="s">
        <v>1192</v>
      </c>
      <c r="I228" s="21"/>
    </row>
    <row r="229" spans="1:9" ht="18" customHeight="1">
      <c r="A229" s="48">
        <v>228</v>
      </c>
      <c r="B229" s="44" t="s">
        <v>1021</v>
      </c>
      <c r="C229" s="53">
        <v>2</v>
      </c>
      <c r="D229" s="53"/>
      <c r="E229" s="20" t="s">
        <v>216</v>
      </c>
      <c r="F229" s="20" t="s">
        <v>292</v>
      </c>
      <c r="G229" s="20" t="s">
        <v>1193</v>
      </c>
      <c r="I229" s="21"/>
    </row>
    <row r="230" spans="1:9" ht="18" customHeight="1">
      <c r="A230" s="48">
        <v>229</v>
      </c>
      <c r="B230" s="44" t="s">
        <v>833</v>
      </c>
      <c r="C230" s="53">
        <v>5</v>
      </c>
      <c r="D230" s="53"/>
      <c r="E230" s="20" t="s">
        <v>219</v>
      </c>
      <c r="F230" s="20" t="s">
        <v>587</v>
      </c>
      <c r="G230" s="20" t="s">
        <v>1194</v>
      </c>
      <c r="I230" s="21"/>
    </row>
    <row r="231" spans="1:9" ht="18" customHeight="1">
      <c r="A231" s="48">
        <v>230</v>
      </c>
      <c r="B231" s="44" t="s">
        <v>833</v>
      </c>
      <c r="C231" s="53">
        <v>6</v>
      </c>
      <c r="D231" s="53"/>
      <c r="E231" s="20" t="s">
        <v>220</v>
      </c>
      <c r="F231" s="20" t="s">
        <v>639</v>
      </c>
      <c r="G231" s="20" t="s">
        <v>1195</v>
      </c>
      <c r="I231" s="21"/>
    </row>
    <row r="232" spans="1:9" ht="18" customHeight="1">
      <c r="A232" s="48">
        <v>231</v>
      </c>
      <c r="B232" s="44" t="s">
        <v>852</v>
      </c>
      <c r="C232" s="53">
        <v>1</v>
      </c>
      <c r="D232" s="53"/>
      <c r="E232" s="20" t="s">
        <v>213</v>
      </c>
      <c r="F232" s="20" t="s">
        <v>504</v>
      </c>
      <c r="G232" s="20" t="s">
        <v>1196</v>
      </c>
      <c r="I232" s="21"/>
    </row>
    <row r="233" spans="1:9" ht="18" customHeight="1">
      <c r="A233" s="48">
        <v>232</v>
      </c>
      <c r="B233" s="44" t="s">
        <v>852</v>
      </c>
      <c r="C233" s="53">
        <v>2</v>
      </c>
      <c r="D233" s="53"/>
      <c r="E233" s="20" t="s">
        <v>213</v>
      </c>
      <c r="F233" s="20" t="s">
        <v>533</v>
      </c>
      <c r="G233" s="20" t="s">
        <v>1031</v>
      </c>
      <c r="I233" s="21"/>
    </row>
    <row r="234" spans="1:9" ht="18" customHeight="1">
      <c r="A234" s="48">
        <v>233</v>
      </c>
      <c r="B234" s="44" t="s">
        <v>852</v>
      </c>
      <c r="C234" s="53">
        <v>2</v>
      </c>
      <c r="D234" s="53"/>
      <c r="E234" s="20" t="s">
        <v>213</v>
      </c>
      <c r="F234" s="20" t="s">
        <v>534</v>
      </c>
      <c r="G234" s="20" t="s">
        <v>1051</v>
      </c>
      <c r="I234" s="21"/>
    </row>
    <row r="235" spans="1:9" ht="18" customHeight="1">
      <c r="A235" s="48">
        <v>234</v>
      </c>
      <c r="B235" s="44" t="s">
        <v>852</v>
      </c>
      <c r="C235" s="53">
        <v>2</v>
      </c>
      <c r="D235" s="53"/>
      <c r="E235" s="20" t="s">
        <v>213</v>
      </c>
      <c r="F235" s="20" t="s">
        <v>534</v>
      </c>
      <c r="G235" s="20" t="s">
        <v>1052</v>
      </c>
      <c r="I235" s="21"/>
    </row>
    <row r="236" spans="1:9" ht="18" customHeight="1">
      <c r="A236" s="48">
        <v>235</v>
      </c>
      <c r="B236" s="44" t="s">
        <v>852</v>
      </c>
      <c r="C236" s="53">
        <v>4</v>
      </c>
      <c r="D236" s="53"/>
      <c r="E236" s="20" t="s">
        <v>213</v>
      </c>
      <c r="F236" s="20" t="s">
        <v>565</v>
      </c>
      <c r="G236" s="20" t="s">
        <v>1032</v>
      </c>
      <c r="I236" s="21"/>
    </row>
    <row r="237" spans="1:9" ht="18" customHeight="1">
      <c r="A237" s="48">
        <v>236</v>
      </c>
      <c r="B237" s="44" t="s">
        <v>852</v>
      </c>
      <c r="C237" s="53">
        <v>4</v>
      </c>
      <c r="D237" s="53"/>
      <c r="E237" s="20" t="s">
        <v>213</v>
      </c>
      <c r="F237" s="20" t="s">
        <v>566</v>
      </c>
      <c r="G237" s="20" t="s">
        <v>1053</v>
      </c>
      <c r="I237" s="21"/>
    </row>
    <row r="238" spans="1:9" ht="18" customHeight="1">
      <c r="A238" s="48">
        <v>237</v>
      </c>
      <c r="B238" s="44" t="s">
        <v>789</v>
      </c>
      <c r="C238" s="53">
        <v>6</v>
      </c>
      <c r="D238" s="53">
        <v>1</v>
      </c>
      <c r="E238" s="20" t="s">
        <v>221</v>
      </c>
      <c r="F238" s="20" t="s">
        <v>30</v>
      </c>
      <c r="G238" s="20" t="s">
        <v>1063</v>
      </c>
      <c r="I238" s="21"/>
    </row>
    <row r="239" spans="1:9" ht="18" customHeight="1">
      <c r="A239" s="48">
        <v>238</v>
      </c>
      <c r="B239" s="44" t="s">
        <v>812</v>
      </c>
      <c r="C239" s="53">
        <v>5</v>
      </c>
      <c r="D239" s="53">
        <v>7</v>
      </c>
      <c r="E239" s="20" t="s">
        <v>102</v>
      </c>
      <c r="F239" s="20" t="s">
        <v>134</v>
      </c>
      <c r="G239" s="20" t="s">
        <v>1061</v>
      </c>
      <c r="I239" s="21"/>
    </row>
    <row r="240" spans="1:9" ht="18" customHeight="1">
      <c r="A240" s="48">
        <v>239</v>
      </c>
      <c r="B240" s="44" t="s">
        <v>812</v>
      </c>
      <c r="C240" s="53">
        <v>1</v>
      </c>
      <c r="D240" s="53">
        <v>6</v>
      </c>
      <c r="E240" s="20" t="s">
        <v>221</v>
      </c>
      <c r="F240" s="20" t="s">
        <v>136</v>
      </c>
      <c r="G240" s="20" t="s">
        <v>1062</v>
      </c>
      <c r="I240" s="21"/>
    </row>
    <row r="241" spans="1:9" ht="18" customHeight="1">
      <c r="A241" s="48">
        <v>240</v>
      </c>
      <c r="B241" s="44" t="s">
        <v>812</v>
      </c>
      <c r="C241" s="53">
        <v>1</v>
      </c>
      <c r="D241" s="53">
        <v>9</v>
      </c>
      <c r="E241" s="20" t="s">
        <v>103</v>
      </c>
      <c r="F241" s="20" t="s">
        <v>138</v>
      </c>
      <c r="G241" s="20" t="s">
        <v>1064</v>
      </c>
      <c r="I241" s="21"/>
    </row>
    <row r="242" spans="1:9" ht="18" customHeight="1">
      <c r="A242" s="48">
        <v>241</v>
      </c>
      <c r="B242" s="44" t="s">
        <v>812</v>
      </c>
      <c r="C242" s="53">
        <v>6</v>
      </c>
      <c r="D242" s="53">
        <v>1</v>
      </c>
      <c r="E242" s="20" t="s">
        <v>103</v>
      </c>
      <c r="F242" s="20" t="s">
        <v>139</v>
      </c>
      <c r="G242" s="20" t="s">
        <v>1065</v>
      </c>
      <c r="I242" s="21"/>
    </row>
    <row r="243" spans="1:9" ht="18" customHeight="1">
      <c r="A243" s="48">
        <v>242</v>
      </c>
      <c r="B243" s="44" t="s">
        <v>818</v>
      </c>
      <c r="C243" s="53">
        <v>5</v>
      </c>
      <c r="D243" s="53">
        <v>7</v>
      </c>
      <c r="E243" s="20" t="s">
        <v>102</v>
      </c>
      <c r="F243" s="20" t="s">
        <v>135</v>
      </c>
      <c r="G243" s="20" t="s">
        <v>135</v>
      </c>
      <c r="I243" s="21"/>
    </row>
    <row r="244" spans="1:9" ht="18" customHeight="1">
      <c r="A244" s="48">
        <v>243</v>
      </c>
      <c r="B244" s="44" t="s">
        <v>818</v>
      </c>
      <c r="C244" s="53">
        <v>1</v>
      </c>
      <c r="D244" s="53">
        <v>9</v>
      </c>
      <c r="E244" s="20" t="s">
        <v>221</v>
      </c>
      <c r="F244" s="20" t="s">
        <v>137</v>
      </c>
      <c r="G244" s="20" t="s">
        <v>137</v>
      </c>
      <c r="I244" s="21"/>
    </row>
    <row r="245" spans="1:9" ht="18" customHeight="1">
      <c r="A245" s="48">
        <v>244</v>
      </c>
      <c r="B245" s="44" t="s">
        <v>818</v>
      </c>
      <c r="C245" s="53">
        <v>6</v>
      </c>
      <c r="D245" s="53">
        <v>1</v>
      </c>
      <c r="E245" s="20" t="s">
        <v>103</v>
      </c>
      <c r="F245" s="20" t="s">
        <v>140</v>
      </c>
      <c r="G245" s="20" t="s">
        <v>140</v>
      </c>
      <c r="I245" s="21"/>
    </row>
    <row r="246" spans="1:9" ht="18" customHeight="1">
      <c r="A246" s="48">
        <v>245</v>
      </c>
      <c r="B246" s="44" t="s">
        <v>818</v>
      </c>
      <c r="C246" s="53">
        <v>6</v>
      </c>
      <c r="D246" s="53">
        <v>1</v>
      </c>
      <c r="E246" s="20" t="s">
        <v>103</v>
      </c>
      <c r="F246" s="20" t="s">
        <v>141</v>
      </c>
      <c r="G246" s="20" t="s">
        <v>141</v>
      </c>
      <c r="I246" s="21"/>
    </row>
    <row r="247" spans="1:9" ht="18" customHeight="1">
      <c r="A247" s="48">
        <v>246</v>
      </c>
      <c r="B247" s="44" t="s">
        <v>818</v>
      </c>
      <c r="C247" s="53">
        <v>1</v>
      </c>
      <c r="D247" s="53">
        <v>9</v>
      </c>
      <c r="E247" s="20" t="s">
        <v>103</v>
      </c>
      <c r="F247" s="20" t="s">
        <v>142</v>
      </c>
      <c r="G247" s="20" t="s">
        <v>142</v>
      </c>
      <c r="I247" s="21"/>
    </row>
    <row r="248" spans="1:9" ht="18" customHeight="1">
      <c r="A248" s="48">
        <v>247</v>
      </c>
      <c r="B248" s="44" t="s">
        <v>818</v>
      </c>
      <c r="C248" s="53">
        <v>1</v>
      </c>
      <c r="D248" s="53">
        <v>9</v>
      </c>
      <c r="E248" s="20" t="s">
        <v>103</v>
      </c>
      <c r="F248" s="20" t="s">
        <v>143</v>
      </c>
      <c r="G248" s="20" t="s">
        <v>143</v>
      </c>
      <c r="I248" s="21"/>
    </row>
    <row r="249" spans="1:9" ht="18" customHeight="1">
      <c r="A249" s="48">
        <v>248</v>
      </c>
      <c r="B249" s="44" t="s">
        <v>830</v>
      </c>
      <c r="C249" s="53">
        <v>2</v>
      </c>
      <c r="D249" s="53">
        <v>3</v>
      </c>
      <c r="E249" s="20" t="s">
        <v>216</v>
      </c>
      <c r="F249" s="20" t="s">
        <v>129</v>
      </c>
      <c r="G249" s="20" t="s">
        <v>1051</v>
      </c>
      <c r="I249" s="21"/>
    </row>
    <row r="250" spans="1:9" ht="18" customHeight="1">
      <c r="A250" s="48">
        <v>249</v>
      </c>
      <c r="B250" s="44" t="s">
        <v>830</v>
      </c>
      <c r="C250" s="53">
        <v>3</v>
      </c>
      <c r="D250" s="53">
        <v>2</v>
      </c>
      <c r="E250" s="20" t="s">
        <v>217</v>
      </c>
      <c r="F250" s="20" t="s">
        <v>130</v>
      </c>
      <c r="G250" s="20" t="s">
        <v>1052</v>
      </c>
      <c r="I250" s="21"/>
    </row>
    <row r="251" spans="1:9" ht="18" customHeight="1">
      <c r="A251" s="48">
        <v>250</v>
      </c>
      <c r="B251" s="44" t="s">
        <v>830</v>
      </c>
      <c r="C251" s="53">
        <v>4</v>
      </c>
      <c r="D251" s="53">
        <v>3</v>
      </c>
      <c r="E251" s="20" t="s">
        <v>218</v>
      </c>
      <c r="F251" s="20" t="s">
        <v>131</v>
      </c>
      <c r="G251" s="20" t="s">
        <v>1053</v>
      </c>
      <c r="I251" s="21"/>
    </row>
    <row r="252" spans="1:9" ht="18" customHeight="1">
      <c r="A252" s="48">
        <v>251</v>
      </c>
      <c r="B252" s="44" t="s">
        <v>830</v>
      </c>
      <c r="C252" s="53">
        <v>5</v>
      </c>
      <c r="D252" s="53">
        <v>7</v>
      </c>
      <c r="E252" s="20" t="s">
        <v>219</v>
      </c>
      <c r="F252" s="20" t="s">
        <v>279</v>
      </c>
      <c r="G252" s="20" t="s">
        <v>1054</v>
      </c>
      <c r="I252" s="21"/>
    </row>
    <row r="253" spans="1:9" ht="18" customHeight="1">
      <c r="A253" s="48">
        <v>252</v>
      </c>
      <c r="B253" s="44" t="s">
        <v>830</v>
      </c>
      <c r="C253" s="53"/>
      <c r="D253" s="53">
        <v>1</v>
      </c>
      <c r="E253" s="20" t="s">
        <v>220</v>
      </c>
      <c r="F253" s="20" t="s">
        <v>280</v>
      </c>
      <c r="G253" s="20" t="s">
        <v>1055</v>
      </c>
      <c r="I253" s="21"/>
    </row>
    <row r="254" spans="1:9" ht="18" customHeight="1">
      <c r="A254" s="48">
        <v>253</v>
      </c>
      <c r="B254" s="44" t="s">
        <v>843</v>
      </c>
      <c r="C254" s="53">
        <v>5</v>
      </c>
      <c r="D254" s="53">
        <v>7</v>
      </c>
      <c r="E254" s="20" t="s">
        <v>219</v>
      </c>
      <c r="F254" s="20" t="s">
        <v>122</v>
      </c>
      <c r="G254" s="20" t="s">
        <v>1056</v>
      </c>
      <c r="I254" s="21"/>
    </row>
    <row r="255" spans="1:9" ht="18" customHeight="1">
      <c r="A255" s="48">
        <v>254</v>
      </c>
      <c r="B255" s="44" t="s">
        <v>843</v>
      </c>
      <c r="C255" s="53"/>
      <c r="D255" s="53">
        <v>1</v>
      </c>
      <c r="E255" s="20" t="s">
        <v>220</v>
      </c>
      <c r="F255" s="20" t="s">
        <v>123</v>
      </c>
      <c r="G255" s="20" t="s">
        <v>1057</v>
      </c>
      <c r="I255" s="21"/>
    </row>
    <row r="256" spans="1:9" ht="18" customHeight="1">
      <c r="A256" s="48">
        <v>255</v>
      </c>
      <c r="B256" s="44" t="s">
        <v>960</v>
      </c>
      <c r="C256" s="53">
        <v>2</v>
      </c>
      <c r="D256" s="53">
        <v>3</v>
      </c>
      <c r="E256" s="20" t="s">
        <v>282</v>
      </c>
      <c r="F256" s="20" t="s">
        <v>45</v>
      </c>
      <c r="G256" s="20" t="s">
        <v>1026</v>
      </c>
      <c r="I256" s="21"/>
    </row>
    <row r="257" spans="1:9" ht="18" customHeight="1">
      <c r="A257" s="48">
        <v>256</v>
      </c>
      <c r="B257" s="44" t="s">
        <v>883</v>
      </c>
      <c r="C257" s="53">
        <v>4</v>
      </c>
      <c r="D257" s="53">
        <v>3</v>
      </c>
      <c r="E257" s="20" t="s">
        <v>218</v>
      </c>
      <c r="F257" s="20" t="s">
        <v>27</v>
      </c>
      <c r="G257" s="20" t="s">
        <v>1028</v>
      </c>
      <c r="I257" s="21"/>
    </row>
    <row r="258" spans="1:9" ht="18" customHeight="1">
      <c r="A258" s="48">
        <v>257</v>
      </c>
      <c r="B258" s="44" t="s">
        <v>960</v>
      </c>
      <c r="C258" s="53">
        <v>5</v>
      </c>
      <c r="D258" s="53">
        <v>7</v>
      </c>
      <c r="E258" s="20" t="s">
        <v>219</v>
      </c>
      <c r="F258" s="20" t="s">
        <v>46</v>
      </c>
      <c r="G258" s="20" t="s">
        <v>1029</v>
      </c>
      <c r="I258" s="21"/>
    </row>
    <row r="259" spans="1:9" ht="18" customHeight="1">
      <c r="A259" s="48">
        <v>258</v>
      </c>
      <c r="B259" s="44" t="s">
        <v>990</v>
      </c>
      <c r="C259" s="53">
        <v>2</v>
      </c>
      <c r="D259" s="53">
        <v>3</v>
      </c>
      <c r="E259" s="20" t="s">
        <v>216</v>
      </c>
      <c r="F259" s="20" t="s">
        <v>47</v>
      </c>
      <c r="G259" s="20" t="s">
        <v>1030</v>
      </c>
      <c r="I259" s="21"/>
    </row>
    <row r="260" spans="1:9" ht="18" customHeight="1">
      <c r="A260" s="48">
        <v>259</v>
      </c>
      <c r="B260" s="44" t="s">
        <v>990</v>
      </c>
      <c r="C260" s="53">
        <v>3</v>
      </c>
      <c r="D260" s="53">
        <v>2</v>
      </c>
      <c r="E260" s="20" t="s">
        <v>217</v>
      </c>
      <c r="F260" s="20" t="s">
        <v>48</v>
      </c>
      <c r="G260" s="20" t="s">
        <v>1031</v>
      </c>
      <c r="I260" s="21"/>
    </row>
    <row r="261" spans="1:9" ht="18" customHeight="1">
      <c r="A261" s="48">
        <v>260</v>
      </c>
      <c r="B261" s="44" t="s">
        <v>990</v>
      </c>
      <c r="C261" s="53">
        <v>4</v>
      </c>
      <c r="D261" s="53">
        <v>3</v>
      </c>
      <c r="E261" s="20" t="s">
        <v>218</v>
      </c>
      <c r="F261" s="20" t="s">
        <v>49</v>
      </c>
      <c r="G261" s="20" t="s">
        <v>1032</v>
      </c>
      <c r="I261" s="21"/>
    </row>
    <row r="262" spans="1:9" ht="18" customHeight="1">
      <c r="A262" s="48">
        <v>261</v>
      </c>
      <c r="B262" s="44" t="s">
        <v>973</v>
      </c>
      <c r="C262" s="53">
        <v>5</v>
      </c>
      <c r="D262" s="53">
        <v>7</v>
      </c>
      <c r="E262" s="20" t="s">
        <v>219</v>
      </c>
      <c r="F262" s="20" t="s">
        <v>50</v>
      </c>
      <c r="G262" s="20" t="s">
        <v>1033</v>
      </c>
      <c r="I262" s="21"/>
    </row>
    <row r="263" spans="1:9" ht="18" customHeight="1">
      <c r="A263" s="48">
        <v>262</v>
      </c>
      <c r="B263" s="44" t="s">
        <v>973</v>
      </c>
      <c r="C263" s="53"/>
      <c r="D263" s="53">
        <v>1</v>
      </c>
      <c r="E263" s="20" t="s">
        <v>220</v>
      </c>
      <c r="F263" s="20" t="s">
        <v>51</v>
      </c>
      <c r="G263" s="20" t="s">
        <v>1034</v>
      </c>
      <c r="I263" s="21"/>
    </row>
    <row r="264" spans="1:9" ht="18" customHeight="1">
      <c r="A264" s="48">
        <v>263</v>
      </c>
      <c r="B264" s="44" t="s">
        <v>848</v>
      </c>
      <c r="C264" s="53">
        <v>8</v>
      </c>
      <c r="D264" s="53">
        <v>8</v>
      </c>
      <c r="E264" s="20" t="s">
        <v>93</v>
      </c>
      <c r="F264" s="20" t="s">
        <v>643</v>
      </c>
      <c r="G264" s="20" t="s">
        <v>1044</v>
      </c>
      <c r="I264" s="21"/>
    </row>
    <row r="265" spans="1:9" ht="18" customHeight="1">
      <c r="A265" s="48">
        <v>264</v>
      </c>
      <c r="B265" s="44" t="s">
        <v>487</v>
      </c>
      <c r="C265" s="53">
        <v>2</v>
      </c>
      <c r="D265" s="53"/>
      <c r="E265" s="20" t="s">
        <v>216</v>
      </c>
      <c r="F265" s="20" t="s">
        <v>45</v>
      </c>
      <c r="G265" s="20" t="s">
        <v>1026</v>
      </c>
      <c r="I265" s="21"/>
    </row>
    <row r="266" spans="1:9" ht="18" customHeight="1">
      <c r="A266" s="48">
        <v>265</v>
      </c>
      <c r="B266" s="44" t="s">
        <v>487</v>
      </c>
      <c r="C266" s="53">
        <v>4</v>
      </c>
      <c r="D266" s="53"/>
      <c r="E266" s="20" t="s">
        <v>567</v>
      </c>
      <c r="F266" s="20" t="s">
        <v>568</v>
      </c>
      <c r="G266" s="20" t="s">
        <v>1028</v>
      </c>
      <c r="I266" s="21"/>
    </row>
    <row r="267" spans="1:9" ht="18" customHeight="1">
      <c r="A267" s="48">
        <v>266</v>
      </c>
      <c r="B267" s="44" t="s">
        <v>487</v>
      </c>
      <c r="C267" s="53">
        <v>5</v>
      </c>
      <c r="D267" s="53"/>
      <c r="E267" s="20" t="s">
        <v>219</v>
      </c>
      <c r="F267" s="20" t="s">
        <v>588</v>
      </c>
      <c r="G267" s="20" t="s">
        <v>1029</v>
      </c>
      <c r="I267" s="21"/>
    </row>
    <row r="268" spans="1:9" ht="18" customHeight="1">
      <c r="A268" s="48">
        <v>267</v>
      </c>
      <c r="B268" s="44" t="s">
        <v>487</v>
      </c>
      <c r="C268" s="53">
        <v>9</v>
      </c>
      <c r="D268" s="53"/>
      <c r="E268" s="20" t="s">
        <v>704</v>
      </c>
      <c r="F268" s="20" t="s">
        <v>705</v>
      </c>
      <c r="G268" s="20" t="s">
        <v>1036</v>
      </c>
      <c r="I268" s="21"/>
    </row>
    <row r="269" spans="1:9" ht="18" customHeight="1">
      <c r="A269" s="48">
        <v>268</v>
      </c>
      <c r="B269" s="44" t="s">
        <v>487</v>
      </c>
      <c r="C269" s="53">
        <v>5</v>
      </c>
      <c r="D269" s="53"/>
      <c r="E269" s="20" t="s">
        <v>102</v>
      </c>
      <c r="F269" s="20" t="s">
        <v>134</v>
      </c>
      <c r="G269" s="20" t="s">
        <v>1061</v>
      </c>
      <c r="I269" s="21"/>
    </row>
    <row r="270" spans="1:9" ht="18" customHeight="1">
      <c r="A270" s="48">
        <v>269</v>
      </c>
      <c r="B270" s="44" t="s">
        <v>487</v>
      </c>
      <c r="C270" s="53">
        <v>1</v>
      </c>
      <c r="D270" s="53"/>
      <c r="E270" s="20" t="s">
        <v>221</v>
      </c>
      <c r="F270" s="20" t="s">
        <v>136</v>
      </c>
      <c r="G270" s="20" t="s">
        <v>1062</v>
      </c>
      <c r="I270" s="21"/>
    </row>
    <row r="271" spans="1:9" ht="18" customHeight="1">
      <c r="A271" s="48">
        <v>270</v>
      </c>
      <c r="B271" s="44" t="s">
        <v>487</v>
      </c>
      <c r="C271" s="53">
        <v>9</v>
      </c>
      <c r="D271" s="53"/>
      <c r="E271" s="20" t="s">
        <v>221</v>
      </c>
      <c r="F271" s="20" t="s">
        <v>30</v>
      </c>
      <c r="G271" s="20" t="s">
        <v>1063</v>
      </c>
      <c r="I271" s="21"/>
    </row>
    <row r="272" spans="1:9" ht="18" customHeight="1">
      <c r="A272" s="48">
        <v>271</v>
      </c>
      <c r="B272" s="44" t="s">
        <v>487</v>
      </c>
      <c r="C272" s="53">
        <v>1</v>
      </c>
      <c r="D272" s="53"/>
      <c r="E272" s="20" t="s">
        <v>103</v>
      </c>
      <c r="F272" s="20" t="s">
        <v>138</v>
      </c>
      <c r="G272" s="20" t="s">
        <v>1064</v>
      </c>
      <c r="I272" s="21"/>
    </row>
    <row r="273" spans="1:9" ht="18" customHeight="1">
      <c r="A273" s="48">
        <v>272</v>
      </c>
      <c r="B273" s="44" t="s">
        <v>487</v>
      </c>
      <c r="C273" s="53">
        <v>9</v>
      </c>
      <c r="D273" s="53"/>
      <c r="E273" s="20" t="s">
        <v>103</v>
      </c>
      <c r="F273" s="20" t="s">
        <v>139</v>
      </c>
      <c r="G273" s="20" t="s">
        <v>1065</v>
      </c>
      <c r="I273" s="21"/>
    </row>
    <row r="274" spans="1:9" ht="18" customHeight="1">
      <c r="A274" s="48">
        <v>273</v>
      </c>
      <c r="B274" s="44" t="s">
        <v>1016</v>
      </c>
      <c r="C274" s="53">
        <v>2</v>
      </c>
      <c r="D274" s="53"/>
      <c r="E274" s="20" t="s">
        <v>216</v>
      </c>
      <c r="F274" s="20" t="s">
        <v>10</v>
      </c>
      <c r="G274" s="20" t="s">
        <v>1079</v>
      </c>
      <c r="I274" s="21"/>
    </row>
    <row r="275" spans="1:9" ht="18" customHeight="1">
      <c r="A275" s="48">
        <v>274</v>
      </c>
      <c r="B275" s="44" t="s">
        <v>1016</v>
      </c>
      <c r="C275" s="53">
        <v>3</v>
      </c>
      <c r="D275" s="53"/>
      <c r="E275" s="20" t="s">
        <v>217</v>
      </c>
      <c r="F275" s="20" t="s">
        <v>11</v>
      </c>
      <c r="G275" s="20" t="s">
        <v>1080</v>
      </c>
      <c r="I275" s="21"/>
    </row>
    <row r="276" spans="1:9" ht="18" customHeight="1">
      <c r="A276" s="48">
        <v>275</v>
      </c>
      <c r="B276" s="44" t="s">
        <v>1016</v>
      </c>
      <c r="C276" s="53">
        <v>4</v>
      </c>
      <c r="D276" s="53"/>
      <c r="E276" s="20" t="s">
        <v>218</v>
      </c>
      <c r="F276" s="20" t="s">
        <v>12</v>
      </c>
      <c r="G276" s="20" t="s">
        <v>1081</v>
      </c>
      <c r="I276" s="21"/>
    </row>
    <row r="277" spans="1:9" ht="18" customHeight="1">
      <c r="A277" s="48">
        <v>276</v>
      </c>
      <c r="B277" s="44" t="s">
        <v>1016</v>
      </c>
      <c r="C277" s="53">
        <v>5</v>
      </c>
      <c r="D277" s="53"/>
      <c r="E277" s="20" t="s">
        <v>219</v>
      </c>
      <c r="F277" s="20" t="s">
        <v>13</v>
      </c>
      <c r="G277" s="20" t="s">
        <v>1082</v>
      </c>
      <c r="I277" s="21"/>
    </row>
    <row r="278" spans="1:9" ht="18" customHeight="1">
      <c r="A278" s="48">
        <v>277</v>
      </c>
      <c r="B278" s="44" t="s">
        <v>1020</v>
      </c>
      <c r="C278" s="53">
        <v>5</v>
      </c>
      <c r="D278" s="53"/>
      <c r="E278" s="20" t="s">
        <v>219</v>
      </c>
      <c r="F278" s="20" t="s">
        <v>583</v>
      </c>
      <c r="G278" s="20" t="s">
        <v>1197</v>
      </c>
      <c r="I278" s="21"/>
    </row>
    <row r="279" spans="1:9" ht="18" customHeight="1">
      <c r="A279" s="48">
        <v>278</v>
      </c>
      <c r="B279" s="44" t="s">
        <v>1012</v>
      </c>
      <c r="C279" s="53">
        <v>1</v>
      </c>
      <c r="D279" s="53"/>
      <c r="E279" s="20" t="s">
        <v>220</v>
      </c>
      <c r="F279" s="20" t="s">
        <v>501</v>
      </c>
      <c r="G279" s="20" t="s">
        <v>1198</v>
      </c>
      <c r="I279" s="21"/>
    </row>
    <row r="280" spans="1:9" ht="18" customHeight="1">
      <c r="A280" s="48">
        <v>279</v>
      </c>
      <c r="B280" s="44" t="s">
        <v>1016</v>
      </c>
      <c r="C280" s="53">
        <v>1</v>
      </c>
      <c r="D280" s="53"/>
      <c r="E280" s="20" t="s">
        <v>220</v>
      </c>
      <c r="F280" s="20" t="s">
        <v>501</v>
      </c>
      <c r="G280" s="20" t="s">
        <v>1198</v>
      </c>
      <c r="I280" s="21"/>
    </row>
    <row r="281" spans="1:9" ht="18" customHeight="1">
      <c r="A281" s="48">
        <v>280</v>
      </c>
      <c r="B281" s="44" t="s">
        <v>846</v>
      </c>
      <c r="C281" s="53">
        <v>9</v>
      </c>
      <c r="D281" s="53"/>
      <c r="E281" s="20"/>
      <c r="F281" s="20" t="s">
        <v>186</v>
      </c>
      <c r="G281" s="20" t="s">
        <v>1199</v>
      </c>
      <c r="I281" s="21"/>
    </row>
    <row r="282" spans="1:9" ht="18" customHeight="1">
      <c r="A282" s="48">
        <v>281</v>
      </c>
      <c r="B282" s="44" t="s">
        <v>846</v>
      </c>
      <c r="C282" s="53">
        <v>9</v>
      </c>
      <c r="D282" s="53"/>
      <c r="E282" s="20"/>
      <c r="F282" s="20" t="s">
        <v>187</v>
      </c>
      <c r="G282" s="20" t="s">
        <v>1200</v>
      </c>
      <c r="I282" s="21"/>
    </row>
    <row r="283" spans="1:9" ht="18" customHeight="1">
      <c r="A283" s="48">
        <v>282</v>
      </c>
      <c r="B283" s="44" t="s">
        <v>846</v>
      </c>
      <c r="C283" s="53">
        <v>9</v>
      </c>
      <c r="D283" s="53"/>
      <c r="E283" s="20"/>
      <c r="F283" s="20" t="s">
        <v>188</v>
      </c>
      <c r="G283" s="20" t="s">
        <v>1201</v>
      </c>
      <c r="I283" s="21"/>
    </row>
    <row r="284" spans="1:9" ht="18" customHeight="1">
      <c r="A284" s="48">
        <v>283</v>
      </c>
      <c r="B284" s="44" t="s">
        <v>846</v>
      </c>
      <c r="C284" s="53">
        <v>9</v>
      </c>
      <c r="D284" s="53"/>
      <c r="E284" s="20"/>
      <c r="F284" s="20" t="s">
        <v>189</v>
      </c>
      <c r="G284" s="20" t="s">
        <v>1202</v>
      </c>
      <c r="I284" s="21"/>
    </row>
    <row r="285" spans="1:9" ht="18" customHeight="1">
      <c r="A285" s="48">
        <v>284</v>
      </c>
      <c r="B285" s="44" t="s">
        <v>846</v>
      </c>
      <c r="C285" s="53">
        <v>9</v>
      </c>
      <c r="D285" s="53"/>
      <c r="E285" s="20"/>
      <c r="F285" s="20" t="s">
        <v>190</v>
      </c>
      <c r="G285" s="20" t="s">
        <v>1203</v>
      </c>
      <c r="I285" s="21"/>
    </row>
    <row r="286" spans="1:9" ht="18" customHeight="1">
      <c r="A286" s="48">
        <v>285</v>
      </c>
      <c r="B286" s="44" t="s">
        <v>846</v>
      </c>
      <c r="C286" s="53">
        <v>9</v>
      </c>
      <c r="D286" s="53"/>
      <c r="E286" s="20"/>
      <c r="F286" s="20" t="s">
        <v>191</v>
      </c>
      <c r="G286" s="20" t="s">
        <v>1204</v>
      </c>
      <c r="I286" s="21"/>
    </row>
    <row r="287" spans="1:9" ht="18" customHeight="1">
      <c r="A287" s="48">
        <v>286</v>
      </c>
      <c r="B287" s="44" t="s">
        <v>846</v>
      </c>
      <c r="C287" s="53">
        <v>9</v>
      </c>
      <c r="D287" s="53"/>
      <c r="E287" s="20"/>
      <c r="F287" s="20" t="s">
        <v>192</v>
      </c>
      <c r="G287" s="20" t="s">
        <v>1205</v>
      </c>
      <c r="I287" s="21"/>
    </row>
    <row r="288" spans="1:9" ht="18" customHeight="1">
      <c r="A288" s="48">
        <v>287</v>
      </c>
      <c r="B288" s="44" t="s">
        <v>846</v>
      </c>
      <c r="C288" s="53">
        <v>9</v>
      </c>
      <c r="D288" s="53"/>
      <c r="E288" s="20"/>
      <c r="F288" s="20" t="s">
        <v>193</v>
      </c>
      <c r="G288" s="20" t="s">
        <v>1206</v>
      </c>
      <c r="I288" s="21"/>
    </row>
    <row r="289" spans="1:9" ht="18" customHeight="1">
      <c r="A289" s="48">
        <v>288</v>
      </c>
      <c r="B289" s="44" t="s">
        <v>846</v>
      </c>
      <c r="C289" s="53">
        <v>9</v>
      </c>
      <c r="D289" s="53"/>
      <c r="E289" s="20"/>
      <c r="F289" s="20" t="s">
        <v>194</v>
      </c>
      <c r="G289" s="20" t="s">
        <v>1207</v>
      </c>
      <c r="I289" s="21"/>
    </row>
    <row r="290" spans="1:9" ht="18" customHeight="1">
      <c r="A290" s="48">
        <v>289</v>
      </c>
      <c r="B290" s="44" t="s">
        <v>846</v>
      </c>
      <c r="C290" s="53">
        <v>9</v>
      </c>
      <c r="D290" s="53"/>
      <c r="E290" s="20"/>
      <c r="F290" s="20" t="s">
        <v>195</v>
      </c>
      <c r="G290" s="20" t="s">
        <v>1208</v>
      </c>
      <c r="I290" s="21"/>
    </row>
    <row r="291" spans="1:9" ht="18" customHeight="1">
      <c r="A291" s="48">
        <v>290</v>
      </c>
      <c r="B291" s="44" t="s">
        <v>846</v>
      </c>
      <c r="C291" s="53">
        <v>9</v>
      </c>
      <c r="D291" s="53"/>
      <c r="E291" s="20"/>
      <c r="F291" s="20" t="s">
        <v>196</v>
      </c>
      <c r="G291" s="20" t="s">
        <v>1209</v>
      </c>
      <c r="I291" s="21"/>
    </row>
    <row r="292" spans="1:9" ht="18" customHeight="1">
      <c r="A292" s="48">
        <v>291</v>
      </c>
      <c r="B292" s="44" t="s">
        <v>846</v>
      </c>
      <c r="C292" s="53">
        <v>9</v>
      </c>
      <c r="D292" s="53"/>
      <c r="E292" s="20"/>
      <c r="F292" s="20" t="s">
        <v>197</v>
      </c>
      <c r="G292" s="20" t="s">
        <v>1210</v>
      </c>
      <c r="I292" s="21"/>
    </row>
    <row r="293" spans="1:9" ht="18" customHeight="1">
      <c r="A293" s="48">
        <v>292</v>
      </c>
      <c r="B293" s="44" t="s">
        <v>846</v>
      </c>
      <c r="C293" s="53">
        <v>9</v>
      </c>
      <c r="D293" s="53"/>
      <c r="E293" s="20"/>
      <c r="F293" s="20" t="s">
        <v>198</v>
      </c>
      <c r="G293" s="20" t="s">
        <v>1211</v>
      </c>
      <c r="I293" s="21"/>
    </row>
    <row r="294" spans="1:9" ht="18" customHeight="1">
      <c r="A294" s="48">
        <v>293</v>
      </c>
      <c r="B294" s="44" t="s">
        <v>846</v>
      </c>
      <c r="C294" s="53">
        <v>9</v>
      </c>
      <c r="D294" s="53"/>
      <c r="E294" s="20"/>
      <c r="F294" s="20" t="s">
        <v>199</v>
      </c>
      <c r="G294" s="20" t="s">
        <v>1212</v>
      </c>
      <c r="I294" s="21"/>
    </row>
    <row r="295" spans="1:9" ht="18" customHeight="1">
      <c r="A295" s="48">
        <v>294</v>
      </c>
      <c r="B295" s="44" t="s">
        <v>846</v>
      </c>
      <c r="C295" s="53">
        <v>9</v>
      </c>
      <c r="D295" s="53"/>
      <c r="E295" s="20"/>
      <c r="F295" s="20" t="s">
        <v>200</v>
      </c>
      <c r="G295" s="20" t="s">
        <v>1213</v>
      </c>
      <c r="I295" s="21"/>
    </row>
    <row r="296" spans="1:9" ht="18" customHeight="1">
      <c r="A296" s="48">
        <v>295</v>
      </c>
      <c r="B296" s="44" t="s">
        <v>846</v>
      </c>
      <c r="C296" s="53">
        <v>9</v>
      </c>
      <c r="D296" s="53"/>
      <c r="E296" s="20"/>
      <c r="F296" s="20" t="s">
        <v>201</v>
      </c>
      <c r="G296" s="20" t="s">
        <v>1214</v>
      </c>
      <c r="I296" s="21"/>
    </row>
    <row r="297" spans="1:9" ht="18" customHeight="1">
      <c r="A297" s="48">
        <v>296</v>
      </c>
      <c r="B297" s="44" t="s">
        <v>846</v>
      </c>
      <c r="C297" s="53">
        <v>9</v>
      </c>
      <c r="D297" s="53"/>
      <c r="E297" s="20"/>
      <c r="F297" s="20" t="s">
        <v>202</v>
      </c>
      <c r="G297" s="20" t="s">
        <v>1215</v>
      </c>
      <c r="I297" s="21"/>
    </row>
    <row r="298" spans="1:9" ht="18" customHeight="1">
      <c r="A298" s="48">
        <v>297</v>
      </c>
      <c r="B298" s="44" t="s">
        <v>846</v>
      </c>
      <c r="C298" s="53">
        <v>9</v>
      </c>
      <c r="D298" s="53"/>
      <c r="E298" s="20"/>
      <c r="F298" s="20" t="s">
        <v>203</v>
      </c>
      <c r="G298" s="20" t="s">
        <v>1216</v>
      </c>
      <c r="I298" s="21"/>
    </row>
    <row r="299" spans="1:9" ht="18" customHeight="1">
      <c r="A299" s="48">
        <v>298</v>
      </c>
      <c r="B299" s="44" t="s">
        <v>846</v>
      </c>
      <c r="C299" s="53">
        <v>9</v>
      </c>
      <c r="D299" s="53"/>
      <c r="E299" s="20"/>
      <c r="F299" s="20" t="s">
        <v>204</v>
      </c>
      <c r="G299" s="20" t="s">
        <v>1217</v>
      </c>
      <c r="I299" s="21"/>
    </row>
    <row r="300" spans="1:9" ht="18" customHeight="1">
      <c r="A300" s="48">
        <v>299</v>
      </c>
      <c r="B300" s="44" t="s">
        <v>846</v>
      </c>
      <c r="C300" s="53">
        <v>9</v>
      </c>
      <c r="D300" s="53"/>
      <c r="E300" s="20"/>
      <c r="F300" s="20" t="s">
        <v>205</v>
      </c>
      <c r="G300" s="20" t="s">
        <v>1218</v>
      </c>
      <c r="I300" s="21"/>
    </row>
    <row r="301" spans="1:9" ht="18" customHeight="1">
      <c r="A301" s="48">
        <v>300</v>
      </c>
      <c r="B301" s="44" t="s">
        <v>846</v>
      </c>
      <c r="C301" s="53">
        <v>9</v>
      </c>
      <c r="D301" s="53"/>
      <c r="E301" s="20"/>
      <c r="F301" s="20" t="s">
        <v>206</v>
      </c>
      <c r="G301" s="20" t="s">
        <v>1219</v>
      </c>
      <c r="I301" s="21"/>
    </row>
    <row r="302" spans="1:9" ht="18" customHeight="1">
      <c r="A302" s="48">
        <v>301</v>
      </c>
      <c r="B302" s="44" t="s">
        <v>846</v>
      </c>
      <c r="C302" s="53">
        <v>9</v>
      </c>
      <c r="D302" s="53"/>
      <c r="E302" s="20"/>
      <c r="F302" s="20" t="s">
        <v>207</v>
      </c>
      <c r="G302" s="20" t="s">
        <v>1220</v>
      </c>
      <c r="I302" s="21"/>
    </row>
    <row r="303" spans="1:9" ht="18" customHeight="1">
      <c r="A303" s="48">
        <v>302</v>
      </c>
      <c r="B303" s="44" t="s">
        <v>846</v>
      </c>
      <c r="C303" s="53">
        <v>9</v>
      </c>
      <c r="D303" s="53"/>
      <c r="E303" s="20"/>
      <c r="F303" s="20" t="s">
        <v>208</v>
      </c>
      <c r="G303" s="20" t="s">
        <v>1221</v>
      </c>
      <c r="I303" s="21"/>
    </row>
    <row r="304" spans="1:9" ht="18" customHeight="1">
      <c r="A304" s="48">
        <v>303</v>
      </c>
      <c r="B304" s="44" t="s">
        <v>846</v>
      </c>
      <c r="C304" s="53">
        <v>9</v>
      </c>
      <c r="D304" s="53"/>
      <c r="E304" s="20"/>
      <c r="F304" s="20" t="s">
        <v>209</v>
      </c>
      <c r="G304" s="20" t="s">
        <v>1222</v>
      </c>
      <c r="I304" s="21"/>
    </row>
    <row r="305" spans="1:9" ht="18" customHeight="1">
      <c r="A305" s="48">
        <v>304</v>
      </c>
      <c r="B305" s="44" t="s">
        <v>846</v>
      </c>
      <c r="C305" s="53">
        <v>9</v>
      </c>
      <c r="D305" s="53"/>
      <c r="E305" s="20"/>
      <c r="F305" s="20" t="s">
        <v>210</v>
      </c>
      <c r="G305" s="20" t="s">
        <v>1223</v>
      </c>
      <c r="I305" s="21"/>
    </row>
    <row r="306" spans="1:9" ht="18" customHeight="1">
      <c r="A306" s="48">
        <v>305</v>
      </c>
      <c r="B306" s="44" t="s">
        <v>846</v>
      </c>
      <c r="C306" s="53">
        <v>9</v>
      </c>
      <c r="D306" s="53"/>
      <c r="E306" s="20"/>
      <c r="F306" s="20" t="s">
        <v>211</v>
      </c>
      <c r="G306" s="20" t="s">
        <v>1224</v>
      </c>
      <c r="I306" s="21"/>
    </row>
    <row r="307" spans="1:9" ht="18" customHeight="1">
      <c r="A307" s="48">
        <v>306</v>
      </c>
      <c r="B307" s="44" t="s">
        <v>846</v>
      </c>
      <c r="C307" s="53">
        <v>9</v>
      </c>
      <c r="D307" s="53"/>
      <c r="E307" s="20"/>
      <c r="F307" s="20" t="s">
        <v>212</v>
      </c>
      <c r="G307" s="20" t="s">
        <v>1225</v>
      </c>
      <c r="I307" s="21"/>
    </row>
    <row r="308" spans="1:9" ht="18" customHeight="1">
      <c r="A308" s="48">
        <v>307</v>
      </c>
      <c r="B308" s="44" t="s">
        <v>846</v>
      </c>
      <c r="C308" s="53">
        <v>9</v>
      </c>
      <c r="D308" s="53"/>
      <c r="E308" s="20"/>
      <c r="F308" s="20" t="s">
        <v>404</v>
      </c>
      <c r="G308" s="20" t="s">
        <v>1226</v>
      </c>
      <c r="I308" s="21"/>
    </row>
    <row r="309" spans="1:9" ht="18" customHeight="1">
      <c r="A309" s="48">
        <v>308</v>
      </c>
      <c r="B309" s="44" t="s">
        <v>846</v>
      </c>
      <c r="C309" s="53">
        <v>9</v>
      </c>
      <c r="D309" s="53"/>
      <c r="E309" s="20"/>
      <c r="F309" s="20" t="s">
        <v>405</v>
      </c>
      <c r="G309" s="20" t="s">
        <v>1227</v>
      </c>
      <c r="I309" s="21"/>
    </row>
    <row r="310" spans="1:9" ht="18" customHeight="1">
      <c r="A310" s="48">
        <v>309</v>
      </c>
      <c r="B310" s="44" t="s">
        <v>846</v>
      </c>
      <c r="C310" s="53">
        <v>9</v>
      </c>
      <c r="D310" s="53"/>
      <c r="E310" s="20"/>
      <c r="F310" s="20" t="s">
        <v>406</v>
      </c>
      <c r="G310" s="20" t="s">
        <v>1228</v>
      </c>
      <c r="I310" s="21"/>
    </row>
    <row r="311" spans="1:9" ht="18" customHeight="1">
      <c r="A311" s="48">
        <v>310</v>
      </c>
      <c r="B311" s="44" t="s">
        <v>846</v>
      </c>
      <c r="C311" s="53">
        <v>9</v>
      </c>
      <c r="D311" s="53"/>
      <c r="E311" s="20"/>
      <c r="F311" s="20" t="s">
        <v>407</v>
      </c>
      <c r="G311" s="20" t="s">
        <v>1229</v>
      </c>
      <c r="I311" s="21"/>
    </row>
    <row r="312" spans="1:9" ht="18" customHeight="1">
      <c r="A312" s="48">
        <v>311</v>
      </c>
      <c r="B312" s="44" t="s">
        <v>846</v>
      </c>
      <c r="C312" s="53">
        <v>9</v>
      </c>
      <c r="D312" s="53"/>
      <c r="E312" s="20"/>
      <c r="F312" s="20" t="s">
        <v>408</v>
      </c>
      <c r="G312" s="20" t="s">
        <v>1230</v>
      </c>
      <c r="I312" s="21"/>
    </row>
    <row r="313" spans="1:9" ht="18" customHeight="1">
      <c r="A313" s="48">
        <v>312</v>
      </c>
      <c r="B313" s="44" t="s">
        <v>846</v>
      </c>
      <c r="C313" s="53">
        <v>9</v>
      </c>
      <c r="D313" s="53"/>
      <c r="E313" s="20"/>
      <c r="F313" s="20" t="s">
        <v>409</v>
      </c>
      <c r="G313" s="20" t="s">
        <v>1231</v>
      </c>
      <c r="I313" s="21"/>
    </row>
    <row r="314" spans="1:9" ht="18" customHeight="1">
      <c r="A314" s="48">
        <v>313</v>
      </c>
      <c r="B314" s="44" t="s">
        <v>846</v>
      </c>
      <c r="C314" s="53">
        <v>9</v>
      </c>
      <c r="D314" s="53"/>
      <c r="E314" s="20"/>
      <c r="F314" s="20" t="s">
        <v>410</v>
      </c>
      <c r="G314" s="20" t="s">
        <v>1232</v>
      </c>
      <c r="I314" s="21"/>
    </row>
    <row r="315" spans="1:9" ht="18" customHeight="1">
      <c r="A315" s="48">
        <v>314</v>
      </c>
      <c r="B315" s="44" t="s">
        <v>846</v>
      </c>
      <c r="C315" s="53">
        <v>9</v>
      </c>
      <c r="D315" s="53"/>
      <c r="E315" s="20"/>
      <c r="F315" s="20" t="s">
        <v>411</v>
      </c>
      <c r="G315" s="20" t="s">
        <v>1233</v>
      </c>
      <c r="I315" s="21"/>
    </row>
    <row r="316" spans="1:9" ht="18" customHeight="1">
      <c r="A316" s="48">
        <v>315</v>
      </c>
      <c r="B316" s="44" t="s">
        <v>846</v>
      </c>
      <c r="C316" s="53">
        <v>9</v>
      </c>
      <c r="D316" s="53"/>
      <c r="E316" s="20"/>
      <c r="F316" s="20" t="s">
        <v>412</v>
      </c>
      <c r="G316" s="20" t="s">
        <v>1234</v>
      </c>
      <c r="I316" s="21"/>
    </row>
    <row r="317" spans="1:9" ht="18" customHeight="1">
      <c r="A317" s="48">
        <v>316</v>
      </c>
      <c r="B317" s="44" t="s">
        <v>846</v>
      </c>
      <c r="C317" s="53">
        <v>9</v>
      </c>
      <c r="D317" s="53"/>
      <c r="E317" s="20"/>
      <c r="F317" s="20" t="s">
        <v>413</v>
      </c>
      <c r="G317" s="20" t="s">
        <v>1235</v>
      </c>
      <c r="I317" s="21"/>
    </row>
    <row r="318" spans="1:9" ht="18" customHeight="1">
      <c r="A318" s="48">
        <v>317</v>
      </c>
      <c r="B318" s="44" t="s">
        <v>846</v>
      </c>
      <c r="C318" s="53">
        <v>9</v>
      </c>
      <c r="D318" s="53"/>
      <c r="E318" s="20"/>
      <c r="F318" s="20" t="s">
        <v>414</v>
      </c>
      <c r="G318" s="20" t="s">
        <v>1236</v>
      </c>
      <c r="I318" s="21"/>
    </row>
    <row r="319" spans="1:9" ht="18" customHeight="1">
      <c r="A319" s="48">
        <v>318</v>
      </c>
      <c r="B319" s="44" t="s">
        <v>846</v>
      </c>
      <c r="C319" s="53">
        <v>9</v>
      </c>
      <c r="D319" s="53"/>
      <c r="E319" s="20"/>
      <c r="F319" s="20" t="s">
        <v>415</v>
      </c>
      <c r="G319" s="20" t="s">
        <v>1237</v>
      </c>
      <c r="I319" s="21"/>
    </row>
    <row r="320" spans="1:9" ht="18" customHeight="1">
      <c r="A320" s="48">
        <v>319</v>
      </c>
      <c r="B320" s="44" t="s">
        <v>846</v>
      </c>
      <c r="C320" s="53">
        <v>9</v>
      </c>
      <c r="D320" s="53"/>
      <c r="E320" s="20"/>
      <c r="F320" s="20" t="s">
        <v>416</v>
      </c>
      <c r="G320" s="20" t="s">
        <v>1238</v>
      </c>
      <c r="I320" s="21"/>
    </row>
    <row r="321" spans="1:9" ht="18" customHeight="1">
      <c r="A321" s="48">
        <v>320</v>
      </c>
      <c r="B321" s="44" t="s">
        <v>846</v>
      </c>
      <c r="C321" s="53">
        <v>9</v>
      </c>
      <c r="D321" s="53"/>
      <c r="E321" s="20"/>
      <c r="F321" s="20" t="s">
        <v>417</v>
      </c>
      <c r="G321" s="20" t="s">
        <v>1239</v>
      </c>
      <c r="I321" s="21"/>
    </row>
    <row r="322" spans="1:9" ht="18" customHeight="1">
      <c r="A322" s="48">
        <v>321</v>
      </c>
      <c r="B322" s="44" t="s">
        <v>846</v>
      </c>
      <c r="C322" s="53">
        <v>9</v>
      </c>
      <c r="D322" s="53"/>
      <c r="E322" s="20"/>
      <c r="F322" s="20" t="s">
        <v>418</v>
      </c>
      <c r="G322" s="20" t="s">
        <v>1240</v>
      </c>
      <c r="I322" s="21"/>
    </row>
    <row r="323" spans="1:9" ht="18" customHeight="1">
      <c r="A323" s="48">
        <v>322</v>
      </c>
      <c r="B323" s="44" t="s">
        <v>846</v>
      </c>
      <c r="C323" s="53">
        <v>9</v>
      </c>
      <c r="D323" s="53"/>
      <c r="E323" s="20"/>
      <c r="F323" s="20" t="s">
        <v>419</v>
      </c>
      <c r="G323" s="20" t="s">
        <v>1241</v>
      </c>
      <c r="I323" s="21"/>
    </row>
    <row r="324" spans="1:9" ht="18" customHeight="1">
      <c r="A324" s="48">
        <v>323</v>
      </c>
      <c r="B324" s="44" t="s">
        <v>846</v>
      </c>
      <c r="C324" s="53">
        <v>9</v>
      </c>
      <c r="D324" s="53"/>
      <c r="E324" s="20"/>
      <c r="F324" s="20" t="s">
        <v>420</v>
      </c>
      <c r="G324" s="20" t="s">
        <v>1242</v>
      </c>
      <c r="I324" s="21"/>
    </row>
    <row r="325" spans="1:9" ht="18" customHeight="1">
      <c r="A325" s="48">
        <v>324</v>
      </c>
      <c r="B325" s="44" t="s">
        <v>846</v>
      </c>
      <c r="C325" s="53">
        <v>9</v>
      </c>
      <c r="D325" s="53"/>
      <c r="E325" s="20"/>
      <c r="F325" s="20" t="s">
        <v>421</v>
      </c>
      <c r="G325" s="20" t="s">
        <v>1243</v>
      </c>
      <c r="I325" s="21"/>
    </row>
    <row r="326" spans="1:9" ht="18" customHeight="1">
      <c r="A326" s="48">
        <v>325</v>
      </c>
      <c r="B326" s="44" t="s">
        <v>846</v>
      </c>
      <c r="C326" s="53">
        <v>9</v>
      </c>
      <c r="D326" s="53"/>
      <c r="E326" s="20"/>
      <c r="F326" s="20" t="s">
        <v>422</v>
      </c>
      <c r="G326" s="20" t="s">
        <v>1244</v>
      </c>
      <c r="I326" s="21"/>
    </row>
    <row r="327" spans="1:9" ht="18" customHeight="1">
      <c r="A327" s="48">
        <v>326</v>
      </c>
      <c r="B327" s="44" t="s">
        <v>846</v>
      </c>
      <c r="C327" s="53">
        <v>9</v>
      </c>
      <c r="D327" s="53"/>
      <c r="E327" s="20"/>
      <c r="F327" s="20" t="s">
        <v>423</v>
      </c>
      <c r="G327" s="20" t="s">
        <v>1245</v>
      </c>
      <c r="I327" s="21"/>
    </row>
    <row r="328" spans="1:9" ht="18" customHeight="1">
      <c r="A328" s="48">
        <v>327</v>
      </c>
      <c r="B328" s="44" t="s">
        <v>846</v>
      </c>
      <c r="C328" s="53">
        <v>9</v>
      </c>
      <c r="D328" s="53"/>
      <c r="E328" s="20"/>
      <c r="F328" s="20" t="s">
        <v>424</v>
      </c>
      <c r="G328" s="20" t="s">
        <v>1246</v>
      </c>
      <c r="I328" s="21"/>
    </row>
    <row r="329" spans="1:9" ht="18" customHeight="1">
      <c r="A329" s="48">
        <v>328</v>
      </c>
      <c r="B329" s="44" t="s">
        <v>846</v>
      </c>
      <c r="C329" s="53">
        <v>9</v>
      </c>
      <c r="D329" s="53"/>
      <c r="E329" s="20"/>
      <c r="F329" s="20" t="s">
        <v>425</v>
      </c>
      <c r="G329" s="20" t="s">
        <v>1247</v>
      </c>
      <c r="I329" s="21"/>
    </row>
    <row r="330" spans="1:9" ht="18" customHeight="1">
      <c r="A330" s="48">
        <v>329</v>
      </c>
      <c r="B330" s="44" t="s">
        <v>846</v>
      </c>
      <c r="C330" s="53">
        <v>9</v>
      </c>
      <c r="D330" s="53"/>
      <c r="E330" s="20"/>
      <c r="F330" s="20" t="s">
        <v>426</v>
      </c>
      <c r="G330" s="20" t="s">
        <v>1248</v>
      </c>
      <c r="I330" s="21"/>
    </row>
    <row r="331" spans="1:9" ht="18" customHeight="1">
      <c r="A331" s="48">
        <v>330</v>
      </c>
      <c r="B331" s="44" t="s">
        <v>846</v>
      </c>
      <c r="C331" s="53">
        <v>9</v>
      </c>
      <c r="D331" s="53"/>
      <c r="E331" s="20"/>
      <c r="F331" s="20" t="s">
        <v>427</v>
      </c>
      <c r="G331" s="20" t="s">
        <v>1249</v>
      </c>
      <c r="I331" s="21"/>
    </row>
    <row r="332" spans="1:9" ht="18" customHeight="1">
      <c r="A332" s="48">
        <v>331</v>
      </c>
      <c r="B332" s="44" t="s">
        <v>846</v>
      </c>
      <c r="C332" s="53">
        <v>9</v>
      </c>
      <c r="D332" s="53"/>
      <c r="E332" s="20"/>
      <c r="F332" s="20" t="s">
        <v>428</v>
      </c>
      <c r="G332" s="20" t="s">
        <v>1250</v>
      </c>
      <c r="I332" s="21"/>
    </row>
    <row r="333" spans="1:9" ht="18" customHeight="1">
      <c r="A333" s="48">
        <v>332</v>
      </c>
      <c r="B333" s="44" t="s">
        <v>846</v>
      </c>
      <c r="C333" s="53">
        <v>9</v>
      </c>
      <c r="D333" s="53"/>
      <c r="E333" s="20"/>
      <c r="F333" s="20" t="s">
        <v>429</v>
      </c>
      <c r="G333" s="20" t="s">
        <v>1251</v>
      </c>
      <c r="I333" s="21"/>
    </row>
    <row r="334" spans="1:9" ht="18" customHeight="1">
      <c r="A334" s="48">
        <v>333</v>
      </c>
      <c r="B334" s="44" t="s">
        <v>846</v>
      </c>
      <c r="C334" s="53">
        <v>9</v>
      </c>
      <c r="D334" s="53"/>
      <c r="E334" s="20"/>
      <c r="F334" s="20" t="s">
        <v>430</v>
      </c>
      <c r="G334" s="20" t="s">
        <v>1252</v>
      </c>
      <c r="I334" s="21"/>
    </row>
    <row r="335" spans="1:9" ht="18" customHeight="1">
      <c r="A335" s="48">
        <v>334</v>
      </c>
      <c r="B335" s="44" t="s">
        <v>846</v>
      </c>
      <c r="C335" s="53">
        <v>9</v>
      </c>
      <c r="D335" s="53"/>
      <c r="E335" s="20"/>
      <c r="F335" s="20" t="s">
        <v>431</v>
      </c>
      <c r="G335" s="20" t="s">
        <v>1253</v>
      </c>
      <c r="I335" s="21"/>
    </row>
    <row r="336" spans="1:9" ht="18" customHeight="1">
      <c r="A336" s="48">
        <v>335</v>
      </c>
      <c r="B336" s="44" t="s">
        <v>846</v>
      </c>
      <c r="C336" s="53">
        <v>9</v>
      </c>
      <c r="D336" s="53"/>
      <c r="E336" s="20"/>
      <c r="F336" s="20" t="s">
        <v>432</v>
      </c>
      <c r="G336" s="20" t="s">
        <v>1254</v>
      </c>
      <c r="I336" s="21"/>
    </row>
    <row r="337" spans="1:9" ht="18" customHeight="1">
      <c r="A337" s="48">
        <v>336</v>
      </c>
      <c r="B337" s="44" t="s">
        <v>846</v>
      </c>
      <c r="C337" s="53">
        <v>9</v>
      </c>
      <c r="D337" s="53"/>
      <c r="E337" s="20"/>
      <c r="F337" s="20" t="s">
        <v>433</v>
      </c>
      <c r="G337" s="20" t="s">
        <v>1255</v>
      </c>
      <c r="I337" s="21"/>
    </row>
    <row r="338" spans="1:9" ht="18" customHeight="1">
      <c r="A338" s="48">
        <v>337</v>
      </c>
      <c r="B338" s="44" t="s">
        <v>846</v>
      </c>
      <c r="C338" s="53">
        <v>9</v>
      </c>
      <c r="D338" s="53"/>
      <c r="E338" s="20"/>
      <c r="F338" s="20" t="s">
        <v>434</v>
      </c>
      <c r="G338" s="20" t="s">
        <v>1256</v>
      </c>
      <c r="I338" s="21"/>
    </row>
    <row r="339" spans="1:9" ht="18" customHeight="1">
      <c r="A339" s="48">
        <v>338</v>
      </c>
      <c r="B339" s="44" t="s">
        <v>846</v>
      </c>
      <c r="C339" s="53">
        <v>9</v>
      </c>
      <c r="D339" s="53"/>
      <c r="E339" s="20"/>
      <c r="F339" s="20" t="s">
        <v>435</v>
      </c>
      <c r="G339" s="20" t="s">
        <v>1257</v>
      </c>
      <c r="I339" s="21"/>
    </row>
    <row r="340" spans="1:9" ht="18" customHeight="1">
      <c r="A340" s="48">
        <v>339</v>
      </c>
      <c r="B340" s="44" t="s">
        <v>846</v>
      </c>
      <c r="C340" s="53">
        <v>9</v>
      </c>
      <c r="D340" s="53"/>
      <c r="E340" s="20"/>
      <c r="F340" s="20" t="s">
        <v>436</v>
      </c>
      <c r="G340" s="20" t="s">
        <v>1258</v>
      </c>
      <c r="I340" s="21"/>
    </row>
    <row r="341" spans="1:9" ht="18" customHeight="1">
      <c r="A341" s="48">
        <v>340</v>
      </c>
      <c r="B341" s="44" t="s">
        <v>846</v>
      </c>
      <c r="C341" s="53">
        <v>9</v>
      </c>
      <c r="D341" s="53"/>
      <c r="E341" s="20"/>
      <c r="F341" s="20" t="s">
        <v>437</v>
      </c>
      <c r="G341" s="20" t="s">
        <v>1259</v>
      </c>
      <c r="I341" s="21"/>
    </row>
    <row r="342" spans="1:9" ht="18" customHeight="1">
      <c r="A342" s="48">
        <v>341</v>
      </c>
      <c r="B342" s="44" t="s">
        <v>846</v>
      </c>
      <c r="C342" s="53">
        <v>9</v>
      </c>
      <c r="D342" s="53"/>
      <c r="E342" s="20"/>
      <c r="F342" s="20" t="s">
        <v>438</v>
      </c>
      <c r="G342" s="20" t="s">
        <v>1260</v>
      </c>
      <c r="I342" s="21"/>
    </row>
    <row r="343" spans="1:9" ht="18" customHeight="1">
      <c r="A343" s="48">
        <v>342</v>
      </c>
      <c r="B343" s="44" t="s">
        <v>846</v>
      </c>
      <c r="C343" s="53">
        <v>9</v>
      </c>
      <c r="D343" s="53"/>
      <c r="E343" s="20"/>
      <c r="F343" s="20" t="s">
        <v>439</v>
      </c>
      <c r="G343" s="20" t="s">
        <v>1261</v>
      </c>
      <c r="I343" s="21"/>
    </row>
    <row r="344" spans="1:9" ht="18" customHeight="1">
      <c r="A344" s="48">
        <v>343</v>
      </c>
      <c r="B344" s="44" t="s">
        <v>846</v>
      </c>
      <c r="C344" s="53">
        <v>9</v>
      </c>
      <c r="D344" s="53"/>
      <c r="E344" s="20"/>
      <c r="F344" s="20" t="s">
        <v>440</v>
      </c>
      <c r="G344" s="20" t="s">
        <v>1262</v>
      </c>
      <c r="I344" s="21"/>
    </row>
    <row r="345" spans="1:9" ht="18" customHeight="1">
      <c r="A345" s="48">
        <v>344</v>
      </c>
      <c r="B345" s="44" t="s">
        <v>846</v>
      </c>
      <c r="C345" s="53">
        <v>9</v>
      </c>
      <c r="D345" s="53"/>
      <c r="E345" s="20"/>
      <c r="F345" s="20" t="s">
        <v>441</v>
      </c>
      <c r="G345" s="20" t="s">
        <v>1263</v>
      </c>
      <c r="I345" s="21"/>
    </row>
    <row r="346" spans="1:9" ht="18" customHeight="1">
      <c r="A346" s="48">
        <v>345</v>
      </c>
      <c r="B346" s="44" t="s">
        <v>846</v>
      </c>
      <c r="C346" s="53">
        <v>9</v>
      </c>
      <c r="D346" s="53"/>
      <c r="E346" s="20"/>
      <c r="F346" s="20" t="s">
        <v>442</v>
      </c>
      <c r="G346" s="20" t="s">
        <v>1264</v>
      </c>
      <c r="I346" s="21"/>
    </row>
    <row r="347" spans="1:9" ht="18" customHeight="1">
      <c r="A347" s="48">
        <v>346</v>
      </c>
      <c r="B347" s="44" t="s">
        <v>846</v>
      </c>
      <c r="C347" s="53">
        <v>9</v>
      </c>
      <c r="D347" s="53"/>
      <c r="E347" s="20"/>
      <c r="F347" s="20" t="s">
        <v>443</v>
      </c>
      <c r="G347" s="20" t="s">
        <v>1265</v>
      </c>
      <c r="I347" s="21"/>
    </row>
    <row r="348" spans="1:9" ht="18" customHeight="1">
      <c r="A348" s="48">
        <v>347</v>
      </c>
      <c r="B348" s="44" t="s">
        <v>846</v>
      </c>
      <c r="C348" s="53">
        <v>9</v>
      </c>
      <c r="D348" s="53"/>
      <c r="E348" s="20"/>
      <c r="F348" s="20" t="s">
        <v>444</v>
      </c>
      <c r="G348" s="20" t="s">
        <v>1266</v>
      </c>
      <c r="I348" s="21"/>
    </row>
    <row r="349" spans="1:9" ht="18" customHeight="1">
      <c r="A349" s="48">
        <v>348</v>
      </c>
      <c r="B349" s="44" t="s">
        <v>846</v>
      </c>
      <c r="C349" s="53">
        <v>9</v>
      </c>
      <c r="D349" s="53"/>
      <c r="E349" s="20"/>
      <c r="F349" s="20" t="s">
        <v>445</v>
      </c>
      <c r="G349" s="20" t="s">
        <v>747</v>
      </c>
      <c r="I349" s="21"/>
    </row>
    <row r="350" spans="1:9" ht="18" customHeight="1">
      <c r="A350" s="48">
        <v>349</v>
      </c>
      <c r="B350" s="44" t="s">
        <v>846</v>
      </c>
      <c r="C350" s="53">
        <v>9</v>
      </c>
      <c r="D350" s="53"/>
      <c r="E350" s="20"/>
      <c r="F350" s="20" t="s">
        <v>446</v>
      </c>
      <c r="G350" s="20" t="s">
        <v>748</v>
      </c>
      <c r="I350" s="21"/>
    </row>
    <row r="351" spans="1:9" ht="18" customHeight="1">
      <c r="A351" s="48">
        <v>350</v>
      </c>
      <c r="B351" s="44" t="s">
        <v>846</v>
      </c>
      <c r="C351" s="53">
        <v>9</v>
      </c>
      <c r="D351" s="53"/>
      <c r="E351" s="20"/>
      <c r="F351" s="20" t="s">
        <v>447</v>
      </c>
      <c r="G351" s="20" t="s">
        <v>1267</v>
      </c>
      <c r="I351" s="21"/>
    </row>
    <row r="352" spans="1:9" ht="18" customHeight="1">
      <c r="A352" s="48">
        <v>351</v>
      </c>
      <c r="B352" s="44" t="s">
        <v>846</v>
      </c>
      <c r="C352" s="53">
        <v>9</v>
      </c>
      <c r="D352" s="53"/>
      <c r="E352" s="20"/>
      <c r="F352" s="20" t="s">
        <v>448</v>
      </c>
      <c r="G352" s="20" t="s">
        <v>1268</v>
      </c>
      <c r="I352" s="21"/>
    </row>
    <row r="353" spans="1:9" ht="18" customHeight="1">
      <c r="A353" s="48">
        <v>352</v>
      </c>
      <c r="B353" s="44" t="s">
        <v>846</v>
      </c>
      <c r="C353" s="53">
        <v>9</v>
      </c>
      <c r="D353" s="53"/>
      <c r="E353" s="20"/>
      <c r="F353" s="20" t="s">
        <v>449</v>
      </c>
      <c r="G353" s="20" t="s">
        <v>1269</v>
      </c>
      <c r="I353" s="21"/>
    </row>
    <row r="354" spans="1:9" ht="18" customHeight="1">
      <c r="A354" s="48">
        <v>353</v>
      </c>
      <c r="B354" s="44" t="s">
        <v>846</v>
      </c>
      <c r="C354" s="53">
        <v>9</v>
      </c>
      <c r="D354" s="53"/>
      <c r="E354" s="20"/>
      <c r="F354" s="20" t="s">
        <v>450</v>
      </c>
      <c r="G354" s="20" t="s">
        <v>1270</v>
      </c>
      <c r="I354" s="21"/>
    </row>
    <row r="355" spans="1:9" ht="18" customHeight="1">
      <c r="A355" s="48">
        <v>354</v>
      </c>
      <c r="B355" s="44" t="s">
        <v>846</v>
      </c>
      <c r="C355" s="53">
        <v>9</v>
      </c>
      <c r="D355" s="53"/>
      <c r="E355" s="20"/>
      <c r="F355" s="20" t="s">
        <v>451</v>
      </c>
      <c r="G355" s="20" t="s">
        <v>1271</v>
      </c>
      <c r="I355" s="21"/>
    </row>
    <row r="356" spans="1:9" ht="18" customHeight="1">
      <c r="A356" s="48">
        <v>355</v>
      </c>
      <c r="B356" s="44" t="s">
        <v>846</v>
      </c>
      <c r="C356" s="53">
        <v>9</v>
      </c>
      <c r="D356" s="53"/>
      <c r="E356" s="20"/>
      <c r="F356" s="20" t="s">
        <v>452</v>
      </c>
      <c r="G356" s="20" t="s">
        <v>1272</v>
      </c>
      <c r="I356" s="21"/>
    </row>
    <row r="357" spans="1:9" ht="18" customHeight="1">
      <c r="A357" s="48">
        <v>356</v>
      </c>
      <c r="B357" s="44" t="s">
        <v>846</v>
      </c>
      <c r="C357" s="53">
        <v>9</v>
      </c>
      <c r="D357" s="53"/>
      <c r="E357" s="20"/>
      <c r="F357" s="20" t="s">
        <v>453</v>
      </c>
      <c r="G357" s="20" t="s">
        <v>1273</v>
      </c>
      <c r="I357" s="21"/>
    </row>
    <row r="358" spans="1:9" ht="18" customHeight="1">
      <c r="A358" s="48">
        <v>357</v>
      </c>
      <c r="B358" s="44" t="s">
        <v>846</v>
      </c>
      <c r="C358" s="53">
        <v>9</v>
      </c>
      <c r="D358" s="53"/>
      <c r="E358" s="20"/>
      <c r="F358" s="20" t="s">
        <v>454</v>
      </c>
      <c r="G358" s="20" t="s">
        <v>1274</v>
      </c>
      <c r="I358" s="21"/>
    </row>
    <row r="359" spans="1:9" ht="18" customHeight="1">
      <c r="A359" s="48">
        <v>358</v>
      </c>
      <c r="B359" s="44" t="s">
        <v>846</v>
      </c>
      <c r="C359" s="53">
        <v>9</v>
      </c>
      <c r="D359" s="53"/>
      <c r="E359" s="20"/>
      <c r="F359" s="20" t="s">
        <v>455</v>
      </c>
      <c r="G359" s="20" t="s">
        <v>1275</v>
      </c>
      <c r="I359" s="21"/>
    </row>
    <row r="360" spans="1:9" ht="18" customHeight="1">
      <c r="A360" s="48">
        <v>359</v>
      </c>
      <c r="B360" s="44" t="s">
        <v>846</v>
      </c>
      <c r="C360" s="53">
        <v>9</v>
      </c>
      <c r="D360" s="53"/>
      <c r="E360" s="20"/>
      <c r="F360" s="20" t="s">
        <v>456</v>
      </c>
      <c r="G360" s="20" t="s">
        <v>1276</v>
      </c>
      <c r="I360" s="21"/>
    </row>
    <row r="361" spans="1:9" ht="18" customHeight="1">
      <c r="A361" s="48">
        <v>360</v>
      </c>
      <c r="B361" s="44" t="s">
        <v>846</v>
      </c>
      <c r="C361" s="53">
        <v>9</v>
      </c>
      <c r="D361" s="53"/>
      <c r="E361" s="20"/>
      <c r="F361" s="20" t="s">
        <v>458</v>
      </c>
      <c r="G361" s="20" t="s">
        <v>1277</v>
      </c>
      <c r="I361" s="21"/>
    </row>
    <row r="362" spans="1:9" ht="18" customHeight="1">
      <c r="A362" s="48">
        <v>361</v>
      </c>
      <c r="B362" s="44" t="s">
        <v>846</v>
      </c>
      <c r="C362" s="53">
        <v>9</v>
      </c>
      <c r="D362" s="53"/>
      <c r="E362" s="20"/>
      <c r="F362" s="20" t="s">
        <v>459</v>
      </c>
      <c r="G362" s="20" t="s">
        <v>1278</v>
      </c>
      <c r="I362" s="21"/>
    </row>
    <row r="363" spans="1:9" ht="18" customHeight="1">
      <c r="A363" s="48">
        <v>362</v>
      </c>
      <c r="B363" s="44" t="s">
        <v>846</v>
      </c>
      <c r="C363" s="53">
        <v>9</v>
      </c>
      <c r="D363" s="53"/>
      <c r="E363" s="20"/>
      <c r="F363" s="20" t="s">
        <v>460</v>
      </c>
      <c r="G363" s="20" t="s">
        <v>1279</v>
      </c>
      <c r="I363" s="21"/>
    </row>
    <row r="364" spans="1:9" ht="18" customHeight="1">
      <c r="A364" s="48">
        <v>363</v>
      </c>
      <c r="B364" s="44" t="s">
        <v>846</v>
      </c>
      <c r="C364" s="53">
        <v>9</v>
      </c>
      <c r="D364" s="53"/>
      <c r="E364" s="20"/>
      <c r="F364" s="20" t="s">
        <v>461</v>
      </c>
      <c r="G364" s="20" t="s">
        <v>1280</v>
      </c>
      <c r="I364" s="21"/>
    </row>
    <row r="365" spans="1:9" ht="18" customHeight="1">
      <c r="A365" s="48">
        <v>364</v>
      </c>
      <c r="B365" s="44" t="s">
        <v>846</v>
      </c>
      <c r="C365" s="53">
        <v>9</v>
      </c>
      <c r="D365" s="53"/>
      <c r="E365" s="20"/>
      <c r="F365" s="20" t="s">
        <v>462</v>
      </c>
      <c r="G365" s="20" t="s">
        <v>1281</v>
      </c>
      <c r="I365" s="21"/>
    </row>
    <row r="366" spans="1:9" ht="18" customHeight="1">
      <c r="A366" s="48">
        <v>365</v>
      </c>
      <c r="B366" s="44" t="s">
        <v>846</v>
      </c>
      <c r="C366" s="53">
        <v>9</v>
      </c>
      <c r="D366" s="53"/>
      <c r="E366" s="20"/>
      <c r="F366" s="20" t="s">
        <v>463</v>
      </c>
      <c r="G366" s="20" t="s">
        <v>1282</v>
      </c>
      <c r="I366" s="21"/>
    </row>
    <row r="367" spans="1:9" ht="18" customHeight="1">
      <c r="A367" s="48">
        <v>366</v>
      </c>
      <c r="B367" s="44" t="s">
        <v>846</v>
      </c>
      <c r="C367" s="53">
        <v>9</v>
      </c>
      <c r="D367" s="53"/>
      <c r="E367" s="20"/>
      <c r="F367" s="20" t="s">
        <v>464</v>
      </c>
      <c r="G367" s="20" t="s">
        <v>1283</v>
      </c>
      <c r="I367" s="21"/>
    </row>
    <row r="368" spans="1:9" ht="18" customHeight="1">
      <c r="A368" s="48">
        <v>367</v>
      </c>
      <c r="B368" s="44" t="s">
        <v>846</v>
      </c>
      <c r="C368" s="53">
        <v>9</v>
      </c>
      <c r="D368" s="53"/>
      <c r="E368" s="20"/>
      <c r="F368" s="20" t="s">
        <v>465</v>
      </c>
      <c r="G368" s="20" t="s">
        <v>1284</v>
      </c>
      <c r="I368" s="21"/>
    </row>
    <row r="369" spans="1:9" ht="18" customHeight="1">
      <c r="A369" s="48">
        <v>368</v>
      </c>
      <c r="B369" s="44" t="s">
        <v>846</v>
      </c>
      <c r="C369" s="53">
        <v>9</v>
      </c>
      <c r="D369" s="53"/>
      <c r="E369" s="20"/>
      <c r="F369" s="20" t="s">
        <v>466</v>
      </c>
      <c r="G369" s="20" t="s">
        <v>1285</v>
      </c>
      <c r="I369" s="21"/>
    </row>
    <row r="370" spans="1:9" ht="18" customHeight="1">
      <c r="A370" s="48">
        <v>369</v>
      </c>
      <c r="B370" s="44" t="s">
        <v>846</v>
      </c>
      <c r="C370" s="53">
        <v>9</v>
      </c>
      <c r="D370" s="53"/>
      <c r="E370" s="20"/>
      <c r="F370" s="20" t="s">
        <v>467</v>
      </c>
      <c r="G370" s="20" t="s">
        <v>1286</v>
      </c>
      <c r="I370" s="21"/>
    </row>
    <row r="371" spans="1:9" ht="18" customHeight="1">
      <c r="A371" s="48">
        <v>370</v>
      </c>
      <c r="B371" s="44" t="s">
        <v>763</v>
      </c>
      <c r="C371" s="53">
        <v>9</v>
      </c>
      <c r="D371" s="53"/>
      <c r="E371" s="20" t="s">
        <v>103</v>
      </c>
      <c r="F371" s="20" t="s">
        <v>645</v>
      </c>
      <c r="G371" s="20" t="s">
        <v>1287</v>
      </c>
      <c r="I371" s="21"/>
    </row>
    <row r="372" spans="1:9" ht="18" customHeight="1">
      <c r="A372" s="48">
        <v>371</v>
      </c>
      <c r="B372" s="44" t="s">
        <v>763</v>
      </c>
      <c r="C372" s="53">
        <v>9</v>
      </c>
      <c r="D372" s="53"/>
      <c r="E372" s="20" t="s">
        <v>103</v>
      </c>
      <c r="F372" s="20" t="s">
        <v>646</v>
      </c>
      <c r="G372" s="20" t="s">
        <v>1288</v>
      </c>
      <c r="I372" s="21"/>
    </row>
    <row r="373" spans="1:9" ht="18" customHeight="1">
      <c r="A373" s="48">
        <v>372</v>
      </c>
      <c r="B373" s="44" t="s">
        <v>763</v>
      </c>
      <c r="C373" s="53">
        <v>9</v>
      </c>
      <c r="D373" s="53"/>
      <c r="E373" s="20" t="s">
        <v>103</v>
      </c>
      <c r="F373" s="20" t="s">
        <v>647</v>
      </c>
      <c r="G373" s="20" t="s">
        <v>1289</v>
      </c>
      <c r="I373" s="21"/>
    </row>
    <row r="374" spans="1:9" ht="18" customHeight="1">
      <c r="A374" s="48">
        <v>373</v>
      </c>
      <c r="B374" s="44" t="s">
        <v>763</v>
      </c>
      <c r="C374" s="53">
        <v>9</v>
      </c>
      <c r="D374" s="53"/>
      <c r="E374" s="20" t="s">
        <v>103</v>
      </c>
      <c r="F374" s="20" t="s">
        <v>648</v>
      </c>
      <c r="G374" s="20" t="s">
        <v>1290</v>
      </c>
      <c r="I374" s="21"/>
    </row>
    <row r="375" spans="1:9" ht="18" customHeight="1">
      <c r="A375" s="48">
        <v>374</v>
      </c>
      <c r="B375" s="44" t="s">
        <v>763</v>
      </c>
      <c r="C375" s="53">
        <v>9</v>
      </c>
      <c r="D375" s="53"/>
      <c r="E375" s="20" t="s">
        <v>103</v>
      </c>
      <c r="F375" s="20" t="s">
        <v>649</v>
      </c>
      <c r="G375" s="20" t="s">
        <v>1291</v>
      </c>
      <c r="I375" s="21"/>
    </row>
    <row r="376" spans="1:9" ht="18" customHeight="1">
      <c r="A376" s="48">
        <v>375</v>
      </c>
      <c r="B376" s="44" t="s">
        <v>763</v>
      </c>
      <c r="C376" s="53">
        <v>9</v>
      </c>
      <c r="D376" s="53"/>
      <c r="E376" s="20" t="s">
        <v>103</v>
      </c>
      <c r="F376" s="20" t="s">
        <v>650</v>
      </c>
      <c r="G376" s="20" t="s">
        <v>1292</v>
      </c>
      <c r="I376" s="21"/>
    </row>
    <row r="377" spans="1:9" ht="18" customHeight="1">
      <c r="A377" s="48">
        <v>376</v>
      </c>
      <c r="B377" s="44" t="s">
        <v>763</v>
      </c>
      <c r="C377" s="53">
        <v>9</v>
      </c>
      <c r="D377" s="53"/>
      <c r="E377" s="20" t="s">
        <v>103</v>
      </c>
      <c r="F377" s="20" t="s">
        <v>651</v>
      </c>
      <c r="G377" s="20" t="s">
        <v>1293</v>
      </c>
      <c r="I377" s="21"/>
    </row>
    <row r="378" spans="1:9" ht="18" customHeight="1">
      <c r="A378" s="48">
        <v>377</v>
      </c>
      <c r="B378" s="44" t="s">
        <v>763</v>
      </c>
      <c r="C378" s="53">
        <v>9</v>
      </c>
      <c r="D378" s="53"/>
      <c r="E378" s="20" t="s">
        <v>103</v>
      </c>
      <c r="F378" s="20" t="s">
        <v>652</v>
      </c>
      <c r="G378" s="20" t="s">
        <v>1294</v>
      </c>
      <c r="I378" s="21"/>
    </row>
    <row r="379" spans="1:9" ht="18" customHeight="1">
      <c r="A379" s="48">
        <v>378</v>
      </c>
      <c r="B379" s="44" t="s">
        <v>763</v>
      </c>
      <c r="C379" s="53">
        <v>9</v>
      </c>
      <c r="D379" s="53"/>
      <c r="E379" s="20" t="s">
        <v>103</v>
      </c>
      <c r="F379" s="20" t="s">
        <v>653</v>
      </c>
      <c r="G379" s="20" t="s">
        <v>1295</v>
      </c>
      <c r="I379" s="21"/>
    </row>
    <row r="380" spans="1:9" ht="18" customHeight="1">
      <c r="A380" s="48">
        <v>379</v>
      </c>
      <c r="B380" s="44" t="s">
        <v>763</v>
      </c>
      <c r="C380" s="53">
        <v>9</v>
      </c>
      <c r="D380" s="53"/>
      <c r="E380" s="20" t="s">
        <v>103</v>
      </c>
      <c r="F380" s="20" t="s">
        <v>654</v>
      </c>
      <c r="G380" s="20" t="s">
        <v>1296</v>
      </c>
      <c r="I380" s="21"/>
    </row>
    <row r="381" spans="1:9" ht="18" customHeight="1">
      <c r="A381" s="48">
        <v>380</v>
      </c>
      <c r="B381" s="44" t="s">
        <v>763</v>
      </c>
      <c r="C381" s="53">
        <v>9</v>
      </c>
      <c r="D381" s="53"/>
      <c r="E381" s="20" t="s">
        <v>103</v>
      </c>
      <c r="F381" s="20" t="s">
        <v>655</v>
      </c>
      <c r="G381" s="20" t="s">
        <v>1297</v>
      </c>
      <c r="I381" s="21"/>
    </row>
    <row r="382" spans="1:9" ht="18" customHeight="1">
      <c r="A382" s="48">
        <v>381</v>
      </c>
      <c r="B382" s="44" t="s">
        <v>763</v>
      </c>
      <c r="C382" s="53">
        <v>9</v>
      </c>
      <c r="D382" s="53"/>
      <c r="E382" s="20" t="s">
        <v>103</v>
      </c>
      <c r="F382" s="20" t="s">
        <v>656</v>
      </c>
      <c r="G382" s="20" t="s">
        <v>1298</v>
      </c>
      <c r="I382" s="21"/>
    </row>
    <row r="383" spans="1:9" ht="18" customHeight="1">
      <c r="A383" s="48">
        <v>382</v>
      </c>
      <c r="B383" s="44" t="s">
        <v>763</v>
      </c>
      <c r="C383" s="53">
        <v>9</v>
      </c>
      <c r="D383" s="53"/>
      <c r="E383" s="20" t="s">
        <v>103</v>
      </c>
      <c r="F383" s="20" t="s">
        <v>657</v>
      </c>
      <c r="G383" s="20" t="s">
        <v>1299</v>
      </c>
      <c r="I383" s="21"/>
    </row>
    <row r="384" spans="1:9" ht="18" customHeight="1">
      <c r="A384" s="48">
        <v>383</v>
      </c>
      <c r="B384" s="44" t="s">
        <v>763</v>
      </c>
      <c r="C384" s="53">
        <v>9</v>
      </c>
      <c r="D384" s="53"/>
      <c r="E384" s="20" t="s">
        <v>103</v>
      </c>
      <c r="F384" s="20" t="s">
        <v>658</v>
      </c>
      <c r="G384" s="20" t="s">
        <v>1300</v>
      </c>
      <c r="I384" s="21"/>
    </row>
    <row r="385" spans="1:9" ht="18" customHeight="1">
      <c r="A385" s="48">
        <v>384</v>
      </c>
      <c r="B385" s="44" t="s">
        <v>763</v>
      </c>
      <c r="C385" s="53">
        <v>9</v>
      </c>
      <c r="D385" s="53"/>
      <c r="E385" s="20" t="s">
        <v>103</v>
      </c>
      <c r="F385" s="20" t="s">
        <v>659</v>
      </c>
      <c r="G385" s="20" t="s">
        <v>1301</v>
      </c>
      <c r="I385" s="21"/>
    </row>
    <row r="386" spans="1:9" ht="18" customHeight="1">
      <c r="A386" s="48">
        <v>385</v>
      </c>
      <c r="B386" s="44" t="s">
        <v>763</v>
      </c>
      <c r="C386" s="53">
        <v>9</v>
      </c>
      <c r="D386" s="53"/>
      <c r="E386" s="20" t="s">
        <v>103</v>
      </c>
      <c r="F386" s="20" t="s">
        <v>660</v>
      </c>
      <c r="G386" s="20" t="s">
        <v>1302</v>
      </c>
      <c r="I386" s="21"/>
    </row>
    <row r="387" spans="1:9" ht="18" customHeight="1">
      <c r="A387" s="48">
        <v>386</v>
      </c>
      <c r="B387" s="44" t="s">
        <v>763</v>
      </c>
      <c r="C387" s="53">
        <v>9</v>
      </c>
      <c r="D387" s="53"/>
      <c r="E387" s="20" t="s">
        <v>103</v>
      </c>
      <c r="F387" s="20" t="s">
        <v>661</v>
      </c>
      <c r="G387" s="20" t="s">
        <v>1303</v>
      </c>
      <c r="I387" s="21"/>
    </row>
    <row r="388" spans="1:9" ht="18" customHeight="1">
      <c r="A388" s="48">
        <v>387</v>
      </c>
      <c r="B388" s="44" t="s">
        <v>763</v>
      </c>
      <c r="C388" s="53">
        <v>9</v>
      </c>
      <c r="D388" s="53"/>
      <c r="E388" s="20" t="s">
        <v>103</v>
      </c>
      <c r="F388" s="20" t="s">
        <v>662</v>
      </c>
      <c r="G388" s="20" t="s">
        <v>1304</v>
      </c>
      <c r="I388" s="21"/>
    </row>
    <row r="389" spans="1:9" ht="18" customHeight="1">
      <c r="A389" s="48">
        <v>388</v>
      </c>
      <c r="B389" s="44" t="s">
        <v>763</v>
      </c>
      <c r="C389" s="53">
        <v>9</v>
      </c>
      <c r="D389" s="53"/>
      <c r="E389" s="20" t="s">
        <v>103</v>
      </c>
      <c r="F389" s="20" t="s">
        <v>663</v>
      </c>
      <c r="G389" s="20" t="s">
        <v>1305</v>
      </c>
      <c r="I389" s="21"/>
    </row>
    <row r="390" spans="1:9" ht="18" customHeight="1">
      <c r="A390" s="48">
        <v>389</v>
      </c>
      <c r="B390" s="44" t="s">
        <v>763</v>
      </c>
      <c r="C390" s="53">
        <v>9</v>
      </c>
      <c r="D390" s="53"/>
      <c r="E390" s="20" t="s">
        <v>103</v>
      </c>
      <c r="F390" s="20" t="s">
        <v>664</v>
      </c>
      <c r="G390" s="20" t="s">
        <v>1260</v>
      </c>
      <c r="I390" s="21"/>
    </row>
    <row r="391" spans="1:9" ht="18" customHeight="1">
      <c r="A391" s="48">
        <v>390</v>
      </c>
      <c r="B391" s="44" t="s">
        <v>763</v>
      </c>
      <c r="C391" s="53">
        <v>9</v>
      </c>
      <c r="D391" s="53"/>
      <c r="E391" s="20" t="s">
        <v>103</v>
      </c>
      <c r="F391" s="20" t="s">
        <v>665</v>
      </c>
      <c r="G391" s="20" t="s">
        <v>1261</v>
      </c>
      <c r="I391" s="21"/>
    </row>
    <row r="392" spans="1:9" ht="18" customHeight="1">
      <c r="A392" s="48">
        <v>391</v>
      </c>
      <c r="B392" s="44" t="s">
        <v>763</v>
      </c>
      <c r="C392" s="53">
        <v>9</v>
      </c>
      <c r="D392" s="53"/>
      <c r="E392" s="20" t="s">
        <v>103</v>
      </c>
      <c r="F392" s="20" t="s">
        <v>666</v>
      </c>
      <c r="G392" s="20" t="s">
        <v>1262</v>
      </c>
      <c r="I392" s="21"/>
    </row>
    <row r="393" spans="1:9" ht="18" customHeight="1">
      <c r="A393" s="48">
        <v>392</v>
      </c>
      <c r="B393" s="44" t="s">
        <v>763</v>
      </c>
      <c r="C393" s="53">
        <v>9</v>
      </c>
      <c r="D393" s="53"/>
      <c r="E393" s="20" t="s">
        <v>103</v>
      </c>
      <c r="F393" s="20" t="s">
        <v>667</v>
      </c>
      <c r="G393" s="20" t="s">
        <v>1263</v>
      </c>
      <c r="I393" s="21"/>
    </row>
    <row r="394" spans="1:9" ht="18" customHeight="1">
      <c r="A394" s="48">
        <v>393</v>
      </c>
      <c r="B394" s="44" t="s">
        <v>763</v>
      </c>
      <c r="C394" s="53">
        <v>9</v>
      </c>
      <c r="D394" s="53"/>
      <c r="E394" s="20" t="s">
        <v>103</v>
      </c>
      <c r="F394" s="20" t="s">
        <v>668</v>
      </c>
      <c r="G394" s="20" t="s">
        <v>1264</v>
      </c>
      <c r="I394" s="21"/>
    </row>
    <row r="395" spans="1:9" ht="18" customHeight="1">
      <c r="A395" s="48">
        <v>394</v>
      </c>
      <c r="B395" s="44" t="s">
        <v>763</v>
      </c>
      <c r="C395" s="53">
        <v>9</v>
      </c>
      <c r="D395" s="53"/>
      <c r="E395" s="20" t="s">
        <v>103</v>
      </c>
      <c r="F395" s="20" t="s">
        <v>669</v>
      </c>
      <c r="G395" s="20" t="s">
        <v>1265</v>
      </c>
      <c r="I395" s="21"/>
    </row>
    <row r="396" spans="1:9" ht="18" customHeight="1">
      <c r="A396" s="48">
        <v>395</v>
      </c>
      <c r="B396" s="44" t="s">
        <v>763</v>
      </c>
      <c r="C396" s="53">
        <v>9</v>
      </c>
      <c r="D396" s="53"/>
      <c r="E396" s="20" t="s">
        <v>103</v>
      </c>
      <c r="F396" s="20" t="s">
        <v>670</v>
      </c>
      <c r="G396" s="20" t="s">
        <v>1266</v>
      </c>
      <c r="I396" s="21"/>
    </row>
    <row r="397" spans="1:9" ht="18" customHeight="1">
      <c r="A397" s="48">
        <v>396</v>
      </c>
      <c r="B397" s="44" t="s">
        <v>763</v>
      </c>
      <c r="C397" s="53">
        <v>9</v>
      </c>
      <c r="D397" s="53"/>
      <c r="E397" s="20" t="s">
        <v>103</v>
      </c>
      <c r="F397" s="20" t="s">
        <v>671</v>
      </c>
      <c r="G397" s="20" t="s">
        <v>1306</v>
      </c>
      <c r="I397" s="21"/>
    </row>
    <row r="398" spans="1:9" ht="18" customHeight="1">
      <c r="A398" s="48">
        <v>397</v>
      </c>
      <c r="B398" s="44" t="s">
        <v>763</v>
      </c>
      <c r="C398" s="53">
        <v>9</v>
      </c>
      <c r="D398" s="53"/>
      <c r="E398" s="20" t="s">
        <v>103</v>
      </c>
      <c r="F398" s="20" t="s">
        <v>672</v>
      </c>
      <c r="G398" s="20" t="s">
        <v>1307</v>
      </c>
      <c r="I398" s="21"/>
    </row>
    <row r="399" spans="1:9" ht="18" customHeight="1">
      <c r="A399" s="48">
        <v>398</v>
      </c>
      <c r="B399" s="44" t="s">
        <v>763</v>
      </c>
      <c r="C399" s="53">
        <v>9</v>
      </c>
      <c r="D399" s="53"/>
      <c r="E399" s="20" t="s">
        <v>103</v>
      </c>
      <c r="F399" s="20" t="s">
        <v>673</v>
      </c>
      <c r="G399" s="20" t="s">
        <v>1308</v>
      </c>
      <c r="I399" s="21"/>
    </row>
    <row r="400" spans="1:9" ht="18" customHeight="1">
      <c r="A400" s="48">
        <v>399</v>
      </c>
      <c r="B400" s="44" t="s">
        <v>763</v>
      </c>
      <c r="C400" s="53">
        <v>9</v>
      </c>
      <c r="D400" s="53"/>
      <c r="E400" s="20" t="s">
        <v>103</v>
      </c>
      <c r="F400" s="20" t="s">
        <v>674</v>
      </c>
      <c r="G400" s="20" t="s">
        <v>1309</v>
      </c>
      <c r="I400" s="21"/>
    </row>
    <row r="401" spans="1:9" ht="18" customHeight="1">
      <c r="A401" s="48">
        <v>400</v>
      </c>
      <c r="B401" s="44" t="s">
        <v>763</v>
      </c>
      <c r="C401" s="53">
        <v>9</v>
      </c>
      <c r="D401" s="53"/>
      <c r="E401" s="20" t="s">
        <v>103</v>
      </c>
      <c r="F401" s="20" t="s">
        <v>675</v>
      </c>
      <c r="G401" s="20" t="s">
        <v>1310</v>
      </c>
      <c r="I401" s="21"/>
    </row>
    <row r="402" spans="1:9" ht="18" customHeight="1">
      <c r="A402" s="48">
        <v>401</v>
      </c>
      <c r="B402" s="44" t="s">
        <v>763</v>
      </c>
      <c r="C402" s="53">
        <v>9</v>
      </c>
      <c r="D402" s="53"/>
      <c r="E402" s="20" t="s">
        <v>103</v>
      </c>
      <c r="F402" s="20" t="s">
        <v>676</v>
      </c>
      <c r="G402" s="20" t="s">
        <v>1311</v>
      </c>
      <c r="I402" s="21"/>
    </row>
    <row r="403" spans="1:9" ht="18" customHeight="1">
      <c r="A403" s="48">
        <v>402</v>
      </c>
      <c r="B403" s="44" t="s">
        <v>763</v>
      </c>
      <c r="C403" s="53">
        <v>9</v>
      </c>
      <c r="D403" s="53"/>
      <c r="E403" s="20" t="s">
        <v>103</v>
      </c>
      <c r="F403" s="20" t="s">
        <v>677</v>
      </c>
      <c r="G403" s="20" t="s">
        <v>1312</v>
      </c>
      <c r="I403" s="21"/>
    </row>
    <row r="404" spans="1:9" ht="18" customHeight="1">
      <c r="A404" s="48">
        <v>403</v>
      </c>
      <c r="B404" s="44" t="s">
        <v>763</v>
      </c>
      <c r="C404" s="53">
        <v>9</v>
      </c>
      <c r="D404" s="53"/>
      <c r="E404" s="20" t="s">
        <v>103</v>
      </c>
      <c r="F404" s="20" t="s">
        <v>678</v>
      </c>
      <c r="G404" s="20" t="s">
        <v>1313</v>
      </c>
      <c r="I404" s="21"/>
    </row>
    <row r="405" spans="1:9" ht="18" customHeight="1">
      <c r="A405" s="48">
        <v>404</v>
      </c>
      <c r="B405" s="44" t="s">
        <v>763</v>
      </c>
      <c r="C405" s="53">
        <v>9</v>
      </c>
      <c r="D405" s="53"/>
      <c r="E405" s="20" t="s">
        <v>103</v>
      </c>
      <c r="F405" s="20" t="s">
        <v>679</v>
      </c>
      <c r="G405" s="20" t="s">
        <v>1314</v>
      </c>
      <c r="I405" s="21"/>
    </row>
    <row r="406" spans="1:9" ht="18" customHeight="1">
      <c r="A406" s="48">
        <v>405</v>
      </c>
      <c r="B406" s="44" t="s">
        <v>763</v>
      </c>
      <c r="C406" s="53">
        <v>9</v>
      </c>
      <c r="D406" s="53"/>
      <c r="E406" s="20" t="s">
        <v>103</v>
      </c>
      <c r="F406" s="20" t="s">
        <v>680</v>
      </c>
      <c r="G406" s="20" t="s">
        <v>1315</v>
      </c>
      <c r="I406" s="21"/>
    </row>
    <row r="407" spans="1:9" ht="18" customHeight="1">
      <c r="A407" s="48">
        <v>406</v>
      </c>
      <c r="B407" s="44" t="s">
        <v>763</v>
      </c>
      <c r="C407" s="53">
        <v>9</v>
      </c>
      <c r="D407" s="53"/>
      <c r="E407" s="20" t="s">
        <v>103</v>
      </c>
      <c r="F407" s="20" t="s">
        <v>681</v>
      </c>
      <c r="G407" s="20" t="s">
        <v>1316</v>
      </c>
      <c r="I407" s="21"/>
    </row>
    <row r="408" spans="1:9" ht="18" customHeight="1">
      <c r="A408" s="48">
        <v>407</v>
      </c>
      <c r="B408" s="44" t="s">
        <v>763</v>
      </c>
      <c r="C408" s="53">
        <v>9</v>
      </c>
      <c r="D408" s="53"/>
      <c r="E408" s="20" t="s">
        <v>103</v>
      </c>
      <c r="F408" s="20" t="s">
        <v>682</v>
      </c>
      <c r="G408" s="20" t="s">
        <v>1317</v>
      </c>
      <c r="I408" s="21"/>
    </row>
    <row r="409" spans="1:9" ht="18" customHeight="1">
      <c r="A409" s="48">
        <v>408</v>
      </c>
      <c r="B409" s="44" t="s">
        <v>763</v>
      </c>
      <c r="C409" s="53">
        <v>9</v>
      </c>
      <c r="D409" s="53"/>
      <c r="E409" s="20" t="s">
        <v>103</v>
      </c>
      <c r="F409" s="20" t="s">
        <v>683</v>
      </c>
      <c r="G409" s="20" t="s">
        <v>1318</v>
      </c>
      <c r="I409" s="21"/>
    </row>
    <row r="410" spans="1:9" ht="18" customHeight="1">
      <c r="A410" s="48">
        <v>409</v>
      </c>
      <c r="B410" s="44" t="s">
        <v>763</v>
      </c>
      <c r="C410" s="53">
        <v>9</v>
      </c>
      <c r="D410" s="53"/>
      <c r="E410" s="20" t="s">
        <v>103</v>
      </c>
      <c r="F410" s="20" t="s">
        <v>684</v>
      </c>
      <c r="G410" s="20" t="s">
        <v>1319</v>
      </c>
      <c r="I410" s="21"/>
    </row>
    <row r="411" spans="1:9" ht="18" customHeight="1">
      <c r="A411" s="48">
        <v>410</v>
      </c>
      <c r="B411" s="44" t="s">
        <v>763</v>
      </c>
      <c r="C411" s="53">
        <v>9</v>
      </c>
      <c r="D411" s="53"/>
      <c r="E411" s="20" t="s">
        <v>103</v>
      </c>
      <c r="F411" s="20" t="s">
        <v>685</v>
      </c>
      <c r="G411" s="20" t="s">
        <v>1320</v>
      </c>
      <c r="I411" s="21"/>
    </row>
    <row r="412" spans="1:9" ht="18" customHeight="1">
      <c r="A412" s="48">
        <v>411</v>
      </c>
      <c r="B412" s="44" t="s">
        <v>763</v>
      </c>
      <c r="C412" s="53">
        <v>9</v>
      </c>
      <c r="D412" s="53"/>
      <c r="E412" s="20" t="s">
        <v>103</v>
      </c>
      <c r="F412" s="20" t="s">
        <v>686</v>
      </c>
      <c r="G412" s="20" t="s">
        <v>1321</v>
      </c>
      <c r="I412" s="21"/>
    </row>
    <row r="413" spans="1:9" ht="18" customHeight="1">
      <c r="A413" s="48">
        <v>412</v>
      </c>
      <c r="B413" s="44" t="s">
        <v>763</v>
      </c>
      <c r="C413" s="53">
        <v>9</v>
      </c>
      <c r="D413" s="53"/>
      <c r="E413" s="20" t="s">
        <v>103</v>
      </c>
      <c r="F413" s="20" t="s">
        <v>687</v>
      </c>
      <c r="G413" s="20" t="s">
        <v>1322</v>
      </c>
      <c r="I413" s="21"/>
    </row>
    <row r="414" spans="1:9" ht="18" customHeight="1">
      <c r="A414" s="48">
        <v>413</v>
      </c>
      <c r="B414" s="44" t="s">
        <v>763</v>
      </c>
      <c r="C414" s="53">
        <v>9</v>
      </c>
      <c r="D414" s="53"/>
      <c r="E414" s="20" t="s">
        <v>103</v>
      </c>
      <c r="F414" s="20" t="s">
        <v>688</v>
      </c>
      <c r="G414" s="20" t="s">
        <v>1323</v>
      </c>
      <c r="I414" s="21"/>
    </row>
    <row r="415" spans="1:9" ht="18" customHeight="1">
      <c r="A415" s="48">
        <v>414</v>
      </c>
      <c r="B415" s="44" t="s">
        <v>763</v>
      </c>
      <c r="C415" s="53">
        <v>9</v>
      </c>
      <c r="D415" s="53"/>
      <c r="E415" s="20" t="s">
        <v>103</v>
      </c>
      <c r="F415" s="20" t="s">
        <v>689</v>
      </c>
      <c r="G415" s="20" t="s">
        <v>1324</v>
      </c>
      <c r="I415" s="21"/>
    </row>
    <row r="416" spans="1:9" ht="18" customHeight="1">
      <c r="A416" s="48">
        <v>415</v>
      </c>
      <c r="B416" s="44" t="s">
        <v>763</v>
      </c>
      <c r="C416" s="53">
        <v>9</v>
      </c>
      <c r="D416" s="53"/>
      <c r="E416" s="20" t="s">
        <v>103</v>
      </c>
      <c r="F416" s="20" t="s">
        <v>690</v>
      </c>
      <c r="G416" s="20" t="s">
        <v>1325</v>
      </c>
      <c r="I416" s="21"/>
    </row>
    <row r="417" spans="1:9" ht="18" customHeight="1">
      <c r="A417" s="48">
        <v>416</v>
      </c>
      <c r="B417" s="44" t="s">
        <v>763</v>
      </c>
      <c r="C417" s="53">
        <v>9</v>
      </c>
      <c r="D417" s="53"/>
      <c r="E417" s="20" t="s">
        <v>103</v>
      </c>
      <c r="F417" s="20" t="s">
        <v>691</v>
      </c>
      <c r="G417" s="20" t="s">
        <v>1326</v>
      </c>
      <c r="I417" s="21"/>
    </row>
    <row r="418" spans="1:9" ht="18" customHeight="1">
      <c r="A418" s="48">
        <v>417</v>
      </c>
      <c r="B418" s="44" t="s">
        <v>763</v>
      </c>
      <c r="C418" s="53">
        <v>9</v>
      </c>
      <c r="D418" s="53"/>
      <c r="E418" s="20" t="s">
        <v>103</v>
      </c>
      <c r="F418" s="20" t="s">
        <v>692</v>
      </c>
      <c r="G418" s="20" t="s">
        <v>1327</v>
      </c>
      <c r="I418" s="21"/>
    </row>
    <row r="419" spans="1:9" ht="18" customHeight="1">
      <c r="A419" s="48">
        <v>418</v>
      </c>
      <c r="B419" s="44" t="s">
        <v>763</v>
      </c>
      <c r="C419" s="53">
        <v>9</v>
      </c>
      <c r="D419" s="53"/>
      <c r="E419" s="20" t="s">
        <v>103</v>
      </c>
      <c r="F419" s="20" t="s">
        <v>693</v>
      </c>
      <c r="G419" s="20" t="s">
        <v>1328</v>
      </c>
      <c r="I419" s="21"/>
    </row>
    <row r="420" spans="1:9" ht="18" customHeight="1">
      <c r="A420" s="48">
        <v>419</v>
      </c>
      <c r="B420" s="44" t="s">
        <v>763</v>
      </c>
      <c r="C420" s="53">
        <v>9</v>
      </c>
      <c r="D420" s="53"/>
      <c r="E420" s="20" t="s">
        <v>103</v>
      </c>
      <c r="F420" s="20" t="s">
        <v>694</v>
      </c>
      <c r="G420" s="20" t="s">
        <v>1329</v>
      </c>
      <c r="I420" s="21"/>
    </row>
    <row r="421" spans="1:9" ht="18" customHeight="1">
      <c r="A421" s="48">
        <v>420</v>
      </c>
      <c r="B421" s="44" t="s">
        <v>763</v>
      </c>
      <c r="C421" s="53">
        <v>9</v>
      </c>
      <c r="D421" s="53"/>
      <c r="E421" s="20" t="s">
        <v>103</v>
      </c>
      <c r="F421" s="20" t="s">
        <v>695</v>
      </c>
      <c r="G421" s="20" t="s">
        <v>1330</v>
      </c>
      <c r="I421" s="21"/>
    </row>
    <row r="422" spans="1:9" ht="18" customHeight="1">
      <c r="A422" s="48">
        <v>421</v>
      </c>
      <c r="B422" s="44" t="s">
        <v>763</v>
      </c>
      <c r="C422" s="53">
        <v>9</v>
      </c>
      <c r="D422" s="53"/>
      <c r="E422" s="20" t="s">
        <v>103</v>
      </c>
      <c r="F422" s="20" t="s">
        <v>696</v>
      </c>
      <c r="G422" s="20" t="s">
        <v>1331</v>
      </c>
      <c r="I422" s="21"/>
    </row>
    <row r="423" spans="1:9" ht="18" customHeight="1">
      <c r="A423" s="48">
        <v>422</v>
      </c>
      <c r="B423" s="44" t="s">
        <v>763</v>
      </c>
      <c r="C423" s="53">
        <v>9</v>
      </c>
      <c r="D423" s="53"/>
      <c r="E423" s="20" t="s">
        <v>103</v>
      </c>
      <c r="F423" s="20" t="s">
        <v>697</v>
      </c>
      <c r="G423" s="20" t="s">
        <v>1332</v>
      </c>
      <c r="I423" s="21"/>
    </row>
    <row r="424" spans="1:9" ht="18" customHeight="1">
      <c r="A424" s="48">
        <v>423</v>
      </c>
      <c r="B424" s="44" t="s">
        <v>763</v>
      </c>
      <c r="C424" s="53">
        <v>9</v>
      </c>
      <c r="D424" s="53"/>
      <c r="E424" s="20" t="s">
        <v>103</v>
      </c>
      <c r="F424" s="20" t="s">
        <v>698</v>
      </c>
      <c r="G424" s="20" t="s">
        <v>1333</v>
      </c>
      <c r="I424" s="21"/>
    </row>
    <row r="425" spans="1:9" ht="18" customHeight="1">
      <c r="A425" s="48">
        <v>424</v>
      </c>
      <c r="B425" s="44" t="s">
        <v>763</v>
      </c>
      <c r="C425" s="53">
        <v>9</v>
      </c>
      <c r="D425" s="53"/>
      <c r="E425" s="20" t="s">
        <v>103</v>
      </c>
      <c r="F425" s="20" t="s">
        <v>699</v>
      </c>
      <c r="G425" s="20" t="s">
        <v>1334</v>
      </c>
      <c r="I425" s="21"/>
    </row>
    <row r="426" spans="1:9" ht="18" customHeight="1">
      <c r="A426" s="48">
        <v>425</v>
      </c>
      <c r="B426" s="44" t="s">
        <v>763</v>
      </c>
      <c r="C426" s="53">
        <v>9</v>
      </c>
      <c r="D426" s="53"/>
      <c r="E426" s="20" t="s">
        <v>103</v>
      </c>
      <c r="F426" s="20" t="s">
        <v>700</v>
      </c>
      <c r="G426" s="20" t="s">
        <v>1335</v>
      </c>
      <c r="I426" s="21"/>
    </row>
    <row r="427" spans="1:9" ht="18" customHeight="1">
      <c r="A427" s="48">
        <v>426</v>
      </c>
      <c r="B427" s="44" t="s">
        <v>763</v>
      </c>
      <c r="C427" s="53">
        <v>9</v>
      </c>
      <c r="D427" s="53"/>
      <c r="E427" s="20" t="s">
        <v>103</v>
      </c>
      <c r="F427" s="20" t="s">
        <v>701</v>
      </c>
      <c r="G427" s="20" t="s">
        <v>1336</v>
      </c>
      <c r="I427" s="21"/>
    </row>
    <row r="428" spans="1:9" ht="18" customHeight="1">
      <c r="A428" s="48">
        <v>427</v>
      </c>
      <c r="B428" s="44" t="s">
        <v>763</v>
      </c>
      <c r="C428" s="53">
        <v>9</v>
      </c>
      <c r="D428" s="53"/>
      <c r="E428" s="20" t="s">
        <v>103</v>
      </c>
      <c r="F428" s="20" t="s">
        <v>702</v>
      </c>
      <c r="G428" s="20" t="s">
        <v>1337</v>
      </c>
      <c r="I428" s="21"/>
    </row>
    <row r="429" spans="1:9" ht="18" customHeight="1">
      <c r="A429" s="48">
        <v>428</v>
      </c>
      <c r="B429" s="44" t="s">
        <v>763</v>
      </c>
      <c r="C429" s="53">
        <v>9</v>
      </c>
      <c r="D429" s="53"/>
      <c r="E429" s="20" t="s">
        <v>103</v>
      </c>
      <c r="F429" s="20" t="s">
        <v>703</v>
      </c>
      <c r="G429" s="20" t="s">
        <v>1338</v>
      </c>
      <c r="I429" s="21"/>
    </row>
    <row r="430" spans="1:9" ht="18" customHeight="1">
      <c r="A430" s="48">
        <v>429</v>
      </c>
      <c r="B430" s="44" t="s">
        <v>763</v>
      </c>
      <c r="C430" s="53">
        <v>5</v>
      </c>
      <c r="D430" s="53"/>
      <c r="E430" s="20" t="s">
        <v>102</v>
      </c>
      <c r="F430" s="20" t="s">
        <v>589</v>
      </c>
      <c r="G430" s="20" t="s">
        <v>1339</v>
      </c>
      <c r="I430" s="21"/>
    </row>
    <row r="431" spans="1:9" ht="18" customHeight="1">
      <c r="A431" s="48">
        <v>430</v>
      </c>
      <c r="B431" s="44" t="s">
        <v>763</v>
      </c>
      <c r="C431" s="53">
        <v>5</v>
      </c>
      <c r="D431" s="53"/>
      <c r="E431" s="20" t="s">
        <v>102</v>
      </c>
      <c r="F431" s="20" t="s">
        <v>590</v>
      </c>
      <c r="G431" s="20" t="s">
        <v>1340</v>
      </c>
      <c r="I431" s="21"/>
    </row>
    <row r="432" spans="1:9" ht="18" customHeight="1">
      <c r="A432" s="48">
        <v>431</v>
      </c>
      <c r="B432" s="44" t="s">
        <v>763</v>
      </c>
      <c r="C432" s="53">
        <v>5</v>
      </c>
      <c r="D432" s="53"/>
      <c r="E432" s="20" t="s">
        <v>102</v>
      </c>
      <c r="F432" s="20" t="s">
        <v>591</v>
      </c>
      <c r="G432" s="20" t="s">
        <v>1341</v>
      </c>
      <c r="I432" s="21"/>
    </row>
    <row r="433" spans="1:9" ht="18" customHeight="1">
      <c r="A433" s="48">
        <v>432</v>
      </c>
      <c r="B433" s="44" t="s">
        <v>763</v>
      </c>
      <c r="C433" s="53">
        <v>5</v>
      </c>
      <c r="D433" s="53"/>
      <c r="E433" s="20" t="s">
        <v>102</v>
      </c>
      <c r="F433" s="20" t="s">
        <v>592</v>
      </c>
      <c r="G433" s="20" t="s">
        <v>1342</v>
      </c>
      <c r="I433" s="21"/>
    </row>
    <row r="434" spans="1:9" ht="18" customHeight="1">
      <c r="A434" s="48">
        <v>433</v>
      </c>
      <c r="B434" s="44" t="s">
        <v>763</v>
      </c>
      <c r="C434" s="53">
        <v>5</v>
      </c>
      <c r="D434" s="53"/>
      <c r="E434" s="20" t="s">
        <v>102</v>
      </c>
      <c r="F434" s="20" t="s">
        <v>593</v>
      </c>
      <c r="G434" s="20" t="s">
        <v>1343</v>
      </c>
      <c r="I434" s="21"/>
    </row>
    <row r="435" spans="1:9" ht="18" customHeight="1">
      <c r="A435" s="48">
        <v>434</v>
      </c>
      <c r="B435" s="44" t="s">
        <v>763</v>
      </c>
      <c r="C435" s="53">
        <v>5</v>
      </c>
      <c r="D435" s="53"/>
      <c r="E435" s="20" t="s">
        <v>102</v>
      </c>
      <c r="F435" s="20" t="s">
        <v>594</v>
      </c>
      <c r="G435" s="20" t="s">
        <v>1344</v>
      </c>
      <c r="I435" s="21"/>
    </row>
    <row r="436" spans="1:9" ht="18" customHeight="1">
      <c r="A436" s="48">
        <v>435</v>
      </c>
      <c r="B436" s="44" t="s">
        <v>763</v>
      </c>
      <c r="C436" s="53">
        <v>5</v>
      </c>
      <c r="D436" s="53"/>
      <c r="E436" s="20" t="s">
        <v>102</v>
      </c>
      <c r="F436" s="20" t="s">
        <v>595</v>
      </c>
      <c r="G436" s="20" t="s">
        <v>1345</v>
      </c>
      <c r="I436" s="21"/>
    </row>
    <row r="437" spans="1:9" ht="18" customHeight="1">
      <c r="A437" s="48">
        <v>436</v>
      </c>
      <c r="B437" s="44" t="s">
        <v>763</v>
      </c>
      <c r="C437" s="53">
        <v>5</v>
      </c>
      <c r="D437" s="53"/>
      <c r="E437" s="20" t="s">
        <v>102</v>
      </c>
      <c r="F437" s="20" t="s">
        <v>596</v>
      </c>
      <c r="G437" s="20" t="s">
        <v>1346</v>
      </c>
      <c r="I437" s="21"/>
    </row>
    <row r="438" spans="1:9" ht="18" customHeight="1">
      <c r="A438" s="48">
        <v>437</v>
      </c>
      <c r="B438" s="44" t="s">
        <v>763</v>
      </c>
      <c r="C438" s="53">
        <v>5</v>
      </c>
      <c r="D438" s="53"/>
      <c r="E438" s="20" t="s">
        <v>102</v>
      </c>
      <c r="F438" s="20" t="s">
        <v>597</v>
      </c>
      <c r="G438" s="20" t="s">
        <v>1347</v>
      </c>
      <c r="I438" s="21"/>
    </row>
    <row r="439" spans="1:9" ht="18" customHeight="1">
      <c r="A439" s="48">
        <v>438</v>
      </c>
      <c r="B439" s="44" t="s">
        <v>763</v>
      </c>
      <c r="C439" s="53">
        <v>5</v>
      </c>
      <c r="D439" s="53"/>
      <c r="E439" s="20" t="s">
        <v>102</v>
      </c>
      <c r="F439" s="20" t="s">
        <v>598</v>
      </c>
      <c r="G439" s="20" t="s">
        <v>1348</v>
      </c>
      <c r="I439" s="21"/>
    </row>
    <row r="440" spans="1:9" ht="18" customHeight="1">
      <c r="A440" s="48">
        <v>439</v>
      </c>
      <c r="B440" s="44" t="s">
        <v>763</v>
      </c>
      <c r="C440" s="53">
        <v>5</v>
      </c>
      <c r="D440" s="53"/>
      <c r="E440" s="20" t="s">
        <v>102</v>
      </c>
      <c r="F440" s="20" t="s">
        <v>599</v>
      </c>
      <c r="G440" s="20" t="s">
        <v>1349</v>
      </c>
      <c r="I440" s="21"/>
    </row>
    <row r="441" spans="1:9" ht="18" customHeight="1">
      <c r="A441" s="48">
        <v>440</v>
      </c>
      <c r="B441" s="44" t="s">
        <v>763</v>
      </c>
      <c r="C441" s="53">
        <v>5</v>
      </c>
      <c r="D441" s="53"/>
      <c r="E441" s="20" t="s">
        <v>102</v>
      </c>
      <c r="F441" s="20" t="s">
        <v>600</v>
      </c>
      <c r="G441" s="20" t="s">
        <v>1350</v>
      </c>
      <c r="I441" s="21"/>
    </row>
    <row r="442" spans="1:9" ht="18" customHeight="1">
      <c r="A442" s="48">
        <v>441</v>
      </c>
      <c r="B442" s="44" t="s">
        <v>763</v>
      </c>
      <c r="C442" s="53">
        <v>5</v>
      </c>
      <c r="D442" s="53"/>
      <c r="E442" s="20" t="s">
        <v>102</v>
      </c>
      <c r="F442" s="20" t="s">
        <v>601</v>
      </c>
      <c r="G442" s="20" t="s">
        <v>1351</v>
      </c>
      <c r="I442" s="21"/>
    </row>
    <row r="443" spans="1:9" ht="18" customHeight="1">
      <c r="A443" s="48">
        <v>442</v>
      </c>
      <c r="B443" s="44" t="s">
        <v>763</v>
      </c>
      <c r="C443" s="53">
        <v>5</v>
      </c>
      <c r="D443" s="53"/>
      <c r="E443" s="20" t="s">
        <v>102</v>
      </c>
      <c r="F443" s="20" t="s">
        <v>602</v>
      </c>
      <c r="G443" s="20" t="s">
        <v>1352</v>
      </c>
      <c r="I443" s="21"/>
    </row>
    <row r="444" spans="1:9" ht="18" customHeight="1">
      <c r="A444" s="48">
        <v>443</v>
      </c>
      <c r="B444" s="44" t="s">
        <v>763</v>
      </c>
      <c r="C444" s="53">
        <v>5</v>
      </c>
      <c r="D444" s="53"/>
      <c r="E444" s="20" t="s">
        <v>102</v>
      </c>
      <c r="F444" s="20" t="s">
        <v>603</v>
      </c>
      <c r="G444" s="20" t="s">
        <v>1353</v>
      </c>
      <c r="I444" s="21"/>
    </row>
    <row r="445" spans="1:9" ht="18" customHeight="1">
      <c r="A445" s="48">
        <v>444</v>
      </c>
      <c r="B445" s="44" t="s">
        <v>763</v>
      </c>
      <c r="C445" s="53">
        <v>5</v>
      </c>
      <c r="D445" s="53"/>
      <c r="E445" s="20" t="s">
        <v>102</v>
      </c>
      <c r="F445" s="20" t="s">
        <v>604</v>
      </c>
      <c r="G445" s="20" t="s">
        <v>1354</v>
      </c>
      <c r="I445" s="21"/>
    </row>
    <row r="446" spans="1:9" ht="18" customHeight="1">
      <c r="A446" s="48">
        <v>445</v>
      </c>
      <c r="B446" s="44" t="s">
        <v>763</v>
      </c>
      <c r="C446" s="53">
        <v>5</v>
      </c>
      <c r="D446" s="53"/>
      <c r="E446" s="20" t="s">
        <v>102</v>
      </c>
      <c r="F446" s="20" t="s">
        <v>605</v>
      </c>
      <c r="G446" s="20" t="s">
        <v>1355</v>
      </c>
      <c r="I446" s="21"/>
    </row>
    <row r="447" spans="1:9" ht="18" customHeight="1">
      <c r="A447" s="48">
        <v>446</v>
      </c>
      <c r="B447" s="44" t="s">
        <v>763</v>
      </c>
      <c r="C447" s="53">
        <v>5</v>
      </c>
      <c r="D447" s="53"/>
      <c r="E447" s="20" t="s">
        <v>102</v>
      </c>
      <c r="F447" s="20" t="s">
        <v>606</v>
      </c>
      <c r="G447" s="20" t="s">
        <v>1356</v>
      </c>
      <c r="I447" s="21"/>
    </row>
    <row r="448" spans="1:9" ht="18" customHeight="1">
      <c r="A448" s="48">
        <v>447</v>
      </c>
      <c r="B448" s="44" t="s">
        <v>763</v>
      </c>
      <c r="C448" s="53">
        <v>5</v>
      </c>
      <c r="D448" s="53"/>
      <c r="E448" s="20" t="s">
        <v>102</v>
      </c>
      <c r="F448" s="20" t="s">
        <v>607</v>
      </c>
      <c r="G448" s="20" t="s">
        <v>1357</v>
      </c>
      <c r="I448" s="21"/>
    </row>
    <row r="449" spans="1:9" ht="18" customHeight="1">
      <c r="A449" s="48">
        <v>448</v>
      </c>
      <c r="B449" s="44" t="s">
        <v>763</v>
      </c>
      <c r="C449" s="53">
        <v>5</v>
      </c>
      <c r="D449" s="53"/>
      <c r="E449" s="20" t="s">
        <v>102</v>
      </c>
      <c r="F449" s="20" t="s">
        <v>608</v>
      </c>
      <c r="G449" s="20" t="s">
        <v>1358</v>
      </c>
      <c r="I449" s="21"/>
    </row>
    <row r="450" spans="1:9" ht="18" customHeight="1">
      <c r="A450" s="48">
        <v>449</v>
      </c>
      <c r="B450" s="44" t="s">
        <v>763</v>
      </c>
      <c r="C450" s="53">
        <v>5</v>
      </c>
      <c r="D450" s="53"/>
      <c r="E450" s="20" t="s">
        <v>102</v>
      </c>
      <c r="F450" s="20" t="s">
        <v>609</v>
      </c>
      <c r="G450" s="20" t="s">
        <v>1359</v>
      </c>
      <c r="I450" s="21"/>
    </row>
    <row r="451" spans="1:9" ht="18" customHeight="1">
      <c r="A451" s="48">
        <v>450</v>
      </c>
      <c r="B451" s="44" t="s">
        <v>763</v>
      </c>
      <c r="C451" s="53">
        <v>5</v>
      </c>
      <c r="D451" s="53"/>
      <c r="E451" s="20" t="s">
        <v>102</v>
      </c>
      <c r="F451" s="20" t="s">
        <v>610</v>
      </c>
      <c r="G451" s="20" t="s">
        <v>1360</v>
      </c>
      <c r="I451" s="21"/>
    </row>
    <row r="452" spans="1:9" ht="18" customHeight="1">
      <c r="A452" s="48">
        <v>451</v>
      </c>
      <c r="B452" s="44" t="s">
        <v>763</v>
      </c>
      <c r="C452" s="53">
        <v>5</v>
      </c>
      <c r="D452" s="53"/>
      <c r="E452" s="20" t="s">
        <v>102</v>
      </c>
      <c r="F452" s="20" t="s">
        <v>611</v>
      </c>
      <c r="G452" s="20" t="s">
        <v>1361</v>
      </c>
      <c r="I452" s="21"/>
    </row>
    <row r="453" spans="1:9" ht="18" customHeight="1">
      <c r="A453" s="48">
        <v>452</v>
      </c>
      <c r="B453" s="44" t="s">
        <v>763</v>
      </c>
      <c r="C453" s="53">
        <v>5</v>
      </c>
      <c r="D453" s="53"/>
      <c r="E453" s="20" t="s">
        <v>102</v>
      </c>
      <c r="F453" s="20" t="s">
        <v>1362</v>
      </c>
      <c r="G453" s="20" t="s">
        <v>1363</v>
      </c>
      <c r="I453" s="21"/>
    </row>
    <row r="454" spans="1:9" ht="18" customHeight="1">
      <c r="A454" s="48">
        <v>453</v>
      </c>
      <c r="B454" s="44" t="s">
        <v>763</v>
      </c>
      <c r="C454" s="53">
        <v>5</v>
      </c>
      <c r="D454" s="53"/>
      <c r="E454" s="20" t="s">
        <v>102</v>
      </c>
      <c r="F454" s="20" t="s">
        <v>1364</v>
      </c>
      <c r="G454" s="20" t="s">
        <v>1365</v>
      </c>
      <c r="I454" s="21"/>
    </row>
    <row r="455" spans="1:9" ht="18" customHeight="1">
      <c r="A455" s="48">
        <v>454</v>
      </c>
      <c r="B455" s="44" t="s">
        <v>763</v>
      </c>
      <c r="C455" s="53">
        <v>5</v>
      </c>
      <c r="D455" s="53"/>
      <c r="E455" s="20" t="s">
        <v>102</v>
      </c>
      <c r="F455" s="20" t="s">
        <v>612</v>
      </c>
      <c r="G455" s="20" t="s">
        <v>1366</v>
      </c>
      <c r="I455" s="21"/>
    </row>
    <row r="456" spans="1:9" ht="18" customHeight="1">
      <c r="A456" s="48">
        <v>455</v>
      </c>
      <c r="B456" s="44" t="s">
        <v>763</v>
      </c>
      <c r="C456" s="53">
        <v>5</v>
      </c>
      <c r="D456" s="53"/>
      <c r="E456" s="20" t="s">
        <v>102</v>
      </c>
      <c r="F456" s="20" t="s">
        <v>613</v>
      </c>
      <c r="G456" s="20" t="s">
        <v>1367</v>
      </c>
      <c r="I456" s="21"/>
    </row>
    <row r="457" spans="1:9" ht="18" customHeight="1">
      <c r="A457" s="48">
        <v>456</v>
      </c>
      <c r="B457" s="44" t="s">
        <v>763</v>
      </c>
      <c r="C457" s="53">
        <v>5</v>
      </c>
      <c r="D457" s="53"/>
      <c r="E457" s="20" t="s">
        <v>102</v>
      </c>
      <c r="F457" s="20" t="s">
        <v>614</v>
      </c>
      <c r="G457" s="20" t="s">
        <v>1368</v>
      </c>
      <c r="I457" s="21"/>
    </row>
    <row r="458" spans="1:9" ht="18" customHeight="1">
      <c r="A458" s="48">
        <v>457</v>
      </c>
      <c r="B458" s="44" t="s">
        <v>763</v>
      </c>
      <c r="C458" s="53">
        <v>5</v>
      </c>
      <c r="D458" s="53"/>
      <c r="E458" s="20" t="s">
        <v>102</v>
      </c>
      <c r="F458" s="20" t="s">
        <v>615</v>
      </c>
      <c r="G458" s="20" t="s">
        <v>1369</v>
      </c>
      <c r="I458" s="21"/>
    </row>
    <row r="459" spans="1:9" ht="18" customHeight="1">
      <c r="A459" s="48">
        <v>458</v>
      </c>
      <c r="B459" s="44" t="s">
        <v>763</v>
      </c>
      <c r="C459" s="53">
        <v>5</v>
      </c>
      <c r="D459" s="53"/>
      <c r="E459" s="20" t="s">
        <v>102</v>
      </c>
      <c r="F459" s="20" t="s">
        <v>616</v>
      </c>
      <c r="G459" s="20" t="s">
        <v>1370</v>
      </c>
      <c r="I459" s="21"/>
    </row>
    <row r="460" spans="1:9" ht="18" customHeight="1">
      <c r="A460" s="48">
        <v>459</v>
      </c>
      <c r="B460" s="44" t="s">
        <v>763</v>
      </c>
      <c r="C460" s="53">
        <v>5</v>
      </c>
      <c r="D460" s="53"/>
      <c r="E460" s="20" t="s">
        <v>102</v>
      </c>
      <c r="F460" s="20" t="s">
        <v>617</v>
      </c>
      <c r="G460" s="20" t="s">
        <v>1371</v>
      </c>
      <c r="I460" s="21"/>
    </row>
    <row r="461" spans="1:9" ht="18" customHeight="1">
      <c r="A461" s="48">
        <v>460</v>
      </c>
      <c r="B461" s="44" t="s">
        <v>763</v>
      </c>
      <c r="C461" s="53">
        <v>5</v>
      </c>
      <c r="D461" s="53"/>
      <c r="E461" s="20" t="s">
        <v>102</v>
      </c>
      <c r="F461" s="20" t="s">
        <v>618</v>
      </c>
      <c r="G461" s="20" t="s">
        <v>1372</v>
      </c>
      <c r="I461" s="21"/>
    </row>
    <row r="462" spans="1:9" ht="18" customHeight="1">
      <c r="A462" s="48">
        <v>461</v>
      </c>
      <c r="B462" s="44" t="s">
        <v>763</v>
      </c>
      <c r="C462" s="53">
        <v>5</v>
      </c>
      <c r="D462" s="53"/>
      <c r="E462" s="20" t="s">
        <v>102</v>
      </c>
      <c r="F462" s="20" t="s">
        <v>619</v>
      </c>
      <c r="G462" s="20" t="s">
        <v>1373</v>
      </c>
      <c r="I462" s="21"/>
    </row>
    <row r="463" spans="1:9" ht="18" customHeight="1">
      <c r="A463" s="48">
        <v>462</v>
      </c>
      <c r="B463" s="44" t="s">
        <v>763</v>
      </c>
      <c r="C463" s="53">
        <v>5</v>
      </c>
      <c r="D463" s="53"/>
      <c r="E463" s="20" t="s">
        <v>102</v>
      </c>
      <c r="F463" s="20" t="s">
        <v>620</v>
      </c>
      <c r="G463" s="20" t="s">
        <v>1374</v>
      </c>
      <c r="I463" s="21"/>
    </row>
    <row r="464" spans="1:9" ht="18" customHeight="1">
      <c r="A464" s="48">
        <v>463</v>
      </c>
      <c r="B464" s="44" t="s">
        <v>763</v>
      </c>
      <c r="C464" s="53">
        <v>5</v>
      </c>
      <c r="D464" s="53"/>
      <c r="E464" s="20" t="s">
        <v>102</v>
      </c>
      <c r="F464" s="20" t="s">
        <v>621</v>
      </c>
      <c r="G464" s="20" t="s">
        <v>1375</v>
      </c>
      <c r="I464" s="21"/>
    </row>
    <row r="465" spans="1:9" ht="18" customHeight="1">
      <c r="A465" s="48">
        <v>464</v>
      </c>
      <c r="B465" s="44" t="s">
        <v>763</v>
      </c>
      <c r="C465" s="53">
        <v>5</v>
      </c>
      <c r="D465" s="53"/>
      <c r="E465" s="20" t="s">
        <v>102</v>
      </c>
      <c r="F465" s="20" t="s">
        <v>622</v>
      </c>
      <c r="G465" s="20" t="s">
        <v>1376</v>
      </c>
      <c r="I465" s="21"/>
    </row>
    <row r="466" spans="1:9" ht="18" customHeight="1">
      <c r="A466" s="48">
        <v>465</v>
      </c>
      <c r="B466" s="44" t="s">
        <v>763</v>
      </c>
      <c r="C466" s="53">
        <v>5</v>
      </c>
      <c r="D466" s="53"/>
      <c r="E466" s="20" t="s">
        <v>102</v>
      </c>
      <c r="F466" s="20" t="s">
        <v>623</v>
      </c>
      <c r="G466" s="20" t="s">
        <v>1377</v>
      </c>
      <c r="I466" s="21"/>
    </row>
    <row r="467" spans="1:9" ht="18" customHeight="1">
      <c r="A467" s="48">
        <v>466</v>
      </c>
      <c r="B467" s="44" t="s">
        <v>763</v>
      </c>
      <c r="C467" s="53">
        <v>5</v>
      </c>
      <c r="D467" s="53"/>
      <c r="E467" s="20" t="s">
        <v>102</v>
      </c>
      <c r="F467" s="20" t="s">
        <v>624</v>
      </c>
      <c r="G467" s="20" t="s">
        <v>1378</v>
      </c>
      <c r="I467" s="21"/>
    </row>
    <row r="468" spans="1:9" ht="18" customHeight="1">
      <c r="A468" s="48">
        <v>467</v>
      </c>
      <c r="B468" s="44" t="s">
        <v>763</v>
      </c>
      <c r="C468" s="53">
        <v>5</v>
      </c>
      <c r="D468" s="53"/>
      <c r="E468" s="20" t="s">
        <v>102</v>
      </c>
      <c r="F468" s="20" t="s">
        <v>625</v>
      </c>
      <c r="G468" s="20" t="s">
        <v>1379</v>
      </c>
      <c r="I468" s="21"/>
    </row>
    <row r="469" spans="1:9" ht="18" customHeight="1">
      <c r="A469" s="48">
        <v>468</v>
      </c>
      <c r="B469" s="44" t="s">
        <v>763</v>
      </c>
      <c r="C469" s="53">
        <v>5</v>
      </c>
      <c r="D469" s="53"/>
      <c r="E469" s="20" t="s">
        <v>102</v>
      </c>
      <c r="F469" s="20" t="s">
        <v>626</v>
      </c>
      <c r="G469" s="20" t="s">
        <v>1380</v>
      </c>
      <c r="I469" s="21"/>
    </row>
    <row r="470" spans="1:9" ht="18" customHeight="1">
      <c r="A470" s="48">
        <v>469</v>
      </c>
      <c r="B470" s="44" t="s">
        <v>763</v>
      </c>
      <c r="C470" s="53">
        <v>5</v>
      </c>
      <c r="D470" s="53"/>
      <c r="E470" s="20" t="s">
        <v>102</v>
      </c>
      <c r="F470" s="20" t="s">
        <v>627</v>
      </c>
      <c r="G470" s="20" t="s">
        <v>1381</v>
      </c>
      <c r="I470" s="21"/>
    </row>
    <row r="471" spans="1:9" ht="18" customHeight="1">
      <c r="A471" s="48">
        <v>470</v>
      </c>
      <c r="B471" s="44" t="s">
        <v>763</v>
      </c>
      <c r="C471" s="53">
        <v>5</v>
      </c>
      <c r="D471" s="53"/>
      <c r="E471" s="20" t="s">
        <v>102</v>
      </c>
      <c r="F471" s="20" t="s">
        <v>628</v>
      </c>
      <c r="G471" s="20" t="s">
        <v>1382</v>
      </c>
      <c r="I471" s="21"/>
    </row>
    <row r="472" spans="1:9" ht="18" customHeight="1">
      <c r="A472" s="48">
        <v>471</v>
      </c>
      <c r="B472" s="44" t="s">
        <v>763</v>
      </c>
      <c r="C472" s="53">
        <v>5</v>
      </c>
      <c r="D472" s="53"/>
      <c r="E472" s="20" t="s">
        <v>102</v>
      </c>
      <c r="F472" s="20" t="s">
        <v>629</v>
      </c>
      <c r="G472" s="20" t="s">
        <v>1383</v>
      </c>
      <c r="I472" s="21"/>
    </row>
    <row r="473" spans="1:9" ht="18" customHeight="1">
      <c r="A473" s="48">
        <v>472</v>
      </c>
      <c r="B473" s="44" t="s">
        <v>763</v>
      </c>
      <c r="C473" s="53">
        <v>5</v>
      </c>
      <c r="D473" s="53"/>
      <c r="E473" s="20" t="s">
        <v>102</v>
      </c>
      <c r="F473" s="20" t="s">
        <v>630</v>
      </c>
      <c r="G473" s="20" t="s">
        <v>1384</v>
      </c>
      <c r="I473" s="21"/>
    </row>
    <row r="474" spans="1:9" ht="18" customHeight="1">
      <c r="A474" s="48">
        <v>473</v>
      </c>
      <c r="B474" s="44" t="s">
        <v>763</v>
      </c>
      <c r="C474" s="53">
        <v>5</v>
      </c>
      <c r="D474" s="53"/>
      <c r="E474" s="20" t="s">
        <v>102</v>
      </c>
      <c r="F474" s="20" t="s">
        <v>629</v>
      </c>
      <c r="G474" s="20" t="s">
        <v>1385</v>
      </c>
      <c r="I474" s="21"/>
    </row>
    <row r="475" spans="1:9" ht="18" customHeight="1">
      <c r="A475" s="48">
        <v>474</v>
      </c>
      <c r="B475" s="44" t="s">
        <v>763</v>
      </c>
      <c r="C475" s="53">
        <v>5</v>
      </c>
      <c r="D475" s="53"/>
      <c r="E475" s="20" t="s">
        <v>102</v>
      </c>
      <c r="F475" s="20" t="s">
        <v>631</v>
      </c>
      <c r="G475" s="20" t="s">
        <v>1386</v>
      </c>
      <c r="I475" s="21"/>
    </row>
    <row r="476" spans="1:9" ht="18" customHeight="1">
      <c r="A476" s="48">
        <v>475</v>
      </c>
      <c r="B476" s="44" t="s">
        <v>763</v>
      </c>
      <c r="C476" s="53">
        <v>5</v>
      </c>
      <c r="D476" s="53"/>
      <c r="E476" s="20" t="s">
        <v>102</v>
      </c>
      <c r="F476" s="20" t="s">
        <v>632</v>
      </c>
      <c r="G476" s="20" t="s">
        <v>1387</v>
      </c>
      <c r="I476" s="21"/>
    </row>
    <row r="477" spans="1:9" ht="18" customHeight="1">
      <c r="A477" s="48">
        <v>476</v>
      </c>
      <c r="B477" s="44" t="s">
        <v>763</v>
      </c>
      <c r="C477" s="53">
        <v>5</v>
      </c>
      <c r="D477" s="53"/>
      <c r="E477" s="20" t="s">
        <v>102</v>
      </c>
      <c r="F477" s="20" t="s">
        <v>633</v>
      </c>
      <c r="G477" s="20" t="s">
        <v>1388</v>
      </c>
      <c r="I477" s="21"/>
    </row>
    <row r="478" spans="1:9" ht="18" customHeight="1">
      <c r="A478" s="48">
        <v>477</v>
      </c>
      <c r="B478" s="44" t="s">
        <v>763</v>
      </c>
      <c r="C478" s="53">
        <v>5</v>
      </c>
      <c r="D478" s="53"/>
      <c r="E478" s="20" t="s">
        <v>102</v>
      </c>
      <c r="F478" s="20" t="s">
        <v>634</v>
      </c>
      <c r="G478" s="20" t="s">
        <v>1389</v>
      </c>
      <c r="I478" s="21"/>
    </row>
    <row r="479" spans="1:9" ht="18" customHeight="1">
      <c r="A479" s="48">
        <v>478</v>
      </c>
      <c r="B479" s="44" t="s">
        <v>763</v>
      </c>
      <c r="C479" s="53">
        <v>5</v>
      </c>
      <c r="D479" s="53"/>
      <c r="E479" s="20" t="s">
        <v>102</v>
      </c>
      <c r="F479" s="20" t="s">
        <v>584</v>
      </c>
      <c r="G479" s="20" t="s">
        <v>1390</v>
      </c>
      <c r="I479" s="21"/>
    </row>
    <row r="480" spans="1:9" ht="18" customHeight="1">
      <c r="A480" s="48">
        <v>479</v>
      </c>
      <c r="B480" s="44" t="s">
        <v>763</v>
      </c>
      <c r="C480" s="53">
        <v>5</v>
      </c>
      <c r="D480" s="53"/>
      <c r="E480" s="20" t="s">
        <v>102</v>
      </c>
      <c r="F480" s="20" t="s">
        <v>585</v>
      </c>
      <c r="G480" s="20" t="s">
        <v>1391</v>
      </c>
      <c r="I480" s="21"/>
    </row>
    <row r="481" spans="1:9" ht="18" customHeight="1">
      <c r="A481" s="48">
        <v>480</v>
      </c>
      <c r="B481" s="44" t="s">
        <v>763</v>
      </c>
      <c r="C481" s="53">
        <v>5</v>
      </c>
      <c r="D481" s="53"/>
      <c r="E481" s="20" t="s">
        <v>102</v>
      </c>
      <c r="F481" s="20" t="s">
        <v>586</v>
      </c>
      <c r="G481" s="20" t="s">
        <v>1392</v>
      </c>
      <c r="I481" s="21"/>
    </row>
    <row r="482" spans="1:9" ht="18" customHeight="1">
      <c r="A482" s="48">
        <v>481</v>
      </c>
      <c r="B482" s="44" t="s">
        <v>763</v>
      </c>
      <c r="C482" s="53">
        <v>2</v>
      </c>
      <c r="D482" s="53"/>
      <c r="E482" s="20" t="s">
        <v>457</v>
      </c>
      <c r="F482" s="20" t="s">
        <v>539</v>
      </c>
      <c r="G482" s="20" t="s">
        <v>1393</v>
      </c>
      <c r="I482" s="21"/>
    </row>
    <row r="483" spans="1:9" ht="18" customHeight="1">
      <c r="A483" s="48">
        <v>482</v>
      </c>
      <c r="B483" s="44" t="s">
        <v>763</v>
      </c>
      <c r="C483" s="53">
        <v>2</v>
      </c>
      <c r="D483" s="53"/>
      <c r="E483" s="20" t="s">
        <v>457</v>
      </c>
      <c r="F483" s="20" t="s">
        <v>540</v>
      </c>
      <c r="G483" s="20" t="s">
        <v>1394</v>
      </c>
      <c r="I483" s="21"/>
    </row>
    <row r="484" spans="1:9" ht="18" customHeight="1">
      <c r="A484" s="48">
        <v>483</v>
      </c>
      <c r="B484" s="44" t="s">
        <v>763</v>
      </c>
      <c r="C484" s="53">
        <v>2</v>
      </c>
      <c r="D484" s="53"/>
      <c r="E484" s="20" t="s">
        <v>457</v>
      </c>
      <c r="F484" s="20" t="s">
        <v>541</v>
      </c>
      <c r="G484" s="20" t="s">
        <v>1395</v>
      </c>
      <c r="I484" s="21"/>
    </row>
    <row r="485" spans="1:9" ht="18" customHeight="1">
      <c r="A485" s="48">
        <v>484</v>
      </c>
      <c r="B485" s="44" t="s">
        <v>763</v>
      </c>
      <c r="C485" s="53">
        <v>2</v>
      </c>
      <c r="D485" s="53"/>
      <c r="E485" s="20" t="s">
        <v>457</v>
      </c>
      <c r="F485" s="20" t="s">
        <v>542</v>
      </c>
      <c r="G485" s="20" t="s">
        <v>1396</v>
      </c>
      <c r="I485" s="21"/>
    </row>
    <row r="486" spans="1:9" ht="18" customHeight="1">
      <c r="A486" s="48">
        <v>485</v>
      </c>
      <c r="B486" s="44" t="s">
        <v>763</v>
      </c>
      <c r="C486" s="53">
        <v>2</v>
      </c>
      <c r="D486" s="53"/>
      <c r="E486" s="20" t="s">
        <v>457</v>
      </c>
      <c r="F486" s="20" t="s">
        <v>543</v>
      </c>
      <c r="G486" s="20" t="s">
        <v>1397</v>
      </c>
      <c r="I486" s="21"/>
    </row>
    <row r="487" spans="1:9" ht="18" customHeight="1">
      <c r="A487" s="48">
        <v>486</v>
      </c>
      <c r="B487" s="44" t="s">
        <v>763</v>
      </c>
      <c r="C487" s="53">
        <v>2</v>
      </c>
      <c r="D487" s="53"/>
      <c r="E487" s="20" t="s">
        <v>457</v>
      </c>
      <c r="F487" s="20" t="s">
        <v>544</v>
      </c>
      <c r="G487" s="20" t="s">
        <v>1398</v>
      </c>
      <c r="I487" s="21"/>
    </row>
    <row r="488" spans="1:9" ht="18" customHeight="1">
      <c r="A488" s="48">
        <v>487</v>
      </c>
      <c r="B488" s="44" t="s">
        <v>763</v>
      </c>
      <c r="C488" s="53">
        <v>2</v>
      </c>
      <c r="D488" s="53"/>
      <c r="E488" s="20" t="s">
        <v>457</v>
      </c>
      <c r="F488" s="20" t="s">
        <v>545</v>
      </c>
      <c r="G488" s="20" t="s">
        <v>1399</v>
      </c>
      <c r="I488" s="21"/>
    </row>
    <row r="489" spans="1:9" ht="18" customHeight="1">
      <c r="A489" s="48">
        <v>488</v>
      </c>
      <c r="B489" s="44" t="s">
        <v>763</v>
      </c>
      <c r="C489" s="53">
        <v>2</v>
      </c>
      <c r="D489" s="53"/>
      <c r="E489" s="20" t="s">
        <v>457</v>
      </c>
      <c r="F489" s="20" t="s">
        <v>546</v>
      </c>
      <c r="G489" s="20" t="s">
        <v>1400</v>
      </c>
      <c r="I489" s="21"/>
    </row>
    <row r="490" spans="1:9" ht="18" customHeight="1">
      <c r="A490" s="48">
        <v>489</v>
      </c>
      <c r="B490" s="44" t="s">
        <v>763</v>
      </c>
      <c r="C490" s="53">
        <v>2</v>
      </c>
      <c r="D490" s="53"/>
      <c r="E490" s="20" t="s">
        <v>457</v>
      </c>
      <c r="F490" s="20" t="s">
        <v>547</v>
      </c>
      <c r="G490" s="20" t="s">
        <v>1401</v>
      </c>
      <c r="I490" s="21"/>
    </row>
    <row r="491" spans="1:9" ht="18" customHeight="1">
      <c r="A491" s="48">
        <v>490</v>
      </c>
      <c r="B491" s="44" t="s">
        <v>763</v>
      </c>
      <c r="C491" s="53">
        <v>2</v>
      </c>
      <c r="D491" s="53"/>
      <c r="E491" s="20" t="s">
        <v>457</v>
      </c>
      <c r="F491" s="20" t="s">
        <v>548</v>
      </c>
      <c r="G491" s="20" t="s">
        <v>1402</v>
      </c>
      <c r="I491" s="21"/>
    </row>
    <row r="492" spans="1:9" ht="18" customHeight="1">
      <c r="A492" s="48">
        <v>491</v>
      </c>
      <c r="B492" s="44" t="s">
        <v>763</v>
      </c>
      <c r="C492" s="53">
        <v>2</v>
      </c>
      <c r="D492" s="53"/>
      <c r="E492" s="20" t="s">
        <v>457</v>
      </c>
      <c r="F492" s="20" t="s">
        <v>549</v>
      </c>
      <c r="G492" s="20" t="s">
        <v>1403</v>
      </c>
      <c r="I492" s="21"/>
    </row>
    <row r="493" spans="1:9" ht="18" customHeight="1">
      <c r="A493" s="48">
        <v>492</v>
      </c>
      <c r="B493" s="44" t="s">
        <v>763</v>
      </c>
      <c r="C493" s="53">
        <v>2</v>
      </c>
      <c r="D493" s="53"/>
      <c r="E493" s="20" t="s">
        <v>457</v>
      </c>
      <c r="F493" s="20" t="s">
        <v>550</v>
      </c>
      <c r="G493" s="20" t="s">
        <v>1404</v>
      </c>
      <c r="I493" s="21"/>
    </row>
    <row r="494" spans="1:9" ht="18" customHeight="1">
      <c r="A494" s="48">
        <v>493</v>
      </c>
      <c r="B494" s="44" t="s">
        <v>763</v>
      </c>
      <c r="C494" s="53">
        <v>2</v>
      </c>
      <c r="D494" s="53"/>
      <c r="E494" s="20" t="s">
        <v>457</v>
      </c>
      <c r="F494" s="20" t="s">
        <v>551</v>
      </c>
      <c r="G494" s="20" t="s">
        <v>1405</v>
      </c>
      <c r="I494" s="21"/>
    </row>
    <row r="495" spans="1:9" ht="18" customHeight="1">
      <c r="A495" s="48">
        <v>494</v>
      </c>
      <c r="B495" s="44" t="s">
        <v>763</v>
      </c>
      <c r="C495" s="53">
        <v>2</v>
      </c>
      <c r="D495" s="53"/>
      <c r="E495" s="20" t="s">
        <v>457</v>
      </c>
      <c r="F495" s="20" t="s">
        <v>552</v>
      </c>
      <c r="G495" s="20" t="s">
        <v>1406</v>
      </c>
      <c r="I495" s="21"/>
    </row>
    <row r="496" spans="1:9" ht="18" customHeight="1">
      <c r="A496" s="48">
        <v>495</v>
      </c>
      <c r="B496" s="44" t="s">
        <v>763</v>
      </c>
      <c r="C496" s="53">
        <v>2</v>
      </c>
      <c r="D496" s="53"/>
      <c r="E496" s="20" t="s">
        <v>457</v>
      </c>
      <c r="F496" s="20" t="s">
        <v>553</v>
      </c>
      <c r="G496" s="20" t="s">
        <v>1407</v>
      </c>
      <c r="I496" s="21"/>
    </row>
    <row r="497" spans="1:9" ht="18" customHeight="1">
      <c r="A497" s="48">
        <v>496</v>
      </c>
      <c r="B497" s="44" t="s">
        <v>763</v>
      </c>
      <c r="C497" s="53">
        <v>2</v>
      </c>
      <c r="D497" s="53"/>
      <c r="E497" s="20" t="s">
        <v>457</v>
      </c>
      <c r="F497" s="20" t="s">
        <v>554</v>
      </c>
      <c r="G497" s="20" t="s">
        <v>1408</v>
      </c>
      <c r="I497" s="21"/>
    </row>
    <row r="498" spans="1:9" ht="18" customHeight="1">
      <c r="A498" s="48">
        <v>497</v>
      </c>
      <c r="B498" s="44" t="s">
        <v>763</v>
      </c>
      <c r="C498" s="53">
        <v>4</v>
      </c>
      <c r="D498" s="53"/>
      <c r="E498" s="20" t="s">
        <v>218</v>
      </c>
      <c r="F498" s="20" t="s">
        <v>569</v>
      </c>
      <c r="G498" s="20" t="s">
        <v>1409</v>
      </c>
      <c r="I498" s="21"/>
    </row>
    <row r="499" spans="1:9" ht="18" customHeight="1">
      <c r="A499" s="48">
        <v>498</v>
      </c>
      <c r="B499" s="44" t="s">
        <v>763</v>
      </c>
      <c r="C499" s="53">
        <v>4</v>
      </c>
      <c r="D499" s="53"/>
      <c r="E499" s="20" t="s">
        <v>218</v>
      </c>
      <c r="F499" s="20" t="s">
        <v>570</v>
      </c>
      <c r="G499" s="20" t="s">
        <v>1410</v>
      </c>
      <c r="I499" s="21"/>
    </row>
    <row r="500" spans="1:9" ht="18" customHeight="1">
      <c r="A500" s="48">
        <v>499</v>
      </c>
      <c r="B500" s="44" t="s">
        <v>763</v>
      </c>
      <c r="C500" s="53">
        <v>4</v>
      </c>
      <c r="D500" s="53"/>
      <c r="E500" s="20" t="s">
        <v>218</v>
      </c>
      <c r="F500" s="20" t="s">
        <v>571</v>
      </c>
      <c r="G500" s="20" t="s">
        <v>1411</v>
      </c>
      <c r="I500" s="21"/>
    </row>
    <row r="501" spans="1:9" ht="18" customHeight="1">
      <c r="A501" s="48">
        <v>500</v>
      </c>
      <c r="B501" s="44" t="s">
        <v>763</v>
      </c>
      <c r="C501" s="53">
        <v>4</v>
      </c>
      <c r="D501" s="53"/>
      <c r="E501" s="20" t="s">
        <v>218</v>
      </c>
      <c r="F501" s="20" t="s">
        <v>572</v>
      </c>
      <c r="G501" s="20" t="s">
        <v>1412</v>
      </c>
      <c r="I501" s="21"/>
    </row>
    <row r="502" spans="1:9" ht="18" customHeight="1">
      <c r="A502" s="48">
        <v>501</v>
      </c>
      <c r="B502" s="44" t="s">
        <v>763</v>
      </c>
      <c r="C502" s="53">
        <v>4</v>
      </c>
      <c r="D502" s="53"/>
      <c r="E502" s="20" t="s">
        <v>457</v>
      </c>
      <c r="F502" s="20" t="s">
        <v>573</v>
      </c>
      <c r="G502" s="20" t="s">
        <v>1413</v>
      </c>
      <c r="I502" s="21"/>
    </row>
  </sheetData>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sheetPr codeName="ListeES">
    <tabColor theme="5" tint="0.59999389629810485"/>
    <pageSetUpPr fitToPage="1"/>
  </sheetPr>
  <dimension ref="A1:AO1434"/>
  <sheetViews>
    <sheetView tabSelected="1" topLeftCell="E1" workbookViewId="0">
      <selection activeCell="I2" sqref="I2"/>
    </sheetView>
  </sheetViews>
  <sheetFormatPr baseColWidth="10" defaultColWidth="11.5" defaultRowHeight="20.100000000000001" customHeight="1" outlineLevelCol="1"/>
  <cols>
    <col min="1" max="1" width="3.75" style="20" hidden="1" customWidth="1" outlineLevel="1"/>
    <col min="2" max="2" width="12.125" style="20" hidden="1" customWidth="1" outlineLevel="1"/>
    <col min="3" max="3" width="31.375" style="20" hidden="1" customWidth="1" outlineLevel="1"/>
    <col min="4" max="4" width="5.625" style="20" hidden="1" customWidth="1" outlineLevel="1"/>
    <col min="5" max="5" width="6.75" style="20" customWidth="1" collapsed="1"/>
    <col min="6" max="6" width="6.125" style="20" customWidth="1"/>
    <col min="7" max="7" width="7.5" style="20" customWidth="1" outlineLevel="1"/>
    <col min="8" max="8" width="13.75" style="20" customWidth="1" outlineLevel="1"/>
    <col min="9" max="9" width="13.125" style="20" customWidth="1" outlineLevel="1"/>
    <col min="10" max="10" width="4" style="20" customWidth="1"/>
    <col min="11" max="11" width="12.625" style="20" customWidth="1"/>
    <col min="12" max="12" width="16.5" style="20" customWidth="1" outlineLevel="1"/>
    <col min="13" max="13" width="4.375" style="20" customWidth="1" outlineLevel="1"/>
    <col min="14" max="14" width="4.875" style="20" customWidth="1" outlineLevel="1"/>
    <col min="15" max="15" width="2.5" style="20" customWidth="1" outlineLevel="1"/>
    <col min="16" max="16" width="23.25" style="20" customWidth="1" outlineLevel="1"/>
    <col min="17" max="17" width="2.625" style="20" customWidth="1"/>
    <col min="18" max="18" width="24.5" style="20" customWidth="1"/>
    <col min="19" max="20" width="0.875" style="20" customWidth="1"/>
    <col min="21" max="24" width="6.625" style="53" bestFit="1" customWidth="1"/>
    <col min="25" max="25" width="0.875" style="53" customWidth="1"/>
    <col min="26" max="26" width="5.25" style="53" customWidth="1"/>
    <col min="27" max="28" width="8" style="53" customWidth="1"/>
    <col min="29" max="29" width="30.875" style="20" customWidth="1"/>
    <col min="30" max="34" width="10.125" style="20" customWidth="1"/>
    <col min="35" max="35" width="13.625" style="20" customWidth="1"/>
    <col min="36" max="36" width="5.75" style="20" customWidth="1"/>
    <col min="37" max="37" width="5.125" style="20" customWidth="1"/>
    <col min="38" max="38" width="12.5" style="20" customWidth="1"/>
    <col min="39" max="39" width="4.125" style="20" customWidth="1"/>
    <col min="40" max="40" width="7.5" style="20" customWidth="1"/>
    <col min="41" max="41" width="54.125" style="20" customWidth="1"/>
    <col min="42" max="16384" width="11.5" style="20"/>
  </cols>
  <sheetData>
    <row r="1" spans="1:41" ht="156.75" customHeight="1" thickTop="1" thickBot="1">
      <c r="A1" s="90" t="s">
        <v>736</v>
      </c>
      <c r="B1" s="90" t="s">
        <v>737</v>
      </c>
      <c r="C1" s="91" t="s">
        <v>738</v>
      </c>
      <c r="D1" s="91" t="s">
        <v>753</v>
      </c>
      <c r="E1" s="174" t="s">
        <v>1426</v>
      </c>
      <c r="F1" s="175" t="s">
        <v>1428</v>
      </c>
      <c r="G1" s="176" t="s">
        <v>1575</v>
      </c>
      <c r="H1" s="176" t="s">
        <v>1576</v>
      </c>
      <c r="I1" s="176" t="s">
        <v>1581</v>
      </c>
      <c r="J1" s="176" t="s">
        <v>1536</v>
      </c>
      <c r="K1" s="177" t="s">
        <v>1427</v>
      </c>
      <c r="L1" s="178" t="s">
        <v>1584</v>
      </c>
      <c r="M1" s="178" t="s">
        <v>1599</v>
      </c>
      <c r="N1" s="178" t="s">
        <v>1600</v>
      </c>
      <c r="O1" s="178" t="s">
        <v>1537</v>
      </c>
      <c r="P1" s="178" t="s">
        <v>756</v>
      </c>
      <c r="Q1" s="178" t="s">
        <v>1538</v>
      </c>
      <c r="R1" s="179" t="s">
        <v>1588</v>
      </c>
      <c r="S1" s="180" t="s">
        <v>1596</v>
      </c>
      <c r="T1" s="180" t="s">
        <v>1595</v>
      </c>
      <c r="U1" s="181" t="s">
        <v>1418</v>
      </c>
      <c r="V1" s="181" t="s">
        <v>706</v>
      </c>
      <c r="W1" s="181" t="s">
        <v>1419</v>
      </c>
      <c r="X1" s="181" t="s">
        <v>707</v>
      </c>
      <c r="Y1" s="180" t="s">
        <v>1594</v>
      </c>
      <c r="Z1" s="180" t="s">
        <v>1416</v>
      </c>
      <c r="AA1" s="182" t="s">
        <v>1429</v>
      </c>
      <c r="AB1" s="221" t="s">
        <v>732</v>
      </c>
      <c r="AC1" s="183" t="s">
        <v>1430</v>
      </c>
      <c r="AD1" s="184" t="s">
        <v>1609</v>
      </c>
      <c r="AE1" s="184" t="s">
        <v>1610</v>
      </c>
      <c r="AF1" s="184" t="s">
        <v>1606</v>
      </c>
      <c r="AG1" s="184" t="s">
        <v>1608</v>
      </c>
      <c r="AH1" s="171" t="s">
        <v>1805</v>
      </c>
      <c r="AI1" s="172" t="s">
        <v>1804</v>
      </c>
      <c r="AJ1" s="172" t="s">
        <v>1421</v>
      </c>
      <c r="AK1" s="172" t="s">
        <v>1422</v>
      </c>
      <c r="AL1" s="170" t="s">
        <v>730</v>
      </c>
      <c r="AM1" s="170" t="s">
        <v>731</v>
      </c>
      <c r="AN1" s="173" t="s">
        <v>1806</v>
      </c>
      <c r="AO1" s="185" t="s">
        <v>1807</v>
      </c>
    </row>
    <row r="2" spans="1:41" ht="20.100000000000001" customHeight="1" thickTop="1" thickBot="1">
      <c r="A2" s="134"/>
      <c r="B2" s="135" t="str">
        <f>IFERROR(INDEX(Tableau4[Date],MATCH($A2,Tableau4[EVO],0)),"")</f>
        <v/>
      </c>
      <c r="C2" s="136" t="str">
        <f>IFERROR(INDEX(Tableau4[Designation],MATCH($A2,Tableau4[EVO],0)),"")</f>
        <v/>
      </c>
      <c r="D2" s="134"/>
      <c r="E2" s="137">
        <v>8</v>
      </c>
      <c r="F2" s="138">
        <v>244</v>
      </c>
      <c r="G2" s="139" t="str">
        <f>INDEX(Tableau8[Att1],MATCH(Tableau3[[#This Row],[ID-INS]],Tableau8[ID],0))&amp;""</f>
        <v>V5</v>
      </c>
      <c r="H2" s="139" t="str">
        <f>INDEX(Tableau8[Att2],MATCH(Tableau3[[#This Row],[ID-INS]],Tableau8[ID],0))&amp;""</f>
        <v>P8</v>
      </c>
      <c r="I2" s="139" t="str">
        <f>INDEX(Tableau8[Att3],MATCH(Tableau3[[#This Row],[ID-INS]],Tableau8[ID],0))&amp;""</f>
        <v>Portail P8</v>
      </c>
      <c r="J2" s="101"/>
      <c r="K2" s="167" t="str">
        <f>INDEX(Tableau8[Nom du modele],MATCH(Tableau3[[#This Row],[ID-INS]],Tableau8[ID],0))&amp;""</f>
        <v>PortailBleuElec_1</v>
      </c>
      <c r="L2" s="141" t="str">
        <f>INDEX(Tableau5[Att1],MATCH(Tableau3[[#This Row],[ID-SIG]],Tableau5[ID],0))&amp;""</f>
        <v>V_FerCmd2</v>
      </c>
      <c r="M2" s="141" t="str">
        <f>INDEX(Tableau5[Att2],MATCH(Tableau3[[#This Row],[ID-SIG]],Tableau5[ID],0))&amp;""</f>
        <v/>
      </c>
      <c r="N2" s="141" t="str">
        <f>INDEX(Tableau5[Att3],MATCH(Tableau3[[#This Row],[ID-SIG]],Tableau5[ID],0))&amp;""</f>
        <v/>
      </c>
      <c r="O2" s="99"/>
      <c r="P2" s="141" t="str">
        <f>INDEX(Tableau5[Description],MATCH(Tableau3[[#This Row],[ID-SIG]],Tableau5[ID],0))</f>
        <v>Commande 2 fermeture</v>
      </c>
      <c r="Q2" s="99"/>
      <c r="R2" s="142" t="str">
        <f>Tableau3[[#This Row],[Description]]</f>
        <v>Commande 2 fermeture</v>
      </c>
      <c r="S2" s="52"/>
      <c r="U2" s="87">
        <v>1</v>
      </c>
      <c r="V2" s="196">
        <v>1</v>
      </c>
      <c r="W2" s="87">
        <v>3</v>
      </c>
      <c r="X2" s="87">
        <v>0</v>
      </c>
      <c r="Y2" s="41"/>
      <c r="Z2" s="165" t="str">
        <f>INDEX(Tableau2[TS],MATCH(Tableau3[[#This Row],[ID-CARTEVOIE]],Tableau2[ID-CARTEVOIE],0))</f>
        <v>ST</v>
      </c>
      <c r="AA2" s="53" t="s">
        <v>213</v>
      </c>
      <c r="AB2" s="223" t="str">
        <f>IFERROR(INDEX(Tableau5[Reserve],MATCH(Tableau3[[#This Row],[ID-SIG]],Tableau5[ID],0))&amp;"","")</f>
        <v/>
      </c>
      <c r="AC2" s="119"/>
      <c r="AD2" s="120" t="str">
        <f>INDEX(Tableau7[Repere],MATCH(Tableau3[[#This Row],[ID-API]],Tableau7[ID-API],0))&amp;""</f>
        <v>A1</v>
      </c>
      <c r="AE2" s="120" t="str">
        <f>INDEX(Tableau1[Repere-Rack],MATCH(Tableau3[[#This Row],[ID-RACK]],Tableau1[ID-RACK],0))&amp;""</f>
        <v>R1</v>
      </c>
      <c r="AF2" s="120" t="str">
        <f>INDEX(Tableau1[Repere-Slot],MATCH(Tableau3[[#This Row],[ID-SLOT]],Tableau1[ID-SLOT],0))&amp;""</f>
        <v>S3</v>
      </c>
      <c r="AG2" s="120" t="str">
        <f>INDEX(Tableau2[Repere-Voie],MATCH(Tableau3[[#This Row],[ID-VOIE]],Tableau2[ID-Voie],0))&amp;""</f>
        <v>v0</v>
      </c>
      <c r="AH2" s="122" t="str">
        <f>Tableau3[[#This Row],[ID-API]]&amp; "." &amp;Tableau3[[#This Row],[ID-RACK]]&amp; "." &amp;Tableau3[[#This Row],[ID-SLOT]]</f>
        <v>1.1.3</v>
      </c>
      <c r="AI2" s="72" t="str">
        <f>INDEX(Tableau1[Ref-Carte],MATCH(Tableau3[[#This Row],[ID-RRS]],Tableau1[ID-RRS],0))</f>
        <v>SDO0802</v>
      </c>
      <c r="AJ2" s="72" t="str">
        <f t="array" ref="AJ2">IFERROR(INDEX(Tableau2[TS],MATCH(1,(Tableau2[Ref-Carte]=Tableau3[[#This Row],[Ref-Carte2]])*(Tableau2[ID-Voie]=Tableau3[[#This Row],[ID-VOIE]]),0)),"")</f>
        <v>ST</v>
      </c>
      <c r="AK2" s="72" t="str">
        <f>IFERROR(INDEX(Tableau2[TS],SUMPRODUCT((Tableau2[Ref-Carte]=Tableau3[[#This Row],[Ref-Carte2]])*(Tableau2[ID-Voie]=Tableau3[[#This Row],[ID-VOIE]])*ROW(Tableau2[TS]))-ROW(Tableau2[#Headers])),"")</f>
        <v>ST</v>
      </c>
      <c r="AL2" s="122" t="str">
        <f>Tableau3[[#This Row],[Ref-Carte2]]&amp;"/"&amp;Tableau3[[#This Row],[ID-VOIE]]</f>
        <v>SDO0802/0</v>
      </c>
      <c r="AM2" s="145" t="str">
        <f>INDEX(Tableau2[Borne],MATCH(Tableau3[[#This Row],[ID-CARTEVOIE]],Tableau2[ID-CARTEVOIE],0))&amp;""</f>
        <v>0</v>
      </c>
      <c r="AN2" s="124" t="str">
        <f>Tableau3[[#This Row],[ID-API]]&amp;Tableau3[[#This Row],[ID-RACK]]&amp;Tableau3[[#This Row],[ID-SLOT]]&amp;Tableau3[[#This Row],[BORNE]]</f>
        <v>1130</v>
      </c>
      <c r="AO2" s="125"/>
    </row>
    <row r="3" spans="1:41" ht="20.100000000000001" customHeight="1" thickTop="1" thickBot="1">
      <c r="A3" s="134"/>
      <c r="B3" s="135" t="str">
        <f>IFERROR(INDEX(Tableau4[Date],MATCH($A3,Tableau4[EVO],0)),"")</f>
        <v/>
      </c>
      <c r="C3" s="136" t="str">
        <f>IFERROR(INDEX(Tableau4[Designation],MATCH($A3,Tableau4[EVO],0)),"")</f>
        <v/>
      </c>
      <c r="D3" s="134"/>
      <c r="E3" s="137">
        <v>8</v>
      </c>
      <c r="F3" s="138">
        <v>245</v>
      </c>
      <c r="G3" s="139" t="str">
        <f>INDEX(Tableau8[Att1],MATCH(Tableau3[[#This Row],[ID-INS]],Tableau8[ID],0))&amp;""</f>
        <v>V5</v>
      </c>
      <c r="H3" s="139" t="str">
        <f>INDEX(Tableau8[Att2],MATCH(Tableau3[[#This Row],[ID-INS]],Tableau8[ID],0))&amp;""</f>
        <v>P8</v>
      </c>
      <c r="I3" s="139" t="str">
        <f>INDEX(Tableau8[Att3],MATCH(Tableau3[[#This Row],[ID-INS]],Tableau8[ID],0))&amp;""</f>
        <v>Portail P8</v>
      </c>
      <c r="J3" s="101"/>
      <c r="K3" s="167" t="str">
        <f>INDEX(Tableau8[Nom du modele],MATCH(Tableau3[[#This Row],[ID-INS]],Tableau8[ID],0))&amp;""</f>
        <v>PortailBleuElec_1</v>
      </c>
      <c r="L3" s="141" t="str">
        <f>INDEX(Tableau5[Att1],MATCH(Tableau3[[#This Row],[ID-SIG]],Tableau5[ID],0))&amp;""</f>
        <v>V_ARUCmd2</v>
      </c>
      <c r="M3" s="141" t="str">
        <f>INDEX(Tableau5[Att2],MATCH(Tableau3[[#This Row],[ID-SIG]],Tableau5[ID],0))&amp;""</f>
        <v/>
      </c>
      <c r="N3" s="141" t="str">
        <f>INDEX(Tableau5[Att3],MATCH(Tableau3[[#This Row],[ID-SIG]],Tableau5[ID],0))&amp;""</f>
        <v/>
      </c>
      <c r="O3" s="99"/>
      <c r="P3" s="141" t="str">
        <f>INDEX(Tableau5[Description],MATCH(Tableau3[[#This Row],[ID-SIG]],Tableau5[ID],0))</f>
        <v>Commande 2 ARU</v>
      </c>
      <c r="Q3" s="99"/>
      <c r="R3" s="142" t="str">
        <f>Tableau3[[#This Row],[Description]]</f>
        <v>Commande 2 ARU</v>
      </c>
      <c r="S3" s="52"/>
      <c r="U3" s="87">
        <v>1</v>
      </c>
      <c r="V3" s="87">
        <v>1</v>
      </c>
      <c r="W3" s="87">
        <v>3</v>
      </c>
      <c r="X3" s="87">
        <v>1</v>
      </c>
      <c r="Y3" s="41"/>
      <c r="Z3" s="165" t="str">
        <f>INDEX(Tableau2[TS],MATCH(Tableau3[[#This Row],[ID-CARTEVOIE]],Tableau2[ID-CARTEVOIE],0))</f>
        <v>ST</v>
      </c>
      <c r="AA3" s="144" t="s">
        <v>213</v>
      </c>
      <c r="AB3" s="223" t="str">
        <f>IFERROR(INDEX(Tableau5[Reserve],MATCH(Tableau3[[#This Row],[ID-SIG]],Tableau5[ID],0))&amp;"","")</f>
        <v/>
      </c>
      <c r="AC3" s="119"/>
      <c r="AD3" s="120" t="str">
        <f>INDEX(Tableau7[Repere],MATCH(Tableau3[[#This Row],[ID-API]],Tableau7[ID-API],0))&amp;""</f>
        <v>A1</v>
      </c>
      <c r="AE3" s="120" t="str">
        <f>INDEX(Tableau1[Repere-Rack],MATCH(Tableau3[[#This Row],[ID-RACK]],Tableau1[ID-RACK],0))&amp;""</f>
        <v>R1</v>
      </c>
      <c r="AF3" s="120" t="str">
        <f>INDEX(Tableau1[Repere-Slot],MATCH(Tableau3[[#This Row],[ID-SLOT]],Tableau1[ID-SLOT],0))&amp;""</f>
        <v>S3</v>
      </c>
      <c r="AG3" s="120" t="str">
        <f>INDEX(Tableau2[Repere-Voie],MATCH(Tableau3[[#This Row],[ID-VOIE]],Tableau2[ID-Voie],0))&amp;""</f>
        <v>v1</v>
      </c>
      <c r="AH3" s="122" t="str">
        <f>Tableau3[[#This Row],[ID-API]]&amp; "." &amp;Tableau3[[#This Row],[ID-RACK]]&amp; "." &amp;Tableau3[[#This Row],[ID-SLOT]]</f>
        <v>1.1.3</v>
      </c>
      <c r="AI3" s="72" t="str">
        <f>INDEX(Tableau1[Ref-Carte],MATCH(Tableau3[[#This Row],[ID-RRS]],Tableau1[ID-RRS],0))</f>
        <v>SDO0802</v>
      </c>
      <c r="AJ3" s="72" t="str">
        <f t="array" ref="AJ3">IFERROR(INDEX(Tableau2[TS],MATCH(1,(Tableau2[Ref-Carte]=Tableau3[[#This Row],[Ref-Carte2]])*(Tableau2[ID-Voie]=Tableau3[[#This Row],[ID-VOIE]]),0)),"")</f>
        <v>ST</v>
      </c>
      <c r="AK3" s="72" t="str">
        <f>IFERROR(INDEX(Tableau2[TS],SUMPRODUCT((Tableau2[Ref-Carte]=Tableau3[[#This Row],[Ref-Carte2]])*(Tableau2[ID-Voie]=Tableau3[[#This Row],[ID-VOIE]])*ROW(Tableau2[TS]))-ROW(Tableau2[#Headers])),"")</f>
        <v>ST</v>
      </c>
      <c r="AL3" s="122" t="str">
        <f>Tableau3[[#This Row],[Ref-Carte2]]&amp;"/"&amp;Tableau3[[#This Row],[ID-VOIE]]</f>
        <v>SDO0802/1</v>
      </c>
      <c r="AM3" s="145" t="str">
        <f>INDEX(Tableau2[Borne],MATCH(Tableau3[[#This Row],[ID-CARTEVOIE]],Tableau2[ID-CARTEVOIE],0))&amp;""</f>
        <v>1</v>
      </c>
      <c r="AN3" s="124" t="str">
        <f>Tableau3[[#This Row],[ID-API]]&amp;Tableau3[[#This Row],[ID-RACK]]&amp;Tableau3[[#This Row],[ID-SLOT]]&amp;Tableau3[[#This Row],[BORNE]]</f>
        <v>1131</v>
      </c>
      <c r="AO3" s="125"/>
    </row>
    <row r="4" spans="1:41" ht="20.100000000000001" customHeight="1" thickTop="1" thickBot="1">
      <c r="A4" s="68"/>
      <c r="B4" s="69" t="str">
        <f>IFERROR(INDEX(Tableau4[Date],MATCH($A4,Tableau4[EVO],0)),"")</f>
        <v/>
      </c>
      <c r="C4" s="68" t="str">
        <f>IFERROR(INDEX(Tableau4[Designation],MATCH($A4,Tableau4[EVO],0)),"")</f>
        <v/>
      </c>
      <c r="D4" s="68"/>
      <c r="E4" s="70">
        <v>10</v>
      </c>
      <c r="F4" s="71">
        <v>155</v>
      </c>
      <c r="G4" s="101" t="str">
        <f>INDEX(Tableau8[Att1],MATCH(Tableau3[[#This Row],[ID-INS]],Tableau8[ID],0))&amp;""</f>
        <v>V5</v>
      </c>
      <c r="H4" s="101" t="str">
        <f>INDEX(Tableau8[Att2],MATCH(Tableau3[[#This Row],[ID-INS]],Tableau8[ID],0))&amp;""</f>
        <v>P10</v>
      </c>
      <c r="I4" s="101" t="str">
        <f>INDEX(Tableau8[Att3],MATCH(Tableau3[[#This Row],[ID-INS]],Tableau8[ID],0))&amp;""</f>
        <v>Portail P10</v>
      </c>
      <c r="J4" s="101"/>
      <c r="K4" s="167" t="str">
        <f>INDEX(Tableau8[Nom du modele],MATCH(Tableau3[[#This Row],[ID-INS]],Tableau8[ID],0))&amp;""</f>
        <v>PortailR2VElec</v>
      </c>
      <c r="L4" s="99" t="str">
        <f>INDEX(Tableau5[Att1],MATCH(Tableau3[[#This Row],[ID-SIG]],Tableau5[ID],0))&amp;""</f>
        <v>Vx_ARUCmd2</v>
      </c>
      <c r="M4" s="99" t="str">
        <f>INDEX(Tableau5[Att2],MATCH(Tableau3[[#This Row],[ID-SIG]],Tableau5[ID],0))&amp;""</f>
        <v/>
      </c>
      <c r="N4" s="99" t="str">
        <f>INDEX(Tableau5[Att3],MATCH(Tableau3[[#This Row],[ID-SIG]],Tableau5[ID],0))&amp;""</f>
        <v/>
      </c>
      <c r="O4" s="99"/>
      <c r="P4" s="99" t="str">
        <f>INDEX(Tableau5[Description],MATCH(Tableau3[[#This Row],[ID-SIG]],Tableau5[ID],0))</f>
        <v>Commande 2 d'ARU</v>
      </c>
      <c r="Q4" s="99"/>
      <c r="R4" s="103" t="str">
        <f>Tableau3[[#This Row],[Description]]</f>
        <v>Commande 2 d'ARU</v>
      </c>
      <c r="S4" s="83"/>
      <c r="U4" s="87">
        <v>1</v>
      </c>
      <c r="V4" s="87">
        <v>1</v>
      </c>
      <c r="W4" s="87">
        <v>3</v>
      </c>
      <c r="X4" s="87">
        <v>2</v>
      </c>
      <c r="Y4" s="41"/>
      <c r="Z4" s="165" t="str">
        <f>INDEX(Tableau2[TS],MATCH(Tableau3[[#This Row],[ID-CARTEVOIE]],Tableau2[ID-CARTEVOIE],0))</f>
        <v>ST</v>
      </c>
      <c r="AA4" s="53" t="s">
        <v>213</v>
      </c>
      <c r="AB4" s="223" t="str">
        <f>IFERROR(INDEX(Tableau5[Reserve],MATCH(Tableau3[[#This Row],[ID-SIG]],Tableau5[ID],0))&amp;"","")</f>
        <v/>
      </c>
      <c r="AC4" s="21"/>
      <c r="AD4" s="108" t="str">
        <f>INDEX(Tableau7[Repere],MATCH(Tableau3[[#This Row],[ID-API]],Tableau7[ID-API],0))&amp;""</f>
        <v>A1</v>
      </c>
      <c r="AE4" s="108" t="str">
        <f>INDEX(Tableau1[Repere-Rack],MATCH(Tableau3[[#This Row],[ID-RACK]],Tableau1[ID-RACK],0))&amp;""</f>
        <v>R1</v>
      </c>
      <c r="AF4" s="108" t="str">
        <f>INDEX(Tableau1[Repere-Slot],MATCH(Tableau3[[#This Row],[ID-SLOT]],Tableau1[ID-SLOT],0))&amp;""</f>
        <v>S3</v>
      </c>
      <c r="AG4" s="108" t="str">
        <f>INDEX(Tableau2[Repere-Voie],MATCH(Tableau3[[#This Row],[ID-VOIE]],Tableau2[ID-Voie],0))&amp;""</f>
        <v>v2</v>
      </c>
      <c r="AH4" s="72" t="str">
        <f>Tableau3[[#This Row],[ID-API]]&amp; "." &amp;Tableau3[[#This Row],[ID-RACK]]&amp; "." &amp;Tableau3[[#This Row],[ID-SLOT]]</f>
        <v>1.1.3</v>
      </c>
      <c r="AI4" s="72" t="str">
        <f>INDEX(Tableau1[Ref-Carte],MATCH(Tableau3[[#This Row],[ID-RRS]],Tableau1[ID-RRS],0))</f>
        <v>SDO0802</v>
      </c>
      <c r="AJ4" s="72" t="str">
        <f t="array" ref="AJ4">IFERROR(INDEX(Tableau2[TS],MATCH(1,(Tableau2[Ref-Carte]=Tableau3[[#This Row],[Ref-Carte2]])*(Tableau2[ID-Voie]=Tableau3[[#This Row],[ID-VOIE]]),0)),"")</f>
        <v>ST</v>
      </c>
      <c r="AK4" s="72" t="str">
        <f>IFERROR(INDEX(Tableau2[TS],SUMPRODUCT((Tableau2[Ref-Carte]=Tableau3[[#This Row],[Ref-Carte2]])*(Tableau2[ID-Voie]=Tableau3[[#This Row],[ID-VOIE]])*ROW(Tableau2[TS]))-ROW(Tableau2[#Headers])),"")</f>
        <v>ST</v>
      </c>
      <c r="AL4" s="72" t="str">
        <f>Tableau3[[#This Row],[Ref-Carte2]]&amp;"/"&amp;Tableau3[[#This Row],[ID-VOIE]]</f>
        <v>SDO0802/2</v>
      </c>
      <c r="AM4" s="73" t="str">
        <f>INDEX(Tableau2[Borne],MATCH(Tableau3[[#This Row],[ID-CARTEVOIE]],Tableau2[ID-CARTEVOIE],0))&amp;""</f>
        <v>2</v>
      </c>
      <c r="AN4" s="74" t="str">
        <f>Tableau3[[#This Row],[ID-API]]&amp;Tableau3[[#This Row],[ID-RACK]]&amp;Tableau3[[#This Row],[ID-SLOT]]&amp;Tableau3[[#This Row],[BORNE]]</f>
        <v>1132</v>
      </c>
      <c r="AO4" s="1"/>
    </row>
    <row r="5" spans="1:41" ht="20.100000000000001" customHeight="1" thickTop="1" thickBot="1">
      <c r="A5" s="68"/>
      <c r="B5" s="69" t="str">
        <f>IFERROR(INDEX(Tableau4[Date],MATCH($A5,Tableau4[EVO],0)),"")</f>
        <v/>
      </c>
      <c r="C5" s="68" t="str">
        <f>IFERROR(INDEX(Tableau4[Designation],MATCH($A5,Tableau4[EVO],0)),"")</f>
        <v/>
      </c>
      <c r="D5" s="68"/>
      <c r="E5" s="70">
        <v>10</v>
      </c>
      <c r="F5" s="71">
        <v>164</v>
      </c>
      <c r="G5" s="101" t="str">
        <f>INDEX(Tableau8[Att1],MATCH(Tableau3[[#This Row],[ID-INS]],Tableau8[ID],0))&amp;""</f>
        <v>V5</v>
      </c>
      <c r="H5" s="101" t="str">
        <f>INDEX(Tableau8[Att2],MATCH(Tableau3[[#This Row],[ID-INS]],Tableau8[ID],0))&amp;""</f>
        <v>P10</v>
      </c>
      <c r="I5" s="101" t="str">
        <f>INDEX(Tableau8[Att3],MATCH(Tableau3[[#This Row],[ID-INS]],Tableau8[ID],0))&amp;""</f>
        <v>Portail P10</v>
      </c>
      <c r="J5" s="101"/>
      <c r="K5" s="167" t="str">
        <f>INDEX(Tableau8[Nom du modele],MATCH(Tableau3[[#This Row],[ID-INS]],Tableau8[ID],0))&amp;""</f>
        <v>PortailR2VElec</v>
      </c>
      <c r="L5" s="99" t="str">
        <f>INDEX(Tableau5[Att1],MATCH(Tableau3[[#This Row],[ID-SIG]],Tableau5[ID],0))&amp;""</f>
        <v>Réserve</v>
      </c>
      <c r="M5" s="99" t="str">
        <f>INDEX(Tableau5[Att2],MATCH(Tableau3[[#This Row],[ID-SIG]],Tableau5[ID],0))&amp;""</f>
        <v/>
      </c>
      <c r="N5" s="99" t="str">
        <f>INDEX(Tableau5[Att3],MATCH(Tableau3[[#This Row],[ID-SIG]],Tableau5[ID],0))&amp;""</f>
        <v/>
      </c>
      <c r="O5" s="99"/>
      <c r="P5" s="99" t="str">
        <f>INDEX(Tableau5[Description],MATCH(Tableau3[[#This Row],[ID-SIG]],Tableau5[ID],0))</f>
        <v>Réserve</v>
      </c>
      <c r="Q5" s="99"/>
      <c r="R5" s="103" t="str">
        <f>Tableau3[[#This Row],[Description]]</f>
        <v>Réserve</v>
      </c>
      <c r="S5" s="83"/>
      <c r="U5" s="87">
        <v>1</v>
      </c>
      <c r="V5" s="87">
        <v>1</v>
      </c>
      <c r="W5" s="87">
        <v>3</v>
      </c>
      <c r="X5" s="87">
        <v>3</v>
      </c>
      <c r="Y5" s="41"/>
      <c r="Z5" s="165" t="str">
        <f>INDEX(Tableau2[TS],MATCH(Tableau3[[#This Row],[ID-CARTEVOIE]],Tableau2[ID-CARTEVOIE],0))</f>
        <v>ST</v>
      </c>
      <c r="AA5" s="53" t="s">
        <v>213</v>
      </c>
      <c r="AB5" s="223" t="str">
        <f>IFERROR(INDEX(Tableau5[Reserve],MATCH(Tableau3[[#This Row],[ID-SIG]],Tableau5[ID],0))&amp;"","")</f>
        <v/>
      </c>
      <c r="AC5" s="21"/>
      <c r="AD5" s="108" t="str">
        <f>INDEX(Tableau7[Repere],MATCH(Tableau3[[#This Row],[ID-API]],Tableau7[ID-API],0))&amp;""</f>
        <v>A1</v>
      </c>
      <c r="AE5" s="108" t="str">
        <f>INDEX(Tableau1[Repere-Rack],MATCH(Tableau3[[#This Row],[ID-RACK]],Tableau1[ID-RACK],0))&amp;""</f>
        <v>R1</v>
      </c>
      <c r="AF5" s="108" t="str">
        <f>INDEX(Tableau1[Repere-Slot],MATCH(Tableau3[[#This Row],[ID-SLOT]],Tableau1[ID-SLOT],0))&amp;""</f>
        <v>S3</v>
      </c>
      <c r="AG5" s="108" t="str">
        <f>INDEX(Tableau2[Repere-Voie],MATCH(Tableau3[[#This Row],[ID-VOIE]],Tableau2[ID-Voie],0))&amp;""</f>
        <v>v3</v>
      </c>
      <c r="AH5" s="72" t="str">
        <f>Tableau3[[#This Row],[ID-API]]&amp; "." &amp;Tableau3[[#This Row],[ID-RACK]]&amp; "." &amp;Tableau3[[#This Row],[ID-SLOT]]</f>
        <v>1.1.3</v>
      </c>
      <c r="AI5" s="72" t="str">
        <f>INDEX(Tableau1[Ref-Carte],MATCH(Tableau3[[#This Row],[ID-RRS]],Tableau1[ID-RRS],0))</f>
        <v>SDO0802</v>
      </c>
      <c r="AJ5" s="72" t="str">
        <f t="array" ref="AJ5">IFERROR(INDEX(Tableau2[TS],MATCH(1,(Tableau2[Ref-Carte]=Tableau3[[#This Row],[Ref-Carte2]])*(Tableau2[ID-Voie]=Tableau3[[#This Row],[ID-VOIE]]),0)),"")</f>
        <v>ST</v>
      </c>
      <c r="AK5" s="72" t="str">
        <f>IFERROR(INDEX(Tableau2[TS],SUMPRODUCT((Tableau2[Ref-Carte]=Tableau3[[#This Row],[Ref-Carte2]])*(Tableau2[ID-Voie]=Tableau3[[#This Row],[ID-VOIE]])*ROW(Tableau2[TS]))-ROW(Tableau2[#Headers])),"")</f>
        <v>ST</v>
      </c>
      <c r="AL5" s="72" t="str">
        <f>Tableau3[[#This Row],[Ref-Carte2]]&amp;"/"&amp;Tableau3[[#This Row],[ID-VOIE]]</f>
        <v>SDO0802/3</v>
      </c>
      <c r="AM5" s="73" t="str">
        <f>INDEX(Tableau2[Borne],MATCH(Tableau3[[#This Row],[ID-CARTEVOIE]],Tableau2[ID-CARTEVOIE],0))&amp;""</f>
        <v>3</v>
      </c>
      <c r="AN5" s="74" t="str">
        <f>Tableau3[[#This Row],[ID-API]]&amp;Tableau3[[#This Row],[ID-RACK]]&amp;Tableau3[[#This Row],[ID-SLOT]]&amp;Tableau3[[#This Row],[BORNE]]</f>
        <v>1133</v>
      </c>
      <c r="AO5" s="1"/>
    </row>
    <row r="6" spans="1:41" ht="20.100000000000001" customHeight="1" thickTop="1" thickBot="1">
      <c r="A6" s="68"/>
      <c r="B6" s="69" t="str">
        <f>IFERROR(INDEX(Tableau4[Date],MATCH($A6,Tableau4[EVO],0)),"")</f>
        <v/>
      </c>
      <c r="C6" s="68" t="str">
        <f>IFERROR(INDEX(Tableau4[Designation],MATCH($A6,Tableau4[EVO],0)),"")</f>
        <v/>
      </c>
      <c r="D6" s="68"/>
      <c r="E6" s="70">
        <v>10</v>
      </c>
      <c r="F6" s="71">
        <v>165</v>
      </c>
      <c r="G6" s="101" t="str">
        <f>INDEX(Tableau8[Att1],MATCH(Tableau3[[#This Row],[ID-INS]],Tableau8[ID],0))&amp;""</f>
        <v>V5</v>
      </c>
      <c r="H6" s="101" t="str">
        <f>INDEX(Tableau8[Att2],MATCH(Tableau3[[#This Row],[ID-INS]],Tableau8[ID],0))&amp;""</f>
        <v>P10</v>
      </c>
      <c r="I6" s="101" t="str">
        <f>INDEX(Tableau8[Att3],MATCH(Tableau3[[#This Row],[ID-INS]],Tableau8[ID],0))&amp;""</f>
        <v>Portail P10</v>
      </c>
      <c r="J6" s="101"/>
      <c r="K6" s="167" t="str">
        <f>INDEX(Tableau8[Nom du modele],MATCH(Tableau3[[#This Row],[ID-INS]],Tableau8[ID],0))&amp;""</f>
        <v>PortailR2VElec</v>
      </c>
      <c r="L6" s="99" t="str">
        <f>INDEX(Tableau5[Att1],MATCH(Tableau3[[#This Row],[ID-SIG]],Tableau5[ID],0))&amp;""</f>
        <v>V1_FerCmd2</v>
      </c>
      <c r="M6" s="99" t="str">
        <f>INDEX(Tableau5[Att2],MATCH(Tableau3[[#This Row],[ID-SIG]],Tableau5[ID],0))&amp;""</f>
        <v/>
      </c>
      <c r="N6" s="99" t="str">
        <f>INDEX(Tableau5[Att3],MATCH(Tableau3[[#This Row],[ID-SIG]],Tableau5[ID],0))&amp;""</f>
        <v/>
      </c>
      <c r="O6" s="99"/>
      <c r="P6" s="99" t="str">
        <f>INDEX(Tableau5[Description],MATCH(Tableau3[[#This Row],[ID-SIG]],Tableau5[ID],0))</f>
        <v>Commande de fermeture 2 du vantail 1</v>
      </c>
      <c r="Q6" s="99"/>
      <c r="R6" s="103" t="str">
        <f>Tableau3[[#This Row],[Description]]</f>
        <v>Commande de fermeture 2 du vantail 1</v>
      </c>
      <c r="S6" s="83"/>
      <c r="U6" s="87">
        <v>1</v>
      </c>
      <c r="V6" s="87">
        <v>1</v>
      </c>
      <c r="W6" s="87">
        <v>3</v>
      </c>
      <c r="X6" s="87">
        <v>4</v>
      </c>
      <c r="Y6" s="41"/>
      <c r="Z6" s="165" t="str">
        <f>INDEX(Tableau2[TS],MATCH(Tableau3[[#This Row],[ID-CARTEVOIE]],Tableau2[ID-CARTEVOIE],0))</f>
        <v>ST</v>
      </c>
      <c r="AA6" s="53" t="s">
        <v>213</v>
      </c>
      <c r="AB6" s="223" t="str">
        <f>IFERROR(INDEX(Tableau5[Reserve],MATCH(Tableau3[[#This Row],[ID-SIG]],Tableau5[ID],0))&amp;"","")</f>
        <v/>
      </c>
      <c r="AC6" s="21"/>
      <c r="AD6" s="108" t="str">
        <f>INDEX(Tableau7[Repere],MATCH(Tableau3[[#This Row],[ID-API]],Tableau7[ID-API],0))&amp;""</f>
        <v>A1</v>
      </c>
      <c r="AE6" s="108" t="str">
        <f>INDEX(Tableau1[Repere-Rack],MATCH(Tableau3[[#This Row],[ID-RACK]],Tableau1[ID-RACK],0))&amp;""</f>
        <v>R1</v>
      </c>
      <c r="AF6" s="108" t="str">
        <f>INDEX(Tableau1[Repere-Slot],MATCH(Tableau3[[#This Row],[ID-SLOT]],Tableau1[ID-SLOT],0))&amp;""</f>
        <v>S3</v>
      </c>
      <c r="AG6" s="108" t="str">
        <f>INDEX(Tableau2[Repere-Voie],MATCH(Tableau3[[#This Row],[ID-VOIE]],Tableau2[ID-Voie],0))&amp;""</f>
        <v>v4</v>
      </c>
      <c r="AH6" s="72" t="str">
        <f>Tableau3[[#This Row],[ID-API]]&amp; "." &amp;Tableau3[[#This Row],[ID-RACK]]&amp; "." &amp;Tableau3[[#This Row],[ID-SLOT]]</f>
        <v>1.1.3</v>
      </c>
      <c r="AI6" s="72" t="str">
        <f>INDEX(Tableau1[Ref-Carte],MATCH(Tableau3[[#This Row],[ID-RRS]],Tableau1[ID-RRS],0))</f>
        <v>SDO0802</v>
      </c>
      <c r="AJ6" s="72" t="str">
        <f t="array" ref="AJ6">IFERROR(INDEX(Tableau2[TS],MATCH(1,(Tableau2[Ref-Carte]=Tableau3[[#This Row],[Ref-Carte2]])*(Tableau2[ID-Voie]=Tableau3[[#This Row],[ID-VOIE]]),0)),"")</f>
        <v>ST</v>
      </c>
      <c r="AK6" s="72" t="str">
        <f>IFERROR(INDEX(Tableau2[TS],SUMPRODUCT((Tableau2[Ref-Carte]=Tableau3[[#This Row],[Ref-Carte2]])*(Tableau2[ID-Voie]=Tableau3[[#This Row],[ID-VOIE]])*ROW(Tableau2[TS]))-ROW(Tableau2[#Headers])),"")</f>
        <v>ST</v>
      </c>
      <c r="AL6" s="72" t="str">
        <f>Tableau3[[#This Row],[Ref-Carte2]]&amp;"/"&amp;Tableau3[[#This Row],[ID-VOIE]]</f>
        <v>SDO0802/4</v>
      </c>
      <c r="AM6" s="73" t="str">
        <f>INDEX(Tableau2[Borne],MATCH(Tableau3[[#This Row],[ID-CARTEVOIE]],Tableau2[ID-CARTEVOIE],0))&amp;""</f>
        <v>4</v>
      </c>
      <c r="AN6" s="74" t="str">
        <f>Tableau3[[#This Row],[ID-API]]&amp;Tableau3[[#This Row],[ID-RACK]]&amp;Tableau3[[#This Row],[ID-SLOT]]&amp;Tableau3[[#This Row],[BORNE]]</f>
        <v>1134</v>
      </c>
      <c r="AO6" s="1"/>
    </row>
    <row r="7" spans="1:41" ht="20.100000000000001" customHeight="1" thickTop="1" thickBot="1">
      <c r="A7" s="68"/>
      <c r="B7" s="69" t="str">
        <f>IFERROR(INDEX(Tableau4[Date],MATCH($A7,Tableau4[EVO],0)),"")</f>
        <v/>
      </c>
      <c r="C7" s="68" t="str">
        <f>IFERROR(INDEX(Tableau4[Designation],MATCH($A7,Tableau4[EVO],0)),"")</f>
        <v/>
      </c>
      <c r="D7" s="68"/>
      <c r="E7" s="70">
        <v>10</v>
      </c>
      <c r="F7" s="71">
        <v>186</v>
      </c>
      <c r="G7" s="101" t="str">
        <f>INDEX(Tableau8[Att1],MATCH(Tableau3[[#This Row],[ID-INS]],Tableau8[ID],0))&amp;""</f>
        <v>V5</v>
      </c>
      <c r="H7" s="101" t="str">
        <f>INDEX(Tableau8[Att2],MATCH(Tableau3[[#This Row],[ID-INS]],Tableau8[ID],0))&amp;""</f>
        <v>P10</v>
      </c>
      <c r="I7" s="101" t="str">
        <f>INDEX(Tableau8[Att3],MATCH(Tableau3[[#This Row],[ID-INS]],Tableau8[ID],0))&amp;""</f>
        <v>Portail P10</v>
      </c>
      <c r="J7" s="101"/>
      <c r="K7" s="167" t="str">
        <f>INDEX(Tableau8[Nom du modele],MATCH(Tableau3[[#This Row],[ID-INS]],Tableau8[ID],0))&amp;""</f>
        <v>PortailR2VElec</v>
      </c>
      <c r="L7" s="99" t="str">
        <f>INDEX(Tableau5[Att1],MATCH(Tableau3[[#This Row],[ID-SIG]],Tableau5[ID],0))&amp;""</f>
        <v>V2_StopCmd</v>
      </c>
      <c r="M7" s="99" t="str">
        <f>INDEX(Tableau5[Att2],MATCH(Tableau3[[#This Row],[ID-SIG]],Tableau5[ID],0))&amp;""</f>
        <v/>
      </c>
      <c r="N7" s="99" t="str">
        <f>INDEX(Tableau5[Att3],MATCH(Tableau3[[#This Row],[ID-SIG]],Tableau5[ID],0))&amp;""</f>
        <v/>
      </c>
      <c r="O7" s="99"/>
      <c r="P7" s="99" t="str">
        <f>INDEX(Tableau5[Description],MATCH(Tableau3[[#This Row],[ID-SIG]],Tableau5[ID],0))</f>
        <v>Commande stop vantail 2</v>
      </c>
      <c r="Q7" s="99"/>
      <c r="R7" s="103" t="str">
        <f>Tableau3[[#This Row],[Description]]</f>
        <v>Commande stop vantail 2</v>
      </c>
      <c r="S7" s="83"/>
      <c r="U7" s="87">
        <v>1</v>
      </c>
      <c r="V7" s="87">
        <v>1</v>
      </c>
      <c r="W7" s="87">
        <v>3</v>
      </c>
      <c r="X7" s="87">
        <v>5</v>
      </c>
      <c r="Y7" s="41"/>
      <c r="Z7" s="165" t="str">
        <f>INDEX(Tableau2[TS],MATCH(Tableau3[[#This Row],[ID-CARTEVOIE]],Tableau2[ID-CARTEVOIE],0))</f>
        <v>ST</v>
      </c>
      <c r="AA7" s="53" t="s">
        <v>213</v>
      </c>
      <c r="AB7" s="223" t="str">
        <f>IFERROR(INDEX(Tableau5[Reserve],MATCH(Tableau3[[#This Row],[ID-SIG]],Tableau5[ID],0))&amp;"","")</f>
        <v/>
      </c>
      <c r="AC7" s="21"/>
      <c r="AD7" s="108" t="str">
        <f>INDEX(Tableau7[Repere],MATCH(Tableau3[[#This Row],[ID-API]],Tableau7[ID-API],0))&amp;""</f>
        <v>A1</v>
      </c>
      <c r="AE7" s="108" t="str">
        <f>INDEX(Tableau1[Repere-Rack],MATCH(Tableau3[[#This Row],[ID-RACK]],Tableau1[ID-RACK],0))&amp;""</f>
        <v>R1</v>
      </c>
      <c r="AF7" s="108" t="str">
        <f>INDEX(Tableau1[Repere-Slot],MATCH(Tableau3[[#This Row],[ID-SLOT]],Tableau1[ID-SLOT],0))&amp;""</f>
        <v>S3</v>
      </c>
      <c r="AG7" s="108" t="str">
        <f>INDEX(Tableau2[Repere-Voie],MATCH(Tableau3[[#This Row],[ID-VOIE]],Tableau2[ID-Voie],0))&amp;""</f>
        <v>v5</v>
      </c>
      <c r="AH7" s="72" t="str">
        <f>Tableau3[[#This Row],[ID-API]]&amp; "." &amp;Tableau3[[#This Row],[ID-RACK]]&amp; "." &amp;Tableau3[[#This Row],[ID-SLOT]]</f>
        <v>1.1.3</v>
      </c>
      <c r="AI7" s="72" t="str">
        <f>INDEX(Tableau1[Ref-Carte],MATCH(Tableau3[[#This Row],[ID-RRS]],Tableau1[ID-RRS],0))</f>
        <v>SDO0802</v>
      </c>
      <c r="AJ7" s="72" t="str">
        <f t="array" ref="AJ7">IFERROR(INDEX(Tableau2[TS],MATCH(1,(Tableau2[Ref-Carte]=Tableau3[[#This Row],[Ref-Carte2]])*(Tableau2[ID-Voie]=Tableau3[[#This Row],[ID-VOIE]]),0)),"")</f>
        <v>ST</v>
      </c>
      <c r="AK7" s="72" t="str">
        <f>IFERROR(INDEX(Tableau2[TS],SUMPRODUCT((Tableau2[Ref-Carte]=Tableau3[[#This Row],[Ref-Carte2]])*(Tableau2[ID-Voie]=Tableau3[[#This Row],[ID-VOIE]])*ROW(Tableau2[TS]))-ROW(Tableau2[#Headers])),"")</f>
        <v>ST</v>
      </c>
      <c r="AL7" s="72" t="str">
        <f>Tableau3[[#This Row],[Ref-Carte2]]&amp;"/"&amp;Tableau3[[#This Row],[ID-VOIE]]</f>
        <v>SDO0802/5</v>
      </c>
      <c r="AM7" s="73" t="str">
        <f>INDEX(Tableau2[Borne],MATCH(Tableau3[[#This Row],[ID-CARTEVOIE]],Tableau2[ID-CARTEVOIE],0))&amp;""</f>
        <v>5</v>
      </c>
      <c r="AN7" s="74" t="str">
        <f>Tableau3[[#This Row],[ID-API]]&amp;Tableau3[[#This Row],[ID-RACK]]&amp;Tableau3[[#This Row],[ID-SLOT]]&amp;Tableau3[[#This Row],[BORNE]]</f>
        <v>1135</v>
      </c>
      <c r="AO7" s="1"/>
    </row>
    <row r="8" spans="1:41" ht="20.100000000000001" customHeight="1" thickTop="1" thickBot="1">
      <c r="A8" s="68"/>
      <c r="B8" s="69" t="str">
        <f>IFERROR(INDEX(Tableau4[Date],MATCH($A8,Tableau4[EVO],0)),"")</f>
        <v/>
      </c>
      <c r="C8" s="68" t="str">
        <f>IFERROR(INDEX(Tableau4[Designation],MATCH($A8,Tableau4[EVO],0)),"")</f>
        <v/>
      </c>
      <c r="D8" s="68"/>
      <c r="E8" s="70">
        <v>10</v>
      </c>
      <c r="F8" s="71">
        <v>187</v>
      </c>
      <c r="G8" s="101" t="str">
        <f>INDEX(Tableau8[Att1],MATCH(Tableau3[[#This Row],[ID-INS]],Tableau8[ID],0))&amp;""</f>
        <v>V5</v>
      </c>
      <c r="H8" s="101" t="str">
        <f>INDEX(Tableau8[Att2],MATCH(Tableau3[[#This Row],[ID-INS]],Tableau8[ID],0))&amp;""</f>
        <v>P10</v>
      </c>
      <c r="I8" s="101" t="str">
        <f>INDEX(Tableau8[Att3],MATCH(Tableau3[[#This Row],[ID-INS]],Tableau8[ID],0))&amp;""</f>
        <v>Portail P10</v>
      </c>
      <c r="J8" s="101"/>
      <c r="K8" s="167" t="str">
        <f>INDEX(Tableau8[Nom du modele],MATCH(Tableau3[[#This Row],[ID-INS]],Tableau8[ID],0))&amp;""</f>
        <v>PortailR2VElec</v>
      </c>
      <c r="L8" s="99" t="str">
        <f>INDEX(Tableau5[Att1],MATCH(Tableau3[[#This Row],[ID-SIG]],Tableau5[ID],0))&amp;""</f>
        <v>Réserve</v>
      </c>
      <c r="M8" s="99" t="str">
        <f>INDEX(Tableau5[Att2],MATCH(Tableau3[[#This Row],[ID-SIG]],Tableau5[ID],0))&amp;""</f>
        <v/>
      </c>
      <c r="N8" s="99" t="str">
        <f>INDEX(Tableau5[Att3],MATCH(Tableau3[[#This Row],[ID-SIG]],Tableau5[ID],0))&amp;""</f>
        <v/>
      </c>
      <c r="O8" s="99"/>
      <c r="P8" s="99" t="str">
        <f>INDEX(Tableau5[Description],MATCH(Tableau3[[#This Row],[ID-SIG]],Tableau5[ID],0))</f>
        <v>Réserve</v>
      </c>
      <c r="Q8" s="99"/>
      <c r="R8" s="103" t="str">
        <f>Tableau3[[#This Row],[Description]]</f>
        <v>Réserve</v>
      </c>
      <c r="S8" s="83"/>
      <c r="U8" s="87">
        <v>1</v>
      </c>
      <c r="V8" s="87">
        <v>1</v>
      </c>
      <c r="W8" s="87">
        <v>3</v>
      </c>
      <c r="X8" s="87">
        <v>6</v>
      </c>
      <c r="Y8" s="41"/>
      <c r="Z8" s="165" t="str">
        <f>INDEX(Tableau2[TS],MATCH(Tableau3[[#This Row],[ID-CARTEVOIE]],Tableau2[ID-CARTEVOIE],0))</f>
        <v>ST</v>
      </c>
      <c r="AA8" s="53" t="s">
        <v>213</v>
      </c>
      <c r="AB8" s="223" t="str">
        <f>IFERROR(INDEX(Tableau5[Reserve],MATCH(Tableau3[[#This Row],[ID-SIG]],Tableau5[ID],0))&amp;"","")</f>
        <v/>
      </c>
      <c r="AC8" s="21"/>
      <c r="AD8" s="108" t="str">
        <f>INDEX(Tableau7[Repere],MATCH(Tableau3[[#This Row],[ID-API]],Tableau7[ID-API],0))&amp;""</f>
        <v>A1</v>
      </c>
      <c r="AE8" s="108" t="str">
        <f>INDEX(Tableau1[Repere-Rack],MATCH(Tableau3[[#This Row],[ID-RACK]],Tableau1[ID-RACK],0))&amp;""</f>
        <v>R1</v>
      </c>
      <c r="AF8" s="108" t="str">
        <f>INDEX(Tableau1[Repere-Slot],MATCH(Tableau3[[#This Row],[ID-SLOT]],Tableau1[ID-SLOT],0))&amp;""</f>
        <v>S3</v>
      </c>
      <c r="AG8" s="108" t="str">
        <f>INDEX(Tableau2[Repere-Voie],MATCH(Tableau3[[#This Row],[ID-VOIE]],Tableau2[ID-Voie],0))&amp;""</f>
        <v>v6</v>
      </c>
      <c r="AH8" s="72" t="str">
        <f>Tableau3[[#This Row],[ID-API]]&amp; "." &amp;Tableau3[[#This Row],[ID-RACK]]&amp; "." &amp;Tableau3[[#This Row],[ID-SLOT]]</f>
        <v>1.1.3</v>
      </c>
      <c r="AI8" s="72" t="str">
        <f>INDEX(Tableau1[Ref-Carte],MATCH(Tableau3[[#This Row],[ID-RRS]],Tableau1[ID-RRS],0))</f>
        <v>SDO0802</v>
      </c>
      <c r="AJ8" s="72" t="str">
        <f t="array" ref="AJ8">IFERROR(INDEX(Tableau2[TS],MATCH(1,(Tableau2[Ref-Carte]=Tableau3[[#This Row],[Ref-Carte2]])*(Tableau2[ID-Voie]=Tableau3[[#This Row],[ID-VOIE]]),0)),"")</f>
        <v>ST</v>
      </c>
      <c r="AK8" s="72" t="str">
        <f>IFERROR(INDEX(Tableau2[TS],SUMPRODUCT((Tableau2[Ref-Carte]=Tableau3[[#This Row],[Ref-Carte2]])*(Tableau2[ID-Voie]=Tableau3[[#This Row],[ID-VOIE]])*ROW(Tableau2[TS]))-ROW(Tableau2[#Headers])),"")</f>
        <v>ST</v>
      </c>
      <c r="AL8" s="72" t="str">
        <f>Tableau3[[#This Row],[Ref-Carte2]]&amp;"/"&amp;Tableau3[[#This Row],[ID-VOIE]]</f>
        <v>SDO0802/6</v>
      </c>
      <c r="AM8" s="73" t="str">
        <f>INDEX(Tableau2[Borne],MATCH(Tableau3[[#This Row],[ID-CARTEVOIE]],Tableau2[ID-CARTEVOIE],0))&amp;""</f>
        <v>6</v>
      </c>
      <c r="AN8" s="74" t="str">
        <f>Tableau3[[#This Row],[ID-API]]&amp;Tableau3[[#This Row],[ID-RACK]]&amp;Tableau3[[#This Row],[ID-SLOT]]&amp;Tableau3[[#This Row],[BORNE]]</f>
        <v>1136</v>
      </c>
      <c r="AO8" s="1"/>
    </row>
    <row r="9" spans="1:41" ht="20.100000000000001" customHeight="1" thickTop="1" thickBot="1">
      <c r="A9" s="68"/>
      <c r="B9" s="69" t="str">
        <f>IFERROR(INDEX(Tableau4[Date],MATCH($A9,Tableau4[EVO],0)),"")</f>
        <v/>
      </c>
      <c r="C9" s="68" t="str">
        <f>IFERROR(INDEX(Tableau4[Designation],MATCH($A9,Tableau4[EVO],0)),"")</f>
        <v/>
      </c>
      <c r="D9" s="68"/>
      <c r="E9" s="70">
        <v>10</v>
      </c>
      <c r="F9" s="71">
        <v>188</v>
      </c>
      <c r="G9" s="101" t="str">
        <f>INDEX(Tableau8[Att1],MATCH(Tableau3[[#This Row],[ID-INS]],Tableau8[ID],0))&amp;""</f>
        <v>V5</v>
      </c>
      <c r="H9" s="101" t="str">
        <f>INDEX(Tableau8[Att2],MATCH(Tableau3[[#This Row],[ID-INS]],Tableau8[ID],0))&amp;""</f>
        <v>P10</v>
      </c>
      <c r="I9" s="101" t="str">
        <f>INDEX(Tableau8[Att3],MATCH(Tableau3[[#This Row],[ID-INS]],Tableau8[ID],0))&amp;""</f>
        <v>Portail P10</v>
      </c>
      <c r="J9" s="101"/>
      <c r="K9" s="167" t="str">
        <f>INDEX(Tableau8[Nom du modele],MATCH(Tableau3[[#This Row],[ID-INS]],Tableau8[ID],0))&amp;""</f>
        <v>PortailR2VElec</v>
      </c>
      <c r="L9" s="99" t="str">
        <f>INDEX(Tableau5[Att1],MATCH(Tableau3[[#This Row],[ID-SIG]],Tableau5[ID],0))&amp;""</f>
        <v>V2_OuvCmd</v>
      </c>
      <c r="M9" s="99" t="str">
        <f>INDEX(Tableau5[Att2],MATCH(Tableau3[[#This Row],[ID-SIG]],Tableau5[ID],0))&amp;""</f>
        <v/>
      </c>
      <c r="N9" s="99" t="str">
        <f>INDEX(Tableau5[Att3],MATCH(Tableau3[[#This Row],[ID-SIG]],Tableau5[ID],0))&amp;""</f>
        <v/>
      </c>
      <c r="O9" s="99"/>
      <c r="P9" s="99" t="str">
        <f>INDEX(Tableau5[Description],MATCH(Tableau3[[#This Row],[ID-SIG]],Tableau5[ID],0))</f>
        <v>Commande ouverture vantail 2</v>
      </c>
      <c r="Q9" s="99"/>
      <c r="R9" s="103" t="str">
        <f>Tableau3[[#This Row],[Description]]</f>
        <v>Commande ouverture vantail 2</v>
      </c>
      <c r="S9" s="83"/>
      <c r="U9" s="87">
        <v>1</v>
      </c>
      <c r="V9" s="87">
        <v>1</v>
      </c>
      <c r="W9" s="87">
        <v>3</v>
      </c>
      <c r="X9" s="87">
        <v>7</v>
      </c>
      <c r="Y9" s="41"/>
      <c r="Z9" s="165" t="str">
        <f>INDEX(Tableau2[TS],MATCH(Tableau3[[#This Row],[ID-CARTEVOIE]],Tableau2[ID-CARTEVOIE],0))</f>
        <v>ST</v>
      </c>
      <c r="AA9" s="53" t="s">
        <v>213</v>
      </c>
      <c r="AB9" s="223" t="str">
        <f>IFERROR(INDEX(Tableau5[Reserve],MATCH(Tableau3[[#This Row],[ID-SIG]],Tableau5[ID],0))&amp;"","")</f>
        <v/>
      </c>
      <c r="AC9" s="21"/>
      <c r="AD9" s="108" t="str">
        <f>INDEX(Tableau7[Repere],MATCH(Tableau3[[#This Row],[ID-API]],Tableau7[ID-API],0))&amp;""</f>
        <v>A1</v>
      </c>
      <c r="AE9" s="108" t="str">
        <f>INDEX(Tableau1[Repere-Rack],MATCH(Tableau3[[#This Row],[ID-RACK]],Tableau1[ID-RACK],0))&amp;""</f>
        <v>R1</v>
      </c>
      <c r="AF9" s="108" t="str">
        <f>INDEX(Tableau1[Repere-Slot],MATCH(Tableau3[[#This Row],[ID-SLOT]],Tableau1[ID-SLOT],0))&amp;""</f>
        <v>S3</v>
      </c>
      <c r="AG9" s="108" t="str">
        <f>INDEX(Tableau2[Repere-Voie],MATCH(Tableau3[[#This Row],[ID-VOIE]],Tableau2[ID-Voie],0))&amp;""</f>
        <v>v7</v>
      </c>
      <c r="AH9" s="72" t="str">
        <f>Tableau3[[#This Row],[ID-API]]&amp; "." &amp;Tableau3[[#This Row],[ID-RACK]]&amp; "." &amp;Tableau3[[#This Row],[ID-SLOT]]</f>
        <v>1.1.3</v>
      </c>
      <c r="AI9" s="72" t="str">
        <f>INDEX(Tableau1[Ref-Carte],MATCH(Tableau3[[#This Row],[ID-RRS]],Tableau1[ID-RRS],0))</f>
        <v>SDO0802</v>
      </c>
      <c r="AJ9" s="72" t="str">
        <f t="array" ref="AJ9">IFERROR(INDEX(Tableau2[TS],MATCH(1,(Tableau2[Ref-Carte]=Tableau3[[#This Row],[Ref-Carte2]])*(Tableau2[ID-Voie]=Tableau3[[#This Row],[ID-VOIE]]),0)),"")</f>
        <v>ST</v>
      </c>
      <c r="AK9" s="72" t="str">
        <f>IFERROR(INDEX(Tableau2[TS],SUMPRODUCT((Tableau2[Ref-Carte]=Tableau3[[#This Row],[Ref-Carte2]])*(Tableau2[ID-Voie]=Tableau3[[#This Row],[ID-VOIE]])*ROW(Tableau2[TS]))-ROW(Tableau2[#Headers])),"")</f>
        <v>ST</v>
      </c>
      <c r="AL9" s="72" t="str">
        <f>Tableau3[[#This Row],[Ref-Carte2]]&amp;"/"&amp;Tableau3[[#This Row],[ID-VOIE]]</f>
        <v>SDO0802/7</v>
      </c>
      <c r="AM9" s="73" t="str">
        <f>INDEX(Tableau2[Borne],MATCH(Tableau3[[#This Row],[ID-CARTEVOIE]],Tableau2[ID-CARTEVOIE],0))&amp;""</f>
        <v>7</v>
      </c>
      <c r="AN9" s="74" t="str">
        <f>Tableau3[[#This Row],[ID-API]]&amp;Tableau3[[#This Row],[ID-RACK]]&amp;Tableau3[[#This Row],[ID-SLOT]]&amp;Tableau3[[#This Row],[BORNE]]</f>
        <v>1137</v>
      </c>
      <c r="AO9" s="1"/>
    </row>
    <row r="10" spans="1:41" ht="20.100000000000001" customHeight="1" thickTop="1" thickBot="1">
      <c r="A10" s="68"/>
      <c r="B10" s="69" t="str">
        <f>IFERROR(INDEX(Tableau4[Date],MATCH($A10,Tableau4[EVO],0)),"")</f>
        <v/>
      </c>
      <c r="C10" s="68" t="str">
        <f>IFERROR(INDEX(Tableau4[Designation],MATCH($A10,Tableau4[EVO],0)),"")</f>
        <v/>
      </c>
      <c r="D10" s="68"/>
      <c r="E10" s="70">
        <v>10</v>
      </c>
      <c r="F10" s="71">
        <v>189</v>
      </c>
      <c r="G10" s="101" t="str">
        <f>INDEX(Tableau8[Att1],MATCH(Tableau3[[#This Row],[ID-INS]],Tableau8[ID],0))&amp;""</f>
        <v>V5</v>
      </c>
      <c r="H10" s="101" t="str">
        <f>INDEX(Tableau8[Att2],MATCH(Tableau3[[#This Row],[ID-INS]],Tableau8[ID],0))&amp;""</f>
        <v>P10</v>
      </c>
      <c r="I10" s="101" t="str">
        <f>INDEX(Tableau8[Att3],MATCH(Tableau3[[#This Row],[ID-INS]],Tableau8[ID],0))&amp;""</f>
        <v>Portail P10</v>
      </c>
      <c r="J10" s="101"/>
      <c r="K10" s="167" t="str">
        <f>INDEX(Tableau8[Nom du modele],MATCH(Tableau3[[#This Row],[ID-INS]],Tableau8[ID],0))&amp;""</f>
        <v>PortailR2VElec</v>
      </c>
      <c r="L10" s="99" t="str">
        <f>INDEX(Tableau5[Att1],MATCH(Tableau3[[#This Row],[ID-SIG]],Tableau5[ID],0))&amp;""</f>
        <v>Réserve</v>
      </c>
      <c r="M10" s="99" t="str">
        <f>INDEX(Tableau5[Att2],MATCH(Tableau3[[#This Row],[ID-SIG]],Tableau5[ID],0))&amp;""</f>
        <v/>
      </c>
      <c r="N10" s="99" t="str">
        <f>INDEX(Tableau5[Att3],MATCH(Tableau3[[#This Row],[ID-SIG]],Tableau5[ID],0))&amp;""</f>
        <v/>
      </c>
      <c r="O10" s="99"/>
      <c r="P10" s="99" t="str">
        <f>INDEX(Tableau5[Description],MATCH(Tableau3[[#This Row],[ID-SIG]],Tableau5[ID],0))</f>
        <v>Réserve</v>
      </c>
      <c r="Q10" s="99"/>
      <c r="R10" s="103" t="str">
        <f>Tableau3[[#This Row],[Description]]</f>
        <v>Réserve</v>
      </c>
      <c r="S10" s="83"/>
      <c r="U10" s="87">
        <v>1</v>
      </c>
      <c r="V10" s="87">
        <v>1</v>
      </c>
      <c r="W10" s="87">
        <v>4</v>
      </c>
      <c r="X10" s="87">
        <v>0</v>
      </c>
      <c r="Y10" s="41"/>
      <c r="Z10" s="165" t="str">
        <f>INDEX(Tableau2[TS],MATCH(Tableau3[[#This Row],[ID-CARTEVOIE]],Tableau2[ID-CARTEVOIE],0))</f>
        <v>ST</v>
      </c>
      <c r="AA10" s="53" t="s">
        <v>213</v>
      </c>
      <c r="AB10" s="223" t="str">
        <f>IFERROR(INDEX(Tableau5[Reserve],MATCH(Tableau3[[#This Row],[ID-SIG]],Tableau5[ID],0))&amp;"","")</f>
        <v/>
      </c>
      <c r="AC10" s="21"/>
      <c r="AD10" s="108" t="str">
        <f>INDEX(Tableau7[Repere],MATCH(Tableau3[[#This Row],[ID-API]],Tableau7[ID-API],0))&amp;""</f>
        <v>A1</v>
      </c>
      <c r="AE10" s="108" t="str">
        <f>INDEX(Tableau1[Repere-Rack],MATCH(Tableau3[[#This Row],[ID-RACK]],Tableau1[ID-RACK],0))&amp;""</f>
        <v>R1</v>
      </c>
      <c r="AF10" s="108" t="str">
        <f>INDEX(Tableau1[Repere-Slot],MATCH(Tableau3[[#This Row],[ID-SLOT]],Tableau1[ID-SLOT],0))&amp;""</f>
        <v>S4</v>
      </c>
      <c r="AG10" s="108" t="str">
        <f>INDEX(Tableau2[Repere-Voie],MATCH(Tableau3[[#This Row],[ID-VOIE]],Tableau2[ID-Voie],0))&amp;""</f>
        <v>v0</v>
      </c>
      <c r="AH10" s="72" t="str">
        <f>Tableau3[[#This Row],[ID-API]]&amp; "." &amp;Tableau3[[#This Row],[ID-RACK]]&amp; "." &amp;Tableau3[[#This Row],[ID-SLOT]]</f>
        <v>1.1.4</v>
      </c>
      <c r="AI10" s="72" t="str">
        <f>INDEX(Tableau1[Ref-Carte],MATCH(Tableau3[[#This Row],[ID-RRS]],Tableau1[ID-RRS],0))</f>
        <v>SDO0802</v>
      </c>
      <c r="AJ10" s="72" t="str">
        <f t="array" ref="AJ10">IFERROR(INDEX(Tableau2[TS],MATCH(1,(Tableau2[Ref-Carte]=Tableau3[[#This Row],[Ref-Carte2]])*(Tableau2[ID-Voie]=Tableau3[[#This Row],[ID-VOIE]]),0)),"")</f>
        <v>ST</v>
      </c>
      <c r="AK10" s="72" t="str">
        <f>IFERROR(INDEX(Tableau2[TS],SUMPRODUCT((Tableau2[Ref-Carte]=Tableau3[[#This Row],[Ref-Carte2]])*(Tableau2[ID-Voie]=Tableau3[[#This Row],[ID-VOIE]])*ROW(Tableau2[TS]))-ROW(Tableau2[#Headers])),"")</f>
        <v>ST</v>
      </c>
      <c r="AL10" s="72" t="str">
        <f>Tableau3[[#This Row],[Ref-Carte2]]&amp;"/"&amp;Tableau3[[#This Row],[ID-VOIE]]</f>
        <v>SDO0802/0</v>
      </c>
      <c r="AM10" s="73" t="str">
        <f>INDEX(Tableau2[Borne],MATCH(Tableau3[[#This Row],[ID-CARTEVOIE]],Tableau2[ID-CARTEVOIE],0))&amp;""</f>
        <v>0</v>
      </c>
      <c r="AN10" s="74" t="str">
        <f>Tableau3[[#This Row],[ID-API]]&amp;Tableau3[[#This Row],[ID-RACK]]&amp;Tableau3[[#This Row],[ID-SLOT]]&amp;Tableau3[[#This Row],[BORNE]]</f>
        <v>1140</v>
      </c>
      <c r="AO10" s="1"/>
    </row>
    <row r="11" spans="1:41" ht="20.100000000000001" customHeight="1" thickTop="1" thickBot="1">
      <c r="A11" s="68"/>
      <c r="B11" s="69" t="str">
        <f>IFERROR(INDEX(Tableau4[Date],MATCH($A11,Tableau4[EVO],0)),"")</f>
        <v/>
      </c>
      <c r="C11" s="68" t="str">
        <f>IFERROR(INDEX(Tableau4[Designation],MATCH($A11,Tableau4[EVO],0)),"")</f>
        <v/>
      </c>
      <c r="D11" s="68"/>
      <c r="E11" s="70">
        <v>10</v>
      </c>
      <c r="F11" s="71">
        <v>190</v>
      </c>
      <c r="G11" s="101" t="str">
        <f>INDEX(Tableau8[Att1],MATCH(Tableau3[[#This Row],[ID-INS]],Tableau8[ID],0))&amp;""</f>
        <v>V5</v>
      </c>
      <c r="H11" s="101" t="str">
        <f>INDEX(Tableau8[Att2],MATCH(Tableau3[[#This Row],[ID-INS]],Tableau8[ID],0))&amp;""</f>
        <v>P10</v>
      </c>
      <c r="I11" s="101" t="str">
        <f>INDEX(Tableau8[Att3],MATCH(Tableau3[[#This Row],[ID-INS]],Tableau8[ID],0))&amp;""</f>
        <v>Portail P10</v>
      </c>
      <c r="J11" s="101"/>
      <c r="K11" s="167" t="str">
        <f>INDEX(Tableau8[Nom du modele],MATCH(Tableau3[[#This Row],[ID-INS]],Tableau8[ID],0))&amp;""</f>
        <v>PortailR2VElec</v>
      </c>
      <c r="L11" s="99" t="str">
        <f>INDEX(Tableau5[Att1],MATCH(Tableau3[[#This Row],[ID-SIG]],Tableau5[ID],0))&amp;""</f>
        <v>V2_FerCmd1</v>
      </c>
      <c r="M11" s="99" t="str">
        <f>INDEX(Tableau5[Att2],MATCH(Tableau3[[#This Row],[ID-SIG]],Tableau5[ID],0))&amp;""</f>
        <v/>
      </c>
      <c r="N11" s="99" t="str">
        <f>INDEX(Tableau5[Att3],MATCH(Tableau3[[#This Row],[ID-SIG]],Tableau5[ID],0))&amp;""</f>
        <v/>
      </c>
      <c r="O11" s="99"/>
      <c r="P11" s="99" t="str">
        <f>INDEX(Tableau5[Description],MATCH(Tableau3[[#This Row],[ID-SIG]],Tableau5[ID],0))</f>
        <v>Commande de fermeture 1 du vantail 2</v>
      </c>
      <c r="Q11" s="99"/>
      <c r="R11" s="103" t="str">
        <f>Tableau3[[#This Row],[Description]]</f>
        <v>Commande de fermeture 1 du vantail 2</v>
      </c>
      <c r="S11" s="83"/>
      <c r="U11" s="87">
        <v>1</v>
      </c>
      <c r="V11" s="87">
        <v>1</v>
      </c>
      <c r="W11" s="87">
        <v>4</v>
      </c>
      <c r="X11" s="87">
        <v>1</v>
      </c>
      <c r="Y11" s="41"/>
      <c r="Z11" s="165" t="str">
        <f>INDEX(Tableau2[TS],MATCH(Tableau3[[#This Row],[ID-CARTEVOIE]],Tableau2[ID-CARTEVOIE],0))</f>
        <v>ST</v>
      </c>
      <c r="AA11" s="53" t="s">
        <v>213</v>
      </c>
      <c r="AB11" s="223" t="str">
        <f>IFERROR(INDEX(Tableau5[Reserve],MATCH(Tableau3[[#This Row],[ID-SIG]],Tableau5[ID],0))&amp;"","")</f>
        <v/>
      </c>
      <c r="AC11" s="21"/>
      <c r="AD11" s="108" t="str">
        <f>INDEX(Tableau7[Repere],MATCH(Tableau3[[#This Row],[ID-API]],Tableau7[ID-API],0))&amp;""</f>
        <v>A1</v>
      </c>
      <c r="AE11" s="108" t="str">
        <f>INDEX(Tableau1[Repere-Rack],MATCH(Tableau3[[#This Row],[ID-RACK]],Tableau1[ID-RACK],0))&amp;""</f>
        <v>R1</v>
      </c>
      <c r="AF11" s="108" t="str">
        <f>INDEX(Tableau1[Repere-Slot],MATCH(Tableau3[[#This Row],[ID-SLOT]],Tableau1[ID-SLOT],0))&amp;""</f>
        <v>S4</v>
      </c>
      <c r="AG11" s="108" t="str">
        <f>INDEX(Tableau2[Repere-Voie],MATCH(Tableau3[[#This Row],[ID-VOIE]],Tableau2[ID-Voie],0))&amp;""</f>
        <v>v1</v>
      </c>
      <c r="AH11" s="72" t="str">
        <f>Tableau3[[#This Row],[ID-API]]&amp; "." &amp;Tableau3[[#This Row],[ID-RACK]]&amp; "." &amp;Tableau3[[#This Row],[ID-SLOT]]</f>
        <v>1.1.4</v>
      </c>
      <c r="AI11" s="72" t="str">
        <f>INDEX(Tableau1[Ref-Carte],MATCH(Tableau3[[#This Row],[ID-RRS]],Tableau1[ID-RRS],0))</f>
        <v>SDO0802</v>
      </c>
      <c r="AJ11" s="72" t="str">
        <f t="array" ref="AJ11">IFERROR(INDEX(Tableau2[TS],MATCH(1,(Tableau2[Ref-Carte]=Tableau3[[#This Row],[Ref-Carte2]])*(Tableau2[ID-Voie]=Tableau3[[#This Row],[ID-VOIE]]),0)),"")</f>
        <v>ST</v>
      </c>
      <c r="AK11" s="72" t="str">
        <f>IFERROR(INDEX(Tableau2[TS],SUMPRODUCT((Tableau2[Ref-Carte]=Tableau3[[#This Row],[Ref-Carte2]])*(Tableau2[ID-Voie]=Tableau3[[#This Row],[ID-VOIE]])*ROW(Tableau2[TS]))-ROW(Tableau2[#Headers])),"")</f>
        <v>ST</v>
      </c>
      <c r="AL11" s="72" t="str">
        <f>Tableau3[[#This Row],[Ref-Carte2]]&amp;"/"&amp;Tableau3[[#This Row],[ID-VOIE]]</f>
        <v>SDO0802/1</v>
      </c>
      <c r="AM11" s="73" t="str">
        <f>INDEX(Tableau2[Borne],MATCH(Tableau3[[#This Row],[ID-CARTEVOIE]],Tableau2[ID-CARTEVOIE],0))&amp;""</f>
        <v>1</v>
      </c>
      <c r="AN11" s="74" t="str">
        <f>Tableau3[[#This Row],[ID-API]]&amp;Tableau3[[#This Row],[ID-RACK]]&amp;Tableau3[[#This Row],[ID-SLOT]]&amp;Tableau3[[#This Row],[BORNE]]</f>
        <v>1141</v>
      </c>
      <c r="AO11" s="1"/>
    </row>
    <row r="12" spans="1:41" ht="20.100000000000001" customHeight="1" thickTop="1" thickBot="1">
      <c r="A12" s="68"/>
      <c r="B12" s="69" t="str">
        <f>IFERROR(INDEX(Tableau4[Date],MATCH($A12,Tableau4[EVO],0)),"")</f>
        <v/>
      </c>
      <c r="C12" s="68" t="str">
        <f>IFERROR(INDEX(Tableau4[Designation],MATCH($A12,Tableau4[EVO],0)),"")</f>
        <v/>
      </c>
      <c r="D12" s="68"/>
      <c r="E12" s="70">
        <v>14</v>
      </c>
      <c r="F12" s="71">
        <v>105</v>
      </c>
      <c r="G12" s="101" t="str">
        <f>INDEX(Tableau8[Att1],MATCH(Tableau3[[#This Row],[ID-INS]],Tableau8[ID],0))&amp;""</f>
        <v>B22</v>
      </c>
      <c r="H12" s="101" t="str">
        <f>INDEX(Tableau8[Att2],MATCH(Tableau3[[#This Row],[ID-INS]],Tableau8[ID],0))&amp;""</f>
        <v>PV1</v>
      </c>
      <c r="I12" s="101" t="str">
        <f>INDEX(Tableau8[Att3],MATCH(Tableau3[[#This Row],[ID-INS]],Tableau8[ID],0))&amp;""</f>
        <v>Porte vitrée PV1</v>
      </c>
      <c r="J12" s="101"/>
      <c r="K12" s="167" t="str">
        <f>INDEX(Tableau8[Nom du modele],MATCH(Tableau3[[#This Row],[ID-INS]],Tableau8[ID],0))&amp;""</f>
        <v>PorteVitree</v>
      </c>
      <c r="L12" s="99" t="str">
        <f>INDEX(Tableau5[Att1],MATCH(Tableau3[[#This Row],[ID-SIG]],Tableau5[ID],0))&amp;""</f>
        <v>CmdFer</v>
      </c>
      <c r="M12" s="99" t="str">
        <f>INDEX(Tableau5[Att2],MATCH(Tableau3[[#This Row],[ID-SIG]],Tableau5[ID],0))&amp;""</f>
        <v/>
      </c>
      <c r="N12" s="99" t="str">
        <f>INDEX(Tableau5[Att3],MATCH(Tableau3[[#This Row],[ID-SIG]],Tableau5[ID],0))&amp;""</f>
        <v/>
      </c>
      <c r="O12" s="99"/>
      <c r="P12" s="99" t="str">
        <f>INDEX(Tableau5[Description],MATCH(Tableau3[[#This Row],[ID-SIG]],Tableau5[ID],0))</f>
        <v>Commande de fermeture</v>
      </c>
      <c r="Q12" s="99"/>
      <c r="R12" s="103" t="str">
        <f>Tableau3[[#This Row],[Description]]</f>
        <v>Commande de fermeture</v>
      </c>
      <c r="S12" s="52"/>
      <c r="U12" s="87">
        <v>1</v>
      </c>
      <c r="V12" s="87">
        <v>1</v>
      </c>
      <c r="W12" s="87">
        <v>4</v>
      </c>
      <c r="X12" s="87">
        <v>2</v>
      </c>
      <c r="Y12" s="41"/>
      <c r="Z12" s="165" t="str">
        <f>INDEX(Tableau2[TS],MATCH(Tableau3[[#This Row],[ID-CARTEVOIE]],Tableau2[ID-CARTEVOIE],0))</f>
        <v>ST</v>
      </c>
      <c r="AA12" s="53" t="s">
        <v>213</v>
      </c>
      <c r="AB12" s="223" t="str">
        <f>IFERROR(INDEX(Tableau5[Reserve],MATCH(Tableau3[[#This Row],[ID-SIG]],Tableau5[ID],0))&amp;"","")</f>
        <v/>
      </c>
      <c r="AC12" s="21"/>
      <c r="AD12" s="108" t="str">
        <f>INDEX(Tableau7[Repere],MATCH(Tableau3[[#This Row],[ID-API]],Tableau7[ID-API],0))&amp;""</f>
        <v>A1</v>
      </c>
      <c r="AE12" s="108" t="str">
        <f>INDEX(Tableau1[Repere-Rack],MATCH(Tableau3[[#This Row],[ID-RACK]],Tableau1[ID-RACK],0))&amp;""</f>
        <v>R1</v>
      </c>
      <c r="AF12" s="108" t="str">
        <f>INDEX(Tableau1[Repere-Slot],MATCH(Tableau3[[#This Row],[ID-SLOT]],Tableau1[ID-SLOT],0))&amp;""</f>
        <v>S4</v>
      </c>
      <c r="AG12" s="108" t="str">
        <f>INDEX(Tableau2[Repere-Voie],MATCH(Tableau3[[#This Row],[ID-VOIE]],Tableau2[ID-Voie],0))&amp;""</f>
        <v>v2</v>
      </c>
      <c r="AH12" s="72" t="str">
        <f>Tableau3[[#This Row],[ID-API]]&amp; "." &amp;Tableau3[[#This Row],[ID-RACK]]&amp; "." &amp;Tableau3[[#This Row],[ID-SLOT]]</f>
        <v>1.1.4</v>
      </c>
      <c r="AI12" s="72" t="str">
        <f>INDEX(Tableau1[Ref-Carte],MATCH(Tableau3[[#This Row],[ID-RRS]],Tableau1[ID-RRS],0))</f>
        <v>SDO0802</v>
      </c>
      <c r="AJ12" s="72" t="str">
        <f t="array" ref="AJ12">IFERROR(INDEX(Tableau2[TS],MATCH(1,(Tableau2[Ref-Carte]=Tableau3[[#This Row],[Ref-Carte2]])*(Tableau2[ID-Voie]=Tableau3[[#This Row],[ID-VOIE]]),0)),"")</f>
        <v>ST</v>
      </c>
      <c r="AK12" s="72" t="str">
        <f>IFERROR(INDEX(Tableau2[TS],SUMPRODUCT((Tableau2[Ref-Carte]=Tableau3[[#This Row],[Ref-Carte2]])*(Tableau2[ID-Voie]=Tableau3[[#This Row],[ID-VOIE]])*ROW(Tableau2[TS]))-ROW(Tableau2[#Headers])),"")</f>
        <v>ST</v>
      </c>
      <c r="AL12" s="72" t="str">
        <f>Tableau3[[#This Row],[Ref-Carte2]]&amp;"/"&amp;Tableau3[[#This Row],[ID-VOIE]]</f>
        <v>SDO0802/2</v>
      </c>
      <c r="AM12" s="73" t="str">
        <f>INDEX(Tableau2[Borne],MATCH(Tableau3[[#This Row],[ID-CARTEVOIE]],Tableau2[ID-CARTEVOIE],0))&amp;""</f>
        <v>2</v>
      </c>
      <c r="AN12" s="74" t="str">
        <f>Tableau3[[#This Row],[ID-API]]&amp;Tableau3[[#This Row],[ID-RACK]]&amp;Tableau3[[#This Row],[ID-SLOT]]&amp;Tableau3[[#This Row],[BORNE]]</f>
        <v>1142</v>
      </c>
      <c r="AO12" s="1"/>
    </row>
    <row r="13" spans="1:41" ht="20.100000000000001" customHeight="1" thickTop="1" thickBot="1">
      <c r="A13" s="68"/>
      <c r="B13" s="69" t="str">
        <f>IFERROR(INDEX(Tableau4[Date],MATCH($A13,Tableau4[EVO],0)),"")</f>
        <v/>
      </c>
      <c r="C13" s="68" t="str">
        <f>IFERROR(INDEX(Tableau4[Designation],MATCH($A13,Tableau4[EVO],0)),"")</f>
        <v/>
      </c>
      <c r="D13" s="68"/>
      <c r="E13" s="70">
        <v>36</v>
      </c>
      <c r="F13" s="71">
        <v>2</v>
      </c>
      <c r="G13" s="101" t="str">
        <f>INDEX(Tableau8[Att1],MATCH(Tableau3[[#This Row],[ID-INS]],Tableau8[ID],0))&amp;""</f>
        <v>B22</v>
      </c>
      <c r="H13" s="101" t="str">
        <f>INDEX(Tableau8[Att2],MATCH(Tableau3[[#This Row],[ID-INS]],Tableau8[ID],0))&amp;""</f>
        <v>VIGIE_LocDist</v>
      </c>
      <c r="I13" s="101" t="str">
        <f>INDEX(Tableau8[Att3],MATCH(Tableau3[[#This Row],[ID-INS]],Tableau8[ID],0))&amp;""</f>
        <v>VIGIE BP Acquit lumineux</v>
      </c>
      <c r="J13" s="101"/>
      <c r="K13" s="167" t="str">
        <f>INDEX(Tableau8[Nom du modele],MATCH(Tableau3[[#This Row],[ID-INS]],Tableau8[ID],0))&amp;""</f>
        <v>S_Divers</v>
      </c>
      <c r="L13" s="99" t="str">
        <f>INDEX(Tableau5[Att1],MATCH(Tableau3[[#This Row],[ID-SIG]],Tableau5[ID],0))&amp;""</f>
        <v>S1</v>
      </c>
      <c r="M13" s="99" t="str">
        <f>INDEX(Tableau5[Att2],MATCH(Tableau3[[#This Row],[ID-SIG]],Tableau5[ID],0))&amp;""</f>
        <v/>
      </c>
      <c r="N13" s="99" t="str">
        <f>INDEX(Tableau5[Att3],MATCH(Tableau3[[#This Row],[ID-SIG]],Tableau5[ID],0))&amp;""</f>
        <v/>
      </c>
      <c r="O13" s="99"/>
      <c r="P13" s="99" t="str">
        <f>INDEX(Tableau5[Description],MATCH(Tableau3[[#This Row],[ID-SIG]],Tableau5[ID],0))</f>
        <v>Sortie 1</v>
      </c>
      <c r="Q13" s="99"/>
      <c r="R13" s="103" t="str">
        <f>Tableau3[[#This Row],[Description]]</f>
        <v>Sortie 1</v>
      </c>
      <c r="U13" s="87">
        <v>1</v>
      </c>
      <c r="V13" s="87">
        <v>1</v>
      </c>
      <c r="W13" s="87">
        <v>4</v>
      </c>
      <c r="X13" s="87">
        <v>3</v>
      </c>
      <c r="Y13" s="41"/>
      <c r="Z13" s="165" t="str">
        <f>INDEX(Tableau2[TS],MATCH(Tableau3[[#This Row],[ID-CARTEVOIE]],Tableau2[ID-CARTEVOIE],0))</f>
        <v>ST</v>
      </c>
      <c r="AA13" s="53" t="s">
        <v>213</v>
      </c>
      <c r="AB13" s="223" t="str">
        <f>IFERROR(INDEX(Tableau5[Reserve],MATCH(Tableau3[[#This Row],[ID-SIG]],Tableau5[ID],0))&amp;"","")</f>
        <v/>
      </c>
      <c r="AC13" s="21"/>
      <c r="AD13" s="108" t="str">
        <f>INDEX(Tableau7[Repere],MATCH(Tableau3[[#This Row],[ID-API]],Tableau7[ID-API],0))&amp;""</f>
        <v>A1</v>
      </c>
      <c r="AE13" s="108" t="str">
        <f>INDEX(Tableau1[Repere-Rack],MATCH(Tableau3[[#This Row],[ID-RACK]],Tableau1[ID-RACK],0))&amp;""</f>
        <v>R1</v>
      </c>
      <c r="AF13" s="108" t="str">
        <f>INDEX(Tableau1[Repere-Slot],MATCH(Tableau3[[#This Row],[ID-SLOT]],Tableau1[ID-SLOT],0))&amp;""</f>
        <v>S4</v>
      </c>
      <c r="AG13" s="108" t="str">
        <f>INDEX(Tableau2[Repere-Voie],MATCH(Tableau3[[#This Row],[ID-VOIE]],Tableau2[ID-Voie],0))&amp;""</f>
        <v>v3</v>
      </c>
      <c r="AH13" s="72" t="str">
        <f>Tableau3[[#This Row],[ID-API]]&amp; "." &amp;Tableau3[[#This Row],[ID-RACK]]&amp; "." &amp;Tableau3[[#This Row],[ID-SLOT]]</f>
        <v>1.1.4</v>
      </c>
      <c r="AI13" s="72" t="str">
        <f>INDEX(Tableau1[Ref-Carte],MATCH(Tableau3[[#This Row],[ID-RRS]],Tableau1[ID-RRS],0))</f>
        <v>SDO0802</v>
      </c>
      <c r="AJ13" s="72" t="str">
        <f t="array" ref="AJ13">IFERROR(INDEX(Tableau2[TS],MATCH(1,(Tableau2[Ref-Carte]=Tableau3[[#This Row],[Ref-Carte2]])*(Tableau2[ID-Voie]=Tableau3[[#This Row],[ID-VOIE]]),0)),"")</f>
        <v>ST</v>
      </c>
      <c r="AK13" s="72" t="str">
        <f>IFERROR(INDEX(Tableau2[TS],SUMPRODUCT((Tableau2[Ref-Carte]=Tableau3[[#This Row],[Ref-Carte2]])*(Tableau2[ID-Voie]=Tableau3[[#This Row],[ID-VOIE]])*ROW(Tableau2[TS]))-ROW(Tableau2[#Headers])),"")</f>
        <v>ST</v>
      </c>
      <c r="AL13" s="72" t="str">
        <f>Tableau3[[#This Row],[Ref-Carte2]]&amp;"/"&amp;Tableau3[[#This Row],[ID-VOIE]]</f>
        <v>SDO0802/3</v>
      </c>
      <c r="AM13" s="73" t="str">
        <f>INDEX(Tableau2[Borne],MATCH(Tableau3[[#This Row],[ID-CARTEVOIE]],Tableau2[ID-CARTEVOIE],0))&amp;""</f>
        <v>3</v>
      </c>
      <c r="AN13" s="74" t="str">
        <f>Tableau3[[#This Row],[ID-API]]&amp;Tableau3[[#This Row],[ID-RACK]]&amp;Tableau3[[#This Row],[ID-SLOT]]&amp;Tableau3[[#This Row],[BORNE]]</f>
        <v>1143</v>
      </c>
      <c r="AO13" s="1"/>
    </row>
    <row r="14" spans="1:41" ht="20.100000000000001" customHeight="1" thickTop="1" thickBot="1">
      <c r="A14" s="68"/>
      <c r="B14" s="69" t="str">
        <f>IFERROR(INDEX(Tableau4[Date],MATCH($A14,Tableau4[EVO],0)),"")</f>
        <v/>
      </c>
      <c r="C14" s="68" t="str">
        <f>IFERROR(INDEX(Tableau4[Designation],MATCH($A14,Tableau4[EVO],0)),"")</f>
        <v/>
      </c>
      <c r="D14" s="68"/>
      <c r="E14" s="70">
        <v>41</v>
      </c>
      <c r="F14" s="71">
        <v>71</v>
      </c>
      <c r="G14" s="101" t="str">
        <f>INDEX(Tableau8[Att1],MATCH(Tableau3[[#This Row],[ID-INS]],Tableau8[ID],0))&amp;""</f>
        <v>V5</v>
      </c>
      <c r="H14" s="101" t="str">
        <f>INDEX(Tableau8[Att2],MATCH(Tableau3[[#This Row],[ID-INS]],Tableau8[ID],0))&amp;""</f>
        <v>BH12</v>
      </c>
      <c r="I14" s="101" t="str">
        <f>INDEX(Tableau8[Att3],MATCH(Tableau3[[#This Row],[ID-INS]],Tableau8[ID],0))&amp;""</f>
        <v>Barrière BH12</v>
      </c>
      <c r="J14" s="101"/>
      <c r="K14" s="167" t="str">
        <f>INDEX(Tableau8[Nom du modele],MATCH(Tableau3[[#This Row],[ID-INS]],Tableau8[ID],0))&amp;""</f>
        <v>BarriereHerse_1</v>
      </c>
      <c r="L14" s="99" t="str">
        <f>INDEX(Tableau5[Att1],MATCH(Tableau3[[#This Row],[ID-SIG]],Tableau5[ID],0))&amp;""</f>
        <v>FerCmd2</v>
      </c>
      <c r="M14" s="99" t="str">
        <f>INDEX(Tableau5[Att2],MATCH(Tableau3[[#This Row],[ID-SIG]],Tableau5[ID],0))&amp;""</f>
        <v/>
      </c>
      <c r="N14" s="99" t="str">
        <f>INDEX(Tableau5[Att3],MATCH(Tableau3[[#This Row],[ID-SIG]],Tableau5[ID],0))&amp;""</f>
        <v/>
      </c>
      <c r="O14" s="99"/>
      <c r="P14" s="99" t="str">
        <f>INDEX(Tableau5[Description],MATCH(Tableau3[[#This Row],[ID-SIG]],Tableau5[ID],0))</f>
        <v>Commande 2 fermeture</v>
      </c>
      <c r="Q14" s="99"/>
      <c r="R14" s="103" t="str">
        <f>Tableau3[[#This Row],[Description]]</f>
        <v>Commande 2 fermeture</v>
      </c>
      <c r="U14" s="87">
        <v>1</v>
      </c>
      <c r="V14" s="87">
        <v>1</v>
      </c>
      <c r="W14" s="87">
        <v>4</v>
      </c>
      <c r="X14" s="87">
        <v>4</v>
      </c>
      <c r="Y14" s="41"/>
      <c r="Z14" s="165" t="str">
        <f>INDEX(Tableau2[TS],MATCH(Tableau3[[#This Row],[ID-CARTEVOIE]],Tableau2[ID-CARTEVOIE],0))</f>
        <v>ST</v>
      </c>
      <c r="AA14" s="53" t="s">
        <v>213</v>
      </c>
      <c r="AB14" s="223" t="str">
        <f>IFERROR(INDEX(Tableau5[Reserve],MATCH(Tableau3[[#This Row],[ID-SIG]],Tableau5[ID],0))&amp;"","")</f>
        <v/>
      </c>
      <c r="AC14" s="21"/>
      <c r="AD14" s="108" t="str">
        <f>INDEX(Tableau7[Repere],MATCH(Tableau3[[#This Row],[ID-API]],Tableau7[ID-API],0))&amp;""</f>
        <v>A1</v>
      </c>
      <c r="AE14" s="108" t="str">
        <f>INDEX(Tableau1[Repere-Rack],MATCH(Tableau3[[#This Row],[ID-RACK]],Tableau1[ID-RACK],0))&amp;""</f>
        <v>R1</v>
      </c>
      <c r="AF14" s="108" t="str">
        <f>INDEX(Tableau1[Repere-Slot],MATCH(Tableau3[[#This Row],[ID-SLOT]],Tableau1[ID-SLOT],0))&amp;""</f>
        <v>S4</v>
      </c>
      <c r="AG14" s="108" t="str">
        <f>INDEX(Tableau2[Repere-Voie],MATCH(Tableau3[[#This Row],[ID-VOIE]],Tableau2[ID-Voie],0))&amp;""</f>
        <v>v4</v>
      </c>
      <c r="AH14" s="72" t="str">
        <f>Tableau3[[#This Row],[ID-API]]&amp; "." &amp;Tableau3[[#This Row],[ID-RACK]]&amp; "." &amp;Tableau3[[#This Row],[ID-SLOT]]</f>
        <v>1.1.4</v>
      </c>
      <c r="AI14" s="72" t="str">
        <f>INDEX(Tableau1[Ref-Carte],MATCH(Tableau3[[#This Row],[ID-RRS]],Tableau1[ID-RRS],0))</f>
        <v>SDO0802</v>
      </c>
      <c r="AJ14" s="72" t="str">
        <f t="array" ref="AJ14">IFERROR(INDEX(Tableau2[TS],MATCH(1,(Tableau2[Ref-Carte]=Tableau3[[#This Row],[Ref-Carte2]])*(Tableau2[ID-Voie]=Tableau3[[#This Row],[ID-VOIE]]),0)),"")</f>
        <v>ST</v>
      </c>
      <c r="AK14" s="72" t="str">
        <f>IFERROR(INDEX(Tableau2[TS],SUMPRODUCT((Tableau2[Ref-Carte]=Tableau3[[#This Row],[Ref-Carte2]])*(Tableau2[ID-Voie]=Tableau3[[#This Row],[ID-VOIE]])*ROW(Tableau2[TS]))-ROW(Tableau2[#Headers])),"")</f>
        <v>ST</v>
      </c>
      <c r="AL14" s="72" t="str">
        <f>Tableau3[[#This Row],[Ref-Carte2]]&amp;"/"&amp;Tableau3[[#This Row],[ID-VOIE]]</f>
        <v>SDO0802/4</v>
      </c>
      <c r="AM14" s="73" t="str">
        <f>INDEX(Tableau2[Borne],MATCH(Tableau3[[#This Row],[ID-CARTEVOIE]],Tableau2[ID-CARTEVOIE],0))&amp;""</f>
        <v>4</v>
      </c>
      <c r="AN14" s="74" t="str">
        <f>Tableau3[[#This Row],[ID-API]]&amp;Tableau3[[#This Row],[ID-RACK]]&amp;Tableau3[[#This Row],[ID-SLOT]]&amp;Tableau3[[#This Row],[BORNE]]</f>
        <v>1144</v>
      </c>
      <c r="AO14" s="1"/>
    </row>
    <row r="15" spans="1:41" ht="20.100000000000001" customHeight="1" thickTop="1" thickBot="1">
      <c r="A15" s="68"/>
      <c r="B15" s="69" t="str">
        <f>IFERROR(INDEX(Tableau4[Date],MATCH($A15,Tableau4[EVO],0)),"")</f>
        <v/>
      </c>
      <c r="C15" s="68" t="str">
        <f>IFERROR(INDEX(Tableau4[Designation],MATCH($A15,Tableau4[EVO],0)),"")</f>
        <v/>
      </c>
      <c r="D15" s="68"/>
      <c r="E15" s="70">
        <v>43</v>
      </c>
      <c r="F15" s="71">
        <v>86</v>
      </c>
      <c r="G15" s="101" t="str">
        <f>INDEX(Tableau8[Att1],MATCH(Tableau3[[#This Row],[ID-INS]],Tableau8[ID],0))&amp;""</f>
        <v>V5</v>
      </c>
      <c r="H15" s="101" t="str">
        <f>INDEX(Tableau8[Att2],MATCH(Tableau3[[#This Row],[ID-INS]],Tableau8[ID],0))&amp;""</f>
        <v>AVB2</v>
      </c>
      <c r="I15" s="101" t="str">
        <f>INDEX(Tableau8[Att3],MATCH(Tableau3[[#This Row],[ID-INS]],Tableau8[ID],0))&amp;""</f>
        <v>Anti-belier AVB2</v>
      </c>
      <c r="J15" s="101"/>
      <c r="K15" s="167" t="str">
        <f>INDEX(Tableau8[Nom du modele],MATCH(Tableau3[[#This Row],[ID-INS]],Tableau8[ID],0))&amp;""</f>
        <v>AVB_1</v>
      </c>
      <c r="L15" s="99" t="str">
        <f>INDEX(Tableau5[Att1],MATCH(Tableau3[[#This Row],[ID-SIG]],Tableau5[ID],0))&amp;""</f>
        <v>MontCmd2</v>
      </c>
      <c r="M15" s="99" t="str">
        <f>INDEX(Tableau5[Att2],MATCH(Tableau3[[#This Row],[ID-SIG]],Tableau5[ID],0))&amp;""</f>
        <v/>
      </c>
      <c r="N15" s="99" t="str">
        <f>INDEX(Tableau5[Att3],MATCH(Tableau3[[#This Row],[ID-SIG]],Tableau5[ID],0))&amp;""</f>
        <v/>
      </c>
      <c r="O15" s="99"/>
      <c r="P15" s="99" t="str">
        <f>INDEX(Tableau5[Description],MATCH(Tableau3[[#This Row],[ID-SIG]],Tableau5[ID],0))</f>
        <v>Commande 2 montée</v>
      </c>
      <c r="Q15" s="99"/>
      <c r="R15" s="103" t="str">
        <f>Tableau3[[#This Row],[Description]]</f>
        <v>Commande 2 montée</v>
      </c>
      <c r="U15" s="87">
        <v>1</v>
      </c>
      <c r="V15" s="87">
        <v>1</v>
      </c>
      <c r="W15" s="87">
        <v>4</v>
      </c>
      <c r="X15" s="87">
        <v>5</v>
      </c>
      <c r="Y15" s="41"/>
      <c r="Z15" s="165" t="str">
        <f>INDEX(Tableau2[TS],MATCH(Tableau3[[#This Row],[ID-CARTEVOIE]],Tableau2[ID-CARTEVOIE],0))</f>
        <v>ST</v>
      </c>
      <c r="AA15" s="53" t="s">
        <v>213</v>
      </c>
      <c r="AB15" s="223" t="str">
        <f>IFERROR(INDEX(Tableau5[Reserve],MATCH(Tableau3[[#This Row],[ID-SIG]],Tableau5[ID],0))&amp;"","")</f>
        <v/>
      </c>
      <c r="AC15" s="21"/>
      <c r="AD15" s="108" t="str">
        <f>INDEX(Tableau7[Repere],MATCH(Tableau3[[#This Row],[ID-API]],Tableau7[ID-API],0))&amp;""</f>
        <v>A1</v>
      </c>
      <c r="AE15" s="108" t="str">
        <f>INDEX(Tableau1[Repere-Rack],MATCH(Tableau3[[#This Row],[ID-RACK]],Tableau1[ID-RACK],0))&amp;""</f>
        <v>R1</v>
      </c>
      <c r="AF15" s="108" t="str">
        <f>INDEX(Tableau1[Repere-Slot],MATCH(Tableau3[[#This Row],[ID-SLOT]],Tableau1[ID-SLOT],0))&amp;""</f>
        <v>S4</v>
      </c>
      <c r="AG15" s="108" t="str">
        <f>INDEX(Tableau2[Repere-Voie],MATCH(Tableau3[[#This Row],[ID-VOIE]],Tableau2[ID-Voie],0))&amp;""</f>
        <v>v5</v>
      </c>
      <c r="AH15" s="72" t="str">
        <f>Tableau3[[#This Row],[ID-API]]&amp; "." &amp;Tableau3[[#This Row],[ID-RACK]]&amp; "." &amp;Tableau3[[#This Row],[ID-SLOT]]</f>
        <v>1.1.4</v>
      </c>
      <c r="AI15" s="72" t="str">
        <f>INDEX(Tableau1[Ref-Carte],MATCH(Tableau3[[#This Row],[ID-RRS]],Tableau1[ID-RRS],0))</f>
        <v>SDO0802</v>
      </c>
      <c r="AJ15" s="72" t="str">
        <f t="array" ref="AJ15">IFERROR(INDEX(Tableau2[TS],MATCH(1,(Tableau2[Ref-Carte]=Tableau3[[#This Row],[Ref-Carte2]])*(Tableau2[ID-Voie]=Tableau3[[#This Row],[ID-VOIE]]),0)),"")</f>
        <v>ST</v>
      </c>
      <c r="AK15" s="72" t="str">
        <f>IFERROR(INDEX(Tableau2[TS],SUMPRODUCT((Tableau2[Ref-Carte]=Tableau3[[#This Row],[Ref-Carte2]])*(Tableau2[ID-Voie]=Tableau3[[#This Row],[ID-VOIE]])*ROW(Tableau2[TS]))-ROW(Tableau2[#Headers])),"")</f>
        <v>ST</v>
      </c>
      <c r="AL15" s="72" t="str">
        <f>Tableau3[[#This Row],[Ref-Carte2]]&amp;"/"&amp;Tableau3[[#This Row],[ID-VOIE]]</f>
        <v>SDO0802/5</v>
      </c>
      <c r="AM15" s="73" t="str">
        <f>INDEX(Tableau2[Borne],MATCH(Tableau3[[#This Row],[ID-CARTEVOIE]],Tableau2[ID-CARTEVOIE],0))&amp;""</f>
        <v>5</v>
      </c>
      <c r="AN15" s="74" t="str">
        <f>Tableau3[[#This Row],[ID-API]]&amp;Tableau3[[#This Row],[ID-RACK]]&amp;Tableau3[[#This Row],[ID-SLOT]]&amp;Tableau3[[#This Row],[BORNE]]</f>
        <v>1145</v>
      </c>
      <c r="AO15" s="1"/>
    </row>
    <row r="16" spans="1:41" ht="20.100000000000001" customHeight="1" thickTop="1" thickBot="1">
      <c r="A16" s="68"/>
      <c r="B16" s="69" t="str">
        <f>IFERROR(INDEX(Tableau4[Date],MATCH($A16,Tableau4[EVO],0)),"")</f>
        <v/>
      </c>
      <c r="C16" s="68" t="str">
        <f>IFERROR(INDEX(Tableau4[Designation],MATCH($A16,Tableau4[EVO],0)),"")</f>
        <v/>
      </c>
      <c r="D16" s="68"/>
      <c r="E16" s="70">
        <v>46</v>
      </c>
      <c r="F16" s="71">
        <v>52</v>
      </c>
      <c r="G16" s="101" t="str">
        <f>INDEX(Tableau8[Att1],MATCH(Tableau3[[#This Row],[ID-INS]],Tableau8[ID],0))&amp;""</f>
        <v>GR</v>
      </c>
      <c r="H16" s="101" t="str">
        <f>INDEX(Tableau8[Att2],MATCH(Tableau3[[#This Row],[ID-INS]],Tableau8[ID],0))&amp;""</f>
        <v>PMR4</v>
      </c>
      <c r="I16" s="101" t="str">
        <f>INDEX(Tableau8[Att3],MATCH(Tableau3[[#This Row],[ID-INS]],Tableau8[ID],0))&amp;""</f>
        <v>PMR4</v>
      </c>
      <c r="J16" s="101"/>
      <c r="K16" s="167" t="str">
        <f>INDEX(Tableau8[Nom du modele],MATCH(Tableau3[[#This Row],[ID-INS]],Tableau8[ID],0))&amp;""</f>
        <v>PMR_1</v>
      </c>
      <c r="L16" s="99" t="str">
        <f>INDEX(Tableau5[Att1],MATCH(Tableau3[[#This Row],[ID-SIG]],Tableau5[ID],0))&amp;""</f>
        <v>TE_OuvCmd</v>
      </c>
      <c r="M16" s="99" t="str">
        <f>INDEX(Tableau5[Att2],MATCH(Tableau3[[#This Row],[ID-SIG]],Tableau5[ID],0))&amp;""</f>
        <v/>
      </c>
      <c r="N16" s="99" t="str">
        <f>INDEX(Tableau5[Att3],MATCH(Tableau3[[#This Row],[ID-SIG]],Tableau5[ID],0))&amp;""</f>
        <v/>
      </c>
      <c r="O16" s="99"/>
      <c r="P16" s="99" t="str">
        <f>INDEX(Tableau5[Description],MATCH(Tableau3[[#This Row],[ID-SIG]],Tableau5[ID],0))</f>
        <v>Commande ouverture entrée</v>
      </c>
      <c r="Q16" s="99"/>
      <c r="R16" s="103" t="str">
        <f>Tableau3[[#This Row],[Description]]</f>
        <v>Commande ouverture entrée</v>
      </c>
      <c r="U16" s="87">
        <v>1</v>
      </c>
      <c r="V16" s="87">
        <v>1</v>
      </c>
      <c r="W16" s="87">
        <v>4</v>
      </c>
      <c r="X16" s="87">
        <v>6</v>
      </c>
      <c r="Y16" s="41"/>
      <c r="Z16" s="165" t="str">
        <f>INDEX(Tableau2[TS],MATCH(Tableau3[[#This Row],[ID-CARTEVOIE]],Tableau2[ID-CARTEVOIE],0))</f>
        <v>ST</v>
      </c>
      <c r="AA16" s="53" t="s">
        <v>213</v>
      </c>
      <c r="AB16" s="223" t="str">
        <f>IFERROR(INDEX(Tableau5[Reserve],MATCH(Tableau3[[#This Row],[ID-SIG]],Tableau5[ID],0))&amp;"","")</f>
        <v/>
      </c>
      <c r="AC16" s="21"/>
      <c r="AD16" s="108" t="str">
        <f>INDEX(Tableau7[Repere],MATCH(Tableau3[[#This Row],[ID-API]],Tableau7[ID-API],0))&amp;""</f>
        <v>A1</v>
      </c>
      <c r="AE16" s="108" t="str">
        <f>INDEX(Tableau1[Repere-Rack],MATCH(Tableau3[[#This Row],[ID-RACK]],Tableau1[ID-RACK],0))&amp;""</f>
        <v>R1</v>
      </c>
      <c r="AF16" s="108" t="str">
        <f>INDEX(Tableau1[Repere-Slot],MATCH(Tableau3[[#This Row],[ID-SLOT]],Tableau1[ID-SLOT],0))&amp;""</f>
        <v>S4</v>
      </c>
      <c r="AG16" s="108" t="str">
        <f>INDEX(Tableau2[Repere-Voie],MATCH(Tableau3[[#This Row],[ID-VOIE]],Tableau2[ID-Voie],0))&amp;""</f>
        <v>v6</v>
      </c>
      <c r="AH16" s="72" t="str">
        <f>Tableau3[[#This Row],[ID-API]]&amp; "." &amp;Tableau3[[#This Row],[ID-RACK]]&amp; "." &amp;Tableau3[[#This Row],[ID-SLOT]]</f>
        <v>1.1.4</v>
      </c>
      <c r="AI16" s="72" t="str">
        <f>INDEX(Tableau1[Ref-Carte],MATCH(Tableau3[[#This Row],[ID-RRS]],Tableau1[ID-RRS],0))</f>
        <v>SDO0802</v>
      </c>
      <c r="AJ16" s="72" t="str">
        <f t="array" ref="AJ16">IFERROR(INDEX(Tableau2[TS],MATCH(1,(Tableau2[Ref-Carte]=Tableau3[[#This Row],[Ref-Carte2]])*(Tableau2[ID-Voie]=Tableau3[[#This Row],[ID-VOIE]]),0)),"")</f>
        <v>ST</v>
      </c>
      <c r="AK16" s="72" t="str">
        <f>IFERROR(INDEX(Tableau2[TS],SUMPRODUCT((Tableau2[Ref-Carte]=Tableau3[[#This Row],[Ref-Carte2]])*(Tableau2[ID-Voie]=Tableau3[[#This Row],[ID-VOIE]])*ROW(Tableau2[TS]))-ROW(Tableau2[#Headers])),"")</f>
        <v>ST</v>
      </c>
      <c r="AL16" s="72" t="str">
        <f>Tableau3[[#This Row],[Ref-Carte2]]&amp;"/"&amp;Tableau3[[#This Row],[ID-VOIE]]</f>
        <v>SDO0802/6</v>
      </c>
      <c r="AM16" s="73" t="str">
        <f>INDEX(Tableau2[Borne],MATCH(Tableau3[[#This Row],[ID-CARTEVOIE]],Tableau2[ID-CARTEVOIE],0))&amp;""</f>
        <v>6</v>
      </c>
      <c r="AN16" s="74" t="str">
        <f>Tableau3[[#This Row],[ID-API]]&amp;Tableau3[[#This Row],[ID-RACK]]&amp;Tableau3[[#This Row],[ID-SLOT]]&amp;Tableau3[[#This Row],[BORNE]]</f>
        <v>1146</v>
      </c>
      <c r="AO16" s="1"/>
    </row>
    <row r="17" spans="1:41" ht="20.100000000000001" customHeight="1" thickTop="1" thickBot="1">
      <c r="A17" s="68"/>
      <c r="B17" s="69" t="str">
        <f>IFERROR(INDEX(Tableau4[Date],MATCH($A17,Tableau4[EVO],0)),"")</f>
        <v/>
      </c>
      <c r="C17" s="68" t="str">
        <f>IFERROR(INDEX(Tableau4[Designation],MATCH($A17,Tableau4[EVO],0)),"")</f>
        <v/>
      </c>
      <c r="D17" s="68"/>
      <c r="E17" s="70">
        <v>46</v>
      </c>
      <c r="F17" s="71">
        <v>53</v>
      </c>
      <c r="G17" s="101" t="str">
        <f>INDEX(Tableau8[Att1],MATCH(Tableau3[[#This Row],[ID-INS]],Tableau8[ID],0))&amp;""</f>
        <v>GR</v>
      </c>
      <c r="H17" s="101" t="str">
        <f>INDEX(Tableau8[Att2],MATCH(Tableau3[[#This Row],[ID-INS]],Tableau8[ID],0))&amp;""</f>
        <v>PMR4</v>
      </c>
      <c r="I17" s="101" t="str">
        <f>INDEX(Tableau8[Att3],MATCH(Tableau3[[#This Row],[ID-INS]],Tableau8[ID],0))&amp;""</f>
        <v>PMR4</v>
      </c>
      <c r="J17" s="101"/>
      <c r="K17" s="167" t="str">
        <f>INDEX(Tableau8[Nom du modele],MATCH(Tableau3[[#This Row],[ID-INS]],Tableau8[ID],0))&amp;""</f>
        <v>PMR_1</v>
      </c>
      <c r="L17" s="99" t="str">
        <f>INDEX(Tableau5[Att1],MATCH(Tableau3[[#This Row],[ID-SIG]],Tableau5[ID],0))&amp;""</f>
        <v>TS_OuvCmd1</v>
      </c>
      <c r="M17" s="99" t="str">
        <f>INDEX(Tableau5[Att2],MATCH(Tableau3[[#This Row],[ID-SIG]],Tableau5[ID],0))&amp;""</f>
        <v/>
      </c>
      <c r="N17" s="99" t="str">
        <f>INDEX(Tableau5[Att3],MATCH(Tableau3[[#This Row],[ID-SIG]],Tableau5[ID],0))&amp;""</f>
        <v/>
      </c>
      <c r="O17" s="99"/>
      <c r="P17" s="99" t="str">
        <f>INDEX(Tableau5[Description],MATCH(Tableau3[[#This Row],[ID-SIG]],Tableau5[ID],0))</f>
        <v>Commande 1 ouverture sortie</v>
      </c>
      <c r="Q17" s="99"/>
      <c r="R17" s="103" t="str">
        <f>Tableau3[[#This Row],[Description]]</f>
        <v>Commande 1 ouverture sortie</v>
      </c>
      <c r="U17" s="87">
        <v>1</v>
      </c>
      <c r="V17" s="87">
        <v>1</v>
      </c>
      <c r="W17" s="87">
        <v>4</v>
      </c>
      <c r="X17" s="87">
        <v>7</v>
      </c>
      <c r="Y17" s="41"/>
      <c r="Z17" s="165" t="str">
        <f>INDEX(Tableau2[TS],MATCH(Tableau3[[#This Row],[ID-CARTEVOIE]],Tableau2[ID-CARTEVOIE],0))</f>
        <v>ST</v>
      </c>
      <c r="AA17" s="53" t="s">
        <v>213</v>
      </c>
      <c r="AB17" s="223" t="str">
        <f>IFERROR(INDEX(Tableau5[Reserve],MATCH(Tableau3[[#This Row],[ID-SIG]],Tableau5[ID],0))&amp;"","")</f>
        <v/>
      </c>
      <c r="AC17" s="21"/>
      <c r="AD17" s="108" t="str">
        <f>INDEX(Tableau7[Repere],MATCH(Tableau3[[#This Row],[ID-API]],Tableau7[ID-API],0))&amp;""</f>
        <v>A1</v>
      </c>
      <c r="AE17" s="108" t="str">
        <f>INDEX(Tableau1[Repere-Rack],MATCH(Tableau3[[#This Row],[ID-RACK]],Tableau1[ID-RACK],0))&amp;""</f>
        <v>R1</v>
      </c>
      <c r="AF17" s="108" t="str">
        <f>INDEX(Tableau1[Repere-Slot],MATCH(Tableau3[[#This Row],[ID-SLOT]],Tableau1[ID-SLOT],0))&amp;""</f>
        <v>S4</v>
      </c>
      <c r="AG17" s="108" t="str">
        <f>INDEX(Tableau2[Repere-Voie],MATCH(Tableau3[[#This Row],[ID-VOIE]],Tableau2[ID-Voie],0))&amp;""</f>
        <v>v7</v>
      </c>
      <c r="AH17" s="72" t="str">
        <f>Tableau3[[#This Row],[ID-API]]&amp; "." &amp;Tableau3[[#This Row],[ID-RACK]]&amp; "." &amp;Tableau3[[#This Row],[ID-SLOT]]</f>
        <v>1.1.4</v>
      </c>
      <c r="AI17" s="72" t="str">
        <f>INDEX(Tableau1[Ref-Carte],MATCH(Tableau3[[#This Row],[ID-RRS]],Tableau1[ID-RRS],0))</f>
        <v>SDO0802</v>
      </c>
      <c r="AJ17" s="72" t="str">
        <f t="array" ref="AJ17">IFERROR(INDEX(Tableau2[TS],MATCH(1,(Tableau2[Ref-Carte]=Tableau3[[#This Row],[Ref-Carte2]])*(Tableau2[ID-Voie]=Tableau3[[#This Row],[ID-VOIE]]),0)),"")</f>
        <v>ST</v>
      </c>
      <c r="AK17" s="72" t="str">
        <f>IFERROR(INDEX(Tableau2[TS],SUMPRODUCT((Tableau2[Ref-Carte]=Tableau3[[#This Row],[Ref-Carte2]])*(Tableau2[ID-Voie]=Tableau3[[#This Row],[ID-VOIE]])*ROW(Tableau2[TS]))-ROW(Tableau2[#Headers])),"")</f>
        <v>ST</v>
      </c>
      <c r="AL17" s="72" t="str">
        <f>Tableau3[[#This Row],[Ref-Carte2]]&amp;"/"&amp;Tableau3[[#This Row],[ID-VOIE]]</f>
        <v>SDO0802/7</v>
      </c>
      <c r="AM17" s="73" t="str">
        <f>INDEX(Tableau2[Borne],MATCH(Tableau3[[#This Row],[ID-CARTEVOIE]],Tableau2[ID-CARTEVOIE],0))&amp;""</f>
        <v>7</v>
      </c>
      <c r="AN17" s="74" t="str">
        <f>Tableau3[[#This Row],[ID-API]]&amp;Tableau3[[#This Row],[ID-RACK]]&amp;Tableau3[[#This Row],[ID-SLOT]]&amp;Tableau3[[#This Row],[BORNE]]</f>
        <v>1147</v>
      </c>
      <c r="AO17" s="1"/>
    </row>
    <row r="18" spans="1:41" ht="20.100000000000001" customHeight="1" thickTop="1" thickBot="1">
      <c r="A18" s="68"/>
      <c r="B18" s="69" t="str">
        <f>IFERROR(INDEX(Tableau4[Date],MATCH($A18,Tableau4[EVO],0)),"")</f>
        <v/>
      </c>
      <c r="C18" s="68" t="str">
        <f>IFERROR(INDEX(Tableau4[Designation],MATCH($A18,Tableau4[EVO],0)),"")</f>
        <v/>
      </c>
      <c r="D18" s="68"/>
      <c r="E18" s="70">
        <v>46</v>
      </c>
      <c r="F18" s="71">
        <v>54</v>
      </c>
      <c r="G18" s="101" t="str">
        <f>INDEX(Tableau8[Att1],MATCH(Tableau3[[#This Row],[ID-INS]],Tableau8[ID],0))&amp;""</f>
        <v>GR</v>
      </c>
      <c r="H18" s="101" t="str">
        <f>INDEX(Tableau8[Att2],MATCH(Tableau3[[#This Row],[ID-INS]],Tableau8[ID],0))&amp;""</f>
        <v>PMR4</v>
      </c>
      <c r="I18" s="101" t="str">
        <f>INDEX(Tableau8[Att3],MATCH(Tableau3[[#This Row],[ID-INS]],Tableau8[ID],0))&amp;""</f>
        <v>PMR4</v>
      </c>
      <c r="J18" s="101"/>
      <c r="K18" s="167" t="str">
        <f>INDEX(Tableau8[Nom du modele],MATCH(Tableau3[[#This Row],[ID-INS]],Tableau8[ID],0))&amp;""</f>
        <v>PMR_1</v>
      </c>
      <c r="L18" s="99" t="str">
        <f>INDEX(Tableau5[Att1],MATCH(Tableau3[[#This Row],[ID-SIG]],Tableau5[ID],0))&amp;""</f>
        <v>TE_PictoAutor</v>
      </c>
      <c r="M18" s="99" t="str">
        <f>INDEX(Tableau5[Att2],MATCH(Tableau3[[#This Row],[ID-SIG]],Tableau5[ID],0))&amp;""</f>
        <v/>
      </c>
      <c r="N18" s="99" t="str">
        <f>INDEX(Tableau5[Att3],MATCH(Tableau3[[#This Row],[ID-SIG]],Tableau5[ID],0))&amp;""</f>
        <v/>
      </c>
      <c r="O18" s="99"/>
      <c r="P18" s="99" t="str">
        <f>INDEX(Tableau5[Description],MATCH(Tableau3[[#This Row],[ID-SIG]],Tableau5[ID],0))</f>
        <v>Commande Picto entrée</v>
      </c>
      <c r="Q18" s="99"/>
      <c r="R18" s="103" t="str">
        <f>Tableau3[[#This Row],[Description]]</f>
        <v>Commande Picto entrée</v>
      </c>
      <c r="U18" s="87">
        <v>1</v>
      </c>
      <c r="V18" s="87">
        <v>1</v>
      </c>
      <c r="W18" s="87">
        <v>5</v>
      </c>
      <c r="X18" s="87">
        <v>0</v>
      </c>
      <c r="Y18" s="41"/>
      <c r="Z18" s="165" t="str">
        <f>INDEX(Tableau2[TS],MATCH(Tableau3[[#This Row],[ID-CARTEVOIE]],Tableau2[ID-CARTEVOIE],0))</f>
        <v>ST</v>
      </c>
      <c r="AA18" s="53" t="s">
        <v>213</v>
      </c>
      <c r="AB18" s="223" t="str">
        <f>IFERROR(INDEX(Tableau5[Reserve],MATCH(Tableau3[[#This Row],[ID-SIG]],Tableau5[ID],0))&amp;"","")</f>
        <v/>
      </c>
      <c r="AC18" s="21"/>
      <c r="AD18" s="108" t="str">
        <f>INDEX(Tableau7[Repere],MATCH(Tableau3[[#This Row],[ID-API]],Tableau7[ID-API],0))&amp;""</f>
        <v>A1</v>
      </c>
      <c r="AE18" s="108" t="str">
        <f>INDEX(Tableau1[Repere-Rack],MATCH(Tableau3[[#This Row],[ID-RACK]],Tableau1[ID-RACK],0))&amp;""</f>
        <v>R1</v>
      </c>
      <c r="AF18" s="108" t="str">
        <f>INDEX(Tableau1[Repere-Slot],MATCH(Tableau3[[#This Row],[ID-SLOT]],Tableau1[ID-SLOT],0))&amp;""</f>
        <v>S5</v>
      </c>
      <c r="AG18" s="108" t="str">
        <f>INDEX(Tableau2[Repere-Voie],MATCH(Tableau3[[#This Row],[ID-VOIE]],Tableau2[ID-Voie],0))&amp;""</f>
        <v>v0</v>
      </c>
      <c r="AH18" s="72" t="str">
        <f>Tableau3[[#This Row],[ID-API]]&amp; "." &amp;Tableau3[[#This Row],[ID-RACK]]&amp; "." &amp;Tableau3[[#This Row],[ID-SLOT]]</f>
        <v>1.1.5</v>
      </c>
      <c r="AI18" s="72" t="str">
        <f>INDEX(Tableau1[Ref-Carte],MATCH(Tableau3[[#This Row],[ID-RRS]],Tableau1[ID-RRS],0))</f>
        <v>SDO0802</v>
      </c>
      <c r="AJ18" s="72" t="str">
        <f t="array" ref="AJ18">IFERROR(INDEX(Tableau2[TS],MATCH(1,(Tableau2[Ref-Carte]=Tableau3[[#This Row],[Ref-Carte2]])*(Tableau2[ID-Voie]=Tableau3[[#This Row],[ID-VOIE]]),0)),"")</f>
        <v>ST</v>
      </c>
      <c r="AK18" s="72" t="str">
        <f>IFERROR(INDEX(Tableau2[TS],SUMPRODUCT((Tableau2[Ref-Carte]=Tableau3[[#This Row],[Ref-Carte2]])*(Tableau2[ID-Voie]=Tableau3[[#This Row],[ID-VOIE]])*ROW(Tableau2[TS]))-ROW(Tableau2[#Headers])),"")</f>
        <v>ST</v>
      </c>
      <c r="AL18" s="72" t="str">
        <f>Tableau3[[#This Row],[Ref-Carte2]]&amp;"/"&amp;Tableau3[[#This Row],[ID-VOIE]]</f>
        <v>SDO0802/0</v>
      </c>
      <c r="AM18" s="73" t="str">
        <f>INDEX(Tableau2[Borne],MATCH(Tableau3[[#This Row],[ID-CARTEVOIE]],Tableau2[ID-CARTEVOIE],0))&amp;""</f>
        <v>0</v>
      </c>
      <c r="AN18" s="74" t="str">
        <f>Tableau3[[#This Row],[ID-API]]&amp;Tableau3[[#This Row],[ID-RACK]]&amp;Tableau3[[#This Row],[ID-SLOT]]&amp;Tableau3[[#This Row],[BORNE]]</f>
        <v>1150</v>
      </c>
      <c r="AO18" s="1"/>
    </row>
    <row r="19" spans="1:41" ht="20.100000000000001" customHeight="1" thickTop="1" thickBot="1">
      <c r="A19" s="68"/>
      <c r="B19" s="69" t="str">
        <f>IFERROR(INDEX(Tableau4[Date],MATCH($A19,Tableau4[EVO],0)),"")</f>
        <v/>
      </c>
      <c r="C19" s="68" t="str">
        <f>IFERROR(INDEX(Tableau4[Designation],MATCH($A19,Tableau4[EVO],0)),"")</f>
        <v/>
      </c>
      <c r="D19" s="68"/>
      <c r="E19" s="70">
        <v>46</v>
      </c>
      <c r="F19" s="71">
        <v>55</v>
      </c>
      <c r="G19" s="101" t="str">
        <f>INDEX(Tableau8[Att1],MATCH(Tableau3[[#This Row],[ID-INS]],Tableau8[ID],0))&amp;""</f>
        <v>GR</v>
      </c>
      <c r="H19" s="101" t="str">
        <f>INDEX(Tableau8[Att2],MATCH(Tableau3[[#This Row],[ID-INS]],Tableau8[ID],0))&amp;""</f>
        <v>PMR4</v>
      </c>
      <c r="I19" s="101" t="str">
        <f>INDEX(Tableau8[Att3],MATCH(Tableau3[[#This Row],[ID-INS]],Tableau8[ID],0))&amp;""</f>
        <v>PMR4</v>
      </c>
      <c r="J19" s="101"/>
      <c r="K19" s="167" t="str">
        <f>INDEX(Tableau8[Nom du modele],MATCH(Tableau3[[#This Row],[ID-INS]],Tableau8[ID],0))&amp;""</f>
        <v>PMR_1</v>
      </c>
      <c r="L19" s="99" t="str">
        <f>INDEX(Tableau5[Att1],MATCH(Tableau3[[#This Row],[ID-SIG]],Tableau5[ID],0))&amp;""</f>
        <v>TS_PictoAutor</v>
      </c>
      <c r="M19" s="99" t="str">
        <f>INDEX(Tableau5[Att2],MATCH(Tableau3[[#This Row],[ID-SIG]],Tableau5[ID],0))&amp;""</f>
        <v/>
      </c>
      <c r="N19" s="99" t="str">
        <f>INDEX(Tableau5[Att3],MATCH(Tableau3[[#This Row],[ID-SIG]],Tableau5[ID],0))&amp;""</f>
        <v/>
      </c>
      <c r="O19" s="99"/>
      <c r="P19" s="99" t="str">
        <f>INDEX(Tableau5[Description],MATCH(Tableau3[[#This Row],[ID-SIG]],Tableau5[ID],0))</f>
        <v>Commande Picto sortie</v>
      </c>
      <c r="Q19" s="99"/>
      <c r="R19" s="103" t="str">
        <f>Tableau3[[#This Row],[Description]]</f>
        <v>Commande Picto sortie</v>
      </c>
      <c r="U19" s="87">
        <v>1</v>
      </c>
      <c r="V19" s="87">
        <v>1</v>
      </c>
      <c r="W19" s="87">
        <v>5</v>
      </c>
      <c r="X19" s="87">
        <v>1</v>
      </c>
      <c r="Y19" s="41"/>
      <c r="Z19" s="165" t="str">
        <f>INDEX(Tableau2[TS],MATCH(Tableau3[[#This Row],[ID-CARTEVOIE]],Tableau2[ID-CARTEVOIE],0))</f>
        <v>ST</v>
      </c>
      <c r="AA19" s="53" t="s">
        <v>213</v>
      </c>
      <c r="AB19" s="223" t="str">
        <f>IFERROR(INDEX(Tableau5[Reserve],MATCH(Tableau3[[#This Row],[ID-SIG]],Tableau5[ID],0))&amp;"","")</f>
        <v/>
      </c>
      <c r="AC19" s="21"/>
      <c r="AD19" s="108" t="str">
        <f>INDEX(Tableau7[Repere],MATCH(Tableau3[[#This Row],[ID-API]],Tableau7[ID-API],0))&amp;""</f>
        <v>A1</v>
      </c>
      <c r="AE19" s="108" t="str">
        <f>INDEX(Tableau1[Repere-Rack],MATCH(Tableau3[[#This Row],[ID-RACK]],Tableau1[ID-RACK],0))&amp;""</f>
        <v>R1</v>
      </c>
      <c r="AF19" s="108" t="str">
        <f>INDEX(Tableau1[Repere-Slot],MATCH(Tableau3[[#This Row],[ID-SLOT]],Tableau1[ID-SLOT],0))&amp;""</f>
        <v>S5</v>
      </c>
      <c r="AG19" s="108" t="str">
        <f>INDEX(Tableau2[Repere-Voie],MATCH(Tableau3[[#This Row],[ID-VOIE]],Tableau2[ID-Voie],0))&amp;""</f>
        <v>v1</v>
      </c>
      <c r="AH19" s="72" t="str">
        <f>Tableau3[[#This Row],[ID-API]]&amp; "." &amp;Tableau3[[#This Row],[ID-RACK]]&amp; "." &amp;Tableau3[[#This Row],[ID-SLOT]]</f>
        <v>1.1.5</v>
      </c>
      <c r="AI19" s="72" t="str">
        <f>INDEX(Tableau1[Ref-Carte],MATCH(Tableau3[[#This Row],[ID-RRS]],Tableau1[ID-RRS],0))</f>
        <v>SDO0802</v>
      </c>
      <c r="AJ19" s="72" t="str">
        <f t="array" ref="AJ19">IFERROR(INDEX(Tableau2[TS],MATCH(1,(Tableau2[Ref-Carte]=Tableau3[[#This Row],[Ref-Carte2]])*(Tableau2[ID-Voie]=Tableau3[[#This Row],[ID-VOIE]]),0)),"")</f>
        <v>ST</v>
      </c>
      <c r="AK19" s="72" t="str">
        <f>IFERROR(INDEX(Tableau2[TS],SUMPRODUCT((Tableau2[Ref-Carte]=Tableau3[[#This Row],[Ref-Carte2]])*(Tableau2[ID-Voie]=Tableau3[[#This Row],[ID-VOIE]])*ROW(Tableau2[TS]))-ROW(Tableau2[#Headers])),"")</f>
        <v>ST</v>
      </c>
      <c r="AL19" s="72" t="str">
        <f>Tableau3[[#This Row],[Ref-Carte2]]&amp;"/"&amp;Tableau3[[#This Row],[ID-VOIE]]</f>
        <v>SDO0802/1</v>
      </c>
      <c r="AM19" s="73" t="str">
        <f>INDEX(Tableau2[Borne],MATCH(Tableau3[[#This Row],[ID-CARTEVOIE]],Tableau2[ID-CARTEVOIE],0))&amp;""</f>
        <v>1</v>
      </c>
      <c r="AN19" s="74" t="str">
        <f>Tableau3[[#This Row],[ID-API]]&amp;Tableau3[[#This Row],[ID-RACK]]&amp;Tableau3[[#This Row],[ID-SLOT]]&amp;Tableau3[[#This Row],[BORNE]]</f>
        <v>1151</v>
      </c>
      <c r="AO19" s="1"/>
    </row>
    <row r="20" spans="1:41" ht="20.100000000000001" customHeight="1" thickTop="1" thickBot="1">
      <c r="A20" s="68"/>
      <c r="B20" s="69" t="str">
        <f>IFERROR(INDEX(Tableau4[Date],MATCH($A20,Tableau4[EVO],0)),"")</f>
        <v/>
      </c>
      <c r="C20" s="68" t="str">
        <f>IFERROR(INDEX(Tableau4[Designation],MATCH($A20,Tableau4[EVO],0)),"")</f>
        <v/>
      </c>
      <c r="D20" s="68"/>
      <c r="E20" s="70">
        <v>47</v>
      </c>
      <c r="F20" s="71">
        <v>50</v>
      </c>
      <c r="G20" s="101" t="str">
        <f>INDEX(Tableau8[Att1],MATCH(Tableau3[[#This Row],[ID-INS]],Tableau8[ID],0))&amp;""</f>
        <v>B22</v>
      </c>
      <c r="H20" s="101" t="str">
        <f>INDEX(Tableau8[Att2],MATCH(Tableau3[[#This Row],[ID-INS]],Tableau8[ID],0))&amp;""</f>
        <v>PMR5</v>
      </c>
      <c r="I20" s="101" t="str">
        <f>INDEX(Tableau8[Att3],MATCH(Tableau3[[#This Row],[ID-INS]],Tableau8[ID],0))&amp;""</f>
        <v>PMR5</v>
      </c>
      <c r="J20" s="101"/>
      <c r="K20" s="167" t="str">
        <f>INDEX(Tableau8[Nom du modele],MATCH(Tableau3[[#This Row],[ID-INS]],Tableau8[ID],0))&amp;""</f>
        <v>PMR_1</v>
      </c>
      <c r="L20" s="99" t="str">
        <f>INDEX(Tableau5[Att1],MATCH(Tableau3[[#This Row],[ID-SIG]],Tableau5[ID],0))&amp;""</f>
        <v>TS_OuvCmd2</v>
      </c>
      <c r="M20" s="99" t="str">
        <f>INDEX(Tableau5[Att2],MATCH(Tableau3[[#This Row],[ID-SIG]],Tableau5[ID],0))&amp;""</f>
        <v/>
      </c>
      <c r="N20" s="99" t="str">
        <f>INDEX(Tableau5[Att3],MATCH(Tableau3[[#This Row],[ID-SIG]],Tableau5[ID],0))&amp;""</f>
        <v/>
      </c>
      <c r="O20" s="99"/>
      <c r="P20" s="99" t="str">
        <f>INDEX(Tableau5[Description],MATCH(Tableau3[[#This Row],[ID-SIG]],Tableau5[ID],0))</f>
        <v>Commande 2 ouverture sortie</v>
      </c>
      <c r="Q20" s="99"/>
      <c r="R20" s="103" t="str">
        <f>Tableau3[[#This Row],[Description]]</f>
        <v>Commande 2 ouverture sortie</v>
      </c>
      <c r="U20" s="87">
        <v>1</v>
      </c>
      <c r="V20" s="87">
        <v>1</v>
      </c>
      <c r="W20" s="87">
        <v>5</v>
      </c>
      <c r="X20" s="87">
        <v>2</v>
      </c>
      <c r="Y20" s="41"/>
      <c r="Z20" s="165" t="str">
        <f>INDEX(Tableau2[TS],MATCH(Tableau3[[#This Row],[ID-CARTEVOIE]],Tableau2[ID-CARTEVOIE],0))</f>
        <v>ST</v>
      </c>
      <c r="AA20" s="53" t="s">
        <v>213</v>
      </c>
      <c r="AB20" s="223" t="str">
        <f>IFERROR(INDEX(Tableau5[Reserve],MATCH(Tableau3[[#This Row],[ID-SIG]],Tableau5[ID],0))&amp;"","")</f>
        <v/>
      </c>
      <c r="AC20" s="21"/>
      <c r="AD20" s="108" t="str">
        <f>INDEX(Tableau7[Repere],MATCH(Tableau3[[#This Row],[ID-API]],Tableau7[ID-API],0))&amp;""</f>
        <v>A1</v>
      </c>
      <c r="AE20" s="108" t="str">
        <f>INDEX(Tableau1[Repere-Rack],MATCH(Tableau3[[#This Row],[ID-RACK]],Tableau1[ID-RACK],0))&amp;""</f>
        <v>R1</v>
      </c>
      <c r="AF20" s="108" t="str">
        <f>INDEX(Tableau1[Repere-Slot],MATCH(Tableau3[[#This Row],[ID-SLOT]],Tableau1[ID-SLOT],0))&amp;""</f>
        <v>S5</v>
      </c>
      <c r="AG20" s="108" t="str">
        <f>INDEX(Tableau2[Repere-Voie],MATCH(Tableau3[[#This Row],[ID-VOIE]],Tableau2[ID-Voie],0))&amp;""</f>
        <v>v2</v>
      </c>
      <c r="AH20" s="72" t="str">
        <f>Tableau3[[#This Row],[ID-API]]&amp; "." &amp;Tableau3[[#This Row],[ID-RACK]]&amp; "." &amp;Tableau3[[#This Row],[ID-SLOT]]</f>
        <v>1.1.5</v>
      </c>
      <c r="AI20" s="72" t="str">
        <f>INDEX(Tableau1[Ref-Carte],MATCH(Tableau3[[#This Row],[ID-RRS]],Tableau1[ID-RRS],0))</f>
        <v>SDO0802</v>
      </c>
      <c r="AJ20" s="72" t="str">
        <f t="array" ref="AJ20">IFERROR(INDEX(Tableau2[TS],MATCH(1,(Tableau2[Ref-Carte]=Tableau3[[#This Row],[Ref-Carte2]])*(Tableau2[ID-Voie]=Tableau3[[#This Row],[ID-VOIE]]),0)),"")</f>
        <v>ST</v>
      </c>
      <c r="AK20" s="72" t="str">
        <f>IFERROR(INDEX(Tableau2[TS],SUMPRODUCT((Tableau2[Ref-Carte]=Tableau3[[#This Row],[Ref-Carte2]])*(Tableau2[ID-Voie]=Tableau3[[#This Row],[ID-VOIE]])*ROW(Tableau2[TS]))-ROW(Tableau2[#Headers])),"")</f>
        <v>ST</v>
      </c>
      <c r="AL20" s="72" t="str">
        <f>Tableau3[[#This Row],[Ref-Carte2]]&amp;"/"&amp;Tableau3[[#This Row],[ID-VOIE]]</f>
        <v>SDO0802/2</v>
      </c>
      <c r="AM20" s="73" t="str">
        <f>INDEX(Tableau2[Borne],MATCH(Tableau3[[#This Row],[ID-CARTEVOIE]],Tableau2[ID-CARTEVOIE],0))&amp;""</f>
        <v>2</v>
      </c>
      <c r="AN20" s="74" t="str">
        <f>Tableau3[[#This Row],[ID-API]]&amp;Tableau3[[#This Row],[ID-RACK]]&amp;Tableau3[[#This Row],[ID-SLOT]]&amp;Tableau3[[#This Row],[BORNE]]</f>
        <v>1152</v>
      </c>
      <c r="AO20" s="1"/>
    </row>
    <row r="21" spans="1:41" ht="20.100000000000001" customHeight="1" thickTop="1" thickBot="1">
      <c r="A21" s="68"/>
      <c r="B21" s="69" t="str">
        <f>IFERROR(INDEX(Tableau4[Date],MATCH($A21,Tableau4[EVO],0)),"")</f>
        <v/>
      </c>
      <c r="C21" s="68" t="str">
        <f>IFERROR(INDEX(Tableau4[Designation],MATCH($A21,Tableau4[EVO],0)),"")</f>
        <v/>
      </c>
      <c r="D21" s="68"/>
      <c r="E21" s="70">
        <v>48</v>
      </c>
      <c r="F21" s="71">
        <v>50</v>
      </c>
      <c r="G21" s="101" t="str">
        <f>INDEX(Tableau8[Att1],MATCH(Tableau3[[#This Row],[ID-INS]],Tableau8[ID],0))&amp;""</f>
        <v>B22</v>
      </c>
      <c r="H21" s="101" t="str">
        <f>INDEX(Tableau8[Att2],MATCH(Tableau3[[#This Row],[ID-INS]],Tableau8[ID],0))&amp;""</f>
        <v>PMR6</v>
      </c>
      <c r="I21" s="101" t="str">
        <f>INDEX(Tableau8[Att3],MATCH(Tableau3[[#This Row],[ID-INS]],Tableau8[ID],0))&amp;""</f>
        <v>PMR6</v>
      </c>
      <c r="J21" s="101"/>
      <c r="K21" s="167" t="str">
        <f>INDEX(Tableau8[Nom du modele],MATCH(Tableau3[[#This Row],[ID-INS]],Tableau8[ID],0))&amp;""</f>
        <v>PMR_1</v>
      </c>
      <c r="L21" s="99" t="s">
        <v>1685</v>
      </c>
      <c r="M21" s="99" t="str">
        <f>INDEX(Tableau5[Att2],MATCH(Tableau3[[#This Row],[ID-SIG]],Tableau5[ID],0))&amp;""</f>
        <v/>
      </c>
      <c r="N21" s="99" t="str">
        <f>INDEX(Tableau5[Att3],MATCH(Tableau3[[#This Row],[ID-SIG]],Tableau5[ID],0))&amp;""</f>
        <v/>
      </c>
      <c r="O21" s="99"/>
      <c r="P21" s="99" t="s">
        <v>1688</v>
      </c>
      <c r="Q21" s="99"/>
      <c r="R21" s="103" t="str">
        <f>Tableau3[[#This Row],[Description]]</f>
        <v>Portail P5 - Entrée Réserve 1</v>
      </c>
      <c r="U21" s="87">
        <v>1</v>
      </c>
      <c r="V21" s="87">
        <v>1</v>
      </c>
      <c r="W21" s="87">
        <v>5</v>
      </c>
      <c r="X21" s="87">
        <v>3</v>
      </c>
      <c r="Y21" s="41"/>
      <c r="Z21" s="165" t="str">
        <f>INDEX(Tableau2[TS],MATCH(Tableau3[[#This Row],[ID-CARTEVOIE]],Tableau2[ID-CARTEVOIE],0))</f>
        <v>ST</v>
      </c>
      <c r="AA21" s="53" t="s">
        <v>213</v>
      </c>
      <c r="AB21" s="223" t="str">
        <f>IFERROR(INDEX(Tableau5[Reserve],MATCH(Tableau3[[#This Row],[ID-SIG]],Tableau5[ID],0))&amp;"","")</f>
        <v/>
      </c>
      <c r="AC21" s="21"/>
      <c r="AD21" s="108" t="str">
        <f>INDEX(Tableau7[Repere],MATCH(Tableau3[[#This Row],[ID-API]],Tableau7[ID-API],0))&amp;""</f>
        <v>A1</v>
      </c>
      <c r="AE21" s="108" t="str">
        <f>INDEX(Tableau1[Repere-Rack],MATCH(Tableau3[[#This Row],[ID-RACK]],Tableau1[ID-RACK],0))&amp;""</f>
        <v>R1</v>
      </c>
      <c r="AF21" s="108" t="str">
        <f>INDEX(Tableau1[Repere-Slot],MATCH(Tableau3[[#This Row],[ID-SLOT]],Tableau1[ID-SLOT],0))&amp;""</f>
        <v>S5</v>
      </c>
      <c r="AG21" s="108" t="str">
        <f>INDEX(Tableau2[Repere-Voie],MATCH(Tableau3[[#This Row],[ID-VOIE]],Tableau2[ID-Voie],0))&amp;""</f>
        <v>v3</v>
      </c>
      <c r="AH21" s="72" t="str">
        <f>Tableau3[[#This Row],[ID-API]]&amp; "." &amp;Tableau3[[#This Row],[ID-RACK]]&amp; "." &amp;Tableau3[[#This Row],[ID-SLOT]]</f>
        <v>1.1.5</v>
      </c>
      <c r="AI21" s="72" t="str">
        <f>INDEX(Tableau1[Ref-Carte],MATCH(Tableau3[[#This Row],[ID-RRS]],Tableau1[ID-RRS],0))</f>
        <v>SDO0802</v>
      </c>
      <c r="AJ21" s="72" t="str">
        <f t="array" ref="AJ21">IFERROR(INDEX(Tableau2[TS],MATCH(1,(Tableau2[Ref-Carte]=Tableau3[[#This Row],[Ref-Carte2]])*(Tableau2[ID-Voie]=Tableau3[[#This Row],[ID-VOIE]]),0)),"")</f>
        <v>ST</v>
      </c>
      <c r="AK21" s="72" t="str">
        <f>IFERROR(INDEX(Tableau2[TS],SUMPRODUCT((Tableau2[Ref-Carte]=Tableau3[[#This Row],[Ref-Carte2]])*(Tableau2[ID-Voie]=Tableau3[[#This Row],[ID-VOIE]])*ROW(Tableau2[TS]))-ROW(Tableau2[#Headers])),"")</f>
        <v>ST</v>
      </c>
      <c r="AL21" s="72" t="str">
        <f>Tableau3[[#This Row],[Ref-Carte2]]&amp;"/"&amp;Tableau3[[#This Row],[ID-VOIE]]</f>
        <v>SDO0802/3</v>
      </c>
      <c r="AM21" s="73" t="str">
        <f>INDEX(Tableau2[Borne],MATCH(Tableau3[[#This Row],[ID-CARTEVOIE]],Tableau2[ID-CARTEVOIE],0))&amp;""</f>
        <v>3</v>
      </c>
      <c r="AN21" s="74" t="str">
        <f>Tableau3[[#This Row],[ID-API]]&amp;Tableau3[[#This Row],[ID-RACK]]&amp;Tableau3[[#This Row],[ID-SLOT]]&amp;Tableau3[[#This Row],[BORNE]]</f>
        <v>1153</v>
      </c>
      <c r="AO21" s="1"/>
    </row>
    <row r="22" spans="1:41" ht="20.100000000000001" customHeight="1" thickTop="1" thickBot="1">
      <c r="A22" s="68"/>
      <c r="B22" s="69" t="str">
        <f>IFERROR(INDEX(Tableau4[Date],MATCH($A22,Tableau4[EVO],0)),"")</f>
        <v/>
      </c>
      <c r="C22" s="68" t="str">
        <f>IFERROR(INDEX(Tableau4[Designation],MATCH($A22,Tableau4[EVO],0)),"")</f>
        <v/>
      </c>
      <c r="D22" s="68"/>
      <c r="E22" s="70">
        <v>50</v>
      </c>
      <c r="F22" s="71">
        <v>52</v>
      </c>
      <c r="G22" s="101" t="str">
        <f>INDEX(Tableau8[Att1],MATCH(Tableau3[[#This Row],[ID-INS]],Tableau8[ID],0))&amp;""</f>
        <v>B22</v>
      </c>
      <c r="H22" s="101" t="str">
        <f>INDEX(Tableau8[Att2],MATCH(Tableau3[[#This Row],[ID-INS]],Tableau8[ID],0))&amp;""</f>
        <v>PMR1</v>
      </c>
      <c r="I22" s="101" t="str">
        <f>INDEX(Tableau8[Att3],MATCH(Tableau3[[#This Row],[ID-INS]],Tableau8[ID],0))&amp;""</f>
        <v>PMR1</v>
      </c>
      <c r="J22" s="101"/>
      <c r="K22" s="167" t="str">
        <f>INDEX(Tableau8[Nom du modele],MATCH(Tableau3[[#This Row],[ID-INS]],Tableau8[ID],0))&amp;""</f>
        <v>PMR_1</v>
      </c>
      <c r="L22" s="99" t="str">
        <f>INDEX(Tableau5[Att1],MATCH(Tableau3[[#This Row],[ID-SIG]],Tableau5[ID],0))&amp;""</f>
        <v>TE_OuvCmd</v>
      </c>
      <c r="M22" s="99" t="str">
        <f>INDEX(Tableau5[Att2],MATCH(Tableau3[[#This Row],[ID-SIG]],Tableau5[ID],0))&amp;""</f>
        <v/>
      </c>
      <c r="N22" s="99" t="str">
        <f>INDEX(Tableau5[Att3],MATCH(Tableau3[[#This Row],[ID-SIG]],Tableau5[ID],0))&amp;""</f>
        <v/>
      </c>
      <c r="O22" s="99"/>
      <c r="P22" s="99" t="str">
        <f>INDEX(Tableau5[Description],MATCH(Tableau3[[#This Row],[ID-SIG]],Tableau5[ID],0))</f>
        <v>Commande ouverture entrée</v>
      </c>
      <c r="Q22" s="99"/>
      <c r="R22" s="103" t="str">
        <f>Tableau3[[#This Row],[Description]]</f>
        <v>Commande ouverture entrée</v>
      </c>
      <c r="U22" s="87">
        <v>1</v>
      </c>
      <c r="V22" s="87">
        <v>1</v>
      </c>
      <c r="W22" s="87">
        <v>5</v>
      </c>
      <c r="X22" s="87">
        <v>4</v>
      </c>
      <c r="Y22" s="41"/>
      <c r="Z22" s="165" t="str">
        <f>INDEX(Tableau2[TS],MATCH(Tableau3[[#This Row],[ID-CARTEVOIE]],Tableau2[ID-CARTEVOIE],0))</f>
        <v>ST</v>
      </c>
      <c r="AA22" s="53" t="s">
        <v>213</v>
      </c>
      <c r="AB22" s="223" t="str">
        <f>IFERROR(INDEX(Tableau5[Reserve],MATCH(Tableau3[[#This Row],[ID-SIG]],Tableau5[ID],0))&amp;"","")</f>
        <v/>
      </c>
      <c r="AC22" s="21"/>
      <c r="AD22" s="108" t="str">
        <f>INDEX(Tableau7[Repere],MATCH(Tableau3[[#This Row],[ID-API]],Tableau7[ID-API],0))&amp;""</f>
        <v>A1</v>
      </c>
      <c r="AE22" s="108" t="str">
        <f>INDEX(Tableau1[Repere-Rack],MATCH(Tableau3[[#This Row],[ID-RACK]],Tableau1[ID-RACK],0))&amp;""</f>
        <v>R1</v>
      </c>
      <c r="AF22" s="108" t="str">
        <f>INDEX(Tableau1[Repere-Slot],MATCH(Tableau3[[#This Row],[ID-SLOT]],Tableau1[ID-SLOT],0))&amp;""</f>
        <v>S5</v>
      </c>
      <c r="AG22" s="108" t="str">
        <f>INDEX(Tableau2[Repere-Voie],MATCH(Tableau3[[#This Row],[ID-VOIE]],Tableau2[ID-Voie],0))&amp;""</f>
        <v>v4</v>
      </c>
      <c r="AH22" s="72" t="str">
        <f>Tableau3[[#This Row],[ID-API]]&amp; "." &amp;Tableau3[[#This Row],[ID-RACK]]&amp; "." &amp;Tableau3[[#This Row],[ID-SLOT]]</f>
        <v>1.1.5</v>
      </c>
      <c r="AI22" s="72" t="str">
        <f>INDEX(Tableau1[Ref-Carte],MATCH(Tableau3[[#This Row],[ID-RRS]],Tableau1[ID-RRS],0))</f>
        <v>SDO0802</v>
      </c>
      <c r="AJ22" s="72" t="str">
        <f t="array" ref="AJ22">IFERROR(INDEX(Tableau2[TS],MATCH(1,(Tableau2[Ref-Carte]=Tableau3[[#This Row],[Ref-Carte2]])*(Tableau2[ID-Voie]=Tableau3[[#This Row],[ID-VOIE]]),0)),"")</f>
        <v>ST</v>
      </c>
      <c r="AK22" s="72" t="str">
        <f>IFERROR(INDEX(Tableau2[TS],SUMPRODUCT((Tableau2[Ref-Carte]=Tableau3[[#This Row],[Ref-Carte2]])*(Tableau2[ID-Voie]=Tableau3[[#This Row],[ID-VOIE]])*ROW(Tableau2[TS]))-ROW(Tableau2[#Headers])),"")</f>
        <v>ST</v>
      </c>
      <c r="AL22" s="72" t="str">
        <f>Tableau3[[#This Row],[Ref-Carte2]]&amp;"/"&amp;Tableau3[[#This Row],[ID-VOIE]]</f>
        <v>SDO0802/4</v>
      </c>
      <c r="AM22" s="73" t="str">
        <f>INDEX(Tableau2[Borne],MATCH(Tableau3[[#This Row],[ID-CARTEVOIE]],Tableau2[ID-CARTEVOIE],0))&amp;""</f>
        <v>4</v>
      </c>
      <c r="AN22" s="74" t="str">
        <f>Tableau3[[#This Row],[ID-API]]&amp;Tableau3[[#This Row],[ID-RACK]]&amp;Tableau3[[#This Row],[ID-SLOT]]&amp;Tableau3[[#This Row],[BORNE]]</f>
        <v>1154</v>
      </c>
      <c r="AO22" s="1"/>
    </row>
    <row r="23" spans="1:41" ht="20.100000000000001" customHeight="1" thickTop="1" thickBot="1">
      <c r="A23" s="68"/>
      <c r="B23" s="69" t="str">
        <f>IFERROR(INDEX(Tableau4[Date],MATCH($A23,Tableau4[EVO],0)),"")</f>
        <v/>
      </c>
      <c r="C23" s="68" t="str">
        <f>IFERROR(INDEX(Tableau4[Designation],MATCH($A23,Tableau4[EVO],0)),"")</f>
        <v/>
      </c>
      <c r="D23" s="68"/>
      <c r="E23" s="70">
        <v>50</v>
      </c>
      <c r="F23" s="71">
        <v>53</v>
      </c>
      <c r="G23" s="101" t="str">
        <f>INDEX(Tableau8[Att1],MATCH(Tableau3[[#This Row],[ID-INS]],Tableau8[ID],0))&amp;""</f>
        <v>B22</v>
      </c>
      <c r="H23" s="101" t="str">
        <f>INDEX(Tableau8[Att2],MATCH(Tableau3[[#This Row],[ID-INS]],Tableau8[ID],0))&amp;""</f>
        <v>PMR1</v>
      </c>
      <c r="I23" s="101" t="str">
        <f>INDEX(Tableau8[Att3],MATCH(Tableau3[[#This Row],[ID-INS]],Tableau8[ID],0))&amp;""</f>
        <v>PMR1</v>
      </c>
      <c r="J23" s="101"/>
      <c r="K23" s="167" t="str">
        <f>INDEX(Tableau8[Nom du modele],MATCH(Tableau3[[#This Row],[ID-INS]],Tableau8[ID],0))&amp;""</f>
        <v>PMR_1</v>
      </c>
      <c r="L23" s="99" t="str">
        <f>INDEX(Tableau5[Att1],MATCH(Tableau3[[#This Row],[ID-SIG]],Tableau5[ID],0))&amp;""</f>
        <v>TS_OuvCmd1</v>
      </c>
      <c r="M23" s="99" t="str">
        <f>INDEX(Tableau5[Att2],MATCH(Tableau3[[#This Row],[ID-SIG]],Tableau5[ID],0))&amp;""</f>
        <v/>
      </c>
      <c r="N23" s="99" t="str">
        <f>INDEX(Tableau5[Att3],MATCH(Tableau3[[#This Row],[ID-SIG]],Tableau5[ID],0))&amp;""</f>
        <v/>
      </c>
      <c r="O23" s="99"/>
      <c r="P23" s="99" t="str">
        <f>INDEX(Tableau5[Description],MATCH(Tableau3[[#This Row],[ID-SIG]],Tableau5[ID],0))</f>
        <v>Commande 1 ouverture sortie</v>
      </c>
      <c r="Q23" s="99"/>
      <c r="R23" s="103" t="str">
        <f>Tableau3[[#This Row],[Description]]</f>
        <v>Commande 1 ouverture sortie</v>
      </c>
      <c r="U23" s="87">
        <v>1</v>
      </c>
      <c r="V23" s="87">
        <v>1</v>
      </c>
      <c r="W23" s="87">
        <v>5</v>
      </c>
      <c r="X23" s="87">
        <v>5</v>
      </c>
      <c r="Y23" s="41"/>
      <c r="Z23" s="165" t="str">
        <f>INDEX(Tableau2[TS],MATCH(Tableau3[[#This Row],[ID-CARTEVOIE]],Tableau2[ID-CARTEVOIE],0))</f>
        <v>ST</v>
      </c>
      <c r="AA23" s="53" t="s">
        <v>213</v>
      </c>
      <c r="AB23" s="223" t="str">
        <f>IFERROR(INDEX(Tableau5[Reserve],MATCH(Tableau3[[#This Row],[ID-SIG]],Tableau5[ID],0))&amp;"","")</f>
        <v/>
      </c>
      <c r="AC23" s="21"/>
      <c r="AD23" s="108" t="str">
        <f>INDEX(Tableau7[Repere],MATCH(Tableau3[[#This Row],[ID-API]],Tableau7[ID-API],0))&amp;""</f>
        <v>A1</v>
      </c>
      <c r="AE23" s="108" t="str">
        <f>INDEX(Tableau1[Repere-Rack],MATCH(Tableau3[[#This Row],[ID-RACK]],Tableau1[ID-RACK],0))&amp;""</f>
        <v>R1</v>
      </c>
      <c r="AF23" s="108" t="str">
        <f>INDEX(Tableau1[Repere-Slot],MATCH(Tableau3[[#This Row],[ID-SLOT]],Tableau1[ID-SLOT],0))&amp;""</f>
        <v>S5</v>
      </c>
      <c r="AG23" s="108" t="str">
        <f>INDEX(Tableau2[Repere-Voie],MATCH(Tableau3[[#This Row],[ID-VOIE]],Tableau2[ID-Voie],0))&amp;""</f>
        <v>v5</v>
      </c>
      <c r="AH23" s="72" t="str">
        <f>Tableau3[[#This Row],[ID-API]]&amp; "." &amp;Tableau3[[#This Row],[ID-RACK]]&amp; "." &amp;Tableau3[[#This Row],[ID-SLOT]]</f>
        <v>1.1.5</v>
      </c>
      <c r="AI23" s="72" t="str">
        <f>INDEX(Tableau1[Ref-Carte],MATCH(Tableau3[[#This Row],[ID-RRS]],Tableau1[ID-RRS],0))</f>
        <v>SDO0802</v>
      </c>
      <c r="AJ23" s="72" t="str">
        <f t="array" ref="AJ23">IFERROR(INDEX(Tableau2[TS],MATCH(1,(Tableau2[Ref-Carte]=Tableau3[[#This Row],[Ref-Carte2]])*(Tableau2[ID-Voie]=Tableau3[[#This Row],[ID-VOIE]]),0)),"")</f>
        <v>ST</v>
      </c>
      <c r="AK23" s="72" t="str">
        <f>IFERROR(INDEX(Tableau2[TS],SUMPRODUCT((Tableau2[Ref-Carte]=Tableau3[[#This Row],[Ref-Carte2]])*(Tableau2[ID-Voie]=Tableau3[[#This Row],[ID-VOIE]])*ROW(Tableau2[TS]))-ROW(Tableau2[#Headers])),"")</f>
        <v>ST</v>
      </c>
      <c r="AL23" s="72" t="str">
        <f>Tableau3[[#This Row],[Ref-Carte2]]&amp;"/"&amp;Tableau3[[#This Row],[ID-VOIE]]</f>
        <v>SDO0802/5</v>
      </c>
      <c r="AM23" s="73" t="str">
        <f>INDEX(Tableau2[Borne],MATCH(Tableau3[[#This Row],[ID-CARTEVOIE]],Tableau2[ID-CARTEVOIE],0))&amp;""</f>
        <v>5</v>
      </c>
      <c r="AN23" s="74" t="str">
        <f>Tableau3[[#This Row],[ID-API]]&amp;Tableau3[[#This Row],[ID-RACK]]&amp;Tableau3[[#This Row],[ID-SLOT]]&amp;Tableau3[[#This Row],[BORNE]]</f>
        <v>1155</v>
      </c>
      <c r="AO23" s="1"/>
    </row>
    <row r="24" spans="1:41" ht="20.100000000000001" customHeight="1" thickTop="1" thickBot="1">
      <c r="A24" s="68"/>
      <c r="B24" s="69" t="str">
        <f>IFERROR(INDEX(Tableau4[Date],MATCH($A24,Tableau4[EVO],0)),"")</f>
        <v/>
      </c>
      <c r="C24" s="68" t="str">
        <f>IFERROR(INDEX(Tableau4[Designation],MATCH($A24,Tableau4[EVO],0)),"")</f>
        <v/>
      </c>
      <c r="D24" s="68"/>
      <c r="E24" s="70">
        <v>50</v>
      </c>
      <c r="F24" s="71">
        <v>54</v>
      </c>
      <c r="G24" s="101" t="str">
        <f>INDEX(Tableau8[Att1],MATCH(Tableau3[[#This Row],[ID-INS]],Tableau8[ID],0))&amp;""</f>
        <v>B22</v>
      </c>
      <c r="H24" s="101" t="str">
        <f>INDEX(Tableau8[Att2],MATCH(Tableau3[[#This Row],[ID-INS]],Tableau8[ID],0))&amp;""</f>
        <v>PMR1</v>
      </c>
      <c r="I24" s="101" t="str">
        <f>INDEX(Tableau8[Att3],MATCH(Tableau3[[#This Row],[ID-INS]],Tableau8[ID],0))&amp;""</f>
        <v>PMR1</v>
      </c>
      <c r="J24" s="101"/>
      <c r="K24" s="167" t="str">
        <f>INDEX(Tableau8[Nom du modele],MATCH(Tableau3[[#This Row],[ID-INS]],Tableau8[ID],0))&amp;""</f>
        <v>PMR_1</v>
      </c>
      <c r="L24" s="99" t="str">
        <f>INDEX(Tableau5[Att1],MATCH(Tableau3[[#This Row],[ID-SIG]],Tableau5[ID],0))&amp;""</f>
        <v>TE_PictoAutor</v>
      </c>
      <c r="M24" s="99" t="str">
        <f>INDEX(Tableau5[Att2],MATCH(Tableau3[[#This Row],[ID-SIG]],Tableau5[ID],0))&amp;""</f>
        <v/>
      </c>
      <c r="N24" s="99" t="str">
        <f>INDEX(Tableau5[Att3],MATCH(Tableau3[[#This Row],[ID-SIG]],Tableau5[ID],0))&amp;""</f>
        <v/>
      </c>
      <c r="O24" s="99"/>
      <c r="P24" s="99" t="str">
        <f>INDEX(Tableau5[Description],MATCH(Tableau3[[#This Row],[ID-SIG]],Tableau5[ID],0))</f>
        <v>Commande Picto entrée</v>
      </c>
      <c r="Q24" s="99"/>
      <c r="R24" s="103" t="str">
        <f>Tableau3[[#This Row],[Description]]</f>
        <v>Commande Picto entrée</v>
      </c>
      <c r="U24" s="87">
        <v>1</v>
      </c>
      <c r="V24" s="87">
        <v>1</v>
      </c>
      <c r="W24" s="87">
        <v>5</v>
      </c>
      <c r="X24" s="87">
        <v>6</v>
      </c>
      <c r="Y24" s="41"/>
      <c r="Z24" s="165" t="str">
        <f>INDEX(Tableau2[TS],MATCH(Tableau3[[#This Row],[ID-CARTEVOIE]],Tableau2[ID-CARTEVOIE],0))</f>
        <v>ST</v>
      </c>
      <c r="AA24" s="53" t="s">
        <v>213</v>
      </c>
      <c r="AB24" s="223" t="str">
        <f>IFERROR(INDEX(Tableau5[Reserve],MATCH(Tableau3[[#This Row],[ID-SIG]],Tableau5[ID],0))&amp;"","")</f>
        <v/>
      </c>
      <c r="AC24" s="21"/>
      <c r="AD24" s="108" t="str">
        <f>INDEX(Tableau7[Repere],MATCH(Tableau3[[#This Row],[ID-API]],Tableau7[ID-API],0))&amp;""</f>
        <v>A1</v>
      </c>
      <c r="AE24" s="108" t="str">
        <f>INDEX(Tableau1[Repere-Rack],MATCH(Tableau3[[#This Row],[ID-RACK]],Tableau1[ID-RACK],0))&amp;""</f>
        <v>R1</v>
      </c>
      <c r="AF24" s="108" t="str">
        <f>INDEX(Tableau1[Repere-Slot],MATCH(Tableau3[[#This Row],[ID-SLOT]],Tableau1[ID-SLOT],0))&amp;""</f>
        <v>S5</v>
      </c>
      <c r="AG24" s="108" t="str">
        <f>INDEX(Tableau2[Repere-Voie],MATCH(Tableau3[[#This Row],[ID-VOIE]],Tableau2[ID-Voie],0))&amp;""</f>
        <v>v6</v>
      </c>
      <c r="AH24" s="72" t="str">
        <f>Tableau3[[#This Row],[ID-API]]&amp; "." &amp;Tableau3[[#This Row],[ID-RACK]]&amp; "." &amp;Tableau3[[#This Row],[ID-SLOT]]</f>
        <v>1.1.5</v>
      </c>
      <c r="AI24" s="72" t="str">
        <f>INDEX(Tableau1[Ref-Carte],MATCH(Tableau3[[#This Row],[ID-RRS]],Tableau1[ID-RRS],0))</f>
        <v>SDO0802</v>
      </c>
      <c r="AJ24" s="72" t="str">
        <f t="array" ref="AJ24">IFERROR(INDEX(Tableau2[TS],MATCH(1,(Tableau2[Ref-Carte]=Tableau3[[#This Row],[Ref-Carte2]])*(Tableau2[ID-Voie]=Tableau3[[#This Row],[ID-VOIE]]),0)),"")</f>
        <v>ST</v>
      </c>
      <c r="AK24" s="72" t="str">
        <f>IFERROR(INDEX(Tableau2[TS],SUMPRODUCT((Tableau2[Ref-Carte]=Tableau3[[#This Row],[Ref-Carte2]])*(Tableau2[ID-Voie]=Tableau3[[#This Row],[ID-VOIE]])*ROW(Tableau2[TS]))-ROW(Tableau2[#Headers])),"")</f>
        <v>ST</v>
      </c>
      <c r="AL24" s="72" t="str">
        <f>Tableau3[[#This Row],[Ref-Carte2]]&amp;"/"&amp;Tableau3[[#This Row],[ID-VOIE]]</f>
        <v>SDO0802/6</v>
      </c>
      <c r="AM24" s="73" t="str">
        <f>INDEX(Tableau2[Borne],MATCH(Tableau3[[#This Row],[ID-CARTEVOIE]],Tableau2[ID-CARTEVOIE],0))&amp;""</f>
        <v>6</v>
      </c>
      <c r="AN24" s="74" t="str">
        <f>Tableau3[[#This Row],[ID-API]]&amp;Tableau3[[#This Row],[ID-RACK]]&amp;Tableau3[[#This Row],[ID-SLOT]]&amp;Tableau3[[#This Row],[BORNE]]</f>
        <v>1156</v>
      </c>
      <c r="AO24" s="1"/>
    </row>
    <row r="25" spans="1:41" ht="20.100000000000001" customHeight="1" thickTop="1" thickBot="1">
      <c r="A25" s="68"/>
      <c r="B25" s="69" t="str">
        <f>IFERROR(INDEX(Tableau4[Date],MATCH($A25,Tableau4[EVO],0)),"")</f>
        <v/>
      </c>
      <c r="C25" s="68" t="str">
        <f>IFERROR(INDEX(Tableau4[Designation],MATCH($A25,Tableau4[EVO],0)),"")</f>
        <v/>
      </c>
      <c r="D25" s="68"/>
      <c r="E25" s="70">
        <v>50</v>
      </c>
      <c r="F25" s="71">
        <v>55</v>
      </c>
      <c r="G25" s="101" t="str">
        <f>INDEX(Tableau8[Att1],MATCH(Tableau3[[#This Row],[ID-INS]],Tableau8[ID],0))&amp;""</f>
        <v>B22</v>
      </c>
      <c r="H25" s="101" t="str">
        <f>INDEX(Tableau8[Att2],MATCH(Tableau3[[#This Row],[ID-INS]],Tableau8[ID],0))&amp;""</f>
        <v>PMR1</v>
      </c>
      <c r="I25" s="101" t="str">
        <f>INDEX(Tableau8[Att3],MATCH(Tableau3[[#This Row],[ID-INS]],Tableau8[ID],0))&amp;""</f>
        <v>PMR1</v>
      </c>
      <c r="J25" s="101"/>
      <c r="K25" s="167" t="str">
        <f>INDEX(Tableau8[Nom du modele],MATCH(Tableau3[[#This Row],[ID-INS]],Tableau8[ID],0))&amp;""</f>
        <v>PMR_1</v>
      </c>
      <c r="L25" s="99" t="str">
        <f>INDEX(Tableau5[Att1],MATCH(Tableau3[[#This Row],[ID-SIG]],Tableau5[ID],0))&amp;""</f>
        <v>TS_PictoAutor</v>
      </c>
      <c r="M25" s="99" t="str">
        <f>INDEX(Tableau5[Att2],MATCH(Tableau3[[#This Row],[ID-SIG]],Tableau5[ID],0))&amp;""</f>
        <v/>
      </c>
      <c r="N25" s="99" t="str">
        <f>INDEX(Tableau5[Att3],MATCH(Tableau3[[#This Row],[ID-SIG]],Tableau5[ID],0))&amp;""</f>
        <v/>
      </c>
      <c r="O25" s="99"/>
      <c r="P25" s="99" t="str">
        <f>INDEX(Tableau5[Description],MATCH(Tableau3[[#This Row],[ID-SIG]],Tableau5[ID],0))</f>
        <v>Commande Picto sortie</v>
      </c>
      <c r="Q25" s="99"/>
      <c r="R25" s="103" t="str">
        <f>Tableau3[[#This Row],[Description]]</f>
        <v>Commande Picto sortie</v>
      </c>
      <c r="U25" s="87">
        <v>1</v>
      </c>
      <c r="V25" s="87">
        <v>1</v>
      </c>
      <c r="W25" s="87">
        <v>5</v>
      </c>
      <c r="X25" s="87">
        <v>7</v>
      </c>
      <c r="Y25" s="41"/>
      <c r="Z25" s="165" t="str">
        <f>INDEX(Tableau2[TS],MATCH(Tableau3[[#This Row],[ID-CARTEVOIE]],Tableau2[ID-CARTEVOIE],0))</f>
        <v>ST</v>
      </c>
      <c r="AA25" s="53" t="s">
        <v>213</v>
      </c>
      <c r="AB25" s="223" t="str">
        <f>IFERROR(INDEX(Tableau5[Reserve],MATCH(Tableau3[[#This Row],[ID-SIG]],Tableau5[ID],0))&amp;"","")</f>
        <v/>
      </c>
      <c r="AC25" s="21"/>
      <c r="AD25" s="108" t="str">
        <f>INDEX(Tableau7[Repere],MATCH(Tableau3[[#This Row],[ID-API]],Tableau7[ID-API],0))&amp;""</f>
        <v>A1</v>
      </c>
      <c r="AE25" s="108" t="str">
        <f>INDEX(Tableau1[Repere-Rack],MATCH(Tableau3[[#This Row],[ID-RACK]],Tableau1[ID-RACK],0))&amp;""</f>
        <v>R1</v>
      </c>
      <c r="AF25" s="108" t="str">
        <f>INDEX(Tableau1[Repere-Slot],MATCH(Tableau3[[#This Row],[ID-SLOT]],Tableau1[ID-SLOT],0))&amp;""</f>
        <v>S5</v>
      </c>
      <c r="AG25" s="108" t="str">
        <f>INDEX(Tableau2[Repere-Voie],MATCH(Tableau3[[#This Row],[ID-VOIE]],Tableau2[ID-Voie],0))&amp;""</f>
        <v>v7</v>
      </c>
      <c r="AH25" s="72" t="str">
        <f>Tableau3[[#This Row],[ID-API]]&amp; "." &amp;Tableau3[[#This Row],[ID-RACK]]&amp; "." &amp;Tableau3[[#This Row],[ID-SLOT]]</f>
        <v>1.1.5</v>
      </c>
      <c r="AI25" s="72" t="str">
        <f>INDEX(Tableau1[Ref-Carte],MATCH(Tableau3[[#This Row],[ID-RRS]],Tableau1[ID-RRS],0))</f>
        <v>SDO0802</v>
      </c>
      <c r="AJ25" s="72" t="str">
        <f t="array" ref="AJ25">IFERROR(INDEX(Tableau2[TS],MATCH(1,(Tableau2[Ref-Carte]=Tableau3[[#This Row],[Ref-Carte2]])*(Tableau2[ID-Voie]=Tableau3[[#This Row],[ID-VOIE]]),0)),"")</f>
        <v>ST</v>
      </c>
      <c r="AK25" s="72" t="str">
        <f>IFERROR(INDEX(Tableau2[TS],SUMPRODUCT((Tableau2[Ref-Carte]=Tableau3[[#This Row],[Ref-Carte2]])*(Tableau2[ID-Voie]=Tableau3[[#This Row],[ID-VOIE]])*ROW(Tableau2[TS]))-ROW(Tableau2[#Headers])),"")</f>
        <v>ST</v>
      </c>
      <c r="AL25" s="72" t="str">
        <f>Tableau3[[#This Row],[Ref-Carte2]]&amp;"/"&amp;Tableau3[[#This Row],[ID-VOIE]]</f>
        <v>SDO0802/7</v>
      </c>
      <c r="AM25" s="73" t="str">
        <f>INDEX(Tableau2[Borne],MATCH(Tableau3[[#This Row],[ID-CARTEVOIE]],Tableau2[ID-CARTEVOIE],0))&amp;""</f>
        <v>7</v>
      </c>
      <c r="AN25" s="74" t="str">
        <f>Tableau3[[#This Row],[ID-API]]&amp;Tableau3[[#This Row],[ID-RACK]]&amp;Tableau3[[#This Row],[ID-SLOT]]&amp;Tableau3[[#This Row],[BORNE]]</f>
        <v>1157</v>
      </c>
      <c r="AO25" s="1"/>
    </row>
    <row r="26" spans="1:41" ht="20.100000000000001" customHeight="1" thickTop="1" thickBot="1">
      <c r="A26" s="68"/>
      <c r="B26" s="69" t="str">
        <f>IFERROR(INDEX(Tableau4[Date],MATCH($A26,Tableau4[EVO],0)),"")</f>
        <v/>
      </c>
      <c r="C26" s="68" t="str">
        <f>IFERROR(INDEX(Tableau4[Designation],MATCH($A26,Tableau4[EVO],0)),"")</f>
        <v/>
      </c>
      <c r="D26" s="68"/>
      <c r="E26" s="70">
        <v>52</v>
      </c>
      <c r="F26" s="71">
        <v>52</v>
      </c>
      <c r="G26" s="101" t="str">
        <f>INDEX(Tableau8[Att1],MATCH(Tableau3[[#This Row],[ID-INS]],Tableau8[ID],0))&amp;""</f>
        <v>B22</v>
      </c>
      <c r="H26" s="101" t="str">
        <f>INDEX(Tableau8[Att2],MATCH(Tableau3[[#This Row],[ID-INS]],Tableau8[ID],0))&amp;""</f>
        <v>PMR2</v>
      </c>
      <c r="I26" s="101" t="str">
        <f>INDEX(Tableau8[Att3],MATCH(Tableau3[[#This Row],[ID-INS]],Tableau8[ID],0))&amp;""</f>
        <v>PMR2</v>
      </c>
      <c r="J26" s="101"/>
      <c r="K26" s="167" t="str">
        <f>INDEX(Tableau8[Nom du modele],MATCH(Tableau3[[#This Row],[ID-INS]],Tableau8[ID],0))&amp;""</f>
        <v>PMR_1</v>
      </c>
      <c r="L26" s="99" t="str">
        <f>INDEX(Tableau5[Att1],MATCH(Tableau3[[#This Row],[ID-SIG]],Tableau5[ID],0))&amp;""</f>
        <v>TE_OuvCmd</v>
      </c>
      <c r="M26" s="99" t="str">
        <f>INDEX(Tableau5[Att2],MATCH(Tableau3[[#This Row],[ID-SIG]],Tableau5[ID],0))&amp;""</f>
        <v/>
      </c>
      <c r="N26" s="99" t="str">
        <f>INDEX(Tableau5[Att3],MATCH(Tableau3[[#This Row],[ID-SIG]],Tableau5[ID],0))&amp;""</f>
        <v/>
      </c>
      <c r="O26" s="99"/>
      <c r="P26" s="99" t="str">
        <f>INDEX(Tableau5[Description],MATCH(Tableau3[[#This Row],[ID-SIG]],Tableau5[ID],0))</f>
        <v>Commande ouverture entrée</v>
      </c>
      <c r="Q26" s="99"/>
      <c r="R26" s="103" t="str">
        <f>Tableau3[[#This Row],[Description]]</f>
        <v>Commande ouverture entrée</v>
      </c>
      <c r="U26" s="87">
        <v>1</v>
      </c>
      <c r="V26" s="87">
        <v>1</v>
      </c>
      <c r="W26" s="87">
        <v>6</v>
      </c>
      <c r="X26" s="87">
        <v>0</v>
      </c>
      <c r="Y26" s="41"/>
      <c r="Z26" s="165" t="str">
        <f>INDEX(Tableau2[TS],MATCH(Tableau3[[#This Row],[ID-CARTEVOIE]],Tableau2[ID-CARTEVOIE],0))</f>
        <v>ST</v>
      </c>
      <c r="AA26" s="53" t="s">
        <v>213</v>
      </c>
      <c r="AB26" s="223" t="str">
        <f>IFERROR(INDEX(Tableau5[Reserve],MATCH(Tableau3[[#This Row],[ID-SIG]],Tableau5[ID],0))&amp;"","")</f>
        <v/>
      </c>
      <c r="AC26" s="21"/>
      <c r="AD26" s="108" t="str">
        <f>INDEX(Tableau7[Repere],MATCH(Tableau3[[#This Row],[ID-API]],Tableau7[ID-API],0))&amp;""</f>
        <v>A1</v>
      </c>
      <c r="AE26" s="108" t="str">
        <f>INDEX(Tableau1[Repere-Rack],MATCH(Tableau3[[#This Row],[ID-RACK]],Tableau1[ID-RACK],0))&amp;""</f>
        <v>R1</v>
      </c>
      <c r="AF26" s="108" t="str">
        <f>INDEX(Tableau1[Repere-Slot],MATCH(Tableau3[[#This Row],[ID-SLOT]],Tableau1[ID-SLOT],0))&amp;""</f>
        <v>S6</v>
      </c>
      <c r="AG26" s="108" t="str">
        <f>INDEX(Tableau2[Repere-Voie],MATCH(Tableau3[[#This Row],[ID-VOIE]],Tableau2[ID-Voie],0))&amp;""</f>
        <v>v0</v>
      </c>
      <c r="AH26" s="72" t="str">
        <f>Tableau3[[#This Row],[ID-API]]&amp; "." &amp;Tableau3[[#This Row],[ID-RACK]]&amp; "." &amp;Tableau3[[#This Row],[ID-SLOT]]</f>
        <v>1.1.6</v>
      </c>
      <c r="AI26" s="72" t="str">
        <f>INDEX(Tableau1[Ref-Carte],MATCH(Tableau3[[#This Row],[ID-RRS]],Tableau1[ID-RRS],0))</f>
        <v>SDO0802</v>
      </c>
      <c r="AJ26" s="72" t="str">
        <f t="array" ref="AJ26">IFERROR(INDEX(Tableau2[TS],MATCH(1,(Tableau2[Ref-Carte]=Tableau3[[#This Row],[Ref-Carte2]])*(Tableau2[ID-Voie]=Tableau3[[#This Row],[ID-VOIE]]),0)),"")</f>
        <v>ST</v>
      </c>
      <c r="AK26" s="72" t="str">
        <f>IFERROR(INDEX(Tableau2[TS],SUMPRODUCT((Tableau2[Ref-Carte]=Tableau3[[#This Row],[Ref-Carte2]])*(Tableau2[ID-Voie]=Tableau3[[#This Row],[ID-VOIE]])*ROW(Tableau2[TS]))-ROW(Tableau2[#Headers])),"")</f>
        <v>ST</v>
      </c>
      <c r="AL26" s="72" t="str">
        <f>Tableau3[[#This Row],[Ref-Carte2]]&amp;"/"&amp;Tableau3[[#This Row],[ID-VOIE]]</f>
        <v>SDO0802/0</v>
      </c>
      <c r="AM26" s="73" t="str">
        <f>INDEX(Tableau2[Borne],MATCH(Tableau3[[#This Row],[ID-CARTEVOIE]],Tableau2[ID-CARTEVOIE],0))&amp;""</f>
        <v>0</v>
      </c>
      <c r="AN26" s="74" t="str">
        <f>Tableau3[[#This Row],[ID-API]]&amp;Tableau3[[#This Row],[ID-RACK]]&amp;Tableau3[[#This Row],[ID-SLOT]]&amp;Tableau3[[#This Row],[BORNE]]</f>
        <v>1160</v>
      </c>
      <c r="AO26" s="1"/>
    </row>
    <row r="27" spans="1:41" ht="20.100000000000001" customHeight="1" thickTop="1" thickBot="1">
      <c r="A27" s="68"/>
      <c r="B27" s="69" t="str">
        <f>IFERROR(INDEX(Tableau4[Date],MATCH($A27,Tableau4[EVO],0)),"")</f>
        <v/>
      </c>
      <c r="C27" s="68" t="str">
        <f>IFERROR(INDEX(Tableau4[Designation],MATCH($A27,Tableau4[EVO],0)),"")</f>
        <v/>
      </c>
      <c r="D27" s="68"/>
      <c r="E27" s="70">
        <v>52</v>
      </c>
      <c r="F27" s="71">
        <v>53</v>
      </c>
      <c r="G27" s="101" t="str">
        <f>INDEX(Tableau8[Att1],MATCH(Tableau3[[#This Row],[ID-INS]],Tableau8[ID],0))&amp;""</f>
        <v>B22</v>
      </c>
      <c r="H27" s="101" t="str">
        <f>INDEX(Tableau8[Att2],MATCH(Tableau3[[#This Row],[ID-INS]],Tableau8[ID],0))&amp;""</f>
        <v>PMR2</v>
      </c>
      <c r="I27" s="101" t="str">
        <f>INDEX(Tableau8[Att3],MATCH(Tableau3[[#This Row],[ID-INS]],Tableau8[ID],0))&amp;""</f>
        <v>PMR2</v>
      </c>
      <c r="J27" s="101"/>
      <c r="K27" s="167" t="str">
        <f>INDEX(Tableau8[Nom du modele],MATCH(Tableau3[[#This Row],[ID-INS]],Tableau8[ID],0))&amp;""</f>
        <v>PMR_1</v>
      </c>
      <c r="L27" s="99" t="str">
        <f>INDEX(Tableau5[Att1],MATCH(Tableau3[[#This Row],[ID-SIG]],Tableau5[ID],0))&amp;""</f>
        <v>TS_OuvCmd1</v>
      </c>
      <c r="M27" s="99" t="str">
        <f>INDEX(Tableau5[Att2],MATCH(Tableau3[[#This Row],[ID-SIG]],Tableau5[ID],0))&amp;""</f>
        <v/>
      </c>
      <c r="N27" s="99" t="str">
        <f>INDEX(Tableau5[Att3],MATCH(Tableau3[[#This Row],[ID-SIG]],Tableau5[ID],0))&amp;""</f>
        <v/>
      </c>
      <c r="O27" s="99"/>
      <c r="P27" s="99" t="str">
        <f>INDEX(Tableau5[Description],MATCH(Tableau3[[#This Row],[ID-SIG]],Tableau5[ID],0))</f>
        <v>Commande 1 ouverture sortie</v>
      </c>
      <c r="Q27" s="99"/>
      <c r="R27" s="103" t="str">
        <f>Tableau3[[#This Row],[Description]]</f>
        <v>Commande 1 ouverture sortie</v>
      </c>
      <c r="U27" s="87">
        <v>1</v>
      </c>
      <c r="V27" s="87">
        <v>1</v>
      </c>
      <c r="W27" s="87">
        <v>6</v>
      </c>
      <c r="X27" s="87">
        <v>1</v>
      </c>
      <c r="Y27" s="41"/>
      <c r="Z27" s="165" t="str">
        <f>INDEX(Tableau2[TS],MATCH(Tableau3[[#This Row],[ID-CARTEVOIE]],Tableau2[ID-CARTEVOIE],0))</f>
        <v>ST</v>
      </c>
      <c r="AA27" s="53" t="s">
        <v>213</v>
      </c>
      <c r="AB27" s="223" t="str">
        <f>IFERROR(INDEX(Tableau5[Reserve],MATCH(Tableau3[[#This Row],[ID-SIG]],Tableau5[ID],0))&amp;"","")</f>
        <v/>
      </c>
      <c r="AC27" s="21"/>
      <c r="AD27" s="108" t="str">
        <f>INDEX(Tableau7[Repere],MATCH(Tableau3[[#This Row],[ID-API]],Tableau7[ID-API],0))&amp;""</f>
        <v>A1</v>
      </c>
      <c r="AE27" s="108" t="str">
        <f>INDEX(Tableau1[Repere-Rack],MATCH(Tableau3[[#This Row],[ID-RACK]],Tableau1[ID-RACK],0))&amp;""</f>
        <v>R1</v>
      </c>
      <c r="AF27" s="108" t="str">
        <f>INDEX(Tableau1[Repere-Slot],MATCH(Tableau3[[#This Row],[ID-SLOT]],Tableau1[ID-SLOT],0))&amp;""</f>
        <v>S6</v>
      </c>
      <c r="AG27" s="108" t="str">
        <f>INDEX(Tableau2[Repere-Voie],MATCH(Tableau3[[#This Row],[ID-VOIE]],Tableau2[ID-Voie],0))&amp;""</f>
        <v>v1</v>
      </c>
      <c r="AH27" s="72" t="str">
        <f>Tableau3[[#This Row],[ID-API]]&amp; "." &amp;Tableau3[[#This Row],[ID-RACK]]&amp; "." &amp;Tableau3[[#This Row],[ID-SLOT]]</f>
        <v>1.1.6</v>
      </c>
      <c r="AI27" s="72" t="str">
        <f>INDEX(Tableau1[Ref-Carte],MATCH(Tableau3[[#This Row],[ID-RRS]],Tableau1[ID-RRS],0))</f>
        <v>SDO0802</v>
      </c>
      <c r="AJ27" s="72" t="str">
        <f t="array" ref="AJ27">IFERROR(INDEX(Tableau2[TS],MATCH(1,(Tableau2[Ref-Carte]=Tableau3[[#This Row],[Ref-Carte2]])*(Tableau2[ID-Voie]=Tableau3[[#This Row],[ID-VOIE]]),0)),"")</f>
        <v>ST</v>
      </c>
      <c r="AK27" s="72" t="str">
        <f>IFERROR(INDEX(Tableau2[TS],SUMPRODUCT((Tableau2[Ref-Carte]=Tableau3[[#This Row],[Ref-Carte2]])*(Tableau2[ID-Voie]=Tableau3[[#This Row],[ID-VOIE]])*ROW(Tableau2[TS]))-ROW(Tableau2[#Headers])),"")</f>
        <v>ST</v>
      </c>
      <c r="AL27" s="72" t="str">
        <f>Tableau3[[#This Row],[Ref-Carte2]]&amp;"/"&amp;Tableau3[[#This Row],[ID-VOIE]]</f>
        <v>SDO0802/1</v>
      </c>
      <c r="AM27" s="73" t="str">
        <f>INDEX(Tableau2[Borne],MATCH(Tableau3[[#This Row],[ID-CARTEVOIE]],Tableau2[ID-CARTEVOIE],0))&amp;""</f>
        <v>1</v>
      </c>
      <c r="AN27" s="74" t="str">
        <f>Tableau3[[#This Row],[ID-API]]&amp;Tableau3[[#This Row],[ID-RACK]]&amp;Tableau3[[#This Row],[ID-SLOT]]&amp;Tableau3[[#This Row],[BORNE]]</f>
        <v>1161</v>
      </c>
      <c r="AO27" s="1"/>
    </row>
    <row r="28" spans="1:41" ht="20.100000000000001" customHeight="1" thickTop="1" thickBot="1">
      <c r="A28" s="68"/>
      <c r="B28" s="69" t="str">
        <f>IFERROR(INDEX(Tableau4[Date],MATCH($A28,Tableau4[EVO],0)),"")</f>
        <v/>
      </c>
      <c r="C28" s="68" t="str">
        <f>IFERROR(INDEX(Tableau4[Designation],MATCH($A28,Tableau4[EVO],0)),"")</f>
        <v/>
      </c>
      <c r="D28" s="68"/>
      <c r="E28" s="70">
        <v>52</v>
      </c>
      <c r="F28" s="71">
        <v>54</v>
      </c>
      <c r="G28" s="101" t="str">
        <f>INDEX(Tableau8[Att1],MATCH(Tableau3[[#This Row],[ID-INS]],Tableau8[ID],0))&amp;""</f>
        <v>B22</v>
      </c>
      <c r="H28" s="101" t="str">
        <f>INDEX(Tableau8[Att2],MATCH(Tableau3[[#This Row],[ID-INS]],Tableau8[ID],0))&amp;""</f>
        <v>PMR2</v>
      </c>
      <c r="I28" s="101" t="str">
        <f>INDEX(Tableau8[Att3],MATCH(Tableau3[[#This Row],[ID-INS]],Tableau8[ID],0))&amp;""</f>
        <v>PMR2</v>
      </c>
      <c r="J28" s="101"/>
      <c r="K28" s="167" t="str">
        <f>INDEX(Tableau8[Nom du modele],MATCH(Tableau3[[#This Row],[ID-INS]],Tableau8[ID],0))&amp;""</f>
        <v>PMR_1</v>
      </c>
      <c r="L28" s="99" t="str">
        <f>INDEX(Tableau5[Att1],MATCH(Tableau3[[#This Row],[ID-SIG]],Tableau5[ID],0))&amp;""</f>
        <v>TE_PictoAutor</v>
      </c>
      <c r="M28" s="99" t="str">
        <f>INDEX(Tableau5[Att2],MATCH(Tableau3[[#This Row],[ID-SIG]],Tableau5[ID],0))&amp;""</f>
        <v/>
      </c>
      <c r="N28" s="99" t="str">
        <f>INDEX(Tableau5[Att3],MATCH(Tableau3[[#This Row],[ID-SIG]],Tableau5[ID],0))&amp;""</f>
        <v/>
      </c>
      <c r="O28" s="99"/>
      <c r="P28" s="99" t="str">
        <f>INDEX(Tableau5[Description],MATCH(Tableau3[[#This Row],[ID-SIG]],Tableau5[ID],0))</f>
        <v>Commande Picto entrée</v>
      </c>
      <c r="Q28" s="99"/>
      <c r="R28" s="103" t="str">
        <f>Tableau3[[#This Row],[Description]]</f>
        <v>Commande Picto entrée</v>
      </c>
      <c r="U28" s="87">
        <v>1</v>
      </c>
      <c r="V28" s="87">
        <v>1</v>
      </c>
      <c r="W28" s="87">
        <v>6</v>
      </c>
      <c r="X28" s="87">
        <v>2</v>
      </c>
      <c r="Y28" s="41"/>
      <c r="Z28" s="165" t="str">
        <f>INDEX(Tableau2[TS],MATCH(Tableau3[[#This Row],[ID-CARTEVOIE]],Tableau2[ID-CARTEVOIE],0))</f>
        <v>ST</v>
      </c>
      <c r="AA28" s="53" t="s">
        <v>213</v>
      </c>
      <c r="AB28" s="223" t="str">
        <f>IFERROR(INDEX(Tableau5[Reserve],MATCH(Tableau3[[#This Row],[ID-SIG]],Tableau5[ID],0))&amp;"","")</f>
        <v/>
      </c>
      <c r="AC28" s="21"/>
      <c r="AD28" s="108" t="str">
        <f>INDEX(Tableau7[Repere],MATCH(Tableau3[[#This Row],[ID-API]],Tableau7[ID-API],0))&amp;""</f>
        <v>A1</v>
      </c>
      <c r="AE28" s="108" t="str">
        <f>INDEX(Tableau1[Repere-Rack],MATCH(Tableau3[[#This Row],[ID-RACK]],Tableau1[ID-RACK],0))&amp;""</f>
        <v>R1</v>
      </c>
      <c r="AF28" s="108" t="str">
        <f>INDEX(Tableau1[Repere-Slot],MATCH(Tableau3[[#This Row],[ID-SLOT]],Tableau1[ID-SLOT],0))&amp;""</f>
        <v>S6</v>
      </c>
      <c r="AG28" s="108" t="str">
        <f>INDEX(Tableau2[Repere-Voie],MATCH(Tableau3[[#This Row],[ID-VOIE]],Tableau2[ID-Voie],0))&amp;""</f>
        <v>v2</v>
      </c>
      <c r="AH28" s="72" t="str">
        <f>Tableau3[[#This Row],[ID-API]]&amp; "." &amp;Tableau3[[#This Row],[ID-RACK]]&amp; "." &amp;Tableau3[[#This Row],[ID-SLOT]]</f>
        <v>1.1.6</v>
      </c>
      <c r="AI28" s="72" t="str">
        <f>INDEX(Tableau1[Ref-Carte],MATCH(Tableau3[[#This Row],[ID-RRS]],Tableau1[ID-RRS],0))</f>
        <v>SDO0802</v>
      </c>
      <c r="AJ28" s="72" t="str">
        <f t="array" ref="AJ28">IFERROR(INDEX(Tableau2[TS],MATCH(1,(Tableau2[Ref-Carte]=Tableau3[[#This Row],[Ref-Carte2]])*(Tableau2[ID-Voie]=Tableau3[[#This Row],[ID-VOIE]]),0)),"")</f>
        <v>ST</v>
      </c>
      <c r="AK28" s="72" t="str">
        <f>IFERROR(INDEX(Tableau2[TS],SUMPRODUCT((Tableau2[Ref-Carte]=Tableau3[[#This Row],[Ref-Carte2]])*(Tableau2[ID-Voie]=Tableau3[[#This Row],[ID-VOIE]])*ROW(Tableau2[TS]))-ROW(Tableau2[#Headers])),"")</f>
        <v>ST</v>
      </c>
      <c r="AL28" s="72" t="str">
        <f>Tableau3[[#This Row],[Ref-Carte2]]&amp;"/"&amp;Tableau3[[#This Row],[ID-VOIE]]</f>
        <v>SDO0802/2</v>
      </c>
      <c r="AM28" s="73" t="str">
        <f>INDEX(Tableau2[Borne],MATCH(Tableau3[[#This Row],[ID-CARTEVOIE]],Tableau2[ID-CARTEVOIE],0))&amp;""</f>
        <v>2</v>
      </c>
      <c r="AN28" s="74" t="str">
        <f>Tableau3[[#This Row],[ID-API]]&amp;Tableau3[[#This Row],[ID-RACK]]&amp;Tableau3[[#This Row],[ID-SLOT]]&amp;Tableau3[[#This Row],[BORNE]]</f>
        <v>1162</v>
      </c>
      <c r="AO28" s="1"/>
    </row>
    <row r="29" spans="1:41" ht="20.100000000000001" customHeight="1" thickTop="1" thickBot="1">
      <c r="A29" s="68"/>
      <c r="B29" s="69" t="str">
        <f>IFERROR(INDEX(Tableau4[Date],MATCH($A29,Tableau4[EVO],0)),"")</f>
        <v/>
      </c>
      <c r="C29" s="68" t="str">
        <f>IFERROR(INDEX(Tableau4[Designation],MATCH($A29,Tableau4[EVO],0)),"")</f>
        <v/>
      </c>
      <c r="D29" s="68"/>
      <c r="E29" s="70">
        <v>52</v>
      </c>
      <c r="F29" s="71">
        <v>55</v>
      </c>
      <c r="G29" s="101" t="str">
        <f>INDEX(Tableau8[Att1],MATCH(Tableau3[[#This Row],[ID-INS]],Tableau8[ID],0))&amp;""</f>
        <v>B22</v>
      </c>
      <c r="H29" s="101" t="str">
        <f>INDEX(Tableau8[Att2],MATCH(Tableau3[[#This Row],[ID-INS]],Tableau8[ID],0))&amp;""</f>
        <v>PMR2</v>
      </c>
      <c r="I29" s="101" t="str">
        <f>INDEX(Tableau8[Att3],MATCH(Tableau3[[#This Row],[ID-INS]],Tableau8[ID],0))&amp;""</f>
        <v>PMR2</v>
      </c>
      <c r="J29" s="101"/>
      <c r="K29" s="167" t="str">
        <f>INDEX(Tableau8[Nom du modele],MATCH(Tableau3[[#This Row],[ID-INS]],Tableau8[ID],0))&amp;""</f>
        <v>PMR_1</v>
      </c>
      <c r="L29" s="99" t="str">
        <f>INDEX(Tableau5[Att1],MATCH(Tableau3[[#This Row],[ID-SIG]],Tableau5[ID],0))&amp;""</f>
        <v>TS_PictoAutor</v>
      </c>
      <c r="M29" s="99" t="str">
        <f>INDEX(Tableau5[Att2],MATCH(Tableau3[[#This Row],[ID-SIG]],Tableau5[ID],0))&amp;""</f>
        <v/>
      </c>
      <c r="N29" s="99" t="str">
        <f>INDEX(Tableau5[Att3],MATCH(Tableau3[[#This Row],[ID-SIG]],Tableau5[ID],0))&amp;""</f>
        <v/>
      </c>
      <c r="O29" s="99"/>
      <c r="P29" s="99" t="str">
        <f>INDEX(Tableau5[Description],MATCH(Tableau3[[#This Row],[ID-SIG]],Tableau5[ID],0))</f>
        <v>Commande Picto sortie</v>
      </c>
      <c r="Q29" s="99"/>
      <c r="R29" s="103" t="str">
        <f>Tableau3[[#This Row],[Description]]</f>
        <v>Commande Picto sortie</v>
      </c>
      <c r="U29" s="87">
        <v>1</v>
      </c>
      <c r="V29" s="87">
        <v>1</v>
      </c>
      <c r="W29" s="87">
        <v>6</v>
      </c>
      <c r="X29" s="87">
        <v>3</v>
      </c>
      <c r="Y29" s="41"/>
      <c r="Z29" s="165" t="str">
        <f>INDEX(Tableau2[TS],MATCH(Tableau3[[#This Row],[ID-CARTEVOIE]],Tableau2[ID-CARTEVOIE],0))</f>
        <v>ST</v>
      </c>
      <c r="AA29" s="53" t="s">
        <v>213</v>
      </c>
      <c r="AB29" s="223" t="str">
        <f>IFERROR(INDEX(Tableau5[Reserve],MATCH(Tableau3[[#This Row],[ID-SIG]],Tableau5[ID],0))&amp;"","")</f>
        <v/>
      </c>
      <c r="AC29" s="21"/>
      <c r="AD29" s="108" t="str">
        <f>INDEX(Tableau7[Repere],MATCH(Tableau3[[#This Row],[ID-API]],Tableau7[ID-API],0))&amp;""</f>
        <v>A1</v>
      </c>
      <c r="AE29" s="108" t="str">
        <f>INDEX(Tableau1[Repere-Rack],MATCH(Tableau3[[#This Row],[ID-RACK]],Tableau1[ID-RACK],0))&amp;""</f>
        <v>R1</v>
      </c>
      <c r="AF29" s="108" t="str">
        <f>INDEX(Tableau1[Repere-Slot],MATCH(Tableau3[[#This Row],[ID-SLOT]],Tableau1[ID-SLOT],0))&amp;""</f>
        <v>S6</v>
      </c>
      <c r="AG29" s="108" t="str">
        <f>INDEX(Tableau2[Repere-Voie],MATCH(Tableau3[[#This Row],[ID-VOIE]],Tableau2[ID-Voie],0))&amp;""</f>
        <v>v3</v>
      </c>
      <c r="AH29" s="72" t="str">
        <f>Tableau3[[#This Row],[ID-API]]&amp; "." &amp;Tableau3[[#This Row],[ID-RACK]]&amp; "." &amp;Tableau3[[#This Row],[ID-SLOT]]</f>
        <v>1.1.6</v>
      </c>
      <c r="AI29" s="72" t="str">
        <f>INDEX(Tableau1[Ref-Carte],MATCH(Tableau3[[#This Row],[ID-RRS]],Tableau1[ID-RRS],0))</f>
        <v>SDO0802</v>
      </c>
      <c r="AJ29" s="72" t="str">
        <f t="array" ref="AJ29">IFERROR(INDEX(Tableau2[TS],MATCH(1,(Tableau2[Ref-Carte]=Tableau3[[#This Row],[Ref-Carte2]])*(Tableau2[ID-Voie]=Tableau3[[#This Row],[ID-VOIE]]),0)),"")</f>
        <v>ST</v>
      </c>
      <c r="AK29" s="72" t="str">
        <f>IFERROR(INDEX(Tableau2[TS],SUMPRODUCT((Tableau2[Ref-Carte]=Tableau3[[#This Row],[Ref-Carte2]])*(Tableau2[ID-Voie]=Tableau3[[#This Row],[ID-VOIE]])*ROW(Tableau2[TS]))-ROW(Tableau2[#Headers])),"")</f>
        <v>ST</v>
      </c>
      <c r="AL29" s="72" t="str">
        <f>Tableau3[[#This Row],[Ref-Carte2]]&amp;"/"&amp;Tableau3[[#This Row],[ID-VOIE]]</f>
        <v>SDO0802/3</v>
      </c>
      <c r="AM29" s="73" t="str">
        <f>INDEX(Tableau2[Borne],MATCH(Tableau3[[#This Row],[ID-CARTEVOIE]],Tableau2[ID-CARTEVOIE],0))&amp;""</f>
        <v>3</v>
      </c>
      <c r="AN29" s="74" t="str">
        <f>Tableau3[[#This Row],[ID-API]]&amp;Tableau3[[#This Row],[ID-RACK]]&amp;Tableau3[[#This Row],[ID-SLOT]]&amp;Tableau3[[#This Row],[BORNE]]</f>
        <v>1163</v>
      </c>
      <c r="AO29" s="1"/>
    </row>
    <row r="30" spans="1:41" ht="20.100000000000001" customHeight="1" thickTop="1" thickBot="1">
      <c r="A30" s="68"/>
      <c r="B30" s="69" t="str">
        <f>IFERROR(INDEX(Tableau4[Date],MATCH($A30,Tableau4[EVO],0)),"")</f>
        <v/>
      </c>
      <c r="C30" s="68" t="str">
        <f>IFERROR(INDEX(Tableau4[Designation],MATCH($A30,Tableau4[EVO],0)),"")</f>
        <v/>
      </c>
      <c r="D30" s="68"/>
      <c r="E30" s="70">
        <v>57</v>
      </c>
      <c r="F30" s="71">
        <v>30</v>
      </c>
      <c r="G30" s="101" t="str">
        <f>INDEX(Tableau8[Att1],MATCH(Tableau3[[#This Row],[ID-INS]],Tableau8[ID],0))&amp;""</f>
        <v>GR</v>
      </c>
      <c r="H30" s="101" t="str">
        <f>INDEX(Tableau8[Att2],MATCH(Tableau3[[#This Row],[ID-INS]],Tableau8[ID],0))&amp;""</f>
        <v>TRSD2</v>
      </c>
      <c r="I30" s="101" t="str">
        <f>INDEX(Tableau8[Att3],MATCH(Tableau3[[#This Row],[ID-INS]],Tableau8[ID],0))&amp;""</f>
        <v>Tourniquet TRSD2</v>
      </c>
      <c r="J30" s="101"/>
      <c r="K30" s="167" t="str">
        <f>INDEX(Tableau8[Nom du modele],MATCH(Tableau3[[#This Row],[ID-INS]],Tableau8[ID],0))&amp;""</f>
        <v>TRSD_1</v>
      </c>
      <c r="L30" s="99" t="str">
        <f>INDEX(Tableau5[Att1],MATCH(Tableau3[[#This Row],[ID-SIG]],Tableau5[ID],0))&amp;""</f>
        <v>T2S_OuvCmd2</v>
      </c>
      <c r="M30" s="99" t="str">
        <f>INDEX(Tableau5[Att2],MATCH(Tableau3[[#This Row],[ID-SIG]],Tableau5[ID],0))&amp;""</f>
        <v/>
      </c>
      <c r="N30" s="99" t="str">
        <f>INDEX(Tableau5[Att3],MATCH(Tableau3[[#This Row],[ID-SIG]],Tableau5[ID],0))&amp;""</f>
        <v/>
      </c>
      <c r="O30" s="99"/>
      <c r="P30" s="99" t="str">
        <f>INDEX(Tableau5[Description],MATCH(Tableau3[[#This Row],[ID-SIG]],Tableau5[ID],0))</f>
        <v>Commande 2 ouverture sortie 2</v>
      </c>
      <c r="Q30" s="99"/>
      <c r="R30" s="103" t="str">
        <f>Tableau3[[#This Row],[Description]]</f>
        <v>Commande 2 ouverture sortie 2</v>
      </c>
      <c r="U30" s="87">
        <v>1</v>
      </c>
      <c r="V30" s="87">
        <v>1</v>
      </c>
      <c r="W30" s="87">
        <v>6</v>
      </c>
      <c r="X30" s="87">
        <v>4</v>
      </c>
      <c r="Y30" s="41"/>
      <c r="Z30" s="165" t="str">
        <f>INDEX(Tableau2[TS],MATCH(Tableau3[[#This Row],[ID-CARTEVOIE]],Tableau2[ID-CARTEVOIE],0))</f>
        <v>ST</v>
      </c>
      <c r="AA30" s="53" t="s">
        <v>213</v>
      </c>
      <c r="AB30" s="223" t="str">
        <f>IFERROR(INDEX(Tableau5[Reserve],MATCH(Tableau3[[#This Row],[ID-SIG]],Tableau5[ID],0))&amp;"","")</f>
        <v/>
      </c>
      <c r="AC30" s="21"/>
      <c r="AD30" s="108" t="str">
        <f>INDEX(Tableau7[Repere],MATCH(Tableau3[[#This Row],[ID-API]],Tableau7[ID-API],0))&amp;""</f>
        <v>A1</v>
      </c>
      <c r="AE30" s="108" t="str">
        <f>INDEX(Tableau1[Repere-Rack],MATCH(Tableau3[[#This Row],[ID-RACK]],Tableau1[ID-RACK],0))&amp;""</f>
        <v>R1</v>
      </c>
      <c r="AF30" s="108" t="str">
        <f>INDEX(Tableau1[Repere-Slot],MATCH(Tableau3[[#This Row],[ID-SLOT]],Tableau1[ID-SLOT],0))&amp;""</f>
        <v>S6</v>
      </c>
      <c r="AG30" s="108" t="str">
        <f>INDEX(Tableau2[Repere-Voie],MATCH(Tableau3[[#This Row],[ID-VOIE]],Tableau2[ID-Voie],0))&amp;""</f>
        <v>v4</v>
      </c>
      <c r="AH30" s="72" t="str">
        <f>Tableau3[[#This Row],[ID-API]]&amp; "." &amp;Tableau3[[#This Row],[ID-RACK]]&amp; "." &amp;Tableau3[[#This Row],[ID-SLOT]]</f>
        <v>1.1.6</v>
      </c>
      <c r="AI30" s="72" t="str">
        <f>INDEX(Tableau1[Ref-Carte],MATCH(Tableau3[[#This Row],[ID-RRS]],Tableau1[ID-RRS],0))</f>
        <v>SDO0802</v>
      </c>
      <c r="AJ30" s="72" t="str">
        <f t="array" ref="AJ30">IFERROR(INDEX(Tableau2[TS],MATCH(1,(Tableau2[Ref-Carte]=Tableau3[[#This Row],[Ref-Carte2]])*(Tableau2[ID-Voie]=Tableau3[[#This Row],[ID-VOIE]]),0)),"")</f>
        <v>ST</v>
      </c>
      <c r="AK30" s="72" t="str">
        <f>IFERROR(INDEX(Tableau2[TS],SUMPRODUCT((Tableau2[Ref-Carte]=Tableau3[[#This Row],[Ref-Carte2]])*(Tableau2[ID-Voie]=Tableau3[[#This Row],[ID-VOIE]])*ROW(Tableau2[TS]))-ROW(Tableau2[#Headers])),"")</f>
        <v>ST</v>
      </c>
      <c r="AL30" s="72" t="str">
        <f>Tableau3[[#This Row],[Ref-Carte2]]&amp;"/"&amp;Tableau3[[#This Row],[ID-VOIE]]</f>
        <v>SDO0802/4</v>
      </c>
      <c r="AM30" s="73" t="str">
        <f>INDEX(Tableau2[Borne],MATCH(Tableau3[[#This Row],[ID-CARTEVOIE]],Tableau2[ID-CARTEVOIE],0))&amp;""</f>
        <v>4</v>
      </c>
      <c r="AN30" s="74" t="str">
        <f>Tableau3[[#This Row],[ID-API]]&amp;Tableau3[[#This Row],[ID-RACK]]&amp;Tableau3[[#This Row],[ID-SLOT]]&amp;Tableau3[[#This Row],[BORNE]]</f>
        <v>1164</v>
      </c>
      <c r="AO30" s="1"/>
    </row>
    <row r="31" spans="1:41" ht="20.100000000000001" customHeight="1" thickTop="1" thickBot="1">
      <c r="A31" s="68"/>
      <c r="B31" s="69" t="str">
        <f>IFERROR(INDEX(Tableau4[Date],MATCH($A31,Tableau4[EVO],0)),"")</f>
        <v/>
      </c>
      <c r="C31" s="68" t="str">
        <f>IFERROR(INDEX(Tableau4[Designation],MATCH($A31,Tableau4[EVO],0)),"")</f>
        <v/>
      </c>
      <c r="D31" s="68"/>
      <c r="E31" s="70">
        <v>57</v>
      </c>
      <c r="F31" s="71">
        <v>32</v>
      </c>
      <c r="G31" s="101" t="str">
        <f>INDEX(Tableau8[Att1],MATCH(Tableau3[[#This Row],[ID-INS]],Tableau8[ID],0))&amp;""</f>
        <v>GR</v>
      </c>
      <c r="H31" s="101" t="str">
        <f>INDEX(Tableau8[Att2],MATCH(Tableau3[[#This Row],[ID-INS]],Tableau8[ID],0))&amp;""</f>
        <v>TRSD2</v>
      </c>
      <c r="I31" s="101" t="str">
        <f>INDEX(Tableau8[Att3],MATCH(Tableau3[[#This Row],[ID-INS]],Tableau8[ID],0))&amp;""</f>
        <v>Tourniquet TRSD2</v>
      </c>
      <c r="J31" s="101"/>
      <c r="K31" s="167" t="str">
        <f>INDEX(Tableau8[Nom du modele],MATCH(Tableau3[[#This Row],[ID-INS]],Tableau8[ID],0))&amp;""</f>
        <v>TRSD_1</v>
      </c>
      <c r="L31" s="99" t="str">
        <f>INDEX(Tableau5[Att1],MATCH(Tableau3[[#This Row],[ID-SIG]],Tableau5[ID],0))&amp;""</f>
        <v>T1E_OuvCmd</v>
      </c>
      <c r="M31" s="99" t="str">
        <f>INDEX(Tableau5[Att2],MATCH(Tableau3[[#This Row],[ID-SIG]],Tableau5[ID],0))&amp;""</f>
        <v/>
      </c>
      <c r="N31" s="99" t="str">
        <f>INDEX(Tableau5[Att3],MATCH(Tableau3[[#This Row],[ID-SIG]],Tableau5[ID],0))&amp;""</f>
        <v/>
      </c>
      <c r="O31" s="99"/>
      <c r="P31" s="99" t="str">
        <f>INDEX(Tableau5[Description],MATCH(Tableau3[[#This Row],[ID-SIG]],Tableau5[ID],0))</f>
        <v>Commande ouverture entrée 1</v>
      </c>
      <c r="Q31" s="99"/>
      <c r="R31" s="103" t="str">
        <f>Tableau3[[#This Row],[Description]]</f>
        <v>Commande ouverture entrée 1</v>
      </c>
      <c r="U31" s="87">
        <v>1</v>
      </c>
      <c r="V31" s="87">
        <v>1</v>
      </c>
      <c r="W31" s="87">
        <v>6</v>
      </c>
      <c r="X31" s="87">
        <v>5</v>
      </c>
      <c r="Y31" s="41"/>
      <c r="Z31" s="165" t="str">
        <f>INDEX(Tableau2[TS],MATCH(Tableau3[[#This Row],[ID-CARTEVOIE]],Tableau2[ID-CARTEVOIE],0))</f>
        <v>ST</v>
      </c>
      <c r="AA31" s="53" t="s">
        <v>213</v>
      </c>
      <c r="AB31" s="223" t="str">
        <f>IFERROR(INDEX(Tableau5[Reserve],MATCH(Tableau3[[#This Row],[ID-SIG]],Tableau5[ID],0))&amp;"","")</f>
        <v/>
      </c>
      <c r="AC31" s="21"/>
      <c r="AD31" s="108" t="str">
        <f>INDEX(Tableau7[Repere],MATCH(Tableau3[[#This Row],[ID-API]],Tableau7[ID-API],0))&amp;""</f>
        <v>A1</v>
      </c>
      <c r="AE31" s="108" t="str">
        <f>INDEX(Tableau1[Repere-Rack],MATCH(Tableau3[[#This Row],[ID-RACK]],Tableau1[ID-RACK],0))&amp;""</f>
        <v>R1</v>
      </c>
      <c r="AF31" s="108" t="str">
        <f>INDEX(Tableau1[Repere-Slot],MATCH(Tableau3[[#This Row],[ID-SLOT]],Tableau1[ID-SLOT],0))&amp;""</f>
        <v>S6</v>
      </c>
      <c r="AG31" s="108" t="str">
        <f>INDEX(Tableau2[Repere-Voie],MATCH(Tableau3[[#This Row],[ID-VOIE]],Tableau2[ID-Voie],0))&amp;""</f>
        <v>v5</v>
      </c>
      <c r="AH31" s="72" t="str">
        <f>Tableau3[[#This Row],[ID-API]]&amp; "." &amp;Tableau3[[#This Row],[ID-RACK]]&amp; "." &amp;Tableau3[[#This Row],[ID-SLOT]]</f>
        <v>1.1.6</v>
      </c>
      <c r="AI31" s="72" t="str">
        <f>INDEX(Tableau1[Ref-Carte],MATCH(Tableau3[[#This Row],[ID-RRS]],Tableau1[ID-RRS],0))</f>
        <v>SDO0802</v>
      </c>
      <c r="AJ31" s="72" t="str">
        <f t="array" ref="AJ31">IFERROR(INDEX(Tableau2[TS],MATCH(1,(Tableau2[Ref-Carte]=Tableau3[[#This Row],[Ref-Carte2]])*(Tableau2[ID-Voie]=Tableau3[[#This Row],[ID-VOIE]]),0)),"")</f>
        <v>ST</v>
      </c>
      <c r="AK31" s="72" t="str">
        <f>IFERROR(INDEX(Tableau2[TS],SUMPRODUCT((Tableau2[Ref-Carte]=Tableau3[[#This Row],[Ref-Carte2]])*(Tableau2[ID-Voie]=Tableau3[[#This Row],[ID-VOIE]])*ROW(Tableau2[TS]))-ROW(Tableau2[#Headers])),"")</f>
        <v>ST</v>
      </c>
      <c r="AL31" s="72" t="str">
        <f>Tableau3[[#This Row],[Ref-Carte2]]&amp;"/"&amp;Tableau3[[#This Row],[ID-VOIE]]</f>
        <v>SDO0802/5</v>
      </c>
      <c r="AM31" s="73" t="str">
        <f>INDEX(Tableau2[Borne],MATCH(Tableau3[[#This Row],[ID-CARTEVOIE]],Tableau2[ID-CARTEVOIE],0))&amp;""</f>
        <v>5</v>
      </c>
      <c r="AN31" s="74" t="str">
        <f>Tableau3[[#This Row],[ID-API]]&amp;Tableau3[[#This Row],[ID-RACK]]&amp;Tableau3[[#This Row],[ID-SLOT]]&amp;Tableau3[[#This Row],[BORNE]]</f>
        <v>1165</v>
      </c>
      <c r="AO31" s="1"/>
    </row>
    <row r="32" spans="1:41" ht="20.100000000000001" customHeight="1" thickTop="1" thickBot="1">
      <c r="A32" s="68"/>
      <c r="B32" s="69" t="str">
        <f>IFERROR(INDEX(Tableau4[Date],MATCH($A32,Tableau4[EVO],0)),"")</f>
        <v/>
      </c>
      <c r="C32" s="68" t="str">
        <f>IFERROR(INDEX(Tableau4[Designation],MATCH($A32,Tableau4[EVO],0)),"")</f>
        <v/>
      </c>
      <c r="D32" s="68"/>
      <c r="E32" s="70">
        <v>57</v>
      </c>
      <c r="F32" s="71">
        <v>33</v>
      </c>
      <c r="G32" s="101" t="str">
        <f>INDEX(Tableau8[Att1],MATCH(Tableau3[[#This Row],[ID-INS]],Tableau8[ID],0))&amp;""</f>
        <v>GR</v>
      </c>
      <c r="H32" s="101" t="str">
        <f>INDEX(Tableau8[Att2],MATCH(Tableau3[[#This Row],[ID-INS]],Tableau8[ID],0))&amp;""</f>
        <v>TRSD2</v>
      </c>
      <c r="I32" s="101" t="str">
        <f>INDEX(Tableau8[Att3],MATCH(Tableau3[[#This Row],[ID-INS]],Tableau8[ID],0))&amp;""</f>
        <v>Tourniquet TRSD2</v>
      </c>
      <c r="J32" s="101"/>
      <c r="K32" s="167" t="str">
        <f>INDEX(Tableau8[Nom du modele],MATCH(Tableau3[[#This Row],[ID-INS]],Tableau8[ID],0))&amp;""</f>
        <v>TRSD_1</v>
      </c>
      <c r="L32" s="99" t="str">
        <f>INDEX(Tableau5[Att1],MATCH(Tableau3[[#This Row],[ID-SIG]],Tableau5[ID],0))&amp;""</f>
        <v>T1S_OuvCmd1</v>
      </c>
      <c r="M32" s="99" t="str">
        <f>INDEX(Tableau5[Att2],MATCH(Tableau3[[#This Row],[ID-SIG]],Tableau5[ID],0))&amp;""</f>
        <v/>
      </c>
      <c r="N32" s="99" t="str">
        <f>INDEX(Tableau5[Att3],MATCH(Tableau3[[#This Row],[ID-SIG]],Tableau5[ID],0))&amp;""</f>
        <v/>
      </c>
      <c r="O32" s="99"/>
      <c r="P32" s="99" t="str">
        <f>INDEX(Tableau5[Description],MATCH(Tableau3[[#This Row],[ID-SIG]],Tableau5[ID],0))</f>
        <v>Commande 1 ouverture sortie 1</v>
      </c>
      <c r="Q32" s="99"/>
      <c r="R32" s="103" t="str">
        <f>Tableau3[[#This Row],[Description]]</f>
        <v>Commande 1 ouverture sortie 1</v>
      </c>
      <c r="U32" s="87">
        <v>1</v>
      </c>
      <c r="V32" s="87">
        <v>1</v>
      </c>
      <c r="W32" s="87">
        <v>6</v>
      </c>
      <c r="X32" s="87">
        <v>6</v>
      </c>
      <c r="Y32" s="41"/>
      <c r="Z32" s="165" t="str">
        <f>INDEX(Tableau2[TS],MATCH(Tableau3[[#This Row],[ID-CARTEVOIE]],Tableau2[ID-CARTEVOIE],0))</f>
        <v>ST</v>
      </c>
      <c r="AA32" s="53" t="s">
        <v>213</v>
      </c>
      <c r="AB32" s="223" t="str">
        <f>IFERROR(INDEX(Tableau5[Reserve],MATCH(Tableau3[[#This Row],[ID-SIG]],Tableau5[ID],0))&amp;"","")</f>
        <v/>
      </c>
      <c r="AC32" s="21"/>
      <c r="AD32" s="108" t="str">
        <f>INDEX(Tableau7[Repere],MATCH(Tableau3[[#This Row],[ID-API]],Tableau7[ID-API],0))&amp;""</f>
        <v>A1</v>
      </c>
      <c r="AE32" s="108" t="str">
        <f>INDEX(Tableau1[Repere-Rack],MATCH(Tableau3[[#This Row],[ID-RACK]],Tableau1[ID-RACK],0))&amp;""</f>
        <v>R1</v>
      </c>
      <c r="AF32" s="108" t="str">
        <f>INDEX(Tableau1[Repere-Slot],MATCH(Tableau3[[#This Row],[ID-SLOT]],Tableau1[ID-SLOT],0))&amp;""</f>
        <v>S6</v>
      </c>
      <c r="AG32" s="108" t="str">
        <f>INDEX(Tableau2[Repere-Voie],MATCH(Tableau3[[#This Row],[ID-VOIE]],Tableau2[ID-Voie],0))&amp;""</f>
        <v>v6</v>
      </c>
      <c r="AH32" s="72" t="str">
        <f>Tableau3[[#This Row],[ID-API]]&amp; "." &amp;Tableau3[[#This Row],[ID-RACK]]&amp; "." &amp;Tableau3[[#This Row],[ID-SLOT]]</f>
        <v>1.1.6</v>
      </c>
      <c r="AI32" s="72" t="str">
        <f>INDEX(Tableau1[Ref-Carte],MATCH(Tableau3[[#This Row],[ID-RRS]],Tableau1[ID-RRS],0))</f>
        <v>SDO0802</v>
      </c>
      <c r="AJ32" s="72" t="str">
        <f t="array" ref="AJ32">IFERROR(INDEX(Tableau2[TS],MATCH(1,(Tableau2[Ref-Carte]=Tableau3[[#This Row],[Ref-Carte2]])*(Tableau2[ID-Voie]=Tableau3[[#This Row],[ID-VOIE]]),0)),"")</f>
        <v>ST</v>
      </c>
      <c r="AK32" s="72" t="str">
        <f>IFERROR(INDEX(Tableau2[TS],SUMPRODUCT((Tableau2[Ref-Carte]=Tableau3[[#This Row],[Ref-Carte2]])*(Tableau2[ID-Voie]=Tableau3[[#This Row],[ID-VOIE]])*ROW(Tableau2[TS]))-ROW(Tableau2[#Headers])),"")</f>
        <v>ST</v>
      </c>
      <c r="AL32" s="72" t="str">
        <f>Tableau3[[#This Row],[Ref-Carte2]]&amp;"/"&amp;Tableau3[[#This Row],[ID-VOIE]]</f>
        <v>SDO0802/6</v>
      </c>
      <c r="AM32" s="73" t="str">
        <f>INDEX(Tableau2[Borne],MATCH(Tableau3[[#This Row],[ID-CARTEVOIE]],Tableau2[ID-CARTEVOIE],0))&amp;""</f>
        <v>6</v>
      </c>
      <c r="AN32" s="74" t="str">
        <f>Tableau3[[#This Row],[ID-API]]&amp;Tableau3[[#This Row],[ID-RACK]]&amp;Tableau3[[#This Row],[ID-SLOT]]&amp;Tableau3[[#This Row],[BORNE]]</f>
        <v>1166</v>
      </c>
      <c r="AO32" s="1"/>
    </row>
    <row r="33" spans="1:41" ht="20.100000000000001" customHeight="1" thickTop="1" thickBot="1">
      <c r="A33" s="68"/>
      <c r="B33" s="69" t="str">
        <f>IFERROR(INDEX(Tableau4[Date],MATCH($A33,Tableau4[EVO],0)),"")</f>
        <v/>
      </c>
      <c r="C33" s="68" t="str">
        <f>IFERROR(INDEX(Tableau4[Designation],MATCH($A33,Tableau4[EVO],0)),"")</f>
        <v/>
      </c>
      <c r="D33" s="68"/>
      <c r="E33" s="70">
        <v>57</v>
      </c>
      <c r="F33" s="71">
        <v>36</v>
      </c>
      <c r="G33" s="101" t="str">
        <f>INDEX(Tableau8[Att1],MATCH(Tableau3[[#This Row],[ID-INS]],Tableau8[ID],0))&amp;""</f>
        <v>GR</v>
      </c>
      <c r="H33" s="162" t="str">
        <f>INDEX(Tableau8[Att2],MATCH(Tableau3[[#This Row],[ID-INS]],Tableau8[ID],0))&amp;""</f>
        <v>TRSD2</v>
      </c>
      <c r="I33" s="101" t="str">
        <f>INDEX(Tableau8[Att3],MATCH(Tableau3[[#This Row],[ID-INS]],Tableau8[ID],0))&amp;""</f>
        <v>Tourniquet TRSD2</v>
      </c>
      <c r="J33" s="101"/>
      <c r="K33" s="167" t="str">
        <f>INDEX(Tableau8[Nom du modele],MATCH(Tableau3[[#This Row],[ID-INS]],Tableau8[ID],0))&amp;""</f>
        <v>TRSD_1</v>
      </c>
      <c r="L33" s="99" t="str">
        <f>INDEX(Tableau5[Att1],MATCH(Tableau3[[#This Row],[ID-SIG]],Tableau5[ID],0))&amp;""</f>
        <v>T1E_PictoAutor</v>
      </c>
      <c r="M33" s="99" t="str">
        <f>INDEX(Tableau5[Att2],MATCH(Tableau3[[#This Row],[ID-SIG]],Tableau5[ID],0))&amp;""</f>
        <v/>
      </c>
      <c r="N33" s="99" t="str">
        <f>INDEX(Tableau5[Att3],MATCH(Tableau3[[#This Row],[ID-SIG]],Tableau5[ID],0))&amp;""</f>
        <v/>
      </c>
      <c r="O33" s="99"/>
      <c r="P33" s="99" t="str">
        <f>INDEX(Tableau5[Description],MATCH(Tableau3[[#This Row],[ID-SIG]],Tableau5[ID],0))</f>
        <v>Commande Picto entrée 1</v>
      </c>
      <c r="Q33" s="99"/>
      <c r="R33" s="103" t="str">
        <f>Tableau3[[#This Row],[Description]]</f>
        <v>Commande Picto entrée 1</v>
      </c>
      <c r="U33" s="87">
        <v>1</v>
      </c>
      <c r="V33" s="87">
        <v>1</v>
      </c>
      <c r="W33" s="87">
        <v>6</v>
      </c>
      <c r="X33" s="87">
        <v>7</v>
      </c>
      <c r="Y33" s="41"/>
      <c r="Z33" s="165" t="str">
        <f>INDEX(Tableau2[TS],MATCH(Tableau3[[#This Row],[ID-CARTEVOIE]],Tableau2[ID-CARTEVOIE],0))</f>
        <v>ST</v>
      </c>
      <c r="AA33" s="53" t="s">
        <v>213</v>
      </c>
      <c r="AB33" s="223" t="str">
        <f>IFERROR(INDEX(Tableau5[Reserve],MATCH(Tableau3[[#This Row],[ID-SIG]],Tableau5[ID],0))&amp;"","")</f>
        <v/>
      </c>
      <c r="AC33" s="21"/>
      <c r="AD33" s="108" t="str">
        <f>INDEX(Tableau7[Repere],MATCH(Tableau3[[#This Row],[ID-API]],Tableau7[ID-API],0))&amp;""</f>
        <v>A1</v>
      </c>
      <c r="AE33" s="108" t="str">
        <f>INDEX(Tableau1[Repere-Rack],MATCH(Tableau3[[#This Row],[ID-RACK]],Tableau1[ID-RACK],0))&amp;""</f>
        <v>R1</v>
      </c>
      <c r="AF33" s="108" t="str">
        <f>INDEX(Tableau1[Repere-Slot],MATCH(Tableau3[[#This Row],[ID-SLOT]],Tableau1[ID-SLOT],0))&amp;""</f>
        <v>S6</v>
      </c>
      <c r="AG33" s="108" t="str">
        <f>INDEX(Tableau2[Repere-Voie],MATCH(Tableau3[[#This Row],[ID-VOIE]],Tableau2[ID-Voie],0))&amp;""</f>
        <v>v7</v>
      </c>
      <c r="AH33" s="72" t="str">
        <f>Tableau3[[#This Row],[ID-API]]&amp; "." &amp;Tableau3[[#This Row],[ID-RACK]]&amp; "." &amp;Tableau3[[#This Row],[ID-SLOT]]</f>
        <v>1.1.6</v>
      </c>
      <c r="AI33" s="72" t="str">
        <f>INDEX(Tableau1[Ref-Carte],MATCH(Tableau3[[#This Row],[ID-RRS]],Tableau1[ID-RRS],0))</f>
        <v>SDO0802</v>
      </c>
      <c r="AJ33" s="72" t="str">
        <f t="array" ref="AJ33">IFERROR(INDEX(Tableau2[TS],MATCH(1,(Tableau2[Ref-Carte]=Tableau3[[#This Row],[Ref-Carte2]])*(Tableau2[ID-Voie]=Tableau3[[#This Row],[ID-VOIE]]),0)),"")</f>
        <v>ST</v>
      </c>
      <c r="AK33" s="72" t="str">
        <f>IFERROR(INDEX(Tableau2[TS],SUMPRODUCT((Tableau2[Ref-Carte]=Tableau3[[#This Row],[Ref-Carte2]])*(Tableau2[ID-Voie]=Tableau3[[#This Row],[ID-VOIE]])*ROW(Tableau2[TS]))-ROW(Tableau2[#Headers])),"")</f>
        <v>ST</v>
      </c>
      <c r="AL33" s="72" t="str">
        <f>Tableau3[[#This Row],[Ref-Carte2]]&amp;"/"&amp;Tableau3[[#This Row],[ID-VOIE]]</f>
        <v>SDO0802/7</v>
      </c>
      <c r="AM33" s="73" t="str">
        <f>INDEX(Tableau2[Borne],MATCH(Tableau3[[#This Row],[ID-CARTEVOIE]],Tableau2[ID-CARTEVOIE],0))&amp;""</f>
        <v>7</v>
      </c>
      <c r="AN33" s="74" t="str">
        <f>Tableau3[[#This Row],[ID-API]]&amp;Tableau3[[#This Row],[ID-RACK]]&amp;Tableau3[[#This Row],[ID-SLOT]]&amp;Tableau3[[#This Row],[BORNE]]</f>
        <v>1167</v>
      </c>
      <c r="AO33" s="1"/>
    </row>
    <row r="34" spans="1:41" ht="20.100000000000001" customHeight="1" thickTop="1" thickBot="1">
      <c r="A34" s="68"/>
      <c r="B34" s="69" t="str">
        <f>IFERROR(INDEX(Tableau4[Date],MATCH($A34,Tableau4[EVO],0)),"")</f>
        <v/>
      </c>
      <c r="C34" s="68" t="str">
        <f>IFERROR(INDEX(Tableau4[Designation],MATCH($A34,Tableau4[EVO],0)),"")</f>
        <v/>
      </c>
      <c r="D34" s="68"/>
      <c r="E34" s="70">
        <v>10</v>
      </c>
      <c r="F34" s="71">
        <v>183</v>
      </c>
      <c r="G34" s="101" t="str">
        <f>INDEX(Tableau8[Att1],MATCH(Tableau3[[#This Row],[ID-INS]],Tableau8[ID],0))&amp;""</f>
        <v>V5</v>
      </c>
      <c r="H34" s="101" t="str">
        <f>INDEX(Tableau8[Att2],MATCH(Tableau3[[#This Row],[ID-INS]],Tableau8[ID],0))&amp;""</f>
        <v>P10</v>
      </c>
      <c r="I34" s="101" t="str">
        <f>INDEX(Tableau8[Att3],MATCH(Tableau3[[#This Row],[ID-INS]],Tableau8[ID],0))&amp;""</f>
        <v>Portail P10</v>
      </c>
      <c r="J34" s="101"/>
      <c r="K34" s="167" t="str">
        <f>INDEX(Tableau8[Nom du modele],MATCH(Tableau3[[#This Row],[ID-INS]],Tableau8[ID],0))&amp;""</f>
        <v>PortailR2VElec</v>
      </c>
      <c r="L34" s="99" t="str">
        <f>INDEX(Tableau5[Att1],MATCH(Tableau3[[#This Row],[ID-SIG]],Tableau5[ID],0))&amp;""</f>
        <v>V1_FerRet2</v>
      </c>
      <c r="M34" s="99" t="str">
        <f>INDEX(Tableau5[Att2],MATCH(Tableau3[[#This Row],[ID-SIG]],Tableau5[ID],0))&amp;""</f>
        <v/>
      </c>
      <c r="N34" s="99" t="str">
        <f>INDEX(Tableau5[Att3],MATCH(Tableau3[[#This Row],[ID-SIG]],Tableau5[ID],0))&amp;""</f>
        <v/>
      </c>
      <c r="O34" s="99"/>
      <c r="P34" s="99" t="str">
        <f>INDEX(Tableau5[Description],MATCH(Tableau3[[#This Row],[ID-SIG]],Tableau5[ID],0))</f>
        <v>Retour de commande 2 fermeture du vantail 1</v>
      </c>
      <c r="Q34" s="99"/>
      <c r="R34" s="103" t="str">
        <f>Tableau3[[#This Row],[Description]]</f>
        <v>Retour de commande 2 fermeture du vantail 1</v>
      </c>
      <c r="S34" s="83"/>
      <c r="U34" s="87">
        <v>1</v>
      </c>
      <c r="V34" s="87">
        <v>1</v>
      </c>
      <c r="W34" s="87">
        <v>7</v>
      </c>
      <c r="X34" s="87">
        <v>0</v>
      </c>
      <c r="Y34" s="40"/>
      <c r="Z34" s="165" t="str">
        <f>INDEX(Tableau2[TS],MATCH(Tableau3[[#This Row],[ID-CARTEVOIE]],Tableau2[ID-CARTEVOIE],0))</f>
        <v>ET</v>
      </c>
      <c r="AA34" s="53" t="s">
        <v>213</v>
      </c>
      <c r="AB34" s="223" t="str">
        <f>IFERROR(INDEX(Tableau5[Reserve],MATCH(Tableau3[[#This Row],[ID-SIG]],Tableau5[ID],0))&amp;"","")</f>
        <v/>
      </c>
      <c r="AC34" s="21"/>
      <c r="AD34" s="108" t="str">
        <f>INDEX(Tableau7[Repere],MATCH(Tableau3[[#This Row],[ID-API]],Tableau7[ID-API],0))&amp;""</f>
        <v>A1</v>
      </c>
      <c r="AE34" s="108" t="str">
        <f>INDEX(Tableau1[Repere-Rack],MATCH(Tableau3[[#This Row],[ID-RACK]],Tableau1[ID-RACK],0))&amp;""</f>
        <v>R1</v>
      </c>
      <c r="AF34" s="108" t="str">
        <f>INDEX(Tableau1[Repere-Slot],MATCH(Tableau3[[#This Row],[ID-SLOT]],Tableau1[ID-SLOT],0))&amp;""</f>
        <v>S7</v>
      </c>
      <c r="AG34" s="108" t="str">
        <f>INDEX(Tableau2[Repere-Voie],MATCH(Tableau3[[#This Row],[ID-VOIE]],Tableau2[ID-Voie],0))&amp;""</f>
        <v>v0</v>
      </c>
      <c r="AH34" s="72" t="str">
        <f>Tableau3[[#This Row],[ID-API]]&amp; "." &amp;Tableau3[[#This Row],[ID-RACK]]&amp; "." &amp;Tableau3[[#This Row],[ID-SLOT]]</f>
        <v>1.1.7</v>
      </c>
      <c r="AI34" s="72" t="str">
        <f>INDEX(Tableau1[Ref-Carte],MATCH(Tableau3[[#This Row],[ID-RRS]],Tableau1[ID-RRS],0))</f>
        <v>SDI1602</v>
      </c>
      <c r="AJ34" s="72" t="str">
        <f t="array" ref="AJ34">IFERROR(INDEX(Tableau2[TS],MATCH(1,(Tableau2[Ref-Carte]=Tableau3[[#This Row],[Ref-Carte2]])*(Tableau2[ID-Voie]=Tableau3[[#This Row],[ID-VOIE]]),0)),"")</f>
        <v>ET</v>
      </c>
      <c r="AK34" s="72" t="str">
        <f>IFERROR(INDEX(Tableau2[TS],SUMPRODUCT((Tableau2[Ref-Carte]=Tableau3[[#This Row],[Ref-Carte2]])*(Tableau2[ID-Voie]=Tableau3[[#This Row],[ID-VOIE]])*ROW(Tableau2[TS]))-ROW(Tableau2[#Headers])),"")</f>
        <v>ET</v>
      </c>
      <c r="AL34" s="72" t="str">
        <f>Tableau3[[#This Row],[Ref-Carte2]]&amp;"/"&amp;Tableau3[[#This Row],[ID-VOIE]]</f>
        <v>SDI1602/0</v>
      </c>
      <c r="AM34" s="73" t="str">
        <f>INDEX(Tableau2[Borne],MATCH(Tableau3[[#This Row],[ID-CARTEVOIE]],Tableau2[ID-CARTEVOIE],0))&amp;""</f>
        <v>0B</v>
      </c>
      <c r="AN34" s="74" t="str">
        <f>Tableau3[[#This Row],[ID-API]]&amp;Tableau3[[#This Row],[ID-RACK]]&amp;Tableau3[[#This Row],[ID-SLOT]]&amp;Tableau3[[#This Row],[BORNE]]</f>
        <v>1170B</v>
      </c>
      <c r="AO34" s="1"/>
    </row>
    <row r="35" spans="1:41" ht="20.100000000000001" customHeight="1" thickTop="1" thickBot="1">
      <c r="A35" s="68"/>
      <c r="B35" s="69" t="str">
        <f>IFERROR(INDEX(Tableau4[Date],MATCH($A35,Tableau4[EVO],0)),"")</f>
        <v/>
      </c>
      <c r="C35" s="68" t="str">
        <f>IFERROR(INDEX(Tableau4[Designation],MATCH($A35,Tableau4[EVO],0)),"")</f>
        <v/>
      </c>
      <c r="D35" s="68"/>
      <c r="E35" s="70">
        <v>10</v>
      </c>
      <c r="F35" s="71">
        <v>184</v>
      </c>
      <c r="G35" s="101" t="str">
        <f>INDEX(Tableau8[Att1],MATCH(Tableau3[[#This Row],[ID-INS]],Tableau8[ID],0))&amp;""</f>
        <v>V5</v>
      </c>
      <c r="H35" s="101" t="str">
        <f>INDEX(Tableau8[Att2],MATCH(Tableau3[[#This Row],[ID-INS]],Tableau8[ID],0))&amp;""</f>
        <v>P10</v>
      </c>
      <c r="I35" s="101" t="str">
        <f>INDEX(Tableau8[Att3],MATCH(Tableau3[[#This Row],[ID-INS]],Tableau8[ID],0))&amp;""</f>
        <v>Portail P10</v>
      </c>
      <c r="J35" s="101"/>
      <c r="K35" s="167" t="str">
        <f>INDEX(Tableau8[Nom du modele],MATCH(Tableau3[[#This Row],[ID-INS]],Tableau8[ID],0))&amp;""</f>
        <v>PortailR2VElec</v>
      </c>
      <c r="L35" s="99" t="str">
        <f>INDEX(Tableau5[Att1],MATCH(Tableau3[[#This Row],[ID-SIG]],Tableau5[ID],0))&amp;""</f>
        <v>V2_FerRet1</v>
      </c>
      <c r="M35" s="99" t="str">
        <f>INDEX(Tableau5[Att2],MATCH(Tableau3[[#This Row],[ID-SIG]],Tableau5[ID],0))&amp;""</f>
        <v/>
      </c>
      <c r="N35" s="99" t="str">
        <f>INDEX(Tableau5[Att3],MATCH(Tableau3[[#This Row],[ID-SIG]],Tableau5[ID],0))&amp;""</f>
        <v/>
      </c>
      <c r="O35" s="99"/>
      <c r="P35" s="99" t="str">
        <f>INDEX(Tableau5[Description],MATCH(Tableau3[[#This Row],[ID-SIG]],Tableau5[ID],0))</f>
        <v>Retour Commande de fermeture 1 du vantail 2</v>
      </c>
      <c r="Q35" s="99"/>
      <c r="R35" s="103" t="str">
        <f>Tableau3[[#This Row],[Description]]</f>
        <v>Retour Commande de fermeture 1 du vantail 2</v>
      </c>
      <c r="S35" s="83"/>
      <c r="U35" s="87">
        <v>1</v>
      </c>
      <c r="V35" s="87">
        <v>1</v>
      </c>
      <c r="W35" s="87">
        <v>7</v>
      </c>
      <c r="X35" s="87">
        <v>1</v>
      </c>
      <c r="Y35" s="40"/>
      <c r="Z35" s="165" t="str">
        <f>INDEX(Tableau2[TS],MATCH(Tableau3[[#This Row],[ID-CARTEVOIE]],Tableau2[ID-CARTEVOIE],0))</f>
        <v>ET</v>
      </c>
      <c r="AA35" s="53" t="s">
        <v>213</v>
      </c>
      <c r="AB35" s="223" t="str">
        <f>IFERROR(INDEX(Tableau5[Reserve],MATCH(Tableau3[[#This Row],[ID-SIG]],Tableau5[ID],0))&amp;"","")</f>
        <v/>
      </c>
      <c r="AC35" s="21"/>
      <c r="AD35" s="108" t="str">
        <f>INDEX(Tableau7[Repere],MATCH(Tableau3[[#This Row],[ID-API]],Tableau7[ID-API],0))&amp;""</f>
        <v>A1</v>
      </c>
      <c r="AE35" s="108" t="str">
        <f>INDEX(Tableau1[Repere-Rack],MATCH(Tableau3[[#This Row],[ID-RACK]],Tableau1[ID-RACK],0))&amp;""</f>
        <v>R1</v>
      </c>
      <c r="AF35" s="108" t="str">
        <f>INDEX(Tableau1[Repere-Slot],MATCH(Tableau3[[#This Row],[ID-SLOT]],Tableau1[ID-SLOT],0))&amp;""</f>
        <v>S7</v>
      </c>
      <c r="AG35" s="108" t="str">
        <f>INDEX(Tableau2[Repere-Voie],MATCH(Tableau3[[#This Row],[ID-VOIE]],Tableau2[ID-Voie],0))&amp;""</f>
        <v>v1</v>
      </c>
      <c r="AH35" s="72" t="str">
        <f>Tableau3[[#This Row],[ID-API]]&amp; "." &amp;Tableau3[[#This Row],[ID-RACK]]&amp; "." &amp;Tableau3[[#This Row],[ID-SLOT]]</f>
        <v>1.1.7</v>
      </c>
      <c r="AI35" s="72" t="str">
        <f>INDEX(Tableau1[Ref-Carte],MATCH(Tableau3[[#This Row],[ID-RRS]],Tableau1[ID-RRS],0))</f>
        <v>SDI1602</v>
      </c>
      <c r="AJ35" s="72" t="str">
        <f t="array" ref="AJ35">IFERROR(INDEX(Tableau2[TS],MATCH(1,(Tableau2[Ref-Carte]=Tableau3[[#This Row],[Ref-Carte2]])*(Tableau2[ID-Voie]=Tableau3[[#This Row],[ID-VOIE]]),0)),"")</f>
        <v>ET</v>
      </c>
      <c r="AK35" s="72" t="str">
        <f>IFERROR(INDEX(Tableau2[TS],SUMPRODUCT((Tableau2[Ref-Carte]=Tableau3[[#This Row],[Ref-Carte2]])*(Tableau2[ID-Voie]=Tableau3[[#This Row],[ID-VOIE]])*ROW(Tableau2[TS]))-ROW(Tableau2[#Headers])),"")</f>
        <v>ET</v>
      </c>
      <c r="AL35" s="72" t="str">
        <f>Tableau3[[#This Row],[Ref-Carte2]]&amp;"/"&amp;Tableau3[[#This Row],[ID-VOIE]]</f>
        <v>SDI1602/1</v>
      </c>
      <c r="AM35" s="73" t="str">
        <f>INDEX(Tableau2[Borne],MATCH(Tableau3[[#This Row],[ID-CARTEVOIE]],Tableau2[ID-CARTEVOIE],0))&amp;""</f>
        <v>0A</v>
      </c>
      <c r="AN35" s="74" t="str">
        <f>Tableau3[[#This Row],[ID-API]]&amp;Tableau3[[#This Row],[ID-RACK]]&amp;Tableau3[[#This Row],[ID-SLOT]]&amp;Tableau3[[#This Row],[BORNE]]</f>
        <v>1170A</v>
      </c>
      <c r="AO35" s="1"/>
    </row>
    <row r="36" spans="1:41" ht="20.100000000000001" customHeight="1" thickTop="1" thickBot="1">
      <c r="A36" s="68"/>
      <c r="B36" s="69" t="str">
        <f>IFERROR(INDEX(Tableau4[Date],MATCH($A36,Tableau4[EVO],0)),"")</f>
        <v/>
      </c>
      <c r="C36" s="68" t="str">
        <f>IFERROR(INDEX(Tableau4[Designation],MATCH($A36,Tableau4[EVO],0)),"")</f>
        <v/>
      </c>
      <c r="D36" s="68"/>
      <c r="E36" s="70">
        <v>10</v>
      </c>
      <c r="F36" s="71">
        <v>185</v>
      </c>
      <c r="G36" s="101" t="str">
        <f>INDEX(Tableau8[Att1],MATCH(Tableau3[[#This Row],[ID-INS]],Tableau8[ID],0))&amp;""</f>
        <v>V5</v>
      </c>
      <c r="H36" s="101" t="str">
        <f>INDEX(Tableau8[Att2],MATCH(Tableau3[[#This Row],[ID-INS]],Tableau8[ID],0))&amp;""</f>
        <v>P10</v>
      </c>
      <c r="I36" s="101" t="str">
        <f>INDEX(Tableau8[Att3],MATCH(Tableau3[[#This Row],[ID-INS]],Tableau8[ID],0))&amp;""</f>
        <v>Portail P10</v>
      </c>
      <c r="J36" s="101"/>
      <c r="K36" s="167" t="str">
        <f>INDEX(Tableau8[Nom du modele],MATCH(Tableau3[[#This Row],[ID-INS]],Tableau8[ID],0))&amp;""</f>
        <v>PortailR2VElec</v>
      </c>
      <c r="L36" s="99" t="str">
        <f>INDEX(Tableau5[Att1],MATCH(Tableau3[[#This Row],[ID-SIG]],Tableau5[ID],0))&amp;""</f>
        <v>V1_Fer2</v>
      </c>
      <c r="M36" s="99" t="str">
        <f>INDEX(Tableau5[Att2],MATCH(Tableau3[[#This Row],[ID-SIG]],Tableau5[ID],0))&amp;""</f>
        <v/>
      </c>
      <c r="N36" s="99" t="str">
        <f>INDEX(Tableau5[Att3],MATCH(Tableau3[[#This Row],[ID-SIG]],Tableau5[ID],0))&amp;""</f>
        <v/>
      </c>
      <c r="O36" s="99"/>
      <c r="P36" s="99" t="str">
        <f>INDEX(Tableau5[Description],MATCH(Tableau3[[#This Row],[ID-SIG]],Tableau5[ID],0))</f>
        <v>Vantail 1 en fdc fermé 2</v>
      </c>
      <c r="Q36" s="99"/>
      <c r="R36" s="103" t="str">
        <f>Tableau3[[#This Row],[Description]]</f>
        <v>Vantail 1 en fdc fermé 2</v>
      </c>
      <c r="S36" s="83"/>
      <c r="U36" s="87">
        <v>1</v>
      </c>
      <c r="V36" s="87">
        <v>1</v>
      </c>
      <c r="W36" s="87">
        <v>7</v>
      </c>
      <c r="X36" s="87">
        <v>2</v>
      </c>
      <c r="Y36" s="40"/>
      <c r="Z36" s="165" t="str">
        <f>INDEX(Tableau2[TS],MATCH(Tableau3[[#This Row],[ID-CARTEVOIE]],Tableau2[ID-CARTEVOIE],0))</f>
        <v>ET</v>
      </c>
      <c r="AA36" s="53" t="s">
        <v>213</v>
      </c>
      <c r="AB36" s="223" t="str">
        <f>IFERROR(INDEX(Tableau5[Reserve],MATCH(Tableau3[[#This Row],[ID-SIG]],Tableau5[ID],0))&amp;"","")</f>
        <v/>
      </c>
      <c r="AC36" s="21"/>
      <c r="AD36" s="108" t="str">
        <f>INDEX(Tableau7[Repere],MATCH(Tableau3[[#This Row],[ID-API]],Tableau7[ID-API],0))&amp;""</f>
        <v>A1</v>
      </c>
      <c r="AE36" s="108" t="str">
        <f>INDEX(Tableau1[Repere-Rack],MATCH(Tableau3[[#This Row],[ID-RACK]],Tableau1[ID-RACK],0))&amp;""</f>
        <v>R1</v>
      </c>
      <c r="AF36" s="108" t="str">
        <f>INDEX(Tableau1[Repere-Slot],MATCH(Tableau3[[#This Row],[ID-SLOT]],Tableau1[ID-SLOT],0))&amp;""</f>
        <v>S7</v>
      </c>
      <c r="AG36" s="108" t="str">
        <f>INDEX(Tableau2[Repere-Voie],MATCH(Tableau3[[#This Row],[ID-VOIE]],Tableau2[ID-Voie],0))&amp;""</f>
        <v>v2</v>
      </c>
      <c r="AH36" s="72" t="str">
        <f>Tableau3[[#This Row],[ID-API]]&amp; "." &amp;Tableau3[[#This Row],[ID-RACK]]&amp; "." &amp;Tableau3[[#This Row],[ID-SLOT]]</f>
        <v>1.1.7</v>
      </c>
      <c r="AI36" s="72" t="str">
        <f>INDEX(Tableau1[Ref-Carte],MATCH(Tableau3[[#This Row],[ID-RRS]],Tableau1[ID-RRS],0))</f>
        <v>SDI1602</v>
      </c>
      <c r="AJ36" s="72" t="str">
        <f t="array" ref="AJ36">IFERROR(INDEX(Tableau2[TS],MATCH(1,(Tableau2[Ref-Carte]=Tableau3[[#This Row],[Ref-Carte2]])*(Tableau2[ID-Voie]=Tableau3[[#This Row],[ID-VOIE]]),0)),"")</f>
        <v>ET</v>
      </c>
      <c r="AK36" s="72" t="str">
        <f>IFERROR(INDEX(Tableau2[TS],SUMPRODUCT((Tableau2[Ref-Carte]=Tableau3[[#This Row],[Ref-Carte2]])*(Tableau2[ID-Voie]=Tableau3[[#This Row],[ID-VOIE]])*ROW(Tableau2[TS]))-ROW(Tableau2[#Headers])),"")</f>
        <v>ET</v>
      </c>
      <c r="AL36" s="72" t="str">
        <f>Tableau3[[#This Row],[Ref-Carte2]]&amp;"/"&amp;Tableau3[[#This Row],[ID-VOIE]]</f>
        <v>SDI1602/2</v>
      </c>
      <c r="AM36" s="73" t="str">
        <f>INDEX(Tableau2[Borne],MATCH(Tableau3[[#This Row],[ID-CARTEVOIE]],Tableau2[ID-CARTEVOIE],0))&amp;""</f>
        <v>1B</v>
      </c>
      <c r="AN36" s="74" t="str">
        <f>Tableau3[[#This Row],[ID-API]]&amp;Tableau3[[#This Row],[ID-RACK]]&amp;Tableau3[[#This Row],[ID-SLOT]]&amp;Tableau3[[#This Row],[BORNE]]</f>
        <v>1171B</v>
      </c>
      <c r="AO36" s="1"/>
    </row>
    <row r="37" spans="1:41" ht="20.100000000000001" customHeight="1" thickTop="1" thickBot="1">
      <c r="A37" s="68"/>
      <c r="B37" s="69" t="str">
        <f>IFERROR(INDEX(Tableau4[Date],MATCH($A37,Tableau4[EVO],0)),"")</f>
        <v/>
      </c>
      <c r="C37" s="68" t="str">
        <f>IFERROR(INDEX(Tableau4[Designation],MATCH($A37,Tableau4[EVO],0)),"")</f>
        <v/>
      </c>
      <c r="D37" s="68"/>
      <c r="E37" s="70">
        <v>10</v>
      </c>
      <c r="F37" s="71">
        <v>191</v>
      </c>
      <c r="G37" s="101" t="str">
        <f>INDEX(Tableau8[Att1],MATCH(Tableau3[[#This Row],[ID-INS]],Tableau8[ID],0))&amp;""</f>
        <v>V5</v>
      </c>
      <c r="H37" s="101" t="str">
        <f>INDEX(Tableau8[Att2],MATCH(Tableau3[[#This Row],[ID-INS]],Tableau8[ID],0))&amp;""</f>
        <v>P10</v>
      </c>
      <c r="I37" s="101" t="str">
        <f>INDEX(Tableau8[Att3],MATCH(Tableau3[[#This Row],[ID-INS]],Tableau8[ID],0))&amp;""</f>
        <v>Portail P10</v>
      </c>
      <c r="J37" s="101"/>
      <c r="K37" s="167" t="str">
        <f>INDEX(Tableau8[Nom du modele],MATCH(Tableau3[[#This Row],[ID-INS]],Tableau8[ID],0))&amp;""</f>
        <v>PortailR2VElec</v>
      </c>
      <c r="L37" s="99" t="str">
        <f>INDEX(Tableau5[Att1],MATCH(Tableau3[[#This Row],[ID-SIG]],Tableau5[ID],0))&amp;""</f>
        <v>V2_Ouv</v>
      </c>
      <c r="M37" s="99" t="str">
        <f>INDEX(Tableau5[Att2],MATCH(Tableau3[[#This Row],[ID-SIG]],Tableau5[ID],0))&amp;""</f>
        <v/>
      </c>
      <c r="N37" s="99" t="str">
        <f>INDEX(Tableau5[Att3],MATCH(Tableau3[[#This Row],[ID-SIG]],Tableau5[ID],0))&amp;""</f>
        <v/>
      </c>
      <c r="O37" s="99"/>
      <c r="P37" s="99" t="str">
        <f>INDEX(Tableau5[Description],MATCH(Tableau3[[#This Row],[ID-SIG]],Tableau5[ID],0))</f>
        <v>Vantail 2 en fdc Ouvert</v>
      </c>
      <c r="Q37" s="99"/>
      <c r="R37" s="103" t="str">
        <f>Tableau3[[#This Row],[Description]]</f>
        <v>Vantail 2 en fdc Ouvert</v>
      </c>
      <c r="S37" s="83"/>
      <c r="U37" s="87">
        <v>1</v>
      </c>
      <c r="V37" s="87">
        <v>1</v>
      </c>
      <c r="W37" s="87">
        <v>7</v>
      </c>
      <c r="X37" s="87">
        <v>3</v>
      </c>
      <c r="Y37" s="40"/>
      <c r="Z37" s="165" t="str">
        <f>INDEX(Tableau2[TS],MATCH(Tableau3[[#This Row],[ID-CARTEVOIE]],Tableau2[ID-CARTEVOIE],0))</f>
        <v>ET</v>
      </c>
      <c r="AA37" s="53" t="s">
        <v>213</v>
      </c>
      <c r="AB37" s="223" t="str">
        <f>IFERROR(INDEX(Tableau5[Reserve],MATCH(Tableau3[[#This Row],[ID-SIG]],Tableau5[ID],0))&amp;"","")</f>
        <v/>
      </c>
      <c r="AC37" s="21"/>
      <c r="AD37" s="108" t="str">
        <f>INDEX(Tableau7[Repere],MATCH(Tableau3[[#This Row],[ID-API]],Tableau7[ID-API],0))&amp;""</f>
        <v>A1</v>
      </c>
      <c r="AE37" s="108" t="str">
        <f>INDEX(Tableau1[Repere-Rack],MATCH(Tableau3[[#This Row],[ID-RACK]],Tableau1[ID-RACK],0))&amp;""</f>
        <v>R1</v>
      </c>
      <c r="AF37" s="108" t="str">
        <f>INDEX(Tableau1[Repere-Slot],MATCH(Tableau3[[#This Row],[ID-SLOT]],Tableau1[ID-SLOT],0))&amp;""</f>
        <v>S7</v>
      </c>
      <c r="AG37" s="108" t="str">
        <f>INDEX(Tableau2[Repere-Voie],MATCH(Tableau3[[#This Row],[ID-VOIE]],Tableau2[ID-Voie],0))&amp;""</f>
        <v>v3</v>
      </c>
      <c r="AH37" s="72" t="str">
        <f>Tableau3[[#This Row],[ID-API]]&amp; "." &amp;Tableau3[[#This Row],[ID-RACK]]&amp; "." &amp;Tableau3[[#This Row],[ID-SLOT]]</f>
        <v>1.1.7</v>
      </c>
      <c r="AI37" s="72" t="str">
        <f>INDEX(Tableau1[Ref-Carte],MATCH(Tableau3[[#This Row],[ID-RRS]],Tableau1[ID-RRS],0))</f>
        <v>SDI1602</v>
      </c>
      <c r="AJ37" s="72" t="str">
        <f t="array" ref="AJ37">IFERROR(INDEX(Tableau2[TS],MATCH(1,(Tableau2[Ref-Carte]=Tableau3[[#This Row],[Ref-Carte2]])*(Tableau2[ID-Voie]=Tableau3[[#This Row],[ID-VOIE]]),0)),"")</f>
        <v>ET</v>
      </c>
      <c r="AK37" s="72" t="str">
        <f>IFERROR(INDEX(Tableau2[TS],SUMPRODUCT((Tableau2[Ref-Carte]=Tableau3[[#This Row],[Ref-Carte2]])*(Tableau2[ID-Voie]=Tableau3[[#This Row],[ID-VOIE]])*ROW(Tableau2[TS]))-ROW(Tableau2[#Headers])),"")</f>
        <v>ET</v>
      </c>
      <c r="AL37" s="72" t="str">
        <f>Tableau3[[#This Row],[Ref-Carte2]]&amp;"/"&amp;Tableau3[[#This Row],[ID-VOIE]]</f>
        <v>SDI1602/3</v>
      </c>
      <c r="AM37" s="73" t="str">
        <f>INDEX(Tableau2[Borne],MATCH(Tableau3[[#This Row],[ID-CARTEVOIE]],Tableau2[ID-CARTEVOIE],0))&amp;""</f>
        <v>1A</v>
      </c>
      <c r="AN37" s="74" t="str">
        <f>Tableau3[[#This Row],[ID-API]]&amp;Tableau3[[#This Row],[ID-RACK]]&amp;Tableau3[[#This Row],[ID-SLOT]]&amp;Tableau3[[#This Row],[BORNE]]</f>
        <v>1171A</v>
      </c>
      <c r="AO37" s="1"/>
    </row>
    <row r="38" spans="1:41" ht="20.100000000000001" customHeight="1" thickTop="1" thickBot="1">
      <c r="A38" s="68"/>
      <c r="B38" s="69" t="str">
        <f>IFERROR(INDEX(Tableau4[Date],MATCH($A38,Tableau4[EVO],0)),"")</f>
        <v/>
      </c>
      <c r="C38" s="68" t="str">
        <f>IFERROR(INDEX(Tableau4[Designation],MATCH($A38,Tableau4[EVO],0)),"")</f>
        <v/>
      </c>
      <c r="D38" s="68"/>
      <c r="E38" s="70">
        <v>10</v>
      </c>
      <c r="F38" s="71">
        <v>192</v>
      </c>
      <c r="G38" s="101" t="str">
        <f>INDEX(Tableau8[Att1],MATCH(Tableau3[[#This Row],[ID-INS]],Tableau8[ID],0))&amp;""</f>
        <v>V5</v>
      </c>
      <c r="H38" s="101" t="str">
        <f>INDEX(Tableau8[Att2],MATCH(Tableau3[[#This Row],[ID-INS]],Tableau8[ID],0))&amp;""</f>
        <v>P10</v>
      </c>
      <c r="I38" s="101" t="str">
        <f>INDEX(Tableau8[Att3],MATCH(Tableau3[[#This Row],[ID-INS]],Tableau8[ID],0))&amp;""</f>
        <v>Portail P10</v>
      </c>
      <c r="J38" s="101"/>
      <c r="K38" s="167" t="str">
        <f>INDEX(Tableau8[Nom du modele],MATCH(Tableau3[[#This Row],[ID-INS]],Tableau8[ID],0))&amp;""</f>
        <v>PortailR2VElec</v>
      </c>
      <c r="L38" s="99" t="str">
        <f>INDEX(Tableau5[Att1],MATCH(Tableau3[[#This Row],[ID-SIG]],Tableau5[ID],0))&amp;""</f>
        <v>V2_Fer1</v>
      </c>
      <c r="M38" s="99" t="str">
        <f>INDEX(Tableau5[Att2],MATCH(Tableau3[[#This Row],[ID-SIG]],Tableau5[ID],0))&amp;""</f>
        <v/>
      </c>
      <c r="N38" s="99" t="str">
        <f>INDEX(Tableau5[Att3],MATCH(Tableau3[[#This Row],[ID-SIG]],Tableau5[ID],0))&amp;""</f>
        <v/>
      </c>
      <c r="O38" s="99"/>
      <c r="P38" s="99" t="str">
        <f>INDEX(Tableau5[Description],MATCH(Tableau3[[#This Row],[ID-SIG]],Tableau5[ID],0))</f>
        <v>Vantail 2 en fdc Fermé 1</v>
      </c>
      <c r="Q38" s="99"/>
      <c r="R38" s="103" t="str">
        <f>Tableau3[[#This Row],[Description]]</f>
        <v>Vantail 2 en fdc Fermé 1</v>
      </c>
      <c r="S38" s="83"/>
      <c r="U38" s="87">
        <v>1</v>
      </c>
      <c r="V38" s="87">
        <v>1</v>
      </c>
      <c r="W38" s="87">
        <v>7</v>
      </c>
      <c r="X38" s="87">
        <v>4</v>
      </c>
      <c r="Y38" s="40"/>
      <c r="Z38" s="165" t="str">
        <f>INDEX(Tableau2[TS],MATCH(Tableau3[[#This Row],[ID-CARTEVOIE]],Tableau2[ID-CARTEVOIE],0))</f>
        <v>ET</v>
      </c>
      <c r="AA38" s="53" t="s">
        <v>213</v>
      </c>
      <c r="AB38" s="223" t="str">
        <f>IFERROR(INDEX(Tableau5[Reserve],MATCH(Tableau3[[#This Row],[ID-SIG]],Tableau5[ID],0))&amp;"","")</f>
        <v/>
      </c>
      <c r="AC38" s="21"/>
      <c r="AD38" s="108" t="str">
        <f>INDEX(Tableau7[Repere],MATCH(Tableau3[[#This Row],[ID-API]],Tableau7[ID-API],0))&amp;""</f>
        <v>A1</v>
      </c>
      <c r="AE38" s="108" t="str">
        <f>INDEX(Tableau1[Repere-Rack],MATCH(Tableau3[[#This Row],[ID-RACK]],Tableau1[ID-RACK],0))&amp;""</f>
        <v>R1</v>
      </c>
      <c r="AF38" s="108" t="str">
        <f>INDEX(Tableau1[Repere-Slot],MATCH(Tableau3[[#This Row],[ID-SLOT]],Tableau1[ID-SLOT],0))&amp;""</f>
        <v>S7</v>
      </c>
      <c r="AG38" s="108" t="str">
        <f>INDEX(Tableau2[Repere-Voie],MATCH(Tableau3[[#This Row],[ID-VOIE]],Tableau2[ID-Voie],0))&amp;""</f>
        <v>v4</v>
      </c>
      <c r="AH38" s="72" t="str">
        <f>Tableau3[[#This Row],[ID-API]]&amp; "." &amp;Tableau3[[#This Row],[ID-RACK]]&amp; "." &amp;Tableau3[[#This Row],[ID-SLOT]]</f>
        <v>1.1.7</v>
      </c>
      <c r="AI38" s="72" t="str">
        <f>INDEX(Tableau1[Ref-Carte],MATCH(Tableau3[[#This Row],[ID-RRS]],Tableau1[ID-RRS],0))</f>
        <v>SDI1602</v>
      </c>
      <c r="AJ38" s="72" t="str">
        <f t="array" ref="AJ38">IFERROR(INDEX(Tableau2[TS],MATCH(1,(Tableau2[Ref-Carte]=Tableau3[[#This Row],[Ref-Carte2]])*(Tableau2[ID-Voie]=Tableau3[[#This Row],[ID-VOIE]]),0)),"")</f>
        <v>ET</v>
      </c>
      <c r="AK38" s="72" t="str">
        <f>IFERROR(INDEX(Tableau2[TS],SUMPRODUCT((Tableau2[Ref-Carte]=Tableau3[[#This Row],[Ref-Carte2]])*(Tableau2[ID-Voie]=Tableau3[[#This Row],[ID-VOIE]])*ROW(Tableau2[TS]))-ROW(Tableau2[#Headers])),"")</f>
        <v>ET</v>
      </c>
      <c r="AL38" s="72" t="str">
        <f>Tableau3[[#This Row],[Ref-Carte2]]&amp;"/"&amp;Tableau3[[#This Row],[ID-VOIE]]</f>
        <v>SDI1602/4</v>
      </c>
      <c r="AM38" s="73" t="str">
        <f>INDEX(Tableau2[Borne],MATCH(Tableau3[[#This Row],[ID-CARTEVOIE]],Tableau2[ID-CARTEVOIE],0))&amp;""</f>
        <v>2B</v>
      </c>
      <c r="AN38" s="74" t="str">
        <f>Tableau3[[#This Row],[ID-API]]&amp;Tableau3[[#This Row],[ID-RACK]]&amp;Tableau3[[#This Row],[ID-SLOT]]&amp;Tableau3[[#This Row],[BORNE]]</f>
        <v>1172B</v>
      </c>
      <c r="AO38" s="1"/>
    </row>
    <row r="39" spans="1:41" ht="20.100000000000001" customHeight="1" thickTop="1" thickBot="1">
      <c r="A39" s="68"/>
      <c r="B39" s="69" t="str">
        <f>IFERROR(INDEX(Tableau4[Date],MATCH($A39,Tableau4[EVO],0)),"")</f>
        <v/>
      </c>
      <c r="C39" s="68" t="str">
        <f>IFERROR(INDEX(Tableau4[Designation],MATCH($A39,Tableau4[EVO],0)),"")</f>
        <v/>
      </c>
      <c r="D39" s="68"/>
      <c r="E39" s="70">
        <v>10</v>
      </c>
      <c r="F39" s="71">
        <v>193</v>
      </c>
      <c r="G39" s="101" t="str">
        <f>INDEX(Tableau8[Att1],MATCH(Tableau3[[#This Row],[ID-INS]],Tableau8[ID],0))&amp;""</f>
        <v>V5</v>
      </c>
      <c r="H39" s="101" t="str">
        <f>INDEX(Tableau8[Att2],MATCH(Tableau3[[#This Row],[ID-INS]],Tableau8[ID],0))&amp;""</f>
        <v>P10</v>
      </c>
      <c r="I39" s="101" t="str">
        <f>INDEX(Tableau8[Att3],MATCH(Tableau3[[#This Row],[ID-INS]],Tableau8[ID],0))&amp;""</f>
        <v>Portail P10</v>
      </c>
      <c r="J39" s="101"/>
      <c r="K39" s="167" t="str">
        <f>INDEX(Tableau8[Nom du modele],MATCH(Tableau3[[#This Row],[ID-INS]],Tableau8[ID],0))&amp;""</f>
        <v>PortailR2VElec</v>
      </c>
      <c r="L39" s="99" t="str">
        <f>INDEX(Tableau5[Att1],MATCH(Tableau3[[#This Row],[ID-SIG]],Tableau5[ID],0))&amp;""</f>
        <v>V2_OuvProtect</v>
      </c>
      <c r="M39" s="99" t="str">
        <f>INDEX(Tableau5[Att2],MATCH(Tableau3[[#This Row],[ID-SIG]],Tableau5[ID],0))&amp;""</f>
        <v/>
      </c>
      <c r="N39" s="99" t="str">
        <f>INDEX(Tableau5[Att3],MATCH(Tableau3[[#This Row],[ID-SIG]],Tableau5[ID],0))&amp;""</f>
        <v/>
      </c>
      <c r="O39" s="99"/>
      <c r="P39" s="99" t="str">
        <f>INDEX(Tableau5[Description],MATCH(Tableau3[[#This Row],[ID-SIG]],Tableau5[ID],0))</f>
        <v>Vantail 2 Protection à l'ouverture par cellule</v>
      </c>
      <c r="Q39" s="99"/>
      <c r="R39" s="103" t="str">
        <f>Tableau3[[#This Row],[Description]]</f>
        <v>Vantail 2 Protection à l'ouverture par cellule</v>
      </c>
      <c r="S39" s="83"/>
      <c r="U39" s="87">
        <v>1</v>
      </c>
      <c r="V39" s="87">
        <v>1</v>
      </c>
      <c r="W39" s="87">
        <v>7</v>
      </c>
      <c r="X39" s="87">
        <v>5</v>
      </c>
      <c r="Y39" s="40"/>
      <c r="Z39" s="165" t="str">
        <f>INDEX(Tableau2[TS],MATCH(Tableau3[[#This Row],[ID-CARTEVOIE]],Tableau2[ID-CARTEVOIE],0))</f>
        <v>ET</v>
      </c>
      <c r="AA39" s="53" t="s">
        <v>213</v>
      </c>
      <c r="AB39" s="223" t="str">
        <f>IFERROR(INDEX(Tableau5[Reserve],MATCH(Tableau3[[#This Row],[ID-SIG]],Tableau5[ID],0))&amp;"","")</f>
        <v/>
      </c>
      <c r="AC39" s="21"/>
      <c r="AD39" s="108" t="str">
        <f>INDEX(Tableau7[Repere],MATCH(Tableau3[[#This Row],[ID-API]],Tableau7[ID-API],0))&amp;""</f>
        <v>A1</v>
      </c>
      <c r="AE39" s="108" t="str">
        <f>INDEX(Tableau1[Repere-Rack],MATCH(Tableau3[[#This Row],[ID-RACK]],Tableau1[ID-RACK],0))&amp;""</f>
        <v>R1</v>
      </c>
      <c r="AF39" s="108" t="str">
        <f>INDEX(Tableau1[Repere-Slot],MATCH(Tableau3[[#This Row],[ID-SLOT]],Tableau1[ID-SLOT],0))&amp;""</f>
        <v>S7</v>
      </c>
      <c r="AG39" s="108" t="str">
        <f>INDEX(Tableau2[Repere-Voie],MATCH(Tableau3[[#This Row],[ID-VOIE]],Tableau2[ID-Voie],0))&amp;""</f>
        <v>v5</v>
      </c>
      <c r="AH39" s="72" t="str">
        <f>Tableau3[[#This Row],[ID-API]]&amp; "." &amp;Tableau3[[#This Row],[ID-RACK]]&amp; "." &amp;Tableau3[[#This Row],[ID-SLOT]]</f>
        <v>1.1.7</v>
      </c>
      <c r="AI39" s="72" t="str">
        <f>INDEX(Tableau1[Ref-Carte],MATCH(Tableau3[[#This Row],[ID-RRS]],Tableau1[ID-RRS],0))</f>
        <v>SDI1602</v>
      </c>
      <c r="AJ39" s="72" t="str">
        <f t="array" ref="AJ39">IFERROR(INDEX(Tableau2[TS],MATCH(1,(Tableau2[Ref-Carte]=Tableau3[[#This Row],[Ref-Carte2]])*(Tableau2[ID-Voie]=Tableau3[[#This Row],[ID-VOIE]]),0)),"")</f>
        <v>ET</v>
      </c>
      <c r="AK39" s="72" t="str">
        <f>IFERROR(INDEX(Tableau2[TS],SUMPRODUCT((Tableau2[Ref-Carte]=Tableau3[[#This Row],[Ref-Carte2]])*(Tableau2[ID-Voie]=Tableau3[[#This Row],[ID-VOIE]])*ROW(Tableau2[TS]))-ROW(Tableau2[#Headers])),"")</f>
        <v>ET</v>
      </c>
      <c r="AL39" s="72" t="str">
        <f>Tableau3[[#This Row],[Ref-Carte2]]&amp;"/"&amp;Tableau3[[#This Row],[ID-VOIE]]</f>
        <v>SDI1602/5</v>
      </c>
      <c r="AM39" s="73" t="str">
        <f>INDEX(Tableau2[Borne],MATCH(Tableau3[[#This Row],[ID-CARTEVOIE]],Tableau2[ID-CARTEVOIE],0))&amp;""</f>
        <v>2A</v>
      </c>
      <c r="AN39" s="74" t="str">
        <f>Tableau3[[#This Row],[ID-API]]&amp;Tableau3[[#This Row],[ID-RACK]]&amp;Tableau3[[#This Row],[ID-SLOT]]&amp;Tableau3[[#This Row],[BORNE]]</f>
        <v>1172A</v>
      </c>
      <c r="AO39" s="1"/>
    </row>
    <row r="40" spans="1:41" ht="20.100000000000001" customHeight="1" thickTop="1" thickBot="1">
      <c r="A40" s="68"/>
      <c r="B40" s="69" t="str">
        <f>IFERROR(INDEX(Tableau4[Date],MATCH($A40,Tableau4[EVO],0)),"")</f>
        <v/>
      </c>
      <c r="C40" s="68" t="str">
        <f>IFERROR(INDEX(Tableau4[Designation],MATCH($A40,Tableau4[EVO],0)),"")</f>
        <v/>
      </c>
      <c r="D40" s="68"/>
      <c r="E40" s="70">
        <v>10</v>
      </c>
      <c r="F40" s="71">
        <v>194</v>
      </c>
      <c r="G40" s="101" t="str">
        <f>INDEX(Tableau8[Att1],MATCH(Tableau3[[#This Row],[ID-INS]],Tableau8[ID],0))&amp;""</f>
        <v>V5</v>
      </c>
      <c r="H40" s="101" t="str">
        <f>INDEX(Tableau8[Att2],MATCH(Tableau3[[#This Row],[ID-INS]],Tableau8[ID],0))&amp;""</f>
        <v>P10</v>
      </c>
      <c r="I40" s="101" t="str">
        <f>INDEX(Tableau8[Att3],MATCH(Tableau3[[#This Row],[ID-INS]],Tableau8[ID],0))&amp;""</f>
        <v>Portail P10</v>
      </c>
      <c r="J40" s="101"/>
      <c r="K40" s="167" t="str">
        <f>INDEX(Tableau8[Nom du modele],MATCH(Tableau3[[#This Row],[ID-INS]],Tableau8[ID],0))&amp;""</f>
        <v>PortailR2VElec</v>
      </c>
      <c r="L40" s="99" t="str">
        <f>INDEX(Tableau5[Att1],MATCH(Tableau3[[#This Row],[ID-SIG]],Tableau5[ID],0))&amp;""</f>
        <v>V2_OuvFerProtectBarrage</v>
      </c>
      <c r="M40" s="99" t="str">
        <f>INDEX(Tableau5[Att2],MATCH(Tableau3[[#This Row],[ID-SIG]],Tableau5[ID],0))&amp;""</f>
        <v/>
      </c>
      <c r="N40" s="99" t="str">
        <f>INDEX(Tableau5[Att3],MATCH(Tableau3[[#This Row],[ID-SIG]],Tableau5[ID],0))&amp;""</f>
        <v/>
      </c>
      <c r="O40" s="99"/>
      <c r="P40" s="99" t="str">
        <f>INDEX(Tableau5[Description],MATCH(Tableau3[[#This Row],[ID-SIG]],Tableau5[ID],0))</f>
        <v>Vantail 2 Protection à fermeture et ouverture par cellule</v>
      </c>
      <c r="Q40" s="99"/>
      <c r="R40" s="103" t="str">
        <f>Tableau3[[#This Row],[Description]]</f>
        <v>Vantail 2 Protection à fermeture et ouverture par cellule</v>
      </c>
      <c r="S40" s="83"/>
      <c r="U40" s="87">
        <v>1</v>
      </c>
      <c r="V40" s="87">
        <v>1</v>
      </c>
      <c r="W40" s="87">
        <v>7</v>
      </c>
      <c r="X40" s="87">
        <v>6</v>
      </c>
      <c r="Y40" s="40"/>
      <c r="Z40" s="165" t="str">
        <f>INDEX(Tableau2[TS],MATCH(Tableau3[[#This Row],[ID-CARTEVOIE]],Tableau2[ID-CARTEVOIE],0))</f>
        <v>ET</v>
      </c>
      <c r="AA40" s="53" t="s">
        <v>213</v>
      </c>
      <c r="AB40" s="223" t="str">
        <f>IFERROR(INDEX(Tableau5[Reserve],MATCH(Tableau3[[#This Row],[ID-SIG]],Tableau5[ID],0))&amp;"","")</f>
        <v/>
      </c>
      <c r="AC40" s="21"/>
      <c r="AD40" s="108" t="str">
        <f>INDEX(Tableau7[Repere],MATCH(Tableau3[[#This Row],[ID-API]],Tableau7[ID-API],0))&amp;""</f>
        <v>A1</v>
      </c>
      <c r="AE40" s="108" t="str">
        <f>INDEX(Tableau1[Repere-Rack],MATCH(Tableau3[[#This Row],[ID-RACK]],Tableau1[ID-RACK],0))&amp;""</f>
        <v>R1</v>
      </c>
      <c r="AF40" s="108" t="str">
        <f>INDEX(Tableau1[Repere-Slot],MATCH(Tableau3[[#This Row],[ID-SLOT]],Tableau1[ID-SLOT],0))&amp;""</f>
        <v>S7</v>
      </c>
      <c r="AG40" s="108" t="str">
        <f>INDEX(Tableau2[Repere-Voie],MATCH(Tableau3[[#This Row],[ID-VOIE]],Tableau2[ID-Voie],0))&amp;""</f>
        <v>v6</v>
      </c>
      <c r="AH40" s="72" t="str">
        <f>Tableau3[[#This Row],[ID-API]]&amp; "." &amp;Tableau3[[#This Row],[ID-RACK]]&amp; "." &amp;Tableau3[[#This Row],[ID-SLOT]]</f>
        <v>1.1.7</v>
      </c>
      <c r="AI40" s="72" t="str">
        <f>INDEX(Tableau1[Ref-Carte],MATCH(Tableau3[[#This Row],[ID-RRS]],Tableau1[ID-RRS],0))</f>
        <v>SDI1602</v>
      </c>
      <c r="AJ40" s="72" t="str">
        <f t="array" ref="AJ40">IFERROR(INDEX(Tableau2[TS],MATCH(1,(Tableau2[Ref-Carte]=Tableau3[[#This Row],[Ref-Carte2]])*(Tableau2[ID-Voie]=Tableau3[[#This Row],[ID-VOIE]]),0)),"")</f>
        <v>ET</v>
      </c>
      <c r="AK40" s="72" t="str">
        <f>IFERROR(INDEX(Tableau2[TS],SUMPRODUCT((Tableau2[Ref-Carte]=Tableau3[[#This Row],[Ref-Carte2]])*(Tableau2[ID-Voie]=Tableau3[[#This Row],[ID-VOIE]])*ROW(Tableau2[TS]))-ROW(Tableau2[#Headers])),"")</f>
        <v>ET</v>
      </c>
      <c r="AL40" s="72" t="str">
        <f>Tableau3[[#This Row],[Ref-Carte2]]&amp;"/"&amp;Tableau3[[#This Row],[ID-VOIE]]</f>
        <v>SDI1602/6</v>
      </c>
      <c r="AM40" s="73" t="str">
        <f>INDEX(Tableau2[Borne],MATCH(Tableau3[[#This Row],[ID-CARTEVOIE]],Tableau2[ID-CARTEVOIE],0))&amp;""</f>
        <v>3B</v>
      </c>
      <c r="AN40" s="74" t="str">
        <f>Tableau3[[#This Row],[ID-API]]&amp;Tableau3[[#This Row],[ID-RACK]]&amp;Tableau3[[#This Row],[ID-SLOT]]&amp;Tableau3[[#This Row],[BORNE]]</f>
        <v>1173B</v>
      </c>
      <c r="AO40" s="1"/>
    </row>
    <row r="41" spans="1:41" ht="20.100000000000001" customHeight="1" thickTop="1" thickBot="1">
      <c r="A41" s="68"/>
      <c r="B41" s="69" t="str">
        <f>IFERROR(INDEX(Tableau4[Date],MATCH($A41,Tableau4[EVO],0)),"")</f>
        <v/>
      </c>
      <c r="C41" s="68" t="str">
        <f>IFERROR(INDEX(Tableau4[Designation],MATCH($A41,Tableau4[EVO],0)),"")</f>
        <v/>
      </c>
      <c r="D41" s="68"/>
      <c r="E41" s="70">
        <v>10</v>
      </c>
      <c r="F41" s="71">
        <v>195</v>
      </c>
      <c r="G41" s="101" t="str">
        <f>INDEX(Tableau8[Att1],MATCH(Tableau3[[#This Row],[ID-INS]],Tableau8[ID],0))&amp;""</f>
        <v>V5</v>
      </c>
      <c r="H41" s="101" t="str">
        <f>INDEX(Tableau8[Att2],MATCH(Tableau3[[#This Row],[ID-INS]],Tableau8[ID],0))&amp;""</f>
        <v>P10</v>
      </c>
      <c r="I41" s="101" t="str">
        <f>INDEX(Tableau8[Att3],MATCH(Tableau3[[#This Row],[ID-INS]],Tableau8[ID],0))&amp;""</f>
        <v>Portail P10</v>
      </c>
      <c r="J41" s="101"/>
      <c r="K41" s="167" t="str">
        <f>INDEX(Tableau8[Nom du modele],MATCH(Tableau3[[#This Row],[ID-INS]],Tableau8[ID],0))&amp;""</f>
        <v>PortailR2VElec</v>
      </c>
      <c r="L41" s="99" t="str">
        <f>INDEX(Tableau5[Att1],MATCH(Tableau3[[#This Row],[ID-SIG]],Tableau5[ID],0))&amp;""</f>
        <v>V2_FerProtect</v>
      </c>
      <c r="M41" s="99" t="str">
        <f>INDEX(Tableau5[Att2],MATCH(Tableau3[[#This Row],[ID-SIG]],Tableau5[ID],0))&amp;""</f>
        <v/>
      </c>
      <c r="N41" s="99" t="str">
        <f>INDEX(Tableau5[Att3],MATCH(Tableau3[[#This Row],[ID-SIG]],Tableau5[ID],0))&amp;""</f>
        <v/>
      </c>
      <c r="O41" s="99"/>
      <c r="P41" s="99" t="str">
        <f>INDEX(Tableau5[Description],MATCH(Tableau3[[#This Row],[ID-SIG]],Tableau5[ID],0))</f>
        <v>Vantail 2 Protection fermeture par bande palpeuse</v>
      </c>
      <c r="Q41" s="99"/>
      <c r="R41" s="103" t="str">
        <f>Tableau3[[#This Row],[Description]]</f>
        <v>Vantail 2 Protection fermeture par bande palpeuse</v>
      </c>
      <c r="S41" s="83"/>
      <c r="U41" s="87">
        <v>1</v>
      </c>
      <c r="V41" s="87">
        <v>1</v>
      </c>
      <c r="W41" s="87">
        <v>7</v>
      </c>
      <c r="X41" s="87">
        <v>7</v>
      </c>
      <c r="Y41" s="40"/>
      <c r="Z41" s="165" t="str">
        <f>INDEX(Tableau2[TS],MATCH(Tableau3[[#This Row],[ID-CARTEVOIE]],Tableau2[ID-CARTEVOIE],0))</f>
        <v>ET</v>
      </c>
      <c r="AA41" s="53" t="s">
        <v>213</v>
      </c>
      <c r="AB41" s="223" t="str">
        <f>IFERROR(INDEX(Tableau5[Reserve],MATCH(Tableau3[[#This Row],[ID-SIG]],Tableau5[ID],0))&amp;"","")</f>
        <v/>
      </c>
      <c r="AC41" s="21"/>
      <c r="AD41" s="108" t="str">
        <f>INDEX(Tableau7[Repere],MATCH(Tableau3[[#This Row],[ID-API]],Tableau7[ID-API],0))&amp;""</f>
        <v>A1</v>
      </c>
      <c r="AE41" s="108" t="str">
        <f>INDEX(Tableau1[Repere-Rack],MATCH(Tableau3[[#This Row],[ID-RACK]],Tableau1[ID-RACK],0))&amp;""</f>
        <v>R1</v>
      </c>
      <c r="AF41" s="108" t="str">
        <f>INDEX(Tableau1[Repere-Slot],MATCH(Tableau3[[#This Row],[ID-SLOT]],Tableau1[ID-SLOT],0))&amp;""</f>
        <v>S7</v>
      </c>
      <c r="AG41" s="108" t="str">
        <f>INDEX(Tableau2[Repere-Voie],MATCH(Tableau3[[#This Row],[ID-VOIE]],Tableau2[ID-Voie],0))&amp;""</f>
        <v>v7</v>
      </c>
      <c r="AH41" s="72" t="str">
        <f>Tableau3[[#This Row],[ID-API]]&amp; "." &amp;Tableau3[[#This Row],[ID-RACK]]&amp; "." &amp;Tableau3[[#This Row],[ID-SLOT]]</f>
        <v>1.1.7</v>
      </c>
      <c r="AI41" s="72" t="str">
        <f>INDEX(Tableau1[Ref-Carte],MATCH(Tableau3[[#This Row],[ID-RRS]],Tableau1[ID-RRS],0))</f>
        <v>SDI1602</v>
      </c>
      <c r="AJ41" s="72" t="str">
        <f t="array" ref="AJ41">IFERROR(INDEX(Tableau2[TS],MATCH(1,(Tableau2[Ref-Carte]=Tableau3[[#This Row],[Ref-Carte2]])*(Tableau2[ID-Voie]=Tableau3[[#This Row],[ID-VOIE]]),0)),"")</f>
        <v>ET</v>
      </c>
      <c r="AK41" s="72" t="str">
        <f>IFERROR(INDEX(Tableau2[TS],SUMPRODUCT((Tableau2[Ref-Carte]=Tableau3[[#This Row],[Ref-Carte2]])*(Tableau2[ID-Voie]=Tableau3[[#This Row],[ID-VOIE]])*ROW(Tableau2[TS]))-ROW(Tableau2[#Headers])),"")</f>
        <v>ET</v>
      </c>
      <c r="AL41" s="72" t="str">
        <f>Tableau3[[#This Row],[Ref-Carte2]]&amp;"/"&amp;Tableau3[[#This Row],[ID-VOIE]]</f>
        <v>SDI1602/7</v>
      </c>
      <c r="AM41" s="73" t="str">
        <f>INDEX(Tableau2[Borne],MATCH(Tableau3[[#This Row],[ID-CARTEVOIE]],Tableau2[ID-CARTEVOIE],0))&amp;""</f>
        <v>3A</v>
      </c>
      <c r="AN41" s="74" t="str">
        <f>Tableau3[[#This Row],[ID-API]]&amp;Tableau3[[#This Row],[ID-RACK]]&amp;Tableau3[[#This Row],[ID-SLOT]]&amp;Tableau3[[#This Row],[BORNE]]</f>
        <v>1173A</v>
      </c>
      <c r="AO41" s="1"/>
    </row>
    <row r="42" spans="1:41" ht="20.100000000000001" customHeight="1" thickTop="1" thickBot="1">
      <c r="A42" s="68"/>
      <c r="B42" s="69" t="str">
        <f>IFERROR(INDEX(Tableau4[Date],MATCH($A42,Tableau4[EVO],0)),"")</f>
        <v/>
      </c>
      <c r="C42" s="68" t="str">
        <f>IFERROR(INDEX(Tableau4[Designation],MATCH($A42,Tableau4[EVO],0)),"")</f>
        <v/>
      </c>
      <c r="D42" s="68"/>
      <c r="E42" s="70">
        <v>10</v>
      </c>
      <c r="F42" s="71">
        <v>196</v>
      </c>
      <c r="G42" s="101" t="str">
        <f>INDEX(Tableau8[Att1],MATCH(Tableau3[[#This Row],[ID-INS]],Tableau8[ID],0))&amp;""</f>
        <v>V5</v>
      </c>
      <c r="H42" s="101" t="str">
        <f>INDEX(Tableau8[Att2],MATCH(Tableau3[[#This Row],[ID-INS]],Tableau8[ID],0))&amp;""</f>
        <v>P10</v>
      </c>
      <c r="I42" s="101" t="str">
        <f>INDEX(Tableau8[Att3],MATCH(Tableau3[[#This Row],[ID-INS]],Tableau8[ID],0))&amp;""</f>
        <v>Portail P10</v>
      </c>
      <c r="J42" s="101"/>
      <c r="K42" s="167" t="str">
        <f>INDEX(Tableau8[Nom du modele],MATCH(Tableau3[[#This Row],[ID-INS]],Tableau8[ID],0))&amp;""</f>
        <v>PortailR2VElec</v>
      </c>
      <c r="L42" s="99" t="str">
        <f>INDEX(Tableau5[Att1],MATCH(Tableau3[[#This Row],[ID-SIG]],Tableau5[ID],0))&amp;""</f>
        <v>Vx_ARURet2</v>
      </c>
      <c r="M42" s="99" t="str">
        <f>INDEX(Tableau5[Att2],MATCH(Tableau3[[#This Row],[ID-SIG]],Tableau5[ID],0))&amp;""</f>
        <v/>
      </c>
      <c r="N42" s="99" t="str">
        <f>INDEX(Tableau5[Att3],MATCH(Tableau3[[#This Row],[ID-SIG]],Tableau5[ID],0))&amp;""</f>
        <v/>
      </c>
      <c r="O42" s="99"/>
      <c r="P42" s="99" t="str">
        <f>INDEX(Tableau5[Description],MATCH(Tableau3[[#This Row],[ID-SIG]],Tableau5[ID],0))</f>
        <v>Retour Commande 2 d'ARU</v>
      </c>
      <c r="Q42" s="99"/>
      <c r="R42" s="103" t="str">
        <f>Tableau3[[#This Row],[Description]]</f>
        <v>Retour Commande 2 d'ARU</v>
      </c>
      <c r="S42" s="83"/>
      <c r="U42" s="87">
        <v>1</v>
      </c>
      <c r="V42" s="87">
        <v>1</v>
      </c>
      <c r="W42" s="87">
        <v>7</v>
      </c>
      <c r="X42" s="87">
        <v>8</v>
      </c>
      <c r="Y42" s="40"/>
      <c r="Z42" s="165" t="str">
        <f>INDEX(Tableau2[TS],MATCH(Tableau3[[#This Row],[ID-CARTEVOIE]],Tableau2[ID-CARTEVOIE],0))</f>
        <v>ET</v>
      </c>
      <c r="AA42" s="53" t="s">
        <v>213</v>
      </c>
      <c r="AB42" s="223" t="str">
        <f>IFERROR(INDEX(Tableau5[Reserve],MATCH(Tableau3[[#This Row],[ID-SIG]],Tableau5[ID],0))&amp;"","")</f>
        <v/>
      </c>
      <c r="AC42" s="21"/>
      <c r="AD42" s="108" t="str">
        <f>INDEX(Tableau7[Repere],MATCH(Tableau3[[#This Row],[ID-API]],Tableau7[ID-API],0))&amp;""</f>
        <v>A1</v>
      </c>
      <c r="AE42" s="108" t="str">
        <f>INDEX(Tableau1[Repere-Rack],MATCH(Tableau3[[#This Row],[ID-RACK]],Tableau1[ID-RACK],0))&amp;""</f>
        <v>R1</v>
      </c>
      <c r="AF42" s="108" t="str">
        <f>INDEX(Tableau1[Repere-Slot],MATCH(Tableau3[[#This Row],[ID-SLOT]],Tableau1[ID-SLOT],0))&amp;""</f>
        <v>S7</v>
      </c>
      <c r="AG42" s="108" t="str">
        <f>INDEX(Tableau2[Repere-Voie],MATCH(Tableau3[[#This Row],[ID-VOIE]],Tableau2[ID-Voie],0))&amp;""</f>
        <v>v8</v>
      </c>
      <c r="AH42" s="72" t="str">
        <f>Tableau3[[#This Row],[ID-API]]&amp; "." &amp;Tableau3[[#This Row],[ID-RACK]]&amp; "." &amp;Tableau3[[#This Row],[ID-SLOT]]</f>
        <v>1.1.7</v>
      </c>
      <c r="AI42" s="72" t="str">
        <f>INDEX(Tableau1[Ref-Carte],MATCH(Tableau3[[#This Row],[ID-RRS]],Tableau1[ID-RRS],0))</f>
        <v>SDI1602</v>
      </c>
      <c r="AJ42" s="72" t="str">
        <f t="array" ref="AJ42">IFERROR(INDEX(Tableau2[TS],MATCH(1,(Tableau2[Ref-Carte]=Tableau3[[#This Row],[Ref-Carte2]])*(Tableau2[ID-Voie]=Tableau3[[#This Row],[ID-VOIE]]),0)),"")</f>
        <v>ET</v>
      </c>
      <c r="AK42" s="72" t="str">
        <f>IFERROR(INDEX(Tableau2[TS],SUMPRODUCT((Tableau2[Ref-Carte]=Tableau3[[#This Row],[Ref-Carte2]])*(Tableau2[ID-Voie]=Tableau3[[#This Row],[ID-VOIE]])*ROW(Tableau2[TS]))-ROW(Tableau2[#Headers])),"")</f>
        <v>ET</v>
      </c>
      <c r="AL42" s="72" t="str">
        <f>Tableau3[[#This Row],[Ref-Carte2]]&amp;"/"&amp;Tableau3[[#This Row],[ID-VOIE]]</f>
        <v>SDI1602/8</v>
      </c>
      <c r="AM42" s="73" t="str">
        <f>INDEX(Tableau2[Borne],MATCH(Tableau3[[#This Row],[ID-CARTEVOIE]],Tableau2[ID-CARTEVOIE],0))&amp;""</f>
        <v>4B</v>
      </c>
      <c r="AN42" s="74" t="str">
        <f>Tableau3[[#This Row],[ID-API]]&amp;Tableau3[[#This Row],[ID-RACK]]&amp;Tableau3[[#This Row],[ID-SLOT]]&amp;Tableau3[[#This Row],[BORNE]]</f>
        <v>1174B</v>
      </c>
      <c r="AO42" s="1"/>
    </row>
    <row r="43" spans="1:41" ht="20.100000000000001" customHeight="1" thickTop="1" thickBot="1">
      <c r="A43" s="68"/>
      <c r="B43" s="69" t="str">
        <f>IFERROR(INDEX(Tableau4[Date],MATCH($A43,Tableau4[EVO],0)),"")</f>
        <v/>
      </c>
      <c r="C43" s="68" t="str">
        <f>IFERROR(INDEX(Tableau4[Designation],MATCH($A43,Tableau4[EVO],0)),"")</f>
        <v/>
      </c>
      <c r="D43" s="68"/>
      <c r="E43" s="70">
        <v>10</v>
      </c>
      <c r="F43" s="71">
        <v>197</v>
      </c>
      <c r="G43" s="101" t="str">
        <f>INDEX(Tableau8[Att1],MATCH(Tableau3[[#This Row],[ID-INS]],Tableau8[ID],0))&amp;""</f>
        <v>V5</v>
      </c>
      <c r="H43" s="101" t="str">
        <f>INDEX(Tableau8[Att2],MATCH(Tableau3[[#This Row],[ID-INS]],Tableau8[ID],0))&amp;""</f>
        <v>P10</v>
      </c>
      <c r="I43" s="101" t="str">
        <f>INDEX(Tableau8[Att3],MATCH(Tableau3[[#This Row],[ID-INS]],Tableau8[ID],0))&amp;""</f>
        <v>Portail P10</v>
      </c>
      <c r="J43" s="101"/>
      <c r="K43" s="167" t="str">
        <f>INDEX(Tableau8[Nom du modele],MATCH(Tableau3[[#This Row],[ID-INS]],Tableau8[ID],0))&amp;""</f>
        <v>PortailR2VElec</v>
      </c>
      <c r="L43" s="99" t="str">
        <f>INDEX(Tableau5[Att1],MATCH(Tableau3[[#This Row],[ID-SIG]],Tableau5[ID],0))&amp;""</f>
        <v>Réserve</v>
      </c>
      <c r="M43" s="99" t="str">
        <f>INDEX(Tableau5[Att2],MATCH(Tableau3[[#This Row],[ID-SIG]],Tableau5[ID],0))&amp;""</f>
        <v/>
      </c>
      <c r="N43" s="99" t="str">
        <f>INDEX(Tableau5[Att3],MATCH(Tableau3[[#This Row],[ID-SIG]],Tableau5[ID],0))&amp;""</f>
        <v/>
      </c>
      <c r="O43" s="99"/>
      <c r="P43" s="99" t="str">
        <f>INDEX(Tableau5[Description],MATCH(Tableau3[[#This Row],[ID-SIG]],Tableau5[ID],0))</f>
        <v>Réserve</v>
      </c>
      <c r="Q43" s="99"/>
      <c r="R43" s="103" t="str">
        <f>Tableau3[[#This Row],[Description]]</f>
        <v>Réserve</v>
      </c>
      <c r="S43" s="83"/>
      <c r="U43" s="87">
        <v>1</v>
      </c>
      <c r="V43" s="87">
        <v>1</v>
      </c>
      <c r="W43" s="87">
        <v>7</v>
      </c>
      <c r="X43" s="87">
        <v>9</v>
      </c>
      <c r="Y43" s="40"/>
      <c r="Z43" s="165" t="str">
        <f>INDEX(Tableau2[TS],MATCH(Tableau3[[#This Row],[ID-CARTEVOIE]],Tableau2[ID-CARTEVOIE],0))</f>
        <v>ET</v>
      </c>
      <c r="AA43" s="53" t="s">
        <v>213</v>
      </c>
      <c r="AB43" s="223" t="str">
        <f>IFERROR(INDEX(Tableau5[Reserve],MATCH(Tableau3[[#This Row],[ID-SIG]],Tableau5[ID],0))&amp;"","")</f>
        <v/>
      </c>
      <c r="AC43" s="21"/>
      <c r="AD43" s="108" t="str">
        <f>INDEX(Tableau7[Repere],MATCH(Tableau3[[#This Row],[ID-API]],Tableau7[ID-API],0))&amp;""</f>
        <v>A1</v>
      </c>
      <c r="AE43" s="108" t="str">
        <f>INDEX(Tableau1[Repere-Rack],MATCH(Tableau3[[#This Row],[ID-RACK]],Tableau1[ID-RACK],0))&amp;""</f>
        <v>R1</v>
      </c>
      <c r="AF43" s="108" t="str">
        <f>INDEX(Tableau1[Repere-Slot],MATCH(Tableau3[[#This Row],[ID-SLOT]],Tableau1[ID-SLOT],0))&amp;""</f>
        <v>S7</v>
      </c>
      <c r="AG43" s="108" t="str">
        <f>INDEX(Tableau2[Repere-Voie],MATCH(Tableau3[[#This Row],[ID-VOIE]],Tableau2[ID-Voie],0))&amp;""</f>
        <v>v9</v>
      </c>
      <c r="AH43" s="72" t="str">
        <f>Tableau3[[#This Row],[ID-API]]&amp; "." &amp;Tableau3[[#This Row],[ID-RACK]]&amp; "." &amp;Tableau3[[#This Row],[ID-SLOT]]</f>
        <v>1.1.7</v>
      </c>
      <c r="AI43" s="72" t="str">
        <f>INDEX(Tableau1[Ref-Carte],MATCH(Tableau3[[#This Row],[ID-RRS]],Tableau1[ID-RRS],0))</f>
        <v>SDI1602</v>
      </c>
      <c r="AJ43" s="72" t="str">
        <f t="array" ref="AJ43">IFERROR(INDEX(Tableau2[TS],MATCH(1,(Tableau2[Ref-Carte]=Tableau3[[#This Row],[Ref-Carte2]])*(Tableau2[ID-Voie]=Tableau3[[#This Row],[ID-VOIE]]),0)),"")</f>
        <v>ET</v>
      </c>
      <c r="AK43" s="72" t="str">
        <f>IFERROR(INDEX(Tableau2[TS],SUMPRODUCT((Tableau2[Ref-Carte]=Tableau3[[#This Row],[Ref-Carte2]])*(Tableau2[ID-Voie]=Tableau3[[#This Row],[ID-VOIE]])*ROW(Tableau2[TS]))-ROW(Tableau2[#Headers])),"")</f>
        <v>ET</v>
      </c>
      <c r="AL43" s="72" t="str">
        <f>Tableau3[[#This Row],[Ref-Carte2]]&amp;"/"&amp;Tableau3[[#This Row],[ID-VOIE]]</f>
        <v>SDI1602/9</v>
      </c>
      <c r="AM43" s="73" t="str">
        <f>INDEX(Tableau2[Borne],MATCH(Tableau3[[#This Row],[ID-CARTEVOIE]],Tableau2[ID-CARTEVOIE],0))&amp;""</f>
        <v>4A</v>
      </c>
      <c r="AN43" s="74" t="str">
        <f>Tableau3[[#This Row],[ID-API]]&amp;Tableau3[[#This Row],[ID-RACK]]&amp;Tableau3[[#This Row],[ID-SLOT]]&amp;Tableau3[[#This Row],[BORNE]]</f>
        <v>1174A</v>
      </c>
      <c r="AO43" s="1"/>
    </row>
    <row r="44" spans="1:41" ht="20.100000000000001" customHeight="1" thickTop="1" thickBot="1">
      <c r="A44" s="68"/>
      <c r="B44" s="69" t="str">
        <f>IFERROR(INDEX(Tableau4[Date],MATCH($A44,Tableau4[EVO],0)),"")</f>
        <v/>
      </c>
      <c r="C44" s="68" t="str">
        <f>IFERROR(INDEX(Tableau4[Designation],MATCH($A44,Tableau4[EVO],0)),"")</f>
        <v/>
      </c>
      <c r="D44" s="68"/>
      <c r="E44" s="70">
        <v>14</v>
      </c>
      <c r="F44" s="71">
        <v>106</v>
      </c>
      <c r="G44" s="101" t="str">
        <f>INDEX(Tableau8[Att1],MATCH(Tableau3[[#This Row],[ID-INS]],Tableau8[ID],0))&amp;""</f>
        <v>B22</v>
      </c>
      <c r="H44" s="101" t="str">
        <f>INDEX(Tableau8[Att2],MATCH(Tableau3[[#This Row],[ID-INS]],Tableau8[ID],0))&amp;""</f>
        <v>PV1</v>
      </c>
      <c r="I44" s="101" t="str">
        <f>INDEX(Tableau8[Att3],MATCH(Tableau3[[#This Row],[ID-INS]],Tableau8[ID],0))&amp;""</f>
        <v>Porte vitrée PV1</v>
      </c>
      <c r="J44" s="101"/>
      <c r="K44" s="167" t="str">
        <f>INDEX(Tableau8[Nom du modele],MATCH(Tableau3[[#This Row],[ID-INS]],Tableau8[ID],0))&amp;""</f>
        <v>PorteVitree</v>
      </c>
      <c r="L44" s="99" t="str">
        <f>INDEX(Tableau5[Att1],MATCH(Tableau3[[#This Row],[ID-SIG]],Tableau5[ID],0))&amp;""</f>
        <v>Fer</v>
      </c>
      <c r="M44" s="99" t="str">
        <f>INDEX(Tableau5[Att2],MATCH(Tableau3[[#This Row],[ID-SIG]],Tableau5[ID],0))&amp;""</f>
        <v/>
      </c>
      <c r="N44" s="99" t="str">
        <f>INDEX(Tableau5[Att3],MATCH(Tableau3[[#This Row],[ID-SIG]],Tableau5[ID],0))&amp;""</f>
        <v/>
      </c>
      <c r="O44" s="99"/>
      <c r="P44" s="99" t="str">
        <f>INDEX(Tableau5[Description],MATCH(Tableau3[[#This Row],[ID-SIG]],Tableau5[ID],0))</f>
        <v>Retour d'etat fermée</v>
      </c>
      <c r="Q44" s="99"/>
      <c r="R44" s="103" t="str">
        <f>Tableau3[[#This Row],[Description]]</f>
        <v>Retour d'etat fermée</v>
      </c>
      <c r="S44" s="52"/>
      <c r="U44" s="87">
        <v>1</v>
      </c>
      <c r="V44" s="87">
        <v>1</v>
      </c>
      <c r="W44" s="87">
        <v>7</v>
      </c>
      <c r="X44" s="87">
        <v>10</v>
      </c>
      <c r="Y44" s="40"/>
      <c r="Z44" s="165" t="str">
        <f>INDEX(Tableau2[TS],MATCH(Tableau3[[#This Row],[ID-CARTEVOIE]],Tableau2[ID-CARTEVOIE],0))</f>
        <v>ET</v>
      </c>
      <c r="AA44" s="53" t="s">
        <v>213</v>
      </c>
      <c r="AB44" s="223" t="str">
        <f>IFERROR(INDEX(Tableau5[Reserve],MATCH(Tableau3[[#This Row],[ID-SIG]],Tableau5[ID],0))&amp;"","")</f>
        <v/>
      </c>
      <c r="AC44" s="21"/>
      <c r="AD44" s="108" t="str">
        <f>INDEX(Tableau7[Repere],MATCH(Tableau3[[#This Row],[ID-API]],Tableau7[ID-API],0))&amp;""</f>
        <v>A1</v>
      </c>
      <c r="AE44" s="108" t="str">
        <f>INDEX(Tableau1[Repere-Rack],MATCH(Tableau3[[#This Row],[ID-RACK]],Tableau1[ID-RACK],0))&amp;""</f>
        <v>R1</v>
      </c>
      <c r="AF44" s="108" t="str">
        <f>INDEX(Tableau1[Repere-Slot],MATCH(Tableau3[[#This Row],[ID-SLOT]],Tableau1[ID-SLOT],0))&amp;""</f>
        <v>S7</v>
      </c>
      <c r="AG44" s="108" t="str">
        <f>INDEX(Tableau2[Repere-Voie],MATCH(Tableau3[[#This Row],[ID-VOIE]],Tableau2[ID-Voie],0))&amp;""</f>
        <v>v10</v>
      </c>
      <c r="AH44" s="72" t="str">
        <f>Tableau3[[#This Row],[ID-API]]&amp; "." &amp;Tableau3[[#This Row],[ID-RACK]]&amp; "." &amp;Tableau3[[#This Row],[ID-SLOT]]</f>
        <v>1.1.7</v>
      </c>
      <c r="AI44" s="72" t="str">
        <f>INDEX(Tableau1[Ref-Carte],MATCH(Tableau3[[#This Row],[ID-RRS]],Tableau1[ID-RRS],0))</f>
        <v>SDI1602</v>
      </c>
      <c r="AJ44" s="72" t="str">
        <f t="array" ref="AJ44">IFERROR(INDEX(Tableau2[TS],MATCH(1,(Tableau2[Ref-Carte]=Tableau3[[#This Row],[Ref-Carte2]])*(Tableau2[ID-Voie]=Tableau3[[#This Row],[ID-VOIE]]),0)),"")</f>
        <v>ET</v>
      </c>
      <c r="AK44" s="72" t="str">
        <f>IFERROR(INDEX(Tableau2[TS],SUMPRODUCT((Tableau2[Ref-Carte]=Tableau3[[#This Row],[Ref-Carte2]])*(Tableau2[ID-Voie]=Tableau3[[#This Row],[ID-VOIE]])*ROW(Tableau2[TS]))-ROW(Tableau2[#Headers])),"")</f>
        <v>ET</v>
      </c>
      <c r="AL44" s="72" t="str">
        <f>Tableau3[[#This Row],[Ref-Carte2]]&amp;"/"&amp;Tableau3[[#This Row],[ID-VOIE]]</f>
        <v>SDI1602/10</v>
      </c>
      <c r="AM44" s="73" t="str">
        <f>INDEX(Tableau2[Borne],MATCH(Tableau3[[#This Row],[ID-CARTEVOIE]],Tableau2[ID-CARTEVOIE],0))&amp;""</f>
        <v>5B</v>
      </c>
      <c r="AN44" s="74" t="str">
        <f>Tableau3[[#This Row],[ID-API]]&amp;Tableau3[[#This Row],[ID-RACK]]&amp;Tableau3[[#This Row],[ID-SLOT]]&amp;Tableau3[[#This Row],[BORNE]]</f>
        <v>1175B</v>
      </c>
      <c r="AO44" s="1"/>
    </row>
    <row r="45" spans="1:41" ht="20.100000000000001" customHeight="1" thickTop="1" thickBot="1">
      <c r="A45" s="68"/>
      <c r="B45" s="69" t="str">
        <f>IFERROR(INDEX(Tableau4[Date],MATCH($A45,Tableau4[EVO],0)),"")</f>
        <v/>
      </c>
      <c r="C45" s="68" t="str">
        <f>IFERROR(INDEX(Tableau4[Designation],MATCH($A45,Tableau4[EVO],0)),"")</f>
        <v/>
      </c>
      <c r="D45" s="68"/>
      <c r="E45" s="70">
        <v>25</v>
      </c>
      <c r="F45" s="71">
        <v>100</v>
      </c>
      <c r="G45" s="101" t="str">
        <f>INDEX(Tableau8[Att1],MATCH(Tableau3[[#This Row],[ID-INS]],Tableau8[ID],0))&amp;""</f>
        <v>B22</v>
      </c>
      <c r="H45" s="101" t="str">
        <f>INDEX(Tableau8[Att2],MATCH(Tableau3[[#This Row],[ID-INS]],Tableau8[ID],0))&amp;""</f>
        <v>VIGIE_ARUP1</v>
      </c>
      <c r="I45" s="101" t="str">
        <f>INDEX(Tableau8[Att3],MATCH(Tableau3[[#This Row],[ID-INS]],Tableau8[ID],0))&amp;""</f>
        <v>VIGIE ARUP1</v>
      </c>
      <c r="J45" s="101"/>
      <c r="K45" s="167" t="str">
        <f>INDEX(Tableau8[Nom du modele],MATCH(Tableau3[[#This Row],[ID-INS]],Tableau8[ID],0))&amp;""</f>
        <v>ARU</v>
      </c>
      <c r="L45" s="99" t="str">
        <f>INDEX(Tableau5[Att1],MATCH(Tableau3[[#This Row],[ID-SIG]],Tableau5[ID],0))&amp;""</f>
        <v>Decl1</v>
      </c>
      <c r="M45" s="99" t="str">
        <f>INDEX(Tableau5[Att2],MATCH(Tableau3[[#This Row],[ID-SIG]],Tableau5[ID],0))&amp;""</f>
        <v/>
      </c>
      <c r="N45" s="99" t="str">
        <f>INDEX(Tableau5[Att3],MATCH(Tableau3[[#This Row],[ID-SIG]],Tableau5[ID],0))&amp;""</f>
        <v/>
      </c>
      <c r="O45" s="99"/>
      <c r="P45" s="99" t="str">
        <f>INDEX(Tableau5[Description],MATCH(Tableau3[[#This Row],[ID-SIG]],Tableau5[ID],0))</f>
        <v>Déclenchement contact 1</v>
      </c>
      <c r="Q45" s="99"/>
      <c r="R45" s="103" t="str">
        <f>Tableau3[[#This Row],[Description]]</f>
        <v>Déclenchement contact 1</v>
      </c>
      <c r="U45" s="87">
        <v>1</v>
      </c>
      <c r="V45" s="87">
        <v>1</v>
      </c>
      <c r="W45" s="87">
        <v>7</v>
      </c>
      <c r="X45" s="87">
        <v>11</v>
      </c>
      <c r="Y45" s="40"/>
      <c r="Z45" s="165" t="str">
        <f>INDEX(Tableau2[TS],MATCH(Tableau3[[#This Row],[ID-CARTEVOIE]],Tableau2[ID-CARTEVOIE],0))</f>
        <v>ET</v>
      </c>
      <c r="AA45" s="53" t="s">
        <v>213</v>
      </c>
      <c r="AB45" s="223" t="str">
        <f>IFERROR(INDEX(Tableau5[Reserve],MATCH(Tableau3[[#This Row],[ID-SIG]],Tableau5[ID],0))&amp;"","")</f>
        <v/>
      </c>
      <c r="AC45" s="21"/>
      <c r="AD45" s="108" t="str">
        <f>INDEX(Tableau7[Repere],MATCH(Tableau3[[#This Row],[ID-API]],Tableau7[ID-API],0))&amp;""</f>
        <v>A1</v>
      </c>
      <c r="AE45" s="108" t="str">
        <f>INDEX(Tableau1[Repere-Rack],MATCH(Tableau3[[#This Row],[ID-RACK]],Tableau1[ID-RACK],0))&amp;""</f>
        <v>R1</v>
      </c>
      <c r="AF45" s="108" t="str">
        <f>INDEX(Tableau1[Repere-Slot],MATCH(Tableau3[[#This Row],[ID-SLOT]],Tableau1[ID-SLOT],0))&amp;""</f>
        <v>S7</v>
      </c>
      <c r="AG45" s="108" t="str">
        <f>INDEX(Tableau2[Repere-Voie],MATCH(Tableau3[[#This Row],[ID-VOIE]],Tableau2[ID-Voie],0))&amp;""</f>
        <v>v11</v>
      </c>
      <c r="AH45" s="72" t="str">
        <f>Tableau3[[#This Row],[ID-API]]&amp; "." &amp;Tableau3[[#This Row],[ID-RACK]]&amp; "." &amp;Tableau3[[#This Row],[ID-SLOT]]</f>
        <v>1.1.7</v>
      </c>
      <c r="AI45" s="72" t="str">
        <f>INDEX(Tableau1[Ref-Carte],MATCH(Tableau3[[#This Row],[ID-RRS]],Tableau1[ID-RRS],0))</f>
        <v>SDI1602</v>
      </c>
      <c r="AJ45" s="72" t="str">
        <f t="array" ref="AJ45">IFERROR(INDEX(Tableau2[TS],MATCH(1,(Tableau2[Ref-Carte]=Tableau3[[#This Row],[Ref-Carte2]])*(Tableau2[ID-Voie]=Tableau3[[#This Row],[ID-VOIE]]),0)),"")</f>
        <v>ET</v>
      </c>
      <c r="AK45" s="72" t="str">
        <f>IFERROR(INDEX(Tableau2[TS],SUMPRODUCT((Tableau2[Ref-Carte]=Tableau3[[#This Row],[Ref-Carte2]])*(Tableau2[ID-Voie]=Tableau3[[#This Row],[ID-VOIE]])*ROW(Tableau2[TS]))-ROW(Tableau2[#Headers])),"")</f>
        <v>ET</v>
      </c>
      <c r="AL45" s="72" t="str">
        <f>Tableau3[[#This Row],[Ref-Carte2]]&amp;"/"&amp;Tableau3[[#This Row],[ID-VOIE]]</f>
        <v>SDI1602/11</v>
      </c>
      <c r="AM45" s="73" t="str">
        <f>INDEX(Tableau2[Borne],MATCH(Tableau3[[#This Row],[ID-CARTEVOIE]],Tableau2[ID-CARTEVOIE],0))&amp;""</f>
        <v>5A</v>
      </c>
      <c r="AN45" s="74" t="str">
        <f>Tableau3[[#This Row],[ID-API]]&amp;Tableau3[[#This Row],[ID-RACK]]&amp;Tableau3[[#This Row],[ID-SLOT]]&amp;Tableau3[[#This Row],[BORNE]]</f>
        <v>1175A</v>
      </c>
      <c r="AO45" s="1"/>
    </row>
    <row r="46" spans="1:41" ht="20.100000000000001" customHeight="1" thickTop="1" thickBot="1">
      <c r="A46" s="68"/>
      <c r="B46" s="69" t="str">
        <f>IFERROR(INDEX(Tableau4[Date],MATCH($A46,Tableau4[EVO],0)),"")</f>
        <v/>
      </c>
      <c r="C46" s="68" t="str">
        <f>IFERROR(INDEX(Tableau4[Designation],MATCH($A46,Tableau4[EVO],0)),"")</f>
        <v/>
      </c>
      <c r="D46" s="68"/>
      <c r="E46" s="70">
        <v>26</v>
      </c>
      <c r="F46" s="71">
        <v>100</v>
      </c>
      <c r="G46" s="101" t="str">
        <f>INDEX(Tableau8[Att1],MATCH(Tableau3[[#This Row],[ID-INS]],Tableau8[ID],0))&amp;""</f>
        <v>B22</v>
      </c>
      <c r="H46" s="101" t="str">
        <f>INDEX(Tableau8[Att2],MATCH(Tableau3[[#This Row],[ID-INS]],Tableau8[ID],0))&amp;""</f>
        <v>VIGIE_ARUP2</v>
      </c>
      <c r="I46" s="101" t="str">
        <f>INDEX(Tableau8[Att3],MATCH(Tableau3[[#This Row],[ID-INS]],Tableau8[ID],0))&amp;""</f>
        <v>VIGIE ARUP2</v>
      </c>
      <c r="J46" s="101"/>
      <c r="K46" s="167" t="str">
        <f>INDEX(Tableau8[Nom du modele],MATCH(Tableau3[[#This Row],[ID-INS]],Tableau8[ID],0))&amp;""</f>
        <v>ARU</v>
      </c>
      <c r="L46" s="99" t="str">
        <f>INDEX(Tableau5[Att1],MATCH(Tableau3[[#This Row],[ID-SIG]],Tableau5[ID],0))&amp;""</f>
        <v>Decl1</v>
      </c>
      <c r="M46" s="99" t="str">
        <f>INDEX(Tableau5[Att2],MATCH(Tableau3[[#This Row],[ID-SIG]],Tableau5[ID],0))&amp;""</f>
        <v/>
      </c>
      <c r="N46" s="99" t="str">
        <f>INDEX(Tableau5[Att3],MATCH(Tableau3[[#This Row],[ID-SIG]],Tableau5[ID],0))&amp;""</f>
        <v/>
      </c>
      <c r="O46" s="99"/>
      <c r="P46" s="99" t="str">
        <f>INDEX(Tableau5[Description],MATCH(Tableau3[[#This Row],[ID-SIG]],Tableau5[ID],0))</f>
        <v>Déclenchement contact 1</v>
      </c>
      <c r="Q46" s="99"/>
      <c r="R46" s="103" t="str">
        <f>Tableau3[[#This Row],[Description]]</f>
        <v>Déclenchement contact 1</v>
      </c>
      <c r="U46" s="87">
        <v>1</v>
      </c>
      <c r="V46" s="87">
        <v>1</v>
      </c>
      <c r="W46" s="87">
        <v>7</v>
      </c>
      <c r="X46" s="87">
        <v>12</v>
      </c>
      <c r="Y46" s="40"/>
      <c r="Z46" s="165" t="str">
        <f>INDEX(Tableau2[TS],MATCH(Tableau3[[#This Row],[ID-CARTEVOIE]],Tableau2[ID-CARTEVOIE],0))</f>
        <v>ET</v>
      </c>
      <c r="AA46" s="53" t="s">
        <v>213</v>
      </c>
      <c r="AB46" s="223" t="str">
        <f>IFERROR(INDEX(Tableau5[Reserve],MATCH(Tableau3[[#This Row],[ID-SIG]],Tableau5[ID],0))&amp;"","")</f>
        <v/>
      </c>
      <c r="AC46" s="21"/>
      <c r="AD46" s="108" t="str">
        <f>INDEX(Tableau7[Repere],MATCH(Tableau3[[#This Row],[ID-API]],Tableau7[ID-API],0))&amp;""</f>
        <v>A1</v>
      </c>
      <c r="AE46" s="108" t="str">
        <f>INDEX(Tableau1[Repere-Rack],MATCH(Tableau3[[#This Row],[ID-RACK]],Tableau1[ID-RACK],0))&amp;""</f>
        <v>R1</v>
      </c>
      <c r="AF46" s="108" t="str">
        <f>INDEX(Tableau1[Repere-Slot],MATCH(Tableau3[[#This Row],[ID-SLOT]],Tableau1[ID-SLOT],0))&amp;""</f>
        <v>S7</v>
      </c>
      <c r="AG46" s="108" t="str">
        <f>INDEX(Tableau2[Repere-Voie],MATCH(Tableau3[[#This Row],[ID-VOIE]],Tableau2[ID-Voie],0))&amp;""</f>
        <v>v12</v>
      </c>
      <c r="AH46" s="72" t="str">
        <f>Tableau3[[#This Row],[ID-API]]&amp; "." &amp;Tableau3[[#This Row],[ID-RACK]]&amp; "." &amp;Tableau3[[#This Row],[ID-SLOT]]</f>
        <v>1.1.7</v>
      </c>
      <c r="AI46" s="72" t="str">
        <f>INDEX(Tableau1[Ref-Carte],MATCH(Tableau3[[#This Row],[ID-RRS]],Tableau1[ID-RRS],0))</f>
        <v>SDI1602</v>
      </c>
      <c r="AJ46" s="72" t="str">
        <f t="array" ref="AJ46">IFERROR(INDEX(Tableau2[TS],MATCH(1,(Tableau2[Ref-Carte]=Tableau3[[#This Row],[Ref-Carte2]])*(Tableau2[ID-Voie]=Tableau3[[#This Row],[ID-VOIE]]),0)),"")</f>
        <v>ET</v>
      </c>
      <c r="AK46" s="72" t="str">
        <f>IFERROR(INDEX(Tableau2[TS],SUMPRODUCT((Tableau2[Ref-Carte]=Tableau3[[#This Row],[Ref-Carte2]])*(Tableau2[ID-Voie]=Tableau3[[#This Row],[ID-VOIE]])*ROW(Tableau2[TS]))-ROW(Tableau2[#Headers])),"")</f>
        <v>ET</v>
      </c>
      <c r="AL46" s="72" t="str">
        <f>Tableau3[[#This Row],[Ref-Carte2]]&amp;"/"&amp;Tableau3[[#This Row],[ID-VOIE]]</f>
        <v>SDI1602/12</v>
      </c>
      <c r="AM46" s="73" t="str">
        <f>INDEX(Tableau2[Borne],MATCH(Tableau3[[#This Row],[ID-CARTEVOIE]],Tableau2[ID-CARTEVOIE],0))&amp;""</f>
        <v>6B</v>
      </c>
      <c r="AN46" s="74" t="str">
        <f>Tableau3[[#This Row],[ID-API]]&amp;Tableau3[[#This Row],[ID-RACK]]&amp;Tableau3[[#This Row],[ID-SLOT]]&amp;Tableau3[[#This Row],[BORNE]]</f>
        <v>1176B</v>
      </c>
      <c r="AO46" s="1"/>
    </row>
    <row r="47" spans="1:41" ht="20.100000000000001" customHeight="1" thickTop="1" thickBot="1">
      <c r="A47" s="68"/>
      <c r="B47" s="69" t="str">
        <f>IFERROR(INDEX(Tableau4[Date],MATCH($A47,Tableau4[EVO],0)),"")</f>
        <v/>
      </c>
      <c r="C47" s="68" t="str">
        <f>IFERROR(INDEX(Tableau4[Designation],MATCH($A47,Tableau4[EVO],0)),"")</f>
        <v/>
      </c>
      <c r="D47" s="68"/>
      <c r="E47" s="70">
        <v>27</v>
      </c>
      <c r="F47" s="71">
        <v>100</v>
      </c>
      <c r="G47" s="101" t="str">
        <f>INDEX(Tableau8[Att1],MATCH(Tableau3[[#This Row],[ID-INS]],Tableau8[ID],0))&amp;""</f>
        <v>B22</v>
      </c>
      <c r="H47" s="101" t="str">
        <f>INDEX(Tableau8[Att2],MATCH(Tableau3[[#This Row],[ID-INS]],Tableau8[ID],0))&amp;""</f>
        <v>Réserve</v>
      </c>
      <c r="I47" s="101" t="str">
        <f>INDEX(Tableau8[Att3],MATCH(Tableau3[[#This Row],[ID-INS]],Tableau8[ID],0))&amp;""</f>
        <v>Réserve</v>
      </c>
      <c r="J47" s="101"/>
      <c r="K47" s="167" t="str">
        <f>INDEX(Tableau8[Nom du modele],MATCH(Tableau3[[#This Row],[ID-INS]],Tableau8[ID],0))&amp;""</f>
        <v>ARU</v>
      </c>
      <c r="L47" s="99" t="str">
        <f>INDEX(Tableau5[Att1],MATCH(Tableau3[[#This Row],[ID-SIG]],Tableau5[ID],0))&amp;""</f>
        <v>Decl1</v>
      </c>
      <c r="M47" s="99" t="str">
        <f>INDEX(Tableau5[Att2],MATCH(Tableau3[[#This Row],[ID-SIG]],Tableau5[ID],0))&amp;""</f>
        <v/>
      </c>
      <c r="N47" s="99" t="str">
        <f>INDEX(Tableau5[Att3],MATCH(Tableau3[[#This Row],[ID-SIG]],Tableau5[ID],0))&amp;""</f>
        <v/>
      </c>
      <c r="O47" s="99"/>
      <c r="P47" s="99" t="str">
        <f>INDEX(Tableau5[Description],MATCH(Tableau3[[#This Row],[ID-SIG]],Tableau5[ID],0))</f>
        <v>Déclenchement contact 1</v>
      </c>
      <c r="Q47" s="99"/>
      <c r="R47" s="103" t="str">
        <f>Tableau3[[#This Row],[Description]]</f>
        <v>Déclenchement contact 1</v>
      </c>
      <c r="U47" s="87">
        <v>1</v>
      </c>
      <c r="V47" s="87">
        <v>1</v>
      </c>
      <c r="W47" s="87">
        <v>7</v>
      </c>
      <c r="X47" s="87">
        <v>13</v>
      </c>
      <c r="Y47" s="40"/>
      <c r="Z47" s="165" t="str">
        <f>INDEX(Tableau2[TS],MATCH(Tableau3[[#This Row],[ID-CARTEVOIE]],Tableau2[ID-CARTEVOIE],0))</f>
        <v>ET</v>
      </c>
      <c r="AA47" s="53" t="s">
        <v>213</v>
      </c>
      <c r="AB47" s="223" t="str">
        <f>IFERROR(INDEX(Tableau5[Reserve],MATCH(Tableau3[[#This Row],[ID-SIG]],Tableau5[ID],0))&amp;"","")</f>
        <v/>
      </c>
      <c r="AC47" s="21"/>
      <c r="AD47" s="108" t="str">
        <f>INDEX(Tableau7[Repere],MATCH(Tableau3[[#This Row],[ID-API]],Tableau7[ID-API],0))&amp;""</f>
        <v>A1</v>
      </c>
      <c r="AE47" s="108" t="str">
        <f>INDEX(Tableau1[Repere-Rack],MATCH(Tableau3[[#This Row],[ID-RACK]],Tableau1[ID-RACK],0))&amp;""</f>
        <v>R1</v>
      </c>
      <c r="AF47" s="108" t="str">
        <f>INDEX(Tableau1[Repere-Slot],MATCH(Tableau3[[#This Row],[ID-SLOT]],Tableau1[ID-SLOT],0))&amp;""</f>
        <v>S7</v>
      </c>
      <c r="AG47" s="108" t="str">
        <f>INDEX(Tableau2[Repere-Voie],MATCH(Tableau3[[#This Row],[ID-VOIE]],Tableau2[ID-Voie],0))&amp;""</f>
        <v>v13</v>
      </c>
      <c r="AH47" s="72" t="str">
        <f>Tableau3[[#This Row],[ID-API]]&amp; "." &amp;Tableau3[[#This Row],[ID-RACK]]&amp; "." &amp;Tableau3[[#This Row],[ID-SLOT]]</f>
        <v>1.1.7</v>
      </c>
      <c r="AI47" s="72" t="str">
        <f>INDEX(Tableau1[Ref-Carte],MATCH(Tableau3[[#This Row],[ID-RRS]],Tableau1[ID-RRS],0))</f>
        <v>SDI1602</v>
      </c>
      <c r="AJ47" s="72" t="str">
        <f t="array" ref="AJ47">IFERROR(INDEX(Tableau2[TS],MATCH(1,(Tableau2[Ref-Carte]=Tableau3[[#This Row],[Ref-Carte2]])*(Tableau2[ID-Voie]=Tableau3[[#This Row],[ID-VOIE]]),0)),"")</f>
        <v>ET</v>
      </c>
      <c r="AK47" s="72" t="str">
        <f>IFERROR(INDEX(Tableau2[TS],SUMPRODUCT((Tableau2[Ref-Carte]=Tableau3[[#This Row],[Ref-Carte2]])*(Tableau2[ID-Voie]=Tableau3[[#This Row],[ID-VOIE]])*ROW(Tableau2[TS]))-ROW(Tableau2[#Headers])),"")</f>
        <v>ET</v>
      </c>
      <c r="AL47" s="72" t="str">
        <f>Tableau3[[#This Row],[Ref-Carte2]]&amp;"/"&amp;Tableau3[[#This Row],[ID-VOIE]]</f>
        <v>SDI1602/13</v>
      </c>
      <c r="AM47" s="73" t="str">
        <f>INDEX(Tableau2[Borne],MATCH(Tableau3[[#This Row],[ID-CARTEVOIE]],Tableau2[ID-CARTEVOIE],0))&amp;""</f>
        <v>6A</v>
      </c>
      <c r="AN47" s="74" t="str">
        <f>Tableau3[[#This Row],[ID-API]]&amp;Tableau3[[#This Row],[ID-RACK]]&amp;Tableau3[[#This Row],[ID-SLOT]]&amp;Tableau3[[#This Row],[BORNE]]</f>
        <v>1176A</v>
      </c>
      <c r="AO47" s="1"/>
    </row>
    <row r="48" spans="1:41" ht="20.100000000000001" customHeight="1" thickTop="1" thickBot="1">
      <c r="A48" s="68"/>
      <c r="B48" s="69" t="str">
        <f>IFERROR(INDEX(Tableau4[Date],MATCH($A48,Tableau4[EVO],0)),"")</f>
        <v/>
      </c>
      <c r="C48" s="68" t="str">
        <f>IFERROR(INDEX(Tableau4[Designation],MATCH($A48,Tableau4[EVO],0)),"")</f>
        <v/>
      </c>
      <c r="D48" s="68"/>
      <c r="E48" s="70">
        <v>28</v>
      </c>
      <c r="F48" s="71">
        <v>100</v>
      </c>
      <c r="G48" s="101" t="str">
        <f>INDEX(Tableau8[Att1],MATCH(Tableau3[[#This Row],[ID-INS]],Tableau8[ID],0))&amp;""</f>
        <v>B22</v>
      </c>
      <c r="H48" s="101" t="str">
        <f>INDEX(Tableau8[Att2],MATCH(Tableau3[[#This Row],[ID-INS]],Tableau8[ID],0))&amp;""</f>
        <v>Réserve</v>
      </c>
      <c r="I48" s="101" t="str">
        <f>INDEX(Tableau8[Att3],MATCH(Tableau3[[#This Row],[ID-INS]],Tableau8[ID],0))&amp;""</f>
        <v>Réserve</v>
      </c>
      <c r="J48" s="101"/>
      <c r="K48" s="167" t="str">
        <f>INDEX(Tableau8[Nom du modele],MATCH(Tableau3[[#This Row],[ID-INS]],Tableau8[ID],0))&amp;""</f>
        <v>ARU</v>
      </c>
      <c r="L48" s="99" t="str">
        <f>INDEX(Tableau5[Att1],MATCH(Tableau3[[#This Row],[ID-SIG]],Tableau5[ID],0))&amp;""</f>
        <v>Decl1</v>
      </c>
      <c r="M48" s="99" t="str">
        <f>INDEX(Tableau5[Att2],MATCH(Tableau3[[#This Row],[ID-SIG]],Tableau5[ID],0))&amp;""</f>
        <v/>
      </c>
      <c r="N48" s="99" t="str">
        <f>INDEX(Tableau5[Att3],MATCH(Tableau3[[#This Row],[ID-SIG]],Tableau5[ID],0))&amp;""</f>
        <v/>
      </c>
      <c r="O48" s="99"/>
      <c r="P48" s="99" t="str">
        <f>INDEX(Tableau5[Description],MATCH(Tableau3[[#This Row],[ID-SIG]],Tableau5[ID],0))</f>
        <v>Déclenchement contact 1</v>
      </c>
      <c r="Q48" s="99"/>
      <c r="R48" s="103" t="str">
        <f>Tableau3[[#This Row],[Description]]</f>
        <v>Déclenchement contact 1</v>
      </c>
      <c r="U48" s="87">
        <v>1</v>
      </c>
      <c r="V48" s="87">
        <v>1</v>
      </c>
      <c r="W48" s="87">
        <v>7</v>
      </c>
      <c r="X48" s="87">
        <v>14</v>
      </c>
      <c r="Y48" s="40"/>
      <c r="Z48" s="165" t="str">
        <f>INDEX(Tableau2[TS],MATCH(Tableau3[[#This Row],[ID-CARTEVOIE]],Tableau2[ID-CARTEVOIE],0))</f>
        <v>ET</v>
      </c>
      <c r="AA48" s="53" t="s">
        <v>213</v>
      </c>
      <c r="AB48" s="223" t="str">
        <f>IFERROR(INDEX(Tableau5[Reserve],MATCH(Tableau3[[#This Row],[ID-SIG]],Tableau5[ID],0))&amp;"","")</f>
        <v/>
      </c>
      <c r="AC48" s="21"/>
      <c r="AD48" s="108" t="str">
        <f>INDEX(Tableau7[Repere],MATCH(Tableau3[[#This Row],[ID-API]],Tableau7[ID-API],0))&amp;""</f>
        <v>A1</v>
      </c>
      <c r="AE48" s="108" t="str">
        <f>INDEX(Tableau1[Repere-Rack],MATCH(Tableau3[[#This Row],[ID-RACK]],Tableau1[ID-RACK],0))&amp;""</f>
        <v>R1</v>
      </c>
      <c r="AF48" s="108" t="str">
        <f>INDEX(Tableau1[Repere-Slot],MATCH(Tableau3[[#This Row],[ID-SLOT]],Tableau1[ID-SLOT],0))&amp;""</f>
        <v>S7</v>
      </c>
      <c r="AG48" s="108" t="str">
        <f>INDEX(Tableau2[Repere-Voie],MATCH(Tableau3[[#This Row],[ID-VOIE]],Tableau2[ID-Voie],0))&amp;""</f>
        <v>v14</v>
      </c>
      <c r="AH48" s="72" t="str">
        <f>Tableau3[[#This Row],[ID-API]]&amp; "." &amp;Tableau3[[#This Row],[ID-RACK]]&amp; "." &amp;Tableau3[[#This Row],[ID-SLOT]]</f>
        <v>1.1.7</v>
      </c>
      <c r="AI48" s="72" t="str">
        <f>INDEX(Tableau1[Ref-Carte],MATCH(Tableau3[[#This Row],[ID-RRS]],Tableau1[ID-RRS],0))</f>
        <v>SDI1602</v>
      </c>
      <c r="AJ48" s="72" t="str">
        <f t="array" ref="AJ48">IFERROR(INDEX(Tableau2[TS],MATCH(1,(Tableau2[Ref-Carte]=Tableau3[[#This Row],[Ref-Carte2]])*(Tableau2[ID-Voie]=Tableau3[[#This Row],[ID-VOIE]]),0)),"")</f>
        <v>ET</v>
      </c>
      <c r="AK48" s="72" t="str">
        <f>IFERROR(INDEX(Tableau2[TS],SUMPRODUCT((Tableau2[Ref-Carte]=Tableau3[[#This Row],[Ref-Carte2]])*(Tableau2[ID-Voie]=Tableau3[[#This Row],[ID-VOIE]])*ROW(Tableau2[TS]))-ROW(Tableau2[#Headers])),"")</f>
        <v>ET</v>
      </c>
      <c r="AL48" s="72" t="str">
        <f>Tableau3[[#This Row],[Ref-Carte2]]&amp;"/"&amp;Tableau3[[#This Row],[ID-VOIE]]</f>
        <v>SDI1602/14</v>
      </c>
      <c r="AM48" s="73" t="str">
        <f>INDEX(Tableau2[Borne],MATCH(Tableau3[[#This Row],[ID-CARTEVOIE]],Tableau2[ID-CARTEVOIE],0))&amp;""</f>
        <v>7B</v>
      </c>
      <c r="AN48" s="74" t="str">
        <f>Tableau3[[#This Row],[ID-API]]&amp;Tableau3[[#This Row],[ID-RACK]]&amp;Tableau3[[#This Row],[ID-SLOT]]&amp;Tableau3[[#This Row],[BORNE]]</f>
        <v>1177B</v>
      </c>
      <c r="AO48" s="1"/>
    </row>
    <row r="49" spans="1:41" ht="20.100000000000001" customHeight="1" thickTop="1" thickBot="1">
      <c r="A49" s="68"/>
      <c r="B49" s="69" t="str">
        <f>IFERROR(INDEX(Tableau4[Date],MATCH($A49,Tableau4[EVO],0)),"")</f>
        <v/>
      </c>
      <c r="C49" s="68" t="str">
        <f>IFERROR(INDEX(Tableau4[Designation],MATCH($A49,Tableau4[EVO],0)),"")</f>
        <v/>
      </c>
      <c r="D49" s="68"/>
      <c r="E49" s="70">
        <v>29</v>
      </c>
      <c r="F49" s="71">
        <v>100</v>
      </c>
      <c r="G49" s="101" t="str">
        <f>INDEX(Tableau8[Att1],MATCH(Tableau3[[#This Row],[ID-INS]],Tableau8[ID],0))&amp;""</f>
        <v>B22</v>
      </c>
      <c r="H49" s="101" t="str">
        <f>INDEX(Tableau8[Att2],MATCH(Tableau3[[#This Row],[ID-INS]],Tableau8[ID],0))&amp;""</f>
        <v>VIGIE_CDP2</v>
      </c>
      <c r="I49" s="101" t="str">
        <f>INDEX(Tableau8[Att3],MATCH(Tableau3[[#This Row],[ID-INS]],Tableau8[ID],0))&amp;""</f>
        <v>VIGIE CDP2</v>
      </c>
      <c r="J49" s="101"/>
      <c r="K49" s="167" t="str">
        <f>INDEX(Tableau8[Nom du modele],MATCH(Tableau3[[#This Row],[ID-INS]],Tableau8[ID],0))&amp;""</f>
        <v>ARU</v>
      </c>
      <c r="L49" s="99" t="str">
        <f>INDEX(Tableau5[Att1],MATCH(Tableau3[[#This Row],[ID-SIG]],Tableau5[ID],0))&amp;""</f>
        <v>Decl1</v>
      </c>
      <c r="M49" s="99" t="str">
        <f>INDEX(Tableau5[Att2],MATCH(Tableau3[[#This Row],[ID-SIG]],Tableau5[ID],0))&amp;""</f>
        <v/>
      </c>
      <c r="N49" s="99" t="str">
        <f>INDEX(Tableau5[Att3],MATCH(Tableau3[[#This Row],[ID-SIG]],Tableau5[ID],0))&amp;""</f>
        <v/>
      </c>
      <c r="O49" s="99"/>
      <c r="P49" s="99" t="str">
        <f>INDEX(Tableau5[Description],MATCH(Tableau3[[#This Row],[ID-SIG]],Tableau5[ID],0))</f>
        <v>Déclenchement contact 1</v>
      </c>
      <c r="Q49" s="99"/>
      <c r="R49" s="103" t="str">
        <f>Tableau3[[#This Row],[Description]]</f>
        <v>Déclenchement contact 1</v>
      </c>
      <c r="U49" s="87">
        <v>1</v>
      </c>
      <c r="V49" s="87">
        <v>1</v>
      </c>
      <c r="W49" s="87">
        <v>7</v>
      </c>
      <c r="X49" s="87">
        <v>15</v>
      </c>
      <c r="Y49" s="40"/>
      <c r="Z49" s="165" t="str">
        <f>INDEX(Tableau2[TS],MATCH(Tableau3[[#This Row],[ID-CARTEVOIE]],Tableau2[ID-CARTEVOIE],0))</f>
        <v>ET</v>
      </c>
      <c r="AA49" s="53" t="s">
        <v>213</v>
      </c>
      <c r="AB49" s="223" t="str">
        <f>IFERROR(INDEX(Tableau5[Reserve],MATCH(Tableau3[[#This Row],[ID-SIG]],Tableau5[ID],0))&amp;"","")</f>
        <v/>
      </c>
      <c r="AC49" s="21"/>
      <c r="AD49" s="108" t="str">
        <f>INDEX(Tableau7[Repere],MATCH(Tableau3[[#This Row],[ID-API]],Tableau7[ID-API],0))&amp;""</f>
        <v>A1</v>
      </c>
      <c r="AE49" s="108" t="str">
        <f>INDEX(Tableau1[Repere-Rack],MATCH(Tableau3[[#This Row],[ID-RACK]],Tableau1[ID-RACK],0))&amp;""</f>
        <v>R1</v>
      </c>
      <c r="AF49" s="108" t="str">
        <f>INDEX(Tableau1[Repere-Slot],MATCH(Tableau3[[#This Row],[ID-SLOT]],Tableau1[ID-SLOT],0))&amp;""</f>
        <v>S7</v>
      </c>
      <c r="AG49" s="108" t="str">
        <f>INDEX(Tableau2[Repere-Voie],MATCH(Tableau3[[#This Row],[ID-VOIE]],Tableau2[ID-Voie],0))&amp;""</f>
        <v>v15</v>
      </c>
      <c r="AH49" s="72" t="str">
        <f>Tableau3[[#This Row],[ID-API]]&amp; "." &amp;Tableau3[[#This Row],[ID-RACK]]&amp; "." &amp;Tableau3[[#This Row],[ID-SLOT]]</f>
        <v>1.1.7</v>
      </c>
      <c r="AI49" s="72" t="str">
        <f>INDEX(Tableau1[Ref-Carte],MATCH(Tableau3[[#This Row],[ID-RRS]],Tableau1[ID-RRS],0))</f>
        <v>SDI1602</v>
      </c>
      <c r="AJ49" s="72" t="str">
        <f t="array" ref="AJ49">IFERROR(INDEX(Tableau2[TS],MATCH(1,(Tableau2[Ref-Carte]=Tableau3[[#This Row],[Ref-Carte2]])*(Tableau2[ID-Voie]=Tableau3[[#This Row],[ID-VOIE]]),0)),"")</f>
        <v>ET</v>
      </c>
      <c r="AK49" s="72" t="str">
        <f>IFERROR(INDEX(Tableau2[TS],SUMPRODUCT((Tableau2[Ref-Carte]=Tableau3[[#This Row],[Ref-Carte2]])*(Tableau2[ID-Voie]=Tableau3[[#This Row],[ID-VOIE]])*ROW(Tableau2[TS]))-ROW(Tableau2[#Headers])),"")</f>
        <v>ET</v>
      </c>
      <c r="AL49" s="72" t="str">
        <f>Tableau3[[#This Row],[Ref-Carte2]]&amp;"/"&amp;Tableau3[[#This Row],[ID-VOIE]]</f>
        <v>SDI1602/15</v>
      </c>
      <c r="AM49" s="73" t="str">
        <f>INDEX(Tableau2[Borne],MATCH(Tableau3[[#This Row],[ID-CARTEVOIE]],Tableau2[ID-CARTEVOIE],0))&amp;""</f>
        <v>7A</v>
      </c>
      <c r="AN49" s="74" t="str">
        <f>Tableau3[[#This Row],[ID-API]]&amp;Tableau3[[#This Row],[ID-RACK]]&amp;Tableau3[[#This Row],[ID-SLOT]]&amp;Tableau3[[#This Row],[BORNE]]</f>
        <v>1177A</v>
      </c>
      <c r="AO49" s="1"/>
    </row>
    <row r="50" spans="1:41" ht="20.100000000000001" customHeight="1" thickTop="1" thickBot="1">
      <c r="A50" s="68"/>
      <c r="B50" s="69" t="str">
        <f>IFERROR(INDEX(Tableau4[Date],MATCH($A50,Tableau4[EVO],0)),"")</f>
        <v/>
      </c>
      <c r="C50" s="68" t="str">
        <f>IFERROR(INDEX(Tableau4[Designation],MATCH($A50,Tableau4[EVO],0)),"")</f>
        <v/>
      </c>
      <c r="D50" s="68"/>
      <c r="E50" s="70">
        <v>30</v>
      </c>
      <c r="F50" s="71">
        <v>100</v>
      </c>
      <c r="G50" s="101" t="str">
        <f>INDEX(Tableau8[Att1],MATCH(Tableau3[[#This Row],[ID-INS]],Tableau8[ID],0))&amp;""</f>
        <v>B22</v>
      </c>
      <c r="H50" s="101" t="str">
        <f>INDEX(Tableau8[Att2],MATCH(Tableau3[[#This Row],[ID-INS]],Tableau8[ID],0))&amp;""</f>
        <v>Réserve</v>
      </c>
      <c r="I50" s="101" t="str">
        <f>INDEX(Tableau8[Att3],MATCH(Tableau3[[#This Row],[ID-INS]],Tableau8[ID],0))&amp;""</f>
        <v>Réserve</v>
      </c>
      <c r="J50" s="101"/>
      <c r="K50" s="167" t="str">
        <f>INDEX(Tableau8[Nom du modele],MATCH(Tableau3[[#This Row],[ID-INS]],Tableau8[ID],0))&amp;""</f>
        <v>ARU</v>
      </c>
      <c r="L50" s="99" t="str">
        <f>INDEX(Tableau5[Att1],MATCH(Tableau3[[#This Row],[ID-SIG]],Tableau5[ID],0))&amp;""</f>
        <v>Decl1</v>
      </c>
      <c r="M50" s="99" t="str">
        <f>INDEX(Tableau5[Att2],MATCH(Tableau3[[#This Row],[ID-SIG]],Tableau5[ID],0))&amp;""</f>
        <v/>
      </c>
      <c r="N50" s="99" t="str">
        <f>INDEX(Tableau5[Att3],MATCH(Tableau3[[#This Row],[ID-SIG]],Tableau5[ID],0))&amp;""</f>
        <v/>
      </c>
      <c r="O50" s="99"/>
      <c r="P50" s="99" t="str">
        <f>INDEX(Tableau5[Description],MATCH(Tableau3[[#This Row],[ID-SIG]],Tableau5[ID],0))</f>
        <v>Déclenchement contact 1</v>
      </c>
      <c r="Q50" s="99"/>
      <c r="R50" s="103" t="str">
        <f>Tableau3[[#This Row],[Description]]</f>
        <v>Déclenchement contact 1</v>
      </c>
      <c r="U50" s="87">
        <v>1</v>
      </c>
      <c r="V50" s="87">
        <v>1</v>
      </c>
      <c r="W50" s="87">
        <v>8</v>
      </c>
      <c r="X50" s="87">
        <v>0</v>
      </c>
      <c r="Y50" s="40"/>
      <c r="Z50" s="165" t="str">
        <f>INDEX(Tableau2[TS],MATCH(Tableau3[[#This Row],[ID-CARTEVOIE]],Tableau2[ID-CARTEVOIE],0))</f>
        <v>ET</v>
      </c>
      <c r="AA50" s="53" t="s">
        <v>213</v>
      </c>
      <c r="AB50" s="223" t="str">
        <f>IFERROR(INDEX(Tableau5[Reserve],MATCH(Tableau3[[#This Row],[ID-SIG]],Tableau5[ID],0))&amp;"","")</f>
        <v/>
      </c>
      <c r="AC50" s="21"/>
      <c r="AD50" s="108" t="str">
        <f>INDEX(Tableau7[Repere],MATCH(Tableau3[[#This Row],[ID-API]],Tableau7[ID-API],0))&amp;""</f>
        <v>A1</v>
      </c>
      <c r="AE50" s="108" t="str">
        <f>INDEX(Tableau1[Repere-Rack],MATCH(Tableau3[[#This Row],[ID-RACK]],Tableau1[ID-RACK],0))&amp;""</f>
        <v>R1</v>
      </c>
      <c r="AF50" s="108" t="str">
        <f>INDEX(Tableau1[Repere-Slot],MATCH(Tableau3[[#This Row],[ID-SLOT]],Tableau1[ID-SLOT],0))&amp;""</f>
        <v>S8</v>
      </c>
      <c r="AG50" s="108" t="str">
        <f>INDEX(Tableau2[Repere-Voie],MATCH(Tableau3[[#This Row],[ID-VOIE]],Tableau2[ID-Voie],0))&amp;""</f>
        <v>v0</v>
      </c>
      <c r="AH50" s="72" t="str">
        <f>Tableau3[[#This Row],[ID-API]]&amp; "." &amp;Tableau3[[#This Row],[ID-RACK]]&amp; "." &amp;Tableau3[[#This Row],[ID-SLOT]]</f>
        <v>1.1.8</v>
      </c>
      <c r="AI50" s="72" t="str">
        <f>INDEX(Tableau1[Ref-Carte],MATCH(Tableau3[[#This Row],[ID-RRS]],Tableau1[ID-RRS],0))</f>
        <v>SDI1602</v>
      </c>
      <c r="AJ50" s="72" t="str">
        <f t="array" ref="AJ50">IFERROR(INDEX(Tableau2[TS],MATCH(1,(Tableau2[Ref-Carte]=Tableau3[[#This Row],[Ref-Carte2]])*(Tableau2[ID-Voie]=Tableau3[[#This Row],[ID-VOIE]]),0)),"")</f>
        <v>ET</v>
      </c>
      <c r="AK50" s="72" t="str">
        <f>IFERROR(INDEX(Tableau2[TS],SUMPRODUCT((Tableau2[Ref-Carte]=Tableau3[[#This Row],[Ref-Carte2]])*(Tableau2[ID-Voie]=Tableau3[[#This Row],[ID-VOIE]])*ROW(Tableau2[TS]))-ROW(Tableau2[#Headers])),"")</f>
        <v>ET</v>
      </c>
      <c r="AL50" s="72" t="str">
        <f>Tableau3[[#This Row],[Ref-Carte2]]&amp;"/"&amp;Tableau3[[#This Row],[ID-VOIE]]</f>
        <v>SDI1602/0</v>
      </c>
      <c r="AM50" s="73" t="str">
        <f>INDEX(Tableau2[Borne],MATCH(Tableau3[[#This Row],[ID-CARTEVOIE]],Tableau2[ID-CARTEVOIE],0))&amp;""</f>
        <v>0B</v>
      </c>
      <c r="AN50" s="74" t="str">
        <f>Tableau3[[#This Row],[ID-API]]&amp;Tableau3[[#This Row],[ID-RACK]]&amp;Tableau3[[#This Row],[ID-SLOT]]&amp;Tableau3[[#This Row],[BORNE]]</f>
        <v>1180B</v>
      </c>
      <c r="AO50" s="1"/>
    </row>
    <row r="51" spans="1:41" ht="20.100000000000001" customHeight="1" thickTop="1" thickBot="1">
      <c r="A51" s="68"/>
      <c r="B51" s="69" t="str">
        <f>IFERROR(INDEX(Tableau4[Date],MATCH($A51,Tableau4[EVO],0)),"")</f>
        <v/>
      </c>
      <c r="C51" s="68" t="str">
        <f>IFERROR(INDEX(Tableau4[Designation],MATCH($A51,Tableau4[EVO],0)),"")</f>
        <v/>
      </c>
      <c r="D51" s="68"/>
      <c r="E51" s="70">
        <v>31</v>
      </c>
      <c r="F51" s="71">
        <v>100</v>
      </c>
      <c r="G51" s="101" t="str">
        <f>INDEX(Tableau8[Att1],MATCH(Tableau3[[#This Row],[ID-INS]],Tableau8[ID],0))&amp;""</f>
        <v>B22</v>
      </c>
      <c r="H51" s="101" t="str">
        <f>INDEX(Tableau8[Att2],MATCH(Tableau3[[#This Row],[ID-INS]],Tableau8[ID],0))&amp;""</f>
        <v>Réserve</v>
      </c>
      <c r="I51" s="101" t="str">
        <f>INDEX(Tableau8[Att3],MATCH(Tableau3[[#This Row],[ID-INS]],Tableau8[ID],0))&amp;""</f>
        <v>Réserve</v>
      </c>
      <c r="J51" s="101"/>
      <c r="K51" s="167" t="str">
        <f>INDEX(Tableau8[Nom du modele],MATCH(Tableau3[[#This Row],[ID-INS]],Tableau8[ID],0))&amp;""</f>
        <v>ARU</v>
      </c>
      <c r="L51" s="99" t="str">
        <f>INDEX(Tableau5[Att1],MATCH(Tableau3[[#This Row],[ID-SIG]],Tableau5[ID],0))&amp;""</f>
        <v>Decl1</v>
      </c>
      <c r="M51" s="99" t="str">
        <f>INDEX(Tableau5[Att2],MATCH(Tableau3[[#This Row],[ID-SIG]],Tableau5[ID],0))&amp;""</f>
        <v/>
      </c>
      <c r="N51" s="99" t="str">
        <f>INDEX(Tableau5[Att3],MATCH(Tableau3[[#This Row],[ID-SIG]],Tableau5[ID],0))&amp;""</f>
        <v/>
      </c>
      <c r="O51" s="99"/>
      <c r="P51" s="99" t="str">
        <f>INDEX(Tableau5[Description],MATCH(Tableau3[[#This Row],[ID-SIG]],Tableau5[ID],0))</f>
        <v>Déclenchement contact 1</v>
      </c>
      <c r="Q51" s="99"/>
      <c r="R51" s="103" t="str">
        <f>Tableau3[[#This Row],[Description]]</f>
        <v>Déclenchement contact 1</v>
      </c>
      <c r="U51" s="87">
        <v>1</v>
      </c>
      <c r="V51" s="87">
        <v>1</v>
      </c>
      <c r="W51" s="87">
        <v>8</v>
      </c>
      <c r="X51" s="87">
        <v>1</v>
      </c>
      <c r="Y51" s="40"/>
      <c r="Z51" s="165" t="str">
        <f>INDEX(Tableau2[TS],MATCH(Tableau3[[#This Row],[ID-CARTEVOIE]],Tableau2[ID-CARTEVOIE],0))</f>
        <v>ET</v>
      </c>
      <c r="AA51" s="53" t="s">
        <v>213</v>
      </c>
      <c r="AB51" s="223" t="str">
        <f>IFERROR(INDEX(Tableau5[Reserve],MATCH(Tableau3[[#This Row],[ID-SIG]],Tableau5[ID],0))&amp;"","")</f>
        <v/>
      </c>
      <c r="AC51" s="21"/>
      <c r="AD51" s="108" t="str">
        <f>INDEX(Tableau7[Repere],MATCH(Tableau3[[#This Row],[ID-API]],Tableau7[ID-API],0))&amp;""</f>
        <v>A1</v>
      </c>
      <c r="AE51" s="108" t="str">
        <f>INDEX(Tableau1[Repere-Rack],MATCH(Tableau3[[#This Row],[ID-RACK]],Tableau1[ID-RACK],0))&amp;""</f>
        <v>R1</v>
      </c>
      <c r="AF51" s="108" t="str">
        <f>INDEX(Tableau1[Repere-Slot],MATCH(Tableau3[[#This Row],[ID-SLOT]],Tableau1[ID-SLOT],0))&amp;""</f>
        <v>S8</v>
      </c>
      <c r="AG51" s="108" t="str">
        <f>INDEX(Tableau2[Repere-Voie],MATCH(Tableau3[[#This Row],[ID-VOIE]],Tableau2[ID-Voie],0))&amp;""</f>
        <v>v1</v>
      </c>
      <c r="AH51" s="72" t="str">
        <f>Tableau3[[#This Row],[ID-API]]&amp; "." &amp;Tableau3[[#This Row],[ID-RACK]]&amp; "." &amp;Tableau3[[#This Row],[ID-SLOT]]</f>
        <v>1.1.8</v>
      </c>
      <c r="AI51" s="72" t="str">
        <f>INDEX(Tableau1[Ref-Carte],MATCH(Tableau3[[#This Row],[ID-RRS]],Tableau1[ID-RRS],0))</f>
        <v>SDI1602</v>
      </c>
      <c r="AJ51" s="72" t="str">
        <f t="array" ref="AJ51">IFERROR(INDEX(Tableau2[TS],MATCH(1,(Tableau2[Ref-Carte]=Tableau3[[#This Row],[Ref-Carte2]])*(Tableau2[ID-Voie]=Tableau3[[#This Row],[ID-VOIE]]),0)),"")</f>
        <v>ET</v>
      </c>
      <c r="AK51" s="72" t="str">
        <f>IFERROR(INDEX(Tableau2[TS],SUMPRODUCT((Tableau2[Ref-Carte]=Tableau3[[#This Row],[Ref-Carte2]])*(Tableau2[ID-Voie]=Tableau3[[#This Row],[ID-VOIE]])*ROW(Tableau2[TS]))-ROW(Tableau2[#Headers])),"")</f>
        <v>ET</v>
      </c>
      <c r="AL51" s="72" t="str">
        <f>Tableau3[[#This Row],[Ref-Carte2]]&amp;"/"&amp;Tableau3[[#This Row],[ID-VOIE]]</f>
        <v>SDI1602/1</v>
      </c>
      <c r="AM51" s="73" t="str">
        <f>INDEX(Tableau2[Borne],MATCH(Tableau3[[#This Row],[ID-CARTEVOIE]],Tableau2[ID-CARTEVOIE],0))&amp;""</f>
        <v>0A</v>
      </c>
      <c r="AN51" s="74" t="str">
        <f>Tableau3[[#This Row],[ID-API]]&amp;Tableau3[[#This Row],[ID-RACK]]&amp;Tableau3[[#This Row],[ID-SLOT]]&amp;Tableau3[[#This Row],[BORNE]]</f>
        <v>1180A</v>
      </c>
      <c r="AO51" s="1"/>
    </row>
    <row r="52" spans="1:41" ht="20.100000000000001" customHeight="1" thickTop="1" thickBot="1">
      <c r="A52" s="68"/>
      <c r="B52" s="69" t="str">
        <f>IFERROR(INDEX(Tableau4[Date],MATCH($A52,Tableau4[EVO],0)),"")</f>
        <v/>
      </c>
      <c r="C52" s="68" t="str">
        <f>IFERROR(INDEX(Tableau4[Designation],MATCH($A52,Tableau4[EVO],0)),"")</f>
        <v/>
      </c>
      <c r="D52" s="68"/>
      <c r="E52" s="70">
        <v>32</v>
      </c>
      <c r="F52" s="71">
        <v>100</v>
      </c>
      <c r="G52" s="101" t="str">
        <f>INDEX(Tableau8[Att1],MATCH(Tableau3[[#This Row],[ID-INS]],Tableau8[ID],0))&amp;""</f>
        <v>B22</v>
      </c>
      <c r="H52" s="101" t="str">
        <f>INDEX(Tableau8[Att2],MATCH(Tableau3[[#This Row],[ID-INS]],Tableau8[ID],0))&amp;""</f>
        <v>Réserve</v>
      </c>
      <c r="I52" s="101" t="str">
        <f>INDEX(Tableau8[Att3],MATCH(Tableau3[[#This Row],[ID-INS]],Tableau8[ID],0))&amp;""</f>
        <v>Réserve</v>
      </c>
      <c r="J52" s="101"/>
      <c r="K52" s="167" t="str">
        <f>INDEX(Tableau8[Nom du modele],MATCH(Tableau3[[#This Row],[ID-INS]],Tableau8[ID],0))&amp;""</f>
        <v>ARU</v>
      </c>
      <c r="L52" s="99" t="str">
        <f>INDEX(Tableau5[Att1],MATCH(Tableau3[[#This Row],[ID-SIG]],Tableau5[ID],0))&amp;""</f>
        <v>Decl1</v>
      </c>
      <c r="M52" s="99" t="str">
        <f>INDEX(Tableau5[Att2],MATCH(Tableau3[[#This Row],[ID-SIG]],Tableau5[ID],0))&amp;""</f>
        <v/>
      </c>
      <c r="N52" s="99" t="str">
        <f>INDEX(Tableau5[Att3],MATCH(Tableau3[[#This Row],[ID-SIG]],Tableau5[ID],0))&amp;""</f>
        <v/>
      </c>
      <c r="O52" s="99"/>
      <c r="P52" s="99" t="str">
        <f>INDEX(Tableau5[Description],MATCH(Tableau3[[#This Row],[ID-SIG]],Tableau5[ID],0))</f>
        <v>Déclenchement contact 1</v>
      </c>
      <c r="Q52" s="99"/>
      <c r="R52" s="103" t="str">
        <f>Tableau3[[#This Row],[Description]]</f>
        <v>Déclenchement contact 1</v>
      </c>
      <c r="U52" s="87">
        <v>1</v>
      </c>
      <c r="V52" s="87">
        <v>1</v>
      </c>
      <c r="W52" s="87">
        <v>8</v>
      </c>
      <c r="X52" s="87">
        <v>2</v>
      </c>
      <c r="Y52" s="40"/>
      <c r="Z52" s="165" t="str">
        <f>INDEX(Tableau2[TS],MATCH(Tableau3[[#This Row],[ID-CARTEVOIE]],Tableau2[ID-CARTEVOIE],0))</f>
        <v>ET</v>
      </c>
      <c r="AA52" s="53" t="s">
        <v>213</v>
      </c>
      <c r="AB52" s="223" t="str">
        <f>IFERROR(INDEX(Tableau5[Reserve],MATCH(Tableau3[[#This Row],[ID-SIG]],Tableau5[ID],0))&amp;"","")</f>
        <v/>
      </c>
      <c r="AC52" s="21"/>
      <c r="AD52" s="108" t="str">
        <f>INDEX(Tableau7[Repere],MATCH(Tableau3[[#This Row],[ID-API]],Tableau7[ID-API],0))&amp;""</f>
        <v>A1</v>
      </c>
      <c r="AE52" s="108" t="str">
        <f>INDEX(Tableau1[Repere-Rack],MATCH(Tableau3[[#This Row],[ID-RACK]],Tableau1[ID-RACK],0))&amp;""</f>
        <v>R1</v>
      </c>
      <c r="AF52" s="108" t="str">
        <f>INDEX(Tableau1[Repere-Slot],MATCH(Tableau3[[#This Row],[ID-SLOT]],Tableau1[ID-SLOT],0))&amp;""</f>
        <v>S8</v>
      </c>
      <c r="AG52" s="108" t="str">
        <f>INDEX(Tableau2[Repere-Voie],MATCH(Tableau3[[#This Row],[ID-VOIE]],Tableau2[ID-Voie],0))&amp;""</f>
        <v>v2</v>
      </c>
      <c r="AH52" s="72" t="str">
        <f>Tableau3[[#This Row],[ID-API]]&amp; "." &amp;Tableau3[[#This Row],[ID-RACK]]&amp; "." &amp;Tableau3[[#This Row],[ID-SLOT]]</f>
        <v>1.1.8</v>
      </c>
      <c r="AI52" s="72" t="str">
        <f>INDEX(Tableau1[Ref-Carte],MATCH(Tableau3[[#This Row],[ID-RRS]],Tableau1[ID-RRS],0))</f>
        <v>SDI1602</v>
      </c>
      <c r="AJ52" s="72" t="str">
        <f t="array" ref="AJ52">IFERROR(INDEX(Tableau2[TS],MATCH(1,(Tableau2[Ref-Carte]=Tableau3[[#This Row],[Ref-Carte2]])*(Tableau2[ID-Voie]=Tableau3[[#This Row],[ID-VOIE]]),0)),"")</f>
        <v>ET</v>
      </c>
      <c r="AK52" s="72" t="str">
        <f>IFERROR(INDEX(Tableau2[TS],SUMPRODUCT((Tableau2[Ref-Carte]=Tableau3[[#This Row],[Ref-Carte2]])*(Tableau2[ID-Voie]=Tableau3[[#This Row],[ID-VOIE]])*ROW(Tableau2[TS]))-ROW(Tableau2[#Headers])),"")</f>
        <v>ET</v>
      </c>
      <c r="AL52" s="72" t="str">
        <f>Tableau3[[#This Row],[Ref-Carte2]]&amp;"/"&amp;Tableau3[[#This Row],[ID-VOIE]]</f>
        <v>SDI1602/2</v>
      </c>
      <c r="AM52" s="73" t="str">
        <f>INDEX(Tableau2[Borne],MATCH(Tableau3[[#This Row],[ID-CARTEVOIE]],Tableau2[ID-CARTEVOIE],0))&amp;""</f>
        <v>1B</v>
      </c>
      <c r="AN52" s="74" t="str">
        <f>Tableau3[[#This Row],[ID-API]]&amp;Tableau3[[#This Row],[ID-RACK]]&amp;Tableau3[[#This Row],[ID-SLOT]]&amp;Tableau3[[#This Row],[BORNE]]</f>
        <v>1181B</v>
      </c>
      <c r="AO52" s="1"/>
    </row>
    <row r="53" spans="1:41" ht="20.100000000000001" customHeight="1" thickTop="1" thickBot="1">
      <c r="A53" s="68"/>
      <c r="B53" s="69" t="str">
        <f>IFERROR(INDEX(Tableau4[Date],MATCH($A53,Tableau4[EVO],0)),"")</f>
        <v/>
      </c>
      <c r="C53" s="68" t="str">
        <f>IFERROR(INDEX(Tableau4[Designation],MATCH($A53,Tableau4[EVO],0)),"")</f>
        <v/>
      </c>
      <c r="D53" s="68"/>
      <c r="E53" s="70">
        <v>33</v>
      </c>
      <c r="F53" s="71">
        <v>100</v>
      </c>
      <c r="G53" s="101" t="str">
        <f>INDEX(Tableau8[Att1],MATCH(Tableau3[[#This Row],[ID-INS]],Tableau8[ID],0))&amp;""</f>
        <v>B22</v>
      </c>
      <c r="H53" s="101" t="str">
        <f>INDEX(Tableau8[Att2],MATCH(Tableau3[[#This Row],[ID-INS]],Tableau8[ID],0))&amp;""</f>
        <v>Réserve</v>
      </c>
      <c r="I53" s="101" t="str">
        <f>INDEX(Tableau8[Att3],MATCH(Tableau3[[#This Row],[ID-INS]],Tableau8[ID],0))&amp;""</f>
        <v>Réserve</v>
      </c>
      <c r="J53" s="101"/>
      <c r="K53" s="167" t="str">
        <f>INDEX(Tableau8[Nom du modele],MATCH(Tableau3[[#This Row],[ID-INS]],Tableau8[ID],0))&amp;""</f>
        <v>ARU</v>
      </c>
      <c r="L53" s="99" t="str">
        <f>INDEX(Tableau5[Att1],MATCH(Tableau3[[#This Row],[ID-SIG]],Tableau5[ID],0))&amp;""</f>
        <v>Decl1</v>
      </c>
      <c r="M53" s="99" t="str">
        <f>INDEX(Tableau5[Att2],MATCH(Tableau3[[#This Row],[ID-SIG]],Tableau5[ID],0))&amp;""</f>
        <v/>
      </c>
      <c r="N53" s="99" t="str">
        <f>INDEX(Tableau5[Att3],MATCH(Tableau3[[#This Row],[ID-SIG]],Tableau5[ID],0))&amp;""</f>
        <v/>
      </c>
      <c r="O53" s="99"/>
      <c r="P53" s="99" t="str">
        <f>INDEX(Tableau5[Description],MATCH(Tableau3[[#This Row],[ID-SIG]],Tableau5[ID],0))</f>
        <v>Déclenchement contact 1</v>
      </c>
      <c r="Q53" s="99"/>
      <c r="R53" s="103" t="str">
        <f>Tableau3[[#This Row],[Description]]</f>
        <v>Déclenchement contact 1</v>
      </c>
      <c r="U53" s="87">
        <v>1</v>
      </c>
      <c r="V53" s="87">
        <v>1</v>
      </c>
      <c r="W53" s="87">
        <v>8</v>
      </c>
      <c r="X53" s="87">
        <v>3</v>
      </c>
      <c r="Y53" s="40"/>
      <c r="Z53" s="165" t="str">
        <f>INDEX(Tableau2[TS],MATCH(Tableau3[[#This Row],[ID-CARTEVOIE]],Tableau2[ID-CARTEVOIE],0))</f>
        <v>ET</v>
      </c>
      <c r="AA53" s="53" t="s">
        <v>213</v>
      </c>
      <c r="AB53" s="223" t="str">
        <f>IFERROR(INDEX(Tableau5[Reserve],MATCH(Tableau3[[#This Row],[ID-SIG]],Tableau5[ID],0))&amp;"","")</f>
        <v/>
      </c>
      <c r="AC53" s="21"/>
      <c r="AD53" s="108" t="str">
        <f>INDEX(Tableau7[Repere],MATCH(Tableau3[[#This Row],[ID-API]],Tableau7[ID-API],0))&amp;""</f>
        <v>A1</v>
      </c>
      <c r="AE53" s="108" t="str">
        <f>INDEX(Tableau1[Repere-Rack],MATCH(Tableau3[[#This Row],[ID-RACK]],Tableau1[ID-RACK],0))&amp;""</f>
        <v>R1</v>
      </c>
      <c r="AF53" s="108" t="str">
        <f>INDEX(Tableau1[Repere-Slot],MATCH(Tableau3[[#This Row],[ID-SLOT]],Tableau1[ID-SLOT],0))&amp;""</f>
        <v>S8</v>
      </c>
      <c r="AG53" s="108" t="str">
        <f>INDEX(Tableau2[Repere-Voie],MATCH(Tableau3[[#This Row],[ID-VOIE]],Tableau2[ID-Voie],0))&amp;""</f>
        <v>v3</v>
      </c>
      <c r="AH53" s="72" t="str">
        <f>Tableau3[[#This Row],[ID-API]]&amp; "." &amp;Tableau3[[#This Row],[ID-RACK]]&amp; "." &amp;Tableau3[[#This Row],[ID-SLOT]]</f>
        <v>1.1.8</v>
      </c>
      <c r="AI53" s="72" t="str">
        <f>INDEX(Tableau1[Ref-Carte],MATCH(Tableau3[[#This Row],[ID-RRS]],Tableau1[ID-RRS],0))</f>
        <v>SDI1602</v>
      </c>
      <c r="AJ53" s="72" t="str">
        <f t="array" ref="AJ53">IFERROR(INDEX(Tableau2[TS],MATCH(1,(Tableau2[Ref-Carte]=Tableau3[[#This Row],[Ref-Carte2]])*(Tableau2[ID-Voie]=Tableau3[[#This Row],[ID-VOIE]]),0)),"")</f>
        <v>ET</v>
      </c>
      <c r="AK53" s="72" t="str">
        <f>IFERROR(INDEX(Tableau2[TS],SUMPRODUCT((Tableau2[Ref-Carte]=Tableau3[[#This Row],[Ref-Carte2]])*(Tableau2[ID-Voie]=Tableau3[[#This Row],[ID-VOIE]])*ROW(Tableau2[TS]))-ROW(Tableau2[#Headers])),"")</f>
        <v>ET</v>
      </c>
      <c r="AL53" s="72" t="str">
        <f>Tableau3[[#This Row],[Ref-Carte2]]&amp;"/"&amp;Tableau3[[#This Row],[ID-VOIE]]</f>
        <v>SDI1602/3</v>
      </c>
      <c r="AM53" s="73" t="str">
        <f>INDEX(Tableau2[Borne],MATCH(Tableau3[[#This Row],[ID-CARTEVOIE]],Tableau2[ID-CARTEVOIE],0))&amp;""</f>
        <v>1A</v>
      </c>
      <c r="AN53" s="74" t="str">
        <f>Tableau3[[#This Row],[ID-API]]&amp;Tableau3[[#This Row],[ID-RACK]]&amp;Tableau3[[#This Row],[ID-SLOT]]&amp;Tableau3[[#This Row],[BORNE]]</f>
        <v>1181A</v>
      </c>
      <c r="AO53" s="1"/>
    </row>
    <row r="54" spans="1:41" ht="20.100000000000001" customHeight="1" thickTop="1" thickBot="1">
      <c r="A54" s="68"/>
      <c r="B54" s="69" t="str">
        <f>IFERROR(INDEX(Tableau4[Date],MATCH($A54,Tableau4[EVO],0)),"")</f>
        <v/>
      </c>
      <c r="C54" s="68" t="str">
        <f>IFERROR(INDEX(Tableau4[Designation],MATCH($A54,Tableau4[EVO],0)),"")</f>
        <v/>
      </c>
      <c r="D54" s="68"/>
      <c r="E54" s="70">
        <v>34</v>
      </c>
      <c r="F54" s="71">
        <v>100</v>
      </c>
      <c r="G54" s="101" t="str">
        <f>INDEX(Tableau8[Att1],MATCH(Tableau3[[#This Row],[ID-INS]],Tableau8[ID],0))&amp;""</f>
        <v>B22</v>
      </c>
      <c r="H54" s="101" t="str">
        <f>INDEX(Tableau8[Att2],MATCH(Tableau3[[#This Row],[ID-INS]],Tableau8[ID],0))&amp;""</f>
        <v>Réserve</v>
      </c>
      <c r="I54" s="101" t="str">
        <f>INDEX(Tableau8[Att3],MATCH(Tableau3[[#This Row],[ID-INS]],Tableau8[ID],0))&amp;""</f>
        <v>Réserve</v>
      </c>
      <c r="J54" s="101"/>
      <c r="K54" s="167" t="str">
        <f>INDEX(Tableau8[Nom du modele],MATCH(Tableau3[[#This Row],[ID-INS]],Tableau8[ID],0))&amp;""</f>
        <v>ARU</v>
      </c>
      <c r="L54" s="99" t="str">
        <f>INDEX(Tableau5[Att1],MATCH(Tableau3[[#This Row],[ID-SIG]],Tableau5[ID],0))&amp;""</f>
        <v>Decl1</v>
      </c>
      <c r="M54" s="99" t="str">
        <f>INDEX(Tableau5[Att2],MATCH(Tableau3[[#This Row],[ID-SIG]],Tableau5[ID],0))&amp;""</f>
        <v/>
      </c>
      <c r="N54" s="99" t="str">
        <f>INDEX(Tableau5[Att3],MATCH(Tableau3[[#This Row],[ID-SIG]],Tableau5[ID],0))&amp;""</f>
        <v/>
      </c>
      <c r="O54" s="99"/>
      <c r="P54" s="99" t="str">
        <f>INDEX(Tableau5[Description],MATCH(Tableau3[[#This Row],[ID-SIG]],Tableau5[ID],0))</f>
        <v>Déclenchement contact 1</v>
      </c>
      <c r="Q54" s="99"/>
      <c r="R54" s="103" t="str">
        <f>Tableau3[[#This Row],[Description]]</f>
        <v>Déclenchement contact 1</v>
      </c>
      <c r="U54" s="87">
        <v>1</v>
      </c>
      <c r="V54" s="87">
        <v>1</v>
      </c>
      <c r="W54" s="87">
        <v>8</v>
      </c>
      <c r="X54" s="87">
        <v>4</v>
      </c>
      <c r="Y54" s="40"/>
      <c r="Z54" s="165" t="str">
        <f>INDEX(Tableau2[TS],MATCH(Tableau3[[#This Row],[ID-CARTEVOIE]],Tableau2[ID-CARTEVOIE],0))</f>
        <v>ET</v>
      </c>
      <c r="AA54" s="53" t="s">
        <v>213</v>
      </c>
      <c r="AB54" s="223" t="str">
        <f>IFERROR(INDEX(Tableau5[Reserve],MATCH(Tableau3[[#This Row],[ID-SIG]],Tableau5[ID],0))&amp;"","")</f>
        <v/>
      </c>
      <c r="AC54" s="21"/>
      <c r="AD54" s="108" t="str">
        <f>INDEX(Tableau7[Repere],MATCH(Tableau3[[#This Row],[ID-API]],Tableau7[ID-API],0))&amp;""</f>
        <v>A1</v>
      </c>
      <c r="AE54" s="108" t="str">
        <f>INDEX(Tableau1[Repere-Rack],MATCH(Tableau3[[#This Row],[ID-RACK]],Tableau1[ID-RACK],0))&amp;""</f>
        <v>R1</v>
      </c>
      <c r="AF54" s="108" t="str">
        <f>INDEX(Tableau1[Repere-Slot],MATCH(Tableau3[[#This Row],[ID-SLOT]],Tableau1[ID-SLOT],0))&amp;""</f>
        <v>S8</v>
      </c>
      <c r="AG54" s="108" t="str">
        <f>INDEX(Tableau2[Repere-Voie],MATCH(Tableau3[[#This Row],[ID-VOIE]],Tableau2[ID-Voie],0))&amp;""</f>
        <v>v4</v>
      </c>
      <c r="AH54" s="72" t="str">
        <f>Tableau3[[#This Row],[ID-API]]&amp; "." &amp;Tableau3[[#This Row],[ID-RACK]]&amp; "." &amp;Tableau3[[#This Row],[ID-SLOT]]</f>
        <v>1.1.8</v>
      </c>
      <c r="AI54" s="72" t="str">
        <f>INDEX(Tableau1[Ref-Carte],MATCH(Tableau3[[#This Row],[ID-RRS]],Tableau1[ID-RRS],0))</f>
        <v>SDI1602</v>
      </c>
      <c r="AJ54" s="72" t="str">
        <f t="array" ref="AJ54">IFERROR(INDEX(Tableau2[TS],MATCH(1,(Tableau2[Ref-Carte]=Tableau3[[#This Row],[Ref-Carte2]])*(Tableau2[ID-Voie]=Tableau3[[#This Row],[ID-VOIE]]),0)),"")</f>
        <v>ET</v>
      </c>
      <c r="AK54" s="72" t="str">
        <f>IFERROR(INDEX(Tableau2[TS],SUMPRODUCT((Tableau2[Ref-Carte]=Tableau3[[#This Row],[Ref-Carte2]])*(Tableau2[ID-Voie]=Tableau3[[#This Row],[ID-VOIE]])*ROW(Tableau2[TS]))-ROW(Tableau2[#Headers])),"")</f>
        <v>ET</v>
      </c>
      <c r="AL54" s="72" t="str">
        <f>Tableau3[[#This Row],[Ref-Carte2]]&amp;"/"&amp;Tableau3[[#This Row],[ID-VOIE]]</f>
        <v>SDI1602/4</v>
      </c>
      <c r="AM54" s="73" t="str">
        <f>INDEX(Tableau2[Borne],MATCH(Tableau3[[#This Row],[ID-CARTEVOIE]],Tableau2[ID-CARTEVOIE],0))&amp;""</f>
        <v>2B</v>
      </c>
      <c r="AN54" s="74" t="str">
        <f>Tableau3[[#This Row],[ID-API]]&amp;Tableau3[[#This Row],[ID-RACK]]&amp;Tableau3[[#This Row],[ID-SLOT]]&amp;Tableau3[[#This Row],[BORNE]]</f>
        <v>1182B</v>
      </c>
      <c r="AO54" s="1"/>
    </row>
    <row r="55" spans="1:41" ht="20.100000000000001" customHeight="1" thickTop="1" thickBot="1">
      <c r="A55" s="68"/>
      <c r="B55" s="69" t="str">
        <f>IFERROR(INDEX(Tableau4[Date],MATCH($A55,Tableau4[EVO],0)),"")</f>
        <v/>
      </c>
      <c r="C55" s="68" t="str">
        <f>IFERROR(INDEX(Tableau4[Designation],MATCH($A55,Tableau4[EVO],0)),"")</f>
        <v/>
      </c>
      <c r="D55" s="68"/>
      <c r="E55" s="70">
        <v>35</v>
      </c>
      <c r="F55" s="71">
        <v>3</v>
      </c>
      <c r="G55" s="101" t="str">
        <f>INDEX(Tableau8[Att1],MATCH(Tableau3[[#This Row],[ID-INS]],Tableau8[ID],0))&amp;""</f>
        <v>B22</v>
      </c>
      <c r="H55" s="101" t="str">
        <f>INDEX(Tableau8[Att2],MATCH(Tableau3[[#This Row],[ID-INS]],Tableau8[ID],0))&amp;""</f>
        <v>VIGIE_LocDist</v>
      </c>
      <c r="I55" s="101" t="str">
        <f>INDEX(Tableau8[Att3],MATCH(Tableau3[[#This Row],[ID-INS]],Tableau8[ID],0))&amp;""</f>
        <v>VIGIE BP Acquit lumineux</v>
      </c>
      <c r="J55" s="101"/>
      <c r="K55" s="167" t="str">
        <f>INDEX(Tableau8[Nom du modele],MATCH(Tableau3[[#This Row],[ID-INS]],Tableau8[ID],0))&amp;""</f>
        <v>E_Divers</v>
      </c>
      <c r="L55" s="99" t="str">
        <f>INDEX(Tableau5[Att1],MATCH(Tableau3[[#This Row],[ID-SIG]],Tableau5[ID],0))&amp;""</f>
        <v>C1</v>
      </c>
      <c r="M55" s="99" t="str">
        <f>INDEX(Tableau5[Att2],MATCH(Tableau3[[#This Row],[ID-SIG]],Tableau5[ID],0))&amp;""</f>
        <v/>
      </c>
      <c r="N55" s="99" t="str">
        <f>INDEX(Tableau5[Att3],MATCH(Tableau3[[#This Row],[ID-SIG]],Tableau5[ID],0))&amp;""</f>
        <v/>
      </c>
      <c r="O55" s="99"/>
      <c r="P55" s="99" t="str">
        <f>INDEX(Tableau5[Description],MATCH(Tableau3[[#This Row],[ID-SIG]],Tableau5[ID],0))</f>
        <v>Contact</v>
      </c>
      <c r="Q55" s="99"/>
      <c r="R55" s="103" t="str">
        <f>Tableau3[[#This Row],[Description]]</f>
        <v>Contact</v>
      </c>
      <c r="U55" s="87">
        <v>1</v>
      </c>
      <c r="V55" s="87">
        <v>1</v>
      </c>
      <c r="W55" s="87">
        <v>8</v>
      </c>
      <c r="X55" s="87">
        <v>5</v>
      </c>
      <c r="Y55" s="40"/>
      <c r="Z55" s="165" t="str">
        <f>INDEX(Tableau2[TS],MATCH(Tableau3[[#This Row],[ID-CARTEVOIE]],Tableau2[ID-CARTEVOIE],0))</f>
        <v>ET</v>
      </c>
      <c r="AA55" s="53" t="s">
        <v>213</v>
      </c>
      <c r="AB55" s="223" t="str">
        <f>IFERROR(INDEX(Tableau5[Reserve],MATCH(Tableau3[[#This Row],[ID-SIG]],Tableau5[ID],0))&amp;"","")</f>
        <v/>
      </c>
      <c r="AC55" s="21"/>
      <c r="AD55" s="108" t="str">
        <f>INDEX(Tableau7[Repere],MATCH(Tableau3[[#This Row],[ID-API]],Tableau7[ID-API],0))&amp;""</f>
        <v>A1</v>
      </c>
      <c r="AE55" s="108" t="str">
        <f>INDEX(Tableau1[Repere-Rack],MATCH(Tableau3[[#This Row],[ID-RACK]],Tableau1[ID-RACK],0))&amp;""</f>
        <v>R1</v>
      </c>
      <c r="AF55" s="108" t="str">
        <f>INDEX(Tableau1[Repere-Slot],MATCH(Tableau3[[#This Row],[ID-SLOT]],Tableau1[ID-SLOT],0))&amp;""</f>
        <v>S8</v>
      </c>
      <c r="AG55" s="108" t="str">
        <f>INDEX(Tableau2[Repere-Voie],MATCH(Tableau3[[#This Row],[ID-VOIE]],Tableau2[ID-Voie],0))&amp;""</f>
        <v>v5</v>
      </c>
      <c r="AH55" s="72" t="str">
        <f>Tableau3[[#This Row],[ID-API]]&amp; "." &amp;Tableau3[[#This Row],[ID-RACK]]&amp; "." &amp;Tableau3[[#This Row],[ID-SLOT]]</f>
        <v>1.1.8</v>
      </c>
      <c r="AI55" s="72" t="str">
        <f>INDEX(Tableau1[Ref-Carte],MATCH(Tableau3[[#This Row],[ID-RRS]],Tableau1[ID-RRS],0))</f>
        <v>SDI1602</v>
      </c>
      <c r="AJ55" s="72" t="str">
        <f t="array" ref="AJ55">IFERROR(INDEX(Tableau2[TS],MATCH(1,(Tableau2[Ref-Carte]=Tableau3[[#This Row],[Ref-Carte2]])*(Tableau2[ID-Voie]=Tableau3[[#This Row],[ID-VOIE]]),0)),"")</f>
        <v>ET</v>
      </c>
      <c r="AK55" s="72" t="str">
        <f>IFERROR(INDEX(Tableau2[TS],SUMPRODUCT((Tableau2[Ref-Carte]=Tableau3[[#This Row],[Ref-Carte2]])*(Tableau2[ID-Voie]=Tableau3[[#This Row],[ID-VOIE]])*ROW(Tableau2[TS]))-ROW(Tableau2[#Headers])),"")</f>
        <v>ET</v>
      </c>
      <c r="AL55" s="72" t="str">
        <f>Tableau3[[#This Row],[Ref-Carte2]]&amp;"/"&amp;Tableau3[[#This Row],[ID-VOIE]]</f>
        <v>SDI1602/5</v>
      </c>
      <c r="AM55" s="73" t="str">
        <f>INDEX(Tableau2[Borne],MATCH(Tableau3[[#This Row],[ID-CARTEVOIE]],Tableau2[ID-CARTEVOIE],0))&amp;""</f>
        <v>2A</v>
      </c>
      <c r="AN55" s="74" t="str">
        <f>Tableau3[[#This Row],[ID-API]]&amp;Tableau3[[#This Row],[ID-RACK]]&amp;Tableau3[[#This Row],[ID-SLOT]]&amp;Tableau3[[#This Row],[BORNE]]</f>
        <v>1182A</v>
      </c>
      <c r="AO55" s="1"/>
    </row>
    <row r="56" spans="1:41" ht="20.100000000000001" customHeight="1" thickTop="1" thickBot="1">
      <c r="A56" s="68"/>
      <c r="B56" s="69" t="str">
        <f>IFERROR(INDEX(Tableau4[Date],MATCH($A56,Tableau4[EVO],0)),"")</f>
        <v/>
      </c>
      <c r="C56" s="68" t="str">
        <f>IFERROR(INDEX(Tableau4[Designation],MATCH($A56,Tableau4[EVO],0)),"")</f>
        <v/>
      </c>
      <c r="D56" s="68"/>
      <c r="E56" s="70">
        <v>46</v>
      </c>
      <c r="F56" s="71">
        <v>51</v>
      </c>
      <c r="G56" s="101" t="str">
        <f>INDEX(Tableau8[Att1],MATCH(Tableau3[[#This Row],[ID-INS]],Tableau8[ID],0))&amp;""</f>
        <v>GR</v>
      </c>
      <c r="H56" s="101" t="str">
        <f>INDEX(Tableau8[Att2],MATCH(Tableau3[[#This Row],[ID-INS]],Tableau8[ID],0))&amp;""</f>
        <v>PMR4</v>
      </c>
      <c r="I56" s="101" t="str">
        <f>INDEX(Tableau8[Att3],MATCH(Tableau3[[#This Row],[ID-INS]],Tableau8[ID],0))&amp;""</f>
        <v>PMR4</v>
      </c>
      <c r="J56" s="101"/>
      <c r="K56" s="167" t="str">
        <f>INDEX(Tableau8[Nom du modele],MATCH(Tableau3[[#This Row],[ID-INS]],Tableau8[ID],0))&amp;""</f>
        <v>PMR_1</v>
      </c>
      <c r="L56" s="99" t="str">
        <f>INDEX(Tableau5[Att1],MATCH(Tableau3[[#This Row],[ID-SIG]],Tableau5[ID],0))&amp;""</f>
        <v>Réserve</v>
      </c>
      <c r="M56" s="99" t="str">
        <f>INDEX(Tableau5[Att2],MATCH(Tableau3[[#This Row],[ID-SIG]],Tableau5[ID],0))&amp;""</f>
        <v/>
      </c>
      <c r="N56" s="99" t="str">
        <f>INDEX(Tableau5[Att3],MATCH(Tableau3[[#This Row],[ID-SIG]],Tableau5[ID],0))&amp;""</f>
        <v/>
      </c>
      <c r="O56" s="99"/>
      <c r="P56" s="99" t="str">
        <f>INDEX(Tableau5[Description],MATCH(Tableau3[[#This Row],[ID-SIG]],Tableau5[ID],0))</f>
        <v>Réserve</v>
      </c>
      <c r="Q56" s="99"/>
      <c r="R56" s="103" t="str">
        <f>Tableau3[[#This Row],[Description]]</f>
        <v>Réserve</v>
      </c>
      <c r="U56" s="87">
        <v>1</v>
      </c>
      <c r="V56" s="87">
        <v>1</v>
      </c>
      <c r="W56" s="87">
        <v>8</v>
      </c>
      <c r="X56" s="87">
        <v>6</v>
      </c>
      <c r="Y56" s="40"/>
      <c r="Z56" s="165" t="str">
        <f>INDEX(Tableau2[TS],MATCH(Tableau3[[#This Row],[ID-CARTEVOIE]],Tableau2[ID-CARTEVOIE],0))</f>
        <v>ET</v>
      </c>
      <c r="AA56" s="53" t="s">
        <v>213</v>
      </c>
      <c r="AB56" s="223" t="str">
        <f>IFERROR(INDEX(Tableau5[Reserve],MATCH(Tableau3[[#This Row],[ID-SIG]],Tableau5[ID],0))&amp;"","")</f>
        <v/>
      </c>
      <c r="AC56" s="21"/>
      <c r="AD56" s="108" t="str">
        <f>INDEX(Tableau7[Repere],MATCH(Tableau3[[#This Row],[ID-API]],Tableau7[ID-API],0))&amp;""</f>
        <v>A1</v>
      </c>
      <c r="AE56" s="108" t="str">
        <f>INDEX(Tableau1[Repere-Rack],MATCH(Tableau3[[#This Row],[ID-RACK]],Tableau1[ID-RACK],0))&amp;""</f>
        <v>R1</v>
      </c>
      <c r="AF56" s="108" t="str">
        <f>INDEX(Tableau1[Repere-Slot],MATCH(Tableau3[[#This Row],[ID-SLOT]],Tableau1[ID-SLOT],0))&amp;""</f>
        <v>S8</v>
      </c>
      <c r="AG56" s="108" t="str">
        <f>INDEX(Tableau2[Repere-Voie],MATCH(Tableau3[[#This Row],[ID-VOIE]],Tableau2[ID-Voie],0))&amp;""</f>
        <v>v6</v>
      </c>
      <c r="AH56" s="72" t="str">
        <f>Tableau3[[#This Row],[ID-API]]&amp; "." &amp;Tableau3[[#This Row],[ID-RACK]]&amp; "." &amp;Tableau3[[#This Row],[ID-SLOT]]</f>
        <v>1.1.8</v>
      </c>
      <c r="AI56" s="72" t="str">
        <f>INDEX(Tableau1[Ref-Carte],MATCH(Tableau3[[#This Row],[ID-RRS]],Tableau1[ID-RRS],0))</f>
        <v>SDI1602</v>
      </c>
      <c r="AJ56" s="72" t="str">
        <f t="array" ref="AJ56">IFERROR(INDEX(Tableau2[TS],MATCH(1,(Tableau2[Ref-Carte]=Tableau3[[#This Row],[Ref-Carte2]])*(Tableau2[ID-Voie]=Tableau3[[#This Row],[ID-VOIE]]),0)),"")</f>
        <v>ET</v>
      </c>
      <c r="AK56" s="72" t="str">
        <f>IFERROR(INDEX(Tableau2[TS],SUMPRODUCT((Tableau2[Ref-Carte]=Tableau3[[#This Row],[Ref-Carte2]])*(Tableau2[ID-Voie]=Tableau3[[#This Row],[ID-VOIE]])*ROW(Tableau2[TS]))-ROW(Tableau2[#Headers])),"")</f>
        <v>ET</v>
      </c>
      <c r="AL56" s="72" t="str">
        <f>Tableau3[[#This Row],[Ref-Carte2]]&amp;"/"&amp;Tableau3[[#This Row],[ID-VOIE]]</f>
        <v>SDI1602/6</v>
      </c>
      <c r="AM56" s="73" t="str">
        <f>INDEX(Tableau2[Borne],MATCH(Tableau3[[#This Row],[ID-CARTEVOIE]],Tableau2[ID-CARTEVOIE],0))&amp;""</f>
        <v>3B</v>
      </c>
      <c r="AN56" s="74" t="str">
        <f>Tableau3[[#This Row],[ID-API]]&amp;Tableau3[[#This Row],[ID-RACK]]&amp;Tableau3[[#This Row],[ID-SLOT]]&amp;Tableau3[[#This Row],[BORNE]]</f>
        <v>1183B</v>
      </c>
      <c r="AO56" s="1"/>
    </row>
    <row r="57" spans="1:41" ht="20.100000000000001" customHeight="1" thickTop="1" thickBot="1">
      <c r="A57" s="68"/>
      <c r="B57" s="69" t="str">
        <f>IFERROR(INDEX(Tableau4[Date],MATCH($A57,Tableau4[EVO],0)),"")</f>
        <v/>
      </c>
      <c r="C57" s="68" t="str">
        <f>IFERROR(INDEX(Tableau4[Designation],MATCH($A57,Tableau4[EVO],0)),"")</f>
        <v/>
      </c>
      <c r="D57" s="68"/>
      <c r="E57" s="70">
        <v>46</v>
      </c>
      <c r="F57" s="71">
        <v>56</v>
      </c>
      <c r="G57" s="101" t="str">
        <f>INDEX(Tableau8[Att1],MATCH(Tableau3[[#This Row],[ID-INS]],Tableau8[ID],0))&amp;""</f>
        <v>GR</v>
      </c>
      <c r="H57" s="101" t="str">
        <f>INDEX(Tableau8[Att2],MATCH(Tableau3[[#This Row],[ID-INS]],Tableau8[ID],0))&amp;""</f>
        <v>PMR4</v>
      </c>
      <c r="I57" s="101" t="str">
        <f>INDEX(Tableau8[Att3],MATCH(Tableau3[[#This Row],[ID-INS]],Tableau8[ID],0))&amp;""</f>
        <v>PMR4</v>
      </c>
      <c r="J57" s="101"/>
      <c r="K57" s="167" t="str">
        <f>INDEX(Tableau8[Nom du modele],MATCH(Tableau3[[#This Row],[ID-INS]],Tableau8[ID],0))&amp;""</f>
        <v>PMR_1</v>
      </c>
      <c r="L57" s="99" t="str">
        <f>INDEX(Tableau5[Att1],MATCH(Tableau3[[#This Row],[ID-SIG]],Tableau5[ID],0))&amp;""</f>
        <v>Fer2</v>
      </c>
      <c r="M57" s="99" t="str">
        <f>INDEX(Tableau5[Att2],MATCH(Tableau3[[#This Row],[ID-SIG]],Tableau5[ID],0))&amp;""</f>
        <v/>
      </c>
      <c r="N57" s="99" t="str">
        <f>INDEX(Tableau5[Att3],MATCH(Tableau3[[#This Row],[ID-SIG]],Tableau5[ID],0))&amp;""</f>
        <v/>
      </c>
      <c r="O57" s="99"/>
      <c r="P57" s="99" t="str">
        <f>INDEX(Tableau5[Description],MATCH(Tableau3[[#This Row],[ID-SIG]],Tableau5[ID],0))</f>
        <v>Porte fermée 2</v>
      </c>
      <c r="Q57" s="99"/>
      <c r="R57" s="103" t="str">
        <f>Tableau3[[#This Row],[Description]]</f>
        <v>Porte fermée 2</v>
      </c>
      <c r="U57" s="87">
        <v>1</v>
      </c>
      <c r="V57" s="87">
        <v>1</v>
      </c>
      <c r="W57" s="87">
        <v>8</v>
      </c>
      <c r="X57" s="87">
        <v>7</v>
      </c>
      <c r="Y57" s="40"/>
      <c r="Z57" s="165" t="str">
        <f>INDEX(Tableau2[TS],MATCH(Tableau3[[#This Row],[ID-CARTEVOIE]],Tableau2[ID-CARTEVOIE],0))</f>
        <v>ET</v>
      </c>
      <c r="AA57" s="53" t="s">
        <v>213</v>
      </c>
      <c r="AB57" s="223" t="str">
        <f>IFERROR(INDEX(Tableau5[Reserve],MATCH(Tableau3[[#This Row],[ID-SIG]],Tableau5[ID],0))&amp;"","")</f>
        <v/>
      </c>
      <c r="AC57" s="21"/>
      <c r="AD57" s="108" t="str">
        <f>INDEX(Tableau7[Repere],MATCH(Tableau3[[#This Row],[ID-API]],Tableau7[ID-API],0))&amp;""</f>
        <v>A1</v>
      </c>
      <c r="AE57" s="108" t="str">
        <f>INDEX(Tableau1[Repere-Rack],MATCH(Tableau3[[#This Row],[ID-RACK]],Tableau1[ID-RACK],0))&amp;""</f>
        <v>R1</v>
      </c>
      <c r="AF57" s="108" t="str">
        <f>INDEX(Tableau1[Repere-Slot],MATCH(Tableau3[[#This Row],[ID-SLOT]],Tableau1[ID-SLOT],0))&amp;""</f>
        <v>S8</v>
      </c>
      <c r="AG57" s="108" t="str">
        <f>INDEX(Tableau2[Repere-Voie],MATCH(Tableau3[[#This Row],[ID-VOIE]],Tableau2[ID-Voie],0))&amp;""</f>
        <v>v7</v>
      </c>
      <c r="AH57" s="72" t="str">
        <f>Tableau3[[#This Row],[ID-API]]&amp; "." &amp;Tableau3[[#This Row],[ID-RACK]]&amp; "." &amp;Tableau3[[#This Row],[ID-SLOT]]</f>
        <v>1.1.8</v>
      </c>
      <c r="AI57" s="72" t="str">
        <f>INDEX(Tableau1[Ref-Carte],MATCH(Tableau3[[#This Row],[ID-RRS]],Tableau1[ID-RRS],0))</f>
        <v>SDI1602</v>
      </c>
      <c r="AJ57" s="72" t="str">
        <f t="array" ref="AJ57">IFERROR(INDEX(Tableau2[TS],MATCH(1,(Tableau2[Ref-Carte]=Tableau3[[#This Row],[Ref-Carte2]])*(Tableau2[ID-Voie]=Tableau3[[#This Row],[ID-VOIE]]),0)),"")</f>
        <v>ET</v>
      </c>
      <c r="AK57" s="72" t="str">
        <f>IFERROR(INDEX(Tableau2[TS],SUMPRODUCT((Tableau2[Ref-Carte]=Tableau3[[#This Row],[Ref-Carte2]])*(Tableau2[ID-Voie]=Tableau3[[#This Row],[ID-VOIE]])*ROW(Tableau2[TS]))-ROW(Tableau2[#Headers])),"")</f>
        <v>ET</v>
      </c>
      <c r="AL57" s="72" t="str">
        <f>Tableau3[[#This Row],[Ref-Carte2]]&amp;"/"&amp;Tableau3[[#This Row],[ID-VOIE]]</f>
        <v>SDI1602/7</v>
      </c>
      <c r="AM57" s="73" t="str">
        <f>INDEX(Tableau2[Borne],MATCH(Tableau3[[#This Row],[ID-CARTEVOIE]],Tableau2[ID-CARTEVOIE],0))&amp;""</f>
        <v>3A</v>
      </c>
      <c r="AN57" s="74" t="str">
        <f>Tableau3[[#This Row],[ID-API]]&amp;Tableau3[[#This Row],[ID-RACK]]&amp;Tableau3[[#This Row],[ID-SLOT]]&amp;Tableau3[[#This Row],[BORNE]]</f>
        <v>1183A</v>
      </c>
      <c r="AO57" s="1"/>
    </row>
    <row r="58" spans="1:41" ht="20.100000000000001" customHeight="1" thickTop="1" thickBot="1">
      <c r="A58" s="68"/>
      <c r="B58" s="69" t="str">
        <f>IFERROR(INDEX(Tableau4[Date],MATCH($A58,Tableau4[EVO],0)),"")</f>
        <v/>
      </c>
      <c r="C58" s="68" t="str">
        <f>IFERROR(INDEX(Tableau4[Designation],MATCH($A58,Tableau4[EVO],0)),"")</f>
        <v/>
      </c>
      <c r="D58" s="68"/>
      <c r="E58" s="70">
        <v>46</v>
      </c>
      <c r="F58" s="71">
        <v>57</v>
      </c>
      <c r="G58" s="101" t="str">
        <f>INDEX(Tableau8[Att1],MATCH(Tableau3[[#This Row],[ID-INS]],Tableau8[ID],0))&amp;""</f>
        <v>GR</v>
      </c>
      <c r="H58" s="101" t="str">
        <f>INDEX(Tableau8[Att2],MATCH(Tableau3[[#This Row],[ID-INS]],Tableau8[ID],0))&amp;""</f>
        <v>PMR4</v>
      </c>
      <c r="I58" s="101" t="str">
        <f>INDEX(Tableau8[Att3],MATCH(Tableau3[[#This Row],[ID-INS]],Tableau8[ID],0))&amp;""</f>
        <v>PMR4</v>
      </c>
      <c r="J58" s="101"/>
      <c r="K58" s="167" t="str">
        <f>INDEX(Tableau8[Nom du modele],MATCH(Tableau3[[#This Row],[ID-INS]],Tableau8[ID],0))&amp;""</f>
        <v>PMR_1</v>
      </c>
      <c r="L58" s="99" t="str">
        <f>INDEX(Tableau5[Att1],MATCH(Tableau3[[#This Row],[ID-SIG]],Tableau5[ID],0))&amp;""</f>
        <v>TS_OuvRet1</v>
      </c>
      <c r="M58" s="99" t="str">
        <f>INDEX(Tableau5[Att2],MATCH(Tableau3[[#This Row],[ID-SIG]],Tableau5[ID],0))&amp;""</f>
        <v/>
      </c>
      <c r="N58" s="99" t="str">
        <f>INDEX(Tableau5[Att3],MATCH(Tableau3[[#This Row],[ID-SIG]],Tableau5[ID],0))&amp;""</f>
        <v/>
      </c>
      <c r="O58" s="99"/>
      <c r="P58" s="99" t="str">
        <f>INDEX(Tableau5[Description],MATCH(Tableau3[[#This Row],[ID-SIG]],Tableau5[ID],0))</f>
        <v>Retour Commande 1 ouverture sortie</v>
      </c>
      <c r="Q58" s="99"/>
      <c r="R58" s="103" t="str">
        <f>Tableau3[[#This Row],[Description]]</f>
        <v>Retour Commande 1 ouverture sortie</v>
      </c>
      <c r="U58" s="87">
        <v>1</v>
      </c>
      <c r="V58" s="87">
        <v>1</v>
      </c>
      <c r="W58" s="87">
        <v>8</v>
      </c>
      <c r="X58" s="87">
        <v>8</v>
      </c>
      <c r="Y58" s="40"/>
      <c r="Z58" s="165" t="str">
        <f>INDEX(Tableau2[TS],MATCH(Tableau3[[#This Row],[ID-CARTEVOIE]],Tableau2[ID-CARTEVOIE],0))</f>
        <v>ET</v>
      </c>
      <c r="AA58" s="53" t="s">
        <v>213</v>
      </c>
      <c r="AB58" s="223" t="str">
        <f>IFERROR(INDEX(Tableau5[Reserve],MATCH(Tableau3[[#This Row],[ID-SIG]],Tableau5[ID],0))&amp;"","")</f>
        <v/>
      </c>
      <c r="AC58" s="21"/>
      <c r="AD58" s="108" t="str">
        <f>INDEX(Tableau7[Repere],MATCH(Tableau3[[#This Row],[ID-API]],Tableau7[ID-API],0))&amp;""</f>
        <v>A1</v>
      </c>
      <c r="AE58" s="108" t="str">
        <f>INDEX(Tableau1[Repere-Rack],MATCH(Tableau3[[#This Row],[ID-RACK]],Tableau1[ID-RACK],0))&amp;""</f>
        <v>R1</v>
      </c>
      <c r="AF58" s="108" t="str">
        <f>INDEX(Tableau1[Repere-Slot],MATCH(Tableau3[[#This Row],[ID-SLOT]],Tableau1[ID-SLOT],0))&amp;""</f>
        <v>S8</v>
      </c>
      <c r="AG58" s="108" t="str">
        <f>INDEX(Tableau2[Repere-Voie],MATCH(Tableau3[[#This Row],[ID-VOIE]],Tableau2[ID-Voie],0))&amp;""</f>
        <v>v8</v>
      </c>
      <c r="AH58" s="72" t="str">
        <f>Tableau3[[#This Row],[ID-API]]&amp; "." &amp;Tableau3[[#This Row],[ID-RACK]]&amp; "." &amp;Tableau3[[#This Row],[ID-SLOT]]</f>
        <v>1.1.8</v>
      </c>
      <c r="AI58" s="72" t="str">
        <f>INDEX(Tableau1[Ref-Carte],MATCH(Tableau3[[#This Row],[ID-RRS]],Tableau1[ID-RRS],0))</f>
        <v>SDI1602</v>
      </c>
      <c r="AJ58" s="72" t="str">
        <f t="array" ref="AJ58">IFERROR(INDEX(Tableau2[TS],MATCH(1,(Tableau2[Ref-Carte]=Tableau3[[#This Row],[Ref-Carte2]])*(Tableau2[ID-Voie]=Tableau3[[#This Row],[ID-VOIE]]),0)),"")</f>
        <v>ET</v>
      </c>
      <c r="AK58" s="72" t="str">
        <f>IFERROR(INDEX(Tableau2[TS],SUMPRODUCT((Tableau2[Ref-Carte]=Tableau3[[#This Row],[Ref-Carte2]])*(Tableau2[ID-Voie]=Tableau3[[#This Row],[ID-VOIE]])*ROW(Tableau2[TS]))-ROW(Tableau2[#Headers])),"")</f>
        <v>ET</v>
      </c>
      <c r="AL58" s="72" t="str">
        <f>Tableau3[[#This Row],[Ref-Carte2]]&amp;"/"&amp;Tableau3[[#This Row],[ID-VOIE]]</f>
        <v>SDI1602/8</v>
      </c>
      <c r="AM58" s="73" t="str">
        <f>INDEX(Tableau2[Borne],MATCH(Tableau3[[#This Row],[ID-CARTEVOIE]],Tableau2[ID-CARTEVOIE],0))&amp;""</f>
        <v>4B</v>
      </c>
      <c r="AN58" s="74" t="str">
        <f>Tableau3[[#This Row],[ID-API]]&amp;Tableau3[[#This Row],[ID-RACK]]&amp;Tableau3[[#This Row],[ID-SLOT]]&amp;Tableau3[[#This Row],[BORNE]]</f>
        <v>1184B</v>
      </c>
      <c r="AO58" s="1"/>
    </row>
    <row r="59" spans="1:41" ht="20.100000000000001" customHeight="1" thickTop="1" thickBot="1">
      <c r="A59" s="68"/>
      <c r="B59" s="69" t="str">
        <f>IFERROR(INDEX(Tableau4[Date],MATCH($A59,Tableau4[EVO],0)),"")</f>
        <v/>
      </c>
      <c r="C59" s="68" t="str">
        <f>IFERROR(INDEX(Tableau4[Designation],MATCH($A59,Tableau4[EVO],0)),"")</f>
        <v/>
      </c>
      <c r="D59" s="68"/>
      <c r="E59" s="70">
        <v>46</v>
      </c>
      <c r="F59" s="71">
        <v>58</v>
      </c>
      <c r="G59" s="101" t="str">
        <f>INDEX(Tableau8[Att1],MATCH(Tableau3[[#This Row],[ID-INS]],Tableau8[ID],0))&amp;""</f>
        <v>GR</v>
      </c>
      <c r="H59" s="101" t="str">
        <f>INDEX(Tableau8[Att2],MATCH(Tableau3[[#This Row],[ID-INS]],Tableau8[ID],0))&amp;""</f>
        <v>PMR4</v>
      </c>
      <c r="I59" s="101" t="str">
        <f>INDEX(Tableau8[Att3],MATCH(Tableau3[[#This Row],[ID-INS]],Tableau8[ID],0))&amp;""</f>
        <v>PMR4</v>
      </c>
      <c r="J59" s="101"/>
      <c r="K59" s="167" t="str">
        <f>INDEX(Tableau8[Nom du modele],MATCH(Tableau3[[#This Row],[ID-INS]],Tableau8[ID],0))&amp;""</f>
        <v>PMR_1</v>
      </c>
      <c r="L59" s="99" t="str">
        <f>INDEX(Tableau5[Att1],MATCH(Tableau3[[#This Row],[ID-SIG]],Tableau5[ID],0))&amp;""</f>
        <v>Réserve</v>
      </c>
      <c r="M59" s="99" t="str">
        <f>INDEX(Tableau5[Att2],MATCH(Tableau3[[#This Row],[ID-SIG]],Tableau5[ID],0))&amp;""</f>
        <v/>
      </c>
      <c r="N59" s="99" t="str">
        <f>INDEX(Tableau5[Att3],MATCH(Tableau3[[#This Row],[ID-SIG]],Tableau5[ID],0))&amp;""</f>
        <v/>
      </c>
      <c r="O59" s="99"/>
      <c r="P59" s="99" t="str">
        <f>INDEX(Tableau5[Description],MATCH(Tableau3[[#This Row],[ID-SIG]],Tableau5[ID],0))</f>
        <v>Réserve</v>
      </c>
      <c r="Q59" s="99"/>
      <c r="R59" s="103" t="str">
        <f>Tableau3[[#This Row],[Description]]</f>
        <v>Réserve</v>
      </c>
      <c r="U59" s="87">
        <v>1</v>
      </c>
      <c r="V59" s="87">
        <v>1</v>
      </c>
      <c r="W59" s="87">
        <v>8</v>
      </c>
      <c r="X59" s="87">
        <v>9</v>
      </c>
      <c r="Y59" s="40"/>
      <c r="Z59" s="165" t="str">
        <f>INDEX(Tableau2[TS],MATCH(Tableau3[[#This Row],[ID-CARTEVOIE]],Tableau2[ID-CARTEVOIE],0))</f>
        <v>ET</v>
      </c>
      <c r="AA59" s="53" t="s">
        <v>213</v>
      </c>
      <c r="AB59" s="223" t="str">
        <f>IFERROR(INDEX(Tableau5[Reserve],MATCH(Tableau3[[#This Row],[ID-SIG]],Tableau5[ID],0))&amp;"","")</f>
        <v/>
      </c>
      <c r="AC59" s="21"/>
      <c r="AD59" s="108" t="str">
        <f>INDEX(Tableau7[Repere],MATCH(Tableau3[[#This Row],[ID-API]],Tableau7[ID-API],0))&amp;""</f>
        <v>A1</v>
      </c>
      <c r="AE59" s="108" t="str">
        <f>INDEX(Tableau1[Repere-Rack],MATCH(Tableau3[[#This Row],[ID-RACK]],Tableau1[ID-RACK],0))&amp;""</f>
        <v>R1</v>
      </c>
      <c r="AF59" s="108" t="str">
        <f>INDEX(Tableau1[Repere-Slot],MATCH(Tableau3[[#This Row],[ID-SLOT]],Tableau1[ID-SLOT],0))&amp;""</f>
        <v>S8</v>
      </c>
      <c r="AG59" s="108" t="str">
        <f>INDEX(Tableau2[Repere-Voie],MATCH(Tableau3[[#This Row],[ID-VOIE]],Tableau2[ID-Voie],0))&amp;""</f>
        <v>v9</v>
      </c>
      <c r="AH59" s="72" t="str">
        <f>Tableau3[[#This Row],[ID-API]]&amp; "." &amp;Tableau3[[#This Row],[ID-RACK]]&amp; "." &amp;Tableau3[[#This Row],[ID-SLOT]]</f>
        <v>1.1.8</v>
      </c>
      <c r="AI59" s="72" t="str">
        <f>INDEX(Tableau1[Ref-Carte],MATCH(Tableau3[[#This Row],[ID-RRS]],Tableau1[ID-RRS],0))</f>
        <v>SDI1602</v>
      </c>
      <c r="AJ59" s="72" t="str">
        <f t="array" ref="AJ59">IFERROR(INDEX(Tableau2[TS],MATCH(1,(Tableau2[Ref-Carte]=Tableau3[[#This Row],[Ref-Carte2]])*(Tableau2[ID-Voie]=Tableau3[[#This Row],[ID-VOIE]]),0)),"")</f>
        <v>ET</v>
      </c>
      <c r="AK59" s="72" t="str">
        <f>IFERROR(INDEX(Tableau2[TS],SUMPRODUCT((Tableau2[Ref-Carte]=Tableau3[[#This Row],[Ref-Carte2]])*(Tableau2[ID-Voie]=Tableau3[[#This Row],[ID-VOIE]])*ROW(Tableau2[TS]))-ROW(Tableau2[#Headers])),"")</f>
        <v>ET</v>
      </c>
      <c r="AL59" s="72" t="str">
        <f>Tableau3[[#This Row],[Ref-Carte2]]&amp;"/"&amp;Tableau3[[#This Row],[ID-VOIE]]</f>
        <v>SDI1602/9</v>
      </c>
      <c r="AM59" s="73" t="str">
        <f>INDEX(Tableau2[Borne],MATCH(Tableau3[[#This Row],[ID-CARTEVOIE]],Tableau2[ID-CARTEVOIE],0))&amp;""</f>
        <v>4A</v>
      </c>
      <c r="AN59" s="74" t="str">
        <f>Tableau3[[#This Row],[ID-API]]&amp;Tableau3[[#This Row],[ID-RACK]]&amp;Tableau3[[#This Row],[ID-SLOT]]&amp;Tableau3[[#This Row],[BORNE]]</f>
        <v>1184A</v>
      </c>
      <c r="AO59" s="1"/>
    </row>
    <row r="60" spans="1:41" ht="20.100000000000001" customHeight="1" thickTop="1" thickBot="1">
      <c r="A60" s="68"/>
      <c r="B60" s="69" t="str">
        <f>IFERROR(INDEX(Tableau4[Date],MATCH($A60,Tableau4[EVO],0)),"")</f>
        <v/>
      </c>
      <c r="C60" s="68" t="str">
        <f>IFERROR(INDEX(Tableau4[Designation],MATCH($A60,Tableau4[EVO],0)),"")</f>
        <v/>
      </c>
      <c r="D60" s="68"/>
      <c r="E60" s="70">
        <v>46</v>
      </c>
      <c r="F60" s="71">
        <v>59</v>
      </c>
      <c r="G60" s="101" t="str">
        <f>INDEX(Tableau8[Att1],MATCH(Tableau3[[#This Row],[ID-INS]],Tableau8[ID],0))&amp;""</f>
        <v>GR</v>
      </c>
      <c r="H60" s="101" t="str">
        <f>INDEX(Tableau8[Att2],MATCH(Tableau3[[#This Row],[ID-INS]],Tableau8[ID],0))&amp;""</f>
        <v>PMR4</v>
      </c>
      <c r="I60" s="101" t="str">
        <f>INDEX(Tableau8[Att3],MATCH(Tableau3[[#This Row],[ID-INS]],Tableau8[ID],0))&amp;""</f>
        <v>PMR4</v>
      </c>
      <c r="J60" s="101"/>
      <c r="K60" s="167" t="str">
        <f>INDEX(Tableau8[Nom du modele],MATCH(Tableau3[[#This Row],[ID-INS]],Tableau8[ID],0))&amp;""</f>
        <v>PMR_1</v>
      </c>
      <c r="L60" s="99" t="str">
        <f>INDEX(Tableau5[Att1],MATCH(Tableau3[[#This Row],[ID-SIG]],Tableau5[ID],0))&amp;""</f>
        <v>T_SynthDef</v>
      </c>
      <c r="M60" s="99" t="str">
        <f>INDEX(Tableau5[Att2],MATCH(Tableau3[[#This Row],[ID-SIG]],Tableau5[ID],0))&amp;""</f>
        <v/>
      </c>
      <c r="N60" s="99" t="str">
        <f>INDEX(Tableau5[Att3],MATCH(Tableau3[[#This Row],[ID-SIG]],Tableau5[ID],0))&amp;""</f>
        <v/>
      </c>
      <c r="O60" s="99"/>
      <c r="P60" s="99" t="str">
        <f>INDEX(Tableau5[Description],MATCH(Tableau3[[#This Row],[ID-SIG]],Tableau5[ID],0))</f>
        <v>Synthèse défaut</v>
      </c>
      <c r="Q60" s="99"/>
      <c r="R60" s="103" t="str">
        <f>Tableau3[[#This Row],[Description]]</f>
        <v>Synthèse défaut</v>
      </c>
      <c r="U60" s="87">
        <v>1</v>
      </c>
      <c r="V60" s="87">
        <v>1</v>
      </c>
      <c r="W60" s="87">
        <v>8</v>
      </c>
      <c r="X60" s="87">
        <v>10</v>
      </c>
      <c r="Y60" s="40"/>
      <c r="Z60" s="165" t="str">
        <f>INDEX(Tableau2[TS],MATCH(Tableau3[[#This Row],[ID-CARTEVOIE]],Tableau2[ID-CARTEVOIE],0))</f>
        <v>ET</v>
      </c>
      <c r="AA60" s="53" t="s">
        <v>213</v>
      </c>
      <c r="AB60" s="223" t="str">
        <f>IFERROR(INDEX(Tableau5[Reserve],MATCH(Tableau3[[#This Row],[ID-SIG]],Tableau5[ID],0))&amp;"","")</f>
        <v/>
      </c>
      <c r="AC60" s="21"/>
      <c r="AD60" s="108" t="str">
        <f>INDEX(Tableau7[Repere],MATCH(Tableau3[[#This Row],[ID-API]],Tableau7[ID-API],0))&amp;""</f>
        <v>A1</v>
      </c>
      <c r="AE60" s="108" t="str">
        <f>INDEX(Tableau1[Repere-Rack],MATCH(Tableau3[[#This Row],[ID-RACK]],Tableau1[ID-RACK],0))&amp;""</f>
        <v>R1</v>
      </c>
      <c r="AF60" s="108" t="str">
        <f>INDEX(Tableau1[Repere-Slot],MATCH(Tableau3[[#This Row],[ID-SLOT]],Tableau1[ID-SLOT],0))&amp;""</f>
        <v>S8</v>
      </c>
      <c r="AG60" s="108" t="str">
        <f>INDEX(Tableau2[Repere-Voie],MATCH(Tableau3[[#This Row],[ID-VOIE]],Tableau2[ID-Voie],0))&amp;""</f>
        <v>v10</v>
      </c>
      <c r="AH60" s="72" t="str">
        <f>Tableau3[[#This Row],[ID-API]]&amp; "." &amp;Tableau3[[#This Row],[ID-RACK]]&amp; "." &amp;Tableau3[[#This Row],[ID-SLOT]]</f>
        <v>1.1.8</v>
      </c>
      <c r="AI60" s="72" t="str">
        <f>INDEX(Tableau1[Ref-Carte],MATCH(Tableau3[[#This Row],[ID-RRS]],Tableau1[ID-RRS],0))</f>
        <v>SDI1602</v>
      </c>
      <c r="AJ60" s="72" t="str">
        <f t="array" ref="AJ60">IFERROR(INDEX(Tableau2[TS],MATCH(1,(Tableau2[Ref-Carte]=Tableau3[[#This Row],[Ref-Carte2]])*(Tableau2[ID-Voie]=Tableau3[[#This Row],[ID-VOIE]]),0)),"")</f>
        <v>ET</v>
      </c>
      <c r="AK60" s="72" t="str">
        <f>IFERROR(INDEX(Tableau2[TS],SUMPRODUCT((Tableau2[Ref-Carte]=Tableau3[[#This Row],[Ref-Carte2]])*(Tableau2[ID-Voie]=Tableau3[[#This Row],[ID-VOIE]])*ROW(Tableau2[TS]))-ROW(Tableau2[#Headers])),"")</f>
        <v>ET</v>
      </c>
      <c r="AL60" s="72" t="str">
        <f>Tableau3[[#This Row],[Ref-Carte2]]&amp;"/"&amp;Tableau3[[#This Row],[ID-VOIE]]</f>
        <v>SDI1602/10</v>
      </c>
      <c r="AM60" s="73" t="str">
        <f>INDEX(Tableau2[Borne],MATCH(Tableau3[[#This Row],[ID-CARTEVOIE]],Tableau2[ID-CARTEVOIE],0))&amp;""</f>
        <v>5B</v>
      </c>
      <c r="AN60" s="74" t="str">
        <f>Tableau3[[#This Row],[ID-API]]&amp;Tableau3[[#This Row],[ID-RACK]]&amp;Tableau3[[#This Row],[ID-SLOT]]&amp;Tableau3[[#This Row],[BORNE]]</f>
        <v>1185B</v>
      </c>
      <c r="AO60" s="1"/>
    </row>
    <row r="61" spans="1:41" ht="20.100000000000001" customHeight="1" thickTop="1" thickBot="1">
      <c r="A61" s="68"/>
      <c r="B61" s="69" t="str">
        <f>IFERROR(INDEX(Tableau4[Date],MATCH($A61,Tableau4[EVO],0)),"")</f>
        <v/>
      </c>
      <c r="C61" s="68" t="str">
        <f>IFERROR(INDEX(Tableau4[Designation],MATCH($A61,Tableau4[EVO],0)),"")</f>
        <v/>
      </c>
      <c r="D61" s="68"/>
      <c r="E61" s="70">
        <v>46</v>
      </c>
      <c r="F61" s="71">
        <v>60</v>
      </c>
      <c r="G61" s="101" t="str">
        <f>INDEX(Tableau8[Att1],MATCH(Tableau3[[#This Row],[ID-INS]],Tableau8[ID],0))&amp;""</f>
        <v>GR</v>
      </c>
      <c r="H61" s="101" t="str">
        <f>INDEX(Tableau8[Att2],MATCH(Tableau3[[#This Row],[ID-INS]],Tableau8[ID],0))&amp;""</f>
        <v>PMR4</v>
      </c>
      <c r="I61" s="101" t="str">
        <f>INDEX(Tableau8[Att3],MATCH(Tableau3[[#This Row],[ID-INS]],Tableau8[ID],0))&amp;""</f>
        <v>PMR4</v>
      </c>
      <c r="J61" s="101"/>
      <c r="K61" s="167" t="str">
        <f>INDEX(Tableau8[Nom du modele],MATCH(Tableau3[[#This Row],[ID-INS]],Tableau8[ID],0))&amp;""</f>
        <v>PMR_1</v>
      </c>
      <c r="L61" s="99" t="str">
        <f>INDEX(Tableau5[Att1],MATCH(Tableau3[[#This Row],[ID-SIG]],Tableau5[ID],0))&amp;""</f>
        <v>Effraction</v>
      </c>
      <c r="M61" s="99" t="str">
        <f>INDEX(Tableau5[Att2],MATCH(Tableau3[[#This Row],[ID-SIG]],Tableau5[ID],0))&amp;""</f>
        <v/>
      </c>
      <c r="N61" s="99" t="str">
        <f>INDEX(Tableau5[Att3],MATCH(Tableau3[[#This Row],[ID-SIG]],Tableau5[ID],0))&amp;""</f>
        <v/>
      </c>
      <c r="O61" s="99"/>
      <c r="P61" s="99" t="str">
        <f>INDEX(Tableau5[Description],MATCH(Tableau3[[#This Row],[ID-SIG]],Tableau5[ID],0))</f>
        <v>Effraction</v>
      </c>
      <c r="Q61" s="99"/>
      <c r="R61" s="103" t="str">
        <f>Tableau3[[#This Row],[Description]]</f>
        <v>Effraction</v>
      </c>
      <c r="U61" s="87">
        <v>1</v>
      </c>
      <c r="V61" s="87">
        <v>1</v>
      </c>
      <c r="W61" s="87">
        <v>8</v>
      </c>
      <c r="X61" s="87">
        <v>11</v>
      </c>
      <c r="Y61" s="40"/>
      <c r="Z61" s="165" t="str">
        <f>INDEX(Tableau2[TS],MATCH(Tableau3[[#This Row],[ID-CARTEVOIE]],Tableau2[ID-CARTEVOIE],0))</f>
        <v>ET</v>
      </c>
      <c r="AA61" s="53" t="s">
        <v>213</v>
      </c>
      <c r="AB61" s="223" t="str">
        <f>IFERROR(INDEX(Tableau5[Reserve],MATCH(Tableau3[[#This Row],[ID-SIG]],Tableau5[ID],0))&amp;"","")</f>
        <v/>
      </c>
      <c r="AC61" s="21"/>
      <c r="AD61" s="108" t="str">
        <f>INDEX(Tableau7[Repere],MATCH(Tableau3[[#This Row],[ID-API]],Tableau7[ID-API],0))&amp;""</f>
        <v>A1</v>
      </c>
      <c r="AE61" s="108" t="str">
        <f>INDEX(Tableau1[Repere-Rack],MATCH(Tableau3[[#This Row],[ID-RACK]],Tableau1[ID-RACK],0))&amp;""</f>
        <v>R1</v>
      </c>
      <c r="AF61" s="108" t="str">
        <f>INDEX(Tableau1[Repere-Slot],MATCH(Tableau3[[#This Row],[ID-SLOT]],Tableau1[ID-SLOT],0))&amp;""</f>
        <v>S8</v>
      </c>
      <c r="AG61" s="108" t="str">
        <f>INDEX(Tableau2[Repere-Voie],MATCH(Tableau3[[#This Row],[ID-VOIE]],Tableau2[ID-Voie],0))&amp;""</f>
        <v>v11</v>
      </c>
      <c r="AH61" s="72" t="str">
        <f>Tableau3[[#This Row],[ID-API]]&amp; "." &amp;Tableau3[[#This Row],[ID-RACK]]&amp; "." &amp;Tableau3[[#This Row],[ID-SLOT]]</f>
        <v>1.1.8</v>
      </c>
      <c r="AI61" s="72" t="str">
        <f>INDEX(Tableau1[Ref-Carte],MATCH(Tableau3[[#This Row],[ID-RRS]],Tableau1[ID-RRS],0))</f>
        <v>SDI1602</v>
      </c>
      <c r="AJ61" s="72" t="str">
        <f t="array" ref="AJ61">IFERROR(INDEX(Tableau2[TS],MATCH(1,(Tableau2[Ref-Carte]=Tableau3[[#This Row],[Ref-Carte2]])*(Tableau2[ID-Voie]=Tableau3[[#This Row],[ID-VOIE]]),0)),"")</f>
        <v>ET</v>
      </c>
      <c r="AK61" s="72" t="str">
        <f>IFERROR(INDEX(Tableau2[TS],SUMPRODUCT((Tableau2[Ref-Carte]=Tableau3[[#This Row],[Ref-Carte2]])*(Tableau2[ID-Voie]=Tableau3[[#This Row],[ID-VOIE]])*ROW(Tableau2[TS]))-ROW(Tableau2[#Headers])),"")</f>
        <v>ET</v>
      </c>
      <c r="AL61" s="72" t="str">
        <f>Tableau3[[#This Row],[Ref-Carte2]]&amp;"/"&amp;Tableau3[[#This Row],[ID-VOIE]]</f>
        <v>SDI1602/11</v>
      </c>
      <c r="AM61" s="73" t="str">
        <f>INDEX(Tableau2[Borne],MATCH(Tableau3[[#This Row],[ID-CARTEVOIE]],Tableau2[ID-CARTEVOIE],0))&amp;""</f>
        <v>5A</v>
      </c>
      <c r="AN61" s="74" t="str">
        <f>Tableau3[[#This Row],[ID-API]]&amp;Tableau3[[#This Row],[ID-RACK]]&amp;Tableau3[[#This Row],[ID-SLOT]]&amp;Tableau3[[#This Row],[BORNE]]</f>
        <v>1185A</v>
      </c>
      <c r="AO61" s="1"/>
    </row>
    <row r="62" spans="1:41" ht="20.100000000000001" customHeight="1" thickTop="1" thickBot="1">
      <c r="A62" s="68"/>
      <c r="B62" s="69" t="str">
        <f>IFERROR(INDEX(Tableau4[Date],MATCH($A62,Tableau4[EVO],0)),"")</f>
        <v/>
      </c>
      <c r="C62" s="68" t="str">
        <f>IFERROR(INDEX(Tableau4[Designation],MATCH($A62,Tableau4[EVO],0)),"")</f>
        <v/>
      </c>
      <c r="D62" s="68"/>
      <c r="E62" s="70">
        <v>50</v>
      </c>
      <c r="F62" s="71">
        <v>51</v>
      </c>
      <c r="G62" s="101" t="str">
        <f>INDEX(Tableau8[Att1],MATCH(Tableau3[[#This Row],[ID-INS]],Tableau8[ID],0))&amp;""</f>
        <v>B22</v>
      </c>
      <c r="H62" s="101" t="str">
        <f>INDEX(Tableau8[Att2],MATCH(Tableau3[[#This Row],[ID-INS]],Tableau8[ID],0))&amp;""</f>
        <v>PMR1</v>
      </c>
      <c r="I62" s="101" t="str">
        <f>INDEX(Tableau8[Att3],MATCH(Tableau3[[#This Row],[ID-INS]],Tableau8[ID],0))&amp;""</f>
        <v>PMR1</v>
      </c>
      <c r="J62" s="101"/>
      <c r="K62" s="167" t="str">
        <f>INDEX(Tableau8[Nom du modele],MATCH(Tableau3[[#This Row],[ID-INS]],Tableau8[ID],0))&amp;""</f>
        <v>PMR_1</v>
      </c>
      <c r="L62" s="99" t="str">
        <f>INDEX(Tableau5[Att1],MATCH(Tableau3[[#This Row],[ID-SIG]],Tableau5[ID],0))&amp;""</f>
        <v>Réserve</v>
      </c>
      <c r="M62" s="99" t="str">
        <f>INDEX(Tableau5[Att2],MATCH(Tableau3[[#This Row],[ID-SIG]],Tableau5[ID],0))&amp;""</f>
        <v/>
      </c>
      <c r="N62" s="99" t="str">
        <f>INDEX(Tableau5[Att3],MATCH(Tableau3[[#This Row],[ID-SIG]],Tableau5[ID],0))&amp;""</f>
        <v/>
      </c>
      <c r="O62" s="99"/>
      <c r="P62" s="99" t="str">
        <f>INDEX(Tableau5[Description],MATCH(Tableau3[[#This Row],[ID-SIG]],Tableau5[ID],0))</f>
        <v>Réserve</v>
      </c>
      <c r="Q62" s="99"/>
      <c r="R62" s="103" t="str">
        <f>Tableau3[[#This Row],[Description]]</f>
        <v>Réserve</v>
      </c>
      <c r="U62" s="87">
        <v>1</v>
      </c>
      <c r="V62" s="87">
        <v>1</v>
      </c>
      <c r="W62" s="87">
        <v>8</v>
      </c>
      <c r="X62" s="87">
        <v>12</v>
      </c>
      <c r="Y62" s="40"/>
      <c r="Z62" s="165" t="str">
        <f>INDEX(Tableau2[TS],MATCH(Tableau3[[#This Row],[ID-CARTEVOIE]],Tableau2[ID-CARTEVOIE],0))</f>
        <v>ET</v>
      </c>
      <c r="AA62" s="53" t="s">
        <v>213</v>
      </c>
      <c r="AB62" s="223" t="str">
        <f>IFERROR(INDEX(Tableau5[Reserve],MATCH(Tableau3[[#This Row],[ID-SIG]],Tableau5[ID],0))&amp;"","")</f>
        <v/>
      </c>
      <c r="AC62" s="21"/>
      <c r="AD62" s="108" t="str">
        <f>INDEX(Tableau7[Repere],MATCH(Tableau3[[#This Row],[ID-API]],Tableau7[ID-API],0))&amp;""</f>
        <v>A1</v>
      </c>
      <c r="AE62" s="108" t="str">
        <f>INDEX(Tableau1[Repere-Rack],MATCH(Tableau3[[#This Row],[ID-RACK]],Tableau1[ID-RACK],0))&amp;""</f>
        <v>R1</v>
      </c>
      <c r="AF62" s="108" t="str">
        <f>INDEX(Tableau1[Repere-Slot],MATCH(Tableau3[[#This Row],[ID-SLOT]],Tableau1[ID-SLOT],0))&amp;""</f>
        <v>S8</v>
      </c>
      <c r="AG62" s="108" t="str">
        <f>INDEX(Tableau2[Repere-Voie],MATCH(Tableau3[[#This Row],[ID-VOIE]],Tableau2[ID-Voie],0))&amp;""</f>
        <v>v12</v>
      </c>
      <c r="AH62" s="72" t="str">
        <f>Tableau3[[#This Row],[ID-API]]&amp; "." &amp;Tableau3[[#This Row],[ID-RACK]]&amp; "." &amp;Tableau3[[#This Row],[ID-SLOT]]</f>
        <v>1.1.8</v>
      </c>
      <c r="AI62" s="72" t="str">
        <f>INDEX(Tableau1[Ref-Carte],MATCH(Tableau3[[#This Row],[ID-RRS]],Tableau1[ID-RRS],0))</f>
        <v>SDI1602</v>
      </c>
      <c r="AJ62" s="72" t="str">
        <f t="array" ref="AJ62">IFERROR(INDEX(Tableau2[TS],MATCH(1,(Tableau2[Ref-Carte]=Tableau3[[#This Row],[Ref-Carte2]])*(Tableau2[ID-Voie]=Tableau3[[#This Row],[ID-VOIE]]),0)),"")</f>
        <v>ET</v>
      </c>
      <c r="AK62" s="72" t="str">
        <f>IFERROR(INDEX(Tableau2[TS],SUMPRODUCT((Tableau2[Ref-Carte]=Tableau3[[#This Row],[Ref-Carte2]])*(Tableau2[ID-Voie]=Tableau3[[#This Row],[ID-VOIE]])*ROW(Tableau2[TS]))-ROW(Tableau2[#Headers])),"")</f>
        <v>ET</v>
      </c>
      <c r="AL62" s="72" t="str">
        <f>Tableau3[[#This Row],[Ref-Carte2]]&amp;"/"&amp;Tableau3[[#This Row],[ID-VOIE]]</f>
        <v>SDI1602/12</v>
      </c>
      <c r="AM62" s="73" t="str">
        <f>INDEX(Tableau2[Borne],MATCH(Tableau3[[#This Row],[ID-CARTEVOIE]],Tableau2[ID-CARTEVOIE],0))&amp;""</f>
        <v>6B</v>
      </c>
      <c r="AN62" s="74" t="str">
        <f>Tableau3[[#This Row],[ID-API]]&amp;Tableau3[[#This Row],[ID-RACK]]&amp;Tableau3[[#This Row],[ID-SLOT]]&amp;Tableau3[[#This Row],[BORNE]]</f>
        <v>1186B</v>
      </c>
      <c r="AO62" s="1"/>
    </row>
    <row r="63" spans="1:41" ht="20.100000000000001" customHeight="1" thickTop="1" thickBot="1">
      <c r="A63" s="68"/>
      <c r="B63" s="69" t="str">
        <f>IFERROR(INDEX(Tableau4[Date],MATCH($A63,Tableau4[EVO],0)),"")</f>
        <v/>
      </c>
      <c r="C63" s="68" t="str">
        <f>IFERROR(INDEX(Tableau4[Designation],MATCH($A63,Tableau4[EVO],0)),"")</f>
        <v/>
      </c>
      <c r="D63" s="68"/>
      <c r="E63" s="70">
        <v>50</v>
      </c>
      <c r="F63" s="71">
        <v>56</v>
      </c>
      <c r="G63" s="101" t="str">
        <f>INDEX(Tableau8[Att1],MATCH(Tableau3[[#This Row],[ID-INS]],Tableau8[ID],0))&amp;""</f>
        <v>B22</v>
      </c>
      <c r="H63" s="101" t="str">
        <f>INDEX(Tableau8[Att2],MATCH(Tableau3[[#This Row],[ID-INS]],Tableau8[ID],0))&amp;""</f>
        <v>PMR1</v>
      </c>
      <c r="I63" s="101" t="str">
        <f>INDEX(Tableau8[Att3],MATCH(Tableau3[[#This Row],[ID-INS]],Tableau8[ID],0))&amp;""</f>
        <v>PMR1</v>
      </c>
      <c r="J63" s="101"/>
      <c r="K63" s="167" t="str">
        <f>INDEX(Tableau8[Nom du modele],MATCH(Tableau3[[#This Row],[ID-INS]],Tableau8[ID],0))&amp;""</f>
        <v>PMR_1</v>
      </c>
      <c r="L63" s="99" t="str">
        <f>INDEX(Tableau5[Att1],MATCH(Tableau3[[#This Row],[ID-SIG]],Tableau5[ID],0))&amp;""</f>
        <v>Fer2</v>
      </c>
      <c r="M63" s="99" t="str">
        <f>INDEX(Tableau5[Att2],MATCH(Tableau3[[#This Row],[ID-SIG]],Tableau5[ID],0))&amp;""</f>
        <v/>
      </c>
      <c r="N63" s="99" t="str">
        <f>INDEX(Tableau5[Att3],MATCH(Tableau3[[#This Row],[ID-SIG]],Tableau5[ID],0))&amp;""</f>
        <v/>
      </c>
      <c r="O63" s="99"/>
      <c r="P63" s="99" t="str">
        <f>INDEX(Tableau5[Description],MATCH(Tableau3[[#This Row],[ID-SIG]],Tableau5[ID],0))</f>
        <v>Porte fermée 2</v>
      </c>
      <c r="Q63" s="99"/>
      <c r="R63" s="103" t="str">
        <f>Tableau3[[#This Row],[Description]]</f>
        <v>Porte fermée 2</v>
      </c>
      <c r="U63" s="87">
        <v>1</v>
      </c>
      <c r="V63" s="87">
        <v>1</v>
      </c>
      <c r="W63" s="87">
        <v>8</v>
      </c>
      <c r="X63" s="87">
        <v>13</v>
      </c>
      <c r="Y63" s="40"/>
      <c r="Z63" s="165" t="str">
        <f>INDEX(Tableau2[TS],MATCH(Tableau3[[#This Row],[ID-CARTEVOIE]],Tableau2[ID-CARTEVOIE],0))</f>
        <v>ET</v>
      </c>
      <c r="AA63" s="53" t="s">
        <v>213</v>
      </c>
      <c r="AB63" s="223" t="str">
        <f>IFERROR(INDEX(Tableau5[Reserve],MATCH(Tableau3[[#This Row],[ID-SIG]],Tableau5[ID],0))&amp;"","")</f>
        <v/>
      </c>
      <c r="AC63" s="21"/>
      <c r="AD63" s="108" t="str">
        <f>INDEX(Tableau7[Repere],MATCH(Tableau3[[#This Row],[ID-API]],Tableau7[ID-API],0))&amp;""</f>
        <v>A1</v>
      </c>
      <c r="AE63" s="108" t="str">
        <f>INDEX(Tableau1[Repere-Rack],MATCH(Tableau3[[#This Row],[ID-RACK]],Tableau1[ID-RACK],0))&amp;""</f>
        <v>R1</v>
      </c>
      <c r="AF63" s="108" t="str">
        <f>INDEX(Tableau1[Repere-Slot],MATCH(Tableau3[[#This Row],[ID-SLOT]],Tableau1[ID-SLOT],0))&amp;""</f>
        <v>S8</v>
      </c>
      <c r="AG63" s="108" t="str">
        <f>INDEX(Tableau2[Repere-Voie],MATCH(Tableau3[[#This Row],[ID-VOIE]],Tableau2[ID-Voie],0))&amp;""</f>
        <v>v13</v>
      </c>
      <c r="AH63" s="72" t="str">
        <f>Tableau3[[#This Row],[ID-API]]&amp; "." &amp;Tableau3[[#This Row],[ID-RACK]]&amp; "." &amp;Tableau3[[#This Row],[ID-SLOT]]</f>
        <v>1.1.8</v>
      </c>
      <c r="AI63" s="72" t="str">
        <f>INDEX(Tableau1[Ref-Carte],MATCH(Tableau3[[#This Row],[ID-RRS]],Tableau1[ID-RRS],0))</f>
        <v>SDI1602</v>
      </c>
      <c r="AJ63" s="72" t="str">
        <f t="array" ref="AJ63">IFERROR(INDEX(Tableau2[TS],MATCH(1,(Tableau2[Ref-Carte]=Tableau3[[#This Row],[Ref-Carte2]])*(Tableau2[ID-Voie]=Tableau3[[#This Row],[ID-VOIE]]),0)),"")</f>
        <v>ET</v>
      </c>
      <c r="AK63" s="72" t="str">
        <f>IFERROR(INDEX(Tableau2[TS],SUMPRODUCT((Tableau2[Ref-Carte]=Tableau3[[#This Row],[Ref-Carte2]])*(Tableau2[ID-Voie]=Tableau3[[#This Row],[ID-VOIE]])*ROW(Tableau2[TS]))-ROW(Tableau2[#Headers])),"")</f>
        <v>ET</v>
      </c>
      <c r="AL63" s="72" t="str">
        <f>Tableau3[[#This Row],[Ref-Carte2]]&amp;"/"&amp;Tableau3[[#This Row],[ID-VOIE]]</f>
        <v>SDI1602/13</v>
      </c>
      <c r="AM63" s="73" t="str">
        <f>INDEX(Tableau2[Borne],MATCH(Tableau3[[#This Row],[ID-CARTEVOIE]],Tableau2[ID-CARTEVOIE],0))&amp;""</f>
        <v>6A</v>
      </c>
      <c r="AN63" s="74" t="str">
        <f>Tableau3[[#This Row],[ID-API]]&amp;Tableau3[[#This Row],[ID-RACK]]&amp;Tableau3[[#This Row],[ID-SLOT]]&amp;Tableau3[[#This Row],[BORNE]]</f>
        <v>1186A</v>
      </c>
      <c r="AO63" s="1"/>
    </row>
    <row r="64" spans="1:41" ht="20.100000000000001" customHeight="1" thickTop="1" thickBot="1">
      <c r="A64" s="68"/>
      <c r="B64" s="69" t="str">
        <f>IFERROR(INDEX(Tableau4[Date],MATCH($A64,Tableau4[EVO],0)),"")</f>
        <v/>
      </c>
      <c r="C64" s="68" t="str">
        <f>IFERROR(INDEX(Tableau4[Designation],MATCH($A64,Tableau4[EVO],0)),"")</f>
        <v/>
      </c>
      <c r="D64" s="68"/>
      <c r="E64" s="70">
        <v>50</v>
      </c>
      <c r="F64" s="71">
        <v>57</v>
      </c>
      <c r="G64" s="101" t="str">
        <f>INDEX(Tableau8[Att1],MATCH(Tableau3[[#This Row],[ID-INS]],Tableau8[ID],0))&amp;""</f>
        <v>B22</v>
      </c>
      <c r="H64" s="101" t="str">
        <f>INDEX(Tableau8[Att2],MATCH(Tableau3[[#This Row],[ID-INS]],Tableau8[ID],0))&amp;""</f>
        <v>PMR1</v>
      </c>
      <c r="I64" s="101" t="str">
        <f>INDEX(Tableau8[Att3],MATCH(Tableau3[[#This Row],[ID-INS]],Tableau8[ID],0))&amp;""</f>
        <v>PMR1</v>
      </c>
      <c r="J64" s="101"/>
      <c r="K64" s="167" t="str">
        <f>INDEX(Tableau8[Nom du modele],MATCH(Tableau3[[#This Row],[ID-INS]],Tableau8[ID],0))&amp;""</f>
        <v>PMR_1</v>
      </c>
      <c r="L64" s="99" t="str">
        <f>INDEX(Tableau5[Att1],MATCH(Tableau3[[#This Row],[ID-SIG]],Tableau5[ID],0))&amp;""</f>
        <v>TS_OuvRet1</v>
      </c>
      <c r="M64" s="99" t="str">
        <f>INDEX(Tableau5[Att2],MATCH(Tableau3[[#This Row],[ID-SIG]],Tableau5[ID],0))&amp;""</f>
        <v/>
      </c>
      <c r="N64" s="99" t="str">
        <f>INDEX(Tableau5[Att3],MATCH(Tableau3[[#This Row],[ID-SIG]],Tableau5[ID],0))&amp;""</f>
        <v/>
      </c>
      <c r="O64" s="99"/>
      <c r="P64" s="99" t="str">
        <f>INDEX(Tableau5[Description],MATCH(Tableau3[[#This Row],[ID-SIG]],Tableau5[ID],0))</f>
        <v>Retour Commande 1 ouverture sortie</v>
      </c>
      <c r="Q64" s="99"/>
      <c r="R64" s="103" t="str">
        <f>Tableau3[[#This Row],[Description]]</f>
        <v>Retour Commande 1 ouverture sortie</v>
      </c>
      <c r="U64" s="87">
        <v>1</v>
      </c>
      <c r="V64" s="87">
        <v>1</v>
      </c>
      <c r="W64" s="87">
        <v>8</v>
      </c>
      <c r="X64" s="87">
        <v>14</v>
      </c>
      <c r="Y64" s="40"/>
      <c r="Z64" s="165" t="str">
        <f>INDEX(Tableau2[TS],MATCH(Tableau3[[#This Row],[ID-CARTEVOIE]],Tableau2[ID-CARTEVOIE],0))</f>
        <v>ET</v>
      </c>
      <c r="AA64" s="53" t="s">
        <v>213</v>
      </c>
      <c r="AB64" s="223" t="str">
        <f>IFERROR(INDEX(Tableau5[Reserve],MATCH(Tableau3[[#This Row],[ID-SIG]],Tableau5[ID],0))&amp;"","")</f>
        <v/>
      </c>
      <c r="AC64" s="21"/>
      <c r="AD64" s="108" t="str">
        <f>INDEX(Tableau7[Repere],MATCH(Tableau3[[#This Row],[ID-API]],Tableau7[ID-API],0))&amp;""</f>
        <v>A1</v>
      </c>
      <c r="AE64" s="108" t="str">
        <f>INDEX(Tableau1[Repere-Rack],MATCH(Tableau3[[#This Row],[ID-RACK]],Tableau1[ID-RACK],0))&amp;""</f>
        <v>R1</v>
      </c>
      <c r="AF64" s="108" t="str">
        <f>INDEX(Tableau1[Repere-Slot],MATCH(Tableau3[[#This Row],[ID-SLOT]],Tableau1[ID-SLOT],0))&amp;""</f>
        <v>S8</v>
      </c>
      <c r="AG64" s="108" t="str">
        <f>INDEX(Tableau2[Repere-Voie],MATCH(Tableau3[[#This Row],[ID-VOIE]],Tableau2[ID-Voie],0))&amp;""</f>
        <v>v14</v>
      </c>
      <c r="AH64" s="72" t="str">
        <f>Tableau3[[#This Row],[ID-API]]&amp; "." &amp;Tableau3[[#This Row],[ID-RACK]]&amp; "." &amp;Tableau3[[#This Row],[ID-SLOT]]</f>
        <v>1.1.8</v>
      </c>
      <c r="AI64" s="72" t="str">
        <f>INDEX(Tableau1[Ref-Carte],MATCH(Tableau3[[#This Row],[ID-RRS]],Tableau1[ID-RRS],0))</f>
        <v>SDI1602</v>
      </c>
      <c r="AJ64" s="72" t="str">
        <f t="array" ref="AJ64">IFERROR(INDEX(Tableau2[TS],MATCH(1,(Tableau2[Ref-Carte]=Tableau3[[#This Row],[Ref-Carte2]])*(Tableau2[ID-Voie]=Tableau3[[#This Row],[ID-VOIE]]),0)),"")</f>
        <v>ET</v>
      </c>
      <c r="AK64" s="72" t="str">
        <f>IFERROR(INDEX(Tableau2[TS],SUMPRODUCT((Tableau2[Ref-Carte]=Tableau3[[#This Row],[Ref-Carte2]])*(Tableau2[ID-Voie]=Tableau3[[#This Row],[ID-VOIE]])*ROW(Tableau2[TS]))-ROW(Tableau2[#Headers])),"")</f>
        <v>ET</v>
      </c>
      <c r="AL64" s="72" t="str">
        <f>Tableau3[[#This Row],[Ref-Carte2]]&amp;"/"&amp;Tableau3[[#This Row],[ID-VOIE]]</f>
        <v>SDI1602/14</v>
      </c>
      <c r="AM64" s="73" t="str">
        <f>INDEX(Tableau2[Borne],MATCH(Tableau3[[#This Row],[ID-CARTEVOIE]],Tableau2[ID-CARTEVOIE],0))&amp;""</f>
        <v>7B</v>
      </c>
      <c r="AN64" s="74" t="str">
        <f>Tableau3[[#This Row],[ID-API]]&amp;Tableau3[[#This Row],[ID-RACK]]&amp;Tableau3[[#This Row],[ID-SLOT]]&amp;Tableau3[[#This Row],[BORNE]]</f>
        <v>1187B</v>
      </c>
      <c r="AO64" s="1"/>
    </row>
    <row r="65" spans="1:41" ht="20.100000000000001" customHeight="1" thickTop="1" thickBot="1">
      <c r="A65" s="68"/>
      <c r="B65" s="69" t="str">
        <f>IFERROR(INDEX(Tableau4[Date],MATCH($A65,Tableau4[EVO],0)),"")</f>
        <v/>
      </c>
      <c r="C65" s="68" t="str">
        <f>IFERROR(INDEX(Tableau4[Designation],MATCH($A65,Tableau4[EVO],0)),"")</f>
        <v/>
      </c>
      <c r="D65" s="68"/>
      <c r="E65" s="70">
        <v>50</v>
      </c>
      <c r="F65" s="71">
        <v>58</v>
      </c>
      <c r="G65" s="101" t="str">
        <f>INDEX(Tableau8[Att1],MATCH(Tableau3[[#This Row],[ID-INS]],Tableau8[ID],0))&amp;""</f>
        <v>B22</v>
      </c>
      <c r="H65" s="101" t="str">
        <f>INDEX(Tableau8[Att2],MATCH(Tableau3[[#This Row],[ID-INS]],Tableau8[ID],0))&amp;""</f>
        <v>PMR1</v>
      </c>
      <c r="I65" s="101" t="str">
        <f>INDEX(Tableau8[Att3],MATCH(Tableau3[[#This Row],[ID-INS]],Tableau8[ID],0))&amp;""</f>
        <v>PMR1</v>
      </c>
      <c r="J65" s="101"/>
      <c r="K65" s="167" t="str">
        <f>INDEX(Tableau8[Nom du modele],MATCH(Tableau3[[#This Row],[ID-INS]],Tableau8[ID],0))&amp;""</f>
        <v>PMR_1</v>
      </c>
      <c r="L65" s="99" t="str">
        <f>INDEX(Tableau5[Att1],MATCH(Tableau3[[#This Row],[ID-SIG]],Tableau5[ID],0))&amp;""</f>
        <v>Réserve</v>
      </c>
      <c r="M65" s="99" t="str">
        <f>INDEX(Tableau5[Att2],MATCH(Tableau3[[#This Row],[ID-SIG]],Tableau5[ID],0))&amp;""</f>
        <v/>
      </c>
      <c r="N65" s="99" t="str">
        <f>INDEX(Tableau5[Att3],MATCH(Tableau3[[#This Row],[ID-SIG]],Tableau5[ID],0))&amp;""</f>
        <v/>
      </c>
      <c r="O65" s="99"/>
      <c r="P65" s="99" t="str">
        <f>INDEX(Tableau5[Description],MATCH(Tableau3[[#This Row],[ID-SIG]],Tableau5[ID],0))</f>
        <v>Réserve</v>
      </c>
      <c r="Q65" s="99"/>
      <c r="R65" s="103" t="str">
        <f>Tableau3[[#This Row],[Description]]</f>
        <v>Réserve</v>
      </c>
      <c r="U65" s="87">
        <v>1</v>
      </c>
      <c r="V65" s="87">
        <v>1</v>
      </c>
      <c r="W65" s="87">
        <v>8</v>
      </c>
      <c r="X65" s="87">
        <v>15</v>
      </c>
      <c r="Y65" s="40"/>
      <c r="Z65" s="165" t="str">
        <f>INDEX(Tableau2[TS],MATCH(Tableau3[[#This Row],[ID-CARTEVOIE]],Tableau2[ID-CARTEVOIE],0))</f>
        <v>ET</v>
      </c>
      <c r="AA65" s="53" t="s">
        <v>213</v>
      </c>
      <c r="AB65" s="223" t="str">
        <f>IFERROR(INDEX(Tableau5[Reserve],MATCH(Tableau3[[#This Row],[ID-SIG]],Tableau5[ID],0))&amp;"","")</f>
        <v/>
      </c>
      <c r="AC65" s="21"/>
      <c r="AD65" s="108" t="str">
        <f>INDEX(Tableau7[Repere],MATCH(Tableau3[[#This Row],[ID-API]],Tableau7[ID-API],0))&amp;""</f>
        <v>A1</v>
      </c>
      <c r="AE65" s="108" t="str">
        <f>INDEX(Tableau1[Repere-Rack],MATCH(Tableau3[[#This Row],[ID-RACK]],Tableau1[ID-RACK],0))&amp;""</f>
        <v>R1</v>
      </c>
      <c r="AF65" s="108" t="str">
        <f>INDEX(Tableau1[Repere-Slot],MATCH(Tableau3[[#This Row],[ID-SLOT]],Tableau1[ID-SLOT],0))&amp;""</f>
        <v>S8</v>
      </c>
      <c r="AG65" s="108" t="str">
        <f>INDEX(Tableau2[Repere-Voie],MATCH(Tableau3[[#This Row],[ID-VOIE]],Tableau2[ID-Voie],0))&amp;""</f>
        <v>v15</v>
      </c>
      <c r="AH65" s="72" t="str">
        <f>Tableau3[[#This Row],[ID-API]]&amp; "." &amp;Tableau3[[#This Row],[ID-RACK]]&amp; "." &amp;Tableau3[[#This Row],[ID-SLOT]]</f>
        <v>1.1.8</v>
      </c>
      <c r="AI65" s="72" t="str">
        <f>INDEX(Tableau1[Ref-Carte],MATCH(Tableau3[[#This Row],[ID-RRS]],Tableau1[ID-RRS],0))</f>
        <v>SDI1602</v>
      </c>
      <c r="AJ65" s="72" t="str">
        <f t="array" ref="AJ65">IFERROR(INDEX(Tableau2[TS],MATCH(1,(Tableau2[Ref-Carte]=Tableau3[[#This Row],[Ref-Carte2]])*(Tableau2[ID-Voie]=Tableau3[[#This Row],[ID-VOIE]]),0)),"")</f>
        <v>ET</v>
      </c>
      <c r="AK65" s="72" t="str">
        <f>IFERROR(INDEX(Tableau2[TS],SUMPRODUCT((Tableau2[Ref-Carte]=Tableau3[[#This Row],[Ref-Carte2]])*(Tableau2[ID-Voie]=Tableau3[[#This Row],[ID-VOIE]])*ROW(Tableau2[TS]))-ROW(Tableau2[#Headers])),"")</f>
        <v>ET</v>
      </c>
      <c r="AL65" s="72" t="str">
        <f>Tableau3[[#This Row],[Ref-Carte2]]&amp;"/"&amp;Tableau3[[#This Row],[ID-VOIE]]</f>
        <v>SDI1602/15</v>
      </c>
      <c r="AM65" s="73" t="str">
        <f>INDEX(Tableau2[Borne],MATCH(Tableau3[[#This Row],[ID-CARTEVOIE]],Tableau2[ID-CARTEVOIE],0))&amp;""</f>
        <v>7A</v>
      </c>
      <c r="AN65" s="74" t="str">
        <f>Tableau3[[#This Row],[ID-API]]&amp;Tableau3[[#This Row],[ID-RACK]]&amp;Tableau3[[#This Row],[ID-SLOT]]&amp;Tableau3[[#This Row],[BORNE]]</f>
        <v>1187A</v>
      </c>
      <c r="AO65" s="1"/>
    </row>
    <row r="66" spans="1:41" ht="20.100000000000001" customHeight="1" thickTop="1" thickBot="1">
      <c r="A66" s="68"/>
      <c r="B66" s="69" t="str">
        <f>IFERROR(INDEX(Tableau4[Date],MATCH($A66,Tableau4[EVO],0)),"")</f>
        <v/>
      </c>
      <c r="C66" s="68" t="str">
        <f>IFERROR(INDEX(Tableau4[Designation],MATCH($A66,Tableau4[EVO],0)),"")</f>
        <v/>
      </c>
      <c r="D66" s="68"/>
      <c r="E66" s="70">
        <v>50</v>
      </c>
      <c r="F66" s="71">
        <v>59</v>
      </c>
      <c r="G66" s="101" t="str">
        <f>INDEX(Tableau8[Att1],MATCH(Tableau3[[#This Row],[ID-INS]],Tableau8[ID],0))&amp;""</f>
        <v>B22</v>
      </c>
      <c r="H66" s="101" t="str">
        <f>INDEX(Tableau8[Att2],MATCH(Tableau3[[#This Row],[ID-INS]],Tableau8[ID],0))&amp;""</f>
        <v>PMR1</v>
      </c>
      <c r="I66" s="101" t="str">
        <f>INDEX(Tableau8[Att3],MATCH(Tableau3[[#This Row],[ID-INS]],Tableau8[ID],0))&amp;""</f>
        <v>PMR1</v>
      </c>
      <c r="J66" s="101"/>
      <c r="K66" s="167" t="str">
        <f>INDEX(Tableau8[Nom du modele],MATCH(Tableau3[[#This Row],[ID-INS]],Tableau8[ID],0))&amp;""</f>
        <v>PMR_1</v>
      </c>
      <c r="L66" s="99" t="str">
        <f>INDEX(Tableau5[Att1],MATCH(Tableau3[[#This Row],[ID-SIG]],Tableau5[ID],0))&amp;""</f>
        <v>T_SynthDef</v>
      </c>
      <c r="M66" s="99" t="str">
        <f>INDEX(Tableau5[Att2],MATCH(Tableau3[[#This Row],[ID-SIG]],Tableau5[ID],0))&amp;""</f>
        <v/>
      </c>
      <c r="N66" s="99" t="str">
        <f>INDEX(Tableau5[Att3],MATCH(Tableau3[[#This Row],[ID-SIG]],Tableau5[ID],0))&amp;""</f>
        <v/>
      </c>
      <c r="O66" s="99"/>
      <c r="P66" s="99" t="str">
        <f>INDEX(Tableau5[Description],MATCH(Tableau3[[#This Row],[ID-SIG]],Tableau5[ID],0))</f>
        <v>Synthèse défaut</v>
      </c>
      <c r="Q66" s="99"/>
      <c r="R66" s="103" t="str">
        <f>Tableau3[[#This Row],[Description]]</f>
        <v>Synthèse défaut</v>
      </c>
      <c r="U66" s="87">
        <v>1</v>
      </c>
      <c r="V66" s="87">
        <v>1</v>
      </c>
      <c r="W66" s="87">
        <v>9</v>
      </c>
      <c r="X66" s="87">
        <v>0</v>
      </c>
      <c r="Y66" s="40"/>
      <c r="Z66" s="165" t="str">
        <f>INDEX(Tableau2[TS],MATCH(Tableau3[[#This Row],[ID-CARTEVOIE]],Tableau2[ID-CARTEVOIE],0))</f>
        <v>ET</v>
      </c>
      <c r="AA66" s="53" t="s">
        <v>213</v>
      </c>
      <c r="AB66" s="223" t="str">
        <f>IFERROR(INDEX(Tableau5[Reserve],MATCH(Tableau3[[#This Row],[ID-SIG]],Tableau5[ID],0))&amp;"","")</f>
        <v/>
      </c>
      <c r="AC66" s="21"/>
      <c r="AD66" s="108" t="str">
        <f>INDEX(Tableau7[Repere],MATCH(Tableau3[[#This Row],[ID-API]],Tableau7[ID-API],0))&amp;""</f>
        <v>A1</v>
      </c>
      <c r="AE66" s="108" t="str">
        <f>INDEX(Tableau1[Repere-Rack],MATCH(Tableau3[[#This Row],[ID-RACK]],Tableau1[ID-RACK],0))&amp;""</f>
        <v>R1</v>
      </c>
      <c r="AF66" s="108" t="str">
        <f>INDEX(Tableau1[Repere-Slot],MATCH(Tableau3[[#This Row],[ID-SLOT]],Tableau1[ID-SLOT],0))&amp;""</f>
        <v>S9</v>
      </c>
      <c r="AG66" s="108" t="str">
        <f>INDEX(Tableau2[Repere-Voie],MATCH(Tableau3[[#This Row],[ID-VOIE]],Tableau2[ID-Voie],0))&amp;""</f>
        <v>v0</v>
      </c>
      <c r="AH66" s="72" t="str">
        <f>Tableau3[[#This Row],[ID-API]]&amp; "." &amp;Tableau3[[#This Row],[ID-RACK]]&amp; "." &amp;Tableau3[[#This Row],[ID-SLOT]]</f>
        <v>1.1.9</v>
      </c>
      <c r="AI66" s="72" t="str">
        <f>INDEX(Tableau1[Ref-Carte],MATCH(Tableau3[[#This Row],[ID-RRS]],Tableau1[ID-RRS],0))</f>
        <v>SDI1602</v>
      </c>
      <c r="AJ66" s="72" t="str">
        <f t="array" ref="AJ66">IFERROR(INDEX(Tableau2[TS],MATCH(1,(Tableau2[Ref-Carte]=Tableau3[[#This Row],[Ref-Carte2]])*(Tableau2[ID-Voie]=Tableau3[[#This Row],[ID-VOIE]]),0)),"")</f>
        <v>ET</v>
      </c>
      <c r="AK66" s="72" t="str">
        <f>IFERROR(INDEX(Tableau2[TS],SUMPRODUCT((Tableau2[Ref-Carte]=Tableau3[[#This Row],[Ref-Carte2]])*(Tableau2[ID-Voie]=Tableau3[[#This Row],[ID-VOIE]])*ROW(Tableau2[TS]))-ROW(Tableau2[#Headers])),"")</f>
        <v>ET</v>
      </c>
      <c r="AL66" s="72" t="str">
        <f>Tableau3[[#This Row],[Ref-Carte2]]&amp;"/"&amp;Tableau3[[#This Row],[ID-VOIE]]</f>
        <v>SDI1602/0</v>
      </c>
      <c r="AM66" s="73" t="str">
        <f>INDEX(Tableau2[Borne],MATCH(Tableau3[[#This Row],[ID-CARTEVOIE]],Tableau2[ID-CARTEVOIE],0))&amp;""</f>
        <v>0B</v>
      </c>
      <c r="AN66" s="74" t="str">
        <f>Tableau3[[#This Row],[ID-API]]&amp;Tableau3[[#This Row],[ID-RACK]]&amp;Tableau3[[#This Row],[ID-SLOT]]&amp;Tableau3[[#This Row],[BORNE]]</f>
        <v>1190B</v>
      </c>
      <c r="AO66" s="1"/>
    </row>
    <row r="67" spans="1:41" ht="20.100000000000001" customHeight="1" thickTop="1" thickBot="1">
      <c r="A67" s="68"/>
      <c r="B67" s="69" t="str">
        <f>IFERROR(INDEX(Tableau4[Date],MATCH($A67,Tableau4[EVO],0)),"")</f>
        <v/>
      </c>
      <c r="C67" s="68" t="str">
        <f>IFERROR(INDEX(Tableau4[Designation],MATCH($A67,Tableau4[EVO],0)),"")</f>
        <v/>
      </c>
      <c r="D67" s="68"/>
      <c r="E67" s="70">
        <v>50</v>
      </c>
      <c r="F67" s="71">
        <v>60</v>
      </c>
      <c r="G67" s="101" t="str">
        <f>INDEX(Tableau8[Att1],MATCH(Tableau3[[#This Row],[ID-INS]],Tableau8[ID],0))&amp;""</f>
        <v>B22</v>
      </c>
      <c r="H67" s="101" t="str">
        <f>INDEX(Tableau8[Att2],MATCH(Tableau3[[#This Row],[ID-INS]],Tableau8[ID],0))&amp;""</f>
        <v>PMR1</v>
      </c>
      <c r="I67" s="101" t="str">
        <f>INDEX(Tableau8[Att3],MATCH(Tableau3[[#This Row],[ID-INS]],Tableau8[ID],0))&amp;""</f>
        <v>PMR1</v>
      </c>
      <c r="J67" s="101"/>
      <c r="K67" s="167" t="str">
        <f>INDEX(Tableau8[Nom du modele],MATCH(Tableau3[[#This Row],[ID-INS]],Tableau8[ID],0))&amp;""</f>
        <v>PMR_1</v>
      </c>
      <c r="L67" s="99" t="str">
        <f>INDEX(Tableau5[Att1],MATCH(Tableau3[[#This Row],[ID-SIG]],Tableau5[ID],0))&amp;""</f>
        <v>Effraction</v>
      </c>
      <c r="M67" s="99" t="str">
        <f>INDEX(Tableau5[Att2],MATCH(Tableau3[[#This Row],[ID-SIG]],Tableau5[ID],0))&amp;""</f>
        <v/>
      </c>
      <c r="N67" s="99" t="str">
        <f>INDEX(Tableau5[Att3],MATCH(Tableau3[[#This Row],[ID-SIG]],Tableau5[ID],0))&amp;""</f>
        <v/>
      </c>
      <c r="O67" s="99"/>
      <c r="P67" s="99" t="str">
        <f>INDEX(Tableau5[Description],MATCH(Tableau3[[#This Row],[ID-SIG]],Tableau5[ID],0))</f>
        <v>Effraction</v>
      </c>
      <c r="Q67" s="99"/>
      <c r="R67" s="103" t="str">
        <f>Tableau3[[#This Row],[Description]]</f>
        <v>Effraction</v>
      </c>
      <c r="U67" s="87">
        <v>1</v>
      </c>
      <c r="V67" s="87">
        <v>1</v>
      </c>
      <c r="W67" s="87">
        <v>9</v>
      </c>
      <c r="X67" s="87">
        <v>1</v>
      </c>
      <c r="Y67" s="40"/>
      <c r="Z67" s="165" t="str">
        <f>INDEX(Tableau2[TS],MATCH(Tableau3[[#This Row],[ID-CARTEVOIE]],Tableau2[ID-CARTEVOIE],0))</f>
        <v>ET</v>
      </c>
      <c r="AA67" s="53" t="s">
        <v>213</v>
      </c>
      <c r="AB67" s="223" t="str">
        <f>IFERROR(INDEX(Tableau5[Reserve],MATCH(Tableau3[[#This Row],[ID-SIG]],Tableau5[ID],0))&amp;"","")</f>
        <v/>
      </c>
      <c r="AC67" s="21"/>
      <c r="AD67" s="108" t="str">
        <f>INDEX(Tableau7[Repere],MATCH(Tableau3[[#This Row],[ID-API]],Tableau7[ID-API],0))&amp;""</f>
        <v>A1</v>
      </c>
      <c r="AE67" s="108" t="str">
        <f>INDEX(Tableau1[Repere-Rack],MATCH(Tableau3[[#This Row],[ID-RACK]],Tableau1[ID-RACK],0))&amp;""</f>
        <v>R1</v>
      </c>
      <c r="AF67" s="108" t="str">
        <f>INDEX(Tableau1[Repere-Slot],MATCH(Tableau3[[#This Row],[ID-SLOT]],Tableau1[ID-SLOT],0))&amp;""</f>
        <v>S9</v>
      </c>
      <c r="AG67" s="108" t="str">
        <f>INDEX(Tableau2[Repere-Voie],MATCH(Tableau3[[#This Row],[ID-VOIE]],Tableau2[ID-Voie],0))&amp;""</f>
        <v>v1</v>
      </c>
      <c r="AH67" s="72" t="str">
        <f>Tableau3[[#This Row],[ID-API]]&amp; "." &amp;Tableau3[[#This Row],[ID-RACK]]&amp; "." &amp;Tableau3[[#This Row],[ID-SLOT]]</f>
        <v>1.1.9</v>
      </c>
      <c r="AI67" s="72" t="str">
        <f>INDEX(Tableau1[Ref-Carte],MATCH(Tableau3[[#This Row],[ID-RRS]],Tableau1[ID-RRS],0))</f>
        <v>SDI1602</v>
      </c>
      <c r="AJ67" s="72" t="str">
        <f t="array" ref="AJ67">IFERROR(INDEX(Tableau2[TS],MATCH(1,(Tableau2[Ref-Carte]=Tableau3[[#This Row],[Ref-Carte2]])*(Tableau2[ID-Voie]=Tableau3[[#This Row],[ID-VOIE]]),0)),"")</f>
        <v>ET</v>
      </c>
      <c r="AK67" s="72" t="str">
        <f>IFERROR(INDEX(Tableau2[TS],SUMPRODUCT((Tableau2[Ref-Carte]=Tableau3[[#This Row],[Ref-Carte2]])*(Tableau2[ID-Voie]=Tableau3[[#This Row],[ID-VOIE]])*ROW(Tableau2[TS]))-ROW(Tableau2[#Headers])),"")</f>
        <v>ET</v>
      </c>
      <c r="AL67" s="72" t="str">
        <f>Tableau3[[#This Row],[Ref-Carte2]]&amp;"/"&amp;Tableau3[[#This Row],[ID-VOIE]]</f>
        <v>SDI1602/1</v>
      </c>
      <c r="AM67" s="73" t="str">
        <f>INDEX(Tableau2[Borne],MATCH(Tableau3[[#This Row],[ID-CARTEVOIE]],Tableau2[ID-CARTEVOIE],0))&amp;""</f>
        <v>0A</v>
      </c>
      <c r="AN67" s="74" t="str">
        <f>Tableau3[[#This Row],[ID-API]]&amp;Tableau3[[#This Row],[ID-RACK]]&amp;Tableau3[[#This Row],[ID-SLOT]]&amp;Tableau3[[#This Row],[BORNE]]</f>
        <v>1190A</v>
      </c>
      <c r="AO67" s="1"/>
    </row>
    <row r="68" spans="1:41" ht="20.100000000000001" customHeight="1" thickTop="1" thickBot="1">
      <c r="A68" s="68"/>
      <c r="B68" s="69" t="str">
        <f>IFERROR(INDEX(Tableau4[Date],MATCH($A68,Tableau4[EVO],0)),"")</f>
        <v/>
      </c>
      <c r="C68" s="68" t="str">
        <f>IFERROR(INDEX(Tableau4[Designation],MATCH($A68,Tableau4[EVO],0)),"")</f>
        <v/>
      </c>
      <c r="D68" s="68"/>
      <c r="E68" s="70">
        <v>52</v>
      </c>
      <c r="F68" s="71">
        <v>51</v>
      </c>
      <c r="G68" s="101" t="str">
        <f>INDEX(Tableau8[Att1],MATCH(Tableau3[[#This Row],[ID-INS]],Tableau8[ID],0))&amp;""</f>
        <v>B22</v>
      </c>
      <c r="H68" s="101" t="str">
        <f>INDEX(Tableau8[Att2],MATCH(Tableau3[[#This Row],[ID-INS]],Tableau8[ID],0))&amp;""</f>
        <v>PMR2</v>
      </c>
      <c r="I68" s="101" t="str">
        <f>INDEX(Tableau8[Att3],MATCH(Tableau3[[#This Row],[ID-INS]],Tableau8[ID],0))&amp;""</f>
        <v>PMR2</v>
      </c>
      <c r="J68" s="101"/>
      <c r="K68" s="167" t="str">
        <f>INDEX(Tableau8[Nom du modele],MATCH(Tableau3[[#This Row],[ID-INS]],Tableau8[ID],0))&amp;""</f>
        <v>PMR_1</v>
      </c>
      <c r="L68" s="99" t="str">
        <f>INDEX(Tableau5[Att1],MATCH(Tableau3[[#This Row],[ID-SIG]],Tableau5[ID],0))&amp;""</f>
        <v>Réserve</v>
      </c>
      <c r="M68" s="99" t="str">
        <f>INDEX(Tableau5[Att2],MATCH(Tableau3[[#This Row],[ID-SIG]],Tableau5[ID],0))&amp;""</f>
        <v/>
      </c>
      <c r="N68" s="99" t="str">
        <f>INDEX(Tableau5[Att3],MATCH(Tableau3[[#This Row],[ID-SIG]],Tableau5[ID],0))&amp;""</f>
        <v/>
      </c>
      <c r="O68" s="99"/>
      <c r="P68" s="99" t="str">
        <f>INDEX(Tableau5[Description],MATCH(Tableau3[[#This Row],[ID-SIG]],Tableau5[ID],0))</f>
        <v>Réserve</v>
      </c>
      <c r="Q68" s="99"/>
      <c r="R68" s="103" t="str">
        <f>Tableau3[[#This Row],[Description]]</f>
        <v>Réserve</v>
      </c>
      <c r="U68" s="87">
        <v>1</v>
      </c>
      <c r="V68" s="87">
        <v>1</v>
      </c>
      <c r="W68" s="87">
        <v>9</v>
      </c>
      <c r="X68" s="87">
        <v>2</v>
      </c>
      <c r="Y68" s="40"/>
      <c r="Z68" s="165" t="str">
        <f>INDEX(Tableau2[TS],MATCH(Tableau3[[#This Row],[ID-CARTEVOIE]],Tableau2[ID-CARTEVOIE],0))</f>
        <v>ET</v>
      </c>
      <c r="AA68" s="53" t="s">
        <v>213</v>
      </c>
      <c r="AB68" s="223" t="str">
        <f>IFERROR(INDEX(Tableau5[Reserve],MATCH(Tableau3[[#This Row],[ID-SIG]],Tableau5[ID],0))&amp;"","")</f>
        <v/>
      </c>
      <c r="AC68" s="21"/>
      <c r="AD68" s="108" t="str">
        <f>INDEX(Tableau7[Repere],MATCH(Tableau3[[#This Row],[ID-API]],Tableau7[ID-API],0))&amp;""</f>
        <v>A1</v>
      </c>
      <c r="AE68" s="108" t="str">
        <f>INDEX(Tableau1[Repere-Rack],MATCH(Tableau3[[#This Row],[ID-RACK]],Tableau1[ID-RACK],0))&amp;""</f>
        <v>R1</v>
      </c>
      <c r="AF68" s="108" t="str">
        <f>INDEX(Tableau1[Repere-Slot],MATCH(Tableau3[[#This Row],[ID-SLOT]],Tableau1[ID-SLOT],0))&amp;""</f>
        <v>S9</v>
      </c>
      <c r="AG68" s="108" t="str">
        <f>INDEX(Tableau2[Repere-Voie],MATCH(Tableau3[[#This Row],[ID-VOIE]],Tableau2[ID-Voie],0))&amp;""</f>
        <v>v2</v>
      </c>
      <c r="AH68" s="72" t="str">
        <f>Tableau3[[#This Row],[ID-API]]&amp; "." &amp;Tableau3[[#This Row],[ID-RACK]]&amp; "." &amp;Tableau3[[#This Row],[ID-SLOT]]</f>
        <v>1.1.9</v>
      </c>
      <c r="AI68" s="72" t="str">
        <f>INDEX(Tableau1[Ref-Carte],MATCH(Tableau3[[#This Row],[ID-RRS]],Tableau1[ID-RRS],0))</f>
        <v>SDI1602</v>
      </c>
      <c r="AJ68" s="72" t="str">
        <f t="array" ref="AJ68">IFERROR(INDEX(Tableau2[TS],MATCH(1,(Tableau2[Ref-Carte]=Tableau3[[#This Row],[Ref-Carte2]])*(Tableau2[ID-Voie]=Tableau3[[#This Row],[ID-VOIE]]),0)),"")</f>
        <v>ET</v>
      </c>
      <c r="AK68" s="72" t="str">
        <f>IFERROR(INDEX(Tableau2[TS],SUMPRODUCT((Tableau2[Ref-Carte]=Tableau3[[#This Row],[Ref-Carte2]])*(Tableau2[ID-Voie]=Tableau3[[#This Row],[ID-VOIE]])*ROW(Tableau2[TS]))-ROW(Tableau2[#Headers])),"")</f>
        <v>ET</v>
      </c>
      <c r="AL68" s="72" t="str">
        <f>Tableau3[[#This Row],[Ref-Carte2]]&amp;"/"&amp;Tableau3[[#This Row],[ID-VOIE]]</f>
        <v>SDI1602/2</v>
      </c>
      <c r="AM68" s="73" t="str">
        <f>INDEX(Tableau2[Borne],MATCH(Tableau3[[#This Row],[ID-CARTEVOIE]],Tableau2[ID-CARTEVOIE],0))&amp;""</f>
        <v>1B</v>
      </c>
      <c r="AN68" s="74" t="str">
        <f>Tableau3[[#This Row],[ID-API]]&amp;Tableau3[[#This Row],[ID-RACK]]&amp;Tableau3[[#This Row],[ID-SLOT]]&amp;Tableau3[[#This Row],[BORNE]]</f>
        <v>1191B</v>
      </c>
      <c r="AO68" s="1"/>
    </row>
    <row r="69" spans="1:41" ht="20.100000000000001" customHeight="1" thickTop="1" thickBot="1">
      <c r="A69" s="68"/>
      <c r="B69" s="69" t="str">
        <f>IFERROR(INDEX(Tableau4[Date],MATCH($A69,Tableau4[EVO],0)),"")</f>
        <v/>
      </c>
      <c r="C69" s="68" t="str">
        <f>IFERROR(INDEX(Tableau4[Designation],MATCH($A69,Tableau4[EVO],0)),"")</f>
        <v/>
      </c>
      <c r="D69" s="68"/>
      <c r="E69" s="70">
        <v>52</v>
      </c>
      <c r="F69" s="71">
        <v>56</v>
      </c>
      <c r="G69" s="101" t="str">
        <f>INDEX(Tableau8[Att1],MATCH(Tableau3[[#This Row],[ID-INS]],Tableau8[ID],0))&amp;""</f>
        <v>B22</v>
      </c>
      <c r="H69" s="101" t="str">
        <f>INDEX(Tableau8[Att2],MATCH(Tableau3[[#This Row],[ID-INS]],Tableau8[ID],0))&amp;""</f>
        <v>PMR2</v>
      </c>
      <c r="I69" s="101" t="str">
        <f>INDEX(Tableau8[Att3],MATCH(Tableau3[[#This Row],[ID-INS]],Tableau8[ID],0))&amp;""</f>
        <v>PMR2</v>
      </c>
      <c r="J69" s="101"/>
      <c r="K69" s="167" t="str">
        <f>INDEX(Tableau8[Nom du modele],MATCH(Tableau3[[#This Row],[ID-INS]],Tableau8[ID],0))&amp;""</f>
        <v>PMR_1</v>
      </c>
      <c r="L69" s="99" t="str">
        <f>INDEX(Tableau5[Att1],MATCH(Tableau3[[#This Row],[ID-SIG]],Tableau5[ID],0))&amp;""</f>
        <v>Fer2</v>
      </c>
      <c r="M69" s="99" t="str">
        <f>INDEX(Tableau5[Att2],MATCH(Tableau3[[#This Row],[ID-SIG]],Tableau5[ID],0))&amp;""</f>
        <v/>
      </c>
      <c r="N69" s="99" t="str">
        <f>INDEX(Tableau5[Att3],MATCH(Tableau3[[#This Row],[ID-SIG]],Tableau5[ID],0))&amp;""</f>
        <v/>
      </c>
      <c r="O69" s="99"/>
      <c r="P69" s="99" t="str">
        <f>INDEX(Tableau5[Description],MATCH(Tableau3[[#This Row],[ID-SIG]],Tableau5[ID],0))</f>
        <v>Porte fermée 2</v>
      </c>
      <c r="Q69" s="99"/>
      <c r="R69" s="103" t="str">
        <f>Tableau3[[#This Row],[Description]]</f>
        <v>Porte fermée 2</v>
      </c>
      <c r="U69" s="87">
        <v>1</v>
      </c>
      <c r="V69" s="87">
        <v>1</v>
      </c>
      <c r="W69" s="87">
        <v>9</v>
      </c>
      <c r="X69" s="87">
        <v>3</v>
      </c>
      <c r="Y69" s="40"/>
      <c r="Z69" s="165" t="str">
        <f>INDEX(Tableau2[TS],MATCH(Tableau3[[#This Row],[ID-CARTEVOIE]],Tableau2[ID-CARTEVOIE],0))</f>
        <v>ET</v>
      </c>
      <c r="AA69" s="53" t="s">
        <v>213</v>
      </c>
      <c r="AB69" s="223" t="str">
        <f>IFERROR(INDEX(Tableau5[Reserve],MATCH(Tableau3[[#This Row],[ID-SIG]],Tableau5[ID],0))&amp;"","")</f>
        <v/>
      </c>
      <c r="AC69" s="21"/>
      <c r="AD69" s="108" t="str">
        <f>INDEX(Tableau7[Repere],MATCH(Tableau3[[#This Row],[ID-API]],Tableau7[ID-API],0))&amp;""</f>
        <v>A1</v>
      </c>
      <c r="AE69" s="108" t="str">
        <f>INDEX(Tableau1[Repere-Rack],MATCH(Tableau3[[#This Row],[ID-RACK]],Tableau1[ID-RACK],0))&amp;""</f>
        <v>R1</v>
      </c>
      <c r="AF69" s="108" t="str">
        <f>INDEX(Tableau1[Repere-Slot],MATCH(Tableau3[[#This Row],[ID-SLOT]],Tableau1[ID-SLOT],0))&amp;""</f>
        <v>S9</v>
      </c>
      <c r="AG69" s="108" t="str">
        <f>INDEX(Tableau2[Repere-Voie],MATCH(Tableau3[[#This Row],[ID-VOIE]],Tableau2[ID-Voie],0))&amp;""</f>
        <v>v3</v>
      </c>
      <c r="AH69" s="72" t="str">
        <f>Tableau3[[#This Row],[ID-API]]&amp; "." &amp;Tableau3[[#This Row],[ID-RACK]]&amp; "." &amp;Tableau3[[#This Row],[ID-SLOT]]</f>
        <v>1.1.9</v>
      </c>
      <c r="AI69" s="72" t="str">
        <f>INDEX(Tableau1[Ref-Carte],MATCH(Tableau3[[#This Row],[ID-RRS]],Tableau1[ID-RRS],0))</f>
        <v>SDI1602</v>
      </c>
      <c r="AJ69" s="72" t="str">
        <f t="array" ref="AJ69">IFERROR(INDEX(Tableau2[TS],MATCH(1,(Tableau2[Ref-Carte]=Tableau3[[#This Row],[Ref-Carte2]])*(Tableau2[ID-Voie]=Tableau3[[#This Row],[ID-VOIE]]),0)),"")</f>
        <v>ET</v>
      </c>
      <c r="AK69" s="72" t="str">
        <f>IFERROR(INDEX(Tableau2[TS],SUMPRODUCT((Tableau2[Ref-Carte]=Tableau3[[#This Row],[Ref-Carte2]])*(Tableau2[ID-Voie]=Tableau3[[#This Row],[ID-VOIE]])*ROW(Tableau2[TS]))-ROW(Tableau2[#Headers])),"")</f>
        <v>ET</v>
      </c>
      <c r="AL69" s="72" t="str">
        <f>Tableau3[[#This Row],[Ref-Carte2]]&amp;"/"&amp;Tableau3[[#This Row],[ID-VOIE]]</f>
        <v>SDI1602/3</v>
      </c>
      <c r="AM69" s="73" t="str">
        <f>INDEX(Tableau2[Borne],MATCH(Tableau3[[#This Row],[ID-CARTEVOIE]],Tableau2[ID-CARTEVOIE],0))&amp;""</f>
        <v>1A</v>
      </c>
      <c r="AN69" s="74" t="str">
        <f>Tableau3[[#This Row],[ID-API]]&amp;Tableau3[[#This Row],[ID-RACK]]&amp;Tableau3[[#This Row],[ID-SLOT]]&amp;Tableau3[[#This Row],[BORNE]]</f>
        <v>1191A</v>
      </c>
      <c r="AO69" s="1"/>
    </row>
    <row r="70" spans="1:41" ht="20.100000000000001" customHeight="1" thickTop="1" thickBot="1">
      <c r="A70" s="68"/>
      <c r="B70" s="69" t="str">
        <f>IFERROR(INDEX(Tableau4[Date],MATCH($A70,Tableau4[EVO],0)),"")</f>
        <v/>
      </c>
      <c r="C70" s="68" t="str">
        <f>IFERROR(INDEX(Tableau4[Designation],MATCH($A70,Tableau4[EVO],0)),"")</f>
        <v/>
      </c>
      <c r="D70" s="68"/>
      <c r="E70" s="70">
        <v>52</v>
      </c>
      <c r="F70" s="71">
        <v>57</v>
      </c>
      <c r="G70" s="101" t="str">
        <f>INDEX(Tableau8[Att1],MATCH(Tableau3[[#This Row],[ID-INS]],Tableau8[ID],0))&amp;""</f>
        <v>B22</v>
      </c>
      <c r="H70" s="101" t="str">
        <f>INDEX(Tableau8[Att2],MATCH(Tableau3[[#This Row],[ID-INS]],Tableau8[ID],0))&amp;""</f>
        <v>PMR2</v>
      </c>
      <c r="I70" s="101" t="str">
        <f>INDEX(Tableau8[Att3],MATCH(Tableau3[[#This Row],[ID-INS]],Tableau8[ID],0))&amp;""</f>
        <v>PMR2</v>
      </c>
      <c r="J70" s="101"/>
      <c r="K70" s="167" t="str">
        <f>INDEX(Tableau8[Nom du modele],MATCH(Tableau3[[#This Row],[ID-INS]],Tableau8[ID],0))&amp;""</f>
        <v>PMR_1</v>
      </c>
      <c r="L70" s="99" t="str">
        <f>INDEX(Tableau5[Att1],MATCH(Tableau3[[#This Row],[ID-SIG]],Tableau5[ID],0))&amp;""</f>
        <v>TS_OuvRet1</v>
      </c>
      <c r="M70" s="99" t="str">
        <f>INDEX(Tableau5[Att2],MATCH(Tableau3[[#This Row],[ID-SIG]],Tableau5[ID],0))&amp;""</f>
        <v/>
      </c>
      <c r="N70" s="99" t="str">
        <f>INDEX(Tableau5[Att3],MATCH(Tableau3[[#This Row],[ID-SIG]],Tableau5[ID],0))&amp;""</f>
        <v/>
      </c>
      <c r="O70" s="99"/>
      <c r="P70" s="99" t="str">
        <f>INDEX(Tableau5[Description],MATCH(Tableau3[[#This Row],[ID-SIG]],Tableau5[ID],0))</f>
        <v>Retour Commande 1 ouverture sortie</v>
      </c>
      <c r="Q70" s="99"/>
      <c r="R70" s="103" t="str">
        <f>Tableau3[[#This Row],[Description]]</f>
        <v>Retour Commande 1 ouverture sortie</v>
      </c>
      <c r="U70" s="87">
        <v>1</v>
      </c>
      <c r="V70" s="87">
        <v>1</v>
      </c>
      <c r="W70" s="87">
        <v>9</v>
      </c>
      <c r="X70" s="87">
        <v>4</v>
      </c>
      <c r="Y70" s="40"/>
      <c r="Z70" s="165" t="str">
        <f>INDEX(Tableau2[TS],MATCH(Tableau3[[#This Row],[ID-CARTEVOIE]],Tableau2[ID-CARTEVOIE],0))</f>
        <v>ET</v>
      </c>
      <c r="AA70" s="53" t="s">
        <v>213</v>
      </c>
      <c r="AB70" s="223" t="str">
        <f>IFERROR(INDEX(Tableau5[Reserve],MATCH(Tableau3[[#This Row],[ID-SIG]],Tableau5[ID],0))&amp;"","")</f>
        <v/>
      </c>
      <c r="AC70" s="21"/>
      <c r="AD70" s="108" t="str">
        <f>INDEX(Tableau7[Repere],MATCH(Tableau3[[#This Row],[ID-API]],Tableau7[ID-API],0))&amp;""</f>
        <v>A1</v>
      </c>
      <c r="AE70" s="108" t="str">
        <f>INDEX(Tableau1[Repere-Rack],MATCH(Tableau3[[#This Row],[ID-RACK]],Tableau1[ID-RACK],0))&amp;""</f>
        <v>R1</v>
      </c>
      <c r="AF70" s="108" t="str">
        <f>INDEX(Tableau1[Repere-Slot],MATCH(Tableau3[[#This Row],[ID-SLOT]],Tableau1[ID-SLOT],0))&amp;""</f>
        <v>S9</v>
      </c>
      <c r="AG70" s="108" t="str">
        <f>INDEX(Tableau2[Repere-Voie],MATCH(Tableau3[[#This Row],[ID-VOIE]],Tableau2[ID-Voie],0))&amp;""</f>
        <v>v4</v>
      </c>
      <c r="AH70" s="72" t="str">
        <f>Tableau3[[#This Row],[ID-API]]&amp; "." &amp;Tableau3[[#This Row],[ID-RACK]]&amp; "." &amp;Tableau3[[#This Row],[ID-SLOT]]</f>
        <v>1.1.9</v>
      </c>
      <c r="AI70" s="72" t="str">
        <f>INDEX(Tableau1[Ref-Carte],MATCH(Tableau3[[#This Row],[ID-RRS]],Tableau1[ID-RRS],0))</f>
        <v>SDI1602</v>
      </c>
      <c r="AJ70" s="72" t="str">
        <f t="array" ref="AJ70">IFERROR(INDEX(Tableau2[TS],MATCH(1,(Tableau2[Ref-Carte]=Tableau3[[#This Row],[Ref-Carte2]])*(Tableau2[ID-Voie]=Tableau3[[#This Row],[ID-VOIE]]),0)),"")</f>
        <v>ET</v>
      </c>
      <c r="AK70" s="72" t="str">
        <f>IFERROR(INDEX(Tableau2[TS],SUMPRODUCT((Tableau2[Ref-Carte]=Tableau3[[#This Row],[Ref-Carte2]])*(Tableau2[ID-Voie]=Tableau3[[#This Row],[ID-VOIE]])*ROW(Tableau2[TS]))-ROW(Tableau2[#Headers])),"")</f>
        <v>ET</v>
      </c>
      <c r="AL70" s="72" t="str">
        <f>Tableau3[[#This Row],[Ref-Carte2]]&amp;"/"&amp;Tableau3[[#This Row],[ID-VOIE]]</f>
        <v>SDI1602/4</v>
      </c>
      <c r="AM70" s="73" t="str">
        <f>INDEX(Tableau2[Borne],MATCH(Tableau3[[#This Row],[ID-CARTEVOIE]],Tableau2[ID-CARTEVOIE],0))&amp;""</f>
        <v>2B</v>
      </c>
      <c r="AN70" s="74" t="str">
        <f>Tableau3[[#This Row],[ID-API]]&amp;Tableau3[[#This Row],[ID-RACK]]&amp;Tableau3[[#This Row],[ID-SLOT]]&amp;Tableau3[[#This Row],[BORNE]]</f>
        <v>1192B</v>
      </c>
      <c r="AO70" s="1"/>
    </row>
    <row r="71" spans="1:41" ht="20.100000000000001" customHeight="1" thickTop="1" thickBot="1">
      <c r="A71" s="68"/>
      <c r="B71" s="69" t="str">
        <f>IFERROR(INDEX(Tableau4[Date],MATCH($A71,Tableau4[EVO],0)),"")</f>
        <v/>
      </c>
      <c r="C71" s="68" t="str">
        <f>IFERROR(INDEX(Tableau4[Designation],MATCH($A71,Tableau4[EVO],0)),"")</f>
        <v/>
      </c>
      <c r="D71" s="68"/>
      <c r="E71" s="70">
        <v>52</v>
      </c>
      <c r="F71" s="71">
        <v>58</v>
      </c>
      <c r="G71" s="101" t="str">
        <f>INDEX(Tableau8[Att1],MATCH(Tableau3[[#This Row],[ID-INS]],Tableau8[ID],0))&amp;""</f>
        <v>B22</v>
      </c>
      <c r="H71" s="101" t="str">
        <f>INDEX(Tableau8[Att2],MATCH(Tableau3[[#This Row],[ID-INS]],Tableau8[ID],0))&amp;""</f>
        <v>PMR2</v>
      </c>
      <c r="I71" s="101" t="str">
        <f>INDEX(Tableau8[Att3],MATCH(Tableau3[[#This Row],[ID-INS]],Tableau8[ID],0))&amp;""</f>
        <v>PMR2</v>
      </c>
      <c r="J71" s="101"/>
      <c r="K71" s="167" t="str">
        <f>INDEX(Tableau8[Nom du modele],MATCH(Tableau3[[#This Row],[ID-INS]],Tableau8[ID],0))&amp;""</f>
        <v>PMR_1</v>
      </c>
      <c r="L71" s="99" t="str">
        <f>INDEX(Tableau5[Att1],MATCH(Tableau3[[#This Row],[ID-SIG]],Tableau5[ID],0))&amp;""</f>
        <v>Réserve</v>
      </c>
      <c r="M71" s="99" t="str">
        <f>INDEX(Tableau5[Att2],MATCH(Tableau3[[#This Row],[ID-SIG]],Tableau5[ID],0))&amp;""</f>
        <v/>
      </c>
      <c r="N71" s="99" t="str">
        <f>INDEX(Tableau5[Att3],MATCH(Tableau3[[#This Row],[ID-SIG]],Tableau5[ID],0))&amp;""</f>
        <v/>
      </c>
      <c r="O71" s="99"/>
      <c r="P71" s="99" t="str">
        <f>INDEX(Tableau5[Description],MATCH(Tableau3[[#This Row],[ID-SIG]],Tableau5[ID],0))</f>
        <v>Réserve</v>
      </c>
      <c r="Q71" s="99"/>
      <c r="R71" s="103" t="str">
        <f>Tableau3[[#This Row],[Description]]</f>
        <v>Réserve</v>
      </c>
      <c r="U71" s="87">
        <v>1</v>
      </c>
      <c r="V71" s="87">
        <v>1</v>
      </c>
      <c r="W71" s="87">
        <v>9</v>
      </c>
      <c r="X71" s="87">
        <v>5</v>
      </c>
      <c r="Y71" s="40"/>
      <c r="Z71" s="165" t="str">
        <f>INDEX(Tableau2[TS],MATCH(Tableau3[[#This Row],[ID-CARTEVOIE]],Tableau2[ID-CARTEVOIE],0))</f>
        <v>ET</v>
      </c>
      <c r="AA71" s="53" t="s">
        <v>213</v>
      </c>
      <c r="AB71" s="223" t="str">
        <f>IFERROR(INDEX(Tableau5[Reserve],MATCH(Tableau3[[#This Row],[ID-SIG]],Tableau5[ID],0))&amp;"","")</f>
        <v/>
      </c>
      <c r="AC71" s="21"/>
      <c r="AD71" s="108" t="str">
        <f>INDEX(Tableau7[Repere],MATCH(Tableau3[[#This Row],[ID-API]],Tableau7[ID-API],0))&amp;""</f>
        <v>A1</v>
      </c>
      <c r="AE71" s="108" t="str">
        <f>INDEX(Tableau1[Repere-Rack],MATCH(Tableau3[[#This Row],[ID-RACK]],Tableau1[ID-RACK],0))&amp;""</f>
        <v>R1</v>
      </c>
      <c r="AF71" s="108" t="str">
        <f>INDEX(Tableau1[Repere-Slot],MATCH(Tableau3[[#This Row],[ID-SLOT]],Tableau1[ID-SLOT],0))&amp;""</f>
        <v>S9</v>
      </c>
      <c r="AG71" s="108" t="str">
        <f>INDEX(Tableau2[Repere-Voie],MATCH(Tableau3[[#This Row],[ID-VOIE]],Tableau2[ID-Voie],0))&amp;""</f>
        <v>v5</v>
      </c>
      <c r="AH71" s="72" t="str">
        <f>Tableau3[[#This Row],[ID-API]]&amp; "." &amp;Tableau3[[#This Row],[ID-RACK]]&amp; "." &amp;Tableau3[[#This Row],[ID-SLOT]]</f>
        <v>1.1.9</v>
      </c>
      <c r="AI71" s="72" t="str">
        <f>INDEX(Tableau1[Ref-Carte],MATCH(Tableau3[[#This Row],[ID-RRS]],Tableau1[ID-RRS],0))</f>
        <v>SDI1602</v>
      </c>
      <c r="AJ71" s="72" t="str">
        <f t="array" ref="AJ71">IFERROR(INDEX(Tableau2[TS],MATCH(1,(Tableau2[Ref-Carte]=Tableau3[[#This Row],[Ref-Carte2]])*(Tableau2[ID-Voie]=Tableau3[[#This Row],[ID-VOIE]]),0)),"")</f>
        <v>ET</v>
      </c>
      <c r="AK71" s="72" t="str">
        <f>IFERROR(INDEX(Tableau2[TS],SUMPRODUCT((Tableau2[Ref-Carte]=Tableau3[[#This Row],[Ref-Carte2]])*(Tableau2[ID-Voie]=Tableau3[[#This Row],[ID-VOIE]])*ROW(Tableau2[TS]))-ROW(Tableau2[#Headers])),"")</f>
        <v>ET</v>
      </c>
      <c r="AL71" s="72" t="str">
        <f>Tableau3[[#This Row],[Ref-Carte2]]&amp;"/"&amp;Tableau3[[#This Row],[ID-VOIE]]</f>
        <v>SDI1602/5</v>
      </c>
      <c r="AM71" s="73" t="str">
        <f>INDEX(Tableau2[Borne],MATCH(Tableau3[[#This Row],[ID-CARTEVOIE]],Tableau2[ID-CARTEVOIE],0))&amp;""</f>
        <v>2A</v>
      </c>
      <c r="AN71" s="74" t="str">
        <f>Tableau3[[#This Row],[ID-API]]&amp;Tableau3[[#This Row],[ID-RACK]]&amp;Tableau3[[#This Row],[ID-SLOT]]&amp;Tableau3[[#This Row],[BORNE]]</f>
        <v>1192A</v>
      </c>
      <c r="AO71" s="1"/>
    </row>
    <row r="72" spans="1:41" ht="20.100000000000001" customHeight="1" thickTop="1" thickBot="1">
      <c r="A72" s="68"/>
      <c r="B72" s="69" t="str">
        <f>IFERROR(INDEX(Tableau4[Date],MATCH($A72,Tableau4[EVO],0)),"")</f>
        <v/>
      </c>
      <c r="C72" s="68" t="str">
        <f>IFERROR(INDEX(Tableau4[Designation],MATCH($A72,Tableau4[EVO],0)),"")</f>
        <v/>
      </c>
      <c r="D72" s="68"/>
      <c r="E72" s="70">
        <v>52</v>
      </c>
      <c r="F72" s="71">
        <v>59</v>
      </c>
      <c r="G72" s="101" t="str">
        <f>INDEX(Tableau8[Att1],MATCH(Tableau3[[#This Row],[ID-INS]],Tableau8[ID],0))&amp;""</f>
        <v>B22</v>
      </c>
      <c r="H72" s="101" t="str">
        <f>INDEX(Tableau8[Att2],MATCH(Tableau3[[#This Row],[ID-INS]],Tableau8[ID],0))&amp;""</f>
        <v>PMR2</v>
      </c>
      <c r="I72" s="101" t="str">
        <f>INDEX(Tableau8[Att3],MATCH(Tableau3[[#This Row],[ID-INS]],Tableau8[ID],0))&amp;""</f>
        <v>PMR2</v>
      </c>
      <c r="J72" s="101"/>
      <c r="K72" s="167" t="str">
        <f>INDEX(Tableau8[Nom du modele],MATCH(Tableau3[[#This Row],[ID-INS]],Tableau8[ID],0))&amp;""</f>
        <v>PMR_1</v>
      </c>
      <c r="L72" s="131" t="s">
        <v>1689</v>
      </c>
      <c r="M72" s="99" t="str">
        <f>INDEX(Tableau5[Att2],MATCH(Tableau3[[#This Row],[ID-SIG]],Tableau5[ID],0))&amp;""</f>
        <v/>
      </c>
      <c r="N72" s="99" t="str">
        <f>INDEX(Tableau5[Att3],MATCH(Tableau3[[#This Row],[ID-SIG]],Tableau5[ID],0))&amp;""</f>
        <v/>
      </c>
      <c r="O72" s="99"/>
      <c r="P72" s="99" t="s">
        <v>1690</v>
      </c>
      <c r="Q72" s="99"/>
      <c r="R72" s="103" t="str">
        <f>Tableau3[[#This Row],[Description]]</f>
        <v>Portail P2 - Commande d'ouverture gâche 2</v>
      </c>
      <c r="U72" s="87">
        <v>1</v>
      </c>
      <c r="V72" s="87">
        <v>1</v>
      </c>
      <c r="W72" s="87">
        <v>9</v>
      </c>
      <c r="X72" s="87">
        <v>6</v>
      </c>
      <c r="Y72" s="40"/>
      <c r="Z72" s="165" t="str">
        <f>INDEX(Tableau2[TS],MATCH(Tableau3[[#This Row],[ID-CARTEVOIE]],Tableau2[ID-CARTEVOIE],0))</f>
        <v>ET</v>
      </c>
      <c r="AA72" s="53" t="s">
        <v>213</v>
      </c>
      <c r="AB72" s="223" t="str">
        <f>IFERROR(INDEX(Tableau5[Reserve],MATCH(Tableau3[[#This Row],[ID-SIG]],Tableau5[ID],0))&amp;"","")</f>
        <v/>
      </c>
      <c r="AC72" s="21"/>
      <c r="AD72" s="108" t="str">
        <f>INDEX(Tableau7[Repere],MATCH(Tableau3[[#This Row],[ID-API]],Tableau7[ID-API],0))&amp;""</f>
        <v>A1</v>
      </c>
      <c r="AE72" s="108" t="str">
        <f>INDEX(Tableau1[Repere-Rack],MATCH(Tableau3[[#This Row],[ID-RACK]],Tableau1[ID-RACK],0))&amp;""</f>
        <v>R1</v>
      </c>
      <c r="AF72" s="108" t="str">
        <f>INDEX(Tableau1[Repere-Slot],MATCH(Tableau3[[#This Row],[ID-SLOT]],Tableau1[ID-SLOT],0))&amp;""</f>
        <v>S9</v>
      </c>
      <c r="AG72" s="108" t="str">
        <f>INDEX(Tableau2[Repere-Voie],MATCH(Tableau3[[#This Row],[ID-VOIE]],Tableau2[ID-Voie],0))&amp;""</f>
        <v>v6</v>
      </c>
      <c r="AH72" s="72" t="str">
        <f>Tableau3[[#This Row],[ID-API]]&amp; "." &amp;Tableau3[[#This Row],[ID-RACK]]&amp; "." &amp;Tableau3[[#This Row],[ID-SLOT]]</f>
        <v>1.1.9</v>
      </c>
      <c r="AI72" s="72" t="str">
        <f>INDEX(Tableau1[Ref-Carte],MATCH(Tableau3[[#This Row],[ID-RRS]],Tableau1[ID-RRS],0))</f>
        <v>SDI1602</v>
      </c>
      <c r="AJ72" s="72" t="str">
        <f t="array" ref="AJ72">IFERROR(INDEX(Tableau2[TS],MATCH(1,(Tableau2[Ref-Carte]=Tableau3[[#This Row],[Ref-Carte2]])*(Tableau2[ID-Voie]=Tableau3[[#This Row],[ID-VOIE]]),0)),"")</f>
        <v>ET</v>
      </c>
      <c r="AK72" s="72" t="str">
        <f>IFERROR(INDEX(Tableau2[TS],SUMPRODUCT((Tableau2[Ref-Carte]=Tableau3[[#This Row],[Ref-Carte2]])*(Tableau2[ID-Voie]=Tableau3[[#This Row],[ID-VOIE]])*ROW(Tableau2[TS]))-ROW(Tableau2[#Headers])),"")</f>
        <v>ET</v>
      </c>
      <c r="AL72" s="72" t="str">
        <f>Tableau3[[#This Row],[Ref-Carte2]]&amp;"/"&amp;Tableau3[[#This Row],[ID-VOIE]]</f>
        <v>SDI1602/6</v>
      </c>
      <c r="AM72" s="73" t="str">
        <f>INDEX(Tableau2[Borne],MATCH(Tableau3[[#This Row],[ID-CARTEVOIE]],Tableau2[ID-CARTEVOIE],0))&amp;""</f>
        <v>3B</v>
      </c>
      <c r="AN72" s="74" t="str">
        <f>Tableau3[[#This Row],[ID-API]]&amp;Tableau3[[#This Row],[ID-RACK]]&amp;Tableau3[[#This Row],[ID-SLOT]]&amp;Tableau3[[#This Row],[BORNE]]</f>
        <v>1193B</v>
      </c>
      <c r="AO72" s="1"/>
    </row>
    <row r="73" spans="1:41" ht="20.100000000000001" customHeight="1" thickTop="1" thickBot="1">
      <c r="A73" s="68"/>
      <c r="B73" s="69" t="str">
        <f>IFERROR(INDEX(Tableau4[Date],MATCH($A73,Tableau4[EVO],0)),"")</f>
        <v/>
      </c>
      <c r="C73" s="68" t="str">
        <f>IFERROR(INDEX(Tableau4[Designation],MATCH($A73,Tableau4[EVO],0)),"")</f>
        <v/>
      </c>
      <c r="D73" s="68"/>
      <c r="E73" s="70">
        <v>52</v>
      </c>
      <c r="F73" s="71">
        <v>60</v>
      </c>
      <c r="G73" s="101" t="str">
        <f>INDEX(Tableau8[Att1],MATCH(Tableau3[[#This Row],[ID-INS]],Tableau8[ID],0))&amp;""</f>
        <v>B22</v>
      </c>
      <c r="H73" s="101" t="str">
        <f>INDEX(Tableau8[Att2],MATCH(Tableau3[[#This Row],[ID-INS]],Tableau8[ID],0))&amp;""</f>
        <v>PMR2</v>
      </c>
      <c r="I73" s="101" t="str">
        <f>INDEX(Tableau8[Att3],MATCH(Tableau3[[#This Row],[ID-INS]],Tableau8[ID],0))&amp;""</f>
        <v>PMR2</v>
      </c>
      <c r="J73" s="101"/>
      <c r="K73" s="167" t="str">
        <f>INDEX(Tableau8[Nom du modele],MATCH(Tableau3[[#This Row],[ID-INS]],Tableau8[ID],0))&amp;""</f>
        <v>PMR_1</v>
      </c>
      <c r="L73" s="99" t="str">
        <f>INDEX(Tableau5[Att1],MATCH(Tableau3[[#This Row],[ID-SIG]],Tableau5[ID],0))&amp;""</f>
        <v>Effraction</v>
      </c>
      <c r="M73" s="99" t="str">
        <f>INDEX(Tableau5[Att2],MATCH(Tableau3[[#This Row],[ID-SIG]],Tableau5[ID],0))&amp;""</f>
        <v/>
      </c>
      <c r="N73" s="99" t="str">
        <f>INDEX(Tableau5[Att3],MATCH(Tableau3[[#This Row],[ID-SIG]],Tableau5[ID],0))&amp;""</f>
        <v/>
      </c>
      <c r="O73" s="99"/>
      <c r="P73" s="99" t="str">
        <f>INDEX(Tableau5[Description],MATCH(Tableau3[[#This Row],[ID-SIG]],Tableau5[ID],0))</f>
        <v>Effraction</v>
      </c>
      <c r="Q73" s="99"/>
      <c r="R73" s="103" t="str">
        <f>Tableau3[[#This Row],[Description]]</f>
        <v>Effraction</v>
      </c>
      <c r="U73" s="87">
        <v>1</v>
      </c>
      <c r="V73" s="87">
        <v>1</v>
      </c>
      <c r="W73" s="87">
        <v>9</v>
      </c>
      <c r="X73" s="87">
        <v>7</v>
      </c>
      <c r="Y73" s="40"/>
      <c r="Z73" s="165" t="str">
        <f>INDEX(Tableau2[TS],MATCH(Tableau3[[#This Row],[ID-CARTEVOIE]],Tableau2[ID-CARTEVOIE],0))</f>
        <v>ET</v>
      </c>
      <c r="AA73" s="53" t="s">
        <v>213</v>
      </c>
      <c r="AB73" s="223" t="str">
        <f>IFERROR(INDEX(Tableau5[Reserve],MATCH(Tableau3[[#This Row],[ID-SIG]],Tableau5[ID],0))&amp;"","")</f>
        <v/>
      </c>
      <c r="AC73" s="21"/>
      <c r="AD73" s="108" t="str">
        <f>INDEX(Tableau7[Repere],MATCH(Tableau3[[#This Row],[ID-API]],Tableau7[ID-API],0))&amp;""</f>
        <v>A1</v>
      </c>
      <c r="AE73" s="108" t="str">
        <f>INDEX(Tableau1[Repere-Rack],MATCH(Tableau3[[#This Row],[ID-RACK]],Tableau1[ID-RACK],0))&amp;""</f>
        <v>R1</v>
      </c>
      <c r="AF73" s="108" t="str">
        <f>INDEX(Tableau1[Repere-Slot],MATCH(Tableau3[[#This Row],[ID-SLOT]],Tableau1[ID-SLOT],0))&amp;""</f>
        <v>S9</v>
      </c>
      <c r="AG73" s="108" t="str">
        <f>INDEX(Tableau2[Repere-Voie],MATCH(Tableau3[[#This Row],[ID-VOIE]],Tableau2[ID-Voie],0))&amp;""</f>
        <v>v7</v>
      </c>
      <c r="AH73" s="72" t="str">
        <f>Tableau3[[#This Row],[ID-API]]&amp; "." &amp;Tableau3[[#This Row],[ID-RACK]]&amp; "." &amp;Tableau3[[#This Row],[ID-SLOT]]</f>
        <v>1.1.9</v>
      </c>
      <c r="AI73" s="72" t="str">
        <f>INDEX(Tableau1[Ref-Carte],MATCH(Tableau3[[#This Row],[ID-RRS]],Tableau1[ID-RRS],0))</f>
        <v>SDI1602</v>
      </c>
      <c r="AJ73" s="72" t="str">
        <f t="array" ref="AJ73">IFERROR(INDEX(Tableau2[TS],MATCH(1,(Tableau2[Ref-Carte]=Tableau3[[#This Row],[Ref-Carte2]])*(Tableau2[ID-Voie]=Tableau3[[#This Row],[ID-VOIE]]),0)),"")</f>
        <v>ET</v>
      </c>
      <c r="AK73" s="72" t="str">
        <f>IFERROR(INDEX(Tableau2[TS],SUMPRODUCT((Tableau2[Ref-Carte]=Tableau3[[#This Row],[Ref-Carte2]])*(Tableau2[ID-Voie]=Tableau3[[#This Row],[ID-VOIE]])*ROW(Tableau2[TS]))-ROW(Tableau2[#Headers])),"")</f>
        <v>ET</v>
      </c>
      <c r="AL73" s="72" t="str">
        <f>Tableau3[[#This Row],[Ref-Carte2]]&amp;"/"&amp;Tableau3[[#This Row],[ID-VOIE]]</f>
        <v>SDI1602/7</v>
      </c>
      <c r="AM73" s="73" t="str">
        <f>INDEX(Tableau2[Borne],MATCH(Tableau3[[#This Row],[ID-CARTEVOIE]],Tableau2[ID-CARTEVOIE],0))&amp;""</f>
        <v>3A</v>
      </c>
      <c r="AN73" s="74" t="str">
        <f>Tableau3[[#This Row],[ID-API]]&amp;Tableau3[[#This Row],[ID-RACK]]&amp;Tableau3[[#This Row],[ID-SLOT]]&amp;Tableau3[[#This Row],[BORNE]]</f>
        <v>1193A</v>
      </c>
      <c r="AO73" s="1"/>
    </row>
    <row r="74" spans="1:41" ht="20.100000000000001" customHeight="1" thickTop="1" thickBot="1">
      <c r="A74" s="68"/>
      <c r="B74" s="69" t="str">
        <f>IFERROR(INDEX(Tableau4[Date],MATCH($A74,Tableau4[EVO],0)),"")</f>
        <v/>
      </c>
      <c r="C74" s="68" t="str">
        <f>IFERROR(INDEX(Tableau4[Designation],MATCH($A74,Tableau4[EVO],0)),"")</f>
        <v/>
      </c>
      <c r="D74" s="68"/>
      <c r="E74" s="70">
        <v>54</v>
      </c>
      <c r="F74" s="71">
        <v>7</v>
      </c>
      <c r="G74" s="101" t="str">
        <f>INDEX(Tableau8[Att1],MATCH(Tableau3[[#This Row],[ID-INS]],Tableau8[ID],0))&amp;""</f>
        <v>B22</v>
      </c>
      <c r="H74" s="101" t="str">
        <f>INDEX(Tableau8[Att2],MATCH(Tableau3[[#This Row],[ID-INS]],Tableau8[ID],0))&amp;""</f>
        <v>DEVR2</v>
      </c>
      <c r="I74" s="101" t="str">
        <f>INDEX(Tableau8[Att3],MATCH(Tableau3[[#This Row],[ID-INS]],Tableau8[ID],0))&amp;""</f>
        <v>Déverrouillage urgence SAS Vélo</v>
      </c>
      <c r="J74" s="101"/>
      <c r="K74" s="167" t="str">
        <f>INDEX(Tableau8[Nom du modele],MATCH(Tableau3[[#This Row],[ID-INS]],Tableau8[ID],0))&amp;""</f>
        <v>Deverrouillage</v>
      </c>
      <c r="L74" s="99" t="str">
        <f>INDEX(Tableau5[Att1],MATCH(Tableau3[[#This Row],[ID-SIG]],Tableau5[ID],0))&amp;""</f>
        <v>Deverrouillage</v>
      </c>
      <c r="M74" s="99" t="str">
        <f>INDEX(Tableau5[Att2],MATCH(Tableau3[[#This Row],[ID-SIG]],Tableau5[ID],0))&amp;""</f>
        <v/>
      </c>
      <c r="N74" s="99" t="str">
        <f>INDEX(Tableau5[Att3],MATCH(Tableau3[[#This Row],[ID-SIG]],Tableau5[ID],0))&amp;""</f>
        <v/>
      </c>
      <c r="O74" s="99"/>
      <c r="P74" s="99" t="str">
        <f>INDEX(Tableau5[Description],MATCH(Tableau3[[#This Row],[ID-SIG]],Tableau5[ID],0))</f>
        <v>Deverrouillage</v>
      </c>
      <c r="Q74" s="99"/>
      <c r="R74" s="103" t="str">
        <f>Tableau3[[#This Row],[Description]]</f>
        <v>Deverrouillage</v>
      </c>
      <c r="U74" s="87">
        <v>1</v>
      </c>
      <c r="V74" s="87">
        <v>1</v>
      </c>
      <c r="W74" s="87">
        <v>9</v>
      </c>
      <c r="X74" s="87">
        <v>8</v>
      </c>
      <c r="Y74" s="40"/>
      <c r="Z74" s="165" t="str">
        <f>INDEX(Tableau2[TS],MATCH(Tableau3[[#This Row],[ID-CARTEVOIE]],Tableau2[ID-CARTEVOIE],0))</f>
        <v>ET</v>
      </c>
      <c r="AA74" s="53" t="s">
        <v>213</v>
      </c>
      <c r="AB74" s="223" t="str">
        <f>IFERROR(INDEX(Tableau5[Reserve],MATCH(Tableau3[[#This Row],[ID-SIG]],Tableau5[ID],0))&amp;"","")</f>
        <v/>
      </c>
      <c r="AC74" s="21"/>
      <c r="AD74" s="108" t="str">
        <f>INDEX(Tableau7[Repere],MATCH(Tableau3[[#This Row],[ID-API]],Tableau7[ID-API],0))&amp;""</f>
        <v>A1</v>
      </c>
      <c r="AE74" s="108" t="str">
        <f>INDEX(Tableau1[Repere-Rack],MATCH(Tableau3[[#This Row],[ID-RACK]],Tableau1[ID-RACK],0))&amp;""</f>
        <v>R1</v>
      </c>
      <c r="AF74" s="108" t="str">
        <f>INDEX(Tableau1[Repere-Slot],MATCH(Tableau3[[#This Row],[ID-SLOT]],Tableau1[ID-SLOT],0))&amp;""</f>
        <v>S9</v>
      </c>
      <c r="AG74" s="108" t="str">
        <f>INDEX(Tableau2[Repere-Voie],MATCH(Tableau3[[#This Row],[ID-VOIE]],Tableau2[ID-Voie],0))&amp;""</f>
        <v>v8</v>
      </c>
      <c r="AH74" s="72" t="str">
        <f>Tableau3[[#This Row],[ID-API]]&amp; "." &amp;Tableau3[[#This Row],[ID-RACK]]&amp; "." &amp;Tableau3[[#This Row],[ID-SLOT]]</f>
        <v>1.1.9</v>
      </c>
      <c r="AI74" s="72" t="str">
        <f>INDEX(Tableau1[Ref-Carte],MATCH(Tableau3[[#This Row],[ID-RRS]],Tableau1[ID-RRS],0))</f>
        <v>SDI1602</v>
      </c>
      <c r="AJ74" s="72" t="str">
        <f t="array" ref="AJ74">IFERROR(INDEX(Tableau2[TS],MATCH(1,(Tableau2[Ref-Carte]=Tableau3[[#This Row],[Ref-Carte2]])*(Tableau2[ID-Voie]=Tableau3[[#This Row],[ID-VOIE]]),0)),"")</f>
        <v>ET</v>
      </c>
      <c r="AK74" s="72" t="str">
        <f>IFERROR(INDEX(Tableau2[TS],SUMPRODUCT((Tableau2[Ref-Carte]=Tableau3[[#This Row],[Ref-Carte2]])*(Tableau2[ID-Voie]=Tableau3[[#This Row],[ID-VOIE]])*ROW(Tableau2[TS]))-ROW(Tableau2[#Headers])),"")</f>
        <v>ET</v>
      </c>
      <c r="AL74" s="72" t="str">
        <f>Tableau3[[#This Row],[Ref-Carte2]]&amp;"/"&amp;Tableau3[[#This Row],[ID-VOIE]]</f>
        <v>SDI1602/8</v>
      </c>
      <c r="AM74" s="73" t="str">
        <f>INDEX(Tableau2[Borne],MATCH(Tableau3[[#This Row],[ID-CARTEVOIE]],Tableau2[ID-CARTEVOIE],0))&amp;""</f>
        <v>4B</v>
      </c>
      <c r="AN74" s="74" t="str">
        <f>Tableau3[[#This Row],[ID-API]]&amp;Tableau3[[#This Row],[ID-RACK]]&amp;Tableau3[[#This Row],[ID-SLOT]]&amp;Tableau3[[#This Row],[BORNE]]</f>
        <v>1194B</v>
      </c>
      <c r="AO74" s="1"/>
    </row>
    <row r="75" spans="1:41" ht="20.100000000000001" customHeight="1" thickTop="1" thickBot="1">
      <c r="A75" s="68"/>
      <c r="B75" s="69" t="str">
        <f>IFERROR(INDEX(Tableau4[Date],MATCH($A75,Tableau4[EVO],0)),"")</f>
        <v/>
      </c>
      <c r="C75" s="68" t="str">
        <f>IFERROR(INDEX(Tableau4[Designation],MATCH($A75,Tableau4[EVO],0)),"")</f>
        <v/>
      </c>
      <c r="D75" s="68"/>
      <c r="E75" s="70">
        <v>55</v>
      </c>
      <c r="F75" s="71">
        <v>7</v>
      </c>
      <c r="G75" s="101" t="str">
        <f>INDEX(Tableau8[Att1],MATCH(Tableau3[[#This Row],[ID-INS]],Tableau8[ID],0))&amp;""</f>
        <v>B22</v>
      </c>
      <c r="H75" s="101" t="str">
        <f>INDEX(Tableau8[Att2],MATCH(Tableau3[[#This Row],[ID-INS]],Tableau8[ID],0))&amp;""</f>
        <v>DEVR3</v>
      </c>
      <c r="I75" s="101" t="str">
        <f>INDEX(Tableau8[Att3],MATCH(Tableau3[[#This Row],[ID-INS]],Tableau8[ID],0))&amp;""</f>
        <v>Déverrouillage urgence SAS PMR</v>
      </c>
      <c r="J75" s="101"/>
      <c r="K75" s="167" t="str">
        <f>INDEX(Tableau8[Nom du modele],MATCH(Tableau3[[#This Row],[ID-INS]],Tableau8[ID],0))&amp;""</f>
        <v>Deverrouillage</v>
      </c>
      <c r="L75" s="99" t="str">
        <f>INDEX(Tableau5[Att1],MATCH(Tableau3[[#This Row],[ID-SIG]],Tableau5[ID],0))&amp;""</f>
        <v>Deverrouillage</v>
      </c>
      <c r="M75" s="99" t="str">
        <f>INDEX(Tableau5[Att2],MATCH(Tableau3[[#This Row],[ID-SIG]],Tableau5[ID],0))&amp;""</f>
        <v/>
      </c>
      <c r="N75" s="99" t="str">
        <f>INDEX(Tableau5[Att3],MATCH(Tableau3[[#This Row],[ID-SIG]],Tableau5[ID],0))&amp;""</f>
        <v/>
      </c>
      <c r="O75" s="99"/>
      <c r="P75" s="99" t="str">
        <f>INDEX(Tableau5[Description],MATCH(Tableau3[[#This Row],[ID-SIG]],Tableau5[ID],0))</f>
        <v>Deverrouillage</v>
      </c>
      <c r="Q75" s="99"/>
      <c r="R75" s="103" t="str">
        <f>Tableau3[[#This Row],[Description]]</f>
        <v>Deverrouillage</v>
      </c>
      <c r="U75" s="87">
        <v>1</v>
      </c>
      <c r="V75" s="87">
        <v>1</v>
      </c>
      <c r="W75" s="87">
        <v>9</v>
      </c>
      <c r="X75" s="87">
        <v>9</v>
      </c>
      <c r="Y75" s="40"/>
      <c r="Z75" s="165" t="str">
        <f>INDEX(Tableau2[TS],MATCH(Tableau3[[#This Row],[ID-CARTEVOIE]],Tableau2[ID-CARTEVOIE],0))</f>
        <v>ET</v>
      </c>
      <c r="AA75" s="53" t="s">
        <v>213</v>
      </c>
      <c r="AB75" s="223" t="str">
        <f>IFERROR(INDEX(Tableau5[Reserve],MATCH(Tableau3[[#This Row],[ID-SIG]],Tableau5[ID],0))&amp;"","")</f>
        <v/>
      </c>
      <c r="AC75" s="21"/>
      <c r="AD75" s="108" t="str">
        <f>INDEX(Tableau7[Repere],MATCH(Tableau3[[#This Row],[ID-API]],Tableau7[ID-API],0))&amp;""</f>
        <v>A1</v>
      </c>
      <c r="AE75" s="108" t="str">
        <f>INDEX(Tableau1[Repere-Rack],MATCH(Tableau3[[#This Row],[ID-RACK]],Tableau1[ID-RACK],0))&amp;""</f>
        <v>R1</v>
      </c>
      <c r="AF75" s="108" t="str">
        <f>INDEX(Tableau1[Repere-Slot],MATCH(Tableau3[[#This Row],[ID-SLOT]],Tableau1[ID-SLOT],0))&amp;""</f>
        <v>S9</v>
      </c>
      <c r="AG75" s="108" t="str">
        <f>INDEX(Tableau2[Repere-Voie],MATCH(Tableau3[[#This Row],[ID-VOIE]],Tableau2[ID-Voie],0))&amp;""</f>
        <v>v9</v>
      </c>
      <c r="AH75" s="72" t="str">
        <f>Tableau3[[#This Row],[ID-API]]&amp; "." &amp;Tableau3[[#This Row],[ID-RACK]]&amp; "." &amp;Tableau3[[#This Row],[ID-SLOT]]</f>
        <v>1.1.9</v>
      </c>
      <c r="AI75" s="72" t="str">
        <f>INDEX(Tableau1[Ref-Carte],MATCH(Tableau3[[#This Row],[ID-RRS]],Tableau1[ID-RRS],0))</f>
        <v>SDI1602</v>
      </c>
      <c r="AJ75" s="72" t="str">
        <f t="array" ref="AJ75">IFERROR(INDEX(Tableau2[TS],MATCH(1,(Tableau2[Ref-Carte]=Tableau3[[#This Row],[Ref-Carte2]])*(Tableau2[ID-Voie]=Tableau3[[#This Row],[ID-VOIE]]),0)),"")</f>
        <v>ET</v>
      </c>
      <c r="AK75" s="72" t="str">
        <f>IFERROR(INDEX(Tableau2[TS],SUMPRODUCT((Tableau2[Ref-Carte]=Tableau3[[#This Row],[Ref-Carte2]])*(Tableau2[ID-Voie]=Tableau3[[#This Row],[ID-VOIE]])*ROW(Tableau2[TS]))-ROW(Tableau2[#Headers])),"")</f>
        <v>ET</v>
      </c>
      <c r="AL75" s="72" t="str">
        <f>Tableau3[[#This Row],[Ref-Carte2]]&amp;"/"&amp;Tableau3[[#This Row],[ID-VOIE]]</f>
        <v>SDI1602/9</v>
      </c>
      <c r="AM75" s="73" t="str">
        <f>INDEX(Tableau2[Borne],MATCH(Tableau3[[#This Row],[ID-CARTEVOIE]],Tableau2[ID-CARTEVOIE],0))&amp;""</f>
        <v>4A</v>
      </c>
      <c r="AN75" s="74" t="str">
        <f>Tableau3[[#This Row],[ID-API]]&amp;Tableau3[[#This Row],[ID-RACK]]&amp;Tableau3[[#This Row],[ID-SLOT]]&amp;Tableau3[[#This Row],[BORNE]]</f>
        <v>1194A</v>
      </c>
      <c r="AO75" s="1"/>
    </row>
    <row r="76" spans="1:41" ht="20.100000000000001" customHeight="1" thickTop="1" thickBot="1">
      <c r="A76" s="68"/>
      <c r="B76" s="69" t="str">
        <f>IFERROR(INDEX(Tableau4[Date],MATCH($A76,Tableau4[EVO],0)),"")</f>
        <v/>
      </c>
      <c r="C76" s="68" t="str">
        <f>IFERROR(INDEX(Tableau4[Designation],MATCH($A76,Tableau4[EVO],0)),"")</f>
        <v/>
      </c>
      <c r="D76" s="68"/>
      <c r="E76" s="70">
        <v>57</v>
      </c>
      <c r="F76" s="71">
        <v>29</v>
      </c>
      <c r="G76" s="101" t="str">
        <f>INDEX(Tableau8[Att1],MATCH(Tableau3[[#This Row],[ID-INS]],Tableau8[ID],0))&amp;""</f>
        <v>GR</v>
      </c>
      <c r="H76" s="101" t="str">
        <f>INDEX(Tableau8[Att2],MATCH(Tableau3[[#This Row],[ID-INS]],Tableau8[ID],0))&amp;""</f>
        <v>TRSD2</v>
      </c>
      <c r="I76" s="101" t="str">
        <f>INDEX(Tableau8[Att3],MATCH(Tableau3[[#This Row],[ID-INS]],Tableau8[ID],0))&amp;""</f>
        <v>Tourniquet TRSD2</v>
      </c>
      <c r="J76" s="101"/>
      <c r="K76" s="167" t="str">
        <f>INDEX(Tableau8[Nom du modele],MATCH(Tableau3[[#This Row],[ID-INS]],Tableau8[ID],0))&amp;""</f>
        <v>TRSD_1</v>
      </c>
      <c r="L76" s="99" t="str">
        <f>INDEX(Tableau5[Att1],MATCH(Tableau3[[#This Row],[ID-SIG]],Tableau5[ID],0))&amp;""</f>
        <v>T1S_OuvRet2</v>
      </c>
      <c r="M76" s="99" t="str">
        <f>INDEX(Tableau5[Att2],MATCH(Tableau3[[#This Row],[ID-SIG]],Tableau5[ID],0))&amp;""</f>
        <v/>
      </c>
      <c r="N76" s="99" t="str">
        <f>INDEX(Tableau5[Att3],MATCH(Tableau3[[#This Row],[ID-SIG]],Tableau5[ID],0))&amp;""</f>
        <v/>
      </c>
      <c r="O76" s="99"/>
      <c r="P76" s="99" t="str">
        <f>INDEX(Tableau5[Description],MATCH(Tableau3[[#This Row],[ID-SIG]],Tableau5[ID],0))</f>
        <v>Retour Commande 2 ouverture sortie 1</v>
      </c>
      <c r="Q76" s="99"/>
      <c r="R76" s="103" t="str">
        <f>Tableau3[[#This Row],[Description]]</f>
        <v>Retour Commande 2 ouverture sortie 1</v>
      </c>
      <c r="U76" s="87">
        <v>1</v>
      </c>
      <c r="V76" s="87">
        <v>1</v>
      </c>
      <c r="W76" s="87">
        <v>9</v>
      </c>
      <c r="X76" s="87">
        <v>10</v>
      </c>
      <c r="Y76" s="40"/>
      <c r="Z76" s="165" t="str">
        <f>INDEX(Tableau2[TS],MATCH(Tableau3[[#This Row],[ID-CARTEVOIE]],Tableau2[ID-CARTEVOIE],0))</f>
        <v>ET</v>
      </c>
      <c r="AA76" s="53" t="s">
        <v>213</v>
      </c>
      <c r="AB76" s="223" t="str">
        <f>IFERROR(INDEX(Tableau5[Reserve],MATCH(Tableau3[[#This Row],[ID-SIG]],Tableau5[ID],0))&amp;"","")</f>
        <v/>
      </c>
      <c r="AC76" s="21"/>
      <c r="AD76" s="108" t="str">
        <f>INDEX(Tableau7[Repere],MATCH(Tableau3[[#This Row],[ID-API]],Tableau7[ID-API],0))&amp;""</f>
        <v>A1</v>
      </c>
      <c r="AE76" s="108" t="str">
        <f>INDEX(Tableau1[Repere-Rack],MATCH(Tableau3[[#This Row],[ID-RACK]],Tableau1[ID-RACK],0))&amp;""</f>
        <v>R1</v>
      </c>
      <c r="AF76" s="108" t="str">
        <f>INDEX(Tableau1[Repere-Slot],MATCH(Tableau3[[#This Row],[ID-SLOT]],Tableau1[ID-SLOT],0))&amp;""</f>
        <v>S9</v>
      </c>
      <c r="AG76" s="108" t="str">
        <f>INDEX(Tableau2[Repere-Voie],MATCH(Tableau3[[#This Row],[ID-VOIE]],Tableau2[ID-Voie],0))&amp;""</f>
        <v>v10</v>
      </c>
      <c r="AH76" s="72" t="str">
        <f>Tableau3[[#This Row],[ID-API]]&amp; "." &amp;Tableau3[[#This Row],[ID-RACK]]&amp; "." &amp;Tableau3[[#This Row],[ID-SLOT]]</f>
        <v>1.1.9</v>
      </c>
      <c r="AI76" s="72" t="str">
        <f>INDEX(Tableau1[Ref-Carte],MATCH(Tableau3[[#This Row],[ID-RRS]],Tableau1[ID-RRS],0))</f>
        <v>SDI1602</v>
      </c>
      <c r="AJ76" s="72" t="str">
        <f t="array" ref="AJ76">IFERROR(INDEX(Tableau2[TS],MATCH(1,(Tableau2[Ref-Carte]=Tableau3[[#This Row],[Ref-Carte2]])*(Tableau2[ID-Voie]=Tableau3[[#This Row],[ID-VOIE]]),0)),"")</f>
        <v>ET</v>
      </c>
      <c r="AK76" s="72" t="str">
        <f>IFERROR(INDEX(Tableau2[TS],SUMPRODUCT((Tableau2[Ref-Carte]=Tableau3[[#This Row],[Ref-Carte2]])*(Tableau2[ID-Voie]=Tableau3[[#This Row],[ID-VOIE]])*ROW(Tableau2[TS]))-ROW(Tableau2[#Headers])),"")</f>
        <v>ET</v>
      </c>
      <c r="AL76" s="72" t="str">
        <f>Tableau3[[#This Row],[Ref-Carte2]]&amp;"/"&amp;Tableau3[[#This Row],[ID-VOIE]]</f>
        <v>SDI1602/10</v>
      </c>
      <c r="AM76" s="73" t="str">
        <f>INDEX(Tableau2[Borne],MATCH(Tableau3[[#This Row],[ID-CARTEVOIE]],Tableau2[ID-CARTEVOIE],0))&amp;""</f>
        <v>5B</v>
      </c>
      <c r="AN76" s="74" t="str">
        <f>Tableau3[[#This Row],[ID-API]]&amp;Tableau3[[#This Row],[ID-RACK]]&amp;Tableau3[[#This Row],[ID-SLOT]]&amp;Tableau3[[#This Row],[BORNE]]</f>
        <v>1195B</v>
      </c>
      <c r="AO76" s="1"/>
    </row>
    <row r="77" spans="1:41" ht="20.100000000000001" customHeight="1" thickTop="1" thickBot="1">
      <c r="A77" s="68"/>
      <c r="B77" s="69" t="str">
        <f>IFERROR(INDEX(Tableau4[Date],MATCH($A77,Tableau4[EVO],0)),"")</f>
        <v/>
      </c>
      <c r="C77" s="68" t="str">
        <f>IFERROR(INDEX(Tableau4[Designation],MATCH($A77,Tableau4[EVO],0)),"")</f>
        <v/>
      </c>
      <c r="D77" s="68"/>
      <c r="E77" s="70">
        <v>57</v>
      </c>
      <c r="F77" s="71">
        <v>40</v>
      </c>
      <c r="G77" s="101" t="str">
        <f>INDEX(Tableau8[Att1],MATCH(Tableau3[[#This Row],[ID-INS]],Tableau8[ID],0))&amp;""</f>
        <v>GR</v>
      </c>
      <c r="H77" s="101" t="str">
        <f>INDEX(Tableau8[Att2],MATCH(Tableau3[[#This Row],[ID-INS]],Tableau8[ID],0))&amp;""</f>
        <v>TRSD2</v>
      </c>
      <c r="I77" s="101" t="str">
        <f>INDEX(Tableau8[Att3],MATCH(Tableau3[[#This Row],[ID-INS]],Tableau8[ID],0))&amp;""</f>
        <v>Tourniquet TRSD2</v>
      </c>
      <c r="J77" s="101"/>
      <c r="K77" s="167" t="str">
        <f>INDEX(Tableau8[Nom du modele],MATCH(Tableau3[[#This Row],[ID-INS]],Tableau8[ID],0))&amp;""</f>
        <v>TRSD_1</v>
      </c>
      <c r="L77" s="99" t="str">
        <f>INDEX(Tableau5[Att1],MATCH(Tableau3[[#This Row],[ID-SIG]],Tableau5[ID],0))&amp;""</f>
        <v>T1E_PassageOK</v>
      </c>
      <c r="M77" s="99" t="str">
        <f>INDEX(Tableau5[Att2],MATCH(Tableau3[[#This Row],[ID-SIG]],Tableau5[ID],0))&amp;""</f>
        <v/>
      </c>
      <c r="N77" s="99" t="str">
        <f>INDEX(Tableau5[Att3],MATCH(Tableau3[[#This Row],[ID-SIG]],Tableau5[ID],0))&amp;""</f>
        <v/>
      </c>
      <c r="O77" s="99"/>
      <c r="P77" s="99" t="str">
        <f>INDEX(Tableau5[Description],MATCH(Tableau3[[#This Row],[ID-SIG]],Tableau5[ID],0))</f>
        <v>Passage effectuée entrée 1</v>
      </c>
      <c r="Q77" s="99"/>
      <c r="R77" s="103" t="str">
        <f>Tableau3[[#This Row],[Description]]</f>
        <v>Passage effectuée entrée 1</v>
      </c>
      <c r="U77" s="87">
        <v>1</v>
      </c>
      <c r="V77" s="87">
        <v>1</v>
      </c>
      <c r="W77" s="87">
        <v>9</v>
      </c>
      <c r="X77" s="87">
        <v>11</v>
      </c>
      <c r="Y77" s="40"/>
      <c r="Z77" s="165" t="str">
        <f>INDEX(Tableau2[TS],MATCH(Tableau3[[#This Row],[ID-CARTEVOIE]],Tableau2[ID-CARTEVOIE],0))</f>
        <v>ET</v>
      </c>
      <c r="AA77" s="53" t="s">
        <v>213</v>
      </c>
      <c r="AB77" s="223" t="str">
        <f>IFERROR(INDEX(Tableau5[Reserve],MATCH(Tableau3[[#This Row],[ID-SIG]],Tableau5[ID],0))&amp;"","")</f>
        <v/>
      </c>
      <c r="AC77" s="21"/>
      <c r="AD77" s="108" t="str">
        <f>INDEX(Tableau7[Repere],MATCH(Tableau3[[#This Row],[ID-API]],Tableau7[ID-API],0))&amp;""</f>
        <v>A1</v>
      </c>
      <c r="AE77" s="108" t="str">
        <f>INDEX(Tableau1[Repere-Rack],MATCH(Tableau3[[#This Row],[ID-RACK]],Tableau1[ID-RACK],0))&amp;""</f>
        <v>R1</v>
      </c>
      <c r="AF77" s="108" t="str">
        <f>INDEX(Tableau1[Repere-Slot],MATCH(Tableau3[[#This Row],[ID-SLOT]],Tableau1[ID-SLOT],0))&amp;""</f>
        <v>S9</v>
      </c>
      <c r="AG77" s="108" t="str">
        <f>INDEX(Tableau2[Repere-Voie],MATCH(Tableau3[[#This Row],[ID-VOIE]],Tableau2[ID-Voie],0))&amp;""</f>
        <v>v11</v>
      </c>
      <c r="AH77" s="72" t="str">
        <f>Tableau3[[#This Row],[ID-API]]&amp; "." &amp;Tableau3[[#This Row],[ID-RACK]]&amp; "." &amp;Tableau3[[#This Row],[ID-SLOT]]</f>
        <v>1.1.9</v>
      </c>
      <c r="AI77" s="72" t="str">
        <f>INDEX(Tableau1[Ref-Carte],MATCH(Tableau3[[#This Row],[ID-RRS]],Tableau1[ID-RRS],0))</f>
        <v>SDI1602</v>
      </c>
      <c r="AJ77" s="72" t="str">
        <f t="array" ref="AJ77">IFERROR(INDEX(Tableau2[TS],MATCH(1,(Tableau2[Ref-Carte]=Tableau3[[#This Row],[Ref-Carte2]])*(Tableau2[ID-Voie]=Tableau3[[#This Row],[ID-VOIE]]),0)),"")</f>
        <v>ET</v>
      </c>
      <c r="AK77" s="72" t="str">
        <f>IFERROR(INDEX(Tableau2[TS],SUMPRODUCT((Tableau2[Ref-Carte]=Tableau3[[#This Row],[Ref-Carte2]])*(Tableau2[ID-Voie]=Tableau3[[#This Row],[ID-VOIE]])*ROW(Tableau2[TS]))-ROW(Tableau2[#Headers])),"")</f>
        <v>ET</v>
      </c>
      <c r="AL77" s="72" t="str">
        <f>Tableau3[[#This Row],[Ref-Carte2]]&amp;"/"&amp;Tableau3[[#This Row],[ID-VOIE]]</f>
        <v>SDI1602/11</v>
      </c>
      <c r="AM77" s="73" t="str">
        <f>INDEX(Tableau2[Borne],MATCH(Tableau3[[#This Row],[ID-CARTEVOIE]],Tableau2[ID-CARTEVOIE],0))&amp;""</f>
        <v>5A</v>
      </c>
      <c r="AN77" s="74" t="str">
        <f>Tableau3[[#This Row],[ID-API]]&amp;Tableau3[[#This Row],[ID-RACK]]&amp;Tableau3[[#This Row],[ID-SLOT]]&amp;Tableau3[[#This Row],[BORNE]]</f>
        <v>1195A</v>
      </c>
      <c r="AO77" s="1"/>
    </row>
    <row r="78" spans="1:41" ht="20.100000000000001" customHeight="1" thickTop="1" thickBot="1">
      <c r="A78" s="68"/>
      <c r="B78" s="69" t="str">
        <f>IFERROR(INDEX(Tableau4[Date],MATCH($A78,Tableau4[EVO],0)),"")</f>
        <v/>
      </c>
      <c r="C78" s="68" t="str">
        <f>IFERROR(INDEX(Tableau4[Designation],MATCH($A78,Tableau4[EVO],0)),"")</f>
        <v/>
      </c>
      <c r="D78" s="68"/>
      <c r="E78" s="70">
        <v>57</v>
      </c>
      <c r="F78" s="71">
        <v>41</v>
      </c>
      <c r="G78" s="101" t="str">
        <f>INDEX(Tableau8[Att1],MATCH(Tableau3[[#This Row],[ID-INS]],Tableau8[ID],0))&amp;""</f>
        <v>GR</v>
      </c>
      <c r="H78" s="101" t="str">
        <f>INDEX(Tableau8[Att2],MATCH(Tableau3[[#This Row],[ID-INS]],Tableau8[ID],0))&amp;""</f>
        <v>TRSD2</v>
      </c>
      <c r="I78" s="101" t="str">
        <f>INDEX(Tableau8[Att3],MATCH(Tableau3[[#This Row],[ID-INS]],Tableau8[ID],0))&amp;""</f>
        <v>Tourniquet TRSD2</v>
      </c>
      <c r="J78" s="101"/>
      <c r="K78" s="167" t="str">
        <f>INDEX(Tableau8[Nom du modele],MATCH(Tableau3[[#This Row],[ID-INS]],Tableau8[ID],0))&amp;""</f>
        <v>TRSD_1</v>
      </c>
      <c r="L78" s="99" t="str">
        <f>INDEX(Tableau5[Att1],MATCH(Tableau3[[#This Row],[ID-SIG]],Tableau5[ID],0))&amp;""</f>
        <v>T1S_PassageOK</v>
      </c>
      <c r="M78" s="99" t="str">
        <f>INDEX(Tableau5[Att2],MATCH(Tableau3[[#This Row],[ID-SIG]],Tableau5[ID],0))&amp;""</f>
        <v/>
      </c>
      <c r="N78" s="99" t="str">
        <f>INDEX(Tableau5[Att3],MATCH(Tableau3[[#This Row],[ID-SIG]],Tableau5[ID],0))&amp;""</f>
        <v/>
      </c>
      <c r="O78" s="99"/>
      <c r="P78" s="99" t="str">
        <f>INDEX(Tableau5[Description],MATCH(Tableau3[[#This Row],[ID-SIG]],Tableau5[ID],0))</f>
        <v>Passage effectuée sortie 1</v>
      </c>
      <c r="Q78" s="99"/>
      <c r="R78" s="103" t="str">
        <f>Tableau3[[#This Row],[Description]]</f>
        <v>Passage effectuée sortie 1</v>
      </c>
      <c r="U78" s="87">
        <v>1</v>
      </c>
      <c r="V78" s="87">
        <v>1</v>
      </c>
      <c r="W78" s="87">
        <v>9</v>
      </c>
      <c r="X78" s="87">
        <v>12</v>
      </c>
      <c r="Y78" s="40"/>
      <c r="Z78" s="165" t="str">
        <f>INDEX(Tableau2[TS],MATCH(Tableau3[[#This Row],[ID-CARTEVOIE]],Tableau2[ID-CARTEVOIE],0))</f>
        <v>ET</v>
      </c>
      <c r="AA78" s="53" t="s">
        <v>213</v>
      </c>
      <c r="AB78" s="223" t="str">
        <f>IFERROR(INDEX(Tableau5[Reserve],MATCH(Tableau3[[#This Row],[ID-SIG]],Tableau5[ID],0))&amp;"","")</f>
        <v/>
      </c>
      <c r="AC78" s="21"/>
      <c r="AD78" s="108" t="str">
        <f>INDEX(Tableau7[Repere],MATCH(Tableau3[[#This Row],[ID-API]],Tableau7[ID-API],0))&amp;""</f>
        <v>A1</v>
      </c>
      <c r="AE78" s="108" t="str">
        <f>INDEX(Tableau1[Repere-Rack],MATCH(Tableau3[[#This Row],[ID-RACK]],Tableau1[ID-RACK],0))&amp;""</f>
        <v>R1</v>
      </c>
      <c r="AF78" s="108" t="str">
        <f>INDEX(Tableau1[Repere-Slot],MATCH(Tableau3[[#This Row],[ID-SLOT]],Tableau1[ID-SLOT],0))&amp;""</f>
        <v>S9</v>
      </c>
      <c r="AG78" s="108" t="str">
        <f>INDEX(Tableau2[Repere-Voie],MATCH(Tableau3[[#This Row],[ID-VOIE]],Tableau2[ID-Voie],0))&amp;""</f>
        <v>v12</v>
      </c>
      <c r="AH78" s="72" t="str">
        <f>Tableau3[[#This Row],[ID-API]]&amp; "." &amp;Tableau3[[#This Row],[ID-RACK]]&amp; "." &amp;Tableau3[[#This Row],[ID-SLOT]]</f>
        <v>1.1.9</v>
      </c>
      <c r="AI78" s="72" t="str">
        <f>INDEX(Tableau1[Ref-Carte],MATCH(Tableau3[[#This Row],[ID-RRS]],Tableau1[ID-RRS],0))</f>
        <v>SDI1602</v>
      </c>
      <c r="AJ78" s="72" t="str">
        <f t="array" ref="AJ78">IFERROR(INDEX(Tableau2[TS],MATCH(1,(Tableau2[Ref-Carte]=Tableau3[[#This Row],[Ref-Carte2]])*(Tableau2[ID-Voie]=Tableau3[[#This Row],[ID-VOIE]]),0)),"")</f>
        <v>ET</v>
      </c>
      <c r="AK78" s="72" t="str">
        <f>IFERROR(INDEX(Tableau2[TS],SUMPRODUCT((Tableau2[Ref-Carte]=Tableau3[[#This Row],[Ref-Carte2]])*(Tableau2[ID-Voie]=Tableau3[[#This Row],[ID-VOIE]])*ROW(Tableau2[TS]))-ROW(Tableau2[#Headers])),"")</f>
        <v>ET</v>
      </c>
      <c r="AL78" s="72" t="str">
        <f>Tableau3[[#This Row],[Ref-Carte2]]&amp;"/"&amp;Tableau3[[#This Row],[ID-VOIE]]</f>
        <v>SDI1602/12</v>
      </c>
      <c r="AM78" s="73" t="str">
        <f>INDEX(Tableau2[Borne],MATCH(Tableau3[[#This Row],[ID-CARTEVOIE]],Tableau2[ID-CARTEVOIE],0))&amp;""</f>
        <v>6B</v>
      </c>
      <c r="AN78" s="74" t="str">
        <f>Tableau3[[#This Row],[ID-API]]&amp;Tableau3[[#This Row],[ID-RACK]]&amp;Tableau3[[#This Row],[ID-SLOT]]&amp;Tableau3[[#This Row],[BORNE]]</f>
        <v>1196B</v>
      </c>
      <c r="AO78" s="1"/>
    </row>
    <row r="79" spans="1:41" ht="20.100000000000001" customHeight="1" thickTop="1" thickBot="1">
      <c r="A79" s="68"/>
      <c r="B79" s="69" t="str">
        <f>IFERROR(INDEX(Tableau4[Date],MATCH($A79,Tableau4[EVO],0)),"")</f>
        <v/>
      </c>
      <c r="C79" s="68" t="str">
        <f>IFERROR(INDEX(Tableau4[Designation],MATCH($A79,Tableau4[EVO],0)),"")</f>
        <v/>
      </c>
      <c r="D79" s="68"/>
      <c r="E79" s="70">
        <v>57</v>
      </c>
      <c r="F79" s="71">
        <v>44</v>
      </c>
      <c r="G79" s="101" t="str">
        <f>INDEX(Tableau8[Att1],MATCH(Tableau3[[#This Row],[ID-INS]],Tableau8[ID],0))&amp;""</f>
        <v>GR</v>
      </c>
      <c r="H79" s="101" t="str">
        <f>INDEX(Tableau8[Att2],MATCH(Tableau3[[#This Row],[ID-INS]],Tableau8[ID],0))&amp;""</f>
        <v>TRSD2</v>
      </c>
      <c r="I79" s="101" t="str">
        <f>INDEX(Tableau8[Att3],MATCH(Tableau3[[#This Row],[ID-INS]],Tableau8[ID],0))&amp;""</f>
        <v>Tourniquet TRSD2</v>
      </c>
      <c r="J79" s="101"/>
      <c r="K79" s="167" t="str">
        <f>INDEX(Tableau8[Nom du modele],MATCH(Tableau3[[#This Row],[ID-INS]],Tableau8[ID],0))&amp;""</f>
        <v>TRSD_1</v>
      </c>
      <c r="L79" s="99" t="str">
        <f>INDEX(Tableau5[Att1],MATCH(Tableau3[[#This Row],[ID-SIG]],Tableau5[ID],0))&amp;""</f>
        <v>T1_SynthDef</v>
      </c>
      <c r="M79" s="99" t="str">
        <f>INDEX(Tableau5[Att2],MATCH(Tableau3[[#This Row],[ID-SIG]],Tableau5[ID],0))&amp;""</f>
        <v/>
      </c>
      <c r="N79" s="99" t="str">
        <f>INDEX(Tableau5[Att3],MATCH(Tableau3[[#This Row],[ID-SIG]],Tableau5[ID],0))&amp;""</f>
        <v/>
      </c>
      <c r="O79" s="99"/>
      <c r="P79" s="99" t="str">
        <f>INDEX(Tableau5[Description],MATCH(Tableau3[[#This Row],[ID-SIG]],Tableau5[ID],0))</f>
        <v>Synthèse défaut entrée 1</v>
      </c>
      <c r="Q79" s="99"/>
      <c r="R79" s="103" t="str">
        <f>Tableau3[[#This Row],[Description]]</f>
        <v>Synthèse défaut entrée 1</v>
      </c>
      <c r="U79" s="87">
        <v>1</v>
      </c>
      <c r="V79" s="87">
        <v>1</v>
      </c>
      <c r="W79" s="87">
        <v>9</v>
      </c>
      <c r="X79" s="87">
        <v>13</v>
      </c>
      <c r="Y79" s="40"/>
      <c r="Z79" s="165" t="str">
        <f>INDEX(Tableau2[TS],MATCH(Tableau3[[#This Row],[ID-CARTEVOIE]],Tableau2[ID-CARTEVOIE],0))</f>
        <v>ET</v>
      </c>
      <c r="AA79" s="53" t="s">
        <v>213</v>
      </c>
      <c r="AB79" s="223" t="str">
        <f>IFERROR(INDEX(Tableau5[Reserve],MATCH(Tableau3[[#This Row],[ID-SIG]],Tableau5[ID],0))&amp;"","")</f>
        <v/>
      </c>
      <c r="AC79" s="21"/>
      <c r="AD79" s="108" t="str">
        <f>INDEX(Tableau7[Repere],MATCH(Tableau3[[#This Row],[ID-API]],Tableau7[ID-API],0))&amp;""</f>
        <v>A1</v>
      </c>
      <c r="AE79" s="108" t="str">
        <f>INDEX(Tableau1[Repere-Rack],MATCH(Tableau3[[#This Row],[ID-RACK]],Tableau1[ID-RACK],0))&amp;""</f>
        <v>R1</v>
      </c>
      <c r="AF79" s="108" t="str">
        <f>INDEX(Tableau1[Repere-Slot],MATCH(Tableau3[[#This Row],[ID-SLOT]],Tableau1[ID-SLOT],0))&amp;""</f>
        <v>S9</v>
      </c>
      <c r="AG79" s="108" t="str">
        <f>INDEX(Tableau2[Repere-Voie],MATCH(Tableau3[[#This Row],[ID-VOIE]],Tableau2[ID-Voie],0))&amp;""</f>
        <v>v13</v>
      </c>
      <c r="AH79" s="72" t="str">
        <f>Tableau3[[#This Row],[ID-API]]&amp; "." &amp;Tableau3[[#This Row],[ID-RACK]]&amp; "." &amp;Tableau3[[#This Row],[ID-SLOT]]</f>
        <v>1.1.9</v>
      </c>
      <c r="AI79" s="72" t="str">
        <f>INDEX(Tableau1[Ref-Carte],MATCH(Tableau3[[#This Row],[ID-RRS]],Tableau1[ID-RRS],0))</f>
        <v>SDI1602</v>
      </c>
      <c r="AJ79" s="72" t="str">
        <f t="array" ref="AJ79">IFERROR(INDEX(Tableau2[TS],MATCH(1,(Tableau2[Ref-Carte]=Tableau3[[#This Row],[Ref-Carte2]])*(Tableau2[ID-Voie]=Tableau3[[#This Row],[ID-VOIE]]),0)),"")</f>
        <v>ET</v>
      </c>
      <c r="AK79" s="72" t="str">
        <f>IFERROR(INDEX(Tableau2[TS],SUMPRODUCT((Tableau2[Ref-Carte]=Tableau3[[#This Row],[Ref-Carte2]])*(Tableau2[ID-Voie]=Tableau3[[#This Row],[ID-VOIE]])*ROW(Tableau2[TS]))-ROW(Tableau2[#Headers])),"")</f>
        <v>ET</v>
      </c>
      <c r="AL79" s="72" t="str">
        <f>Tableau3[[#This Row],[Ref-Carte2]]&amp;"/"&amp;Tableau3[[#This Row],[ID-VOIE]]</f>
        <v>SDI1602/13</v>
      </c>
      <c r="AM79" s="73" t="str">
        <f>INDEX(Tableau2[Borne],MATCH(Tableau3[[#This Row],[ID-CARTEVOIE]],Tableau2[ID-CARTEVOIE],0))&amp;""</f>
        <v>6A</v>
      </c>
      <c r="AN79" s="74" t="str">
        <f>Tableau3[[#This Row],[ID-API]]&amp;Tableau3[[#This Row],[ID-RACK]]&amp;Tableau3[[#This Row],[ID-SLOT]]&amp;Tableau3[[#This Row],[BORNE]]</f>
        <v>1196A</v>
      </c>
      <c r="AO79" s="1"/>
    </row>
    <row r="80" spans="1:41" ht="20.100000000000001" customHeight="1" thickTop="1" thickBot="1">
      <c r="A80" s="68"/>
      <c r="B80" s="69" t="str">
        <f>IFERROR(INDEX(Tableau4[Date],MATCH($A80,Tableau4[EVO],0)),"")</f>
        <v/>
      </c>
      <c r="C80" s="68" t="str">
        <f>IFERROR(INDEX(Tableau4[Designation],MATCH($A80,Tableau4[EVO],0)),"")</f>
        <v/>
      </c>
      <c r="D80" s="68"/>
      <c r="E80" s="70">
        <v>57</v>
      </c>
      <c r="F80" s="71">
        <v>46</v>
      </c>
      <c r="G80" s="101" t="str">
        <f>INDEX(Tableau8[Att1],MATCH(Tableau3[[#This Row],[ID-INS]],Tableau8[ID],0))&amp;""</f>
        <v>GR</v>
      </c>
      <c r="H80" s="101" t="str">
        <f>INDEX(Tableau8[Att2],MATCH(Tableau3[[#This Row],[ID-INS]],Tableau8[ID],0))&amp;""</f>
        <v>TRSD2</v>
      </c>
      <c r="I80" s="101" t="str">
        <f>INDEX(Tableau8[Att3],MATCH(Tableau3[[#This Row],[ID-INS]],Tableau8[ID],0))&amp;""</f>
        <v>Tourniquet TRSD2</v>
      </c>
      <c r="J80" s="101"/>
      <c r="K80" s="167" t="str">
        <f>INDEX(Tableau8[Nom du modele],MATCH(Tableau3[[#This Row],[ID-INS]],Tableau8[ID],0))&amp;""</f>
        <v>TRSD_1</v>
      </c>
      <c r="L80" s="99" t="str">
        <f>INDEX(Tableau5[Att1],MATCH(Tableau3[[#This Row],[ID-SIG]],Tableau5[ID],0))&amp;""</f>
        <v>T1S_OuvRet1</v>
      </c>
      <c r="M80" s="99" t="str">
        <f>INDEX(Tableau5[Att2],MATCH(Tableau3[[#This Row],[ID-SIG]],Tableau5[ID],0))&amp;""</f>
        <v/>
      </c>
      <c r="N80" s="99" t="str">
        <f>INDEX(Tableau5[Att3],MATCH(Tableau3[[#This Row],[ID-SIG]],Tableau5[ID],0))&amp;""</f>
        <v/>
      </c>
      <c r="O80" s="99"/>
      <c r="P80" s="99" t="str">
        <f>INDEX(Tableau5[Description],MATCH(Tableau3[[#This Row],[ID-SIG]],Tableau5[ID],0))</f>
        <v>Retour Commande 1 ouverture sortie 1</v>
      </c>
      <c r="Q80" s="99"/>
      <c r="R80" s="103" t="str">
        <f>Tableau3[[#This Row],[Description]]</f>
        <v>Retour Commande 1 ouverture sortie 1</v>
      </c>
      <c r="U80" s="87">
        <v>1</v>
      </c>
      <c r="V80" s="87">
        <v>1</v>
      </c>
      <c r="W80" s="87">
        <v>9</v>
      </c>
      <c r="X80" s="87">
        <v>14</v>
      </c>
      <c r="Y80" s="40"/>
      <c r="Z80" s="165" t="str">
        <f>INDEX(Tableau2[TS],MATCH(Tableau3[[#This Row],[ID-CARTEVOIE]],Tableau2[ID-CARTEVOIE],0))</f>
        <v>ET</v>
      </c>
      <c r="AA80" s="53" t="s">
        <v>213</v>
      </c>
      <c r="AB80" s="223" t="str">
        <f>IFERROR(INDEX(Tableau5[Reserve],MATCH(Tableau3[[#This Row],[ID-SIG]],Tableau5[ID],0))&amp;"","")</f>
        <v/>
      </c>
      <c r="AC80" s="21"/>
      <c r="AD80" s="108" t="str">
        <f>INDEX(Tableau7[Repere],MATCH(Tableau3[[#This Row],[ID-API]],Tableau7[ID-API],0))&amp;""</f>
        <v>A1</v>
      </c>
      <c r="AE80" s="108" t="str">
        <f>INDEX(Tableau1[Repere-Rack],MATCH(Tableau3[[#This Row],[ID-RACK]],Tableau1[ID-RACK],0))&amp;""</f>
        <v>R1</v>
      </c>
      <c r="AF80" s="108" t="str">
        <f>INDEX(Tableau1[Repere-Slot],MATCH(Tableau3[[#This Row],[ID-SLOT]],Tableau1[ID-SLOT],0))&amp;""</f>
        <v>S9</v>
      </c>
      <c r="AG80" s="108" t="str">
        <f>INDEX(Tableau2[Repere-Voie],MATCH(Tableau3[[#This Row],[ID-VOIE]],Tableau2[ID-Voie],0))&amp;""</f>
        <v>v14</v>
      </c>
      <c r="AH80" s="72" t="str">
        <f>Tableau3[[#This Row],[ID-API]]&amp; "." &amp;Tableau3[[#This Row],[ID-RACK]]&amp; "." &amp;Tableau3[[#This Row],[ID-SLOT]]</f>
        <v>1.1.9</v>
      </c>
      <c r="AI80" s="72" t="str">
        <f>INDEX(Tableau1[Ref-Carte],MATCH(Tableau3[[#This Row],[ID-RRS]],Tableau1[ID-RRS],0))</f>
        <v>SDI1602</v>
      </c>
      <c r="AJ80" s="72" t="str">
        <f t="array" ref="AJ80">IFERROR(INDEX(Tableau2[TS],MATCH(1,(Tableau2[Ref-Carte]=Tableau3[[#This Row],[Ref-Carte2]])*(Tableau2[ID-Voie]=Tableau3[[#This Row],[ID-VOIE]]),0)),"")</f>
        <v>ET</v>
      </c>
      <c r="AK80" s="72" t="str">
        <f>IFERROR(INDEX(Tableau2[TS],SUMPRODUCT((Tableau2[Ref-Carte]=Tableau3[[#This Row],[Ref-Carte2]])*(Tableau2[ID-Voie]=Tableau3[[#This Row],[ID-VOIE]])*ROW(Tableau2[TS]))-ROW(Tableau2[#Headers])),"")</f>
        <v>ET</v>
      </c>
      <c r="AL80" s="72" t="str">
        <f>Tableau3[[#This Row],[Ref-Carte2]]&amp;"/"&amp;Tableau3[[#This Row],[ID-VOIE]]</f>
        <v>SDI1602/14</v>
      </c>
      <c r="AM80" s="73" t="str">
        <f>INDEX(Tableau2[Borne],MATCH(Tableau3[[#This Row],[ID-CARTEVOIE]],Tableau2[ID-CARTEVOIE],0))&amp;""</f>
        <v>7B</v>
      </c>
      <c r="AN80" s="74" t="str">
        <f>Tableau3[[#This Row],[ID-API]]&amp;Tableau3[[#This Row],[ID-RACK]]&amp;Tableau3[[#This Row],[ID-SLOT]]&amp;Tableau3[[#This Row],[BORNE]]</f>
        <v>1197B</v>
      </c>
      <c r="AO80" s="1"/>
    </row>
    <row r="81" spans="1:41" ht="20.100000000000001" customHeight="1" thickTop="1" thickBot="1">
      <c r="A81" s="68"/>
      <c r="B81" s="69" t="str">
        <f>IFERROR(INDEX(Tableau4[Date],MATCH($A81,Tableau4[EVO],0)),"")</f>
        <v/>
      </c>
      <c r="C81" s="68" t="str">
        <f>IFERROR(INDEX(Tableau4[Designation],MATCH($A81,Tableau4[EVO],0)),"")</f>
        <v/>
      </c>
      <c r="D81" s="68"/>
      <c r="E81" s="70">
        <v>57</v>
      </c>
      <c r="F81" s="71">
        <v>47</v>
      </c>
      <c r="G81" s="101" t="str">
        <f>INDEX(Tableau8[Att1],MATCH(Tableau3[[#This Row],[ID-INS]],Tableau8[ID],0))&amp;""</f>
        <v>GR</v>
      </c>
      <c r="H81" s="101" t="str">
        <f>INDEX(Tableau8[Att2],MATCH(Tableau3[[#This Row],[ID-INS]],Tableau8[ID],0))&amp;""</f>
        <v>TRSD2</v>
      </c>
      <c r="I81" s="101" t="str">
        <f>INDEX(Tableau8[Att3],MATCH(Tableau3[[#This Row],[ID-INS]],Tableau8[ID],0))&amp;""</f>
        <v>Tourniquet TRSD2</v>
      </c>
      <c r="J81" s="101"/>
      <c r="K81" s="167" t="str">
        <f>INDEX(Tableau8[Nom du modele],MATCH(Tableau3[[#This Row],[ID-INS]],Tableau8[ID],0))&amp;""</f>
        <v>TRSD_1</v>
      </c>
      <c r="L81" s="99" t="str">
        <f>INDEX(Tableau5[Att1],MATCH(Tableau3[[#This Row],[ID-SIG]],Tableau5[ID],0))&amp;""</f>
        <v>T1_Fer</v>
      </c>
      <c r="M81" s="99" t="str">
        <f>INDEX(Tableau5[Att2],MATCH(Tableau3[[#This Row],[ID-SIG]],Tableau5[ID],0))&amp;""</f>
        <v/>
      </c>
      <c r="N81" s="99" t="str">
        <f>INDEX(Tableau5[Att3],MATCH(Tableau3[[#This Row],[ID-SIG]],Tableau5[ID],0))&amp;""</f>
        <v/>
      </c>
      <c r="O81" s="99"/>
      <c r="P81" s="99" t="str">
        <f>INDEX(Tableau5[Description],MATCH(Tableau3[[#This Row],[ID-SIG]],Tableau5[ID],0))</f>
        <v>Position fermée entrée 1</v>
      </c>
      <c r="Q81" s="99"/>
      <c r="R81" s="103" t="str">
        <f>Tableau3[[#This Row],[Description]]</f>
        <v>Position fermée entrée 1</v>
      </c>
      <c r="U81" s="87">
        <v>1</v>
      </c>
      <c r="V81" s="87">
        <v>1</v>
      </c>
      <c r="W81" s="87">
        <v>9</v>
      </c>
      <c r="X81" s="87">
        <v>15</v>
      </c>
      <c r="Y81" s="40"/>
      <c r="Z81" s="165" t="str">
        <f>INDEX(Tableau2[TS],MATCH(Tableau3[[#This Row],[ID-CARTEVOIE]],Tableau2[ID-CARTEVOIE],0))</f>
        <v>ET</v>
      </c>
      <c r="AA81" s="53" t="s">
        <v>213</v>
      </c>
      <c r="AB81" s="223" t="str">
        <f>IFERROR(INDEX(Tableau5[Reserve],MATCH(Tableau3[[#This Row],[ID-SIG]],Tableau5[ID],0))&amp;"","")</f>
        <v/>
      </c>
      <c r="AC81" s="21"/>
      <c r="AD81" s="108" t="str">
        <f>INDEX(Tableau7[Repere],MATCH(Tableau3[[#This Row],[ID-API]],Tableau7[ID-API],0))&amp;""</f>
        <v>A1</v>
      </c>
      <c r="AE81" s="108" t="str">
        <f>INDEX(Tableau1[Repere-Rack],MATCH(Tableau3[[#This Row],[ID-RACK]],Tableau1[ID-RACK],0))&amp;""</f>
        <v>R1</v>
      </c>
      <c r="AF81" s="108" t="str">
        <f>INDEX(Tableau1[Repere-Slot],MATCH(Tableau3[[#This Row],[ID-SLOT]],Tableau1[ID-SLOT],0))&amp;""</f>
        <v>S9</v>
      </c>
      <c r="AG81" s="108" t="str">
        <f>INDEX(Tableau2[Repere-Voie],MATCH(Tableau3[[#This Row],[ID-VOIE]],Tableau2[ID-Voie],0))&amp;""</f>
        <v>v15</v>
      </c>
      <c r="AH81" s="72" t="str">
        <f>Tableau3[[#This Row],[ID-API]]&amp; "." &amp;Tableau3[[#This Row],[ID-RACK]]&amp; "." &amp;Tableau3[[#This Row],[ID-SLOT]]</f>
        <v>1.1.9</v>
      </c>
      <c r="AI81" s="72" t="str">
        <f>INDEX(Tableau1[Ref-Carte],MATCH(Tableau3[[#This Row],[ID-RRS]],Tableau1[ID-RRS],0))</f>
        <v>SDI1602</v>
      </c>
      <c r="AJ81" s="72" t="str">
        <f t="array" ref="AJ81">IFERROR(INDEX(Tableau2[TS],MATCH(1,(Tableau2[Ref-Carte]=Tableau3[[#This Row],[Ref-Carte2]])*(Tableau2[ID-Voie]=Tableau3[[#This Row],[ID-VOIE]]),0)),"")</f>
        <v>ET</v>
      </c>
      <c r="AK81" s="72" t="str">
        <f>IFERROR(INDEX(Tableau2[TS],SUMPRODUCT((Tableau2[Ref-Carte]=Tableau3[[#This Row],[Ref-Carte2]])*(Tableau2[ID-Voie]=Tableau3[[#This Row],[ID-VOIE]])*ROW(Tableau2[TS]))-ROW(Tableau2[#Headers])),"")</f>
        <v>ET</v>
      </c>
      <c r="AL81" s="72" t="str">
        <f>Tableau3[[#This Row],[Ref-Carte2]]&amp;"/"&amp;Tableau3[[#This Row],[ID-VOIE]]</f>
        <v>SDI1602/15</v>
      </c>
      <c r="AM81" s="73" t="str">
        <f>INDEX(Tableau2[Borne],MATCH(Tableau3[[#This Row],[ID-CARTEVOIE]],Tableau2[ID-CARTEVOIE],0))&amp;""</f>
        <v>7A</v>
      </c>
      <c r="AN81" s="74" t="str">
        <f>Tableau3[[#This Row],[ID-API]]&amp;Tableau3[[#This Row],[ID-RACK]]&amp;Tableau3[[#This Row],[ID-SLOT]]&amp;Tableau3[[#This Row],[BORNE]]</f>
        <v>1197A</v>
      </c>
      <c r="AO81" s="1"/>
    </row>
    <row r="82" spans="1:41" ht="20.100000000000001" customHeight="1" thickTop="1" thickBot="1">
      <c r="A82" s="68"/>
      <c r="B82" s="69" t="str">
        <f>IFERROR(INDEX(Tableau4[Date],MATCH($A82,Tableau4[EVO],0)),"")</f>
        <v/>
      </c>
      <c r="C82" s="68" t="str">
        <f>IFERROR(INDEX(Tableau4[Designation],MATCH($A82,Tableau4[EVO],0)),"")</f>
        <v/>
      </c>
      <c r="D82" s="68"/>
      <c r="E82" s="70">
        <v>57</v>
      </c>
      <c r="F82" s="71">
        <v>37</v>
      </c>
      <c r="G82" s="101" t="str">
        <f>INDEX(Tableau8[Att1],MATCH(Tableau3[[#This Row],[ID-INS]],Tableau8[ID],0))&amp;""</f>
        <v>GR</v>
      </c>
      <c r="H82" s="101" t="str">
        <f>INDEX(Tableau8[Att2],MATCH(Tableau3[[#This Row],[ID-INS]],Tableau8[ID],0))&amp;""</f>
        <v>TRSD2</v>
      </c>
      <c r="I82" s="101" t="str">
        <f>INDEX(Tableau8[Att3],MATCH(Tableau3[[#This Row],[ID-INS]],Tableau8[ID],0))&amp;""</f>
        <v>Tourniquet TRSD2</v>
      </c>
      <c r="J82" s="101"/>
      <c r="K82" s="167" t="str">
        <f>INDEX(Tableau8[Nom du modele],MATCH(Tableau3[[#This Row],[ID-INS]],Tableau8[ID],0))&amp;""</f>
        <v>TRSD_1</v>
      </c>
      <c r="L82" s="99" t="str">
        <f>INDEX(Tableau5[Att1],MATCH(Tableau3[[#This Row],[ID-SIG]],Tableau5[ID],0))&amp;""</f>
        <v>T1S_PictoAutor</v>
      </c>
      <c r="M82" s="99" t="str">
        <f>INDEX(Tableau5[Att2],MATCH(Tableau3[[#This Row],[ID-SIG]],Tableau5[ID],0))&amp;""</f>
        <v/>
      </c>
      <c r="N82" s="99" t="str">
        <f>INDEX(Tableau5[Att3],MATCH(Tableau3[[#This Row],[ID-SIG]],Tableau5[ID],0))&amp;""</f>
        <v/>
      </c>
      <c r="O82" s="99"/>
      <c r="P82" s="99" t="str">
        <f>INDEX(Tableau5[Description],MATCH(Tableau3[[#This Row],[ID-SIG]],Tableau5[ID],0))</f>
        <v>Commande Picto sortie 1</v>
      </c>
      <c r="Q82" s="99"/>
      <c r="R82" s="103" t="str">
        <f>Tableau3[[#This Row],[Description]]</f>
        <v>Commande Picto sortie 1</v>
      </c>
      <c r="U82" s="87">
        <v>1</v>
      </c>
      <c r="V82" s="87">
        <v>1</v>
      </c>
      <c r="W82" s="87">
        <v>10</v>
      </c>
      <c r="X82" s="87">
        <v>0</v>
      </c>
      <c r="Y82" s="41"/>
      <c r="Z82" s="165" t="str">
        <f>INDEX(Tableau2[TS],MATCH(Tableau3[[#This Row],[ID-CARTEVOIE]],Tableau2[ID-CARTEVOIE],0))</f>
        <v>ST</v>
      </c>
      <c r="AA82" s="53" t="s">
        <v>213</v>
      </c>
      <c r="AB82" s="223" t="str">
        <f>IFERROR(INDEX(Tableau5[Reserve],MATCH(Tableau3[[#This Row],[ID-SIG]],Tableau5[ID],0))&amp;"","")</f>
        <v/>
      </c>
      <c r="AC82" s="21"/>
      <c r="AD82" s="108" t="str">
        <f>INDEX(Tableau7[Repere],MATCH(Tableau3[[#This Row],[ID-API]],Tableau7[ID-API],0))&amp;""</f>
        <v>A1</v>
      </c>
      <c r="AE82" s="108" t="str">
        <f>INDEX(Tableau1[Repere-Rack],MATCH(Tableau3[[#This Row],[ID-RACK]],Tableau1[ID-RACK],0))&amp;""</f>
        <v>R1</v>
      </c>
      <c r="AF82" s="108" t="str">
        <f>INDEX(Tableau1[Repere-Slot],MATCH(Tableau3[[#This Row],[ID-SLOT]],Tableau1[ID-SLOT],0))&amp;""</f>
        <v>S10</v>
      </c>
      <c r="AG82" s="108" t="str">
        <f>INDEX(Tableau2[Repere-Voie],MATCH(Tableau3[[#This Row],[ID-VOIE]],Tableau2[ID-Voie],0))&amp;""</f>
        <v>v0</v>
      </c>
      <c r="AH82" s="72" t="str">
        <f>Tableau3[[#This Row],[ID-API]]&amp; "." &amp;Tableau3[[#This Row],[ID-RACK]]&amp; "." &amp;Tableau3[[#This Row],[ID-SLOT]]</f>
        <v>1.1.10</v>
      </c>
      <c r="AI82" s="72" t="str">
        <f>INDEX(Tableau1[Ref-Carte],MATCH(Tableau3[[#This Row],[ID-RRS]],Tableau1[ID-RRS],0))</f>
        <v>SDO0802</v>
      </c>
      <c r="AJ82" s="72" t="str">
        <f t="array" ref="AJ82">IFERROR(INDEX(Tableau2[TS],MATCH(1,(Tableau2[Ref-Carte]=Tableau3[[#This Row],[Ref-Carte2]])*(Tableau2[ID-Voie]=Tableau3[[#This Row],[ID-VOIE]]),0)),"")</f>
        <v>ST</v>
      </c>
      <c r="AK82" s="72" t="str">
        <f>IFERROR(INDEX(Tableau2[TS],SUMPRODUCT((Tableau2[Ref-Carte]=Tableau3[[#This Row],[Ref-Carte2]])*(Tableau2[ID-Voie]=Tableau3[[#This Row],[ID-VOIE]])*ROW(Tableau2[TS]))-ROW(Tableau2[#Headers])),"")</f>
        <v>ST</v>
      </c>
      <c r="AL82" s="72" t="str">
        <f>Tableau3[[#This Row],[Ref-Carte2]]&amp;"/"&amp;Tableau3[[#This Row],[ID-VOIE]]</f>
        <v>SDO0802/0</v>
      </c>
      <c r="AM82" s="73" t="str">
        <f>INDEX(Tableau2[Borne],MATCH(Tableau3[[#This Row],[ID-CARTEVOIE]],Tableau2[ID-CARTEVOIE],0))&amp;""</f>
        <v>0</v>
      </c>
      <c r="AN82" s="74" t="str">
        <f>Tableau3[[#This Row],[ID-API]]&amp;Tableau3[[#This Row],[ID-RACK]]&amp;Tableau3[[#This Row],[ID-SLOT]]&amp;Tableau3[[#This Row],[BORNE]]</f>
        <v>11100</v>
      </c>
      <c r="AO82" s="1"/>
    </row>
    <row r="83" spans="1:41" ht="20.100000000000001" customHeight="1" thickTop="1" thickBot="1">
      <c r="A83" s="68"/>
      <c r="B83" s="69" t="str">
        <f>IFERROR(INDEX(Tableau4[Date],MATCH($A83,Tableau4[EVO],0)),"")</f>
        <v/>
      </c>
      <c r="C83" s="68" t="str">
        <f>IFERROR(INDEX(Tableau4[Designation],MATCH($A83,Tableau4[EVO],0)),"")</f>
        <v/>
      </c>
      <c r="D83" s="68"/>
      <c r="E83" s="70">
        <v>69</v>
      </c>
      <c r="F83" s="71">
        <v>28</v>
      </c>
      <c r="G83" s="101" t="str">
        <f>INDEX(Tableau8[Att1],MATCH(Tableau3[[#This Row],[ID-INS]],Tableau8[ID],0))&amp;""</f>
        <v>B22</v>
      </c>
      <c r="H83" s="101" t="str">
        <f>INDEX(Tableau8[Att2],MATCH(Tableau3[[#This Row],[ID-INS]],Tableau8[ID],0))&amp;""</f>
        <v>TRSD4</v>
      </c>
      <c r="I83" s="101" t="str">
        <f>INDEX(Tableau8[Att3],MATCH(Tableau3[[#This Row],[ID-INS]],Tableau8[ID],0))&amp;""</f>
        <v>Tourniquet TRSD4</v>
      </c>
      <c r="J83" s="101"/>
      <c r="K83" s="167" t="str">
        <f>INDEX(Tableau8[Nom du modele],MATCH(Tableau3[[#This Row],[ID-INS]],Tableau8[ID],0))&amp;""</f>
        <v>TRSD_1</v>
      </c>
      <c r="L83" s="141" t="str">
        <f>INDEX(Tableau5[Att1],MATCH(Tableau3[[#This Row],[ID-SIG]],Tableau5[ID],0))&amp;""</f>
        <v>T1S_OuvCmd2</v>
      </c>
      <c r="M83" s="99" t="str">
        <f>INDEX(Tableau5[Att2],MATCH(Tableau3[[#This Row],[ID-SIG]],Tableau5[ID],0))&amp;""</f>
        <v/>
      </c>
      <c r="N83" s="99" t="str">
        <f>INDEX(Tableau5[Att3],MATCH(Tableau3[[#This Row],[ID-SIG]],Tableau5[ID],0))&amp;""</f>
        <v/>
      </c>
      <c r="O83" s="99"/>
      <c r="P83" s="99" t="s">
        <v>1698</v>
      </c>
      <c r="Q83" s="99"/>
      <c r="R83" s="103" t="str">
        <f>Tableau3[[#This Row],[Description]]</f>
        <v>Portail P2V1 - Verrouillage</v>
      </c>
      <c r="U83" s="87">
        <v>1</v>
      </c>
      <c r="V83" s="87">
        <v>1</v>
      </c>
      <c r="W83" s="87">
        <v>10</v>
      </c>
      <c r="X83" s="87">
        <v>1</v>
      </c>
      <c r="Y83" s="41"/>
      <c r="Z83" s="165" t="str">
        <f>INDEX(Tableau2[TS],MATCH(Tableau3[[#This Row],[ID-CARTEVOIE]],Tableau2[ID-CARTEVOIE],0))</f>
        <v>ST</v>
      </c>
      <c r="AA83" s="53" t="s">
        <v>213</v>
      </c>
      <c r="AB83" s="223" t="str">
        <f>IFERROR(INDEX(Tableau5[Reserve],MATCH(Tableau3[[#This Row],[ID-SIG]],Tableau5[ID],0))&amp;"","")</f>
        <v/>
      </c>
      <c r="AC83" s="21" t="s">
        <v>1505</v>
      </c>
      <c r="AD83" s="108" t="str">
        <f>INDEX(Tableau7[Repere],MATCH(Tableau3[[#This Row],[ID-API]],Tableau7[ID-API],0))&amp;""</f>
        <v>A1</v>
      </c>
      <c r="AE83" s="108" t="str">
        <f>INDEX(Tableau1[Repere-Rack],MATCH(Tableau3[[#This Row],[ID-RACK]],Tableau1[ID-RACK],0))&amp;""</f>
        <v>R1</v>
      </c>
      <c r="AF83" s="108" t="str">
        <f>INDEX(Tableau1[Repere-Slot],MATCH(Tableau3[[#This Row],[ID-SLOT]],Tableau1[ID-SLOT],0))&amp;""</f>
        <v>S10</v>
      </c>
      <c r="AG83" s="108" t="str">
        <f>INDEX(Tableau2[Repere-Voie],MATCH(Tableau3[[#This Row],[ID-VOIE]],Tableau2[ID-Voie],0))&amp;""</f>
        <v>v1</v>
      </c>
      <c r="AH83" s="72" t="str">
        <f>Tableau3[[#This Row],[ID-API]]&amp; "." &amp;Tableau3[[#This Row],[ID-RACK]]&amp; "." &amp;Tableau3[[#This Row],[ID-SLOT]]</f>
        <v>1.1.10</v>
      </c>
      <c r="AI83" s="72" t="str">
        <f>INDEX(Tableau1[Ref-Carte],MATCH(Tableau3[[#This Row],[ID-RRS]],Tableau1[ID-RRS],0))</f>
        <v>SDO0802</v>
      </c>
      <c r="AJ83" s="72" t="str">
        <f t="array" ref="AJ83">IFERROR(INDEX(Tableau2[TS],MATCH(1,(Tableau2[Ref-Carte]=Tableau3[[#This Row],[Ref-Carte2]])*(Tableau2[ID-Voie]=Tableau3[[#This Row],[ID-VOIE]]),0)),"")</f>
        <v>ST</v>
      </c>
      <c r="AK83" s="72" t="str">
        <f>IFERROR(INDEX(Tableau2[TS],SUMPRODUCT((Tableau2[Ref-Carte]=Tableau3[[#This Row],[Ref-Carte2]])*(Tableau2[ID-Voie]=Tableau3[[#This Row],[ID-VOIE]])*ROW(Tableau2[TS]))-ROW(Tableau2[#Headers])),"")</f>
        <v>ST</v>
      </c>
      <c r="AL83" s="72" t="str">
        <f>Tableau3[[#This Row],[Ref-Carte2]]&amp;"/"&amp;Tableau3[[#This Row],[ID-VOIE]]</f>
        <v>SDO0802/1</v>
      </c>
      <c r="AM83" s="73" t="str">
        <f>INDEX(Tableau2[Borne],MATCH(Tableau3[[#This Row],[ID-CARTEVOIE]],Tableau2[ID-CARTEVOIE],0))&amp;""</f>
        <v>1</v>
      </c>
      <c r="AN83" s="74" t="str">
        <f>Tableau3[[#This Row],[ID-API]]&amp;Tableau3[[#This Row],[ID-RACK]]&amp;Tableau3[[#This Row],[ID-SLOT]]&amp;Tableau3[[#This Row],[BORNE]]</f>
        <v>11101</v>
      </c>
      <c r="AO83" s="1"/>
    </row>
    <row r="84" spans="1:41" ht="20.100000000000001" customHeight="1" thickTop="1" thickBot="1">
      <c r="A84" s="68"/>
      <c r="B84" s="69" t="str">
        <f>IFERROR(INDEX(Tableau4[Date],MATCH($A84,Tableau4[EVO],0)),"")</f>
        <v/>
      </c>
      <c r="C84" s="68" t="str">
        <f>IFERROR(INDEX(Tableau4[Designation],MATCH($A84,Tableau4[EVO],0)),"")</f>
        <v/>
      </c>
      <c r="D84" s="68"/>
      <c r="E84" s="70">
        <v>69</v>
      </c>
      <c r="F84" s="71">
        <v>34</v>
      </c>
      <c r="G84" s="101" t="str">
        <f>INDEX(Tableau8[Att1],MATCH(Tableau3[[#This Row],[ID-INS]],Tableau8[ID],0))&amp;""</f>
        <v>B22</v>
      </c>
      <c r="H84" s="101" t="str">
        <f>INDEX(Tableau8[Att2],MATCH(Tableau3[[#This Row],[ID-INS]],Tableau8[ID],0))&amp;""</f>
        <v>TRSD4</v>
      </c>
      <c r="I84" s="101" t="str">
        <f>INDEX(Tableau8[Att3],MATCH(Tableau3[[#This Row],[ID-INS]],Tableau8[ID],0))&amp;""</f>
        <v>Tourniquet TRSD4</v>
      </c>
      <c r="J84" s="101"/>
      <c r="K84" s="167" t="str">
        <f>INDEX(Tableau8[Nom du modele],MATCH(Tableau3[[#This Row],[ID-INS]],Tableau8[ID],0))&amp;""</f>
        <v>TRSD_1</v>
      </c>
      <c r="L84" s="99" t="str">
        <f>INDEX(Tableau5[Att1],MATCH(Tableau3[[#This Row],[ID-SIG]],Tableau5[ID],0))&amp;""</f>
        <v>T2E_OuvCmd</v>
      </c>
      <c r="M84" s="99" t="str">
        <f>INDEX(Tableau5[Att2],MATCH(Tableau3[[#This Row],[ID-SIG]],Tableau5[ID],0))&amp;""</f>
        <v/>
      </c>
      <c r="N84" s="99" t="str">
        <f>INDEX(Tableau5[Att3],MATCH(Tableau3[[#This Row],[ID-SIG]],Tableau5[ID],0))&amp;""</f>
        <v/>
      </c>
      <c r="O84" s="99"/>
      <c r="P84" s="99" t="str">
        <f>INDEX(Tableau5[Description],MATCH(Tableau3[[#This Row],[ID-SIG]],Tableau5[ID],0))</f>
        <v>Commande ouverture entrée 2</v>
      </c>
      <c r="Q84" s="99"/>
      <c r="R84" s="103" t="str">
        <f>Tableau3[[#This Row],[Description]]</f>
        <v>Commande ouverture entrée 2</v>
      </c>
      <c r="U84" s="87">
        <v>1</v>
      </c>
      <c r="V84" s="87">
        <v>1</v>
      </c>
      <c r="W84" s="87">
        <v>10</v>
      </c>
      <c r="X84" s="87">
        <v>2</v>
      </c>
      <c r="Y84" s="41"/>
      <c r="Z84" s="165" t="str">
        <f>INDEX(Tableau2[TS],MATCH(Tableau3[[#This Row],[ID-CARTEVOIE]],Tableau2[ID-CARTEVOIE],0))</f>
        <v>ST</v>
      </c>
      <c r="AA84" s="53" t="s">
        <v>213</v>
      </c>
      <c r="AB84" s="223" t="str">
        <f>IFERROR(INDEX(Tableau5[Reserve],MATCH(Tableau3[[#This Row],[ID-SIG]],Tableau5[ID],0))&amp;"","")</f>
        <v/>
      </c>
      <c r="AC84" s="21" t="s">
        <v>1505</v>
      </c>
      <c r="AD84" s="108" t="str">
        <f>INDEX(Tableau7[Repere],MATCH(Tableau3[[#This Row],[ID-API]],Tableau7[ID-API],0))&amp;""</f>
        <v>A1</v>
      </c>
      <c r="AE84" s="108" t="str">
        <f>INDEX(Tableau1[Repere-Rack],MATCH(Tableau3[[#This Row],[ID-RACK]],Tableau1[ID-RACK],0))&amp;""</f>
        <v>R1</v>
      </c>
      <c r="AF84" s="108" t="str">
        <f>INDEX(Tableau1[Repere-Slot],MATCH(Tableau3[[#This Row],[ID-SLOT]],Tableau1[ID-SLOT],0))&amp;""</f>
        <v>S10</v>
      </c>
      <c r="AG84" s="108" t="str">
        <f>INDEX(Tableau2[Repere-Voie],MATCH(Tableau3[[#This Row],[ID-VOIE]],Tableau2[ID-Voie],0))&amp;""</f>
        <v>v2</v>
      </c>
      <c r="AH84" s="72" t="str">
        <f>Tableau3[[#This Row],[ID-API]]&amp; "." &amp;Tableau3[[#This Row],[ID-RACK]]&amp; "." &amp;Tableau3[[#This Row],[ID-SLOT]]</f>
        <v>1.1.10</v>
      </c>
      <c r="AI84" s="72" t="str">
        <f>INDEX(Tableau1[Ref-Carte],MATCH(Tableau3[[#This Row],[ID-RRS]],Tableau1[ID-RRS],0))</f>
        <v>SDO0802</v>
      </c>
      <c r="AJ84" s="72" t="str">
        <f t="array" ref="AJ84">IFERROR(INDEX(Tableau2[TS],MATCH(1,(Tableau2[Ref-Carte]=Tableau3[[#This Row],[Ref-Carte2]])*(Tableau2[ID-Voie]=Tableau3[[#This Row],[ID-VOIE]]),0)),"")</f>
        <v>ST</v>
      </c>
      <c r="AK84" s="72" t="str">
        <f>IFERROR(INDEX(Tableau2[TS],SUMPRODUCT((Tableau2[Ref-Carte]=Tableau3[[#This Row],[Ref-Carte2]])*(Tableau2[ID-Voie]=Tableau3[[#This Row],[ID-VOIE]])*ROW(Tableau2[TS]))-ROW(Tableau2[#Headers])),"")</f>
        <v>ST</v>
      </c>
      <c r="AL84" s="72" t="str">
        <f>Tableau3[[#This Row],[Ref-Carte2]]&amp;"/"&amp;Tableau3[[#This Row],[ID-VOIE]]</f>
        <v>SDO0802/2</v>
      </c>
      <c r="AM84" s="73" t="str">
        <f>INDEX(Tableau2[Borne],MATCH(Tableau3[[#This Row],[ID-CARTEVOIE]],Tableau2[ID-CARTEVOIE],0))&amp;""</f>
        <v>2</v>
      </c>
      <c r="AN84" s="74" t="str">
        <f>Tableau3[[#This Row],[ID-API]]&amp;Tableau3[[#This Row],[ID-RACK]]&amp;Tableau3[[#This Row],[ID-SLOT]]&amp;Tableau3[[#This Row],[BORNE]]</f>
        <v>11102</v>
      </c>
      <c r="AO84" s="1"/>
    </row>
    <row r="85" spans="1:41" ht="20.100000000000001" customHeight="1" thickTop="1" thickBot="1">
      <c r="A85" s="68"/>
      <c r="B85" s="69" t="str">
        <f>IFERROR(INDEX(Tableau4[Date],MATCH($A85,Tableau4[EVO],0)),"")</f>
        <v/>
      </c>
      <c r="C85" s="68" t="str">
        <f>IFERROR(INDEX(Tableau4[Designation],MATCH($A85,Tableau4[EVO],0)),"")</f>
        <v/>
      </c>
      <c r="D85" s="68"/>
      <c r="E85" s="70">
        <v>69</v>
      </c>
      <c r="F85" s="71">
        <v>35</v>
      </c>
      <c r="G85" s="101" t="str">
        <f>INDEX(Tableau8[Att1],MATCH(Tableau3[[#This Row],[ID-INS]],Tableau8[ID],0))&amp;""</f>
        <v>B22</v>
      </c>
      <c r="H85" s="101" t="str">
        <f>INDEX(Tableau8[Att2],MATCH(Tableau3[[#This Row],[ID-INS]],Tableau8[ID],0))&amp;""</f>
        <v>TRSD4</v>
      </c>
      <c r="I85" s="101" t="str">
        <f>INDEX(Tableau8[Att3],MATCH(Tableau3[[#This Row],[ID-INS]],Tableau8[ID],0))&amp;""</f>
        <v>Tourniquet TRSD4</v>
      </c>
      <c r="J85" s="101"/>
      <c r="K85" s="167" t="str">
        <f>INDEX(Tableau8[Nom du modele],MATCH(Tableau3[[#This Row],[ID-INS]],Tableau8[ID],0))&amp;""</f>
        <v>TRSD_1</v>
      </c>
      <c r="L85" s="99" t="str">
        <f>INDEX(Tableau5[Att1],MATCH(Tableau3[[#This Row],[ID-SIG]],Tableau5[ID],0))&amp;""</f>
        <v>T2S_OuvCmd1</v>
      </c>
      <c r="M85" s="99" t="str">
        <f>INDEX(Tableau5[Att2],MATCH(Tableau3[[#This Row],[ID-SIG]],Tableau5[ID],0))&amp;""</f>
        <v/>
      </c>
      <c r="N85" s="99" t="str">
        <f>INDEX(Tableau5[Att3],MATCH(Tableau3[[#This Row],[ID-SIG]],Tableau5[ID],0))&amp;""</f>
        <v/>
      </c>
      <c r="O85" s="99"/>
      <c r="P85" s="99" t="str">
        <f>INDEX(Tableau5[Description],MATCH(Tableau3[[#This Row],[ID-SIG]],Tableau5[ID],0))</f>
        <v>Commande 1 ouverture sortie 2</v>
      </c>
      <c r="Q85" s="99"/>
      <c r="R85" s="103" t="str">
        <f>Tableau3[[#This Row],[Description]]</f>
        <v>Commande 1 ouverture sortie 2</v>
      </c>
      <c r="U85" s="87">
        <v>1</v>
      </c>
      <c r="V85" s="87">
        <v>1</v>
      </c>
      <c r="W85" s="87">
        <v>10</v>
      </c>
      <c r="X85" s="87">
        <v>3</v>
      </c>
      <c r="Y85" s="41"/>
      <c r="Z85" s="165" t="str">
        <f>INDEX(Tableau2[TS],MATCH(Tableau3[[#This Row],[ID-CARTEVOIE]],Tableau2[ID-CARTEVOIE],0))</f>
        <v>ST</v>
      </c>
      <c r="AA85" s="53" t="s">
        <v>213</v>
      </c>
      <c r="AB85" s="223" t="str">
        <f>IFERROR(INDEX(Tableau5[Reserve],MATCH(Tableau3[[#This Row],[ID-SIG]],Tableau5[ID],0))&amp;"","")</f>
        <v/>
      </c>
      <c r="AC85" s="21" t="s">
        <v>1505</v>
      </c>
      <c r="AD85" s="108" t="str">
        <f>INDEX(Tableau7[Repere],MATCH(Tableau3[[#This Row],[ID-API]],Tableau7[ID-API],0))&amp;""</f>
        <v>A1</v>
      </c>
      <c r="AE85" s="108" t="str">
        <f>INDEX(Tableau1[Repere-Rack],MATCH(Tableau3[[#This Row],[ID-RACK]],Tableau1[ID-RACK],0))&amp;""</f>
        <v>R1</v>
      </c>
      <c r="AF85" s="108" t="str">
        <f>INDEX(Tableau1[Repere-Slot],MATCH(Tableau3[[#This Row],[ID-SLOT]],Tableau1[ID-SLOT],0))&amp;""</f>
        <v>S10</v>
      </c>
      <c r="AG85" s="108" t="str">
        <f>INDEX(Tableau2[Repere-Voie],MATCH(Tableau3[[#This Row],[ID-VOIE]],Tableau2[ID-Voie],0))&amp;""</f>
        <v>v3</v>
      </c>
      <c r="AH85" s="72" t="str">
        <f>Tableau3[[#This Row],[ID-API]]&amp; "." &amp;Tableau3[[#This Row],[ID-RACK]]&amp; "." &amp;Tableau3[[#This Row],[ID-SLOT]]</f>
        <v>1.1.10</v>
      </c>
      <c r="AI85" s="72" t="str">
        <f>INDEX(Tableau1[Ref-Carte],MATCH(Tableau3[[#This Row],[ID-RRS]],Tableau1[ID-RRS],0))</f>
        <v>SDO0802</v>
      </c>
      <c r="AJ85" s="72" t="str">
        <f t="array" ref="AJ85">IFERROR(INDEX(Tableau2[TS],MATCH(1,(Tableau2[Ref-Carte]=Tableau3[[#This Row],[Ref-Carte2]])*(Tableau2[ID-Voie]=Tableau3[[#This Row],[ID-VOIE]]),0)),"")</f>
        <v>ST</v>
      </c>
      <c r="AK85" s="72" t="str">
        <f>IFERROR(INDEX(Tableau2[TS],SUMPRODUCT((Tableau2[Ref-Carte]=Tableau3[[#This Row],[Ref-Carte2]])*(Tableau2[ID-Voie]=Tableau3[[#This Row],[ID-VOIE]])*ROW(Tableau2[TS]))-ROW(Tableau2[#Headers])),"")</f>
        <v>ST</v>
      </c>
      <c r="AL85" s="72" t="str">
        <f>Tableau3[[#This Row],[Ref-Carte2]]&amp;"/"&amp;Tableau3[[#This Row],[ID-VOIE]]</f>
        <v>SDO0802/3</v>
      </c>
      <c r="AM85" s="73" t="str">
        <f>INDEX(Tableau2[Borne],MATCH(Tableau3[[#This Row],[ID-CARTEVOIE]],Tableau2[ID-CARTEVOIE],0))&amp;""</f>
        <v>3</v>
      </c>
      <c r="AN85" s="74" t="str">
        <f>Tableau3[[#This Row],[ID-API]]&amp;Tableau3[[#This Row],[ID-RACK]]&amp;Tableau3[[#This Row],[ID-SLOT]]&amp;Tableau3[[#This Row],[BORNE]]</f>
        <v>11103</v>
      </c>
      <c r="AO85" s="1"/>
    </row>
    <row r="86" spans="1:41" ht="20.100000000000001" customHeight="1" thickTop="1" thickBot="1">
      <c r="A86" s="68"/>
      <c r="B86" s="69" t="str">
        <f>IFERROR(INDEX(Tableau4[Date],MATCH($A86,Tableau4[EVO],0)),"")</f>
        <v/>
      </c>
      <c r="C86" s="68" t="str">
        <f>IFERROR(INDEX(Tableau4[Designation],MATCH($A86,Tableau4[EVO],0)),"")</f>
        <v/>
      </c>
      <c r="D86" s="68"/>
      <c r="E86" s="70">
        <v>69</v>
      </c>
      <c r="F86" s="71">
        <v>38</v>
      </c>
      <c r="G86" s="101" t="str">
        <f>INDEX(Tableau8[Att1],MATCH(Tableau3[[#This Row],[ID-INS]],Tableau8[ID],0))&amp;""</f>
        <v>B22</v>
      </c>
      <c r="H86" s="101" t="str">
        <f>INDEX(Tableau8[Att2],MATCH(Tableau3[[#This Row],[ID-INS]],Tableau8[ID],0))&amp;""</f>
        <v>TRSD4</v>
      </c>
      <c r="I86" s="101" t="str">
        <f>INDEX(Tableau8[Att3],MATCH(Tableau3[[#This Row],[ID-INS]],Tableau8[ID],0))&amp;""</f>
        <v>Tourniquet TRSD4</v>
      </c>
      <c r="J86" s="101"/>
      <c r="K86" s="167" t="str">
        <f>INDEX(Tableau8[Nom du modele],MATCH(Tableau3[[#This Row],[ID-INS]],Tableau8[ID],0))&amp;""</f>
        <v>TRSD_1</v>
      </c>
      <c r="L86" s="99" t="str">
        <f>INDEX(Tableau5[Att1],MATCH(Tableau3[[#This Row],[ID-SIG]],Tableau5[ID],0))&amp;""</f>
        <v>T2E_PictoAutor</v>
      </c>
      <c r="M86" s="99" t="str">
        <f>INDEX(Tableau5[Att2],MATCH(Tableau3[[#This Row],[ID-SIG]],Tableau5[ID],0))&amp;""</f>
        <v/>
      </c>
      <c r="N86" s="99" t="str">
        <f>INDEX(Tableau5[Att3],MATCH(Tableau3[[#This Row],[ID-SIG]],Tableau5[ID],0))&amp;""</f>
        <v/>
      </c>
      <c r="O86" s="99"/>
      <c r="P86" s="99" t="str">
        <f>INDEX(Tableau5[Description],MATCH(Tableau3[[#This Row],[ID-SIG]],Tableau5[ID],0))</f>
        <v>Commande Picto entrée 2</v>
      </c>
      <c r="Q86" s="99"/>
      <c r="R86" s="103" t="str">
        <f>Tableau3[[#This Row],[Description]]</f>
        <v>Commande Picto entrée 2</v>
      </c>
      <c r="U86" s="87">
        <v>1</v>
      </c>
      <c r="V86" s="87">
        <v>1</v>
      </c>
      <c r="W86" s="87">
        <v>10</v>
      </c>
      <c r="X86" s="87">
        <v>4</v>
      </c>
      <c r="Y86" s="41"/>
      <c r="Z86" s="165" t="str">
        <f>INDEX(Tableau2[TS],MATCH(Tableau3[[#This Row],[ID-CARTEVOIE]],Tableau2[ID-CARTEVOIE],0))</f>
        <v>ST</v>
      </c>
      <c r="AA86" s="53" t="s">
        <v>213</v>
      </c>
      <c r="AB86" s="223" t="str">
        <f>IFERROR(INDEX(Tableau5[Reserve],MATCH(Tableau3[[#This Row],[ID-SIG]],Tableau5[ID],0))&amp;"","")</f>
        <v/>
      </c>
      <c r="AC86" s="21" t="s">
        <v>1505</v>
      </c>
      <c r="AD86" s="108" t="str">
        <f>INDEX(Tableau7[Repere],MATCH(Tableau3[[#This Row],[ID-API]],Tableau7[ID-API],0))&amp;""</f>
        <v>A1</v>
      </c>
      <c r="AE86" s="108" t="str">
        <f>INDEX(Tableau1[Repere-Rack],MATCH(Tableau3[[#This Row],[ID-RACK]],Tableau1[ID-RACK],0))&amp;""</f>
        <v>R1</v>
      </c>
      <c r="AF86" s="108" t="str">
        <f>INDEX(Tableau1[Repere-Slot],MATCH(Tableau3[[#This Row],[ID-SLOT]],Tableau1[ID-SLOT],0))&amp;""</f>
        <v>S10</v>
      </c>
      <c r="AG86" s="108" t="str">
        <f>INDEX(Tableau2[Repere-Voie],MATCH(Tableau3[[#This Row],[ID-VOIE]],Tableau2[ID-Voie],0))&amp;""</f>
        <v>v4</v>
      </c>
      <c r="AH86" s="72" t="str">
        <f>Tableau3[[#This Row],[ID-API]]&amp; "." &amp;Tableau3[[#This Row],[ID-RACK]]&amp; "." &amp;Tableau3[[#This Row],[ID-SLOT]]</f>
        <v>1.1.10</v>
      </c>
      <c r="AI86" s="72" t="str">
        <f>INDEX(Tableau1[Ref-Carte],MATCH(Tableau3[[#This Row],[ID-RRS]],Tableau1[ID-RRS],0))</f>
        <v>SDO0802</v>
      </c>
      <c r="AJ86" s="72" t="str">
        <f t="array" ref="AJ86">IFERROR(INDEX(Tableau2[TS],MATCH(1,(Tableau2[Ref-Carte]=Tableau3[[#This Row],[Ref-Carte2]])*(Tableau2[ID-Voie]=Tableau3[[#This Row],[ID-VOIE]]),0)),"")</f>
        <v>ST</v>
      </c>
      <c r="AK86" s="72" t="str">
        <f>IFERROR(INDEX(Tableau2[TS],SUMPRODUCT((Tableau2[Ref-Carte]=Tableau3[[#This Row],[Ref-Carte2]])*(Tableau2[ID-Voie]=Tableau3[[#This Row],[ID-VOIE]])*ROW(Tableau2[TS]))-ROW(Tableau2[#Headers])),"")</f>
        <v>ST</v>
      </c>
      <c r="AL86" s="72" t="str">
        <f>Tableau3[[#This Row],[Ref-Carte2]]&amp;"/"&amp;Tableau3[[#This Row],[ID-VOIE]]</f>
        <v>SDO0802/4</v>
      </c>
      <c r="AM86" s="73" t="str">
        <f>INDEX(Tableau2[Borne],MATCH(Tableau3[[#This Row],[ID-CARTEVOIE]],Tableau2[ID-CARTEVOIE],0))&amp;""</f>
        <v>4</v>
      </c>
      <c r="AN86" s="74" t="str">
        <f>Tableau3[[#This Row],[ID-API]]&amp;Tableau3[[#This Row],[ID-RACK]]&amp;Tableau3[[#This Row],[ID-SLOT]]&amp;Tableau3[[#This Row],[BORNE]]</f>
        <v>11104</v>
      </c>
      <c r="AO86" s="1"/>
    </row>
    <row r="87" spans="1:41" ht="20.100000000000001" customHeight="1" thickTop="1" thickBot="1">
      <c r="A87" s="68"/>
      <c r="B87" s="69" t="str">
        <f>IFERROR(INDEX(Tableau4[Date],MATCH($A87,Tableau4[EVO],0)),"")</f>
        <v/>
      </c>
      <c r="C87" s="68" t="str">
        <f>IFERROR(INDEX(Tableau4[Designation],MATCH($A87,Tableau4[EVO],0)),"")</f>
        <v/>
      </c>
      <c r="D87" s="68"/>
      <c r="E87" s="70">
        <v>69</v>
      </c>
      <c r="F87" s="71">
        <v>39</v>
      </c>
      <c r="G87" s="101" t="str">
        <f>INDEX(Tableau8[Att1],MATCH(Tableau3[[#This Row],[ID-INS]],Tableau8[ID],0))&amp;""</f>
        <v>B22</v>
      </c>
      <c r="H87" s="101" t="str">
        <f>INDEX(Tableau8[Att2],MATCH(Tableau3[[#This Row],[ID-INS]],Tableau8[ID],0))&amp;""</f>
        <v>TRSD4</v>
      </c>
      <c r="I87" s="101" t="str">
        <f>INDEX(Tableau8[Att3],MATCH(Tableau3[[#This Row],[ID-INS]],Tableau8[ID],0))&amp;""</f>
        <v>Tourniquet TRSD4</v>
      </c>
      <c r="J87" s="101"/>
      <c r="K87" s="167" t="str">
        <f>INDEX(Tableau8[Nom du modele],MATCH(Tableau3[[#This Row],[ID-INS]],Tableau8[ID],0))&amp;""</f>
        <v>TRSD_1</v>
      </c>
      <c r="L87" s="99" t="str">
        <f>INDEX(Tableau5[Att1],MATCH(Tableau3[[#This Row],[ID-SIG]],Tableau5[ID],0))&amp;""</f>
        <v>T2S_PictoAutor</v>
      </c>
      <c r="M87" s="99" t="str">
        <f>INDEX(Tableau5[Att2],MATCH(Tableau3[[#This Row],[ID-SIG]],Tableau5[ID],0))&amp;""</f>
        <v/>
      </c>
      <c r="N87" s="99" t="str">
        <f>INDEX(Tableau5[Att3],MATCH(Tableau3[[#This Row],[ID-SIG]],Tableau5[ID],0))&amp;""</f>
        <v/>
      </c>
      <c r="O87" s="99"/>
      <c r="P87" s="99" t="str">
        <f>INDEX(Tableau5[Description],MATCH(Tableau3[[#This Row],[ID-SIG]],Tableau5[ID],0))</f>
        <v>Commande Picto sortie 2</v>
      </c>
      <c r="Q87" s="99"/>
      <c r="R87" s="103" t="str">
        <f>Tableau3[[#This Row],[Description]]</f>
        <v>Commande Picto sortie 2</v>
      </c>
      <c r="U87" s="87">
        <v>1</v>
      </c>
      <c r="V87" s="87">
        <v>1</v>
      </c>
      <c r="W87" s="87">
        <v>10</v>
      </c>
      <c r="X87" s="87">
        <v>5</v>
      </c>
      <c r="Y87" s="41"/>
      <c r="Z87" s="165" t="str">
        <f>INDEX(Tableau2[TS],MATCH(Tableau3[[#This Row],[ID-CARTEVOIE]],Tableau2[ID-CARTEVOIE],0))</f>
        <v>ST</v>
      </c>
      <c r="AA87" s="53" t="s">
        <v>213</v>
      </c>
      <c r="AB87" s="223" t="str">
        <f>IFERROR(INDEX(Tableau5[Reserve],MATCH(Tableau3[[#This Row],[ID-SIG]],Tableau5[ID],0))&amp;"","")</f>
        <v/>
      </c>
      <c r="AC87" s="21" t="s">
        <v>1505</v>
      </c>
      <c r="AD87" s="108" t="str">
        <f>INDEX(Tableau7[Repere],MATCH(Tableau3[[#This Row],[ID-API]],Tableau7[ID-API],0))&amp;""</f>
        <v>A1</v>
      </c>
      <c r="AE87" s="108" t="str">
        <f>INDEX(Tableau1[Repere-Rack],MATCH(Tableau3[[#This Row],[ID-RACK]],Tableau1[ID-RACK],0))&amp;""</f>
        <v>R1</v>
      </c>
      <c r="AF87" s="108" t="str">
        <f>INDEX(Tableau1[Repere-Slot],MATCH(Tableau3[[#This Row],[ID-SLOT]],Tableau1[ID-SLOT],0))&amp;""</f>
        <v>S10</v>
      </c>
      <c r="AG87" s="108" t="str">
        <f>INDEX(Tableau2[Repere-Voie],MATCH(Tableau3[[#This Row],[ID-VOIE]],Tableau2[ID-Voie],0))&amp;""</f>
        <v>v5</v>
      </c>
      <c r="AH87" s="72" t="str">
        <f>Tableau3[[#This Row],[ID-API]]&amp; "." &amp;Tableau3[[#This Row],[ID-RACK]]&amp; "." &amp;Tableau3[[#This Row],[ID-SLOT]]</f>
        <v>1.1.10</v>
      </c>
      <c r="AI87" s="72" t="str">
        <f>INDEX(Tableau1[Ref-Carte],MATCH(Tableau3[[#This Row],[ID-RRS]],Tableau1[ID-RRS],0))</f>
        <v>SDO0802</v>
      </c>
      <c r="AJ87" s="72" t="str">
        <f t="array" ref="AJ87">IFERROR(INDEX(Tableau2[TS],MATCH(1,(Tableau2[Ref-Carte]=Tableau3[[#This Row],[Ref-Carte2]])*(Tableau2[ID-Voie]=Tableau3[[#This Row],[ID-VOIE]]),0)),"")</f>
        <v>ST</v>
      </c>
      <c r="AK87" s="72" t="str">
        <f>IFERROR(INDEX(Tableau2[TS],SUMPRODUCT((Tableau2[Ref-Carte]=Tableau3[[#This Row],[Ref-Carte2]])*(Tableau2[ID-Voie]=Tableau3[[#This Row],[ID-VOIE]])*ROW(Tableau2[TS]))-ROW(Tableau2[#Headers])),"")</f>
        <v>ST</v>
      </c>
      <c r="AL87" s="72" t="str">
        <f>Tableau3[[#This Row],[Ref-Carte2]]&amp;"/"&amp;Tableau3[[#This Row],[ID-VOIE]]</f>
        <v>SDO0802/5</v>
      </c>
      <c r="AM87" s="73" t="str">
        <f>INDEX(Tableau2[Borne],MATCH(Tableau3[[#This Row],[ID-CARTEVOIE]],Tableau2[ID-CARTEVOIE],0))&amp;""</f>
        <v>5</v>
      </c>
      <c r="AN87" s="74" t="str">
        <f>Tableau3[[#This Row],[ID-API]]&amp;Tableau3[[#This Row],[ID-RACK]]&amp;Tableau3[[#This Row],[ID-SLOT]]&amp;Tableau3[[#This Row],[BORNE]]</f>
        <v>11105</v>
      </c>
      <c r="AO87" s="1"/>
    </row>
    <row r="88" spans="1:41" ht="20.100000000000001" customHeight="1" thickTop="1" thickBot="1">
      <c r="A88" s="68"/>
      <c r="B88" s="69" t="str">
        <f>IFERROR(INDEX(Tableau4[Date],MATCH($A88,Tableau4[EVO],0)),"")</f>
        <v/>
      </c>
      <c r="C88" s="68" t="str">
        <f>IFERROR(INDEX(Tableau4[Designation],MATCH($A88,Tableau4[EVO],0)),"")</f>
        <v/>
      </c>
      <c r="D88" s="68"/>
      <c r="E88" s="70">
        <v>58</v>
      </c>
      <c r="F88" s="71">
        <v>16</v>
      </c>
      <c r="G88" s="101" t="str">
        <f>INDEX(Tableau8[Att1],MATCH(Tableau3[[#This Row],[ID-INS]],Tableau8[ID],0))&amp;""</f>
        <v>GR</v>
      </c>
      <c r="H88" s="101" t="str">
        <f>INDEX(Tableau8[Att2],MATCH(Tableau3[[#This Row],[ID-INS]],Tableau8[ID],0))&amp;""</f>
        <v>TRSS1</v>
      </c>
      <c r="I88" s="101" t="str">
        <f>INDEX(Tableau8[Att3],MATCH(Tableau3[[#This Row],[ID-INS]],Tableau8[ID],0))&amp;""</f>
        <v>Tourniquet TRSS1</v>
      </c>
      <c r="J88" s="101"/>
      <c r="K88" s="167" t="str">
        <f>INDEX(Tableau8[Nom du modele],MATCH(Tableau3[[#This Row],[ID-INS]],Tableau8[ID],0))&amp;""</f>
        <v>TRSS_1</v>
      </c>
      <c r="L88" s="99" t="str">
        <f>INDEX(Tableau5[Att1],MATCH(Tableau3[[#This Row],[ID-SIG]],Tableau5[ID],0))&amp;""</f>
        <v>TS_OuvCmd2</v>
      </c>
      <c r="M88" s="99" t="str">
        <f>INDEX(Tableau5[Att2],MATCH(Tableau3[[#This Row],[ID-SIG]],Tableau5[ID],0))&amp;""</f>
        <v/>
      </c>
      <c r="N88" s="99" t="str">
        <f>INDEX(Tableau5[Att3],MATCH(Tableau3[[#This Row],[ID-SIG]],Tableau5[ID],0))&amp;""</f>
        <v/>
      </c>
      <c r="O88" s="99"/>
      <c r="P88" s="99" t="str">
        <f>INDEX(Tableau5[Description],MATCH(Tableau3[[#This Row],[ID-SIG]],Tableau5[ID],0))</f>
        <v>Commande 2 ouverture sortie</v>
      </c>
      <c r="Q88" s="99"/>
      <c r="R88" s="103" t="str">
        <f>Tableau3[[#This Row],[Description]]</f>
        <v>Commande 2 ouverture sortie</v>
      </c>
      <c r="U88" s="87">
        <v>1</v>
      </c>
      <c r="V88" s="87">
        <v>1</v>
      </c>
      <c r="W88" s="87">
        <v>10</v>
      </c>
      <c r="X88" s="87">
        <v>6</v>
      </c>
      <c r="Y88" s="41"/>
      <c r="Z88" s="165" t="str">
        <f>INDEX(Tableau2[TS],MATCH(Tableau3[[#This Row],[ID-CARTEVOIE]],Tableau2[ID-CARTEVOIE],0))</f>
        <v>ST</v>
      </c>
      <c r="AA88" s="53" t="s">
        <v>213</v>
      </c>
      <c r="AB88" s="223" t="str">
        <f>IFERROR(INDEX(Tableau5[Reserve],MATCH(Tableau3[[#This Row],[ID-SIG]],Tableau5[ID],0))&amp;"","")</f>
        <v/>
      </c>
      <c r="AC88" s="21"/>
      <c r="AD88" s="108" t="str">
        <f>INDEX(Tableau7[Repere],MATCH(Tableau3[[#This Row],[ID-API]],Tableau7[ID-API],0))&amp;""</f>
        <v>A1</v>
      </c>
      <c r="AE88" s="108" t="str">
        <f>INDEX(Tableau1[Repere-Rack],MATCH(Tableau3[[#This Row],[ID-RACK]],Tableau1[ID-RACK],0))&amp;""</f>
        <v>R1</v>
      </c>
      <c r="AF88" s="108" t="str">
        <f>INDEX(Tableau1[Repere-Slot],MATCH(Tableau3[[#This Row],[ID-SLOT]],Tableau1[ID-SLOT],0))&amp;""</f>
        <v>S10</v>
      </c>
      <c r="AG88" s="108" t="str">
        <f>INDEX(Tableau2[Repere-Voie],MATCH(Tableau3[[#This Row],[ID-VOIE]],Tableau2[ID-Voie],0))&amp;""</f>
        <v>v6</v>
      </c>
      <c r="AH88" s="72" t="str">
        <f>Tableau3[[#This Row],[ID-API]]&amp; "." &amp;Tableau3[[#This Row],[ID-RACK]]&amp; "." &amp;Tableau3[[#This Row],[ID-SLOT]]</f>
        <v>1.1.10</v>
      </c>
      <c r="AI88" s="72" t="str">
        <f>INDEX(Tableau1[Ref-Carte],MATCH(Tableau3[[#This Row],[ID-RRS]],Tableau1[ID-RRS],0))</f>
        <v>SDO0802</v>
      </c>
      <c r="AJ88" s="72" t="str">
        <f t="array" ref="AJ88">IFERROR(INDEX(Tableau2[TS],MATCH(1,(Tableau2[Ref-Carte]=Tableau3[[#This Row],[Ref-Carte2]])*(Tableau2[ID-Voie]=Tableau3[[#This Row],[ID-VOIE]]),0)),"")</f>
        <v>ST</v>
      </c>
      <c r="AK88" s="72" t="str">
        <f>IFERROR(INDEX(Tableau2[TS],SUMPRODUCT((Tableau2[Ref-Carte]=Tableau3[[#This Row],[Ref-Carte2]])*(Tableau2[ID-Voie]=Tableau3[[#This Row],[ID-VOIE]])*ROW(Tableau2[TS]))-ROW(Tableau2[#Headers])),"")</f>
        <v>ST</v>
      </c>
      <c r="AL88" s="72" t="str">
        <f>Tableau3[[#This Row],[Ref-Carte2]]&amp;"/"&amp;Tableau3[[#This Row],[ID-VOIE]]</f>
        <v>SDO0802/6</v>
      </c>
      <c r="AM88" s="73" t="str">
        <f>INDEX(Tableau2[Borne],MATCH(Tableau3[[#This Row],[ID-CARTEVOIE]],Tableau2[ID-CARTEVOIE],0))&amp;""</f>
        <v>6</v>
      </c>
      <c r="AN88" s="74" t="str">
        <f>Tableau3[[#This Row],[ID-API]]&amp;Tableau3[[#This Row],[ID-RACK]]&amp;Tableau3[[#This Row],[ID-SLOT]]&amp;Tableau3[[#This Row],[BORNE]]</f>
        <v>11106</v>
      </c>
      <c r="AO88" s="1"/>
    </row>
    <row r="89" spans="1:41" ht="20.100000000000001" customHeight="1" thickTop="1" thickBot="1">
      <c r="A89" s="68"/>
      <c r="B89" s="69" t="str">
        <f>IFERROR(INDEX(Tableau4[Date],MATCH($A89,Tableau4[EVO],0)),"")</f>
        <v/>
      </c>
      <c r="C89" s="68" t="str">
        <f>IFERROR(INDEX(Tableau4[Designation],MATCH($A89,Tableau4[EVO],0)),"")</f>
        <v/>
      </c>
      <c r="D89" s="68"/>
      <c r="E89" s="70">
        <v>68</v>
      </c>
      <c r="F89" s="71">
        <v>30</v>
      </c>
      <c r="G89" s="101" t="str">
        <f>INDEX(Tableau8[Att1],MATCH(Tableau3[[#This Row],[ID-INS]],Tableau8[ID],0))&amp;""</f>
        <v>B22</v>
      </c>
      <c r="H89" s="101" t="str">
        <f>INDEX(Tableau8[Att2],MATCH(Tableau3[[#This Row],[ID-INS]],Tableau8[ID],0))&amp;""</f>
        <v>TRSD3</v>
      </c>
      <c r="I89" s="101" t="str">
        <f>INDEX(Tableau8[Att3],MATCH(Tableau3[[#This Row],[ID-INS]],Tableau8[ID],0))&amp;""</f>
        <v>Tourniquet TRSD3</v>
      </c>
      <c r="J89" s="101"/>
      <c r="K89" s="167" t="str">
        <f>INDEX(Tableau8[Nom du modele],MATCH(Tableau3[[#This Row],[ID-INS]],Tableau8[ID],0))&amp;""</f>
        <v>TRSD_1</v>
      </c>
      <c r="L89" s="141" t="str">
        <f>INDEX(Tableau5[Att1],MATCH(Tableau3[[#This Row],[ID-SIG]],Tableau5[ID],0))&amp;""</f>
        <v>T2S_OuvCmd2</v>
      </c>
      <c r="M89" s="99" t="str">
        <f>INDEX(Tableau5[Att2],MATCH(Tableau3[[#This Row],[ID-SIG]],Tableau5[ID],0))&amp;""</f>
        <v/>
      </c>
      <c r="N89" s="99" t="str">
        <f>INDEX(Tableau5[Att3],MATCH(Tableau3[[#This Row],[ID-SIG]],Tableau5[ID],0))&amp;""</f>
        <v/>
      </c>
      <c r="O89" s="99"/>
      <c r="P89" s="99" t="s">
        <v>1694</v>
      </c>
      <c r="Q89" s="99"/>
      <c r="R89" s="103" t="str">
        <f>Tableau3[[#This Row],[Description]]</f>
        <v>Portail P4 - Entrée Réserve 2</v>
      </c>
      <c r="U89" s="87">
        <v>1</v>
      </c>
      <c r="V89" s="87">
        <v>1</v>
      </c>
      <c r="W89" s="87">
        <v>10</v>
      </c>
      <c r="X89" s="87">
        <v>7</v>
      </c>
      <c r="Y89" s="41"/>
      <c r="Z89" s="165" t="str">
        <f>INDEX(Tableau2[TS],MATCH(Tableau3[[#This Row],[ID-CARTEVOIE]],Tableau2[ID-CARTEVOIE],0))</f>
        <v>ST</v>
      </c>
      <c r="AA89" s="53" t="s">
        <v>213</v>
      </c>
      <c r="AB89" s="223" t="str">
        <f>IFERROR(INDEX(Tableau5[Reserve],MATCH(Tableau3[[#This Row],[ID-SIG]],Tableau5[ID],0))&amp;"","")</f>
        <v/>
      </c>
      <c r="AC89" s="21"/>
      <c r="AD89" s="108" t="str">
        <f>INDEX(Tableau7[Repere],MATCH(Tableau3[[#This Row],[ID-API]],Tableau7[ID-API],0))&amp;""</f>
        <v>A1</v>
      </c>
      <c r="AE89" s="108" t="str">
        <f>INDEX(Tableau1[Repere-Rack],MATCH(Tableau3[[#This Row],[ID-RACK]],Tableau1[ID-RACK],0))&amp;""</f>
        <v>R1</v>
      </c>
      <c r="AF89" s="108" t="str">
        <f>INDEX(Tableau1[Repere-Slot],MATCH(Tableau3[[#This Row],[ID-SLOT]],Tableau1[ID-SLOT],0))&amp;""</f>
        <v>S10</v>
      </c>
      <c r="AG89" s="108" t="str">
        <f>INDEX(Tableau2[Repere-Voie],MATCH(Tableau3[[#This Row],[ID-VOIE]],Tableau2[ID-Voie],0))&amp;""</f>
        <v>v7</v>
      </c>
      <c r="AH89" s="72" t="str">
        <f>Tableau3[[#This Row],[ID-API]]&amp; "." &amp;Tableau3[[#This Row],[ID-RACK]]&amp; "." &amp;Tableau3[[#This Row],[ID-SLOT]]</f>
        <v>1.1.10</v>
      </c>
      <c r="AI89" s="72" t="str">
        <f>INDEX(Tableau1[Ref-Carte],MATCH(Tableau3[[#This Row],[ID-RRS]],Tableau1[ID-RRS],0))</f>
        <v>SDO0802</v>
      </c>
      <c r="AJ89" s="72" t="str">
        <f t="array" ref="AJ89">IFERROR(INDEX(Tableau2[TS],MATCH(1,(Tableau2[Ref-Carte]=Tableau3[[#This Row],[Ref-Carte2]])*(Tableau2[ID-Voie]=Tableau3[[#This Row],[ID-VOIE]]),0)),"")</f>
        <v>ST</v>
      </c>
      <c r="AK89" s="72" t="str">
        <f>IFERROR(INDEX(Tableau2[TS],SUMPRODUCT((Tableau2[Ref-Carte]=Tableau3[[#This Row],[Ref-Carte2]])*(Tableau2[ID-Voie]=Tableau3[[#This Row],[ID-VOIE]])*ROW(Tableau2[TS]))-ROW(Tableau2[#Headers])),"")</f>
        <v>ST</v>
      </c>
      <c r="AL89" s="72" t="str">
        <f>Tableau3[[#This Row],[Ref-Carte2]]&amp;"/"&amp;Tableau3[[#This Row],[ID-VOIE]]</f>
        <v>SDO0802/7</v>
      </c>
      <c r="AM89" s="73" t="str">
        <f>INDEX(Tableau2[Borne],MATCH(Tableau3[[#This Row],[ID-CARTEVOIE]],Tableau2[ID-CARTEVOIE],0))&amp;""</f>
        <v>7</v>
      </c>
      <c r="AN89" s="74" t="str">
        <f>Tableau3[[#This Row],[ID-API]]&amp;Tableau3[[#This Row],[ID-RACK]]&amp;Tableau3[[#This Row],[ID-SLOT]]&amp;Tableau3[[#This Row],[BORNE]]</f>
        <v>11107</v>
      </c>
      <c r="AO89" s="1"/>
    </row>
    <row r="90" spans="1:41" ht="20.100000000000001" customHeight="1" thickTop="1" thickBot="1">
      <c r="A90" s="68"/>
      <c r="B90" s="69" t="str">
        <f>IFERROR(INDEX(Tableau4[Date],MATCH($A90,Tableau4[EVO],0)),"")</f>
        <v/>
      </c>
      <c r="C90" s="68" t="str">
        <f>IFERROR(INDEX(Tableau4[Designation],MATCH($A90,Tableau4[EVO],0)),"")</f>
        <v/>
      </c>
      <c r="D90" s="68"/>
      <c r="E90" s="70">
        <v>68</v>
      </c>
      <c r="F90" s="71">
        <v>32</v>
      </c>
      <c r="G90" s="101" t="str">
        <f>INDEX(Tableau8[Att1],MATCH(Tableau3[[#This Row],[ID-INS]],Tableau8[ID],0))&amp;""</f>
        <v>B22</v>
      </c>
      <c r="H90" s="101" t="str">
        <f>INDEX(Tableau8[Att2],MATCH(Tableau3[[#This Row],[ID-INS]],Tableau8[ID],0))&amp;""</f>
        <v>TRSD3</v>
      </c>
      <c r="I90" s="101" t="str">
        <f>INDEX(Tableau8[Att3],MATCH(Tableau3[[#This Row],[ID-INS]],Tableau8[ID],0))&amp;""</f>
        <v>Tourniquet TRSD3</v>
      </c>
      <c r="J90" s="101"/>
      <c r="K90" s="167" t="str">
        <f>INDEX(Tableau8[Nom du modele],MATCH(Tableau3[[#This Row],[ID-INS]],Tableau8[ID],0))&amp;""</f>
        <v>TRSD_1</v>
      </c>
      <c r="L90" s="99" t="str">
        <f>INDEX(Tableau5[Att1],MATCH(Tableau3[[#This Row],[ID-SIG]],Tableau5[ID],0))&amp;""</f>
        <v>T1E_OuvCmd</v>
      </c>
      <c r="M90" s="99" t="str">
        <f>INDEX(Tableau5[Att2],MATCH(Tableau3[[#This Row],[ID-SIG]],Tableau5[ID],0))&amp;""</f>
        <v/>
      </c>
      <c r="N90" s="99" t="str">
        <f>INDEX(Tableau5[Att3],MATCH(Tableau3[[#This Row],[ID-SIG]],Tableau5[ID],0))&amp;""</f>
        <v/>
      </c>
      <c r="O90" s="99"/>
      <c r="P90" s="99" t="str">
        <f>INDEX(Tableau5[Description],MATCH(Tableau3[[#This Row],[ID-SIG]],Tableau5[ID],0))</f>
        <v>Commande ouverture entrée 1</v>
      </c>
      <c r="Q90" s="99"/>
      <c r="R90" s="103" t="str">
        <f>Tableau3[[#This Row],[Description]]</f>
        <v>Commande ouverture entrée 1</v>
      </c>
      <c r="U90" s="87">
        <v>1</v>
      </c>
      <c r="V90" s="87">
        <v>2</v>
      </c>
      <c r="W90" s="87">
        <v>1</v>
      </c>
      <c r="X90" s="87">
        <v>0</v>
      </c>
      <c r="Y90" s="41"/>
      <c r="Z90" s="165" t="str">
        <f>INDEX(Tableau2[TS],MATCH(Tableau3[[#This Row],[ID-CARTEVOIE]],Tableau2[ID-CARTEVOIE],0))</f>
        <v>ST</v>
      </c>
      <c r="AA90" s="53" t="s">
        <v>213</v>
      </c>
      <c r="AB90" s="223" t="str">
        <f>IFERROR(INDEX(Tableau5[Reserve],MATCH(Tableau3[[#This Row],[ID-SIG]],Tableau5[ID],0))&amp;"","")</f>
        <v/>
      </c>
      <c r="AC90" s="21"/>
      <c r="AD90" s="108" t="str">
        <f>INDEX(Tableau7[Repere],MATCH(Tableau3[[#This Row],[ID-API]],Tableau7[ID-API],0))&amp;""</f>
        <v>A1</v>
      </c>
      <c r="AE90" s="108" t="str">
        <f>INDEX(Tableau1[Repere-Rack],MATCH(Tableau3[[#This Row],[ID-RACK]],Tableau1[ID-RACK],0))&amp;""</f>
        <v>R2</v>
      </c>
      <c r="AF90" s="108" t="str">
        <f>INDEX(Tableau1[Repere-Slot],MATCH(Tableau3[[#This Row],[ID-SLOT]],Tableau1[ID-SLOT],0))&amp;""</f>
        <v>S1</v>
      </c>
      <c r="AG90" s="108" t="str">
        <f>INDEX(Tableau2[Repere-Voie],MATCH(Tableau3[[#This Row],[ID-VOIE]],Tableau2[ID-Voie],0))&amp;""</f>
        <v>v0</v>
      </c>
      <c r="AH90" s="72" t="str">
        <f>Tableau3[[#This Row],[ID-API]]&amp; "." &amp;Tableau3[[#This Row],[ID-RACK]]&amp; "." &amp;Tableau3[[#This Row],[ID-SLOT]]</f>
        <v>1.2.1</v>
      </c>
      <c r="AI90" s="72" t="str">
        <f>INDEX(Tableau1[Ref-Carte],MATCH(Tableau3[[#This Row],[ID-RRS]],Tableau1[ID-RRS],0))</f>
        <v>SDO0802</v>
      </c>
      <c r="AJ90" s="72" t="str">
        <f t="array" ref="AJ90">IFERROR(INDEX(Tableau2[TS],MATCH(1,(Tableau2[Ref-Carte]=Tableau3[[#This Row],[Ref-Carte2]])*(Tableau2[ID-Voie]=Tableau3[[#This Row],[ID-VOIE]]),0)),"")</f>
        <v>ST</v>
      </c>
      <c r="AK90" s="72" t="str">
        <f>IFERROR(INDEX(Tableau2[TS],SUMPRODUCT((Tableau2[Ref-Carte]=Tableau3[[#This Row],[Ref-Carte2]])*(Tableau2[ID-Voie]=Tableau3[[#This Row],[ID-VOIE]])*ROW(Tableau2[TS]))-ROW(Tableau2[#Headers])),"")</f>
        <v>ST</v>
      </c>
      <c r="AL90" s="72" t="str">
        <f>Tableau3[[#This Row],[Ref-Carte2]]&amp;"/"&amp;Tableau3[[#This Row],[ID-VOIE]]</f>
        <v>SDO0802/0</v>
      </c>
      <c r="AM90" s="73" t="str">
        <f>INDEX(Tableau2[Borne],MATCH(Tableau3[[#This Row],[ID-CARTEVOIE]],Tableau2[ID-CARTEVOIE],0))&amp;""</f>
        <v>0</v>
      </c>
      <c r="AN90" s="74" t="str">
        <f>Tableau3[[#This Row],[ID-API]]&amp;Tableau3[[#This Row],[ID-RACK]]&amp;Tableau3[[#This Row],[ID-SLOT]]&amp;Tableau3[[#This Row],[BORNE]]</f>
        <v>1210</v>
      </c>
      <c r="AO90" s="1"/>
    </row>
    <row r="91" spans="1:41" ht="20.100000000000001" customHeight="1" thickTop="1" thickBot="1">
      <c r="A91" s="68"/>
      <c r="B91" s="69" t="str">
        <f>IFERROR(INDEX(Tableau4[Date],MATCH($A91,Tableau4[EVO],0)),"")</f>
        <v/>
      </c>
      <c r="C91" s="68" t="str">
        <f>IFERROR(INDEX(Tableau4[Designation],MATCH($A91,Tableau4[EVO],0)),"")</f>
        <v/>
      </c>
      <c r="D91" s="68"/>
      <c r="E91" s="70">
        <v>68</v>
      </c>
      <c r="F91" s="71">
        <v>33</v>
      </c>
      <c r="G91" s="101" t="str">
        <f>INDEX(Tableau8[Att1],MATCH(Tableau3[[#This Row],[ID-INS]],Tableau8[ID],0))&amp;""</f>
        <v>B22</v>
      </c>
      <c r="H91" s="101" t="str">
        <f>INDEX(Tableau8[Att2],MATCH(Tableau3[[#This Row],[ID-INS]],Tableau8[ID],0))&amp;""</f>
        <v>TRSD3</v>
      </c>
      <c r="I91" s="101" t="str">
        <f>INDEX(Tableau8[Att3],MATCH(Tableau3[[#This Row],[ID-INS]],Tableau8[ID],0))&amp;""</f>
        <v>Tourniquet TRSD3</v>
      </c>
      <c r="J91" s="101"/>
      <c r="K91" s="167" t="str">
        <f>INDEX(Tableau8[Nom du modele],MATCH(Tableau3[[#This Row],[ID-INS]],Tableau8[ID],0))&amp;""</f>
        <v>TRSD_1</v>
      </c>
      <c r="L91" s="99" t="str">
        <f>INDEX(Tableau5[Att1],MATCH(Tableau3[[#This Row],[ID-SIG]],Tableau5[ID],0))&amp;""</f>
        <v>T1S_OuvCmd1</v>
      </c>
      <c r="M91" s="99" t="str">
        <f>INDEX(Tableau5[Att2],MATCH(Tableau3[[#This Row],[ID-SIG]],Tableau5[ID],0))&amp;""</f>
        <v/>
      </c>
      <c r="N91" s="99" t="str">
        <f>INDEX(Tableau5[Att3],MATCH(Tableau3[[#This Row],[ID-SIG]],Tableau5[ID],0))&amp;""</f>
        <v/>
      </c>
      <c r="O91" s="99"/>
      <c r="P91" s="99" t="str">
        <f>INDEX(Tableau5[Description],MATCH(Tableau3[[#This Row],[ID-SIG]],Tableau5[ID],0))</f>
        <v>Commande 1 ouverture sortie 1</v>
      </c>
      <c r="Q91" s="99"/>
      <c r="R91" s="103" t="str">
        <f>Tableau3[[#This Row],[Description]]</f>
        <v>Commande 1 ouverture sortie 1</v>
      </c>
      <c r="U91" s="87">
        <v>1</v>
      </c>
      <c r="V91" s="87">
        <v>2</v>
      </c>
      <c r="W91" s="87">
        <v>1</v>
      </c>
      <c r="X91" s="87">
        <v>1</v>
      </c>
      <c r="Y91" s="41"/>
      <c r="Z91" s="165" t="str">
        <f>INDEX(Tableau2[TS],MATCH(Tableau3[[#This Row],[ID-CARTEVOIE]],Tableau2[ID-CARTEVOIE],0))</f>
        <v>ST</v>
      </c>
      <c r="AA91" s="53" t="s">
        <v>213</v>
      </c>
      <c r="AB91" s="223" t="str">
        <f>IFERROR(INDEX(Tableau5[Reserve],MATCH(Tableau3[[#This Row],[ID-SIG]],Tableau5[ID],0))&amp;"","")</f>
        <v/>
      </c>
      <c r="AC91" s="21"/>
      <c r="AD91" s="108" t="str">
        <f>INDEX(Tableau7[Repere],MATCH(Tableau3[[#This Row],[ID-API]],Tableau7[ID-API],0))&amp;""</f>
        <v>A1</v>
      </c>
      <c r="AE91" s="108" t="str">
        <f>INDEX(Tableau1[Repere-Rack],MATCH(Tableau3[[#This Row],[ID-RACK]],Tableau1[ID-RACK],0))&amp;""</f>
        <v>R2</v>
      </c>
      <c r="AF91" s="108" t="str">
        <f>INDEX(Tableau1[Repere-Slot],MATCH(Tableau3[[#This Row],[ID-SLOT]],Tableau1[ID-SLOT],0))&amp;""</f>
        <v>S1</v>
      </c>
      <c r="AG91" s="108" t="str">
        <f>INDEX(Tableau2[Repere-Voie],MATCH(Tableau3[[#This Row],[ID-VOIE]],Tableau2[ID-Voie],0))&amp;""</f>
        <v>v1</v>
      </c>
      <c r="AH91" s="72" t="str">
        <f>Tableau3[[#This Row],[ID-API]]&amp; "." &amp;Tableau3[[#This Row],[ID-RACK]]&amp; "." &amp;Tableau3[[#This Row],[ID-SLOT]]</f>
        <v>1.2.1</v>
      </c>
      <c r="AI91" s="72" t="str">
        <f>INDEX(Tableau1[Ref-Carte],MATCH(Tableau3[[#This Row],[ID-RRS]],Tableau1[ID-RRS],0))</f>
        <v>SDO0802</v>
      </c>
      <c r="AJ91" s="72" t="str">
        <f t="array" ref="AJ91">IFERROR(INDEX(Tableau2[TS],MATCH(1,(Tableau2[Ref-Carte]=Tableau3[[#This Row],[Ref-Carte2]])*(Tableau2[ID-Voie]=Tableau3[[#This Row],[ID-VOIE]]),0)),"")</f>
        <v>ST</v>
      </c>
      <c r="AK91" s="72" t="str">
        <f>IFERROR(INDEX(Tableau2[TS],SUMPRODUCT((Tableau2[Ref-Carte]=Tableau3[[#This Row],[Ref-Carte2]])*(Tableau2[ID-Voie]=Tableau3[[#This Row],[ID-VOIE]])*ROW(Tableau2[TS]))-ROW(Tableau2[#Headers])),"")</f>
        <v>ST</v>
      </c>
      <c r="AL91" s="72" t="str">
        <f>Tableau3[[#This Row],[Ref-Carte2]]&amp;"/"&amp;Tableau3[[#This Row],[ID-VOIE]]</f>
        <v>SDO0802/1</v>
      </c>
      <c r="AM91" s="73" t="str">
        <f>INDEX(Tableau2[Borne],MATCH(Tableau3[[#This Row],[ID-CARTEVOIE]],Tableau2[ID-CARTEVOIE],0))&amp;""</f>
        <v>1</v>
      </c>
      <c r="AN91" s="74" t="str">
        <f>Tableau3[[#This Row],[ID-API]]&amp;Tableau3[[#This Row],[ID-RACK]]&amp;Tableau3[[#This Row],[ID-SLOT]]&amp;Tableau3[[#This Row],[BORNE]]</f>
        <v>1211</v>
      </c>
      <c r="AO91" s="1"/>
    </row>
    <row r="92" spans="1:41" ht="20.100000000000001" customHeight="1" thickTop="1" thickBot="1">
      <c r="A92" s="68"/>
      <c r="B92" s="69" t="str">
        <f>IFERROR(INDEX(Tableau4[Date],MATCH($A92,Tableau4[EVO],0)),"")</f>
        <v/>
      </c>
      <c r="C92" s="68" t="str">
        <f>IFERROR(INDEX(Tableau4[Designation],MATCH($A92,Tableau4[EVO],0)),"")</f>
        <v/>
      </c>
      <c r="D92" s="68"/>
      <c r="E92" s="70">
        <v>68</v>
      </c>
      <c r="F92" s="71">
        <v>36</v>
      </c>
      <c r="G92" s="101" t="str">
        <f>INDEX(Tableau8[Att1],MATCH(Tableau3[[#This Row],[ID-INS]],Tableau8[ID],0))&amp;""</f>
        <v>B22</v>
      </c>
      <c r="H92" s="101" t="str">
        <f>INDEX(Tableau8[Att2],MATCH(Tableau3[[#This Row],[ID-INS]],Tableau8[ID],0))&amp;""</f>
        <v>TRSD3</v>
      </c>
      <c r="I92" s="101" t="str">
        <f>INDEX(Tableau8[Att3],MATCH(Tableau3[[#This Row],[ID-INS]],Tableau8[ID],0))&amp;""</f>
        <v>Tourniquet TRSD3</v>
      </c>
      <c r="J92" s="101"/>
      <c r="K92" s="167" t="str">
        <f>INDEX(Tableau8[Nom du modele],MATCH(Tableau3[[#This Row],[ID-INS]],Tableau8[ID],0))&amp;""</f>
        <v>TRSD_1</v>
      </c>
      <c r="L92" s="99" t="str">
        <f>INDEX(Tableau5[Att1],MATCH(Tableau3[[#This Row],[ID-SIG]],Tableau5[ID],0))&amp;""</f>
        <v>T1E_PictoAutor</v>
      </c>
      <c r="M92" s="99" t="str">
        <f>INDEX(Tableau5[Att2],MATCH(Tableau3[[#This Row],[ID-SIG]],Tableau5[ID],0))&amp;""</f>
        <v/>
      </c>
      <c r="N92" s="99" t="str">
        <f>INDEX(Tableau5[Att3],MATCH(Tableau3[[#This Row],[ID-SIG]],Tableau5[ID],0))&amp;""</f>
        <v/>
      </c>
      <c r="O92" s="99"/>
      <c r="P92" s="99" t="str">
        <f>INDEX(Tableau5[Description],MATCH(Tableau3[[#This Row],[ID-SIG]],Tableau5[ID],0))</f>
        <v>Commande Picto entrée 1</v>
      </c>
      <c r="Q92" s="99"/>
      <c r="R92" s="103" t="str">
        <f>Tableau3[[#This Row],[Description]]</f>
        <v>Commande Picto entrée 1</v>
      </c>
      <c r="U92" s="87">
        <v>1</v>
      </c>
      <c r="V92" s="87">
        <v>2</v>
      </c>
      <c r="W92" s="87">
        <v>1</v>
      </c>
      <c r="X92" s="87">
        <v>2</v>
      </c>
      <c r="Y92" s="41"/>
      <c r="Z92" s="165" t="str">
        <f>INDEX(Tableau2[TS],MATCH(Tableau3[[#This Row],[ID-CARTEVOIE]],Tableau2[ID-CARTEVOIE],0))</f>
        <v>ST</v>
      </c>
      <c r="AA92" s="53" t="s">
        <v>213</v>
      </c>
      <c r="AB92" s="223" t="str">
        <f>IFERROR(INDEX(Tableau5[Reserve],MATCH(Tableau3[[#This Row],[ID-SIG]],Tableau5[ID],0))&amp;"","")</f>
        <v/>
      </c>
      <c r="AC92" s="21"/>
      <c r="AD92" s="108" t="str">
        <f>INDEX(Tableau7[Repere],MATCH(Tableau3[[#This Row],[ID-API]],Tableau7[ID-API],0))&amp;""</f>
        <v>A1</v>
      </c>
      <c r="AE92" s="108" t="str">
        <f>INDEX(Tableau1[Repere-Rack],MATCH(Tableau3[[#This Row],[ID-RACK]],Tableau1[ID-RACK],0))&amp;""</f>
        <v>R2</v>
      </c>
      <c r="AF92" s="108" t="str">
        <f>INDEX(Tableau1[Repere-Slot],MATCH(Tableau3[[#This Row],[ID-SLOT]],Tableau1[ID-SLOT],0))&amp;""</f>
        <v>S1</v>
      </c>
      <c r="AG92" s="108" t="str">
        <f>INDEX(Tableau2[Repere-Voie],MATCH(Tableau3[[#This Row],[ID-VOIE]],Tableau2[ID-Voie],0))&amp;""</f>
        <v>v2</v>
      </c>
      <c r="AH92" s="72" t="str">
        <f>Tableau3[[#This Row],[ID-API]]&amp; "." &amp;Tableau3[[#This Row],[ID-RACK]]&amp; "." &amp;Tableau3[[#This Row],[ID-SLOT]]</f>
        <v>1.2.1</v>
      </c>
      <c r="AI92" s="72" t="str">
        <f>INDEX(Tableau1[Ref-Carte],MATCH(Tableau3[[#This Row],[ID-RRS]],Tableau1[ID-RRS],0))</f>
        <v>SDO0802</v>
      </c>
      <c r="AJ92" s="72" t="str">
        <f t="array" ref="AJ92">IFERROR(INDEX(Tableau2[TS],MATCH(1,(Tableau2[Ref-Carte]=Tableau3[[#This Row],[Ref-Carte2]])*(Tableau2[ID-Voie]=Tableau3[[#This Row],[ID-VOIE]]),0)),"")</f>
        <v>ST</v>
      </c>
      <c r="AK92" s="72" t="str">
        <f>IFERROR(INDEX(Tableau2[TS],SUMPRODUCT((Tableau2[Ref-Carte]=Tableau3[[#This Row],[Ref-Carte2]])*(Tableau2[ID-Voie]=Tableau3[[#This Row],[ID-VOIE]])*ROW(Tableau2[TS]))-ROW(Tableau2[#Headers])),"")</f>
        <v>ST</v>
      </c>
      <c r="AL92" s="72" t="str">
        <f>Tableau3[[#This Row],[Ref-Carte2]]&amp;"/"&amp;Tableau3[[#This Row],[ID-VOIE]]</f>
        <v>SDO0802/2</v>
      </c>
      <c r="AM92" s="73" t="str">
        <f>INDEX(Tableau2[Borne],MATCH(Tableau3[[#This Row],[ID-CARTEVOIE]],Tableau2[ID-CARTEVOIE],0))&amp;""</f>
        <v>2</v>
      </c>
      <c r="AN92" s="74" t="str">
        <f>Tableau3[[#This Row],[ID-API]]&amp;Tableau3[[#This Row],[ID-RACK]]&amp;Tableau3[[#This Row],[ID-SLOT]]&amp;Tableau3[[#This Row],[BORNE]]</f>
        <v>1212</v>
      </c>
      <c r="AO92" s="1"/>
    </row>
    <row r="93" spans="1:41" ht="20.100000000000001" customHeight="1" thickTop="1" thickBot="1">
      <c r="A93" s="68"/>
      <c r="B93" s="69" t="str">
        <f>IFERROR(INDEX(Tableau4[Date],MATCH($A93,Tableau4[EVO],0)),"")</f>
        <v/>
      </c>
      <c r="C93" s="68" t="str">
        <f>IFERROR(INDEX(Tableau4[Designation],MATCH($A93,Tableau4[EVO],0)),"")</f>
        <v/>
      </c>
      <c r="D93" s="68"/>
      <c r="E93" s="70">
        <v>68</v>
      </c>
      <c r="F93" s="71">
        <v>37</v>
      </c>
      <c r="G93" s="101" t="str">
        <f>INDEX(Tableau8[Att1],MATCH(Tableau3[[#This Row],[ID-INS]],Tableau8[ID],0))&amp;""</f>
        <v>B22</v>
      </c>
      <c r="H93" s="101" t="str">
        <f>INDEX(Tableau8[Att2],MATCH(Tableau3[[#This Row],[ID-INS]],Tableau8[ID],0))&amp;""</f>
        <v>TRSD3</v>
      </c>
      <c r="I93" s="101" t="str">
        <f>INDEX(Tableau8[Att3],MATCH(Tableau3[[#This Row],[ID-INS]],Tableau8[ID],0))&amp;""</f>
        <v>Tourniquet TRSD3</v>
      </c>
      <c r="J93" s="101"/>
      <c r="K93" s="167" t="str">
        <f>INDEX(Tableau8[Nom du modele],MATCH(Tableau3[[#This Row],[ID-INS]],Tableau8[ID],0))&amp;""</f>
        <v>TRSD_1</v>
      </c>
      <c r="L93" s="99" t="str">
        <f>INDEX(Tableau5[Att1],MATCH(Tableau3[[#This Row],[ID-SIG]],Tableau5[ID],0))&amp;""</f>
        <v>T1S_PictoAutor</v>
      </c>
      <c r="M93" s="99" t="str">
        <f>INDEX(Tableau5[Att2],MATCH(Tableau3[[#This Row],[ID-SIG]],Tableau5[ID],0))&amp;""</f>
        <v/>
      </c>
      <c r="N93" s="99" t="str">
        <f>INDEX(Tableau5[Att3],MATCH(Tableau3[[#This Row],[ID-SIG]],Tableau5[ID],0))&amp;""</f>
        <v/>
      </c>
      <c r="O93" s="99"/>
      <c r="P93" s="99" t="str">
        <f>INDEX(Tableau5[Description],MATCH(Tableau3[[#This Row],[ID-SIG]],Tableau5[ID],0))</f>
        <v>Commande Picto sortie 1</v>
      </c>
      <c r="Q93" s="99"/>
      <c r="R93" s="103" t="str">
        <f>Tableau3[[#This Row],[Description]]</f>
        <v>Commande Picto sortie 1</v>
      </c>
      <c r="U93" s="87">
        <v>1</v>
      </c>
      <c r="V93" s="87">
        <v>2</v>
      </c>
      <c r="W93" s="87">
        <v>1</v>
      </c>
      <c r="X93" s="87">
        <v>3</v>
      </c>
      <c r="Y93" s="41"/>
      <c r="Z93" s="165" t="str">
        <f>INDEX(Tableau2[TS],MATCH(Tableau3[[#This Row],[ID-CARTEVOIE]],Tableau2[ID-CARTEVOIE],0))</f>
        <v>ST</v>
      </c>
      <c r="AA93" s="53" t="s">
        <v>213</v>
      </c>
      <c r="AB93" s="223" t="str">
        <f>IFERROR(INDEX(Tableau5[Reserve],MATCH(Tableau3[[#This Row],[ID-SIG]],Tableau5[ID],0))&amp;"","")</f>
        <v/>
      </c>
      <c r="AC93" s="21"/>
      <c r="AD93" s="108" t="str">
        <f>INDEX(Tableau7[Repere],MATCH(Tableau3[[#This Row],[ID-API]],Tableau7[ID-API],0))&amp;""</f>
        <v>A1</v>
      </c>
      <c r="AE93" s="108" t="str">
        <f>INDEX(Tableau1[Repere-Rack],MATCH(Tableau3[[#This Row],[ID-RACK]],Tableau1[ID-RACK],0))&amp;""</f>
        <v>R2</v>
      </c>
      <c r="AF93" s="108" t="str">
        <f>INDEX(Tableau1[Repere-Slot],MATCH(Tableau3[[#This Row],[ID-SLOT]],Tableau1[ID-SLOT],0))&amp;""</f>
        <v>S1</v>
      </c>
      <c r="AG93" s="108" t="str">
        <f>INDEX(Tableau2[Repere-Voie],MATCH(Tableau3[[#This Row],[ID-VOIE]],Tableau2[ID-Voie],0))&amp;""</f>
        <v>v3</v>
      </c>
      <c r="AH93" s="72" t="str">
        <f>Tableau3[[#This Row],[ID-API]]&amp; "." &amp;Tableau3[[#This Row],[ID-RACK]]&amp; "." &amp;Tableau3[[#This Row],[ID-SLOT]]</f>
        <v>1.2.1</v>
      </c>
      <c r="AI93" s="72" t="str">
        <f>INDEX(Tableau1[Ref-Carte],MATCH(Tableau3[[#This Row],[ID-RRS]],Tableau1[ID-RRS],0))</f>
        <v>SDO0802</v>
      </c>
      <c r="AJ93" s="72" t="str">
        <f t="array" ref="AJ93">IFERROR(INDEX(Tableau2[TS],MATCH(1,(Tableau2[Ref-Carte]=Tableau3[[#This Row],[Ref-Carte2]])*(Tableau2[ID-Voie]=Tableau3[[#This Row],[ID-VOIE]]),0)),"")</f>
        <v>ST</v>
      </c>
      <c r="AK93" s="72" t="str">
        <f>IFERROR(INDEX(Tableau2[TS],SUMPRODUCT((Tableau2[Ref-Carte]=Tableau3[[#This Row],[Ref-Carte2]])*(Tableau2[ID-Voie]=Tableau3[[#This Row],[ID-VOIE]])*ROW(Tableau2[TS]))-ROW(Tableau2[#Headers])),"")</f>
        <v>ST</v>
      </c>
      <c r="AL93" s="72" t="str">
        <f>Tableau3[[#This Row],[Ref-Carte2]]&amp;"/"&amp;Tableau3[[#This Row],[ID-VOIE]]</f>
        <v>SDO0802/3</v>
      </c>
      <c r="AM93" s="73" t="str">
        <f>INDEX(Tableau2[Borne],MATCH(Tableau3[[#This Row],[ID-CARTEVOIE]],Tableau2[ID-CARTEVOIE],0))&amp;""</f>
        <v>3</v>
      </c>
      <c r="AN93" s="74" t="str">
        <f>Tableau3[[#This Row],[ID-API]]&amp;Tableau3[[#This Row],[ID-RACK]]&amp;Tableau3[[#This Row],[ID-SLOT]]&amp;Tableau3[[#This Row],[BORNE]]</f>
        <v>1213</v>
      </c>
      <c r="AO93" s="1"/>
    </row>
    <row r="94" spans="1:41" ht="20.100000000000001" customHeight="1" thickTop="1" thickBot="1">
      <c r="A94" s="68"/>
      <c r="B94" s="69" t="str">
        <f>IFERROR(INDEX(Tableau4[Date],MATCH($A94,Tableau4[EVO],0)),"")</f>
        <v/>
      </c>
      <c r="C94" s="68" t="str">
        <f>IFERROR(INDEX(Tableau4[Designation],MATCH($A94,Tableau4[EVO],0)),"")</f>
        <v/>
      </c>
      <c r="D94" s="68"/>
      <c r="E94" s="70">
        <v>110</v>
      </c>
      <c r="F94" s="71">
        <v>13</v>
      </c>
      <c r="G94" s="101" t="str">
        <f>INDEX(Tableau8[Att1],MATCH(Tableau3[[#This Row],[ID-INS]],Tableau8[ID],0))&amp;""</f>
        <v>GR</v>
      </c>
      <c r="H94" s="101" t="str">
        <f>INDEX(Tableau8[Att2],MATCH(Tableau3[[#This Row],[ID-INS]],Tableau8[ID],0))&amp;""</f>
        <v>UTLR9</v>
      </c>
      <c r="I94" s="101" t="str">
        <f>INDEX(Tableau8[Att3],MATCH(Tableau3[[#This Row],[ID-INS]],Tableau8[ID],0))&amp;""</f>
        <v>UTL rouge IDP7/PMR4/FRX1</v>
      </c>
      <c r="J94" s="101"/>
      <c r="K94" s="167" t="str">
        <f>INDEX(Tableau8[Nom du modele],MATCH(Tableau3[[#This Row],[ID-INS]],Tableau8[ID],0))&amp;""</f>
        <v>UTL</v>
      </c>
      <c r="L94" s="99" t="str">
        <f>INDEX(Tableau5[Att1],MATCH(Tableau3[[#This Row],[ID-SIG]],Tableau5[ID],0))&amp;""</f>
        <v>PassEffec</v>
      </c>
      <c r="M94" s="99" t="str">
        <f>INDEX(Tableau5[Att2],MATCH(Tableau3[[#This Row],[ID-SIG]],Tableau5[ID],0))&amp;""</f>
        <v/>
      </c>
      <c r="N94" s="99" t="str">
        <f>INDEX(Tableau5[Att3],MATCH(Tableau3[[#This Row],[ID-SIG]],Tableau5[ID],0))&amp;""</f>
        <v/>
      </c>
      <c r="O94" s="99"/>
      <c r="P94" s="99" t="str">
        <f>INDEX(Tableau5[Description],MATCH(Tableau3[[#This Row],[ID-SIG]],Tableau5[ID],0))</f>
        <v>Commande passage effectué vers UTL</v>
      </c>
      <c r="Q94" s="99"/>
      <c r="R94" s="103" t="str">
        <f>Tableau3[[#This Row],[Description]]</f>
        <v>Commande passage effectué vers UTL</v>
      </c>
      <c r="U94" s="87">
        <v>1</v>
      </c>
      <c r="V94" s="87">
        <v>2</v>
      </c>
      <c r="W94" s="87">
        <v>1</v>
      </c>
      <c r="X94" s="87">
        <v>4</v>
      </c>
      <c r="Y94" s="41"/>
      <c r="Z94" s="165" t="str">
        <f>INDEX(Tableau2[TS],MATCH(Tableau3[[#This Row],[ID-CARTEVOIE]],Tableau2[ID-CARTEVOIE],0))</f>
        <v>ST</v>
      </c>
      <c r="AA94" s="53" t="s">
        <v>213</v>
      </c>
      <c r="AB94" s="223" t="str">
        <f>IFERROR(INDEX(Tableau5[Reserve],MATCH(Tableau3[[#This Row],[ID-SIG]],Tableau5[ID],0))&amp;"","")</f>
        <v/>
      </c>
      <c r="AC94" s="21"/>
      <c r="AD94" s="108" t="str">
        <f>INDEX(Tableau7[Repere],MATCH(Tableau3[[#This Row],[ID-API]],Tableau7[ID-API],0))&amp;""</f>
        <v>A1</v>
      </c>
      <c r="AE94" s="108" t="str">
        <f>INDEX(Tableau1[Repere-Rack],MATCH(Tableau3[[#This Row],[ID-RACK]],Tableau1[ID-RACK],0))&amp;""</f>
        <v>R2</v>
      </c>
      <c r="AF94" s="108" t="str">
        <f>INDEX(Tableau1[Repere-Slot],MATCH(Tableau3[[#This Row],[ID-SLOT]],Tableau1[ID-SLOT],0))&amp;""</f>
        <v>S1</v>
      </c>
      <c r="AG94" s="108" t="str">
        <f>INDEX(Tableau2[Repere-Voie],MATCH(Tableau3[[#This Row],[ID-VOIE]],Tableau2[ID-Voie],0))&amp;""</f>
        <v>v4</v>
      </c>
      <c r="AH94" s="72" t="str">
        <f>Tableau3[[#This Row],[ID-API]]&amp; "." &amp;Tableau3[[#This Row],[ID-RACK]]&amp; "." &amp;Tableau3[[#This Row],[ID-SLOT]]</f>
        <v>1.2.1</v>
      </c>
      <c r="AI94" s="72" t="str">
        <f>INDEX(Tableau1[Ref-Carte],MATCH(Tableau3[[#This Row],[ID-RRS]],Tableau1[ID-RRS],0))</f>
        <v>SDO0802</v>
      </c>
      <c r="AJ94" s="72" t="str">
        <f t="array" ref="AJ94">IFERROR(INDEX(Tableau2[TS],MATCH(1,(Tableau2[Ref-Carte]=Tableau3[[#This Row],[Ref-Carte2]])*(Tableau2[ID-Voie]=Tableau3[[#This Row],[ID-VOIE]]),0)),"")</f>
        <v>ST</v>
      </c>
      <c r="AK94" s="72" t="str">
        <f>IFERROR(INDEX(Tableau2[TS],SUMPRODUCT((Tableau2[Ref-Carte]=Tableau3[[#This Row],[Ref-Carte2]])*(Tableau2[ID-Voie]=Tableau3[[#This Row],[ID-VOIE]])*ROW(Tableau2[TS]))-ROW(Tableau2[#Headers])),"")</f>
        <v>ST</v>
      </c>
      <c r="AL94" s="72" t="str">
        <f>Tableau3[[#This Row],[Ref-Carte2]]&amp;"/"&amp;Tableau3[[#This Row],[ID-VOIE]]</f>
        <v>SDO0802/4</v>
      </c>
      <c r="AM94" s="73" t="str">
        <f>INDEX(Tableau2[Borne],MATCH(Tableau3[[#This Row],[ID-CARTEVOIE]],Tableau2[ID-CARTEVOIE],0))&amp;""</f>
        <v>4</v>
      </c>
      <c r="AN94" s="74" t="str">
        <f>Tableau3[[#This Row],[ID-API]]&amp;Tableau3[[#This Row],[ID-RACK]]&amp;Tableau3[[#This Row],[ID-SLOT]]&amp;Tableau3[[#This Row],[BORNE]]</f>
        <v>1214</v>
      </c>
      <c r="AO94" s="1"/>
    </row>
    <row r="95" spans="1:41" ht="20.100000000000001" customHeight="1" thickTop="1" thickBot="1">
      <c r="A95" s="68"/>
      <c r="B95" s="69" t="str">
        <f>IFERROR(INDEX(Tableau4[Date],MATCH($A95,Tableau4[EVO],0)),"")</f>
        <v/>
      </c>
      <c r="C95" s="68" t="str">
        <f>IFERROR(INDEX(Tableau4[Designation],MATCH($A95,Tableau4[EVO],0)),"")</f>
        <v/>
      </c>
      <c r="D95" s="68"/>
      <c r="E95" s="70">
        <v>110</v>
      </c>
      <c r="F95" s="71">
        <v>14</v>
      </c>
      <c r="G95" s="101" t="str">
        <f>INDEX(Tableau8[Att1],MATCH(Tableau3[[#This Row],[ID-INS]],Tableau8[ID],0))&amp;""</f>
        <v>GR</v>
      </c>
      <c r="H95" s="101" t="str">
        <f>INDEX(Tableau8[Att2],MATCH(Tableau3[[#This Row],[ID-INS]],Tableau8[ID],0))&amp;""</f>
        <v>UTLR9</v>
      </c>
      <c r="I95" s="101" t="str">
        <f>INDEX(Tableau8[Att3],MATCH(Tableau3[[#This Row],[ID-INS]],Tableau8[ID],0))&amp;""</f>
        <v>UTL rouge IDP7/PMR4/FRX1</v>
      </c>
      <c r="J95" s="101"/>
      <c r="K95" s="167" t="str">
        <f>INDEX(Tableau8[Nom du modele],MATCH(Tableau3[[#This Row],[ID-INS]],Tableau8[ID],0))&amp;""</f>
        <v>UTL</v>
      </c>
      <c r="L95" s="99" t="str">
        <f>INDEX(Tableau5[Att1],MATCH(Tableau3[[#This Row],[ID-SIG]],Tableau5[ID],0))&amp;""</f>
        <v>AutorBadge</v>
      </c>
      <c r="M95" s="99" t="str">
        <f>INDEX(Tableau5[Att2],MATCH(Tableau3[[#This Row],[ID-SIG]],Tableau5[ID],0))&amp;""</f>
        <v/>
      </c>
      <c r="N95" s="99" t="str">
        <f>INDEX(Tableau5[Att3],MATCH(Tableau3[[#This Row],[ID-SIG]],Tableau5[ID],0))&amp;""</f>
        <v/>
      </c>
      <c r="O95" s="99"/>
      <c r="P95" s="99" t="str">
        <f>INDEX(Tableau5[Description],MATCH(Tableau3[[#This Row],[ID-SIG]],Tableau5[ID],0))</f>
        <v>Commande autorisation badgeage vers UTL</v>
      </c>
      <c r="Q95" s="99"/>
      <c r="R95" s="103" t="str">
        <f>Tableau3[[#This Row],[Description]]</f>
        <v>Commande autorisation badgeage vers UTL</v>
      </c>
      <c r="U95" s="87">
        <v>1</v>
      </c>
      <c r="V95" s="87">
        <v>2</v>
      </c>
      <c r="W95" s="87">
        <v>1</v>
      </c>
      <c r="X95" s="87">
        <v>5</v>
      </c>
      <c r="Y95" s="41"/>
      <c r="Z95" s="165" t="str">
        <f>INDEX(Tableau2[TS],MATCH(Tableau3[[#This Row],[ID-CARTEVOIE]],Tableau2[ID-CARTEVOIE],0))</f>
        <v>ST</v>
      </c>
      <c r="AA95" s="53" t="s">
        <v>213</v>
      </c>
      <c r="AB95" s="223" t="str">
        <f>IFERROR(INDEX(Tableau5[Reserve],MATCH(Tableau3[[#This Row],[ID-SIG]],Tableau5[ID],0))&amp;"","")</f>
        <v/>
      </c>
      <c r="AC95" s="21"/>
      <c r="AD95" s="108" t="str">
        <f>INDEX(Tableau7[Repere],MATCH(Tableau3[[#This Row],[ID-API]],Tableau7[ID-API],0))&amp;""</f>
        <v>A1</v>
      </c>
      <c r="AE95" s="108" t="str">
        <f>INDEX(Tableau1[Repere-Rack],MATCH(Tableau3[[#This Row],[ID-RACK]],Tableau1[ID-RACK],0))&amp;""</f>
        <v>R2</v>
      </c>
      <c r="AF95" s="108" t="str">
        <f>INDEX(Tableau1[Repere-Slot],MATCH(Tableau3[[#This Row],[ID-SLOT]],Tableau1[ID-SLOT],0))&amp;""</f>
        <v>S1</v>
      </c>
      <c r="AG95" s="108" t="str">
        <f>INDEX(Tableau2[Repere-Voie],MATCH(Tableau3[[#This Row],[ID-VOIE]],Tableau2[ID-Voie],0))&amp;""</f>
        <v>v5</v>
      </c>
      <c r="AH95" s="72" t="str">
        <f>Tableau3[[#This Row],[ID-API]]&amp; "." &amp;Tableau3[[#This Row],[ID-RACK]]&amp; "." &amp;Tableau3[[#This Row],[ID-SLOT]]</f>
        <v>1.2.1</v>
      </c>
      <c r="AI95" s="72" t="str">
        <f>INDEX(Tableau1[Ref-Carte],MATCH(Tableau3[[#This Row],[ID-RRS]],Tableau1[ID-RRS],0))</f>
        <v>SDO0802</v>
      </c>
      <c r="AJ95" s="72" t="str">
        <f t="array" ref="AJ95">IFERROR(INDEX(Tableau2[TS],MATCH(1,(Tableau2[Ref-Carte]=Tableau3[[#This Row],[Ref-Carte2]])*(Tableau2[ID-Voie]=Tableau3[[#This Row],[ID-VOIE]]),0)),"")</f>
        <v>ST</v>
      </c>
      <c r="AK95" s="72" t="str">
        <f>IFERROR(INDEX(Tableau2[TS],SUMPRODUCT((Tableau2[Ref-Carte]=Tableau3[[#This Row],[Ref-Carte2]])*(Tableau2[ID-Voie]=Tableau3[[#This Row],[ID-VOIE]])*ROW(Tableau2[TS]))-ROW(Tableau2[#Headers])),"")</f>
        <v>ST</v>
      </c>
      <c r="AL95" s="72" t="str">
        <f>Tableau3[[#This Row],[Ref-Carte2]]&amp;"/"&amp;Tableau3[[#This Row],[ID-VOIE]]</f>
        <v>SDO0802/5</v>
      </c>
      <c r="AM95" s="73" t="str">
        <f>INDEX(Tableau2[Borne],MATCH(Tableau3[[#This Row],[ID-CARTEVOIE]],Tableau2[ID-CARTEVOIE],0))&amp;""</f>
        <v>5</v>
      </c>
      <c r="AN95" s="74" t="str">
        <f>Tableau3[[#This Row],[ID-API]]&amp;Tableau3[[#This Row],[ID-RACK]]&amp;Tableau3[[#This Row],[ID-SLOT]]&amp;Tableau3[[#This Row],[BORNE]]</f>
        <v>1215</v>
      </c>
      <c r="AO95" s="1"/>
    </row>
    <row r="96" spans="1:41" ht="20.100000000000001" customHeight="1" thickTop="1" thickBot="1">
      <c r="A96" s="68"/>
      <c r="B96" s="69" t="str">
        <f>IFERROR(INDEX(Tableau4[Date],MATCH($A96,Tableau4[EVO],0)),"")</f>
        <v/>
      </c>
      <c r="C96" s="68" t="str">
        <f>IFERROR(INDEX(Tableau4[Designation],MATCH($A96,Tableau4[EVO],0)),"")</f>
        <v/>
      </c>
      <c r="D96" s="68"/>
      <c r="E96" s="70">
        <v>112</v>
      </c>
      <c r="F96" s="71">
        <v>13</v>
      </c>
      <c r="G96" s="101" t="str">
        <f>INDEX(Tableau8[Att1],MATCH(Tableau3[[#This Row],[ID-INS]],Tableau8[ID],0))&amp;""</f>
        <v>GR</v>
      </c>
      <c r="H96" s="101" t="str">
        <f>INDEX(Tableau8[Att2],MATCH(Tableau3[[#This Row],[ID-INS]],Tableau8[ID],0))&amp;""</f>
        <v>UTLR11</v>
      </c>
      <c r="I96" s="101" t="str">
        <f>INDEX(Tableau8[Att3],MATCH(Tableau3[[#This Row],[ID-INS]],Tableau8[ID],0))&amp;""</f>
        <v>UTL rouge IDP9/TRSD2-1/FRX3</v>
      </c>
      <c r="J96" s="101"/>
      <c r="K96" s="167" t="str">
        <f>INDEX(Tableau8[Nom du modele],MATCH(Tableau3[[#This Row],[ID-INS]],Tableau8[ID],0))&amp;""</f>
        <v>UTL</v>
      </c>
      <c r="L96" s="99" t="str">
        <f>INDEX(Tableau5[Att1],MATCH(Tableau3[[#This Row],[ID-SIG]],Tableau5[ID],0))&amp;""</f>
        <v>PassEffec</v>
      </c>
      <c r="M96" s="99" t="str">
        <f>INDEX(Tableau5[Att2],MATCH(Tableau3[[#This Row],[ID-SIG]],Tableau5[ID],0))&amp;""</f>
        <v/>
      </c>
      <c r="N96" s="99" t="str">
        <f>INDEX(Tableau5[Att3],MATCH(Tableau3[[#This Row],[ID-SIG]],Tableau5[ID],0))&amp;""</f>
        <v/>
      </c>
      <c r="O96" s="99"/>
      <c r="P96" s="99" t="str">
        <f>INDEX(Tableau5[Description],MATCH(Tableau3[[#This Row],[ID-SIG]],Tableau5[ID],0))</f>
        <v>Commande passage effectué vers UTL</v>
      </c>
      <c r="Q96" s="99"/>
      <c r="R96" s="103" t="str">
        <f>Tableau3[[#This Row],[Description]]</f>
        <v>Commande passage effectué vers UTL</v>
      </c>
      <c r="U96" s="87">
        <v>1</v>
      </c>
      <c r="V96" s="87">
        <v>2</v>
      </c>
      <c r="W96" s="87">
        <v>1</v>
      </c>
      <c r="X96" s="87">
        <v>6</v>
      </c>
      <c r="Y96" s="41"/>
      <c r="Z96" s="165" t="str">
        <f>INDEX(Tableau2[TS],MATCH(Tableau3[[#This Row],[ID-CARTEVOIE]],Tableau2[ID-CARTEVOIE],0))</f>
        <v>ST</v>
      </c>
      <c r="AA96" s="53" t="s">
        <v>213</v>
      </c>
      <c r="AB96" s="223" t="str">
        <f>IFERROR(INDEX(Tableau5[Reserve],MATCH(Tableau3[[#This Row],[ID-SIG]],Tableau5[ID],0))&amp;"","")</f>
        <v/>
      </c>
      <c r="AC96" s="21"/>
      <c r="AD96" s="108" t="str">
        <f>INDEX(Tableau7[Repere],MATCH(Tableau3[[#This Row],[ID-API]],Tableau7[ID-API],0))&amp;""</f>
        <v>A1</v>
      </c>
      <c r="AE96" s="108" t="str">
        <f>INDEX(Tableau1[Repere-Rack],MATCH(Tableau3[[#This Row],[ID-RACK]],Tableau1[ID-RACK],0))&amp;""</f>
        <v>R2</v>
      </c>
      <c r="AF96" s="108" t="str">
        <f>INDEX(Tableau1[Repere-Slot],MATCH(Tableau3[[#This Row],[ID-SLOT]],Tableau1[ID-SLOT],0))&amp;""</f>
        <v>S1</v>
      </c>
      <c r="AG96" s="108" t="str">
        <f>INDEX(Tableau2[Repere-Voie],MATCH(Tableau3[[#This Row],[ID-VOIE]],Tableau2[ID-Voie],0))&amp;""</f>
        <v>v6</v>
      </c>
      <c r="AH96" s="72" t="str">
        <f>Tableau3[[#This Row],[ID-API]]&amp; "." &amp;Tableau3[[#This Row],[ID-RACK]]&amp; "." &amp;Tableau3[[#This Row],[ID-SLOT]]</f>
        <v>1.2.1</v>
      </c>
      <c r="AI96" s="72" t="str">
        <f>INDEX(Tableau1[Ref-Carte],MATCH(Tableau3[[#This Row],[ID-RRS]],Tableau1[ID-RRS],0))</f>
        <v>SDO0802</v>
      </c>
      <c r="AJ96" s="72" t="str">
        <f t="array" ref="AJ96">IFERROR(INDEX(Tableau2[TS],MATCH(1,(Tableau2[Ref-Carte]=Tableau3[[#This Row],[Ref-Carte2]])*(Tableau2[ID-Voie]=Tableau3[[#This Row],[ID-VOIE]]),0)),"")</f>
        <v>ST</v>
      </c>
      <c r="AK96" s="72" t="str">
        <f>IFERROR(INDEX(Tableau2[TS],SUMPRODUCT((Tableau2[Ref-Carte]=Tableau3[[#This Row],[Ref-Carte2]])*(Tableau2[ID-Voie]=Tableau3[[#This Row],[ID-VOIE]])*ROW(Tableau2[TS]))-ROW(Tableau2[#Headers])),"")</f>
        <v>ST</v>
      </c>
      <c r="AL96" s="72" t="str">
        <f>Tableau3[[#This Row],[Ref-Carte2]]&amp;"/"&amp;Tableau3[[#This Row],[ID-VOIE]]</f>
        <v>SDO0802/6</v>
      </c>
      <c r="AM96" s="73" t="str">
        <f>INDEX(Tableau2[Borne],MATCH(Tableau3[[#This Row],[ID-CARTEVOIE]],Tableau2[ID-CARTEVOIE],0))&amp;""</f>
        <v>6</v>
      </c>
      <c r="AN96" s="74" t="str">
        <f>Tableau3[[#This Row],[ID-API]]&amp;Tableau3[[#This Row],[ID-RACK]]&amp;Tableau3[[#This Row],[ID-SLOT]]&amp;Tableau3[[#This Row],[BORNE]]</f>
        <v>1216</v>
      </c>
      <c r="AO96" s="1"/>
    </row>
    <row r="97" spans="1:41" ht="20.100000000000001" customHeight="1" thickTop="1" thickBot="1">
      <c r="A97" s="68"/>
      <c r="B97" s="69" t="str">
        <f>IFERROR(INDEX(Tableau4[Date],MATCH($A97,Tableau4[EVO],0)),"")</f>
        <v/>
      </c>
      <c r="C97" s="68" t="str">
        <f>IFERROR(INDEX(Tableau4[Designation],MATCH($A97,Tableau4[EVO],0)),"")</f>
        <v/>
      </c>
      <c r="D97" s="68"/>
      <c r="E97" s="70">
        <v>112</v>
      </c>
      <c r="F97" s="71">
        <v>14</v>
      </c>
      <c r="G97" s="101" t="str">
        <f>INDEX(Tableau8[Att1],MATCH(Tableau3[[#This Row],[ID-INS]],Tableau8[ID],0))&amp;""</f>
        <v>GR</v>
      </c>
      <c r="H97" s="101" t="str">
        <f>INDEX(Tableau8[Att2],MATCH(Tableau3[[#This Row],[ID-INS]],Tableau8[ID],0))&amp;""</f>
        <v>UTLR11</v>
      </c>
      <c r="I97" s="101" t="str">
        <f>INDEX(Tableau8[Att3],MATCH(Tableau3[[#This Row],[ID-INS]],Tableau8[ID],0))&amp;""</f>
        <v>UTL rouge IDP9/TRSD2-1/FRX3</v>
      </c>
      <c r="J97" s="101"/>
      <c r="K97" s="167" t="str">
        <f>INDEX(Tableau8[Nom du modele],MATCH(Tableau3[[#This Row],[ID-INS]],Tableau8[ID],0))&amp;""</f>
        <v>UTL</v>
      </c>
      <c r="L97" s="99" t="str">
        <f>INDEX(Tableau5[Att1],MATCH(Tableau3[[#This Row],[ID-SIG]],Tableau5[ID],0))&amp;""</f>
        <v>AutorBadge</v>
      </c>
      <c r="M97" s="99" t="str">
        <f>INDEX(Tableau5[Att2],MATCH(Tableau3[[#This Row],[ID-SIG]],Tableau5[ID],0))&amp;""</f>
        <v/>
      </c>
      <c r="N97" s="99" t="str">
        <f>INDEX(Tableau5[Att3],MATCH(Tableau3[[#This Row],[ID-SIG]],Tableau5[ID],0))&amp;""</f>
        <v/>
      </c>
      <c r="O97" s="99"/>
      <c r="P97" s="99" t="str">
        <f>INDEX(Tableau5[Description],MATCH(Tableau3[[#This Row],[ID-SIG]],Tableau5[ID],0))</f>
        <v>Commande autorisation badgeage vers UTL</v>
      </c>
      <c r="Q97" s="99"/>
      <c r="R97" s="103" t="str">
        <f>Tableau3[[#This Row],[Description]]</f>
        <v>Commande autorisation badgeage vers UTL</v>
      </c>
      <c r="U97" s="87">
        <v>1</v>
      </c>
      <c r="V97" s="87">
        <v>2</v>
      </c>
      <c r="W97" s="87">
        <v>1</v>
      </c>
      <c r="X97" s="87">
        <v>7</v>
      </c>
      <c r="Y97" s="41"/>
      <c r="Z97" s="165" t="str">
        <f>INDEX(Tableau2[TS],MATCH(Tableau3[[#This Row],[ID-CARTEVOIE]],Tableau2[ID-CARTEVOIE],0))</f>
        <v>ST</v>
      </c>
      <c r="AA97" s="53" t="s">
        <v>213</v>
      </c>
      <c r="AB97" s="223" t="str">
        <f>IFERROR(INDEX(Tableau5[Reserve],MATCH(Tableau3[[#This Row],[ID-SIG]],Tableau5[ID],0))&amp;"","")</f>
        <v/>
      </c>
      <c r="AC97" s="21"/>
      <c r="AD97" s="108" t="str">
        <f>INDEX(Tableau7[Repere],MATCH(Tableau3[[#This Row],[ID-API]],Tableau7[ID-API],0))&amp;""</f>
        <v>A1</v>
      </c>
      <c r="AE97" s="108" t="str">
        <f>INDEX(Tableau1[Repere-Rack],MATCH(Tableau3[[#This Row],[ID-RACK]],Tableau1[ID-RACK],0))&amp;""</f>
        <v>R2</v>
      </c>
      <c r="AF97" s="108" t="str">
        <f>INDEX(Tableau1[Repere-Slot],MATCH(Tableau3[[#This Row],[ID-SLOT]],Tableau1[ID-SLOT],0))&amp;""</f>
        <v>S1</v>
      </c>
      <c r="AG97" s="108" t="str">
        <f>INDEX(Tableau2[Repere-Voie],MATCH(Tableau3[[#This Row],[ID-VOIE]],Tableau2[ID-Voie],0))&amp;""</f>
        <v>v7</v>
      </c>
      <c r="AH97" s="72" t="str">
        <f>Tableau3[[#This Row],[ID-API]]&amp; "." &amp;Tableau3[[#This Row],[ID-RACK]]&amp; "." &amp;Tableau3[[#This Row],[ID-SLOT]]</f>
        <v>1.2.1</v>
      </c>
      <c r="AI97" s="72" t="str">
        <f>INDEX(Tableau1[Ref-Carte],MATCH(Tableau3[[#This Row],[ID-RRS]],Tableau1[ID-RRS],0))</f>
        <v>SDO0802</v>
      </c>
      <c r="AJ97" s="72" t="str">
        <f t="array" ref="AJ97">IFERROR(INDEX(Tableau2[TS],MATCH(1,(Tableau2[Ref-Carte]=Tableau3[[#This Row],[Ref-Carte2]])*(Tableau2[ID-Voie]=Tableau3[[#This Row],[ID-VOIE]]),0)),"")</f>
        <v>ST</v>
      </c>
      <c r="AK97" s="72" t="str">
        <f>IFERROR(INDEX(Tableau2[TS],SUMPRODUCT((Tableau2[Ref-Carte]=Tableau3[[#This Row],[Ref-Carte2]])*(Tableau2[ID-Voie]=Tableau3[[#This Row],[ID-VOIE]])*ROW(Tableau2[TS]))-ROW(Tableau2[#Headers])),"")</f>
        <v>ST</v>
      </c>
      <c r="AL97" s="72" t="str">
        <f>Tableau3[[#This Row],[Ref-Carte2]]&amp;"/"&amp;Tableau3[[#This Row],[ID-VOIE]]</f>
        <v>SDO0802/7</v>
      </c>
      <c r="AM97" s="73" t="str">
        <f>INDEX(Tableau2[Borne],MATCH(Tableau3[[#This Row],[ID-CARTEVOIE]],Tableau2[ID-CARTEVOIE],0))&amp;""</f>
        <v>7</v>
      </c>
      <c r="AN97" s="74" t="str">
        <f>Tableau3[[#This Row],[ID-API]]&amp;Tableau3[[#This Row],[ID-RACK]]&amp;Tableau3[[#This Row],[ID-SLOT]]&amp;Tableau3[[#This Row],[BORNE]]</f>
        <v>1217</v>
      </c>
      <c r="AO97" s="1"/>
    </row>
    <row r="98" spans="1:41" ht="20.100000000000001" customHeight="1" thickTop="1" thickBot="1">
      <c r="A98" s="68"/>
      <c r="B98" s="69" t="str">
        <f>IFERROR(INDEX(Tableau4[Date],MATCH($A98,Tableau4[EVO],0)),"")</f>
        <v/>
      </c>
      <c r="C98" s="68" t="str">
        <f>IFERROR(INDEX(Tableau4[Designation],MATCH($A98,Tableau4[EVO],0)),"")</f>
        <v/>
      </c>
      <c r="D98" s="68"/>
      <c r="E98" s="70">
        <v>113</v>
      </c>
      <c r="F98" s="71">
        <v>13</v>
      </c>
      <c r="G98" s="101" t="str">
        <f>INDEX(Tableau8[Att1],MATCH(Tableau3[[#This Row],[ID-INS]],Tableau8[ID],0))&amp;""</f>
        <v>GR</v>
      </c>
      <c r="H98" s="101" t="str">
        <f>INDEX(Tableau8[Att2],MATCH(Tableau3[[#This Row],[ID-INS]],Tableau8[ID],0))&amp;""</f>
        <v>UTLR12</v>
      </c>
      <c r="I98" s="101" t="str">
        <f>INDEX(Tableau8[Att3],MATCH(Tableau3[[#This Row],[ID-INS]],Tableau8[ID],0))&amp;""</f>
        <v>UTL rouge IDP10/TRSD2-2/FRX4</v>
      </c>
      <c r="J98" s="101"/>
      <c r="K98" s="167" t="str">
        <f>INDEX(Tableau8[Nom du modele],MATCH(Tableau3[[#This Row],[ID-INS]],Tableau8[ID],0))&amp;""</f>
        <v>UTL</v>
      </c>
      <c r="L98" s="99" t="str">
        <f>INDEX(Tableau5[Att1],MATCH(Tableau3[[#This Row],[ID-SIG]],Tableau5[ID],0))&amp;""</f>
        <v>PassEffec</v>
      </c>
      <c r="M98" s="99" t="str">
        <f>INDEX(Tableau5[Att2],MATCH(Tableau3[[#This Row],[ID-SIG]],Tableau5[ID],0))&amp;""</f>
        <v/>
      </c>
      <c r="N98" s="99" t="str">
        <f>INDEX(Tableau5[Att3],MATCH(Tableau3[[#This Row],[ID-SIG]],Tableau5[ID],0))&amp;""</f>
        <v/>
      </c>
      <c r="O98" s="99"/>
      <c r="P98" s="99" t="str">
        <f>INDEX(Tableau5[Description],MATCH(Tableau3[[#This Row],[ID-SIG]],Tableau5[ID],0))</f>
        <v>Commande passage effectué vers UTL</v>
      </c>
      <c r="Q98" s="99"/>
      <c r="R98" s="103" t="str">
        <f>Tableau3[[#This Row],[Description]]</f>
        <v>Commande passage effectué vers UTL</v>
      </c>
      <c r="U98" s="87">
        <v>1</v>
      </c>
      <c r="V98" s="87">
        <v>2</v>
      </c>
      <c r="W98" s="87">
        <v>2</v>
      </c>
      <c r="X98" s="87">
        <v>0</v>
      </c>
      <c r="Y98" s="41"/>
      <c r="Z98" s="165" t="str">
        <f>INDEX(Tableau2[TS],MATCH(Tableau3[[#This Row],[ID-CARTEVOIE]],Tableau2[ID-CARTEVOIE],0))</f>
        <v>ST</v>
      </c>
      <c r="AA98" s="53" t="s">
        <v>213</v>
      </c>
      <c r="AB98" s="223" t="str">
        <f>IFERROR(INDEX(Tableau5[Reserve],MATCH(Tableau3[[#This Row],[ID-SIG]],Tableau5[ID],0))&amp;"","")</f>
        <v/>
      </c>
      <c r="AC98" s="21"/>
      <c r="AD98" s="108" t="str">
        <f>INDEX(Tableau7[Repere],MATCH(Tableau3[[#This Row],[ID-API]],Tableau7[ID-API],0))&amp;""</f>
        <v>A1</v>
      </c>
      <c r="AE98" s="108" t="str">
        <f>INDEX(Tableau1[Repere-Rack],MATCH(Tableau3[[#This Row],[ID-RACK]],Tableau1[ID-RACK],0))&amp;""</f>
        <v>R2</v>
      </c>
      <c r="AF98" s="108" t="str">
        <f>INDEX(Tableau1[Repere-Slot],MATCH(Tableau3[[#This Row],[ID-SLOT]],Tableau1[ID-SLOT],0))&amp;""</f>
        <v>S2</v>
      </c>
      <c r="AG98" s="108" t="str">
        <f>INDEX(Tableau2[Repere-Voie],MATCH(Tableau3[[#This Row],[ID-VOIE]],Tableau2[ID-Voie],0))&amp;""</f>
        <v>v0</v>
      </c>
      <c r="AH98" s="72" t="str">
        <f>Tableau3[[#This Row],[ID-API]]&amp; "." &amp;Tableau3[[#This Row],[ID-RACK]]&amp; "." &amp;Tableau3[[#This Row],[ID-SLOT]]</f>
        <v>1.2.2</v>
      </c>
      <c r="AI98" s="72" t="str">
        <f>INDEX(Tableau1[Ref-Carte],MATCH(Tableau3[[#This Row],[ID-RRS]],Tableau1[ID-RRS],0))</f>
        <v>SDO0802</v>
      </c>
      <c r="AJ98" s="72" t="str">
        <f t="array" ref="AJ98">IFERROR(INDEX(Tableau2[TS],MATCH(1,(Tableau2[Ref-Carte]=Tableau3[[#This Row],[Ref-Carte2]])*(Tableau2[ID-Voie]=Tableau3[[#This Row],[ID-VOIE]]),0)),"")</f>
        <v>ST</v>
      </c>
      <c r="AK98" s="72" t="str">
        <f>IFERROR(INDEX(Tableau2[TS],SUMPRODUCT((Tableau2[Ref-Carte]=Tableau3[[#This Row],[Ref-Carte2]])*(Tableau2[ID-Voie]=Tableau3[[#This Row],[ID-VOIE]])*ROW(Tableau2[TS]))-ROW(Tableau2[#Headers])),"")</f>
        <v>ST</v>
      </c>
      <c r="AL98" s="72" t="str">
        <f>Tableau3[[#This Row],[Ref-Carte2]]&amp;"/"&amp;Tableau3[[#This Row],[ID-VOIE]]</f>
        <v>SDO0802/0</v>
      </c>
      <c r="AM98" s="73" t="str">
        <f>INDEX(Tableau2[Borne],MATCH(Tableau3[[#This Row],[ID-CARTEVOIE]],Tableau2[ID-CARTEVOIE],0))&amp;""</f>
        <v>0</v>
      </c>
      <c r="AN98" s="74" t="str">
        <f>Tableau3[[#This Row],[ID-API]]&amp;Tableau3[[#This Row],[ID-RACK]]&amp;Tableau3[[#This Row],[ID-SLOT]]&amp;Tableau3[[#This Row],[BORNE]]</f>
        <v>1220</v>
      </c>
      <c r="AO98" s="1"/>
    </row>
    <row r="99" spans="1:41" ht="20.100000000000001" customHeight="1" thickTop="1" thickBot="1">
      <c r="A99" s="68"/>
      <c r="B99" s="69" t="str">
        <f>IFERROR(INDEX(Tableau4[Date],MATCH($A99,Tableau4[EVO],0)),"")</f>
        <v/>
      </c>
      <c r="C99" s="68" t="str">
        <f>IFERROR(INDEX(Tableau4[Designation],MATCH($A99,Tableau4[EVO],0)),"")</f>
        <v/>
      </c>
      <c r="D99" s="68"/>
      <c r="E99" s="70">
        <v>113</v>
      </c>
      <c r="F99" s="71">
        <v>14</v>
      </c>
      <c r="G99" s="101" t="str">
        <f>INDEX(Tableau8[Att1],MATCH(Tableau3[[#This Row],[ID-INS]],Tableau8[ID],0))&amp;""</f>
        <v>GR</v>
      </c>
      <c r="H99" s="101" t="str">
        <f>INDEX(Tableau8[Att2],MATCH(Tableau3[[#This Row],[ID-INS]],Tableau8[ID],0))&amp;""</f>
        <v>UTLR12</v>
      </c>
      <c r="I99" s="101" t="str">
        <f>INDEX(Tableau8[Att3],MATCH(Tableau3[[#This Row],[ID-INS]],Tableau8[ID],0))&amp;""</f>
        <v>UTL rouge IDP10/TRSD2-2/FRX4</v>
      </c>
      <c r="J99" s="101"/>
      <c r="K99" s="167" t="str">
        <f>INDEX(Tableau8[Nom du modele],MATCH(Tableau3[[#This Row],[ID-INS]],Tableau8[ID],0))&amp;""</f>
        <v>UTL</v>
      </c>
      <c r="L99" s="99" t="str">
        <f>INDEX(Tableau5[Att1],MATCH(Tableau3[[#This Row],[ID-SIG]],Tableau5[ID],0))&amp;""</f>
        <v>AutorBadge</v>
      </c>
      <c r="M99" s="99" t="str">
        <f>INDEX(Tableau5[Att2],MATCH(Tableau3[[#This Row],[ID-SIG]],Tableau5[ID],0))&amp;""</f>
        <v/>
      </c>
      <c r="N99" s="99" t="str">
        <f>INDEX(Tableau5[Att3],MATCH(Tableau3[[#This Row],[ID-SIG]],Tableau5[ID],0))&amp;""</f>
        <v/>
      </c>
      <c r="O99" s="99"/>
      <c r="P99" s="99" t="str">
        <f>INDEX(Tableau5[Description],MATCH(Tableau3[[#This Row],[ID-SIG]],Tableau5[ID],0))</f>
        <v>Commande autorisation badgeage vers UTL</v>
      </c>
      <c r="Q99" s="99"/>
      <c r="R99" s="103" t="str">
        <f>Tableau3[[#This Row],[Description]]</f>
        <v>Commande autorisation badgeage vers UTL</v>
      </c>
      <c r="U99" s="87">
        <v>1</v>
      </c>
      <c r="V99" s="87">
        <v>2</v>
      </c>
      <c r="W99" s="87">
        <v>2</v>
      </c>
      <c r="X99" s="87">
        <v>1</v>
      </c>
      <c r="Y99" s="41"/>
      <c r="Z99" s="165" t="str">
        <f>INDEX(Tableau2[TS],MATCH(Tableau3[[#This Row],[ID-CARTEVOIE]],Tableau2[ID-CARTEVOIE],0))</f>
        <v>ST</v>
      </c>
      <c r="AA99" s="53" t="s">
        <v>213</v>
      </c>
      <c r="AB99" s="223" t="str">
        <f>IFERROR(INDEX(Tableau5[Reserve],MATCH(Tableau3[[#This Row],[ID-SIG]],Tableau5[ID],0))&amp;"","")</f>
        <v/>
      </c>
      <c r="AC99" s="21"/>
      <c r="AD99" s="108" t="str">
        <f>INDEX(Tableau7[Repere],MATCH(Tableau3[[#This Row],[ID-API]],Tableau7[ID-API],0))&amp;""</f>
        <v>A1</v>
      </c>
      <c r="AE99" s="108" t="str">
        <f>INDEX(Tableau1[Repere-Rack],MATCH(Tableau3[[#This Row],[ID-RACK]],Tableau1[ID-RACK],0))&amp;""</f>
        <v>R2</v>
      </c>
      <c r="AF99" s="108" t="str">
        <f>INDEX(Tableau1[Repere-Slot],MATCH(Tableau3[[#This Row],[ID-SLOT]],Tableau1[ID-SLOT],0))&amp;""</f>
        <v>S2</v>
      </c>
      <c r="AG99" s="108" t="str">
        <f>INDEX(Tableau2[Repere-Voie],MATCH(Tableau3[[#This Row],[ID-VOIE]],Tableau2[ID-Voie],0))&amp;""</f>
        <v>v1</v>
      </c>
      <c r="AH99" s="72" t="str">
        <f>Tableau3[[#This Row],[ID-API]]&amp; "." &amp;Tableau3[[#This Row],[ID-RACK]]&amp; "." &amp;Tableau3[[#This Row],[ID-SLOT]]</f>
        <v>1.2.2</v>
      </c>
      <c r="AI99" s="72" t="str">
        <f>INDEX(Tableau1[Ref-Carte],MATCH(Tableau3[[#This Row],[ID-RRS]],Tableau1[ID-RRS],0))</f>
        <v>SDO0802</v>
      </c>
      <c r="AJ99" s="72" t="str">
        <f t="array" ref="AJ99">IFERROR(INDEX(Tableau2[TS],MATCH(1,(Tableau2[Ref-Carte]=Tableau3[[#This Row],[Ref-Carte2]])*(Tableau2[ID-Voie]=Tableau3[[#This Row],[ID-VOIE]]),0)),"")</f>
        <v>ST</v>
      </c>
      <c r="AK99" s="72" t="str">
        <f>IFERROR(INDEX(Tableau2[TS],SUMPRODUCT((Tableau2[Ref-Carte]=Tableau3[[#This Row],[Ref-Carte2]])*(Tableau2[ID-Voie]=Tableau3[[#This Row],[ID-VOIE]])*ROW(Tableau2[TS]))-ROW(Tableau2[#Headers])),"")</f>
        <v>ST</v>
      </c>
      <c r="AL99" s="72" t="str">
        <f>Tableau3[[#This Row],[Ref-Carte2]]&amp;"/"&amp;Tableau3[[#This Row],[ID-VOIE]]</f>
        <v>SDO0802/1</v>
      </c>
      <c r="AM99" s="73" t="str">
        <f>INDEX(Tableau2[Borne],MATCH(Tableau3[[#This Row],[ID-CARTEVOIE]],Tableau2[ID-CARTEVOIE],0))&amp;""</f>
        <v>1</v>
      </c>
      <c r="AN99" s="74" t="str">
        <f>Tableau3[[#This Row],[ID-API]]&amp;Tableau3[[#This Row],[ID-RACK]]&amp;Tableau3[[#This Row],[ID-SLOT]]&amp;Tableau3[[#This Row],[BORNE]]</f>
        <v>1221</v>
      </c>
      <c r="AO99" s="1"/>
    </row>
    <row r="100" spans="1:41" ht="20.100000000000001" customHeight="1" thickTop="1" thickBot="1">
      <c r="A100" s="68"/>
      <c r="B100" s="69" t="str">
        <f>IFERROR(INDEX(Tableau4[Date],MATCH($A100,Tableau4[EVO],0)),"")</f>
        <v/>
      </c>
      <c r="C100" s="68" t="str">
        <f>IFERROR(INDEX(Tableau4[Designation],MATCH($A100,Tableau4[EVO],0)),"")</f>
        <v/>
      </c>
      <c r="D100" s="68"/>
      <c r="E100" s="70">
        <v>119</v>
      </c>
      <c r="F100" s="71">
        <v>13</v>
      </c>
      <c r="G100" s="101" t="str">
        <f>INDEX(Tableau8[Att1],MATCH(Tableau3[[#This Row],[ID-INS]],Tableau8[ID],0))&amp;""</f>
        <v>B22</v>
      </c>
      <c r="H100" s="101" t="str">
        <f>INDEX(Tableau8[Att2],MATCH(Tableau3[[#This Row],[ID-INS]],Tableau8[ID],0))&amp;""</f>
        <v>UTLB6</v>
      </c>
      <c r="I100" s="101" t="str">
        <f>INDEX(Tableau8[Att3],MATCH(Tableau3[[#This Row],[ID-INS]],Tableau8[ID],0))&amp;""</f>
        <v>UTL bleue AUTP1/PMR1</v>
      </c>
      <c r="J100" s="101"/>
      <c r="K100" s="167" t="str">
        <f>INDEX(Tableau8[Nom du modele],MATCH(Tableau3[[#This Row],[ID-INS]],Tableau8[ID],0))&amp;""</f>
        <v>UTL</v>
      </c>
      <c r="L100" s="99" t="str">
        <f>INDEX(Tableau5[Att1],MATCH(Tableau3[[#This Row],[ID-SIG]],Tableau5[ID],0))&amp;""</f>
        <v>PassEffec</v>
      </c>
      <c r="M100" s="99" t="str">
        <f>INDEX(Tableau5[Att2],MATCH(Tableau3[[#This Row],[ID-SIG]],Tableau5[ID],0))&amp;""</f>
        <v/>
      </c>
      <c r="N100" s="99" t="str">
        <f>INDEX(Tableau5[Att3],MATCH(Tableau3[[#This Row],[ID-SIG]],Tableau5[ID],0))&amp;""</f>
        <v/>
      </c>
      <c r="O100" s="99"/>
      <c r="P100" s="99" t="str">
        <f>INDEX(Tableau5[Description],MATCH(Tableau3[[#This Row],[ID-SIG]],Tableau5[ID],0))</f>
        <v>Commande passage effectué vers UTL</v>
      </c>
      <c r="Q100" s="99"/>
      <c r="R100" s="103" t="str">
        <f>Tableau3[[#This Row],[Description]]</f>
        <v>Commande passage effectué vers UTL</v>
      </c>
      <c r="U100" s="87">
        <v>1</v>
      </c>
      <c r="V100" s="87">
        <v>2</v>
      </c>
      <c r="W100" s="87">
        <v>2</v>
      </c>
      <c r="X100" s="87">
        <v>2</v>
      </c>
      <c r="Y100" s="41"/>
      <c r="Z100" s="165" t="str">
        <f>INDEX(Tableau2[TS],MATCH(Tableau3[[#This Row],[ID-CARTEVOIE]],Tableau2[ID-CARTEVOIE],0))</f>
        <v>ST</v>
      </c>
      <c r="AA100" s="53" t="s">
        <v>213</v>
      </c>
      <c r="AB100" s="223" t="str">
        <f>IFERROR(INDEX(Tableau5[Reserve],MATCH(Tableau3[[#This Row],[ID-SIG]],Tableau5[ID],0))&amp;"","")</f>
        <v/>
      </c>
      <c r="AC100" s="21"/>
      <c r="AD100" s="108" t="str">
        <f>INDEX(Tableau7[Repere],MATCH(Tableau3[[#This Row],[ID-API]],Tableau7[ID-API],0))&amp;""</f>
        <v>A1</v>
      </c>
      <c r="AE100" s="108" t="str">
        <f>INDEX(Tableau1[Repere-Rack],MATCH(Tableau3[[#This Row],[ID-RACK]],Tableau1[ID-RACK],0))&amp;""</f>
        <v>R2</v>
      </c>
      <c r="AF100" s="108" t="str">
        <f>INDEX(Tableau1[Repere-Slot],MATCH(Tableau3[[#This Row],[ID-SLOT]],Tableau1[ID-SLOT],0))&amp;""</f>
        <v>S2</v>
      </c>
      <c r="AG100" s="108" t="str">
        <f>INDEX(Tableau2[Repere-Voie],MATCH(Tableau3[[#This Row],[ID-VOIE]],Tableau2[ID-Voie],0))&amp;""</f>
        <v>v2</v>
      </c>
      <c r="AH100" s="72" t="str">
        <f>Tableau3[[#This Row],[ID-API]]&amp; "." &amp;Tableau3[[#This Row],[ID-RACK]]&amp; "." &amp;Tableau3[[#This Row],[ID-SLOT]]</f>
        <v>1.2.2</v>
      </c>
      <c r="AI100" s="72" t="str">
        <f>INDEX(Tableau1[Ref-Carte],MATCH(Tableau3[[#This Row],[ID-RRS]],Tableau1[ID-RRS],0))</f>
        <v>SDO0802</v>
      </c>
      <c r="AJ100" s="72" t="str">
        <f t="array" ref="AJ100">IFERROR(INDEX(Tableau2[TS],MATCH(1,(Tableau2[Ref-Carte]=Tableau3[[#This Row],[Ref-Carte2]])*(Tableau2[ID-Voie]=Tableau3[[#This Row],[ID-VOIE]]),0)),"")</f>
        <v>ST</v>
      </c>
      <c r="AK100" s="72" t="str">
        <f>IFERROR(INDEX(Tableau2[TS],SUMPRODUCT((Tableau2[Ref-Carte]=Tableau3[[#This Row],[Ref-Carte2]])*(Tableau2[ID-Voie]=Tableau3[[#This Row],[ID-VOIE]])*ROW(Tableau2[TS]))-ROW(Tableau2[#Headers])),"")</f>
        <v>ST</v>
      </c>
      <c r="AL100" s="72" t="str">
        <f>Tableau3[[#This Row],[Ref-Carte2]]&amp;"/"&amp;Tableau3[[#This Row],[ID-VOIE]]</f>
        <v>SDO0802/2</v>
      </c>
      <c r="AM100" s="73" t="str">
        <f>INDEX(Tableau2[Borne],MATCH(Tableau3[[#This Row],[ID-CARTEVOIE]],Tableau2[ID-CARTEVOIE],0))&amp;""</f>
        <v>2</v>
      </c>
      <c r="AN100" s="74" t="str">
        <f>Tableau3[[#This Row],[ID-API]]&amp;Tableau3[[#This Row],[ID-RACK]]&amp;Tableau3[[#This Row],[ID-SLOT]]&amp;Tableau3[[#This Row],[BORNE]]</f>
        <v>1222</v>
      </c>
      <c r="AO100" s="1"/>
    </row>
    <row r="101" spans="1:41" ht="20.100000000000001" customHeight="1" thickTop="1" thickBot="1">
      <c r="A101" s="68"/>
      <c r="B101" s="69" t="str">
        <f>IFERROR(INDEX(Tableau4[Date],MATCH($A101,Tableau4[EVO],0)),"")</f>
        <v/>
      </c>
      <c r="C101" s="68" t="str">
        <f>IFERROR(INDEX(Tableau4[Designation],MATCH($A101,Tableau4[EVO],0)),"")</f>
        <v/>
      </c>
      <c r="D101" s="68"/>
      <c r="E101" s="70">
        <v>119</v>
      </c>
      <c r="F101" s="71">
        <v>14</v>
      </c>
      <c r="G101" s="101" t="str">
        <f>INDEX(Tableau8[Att1],MATCH(Tableau3[[#This Row],[ID-INS]],Tableau8[ID],0))&amp;""</f>
        <v>B22</v>
      </c>
      <c r="H101" s="101" t="str">
        <f>INDEX(Tableau8[Att2],MATCH(Tableau3[[#This Row],[ID-INS]],Tableau8[ID],0))&amp;""</f>
        <v>UTLB6</v>
      </c>
      <c r="I101" s="101" t="str">
        <f>INDEX(Tableau8[Att3],MATCH(Tableau3[[#This Row],[ID-INS]],Tableau8[ID],0))&amp;""</f>
        <v>UTL bleue AUTP1/PMR1</v>
      </c>
      <c r="J101" s="101"/>
      <c r="K101" s="167" t="str">
        <f>INDEX(Tableau8[Nom du modele],MATCH(Tableau3[[#This Row],[ID-INS]],Tableau8[ID],0))&amp;""</f>
        <v>UTL</v>
      </c>
      <c r="L101" s="99" t="str">
        <f>INDEX(Tableau5[Att1],MATCH(Tableau3[[#This Row],[ID-SIG]],Tableau5[ID],0))&amp;""</f>
        <v>AutorBadge</v>
      </c>
      <c r="M101" s="99" t="str">
        <f>INDEX(Tableau5[Att2],MATCH(Tableau3[[#This Row],[ID-SIG]],Tableau5[ID],0))&amp;""</f>
        <v/>
      </c>
      <c r="N101" s="99" t="str">
        <f>INDEX(Tableau5[Att3],MATCH(Tableau3[[#This Row],[ID-SIG]],Tableau5[ID],0))&amp;""</f>
        <v/>
      </c>
      <c r="O101" s="99"/>
      <c r="P101" s="99" t="str">
        <f>INDEX(Tableau5[Description],MATCH(Tableau3[[#This Row],[ID-SIG]],Tableau5[ID],0))</f>
        <v>Commande autorisation badgeage vers UTL</v>
      </c>
      <c r="Q101" s="99"/>
      <c r="R101" s="103" t="str">
        <f>Tableau3[[#This Row],[Description]]</f>
        <v>Commande autorisation badgeage vers UTL</v>
      </c>
      <c r="U101" s="87">
        <v>1</v>
      </c>
      <c r="V101" s="87">
        <v>2</v>
      </c>
      <c r="W101" s="87">
        <v>2</v>
      </c>
      <c r="X101" s="87">
        <v>3</v>
      </c>
      <c r="Y101" s="41"/>
      <c r="Z101" s="165" t="str">
        <f>INDEX(Tableau2[TS],MATCH(Tableau3[[#This Row],[ID-CARTEVOIE]],Tableau2[ID-CARTEVOIE],0))</f>
        <v>ST</v>
      </c>
      <c r="AA101" s="53" t="s">
        <v>213</v>
      </c>
      <c r="AB101" s="223" t="str">
        <f>IFERROR(INDEX(Tableau5[Reserve],MATCH(Tableau3[[#This Row],[ID-SIG]],Tableau5[ID],0))&amp;"","")</f>
        <v/>
      </c>
      <c r="AC101" s="21"/>
      <c r="AD101" s="108" t="str">
        <f>INDEX(Tableau7[Repere],MATCH(Tableau3[[#This Row],[ID-API]],Tableau7[ID-API],0))&amp;""</f>
        <v>A1</v>
      </c>
      <c r="AE101" s="108" t="str">
        <f>INDEX(Tableau1[Repere-Rack],MATCH(Tableau3[[#This Row],[ID-RACK]],Tableau1[ID-RACK],0))&amp;""</f>
        <v>R2</v>
      </c>
      <c r="AF101" s="108" t="str">
        <f>INDEX(Tableau1[Repere-Slot],MATCH(Tableau3[[#This Row],[ID-SLOT]],Tableau1[ID-SLOT],0))&amp;""</f>
        <v>S2</v>
      </c>
      <c r="AG101" s="108" t="str">
        <f>INDEX(Tableau2[Repere-Voie],MATCH(Tableau3[[#This Row],[ID-VOIE]],Tableau2[ID-Voie],0))&amp;""</f>
        <v>v3</v>
      </c>
      <c r="AH101" s="72" t="str">
        <f>Tableau3[[#This Row],[ID-API]]&amp; "." &amp;Tableau3[[#This Row],[ID-RACK]]&amp; "." &amp;Tableau3[[#This Row],[ID-SLOT]]</f>
        <v>1.2.2</v>
      </c>
      <c r="AI101" s="72" t="str">
        <f>INDEX(Tableau1[Ref-Carte],MATCH(Tableau3[[#This Row],[ID-RRS]],Tableau1[ID-RRS],0))</f>
        <v>SDO0802</v>
      </c>
      <c r="AJ101" s="72" t="str">
        <f t="array" ref="AJ101">IFERROR(INDEX(Tableau2[TS],MATCH(1,(Tableau2[Ref-Carte]=Tableau3[[#This Row],[Ref-Carte2]])*(Tableau2[ID-Voie]=Tableau3[[#This Row],[ID-VOIE]]),0)),"")</f>
        <v>ST</v>
      </c>
      <c r="AK101" s="72" t="str">
        <f>IFERROR(INDEX(Tableau2[TS],SUMPRODUCT((Tableau2[Ref-Carte]=Tableau3[[#This Row],[Ref-Carte2]])*(Tableau2[ID-Voie]=Tableau3[[#This Row],[ID-VOIE]])*ROW(Tableau2[TS]))-ROW(Tableau2[#Headers])),"")</f>
        <v>ST</v>
      </c>
      <c r="AL101" s="72" t="str">
        <f>Tableau3[[#This Row],[Ref-Carte2]]&amp;"/"&amp;Tableau3[[#This Row],[ID-VOIE]]</f>
        <v>SDO0802/3</v>
      </c>
      <c r="AM101" s="73" t="str">
        <f>INDEX(Tableau2[Borne],MATCH(Tableau3[[#This Row],[ID-CARTEVOIE]],Tableau2[ID-CARTEVOIE],0))&amp;""</f>
        <v>3</v>
      </c>
      <c r="AN101" s="74" t="str">
        <f>Tableau3[[#This Row],[ID-API]]&amp;Tableau3[[#This Row],[ID-RACK]]&amp;Tableau3[[#This Row],[ID-SLOT]]&amp;Tableau3[[#This Row],[BORNE]]</f>
        <v>1223</v>
      </c>
      <c r="AO101" s="1"/>
    </row>
    <row r="102" spans="1:41" ht="20.100000000000001" customHeight="1" thickTop="1" thickBot="1">
      <c r="A102" s="68"/>
      <c r="B102" s="69" t="str">
        <f>IFERROR(INDEX(Tableau4[Date],MATCH($A102,Tableau4[EVO],0)),"")</f>
        <v/>
      </c>
      <c r="C102" s="68" t="str">
        <f>IFERROR(INDEX(Tableau4[Designation],MATCH($A102,Tableau4[EVO],0)),"")</f>
        <v/>
      </c>
      <c r="D102" s="68"/>
      <c r="E102" s="70">
        <v>120</v>
      </c>
      <c r="F102" s="71">
        <v>13</v>
      </c>
      <c r="G102" s="101" t="str">
        <f>INDEX(Tableau8[Att1],MATCH(Tableau3[[#This Row],[ID-INS]],Tableau8[ID],0))&amp;""</f>
        <v>B22</v>
      </c>
      <c r="H102" s="101" t="str">
        <f>INDEX(Tableau8[Att2],MATCH(Tableau3[[#This Row],[ID-INS]],Tableau8[ID],0))&amp;""</f>
        <v>UTLB7</v>
      </c>
      <c r="I102" s="101" t="str">
        <f>INDEX(Tableau8[Att3],MATCH(Tableau3[[#This Row],[ID-INS]],Tableau8[ID],0))&amp;""</f>
        <v>UTL bleue IDP1/PMR2</v>
      </c>
      <c r="J102" s="101"/>
      <c r="K102" s="167" t="str">
        <f>INDEX(Tableau8[Nom du modele],MATCH(Tableau3[[#This Row],[ID-INS]],Tableau8[ID],0))&amp;""</f>
        <v>UTL</v>
      </c>
      <c r="L102" s="99" t="str">
        <f>INDEX(Tableau5[Att1],MATCH(Tableau3[[#This Row],[ID-SIG]],Tableau5[ID],0))&amp;""</f>
        <v>PassEffec</v>
      </c>
      <c r="M102" s="99" t="str">
        <f>INDEX(Tableau5[Att2],MATCH(Tableau3[[#This Row],[ID-SIG]],Tableau5[ID],0))&amp;""</f>
        <v/>
      </c>
      <c r="N102" s="99" t="str">
        <f>INDEX(Tableau5[Att3],MATCH(Tableau3[[#This Row],[ID-SIG]],Tableau5[ID],0))&amp;""</f>
        <v/>
      </c>
      <c r="O102" s="99"/>
      <c r="P102" s="99" t="str">
        <f>INDEX(Tableau5[Description],MATCH(Tableau3[[#This Row],[ID-SIG]],Tableau5[ID],0))</f>
        <v>Commande passage effectué vers UTL</v>
      </c>
      <c r="Q102" s="99"/>
      <c r="R102" s="103" t="str">
        <f>Tableau3[[#This Row],[Description]]</f>
        <v>Commande passage effectué vers UTL</v>
      </c>
      <c r="U102" s="87">
        <v>1</v>
      </c>
      <c r="V102" s="87">
        <v>2</v>
      </c>
      <c r="W102" s="87">
        <v>2</v>
      </c>
      <c r="X102" s="87">
        <v>4</v>
      </c>
      <c r="Y102" s="41"/>
      <c r="Z102" s="165" t="str">
        <f>INDEX(Tableau2[TS],MATCH(Tableau3[[#This Row],[ID-CARTEVOIE]],Tableau2[ID-CARTEVOIE],0))</f>
        <v>ST</v>
      </c>
      <c r="AA102" s="53" t="s">
        <v>213</v>
      </c>
      <c r="AB102" s="223" t="str">
        <f>IFERROR(INDEX(Tableau5[Reserve],MATCH(Tableau3[[#This Row],[ID-SIG]],Tableau5[ID],0))&amp;"","")</f>
        <v/>
      </c>
      <c r="AC102" s="21"/>
      <c r="AD102" s="108" t="str">
        <f>INDEX(Tableau7[Repere],MATCH(Tableau3[[#This Row],[ID-API]],Tableau7[ID-API],0))&amp;""</f>
        <v>A1</v>
      </c>
      <c r="AE102" s="108" t="str">
        <f>INDEX(Tableau1[Repere-Rack],MATCH(Tableau3[[#This Row],[ID-RACK]],Tableau1[ID-RACK],0))&amp;""</f>
        <v>R2</v>
      </c>
      <c r="AF102" s="108" t="str">
        <f>INDEX(Tableau1[Repere-Slot],MATCH(Tableau3[[#This Row],[ID-SLOT]],Tableau1[ID-SLOT],0))&amp;""</f>
        <v>S2</v>
      </c>
      <c r="AG102" s="108" t="str">
        <f>INDEX(Tableau2[Repere-Voie],MATCH(Tableau3[[#This Row],[ID-VOIE]],Tableau2[ID-Voie],0))&amp;""</f>
        <v>v4</v>
      </c>
      <c r="AH102" s="72" t="str">
        <f>Tableau3[[#This Row],[ID-API]]&amp; "." &amp;Tableau3[[#This Row],[ID-RACK]]&amp; "." &amp;Tableau3[[#This Row],[ID-SLOT]]</f>
        <v>1.2.2</v>
      </c>
      <c r="AI102" s="72" t="str">
        <f>INDEX(Tableau1[Ref-Carte],MATCH(Tableau3[[#This Row],[ID-RRS]],Tableau1[ID-RRS],0))</f>
        <v>SDO0802</v>
      </c>
      <c r="AJ102" s="72" t="str">
        <f t="array" ref="AJ102">IFERROR(INDEX(Tableau2[TS],MATCH(1,(Tableau2[Ref-Carte]=Tableau3[[#This Row],[Ref-Carte2]])*(Tableau2[ID-Voie]=Tableau3[[#This Row],[ID-VOIE]]),0)),"")</f>
        <v>ST</v>
      </c>
      <c r="AK102" s="72" t="str">
        <f>IFERROR(INDEX(Tableau2[TS],SUMPRODUCT((Tableau2[Ref-Carte]=Tableau3[[#This Row],[Ref-Carte2]])*(Tableau2[ID-Voie]=Tableau3[[#This Row],[ID-VOIE]])*ROW(Tableau2[TS]))-ROW(Tableau2[#Headers])),"")</f>
        <v>ST</v>
      </c>
      <c r="AL102" s="72" t="str">
        <f>Tableau3[[#This Row],[Ref-Carte2]]&amp;"/"&amp;Tableau3[[#This Row],[ID-VOIE]]</f>
        <v>SDO0802/4</v>
      </c>
      <c r="AM102" s="73" t="str">
        <f>INDEX(Tableau2[Borne],MATCH(Tableau3[[#This Row],[ID-CARTEVOIE]],Tableau2[ID-CARTEVOIE],0))&amp;""</f>
        <v>4</v>
      </c>
      <c r="AN102" s="74" t="str">
        <f>Tableau3[[#This Row],[ID-API]]&amp;Tableau3[[#This Row],[ID-RACK]]&amp;Tableau3[[#This Row],[ID-SLOT]]&amp;Tableau3[[#This Row],[BORNE]]</f>
        <v>1224</v>
      </c>
      <c r="AO102" s="1"/>
    </row>
    <row r="103" spans="1:41" ht="20.100000000000001" customHeight="1" thickTop="1" thickBot="1">
      <c r="A103" s="68"/>
      <c r="B103" s="69" t="str">
        <f>IFERROR(INDEX(Tableau4[Date],MATCH($A103,Tableau4[EVO],0)),"")</f>
        <v/>
      </c>
      <c r="C103" s="68" t="str">
        <f>IFERROR(INDEX(Tableau4[Designation],MATCH($A103,Tableau4[EVO],0)),"")</f>
        <v/>
      </c>
      <c r="D103" s="68"/>
      <c r="E103" s="70">
        <v>120</v>
      </c>
      <c r="F103" s="71">
        <v>14</v>
      </c>
      <c r="G103" s="101" t="str">
        <f>INDEX(Tableau8[Att1],MATCH(Tableau3[[#This Row],[ID-INS]],Tableau8[ID],0))&amp;""</f>
        <v>B22</v>
      </c>
      <c r="H103" s="101" t="str">
        <f>INDEX(Tableau8[Att2],MATCH(Tableau3[[#This Row],[ID-INS]],Tableau8[ID],0))&amp;""</f>
        <v>UTLB7</v>
      </c>
      <c r="I103" s="101" t="str">
        <f>INDEX(Tableau8[Att3],MATCH(Tableau3[[#This Row],[ID-INS]],Tableau8[ID],0))&amp;""</f>
        <v>UTL bleue IDP1/PMR2</v>
      </c>
      <c r="J103" s="101"/>
      <c r="K103" s="167" t="str">
        <f>INDEX(Tableau8[Nom du modele],MATCH(Tableau3[[#This Row],[ID-INS]],Tableau8[ID],0))&amp;""</f>
        <v>UTL</v>
      </c>
      <c r="L103" s="99" t="str">
        <f>INDEX(Tableau5[Att1],MATCH(Tableau3[[#This Row],[ID-SIG]],Tableau5[ID],0))&amp;""</f>
        <v>AutorBadge</v>
      </c>
      <c r="M103" s="99" t="str">
        <f>INDEX(Tableau5[Att2],MATCH(Tableau3[[#This Row],[ID-SIG]],Tableau5[ID],0))&amp;""</f>
        <v/>
      </c>
      <c r="N103" s="99" t="str">
        <f>INDEX(Tableau5[Att3],MATCH(Tableau3[[#This Row],[ID-SIG]],Tableau5[ID],0))&amp;""</f>
        <v/>
      </c>
      <c r="O103" s="99"/>
      <c r="P103" s="99" t="str">
        <f>INDEX(Tableau5[Description],MATCH(Tableau3[[#This Row],[ID-SIG]],Tableau5[ID],0))</f>
        <v>Commande autorisation badgeage vers UTL</v>
      </c>
      <c r="Q103" s="99"/>
      <c r="R103" s="103" t="str">
        <f>Tableau3[[#This Row],[Description]]</f>
        <v>Commande autorisation badgeage vers UTL</v>
      </c>
      <c r="U103" s="87">
        <v>1</v>
      </c>
      <c r="V103" s="87">
        <v>2</v>
      </c>
      <c r="W103" s="87">
        <v>2</v>
      </c>
      <c r="X103" s="87">
        <v>5</v>
      </c>
      <c r="Y103" s="41"/>
      <c r="Z103" s="165" t="str">
        <f>INDEX(Tableau2[TS],MATCH(Tableau3[[#This Row],[ID-CARTEVOIE]],Tableau2[ID-CARTEVOIE],0))</f>
        <v>ST</v>
      </c>
      <c r="AA103" s="53" t="s">
        <v>213</v>
      </c>
      <c r="AB103" s="223" t="str">
        <f>IFERROR(INDEX(Tableau5[Reserve],MATCH(Tableau3[[#This Row],[ID-SIG]],Tableau5[ID],0))&amp;"","")</f>
        <v/>
      </c>
      <c r="AC103" s="21"/>
      <c r="AD103" s="108" t="str">
        <f>INDEX(Tableau7[Repere],MATCH(Tableau3[[#This Row],[ID-API]],Tableau7[ID-API],0))&amp;""</f>
        <v>A1</v>
      </c>
      <c r="AE103" s="108" t="str">
        <f>INDEX(Tableau1[Repere-Rack],MATCH(Tableau3[[#This Row],[ID-RACK]],Tableau1[ID-RACK],0))&amp;""</f>
        <v>R2</v>
      </c>
      <c r="AF103" s="108" t="str">
        <f>INDEX(Tableau1[Repere-Slot],MATCH(Tableau3[[#This Row],[ID-SLOT]],Tableau1[ID-SLOT],0))&amp;""</f>
        <v>S2</v>
      </c>
      <c r="AG103" s="108" t="str">
        <f>INDEX(Tableau2[Repere-Voie],MATCH(Tableau3[[#This Row],[ID-VOIE]],Tableau2[ID-Voie],0))&amp;""</f>
        <v>v5</v>
      </c>
      <c r="AH103" s="72" t="str">
        <f>Tableau3[[#This Row],[ID-API]]&amp; "." &amp;Tableau3[[#This Row],[ID-RACK]]&amp; "." &amp;Tableau3[[#This Row],[ID-SLOT]]</f>
        <v>1.2.2</v>
      </c>
      <c r="AI103" s="72" t="str">
        <f>INDEX(Tableau1[Ref-Carte],MATCH(Tableau3[[#This Row],[ID-RRS]],Tableau1[ID-RRS],0))</f>
        <v>SDO0802</v>
      </c>
      <c r="AJ103" s="72" t="str">
        <f t="array" ref="AJ103">IFERROR(INDEX(Tableau2[TS],MATCH(1,(Tableau2[Ref-Carte]=Tableau3[[#This Row],[Ref-Carte2]])*(Tableau2[ID-Voie]=Tableau3[[#This Row],[ID-VOIE]]),0)),"")</f>
        <v>ST</v>
      </c>
      <c r="AK103" s="72" t="str">
        <f>IFERROR(INDEX(Tableau2[TS],SUMPRODUCT((Tableau2[Ref-Carte]=Tableau3[[#This Row],[Ref-Carte2]])*(Tableau2[ID-Voie]=Tableau3[[#This Row],[ID-VOIE]])*ROW(Tableau2[TS]))-ROW(Tableau2[#Headers])),"")</f>
        <v>ST</v>
      </c>
      <c r="AL103" s="72" t="str">
        <f>Tableau3[[#This Row],[Ref-Carte2]]&amp;"/"&amp;Tableau3[[#This Row],[ID-VOIE]]</f>
        <v>SDO0802/5</v>
      </c>
      <c r="AM103" s="73" t="str">
        <f>INDEX(Tableau2[Borne],MATCH(Tableau3[[#This Row],[ID-CARTEVOIE]],Tableau2[ID-CARTEVOIE],0))&amp;""</f>
        <v>5</v>
      </c>
      <c r="AN103" s="74" t="str">
        <f>Tableau3[[#This Row],[ID-API]]&amp;Tableau3[[#This Row],[ID-RACK]]&amp;Tableau3[[#This Row],[ID-SLOT]]&amp;Tableau3[[#This Row],[BORNE]]</f>
        <v>1225</v>
      </c>
      <c r="AO103" s="1"/>
    </row>
    <row r="104" spans="1:41" ht="20.100000000000001" customHeight="1" thickTop="1" thickBot="1">
      <c r="A104" s="134"/>
      <c r="B104" s="135" t="str">
        <f>IFERROR(INDEX(Tableau4[Date],MATCH($A104,Tableau4[EVO],0)),"")</f>
        <v/>
      </c>
      <c r="C104" s="136" t="str">
        <f>IFERROR(INDEX(Tableau4[Designation],MATCH($A104,Tableau4[EVO],0)),"")</f>
        <v/>
      </c>
      <c r="D104" s="134"/>
      <c r="E104" s="137">
        <v>121</v>
      </c>
      <c r="F104" s="138">
        <v>13</v>
      </c>
      <c r="G104" s="139" t="str">
        <f>INDEX(Tableau8[Att1],MATCH(Tableau3[[#This Row],[ID-INS]],Tableau8[ID],0))&amp;""</f>
        <v>B22</v>
      </c>
      <c r="H104" s="139" t="str">
        <f>INDEX(Tableau8[Att2],MATCH(Tableau3[[#This Row],[ID-INS]],Tableau8[ID],0))&amp;""</f>
        <v>UTLB8_1</v>
      </c>
      <c r="I104" s="139" t="str">
        <f>INDEX(Tableau8[Att3],MATCH(Tableau3[[#This Row],[ID-INS]],Tableau8[ID],0))&amp;""</f>
        <v>UTL bleue AUTP2/TRSD3-1/FRX5</v>
      </c>
      <c r="J104" s="101"/>
      <c r="K104" s="167" t="str">
        <f>INDEX(Tableau8[Nom du modele],MATCH(Tableau3[[#This Row],[ID-INS]],Tableau8[ID],0))&amp;""</f>
        <v>UTL</v>
      </c>
      <c r="L104" s="141" t="str">
        <f>INDEX(Tableau5[Att1],MATCH(Tableau3[[#This Row],[ID-SIG]],Tableau5[ID],0))&amp;""</f>
        <v>PassEffec</v>
      </c>
      <c r="M104" s="141" t="str">
        <f>INDEX(Tableau5[Att2],MATCH(Tableau3[[#This Row],[ID-SIG]],Tableau5[ID],0))&amp;""</f>
        <v/>
      </c>
      <c r="N104" s="141" t="str">
        <f>INDEX(Tableau5[Att3],MATCH(Tableau3[[#This Row],[ID-SIG]],Tableau5[ID],0))&amp;""</f>
        <v/>
      </c>
      <c r="O104" s="99"/>
      <c r="P104" s="141" t="str">
        <f>INDEX(Tableau5[Description],MATCH(Tableau3[[#This Row],[ID-SIG]],Tableau5[ID],0))</f>
        <v>Commande passage effectué vers UTL</v>
      </c>
      <c r="Q104" s="99"/>
      <c r="R104" s="142" t="str">
        <f>Tableau3[[#This Row],[Description]]</f>
        <v>Commande passage effectué vers UTL</v>
      </c>
      <c r="U104" s="87">
        <v>1</v>
      </c>
      <c r="V104" s="87">
        <v>2</v>
      </c>
      <c r="W104" s="87">
        <v>2</v>
      </c>
      <c r="X104" s="87">
        <v>6</v>
      </c>
      <c r="Y104" s="41"/>
      <c r="Z104" s="165" t="str">
        <f>INDEX(Tableau2[TS],MATCH(Tableau3[[#This Row],[ID-CARTEVOIE]],Tableau2[ID-CARTEVOIE],0))</f>
        <v>ST</v>
      </c>
      <c r="AA104" s="144" t="s">
        <v>213</v>
      </c>
      <c r="AB104" s="224" t="str">
        <f>IFERROR(INDEX(Tableau5[Reserve],MATCH(Tableau3[[#This Row],[ID-SIG]],Tableau5[ID],0))&amp;"","")</f>
        <v/>
      </c>
      <c r="AC104" s="119"/>
      <c r="AD104" s="120" t="str">
        <f>INDEX(Tableau7[Repere],MATCH(Tableau3[[#This Row],[ID-API]],Tableau7[ID-API],0))&amp;""</f>
        <v>A1</v>
      </c>
      <c r="AE104" s="120" t="str">
        <f>INDEX(Tableau1[Repere-Rack],MATCH(Tableau3[[#This Row],[ID-RACK]],Tableau1[ID-RACK],0))&amp;""</f>
        <v>R2</v>
      </c>
      <c r="AF104" s="120" t="str">
        <f>INDEX(Tableau1[Repere-Slot],MATCH(Tableau3[[#This Row],[ID-SLOT]],Tableau1[ID-SLOT],0))&amp;""</f>
        <v>S2</v>
      </c>
      <c r="AG104" s="120" t="str">
        <f>INDEX(Tableau2[Repere-Voie],MATCH(Tableau3[[#This Row],[ID-VOIE]],Tableau2[ID-Voie],0))&amp;""</f>
        <v>v6</v>
      </c>
      <c r="AH104" s="122" t="str">
        <f>Tableau3[[#This Row],[ID-API]]&amp; "." &amp;Tableau3[[#This Row],[ID-RACK]]&amp; "." &amp;Tableau3[[#This Row],[ID-SLOT]]</f>
        <v>1.2.2</v>
      </c>
      <c r="AI104" s="72" t="str">
        <f>INDEX(Tableau1[Ref-Carte],MATCH(Tableau3[[#This Row],[ID-RRS]],Tableau1[ID-RRS],0))</f>
        <v>SDO0802</v>
      </c>
      <c r="AJ104" s="72" t="str">
        <f t="array" ref="AJ104">IFERROR(INDEX(Tableau2[TS],MATCH(1,(Tableau2[Ref-Carte]=Tableau3[[#This Row],[Ref-Carte2]])*(Tableau2[ID-Voie]=Tableau3[[#This Row],[ID-VOIE]]),0)),"")</f>
        <v>ST</v>
      </c>
      <c r="AK104" s="72" t="str">
        <f>IFERROR(INDEX(Tableau2[TS],SUMPRODUCT((Tableau2[Ref-Carte]=Tableau3[[#This Row],[Ref-Carte2]])*(Tableau2[ID-Voie]=Tableau3[[#This Row],[ID-VOIE]])*ROW(Tableau2[TS]))-ROW(Tableau2[#Headers])),"")</f>
        <v>ST</v>
      </c>
      <c r="AL104" s="122" t="str">
        <f>Tableau3[[#This Row],[Ref-Carte2]]&amp;"/"&amp;Tableau3[[#This Row],[ID-VOIE]]</f>
        <v>SDO0802/6</v>
      </c>
      <c r="AM104" s="145" t="str">
        <f>INDEX(Tableau2[Borne],MATCH(Tableau3[[#This Row],[ID-CARTEVOIE]],Tableau2[ID-CARTEVOIE],0))&amp;""</f>
        <v>6</v>
      </c>
      <c r="AN104" s="124" t="str">
        <f>Tableau3[[#This Row],[ID-API]]&amp;Tableau3[[#This Row],[ID-RACK]]&amp;Tableau3[[#This Row],[ID-SLOT]]&amp;Tableau3[[#This Row],[BORNE]]</f>
        <v>1226</v>
      </c>
      <c r="AO104" s="125"/>
    </row>
    <row r="105" spans="1:41" ht="20.100000000000001" customHeight="1" thickTop="1" thickBot="1">
      <c r="A105" s="68"/>
      <c r="B105" s="69" t="str">
        <f>IFERROR(INDEX(Tableau4[Date],MATCH($A105,Tableau4[EVO],0)),"")</f>
        <v/>
      </c>
      <c r="C105" s="68" t="str">
        <f>IFERROR(INDEX(Tableau4[Designation],MATCH($A105,Tableau4[EVO],0)),"")</f>
        <v/>
      </c>
      <c r="D105" s="68"/>
      <c r="E105" s="70">
        <v>121</v>
      </c>
      <c r="F105" s="71">
        <v>14</v>
      </c>
      <c r="G105" s="101" t="str">
        <f>INDEX(Tableau8[Att1],MATCH(Tableau3[[#This Row],[ID-INS]],Tableau8[ID],0))&amp;""</f>
        <v>B22</v>
      </c>
      <c r="H105" s="101" t="str">
        <f>INDEX(Tableau8[Att2],MATCH(Tableau3[[#This Row],[ID-INS]],Tableau8[ID],0))&amp;""</f>
        <v>UTLB8_1</v>
      </c>
      <c r="I105" s="101" t="str">
        <f>INDEX(Tableau8[Att3],MATCH(Tableau3[[#This Row],[ID-INS]],Tableau8[ID],0))&amp;""</f>
        <v>UTL bleue AUTP2/TRSD3-1/FRX5</v>
      </c>
      <c r="J105" s="101"/>
      <c r="K105" s="167" t="str">
        <f>INDEX(Tableau8[Nom du modele],MATCH(Tableau3[[#This Row],[ID-INS]],Tableau8[ID],0))&amp;""</f>
        <v>UTL</v>
      </c>
      <c r="L105" s="99" t="str">
        <f>INDEX(Tableau5[Att1],MATCH(Tableau3[[#This Row],[ID-SIG]],Tableau5[ID],0))&amp;""</f>
        <v>AutorBadge</v>
      </c>
      <c r="M105" s="99" t="str">
        <f>INDEX(Tableau5[Att2],MATCH(Tableau3[[#This Row],[ID-SIG]],Tableau5[ID],0))&amp;""</f>
        <v/>
      </c>
      <c r="N105" s="99" t="str">
        <f>INDEX(Tableau5[Att3],MATCH(Tableau3[[#This Row],[ID-SIG]],Tableau5[ID],0))&amp;""</f>
        <v/>
      </c>
      <c r="O105" s="99"/>
      <c r="P105" s="99" t="str">
        <f>INDEX(Tableau5[Description],MATCH(Tableau3[[#This Row],[ID-SIG]],Tableau5[ID],0))</f>
        <v>Commande autorisation badgeage vers UTL</v>
      </c>
      <c r="Q105" s="99"/>
      <c r="R105" s="103" t="str">
        <f>Tableau3[[#This Row],[Description]]</f>
        <v>Commande autorisation badgeage vers UTL</v>
      </c>
      <c r="U105" s="87">
        <v>1</v>
      </c>
      <c r="V105" s="87">
        <v>2</v>
      </c>
      <c r="W105" s="87">
        <v>2</v>
      </c>
      <c r="X105" s="87">
        <v>7</v>
      </c>
      <c r="Y105" s="41"/>
      <c r="Z105" s="165" t="str">
        <f>INDEX(Tableau2[TS],MATCH(Tableau3[[#This Row],[ID-CARTEVOIE]],Tableau2[ID-CARTEVOIE],0))</f>
        <v>ST</v>
      </c>
      <c r="AA105" s="53" t="s">
        <v>213</v>
      </c>
      <c r="AB105" s="223" t="str">
        <f>IFERROR(INDEX(Tableau5[Reserve],MATCH(Tableau3[[#This Row],[ID-SIG]],Tableau5[ID],0))&amp;"","")</f>
        <v/>
      </c>
      <c r="AC105" s="21"/>
      <c r="AD105" s="108" t="str">
        <f>INDEX(Tableau7[Repere],MATCH(Tableau3[[#This Row],[ID-API]],Tableau7[ID-API],0))&amp;""</f>
        <v>A1</v>
      </c>
      <c r="AE105" s="108" t="str">
        <f>INDEX(Tableau1[Repere-Rack],MATCH(Tableau3[[#This Row],[ID-RACK]],Tableau1[ID-RACK],0))&amp;""</f>
        <v>R2</v>
      </c>
      <c r="AF105" s="108" t="str">
        <f>INDEX(Tableau1[Repere-Slot],MATCH(Tableau3[[#This Row],[ID-SLOT]],Tableau1[ID-SLOT],0))&amp;""</f>
        <v>S2</v>
      </c>
      <c r="AG105" s="108" t="str">
        <f>INDEX(Tableau2[Repere-Voie],MATCH(Tableau3[[#This Row],[ID-VOIE]],Tableau2[ID-Voie],0))&amp;""</f>
        <v>v7</v>
      </c>
      <c r="AH105" s="72" t="str">
        <f>Tableau3[[#This Row],[ID-API]]&amp; "." &amp;Tableau3[[#This Row],[ID-RACK]]&amp; "." &amp;Tableau3[[#This Row],[ID-SLOT]]</f>
        <v>1.2.2</v>
      </c>
      <c r="AI105" s="72" t="str">
        <f>INDEX(Tableau1[Ref-Carte],MATCH(Tableau3[[#This Row],[ID-RRS]],Tableau1[ID-RRS],0))</f>
        <v>SDO0802</v>
      </c>
      <c r="AJ105" s="72" t="str">
        <f t="array" ref="AJ105">IFERROR(INDEX(Tableau2[TS],MATCH(1,(Tableau2[Ref-Carte]=Tableau3[[#This Row],[Ref-Carte2]])*(Tableau2[ID-Voie]=Tableau3[[#This Row],[ID-VOIE]]),0)),"")</f>
        <v>ST</v>
      </c>
      <c r="AK105" s="72" t="str">
        <f>IFERROR(INDEX(Tableau2[TS],SUMPRODUCT((Tableau2[Ref-Carte]=Tableau3[[#This Row],[Ref-Carte2]])*(Tableau2[ID-Voie]=Tableau3[[#This Row],[ID-VOIE]])*ROW(Tableau2[TS]))-ROW(Tableau2[#Headers])),"")</f>
        <v>ST</v>
      </c>
      <c r="AL105" s="72" t="str">
        <f>Tableau3[[#This Row],[Ref-Carte2]]&amp;"/"&amp;Tableau3[[#This Row],[ID-VOIE]]</f>
        <v>SDO0802/7</v>
      </c>
      <c r="AM105" s="73" t="str">
        <f>INDEX(Tableau2[Borne],MATCH(Tableau3[[#This Row],[ID-CARTEVOIE]],Tableau2[ID-CARTEVOIE],0))&amp;""</f>
        <v>7</v>
      </c>
      <c r="AN105" s="74" t="str">
        <f>Tableau3[[#This Row],[ID-API]]&amp;Tableau3[[#This Row],[ID-RACK]]&amp;Tableau3[[#This Row],[ID-SLOT]]&amp;Tableau3[[#This Row],[BORNE]]</f>
        <v>1227</v>
      </c>
      <c r="AO105" s="1"/>
    </row>
    <row r="106" spans="1:41" ht="20.100000000000001" customHeight="1" thickTop="1" thickBot="1">
      <c r="A106" s="68"/>
      <c r="B106" s="69" t="str">
        <f>IFERROR(INDEX(Tableau4[Date],MATCH($A106,Tableau4[EVO],0)),"")</f>
        <v/>
      </c>
      <c r="C106" s="68" t="str">
        <f>IFERROR(INDEX(Tableau4[Designation],MATCH($A106,Tableau4[EVO],0)),"")</f>
        <v/>
      </c>
      <c r="D106" s="68"/>
      <c r="E106" s="70">
        <v>122</v>
      </c>
      <c r="F106" s="71">
        <v>13</v>
      </c>
      <c r="G106" s="101" t="str">
        <f>INDEX(Tableau8[Att1],MATCH(Tableau3[[#This Row],[ID-INS]],Tableau8[ID],0))&amp;""</f>
        <v>B22</v>
      </c>
      <c r="H106" s="101" t="str">
        <f>INDEX(Tableau8[Att2],MATCH(Tableau3[[#This Row],[ID-INS]],Tableau8[ID],0))&amp;""</f>
        <v>UTLB8_2</v>
      </c>
      <c r="I106" s="101" t="str">
        <f>INDEX(Tableau8[Att3],MATCH(Tableau3[[#This Row],[ID-INS]],Tableau8[ID],0))&amp;""</f>
        <v>UTL bleue IDP11/TRSD3-1/FRX5</v>
      </c>
      <c r="J106" s="101"/>
      <c r="K106" s="167" t="str">
        <f>INDEX(Tableau8[Nom du modele],MATCH(Tableau3[[#This Row],[ID-INS]],Tableau8[ID],0))&amp;""</f>
        <v>UTL</v>
      </c>
      <c r="L106" s="99" t="str">
        <f>INDEX(Tableau5[Att1],MATCH(Tableau3[[#This Row],[ID-SIG]],Tableau5[ID],0))&amp;""</f>
        <v>PassEffec</v>
      </c>
      <c r="M106" s="99" t="str">
        <f>INDEX(Tableau5[Att2],MATCH(Tableau3[[#This Row],[ID-SIG]],Tableau5[ID],0))&amp;""</f>
        <v/>
      </c>
      <c r="N106" s="99" t="str">
        <f>INDEX(Tableau5[Att3],MATCH(Tableau3[[#This Row],[ID-SIG]],Tableau5[ID],0))&amp;""</f>
        <v/>
      </c>
      <c r="O106" s="99"/>
      <c r="P106" s="99" t="str">
        <f>INDEX(Tableau5[Description],MATCH(Tableau3[[#This Row],[ID-SIG]],Tableau5[ID],0))</f>
        <v>Commande passage effectué vers UTL</v>
      </c>
      <c r="Q106" s="99"/>
      <c r="R106" s="103" t="str">
        <f>Tableau3[[#This Row],[Description]]</f>
        <v>Commande passage effectué vers UTL</v>
      </c>
      <c r="U106" s="87">
        <v>1</v>
      </c>
      <c r="V106" s="87">
        <v>2</v>
      </c>
      <c r="W106" s="87">
        <v>3</v>
      </c>
      <c r="X106" s="87">
        <v>0</v>
      </c>
      <c r="Y106" s="41"/>
      <c r="Z106" s="165" t="str">
        <f>INDEX(Tableau2[TS],MATCH(Tableau3[[#This Row],[ID-CARTEVOIE]],Tableau2[ID-CARTEVOIE],0))</f>
        <v>ST</v>
      </c>
      <c r="AA106" s="53" t="s">
        <v>213</v>
      </c>
      <c r="AB106" s="223" t="str">
        <f>IFERROR(INDEX(Tableau5[Reserve],MATCH(Tableau3[[#This Row],[ID-SIG]],Tableau5[ID],0))&amp;"","")</f>
        <v/>
      </c>
      <c r="AC106" s="21"/>
      <c r="AD106" s="108" t="str">
        <f>INDEX(Tableau7[Repere],MATCH(Tableau3[[#This Row],[ID-API]],Tableau7[ID-API],0))&amp;""</f>
        <v>A1</v>
      </c>
      <c r="AE106" s="108" t="str">
        <f>INDEX(Tableau1[Repere-Rack],MATCH(Tableau3[[#This Row],[ID-RACK]],Tableau1[ID-RACK],0))&amp;""</f>
        <v>R2</v>
      </c>
      <c r="AF106" s="108" t="str">
        <f>INDEX(Tableau1[Repere-Slot],MATCH(Tableau3[[#This Row],[ID-SLOT]],Tableau1[ID-SLOT],0))&amp;""</f>
        <v>S3</v>
      </c>
      <c r="AG106" s="108" t="str">
        <f>INDEX(Tableau2[Repere-Voie],MATCH(Tableau3[[#This Row],[ID-VOIE]],Tableau2[ID-Voie],0))&amp;""</f>
        <v>v0</v>
      </c>
      <c r="AH106" s="72" t="str">
        <f>Tableau3[[#This Row],[ID-API]]&amp; "." &amp;Tableau3[[#This Row],[ID-RACK]]&amp; "." &amp;Tableau3[[#This Row],[ID-SLOT]]</f>
        <v>1.2.3</v>
      </c>
      <c r="AI106" s="72" t="str">
        <f>INDEX(Tableau1[Ref-Carte],MATCH(Tableau3[[#This Row],[ID-RRS]],Tableau1[ID-RRS],0))</f>
        <v>SDO0802</v>
      </c>
      <c r="AJ106" s="72" t="str">
        <f t="array" ref="AJ106">IFERROR(INDEX(Tableau2[TS],MATCH(1,(Tableau2[Ref-Carte]=Tableau3[[#This Row],[Ref-Carte2]])*(Tableau2[ID-Voie]=Tableau3[[#This Row],[ID-VOIE]]),0)),"")</f>
        <v>ST</v>
      </c>
      <c r="AK106" s="72" t="str">
        <f>IFERROR(INDEX(Tableau2[TS],SUMPRODUCT((Tableau2[Ref-Carte]=Tableau3[[#This Row],[Ref-Carte2]])*(Tableau2[ID-Voie]=Tableau3[[#This Row],[ID-VOIE]])*ROW(Tableau2[TS]))-ROW(Tableau2[#Headers])),"")</f>
        <v>ST</v>
      </c>
      <c r="AL106" s="72" t="str">
        <f>Tableau3[[#This Row],[Ref-Carte2]]&amp;"/"&amp;Tableau3[[#This Row],[ID-VOIE]]</f>
        <v>SDO0802/0</v>
      </c>
      <c r="AM106" s="73" t="str">
        <f>INDEX(Tableau2[Borne],MATCH(Tableau3[[#This Row],[ID-CARTEVOIE]],Tableau2[ID-CARTEVOIE],0))&amp;""</f>
        <v>0</v>
      </c>
      <c r="AN106" s="74" t="str">
        <f>Tableau3[[#This Row],[ID-API]]&amp;Tableau3[[#This Row],[ID-RACK]]&amp;Tableau3[[#This Row],[ID-SLOT]]&amp;Tableau3[[#This Row],[BORNE]]</f>
        <v>1230</v>
      </c>
      <c r="AO106" s="1"/>
    </row>
    <row r="107" spans="1:41" ht="20.100000000000001" customHeight="1" thickTop="1" thickBot="1">
      <c r="A107" s="68"/>
      <c r="B107" s="69" t="str">
        <f>IFERROR(INDEX(Tableau4[Date],MATCH($A107,Tableau4[EVO],0)),"")</f>
        <v/>
      </c>
      <c r="C107" s="68" t="str">
        <f>IFERROR(INDEX(Tableau4[Designation],MATCH($A107,Tableau4[EVO],0)),"")</f>
        <v/>
      </c>
      <c r="D107" s="68"/>
      <c r="E107" s="70">
        <v>122</v>
      </c>
      <c r="F107" s="71">
        <v>14</v>
      </c>
      <c r="G107" s="101" t="str">
        <f>INDEX(Tableau8[Att1],MATCH(Tableau3[[#This Row],[ID-INS]],Tableau8[ID],0))&amp;""</f>
        <v>B22</v>
      </c>
      <c r="H107" s="101" t="str">
        <f>INDEX(Tableau8[Att2],MATCH(Tableau3[[#This Row],[ID-INS]],Tableau8[ID],0))&amp;""</f>
        <v>UTLB8_2</v>
      </c>
      <c r="I107" s="101" t="str">
        <f>INDEX(Tableau8[Att3],MATCH(Tableau3[[#This Row],[ID-INS]],Tableau8[ID],0))&amp;""</f>
        <v>UTL bleue IDP11/TRSD3-1/FRX5</v>
      </c>
      <c r="J107" s="101"/>
      <c r="K107" s="167" t="str">
        <f>INDEX(Tableau8[Nom du modele],MATCH(Tableau3[[#This Row],[ID-INS]],Tableau8[ID],0))&amp;""</f>
        <v>UTL</v>
      </c>
      <c r="L107" s="99" t="str">
        <f>INDEX(Tableau5[Att1],MATCH(Tableau3[[#This Row],[ID-SIG]],Tableau5[ID],0))&amp;""</f>
        <v>AutorBadge</v>
      </c>
      <c r="M107" s="99" t="str">
        <f>INDEX(Tableau5[Att2],MATCH(Tableau3[[#This Row],[ID-SIG]],Tableau5[ID],0))&amp;""</f>
        <v/>
      </c>
      <c r="N107" s="99" t="str">
        <f>INDEX(Tableau5[Att3],MATCH(Tableau3[[#This Row],[ID-SIG]],Tableau5[ID],0))&amp;""</f>
        <v/>
      </c>
      <c r="O107" s="99"/>
      <c r="P107" s="99" t="str">
        <f>INDEX(Tableau5[Description],MATCH(Tableau3[[#This Row],[ID-SIG]],Tableau5[ID],0))</f>
        <v>Commande autorisation badgeage vers UTL</v>
      </c>
      <c r="Q107" s="99"/>
      <c r="R107" s="103" t="str">
        <f>Tableau3[[#This Row],[Description]]</f>
        <v>Commande autorisation badgeage vers UTL</v>
      </c>
      <c r="U107" s="87">
        <v>1</v>
      </c>
      <c r="V107" s="87">
        <v>2</v>
      </c>
      <c r="W107" s="87">
        <v>3</v>
      </c>
      <c r="X107" s="87">
        <v>1</v>
      </c>
      <c r="Y107" s="41"/>
      <c r="Z107" s="165" t="str">
        <f>INDEX(Tableau2[TS],MATCH(Tableau3[[#This Row],[ID-CARTEVOIE]],Tableau2[ID-CARTEVOIE],0))</f>
        <v>ST</v>
      </c>
      <c r="AA107" s="53" t="s">
        <v>213</v>
      </c>
      <c r="AB107" s="223" t="str">
        <f>IFERROR(INDEX(Tableau5[Reserve],MATCH(Tableau3[[#This Row],[ID-SIG]],Tableau5[ID],0))&amp;"","")</f>
        <v/>
      </c>
      <c r="AC107" s="21"/>
      <c r="AD107" s="108" t="str">
        <f>INDEX(Tableau7[Repere],MATCH(Tableau3[[#This Row],[ID-API]],Tableau7[ID-API],0))&amp;""</f>
        <v>A1</v>
      </c>
      <c r="AE107" s="108" t="str">
        <f>INDEX(Tableau1[Repere-Rack],MATCH(Tableau3[[#This Row],[ID-RACK]],Tableau1[ID-RACK],0))&amp;""</f>
        <v>R2</v>
      </c>
      <c r="AF107" s="108" t="str">
        <f>INDEX(Tableau1[Repere-Slot],MATCH(Tableau3[[#This Row],[ID-SLOT]],Tableau1[ID-SLOT],0))&amp;""</f>
        <v>S3</v>
      </c>
      <c r="AG107" s="108" t="str">
        <f>INDEX(Tableau2[Repere-Voie],MATCH(Tableau3[[#This Row],[ID-VOIE]],Tableau2[ID-Voie],0))&amp;""</f>
        <v>v1</v>
      </c>
      <c r="AH107" s="72" t="str">
        <f>Tableau3[[#This Row],[ID-API]]&amp; "." &amp;Tableau3[[#This Row],[ID-RACK]]&amp; "." &amp;Tableau3[[#This Row],[ID-SLOT]]</f>
        <v>1.2.3</v>
      </c>
      <c r="AI107" s="72" t="str">
        <f>INDEX(Tableau1[Ref-Carte],MATCH(Tableau3[[#This Row],[ID-RRS]],Tableau1[ID-RRS],0))</f>
        <v>SDO0802</v>
      </c>
      <c r="AJ107" s="72" t="str">
        <f t="array" ref="AJ107">IFERROR(INDEX(Tableau2[TS],MATCH(1,(Tableau2[Ref-Carte]=Tableau3[[#This Row],[Ref-Carte2]])*(Tableau2[ID-Voie]=Tableau3[[#This Row],[ID-VOIE]]),0)),"")</f>
        <v>ST</v>
      </c>
      <c r="AK107" s="72" t="str">
        <f>IFERROR(INDEX(Tableau2[TS],SUMPRODUCT((Tableau2[Ref-Carte]=Tableau3[[#This Row],[Ref-Carte2]])*(Tableau2[ID-Voie]=Tableau3[[#This Row],[ID-VOIE]])*ROW(Tableau2[TS]))-ROW(Tableau2[#Headers])),"")</f>
        <v>ST</v>
      </c>
      <c r="AL107" s="72" t="str">
        <f>Tableau3[[#This Row],[Ref-Carte2]]&amp;"/"&amp;Tableau3[[#This Row],[ID-VOIE]]</f>
        <v>SDO0802/1</v>
      </c>
      <c r="AM107" s="73" t="str">
        <f>INDEX(Tableau2[Borne],MATCH(Tableau3[[#This Row],[ID-CARTEVOIE]],Tableau2[ID-CARTEVOIE],0))&amp;""</f>
        <v>1</v>
      </c>
      <c r="AN107" s="74" t="str">
        <f>Tableau3[[#This Row],[ID-API]]&amp;Tableau3[[#This Row],[ID-RACK]]&amp;Tableau3[[#This Row],[ID-SLOT]]&amp;Tableau3[[#This Row],[BORNE]]</f>
        <v>1231</v>
      </c>
      <c r="AO107" s="1"/>
    </row>
    <row r="108" spans="1:41" ht="20.100000000000001" customHeight="1" thickTop="1" thickBot="1">
      <c r="A108" s="68"/>
      <c r="B108" s="69" t="str">
        <f>IFERROR(INDEX(Tableau4[Date],MATCH($A108,Tableau4[EVO],0)),"")</f>
        <v/>
      </c>
      <c r="C108" s="68" t="str">
        <f>IFERROR(INDEX(Tableau4[Designation],MATCH($A108,Tableau4[EVO],0)),"")</f>
        <v/>
      </c>
      <c r="D108" s="68"/>
      <c r="E108" s="70">
        <v>131</v>
      </c>
      <c r="F108" s="71">
        <v>13</v>
      </c>
      <c r="G108" s="101" t="str">
        <f>INDEX(Tableau8[Att1],MATCH(Tableau3[[#This Row],[ID-INS]],Tableau8[ID],0))&amp;""</f>
        <v>B22</v>
      </c>
      <c r="H108" s="101" t="str">
        <f>INDEX(Tableau8[Att2],MATCH(Tableau3[[#This Row],[ID-INS]],Tableau8[ID],0))&amp;""</f>
        <v>UTLB17</v>
      </c>
      <c r="I108" s="101" t="str">
        <f>INDEX(Tableau8[Att3],MATCH(Tableau3[[#This Row],[ID-INS]],Tableau8[ID],0))&amp;""</f>
        <v>UTL bleue Porte Vigie</v>
      </c>
      <c r="J108" s="101"/>
      <c r="K108" s="167" t="str">
        <f>INDEX(Tableau8[Nom du modele],MATCH(Tableau3[[#This Row],[ID-INS]],Tableau8[ID],0))&amp;""</f>
        <v>UTL</v>
      </c>
      <c r="L108" s="99" t="str">
        <f>INDEX(Tableau5[Att1],MATCH(Tableau3[[#This Row],[ID-SIG]],Tableau5[ID],0))&amp;""</f>
        <v>PassEffec</v>
      </c>
      <c r="M108" s="99" t="str">
        <f>INDEX(Tableau5[Att2],MATCH(Tableau3[[#This Row],[ID-SIG]],Tableau5[ID],0))&amp;""</f>
        <v/>
      </c>
      <c r="N108" s="99" t="str">
        <f>INDEX(Tableau5[Att3],MATCH(Tableau3[[#This Row],[ID-SIG]],Tableau5[ID],0))&amp;""</f>
        <v/>
      </c>
      <c r="O108" s="99"/>
      <c r="P108" s="99" t="str">
        <f>INDEX(Tableau5[Description],MATCH(Tableau3[[#This Row],[ID-SIG]],Tableau5[ID],0))</f>
        <v>Commande passage effectué vers UTL</v>
      </c>
      <c r="Q108" s="99"/>
      <c r="R108" s="103" t="str">
        <f>Tableau3[[#This Row],[Description]]</f>
        <v>Commande passage effectué vers UTL</v>
      </c>
      <c r="U108" s="87">
        <v>1</v>
      </c>
      <c r="V108" s="87">
        <v>2</v>
      </c>
      <c r="W108" s="87">
        <v>3</v>
      </c>
      <c r="X108" s="87">
        <v>2</v>
      </c>
      <c r="Y108" s="41"/>
      <c r="Z108" s="165" t="str">
        <f>INDEX(Tableau2[TS],MATCH(Tableau3[[#This Row],[ID-CARTEVOIE]],Tableau2[ID-CARTEVOIE],0))</f>
        <v>ST</v>
      </c>
      <c r="AA108" s="53" t="s">
        <v>213</v>
      </c>
      <c r="AB108" s="223" t="str">
        <f>IFERROR(INDEX(Tableau5[Reserve],MATCH(Tableau3[[#This Row],[ID-SIG]],Tableau5[ID],0))&amp;"","")</f>
        <v/>
      </c>
      <c r="AC108" s="21"/>
      <c r="AD108" s="108" t="str">
        <f>INDEX(Tableau7[Repere],MATCH(Tableau3[[#This Row],[ID-API]],Tableau7[ID-API],0))&amp;""</f>
        <v>A1</v>
      </c>
      <c r="AE108" s="108" t="str">
        <f>INDEX(Tableau1[Repere-Rack],MATCH(Tableau3[[#This Row],[ID-RACK]],Tableau1[ID-RACK],0))&amp;""</f>
        <v>R2</v>
      </c>
      <c r="AF108" s="108" t="str">
        <f>INDEX(Tableau1[Repere-Slot],MATCH(Tableau3[[#This Row],[ID-SLOT]],Tableau1[ID-SLOT],0))&amp;""</f>
        <v>S3</v>
      </c>
      <c r="AG108" s="108" t="str">
        <f>INDEX(Tableau2[Repere-Voie],MATCH(Tableau3[[#This Row],[ID-VOIE]],Tableau2[ID-Voie],0))&amp;""</f>
        <v>v2</v>
      </c>
      <c r="AH108" s="72" t="str">
        <f>Tableau3[[#This Row],[ID-API]]&amp; "." &amp;Tableau3[[#This Row],[ID-RACK]]&amp; "." &amp;Tableau3[[#This Row],[ID-SLOT]]</f>
        <v>1.2.3</v>
      </c>
      <c r="AI108" s="72" t="str">
        <f>INDEX(Tableau1[Ref-Carte],MATCH(Tableau3[[#This Row],[ID-RRS]],Tableau1[ID-RRS],0))</f>
        <v>SDO0802</v>
      </c>
      <c r="AJ108" s="72" t="str">
        <f t="array" ref="AJ108">IFERROR(INDEX(Tableau2[TS],MATCH(1,(Tableau2[Ref-Carte]=Tableau3[[#This Row],[Ref-Carte2]])*(Tableau2[ID-Voie]=Tableau3[[#This Row],[ID-VOIE]]),0)),"")</f>
        <v>ST</v>
      </c>
      <c r="AK108" s="72" t="str">
        <f>IFERROR(INDEX(Tableau2[TS],SUMPRODUCT((Tableau2[Ref-Carte]=Tableau3[[#This Row],[Ref-Carte2]])*(Tableau2[ID-Voie]=Tableau3[[#This Row],[ID-VOIE]])*ROW(Tableau2[TS]))-ROW(Tableau2[#Headers])),"")</f>
        <v>ST</v>
      </c>
      <c r="AL108" s="72" t="str">
        <f>Tableau3[[#This Row],[Ref-Carte2]]&amp;"/"&amp;Tableau3[[#This Row],[ID-VOIE]]</f>
        <v>SDO0802/2</v>
      </c>
      <c r="AM108" s="73" t="str">
        <f>INDEX(Tableau2[Borne],MATCH(Tableau3[[#This Row],[ID-CARTEVOIE]],Tableau2[ID-CARTEVOIE],0))&amp;""</f>
        <v>2</v>
      </c>
      <c r="AN108" s="74" t="str">
        <f>Tableau3[[#This Row],[ID-API]]&amp;Tableau3[[#This Row],[ID-RACK]]&amp;Tableau3[[#This Row],[ID-SLOT]]&amp;Tableau3[[#This Row],[BORNE]]</f>
        <v>1232</v>
      </c>
      <c r="AO108" s="1"/>
    </row>
    <row r="109" spans="1:41" ht="20.100000000000001" customHeight="1" thickTop="1" thickBot="1">
      <c r="A109" s="68"/>
      <c r="B109" s="69" t="str">
        <f>IFERROR(INDEX(Tableau4[Date],MATCH($A109,Tableau4[EVO],0)),"")</f>
        <v/>
      </c>
      <c r="C109" s="68" t="str">
        <f>IFERROR(INDEX(Tableau4[Designation],MATCH($A109,Tableau4[EVO],0)),"")</f>
        <v/>
      </c>
      <c r="D109" s="68"/>
      <c r="E109" s="70">
        <v>131</v>
      </c>
      <c r="F109" s="71">
        <v>14</v>
      </c>
      <c r="G109" s="101" t="str">
        <f>INDEX(Tableau8[Att1],MATCH(Tableau3[[#This Row],[ID-INS]],Tableau8[ID],0))&amp;""</f>
        <v>B22</v>
      </c>
      <c r="H109" s="101" t="str">
        <f>INDEX(Tableau8[Att2],MATCH(Tableau3[[#This Row],[ID-INS]],Tableau8[ID],0))&amp;""</f>
        <v>UTLB17</v>
      </c>
      <c r="I109" s="101" t="str">
        <f>INDEX(Tableau8[Att3],MATCH(Tableau3[[#This Row],[ID-INS]],Tableau8[ID],0))&amp;""</f>
        <v>UTL bleue Porte Vigie</v>
      </c>
      <c r="J109" s="101"/>
      <c r="K109" s="167" t="str">
        <f>INDEX(Tableau8[Nom du modele],MATCH(Tableau3[[#This Row],[ID-INS]],Tableau8[ID],0))&amp;""</f>
        <v>UTL</v>
      </c>
      <c r="L109" s="99" t="str">
        <f>INDEX(Tableau5[Att1],MATCH(Tableau3[[#This Row],[ID-SIG]],Tableau5[ID],0))&amp;""</f>
        <v>AutorBadge</v>
      </c>
      <c r="M109" s="99" t="str">
        <f>INDEX(Tableau5[Att2],MATCH(Tableau3[[#This Row],[ID-SIG]],Tableau5[ID],0))&amp;""</f>
        <v/>
      </c>
      <c r="N109" s="99" t="str">
        <f>INDEX(Tableau5[Att3],MATCH(Tableau3[[#This Row],[ID-SIG]],Tableau5[ID],0))&amp;""</f>
        <v/>
      </c>
      <c r="O109" s="99"/>
      <c r="P109" s="99" t="str">
        <f>INDEX(Tableau5[Description],MATCH(Tableau3[[#This Row],[ID-SIG]],Tableau5[ID],0))</f>
        <v>Commande autorisation badgeage vers UTL</v>
      </c>
      <c r="Q109" s="99"/>
      <c r="R109" s="103" t="str">
        <f>Tableau3[[#This Row],[Description]]</f>
        <v>Commande autorisation badgeage vers UTL</v>
      </c>
      <c r="U109" s="87">
        <v>1</v>
      </c>
      <c r="V109" s="87">
        <v>2</v>
      </c>
      <c r="W109" s="87">
        <v>3</v>
      </c>
      <c r="X109" s="87">
        <v>3</v>
      </c>
      <c r="Y109" s="41"/>
      <c r="Z109" s="165" t="str">
        <f>INDEX(Tableau2[TS],MATCH(Tableau3[[#This Row],[ID-CARTEVOIE]],Tableau2[ID-CARTEVOIE],0))</f>
        <v>ST</v>
      </c>
      <c r="AA109" s="53" t="s">
        <v>213</v>
      </c>
      <c r="AB109" s="223" t="str">
        <f>IFERROR(INDEX(Tableau5[Reserve],MATCH(Tableau3[[#This Row],[ID-SIG]],Tableau5[ID],0))&amp;"","")</f>
        <v/>
      </c>
      <c r="AC109" s="21"/>
      <c r="AD109" s="108" t="str">
        <f>INDEX(Tableau7[Repere],MATCH(Tableau3[[#This Row],[ID-API]],Tableau7[ID-API],0))&amp;""</f>
        <v>A1</v>
      </c>
      <c r="AE109" s="108" t="str">
        <f>INDEX(Tableau1[Repere-Rack],MATCH(Tableau3[[#This Row],[ID-RACK]],Tableau1[ID-RACK],0))&amp;""</f>
        <v>R2</v>
      </c>
      <c r="AF109" s="108" t="str">
        <f>INDEX(Tableau1[Repere-Slot],MATCH(Tableau3[[#This Row],[ID-SLOT]],Tableau1[ID-SLOT],0))&amp;""</f>
        <v>S3</v>
      </c>
      <c r="AG109" s="108" t="str">
        <f>INDEX(Tableau2[Repere-Voie],MATCH(Tableau3[[#This Row],[ID-VOIE]],Tableau2[ID-Voie],0))&amp;""</f>
        <v>v3</v>
      </c>
      <c r="AH109" s="72" t="str">
        <f>Tableau3[[#This Row],[ID-API]]&amp; "." &amp;Tableau3[[#This Row],[ID-RACK]]&amp; "." &amp;Tableau3[[#This Row],[ID-SLOT]]</f>
        <v>1.2.3</v>
      </c>
      <c r="AI109" s="72" t="str">
        <f>INDEX(Tableau1[Ref-Carte],MATCH(Tableau3[[#This Row],[ID-RRS]],Tableau1[ID-RRS],0))</f>
        <v>SDO0802</v>
      </c>
      <c r="AJ109" s="72" t="str">
        <f t="array" ref="AJ109">IFERROR(INDEX(Tableau2[TS],MATCH(1,(Tableau2[Ref-Carte]=Tableau3[[#This Row],[Ref-Carte2]])*(Tableau2[ID-Voie]=Tableau3[[#This Row],[ID-VOIE]]),0)),"")</f>
        <v>ST</v>
      </c>
      <c r="AK109" s="72" t="str">
        <f>IFERROR(INDEX(Tableau2[TS],SUMPRODUCT((Tableau2[Ref-Carte]=Tableau3[[#This Row],[Ref-Carte2]])*(Tableau2[ID-Voie]=Tableau3[[#This Row],[ID-VOIE]])*ROW(Tableau2[TS]))-ROW(Tableau2[#Headers])),"")</f>
        <v>ST</v>
      </c>
      <c r="AL109" s="72" t="str">
        <f>Tableau3[[#This Row],[Ref-Carte2]]&amp;"/"&amp;Tableau3[[#This Row],[ID-VOIE]]</f>
        <v>SDO0802/3</v>
      </c>
      <c r="AM109" s="73" t="str">
        <f>INDEX(Tableau2[Borne],MATCH(Tableau3[[#This Row],[ID-CARTEVOIE]],Tableau2[ID-CARTEVOIE],0))&amp;""</f>
        <v>3</v>
      </c>
      <c r="AN109" s="74" t="str">
        <f>Tableau3[[#This Row],[ID-API]]&amp;Tableau3[[#This Row],[ID-RACK]]&amp;Tableau3[[#This Row],[ID-SLOT]]&amp;Tableau3[[#This Row],[BORNE]]</f>
        <v>1233</v>
      </c>
      <c r="AO109" s="1"/>
    </row>
    <row r="110" spans="1:41" ht="20.100000000000001" customHeight="1" thickTop="1" thickBot="1">
      <c r="A110" s="68"/>
      <c r="B110" s="69" t="str">
        <f>IFERROR(INDEX(Tableau4[Date],MATCH($A110,Tableau4[EVO],0)),"")</f>
        <v/>
      </c>
      <c r="C110" s="68" t="str">
        <f>IFERROR(INDEX(Tableau4[Designation],MATCH($A110,Tableau4[EVO],0)),"")</f>
        <v/>
      </c>
      <c r="D110" s="68"/>
      <c r="E110" s="70">
        <v>278</v>
      </c>
      <c r="F110" s="71">
        <v>313</v>
      </c>
      <c r="G110" s="101" t="str">
        <f>INDEX(Tableau8[Att1],MATCH(Tableau3[[#This Row],[ID-INS]],Tableau8[ID],0))&amp;""</f>
        <v>V5</v>
      </c>
      <c r="H110" s="101" t="str">
        <f>INDEX(Tableau8[Att2],MATCH(Tableau3[[#This Row],[ID-INS]],Tableau8[ID],0))&amp;""</f>
        <v>F21</v>
      </c>
      <c r="I110" s="101" t="str">
        <f>INDEX(Tableau8[Att3],MATCH(Tableau3[[#This Row],[ID-INS]],Tableau8[ID],0))&amp;""</f>
        <v>Feu F21</v>
      </c>
      <c r="J110" s="101"/>
      <c r="K110" s="167" t="str">
        <f>INDEX(Tableau8[Nom du modele],MATCH(Tableau3[[#This Row],[ID-INS]],Tableau8[ID],0))&amp;""</f>
        <v>FeuBi_1</v>
      </c>
      <c r="L110" s="99" t="str">
        <f>INDEX(Tableau5[Att1],MATCH(Tableau3[[#This Row],[ID-SIG]],Tableau5[ID],0))&amp;""</f>
        <v>FeuV_Cmd</v>
      </c>
      <c r="M110" s="99" t="str">
        <f>INDEX(Tableau5[Att2],MATCH(Tableau3[[#This Row],[ID-SIG]],Tableau5[ID],0))&amp;""</f>
        <v/>
      </c>
      <c r="N110" s="99" t="str">
        <f>INDEX(Tableau5[Att3],MATCH(Tableau3[[#This Row],[ID-SIG]],Tableau5[ID],0))&amp;""</f>
        <v/>
      </c>
      <c r="O110" s="99"/>
      <c r="P110" s="99" t="str">
        <f>INDEX(Tableau5[Description],MATCH(Tableau3[[#This Row],[ID-SIG]],Tableau5[ID],0))</f>
        <v>Commande Feu Vert</v>
      </c>
      <c r="Q110" s="99"/>
      <c r="R110" s="103" t="str">
        <f>Tableau3[[#This Row],[Description]]</f>
        <v>Commande Feu Vert</v>
      </c>
      <c r="U110" s="87">
        <v>1</v>
      </c>
      <c r="V110" s="87">
        <v>2</v>
      </c>
      <c r="W110" s="87">
        <v>3</v>
      </c>
      <c r="X110" s="87">
        <v>4</v>
      </c>
      <c r="Y110" s="41"/>
      <c r="Z110" s="165" t="str">
        <f>INDEX(Tableau2[TS],MATCH(Tableau3[[#This Row],[ID-CARTEVOIE]],Tableau2[ID-CARTEVOIE],0))</f>
        <v>ST</v>
      </c>
      <c r="AA110" s="53" t="s">
        <v>213</v>
      </c>
      <c r="AB110" s="223" t="str">
        <f>IFERROR(INDEX(Tableau5[Reserve],MATCH(Tableau3[[#This Row],[ID-SIG]],Tableau5[ID],0))&amp;"","")</f>
        <v/>
      </c>
      <c r="AC110" s="21"/>
      <c r="AD110" s="108" t="str">
        <f>INDEX(Tableau7[Repere],MATCH(Tableau3[[#This Row],[ID-API]],Tableau7[ID-API],0))&amp;""</f>
        <v>A1</v>
      </c>
      <c r="AE110" s="108" t="str">
        <f>INDEX(Tableau1[Repere-Rack],MATCH(Tableau3[[#This Row],[ID-RACK]],Tableau1[ID-RACK],0))&amp;""</f>
        <v>R2</v>
      </c>
      <c r="AF110" s="108" t="str">
        <f>INDEX(Tableau1[Repere-Slot],MATCH(Tableau3[[#This Row],[ID-SLOT]],Tableau1[ID-SLOT],0))&amp;""</f>
        <v>S3</v>
      </c>
      <c r="AG110" s="108" t="str">
        <f>INDEX(Tableau2[Repere-Voie],MATCH(Tableau3[[#This Row],[ID-VOIE]],Tableau2[ID-Voie],0))&amp;""</f>
        <v>v4</v>
      </c>
      <c r="AH110" s="72" t="str">
        <f>Tableau3[[#This Row],[ID-API]]&amp; "." &amp;Tableau3[[#This Row],[ID-RACK]]&amp; "." &amp;Tableau3[[#This Row],[ID-SLOT]]</f>
        <v>1.2.3</v>
      </c>
      <c r="AI110" s="72" t="str">
        <f>INDEX(Tableau1[Ref-Carte],MATCH(Tableau3[[#This Row],[ID-RRS]],Tableau1[ID-RRS],0))</f>
        <v>SDO0802</v>
      </c>
      <c r="AJ110" s="72" t="str">
        <f t="array" ref="AJ110">IFERROR(INDEX(Tableau2[TS],MATCH(1,(Tableau2[Ref-Carte]=Tableau3[[#This Row],[Ref-Carte2]])*(Tableau2[ID-Voie]=Tableau3[[#This Row],[ID-VOIE]]),0)),"")</f>
        <v>ST</v>
      </c>
      <c r="AK110" s="72" t="str">
        <f>IFERROR(INDEX(Tableau2[TS],SUMPRODUCT((Tableau2[Ref-Carte]=Tableau3[[#This Row],[Ref-Carte2]])*(Tableau2[ID-Voie]=Tableau3[[#This Row],[ID-VOIE]])*ROW(Tableau2[TS]))-ROW(Tableau2[#Headers])),"")</f>
        <v>ST</v>
      </c>
      <c r="AL110" s="72" t="str">
        <f>Tableau3[[#This Row],[Ref-Carte2]]&amp;"/"&amp;Tableau3[[#This Row],[ID-VOIE]]</f>
        <v>SDO0802/4</v>
      </c>
      <c r="AM110" s="73" t="str">
        <f>INDEX(Tableau2[Borne],MATCH(Tableau3[[#This Row],[ID-CARTEVOIE]],Tableau2[ID-CARTEVOIE],0))&amp;""</f>
        <v>4</v>
      </c>
      <c r="AN110" s="74" t="str">
        <f>Tableau3[[#This Row],[ID-API]]&amp;Tableau3[[#This Row],[ID-RACK]]&amp;Tableau3[[#This Row],[ID-SLOT]]&amp;Tableau3[[#This Row],[BORNE]]</f>
        <v>1234</v>
      </c>
      <c r="AO110" s="1"/>
    </row>
    <row r="111" spans="1:41" ht="20.100000000000001" customHeight="1" thickTop="1" thickBot="1">
      <c r="A111" s="68"/>
      <c r="B111" s="69" t="str">
        <f>IFERROR(INDEX(Tableau4[Date],MATCH($A111,Tableau4[EVO],0)),"")</f>
        <v/>
      </c>
      <c r="C111" s="68" t="str">
        <f>IFERROR(INDEX(Tableau4[Designation],MATCH($A111,Tableau4[EVO],0)),"")</f>
        <v/>
      </c>
      <c r="D111" s="68"/>
      <c r="E111" s="70">
        <v>279</v>
      </c>
      <c r="F111" s="71">
        <v>316</v>
      </c>
      <c r="G111" s="101" t="str">
        <f>INDEX(Tableau8[Att1],MATCH(Tableau3[[#This Row],[ID-INS]],Tableau8[ID],0))&amp;""</f>
        <v>V5</v>
      </c>
      <c r="H111" s="101" t="str">
        <f>INDEX(Tableau8[Att2],MATCH(Tableau3[[#This Row],[ID-INS]],Tableau8[ID],0))&amp;""</f>
        <v>F21</v>
      </c>
      <c r="I111" s="101" t="str">
        <f>INDEX(Tableau8[Att3],MATCH(Tableau3[[#This Row],[ID-INS]],Tableau8[ID],0))&amp;""</f>
        <v>Feu F21</v>
      </c>
      <c r="J111" s="101"/>
      <c r="K111" s="167" t="str">
        <f>INDEX(Tableau8[Nom du modele],MATCH(Tableau3[[#This Row],[ID-INS]],Tableau8[ID],0))&amp;""</f>
        <v>FeuBi_2</v>
      </c>
      <c r="L111" s="99" t="str">
        <f>INDEX(Tableau5[Att1],MATCH(Tableau3[[#This Row],[ID-SIG]],Tableau5[ID],0))&amp;""</f>
        <v>FeuR_Cmd</v>
      </c>
      <c r="M111" s="99" t="str">
        <f>INDEX(Tableau5[Att2],MATCH(Tableau3[[#This Row],[ID-SIG]],Tableau5[ID],0))&amp;""</f>
        <v/>
      </c>
      <c r="N111" s="99" t="str">
        <f>INDEX(Tableau5[Att3],MATCH(Tableau3[[#This Row],[ID-SIG]],Tableau5[ID],0))&amp;""</f>
        <v/>
      </c>
      <c r="O111" s="99"/>
      <c r="P111" s="99" t="str">
        <f>INDEX(Tableau5[Description],MATCH(Tableau3[[#This Row],[ID-SIG]],Tableau5[ID],0))</f>
        <v>Commande Feu Rouge</v>
      </c>
      <c r="Q111" s="99"/>
      <c r="R111" s="103" t="str">
        <f>Tableau3[[#This Row],[Description]]</f>
        <v>Commande Feu Rouge</v>
      </c>
      <c r="U111" s="87">
        <v>1</v>
      </c>
      <c r="V111" s="87">
        <v>2</v>
      </c>
      <c r="W111" s="87">
        <v>3</v>
      </c>
      <c r="X111" s="87">
        <v>5</v>
      </c>
      <c r="Y111" s="41"/>
      <c r="Z111" s="165" t="str">
        <f>INDEX(Tableau2[TS],MATCH(Tableau3[[#This Row],[ID-CARTEVOIE]],Tableau2[ID-CARTEVOIE],0))</f>
        <v>ST</v>
      </c>
      <c r="AA111" s="53" t="s">
        <v>213</v>
      </c>
      <c r="AB111" s="223" t="str">
        <f>IFERROR(INDEX(Tableau5[Reserve],MATCH(Tableau3[[#This Row],[ID-SIG]],Tableau5[ID],0))&amp;"","")</f>
        <v/>
      </c>
      <c r="AC111" s="21"/>
      <c r="AD111" s="108" t="str">
        <f>INDEX(Tableau7[Repere],MATCH(Tableau3[[#This Row],[ID-API]],Tableau7[ID-API],0))&amp;""</f>
        <v>A1</v>
      </c>
      <c r="AE111" s="108" t="str">
        <f>INDEX(Tableau1[Repere-Rack],MATCH(Tableau3[[#This Row],[ID-RACK]],Tableau1[ID-RACK],0))&amp;""</f>
        <v>R2</v>
      </c>
      <c r="AF111" s="108" t="str">
        <f>INDEX(Tableau1[Repere-Slot],MATCH(Tableau3[[#This Row],[ID-SLOT]],Tableau1[ID-SLOT],0))&amp;""</f>
        <v>S3</v>
      </c>
      <c r="AG111" s="108" t="str">
        <f>INDEX(Tableau2[Repere-Voie],MATCH(Tableau3[[#This Row],[ID-VOIE]],Tableau2[ID-Voie],0))&amp;""</f>
        <v>v5</v>
      </c>
      <c r="AH111" s="72" t="str">
        <f>Tableau3[[#This Row],[ID-API]]&amp; "." &amp;Tableau3[[#This Row],[ID-RACK]]&amp; "." &amp;Tableau3[[#This Row],[ID-SLOT]]</f>
        <v>1.2.3</v>
      </c>
      <c r="AI111" s="72" t="str">
        <f>INDEX(Tableau1[Ref-Carte],MATCH(Tableau3[[#This Row],[ID-RRS]],Tableau1[ID-RRS],0))</f>
        <v>SDO0802</v>
      </c>
      <c r="AJ111" s="72" t="str">
        <f t="array" ref="AJ111">IFERROR(INDEX(Tableau2[TS],MATCH(1,(Tableau2[Ref-Carte]=Tableau3[[#This Row],[Ref-Carte2]])*(Tableau2[ID-Voie]=Tableau3[[#This Row],[ID-VOIE]]),0)),"")</f>
        <v>ST</v>
      </c>
      <c r="AK111" s="72" t="str">
        <f>IFERROR(INDEX(Tableau2[TS],SUMPRODUCT((Tableau2[Ref-Carte]=Tableau3[[#This Row],[Ref-Carte2]])*(Tableau2[ID-Voie]=Tableau3[[#This Row],[ID-VOIE]])*ROW(Tableau2[TS]))-ROW(Tableau2[#Headers])),"")</f>
        <v>ST</v>
      </c>
      <c r="AL111" s="72" t="str">
        <f>Tableau3[[#This Row],[Ref-Carte2]]&amp;"/"&amp;Tableau3[[#This Row],[ID-VOIE]]</f>
        <v>SDO0802/5</v>
      </c>
      <c r="AM111" s="73" t="str">
        <f>INDEX(Tableau2[Borne],MATCH(Tableau3[[#This Row],[ID-CARTEVOIE]],Tableau2[ID-CARTEVOIE],0))&amp;""</f>
        <v>5</v>
      </c>
      <c r="AN111" s="74" t="str">
        <f>Tableau3[[#This Row],[ID-API]]&amp;Tableau3[[#This Row],[ID-RACK]]&amp;Tableau3[[#This Row],[ID-SLOT]]&amp;Tableau3[[#This Row],[BORNE]]</f>
        <v>1235</v>
      </c>
      <c r="AO111" s="1"/>
    </row>
    <row r="112" spans="1:41" ht="20.100000000000001" customHeight="1" thickTop="1" thickBot="1">
      <c r="A112" s="110" t="s">
        <v>1671</v>
      </c>
      <c r="B112" s="111">
        <f>IFERROR(INDEX(Tableau4[Date],MATCH($A112,Tableau4[EVO],0)),"")</f>
        <v>46204</v>
      </c>
      <c r="C112" s="112" t="str">
        <f>IFERROR(INDEX(Tableau4[Designation],MATCH($A112,Tableau4[EVO],0)),"")</f>
        <v>TQC Armoire B22 (2801)</v>
      </c>
      <c r="D112" s="110"/>
      <c r="E112" s="113">
        <v>4</v>
      </c>
      <c r="F112" s="114">
        <v>268</v>
      </c>
      <c r="G112" s="115" t="str">
        <f>INDEX(Tableau8[Att1],MATCH(Tableau3[[#This Row],[ID-INS]],Tableau8[ID],0))&amp;""</f>
        <v>V1</v>
      </c>
      <c r="H112" s="115" t="s">
        <v>1672</v>
      </c>
      <c r="I112" s="115" t="str">
        <f>INDEX(Tableau8[Att3],MATCH(Tableau3[[#This Row],[ID-INS]],Tableau8[ID],0))&amp;""</f>
        <v>Portail P4</v>
      </c>
      <c r="J112" s="102"/>
      <c r="K112" s="167" t="str">
        <f>INDEX(Tableau8[Nom du modele],MATCH(Tableau3[[#This Row],[ID-INS]],Tableau8[ID],0))&amp;""</f>
        <v>PortailBleuHydr_1</v>
      </c>
      <c r="L112" s="116" t="s">
        <v>1673</v>
      </c>
      <c r="M112" s="116" t="str">
        <f>INDEX(Tableau5[Att2],MATCH(Tableau3[[#This Row],[ID-SIG]],Tableau5[ID],0))&amp;""</f>
        <v/>
      </c>
      <c r="N112" s="116" t="str">
        <f>INDEX(Tableau5[Att3],MATCH(Tableau3[[#This Row],[ID-SIG]],Tableau5[ID],0))&amp;""</f>
        <v/>
      </c>
      <c r="O112" s="100"/>
      <c r="P112" s="116" t="s">
        <v>1675</v>
      </c>
      <c r="Q112" s="100"/>
      <c r="R112" s="117" t="str">
        <f>Tableau3[[#This Row],[Description]]</f>
        <v>Commande buzzer vigie commande 1</v>
      </c>
      <c r="S112" s="52"/>
      <c r="U112" s="88">
        <v>1</v>
      </c>
      <c r="V112" s="88">
        <v>2</v>
      </c>
      <c r="W112" s="88">
        <v>3</v>
      </c>
      <c r="X112" s="88">
        <v>6</v>
      </c>
      <c r="Y112" s="41"/>
      <c r="Z112" s="166" t="str">
        <f>INDEX(Tableau2[TS],MATCH(Tableau3[[#This Row],[ID-CARTEVOIE]],Tableau2[ID-CARTEVOIE],0))</f>
        <v>ST</v>
      </c>
      <c r="AA112" s="118" t="s">
        <v>213</v>
      </c>
      <c r="AB112" s="225" t="str">
        <f>IFERROR(INDEX(Tableau5[Reserve],MATCH(Tableau3[[#This Row],[ID-SIG]],Tableau5[ID],0))&amp;"","")</f>
        <v/>
      </c>
      <c r="AC112" s="119" t="s">
        <v>1505</v>
      </c>
      <c r="AD112" s="120" t="str">
        <f>INDEX(Tableau7[Repere],MATCH(Tableau3[[#This Row],[ID-API]],Tableau7[ID-API],0))&amp;""</f>
        <v>A1</v>
      </c>
      <c r="AE112" s="121" t="str">
        <f>INDEX(Tableau1[Repere-Rack],MATCH(Tableau3[[#This Row],[ID-RACK]],Tableau1[ID-RACK],0))&amp;""</f>
        <v>R2</v>
      </c>
      <c r="AF112" s="121" t="str">
        <f>INDEX(Tableau1[Repere-Slot],MATCH(Tableau3[[#This Row],[ID-SLOT]],Tableau1[ID-SLOT],0))&amp;""</f>
        <v>S3</v>
      </c>
      <c r="AG112" s="121" t="str">
        <f>INDEX(Tableau2[Repere-Voie],MATCH(Tableau3[[#This Row],[ID-VOIE]],Tableau2[ID-Voie],0))&amp;""</f>
        <v>v6</v>
      </c>
      <c r="AH112" s="122" t="str">
        <f>Tableau3[[#This Row],[ID-API]]&amp; "." &amp;Tableau3[[#This Row],[ID-RACK]]&amp; "." &amp;Tableau3[[#This Row],[ID-SLOT]]</f>
        <v>1.2.3</v>
      </c>
      <c r="AI112" s="72" t="str">
        <f>INDEX(Tableau1[Ref-Carte],MATCH(Tableau3[[#This Row],[ID-RRS]],Tableau1[ID-RRS],0))</f>
        <v>SDO0802</v>
      </c>
      <c r="AJ112" s="72" t="str">
        <f t="array" ref="AJ112">IFERROR(INDEX(Tableau2[TS],MATCH(1,(Tableau2[Ref-Carte]=Tableau3[[#This Row],[Ref-Carte2]])*(Tableau2[ID-Voie]=Tableau3[[#This Row],[ID-VOIE]]),0)),"")</f>
        <v>ST</v>
      </c>
      <c r="AK112" s="72" t="str">
        <f>IFERROR(INDEX(Tableau2[TS],SUMPRODUCT((Tableau2[Ref-Carte]=Tableau3[[#This Row],[Ref-Carte2]])*(Tableau2[ID-Voie]=Tableau3[[#This Row],[ID-VOIE]])*ROW(Tableau2[TS]))-ROW(Tableau2[#Headers])),"")</f>
        <v>ST</v>
      </c>
      <c r="AL112" s="122" t="str">
        <f>Tableau3[[#This Row],[Ref-Carte2]]&amp;"/"&amp;Tableau3[[#This Row],[ID-VOIE]]</f>
        <v>SDO0802/6</v>
      </c>
      <c r="AM112" s="123" t="str">
        <f>INDEX(Tableau2[Borne],MATCH(Tableau3[[#This Row],[ID-CARTEVOIE]],Tableau2[ID-CARTEVOIE],0))&amp;""</f>
        <v>6</v>
      </c>
      <c r="AN112" s="124" t="str">
        <f>Tableau3[[#This Row],[ID-API]]&amp;Tableau3[[#This Row],[ID-RACK]]&amp;Tableau3[[#This Row],[ID-SLOT]]&amp;Tableau3[[#This Row],[BORNE]]</f>
        <v>1236</v>
      </c>
      <c r="AO112" s="125"/>
    </row>
    <row r="113" spans="1:41" ht="20.100000000000001" customHeight="1" thickTop="1" thickBot="1">
      <c r="A113" s="110" t="s">
        <v>1671</v>
      </c>
      <c r="B113" s="111">
        <f>IFERROR(INDEX(Tableau4[Date],MATCH($A113,Tableau4[EVO],0)),"")</f>
        <v>46204</v>
      </c>
      <c r="C113" s="112" t="str">
        <f>IFERROR(INDEX(Tableau4[Designation],MATCH($A113,Tableau4[EVO],0)),"")</f>
        <v>TQC Armoire B22 (2801)</v>
      </c>
      <c r="D113" s="110"/>
      <c r="E113" s="113">
        <v>4</v>
      </c>
      <c r="F113" s="114">
        <v>269</v>
      </c>
      <c r="G113" s="115" t="str">
        <f>INDEX(Tableau8[Att1],MATCH(Tableau3[[#This Row],[ID-INS]],Tableau8[ID],0))&amp;""</f>
        <v>V1</v>
      </c>
      <c r="H113" s="115" t="s">
        <v>1672</v>
      </c>
      <c r="I113" s="115" t="str">
        <f>INDEX(Tableau8[Att3],MATCH(Tableau3[[#This Row],[ID-INS]],Tableau8[ID],0))&amp;""</f>
        <v>Portail P4</v>
      </c>
      <c r="J113" s="102"/>
      <c r="K113" s="167" t="str">
        <f>INDEX(Tableau8[Nom du modele],MATCH(Tableau3[[#This Row],[ID-INS]],Tableau8[ID],0))&amp;""</f>
        <v>PortailBleuHydr_1</v>
      </c>
      <c r="L113" s="116" t="s">
        <v>1674</v>
      </c>
      <c r="M113" s="116" t="str">
        <f>INDEX(Tableau5[Att2],MATCH(Tableau3[[#This Row],[ID-SIG]],Tableau5[ID],0))&amp;""</f>
        <v/>
      </c>
      <c r="N113" s="116" t="str">
        <f>INDEX(Tableau5[Att3],MATCH(Tableau3[[#This Row],[ID-SIG]],Tableau5[ID],0))&amp;""</f>
        <v/>
      </c>
      <c r="O113" s="100"/>
      <c r="P113" s="116" t="s">
        <v>1676</v>
      </c>
      <c r="Q113" s="100"/>
      <c r="R113" s="117" t="str">
        <f>Tableau3[[#This Row],[Description]]</f>
        <v>Commande buzzer vigie commande 2</v>
      </c>
      <c r="S113" s="52"/>
      <c r="U113" s="88">
        <v>1</v>
      </c>
      <c r="V113" s="88">
        <v>2</v>
      </c>
      <c r="W113" s="88">
        <v>3</v>
      </c>
      <c r="X113" s="88">
        <v>7</v>
      </c>
      <c r="Y113" s="41"/>
      <c r="Z113" s="166" t="str">
        <f>INDEX(Tableau2[TS],MATCH(Tableau3[[#This Row],[ID-CARTEVOIE]],Tableau2[ID-CARTEVOIE],0))</f>
        <v>ST</v>
      </c>
      <c r="AA113" s="118" t="s">
        <v>213</v>
      </c>
      <c r="AB113" s="225" t="str">
        <f>IFERROR(INDEX(Tableau5[Reserve],MATCH(Tableau3[[#This Row],[ID-SIG]],Tableau5[ID],0))&amp;"","")</f>
        <v/>
      </c>
      <c r="AC113" s="119" t="s">
        <v>1505</v>
      </c>
      <c r="AD113" s="120" t="str">
        <f>INDEX(Tableau7[Repere],MATCH(Tableau3[[#This Row],[ID-API]],Tableau7[ID-API],0))&amp;""</f>
        <v>A1</v>
      </c>
      <c r="AE113" s="121" t="str">
        <f>INDEX(Tableau1[Repere-Rack],MATCH(Tableau3[[#This Row],[ID-RACK]],Tableau1[ID-RACK],0))&amp;""</f>
        <v>R2</v>
      </c>
      <c r="AF113" s="121" t="str">
        <f>INDEX(Tableau1[Repere-Slot],MATCH(Tableau3[[#This Row],[ID-SLOT]],Tableau1[ID-SLOT],0))&amp;""</f>
        <v>S3</v>
      </c>
      <c r="AG113" s="121" t="str">
        <f>INDEX(Tableau2[Repere-Voie],MATCH(Tableau3[[#This Row],[ID-VOIE]],Tableau2[ID-Voie],0))&amp;""</f>
        <v>v7</v>
      </c>
      <c r="AH113" s="122" t="str">
        <f>Tableau3[[#This Row],[ID-API]]&amp; "." &amp;Tableau3[[#This Row],[ID-RACK]]&amp; "." &amp;Tableau3[[#This Row],[ID-SLOT]]</f>
        <v>1.2.3</v>
      </c>
      <c r="AI113" s="72" t="str">
        <f>INDEX(Tableau1[Ref-Carte],MATCH(Tableau3[[#This Row],[ID-RRS]],Tableau1[ID-RRS],0))</f>
        <v>SDO0802</v>
      </c>
      <c r="AJ113" s="72" t="str">
        <f t="array" ref="AJ113">IFERROR(INDEX(Tableau2[TS],MATCH(1,(Tableau2[Ref-Carte]=Tableau3[[#This Row],[Ref-Carte2]])*(Tableau2[ID-Voie]=Tableau3[[#This Row],[ID-VOIE]]),0)),"")</f>
        <v>ST</v>
      </c>
      <c r="AK113" s="72" t="str">
        <f>IFERROR(INDEX(Tableau2[TS],SUMPRODUCT((Tableau2[Ref-Carte]=Tableau3[[#This Row],[Ref-Carte2]])*(Tableau2[ID-Voie]=Tableau3[[#This Row],[ID-VOIE]])*ROW(Tableau2[TS]))-ROW(Tableau2[#Headers])),"")</f>
        <v>ST</v>
      </c>
      <c r="AL113" s="122" t="str">
        <f>Tableau3[[#This Row],[Ref-Carte2]]&amp;"/"&amp;Tableau3[[#This Row],[ID-VOIE]]</f>
        <v>SDO0802/7</v>
      </c>
      <c r="AM113" s="123" t="str">
        <f>INDEX(Tableau2[Borne],MATCH(Tableau3[[#This Row],[ID-CARTEVOIE]],Tableau2[ID-CARTEVOIE],0))&amp;""</f>
        <v>7</v>
      </c>
      <c r="AN113" s="124" t="str">
        <f>Tableau3[[#This Row],[ID-API]]&amp;Tableau3[[#This Row],[ID-RACK]]&amp;Tableau3[[#This Row],[ID-SLOT]]&amp;Tableau3[[#This Row],[BORNE]]</f>
        <v>1237</v>
      </c>
      <c r="AO113" s="125"/>
    </row>
    <row r="114" spans="1:41" ht="20.100000000000001" customHeight="1" thickTop="1" thickBot="1">
      <c r="A114" s="110"/>
      <c r="B114" s="111" t="str">
        <f>IFERROR(INDEX(Tableau4[Date],MATCH($A114,Tableau4[EVO],0)),"")</f>
        <v/>
      </c>
      <c r="C114" s="112" t="str">
        <f>IFERROR(INDEX(Tableau4[Designation],MATCH($A114,Tableau4[EVO],0)),"")</f>
        <v/>
      </c>
      <c r="D114" s="110"/>
      <c r="E114" s="113"/>
      <c r="F114" s="146"/>
      <c r="G114" s="147" t="e">
        <f>INDEX(Tableau8[Att1],MATCH(Tableau3[[#This Row],[ID-INS]],Tableau8[ID],0))&amp;""</f>
        <v>#N/A</v>
      </c>
      <c r="H114" s="147" t="e">
        <f>INDEX(Tableau8[Att2],MATCH(Tableau3[[#This Row],[ID-INS]],Tableau8[ID],0))&amp;""</f>
        <v>#N/A</v>
      </c>
      <c r="I114" s="147" t="e">
        <f>INDEX(Tableau8[Att3],MATCH(Tableau3[[#This Row],[ID-INS]],Tableau8[ID],0))&amp;""</f>
        <v>#N/A</v>
      </c>
      <c r="J114" s="148"/>
      <c r="K114" s="167" t="e">
        <f>INDEX(Tableau8[Nom du modele],MATCH(Tableau3[[#This Row],[ID-INS]],Tableau8[ID],0))&amp;""</f>
        <v>#N/A</v>
      </c>
      <c r="L114" s="149" t="e">
        <f>INDEX(Tableau5[Att1],MATCH(Tableau3[[#This Row],[ID-SIG]],Tableau5[ID],0))&amp;""</f>
        <v>#N/A</v>
      </c>
      <c r="M114" s="149" t="e">
        <f>INDEX(Tableau5[Att2],MATCH(Tableau3[[#This Row],[ID-SIG]],Tableau5[ID],0))&amp;""</f>
        <v>#N/A</v>
      </c>
      <c r="N114" s="149" t="e">
        <f>INDEX(Tableau5[Att3],MATCH(Tableau3[[#This Row],[ID-SIG]],Tableau5[ID],0))&amp;""</f>
        <v>#N/A</v>
      </c>
      <c r="O114" s="150"/>
      <c r="P114" s="149" t="e">
        <f>INDEX(Tableau5[Description],MATCH(Tableau3[[#This Row],[ID-SIG]],Tableau5[ID],0))</f>
        <v>#N/A</v>
      </c>
      <c r="Q114" s="150"/>
      <c r="R114" s="117" t="e">
        <f>Tableau3[[#This Row],[Description]]</f>
        <v>#N/A</v>
      </c>
      <c r="S114" s="75"/>
      <c r="T114" s="75"/>
      <c r="U114" s="151">
        <v>1</v>
      </c>
      <c r="V114" s="151">
        <v>2</v>
      </c>
      <c r="W114" s="151">
        <v>4</v>
      </c>
      <c r="X114" s="151">
        <v>0</v>
      </c>
      <c r="Y114" s="41"/>
      <c r="Z114" s="166" t="str">
        <f>INDEX(Tableau2[TS],MATCH(Tableau3[[#This Row],[ID-CARTEVOIE]],Tableau2[ID-CARTEVOIE],0))</f>
        <v>ST</v>
      </c>
      <c r="AA114" s="81" t="s">
        <v>213</v>
      </c>
      <c r="AB114" s="226" t="str">
        <f>IFERROR(INDEX(Tableau5[Reserve],MATCH(Tableau3[[#This Row],[ID-SIG]],Tableau5[ID],0))&amp;"","")</f>
        <v/>
      </c>
      <c r="AC114" s="119" t="s">
        <v>1456</v>
      </c>
      <c r="AD114" s="120" t="str">
        <f>INDEX(Tableau7[Repere],MATCH(Tableau3[[#This Row],[ID-API]],Tableau7[ID-API],0))&amp;""</f>
        <v>A1</v>
      </c>
      <c r="AE114" s="121" t="str">
        <f>INDEX(Tableau1[Repere-Rack],MATCH(Tableau3[[#This Row],[ID-RACK]],Tableau1[ID-RACK],0))&amp;""</f>
        <v>R2</v>
      </c>
      <c r="AF114" s="121" t="str">
        <f>INDEX(Tableau1[Repere-Slot],MATCH(Tableau3[[#This Row],[ID-SLOT]],Tableau1[ID-SLOT],0))&amp;""</f>
        <v>S4</v>
      </c>
      <c r="AG114" s="121" t="str">
        <f>INDEX(Tableau2[Repere-Voie],MATCH(Tableau3[[#This Row],[ID-VOIE]],Tableau2[ID-Voie],0))&amp;""</f>
        <v>v0</v>
      </c>
      <c r="AH114" s="122" t="str">
        <f>Tableau3[[#This Row],[ID-API]]&amp; "." &amp;Tableau3[[#This Row],[ID-RACK]]&amp; "." &amp;Tableau3[[#This Row],[ID-SLOT]]</f>
        <v>1.2.4</v>
      </c>
      <c r="AI114" s="72" t="str">
        <f>INDEX(Tableau1[Ref-Carte],MATCH(Tableau3[[#This Row],[ID-RRS]],Tableau1[ID-RRS],0))</f>
        <v>SDO0802</v>
      </c>
      <c r="AJ114" s="72" t="str">
        <f t="array" ref="AJ114">IFERROR(INDEX(Tableau2[TS],MATCH(1,(Tableau2[Ref-Carte]=Tableau3[[#This Row],[Ref-Carte2]])*(Tableau2[ID-Voie]=Tableau3[[#This Row],[ID-VOIE]]),0)),"")</f>
        <v>ST</v>
      </c>
      <c r="AK114" s="72" t="str">
        <f>IFERROR(INDEX(Tableau2[TS],SUMPRODUCT((Tableau2[Ref-Carte]=Tableau3[[#This Row],[Ref-Carte2]])*(Tableau2[ID-Voie]=Tableau3[[#This Row],[ID-VOIE]])*ROW(Tableau2[TS]))-ROW(Tableau2[#Headers])),"")</f>
        <v>ST</v>
      </c>
      <c r="AL114" s="122" t="str">
        <f>Tableau3[[#This Row],[Ref-Carte2]]&amp;"/"&amp;Tableau3[[#This Row],[ID-VOIE]]</f>
        <v>SDO0802/0</v>
      </c>
      <c r="AM114" s="123" t="str">
        <f>INDEX(Tableau2[Borne],MATCH(Tableau3[[#This Row],[ID-CARTEVOIE]],Tableau2[ID-CARTEVOIE],0))&amp;""</f>
        <v>0</v>
      </c>
      <c r="AN114" s="124" t="str">
        <f>Tableau3[[#This Row],[ID-API]]&amp;Tableau3[[#This Row],[ID-RACK]]&amp;Tableau3[[#This Row],[ID-SLOT]]&amp;Tableau3[[#This Row],[BORNE]]</f>
        <v>1240</v>
      </c>
      <c r="AO114" s="125"/>
    </row>
    <row r="115" spans="1:41" ht="20.100000000000001" customHeight="1" thickTop="1" thickBot="1">
      <c r="A115" s="110"/>
      <c r="B115" s="111" t="str">
        <f>IFERROR(INDEX(Tableau4[Date],MATCH($A115,Tableau4[EVO],0)),"")</f>
        <v/>
      </c>
      <c r="C115" s="112" t="str">
        <f>IFERROR(INDEX(Tableau4[Designation],MATCH($A115,Tableau4[EVO],0)),"")</f>
        <v/>
      </c>
      <c r="D115" s="110"/>
      <c r="E115" s="113"/>
      <c r="F115" s="146"/>
      <c r="G115" s="147" t="e">
        <f>INDEX(Tableau8[Att1],MATCH(Tableau3[[#This Row],[ID-INS]],Tableau8[ID],0))&amp;""</f>
        <v>#N/A</v>
      </c>
      <c r="H115" s="147" t="e">
        <f>INDEX(Tableau8[Att2],MATCH(Tableau3[[#This Row],[ID-INS]],Tableau8[ID],0))&amp;""</f>
        <v>#N/A</v>
      </c>
      <c r="I115" s="147" t="e">
        <f>INDEX(Tableau8[Att3],MATCH(Tableau3[[#This Row],[ID-INS]],Tableau8[ID],0))&amp;""</f>
        <v>#N/A</v>
      </c>
      <c r="J115" s="148"/>
      <c r="K115" s="167" t="e">
        <f>INDEX(Tableau8[Nom du modele],MATCH(Tableau3[[#This Row],[ID-INS]],Tableau8[ID],0))&amp;""</f>
        <v>#N/A</v>
      </c>
      <c r="L115" s="149" t="e">
        <f>INDEX(Tableau5[Att1],MATCH(Tableau3[[#This Row],[ID-SIG]],Tableau5[ID],0))&amp;""</f>
        <v>#N/A</v>
      </c>
      <c r="M115" s="149" t="e">
        <f>INDEX(Tableau5[Att2],MATCH(Tableau3[[#This Row],[ID-SIG]],Tableau5[ID],0))&amp;""</f>
        <v>#N/A</v>
      </c>
      <c r="N115" s="149" t="e">
        <f>INDEX(Tableau5[Att3],MATCH(Tableau3[[#This Row],[ID-SIG]],Tableau5[ID],0))&amp;""</f>
        <v>#N/A</v>
      </c>
      <c r="O115" s="150"/>
      <c r="P115" s="149" t="e">
        <f>INDEX(Tableau5[Description],MATCH(Tableau3[[#This Row],[ID-SIG]],Tableau5[ID],0))</f>
        <v>#N/A</v>
      </c>
      <c r="Q115" s="150"/>
      <c r="R115" s="117" t="e">
        <f>Tableau3[[#This Row],[Description]]</f>
        <v>#N/A</v>
      </c>
      <c r="S115" s="75"/>
      <c r="T115" s="75"/>
      <c r="U115" s="151">
        <v>1</v>
      </c>
      <c r="V115" s="151">
        <v>2</v>
      </c>
      <c r="W115" s="151">
        <v>4</v>
      </c>
      <c r="X115" s="151">
        <v>1</v>
      </c>
      <c r="Y115" s="41"/>
      <c r="Z115" s="166" t="str">
        <f>INDEX(Tableau2[TS],MATCH(Tableau3[[#This Row],[ID-CARTEVOIE]],Tableau2[ID-CARTEVOIE],0))</f>
        <v>ST</v>
      </c>
      <c r="AA115" s="81" t="s">
        <v>213</v>
      </c>
      <c r="AB115" s="226" t="str">
        <f>IFERROR(INDEX(Tableau5[Reserve],MATCH(Tableau3[[#This Row],[ID-SIG]],Tableau5[ID],0))&amp;"","")</f>
        <v/>
      </c>
      <c r="AC115" s="119" t="s">
        <v>1456</v>
      </c>
      <c r="AD115" s="120" t="str">
        <f>INDEX(Tableau7[Repere],MATCH(Tableau3[[#This Row],[ID-API]],Tableau7[ID-API],0))&amp;""</f>
        <v>A1</v>
      </c>
      <c r="AE115" s="121" t="str">
        <f>INDEX(Tableau1[Repere-Rack],MATCH(Tableau3[[#This Row],[ID-RACK]],Tableau1[ID-RACK],0))&amp;""</f>
        <v>R2</v>
      </c>
      <c r="AF115" s="121" t="str">
        <f>INDEX(Tableau1[Repere-Slot],MATCH(Tableau3[[#This Row],[ID-SLOT]],Tableau1[ID-SLOT],0))&amp;""</f>
        <v>S4</v>
      </c>
      <c r="AG115" s="121" t="str">
        <f>INDEX(Tableau2[Repere-Voie],MATCH(Tableau3[[#This Row],[ID-VOIE]],Tableau2[ID-Voie],0))&amp;""</f>
        <v>v1</v>
      </c>
      <c r="AH115" s="122" t="str">
        <f>Tableau3[[#This Row],[ID-API]]&amp; "." &amp;Tableau3[[#This Row],[ID-RACK]]&amp; "." &amp;Tableau3[[#This Row],[ID-SLOT]]</f>
        <v>1.2.4</v>
      </c>
      <c r="AI115" s="72" t="str">
        <f>INDEX(Tableau1[Ref-Carte],MATCH(Tableau3[[#This Row],[ID-RRS]],Tableau1[ID-RRS],0))</f>
        <v>SDO0802</v>
      </c>
      <c r="AJ115" s="72" t="str">
        <f t="array" ref="AJ115">IFERROR(INDEX(Tableau2[TS],MATCH(1,(Tableau2[Ref-Carte]=Tableau3[[#This Row],[Ref-Carte2]])*(Tableau2[ID-Voie]=Tableau3[[#This Row],[ID-VOIE]]),0)),"")</f>
        <v>ST</v>
      </c>
      <c r="AK115" s="72" t="str">
        <f>IFERROR(INDEX(Tableau2[TS],SUMPRODUCT((Tableau2[Ref-Carte]=Tableau3[[#This Row],[Ref-Carte2]])*(Tableau2[ID-Voie]=Tableau3[[#This Row],[ID-VOIE]])*ROW(Tableau2[TS]))-ROW(Tableau2[#Headers])),"")</f>
        <v>ST</v>
      </c>
      <c r="AL115" s="122" t="str">
        <f>Tableau3[[#This Row],[Ref-Carte2]]&amp;"/"&amp;Tableau3[[#This Row],[ID-VOIE]]</f>
        <v>SDO0802/1</v>
      </c>
      <c r="AM115" s="123" t="str">
        <f>INDEX(Tableau2[Borne],MATCH(Tableau3[[#This Row],[ID-CARTEVOIE]],Tableau2[ID-CARTEVOIE],0))&amp;""</f>
        <v>1</v>
      </c>
      <c r="AN115" s="124" t="str">
        <f>Tableau3[[#This Row],[ID-API]]&amp;Tableau3[[#This Row],[ID-RACK]]&amp;Tableau3[[#This Row],[ID-SLOT]]&amp;Tableau3[[#This Row],[BORNE]]</f>
        <v>1241</v>
      </c>
      <c r="AO115" s="125"/>
    </row>
    <row r="116" spans="1:41" ht="20.100000000000001" customHeight="1" thickTop="1" thickBot="1">
      <c r="A116" s="110"/>
      <c r="B116" s="111" t="str">
        <f>IFERROR(INDEX(Tableau4[Date],MATCH($A116,Tableau4[EVO],0)),"")</f>
        <v/>
      </c>
      <c r="C116" s="112" t="str">
        <f>IFERROR(INDEX(Tableau4[Designation],MATCH($A116,Tableau4[EVO],0)),"")</f>
        <v/>
      </c>
      <c r="D116" s="110"/>
      <c r="E116" s="113"/>
      <c r="F116" s="146"/>
      <c r="G116" s="147" t="e">
        <f>INDEX(Tableau8[Att1],MATCH(Tableau3[[#This Row],[ID-INS]],Tableau8[ID],0))&amp;""</f>
        <v>#N/A</v>
      </c>
      <c r="H116" s="147" t="e">
        <f>INDEX(Tableau8[Att2],MATCH(Tableau3[[#This Row],[ID-INS]],Tableau8[ID],0))&amp;""</f>
        <v>#N/A</v>
      </c>
      <c r="I116" s="147" t="e">
        <f>INDEX(Tableau8[Att3],MATCH(Tableau3[[#This Row],[ID-INS]],Tableau8[ID],0))&amp;""</f>
        <v>#N/A</v>
      </c>
      <c r="J116" s="148"/>
      <c r="K116" s="167" t="e">
        <f>INDEX(Tableau8[Nom du modele],MATCH(Tableau3[[#This Row],[ID-INS]],Tableau8[ID],0))&amp;""</f>
        <v>#N/A</v>
      </c>
      <c r="L116" s="149" t="e">
        <f>INDEX(Tableau5[Att1],MATCH(Tableau3[[#This Row],[ID-SIG]],Tableau5[ID],0))&amp;""</f>
        <v>#N/A</v>
      </c>
      <c r="M116" s="149" t="e">
        <f>INDEX(Tableau5[Att2],MATCH(Tableau3[[#This Row],[ID-SIG]],Tableau5[ID],0))&amp;""</f>
        <v>#N/A</v>
      </c>
      <c r="N116" s="149" t="e">
        <f>INDEX(Tableau5[Att3],MATCH(Tableau3[[#This Row],[ID-SIG]],Tableau5[ID],0))&amp;""</f>
        <v>#N/A</v>
      </c>
      <c r="O116" s="150"/>
      <c r="P116" s="149" t="e">
        <f>INDEX(Tableau5[Description],MATCH(Tableau3[[#This Row],[ID-SIG]],Tableau5[ID],0))</f>
        <v>#N/A</v>
      </c>
      <c r="Q116" s="150"/>
      <c r="R116" s="117" t="e">
        <f>Tableau3[[#This Row],[Description]]</f>
        <v>#N/A</v>
      </c>
      <c r="S116" s="75"/>
      <c r="T116" s="75"/>
      <c r="U116" s="151">
        <v>1</v>
      </c>
      <c r="V116" s="151">
        <v>2</v>
      </c>
      <c r="W116" s="151">
        <v>4</v>
      </c>
      <c r="X116" s="151">
        <v>2</v>
      </c>
      <c r="Y116" s="41"/>
      <c r="Z116" s="166" t="str">
        <f>INDEX(Tableau2[TS],MATCH(Tableau3[[#This Row],[ID-CARTEVOIE]],Tableau2[ID-CARTEVOIE],0))</f>
        <v>ST</v>
      </c>
      <c r="AA116" s="81" t="s">
        <v>213</v>
      </c>
      <c r="AB116" s="226" t="str">
        <f>IFERROR(INDEX(Tableau5[Reserve],MATCH(Tableau3[[#This Row],[ID-SIG]],Tableau5[ID],0))&amp;"","")</f>
        <v/>
      </c>
      <c r="AC116" s="119" t="s">
        <v>1456</v>
      </c>
      <c r="AD116" s="120" t="str">
        <f>INDEX(Tableau7[Repere],MATCH(Tableau3[[#This Row],[ID-API]],Tableau7[ID-API],0))&amp;""</f>
        <v>A1</v>
      </c>
      <c r="AE116" s="121" t="str">
        <f>INDEX(Tableau1[Repere-Rack],MATCH(Tableau3[[#This Row],[ID-RACK]],Tableau1[ID-RACK],0))&amp;""</f>
        <v>R2</v>
      </c>
      <c r="AF116" s="121" t="str">
        <f>INDEX(Tableau1[Repere-Slot],MATCH(Tableau3[[#This Row],[ID-SLOT]],Tableau1[ID-SLOT],0))&amp;""</f>
        <v>S4</v>
      </c>
      <c r="AG116" s="121" t="str">
        <f>INDEX(Tableau2[Repere-Voie],MATCH(Tableau3[[#This Row],[ID-VOIE]],Tableau2[ID-Voie],0))&amp;""</f>
        <v>v2</v>
      </c>
      <c r="AH116" s="122" t="str">
        <f>Tableau3[[#This Row],[ID-API]]&amp; "." &amp;Tableau3[[#This Row],[ID-RACK]]&amp; "." &amp;Tableau3[[#This Row],[ID-SLOT]]</f>
        <v>1.2.4</v>
      </c>
      <c r="AI116" s="72" t="str">
        <f>INDEX(Tableau1[Ref-Carte],MATCH(Tableau3[[#This Row],[ID-RRS]],Tableau1[ID-RRS],0))</f>
        <v>SDO0802</v>
      </c>
      <c r="AJ116" s="72" t="str">
        <f t="array" ref="AJ116">IFERROR(INDEX(Tableau2[TS],MATCH(1,(Tableau2[Ref-Carte]=Tableau3[[#This Row],[Ref-Carte2]])*(Tableau2[ID-Voie]=Tableau3[[#This Row],[ID-VOIE]]),0)),"")</f>
        <v>ST</v>
      </c>
      <c r="AK116" s="72" t="str">
        <f>IFERROR(INDEX(Tableau2[TS],SUMPRODUCT((Tableau2[Ref-Carte]=Tableau3[[#This Row],[Ref-Carte2]])*(Tableau2[ID-Voie]=Tableau3[[#This Row],[ID-VOIE]])*ROW(Tableau2[TS]))-ROW(Tableau2[#Headers])),"")</f>
        <v>ST</v>
      </c>
      <c r="AL116" s="122" t="str">
        <f>Tableau3[[#This Row],[Ref-Carte2]]&amp;"/"&amp;Tableau3[[#This Row],[ID-VOIE]]</f>
        <v>SDO0802/2</v>
      </c>
      <c r="AM116" s="123" t="str">
        <f>INDEX(Tableau2[Borne],MATCH(Tableau3[[#This Row],[ID-CARTEVOIE]],Tableau2[ID-CARTEVOIE],0))&amp;""</f>
        <v>2</v>
      </c>
      <c r="AN116" s="124" t="str">
        <f>Tableau3[[#This Row],[ID-API]]&amp;Tableau3[[#This Row],[ID-RACK]]&amp;Tableau3[[#This Row],[ID-SLOT]]&amp;Tableau3[[#This Row],[BORNE]]</f>
        <v>1242</v>
      </c>
      <c r="AO116" s="125"/>
    </row>
    <row r="117" spans="1:41" ht="20.100000000000001" customHeight="1" thickTop="1" thickBot="1">
      <c r="A117" s="110"/>
      <c r="B117" s="111" t="str">
        <f>IFERROR(INDEX(Tableau4[Date],MATCH($A117,Tableau4[EVO],0)),"")</f>
        <v/>
      </c>
      <c r="C117" s="112" t="str">
        <f>IFERROR(INDEX(Tableau4[Designation],MATCH($A117,Tableau4[EVO],0)),"")</f>
        <v/>
      </c>
      <c r="D117" s="110"/>
      <c r="E117" s="113"/>
      <c r="F117" s="146"/>
      <c r="G117" s="147" t="e">
        <f>INDEX(Tableau8[Att1],MATCH(Tableau3[[#This Row],[ID-INS]],Tableau8[ID],0))&amp;""</f>
        <v>#N/A</v>
      </c>
      <c r="H117" s="147" t="e">
        <f>INDEX(Tableau8[Att2],MATCH(Tableau3[[#This Row],[ID-INS]],Tableau8[ID],0))&amp;""</f>
        <v>#N/A</v>
      </c>
      <c r="I117" s="147" t="e">
        <f>INDEX(Tableau8[Att3],MATCH(Tableau3[[#This Row],[ID-INS]],Tableau8[ID],0))&amp;""</f>
        <v>#N/A</v>
      </c>
      <c r="J117" s="148"/>
      <c r="K117" s="167" t="e">
        <f>INDEX(Tableau8[Nom du modele],MATCH(Tableau3[[#This Row],[ID-INS]],Tableau8[ID],0))&amp;""</f>
        <v>#N/A</v>
      </c>
      <c r="L117" s="149" t="e">
        <f>INDEX(Tableau5[Att1],MATCH(Tableau3[[#This Row],[ID-SIG]],Tableau5[ID],0))&amp;""</f>
        <v>#N/A</v>
      </c>
      <c r="M117" s="149" t="e">
        <f>INDEX(Tableau5[Att2],MATCH(Tableau3[[#This Row],[ID-SIG]],Tableau5[ID],0))&amp;""</f>
        <v>#N/A</v>
      </c>
      <c r="N117" s="149" t="e">
        <f>INDEX(Tableau5[Att3],MATCH(Tableau3[[#This Row],[ID-SIG]],Tableau5[ID],0))&amp;""</f>
        <v>#N/A</v>
      </c>
      <c r="O117" s="150"/>
      <c r="P117" s="149" t="e">
        <f>INDEX(Tableau5[Description],MATCH(Tableau3[[#This Row],[ID-SIG]],Tableau5[ID],0))</f>
        <v>#N/A</v>
      </c>
      <c r="Q117" s="150"/>
      <c r="R117" s="117" t="e">
        <f>Tableau3[[#This Row],[Description]]</f>
        <v>#N/A</v>
      </c>
      <c r="S117" s="75"/>
      <c r="T117" s="75"/>
      <c r="U117" s="151">
        <v>1</v>
      </c>
      <c r="V117" s="151">
        <v>2</v>
      </c>
      <c r="W117" s="151">
        <v>4</v>
      </c>
      <c r="X117" s="151">
        <v>3</v>
      </c>
      <c r="Y117" s="41"/>
      <c r="Z117" s="166" t="str">
        <f>INDEX(Tableau2[TS],MATCH(Tableau3[[#This Row],[ID-CARTEVOIE]],Tableau2[ID-CARTEVOIE],0))</f>
        <v>ST</v>
      </c>
      <c r="AA117" s="81" t="s">
        <v>213</v>
      </c>
      <c r="AB117" s="226" t="str">
        <f>IFERROR(INDEX(Tableau5[Reserve],MATCH(Tableau3[[#This Row],[ID-SIG]],Tableau5[ID],0))&amp;"","")</f>
        <v/>
      </c>
      <c r="AC117" s="119" t="s">
        <v>1456</v>
      </c>
      <c r="AD117" s="120" t="str">
        <f>INDEX(Tableau7[Repere],MATCH(Tableau3[[#This Row],[ID-API]],Tableau7[ID-API],0))&amp;""</f>
        <v>A1</v>
      </c>
      <c r="AE117" s="121" t="str">
        <f>INDEX(Tableau1[Repere-Rack],MATCH(Tableau3[[#This Row],[ID-RACK]],Tableau1[ID-RACK],0))&amp;""</f>
        <v>R2</v>
      </c>
      <c r="AF117" s="121" t="str">
        <f>INDEX(Tableau1[Repere-Slot],MATCH(Tableau3[[#This Row],[ID-SLOT]],Tableau1[ID-SLOT],0))&amp;""</f>
        <v>S4</v>
      </c>
      <c r="AG117" s="121" t="str">
        <f>INDEX(Tableau2[Repere-Voie],MATCH(Tableau3[[#This Row],[ID-VOIE]],Tableau2[ID-Voie],0))&amp;""</f>
        <v>v3</v>
      </c>
      <c r="AH117" s="122" t="str">
        <f>Tableau3[[#This Row],[ID-API]]&amp; "." &amp;Tableau3[[#This Row],[ID-RACK]]&amp; "." &amp;Tableau3[[#This Row],[ID-SLOT]]</f>
        <v>1.2.4</v>
      </c>
      <c r="AI117" s="72" t="str">
        <f>INDEX(Tableau1[Ref-Carte],MATCH(Tableau3[[#This Row],[ID-RRS]],Tableau1[ID-RRS],0))</f>
        <v>SDO0802</v>
      </c>
      <c r="AJ117" s="72" t="str">
        <f t="array" ref="AJ117">IFERROR(INDEX(Tableau2[TS],MATCH(1,(Tableau2[Ref-Carte]=Tableau3[[#This Row],[Ref-Carte2]])*(Tableau2[ID-Voie]=Tableau3[[#This Row],[ID-VOIE]]),0)),"")</f>
        <v>ST</v>
      </c>
      <c r="AK117" s="72" t="str">
        <f>IFERROR(INDEX(Tableau2[TS],SUMPRODUCT((Tableau2[Ref-Carte]=Tableau3[[#This Row],[Ref-Carte2]])*(Tableau2[ID-Voie]=Tableau3[[#This Row],[ID-VOIE]])*ROW(Tableau2[TS]))-ROW(Tableau2[#Headers])),"")</f>
        <v>ST</v>
      </c>
      <c r="AL117" s="122" t="str">
        <f>Tableau3[[#This Row],[Ref-Carte2]]&amp;"/"&amp;Tableau3[[#This Row],[ID-VOIE]]</f>
        <v>SDO0802/3</v>
      </c>
      <c r="AM117" s="123" t="str">
        <f>INDEX(Tableau2[Borne],MATCH(Tableau3[[#This Row],[ID-CARTEVOIE]],Tableau2[ID-CARTEVOIE],0))&amp;""</f>
        <v>3</v>
      </c>
      <c r="AN117" s="124" t="str">
        <f>Tableau3[[#This Row],[ID-API]]&amp;Tableau3[[#This Row],[ID-RACK]]&amp;Tableau3[[#This Row],[ID-SLOT]]&amp;Tableau3[[#This Row],[BORNE]]</f>
        <v>1243</v>
      </c>
      <c r="AO117" s="125"/>
    </row>
    <row r="118" spans="1:41" ht="20.100000000000001" customHeight="1" thickTop="1" thickBot="1">
      <c r="A118" s="110"/>
      <c r="B118" s="111" t="str">
        <f>IFERROR(INDEX(Tableau4[Date],MATCH($A118,Tableau4[EVO],0)),"")</f>
        <v/>
      </c>
      <c r="C118" s="112" t="str">
        <f>IFERROR(INDEX(Tableau4[Designation],MATCH($A118,Tableau4[EVO],0)),"")</f>
        <v/>
      </c>
      <c r="D118" s="110"/>
      <c r="E118" s="113"/>
      <c r="F118" s="146"/>
      <c r="G118" s="147" t="e">
        <f>INDEX(Tableau8[Att1],MATCH(Tableau3[[#This Row],[ID-INS]],Tableau8[ID],0))&amp;""</f>
        <v>#N/A</v>
      </c>
      <c r="H118" s="147" t="e">
        <f>INDEX(Tableau8[Att2],MATCH(Tableau3[[#This Row],[ID-INS]],Tableau8[ID],0))&amp;""</f>
        <v>#N/A</v>
      </c>
      <c r="I118" s="147" t="e">
        <f>INDEX(Tableau8[Att3],MATCH(Tableau3[[#This Row],[ID-INS]],Tableau8[ID],0))&amp;""</f>
        <v>#N/A</v>
      </c>
      <c r="J118" s="148"/>
      <c r="K118" s="167" t="e">
        <f>INDEX(Tableau8[Nom du modele],MATCH(Tableau3[[#This Row],[ID-INS]],Tableau8[ID],0))&amp;""</f>
        <v>#N/A</v>
      </c>
      <c r="L118" s="149" t="e">
        <f>INDEX(Tableau5[Att1],MATCH(Tableau3[[#This Row],[ID-SIG]],Tableau5[ID],0))&amp;""</f>
        <v>#N/A</v>
      </c>
      <c r="M118" s="149" t="e">
        <f>INDEX(Tableau5[Att2],MATCH(Tableau3[[#This Row],[ID-SIG]],Tableau5[ID],0))&amp;""</f>
        <v>#N/A</v>
      </c>
      <c r="N118" s="149" t="e">
        <f>INDEX(Tableau5[Att3],MATCH(Tableau3[[#This Row],[ID-SIG]],Tableau5[ID],0))&amp;""</f>
        <v>#N/A</v>
      </c>
      <c r="O118" s="150"/>
      <c r="P118" s="149" t="e">
        <f>INDEX(Tableau5[Description],MATCH(Tableau3[[#This Row],[ID-SIG]],Tableau5[ID],0))</f>
        <v>#N/A</v>
      </c>
      <c r="Q118" s="150"/>
      <c r="R118" s="117" t="e">
        <f>Tableau3[[#This Row],[Description]]</f>
        <v>#N/A</v>
      </c>
      <c r="S118" s="75"/>
      <c r="T118" s="75"/>
      <c r="U118" s="151">
        <v>1</v>
      </c>
      <c r="V118" s="151">
        <v>2</v>
      </c>
      <c r="W118" s="151">
        <v>4</v>
      </c>
      <c r="X118" s="151">
        <v>4</v>
      </c>
      <c r="Y118" s="41"/>
      <c r="Z118" s="166" t="str">
        <f>INDEX(Tableau2[TS],MATCH(Tableau3[[#This Row],[ID-CARTEVOIE]],Tableau2[ID-CARTEVOIE],0))</f>
        <v>ST</v>
      </c>
      <c r="AA118" s="81" t="s">
        <v>213</v>
      </c>
      <c r="AB118" s="226" t="str">
        <f>IFERROR(INDEX(Tableau5[Reserve],MATCH(Tableau3[[#This Row],[ID-SIG]],Tableau5[ID],0))&amp;"","")</f>
        <v/>
      </c>
      <c r="AC118" s="119" t="s">
        <v>1456</v>
      </c>
      <c r="AD118" s="120" t="str">
        <f>INDEX(Tableau7[Repere],MATCH(Tableau3[[#This Row],[ID-API]],Tableau7[ID-API],0))&amp;""</f>
        <v>A1</v>
      </c>
      <c r="AE118" s="121" t="str">
        <f>INDEX(Tableau1[Repere-Rack],MATCH(Tableau3[[#This Row],[ID-RACK]],Tableau1[ID-RACK],0))&amp;""</f>
        <v>R2</v>
      </c>
      <c r="AF118" s="121" t="str">
        <f>INDEX(Tableau1[Repere-Slot],MATCH(Tableau3[[#This Row],[ID-SLOT]],Tableau1[ID-SLOT],0))&amp;""</f>
        <v>S4</v>
      </c>
      <c r="AG118" s="121" t="str">
        <f>INDEX(Tableau2[Repere-Voie],MATCH(Tableau3[[#This Row],[ID-VOIE]],Tableau2[ID-Voie],0))&amp;""</f>
        <v>v4</v>
      </c>
      <c r="AH118" s="122" t="str">
        <f>Tableau3[[#This Row],[ID-API]]&amp; "." &amp;Tableau3[[#This Row],[ID-RACK]]&amp; "." &amp;Tableau3[[#This Row],[ID-SLOT]]</f>
        <v>1.2.4</v>
      </c>
      <c r="AI118" s="72" t="str">
        <f>INDEX(Tableau1[Ref-Carte],MATCH(Tableau3[[#This Row],[ID-RRS]],Tableau1[ID-RRS],0))</f>
        <v>SDO0802</v>
      </c>
      <c r="AJ118" s="72" t="str">
        <f t="array" ref="AJ118">IFERROR(INDEX(Tableau2[TS],MATCH(1,(Tableau2[Ref-Carte]=Tableau3[[#This Row],[Ref-Carte2]])*(Tableau2[ID-Voie]=Tableau3[[#This Row],[ID-VOIE]]),0)),"")</f>
        <v>ST</v>
      </c>
      <c r="AK118" s="72" t="str">
        <f>IFERROR(INDEX(Tableau2[TS],SUMPRODUCT((Tableau2[Ref-Carte]=Tableau3[[#This Row],[Ref-Carte2]])*(Tableau2[ID-Voie]=Tableau3[[#This Row],[ID-VOIE]])*ROW(Tableau2[TS]))-ROW(Tableau2[#Headers])),"")</f>
        <v>ST</v>
      </c>
      <c r="AL118" s="122" t="str">
        <f>Tableau3[[#This Row],[Ref-Carte2]]&amp;"/"&amp;Tableau3[[#This Row],[ID-VOIE]]</f>
        <v>SDO0802/4</v>
      </c>
      <c r="AM118" s="123" t="str">
        <f>INDEX(Tableau2[Borne],MATCH(Tableau3[[#This Row],[ID-CARTEVOIE]],Tableau2[ID-CARTEVOIE],0))&amp;""</f>
        <v>4</v>
      </c>
      <c r="AN118" s="124" t="str">
        <f>Tableau3[[#This Row],[ID-API]]&amp;Tableau3[[#This Row],[ID-RACK]]&amp;Tableau3[[#This Row],[ID-SLOT]]&amp;Tableau3[[#This Row],[BORNE]]</f>
        <v>1244</v>
      </c>
      <c r="AO118" s="125"/>
    </row>
    <row r="119" spans="1:41" ht="20.100000000000001" customHeight="1" thickTop="1" thickBot="1">
      <c r="A119" s="110"/>
      <c r="B119" s="111" t="str">
        <f>IFERROR(INDEX(Tableau4[Date],MATCH($A119,Tableau4[EVO],0)),"")</f>
        <v/>
      </c>
      <c r="C119" s="112" t="str">
        <f>IFERROR(INDEX(Tableau4[Designation],MATCH($A119,Tableau4[EVO],0)),"")</f>
        <v/>
      </c>
      <c r="D119" s="110"/>
      <c r="E119" s="113"/>
      <c r="F119" s="146"/>
      <c r="G119" s="147" t="e">
        <f>INDEX(Tableau8[Att1],MATCH(Tableau3[[#This Row],[ID-INS]],Tableau8[ID],0))&amp;""</f>
        <v>#N/A</v>
      </c>
      <c r="H119" s="147" t="e">
        <f>INDEX(Tableau8[Att2],MATCH(Tableau3[[#This Row],[ID-INS]],Tableau8[ID],0))&amp;""</f>
        <v>#N/A</v>
      </c>
      <c r="I119" s="147" t="e">
        <f>INDEX(Tableau8[Att3],MATCH(Tableau3[[#This Row],[ID-INS]],Tableau8[ID],0))&amp;""</f>
        <v>#N/A</v>
      </c>
      <c r="J119" s="148"/>
      <c r="K119" s="167" t="e">
        <f>INDEX(Tableau8[Nom du modele],MATCH(Tableau3[[#This Row],[ID-INS]],Tableau8[ID],0))&amp;""</f>
        <v>#N/A</v>
      </c>
      <c r="L119" s="149" t="e">
        <f>INDEX(Tableau5[Att1],MATCH(Tableau3[[#This Row],[ID-SIG]],Tableau5[ID],0))&amp;""</f>
        <v>#N/A</v>
      </c>
      <c r="M119" s="149" t="e">
        <f>INDEX(Tableau5[Att2],MATCH(Tableau3[[#This Row],[ID-SIG]],Tableau5[ID],0))&amp;""</f>
        <v>#N/A</v>
      </c>
      <c r="N119" s="149" t="e">
        <f>INDEX(Tableau5[Att3],MATCH(Tableau3[[#This Row],[ID-SIG]],Tableau5[ID],0))&amp;""</f>
        <v>#N/A</v>
      </c>
      <c r="O119" s="150"/>
      <c r="P119" s="149" t="e">
        <f>INDEX(Tableau5[Description],MATCH(Tableau3[[#This Row],[ID-SIG]],Tableau5[ID],0))</f>
        <v>#N/A</v>
      </c>
      <c r="Q119" s="150"/>
      <c r="R119" s="117" t="e">
        <f>Tableau3[[#This Row],[Description]]</f>
        <v>#N/A</v>
      </c>
      <c r="S119" s="75"/>
      <c r="T119" s="75"/>
      <c r="U119" s="151">
        <v>1</v>
      </c>
      <c r="V119" s="151">
        <v>2</v>
      </c>
      <c r="W119" s="151">
        <v>4</v>
      </c>
      <c r="X119" s="151">
        <v>5</v>
      </c>
      <c r="Y119" s="41"/>
      <c r="Z119" s="166" t="str">
        <f>INDEX(Tableau2[TS],MATCH(Tableau3[[#This Row],[ID-CARTEVOIE]],Tableau2[ID-CARTEVOIE],0))</f>
        <v>ST</v>
      </c>
      <c r="AA119" s="81" t="s">
        <v>213</v>
      </c>
      <c r="AB119" s="226" t="str">
        <f>IFERROR(INDEX(Tableau5[Reserve],MATCH(Tableau3[[#This Row],[ID-SIG]],Tableau5[ID],0))&amp;"","")</f>
        <v/>
      </c>
      <c r="AC119" s="119" t="s">
        <v>1456</v>
      </c>
      <c r="AD119" s="120" t="str">
        <f>INDEX(Tableau7[Repere],MATCH(Tableau3[[#This Row],[ID-API]],Tableau7[ID-API],0))&amp;""</f>
        <v>A1</v>
      </c>
      <c r="AE119" s="121" t="str">
        <f>INDEX(Tableau1[Repere-Rack],MATCH(Tableau3[[#This Row],[ID-RACK]],Tableau1[ID-RACK],0))&amp;""</f>
        <v>R2</v>
      </c>
      <c r="AF119" s="121" t="str">
        <f>INDEX(Tableau1[Repere-Slot],MATCH(Tableau3[[#This Row],[ID-SLOT]],Tableau1[ID-SLOT],0))&amp;""</f>
        <v>S4</v>
      </c>
      <c r="AG119" s="121" t="str">
        <f>INDEX(Tableau2[Repere-Voie],MATCH(Tableau3[[#This Row],[ID-VOIE]],Tableau2[ID-Voie],0))&amp;""</f>
        <v>v5</v>
      </c>
      <c r="AH119" s="122" t="str">
        <f>Tableau3[[#This Row],[ID-API]]&amp; "." &amp;Tableau3[[#This Row],[ID-RACK]]&amp; "." &amp;Tableau3[[#This Row],[ID-SLOT]]</f>
        <v>1.2.4</v>
      </c>
      <c r="AI119" s="72" t="str">
        <f>INDEX(Tableau1[Ref-Carte],MATCH(Tableau3[[#This Row],[ID-RRS]],Tableau1[ID-RRS],0))</f>
        <v>SDO0802</v>
      </c>
      <c r="AJ119" s="72" t="str">
        <f t="array" ref="AJ119">IFERROR(INDEX(Tableau2[TS],MATCH(1,(Tableau2[Ref-Carte]=Tableau3[[#This Row],[Ref-Carte2]])*(Tableau2[ID-Voie]=Tableau3[[#This Row],[ID-VOIE]]),0)),"")</f>
        <v>ST</v>
      </c>
      <c r="AK119" s="72" t="str">
        <f>IFERROR(INDEX(Tableau2[TS],SUMPRODUCT((Tableau2[Ref-Carte]=Tableau3[[#This Row],[Ref-Carte2]])*(Tableau2[ID-Voie]=Tableau3[[#This Row],[ID-VOIE]])*ROW(Tableau2[TS]))-ROW(Tableau2[#Headers])),"")</f>
        <v>ST</v>
      </c>
      <c r="AL119" s="122" t="str">
        <f>Tableau3[[#This Row],[Ref-Carte2]]&amp;"/"&amp;Tableau3[[#This Row],[ID-VOIE]]</f>
        <v>SDO0802/5</v>
      </c>
      <c r="AM119" s="123" t="str">
        <f>INDEX(Tableau2[Borne],MATCH(Tableau3[[#This Row],[ID-CARTEVOIE]],Tableau2[ID-CARTEVOIE],0))&amp;""</f>
        <v>5</v>
      </c>
      <c r="AN119" s="124" t="str">
        <f>Tableau3[[#This Row],[ID-API]]&amp;Tableau3[[#This Row],[ID-RACK]]&amp;Tableau3[[#This Row],[ID-SLOT]]&amp;Tableau3[[#This Row],[BORNE]]</f>
        <v>1245</v>
      </c>
      <c r="AO119" s="125"/>
    </row>
    <row r="120" spans="1:41" ht="20.100000000000001" customHeight="1" thickTop="1" thickBot="1">
      <c r="A120" s="110"/>
      <c r="B120" s="111" t="str">
        <f>IFERROR(INDEX(Tableau4[Date],MATCH($A120,Tableau4[EVO],0)),"")</f>
        <v/>
      </c>
      <c r="C120" s="112" t="str">
        <f>IFERROR(INDEX(Tableau4[Designation],MATCH($A120,Tableau4[EVO],0)),"")</f>
        <v/>
      </c>
      <c r="D120" s="110"/>
      <c r="E120" s="113"/>
      <c r="F120" s="146"/>
      <c r="G120" s="147" t="e">
        <f>INDEX(Tableau8[Att1],MATCH(Tableau3[[#This Row],[ID-INS]],Tableau8[ID],0))&amp;""</f>
        <v>#N/A</v>
      </c>
      <c r="H120" s="147" t="e">
        <f>INDEX(Tableau8[Att2],MATCH(Tableau3[[#This Row],[ID-INS]],Tableau8[ID],0))&amp;""</f>
        <v>#N/A</v>
      </c>
      <c r="I120" s="147" t="e">
        <f>INDEX(Tableau8[Att3],MATCH(Tableau3[[#This Row],[ID-INS]],Tableau8[ID],0))&amp;""</f>
        <v>#N/A</v>
      </c>
      <c r="J120" s="148"/>
      <c r="K120" s="167" t="e">
        <f>INDEX(Tableau8[Nom du modele],MATCH(Tableau3[[#This Row],[ID-INS]],Tableau8[ID],0))&amp;""</f>
        <v>#N/A</v>
      </c>
      <c r="L120" s="149" t="e">
        <f>INDEX(Tableau5[Att1],MATCH(Tableau3[[#This Row],[ID-SIG]],Tableau5[ID],0))&amp;""</f>
        <v>#N/A</v>
      </c>
      <c r="M120" s="149" t="e">
        <f>INDEX(Tableau5[Att2],MATCH(Tableau3[[#This Row],[ID-SIG]],Tableau5[ID],0))&amp;""</f>
        <v>#N/A</v>
      </c>
      <c r="N120" s="149" t="e">
        <f>INDEX(Tableau5[Att3],MATCH(Tableau3[[#This Row],[ID-SIG]],Tableau5[ID],0))&amp;""</f>
        <v>#N/A</v>
      </c>
      <c r="O120" s="150"/>
      <c r="P120" s="149" t="e">
        <f>INDEX(Tableau5[Description],MATCH(Tableau3[[#This Row],[ID-SIG]],Tableau5[ID],0))</f>
        <v>#N/A</v>
      </c>
      <c r="Q120" s="150"/>
      <c r="R120" s="117" t="e">
        <f>Tableau3[[#This Row],[Description]]</f>
        <v>#N/A</v>
      </c>
      <c r="S120" s="75"/>
      <c r="T120" s="75"/>
      <c r="U120" s="151">
        <v>1</v>
      </c>
      <c r="V120" s="151">
        <v>2</v>
      </c>
      <c r="W120" s="151">
        <v>4</v>
      </c>
      <c r="X120" s="151">
        <v>6</v>
      </c>
      <c r="Y120" s="41"/>
      <c r="Z120" s="166" t="str">
        <f>INDEX(Tableau2[TS],MATCH(Tableau3[[#This Row],[ID-CARTEVOIE]],Tableau2[ID-CARTEVOIE],0))</f>
        <v>ST</v>
      </c>
      <c r="AA120" s="81" t="s">
        <v>213</v>
      </c>
      <c r="AB120" s="226" t="str">
        <f>IFERROR(INDEX(Tableau5[Reserve],MATCH(Tableau3[[#This Row],[ID-SIG]],Tableau5[ID],0))&amp;"","")</f>
        <v/>
      </c>
      <c r="AC120" s="119" t="s">
        <v>1456</v>
      </c>
      <c r="AD120" s="120" t="str">
        <f>INDEX(Tableau7[Repere],MATCH(Tableau3[[#This Row],[ID-API]],Tableau7[ID-API],0))&amp;""</f>
        <v>A1</v>
      </c>
      <c r="AE120" s="121" t="str">
        <f>INDEX(Tableau1[Repere-Rack],MATCH(Tableau3[[#This Row],[ID-RACK]],Tableau1[ID-RACK],0))&amp;""</f>
        <v>R2</v>
      </c>
      <c r="AF120" s="121" t="str">
        <f>INDEX(Tableau1[Repere-Slot],MATCH(Tableau3[[#This Row],[ID-SLOT]],Tableau1[ID-SLOT],0))&amp;""</f>
        <v>S4</v>
      </c>
      <c r="AG120" s="121" t="str">
        <f>INDEX(Tableau2[Repere-Voie],MATCH(Tableau3[[#This Row],[ID-VOIE]],Tableau2[ID-Voie],0))&amp;""</f>
        <v>v6</v>
      </c>
      <c r="AH120" s="122" t="str">
        <f>Tableau3[[#This Row],[ID-API]]&amp; "." &amp;Tableau3[[#This Row],[ID-RACK]]&amp; "." &amp;Tableau3[[#This Row],[ID-SLOT]]</f>
        <v>1.2.4</v>
      </c>
      <c r="AI120" s="72" t="str">
        <f>INDEX(Tableau1[Ref-Carte],MATCH(Tableau3[[#This Row],[ID-RRS]],Tableau1[ID-RRS],0))</f>
        <v>SDO0802</v>
      </c>
      <c r="AJ120" s="72" t="str">
        <f t="array" ref="AJ120">IFERROR(INDEX(Tableau2[TS],MATCH(1,(Tableau2[Ref-Carte]=Tableau3[[#This Row],[Ref-Carte2]])*(Tableau2[ID-Voie]=Tableau3[[#This Row],[ID-VOIE]]),0)),"")</f>
        <v>ST</v>
      </c>
      <c r="AK120" s="72" t="str">
        <f>IFERROR(INDEX(Tableau2[TS],SUMPRODUCT((Tableau2[Ref-Carte]=Tableau3[[#This Row],[Ref-Carte2]])*(Tableau2[ID-Voie]=Tableau3[[#This Row],[ID-VOIE]])*ROW(Tableau2[TS]))-ROW(Tableau2[#Headers])),"")</f>
        <v>ST</v>
      </c>
      <c r="AL120" s="122" t="str">
        <f>Tableau3[[#This Row],[Ref-Carte2]]&amp;"/"&amp;Tableau3[[#This Row],[ID-VOIE]]</f>
        <v>SDO0802/6</v>
      </c>
      <c r="AM120" s="123" t="str">
        <f>INDEX(Tableau2[Borne],MATCH(Tableau3[[#This Row],[ID-CARTEVOIE]],Tableau2[ID-CARTEVOIE],0))&amp;""</f>
        <v>6</v>
      </c>
      <c r="AN120" s="124" t="str">
        <f>Tableau3[[#This Row],[ID-API]]&amp;Tableau3[[#This Row],[ID-RACK]]&amp;Tableau3[[#This Row],[ID-SLOT]]&amp;Tableau3[[#This Row],[BORNE]]</f>
        <v>1246</v>
      </c>
      <c r="AO120" s="125"/>
    </row>
    <row r="121" spans="1:41" ht="20.100000000000001" customHeight="1" thickTop="1" thickBot="1">
      <c r="A121" s="110"/>
      <c r="B121" s="111" t="str">
        <f>IFERROR(INDEX(Tableau4[Date],MATCH($A121,Tableau4[EVO],0)),"")</f>
        <v/>
      </c>
      <c r="C121" s="112" t="str">
        <f>IFERROR(INDEX(Tableau4[Designation],MATCH($A121,Tableau4[EVO],0)),"")</f>
        <v/>
      </c>
      <c r="D121" s="110"/>
      <c r="E121" s="113"/>
      <c r="F121" s="146"/>
      <c r="G121" s="147" t="e">
        <f>INDEX(Tableau8[Att1],MATCH(Tableau3[[#This Row],[ID-INS]],Tableau8[ID],0))&amp;""</f>
        <v>#N/A</v>
      </c>
      <c r="H121" s="147" t="e">
        <f>INDEX(Tableau8[Att2],MATCH(Tableau3[[#This Row],[ID-INS]],Tableau8[ID],0))&amp;""</f>
        <v>#N/A</v>
      </c>
      <c r="I121" s="147" t="e">
        <f>INDEX(Tableau8[Att3],MATCH(Tableau3[[#This Row],[ID-INS]],Tableau8[ID],0))&amp;""</f>
        <v>#N/A</v>
      </c>
      <c r="J121" s="148"/>
      <c r="K121" s="167" t="e">
        <f>INDEX(Tableau8[Nom du modele],MATCH(Tableau3[[#This Row],[ID-INS]],Tableau8[ID],0))&amp;""</f>
        <v>#N/A</v>
      </c>
      <c r="L121" s="149" t="e">
        <f>INDEX(Tableau5[Att1],MATCH(Tableau3[[#This Row],[ID-SIG]],Tableau5[ID],0))&amp;""</f>
        <v>#N/A</v>
      </c>
      <c r="M121" s="149" t="e">
        <f>INDEX(Tableau5[Att2],MATCH(Tableau3[[#This Row],[ID-SIG]],Tableau5[ID],0))&amp;""</f>
        <v>#N/A</v>
      </c>
      <c r="N121" s="149" t="e">
        <f>INDEX(Tableau5[Att3],MATCH(Tableau3[[#This Row],[ID-SIG]],Tableau5[ID],0))&amp;""</f>
        <v>#N/A</v>
      </c>
      <c r="O121" s="150"/>
      <c r="P121" s="149" t="e">
        <f>INDEX(Tableau5[Description],MATCH(Tableau3[[#This Row],[ID-SIG]],Tableau5[ID],0))</f>
        <v>#N/A</v>
      </c>
      <c r="Q121" s="150"/>
      <c r="R121" s="117" t="e">
        <f>Tableau3[[#This Row],[Description]]</f>
        <v>#N/A</v>
      </c>
      <c r="S121" s="75"/>
      <c r="T121" s="75"/>
      <c r="U121" s="151">
        <v>1</v>
      </c>
      <c r="V121" s="151">
        <v>2</v>
      </c>
      <c r="W121" s="151">
        <v>4</v>
      </c>
      <c r="X121" s="151">
        <v>7</v>
      </c>
      <c r="Y121" s="41"/>
      <c r="Z121" s="166" t="str">
        <f>INDEX(Tableau2[TS],MATCH(Tableau3[[#This Row],[ID-CARTEVOIE]],Tableau2[ID-CARTEVOIE],0))</f>
        <v>ST</v>
      </c>
      <c r="AA121" s="81" t="s">
        <v>213</v>
      </c>
      <c r="AB121" s="226" t="str">
        <f>IFERROR(INDEX(Tableau5[Reserve],MATCH(Tableau3[[#This Row],[ID-SIG]],Tableau5[ID],0))&amp;"","")</f>
        <v/>
      </c>
      <c r="AC121" s="119" t="s">
        <v>1456</v>
      </c>
      <c r="AD121" s="120" t="str">
        <f>INDEX(Tableau7[Repere],MATCH(Tableau3[[#This Row],[ID-API]],Tableau7[ID-API],0))&amp;""</f>
        <v>A1</v>
      </c>
      <c r="AE121" s="121" t="str">
        <f>INDEX(Tableau1[Repere-Rack],MATCH(Tableau3[[#This Row],[ID-RACK]],Tableau1[ID-RACK],0))&amp;""</f>
        <v>R2</v>
      </c>
      <c r="AF121" s="121" t="str">
        <f>INDEX(Tableau1[Repere-Slot],MATCH(Tableau3[[#This Row],[ID-SLOT]],Tableau1[ID-SLOT],0))&amp;""</f>
        <v>S4</v>
      </c>
      <c r="AG121" s="121" t="str">
        <f>INDEX(Tableau2[Repere-Voie],MATCH(Tableau3[[#This Row],[ID-VOIE]],Tableau2[ID-Voie],0))&amp;""</f>
        <v>v7</v>
      </c>
      <c r="AH121" s="122" t="str">
        <f>Tableau3[[#This Row],[ID-API]]&amp; "." &amp;Tableau3[[#This Row],[ID-RACK]]&amp; "." &amp;Tableau3[[#This Row],[ID-SLOT]]</f>
        <v>1.2.4</v>
      </c>
      <c r="AI121" s="72" t="str">
        <f>INDEX(Tableau1[Ref-Carte],MATCH(Tableau3[[#This Row],[ID-RRS]],Tableau1[ID-RRS],0))</f>
        <v>SDO0802</v>
      </c>
      <c r="AJ121" s="72" t="str">
        <f t="array" ref="AJ121">IFERROR(INDEX(Tableau2[TS],MATCH(1,(Tableau2[Ref-Carte]=Tableau3[[#This Row],[Ref-Carte2]])*(Tableau2[ID-Voie]=Tableau3[[#This Row],[ID-VOIE]]),0)),"")</f>
        <v>ST</v>
      </c>
      <c r="AK121" s="72" t="str">
        <f>IFERROR(INDEX(Tableau2[TS],SUMPRODUCT((Tableau2[Ref-Carte]=Tableau3[[#This Row],[Ref-Carte2]])*(Tableau2[ID-Voie]=Tableau3[[#This Row],[ID-VOIE]])*ROW(Tableau2[TS]))-ROW(Tableau2[#Headers])),"")</f>
        <v>ST</v>
      </c>
      <c r="AL121" s="122" t="str">
        <f>Tableau3[[#This Row],[Ref-Carte2]]&amp;"/"&amp;Tableau3[[#This Row],[ID-VOIE]]</f>
        <v>SDO0802/7</v>
      </c>
      <c r="AM121" s="123" t="str">
        <f>INDEX(Tableau2[Borne],MATCH(Tableau3[[#This Row],[ID-CARTEVOIE]],Tableau2[ID-CARTEVOIE],0))&amp;""</f>
        <v>7</v>
      </c>
      <c r="AN121" s="124" t="str">
        <f>Tableau3[[#This Row],[ID-API]]&amp;Tableau3[[#This Row],[ID-RACK]]&amp;Tableau3[[#This Row],[ID-SLOT]]&amp;Tableau3[[#This Row],[BORNE]]</f>
        <v>1247</v>
      </c>
      <c r="AO121" s="125"/>
    </row>
    <row r="122" spans="1:41" ht="20.100000000000001" customHeight="1" thickTop="1" thickBot="1">
      <c r="A122" s="110"/>
      <c r="B122" s="111" t="str">
        <f>IFERROR(INDEX(Tableau4[Date],MATCH($A122,Tableau4[EVO],0)),"")</f>
        <v/>
      </c>
      <c r="C122" s="112" t="str">
        <f>IFERROR(INDEX(Tableau4[Designation],MATCH($A122,Tableau4[EVO],0)),"")</f>
        <v/>
      </c>
      <c r="D122" s="110"/>
      <c r="E122" s="113"/>
      <c r="F122" s="146"/>
      <c r="G122" s="147" t="e">
        <f>INDEX(Tableau8[Att1],MATCH(Tableau3[[#This Row],[ID-INS]],Tableau8[ID],0))&amp;""</f>
        <v>#N/A</v>
      </c>
      <c r="H122" s="147" t="e">
        <f>INDEX(Tableau8[Att2],MATCH(Tableau3[[#This Row],[ID-INS]],Tableau8[ID],0))&amp;""</f>
        <v>#N/A</v>
      </c>
      <c r="I122" s="147" t="e">
        <f>INDEX(Tableau8[Att3],MATCH(Tableau3[[#This Row],[ID-INS]],Tableau8[ID],0))&amp;""</f>
        <v>#N/A</v>
      </c>
      <c r="J122" s="148"/>
      <c r="K122" s="167" t="e">
        <f>INDEX(Tableau8[Nom du modele],MATCH(Tableau3[[#This Row],[ID-INS]],Tableau8[ID],0))&amp;""</f>
        <v>#N/A</v>
      </c>
      <c r="L122" s="149" t="e">
        <f>INDEX(Tableau5[Att1],MATCH(Tableau3[[#This Row],[ID-SIG]],Tableau5[ID],0))&amp;""</f>
        <v>#N/A</v>
      </c>
      <c r="M122" s="149" t="e">
        <f>INDEX(Tableau5[Att2],MATCH(Tableau3[[#This Row],[ID-SIG]],Tableau5[ID],0))&amp;""</f>
        <v>#N/A</v>
      </c>
      <c r="N122" s="149" t="e">
        <f>INDEX(Tableau5[Att3],MATCH(Tableau3[[#This Row],[ID-SIG]],Tableau5[ID],0))&amp;""</f>
        <v>#N/A</v>
      </c>
      <c r="O122" s="150"/>
      <c r="P122" s="149" t="e">
        <f>INDEX(Tableau5[Description],MATCH(Tableau3[[#This Row],[ID-SIG]],Tableau5[ID],0))</f>
        <v>#N/A</v>
      </c>
      <c r="Q122" s="150"/>
      <c r="R122" s="117" t="e">
        <f>Tableau3[[#This Row],[Description]]</f>
        <v>#N/A</v>
      </c>
      <c r="S122" s="75"/>
      <c r="T122" s="75"/>
      <c r="U122" s="151">
        <v>1</v>
      </c>
      <c r="V122" s="151">
        <v>2</v>
      </c>
      <c r="W122" s="151">
        <v>5</v>
      </c>
      <c r="X122" s="151">
        <v>0</v>
      </c>
      <c r="Y122" s="41"/>
      <c r="Z122" s="166" t="str">
        <f>INDEX(Tableau2[TS],MATCH(Tableau3[[#This Row],[ID-CARTEVOIE]],Tableau2[ID-CARTEVOIE],0))</f>
        <v>ST</v>
      </c>
      <c r="AA122" s="81" t="s">
        <v>213</v>
      </c>
      <c r="AB122" s="226" t="str">
        <f>IFERROR(INDEX(Tableau5[Reserve],MATCH(Tableau3[[#This Row],[ID-SIG]],Tableau5[ID],0))&amp;"","")</f>
        <v/>
      </c>
      <c r="AC122" s="119" t="s">
        <v>1456</v>
      </c>
      <c r="AD122" s="120" t="str">
        <f>INDEX(Tableau7[Repere],MATCH(Tableau3[[#This Row],[ID-API]],Tableau7[ID-API],0))&amp;""</f>
        <v>A1</v>
      </c>
      <c r="AE122" s="121" t="str">
        <f>INDEX(Tableau1[Repere-Rack],MATCH(Tableau3[[#This Row],[ID-RACK]],Tableau1[ID-RACK],0))&amp;""</f>
        <v>R2</v>
      </c>
      <c r="AF122" s="121" t="str">
        <f>INDEX(Tableau1[Repere-Slot],MATCH(Tableau3[[#This Row],[ID-SLOT]],Tableau1[ID-SLOT],0))&amp;""</f>
        <v>S5</v>
      </c>
      <c r="AG122" s="121" t="str">
        <f>INDEX(Tableau2[Repere-Voie],MATCH(Tableau3[[#This Row],[ID-VOIE]],Tableau2[ID-Voie],0))&amp;""</f>
        <v>v0</v>
      </c>
      <c r="AH122" s="122" t="str">
        <f>Tableau3[[#This Row],[ID-API]]&amp; "." &amp;Tableau3[[#This Row],[ID-RACK]]&amp; "." &amp;Tableau3[[#This Row],[ID-SLOT]]</f>
        <v>1.2.5</v>
      </c>
      <c r="AI122" s="72" t="str">
        <f>INDEX(Tableau1[Ref-Carte],MATCH(Tableau3[[#This Row],[ID-RRS]],Tableau1[ID-RRS],0))</f>
        <v>SDO0802</v>
      </c>
      <c r="AJ122" s="72" t="str">
        <f t="array" ref="AJ122">IFERROR(INDEX(Tableau2[TS],MATCH(1,(Tableau2[Ref-Carte]=Tableau3[[#This Row],[Ref-Carte2]])*(Tableau2[ID-Voie]=Tableau3[[#This Row],[ID-VOIE]]),0)),"")</f>
        <v>ST</v>
      </c>
      <c r="AK122" s="72" t="str">
        <f>IFERROR(INDEX(Tableau2[TS],SUMPRODUCT((Tableau2[Ref-Carte]=Tableau3[[#This Row],[Ref-Carte2]])*(Tableau2[ID-Voie]=Tableau3[[#This Row],[ID-VOIE]])*ROW(Tableau2[TS]))-ROW(Tableau2[#Headers])),"")</f>
        <v>ST</v>
      </c>
      <c r="AL122" s="122" t="str">
        <f>Tableau3[[#This Row],[Ref-Carte2]]&amp;"/"&amp;Tableau3[[#This Row],[ID-VOIE]]</f>
        <v>SDO0802/0</v>
      </c>
      <c r="AM122" s="123" t="str">
        <f>INDEX(Tableau2[Borne],MATCH(Tableau3[[#This Row],[ID-CARTEVOIE]],Tableau2[ID-CARTEVOIE],0))&amp;""</f>
        <v>0</v>
      </c>
      <c r="AN122" s="124" t="str">
        <f>Tableau3[[#This Row],[ID-API]]&amp;Tableau3[[#This Row],[ID-RACK]]&amp;Tableau3[[#This Row],[ID-SLOT]]&amp;Tableau3[[#This Row],[BORNE]]</f>
        <v>1250</v>
      </c>
      <c r="AO122" s="125"/>
    </row>
    <row r="123" spans="1:41" ht="20.100000000000001" customHeight="1" thickTop="1" thickBot="1">
      <c r="A123" s="110"/>
      <c r="B123" s="111" t="str">
        <f>IFERROR(INDEX(Tableau4[Date],MATCH($A123,Tableau4[EVO],0)),"")</f>
        <v/>
      </c>
      <c r="C123" s="112" t="str">
        <f>IFERROR(INDEX(Tableau4[Designation],MATCH($A123,Tableau4[EVO],0)),"")</f>
        <v/>
      </c>
      <c r="D123" s="110"/>
      <c r="E123" s="113"/>
      <c r="F123" s="146"/>
      <c r="G123" s="147" t="e">
        <f>INDEX(Tableau8[Att1],MATCH(Tableau3[[#This Row],[ID-INS]],Tableau8[ID],0))&amp;""</f>
        <v>#N/A</v>
      </c>
      <c r="H123" s="147" t="e">
        <f>INDEX(Tableau8[Att2],MATCH(Tableau3[[#This Row],[ID-INS]],Tableau8[ID],0))&amp;""</f>
        <v>#N/A</v>
      </c>
      <c r="I123" s="147" t="e">
        <f>INDEX(Tableau8[Att3],MATCH(Tableau3[[#This Row],[ID-INS]],Tableau8[ID],0))&amp;""</f>
        <v>#N/A</v>
      </c>
      <c r="J123" s="148"/>
      <c r="K123" s="167" t="e">
        <f>INDEX(Tableau8[Nom du modele],MATCH(Tableau3[[#This Row],[ID-INS]],Tableau8[ID],0))&amp;""</f>
        <v>#N/A</v>
      </c>
      <c r="L123" s="149" t="e">
        <f>INDEX(Tableau5[Att1],MATCH(Tableau3[[#This Row],[ID-SIG]],Tableau5[ID],0))&amp;""</f>
        <v>#N/A</v>
      </c>
      <c r="M123" s="149" t="e">
        <f>INDEX(Tableau5[Att2],MATCH(Tableau3[[#This Row],[ID-SIG]],Tableau5[ID],0))&amp;""</f>
        <v>#N/A</v>
      </c>
      <c r="N123" s="149" t="e">
        <f>INDEX(Tableau5[Att3],MATCH(Tableau3[[#This Row],[ID-SIG]],Tableau5[ID],0))&amp;""</f>
        <v>#N/A</v>
      </c>
      <c r="O123" s="150"/>
      <c r="P123" s="149" t="e">
        <f>INDEX(Tableau5[Description],MATCH(Tableau3[[#This Row],[ID-SIG]],Tableau5[ID],0))</f>
        <v>#N/A</v>
      </c>
      <c r="Q123" s="150"/>
      <c r="R123" s="117" t="e">
        <f>Tableau3[[#This Row],[Description]]</f>
        <v>#N/A</v>
      </c>
      <c r="S123" s="75"/>
      <c r="T123" s="75"/>
      <c r="U123" s="151">
        <v>1</v>
      </c>
      <c r="V123" s="151">
        <v>2</v>
      </c>
      <c r="W123" s="151">
        <v>5</v>
      </c>
      <c r="X123" s="151">
        <v>1</v>
      </c>
      <c r="Y123" s="41"/>
      <c r="Z123" s="166" t="str">
        <f>INDEX(Tableau2[TS],MATCH(Tableau3[[#This Row],[ID-CARTEVOIE]],Tableau2[ID-CARTEVOIE],0))</f>
        <v>ST</v>
      </c>
      <c r="AA123" s="81" t="s">
        <v>213</v>
      </c>
      <c r="AB123" s="226" t="str">
        <f>IFERROR(INDEX(Tableau5[Reserve],MATCH(Tableau3[[#This Row],[ID-SIG]],Tableau5[ID],0))&amp;"","")</f>
        <v/>
      </c>
      <c r="AC123" s="119" t="s">
        <v>1456</v>
      </c>
      <c r="AD123" s="120" t="str">
        <f>INDEX(Tableau7[Repere],MATCH(Tableau3[[#This Row],[ID-API]],Tableau7[ID-API],0))&amp;""</f>
        <v>A1</v>
      </c>
      <c r="AE123" s="121" t="str">
        <f>INDEX(Tableau1[Repere-Rack],MATCH(Tableau3[[#This Row],[ID-RACK]],Tableau1[ID-RACK],0))&amp;""</f>
        <v>R2</v>
      </c>
      <c r="AF123" s="121" t="str">
        <f>INDEX(Tableau1[Repere-Slot],MATCH(Tableau3[[#This Row],[ID-SLOT]],Tableau1[ID-SLOT],0))&amp;""</f>
        <v>S5</v>
      </c>
      <c r="AG123" s="121" t="str">
        <f>INDEX(Tableau2[Repere-Voie],MATCH(Tableau3[[#This Row],[ID-VOIE]],Tableau2[ID-Voie],0))&amp;""</f>
        <v>v1</v>
      </c>
      <c r="AH123" s="122" t="str">
        <f>Tableau3[[#This Row],[ID-API]]&amp; "." &amp;Tableau3[[#This Row],[ID-RACK]]&amp; "." &amp;Tableau3[[#This Row],[ID-SLOT]]</f>
        <v>1.2.5</v>
      </c>
      <c r="AI123" s="72" t="str">
        <f>INDEX(Tableau1[Ref-Carte],MATCH(Tableau3[[#This Row],[ID-RRS]],Tableau1[ID-RRS],0))</f>
        <v>SDO0802</v>
      </c>
      <c r="AJ123" s="72" t="str">
        <f t="array" ref="AJ123">IFERROR(INDEX(Tableau2[TS],MATCH(1,(Tableau2[Ref-Carte]=Tableau3[[#This Row],[Ref-Carte2]])*(Tableau2[ID-Voie]=Tableau3[[#This Row],[ID-VOIE]]),0)),"")</f>
        <v>ST</v>
      </c>
      <c r="AK123" s="72" t="str">
        <f>IFERROR(INDEX(Tableau2[TS],SUMPRODUCT((Tableau2[Ref-Carte]=Tableau3[[#This Row],[Ref-Carte2]])*(Tableau2[ID-Voie]=Tableau3[[#This Row],[ID-VOIE]])*ROW(Tableau2[TS]))-ROW(Tableau2[#Headers])),"")</f>
        <v>ST</v>
      </c>
      <c r="AL123" s="122" t="str">
        <f>Tableau3[[#This Row],[Ref-Carte2]]&amp;"/"&amp;Tableau3[[#This Row],[ID-VOIE]]</f>
        <v>SDO0802/1</v>
      </c>
      <c r="AM123" s="123" t="str">
        <f>INDEX(Tableau2[Borne],MATCH(Tableau3[[#This Row],[ID-CARTEVOIE]],Tableau2[ID-CARTEVOIE],0))&amp;""</f>
        <v>1</v>
      </c>
      <c r="AN123" s="124" t="str">
        <f>Tableau3[[#This Row],[ID-API]]&amp;Tableau3[[#This Row],[ID-RACK]]&amp;Tableau3[[#This Row],[ID-SLOT]]&amp;Tableau3[[#This Row],[BORNE]]</f>
        <v>1251</v>
      </c>
      <c r="AO123" s="125"/>
    </row>
    <row r="124" spans="1:41" ht="20.100000000000001" customHeight="1" thickTop="1" thickBot="1">
      <c r="A124" s="110"/>
      <c r="B124" s="111" t="str">
        <f>IFERROR(INDEX(Tableau4[Date],MATCH($A124,Tableau4[EVO],0)),"")</f>
        <v/>
      </c>
      <c r="C124" s="112" t="str">
        <f>IFERROR(INDEX(Tableau4[Designation],MATCH($A124,Tableau4[EVO],0)),"")</f>
        <v/>
      </c>
      <c r="D124" s="110"/>
      <c r="E124" s="113"/>
      <c r="F124" s="146"/>
      <c r="G124" s="147" t="e">
        <f>INDEX(Tableau8[Att1],MATCH(Tableau3[[#This Row],[ID-INS]],Tableau8[ID],0))&amp;""</f>
        <v>#N/A</v>
      </c>
      <c r="H124" s="147" t="e">
        <f>INDEX(Tableau8[Att2],MATCH(Tableau3[[#This Row],[ID-INS]],Tableau8[ID],0))&amp;""</f>
        <v>#N/A</v>
      </c>
      <c r="I124" s="147" t="e">
        <f>INDEX(Tableau8[Att3],MATCH(Tableau3[[#This Row],[ID-INS]],Tableau8[ID],0))&amp;""</f>
        <v>#N/A</v>
      </c>
      <c r="J124" s="148"/>
      <c r="K124" s="167" t="e">
        <f>INDEX(Tableau8[Nom du modele],MATCH(Tableau3[[#This Row],[ID-INS]],Tableau8[ID],0))&amp;""</f>
        <v>#N/A</v>
      </c>
      <c r="L124" s="149" t="e">
        <f>INDEX(Tableau5[Att1],MATCH(Tableau3[[#This Row],[ID-SIG]],Tableau5[ID],0))&amp;""</f>
        <v>#N/A</v>
      </c>
      <c r="M124" s="149" t="e">
        <f>INDEX(Tableau5[Att2],MATCH(Tableau3[[#This Row],[ID-SIG]],Tableau5[ID],0))&amp;""</f>
        <v>#N/A</v>
      </c>
      <c r="N124" s="149" t="e">
        <f>INDEX(Tableau5[Att3],MATCH(Tableau3[[#This Row],[ID-SIG]],Tableau5[ID],0))&amp;""</f>
        <v>#N/A</v>
      </c>
      <c r="O124" s="150"/>
      <c r="P124" s="149" t="e">
        <f>INDEX(Tableau5[Description],MATCH(Tableau3[[#This Row],[ID-SIG]],Tableau5[ID],0))</f>
        <v>#N/A</v>
      </c>
      <c r="Q124" s="150"/>
      <c r="R124" s="117" t="e">
        <f>Tableau3[[#This Row],[Description]]</f>
        <v>#N/A</v>
      </c>
      <c r="S124" s="75"/>
      <c r="T124" s="75"/>
      <c r="U124" s="151">
        <v>1</v>
      </c>
      <c r="V124" s="151">
        <v>2</v>
      </c>
      <c r="W124" s="151">
        <v>5</v>
      </c>
      <c r="X124" s="151">
        <v>2</v>
      </c>
      <c r="Y124" s="41"/>
      <c r="Z124" s="166" t="str">
        <f>INDEX(Tableau2[TS],MATCH(Tableau3[[#This Row],[ID-CARTEVOIE]],Tableau2[ID-CARTEVOIE],0))</f>
        <v>ST</v>
      </c>
      <c r="AA124" s="81" t="s">
        <v>213</v>
      </c>
      <c r="AB124" s="226" t="str">
        <f>IFERROR(INDEX(Tableau5[Reserve],MATCH(Tableau3[[#This Row],[ID-SIG]],Tableau5[ID],0))&amp;"","")</f>
        <v/>
      </c>
      <c r="AC124" s="119" t="s">
        <v>1456</v>
      </c>
      <c r="AD124" s="120" t="str">
        <f>INDEX(Tableau7[Repere],MATCH(Tableau3[[#This Row],[ID-API]],Tableau7[ID-API],0))&amp;""</f>
        <v>A1</v>
      </c>
      <c r="AE124" s="121" t="str">
        <f>INDEX(Tableau1[Repere-Rack],MATCH(Tableau3[[#This Row],[ID-RACK]],Tableau1[ID-RACK],0))&amp;""</f>
        <v>R2</v>
      </c>
      <c r="AF124" s="121" t="str">
        <f>INDEX(Tableau1[Repere-Slot],MATCH(Tableau3[[#This Row],[ID-SLOT]],Tableau1[ID-SLOT],0))&amp;""</f>
        <v>S5</v>
      </c>
      <c r="AG124" s="121" t="str">
        <f>INDEX(Tableau2[Repere-Voie],MATCH(Tableau3[[#This Row],[ID-VOIE]],Tableau2[ID-Voie],0))&amp;""</f>
        <v>v2</v>
      </c>
      <c r="AH124" s="122" t="str">
        <f>Tableau3[[#This Row],[ID-API]]&amp; "." &amp;Tableau3[[#This Row],[ID-RACK]]&amp; "." &amp;Tableau3[[#This Row],[ID-SLOT]]</f>
        <v>1.2.5</v>
      </c>
      <c r="AI124" s="72" t="str">
        <f>INDEX(Tableau1[Ref-Carte],MATCH(Tableau3[[#This Row],[ID-RRS]],Tableau1[ID-RRS],0))</f>
        <v>SDO0802</v>
      </c>
      <c r="AJ124" s="72" t="str">
        <f t="array" ref="AJ124">IFERROR(INDEX(Tableau2[TS],MATCH(1,(Tableau2[Ref-Carte]=Tableau3[[#This Row],[Ref-Carte2]])*(Tableau2[ID-Voie]=Tableau3[[#This Row],[ID-VOIE]]),0)),"")</f>
        <v>ST</v>
      </c>
      <c r="AK124" s="72" t="str">
        <f>IFERROR(INDEX(Tableau2[TS],SUMPRODUCT((Tableau2[Ref-Carte]=Tableau3[[#This Row],[Ref-Carte2]])*(Tableau2[ID-Voie]=Tableau3[[#This Row],[ID-VOIE]])*ROW(Tableau2[TS]))-ROW(Tableau2[#Headers])),"")</f>
        <v>ST</v>
      </c>
      <c r="AL124" s="122" t="str">
        <f>Tableau3[[#This Row],[Ref-Carte2]]&amp;"/"&amp;Tableau3[[#This Row],[ID-VOIE]]</f>
        <v>SDO0802/2</v>
      </c>
      <c r="AM124" s="123" t="str">
        <f>INDEX(Tableau2[Borne],MATCH(Tableau3[[#This Row],[ID-CARTEVOIE]],Tableau2[ID-CARTEVOIE],0))&amp;""</f>
        <v>2</v>
      </c>
      <c r="AN124" s="124" t="str">
        <f>Tableau3[[#This Row],[ID-API]]&amp;Tableau3[[#This Row],[ID-RACK]]&amp;Tableau3[[#This Row],[ID-SLOT]]&amp;Tableau3[[#This Row],[BORNE]]</f>
        <v>1252</v>
      </c>
      <c r="AO124" s="125"/>
    </row>
    <row r="125" spans="1:41" ht="20.100000000000001" customHeight="1" thickTop="1" thickBot="1">
      <c r="A125" s="110"/>
      <c r="B125" s="111" t="str">
        <f>IFERROR(INDEX(Tableau4[Date],MATCH($A125,Tableau4[EVO],0)),"")</f>
        <v/>
      </c>
      <c r="C125" s="112" t="str">
        <f>IFERROR(INDEX(Tableau4[Designation],MATCH($A125,Tableau4[EVO],0)),"")</f>
        <v/>
      </c>
      <c r="D125" s="110"/>
      <c r="E125" s="113"/>
      <c r="F125" s="146"/>
      <c r="G125" s="147" t="e">
        <f>INDEX(Tableau8[Att1],MATCH(Tableau3[[#This Row],[ID-INS]],Tableau8[ID],0))&amp;""</f>
        <v>#N/A</v>
      </c>
      <c r="H125" s="147" t="e">
        <f>INDEX(Tableau8[Att2],MATCH(Tableau3[[#This Row],[ID-INS]],Tableau8[ID],0))&amp;""</f>
        <v>#N/A</v>
      </c>
      <c r="I125" s="147" t="e">
        <f>INDEX(Tableau8[Att3],MATCH(Tableau3[[#This Row],[ID-INS]],Tableau8[ID],0))&amp;""</f>
        <v>#N/A</v>
      </c>
      <c r="J125" s="148"/>
      <c r="K125" s="167" t="e">
        <f>INDEX(Tableau8[Nom du modele],MATCH(Tableau3[[#This Row],[ID-INS]],Tableau8[ID],0))&amp;""</f>
        <v>#N/A</v>
      </c>
      <c r="L125" s="149" t="e">
        <f>INDEX(Tableau5[Att1],MATCH(Tableau3[[#This Row],[ID-SIG]],Tableau5[ID],0))&amp;""</f>
        <v>#N/A</v>
      </c>
      <c r="M125" s="149" t="e">
        <f>INDEX(Tableau5[Att2],MATCH(Tableau3[[#This Row],[ID-SIG]],Tableau5[ID],0))&amp;""</f>
        <v>#N/A</v>
      </c>
      <c r="N125" s="149" t="e">
        <f>INDEX(Tableau5[Att3],MATCH(Tableau3[[#This Row],[ID-SIG]],Tableau5[ID],0))&amp;""</f>
        <v>#N/A</v>
      </c>
      <c r="O125" s="150"/>
      <c r="P125" s="149" t="e">
        <f>INDEX(Tableau5[Description],MATCH(Tableau3[[#This Row],[ID-SIG]],Tableau5[ID],0))</f>
        <v>#N/A</v>
      </c>
      <c r="Q125" s="150"/>
      <c r="R125" s="117" t="e">
        <f>Tableau3[[#This Row],[Description]]</f>
        <v>#N/A</v>
      </c>
      <c r="S125" s="75"/>
      <c r="T125" s="75"/>
      <c r="U125" s="151">
        <v>1</v>
      </c>
      <c r="V125" s="151">
        <v>2</v>
      </c>
      <c r="W125" s="151">
        <v>5</v>
      </c>
      <c r="X125" s="151">
        <v>3</v>
      </c>
      <c r="Y125" s="41"/>
      <c r="Z125" s="166" t="str">
        <f>INDEX(Tableau2[TS],MATCH(Tableau3[[#This Row],[ID-CARTEVOIE]],Tableau2[ID-CARTEVOIE],0))</f>
        <v>ST</v>
      </c>
      <c r="AA125" s="81" t="s">
        <v>213</v>
      </c>
      <c r="AB125" s="226" t="str">
        <f>IFERROR(INDEX(Tableau5[Reserve],MATCH(Tableau3[[#This Row],[ID-SIG]],Tableau5[ID],0))&amp;"","")</f>
        <v/>
      </c>
      <c r="AC125" s="119" t="s">
        <v>1456</v>
      </c>
      <c r="AD125" s="120" t="str">
        <f>INDEX(Tableau7[Repere],MATCH(Tableau3[[#This Row],[ID-API]],Tableau7[ID-API],0))&amp;""</f>
        <v>A1</v>
      </c>
      <c r="AE125" s="121" t="str">
        <f>INDEX(Tableau1[Repere-Rack],MATCH(Tableau3[[#This Row],[ID-RACK]],Tableau1[ID-RACK],0))&amp;""</f>
        <v>R2</v>
      </c>
      <c r="AF125" s="121" t="str">
        <f>INDEX(Tableau1[Repere-Slot],MATCH(Tableau3[[#This Row],[ID-SLOT]],Tableau1[ID-SLOT],0))&amp;""</f>
        <v>S5</v>
      </c>
      <c r="AG125" s="121" t="str">
        <f>INDEX(Tableau2[Repere-Voie],MATCH(Tableau3[[#This Row],[ID-VOIE]],Tableau2[ID-Voie],0))&amp;""</f>
        <v>v3</v>
      </c>
      <c r="AH125" s="122" t="str">
        <f>Tableau3[[#This Row],[ID-API]]&amp; "." &amp;Tableau3[[#This Row],[ID-RACK]]&amp; "." &amp;Tableau3[[#This Row],[ID-SLOT]]</f>
        <v>1.2.5</v>
      </c>
      <c r="AI125" s="72" t="str">
        <f>INDEX(Tableau1[Ref-Carte],MATCH(Tableau3[[#This Row],[ID-RRS]],Tableau1[ID-RRS],0))</f>
        <v>SDO0802</v>
      </c>
      <c r="AJ125" s="72" t="str">
        <f t="array" ref="AJ125">IFERROR(INDEX(Tableau2[TS],MATCH(1,(Tableau2[Ref-Carte]=Tableau3[[#This Row],[Ref-Carte2]])*(Tableau2[ID-Voie]=Tableau3[[#This Row],[ID-VOIE]]),0)),"")</f>
        <v>ST</v>
      </c>
      <c r="AK125" s="72" t="str">
        <f>IFERROR(INDEX(Tableau2[TS],SUMPRODUCT((Tableau2[Ref-Carte]=Tableau3[[#This Row],[Ref-Carte2]])*(Tableau2[ID-Voie]=Tableau3[[#This Row],[ID-VOIE]])*ROW(Tableau2[TS]))-ROW(Tableau2[#Headers])),"")</f>
        <v>ST</v>
      </c>
      <c r="AL125" s="122" t="str">
        <f>Tableau3[[#This Row],[Ref-Carte2]]&amp;"/"&amp;Tableau3[[#This Row],[ID-VOIE]]</f>
        <v>SDO0802/3</v>
      </c>
      <c r="AM125" s="123" t="str">
        <f>INDEX(Tableau2[Borne],MATCH(Tableau3[[#This Row],[ID-CARTEVOIE]],Tableau2[ID-CARTEVOIE],0))&amp;""</f>
        <v>3</v>
      </c>
      <c r="AN125" s="124" t="str">
        <f>Tableau3[[#This Row],[ID-API]]&amp;Tableau3[[#This Row],[ID-RACK]]&amp;Tableau3[[#This Row],[ID-SLOT]]&amp;Tableau3[[#This Row],[BORNE]]</f>
        <v>1253</v>
      </c>
      <c r="AO125" s="125"/>
    </row>
    <row r="126" spans="1:41" ht="20.100000000000001" customHeight="1" thickTop="1" thickBot="1">
      <c r="A126" s="110"/>
      <c r="B126" s="111" t="str">
        <f>IFERROR(INDEX(Tableau4[Date],MATCH($A126,Tableau4[EVO],0)),"")</f>
        <v/>
      </c>
      <c r="C126" s="112" t="str">
        <f>IFERROR(INDEX(Tableau4[Designation],MATCH($A126,Tableau4[EVO],0)),"")</f>
        <v/>
      </c>
      <c r="D126" s="110"/>
      <c r="E126" s="113"/>
      <c r="F126" s="146"/>
      <c r="G126" s="147" t="e">
        <f>INDEX(Tableau8[Att1],MATCH(Tableau3[[#This Row],[ID-INS]],Tableau8[ID],0))&amp;""</f>
        <v>#N/A</v>
      </c>
      <c r="H126" s="147" t="e">
        <f>INDEX(Tableau8[Att2],MATCH(Tableau3[[#This Row],[ID-INS]],Tableau8[ID],0))&amp;""</f>
        <v>#N/A</v>
      </c>
      <c r="I126" s="147" t="e">
        <f>INDEX(Tableau8[Att3],MATCH(Tableau3[[#This Row],[ID-INS]],Tableau8[ID],0))&amp;""</f>
        <v>#N/A</v>
      </c>
      <c r="J126" s="148"/>
      <c r="K126" s="167" t="e">
        <f>INDEX(Tableau8[Nom du modele],MATCH(Tableau3[[#This Row],[ID-INS]],Tableau8[ID],0))&amp;""</f>
        <v>#N/A</v>
      </c>
      <c r="L126" s="149" t="e">
        <f>INDEX(Tableau5[Att1],MATCH(Tableau3[[#This Row],[ID-SIG]],Tableau5[ID],0))&amp;""</f>
        <v>#N/A</v>
      </c>
      <c r="M126" s="149" t="e">
        <f>INDEX(Tableau5[Att2],MATCH(Tableau3[[#This Row],[ID-SIG]],Tableau5[ID],0))&amp;""</f>
        <v>#N/A</v>
      </c>
      <c r="N126" s="149" t="e">
        <f>INDEX(Tableau5[Att3],MATCH(Tableau3[[#This Row],[ID-SIG]],Tableau5[ID],0))&amp;""</f>
        <v>#N/A</v>
      </c>
      <c r="O126" s="150"/>
      <c r="P126" s="149" t="e">
        <f>INDEX(Tableau5[Description],MATCH(Tableau3[[#This Row],[ID-SIG]],Tableau5[ID],0))</f>
        <v>#N/A</v>
      </c>
      <c r="Q126" s="150"/>
      <c r="R126" s="117" t="e">
        <f>Tableau3[[#This Row],[Description]]</f>
        <v>#N/A</v>
      </c>
      <c r="S126" s="75"/>
      <c r="T126" s="75"/>
      <c r="U126" s="151">
        <v>1</v>
      </c>
      <c r="V126" s="151">
        <v>2</v>
      </c>
      <c r="W126" s="151">
        <v>5</v>
      </c>
      <c r="X126" s="151">
        <v>4</v>
      </c>
      <c r="Y126" s="41"/>
      <c r="Z126" s="166" t="str">
        <f>INDEX(Tableau2[TS],MATCH(Tableau3[[#This Row],[ID-CARTEVOIE]],Tableau2[ID-CARTEVOIE],0))</f>
        <v>ST</v>
      </c>
      <c r="AA126" s="81" t="s">
        <v>213</v>
      </c>
      <c r="AB126" s="226" t="str">
        <f>IFERROR(INDEX(Tableau5[Reserve],MATCH(Tableau3[[#This Row],[ID-SIG]],Tableau5[ID],0))&amp;"","")</f>
        <v/>
      </c>
      <c r="AC126" s="119" t="s">
        <v>1456</v>
      </c>
      <c r="AD126" s="120" t="str">
        <f>INDEX(Tableau7[Repere],MATCH(Tableau3[[#This Row],[ID-API]],Tableau7[ID-API],0))&amp;""</f>
        <v>A1</v>
      </c>
      <c r="AE126" s="121" t="str">
        <f>INDEX(Tableau1[Repere-Rack],MATCH(Tableau3[[#This Row],[ID-RACK]],Tableau1[ID-RACK],0))&amp;""</f>
        <v>R2</v>
      </c>
      <c r="AF126" s="121" t="str">
        <f>INDEX(Tableau1[Repere-Slot],MATCH(Tableau3[[#This Row],[ID-SLOT]],Tableau1[ID-SLOT],0))&amp;""</f>
        <v>S5</v>
      </c>
      <c r="AG126" s="121" t="str">
        <f>INDEX(Tableau2[Repere-Voie],MATCH(Tableau3[[#This Row],[ID-VOIE]],Tableau2[ID-Voie],0))&amp;""</f>
        <v>v4</v>
      </c>
      <c r="AH126" s="122" t="str">
        <f>Tableau3[[#This Row],[ID-API]]&amp; "." &amp;Tableau3[[#This Row],[ID-RACK]]&amp; "." &amp;Tableau3[[#This Row],[ID-SLOT]]</f>
        <v>1.2.5</v>
      </c>
      <c r="AI126" s="72" t="str">
        <f>INDEX(Tableau1[Ref-Carte],MATCH(Tableau3[[#This Row],[ID-RRS]],Tableau1[ID-RRS],0))</f>
        <v>SDO0802</v>
      </c>
      <c r="AJ126" s="72" t="str">
        <f t="array" ref="AJ126">IFERROR(INDEX(Tableau2[TS],MATCH(1,(Tableau2[Ref-Carte]=Tableau3[[#This Row],[Ref-Carte2]])*(Tableau2[ID-Voie]=Tableau3[[#This Row],[ID-VOIE]]),0)),"")</f>
        <v>ST</v>
      </c>
      <c r="AK126" s="72" t="str">
        <f>IFERROR(INDEX(Tableau2[TS],SUMPRODUCT((Tableau2[Ref-Carte]=Tableau3[[#This Row],[Ref-Carte2]])*(Tableau2[ID-Voie]=Tableau3[[#This Row],[ID-VOIE]])*ROW(Tableau2[TS]))-ROW(Tableau2[#Headers])),"")</f>
        <v>ST</v>
      </c>
      <c r="AL126" s="122" t="str">
        <f>Tableau3[[#This Row],[Ref-Carte2]]&amp;"/"&amp;Tableau3[[#This Row],[ID-VOIE]]</f>
        <v>SDO0802/4</v>
      </c>
      <c r="AM126" s="123" t="str">
        <f>INDEX(Tableau2[Borne],MATCH(Tableau3[[#This Row],[ID-CARTEVOIE]],Tableau2[ID-CARTEVOIE],0))&amp;""</f>
        <v>4</v>
      </c>
      <c r="AN126" s="124" t="str">
        <f>Tableau3[[#This Row],[ID-API]]&amp;Tableau3[[#This Row],[ID-RACK]]&amp;Tableau3[[#This Row],[ID-SLOT]]&amp;Tableau3[[#This Row],[BORNE]]</f>
        <v>1254</v>
      </c>
      <c r="AO126" s="125"/>
    </row>
    <row r="127" spans="1:41" ht="20.100000000000001" customHeight="1" thickTop="1" thickBot="1">
      <c r="A127" s="110"/>
      <c r="B127" s="111" t="str">
        <f>IFERROR(INDEX(Tableau4[Date],MATCH($A127,Tableau4[EVO],0)),"")</f>
        <v/>
      </c>
      <c r="C127" s="112" t="str">
        <f>IFERROR(INDEX(Tableau4[Designation],MATCH($A127,Tableau4[EVO],0)),"")</f>
        <v/>
      </c>
      <c r="D127" s="110"/>
      <c r="E127" s="113"/>
      <c r="F127" s="146"/>
      <c r="G127" s="147" t="e">
        <f>INDEX(Tableau8[Att1],MATCH(Tableau3[[#This Row],[ID-INS]],Tableau8[ID],0))&amp;""</f>
        <v>#N/A</v>
      </c>
      <c r="H127" s="147" t="e">
        <f>INDEX(Tableau8[Att2],MATCH(Tableau3[[#This Row],[ID-INS]],Tableau8[ID],0))&amp;""</f>
        <v>#N/A</v>
      </c>
      <c r="I127" s="147" t="e">
        <f>INDEX(Tableau8[Att3],MATCH(Tableau3[[#This Row],[ID-INS]],Tableau8[ID],0))&amp;""</f>
        <v>#N/A</v>
      </c>
      <c r="J127" s="148"/>
      <c r="K127" s="167" t="e">
        <f>INDEX(Tableau8[Nom du modele],MATCH(Tableau3[[#This Row],[ID-INS]],Tableau8[ID],0))&amp;""</f>
        <v>#N/A</v>
      </c>
      <c r="L127" s="149" t="e">
        <f>INDEX(Tableau5[Att1],MATCH(Tableau3[[#This Row],[ID-SIG]],Tableau5[ID],0))&amp;""</f>
        <v>#N/A</v>
      </c>
      <c r="M127" s="149" t="e">
        <f>INDEX(Tableau5[Att2],MATCH(Tableau3[[#This Row],[ID-SIG]],Tableau5[ID],0))&amp;""</f>
        <v>#N/A</v>
      </c>
      <c r="N127" s="149" t="e">
        <f>INDEX(Tableau5[Att3],MATCH(Tableau3[[#This Row],[ID-SIG]],Tableau5[ID],0))&amp;""</f>
        <v>#N/A</v>
      </c>
      <c r="O127" s="150"/>
      <c r="P127" s="149" t="e">
        <f>INDEX(Tableau5[Description],MATCH(Tableau3[[#This Row],[ID-SIG]],Tableau5[ID],0))</f>
        <v>#N/A</v>
      </c>
      <c r="Q127" s="150"/>
      <c r="R127" s="117" t="e">
        <f>Tableau3[[#This Row],[Description]]</f>
        <v>#N/A</v>
      </c>
      <c r="S127" s="75"/>
      <c r="T127" s="75"/>
      <c r="U127" s="151">
        <v>1</v>
      </c>
      <c r="V127" s="151">
        <v>2</v>
      </c>
      <c r="W127" s="151">
        <v>5</v>
      </c>
      <c r="X127" s="151">
        <v>5</v>
      </c>
      <c r="Y127" s="41"/>
      <c r="Z127" s="166" t="str">
        <f>INDEX(Tableau2[TS],MATCH(Tableau3[[#This Row],[ID-CARTEVOIE]],Tableau2[ID-CARTEVOIE],0))</f>
        <v>ST</v>
      </c>
      <c r="AA127" s="81" t="s">
        <v>213</v>
      </c>
      <c r="AB127" s="226" t="str">
        <f>IFERROR(INDEX(Tableau5[Reserve],MATCH(Tableau3[[#This Row],[ID-SIG]],Tableau5[ID],0))&amp;"","")</f>
        <v/>
      </c>
      <c r="AC127" s="119" t="s">
        <v>1456</v>
      </c>
      <c r="AD127" s="120" t="str">
        <f>INDEX(Tableau7[Repere],MATCH(Tableau3[[#This Row],[ID-API]],Tableau7[ID-API],0))&amp;""</f>
        <v>A1</v>
      </c>
      <c r="AE127" s="121" t="str">
        <f>INDEX(Tableau1[Repere-Rack],MATCH(Tableau3[[#This Row],[ID-RACK]],Tableau1[ID-RACK],0))&amp;""</f>
        <v>R2</v>
      </c>
      <c r="AF127" s="121" t="str">
        <f>INDEX(Tableau1[Repere-Slot],MATCH(Tableau3[[#This Row],[ID-SLOT]],Tableau1[ID-SLOT],0))&amp;""</f>
        <v>S5</v>
      </c>
      <c r="AG127" s="121" t="str">
        <f>INDEX(Tableau2[Repere-Voie],MATCH(Tableau3[[#This Row],[ID-VOIE]],Tableau2[ID-Voie],0))&amp;""</f>
        <v>v5</v>
      </c>
      <c r="AH127" s="122" t="str">
        <f>Tableau3[[#This Row],[ID-API]]&amp; "." &amp;Tableau3[[#This Row],[ID-RACK]]&amp; "." &amp;Tableau3[[#This Row],[ID-SLOT]]</f>
        <v>1.2.5</v>
      </c>
      <c r="AI127" s="72" t="str">
        <f>INDEX(Tableau1[Ref-Carte],MATCH(Tableau3[[#This Row],[ID-RRS]],Tableau1[ID-RRS],0))</f>
        <v>SDO0802</v>
      </c>
      <c r="AJ127" s="72" t="str">
        <f t="array" ref="AJ127">IFERROR(INDEX(Tableau2[TS],MATCH(1,(Tableau2[Ref-Carte]=Tableau3[[#This Row],[Ref-Carte2]])*(Tableau2[ID-Voie]=Tableau3[[#This Row],[ID-VOIE]]),0)),"")</f>
        <v>ST</v>
      </c>
      <c r="AK127" s="72" t="str">
        <f>IFERROR(INDEX(Tableau2[TS],SUMPRODUCT((Tableau2[Ref-Carte]=Tableau3[[#This Row],[Ref-Carte2]])*(Tableau2[ID-Voie]=Tableau3[[#This Row],[ID-VOIE]])*ROW(Tableau2[TS]))-ROW(Tableau2[#Headers])),"")</f>
        <v>ST</v>
      </c>
      <c r="AL127" s="122" t="str">
        <f>Tableau3[[#This Row],[Ref-Carte2]]&amp;"/"&amp;Tableau3[[#This Row],[ID-VOIE]]</f>
        <v>SDO0802/5</v>
      </c>
      <c r="AM127" s="123" t="str">
        <f>INDEX(Tableau2[Borne],MATCH(Tableau3[[#This Row],[ID-CARTEVOIE]],Tableau2[ID-CARTEVOIE],0))&amp;""</f>
        <v>5</v>
      </c>
      <c r="AN127" s="124" t="str">
        <f>Tableau3[[#This Row],[ID-API]]&amp;Tableau3[[#This Row],[ID-RACK]]&amp;Tableau3[[#This Row],[ID-SLOT]]&amp;Tableau3[[#This Row],[BORNE]]</f>
        <v>1255</v>
      </c>
      <c r="AO127" s="125"/>
    </row>
    <row r="128" spans="1:41" ht="20.100000000000001" customHeight="1" thickTop="1" thickBot="1">
      <c r="A128" s="110"/>
      <c r="B128" s="111" t="str">
        <f>IFERROR(INDEX(Tableau4[Date],MATCH($A128,Tableau4[EVO],0)),"")</f>
        <v/>
      </c>
      <c r="C128" s="112" t="str">
        <f>IFERROR(INDEX(Tableau4[Designation],MATCH($A128,Tableau4[EVO],0)),"")</f>
        <v/>
      </c>
      <c r="D128" s="110"/>
      <c r="E128" s="113"/>
      <c r="F128" s="146"/>
      <c r="G128" s="147" t="e">
        <f>INDEX(Tableau8[Att1],MATCH(Tableau3[[#This Row],[ID-INS]],Tableau8[ID],0))&amp;""</f>
        <v>#N/A</v>
      </c>
      <c r="H128" s="147" t="e">
        <f>INDEX(Tableau8[Att2],MATCH(Tableau3[[#This Row],[ID-INS]],Tableau8[ID],0))&amp;""</f>
        <v>#N/A</v>
      </c>
      <c r="I128" s="147" t="e">
        <f>INDEX(Tableau8[Att3],MATCH(Tableau3[[#This Row],[ID-INS]],Tableau8[ID],0))&amp;""</f>
        <v>#N/A</v>
      </c>
      <c r="J128" s="148"/>
      <c r="K128" s="167" t="e">
        <f>INDEX(Tableau8[Nom du modele],MATCH(Tableau3[[#This Row],[ID-INS]],Tableau8[ID],0))&amp;""</f>
        <v>#N/A</v>
      </c>
      <c r="L128" s="149" t="e">
        <f>INDEX(Tableau5[Att1],MATCH(Tableau3[[#This Row],[ID-SIG]],Tableau5[ID],0))&amp;""</f>
        <v>#N/A</v>
      </c>
      <c r="M128" s="149" t="e">
        <f>INDEX(Tableau5[Att2],MATCH(Tableau3[[#This Row],[ID-SIG]],Tableau5[ID],0))&amp;""</f>
        <v>#N/A</v>
      </c>
      <c r="N128" s="149" t="e">
        <f>INDEX(Tableau5[Att3],MATCH(Tableau3[[#This Row],[ID-SIG]],Tableau5[ID],0))&amp;""</f>
        <v>#N/A</v>
      </c>
      <c r="O128" s="150"/>
      <c r="P128" s="149" t="e">
        <f>INDEX(Tableau5[Description],MATCH(Tableau3[[#This Row],[ID-SIG]],Tableau5[ID],0))</f>
        <v>#N/A</v>
      </c>
      <c r="Q128" s="150"/>
      <c r="R128" s="117" t="e">
        <f>Tableau3[[#This Row],[Description]]</f>
        <v>#N/A</v>
      </c>
      <c r="S128" s="75"/>
      <c r="T128" s="75"/>
      <c r="U128" s="151">
        <v>1</v>
      </c>
      <c r="V128" s="151">
        <v>2</v>
      </c>
      <c r="W128" s="151">
        <v>5</v>
      </c>
      <c r="X128" s="151">
        <v>6</v>
      </c>
      <c r="Y128" s="41"/>
      <c r="Z128" s="166" t="str">
        <f>INDEX(Tableau2[TS],MATCH(Tableau3[[#This Row],[ID-CARTEVOIE]],Tableau2[ID-CARTEVOIE],0))</f>
        <v>ST</v>
      </c>
      <c r="AA128" s="81" t="s">
        <v>213</v>
      </c>
      <c r="AB128" s="226" t="str">
        <f>IFERROR(INDEX(Tableau5[Reserve],MATCH(Tableau3[[#This Row],[ID-SIG]],Tableau5[ID],0))&amp;"","")</f>
        <v/>
      </c>
      <c r="AC128" s="119" t="s">
        <v>1456</v>
      </c>
      <c r="AD128" s="120" t="str">
        <f>INDEX(Tableau7[Repere],MATCH(Tableau3[[#This Row],[ID-API]],Tableau7[ID-API],0))&amp;""</f>
        <v>A1</v>
      </c>
      <c r="AE128" s="121" t="str">
        <f>INDEX(Tableau1[Repere-Rack],MATCH(Tableau3[[#This Row],[ID-RACK]],Tableau1[ID-RACK],0))&amp;""</f>
        <v>R2</v>
      </c>
      <c r="AF128" s="121" t="str">
        <f>INDEX(Tableau1[Repere-Slot],MATCH(Tableau3[[#This Row],[ID-SLOT]],Tableau1[ID-SLOT],0))&amp;""</f>
        <v>S5</v>
      </c>
      <c r="AG128" s="121" t="str">
        <f>INDEX(Tableau2[Repere-Voie],MATCH(Tableau3[[#This Row],[ID-VOIE]],Tableau2[ID-Voie],0))&amp;""</f>
        <v>v6</v>
      </c>
      <c r="AH128" s="122" t="str">
        <f>Tableau3[[#This Row],[ID-API]]&amp; "." &amp;Tableau3[[#This Row],[ID-RACK]]&amp; "." &amp;Tableau3[[#This Row],[ID-SLOT]]</f>
        <v>1.2.5</v>
      </c>
      <c r="AI128" s="72" t="str">
        <f>INDEX(Tableau1[Ref-Carte],MATCH(Tableau3[[#This Row],[ID-RRS]],Tableau1[ID-RRS],0))</f>
        <v>SDO0802</v>
      </c>
      <c r="AJ128" s="72" t="str">
        <f t="array" ref="AJ128">IFERROR(INDEX(Tableau2[TS],MATCH(1,(Tableau2[Ref-Carte]=Tableau3[[#This Row],[Ref-Carte2]])*(Tableau2[ID-Voie]=Tableau3[[#This Row],[ID-VOIE]]),0)),"")</f>
        <v>ST</v>
      </c>
      <c r="AK128" s="72" t="str">
        <f>IFERROR(INDEX(Tableau2[TS],SUMPRODUCT((Tableau2[Ref-Carte]=Tableau3[[#This Row],[Ref-Carte2]])*(Tableau2[ID-Voie]=Tableau3[[#This Row],[ID-VOIE]])*ROW(Tableau2[TS]))-ROW(Tableau2[#Headers])),"")</f>
        <v>ST</v>
      </c>
      <c r="AL128" s="122" t="str">
        <f>Tableau3[[#This Row],[Ref-Carte2]]&amp;"/"&amp;Tableau3[[#This Row],[ID-VOIE]]</f>
        <v>SDO0802/6</v>
      </c>
      <c r="AM128" s="123" t="str">
        <f>INDEX(Tableau2[Borne],MATCH(Tableau3[[#This Row],[ID-CARTEVOIE]],Tableau2[ID-CARTEVOIE],0))&amp;""</f>
        <v>6</v>
      </c>
      <c r="AN128" s="124" t="str">
        <f>Tableau3[[#This Row],[ID-API]]&amp;Tableau3[[#This Row],[ID-RACK]]&amp;Tableau3[[#This Row],[ID-SLOT]]&amp;Tableau3[[#This Row],[BORNE]]</f>
        <v>1256</v>
      </c>
      <c r="AO128" s="125"/>
    </row>
    <row r="129" spans="1:41" ht="20.100000000000001" customHeight="1" thickTop="1" thickBot="1">
      <c r="A129" s="110"/>
      <c r="B129" s="111" t="str">
        <f>IFERROR(INDEX(Tableau4[Date],MATCH($A129,Tableau4[EVO],0)),"")</f>
        <v/>
      </c>
      <c r="C129" s="112" t="str">
        <f>IFERROR(INDEX(Tableau4[Designation],MATCH($A129,Tableau4[EVO],0)),"")</f>
        <v/>
      </c>
      <c r="D129" s="110"/>
      <c r="E129" s="113"/>
      <c r="F129" s="146"/>
      <c r="G129" s="147" t="e">
        <f>INDEX(Tableau8[Att1],MATCH(Tableau3[[#This Row],[ID-INS]],Tableau8[ID],0))&amp;""</f>
        <v>#N/A</v>
      </c>
      <c r="H129" s="147" t="e">
        <f>INDEX(Tableau8[Att2],MATCH(Tableau3[[#This Row],[ID-INS]],Tableau8[ID],0))&amp;""</f>
        <v>#N/A</v>
      </c>
      <c r="I129" s="147" t="e">
        <f>INDEX(Tableau8[Att3],MATCH(Tableau3[[#This Row],[ID-INS]],Tableau8[ID],0))&amp;""</f>
        <v>#N/A</v>
      </c>
      <c r="J129" s="148"/>
      <c r="K129" s="167" t="e">
        <f>INDEX(Tableau8[Nom du modele],MATCH(Tableau3[[#This Row],[ID-INS]],Tableau8[ID],0))&amp;""</f>
        <v>#N/A</v>
      </c>
      <c r="L129" s="149" t="e">
        <f>INDEX(Tableau5[Att1],MATCH(Tableau3[[#This Row],[ID-SIG]],Tableau5[ID],0))&amp;""</f>
        <v>#N/A</v>
      </c>
      <c r="M129" s="149" t="e">
        <f>INDEX(Tableau5[Att2],MATCH(Tableau3[[#This Row],[ID-SIG]],Tableau5[ID],0))&amp;""</f>
        <v>#N/A</v>
      </c>
      <c r="N129" s="149" t="e">
        <f>INDEX(Tableau5[Att3],MATCH(Tableau3[[#This Row],[ID-SIG]],Tableau5[ID],0))&amp;""</f>
        <v>#N/A</v>
      </c>
      <c r="O129" s="150"/>
      <c r="P129" s="149" t="e">
        <f>INDEX(Tableau5[Description],MATCH(Tableau3[[#This Row],[ID-SIG]],Tableau5[ID],0))</f>
        <v>#N/A</v>
      </c>
      <c r="Q129" s="150"/>
      <c r="R129" s="117" t="e">
        <f>Tableau3[[#This Row],[Description]]</f>
        <v>#N/A</v>
      </c>
      <c r="S129" s="75"/>
      <c r="T129" s="75"/>
      <c r="U129" s="151">
        <v>1</v>
      </c>
      <c r="V129" s="151">
        <v>2</v>
      </c>
      <c r="W129" s="151">
        <v>5</v>
      </c>
      <c r="X129" s="151">
        <v>7</v>
      </c>
      <c r="Y129" s="41"/>
      <c r="Z129" s="166" t="str">
        <f>INDEX(Tableau2[TS],MATCH(Tableau3[[#This Row],[ID-CARTEVOIE]],Tableau2[ID-CARTEVOIE],0))</f>
        <v>ST</v>
      </c>
      <c r="AA129" s="81" t="s">
        <v>213</v>
      </c>
      <c r="AB129" s="226" t="str">
        <f>IFERROR(INDEX(Tableau5[Reserve],MATCH(Tableau3[[#This Row],[ID-SIG]],Tableau5[ID],0))&amp;"","")</f>
        <v/>
      </c>
      <c r="AC129" s="119" t="s">
        <v>1456</v>
      </c>
      <c r="AD129" s="120" t="str">
        <f>INDEX(Tableau7[Repere],MATCH(Tableau3[[#This Row],[ID-API]],Tableau7[ID-API],0))&amp;""</f>
        <v>A1</v>
      </c>
      <c r="AE129" s="121" t="str">
        <f>INDEX(Tableau1[Repere-Rack],MATCH(Tableau3[[#This Row],[ID-RACK]],Tableau1[ID-RACK],0))&amp;""</f>
        <v>R2</v>
      </c>
      <c r="AF129" s="121" t="str">
        <f>INDEX(Tableau1[Repere-Slot],MATCH(Tableau3[[#This Row],[ID-SLOT]],Tableau1[ID-SLOT],0))&amp;""</f>
        <v>S5</v>
      </c>
      <c r="AG129" s="121" t="str">
        <f>INDEX(Tableau2[Repere-Voie],MATCH(Tableau3[[#This Row],[ID-VOIE]],Tableau2[ID-Voie],0))&amp;""</f>
        <v>v7</v>
      </c>
      <c r="AH129" s="122" t="str">
        <f>Tableau3[[#This Row],[ID-API]]&amp; "." &amp;Tableau3[[#This Row],[ID-RACK]]&amp; "." &amp;Tableau3[[#This Row],[ID-SLOT]]</f>
        <v>1.2.5</v>
      </c>
      <c r="AI129" s="72" t="str">
        <f>INDEX(Tableau1[Ref-Carte],MATCH(Tableau3[[#This Row],[ID-RRS]],Tableau1[ID-RRS],0))</f>
        <v>SDO0802</v>
      </c>
      <c r="AJ129" s="72" t="str">
        <f t="array" ref="AJ129">IFERROR(INDEX(Tableau2[TS],MATCH(1,(Tableau2[Ref-Carte]=Tableau3[[#This Row],[Ref-Carte2]])*(Tableau2[ID-Voie]=Tableau3[[#This Row],[ID-VOIE]]),0)),"")</f>
        <v>ST</v>
      </c>
      <c r="AK129" s="72" t="str">
        <f>IFERROR(INDEX(Tableau2[TS],SUMPRODUCT((Tableau2[Ref-Carte]=Tableau3[[#This Row],[Ref-Carte2]])*(Tableau2[ID-Voie]=Tableau3[[#This Row],[ID-VOIE]])*ROW(Tableau2[TS]))-ROW(Tableau2[#Headers])),"")</f>
        <v>ST</v>
      </c>
      <c r="AL129" s="122" t="str">
        <f>Tableau3[[#This Row],[Ref-Carte2]]&amp;"/"&amp;Tableau3[[#This Row],[ID-VOIE]]</f>
        <v>SDO0802/7</v>
      </c>
      <c r="AM129" s="123" t="str">
        <f>INDEX(Tableau2[Borne],MATCH(Tableau3[[#This Row],[ID-CARTEVOIE]],Tableau2[ID-CARTEVOIE],0))&amp;""</f>
        <v>7</v>
      </c>
      <c r="AN129" s="124" t="str">
        <f>Tableau3[[#This Row],[ID-API]]&amp;Tableau3[[#This Row],[ID-RACK]]&amp;Tableau3[[#This Row],[ID-SLOT]]&amp;Tableau3[[#This Row],[BORNE]]</f>
        <v>1257</v>
      </c>
      <c r="AO129" s="125"/>
    </row>
    <row r="130" spans="1:41" ht="20.100000000000001" customHeight="1" thickTop="1" thickBot="1">
      <c r="A130" s="110"/>
      <c r="B130" s="111" t="str">
        <f>IFERROR(INDEX(Tableau4[Date],MATCH($A130,Tableau4[EVO],0)),"")</f>
        <v/>
      </c>
      <c r="C130" s="112" t="str">
        <f>IFERROR(INDEX(Tableau4[Designation],MATCH($A130,Tableau4[EVO],0)),"")</f>
        <v/>
      </c>
      <c r="D130" s="110"/>
      <c r="E130" s="113"/>
      <c r="F130" s="146"/>
      <c r="G130" s="147" t="e">
        <f>INDEX(Tableau8[Att1],MATCH(Tableau3[[#This Row],[ID-INS]],Tableau8[ID],0))&amp;""</f>
        <v>#N/A</v>
      </c>
      <c r="H130" s="147" t="e">
        <f>INDEX(Tableau8[Att2],MATCH(Tableau3[[#This Row],[ID-INS]],Tableau8[ID],0))&amp;""</f>
        <v>#N/A</v>
      </c>
      <c r="I130" s="147" t="e">
        <f>INDEX(Tableau8[Att3],MATCH(Tableau3[[#This Row],[ID-INS]],Tableau8[ID],0))&amp;""</f>
        <v>#N/A</v>
      </c>
      <c r="J130" s="148"/>
      <c r="K130" s="167" t="e">
        <f>INDEX(Tableau8[Nom du modele],MATCH(Tableau3[[#This Row],[ID-INS]],Tableau8[ID],0))&amp;""</f>
        <v>#N/A</v>
      </c>
      <c r="L130" s="149" t="e">
        <f>INDEX(Tableau5[Att1],MATCH(Tableau3[[#This Row],[ID-SIG]],Tableau5[ID],0))&amp;""</f>
        <v>#N/A</v>
      </c>
      <c r="M130" s="149" t="e">
        <f>INDEX(Tableau5[Att2],MATCH(Tableau3[[#This Row],[ID-SIG]],Tableau5[ID],0))&amp;""</f>
        <v>#N/A</v>
      </c>
      <c r="N130" s="149" t="e">
        <f>INDEX(Tableau5[Att3],MATCH(Tableau3[[#This Row],[ID-SIG]],Tableau5[ID],0))&amp;""</f>
        <v>#N/A</v>
      </c>
      <c r="O130" s="150"/>
      <c r="P130" s="149" t="s">
        <v>1677</v>
      </c>
      <c r="Q130" s="150"/>
      <c r="R130" s="117" t="str">
        <f>Tableau3[[#This Row],[Description]]</f>
        <v>TEA92</v>
      </c>
      <c r="S130" s="75"/>
      <c r="T130" s="75"/>
      <c r="U130" s="151">
        <v>1</v>
      </c>
      <c r="V130" s="151">
        <v>2</v>
      </c>
      <c r="W130" s="151">
        <v>6</v>
      </c>
      <c r="X130" s="151">
        <v>0</v>
      </c>
      <c r="Y130" s="41"/>
      <c r="Z130" s="166" t="str">
        <f>INDEX(Tableau2[TS],MATCH(Tableau3[[#This Row],[ID-CARTEVOIE]],Tableau2[ID-CARTEVOIE],0))</f>
        <v>ST</v>
      </c>
      <c r="AA130" s="81" t="s">
        <v>213</v>
      </c>
      <c r="AB130" s="226" t="str">
        <f>IFERROR(INDEX(Tableau5[Reserve],MATCH(Tableau3[[#This Row],[ID-SIG]],Tableau5[ID],0))&amp;"","")</f>
        <v/>
      </c>
      <c r="AC130" s="119" t="s">
        <v>1456</v>
      </c>
      <c r="AD130" s="120" t="str">
        <f>INDEX(Tableau7[Repere],MATCH(Tableau3[[#This Row],[ID-API]],Tableau7[ID-API],0))&amp;""</f>
        <v>A1</v>
      </c>
      <c r="AE130" s="121" t="str">
        <f>INDEX(Tableau1[Repere-Rack],MATCH(Tableau3[[#This Row],[ID-RACK]],Tableau1[ID-RACK],0))&amp;""</f>
        <v>R2</v>
      </c>
      <c r="AF130" s="121" t="str">
        <f>INDEX(Tableau1[Repere-Slot],MATCH(Tableau3[[#This Row],[ID-SLOT]],Tableau1[ID-SLOT],0))&amp;""</f>
        <v>S6</v>
      </c>
      <c r="AG130" s="121" t="str">
        <f>INDEX(Tableau2[Repere-Voie],MATCH(Tableau3[[#This Row],[ID-VOIE]],Tableau2[ID-Voie],0))&amp;""</f>
        <v>v0</v>
      </c>
      <c r="AH130" s="122" t="str">
        <f>Tableau3[[#This Row],[ID-API]]&amp; "." &amp;Tableau3[[#This Row],[ID-RACK]]&amp; "." &amp;Tableau3[[#This Row],[ID-SLOT]]</f>
        <v>1.2.6</v>
      </c>
      <c r="AI130" s="72" t="str">
        <f>INDEX(Tableau1[Ref-Carte],MATCH(Tableau3[[#This Row],[ID-RRS]],Tableau1[ID-RRS],0))</f>
        <v>SDO0802</v>
      </c>
      <c r="AJ130" s="72" t="str">
        <f t="array" ref="AJ130">IFERROR(INDEX(Tableau2[TS],MATCH(1,(Tableau2[Ref-Carte]=Tableau3[[#This Row],[Ref-Carte2]])*(Tableau2[ID-Voie]=Tableau3[[#This Row],[ID-VOIE]]),0)),"")</f>
        <v>ST</v>
      </c>
      <c r="AK130" s="72" t="str">
        <f>IFERROR(INDEX(Tableau2[TS],SUMPRODUCT((Tableau2[Ref-Carte]=Tableau3[[#This Row],[Ref-Carte2]])*(Tableau2[ID-Voie]=Tableau3[[#This Row],[ID-VOIE]])*ROW(Tableau2[TS]))-ROW(Tableau2[#Headers])),"")</f>
        <v>ST</v>
      </c>
      <c r="AL130" s="122" t="str">
        <f>Tableau3[[#This Row],[Ref-Carte2]]&amp;"/"&amp;Tableau3[[#This Row],[ID-VOIE]]</f>
        <v>SDO0802/0</v>
      </c>
      <c r="AM130" s="123" t="str">
        <f>INDEX(Tableau2[Borne],MATCH(Tableau3[[#This Row],[ID-CARTEVOIE]],Tableau2[ID-CARTEVOIE],0))&amp;""</f>
        <v>0</v>
      </c>
      <c r="AN130" s="124" t="str">
        <f>Tableau3[[#This Row],[ID-API]]&amp;Tableau3[[#This Row],[ID-RACK]]&amp;Tableau3[[#This Row],[ID-SLOT]]&amp;Tableau3[[#This Row],[BORNE]]</f>
        <v>1260</v>
      </c>
      <c r="AO130" s="125"/>
    </row>
    <row r="131" spans="1:41" ht="20.100000000000001" customHeight="1" thickTop="1" thickBot="1">
      <c r="A131" s="110"/>
      <c r="B131" s="111" t="str">
        <f>IFERROR(INDEX(Tableau4[Date],MATCH($A131,Tableau4[EVO],0)),"")</f>
        <v/>
      </c>
      <c r="C131" s="112" t="str">
        <f>IFERROR(INDEX(Tableau4[Designation],MATCH($A131,Tableau4[EVO],0)),"")</f>
        <v/>
      </c>
      <c r="D131" s="110"/>
      <c r="E131" s="113"/>
      <c r="F131" s="146"/>
      <c r="G131" s="147" t="e">
        <f>INDEX(Tableau8[Att1],MATCH(Tableau3[[#This Row],[ID-INS]],Tableau8[ID],0))&amp;""</f>
        <v>#N/A</v>
      </c>
      <c r="H131" s="147" t="e">
        <f>INDEX(Tableau8[Att2],MATCH(Tableau3[[#This Row],[ID-INS]],Tableau8[ID],0))&amp;""</f>
        <v>#N/A</v>
      </c>
      <c r="I131" s="147" t="e">
        <f>INDEX(Tableau8[Att3],MATCH(Tableau3[[#This Row],[ID-INS]],Tableau8[ID],0))&amp;""</f>
        <v>#N/A</v>
      </c>
      <c r="J131" s="148"/>
      <c r="K131" s="167" t="e">
        <f>INDEX(Tableau8[Nom du modele],MATCH(Tableau3[[#This Row],[ID-INS]],Tableau8[ID],0))&amp;""</f>
        <v>#N/A</v>
      </c>
      <c r="L131" s="149" t="e">
        <f>INDEX(Tableau5[Att1],MATCH(Tableau3[[#This Row],[ID-SIG]],Tableau5[ID],0))&amp;""</f>
        <v>#N/A</v>
      </c>
      <c r="M131" s="149" t="e">
        <f>INDEX(Tableau5[Att2],MATCH(Tableau3[[#This Row],[ID-SIG]],Tableau5[ID],0))&amp;""</f>
        <v>#N/A</v>
      </c>
      <c r="N131" s="149" t="e">
        <f>INDEX(Tableau5[Att3],MATCH(Tableau3[[#This Row],[ID-SIG]],Tableau5[ID],0))&amp;""</f>
        <v>#N/A</v>
      </c>
      <c r="O131" s="150"/>
      <c r="P131" s="149" t="s">
        <v>1678</v>
      </c>
      <c r="Q131" s="150"/>
      <c r="R131" s="117" t="str">
        <f>Tableau3[[#This Row],[Description]]</f>
        <v>TEA93</v>
      </c>
      <c r="S131" s="75"/>
      <c r="T131" s="75"/>
      <c r="U131" s="151">
        <v>1</v>
      </c>
      <c r="V131" s="151">
        <v>2</v>
      </c>
      <c r="W131" s="151">
        <v>6</v>
      </c>
      <c r="X131" s="151">
        <v>1</v>
      </c>
      <c r="Y131" s="41"/>
      <c r="Z131" s="166" t="str">
        <f>INDEX(Tableau2[TS],MATCH(Tableau3[[#This Row],[ID-CARTEVOIE]],Tableau2[ID-CARTEVOIE],0))</f>
        <v>ST</v>
      </c>
      <c r="AA131" s="81" t="s">
        <v>213</v>
      </c>
      <c r="AB131" s="226" t="str">
        <f>IFERROR(INDEX(Tableau5[Reserve],MATCH(Tableau3[[#This Row],[ID-SIG]],Tableau5[ID],0))&amp;"","")</f>
        <v/>
      </c>
      <c r="AC131" s="119" t="s">
        <v>1456</v>
      </c>
      <c r="AD131" s="120" t="str">
        <f>INDEX(Tableau7[Repere],MATCH(Tableau3[[#This Row],[ID-API]],Tableau7[ID-API],0))&amp;""</f>
        <v>A1</v>
      </c>
      <c r="AE131" s="121" t="str">
        <f>INDEX(Tableau1[Repere-Rack],MATCH(Tableau3[[#This Row],[ID-RACK]],Tableau1[ID-RACK],0))&amp;""</f>
        <v>R2</v>
      </c>
      <c r="AF131" s="121" t="str">
        <f>INDEX(Tableau1[Repere-Slot],MATCH(Tableau3[[#This Row],[ID-SLOT]],Tableau1[ID-SLOT],0))&amp;""</f>
        <v>S6</v>
      </c>
      <c r="AG131" s="121" t="str">
        <f>INDEX(Tableau2[Repere-Voie],MATCH(Tableau3[[#This Row],[ID-VOIE]],Tableau2[ID-Voie],0))&amp;""</f>
        <v>v1</v>
      </c>
      <c r="AH131" s="122" t="str">
        <f>Tableau3[[#This Row],[ID-API]]&amp; "." &amp;Tableau3[[#This Row],[ID-RACK]]&amp; "." &amp;Tableau3[[#This Row],[ID-SLOT]]</f>
        <v>1.2.6</v>
      </c>
      <c r="AI131" s="72" t="str">
        <f>INDEX(Tableau1[Ref-Carte],MATCH(Tableau3[[#This Row],[ID-RRS]],Tableau1[ID-RRS],0))</f>
        <v>SDO0802</v>
      </c>
      <c r="AJ131" s="72" t="str">
        <f t="array" ref="AJ131">IFERROR(INDEX(Tableau2[TS],MATCH(1,(Tableau2[Ref-Carte]=Tableau3[[#This Row],[Ref-Carte2]])*(Tableau2[ID-Voie]=Tableau3[[#This Row],[ID-VOIE]]),0)),"")</f>
        <v>ST</v>
      </c>
      <c r="AK131" s="72" t="str">
        <f>IFERROR(INDEX(Tableau2[TS],SUMPRODUCT((Tableau2[Ref-Carte]=Tableau3[[#This Row],[Ref-Carte2]])*(Tableau2[ID-Voie]=Tableau3[[#This Row],[ID-VOIE]])*ROW(Tableau2[TS]))-ROW(Tableau2[#Headers])),"")</f>
        <v>ST</v>
      </c>
      <c r="AL131" s="122" t="str">
        <f>Tableau3[[#This Row],[Ref-Carte2]]&amp;"/"&amp;Tableau3[[#This Row],[ID-VOIE]]</f>
        <v>SDO0802/1</v>
      </c>
      <c r="AM131" s="123" t="str">
        <f>INDEX(Tableau2[Borne],MATCH(Tableau3[[#This Row],[ID-CARTEVOIE]],Tableau2[ID-CARTEVOIE],0))&amp;""</f>
        <v>1</v>
      </c>
      <c r="AN131" s="124" t="str">
        <f>Tableau3[[#This Row],[ID-API]]&amp;Tableau3[[#This Row],[ID-RACK]]&amp;Tableau3[[#This Row],[ID-SLOT]]&amp;Tableau3[[#This Row],[BORNE]]</f>
        <v>1261</v>
      </c>
      <c r="AO131" s="125"/>
    </row>
    <row r="132" spans="1:41" ht="20.100000000000001" customHeight="1" thickTop="1" thickBot="1">
      <c r="A132" s="110"/>
      <c r="B132" s="111" t="str">
        <f>IFERROR(INDEX(Tableau4[Date],MATCH($A132,Tableau4[EVO],0)),"")</f>
        <v/>
      </c>
      <c r="C132" s="112" t="str">
        <f>IFERROR(INDEX(Tableau4[Designation],MATCH($A132,Tableau4[EVO],0)),"")</f>
        <v/>
      </c>
      <c r="D132" s="110"/>
      <c r="E132" s="113"/>
      <c r="F132" s="146"/>
      <c r="G132" s="147" t="e">
        <f>INDEX(Tableau8[Att1],MATCH(Tableau3[[#This Row],[ID-INS]],Tableau8[ID],0))&amp;""</f>
        <v>#N/A</v>
      </c>
      <c r="H132" s="147" t="e">
        <f>INDEX(Tableau8[Att2],MATCH(Tableau3[[#This Row],[ID-INS]],Tableau8[ID],0))&amp;""</f>
        <v>#N/A</v>
      </c>
      <c r="I132" s="147" t="e">
        <f>INDEX(Tableau8[Att3],MATCH(Tableau3[[#This Row],[ID-INS]],Tableau8[ID],0))&amp;""</f>
        <v>#N/A</v>
      </c>
      <c r="J132" s="148"/>
      <c r="K132" s="167" t="e">
        <f>INDEX(Tableau8[Nom du modele],MATCH(Tableau3[[#This Row],[ID-INS]],Tableau8[ID],0))&amp;""</f>
        <v>#N/A</v>
      </c>
      <c r="L132" s="149" t="e">
        <f>INDEX(Tableau5[Att1],MATCH(Tableau3[[#This Row],[ID-SIG]],Tableau5[ID],0))&amp;""</f>
        <v>#N/A</v>
      </c>
      <c r="M132" s="149" t="e">
        <f>INDEX(Tableau5[Att2],MATCH(Tableau3[[#This Row],[ID-SIG]],Tableau5[ID],0))&amp;""</f>
        <v>#N/A</v>
      </c>
      <c r="N132" s="149" t="e">
        <f>INDEX(Tableau5[Att3],MATCH(Tableau3[[#This Row],[ID-SIG]],Tableau5[ID],0))&amp;""</f>
        <v>#N/A</v>
      </c>
      <c r="O132" s="150"/>
      <c r="P132" s="149" t="s">
        <v>1679</v>
      </c>
      <c r="Q132" s="150"/>
      <c r="R132" s="117" t="str">
        <f>Tableau3[[#This Row],[Description]]</f>
        <v>TEA94</v>
      </c>
      <c r="S132" s="75"/>
      <c r="T132" s="75"/>
      <c r="U132" s="151">
        <v>1</v>
      </c>
      <c r="V132" s="151">
        <v>2</v>
      </c>
      <c r="W132" s="151">
        <v>6</v>
      </c>
      <c r="X132" s="151">
        <v>2</v>
      </c>
      <c r="Y132" s="41"/>
      <c r="Z132" s="166" t="str">
        <f>INDEX(Tableau2[TS],MATCH(Tableau3[[#This Row],[ID-CARTEVOIE]],Tableau2[ID-CARTEVOIE],0))</f>
        <v>ST</v>
      </c>
      <c r="AA132" s="81" t="s">
        <v>213</v>
      </c>
      <c r="AB132" s="226" t="str">
        <f>IFERROR(INDEX(Tableau5[Reserve],MATCH(Tableau3[[#This Row],[ID-SIG]],Tableau5[ID],0))&amp;"","")</f>
        <v/>
      </c>
      <c r="AC132" s="119" t="s">
        <v>1456</v>
      </c>
      <c r="AD132" s="120" t="str">
        <f>INDEX(Tableau7[Repere],MATCH(Tableau3[[#This Row],[ID-API]],Tableau7[ID-API],0))&amp;""</f>
        <v>A1</v>
      </c>
      <c r="AE132" s="121" t="str">
        <f>INDEX(Tableau1[Repere-Rack],MATCH(Tableau3[[#This Row],[ID-RACK]],Tableau1[ID-RACK],0))&amp;""</f>
        <v>R2</v>
      </c>
      <c r="AF132" s="121" t="str">
        <f>INDEX(Tableau1[Repere-Slot],MATCH(Tableau3[[#This Row],[ID-SLOT]],Tableau1[ID-SLOT],0))&amp;""</f>
        <v>S6</v>
      </c>
      <c r="AG132" s="121" t="str">
        <f>INDEX(Tableau2[Repere-Voie],MATCH(Tableau3[[#This Row],[ID-VOIE]],Tableau2[ID-Voie],0))&amp;""</f>
        <v>v2</v>
      </c>
      <c r="AH132" s="122" t="str">
        <f>Tableau3[[#This Row],[ID-API]]&amp; "." &amp;Tableau3[[#This Row],[ID-RACK]]&amp; "." &amp;Tableau3[[#This Row],[ID-SLOT]]</f>
        <v>1.2.6</v>
      </c>
      <c r="AI132" s="72" t="str">
        <f>INDEX(Tableau1[Ref-Carte],MATCH(Tableau3[[#This Row],[ID-RRS]],Tableau1[ID-RRS],0))</f>
        <v>SDO0802</v>
      </c>
      <c r="AJ132" s="72" t="str">
        <f t="array" ref="AJ132">IFERROR(INDEX(Tableau2[TS],MATCH(1,(Tableau2[Ref-Carte]=Tableau3[[#This Row],[Ref-Carte2]])*(Tableau2[ID-Voie]=Tableau3[[#This Row],[ID-VOIE]]),0)),"")</f>
        <v>ST</v>
      </c>
      <c r="AK132" s="72" t="str">
        <f>IFERROR(INDEX(Tableau2[TS],SUMPRODUCT((Tableau2[Ref-Carte]=Tableau3[[#This Row],[Ref-Carte2]])*(Tableau2[ID-Voie]=Tableau3[[#This Row],[ID-VOIE]])*ROW(Tableau2[TS]))-ROW(Tableau2[#Headers])),"")</f>
        <v>ST</v>
      </c>
      <c r="AL132" s="122" t="str">
        <f>Tableau3[[#This Row],[Ref-Carte2]]&amp;"/"&amp;Tableau3[[#This Row],[ID-VOIE]]</f>
        <v>SDO0802/2</v>
      </c>
      <c r="AM132" s="123" t="str">
        <f>INDEX(Tableau2[Borne],MATCH(Tableau3[[#This Row],[ID-CARTEVOIE]],Tableau2[ID-CARTEVOIE],0))&amp;""</f>
        <v>2</v>
      </c>
      <c r="AN132" s="124" t="str">
        <f>Tableau3[[#This Row],[ID-API]]&amp;Tableau3[[#This Row],[ID-RACK]]&amp;Tableau3[[#This Row],[ID-SLOT]]&amp;Tableau3[[#This Row],[BORNE]]</f>
        <v>1262</v>
      </c>
      <c r="AO132" s="125"/>
    </row>
    <row r="133" spans="1:41" ht="20.100000000000001" customHeight="1" thickTop="1" thickBot="1">
      <c r="A133" s="110"/>
      <c r="B133" s="111" t="str">
        <f>IFERROR(INDEX(Tableau4[Date],MATCH($A133,Tableau4[EVO],0)),"")</f>
        <v/>
      </c>
      <c r="C133" s="112" t="str">
        <f>IFERROR(INDEX(Tableau4[Designation],MATCH($A133,Tableau4[EVO],0)),"")</f>
        <v/>
      </c>
      <c r="D133" s="110"/>
      <c r="E133" s="113"/>
      <c r="F133" s="146"/>
      <c r="G133" s="147" t="e">
        <f>INDEX(Tableau8[Att1],MATCH(Tableau3[[#This Row],[ID-INS]],Tableau8[ID],0))&amp;""</f>
        <v>#N/A</v>
      </c>
      <c r="H133" s="147" t="e">
        <f>INDEX(Tableau8[Att2],MATCH(Tableau3[[#This Row],[ID-INS]],Tableau8[ID],0))&amp;""</f>
        <v>#N/A</v>
      </c>
      <c r="I133" s="147" t="e">
        <f>INDEX(Tableau8[Att3],MATCH(Tableau3[[#This Row],[ID-INS]],Tableau8[ID],0))&amp;""</f>
        <v>#N/A</v>
      </c>
      <c r="J133" s="148"/>
      <c r="K133" s="167" t="e">
        <f>INDEX(Tableau8[Nom du modele],MATCH(Tableau3[[#This Row],[ID-INS]],Tableau8[ID],0))&amp;""</f>
        <v>#N/A</v>
      </c>
      <c r="L133" s="149" t="e">
        <f>INDEX(Tableau5[Att1],MATCH(Tableau3[[#This Row],[ID-SIG]],Tableau5[ID],0))&amp;""</f>
        <v>#N/A</v>
      </c>
      <c r="M133" s="149" t="e">
        <f>INDEX(Tableau5[Att2],MATCH(Tableau3[[#This Row],[ID-SIG]],Tableau5[ID],0))&amp;""</f>
        <v>#N/A</v>
      </c>
      <c r="N133" s="149" t="e">
        <f>INDEX(Tableau5[Att3],MATCH(Tableau3[[#This Row],[ID-SIG]],Tableau5[ID],0))&amp;""</f>
        <v>#N/A</v>
      </c>
      <c r="O133" s="150"/>
      <c r="P133" s="149" t="s">
        <v>1680</v>
      </c>
      <c r="Q133" s="150"/>
      <c r="R133" s="117" t="str">
        <f>Tableau3[[#This Row],[Description]]</f>
        <v>TEA95</v>
      </c>
      <c r="S133" s="75"/>
      <c r="T133" s="75"/>
      <c r="U133" s="151">
        <v>1</v>
      </c>
      <c r="V133" s="151">
        <v>2</v>
      </c>
      <c r="W133" s="151">
        <v>6</v>
      </c>
      <c r="X133" s="151">
        <v>3</v>
      </c>
      <c r="Y133" s="41"/>
      <c r="Z133" s="166" t="str">
        <f>INDEX(Tableau2[TS],MATCH(Tableau3[[#This Row],[ID-CARTEVOIE]],Tableau2[ID-CARTEVOIE],0))</f>
        <v>ST</v>
      </c>
      <c r="AA133" s="81" t="s">
        <v>213</v>
      </c>
      <c r="AB133" s="226" t="str">
        <f>IFERROR(INDEX(Tableau5[Reserve],MATCH(Tableau3[[#This Row],[ID-SIG]],Tableau5[ID],0))&amp;"","")</f>
        <v/>
      </c>
      <c r="AC133" s="119" t="s">
        <v>1456</v>
      </c>
      <c r="AD133" s="120" t="str">
        <f>INDEX(Tableau7[Repere],MATCH(Tableau3[[#This Row],[ID-API]],Tableau7[ID-API],0))&amp;""</f>
        <v>A1</v>
      </c>
      <c r="AE133" s="121" t="str">
        <f>INDEX(Tableau1[Repere-Rack],MATCH(Tableau3[[#This Row],[ID-RACK]],Tableau1[ID-RACK],0))&amp;""</f>
        <v>R2</v>
      </c>
      <c r="AF133" s="121" t="str">
        <f>INDEX(Tableau1[Repere-Slot],MATCH(Tableau3[[#This Row],[ID-SLOT]],Tableau1[ID-SLOT],0))&amp;""</f>
        <v>S6</v>
      </c>
      <c r="AG133" s="121" t="str">
        <f>INDEX(Tableau2[Repere-Voie],MATCH(Tableau3[[#This Row],[ID-VOIE]],Tableau2[ID-Voie],0))&amp;""</f>
        <v>v3</v>
      </c>
      <c r="AH133" s="122" t="str">
        <f>Tableau3[[#This Row],[ID-API]]&amp; "." &amp;Tableau3[[#This Row],[ID-RACK]]&amp; "." &amp;Tableau3[[#This Row],[ID-SLOT]]</f>
        <v>1.2.6</v>
      </c>
      <c r="AI133" s="72" t="str">
        <f>INDEX(Tableau1[Ref-Carte],MATCH(Tableau3[[#This Row],[ID-RRS]],Tableau1[ID-RRS],0))</f>
        <v>SDO0802</v>
      </c>
      <c r="AJ133" s="72" t="str">
        <f t="array" ref="AJ133">IFERROR(INDEX(Tableau2[TS],MATCH(1,(Tableau2[Ref-Carte]=Tableau3[[#This Row],[Ref-Carte2]])*(Tableau2[ID-Voie]=Tableau3[[#This Row],[ID-VOIE]]),0)),"")</f>
        <v>ST</v>
      </c>
      <c r="AK133" s="72" t="str">
        <f>IFERROR(INDEX(Tableau2[TS],SUMPRODUCT((Tableau2[Ref-Carte]=Tableau3[[#This Row],[Ref-Carte2]])*(Tableau2[ID-Voie]=Tableau3[[#This Row],[ID-VOIE]])*ROW(Tableau2[TS]))-ROW(Tableau2[#Headers])),"")</f>
        <v>ST</v>
      </c>
      <c r="AL133" s="122" t="str">
        <f>Tableau3[[#This Row],[Ref-Carte2]]&amp;"/"&amp;Tableau3[[#This Row],[ID-VOIE]]</f>
        <v>SDO0802/3</v>
      </c>
      <c r="AM133" s="123" t="str">
        <f>INDEX(Tableau2[Borne],MATCH(Tableau3[[#This Row],[ID-CARTEVOIE]],Tableau2[ID-CARTEVOIE],0))&amp;""</f>
        <v>3</v>
      </c>
      <c r="AN133" s="124" t="str">
        <f>Tableau3[[#This Row],[ID-API]]&amp;Tableau3[[#This Row],[ID-RACK]]&amp;Tableau3[[#This Row],[ID-SLOT]]&amp;Tableau3[[#This Row],[BORNE]]</f>
        <v>1263</v>
      </c>
      <c r="AO133" s="125"/>
    </row>
    <row r="134" spans="1:41" ht="20.100000000000001" customHeight="1" thickTop="1" thickBot="1">
      <c r="A134" s="110"/>
      <c r="B134" s="111" t="str">
        <f>IFERROR(INDEX(Tableau4[Date],MATCH($A134,Tableau4[EVO],0)),"")</f>
        <v/>
      </c>
      <c r="C134" s="112" t="str">
        <f>IFERROR(INDEX(Tableau4[Designation],MATCH($A134,Tableau4[EVO],0)),"")</f>
        <v/>
      </c>
      <c r="D134" s="110"/>
      <c r="E134" s="113"/>
      <c r="F134" s="146"/>
      <c r="G134" s="147" t="e">
        <f>INDEX(Tableau8[Att1],MATCH(Tableau3[[#This Row],[ID-INS]],Tableau8[ID],0))&amp;""</f>
        <v>#N/A</v>
      </c>
      <c r="H134" s="147" t="e">
        <f>INDEX(Tableau8[Att2],MATCH(Tableau3[[#This Row],[ID-INS]],Tableau8[ID],0))&amp;""</f>
        <v>#N/A</v>
      </c>
      <c r="I134" s="147" t="e">
        <f>INDEX(Tableau8[Att3],MATCH(Tableau3[[#This Row],[ID-INS]],Tableau8[ID],0))&amp;""</f>
        <v>#N/A</v>
      </c>
      <c r="J134" s="148"/>
      <c r="K134" s="167" t="e">
        <f>INDEX(Tableau8[Nom du modele],MATCH(Tableau3[[#This Row],[ID-INS]],Tableau8[ID],0))&amp;""</f>
        <v>#N/A</v>
      </c>
      <c r="L134" s="149" t="e">
        <f>INDEX(Tableau5[Att1],MATCH(Tableau3[[#This Row],[ID-SIG]],Tableau5[ID],0))&amp;""</f>
        <v>#N/A</v>
      </c>
      <c r="M134" s="149" t="e">
        <f>INDEX(Tableau5[Att2],MATCH(Tableau3[[#This Row],[ID-SIG]],Tableau5[ID],0))&amp;""</f>
        <v>#N/A</v>
      </c>
      <c r="N134" s="149" t="e">
        <f>INDEX(Tableau5[Att3],MATCH(Tableau3[[#This Row],[ID-SIG]],Tableau5[ID],0))&amp;""</f>
        <v>#N/A</v>
      </c>
      <c r="O134" s="150"/>
      <c r="P134" s="149" t="e">
        <f>INDEX(Tableau5[Description],MATCH(Tableau3[[#This Row],[ID-SIG]],Tableau5[ID],0))</f>
        <v>#N/A</v>
      </c>
      <c r="Q134" s="150"/>
      <c r="R134" s="117" t="e">
        <f>Tableau3[[#This Row],[Description]]</f>
        <v>#N/A</v>
      </c>
      <c r="S134" s="75"/>
      <c r="T134" s="75"/>
      <c r="U134" s="151">
        <v>1</v>
      </c>
      <c r="V134" s="151">
        <v>2</v>
      </c>
      <c r="W134" s="151">
        <v>6</v>
      </c>
      <c r="X134" s="151">
        <v>4</v>
      </c>
      <c r="Y134" s="41"/>
      <c r="Z134" s="166" t="str">
        <f>INDEX(Tableau2[TS],MATCH(Tableau3[[#This Row],[ID-CARTEVOIE]],Tableau2[ID-CARTEVOIE],0))</f>
        <v>ST</v>
      </c>
      <c r="AA134" s="81" t="s">
        <v>213</v>
      </c>
      <c r="AB134" s="226" t="str">
        <f>IFERROR(INDEX(Tableau5[Reserve],MATCH(Tableau3[[#This Row],[ID-SIG]],Tableau5[ID],0))&amp;"","")</f>
        <v/>
      </c>
      <c r="AC134" s="119" t="s">
        <v>1456</v>
      </c>
      <c r="AD134" s="120" t="str">
        <f>INDEX(Tableau7[Repere],MATCH(Tableau3[[#This Row],[ID-API]],Tableau7[ID-API],0))&amp;""</f>
        <v>A1</v>
      </c>
      <c r="AE134" s="121" t="str">
        <f>INDEX(Tableau1[Repere-Rack],MATCH(Tableau3[[#This Row],[ID-RACK]],Tableau1[ID-RACK],0))&amp;""</f>
        <v>R2</v>
      </c>
      <c r="AF134" s="121" t="str">
        <f>INDEX(Tableau1[Repere-Slot],MATCH(Tableau3[[#This Row],[ID-SLOT]],Tableau1[ID-SLOT],0))&amp;""</f>
        <v>S6</v>
      </c>
      <c r="AG134" s="121" t="str">
        <f>INDEX(Tableau2[Repere-Voie],MATCH(Tableau3[[#This Row],[ID-VOIE]],Tableau2[ID-Voie],0))&amp;""</f>
        <v>v4</v>
      </c>
      <c r="AH134" s="122" t="str">
        <f>Tableau3[[#This Row],[ID-API]]&amp; "." &amp;Tableau3[[#This Row],[ID-RACK]]&amp; "." &amp;Tableau3[[#This Row],[ID-SLOT]]</f>
        <v>1.2.6</v>
      </c>
      <c r="AI134" s="72" t="str">
        <f>INDEX(Tableau1[Ref-Carte],MATCH(Tableau3[[#This Row],[ID-RRS]],Tableau1[ID-RRS],0))</f>
        <v>SDO0802</v>
      </c>
      <c r="AJ134" s="72" t="str">
        <f t="array" ref="AJ134">IFERROR(INDEX(Tableau2[TS],MATCH(1,(Tableau2[Ref-Carte]=Tableau3[[#This Row],[Ref-Carte2]])*(Tableau2[ID-Voie]=Tableau3[[#This Row],[ID-VOIE]]),0)),"")</f>
        <v>ST</v>
      </c>
      <c r="AK134" s="72" t="str">
        <f>IFERROR(INDEX(Tableau2[TS],SUMPRODUCT((Tableau2[Ref-Carte]=Tableau3[[#This Row],[Ref-Carte2]])*(Tableau2[ID-Voie]=Tableau3[[#This Row],[ID-VOIE]])*ROW(Tableau2[TS]))-ROW(Tableau2[#Headers])),"")</f>
        <v>ST</v>
      </c>
      <c r="AL134" s="122" t="str">
        <f>Tableau3[[#This Row],[Ref-Carte2]]&amp;"/"&amp;Tableau3[[#This Row],[ID-VOIE]]</f>
        <v>SDO0802/4</v>
      </c>
      <c r="AM134" s="123" t="str">
        <f>INDEX(Tableau2[Borne],MATCH(Tableau3[[#This Row],[ID-CARTEVOIE]],Tableau2[ID-CARTEVOIE],0))&amp;""</f>
        <v>4</v>
      </c>
      <c r="AN134" s="124" t="str">
        <f>Tableau3[[#This Row],[ID-API]]&amp;Tableau3[[#This Row],[ID-RACK]]&amp;Tableau3[[#This Row],[ID-SLOT]]&amp;Tableau3[[#This Row],[BORNE]]</f>
        <v>1264</v>
      </c>
      <c r="AO134" s="125"/>
    </row>
    <row r="135" spans="1:41" ht="20.100000000000001" customHeight="1" thickTop="1" thickBot="1">
      <c r="A135" s="110"/>
      <c r="B135" s="111" t="str">
        <f>IFERROR(INDEX(Tableau4[Date],MATCH($A135,Tableau4[EVO],0)),"")</f>
        <v/>
      </c>
      <c r="C135" s="112" t="str">
        <f>IFERROR(INDEX(Tableau4[Designation],MATCH($A135,Tableau4[EVO],0)),"")</f>
        <v/>
      </c>
      <c r="D135" s="110"/>
      <c r="E135" s="113"/>
      <c r="F135" s="146"/>
      <c r="G135" s="147" t="e">
        <f>INDEX(Tableau8[Att1],MATCH(Tableau3[[#This Row],[ID-INS]],Tableau8[ID],0))&amp;""</f>
        <v>#N/A</v>
      </c>
      <c r="H135" s="147" t="e">
        <f>INDEX(Tableau8[Att2],MATCH(Tableau3[[#This Row],[ID-INS]],Tableau8[ID],0))&amp;""</f>
        <v>#N/A</v>
      </c>
      <c r="I135" s="147" t="e">
        <f>INDEX(Tableau8[Att3],MATCH(Tableau3[[#This Row],[ID-INS]],Tableau8[ID],0))&amp;""</f>
        <v>#N/A</v>
      </c>
      <c r="J135" s="148"/>
      <c r="K135" s="167" t="e">
        <f>INDEX(Tableau8[Nom du modele],MATCH(Tableau3[[#This Row],[ID-INS]],Tableau8[ID],0))&amp;""</f>
        <v>#N/A</v>
      </c>
      <c r="L135" s="149" t="e">
        <f>INDEX(Tableau5[Att1],MATCH(Tableau3[[#This Row],[ID-SIG]],Tableau5[ID],0))&amp;""</f>
        <v>#N/A</v>
      </c>
      <c r="M135" s="149" t="e">
        <f>INDEX(Tableau5[Att2],MATCH(Tableau3[[#This Row],[ID-SIG]],Tableau5[ID],0))&amp;""</f>
        <v>#N/A</v>
      </c>
      <c r="N135" s="149" t="e">
        <f>INDEX(Tableau5[Att3],MATCH(Tableau3[[#This Row],[ID-SIG]],Tableau5[ID],0))&amp;""</f>
        <v>#N/A</v>
      </c>
      <c r="O135" s="150"/>
      <c r="P135" s="149" t="e">
        <f>INDEX(Tableau5[Description],MATCH(Tableau3[[#This Row],[ID-SIG]],Tableau5[ID],0))</f>
        <v>#N/A</v>
      </c>
      <c r="Q135" s="150"/>
      <c r="R135" s="117" t="e">
        <f>Tableau3[[#This Row],[Description]]</f>
        <v>#N/A</v>
      </c>
      <c r="S135" s="75"/>
      <c r="T135" s="75"/>
      <c r="U135" s="151">
        <v>1</v>
      </c>
      <c r="V135" s="151">
        <v>2</v>
      </c>
      <c r="W135" s="151">
        <v>6</v>
      </c>
      <c r="X135" s="151">
        <v>5</v>
      </c>
      <c r="Y135" s="41"/>
      <c r="Z135" s="166" t="str">
        <f>INDEX(Tableau2[TS],MATCH(Tableau3[[#This Row],[ID-CARTEVOIE]],Tableau2[ID-CARTEVOIE],0))</f>
        <v>ST</v>
      </c>
      <c r="AA135" s="81" t="s">
        <v>213</v>
      </c>
      <c r="AB135" s="226" t="str">
        <f>IFERROR(INDEX(Tableau5[Reserve],MATCH(Tableau3[[#This Row],[ID-SIG]],Tableau5[ID],0))&amp;"","")</f>
        <v/>
      </c>
      <c r="AC135" s="119" t="s">
        <v>1456</v>
      </c>
      <c r="AD135" s="120" t="str">
        <f>INDEX(Tableau7[Repere],MATCH(Tableau3[[#This Row],[ID-API]],Tableau7[ID-API],0))&amp;""</f>
        <v>A1</v>
      </c>
      <c r="AE135" s="121" t="str">
        <f>INDEX(Tableau1[Repere-Rack],MATCH(Tableau3[[#This Row],[ID-RACK]],Tableau1[ID-RACK],0))&amp;""</f>
        <v>R2</v>
      </c>
      <c r="AF135" s="121" t="str">
        <f>INDEX(Tableau1[Repere-Slot],MATCH(Tableau3[[#This Row],[ID-SLOT]],Tableau1[ID-SLOT],0))&amp;""</f>
        <v>S6</v>
      </c>
      <c r="AG135" s="121" t="str">
        <f>INDEX(Tableau2[Repere-Voie],MATCH(Tableau3[[#This Row],[ID-VOIE]],Tableau2[ID-Voie],0))&amp;""</f>
        <v>v5</v>
      </c>
      <c r="AH135" s="122" t="str">
        <f>Tableau3[[#This Row],[ID-API]]&amp; "." &amp;Tableau3[[#This Row],[ID-RACK]]&amp; "." &amp;Tableau3[[#This Row],[ID-SLOT]]</f>
        <v>1.2.6</v>
      </c>
      <c r="AI135" s="72" t="str">
        <f>INDEX(Tableau1[Ref-Carte],MATCH(Tableau3[[#This Row],[ID-RRS]],Tableau1[ID-RRS],0))</f>
        <v>SDO0802</v>
      </c>
      <c r="AJ135" s="72" t="str">
        <f t="array" ref="AJ135">IFERROR(INDEX(Tableau2[TS],MATCH(1,(Tableau2[Ref-Carte]=Tableau3[[#This Row],[Ref-Carte2]])*(Tableau2[ID-Voie]=Tableau3[[#This Row],[ID-VOIE]]),0)),"")</f>
        <v>ST</v>
      </c>
      <c r="AK135" s="72" t="str">
        <f>IFERROR(INDEX(Tableau2[TS],SUMPRODUCT((Tableau2[Ref-Carte]=Tableau3[[#This Row],[Ref-Carte2]])*(Tableau2[ID-Voie]=Tableau3[[#This Row],[ID-VOIE]])*ROW(Tableau2[TS]))-ROW(Tableau2[#Headers])),"")</f>
        <v>ST</v>
      </c>
      <c r="AL135" s="122" t="str">
        <f>Tableau3[[#This Row],[Ref-Carte2]]&amp;"/"&amp;Tableau3[[#This Row],[ID-VOIE]]</f>
        <v>SDO0802/5</v>
      </c>
      <c r="AM135" s="123" t="str">
        <f>INDEX(Tableau2[Borne],MATCH(Tableau3[[#This Row],[ID-CARTEVOIE]],Tableau2[ID-CARTEVOIE],0))&amp;""</f>
        <v>5</v>
      </c>
      <c r="AN135" s="124" t="str">
        <f>Tableau3[[#This Row],[ID-API]]&amp;Tableau3[[#This Row],[ID-RACK]]&amp;Tableau3[[#This Row],[ID-SLOT]]&amp;Tableau3[[#This Row],[BORNE]]</f>
        <v>1265</v>
      </c>
      <c r="AO135" s="125"/>
    </row>
    <row r="136" spans="1:41" ht="20.100000000000001" customHeight="1" thickTop="1" thickBot="1">
      <c r="A136" s="110"/>
      <c r="B136" s="111" t="str">
        <f>IFERROR(INDEX(Tableau4[Date],MATCH($A136,Tableau4[EVO],0)),"")</f>
        <v/>
      </c>
      <c r="C136" s="112" t="str">
        <f>IFERROR(INDEX(Tableau4[Designation],MATCH($A136,Tableau4[EVO],0)),"")</f>
        <v/>
      </c>
      <c r="D136" s="110"/>
      <c r="E136" s="113"/>
      <c r="F136" s="146"/>
      <c r="G136" s="147" t="e">
        <f>INDEX(Tableau8[Att1],MATCH(Tableau3[[#This Row],[ID-INS]],Tableau8[ID],0))&amp;""</f>
        <v>#N/A</v>
      </c>
      <c r="H136" s="147" t="e">
        <f>INDEX(Tableau8[Att2],MATCH(Tableau3[[#This Row],[ID-INS]],Tableau8[ID],0))&amp;""</f>
        <v>#N/A</v>
      </c>
      <c r="I136" s="147" t="e">
        <f>INDEX(Tableau8[Att3],MATCH(Tableau3[[#This Row],[ID-INS]],Tableau8[ID],0))&amp;""</f>
        <v>#N/A</v>
      </c>
      <c r="J136" s="148"/>
      <c r="K136" s="167" t="e">
        <f>INDEX(Tableau8[Nom du modele],MATCH(Tableau3[[#This Row],[ID-INS]],Tableau8[ID],0))&amp;""</f>
        <v>#N/A</v>
      </c>
      <c r="L136" s="149" t="e">
        <f>INDEX(Tableau5[Att1],MATCH(Tableau3[[#This Row],[ID-SIG]],Tableau5[ID],0))&amp;""</f>
        <v>#N/A</v>
      </c>
      <c r="M136" s="149" t="e">
        <f>INDEX(Tableau5[Att2],MATCH(Tableau3[[#This Row],[ID-SIG]],Tableau5[ID],0))&amp;""</f>
        <v>#N/A</v>
      </c>
      <c r="N136" s="149" t="e">
        <f>INDEX(Tableau5[Att3],MATCH(Tableau3[[#This Row],[ID-SIG]],Tableau5[ID],0))&amp;""</f>
        <v>#N/A</v>
      </c>
      <c r="O136" s="150"/>
      <c r="P136" s="149" t="e">
        <f>INDEX(Tableau5[Description],MATCH(Tableau3[[#This Row],[ID-SIG]],Tableau5[ID],0))</f>
        <v>#N/A</v>
      </c>
      <c r="Q136" s="150"/>
      <c r="R136" s="117" t="e">
        <f>Tableau3[[#This Row],[Description]]</f>
        <v>#N/A</v>
      </c>
      <c r="S136" s="75"/>
      <c r="T136" s="75"/>
      <c r="U136" s="151">
        <v>1</v>
      </c>
      <c r="V136" s="151">
        <v>2</v>
      </c>
      <c r="W136" s="151">
        <v>6</v>
      </c>
      <c r="X136" s="151">
        <v>6</v>
      </c>
      <c r="Y136" s="41"/>
      <c r="Z136" s="166" t="str">
        <f>INDEX(Tableau2[TS],MATCH(Tableau3[[#This Row],[ID-CARTEVOIE]],Tableau2[ID-CARTEVOIE],0))</f>
        <v>ST</v>
      </c>
      <c r="AA136" s="81" t="s">
        <v>213</v>
      </c>
      <c r="AB136" s="226" t="str">
        <f>IFERROR(INDEX(Tableau5[Reserve],MATCH(Tableau3[[#This Row],[ID-SIG]],Tableau5[ID],0))&amp;"","")</f>
        <v/>
      </c>
      <c r="AC136" s="119" t="s">
        <v>1456</v>
      </c>
      <c r="AD136" s="120" t="str">
        <f>INDEX(Tableau7[Repere],MATCH(Tableau3[[#This Row],[ID-API]],Tableau7[ID-API],0))&amp;""</f>
        <v>A1</v>
      </c>
      <c r="AE136" s="121" t="str">
        <f>INDEX(Tableau1[Repere-Rack],MATCH(Tableau3[[#This Row],[ID-RACK]],Tableau1[ID-RACK],0))&amp;""</f>
        <v>R2</v>
      </c>
      <c r="AF136" s="121" t="str">
        <f>INDEX(Tableau1[Repere-Slot],MATCH(Tableau3[[#This Row],[ID-SLOT]],Tableau1[ID-SLOT],0))&amp;""</f>
        <v>S6</v>
      </c>
      <c r="AG136" s="121" t="str">
        <f>INDEX(Tableau2[Repere-Voie],MATCH(Tableau3[[#This Row],[ID-VOIE]],Tableau2[ID-Voie],0))&amp;""</f>
        <v>v6</v>
      </c>
      <c r="AH136" s="122" t="str">
        <f>Tableau3[[#This Row],[ID-API]]&amp; "." &amp;Tableau3[[#This Row],[ID-RACK]]&amp; "." &amp;Tableau3[[#This Row],[ID-SLOT]]</f>
        <v>1.2.6</v>
      </c>
      <c r="AI136" s="72" t="str">
        <f>INDEX(Tableau1[Ref-Carte],MATCH(Tableau3[[#This Row],[ID-RRS]],Tableau1[ID-RRS],0))</f>
        <v>SDO0802</v>
      </c>
      <c r="AJ136" s="72" t="str">
        <f t="array" ref="AJ136">IFERROR(INDEX(Tableau2[TS],MATCH(1,(Tableau2[Ref-Carte]=Tableau3[[#This Row],[Ref-Carte2]])*(Tableau2[ID-Voie]=Tableau3[[#This Row],[ID-VOIE]]),0)),"")</f>
        <v>ST</v>
      </c>
      <c r="AK136" s="72" t="str">
        <f>IFERROR(INDEX(Tableau2[TS],SUMPRODUCT((Tableau2[Ref-Carte]=Tableau3[[#This Row],[Ref-Carte2]])*(Tableau2[ID-Voie]=Tableau3[[#This Row],[ID-VOIE]])*ROW(Tableau2[TS]))-ROW(Tableau2[#Headers])),"")</f>
        <v>ST</v>
      </c>
      <c r="AL136" s="122" t="str">
        <f>Tableau3[[#This Row],[Ref-Carte2]]&amp;"/"&amp;Tableau3[[#This Row],[ID-VOIE]]</f>
        <v>SDO0802/6</v>
      </c>
      <c r="AM136" s="123" t="str">
        <f>INDEX(Tableau2[Borne],MATCH(Tableau3[[#This Row],[ID-CARTEVOIE]],Tableau2[ID-CARTEVOIE],0))&amp;""</f>
        <v>6</v>
      </c>
      <c r="AN136" s="124" t="str">
        <f>Tableau3[[#This Row],[ID-API]]&amp;Tableau3[[#This Row],[ID-RACK]]&amp;Tableau3[[#This Row],[ID-SLOT]]&amp;Tableau3[[#This Row],[BORNE]]</f>
        <v>1266</v>
      </c>
      <c r="AO136" s="125"/>
    </row>
    <row r="137" spans="1:41" ht="20.100000000000001" customHeight="1" thickTop="1" thickBot="1">
      <c r="A137" s="110"/>
      <c r="B137" s="111" t="str">
        <f>IFERROR(INDEX(Tableau4[Date],MATCH($A137,Tableau4[EVO],0)),"")</f>
        <v/>
      </c>
      <c r="C137" s="112" t="str">
        <f>IFERROR(INDEX(Tableau4[Designation],MATCH($A137,Tableau4[EVO],0)),"")</f>
        <v/>
      </c>
      <c r="D137" s="110"/>
      <c r="E137" s="113"/>
      <c r="F137" s="146"/>
      <c r="G137" s="147" t="e">
        <f>INDEX(Tableau8[Att1],MATCH(Tableau3[[#This Row],[ID-INS]],Tableau8[ID],0))&amp;""</f>
        <v>#N/A</v>
      </c>
      <c r="H137" s="147" t="e">
        <f>INDEX(Tableau8[Att2],MATCH(Tableau3[[#This Row],[ID-INS]],Tableau8[ID],0))&amp;""</f>
        <v>#N/A</v>
      </c>
      <c r="I137" s="147" t="e">
        <f>INDEX(Tableau8[Att3],MATCH(Tableau3[[#This Row],[ID-INS]],Tableau8[ID],0))&amp;""</f>
        <v>#N/A</v>
      </c>
      <c r="J137" s="148"/>
      <c r="K137" s="167" t="e">
        <f>INDEX(Tableau8[Nom du modele],MATCH(Tableau3[[#This Row],[ID-INS]],Tableau8[ID],0))&amp;""</f>
        <v>#N/A</v>
      </c>
      <c r="L137" s="149" t="e">
        <f>INDEX(Tableau5[Att1],MATCH(Tableau3[[#This Row],[ID-SIG]],Tableau5[ID],0))&amp;""</f>
        <v>#N/A</v>
      </c>
      <c r="M137" s="149" t="e">
        <f>INDEX(Tableau5[Att2],MATCH(Tableau3[[#This Row],[ID-SIG]],Tableau5[ID],0))&amp;""</f>
        <v>#N/A</v>
      </c>
      <c r="N137" s="149" t="e">
        <f>INDEX(Tableau5[Att3],MATCH(Tableau3[[#This Row],[ID-SIG]],Tableau5[ID],0))&amp;""</f>
        <v>#N/A</v>
      </c>
      <c r="O137" s="150"/>
      <c r="P137" s="149" t="e">
        <f>INDEX(Tableau5[Description],MATCH(Tableau3[[#This Row],[ID-SIG]],Tableau5[ID],0))</f>
        <v>#N/A</v>
      </c>
      <c r="Q137" s="150"/>
      <c r="R137" s="117" t="e">
        <f>Tableau3[[#This Row],[Description]]</f>
        <v>#N/A</v>
      </c>
      <c r="S137" s="75"/>
      <c r="T137" s="75"/>
      <c r="U137" s="151">
        <v>1</v>
      </c>
      <c r="V137" s="151">
        <v>2</v>
      </c>
      <c r="W137" s="151">
        <v>6</v>
      </c>
      <c r="X137" s="151">
        <v>7</v>
      </c>
      <c r="Y137" s="41"/>
      <c r="Z137" s="166" t="str">
        <f>INDEX(Tableau2[TS],MATCH(Tableau3[[#This Row],[ID-CARTEVOIE]],Tableau2[ID-CARTEVOIE],0))</f>
        <v>ST</v>
      </c>
      <c r="AA137" s="81" t="s">
        <v>213</v>
      </c>
      <c r="AB137" s="226" t="str">
        <f>IFERROR(INDEX(Tableau5[Reserve],MATCH(Tableau3[[#This Row],[ID-SIG]],Tableau5[ID],0))&amp;"","")</f>
        <v/>
      </c>
      <c r="AC137" s="119" t="s">
        <v>1456</v>
      </c>
      <c r="AD137" s="120" t="str">
        <f>INDEX(Tableau7[Repere],MATCH(Tableau3[[#This Row],[ID-API]],Tableau7[ID-API],0))&amp;""</f>
        <v>A1</v>
      </c>
      <c r="AE137" s="121" t="str">
        <f>INDEX(Tableau1[Repere-Rack],MATCH(Tableau3[[#This Row],[ID-RACK]],Tableau1[ID-RACK],0))&amp;""</f>
        <v>R2</v>
      </c>
      <c r="AF137" s="121" t="str">
        <f>INDEX(Tableau1[Repere-Slot],MATCH(Tableau3[[#This Row],[ID-SLOT]],Tableau1[ID-SLOT],0))&amp;""</f>
        <v>S6</v>
      </c>
      <c r="AG137" s="121" t="str">
        <f>INDEX(Tableau2[Repere-Voie],MATCH(Tableau3[[#This Row],[ID-VOIE]],Tableau2[ID-Voie],0))&amp;""</f>
        <v>v7</v>
      </c>
      <c r="AH137" s="122" t="str">
        <f>Tableau3[[#This Row],[ID-API]]&amp; "." &amp;Tableau3[[#This Row],[ID-RACK]]&amp; "." &amp;Tableau3[[#This Row],[ID-SLOT]]</f>
        <v>1.2.6</v>
      </c>
      <c r="AI137" s="72" t="str">
        <f>INDEX(Tableau1[Ref-Carte],MATCH(Tableau3[[#This Row],[ID-RRS]],Tableau1[ID-RRS],0))</f>
        <v>SDO0802</v>
      </c>
      <c r="AJ137" s="72" t="str">
        <f t="array" ref="AJ137">IFERROR(INDEX(Tableau2[TS],MATCH(1,(Tableau2[Ref-Carte]=Tableau3[[#This Row],[Ref-Carte2]])*(Tableau2[ID-Voie]=Tableau3[[#This Row],[ID-VOIE]]),0)),"")</f>
        <v>ST</v>
      </c>
      <c r="AK137" s="72" t="str">
        <f>IFERROR(INDEX(Tableau2[TS],SUMPRODUCT((Tableau2[Ref-Carte]=Tableau3[[#This Row],[Ref-Carte2]])*(Tableau2[ID-Voie]=Tableau3[[#This Row],[ID-VOIE]])*ROW(Tableau2[TS]))-ROW(Tableau2[#Headers])),"")</f>
        <v>ST</v>
      </c>
      <c r="AL137" s="122" t="str">
        <f>Tableau3[[#This Row],[Ref-Carte2]]&amp;"/"&amp;Tableau3[[#This Row],[ID-VOIE]]</f>
        <v>SDO0802/7</v>
      </c>
      <c r="AM137" s="123" t="str">
        <f>INDEX(Tableau2[Borne],MATCH(Tableau3[[#This Row],[ID-CARTEVOIE]],Tableau2[ID-CARTEVOIE],0))&amp;""</f>
        <v>7</v>
      </c>
      <c r="AN137" s="124" t="str">
        <f>Tableau3[[#This Row],[ID-API]]&amp;Tableau3[[#This Row],[ID-RACK]]&amp;Tableau3[[#This Row],[ID-SLOT]]&amp;Tableau3[[#This Row],[BORNE]]</f>
        <v>1267</v>
      </c>
      <c r="AO137" s="125"/>
    </row>
    <row r="138" spans="1:41" ht="20.100000000000001" customHeight="1" thickTop="1" thickBot="1">
      <c r="A138" s="75"/>
      <c r="B138" s="76" t="str">
        <f>IFERROR(INDEX(Tableau4[Date],MATCH($A138,Tableau4[EVO],0)),"")</f>
        <v/>
      </c>
      <c r="C138" s="75" t="str">
        <f>IFERROR(INDEX(Tableau4[Designation],MATCH($A138,Tableau4[EVO],0)),"")</f>
        <v/>
      </c>
      <c r="D138" s="75"/>
      <c r="E138" s="79">
        <v>69</v>
      </c>
      <c r="F138" s="80">
        <v>31</v>
      </c>
      <c r="G138" s="102" t="str">
        <f>INDEX(Tableau8[Att1],MATCH(Tableau3[[#This Row],[ID-INS]],Tableau8[ID],0))&amp;""</f>
        <v>B22</v>
      </c>
      <c r="H138" s="102" t="str">
        <f>INDEX(Tableau8[Att2],MATCH(Tableau3[[#This Row],[ID-INS]],Tableau8[ID],0))&amp;""</f>
        <v>TRSD4</v>
      </c>
      <c r="I138" s="102" t="str">
        <f>INDEX(Tableau8[Att3],MATCH(Tableau3[[#This Row],[ID-INS]],Tableau8[ID],0))&amp;""</f>
        <v>Tourniquet TRSD4</v>
      </c>
      <c r="J138" s="102"/>
      <c r="K138" s="167" t="str">
        <f>INDEX(Tableau8[Nom du modele],MATCH(Tableau3[[#This Row],[ID-INS]],Tableau8[ID],0))&amp;""</f>
        <v>TRSD_1</v>
      </c>
      <c r="L138" s="100" t="str">
        <f>INDEX(Tableau5[Att1],MATCH(Tableau3[[#This Row],[ID-SIG]],Tableau5[ID],0))&amp;""</f>
        <v>T2S_OuvRet2</v>
      </c>
      <c r="M138" s="100" t="str">
        <f>INDEX(Tableau5[Att2],MATCH(Tableau3[[#This Row],[ID-SIG]],Tableau5[ID],0))&amp;""</f>
        <v/>
      </c>
      <c r="N138" s="100" t="str">
        <f>INDEX(Tableau5[Att3],MATCH(Tableau3[[#This Row],[ID-SIG]],Tableau5[ID],0))&amp;""</f>
        <v/>
      </c>
      <c r="O138" s="100"/>
      <c r="P138" s="100" t="str">
        <f>INDEX(Tableau5[Description],MATCH(Tableau3[[#This Row],[ID-SIG]],Tableau5[ID],0))</f>
        <v>Retour Commande 2 ouverture sortie 2</v>
      </c>
      <c r="Q138" s="100"/>
      <c r="R138" s="104" t="str">
        <f>Tableau3[[#This Row],[Description]]</f>
        <v>Retour Commande 2 ouverture sortie 2</v>
      </c>
      <c r="U138" s="88">
        <v>1</v>
      </c>
      <c r="V138" s="88">
        <v>2</v>
      </c>
      <c r="W138" s="88">
        <v>7</v>
      </c>
      <c r="X138" s="88">
        <v>0</v>
      </c>
      <c r="Y138" s="40"/>
      <c r="Z138" s="166" t="str">
        <f>INDEX(Tableau2[TS],MATCH(Tableau3[[#This Row],[ID-CARTEVOIE]],Tableau2[ID-CARTEVOIE],0))</f>
        <v>ET</v>
      </c>
      <c r="AA138" s="81" t="s">
        <v>213</v>
      </c>
      <c r="AB138" s="226" t="str">
        <f>IFERROR(INDEX(Tableau5[Reserve],MATCH(Tableau3[[#This Row],[ID-SIG]],Tableau5[ID],0))&amp;"","")</f>
        <v/>
      </c>
      <c r="AC138" s="21" t="s">
        <v>1505</v>
      </c>
      <c r="AD138" s="108" t="str">
        <f>INDEX(Tableau7[Repere],MATCH(Tableau3[[#This Row],[ID-API]],Tableau7[ID-API],0))&amp;""</f>
        <v>A1</v>
      </c>
      <c r="AE138" s="109" t="str">
        <f>INDEX(Tableau1[Repere-Rack],MATCH(Tableau3[[#This Row],[ID-RACK]],Tableau1[ID-RACK],0))&amp;""</f>
        <v>R2</v>
      </c>
      <c r="AF138" s="109" t="str">
        <f>INDEX(Tableau1[Repere-Slot],MATCH(Tableau3[[#This Row],[ID-SLOT]],Tableau1[ID-SLOT],0))&amp;""</f>
        <v>S7</v>
      </c>
      <c r="AG138" s="109" t="str">
        <f>INDEX(Tableau2[Repere-Voie],MATCH(Tableau3[[#This Row],[ID-VOIE]],Tableau2[ID-Voie],0))&amp;""</f>
        <v>v0</v>
      </c>
      <c r="AH138" s="72" t="str">
        <f>Tableau3[[#This Row],[ID-API]]&amp; "." &amp;Tableau3[[#This Row],[ID-RACK]]&amp; "." &amp;Tableau3[[#This Row],[ID-SLOT]]</f>
        <v>1.2.7</v>
      </c>
      <c r="AI138" s="72" t="str">
        <f>INDEX(Tableau1[Ref-Carte],MATCH(Tableau3[[#This Row],[ID-RRS]],Tableau1[ID-RRS],0))</f>
        <v>SDI1602</v>
      </c>
      <c r="AJ138" s="72" t="str">
        <f t="array" ref="AJ138">IFERROR(INDEX(Tableau2[TS],MATCH(1,(Tableau2[Ref-Carte]=Tableau3[[#This Row],[Ref-Carte2]])*(Tableau2[ID-Voie]=Tableau3[[#This Row],[ID-VOIE]]),0)),"")</f>
        <v>ET</v>
      </c>
      <c r="AK138" s="72" t="str">
        <f>IFERROR(INDEX(Tableau2[TS],SUMPRODUCT((Tableau2[Ref-Carte]=Tableau3[[#This Row],[Ref-Carte2]])*(Tableau2[ID-Voie]=Tableau3[[#This Row],[ID-VOIE]])*ROW(Tableau2[TS]))-ROW(Tableau2[#Headers])),"")</f>
        <v>ET</v>
      </c>
      <c r="AL138" s="72" t="str">
        <f>Tableau3[[#This Row],[Ref-Carte2]]&amp;"/"&amp;Tableau3[[#This Row],[ID-VOIE]]</f>
        <v>SDI1602/0</v>
      </c>
      <c r="AM138" s="77" t="str">
        <f>INDEX(Tableau2[Borne],MATCH(Tableau3[[#This Row],[ID-CARTEVOIE]],Tableau2[ID-CARTEVOIE],0))&amp;""</f>
        <v>0B</v>
      </c>
      <c r="AN138" s="74" t="str">
        <f>Tableau3[[#This Row],[ID-API]]&amp;Tableau3[[#This Row],[ID-RACK]]&amp;Tableau3[[#This Row],[ID-SLOT]]&amp;Tableau3[[#This Row],[BORNE]]</f>
        <v>1270B</v>
      </c>
      <c r="AO138" s="1"/>
    </row>
    <row r="139" spans="1:41" ht="20.100000000000001" customHeight="1" thickTop="1" thickBot="1">
      <c r="A139" s="75"/>
      <c r="B139" s="76" t="str">
        <f>IFERROR(INDEX(Tableau4[Date],MATCH($A139,Tableau4[EVO],0)),"")</f>
        <v/>
      </c>
      <c r="C139" s="75" t="str">
        <f>IFERROR(INDEX(Tableau4[Designation],MATCH($A139,Tableau4[EVO],0)),"")</f>
        <v/>
      </c>
      <c r="D139" s="75"/>
      <c r="E139" s="79">
        <v>69</v>
      </c>
      <c r="F139" s="80">
        <v>40</v>
      </c>
      <c r="G139" s="102" t="str">
        <f>INDEX(Tableau8[Att1],MATCH(Tableau3[[#This Row],[ID-INS]],Tableau8[ID],0))&amp;""</f>
        <v>B22</v>
      </c>
      <c r="H139" s="102" t="str">
        <f>INDEX(Tableau8[Att2],MATCH(Tableau3[[#This Row],[ID-INS]],Tableau8[ID],0))&amp;""</f>
        <v>TRSD4</v>
      </c>
      <c r="I139" s="102" t="str">
        <f>INDEX(Tableau8[Att3],MATCH(Tableau3[[#This Row],[ID-INS]],Tableau8[ID],0))&amp;""</f>
        <v>Tourniquet TRSD4</v>
      </c>
      <c r="J139" s="102"/>
      <c r="K139" s="167" t="str">
        <f>INDEX(Tableau8[Nom du modele],MATCH(Tableau3[[#This Row],[ID-INS]],Tableau8[ID],0))&amp;""</f>
        <v>TRSD_1</v>
      </c>
      <c r="L139" s="100" t="str">
        <f>INDEX(Tableau5[Att1],MATCH(Tableau3[[#This Row],[ID-SIG]],Tableau5[ID],0))&amp;""</f>
        <v>T1E_PassageOK</v>
      </c>
      <c r="M139" s="100" t="str">
        <f>INDEX(Tableau5[Att2],MATCH(Tableau3[[#This Row],[ID-SIG]],Tableau5[ID],0))&amp;""</f>
        <v/>
      </c>
      <c r="N139" s="100" t="str">
        <f>INDEX(Tableau5[Att3],MATCH(Tableau3[[#This Row],[ID-SIG]],Tableau5[ID],0))&amp;""</f>
        <v/>
      </c>
      <c r="O139" s="100"/>
      <c r="P139" s="100" t="str">
        <f>INDEX(Tableau5[Description],MATCH(Tableau3[[#This Row],[ID-SIG]],Tableau5[ID],0))</f>
        <v>Passage effectuée entrée 1</v>
      </c>
      <c r="Q139" s="100"/>
      <c r="R139" s="104" t="str">
        <f>Tableau3[[#This Row],[Description]]</f>
        <v>Passage effectuée entrée 1</v>
      </c>
      <c r="U139" s="88">
        <v>1</v>
      </c>
      <c r="V139" s="88">
        <v>2</v>
      </c>
      <c r="W139" s="88">
        <v>7</v>
      </c>
      <c r="X139" s="88">
        <v>1</v>
      </c>
      <c r="Y139" s="40"/>
      <c r="Z139" s="166" t="str">
        <f>INDEX(Tableau2[TS],MATCH(Tableau3[[#This Row],[ID-CARTEVOIE]],Tableau2[ID-CARTEVOIE],0))</f>
        <v>ET</v>
      </c>
      <c r="AA139" s="81" t="s">
        <v>213</v>
      </c>
      <c r="AB139" s="226" t="str">
        <f>IFERROR(INDEX(Tableau5[Reserve],MATCH(Tableau3[[#This Row],[ID-SIG]],Tableau5[ID],0))&amp;"","")</f>
        <v/>
      </c>
      <c r="AC139" s="21" t="s">
        <v>1505</v>
      </c>
      <c r="AD139" s="108" t="str">
        <f>INDEX(Tableau7[Repere],MATCH(Tableau3[[#This Row],[ID-API]],Tableau7[ID-API],0))&amp;""</f>
        <v>A1</v>
      </c>
      <c r="AE139" s="109" t="str">
        <f>INDEX(Tableau1[Repere-Rack],MATCH(Tableau3[[#This Row],[ID-RACK]],Tableau1[ID-RACK],0))&amp;""</f>
        <v>R2</v>
      </c>
      <c r="AF139" s="109" t="str">
        <f>INDEX(Tableau1[Repere-Slot],MATCH(Tableau3[[#This Row],[ID-SLOT]],Tableau1[ID-SLOT],0))&amp;""</f>
        <v>S7</v>
      </c>
      <c r="AG139" s="109" t="str">
        <f>INDEX(Tableau2[Repere-Voie],MATCH(Tableau3[[#This Row],[ID-VOIE]],Tableau2[ID-Voie],0))&amp;""</f>
        <v>v1</v>
      </c>
      <c r="AH139" s="72" t="str">
        <f>Tableau3[[#This Row],[ID-API]]&amp; "." &amp;Tableau3[[#This Row],[ID-RACK]]&amp; "." &amp;Tableau3[[#This Row],[ID-SLOT]]</f>
        <v>1.2.7</v>
      </c>
      <c r="AI139" s="72" t="str">
        <f>INDEX(Tableau1[Ref-Carte],MATCH(Tableau3[[#This Row],[ID-RRS]],Tableau1[ID-RRS],0))</f>
        <v>SDI1602</v>
      </c>
      <c r="AJ139" s="72" t="str">
        <f t="array" ref="AJ139">IFERROR(INDEX(Tableau2[TS],MATCH(1,(Tableau2[Ref-Carte]=Tableau3[[#This Row],[Ref-Carte2]])*(Tableau2[ID-Voie]=Tableau3[[#This Row],[ID-VOIE]]),0)),"")</f>
        <v>ET</v>
      </c>
      <c r="AK139" s="72" t="str">
        <f>IFERROR(INDEX(Tableau2[TS],SUMPRODUCT((Tableau2[Ref-Carte]=Tableau3[[#This Row],[Ref-Carte2]])*(Tableau2[ID-Voie]=Tableau3[[#This Row],[ID-VOIE]])*ROW(Tableau2[TS]))-ROW(Tableau2[#Headers])),"")</f>
        <v>ET</v>
      </c>
      <c r="AL139" s="72" t="str">
        <f>Tableau3[[#This Row],[Ref-Carte2]]&amp;"/"&amp;Tableau3[[#This Row],[ID-VOIE]]</f>
        <v>SDI1602/1</v>
      </c>
      <c r="AM139" s="77" t="str">
        <f>INDEX(Tableau2[Borne],MATCH(Tableau3[[#This Row],[ID-CARTEVOIE]],Tableau2[ID-CARTEVOIE],0))&amp;""</f>
        <v>0A</v>
      </c>
      <c r="AN139" s="74" t="str">
        <f>Tableau3[[#This Row],[ID-API]]&amp;Tableau3[[#This Row],[ID-RACK]]&amp;Tableau3[[#This Row],[ID-SLOT]]&amp;Tableau3[[#This Row],[BORNE]]</f>
        <v>1270A</v>
      </c>
      <c r="AO139" s="1"/>
    </row>
    <row r="140" spans="1:41" ht="20.100000000000001" customHeight="1" thickTop="1" thickBot="1">
      <c r="A140" s="75"/>
      <c r="B140" s="76" t="str">
        <f>IFERROR(INDEX(Tableau4[Date],MATCH($A140,Tableau4[EVO],0)),"")</f>
        <v/>
      </c>
      <c r="C140" s="75" t="str">
        <f>IFERROR(INDEX(Tableau4[Designation],MATCH($A140,Tableau4[EVO],0)),"")</f>
        <v/>
      </c>
      <c r="D140" s="75"/>
      <c r="E140" s="79">
        <v>69</v>
      </c>
      <c r="F140" s="80">
        <v>43</v>
      </c>
      <c r="G140" s="102" t="str">
        <f>INDEX(Tableau8[Att1],MATCH(Tableau3[[#This Row],[ID-INS]],Tableau8[ID],0))&amp;""</f>
        <v>B22</v>
      </c>
      <c r="H140" s="102" t="str">
        <f>INDEX(Tableau8[Att2],MATCH(Tableau3[[#This Row],[ID-INS]],Tableau8[ID],0))&amp;""</f>
        <v>TRSD4</v>
      </c>
      <c r="I140" s="102" t="str">
        <f>INDEX(Tableau8[Att3],MATCH(Tableau3[[#This Row],[ID-INS]],Tableau8[ID],0))&amp;""</f>
        <v>Tourniquet TRSD4</v>
      </c>
      <c r="J140" s="102"/>
      <c r="K140" s="167" t="str">
        <f>INDEX(Tableau8[Nom du modele],MATCH(Tableau3[[#This Row],[ID-INS]],Tableau8[ID],0))&amp;""</f>
        <v>TRSD_1</v>
      </c>
      <c r="L140" s="116" t="str">
        <f>INDEX(Tableau5[Att1],MATCH(Tableau3[[#This Row],[ID-SIG]],Tableau5[ID],0))&amp;""</f>
        <v>T2S_PassageOK</v>
      </c>
      <c r="M140" s="100" t="str">
        <f>INDEX(Tableau5[Att2],MATCH(Tableau3[[#This Row],[ID-SIG]],Tableau5[ID],0))&amp;""</f>
        <v/>
      </c>
      <c r="N140" s="100" t="str">
        <f>INDEX(Tableau5[Att3],MATCH(Tableau3[[#This Row],[ID-SIG]],Tableau5[ID],0))&amp;""</f>
        <v/>
      </c>
      <c r="O140" s="100"/>
      <c r="P140" s="100" t="s">
        <v>1701</v>
      </c>
      <c r="Q140" s="100"/>
      <c r="R140" s="104" t="str">
        <f>Tableau3[[#This Row],[Description]]</f>
        <v>Portail P2 - Entrée Réserve 1</v>
      </c>
      <c r="U140" s="88">
        <v>1</v>
      </c>
      <c r="V140" s="88">
        <v>2</v>
      </c>
      <c r="W140" s="88">
        <v>7</v>
      </c>
      <c r="X140" s="88">
        <v>2</v>
      </c>
      <c r="Y140" s="40"/>
      <c r="Z140" s="166" t="str">
        <f>INDEX(Tableau2[TS],MATCH(Tableau3[[#This Row],[ID-CARTEVOIE]],Tableau2[ID-CARTEVOIE],0))</f>
        <v>ET</v>
      </c>
      <c r="AA140" s="81" t="s">
        <v>213</v>
      </c>
      <c r="AB140" s="226" t="str">
        <f>IFERROR(INDEX(Tableau5[Reserve],MATCH(Tableau3[[#This Row],[ID-SIG]],Tableau5[ID],0))&amp;"","")</f>
        <v/>
      </c>
      <c r="AC140" s="21" t="s">
        <v>1505</v>
      </c>
      <c r="AD140" s="108" t="str">
        <f>INDEX(Tableau7[Repere],MATCH(Tableau3[[#This Row],[ID-API]],Tableau7[ID-API],0))&amp;""</f>
        <v>A1</v>
      </c>
      <c r="AE140" s="109" t="str">
        <f>INDEX(Tableau1[Repere-Rack],MATCH(Tableau3[[#This Row],[ID-RACK]],Tableau1[ID-RACK],0))&amp;""</f>
        <v>R2</v>
      </c>
      <c r="AF140" s="109" t="str">
        <f>INDEX(Tableau1[Repere-Slot],MATCH(Tableau3[[#This Row],[ID-SLOT]],Tableau1[ID-SLOT],0))&amp;""</f>
        <v>S7</v>
      </c>
      <c r="AG140" s="109" t="str">
        <f>INDEX(Tableau2[Repere-Voie],MATCH(Tableau3[[#This Row],[ID-VOIE]],Tableau2[ID-Voie],0))&amp;""</f>
        <v>v2</v>
      </c>
      <c r="AH140" s="72" t="str">
        <f>Tableau3[[#This Row],[ID-API]]&amp; "." &amp;Tableau3[[#This Row],[ID-RACK]]&amp; "." &amp;Tableau3[[#This Row],[ID-SLOT]]</f>
        <v>1.2.7</v>
      </c>
      <c r="AI140" s="72" t="str">
        <f>INDEX(Tableau1[Ref-Carte],MATCH(Tableau3[[#This Row],[ID-RRS]],Tableau1[ID-RRS],0))</f>
        <v>SDI1602</v>
      </c>
      <c r="AJ140" s="72" t="str">
        <f t="array" ref="AJ140">IFERROR(INDEX(Tableau2[TS],MATCH(1,(Tableau2[Ref-Carte]=Tableau3[[#This Row],[Ref-Carte2]])*(Tableau2[ID-Voie]=Tableau3[[#This Row],[ID-VOIE]]),0)),"")</f>
        <v>ET</v>
      </c>
      <c r="AK140" s="72" t="str">
        <f>IFERROR(INDEX(Tableau2[TS],SUMPRODUCT((Tableau2[Ref-Carte]=Tableau3[[#This Row],[Ref-Carte2]])*(Tableau2[ID-Voie]=Tableau3[[#This Row],[ID-VOIE]])*ROW(Tableau2[TS]))-ROW(Tableau2[#Headers])),"")</f>
        <v>ET</v>
      </c>
      <c r="AL140" s="72" t="str">
        <f>Tableau3[[#This Row],[Ref-Carte2]]&amp;"/"&amp;Tableau3[[#This Row],[ID-VOIE]]</f>
        <v>SDI1602/2</v>
      </c>
      <c r="AM140" s="77" t="str">
        <f>INDEX(Tableau2[Borne],MATCH(Tableau3[[#This Row],[ID-CARTEVOIE]],Tableau2[ID-CARTEVOIE],0))&amp;""</f>
        <v>1B</v>
      </c>
      <c r="AN140" s="74" t="str">
        <f>Tableau3[[#This Row],[ID-API]]&amp;Tableau3[[#This Row],[ID-RACK]]&amp;Tableau3[[#This Row],[ID-SLOT]]&amp;Tableau3[[#This Row],[BORNE]]</f>
        <v>1271B</v>
      </c>
      <c r="AO140" s="1"/>
    </row>
    <row r="141" spans="1:41" ht="20.100000000000001" customHeight="1" thickTop="1" thickBot="1">
      <c r="A141" s="75"/>
      <c r="B141" s="76" t="str">
        <f>IFERROR(INDEX(Tableau4[Date],MATCH($A141,Tableau4[EVO],0)),"")</f>
        <v/>
      </c>
      <c r="C141" s="75" t="str">
        <f>IFERROR(INDEX(Tableau4[Designation],MATCH($A141,Tableau4[EVO],0)),"")</f>
        <v/>
      </c>
      <c r="D141" s="75"/>
      <c r="E141" s="79">
        <v>69</v>
      </c>
      <c r="F141" s="80">
        <v>45</v>
      </c>
      <c r="G141" s="102" t="str">
        <f>INDEX(Tableau8[Att1],MATCH(Tableau3[[#This Row],[ID-INS]],Tableau8[ID],0))&amp;""</f>
        <v>B22</v>
      </c>
      <c r="H141" s="102" t="str">
        <f>INDEX(Tableau8[Att2],MATCH(Tableau3[[#This Row],[ID-INS]],Tableau8[ID],0))&amp;""</f>
        <v>TRSD4</v>
      </c>
      <c r="I141" s="102" t="str">
        <f>INDEX(Tableau8[Att3],MATCH(Tableau3[[#This Row],[ID-INS]],Tableau8[ID],0))&amp;""</f>
        <v>Tourniquet TRSD4</v>
      </c>
      <c r="J141" s="102"/>
      <c r="K141" s="167" t="str">
        <f>INDEX(Tableau8[Nom du modele],MATCH(Tableau3[[#This Row],[ID-INS]],Tableau8[ID],0))&amp;""</f>
        <v>TRSD_1</v>
      </c>
      <c r="L141" s="100" t="str">
        <f>INDEX(Tableau5[Att1],MATCH(Tableau3[[#This Row],[ID-SIG]],Tableau5[ID],0))&amp;""</f>
        <v>T2_SynthDef</v>
      </c>
      <c r="M141" s="100" t="str">
        <f>INDEX(Tableau5[Att2],MATCH(Tableau3[[#This Row],[ID-SIG]],Tableau5[ID],0))&amp;""</f>
        <v/>
      </c>
      <c r="N141" s="100" t="str">
        <f>INDEX(Tableau5[Att3],MATCH(Tableau3[[#This Row],[ID-SIG]],Tableau5[ID],0))&amp;""</f>
        <v/>
      </c>
      <c r="O141" s="100"/>
      <c r="P141" s="100" t="str">
        <f>INDEX(Tableau5[Description],MATCH(Tableau3[[#This Row],[ID-SIG]],Tableau5[ID],0))</f>
        <v>Synthèse défaut entrée 2</v>
      </c>
      <c r="Q141" s="100"/>
      <c r="R141" s="104" t="str">
        <f>Tableau3[[#This Row],[Description]]</f>
        <v>Synthèse défaut entrée 2</v>
      </c>
      <c r="U141" s="88">
        <v>1</v>
      </c>
      <c r="V141" s="88">
        <v>2</v>
      </c>
      <c r="W141" s="88">
        <v>7</v>
      </c>
      <c r="X141" s="88">
        <v>3</v>
      </c>
      <c r="Y141" s="40"/>
      <c r="Z141" s="166" t="str">
        <f>INDEX(Tableau2[TS],MATCH(Tableau3[[#This Row],[ID-CARTEVOIE]],Tableau2[ID-CARTEVOIE],0))</f>
        <v>ET</v>
      </c>
      <c r="AA141" s="81" t="s">
        <v>213</v>
      </c>
      <c r="AB141" s="226" t="str">
        <f>IFERROR(INDEX(Tableau5[Reserve],MATCH(Tableau3[[#This Row],[ID-SIG]],Tableau5[ID],0))&amp;"","")</f>
        <v/>
      </c>
      <c r="AC141" s="21" t="s">
        <v>1505</v>
      </c>
      <c r="AD141" s="108" t="str">
        <f>INDEX(Tableau7[Repere],MATCH(Tableau3[[#This Row],[ID-API]],Tableau7[ID-API],0))&amp;""</f>
        <v>A1</v>
      </c>
      <c r="AE141" s="109" t="str">
        <f>INDEX(Tableau1[Repere-Rack],MATCH(Tableau3[[#This Row],[ID-RACK]],Tableau1[ID-RACK],0))&amp;""</f>
        <v>R2</v>
      </c>
      <c r="AF141" s="109" t="str">
        <f>INDEX(Tableau1[Repere-Slot],MATCH(Tableau3[[#This Row],[ID-SLOT]],Tableau1[ID-SLOT],0))&amp;""</f>
        <v>S7</v>
      </c>
      <c r="AG141" s="109" t="str">
        <f>INDEX(Tableau2[Repere-Voie],MATCH(Tableau3[[#This Row],[ID-VOIE]],Tableau2[ID-Voie],0))&amp;""</f>
        <v>v3</v>
      </c>
      <c r="AH141" s="72" t="str">
        <f>Tableau3[[#This Row],[ID-API]]&amp; "." &amp;Tableau3[[#This Row],[ID-RACK]]&amp; "." &amp;Tableau3[[#This Row],[ID-SLOT]]</f>
        <v>1.2.7</v>
      </c>
      <c r="AI141" s="72" t="str">
        <f>INDEX(Tableau1[Ref-Carte],MATCH(Tableau3[[#This Row],[ID-RRS]],Tableau1[ID-RRS],0))</f>
        <v>SDI1602</v>
      </c>
      <c r="AJ141" s="72" t="str">
        <f t="array" ref="AJ141">IFERROR(INDEX(Tableau2[TS],MATCH(1,(Tableau2[Ref-Carte]=Tableau3[[#This Row],[Ref-Carte2]])*(Tableau2[ID-Voie]=Tableau3[[#This Row],[ID-VOIE]]),0)),"")</f>
        <v>ET</v>
      </c>
      <c r="AK141" s="72" t="str">
        <f>IFERROR(INDEX(Tableau2[TS],SUMPRODUCT((Tableau2[Ref-Carte]=Tableau3[[#This Row],[Ref-Carte2]])*(Tableau2[ID-Voie]=Tableau3[[#This Row],[ID-VOIE]])*ROW(Tableau2[TS]))-ROW(Tableau2[#Headers])),"")</f>
        <v>ET</v>
      </c>
      <c r="AL141" s="72" t="str">
        <f>Tableau3[[#This Row],[Ref-Carte2]]&amp;"/"&amp;Tableau3[[#This Row],[ID-VOIE]]</f>
        <v>SDI1602/3</v>
      </c>
      <c r="AM141" s="77" t="str">
        <f>INDEX(Tableau2[Borne],MATCH(Tableau3[[#This Row],[ID-CARTEVOIE]],Tableau2[ID-CARTEVOIE],0))&amp;""</f>
        <v>1A</v>
      </c>
      <c r="AN141" s="74" t="str">
        <f>Tableau3[[#This Row],[ID-API]]&amp;Tableau3[[#This Row],[ID-RACK]]&amp;Tableau3[[#This Row],[ID-SLOT]]&amp;Tableau3[[#This Row],[BORNE]]</f>
        <v>1271A</v>
      </c>
      <c r="AO141" s="1"/>
    </row>
    <row r="142" spans="1:41" ht="20.100000000000001" customHeight="1" thickTop="1" thickBot="1">
      <c r="A142" s="75"/>
      <c r="B142" s="76" t="str">
        <f>IFERROR(INDEX(Tableau4[Date],MATCH($A142,Tableau4[EVO],0)),"")</f>
        <v/>
      </c>
      <c r="C142" s="75" t="str">
        <f>IFERROR(INDEX(Tableau4[Designation],MATCH($A142,Tableau4[EVO],0)),"")</f>
        <v/>
      </c>
      <c r="D142" s="75"/>
      <c r="E142" s="79">
        <v>68</v>
      </c>
      <c r="F142" s="80">
        <v>29</v>
      </c>
      <c r="G142" s="102" t="str">
        <f>INDEX(Tableau8[Att1],MATCH(Tableau3[[#This Row],[ID-INS]],Tableau8[ID],0))&amp;""</f>
        <v>B22</v>
      </c>
      <c r="H142" s="102" t="str">
        <f>INDEX(Tableau8[Att2],MATCH(Tableau3[[#This Row],[ID-INS]],Tableau8[ID],0))&amp;""</f>
        <v>TRSD3</v>
      </c>
      <c r="I142" s="102" t="str">
        <f>INDEX(Tableau8[Att3],MATCH(Tableau3[[#This Row],[ID-INS]],Tableau8[ID],0))&amp;""</f>
        <v>Tourniquet TRSD3</v>
      </c>
      <c r="J142" s="102"/>
      <c r="K142" s="167" t="str">
        <f>INDEX(Tableau8[Nom du modele],MATCH(Tableau3[[#This Row],[ID-INS]],Tableau8[ID],0))&amp;""</f>
        <v>TRSD_1</v>
      </c>
      <c r="L142" s="100" t="str">
        <f>INDEX(Tableau5[Att1],MATCH(Tableau3[[#This Row],[ID-SIG]],Tableau5[ID],0))&amp;""</f>
        <v>T1S_OuvRet2</v>
      </c>
      <c r="M142" s="100" t="str">
        <f>INDEX(Tableau5[Att2],MATCH(Tableau3[[#This Row],[ID-SIG]],Tableau5[ID],0))&amp;""</f>
        <v/>
      </c>
      <c r="N142" s="100" t="str">
        <f>INDEX(Tableau5[Att3],MATCH(Tableau3[[#This Row],[ID-SIG]],Tableau5[ID],0))&amp;""</f>
        <v/>
      </c>
      <c r="O142" s="100"/>
      <c r="P142" s="100" t="str">
        <f>INDEX(Tableau5[Description],MATCH(Tableau3[[#This Row],[ID-SIG]],Tableau5[ID],0))</f>
        <v>Retour Commande 2 ouverture sortie 1</v>
      </c>
      <c r="Q142" s="100"/>
      <c r="R142" s="104" t="str">
        <f>Tableau3[[#This Row],[Description]]</f>
        <v>Retour Commande 2 ouverture sortie 1</v>
      </c>
      <c r="U142" s="88">
        <v>1</v>
      </c>
      <c r="V142" s="88">
        <v>2</v>
      </c>
      <c r="W142" s="88">
        <v>7</v>
      </c>
      <c r="X142" s="88">
        <v>4</v>
      </c>
      <c r="Y142" s="40"/>
      <c r="Z142" s="166" t="str">
        <f>INDEX(Tableau2[TS],MATCH(Tableau3[[#This Row],[ID-CARTEVOIE]],Tableau2[ID-CARTEVOIE],0))</f>
        <v>ET</v>
      </c>
      <c r="AA142" s="81" t="s">
        <v>213</v>
      </c>
      <c r="AB142" s="226" t="str">
        <f>IFERROR(INDEX(Tableau5[Reserve],MATCH(Tableau3[[#This Row],[ID-SIG]],Tableau5[ID],0))&amp;"","")</f>
        <v/>
      </c>
      <c r="AC142" s="21"/>
      <c r="AD142" s="108" t="str">
        <f>INDEX(Tableau7[Repere],MATCH(Tableau3[[#This Row],[ID-API]],Tableau7[ID-API],0))&amp;""</f>
        <v>A1</v>
      </c>
      <c r="AE142" s="109" t="str">
        <f>INDEX(Tableau1[Repere-Rack],MATCH(Tableau3[[#This Row],[ID-RACK]],Tableau1[ID-RACK],0))&amp;""</f>
        <v>R2</v>
      </c>
      <c r="AF142" s="109" t="str">
        <f>INDEX(Tableau1[Repere-Slot],MATCH(Tableau3[[#This Row],[ID-SLOT]],Tableau1[ID-SLOT],0))&amp;""</f>
        <v>S7</v>
      </c>
      <c r="AG142" s="109" t="str">
        <f>INDEX(Tableau2[Repere-Voie],MATCH(Tableau3[[#This Row],[ID-VOIE]],Tableau2[ID-Voie],0))&amp;""</f>
        <v>v4</v>
      </c>
      <c r="AH142" s="72" t="str">
        <f>Tableau3[[#This Row],[ID-API]]&amp; "." &amp;Tableau3[[#This Row],[ID-RACK]]&amp; "." &amp;Tableau3[[#This Row],[ID-SLOT]]</f>
        <v>1.2.7</v>
      </c>
      <c r="AI142" s="72" t="str">
        <f>INDEX(Tableau1[Ref-Carte],MATCH(Tableau3[[#This Row],[ID-RRS]],Tableau1[ID-RRS],0))</f>
        <v>SDI1602</v>
      </c>
      <c r="AJ142" s="72" t="str">
        <f t="array" ref="AJ142">IFERROR(INDEX(Tableau2[TS],MATCH(1,(Tableau2[Ref-Carte]=Tableau3[[#This Row],[Ref-Carte2]])*(Tableau2[ID-Voie]=Tableau3[[#This Row],[ID-VOIE]]),0)),"")</f>
        <v>ET</v>
      </c>
      <c r="AK142" s="72" t="str">
        <f>IFERROR(INDEX(Tableau2[TS],SUMPRODUCT((Tableau2[Ref-Carte]=Tableau3[[#This Row],[Ref-Carte2]])*(Tableau2[ID-Voie]=Tableau3[[#This Row],[ID-VOIE]])*ROW(Tableau2[TS]))-ROW(Tableau2[#Headers])),"")</f>
        <v>ET</v>
      </c>
      <c r="AL142" s="72" t="str">
        <f>Tableau3[[#This Row],[Ref-Carte2]]&amp;"/"&amp;Tableau3[[#This Row],[ID-VOIE]]</f>
        <v>SDI1602/4</v>
      </c>
      <c r="AM142" s="77" t="str">
        <f>INDEX(Tableau2[Borne],MATCH(Tableau3[[#This Row],[ID-CARTEVOIE]],Tableau2[ID-CARTEVOIE],0))&amp;""</f>
        <v>2B</v>
      </c>
      <c r="AN142" s="74" t="str">
        <f>Tableau3[[#This Row],[ID-API]]&amp;Tableau3[[#This Row],[ID-RACK]]&amp;Tableau3[[#This Row],[ID-SLOT]]&amp;Tableau3[[#This Row],[BORNE]]</f>
        <v>1272B</v>
      </c>
      <c r="AO142" s="1"/>
    </row>
    <row r="143" spans="1:41" ht="20.100000000000001" customHeight="1" thickTop="1" thickBot="1">
      <c r="A143" s="110"/>
      <c r="B143" s="111" t="str">
        <f>IFERROR(INDEX(Tableau4[Date],MATCH($A143,Tableau4[EVO],0)),"")</f>
        <v/>
      </c>
      <c r="C143" s="112" t="str">
        <f>IFERROR(INDEX(Tableau4[Designation],MATCH($A143,Tableau4[EVO],0)),"")</f>
        <v/>
      </c>
      <c r="D143" s="110"/>
      <c r="E143" s="113">
        <v>68</v>
      </c>
      <c r="F143" s="114">
        <v>40</v>
      </c>
      <c r="G143" s="115" t="str">
        <f>INDEX(Tableau8[Att1],MATCH(Tableau3[[#This Row],[ID-INS]],Tableau8[ID],0))&amp;""</f>
        <v>B22</v>
      </c>
      <c r="H143" s="115" t="str">
        <f>INDEX(Tableau8[Att2],MATCH(Tableau3[[#This Row],[ID-INS]],Tableau8[ID],0))&amp;""</f>
        <v>TRSD3</v>
      </c>
      <c r="I143" s="115" t="str">
        <f>INDEX(Tableau8[Att3],MATCH(Tableau3[[#This Row],[ID-INS]],Tableau8[ID],0))&amp;""</f>
        <v>Tourniquet TRSD3</v>
      </c>
      <c r="J143" s="102"/>
      <c r="K143" s="167" t="str">
        <f>INDEX(Tableau8[Nom du modele],MATCH(Tableau3[[#This Row],[ID-INS]],Tableau8[ID],0))&amp;""</f>
        <v>TRSD_1</v>
      </c>
      <c r="L143" s="116" t="str">
        <f>INDEX(Tableau5[Att1],MATCH(Tableau3[[#This Row],[ID-SIG]],Tableau5[ID],0))&amp;""</f>
        <v>T1E_PassageOK</v>
      </c>
      <c r="M143" s="116" t="str">
        <f>INDEX(Tableau5[Att2],MATCH(Tableau3[[#This Row],[ID-SIG]],Tableau5[ID],0))&amp;""</f>
        <v/>
      </c>
      <c r="N143" s="116" t="str">
        <f>INDEX(Tableau5[Att3],MATCH(Tableau3[[#This Row],[ID-SIG]],Tableau5[ID],0))&amp;""</f>
        <v/>
      </c>
      <c r="O143" s="100"/>
      <c r="P143" s="116" t="str">
        <f>INDEX(Tableau5[Description],MATCH(Tableau3[[#This Row],[ID-SIG]],Tableau5[ID],0))</f>
        <v>Passage effectuée entrée 1</v>
      </c>
      <c r="Q143" s="100"/>
      <c r="R143" s="117" t="str">
        <f>Tableau3[[#This Row],[Description]]</f>
        <v>Passage effectuée entrée 1</v>
      </c>
      <c r="U143" s="88">
        <v>1</v>
      </c>
      <c r="V143" s="88">
        <v>2</v>
      </c>
      <c r="W143" s="88">
        <v>7</v>
      </c>
      <c r="X143" s="88">
        <v>5</v>
      </c>
      <c r="Y143" s="40"/>
      <c r="Z143" s="166" t="str">
        <f>INDEX(Tableau2[TS],MATCH(Tableau3[[#This Row],[ID-CARTEVOIE]],Tableau2[ID-CARTEVOIE],0))</f>
        <v>ET</v>
      </c>
      <c r="AA143" s="118" t="s">
        <v>213</v>
      </c>
      <c r="AB143" s="225" t="str">
        <f>IFERROR(INDEX(Tableau5[Reserve],MATCH(Tableau3[[#This Row],[ID-SIG]],Tableau5[ID],0))&amp;"","")</f>
        <v/>
      </c>
      <c r="AC143" s="119"/>
      <c r="AD143" s="120" t="str">
        <f>INDEX(Tableau7[Repere],MATCH(Tableau3[[#This Row],[ID-API]],Tableau7[ID-API],0))&amp;""</f>
        <v>A1</v>
      </c>
      <c r="AE143" s="121" t="str">
        <f>INDEX(Tableau1[Repere-Rack],MATCH(Tableau3[[#This Row],[ID-RACK]],Tableau1[ID-RACK],0))&amp;""</f>
        <v>R2</v>
      </c>
      <c r="AF143" s="121" t="str">
        <f>INDEX(Tableau1[Repere-Slot],MATCH(Tableau3[[#This Row],[ID-SLOT]],Tableau1[ID-SLOT],0))&amp;""</f>
        <v>S7</v>
      </c>
      <c r="AG143" s="121" t="str">
        <f>INDEX(Tableau2[Repere-Voie],MATCH(Tableau3[[#This Row],[ID-VOIE]],Tableau2[ID-Voie],0))&amp;""</f>
        <v>v5</v>
      </c>
      <c r="AH143" s="122" t="str">
        <f>Tableau3[[#This Row],[ID-API]]&amp; "." &amp;Tableau3[[#This Row],[ID-RACK]]&amp; "." &amp;Tableau3[[#This Row],[ID-SLOT]]</f>
        <v>1.2.7</v>
      </c>
      <c r="AI143" s="72" t="str">
        <f>INDEX(Tableau1[Ref-Carte],MATCH(Tableau3[[#This Row],[ID-RRS]],Tableau1[ID-RRS],0))</f>
        <v>SDI1602</v>
      </c>
      <c r="AJ143" s="72" t="str">
        <f t="array" ref="AJ143">IFERROR(INDEX(Tableau2[TS],MATCH(1,(Tableau2[Ref-Carte]=Tableau3[[#This Row],[Ref-Carte2]])*(Tableau2[ID-Voie]=Tableau3[[#This Row],[ID-VOIE]]),0)),"")</f>
        <v>ET</v>
      </c>
      <c r="AK143" s="72" t="str">
        <f>IFERROR(INDEX(Tableau2[TS],SUMPRODUCT((Tableau2[Ref-Carte]=Tableau3[[#This Row],[Ref-Carte2]])*(Tableau2[ID-Voie]=Tableau3[[#This Row],[ID-VOIE]])*ROW(Tableau2[TS]))-ROW(Tableau2[#Headers])),"")</f>
        <v>ET</v>
      </c>
      <c r="AL143" s="122" t="str">
        <f>Tableau3[[#This Row],[Ref-Carte2]]&amp;"/"&amp;Tableau3[[#This Row],[ID-VOIE]]</f>
        <v>SDI1602/5</v>
      </c>
      <c r="AM143" s="123" t="str">
        <f>INDEX(Tableau2[Borne],MATCH(Tableau3[[#This Row],[ID-CARTEVOIE]],Tableau2[ID-CARTEVOIE],0))&amp;""</f>
        <v>2A</v>
      </c>
      <c r="AN143" s="124" t="str">
        <f>Tableau3[[#This Row],[ID-API]]&amp;Tableau3[[#This Row],[ID-RACK]]&amp;Tableau3[[#This Row],[ID-SLOT]]&amp;Tableau3[[#This Row],[BORNE]]</f>
        <v>1272A</v>
      </c>
      <c r="AO143" s="125"/>
    </row>
    <row r="144" spans="1:41" ht="20.100000000000001" customHeight="1" thickTop="1" thickBot="1">
      <c r="A144" s="110"/>
      <c r="B144" s="111" t="str">
        <f>IFERROR(INDEX(Tableau4[Date],MATCH($A144,Tableau4[EVO],0)),"")</f>
        <v/>
      </c>
      <c r="C144" s="112" t="str">
        <f>IFERROR(INDEX(Tableau4[Designation],MATCH($A144,Tableau4[EVO],0)),"")</f>
        <v/>
      </c>
      <c r="D144" s="110"/>
      <c r="E144" s="113">
        <v>68</v>
      </c>
      <c r="F144" s="114">
        <v>41</v>
      </c>
      <c r="G144" s="115" t="str">
        <f>INDEX(Tableau8[Att1],MATCH(Tableau3[[#This Row],[ID-INS]],Tableau8[ID],0))&amp;""</f>
        <v>B22</v>
      </c>
      <c r="H144" s="115" t="str">
        <f>INDEX(Tableau8[Att2],MATCH(Tableau3[[#This Row],[ID-INS]],Tableau8[ID],0))&amp;""</f>
        <v>TRSD3</v>
      </c>
      <c r="I144" s="115" t="str">
        <f>INDEX(Tableau8[Att3],MATCH(Tableau3[[#This Row],[ID-INS]],Tableau8[ID],0))&amp;""</f>
        <v>Tourniquet TRSD3</v>
      </c>
      <c r="J144" s="102"/>
      <c r="K144" s="167" t="str">
        <f>INDEX(Tableau8[Nom du modele],MATCH(Tableau3[[#This Row],[ID-INS]],Tableau8[ID],0))&amp;""</f>
        <v>TRSD_1</v>
      </c>
      <c r="L144" s="116" t="str">
        <f>INDEX(Tableau5[Att1],MATCH(Tableau3[[#This Row],[ID-SIG]],Tableau5[ID],0))&amp;""</f>
        <v>T1S_PassageOK</v>
      </c>
      <c r="M144" s="116" t="str">
        <f>INDEX(Tableau5[Att2],MATCH(Tableau3[[#This Row],[ID-SIG]],Tableau5[ID],0))&amp;""</f>
        <v/>
      </c>
      <c r="N144" s="116" t="str">
        <f>INDEX(Tableau5[Att3],MATCH(Tableau3[[#This Row],[ID-SIG]],Tableau5[ID],0))&amp;""</f>
        <v/>
      </c>
      <c r="O144" s="100"/>
      <c r="P144" s="116" t="str">
        <f>INDEX(Tableau5[Description],MATCH(Tableau3[[#This Row],[ID-SIG]],Tableau5[ID],0))</f>
        <v>Passage effectuée sortie 1</v>
      </c>
      <c r="Q144" s="100"/>
      <c r="R144" s="117" t="str">
        <f>Tableau3[[#This Row],[Description]]</f>
        <v>Passage effectuée sortie 1</v>
      </c>
      <c r="U144" s="88">
        <v>1</v>
      </c>
      <c r="V144" s="88">
        <v>2</v>
      </c>
      <c r="W144" s="88">
        <v>7</v>
      </c>
      <c r="X144" s="88">
        <v>6</v>
      </c>
      <c r="Y144" s="40"/>
      <c r="Z144" s="166" t="str">
        <f>INDEX(Tableau2[TS],MATCH(Tableau3[[#This Row],[ID-CARTEVOIE]],Tableau2[ID-CARTEVOIE],0))</f>
        <v>ET</v>
      </c>
      <c r="AA144" s="118" t="s">
        <v>213</v>
      </c>
      <c r="AB144" s="225" t="str">
        <f>IFERROR(INDEX(Tableau5[Reserve],MATCH(Tableau3[[#This Row],[ID-SIG]],Tableau5[ID],0))&amp;"","")</f>
        <v/>
      </c>
      <c r="AC144" s="119"/>
      <c r="AD144" s="120" t="str">
        <f>INDEX(Tableau7[Repere],MATCH(Tableau3[[#This Row],[ID-API]],Tableau7[ID-API],0))&amp;""</f>
        <v>A1</v>
      </c>
      <c r="AE144" s="121" t="str">
        <f>INDEX(Tableau1[Repere-Rack],MATCH(Tableau3[[#This Row],[ID-RACK]],Tableau1[ID-RACK],0))&amp;""</f>
        <v>R2</v>
      </c>
      <c r="AF144" s="121" t="str">
        <f>INDEX(Tableau1[Repere-Slot],MATCH(Tableau3[[#This Row],[ID-SLOT]],Tableau1[ID-SLOT],0))&amp;""</f>
        <v>S7</v>
      </c>
      <c r="AG144" s="121" t="str">
        <f>INDEX(Tableau2[Repere-Voie],MATCH(Tableau3[[#This Row],[ID-VOIE]],Tableau2[ID-Voie],0))&amp;""</f>
        <v>v6</v>
      </c>
      <c r="AH144" s="122" t="str">
        <f>Tableau3[[#This Row],[ID-API]]&amp; "." &amp;Tableau3[[#This Row],[ID-RACK]]&amp; "." &amp;Tableau3[[#This Row],[ID-SLOT]]</f>
        <v>1.2.7</v>
      </c>
      <c r="AI144" s="72" t="str">
        <f>INDEX(Tableau1[Ref-Carte],MATCH(Tableau3[[#This Row],[ID-RRS]],Tableau1[ID-RRS],0))</f>
        <v>SDI1602</v>
      </c>
      <c r="AJ144" s="72" t="str">
        <f t="array" ref="AJ144">IFERROR(INDEX(Tableau2[TS],MATCH(1,(Tableau2[Ref-Carte]=Tableau3[[#This Row],[Ref-Carte2]])*(Tableau2[ID-Voie]=Tableau3[[#This Row],[ID-VOIE]]),0)),"")</f>
        <v>ET</v>
      </c>
      <c r="AK144" s="72" t="str">
        <f>IFERROR(INDEX(Tableau2[TS],SUMPRODUCT((Tableau2[Ref-Carte]=Tableau3[[#This Row],[Ref-Carte2]])*(Tableau2[ID-Voie]=Tableau3[[#This Row],[ID-VOIE]])*ROW(Tableau2[TS]))-ROW(Tableau2[#Headers])),"")</f>
        <v>ET</v>
      </c>
      <c r="AL144" s="122" t="str">
        <f>Tableau3[[#This Row],[Ref-Carte2]]&amp;"/"&amp;Tableau3[[#This Row],[ID-VOIE]]</f>
        <v>SDI1602/6</v>
      </c>
      <c r="AM144" s="123" t="str">
        <f>INDEX(Tableau2[Borne],MATCH(Tableau3[[#This Row],[ID-CARTEVOIE]],Tableau2[ID-CARTEVOIE],0))&amp;""</f>
        <v>3B</v>
      </c>
      <c r="AN144" s="124" t="str">
        <f>Tableau3[[#This Row],[ID-API]]&amp;Tableau3[[#This Row],[ID-RACK]]&amp;Tableau3[[#This Row],[ID-SLOT]]&amp;Tableau3[[#This Row],[BORNE]]</f>
        <v>1273B</v>
      </c>
      <c r="AO144" s="125"/>
    </row>
    <row r="145" spans="1:41" ht="20.100000000000001" customHeight="1" thickTop="1" thickBot="1">
      <c r="A145" s="110"/>
      <c r="B145" s="111" t="str">
        <f>IFERROR(INDEX(Tableau4[Date],MATCH($A145,Tableau4[EVO],0)),"")</f>
        <v/>
      </c>
      <c r="C145" s="112" t="str">
        <f>IFERROR(INDEX(Tableau4[Designation],MATCH($A145,Tableau4[EVO],0)),"")</f>
        <v/>
      </c>
      <c r="D145" s="110"/>
      <c r="E145" s="113">
        <v>68</v>
      </c>
      <c r="F145" s="114">
        <v>44</v>
      </c>
      <c r="G145" s="115" t="str">
        <f>INDEX(Tableau8[Att1],MATCH(Tableau3[[#This Row],[ID-INS]],Tableau8[ID],0))&amp;""</f>
        <v>B22</v>
      </c>
      <c r="H145" s="115" t="str">
        <f>INDEX(Tableau8[Att2],MATCH(Tableau3[[#This Row],[ID-INS]],Tableau8[ID],0))&amp;""</f>
        <v>TRSD3</v>
      </c>
      <c r="I145" s="115" t="str">
        <f>INDEX(Tableau8[Att3],MATCH(Tableau3[[#This Row],[ID-INS]],Tableau8[ID],0))&amp;""</f>
        <v>Tourniquet TRSD3</v>
      </c>
      <c r="J145" s="102"/>
      <c r="K145" s="167" t="str">
        <f>INDEX(Tableau8[Nom du modele],MATCH(Tableau3[[#This Row],[ID-INS]],Tableau8[ID],0))&amp;""</f>
        <v>TRSD_1</v>
      </c>
      <c r="L145" s="116" t="str">
        <f>INDEX(Tableau5[Att1],MATCH(Tableau3[[#This Row],[ID-SIG]],Tableau5[ID],0))&amp;""</f>
        <v>T1_SynthDef</v>
      </c>
      <c r="M145" s="116" t="str">
        <f>INDEX(Tableau5[Att2],MATCH(Tableau3[[#This Row],[ID-SIG]],Tableau5[ID],0))&amp;""</f>
        <v/>
      </c>
      <c r="N145" s="116" t="str">
        <f>INDEX(Tableau5[Att3],MATCH(Tableau3[[#This Row],[ID-SIG]],Tableau5[ID],0))&amp;""</f>
        <v/>
      </c>
      <c r="O145" s="100"/>
      <c r="P145" s="116" t="str">
        <f>INDEX(Tableau5[Description],MATCH(Tableau3[[#This Row],[ID-SIG]],Tableau5[ID],0))</f>
        <v>Synthèse défaut entrée 1</v>
      </c>
      <c r="Q145" s="100"/>
      <c r="R145" s="117" t="str">
        <f>Tableau3[[#This Row],[Description]]</f>
        <v>Synthèse défaut entrée 1</v>
      </c>
      <c r="U145" s="88">
        <v>1</v>
      </c>
      <c r="V145" s="88">
        <v>2</v>
      </c>
      <c r="W145" s="88">
        <v>7</v>
      </c>
      <c r="X145" s="88">
        <v>7</v>
      </c>
      <c r="Y145" s="40"/>
      <c r="Z145" s="166" t="str">
        <f>INDEX(Tableau2[TS],MATCH(Tableau3[[#This Row],[ID-CARTEVOIE]],Tableau2[ID-CARTEVOIE],0))</f>
        <v>ET</v>
      </c>
      <c r="AA145" s="118" t="s">
        <v>213</v>
      </c>
      <c r="AB145" s="225" t="str">
        <f>IFERROR(INDEX(Tableau5[Reserve],MATCH(Tableau3[[#This Row],[ID-SIG]],Tableau5[ID],0))&amp;"","")</f>
        <v/>
      </c>
      <c r="AC145" s="119"/>
      <c r="AD145" s="120" t="str">
        <f>INDEX(Tableau7[Repere],MATCH(Tableau3[[#This Row],[ID-API]],Tableau7[ID-API],0))&amp;""</f>
        <v>A1</v>
      </c>
      <c r="AE145" s="121" t="str">
        <f>INDEX(Tableau1[Repere-Rack],MATCH(Tableau3[[#This Row],[ID-RACK]],Tableau1[ID-RACK],0))&amp;""</f>
        <v>R2</v>
      </c>
      <c r="AF145" s="121" t="str">
        <f>INDEX(Tableau1[Repere-Slot],MATCH(Tableau3[[#This Row],[ID-SLOT]],Tableau1[ID-SLOT],0))&amp;""</f>
        <v>S7</v>
      </c>
      <c r="AG145" s="121" t="str">
        <f>INDEX(Tableau2[Repere-Voie],MATCH(Tableau3[[#This Row],[ID-VOIE]],Tableau2[ID-Voie],0))&amp;""</f>
        <v>v7</v>
      </c>
      <c r="AH145" s="122" t="str">
        <f>Tableau3[[#This Row],[ID-API]]&amp; "." &amp;Tableau3[[#This Row],[ID-RACK]]&amp; "." &amp;Tableau3[[#This Row],[ID-SLOT]]</f>
        <v>1.2.7</v>
      </c>
      <c r="AI145" s="72" t="str">
        <f>INDEX(Tableau1[Ref-Carte],MATCH(Tableau3[[#This Row],[ID-RRS]],Tableau1[ID-RRS],0))</f>
        <v>SDI1602</v>
      </c>
      <c r="AJ145" s="72" t="str">
        <f t="array" ref="AJ145">IFERROR(INDEX(Tableau2[TS],MATCH(1,(Tableau2[Ref-Carte]=Tableau3[[#This Row],[Ref-Carte2]])*(Tableau2[ID-Voie]=Tableau3[[#This Row],[ID-VOIE]]),0)),"")</f>
        <v>ET</v>
      </c>
      <c r="AK145" s="72" t="str">
        <f>IFERROR(INDEX(Tableau2[TS],SUMPRODUCT((Tableau2[Ref-Carte]=Tableau3[[#This Row],[Ref-Carte2]])*(Tableau2[ID-Voie]=Tableau3[[#This Row],[ID-VOIE]])*ROW(Tableau2[TS]))-ROW(Tableau2[#Headers])),"")</f>
        <v>ET</v>
      </c>
      <c r="AL145" s="122" t="str">
        <f>Tableau3[[#This Row],[Ref-Carte2]]&amp;"/"&amp;Tableau3[[#This Row],[ID-VOIE]]</f>
        <v>SDI1602/7</v>
      </c>
      <c r="AM145" s="123" t="str">
        <f>INDEX(Tableau2[Borne],MATCH(Tableau3[[#This Row],[ID-CARTEVOIE]],Tableau2[ID-CARTEVOIE],0))&amp;""</f>
        <v>3A</v>
      </c>
      <c r="AN145" s="124" t="str">
        <f>Tableau3[[#This Row],[ID-API]]&amp;Tableau3[[#This Row],[ID-RACK]]&amp;Tableau3[[#This Row],[ID-SLOT]]&amp;Tableau3[[#This Row],[BORNE]]</f>
        <v>1273A</v>
      </c>
      <c r="AO145" s="125"/>
    </row>
    <row r="146" spans="1:41" ht="20.100000000000001" customHeight="1" thickTop="1" thickBot="1">
      <c r="A146" s="75"/>
      <c r="B146" s="76" t="str">
        <f>IFERROR(INDEX(Tableau4[Date],MATCH($A146,Tableau4[EVO],0)),"")</f>
        <v/>
      </c>
      <c r="C146" s="75" t="str">
        <f>IFERROR(INDEX(Tableau4[Designation],MATCH($A146,Tableau4[EVO],0)),"")</f>
        <v/>
      </c>
      <c r="D146" s="75"/>
      <c r="E146" s="79">
        <v>68</v>
      </c>
      <c r="F146" s="80">
        <v>46</v>
      </c>
      <c r="G146" s="102" t="str">
        <f>INDEX(Tableau8[Att1],MATCH(Tableau3[[#This Row],[ID-INS]],Tableau8[ID],0))&amp;""</f>
        <v>B22</v>
      </c>
      <c r="H146" s="102" t="str">
        <f>INDEX(Tableau8[Att2],MATCH(Tableau3[[#This Row],[ID-INS]],Tableau8[ID],0))&amp;""</f>
        <v>TRSD3</v>
      </c>
      <c r="I146" s="102" t="str">
        <f>INDEX(Tableau8[Att3],MATCH(Tableau3[[#This Row],[ID-INS]],Tableau8[ID],0))&amp;""</f>
        <v>Tourniquet TRSD3</v>
      </c>
      <c r="J146" s="102"/>
      <c r="K146" s="167" t="str">
        <f>INDEX(Tableau8[Nom du modele],MATCH(Tableau3[[#This Row],[ID-INS]],Tableau8[ID],0))&amp;""</f>
        <v>TRSD_1</v>
      </c>
      <c r="L146" s="100" t="str">
        <f>INDEX(Tableau5[Att1],MATCH(Tableau3[[#This Row],[ID-SIG]],Tableau5[ID],0))&amp;""</f>
        <v>T1S_OuvRet1</v>
      </c>
      <c r="M146" s="100" t="str">
        <f>INDEX(Tableau5[Att2],MATCH(Tableau3[[#This Row],[ID-SIG]],Tableau5[ID],0))&amp;""</f>
        <v/>
      </c>
      <c r="N146" s="100" t="str">
        <f>INDEX(Tableau5[Att3],MATCH(Tableau3[[#This Row],[ID-SIG]],Tableau5[ID],0))&amp;""</f>
        <v/>
      </c>
      <c r="O146" s="100"/>
      <c r="P146" s="100" t="str">
        <f>INDEX(Tableau5[Description],MATCH(Tableau3[[#This Row],[ID-SIG]],Tableau5[ID],0))</f>
        <v>Retour Commande 1 ouverture sortie 1</v>
      </c>
      <c r="Q146" s="100"/>
      <c r="R146" s="104" t="str">
        <f>Tableau3[[#This Row],[Description]]</f>
        <v>Retour Commande 1 ouverture sortie 1</v>
      </c>
      <c r="U146" s="88">
        <v>1</v>
      </c>
      <c r="V146" s="88">
        <v>2</v>
      </c>
      <c r="W146" s="88">
        <v>7</v>
      </c>
      <c r="X146" s="88">
        <v>8</v>
      </c>
      <c r="Y146" s="40"/>
      <c r="Z146" s="166" t="str">
        <f>INDEX(Tableau2[TS],MATCH(Tableau3[[#This Row],[ID-CARTEVOIE]],Tableau2[ID-CARTEVOIE],0))</f>
        <v>ET</v>
      </c>
      <c r="AA146" s="81" t="s">
        <v>213</v>
      </c>
      <c r="AB146" s="226" t="str">
        <f>IFERROR(INDEX(Tableau5[Reserve],MATCH(Tableau3[[#This Row],[ID-SIG]],Tableau5[ID],0))&amp;"","")</f>
        <v/>
      </c>
      <c r="AC146" s="21"/>
      <c r="AD146" s="108" t="str">
        <f>INDEX(Tableau7[Repere],MATCH(Tableau3[[#This Row],[ID-API]],Tableau7[ID-API],0))&amp;""</f>
        <v>A1</v>
      </c>
      <c r="AE146" s="109" t="str">
        <f>INDEX(Tableau1[Repere-Rack],MATCH(Tableau3[[#This Row],[ID-RACK]],Tableau1[ID-RACK],0))&amp;""</f>
        <v>R2</v>
      </c>
      <c r="AF146" s="109" t="str">
        <f>INDEX(Tableau1[Repere-Slot],MATCH(Tableau3[[#This Row],[ID-SLOT]],Tableau1[ID-SLOT],0))&amp;""</f>
        <v>S7</v>
      </c>
      <c r="AG146" s="109" t="str">
        <f>INDEX(Tableau2[Repere-Voie],MATCH(Tableau3[[#This Row],[ID-VOIE]],Tableau2[ID-Voie],0))&amp;""</f>
        <v>v8</v>
      </c>
      <c r="AH146" s="72" t="str">
        <f>Tableau3[[#This Row],[ID-API]]&amp; "." &amp;Tableau3[[#This Row],[ID-RACK]]&amp; "." &amp;Tableau3[[#This Row],[ID-SLOT]]</f>
        <v>1.2.7</v>
      </c>
      <c r="AI146" s="72" t="str">
        <f>INDEX(Tableau1[Ref-Carte],MATCH(Tableau3[[#This Row],[ID-RRS]],Tableau1[ID-RRS],0))</f>
        <v>SDI1602</v>
      </c>
      <c r="AJ146" s="72" t="str">
        <f t="array" ref="AJ146">IFERROR(INDEX(Tableau2[TS],MATCH(1,(Tableau2[Ref-Carte]=Tableau3[[#This Row],[Ref-Carte2]])*(Tableau2[ID-Voie]=Tableau3[[#This Row],[ID-VOIE]]),0)),"")</f>
        <v>ET</v>
      </c>
      <c r="AK146" s="72" t="str">
        <f>IFERROR(INDEX(Tableau2[TS],SUMPRODUCT((Tableau2[Ref-Carte]=Tableau3[[#This Row],[Ref-Carte2]])*(Tableau2[ID-Voie]=Tableau3[[#This Row],[ID-VOIE]])*ROW(Tableau2[TS]))-ROW(Tableau2[#Headers])),"")</f>
        <v>ET</v>
      </c>
      <c r="AL146" s="72" t="str">
        <f>Tableau3[[#This Row],[Ref-Carte2]]&amp;"/"&amp;Tableau3[[#This Row],[ID-VOIE]]</f>
        <v>SDI1602/8</v>
      </c>
      <c r="AM146" s="77" t="str">
        <f>INDEX(Tableau2[Borne],MATCH(Tableau3[[#This Row],[ID-CARTEVOIE]],Tableau2[ID-CARTEVOIE],0))&amp;""</f>
        <v>4B</v>
      </c>
      <c r="AN146" s="74" t="str">
        <f>Tableau3[[#This Row],[ID-API]]&amp;Tableau3[[#This Row],[ID-RACK]]&amp;Tableau3[[#This Row],[ID-SLOT]]&amp;Tableau3[[#This Row],[BORNE]]</f>
        <v>1274B</v>
      </c>
      <c r="AO146" s="1"/>
    </row>
    <row r="147" spans="1:41" ht="20.100000000000001" customHeight="1" thickTop="1" thickBot="1">
      <c r="A147" s="75"/>
      <c r="B147" s="76" t="str">
        <f>IFERROR(INDEX(Tableau4[Date],MATCH($A147,Tableau4[EVO],0)),"")</f>
        <v/>
      </c>
      <c r="C147" s="75" t="str">
        <f>IFERROR(INDEX(Tableau4[Designation],MATCH($A147,Tableau4[EVO],0)),"")</f>
        <v/>
      </c>
      <c r="D147" s="75"/>
      <c r="E147" s="79">
        <v>68</v>
      </c>
      <c r="F147" s="80">
        <v>47</v>
      </c>
      <c r="G147" s="102" t="str">
        <f>INDEX(Tableau8[Att1],MATCH(Tableau3[[#This Row],[ID-INS]],Tableau8[ID],0))&amp;""</f>
        <v>B22</v>
      </c>
      <c r="H147" s="102" t="str">
        <f>INDEX(Tableau8[Att2],MATCH(Tableau3[[#This Row],[ID-INS]],Tableau8[ID],0))&amp;""</f>
        <v>TRSD3</v>
      </c>
      <c r="I147" s="102" t="str">
        <f>INDEX(Tableau8[Att3],MATCH(Tableau3[[#This Row],[ID-INS]],Tableau8[ID],0))&amp;""</f>
        <v>Tourniquet TRSD3</v>
      </c>
      <c r="J147" s="102"/>
      <c r="K147" s="167" t="str">
        <f>INDEX(Tableau8[Nom du modele],MATCH(Tableau3[[#This Row],[ID-INS]],Tableau8[ID],0))&amp;""</f>
        <v>TRSD_1</v>
      </c>
      <c r="L147" s="100" t="str">
        <f>INDEX(Tableau5[Att1],MATCH(Tableau3[[#This Row],[ID-SIG]],Tableau5[ID],0))&amp;""</f>
        <v>T1_Fer</v>
      </c>
      <c r="M147" s="100" t="str">
        <f>INDEX(Tableau5[Att2],MATCH(Tableau3[[#This Row],[ID-SIG]],Tableau5[ID],0))&amp;""</f>
        <v/>
      </c>
      <c r="N147" s="100" t="str">
        <f>INDEX(Tableau5[Att3],MATCH(Tableau3[[#This Row],[ID-SIG]],Tableau5[ID],0))&amp;""</f>
        <v/>
      </c>
      <c r="O147" s="100"/>
      <c r="P147" s="100" t="str">
        <f>INDEX(Tableau5[Description],MATCH(Tableau3[[#This Row],[ID-SIG]],Tableau5[ID],0))</f>
        <v>Position fermée entrée 1</v>
      </c>
      <c r="Q147" s="100"/>
      <c r="R147" s="104" t="str">
        <f>Tableau3[[#This Row],[Description]]</f>
        <v>Position fermée entrée 1</v>
      </c>
      <c r="U147" s="88">
        <v>1</v>
      </c>
      <c r="V147" s="88">
        <v>2</v>
      </c>
      <c r="W147" s="88">
        <v>7</v>
      </c>
      <c r="X147" s="88">
        <v>9</v>
      </c>
      <c r="Y147" s="40"/>
      <c r="Z147" s="166" t="str">
        <f>INDEX(Tableau2[TS],MATCH(Tableau3[[#This Row],[ID-CARTEVOIE]],Tableau2[ID-CARTEVOIE],0))</f>
        <v>ET</v>
      </c>
      <c r="AA147" s="81" t="s">
        <v>213</v>
      </c>
      <c r="AB147" s="226" t="str">
        <f>IFERROR(INDEX(Tableau5[Reserve],MATCH(Tableau3[[#This Row],[ID-SIG]],Tableau5[ID],0))&amp;"","")</f>
        <v/>
      </c>
      <c r="AC147" s="21"/>
      <c r="AD147" s="108" t="str">
        <f>INDEX(Tableau7[Repere],MATCH(Tableau3[[#This Row],[ID-API]],Tableau7[ID-API],0))&amp;""</f>
        <v>A1</v>
      </c>
      <c r="AE147" s="109" t="str">
        <f>INDEX(Tableau1[Repere-Rack],MATCH(Tableau3[[#This Row],[ID-RACK]],Tableau1[ID-RACK],0))&amp;""</f>
        <v>R2</v>
      </c>
      <c r="AF147" s="109" t="str">
        <f>INDEX(Tableau1[Repere-Slot],MATCH(Tableau3[[#This Row],[ID-SLOT]],Tableau1[ID-SLOT],0))&amp;""</f>
        <v>S7</v>
      </c>
      <c r="AG147" s="109" t="str">
        <f>INDEX(Tableau2[Repere-Voie],MATCH(Tableau3[[#This Row],[ID-VOIE]],Tableau2[ID-Voie],0))&amp;""</f>
        <v>v9</v>
      </c>
      <c r="AH147" s="72" t="str">
        <f>Tableau3[[#This Row],[ID-API]]&amp; "." &amp;Tableau3[[#This Row],[ID-RACK]]&amp; "." &amp;Tableau3[[#This Row],[ID-SLOT]]</f>
        <v>1.2.7</v>
      </c>
      <c r="AI147" s="72" t="str">
        <f>INDEX(Tableau1[Ref-Carte],MATCH(Tableau3[[#This Row],[ID-RRS]],Tableau1[ID-RRS],0))</f>
        <v>SDI1602</v>
      </c>
      <c r="AJ147" s="72" t="str">
        <f t="array" ref="AJ147">IFERROR(INDEX(Tableau2[TS],MATCH(1,(Tableau2[Ref-Carte]=Tableau3[[#This Row],[Ref-Carte2]])*(Tableau2[ID-Voie]=Tableau3[[#This Row],[ID-VOIE]]),0)),"")</f>
        <v>ET</v>
      </c>
      <c r="AK147" s="72" t="str">
        <f>IFERROR(INDEX(Tableau2[TS],SUMPRODUCT((Tableau2[Ref-Carte]=Tableau3[[#This Row],[Ref-Carte2]])*(Tableau2[ID-Voie]=Tableau3[[#This Row],[ID-VOIE]])*ROW(Tableau2[TS]))-ROW(Tableau2[#Headers])),"")</f>
        <v>ET</v>
      </c>
      <c r="AL147" s="72" t="str">
        <f>Tableau3[[#This Row],[Ref-Carte2]]&amp;"/"&amp;Tableau3[[#This Row],[ID-VOIE]]</f>
        <v>SDI1602/9</v>
      </c>
      <c r="AM147" s="77" t="str">
        <f>INDEX(Tableau2[Borne],MATCH(Tableau3[[#This Row],[ID-CARTEVOIE]],Tableau2[ID-CARTEVOIE],0))&amp;""</f>
        <v>4A</v>
      </c>
      <c r="AN147" s="74" t="str">
        <f>Tableau3[[#This Row],[ID-API]]&amp;Tableau3[[#This Row],[ID-RACK]]&amp;Tableau3[[#This Row],[ID-SLOT]]&amp;Tableau3[[#This Row],[BORNE]]</f>
        <v>1274A</v>
      </c>
      <c r="AO147" s="1"/>
    </row>
    <row r="148" spans="1:41" ht="20.100000000000001" customHeight="1" thickTop="1" thickBot="1">
      <c r="A148" s="75"/>
      <c r="B148" s="76" t="str">
        <f>IFERROR(INDEX(Tableau4[Date],MATCH($A148,Tableau4[EVO],0)),"")</f>
        <v/>
      </c>
      <c r="C148" s="75" t="str">
        <f>IFERROR(INDEX(Tableau4[Designation],MATCH($A148,Tableau4[EVO],0)),"")</f>
        <v/>
      </c>
      <c r="D148" s="75"/>
      <c r="E148" s="79">
        <v>110</v>
      </c>
      <c r="F148" s="80">
        <v>15</v>
      </c>
      <c r="G148" s="102" t="str">
        <f>INDEX(Tableau8[Att1],MATCH(Tableau3[[#This Row],[ID-INS]],Tableau8[ID],0))&amp;""</f>
        <v>GR</v>
      </c>
      <c r="H148" s="102" t="str">
        <f>INDEX(Tableau8[Att2],MATCH(Tableau3[[#This Row],[ID-INS]],Tableau8[ID],0))&amp;""</f>
        <v>UTLR9</v>
      </c>
      <c r="I148" s="102" t="str">
        <f>INDEX(Tableau8[Att3],MATCH(Tableau3[[#This Row],[ID-INS]],Tableau8[ID],0))&amp;""</f>
        <v>UTL rouge IDP7/PMR4/FRX1</v>
      </c>
      <c r="J148" s="102"/>
      <c r="K148" s="167" t="str">
        <f>INDEX(Tableau8[Nom du modele],MATCH(Tableau3[[#This Row],[ID-INS]],Tableau8[ID],0))&amp;""</f>
        <v>UTL</v>
      </c>
      <c r="L148" s="100" t="str">
        <f>INDEX(Tableau5[Att1],MATCH(Tableau3[[#This Row],[ID-SIG]],Tableau5[ID],0))&amp;""</f>
        <v>DmdOuv</v>
      </c>
      <c r="M148" s="100" t="str">
        <f>INDEX(Tableau5[Att2],MATCH(Tableau3[[#This Row],[ID-SIG]],Tableau5[ID],0))&amp;""</f>
        <v/>
      </c>
      <c r="N148" s="100" t="str">
        <f>INDEX(Tableau5[Att3],MATCH(Tableau3[[#This Row],[ID-SIG]],Tableau5[ID],0))&amp;""</f>
        <v/>
      </c>
      <c r="O148" s="100"/>
      <c r="P148" s="100" t="str">
        <f>INDEX(Tableau5[Description],MATCH(Tableau3[[#This Row],[ID-SIG]],Tableau5[ID],0))</f>
        <v>Demande d'ouverture venant UTL</v>
      </c>
      <c r="Q148" s="100"/>
      <c r="R148" s="104" t="str">
        <f>Tableau3[[#This Row],[Description]]</f>
        <v>Demande d'ouverture venant UTL</v>
      </c>
      <c r="U148" s="88">
        <v>1</v>
      </c>
      <c r="V148" s="88">
        <v>2</v>
      </c>
      <c r="W148" s="88">
        <v>7</v>
      </c>
      <c r="X148" s="88">
        <v>10</v>
      </c>
      <c r="Y148" s="40"/>
      <c r="Z148" s="166" t="str">
        <f>INDEX(Tableau2[TS],MATCH(Tableau3[[#This Row],[ID-CARTEVOIE]],Tableau2[ID-CARTEVOIE],0))</f>
        <v>ET</v>
      </c>
      <c r="AA148" s="81" t="s">
        <v>213</v>
      </c>
      <c r="AB148" s="226" t="str">
        <f>IFERROR(INDEX(Tableau5[Reserve],MATCH(Tableau3[[#This Row],[ID-SIG]],Tableau5[ID],0))&amp;"","")</f>
        <v/>
      </c>
      <c r="AC148" s="21"/>
      <c r="AD148" s="108" t="str">
        <f>INDEX(Tableau7[Repere],MATCH(Tableau3[[#This Row],[ID-API]],Tableau7[ID-API],0))&amp;""</f>
        <v>A1</v>
      </c>
      <c r="AE148" s="109" t="str">
        <f>INDEX(Tableau1[Repere-Rack],MATCH(Tableau3[[#This Row],[ID-RACK]],Tableau1[ID-RACK],0))&amp;""</f>
        <v>R2</v>
      </c>
      <c r="AF148" s="109" t="str">
        <f>INDEX(Tableau1[Repere-Slot],MATCH(Tableau3[[#This Row],[ID-SLOT]],Tableau1[ID-SLOT],0))&amp;""</f>
        <v>S7</v>
      </c>
      <c r="AG148" s="109" t="str">
        <f>INDEX(Tableau2[Repere-Voie],MATCH(Tableau3[[#This Row],[ID-VOIE]],Tableau2[ID-Voie],0))&amp;""</f>
        <v>v10</v>
      </c>
      <c r="AH148" s="72" t="str">
        <f>Tableau3[[#This Row],[ID-API]]&amp; "." &amp;Tableau3[[#This Row],[ID-RACK]]&amp; "." &amp;Tableau3[[#This Row],[ID-SLOT]]</f>
        <v>1.2.7</v>
      </c>
      <c r="AI148" s="72" t="str">
        <f>INDEX(Tableau1[Ref-Carte],MATCH(Tableau3[[#This Row],[ID-RRS]],Tableau1[ID-RRS],0))</f>
        <v>SDI1602</v>
      </c>
      <c r="AJ148" s="72" t="str">
        <f t="array" ref="AJ148">IFERROR(INDEX(Tableau2[TS],MATCH(1,(Tableau2[Ref-Carte]=Tableau3[[#This Row],[Ref-Carte2]])*(Tableau2[ID-Voie]=Tableau3[[#This Row],[ID-VOIE]]),0)),"")</f>
        <v>ET</v>
      </c>
      <c r="AK148" s="72" t="str">
        <f>IFERROR(INDEX(Tableau2[TS],SUMPRODUCT((Tableau2[Ref-Carte]=Tableau3[[#This Row],[Ref-Carte2]])*(Tableau2[ID-Voie]=Tableau3[[#This Row],[ID-VOIE]])*ROW(Tableau2[TS]))-ROW(Tableau2[#Headers])),"")</f>
        <v>ET</v>
      </c>
      <c r="AL148" s="72" t="str">
        <f>Tableau3[[#This Row],[Ref-Carte2]]&amp;"/"&amp;Tableau3[[#This Row],[ID-VOIE]]</f>
        <v>SDI1602/10</v>
      </c>
      <c r="AM148" s="77" t="str">
        <f>INDEX(Tableau2[Borne],MATCH(Tableau3[[#This Row],[ID-CARTEVOIE]],Tableau2[ID-CARTEVOIE],0))&amp;""</f>
        <v>5B</v>
      </c>
      <c r="AN148" s="74" t="str">
        <f>Tableau3[[#This Row],[ID-API]]&amp;Tableau3[[#This Row],[ID-RACK]]&amp;Tableau3[[#This Row],[ID-SLOT]]&amp;Tableau3[[#This Row],[BORNE]]</f>
        <v>1275B</v>
      </c>
      <c r="AO148" s="1"/>
    </row>
    <row r="149" spans="1:41" ht="20.100000000000001" customHeight="1" thickTop="1" thickBot="1">
      <c r="A149" s="75"/>
      <c r="B149" s="76" t="str">
        <f>IFERROR(INDEX(Tableau4[Date],MATCH($A149,Tableau4[EVO],0)),"")</f>
        <v/>
      </c>
      <c r="C149" s="75" t="str">
        <f>IFERROR(INDEX(Tableau4[Designation],MATCH($A149,Tableau4[EVO],0)),"")</f>
        <v/>
      </c>
      <c r="D149" s="75"/>
      <c r="E149" s="79">
        <v>112</v>
      </c>
      <c r="F149" s="80">
        <v>15</v>
      </c>
      <c r="G149" s="102" t="str">
        <f>INDEX(Tableau8[Att1],MATCH(Tableau3[[#This Row],[ID-INS]],Tableau8[ID],0))&amp;""</f>
        <v>GR</v>
      </c>
      <c r="H149" s="102" t="str">
        <f>INDEX(Tableau8[Att2],MATCH(Tableau3[[#This Row],[ID-INS]],Tableau8[ID],0))&amp;""</f>
        <v>UTLR11</v>
      </c>
      <c r="I149" s="102" t="str">
        <f>INDEX(Tableau8[Att3],MATCH(Tableau3[[#This Row],[ID-INS]],Tableau8[ID],0))&amp;""</f>
        <v>UTL rouge IDP9/TRSD2-1/FRX3</v>
      </c>
      <c r="J149" s="102"/>
      <c r="K149" s="167" t="str">
        <f>INDEX(Tableau8[Nom du modele],MATCH(Tableau3[[#This Row],[ID-INS]],Tableau8[ID],0))&amp;""</f>
        <v>UTL</v>
      </c>
      <c r="L149" s="100" t="str">
        <f>INDEX(Tableau5[Att1],MATCH(Tableau3[[#This Row],[ID-SIG]],Tableau5[ID],0))&amp;""</f>
        <v>DmdOuv</v>
      </c>
      <c r="M149" s="100" t="str">
        <f>INDEX(Tableau5[Att2],MATCH(Tableau3[[#This Row],[ID-SIG]],Tableau5[ID],0))&amp;""</f>
        <v/>
      </c>
      <c r="N149" s="100" t="str">
        <f>INDEX(Tableau5[Att3],MATCH(Tableau3[[#This Row],[ID-SIG]],Tableau5[ID],0))&amp;""</f>
        <v/>
      </c>
      <c r="O149" s="100"/>
      <c r="P149" s="100" t="str">
        <f>INDEX(Tableau5[Description],MATCH(Tableau3[[#This Row],[ID-SIG]],Tableau5[ID],0))</f>
        <v>Demande d'ouverture venant UTL</v>
      </c>
      <c r="Q149" s="100"/>
      <c r="R149" s="104" t="str">
        <f>Tableau3[[#This Row],[Description]]</f>
        <v>Demande d'ouverture venant UTL</v>
      </c>
      <c r="U149" s="88">
        <v>1</v>
      </c>
      <c r="V149" s="88">
        <v>2</v>
      </c>
      <c r="W149" s="88">
        <v>7</v>
      </c>
      <c r="X149" s="88">
        <v>11</v>
      </c>
      <c r="Y149" s="40"/>
      <c r="Z149" s="166" t="str">
        <f>INDEX(Tableau2[TS],MATCH(Tableau3[[#This Row],[ID-CARTEVOIE]],Tableau2[ID-CARTEVOIE],0))</f>
        <v>ET</v>
      </c>
      <c r="AA149" s="81" t="s">
        <v>213</v>
      </c>
      <c r="AB149" s="226" t="str">
        <f>IFERROR(INDEX(Tableau5[Reserve],MATCH(Tableau3[[#This Row],[ID-SIG]],Tableau5[ID],0))&amp;"","")</f>
        <v/>
      </c>
      <c r="AC149" s="21"/>
      <c r="AD149" s="108" t="str">
        <f>INDEX(Tableau7[Repere],MATCH(Tableau3[[#This Row],[ID-API]],Tableau7[ID-API],0))&amp;""</f>
        <v>A1</v>
      </c>
      <c r="AE149" s="109" t="str">
        <f>INDEX(Tableau1[Repere-Rack],MATCH(Tableau3[[#This Row],[ID-RACK]],Tableau1[ID-RACK],0))&amp;""</f>
        <v>R2</v>
      </c>
      <c r="AF149" s="109" t="str">
        <f>INDEX(Tableau1[Repere-Slot],MATCH(Tableau3[[#This Row],[ID-SLOT]],Tableau1[ID-SLOT],0))&amp;""</f>
        <v>S7</v>
      </c>
      <c r="AG149" s="109" t="str">
        <f>INDEX(Tableau2[Repere-Voie],MATCH(Tableau3[[#This Row],[ID-VOIE]],Tableau2[ID-Voie],0))&amp;""</f>
        <v>v11</v>
      </c>
      <c r="AH149" s="72" t="str">
        <f>Tableau3[[#This Row],[ID-API]]&amp; "." &amp;Tableau3[[#This Row],[ID-RACK]]&amp; "." &amp;Tableau3[[#This Row],[ID-SLOT]]</f>
        <v>1.2.7</v>
      </c>
      <c r="AI149" s="72" t="str">
        <f>INDEX(Tableau1[Ref-Carte],MATCH(Tableau3[[#This Row],[ID-RRS]],Tableau1[ID-RRS],0))</f>
        <v>SDI1602</v>
      </c>
      <c r="AJ149" s="72" t="str">
        <f t="array" ref="AJ149">IFERROR(INDEX(Tableau2[TS],MATCH(1,(Tableau2[Ref-Carte]=Tableau3[[#This Row],[Ref-Carte2]])*(Tableau2[ID-Voie]=Tableau3[[#This Row],[ID-VOIE]]),0)),"")</f>
        <v>ET</v>
      </c>
      <c r="AK149" s="72" t="str">
        <f>IFERROR(INDEX(Tableau2[TS],SUMPRODUCT((Tableau2[Ref-Carte]=Tableau3[[#This Row],[Ref-Carte2]])*(Tableau2[ID-Voie]=Tableau3[[#This Row],[ID-VOIE]])*ROW(Tableau2[TS]))-ROW(Tableau2[#Headers])),"")</f>
        <v>ET</v>
      </c>
      <c r="AL149" s="72" t="str">
        <f>Tableau3[[#This Row],[Ref-Carte2]]&amp;"/"&amp;Tableau3[[#This Row],[ID-VOIE]]</f>
        <v>SDI1602/11</v>
      </c>
      <c r="AM149" s="77" t="str">
        <f>INDEX(Tableau2[Borne],MATCH(Tableau3[[#This Row],[ID-CARTEVOIE]],Tableau2[ID-CARTEVOIE],0))&amp;""</f>
        <v>5A</v>
      </c>
      <c r="AN149" s="74" t="str">
        <f>Tableau3[[#This Row],[ID-API]]&amp;Tableau3[[#This Row],[ID-RACK]]&amp;Tableau3[[#This Row],[ID-SLOT]]&amp;Tableau3[[#This Row],[BORNE]]</f>
        <v>1275A</v>
      </c>
      <c r="AO149" s="1"/>
    </row>
    <row r="150" spans="1:41" ht="20.100000000000001" customHeight="1" thickTop="1" thickBot="1">
      <c r="A150" s="75"/>
      <c r="B150" s="76" t="str">
        <f>IFERROR(INDEX(Tableau4[Date],MATCH($A150,Tableau4[EVO],0)),"")</f>
        <v/>
      </c>
      <c r="C150" s="75" t="str">
        <f>IFERROR(INDEX(Tableau4[Designation],MATCH($A150,Tableau4[EVO],0)),"")</f>
        <v/>
      </c>
      <c r="D150" s="75"/>
      <c r="E150" s="79">
        <v>113</v>
      </c>
      <c r="F150" s="80">
        <v>15</v>
      </c>
      <c r="G150" s="102" t="str">
        <f>INDEX(Tableau8[Att1],MATCH(Tableau3[[#This Row],[ID-INS]],Tableau8[ID],0))&amp;""</f>
        <v>GR</v>
      </c>
      <c r="H150" s="102" t="str">
        <f>INDEX(Tableau8[Att2],MATCH(Tableau3[[#This Row],[ID-INS]],Tableau8[ID],0))&amp;""</f>
        <v>UTLR12</v>
      </c>
      <c r="I150" s="102" t="str">
        <f>INDEX(Tableau8[Att3],MATCH(Tableau3[[#This Row],[ID-INS]],Tableau8[ID],0))&amp;""</f>
        <v>UTL rouge IDP10/TRSD2-2/FRX4</v>
      </c>
      <c r="J150" s="102"/>
      <c r="K150" s="167" t="str">
        <f>INDEX(Tableau8[Nom du modele],MATCH(Tableau3[[#This Row],[ID-INS]],Tableau8[ID],0))&amp;""</f>
        <v>UTL</v>
      </c>
      <c r="L150" s="100" t="str">
        <f>INDEX(Tableau5[Att1],MATCH(Tableau3[[#This Row],[ID-SIG]],Tableau5[ID],0))&amp;""</f>
        <v>DmdOuv</v>
      </c>
      <c r="M150" s="100" t="str">
        <f>INDEX(Tableau5[Att2],MATCH(Tableau3[[#This Row],[ID-SIG]],Tableau5[ID],0))&amp;""</f>
        <v/>
      </c>
      <c r="N150" s="100" t="str">
        <f>INDEX(Tableau5[Att3],MATCH(Tableau3[[#This Row],[ID-SIG]],Tableau5[ID],0))&amp;""</f>
        <v/>
      </c>
      <c r="O150" s="100"/>
      <c r="P150" s="100" t="str">
        <f>INDEX(Tableau5[Description],MATCH(Tableau3[[#This Row],[ID-SIG]],Tableau5[ID],0))</f>
        <v>Demande d'ouverture venant UTL</v>
      </c>
      <c r="Q150" s="100"/>
      <c r="R150" s="104" t="str">
        <f>Tableau3[[#This Row],[Description]]</f>
        <v>Demande d'ouverture venant UTL</v>
      </c>
      <c r="U150" s="88">
        <v>1</v>
      </c>
      <c r="V150" s="88">
        <v>2</v>
      </c>
      <c r="W150" s="88">
        <v>7</v>
      </c>
      <c r="X150" s="88">
        <v>12</v>
      </c>
      <c r="Y150" s="40"/>
      <c r="Z150" s="166" t="str">
        <f>INDEX(Tableau2[TS],MATCH(Tableau3[[#This Row],[ID-CARTEVOIE]],Tableau2[ID-CARTEVOIE],0))</f>
        <v>ET</v>
      </c>
      <c r="AA150" s="81" t="s">
        <v>213</v>
      </c>
      <c r="AB150" s="226" t="str">
        <f>IFERROR(INDEX(Tableau5[Reserve],MATCH(Tableau3[[#This Row],[ID-SIG]],Tableau5[ID],0))&amp;"","")</f>
        <v/>
      </c>
      <c r="AC150" s="21"/>
      <c r="AD150" s="108" t="str">
        <f>INDEX(Tableau7[Repere],MATCH(Tableau3[[#This Row],[ID-API]],Tableau7[ID-API],0))&amp;""</f>
        <v>A1</v>
      </c>
      <c r="AE150" s="109" t="str">
        <f>INDEX(Tableau1[Repere-Rack],MATCH(Tableau3[[#This Row],[ID-RACK]],Tableau1[ID-RACK],0))&amp;""</f>
        <v>R2</v>
      </c>
      <c r="AF150" s="109" t="str">
        <f>INDEX(Tableau1[Repere-Slot],MATCH(Tableau3[[#This Row],[ID-SLOT]],Tableau1[ID-SLOT],0))&amp;""</f>
        <v>S7</v>
      </c>
      <c r="AG150" s="109" t="str">
        <f>INDEX(Tableau2[Repere-Voie],MATCH(Tableau3[[#This Row],[ID-VOIE]],Tableau2[ID-Voie],0))&amp;""</f>
        <v>v12</v>
      </c>
      <c r="AH150" s="72" t="str">
        <f>Tableau3[[#This Row],[ID-API]]&amp; "." &amp;Tableau3[[#This Row],[ID-RACK]]&amp; "." &amp;Tableau3[[#This Row],[ID-SLOT]]</f>
        <v>1.2.7</v>
      </c>
      <c r="AI150" s="72" t="str">
        <f>INDEX(Tableau1[Ref-Carte],MATCH(Tableau3[[#This Row],[ID-RRS]],Tableau1[ID-RRS],0))</f>
        <v>SDI1602</v>
      </c>
      <c r="AJ150" s="72" t="str">
        <f t="array" ref="AJ150">IFERROR(INDEX(Tableau2[TS],MATCH(1,(Tableau2[Ref-Carte]=Tableau3[[#This Row],[Ref-Carte2]])*(Tableau2[ID-Voie]=Tableau3[[#This Row],[ID-VOIE]]),0)),"")</f>
        <v>ET</v>
      </c>
      <c r="AK150" s="72" t="str">
        <f>IFERROR(INDEX(Tableau2[TS],SUMPRODUCT((Tableau2[Ref-Carte]=Tableau3[[#This Row],[Ref-Carte2]])*(Tableau2[ID-Voie]=Tableau3[[#This Row],[ID-VOIE]])*ROW(Tableau2[TS]))-ROW(Tableau2[#Headers])),"")</f>
        <v>ET</v>
      </c>
      <c r="AL150" s="72" t="str">
        <f>Tableau3[[#This Row],[Ref-Carte2]]&amp;"/"&amp;Tableau3[[#This Row],[ID-VOIE]]</f>
        <v>SDI1602/12</v>
      </c>
      <c r="AM150" s="77" t="str">
        <f>INDEX(Tableau2[Borne],MATCH(Tableau3[[#This Row],[ID-CARTEVOIE]],Tableau2[ID-CARTEVOIE],0))&amp;""</f>
        <v>6B</v>
      </c>
      <c r="AN150" s="74" t="str">
        <f>Tableau3[[#This Row],[ID-API]]&amp;Tableau3[[#This Row],[ID-RACK]]&amp;Tableau3[[#This Row],[ID-SLOT]]&amp;Tableau3[[#This Row],[BORNE]]</f>
        <v>1276B</v>
      </c>
      <c r="AO150" s="1"/>
    </row>
    <row r="151" spans="1:41" ht="20.100000000000001" customHeight="1" thickTop="1" thickBot="1">
      <c r="A151" s="75"/>
      <c r="B151" s="76" t="str">
        <f>IFERROR(INDEX(Tableau4[Date],MATCH($A151,Tableau4[EVO],0)),"")</f>
        <v/>
      </c>
      <c r="C151" s="75" t="str">
        <f>IFERROR(INDEX(Tableau4[Designation],MATCH($A151,Tableau4[EVO],0)),"")</f>
        <v/>
      </c>
      <c r="D151" s="75"/>
      <c r="E151" s="79">
        <v>119</v>
      </c>
      <c r="F151" s="80">
        <v>15</v>
      </c>
      <c r="G151" s="102" t="str">
        <f>INDEX(Tableau8[Att1],MATCH(Tableau3[[#This Row],[ID-INS]],Tableau8[ID],0))&amp;""</f>
        <v>B22</v>
      </c>
      <c r="H151" s="102" t="str">
        <f>INDEX(Tableau8[Att2],MATCH(Tableau3[[#This Row],[ID-INS]],Tableau8[ID],0))&amp;""</f>
        <v>UTLB6</v>
      </c>
      <c r="I151" s="102" t="str">
        <f>INDEX(Tableau8[Att3],MATCH(Tableau3[[#This Row],[ID-INS]],Tableau8[ID],0))&amp;""</f>
        <v>UTL bleue AUTP1/PMR1</v>
      </c>
      <c r="J151" s="102"/>
      <c r="K151" s="167" t="str">
        <f>INDEX(Tableau8[Nom du modele],MATCH(Tableau3[[#This Row],[ID-INS]],Tableau8[ID],0))&amp;""</f>
        <v>UTL</v>
      </c>
      <c r="L151" s="100" t="str">
        <f>INDEX(Tableau5[Att1],MATCH(Tableau3[[#This Row],[ID-SIG]],Tableau5[ID],0))&amp;""</f>
        <v>DmdOuv</v>
      </c>
      <c r="M151" s="100" t="str">
        <f>INDEX(Tableau5[Att2],MATCH(Tableau3[[#This Row],[ID-SIG]],Tableau5[ID],0))&amp;""</f>
        <v/>
      </c>
      <c r="N151" s="100" t="str">
        <f>INDEX(Tableau5[Att3],MATCH(Tableau3[[#This Row],[ID-SIG]],Tableau5[ID],0))&amp;""</f>
        <v/>
      </c>
      <c r="O151" s="100"/>
      <c r="P151" s="100" t="str">
        <f>INDEX(Tableau5[Description],MATCH(Tableau3[[#This Row],[ID-SIG]],Tableau5[ID],0))</f>
        <v>Demande d'ouverture venant UTL</v>
      </c>
      <c r="Q151" s="100"/>
      <c r="R151" s="104" t="str">
        <f>Tableau3[[#This Row],[Description]]</f>
        <v>Demande d'ouverture venant UTL</v>
      </c>
      <c r="U151" s="88">
        <v>1</v>
      </c>
      <c r="V151" s="88">
        <v>2</v>
      </c>
      <c r="W151" s="88">
        <v>7</v>
      </c>
      <c r="X151" s="88">
        <v>13</v>
      </c>
      <c r="Y151" s="40"/>
      <c r="Z151" s="166" t="str">
        <f>INDEX(Tableau2[TS],MATCH(Tableau3[[#This Row],[ID-CARTEVOIE]],Tableau2[ID-CARTEVOIE],0))</f>
        <v>ET</v>
      </c>
      <c r="AA151" s="81" t="s">
        <v>213</v>
      </c>
      <c r="AB151" s="226" t="str">
        <f>IFERROR(INDEX(Tableau5[Reserve],MATCH(Tableau3[[#This Row],[ID-SIG]],Tableau5[ID],0))&amp;"","")</f>
        <v/>
      </c>
      <c r="AC151" s="21"/>
      <c r="AD151" s="108" t="str">
        <f>INDEX(Tableau7[Repere],MATCH(Tableau3[[#This Row],[ID-API]],Tableau7[ID-API],0))&amp;""</f>
        <v>A1</v>
      </c>
      <c r="AE151" s="109" t="str">
        <f>INDEX(Tableau1[Repere-Rack],MATCH(Tableau3[[#This Row],[ID-RACK]],Tableau1[ID-RACK],0))&amp;""</f>
        <v>R2</v>
      </c>
      <c r="AF151" s="109" t="str">
        <f>INDEX(Tableau1[Repere-Slot],MATCH(Tableau3[[#This Row],[ID-SLOT]],Tableau1[ID-SLOT],0))&amp;""</f>
        <v>S7</v>
      </c>
      <c r="AG151" s="109" t="str">
        <f>INDEX(Tableau2[Repere-Voie],MATCH(Tableau3[[#This Row],[ID-VOIE]],Tableau2[ID-Voie],0))&amp;""</f>
        <v>v13</v>
      </c>
      <c r="AH151" s="72" t="str">
        <f>Tableau3[[#This Row],[ID-API]]&amp; "." &amp;Tableau3[[#This Row],[ID-RACK]]&amp; "." &amp;Tableau3[[#This Row],[ID-SLOT]]</f>
        <v>1.2.7</v>
      </c>
      <c r="AI151" s="72" t="str">
        <f>INDEX(Tableau1[Ref-Carte],MATCH(Tableau3[[#This Row],[ID-RRS]],Tableau1[ID-RRS],0))</f>
        <v>SDI1602</v>
      </c>
      <c r="AJ151" s="72" t="str">
        <f t="array" ref="AJ151">IFERROR(INDEX(Tableau2[TS],MATCH(1,(Tableau2[Ref-Carte]=Tableau3[[#This Row],[Ref-Carte2]])*(Tableau2[ID-Voie]=Tableau3[[#This Row],[ID-VOIE]]),0)),"")</f>
        <v>ET</v>
      </c>
      <c r="AK151" s="72" t="str">
        <f>IFERROR(INDEX(Tableau2[TS],SUMPRODUCT((Tableau2[Ref-Carte]=Tableau3[[#This Row],[Ref-Carte2]])*(Tableau2[ID-Voie]=Tableau3[[#This Row],[ID-VOIE]])*ROW(Tableau2[TS]))-ROW(Tableau2[#Headers])),"")</f>
        <v>ET</v>
      </c>
      <c r="AL151" s="72" t="str">
        <f>Tableau3[[#This Row],[Ref-Carte2]]&amp;"/"&amp;Tableau3[[#This Row],[ID-VOIE]]</f>
        <v>SDI1602/13</v>
      </c>
      <c r="AM151" s="77" t="str">
        <f>INDEX(Tableau2[Borne],MATCH(Tableau3[[#This Row],[ID-CARTEVOIE]],Tableau2[ID-CARTEVOIE],0))&amp;""</f>
        <v>6A</v>
      </c>
      <c r="AN151" s="74" t="str">
        <f>Tableau3[[#This Row],[ID-API]]&amp;Tableau3[[#This Row],[ID-RACK]]&amp;Tableau3[[#This Row],[ID-SLOT]]&amp;Tableau3[[#This Row],[BORNE]]</f>
        <v>1276A</v>
      </c>
      <c r="AO151" s="1"/>
    </row>
    <row r="152" spans="1:41" ht="20.100000000000001" customHeight="1" thickTop="1" thickBot="1">
      <c r="A152" s="110"/>
      <c r="B152" s="111" t="str">
        <f>IFERROR(INDEX(Tableau4[Date],MATCH($A152,Tableau4[EVO],0)),"")</f>
        <v/>
      </c>
      <c r="C152" s="112" t="str">
        <f>IFERROR(INDEX(Tableau4[Designation],MATCH($A152,Tableau4[EVO],0)),"")</f>
        <v/>
      </c>
      <c r="D152" s="110"/>
      <c r="E152" s="113">
        <v>120</v>
      </c>
      <c r="F152" s="114">
        <v>15</v>
      </c>
      <c r="G152" s="115" t="str">
        <f>INDEX(Tableau8[Att1],MATCH(Tableau3[[#This Row],[ID-INS]],Tableau8[ID],0))&amp;""</f>
        <v>B22</v>
      </c>
      <c r="H152" s="133" t="str">
        <f>INDEX(Tableau8[Att2],MATCH(Tableau3[[#This Row],[ID-INS]],Tableau8[ID],0))&amp;""</f>
        <v>UTLB7</v>
      </c>
      <c r="I152" s="115" t="str">
        <f>INDEX(Tableau8[Att3],MATCH(Tableau3[[#This Row],[ID-INS]],Tableau8[ID],0))&amp;""</f>
        <v>UTL bleue IDP1/PMR2</v>
      </c>
      <c r="J152" s="102"/>
      <c r="K152" s="167" t="str">
        <f>INDEX(Tableau8[Nom du modele],MATCH(Tableau3[[#This Row],[ID-INS]],Tableau8[ID],0))&amp;""</f>
        <v>UTL</v>
      </c>
      <c r="L152" s="116" t="str">
        <f>INDEX(Tableau5[Att1],MATCH(Tableau3[[#This Row],[ID-SIG]],Tableau5[ID],0))&amp;""</f>
        <v>DmdOuv</v>
      </c>
      <c r="M152" s="116" t="str">
        <f>INDEX(Tableau5[Att2],MATCH(Tableau3[[#This Row],[ID-SIG]],Tableau5[ID],0))&amp;""</f>
        <v/>
      </c>
      <c r="N152" s="116" t="str">
        <f>INDEX(Tableau5[Att3],MATCH(Tableau3[[#This Row],[ID-SIG]],Tableau5[ID],0))&amp;""</f>
        <v/>
      </c>
      <c r="O152" s="100"/>
      <c r="P152" s="116" t="str">
        <f>INDEX(Tableau5[Description],MATCH(Tableau3[[#This Row],[ID-SIG]],Tableau5[ID],0))</f>
        <v>Demande d'ouverture venant UTL</v>
      </c>
      <c r="Q152" s="100"/>
      <c r="R152" s="117" t="str">
        <f>Tableau3[[#This Row],[Description]]</f>
        <v>Demande d'ouverture venant UTL</v>
      </c>
      <c r="U152" s="88">
        <v>1</v>
      </c>
      <c r="V152" s="88">
        <v>2</v>
      </c>
      <c r="W152" s="88">
        <v>7</v>
      </c>
      <c r="X152" s="88">
        <v>14</v>
      </c>
      <c r="Y152" s="40"/>
      <c r="Z152" s="166" t="str">
        <f>INDEX(Tableau2[TS],MATCH(Tableau3[[#This Row],[ID-CARTEVOIE]],Tableau2[ID-CARTEVOIE],0))</f>
        <v>ET</v>
      </c>
      <c r="AA152" s="118" t="s">
        <v>213</v>
      </c>
      <c r="AB152" s="225" t="str">
        <f>IFERROR(INDEX(Tableau5[Reserve],MATCH(Tableau3[[#This Row],[ID-SIG]],Tableau5[ID],0))&amp;"","")</f>
        <v/>
      </c>
      <c r="AC152" s="119"/>
      <c r="AD152" s="120" t="str">
        <f>INDEX(Tableau7[Repere],MATCH(Tableau3[[#This Row],[ID-API]],Tableau7[ID-API],0))&amp;""</f>
        <v>A1</v>
      </c>
      <c r="AE152" s="121" t="str">
        <f>INDEX(Tableau1[Repere-Rack],MATCH(Tableau3[[#This Row],[ID-RACK]],Tableau1[ID-RACK],0))&amp;""</f>
        <v>R2</v>
      </c>
      <c r="AF152" s="121" t="str">
        <f>INDEX(Tableau1[Repere-Slot],MATCH(Tableau3[[#This Row],[ID-SLOT]],Tableau1[ID-SLOT],0))&amp;""</f>
        <v>S7</v>
      </c>
      <c r="AG152" s="121" t="str">
        <f>INDEX(Tableau2[Repere-Voie],MATCH(Tableau3[[#This Row],[ID-VOIE]],Tableau2[ID-Voie],0))&amp;""</f>
        <v>v14</v>
      </c>
      <c r="AH152" s="122" t="str">
        <f>Tableau3[[#This Row],[ID-API]]&amp; "." &amp;Tableau3[[#This Row],[ID-RACK]]&amp; "." &amp;Tableau3[[#This Row],[ID-SLOT]]</f>
        <v>1.2.7</v>
      </c>
      <c r="AI152" s="72" t="str">
        <f>INDEX(Tableau1[Ref-Carte],MATCH(Tableau3[[#This Row],[ID-RRS]],Tableau1[ID-RRS],0))</f>
        <v>SDI1602</v>
      </c>
      <c r="AJ152" s="72" t="str">
        <f t="array" ref="AJ152">IFERROR(INDEX(Tableau2[TS],MATCH(1,(Tableau2[Ref-Carte]=Tableau3[[#This Row],[Ref-Carte2]])*(Tableau2[ID-Voie]=Tableau3[[#This Row],[ID-VOIE]]),0)),"")</f>
        <v>ET</v>
      </c>
      <c r="AK152" s="72" t="str">
        <f>IFERROR(INDEX(Tableau2[TS],SUMPRODUCT((Tableau2[Ref-Carte]=Tableau3[[#This Row],[Ref-Carte2]])*(Tableau2[ID-Voie]=Tableau3[[#This Row],[ID-VOIE]])*ROW(Tableau2[TS]))-ROW(Tableau2[#Headers])),"")</f>
        <v>ET</v>
      </c>
      <c r="AL152" s="122" t="str">
        <f>Tableau3[[#This Row],[Ref-Carte2]]&amp;"/"&amp;Tableau3[[#This Row],[ID-VOIE]]</f>
        <v>SDI1602/14</v>
      </c>
      <c r="AM152" s="123" t="str">
        <f>INDEX(Tableau2[Borne],MATCH(Tableau3[[#This Row],[ID-CARTEVOIE]],Tableau2[ID-CARTEVOIE],0))&amp;""</f>
        <v>7B</v>
      </c>
      <c r="AN152" s="124" t="str">
        <f>Tableau3[[#This Row],[ID-API]]&amp;Tableau3[[#This Row],[ID-RACK]]&amp;Tableau3[[#This Row],[ID-SLOT]]&amp;Tableau3[[#This Row],[BORNE]]</f>
        <v>1277B</v>
      </c>
      <c r="AO152" s="125"/>
    </row>
    <row r="153" spans="1:41" ht="20.100000000000001" customHeight="1" thickTop="1" thickBot="1">
      <c r="A153" s="75"/>
      <c r="B153" s="76" t="str">
        <f>IFERROR(INDEX(Tableau4[Date],MATCH($A153,Tableau4[EVO],0)),"")</f>
        <v/>
      </c>
      <c r="C153" s="75" t="str">
        <f>IFERROR(INDEX(Tableau4[Designation],MATCH($A153,Tableau4[EVO],0)),"")</f>
        <v/>
      </c>
      <c r="D153" s="75"/>
      <c r="E153" s="79">
        <v>121</v>
      </c>
      <c r="F153" s="80">
        <v>15</v>
      </c>
      <c r="G153" s="102" t="str">
        <f>INDEX(Tableau8[Att1],MATCH(Tableau3[[#This Row],[ID-INS]],Tableau8[ID],0))&amp;""</f>
        <v>B22</v>
      </c>
      <c r="H153" s="102" t="str">
        <f>INDEX(Tableau8[Att2],MATCH(Tableau3[[#This Row],[ID-INS]],Tableau8[ID],0))&amp;""</f>
        <v>UTLB8_1</v>
      </c>
      <c r="I153" s="102" t="str">
        <f>INDEX(Tableau8[Att3],MATCH(Tableau3[[#This Row],[ID-INS]],Tableau8[ID],0))&amp;""</f>
        <v>UTL bleue AUTP2/TRSD3-1/FRX5</v>
      </c>
      <c r="J153" s="102"/>
      <c r="K153" s="167" t="str">
        <f>INDEX(Tableau8[Nom du modele],MATCH(Tableau3[[#This Row],[ID-INS]],Tableau8[ID],0))&amp;""</f>
        <v>UTL</v>
      </c>
      <c r="L153" s="100" t="str">
        <f>INDEX(Tableau5[Att1],MATCH(Tableau3[[#This Row],[ID-SIG]],Tableau5[ID],0))&amp;""</f>
        <v>DmdOuv</v>
      </c>
      <c r="M153" s="100" t="str">
        <f>INDEX(Tableau5[Att2],MATCH(Tableau3[[#This Row],[ID-SIG]],Tableau5[ID],0))&amp;""</f>
        <v/>
      </c>
      <c r="N153" s="100" t="str">
        <f>INDEX(Tableau5[Att3],MATCH(Tableau3[[#This Row],[ID-SIG]],Tableau5[ID],0))&amp;""</f>
        <v/>
      </c>
      <c r="O153" s="100"/>
      <c r="P153" s="100" t="str">
        <f>INDEX(Tableau5[Description],MATCH(Tableau3[[#This Row],[ID-SIG]],Tableau5[ID],0))</f>
        <v>Demande d'ouverture venant UTL</v>
      </c>
      <c r="Q153" s="100"/>
      <c r="R153" s="104" t="str">
        <f>Tableau3[[#This Row],[Description]]</f>
        <v>Demande d'ouverture venant UTL</v>
      </c>
      <c r="U153" s="88">
        <v>1</v>
      </c>
      <c r="V153" s="88">
        <v>2</v>
      </c>
      <c r="W153" s="88">
        <v>7</v>
      </c>
      <c r="X153" s="88">
        <v>15</v>
      </c>
      <c r="Y153" s="40"/>
      <c r="Z153" s="166" t="str">
        <f>INDEX(Tableau2[TS],MATCH(Tableau3[[#This Row],[ID-CARTEVOIE]],Tableau2[ID-CARTEVOIE],0))</f>
        <v>ET</v>
      </c>
      <c r="AA153" s="81" t="s">
        <v>213</v>
      </c>
      <c r="AB153" s="226" t="str">
        <f>IFERROR(INDEX(Tableau5[Reserve],MATCH(Tableau3[[#This Row],[ID-SIG]],Tableau5[ID],0))&amp;"","")</f>
        <v/>
      </c>
      <c r="AC153" s="21"/>
      <c r="AD153" s="108" t="str">
        <f>INDEX(Tableau7[Repere],MATCH(Tableau3[[#This Row],[ID-API]],Tableau7[ID-API],0))&amp;""</f>
        <v>A1</v>
      </c>
      <c r="AE153" s="109" t="str">
        <f>INDEX(Tableau1[Repere-Rack],MATCH(Tableau3[[#This Row],[ID-RACK]],Tableau1[ID-RACK],0))&amp;""</f>
        <v>R2</v>
      </c>
      <c r="AF153" s="109" t="str">
        <f>INDEX(Tableau1[Repere-Slot],MATCH(Tableau3[[#This Row],[ID-SLOT]],Tableau1[ID-SLOT],0))&amp;""</f>
        <v>S7</v>
      </c>
      <c r="AG153" s="109" t="str">
        <f>INDEX(Tableau2[Repere-Voie],MATCH(Tableau3[[#This Row],[ID-VOIE]],Tableau2[ID-Voie],0))&amp;""</f>
        <v>v15</v>
      </c>
      <c r="AH153" s="72" t="str">
        <f>Tableau3[[#This Row],[ID-API]]&amp; "." &amp;Tableau3[[#This Row],[ID-RACK]]&amp; "." &amp;Tableau3[[#This Row],[ID-SLOT]]</f>
        <v>1.2.7</v>
      </c>
      <c r="AI153" s="72" t="str">
        <f>INDEX(Tableau1[Ref-Carte],MATCH(Tableau3[[#This Row],[ID-RRS]],Tableau1[ID-RRS],0))</f>
        <v>SDI1602</v>
      </c>
      <c r="AJ153" s="72" t="str">
        <f t="array" ref="AJ153">IFERROR(INDEX(Tableau2[TS],MATCH(1,(Tableau2[Ref-Carte]=Tableau3[[#This Row],[Ref-Carte2]])*(Tableau2[ID-Voie]=Tableau3[[#This Row],[ID-VOIE]]),0)),"")</f>
        <v>ET</v>
      </c>
      <c r="AK153" s="72" t="str">
        <f>IFERROR(INDEX(Tableau2[TS],SUMPRODUCT((Tableau2[Ref-Carte]=Tableau3[[#This Row],[Ref-Carte2]])*(Tableau2[ID-Voie]=Tableau3[[#This Row],[ID-VOIE]])*ROW(Tableau2[TS]))-ROW(Tableau2[#Headers])),"")</f>
        <v>ET</v>
      </c>
      <c r="AL153" s="72" t="str">
        <f>Tableau3[[#This Row],[Ref-Carte2]]&amp;"/"&amp;Tableau3[[#This Row],[ID-VOIE]]</f>
        <v>SDI1602/15</v>
      </c>
      <c r="AM153" s="77" t="str">
        <f>INDEX(Tableau2[Borne],MATCH(Tableau3[[#This Row],[ID-CARTEVOIE]],Tableau2[ID-CARTEVOIE],0))&amp;""</f>
        <v>7A</v>
      </c>
      <c r="AN153" s="74" t="str">
        <f>Tableau3[[#This Row],[ID-API]]&amp;Tableau3[[#This Row],[ID-RACK]]&amp;Tableau3[[#This Row],[ID-SLOT]]&amp;Tableau3[[#This Row],[BORNE]]</f>
        <v>1277A</v>
      </c>
      <c r="AO153" s="1"/>
    </row>
    <row r="154" spans="1:41" ht="20.100000000000001" customHeight="1" thickTop="1" thickBot="1">
      <c r="A154" s="75"/>
      <c r="B154" s="76" t="str">
        <f>IFERROR(INDEX(Tableau4[Date],MATCH($A154,Tableau4[EVO],0)),"")</f>
        <v/>
      </c>
      <c r="C154" s="75" t="str">
        <f>IFERROR(INDEX(Tableau4[Designation],MATCH($A154,Tableau4[EVO],0)),"")</f>
        <v/>
      </c>
      <c r="D154" s="75"/>
      <c r="E154" s="79">
        <v>122</v>
      </c>
      <c r="F154" s="80">
        <v>15</v>
      </c>
      <c r="G154" s="102" t="str">
        <f>INDEX(Tableau8[Att1],MATCH(Tableau3[[#This Row],[ID-INS]],Tableau8[ID],0))&amp;""</f>
        <v>B22</v>
      </c>
      <c r="H154" s="102" t="str">
        <f>INDEX(Tableau8[Att2],MATCH(Tableau3[[#This Row],[ID-INS]],Tableau8[ID],0))&amp;""</f>
        <v>UTLB8_2</v>
      </c>
      <c r="I154" s="102" t="str">
        <f>INDEX(Tableau8[Att3],MATCH(Tableau3[[#This Row],[ID-INS]],Tableau8[ID],0))&amp;""</f>
        <v>UTL bleue IDP11/TRSD3-1/FRX5</v>
      </c>
      <c r="J154" s="102"/>
      <c r="K154" s="167" t="str">
        <f>INDEX(Tableau8[Nom du modele],MATCH(Tableau3[[#This Row],[ID-INS]],Tableau8[ID],0))&amp;""</f>
        <v>UTL</v>
      </c>
      <c r="L154" s="100" t="str">
        <f>INDEX(Tableau5[Att1],MATCH(Tableau3[[#This Row],[ID-SIG]],Tableau5[ID],0))&amp;""</f>
        <v>DmdOuv</v>
      </c>
      <c r="M154" s="100" t="str">
        <f>INDEX(Tableau5[Att2],MATCH(Tableau3[[#This Row],[ID-SIG]],Tableau5[ID],0))&amp;""</f>
        <v/>
      </c>
      <c r="N154" s="100" t="str">
        <f>INDEX(Tableau5[Att3],MATCH(Tableau3[[#This Row],[ID-SIG]],Tableau5[ID],0))&amp;""</f>
        <v/>
      </c>
      <c r="O154" s="100"/>
      <c r="P154" s="100" t="str">
        <f>INDEX(Tableau5[Description],MATCH(Tableau3[[#This Row],[ID-SIG]],Tableau5[ID],0))</f>
        <v>Demande d'ouverture venant UTL</v>
      </c>
      <c r="Q154" s="100"/>
      <c r="R154" s="104" t="str">
        <f>Tableau3[[#This Row],[Description]]</f>
        <v>Demande d'ouverture venant UTL</v>
      </c>
      <c r="U154" s="88">
        <v>1</v>
      </c>
      <c r="V154" s="88">
        <v>2</v>
      </c>
      <c r="W154" s="88">
        <v>8</v>
      </c>
      <c r="X154" s="88">
        <v>0</v>
      </c>
      <c r="Y154" s="40"/>
      <c r="Z154" s="166" t="str">
        <f>INDEX(Tableau2[TS],MATCH(Tableau3[[#This Row],[ID-CARTEVOIE]],Tableau2[ID-CARTEVOIE],0))</f>
        <v>ET</v>
      </c>
      <c r="AA154" s="81" t="s">
        <v>213</v>
      </c>
      <c r="AB154" s="226" t="str">
        <f>IFERROR(INDEX(Tableau5[Reserve],MATCH(Tableau3[[#This Row],[ID-SIG]],Tableau5[ID],0))&amp;"","")</f>
        <v/>
      </c>
      <c r="AC154" s="21"/>
      <c r="AD154" s="108" t="str">
        <f>INDEX(Tableau7[Repere],MATCH(Tableau3[[#This Row],[ID-API]],Tableau7[ID-API],0))&amp;""</f>
        <v>A1</v>
      </c>
      <c r="AE154" s="109" t="str">
        <f>INDEX(Tableau1[Repere-Rack],MATCH(Tableau3[[#This Row],[ID-RACK]],Tableau1[ID-RACK],0))&amp;""</f>
        <v>R2</v>
      </c>
      <c r="AF154" s="109" t="str">
        <f>INDEX(Tableau1[Repere-Slot],MATCH(Tableau3[[#This Row],[ID-SLOT]],Tableau1[ID-SLOT],0))&amp;""</f>
        <v>S8</v>
      </c>
      <c r="AG154" s="109" t="str">
        <f>INDEX(Tableau2[Repere-Voie],MATCH(Tableau3[[#This Row],[ID-VOIE]],Tableau2[ID-Voie],0))&amp;""</f>
        <v>v0</v>
      </c>
      <c r="AH154" s="72" t="str">
        <f>Tableau3[[#This Row],[ID-API]]&amp; "." &amp;Tableau3[[#This Row],[ID-RACK]]&amp; "." &amp;Tableau3[[#This Row],[ID-SLOT]]</f>
        <v>1.2.8</v>
      </c>
      <c r="AI154" s="72" t="str">
        <f>INDEX(Tableau1[Ref-Carte],MATCH(Tableau3[[#This Row],[ID-RRS]],Tableau1[ID-RRS],0))</f>
        <v>SDI1602</v>
      </c>
      <c r="AJ154" s="72" t="str">
        <f t="array" ref="AJ154">IFERROR(INDEX(Tableau2[TS],MATCH(1,(Tableau2[Ref-Carte]=Tableau3[[#This Row],[Ref-Carte2]])*(Tableau2[ID-Voie]=Tableau3[[#This Row],[ID-VOIE]]),0)),"")</f>
        <v>ET</v>
      </c>
      <c r="AK154" s="72" t="str">
        <f>IFERROR(INDEX(Tableau2[TS],SUMPRODUCT((Tableau2[Ref-Carte]=Tableau3[[#This Row],[Ref-Carte2]])*(Tableau2[ID-Voie]=Tableau3[[#This Row],[ID-VOIE]])*ROW(Tableau2[TS]))-ROW(Tableau2[#Headers])),"")</f>
        <v>ET</v>
      </c>
      <c r="AL154" s="72" t="str">
        <f>Tableau3[[#This Row],[Ref-Carte2]]&amp;"/"&amp;Tableau3[[#This Row],[ID-VOIE]]</f>
        <v>SDI1602/0</v>
      </c>
      <c r="AM154" s="77" t="str">
        <f>INDEX(Tableau2[Borne],MATCH(Tableau3[[#This Row],[ID-CARTEVOIE]],Tableau2[ID-CARTEVOIE],0))&amp;""</f>
        <v>0B</v>
      </c>
      <c r="AN154" s="74" t="str">
        <f>Tableau3[[#This Row],[ID-API]]&amp;Tableau3[[#This Row],[ID-RACK]]&amp;Tableau3[[#This Row],[ID-SLOT]]&amp;Tableau3[[#This Row],[BORNE]]</f>
        <v>1280B</v>
      </c>
      <c r="AO154" s="1"/>
    </row>
    <row r="155" spans="1:41" ht="20.100000000000001" customHeight="1" thickTop="1" thickBot="1">
      <c r="A155" s="75"/>
      <c r="B155" s="76" t="str">
        <f>IFERROR(INDEX(Tableau4[Date],MATCH($A155,Tableau4[EVO],0)),"")</f>
        <v/>
      </c>
      <c r="C155" s="75" t="str">
        <f>IFERROR(INDEX(Tableau4[Designation],MATCH($A155,Tableau4[EVO],0)),"")</f>
        <v/>
      </c>
      <c r="D155" s="75"/>
      <c r="E155" s="79">
        <v>131</v>
      </c>
      <c r="F155" s="80">
        <v>15</v>
      </c>
      <c r="G155" s="102" t="str">
        <f>INDEX(Tableau8[Att1],MATCH(Tableau3[[#This Row],[ID-INS]],Tableau8[ID],0))&amp;""</f>
        <v>B22</v>
      </c>
      <c r="H155" s="102" t="str">
        <f>INDEX(Tableau8[Att2],MATCH(Tableau3[[#This Row],[ID-INS]],Tableau8[ID],0))&amp;""</f>
        <v>UTLB17</v>
      </c>
      <c r="I155" s="102" t="str">
        <f>INDEX(Tableau8[Att3],MATCH(Tableau3[[#This Row],[ID-INS]],Tableau8[ID],0))&amp;""</f>
        <v>UTL bleue Porte Vigie</v>
      </c>
      <c r="J155" s="102"/>
      <c r="K155" s="167" t="str">
        <f>INDEX(Tableau8[Nom du modele],MATCH(Tableau3[[#This Row],[ID-INS]],Tableau8[ID],0))&amp;""</f>
        <v>UTL</v>
      </c>
      <c r="L155" s="100" t="str">
        <f>INDEX(Tableau5[Att1],MATCH(Tableau3[[#This Row],[ID-SIG]],Tableau5[ID],0))&amp;""</f>
        <v>DmdOuv</v>
      </c>
      <c r="M155" s="100" t="str">
        <f>INDEX(Tableau5[Att2],MATCH(Tableau3[[#This Row],[ID-SIG]],Tableau5[ID],0))&amp;""</f>
        <v/>
      </c>
      <c r="N155" s="100" t="str">
        <f>INDEX(Tableau5[Att3],MATCH(Tableau3[[#This Row],[ID-SIG]],Tableau5[ID],0))&amp;""</f>
        <v/>
      </c>
      <c r="O155" s="100"/>
      <c r="P155" s="100" t="str">
        <f>INDEX(Tableau5[Description],MATCH(Tableau3[[#This Row],[ID-SIG]],Tableau5[ID],0))</f>
        <v>Demande d'ouverture venant UTL</v>
      </c>
      <c r="Q155" s="100"/>
      <c r="R155" s="104" t="str">
        <f>Tableau3[[#This Row],[Description]]</f>
        <v>Demande d'ouverture venant UTL</v>
      </c>
      <c r="U155" s="88">
        <v>1</v>
      </c>
      <c r="V155" s="88">
        <v>2</v>
      </c>
      <c r="W155" s="88">
        <v>8</v>
      </c>
      <c r="X155" s="88">
        <v>1</v>
      </c>
      <c r="Y155" s="40"/>
      <c r="Z155" s="166" t="str">
        <f>INDEX(Tableau2[TS],MATCH(Tableau3[[#This Row],[ID-CARTEVOIE]],Tableau2[ID-CARTEVOIE],0))</f>
        <v>ET</v>
      </c>
      <c r="AA155" s="81" t="s">
        <v>213</v>
      </c>
      <c r="AB155" s="226" t="str">
        <f>IFERROR(INDEX(Tableau5[Reserve],MATCH(Tableau3[[#This Row],[ID-SIG]],Tableau5[ID],0))&amp;"","")</f>
        <v/>
      </c>
      <c r="AC155" s="21"/>
      <c r="AD155" s="108" t="str">
        <f>INDEX(Tableau7[Repere],MATCH(Tableau3[[#This Row],[ID-API]],Tableau7[ID-API],0))&amp;""</f>
        <v>A1</v>
      </c>
      <c r="AE155" s="109" t="str">
        <f>INDEX(Tableau1[Repere-Rack],MATCH(Tableau3[[#This Row],[ID-RACK]],Tableau1[ID-RACK],0))&amp;""</f>
        <v>R2</v>
      </c>
      <c r="AF155" s="109" t="str">
        <f>INDEX(Tableau1[Repere-Slot],MATCH(Tableau3[[#This Row],[ID-SLOT]],Tableau1[ID-SLOT],0))&amp;""</f>
        <v>S8</v>
      </c>
      <c r="AG155" s="109" t="str">
        <f>INDEX(Tableau2[Repere-Voie],MATCH(Tableau3[[#This Row],[ID-VOIE]],Tableau2[ID-Voie],0))&amp;""</f>
        <v>v1</v>
      </c>
      <c r="AH155" s="72" t="str">
        <f>Tableau3[[#This Row],[ID-API]]&amp; "." &amp;Tableau3[[#This Row],[ID-RACK]]&amp; "." &amp;Tableau3[[#This Row],[ID-SLOT]]</f>
        <v>1.2.8</v>
      </c>
      <c r="AI155" s="72" t="str">
        <f>INDEX(Tableau1[Ref-Carte],MATCH(Tableau3[[#This Row],[ID-RRS]],Tableau1[ID-RRS],0))</f>
        <v>SDI1602</v>
      </c>
      <c r="AJ155" s="72" t="str">
        <f t="array" ref="AJ155">IFERROR(INDEX(Tableau2[TS],MATCH(1,(Tableau2[Ref-Carte]=Tableau3[[#This Row],[Ref-Carte2]])*(Tableau2[ID-Voie]=Tableau3[[#This Row],[ID-VOIE]]),0)),"")</f>
        <v>ET</v>
      </c>
      <c r="AK155" s="72" t="str">
        <f>IFERROR(INDEX(Tableau2[TS],SUMPRODUCT((Tableau2[Ref-Carte]=Tableau3[[#This Row],[Ref-Carte2]])*(Tableau2[ID-Voie]=Tableau3[[#This Row],[ID-VOIE]])*ROW(Tableau2[TS]))-ROW(Tableau2[#Headers])),"")</f>
        <v>ET</v>
      </c>
      <c r="AL155" s="72" t="str">
        <f>Tableau3[[#This Row],[Ref-Carte2]]&amp;"/"&amp;Tableau3[[#This Row],[ID-VOIE]]</f>
        <v>SDI1602/1</v>
      </c>
      <c r="AM155" s="77" t="str">
        <f>INDEX(Tableau2[Borne],MATCH(Tableau3[[#This Row],[ID-CARTEVOIE]],Tableau2[ID-CARTEVOIE],0))&amp;""</f>
        <v>0A</v>
      </c>
      <c r="AN155" s="74" t="str">
        <f>Tableau3[[#This Row],[ID-API]]&amp;Tableau3[[#This Row],[ID-RACK]]&amp;Tableau3[[#This Row],[ID-SLOT]]&amp;Tableau3[[#This Row],[BORNE]]</f>
        <v>1280A</v>
      </c>
      <c r="AO155" s="1"/>
    </row>
    <row r="156" spans="1:41" ht="20.100000000000001" customHeight="1" thickTop="1" thickBot="1">
      <c r="A156" s="75"/>
      <c r="B156" s="76" t="str">
        <f>IFERROR(INDEX(Tableau4[Date],MATCH($A156,Tableau4[EVO],0)),"")</f>
        <v/>
      </c>
      <c r="C156" s="75" t="str">
        <f>IFERROR(INDEX(Tableau4[Designation],MATCH($A156,Tableau4[EVO],0)),"")</f>
        <v/>
      </c>
      <c r="D156" s="75"/>
      <c r="E156" s="79">
        <v>137</v>
      </c>
      <c r="F156" s="80">
        <v>10</v>
      </c>
      <c r="G156" s="102" t="str">
        <f>INDEX(Tableau8[Att1],MATCH(Tableau3[[#This Row],[ID-INS]],Tableau8[ID],0))&amp;""</f>
        <v>B22</v>
      </c>
      <c r="H156" s="102" t="str">
        <f>INDEX(Tableau8[Att2],MATCH(Tableau3[[#This Row],[ID-INS]],Tableau8[ID],0))&amp;""</f>
        <v>CORA6</v>
      </c>
      <c r="I156" s="102" t="str">
        <f>INDEX(Tableau8[Att3],MATCH(Tableau3[[#This Row],[ID-INS]],Tableau8[ID],0))&amp;""</f>
        <v>CORA Zone 6</v>
      </c>
      <c r="J156" s="102"/>
      <c r="K156" s="167" t="str">
        <f>INDEX(Tableau8[Nom du modele],MATCH(Tableau3[[#This Row],[ID-INS]],Tableau8[ID],0))&amp;""</f>
        <v>CORA</v>
      </c>
      <c r="L156" s="100" t="str">
        <f>INDEX(Tableau5[Att1],MATCH(Tableau3[[#This Row],[ID-SIG]],Tableau5[ID],0))&amp;""</f>
        <v>Detect</v>
      </c>
      <c r="M156" s="100" t="str">
        <f>INDEX(Tableau5[Att2],MATCH(Tableau3[[#This Row],[ID-SIG]],Tableau5[ID],0))&amp;""</f>
        <v/>
      </c>
      <c r="N156" s="100" t="str">
        <f>INDEX(Tableau5[Att3],MATCH(Tableau3[[#This Row],[ID-SIG]],Tableau5[ID],0))&amp;""</f>
        <v/>
      </c>
      <c r="O156" s="100"/>
      <c r="P156" s="100" t="str">
        <f>INDEX(Tableau5[Description],MATCH(Tableau3[[#This Row],[ID-SIG]],Tableau5[ID],0))</f>
        <v>Détection</v>
      </c>
      <c r="Q156" s="100"/>
      <c r="R156" s="104" t="str">
        <f>Tableau3[[#This Row],[Description]]</f>
        <v>Détection</v>
      </c>
      <c r="U156" s="88">
        <v>1</v>
      </c>
      <c r="V156" s="88">
        <v>2</v>
      </c>
      <c r="W156" s="88">
        <v>8</v>
      </c>
      <c r="X156" s="88">
        <v>2</v>
      </c>
      <c r="Y156" s="40"/>
      <c r="Z156" s="166" t="str">
        <f>INDEX(Tableau2[TS],MATCH(Tableau3[[#This Row],[ID-CARTEVOIE]],Tableau2[ID-CARTEVOIE],0))</f>
        <v>ET</v>
      </c>
      <c r="AA156" s="81" t="s">
        <v>213</v>
      </c>
      <c r="AB156" s="226" t="str">
        <f>IFERROR(INDEX(Tableau5[Reserve],MATCH(Tableau3[[#This Row],[ID-SIG]],Tableau5[ID],0))&amp;"","")</f>
        <v/>
      </c>
      <c r="AC156" s="21"/>
      <c r="AD156" s="108" t="str">
        <f>INDEX(Tableau7[Repere],MATCH(Tableau3[[#This Row],[ID-API]],Tableau7[ID-API],0))&amp;""</f>
        <v>A1</v>
      </c>
      <c r="AE156" s="109" t="str">
        <f>INDEX(Tableau1[Repere-Rack],MATCH(Tableau3[[#This Row],[ID-RACK]],Tableau1[ID-RACK],0))&amp;""</f>
        <v>R2</v>
      </c>
      <c r="AF156" s="109" t="str">
        <f>INDEX(Tableau1[Repere-Slot],MATCH(Tableau3[[#This Row],[ID-SLOT]],Tableau1[ID-SLOT],0))&amp;""</f>
        <v>S8</v>
      </c>
      <c r="AG156" s="109" t="str">
        <f>INDEX(Tableau2[Repere-Voie],MATCH(Tableau3[[#This Row],[ID-VOIE]],Tableau2[ID-Voie],0))&amp;""</f>
        <v>v2</v>
      </c>
      <c r="AH156" s="72" t="str">
        <f>Tableau3[[#This Row],[ID-API]]&amp; "." &amp;Tableau3[[#This Row],[ID-RACK]]&amp; "." &amp;Tableau3[[#This Row],[ID-SLOT]]</f>
        <v>1.2.8</v>
      </c>
      <c r="AI156" s="72" t="str">
        <f>INDEX(Tableau1[Ref-Carte],MATCH(Tableau3[[#This Row],[ID-RRS]],Tableau1[ID-RRS],0))</f>
        <v>SDI1602</v>
      </c>
      <c r="AJ156" s="72" t="str">
        <f t="array" ref="AJ156">IFERROR(INDEX(Tableau2[TS],MATCH(1,(Tableau2[Ref-Carte]=Tableau3[[#This Row],[Ref-Carte2]])*(Tableau2[ID-Voie]=Tableau3[[#This Row],[ID-VOIE]]),0)),"")</f>
        <v>ET</v>
      </c>
      <c r="AK156" s="72" t="str">
        <f>IFERROR(INDEX(Tableau2[TS],SUMPRODUCT((Tableau2[Ref-Carte]=Tableau3[[#This Row],[Ref-Carte2]])*(Tableau2[ID-Voie]=Tableau3[[#This Row],[ID-VOIE]])*ROW(Tableau2[TS]))-ROW(Tableau2[#Headers])),"")</f>
        <v>ET</v>
      </c>
      <c r="AL156" s="72" t="str">
        <f>Tableau3[[#This Row],[Ref-Carte2]]&amp;"/"&amp;Tableau3[[#This Row],[ID-VOIE]]</f>
        <v>SDI1602/2</v>
      </c>
      <c r="AM156" s="77" t="str">
        <f>INDEX(Tableau2[Borne],MATCH(Tableau3[[#This Row],[ID-CARTEVOIE]],Tableau2[ID-CARTEVOIE],0))&amp;""</f>
        <v>1B</v>
      </c>
      <c r="AN156" s="74" t="str">
        <f>Tableau3[[#This Row],[ID-API]]&amp;Tableau3[[#This Row],[ID-RACK]]&amp;Tableau3[[#This Row],[ID-SLOT]]&amp;Tableau3[[#This Row],[BORNE]]</f>
        <v>1281B</v>
      </c>
      <c r="AO156" s="1"/>
    </row>
    <row r="157" spans="1:41" ht="20.100000000000001" customHeight="1" thickTop="1" thickBot="1">
      <c r="A157" s="75"/>
      <c r="B157" s="76" t="str">
        <f>IFERROR(INDEX(Tableau4[Date],MATCH($A157,Tableau4[EVO],0)),"")</f>
        <v/>
      </c>
      <c r="C157" s="75" t="str">
        <f>IFERROR(INDEX(Tableau4[Designation],MATCH($A157,Tableau4[EVO],0)),"")</f>
        <v/>
      </c>
      <c r="D157" s="75"/>
      <c r="E157" s="79">
        <v>137</v>
      </c>
      <c r="F157" s="80">
        <v>11</v>
      </c>
      <c r="G157" s="102" t="str">
        <f>INDEX(Tableau8[Att1],MATCH(Tableau3[[#This Row],[ID-INS]],Tableau8[ID],0))&amp;""</f>
        <v>B22</v>
      </c>
      <c r="H157" s="102" t="str">
        <f>INDEX(Tableau8[Att2],MATCH(Tableau3[[#This Row],[ID-INS]],Tableau8[ID],0))&amp;""</f>
        <v>CORA6</v>
      </c>
      <c r="I157" s="102" t="str">
        <f>INDEX(Tableau8[Att3],MATCH(Tableau3[[#This Row],[ID-INS]],Tableau8[ID],0))&amp;""</f>
        <v>CORA Zone 6</v>
      </c>
      <c r="J157" s="102"/>
      <c r="K157" s="167" t="str">
        <f>INDEX(Tableau8[Nom du modele],MATCH(Tableau3[[#This Row],[ID-INS]],Tableau8[ID],0))&amp;""</f>
        <v>CORA</v>
      </c>
      <c r="L157" s="100" t="str">
        <f>INDEX(Tableau5[Att1],MATCH(Tableau3[[#This Row],[ID-SIG]],Tableau5[ID],0))&amp;""</f>
        <v>Def</v>
      </c>
      <c r="M157" s="100" t="str">
        <f>INDEX(Tableau5[Att2],MATCH(Tableau3[[#This Row],[ID-SIG]],Tableau5[ID],0))&amp;""</f>
        <v/>
      </c>
      <c r="N157" s="100" t="str">
        <f>INDEX(Tableau5[Att3],MATCH(Tableau3[[#This Row],[ID-SIG]],Tableau5[ID],0))&amp;""</f>
        <v/>
      </c>
      <c r="O157" s="100"/>
      <c r="P157" s="100" t="str">
        <f>INDEX(Tableau5[Description],MATCH(Tableau3[[#This Row],[ID-SIG]],Tableau5[ID],0))</f>
        <v>Défaut</v>
      </c>
      <c r="Q157" s="100"/>
      <c r="R157" s="104" t="str">
        <f>Tableau3[[#This Row],[Description]]</f>
        <v>Défaut</v>
      </c>
      <c r="U157" s="88">
        <v>1</v>
      </c>
      <c r="V157" s="88">
        <v>2</v>
      </c>
      <c r="W157" s="88">
        <v>8</v>
      </c>
      <c r="X157" s="88">
        <v>3</v>
      </c>
      <c r="Y157" s="40"/>
      <c r="Z157" s="166" t="str">
        <f>INDEX(Tableau2[TS],MATCH(Tableau3[[#This Row],[ID-CARTEVOIE]],Tableau2[ID-CARTEVOIE],0))</f>
        <v>ET</v>
      </c>
      <c r="AA157" s="81" t="s">
        <v>213</v>
      </c>
      <c r="AB157" s="226" t="str">
        <f>IFERROR(INDEX(Tableau5[Reserve],MATCH(Tableau3[[#This Row],[ID-SIG]],Tableau5[ID],0))&amp;"","")</f>
        <v/>
      </c>
      <c r="AC157" s="21"/>
      <c r="AD157" s="108" t="str">
        <f>INDEX(Tableau7[Repere],MATCH(Tableau3[[#This Row],[ID-API]],Tableau7[ID-API],0))&amp;""</f>
        <v>A1</v>
      </c>
      <c r="AE157" s="109" t="str">
        <f>INDEX(Tableau1[Repere-Rack],MATCH(Tableau3[[#This Row],[ID-RACK]],Tableau1[ID-RACK],0))&amp;""</f>
        <v>R2</v>
      </c>
      <c r="AF157" s="109" t="str">
        <f>INDEX(Tableau1[Repere-Slot],MATCH(Tableau3[[#This Row],[ID-SLOT]],Tableau1[ID-SLOT],0))&amp;""</f>
        <v>S8</v>
      </c>
      <c r="AG157" s="109" t="str">
        <f>INDEX(Tableau2[Repere-Voie],MATCH(Tableau3[[#This Row],[ID-VOIE]],Tableau2[ID-Voie],0))&amp;""</f>
        <v>v3</v>
      </c>
      <c r="AH157" s="72" t="str">
        <f>Tableau3[[#This Row],[ID-API]]&amp; "." &amp;Tableau3[[#This Row],[ID-RACK]]&amp; "." &amp;Tableau3[[#This Row],[ID-SLOT]]</f>
        <v>1.2.8</v>
      </c>
      <c r="AI157" s="72" t="str">
        <f>INDEX(Tableau1[Ref-Carte],MATCH(Tableau3[[#This Row],[ID-RRS]],Tableau1[ID-RRS],0))</f>
        <v>SDI1602</v>
      </c>
      <c r="AJ157" s="72" t="str">
        <f t="array" ref="AJ157">IFERROR(INDEX(Tableau2[TS],MATCH(1,(Tableau2[Ref-Carte]=Tableau3[[#This Row],[Ref-Carte2]])*(Tableau2[ID-Voie]=Tableau3[[#This Row],[ID-VOIE]]),0)),"")</f>
        <v>ET</v>
      </c>
      <c r="AK157" s="72" t="str">
        <f>IFERROR(INDEX(Tableau2[TS],SUMPRODUCT((Tableau2[Ref-Carte]=Tableau3[[#This Row],[Ref-Carte2]])*(Tableau2[ID-Voie]=Tableau3[[#This Row],[ID-VOIE]])*ROW(Tableau2[TS]))-ROW(Tableau2[#Headers])),"")</f>
        <v>ET</v>
      </c>
      <c r="AL157" s="72" t="str">
        <f>Tableau3[[#This Row],[Ref-Carte2]]&amp;"/"&amp;Tableau3[[#This Row],[ID-VOIE]]</f>
        <v>SDI1602/3</v>
      </c>
      <c r="AM157" s="77" t="str">
        <f>INDEX(Tableau2[Borne],MATCH(Tableau3[[#This Row],[ID-CARTEVOIE]],Tableau2[ID-CARTEVOIE],0))&amp;""</f>
        <v>1A</v>
      </c>
      <c r="AN157" s="74" t="str">
        <f>Tableau3[[#This Row],[ID-API]]&amp;Tableau3[[#This Row],[ID-RACK]]&amp;Tableau3[[#This Row],[ID-SLOT]]&amp;Tableau3[[#This Row],[BORNE]]</f>
        <v>1281A</v>
      </c>
      <c r="AO157" s="1"/>
    </row>
    <row r="158" spans="1:41" ht="20.100000000000001" customHeight="1" thickTop="1" thickBot="1">
      <c r="A158" s="75"/>
      <c r="B158" s="76" t="str">
        <f>IFERROR(INDEX(Tableau4[Date],MATCH($A158,Tableau4[EVO],0)),"")</f>
        <v/>
      </c>
      <c r="C158" s="75" t="str">
        <f>IFERROR(INDEX(Tableau4[Designation],MATCH($A158,Tableau4[EVO],0)),"")</f>
        <v/>
      </c>
      <c r="D158" s="75"/>
      <c r="E158" s="79">
        <v>137</v>
      </c>
      <c r="F158" s="80">
        <v>12</v>
      </c>
      <c r="G158" s="102" t="str">
        <f>INDEX(Tableau8[Att1],MATCH(Tableau3[[#This Row],[ID-INS]],Tableau8[ID],0))&amp;""</f>
        <v>B22</v>
      </c>
      <c r="H158" s="102" t="str">
        <f>INDEX(Tableau8[Att2],MATCH(Tableau3[[#This Row],[ID-INS]],Tableau8[ID],0))&amp;""</f>
        <v>CORA6</v>
      </c>
      <c r="I158" s="102" t="str">
        <f>INDEX(Tableau8[Att3],MATCH(Tableau3[[#This Row],[ID-INS]],Tableau8[ID],0))&amp;""</f>
        <v>CORA Zone 6</v>
      </c>
      <c r="J158" s="102"/>
      <c r="K158" s="167" t="str">
        <f>INDEX(Tableau8[Nom du modele],MATCH(Tableau3[[#This Row],[ID-INS]],Tableau8[ID],0))&amp;""</f>
        <v>CORA</v>
      </c>
      <c r="L158" s="100" t="str">
        <f>INDEX(Tableau5[Att1],MATCH(Tableau3[[#This Row],[ID-SIG]],Tableau5[ID],0))&amp;""</f>
        <v>E3</v>
      </c>
      <c r="M158" s="100" t="str">
        <f>INDEX(Tableau5[Att2],MATCH(Tableau3[[#This Row],[ID-SIG]],Tableau5[ID],0))&amp;""</f>
        <v/>
      </c>
      <c r="N158" s="100" t="str">
        <f>INDEX(Tableau5[Att3],MATCH(Tableau3[[#This Row],[ID-SIG]],Tableau5[ID],0))&amp;""</f>
        <v/>
      </c>
      <c r="O158" s="100"/>
      <c r="P158" s="100" t="str">
        <f>INDEX(Tableau5[Description],MATCH(Tableau3[[#This Row],[ID-SIG]],Tableau5[ID],0))</f>
        <v>Entrée 3</v>
      </c>
      <c r="Q158" s="100"/>
      <c r="R158" s="104" t="str">
        <f>Tableau3[[#This Row],[Description]]</f>
        <v>Entrée 3</v>
      </c>
      <c r="U158" s="88">
        <v>1</v>
      </c>
      <c r="V158" s="88">
        <v>2</v>
      </c>
      <c r="W158" s="88">
        <v>8</v>
      </c>
      <c r="X158" s="88">
        <v>4</v>
      </c>
      <c r="Y158" s="40"/>
      <c r="Z158" s="166" t="str">
        <f>INDEX(Tableau2[TS],MATCH(Tableau3[[#This Row],[ID-CARTEVOIE]],Tableau2[ID-CARTEVOIE],0))</f>
        <v>ET</v>
      </c>
      <c r="AA158" s="81" t="s">
        <v>213</v>
      </c>
      <c r="AB158" s="226" t="str">
        <f>IFERROR(INDEX(Tableau5[Reserve],MATCH(Tableau3[[#This Row],[ID-SIG]],Tableau5[ID],0))&amp;"","")</f>
        <v/>
      </c>
      <c r="AC158" s="21"/>
      <c r="AD158" s="108" t="str">
        <f>INDEX(Tableau7[Repere],MATCH(Tableau3[[#This Row],[ID-API]],Tableau7[ID-API],0))&amp;""</f>
        <v>A1</v>
      </c>
      <c r="AE158" s="109" t="str">
        <f>INDEX(Tableau1[Repere-Rack],MATCH(Tableau3[[#This Row],[ID-RACK]],Tableau1[ID-RACK],0))&amp;""</f>
        <v>R2</v>
      </c>
      <c r="AF158" s="109" t="str">
        <f>INDEX(Tableau1[Repere-Slot],MATCH(Tableau3[[#This Row],[ID-SLOT]],Tableau1[ID-SLOT],0))&amp;""</f>
        <v>S8</v>
      </c>
      <c r="AG158" s="109" t="str">
        <f>INDEX(Tableau2[Repere-Voie],MATCH(Tableau3[[#This Row],[ID-VOIE]],Tableau2[ID-Voie],0))&amp;""</f>
        <v>v4</v>
      </c>
      <c r="AH158" s="72" t="str">
        <f>Tableau3[[#This Row],[ID-API]]&amp; "." &amp;Tableau3[[#This Row],[ID-RACK]]&amp; "." &amp;Tableau3[[#This Row],[ID-SLOT]]</f>
        <v>1.2.8</v>
      </c>
      <c r="AI158" s="72" t="str">
        <f>INDEX(Tableau1[Ref-Carte],MATCH(Tableau3[[#This Row],[ID-RRS]],Tableau1[ID-RRS],0))</f>
        <v>SDI1602</v>
      </c>
      <c r="AJ158" s="72" t="str">
        <f t="array" ref="AJ158">IFERROR(INDEX(Tableau2[TS],MATCH(1,(Tableau2[Ref-Carte]=Tableau3[[#This Row],[Ref-Carte2]])*(Tableau2[ID-Voie]=Tableau3[[#This Row],[ID-VOIE]]),0)),"")</f>
        <v>ET</v>
      </c>
      <c r="AK158" s="72" t="str">
        <f>IFERROR(INDEX(Tableau2[TS],SUMPRODUCT((Tableau2[Ref-Carte]=Tableau3[[#This Row],[Ref-Carte2]])*(Tableau2[ID-Voie]=Tableau3[[#This Row],[ID-VOIE]])*ROW(Tableau2[TS]))-ROW(Tableau2[#Headers])),"")</f>
        <v>ET</v>
      </c>
      <c r="AL158" s="72" t="str">
        <f>Tableau3[[#This Row],[Ref-Carte2]]&amp;"/"&amp;Tableau3[[#This Row],[ID-VOIE]]</f>
        <v>SDI1602/4</v>
      </c>
      <c r="AM158" s="77" t="str">
        <f>INDEX(Tableau2[Borne],MATCH(Tableau3[[#This Row],[ID-CARTEVOIE]],Tableau2[ID-CARTEVOIE],0))&amp;""</f>
        <v>2B</v>
      </c>
      <c r="AN158" s="74" t="str">
        <f>Tableau3[[#This Row],[ID-API]]&amp;Tableau3[[#This Row],[ID-RACK]]&amp;Tableau3[[#This Row],[ID-SLOT]]&amp;Tableau3[[#This Row],[BORNE]]</f>
        <v>1282B</v>
      </c>
      <c r="AO158" s="1"/>
    </row>
    <row r="159" spans="1:41" ht="20.100000000000001" customHeight="1" thickTop="1" thickBot="1">
      <c r="A159" s="75"/>
      <c r="B159" s="76" t="str">
        <f>IFERROR(INDEX(Tableau4[Date],MATCH($A159,Tableau4[EVO],0)),"")</f>
        <v/>
      </c>
      <c r="C159" s="75" t="str">
        <f>IFERROR(INDEX(Tableau4[Designation],MATCH($A159,Tableau4[EVO],0)),"")</f>
        <v/>
      </c>
      <c r="D159" s="75"/>
      <c r="E159" s="79">
        <v>138</v>
      </c>
      <c r="F159" s="80">
        <v>10</v>
      </c>
      <c r="G159" s="102" t="str">
        <f>INDEX(Tableau8[Att1],MATCH(Tableau3[[#This Row],[ID-INS]],Tableau8[ID],0))&amp;""</f>
        <v>B22</v>
      </c>
      <c r="H159" s="102" t="str">
        <f>INDEX(Tableau8[Att2],MATCH(Tableau3[[#This Row],[ID-INS]],Tableau8[ID],0))&amp;""</f>
        <v>CORA7</v>
      </c>
      <c r="I159" s="102" t="str">
        <f>INDEX(Tableau8[Att3],MATCH(Tableau3[[#This Row],[ID-INS]],Tableau8[ID],0))&amp;""</f>
        <v>CORA Zone Vélo</v>
      </c>
      <c r="J159" s="102"/>
      <c r="K159" s="167" t="str">
        <f>INDEX(Tableau8[Nom du modele],MATCH(Tableau3[[#This Row],[ID-INS]],Tableau8[ID],0))&amp;""</f>
        <v>CORA</v>
      </c>
      <c r="L159" s="100" t="str">
        <f>INDEX(Tableau5[Att1],MATCH(Tableau3[[#This Row],[ID-SIG]],Tableau5[ID],0))&amp;""</f>
        <v>Detect</v>
      </c>
      <c r="M159" s="100" t="str">
        <f>INDEX(Tableau5[Att2],MATCH(Tableau3[[#This Row],[ID-SIG]],Tableau5[ID],0))&amp;""</f>
        <v/>
      </c>
      <c r="N159" s="100" t="str">
        <f>INDEX(Tableau5[Att3],MATCH(Tableau3[[#This Row],[ID-SIG]],Tableau5[ID],0))&amp;""</f>
        <v/>
      </c>
      <c r="O159" s="100"/>
      <c r="P159" s="100" t="str">
        <f>INDEX(Tableau5[Description],MATCH(Tableau3[[#This Row],[ID-SIG]],Tableau5[ID],0))</f>
        <v>Détection</v>
      </c>
      <c r="Q159" s="100"/>
      <c r="R159" s="104" t="str">
        <f>Tableau3[[#This Row],[Description]]</f>
        <v>Détection</v>
      </c>
      <c r="U159" s="88">
        <v>1</v>
      </c>
      <c r="V159" s="88">
        <v>2</v>
      </c>
      <c r="W159" s="88">
        <v>8</v>
      </c>
      <c r="X159" s="88">
        <v>5</v>
      </c>
      <c r="Y159" s="40"/>
      <c r="Z159" s="166" t="str">
        <f>INDEX(Tableau2[TS],MATCH(Tableau3[[#This Row],[ID-CARTEVOIE]],Tableau2[ID-CARTEVOIE],0))</f>
        <v>ET</v>
      </c>
      <c r="AA159" s="81" t="s">
        <v>213</v>
      </c>
      <c r="AB159" s="226" t="str">
        <f>IFERROR(INDEX(Tableau5[Reserve],MATCH(Tableau3[[#This Row],[ID-SIG]],Tableau5[ID],0))&amp;"","")</f>
        <v/>
      </c>
      <c r="AC159" s="21"/>
      <c r="AD159" s="108" t="str">
        <f>INDEX(Tableau7[Repere],MATCH(Tableau3[[#This Row],[ID-API]],Tableau7[ID-API],0))&amp;""</f>
        <v>A1</v>
      </c>
      <c r="AE159" s="109" t="str">
        <f>INDEX(Tableau1[Repere-Rack],MATCH(Tableau3[[#This Row],[ID-RACK]],Tableau1[ID-RACK],0))&amp;""</f>
        <v>R2</v>
      </c>
      <c r="AF159" s="109" t="str">
        <f>INDEX(Tableau1[Repere-Slot],MATCH(Tableau3[[#This Row],[ID-SLOT]],Tableau1[ID-SLOT],0))&amp;""</f>
        <v>S8</v>
      </c>
      <c r="AG159" s="109" t="str">
        <f>INDEX(Tableau2[Repere-Voie],MATCH(Tableau3[[#This Row],[ID-VOIE]],Tableau2[ID-Voie],0))&amp;""</f>
        <v>v5</v>
      </c>
      <c r="AH159" s="72" t="str">
        <f>Tableau3[[#This Row],[ID-API]]&amp; "." &amp;Tableau3[[#This Row],[ID-RACK]]&amp; "." &amp;Tableau3[[#This Row],[ID-SLOT]]</f>
        <v>1.2.8</v>
      </c>
      <c r="AI159" s="72" t="str">
        <f>INDEX(Tableau1[Ref-Carte],MATCH(Tableau3[[#This Row],[ID-RRS]],Tableau1[ID-RRS],0))</f>
        <v>SDI1602</v>
      </c>
      <c r="AJ159" s="72" t="str">
        <f t="array" ref="AJ159">IFERROR(INDEX(Tableau2[TS],MATCH(1,(Tableau2[Ref-Carte]=Tableau3[[#This Row],[Ref-Carte2]])*(Tableau2[ID-Voie]=Tableau3[[#This Row],[ID-VOIE]]),0)),"")</f>
        <v>ET</v>
      </c>
      <c r="AK159" s="72" t="str">
        <f>IFERROR(INDEX(Tableau2[TS],SUMPRODUCT((Tableau2[Ref-Carte]=Tableau3[[#This Row],[Ref-Carte2]])*(Tableau2[ID-Voie]=Tableau3[[#This Row],[ID-VOIE]])*ROW(Tableau2[TS]))-ROW(Tableau2[#Headers])),"")</f>
        <v>ET</v>
      </c>
      <c r="AL159" s="72" t="str">
        <f>Tableau3[[#This Row],[Ref-Carte2]]&amp;"/"&amp;Tableau3[[#This Row],[ID-VOIE]]</f>
        <v>SDI1602/5</v>
      </c>
      <c r="AM159" s="77" t="str">
        <f>INDEX(Tableau2[Borne],MATCH(Tableau3[[#This Row],[ID-CARTEVOIE]],Tableau2[ID-CARTEVOIE],0))&amp;""</f>
        <v>2A</v>
      </c>
      <c r="AN159" s="74" t="str">
        <f>Tableau3[[#This Row],[ID-API]]&amp;Tableau3[[#This Row],[ID-RACK]]&amp;Tableau3[[#This Row],[ID-SLOT]]&amp;Tableau3[[#This Row],[BORNE]]</f>
        <v>1282A</v>
      </c>
      <c r="AO159" s="1"/>
    </row>
    <row r="160" spans="1:41" ht="20.100000000000001" customHeight="1" thickTop="1" thickBot="1">
      <c r="A160" s="75"/>
      <c r="B160" s="76" t="str">
        <f>IFERROR(INDEX(Tableau4[Date],MATCH($A160,Tableau4[EVO],0)),"")</f>
        <v/>
      </c>
      <c r="C160" s="75" t="str">
        <f>IFERROR(INDEX(Tableau4[Designation],MATCH($A160,Tableau4[EVO],0)),"")</f>
        <v/>
      </c>
      <c r="D160" s="75"/>
      <c r="E160" s="79">
        <v>138</v>
      </c>
      <c r="F160" s="80">
        <v>11</v>
      </c>
      <c r="G160" s="102" t="str">
        <f>INDEX(Tableau8[Att1],MATCH(Tableau3[[#This Row],[ID-INS]],Tableau8[ID],0))&amp;""</f>
        <v>B22</v>
      </c>
      <c r="H160" s="102" t="str">
        <f>INDEX(Tableau8[Att2],MATCH(Tableau3[[#This Row],[ID-INS]],Tableau8[ID],0))&amp;""</f>
        <v>CORA7</v>
      </c>
      <c r="I160" s="102" t="str">
        <f>INDEX(Tableau8[Att3],MATCH(Tableau3[[#This Row],[ID-INS]],Tableau8[ID],0))&amp;""</f>
        <v>CORA Zone Vélo</v>
      </c>
      <c r="J160" s="102"/>
      <c r="K160" s="167" t="str">
        <f>INDEX(Tableau8[Nom du modele],MATCH(Tableau3[[#This Row],[ID-INS]],Tableau8[ID],0))&amp;""</f>
        <v>CORA</v>
      </c>
      <c r="L160" s="100" t="str">
        <f>INDEX(Tableau5[Att1],MATCH(Tableau3[[#This Row],[ID-SIG]],Tableau5[ID],0))&amp;""</f>
        <v>Def</v>
      </c>
      <c r="M160" s="100" t="str">
        <f>INDEX(Tableau5[Att2],MATCH(Tableau3[[#This Row],[ID-SIG]],Tableau5[ID],0))&amp;""</f>
        <v/>
      </c>
      <c r="N160" s="100" t="str">
        <f>INDEX(Tableau5[Att3],MATCH(Tableau3[[#This Row],[ID-SIG]],Tableau5[ID],0))&amp;""</f>
        <v/>
      </c>
      <c r="O160" s="100"/>
      <c r="P160" s="100" t="str">
        <f>INDEX(Tableau5[Description],MATCH(Tableau3[[#This Row],[ID-SIG]],Tableau5[ID],0))</f>
        <v>Défaut</v>
      </c>
      <c r="Q160" s="100"/>
      <c r="R160" s="104" t="str">
        <f>Tableau3[[#This Row],[Description]]</f>
        <v>Défaut</v>
      </c>
      <c r="U160" s="88">
        <v>1</v>
      </c>
      <c r="V160" s="88">
        <v>2</v>
      </c>
      <c r="W160" s="88">
        <v>8</v>
      </c>
      <c r="X160" s="88">
        <v>6</v>
      </c>
      <c r="Y160" s="40"/>
      <c r="Z160" s="166" t="str">
        <f>INDEX(Tableau2[TS],MATCH(Tableau3[[#This Row],[ID-CARTEVOIE]],Tableau2[ID-CARTEVOIE],0))</f>
        <v>ET</v>
      </c>
      <c r="AA160" s="81" t="s">
        <v>213</v>
      </c>
      <c r="AB160" s="226" t="str">
        <f>IFERROR(INDEX(Tableau5[Reserve],MATCH(Tableau3[[#This Row],[ID-SIG]],Tableau5[ID],0))&amp;"","")</f>
        <v/>
      </c>
      <c r="AC160" s="21"/>
      <c r="AD160" s="108" t="str">
        <f>INDEX(Tableau7[Repere],MATCH(Tableau3[[#This Row],[ID-API]],Tableau7[ID-API],0))&amp;""</f>
        <v>A1</v>
      </c>
      <c r="AE160" s="109" t="str">
        <f>INDEX(Tableau1[Repere-Rack],MATCH(Tableau3[[#This Row],[ID-RACK]],Tableau1[ID-RACK],0))&amp;""</f>
        <v>R2</v>
      </c>
      <c r="AF160" s="109" t="str">
        <f>INDEX(Tableau1[Repere-Slot],MATCH(Tableau3[[#This Row],[ID-SLOT]],Tableau1[ID-SLOT],0))&amp;""</f>
        <v>S8</v>
      </c>
      <c r="AG160" s="109" t="str">
        <f>INDEX(Tableau2[Repere-Voie],MATCH(Tableau3[[#This Row],[ID-VOIE]],Tableau2[ID-Voie],0))&amp;""</f>
        <v>v6</v>
      </c>
      <c r="AH160" s="72" t="str">
        <f>Tableau3[[#This Row],[ID-API]]&amp; "." &amp;Tableau3[[#This Row],[ID-RACK]]&amp; "." &amp;Tableau3[[#This Row],[ID-SLOT]]</f>
        <v>1.2.8</v>
      </c>
      <c r="AI160" s="72" t="str">
        <f>INDEX(Tableau1[Ref-Carte],MATCH(Tableau3[[#This Row],[ID-RRS]],Tableau1[ID-RRS],0))</f>
        <v>SDI1602</v>
      </c>
      <c r="AJ160" s="72" t="str">
        <f t="array" ref="AJ160">IFERROR(INDEX(Tableau2[TS],MATCH(1,(Tableau2[Ref-Carte]=Tableau3[[#This Row],[Ref-Carte2]])*(Tableau2[ID-Voie]=Tableau3[[#This Row],[ID-VOIE]]),0)),"")</f>
        <v>ET</v>
      </c>
      <c r="AK160" s="72" t="str">
        <f>IFERROR(INDEX(Tableau2[TS],SUMPRODUCT((Tableau2[Ref-Carte]=Tableau3[[#This Row],[Ref-Carte2]])*(Tableau2[ID-Voie]=Tableau3[[#This Row],[ID-VOIE]])*ROW(Tableau2[TS]))-ROW(Tableau2[#Headers])),"")</f>
        <v>ET</v>
      </c>
      <c r="AL160" s="72" t="str">
        <f>Tableau3[[#This Row],[Ref-Carte2]]&amp;"/"&amp;Tableau3[[#This Row],[ID-VOIE]]</f>
        <v>SDI1602/6</v>
      </c>
      <c r="AM160" s="77" t="str">
        <f>INDEX(Tableau2[Borne],MATCH(Tableau3[[#This Row],[ID-CARTEVOIE]],Tableau2[ID-CARTEVOIE],0))&amp;""</f>
        <v>3B</v>
      </c>
      <c r="AN160" s="74" t="str">
        <f>Tableau3[[#This Row],[ID-API]]&amp;Tableau3[[#This Row],[ID-RACK]]&amp;Tableau3[[#This Row],[ID-SLOT]]&amp;Tableau3[[#This Row],[BORNE]]</f>
        <v>1283B</v>
      </c>
      <c r="AO160" s="1"/>
    </row>
    <row r="161" spans="1:41" ht="20.100000000000001" customHeight="1" thickTop="1" thickBot="1">
      <c r="A161" s="75"/>
      <c r="B161" s="76" t="str">
        <f>IFERROR(INDEX(Tableau4[Date],MATCH($A161,Tableau4[EVO],0)),"")</f>
        <v/>
      </c>
      <c r="C161" s="75" t="str">
        <f>IFERROR(INDEX(Tableau4[Designation],MATCH($A161,Tableau4[EVO],0)),"")</f>
        <v/>
      </c>
      <c r="D161" s="75"/>
      <c r="E161" s="79">
        <v>138</v>
      </c>
      <c r="F161" s="80">
        <v>12</v>
      </c>
      <c r="G161" s="102" t="str">
        <f>INDEX(Tableau8[Att1],MATCH(Tableau3[[#This Row],[ID-INS]],Tableau8[ID],0))&amp;""</f>
        <v>B22</v>
      </c>
      <c r="H161" s="102" t="str">
        <f>INDEX(Tableau8[Att2],MATCH(Tableau3[[#This Row],[ID-INS]],Tableau8[ID],0))&amp;""</f>
        <v>CORA7</v>
      </c>
      <c r="I161" s="102" t="str">
        <f>INDEX(Tableau8[Att3],MATCH(Tableau3[[#This Row],[ID-INS]],Tableau8[ID],0))&amp;""</f>
        <v>CORA Zone Vélo</v>
      </c>
      <c r="J161" s="102"/>
      <c r="K161" s="167" t="str">
        <f>INDEX(Tableau8[Nom du modele],MATCH(Tableau3[[#This Row],[ID-INS]],Tableau8[ID],0))&amp;""</f>
        <v>CORA</v>
      </c>
      <c r="L161" s="100" t="str">
        <f>INDEX(Tableau5[Att1],MATCH(Tableau3[[#This Row],[ID-SIG]],Tableau5[ID],0))&amp;""</f>
        <v>E3</v>
      </c>
      <c r="M161" s="100" t="str">
        <f>INDEX(Tableau5[Att2],MATCH(Tableau3[[#This Row],[ID-SIG]],Tableau5[ID],0))&amp;""</f>
        <v/>
      </c>
      <c r="N161" s="100" t="str">
        <f>INDEX(Tableau5[Att3],MATCH(Tableau3[[#This Row],[ID-SIG]],Tableau5[ID],0))&amp;""</f>
        <v/>
      </c>
      <c r="O161" s="100"/>
      <c r="P161" s="100" t="str">
        <f>INDEX(Tableau5[Description],MATCH(Tableau3[[#This Row],[ID-SIG]],Tableau5[ID],0))</f>
        <v>Entrée 3</v>
      </c>
      <c r="Q161" s="100"/>
      <c r="R161" s="104" t="str">
        <f>Tableau3[[#This Row],[Description]]</f>
        <v>Entrée 3</v>
      </c>
      <c r="U161" s="88">
        <v>1</v>
      </c>
      <c r="V161" s="88">
        <v>2</v>
      </c>
      <c r="W161" s="88">
        <v>8</v>
      </c>
      <c r="X161" s="88">
        <v>7</v>
      </c>
      <c r="Y161" s="40"/>
      <c r="Z161" s="166" t="str">
        <f>INDEX(Tableau2[TS],MATCH(Tableau3[[#This Row],[ID-CARTEVOIE]],Tableau2[ID-CARTEVOIE],0))</f>
        <v>ET</v>
      </c>
      <c r="AA161" s="81" t="s">
        <v>213</v>
      </c>
      <c r="AB161" s="226" t="str">
        <f>IFERROR(INDEX(Tableau5[Reserve],MATCH(Tableau3[[#This Row],[ID-SIG]],Tableau5[ID],0))&amp;"","")</f>
        <v/>
      </c>
      <c r="AC161" s="21"/>
      <c r="AD161" s="108" t="str">
        <f>INDEX(Tableau7[Repere],MATCH(Tableau3[[#This Row],[ID-API]],Tableau7[ID-API],0))&amp;""</f>
        <v>A1</v>
      </c>
      <c r="AE161" s="109" t="str">
        <f>INDEX(Tableau1[Repere-Rack],MATCH(Tableau3[[#This Row],[ID-RACK]],Tableau1[ID-RACK],0))&amp;""</f>
        <v>R2</v>
      </c>
      <c r="AF161" s="109" t="str">
        <f>INDEX(Tableau1[Repere-Slot],MATCH(Tableau3[[#This Row],[ID-SLOT]],Tableau1[ID-SLOT],0))&amp;""</f>
        <v>S8</v>
      </c>
      <c r="AG161" s="109" t="str">
        <f>INDEX(Tableau2[Repere-Voie],MATCH(Tableau3[[#This Row],[ID-VOIE]],Tableau2[ID-Voie],0))&amp;""</f>
        <v>v7</v>
      </c>
      <c r="AH161" s="72" t="str">
        <f>Tableau3[[#This Row],[ID-API]]&amp; "." &amp;Tableau3[[#This Row],[ID-RACK]]&amp; "." &amp;Tableau3[[#This Row],[ID-SLOT]]</f>
        <v>1.2.8</v>
      </c>
      <c r="AI161" s="72" t="str">
        <f>INDEX(Tableau1[Ref-Carte],MATCH(Tableau3[[#This Row],[ID-RRS]],Tableau1[ID-RRS],0))</f>
        <v>SDI1602</v>
      </c>
      <c r="AJ161" s="72" t="str">
        <f t="array" ref="AJ161">IFERROR(INDEX(Tableau2[TS],MATCH(1,(Tableau2[Ref-Carte]=Tableau3[[#This Row],[Ref-Carte2]])*(Tableau2[ID-Voie]=Tableau3[[#This Row],[ID-VOIE]]),0)),"")</f>
        <v>ET</v>
      </c>
      <c r="AK161" s="72" t="str">
        <f>IFERROR(INDEX(Tableau2[TS],SUMPRODUCT((Tableau2[Ref-Carte]=Tableau3[[#This Row],[Ref-Carte2]])*(Tableau2[ID-Voie]=Tableau3[[#This Row],[ID-VOIE]])*ROW(Tableau2[TS]))-ROW(Tableau2[#Headers])),"")</f>
        <v>ET</v>
      </c>
      <c r="AL161" s="72" t="str">
        <f>Tableau3[[#This Row],[Ref-Carte2]]&amp;"/"&amp;Tableau3[[#This Row],[ID-VOIE]]</f>
        <v>SDI1602/7</v>
      </c>
      <c r="AM161" s="77" t="str">
        <f>INDEX(Tableau2[Borne],MATCH(Tableau3[[#This Row],[ID-CARTEVOIE]],Tableau2[ID-CARTEVOIE],0))&amp;""</f>
        <v>3A</v>
      </c>
      <c r="AN161" s="74" t="str">
        <f>Tableau3[[#This Row],[ID-API]]&amp;Tableau3[[#This Row],[ID-RACK]]&amp;Tableau3[[#This Row],[ID-SLOT]]&amp;Tableau3[[#This Row],[BORNE]]</f>
        <v>1283A</v>
      </c>
      <c r="AO161" s="1"/>
    </row>
    <row r="162" spans="1:41" ht="20.100000000000001" customHeight="1" thickTop="1" thickBot="1">
      <c r="A162" s="68"/>
      <c r="B162" s="69" t="str">
        <f>IFERROR(INDEX(Tableau4[Date],MATCH($A162,Tableau4[EVO],0)),"")</f>
        <v/>
      </c>
      <c r="C162" s="68" t="str">
        <f>IFERROR(INDEX(Tableau4[Designation],MATCH($A162,Tableau4[EVO],0)),"")</f>
        <v/>
      </c>
      <c r="D162" s="68"/>
      <c r="E162" s="70">
        <v>182</v>
      </c>
      <c r="F162" s="71">
        <v>1</v>
      </c>
      <c r="G162" s="101" t="str">
        <f>INDEX(Tableau8[Att1],MATCH(Tableau3[[#This Row],[ID-INS]],Tableau8[ID],0))&amp;""</f>
        <v>GR</v>
      </c>
      <c r="H162" s="101" t="str">
        <f>INDEX(Tableau8[Att2],MATCH(Tableau3[[#This Row],[ID-INS]],Tableau8[ID],0))&amp;""</f>
        <v>BP2</v>
      </c>
      <c r="I162" s="101" t="str">
        <f>INDEX(Tableau8[Att3],MATCH(Tableau3[[#This Row],[ID-INS]],Tableau8[ID],0))&amp;""</f>
        <v>bouton poussoir Demande d'ouverture accès PMR4 dans le sens sortie</v>
      </c>
      <c r="J162" s="101"/>
      <c r="K162" s="167" t="str">
        <f>INDEX(Tableau8[Nom du modele],MATCH(Tableau3[[#This Row],[ID-INS]],Tableau8[ID],0))&amp;""</f>
        <v>BoutonPoussoir</v>
      </c>
      <c r="L162" s="99" t="str">
        <f>INDEX(Tableau5[Att1],MATCH(Tableau3[[#This Row],[ID-SIG]],Tableau5[ID],0))&amp;""</f>
        <v>Appui</v>
      </c>
      <c r="M162" s="99" t="str">
        <f>INDEX(Tableau5[Att2],MATCH(Tableau3[[#This Row],[ID-SIG]],Tableau5[ID],0))&amp;""</f>
        <v/>
      </c>
      <c r="N162" s="99" t="str">
        <f>INDEX(Tableau5[Att3],MATCH(Tableau3[[#This Row],[ID-SIG]],Tableau5[ID],0))&amp;""</f>
        <v/>
      </c>
      <c r="O162" s="99"/>
      <c r="P162" s="99" t="str">
        <f>INDEX(Tableau5[Description],MATCH(Tableau3[[#This Row],[ID-SIG]],Tableau5[ID],0))</f>
        <v>Appui</v>
      </c>
      <c r="Q162" s="99"/>
      <c r="R162" s="103" t="str">
        <f>Tableau3[[#This Row],[Description]]</f>
        <v>Appui</v>
      </c>
      <c r="T162" s="85"/>
      <c r="U162" s="87">
        <v>1</v>
      </c>
      <c r="V162" s="87">
        <v>2</v>
      </c>
      <c r="W162" s="87">
        <v>8</v>
      </c>
      <c r="X162" s="87">
        <v>8</v>
      </c>
      <c r="Y162" s="40"/>
      <c r="Z162" s="165" t="str">
        <f>INDEX(Tableau2[TS],MATCH(Tableau3[[#This Row],[ID-CARTEVOIE]],Tableau2[ID-CARTEVOIE],0))</f>
        <v>ET</v>
      </c>
      <c r="AA162" s="53" t="s">
        <v>213</v>
      </c>
      <c r="AB162" s="223" t="str">
        <f>IFERROR(INDEX(Tableau5[Reserve],MATCH(Tableau3[[#This Row],[ID-SIG]],Tableau5[ID],0))&amp;"","")</f>
        <v/>
      </c>
      <c r="AC162" s="21"/>
      <c r="AD162" s="108" t="str">
        <f>INDEX(Tableau7[Repere],MATCH(Tableau3[[#This Row],[ID-API]],Tableau7[ID-API],0))&amp;""</f>
        <v>A1</v>
      </c>
      <c r="AE162" s="108" t="str">
        <f>INDEX(Tableau1[Repere-Rack],MATCH(Tableau3[[#This Row],[ID-RACK]],Tableau1[ID-RACK],0))&amp;""</f>
        <v>R2</v>
      </c>
      <c r="AF162" s="108" t="str">
        <f>INDEX(Tableau1[Repere-Slot],MATCH(Tableau3[[#This Row],[ID-SLOT]],Tableau1[ID-SLOT],0))&amp;""</f>
        <v>S8</v>
      </c>
      <c r="AG162" s="108" t="str">
        <f>INDEX(Tableau2[Repere-Voie],MATCH(Tableau3[[#This Row],[ID-VOIE]],Tableau2[ID-Voie],0))&amp;""</f>
        <v>v8</v>
      </c>
      <c r="AH162" s="72" t="str">
        <f>Tableau3[[#This Row],[ID-API]]&amp; "." &amp;Tableau3[[#This Row],[ID-RACK]]&amp; "." &amp;Tableau3[[#This Row],[ID-SLOT]]</f>
        <v>1.2.8</v>
      </c>
      <c r="AI162" s="72" t="str">
        <f>INDEX(Tableau1[Ref-Carte],MATCH(Tableau3[[#This Row],[ID-RRS]],Tableau1[ID-RRS],0))</f>
        <v>SDI1602</v>
      </c>
      <c r="AJ162" s="72" t="str">
        <f t="array" ref="AJ162">IFERROR(INDEX(Tableau2[TS],MATCH(1,(Tableau2[Ref-Carte]=Tableau3[[#This Row],[Ref-Carte2]])*(Tableau2[ID-Voie]=Tableau3[[#This Row],[ID-VOIE]]),0)),"")</f>
        <v>ET</v>
      </c>
      <c r="AK162" s="72" t="str">
        <f>IFERROR(INDEX(Tableau2[TS],SUMPRODUCT((Tableau2[Ref-Carte]=Tableau3[[#This Row],[Ref-Carte2]])*(Tableau2[ID-Voie]=Tableau3[[#This Row],[ID-VOIE]])*ROW(Tableau2[TS]))-ROW(Tableau2[#Headers])),"")</f>
        <v>ET</v>
      </c>
      <c r="AL162" s="72" t="str">
        <f>Tableau3[[#This Row],[Ref-Carte2]]&amp;"/"&amp;Tableau3[[#This Row],[ID-VOIE]]</f>
        <v>SDI1602/8</v>
      </c>
      <c r="AM162" s="73" t="str">
        <f>INDEX(Tableau2[Borne],MATCH(Tableau3[[#This Row],[ID-CARTEVOIE]],Tableau2[ID-CARTEVOIE],0))&amp;""</f>
        <v>4B</v>
      </c>
      <c r="AN162" s="74" t="str">
        <f>Tableau3[[#This Row],[ID-API]]&amp;Tableau3[[#This Row],[ID-RACK]]&amp;Tableau3[[#This Row],[ID-SLOT]]&amp;Tableau3[[#This Row],[BORNE]]</f>
        <v>1284B</v>
      </c>
      <c r="AO162" s="1"/>
    </row>
    <row r="163" spans="1:41" ht="20.100000000000001" customHeight="1" thickTop="1" thickBot="1">
      <c r="A163" s="68"/>
      <c r="B163" s="69" t="str">
        <f>IFERROR(INDEX(Tableau4[Date],MATCH($A163,Tableau4[EVO],0)),"")</f>
        <v/>
      </c>
      <c r="C163" s="68" t="str">
        <f>IFERROR(INDEX(Tableau4[Designation],MATCH($A163,Tableau4[EVO],0)),"")</f>
        <v/>
      </c>
      <c r="D163" s="68"/>
      <c r="E163" s="70">
        <v>183</v>
      </c>
      <c r="F163" s="71">
        <v>104</v>
      </c>
      <c r="G163" s="101" t="str">
        <f>INDEX(Tableau8[Att1],MATCH(Tableau3[[#This Row],[ID-INS]],Tableau8[ID],0))&amp;""</f>
        <v>X</v>
      </c>
      <c r="H163" s="101" t="str">
        <f>INDEX(Tableau8[Att2],MATCH(Tableau3[[#This Row],[ID-INS]],Tableau8[ID],0))&amp;""</f>
        <v>EL1</v>
      </c>
      <c r="I163" s="101" t="str">
        <f>INDEX(Tableau8[Att3],MATCH(Tableau3[[#This Row],[ID-INS]],Tableau8[ID],0))&amp;""</f>
        <v>Portail P8</v>
      </c>
      <c r="J163" s="101"/>
      <c r="K163" s="167" t="str">
        <f>INDEX(Tableau8[Nom du modele],MATCH(Tableau3[[#This Row],[ID-INS]],Tableau8[ID],0))&amp;""</f>
        <v>SurvElec</v>
      </c>
      <c r="L163" s="99" t="str">
        <f>INDEX(Tableau5[Att1],MATCH(Tableau3[[#This Row],[ID-SIG]],Tableau5[ID],0))&amp;""</f>
        <v>Def</v>
      </c>
      <c r="M163" s="99" t="str">
        <f>INDEX(Tableau5[Att2],MATCH(Tableau3[[#This Row],[ID-SIG]],Tableau5[ID],0))&amp;""</f>
        <v/>
      </c>
      <c r="N163" s="99" t="str">
        <f>INDEX(Tableau5[Att3],MATCH(Tableau3[[#This Row],[ID-SIG]],Tableau5[ID],0))&amp;""</f>
        <v/>
      </c>
      <c r="O163" s="99"/>
      <c r="P163" s="99" t="str">
        <f>INDEX(Tableau5[Description],MATCH(Tableau3[[#This Row],[ID-SIG]],Tableau5[ID],0))</f>
        <v>Défaut</v>
      </c>
      <c r="Q163" s="99"/>
      <c r="R163" s="103" t="str">
        <f>Tableau3[[#This Row],[Description]]</f>
        <v>Défaut</v>
      </c>
      <c r="U163" s="87">
        <v>1</v>
      </c>
      <c r="V163" s="87">
        <v>2</v>
      </c>
      <c r="W163" s="87">
        <v>8</v>
      </c>
      <c r="X163" s="87">
        <v>9</v>
      </c>
      <c r="Y163" s="40"/>
      <c r="Z163" s="165" t="str">
        <f>INDEX(Tableau2[TS],MATCH(Tableau3[[#This Row],[ID-CARTEVOIE]],Tableau2[ID-CARTEVOIE],0))</f>
        <v>ET</v>
      </c>
      <c r="AA163" s="53" t="s">
        <v>213</v>
      </c>
      <c r="AB163" s="223" t="str">
        <f>IFERROR(INDEX(Tableau5[Reserve],MATCH(Tableau3[[#This Row],[ID-SIG]],Tableau5[ID],0))&amp;"","")</f>
        <v/>
      </c>
      <c r="AC163" s="21"/>
      <c r="AD163" s="108" t="str">
        <f>INDEX(Tableau7[Repere],MATCH(Tableau3[[#This Row],[ID-API]],Tableau7[ID-API],0))&amp;""</f>
        <v>A1</v>
      </c>
      <c r="AE163" s="108" t="str">
        <f>INDEX(Tableau1[Repere-Rack],MATCH(Tableau3[[#This Row],[ID-RACK]],Tableau1[ID-RACK],0))&amp;""</f>
        <v>R2</v>
      </c>
      <c r="AF163" s="108" t="str">
        <f>INDEX(Tableau1[Repere-Slot],MATCH(Tableau3[[#This Row],[ID-SLOT]],Tableau1[ID-SLOT],0))&amp;""</f>
        <v>S8</v>
      </c>
      <c r="AG163" s="108" t="str">
        <f>INDEX(Tableau2[Repere-Voie],MATCH(Tableau3[[#This Row],[ID-VOIE]],Tableau2[ID-Voie],0))&amp;""</f>
        <v>v9</v>
      </c>
      <c r="AH163" s="72" t="str">
        <f>Tableau3[[#This Row],[ID-API]]&amp; "." &amp;Tableau3[[#This Row],[ID-RACK]]&amp; "." &amp;Tableau3[[#This Row],[ID-SLOT]]</f>
        <v>1.2.8</v>
      </c>
      <c r="AI163" s="72" t="str">
        <f>INDEX(Tableau1[Ref-Carte],MATCH(Tableau3[[#This Row],[ID-RRS]],Tableau1[ID-RRS],0))</f>
        <v>SDI1602</v>
      </c>
      <c r="AJ163" s="72" t="str">
        <f t="array" ref="AJ163">IFERROR(INDEX(Tableau2[TS],MATCH(1,(Tableau2[Ref-Carte]=Tableau3[[#This Row],[Ref-Carte2]])*(Tableau2[ID-Voie]=Tableau3[[#This Row],[ID-VOIE]]),0)),"")</f>
        <v>ET</v>
      </c>
      <c r="AK163" s="72" t="str">
        <f>IFERROR(INDEX(Tableau2[TS],SUMPRODUCT((Tableau2[Ref-Carte]=Tableau3[[#This Row],[Ref-Carte2]])*(Tableau2[ID-Voie]=Tableau3[[#This Row],[ID-VOIE]])*ROW(Tableau2[TS]))-ROW(Tableau2[#Headers])),"")</f>
        <v>ET</v>
      </c>
      <c r="AL163" s="72" t="str">
        <f>Tableau3[[#This Row],[Ref-Carte2]]&amp;"/"&amp;Tableau3[[#This Row],[ID-VOIE]]</f>
        <v>SDI1602/9</v>
      </c>
      <c r="AM163" s="73" t="str">
        <f>INDEX(Tableau2[Borne],MATCH(Tableau3[[#This Row],[ID-CARTEVOIE]],Tableau2[ID-CARTEVOIE],0))&amp;""</f>
        <v>4A</v>
      </c>
      <c r="AN163" s="74" t="str">
        <f>Tableau3[[#This Row],[ID-API]]&amp;Tableau3[[#This Row],[ID-RACK]]&amp;Tableau3[[#This Row],[ID-SLOT]]&amp;Tableau3[[#This Row],[BORNE]]</f>
        <v>1284A</v>
      </c>
      <c r="AO163" s="1"/>
    </row>
    <row r="164" spans="1:41" ht="20.100000000000001" customHeight="1" thickTop="1" thickBot="1">
      <c r="A164" s="68"/>
      <c r="B164" s="69" t="str">
        <f>IFERROR(INDEX(Tableau4[Date],MATCH($A164,Tableau4[EVO],0)),"")</f>
        <v/>
      </c>
      <c r="C164" s="68" t="str">
        <f>IFERROR(INDEX(Tableau4[Designation],MATCH($A164,Tableau4[EVO],0)),"")</f>
        <v/>
      </c>
      <c r="D164" s="68"/>
      <c r="E164" s="70">
        <v>184</v>
      </c>
      <c r="F164" s="71">
        <v>104</v>
      </c>
      <c r="G164" s="101" t="str">
        <f>INDEX(Tableau8[Att1],MATCH(Tableau3[[#This Row],[ID-INS]],Tableau8[ID],0))&amp;""</f>
        <v>X</v>
      </c>
      <c r="H164" s="101" t="str">
        <f>INDEX(Tableau8[Att2],MATCH(Tableau3[[#This Row],[ID-INS]],Tableau8[ID],0))&amp;""</f>
        <v>EL2</v>
      </c>
      <c r="I164" s="101" t="str">
        <f>INDEX(Tableau8[Att3],MATCH(Tableau3[[#This Row],[ID-INS]],Tableau8[ID],0))&amp;""</f>
        <v>Barrière BH12</v>
      </c>
      <c r="J164" s="101"/>
      <c r="K164" s="167" t="str">
        <f>INDEX(Tableau8[Nom du modele],MATCH(Tableau3[[#This Row],[ID-INS]],Tableau8[ID],0))&amp;""</f>
        <v>SurvElec</v>
      </c>
      <c r="L164" s="99" t="str">
        <f>INDEX(Tableau5[Att1],MATCH(Tableau3[[#This Row],[ID-SIG]],Tableau5[ID],0))&amp;""</f>
        <v>Def</v>
      </c>
      <c r="M164" s="99" t="str">
        <f>INDEX(Tableau5[Att2],MATCH(Tableau3[[#This Row],[ID-SIG]],Tableau5[ID],0))&amp;""</f>
        <v/>
      </c>
      <c r="N164" s="99" t="str">
        <f>INDEX(Tableau5[Att3],MATCH(Tableau3[[#This Row],[ID-SIG]],Tableau5[ID],0))&amp;""</f>
        <v/>
      </c>
      <c r="O164" s="99"/>
      <c r="P164" s="99" t="str">
        <f>INDEX(Tableau5[Description],MATCH(Tableau3[[#This Row],[ID-SIG]],Tableau5[ID],0))</f>
        <v>Défaut</v>
      </c>
      <c r="Q164" s="99"/>
      <c r="R164" s="103" t="str">
        <f>Tableau3[[#This Row],[Description]]</f>
        <v>Défaut</v>
      </c>
      <c r="U164" s="87">
        <v>1</v>
      </c>
      <c r="V164" s="87">
        <v>2</v>
      </c>
      <c r="W164" s="87">
        <v>8</v>
      </c>
      <c r="X164" s="87">
        <v>10</v>
      </c>
      <c r="Y164" s="40"/>
      <c r="Z164" s="165" t="str">
        <f>INDEX(Tableau2[TS],MATCH(Tableau3[[#This Row],[ID-CARTEVOIE]],Tableau2[ID-CARTEVOIE],0))</f>
        <v>ET</v>
      </c>
      <c r="AA164" s="53" t="s">
        <v>213</v>
      </c>
      <c r="AB164" s="223" t="str">
        <f>IFERROR(INDEX(Tableau5[Reserve],MATCH(Tableau3[[#This Row],[ID-SIG]],Tableau5[ID],0))&amp;"","")</f>
        <v/>
      </c>
      <c r="AC164" s="21"/>
      <c r="AD164" s="108" t="str">
        <f>INDEX(Tableau7[Repere],MATCH(Tableau3[[#This Row],[ID-API]],Tableau7[ID-API],0))&amp;""</f>
        <v>A1</v>
      </c>
      <c r="AE164" s="108" t="str">
        <f>INDEX(Tableau1[Repere-Rack],MATCH(Tableau3[[#This Row],[ID-RACK]],Tableau1[ID-RACK],0))&amp;""</f>
        <v>R2</v>
      </c>
      <c r="AF164" s="108" t="str">
        <f>INDEX(Tableau1[Repere-Slot],MATCH(Tableau3[[#This Row],[ID-SLOT]],Tableau1[ID-SLOT],0))&amp;""</f>
        <v>S8</v>
      </c>
      <c r="AG164" s="108" t="str">
        <f>INDEX(Tableau2[Repere-Voie],MATCH(Tableau3[[#This Row],[ID-VOIE]],Tableau2[ID-Voie],0))&amp;""</f>
        <v>v10</v>
      </c>
      <c r="AH164" s="72" t="str">
        <f>Tableau3[[#This Row],[ID-API]]&amp; "." &amp;Tableau3[[#This Row],[ID-RACK]]&amp; "." &amp;Tableau3[[#This Row],[ID-SLOT]]</f>
        <v>1.2.8</v>
      </c>
      <c r="AI164" s="72" t="str">
        <f>INDEX(Tableau1[Ref-Carte],MATCH(Tableau3[[#This Row],[ID-RRS]],Tableau1[ID-RRS],0))</f>
        <v>SDI1602</v>
      </c>
      <c r="AJ164" s="72" t="str">
        <f t="array" ref="AJ164">IFERROR(INDEX(Tableau2[TS],MATCH(1,(Tableau2[Ref-Carte]=Tableau3[[#This Row],[Ref-Carte2]])*(Tableau2[ID-Voie]=Tableau3[[#This Row],[ID-VOIE]]),0)),"")</f>
        <v>ET</v>
      </c>
      <c r="AK164" s="72" t="str">
        <f>IFERROR(INDEX(Tableau2[TS],SUMPRODUCT((Tableau2[Ref-Carte]=Tableau3[[#This Row],[Ref-Carte2]])*(Tableau2[ID-Voie]=Tableau3[[#This Row],[ID-VOIE]])*ROW(Tableau2[TS]))-ROW(Tableau2[#Headers])),"")</f>
        <v>ET</v>
      </c>
      <c r="AL164" s="72" t="str">
        <f>Tableau3[[#This Row],[Ref-Carte2]]&amp;"/"&amp;Tableau3[[#This Row],[ID-VOIE]]</f>
        <v>SDI1602/10</v>
      </c>
      <c r="AM164" s="73" t="str">
        <f>INDEX(Tableau2[Borne],MATCH(Tableau3[[#This Row],[ID-CARTEVOIE]],Tableau2[ID-CARTEVOIE],0))&amp;""</f>
        <v>5B</v>
      </c>
      <c r="AN164" s="74" t="str">
        <f>Tableau3[[#This Row],[ID-API]]&amp;Tableau3[[#This Row],[ID-RACK]]&amp;Tableau3[[#This Row],[ID-SLOT]]&amp;Tableau3[[#This Row],[BORNE]]</f>
        <v>1285B</v>
      </c>
      <c r="AO164" s="1"/>
    </row>
    <row r="165" spans="1:41" ht="20.100000000000001" customHeight="1" thickTop="1" thickBot="1">
      <c r="A165" s="68"/>
      <c r="B165" s="69" t="str">
        <f>IFERROR(INDEX(Tableau4[Date],MATCH($A165,Tableau4[EVO],0)),"")</f>
        <v/>
      </c>
      <c r="C165" s="68" t="str">
        <f>IFERROR(INDEX(Tableau4[Designation],MATCH($A165,Tableau4[EVO],0)),"")</f>
        <v/>
      </c>
      <c r="D165" s="68"/>
      <c r="E165" s="70">
        <v>185</v>
      </c>
      <c r="F165" s="71">
        <v>104</v>
      </c>
      <c r="G165" s="101" t="str">
        <f>INDEX(Tableau8[Att1],MATCH(Tableau3[[#This Row],[ID-INS]],Tableau8[ID],0))&amp;""</f>
        <v>X</v>
      </c>
      <c r="H165" s="101" t="str">
        <f>INDEX(Tableau8[Att2],MATCH(Tableau3[[#This Row],[ID-INS]],Tableau8[ID],0))&amp;""</f>
        <v>EL3</v>
      </c>
      <c r="I165" s="101" t="str">
        <f>INDEX(Tableau8[Att3],MATCH(Tableau3[[#This Row],[ID-INS]],Tableau8[ID],0))&amp;""</f>
        <v>Anti-belier AVB2</v>
      </c>
      <c r="J165" s="101"/>
      <c r="K165" s="167" t="str">
        <f>INDEX(Tableau8[Nom du modele],MATCH(Tableau3[[#This Row],[ID-INS]],Tableau8[ID],0))&amp;""</f>
        <v>SurvElec</v>
      </c>
      <c r="L165" s="99" t="str">
        <f>INDEX(Tableau5[Att1],MATCH(Tableau3[[#This Row],[ID-SIG]],Tableau5[ID],0))&amp;""</f>
        <v>Def</v>
      </c>
      <c r="M165" s="99" t="str">
        <f>INDEX(Tableau5[Att2],MATCH(Tableau3[[#This Row],[ID-SIG]],Tableau5[ID],0))&amp;""</f>
        <v/>
      </c>
      <c r="N165" s="99" t="str">
        <f>INDEX(Tableau5[Att3],MATCH(Tableau3[[#This Row],[ID-SIG]],Tableau5[ID],0))&amp;""</f>
        <v/>
      </c>
      <c r="O165" s="99"/>
      <c r="P165" s="99" t="str">
        <f>INDEX(Tableau5[Description],MATCH(Tableau3[[#This Row],[ID-SIG]],Tableau5[ID],0))</f>
        <v>Défaut</v>
      </c>
      <c r="Q165" s="99"/>
      <c r="R165" s="103" t="str">
        <f>Tableau3[[#This Row],[Description]]</f>
        <v>Défaut</v>
      </c>
      <c r="U165" s="87">
        <v>1</v>
      </c>
      <c r="V165" s="87">
        <v>2</v>
      </c>
      <c r="W165" s="87">
        <v>8</v>
      </c>
      <c r="X165" s="87">
        <v>11</v>
      </c>
      <c r="Y165" s="40"/>
      <c r="Z165" s="165" t="str">
        <f>INDEX(Tableau2[TS],MATCH(Tableau3[[#This Row],[ID-CARTEVOIE]],Tableau2[ID-CARTEVOIE],0))</f>
        <v>ET</v>
      </c>
      <c r="AA165" s="53" t="s">
        <v>213</v>
      </c>
      <c r="AB165" s="223" t="str">
        <f>IFERROR(INDEX(Tableau5[Reserve],MATCH(Tableau3[[#This Row],[ID-SIG]],Tableau5[ID],0))&amp;"","")</f>
        <v/>
      </c>
      <c r="AC165" s="21"/>
      <c r="AD165" s="108" t="str">
        <f>INDEX(Tableau7[Repere],MATCH(Tableau3[[#This Row],[ID-API]],Tableau7[ID-API],0))&amp;""</f>
        <v>A1</v>
      </c>
      <c r="AE165" s="108" t="str">
        <f>INDEX(Tableau1[Repere-Rack],MATCH(Tableau3[[#This Row],[ID-RACK]],Tableau1[ID-RACK],0))&amp;""</f>
        <v>R2</v>
      </c>
      <c r="AF165" s="108" t="str">
        <f>INDEX(Tableau1[Repere-Slot],MATCH(Tableau3[[#This Row],[ID-SLOT]],Tableau1[ID-SLOT],0))&amp;""</f>
        <v>S8</v>
      </c>
      <c r="AG165" s="108" t="str">
        <f>INDEX(Tableau2[Repere-Voie],MATCH(Tableau3[[#This Row],[ID-VOIE]],Tableau2[ID-Voie],0))&amp;""</f>
        <v>v11</v>
      </c>
      <c r="AH165" s="72" t="str">
        <f>Tableau3[[#This Row],[ID-API]]&amp; "." &amp;Tableau3[[#This Row],[ID-RACK]]&amp; "." &amp;Tableau3[[#This Row],[ID-SLOT]]</f>
        <v>1.2.8</v>
      </c>
      <c r="AI165" s="72" t="str">
        <f>INDEX(Tableau1[Ref-Carte],MATCH(Tableau3[[#This Row],[ID-RRS]],Tableau1[ID-RRS],0))</f>
        <v>SDI1602</v>
      </c>
      <c r="AJ165" s="72" t="str">
        <f t="array" ref="AJ165">IFERROR(INDEX(Tableau2[TS],MATCH(1,(Tableau2[Ref-Carte]=Tableau3[[#This Row],[Ref-Carte2]])*(Tableau2[ID-Voie]=Tableau3[[#This Row],[ID-VOIE]]),0)),"")</f>
        <v>ET</v>
      </c>
      <c r="AK165" s="72" t="str">
        <f>IFERROR(INDEX(Tableau2[TS],SUMPRODUCT((Tableau2[Ref-Carte]=Tableau3[[#This Row],[Ref-Carte2]])*(Tableau2[ID-Voie]=Tableau3[[#This Row],[ID-VOIE]])*ROW(Tableau2[TS]))-ROW(Tableau2[#Headers])),"")</f>
        <v>ET</v>
      </c>
      <c r="AL165" s="72" t="str">
        <f>Tableau3[[#This Row],[Ref-Carte2]]&amp;"/"&amp;Tableau3[[#This Row],[ID-VOIE]]</f>
        <v>SDI1602/11</v>
      </c>
      <c r="AM165" s="73" t="str">
        <f>INDEX(Tableau2[Borne],MATCH(Tableau3[[#This Row],[ID-CARTEVOIE]],Tableau2[ID-CARTEVOIE],0))&amp;""</f>
        <v>5A</v>
      </c>
      <c r="AN165" s="74" t="str">
        <f>Tableau3[[#This Row],[ID-API]]&amp;Tableau3[[#This Row],[ID-RACK]]&amp;Tableau3[[#This Row],[ID-SLOT]]&amp;Tableau3[[#This Row],[BORNE]]</f>
        <v>1285A</v>
      </c>
      <c r="AO165" s="1"/>
    </row>
    <row r="166" spans="1:41" ht="20.100000000000001" customHeight="1" thickTop="1" thickBot="1">
      <c r="A166" s="68"/>
      <c r="B166" s="69" t="str">
        <f>IFERROR(INDEX(Tableau4[Date],MATCH($A166,Tableau4[EVO],0)),"")</f>
        <v/>
      </c>
      <c r="C166" s="68" t="str">
        <f>IFERROR(INDEX(Tableau4[Designation],MATCH($A166,Tableau4[EVO],0)),"")</f>
        <v/>
      </c>
      <c r="D166" s="68"/>
      <c r="E166" s="70">
        <v>186</v>
      </c>
      <c r="F166" s="71">
        <v>104</v>
      </c>
      <c r="G166" s="101" t="str">
        <f>INDEX(Tableau8[Att1],MATCH(Tableau3[[#This Row],[ID-INS]],Tableau8[ID],0))&amp;""</f>
        <v>X</v>
      </c>
      <c r="H166" s="101" t="str">
        <f>INDEX(Tableau8[Att2],MATCH(Tableau3[[#This Row],[ID-INS]],Tableau8[ID],0))&amp;""</f>
        <v>EL4</v>
      </c>
      <c r="I166" s="101" t="str">
        <f>INDEX(Tableau8[Att3],MATCH(Tableau3[[#This Row],[ID-INS]],Tableau8[ID],0))&amp;""</f>
        <v>PMR1</v>
      </c>
      <c r="J166" s="101"/>
      <c r="K166" s="167" t="str">
        <f>INDEX(Tableau8[Nom du modele],MATCH(Tableau3[[#This Row],[ID-INS]],Tableau8[ID],0))&amp;""</f>
        <v>SurvElec</v>
      </c>
      <c r="L166" s="99" t="str">
        <f>INDEX(Tableau5[Att1],MATCH(Tableau3[[#This Row],[ID-SIG]],Tableau5[ID],0))&amp;""</f>
        <v>Def</v>
      </c>
      <c r="M166" s="99" t="str">
        <f>INDEX(Tableau5[Att2],MATCH(Tableau3[[#This Row],[ID-SIG]],Tableau5[ID],0))&amp;""</f>
        <v/>
      </c>
      <c r="N166" s="99" t="str">
        <f>INDEX(Tableau5[Att3],MATCH(Tableau3[[#This Row],[ID-SIG]],Tableau5[ID],0))&amp;""</f>
        <v/>
      </c>
      <c r="O166" s="99"/>
      <c r="P166" s="99" t="str">
        <f>INDEX(Tableau5[Description],MATCH(Tableau3[[#This Row],[ID-SIG]],Tableau5[ID],0))</f>
        <v>Défaut</v>
      </c>
      <c r="Q166" s="99"/>
      <c r="R166" s="103" t="str">
        <f>Tableau3[[#This Row],[Description]]</f>
        <v>Défaut</v>
      </c>
      <c r="U166" s="87">
        <v>1</v>
      </c>
      <c r="V166" s="87">
        <v>2</v>
      </c>
      <c r="W166" s="87">
        <v>8</v>
      </c>
      <c r="X166" s="87">
        <v>12</v>
      </c>
      <c r="Y166" s="40"/>
      <c r="Z166" s="165" t="str">
        <f>INDEX(Tableau2[TS],MATCH(Tableau3[[#This Row],[ID-CARTEVOIE]],Tableau2[ID-CARTEVOIE],0))</f>
        <v>ET</v>
      </c>
      <c r="AA166" s="53" t="s">
        <v>213</v>
      </c>
      <c r="AB166" s="223" t="str">
        <f>IFERROR(INDEX(Tableau5[Reserve],MATCH(Tableau3[[#This Row],[ID-SIG]],Tableau5[ID],0))&amp;"","")</f>
        <v/>
      </c>
      <c r="AC166" s="21"/>
      <c r="AD166" s="108" t="str">
        <f>INDEX(Tableau7[Repere],MATCH(Tableau3[[#This Row],[ID-API]],Tableau7[ID-API],0))&amp;""</f>
        <v>A1</v>
      </c>
      <c r="AE166" s="108" t="str">
        <f>INDEX(Tableau1[Repere-Rack],MATCH(Tableau3[[#This Row],[ID-RACK]],Tableau1[ID-RACK],0))&amp;""</f>
        <v>R2</v>
      </c>
      <c r="AF166" s="108" t="str">
        <f>INDEX(Tableau1[Repere-Slot],MATCH(Tableau3[[#This Row],[ID-SLOT]],Tableau1[ID-SLOT],0))&amp;""</f>
        <v>S8</v>
      </c>
      <c r="AG166" s="108" t="str">
        <f>INDEX(Tableau2[Repere-Voie],MATCH(Tableau3[[#This Row],[ID-VOIE]],Tableau2[ID-Voie],0))&amp;""</f>
        <v>v12</v>
      </c>
      <c r="AH166" s="72" t="str">
        <f>Tableau3[[#This Row],[ID-API]]&amp; "." &amp;Tableau3[[#This Row],[ID-RACK]]&amp; "." &amp;Tableau3[[#This Row],[ID-SLOT]]</f>
        <v>1.2.8</v>
      </c>
      <c r="AI166" s="72" t="str">
        <f>INDEX(Tableau1[Ref-Carte],MATCH(Tableau3[[#This Row],[ID-RRS]],Tableau1[ID-RRS],0))</f>
        <v>SDI1602</v>
      </c>
      <c r="AJ166" s="72" t="str">
        <f t="array" ref="AJ166">IFERROR(INDEX(Tableau2[TS],MATCH(1,(Tableau2[Ref-Carte]=Tableau3[[#This Row],[Ref-Carte2]])*(Tableau2[ID-Voie]=Tableau3[[#This Row],[ID-VOIE]]),0)),"")</f>
        <v>ET</v>
      </c>
      <c r="AK166" s="72" t="str">
        <f>IFERROR(INDEX(Tableau2[TS],SUMPRODUCT((Tableau2[Ref-Carte]=Tableau3[[#This Row],[Ref-Carte2]])*(Tableau2[ID-Voie]=Tableau3[[#This Row],[ID-VOIE]])*ROW(Tableau2[TS]))-ROW(Tableau2[#Headers])),"")</f>
        <v>ET</v>
      </c>
      <c r="AL166" s="72" t="str">
        <f>Tableau3[[#This Row],[Ref-Carte2]]&amp;"/"&amp;Tableau3[[#This Row],[ID-VOIE]]</f>
        <v>SDI1602/12</v>
      </c>
      <c r="AM166" s="73" t="str">
        <f>INDEX(Tableau2[Borne],MATCH(Tableau3[[#This Row],[ID-CARTEVOIE]],Tableau2[ID-CARTEVOIE],0))&amp;""</f>
        <v>6B</v>
      </c>
      <c r="AN166" s="74" t="str">
        <f>Tableau3[[#This Row],[ID-API]]&amp;Tableau3[[#This Row],[ID-RACK]]&amp;Tableau3[[#This Row],[ID-SLOT]]&amp;Tableau3[[#This Row],[BORNE]]</f>
        <v>1286B</v>
      </c>
      <c r="AO166" s="1"/>
    </row>
    <row r="167" spans="1:41" ht="20.100000000000001" customHeight="1" thickTop="1" thickBot="1">
      <c r="A167" s="68"/>
      <c r="B167" s="69" t="str">
        <f>IFERROR(INDEX(Tableau4[Date],MATCH($A167,Tableau4[EVO],0)),"")</f>
        <v/>
      </c>
      <c r="C167" s="68" t="str">
        <f>IFERROR(INDEX(Tableau4[Designation],MATCH($A167,Tableau4[EVO],0)),"")</f>
        <v/>
      </c>
      <c r="D167" s="68"/>
      <c r="E167" s="70">
        <v>187</v>
      </c>
      <c r="F167" s="71">
        <v>104</v>
      </c>
      <c r="G167" s="101" t="str">
        <f>INDEX(Tableau8[Att1],MATCH(Tableau3[[#This Row],[ID-INS]],Tableau8[ID],0))&amp;""</f>
        <v>X</v>
      </c>
      <c r="H167" s="101" t="str">
        <f>INDEX(Tableau8[Att2],MATCH(Tableau3[[#This Row],[ID-INS]],Tableau8[ID],0))&amp;""</f>
        <v>EL5</v>
      </c>
      <c r="I167" s="101" t="str">
        <f>INDEX(Tableau8[Att3],MATCH(Tableau3[[#This Row],[ID-INS]],Tableau8[ID],0))&amp;""</f>
        <v>PMR2</v>
      </c>
      <c r="J167" s="101"/>
      <c r="K167" s="167" t="str">
        <f>INDEX(Tableau8[Nom du modele],MATCH(Tableau3[[#This Row],[ID-INS]],Tableau8[ID],0))&amp;""</f>
        <v>SurvElec</v>
      </c>
      <c r="L167" s="99" t="str">
        <f>INDEX(Tableau5[Att1],MATCH(Tableau3[[#This Row],[ID-SIG]],Tableau5[ID],0))&amp;""</f>
        <v>Def</v>
      </c>
      <c r="M167" s="99" t="str">
        <f>INDEX(Tableau5[Att2],MATCH(Tableau3[[#This Row],[ID-SIG]],Tableau5[ID],0))&amp;""</f>
        <v/>
      </c>
      <c r="N167" s="99" t="str">
        <f>INDEX(Tableau5[Att3],MATCH(Tableau3[[#This Row],[ID-SIG]],Tableau5[ID],0))&amp;""</f>
        <v/>
      </c>
      <c r="O167" s="99"/>
      <c r="P167" s="99" t="str">
        <f>INDEX(Tableau5[Description],MATCH(Tableau3[[#This Row],[ID-SIG]],Tableau5[ID],0))</f>
        <v>Défaut</v>
      </c>
      <c r="Q167" s="99"/>
      <c r="R167" s="103" t="str">
        <f>Tableau3[[#This Row],[Description]]</f>
        <v>Défaut</v>
      </c>
      <c r="U167" s="87">
        <v>1</v>
      </c>
      <c r="V167" s="87">
        <v>2</v>
      </c>
      <c r="W167" s="87">
        <v>8</v>
      </c>
      <c r="X167" s="87">
        <v>13</v>
      </c>
      <c r="Y167" s="40"/>
      <c r="Z167" s="165" t="str">
        <f>INDEX(Tableau2[TS],MATCH(Tableau3[[#This Row],[ID-CARTEVOIE]],Tableau2[ID-CARTEVOIE],0))</f>
        <v>ET</v>
      </c>
      <c r="AA167" s="53" t="s">
        <v>213</v>
      </c>
      <c r="AB167" s="223" t="str">
        <f>IFERROR(INDEX(Tableau5[Reserve],MATCH(Tableau3[[#This Row],[ID-SIG]],Tableau5[ID],0))&amp;"","")</f>
        <v/>
      </c>
      <c r="AC167" s="21"/>
      <c r="AD167" s="108" t="str">
        <f>INDEX(Tableau7[Repere],MATCH(Tableau3[[#This Row],[ID-API]],Tableau7[ID-API],0))&amp;""</f>
        <v>A1</v>
      </c>
      <c r="AE167" s="108" t="str">
        <f>INDEX(Tableau1[Repere-Rack],MATCH(Tableau3[[#This Row],[ID-RACK]],Tableau1[ID-RACK],0))&amp;""</f>
        <v>R2</v>
      </c>
      <c r="AF167" s="108" t="str">
        <f>INDEX(Tableau1[Repere-Slot],MATCH(Tableau3[[#This Row],[ID-SLOT]],Tableau1[ID-SLOT],0))&amp;""</f>
        <v>S8</v>
      </c>
      <c r="AG167" s="108" t="str">
        <f>INDEX(Tableau2[Repere-Voie],MATCH(Tableau3[[#This Row],[ID-VOIE]],Tableau2[ID-Voie],0))&amp;""</f>
        <v>v13</v>
      </c>
      <c r="AH167" s="72" t="str">
        <f>Tableau3[[#This Row],[ID-API]]&amp; "." &amp;Tableau3[[#This Row],[ID-RACK]]&amp; "." &amp;Tableau3[[#This Row],[ID-SLOT]]</f>
        <v>1.2.8</v>
      </c>
      <c r="AI167" s="72" t="str">
        <f>INDEX(Tableau1[Ref-Carte],MATCH(Tableau3[[#This Row],[ID-RRS]],Tableau1[ID-RRS],0))</f>
        <v>SDI1602</v>
      </c>
      <c r="AJ167" s="72" t="str">
        <f t="array" ref="AJ167">IFERROR(INDEX(Tableau2[TS],MATCH(1,(Tableau2[Ref-Carte]=Tableau3[[#This Row],[Ref-Carte2]])*(Tableau2[ID-Voie]=Tableau3[[#This Row],[ID-VOIE]]),0)),"")</f>
        <v>ET</v>
      </c>
      <c r="AK167" s="72" t="str">
        <f>IFERROR(INDEX(Tableau2[TS],SUMPRODUCT((Tableau2[Ref-Carte]=Tableau3[[#This Row],[Ref-Carte2]])*(Tableau2[ID-Voie]=Tableau3[[#This Row],[ID-VOIE]])*ROW(Tableau2[TS]))-ROW(Tableau2[#Headers])),"")</f>
        <v>ET</v>
      </c>
      <c r="AL167" s="72" t="str">
        <f>Tableau3[[#This Row],[Ref-Carte2]]&amp;"/"&amp;Tableau3[[#This Row],[ID-VOIE]]</f>
        <v>SDI1602/13</v>
      </c>
      <c r="AM167" s="73" t="str">
        <f>INDEX(Tableau2[Borne],MATCH(Tableau3[[#This Row],[ID-CARTEVOIE]],Tableau2[ID-CARTEVOIE],0))&amp;""</f>
        <v>6A</v>
      </c>
      <c r="AN167" s="74" t="str">
        <f>Tableau3[[#This Row],[ID-API]]&amp;Tableau3[[#This Row],[ID-RACK]]&amp;Tableau3[[#This Row],[ID-SLOT]]&amp;Tableau3[[#This Row],[BORNE]]</f>
        <v>1286A</v>
      </c>
      <c r="AO167" s="1"/>
    </row>
    <row r="168" spans="1:41" ht="20.100000000000001" customHeight="1" thickTop="1" thickBot="1">
      <c r="A168" s="68"/>
      <c r="B168" s="69" t="str">
        <f>IFERROR(INDEX(Tableau4[Date],MATCH($A168,Tableau4[EVO],0)),"")</f>
        <v/>
      </c>
      <c r="C168" s="68" t="str">
        <f>IFERROR(INDEX(Tableau4[Designation],MATCH($A168,Tableau4[EVO],0)),"")</f>
        <v/>
      </c>
      <c r="D168" s="68"/>
      <c r="E168" s="70">
        <v>188</v>
      </c>
      <c r="F168" s="71">
        <v>104</v>
      </c>
      <c r="G168" s="101" t="str">
        <f>INDEX(Tableau8[Att1],MATCH(Tableau3[[#This Row],[ID-INS]],Tableau8[ID],0))&amp;""</f>
        <v>X</v>
      </c>
      <c r="H168" s="101" t="str">
        <f>INDEX(Tableau8[Att2],MATCH(Tableau3[[#This Row],[ID-INS]],Tableau8[ID],0))&amp;""</f>
        <v>EL6</v>
      </c>
      <c r="I168" s="101" t="str">
        <f>INDEX(Tableau8[Att3],MATCH(Tableau3[[#This Row],[ID-INS]],Tableau8[ID],0))&amp;""</f>
        <v>PMR4</v>
      </c>
      <c r="J168" s="101"/>
      <c r="K168" s="167" t="str">
        <f>INDEX(Tableau8[Nom du modele],MATCH(Tableau3[[#This Row],[ID-INS]],Tableau8[ID],0))&amp;""</f>
        <v>SurvElec</v>
      </c>
      <c r="L168" s="99" t="str">
        <f>INDEX(Tableau5[Att1],MATCH(Tableau3[[#This Row],[ID-SIG]],Tableau5[ID],0))&amp;""</f>
        <v>Def</v>
      </c>
      <c r="M168" s="99" t="str">
        <f>INDEX(Tableau5[Att2],MATCH(Tableau3[[#This Row],[ID-SIG]],Tableau5[ID],0))&amp;""</f>
        <v/>
      </c>
      <c r="N168" s="99" t="str">
        <f>INDEX(Tableau5[Att3],MATCH(Tableau3[[#This Row],[ID-SIG]],Tableau5[ID],0))&amp;""</f>
        <v/>
      </c>
      <c r="O168" s="99"/>
      <c r="P168" s="99" t="str">
        <f>INDEX(Tableau5[Description],MATCH(Tableau3[[#This Row],[ID-SIG]],Tableau5[ID],0))</f>
        <v>Défaut</v>
      </c>
      <c r="Q168" s="99"/>
      <c r="R168" s="103" t="str">
        <f>Tableau3[[#This Row],[Description]]</f>
        <v>Défaut</v>
      </c>
      <c r="U168" s="87">
        <v>1</v>
      </c>
      <c r="V168" s="87">
        <v>2</v>
      </c>
      <c r="W168" s="87">
        <v>8</v>
      </c>
      <c r="X168" s="87">
        <v>14</v>
      </c>
      <c r="Y168" s="40"/>
      <c r="Z168" s="165" t="str">
        <f>INDEX(Tableau2[TS],MATCH(Tableau3[[#This Row],[ID-CARTEVOIE]],Tableau2[ID-CARTEVOIE],0))</f>
        <v>ET</v>
      </c>
      <c r="AA168" s="53" t="s">
        <v>213</v>
      </c>
      <c r="AB168" s="223" t="str">
        <f>IFERROR(INDEX(Tableau5[Reserve],MATCH(Tableau3[[#This Row],[ID-SIG]],Tableau5[ID],0))&amp;"","")</f>
        <v/>
      </c>
      <c r="AC168" s="21"/>
      <c r="AD168" s="108" t="str">
        <f>INDEX(Tableau7[Repere],MATCH(Tableau3[[#This Row],[ID-API]],Tableau7[ID-API],0))&amp;""</f>
        <v>A1</v>
      </c>
      <c r="AE168" s="108" t="str">
        <f>INDEX(Tableau1[Repere-Rack],MATCH(Tableau3[[#This Row],[ID-RACK]],Tableau1[ID-RACK],0))&amp;""</f>
        <v>R2</v>
      </c>
      <c r="AF168" s="108" t="str">
        <f>INDEX(Tableau1[Repere-Slot],MATCH(Tableau3[[#This Row],[ID-SLOT]],Tableau1[ID-SLOT],0))&amp;""</f>
        <v>S8</v>
      </c>
      <c r="AG168" s="108" t="str">
        <f>INDEX(Tableau2[Repere-Voie],MATCH(Tableau3[[#This Row],[ID-VOIE]],Tableau2[ID-Voie],0))&amp;""</f>
        <v>v14</v>
      </c>
      <c r="AH168" s="72" t="str">
        <f>Tableau3[[#This Row],[ID-API]]&amp; "." &amp;Tableau3[[#This Row],[ID-RACK]]&amp; "." &amp;Tableau3[[#This Row],[ID-SLOT]]</f>
        <v>1.2.8</v>
      </c>
      <c r="AI168" s="72" t="str">
        <f>INDEX(Tableau1[Ref-Carte],MATCH(Tableau3[[#This Row],[ID-RRS]],Tableau1[ID-RRS],0))</f>
        <v>SDI1602</v>
      </c>
      <c r="AJ168" s="72" t="str">
        <f t="array" ref="AJ168">IFERROR(INDEX(Tableau2[TS],MATCH(1,(Tableau2[Ref-Carte]=Tableau3[[#This Row],[Ref-Carte2]])*(Tableau2[ID-Voie]=Tableau3[[#This Row],[ID-VOIE]]),0)),"")</f>
        <v>ET</v>
      </c>
      <c r="AK168" s="72" t="str">
        <f>IFERROR(INDEX(Tableau2[TS],SUMPRODUCT((Tableau2[Ref-Carte]=Tableau3[[#This Row],[Ref-Carte2]])*(Tableau2[ID-Voie]=Tableau3[[#This Row],[ID-VOIE]])*ROW(Tableau2[TS]))-ROW(Tableau2[#Headers])),"")</f>
        <v>ET</v>
      </c>
      <c r="AL168" s="72" t="str">
        <f>Tableau3[[#This Row],[Ref-Carte2]]&amp;"/"&amp;Tableau3[[#This Row],[ID-VOIE]]</f>
        <v>SDI1602/14</v>
      </c>
      <c r="AM168" s="73" t="str">
        <f>INDEX(Tableau2[Borne],MATCH(Tableau3[[#This Row],[ID-CARTEVOIE]],Tableau2[ID-CARTEVOIE],0))&amp;""</f>
        <v>7B</v>
      </c>
      <c r="AN168" s="74" t="str">
        <f>Tableau3[[#This Row],[ID-API]]&amp;Tableau3[[#This Row],[ID-RACK]]&amp;Tableau3[[#This Row],[ID-SLOT]]&amp;Tableau3[[#This Row],[BORNE]]</f>
        <v>1287B</v>
      </c>
      <c r="AO168" s="1"/>
    </row>
    <row r="169" spans="1:41" ht="20.100000000000001" customHeight="1" thickTop="1" thickBot="1">
      <c r="A169" s="68"/>
      <c r="B169" s="69" t="str">
        <f>IFERROR(INDEX(Tableau4[Date],MATCH($A169,Tableau4[EVO],0)),"")</f>
        <v/>
      </c>
      <c r="C169" s="68" t="str">
        <f>IFERROR(INDEX(Tableau4[Designation],MATCH($A169,Tableau4[EVO],0)),"")</f>
        <v/>
      </c>
      <c r="D169" s="68"/>
      <c r="E169" s="70">
        <v>189</v>
      </c>
      <c r="F169" s="71">
        <v>104</v>
      </c>
      <c r="G169" s="101" t="str">
        <f>INDEX(Tableau8[Att1],MATCH(Tableau3[[#This Row],[ID-INS]],Tableau8[ID],0))&amp;""</f>
        <v>X</v>
      </c>
      <c r="H169" s="101" t="str">
        <f>INDEX(Tableau8[Att2],MATCH(Tableau3[[#This Row],[ID-INS]],Tableau8[ID],0))&amp;""</f>
        <v>EL7</v>
      </c>
      <c r="I169" s="101" t="str">
        <f>INDEX(Tableau8[Att3],MATCH(Tableau3[[#This Row],[ID-INS]],Tableau8[ID],0))&amp;""</f>
        <v>PMR5</v>
      </c>
      <c r="J169" s="101"/>
      <c r="K169" s="167" t="str">
        <f>INDEX(Tableau8[Nom du modele],MATCH(Tableau3[[#This Row],[ID-INS]],Tableau8[ID],0))&amp;""</f>
        <v>SurvElec</v>
      </c>
      <c r="L169" s="99" t="str">
        <f>INDEX(Tableau5[Att1],MATCH(Tableau3[[#This Row],[ID-SIG]],Tableau5[ID],0))&amp;""</f>
        <v>Def</v>
      </c>
      <c r="M169" s="99" t="str">
        <f>INDEX(Tableau5[Att2],MATCH(Tableau3[[#This Row],[ID-SIG]],Tableau5[ID],0))&amp;""</f>
        <v/>
      </c>
      <c r="N169" s="99" t="str">
        <f>INDEX(Tableau5[Att3],MATCH(Tableau3[[#This Row],[ID-SIG]],Tableau5[ID],0))&amp;""</f>
        <v/>
      </c>
      <c r="O169" s="99"/>
      <c r="P169" s="99" t="str">
        <f>INDEX(Tableau5[Description],MATCH(Tableau3[[#This Row],[ID-SIG]],Tableau5[ID],0))</f>
        <v>Défaut</v>
      </c>
      <c r="Q169" s="99"/>
      <c r="R169" s="103" t="str">
        <f>Tableau3[[#This Row],[Description]]</f>
        <v>Défaut</v>
      </c>
      <c r="U169" s="87">
        <v>1</v>
      </c>
      <c r="V169" s="87">
        <v>2</v>
      </c>
      <c r="W169" s="87">
        <v>8</v>
      </c>
      <c r="X169" s="87">
        <v>15</v>
      </c>
      <c r="Y169" s="40"/>
      <c r="Z169" s="165" t="str">
        <f>INDEX(Tableau2[TS],MATCH(Tableau3[[#This Row],[ID-CARTEVOIE]],Tableau2[ID-CARTEVOIE],0))</f>
        <v>ET</v>
      </c>
      <c r="AA169" s="53" t="s">
        <v>213</v>
      </c>
      <c r="AB169" s="223" t="str">
        <f>IFERROR(INDEX(Tableau5[Reserve],MATCH(Tableau3[[#This Row],[ID-SIG]],Tableau5[ID],0))&amp;"","")</f>
        <v/>
      </c>
      <c r="AC169" s="21"/>
      <c r="AD169" s="108" t="str">
        <f>INDEX(Tableau7[Repere],MATCH(Tableau3[[#This Row],[ID-API]],Tableau7[ID-API],0))&amp;""</f>
        <v>A1</v>
      </c>
      <c r="AE169" s="108" t="str">
        <f>INDEX(Tableau1[Repere-Rack],MATCH(Tableau3[[#This Row],[ID-RACK]],Tableau1[ID-RACK],0))&amp;""</f>
        <v>R2</v>
      </c>
      <c r="AF169" s="108" t="str">
        <f>INDEX(Tableau1[Repere-Slot],MATCH(Tableau3[[#This Row],[ID-SLOT]],Tableau1[ID-SLOT],0))&amp;""</f>
        <v>S8</v>
      </c>
      <c r="AG169" s="108" t="str">
        <f>INDEX(Tableau2[Repere-Voie],MATCH(Tableau3[[#This Row],[ID-VOIE]],Tableau2[ID-Voie],0))&amp;""</f>
        <v>v15</v>
      </c>
      <c r="AH169" s="72" t="str">
        <f>Tableau3[[#This Row],[ID-API]]&amp; "." &amp;Tableau3[[#This Row],[ID-RACK]]&amp; "." &amp;Tableau3[[#This Row],[ID-SLOT]]</f>
        <v>1.2.8</v>
      </c>
      <c r="AI169" s="72" t="str">
        <f>INDEX(Tableau1[Ref-Carte],MATCH(Tableau3[[#This Row],[ID-RRS]],Tableau1[ID-RRS],0))</f>
        <v>SDI1602</v>
      </c>
      <c r="AJ169" s="72" t="str">
        <f t="array" ref="AJ169">IFERROR(INDEX(Tableau2[TS],MATCH(1,(Tableau2[Ref-Carte]=Tableau3[[#This Row],[Ref-Carte2]])*(Tableau2[ID-Voie]=Tableau3[[#This Row],[ID-VOIE]]),0)),"")</f>
        <v>ET</v>
      </c>
      <c r="AK169" s="72" t="str">
        <f>IFERROR(INDEX(Tableau2[TS],SUMPRODUCT((Tableau2[Ref-Carte]=Tableau3[[#This Row],[Ref-Carte2]])*(Tableau2[ID-Voie]=Tableau3[[#This Row],[ID-VOIE]])*ROW(Tableau2[TS]))-ROW(Tableau2[#Headers])),"")</f>
        <v>ET</v>
      </c>
      <c r="AL169" s="72" t="str">
        <f>Tableau3[[#This Row],[Ref-Carte2]]&amp;"/"&amp;Tableau3[[#This Row],[ID-VOIE]]</f>
        <v>SDI1602/15</v>
      </c>
      <c r="AM169" s="73" t="str">
        <f>INDEX(Tableau2[Borne],MATCH(Tableau3[[#This Row],[ID-CARTEVOIE]],Tableau2[ID-CARTEVOIE],0))&amp;""</f>
        <v>7A</v>
      </c>
      <c r="AN169" s="74" t="str">
        <f>Tableau3[[#This Row],[ID-API]]&amp;Tableau3[[#This Row],[ID-RACK]]&amp;Tableau3[[#This Row],[ID-SLOT]]&amp;Tableau3[[#This Row],[BORNE]]</f>
        <v>1287A</v>
      </c>
      <c r="AO169" s="1"/>
    </row>
    <row r="170" spans="1:41" ht="20.100000000000001" customHeight="1" thickTop="1" thickBot="1">
      <c r="A170" s="68"/>
      <c r="B170" s="69" t="str">
        <f>IFERROR(INDEX(Tableau4[Date],MATCH($A170,Tableau4[EVO],0)),"")</f>
        <v/>
      </c>
      <c r="C170" s="68" t="str">
        <f>IFERROR(INDEX(Tableau4[Designation],MATCH($A170,Tableau4[EVO],0)),"")</f>
        <v/>
      </c>
      <c r="D170" s="68"/>
      <c r="E170" s="70">
        <v>190</v>
      </c>
      <c r="F170" s="71">
        <v>104</v>
      </c>
      <c r="G170" s="101" t="str">
        <f>INDEX(Tableau8[Att1],MATCH(Tableau3[[#This Row],[ID-INS]],Tableau8[ID],0))&amp;""</f>
        <v>X</v>
      </c>
      <c r="H170" s="101" t="str">
        <f>INDEX(Tableau8[Att2],MATCH(Tableau3[[#This Row],[ID-INS]],Tableau8[ID],0))&amp;""</f>
        <v>EL8</v>
      </c>
      <c r="I170" s="101" t="str">
        <f>INDEX(Tableau8[Att3],MATCH(Tableau3[[#This Row],[ID-INS]],Tableau8[ID],0))&amp;""</f>
        <v>PMR6</v>
      </c>
      <c r="J170" s="101"/>
      <c r="K170" s="167" t="str">
        <f>INDEX(Tableau8[Nom du modele],MATCH(Tableau3[[#This Row],[ID-INS]],Tableau8[ID],0))&amp;""</f>
        <v>SurvElec</v>
      </c>
      <c r="L170" s="99" t="str">
        <f>INDEX(Tableau5[Att1],MATCH(Tableau3[[#This Row],[ID-SIG]],Tableau5[ID],0))&amp;""</f>
        <v>Def</v>
      </c>
      <c r="M170" s="99" t="str">
        <f>INDEX(Tableau5[Att2],MATCH(Tableau3[[#This Row],[ID-SIG]],Tableau5[ID],0))&amp;""</f>
        <v/>
      </c>
      <c r="N170" s="99" t="str">
        <f>INDEX(Tableau5[Att3],MATCH(Tableau3[[#This Row],[ID-SIG]],Tableau5[ID],0))&amp;""</f>
        <v/>
      </c>
      <c r="O170" s="99"/>
      <c r="P170" s="99" t="str">
        <f>INDEX(Tableau5[Description],MATCH(Tableau3[[#This Row],[ID-SIG]],Tableau5[ID],0))</f>
        <v>Défaut</v>
      </c>
      <c r="Q170" s="99"/>
      <c r="R170" s="103" t="str">
        <f>Tableau3[[#This Row],[Description]]</f>
        <v>Défaut</v>
      </c>
      <c r="U170" s="87">
        <v>1</v>
      </c>
      <c r="V170" s="87">
        <v>2</v>
      </c>
      <c r="W170" s="87">
        <v>9</v>
      </c>
      <c r="X170" s="87">
        <v>0</v>
      </c>
      <c r="Y170" s="40"/>
      <c r="Z170" s="165" t="str">
        <f>INDEX(Tableau2[TS],MATCH(Tableau3[[#This Row],[ID-CARTEVOIE]],Tableau2[ID-CARTEVOIE],0))</f>
        <v>ET</v>
      </c>
      <c r="AA170" s="53" t="s">
        <v>213</v>
      </c>
      <c r="AB170" s="223" t="str">
        <f>IFERROR(INDEX(Tableau5[Reserve],MATCH(Tableau3[[#This Row],[ID-SIG]],Tableau5[ID],0))&amp;"","")</f>
        <v/>
      </c>
      <c r="AC170" s="21"/>
      <c r="AD170" s="108" t="str">
        <f>INDEX(Tableau7[Repere],MATCH(Tableau3[[#This Row],[ID-API]],Tableau7[ID-API],0))&amp;""</f>
        <v>A1</v>
      </c>
      <c r="AE170" s="108" t="str">
        <f>INDEX(Tableau1[Repere-Rack],MATCH(Tableau3[[#This Row],[ID-RACK]],Tableau1[ID-RACK],0))&amp;""</f>
        <v>R2</v>
      </c>
      <c r="AF170" s="108" t="str">
        <f>INDEX(Tableau1[Repere-Slot],MATCH(Tableau3[[#This Row],[ID-SLOT]],Tableau1[ID-SLOT],0))&amp;""</f>
        <v>S9</v>
      </c>
      <c r="AG170" s="108" t="str">
        <f>INDEX(Tableau2[Repere-Voie],MATCH(Tableau3[[#This Row],[ID-VOIE]],Tableau2[ID-Voie],0))&amp;""</f>
        <v>v0</v>
      </c>
      <c r="AH170" s="72" t="str">
        <f>Tableau3[[#This Row],[ID-API]]&amp; "." &amp;Tableau3[[#This Row],[ID-RACK]]&amp; "." &amp;Tableau3[[#This Row],[ID-SLOT]]</f>
        <v>1.2.9</v>
      </c>
      <c r="AI170" s="72" t="str">
        <f>INDEX(Tableau1[Ref-Carte],MATCH(Tableau3[[#This Row],[ID-RRS]],Tableau1[ID-RRS],0))</f>
        <v>SDI1602</v>
      </c>
      <c r="AJ170" s="72" t="str">
        <f t="array" ref="AJ170">IFERROR(INDEX(Tableau2[TS],MATCH(1,(Tableau2[Ref-Carte]=Tableau3[[#This Row],[Ref-Carte2]])*(Tableau2[ID-Voie]=Tableau3[[#This Row],[ID-VOIE]]),0)),"")</f>
        <v>ET</v>
      </c>
      <c r="AK170" s="72" t="str">
        <f>IFERROR(INDEX(Tableau2[TS],SUMPRODUCT((Tableau2[Ref-Carte]=Tableau3[[#This Row],[Ref-Carte2]])*(Tableau2[ID-Voie]=Tableau3[[#This Row],[ID-VOIE]])*ROW(Tableau2[TS]))-ROW(Tableau2[#Headers])),"")</f>
        <v>ET</v>
      </c>
      <c r="AL170" s="72" t="str">
        <f>Tableau3[[#This Row],[Ref-Carte2]]&amp;"/"&amp;Tableau3[[#This Row],[ID-VOIE]]</f>
        <v>SDI1602/0</v>
      </c>
      <c r="AM170" s="73" t="str">
        <f>INDEX(Tableau2[Borne],MATCH(Tableau3[[#This Row],[ID-CARTEVOIE]],Tableau2[ID-CARTEVOIE],0))&amp;""</f>
        <v>0B</v>
      </c>
      <c r="AN170" s="74" t="str">
        <f>Tableau3[[#This Row],[ID-API]]&amp;Tableau3[[#This Row],[ID-RACK]]&amp;Tableau3[[#This Row],[ID-SLOT]]&amp;Tableau3[[#This Row],[BORNE]]</f>
        <v>1290B</v>
      </c>
      <c r="AO170" s="1"/>
    </row>
    <row r="171" spans="1:41" ht="20.100000000000001" customHeight="1" thickTop="1" thickBot="1">
      <c r="A171" s="68"/>
      <c r="B171" s="69" t="str">
        <f>IFERROR(INDEX(Tableau4[Date],MATCH($A171,Tableau4[EVO],0)),"")</f>
        <v/>
      </c>
      <c r="C171" s="68" t="str">
        <f>IFERROR(INDEX(Tableau4[Designation],MATCH($A171,Tableau4[EVO],0)),"")</f>
        <v/>
      </c>
      <c r="D171" s="68"/>
      <c r="E171" s="70">
        <v>191</v>
      </c>
      <c r="F171" s="71">
        <v>104</v>
      </c>
      <c r="G171" s="101" t="str">
        <f>INDEX(Tableau8[Att1],MATCH(Tableau3[[#This Row],[ID-INS]],Tableau8[ID],0))&amp;""</f>
        <v>X</v>
      </c>
      <c r="H171" s="101" t="str">
        <f>INDEX(Tableau8[Att2],MATCH(Tableau3[[#This Row],[ID-INS]],Tableau8[ID],0))&amp;""</f>
        <v>EL9</v>
      </c>
      <c r="I171" s="101" t="str">
        <f>INDEX(Tableau8[Att3],MATCH(Tableau3[[#This Row],[ID-INS]],Tableau8[ID],0))&amp;""</f>
        <v>Tourniquet TRSD2</v>
      </c>
      <c r="J171" s="101"/>
      <c r="K171" s="167" t="str">
        <f>INDEX(Tableau8[Nom du modele],MATCH(Tableau3[[#This Row],[ID-INS]],Tableau8[ID],0))&amp;""</f>
        <v>SurvElec</v>
      </c>
      <c r="L171" s="99" t="str">
        <f>INDEX(Tableau5[Att1],MATCH(Tableau3[[#This Row],[ID-SIG]],Tableau5[ID],0))&amp;""</f>
        <v>Def</v>
      </c>
      <c r="M171" s="99" t="str">
        <f>INDEX(Tableau5[Att2],MATCH(Tableau3[[#This Row],[ID-SIG]],Tableau5[ID],0))&amp;""</f>
        <v/>
      </c>
      <c r="N171" s="99" t="str">
        <f>INDEX(Tableau5[Att3],MATCH(Tableau3[[#This Row],[ID-SIG]],Tableau5[ID],0))&amp;""</f>
        <v/>
      </c>
      <c r="O171" s="99"/>
      <c r="P171" s="99" t="str">
        <f>INDEX(Tableau5[Description],MATCH(Tableau3[[#This Row],[ID-SIG]],Tableau5[ID],0))</f>
        <v>Défaut</v>
      </c>
      <c r="Q171" s="99"/>
      <c r="R171" s="103" t="str">
        <f>Tableau3[[#This Row],[Description]]</f>
        <v>Défaut</v>
      </c>
      <c r="U171" s="87">
        <v>1</v>
      </c>
      <c r="V171" s="87">
        <v>2</v>
      </c>
      <c r="W171" s="87">
        <v>9</v>
      </c>
      <c r="X171" s="87">
        <v>1</v>
      </c>
      <c r="Y171" s="40"/>
      <c r="Z171" s="165" t="str">
        <f>INDEX(Tableau2[TS],MATCH(Tableau3[[#This Row],[ID-CARTEVOIE]],Tableau2[ID-CARTEVOIE],0))</f>
        <v>ET</v>
      </c>
      <c r="AA171" s="53" t="s">
        <v>213</v>
      </c>
      <c r="AB171" s="223" t="str">
        <f>IFERROR(INDEX(Tableau5[Reserve],MATCH(Tableau3[[#This Row],[ID-SIG]],Tableau5[ID],0))&amp;"","")</f>
        <v/>
      </c>
      <c r="AC171" s="21"/>
      <c r="AD171" s="108" t="str">
        <f>INDEX(Tableau7[Repere],MATCH(Tableau3[[#This Row],[ID-API]],Tableau7[ID-API],0))&amp;""</f>
        <v>A1</v>
      </c>
      <c r="AE171" s="108" t="str">
        <f>INDEX(Tableau1[Repere-Rack],MATCH(Tableau3[[#This Row],[ID-RACK]],Tableau1[ID-RACK],0))&amp;""</f>
        <v>R2</v>
      </c>
      <c r="AF171" s="108" t="str">
        <f>INDEX(Tableau1[Repere-Slot],MATCH(Tableau3[[#This Row],[ID-SLOT]],Tableau1[ID-SLOT],0))&amp;""</f>
        <v>S9</v>
      </c>
      <c r="AG171" s="108" t="str">
        <f>INDEX(Tableau2[Repere-Voie],MATCH(Tableau3[[#This Row],[ID-VOIE]],Tableau2[ID-Voie],0))&amp;""</f>
        <v>v1</v>
      </c>
      <c r="AH171" s="72" t="str">
        <f>Tableau3[[#This Row],[ID-API]]&amp; "." &amp;Tableau3[[#This Row],[ID-RACK]]&amp; "." &amp;Tableau3[[#This Row],[ID-SLOT]]</f>
        <v>1.2.9</v>
      </c>
      <c r="AI171" s="72" t="str">
        <f>INDEX(Tableau1[Ref-Carte],MATCH(Tableau3[[#This Row],[ID-RRS]],Tableau1[ID-RRS],0))</f>
        <v>SDI1602</v>
      </c>
      <c r="AJ171" s="72" t="str">
        <f t="array" ref="AJ171">IFERROR(INDEX(Tableau2[TS],MATCH(1,(Tableau2[Ref-Carte]=Tableau3[[#This Row],[Ref-Carte2]])*(Tableau2[ID-Voie]=Tableau3[[#This Row],[ID-VOIE]]),0)),"")</f>
        <v>ET</v>
      </c>
      <c r="AK171" s="72" t="str">
        <f>IFERROR(INDEX(Tableau2[TS],SUMPRODUCT((Tableau2[Ref-Carte]=Tableau3[[#This Row],[Ref-Carte2]])*(Tableau2[ID-Voie]=Tableau3[[#This Row],[ID-VOIE]])*ROW(Tableau2[TS]))-ROW(Tableau2[#Headers])),"")</f>
        <v>ET</v>
      </c>
      <c r="AL171" s="72" t="str">
        <f>Tableau3[[#This Row],[Ref-Carte2]]&amp;"/"&amp;Tableau3[[#This Row],[ID-VOIE]]</f>
        <v>SDI1602/1</v>
      </c>
      <c r="AM171" s="73" t="str">
        <f>INDEX(Tableau2[Borne],MATCH(Tableau3[[#This Row],[ID-CARTEVOIE]],Tableau2[ID-CARTEVOIE],0))&amp;""</f>
        <v>0A</v>
      </c>
      <c r="AN171" s="74" t="str">
        <f>Tableau3[[#This Row],[ID-API]]&amp;Tableau3[[#This Row],[ID-RACK]]&amp;Tableau3[[#This Row],[ID-SLOT]]&amp;Tableau3[[#This Row],[BORNE]]</f>
        <v>1290A</v>
      </c>
      <c r="AO171" s="1"/>
    </row>
    <row r="172" spans="1:41" ht="20.100000000000001" customHeight="1" thickTop="1" thickBot="1">
      <c r="A172" s="68"/>
      <c r="B172" s="69" t="str">
        <f>IFERROR(INDEX(Tableau4[Date],MATCH($A172,Tableau4[EVO],0)),"")</f>
        <v/>
      </c>
      <c r="C172" s="68" t="str">
        <f>IFERROR(INDEX(Tableau4[Designation],MATCH($A172,Tableau4[EVO],0)),"")</f>
        <v/>
      </c>
      <c r="D172" s="68"/>
      <c r="E172" s="70">
        <v>192</v>
      </c>
      <c r="F172" s="71">
        <v>104</v>
      </c>
      <c r="G172" s="101" t="str">
        <f>INDEX(Tableau8[Att1],MATCH(Tableau3[[#This Row],[ID-INS]],Tableau8[ID],0))&amp;""</f>
        <v>X</v>
      </c>
      <c r="H172" s="101" t="str">
        <f>INDEX(Tableau8[Att2],MATCH(Tableau3[[#This Row],[ID-INS]],Tableau8[ID],0))&amp;""</f>
        <v>EL10</v>
      </c>
      <c r="I172" s="101" t="str">
        <f>INDEX(Tableau8[Att3],MATCH(Tableau3[[#This Row],[ID-INS]],Tableau8[ID],0))&amp;""</f>
        <v>Tourniquet TRSD2</v>
      </c>
      <c r="J172" s="101"/>
      <c r="K172" s="167" t="str">
        <f>INDEX(Tableau8[Nom du modele],MATCH(Tableau3[[#This Row],[ID-INS]],Tableau8[ID],0))&amp;""</f>
        <v>SurvElec</v>
      </c>
      <c r="L172" s="99" t="str">
        <f>INDEX(Tableau5[Att1],MATCH(Tableau3[[#This Row],[ID-SIG]],Tableau5[ID],0))&amp;""</f>
        <v>Def</v>
      </c>
      <c r="M172" s="99" t="str">
        <f>INDEX(Tableau5[Att2],MATCH(Tableau3[[#This Row],[ID-SIG]],Tableau5[ID],0))&amp;""</f>
        <v/>
      </c>
      <c r="N172" s="99" t="str">
        <f>INDEX(Tableau5[Att3],MATCH(Tableau3[[#This Row],[ID-SIG]],Tableau5[ID],0))&amp;""</f>
        <v/>
      </c>
      <c r="O172" s="99"/>
      <c r="P172" s="99" t="str">
        <f>INDEX(Tableau5[Description],MATCH(Tableau3[[#This Row],[ID-SIG]],Tableau5[ID],0))</f>
        <v>Défaut</v>
      </c>
      <c r="Q172" s="99"/>
      <c r="R172" s="103" t="str">
        <f>Tableau3[[#This Row],[Description]]</f>
        <v>Défaut</v>
      </c>
      <c r="U172" s="87">
        <v>1</v>
      </c>
      <c r="V172" s="87">
        <v>2</v>
      </c>
      <c r="W172" s="87">
        <v>9</v>
      </c>
      <c r="X172" s="87">
        <v>2</v>
      </c>
      <c r="Y172" s="40"/>
      <c r="Z172" s="165" t="str">
        <f>INDEX(Tableau2[TS],MATCH(Tableau3[[#This Row],[ID-CARTEVOIE]],Tableau2[ID-CARTEVOIE],0))</f>
        <v>ET</v>
      </c>
      <c r="AA172" s="53" t="s">
        <v>213</v>
      </c>
      <c r="AB172" s="223" t="str">
        <f>IFERROR(INDEX(Tableau5[Reserve],MATCH(Tableau3[[#This Row],[ID-SIG]],Tableau5[ID],0))&amp;"","")</f>
        <v/>
      </c>
      <c r="AC172" s="21"/>
      <c r="AD172" s="108" t="str">
        <f>INDEX(Tableau7[Repere],MATCH(Tableau3[[#This Row],[ID-API]],Tableau7[ID-API],0))&amp;""</f>
        <v>A1</v>
      </c>
      <c r="AE172" s="108" t="str">
        <f>INDEX(Tableau1[Repere-Rack],MATCH(Tableau3[[#This Row],[ID-RACK]],Tableau1[ID-RACK],0))&amp;""</f>
        <v>R2</v>
      </c>
      <c r="AF172" s="108" t="str">
        <f>INDEX(Tableau1[Repere-Slot],MATCH(Tableau3[[#This Row],[ID-SLOT]],Tableau1[ID-SLOT],0))&amp;""</f>
        <v>S9</v>
      </c>
      <c r="AG172" s="108" t="str">
        <f>INDEX(Tableau2[Repere-Voie],MATCH(Tableau3[[#This Row],[ID-VOIE]],Tableau2[ID-Voie],0))&amp;""</f>
        <v>v2</v>
      </c>
      <c r="AH172" s="72" t="str">
        <f>Tableau3[[#This Row],[ID-API]]&amp; "." &amp;Tableau3[[#This Row],[ID-RACK]]&amp; "." &amp;Tableau3[[#This Row],[ID-SLOT]]</f>
        <v>1.2.9</v>
      </c>
      <c r="AI172" s="72" t="str">
        <f>INDEX(Tableau1[Ref-Carte],MATCH(Tableau3[[#This Row],[ID-RRS]],Tableau1[ID-RRS],0))</f>
        <v>SDI1602</v>
      </c>
      <c r="AJ172" s="72" t="str">
        <f t="array" ref="AJ172">IFERROR(INDEX(Tableau2[TS],MATCH(1,(Tableau2[Ref-Carte]=Tableau3[[#This Row],[Ref-Carte2]])*(Tableau2[ID-Voie]=Tableau3[[#This Row],[ID-VOIE]]),0)),"")</f>
        <v>ET</v>
      </c>
      <c r="AK172" s="72" t="str">
        <f>IFERROR(INDEX(Tableau2[TS],SUMPRODUCT((Tableau2[Ref-Carte]=Tableau3[[#This Row],[Ref-Carte2]])*(Tableau2[ID-Voie]=Tableau3[[#This Row],[ID-VOIE]])*ROW(Tableau2[TS]))-ROW(Tableau2[#Headers])),"")</f>
        <v>ET</v>
      </c>
      <c r="AL172" s="72" t="str">
        <f>Tableau3[[#This Row],[Ref-Carte2]]&amp;"/"&amp;Tableau3[[#This Row],[ID-VOIE]]</f>
        <v>SDI1602/2</v>
      </c>
      <c r="AM172" s="73" t="str">
        <f>INDEX(Tableau2[Borne],MATCH(Tableau3[[#This Row],[ID-CARTEVOIE]],Tableau2[ID-CARTEVOIE],0))&amp;""</f>
        <v>1B</v>
      </c>
      <c r="AN172" s="74" t="str">
        <f>Tableau3[[#This Row],[ID-API]]&amp;Tableau3[[#This Row],[ID-RACK]]&amp;Tableau3[[#This Row],[ID-SLOT]]&amp;Tableau3[[#This Row],[BORNE]]</f>
        <v>1291B</v>
      </c>
      <c r="AO172" s="1"/>
    </row>
    <row r="173" spans="1:41" ht="20.100000000000001" customHeight="1" thickTop="1" thickBot="1">
      <c r="A173" s="68"/>
      <c r="B173" s="69" t="str">
        <f>IFERROR(INDEX(Tableau4[Date],MATCH($A173,Tableau4[EVO],0)),"")</f>
        <v/>
      </c>
      <c r="C173" s="68" t="str">
        <f>IFERROR(INDEX(Tableau4[Designation],MATCH($A173,Tableau4[EVO],0)),"")</f>
        <v/>
      </c>
      <c r="D173" s="68"/>
      <c r="E173" s="70">
        <v>193</v>
      </c>
      <c r="F173" s="71">
        <v>104</v>
      </c>
      <c r="G173" s="101" t="str">
        <f>INDEX(Tableau8[Att1],MATCH(Tableau3[[#This Row],[ID-INS]],Tableau8[ID],0))&amp;""</f>
        <v>X</v>
      </c>
      <c r="H173" s="101" t="str">
        <f>INDEX(Tableau8[Att2],MATCH(Tableau3[[#This Row],[ID-INS]],Tableau8[ID],0))&amp;""</f>
        <v>EL11</v>
      </c>
      <c r="I173" s="101" t="str">
        <f>INDEX(Tableau8[Att3],MATCH(Tableau3[[#This Row],[ID-INS]],Tableau8[ID],0))&amp;""</f>
        <v>Tourniquet TRSS1</v>
      </c>
      <c r="J173" s="101"/>
      <c r="K173" s="167" t="str">
        <f>INDEX(Tableau8[Nom du modele],MATCH(Tableau3[[#This Row],[ID-INS]],Tableau8[ID],0))&amp;""</f>
        <v>SurvElec</v>
      </c>
      <c r="L173" s="99" t="str">
        <f>INDEX(Tableau5[Att1],MATCH(Tableau3[[#This Row],[ID-SIG]],Tableau5[ID],0))&amp;""</f>
        <v>Def</v>
      </c>
      <c r="M173" s="99" t="str">
        <f>INDEX(Tableau5[Att2],MATCH(Tableau3[[#This Row],[ID-SIG]],Tableau5[ID],0))&amp;""</f>
        <v/>
      </c>
      <c r="N173" s="99" t="str">
        <f>INDEX(Tableau5[Att3],MATCH(Tableau3[[#This Row],[ID-SIG]],Tableau5[ID],0))&amp;""</f>
        <v/>
      </c>
      <c r="O173" s="99"/>
      <c r="P173" s="99" t="str">
        <f>INDEX(Tableau5[Description],MATCH(Tableau3[[#This Row],[ID-SIG]],Tableau5[ID],0))</f>
        <v>Défaut</v>
      </c>
      <c r="Q173" s="99"/>
      <c r="R173" s="103" t="str">
        <f>Tableau3[[#This Row],[Description]]</f>
        <v>Défaut</v>
      </c>
      <c r="U173" s="87">
        <v>1</v>
      </c>
      <c r="V173" s="87">
        <v>2</v>
      </c>
      <c r="W173" s="87">
        <v>9</v>
      </c>
      <c r="X173" s="87">
        <v>3</v>
      </c>
      <c r="Y173" s="40"/>
      <c r="Z173" s="165" t="str">
        <f>INDEX(Tableau2[TS],MATCH(Tableau3[[#This Row],[ID-CARTEVOIE]],Tableau2[ID-CARTEVOIE],0))</f>
        <v>ET</v>
      </c>
      <c r="AA173" s="53" t="s">
        <v>213</v>
      </c>
      <c r="AB173" s="223" t="str">
        <f>IFERROR(INDEX(Tableau5[Reserve],MATCH(Tableau3[[#This Row],[ID-SIG]],Tableau5[ID],0))&amp;"","")</f>
        <v/>
      </c>
      <c r="AC173" s="21"/>
      <c r="AD173" s="108" t="str">
        <f>INDEX(Tableau7[Repere],MATCH(Tableau3[[#This Row],[ID-API]],Tableau7[ID-API],0))&amp;""</f>
        <v>A1</v>
      </c>
      <c r="AE173" s="108" t="str">
        <f>INDEX(Tableau1[Repere-Rack],MATCH(Tableau3[[#This Row],[ID-RACK]],Tableau1[ID-RACK],0))&amp;""</f>
        <v>R2</v>
      </c>
      <c r="AF173" s="108" t="str">
        <f>INDEX(Tableau1[Repere-Slot],MATCH(Tableau3[[#This Row],[ID-SLOT]],Tableau1[ID-SLOT],0))&amp;""</f>
        <v>S9</v>
      </c>
      <c r="AG173" s="108" t="str">
        <f>INDEX(Tableau2[Repere-Voie],MATCH(Tableau3[[#This Row],[ID-VOIE]],Tableau2[ID-Voie],0))&amp;""</f>
        <v>v3</v>
      </c>
      <c r="AH173" s="72" t="str">
        <f>Tableau3[[#This Row],[ID-API]]&amp; "." &amp;Tableau3[[#This Row],[ID-RACK]]&amp; "." &amp;Tableau3[[#This Row],[ID-SLOT]]</f>
        <v>1.2.9</v>
      </c>
      <c r="AI173" s="72" t="str">
        <f>INDEX(Tableau1[Ref-Carte],MATCH(Tableau3[[#This Row],[ID-RRS]],Tableau1[ID-RRS],0))</f>
        <v>SDI1602</v>
      </c>
      <c r="AJ173" s="72" t="str">
        <f t="array" ref="AJ173">IFERROR(INDEX(Tableau2[TS],MATCH(1,(Tableau2[Ref-Carte]=Tableau3[[#This Row],[Ref-Carte2]])*(Tableau2[ID-Voie]=Tableau3[[#This Row],[ID-VOIE]]),0)),"")</f>
        <v>ET</v>
      </c>
      <c r="AK173" s="72" t="str">
        <f>IFERROR(INDEX(Tableau2[TS],SUMPRODUCT((Tableau2[Ref-Carte]=Tableau3[[#This Row],[Ref-Carte2]])*(Tableau2[ID-Voie]=Tableau3[[#This Row],[ID-VOIE]])*ROW(Tableau2[TS]))-ROW(Tableau2[#Headers])),"")</f>
        <v>ET</v>
      </c>
      <c r="AL173" s="72" t="str">
        <f>Tableau3[[#This Row],[Ref-Carte2]]&amp;"/"&amp;Tableau3[[#This Row],[ID-VOIE]]</f>
        <v>SDI1602/3</v>
      </c>
      <c r="AM173" s="73" t="str">
        <f>INDEX(Tableau2[Borne],MATCH(Tableau3[[#This Row],[ID-CARTEVOIE]],Tableau2[ID-CARTEVOIE],0))&amp;""</f>
        <v>1A</v>
      </c>
      <c r="AN173" s="74" t="str">
        <f>Tableau3[[#This Row],[ID-API]]&amp;Tableau3[[#This Row],[ID-RACK]]&amp;Tableau3[[#This Row],[ID-SLOT]]&amp;Tableau3[[#This Row],[BORNE]]</f>
        <v>1291A</v>
      </c>
      <c r="AO173" s="1"/>
    </row>
    <row r="174" spans="1:41" ht="20.100000000000001" customHeight="1" thickTop="1" thickBot="1">
      <c r="A174" s="68"/>
      <c r="B174" s="69" t="str">
        <f>IFERROR(INDEX(Tableau4[Date],MATCH($A174,Tableau4[EVO],0)),"")</f>
        <v/>
      </c>
      <c r="C174" s="68" t="str">
        <f>IFERROR(INDEX(Tableau4[Designation],MATCH($A174,Tableau4[EVO],0)),"")</f>
        <v/>
      </c>
      <c r="D174" s="68"/>
      <c r="E174" s="70">
        <v>194</v>
      </c>
      <c r="F174" s="71">
        <v>104</v>
      </c>
      <c r="G174" s="101" t="str">
        <f>INDEX(Tableau8[Att1],MATCH(Tableau3[[#This Row],[ID-INS]],Tableau8[ID],0))&amp;""</f>
        <v>X</v>
      </c>
      <c r="H174" s="101" t="str">
        <f>INDEX(Tableau8[Att2],MATCH(Tableau3[[#This Row],[ID-INS]],Tableau8[ID],0))&amp;""</f>
        <v>EL12</v>
      </c>
      <c r="I174" s="101" t="str">
        <f>INDEX(Tableau8[Att3],MATCH(Tableau3[[#This Row],[ID-INS]],Tableau8[ID],0))&amp;""</f>
        <v>Tourniquet TRSD3</v>
      </c>
      <c r="J174" s="101"/>
      <c r="K174" s="167" t="str">
        <f>INDEX(Tableau8[Nom du modele],MATCH(Tableau3[[#This Row],[ID-INS]],Tableau8[ID],0))&amp;""</f>
        <v>SurvElec</v>
      </c>
      <c r="L174" s="99" t="str">
        <f>INDEX(Tableau5[Att1],MATCH(Tableau3[[#This Row],[ID-SIG]],Tableau5[ID],0))&amp;""</f>
        <v>Def</v>
      </c>
      <c r="M174" s="99" t="str">
        <f>INDEX(Tableau5[Att2],MATCH(Tableau3[[#This Row],[ID-SIG]],Tableau5[ID],0))&amp;""</f>
        <v/>
      </c>
      <c r="N174" s="99" t="str">
        <f>INDEX(Tableau5[Att3],MATCH(Tableau3[[#This Row],[ID-SIG]],Tableau5[ID],0))&amp;""</f>
        <v/>
      </c>
      <c r="O174" s="99"/>
      <c r="P174" s="99" t="str">
        <f>INDEX(Tableau5[Description],MATCH(Tableau3[[#This Row],[ID-SIG]],Tableau5[ID],0))</f>
        <v>Défaut</v>
      </c>
      <c r="Q174" s="99"/>
      <c r="R174" s="103" t="str">
        <f>Tableau3[[#This Row],[Description]]</f>
        <v>Défaut</v>
      </c>
      <c r="U174" s="87">
        <v>1</v>
      </c>
      <c r="V174" s="87">
        <v>2</v>
      </c>
      <c r="W174" s="87">
        <v>9</v>
      </c>
      <c r="X174" s="87">
        <v>4</v>
      </c>
      <c r="Y174" s="40"/>
      <c r="Z174" s="165" t="str">
        <f>INDEX(Tableau2[TS],MATCH(Tableau3[[#This Row],[ID-CARTEVOIE]],Tableau2[ID-CARTEVOIE],0))</f>
        <v>ET</v>
      </c>
      <c r="AA174" s="53" t="s">
        <v>213</v>
      </c>
      <c r="AB174" s="223" t="str">
        <f>IFERROR(INDEX(Tableau5[Reserve],MATCH(Tableau3[[#This Row],[ID-SIG]],Tableau5[ID],0))&amp;"","")</f>
        <v/>
      </c>
      <c r="AC174" s="21"/>
      <c r="AD174" s="108" t="str">
        <f>INDEX(Tableau7[Repere],MATCH(Tableau3[[#This Row],[ID-API]],Tableau7[ID-API],0))&amp;""</f>
        <v>A1</v>
      </c>
      <c r="AE174" s="108" t="str">
        <f>INDEX(Tableau1[Repere-Rack],MATCH(Tableau3[[#This Row],[ID-RACK]],Tableau1[ID-RACK],0))&amp;""</f>
        <v>R2</v>
      </c>
      <c r="AF174" s="108" t="str">
        <f>INDEX(Tableau1[Repere-Slot],MATCH(Tableau3[[#This Row],[ID-SLOT]],Tableau1[ID-SLOT],0))&amp;""</f>
        <v>S9</v>
      </c>
      <c r="AG174" s="108" t="str">
        <f>INDEX(Tableau2[Repere-Voie],MATCH(Tableau3[[#This Row],[ID-VOIE]],Tableau2[ID-Voie],0))&amp;""</f>
        <v>v4</v>
      </c>
      <c r="AH174" s="72" t="str">
        <f>Tableau3[[#This Row],[ID-API]]&amp; "." &amp;Tableau3[[#This Row],[ID-RACK]]&amp; "." &amp;Tableau3[[#This Row],[ID-SLOT]]</f>
        <v>1.2.9</v>
      </c>
      <c r="AI174" s="72" t="str">
        <f>INDEX(Tableau1[Ref-Carte],MATCH(Tableau3[[#This Row],[ID-RRS]],Tableau1[ID-RRS],0))</f>
        <v>SDI1602</v>
      </c>
      <c r="AJ174" s="72" t="str">
        <f t="array" ref="AJ174">IFERROR(INDEX(Tableau2[TS],MATCH(1,(Tableau2[Ref-Carte]=Tableau3[[#This Row],[Ref-Carte2]])*(Tableau2[ID-Voie]=Tableau3[[#This Row],[ID-VOIE]]),0)),"")</f>
        <v>ET</v>
      </c>
      <c r="AK174" s="72" t="str">
        <f>IFERROR(INDEX(Tableau2[TS],SUMPRODUCT((Tableau2[Ref-Carte]=Tableau3[[#This Row],[Ref-Carte2]])*(Tableau2[ID-Voie]=Tableau3[[#This Row],[ID-VOIE]])*ROW(Tableau2[TS]))-ROW(Tableau2[#Headers])),"")</f>
        <v>ET</v>
      </c>
      <c r="AL174" s="72" t="str">
        <f>Tableau3[[#This Row],[Ref-Carte2]]&amp;"/"&amp;Tableau3[[#This Row],[ID-VOIE]]</f>
        <v>SDI1602/4</v>
      </c>
      <c r="AM174" s="73" t="str">
        <f>INDEX(Tableau2[Borne],MATCH(Tableau3[[#This Row],[ID-CARTEVOIE]],Tableau2[ID-CARTEVOIE],0))&amp;""</f>
        <v>2B</v>
      </c>
      <c r="AN174" s="74" t="str">
        <f>Tableau3[[#This Row],[ID-API]]&amp;Tableau3[[#This Row],[ID-RACK]]&amp;Tableau3[[#This Row],[ID-SLOT]]&amp;Tableau3[[#This Row],[BORNE]]</f>
        <v>1292B</v>
      </c>
      <c r="AO174" s="1"/>
    </row>
    <row r="175" spans="1:41" ht="20.100000000000001" customHeight="1" thickTop="1" thickBot="1">
      <c r="A175" s="68"/>
      <c r="B175" s="69" t="str">
        <f>IFERROR(INDEX(Tableau4[Date],MATCH($A175,Tableau4[EVO],0)),"")</f>
        <v/>
      </c>
      <c r="C175" s="68" t="str">
        <f>IFERROR(INDEX(Tableau4[Designation],MATCH($A175,Tableau4[EVO],0)),"")</f>
        <v/>
      </c>
      <c r="D175" s="68"/>
      <c r="E175" s="70">
        <v>195</v>
      </c>
      <c r="F175" s="71">
        <v>104</v>
      </c>
      <c r="G175" s="101" t="str">
        <f>INDEX(Tableau8[Att1],MATCH(Tableau3[[#This Row],[ID-INS]],Tableau8[ID],0))&amp;""</f>
        <v>X</v>
      </c>
      <c r="H175" s="101" t="str">
        <f>INDEX(Tableau8[Att2],MATCH(Tableau3[[#This Row],[ID-INS]],Tableau8[ID],0))&amp;""</f>
        <v>EL13</v>
      </c>
      <c r="I175" s="101" t="str">
        <f>INDEX(Tableau8[Att3],MATCH(Tableau3[[#This Row],[ID-INS]],Tableau8[ID],0))&amp;""</f>
        <v>Tourniquet TRSD3</v>
      </c>
      <c r="J175" s="101"/>
      <c r="K175" s="167" t="str">
        <f>INDEX(Tableau8[Nom du modele],MATCH(Tableau3[[#This Row],[ID-INS]],Tableau8[ID],0))&amp;""</f>
        <v>SurvElec</v>
      </c>
      <c r="L175" s="99" t="str">
        <f>INDEX(Tableau5[Att1],MATCH(Tableau3[[#This Row],[ID-SIG]],Tableau5[ID],0))&amp;""</f>
        <v>Def</v>
      </c>
      <c r="M175" s="99" t="str">
        <f>INDEX(Tableau5[Att2],MATCH(Tableau3[[#This Row],[ID-SIG]],Tableau5[ID],0))&amp;""</f>
        <v/>
      </c>
      <c r="N175" s="99" t="str">
        <f>INDEX(Tableau5[Att3],MATCH(Tableau3[[#This Row],[ID-SIG]],Tableau5[ID],0))&amp;""</f>
        <v/>
      </c>
      <c r="O175" s="99"/>
      <c r="P175" s="99" t="str">
        <f>INDEX(Tableau5[Description],MATCH(Tableau3[[#This Row],[ID-SIG]],Tableau5[ID],0))</f>
        <v>Défaut</v>
      </c>
      <c r="Q175" s="99"/>
      <c r="R175" s="103" t="str">
        <f>Tableau3[[#This Row],[Description]]</f>
        <v>Défaut</v>
      </c>
      <c r="U175" s="87">
        <v>1</v>
      </c>
      <c r="V175" s="87">
        <v>2</v>
      </c>
      <c r="W175" s="87">
        <v>9</v>
      </c>
      <c r="X175" s="87">
        <v>5</v>
      </c>
      <c r="Y175" s="40"/>
      <c r="Z175" s="165" t="str">
        <f>INDEX(Tableau2[TS],MATCH(Tableau3[[#This Row],[ID-CARTEVOIE]],Tableau2[ID-CARTEVOIE],0))</f>
        <v>ET</v>
      </c>
      <c r="AA175" s="53" t="s">
        <v>213</v>
      </c>
      <c r="AB175" s="223" t="str">
        <f>IFERROR(INDEX(Tableau5[Reserve],MATCH(Tableau3[[#This Row],[ID-SIG]],Tableau5[ID],0))&amp;"","")</f>
        <v/>
      </c>
      <c r="AC175" s="21"/>
      <c r="AD175" s="108" t="str">
        <f>INDEX(Tableau7[Repere],MATCH(Tableau3[[#This Row],[ID-API]],Tableau7[ID-API],0))&amp;""</f>
        <v>A1</v>
      </c>
      <c r="AE175" s="108" t="str">
        <f>INDEX(Tableau1[Repere-Rack],MATCH(Tableau3[[#This Row],[ID-RACK]],Tableau1[ID-RACK],0))&amp;""</f>
        <v>R2</v>
      </c>
      <c r="AF175" s="108" t="str">
        <f>INDEX(Tableau1[Repere-Slot],MATCH(Tableau3[[#This Row],[ID-SLOT]],Tableau1[ID-SLOT],0))&amp;""</f>
        <v>S9</v>
      </c>
      <c r="AG175" s="108" t="str">
        <f>INDEX(Tableau2[Repere-Voie],MATCH(Tableau3[[#This Row],[ID-VOIE]],Tableau2[ID-Voie],0))&amp;""</f>
        <v>v5</v>
      </c>
      <c r="AH175" s="72" t="str">
        <f>Tableau3[[#This Row],[ID-API]]&amp; "." &amp;Tableau3[[#This Row],[ID-RACK]]&amp; "." &amp;Tableau3[[#This Row],[ID-SLOT]]</f>
        <v>1.2.9</v>
      </c>
      <c r="AI175" s="72" t="str">
        <f>INDEX(Tableau1[Ref-Carte],MATCH(Tableau3[[#This Row],[ID-RRS]],Tableau1[ID-RRS],0))</f>
        <v>SDI1602</v>
      </c>
      <c r="AJ175" s="72" t="str">
        <f t="array" ref="AJ175">IFERROR(INDEX(Tableau2[TS],MATCH(1,(Tableau2[Ref-Carte]=Tableau3[[#This Row],[Ref-Carte2]])*(Tableau2[ID-Voie]=Tableau3[[#This Row],[ID-VOIE]]),0)),"")</f>
        <v>ET</v>
      </c>
      <c r="AK175" s="72" t="str">
        <f>IFERROR(INDEX(Tableau2[TS],SUMPRODUCT((Tableau2[Ref-Carte]=Tableau3[[#This Row],[Ref-Carte2]])*(Tableau2[ID-Voie]=Tableau3[[#This Row],[ID-VOIE]])*ROW(Tableau2[TS]))-ROW(Tableau2[#Headers])),"")</f>
        <v>ET</v>
      </c>
      <c r="AL175" s="72" t="str">
        <f>Tableau3[[#This Row],[Ref-Carte2]]&amp;"/"&amp;Tableau3[[#This Row],[ID-VOIE]]</f>
        <v>SDI1602/5</v>
      </c>
      <c r="AM175" s="73" t="str">
        <f>INDEX(Tableau2[Borne],MATCH(Tableau3[[#This Row],[ID-CARTEVOIE]],Tableau2[ID-CARTEVOIE],0))&amp;""</f>
        <v>2A</v>
      </c>
      <c r="AN175" s="74" t="str">
        <f>Tableau3[[#This Row],[ID-API]]&amp;Tableau3[[#This Row],[ID-RACK]]&amp;Tableau3[[#This Row],[ID-SLOT]]&amp;Tableau3[[#This Row],[BORNE]]</f>
        <v>1292A</v>
      </c>
      <c r="AO175" s="1"/>
    </row>
    <row r="176" spans="1:41" ht="20.100000000000001" customHeight="1" thickTop="1" thickBot="1">
      <c r="A176" s="68"/>
      <c r="B176" s="69" t="str">
        <f>IFERROR(INDEX(Tableau4[Date],MATCH($A176,Tableau4[EVO],0)),"")</f>
        <v/>
      </c>
      <c r="C176" s="68" t="str">
        <f>IFERROR(INDEX(Tableau4[Designation],MATCH($A176,Tableau4[EVO],0)),"")</f>
        <v/>
      </c>
      <c r="D176" s="68"/>
      <c r="E176" s="70">
        <v>196</v>
      </c>
      <c r="F176" s="71">
        <v>104</v>
      </c>
      <c r="G176" s="101" t="str">
        <f>INDEX(Tableau8[Att1],MATCH(Tableau3[[#This Row],[ID-INS]],Tableau8[ID],0))&amp;""</f>
        <v>X</v>
      </c>
      <c r="H176" s="101" t="str">
        <f>INDEX(Tableau8[Att2],MATCH(Tableau3[[#This Row],[ID-INS]],Tableau8[ID],0))&amp;""</f>
        <v>EL14</v>
      </c>
      <c r="I176" s="101" t="str">
        <f>INDEX(Tableau8[Att3],MATCH(Tableau3[[#This Row],[ID-INS]],Tableau8[ID],0))&amp;""</f>
        <v>Tourniquet TRSD4</v>
      </c>
      <c r="J176" s="101"/>
      <c r="K176" s="167" t="str">
        <f>INDEX(Tableau8[Nom du modele],MATCH(Tableau3[[#This Row],[ID-INS]],Tableau8[ID],0))&amp;""</f>
        <v>SurvElec</v>
      </c>
      <c r="L176" s="99" t="str">
        <f>INDEX(Tableau5[Att1],MATCH(Tableau3[[#This Row],[ID-SIG]],Tableau5[ID],0))&amp;""</f>
        <v>Def</v>
      </c>
      <c r="M176" s="99" t="str">
        <f>INDEX(Tableau5[Att2],MATCH(Tableau3[[#This Row],[ID-SIG]],Tableau5[ID],0))&amp;""</f>
        <v/>
      </c>
      <c r="N176" s="99" t="str">
        <f>INDEX(Tableau5[Att3],MATCH(Tableau3[[#This Row],[ID-SIG]],Tableau5[ID],0))&amp;""</f>
        <v/>
      </c>
      <c r="O176" s="99"/>
      <c r="P176" s="99" t="str">
        <f>INDEX(Tableau5[Description],MATCH(Tableau3[[#This Row],[ID-SIG]],Tableau5[ID],0))</f>
        <v>Défaut</v>
      </c>
      <c r="Q176" s="99"/>
      <c r="R176" s="103" t="str">
        <f>Tableau3[[#This Row],[Description]]</f>
        <v>Défaut</v>
      </c>
      <c r="U176" s="87">
        <v>1</v>
      </c>
      <c r="V176" s="87">
        <v>2</v>
      </c>
      <c r="W176" s="87">
        <v>9</v>
      </c>
      <c r="X176" s="87">
        <v>6</v>
      </c>
      <c r="Y176" s="40"/>
      <c r="Z176" s="165" t="str">
        <f>INDEX(Tableau2[TS],MATCH(Tableau3[[#This Row],[ID-CARTEVOIE]],Tableau2[ID-CARTEVOIE],0))</f>
        <v>ET</v>
      </c>
      <c r="AA176" s="53" t="s">
        <v>213</v>
      </c>
      <c r="AB176" s="223" t="str">
        <f>IFERROR(INDEX(Tableau5[Reserve],MATCH(Tableau3[[#This Row],[ID-SIG]],Tableau5[ID],0))&amp;"","")</f>
        <v/>
      </c>
      <c r="AC176" s="21"/>
      <c r="AD176" s="108" t="str">
        <f>INDEX(Tableau7[Repere],MATCH(Tableau3[[#This Row],[ID-API]],Tableau7[ID-API],0))&amp;""</f>
        <v>A1</v>
      </c>
      <c r="AE176" s="108" t="str">
        <f>INDEX(Tableau1[Repere-Rack],MATCH(Tableau3[[#This Row],[ID-RACK]],Tableau1[ID-RACK],0))&amp;""</f>
        <v>R2</v>
      </c>
      <c r="AF176" s="108" t="str">
        <f>INDEX(Tableau1[Repere-Slot],MATCH(Tableau3[[#This Row],[ID-SLOT]],Tableau1[ID-SLOT],0))&amp;""</f>
        <v>S9</v>
      </c>
      <c r="AG176" s="108" t="str">
        <f>INDEX(Tableau2[Repere-Voie],MATCH(Tableau3[[#This Row],[ID-VOIE]],Tableau2[ID-Voie],0))&amp;""</f>
        <v>v6</v>
      </c>
      <c r="AH176" s="72" t="str">
        <f>Tableau3[[#This Row],[ID-API]]&amp; "." &amp;Tableau3[[#This Row],[ID-RACK]]&amp; "." &amp;Tableau3[[#This Row],[ID-SLOT]]</f>
        <v>1.2.9</v>
      </c>
      <c r="AI176" s="72" t="str">
        <f>INDEX(Tableau1[Ref-Carte],MATCH(Tableau3[[#This Row],[ID-RRS]],Tableau1[ID-RRS],0))</f>
        <v>SDI1602</v>
      </c>
      <c r="AJ176" s="72" t="str">
        <f t="array" ref="AJ176">IFERROR(INDEX(Tableau2[TS],MATCH(1,(Tableau2[Ref-Carte]=Tableau3[[#This Row],[Ref-Carte2]])*(Tableau2[ID-Voie]=Tableau3[[#This Row],[ID-VOIE]]),0)),"")</f>
        <v>ET</v>
      </c>
      <c r="AK176" s="72" t="str">
        <f>IFERROR(INDEX(Tableau2[TS],SUMPRODUCT((Tableau2[Ref-Carte]=Tableau3[[#This Row],[Ref-Carte2]])*(Tableau2[ID-Voie]=Tableau3[[#This Row],[ID-VOIE]])*ROW(Tableau2[TS]))-ROW(Tableau2[#Headers])),"")</f>
        <v>ET</v>
      </c>
      <c r="AL176" s="72" t="str">
        <f>Tableau3[[#This Row],[Ref-Carte2]]&amp;"/"&amp;Tableau3[[#This Row],[ID-VOIE]]</f>
        <v>SDI1602/6</v>
      </c>
      <c r="AM176" s="73" t="str">
        <f>INDEX(Tableau2[Borne],MATCH(Tableau3[[#This Row],[ID-CARTEVOIE]],Tableau2[ID-CARTEVOIE],0))&amp;""</f>
        <v>3B</v>
      </c>
      <c r="AN176" s="74" t="str">
        <f>Tableau3[[#This Row],[ID-API]]&amp;Tableau3[[#This Row],[ID-RACK]]&amp;Tableau3[[#This Row],[ID-SLOT]]&amp;Tableau3[[#This Row],[BORNE]]</f>
        <v>1293B</v>
      </c>
      <c r="AO176" s="1"/>
    </row>
    <row r="177" spans="1:41" ht="20.100000000000001" customHeight="1" thickTop="1" thickBot="1">
      <c r="A177" s="68"/>
      <c r="B177" s="69" t="str">
        <f>IFERROR(INDEX(Tableau4[Date],MATCH($A177,Tableau4[EVO],0)),"")</f>
        <v/>
      </c>
      <c r="C177" s="68" t="str">
        <f>IFERROR(INDEX(Tableau4[Designation],MATCH($A177,Tableau4[EVO],0)),"")</f>
        <v/>
      </c>
      <c r="D177" s="68"/>
      <c r="E177" s="70">
        <v>197</v>
      </c>
      <c r="F177" s="71">
        <v>104</v>
      </c>
      <c r="G177" s="101" t="str">
        <f>INDEX(Tableau8[Att1],MATCH(Tableau3[[#This Row],[ID-INS]],Tableau8[ID],0))&amp;""</f>
        <v>X</v>
      </c>
      <c r="H177" s="101" t="str">
        <f>INDEX(Tableau8[Att2],MATCH(Tableau3[[#This Row],[ID-INS]],Tableau8[ID],0))&amp;""</f>
        <v>EL15</v>
      </c>
      <c r="I177" s="101" t="str">
        <f>INDEX(Tableau8[Att3],MATCH(Tableau3[[#This Row],[ID-INS]],Tableau8[ID],0))&amp;""</f>
        <v>Tourniquet TRSD4</v>
      </c>
      <c r="J177" s="101"/>
      <c r="K177" s="167" t="str">
        <f>INDEX(Tableau8[Nom du modele],MATCH(Tableau3[[#This Row],[ID-INS]],Tableau8[ID],0))&amp;""</f>
        <v>SurvElec</v>
      </c>
      <c r="L177" s="99" t="str">
        <f>INDEX(Tableau5[Att1],MATCH(Tableau3[[#This Row],[ID-SIG]],Tableau5[ID],0))&amp;""</f>
        <v>Def</v>
      </c>
      <c r="M177" s="99" t="str">
        <f>INDEX(Tableau5[Att2],MATCH(Tableau3[[#This Row],[ID-SIG]],Tableau5[ID],0))&amp;""</f>
        <v/>
      </c>
      <c r="N177" s="99" t="str">
        <f>INDEX(Tableau5[Att3],MATCH(Tableau3[[#This Row],[ID-SIG]],Tableau5[ID],0))&amp;""</f>
        <v/>
      </c>
      <c r="O177" s="99"/>
      <c r="P177" s="99" t="str">
        <f>INDEX(Tableau5[Description],MATCH(Tableau3[[#This Row],[ID-SIG]],Tableau5[ID],0))</f>
        <v>Défaut</v>
      </c>
      <c r="Q177" s="99"/>
      <c r="R177" s="103" t="str">
        <f>Tableau3[[#This Row],[Description]]</f>
        <v>Défaut</v>
      </c>
      <c r="U177" s="87">
        <v>1</v>
      </c>
      <c r="V177" s="87">
        <v>2</v>
      </c>
      <c r="W177" s="87">
        <v>9</v>
      </c>
      <c r="X177" s="87">
        <v>7</v>
      </c>
      <c r="Y177" s="40"/>
      <c r="Z177" s="165" t="str">
        <f>INDEX(Tableau2[TS],MATCH(Tableau3[[#This Row],[ID-CARTEVOIE]],Tableau2[ID-CARTEVOIE],0))</f>
        <v>ET</v>
      </c>
      <c r="AA177" s="53" t="s">
        <v>213</v>
      </c>
      <c r="AB177" s="223" t="str">
        <f>IFERROR(INDEX(Tableau5[Reserve],MATCH(Tableau3[[#This Row],[ID-SIG]],Tableau5[ID],0))&amp;"","")</f>
        <v/>
      </c>
      <c r="AC177" s="21"/>
      <c r="AD177" s="108" t="str">
        <f>INDEX(Tableau7[Repere],MATCH(Tableau3[[#This Row],[ID-API]],Tableau7[ID-API],0))&amp;""</f>
        <v>A1</v>
      </c>
      <c r="AE177" s="108" t="str">
        <f>INDEX(Tableau1[Repere-Rack],MATCH(Tableau3[[#This Row],[ID-RACK]],Tableau1[ID-RACK],0))&amp;""</f>
        <v>R2</v>
      </c>
      <c r="AF177" s="108" t="str">
        <f>INDEX(Tableau1[Repere-Slot],MATCH(Tableau3[[#This Row],[ID-SLOT]],Tableau1[ID-SLOT],0))&amp;""</f>
        <v>S9</v>
      </c>
      <c r="AG177" s="108" t="str">
        <f>INDEX(Tableau2[Repere-Voie],MATCH(Tableau3[[#This Row],[ID-VOIE]],Tableau2[ID-Voie],0))&amp;""</f>
        <v>v7</v>
      </c>
      <c r="AH177" s="72" t="str">
        <f>Tableau3[[#This Row],[ID-API]]&amp; "." &amp;Tableau3[[#This Row],[ID-RACK]]&amp; "." &amp;Tableau3[[#This Row],[ID-SLOT]]</f>
        <v>1.2.9</v>
      </c>
      <c r="AI177" s="72" t="str">
        <f>INDEX(Tableau1[Ref-Carte],MATCH(Tableau3[[#This Row],[ID-RRS]],Tableau1[ID-RRS],0))</f>
        <v>SDI1602</v>
      </c>
      <c r="AJ177" s="72" t="str">
        <f t="array" ref="AJ177">IFERROR(INDEX(Tableau2[TS],MATCH(1,(Tableau2[Ref-Carte]=Tableau3[[#This Row],[Ref-Carte2]])*(Tableau2[ID-Voie]=Tableau3[[#This Row],[ID-VOIE]]),0)),"")</f>
        <v>ET</v>
      </c>
      <c r="AK177" s="72" t="str">
        <f>IFERROR(INDEX(Tableau2[TS],SUMPRODUCT((Tableau2[Ref-Carte]=Tableau3[[#This Row],[Ref-Carte2]])*(Tableau2[ID-Voie]=Tableau3[[#This Row],[ID-VOIE]])*ROW(Tableau2[TS]))-ROW(Tableau2[#Headers])),"")</f>
        <v>ET</v>
      </c>
      <c r="AL177" s="72" t="str">
        <f>Tableau3[[#This Row],[Ref-Carte2]]&amp;"/"&amp;Tableau3[[#This Row],[ID-VOIE]]</f>
        <v>SDI1602/7</v>
      </c>
      <c r="AM177" s="73" t="str">
        <f>INDEX(Tableau2[Borne],MATCH(Tableau3[[#This Row],[ID-CARTEVOIE]],Tableau2[ID-CARTEVOIE],0))&amp;""</f>
        <v>3A</v>
      </c>
      <c r="AN177" s="74" t="str">
        <f>Tableau3[[#This Row],[ID-API]]&amp;Tableau3[[#This Row],[ID-RACK]]&amp;Tableau3[[#This Row],[ID-SLOT]]&amp;Tableau3[[#This Row],[BORNE]]</f>
        <v>1293A</v>
      </c>
      <c r="AO177" s="1"/>
    </row>
    <row r="178" spans="1:41" ht="20.100000000000001" customHeight="1" thickTop="1" thickBot="1">
      <c r="A178" s="68"/>
      <c r="B178" s="69" t="str">
        <f>IFERROR(INDEX(Tableau4[Date],MATCH($A178,Tableau4[EVO],0)),"")</f>
        <v/>
      </c>
      <c r="C178" s="68" t="str">
        <f>IFERROR(INDEX(Tableau4[Designation],MATCH($A178,Tableau4[EVO],0)),"")</f>
        <v/>
      </c>
      <c r="D178" s="68"/>
      <c r="E178" s="70">
        <v>198</v>
      </c>
      <c r="F178" s="71">
        <v>104</v>
      </c>
      <c r="G178" s="101" t="str">
        <f>INDEX(Tableau8[Att1],MATCH(Tableau3[[#This Row],[ID-INS]],Tableau8[ID],0))&amp;""</f>
        <v>X</v>
      </c>
      <c r="H178" s="101" t="str">
        <f>INDEX(Tableau8[Att2],MATCH(Tableau3[[#This Row],[ID-INS]],Tableau8[ID],0))&amp;""</f>
        <v>EL16</v>
      </c>
      <c r="I178" s="101" t="str">
        <f>INDEX(Tableau8[Att3],MATCH(Tableau3[[#This Row],[ID-INS]],Tableau8[ID],0))&amp;""</f>
        <v>API1 Synthèse disjonction auxiliaire</v>
      </c>
      <c r="J178" s="101"/>
      <c r="K178" s="167" t="str">
        <f>INDEX(Tableau8[Nom du modele],MATCH(Tableau3[[#This Row],[ID-INS]],Tableau8[ID],0))&amp;""</f>
        <v>SurvElec</v>
      </c>
      <c r="L178" s="99" t="str">
        <f>INDEX(Tableau5[Att1],MATCH(Tableau3[[#This Row],[ID-SIG]],Tableau5[ID],0))&amp;""</f>
        <v>Def</v>
      </c>
      <c r="M178" s="99" t="str">
        <f>INDEX(Tableau5[Att2],MATCH(Tableau3[[#This Row],[ID-SIG]],Tableau5[ID],0))&amp;""</f>
        <v/>
      </c>
      <c r="N178" s="99" t="str">
        <f>INDEX(Tableau5[Att3],MATCH(Tableau3[[#This Row],[ID-SIG]],Tableau5[ID],0))&amp;""</f>
        <v/>
      </c>
      <c r="O178" s="99"/>
      <c r="P178" s="99" t="str">
        <f>INDEX(Tableau5[Description],MATCH(Tableau3[[#This Row],[ID-SIG]],Tableau5[ID],0))</f>
        <v>Défaut</v>
      </c>
      <c r="Q178" s="99"/>
      <c r="R178" s="103" t="str">
        <f>Tableau3[[#This Row],[Description]]</f>
        <v>Défaut</v>
      </c>
      <c r="U178" s="87">
        <v>1</v>
      </c>
      <c r="V178" s="87">
        <v>2</v>
      </c>
      <c r="W178" s="87">
        <v>9</v>
      </c>
      <c r="X178" s="87">
        <v>8</v>
      </c>
      <c r="Y178" s="40"/>
      <c r="Z178" s="165" t="str">
        <f>INDEX(Tableau2[TS],MATCH(Tableau3[[#This Row],[ID-CARTEVOIE]],Tableau2[ID-CARTEVOIE],0))</f>
        <v>ET</v>
      </c>
      <c r="AA178" s="53" t="s">
        <v>213</v>
      </c>
      <c r="AB178" s="223" t="str">
        <f>IFERROR(INDEX(Tableau5[Reserve],MATCH(Tableau3[[#This Row],[ID-SIG]],Tableau5[ID],0))&amp;"","")</f>
        <v/>
      </c>
      <c r="AC178" s="21"/>
      <c r="AD178" s="108" t="str">
        <f>INDEX(Tableau7[Repere],MATCH(Tableau3[[#This Row],[ID-API]],Tableau7[ID-API],0))&amp;""</f>
        <v>A1</v>
      </c>
      <c r="AE178" s="108" t="str">
        <f>INDEX(Tableau1[Repere-Rack],MATCH(Tableau3[[#This Row],[ID-RACK]],Tableau1[ID-RACK],0))&amp;""</f>
        <v>R2</v>
      </c>
      <c r="AF178" s="108" t="str">
        <f>INDEX(Tableau1[Repere-Slot],MATCH(Tableau3[[#This Row],[ID-SLOT]],Tableau1[ID-SLOT],0))&amp;""</f>
        <v>S9</v>
      </c>
      <c r="AG178" s="108" t="str">
        <f>INDEX(Tableau2[Repere-Voie],MATCH(Tableau3[[#This Row],[ID-VOIE]],Tableau2[ID-Voie],0))&amp;""</f>
        <v>v8</v>
      </c>
      <c r="AH178" s="72" t="str">
        <f>Tableau3[[#This Row],[ID-API]]&amp; "." &amp;Tableau3[[#This Row],[ID-RACK]]&amp; "." &amp;Tableau3[[#This Row],[ID-SLOT]]</f>
        <v>1.2.9</v>
      </c>
      <c r="AI178" s="72" t="str">
        <f>INDEX(Tableau1[Ref-Carte],MATCH(Tableau3[[#This Row],[ID-RRS]],Tableau1[ID-RRS],0))</f>
        <v>SDI1602</v>
      </c>
      <c r="AJ178" s="72" t="str">
        <f t="array" ref="AJ178">IFERROR(INDEX(Tableau2[TS],MATCH(1,(Tableau2[Ref-Carte]=Tableau3[[#This Row],[Ref-Carte2]])*(Tableau2[ID-Voie]=Tableau3[[#This Row],[ID-VOIE]]),0)),"")</f>
        <v>ET</v>
      </c>
      <c r="AK178" s="72" t="str">
        <f>IFERROR(INDEX(Tableau2[TS],SUMPRODUCT((Tableau2[Ref-Carte]=Tableau3[[#This Row],[Ref-Carte2]])*(Tableau2[ID-Voie]=Tableau3[[#This Row],[ID-VOIE]])*ROW(Tableau2[TS]))-ROW(Tableau2[#Headers])),"")</f>
        <v>ET</v>
      </c>
      <c r="AL178" s="72" t="str">
        <f>Tableau3[[#This Row],[Ref-Carte2]]&amp;"/"&amp;Tableau3[[#This Row],[ID-VOIE]]</f>
        <v>SDI1602/8</v>
      </c>
      <c r="AM178" s="73" t="str">
        <f>INDEX(Tableau2[Borne],MATCH(Tableau3[[#This Row],[ID-CARTEVOIE]],Tableau2[ID-CARTEVOIE],0))&amp;""</f>
        <v>4B</v>
      </c>
      <c r="AN178" s="74" t="str">
        <f>Tableau3[[#This Row],[ID-API]]&amp;Tableau3[[#This Row],[ID-RACK]]&amp;Tableau3[[#This Row],[ID-SLOT]]&amp;Tableau3[[#This Row],[BORNE]]</f>
        <v>1294B</v>
      </c>
      <c r="AO178" s="1"/>
    </row>
    <row r="179" spans="1:41" ht="20.100000000000001" customHeight="1" thickTop="1" thickBot="1">
      <c r="A179" s="68"/>
      <c r="B179" s="69" t="str">
        <f>IFERROR(INDEX(Tableau4[Date],MATCH($A179,Tableau4[EVO],0)),"")</f>
        <v/>
      </c>
      <c r="C179" s="68" t="str">
        <f>IFERROR(INDEX(Tableau4[Designation],MATCH($A179,Tableau4[EVO],0)),"")</f>
        <v/>
      </c>
      <c r="D179" s="68"/>
      <c r="E179" s="70">
        <v>231</v>
      </c>
      <c r="F179" s="71">
        <v>104</v>
      </c>
      <c r="G179" s="101" t="str">
        <f>INDEX(Tableau8[Att1],MATCH(Tableau3[[#This Row],[ID-INS]],Tableau8[ID],0))&amp;""</f>
        <v>X</v>
      </c>
      <c r="H179" s="101" t="str">
        <f>INDEX(Tableau8[Att2],MATCH(Tableau3[[#This Row],[ID-INS]],Tableau8[ID],0))&amp;""</f>
        <v>EL43</v>
      </c>
      <c r="I179" s="101" t="str">
        <f>INDEX(Tableau8[Att3],MATCH(Tableau3[[#This Row],[ID-INS]],Tableau8[ID],0))&amp;""</f>
        <v>API1 Défaut batterie</v>
      </c>
      <c r="J179" s="101"/>
      <c r="K179" s="167" t="str">
        <f>INDEX(Tableau8[Nom du modele],MATCH(Tableau3[[#This Row],[ID-INS]],Tableau8[ID],0))&amp;""</f>
        <v>SurvElec</v>
      </c>
      <c r="L179" s="99" t="str">
        <f>INDEX(Tableau5[Att1],MATCH(Tableau3[[#This Row],[ID-SIG]],Tableau5[ID],0))&amp;""</f>
        <v>Def</v>
      </c>
      <c r="M179" s="99" t="str">
        <f>INDEX(Tableau5[Att2],MATCH(Tableau3[[#This Row],[ID-SIG]],Tableau5[ID],0))&amp;""</f>
        <v/>
      </c>
      <c r="N179" s="99" t="str">
        <f>INDEX(Tableau5[Att3],MATCH(Tableau3[[#This Row],[ID-SIG]],Tableau5[ID],0))&amp;""</f>
        <v/>
      </c>
      <c r="O179" s="99"/>
      <c r="P179" s="99" t="str">
        <f>INDEX(Tableau5[Description],MATCH(Tableau3[[#This Row],[ID-SIG]],Tableau5[ID],0))</f>
        <v>Défaut</v>
      </c>
      <c r="Q179" s="99"/>
      <c r="R179" s="103" t="str">
        <f>Tableau3[[#This Row],[Description]]</f>
        <v>Défaut</v>
      </c>
      <c r="U179" s="87">
        <v>1</v>
      </c>
      <c r="V179" s="87">
        <v>2</v>
      </c>
      <c r="W179" s="87">
        <v>9</v>
      </c>
      <c r="X179" s="87">
        <v>9</v>
      </c>
      <c r="Y179" s="40"/>
      <c r="Z179" s="165" t="str">
        <f>INDEX(Tableau2[TS],MATCH(Tableau3[[#This Row],[ID-CARTEVOIE]],Tableau2[ID-CARTEVOIE],0))</f>
        <v>ET</v>
      </c>
      <c r="AA179" s="53" t="s">
        <v>213</v>
      </c>
      <c r="AB179" s="223" t="str">
        <f>IFERROR(INDEX(Tableau5[Reserve],MATCH(Tableau3[[#This Row],[ID-SIG]],Tableau5[ID],0))&amp;"","")</f>
        <v/>
      </c>
      <c r="AC179" s="21"/>
      <c r="AD179" s="108" t="str">
        <f>INDEX(Tableau7[Repere],MATCH(Tableau3[[#This Row],[ID-API]],Tableau7[ID-API],0))&amp;""</f>
        <v>A1</v>
      </c>
      <c r="AE179" s="108" t="str">
        <f>INDEX(Tableau1[Repere-Rack],MATCH(Tableau3[[#This Row],[ID-RACK]],Tableau1[ID-RACK],0))&amp;""</f>
        <v>R2</v>
      </c>
      <c r="AF179" s="108" t="str">
        <f>INDEX(Tableau1[Repere-Slot],MATCH(Tableau3[[#This Row],[ID-SLOT]],Tableau1[ID-SLOT],0))&amp;""</f>
        <v>S9</v>
      </c>
      <c r="AG179" s="108" t="str">
        <f>INDEX(Tableau2[Repere-Voie],MATCH(Tableau3[[#This Row],[ID-VOIE]],Tableau2[ID-Voie],0))&amp;""</f>
        <v>v9</v>
      </c>
      <c r="AH179" s="72" t="str">
        <f>Tableau3[[#This Row],[ID-API]]&amp; "." &amp;Tableau3[[#This Row],[ID-RACK]]&amp; "." &amp;Tableau3[[#This Row],[ID-SLOT]]</f>
        <v>1.2.9</v>
      </c>
      <c r="AI179" s="72" t="str">
        <f>INDEX(Tableau1[Ref-Carte],MATCH(Tableau3[[#This Row],[ID-RRS]],Tableau1[ID-RRS],0))</f>
        <v>SDI1602</v>
      </c>
      <c r="AJ179" s="72" t="str">
        <f t="array" ref="AJ179">IFERROR(INDEX(Tableau2[TS],MATCH(1,(Tableau2[Ref-Carte]=Tableau3[[#This Row],[Ref-Carte2]])*(Tableau2[ID-Voie]=Tableau3[[#This Row],[ID-VOIE]]),0)),"")</f>
        <v>ET</v>
      </c>
      <c r="AK179" s="72" t="str">
        <f>IFERROR(INDEX(Tableau2[TS],SUMPRODUCT((Tableau2[Ref-Carte]=Tableau3[[#This Row],[Ref-Carte2]])*(Tableau2[ID-Voie]=Tableau3[[#This Row],[ID-VOIE]])*ROW(Tableau2[TS]))-ROW(Tableau2[#Headers])),"")</f>
        <v>ET</v>
      </c>
      <c r="AL179" s="72" t="str">
        <f>Tableau3[[#This Row],[Ref-Carte2]]&amp;"/"&amp;Tableau3[[#This Row],[ID-VOIE]]</f>
        <v>SDI1602/9</v>
      </c>
      <c r="AM179" s="73" t="str">
        <f>INDEX(Tableau2[Borne],MATCH(Tableau3[[#This Row],[ID-CARTEVOIE]],Tableau2[ID-CARTEVOIE],0))&amp;""</f>
        <v>4A</v>
      </c>
      <c r="AN179" s="74" t="str">
        <f>Tableau3[[#This Row],[ID-API]]&amp;Tableau3[[#This Row],[ID-RACK]]&amp;Tableau3[[#This Row],[ID-SLOT]]&amp;Tableau3[[#This Row],[BORNE]]</f>
        <v>1294A</v>
      </c>
      <c r="AO179" s="1"/>
    </row>
    <row r="180" spans="1:41" ht="20.100000000000001" customHeight="1" thickTop="1" thickBot="1">
      <c r="A180" s="75"/>
      <c r="B180" s="76" t="str">
        <f>IFERROR(INDEX(Tableau4[Date],MATCH($A180,Tableau4[EVO],0)),"")</f>
        <v/>
      </c>
      <c r="C180" s="75" t="str">
        <f>IFERROR(INDEX(Tableau4[Designation],MATCH($A180,Tableau4[EVO],0)),"")</f>
        <v/>
      </c>
      <c r="D180" s="75"/>
      <c r="E180" s="70">
        <v>237</v>
      </c>
      <c r="F180" s="71">
        <v>27</v>
      </c>
      <c r="G180" s="101" t="str">
        <f>INDEX(Tableau8[Att1],MATCH(Tableau3[[#This Row],[ID-INS]],Tableau8[ID],0))&amp;""</f>
        <v>GR</v>
      </c>
      <c r="H180" s="101" t="str">
        <f>INDEX(Tableau8[Att2],MATCH(Tableau3[[#This Row],[ID-INS]],Tableau8[ID],0))&amp;""</f>
        <v>TRSS1</v>
      </c>
      <c r="I180" s="101" t="str">
        <f>INDEX(Tableau8[Att3],MATCH(Tableau3[[#This Row],[ID-INS]],Tableau8[ID],0))&amp;""</f>
        <v>Tourniquet TRSS1</v>
      </c>
      <c r="J180" s="101"/>
      <c r="K180" s="167" t="str">
        <f>INDEX(Tableau8[Nom du modele],MATCH(Tableau3[[#This Row],[ID-INS]],Tableau8[ID],0))&amp;""</f>
        <v>TRSS_2</v>
      </c>
      <c r="L180" s="99" t="str">
        <f>INDEX(Tableau5[Att1],MATCH(Tableau3[[#This Row],[ID-SIG]],Tableau5[ID],0))&amp;""</f>
        <v>TS_OuvRet1</v>
      </c>
      <c r="M180" s="99" t="str">
        <f>INDEX(Tableau5[Att2],MATCH(Tableau3[[#This Row],[ID-SIG]],Tableau5[ID],0))&amp;""</f>
        <v/>
      </c>
      <c r="N180" s="99" t="str">
        <f>INDEX(Tableau5[Att3],MATCH(Tableau3[[#This Row],[ID-SIG]],Tableau5[ID],0))&amp;""</f>
        <v/>
      </c>
      <c r="O180" s="99"/>
      <c r="P180" s="99" t="str">
        <f>INDEX(Tableau5[Description],MATCH(Tableau3[[#This Row],[ID-SIG]],Tableau5[ID],0))</f>
        <v>Retour Commande 1 ouverture sortie</v>
      </c>
      <c r="Q180" s="99"/>
      <c r="R180" s="103" t="str">
        <f>Tableau3[[#This Row],[Description]]</f>
        <v>Retour Commande 1 ouverture sortie</v>
      </c>
      <c r="U180" s="87">
        <v>1</v>
      </c>
      <c r="V180" s="87">
        <v>2</v>
      </c>
      <c r="W180" s="87">
        <v>9</v>
      </c>
      <c r="X180" s="87">
        <v>10</v>
      </c>
      <c r="Y180" s="40"/>
      <c r="Z180" s="165" t="str">
        <f>INDEX(Tableau2[TS],MATCH(Tableau3[[#This Row],[ID-CARTEVOIE]],Tableau2[ID-CARTEVOIE],0))</f>
        <v>ET</v>
      </c>
      <c r="AA180" s="53" t="s">
        <v>213</v>
      </c>
      <c r="AB180" s="223" t="str">
        <f>IFERROR(INDEX(Tableau5[Reserve],MATCH(Tableau3[[#This Row],[ID-SIG]],Tableau5[ID],0))&amp;"","")</f>
        <v/>
      </c>
      <c r="AC180" s="21"/>
      <c r="AD180" s="108" t="str">
        <f>INDEX(Tableau7[Repere],MATCH(Tableau3[[#This Row],[ID-API]],Tableau7[ID-API],0))&amp;""</f>
        <v>A1</v>
      </c>
      <c r="AE180" s="108" t="str">
        <f>INDEX(Tableau1[Repere-Rack],MATCH(Tableau3[[#This Row],[ID-RACK]],Tableau1[ID-RACK],0))&amp;""</f>
        <v>R2</v>
      </c>
      <c r="AF180" s="108" t="str">
        <f>INDEX(Tableau1[Repere-Slot],MATCH(Tableau3[[#This Row],[ID-SLOT]],Tableau1[ID-SLOT],0))&amp;""</f>
        <v>S9</v>
      </c>
      <c r="AG180" s="108" t="str">
        <f>INDEX(Tableau2[Repere-Voie],MATCH(Tableau3[[#This Row],[ID-VOIE]],Tableau2[ID-Voie],0))&amp;""</f>
        <v>v10</v>
      </c>
      <c r="AH180" s="72" t="str">
        <f>Tableau3[[#This Row],[ID-API]]&amp; "." &amp;Tableau3[[#This Row],[ID-RACK]]&amp; "." &amp;Tableau3[[#This Row],[ID-SLOT]]</f>
        <v>1.2.9</v>
      </c>
      <c r="AI180" s="72" t="str">
        <f>INDEX(Tableau1[Ref-Carte],MATCH(Tableau3[[#This Row],[ID-RRS]],Tableau1[ID-RRS],0))</f>
        <v>SDI1602</v>
      </c>
      <c r="AJ180" s="72" t="str">
        <f t="array" ref="AJ180">IFERROR(INDEX(Tableau2[TS],MATCH(1,(Tableau2[Ref-Carte]=Tableau3[[#This Row],[Ref-Carte2]])*(Tableau2[ID-Voie]=Tableau3[[#This Row],[ID-VOIE]]),0)),"")</f>
        <v>ET</v>
      </c>
      <c r="AK180" s="72" t="str">
        <f>IFERROR(INDEX(Tableau2[TS],SUMPRODUCT((Tableau2[Ref-Carte]=Tableau3[[#This Row],[Ref-Carte2]])*(Tableau2[ID-Voie]=Tableau3[[#This Row],[ID-VOIE]])*ROW(Tableau2[TS]))-ROW(Tableau2[#Headers])),"")</f>
        <v>ET</v>
      </c>
      <c r="AL180" s="72" t="str">
        <f>Tableau3[[#This Row],[Ref-Carte2]]&amp;"/"&amp;Tableau3[[#This Row],[ID-VOIE]]</f>
        <v>SDI1602/10</v>
      </c>
      <c r="AM180" s="77" t="str">
        <f>INDEX(Tableau2[Borne],MATCH(Tableau3[[#This Row],[ID-CARTEVOIE]],Tableau2[ID-CARTEVOIE],0))&amp;""</f>
        <v>5B</v>
      </c>
      <c r="AN180" s="74" t="str">
        <f>Tableau3[[#This Row],[ID-API]]&amp;Tableau3[[#This Row],[ID-RACK]]&amp;Tableau3[[#This Row],[ID-SLOT]]&amp;Tableau3[[#This Row],[BORNE]]</f>
        <v>1295B</v>
      </c>
      <c r="AO180" s="1"/>
    </row>
    <row r="181" spans="1:41" ht="20.100000000000001" customHeight="1" thickTop="1" thickBot="1">
      <c r="A181" s="75"/>
      <c r="B181" s="76" t="str">
        <f>IFERROR(INDEX(Tableau4[Date],MATCH($A181,Tableau4[EVO],0)),"")</f>
        <v/>
      </c>
      <c r="C181" s="75" t="str">
        <f>IFERROR(INDEX(Tableau4[Designation],MATCH($A181,Tableau4[EVO],0)),"")</f>
        <v/>
      </c>
      <c r="D181" s="75"/>
      <c r="E181" s="70">
        <v>241</v>
      </c>
      <c r="F181" s="71">
        <v>48</v>
      </c>
      <c r="G181" s="101" t="str">
        <f>INDEX(Tableau8[Att1],MATCH(Tableau3[[#This Row],[ID-INS]],Tableau8[ID],0))&amp;""</f>
        <v>B22</v>
      </c>
      <c r="H181" s="101" t="str">
        <f>INDEX(Tableau8[Att2],MATCH(Tableau3[[#This Row],[ID-INS]],Tableau8[ID],0))&amp;""</f>
        <v>TRSD4</v>
      </c>
      <c r="I181" s="101" t="str">
        <f>INDEX(Tableau8[Att3],MATCH(Tableau3[[#This Row],[ID-INS]],Tableau8[ID],0))&amp;""</f>
        <v>Tourniquet TRSD4</v>
      </c>
      <c r="J181" s="101"/>
      <c r="K181" s="167" t="str">
        <f>INDEX(Tableau8[Nom du modele],MATCH(Tableau3[[#This Row],[ID-INS]],Tableau8[ID],0))&amp;""</f>
        <v>TRSD_2</v>
      </c>
      <c r="L181" s="99" t="str">
        <f>INDEX(Tableau5[Att1],MATCH(Tableau3[[#This Row],[ID-SIG]],Tableau5[ID],0))&amp;""</f>
        <v>T2_Fer</v>
      </c>
      <c r="M181" s="99" t="str">
        <f>INDEX(Tableau5[Att2],MATCH(Tableau3[[#This Row],[ID-SIG]],Tableau5[ID],0))&amp;""</f>
        <v/>
      </c>
      <c r="N181" s="99" t="str">
        <f>INDEX(Tableau5[Att3],MATCH(Tableau3[[#This Row],[ID-SIG]],Tableau5[ID],0))&amp;""</f>
        <v/>
      </c>
      <c r="O181" s="99"/>
      <c r="P181" s="99" t="str">
        <f>INDEX(Tableau5[Description],MATCH(Tableau3[[#This Row],[ID-SIG]],Tableau5[ID],0))</f>
        <v>Position fermée entrée 2</v>
      </c>
      <c r="Q181" s="99"/>
      <c r="R181" s="103" t="str">
        <f>Tableau3[[#This Row],[Description]]</f>
        <v>Position fermée entrée 2</v>
      </c>
      <c r="U181" s="87">
        <v>1</v>
      </c>
      <c r="V181" s="87">
        <v>2</v>
      </c>
      <c r="W181" s="87">
        <v>9</v>
      </c>
      <c r="X181" s="87">
        <v>11</v>
      </c>
      <c r="Y181" s="40"/>
      <c r="Z181" s="165" t="str">
        <f>INDEX(Tableau2[TS],MATCH(Tableau3[[#This Row],[ID-CARTEVOIE]],Tableau2[ID-CARTEVOIE],0))</f>
        <v>ET</v>
      </c>
      <c r="AA181" s="53" t="s">
        <v>213</v>
      </c>
      <c r="AB181" s="223" t="str">
        <f>IFERROR(INDEX(Tableau5[Reserve],MATCH(Tableau3[[#This Row],[ID-SIG]],Tableau5[ID],0))&amp;"","")</f>
        <v/>
      </c>
      <c r="AC181" s="21"/>
      <c r="AD181" s="108" t="str">
        <f>INDEX(Tableau7[Repere],MATCH(Tableau3[[#This Row],[ID-API]],Tableau7[ID-API],0))&amp;""</f>
        <v>A1</v>
      </c>
      <c r="AE181" s="108" t="str">
        <f>INDEX(Tableau1[Repere-Rack],MATCH(Tableau3[[#This Row],[ID-RACK]],Tableau1[ID-RACK],0))&amp;""</f>
        <v>R2</v>
      </c>
      <c r="AF181" s="108" t="str">
        <f>INDEX(Tableau1[Repere-Slot],MATCH(Tableau3[[#This Row],[ID-SLOT]],Tableau1[ID-SLOT],0))&amp;""</f>
        <v>S9</v>
      </c>
      <c r="AG181" s="108" t="str">
        <f>INDEX(Tableau2[Repere-Voie],MATCH(Tableau3[[#This Row],[ID-VOIE]],Tableau2[ID-Voie],0))&amp;""</f>
        <v>v11</v>
      </c>
      <c r="AH181" s="72" t="str">
        <f>Tableau3[[#This Row],[ID-API]]&amp; "." &amp;Tableau3[[#This Row],[ID-RACK]]&amp; "." &amp;Tableau3[[#This Row],[ID-SLOT]]</f>
        <v>1.2.9</v>
      </c>
      <c r="AI181" s="72" t="str">
        <f>INDEX(Tableau1[Ref-Carte],MATCH(Tableau3[[#This Row],[ID-RRS]],Tableau1[ID-RRS],0))</f>
        <v>SDI1602</v>
      </c>
      <c r="AJ181" s="72" t="str">
        <f t="array" ref="AJ181">IFERROR(INDEX(Tableau2[TS],MATCH(1,(Tableau2[Ref-Carte]=Tableau3[[#This Row],[Ref-Carte2]])*(Tableau2[ID-Voie]=Tableau3[[#This Row],[ID-VOIE]]),0)),"")</f>
        <v>ET</v>
      </c>
      <c r="AK181" s="72" t="str">
        <f>IFERROR(INDEX(Tableau2[TS],SUMPRODUCT((Tableau2[Ref-Carte]=Tableau3[[#This Row],[Ref-Carte2]])*(Tableau2[ID-Voie]=Tableau3[[#This Row],[ID-VOIE]])*ROW(Tableau2[TS]))-ROW(Tableau2[#Headers])),"")</f>
        <v>ET</v>
      </c>
      <c r="AL181" s="72" t="str">
        <f>Tableau3[[#This Row],[Ref-Carte2]]&amp;"/"&amp;Tableau3[[#This Row],[ID-VOIE]]</f>
        <v>SDI1602/11</v>
      </c>
      <c r="AM181" s="77" t="str">
        <f>INDEX(Tableau2[Borne],MATCH(Tableau3[[#This Row],[ID-CARTEVOIE]],Tableau2[ID-CARTEVOIE],0))&amp;""</f>
        <v>5A</v>
      </c>
      <c r="AN181" s="74" t="str">
        <f>Tableau3[[#This Row],[ID-API]]&amp;Tableau3[[#This Row],[ID-RACK]]&amp;Tableau3[[#This Row],[ID-SLOT]]&amp;Tableau3[[#This Row],[BORNE]]</f>
        <v>1295A</v>
      </c>
      <c r="AO181" s="1"/>
    </row>
    <row r="182" spans="1:41" ht="20.100000000000001" customHeight="1" thickTop="1" thickBot="1">
      <c r="A182" s="75"/>
      <c r="B182" s="76" t="str">
        <f>IFERROR(INDEX(Tableau4[Date],MATCH($A182,Tableau4[EVO],0)),"")</f>
        <v/>
      </c>
      <c r="C182" s="75" t="str">
        <f>IFERROR(INDEX(Tableau4[Designation],MATCH($A182,Tableau4[EVO],0)),"")</f>
        <v/>
      </c>
      <c r="D182" s="75"/>
      <c r="E182" s="70">
        <v>241</v>
      </c>
      <c r="F182" s="71">
        <v>49</v>
      </c>
      <c r="G182" s="101" t="str">
        <f>INDEX(Tableau8[Att1],MATCH(Tableau3[[#This Row],[ID-INS]],Tableau8[ID],0))&amp;""</f>
        <v>B22</v>
      </c>
      <c r="H182" s="101" t="str">
        <f>INDEX(Tableau8[Att2],MATCH(Tableau3[[#This Row],[ID-INS]],Tableau8[ID],0))&amp;""</f>
        <v>TRSD4</v>
      </c>
      <c r="I182" s="101" t="str">
        <f>INDEX(Tableau8[Att3],MATCH(Tableau3[[#This Row],[ID-INS]],Tableau8[ID],0))&amp;""</f>
        <v>Tourniquet TRSD4</v>
      </c>
      <c r="J182" s="101"/>
      <c r="K182" s="167" t="str">
        <f>INDEX(Tableau8[Nom du modele],MATCH(Tableau3[[#This Row],[ID-INS]],Tableau8[ID],0))&amp;""</f>
        <v>TRSD_2</v>
      </c>
      <c r="L182" s="99" t="str">
        <f>INDEX(Tableau5[Att1],MATCH(Tableau3[[#This Row],[ID-SIG]],Tableau5[ID],0))&amp;""</f>
        <v>T2S_OuvRet1</v>
      </c>
      <c r="M182" s="99" t="str">
        <f>INDEX(Tableau5[Att2],MATCH(Tableau3[[#This Row],[ID-SIG]],Tableau5[ID],0))&amp;""</f>
        <v/>
      </c>
      <c r="N182" s="99" t="str">
        <f>INDEX(Tableau5[Att3],MATCH(Tableau3[[#This Row],[ID-SIG]],Tableau5[ID],0))&amp;""</f>
        <v/>
      </c>
      <c r="O182" s="99"/>
      <c r="P182" s="99" t="str">
        <f>INDEX(Tableau5[Description],MATCH(Tableau3[[#This Row],[ID-SIG]],Tableau5[ID],0))</f>
        <v>Retour Commande 1 ouverture sortie 2</v>
      </c>
      <c r="Q182" s="99"/>
      <c r="R182" s="103" t="str">
        <f>Tableau3[[#This Row],[Description]]</f>
        <v>Retour Commande 1 ouverture sortie 2</v>
      </c>
      <c r="U182" s="87">
        <v>1</v>
      </c>
      <c r="V182" s="87">
        <v>2</v>
      </c>
      <c r="W182" s="87">
        <v>9</v>
      </c>
      <c r="X182" s="87">
        <v>12</v>
      </c>
      <c r="Y182" s="40"/>
      <c r="Z182" s="165" t="str">
        <f>INDEX(Tableau2[TS],MATCH(Tableau3[[#This Row],[ID-CARTEVOIE]],Tableau2[ID-CARTEVOIE],0))</f>
        <v>ET</v>
      </c>
      <c r="AA182" s="53" t="s">
        <v>213</v>
      </c>
      <c r="AB182" s="223" t="str">
        <f>IFERROR(INDEX(Tableau5[Reserve],MATCH(Tableau3[[#This Row],[ID-SIG]],Tableau5[ID],0))&amp;"","")</f>
        <v/>
      </c>
      <c r="AC182" s="21"/>
      <c r="AD182" s="108" t="str">
        <f>INDEX(Tableau7[Repere],MATCH(Tableau3[[#This Row],[ID-API]],Tableau7[ID-API],0))&amp;""</f>
        <v>A1</v>
      </c>
      <c r="AE182" s="108" t="str">
        <f>INDEX(Tableau1[Repere-Rack],MATCH(Tableau3[[#This Row],[ID-RACK]],Tableau1[ID-RACK],0))&amp;""</f>
        <v>R2</v>
      </c>
      <c r="AF182" s="108" t="str">
        <f>INDEX(Tableau1[Repere-Slot],MATCH(Tableau3[[#This Row],[ID-SLOT]],Tableau1[ID-SLOT],0))&amp;""</f>
        <v>S9</v>
      </c>
      <c r="AG182" s="108" t="str">
        <f>INDEX(Tableau2[Repere-Voie],MATCH(Tableau3[[#This Row],[ID-VOIE]],Tableau2[ID-Voie],0))&amp;""</f>
        <v>v12</v>
      </c>
      <c r="AH182" s="72" t="str">
        <f>Tableau3[[#This Row],[ID-API]]&amp; "." &amp;Tableau3[[#This Row],[ID-RACK]]&amp; "." &amp;Tableau3[[#This Row],[ID-SLOT]]</f>
        <v>1.2.9</v>
      </c>
      <c r="AI182" s="72" t="str">
        <f>INDEX(Tableau1[Ref-Carte],MATCH(Tableau3[[#This Row],[ID-RRS]],Tableau1[ID-RRS],0))</f>
        <v>SDI1602</v>
      </c>
      <c r="AJ182" s="72" t="str">
        <f t="array" ref="AJ182">IFERROR(INDEX(Tableau2[TS],MATCH(1,(Tableau2[Ref-Carte]=Tableau3[[#This Row],[Ref-Carte2]])*(Tableau2[ID-Voie]=Tableau3[[#This Row],[ID-VOIE]]),0)),"")</f>
        <v>ET</v>
      </c>
      <c r="AK182" s="72" t="str">
        <f>IFERROR(INDEX(Tableau2[TS],SUMPRODUCT((Tableau2[Ref-Carte]=Tableau3[[#This Row],[Ref-Carte2]])*(Tableau2[ID-Voie]=Tableau3[[#This Row],[ID-VOIE]])*ROW(Tableau2[TS]))-ROW(Tableau2[#Headers])),"")</f>
        <v>ET</v>
      </c>
      <c r="AL182" s="72" t="str">
        <f>Tableau3[[#This Row],[Ref-Carte2]]&amp;"/"&amp;Tableau3[[#This Row],[ID-VOIE]]</f>
        <v>SDI1602/12</v>
      </c>
      <c r="AM182" s="77" t="str">
        <f>INDEX(Tableau2[Borne],MATCH(Tableau3[[#This Row],[ID-CARTEVOIE]],Tableau2[ID-CARTEVOIE],0))&amp;""</f>
        <v>6B</v>
      </c>
      <c r="AN182" s="74" t="str">
        <f>Tableau3[[#This Row],[ID-API]]&amp;Tableau3[[#This Row],[ID-RACK]]&amp;Tableau3[[#This Row],[ID-SLOT]]&amp;Tableau3[[#This Row],[BORNE]]</f>
        <v>1296B</v>
      </c>
      <c r="AO182" s="1"/>
    </row>
    <row r="183" spans="1:41" ht="20.100000000000001" customHeight="1" thickTop="1" thickBot="1">
      <c r="A183" s="75"/>
      <c r="B183" s="76" t="str">
        <f>IFERROR(INDEX(Tableau4[Date],MATCH($A183,Tableau4[EVO],0)),"")</f>
        <v/>
      </c>
      <c r="C183" s="75" t="str">
        <f>IFERROR(INDEX(Tableau4[Designation],MATCH($A183,Tableau4[EVO],0)),"")</f>
        <v/>
      </c>
      <c r="D183" s="75"/>
      <c r="E183" s="70">
        <v>244</v>
      </c>
      <c r="F183" s="71">
        <v>61</v>
      </c>
      <c r="G183" s="101" t="str">
        <f>INDEX(Tableau8[Att1],MATCH(Tableau3[[#This Row],[ID-INS]],Tableau8[ID],0))&amp;""</f>
        <v>B22</v>
      </c>
      <c r="H183" s="101" t="str">
        <f>INDEX(Tableau8[Att2],MATCH(Tableau3[[#This Row],[ID-INS]],Tableau8[ID],0))&amp;""</f>
        <v>PMR5</v>
      </c>
      <c r="I183" s="101" t="str">
        <f>INDEX(Tableau8[Att3],MATCH(Tableau3[[#This Row],[ID-INS]],Tableau8[ID],0))&amp;""</f>
        <v>PMR5</v>
      </c>
      <c r="J183" s="101"/>
      <c r="K183" s="167" t="str">
        <f>INDEX(Tableau8[Nom du modele],MATCH(Tableau3[[#This Row],[ID-INS]],Tableau8[ID],0))&amp;""</f>
        <v>PMR_2</v>
      </c>
      <c r="L183" s="99" t="str">
        <f>INDEX(Tableau5[Att1],MATCH(Tableau3[[#This Row],[ID-SIG]],Tableau5[ID],0))&amp;""</f>
        <v>TS_OuvRet2</v>
      </c>
      <c r="M183" s="99" t="str">
        <f>INDEX(Tableau5[Att2],MATCH(Tableau3[[#This Row],[ID-SIG]],Tableau5[ID],0))&amp;""</f>
        <v/>
      </c>
      <c r="N183" s="99" t="str">
        <f>INDEX(Tableau5[Att3],MATCH(Tableau3[[#This Row],[ID-SIG]],Tableau5[ID],0))&amp;""</f>
        <v/>
      </c>
      <c r="O183" s="99"/>
      <c r="P183" s="99" t="str">
        <f>INDEX(Tableau5[Description],MATCH(Tableau3[[#This Row],[ID-SIG]],Tableau5[ID],0))</f>
        <v>Retour Commande 2 ouverture sortie</v>
      </c>
      <c r="Q183" s="99"/>
      <c r="R183" s="103" t="str">
        <f>Tableau3[[#This Row],[Description]]</f>
        <v>Retour Commande 2 ouverture sortie</v>
      </c>
      <c r="U183" s="87">
        <v>1</v>
      </c>
      <c r="V183" s="87">
        <v>2</v>
      </c>
      <c r="W183" s="87">
        <v>9</v>
      </c>
      <c r="X183" s="87">
        <v>13</v>
      </c>
      <c r="Y183" s="40"/>
      <c r="Z183" s="165" t="str">
        <f>INDEX(Tableau2[TS],MATCH(Tableau3[[#This Row],[ID-CARTEVOIE]],Tableau2[ID-CARTEVOIE],0))</f>
        <v>ET</v>
      </c>
      <c r="AA183" s="53" t="s">
        <v>213</v>
      </c>
      <c r="AB183" s="223" t="str">
        <f>IFERROR(INDEX(Tableau5[Reserve],MATCH(Tableau3[[#This Row],[ID-SIG]],Tableau5[ID],0))&amp;"","")</f>
        <v/>
      </c>
      <c r="AC183" s="21"/>
      <c r="AD183" s="108" t="str">
        <f>INDEX(Tableau7[Repere],MATCH(Tableau3[[#This Row],[ID-API]],Tableau7[ID-API],0))&amp;""</f>
        <v>A1</v>
      </c>
      <c r="AE183" s="108" t="str">
        <f>INDEX(Tableau1[Repere-Rack],MATCH(Tableau3[[#This Row],[ID-RACK]],Tableau1[ID-RACK],0))&amp;""</f>
        <v>R2</v>
      </c>
      <c r="AF183" s="108" t="str">
        <f>INDEX(Tableau1[Repere-Slot],MATCH(Tableau3[[#This Row],[ID-SLOT]],Tableau1[ID-SLOT],0))&amp;""</f>
        <v>S9</v>
      </c>
      <c r="AG183" s="108" t="str">
        <f>INDEX(Tableau2[Repere-Voie],MATCH(Tableau3[[#This Row],[ID-VOIE]],Tableau2[ID-Voie],0))&amp;""</f>
        <v>v13</v>
      </c>
      <c r="AH183" s="72" t="str">
        <f>Tableau3[[#This Row],[ID-API]]&amp; "." &amp;Tableau3[[#This Row],[ID-RACK]]&amp; "." &amp;Tableau3[[#This Row],[ID-SLOT]]</f>
        <v>1.2.9</v>
      </c>
      <c r="AI183" s="72" t="str">
        <f>INDEX(Tableau1[Ref-Carte],MATCH(Tableau3[[#This Row],[ID-RRS]],Tableau1[ID-RRS],0))</f>
        <v>SDI1602</v>
      </c>
      <c r="AJ183" s="72" t="str">
        <f t="array" ref="AJ183">IFERROR(INDEX(Tableau2[TS],MATCH(1,(Tableau2[Ref-Carte]=Tableau3[[#This Row],[Ref-Carte2]])*(Tableau2[ID-Voie]=Tableau3[[#This Row],[ID-VOIE]]),0)),"")</f>
        <v>ET</v>
      </c>
      <c r="AK183" s="72" t="str">
        <f>IFERROR(INDEX(Tableau2[TS],SUMPRODUCT((Tableau2[Ref-Carte]=Tableau3[[#This Row],[Ref-Carte2]])*(Tableau2[ID-Voie]=Tableau3[[#This Row],[ID-VOIE]])*ROW(Tableau2[TS]))-ROW(Tableau2[#Headers])),"")</f>
        <v>ET</v>
      </c>
      <c r="AL183" s="72" t="str">
        <f>Tableau3[[#This Row],[Ref-Carte2]]&amp;"/"&amp;Tableau3[[#This Row],[ID-VOIE]]</f>
        <v>SDI1602/13</v>
      </c>
      <c r="AM183" s="77" t="str">
        <f>INDEX(Tableau2[Borne],MATCH(Tableau3[[#This Row],[ID-CARTEVOIE]],Tableau2[ID-CARTEVOIE],0))&amp;""</f>
        <v>6A</v>
      </c>
      <c r="AN183" s="74" t="str">
        <f>Tableau3[[#This Row],[ID-API]]&amp;Tableau3[[#This Row],[ID-RACK]]&amp;Tableau3[[#This Row],[ID-SLOT]]&amp;Tableau3[[#This Row],[BORNE]]</f>
        <v>1296A</v>
      </c>
      <c r="AO183" s="1"/>
    </row>
    <row r="184" spans="1:41" ht="20.100000000000001" customHeight="1" thickTop="1" thickBot="1">
      <c r="A184" s="75"/>
      <c r="B184" s="76" t="str">
        <f>IFERROR(INDEX(Tableau4[Date],MATCH($A184,Tableau4[EVO],0)),"")</f>
        <v/>
      </c>
      <c r="C184" s="75" t="str">
        <f>IFERROR(INDEX(Tableau4[Designation],MATCH($A184,Tableau4[EVO],0)),"")</f>
        <v/>
      </c>
      <c r="D184" s="75"/>
      <c r="E184" s="70">
        <v>244</v>
      </c>
      <c r="F184" s="71">
        <v>62</v>
      </c>
      <c r="G184" s="101" t="str">
        <f>INDEX(Tableau8[Att1],MATCH(Tableau3[[#This Row],[ID-INS]],Tableau8[ID],0))&amp;""</f>
        <v>B22</v>
      </c>
      <c r="H184" s="101" t="str">
        <f>INDEX(Tableau8[Att2],MATCH(Tableau3[[#This Row],[ID-INS]],Tableau8[ID],0))&amp;""</f>
        <v>PMR5</v>
      </c>
      <c r="I184" s="101" t="str">
        <f>INDEX(Tableau8[Att3],MATCH(Tableau3[[#This Row],[ID-INS]],Tableau8[ID],0))&amp;""</f>
        <v>PMR5</v>
      </c>
      <c r="J184" s="101"/>
      <c r="K184" s="167" t="str">
        <f>INDEX(Tableau8[Nom du modele],MATCH(Tableau3[[#This Row],[ID-INS]],Tableau8[ID],0))&amp;""</f>
        <v>PMR_2</v>
      </c>
      <c r="L184" s="99" t="str">
        <f>INDEX(Tableau5[Att1],MATCH(Tableau3[[#This Row],[ID-SIG]],Tableau5[ID],0))&amp;""</f>
        <v>Fer1</v>
      </c>
      <c r="M184" s="99" t="str">
        <f>INDEX(Tableau5[Att2],MATCH(Tableau3[[#This Row],[ID-SIG]],Tableau5[ID],0))&amp;""</f>
        <v/>
      </c>
      <c r="N184" s="99" t="str">
        <f>INDEX(Tableau5[Att3],MATCH(Tableau3[[#This Row],[ID-SIG]],Tableau5[ID],0))&amp;""</f>
        <v/>
      </c>
      <c r="O184" s="99"/>
      <c r="P184" s="99" t="str">
        <f>INDEX(Tableau5[Description],MATCH(Tableau3[[#This Row],[ID-SIG]],Tableau5[ID],0))</f>
        <v>Porte fermée 1</v>
      </c>
      <c r="Q184" s="99"/>
      <c r="R184" s="103" t="str">
        <f>Tableau3[[#This Row],[Description]]</f>
        <v>Porte fermée 1</v>
      </c>
      <c r="U184" s="87">
        <v>1</v>
      </c>
      <c r="V184" s="87">
        <v>2</v>
      </c>
      <c r="W184" s="87">
        <v>9</v>
      </c>
      <c r="X184" s="87">
        <v>14</v>
      </c>
      <c r="Y184" s="40"/>
      <c r="Z184" s="165" t="str">
        <f>INDEX(Tableau2[TS],MATCH(Tableau3[[#This Row],[ID-CARTEVOIE]],Tableau2[ID-CARTEVOIE],0))</f>
        <v>ET</v>
      </c>
      <c r="AA184" s="53" t="s">
        <v>213</v>
      </c>
      <c r="AB184" s="223" t="str">
        <f>IFERROR(INDEX(Tableau5[Reserve],MATCH(Tableau3[[#This Row],[ID-SIG]],Tableau5[ID],0))&amp;"","")</f>
        <v/>
      </c>
      <c r="AC184" s="21"/>
      <c r="AD184" s="108" t="str">
        <f>INDEX(Tableau7[Repere],MATCH(Tableau3[[#This Row],[ID-API]],Tableau7[ID-API],0))&amp;""</f>
        <v>A1</v>
      </c>
      <c r="AE184" s="108" t="str">
        <f>INDEX(Tableau1[Repere-Rack],MATCH(Tableau3[[#This Row],[ID-RACK]],Tableau1[ID-RACK],0))&amp;""</f>
        <v>R2</v>
      </c>
      <c r="AF184" s="108" t="str">
        <f>INDEX(Tableau1[Repere-Slot],MATCH(Tableau3[[#This Row],[ID-SLOT]],Tableau1[ID-SLOT],0))&amp;""</f>
        <v>S9</v>
      </c>
      <c r="AG184" s="108" t="str">
        <f>INDEX(Tableau2[Repere-Voie],MATCH(Tableau3[[#This Row],[ID-VOIE]],Tableau2[ID-Voie],0))&amp;""</f>
        <v>v14</v>
      </c>
      <c r="AH184" s="72" t="str">
        <f>Tableau3[[#This Row],[ID-API]]&amp; "." &amp;Tableau3[[#This Row],[ID-RACK]]&amp; "." &amp;Tableau3[[#This Row],[ID-SLOT]]</f>
        <v>1.2.9</v>
      </c>
      <c r="AI184" s="72" t="str">
        <f>INDEX(Tableau1[Ref-Carte],MATCH(Tableau3[[#This Row],[ID-RRS]],Tableau1[ID-RRS],0))</f>
        <v>SDI1602</v>
      </c>
      <c r="AJ184" s="72" t="str">
        <f t="array" ref="AJ184">IFERROR(INDEX(Tableau2[TS],MATCH(1,(Tableau2[Ref-Carte]=Tableau3[[#This Row],[Ref-Carte2]])*(Tableau2[ID-Voie]=Tableau3[[#This Row],[ID-VOIE]]),0)),"")</f>
        <v>ET</v>
      </c>
      <c r="AK184" s="72" t="str">
        <f>IFERROR(INDEX(Tableau2[TS],SUMPRODUCT((Tableau2[Ref-Carte]=Tableau3[[#This Row],[Ref-Carte2]])*(Tableau2[ID-Voie]=Tableau3[[#This Row],[ID-VOIE]])*ROW(Tableau2[TS]))-ROW(Tableau2[#Headers])),"")</f>
        <v>ET</v>
      </c>
      <c r="AL184" s="72" t="str">
        <f>Tableau3[[#This Row],[Ref-Carte2]]&amp;"/"&amp;Tableau3[[#This Row],[ID-VOIE]]</f>
        <v>SDI1602/14</v>
      </c>
      <c r="AM184" s="77" t="str">
        <f>INDEX(Tableau2[Borne],MATCH(Tableau3[[#This Row],[ID-CARTEVOIE]],Tableau2[ID-CARTEVOIE],0))&amp;""</f>
        <v>7B</v>
      </c>
      <c r="AN184" s="74" t="str">
        <f>Tableau3[[#This Row],[ID-API]]&amp;Tableau3[[#This Row],[ID-RACK]]&amp;Tableau3[[#This Row],[ID-SLOT]]&amp;Tableau3[[#This Row],[BORNE]]</f>
        <v>1297B</v>
      </c>
      <c r="AO184" s="1"/>
    </row>
    <row r="185" spans="1:41" ht="20.100000000000001" customHeight="1" thickTop="1" thickBot="1">
      <c r="A185" s="75"/>
      <c r="B185" s="76" t="str">
        <f>IFERROR(INDEX(Tableau4[Date],MATCH($A185,Tableau4[EVO],0)),"")</f>
        <v/>
      </c>
      <c r="C185" s="75" t="str">
        <f>IFERROR(INDEX(Tableau4[Designation],MATCH($A185,Tableau4[EVO],0)),"")</f>
        <v/>
      </c>
      <c r="D185" s="75"/>
      <c r="E185" s="70">
        <v>245</v>
      </c>
      <c r="F185" s="71">
        <v>61</v>
      </c>
      <c r="G185" s="101" t="str">
        <f>INDEX(Tableau8[Att1],MATCH(Tableau3[[#This Row],[ID-INS]],Tableau8[ID],0))&amp;""</f>
        <v>B22</v>
      </c>
      <c r="H185" s="101" t="str">
        <f>INDEX(Tableau8[Att2],MATCH(Tableau3[[#This Row],[ID-INS]],Tableau8[ID],0))&amp;""</f>
        <v>PMR6</v>
      </c>
      <c r="I185" s="101" t="str">
        <f>INDEX(Tableau8[Att3],MATCH(Tableau3[[#This Row],[ID-INS]],Tableau8[ID],0))&amp;""</f>
        <v>PMR6</v>
      </c>
      <c r="J185" s="101"/>
      <c r="K185" s="167" t="str">
        <f>INDEX(Tableau8[Nom du modele],MATCH(Tableau3[[#This Row],[ID-INS]],Tableau8[ID],0))&amp;""</f>
        <v>PMR_2</v>
      </c>
      <c r="L185" s="99" t="str">
        <f>INDEX(Tableau5[Att1],MATCH(Tableau3[[#This Row],[ID-SIG]],Tableau5[ID],0))&amp;""</f>
        <v>TS_OuvRet2</v>
      </c>
      <c r="M185" s="99" t="str">
        <f>INDEX(Tableau5[Att2],MATCH(Tableau3[[#This Row],[ID-SIG]],Tableau5[ID],0))&amp;""</f>
        <v/>
      </c>
      <c r="N185" s="99" t="str">
        <f>INDEX(Tableau5[Att3],MATCH(Tableau3[[#This Row],[ID-SIG]],Tableau5[ID],0))&amp;""</f>
        <v/>
      </c>
      <c r="O185" s="99"/>
      <c r="P185" s="99" t="str">
        <f>INDEX(Tableau5[Description],MATCH(Tableau3[[#This Row],[ID-SIG]],Tableau5[ID],0))</f>
        <v>Retour Commande 2 ouverture sortie</v>
      </c>
      <c r="Q185" s="99"/>
      <c r="R185" s="103" t="str">
        <f>Tableau3[[#This Row],[Description]]</f>
        <v>Retour Commande 2 ouverture sortie</v>
      </c>
      <c r="U185" s="87">
        <v>1</v>
      </c>
      <c r="V185" s="87">
        <v>2</v>
      </c>
      <c r="W185" s="87">
        <v>9</v>
      </c>
      <c r="X185" s="87">
        <v>15</v>
      </c>
      <c r="Y185" s="40"/>
      <c r="Z185" s="165" t="str">
        <f>INDEX(Tableau2[TS],MATCH(Tableau3[[#This Row],[ID-CARTEVOIE]],Tableau2[ID-CARTEVOIE],0))</f>
        <v>ET</v>
      </c>
      <c r="AA185" s="53" t="s">
        <v>213</v>
      </c>
      <c r="AB185" s="223" t="str">
        <f>IFERROR(INDEX(Tableau5[Reserve],MATCH(Tableau3[[#This Row],[ID-SIG]],Tableau5[ID],0))&amp;"","")</f>
        <v/>
      </c>
      <c r="AC185" s="21"/>
      <c r="AD185" s="108" t="str">
        <f>INDEX(Tableau7[Repere],MATCH(Tableau3[[#This Row],[ID-API]],Tableau7[ID-API],0))&amp;""</f>
        <v>A1</v>
      </c>
      <c r="AE185" s="108" t="str">
        <f>INDEX(Tableau1[Repere-Rack],MATCH(Tableau3[[#This Row],[ID-RACK]],Tableau1[ID-RACK],0))&amp;""</f>
        <v>R2</v>
      </c>
      <c r="AF185" s="108" t="str">
        <f>INDEX(Tableau1[Repere-Slot],MATCH(Tableau3[[#This Row],[ID-SLOT]],Tableau1[ID-SLOT],0))&amp;""</f>
        <v>S9</v>
      </c>
      <c r="AG185" s="108" t="str">
        <f>INDEX(Tableau2[Repere-Voie],MATCH(Tableau3[[#This Row],[ID-VOIE]],Tableau2[ID-Voie],0))&amp;""</f>
        <v>v15</v>
      </c>
      <c r="AH185" s="72" t="str">
        <f>Tableau3[[#This Row],[ID-API]]&amp; "." &amp;Tableau3[[#This Row],[ID-RACK]]&amp; "." &amp;Tableau3[[#This Row],[ID-SLOT]]</f>
        <v>1.2.9</v>
      </c>
      <c r="AI185" s="72" t="str">
        <f>INDEX(Tableau1[Ref-Carte],MATCH(Tableau3[[#This Row],[ID-RRS]],Tableau1[ID-RRS],0))</f>
        <v>SDI1602</v>
      </c>
      <c r="AJ185" s="72" t="str">
        <f t="array" ref="AJ185">IFERROR(INDEX(Tableau2[TS],MATCH(1,(Tableau2[Ref-Carte]=Tableau3[[#This Row],[Ref-Carte2]])*(Tableau2[ID-Voie]=Tableau3[[#This Row],[ID-VOIE]]),0)),"")</f>
        <v>ET</v>
      </c>
      <c r="AK185" s="72" t="str">
        <f>IFERROR(INDEX(Tableau2[TS],SUMPRODUCT((Tableau2[Ref-Carte]=Tableau3[[#This Row],[Ref-Carte2]])*(Tableau2[ID-Voie]=Tableau3[[#This Row],[ID-VOIE]])*ROW(Tableau2[TS]))-ROW(Tableau2[#Headers])),"")</f>
        <v>ET</v>
      </c>
      <c r="AL185" s="72" t="str">
        <f>Tableau3[[#This Row],[Ref-Carte2]]&amp;"/"&amp;Tableau3[[#This Row],[ID-VOIE]]</f>
        <v>SDI1602/15</v>
      </c>
      <c r="AM185" s="77" t="str">
        <f>INDEX(Tableau2[Borne],MATCH(Tableau3[[#This Row],[ID-CARTEVOIE]],Tableau2[ID-CARTEVOIE],0))&amp;""</f>
        <v>7A</v>
      </c>
      <c r="AN185" s="74" t="str">
        <f>Tableau3[[#This Row],[ID-API]]&amp;Tableau3[[#This Row],[ID-RACK]]&amp;Tableau3[[#This Row],[ID-SLOT]]&amp;Tableau3[[#This Row],[BORNE]]</f>
        <v>1297A</v>
      </c>
      <c r="AO185" s="1"/>
    </row>
    <row r="186" spans="1:41" ht="20.100000000000001" customHeight="1" thickTop="1" thickBot="1">
      <c r="A186" s="75"/>
      <c r="B186" s="76" t="str">
        <f>IFERROR(INDEX(Tableau4[Date],MATCH($A186,Tableau4[EVO],0)),"")</f>
        <v/>
      </c>
      <c r="C186" s="75" t="str">
        <f>IFERROR(INDEX(Tableau4[Designation],MATCH($A186,Tableau4[EVO],0)),"")</f>
        <v/>
      </c>
      <c r="D186" s="75"/>
      <c r="E186" s="70">
        <v>245</v>
      </c>
      <c r="F186" s="71">
        <v>62</v>
      </c>
      <c r="G186" s="101" t="str">
        <f>INDEX(Tableau8[Att1],MATCH(Tableau3[[#This Row],[ID-INS]],Tableau8[ID],0))&amp;""</f>
        <v>B22</v>
      </c>
      <c r="H186" s="101" t="str">
        <f>INDEX(Tableau8[Att2],MATCH(Tableau3[[#This Row],[ID-INS]],Tableau8[ID],0))&amp;""</f>
        <v>PMR6</v>
      </c>
      <c r="I186" s="101" t="str">
        <f>INDEX(Tableau8[Att3],MATCH(Tableau3[[#This Row],[ID-INS]],Tableau8[ID],0))&amp;""</f>
        <v>PMR6</v>
      </c>
      <c r="J186" s="101"/>
      <c r="K186" s="167" t="str">
        <f>INDEX(Tableau8[Nom du modele],MATCH(Tableau3[[#This Row],[ID-INS]],Tableau8[ID],0))&amp;""</f>
        <v>PMR_2</v>
      </c>
      <c r="L186" s="99" t="str">
        <f>INDEX(Tableau5[Att1],MATCH(Tableau3[[#This Row],[ID-SIG]],Tableau5[ID],0))&amp;""</f>
        <v>Fer1</v>
      </c>
      <c r="M186" s="99" t="str">
        <f>INDEX(Tableau5[Att2],MATCH(Tableau3[[#This Row],[ID-SIG]],Tableau5[ID],0))&amp;""</f>
        <v/>
      </c>
      <c r="N186" s="99" t="str">
        <f>INDEX(Tableau5[Att3],MATCH(Tableau3[[#This Row],[ID-SIG]],Tableau5[ID],0))&amp;""</f>
        <v/>
      </c>
      <c r="O186" s="99"/>
      <c r="P186" s="99" t="str">
        <f>INDEX(Tableau5[Description],MATCH(Tableau3[[#This Row],[ID-SIG]],Tableau5[ID],0))</f>
        <v>Porte fermée 1</v>
      </c>
      <c r="Q186" s="99"/>
      <c r="R186" s="103" t="str">
        <f>Tableau3[[#This Row],[Description]]</f>
        <v>Porte fermée 1</v>
      </c>
      <c r="U186" s="87">
        <v>1</v>
      </c>
      <c r="V186" s="87">
        <v>2</v>
      </c>
      <c r="W186" s="87">
        <v>10</v>
      </c>
      <c r="X186" s="87">
        <v>0</v>
      </c>
      <c r="Y186" s="40"/>
      <c r="Z186" s="165" t="str">
        <f>INDEX(Tableau2[TS],MATCH(Tableau3[[#This Row],[ID-CARTEVOIE]],Tableau2[ID-CARTEVOIE],0))</f>
        <v>ET</v>
      </c>
      <c r="AA186" s="53" t="s">
        <v>213</v>
      </c>
      <c r="AB186" s="223" t="str">
        <f>IFERROR(INDEX(Tableau5[Reserve],MATCH(Tableau3[[#This Row],[ID-SIG]],Tableau5[ID],0))&amp;"","")</f>
        <v/>
      </c>
      <c r="AC186" s="21"/>
      <c r="AD186" s="108" t="str">
        <f>INDEX(Tableau7[Repere],MATCH(Tableau3[[#This Row],[ID-API]],Tableau7[ID-API],0))&amp;""</f>
        <v>A1</v>
      </c>
      <c r="AE186" s="108" t="str">
        <f>INDEX(Tableau1[Repere-Rack],MATCH(Tableau3[[#This Row],[ID-RACK]],Tableau1[ID-RACK],0))&amp;""</f>
        <v>R2</v>
      </c>
      <c r="AF186" s="108" t="str">
        <f>INDEX(Tableau1[Repere-Slot],MATCH(Tableau3[[#This Row],[ID-SLOT]],Tableau1[ID-SLOT],0))&amp;""</f>
        <v>S10</v>
      </c>
      <c r="AG186" s="108" t="str">
        <f>INDEX(Tableau2[Repere-Voie],MATCH(Tableau3[[#This Row],[ID-VOIE]],Tableau2[ID-Voie],0))&amp;""</f>
        <v>v0</v>
      </c>
      <c r="AH186" s="72" t="str">
        <f>Tableau3[[#This Row],[ID-API]]&amp; "." &amp;Tableau3[[#This Row],[ID-RACK]]&amp; "." &amp;Tableau3[[#This Row],[ID-SLOT]]</f>
        <v>1.2.10</v>
      </c>
      <c r="AI186" s="72" t="str">
        <f>INDEX(Tableau1[Ref-Carte],MATCH(Tableau3[[#This Row],[ID-RRS]],Tableau1[ID-RRS],0))</f>
        <v>SDI1602</v>
      </c>
      <c r="AJ186" s="72" t="str">
        <f t="array" ref="AJ186">IFERROR(INDEX(Tableau2[TS],MATCH(1,(Tableau2[Ref-Carte]=Tableau3[[#This Row],[Ref-Carte2]])*(Tableau2[ID-Voie]=Tableau3[[#This Row],[ID-VOIE]]),0)),"")</f>
        <v>ET</v>
      </c>
      <c r="AK186" s="72" t="str">
        <f>IFERROR(INDEX(Tableau2[TS],SUMPRODUCT((Tableau2[Ref-Carte]=Tableau3[[#This Row],[Ref-Carte2]])*(Tableau2[ID-Voie]=Tableau3[[#This Row],[ID-VOIE]])*ROW(Tableau2[TS]))-ROW(Tableau2[#Headers])),"")</f>
        <v>ET</v>
      </c>
      <c r="AL186" s="72" t="str">
        <f>Tableau3[[#This Row],[Ref-Carte2]]&amp;"/"&amp;Tableau3[[#This Row],[ID-VOIE]]</f>
        <v>SDI1602/0</v>
      </c>
      <c r="AM186" s="77" t="str">
        <f>INDEX(Tableau2[Borne],MATCH(Tableau3[[#This Row],[ID-CARTEVOIE]],Tableau2[ID-CARTEVOIE],0))&amp;""</f>
        <v>0B</v>
      </c>
      <c r="AN186" s="74" t="str">
        <f>Tableau3[[#This Row],[ID-API]]&amp;Tableau3[[#This Row],[ID-RACK]]&amp;Tableau3[[#This Row],[ID-SLOT]]&amp;Tableau3[[#This Row],[BORNE]]</f>
        <v>12100B</v>
      </c>
      <c r="AO186" s="1"/>
    </row>
    <row r="187" spans="1:41" ht="20.100000000000001" customHeight="1" thickTop="1" thickBot="1">
      <c r="A187" s="75"/>
      <c r="B187" s="76" t="str">
        <f>IFERROR(INDEX(Tableau4[Date],MATCH($A187,Tableau4[EVO],0)),"")</f>
        <v/>
      </c>
      <c r="C187" s="75" t="str">
        <f>IFERROR(INDEX(Tableau4[Designation],MATCH($A187,Tableau4[EVO],0)),"")</f>
        <v/>
      </c>
      <c r="D187" s="75"/>
      <c r="E187" s="70">
        <v>252</v>
      </c>
      <c r="F187" s="71">
        <v>82</v>
      </c>
      <c r="G187" s="101" t="str">
        <f>INDEX(Tableau8[Att1],MATCH(Tableau3[[#This Row],[ID-INS]],Tableau8[ID],0))&amp;""</f>
        <v>V5</v>
      </c>
      <c r="H187" s="101" t="str">
        <f>INDEX(Tableau8[Att2],MATCH(Tableau3[[#This Row],[ID-INS]],Tableau8[ID],0))&amp;""</f>
        <v>BH12</v>
      </c>
      <c r="I187" s="101" t="str">
        <f>INDEX(Tableau8[Att3],MATCH(Tableau3[[#This Row],[ID-INS]],Tableau8[ID],0))&amp;""</f>
        <v>Barrière BH12</v>
      </c>
      <c r="J187" s="101"/>
      <c r="K187" s="167" t="str">
        <f>INDEX(Tableau8[Nom du modele],MATCH(Tableau3[[#This Row],[ID-INS]],Tableau8[ID],0))&amp;""</f>
        <v>BarriereHerse_2</v>
      </c>
      <c r="L187" s="99" t="str">
        <f>INDEX(Tableau5[Att1],MATCH(Tableau3[[#This Row],[ID-SIG]],Tableau5[ID],0))&amp;""</f>
        <v>FerRet2</v>
      </c>
      <c r="M187" s="99" t="str">
        <f>INDEX(Tableau5[Att2],MATCH(Tableau3[[#This Row],[ID-SIG]],Tableau5[ID],0))&amp;""</f>
        <v/>
      </c>
      <c r="N187" s="99" t="str">
        <f>INDEX(Tableau5[Att3],MATCH(Tableau3[[#This Row],[ID-SIG]],Tableau5[ID],0))&amp;""</f>
        <v/>
      </c>
      <c r="O187" s="99"/>
      <c r="P187" s="99" t="str">
        <f>INDEX(Tableau5[Description],MATCH(Tableau3[[#This Row],[ID-SIG]],Tableau5[ID],0))</f>
        <v>Retour Commande 2 fermeture</v>
      </c>
      <c r="Q187" s="99"/>
      <c r="R187" s="103" t="str">
        <f>Tableau3[[#This Row],[Description]]</f>
        <v>Retour Commande 2 fermeture</v>
      </c>
      <c r="U187" s="87">
        <v>1</v>
      </c>
      <c r="V187" s="87">
        <v>2</v>
      </c>
      <c r="W187" s="87">
        <v>10</v>
      </c>
      <c r="X187" s="87">
        <v>1</v>
      </c>
      <c r="Y187" s="40"/>
      <c r="Z187" s="165" t="str">
        <f>INDEX(Tableau2[TS],MATCH(Tableau3[[#This Row],[ID-CARTEVOIE]],Tableau2[ID-CARTEVOIE],0))</f>
        <v>ET</v>
      </c>
      <c r="AA187" s="53" t="s">
        <v>213</v>
      </c>
      <c r="AB187" s="223" t="str">
        <f>IFERROR(INDEX(Tableau5[Reserve],MATCH(Tableau3[[#This Row],[ID-SIG]],Tableau5[ID],0))&amp;"","")</f>
        <v/>
      </c>
      <c r="AC187" s="21"/>
      <c r="AD187" s="108" t="str">
        <f>INDEX(Tableau7[Repere],MATCH(Tableau3[[#This Row],[ID-API]],Tableau7[ID-API],0))&amp;""</f>
        <v>A1</v>
      </c>
      <c r="AE187" s="108" t="str">
        <f>INDEX(Tableau1[Repere-Rack],MATCH(Tableau3[[#This Row],[ID-RACK]],Tableau1[ID-RACK],0))&amp;""</f>
        <v>R2</v>
      </c>
      <c r="AF187" s="108" t="str">
        <f>INDEX(Tableau1[Repere-Slot],MATCH(Tableau3[[#This Row],[ID-SLOT]],Tableau1[ID-SLOT],0))&amp;""</f>
        <v>S10</v>
      </c>
      <c r="AG187" s="108" t="str">
        <f>INDEX(Tableau2[Repere-Voie],MATCH(Tableau3[[#This Row],[ID-VOIE]],Tableau2[ID-Voie],0))&amp;""</f>
        <v>v1</v>
      </c>
      <c r="AH187" s="72" t="str">
        <f>Tableau3[[#This Row],[ID-API]]&amp; "." &amp;Tableau3[[#This Row],[ID-RACK]]&amp; "." &amp;Tableau3[[#This Row],[ID-SLOT]]</f>
        <v>1.2.10</v>
      </c>
      <c r="AI187" s="72" t="str">
        <f>INDEX(Tableau1[Ref-Carte],MATCH(Tableau3[[#This Row],[ID-RRS]],Tableau1[ID-RRS],0))</f>
        <v>SDI1602</v>
      </c>
      <c r="AJ187" s="72" t="str">
        <f t="array" ref="AJ187">IFERROR(INDEX(Tableau2[TS],MATCH(1,(Tableau2[Ref-Carte]=Tableau3[[#This Row],[Ref-Carte2]])*(Tableau2[ID-Voie]=Tableau3[[#This Row],[ID-VOIE]]),0)),"")</f>
        <v>ET</v>
      </c>
      <c r="AK187" s="72" t="str">
        <f>IFERROR(INDEX(Tableau2[TS],SUMPRODUCT((Tableau2[Ref-Carte]=Tableau3[[#This Row],[Ref-Carte2]])*(Tableau2[ID-Voie]=Tableau3[[#This Row],[ID-VOIE]])*ROW(Tableau2[TS]))-ROW(Tableau2[#Headers])),"")</f>
        <v>ET</v>
      </c>
      <c r="AL187" s="72" t="str">
        <f>Tableau3[[#This Row],[Ref-Carte2]]&amp;"/"&amp;Tableau3[[#This Row],[ID-VOIE]]</f>
        <v>SDI1602/1</v>
      </c>
      <c r="AM187" s="77" t="str">
        <f>INDEX(Tableau2[Borne],MATCH(Tableau3[[#This Row],[ID-CARTEVOIE]],Tableau2[ID-CARTEVOIE],0))&amp;""</f>
        <v>0A</v>
      </c>
      <c r="AN187" s="74" t="str">
        <f>Tableau3[[#This Row],[ID-API]]&amp;Tableau3[[#This Row],[ID-RACK]]&amp;Tableau3[[#This Row],[ID-SLOT]]&amp;Tableau3[[#This Row],[BORNE]]</f>
        <v>12100A</v>
      </c>
      <c r="AO187" s="1"/>
    </row>
    <row r="188" spans="1:41" ht="20.100000000000001" customHeight="1" thickTop="1" thickBot="1">
      <c r="A188" s="75"/>
      <c r="B188" s="76" t="str">
        <f>IFERROR(INDEX(Tableau4[Date],MATCH($A188,Tableau4[EVO],0)),"")</f>
        <v/>
      </c>
      <c r="C188" s="75" t="str">
        <f>IFERROR(INDEX(Tableau4[Designation],MATCH($A188,Tableau4[EVO],0)),"")</f>
        <v/>
      </c>
      <c r="D188" s="75"/>
      <c r="E188" s="70">
        <v>252</v>
      </c>
      <c r="F188" s="71">
        <v>83</v>
      </c>
      <c r="G188" s="101" t="str">
        <f>INDEX(Tableau8[Att1],MATCH(Tableau3[[#This Row],[ID-INS]],Tableau8[ID],0))&amp;""</f>
        <v>V5</v>
      </c>
      <c r="H188" s="101" t="str">
        <f>INDEX(Tableau8[Att2],MATCH(Tableau3[[#This Row],[ID-INS]],Tableau8[ID],0))&amp;""</f>
        <v>BH12</v>
      </c>
      <c r="I188" s="101" t="str">
        <f>INDEX(Tableau8[Att3],MATCH(Tableau3[[#This Row],[ID-INS]],Tableau8[ID],0))&amp;""</f>
        <v>Barrière BH12</v>
      </c>
      <c r="J188" s="101"/>
      <c r="K188" s="167" t="str">
        <f>INDEX(Tableau8[Nom du modele],MATCH(Tableau3[[#This Row],[ID-INS]],Tableau8[ID],0))&amp;""</f>
        <v>BarriereHerse_2</v>
      </c>
      <c r="L188" s="99" t="str">
        <f>INDEX(Tableau5[Att1],MATCH(Tableau3[[#This Row],[ID-SIG]],Tableau5[ID],0))&amp;""</f>
        <v>Fer1</v>
      </c>
      <c r="M188" s="99" t="str">
        <f>INDEX(Tableau5[Att2],MATCH(Tableau3[[#This Row],[ID-SIG]],Tableau5[ID],0))&amp;""</f>
        <v/>
      </c>
      <c r="N188" s="99" t="str">
        <f>INDEX(Tableau5[Att3],MATCH(Tableau3[[#This Row],[ID-SIG]],Tableau5[ID],0))&amp;""</f>
        <v/>
      </c>
      <c r="O188" s="99"/>
      <c r="P188" s="99" t="str">
        <f>INDEX(Tableau5[Description],MATCH(Tableau3[[#This Row],[ID-SIG]],Tableau5[ID],0))</f>
        <v xml:space="preserve">Position 1 fermée </v>
      </c>
      <c r="Q188" s="99"/>
      <c r="R188" s="103" t="str">
        <f>Tableau3[[#This Row],[Description]]</f>
        <v xml:space="preserve">Position 1 fermée </v>
      </c>
      <c r="U188" s="87">
        <v>1</v>
      </c>
      <c r="V188" s="87">
        <v>2</v>
      </c>
      <c r="W188" s="87">
        <v>10</v>
      </c>
      <c r="X188" s="87">
        <v>2</v>
      </c>
      <c r="Y188" s="40"/>
      <c r="Z188" s="165" t="str">
        <f>INDEX(Tableau2[TS],MATCH(Tableau3[[#This Row],[ID-CARTEVOIE]],Tableau2[ID-CARTEVOIE],0))</f>
        <v>ET</v>
      </c>
      <c r="AA188" s="53" t="s">
        <v>213</v>
      </c>
      <c r="AB188" s="223" t="str">
        <f>IFERROR(INDEX(Tableau5[Reserve],MATCH(Tableau3[[#This Row],[ID-SIG]],Tableau5[ID],0))&amp;"","")</f>
        <v/>
      </c>
      <c r="AC188" s="21"/>
      <c r="AD188" s="108" t="str">
        <f>INDEX(Tableau7[Repere],MATCH(Tableau3[[#This Row],[ID-API]],Tableau7[ID-API],0))&amp;""</f>
        <v>A1</v>
      </c>
      <c r="AE188" s="108" t="str">
        <f>INDEX(Tableau1[Repere-Rack],MATCH(Tableau3[[#This Row],[ID-RACK]],Tableau1[ID-RACK],0))&amp;""</f>
        <v>R2</v>
      </c>
      <c r="AF188" s="108" t="str">
        <f>INDEX(Tableau1[Repere-Slot],MATCH(Tableau3[[#This Row],[ID-SLOT]],Tableau1[ID-SLOT],0))&amp;""</f>
        <v>S10</v>
      </c>
      <c r="AG188" s="108" t="str">
        <f>INDEX(Tableau2[Repere-Voie],MATCH(Tableau3[[#This Row],[ID-VOIE]],Tableau2[ID-Voie],0))&amp;""</f>
        <v>v2</v>
      </c>
      <c r="AH188" s="72" t="str">
        <f>Tableau3[[#This Row],[ID-API]]&amp; "." &amp;Tableau3[[#This Row],[ID-RACK]]&amp; "." &amp;Tableau3[[#This Row],[ID-SLOT]]</f>
        <v>1.2.10</v>
      </c>
      <c r="AI188" s="72" t="str">
        <f>INDEX(Tableau1[Ref-Carte],MATCH(Tableau3[[#This Row],[ID-RRS]],Tableau1[ID-RRS],0))</f>
        <v>SDI1602</v>
      </c>
      <c r="AJ188" s="72" t="str">
        <f t="array" ref="AJ188">IFERROR(INDEX(Tableau2[TS],MATCH(1,(Tableau2[Ref-Carte]=Tableau3[[#This Row],[Ref-Carte2]])*(Tableau2[ID-Voie]=Tableau3[[#This Row],[ID-VOIE]]),0)),"")</f>
        <v>ET</v>
      </c>
      <c r="AK188" s="72" t="str">
        <f>IFERROR(INDEX(Tableau2[TS],SUMPRODUCT((Tableau2[Ref-Carte]=Tableau3[[#This Row],[Ref-Carte2]])*(Tableau2[ID-Voie]=Tableau3[[#This Row],[ID-VOIE]])*ROW(Tableau2[TS]))-ROW(Tableau2[#Headers])),"")</f>
        <v>ET</v>
      </c>
      <c r="AL188" s="72" t="str">
        <f>Tableau3[[#This Row],[Ref-Carte2]]&amp;"/"&amp;Tableau3[[#This Row],[ID-VOIE]]</f>
        <v>SDI1602/2</v>
      </c>
      <c r="AM188" s="77" t="str">
        <f>INDEX(Tableau2[Borne],MATCH(Tableau3[[#This Row],[ID-CARTEVOIE]],Tableau2[ID-CARTEVOIE],0))&amp;""</f>
        <v>1B</v>
      </c>
      <c r="AN188" s="74" t="str">
        <f>Tableau3[[#This Row],[ID-API]]&amp;Tableau3[[#This Row],[ID-RACK]]&amp;Tableau3[[#This Row],[ID-SLOT]]&amp;Tableau3[[#This Row],[BORNE]]</f>
        <v>12101B</v>
      </c>
      <c r="AO188" s="1"/>
    </row>
    <row r="189" spans="1:41" ht="20.100000000000001" customHeight="1" thickTop="1" thickBot="1">
      <c r="A189" s="75"/>
      <c r="B189" s="76" t="str">
        <f>IFERROR(INDEX(Tableau4[Date],MATCH($A189,Tableau4[EVO],0)),"")</f>
        <v/>
      </c>
      <c r="C189" s="75" t="str">
        <f>IFERROR(INDEX(Tableau4[Designation],MATCH($A189,Tableau4[EVO],0)),"")</f>
        <v/>
      </c>
      <c r="D189" s="75"/>
      <c r="E189" s="70">
        <v>254</v>
      </c>
      <c r="F189" s="71">
        <v>97</v>
      </c>
      <c r="G189" s="101" t="str">
        <f>INDEX(Tableau8[Att1],MATCH(Tableau3[[#This Row],[ID-INS]],Tableau8[ID],0))&amp;""</f>
        <v>V5</v>
      </c>
      <c r="H189" s="101" t="str">
        <f>INDEX(Tableau8[Att2],MATCH(Tableau3[[#This Row],[ID-INS]],Tableau8[ID],0))&amp;""</f>
        <v>AVB2</v>
      </c>
      <c r="I189" s="101" t="str">
        <f>INDEX(Tableau8[Att3],MATCH(Tableau3[[#This Row],[ID-INS]],Tableau8[ID],0))&amp;""</f>
        <v>Anti-belier AVB2</v>
      </c>
      <c r="J189" s="101"/>
      <c r="K189" s="167" t="str">
        <f>INDEX(Tableau8[Nom du modele],MATCH(Tableau3[[#This Row],[ID-INS]],Tableau8[ID],0))&amp;""</f>
        <v>AVB_2</v>
      </c>
      <c r="L189" s="99" t="str">
        <f>INDEX(Tableau5[Att1],MATCH(Tableau3[[#This Row],[ID-SIG]],Tableau5[ID],0))&amp;""</f>
        <v>MontRet2</v>
      </c>
      <c r="M189" s="99" t="str">
        <f>INDEX(Tableau5[Att2],MATCH(Tableau3[[#This Row],[ID-SIG]],Tableau5[ID],0))&amp;""</f>
        <v/>
      </c>
      <c r="N189" s="99" t="str">
        <f>INDEX(Tableau5[Att3],MATCH(Tableau3[[#This Row],[ID-SIG]],Tableau5[ID],0))&amp;""</f>
        <v/>
      </c>
      <c r="O189" s="99"/>
      <c r="P189" s="99" t="str">
        <f>INDEX(Tableau5[Description],MATCH(Tableau3[[#This Row],[ID-SIG]],Tableau5[ID],0))</f>
        <v>Retour Commande 2 monter</v>
      </c>
      <c r="Q189" s="99"/>
      <c r="R189" s="103" t="str">
        <f>Tableau3[[#This Row],[Description]]</f>
        <v>Retour Commande 2 monter</v>
      </c>
      <c r="U189" s="87">
        <v>1</v>
      </c>
      <c r="V189" s="87">
        <v>2</v>
      </c>
      <c r="W189" s="87">
        <v>10</v>
      </c>
      <c r="X189" s="87">
        <v>3</v>
      </c>
      <c r="Y189" s="40"/>
      <c r="Z189" s="165" t="str">
        <f>INDEX(Tableau2[TS],MATCH(Tableau3[[#This Row],[ID-CARTEVOIE]],Tableau2[ID-CARTEVOIE],0))</f>
        <v>ET</v>
      </c>
      <c r="AA189" s="53" t="s">
        <v>213</v>
      </c>
      <c r="AB189" s="223" t="str">
        <f>IFERROR(INDEX(Tableau5[Reserve],MATCH(Tableau3[[#This Row],[ID-SIG]],Tableau5[ID],0))&amp;"","")</f>
        <v/>
      </c>
      <c r="AC189" s="21"/>
      <c r="AD189" s="108" t="str">
        <f>INDEX(Tableau7[Repere],MATCH(Tableau3[[#This Row],[ID-API]],Tableau7[ID-API],0))&amp;""</f>
        <v>A1</v>
      </c>
      <c r="AE189" s="108" t="str">
        <f>INDEX(Tableau1[Repere-Rack],MATCH(Tableau3[[#This Row],[ID-RACK]],Tableau1[ID-RACK],0))&amp;""</f>
        <v>R2</v>
      </c>
      <c r="AF189" s="108" t="str">
        <f>INDEX(Tableau1[Repere-Slot],MATCH(Tableau3[[#This Row],[ID-SLOT]],Tableau1[ID-SLOT],0))&amp;""</f>
        <v>S10</v>
      </c>
      <c r="AG189" s="108" t="str">
        <f>INDEX(Tableau2[Repere-Voie],MATCH(Tableau3[[#This Row],[ID-VOIE]],Tableau2[ID-Voie],0))&amp;""</f>
        <v>v3</v>
      </c>
      <c r="AH189" s="72" t="str">
        <f>Tableau3[[#This Row],[ID-API]]&amp; "." &amp;Tableau3[[#This Row],[ID-RACK]]&amp; "." &amp;Tableau3[[#This Row],[ID-SLOT]]</f>
        <v>1.2.10</v>
      </c>
      <c r="AI189" s="72" t="str">
        <f>INDEX(Tableau1[Ref-Carte],MATCH(Tableau3[[#This Row],[ID-RRS]],Tableau1[ID-RRS],0))</f>
        <v>SDI1602</v>
      </c>
      <c r="AJ189" s="72" t="str">
        <f t="array" ref="AJ189">IFERROR(INDEX(Tableau2[TS],MATCH(1,(Tableau2[Ref-Carte]=Tableau3[[#This Row],[Ref-Carte2]])*(Tableau2[ID-Voie]=Tableau3[[#This Row],[ID-VOIE]]),0)),"")</f>
        <v>ET</v>
      </c>
      <c r="AK189" s="72" t="str">
        <f>IFERROR(INDEX(Tableau2[TS],SUMPRODUCT((Tableau2[Ref-Carte]=Tableau3[[#This Row],[Ref-Carte2]])*(Tableau2[ID-Voie]=Tableau3[[#This Row],[ID-VOIE]])*ROW(Tableau2[TS]))-ROW(Tableau2[#Headers])),"")</f>
        <v>ET</v>
      </c>
      <c r="AL189" s="72" t="str">
        <f>Tableau3[[#This Row],[Ref-Carte2]]&amp;"/"&amp;Tableau3[[#This Row],[ID-VOIE]]</f>
        <v>SDI1602/3</v>
      </c>
      <c r="AM189" s="77" t="str">
        <f>INDEX(Tableau2[Borne],MATCH(Tableau3[[#This Row],[ID-CARTEVOIE]],Tableau2[ID-CARTEVOIE],0))&amp;""</f>
        <v>1A</v>
      </c>
      <c r="AN189" s="74" t="str">
        <f>Tableau3[[#This Row],[ID-API]]&amp;Tableau3[[#This Row],[ID-RACK]]&amp;Tableau3[[#This Row],[ID-SLOT]]&amp;Tableau3[[#This Row],[BORNE]]</f>
        <v>12101A</v>
      </c>
      <c r="AO189" s="1"/>
    </row>
    <row r="190" spans="1:41" ht="20.100000000000001" customHeight="1" thickTop="1" thickBot="1">
      <c r="A190" s="75"/>
      <c r="B190" s="76" t="str">
        <f>IFERROR(INDEX(Tableau4[Date],MATCH($A190,Tableau4[EVO],0)),"")</f>
        <v/>
      </c>
      <c r="C190" s="75" t="str">
        <f>IFERROR(INDEX(Tableau4[Designation],MATCH($A190,Tableau4[EVO],0)),"")</f>
        <v/>
      </c>
      <c r="D190" s="75"/>
      <c r="E190" s="70">
        <v>254</v>
      </c>
      <c r="F190" s="71">
        <v>98</v>
      </c>
      <c r="G190" s="101" t="str">
        <f>INDEX(Tableau8[Att1],MATCH(Tableau3[[#This Row],[ID-INS]],Tableau8[ID],0))&amp;""</f>
        <v>V5</v>
      </c>
      <c r="H190" s="101" t="str">
        <f>INDEX(Tableau8[Att2],MATCH(Tableau3[[#This Row],[ID-INS]],Tableau8[ID],0))&amp;""</f>
        <v>AVB2</v>
      </c>
      <c r="I190" s="101" t="str">
        <f>INDEX(Tableau8[Att3],MATCH(Tableau3[[#This Row],[ID-INS]],Tableau8[ID],0))&amp;""</f>
        <v>Anti-belier AVB2</v>
      </c>
      <c r="J190" s="101"/>
      <c r="K190" s="167" t="str">
        <f>INDEX(Tableau8[Nom du modele],MATCH(Tableau3[[#This Row],[ID-INS]],Tableau8[ID],0))&amp;""</f>
        <v>AVB_2</v>
      </c>
      <c r="L190" s="99" t="str">
        <f>INDEX(Tableau5[Att1],MATCH(Tableau3[[#This Row],[ID-SIG]],Tableau5[ID],0))&amp;""</f>
        <v>Montee1</v>
      </c>
      <c r="M190" s="99" t="str">
        <f>INDEX(Tableau5[Att2],MATCH(Tableau3[[#This Row],[ID-SIG]],Tableau5[ID],0))&amp;""</f>
        <v/>
      </c>
      <c r="N190" s="99" t="str">
        <f>INDEX(Tableau5[Att3],MATCH(Tableau3[[#This Row],[ID-SIG]],Tableau5[ID],0))&amp;""</f>
        <v/>
      </c>
      <c r="O190" s="99"/>
      <c r="P190" s="99" t="str">
        <f>INDEX(Tableau5[Description],MATCH(Tableau3[[#This Row],[ID-SIG]],Tableau5[ID],0))</f>
        <v>Position 1 montée</v>
      </c>
      <c r="Q190" s="99"/>
      <c r="R190" s="103" t="str">
        <f>Tableau3[[#This Row],[Description]]</f>
        <v>Position 1 montée</v>
      </c>
      <c r="U190" s="87">
        <v>1</v>
      </c>
      <c r="V190" s="87">
        <v>2</v>
      </c>
      <c r="W190" s="87">
        <v>10</v>
      </c>
      <c r="X190" s="87">
        <v>4</v>
      </c>
      <c r="Y190" s="40"/>
      <c r="Z190" s="165" t="str">
        <f>INDEX(Tableau2[TS],MATCH(Tableau3[[#This Row],[ID-CARTEVOIE]],Tableau2[ID-CARTEVOIE],0))</f>
        <v>ET</v>
      </c>
      <c r="AA190" s="53" t="s">
        <v>213</v>
      </c>
      <c r="AB190" s="223" t="str">
        <f>IFERROR(INDEX(Tableau5[Reserve],MATCH(Tableau3[[#This Row],[ID-SIG]],Tableau5[ID],0))&amp;"","")</f>
        <v/>
      </c>
      <c r="AC190" s="21"/>
      <c r="AD190" s="108" t="str">
        <f>INDEX(Tableau7[Repere],MATCH(Tableau3[[#This Row],[ID-API]],Tableau7[ID-API],0))&amp;""</f>
        <v>A1</v>
      </c>
      <c r="AE190" s="108" t="str">
        <f>INDEX(Tableau1[Repere-Rack],MATCH(Tableau3[[#This Row],[ID-RACK]],Tableau1[ID-RACK],0))&amp;""</f>
        <v>R2</v>
      </c>
      <c r="AF190" s="108" t="str">
        <f>INDEX(Tableau1[Repere-Slot],MATCH(Tableau3[[#This Row],[ID-SLOT]],Tableau1[ID-SLOT],0))&amp;""</f>
        <v>S10</v>
      </c>
      <c r="AG190" s="108" t="str">
        <f>INDEX(Tableau2[Repere-Voie],MATCH(Tableau3[[#This Row],[ID-VOIE]],Tableau2[ID-Voie],0))&amp;""</f>
        <v>v4</v>
      </c>
      <c r="AH190" s="72" t="str">
        <f>Tableau3[[#This Row],[ID-API]]&amp; "." &amp;Tableau3[[#This Row],[ID-RACK]]&amp; "." &amp;Tableau3[[#This Row],[ID-SLOT]]</f>
        <v>1.2.10</v>
      </c>
      <c r="AI190" s="72" t="str">
        <f>INDEX(Tableau1[Ref-Carte],MATCH(Tableau3[[#This Row],[ID-RRS]],Tableau1[ID-RRS],0))</f>
        <v>SDI1602</v>
      </c>
      <c r="AJ190" s="72" t="str">
        <f t="array" ref="AJ190">IFERROR(INDEX(Tableau2[TS],MATCH(1,(Tableau2[Ref-Carte]=Tableau3[[#This Row],[Ref-Carte2]])*(Tableau2[ID-Voie]=Tableau3[[#This Row],[ID-VOIE]]),0)),"")</f>
        <v>ET</v>
      </c>
      <c r="AK190" s="72" t="str">
        <f>IFERROR(INDEX(Tableau2[TS],SUMPRODUCT((Tableau2[Ref-Carte]=Tableau3[[#This Row],[Ref-Carte2]])*(Tableau2[ID-Voie]=Tableau3[[#This Row],[ID-VOIE]])*ROW(Tableau2[TS]))-ROW(Tableau2[#Headers])),"")</f>
        <v>ET</v>
      </c>
      <c r="AL190" s="72" t="str">
        <f>Tableau3[[#This Row],[Ref-Carte2]]&amp;"/"&amp;Tableau3[[#This Row],[ID-VOIE]]</f>
        <v>SDI1602/4</v>
      </c>
      <c r="AM190" s="77" t="str">
        <f>INDEX(Tableau2[Borne],MATCH(Tableau3[[#This Row],[ID-CARTEVOIE]],Tableau2[ID-CARTEVOIE],0))&amp;""</f>
        <v>2B</v>
      </c>
      <c r="AN190" s="74" t="str">
        <f>Tableau3[[#This Row],[ID-API]]&amp;Tableau3[[#This Row],[ID-RACK]]&amp;Tableau3[[#This Row],[ID-SLOT]]&amp;Tableau3[[#This Row],[BORNE]]</f>
        <v>12102B</v>
      </c>
      <c r="AO190" s="1"/>
    </row>
    <row r="191" spans="1:41" ht="20.100000000000001" customHeight="1" thickTop="1" thickBot="1">
      <c r="A191" s="75"/>
      <c r="B191" s="76" t="str">
        <f>IFERROR(INDEX(Tableau4[Date],MATCH($A191,Tableau4[EVO],0)),"")</f>
        <v/>
      </c>
      <c r="C191" s="75" t="str">
        <f>IFERROR(INDEX(Tableau4[Designation],MATCH($A191,Tableau4[EVO],0)),"")</f>
        <v/>
      </c>
      <c r="D191" s="75"/>
      <c r="E191" s="70">
        <v>262</v>
      </c>
      <c r="F191" s="71">
        <v>262</v>
      </c>
      <c r="G191" s="101" t="str">
        <f>INDEX(Tableau8[Att1],MATCH(Tableau3[[#This Row],[ID-INS]],Tableau8[ID],0))&amp;""</f>
        <v>V5</v>
      </c>
      <c r="H191" s="101" t="str">
        <f>INDEX(Tableau8[Att2],MATCH(Tableau3[[#This Row],[ID-INS]],Tableau8[ID],0))&amp;""</f>
        <v>P8</v>
      </c>
      <c r="I191" s="101" t="str">
        <f>INDEX(Tableau8[Att3],MATCH(Tableau3[[#This Row],[ID-INS]],Tableau8[ID],0))&amp;""</f>
        <v>Portail P8</v>
      </c>
      <c r="J191" s="101"/>
      <c r="K191" s="167" t="str">
        <f>INDEX(Tableau8[Nom du modele],MATCH(Tableau3[[#This Row],[ID-INS]],Tableau8[ID],0))&amp;""</f>
        <v>PortailBleuElec_2</v>
      </c>
      <c r="L191" s="99" t="str">
        <f>INDEX(Tableau5[Att1],MATCH(Tableau3[[#This Row],[ID-SIG]],Tableau5[ID],0))&amp;""</f>
        <v>V_FerRet2</v>
      </c>
      <c r="M191" s="99" t="str">
        <f>INDEX(Tableau5[Att2],MATCH(Tableau3[[#This Row],[ID-SIG]],Tableau5[ID],0))&amp;""</f>
        <v/>
      </c>
      <c r="N191" s="99" t="str">
        <f>INDEX(Tableau5[Att3],MATCH(Tableau3[[#This Row],[ID-SIG]],Tableau5[ID],0))&amp;""</f>
        <v/>
      </c>
      <c r="O191" s="99"/>
      <c r="P191" s="99" t="str">
        <f>INDEX(Tableau5[Description],MATCH(Tableau3[[#This Row],[ID-SIG]],Tableau5[ID],0))</f>
        <v>Retour Commande 2 fermeture</v>
      </c>
      <c r="Q191" s="99"/>
      <c r="R191" s="103" t="str">
        <f>Tableau3[[#This Row],[Description]]</f>
        <v>Retour Commande 2 fermeture</v>
      </c>
      <c r="U191" s="87">
        <v>1</v>
      </c>
      <c r="V191" s="87">
        <v>2</v>
      </c>
      <c r="W191" s="87">
        <v>10</v>
      </c>
      <c r="X191" s="87">
        <v>5</v>
      </c>
      <c r="Y191" s="40"/>
      <c r="Z191" s="165" t="str">
        <f>INDEX(Tableau2[TS],MATCH(Tableau3[[#This Row],[ID-CARTEVOIE]],Tableau2[ID-CARTEVOIE],0))</f>
        <v>ET</v>
      </c>
      <c r="AA191" s="53" t="s">
        <v>213</v>
      </c>
      <c r="AB191" s="223" t="str">
        <f>IFERROR(INDEX(Tableau5[Reserve],MATCH(Tableau3[[#This Row],[ID-SIG]],Tableau5[ID],0))&amp;"","")</f>
        <v/>
      </c>
      <c r="AC191" s="21"/>
      <c r="AD191" s="108" t="str">
        <f>INDEX(Tableau7[Repere],MATCH(Tableau3[[#This Row],[ID-API]],Tableau7[ID-API],0))&amp;""</f>
        <v>A1</v>
      </c>
      <c r="AE191" s="108" t="str">
        <f>INDEX(Tableau1[Repere-Rack],MATCH(Tableau3[[#This Row],[ID-RACK]],Tableau1[ID-RACK],0))&amp;""</f>
        <v>R2</v>
      </c>
      <c r="AF191" s="108" t="str">
        <f>INDEX(Tableau1[Repere-Slot],MATCH(Tableau3[[#This Row],[ID-SLOT]],Tableau1[ID-SLOT],0))&amp;""</f>
        <v>S10</v>
      </c>
      <c r="AG191" s="108" t="str">
        <f>INDEX(Tableau2[Repere-Voie],MATCH(Tableau3[[#This Row],[ID-VOIE]],Tableau2[ID-Voie],0))&amp;""</f>
        <v>v5</v>
      </c>
      <c r="AH191" s="72" t="str">
        <f>Tableau3[[#This Row],[ID-API]]&amp; "." &amp;Tableau3[[#This Row],[ID-RACK]]&amp; "." &amp;Tableau3[[#This Row],[ID-SLOT]]</f>
        <v>1.2.10</v>
      </c>
      <c r="AI191" s="72" t="str">
        <f>INDEX(Tableau1[Ref-Carte],MATCH(Tableau3[[#This Row],[ID-RRS]],Tableau1[ID-RRS],0))</f>
        <v>SDI1602</v>
      </c>
      <c r="AJ191" s="72" t="str">
        <f t="array" ref="AJ191">IFERROR(INDEX(Tableau2[TS],MATCH(1,(Tableau2[Ref-Carte]=Tableau3[[#This Row],[Ref-Carte2]])*(Tableau2[ID-Voie]=Tableau3[[#This Row],[ID-VOIE]]),0)),"")</f>
        <v>ET</v>
      </c>
      <c r="AK191" s="72" t="str">
        <f>IFERROR(INDEX(Tableau2[TS],SUMPRODUCT((Tableau2[Ref-Carte]=Tableau3[[#This Row],[Ref-Carte2]])*(Tableau2[ID-Voie]=Tableau3[[#This Row],[ID-VOIE]])*ROW(Tableau2[TS]))-ROW(Tableau2[#Headers])),"")</f>
        <v>ET</v>
      </c>
      <c r="AL191" s="72" t="str">
        <f>Tableau3[[#This Row],[Ref-Carte2]]&amp;"/"&amp;Tableau3[[#This Row],[ID-VOIE]]</f>
        <v>SDI1602/5</v>
      </c>
      <c r="AM191" s="77" t="str">
        <f>INDEX(Tableau2[Borne],MATCH(Tableau3[[#This Row],[ID-CARTEVOIE]],Tableau2[ID-CARTEVOIE],0))&amp;""</f>
        <v>2A</v>
      </c>
      <c r="AN191" s="74" t="str">
        <f>Tableau3[[#This Row],[ID-API]]&amp;Tableau3[[#This Row],[ID-RACK]]&amp;Tableau3[[#This Row],[ID-SLOT]]&amp;Tableau3[[#This Row],[BORNE]]</f>
        <v>12102A</v>
      </c>
      <c r="AO191" s="1"/>
    </row>
    <row r="192" spans="1:41" ht="20.100000000000001" customHeight="1" thickTop="1" thickBot="1">
      <c r="A192" s="75"/>
      <c r="B192" s="76" t="str">
        <f>IFERROR(INDEX(Tableau4[Date],MATCH($A192,Tableau4[EVO],0)),"")</f>
        <v/>
      </c>
      <c r="C192" s="75" t="str">
        <f>IFERROR(INDEX(Tableau4[Designation],MATCH($A192,Tableau4[EVO],0)),"")</f>
        <v/>
      </c>
      <c r="D192" s="75"/>
      <c r="E192" s="70">
        <v>262</v>
      </c>
      <c r="F192" s="71">
        <v>263</v>
      </c>
      <c r="G192" s="101" t="str">
        <f>INDEX(Tableau8[Att1],MATCH(Tableau3[[#This Row],[ID-INS]],Tableau8[ID],0))&amp;""</f>
        <v>V5</v>
      </c>
      <c r="H192" s="153" t="s">
        <v>1737</v>
      </c>
      <c r="I192" s="101"/>
      <c r="J192" s="101"/>
      <c r="K192" s="167" t="str">
        <f>INDEX(Tableau8[Nom du modele],MATCH(Tableau3[[#This Row],[ID-INS]],Tableau8[ID],0))&amp;""</f>
        <v>PortailBleuElec_2</v>
      </c>
      <c r="L192" s="155" t="s">
        <v>259</v>
      </c>
      <c r="M192" s="99" t="str">
        <f>INDEX(Tableau5[Att2],MATCH(Tableau3[[#This Row],[ID-SIG]],Tableau5[ID],0))&amp;""</f>
        <v/>
      </c>
      <c r="N192" s="99" t="str">
        <f>INDEX(Tableau5[Att3],MATCH(Tableau3[[#This Row],[ID-SIG]],Tableau5[ID],0))&amp;""</f>
        <v/>
      </c>
      <c r="O192" s="99"/>
      <c r="P192" s="155" t="s">
        <v>1738</v>
      </c>
      <c r="Q192" s="99"/>
      <c r="R192" s="103" t="str">
        <f>Tableau3[[#This Row],[Description]]</f>
        <v>Barrière BR5 - Synthèse défaut</v>
      </c>
      <c r="U192" s="87">
        <v>1</v>
      </c>
      <c r="V192" s="87">
        <v>2</v>
      </c>
      <c r="W192" s="87">
        <v>10</v>
      </c>
      <c r="X192" s="87">
        <v>6</v>
      </c>
      <c r="Y192" s="40"/>
      <c r="Z192" s="165" t="str">
        <f>INDEX(Tableau2[TS],MATCH(Tableau3[[#This Row],[ID-CARTEVOIE]],Tableau2[ID-CARTEVOIE],0))</f>
        <v>ET</v>
      </c>
      <c r="AA192" s="53" t="s">
        <v>213</v>
      </c>
      <c r="AB192" s="223" t="str">
        <f>IFERROR(INDEX(Tableau5[Reserve],MATCH(Tableau3[[#This Row],[ID-SIG]],Tableau5[ID],0))&amp;"","")</f>
        <v/>
      </c>
      <c r="AC192" s="21"/>
      <c r="AD192" s="108" t="str">
        <f>INDEX(Tableau7[Repere],MATCH(Tableau3[[#This Row],[ID-API]],Tableau7[ID-API],0))&amp;""</f>
        <v>A1</v>
      </c>
      <c r="AE192" s="108" t="str">
        <f>INDEX(Tableau1[Repere-Rack],MATCH(Tableau3[[#This Row],[ID-RACK]],Tableau1[ID-RACK],0))&amp;""</f>
        <v>R2</v>
      </c>
      <c r="AF192" s="108" t="str">
        <f>INDEX(Tableau1[Repere-Slot],MATCH(Tableau3[[#This Row],[ID-SLOT]],Tableau1[ID-SLOT],0))&amp;""</f>
        <v>S10</v>
      </c>
      <c r="AG192" s="108" t="str">
        <f>INDEX(Tableau2[Repere-Voie],MATCH(Tableau3[[#This Row],[ID-VOIE]],Tableau2[ID-Voie],0))&amp;""</f>
        <v>v6</v>
      </c>
      <c r="AH192" s="72" t="str">
        <f>Tableau3[[#This Row],[ID-API]]&amp; "." &amp;Tableau3[[#This Row],[ID-RACK]]&amp; "." &amp;Tableau3[[#This Row],[ID-SLOT]]</f>
        <v>1.2.10</v>
      </c>
      <c r="AI192" s="72" t="str">
        <f>INDEX(Tableau1[Ref-Carte],MATCH(Tableau3[[#This Row],[ID-RRS]],Tableau1[ID-RRS],0))</f>
        <v>SDI1602</v>
      </c>
      <c r="AJ192" s="72" t="str">
        <f t="array" ref="AJ192">IFERROR(INDEX(Tableau2[TS],MATCH(1,(Tableau2[Ref-Carte]=Tableau3[[#This Row],[Ref-Carte2]])*(Tableau2[ID-Voie]=Tableau3[[#This Row],[ID-VOIE]]),0)),"")</f>
        <v>ET</v>
      </c>
      <c r="AK192" s="72" t="str">
        <f>IFERROR(INDEX(Tableau2[TS],SUMPRODUCT((Tableau2[Ref-Carte]=Tableau3[[#This Row],[Ref-Carte2]])*(Tableau2[ID-Voie]=Tableau3[[#This Row],[ID-VOIE]])*ROW(Tableau2[TS]))-ROW(Tableau2[#Headers])),"")</f>
        <v>ET</v>
      </c>
      <c r="AL192" s="72" t="str">
        <f>Tableau3[[#This Row],[Ref-Carte2]]&amp;"/"&amp;Tableau3[[#This Row],[ID-VOIE]]</f>
        <v>SDI1602/6</v>
      </c>
      <c r="AM192" s="77" t="str">
        <f>INDEX(Tableau2[Borne],MATCH(Tableau3[[#This Row],[ID-CARTEVOIE]],Tableau2[ID-CARTEVOIE],0))&amp;""</f>
        <v>3B</v>
      </c>
      <c r="AN192" s="74" t="str">
        <f>Tableau3[[#This Row],[ID-API]]&amp;Tableau3[[#This Row],[ID-RACK]]&amp;Tableau3[[#This Row],[ID-SLOT]]&amp;Tableau3[[#This Row],[BORNE]]</f>
        <v>12103B</v>
      </c>
      <c r="AO192" s="1"/>
    </row>
    <row r="193" spans="1:41" ht="20.100000000000001" customHeight="1" thickTop="1" thickBot="1">
      <c r="A193" s="75"/>
      <c r="B193" s="76" t="str">
        <f>IFERROR(INDEX(Tableau4[Date],MATCH($A193,Tableau4[EVO],0)),"")</f>
        <v/>
      </c>
      <c r="C193" s="75" t="str">
        <f>IFERROR(INDEX(Tableau4[Designation],MATCH($A193,Tableau4[EVO],0)),"")</f>
        <v/>
      </c>
      <c r="D193" s="75"/>
      <c r="E193" s="70">
        <v>262</v>
      </c>
      <c r="F193" s="71">
        <v>264</v>
      </c>
      <c r="G193" s="101" t="str">
        <f>INDEX(Tableau8[Att1],MATCH(Tableau3[[#This Row],[ID-INS]],Tableau8[ID],0))&amp;""</f>
        <v>V5</v>
      </c>
      <c r="H193" s="101" t="str">
        <f>INDEX(Tableau8[Att2],MATCH(Tableau3[[#This Row],[ID-INS]],Tableau8[ID],0))&amp;""</f>
        <v>P8</v>
      </c>
      <c r="I193" s="101" t="str">
        <f>INDEX(Tableau8[Att3],MATCH(Tableau3[[#This Row],[ID-INS]],Tableau8[ID],0))&amp;""</f>
        <v>Portail P8</v>
      </c>
      <c r="J193" s="101"/>
      <c r="K193" s="167" t="str">
        <f>INDEX(Tableau8[Nom du modele],MATCH(Tableau3[[#This Row],[ID-INS]],Tableau8[ID],0))&amp;""</f>
        <v>PortailBleuElec_2</v>
      </c>
      <c r="L193" s="99" t="str">
        <f>INDEX(Tableau5[Att1],MATCH(Tableau3[[#This Row],[ID-SIG]],Tableau5[ID],0))&amp;""</f>
        <v>V_Fer2</v>
      </c>
      <c r="M193" s="99" t="str">
        <f>INDEX(Tableau5[Att2],MATCH(Tableau3[[#This Row],[ID-SIG]],Tableau5[ID],0))&amp;""</f>
        <v/>
      </c>
      <c r="N193" s="99" t="str">
        <f>INDEX(Tableau5[Att3],MATCH(Tableau3[[#This Row],[ID-SIG]],Tableau5[ID],0))&amp;""</f>
        <v/>
      </c>
      <c r="O193" s="99"/>
      <c r="P193" s="99" t="str">
        <f>INDEX(Tableau5[Description],MATCH(Tableau3[[#This Row],[ID-SIG]],Tableau5[ID],0))</f>
        <v>Vantail en fdc fermé 2</v>
      </c>
      <c r="Q193" s="99"/>
      <c r="R193" s="103" t="str">
        <f>Tableau3[[#This Row],[Description]]</f>
        <v>Vantail en fdc fermé 2</v>
      </c>
      <c r="U193" s="87">
        <v>1</v>
      </c>
      <c r="V193" s="87">
        <v>2</v>
      </c>
      <c r="W193" s="87">
        <v>10</v>
      </c>
      <c r="X193" s="87">
        <v>7</v>
      </c>
      <c r="Y193" s="40"/>
      <c r="Z193" s="165" t="str">
        <f>INDEX(Tableau2[TS],MATCH(Tableau3[[#This Row],[ID-CARTEVOIE]],Tableau2[ID-CARTEVOIE],0))</f>
        <v>ET</v>
      </c>
      <c r="AA193" s="53" t="s">
        <v>213</v>
      </c>
      <c r="AB193" s="223" t="str">
        <f>IFERROR(INDEX(Tableau5[Reserve],MATCH(Tableau3[[#This Row],[ID-SIG]],Tableau5[ID],0))&amp;"","")</f>
        <v/>
      </c>
      <c r="AC193" s="21"/>
      <c r="AD193" s="108" t="str">
        <f>INDEX(Tableau7[Repere],MATCH(Tableau3[[#This Row],[ID-API]],Tableau7[ID-API],0))&amp;""</f>
        <v>A1</v>
      </c>
      <c r="AE193" s="108" t="str">
        <f>INDEX(Tableau1[Repere-Rack],MATCH(Tableau3[[#This Row],[ID-RACK]],Tableau1[ID-RACK],0))&amp;""</f>
        <v>R2</v>
      </c>
      <c r="AF193" s="108" t="str">
        <f>INDEX(Tableau1[Repere-Slot],MATCH(Tableau3[[#This Row],[ID-SLOT]],Tableau1[ID-SLOT],0))&amp;""</f>
        <v>S10</v>
      </c>
      <c r="AG193" s="108" t="str">
        <f>INDEX(Tableau2[Repere-Voie],MATCH(Tableau3[[#This Row],[ID-VOIE]],Tableau2[ID-Voie],0))&amp;""</f>
        <v>v7</v>
      </c>
      <c r="AH193" s="72" t="str">
        <f>Tableau3[[#This Row],[ID-API]]&amp; "." &amp;Tableau3[[#This Row],[ID-RACK]]&amp; "." &amp;Tableau3[[#This Row],[ID-SLOT]]</f>
        <v>1.2.10</v>
      </c>
      <c r="AI193" s="72" t="str">
        <f>INDEX(Tableau1[Ref-Carte],MATCH(Tableau3[[#This Row],[ID-RRS]],Tableau1[ID-RRS],0))</f>
        <v>SDI1602</v>
      </c>
      <c r="AJ193" s="72" t="str">
        <f t="array" ref="AJ193">IFERROR(INDEX(Tableau2[TS],MATCH(1,(Tableau2[Ref-Carte]=Tableau3[[#This Row],[Ref-Carte2]])*(Tableau2[ID-Voie]=Tableau3[[#This Row],[ID-VOIE]]),0)),"")</f>
        <v>ET</v>
      </c>
      <c r="AK193" s="72" t="str">
        <f>IFERROR(INDEX(Tableau2[TS],SUMPRODUCT((Tableau2[Ref-Carte]=Tableau3[[#This Row],[Ref-Carte2]])*(Tableau2[ID-Voie]=Tableau3[[#This Row],[ID-VOIE]])*ROW(Tableau2[TS]))-ROW(Tableau2[#Headers])),"")</f>
        <v>ET</v>
      </c>
      <c r="AL193" s="72" t="str">
        <f>Tableau3[[#This Row],[Ref-Carte2]]&amp;"/"&amp;Tableau3[[#This Row],[ID-VOIE]]</f>
        <v>SDI1602/7</v>
      </c>
      <c r="AM193" s="77" t="str">
        <f>INDEX(Tableau2[Borne],MATCH(Tableau3[[#This Row],[ID-CARTEVOIE]],Tableau2[ID-CARTEVOIE],0))&amp;""</f>
        <v>3A</v>
      </c>
      <c r="AN193" s="74" t="str">
        <f>Tableau3[[#This Row],[ID-API]]&amp;Tableau3[[#This Row],[ID-RACK]]&amp;Tableau3[[#This Row],[ID-SLOT]]&amp;Tableau3[[#This Row],[BORNE]]</f>
        <v>12103A</v>
      </c>
      <c r="AO193" s="1"/>
    </row>
    <row r="194" spans="1:41" ht="20.100000000000001" customHeight="1" thickTop="1" thickBot="1">
      <c r="A194" s="75"/>
      <c r="B194" s="76" t="str">
        <f>IFERROR(INDEX(Tableau4[Date],MATCH($A194,Tableau4[EVO],0)),"")</f>
        <v/>
      </c>
      <c r="C194" s="75" t="str">
        <f>IFERROR(INDEX(Tableau4[Designation],MATCH($A194,Tableau4[EVO],0)),"")</f>
        <v/>
      </c>
      <c r="D194" s="75"/>
      <c r="E194" s="70">
        <v>269</v>
      </c>
      <c r="F194" s="71">
        <v>6</v>
      </c>
      <c r="G194" s="101" t="str">
        <f>INDEX(Tableau8[Att1],MATCH(Tableau3[[#This Row],[ID-INS]],Tableau8[ID],0))&amp;""</f>
        <v>GR</v>
      </c>
      <c r="H194" s="101" t="str">
        <f>INDEX(Tableau8[Att2],MATCH(Tableau3[[#This Row],[ID-INS]],Tableau8[ID],0))&amp;""</f>
        <v>TRSD2</v>
      </c>
      <c r="I194" s="101" t="str">
        <f>INDEX(Tableau8[Att3],MATCH(Tableau3[[#This Row],[ID-INS]],Tableau8[ID],0))&amp;""</f>
        <v>Tourniquet TRSD2</v>
      </c>
      <c r="J194" s="101"/>
      <c r="K194" s="167" t="str">
        <f>INDEX(Tableau8[Nom du modele],MATCH(Tableau3[[#This Row],[ID-INS]],Tableau8[ID],0))&amp;""</f>
        <v>Effraction</v>
      </c>
      <c r="L194" s="99" t="str">
        <f>INDEX(Tableau5[Att1],MATCH(Tableau3[[#This Row],[ID-SIG]],Tableau5[ID],0))&amp;""</f>
        <v>SynthEffr</v>
      </c>
      <c r="M194" s="99" t="str">
        <f>INDEX(Tableau5[Att2],MATCH(Tableau3[[#This Row],[ID-SIG]],Tableau5[ID],0))&amp;""</f>
        <v/>
      </c>
      <c r="N194" s="99" t="str">
        <f>INDEX(Tableau5[Att3],MATCH(Tableau3[[#This Row],[ID-SIG]],Tableau5[ID],0))&amp;""</f>
        <v/>
      </c>
      <c r="O194" s="99"/>
      <c r="P194" s="99" t="str">
        <f>INDEX(Tableau5[Description],MATCH(Tableau3[[#This Row],[ID-SIG]],Tableau5[ID],0))</f>
        <v>Synthèse effraction</v>
      </c>
      <c r="Q194" s="99"/>
      <c r="R194" s="103" t="str">
        <f>Tableau3[[#This Row],[Description]]</f>
        <v>Synthèse effraction</v>
      </c>
      <c r="U194" s="87">
        <v>1</v>
      </c>
      <c r="V194" s="87">
        <v>2</v>
      </c>
      <c r="W194" s="87">
        <v>10</v>
      </c>
      <c r="X194" s="87">
        <v>8</v>
      </c>
      <c r="Y194" s="40"/>
      <c r="Z194" s="165" t="str">
        <f>INDEX(Tableau2[TS],MATCH(Tableau3[[#This Row],[ID-CARTEVOIE]],Tableau2[ID-CARTEVOIE],0))</f>
        <v>ET</v>
      </c>
      <c r="AA194" s="53" t="s">
        <v>213</v>
      </c>
      <c r="AB194" s="223" t="str">
        <f>IFERROR(INDEX(Tableau5[Reserve],MATCH(Tableau3[[#This Row],[ID-SIG]],Tableau5[ID],0))&amp;"","")</f>
        <v/>
      </c>
      <c r="AC194" s="21"/>
      <c r="AD194" s="108" t="str">
        <f>INDEX(Tableau7[Repere],MATCH(Tableau3[[#This Row],[ID-API]],Tableau7[ID-API],0))&amp;""</f>
        <v>A1</v>
      </c>
      <c r="AE194" s="108" t="str">
        <f>INDEX(Tableau1[Repere-Rack],MATCH(Tableau3[[#This Row],[ID-RACK]],Tableau1[ID-RACK],0))&amp;""</f>
        <v>R2</v>
      </c>
      <c r="AF194" s="108" t="str">
        <f>INDEX(Tableau1[Repere-Slot],MATCH(Tableau3[[#This Row],[ID-SLOT]],Tableau1[ID-SLOT],0))&amp;""</f>
        <v>S10</v>
      </c>
      <c r="AG194" s="108" t="str">
        <f>INDEX(Tableau2[Repere-Voie],MATCH(Tableau3[[#This Row],[ID-VOIE]],Tableau2[ID-Voie],0))&amp;""</f>
        <v>v8</v>
      </c>
      <c r="AH194" s="72" t="str">
        <f>Tableau3[[#This Row],[ID-API]]&amp; "." &amp;Tableau3[[#This Row],[ID-RACK]]&amp; "." &amp;Tableau3[[#This Row],[ID-SLOT]]</f>
        <v>1.2.10</v>
      </c>
      <c r="AI194" s="72" t="str">
        <f>INDEX(Tableau1[Ref-Carte],MATCH(Tableau3[[#This Row],[ID-RRS]],Tableau1[ID-RRS],0))</f>
        <v>SDI1602</v>
      </c>
      <c r="AJ194" s="72" t="str">
        <f t="array" ref="AJ194">IFERROR(INDEX(Tableau2[TS],MATCH(1,(Tableau2[Ref-Carte]=Tableau3[[#This Row],[Ref-Carte2]])*(Tableau2[ID-Voie]=Tableau3[[#This Row],[ID-VOIE]]),0)),"")</f>
        <v>ET</v>
      </c>
      <c r="AK194" s="72" t="str">
        <f>IFERROR(INDEX(Tableau2[TS],SUMPRODUCT((Tableau2[Ref-Carte]=Tableau3[[#This Row],[Ref-Carte2]])*(Tableau2[ID-Voie]=Tableau3[[#This Row],[ID-VOIE]])*ROW(Tableau2[TS]))-ROW(Tableau2[#Headers])),"")</f>
        <v>ET</v>
      </c>
      <c r="AL194" s="72" t="str">
        <f>Tableau3[[#This Row],[Ref-Carte2]]&amp;"/"&amp;Tableau3[[#This Row],[ID-VOIE]]</f>
        <v>SDI1602/8</v>
      </c>
      <c r="AM194" s="77" t="str">
        <f>INDEX(Tableau2[Borne],MATCH(Tableau3[[#This Row],[ID-CARTEVOIE]],Tableau2[ID-CARTEVOIE],0))&amp;""</f>
        <v>4B</v>
      </c>
      <c r="AN194" s="74" t="str">
        <f>Tableau3[[#This Row],[ID-API]]&amp;Tableau3[[#This Row],[ID-RACK]]&amp;Tableau3[[#This Row],[ID-SLOT]]&amp;Tableau3[[#This Row],[BORNE]]</f>
        <v>12104B</v>
      </c>
      <c r="AO194" s="1"/>
    </row>
    <row r="195" spans="1:41" ht="20.100000000000001" customHeight="1" thickTop="1" thickBot="1">
      <c r="A195" s="75"/>
      <c r="B195" s="76" t="str">
        <f>IFERROR(INDEX(Tableau4[Date],MATCH($A195,Tableau4[EVO],0)),"")</f>
        <v/>
      </c>
      <c r="C195" s="75" t="str">
        <f>IFERROR(INDEX(Tableau4[Designation],MATCH($A195,Tableau4[EVO],0)),"")</f>
        <v/>
      </c>
      <c r="D195" s="75"/>
      <c r="E195" s="70">
        <v>271</v>
      </c>
      <c r="F195" s="71">
        <v>6</v>
      </c>
      <c r="G195" s="101" t="str">
        <f>INDEX(Tableau8[Att1],MATCH(Tableau3[[#This Row],[ID-INS]],Tableau8[ID],0))&amp;""</f>
        <v>B22</v>
      </c>
      <c r="H195" s="101" t="str">
        <f>INDEX(Tableau8[Att2],MATCH(Tableau3[[#This Row],[ID-INS]],Tableau8[ID],0))&amp;""</f>
        <v>TRSD3</v>
      </c>
      <c r="I195" s="101" t="str">
        <f>INDEX(Tableau8[Att3],MATCH(Tableau3[[#This Row],[ID-INS]],Tableau8[ID],0))&amp;""</f>
        <v>Tourniquet TRSD3</v>
      </c>
      <c r="J195" s="101"/>
      <c r="K195" s="167" t="str">
        <f>INDEX(Tableau8[Nom du modele],MATCH(Tableau3[[#This Row],[ID-INS]],Tableau8[ID],0))&amp;""</f>
        <v>Effraction</v>
      </c>
      <c r="L195" s="99" t="str">
        <f>INDEX(Tableau5[Att1],MATCH(Tableau3[[#This Row],[ID-SIG]],Tableau5[ID],0))&amp;""</f>
        <v>SynthEffr</v>
      </c>
      <c r="M195" s="99" t="str">
        <f>INDEX(Tableau5[Att2],MATCH(Tableau3[[#This Row],[ID-SIG]],Tableau5[ID],0))&amp;""</f>
        <v/>
      </c>
      <c r="N195" s="99" t="str">
        <f>INDEX(Tableau5[Att3],MATCH(Tableau3[[#This Row],[ID-SIG]],Tableau5[ID],0))&amp;""</f>
        <v/>
      </c>
      <c r="O195" s="99"/>
      <c r="P195" s="99" t="str">
        <f>INDEX(Tableau5[Description],MATCH(Tableau3[[#This Row],[ID-SIG]],Tableau5[ID],0))</f>
        <v>Synthèse effraction</v>
      </c>
      <c r="Q195" s="99"/>
      <c r="R195" s="103" t="str">
        <f>Tableau3[[#This Row],[Description]]</f>
        <v>Synthèse effraction</v>
      </c>
      <c r="U195" s="87">
        <v>1</v>
      </c>
      <c r="V195" s="87">
        <v>2</v>
      </c>
      <c r="W195" s="87">
        <v>10</v>
      </c>
      <c r="X195" s="87">
        <v>9</v>
      </c>
      <c r="Y195" s="40"/>
      <c r="Z195" s="165" t="str">
        <f>INDEX(Tableau2[TS],MATCH(Tableau3[[#This Row],[ID-CARTEVOIE]],Tableau2[ID-CARTEVOIE],0))</f>
        <v>ET</v>
      </c>
      <c r="AA195" s="53" t="s">
        <v>213</v>
      </c>
      <c r="AB195" s="223" t="str">
        <f>IFERROR(INDEX(Tableau5[Reserve],MATCH(Tableau3[[#This Row],[ID-SIG]],Tableau5[ID],0))&amp;"","")</f>
        <v/>
      </c>
      <c r="AC195" s="21"/>
      <c r="AD195" s="108" t="str">
        <f>INDEX(Tableau7[Repere],MATCH(Tableau3[[#This Row],[ID-API]],Tableau7[ID-API],0))&amp;""</f>
        <v>A1</v>
      </c>
      <c r="AE195" s="108" t="str">
        <f>INDEX(Tableau1[Repere-Rack],MATCH(Tableau3[[#This Row],[ID-RACK]],Tableau1[ID-RACK],0))&amp;""</f>
        <v>R2</v>
      </c>
      <c r="AF195" s="108" t="str">
        <f>INDEX(Tableau1[Repere-Slot],MATCH(Tableau3[[#This Row],[ID-SLOT]],Tableau1[ID-SLOT],0))&amp;""</f>
        <v>S10</v>
      </c>
      <c r="AG195" s="108" t="str">
        <f>INDEX(Tableau2[Repere-Voie],MATCH(Tableau3[[#This Row],[ID-VOIE]],Tableau2[ID-Voie],0))&amp;""</f>
        <v>v9</v>
      </c>
      <c r="AH195" s="72" t="str">
        <f>Tableau3[[#This Row],[ID-API]]&amp; "." &amp;Tableau3[[#This Row],[ID-RACK]]&amp; "." &amp;Tableau3[[#This Row],[ID-SLOT]]</f>
        <v>1.2.10</v>
      </c>
      <c r="AI195" s="72" t="str">
        <f>INDEX(Tableau1[Ref-Carte],MATCH(Tableau3[[#This Row],[ID-RRS]],Tableau1[ID-RRS],0))</f>
        <v>SDI1602</v>
      </c>
      <c r="AJ195" s="72" t="str">
        <f t="array" ref="AJ195">IFERROR(INDEX(Tableau2[TS],MATCH(1,(Tableau2[Ref-Carte]=Tableau3[[#This Row],[Ref-Carte2]])*(Tableau2[ID-Voie]=Tableau3[[#This Row],[ID-VOIE]]),0)),"")</f>
        <v>ET</v>
      </c>
      <c r="AK195" s="72" t="str">
        <f>IFERROR(INDEX(Tableau2[TS],SUMPRODUCT((Tableau2[Ref-Carte]=Tableau3[[#This Row],[Ref-Carte2]])*(Tableau2[ID-Voie]=Tableau3[[#This Row],[ID-VOIE]])*ROW(Tableau2[TS]))-ROW(Tableau2[#Headers])),"")</f>
        <v>ET</v>
      </c>
      <c r="AL195" s="72" t="str">
        <f>Tableau3[[#This Row],[Ref-Carte2]]&amp;"/"&amp;Tableau3[[#This Row],[ID-VOIE]]</f>
        <v>SDI1602/9</v>
      </c>
      <c r="AM195" s="77" t="str">
        <f>INDEX(Tableau2[Borne],MATCH(Tableau3[[#This Row],[ID-CARTEVOIE]],Tableau2[ID-CARTEVOIE],0))&amp;""</f>
        <v>4A</v>
      </c>
      <c r="AN195" s="74" t="str">
        <f>Tableau3[[#This Row],[ID-API]]&amp;Tableau3[[#This Row],[ID-RACK]]&amp;Tableau3[[#This Row],[ID-SLOT]]&amp;Tableau3[[#This Row],[BORNE]]</f>
        <v>12104A</v>
      </c>
      <c r="AO195" s="1"/>
    </row>
    <row r="196" spans="1:41" ht="20.100000000000001" customHeight="1" thickTop="1" thickBot="1">
      <c r="A196" s="75"/>
      <c r="B196" s="76" t="str">
        <f>IFERROR(INDEX(Tableau4[Date],MATCH($A196,Tableau4[EVO],0)),"")</f>
        <v/>
      </c>
      <c r="C196" s="75" t="str">
        <f>IFERROR(INDEX(Tableau4[Designation],MATCH($A196,Tableau4[EVO],0)),"")</f>
        <v/>
      </c>
      <c r="D196" s="75"/>
      <c r="E196" s="70">
        <v>278</v>
      </c>
      <c r="F196" s="71">
        <v>314</v>
      </c>
      <c r="G196" s="101" t="str">
        <f>INDEX(Tableau8[Att1],MATCH(Tableau3[[#This Row],[ID-INS]],Tableau8[ID],0))&amp;""</f>
        <v>V5</v>
      </c>
      <c r="H196" s="101" t="str">
        <f>INDEX(Tableau8[Att2],MATCH(Tableau3[[#This Row],[ID-INS]],Tableau8[ID],0))&amp;""</f>
        <v>F21</v>
      </c>
      <c r="I196" s="101" t="str">
        <f>INDEX(Tableau8[Att3],MATCH(Tableau3[[#This Row],[ID-INS]],Tableau8[ID],0))&amp;""</f>
        <v>Feu F21</v>
      </c>
      <c r="J196" s="101"/>
      <c r="K196" s="167" t="str">
        <f>INDEX(Tableau8[Nom du modele],MATCH(Tableau3[[#This Row],[ID-INS]],Tableau8[ID],0))&amp;""</f>
        <v>FeuBi_1</v>
      </c>
      <c r="L196" s="99" t="str">
        <f>INDEX(Tableau5[Att1],MATCH(Tableau3[[#This Row],[ID-SIG]],Tableau5[ID],0))&amp;""</f>
        <v>FeuR_RM</v>
      </c>
      <c r="M196" s="99" t="str">
        <f>INDEX(Tableau5[Att2],MATCH(Tableau3[[#This Row],[ID-SIG]],Tableau5[ID],0))&amp;""</f>
        <v/>
      </c>
      <c r="N196" s="99" t="str">
        <f>INDEX(Tableau5[Att3],MATCH(Tableau3[[#This Row],[ID-SIG]],Tableau5[ID],0))&amp;""</f>
        <v/>
      </c>
      <c r="O196" s="99"/>
      <c r="P196" s="99" t="str">
        <f>INDEX(Tableau5[Description],MATCH(Tableau3[[#This Row],[ID-SIG]],Tableau5[ID],0))</f>
        <v xml:space="preserve">Retour de marche Feu rouge </v>
      </c>
      <c r="Q196" s="99"/>
      <c r="R196" s="103" t="str">
        <f>Tableau3[[#This Row],[Description]]</f>
        <v xml:space="preserve">Retour de marche Feu rouge </v>
      </c>
      <c r="U196" s="87">
        <v>1</v>
      </c>
      <c r="V196" s="87">
        <v>2</v>
      </c>
      <c r="W196" s="87">
        <v>10</v>
      </c>
      <c r="X196" s="87">
        <v>10</v>
      </c>
      <c r="Y196" s="40"/>
      <c r="Z196" s="165" t="str">
        <f>INDEX(Tableau2[TS],MATCH(Tableau3[[#This Row],[ID-CARTEVOIE]],Tableau2[ID-CARTEVOIE],0))</f>
        <v>ET</v>
      </c>
      <c r="AA196" s="53" t="s">
        <v>213</v>
      </c>
      <c r="AB196" s="223" t="str">
        <f>IFERROR(INDEX(Tableau5[Reserve],MATCH(Tableau3[[#This Row],[ID-SIG]],Tableau5[ID],0))&amp;"","")</f>
        <v/>
      </c>
      <c r="AC196" s="21"/>
      <c r="AD196" s="108" t="str">
        <f>INDEX(Tableau7[Repere],MATCH(Tableau3[[#This Row],[ID-API]],Tableau7[ID-API],0))&amp;""</f>
        <v>A1</v>
      </c>
      <c r="AE196" s="108" t="str">
        <f>INDEX(Tableau1[Repere-Rack],MATCH(Tableau3[[#This Row],[ID-RACK]],Tableau1[ID-RACK],0))&amp;""</f>
        <v>R2</v>
      </c>
      <c r="AF196" s="108" t="str">
        <f>INDEX(Tableau1[Repere-Slot],MATCH(Tableau3[[#This Row],[ID-SLOT]],Tableau1[ID-SLOT],0))&amp;""</f>
        <v>S10</v>
      </c>
      <c r="AG196" s="108" t="str">
        <f>INDEX(Tableau2[Repere-Voie],MATCH(Tableau3[[#This Row],[ID-VOIE]],Tableau2[ID-Voie],0))&amp;""</f>
        <v>v10</v>
      </c>
      <c r="AH196" s="72" t="str">
        <f>Tableau3[[#This Row],[ID-API]]&amp; "." &amp;Tableau3[[#This Row],[ID-RACK]]&amp; "." &amp;Tableau3[[#This Row],[ID-SLOT]]</f>
        <v>1.2.10</v>
      </c>
      <c r="AI196" s="72" t="str">
        <f>INDEX(Tableau1[Ref-Carte],MATCH(Tableau3[[#This Row],[ID-RRS]],Tableau1[ID-RRS],0))</f>
        <v>SDI1602</v>
      </c>
      <c r="AJ196" s="72" t="str">
        <f t="array" ref="AJ196">IFERROR(INDEX(Tableau2[TS],MATCH(1,(Tableau2[Ref-Carte]=Tableau3[[#This Row],[Ref-Carte2]])*(Tableau2[ID-Voie]=Tableau3[[#This Row],[ID-VOIE]]),0)),"")</f>
        <v>ET</v>
      </c>
      <c r="AK196" s="72" t="str">
        <f>IFERROR(INDEX(Tableau2[TS],SUMPRODUCT((Tableau2[Ref-Carte]=Tableau3[[#This Row],[Ref-Carte2]])*(Tableau2[ID-Voie]=Tableau3[[#This Row],[ID-VOIE]])*ROW(Tableau2[TS]))-ROW(Tableau2[#Headers])),"")</f>
        <v>ET</v>
      </c>
      <c r="AL196" s="72" t="str">
        <f>Tableau3[[#This Row],[Ref-Carte2]]&amp;"/"&amp;Tableau3[[#This Row],[ID-VOIE]]</f>
        <v>SDI1602/10</v>
      </c>
      <c r="AM196" s="77" t="str">
        <f>INDEX(Tableau2[Borne],MATCH(Tableau3[[#This Row],[ID-CARTEVOIE]],Tableau2[ID-CARTEVOIE],0))&amp;""</f>
        <v>5B</v>
      </c>
      <c r="AN196" s="74" t="str">
        <f>Tableau3[[#This Row],[ID-API]]&amp;Tableau3[[#This Row],[ID-RACK]]&amp;Tableau3[[#This Row],[ID-SLOT]]&amp;Tableau3[[#This Row],[BORNE]]</f>
        <v>12105B</v>
      </c>
      <c r="AO196" s="1"/>
    </row>
    <row r="197" spans="1:41" ht="20.100000000000001" customHeight="1" thickTop="1" thickBot="1">
      <c r="A197" s="75"/>
      <c r="B197" s="76" t="str">
        <f>IFERROR(INDEX(Tableau4[Date],MATCH($A197,Tableau4[EVO],0)),"")</f>
        <v/>
      </c>
      <c r="C197" s="75" t="str">
        <f>IFERROR(INDEX(Tableau4[Designation],MATCH($A197,Tableau4[EVO],0)),"")</f>
        <v/>
      </c>
      <c r="D197" s="75"/>
      <c r="E197" s="70">
        <v>278</v>
      </c>
      <c r="F197" s="71">
        <v>315</v>
      </c>
      <c r="G197" s="101" t="str">
        <f>INDEX(Tableau8[Att1],MATCH(Tableau3[[#This Row],[ID-INS]],Tableau8[ID],0))&amp;""</f>
        <v>V5</v>
      </c>
      <c r="H197" s="101" t="str">
        <f>INDEX(Tableau8[Att2],MATCH(Tableau3[[#This Row],[ID-INS]],Tableau8[ID],0))&amp;""</f>
        <v>F21</v>
      </c>
      <c r="I197" s="101" t="str">
        <f>INDEX(Tableau8[Att3],MATCH(Tableau3[[#This Row],[ID-INS]],Tableau8[ID],0))&amp;""</f>
        <v>Feu F21</v>
      </c>
      <c r="J197" s="101"/>
      <c r="K197" s="167" t="str">
        <f>INDEX(Tableau8[Nom du modele],MATCH(Tableau3[[#This Row],[ID-INS]],Tableau8[ID],0))&amp;""</f>
        <v>FeuBi_1</v>
      </c>
      <c r="L197" s="99" t="str">
        <f>INDEX(Tableau5[Att1],MATCH(Tableau3[[#This Row],[ID-SIG]],Tableau5[ID],0))&amp;""</f>
        <v>FeuV_RM</v>
      </c>
      <c r="M197" s="99" t="str">
        <f>INDEX(Tableau5[Att2],MATCH(Tableau3[[#This Row],[ID-SIG]],Tableau5[ID],0))&amp;""</f>
        <v/>
      </c>
      <c r="N197" s="99" t="str">
        <f>INDEX(Tableau5[Att3],MATCH(Tableau3[[#This Row],[ID-SIG]],Tableau5[ID],0))&amp;""</f>
        <v/>
      </c>
      <c r="O197" s="99"/>
      <c r="P197" s="99" t="str">
        <f>INDEX(Tableau5[Description],MATCH(Tableau3[[#This Row],[ID-SIG]],Tableau5[ID],0))</f>
        <v>Retour de marche Feu Vert</v>
      </c>
      <c r="Q197" s="99"/>
      <c r="R197" s="103" t="str">
        <f>Tableau3[[#This Row],[Description]]</f>
        <v>Retour de marche Feu Vert</v>
      </c>
      <c r="U197" s="87">
        <v>1</v>
      </c>
      <c r="V197" s="87">
        <v>2</v>
      </c>
      <c r="W197" s="87">
        <v>10</v>
      </c>
      <c r="X197" s="87">
        <v>11</v>
      </c>
      <c r="Y197" s="40"/>
      <c r="Z197" s="165" t="str">
        <f>INDEX(Tableau2[TS],MATCH(Tableau3[[#This Row],[ID-CARTEVOIE]],Tableau2[ID-CARTEVOIE],0))</f>
        <v>ET</v>
      </c>
      <c r="AA197" s="53" t="s">
        <v>213</v>
      </c>
      <c r="AB197" s="223" t="str">
        <f>IFERROR(INDEX(Tableau5[Reserve],MATCH(Tableau3[[#This Row],[ID-SIG]],Tableau5[ID],0))&amp;"","")</f>
        <v/>
      </c>
      <c r="AC197" s="21"/>
      <c r="AD197" s="108" t="str">
        <f>INDEX(Tableau7[Repere],MATCH(Tableau3[[#This Row],[ID-API]],Tableau7[ID-API],0))&amp;""</f>
        <v>A1</v>
      </c>
      <c r="AE197" s="108" t="str">
        <f>INDEX(Tableau1[Repere-Rack],MATCH(Tableau3[[#This Row],[ID-RACK]],Tableau1[ID-RACK],0))&amp;""</f>
        <v>R2</v>
      </c>
      <c r="AF197" s="108" t="str">
        <f>INDEX(Tableau1[Repere-Slot],MATCH(Tableau3[[#This Row],[ID-SLOT]],Tableau1[ID-SLOT],0))&amp;""</f>
        <v>S10</v>
      </c>
      <c r="AG197" s="108" t="str">
        <f>INDEX(Tableau2[Repere-Voie],MATCH(Tableau3[[#This Row],[ID-VOIE]],Tableau2[ID-Voie],0))&amp;""</f>
        <v>v11</v>
      </c>
      <c r="AH197" s="72" t="str">
        <f>Tableau3[[#This Row],[ID-API]]&amp; "." &amp;Tableau3[[#This Row],[ID-RACK]]&amp; "." &amp;Tableau3[[#This Row],[ID-SLOT]]</f>
        <v>1.2.10</v>
      </c>
      <c r="AI197" s="72" t="str">
        <f>INDEX(Tableau1[Ref-Carte],MATCH(Tableau3[[#This Row],[ID-RRS]],Tableau1[ID-RRS],0))</f>
        <v>SDI1602</v>
      </c>
      <c r="AJ197" s="72" t="str">
        <f t="array" ref="AJ197">IFERROR(INDEX(Tableau2[TS],MATCH(1,(Tableau2[Ref-Carte]=Tableau3[[#This Row],[Ref-Carte2]])*(Tableau2[ID-Voie]=Tableau3[[#This Row],[ID-VOIE]]),0)),"")</f>
        <v>ET</v>
      </c>
      <c r="AK197" s="72" t="str">
        <f>IFERROR(INDEX(Tableau2[TS],SUMPRODUCT((Tableau2[Ref-Carte]=Tableau3[[#This Row],[Ref-Carte2]])*(Tableau2[ID-Voie]=Tableau3[[#This Row],[ID-VOIE]])*ROW(Tableau2[TS]))-ROW(Tableau2[#Headers])),"")</f>
        <v>ET</v>
      </c>
      <c r="AL197" s="72" t="str">
        <f>Tableau3[[#This Row],[Ref-Carte2]]&amp;"/"&amp;Tableau3[[#This Row],[ID-VOIE]]</f>
        <v>SDI1602/11</v>
      </c>
      <c r="AM197" s="77" t="str">
        <f>INDEX(Tableau2[Borne],MATCH(Tableau3[[#This Row],[ID-CARTEVOIE]],Tableau2[ID-CARTEVOIE],0))&amp;""</f>
        <v>5A</v>
      </c>
      <c r="AN197" s="74" t="str">
        <f>Tableau3[[#This Row],[ID-API]]&amp;Tableau3[[#This Row],[ID-RACK]]&amp;Tableau3[[#This Row],[ID-SLOT]]&amp;Tableau3[[#This Row],[BORNE]]</f>
        <v>12105A</v>
      </c>
      <c r="AO197" s="1"/>
    </row>
    <row r="198" spans="1:41" ht="20.100000000000001" customHeight="1" thickTop="1" thickBot="1">
      <c r="A198" s="110"/>
      <c r="B198" s="111" t="str">
        <f>IFERROR(INDEX(Tableau4[Date],MATCH($A198,Tableau4[EVO],0)),"")</f>
        <v/>
      </c>
      <c r="C198" s="112" t="str">
        <f>IFERROR(INDEX(Tableau4[Designation],MATCH($A198,Tableau4[EVO],0)),"")</f>
        <v/>
      </c>
      <c r="D198" s="110"/>
      <c r="E198" s="113"/>
      <c r="F198" s="146"/>
      <c r="G198" s="147" t="e">
        <f>INDEX(Tableau8[Att1],MATCH(Tableau3[[#This Row],[ID-INS]],Tableau8[ID],0))&amp;""</f>
        <v>#N/A</v>
      </c>
      <c r="H198" s="147" t="s">
        <v>1739</v>
      </c>
      <c r="I198" s="147" t="e">
        <f>INDEX(Tableau8[Att3],MATCH(Tableau3[[#This Row],[ID-INS]],Tableau8[ID],0))&amp;""</f>
        <v>#N/A</v>
      </c>
      <c r="J198" s="148"/>
      <c r="K198" s="167" t="e">
        <f>INDEX(Tableau8[Nom du modele],MATCH(Tableau3[[#This Row],[ID-INS]],Tableau8[ID],0))&amp;""</f>
        <v>#N/A</v>
      </c>
      <c r="L198" s="149" t="s">
        <v>260</v>
      </c>
      <c r="M198" s="149" t="e">
        <f>INDEX(Tableau5[Att2],MATCH(Tableau3[[#This Row],[ID-SIG]],Tableau5[ID],0))&amp;""</f>
        <v>#N/A</v>
      </c>
      <c r="N198" s="149" t="e">
        <f>INDEX(Tableau5[Att3],MATCH(Tableau3[[#This Row],[ID-SIG]],Tableau5[ID],0))&amp;""</f>
        <v>#N/A</v>
      </c>
      <c r="O198" s="150"/>
      <c r="P198" s="149" t="s">
        <v>1740</v>
      </c>
      <c r="Q198" s="150"/>
      <c r="R198" s="117" t="str">
        <f>Tableau3[[#This Row],[Description]]</f>
        <v>Synthèse Défaut alimentation rack d'extension du RIO 1 - Défaut</v>
      </c>
      <c r="S198" s="75"/>
      <c r="T198" s="75"/>
      <c r="U198" s="151">
        <v>1</v>
      </c>
      <c r="V198" s="151">
        <v>2</v>
      </c>
      <c r="W198" s="151">
        <v>10</v>
      </c>
      <c r="X198" s="151">
        <v>12</v>
      </c>
      <c r="Y198" s="40"/>
      <c r="Z198" s="166" t="str">
        <f>INDEX(Tableau2[TS],MATCH(Tableau3[[#This Row],[ID-CARTEVOIE]],Tableau2[ID-CARTEVOIE],0))</f>
        <v>ET</v>
      </c>
      <c r="AA198" s="81" t="s">
        <v>213</v>
      </c>
      <c r="AB198" s="226" t="str">
        <f>IFERROR(INDEX(Tableau5[Reserve],MATCH(Tableau3[[#This Row],[ID-SIG]],Tableau5[ID],0))&amp;"","")</f>
        <v/>
      </c>
      <c r="AC198" s="119" t="s">
        <v>1456</v>
      </c>
      <c r="AD198" s="120" t="str">
        <f>INDEX(Tableau7[Repere],MATCH(Tableau3[[#This Row],[ID-API]],Tableau7[ID-API],0))&amp;""</f>
        <v>A1</v>
      </c>
      <c r="AE198" s="121" t="str">
        <f>INDEX(Tableau1[Repere-Rack],MATCH(Tableau3[[#This Row],[ID-RACK]],Tableau1[ID-RACK],0))&amp;""</f>
        <v>R2</v>
      </c>
      <c r="AF198" s="121" t="str">
        <f>INDEX(Tableau1[Repere-Slot],MATCH(Tableau3[[#This Row],[ID-SLOT]],Tableau1[ID-SLOT],0))&amp;""</f>
        <v>S10</v>
      </c>
      <c r="AG198" s="121" t="str">
        <f>INDEX(Tableau2[Repere-Voie],MATCH(Tableau3[[#This Row],[ID-VOIE]],Tableau2[ID-Voie],0))&amp;""</f>
        <v>v12</v>
      </c>
      <c r="AH198" s="122" t="str">
        <f>Tableau3[[#This Row],[ID-API]]&amp; "." &amp;Tableau3[[#This Row],[ID-RACK]]&amp; "." &amp;Tableau3[[#This Row],[ID-SLOT]]</f>
        <v>1.2.10</v>
      </c>
      <c r="AI198" s="72" t="str">
        <f>INDEX(Tableau1[Ref-Carte],MATCH(Tableau3[[#This Row],[ID-RRS]],Tableau1[ID-RRS],0))</f>
        <v>SDI1602</v>
      </c>
      <c r="AJ198" s="72" t="str">
        <f t="array" ref="AJ198">IFERROR(INDEX(Tableau2[TS],MATCH(1,(Tableau2[Ref-Carte]=Tableau3[[#This Row],[Ref-Carte2]])*(Tableau2[ID-Voie]=Tableau3[[#This Row],[ID-VOIE]]),0)),"")</f>
        <v>ET</v>
      </c>
      <c r="AK198" s="72" t="str">
        <f>IFERROR(INDEX(Tableau2[TS],SUMPRODUCT((Tableau2[Ref-Carte]=Tableau3[[#This Row],[Ref-Carte2]])*(Tableau2[ID-Voie]=Tableau3[[#This Row],[ID-VOIE]])*ROW(Tableau2[TS]))-ROW(Tableau2[#Headers])),"")</f>
        <v>ET</v>
      </c>
      <c r="AL198" s="122" t="str">
        <f>Tableau3[[#This Row],[Ref-Carte2]]&amp;"/"&amp;Tableau3[[#This Row],[ID-VOIE]]</f>
        <v>SDI1602/12</v>
      </c>
      <c r="AM198" s="123" t="str">
        <f>INDEX(Tableau2[Borne],MATCH(Tableau3[[#This Row],[ID-CARTEVOIE]],Tableau2[ID-CARTEVOIE],0))&amp;""</f>
        <v>6B</v>
      </c>
      <c r="AN198" s="124" t="str">
        <f>Tableau3[[#This Row],[ID-API]]&amp;Tableau3[[#This Row],[ID-RACK]]&amp;Tableau3[[#This Row],[ID-SLOT]]&amp;Tableau3[[#This Row],[BORNE]]</f>
        <v>12106B</v>
      </c>
      <c r="AO198" s="125"/>
    </row>
    <row r="199" spans="1:41" ht="20.100000000000001" customHeight="1" thickTop="1" thickBot="1">
      <c r="A199" s="110"/>
      <c r="B199" s="111" t="str">
        <f>IFERROR(INDEX(Tableau4[Date],MATCH($A199,Tableau4[EVO],0)),"")</f>
        <v/>
      </c>
      <c r="C199" s="112" t="str">
        <f>IFERROR(INDEX(Tableau4[Designation],MATCH($A199,Tableau4[EVO],0)),"")</f>
        <v/>
      </c>
      <c r="D199" s="110"/>
      <c r="E199" s="113"/>
      <c r="F199" s="146"/>
      <c r="G199" s="147" t="e">
        <f>INDEX(Tableau8[Att1],MATCH(Tableau3[[#This Row],[ID-INS]],Tableau8[ID],0))&amp;""</f>
        <v>#N/A</v>
      </c>
      <c r="H199" s="147" t="e">
        <f>INDEX(Tableau8[Att2],MATCH(Tableau3[[#This Row],[ID-INS]],Tableau8[ID],0))&amp;""</f>
        <v>#N/A</v>
      </c>
      <c r="I199" s="147" t="e">
        <f>INDEX(Tableau8[Att3],MATCH(Tableau3[[#This Row],[ID-INS]],Tableau8[ID],0))&amp;""</f>
        <v>#N/A</v>
      </c>
      <c r="J199" s="148"/>
      <c r="K199" s="167" t="e">
        <f>INDEX(Tableau8[Nom du modele],MATCH(Tableau3[[#This Row],[ID-INS]],Tableau8[ID],0))&amp;""</f>
        <v>#N/A</v>
      </c>
      <c r="L199" s="149" t="e">
        <f>INDEX(Tableau5[Att1],MATCH(Tableau3[[#This Row],[ID-SIG]],Tableau5[ID],0))&amp;""</f>
        <v>#N/A</v>
      </c>
      <c r="M199" s="149" t="e">
        <f>INDEX(Tableau5[Att2],MATCH(Tableau3[[#This Row],[ID-SIG]],Tableau5[ID],0))&amp;""</f>
        <v>#N/A</v>
      </c>
      <c r="N199" s="149" t="e">
        <f>INDEX(Tableau5[Att3],MATCH(Tableau3[[#This Row],[ID-SIG]],Tableau5[ID],0))&amp;""</f>
        <v>#N/A</v>
      </c>
      <c r="O199" s="150"/>
      <c r="P199" s="149" t="e">
        <f>INDEX(Tableau5[Description],MATCH(Tableau3[[#This Row],[ID-SIG]],Tableau5[ID],0))</f>
        <v>#N/A</v>
      </c>
      <c r="Q199" s="150"/>
      <c r="R199" s="117" t="e">
        <f>Tableau3[[#This Row],[Description]]</f>
        <v>#N/A</v>
      </c>
      <c r="S199" s="75"/>
      <c r="T199" s="75"/>
      <c r="U199" s="151">
        <v>1</v>
      </c>
      <c r="V199" s="151">
        <v>2</v>
      </c>
      <c r="W199" s="151">
        <v>10</v>
      </c>
      <c r="X199" s="151">
        <v>13</v>
      </c>
      <c r="Y199" s="40"/>
      <c r="Z199" s="166" t="str">
        <f>INDEX(Tableau2[TS],MATCH(Tableau3[[#This Row],[ID-CARTEVOIE]],Tableau2[ID-CARTEVOIE],0))</f>
        <v>ET</v>
      </c>
      <c r="AA199" s="81" t="s">
        <v>213</v>
      </c>
      <c r="AB199" s="226" t="str">
        <f>IFERROR(INDEX(Tableau5[Reserve],MATCH(Tableau3[[#This Row],[ID-SIG]],Tableau5[ID],0))&amp;"","")</f>
        <v/>
      </c>
      <c r="AC199" s="119" t="s">
        <v>1456</v>
      </c>
      <c r="AD199" s="120" t="str">
        <f>INDEX(Tableau7[Repere],MATCH(Tableau3[[#This Row],[ID-API]],Tableau7[ID-API],0))&amp;""</f>
        <v>A1</v>
      </c>
      <c r="AE199" s="121" t="str">
        <f>INDEX(Tableau1[Repere-Rack],MATCH(Tableau3[[#This Row],[ID-RACK]],Tableau1[ID-RACK],0))&amp;""</f>
        <v>R2</v>
      </c>
      <c r="AF199" s="121" t="str">
        <f>INDEX(Tableau1[Repere-Slot],MATCH(Tableau3[[#This Row],[ID-SLOT]],Tableau1[ID-SLOT],0))&amp;""</f>
        <v>S10</v>
      </c>
      <c r="AG199" s="121" t="str">
        <f>INDEX(Tableau2[Repere-Voie],MATCH(Tableau3[[#This Row],[ID-VOIE]],Tableau2[ID-Voie],0))&amp;""</f>
        <v>v13</v>
      </c>
      <c r="AH199" s="122" t="str">
        <f>Tableau3[[#This Row],[ID-API]]&amp; "." &amp;Tableau3[[#This Row],[ID-RACK]]&amp; "." &amp;Tableau3[[#This Row],[ID-SLOT]]</f>
        <v>1.2.10</v>
      </c>
      <c r="AI199" s="72" t="str">
        <f>INDEX(Tableau1[Ref-Carte],MATCH(Tableau3[[#This Row],[ID-RRS]],Tableau1[ID-RRS],0))</f>
        <v>SDI1602</v>
      </c>
      <c r="AJ199" s="72" t="str">
        <f t="array" ref="AJ199">IFERROR(INDEX(Tableau2[TS],MATCH(1,(Tableau2[Ref-Carte]=Tableau3[[#This Row],[Ref-Carte2]])*(Tableau2[ID-Voie]=Tableau3[[#This Row],[ID-VOIE]]),0)),"")</f>
        <v>ET</v>
      </c>
      <c r="AK199" s="72" t="str">
        <f>IFERROR(INDEX(Tableau2[TS],SUMPRODUCT((Tableau2[Ref-Carte]=Tableau3[[#This Row],[Ref-Carte2]])*(Tableau2[ID-Voie]=Tableau3[[#This Row],[ID-VOIE]])*ROW(Tableau2[TS]))-ROW(Tableau2[#Headers])),"")</f>
        <v>ET</v>
      </c>
      <c r="AL199" s="122" t="str">
        <f>Tableau3[[#This Row],[Ref-Carte2]]&amp;"/"&amp;Tableau3[[#This Row],[ID-VOIE]]</f>
        <v>SDI1602/13</v>
      </c>
      <c r="AM199" s="123" t="str">
        <f>INDEX(Tableau2[Borne],MATCH(Tableau3[[#This Row],[ID-CARTEVOIE]],Tableau2[ID-CARTEVOIE],0))&amp;""</f>
        <v>6A</v>
      </c>
      <c r="AN199" s="124" t="str">
        <f>Tableau3[[#This Row],[ID-API]]&amp;Tableau3[[#This Row],[ID-RACK]]&amp;Tableau3[[#This Row],[ID-SLOT]]&amp;Tableau3[[#This Row],[BORNE]]</f>
        <v>12106A</v>
      </c>
      <c r="AO199" s="125"/>
    </row>
    <row r="200" spans="1:41" ht="20.100000000000001" customHeight="1" thickTop="1" thickBot="1">
      <c r="A200" s="110"/>
      <c r="B200" s="111" t="str">
        <f>IFERROR(INDEX(Tableau4[Date],MATCH($A200,Tableau4[EVO],0)),"")</f>
        <v/>
      </c>
      <c r="C200" s="112" t="str">
        <f>IFERROR(INDEX(Tableau4[Designation],MATCH($A200,Tableau4[EVO],0)),"")</f>
        <v/>
      </c>
      <c r="D200" s="110"/>
      <c r="E200" s="113"/>
      <c r="F200" s="146"/>
      <c r="G200" s="147" t="e">
        <f>INDEX(Tableau8[Att1],MATCH(Tableau3[[#This Row],[ID-INS]],Tableau8[ID],0))&amp;""</f>
        <v>#N/A</v>
      </c>
      <c r="H200" s="147" t="e">
        <f>INDEX(Tableau8[Att2],MATCH(Tableau3[[#This Row],[ID-INS]],Tableau8[ID],0))&amp;""</f>
        <v>#N/A</v>
      </c>
      <c r="I200" s="147" t="e">
        <f>INDEX(Tableau8[Att3],MATCH(Tableau3[[#This Row],[ID-INS]],Tableau8[ID],0))&amp;""</f>
        <v>#N/A</v>
      </c>
      <c r="J200" s="148"/>
      <c r="K200" s="167" t="e">
        <f>INDEX(Tableau8[Nom du modele],MATCH(Tableau3[[#This Row],[ID-INS]],Tableau8[ID],0))&amp;""</f>
        <v>#N/A</v>
      </c>
      <c r="L200" s="149" t="e">
        <f>INDEX(Tableau5[Att1],MATCH(Tableau3[[#This Row],[ID-SIG]],Tableau5[ID],0))&amp;""</f>
        <v>#N/A</v>
      </c>
      <c r="M200" s="149" t="e">
        <f>INDEX(Tableau5[Att2],MATCH(Tableau3[[#This Row],[ID-SIG]],Tableau5[ID],0))&amp;""</f>
        <v>#N/A</v>
      </c>
      <c r="N200" s="149" t="e">
        <f>INDEX(Tableau5[Att3],MATCH(Tableau3[[#This Row],[ID-SIG]],Tableau5[ID],0))&amp;""</f>
        <v>#N/A</v>
      </c>
      <c r="O200" s="150"/>
      <c r="P200" s="149" t="e">
        <f>INDEX(Tableau5[Description],MATCH(Tableau3[[#This Row],[ID-SIG]],Tableau5[ID],0))</f>
        <v>#N/A</v>
      </c>
      <c r="Q200" s="150"/>
      <c r="R200" s="117" t="e">
        <f>Tableau3[[#This Row],[Description]]</f>
        <v>#N/A</v>
      </c>
      <c r="S200" s="75"/>
      <c r="T200" s="75"/>
      <c r="U200" s="151">
        <v>1</v>
      </c>
      <c r="V200" s="151">
        <v>2</v>
      </c>
      <c r="W200" s="151">
        <v>10</v>
      </c>
      <c r="X200" s="151">
        <v>14</v>
      </c>
      <c r="Y200" s="40"/>
      <c r="Z200" s="166" t="str">
        <f>INDEX(Tableau2[TS],MATCH(Tableau3[[#This Row],[ID-CARTEVOIE]],Tableau2[ID-CARTEVOIE],0))</f>
        <v>ET</v>
      </c>
      <c r="AA200" s="81" t="s">
        <v>213</v>
      </c>
      <c r="AB200" s="226" t="str">
        <f>IFERROR(INDEX(Tableau5[Reserve],MATCH(Tableau3[[#This Row],[ID-SIG]],Tableau5[ID],0))&amp;"","")</f>
        <v/>
      </c>
      <c r="AC200" s="119" t="s">
        <v>1456</v>
      </c>
      <c r="AD200" s="120" t="str">
        <f>INDEX(Tableau7[Repere],MATCH(Tableau3[[#This Row],[ID-API]],Tableau7[ID-API],0))&amp;""</f>
        <v>A1</v>
      </c>
      <c r="AE200" s="121" t="str">
        <f>INDEX(Tableau1[Repere-Rack],MATCH(Tableau3[[#This Row],[ID-RACK]],Tableau1[ID-RACK],0))&amp;""</f>
        <v>R2</v>
      </c>
      <c r="AF200" s="121" t="str">
        <f>INDEX(Tableau1[Repere-Slot],MATCH(Tableau3[[#This Row],[ID-SLOT]],Tableau1[ID-SLOT],0))&amp;""</f>
        <v>S10</v>
      </c>
      <c r="AG200" s="121" t="str">
        <f>INDEX(Tableau2[Repere-Voie],MATCH(Tableau3[[#This Row],[ID-VOIE]],Tableau2[ID-Voie],0))&amp;""</f>
        <v>v14</v>
      </c>
      <c r="AH200" s="122" t="str">
        <f>Tableau3[[#This Row],[ID-API]]&amp; "." &amp;Tableau3[[#This Row],[ID-RACK]]&amp; "." &amp;Tableau3[[#This Row],[ID-SLOT]]</f>
        <v>1.2.10</v>
      </c>
      <c r="AI200" s="72" t="str">
        <f>INDEX(Tableau1[Ref-Carte],MATCH(Tableau3[[#This Row],[ID-RRS]],Tableau1[ID-RRS],0))</f>
        <v>SDI1602</v>
      </c>
      <c r="AJ200" s="72" t="str">
        <f t="array" ref="AJ200">IFERROR(INDEX(Tableau2[TS],MATCH(1,(Tableau2[Ref-Carte]=Tableau3[[#This Row],[Ref-Carte2]])*(Tableau2[ID-Voie]=Tableau3[[#This Row],[ID-VOIE]]),0)),"")</f>
        <v>ET</v>
      </c>
      <c r="AK200" s="72" t="str">
        <f>IFERROR(INDEX(Tableau2[TS],SUMPRODUCT((Tableau2[Ref-Carte]=Tableau3[[#This Row],[Ref-Carte2]])*(Tableau2[ID-Voie]=Tableau3[[#This Row],[ID-VOIE]])*ROW(Tableau2[TS]))-ROW(Tableau2[#Headers])),"")</f>
        <v>ET</v>
      </c>
      <c r="AL200" s="122" t="str">
        <f>Tableau3[[#This Row],[Ref-Carte2]]&amp;"/"&amp;Tableau3[[#This Row],[ID-VOIE]]</f>
        <v>SDI1602/14</v>
      </c>
      <c r="AM200" s="123" t="str">
        <f>INDEX(Tableau2[Borne],MATCH(Tableau3[[#This Row],[ID-CARTEVOIE]],Tableau2[ID-CARTEVOIE],0))&amp;""</f>
        <v>7B</v>
      </c>
      <c r="AN200" s="124" t="str">
        <f>Tableau3[[#This Row],[ID-API]]&amp;Tableau3[[#This Row],[ID-RACK]]&amp;Tableau3[[#This Row],[ID-SLOT]]&amp;Tableau3[[#This Row],[BORNE]]</f>
        <v>12107B</v>
      </c>
      <c r="AO200" s="125"/>
    </row>
    <row r="201" spans="1:41" ht="20.100000000000001" customHeight="1" thickTop="1" thickBot="1">
      <c r="A201" s="110"/>
      <c r="B201" s="111" t="str">
        <f>IFERROR(INDEX(Tableau4[Date],MATCH($A201,Tableau4[EVO],0)),"")</f>
        <v/>
      </c>
      <c r="C201" s="112" t="str">
        <f>IFERROR(INDEX(Tableau4[Designation],MATCH($A201,Tableau4[EVO],0)),"")</f>
        <v/>
      </c>
      <c r="D201" s="110"/>
      <c r="E201" s="113"/>
      <c r="F201" s="146"/>
      <c r="G201" s="147" t="e">
        <f>INDEX(Tableau8[Att1],MATCH(Tableau3[[#This Row],[ID-INS]],Tableau8[ID],0))&amp;""</f>
        <v>#N/A</v>
      </c>
      <c r="H201" s="147" t="e">
        <f>INDEX(Tableau8[Att2],MATCH(Tableau3[[#This Row],[ID-INS]],Tableau8[ID],0))&amp;""</f>
        <v>#N/A</v>
      </c>
      <c r="I201" s="147" t="e">
        <f>INDEX(Tableau8[Att3],MATCH(Tableau3[[#This Row],[ID-INS]],Tableau8[ID],0))&amp;""</f>
        <v>#N/A</v>
      </c>
      <c r="J201" s="148"/>
      <c r="K201" s="167" t="e">
        <f>INDEX(Tableau8[Nom du modele],MATCH(Tableau3[[#This Row],[ID-INS]],Tableau8[ID],0))&amp;""</f>
        <v>#N/A</v>
      </c>
      <c r="L201" s="149" t="e">
        <f>INDEX(Tableau5[Att1],MATCH(Tableau3[[#This Row],[ID-SIG]],Tableau5[ID],0))&amp;""</f>
        <v>#N/A</v>
      </c>
      <c r="M201" s="149" t="e">
        <f>INDEX(Tableau5[Att2],MATCH(Tableau3[[#This Row],[ID-SIG]],Tableau5[ID],0))&amp;""</f>
        <v>#N/A</v>
      </c>
      <c r="N201" s="149" t="e">
        <f>INDEX(Tableau5[Att3],MATCH(Tableau3[[#This Row],[ID-SIG]],Tableau5[ID],0))&amp;""</f>
        <v>#N/A</v>
      </c>
      <c r="O201" s="150"/>
      <c r="P201" s="149" t="e">
        <f>INDEX(Tableau5[Description],MATCH(Tableau3[[#This Row],[ID-SIG]],Tableau5[ID],0))</f>
        <v>#N/A</v>
      </c>
      <c r="Q201" s="150"/>
      <c r="R201" s="117" t="e">
        <f>Tableau3[[#This Row],[Description]]</f>
        <v>#N/A</v>
      </c>
      <c r="S201" s="75"/>
      <c r="T201" s="75"/>
      <c r="U201" s="151">
        <v>1</v>
      </c>
      <c r="V201" s="151">
        <v>2</v>
      </c>
      <c r="W201" s="151">
        <v>10</v>
      </c>
      <c r="X201" s="151">
        <v>15</v>
      </c>
      <c r="Y201" s="40"/>
      <c r="Z201" s="166" t="str">
        <f>INDEX(Tableau2[TS],MATCH(Tableau3[[#This Row],[ID-CARTEVOIE]],Tableau2[ID-CARTEVOIE],0))</f>
        <v>ET</v>
      </c>
      <c r="AA201" s="81" t="s">
        <v>213</v>
      </c>
      <c r="AB201" s="226" t="str">
        <f>IFERROR(INDEX(Tableau5[Reserve],MATCH(Tableau3[[#This Row],[ID-SIG]],Tableau5[ID],0))&amp;"","")</f>
        <v/>
      </c>
      <c r="AC201" s="119" t="s">
        <v>1456</v>
      </c>
      <c r="AD201" s="120" t="str">
        <f>INDEX(Tableau7[Repere],MATCH(Tableau3[[#This Row],[ID-API]],Tableau7[ID-API],0))&amp;""</f>
        <v>A1</v>
      </c>
      <c r="AE201" s="121" t="str">
        <f>INDEX(Tableau1[Repere-Rack],MATCH(Tableau3[[#This Row],[ID-RACK]],Tableau1[ID-RACK],0))&amp;""</f>
        <v>R2</v>
      </c>
      <c r="AF201" s="121" t="str">
        <f>INDEX(Tableau1[Repere-Slot],MATCH(Tableau3[[#This Row],[ID-SLOT]],Tableau1[ID-SLOT],0))&amp;""</f>
        <v>S10</v>
      </c>
      <c r="AG201" s="121" t="str">
        <f>INDEX(Tableau2[Repere-Voie],MATCH(Tableau3[[#This Row],[ID-VOIE]],Tableau2[ID-Voie],0))&amp;""</f>
        <v>v15</v>
      </c>
      <c r="AH201" s="122" t="str">
        <f>Tableau3[[#This Row],[ID-API]]&amp; "." &amp;Tableau3[[#This Row],[ID-RACK]]&amp; "." &amp;Tableau3[[#This Row],[ID-SLOT]]</f>
        <v>1.2.10</v>
      </c>
      <c r="AI201" s="72" t="str">
        <f>INDEX(Tableau1[Ref-Carte],MATCH(Tableau3[[#This Row],[ID-RRS]],Tableau1[ID-RRS],0))</f>
        <v>SDI1602</v>
      </c>
      <c r="AJ201" s="72" t="str">
        <f t="array" ref="AJ201">IFERROR(INDEX(Tableau2[TS],MATCH(1,(Tableau2[Ref-Carte]=Tableau3[[#This Row],[Ref-Carte2]])*(Tableau2[ID-Voie]=Tableau3[[#This Row],[ID-VOIE]]),0)),"")</f>
        <v>ET</v>
      </c>
      <c r="AK201" s="72" t="str">
        <f>IFERROR(INDEX(Tableau2[TS],SUMPRODUCT((Tableau2[Ref-Carte]=Tableau3[[#This Row],[Ref-Carte2]])*(Tableau2[ID-Voie]=Tableau3[[#This Row],[ID-VOIE]])*ROW(Tableau2[TS]))-ROW(Tableau2[#Headers])),"")</f>
        <v>ET</v>
      </c>
      <c r="AL201" s="122" t="str">
        <f>Tableau3[[#This Row],[Ref-Carte2]]&amp;"/"&amp;Tableau3[[#This Row],[ID-VOIE]]</f>
        <v>SDI1602/15</v>
      </c>
      <c r="AM201" s="123" t="str">
        <f>INDEX(Tableau2[Borne],MATCH(Tableau3[[#This Row],[ID-CARTEVOIE]],Tableau2[ID-CARTEVOIE],0))&amp;""</f>
        <v>7A</v>
      </c>
      <c r="AN201" s="124" t="str">
        <f>Tableau3[[#This Row],[ID-API]]&amp;Tableau3[[#This Row],[ID-RACK]]&amp;Tableau3[[#This Row],[ID-SLOT]]&amp;Tableau3[[#This Row],[BORNE]]</f>
        <v>12107A</v>
      </c>
      <c r="AO201" s="125"/>
    </row>
    <row r="202" spans="1:41" ht="20.100000000000001" customHeight="1" thickTop="1" thickBot="1">
      <c r="A202" s="75"/>
      <c r="B202" s="76" t="str">
        <f>IFERROR(INDEX(Tableau4[Date],MATCH($A202,Tableau4[EVO],0)),"")</f>
        <v/>
      </c>
      <c r="C202" s="75" t="str">
        <f>IFERROR(INDEX(Tableau4[Designation],MATCH($A202,Tableau4[EVO],0)),"")</f>
        <v/>
      </c>
      <c r="D202" s="75"/>
      <c r="E202" s="70">
        <v>1</v>
      </c>
      <c r="F202" s="71">
        <v>200</v>
      </c>
      <c r="G202" s="101" t="str">
        <f>INDEX(Tableau8[Att1],MATCH(Tableau3[[#This Row],[ID-INS]],Tableau8[ID],0))&amp;""</f>
        <v>V12</v>
      </c>
      <c r="H202" s="101" t="str">
        <f>INDEX(Tableau8[Att2],MATCH(Tableau3[[#This Row],[ID-INS]],Tableau8[ID],0))&amp;""</f>
        <v>P1</v>
      </c>
      <c r="I202" s="101" t="str">
        <f>INDEX(Tableau8[Att3],MATCH(Tableau3[[#This Row],[ID-INS]],Tableau8[ID],0))&amp;""</f>
        <v>Portail P1</v>
      </c>
      <c r="J202" s="101"/>
      <c r="K202" s="167" t="str">
        <f>INDEX(Tableau8[Nom du modele],MATCH(Tableau3[[#This Row],[ID-INS]],Tableau8[ID],0))&amp;""</f>
        <v>PortailR2V_1</v>
      </c>
      <c r="L202" s="99" t="str">
        <f>INDEX(Tableau5[Att1],MATCH(Tableau3[[#This Row],[ID-SIG]],Tableau5[ID],0))&amp;""</f>
        <v>Vx_OuvGCmd1</v>
      </c>
      <c r="M202" s="99" t="str">
        <f>INDEX(Tableau5[Att2],MATCH(Tableau3[[#This Row],[ID-SIG]],Tableau5[ID],0))&amp;""</f>
        <v/>
      </c>
      <c r="N202" s="99" t="str">
        <f>INDEX(Tableau5[Att3],MATCH(Tableau3[[#This Row],[ID-SIG]],Tableau5[ID],0))&amp;""</f>
        <v/>
      </c>
      <c r="O202" s="99"/>
      <c r="P202" s="99" t="str">
        <f>INDEX(Tableau5[Description],MATCH(Tableau3[[#This Row],[ID-SIG]],Tableau5[ID],0))</f>
        <v>Commande 1 ouverture gâche</v>
      </c>
      <c r="Q202" s="99"/>
      <c r="R202" s="103" t="str">
        <f>Tableau3[[#This Row],[Description]]</f>
        <v>Commande 1 ouverture gâche</v>
      </c>
      <c r="S202" s="86"/>
      <c r="U202" s="87">
        <v>2</v>
      </c>
      <c r="V202" s="87">
        <v>1</v>
      </c>
      <c r="W202" s="87">
        <v>3</v>
      </c>
      <c r="X202" s="87">
        <v>0</v>
      </c>
      <c r="Y202" s="41"/>
      <c r="Z202" s="165" t="str">
        <f>INDEX(Tableau2[TS],MATCH(Tableau3[[#This Row],[ID-CARTEVOIE]],Tableau2[ID-CARTEVOIE],0))</f>
        <v>ST</v>
      </c>
      <c r="AA202" s="53" t="s">
        <v>213</v>
      </c>
      <c r="AB202" s="223" t="str">
        <f>IFERROR(INDEX(Tableau5[Reserve],MATCH(Tableau3[[#This Row],[ID-SIG]],Tableau5[ID],0))&amp;"","")</f>
        <v/>
      </c>
      <c r="AC202" s="21"/>
      <c r="AD202" s="108" t="str">
        <f>INDEX(Tableau7[Repere],MATCH(Tableau3[[#This Row],[ID-API]],Tableau7[ID-API],0))&amp;""</f>
        <v>A2</v>
      </c>
      <c r="AE202" s="108" t="str">
        <f>INDEX(Tableau1[Repere-Rack],MATCH(Tableau3[[#This Row],[ID-RACK]],Tableau1[ID-RACK],0))&amp;""</f>
        <v>R1</v>
      </c>
      <c r="AF202" s="108" t="str">
        <f>INDEX(Tableau1[Repere-Slot],MATCH(Tableau3[[#This Row],[ID-SLOT]],Tableau1[ID-SLOT],0))&amp;""</f>
        <v>S3</v>
      </c>
      <c r="AG202" s="108" t="str">
        <f>INDEX(Tableau2[Repere-Voie],MATCH(Tableau3[[#This Row],[ID-VOIE]],Tableau2[ID-Voie],0))&amp;""</f>
        <v>v0</v>
      </c>
      <c r="AH202" s="72" t="str">
        <f>Tableau3[[#This Row],[ID-API]]&amp; "." &amp;Tableau3[[#This Row],[ID-RACK]]&amp; "." &amp;Tableau3[[#This Row],[ID-SLOT]]</f>
        <v>2.1.3</v>
      </c>
      <c r="AI202" s="72" t="str">
        <f>INDEX(Tableau1[Ref-Carte],MATCH(Tableau3[[#This Row],[ID-RRS]],Tableau1[ID-RRS],0))</f>
        <v>SDO0802</v>
      </c>
      <c r="AJ202" s="72" t="str">
        <f t="array" ref="AJ202">IFERROR(INDEX(Tableau2[TS],MATCH(1,(Tableau2[Ref-Carte]=Tableau3[[#This Row],[Ref-Carte2]])*(Tableau2[ID-Voie]=Tableau3[[#This Row],[ID-VOIE]]),0)),"")</f>
        <v>ST</v>
      </c>
      <c r="AK202" s="72" t="str">
        <f>IFERROR(INDEX(Tableau2[TS],SUMPRODUCT((Tableau2[Ref-Carte]=Tableau3[[#This Row],[Ref-Carte2]])*(Tableau2[ID-Voie]=Tableau3[[#This Row],[ID-VOIE]])*ROW(Tableau2[TS]))-ROW(Tableau2[#Headers])),"")</f>
        <v>ST</v>
      </c>
      <c r="AL202" s="72" t="str">
        <f>Tableau3[[#This Row],[Ref-Carte2]]&amp;"/"&amp;Tableau3[[#This Row],[ID-VOIE]]</f>
        <v>SDO0802/0</v>
      </c>
      <c r="AM202" s="77" t="str">
        <f>INDEX(Tableau2[Borne],MATCH(Tableau3[[#This Row],[ID-CARTEVOIE]],Tableau2[ID-CARTEVOIE],0))&amp;""</f>
        <v>0</v>
      </c>
      <c r="AN202" s="74" t="str">
        <f>Tableau3[[#This Row],[ID-API]]&amp;Tableau3[[#This Row],[ID-RACK]]&amp;Tableau3[[#This Row],[ID-SLOT]]&amp;Tableau3[[#This Row],[BORNE]]</f>
        <v>2130</v>
      </c>
      <c r="AO202" s="1"/>
    </row>
    <row r="203" spans="1:41" ht="20.100000000000001" customHeight="1" thickTop="1" thickBot="1">
      <c r="A203" s="75"/>
      <c r="B203" s="76" t="str">
        <f>IFERROR(INDEX(Tableau4[Date],MATCH($A203,Tableau4[EVO],0)),"")</f>
        <v/>
      </c>
      <c r="C203" s="75" t="str">
        <f>IFERROR(INDEX(Tableau4[Designation],MATCH($A203,Tableau4[EVO],0)),"")</f>
        <v/>
      </c>
      <c r="D203" s="75"/>
      <c r="E203" s="70">
        <v>1</v>
      </c>
      <c r="F203" s="71">
        <v>201</v>
      </c>
      <c r="G203" s="101" t="str">
        <f>INDEX(Tableau8[Att1],MATCH(Tableau3[[#This Row],[ID-INS]],Tableau8[ID],0))&amp;""</f>
        <v>V12</v>
      </c>
      <c r="H203" s="101" t="str">
        <f>INDEX(Tableau8[Att2],MATCH(Tableau3[[#This Row],[ID-INS]],Tableau8[ID],0))&amp;""</f>
        <v>P1</v>
      </c>
      <c r="I203" s="101" t="str">
        <f>INDEX(Tableau8[Att3],MATCH(Tableau3[[#This Row],[ID-INS]],Tableau8[ID],0))&amp;""</f>
        <v>Portail P1</v>
      </c>
      <c r="J203" s="101"/>
      <c r="K203" s="167" t="str">
        <f>INDEX(Tableau8[Nom du modele],MATCH(Tableau3[[#This Row],[ID-INS]],Tableau8[ID],0))&amp;""</f>
        <v>PortailR2V_1</v>
      </c>
      <c r="L203" s="99" t="str">
        <f>INDEX(Tableau5[Att1],MATCH(Tableau3[[#This Row],[ID-SIG]],Tableau5[ID],0))&amp;""</f>
        <v>Vx_FerGCmd</v>
      </c>
      <c r="M203" s="99" t="str">
        <f>INDEX(Tableau5[Att2],MATCH(Tableau3[[#This Row],[ID-SIG]],Tableau5[ID],0))&amp;""</f>
        <v/>
      </c>
      <c r="N203" s="99" t="str">
        <f>INDEX(Tableau5[Att3],MATCH(Tableau3[[#This Row],[ID-SIG]],Tableau5[ID],0))&amp;""</f>
        <v/>
      </c>
      <c r="O203" s="99"/>
      <c r="P203" s="99" t="str">
        <f>INDEX(Tableau5[Description],MATCH(Tableau3[[#This Row],[ID-SIG]],Tableau5[ID],0))</f>
        <v>Commande fermeture gâche</v>
      </c>
      <c r="Q203" s="99"/>
      <c r="R203" s="103" t="str">
        <f>Tableau3[[#This Row],[Description]]</f>
        <v>Commande fermeture gâche</v>
      </c>
      <c r="S203" s="86"/>
      <c r="U203" s="87">
        <v>2</v>
      </c>
      <c r="V203" s="87">
        <v>1</v>
      </c>
      <c r="W203" s="87">
        <v>3</v>
      </c>
      <c r="X203" s="87">
        <v>1</v>
      </c>
      <c r="Y203" s="41"/>
      <c r="Z203" s="165" t="str">
        <f>INDEX(Tableau2[TS],MATCH(Tableau3[[#This Row],[ID-CARTEVOIE]],Tableau2[ID-CARTEVOIE],0))</f>
        <v>ST</v>
      </c>
      <c r="AA203" s="53" t="s">
        <v>213</v>
      </c>
      <c r="AB203" s="223" t="str">
        <f>IFERROR(INDEX(Tableau5[Reserve],MATCH(Tableau3[[#This Row],[ID-SIG]],Tableau5[ID],0))&amp;"","")</f>
        <v/>
      </c>
      <c r="AC203" s="21"/>
      <c r="AD203" s="108" t="str">
        <f>INDEX(Tableau7[Repere],MATCH(Tableau3[[#This Row],[ID-API]],Tableau7[ID-API],0))&amp;""</f>
        <v>A2</v>
      </c>
      <c r="AE203" s="108" t="str">
        <f>INDEX(Tableau1[Repere-Rack],MATCH(Tableau3[[#This Row],[ID-RACK]],Tableau1[ID-RACK],0))&amp;""</f>
        <v>R1</v>
      </c>
      <c r="AF203" s="108" t="str">
        <f>INDEX(Tableau1[Repere-Slot],MATCH(Tableau3[[#This Row],[ID-SLOT]],Tableau1[ID-SLOT],0))&amp;""</f>
        <v>S3</v>
      </c>
      <c r="AG203" s="108" t="str">
        <f>INDEX(Tableau2[Repere-Voie],MATCH(Tableau3[[#This Row],[ID-VOIE]],Tableau2[ID-Voie],0))&amp;""</f>
        <v>v1</v>
      </c>
      <c r="AH203" s="72" t="str">
        <f>Tableau3[[#This Row],[ID-API]]&amp; "." &amp;Tableau3[[#This Row],[ID-RACK]]&amp; "." &amp;Tableau3[[#This Row],[ID-SLOT]]</f>
        <v>2.1.3</v>
      </c>
      <c r="AI203" s="72" t="str">
        <f>INDEX(Tableau1[Ref-Carte],MATCH(Tableau3[[#This Row],[ID-RRS]],Tableau1[ID-RRS],0))</f>
        <v>SDO0802</v>
      </c>
      <c r="AJ203" s="72" t="str">
        <f t="array" ref="AJ203">IFERROR(INDEX(Tableau2[TS],MATCH(1,(Tableau2[Ref-Carte]=Tableau3[[#This Row],[Ref-Carte2]])*(Tableau2[ID-Voie]=Tableau3[[#This Row],[ID-VOIE]]),0)),"")</f>
        <v>ST</v>
      </c>
      <c r="AK203" s="72" t="str">
        <f>IFERROR(INDEX(Tableau2[TS],SUMPRODUCT((Tableau2[Ref-Carte]=Tableau3[[#This Row],[Ref-Carte2]])*(Tableau2[ID-Voie]=Tableau3[[#This Row],[ID-VOIE]])*ROW(Tableau2[TS]))-ROW(Tableau2[#Headers])),"")</f>
        <v>ST</v>
      </c>
      <c r="AL203" s="72" t="str">
        <f>Tableau3[[#This Row],[Ref-Carte2]]&amp;"/"&amp;Tableau3[[#This Row],[ID-VOIE]]</f>
        <v>SDO0802/1</v>
      </c>
      <c r="AM203" s="77" t="str">
        <f>INDEX(Tableau2[Borne],MATCH(Tableau3[[#This Row],[ID-CARTEVOIE]],Tableau2[ID-CARTEVOIE],0))&amp;""</f>
        <v>1</v>
      </c>
      <c r="AN203" s="74" t="str">
        <f>Tableau3[[#This Row],[ID-API]]&amp;Tableau3[[#This Row],[ID-RACK]]&amp;Tableau3[[#This Row],[ID-SLOT]]&amp;Tableau3[[#This Row],[BORNE]]</f>
        <v>2131</v>
      </c>
      <c r="AO203" s="1"/>
    </row>
    <row r="204" spans="1:41" ht="20.100000000000001" customHeight="1" thickTop="1" thickBot="1">
      <c r="A204" s="75"/>
      <c r="B204" s="76" t="str">
        <f>IFERROR(INDEX(Tableau4[Date],MATCH($A204,Tableau4[EVO],0)),"")</f>
        <v/>
      </c>
      <c r="C204" s="75" t="str">
        <f>IFERROR(INDEX(Tableau4[Designation],MATCH($A204,Tableau4[EVO],0)),"")</f>
        <v/>
      </c>
      <c r="D204" s="75"/>
      <c r="E204" s="70">
        <v>1</v>
      </c>
      <c r="F204" s="71">
        <v>202</v>
      </c>
      <c r="G204" s="101" t="str">
        <f>INDEX(Tableau8[Att1],MATCH(Tableau3[[#This Row],[ID-INS]],Tableau8[ID],0))&amp;""</f>
        <v>V12</v>
      </c>
      <c r="H204" s="101" t="str">
        <f>INDEX(Tableau8[Att2],MATCH(Tableau3[[#This Row],[ID-INS]],Tableau8[ID],0))&amp;""</f>
        <v>P1</v>
      </c>
      <c r="I204" s="101" t="str">
        <f>INDEX(Tableau8[Att3],MATCH(Tableau3[[#This Row],[ID-INS]],Tableau8[ID],0))&amp;""</f>
        <v>Portail P1</v>
      </c>
      <c r="J204" s="101"/>
      <c r="K204" s="167" t="str">
        <f>INDEX(Tableau8[Nom du modele],MATCH(Tableau3[[#This Row],[ID-INS]],Tableau8[ID],0))&amp;""</f>
        <v>PortailR2V_1</v>
      </c>
      <c r="L204" s="155" t="s">
        <v>1699</v>
      </c>
      <c r="M204" s="99" t="str">
        <f>INDEX(Tableau5[Att2],MATCH(Tableau3[[#This Row],[ID-SIG]],Tableau5[ID],0))&amp;""</f>
        <v/>
      </c>
      <c r="N204" s="99" t="str">
        <f>INDEX(Tableau5[Att3],MATCH(Tableau3[[#This Row],[ID-SIG]],Tableau5[ID],0))&amp;""</f>
        <v/>
      </c>
      <c r="O204" s="99"/>
      <c r="P204" s="155" t="s">
        <v>1741</v>
      </c>
      <c r="Q204" s="99"/>
      <c r="R204" s="103" t="str">
        <f>Tableau3[[#This Row],[Description]]</f>
        <v>Portail P1V2 - Verrouillage</v>
      </c>
      <c r="S204" s="86"/>
      <c r="U204" s="87">
        <v>2</v>
      </c>
      <c r="V204" s="87">
        <v>1</v>
      </c>
      <c r="W204" s="87">
        <v>3</v>
      </c>
      <c r="X204" s="87">
        <v>2</v>
      </c>
      <c r="Y204" s="41"/>
      <c r="Z204" s="165" t="str">
        <f>INDEX(Tableau2[TS],MATCH(Tableau3[[#This Row],[ID-CARTEVOIE]],Tableau2[ID-CARTEVOIE],0))</f>
        <v>ST</v>
      </c>
      <c r="AA204" s="53" t="s">
        <v>213</v>
      </c>
      <c r="AB204" s="223" t="str">
        <f>IFERROR(INDEX(Tableau5[Reserve],MATCH(Tableau3[[#This Row],[ID-SIG]],Tableau5[ID],0))&amp;"","")</f>
        <v/>
      </c>
      <c r="AC204" s="21"/>
      <c r="AD204" s="108" t="str">
        <f>INDEX(Tableau7[Repere],MATCH(Tableau3[[#This Row],[ID-API]],Tableau7[ID-API],0))&amp;""</f>
        <v>A2</v>
      </c>
      <c r="AE204" s="108" t="str">
        <f>INDEX(Tableau1[Repere-Rack],MATCH(Tableau3[[#This Row],[ID-RACK]],Tableau1[ID-RACK],0))&amp;""</f>
        <v>R1</v>
      </c>
      <c r="AF204" s="108" t="str">
        <f>INDEX(Tableau1[Repere-Slot],MATCH(Tableau3[[#This Row],[ID-SLOT]],Tableau1[ID-SLOT],0))&amp;""</f>
        <v>S3</v>
      </c>
      <c r="AG204" s="108" t="str">
        <f>INDEX(Tableau2[Repere-Voie],MATCH(Tableau3[[#This Row],[ID-VOIE]],Tableau2[ID-Voie],0))&amp;""</f>
        <v>v2</v>
      </c>
      <c r="AH204" s="72" t="str">
        <f>Tableau3[[#This Row],[ID-API]]&amp; "." &amp;Tableau3[[#This Row],[ID-RACK]]&amp; "." &amp;Tableau3[[#This Row],[ID-SLOT]]</f>
        <v>2.1.3</v>
      </c>
      <c r="AI204" s="72" t="str">
        <f>INDEX(Tableau1[Ref-Carte],MATCH(Tableau3[[#This Row],[ID-RRS]],Tableau1[ID-RRS],0))</f>
        <v>SDO0802</v>
      </c>
      <c r="AJ204" s="72" t="str">
        <f t="array" ref="AJ204">IFERROR(INDEX(Tableau2[TS],MATCH(1,(Tableau2[Ref-Carte]=Tableau3[[#This Row],[Ref-Carte2]])*(Tableau2[ID-Voie]=Tableau3[[#This Row],[ID-VOIE]]),0)),"")</f>
        <v>ST</v>
      </c>
      <c r="AK204" s="72" t="str">
        <f>IFERROR(INDEX(Tableau2[TS],SUMPRODUCT((Tableau2[Ref-Carte]=Tableau3[[#This Row],[Ref-Carte2]])*(Tableau2[ID-Voie]=Tableau3[[#This Row],[ID-VOIE]])*ROW(Tableau2[TS]))-ROW(Tableau2[#Headers])),"")</f>
        <v>ST</v>
      </c>
      <c r="AL204" s="72" t="str">
        <f>Tableau3[[#This Row],[Ref-Carte2]]&amp;"/"&amp;Tableau3[[#This Row],[ID-VOIE]]</f>
        <v>SDO0802/2</v>
      </c>
      <c r="AM204" s="77" t="str">
        <f>INDEX(Tableau2[Borne],MATCH(Tableau3[[#This Row],[ID-CARTEVOIE]],Tableau2[ID-CARTEVOIE],0))&amp;""</f>
        <v>2</v>
      </c>
      <c r="AN204" s="74" t="str">
        <f>Tableau3[[#This Row],[ID-API]]&amp;Tableau3[[#This Row],[ID-RACK]]&amp;Tableau3[[#This Row],[ID-SLOT]]&amp;Tableau3[[#This Row],[BORNE]]</f>
        <v>2132</v>
      </c>
      <c r="AO204" s="1"/>
    </row>
    <row r="205" spans="1:41" ht="20.100000000000001" customHeight="1" thickTop="1" thickBot="1">
      <c r="A205" s="75"/>
      <c r="B205" s="76" t="str">
        <f>IFERROR(INDEX(Tableau4[Date],MATCH($A205,Tableau4[EVO],0)),"")</f>
        <v/>
      </c>
      <c r="C205" s="75" t="str">
        <f>IFERROR(INDEX(Tableau4[Designation],MATCH($A205,Tableau4[EVO],0)),"")</f>
        <v/>
      </c>
      <c r="D205" s="75"/>
      <c r="E205" s="70">
        <v>1</v>
      </c>
      <c r="F205" s="71">
        <v>212</v>
      </c>
      <c r="G205" s="101" t="str">
        <f>INDEX(Tableau8[Att1],MATCH(Tableau3[[#This Row],[ID-INS]],Tableau8[ID],0))&amp;""</f>
        <v>V12</v>
      </c>
      <c r="H205" s="101" t="str">
        <f>INDEX(Tableau8[Att2],MATCH(Tableau3[[#This Row],[ID-INS]],Tableau8[ID],0))&amp;""</f>
        <v>P1</v>
      </c>
      <c r="I205" s="101" t="str">
        <f>INDEX(Tableau8[Att3],MATCH(Tableau3[[#This Row],[ID-INS]],Tableau8[ID],0))&amp;""</f>
        <v>Portail P1</v>
      </c>
      <c r="J205" s="101"/>
      <c r="K205" s="167" t="str">
        <f>INDEX(Tableau8[Nom du modele],MATCH(Tableau3[[#This Row],[ID-INS]],Tableau8[ID],0))&amp;""</f>
        <v>PortailR2V_1</v>
      </c>
      <c r="L205" s="99" t="str">
        <f>INDEX(Tableau5[Att1],MATCH(Tableau3[[#This Row],[ID-SIG]],Tableau5[ID],0))&amp;""</f>
        <v>V1_SignalCmd</v>
      </c>
      <c r="M205" s="99" t="str">
        <f>INDEX(Tableau5[Att2],MATCH(Tableau3[[#This Row],[ID-SIG]],Tableau5[ID],0))&amp;""</f>
        <v/>
      </c>
      <c r="N205" s="99" t="str">
        <f>INDEX(Tableau5[Att3],MATCH(Tableau3[[#This Row],[ID-SIG]],Tableau5[ID],0))&amp;""</f>
        <v/>
      </c>
      <c r="O205" s="99"/>
      <c r="P205" s="99" t="str">
        <f>INDEX(Tableau5[Description],MATCH(Tableau3[[#This Row],[ID-SIG]],Tableau5[ID],0))</f>
        <v>Commande signalisation vantail 1</v>
      </c>
      <c r="Q205" s="99"/>
      <c r="R205" s="103" t="str">
        <f>Tableau3[[#This Row],[Description]]</f>
        <v>Commande signalisation vantail 1</v>
      </c>
      <c r="S205" s="86"/>
      <c r="U205" s="87">
        <v>2</v>
      </c>
      <c r="V205" s="87">
        <v>1</v>
      </c>
      <c r="W205" s="87">
        <v>3</v>
      </c>
      <c r="X205" s="87">
        <v>3</v>
      </c>
      <c r="Y205" s="41"/>
      <c r="Z205" s="165" t="str">
        <f>INDEX(Tableau2[TS],MATCH(Tableau3[[#This Row],[ID-CARTEVOIE]],Tableau2[ID-CARTEVOIE],0))</f>
        <v>ST</v>
      </c>
      <c r="AA205" s="53" t="s">
        <v>213</v>
      </c>
      <c r="AB205" s="223" t="str">
        <f>IFERROR(INDEX(Tableau5[Reserve],MATCH(Tableau3[[#This Row],[ID-SIG]],Tableau5[ID],0))&amp;"","")</f>
        <v/>
      </c>
      <c r="AC205" s="21"/>
      <c r="AD205" s="108" t="str">
        <f>INDEX(Tableau7[Repere],MATCH(Tableau3[[#This Row],[ID-API]],Tableau7[ID-API],0))&amp;""</f>
        <v>A2</v>
      </c>
      <c r="AE205" s="108" t="str">
        <f>INDEX(Tableau1[Repere-Rack],MATCH(Tableau3[[#This Row],[ID-RACK]],Tableau1[ID-RACK],0))&amp;""</f>
        <v>R1</v>
      </c>
      <c r="AF205" s="108" t="str">
        <f>INDEX(Tableau1[Repere-Slot],MATCH(Tableau3[[#This Row],[ID-SLOT]],Tableau1[ID-SLOT],0))&amp;""</f>
        <v>S3</v>
      </c>
      <c r="AG205" s="108" t="str">
        <f>INDEX(Tableau2[Repere-Voie],MATCH(Tableau3[[#This Row],[ID-VOIE]],Tableau2[ID-Voie],0))&amp;""</f>
        <v>v3</v>
      </c>
      <c r="AH205" s="72" t="str">
        <f>Tableau3[[#This Row],[ID-API]]&amp; "." &amp;Tableau3[[#This Row],[ID-RACK]]&amp; "." &amp;Tableau3[[#This Row],[ID-SLOT]]</f>
        <v>2.1.3</v>
      </c>
      <c r="AI205" s="72" t="str">
        <f>INDEX(Tableau1[Ref-Carte],MATCH(Tableau3[[#This Row],[ID-RRS]],Tableau1[ID-RRS],0))</f>
        <v>SDO0802</v>
      </c>
      <c r="AJ205" s="72" t="str">
        <f t="array" ref="AJ205">IFERROR(INDEX(Tableau2[TS],MATCH(1,(Tableau2[Ref-Carte]=Tableau3[[#This Row],[Ref-Carte2]])*(Tableau2[ID-Voie]=Tableau3[[#This Row],[ID-VOIE]]),0)),"")</f>
        <v>ST</v>
      </c>
      <c r="AK205" s="72" t="str">
        <f>IFERROR(INDEX(Tableau2[TS],SUMPRODUCT((Tableau2[Ref-Carte]=Tableau3[[#This Row],[Ref-Carte2]])*(Tableau2[ID-Voie]=Tableau3[[#This Row],[ID-VOIE]])*ROW(Tableau2[TS]))-ROW(Tableau2[#Headers])),"")</f>
        <v>ST</v>
      </c>
      <c r="AL205" s="72" t="str">
        <f>Tableau3[[#This Row],[Ref-Carte2]]&amp;"/"&amp;Tableau3[[#This Row],[ID-VOIE]]</f>
        <v>SDO0802/3</v>
      </c>
      <c r="AM205" s="77" t="str">
        <f>INDEX(Tableau2[Borne],MATCH(Tableau3[[#This Row],[ID-CARTEVOIE]],Tableau2[ID-CARTEVOIE],0))&amp;""</f>
        <v>3</v>
      </c>
      <c r="AN205" s="74" t="str">
        <f>Tableau3[[#This Row],[ID-API]]&amp;Tableau3[[#This Row],[ID-RACK]]&amp;Tableau3[[#This Row],[ID-SLOT]]&amp;Tableau3[[#This Row],[BORNE]]</f>
        <v>2133</v>
      </c>
      <c r="AO205" s="1"/>
    </row>
    <row r="206" spans="1:41" ht="20.100000000000001" customHeight="1" thickTop="1" thickBot="1">
      <c r="A206" s="75"/>
      <c r="B206" s="76" t="str">
        <f>IFERROR(INDEX(Tableau4[Date],MATCH($A206,Tableau4[EVO],0)),"")</f>
        <v/>
      </c>
      <c r="C206" s="75" t="str">
        <f>IFERROR(INDEX(Tableau4[Designation],MATCH($A206,Tableau4[EVO],0)),"")</f>
        <v/>
      </c>
      <c r="D206" s="75"/>
      <c r="E206" s="70">
        <v>1</v>
      </c>
      <c r="F206" s="71">
        <v>213</v>
      </c>
      <c r="G206" s="101" t="str">
        <f>INDEX(Tableau8[Att1],MATCH(Tableau3[[#This Row],[ID-INS]],Tableau8[ID],0))&amp;""</f>
        <v>V12</v>
      </c>
      <c r="H206" s="101" t="str">
        <f>INDEX(Tableau8[Att2],MATCH(Tableau3[[#This Row],[ID-INS]],Tableau8[ID],0))&amp;""</f>
        <v>P1</v>
      </c>
      <c r="I206" s="101" t="str">
        <f>INDEX(Tableau8[Att3],MATCH(Tableau3[[#This Row],[ID-INS]],Tableau8[ID],0))&amp;""</f>
        <v>Portail P1</v>
      </c>
      <c r="J206" s="101"/>
      <c r="K206" s="167" t="str">
        <f>INDEX(Tableau8[Nom du modele],MATCH(Tableau3[[#This Row],[ID-INS]],Tableau8[ID],0))&amp;""</f>
        <v>PortailR2V_1</v>
      </c>
      <c r="L206" s="99" t="str">
        <f>INDEX(Tableau5[Att1],MATCH(Tableau3[[#This Row],[ID-SIG]],Tableau5[ID],0))&amp;""</f>
        <v>V1_GrpHydCmd1</v>
      </c>
      <c r="M206" s="99" t="str">
        <f>INDEX(Tableau5[Att2],MATCH(Tableau3[[#This Row],[ID-SIG]],Tableau5[ID],0))&amp;""</f>
        <v/>
      </c>
      <c r="N206" s="99" t="str">
        <f>INDEX(Tableau5[Att3],MATCH(Tableau3[[#This Row],[ID-SIG]],Tableau5[ID],0))&amp;""</f>
        <v/>
      </c>
      <c r="O206" s="99"/>
      <c r="P206" s="99" t="str">
        <f>INDEX(Tableau5[Description],MATCH(Tableau3[[#This Row],[ID-SIG]],Tableau5[ID],0))</f>
        <v>Commande 1 marche groupe hydraulique vantail 1</v>
      </c>
      <c r="Q206" s="99"/>
      <c r="R206" s="103" t="str">
        <f>Tableau3[[#This Row],[Description]]</f>
        <v>Commande 1 marche groupe hydraulique vantail 1</v>
      </c>
      <c r="S206" s="86"/>
      <c r="U206" s="87">
        <v>2</v>
      </c>
      <c r="V206" s="87">
        <v>1</v>
      </c>
      <c r="W206" s="87">
        <v>3</v>
      </c>
      <c r="X206" s="87">
        <v>4</v>
      </c>
      <c r="Y206" s="41"/>
      <c r="Z206" s="165" t="str">
        <f>INDEX(Tableau2[TS],MATCH(Tableau3[[#This Row],[ID-CARTEVOIE]],Tableau2[ID-CARTEVOIE],0))</f>
        <v>ST</v>
      </c>
      <c r="AA206" s="53" t="s">
        <v>213</v>
      </c>
      <c r="AB206" s="223" t="str">
        <f>IFERROR(INDEX(Tableau5[Reserve],MATCH(Tableau3[[#This Row],[ID-SIG]],Tableau5[ID],0))&amp;"","")</f>
        <v/>
      </c>
      <c r="AC206" s="21"/>
      <c r="AD206" s="108" t="str">
        <f>INDEX(Tableau7[Repere],MATCH(Tableau3[[#This Row],[ID-API]],Tableau7[ID-API],0))&amp;""</f>
        <v>A2</v>
      </c>
      <c r="AE206" s="108" t="str">
        <f>INDEX(Tableau1[Repere-Rack],MATCH(Tableau3[[#This Row],[ID-RACK]],Tableau1[ID-RACK],0))&amp;""</f>
        <v>R1</v>
      </c>
      <c r="AF206" s="108" t="str">
        <f>INDEX(Tableau1[Repere-Slot],MATCH(Tableau3[[#This Row],[ID-SLOT]],Tableau1[ID-SLOT],0))&amp;""</f>
        <v>S3</v>
      </c>
      <c r="AG206" s="108" t="str">
        <f>INDEX(Tableau2[Repere-Voie],MATCH(Tableau3[[#This Row],[ID-VOIE]],Tableau2[ID-Voie],0))&amp;""</f>
        <v>v4</v>
      </c>
      <c r="AH206" s="72" t="str">
        <f>Tableau3[[#This Row],[ID-API]]&amp; "." &amp;Tableau3[[#This Row],[ID-RACK]]&amp; "." &amp;Tableau3[[#This Row],[ID-SLOT]]</f>
        <v>2.1.3</v>
      </c>
      <c r="AI206" s="72" t="str">
        <f>INDEX(Tableau1[Ref-Carte],MATCH(Tableau3[[#This Row],[ID-RRS]],Tableau1[ID-RRS],0))</f>
        <v>SDO0802</v>
      </c>
      <c r="AJ206" s="72" t="str">
        <f t="array" ref="AJ206">IFERROR(INDEX(Tableau2[TS],MATCH(1,(Tableau2[Ref-Carte]=Tableau3[[#This Row],[Ref-Carte2]])*(Tableau2[ID-Voie]=Tableau3[[#This Row],[ID-VOIE]]),0)),"")</f>
        <v>ST</v>
      </c>
      <c r="AK206" s="72" t="str">
        <f>IFERROR(INDEX(Tableau2[TS],SUMPRODUCT((Tableau2[Ref-Carte]=Tableau3[[#This Row],[Ref-Carte2]])*(Tableau2[ID-Voie]=Tableau3[[#This Row],[ID-VOIE]])*ROW(Tableau2[TS]))-ROW(Tableau2[#Headers])),"")</f>
        <v>ST</v>
      </c>
      <c r="AL206" s="72" t="str">
        <f>Tableau3[[#This Row],[Ref-Carte2]]&amp;"/"&amp;Tableau3[[#This Row],[ID-VOIE]]</f>
        <v>SDO0802/4</v>
      </c>
      <c r="AM206" s="77" t="str">
        <f>INDEX(Tableau2[Borne],MATCH(Tableau3[[#This Row],[ID-CARTEVOIE]],Tableau2[ID-CARTEVOIE],0))&amp;""</f>
        <v>4</v>
      </c>
      <c r="AN206" s="74" t="str">
        <f>Tableau3[[#This Row],[ID-API]]&amp;Tableau3[[#This Row],[ID-RACK]]&amp;Tableau3[[#This Row],[ID-SLOT]]&amp;Tableau3[[#This Row],[BORNE]]</f>
        <v>2134</v>
      </c>
      <c r="AO206" s="1"/>
    </row>
    <row r="207" spans="1:41" ht="20.100000000000001" customHeight="1" thickTop="1" thickBot="1">
      <c r="A207" s="75"/>
      <c r="B207" s="76" t="str">
        <f>IFERROR(INDEX(Tableau4[Date],MATCH($A207,Tableau4[EVO],0)),"")</f>
        <v/>
      </c>
      <c r="C207" s="75" t="str">
        <f>IFERROR(INDEX(Tableau4[Designation],MATCH($A207,Tableau4[EVO],0)),"")</f>
        <v/>
      </c>
      <c r="D207" s="75"/>
      <c r="E207" s="70">
        <v>1</v>
      </c>
      <c r="F207" s="71">
        <v>214</v>
      </c>
      <c r="G207" s="101" t="str">
        <f>INDEX(Tableau8[Att1],MATCH(Tableau3[[#This Row],[ID-INS]],Tableau8[ID],0))&amp;""</f>
        <v>V12</v>
      </c>
      <c r="H207" s="101" t="str">
        <f>INDEX(Tableau8[Att2],MATCH(Tableau3[[#This Row],[ID-INS]],Tableau8[ID],0))&amp;""</f>
        <v>P1</v>
      </c>
      <c r="I207" s="101" t="str">
        <f>INDEX(Tableau8[Att3],MATCH(Tableau3[[#This Row],[ID-INS]],Tableau8[ID],0))&amp;""</f>
        <v>Portail P1</v>
      </c>
      <c r="J207" s="101"/>
      <c r="K207" s="167" t="str">
        <f>INDEX(Tableau8[Nom du modele],MATCH(Tableau3[[#This Row],[ID-INS]],Tableau8[ID],0))&amp;""</f>
        <v>PortailR2V_1</v>
      </c>
      <c r="L207" s="99" t="str">
        <f>INDEX(Tableau5[Att1],MATCH(Tableau3[[#This Row],[ID-SIG]],Tableau5[ID],0))&amp;""</f>
        <v>V1_OuvCmd</v>
      </c>
      <c r="M207" s="99" t="str">
        <f>INDEX(Tableau5[Att2],MATCH(Tableau3[[#This Row],[ID-SIG]],Tableau5[ID],0))&amp;""</f>
        <v/>
      </c>
      <c r="N207" s="99" t="str">
        <f>INDEX(Tableau5[Att3],MATCH(Tableau3[[#This Row],[ID-SIG]],Tableau5[ID],0))&amp;""</f>
        <v/>
      </c>
      <c r="O207" s="99"/>
      <c r="P207" s="99" t="str">
        <f>INDEX(Tableau5[Description],MATCH(Tableau3[[#This Row],[ID-SIG]],Tableau5[ID],0))</f>
        <v>Commande ouverture vantail1</v>
      </c>
      <c r="Q207" s="99"/>
      <c r="R207" s="103" t="str">
        <f>Tableau3[[#This Row],[Description]]</f>
        <v>Commande ouverture vantail1</v>
      </c>
      <c r="S207" s="86"/>
      <c r="U207" s="87">
        <v>2</v>
      </c>
      <c r="V207" s="87">
        <v>1</v>
      </c>
      <c r="W207" s="87">
        <v>3</v>
      </c>
      <c r="X207" s="87">
        <v>5</v>
      </c>
      <c r="Y207" s="41"/>
      <c r="Z207" s="165" t="str">
        <f>INDEX(Tableau2[TS],MATCH(Tableau3[[#This Row],[ID-CARTEVOIE]],Tableau2[ID-CARTEVOIE],0))</f>
        <v>ST</v>
      </c>
      <c r="AA207" s="53" t="s">
        <v>213</v>
      </c>
      <c r="AB207" s="223" t="str">
        <f>IFERROR(INDEX(Tableau5[Reserve],MATCH(Tableau3[[#This Row],[ID-SIG]],Tableau5[ID],0))&amp;"","")</f>
        <v/>
      </c>
      <c r="AC207" s="21"/>
      <c r="AD207" s="108" t="str">
        <f>INDEX(Tableau7[Repere],MATCH(Tableau3[[#This Row],[ID-API]],Tableau7[ID-API],0))&amp;""</f>
        <v>A2</v>
      </c>
      <c r="AE207" s="108" t="str">
        <f>INDEX(Tableau1[Repere-Rack],MATCH(Tableau3[[#This Row],[ID-RACK]],Tableau1[ID-RACK],0))&amp;""</f>
        <v>R1</v>
      </c>
      <c r="AF207" s="108" t="str">
        <f>INDEX(Tableau1[Repere-Slot],MATCH(Tableau3[[#This Row],[ID-SLOT]],Tableau1[ID-SLOT],0))&amp;""</f>
        <v>S3</v>
      </c>
      <c r="AG207" s="108" t="str">
        <f>INDEX(Tableau2[Repere-Voie],MATCH(Tableau3[[#This Row],[ID-VOIE]],Tableau2[ID-Voie],0))&amp;""</f>
        <v>v5</v>
      </c>
      <c r="AH207" s="72" t="str">
        <f>Tableau3[[#This Row],[ID-API]]&amp; "." &amp;Tableau3[[#This Row],[ID-RACK]]&amp; "." &amp;Tableau3[[#This Row],[ID-SLOT]]</f>
        <v>2.1.3</v>
      </c>
      <c r="AI207" s="72" t="str">
        <f>INDEX(Tableau1[Ref-Carte],MATCH(Tableau3[[#This Row],[ID-RRS]],Tableau1[ID-RRS],0))</f>
        <v>SDO0802</v>
      </c>
      <c r="AJ207" s="72" t="str">
        <f t="array" ref="AJ207">IFERROR(INDEX(Tableau2[TS],MATCH(1,(Tableau2[Ref-Carte]=Tableau3[[#This Row],[Ref-Carte2]])*(Tableau2[ID-Voie]=Tableau3[[#This Row],[ID-VOIE]]),0)),"")</f>
        <v>ST</v>
      </c>
      <c r="AK207" s="72" t="str">
        <f>IFERROR(INDEX(Tableau2[TS],SUMPRODUCT((Tableau2[Ref-Carte]=Tableau3[[#This Row],[Ref-Carte2]])*(Tableau2[ID-Voie]=Tableau3[[#This Row],[ID-VOIE]])*ROW(Tableau2[TS]))-ROW(Tableau2[#Headers])),"")</f>
        <v>ST</v>
      </c>
      <c r="AL207" s="72" t="str">
        <f>Tableau3[[#This Row],[Ref-Carte2]]&amp;"/"&amp;Tableau3[[#This Row],[ID-VOIE]]</f>
        <v>SDO0802/5</v>
      </c>
      <c r="AM207" s="77" t="str">
        <f>INDEX(Tableau2[Borne],MATCH(Tableau3[[#This Row],[ID-CARTEVOIE]],Tableau2[ID-CARTEVOIE],0))&amp;""</f>
        <v>5</v>
      </c>
      <c r="AN207" s="74" t="str">
        <f>Tableau3[[#This Row],[ID-API]]&amp;Tableau3[[#This Row],[ID-RACK]]&amp;Tableau3[[#This Row],[ID-SLOT]]&amp;Tableau3[[#This Row],[BORNE]]</f>
        <v>2135</v>
      </c>
      <c r="AO207" s="1"/>
    </row>
    <row r="208" spans="1:41" ht="20.100000000000001" customHeight="1" thickTop="1" thickBot="1">
      <c r="A208" s="68"/>
      <c r="B208" s="69" t="str">
        <f>IFERROR(INDEX(Tableau4[Date],MATCH($A208,Tableau4[EVO],0)),"")</f>
        <v/>
      </c>
      <c r="C208" s="68" t="str">
        <f>IFERROR(INDEX(Tableau4[Designation],MATCH($A208,Tableau4[EVO],0)),"")</f>
        <v/>
      </c>
      <c r="D208" s="68"/>
      <c r="E208" s="70">
        <v>1</v>
      </c>
      <c r="F208" s="71">
        <v>215</v>
      </c>
      <c r="G208" s="101" t="str">
        <f>INDEX(Tableau8[Att1],MATCH(Tableau3[[#This Row],[ID-INS]],Tableau8[ID],0))&amp;""</f>
        <v>V12</v>
      </c>
      <c r="H208" s="101" t="str">
        <f>INDEX(Tableau8[Att2],MATCH(Tableau3[[#This Row],[ID-INS]],Tableau8[ID],0))&amp;""</f>
        <v>P1</v>
      </c>
      <c r="I208" s="101" t="str">
        <f>INDEX(Tableau8[Att3],MATCH(Tableau3[[#This Row],[ID-INS]],Tableau8[ID],0))&amp;""</f>
        <v>Portail P1</v>
      </c>
      <c r="J208" s="101"/>
      <c r="K208" s="167" t="str">
        <f>INDEX(Tableau8[Nom du modele],MATCH(Tableau3[[#This Row],[ID-INS]],Tableau8[ID],0))&amp;""</f>
        <v>PortailR2V_1</v>
      </c>
      <c r="L208" s="99" t="str">
        <f>INDEX(Tableau5[Att1],MATCH(Tableau3[[#This Row],[ID-SIG]],Tableau5[ID],0))&amp;""</f>
        <v>Réserve</v>
      </c>
      <c r="M208" s="99" t="str">
        <f>INDEX(Tableau5[Att2],MATCH(Tableau3[[#This Row],[ID-SIG]],Tableau5[ID],0))&amp;""</f>
        <v/>
      </c>
      <c r="N208" s="99" t="str">
        <f>INDEX(Tableau5[Att3],MATCH(Tableau3[[#This Row],[ID-SIG]],Tableau5[ID],0))&amp;""</f>
        <v/>
      </c>
      <c r="O208" s="99"/>
      <c r="P208" s="99" t="str">
        <f>INDEX(Tableau5[Description],MATCH(Tableau3[[#This Row],[ID-SIG]],Tableau5[ID],0))</f>
        <v>Réserve</v>
      </c>
      <c r="Q208" s="99"/>
      <c r="R208" s="103" t="str">
        <f>Tableau3[[#This Row],[Description]]</f>
        <v>Réserve</v>
      </c>
      <c r="S208" s="86"/>
      <c r="U208" s="87">
        <v>2</v>
      </c>
      <c r="V208" s="87">
        <v>1</v>
      </c>
      <c r="W208" s="87">
        <v>3</v>
      </c>
      <c r="X208" s="87">
        <v>6</v>
      </c>
      <c r="Y208" s="41"/>
      <c r="Z208" s="165" t="str">
        <f>INDEX(Tableau2[TS],MATCH(Tableau3[[#This Row],[ID-CARTEVOIE]],Tableau2[ID-CARTEVOIE],0))</f>
        <v>ST</v>
      </c>
      <c r="AA208" s="53" t="s">
        <v>213</v>
      </c>
      <c r="AB208" s="223" t="str">
        <f>IFERROR(INDEX(Tableau5[Reserve],MATCH(Tableau3[[#This Row],[ID-SIG]],Tableau5[ID],0))&amp;"","")</f>
        <v/>
      </c>
      <c r="AC208" s="21"/>
      <c r="AD208" s="108" t="str">
        <f>INDEX(Tableau7[Repere],MATCH(Tableau3[[#This Row],[ID-API]],Tableau7[ID-API],0))&amp;""</f>
        <v>A2</v>
      </c>
      <c r="AE208" s="108" t="str">
        <f>INDEX(Tableau1[Repere-Rack],MATCH(Tableau3[[#This Row],[ID-RACK]],Tableau1[ID-RACK],0))&amp;""</f>
        <v>R1</v>
      </c>
      <c r="AF208" s="108" t="str">
        <f>INDEX(Tableau1[Repere-Slot],MATCH(Tableau3[[#This Row],[ID-SLOT]],Tableau1[ID-SLOT],0))&amp;""</f>
        <v>S3</v>
      </c>
      <c r="AG208" s="108" t="str">
        <f>INDEX(Tableau2[Repere-Voie],MATCH(Tableau3[[#This Row],[ID-VOIE]],Tableau2[ID-Voie],0))&amp;""</f>
        <v>v6</v>
      </c>
      <c r="AH208" s="72" t="str">
        <f>Tableau3[[#This Row],[ID-API]]&amp; "." &amp;Tableau3[[#This Row],[ID-RACK]]&amp; "." &amp;Tableau3[[#This Row],[ID-SLOT]]</f>
        <v>2.1.3</v>
      </c>
      <c r="AI208" s="72" t="str">
        <f>INDEX(Tableau1[Ref-Carte],MATCH(Tableau3[[#This Row],[ID-RRS]],Tableau1[ID-RRS],0))</f>
        <v>SDO0802</v>
      </c>
      <c r="AJ208" s="72" t="str">
        <f t="array" ref="AJ208">IFERROR(INDEX(Tableau2[TS],MATCH(1,(Tableau2[Ref-Carte]=Tableau3[[#This Row],[Ref-Carte2]])*(Tableau2[ID-Voie]=Tableau3[[#This Row],[ID-VOIE]]),0)),"")</f>
        <v>ST</v>
      </c>
      <c r="AK208" s="72" t="str">
        <f>IFERROR(INDEX(Tableau2[TS],SUMPRODUCT((Tableau2[Ref-Carte]=Tableau3[[#This Row],[Ref-Carte2]])*(Tableau2[ID-Voie]=Tableau3[[#This Row],[ID-VOIE]])*ROW(Tableau2[TS]))-ROW(Tableau2[#Headers])),"")</f>
        <v>ST</v>
      </c>
      <c r="AL208" s="72" t="str">
        <f>Tableau3[[#This Row],[Ref-Carte2]]&amp;"/"&amp;Tableau3[[#This Row],[ID-VOIE]]</f>
        <v>SDO0802/6</v>
      </c>
      <c r="AM208" s="73" t="str">
        <f>INDEX(Tableau2[Borne],MATCH(Tableau3[[#This Row],[ID-CARTEVOIE]],Tableau2[ID-CARTEVOIE],0))&amp;""</f>
        <v>6</v>
      </c>
      <c r="AN208" s="74" t="str">
        <f>Tableau3[[#This Row],[ID-API]]&amp;Tableau3[[#This Row],[ID-RACK]]&amp;Tableau3[[#This Row],[ID-SLOT]]&amp;Tableau3[[#This Row],[BORNE]]</f>
        <v>2136</v>
      </c>
      <c r="AO208" s="1"/>
    </row>
    <row r="209" spans="1:41" ht="20.100000000000001" customHeight="1" thickTop="1" thickBot="1">
      <c r="A209" s="68"/>
      <c r="B209" s="69" t="str">
        <f>IFERROR(INDEX(Tableau4[Date],MATCH($A209,Tableau4[EVO],0)),"")</f>
        <v/>
      </c>
      <c r="C209" s="68" t="str">
        <f>IFERROR(INDEX(Tableau4[Designation],MATCH($A209,Tableau4[EVO],0)),"")</f>
        <v/>
      </c>
      <c r="D209" s="68"/>
      <c r="E209" s="70">
        <v>1</v>
      </c>
      <c r="F209" s="71">
        <v>216</v>
      </c>
      <c r="G209" s="101" t="str">
        <f>INDEX(Tableau8[Att1],MATCH(Tableau3[[#This Row],[ID-INS]],Tableau8[ID],0))&amp;""</f>
        <v>V12</v>
      </c>
      <c r="H209" s="101" t="str">
        <f>INDEX(Tableau8[Att2],MATCH(Tableau3[[#This Row],[ID-INS]],Tableau8[ID],0))&amp;""</f>
        <v>P1</v>
      </c>
      <c r="I209" s="101" t="str">
        <f>INDEX(Tableau8[Att3],MATCH(Tableau3[[#This Row],[ID-INS]],Tableau8[ID],0))&amp;""</f>
        <v>Portail P1</v>
      </c>
      <c r="J209" s="101"/>
      <c r="K209" s="167" t="str">
        <f>INDEX(Tableau8[Nom du modele],MATCH(Tableau3[[#This Row],[ID-INS]],Tableau8[ID],0))&amp;""</f>
        <v>PortailR2V_1</v>
      </c>
      <c r="L209" s="99" t="str">
        <f>INDEX(Tableau5[Att1],MATCH(Tableau3[[#This Row],[ID-SIG]],Tableau5[ID],0))&amp;""</f>
        <v>V1_FerCmd1</v>
      </c>
      <c r="M209" s="99" t="str">
        <f>INDEX(Tableau5[Att2],MATCH(Tableau3[[#This Row],[ID-SIG]],Tableau5[ID],0))&amp;""</f>
        <v/>
      </c>
      <c r="N209" s="99" t="str">
        <f>INDEX(Tableau5[Att3],MATCH(Tableau3[[#This Row],[ID-SIG]],Tableau5[ID],0))&amp;""</f>
        <v/>
      </c>
      <c r="O209" s="99"/>
      <c r="P209" s="99" t="str">
        <f>INDEX(Tableau5[Description],MATCH(Tableau3[[#This Row],[ID-SIG]],Tableau5[ID],0))</f>
        <v>Commande 1 fermeture vantail 1</v>
      </c>
      <c r="Q209" s="99"/>
      <c r="R209" s="103" t="str">
        <f>Tableau3[[#This Row],[Description]]</f>
        <v>Commande 1 fermeture vantail 1</v>
      </c>
      <c r="S209" s="86"/>
      <c r="U209" s="87">
        <v>2</v>
      </c>
      <c r="V209" s="87">
        <v>1</v>
      </c>
      <c r="W209" s="87">
        <v>3</v>
      </c>
      <c r="X209" s="87">
        <v>7</v>
      </c>
      <c r="Y209" s="41"/>
      <c r="Z209" s="165" t="str">
        <f>INDEX(Tableau2[TS],MATCH(Tableau3[[#This Row],[ID-CARTEVOIE]],Tableau2[ID-CARTEVOIE],0))</f>
        <v>ST</v>
      </c>
      <c r="AA209" s="53" t="s">
        <v>213</v>
      </c>
      <c r="AB209" s="223" t="str">
        <f>IFERROR(INDEX(Tableau5[Reserve],MATCH(Tableau3[[#This Row],[ID-SIG]],Tableau5[ID],0))&amp;"","")</f>
        <v/>
      </c>
      <c r="AC209" s="21"/>
      <c r="AD209" s="108" t="str">
        <f>INDEX(Tableau7[Repere],MATCH(Tableau3[[#This Row],[ID-API]],Tableau7[ID-API],0))&amp;""</f>
        <v>A2</v>
      </c>
      <c r="AE209" s="108" t="str">
        <f>INDEX(Tableau1[Repere-Rack],MATCH(Tableau3[[#This Row],[ID-RACK]],Tableau1[ID-RACK],0))&amp;""</f>
        <v>R1</v>
      </c>
      <c r="AF209" s="108" t="str">
        <f>INDEX(Tableau1[Repere-Slot],MATCH(Tableau3[[#This Row],[ID-SLOT]],Tableau1[ID-SLOT],0))&amp;""</f>
        <v>S3</v>
      </c>
      <c r="AG209" s="108" t="str">
        <f>INDEX(Tableau2[Repere-Voie],MATCH(Tableau3[[#This Row],[ID-VOIE]],Tableau2[ID-Voie],0))&amp;""</f>
        <v>v7</v>
      </c>
      <c r="AH209" s="72" t="str">
        <f>Tableau3[[#This Row],[ID-API]]&amp; "." &amp;Tableau3[[#This Row],[ID-RACK]]&amp; "." &amp;Tableau3[[#This Row],[ID-SLOT]]</f>
        <v>2.1.3</v>
      </c>
      <c r="AI209" s="72" t="str">
        <f>INDEX(Tableau1[Ref-Carte],MATCH(Tableau3[[#This Row],[ID-RRS]],Tableau1[ID-RRS],0))</f>
        <v>SDO0802</v>
      </c>
      <c r="AJ209" s="72" t="str">
        <f t="array" ref="AJ209">IFERROR(INDEX(Tableau2[TS],MATCH(1,(Tableau2[Ref-Carte]=Tableau3[[#This Row],[Ref-Carte2]])*(Tableau2[ID-Voie]=Tableau3[[#This Row],[ID-VOIE]]),0)),"")</f>
        <v>ST</v>
      </c>
      <c r="AK209" s="72" t="str">
        <f>IFERROR(INDEX(Tableau2[TS],SUMPRODUCT((Tableau2[Ref-Carte]=Tableau3[[#This Row],[Ref-Carte2]])*(Tableau2[ID-Voie]=Tableau3[[#This Row],[ID-VOIE]])*ROW(Tableau2[TS]))-ROW(Tableau2[#Headers])),"")</f>
        <v>ST</v>
      </c>
      <c r="AL209" s="72" t="str">
        <f>Tableau3[[#This Row],[Ref-Carte2]]&amp;"/"&amp;Tableau3[[#This Row],[ID-VOIE]]</f>
        <v>SDO0802/7</v>
      </c>
      <c r="AM209" s="73" t="str">
        <f>INDEX(Tableau2[Borne],MATCH(Tableau3[[#This Row],[ID-CARTEVOIE]],Tableau2[ID-CARTEVOIE],0))&amp;""</f>
        <v>7</v>
      </c>
      <c r="AN209" s="74" t="str">
        <f>Tableau3[[#This Row],[ID-API]]&amp;Tableau3[[#This Row],[ID-RACK]]&amp;Tableau3[[#This Row],[ID-SLOT]]&amp;Tableau3[[#This Row],[BORNE]]</f>
        <v>2137</v>
      </c>
      <c r="AO209" s="1"/>
    </row>
    <row r="210" spans="1:41" ht="20.100000000000001" customHeight="1" thickTop="1" thickBot="1">
      <c r="A210" s="68"/>
      <c r="B210" s="69" t="str">
        <f>IFERROR(INDEX(Tableau4[Date],MATCH($A210,Tableau4[EVO],0)),"")</f>
        <v/>
      </c>
      <c r="C210" s="68" t="str">
        <f>IFERROR(INDEX(Tableau4[Designation],MATCH($A210,Tableau4[EVO],0)),"")</f>
        <v/>
      </c>
      <c r="D210" s="68"/>
      <c r="E210" s="70">
        <v>1</v>
      </c>
      <c r="F210" s="71">
        <v>224</v>
      </c>
      <c r="G210" s="101" t="str">
        <f>INDEX(Tableau8[Att1],MATCH(Tableau3[[#This Row],[ID-INS]],Tableau8[ID],0))&amp;""</f>
        <v>V12</v>
      </c>
      <c r="H210" s="101" t="str">
        <f>INDEX(Tableau8[Att2],MATCH(Tableau3[[#This Row],[ID-INS]],Tableau8[ID],0))&amp;""</f>
        <v>P1</v>
      </c>
      <c r="I210" s="101" t="str">
        <f>INDEX(Tableau8[Att3],MATCH(Tableau3[[#This Row],[ID-INS]],Tableau8[ID],0))&amp;""</f>
        <v>Portail P1</v>
      </c>
      <c r="J210" s="101"/>
      <c r="K210" s="167" t="str">
        <f>INDEX(Tableau8[Nom du modele],MATCH(Tableau3[[#This Row],[ID-INS]],Tableau8[ID],0))&amp;""</f>
        <v>PortailR2V_1</v>
      </c>
      <c r="L210" s="99" t="str">
        <f>INDEX(Tableau5[Att1],MATCH(Tableau3[[#This Row],[ID-SIG]],Tableau5[ID],0))&amp;""</f>
        <v>V2_GrpHydCmd2</v>
      </c>
      <c r="M210" s="99" t="str">
        <f>INDEX(Tableau5[Att2],MATCH(Tableau3[[#This Row],[ID-SIG]],Tableau5[ID],0))&amp;""</f>
        <v/>
      </c>
      <c r="N210" s="99" t="str">
        <f>INDEX(Tableau5[Att3],MATCH(Tableau3[[#This Row],[ID-SIG]],Tableau5[ID],0))&amp;""</f>
        <v/>
      </c>
      <c r="O210" s="99"/>
      <c r="P210" s="99" t="str">
        <f>INDEX(Tableau5[Description],MATCH(Tableau3[[#This Row],[ID-SIG]],Tableau5[ID],0))</f>
        <v>Commande 2 marche groupe hydraulique vantail 2</v>
      </c>
      <c r="Q210" s="99"/>
      <c r="R210" s="103" t="str">
        <f>Tableau3[[#This Row],[Description]]</f>
        <v>Commande 2 marche groupe hydraulique vantail 2</v>
      </c>
      <c r="S210" s="86"/>
      <c r="U210" s="87">
        <v>2</v>
      </c>
      <c r="V210" s="87">
        <v>1</v>
      </c>
      <c r="W210" s="87">
        <v>4</v>
      </c>
      <c r="X210" s="87">
        <v>0</v>
      </c>
      <c r="Y210" s="41"/>
      <c r="Z210" s="165" t="str">
        <f>INDEX(Tableau2[TS],MATCH(Tableau3[[#This Row],[ID-CARTEVOIE]],Tableau2[ID-CARTEVOIE],0))</f>
        <v>ST</v>
      </c>
      <c r="AA210" s="53" t="s">
        <v>213</v>
      </c>
      <c r="AB210" s="223" t="str">
        <f>IFERROR(INDEX(Tableau5[Reserve],MATCH(Tableau3[[#This Row],[ID-SIG]],Tableau5[ID],0))&amp;"","")</f>
        <v/>
      </c>
      <c r="AC210" s="21"/>
      <c r="AD210" s="108" t="str">
        <f>INDEX(Tableau7[Repere],MATCH(Tableau3[[#This Row],[ID-API]],Tableau7[ID-API],0))&amp;""</f>
        <v>A2</v>
      </c>
      <c r="AE210" s="108" t="str">
        <f>INDEX(Tableau1[Repere-Rack],MATCH(Tableau3[[#This Row],[ID-RACK]],Tableau1[ID-RACK],0))&amp;""</f>
        <v>R1</v>
      </c>
      <c r="AF210" s="108" t="str">
        <f>INDEX(Tableau1[Repere-Slot],MATCH(Tableau3[[#This Row],[ID-SLOT]],Tableau1[ID-SLOT],0))&amp;""</f>
        <v>S4</v>
      </c>
      <c r="AG210" s="108" t="str">
        <f>INDEX(Tableau2[Repere-Voie],MATCH(Tableau3[[#This Row],[ID-VOIE]],Tableau2[ID-Voie],0))&amp;""</f>
        <v>v0</v>
      </c>
      <c r="AH210" s="72" t="str">
        <f>Tableau3[[#This Row],[ID-API]]&amp; "." &amp;Tableau3[[#This Row],[ID-RACK]]&amp; "." &amp;Tableau3[[#This Row],[ID-SLOT]]</f>
        <v>2.1.4</v>
      </c>
      <c r="AI210" s="72" t="str">
        <f>INDEX(Tableau1[Ref-Carte],MATCH(Tableau3[[#This Row],[ID-RRS]],Tableau1[ID-RRS],0))</f>
        <v>SDO0802</v>
      </c>
      <c r="AJ210" s="72" t="str">
        <f t="array" ref="AJ210">IFERROR(INDEX(Tableau2[TS],MATCH(1,(Tableau2[Ref-Carte]=Tableau3[[#This Row],[Ref-Carte2]])*(Tableau2[ID-Voie]=Tableau3[[#This Row],[ID-VOIE]]),0)),"")</f>
        <v>ST</v>
      </c>
      <c r="AK210" s="72" t="str">
        <f>IFERROR(INDEX(Tableau2[TS],SUMPRODUCT((Tableau2[Ref-Carte]=Tableau3[[#This Row],[Ref-Carte2]])*(Tableau2[ID-Voie]=Tableau3[[#This Row],[ID-VOIE]])*ROW(Tableau2[TS]))-ROW(Tableau2[#Headers])),"")</f>
        <v>ST</v>
      </c>
      <c r="AL210" s="72" t="str">
        <f>Tableau3[[#This Row],[Ref-Carte2]]&amp;"/"&amp;Tableau3[[#This Row],[ID-VOIE]]</f>
        <v>SDO0802/0</v>
      </c>
      <c r="AM210" s="73" t="str">
        <f>INDEX(Tableau2[Borne],MATCH(Tableau3[[#This Row],[ID-CARTEVOIE]],Tableau2[ID-CARTEVOIE],0))&amp;""</f>
        <v>0</v>
      </c>
      <c r="AN210" s="74" t="str">
        <f>Tableau3[[#This Row],[ID-API]]&amp;Tableau3[[#This Row],[ID-RACK]]&amp;Tableau3[[#This Row],[ID-SLOT]]&amp;Tableau3[[#This Row],[BORNE]]</f>
        <v>2140</v>
      </c>
      <c r="AO210" s="1"/>
    </row>
    <row r="211" spans="1:41" ht="20.100000000000001" customHeight="1" thickTop="1" thickBot="1">
      <c r="A211" s="68"/>
      <c r="B211" s="69" t="str">
        <f>IFERROR(INDEX(Tableau4[Date],MATCH($A211,Tableau4[EVO],0)),"")</f>
        <v/>
      </c>
      <c r="C211" s="68" t="str">
        <f>IFERROR(INDEX(Tableau4[Designation],MATCH($A211,Tableau4[EVO],0)),"")</f>
        <v/>
      </c>
      <c r="D211" s="68"/>
      <c r="E211" s="70">
        <v>1</v>
      </c>
      <c r="F211" s="71">
        <v>225</v>
      </c>
      <c r="G211" s="101" t="str">
        <f>INDEX(Tableau8[Att1],MATCH(Tableau3[[#This Row],[ID-INS]],Tableau8[ID],0))&amp;""</f>
        <v>V12</v>
      </c>
      <c r="H211" s="101" t="str">
        <f>INDEX(Tableau8[Att2],MATCH(Tableau3[[#This Row],[ID-INS]],Tableau8[ID],0))&amp;""</f>
        <v>P1</v>
      </c>
      <c r="I211" s="101" t="str">
        <f>INDEX(Tableau8[Att3],MATCH(Tableau3[[#This Row],[ID-INS]],Tableau8[ID],0))&amp;""</f>
        <v>Portail P1</v>
      </c>
      <c r="J211" s="101"/>
      <c r="K211" s="167" t="str">
        <f>INDEX(Tableau8[Nom du modele],MATCH(Tableau3[[#This Row],[ID-INS]],Tableau8[ID],0))&amp;""</f>
        <v>PortailR2V_1</v>
      </c>
      <c r="L211" s="99" t="str">
        <f>INDEX(Tableau5[Att1],MATCH(Tableau3[[#This Row],[ID-SIG]],Tableau5[ID],0))&amp;""</f>
        <v>V2_FerCmd2</v>
      </c>
      <c r="M211" s="99" t="str">
        <f>INDEX(Tableau5[Att2],MATCH(Tableau3[[#This Row],[ID-SIG]],Tableau5[ID],0))&amp;""</f>
        <v/>
      </c>
      <c r="N211" s="99" t="str">
        <f>INDEX(Tableau5[Att3],MATCH(Tableau3[[#This Row],[ID-SIG]],Tableau5[ID],0))&amp;""</f>
        <v/>
      </c>
      <c r="O211" s="99"/>
      <c r="P211" s="99" t="str">
        <f>INDEX(Tableau5[Description],MATCH(Tableau3[[#This Row],[ID-SIG]],Tableau5[ID],0))</f>
        <v>Commande 2 fermeture vantail 2</v>
      </c>
      <c r="Q211" s="99"/>
      <c r="R211" s="103" t="str">
        <f>Tableau3[[#This Row],[Description]]</f>
        <v>Commande 2 fermeture vantail 2</v>
      </c>
      <c r="S211" s="86"/>
      <c r="U211" s="87">
        <v>2</v>
      </c>
      <c r="V211" s="87">
        <v>1</v>
      </c>
      <c r="W211" s="87">
        <v>4</v>
      </c>
      <c r="X211" s="87">
        <v>1</v>
      </c>
      <c r="Y211" s="41"/>
      <c r="Z211" s="165" t="str">
        <f>INDEX(Tableau2[TS],MATCH(Tableau3[[#This Row],[ID-CARTEVOIE]],Tableau2[ID-CARTEVOIE],0))</f>
        <v>ST</v>
      </c>
      <c r="AA211" s="53" t="s">
        <v>213</v>
      </c>
      <c r="AB211" s="223" t="str">
        <f>IFERROR(INDEX(Tableau5[Reserve],MATCH(Tableau3[[#This Row],[ID-SIG]],Tableau5[ID],0))&amp;"","")</f>
        <v/>
      </c>
      <c r="AC211" s="21"/>
      <c r="AD211" s="108" t="str">
        <f>INDEX(Tableau7[Repere],MATCH(Tableau3[[#This Row],[ID-API]],Tableau7[ID-API],0))&amp;""</f>
        <v>A2</v>
      </c>
      <c r="AE211" s="108" t="str">
        <f>INDEX(Tableau1[Repere-Rack],MATCH(Tableau3[[#This Row],[ID-RACK]],Tableau1[ID-RACK],0))&amp;""</f>
        <v>R1</v>
      </c>
      <c r="AF211" s="108" t="str">
        <f>INDEX(Tableau1[Repere-Slot],MATCH(Tableau3[[#This Row],[ID-SLOT]],Tableau1[ID-SLOT],0))&amp;""</f>
        <v>S4</v>
      </c>
      <c r="AG211" s="108" t="str">
        <f>INDEX(Tableau2[Repere-Voie],MATCH(Tableau3[[#This Row],[ID-VOIE]],Tableau2[ID-Voie],0))&amp;""</f>
        <v>v1</v>
      </c>
      <c r="AH211" s="72" t="str">
        <f>Tableau3[[#This Row],[ID-API]]&amp; "." &amp;Tableau3[[#This Row],[ID-RACK]]&amp; "." &amp;Tableau3[[#This Row],[ID-SLOT]]</f>
        <v>2.1.4</v>
      </c>
      <c r="AI211" s="72" t="str">
        <f>INDEX(Tableau1[Ref-Carte],MATCH(Tableau3[[#This Row],[ID-RRS]],Tableau1[ID-RRS],0))</f>
        <v>SDO0802</v>
      </c>
      <c r="AJ211" s="72" t="str">
        <f t="array" ref="AJ211">IFERROR(INDEX(Tableau2[TS],MATCH(1,(Tableau2[Ref-Carte]=Tableau3[[#This Row],[Ref-Carte2]])*(Tableau2[ID-Voie]=Tableau3[[#This Row],[ID-VOIE]]),0)),"")</f>
        <v>ST</v>
      </c>
      <c r="AK211" s="72" t="str">
        <f>IFERROR(INDEX(Tableau2[TS],SUMPRODUCT((Tableau2[Ref-Carte]=Tableau3[[#This Row],[Ref-Carte2]])*(Tableau2[ID-Voie]=Tableau3[[#This Row],[ID-VOIE]])*ROW(Tableau2[TS]))-ROW(Tableau2[#Headers])),"")</f>
        <v>ST</v>
      </c>
      <c r="AL211" s="72" t="str">
        <f>Tableau3[[#This Row],[Ref-Carte2]]&amp;"/"&amp;Tableau3[[#This Row],[ID-VOIE]]</f>
        <v>SDO0802/1</v>
      </c>
      <c r="AM211" s="73" t="str">
        <f>INDEX(Tableau2[Borne],MATCH(Tableau3[[#This Row],[ID-CARTEVOIE]],Tableau2[ID-CARTEVOIE],0))&amp;""</f>
        <v>1</v>
      </c>
      <c r="AN211" s="74" t="str">
        <f>Tableau3[[#This Row],[ID-API]]&amp;Tableau3[[#This Row],[ID-RACK]]&amp;Tableau3[[#This Row],[ID-SLOT]]&amp;Tableau3[[#This Row],[BORNE]]</f>
        <v>2141</v>
      </c>
      <c r="AO211" s="1"/>
    </row>
    <row r="212" spans="1:41" ht="20.100000000000001" customHeight="1" thickTop="1" thickBot="1">
      <c r="A212" s="134"/>
      <c r="B212" s="135" t="str">
        <f>IFERROR(INDEX(Tableau4[Date],MATCH($A212,Tableau4[EVO],0)),"")</f>
        <v/>
      </c>
      <c r="C212" s="136" t="str">
        <f>IFERROR(INDEX(Tableau4[Designation],MATCH($A212,Tableau4[EVO],0)),"")</f>
        <v/>
      </c>
      <c r="D212" s="134"/>
      <c r="E212" s="137">
        <v>4</v>
      </c>
      <c r="F212" s="138">
        <v>273</v>
      </c>
      <c r="G212" s="139" t="str">
        <f>INDEX(Tableau8[Att1],MATCH(Tableau3[[#This Row],[ID-INS]],Tableau8[ID],0))&amp;""</f>
        <v>V1</v>
      </c>
      <c r="H212" s="139" t="str">
        <f>INDEX(Tableau8[Att2],MATCH(Tableau3[[#This Row],[ID-INS]],Tableau8[ID],0))&amp;""</f>
        <v>P4</v>
      </c>
      <c r="I212" s="139" t="str">
        <f>INDEX(Tableau8[Att3],MATCH(Tableau3[[#This Row],[ID-INS]],Tableau8[ID],0))&amp;""</f>
        <v>Portail P4</v>
      </c>
      <c r="J212" s="101"/>
      <c r="K212" s="167" t="str">
        <f>INDEX(Tableau8[Nom du modele],MATCH(Tableau3[[#This Row],[ID-INS]],Tableau8[ID],0))&amp;""</f>
        <v>PortailBleuHydr_1</v>
      </c>
      <c r="L212" s="141" t="str">
        <f>INDEX(Tableau5[Att1],MATCH(Tableau3[[#This Row],[ID-SIG]],Tableau5[ID],0))&amp;""</f>
        <v>Vx_GrpHydCmd1</v>
      </c>
      <c r="M212" s="141" t="str">
        <f>INDEX(Tableau5[Att2],MATCH(Tableau3[[#This Row],[ID-SIG]],Tableau5[ID],0))&amp;""</f>
        <v/>
      </c>
      <c r="N212" s="141" t="str">
        <f>INDEX(Tableau5[Att3],MATCH(Tableau3[[#This Row],[ID-SIG]],Tableau5[ID],0))&amp;""</f>
        <v/>
      </c>
      <c r="O212" s="99"/>
      <c r="P212" s="141" t="str">
        <f>INDEX(Tableau5[Description],MATCH(Tableau3[[#This Row],[ID-SIG]],Tableau5[ID],0))</f>
        <v>Commande 1 groupe hydraulique</v>
      </c>
      <c r="Q212" s="99"/>
      <c r="R212" s="142" t="str">
        <f>Tableau3[[#This Row],[Description]]</f>
        <v>Commande 1 groupe hydraulique</v>
      </c>
      <c r="S212" s="52"/>
      <c r="U212" s="87">
        <v>2</v>
      </c>
      <c r="V212" s="87">
        <v>1</v>
      </c>
      <c r="W212" s="87">
        <v>4</v>
      </c>
      <c r="X212" s="87">
        <v>2</v>
      </c>
      <c r="Y212" s="41"/>
      <c r="Z212" s="165" t="str">
        <f>INDEX(Tableau2[TS],MATCH(Tableau3[[#This Row],[ID-CARTEVOIE]],Tableau2[ID-CARTEVOIE],0))</f>
        <v>ST</v>
      </c>
      <c r="AA212" s="144" t="s">
        <v>213</v>
      </c>
      <c r="AB212" s="224" t="str">
        <f>IFERROR(INDEX(Tableau5[Reserve],MATCH(Tableau3[[#This Row],[ID-SIG]],Tableau5[ID],0))&amp;"","")</f>
        <v/>
      </c>
      <c r="AC212" s="119"/>
      <c r="AD212" s="120" t="str">
        <f>INDEX(Tableau7[Repere],MATCH(Tableau3[[#This Row],[ID-API]],Tableau7[ID-API],0))&amp;""</f>
        <v>A2</v>
      </c>
      <c r="AE212" s="120" t="str">
        <f>INDEX(Tableau1[Repere-Rack],MATCH(Tableau3[[#This Row],[ID-RACK]],Tableau1[ID-RACK],0))&amp;""</f>
        <v>R1</v>
      </c>
      <c r="AF212" s="120" t="str">
        <f>INDEX(Tableau1[Repere-Slot],MATCH(Tableau3[[#This Row],[ID-SLOT]],Tableau1[ID-SLOT],0))&amp;""</f>
        <v>S4</v>
      </c>
      <c r="AG212" s="120" t="str">
        <f>INDEX(Tableau2[Repere-Voie],MATCH(Tableau3[[#This Row],[ID-VOIE]],Tableau2[ID-Voie],0))&amp;""</f>
        <v>v2</v>
      </c>
      <c r="AH212" s="122" t="str">
        <f>Tableau3[[#This Row],[ID-API]]&amp; "." &amp;Tableau3[[#This Row],[ID-RACK]]&amp; "." &amp;Tableau3[[#This Row],[ID-SLOT]]</f>
        <v>2.1.4</v>
      </c>
      <c r="AI212" s="72" t="str">
        <f>INDEX(Tableau1[Ref-Carte],MATCH(Tableau3[[#This Row],[ID-RRS]],Tableau1[ID-RRS],0))</f>
        <v>SDO0802</v>
      </c>
      <c r="AJ212" s="72" t="str">
        <f t="array" ref="AJ212">IFERROR(INDEX(Tableau2[TS],MATCH(1,(Tableau2[Ref-Carte]=Tableau3[[#This Row],[Ref-Carte2]])*(Tableau2[ID-Voie]=Tableau3[[#This Row],[ID-VOIE]]),0)),"")</f>
        <v>ST</v>
      </c>
      <c r="AK212" s="72" t="str">
        <f>IFERROR(INDEX(Tableau2[TS],SUMPRODUCT((Tableau2[Ref-Carte]=Tableau3[[#This Row],[Ref-Carte2]])*(Tableau2[ID-Voie]=Tableau3[[#This Row],[ID-VOIE]])*ROW(Tableau2[TS]))-ROW(Tableau2[#Headers])),"")</f>
        <v>ST</v>
      </c>
      <c r="AL212" s="122" t="str">
        <f>Tableau3[[#This Row],[Ref-Carte2]]&amp;"/"&amp;Tableau3[[#This Row],[ID-VOIE]]</f>
        <v>SDO0802/2</v>
      </c>
      <c r="AM212" s="145" t="str">
        <f>INDEX(Tableau2[Borne],MATCH(Tableau3[[#This Row],[ID-CARTEVOIE]],Tableau2[ID-CARTEVOIE],0))&amp;""</f>
        <v>2</v>
      </c>
      <c r="AN212" s="124" t="str">
        <f>Tableau3[[#This Row],[ID-API]]&amp;Tableau3[[#This Row],[ID-RACK]]&amp;Tableau3[[#This Row],[ID-SLOT]]&amp;Tableau3[[#This Row],[BORNE]]</f>
        <v>2142</v>
      </c>
      <c r="AO212" s="125"/>
    </row>
    <row r="213" spans="1:41" ht="20.100000000000001" customHeight="1" thickTop="1" thickBot="1">
      <c r="A213" s="134"/>
      <c r="B213" s="135" t="str">
        <f>IFERROR(INDEX(Tableau4[Date],MATCH($A213,Tableau4[EVO],0)),"")</f>
        <v/>
      </c>
      <c r="C213" s="136" t="str">
        <f>IFERROR(INDEX(Tableau4[Designation],MATCH($A213,Tableau4[EVO],0)),"")</f>
        <v/>
      </c>
      <c r="D213" s="134"/>
      <c r="E213" s="137">
        <v>4</v>
      </c>
      <c r="F213" s="138">
        <v>274</v>
      </c>
      <c r="G213" s="139" t="str">
        <f>INDEX(Tableau8[Att1],MATCH(Tableau3[[#This Row],[ID-INS]],Tableau8[ID],0))&amp;""</f>
        <v>V1</v>
      </c>
      <c r="H213" s="139" t="str">
        <f>INDEX(Tableau8[Att2],MATCH(Tableau3[[#This Row],[ID-INS]],Tableau8[ID],0))&amp;""</f>
        <v>P4</v>
      </c>
      <c r="I213" s="139" t="str">
        <f>INDEX(Tableau8[Att3],MATCH(Tableau3[[#This Row],[ID-INS]],Tableau8[ID],0))&amp;""</f>
        <v>Portail P4</v>
      </c>
      <c r="J213" s="101"/>
      <c r="K213" s="167" t="str">
        <f>INDEX(Tableau8[Nom du modele],MATCH(Tableau3[[#This Row],[ID-INS]],Tableau8[ID],0))&amp;""</f>
        <v>PortailBleuHydr_1</v>
      </c>
      <c r="L213" s="141" t="str">
        <f>INDEX(Tableau5[Att1],MATCH(Tableau3[[#This Row],[ID-SIG]],Tableau5[ID],0))&amp;""</f>
        <v>Vx_OuvCmd</v>
      </c>
      <c r="M213" s="141" t="str">
        <f>INDEX(Tableau5[Att2],MATCH(Tableau3[[#This Row],[ID-SIG]],Tableau5[ID],0))&amp;""</f>
        <v/>
      </c>
      <c r="N213" s="141" t="str">
        <f>INDEX(Tableau5[Att3],MATCH(Tableau3[[#This Row],[ID-SIG]],Tableau5[ID],0))&amp;""</f>
        <v/>
      </c>
      <c r="O213" s="99"/>
      <c r="P213" s="141" t="str">
        <f>INDEX(Tableau5[Description],MATCH(Tableau3[[#This Row],[ID-SIG]],Tableau5[ID],0))</f>
        <v xml:space="preserve">Commande ouverture </v>
      </c>
      <c r="Q213" s="99"/>
      <c r="R213" s="142" t="str">
        <f>Tableau3[[#This Row],[Description]]</f>
        <v xml:space="preserve">Commande ouverture </v>
      </c>
      <c r="S213" s="52"/>
      <c r="U213" s="87">
        <v>2</v>
      </c>
      <c r="V213" s="87">
        <v>1</v>
      </c>
      <c r="W213" s="87">
        <v>4</v>
      </c>
      <c r="X213" s="87">
        <v>3</v>
      </c>
      <c r="Y213" s="41"/>
      <c r="Z213" s="165" t="str">
        <f>INDEX(Tableau2[TS],MATCH(Tableau3[[#This Row],[ID-CARTEVOIE]],Tableau2[ID-CARTEVOIE],0))</f>
        <v>ST</v>
      </c>
      <c r="AA213" s="144" t="s">
        <v>213</v>
      </c>
      <c r="AB213" s="224" t="str">
        <f>IFERROR(INDEX(Tableau5[Reserve],MATCH(Tableau3[[#This Row],[ID-SIG]],Tableau5[ID],0))&amp;"","")</f>
        <v/>
      </c>
      <c r="AC213" s="119"/>
      <c r="AD213" s="120" t="str">
        <f>INDEX(Tableau7[Repere],MATCH(Tableau3[[#This Row],[ID-API]],Tableau7[ID-API],0))&amp;""</f>
        <v>A2</v>
      </c>
      <c r="AE213" s="120" t="str">
        <f>INDEX(Tableau1[Repere-Rack],MATCH(Tableau3[[#This Row],[ID-RACK]],Tableau1[ID-RACK],0))&amp;""</f>
        <v>R1</v>
      </c>
      <c r="AF213" s="120" t="str">
        <f>INDEX(Tableau1[Repere-Slot],MATCH(Tableau3[[#This Row],[ID-SLOT]],Tableau1[ID-SLOT],0))&amp;""</f>
        <v>S4</v>
      </c>
      <c r="AG213" s="120" t="str">
        <f>INDEX(Tableau2[Repere-Voie],MATCH(Tableau3[[#This Row],[ID-VOIE]],Tableau2[ID-Voie],0))&amp;""</f>
        <v>v3</v>
      </c>
      <c r="AH213" s="122" t="str">
        <f>Tableau3[[#This Row],[ID-API]]&amp; "." &amp;Tableau3[[#This Row],[ID-RACK]]&amp; "." &amp;Tableau3[[#This Row],[ID-SLOT]]</f>
        <v>2.1.4</v>
      </c>
      <c r="AI213" s="72" t="str">
        <f>INDEX(Tableau1[Ref-Carte],MATCH(Tableau3[[#This Row],[ID-RRS]],Tableau1[ID-RRS],0))</f>
        <v>SDO0802</v>
      </c>
      <c r="AJ213" s="72" t="str">
        <f t="array" ref="AJ213">IFERROR(INDEX(Tableau2[TS],MATCH(1,(Tableau2[Ref-Carte]=Tableau3[[#This Row],[Ref-Carte2]])*(Tableau2[ID-Voie]=Tableau3[[#This Row],[ID-VOIE]]),0)),"")</f>
        <v>ST</v>
      </c>
      <c r="AK213" s="72" t="str">
        <f>IFERROR(INDEX(Tableau2[TS],SUMPRODUCT((Tableau2[Ref-Carte]=Tableau3[[#This Row],[Ref-Carte2]])*(Tableau2[ID-Voie]=Tableau3[[#This Row],[ID-VOIE]])*ROW(Tableau2[TS]))-ROW(Tableau2[#Headers])),"")</f>
        <v>ST</v>
      </c>
      <c r="AL213" s="122" t="str">
        <f>Tableau3[[#This Row],[Ref-Carte2]]&amp;"/"&amp;Tableau3[[#This Row],[ID-VOIE]]</f>
        <v>SDO0802/3</v>
      </c>
      <c r="AM213" s="145" t="str">
        <f>INDEX(Tableau2[Borne],MATCH(Tableau3[[#This Row],[ID-CARTEVOIE]],Tableau2[ID-CARTEVOIE],0))&amp;""</f>
        <v>3</v>
      </c>
      <c r="AN213" s="124" t="str">
        <f>Tableau3[[#This Row],[ID-API]]&amp;Tableau3[[#This Row],[ID-RACK]]&amp;Tableau3[[#This Row],[ID-SLOT]]&amp;Tableau3[[#This Row],[BORNE]]</f>
        <v>2143</v>
      </c>
      <c r="AO213" s="125"/>
    </row>
    <row r="214" spans="1:41" ht="20.100000000000001" customHeight="1" thickTop="1" thickBot="1">
      <c r="A214" s="134"/>
      <c r="B214" s="135" t="str">
        <f>IFERROR(INDEX(Tableau4[Date],MATCH($A214,Tableau4[EVO],0)),"")</f>
        <v/>
      </c>
      <c r="C214" s="136" t="str">
        <f>IFERROR(INDEX(Tableau4[Designation],MATCH($A214,Tableau4[EVO],0)),"")</f>
        <v/>
      </c>
      <c r="D214" s="134"/>
      <c r="E214" s="137">
        <v>4</v>
      </c>
      <c r="F214" s="138">
        <v>275</v>
      </c>
      <c r="G214" s="139" t="str">
        <f>INDEX(Tableau8[Att1],MATCH(Tableau3[[#This Row],[ID-INS]],Tableau8[ID],0))&amp;""</f>
        <v>V1</v>
      </c>
      <c r="H214" s="139" t="str">
        <f>INDEX(Tableau8[Att2],MATCH(Tableau3[[#This Row],[ID-INS]],Tableau8[ID],0))&amp;""</f>
        <v>P4</v>
      </c>
      <c r="I214" s="139" t="str">
        <f>INDEX(Tableau8[Att3],MATCH(Tableau3[[#This Row],[ID-INS]],Tableau8[ID],0))&amp;""</f>
        <v>Portail P4</v>
      </c>
      <c r="J214" s="101"/>
      <c r="K214" s="167" t="str">
        <f>INDEX(Tableau8[Nom du modele],MATCH(Tableau3[[#This Row],[ID-INS]],Tableau8[ID],0))&amp;""</f>
        <v>PortailBleuHydr_1</v>
      </c>
      <c r="L214" s="141" t="str">
        <f>INDEX(Tableau5[Att1],MATCH(Tableau3[[#This Row],[ID-SIG]],Tableau5[ID],0))&amp;""</f>
        <v>Vx_FerCmd1</v>
      </c>
      <c r="M214" s="141" t="str">
        <f>INDEX(Tableau5[Att2],MATCH(Tableau3[[#This Row],[ID-SIG]],Tableau5[ID],0))&amp;""</f>
        <v/>
      </c>
      <c r="N214" s="141" t="str">
        <f>INDEX(Tableau5[Att3],MATCH(Tableau3[[#This Row],[ID-SIG]],Tableau5[ID],0))&amp;""</f>
        <v/>
      </c>
      <c r="O214" s="99"/>
      <c r="P214" s="141" t="str">
        <f>INDEX(Tableau5[Description],MATCH(Tableau3[[#This Row],[ID-SIG]],Tableau5[ID],0))</f>
        <v>Commande 1 fermeture</v>
      </c>
      <c r="Q214" s="99"/>
      <c r="R214" s="142" t="str">
        <f>Tableau3[[#This Row],[Description]]</f>
        <v>Commande 1 fermeture</v>
      </c>
      <c r="S214" s="52"/>
      <c r="U214" s="87">
        <v>2</v>
      </c>
      <c r="V214" s="87">
        <v>1</v>
      </c>
      <c r="W214" s="87">
        <v>4</v>
      </c>
      <c r="X214" s="87">
        <v>4</v>
      </c>
      <c r="Y214" s="41"/>
      <c r="Z214" s="165" t="str">
        <f>INDEX(Tableau2[TS],MATCH(Tableau3[[#This Row],[ID-CARTEVOIE]],Tableau2[ID-CARTEVOIE],0))</f>
        <v>ST</v>
      </c>
      <c r="AA214" s="144" t="s">
        <v>213</v>
      </c>
      <c r="AB214" s="224" t="str">
        <f>IFERROR(INDEX(Tableau5[Reserve],MATCH(Tableau3[[#This Row],[ID-SIG]],Tableau5[ID],0))&amp;"","")</f>
        <v/>
      </c>
      <c r="AC214" s="119"/>
      <c r="AD214" s="120" t="str">
        <f>INDEX(Tableau7[Repere],MATCH(Tableau3[[#This Row],[ID-API]],Tableau7[ID-API],0))&amp;""</f>
        <v>A2</v>
      </c>
      <c r="AE214" s="120" t="str">
        <f>INDEX(Tableau1[Repere-Rack],MATCH(Tableau3[[#This Row],[ID-RACK]],Tableau1[ID-RACK],0))&amp;""</f>
        <v>R1</v>
      </c>
      <c r="AF214" s="120" t="str">
        <f>INDEX(Tableau1[Repere-Slot],MATCH(Tableau3[[#This Row],[ID-SLOT]],Tableau1[ID-SLOT],0))&amp;""</f>
        <v>S4</v>
      </c>
      <c r="AG214" s="120" t="str">
        <f>INDEX(Tableau2[Repere-Voie],MATCH(Tableau3[[#This Row],[ID-VOIE]],Tableau2[ID-Voie],0))&amp;""</f>
        <v>v4</v>
      </c>
      <c r="AH214" s="122" t="str">
        <f>Tableau3[[#This Row],[ID-API]]&amp; "." &amp;Tableau3[[#This Row],[ID-RACK]]&amp; "." &amp;Tableau3[[#This Row],[ID-SLOT]]</f>
        <v>2.1.4</v>
      </c>
      <c r="AI214" s="72" t="str">
        <f>INDEX(Tableau1[Ref-Carte],MATCH(Tableau3[[#This Row],[ID-RRS]],Tableau1[ID-RRS],0))</f>
        <v>SDO0802</v>
      </c>
      <c r="AJ214" s="72" t="str">
        <f t="array" ref="AJ214">IFERROR(INDEX(Tableau2[TS],MATCH(1,(Tableau2[Ref-Carte]=Tableau3[[#This Row],[Ref-Carte2]])*(Tableau2[ID-Voie]=Tableau3[[#This Row],[ID-VOIE]]),0)),"")</f>
        <v>ST</v>
      </c>
      <c r="AK214" s="72" t="str">
        <f>IFERROR(INDEX(Tableau2[TS],SUMPRODUCT((Tableau2[Ref-Carte]=Tableau3[[#This Row],[Ref-Carte2]])*(Tableau2[ID-Voie]=Tableau3[[#This Row],[ID-VOIE]])*ROW(Tableau2[TS]))-ROW(Tableau2[#Headers])),"")</f>
        <v>ST</v>
      </c>
      <c r="AL214" s="122" t="str">
        <f>Tableau3[[#This Row],[Ref-Carte2]]&amp;"/"&amp;Tableau3[[#This Row],[ID-VOIE]]</f>
        <v>SDO0802/4</v>
      </c>
      <c r="AM214" s="145" t="str">
        <f>INDEX(Tableau2[Borne],MATCH(Tableau3[[#This Row],[ID-CARTEVOIE]],Tableau2[ID-CARTEVOIE],0))&amp;""</f>
        <v>4</v>
      </c>
      <c r="AN214" s="124" t="str">
        <f>Tableau3[[#This Row],[ID-API]]&amp;Tableau3[[#This Row],[ID-RACK]]&amp;Tableau3[[#This Row],[ID-SLOT]]&amp;Tableau3[[#This Row],[BORNE]]</f>
        <v>2144</v>
      </c>
      <c r="AO214" s="125"/>
    </row>
    <row r="215" spans="1:41" ht="20.100000000000001" customHeight="1" thickTop="1" thickBot="1">
      <c r="A215" s="134"/>
      <c r="B215" s="135" t="str">
        <f>IFERROR(INDEX(Tableau4[Date],MATCH($A215,Tableau4[EVO],0)),"")</f>
        <v/>
      </c>
      <c r="C215" s="136" t="str">
        <f>IFERROR(INDEX(Tableau4[Designation],MATCH($A215,Tableau4[EVO],0)),"")</f>
        <v/>
      </c>
      <c r="D215" s="134"/>
      <c r="E215" s="137">
        <v>4</v>
      </c>
      <c r="F215" s="138">
        <v>276</v>
      </c>
      <c r="G215" s="139" t="str">
        <f>INDEX(Tableau8[Att1],MATCH(Tableau3[[#This Row],[ID-INS]],Tableau8[ID],0))&amp;""</f>
        <v>V1</v>
      </c>
      <c r="H215" s="139" t="str">
        <f>INDEX(Tableau8[Att2],MATCH(Tableau3[[#This Row],[ID-INS]],Tableau8[ID],0))&amp;""</f>
        <v>P4</v>
      </c>
      <c r="I215" s="139" t="str">
        <f>INDEX(Tableau8[Att3],MATCH(Tableau3[[#This Row],[ID-INS]],Tableau8[ID],0))&amp;""</f>
        <v>Portail P4</v>
      </c>
      <c r="J215" s="101"/>
      <c r="K215" s="167" t="str">
        <f>INDEX(Tableau8[Nom du modele],MATCH(Tableau3[[#This Row],[ID-INS]],Tableau8[ID],0))&amp;""</f>
        <v>PortailBleuHydr_1</v>
      </c>
      <c r="L215" s="141" t="str">
        <f>INDEX(Tableau5[Att1],MATCH(Tableau3[[#This Row],[ID-SIG]],Tableau5[ID],0))&amp;""</f>
        <v>Vx_SignalCmd</v>
      </c>
      <c r="M215" s="141" t="str">
        <f>INDEX(Tableau5[Att2],MATCH(Tableau3[[#This Row],[ID-SIG]],Tableau5[ID],0))&amp;""</f>
        <v/>
      </c>
      <c r="N215" s="141" t="str">
        <f>INDEX(Tableau5[Att3],MATCH(Tableau3[[#This Row],[ID-SIG]],Tableau5[ID],0))&amp;""</f>
        <v/>
      </c>
      <c r="O215" s="99"/>
      <c r="P215" s="141" t="str">
        <f>INDEX(Tableau5[Description],MATCH(Tableau3[[#This Row],[ID-SIG]],Tableau5[ID],0))</f>
        <v>Commande signalisation en mouvement</v>
      </c>
      <c r="Q215" s="99"/>
      <c r="R215" s="142" t="str">
        <f>Tableau3[[#This Row],[Description]]</f>
        <v>Commande signalisation en mouvement</v>
      </c>
      <c r="S215" s="52"/>
      <c r="U215" s="87">
        <v>2</v>
      </c>
      <c r="V215" s="87">
        <v>1</v>
      </c>
      <c r="W215" s="87">
        <v>4</v>
      </c>
      <c r="X215" s="87">
        <v>5</v>
      </c>
      <c r="Y215" s="41"/>
      <c r="Z215" s="165" t="str">
        <f>INDEX(Tableau2[TS],MATCH(Tableau3[[#This Row],[ID-CARTEVOIE]],Tableau2[ID-CARTEVOIE],0))</f>
        <v>ST</v>
      </c>
      <c r="AA215" s="144" t="s">
        <v>213</v>
      </c>
      <c r="AB215" s="224" t="str">
        <f>IFERROR(INDEX(Tableau5[Reserve],MATCH(Tableau3[[#This Row],[ID-SIG]],Tableau5[ID],0))&amp;"","")</f>
        <v/>
      </c>
      <c r="AC215" s="119"/>
      <c r="AD215" s="120" t="str">
        <f>INDEX(Tableau7[Repere],MATCH(Tableau3[[#This Row],[ID-API]],Tableau7[ID-API],0))&amp;""</f>
        <v>A2</v>
      </c>
      <c r="AE215" s="120" t="str">
        <f>INDEX(Tableau1[Repere-Rack],MATCH(Tableau3[[#This Row],[ID-RACK]],Tableau1[ID-RACK],0))&amp;""</f>
        <v>R1</v>
      </c>
      <c r="AF215" s="120" t="str">
        <f>INDEX(Tableau1[Repere-Slot],MATCH(Tableau3[[#This Row],[ID-SLOT]],Tableau1[ID-SLOT],0))&amp;""</f>
        <v>S4</v>
      </c>
      <c r="AG215" s="120" t="str">
        <f>INDEX(Tableau2[Repere-Voie],MATCH(Tableau3[[#This Row],[ID-VOIE]],Tableau2[ID-Voie],0))&amp;""</f>
        <v>v5</v>
      </c>
      <c r="AH215" s="122" t="str">
        <f>Tableau3[[#This Row],[ID-API]]&amp; "." &amp;Tableau3[[#This Row],[ID-RACK]]&amp; "." &amp;Tableau3[[#This Row],[ID-SLOT]]</f>
        <v>2.1.4</v>
      </c>
      <c r="AI215" s="72" t="str">
        <f>INDEX(Tableau1[Ref-Carte],MATCH(Tableau3[[#This Row],[ID-RRS]],Tableau1[ID-RRS],0))</f>
        <v>SDO0802</v>
      </c>
      <c r="AJ215" s="72" t="str">
        <f t="array" ref="AJ215">IFERROR(INDEX(Tableau2[TS],MATCH(1,(Tableau2[Ref-Carte]=Tableau3[[#This Row],[Ref-Carte2]])*(Tableau2[ID-Voie]=Tableau3[[#This Row],[ID-VOIE]]),0)),"")</f>
        <v>ST</v>
      </c>
      <c r="AK215" s="72" t="str">
        <f>IFERROR(INDEX(Tableau2[TS],SUMPRODUCT((Tableau2[Ref-Carte]=Tableau3[[#This Row],[Ref-Carte2]])*(Tableau2[ID-Voie]=Tableau3[[#This Row],[ID-VOIE]])*ROW(Tableau2[TS]))-ROW(Tableau2[#Headers])),"")</f>
        <v>ST</v>
      </c>
      <c r="AL215" s="122" t="str">
        <f>Tableau3[[#This Row],[Ref-Carte2]]&amp;"/"&amp;Tableau3[[#This Row],[ID-VOIE]]</f>
        <v>SDO0802/5</v>
      </c>
      <c r="AM215" s="145" t="str">
        <f>INDEX(Tableau2[Borne],MATCH(Tableau3[[#This Row],[ID-CARTEVOIE]],Tableau2[ID-CARTEVOIE],0))&amp;""</f>
        <v>5</v>
      </c>
      <c r="AN215" s="124" t="str">
        <f>Tableau3[[#This Row],[ID-API]]&amp;Tableau3[[#This Row],[ID-RACK]]&amp;Tableau3[[#This Row],[ID-SLOT]]&amp;Tableau3[[#This Row],[BORNE]]</f>
        <v>2145</v>
      </c>
      <c r="AO215" s="125"/>
    </row>
    <row r="216" spans="1:41" ht="20.100000000000001" customHeight="1" thickTop="1" thickBot="1">
      <c r="A216" s="134"/>
      <c r="B216" s="135" t="str">
        <f>IFERROR(INDEX(Tableau4[Date],MATCH($A216,Tableau4[EVO],0)),"")</f>
        <v/>
      </c>
      <c r="C216" s="136" t="str">
        <f>IFERROR(INDEX(Tableau4[Designation],MATCH($A216,Tableau4[EVO],0)),"")</f>
        <v/>
      </c>
      <c r="D216" s="134"/>
      <c r="E216" s="137">
        <v>4</v>
      </c>
      <c r="F216" s="138">
        <v>277</v>
      </c>
      <c r="G216" s="139" t="str">
        <f>INDEX(Tableau8[Att1],MATCH(Tableau3[[#This Row],[ID-INS]],Tableau8[ID],0))&amp;""</f>
        <v>V1</v>
      </c>
      <c r="H216" s="139" t="str">
        <f>INDEX(Tableau8[Att2],MATCH(Tableau3[[#This Row],[ID-INS]],Tableau8[ID],0))&amp;""</f>
        <v>P4</v>
      </c>
      <c r="I216" s="139" t="str">
        <f>INDEX(Tableau8[Att3],MATCH(Tableau3[[#This Row],[ID-INS]],Tableau8[ID],0))&amp;""</f>
        <v>Portail P4</v>
      </c>
      <c r="J216" s="101"/>
      <c r="K216" s="167" t="str">
        <f>INDEX(Tableau8[Nom du modele],MATCH(Tableau3[[#This Row],[ID-INS]],Tableau8[ID],0))&amp;""</f>
        <v>PortailBleuHydr_1</v>
      </c>
      <c r="L216" s="154" t="s">
        <v>1685</v>
      </c>
      <c r="M216" s="141" t="str">
        <f>INDEX(Tableau5[Att2],MATCH(Tableau3[[#This Row],[ID-SIG]],Tableau5[ID],0))&amp;""</f>
        <v/>
      </c>
      <c r="N216" s="141" t="str">
        <f>INDEX(Tableau5[Att3],MATCH(Tableau3[[#This Row],[ID-SIG]],Tableau5[ID],0))&amp;""</f>
        <v/>
      </c>
      <c r="O216" s="99"/>
      <c r="P216" s="154" t="s">
        <v>1742</v>
      </c>
      <c r="Q216" s="99"/>
      <c r="R216" s="142" t="str">
        <f>Tableau3[[#This Row],[Description]]</f>
        <v>Portail P4 - Sortie Réserve 1</v>
      </c>
      <c r="S216" s="52"/>
      <c r="U216" s="87">
        <v>2</v>
      </c>
      <c r="V216" s="87">
        <v>1</v>
      </c>
      <c r="W216" s="87">
        <v>4</v>
      </c>
      <c r="X216" s="87">
        <v>6</v>
      </c>
      <c r="Y216" s="41"/>
      <c r="Z216" s="165" t="str">
        <f>INDEX(Tableau2[TS],MATCH(Tableau3[[#This Row],[ID-CARTEVOIE]],Tableau2[ID-CARTEVOIE],0))</f>
        <v>ST</v>
      </c>
      <c r="AA216" s="144" t="s">
        <v>213</v>
      </c>
      <c r="AB216" s="224" t="str">
        <f>IFERROR(INDEX(Tableau5[Reserve],MATCH(Tableau3[[#This Row],[ID-SIG]],Tableau5[ID],0))&amp;"","")</f>
        <v/>
      </c>
      <c r="AC216" s="119"/>
      <c r="AD216" s="120" t="str">
        <f>INDEX(Tableau7[Repere],MATCH(Tableau3[[#This Row],[ID-API]],Tableau7[ID-API],0))&amp;""</f>
        <v>A2</v>
      </c>
      <c r="AE216" s="120" t="str">
        <f>INDEX(Tableau1[Repere-Rack],MATCH(Tableau3[[#This Row],[ID-RACK]],Tableau1[ID-RACK],0))&amp;""</f>
        <v>R1</v>
      </c>
      <c r="AF216" s="120" t="str">
        <f>INDEX(Tableau1[Repere-Slot],MATCH(Tableau3[[#This Row],[ID-SLOT]],Tableau1[ID-SLOT],0))&amp;""</f>
        <v>S4</v>
      </c>
      <c r="AG216" s="120" t="str">
        <f>INDEX(Tableau2[Repere-Voie],MATCH(Tableau3[[#This Row],[ID-VOIE]],Tableau2[ID-Voie],0))&amp;""</f>
        <v>v6</v>
      </c>
      <c r="AH216" s="122" t="str">
        <f>Tableau3[[#This Row],[ID-API]]&amp; "." &amp;Tableau3[[#This Row],[ID-RACK]]&amp; "." &amp;Tableau3[[#This Row],[ID-SLOT]]</f>
        <v>2.1.4</v>
      </c>
      <c r="AI216" s="72" t="str">
        <f>INDEX(Tableau1[Ref-Carte],MATCH(Tableau3[[#This Row],[ID-RRS]],Tableau1[ID-RRS],0))</f>
        <v>SDO0802</v>
      </c>
      <c r="AJ216" s="72" t="str">
        <f t="array" ref="AJ216">IFERROR(INDEX(Tableau2[TS],MATCH(1,(Tableau2[Ref-Carte]=Tableau3[[#This Row],[Ref-Carte2]])*(Tableau2[ID-Voie]=Tableau3[[#This Row],[ID-VOIE]]),0)),"")</f>
        <v>ST</v>
      </c>
      <c r="AK216" s="72" t="str">
        <f>IFERROR(INDEX(Tableau2[TS],SUMPRODUCT((Tableau2[Ref-Carte]=Tableau3[[#This Row],[Ref-Carte2]])*(Tableau2[ID-Voie]=Tableau3[[#This Row],[ID-VOIE]])*ROW(Tableau2[TS]))-ROW(Tableau2[#Headers])),"")</f>
        <v>ST</v>
      </c>
      <c r="AL216" s="122" t="str">
        <f>Tableau3[[#This Row],[Ref-Carte2]]&amp;"/"&amp;Tableau3[[#This Row],[ID-VOIE]]</f>
        <v>SDO0802/6</v>
      </c>
      <c r="AM216" s="145" t="str">
        <f>INDEX(Tableau2[Borne],MATCH(Tableau3[[#This Row],[ID-CARTEVOIE]],Tableau2[ID-CARTEVOIE],0))&amp;""</f>
        <v>6</v>
      </c>
      <c r="AN216" s="124" t="str">
        <f>Tableau3[[#This Row],[ID-API]]&amp;Tableau3[[#This Row],[ID-RACK]]&amp;Tableau3[[#This Row],[ID-SLOT]]&amp;Tableau3[[#This Row],[BORNE]]</f>
        <v>2146</v>
      </c>
      <c r="AO216" s="125"/>
    </row>
    <row r="217" spans="1:41" ht="20.100000000000001" customHeight="1" thickTop="1" thickBot="1">
      <c r="A217" s="134"/>
      <c r="B217" s="135" t="str">
        <f>IFERROR(INDEX(Tableau4[Date],MATCH($A217,Tableau4[EVO],0)),"")</f>
        <v/>
      </c>
      <c r="C217" s="136" t="str">
        <f>IFERROR(INDEX(Tableau4[Designation],MATCH($A217,Tableau4[EVO],0)),"")</f>
        <v/>
      </c>
      <c r="D217" s="134"/>
      <c r="E217" s="137">
        <v>5</v>
      </c>
      <c r="F217" s="138">
        <v>265</v>
      </c>
      <c r="G217" s="139" t="str">
        <f>INDEX(Tableau8[Att1],MATCH(Tableau3[[#This Row],[ID-INS]],Tableau8[ID],0))&amp;""</f>
        <v>V2</v>
      </c>
      <c r="H217" s="139" t="str">
        <f>INDEX(Tableau8[Att2],MATCH(Tableau3[[#This Row],[ID-INS]],Tableau8[ID],0))&amp;""</f>
        <v>P5</v>
      </c>
      <c r="I217" s="139" t="str">
        <f>INDEX(Tableau8[Att3],MATCH(Tableau3[[#This Row],[ID-INS]],Tableau8[ID],0))&amp;""</f>
        <v>Portail P5</v>
      </c>
      <c r="J217" s="101"/>
      <c r="K217" s="167" t="str">
        <f>INDEX(Tableau8[Nom du modele],MATCH(Tableau3[[#This Row],[ID-INS]],Tableau8[ID],0))&amp;""</f>
        <v>PortailBleuHydr_1</v>
      </c>
      <c r="L217" s="141" t="str">
        <f>INDEX(Tableau5[Att1],MATCH(Tableau3[[#This Row],[ID-SIG]],Tableau5[ID],0))&amp;""</f>
        <v>Vx_GrpHydCmd2</v>
      </c>
      <c r="M217" s="141" t="str">
        <f>INDEX(Tableau5[Att2],MATCH(Tableau3[[#This Row],[ID-SIG]],Tableau5[ID],0))&amp;""</f>
        <v/>
      </c>
      <c r="N217" s="141" t="str">
        <f>INDEX(Tableau5[Att3],MATCH(Tableau3[[#This Row],[ID-SIG]],Tableau5[ID],0))&amp;""</f>
        <v/>
      </c>
      <c r="O217" s="99"/>
      <c r="P217" s="141" t="str">
        <f>INDEX(Tableau5[Description],MATCH(Tableau3[[#This Row],[ID-SIG]],Tableau5[ID],0))</f>
        <v>Commande 2 groupe hydraulique</v>
      </c>
      <c r="Q217" s="99"/>
      <c r="R217" s="142" t="str">
        <f>Tableau3[[#This Row],[Description]]</f>
        <v>Commande 2 groupe hydraulique</v>
      </c>
      <c r="S217" s="52"/>
      <c r="U217" s="87">
        <v>2</v>
      </c>
      <c r="V217" s="87">
        <v>1</v>
      </c>
      <c r="W217" s="87">
        <v>4</v>
      </c>
      <c r="X217" s="87">
        <v>7</v>
      </c>
      <c r="Y217" s="41"/>
      <c r="Z217" s="165" t="str">
        <f>INDEX(Tableau2[TS],MATCH(Tableau3[[#This Row],[ID-CARTEVOIE]],Tableau2[ID-CARTEVOIE],0))</f>
        <v>ST</v>
      </c>
      <c r="AA217" s="144" t="s">
        <v>213</v>
      </c>
      <c r="AB217" s="224" t="str">
        <f>IFERROR(INDEX(Tableau5[Reserve],MATCH(Tableau3[[#This Row],[ID-SIG]],Tableau5[ID],0))&amp;"","")</f>
        <v/>
      </c>
      <c r="AC217" s="119"/>
      <c r="AD217" s="120" t="str">
        <f>INDEX(Tableau7[Repere],MATCH(Tableau3[[#This Row],[ID-API]],Tableau7[ID-API],0))&amp;""</f>
        <v>A2</v>
      </c>
      <c r="AE217" s="120" t="str">
        <f>INDEX(Tableau1[Repere-Rack],MATCH(Tableau3[[#This Row],[ID-RACK]],Tableau1[ID-RACK],0))&amp;""</f>
        <v>R1</v>
      </c>
      <c r="AF217" s="120" t="str">
        <f>INDEX(Tableau1[Repere-Slot],MATCH(Tableau3[[#This Row],[ID-SLOT]],Tableau1[ID-SLOT],0))&amp;""</f>
        <v>S4</v>
      </c>
      <c r="AG217" s="120" t="str">
        <f>INDEX(Tableau2[Repere-Voie],MATCH(Tableau3[[#This Row],[ID-VOIE]],Tableau2[ID-Voie],0))&amp;""</f>
        <v>v7</v>
      </c>
      <c r="AH217" s="122" t="str">
        <f>Tableau3[[#This Row],[ID-API]]&amp; "." &amp;Tableau3[[#This Row],[ID-RACK]]&amp; "." &amp;Tableau3[[#This Row],[ID-SLOT]]</f>
        <v>2.1.4</v>
      </c>
      <c r="AI217" s="72" t="str">
        <f>INDEX(Tableau1[Ref-Carte],MATCH(Tableau3[[#This Row],[ID-RRS]],Tableau1[ID-RRS],0))</f>
        <v>SDO0802</v>
      </c>
      <c r="AJ217" s="72" t="str">
        <f t="array" ref="AJ217">IFERROR(INDEX(Tableau2[TS],MATCH(1,(Tableau2[Ref-Carte]=Tableau3[[#This Row],[Ref-Carte2]])*(Tableau2[ID-Voie]=Tableau3[[#This Row],[ID-VOIE]]),0)),"")</f>
        <v>ST</v>
      </c>
      <c r="AK217" s="72" t="str">
        <f>IFERROR(INDEX(Tableau2[TS],SUMPRODUCT((Tableau2[Ref-Carte]=Tableau3[[#This Row],[Ref-Carte2]])*(Tableau2[ID-Voie]=Tableau3[[#This Row],[ID-VOIE]])*ROW(Tableau2[TS]))-ROW(Tableau2[#Headers])),"")</f>
        <v>ST</v>
      </c>
      <c r="AL217" s="122" t="str">
        <f>Tableau3[[#This Row],[Ref-Carte2]]&amp;"/"&amp;Tableau3[[#This Row],[ID-VOIE]]</f>
        <v>SDO0802/7</v>
      </c>
      <c r="AM217" s="145" t="str">
        <f>INDEX(Tableau2[Borne],MATCH(Tableau3[[#This Row],[ID-CARTEVOIE]],Tableau2[ID-CARTEVOIE],0))&amp;""</f>
        <v>7</v>
      </c>
      <c r="AN217" s="124" t="str">
        <f>Tableau3[[#This Row],[ID-API]]&amp;Tableau3[[#This Row],[ID-RACK]]&amp;Tableau3[[#This Row],[ID-SLOT]]&amp;Tableau3[[#This Row],[BORNE]]</f>
        <v>2147</v>
      </c>
      <c r="AO217" s="125"/>
    </row>
    <row r="218" spans="1:41" ht="20.100000000000001" customHeight="1" thickTop="1" thickBot="1">
      <c r="A218" s="134"/>
      <c r="B218" s="135" t="str">
        <f>IFERROR(INDEX(Tableau4[Date],MATCH($A218,Tableau4[EVO],0)),"")</f>
        <v/>
      </c>
      <c r="C218" s="136" t="str">
        <f>IFERROR(INDEX(Tableau4[Designation],MATCH($A218,Tableau4[EVO],0)),"")</f>
        <v/>
      </c>
      <c r="D218" s="134"/>
      <c r="E218" s="137">
        <v>5</v>
      </c>
      <c r="F218" s="138">
        <v>266</v>
      </c>
      <c r="G218" s="139" t="str">
        <f>INDEX(Tableau8[Att1],MATCH(Tableau3[[#This Row],[ID-INS]],Tableau8[ID],0))&amp;""</f>
        <v>V2</v>
      </c>
      <c r="H218" s="139" t="str">
        <f>INDEX(Tableau8[Att2],MATCH(Tableau3[[#This Row],[ID-INS]],Tableau8[ID],0))&amp;""</f>
        <v>P5</v>
      </c>
      <c r="I218" s="139" t="str">
        <f>INDEX(Tableau8[Att3],MATCH(Tableau3[[#This Row],[ID-INS]],Tableau8[ID],0))&amp;""</f>
        <v>Portail P5</v>
      </c>
      <c r="J218" s="101"/>
      <c r="K218" s="167" t="str">
        <f>INDEX(Tableau8[Nom du modele],MATCH(Tableau3[[#This Row],[ID-INS]],Tableau8[ID],0))&amp;""</f>
        <v>PortailBleuHydr_1</v>
      </c>
      <c r="L218" s="141" t="str">
        <f>INDEX(Tableau5[Att1],MATCH(Tableau3[[#This Row],[ID-SIG]],Tableau5[ID],0))&amp;""</f>
        <v>Vx_FerCmd2</v>
      </c>
      <c r="M218" s="141" t="str">
        <f>INDEX(Tableau5[Att2],MATCH(Tableau3[[#This Row],[ID-SIG]],Tableau5[ID],0))&amp;""</f>
        <v/>
      </c>
      <c r="N218" s="141" t="str">
        <f>INDEX(Tableau5[Att3],MATCH(Tableau3[[#This Row],[ID-SIG]],Tableau5[ID],0))&amp;""</f>
        <v/>
      </c>
      <c r="O218" s="99"/>
      <c r="P218" s="141" t="str">
        <f>INDEX(Tableau5[Description],MATCH(Tableau3[[#This Row],[ID-SIG]],Tableau5[ID],0))</f>
        <v>Commande 2 fermeture</v>
      </c>
      <c r="Q218" s="99"/>
      <c r="R218" s="142" t="str">
        <f>Tableau3[[#This Row],[Description]]</f>
        <v>Commande 2 fermeture</v>
      </c>
      <c r="S218" s="52"/>
      <c r="U218" s="87">
        <v>2</v>
      </c>
      <c r="V218" s="87">
        <v>1</v>
      </c>
      <c r="W218" s="87">
        <v>5</v>
      </c>
      <c r="X218" s="87">
        <v>0</v>
      </c>
      <c r="Y218" s="41"/>
      <c r="Z218" s="165" t="str">
        <f>INDEX(Tableau2[TS],MATCH(Tableau3[[#This Row],[ID-CARTEVOIE]],Tableau2[ID-CARTEVOIE],0))</f>
        <v>ST</v>
      </c>
      <c r="AA218" s="144" t="s">
        <v>213</v>
      </c>
      <c r="AB218" s="224" t="str">
        <f>IFERROR(INDEX(Tableau5[Reserve],MATCH(Tableau3[[#This Row],[ID-SIG]],Tableau5[ID],0))&amp;"","")</f>
        <v/>
      </c>
      <c r="AC218" s="119"/>
      <c r="AD218" s="120" t="str">
        <f>INDEX(Tableau7[Repere],MATCH(Tableau3[[#This Row],[ID-API]],Tableau7[ID-API],0))&amp;""</f>
        <v>A2</v>
      </c>
      <c r="AE218" s="120" t="str">
        <f>INDEX(Tableau1[Repere-Rack],MATCH(Tableau3[[#This Row],[ID-RACK]],Tableau1[ID-RACK],0))&amp;""</f>
        <v>R1</v>
      </c>
      <c r="AF218" s="120" t="str">
        <f>INDEX(Tableau1[Repere-Slot],MATCH(Tableau3[[#This Row],[ID-SLOT]],Tableau1[ID-SLOT],0))&amp;""</f>
        <v>S5</v>
      </c>
      <c r="AG218" s="120" t="str">
        <f>INDEX(Tableau2[Repere-Voie],MATCH(Tableau3[[#This Row],[ID-VOIE]],Tableau2[ID-Voie],0))&amp;""</f>
        <v>v0</v>
      </c>
      <c r="AH218" s="122" t="str">
        <f>Tableau3[[#This Row],[ID-API]]&amp; "." &amp;Tableau3[[#This Row],[ID-RACK]]&amp; "." &amp;Tableau3[[#This Row],[ID-SLOT]]</f>
        <v>2.1.5</v>
      </c>
      <c r="AI218" s="72" t="str">
        <f>INDEX(Tableau1[Ref-Carte],MATCH(Tableau3[[#This Row],[ID-RRS]],Tableau1[ID-RRS],0))</f>
        <v>SDO0802</v>
      </c>
      <c r="AJ218" s="72" t="str">
        <f t="array" ref="AJ218">IFERROR(INDEX(Tableau2[TS],MATCH(1,(Tableau2[Ref-Carte]=Tableau3[[#This Row],[Ref-Carte2]])*(Tableau2[ID-Voie]=Tableau3[[#This Row],[ID-VOIE]]),0)),"")</f>
        <v>ST</v>
      </c>
      <c r="AK218" s="72" t="str">
        <f>IFERROR(INDEX(Tableau2[TS],SUMPRODUCT((Tableau2[Ref-Carte]=Tableau3[[#This Row],[Ref-Carte2]])*(Tableau2[ID-Voie]=Tableau3[[#This Row],[ID-VOIE]])*ROW(Tableau2[TS]))-ROW(Tableau2[#Headers])),"")</f>
        <v>ST</v>
      </c>
      <c r="AL218" s="122" t="str">
        <f>Tableau3[[#This Row],[Ref-Carte2]]&amp;"/"&amp;Tableau3[[#This Row],[ID-VOIE]]</f>
        <v>SDO0802/0</v>
      </c>
      <c r="AM218" s="145" t="str">
        <f>INDEX(Tableau2[Borne],MATCH(Tableau3[[#This Row],[ID-CARTEVOIE]],Tableau2[ID-CARTEVOIE],0))&amp;""</f>
        <v>0</v>
      </c>
      <c r="AN218" s="124" t="str">
        <f>Tableau3[[#This Row],[ID-API]]&amp;Tableau3[[#This Row],[ID-RACK]]&amp;Tableau3[[#This Row],[ID-SLOT]]&amp;Tableau3[[#This Row],[BORNE]]</f>
        <v>2150</v>
      </c>
      <c r="AO218" s="125"/>
    </row>
    <row r="219" spans="1:41" ht="20.100000000000001" customHeight="1" thickTop="1" thickBot="1">
      <c r="A219" s="134"/>
      <c r="B219" s="135" t="str">
        <f>IFERROR(INDEX(Tableau4[Date],MATCH($A219,Tableau4[EVO],0)),"")</f>
        <v/>
      </c>
      <c r="C219" s="136" t="str">
        <f>IFERROR(INDEX(Tableau4[Designation],MATCH($A219,Tableau4[EVO],0)),"")</f>
        <v/>
      </c>
      <c r="D219" s="134"/>
      <c r="E219" s="137">
        <v>5</v>
      </c>
      <c r="F219" s="138">
        <v>267</v>
      </c>
      <c r="G219" s="139" t="str">
        <f>INDEX(Tableau8[Att1],MATCH(Tableau3[[#This Row],[ID-INS]],Tableau8[ID],0))&amp;""</f>
        <v>V2</v>
      </c>
      <c r="H219" s="139" t="str">
        <f>INDEX(Tableau8[Att2],MATCH(Tableau3[[#This Row],[ID-INS]],Tableau8[ID],0))&amp;""</f>
        <v>P5</v>
      </c>
      <c r="I219" s="139" t="str">
        <f>INDEX(Tableau8[Att3],MATCH(Tableau3[[#This Row],[ID-INS]],Tableau8[ID],0))&amp;""</f>
        <v>Portail P5</v>
      </c>
      <c r="J219" s="101"/>
      <c r="K219" s="167" t="str">
        <f>INDEX(Tableau8[Nom du modele],MATCH(Tableau3[[#This Row],[ID-INS]],Tableau8[ID],0))&amp;""</f>
        <v>PortailBleuHydr_1</v>
      </c>
      <c r="L219" s="154" t="s">
        <v>1681</v>
      </c>
      <c r="M219" s="141" t="str">
        <f>INDEX(Tableau5[Att2],MATCH(Tableau3[[#This Row],[ID-SIG]],Tableau5[ID],0))&amp;""</f>
        <v/>
      </c>
      <c r="N219" s="141" t="str">
        <f>INDEX(Tableau5[Att3],MATCH(Tableau3[[#This Row],[ID-SIG]],Tableau5[ID],0))&amp;""</f>
        <v/>
      </c>
      <c r="O219" s="99"/>
      <c r="P219" s="154" t="s">
        <v>1743</v>
      </c>
      <c r="Q219" s="99"/>
      <c r="R219" s="142" t="str">
        <f>Tableau3[[#This Row],[Description]]</f>
        <v>Portail P5 - Sortie Réserve 2</v>
      </c>
      <c r="S219" s="52"/>
      <c r="U219" s="87">
        <v>2</v>
      </c>
      <c r="V219" s="87">
        <v>1</v>
      </c>
      <c r="W219" s="87">
        <v>5</v>
      </c>
      <c r="X219" s="87">
        <v>1</v>
      </c>
      <c r="Y219" s="41"/>
      <c r="Z219" s="165" t="str">
        <f>INDEX(Tableau2[TS],MATCH(Tableau3[[#This Row],[ID-CARTEVOIE]],Tableau2[ID-CARTEVOIE],0))</f>
        <v>ST</v>
      </c>
      <c r="AA219" s="144" t="s">
        <v>213</v>
      </c>
      <c r="AB219" s="224" t="str">
        <f>IFERROR(INDEX(Tableau5[Reserve],MATCH(Tableau3[[#This Row],[ID-SIG]],Tableau5[ID],0))&amp;"","")</f>
        <v/>
      </c>
      <c r="AC219" s="119"/>
      <c r="AD219" s="120" t="str">
        <f>INDEX(Tableau7[Repere],MATCH(Tableau3[[#This Row],[ID-API]],Tableau7[ID-API],0))&amp;""</f>
        <v>A2</v>
      </c>
      <c r="AE219" s="120" t="str">
        <f>INDEX(Tableau1[Repere-Rack],MATCH(Tableau3[[#This Row],[ID-RACK]],Tableau1[ID-RACK],0))&amp;""</f>
        <v>R1</v>
      </c>
      <c r="AF219" s="120" t="str">
        <f>INDEX(Tableau1[Repere-Slot],MATCH(Tableau3[[#This Row],[ID-SLOT]],Tableau1[ID-SLOT],0))&amp;""</f>
        <v>S5</v>
      </c>
      <c r="AG219" s="120" t="str">
        <f>INDEX(Tableau2[Repere-Voie],MATCH(Tableau3[[#This Row],[ID-VOIE]],Tableau2[ID-Voie],0))&amp;""</f>
        <v>v1</v>
      </c>
      <c r="AH219" s="122" t="str">
        <f>Tableau3[[#This Row],[ID-API]]&amp; "." &amp;Tableau3[[#This Row],[ID-RACK]]&amp; "." &amp;Tableau3[[#This Row],[ID-SLOT]]</f>
        <v>2.1.5</v>
      </c>
      <c r="AI219" s="72" t="str">
        <f>INDEX(Tableau1[Ref-Carte],MATCH(Tableau3[[#This Row],[ID-RRS]],Tableau1[ID-RRS],0))</f>
        <v>SDO0802</v>
      </c>
      <c r="AJ219" s="72" t="str">
        <f t="array" ref="AJ219">IFERROR(INDEX(Tableau2[TS],MATCH(1,(Tableau2[Ref-Carte]=Tableau3[[#This Row],[Ref-Carte2]])*(Tableau2[ID-Voie]=Tableau3[[#This Row],[ID-VOIE]]),0)),"")</f>
        <v>ST</v>
      </c>
      <c r="AK219" s="72" t="str">
        <f>IFERROR(INDEX(Tableau2[TS],SUMPRODUCT((Tableau2[Ref-Carte]=Tableau3[[#This Row],[Ref-Carte2]])*(Tableau2[ID-Voie]=Tableau3[[#This Row],[ID-VOIE]])*ROW(Tableau2[TS]))-ROW(Tableau2[#Headers])),"")</f>
        <v>ST</v>
      </c>
      <c r="AL219" s="122" t="str">
        <f>Tableau3[[#This Row],[Ref-Carte2]]&amp;"/"&amp;Tableau3[[#This Row],[ID-VOIE]]</f>
        <v>SDO0802/1</v>
      </c>
      <c r="AM219" s="145" t="str">
        <f>INDEX(Tableau2[Borne],MATCH(Tableau3[[#This Row],[ID-CARTEVOIE]],Tableau2[ID-CARTEVOIE],0))&amp;""</f>
        <v>1</v>
      </c>
      <c r="AN219" s="124" t="str">
        <f>Tableau3[[#This Row],[ID-API]]&amp;Tableau3[[#This Row],[ID-RACK]]&amp;Tableau3[[#This Row],[ID-SLOT]]&amp;Tableau3[[#This Row],[BORNE]]</f>
        <v>2151</v>
      </c>
      <c r="AO219" s="125"/>
    </row>
    <row r="220" spans="1:41" ht="20.100000000000001" customHeight="1" thickTop="1" thickBot="1">
      <c r="A220" s="68"/>
      <c r="B220" s="69" t="str">
        <f>IFERROR(INDEX(Tableau4[Date],MATCH($A220,Tableau4[EVO],0)),"")</f>
        <v/>
      </c>
      <c r="C220" s="68" t="str">
        <f>IFERROR(INDEX(Tableau4[Designation],MATCH($A220,Tableau4[EVO],0)),"")</f>
        <v/>
      </c>
      <c r="D220" s="68"/>
      <c r="E220" s="70">
        <v>11</v>
      </c>
      <c r="F220" s="71">
        <v>301</v>
      </c>
      <c r="G220" s="101" t="str">
        <f>INDEX(Tableau8[Att1],MATCH(Tableau3[[#This Row],[ID-INS]],Tableau8[ID],0))&amp;""</f>
        <v>Al</v>
      </c>
      <c r="H220" s="101" t="str">
        <f>INDEX(Tableau8[Att2],MATCH(Tableau3[[#This Row],[ID-INS]],Tableau8[ID],0))&amp;""</f>
        <v>P11</v>
      </c>
      <c r="I220" s="101" t="str">
        <f>INDEX(Tableau8[Att3],MATCH(Tableau3[[#This Row],[ID-INS]],Tableau8[ID],0))&amp;""</f>
        <v>Portail P11</v>
      </c>
      <c r="J220" s="101"/>
      <c r="K220" s="167" t="str">
        <f>INDEX(Tableau8[Nom du modele],MATCH(Tableau3[[#This Row],[ID-INS]],Tableau8[ID],0))&amp;""</f>
        <v>PortailAlas2V</v>
      </c>
      <c r="L220" s="99" t="str">
        <f>INDEX(Tableau5[Att1],MATCH(Tableau3[[#This Row],[ID-SIG]],Tableau5[ID],0))&amp;""</f>
        <v>OuvCmd</v>
      </c>
      <c r="M220" s="99" t="str">
        <f>INDEX(Tableau5[Att2],MATCH(Tableau3[[#This Row],[ID-SIG]],Tableau5[ID],0))&amp;""</f>
        <v/>
      </c>
      <c r="N220" s="99" t="str">
        <f>INDEX(Tableau5[Att3],MATCH(Tableau3[[#This Row],[ID-SIG]],Tableau5[ID],0))&amp;""</f>
        <v/>
      </c>
      <c r="O220" s="99"/>
      <c r="P220" s="99" t="str">
        <f>INDEX(Tableau5[Description],MATCH(Tableau3[[#This Row],[ID-SIG]],Tableau5[ID],0))</f>
        <v>Ouverture portail</v>
      </c>
      <c r="Q220" s="99"/>
      <c r="R220" s="103" t="str">
        <f>Tableau3[[#This Row],[Description]]</f>
        <v>Ouverture portail</v>
      </c>
      <c r="S220" s="52"/>
      <c r="U220" s="87">
        <v>2</v>
      </c>
      <c r="V220" s="87">
        <v>1</v>
      </c>
      <c r="W220" s="87">
        <v>5</v>
      </c>
      <c r="X220" s="87">
        <v>2</v>
      </c>
      <c r="Y220" s="41"/>
      <c r="Z220" s="165" t="str">
        <f>INDEX(Tableau2[TS],MATCH(Tableau3[[#This Row],[ID-CARTEVOIE]],Tableau2[ID-CARTEVOIE],0))</f>
        <v>ST</v>
      </c>
      <c r="AA220" s="53" t="s">
        <v>213</v>
      </c>
      <c r="AB220" s="223" t="str">
        <f>IFERROR(INDEX(Tableau5[Reserve],MATCH(Tableau3[[#This Row],[ID-SIG]],Tableau5[ID],0))&amp;"","")</f>
        <v/>
      </c>
      <c r="AC220" s="21"/>
      <c r="AD220" s="108" t="str">
        <f>INDEX(Tableau7[Repere],MATCH(Tableau3[[#This Row],[ID-API]],Tableau7[ID-API],0))&amp;""</f>
        <v>A2</v>
      </c>
      <c r="AE220" s="108" t="str">
        <f>INDEX(Tableau1[Repere-Rack],MATCH(Tableau3[[#This Row],[ID-RACK]],Tableau1[ID-RACK],0))&amp;""</f>
        <v>R1</v>
      </c>
      <c r="AF220" s="108" t="str">
        <f>INDEX(Tableau1[Repere-Slot],MATCH(Tableau3[[#This Row],[ID-SLOT]],Tableau1[ID-SLOT],0))&amp;""</f>
        <v>S5</v>
      </c>
      <c r="AG220" s="108" t="str">
        <f>INDEX(Tableau2[Repere-Voie],MATCH(Tableau3[[#This Row],[ID-VOIE]],Tableau2[ID-Voie],0))&amp;""</f>
        <v>v2</v>
      </c>
      <c r="AH220" s="72" t="str">
        <f>Tableau3[[#This Row],[ID-API]]&amp; "." &amp;Tableau3[[#This Row],[ID-RACK]]&amp; "." &amp;Tableau3[[#This Row],[ID-SLOT]]</f>
        <v>2.1.5</v>
      </c>
      <c r="AI220" s="72" t="str">
        <f>INDEX(Tableau1[Ref-Carte],MATCH(Tableau3[[#This Row],[ID-RRS]],Tableau1[ID-RRS],0))</f>
        <v>SDO0802</v>
      </c>
      <c r="AJ220" s="72" t="str">
        <f t="array" ref="AJ220">IFERROR(INDEX(Tableau2[TS],MATCH(1,(Tableau2[Ref-Carte]=Tableau3[[#This Row],[Ref-Carte2]])*(Tableau2[ID-Voie]=Tableau3[[#This Row],[ID-VOIE]]),0)),"")</f>
        <v>ST</v>
      </c>
      <c r="AK220" s="72" t="str">
        <f>IFERROR(INDEX(Tableau2[TS],SUMPRODUCT((Tableau2[Ref-Carte]=Tableau3[[#This Row],[Ref-Carte2]])*(Tableau2[ID-Voie]=Tableau3[[#This Row],[ID-VOIE]])*ROW(Tableau2[TS]))-ROW(Tableau2[#Headers])),"")</f>
        <v>ST</v>
      </c>
      <c r="AL220" s="72" t="str">
        <f>Tableau3[[#This Row],[Ref-Carte2]]&amp;"/"&amp;Tableau3[[#This Row],[ID-VOIE]]</f>
        <v>SDO0802/2</v>
      </c>
      <c r="AM220" s="73" t="str">
        <f>INDEX(Tableau2[Borne],MATCH(Tableau3[[#This Row],[ID-CARTEVOIE]],Tableau2[ID-CARTEVOIE],0))&amp;""</f>
        <v>2</v>
      </c>
      <c r="AN220" s="74" t="str">
        <f>Tableau3[[#This Row],[ID-API]]&amp;Tableau3[[#This Row],[ID-RACK]]&amp;Tableau3[[#This Row],[ID-SLOT]]&amp;Tableau3[[#This Row],[BORNE]]</f>
        <v>2152</v>
      </c>
      <c r="AO220" s="1"/>
    </row>
    <row r="221" spans="1:41" ht="20.100000000000001" customHeight="1" thickTop="1" thickBot="1">
      <c r="A221" s="68"/>
      <c r="B221" s="69" t="str">
        <f>IFERROR(INDEX(Tableau4[Date],MATCH($A221,Tableau4[EVO],0)),"")</f>
        <v/>
      </c>
      <c r="C221" s="68" t="str">
        <f>IFERROR(INDEX(Tableau4[Designation],MATCH($A221,Tableau4[EVO],0)),"")</f>
        <v/>
      </c>
      <c r="D221" s="68"/>
      <c r="E221" s="70">
        <v>11</v>
      </c>
      <c r="F221" s="71">
        <v>302</v>
      </c>
      <c r="G221" s="101" t="str">
        <f>INDEX(Tableau8[Att1],MATCH(Tableau3[[#This Row],[ID-INS]],Tableau8[ID],0))&amp;""</f>
        <v>Al</v>
      </c>
      <c r="H221" s="101" t="str">
        <f>INDEX(Tableau8[Att2],MATCH(Tableau3[[#This Row],[ID-INS]],Tableau8[ID],0))&amp;""</f>
        <v>P11</v>
      </c>
      <c r="I221" s="101" t="str">
        <f>INDEX(Tableau8[Att3],MATCH(Tableau3[[#This Row],[ID-INS]],Tableau8[ID],0))&amp;""</f>
        <v>Portail P11</v>
      </c>
      <c r="J221" s="101"/>
      <c r="K221" s="167" t="str">
        <f>INDEX(Tableau8[Nom du modele],MATCH(Tableau3[[#This Row],[ID-INS]],Tableau8[ID],0))&amp;""</f>
        <v>PortailAlas2V</v>
      </c>
      <c r="L221" s="99" t="str">
        <f>INDEX(Tableau5[Att1],MATCH(Tableau3[[#This Row],[ID-SIG]],Tableau5[ID],0))&amp;""</f>
        <v>FerCmd</v>
      </c>
      <c r="M221" s="99" t="str">
        <f>INDEX(Tableau5[Att2],MATCH(Tableau3[[#This Row],[ID-SIG]],Tableau5[ID],0))&amp;""</f>
        <v/>
      </c>
      <c r="N221" s="99" t="str">
        <f>INDEX(Tableau5[Att3],MATCH(Tableau3[[#This Row],[ID-SIG]],Tableau5[ID],0))&amp;""</f>
        <v/>
      </c>
      <c r="O221" s="99"/>
      <c r="P221" s="99" t="str">
        <f>INDEX(Tableau5[Description],MATCH(Tableau3[[#This Row],[ID-SIG]],Tableau5[ID],0))</f>
        <v>Fermeture portail</v>
      </c>
      <c r="Q221" s="99"/>
      <c r="R221" s="103" t="str">
        <f>Tableau3[[#This Row],[Description]]</f>
        <v>Fermeture portail</v>
      </c>
      <c r="S221" s="52"/>
      <c r="U221" s="87">
        <v>2</v>
      </c>
      <c r="V221" s="87">
        <v>1</v>
      </c>
      <c r="W221" s="87">
        <v>5</v>
      </c>
      <c r="X221" s="87">
        <v>3</v>
      </c>
      <c r="Y221" s="41"/>
      <c r="Z221" s="165" t="str">
        <f>INDEX(Tableau2[TS],MATCH(Tableau3[[#This Row],[ID-CARTEVOIE]],Tableau2[ID-CARTEVOIE],0))</f>
        <v>ST</v>
      </c>
      <c r="AA221" s="53" t="s">
        <v>213</v>
      </c>
      <c r="AB221" s="223" t="str">
        <f>IFERROR(INDEX(Tableau5[Reserve],MATCH(Tableau3[[#This Row],[ID-SIG]],Tableau5[ID],0))&amp;"","")</f>
        <v/>
      </c>
      <c r="AC221" s="21"/>
      <c r="AD221" s="108" t="str">
        <f>INDEX(Tableau7[Repere],MATCH(Tableau3[[#This Row],[ID-API]],Tableau7[ID-API],0))&amp;""</f>
        <v>A2</v>
      </c>
      <c r="AE221" s="108" t="str">
        <f>INDEX(Tableau1[Repere-Rack],MATCH(Tableau3[[#This Row],[ID-RACK]],Tableau1[ID-RACK],0))&amp;""</f>
        <v>R1</v>
      </c>
      <c r="AF221" s="108" t="str">
        <f>INDEX(Tableau1[Repere-Slot],MATCH(Tableau3[[#This Row],[ID-SLOT]],Tableau1[ID-SLOT],0))&amp;""</f>
        <v>S5</v>
      </c>
      <c r="AG221" s="108" t="str">
        <f>INDEX(Tableau2[Repere-Voie],MATCH(Tableau3[[#This Row],[ID-VOIE]],Tableau2[ID-Voie],0))&amp;""</f>
        <v>v3</v>
      </c>
      <c r="AH221" s="72" t="str">
        <f>Tableau3[[#This Row],[ID-API]]&amp; "." &amp;Tableau3[[#This Row],[ID-RACK]]&amp; "." &amp;Tableau3[[#This Row],[ID-SLOT]]</f>
        <v>2.1.5</v>
      </c>
      <c r="AI221" s="72" t="str">
        <f>INDEX(Tableau1[Ref-Carte],MATCH(Tableau3[[#This Row],[ID-RRS]],Tableau1[ID-RRS],0))</f>
        <v>SDO0802</v>
      </c>
      <c r="AJ221" s="72" t="str">
        <f t="array" ref="AJ221">IFERROR(INDEX(Tableau2[TS],MATCH(1,(Tableau2[Ref-Carte]=Tableau3[[#This Row],[Ref-Carte2]])*(Tableau2[ID-Voie]=Tableau3[[#This Row],[ID-VOIE]]),0)),"")</f>
        <v>ST</v>
      </c>
      <c r="AK221" s="72" t="str">
        <f>IFERROR(INDEX(Tableau2[TS],SUMPRODUCT((Tableau2[Ref-Carte]=Tableau3[[#This Row],[Ref-Carte2]])*(Tableau2[ID-Voie]=Tableau3[[#This Row],[ID-VOIE]])*ROW(Tableau2[TS]))-ROW(Tableau2[#Headers])),"")</f>
        <v>ST</v>
      </c>
      <c r="AL221" s="72" t="str">
        <f>Tableau3[[#This Row],[Ref-Carte2]]&amp;"/"&amp;Tableau3[[#This Row],[ID-VOIE]]</f>
        <v>SDO0802/3</v>
      </c>
      <c r="AM221" s="73" t="str">
        <f>INDEX(Tableau2[Borne],MATCH(Tableau3[[#This Row],[ID-CARTEVOIE]],Tableau2[ID-CARTEVOIE],0))&amp;""</f>
        <v>3</v>
      </c>
      <c r="AN221" s="74" t="str">
        <f>Tableau3[[#This Row],[ID-API]]&amp;Tableau3[[#This Row],[ID-RACK]]&amp;Tableau3[[#This Row],[ID-SLOT]]&amp;Tableau3[[#This Row],[BORNE]]</f>
        <v>2153</v>
      </c>
      <c r="AO221" s="1"/>
    </row>
    <row r="222" spans="1:41" ht="20.100000000000001" customHeight="1" thickTop="1" thickBot="1">
      <c r="A222" s="68"/>
      <c r="B222" s="69" t="str">
        <f>IFERROR(INDEX(Tableau4[Date],MATCH($A222,Tableau4[EVO],0)),"")</f>
        <v/>
      </c>
      <c r="C222" s="68" t="str">
        <f>IFERROR(INDEX(Tableau4[Designation],MATCH($A222,Tableau4[EVO],0)),"")</f>
        <v/>
      </c>
      <c r="D222" s="68"/>
      <c r="E222" s="70">
        <v>13</v>
      </c>
      <c r="F222" s="71">
        <v>107</v>
      </c>
      <c r="G222" s="101" t="str">
        <f>INDEX(Tableau8[Att1],MATCH(Tableau3[[#This Row],[ID-INS]],Tableau8[ID],0))&amp;""</f>
        <v>Al</v>
      </c>
      <c r="H222" s="101" t="str">
        <f>INDEX(Tableau8[Att2],MATCH(Tableau3[[#This Row],[ID-INS]],Tableau8[ID],0))&amp;""</f>
        <v>P13</v>
      </c>
      <c r="I222" s="101" t="str">
        <f>INDEX(Tableau8[Att3],MATCH(Tableau3[[#This Row],[ID-INS]],Tableau8[ID],0))&amp;""</f>
        <v>Portail P13</v>
      </c>
      <c r="J222" s="101"/>
      <c r="K222" s="167" t="str">
        <f>INDEX(Tableau8[Nom du modele],MATCH(Tableau3[[#This Row],[ID-INS]],Tableau8[ID],0))&amp;""</f>
        <v>Portillon</v>
      </c>
      <c r="L222" s="99" t="str">
        <f>INDEX(Tableau5[Att1],MATCH(Tableau3[[#This Row],[ID-SIG]],Tableau5[ID],0))&amp;""</f>
        <v>CmdOuv</v>
      </c>
      <c r="M222" s="99" t="str">
        <f>INDEX(Tableau5[Att2],MATCH(Tableau3[[#This Row],[ID-SIG]],Tableau5[ID],0))&amp;""</f>
        <v/>
      </c>
      <c r="N222" s="99" t="str">
        <f>INDEX(Tableau5[Att3],MATCH(Tableau3[[#This Row],[ID-SIG]],Tableau5[ID],0))&amp;""</f>
        <v/>
      </c>
      <c r="O222" s="99"/>
      <c r="P222" s="99" t="str">
        <f>INDEX(Tableau5[Description],MATCH(Tableau3[[#This Row],[ID-SIG]],Tableau5[ID],0))</f>
        <v>Commande d'ouverture</v>
      </c>
      <c r="Q222" s="99"/>
      <c r="R222" s="103" t="str">
        <f>Tableau3[[#This Row],[Description]]</f>
        <v>Commande d'ouverture</v>
      </c>
      <c r="S222" s="52"/>
      <c r="U222" s="87">
        <v>2</v>
      </c>
      <c r="V222" s="87">
        <v>1</v>
      </c>
      <c r="W222" s="87">
        <v>5</v>
      </c>
      <c r="X222" s="87">
        <v>4</v>
      </c>
      <c r="Y222" s="41"/>
      <c r="Z222" s="165" t="str">
        <f>INDEX(Tableau2[TS],MATCH(Tableau3[[#This Row],[ID-CARTEVOIE]],Tableau2[ID-CARTEVOIE],0))</f>
        <v>ST</v>
      </c>
      <c r="AA222" s="53" t="s">
        <v>213</v>
      </c>
      <c r="AB222" s="223" t="str">
        <f>IFERROR(INDEX(Tableau5[Reserve],MATCH(Tableau3[[#This Row],[ID-SIG]],Tableau5[ID],0))&amp;"","")</f>
        <v/>
      </c>
      <c r="AC222" s="21"/>
      <c r="AD222" s="108" t="str">
        <f>INDEX(Tableau7[Repere],MATCH(Tableau3[[#This Row],[ID-API]],Tableau7[ID-API],0))&amp;""</f>
        <v>A2</v>
      </c>
      <c r="AE222" s="108" t="str">
        <f>INDEX(Tableau1[Repere-Rack],MATCH(Tableau3[[#This Row],[ID-RACK]],Tableau1[ID-RACK],0))&amp;""</f>
        <v>R1</v>
      </c>
      <c r="AF222" s="108" t="str">
        <f>INDEX(Tableau1[Repere-Slot],MATCH(Tableau3[[#This Row],[ID-SLOT]],Tableau1[ID-SLOT],0))&amp;""</f>
        <v>S5</v>
      </c>
      <c r="AG222" s="108" t="str">
        <f>INDEX(Tableau2[Repere-Voie],MATCH(Tableau3[[#This Row],[ID-VOIE]],Tableau2[ID-Voie],0))&amp;""</f>
        <v>v4</v>
      </c>
      <c r="AH222" s="72" t="str">
        <f>Tableau3[[#This Row],[ID-API]]&amp; "." &amp;Tableau3[[#This Row],[ID-RACK]]&amp; "." &amp;Tableau3[[#This Row],[ID-SLOT]]</f>
        <v>2.1.5</v>
      </c>
      <c r="AI222" s="72" t="str">
        <f>INDEX(Tableau1[Ref-Carte],MATCH(Tableau3[[#This Row],[ID-RRS]],Tableau1[ID-RRS],0))</f>
        <v>SDO0802</v>
      </c>
      <c r="AJ222" s="72" t="str">
        <f t="array" ref="AJ222">IFERROR(INDEX(Tableau2[TS],MATCH(1,(Tableau2[Ref-Carte]=Tableau3[[#This Row],[Ref-Carte2]])*(Tableau2[ID-Voie]=Tableau3[[#This Row],[ID-VOIE]]),0)),"")</f>
        <v>ST</v>
      </c>
      <c r="AK222" s="72" t="str">
        <f>IFERROR(INDEX(Tableau2[TS],SUMPRODUCT((Tableau2[Ref-Carte]=Tableau3[[#This Row],[Ref-Carte2]])*(Tableau2[ID-Voie]=Tableau3[[#This Row],[ID-VOIE]])*ROW(Tableau2[TS]))-ROW(Tableau2[#Headers])),"")</f>
        <v>ST</v>
      </c>
      <c r="AL222" s="72" t="str">
        <f>Tableau3[[#This Row],[Ref-Carte2]]&amp;"/"&amp;Tableau3[[#This Row],[ID-VOIE]]</f>
        <v>SDO0802/4</v>
      </c>
      <c r="AM222" s="73" t="str">
        <f>INDEX(Tableau2[Borne],MATCH(Tableau3[[#This Row],[ID-CARTEVOIE]],Tableau2[ID-CARTEVOIE],0))&amp;""</f>
        <v>4</v>
      </c>
      <c r="AN222" s="74" t="str">
        <f>Tableau3[[#This Row],[ID-API]]&amp;Tableau3[[#This Row],[ID-RACK]]&amp;Tableau3[[#This Row],[ID-SLOT]]&amp;Tableau3[[#This Row],[BORNE]]</f>
        <v>2154</v>
      </c>
      <c r="AO222" s="1"/>
    </row>
    <row r="223" spans="1:41" ht="20.100000000000001" customHeight="1" thickTop="1" thickBot="1">
      <c r="A223" s="68"/>
      <c r="B223" s="69" t="str">
        <f>IFERROR(INDEX(Tableau4[Date],MATCH($A223,Tableau4[EVO],0)),"")</f>
        <v/>
      </c>
      <c r="C223" s="68" t="str">
        <f>IFERROR(INDEX(Tableau4[Designation],MATCH($A223,Tableau4[EVO],0)),"")</f>
        <v/>
      </c>
      <c r="D223" s="68"/>
      <c r="E223" s="70">
        <v>15</v>
      </c>
      <c r="F223" s="71">
        <v>2</v>
      </c>
      <c r="G223" s="101" t="str">
        <f>INDEX(Tableau8[Att1],MATCH(Tableau3[[#This Row],[ID-INS]],Tableau8[ID],0))&amp;""</f>
        <v>V123</v>
      </c>
      <c r="H223" s="101" t="str">
        <f>INDEX(Tableau8[Att2],MATCH(Tableau3[[#This Row],[ID-INS]],Tableau8[ID],0))&amp;""</f>
        <v>P1P2P3</v>
      </c>
      <c r="I223" s="101" t="str">
        <f>INDEX(Tableau8[Att3],MATCH(Tableau3[[#This Row],[ID-INS]],Tableau8[ID],0))&amp;""</f>
        <v>Portail P1 P2 P3</v>
      </c>
      <c r="J223" s="101"/>
      <c r="K223" s="167" t="str">
        <f>INDEX(Tableau8[Nom du modele],MATCH(Tableau3[[#This Row],[ID-INS]],Tableau8[ID],0))&amp;""</f>
        <v>S_Divers</v>
      </c>
      <c r="L223" s="99" t="str">
        <f>INDEX(Tableau5[Att1],MATCH(Tableau3[[#This Row],[ID-SIG]],Tableau5[ID],0))&amp;""</f>
        <v>S1</v>
      </c>
      <c r="M223" s="99" t="str">
        <f>INDEX(Tableau5[Att2],MATCH(Tableau3[[#This Row],[ID-SIG]],Tableau5[ID],0))&amp;""</f>
        <v/>
      </c>
      <c r="N223" s="99" t="str">
        <f>INDEX(Tableau5[Att3],MATCH(Tableau3[[#This Row],[ID-SIG]],Tableau5[ID],0))&amp;""</f>
        <v/>
      </c>
      <c r="O223" s="99"/>
      <c r="P223" s="99" t="str">
        <f>INDEX(Tableau5[Description],MATCH(Tableau3[[#This Row],[ID-SIG]],Tableau5[ID],0))</f>
        <v>Sortie 1</v>
      </c>
      <c r="Q223" s="99"/>
      <c r="R223" s="103" t="str">
        <f>Tableau3[[#This Row],[Description]]</f>
        <v>Sortie 1</v>
      </c>
      <c r="U223" s="87">
        <v>2</v>
      </c>
      <c r="V223" s="87">
        <v>1</v>
      </c>
      <c r="W223" s="87">
        <v>5</v>
      </c>
      <c r="X223" s="87">
        <v>5</v>
      </c>
      <c r="Y223" s="41"/>
      <c r="Z223" s="165" t="str">
        <f>INDEX(Tableau2[TS],MATCH(Tableau3[[#This Row],[ID-CARTEVOIE]],Tableau2[ID-CARTEVOIE],0))</f>
        <v>ST</v>
      </c>
      <c r="AA223" s="53" t="s">
        <v>213</v>
      </c>
      <c r="AB223" s="223" t="str">
        <f>IFERROR(INDEX(Tableau5[Reserve],MATCH(Tableau3[[#This Row],[ID-SIG]],Tableau5[ID],0))&amp;"","")</f>
        <v/>
      </c>
      <c r="AC223" s="21"/>
      <c r="AD223" s="108" t="str">
        <f>INDEX(Tableau7[Repere],MATCH(Tableau3[[#This Row],[ID-API]],Tableau7[ID-API],0))&amp;""</f>
        <v>A2</v>
      </c>
      <c r="AE223" s="108" t="str">
        <f>INDEX(Tableau1[Repere-Rack],MATCH(Tableau3[[#This Row],[ID-RACK]],Tableau1[ID-RACK],0))&amp;""</f>
        <v>R1</v>
      </c>
      <c r="AF223" s="108" t="str">
        <f>INDEX(Tableau1[Repere-Slot],MATCH(Tableau3[[#This Row],[ID-SLOT]],Tableau1[ID-SLOT],0))&amp;""</f>
        <v>S5</v>
      </c>
      <c r="AG223" s="108" t="str">
        <f>INDEX(Tableau2[Repere-Voie],MATCH(Tableau3[[#This Row],[ID-VOIE]],Tableau2[ID-Voie],0))&amp;""</f>
        <v>v5</v>
      </c>
      <c r="AH223" s="72" t="str">
        <f>Tableau3[[#This Row],[ID-API]]&amp; "." &amp;Tableau3[[#This Row],[ID-RACK]]&amp; "." &amp;Tableau3[[#This Row],[ID-SLOT]]</f>
        <v>2.1.5</v>
      </c>
      <c r="AI223" s="72" t="str">
        <f>INDEX(Tableau1[Ref-Carte],MATCH(Tableau3[[#This Row],[ID-RRS]],Tableau1[ID-RRS],0))</f>
        <v>SDO0802</v>
      </c>
      <c r="AJ223" s="72" t="str">
        <f t="array" ref="AJ223">IFERROR(INDEX(Tableau2[TS],MATCH(1,(Tableau2[Ref-Carte]=Tableau3[[#This Row],[Ref-Carte2]])*(Tableau2[ID-Voie]=Tableau3[[#This Row],[ID-VOIE]]),0)),"")</f>
        <v>ST</v>
      </c>
      <c r="AK223" s="72" t="str">
        <f>IFERROR(INDEX(Tableau2[TS],SUMPRODUCT((Tableau2[Ref-Carte]=Tableau3[[#This Row],[Ref-Carte2]])*(Tableau2[ID-Voie]=Tableau3[[#This Row],[ID-VOIE]])*ROW(Tableau2[TS]))-ROW(Tableau2[#Headers])),"")</f>
        <v>ST</v>
      </c>
      <c r="AL223" s="72" t="str">
        <f>Tableau3[[#This Row],[Ref-Carte2]]&amp;"/"&amp;Tableau3[[#This Row],[ID-VOIE]]</f>
        <v>SDO0802/5</v>
      </c>
      <c r="AM223" s="73" t="str">
        <f>INDEX(Tableau2[Borne],MATCH(Tableau3[[#This Row],[ID-CARTEVOIE]],Tableau2[ID-CARTEVOIE],0))&amp;""</f>
        <v>5</v>
      </c>
      <c r="AN223" s="74" t="str">
        <f>Tableau3[[#This Row],[ID-API]]&amp;Tableau3[[#This Row],[ID-RACK]]&amp;Tableau3[[#This Row],[ID-SLOT]]&amp;Tableau3[[#This Row],[BORNE]]</f>
        <v>2155</v>
      </c>
      <c r="AO223" s="1"/>
    </row>
    <row r="224" spans="1:41" ht="20.100000000000001" customHeight="1" thickTop="1" thickBot="1">
      <c r="A224" s="68"/>
      <c r="B224" s="69" t="str">
        <f>IFERROR(INDEX(Tableau4[Date],MATCH($A224,Tableau4[EVO],0)),"")</f>
        <v/>
      </c>
      <c r="C224" s="68" t="str">
        <f>IFERROR(INDEX(Tableau4[Designation],MATCH($A224,Tableau4[EVO],0)),"")</f>
        <v/>
      </c>
      <c r="D224" s="68"/>
      <c r="E224" s="70">
        <v>37</v>
      </c>
      <c r="F224" s="71">
        <v>74</v>
      </c>
      <c r="G224" s="101" t="str">
        <f>INDEX(Tableau8[Att1],MATCH(Tableau3[[#This Row],[ID-INS]],Tableau8[ID],0))&amp;""</f>
        <v>V1</v>
      </c>
      <c r="H224" s="101" t="str">
        <f>INDEX(Tableau8[Att2],MATCH(Tableau3[[#This Row],[ID-INS]],Tableau8[ID],0))&amp;""</f>
        <v>BH6</v>
      </c>
      <c r="I224" s="101" t="str">
        <f>INDEX(Tableau8[Att3],MATCH(Tableau3[[#This Row],[ID-INS]],Tableau8[ID],0))&amp;""</f>
        <v>Barrière BH6</v>
      </c>
      <c r="J224" s="101"/>
      <c r="K224" s="167" t="str">
        <f>INDEX(Tableau8[Nom du modele],MATCH(Tableau3[[#This Row],[ID-INS]],Tableau8[ID],0))&amp;""</f>
        <v>BarriereHerse_1</v>
      </c>
      <c r="L224" s="99" t="str">
        <f>INDEX(Tableau5[Att1],MATCH(Tableau3[[#This Row],[ID-SIG]],Tableau5[ID],0))&amp;""</f>
        <v>OuvCmd</v>
      </c>
      <c r="M224" s="99" t="str">
        <f>INDEX(Tableau5[Att2],MATCH(Tableau3[[#This Row],[ID-SIG]],Tableau5[ID],0))&amp;""</f>
        <v/>
      </c>
      <c r="N224" s="99" t="str">
        <f>INDEX(Tableau5[Att3],MATCH(Tableau3[[#This Row],[ID-SIG]],Tableau5[ID],0))&amp;""</f>
        <v/>
      </c>
      <c r="O224" s="99"/>
      <c r="P224" s="99" t="str">
        <f>INDEX(Tableau5[Description],MATCH(Tableau3[[#This Row],[ID-SIG]],Tableau5[ID],0))</f>
        <v>Commande ouverture</v>
      </c>
      <c r="Q224" s="99"/>
      <c r="R224" s="103" t="str">
        <f>Tableau3[[#This Row],[Description]]</f>
        <v>Commande ouverture</v>
      </c>
      <c r="U224" s="87">
        <v>2</v>
      </c>
      <c r="V224" s="87">
        <v>1</v>
      </c>
      <c r="W224" s="87">
        <v>5</v>
      </c>
      <c r="X224" s="87">
        <v>6</v>
      </c>
      <c r="Y224" s="41"/>
      <c r="Z224" s="165" t="str">
        <f>INDEX(Tableau2[TS],MATCH(Tableau3[[#This Row],[ID-CARTEVOIE]],Tableau2[ID-CARTEVOIE],0))</f>
        <v>ST</v>
      </c>
      <c r="AA224" s="53" t="s">
        <v>213</v>
      </c>
      <c r="AB224" s="223" t="str">
        <f>IFERROR(INDEX(Tableau5[Reserve],MATCH(Tableau3[[#This Row],[ID-SIG]],Tableau5[ID],0))&amp;"","")</f>
        <v/>
      </c>
      <c r="AC224" s="21"/>
      <c r="AD224" s="108" t="str">
        <f>INDEX(Tableau7[Repere],MATCH(Tableau3[[#This Row],[ID-API]],Tableau7[ID-API],0))&amp;""</f>
        <v>A2</v>
      </c>
      <c r="AE224" s="108" t="str">
        <f>INDEX(Tableau1[Repere-Rack],MATCH(Tableau3[[#This Row],[ID-RACK]],Tableau1[ID-RACK],0))&amp;""</f>
        <v>R1</v>
      </c>
      <c r="AF224" s="108" t="str">
        <f>INDEX(Tableau1[Repere-Slot],MATCH(Tableau3[[#This Row],[ID-SLOT]],Tableau1[ID-SLOT],0))&amp;""</f>
        <v>S5</v>
      </c>
      <c r="AG224" s="108" t="str">
        <f>INDEX(Tableau2[Repere-Voie],MATCH(Tableau3[[#This Row],[ID-VOIE]],Tableau2[ID-Voie],0))&amp;""</f>
        <v>v6</v>
      </c>
      <c r="AH224" s="72" t="str">
        <f>Tableau3[[#This Row],[ID-API]]&amp; "." &amp;Tableau3[[#This Row],[ID-RACK]]&amp; "." &amp;Tableau3[[#This Row],[ID-SLOT]]</f>
        <v>2.1.5</v>
      </c>
      <c r="AI224" s="72" t="str">
        <f>INDEX(Tableau1[Ref-Carte],MATCH(Tableau3[[#This Row],[ID-RRS]],Tableau1[ID-RRS],0))</f>
        <v>SDO0802</v>
      </c>
      <c r="AJ224" s="72" t="str">
        <f t="array" ref="AJ224">IFERROR(INDEX(Tableau2[TS],MATCH(1,(Tableau2[Ref-Carte]=Tableau3[[#This Row],[Ref-Carte2]])*(Tableau2[ID-Voie]=Tableau3[[#This Row],[ID-VOIE]]),0)),"")</f>
        <v>ST</v>
      </c>
      <c r="AK224" s="72" t="str">
        <f>IFERROR(INDEX(Tableau2[TS],SUMPRODUCT((Tableau2[Ref-Carte]=Tableau3[[#This Row],[Ref-Carte2]])*(Tableau2[ID-Voie]=Tableau3[[#This Row],[ID-VOIE]])*ROW(Tableau2[TS]))-ROW(Tableau2[#Headers])),"")</f>
        <v>ST</v>
      </c>
      <c r="AL224" s="72" t="str">
        <f>Tableau3[[#This Row],[Ref-Carte2]]&amp;"/"&amp;Tableau3[[#This Row],[ID-VOIE]]</f>
        <v>SDO0802/6</v>
      </c>
      <c r="AM224" s="73" t="str">
        <f>INDEX(Tableau2[Borne],MATCH(Tableau3[[#This Row],[ID-CARTEVOIE]],Tableau2[ID-CARTEVOIE],0))&amp;""</f>
        <v>6</v>
      </c>
      <c r="AN224" s="74" t="str">
        <f>Tableau3[[#This Row],[ID-API]]&amp;Tableau3[[#This Row],[ID-RACK]]&amp;Tableau3[[#This Row],[ID-SLOT]]&amp;Tableau3[[#This Row],[BORNE]]</f>
        <v>2156</v>
      </c>
      <c r="AO224" s="1"/>
    </row>
    <row r="225" spans="1:41" ht="20.100000000000001" customHeight="1" thickTop="1" thickBot="1">
      <c r="A225" s="68"/>
      <c r="B225" s="69" t="str">
        <f>IFERROR(INDEX(Tableau4[Date],MATCH($A225,Tableau4[EVO],0)),"")</f>
        <v/>
      </c>
      <c r="C225" s="68" t="str">
        <f>IFERROR(INDEX(Tableau4[Designation],MATCH($A225,Tableau4[EVO],0)),"")</f>
        <v/>
      </c>
      <c r="D225" s="68"/>
      <c r="E225" s="70">
        <v>37</v>
      </c>
      <c r="F225" s="71">
        <v>75</v>
      </c>
      <c r="G225" s="101" t="str">
        <f>INDEX(Tableau8[Att1],MATCH(Tableau3[[#This Row],[ID-INS]],Tableau8[ID],0))&amp;""</f>
        <v>V1</v>
      </c>
      <c r="H225" s="101" t="str">
        <f>INDEX(Tableau8[Att2],MATCH(Tableau3[[#This Row],[ID-INS]],Tableau8[ID],0))&amp;""</f>
        <v>BH6</v>
      </c>
      <c r="I225" s="101" t="str">
        <f>INDEX(Tableau8[Att3],MATCH(Tableau3[[#This Row],[ID-INS]],Tableau8[ID],0))&amp;""</f>
        <v>Barrière BH6</v>
      </c>
      <c r="J225" s="101"/>
      <c r="K225" s="167" t="str">
        <f>INDEX(Tableau8[Nom du modele],MATCH(Tableau3[[#This Row],[ID-INS]],Tableau8[ID],0))&amp;""</f>
        <v>BarriereHerse_1</v>
      </c>
      <c r="L225" s="99" t="str">
        <f>INDEX(Tableau5[Att1],MATCH(Tableau3[[#This Row],[ID-SIG]],Tableau5[ID],0))&amp;""</f>
        <v>Réserve</v>
      </c>
      <c r="M225" s="99" t="str">
        <f>INDEX(Tableau5[Att2],MATCH(Tableau3[[#This Row],[ID-SIG]],Tableau5[ID],0))&amp;""</f>
        <v/>
      </c>
      <c r="N225" s="99" t="str">
        <f>INDEX(Tableau5[Att3],MATCH(Tableau3[[#This Row],[ID-SIG]],Tableau5[ID],0))&amp;""</f>
        <v/>
      </c>
      <c r="O225" s="99"/>
      <c r="P225" s="99" t="str">
        <f>INDEX(Tableau5[Description],MATCH(Tableau3[[#This Row],[ID-SIG]],Tableau5[ID],0))</f>
        <v>Réserve</v>
      </c>
      <c r="Q225" s="99"/>
      <c r="R225" s="103" t="str">
        <f>Tableau3[[#This Row],[Description]]</f>
        <v>Réserve</v>
      </c>
      <c r="U225" s="87">
        <v>2</v>
      </c>
      <c r="V225" s="87">
        <v>1</v>
      </c>
      <c r="W225" s="87">
        <v>5</v>
      </c>
      <c r="X225" s="87">
        <v>7</v>
      </c>
      <c r="Y225" s="41"/>
      <c r="Z225" s="165" t="str">
        <f>INDEX(Tableau2[TS],MATCH(Tableau3[[#This Row],[ID-CARTEVOIE]],Tableau2[ID-CARTEVOIE],0))</f>
        <v>ST</v>
      </c>
      <c r="AA225" s="53" t="s">
        <v>213</v>
      </c>
      <c r="AB225" s="223" t="str">
        <f>IFERROR(INDEX(Tableau5[Reserve],MATCH(Tableau3[[#This Row],[ID-SIG]],Tableau5[ID],0))&amp;"","")</f>
        <v/>
      </c>
      <c r="AC225" s="21"/>
      <c r="AD225" s="108" t="str">
        <f>INDEX(Tableau7[Repere],MATCH(Tableau3[[#This Row],[ID-API]],Tableau7[ID-API],0))&amp;""</f>
        <v>A2</v>
      </c>
      <c r="AE225" s="108" t="str">
        <f>INDEX(Tableau1[Repere-Rack],MATCH(Tableau3[[#This Row],[ID-RACK]],Tableau1[ID-RACK],0))&amp;""</f>
        <v>R1</v>
      </c>
      <c r="AF225" s="108" t="str">
        <f>INDEX(Tableau1[Repere-Slot],MATCH(Tableau3[[#This Row],[ID-SLOT]],Tableau1[ID-SLOT],0))&amp;""</f>
        <v>S5</v>
      </c>
      <c r="AG225" s="108" t="str">
        <f>INDEX(Tableau2[Repere-Voie],MATCH(Tableau3[[#This Row],[ID-VOIE]],Tableau2[ID-Voie],0))&amp;""</f>
        <v>v7</v>
      </c>
      <c r="AH225" s="72" t="str">
        <f>Tableau3[[#This Row],[ID-API]]&amp; "." &amp;Tableau3[[#This Row],[ID-RACK]]&amp; "." &amp;Tableau3[[#This Row],[ID-SLOT]]</f>
        <v>2.1.5</v>
      </c>
      <c r="AI225" s="72" t="str">
        <f>INDEX(Tableau1[Ref-Carte],MATCH(Tableau3[[#This Row],[ID-RRS]],Tableau1[ID-RRS],0))</f>
        <v>SDO0802</v>
      </c>
      <c r="AJ225" s="72" t="str">
        <f t="array" ref="AJ225">IFERROR(INDEX(Tableau2[TS],MATCH(1,(Tableau2[Ref-Carte]=Tableau3[[#This Row],[Ref-Carte2]])*(Tableau2[ID-Voie]=Tableau3[[#This Row],[ID-VOIE]]),0)),"")</f>
        <v>ST</v>
      </c>
      <c r="AK225" s="72" t="str">
        <f>IFERROR(INDEX(Tableau2[TS],SUMPRODUCT((Tableau2[Ref-Carte]=Tableau3[[#This Row],[Ref-Carte2]])*(Tableau2[ID-Voie]=Tableau3[[#This Row],[ID-VOIE]])*ROW(Tableau2[TS]))-ROW(Tableau2[#Headers])),"")</f>
        <v>ST</v>
      </c>
      <c r="AL225" s="72" t="str">
        <f>Tableau3[[#This Row],[Ref-Carte2]]&amp;"/"&amp;Tableau3[[#This Row],[ID-VOIE]]</f>
        <v>SDO0802/7</v>
      </c>
      <c r="AM225" s="73" t="str">
        <f>INDEX(Tableau2[Borne],MATCH(Tableau3[[#This Row],[ID-CARTEVOIE]],Tableau2[ID-CARTEVOIE],0))&amp;""</f>
        <v>7</v>
      </c>
      <c r="AN225" s="74" t="str">
        <f>Tableau3[[#This Row],[ID-API]]&amp;Tableau3[[#This Row],[ID-RACK]]&amp;Tableau3[[#This Row],[ID-SLOT]]&amp;Tableau3[[#This Row],[BORNE]]</f>
        <v>2157</v>
      </c>
      <c r="AO225" s="1"/>
    </row>
    <row r="226" spans="1:41" ht="20.100000000000001" customHeight="1" thickTop="1" thickBot="1">
      <c r="A226" s="75"/>
      <c r="B226" s="76" t="str">
        <f>IFERROR(INDEX(Tableau4[Date],MATCH($A226,Tableau4[EVO],0)),"")</f>
        <v/>
      </c>
      <c r="C226" s="75" t="str">
        <f>IFERROR(INDEX(Tableau4[Designation],MATCH($A226,Tableau4[EVO],0)),"")</f>
        <v/>
      </c>
      <c r="D226" s="75"/>
      <c r="E226" s="79">
        <v>37</v>
      </c>
      <c r="F226" s="80">
        <v>76</v>
      </c>
      <c r="G226" s="102" t="str">
        <f>INDEX(Tableau8[Att1],MATCH(Tableau3[[#This Row],[ID-INS]],Tableau8[ID],0))&amp;""</f>
        <v>V1</v>
      </c>
      <c r="H226" s="102" t="str">
        <f>INDEX(Tableau8[Att2],MATCH(Tableau3[[#This Row],[ID-INS]],Tableau8[ID],0))&amp;""</f>
        <v>BH6</v>
      </c>
      <c r="I226" s="102" t="str">
        <f>INDEX(Tableau8[Att3],MATCH(Tableau3[[#This Row],[ID-INS]],Tableau8[ID],0))&amp;""</f>
        <v>Barrière BH6</v>
      </c>
      <c r="J226" s="102"/>
      <c r="K226" s="167" t="str">
        <f>INDEX(Tableau8[Nom du modele],MATCH(Tableau3[[#This Row],[ID-INS]],Tableau8[ID],0))&amp;""</f>
        <v>BarriereHerse_1</v>
      </c>
      <c r="L226" s="100" t="str">
        <f>INDEX(Tableau5[Att1],MATCH(Tableau3[[#This Row],[ID-SIG]],Tableau5[ID],0))&amp;""</f>
        <v>FerCmd1</v>
      </c>
      <c r="M226" s="100" t="str">
        <f>INDEX(Tableau5[Att2],MATCH(Tableau3[[#This Row],[ID-SIG]],Tableau5[ID],0))&amp;""</f>
        <v/>
      </c>
      <c r="N226" s="100" t="str">
        <f>INDEX(Tableau5[Att3],MATCH(Tableau3[[#This Row],[ID-SIG]],Tableau5[ID],0))&amp;""</f>
        <v/>
      </c>
      <c r="O226" s="100"/>
      <c r="P226" s="100" t="str">
        <f>INDEX(Tableau5[Description],MATCH(Tableau3[[#This Row],[ID-SIG]],Tableau5[ID],0))</f>
        <v>Commande 1 fermeture</v>
      </c>
      <c r="Q226" s="100"/>
      <c r="R226" s="104" t="str">
        <f>Tableau3[[#This Row],[Description]]</f>
        <v>Commande 1 fermeture</v>
      </c>
      <c r="U226" s="88">
        <v>2</v>
      </c>
      <c r="V226" s="88">
        <v>1</v>
      </c>
      <c r="W226" s="88">
        <v>6</v>
      </c>
      <c r="X226" s="88">
        <v>0</v>
      </c>
      <c r="Y226" s="41"/>
      <c r="Z226" s="166" t="str">
        <f>INDEX(Tableau2[TS],MATCH(Tableau3[[#This Row],[ID-CARTEVOIE]],Tableau2[ID-CARTEVOIE],0))</f>
        <v>ST</v>
      </c>
      <c r="AA226" s="81" t="s">
        <v>213</v>
      </c>
      <c r="AB226" s="226" t="str">
        <f>IFERROR(INDEX(Tableau5[Reserve],MATCH(Tableau3[[#This Row],[ID-SIG]],Tableau5[ID],0))&amp;"","")</f>
        <v/>
      </c>
      <c r="AC226" s="21"/>
      <c r="AD226" s="108" t="str">
        <f>INDEX(Tableau7[Repere],MATCH(Tableau3[[#This Row],[ID-API]],Tableau7[ID-API],0))&amp;""</f>
        <v>A2</v>
      </c>
      <c r="AE226" s="109" t="str">
        <f>INDEX(Tableau1[Repere-Rack],MATCH(Tableau3[[#This Row],[ID-RACK]],Tableau1[ID-RACK],0))&amp;""</f>
        <v>R1</v>
      </c>
      <c r="AF226" s="109" t="str">
        <f>INDEX(Tableau1[Repere-Slot],MATCH(Tableau3[[#This Row],[ID-SLOT]],Tableau1[ID-SLOT],0))&amp;""</f>
        <v>S6</v>
      </c>
      <c r="AG226" s="109" t="str">
        <f>INDEX(Tableau2[Repere-Voie],MATCH(Tableau3[[#This Row],[ID-VOIE]],Tableau2[ID-Voie],0))&amp;""</f>
        <v>v0</v>
      </c>
      <c r="AH226" s="72" t="str">
        <f>Tableau3[[#This Row],[ID-API]]&amp; "." &amp;Tableau3[[#This Row],[ID-RACK]]&amp; "." &amp;Tableau3[[#This Row],[ID-SLOT]]</f>
        <v>2.1.6</v>
      </c>
      <c r="AI226" s="72" t="str">
        <f>INDEX(Tableau1[Ref-Carte],MATCH(Tableau3[[#This Row],[ID-RRS]],Tableau1[ID-RRS],0))</f>
        <v>SDO0802</v>
      </c>
      <c r="AJ226" s="72" t="str">
        <f t="array" ref="AJ226">IFERROR(INDEX(Tableau2[TS],MATCH(1,(Tableau2[Ref-Carte]=Tableau3[[#This Row],[Ref-Carte2]])*(Tableau2[ID-Voie]=Tableau3[[#This Row],[ID-VOIE]]),0)),"")</f>
        <v>ST</v>
      </c>
      <c r="AK226" s="72" t="str">
        <f>IFERROR(INDEX(Tableau2[TS],SUMPRODUCT((Tableau2[Ref-Carte]=Tableau3[[#This Row],[Ref-Carte2]])*(Tableau2[ID-Voie]=Tableau3[[#This Row],[ID-VOIE]])*ROW(Tableau2[TS]))-ROW(Tableau2[#Headers])),"")</f>
        <v>ST</v>
      </c>
      <c r="AL226" s="72" t="str">
        <f>Tableau3[[#This Row],[Ref-Carte2]]&amp;"/"&amp;Tableau3[[#This Row],[ID-VOIE]]</f>
        <v>SDO0802/0</v>
      </c>
      <c r="AM226" s="77" t="str">
        <f>INDEX(Tableau2[Borne],MATCH(Tableau3[[#This Row],[ID-CARTEVOIE]],Tableau2[ID-CARTEVOIE],0))&amp;""</f>
        <v>0</v>
      </c>
      <c r="AN226" s="74" t="str">
        <f>Tableau3[[#This Row],[ID-API]]&amp;Tableau3[[#This Row],[ID-RACK]]&amp;Tableau3[[#This Row],[ID-SLOT]]&amp;Tableau3[[#This Row],[BORNE]]</f>
        <v>2160</v>
      </c>
      <c r="AO226" s="1"/>
    </row>
    <row r="227" spans="1:41" ht="20.100000000000001" customHeight="1" thickTop="1" thickBot="1">
      <c r="A227" s="75"/>
      <c r="B227" s="76" t="str">
        <f>IFERROR(INDEX(Tableau4[Date],MATCH($A227,Tableau4[EVO],0)),"")</f>
        <v/>
      </c>
      <c r="C227" s="75" t="str">
        <f>IFERROR(INDEX(Tableau4[Designation],MATCH($A227,Tableau4[EVO],0)),"")</f>
        <v/>
      </c>
      <c r="D227" s="75"/>
      <c r="E227" s="79">
        <v>38</v>
      </c>
      <c r="F227" s="80">
        <v>71</v>
      </c>
      <c r="G227" s="126" t="str">
        <f>INDEX(Tableau8[Att1],MATCH(Tableau3[[#This Row],[ID-INS]],Tableau8[ID],0))&amp;""</f>
        <v>V2</v>
      </c>
      <c r="H227" s="126" t="str">
        <f>INDEX(Tableau8[Att2],MATCH(Tableau3[[#This Row],[ID-INS]],Tableau8[ID],0))&amp;""</f>
        <v>BH7</v>
      </c>
      <c r="I227" s="126" t="str">
        <f>INDEX(Tableau8[Att3],MATCH(Tableau3[[#This Row],[ID-INS]],Tableau8[ID],0))&amp;""</f>
        <v>Barrière BH7</v>
      </c>
      <c r="J227" s="126"/>
      <c r="K227" s="167" t="str">
        <f>INDEX(Tableau8[Nom du modele],MATCH(Tableau3[[#This Row],[ID-INS]],Tableau8[ID],0))&amp;""</f>
        <v>BarriereHerse_1</v>
      </c>
      <c r="L227" s="127" t="str">
        <f>INDEX(Tableau5[Att1],MATCH(Tableau3[[#This Row],[ID-SIG]],Tableau5[ID],0))&amp;""</f>
        <v>FerCmd2</v>
      </c>
      <c r="M227" s="127" t="str">
        <f>INDEX(Tableau5[Att2],MATCH(Tableau3[[#This Row],[ID-SIG]],Tableau5[ID],0))&amp;""</f>
        <v/>
      </c>
      <c r="N227" s="127" t="str">
        <f>INDEX(Tableau5[Att3],MATCH(Tableau3[[#This Row],[ID-SIG]],Tableau5[ID],0))&amp;""</f>
        <v/>
      </c>
      <c r="O227" s="127"/>
      <c r="P227" s="127" t="str">
        <f>INDEX(Tableau5[Description],MATCH(Tableau3[[#This Row],[ID-SIG]],Tableau5[ID],0))</f>
        <v>Commande 2 fermeture</v>
      </c>
      <c r="Q227" s="127"/>
      <c r="R227" s="143" t="str">
        <f>Tableau3[[#This Row],[Description]]</f>
        <v>Commande 2 fermeture</v>
      </c>
      <c r="U227" s="130">
        <v>2</v>
      </c>
      <c r="V227" s="130">
        <v>1</v>
      </c>
      <c r="W227" s="130">
        <v>6</v>
      </c>
      <c r="X227" s="130">
        <v>1</v>
      </c>
      <c r="Y227" s="41"/>
      <c r="Z227" s="166" t="str">
        <f>INDEX(Tableau2[TS],MATCH(Tableau3[[#This Row],[ID-CARTEVOIE]],Tableau2[ID-CARTEVOIE],0))</f>
        <v>ST</v>
      </c>
      <c r="AA227" s="81" t="s">
        <v>213</v>
      </c>
      <c r="AB227" s="226" t="str">
        <f>IFERROR(INDEX(Tableau5[Reserve],MATCH(Tableau3[[#This Row],[ID-SIG]],Tableau5[ID],0))&amp;"","")</f>
        <v/>
      </c>
      <c r="AC227" s="21"/>
      <c r="AD227" s="108" t="str">
        <f>INDEX(Tableau7[Repere],MATCH(Tableau3[[#This Row],[ID-API]],Tableau7[ID-API],0))&amp;""</f>
        <v>A2</v>
      </c>
      <c r="AE227" s="109" t="str">
        <f>INDEX(Tableau1[Repere-Rack],MATCH(Tableau3[[#This Row],[ID-RACK]],Tableau1[ID-RACK],0))&amp;""</f>
        <v>R1</v>
      </c>
      <c r="AF227" s="109" t="str">
        <f>INDEX(Tableau1[Repere-Slot],MATCH(Tableau3[[#This Row],[ID-SLOT]],Tableau1[ID-SLOT],0))&amp;""</f>
        <v>S6</v>
      </c>
      <c r="AG227" s="109" t="str">
        <f>INDEX(Tableau2[Repere-Voie],MATCH(Tableau3[[#This Row],[ID-VOIE]],Tableau2[ID-Voie],0))&amp;""</f>
        <v>v1</v>
      </c>
      <c r="AH227" s="72" t="str">
        <f>Tableau3[[#This Row],[ID-API]]&amp; "." &amp;Tableau3[[#This Row],[ID-RACK]]&amp; "." &amp;Tableau3[[#This Row],[ID-SLOT]]</f>
        <v>2.1.6</v>
      </c>
      <c r="AI227" s="72" t="str">
        <f>INDEX(Tableau1[Ref-Carte],MATCH(Tableau3[[#This Row],[ID-RRS]],Tableau1[ID-RRS],0))</f>
        <v>SDO0802</v>
      </c>
      <c r="AJ227" s="72" t="str">
        <f t="array" ref="AJ227">IFERROR(INDEX(Tableau2[TS],MATCH(1,(Tableau2[Ref-Carte]=Tableau3[[#This Row],[Ref-Carte2]])*(Tableau2[ID-Voie]=Tableau3[[#This Row],[ID-VOIE]]),0)),"")</f>
        <v>ST</v>
      </c>
      <c r="AK227" s="72" t="str">
        <f>IFERROR(INDEX(Tableau2[TS],SUMPRODUCT((Tableau2[Ref-Carte]=Tableau3[[#This Row],[Ref-Carte2]])*(Tableau2[ID-Voie]=Tableau3[[#This Row],[ID-VOIE]])*ROW(Tableau2[TS]))-ROW(Tableau2[#Headers])),"")</f>
        <v>ST</v>
      </c>
      <c r="AL227" s="72" t="str">
        <f>Tableau3[[#This Row],[Ref-Carte2]]&amp;"/"&amp;Tableau3[[#This Row],[ID-VOIE]]</f>
        <v>SDO0802/1</v>
      </c>
      <c r="AM227" s="77" t="str">
        <f>INDEX(Tableau2[Borne],MATCH(Tableau3[[#This Row],[ID-CARTEVOIE]],Tableau2[ID-CARTEVOIE],0))&amp;""</f>
        <v>1</v>
      </c>
      <c r="AN227" s="74" t="str">
        <f>Tableau3[[#This Row],[ID-API]]&amp;Tableau3[[#This Row],[ID-RACK]]&amp;Tableau3[[#This Row],[ID-SLOT]]&amp;Tableau3[[#This Row],[BORNE]]</f>
        <v>2161</v>
      </c>
      <c r="AO227" s="1"/>
    </row>
    <row r="228" spans="1:41" ht="20.100000000000001" customHeight="1" thickTop="1" thickBot="1">
      <c r="A228" s="75"/>
      <c r="B228" s="76" t="str">
        <f>IFERROR(INDEX(Tableau4[Date],MATCH($A228,Tableau4[EVO],0)),"")</f>
        <v/>
      </c>
      <c r="C228" s="75" t="str">
        <f>IFERROR(INDEX(Tableau4[Designation],MATCH($A228,Tableau4[EVO],0)),"")</f>
        <v/>
      </c>
      <c r="D228" s="75"/>
      <c r="E228" s="79">
        <v>72</v>
      </c>
      <c r="F228" s="80">
        <v>63</v>
      </c>
      <c r="G228" s="102" t="str">
        <f>INDEX(Tableau8[Att1],MATCH(Tableau3[[#This Row],[ID-INS]],Tableau8[ID],0))&amp;""</f>
        <v>V1</v>
      </c>
      <c r="H228" s="102" t="str">
        <f>INDEX(Tableau8[Att2],MATCH(Tableau3[[#This Row],[ID-INS]],Tableau8[ID],0))&amp;""</f>
        <v>BH1</v>
      </c>
      <c r="I228" s="102" t="str">
        <f>INDEX(Tableau8[Att3],MATCH(Tableau3[[#This Row],[ID-INS]],Tableau8[ID],0))&amp;""</f>
        <v>Barrière BH1</v>
      </c>
      <c r="J228" s="102"/>
      <c r="K228" s="167" t="str">
        <f>INDEX(Tableau8[Nom du modele],MATCH(Tableau3[[#This Row],[ID-INS]],Tableau8[ID],0))&amp;""</f>
        <v>BarriereLisse</v>
      </c>
      <c r="L228" s="100" t="str">
        <f>INDEX(Tableau5[Att1],MATCH(Tableau3[[#This Row],[ID-SIG]],Tableau5[ID],0))&amp;""</f>
        <v>OuvCmd</v>
      </c>
      <c r="M228" s="100" t="str">
        <f>INDEX(Tableau5[Att2],MATCH(Tableau3[[#This Row],[ID-SIG]],Tableau5[ID],0))&amp;""</f>
        <v/>
      </c>
      <c r="N228" s="100" t="str">
        <f>INDEX(Tableau5[Att3],MATCH(Tableau3[[#This Row],[ID-SIG]],Tableau5[ID],0))&amp;""</f>
        <v/>
      </c>
      <c r="O228" s="100"/>
      <c r="P228" s="100" t="str">
        <f>INDEX(Tableau5[Description],MATCH(Tableau3[[#This Row],[ID-SIG]],Tableau5[ID],0))</f>
        <v>Commande ouverture</v>
      </c>
      <c r="Q228" s="100"/>
      <c r="R228" s="104" t="str">
        <f>Tableau3[[#This Row],[Description]]</f>
        <v>Commande ouverture</v>
      </c>
      <c r="U228" s="88">
        <v>2</v>
      </c>
      <c r="V228" s="88">
        <v>1</v>
      </c>
      <c r="W228" s="88">
        <v>6</v>
      </c>
      <c r="X228" s="88">
        <v>2</v>
      </c>
      <c r="Y228" s="41"/>
      <c r="Z228" s="166" t="str">
        <f>INDEX(Tableau2[TS],MATCH(Tableau3[[#This Row],[ID-CARTEVOIE]],Tableau2[ID-CARTEVOIE],0))</f>
        <v>ST</v>
      </c>
      <c r="AA228" s="81" t="s">
        <v>213</v>
      </c>
      <c r="AB228" s="226" t="str">
        <f>IFERROR(INDEX(Tableau5[Reserve],MATCH(Tableau3[[#This Row],[ID-SIG]],Tableau5[ID],0))&amp;"","")</f>
        <v/>
      </c>
      <c r="AC228" s="21"/>
      <c r="AD228" s="108" t="str">
        <f>INDEX(Tableau7[Repere],MATCH(Tableau3[[#This Row],[ID-API]],Tableau7[ID-API],0))&amp;""</f>
        <v>A2</v>
      </c>
      <c r="AE228" s="109" t="str">
        <f>INDEX(Tableau1[Repere-Rack],MATCH(Tableau3[[#This Row],[ID-RACK]],Tableau1[ID-RACK],0))&amp;""</f>
        <v>R1</v>
      </c>
      <c r="AF228" s="109" t="str">
        <f>INDEX(Tableau1[Repere-Slot],MATCH(Tableau3[[#This Row],[ID-SLOT]],Tableau1[ID-SLOT],0))&amp;""</f>
        <v>S6</v>
      </c>
      <c r="AG228" s="109" t="str">
        <f>INDEX(Tableau2[Repere-Voie],MATCH(Tableau3[[#This Row],[ID-VOIE]],Tableau2[ID-Voie],0))&amp;""</f>
        <v>v2</v>
      </c>
      <c r="AH228" s="72" t="str">
        <f>Tableau3[[#This Row],[ID-API]]&amp; "." &amp;Tableau3[[#This Row],[ID-RACK]]&amp; "." &amp;Tableau3[[#This Row],[ID-SLOT]]</f>
        <v>2.1.6</v>
      </c>
      <c r="AI228" s="72" t="str">
        <f>INDEX(Tableau1[Ref-Carte],MATCH(Tableau3[[#This Row],[ID-RRS]],Tableau1[ID-RRS],0))</f>
        <v>SDO0802</v>
      </c>
      <c r="AJ228" s="72" t="str">
        <f t="array" ref="AJ228">IFERROR(INDEX(Tableau2[TS],MATCH(1,(Tableau2[Ref-Carte]=Tableau3[[#This Row],[Ref-Carte2]])*(Tableau2[ID-Voie]=Tableau3[[#This Row],[ID-VOIE]]),0)),"")</f>
        <v>ST</v>
      </c>
      <c r="AK228" s="72" t="str">
        <f>IFERROR(INDEX(Tableau2[TS],SUMPRODUCT((Tableau2[Ref-Carte]=Tableau3[[#This Row],[Ref-Carte2]])*(Tableau2[ID-Voie]=Tableau3[[#This Row],[ID-VOIE]])*ROW(Tableau2[TS]))-ROW(Tableau2[#Headers])),"")</f>
        <v>ST</v>
      </c>
      <c r="AL228" s="72" t="str">
        <f>Tableau3[[#This Row],[Ref-Carte2]]&amp;"/"&amp;Tableau3[[#This Row],[ID-VOIE]]</f>
        <v>SDO0802/2</v>
      </c>
      <c r="AM228" s="77" t="str">
        <f>INDEX(Tableau2[Borne],MATCH(Tableau3[[#This Row],[ID-CARTEVOIE]],Tableau2[ID-CARTEVOIE],0))&amp;""</f>
        <v>2</v>
      </c>
      <c r="AN228" s="74" t="str">
        <f>Tableau3[[#This Row],[ID-API]]&amp;Tableau3[[#This Row],[ID-RACK]]&amp;Tableau3[[#This Row],[ID-SLOT]]&amp;Tableau3[[#This Row],[BORNE]]</f>
        <v>2162</v>
      </c>
      <c r="AO228" s="1"/>
    </row>
    <row r="229" spans="1:41" ht="20.100000000000001" customHeight="1" thickTop="1" thickBot="1">
      <c r="A229" s="75"/>
      <c r="B229" s="76" t="str">
        <f>IFERROR(INDEX(Tableau4[Date],MATCH($A229,Tableau4[EVO],0)),"")</f>
        <v/>
      </c>
      <c r="C229" s="75" t="str">
        <f>IFERROR(INDEX(Tableau4[Designation],MATCH($A229,Tableau4[EVO],0)),"")</f>
        <v/>
      </c>
      <c r="D229" s="75"/>
      <c r="E229" s="79">
        <v>72</v>
      </c>
      <c r="F229" s="80">
        <v>64</v>
      </c>
      <c r="G229" s="102" t="str">
        <f>INDEX(Tableau8[Att1],MATCH(Tableau3[[#This Row],[ID-INS]],Tableau8[ID],0))&amp;""</f>
        <v>V1</v>
      </c>
      <c r="H229" s="102" t="str">
        <f>INDEX(Tableau8[Att2],MATCH(Tableau3[[#This Row],[ID-INS]],Tableau8[ID],0))&amp;""</f>
        <v>BH1</v>
      </c>
      <c r="I229" s="102" t="str">
        <f>INDEX(Tableau8[Att3],MATCH(Tableau3[[#This Row],[ID-INS]],Tableau8[ID],0))&amp;""</f>
        <v>Barrière BH1</v>
      </c>
      <c r="J229" s="102"/>
      <c r="K229" s="167" t="str">
        <f>INDEX(Tableau8[Nom du modele],MATCH(Tableau3[[#This Row],[ID-INS]],Tableau8[ID],0))&amp;""</f>
        <v>BarriereLisse</v>
      </c>
      <c r="L229" s="100" t="str">
        <f>INDEX(Tableau5[Att1],MATCH(Tableau3[[#This Row],[ID-SIG]],Tableau5[ID],0))&amp;""</f>
        <v>FerCmd</v>
      </c>
      <c r="M229" s="100" t="str">
        <f>INDEX(Tableau5[Att2],MATCH(Tableau3[[#This Row],[ID-SIG]],Tableau5[ID],0))&amp;""</f>
        <v/>
      </c>
      <c r="N229" s="100" t="str">
        <f>INDEX(Tableau5[Att3],MATCH(Tableau3[[#This Row],[ID-SIG]],Tableau5[ID],0))&amp;""</f>
        <v/>
      </c>
      <c r="O229" s="100"/>
      <c r="P229" s="100" t="str">
        <f>INDEX(Tableau5[Description],MATCH(Tableau3[[#This Row],[ID-SIG]],Tableau5[ID],0))</f>
        <v>Commande fermeture</v>
      </c>
      <c r="Q229" s="100"/>
      <c r="R229" s="104" t="str">
        <f>Tableau3[[#This Row],[Description]]</f>
        <v>Commande fermeture</v>
      </c>
      <c r="U229" s="130">
        <v>2</v>
      </c>
      <c r="V229" s="130">
        <v>1</v>
      </c>
      <c r="W229" s="130">
        <v>6</v>
      </c>
      <c r="X229" s="130">
        <v>3</v>
      </c>
      <c r="Y229" s="41"/>
      <c r="Z229" s="166" t="str">
        <f>INDEX(Tableau2[TS],MATCH(Tableau3[[#This Row],[ID-CARTEVOIE]],Tableau2[ID-CARTEVOIE],0))</f>
        <v>ST</v>
      </c>
      <c r="AA229" s="81" t="s">
        <v>213</v>
      </c>
      <c r="AB229" s="226" t="str">
        <f>IFERROR(INDEX(Tableau5[Reserve],MATCH(Tableau3[[#This Row],[ID-SIG]],Tableau5[ID],0))&amp;"","")</f>
        <v/>
      </c>
      <c r="AC229" s="21"/>
      <c r="AD229" s="108" t="str">
        <f>INDEX(Tableau7[Repere],MATCH(Tableau3[[#This Row],[ID-API]],Tableau7[ID-API],0))&amp;""</f>
        <v>A2</v>
      </c>
      <c r="AE229" s="109" t="str">
        <f>INDEX(Tableau1[Repere-Rack],MATCH(Tableau3[[#This Row],[ID-RACK]],Tableau1[ID-RACK],0))&amp;""</f>
        <v>R1</v>
      </c>
      <c r="AF229" s="109" t="str">
        <f>INDEX(Tableau1[Repere-Slot],MATCH(Tableau3[[#This Row],[ID-SLOT]],Tableau1[ID-SLOT],0))&amp;""</f>
        <v>S6</v>
      </c>
      <c r="AG229" s="109" t="str">
        <f>INDEX(Tableau2[Repere-Voie],MATCH(Tableau3[[#This Row],[ID-VOIE]],Tableau2[ID-Voie],0))&amp;""</f>
        <v>v3</v>
      </c>
      <c r="AH229" s="72" t="str">
        <f>Tableau3[[#This Row],[ID-API]]&amp; "." &amp;Tableau3[[#This Row],[ID-RACK]]&amp; "." &amp;Tableau3[[#This Row],[ID-SLOT]]</f>
        <v>2.1.6</v>
      </c>
      <c r="AI229" s="72" t="str">
        <f>INDEX(Tableau1[Ref-Carte],MATCH(Tableau3[[#This Row],[ID-RRS]],Tableau1[ID-RRS],0))</f>
        <v>SDO0802</v>
      </c>
      <c r="AJ229" s="72" t="str">
        <f t="array" ref="AJ229">IFERROR(INDEX(Tableau2[TS],MATCH(1,(Tableau2[Ref-Carte]=Tableau3[[#This Row],[Ref-Carte2]])*(Tableau2[ID-Voie]=Tableau3[[#This Row],[ID-VOIE]]),0)),"")</f>
        <v>ST</v>
      </c>
      <c r="AK229" s="72" t="str">
        <f>IFERROR(INDEX(Tableau2[TS],SUMPRODUCT((Tableau2[Ref-Carte]=Tableau3[[#This Row],[Ref-Carte2]])*(Tableau2[ID-Voie]=Tableau3[[#This Row],[ID-VOIE]])*ROW(Tableau2[TS]))-ROW(Tableau2[#Headers])),"")</f>
        <v>ST</v>
      </c>
      <c r="AL229" s="72" t="str">
        <f>Tableau3[[#This Row],[Ref-Carte2]]&amp;"/"&amp;Tableau3[[#This Row],[ID-VOIE]]</f>
        <v>SDO0802/3</v>
      </c>
      <c r="AM229" s="77" t="str">
        <f>INDEX(Tableau2[Borne],MATCH(Tableau3[[#This Row],[ID-CARTEVOIE]],Tableau2[ID-CARTEVOIE],0))&amp;""</f>
        <v>3</v>
      </c>
      <c r="AN229" s="74" t="str">
        <f>Tableau3[[#This Row],[ID-API]]&amp;Tableau3[[#This Row],[ID-RACK]]&amp;Tableau3[[#This Row],[ID-SLOT]]&amp;Tableau3[[#This Row],[BORNE]]</f>
        <v>2163</v>
      </c>
      <c r="AO229" s="1"/>
    </row>
    <row r="230" spans="1:41" ht="20.100000000000001" customHeight="1" thickTop="1" thickBot="1">
      <c r="A230" s="68"/>
      <c r="B230" s="69" t="str">
        <f>IFERROR(INDEX(Tableau4[Date],MATCH($A230,Tableau4[EVO],0)),"")</f>
        <v/>
      </c>
      <c r="C230" s="68" t="str">
        <f>IFERROR(INDEX(Tableau4[Designation],MATCH($A230,Tableau4[EVO],0)),"")</f>
        <v/>
      </c>
      <c r="D230" s="68"/>
      <c r="E230" s="70">
        <v>72</v>
      </c>
      <c r="F230" s="71">
        <v>65</v>
      </c>
      <c r="G230" s="101" t="str">
        <f>INDEX(Tableau8[Att1],MATCH(Tableau3[[#This Row],[ID-INS]],Tableau8[ID],0))&amp;""</f>
        <v>V1</v>
      </c>
      <c r="H230" s="101" t="str">
        <f>INDEX(Tableau8[Att2],MATCH(Tableau3[[#This Row],[ID-INS]],Tableau8[ID],0))&amp;""</f>
        <v>BH1</v>
      </c>
      <c r="I230" s="101" t="str">
        <f>INDEX(Tableau8[Att3],MATCH(Tableau3[[#This Row],[ID-INS]],Tableau8[ID],0))&amp;""</f>
        <v>Barrière BH1</v>
      </c>
      <c r="J230" s="101"/>
      <c r="K230" s="167" t="str">
        <f>INDEX(Tableau8[Nom du modele],MATCH(Tableau3[[#This Row],[ID-INS]],Tableau8[ID],0))&amp;""</f>
        <v>BarriereLisse</v>
      </c>
      <c r="L230" s="99" t="str">
        <f>INDEX(Tableau5[Att1],MATCH(Tableau3[[#This Row],[ID-SIG]],Tableau5[ID],0))&amp;""</f>
        <v>Réserve</v>
      </c>
      <c r="M230" s="99" t="str">
        <f>INDEX(Tableau5[Att2],MATCH(Tableau3[[#This Row],[ID-SIG]],Tableau5[ID],0))&amp;""</f>
        <v/>
      </c>
      <c r="N230" s="99" t="str">
        <f>INDEX(Tableau5[Att3],MATCH(Tableau3[[#This Row],[ID-SIG]],Tableau5[ID],0))&amp;""</f>
        <v/>
      </c>
      <c r="O230" s="99"/>
      <c r="P230" s="99" t="str">
        <f>INDEX(Tableau5[Description],MATCH(Tableau3[[#This Row],[ID-SIG]],Tableau5[ID],0))</f>
        <v>Réserve</v>
      </c>
      <c r="Q230" s="99"/>
      <c r="R230" s="103" t="str">
        <f>Tableau3[[#This Row],[Description]]</f>
        <v>Réserve</v>
      </c>
      <c r="U230" s="87">
        <v>2</v>
      </c>
      <c r="V230" s="87">
        <v>1</v>
      </c>
      <c r="W230" s="87">
        <v>6</v>
      </c>
      <c r="X230" s="87">
        <v>4</v>
      </c>
      <c r="Y230" s="41"/>
      <c r="Z230" s="165" t="str">
        <f>INDEX(Tableau2[TS],MATCH(Tableau3[[#This Row],[ID-CARTEVOIE]],Tableau2[ID-CARTEVOIE],0))</f>
        <v>ST</v>
      </c>
      <c r="AA230" s="53" t="s">
        <v>213</v>
      </c>
      <c r="AB230" s="223" t="str">
        <f>IFERROR(INDEX(Tableau5[Reserve],MATCH(Tableau3[[#This Row],[ID-SIG]],Tableau5[ID],0))&amp;"","")</f>
        <v/>
      </c>
      <c r="AC230" s="21"/>
      <c r="AD230" s="108" t="str">
        <f>INDEX(Tableau7[Repere],MATCH(Tableau3[[#This Row],[ID-API]],Tableau7[ID-API],0))&amp;""</f>
        <v>A2</v>
      </c>
      <c r="AE230" s="108" t="str">
        <f>INDEX(Tableau1[Repere-Rack],MATCH(Tableau3[[#This Row],[ID-RACK]],Tableau1[ID-RACK],0))&amp;""</f>
        <v>R1</v>
      </c>
      <c r="AF230" s="108" t="str">
        <f>INDEX(Tableau1[Repere-Slot],MATCH(Tableau3[[#This Row],[ID-SLOT]],Tableau1[ID-SLOT],0))&amp;""</f>
        <v>S6</v>
      </c>
      <c r="AG230" s="108" t="str">
        <f>INDEX(Tableau2[Repere-Voie],MATCH(Tableau3[[#This Row],[ID-VOIE]],Tableau2[ID-Voie],0))&amp;""</f>
        <v>v4</v>
      </c>
      <c r="AH230" s="72" t="str">
        <f>Tableau3[[#This Row],[ID-API]]&amp; "." &amp;Tableau3[[#This Row],[ID-RACK]]&amp; "." &amp;Tableau3[[#This Row],[ID-SLOT]]</f>
        <v>2.1.6</v>
      </c>
      <c r="AI230" s="72" t="str">
        <f>INDEX(Tableau1[Ref-Carte],MATCH(Tableau3[[#This Row],[ID-RRS]],Tableau1[ID-RRS],0))</f>
        <v>SDO0802</v>
      </c>
      <c r="AJ230" s="72" t="str">
        <f t="array" ref="AJ230">IFERROR(INDEX(Tableau2[TS],MATCH(1,(Tableau2[Ref-Carte]=Tableau3[[#This Row],[Ref-Carte2]])*(Tableau2[ID-Voie]=Tableau3[[#This Row],[ID-VOIE]]),0)),"")</f>
        <v>ST</v>
      </c>
      <c r="AK230" s="72" t="str">
        <f>IFERROR(INDEX(Tableau2[TS],SUMPRODUCT((Tableau2[Ref-Carte]=Tableau3[[#This Row],[Ref-Carte2]])*(Tableau2[ID-Voie]=Tableau3[[#This Row],[ID-VOIE]])*ROW(Tableau2[TS]))-ROW(Tableau2[#Headers])),"")</f>
        <v>ST</v>
      </c>
      <c r="AL230" s="72" t="str">
        <f>Tableau3[[#This Row],[Ref-Carte2]]&amp;"/"&amp;Tableau3[[#This Row],[ID-VOIE]]</f>
        <v>SDO0802/4</v>
      </c>
      <c r="AM230" s="73" t="str">
        <f>INDEX(Tableau2[Borne],MATCH(Tableau3[[#This Row],[ID-CARTEVOIE]],Tableau2[ID-CARTEVOIE],0))&amp;""</f>
        <v>4</v>
      </c>
      <c r="AN230" s="74" t="str">
        <f>Tableau3[[#This Row],[ID-API]]&amp;Tableau3[[#This Row],[ID-RACK]]&amp;Tableau3[[#This Row],[ID-SLOT]]&amp;Tableau3[[#This Row],[BORNE]]</f>
        <v>2164</v>
      </c>
      <c r="AO230" s="1"/>
    </row>
    <row r="231" spans="1:41" ht="20.100000000000001" customHeight="1" thickTop="1" thickBot="1">
      <c r="A231" s="68"/>
      <c r="B231" s="69" t="str">
        <f>IFERROR(INDEX(Tableau4[Date],MATCH($A231,Tableau4[EVO],0)),"")</f>
        <v/>
      </c>
      <c r="C231" s="68" t="str">
        <f>IFERROR(INDEX(Tableau4[Designation],MATCH($A231,Tableau4[EVO],0)),"")</f>
        <v/>
      </c>
      <c r="D231" s="68"/>
      <c r="E231" s="70">
        <v>77</v>
      </c>
      <c r="F231" s="71">
        <v>63</v>
      </c>
      <c r="G231" s="101" t="str">
        <f>INDEX(Tableau8[Att1],MATCH(Tableau3[[#This Row],[ID-INS]],Tableau8[ID],0))&amp;""</f>
        <v>V1</v>
      </c>
      <c r="H231" s="101" t="str">
        <f>INDEX(Tableau8[Att2],MATCH(Tableau3[[#This Row],[ID-INS]],Tableau8[ID],0))&amp;""</f>
        <v>BR1</v>
      </c>
      <c r="I231" s="101" t="str">
        <f>INDEX(Tableau8[Att3],MATCH(Tableau3[[#This Row],[ID-INS]],Tableau8[ID],0))&amp;""</f>
        <v>Barrière BR1</v>
      </c>
      <c r="J231" s="101"/>
      <c r="K231" s="167" t="str">
        <f>INDEX(Tableau8[Nom du modele],MATCH(Tableau3[[#This Row],[ID-INS]],Tableau8[ID],0))&amp;""</f>
        <v>BarriereLisse</v>
      </c>
      <c r="L231" s="99" t="str">
        <f>INDEX(Tableau5[Att1],MATCH(Tableau3[[#This Row],[ID-SIG]],Tableau5[ID],0))&amp;""</f>
        <v>OuvCmd</v>
      </c>
      <c r="M231" s="99" t="str">
        <f>INDEX(Tableau5[Att2],MATCH(Tableau3[[#This Row],[ID-SIG]],Tableau5[ID],0))&amp;""</f>
        <v/>
      </c>
      <c r="N231" s="99" t="str">
        <f>INDEX(Tableau5[Att3],MATCH(Tableau3[[#This Row],[ID-SIG]],Tableau5[ID],0))&amp;""</f>
        <v/>
      </c>
      <c r="O231" s="99"/>
      <c r="P231" s="99" t="str">
        <f>INDEX(Tableau5[Description],MATCH(Tableau3[[#This Row],[ID-SIG]],Tableau5[ID],0))</f>
        <v>Commande ouverture</v>
      </c>
      <c r="Q231" s="99"/>
      <c r="R231" s="103" t="str">
        <f>Tableau3[[#This Row],[Description]]</f>
        <v>Commande ouverture</v>
      </c>
      <c r="U231" s="87">
        <v>2</v>
      </c>
      <c r="V231" s="87">
        <v>1</v>
      </c>
      <c r="W231" s="87">
        <v>6</v>
      </c>
      <c r="X231" s="87">
        <v>5</v>
      </c>
      <c r="Y231" s="41"/>
      <c r="Z231" s="165" t="str">
        <f>INDEX(Tableau2[TS],MATCH(Tableau3[[#This Row],[ID-CARTEVOIE]],Tableau2[ID-CARTEVOIE],0))</f>
        <v>ST</v>
      </c>
      <c r="AA231" s="53" t="s">
        <v>213</v>
      </c>
      <c r="AB231" s="223" t="str">
        <f>IFERROR(INDEX(Tableau5[Reserve],MATCH(Tableau3[[#This Row],[ID-SIG]],Tableau5[ID],0))&amp;"","")</f>
        <v/>
      </c>
      <c r="AC231" s="21"/>
      <c r="AD231" s="108" t="str">
        <f>INDEX(Tableau7[Repere],MATCH(Tableau3[[#This Row],[ID-API]],Tableau7[ID-API],0))&amp;""</f>
        <v>A2</v>
      </c>
      <c r="AE231" s="108" t="str">
        <f>INDEX(Tableau1[Repere-Rack],MATCH(Tableau3[[#This Row],[ID-RACK]],Tableau1[ID-RACK],0))&amp;""</f>
        <v>R1</v>
      </c>
      <c r="AF231" s="108" t="str">
        <f>INDEX(Tableau1[Repere-Slot],MATCH(Tableau3[[#This Row],[ID-SLOT]],Tableau1[ID-SLOT],0))&amp;""</f>
        <v>S6</v>
      </c>
      <c r="AG231" s="108" t="str">
        <f>INDEX(Tableau2[Repere-Voie],MATCH(Tableau3[[#This Row],[ID-VOIE]],Tableau2[ID-Voie],0))&amp;""</f>
        <v>v5</v>
      </c>
      <c r="AH231" s="72" t="str">
        <f>Tableau3[[#This Row],[ID-API]]&amp; "." &amp;Tableau3[[#This Row],[ID-RACK]]&amp; "." &amp;Tableau3[[#This Row],[ID-SLOT]]</f>
        <v>2.1.6</v>
      </c>
      <c r="AI231" s="72" t="str">
        <f>INDEX(Tableau1[Ref-Carte],MATCH(Tableau3[[#This Row],[ID-RRS]],Tableau1[ID-RRS],0))</f>
        <v>SDO0802</v>
      </c>
      <c r="AJ231" s="72" t="str">
        <f t="array" ref="AJ231">IFERROR(INDEX(Tableau2[TS],MATCH(1,(Tableau2[Ref-Carte]=Tableau3[[#This Row],[Ref-Carte2]])*(Tableau2[ID-Voie]=Tableau3[[#This Row],[ID-VOIE]]),0)),"")</f>
        <v>ST</v>
      </c>
      <c r="AK231" s="72" t="str">
        <f>IFERROR(INDEX(Tableau2[TS],SUMPRODUCT((Tableau2[Ref-Carte]=Tableau3[[#This Row],[Ref-Carte2]])*(Tableau2[ID-Voie]=Tableau3[[#This Row],[ID-VOIE]])*ROW(Tableau2[TS]))-ROW(Tableau2[#Headers])),"")</f>
        <v>ST</v>
      </c>
      <c r="AL231" s="72" t="str">
        <f>Tableau3[[#This Row],[Ref-Carte2]]&amp;"/"&amp;Tableau3[[#This Row],[ID-VOIE]]</f>
        <v>SDO0802/5</v>
      </c>
      <c r="AM231" s="73" t="str">
        <f>INDEX(Tableau2[Borne],MATCH(Tableau3[[#This Row],[ID-CARTEVOIE]],Tableau2[ID-CARTEVOIE],0))&amp;""</f>
        <v>5</v>
      </c>
      <c r="AN231" s="74" t="str">
        <f>Tableau3[[#This Row],[ID-API]]&amp;Tableau3[[#This Row],[ID-RACK]]&amp;Tableau3[[#This Row],[ID-SLOT]]&amp;Tableau3[[#This Row],[BORNE]]</f>
        <v>2165</v>
      </c>
      <c r="AO231" s="1"/>
    </row>
    <row r="232" spans="1:41" ht="20.100000000000001" customHeight="1" thickTop="1" thickBot="1">
      <c r="A232" s="68"/>
      <c r="B232" s="69" t="str">
        <f>IFERROR(INDEX(Tableau4[Date],MATCH($A232,Tableau4[EVO],0)),"")</f>
        <v/>
      </c>
      <c r="C232" s="68" t="str">
        <f>IFERROR(INDEX(Tableau4[Designation],MATCH($A232,Tableau4[EVO],0)),"")</f>
        <v/>
      </c>
      <c r="D232" s="68"/>
      <c r="E232" s="70">
        <v>77</v>
      </c>
      <c r="F232" s="71">
        <v>64</v>
      </c>
      <c r="G232" s="101" t="str">
        <f>INDEX(Tableau8[Att1],MATCH(Tableau3[[#This Row],[ID-INS]],Tableau8[ID],0))&amp;""</f>
        <v>V1</v>
      </c>
      <c r="H232" s="101" t="str">
        <f>INDEX(Tableau8[Att2],MATCH(Tableau3[[#This Row],[ID-INS]],Tableau8[ID],0))&amp;""</f>
        <v>BR1</v>
      </c>
      <c r="I232" s="101" t="str">
        <f>INDEX(Tableau8[Att3],MATCH(Tableau3[[#This Row],[ID-INS]],Tableau8[ID],0))&amp;""</f>
        <v>Barrière BR1</v>
      </c>
      <c r="J232" s="101"/>
      <c r="K232" s="167" t="str">
        <f>INDEX(Tableau8[Nom du modele],MATCH(Tableau3[[#This Row],[ID-INS]],Tableau8[ID],0))&amp;""</f>
        <v>BarriereLisse</v>
      </c>
      <c r="L232" s="99" t="str">
        <f>INDEX(Tableau5[Att1],MATCH(Tableau3[[#This Row],[ID-SIG]],Tableau5[ID],0))&amp;""</f>
        <v>FerCmd</v>
      </c>
      <c r="M232" s="99" t="str">
        <f>INDEX(Tableau5[Att2],MATCH(Tableau3[[#This Row],[ID-SIG]],Tableau5[ID],0))&amp;""</f>
        <v/>
      </c>
      <c r="N232" s="99" t="str">
        <f>INDEX(Tableau5[Att3],MATCH(Tableau3[[#This Row],[ID-SIG]],Tableau5[ID],0))&amp;""</f>
        <v/>
      </c>
      <c r="O232" s="99"/>
      <c r="P232" s="99" t="str">
        <f>INDEX(Tableau5[Description],MATCH(Tableau3[[#This Row],[ID-SIG]],Tableau5[ID],0))</f>
        <v>Commande fermeture</v>
      </c>
      <c r="Q232" s="99"/>
      <c r="R232" s="103" t="str">
        <f>Tableau3[[#This Row],[Description]]</f>
        <v>Commande fermeture</v>
      </c>
      <c r="U232" s="87">
        <v>2</v>
      </c>
      <c r="V232" s="87">
        <v>1</v>
      </c>
      <c r="W232" s="87">
        <v>6</v>
      </c>
      <c r="X232" s="87">
        <v>6</v>
      </c>
      <c r="Y232" s="41"/>
      <c r="Z232" s="165" t="str">
        <f>INDEX(Tableau2[TS],MATCH(Tableau3[[#This Row],[ID-CARTEVOIE]],Tableau2[ID-CARTEVOIE],0))</f>
        <v>ST</v>
      </c>
      <c r="AA232" s="53" t="s">
        <v>213</v>
      </c>
      <c r="AB232" s="223" t="str">
        <f>IFERROR(INDEX(Tableau5[Reserve],MATCH(Tableau3[[#This Row],[ID-SIG]],Tableau5[ID],0))&amp;"","")</f>
        <v/>
      </c>
      <c r="AC232" s="21"/>
      <c r="AD232" s="108" t="str">
        <f>INDEX(Tableau7[Repere],MATCH(Tableau3[[#This Row],[ID-API]],Tableau7[ID-API],0))&amp;""</f>
        <v>A2</v>
      </c>
      <c r="AE232" s="108" t="str">
        <f>INDEX(Tableau1[Repere-Rack],MATCH(Tableau3[[#This Row],[ID-RACK]],Tableau1[ID-RACK],0))&amp;""</f>
        <v>R1</v>
      </c>
      <c r="AF232" s="108" t="str">
        <f>INDEX(Tableau1[Repere-Slot],MATCH(Tableau3[[#This Row],[ID-SLOT]],Tableau1[ID-SLOT],0))&amp;""</f>
        <v>S6</v>
      </c>
      <c r="AG232" s="108" t="str">
        <f>INDEX(Tableau2[Repere-Voie],MATCH(Tableau3[[#This Row],[ID-VOIE]],Tableau2[ID-Voie],0))&amp;""</f>
        <v>v6</v>
      </c>
      <c r="AH232" s="72" t="str">
        <f>Tableau3[[#This Row],[ID-API]]&amp; "." &amp;Tableau3[[#This Row],[ID-RACK]]&amp; "." &amp;Tableau3[[#This Row],[ID-SLOT]]</f>
        <v>2.1.6</v>
      </c>
      <c r="AI232" s="72" t="str">
        <f>INDEX(Tableau1[Ref-Carte],MATCH(Tableau3[[#This Row],[ID-RRS]],Tableau1[ID-RRS],0))</f>
        <v>SDO0802</v>
      </c>
      <c r="AJ232" s="72" t="str">
        <f t="array" ref="AJ232">IFERROR(INDEX(Tableau2[TS],MATCH(1,(Tableau2[Ref-Carte]=Tableau3[[#This Row],[Ref-Carte2]])*(Tableau2[ID-Voie]=Tableau3[[#This Row],[ID-VOIE]]),0)),"")</f>
        <v>ST</v>
      </c>
      <c r="AK232" s="72" t="str">
        <f>IFERROR(INDEX(Tableau2[TS],SUMPRODUCT((Tableau2[Ref-Carte]=Tableau3[[#This Row],[Ref-Carte2]])*(Tableau2[ID-Voie]=Tableau3[[#This Row],[ID-VOIE]])*ROW(Tableau2[TS]))-ROW(Tableau2[#Headers])),"")</f>
        <v>ST</v>
      </c>
      <c r="AL232" s="72" t="str">
        <f>Tableau3[[#This Row],[Ref-Carte2]]&amp;"/"&amp;Tableau3[[#This Row],[ID-VOIE]]</f>
        <v>SDO0802/6</v>
      </c>
      <c r="AM232" s="73" t="str">
        <f>INDEX(Tableau2[Borne],MATCH(Tableau3[[#This Row],[ID-CARTEVOIE]],Tableau2[ID-CARTEVOIE],0))&amp;""</f>
        <v>6</v>
      </c>
      <c r="AN232" s="74" t="str">
        <f>Tableau3[[#This Row],[ID-API]]&amp;Tableau3[[#This Row],[ID-RACK]]&amp;Tableau3[[#This Row],[ID-SLOT]]&amp;Tableau3[[#This Row],[BORNE]]</f>
        <v>2166</v>
      </c>
      <c r="AO232" s="1"/>
    </row>
    <row r="233" spans="1:41" ht="20.100000000000001" customHeight="1" thickTop="1" thickBot="1">
      <c r="A233" s="68"/>
      <c r="B233" s="69" t="str">
        <f>IFERROR(INDEX(Tableau4[Date],MATCH($A233,Tableau4[EVO],0)),"")</f>
        <v/>
      </c>
      <c r="C233" s="68" t="str">
        <f>IFERROR(INDEX(Tableau4[Designation],MATCH($A233,Tableau4[EVO],0)),"")</f>
        <v/>
      </c>
      <c r="D233" s="68"/>
      <c r="E233" s="70">
        <v>77</v>
      </c>
      <c r="F233" s="71">
        <v>65</v>
      </c>
      <c r="G233" s="101" t="str">
        <f>INDEX(Tableau8[Att1],MATCH(Tableau3[[#This Row],[ID-INS]],Tableau8[ID],0))&amp;""</f>
        <v>V1</v>
      </c>
      <c r="H233" s="101" t="str">
        <f>INDEX(Tableau8[Att2],MATCH(Tableau3[[#This Row],[ID-INS]],Tableau8[ID],0))&amp;""</f>
        <v>BR1</v>
      </c>
      <c r="I233" s="101" t="str">
        <f>INDEX(Tableau8[Att3],MATCH(Tableau3[[#This Row],[ID-INS]],Tableau8[ID],0))&amp;""</f>
        <v>Barrière BR1</v>
      </c>
      <c r="J233" s="101"/>
      <c r="K233" s="167" t="str">
        <f>INDEX(Tableau8[Nom du modele],MATCH(Tableau3[[#This Row],[ID-INS]],Tableau8[ID],0))&amp;""</f>
        <v>BarriereLisse</v>
      </c>
      <c r="L233" s="99" t="str">
        <f>INDEX(Tableau5[Att1],MATCH(Tableau3[[#This Row],[ID-SIG]],Tableau5[ID],0))&amp;""</f>
        <v>Réserve</v>
      </c>
      <c r="M233" s="99" t="str">
        <f>INDEX(Tableau5[Att2],MATCH(Tableau3[[#This Row],[ID-SIG]],Tableau5[ID],0))&amp;""</f>
        <v/>
      </c>
      <c r="N233" s="99" t="str">
        <f>INDEX(Tableau5[Att3],MATCH(Tableau3[[#This Row],[ID-SIG]],Tableau5[ID],0))&amp;""</f>
        <v/>
      </c>
      <c r="O233" s="99"/>
      <c r="P233" s="99" t="str">
        <f>INDEX(Tableau5[Description],MATCH(Tableau3[[#This Row],[ID-SIG]],Tableau5[ID],0))</f>
        <v>Réserve</v>
      </c>
      <c r="Q233" s="99"/>
      <c r="R233" s="103" t="str">
        <f>Tableau3[[#This Row],[Description]]</f>
        <v>Réserve</v>
      </c>
      <c r="U233" s="87">
        <v>2</v>
      </c>
      <c r="V233" s="87">
        <v>1</v>
      </c>
      <c r="W233" s="87">
        <v>6</v>
      </c>
      <c r="X233" s="87">
        <v>7</v>
      </c>
      <c r="Y233" s="41"/>
      <c r="Z233" s="165" t="str">
        <f>INDEX(Tableau2[TS],MATCH(Tableau3[[#This Row],[ID-CARTEVOIE]],Tableau2[ID-CARTEVOIE],0))</f>
        <v>ST</v>
      </c>
      <c r="AA233" s="53" t="s">
        <v>213</v>
      </c>
      <c r="AB233" s="223" t="str">
        <f>IFERROR(INDEX(Tableau5[Reserve],MATCH(Tableau3[[#This Row],[ID-SIG]],Tableau5[ID],0))&amp;"","")</f>
        <v/>
      </c>
      <c r="AC233" s="21"/>
      <c r="AD233" s="108" t="str">
        <f>INDEX(Tableau7[Repere],MATCH(Tableau3[[#This Row],[ID-API]],Tableau7[ID-API],0))&amp;""</f>
        <v>A2</v>
      </c>
      <c r="AE233" s="108" t="str">
        <f>INDEX(Tableau1[Repere-Rack],MATCH(Tableau3[[#This Row],[ID-RACK]],Tableau1[ID-RACK],0))&amp;""</f>
        <v>R1</v>
      </c>
      <c r="AF233" s="108" t="str">
        <f>INDEX(Tableau1[Repere-Slot],MATCH(Tableau3[[#This Row],[ID-SLOT]],Tableau1[ID-SLOT],0))&amp;""</f>
        <v>S6</v>
      </c>
      <c r="AG233" s="108" t="str">
        <f>INDEX(Tableau2[Repere-Voie],MATCH(Tableau3[[#This Row],[ID-VOIE]],Tableau2[ID-Voie],0))&amp;""</f>
        <v>v7</v>
      </c>
      <c r="AH233" s="72" t="str">
        <f>Tableau3[[#This Row],[ID-API]]&amp; "." &amp;Tableau3[[#This Row],[ID-RACK]]&amp; "." &amp;Tableau3[[#This Row],[ID-SLOT]]</f>
        <v>2.1.6</v>
      </c>
      <c r="AI233" s="72" t="str">
        <f>INDEX(Tableau1[Ref-Carte],MATCH(Tableau3[[#This Row],[ID-RRS]],Tableau1[ID-RRS],0))</f>
        <v>SDO0802</v>
      </c>
      <c r="AJ233" s="72" t="str">
        <f t="array" ref="AJ233">IFERROR(INDEX(Tableau2[TS],MATCH(1,(Tableau2[Ref-Carte]=Tableau3[[#This Row],[Ref-Carte2]])*(Tableau2[ID-Voie]=Tableau3[[#This Row],[ID-VOIE]]),0)),"")</f>
        <v>ST</v>
      </c>
      <c r="AK233" s="72" t="str">
        <f>IFERROR(INDEX(Tableau2[TS],SUMPRODUCT((Tableau2[Ref-Carte]=Tableau3[[#This Row],[Ref-Carte2]])*(Tableau2[ID-Voie]=Tableau3[[#This Row],[ID-VOIE]])*ROW(Tableau2[TS]))-ROW(Tableau2[#Headers])),"")</f>
        <v>ST</v>
      </c>
      <c r="AL233" s="72" t="str">
        <f>Tableau3[[#This Row],[Ref-Carte2]]&amp;"/"&amp;Tableau3[[#This Row],[ID-VOIE]]</f>
        <v>SDO0802/7</v>
      </c>
      <c r="AM233" s="73" t="str">
        <f>INDEX(Tableau2[Borne],MATCH(Tableau3[[#This Row],[ID-CARTEVOIE]],Tableau2[ID-CARTEVOIE],0))&amp;""</f>
        <v>7</v>
      </c>
      <c r="AN233" s="74" t="str">
        <f>Tableau3[[#This Row],[ID-API]]&amp;Tableau3[[#This Row],[ID-RACK]]&amp;Tableau3[[#This Row],[ID-SLOT]]&amp;Tableau3[[#This Row],[BORNE]]</f>
        <v>2167</v>
      </c>
      <c r="AO233" s="1"/>
    </row>
    <row r="234" spans="1:41" ht="20.100000000000001" customHeight="1" thickTop="1" thickBot="1">
      <c r="A234" s="68"/>
      <c r="B234" s="69" t="str">
        <f>IFERROR(INDEX(Tableau4[Date],MATCH($A234,Tableau4[EVO],0)),"")</f>
        <v/>
      </c>
      <c r="C234" s="68" t="str">
        <f>IFERROR(INDEX(Tableau4[Designation],MATCH($A234,Tableau4[EVO],0)),"")</f>
        <v/>
      </c>
      <c r="D234" s="68"/>
      <c r="E234" s="70">
        <v>1</v>
      </c>
      <c r="F234" s="71">
        <v>199</v>
      </c>
      <c r="G234" s="101" t="str">
        <f>INDEX(Tableau8[Att1],MATCH(Tableau3[[#This Row],[ID-INS]],Tableau8[ID],0))&amp;""</f>
        <v>V12</v>
      </c>
      <c r="H234" s="101" t="str">
        <f>INDEX(Tableau8[Att2],MATCH(Tableau3[[#This Row],[ID-INS]],Tableau8[ID],0))&amp;""</f>
        <v>P1</v>
      </c>
      <c r="I234" s="101" t="str">
        <f>INDEX(Tableau8[Att3],MATCH(Tableau3[[#This Row],[ID-INS]],Tableau8[ID],0))&amp;""</f>
        <v>Portail P1</v>
      </c>
      <c r="J234" s="101"/>
      <c r="K234" s="167" t="str">
        <f>INDEX(Tableau8[Nom du modele],MATCH(Tableau3[[#This Row],[ID-INS]],Tableau8[ID],0))&amp;""</f>
        <v>PortailR2V_1</v>
      </c>
      <c r="L234" s="155" t="s">
        <v>1681</v>
      </c>
      <c r="M234" s="99" t="str">
        <f>INDEX(Tableau5[Att2],MATCH(Tableau3[[#This Row],[ID-SIG]],Tableau5[ID],0))&amp;""</f>
        <v/>
      </c>
      <c r="N234" s="99" t="str">
        <f>INDEX(Tableau5[Att3],MATCH(Tableau3[[#This Row],[ID-SIG]],Tableau5[ID],0))&amp;""</f>
        <v/>
      </c>
      <c r="O234" s="99"/>
      <c r="P234" s="155" t="s">
        <v>1744</v>
      </c>
      <c r="Q234" s="99"/>
      <c r="R234" s="103" t="str">
        <f>Tableau3[[#This Row],[Description]]</f>
        <v>Portail P1 - Entrée Réserve 2</v>
      </c>
      <c r="S234" s="86"/>
      <c r="U234" s="87">
        <v>2</v>
      </c>
      <c r="V234" s="87">
        <v>1</v>
      </c>
      <c r="W234" s="87">
        <v>7</v>
      </c>
      <c r="X234" s="87">
        <v>0</v>
      </c>
      <c r="Y234" s="40"/>
      <c r="Z234" s="165" t="str">
        <f>INDEX(Tableau2[TS],MATCH(Tableau3[[#This Row],[ID-CARTEVOIE]],Tableau2[ID-CARTEVOIE],0))</f>
        <v>ET</v>
      </c>
      <c r="AA234" s="53" t="s">
        <v>213</v>
      </c>
      <c r="AB234" s="223" t="str">
        <f>IFERROR(INDEX(Tableau5[Reserve],MATCH(Tableau3[[#This Row],[ID-SIG]],Tableau5[ID],0))&amp;"","")</f>
        <v/>
      </c>
      <c r="AC234" s="21"/>
      <c r="AD234" s="108" t="str">
        <f>INDEX(Tableau7[Repere],MATCH(Tableau3[[#This Row],[ID-API]],Tableau7[ID-API],0))&amp;""</f>
        <v>A2</v>
      </c>
      <c r="AE234" s="108" t="str">
        <f>INDEX(Tableau1[Repere-Rack],MATCH(Tableau3[[#This Row],[ID-RACK]],Tableau1[ID-RACK],0))&amp;""</f>
        <v>R1</v>
      </c>
      <c r="AF234" s="108" t="str">
        <f>INDEX(Tableau1[Repere-Slot],MATCH(Tableau3[[#This Row],[ID-SLOT]],Tableau1[ID-SLOT],0))&amp;""</f>
        <v>S7</v>
      </c>
      <c r="AG234" s="108" t="str">
        <f>INDEX(Tableau2[Repere-Voie],MATCH(Tableau3[[#This Row],[ID-VOIE]],Tableau2[ID-Voie],0))&amp;""</f>
        <v>v0</v>
      </c>
      <c r="AH234" s="72" t="str">
        <f>Tableau3[[#This Row],[ID-API]]&amp; "." &amp;Tableau3[[#This Row],[ID-RACK]]&amp; "." &amp;Tableau3[[#This Row],[ID-SLOT]]</f>
        <v>2.1.7</v>
      </c>
      <c r="AI234" s="72" t="str">
        <f>INDEX(Tableau1[Ref-Carte],MATCH(Tableau3[[#This Row],[ID-RRS]],Tableau1[ID-RRS],0))</f>
        <v>SDI1602</v>
      </c>
      <c r="AJ234" s="72" t="str">
        <f t="array" ref="AJ234">IFERROR(INDEX(Tableau2[TS],MATCH(1,(Tableau2[Ref-Carte]=Tableau3[[#This Row],[Ref-Carte2]])*(Tableau2[ID-Voie]=Tableau3[[#This Row],[ID-VOIE]]),0)),"")</f>
        <v>ET</v>
      </c>
      <c r="AK234" s="72" t="str">
        <f>IFERROR(INDEX(Tableau2[TS],SUMPRODUCT((Tableau2[Ref-Carte]=Tableau3[[#This Row],[Ref-Carte2]])*(Tableau2[ID-Voie]=Tableau3[[#This Row],[ID-VOIE]])*ROW(Tableau2[TS]))-ROW(Tableau2[#Headers])),"")</f>
        <v>ET</v>
      </c>
      <c r="AL234" s="72" t="str">
        <f>Tableau3[[#This Row],[Ref-Carte2]]&amp;"/"&amp;Tableau3[[#This Row],[ID-VOIE]]</f>
        <v>SDI1602/0</v>
      </c>
      <c r="AM234" s="73" t="str">
        <f>INDEX(Tableau2[Borne],MATCH(Tableau3[[#This Row],[ID-CARTEVOIE]],Tableau2[ID-CARTEVOIE],0))&amp;""</f>
        <v>0B</v>
      </c>
      <c r="AN234" s="74" t="str">
        <f>Tableau3[[#This Row],[ID-API]]&amp;Tableau3[[#This Row],[ID-RACK]]&amp;Tableau3[[#This Row],[ID-SLOT]]&amp;Tableau3[[#This Row],[BORNE]]</f>
        <v>2170B</v>
      </c>
      <c r="AO234" s="1"/>
    </row>
    <row r="235" spans="1:41" ht="20.100000000000001" customHeight="1" thickTop="1" thickBot="1">
      <c r="A235" s="68"/>
      <c r="B235" s="69" t="str">
        <f>IFERROR(INDEX(Tableau4[Date],MATCH($A235,Tableau4[EVO],0)),"")</f>
        <v/>
      </c>
      <c r="C235" s="68" t="str">
        <f>IFERROR(INDEX(Tableau4[Designation],MATCH($A235,Tableau4[EVO],0)),"")</f>
        <v/>
      </c>
      <c r="D235" s="68"/>
      <c r="E235" s="70">
        <v>1</v>
      </c>
      <c r="F235" s="71">
        <v>203</v>
      </c>
      <c r="G235" s="101" t="str">
        <f>INDEX(Tableau8[Att1],MATCH(Tableau3[[#This Row],[ID-INS]],Tableau8[ID],0))&amp;""</f>
        <v>V12</v>
      </c>
      <c r="H235" s="101" t="str">
        <f>INDEX(Tableau8[Att2],MATCH(Tableau3[[#This Row],[ID-INS]],Tableau8[ID],0))&amp;""</f>
        <v>P1</v>
      </c>
      <c r="I235" s="101" t="str">
        <f>INDEX(Tableau8[Att3],MATCH(Tableau3[[#This Row],[ID-INS]],Tableau8[ID],0))&amp;""</f>
        <v>Portail P1</v>
      </c>
      <c r="J235" s="101"/>
      <c r="K235" s="167" t="str">
        <f>INDEX(Tableau8[Nom du modele],MATCH(Tableau3[[#This Row],[ID-INS]],Tableau8[ID],0))&amp;""</f>
        <v>PortailR2V_1</v>
      </c>
      <c r="L235" s="99" t="str">
        <f>INDEX(Tableau5[Att1],MATCH(Tableau3[[#This Row],[ID-SIG]],Tableau5[ID],0))&amp;""</f>
        <v>Vx_GacheOuv1</v>
      </c>
      <c r="M235" s="99" t="str">
        <f>INDEX(Tableau5[Att2],MATCH(Tableau3[[#This Row],[ID-SIG]],Tableau5[ID],0))&amp;""</f>
        <v/>
      </c>
      <c r="N235" s="99" t="str">
        <f>INDEX(Tableau5[Att3],MATCH(Tableau3[[#This Row],[ID-SIG]],Tableau5[ID],0))&amp;""</f>
        <v/>
      </c>
      <c r="O235" s="99"/>
      <c r="P235" s="155" t="s">
        <v>1748</v>
      </c>
      <c r="Q235" s="99"/>
      <c r="R235" s="103" t="str">
        <f>Tableau3[[#This Row],[Description]]</f>
        <v>VENTAIL P1V1 - Retour d'état Gâche rentrée</v>
      </c>
      <c r="S235" s="86"/>
      <c r="U235" s="87">
        <v>2</v>
      </c>
      <c r="V235" s="87">
        <v>1</v>
      </c>
      <c r="W235" s="87">
        <v>7</v>
      </c>
      <c r="X235" s="87">
        <v>1</v>
      </c>
      <c r="Y235" s="40"/>
      <c r="Z235" s="165" t="str">
        <f>INDEX(Tableau2[TS],MATCH(Tableau3[[#This Row],[ID-CARTEVOIE]],Tableau2[ID-CARTEVOIE],0))</f>
        <v>ET</v>
      </c>
      <c r="AA235" s="53" t="s">
        <v>213</v>
      </c>
      <c r="AB235" s="223" t="str">
        <f>IFERROR(INDEX(Tableau5[Reserve],MATCH(Tableau3[[#This Row],[ID-SIG]],Tableau5[ID],0))&amp;"","")</f>
        <v/>
      </c>
      <c r="AC235" s="21"/>
      <c r="AD235" s="108" t="str">
        <f>INDEX(Tableau7[Repere],MATCH(Tableau3[[#This Row],[ID-API]],Tableau7[ID-API],0))&amp;""</f>
        <v>A2</v>
      </c>
      <c r="AE235" s="108" t="str">
        <f>INDEX(Tableau1[Repere-Rack],MATCH(Tableau3[[#This Row],[ID-RACK]],Tableau1[ID-RACK],0))&amp;""</f>
        <v>R1</v>
      </c>
      <c r="AF235" s="108" t="str">
        <f>INDEX(Tableau1[Repere-Slot],MATCH(Tableau3[[#This Row],[ID-SLOT]],Tableau1[ID-SLOT],0))&amp;""</f>
        <v>S7</v>
      </c>
      <c r="AG235" s="108" t="str">
        <f>INDEX(Tableau2[Repere-Voie],MATCH(Tableau3[[#This Row],[ID-VOIE]],Tableau2[ID-Voie],0))&amp;""</f>
        <v>v1</v>
      </c>
      <c r="AH235" s="72" t="str">
        <f>Tableau3[[#This Row],[ID-API]]&amp; "." &amp;Tableau3[[#This Row],[ID-RACK]]&amp; "." &amp;Tableau3[[#This Row],[ID-SLOT]]</f>
        <v>2.1.7</v>
      </c>
      <c r="AI235" s="72" t="str">
        <f>INDEX(Tableau1[Ref-Carte],MATCH(Tableau3[[#This Row],[ID-RRS]],Tableau1[ID-RRS],0))</f>
        <v>SDI1602</v>
      </c>
      <c r="AJ235" s="72" t="str">
        <f t="array" ref="AJ235">IFERROR(INDEX(Tableau2[TS],MATCH(1,(Tableau2[Ref-Carte]=Tableau3[[#This Row],[Ref-Carte2]])*(Tableau2[ID-Voie]=Tableau3[[#This Row],[ID-VOIE]]),0)),"")</f>
        <v>ET</v>
      </c>
      <c r="AK235" s="72" t="str">
        <f>IFERROR(INDEX(Tableau2[TS],SUMPRODUCT((Tableau2[Ref-Carte]=Tableau3[[#This Row],[Ref-Carte2]])*(Tableau2[ID-Voie]=Tableau3[[#This Row],[ID-VOIE]])*ROW(Tableau2[TS]))-ROW(Tableau2[#Headers])),"")</f>
        <v>ET</v>
      </c>
      <c r="AL235" s="72" t="str">
        <f>Tableau3[[#This Row],[Ref-Carte2]]&amp;"/"&amp;Tableau3[[#This Row],[ID-VOIE]]</f>
        <v>SDI1602/1</v>
      </c>
      <c r="AM235" s="73" t="str">
        <f>INDEX(Tableau2[Borne],MATCH(Tableau3[[#This Row],[ID-CARTEVOIE]],Tableau2[ID-CARTEVOIE],0))&amp;""</f>
        <v>0A</v>
      </c>
      <c r="AN235" s="74" t="str">
        <f>Tableau3[[#This Row],[ID-API]]&amp;Tableau3[[#This Row],[ID-RACK]]&amp;Tableau3[[#This Row],[ID-SLOT]]&amp;Tableau3[[#This Row],[BORNE]]</f>
        <v>2170A</v>
      </c>
      <c r="AO235" s="1"/>
    </row>
    <row r="236" spans="1:41" ht="20.100000000000001" customHeight="1" thickTop="1" thickBot="1">
      <c r="A236" s="68"/>
      <c r="B236" s="69" t="str">
        <f>IFERROR(INDEX(Tableau4[Date],MATCH($A236,Tableau4[EVO],0)),"")</f>
        <v/>
      </c>
      <c r="C236" s="68" t="str">
        <f>IFERROR(INDEX(Tableau4[Designation],MATCH($A236,Tableau4[EVO],0)),"")</f>
        <v/>
      </c>
      <c r="D236" s="68"/>
      <c r="E236" s="70">
        <v>1</v>
      </c>
      <c r="F236" s="71">
        <v>204</v>
      </c>
      <c r="G236" s="101" t="str">
        <f>INDEX(Tableau8[Att1],MATCH(Tableau3[[#This Row],[ID-INS]],Tableau8[ID],0))&amp;""</f>
        <v>V12</v>
      </c>
      <c r="H236" s="101" t="str">
        <f>INDEX(Tableau8[Att2],MATCH(Tableau3[[#This Row],[ID-INS]],Tableau8[ID],0))&amp;""</f>
        <v>P1</v>
      </c>
      <c r="I236" s="101" t="str">
        <f>INDEX(Tableau8[Att3],MATCH(Tableau3[[#This Row],[ID-INS]],Tableau8[ID],0))&amp;""</f>
        <v>Portail P1</v>
      </c>
      <c r="J236" s="101"/>
      <c r="K236" s="167" t="str">
        <f>INDEX(Tableau8[Nom du modele],MATCH(Tableau3[[#This Row],[ID-INS]],Tableau8[ID],0))&amp;""</f>
        <v>PortailR2V_1</v>
      </c>
      <c r="L236" s="155" t="s">
        <v>1702</v>
      </c>
      <c r="M236" s="99" t="str">
        <f>INDEX(Tableau5[Att2],MATCH(Tableau3[[#This Row],[ID-SIG]],Tableau5[ID],0))&amp;""</f>
        <v/>
      </c>
      <c r="N236" s="99" t="str">
        <f>INDEX(Tableau5[Att3],MATCH(Tableau3[[#This Row],[ID-SIG]],Tableau5[ID],0))&amp;""</f>
        <v/>
      </c>
      <c r="O236" s="99"/>
      <c r="P236" s="155" t="s">
        <v>1745</v>
      </c>
      <c r="Q236" s="99"/>
      <c r="R236" s="103" t="str">
        <f>Tableau3[[#This Row],[Description]]</f>
        <v>VENTAIL P1V1 - Retour d'état Gâche sortie</v>
      </c>
      <c r="S236" s="86"/>
      <c r="U236" s="87">
        <v>2</v>
      </c>
      <c r="V236" s="87">
        <v>1</v>
      </c>
      <c r="W236" s="87">
        <v>7</v>
      </c>
      <c r="X236" s="87">
        <v>2</v>
      </c>
      <c r="Y236" s="40"/>
      <c r="Z236" s="165" t="str">
        <f>INDEX(Tableau2[TS],MATCH(Tableau3[[#This Row],[ID-CARTEVOIE]],Tableau2[ID-CARTEVOIE],0))</f>
        <v>ET</v>
      </c>
      <c r="AA236" s="53" t="s">
        <v>213</v>
      </c>
      <c r="AB236" s="223" t="str">
        <f>IFERROR(INDEX(Tableau5[Reserve],MATCH(Tableau3[[#This Row],[ID-SIG]],Tableau5[ID],0))&amp;"","")</f>
        <v/>
      </c>
      <c r="AC236" s="21"/>
      <c r="AD236" s="108" t="str">
        <f>INDEX(Tableau7[Repere],MATCH(Tableau3[[#This Row],[ID-API]],Tableau7[ID-API],0))&amp;""</f>
        <v>A2</v>
      </c>
      <c r="AE236" s="108" t="str">
        <f>INDEX(Tableau1[Repere-Rack],MATCH(Tableau3[[#This Row],[ID-RACK]],Tableau1[ID-RACK],0))&amp;""</f>
        <v>R1</v>
      </c>
      <c r="AF236" s="108" t="str">
        <f>INDEX(Tableau1[Repere-Slot],MATCH(Tableau3[[#This Row],[ID-SLOT]],Tableau1[ID-SLOT],0))&amp;""</f>
        <v>S7</v>
      </c>
      <c r="AG236" s="108" t="str">
        <f>INDEX(Tableau2[Repere-Voie],MATCH(Tableau3[[#This Row],[ID-VOIE]],Tableau2[ID-Voie],0))&amp;""</f>
        <v>v2</v>
      </c>
      <c r="AH236" s="72" t="str">
        <f>Tableau3[[#This Row],[ID-API]]&amp; "." &amp;Tableau3[[#This Row],[ID-RACK]]&amp; "." &amp;Tableau3[[#This Row],[ID-SLOT]]</f>
        <v>2.1.7</v>
      </c>
      <c r="AI236" s="72" t="str">
        <f>INDEX(Tableau1[Ref-Carte],MATCH(Tableau3[[#This Row],[ID-RRS]],Tableau1[ID-RRS],0))</f>
        <v>SDI1602</v>
      </c>
      <c r="AJ236" s="72" t="str">
        <f t="array" ref="AJ236">IFERROR(INDEX(Tableau2[TS],MATCH(1,(Tableau2[Ref-Carte]=Tableau3[[#This Row],[Ref-Carte2]])*(Tableau2[ID-Voie]=Tableau3[[#This Row],[ID-VOIE]]),0)),"")</f>
        <v>ET</v>
      </c>
      <c r="AK236" s="72" t="str">
        <f>IFERROR(INDEX(Tableau2[TS],SUMPRODUCT((Tableau2[Ref-Carte]=Tableau3[[#This Row],[Ref-Carte2]])*(Tableau2[ID-Voie]=Tableau3[[#This Row],[ID-VOIE]])*ROW(Tableau2[TS]))-ROW(Tableau2[#Headers])),"")</f>
        <v>ET</v>
      </c>
      <c r="AL236" s="72" t="str">
        <f>Tableau3[[#This Row],[Ref-Carte2]]&amp;"/"&amp;Tableau3[[#This Row],[ID-VOIE]]</f>
        <v>SDI1602/2</v>
      </c>
      <c r="AM236" s="73" t="str">
        <f>INDEX(Tableau2[Borne],MATCH(Tableau3[[#This Row],[ID-CARTEVOIE]],Tableau2[ID-CARTEVOIE],0))&amp;""</f>
        <v>1B</v>
      </c>
      <c r="AN236" s="74" t="str">
        <f>Tableau3[[#This Row],[ID-API]]&amp;Tableau3[[#This Row],[ID-RACK]]&amp;Tableau3[[#This Row],[ID-SLOT]]&amp;Tableau3[[#This Row],[BORNE]]</f>
        <v>2171B</v>
      </c>
      <c r="AO236" s="1"/>
    </row>
    <row r="237" spans="1:41" ht="20.100000000000001" customHeight="1" thickTop="1" thickBot="1">
      <c r="A237" s="68"/>
      <c r="B237" s="69" t="str">
        <f>IFERROR(INDEX(Tableau4[Date],MATCH($A237,Tableau4[EVO],0)),"")</f>
        <v/>
      </c>
      <c r="C237" s="68" t="str">
        <f>IFERROR(INDEX(Tableau4[Designation],MATCH($A237,Tableau4[EVO],0)),"")</f>
        <v/>
      </c>
      <c r="D237" s="68"/>
      <c r="E237" s="70">
        <v>1</v>
      </c>
      <c r="F237" s="71">
        <v>205</v>
      </c>
      <c r="G237" s="101" t="str">
        <f>INDEX(Tableau8[Att1],MATCH(Tableau3[[#This Row],[ID-INS]],Tableau8[ID],0))&amp;""</f>
        <v>V12</v>
      </c>
      <c r="H237" s="101" t="str">
        <f>INDEX(Tableau8[Att2],MATCH(Tableau3[[#This Row],[ID-INS]],Tableau8[ID],0))&amp;""</f>
        <v>P1</v>
      </c>
      <c r="I237" s="101" t="str">
        <f>INDEX(Tableau8[Att3],MATCH(Tableau3[[#This Row],[ID-INS]],Tableau8[ID],0))&amp;""</f>
        <v>Portail P1</v>
      </c>
      <c r="J237" s="101"/>
      <c r="K237" s="167" t="str">
        <f>INDEX(Tableau8[Nom du modele],MATCH(Tableau3[[#This Row],[ID-INS]],Tableau8[ID],0))&amp;""</f>
        <v>PortailR2V_1</v>
      </c>
      <c r="L237" s="155" t="s">
        <v>562</v>
      </c>
      <c r="M237" s="99" t="str">
        <f>INDEX(Tableau5[Att2],MATCH(Tableau3[[#This Row],[ID-SIG]],Tableau5[ID],0))&amp;""</f>
        <v/>
      </c>
      <c r="N237" s="99" t="str">
        <f>INDEX(Tableau5[Att3],MATCH(Tableau3[[#This Row],[ID-SIG]],Tableau5[ID],0))&amp;""</f>
        <v/>
      </c>
      <c r="O237" s="99"/>
      <c r="P237" s="155" t="s">
        <v>1746</v>
      </c>
      <c r="Q237" s="99"/>
      <c r="R237" s="103" t="str">
        <f>Tableau3[[#This Row],[Description]]</f>
        <v>VENTAIL P1V2 - Retour d'état Gâche rentrée</v>
      </c>
      <c r="S237" s="86"/>
      <c r="U237" s="87">
        <v>2</v>
      </c>
      <c r="V237" s="87">
        <v>1</v>
      </c>
      <c r="W237" s="87">
        <v>7</v>
      </c>
      <c r="X237" s="87">
        <v>3</v>
      </c>
      <c r="Y237" s="40"/>
      <c r="Z237" s="165" t="str">
        <f>INDEX(Tableau2[TS],MATCH(Tableau3[[#This Row],[ID-CARTEVOIE]],Tableau2[ID-CARTEVOIE],0))</f>
        <v>ET</v>
      </c>
      <c r="AA237" s="53" t="s">
        <v>213</v>
      </c>
      <c r="AB237" s="223" t="str">
        <f>IFERROR(INDEX(Tableau5[Reserve],MATCH(Tableau3[[#This Row],[ID-SIG]],Tableau5[ID],0))&amp;"","")</f>
        <v/>
      </c>
      <c r="AC237" s="21"/>
      <c r="AD237" s="108" t="str">
        <f>INDEX(Tableau7[Repere],MATCH(Tableau3[[#This Row],[ID-API]],Tableau7[ID-API],0))&amp;""</f>
        <v>A2</v>
      </c>
      <c r="AE237" s="108" t="str">
        <f>INDEX(Tableau1[Repere-Rack],MATCH(Tableau3[[#This Row],[ID-RACK]],Tableau1[ID-RACK],0))&amp;""</f>
        <v>R1</v>
      </c>
      <c r="AF237" s="108" t="str">
        <f>INDEX(Tableau1[Repere-Slot],MATCH(Tableau3[[#This Row],[ID-SLOT]],Tableau1[ID-SLOT],0))&amp;""</f>
        <v>S7</v>
      </c>
      <c r="AG237" s="108" t="str">
        <f>INDEX(Tableau2[Repere-Voie],MATCH(Tableau3[[#This Row],[ID-VOIE]],Tableau2[ID-Voie],0))&amp;""</f>
        <v>v3</v>
      </c>
      <c r="AH237" s="72" t="str">
        <f>Tableau3[[#This Row],[ID-API]]&amp; "." &amp;Tableau3[[#This Row],[ID-RACK]]&amp; "." &amp;Tableau3[[#This Row],[ID-SLOT]]</f>
        <v>2.1.7</v>
      </c>
      <c r="AI237" s="72" t="str">
        <f>INDEX(Tableau1[Ref-Carte],MATCH(Tableau3[[#This Row],[ID-RRS]],Tableau1[ID-RRS],0))</f>
        <v>SDI1602</v>
      </c>
      <c r="AJ237" s="72" t="str">
        <f t="array" ref="AJ237">IFERROR(INDEX(Tableau2[TS],MATCH(1,(Tableau2[Ref-Carte]=Tableau3[[#This Row],[Ref-Carte2]])*(Tableau2[ID-Voie]=Tableau3[[#This Row],[ID-VOIE]]),0)),"")</f>
        <v>ET</v>
      </c>
      <c r="AK237" s="72" t="str">
        <f>IFERROR(INDEX(Tableau2[TS],SUMPRODUCT((Tableau2[Ref-Carte]=Tableau3[[#This Row],[Ref-Carte2]])*(Tableau2[ID-Voie]=Tableau3[[#This Row],[ID-VOIE]])*ROW(Tableau2[TS]))-ROW(Tableau2[#Headers])),"")</f>
        <v>ET</v>
      </c>
      <c r="AL237" s="72" t="str">
        <f>Tableau3[[#This Row],[Ref-Carte2]]&amp;"/"&amp;Tableau3[[#This Row],[ID-VOIE]]</f>
        <v>SDI1602/3</v>
      </c>
      <c r="AM237" s="73" t="str">
        <f>INDEX(Tableau2[Borne],MATCH(Tableau3[[#This Row],[ID-CARTEVOIE]],Tableau2[ID-CARTEVOIE],0))&amp;""</f>
        <v>1A</v>
      </c>
      <c r="AN237" s="74" t="str">
        <f>Tableau3[[#This Row],[ID-API]]&amp;Tableau3[[#This Row],[ID-RACK]]&amp;Tableau3[[#This Row],[ID-SLOT]]&amp;Tableau3[[#This Row],[BORNE]]</f>
        <v>2171A</v>
      </c>
      <c r="AO237" s="1"/>
    </row>
    <row r="238" spans="1:41" ht="20.100000000000001" customHeight="1" thickTop="1" thickBot="1">
      <c r="A238" s="68"/>
      <c r="B238" s="69" t="str">
        <f>IFERROR(INDEX(Tableau4[Date],MATCH($A238,Tableau4[EVO],0)),"")</f>
        <v/>
      </c>
      <c r="C238" s="68" t="str">
        <f>IFERROR(INDEX(Tableau4[Designation],MATCH($A238,Tableau4[EVO],0)),"")</f>
        <v/>
      </c>
      <c r="D238" s="68"/>
      <c r="E238" s="70">
        <v>1</v>
      </c>
      <c r="F238" s="71">
        <v>206</v>
      </c>
      <c r="G238" s="101" t="str">
        <f>INDEX(Tableau8[Att1],MATCH(Tableau3[[#This Row],[ID-INS]],Tableau8[ID],0))&amp;""</f>
        <v>V12</v>
      </c>
      <c r="H238" s="101" t="str">
        <f>INDEX(Tableau8[Att2],MATCH(Tableau3[[#This Row],[ID-INS]],Tableau8[ID],0))&amp;""</f>
        <v>P1</v>
      </c>
      <c r="I238" s="101" t="str">
        <f>INDEX(Tableau8[Att3],MATCH(Tableau3[[#This Row],[ID-INS]],Tableau8[ID],0))&amp;""</f>
        <v>Portail P1</v>
      </c>
      <c r="J238" s="101"/>
      <c r="K238" s="167" t="str">
        <f>INDEX(Tableau8[Nom du modele],MATCH(Tableau3[[#This Row],[ID-INS]],Tableau8[ID],0))&amp;""</f>
        <v>PortailR2V_1</v>
      </c>
      <c r="L238" s="155" t="s">
        <v>1692</v>
      </c>
      <c r="M238" s="99" t="str">
        <f>INDEX(Tableau5[Att2],MATCH(Tableau3[[#This Row],[ID-SIG]],Tableau5[ID],0))&amp;""</f>
        <v/>
      </c>
      <c r="N238" s="99" t="str">
        <f>INDEX(Tableau5[Att3],MATCH(Tableau3[[#This Row],[ID-SIG]],Tableau5[ID],0))&amp;""</f>
        <v/>
      </c>
      <c r="O238" s="99"/>
      <c r="P238" s="155" t="s">
        <v>1747</v>
      </c>
      <c r="Q238" s="99"/>
      <c r="R238" s="103" t="str">
        <f>Tableau3[[#This Row],[Description]]</f>
        <v>VENTAIL P1V2 - Retour d'état Gâche sortie</v>
      </c>
      <c r="S238" s="86"/>
      <c r="U238" s="87">
        <v>2</v>
      </c>
      <c r="V238" s="87">
        <v>1</v>
      </c>
      <c r="W238" s="87">
        <v>7</v>
      </c>
      <c r="X238" s="87">
        <v>4</v>
      </c>
      <c r="Y238" s="40"/>
      <c r="Z238" s="165" t="str">
        <f>INDEX(Tableau2[TS],MATCH(Tableau3[[#This Row],[ID-CARTEVOIE]],Tableau2[ID-CARTEVOIE],0))</f>
        <v>ET</v>
      </c>
      <c r="AA238" s="53" t="s">
        <v>213</v>
      </c>
      <c r="AB238" s="223" t="str">
        <f>IFERROR(INDEX(Tableau5[Reserve],MATCH(Tableau3[[#This Row],[ID-SIG]],Tableau5[ID],0))&amp;"","")</f>
        <v/>
      </c>
      <c r="AC238" s="21"/>
      <c r="AD238" s="108" t="str">
        <f>INDEX(Tableau7[Repere],MATCH(Tableau3[[#This Row],[ID-API]],Tableau7[ID-API],0))&amp;""</f>
        <v>A2</v>
      </c>
      <c r="AE238" s="108" t="str">
        <f>INDEX(Tableau1[Repere-Rack],MATCH(Tableau3[[#This Row],[ID-RACK]],Tableau1[ID-RACK],0))&amp;""</f>
        <v>R1</v>
      </c>
      <c r="AF238" s="108" t="str">
        <f>INDEX(Tableau1[Repere-Slot],MATCH(Tableau3[[#This Row],[ID-SLOT]],Tableau1[ID-SLOT],0))&amp;""</f>
        <v>S7</v>
      </c>
      <c r="AG238" s="108" t="str">
        <f>INDEX(Tableau2[Repere-Voie],MATCH(Tableau3[[#This Row],[ID-VOIE]],Tableau2[ID-Voie],0))&amp;""</f>
        <v>v4</v>
      </c>
      <c r="AH238" s="72" t="str">
        <f>Tableau3[[#This Row],[ID-API]]&amp; "." &amp;Tableau3[[#This Row],[ID-RACK]]&amp; "." &amp;Tableau3[[#This Row],[ID-SLOT]]</f>
        <v>2.1.7</v>
      </c>
      <c r="AI238" s="72" t="str">
        <f>INDEX(Tableau1[Ref-Carte],MATCH(Tableau3[[#This Row],[ID-RRS]],Tableau1[ID-RRS],0))</f>
        <v>SDI1602</v>
      </c>
      <c r="AJ238" s="72" t="str">
        <f t="array" ref="AJ238">IFERROR(INDEX(Tableau2[TS],MATCH(1,(Tableau2[Ref-Carte]=Tableau3[[#This Row],[Ref-Carte2]])*(Tableau2[ID-Voie]=Tableau3[[#This Row],[ID-VOIE]]),0)),"")</f>
        <v>ET</v>
      </c>
      <c r="AK238" s="72" t="str">
        <f>IFERROR(INDEX(Tableau2[TS],SUMPRODUCT((Tableau2[Ref-Carte]=Tableau3[[#This Row],[Ref-Carte2]])*(Tableau2[ID-Voie]=Tableau3[[#This Row],[ID-VOIE]])*ROW(Tableau2[TS]))-ROW(Tableau2[#Headers])),"")</f>
        <v>ET</v>
      </c>
      <c r="AL238" s="72" t="str">
        <f>Tableau3[[#This Row],[Ref-Carte2]]&amp;"/"&amp;Tableau3[[#This Row],[ID-VOIE]]</f>
        <v>SDI1602/4</v>
      </c>
      <c r="AM238" s="73" t="str">
        <f>INDEX(Tableau2[Borne],MATCH(Tableau3[[#This Row],[ID-CARTEVOIE]],Tableau2[ID-CARTEVOIE],0))&amp;""</f>
        <v>2B</v>
      </c>
      <c r="AN238" s="74" t="str">
        <f>Tableau3[[#This Row],[ID-API]]&amp;Tableau3[[#This Row],[ID-RACK]]&amp;Tableau3[[#This Row],[ID-SLOT]]&amp;Tableau3[[#This Row],[BORNE]]</f>
        <v>2172B</v>
      </c>
      <c r="AO238" s="1"/>
    </row>
    <row r="239" spans="1:41" ht="20.100000000000001" customHeight="1" thickTop="1" thickBot="1">
      <c r="A239" s="68"/>
      <c r="B239" s="69" t="str">
        <f>IFERROR(INDEX(Tableau4[Date],MATCH($A239,Tableau4[EVO],0)),"")</f>
        <v/>
      </c>
      <c r="C239" s="68" t="str">
        <f>IFERROR(INDEX(Tableau4[Designation],MATCH($A239,Tableau4[EVO],0)),"")</f>
        <v/>
      </c>
      <c r="D239" s="68"/>
      <c r="E239" s="70">
        <v>1</v>
      </c>
      <c r="F239" s="71">
        <v>209</v>
      </c>
      <c r="G239" s="101" t="str">
        <f>INDEX(Tableau8[Att1],MATCH(Tableau3[[#This Row],[ID-INS]],Tableau8[ID],0))&amp;""</f>
        <v>V12</v>
      </c>
      <c r="H239" s="101" t="str">
        <f>INDEX(Tableau8[Att2],MATCH(Tableau3[[#This Row],[ID-INS]],Tableau8[ID],0))&amp;""</f>
        <v>P1</v>
      </c>
      <c r="I239" s="101" t="str">
        <f>INDEX(Tableau8[Att3],MATCH(Tableau3[[#This Row],[ID-INS]],Tableau8[ID],0))&amp;""</f>
        <v>Portail P1</v>
      </c>
      <c r="J239" s="101"/>
      <c r="K239" s="167" t="str">
        <f>INDEX(Tableau8[Nom du modele],MATCH(Tableau3[[#This Row],[ID-INS]],Tableau8[ID],0))&amp;""</f>
        <v>PortailR2V_1</v>
      </c>
      <c r="L239" s="99" t="str">
        <f>INDEX(Tableau5[Att1],MATCH(Tableau3[[#This Row],[ID-SIG]],Tableau5[ID],0))&amp;""</f>
        <v>V2_GrpHydRet2</v>
      </c>
      <c r="M239" s="99" t="str">
        <f>INDEX(Tableau5[Att2],MATCH(Tableau3[[#This Row],[ID-SIG]],Tableau5[ID],0))&amp;""</f>
        <v/>
      </c>
      <c r="N239" s="99" t="str">
        <f>INDEX(Tableau5[Att3],MATCH(Tableau3[[#This Row],[ID-SIG]],Tableau5[ID],0))&amp;""</f>
        <v/>
      </c>
      <c r="O239" s="99"/>
      <c r="P239" s="99" t="str">
        <f>INDEX(Tableau5[Description],MATCH(Tableau3[[#This Row],[ID-SIG]],Tableau5[ID],0))</f>
        <v>Retour Commande 2 marche groupe hydraulique vantail 2</v>
      </c>
      <c r="Q239" s="99"/>
      <c r="R239" s="103" t="str">
        <f>Tableau3[[#This Row],[Description]]</f>
        <v>Retour Commande 2 marche groupe hydraulique vantail 2</v>
      </c>
      <c r="S239" s="86"/>
      <c r="U239" s="87">
        <v>2</v>
      </c>
      <c r="V239" s="87">
        <v>1</v>
      </c>
      <c r="W239" s="87">
        <v>7</v>
      </c>
      <c r="X239" s="87">
        <v>5</v>
      </c>
      <c r="Y239" s="40"/>
      <c r="Z239" s="165" t="str">
        <f>INDEX(Tableau2[TS],MATCH(Tableau3[[#This Row],[ID-CARTEVOIE]],Tableau2[ID-CARTEVOIE],0))</f>
        <v>ET</v>
      </c>
      <c r="AA239" s="53" t="s">
        <v>213</v>
      </c>
      <c r="AB239" s="223" t="str">
        <f>IFERROR(INDEX(Tableau5[Reserve],MATCH(Tableau3[[#This Row],[ID-SIG]],Tableau5[ID],0))&amp;"","")</f>
        <v/>
      </c>
      <c r="AC239" s="21"/>
      <c r="AD239" s="108" t="str">
        <f>INDEX(Tableau7[Repere],MATCH(Tableau3[[#This Row],[ID-API]],Tableau7[ID-API],0))&amp;""</f>
        <v>A2</v>
      </c>
      <c r="AE239" s="108" t="str">
        <f>INDEX(Tableau1[Repere-Rack],MATCH(Tableau3[[#This Row],[ID-RACK]],Tableau1[ID-RACK],0))&amp;""</f>
        <v>R1</v>
      </c>
      <c r="AF239" s="108" t="str">
        <f>INDEX(Tableau1[Repere-Slot],MATCH(Tableau3[[#This Row],[ID-SLOT]],Tableau1[ID-SLOT],0))&amp;""</f>
        <v>S7</v>
      </c>
      <c r="AG239" s="108" t="str">
        <f>INDEX(Tableau2[Repere-Voie],MATCH(Tableau3[[#This Row],[ID-VOIE]],Tableau2[ID-Voie],0))&amp;""</f>
        <v>v5</v>
      </c>
      <c r="AH239" s="72" t="str">
        <f>Tableau3[[#This Row],[ID-API]]&amp; "." &amp;Tableau3[[#This Row],[ID-RACK]]&amp; "." &amp;Tableau3[[#This Row],[ID-SLOT]]</f>
        <v>2.1.7</v>
      </c>
      <c r="AI239" s="72" t="str">
        <f>INDEX(Tableau1[Ref-Carte],MATCH(Tableau3[[#This Row],[ID-RRS]],Tableau1[ID-RRS],0))</f>
        <v>SDI1602</v>
      </c>
      <c r="AJ239" s="72" t="str">
        <f t="array" ref="AJ239">IFERROR(INDEX(Tableau2[TS],MATCH(1,(Tableau2[Ref-Carte]=Tableau3[[#This Row],[Ref-Carte2]])*(Tableau2[ID-Voie]=Tableau3[[#This Row],[ID-VOIE]]),0)),"")</f>
        <v>ET</v>
      </c>
      <c r="AK239" s="72" t="str">
        <f>IFERROR(INDEX(Tableau2[TS],SUMPRODUCT((Tableau2[Ref-Carte]=Tableau3[[#This Row],[Ref-Carte2]])*(Tableau2[ID-Voie]=Tableau3[[#This Row],[ID-VOIE]])*ROW(Tableau2[TS]))-ROW(Tableau2[#Headers])),"")</f>
        <v>ET</v>
      </c>
      <c r="AL239" s="72" t="str">
        <f>Tableau3[[#This Row],[Ref-Carte2]]&amp;"/"&amp;Tableau3[[#This Row],[ID-VOIE]]</f>
        <v>SDI1602/5</v>
      </c>
      <c r="AM239" s="73" t="str">
        <f>INDEX(Tableau2[Borne],MATCH(Tableau3[[#This Row],[ID-CARTEVOIE]],Tableau2[ID-CARTEVOIE],0))&amp;""</f>
        <v>2A</v>
      </c>
      <c r="AN239" s="74" t="str">
        <f>Tableau3[[#This Row],[ID-API]]&amp;Tableau3[[#This Row],[ID-RACK]]&amp;Tableau3[[#This Row],[ID-SLOT]]&amp;Tableau3[[#This Row],[BORNE]]</f>
        <v>2172A</v>
      </c>
      <c r="AO239" s="1"/>
    </row>
    <row r="240" spans="1:41" ht="20.100000000000001" customHeight="1" thickTop="1" thickBot="1">
      <c r="A240" s="68"/>
      <c r="B240" s="69" t="str">
        <f>IFERROR(INDEX(Tableau4[Date],MATCH($A240,Tableau4[EVO],0)),"")</f>
        <v/>
      </c>
      <c r="C240" s="68" t="str">
        <f>IFERROR(INDEX(Tableau4[Designation],MATCH($A240,Tableau4[EVO],0)),"")</f>
        <v/>
      </c>
      <c r="D240" s="68"/>
      <c r="E240" s="70">
        <v>1</v>
      </c>
      <c r="F240" s="71">
        <v>210</v>
      </c>
      <c r="G240" s="101" t="str">
        <f>INDEX(Tableau8[Att1],MATCH(Tableau3[[#This Row],[ID-INS]],Tableau8[ID],0))&amp;""</f>
        <v>V12</v>
      </c>
      <c r="H240" s="101" t="str">
        <f>INDEX(Tableau8[Att2],MATCH(Tableau3[[#This Row],[ID-INS]],Tableau8[ID],0))&amp;""</f>
        <v>P1</v>
      </c>
      <c r="I240" s="101" t="str">
        <f>INDEX(Tableau8[Att3],MATCH(Tableau3[[#This Row],[ID-INS]],Tableau8[ID],0))&amp;""</f>
        <v>Portail P1</v>
      </c>
      <c r="J240" s="101"/>
      <c r="K240" s="167" t="str">
        <f>INDEX(Tableau8[Nom du modele],MATCH(Tableau3[[#This Row],[ID-INS]],Tableau8[ID],0))&amp;""</f>
        <v>PortailR2V_1</v>
      </c>
      <c r="L240" s="99" t="str">
        <f>INDEX(Tableau5[Att1],MATCH(Tableau3[[#This Row],[ID-SIG]],Tableau5[ID],0))&amp;""</f>
        <v>V2_FerRet2</v>
      </c>
      <c r="M240" s="99" t="str">
        <f>INDEX(Tableau5[Att2],MATCH(Tableau3[[#This Row],[ID-SIG]],Tableau5[ID],0))&amp;""</f>
        <v/>
      </c>
      <c r="N240" s="99" t="str">
        <f>INDEX(Tableau5[Att3],MATCH(Tableau3[[#This Row],[ID-SIG]],Tableau5[ID],0))&amp;""</f>
        <v/>
      </c>
      <c r="O240" s="99"/>
      <c r="P240" s="99" t="str">
        <f>INDEX(Tableau5[Description],MATCH(Tableau3[[#This Row],[ID-SIG]],Tableau5[ID],0))</f>
        <v>Retour Commande 2 fermeture vantail 2</v>
      </c>
      <c r="Q240" s="99"/>
      <c r="R240" s="103" t="str">
        <f>Tableau3[[#This Row],[Description]]</f>
        <v>Retour Commande 2 fermeture vantail 2</v>
      </c>
      <c r="S240" s="86"/>
      <c r="U240" s="87">
        <v>2</v>
      </c>
      <c r="V240" s="87">
        <v>1</v>
      </c>
      <c r="W240" s="87">
        <v>7</v>
      </c>
      <c r="X240" s="87">
        <v>6</v>
      </c>
      <c r="Y240" s="40"/>
      <c r="Z240" s="165" t="str">
        <f>INDEX(Tableau2[TS],MATCH(Tableau3[[#This Row],[ID-CARTEVOIE]],Tableau2[ID-CARTEVOIE],0))</f>
        <v>ET</v>
      </c>
      <c r="AA240" s="53" t="s">
        <v>213</v>
      </c>
      <c r="AB240" s="223" t="str">
        <f>IFERROR(INDEX(Tableau5[Reserve],MATCH(Tableau3[[#This Row],[ID-SIG]],Tableau5[ID],0))&amp;"","")</f>
        <v/>
      </c>
      <c r="AC240" s="21"/>
      <c r="AD240" s="108" t="str">
        <f>INDEX(Tableau7[Repere],MATCH(Tableau3[[#This Row],[ID-API]],Tableau7[ID-API],0))&amp;""</f>
        <v>A2</v>
      </c>
      <c r="AE240" s="108" t="str">
        <f>INDEX(Tableau1[Repere-Rack],MATCH(Tableau3[[#This Row],[ID-RACK]],Tableau1[ID-RACK],0))&amp;""</f>
        <v>R1</v>
      </c>
      <c r="AF240" s="108" t="str">
        <f>INDEX(Tableau1[Repere-Slot],MATCH(Tableau3[[#This Row],[ID-SLOT]],Tableau1[ID-SLOT],0))&amp;""</f>
        <v>S7</v>
      </c>
      <c r="AG240" s="108" t="str">
        <f>INDEX(Tableau2[Repere-Voie],MATCH(Tableau3[[#This Row],[ID-VOIE]],Tableau2[ID-Voie],0))&amp;""</f>
        <v>v6</v>
      </c>
      <c r="AH240" s="72" t="str">
        <f>Tableau3[[#This Row],[ID-API]]&amp; "." &amp;Tableau3[[#This Row],[ID-RACK]]&amp; "." &amp;Tableau3[[#This Row],[ID-SLOT]]</f>
        <v>2.1.7</v>
      </c>
      <c r="AI240" s="72" t="str">
        <f>INDEX(Tableau1[Ref-Carte],MATCH(Tableau3[[#This Row],[ID-RRS]],Tableau1[ID-RRS],0))</f>
        <v>SDI1602</v>
      </c>
      <c r="AJ240" s="72" t="str">
        <f t="array" ref="AJ240">IFERROR(INDEX(Tableau2[TS],MATCH(1,(Tableau2[Ref-Carte]=Tableau3[[#This Row],[Ref-Carte2]])*(Tableau2[ID-Voie]=Tableau3[[#This Row],[ID-VOIE]]),0)),"")</f>
        <v>ET</v>
      </c>
      <c r="AK240" s="72" t="str">
        <f>IFERROR(INDEX(Tableau2[TS],SUMPRODUCT((Tableau2[Ref-Carte]=Tableau3[[#This Row],[Ref-Carte2]])*(Tableau2[ID-Voie]=Tableau3[[#This Row],[ID-VOIE]])*ROW(Tableau2[TS]))-ROW(Tableau2[#Headers])),"")</f>
        <v>ET</v>
      </c>
      <c r="AL240" s="72" t="str">
        <f>Tableau3[[#This Row],[Ref-Carte2]]&amp;"/"&amp;Tableau3[[#This Row],[ID-VOIE]]</f>
        <v>SDI1602/6</v>
      </c>
      <c r="AM240" s="73" t="str">
        <f>INDEX(Tableau2[Borne],MATCH(Tableau3[[#This Row],[ID-CARTEVOIE]],Tableau2[ID-CARTEVOIE],0))&amp;""</f>
        <v>3B</v>
      </c>
      <c r="AN240" s="74" t="str">
        <f>Tableau3[[#This Row],[ID-API]]&amp;Tableau3[[#This Row],[ID-RACK]]&amp;Tableau3[[#This Row],[ID-SLOT]]&amp;Tableau3[[#This Row],[BORNE]]</f>
        <v>2173B</v>
      </c>
      <c r="AO240" s="1"/>
    </row>
    <row r="241" spans="1:41" ht="20.100000000000001" customHeight="1" thickTop="1" thickBot="1">
      <c r="A241" s="68"/>
      <c r="B241" s="69" t="str">
        <f>IFERROR(INDEX(Tableau4[Date],MATCH($A241,Tableau4[EVO],0)),"")</f>
        <v/>
      </c>
      <c r="C241" s="68" t="str">
        <f>IFERROR(INDEX(Tableau4[Designation],MATCH($A241,Tableau4[EVO],0)),"")</f>
        <v/>
      </c>
      <c r="D241" s="68"/>
      <c r="E241" s="70">
        <v>1</v>
      </c>
      <c r="F241" s="71">
        <v>211</v>
      </c>
      <c r="G241" s="101" t="str">
        <f>INDEX(Tableau8[Att1],MATCH(Tableau3[[#This Row],[ID-INS]],Tableau8[ID],0))&amp;""</f>
        <v>V12</v>
      </c>
      <c r="H241" s="101" t="str">
        <f>INDEX(Tableau8[Att2],MATCH(Tableau3[[#This Row],[ID-INS]],Tableau8[ID],0))&amp;""</f>
        <v>P1</v>
      </c>
      <c r="I241" s="101" t="str">
        <f>INDEX(Tableau8[Att3],MATCH(Tableau3[[#This Row],[ID-INS]],Tableau8[ID],0))&amp;""</f>
        <v>Portail P1</v>
      </c>
      <c r="J241" s="101"/>
      <c r="K241" s="167" t="str">
        <f>INDEX(Tableau8[Nom du modele],MATCH(Tableau3[[#This Row],[ID-INS]],Tableau8[ID],0))&amp;""</f>
        <v>PortailR2V_1</v>
      </c>
      <c r="L241" s="99" t="str">
        <f>INDEX(Tableau5[Att1],MATCH(Tableau3[[#This Row],[ID-SIG]],Tableau5[ID],0))&amp;""</f>
        <v>V2_Fer2</v>
      </c>
      <c r="M241" s="99" t="str">
        <f>INDEX(Tableau5[Att2],MATCH(Tableau3[[#This Row],[ID-SIG]],Tableau5[ID],0))&amp;""</f>
        <v/>
      </c>
      <c r="N241" s="99" t="str">
        <f>INDEX(Tableau5[Att3],MATCH(Tableau3[[#This Row],[ID-SIG]],Tableau5[ID],0))&amp;""</f>
        <v/>
      </c>
      <c r="O241" s="99"/>
      <c r="P241" s="99" t="str">
        <f>INDEX(Tableau5[Description],MATCH(Tableau3[[#This Row],[ID-SIG]],Tableau5[ID],0))</f>
        <v>Vantail 2 en fdc Fermé 2</v>
      </c>
      <c r="Q241" s="99"/>
      <c r="R241" s="103" t="str">
        <f>Tableau3[[#This Row],[Description]]</f>
        <v>Vantail 2 en fdc Fermé 2</v>
      </c>
      <c r="S241" s="86"/>
      <c r="U241" s="87">
        <v>2</v>
      </c>
      <c r="V241" s="87">
        <v>1</v>
      </c>
      <c r="W241" s="87">
        <v>7</v>
      </c>
      <c r="X241" s="87">
        <v>7</v>
      </c>
      <c r="Y241" s="40"/>
      <c r="Z241" s="165" t="str">
        <f>INDEX(Tableau2[TS],MATCH(Tableau3[[#This Row],[ID-CARTEVOIE]],Tableau2[ID-CARTEVOIE],0))</f>
        <v>ET</v>
      </c>
      <c r="AA241" s="53" t="s">
        <v>213</v>
      </c>
      <c r="AB241" s="223" t="str">
        <f>IFERROR(INDEX(Tableau5[Reserve],MATCH(Tableau3[[#This Row],[ID-SIG]],Tableau5[ID],0))&amp;"","")</f>
        <v/>
      </c>
      <c r="AC241" s="21"/>
      <c r="AD241" s="108" t="str">
        <f>INDEX(Tableau7[Repere],MATCH(Tableau3[[#This Row],[ID-API]],Tableau7[ID-API],0))&amp;""</f>
        <v>A2</v>
      </c>
      <c r="AE241" s="108" t="str">
        <f>INDEX(Tableau1[Repere-Rack],MATCH(Tableau3[[#This Row],[ID-RACK]],Tableau1[ID-RACK],0))&amp;""</f>
        <v>R1</v>
      </c>
      <c r="AF241" s="108" t="str">
        <f>INDEX(Tableau1[Repere-Slot],MATCH(Tableau3[[#This Row],[ID-SLOT]],Tableau1[ID-SLOT],0))&amp;""</f>
        <v>S7</v>
      </c>
      <c r="AG241" s="108" t="str">
        <f>INDEX(Tableau2[Repere-Voie],MATCH(Tableau3[[#This Row],[ID-VOIE]],Tableau2[ID-Voie],0))&amp;""</f>
        <v>v7</v>
      </c>
      <c r="AH241" s="72" t="str">
        <f>Tableau3[[#This Row],[ID-API]]&amp; "." &amp;Tableau3[[#This Row],[ID-RACK]]&amp; "." &amp;Tableau3[[#This Row],[ID-SLOT]]</f>
        <v>2.1.7</v>
      </c>
      <c r="AI241" s="72" t="str">
        <f>INDEX(Tableau1[Ref-Carte],MATCH(Tableau3[[#This Row],[ID-RRS]],Tableau1[ID-RRS],0))</f>
        <v>SDI1602</v>
      </c>
      <c r="AJ241" s="72" t="str">
        <f t="array" ref="AJ241">IFERROR(INDEX(Tableau2[TS],MATCH(1,(Tableau2[Ref-Carte]=Tableau3[[#This Row],[Ref-Carte2]])*(Tableau2[ID-Voie]=Tableau3[[#This Row],[ID-VOIE]]),0)),"")</f>
        <v>ET</v>
      </c>
      <c r="AK241" s="72" t="str">
        <f>IFERROR(INDEX(Tableau2[TS],SUMPRODUCT((Tableau2[Ref-Carte]=Tableau3[[#This Row],[Ref-Carte2]])*(Tableau2[ID-Voie]=Tableau3[[#This Row],[ID-VOIE]])*ROW(Tableau2[TS]))-ROW(Tableau2[#Headers])),"")</f>
        <v>ET</v>
      </c>
      <c r="AL241" s="72" t="str">
        <f>Tableau3[[#This Row],[Ref-Carte2]]&amp;"/"&amp;Tableau3[[#This Row],[ID-VOIE]]</f>
        <v>SDI1602/7</v>
      </c>
      <c r="AM241" s="73" t="str">
        <f>INDEX(Tableau2[Borne],MATCH(Tableau3[[#This Row],[ID-CARTEVOIE]],Tableau2[ID-CARTEVOIE],0))&amp;""</f>
        <v>3A</v>
      </c>
      <c r="AN241" s="74" t="str">
        <f>Tableau3[[#This Row],[ID-API]]&amp;Tableau3[[#This Row],[ID-RACK]]&amp;Tableau3[[#This Row],[ID-SLOT]]&amp;Tableau3[[#This Row],[BORNE]]</f>
        <v>2173A</v>
      </c>
      <c r="AO241" s="1"/>
    </row>
    <row r="242" spans="1:41" ht="20.100000000000001" customHeight="1" thickTop="1" thickBot="1">
      <c r="A242" s="68"/>
      <c r="B242" s="69" t="str">
        <f>IFERROR(INDEX(Tableau4[Date],MATCH($A242,Tableau4[EVO],0)),"")</f>
        <v/>
      </c>
      <c r="C242" s="68" t="str">
        <f>IFERROR(INDEX(Tableau4[Designation],MATCH($A242,Tableau4[EVO],0)),"")</f>
        <v/>
      </c>
      <c r="D242" s="68"/>
      <c r="E242" s="70">
        <v>1</v>
      </c>
      <c r="F242" s="71">
        <v>217</v>
      </c>
      <c r="G242" s="101" t="str">
        <f>INDEX(Tableau8[Att1],MATCH(Tableau3[[#This Row],[ID-INS]],Tableau8[ID],0))&amp;""</f>
        <v>V12</v>
      </c>
      <c r="H242" s="101" t="str">
        <f>INDEX(Tableau8[Att2],MATCH(Tableau3[[#This Row],[ID-INS]],Tableau8[ID],0))&amp;""</f>
        <v>P1</v>
      </c>
      <c r="I242" s="101" t="str">
        <f>INDEX(Tableau8[Att3],MATCH(Tableau3[[#This Row],[ID-INS]],Tableau8[ID],0))&amp;""</f>
        <v>Portail P1</v>
      </c>
      <c r="J242" s="101"/>
      <c r="K242" s="167" t="str">
        <f>INDEX(Tableau8[Nom du modele],MATCH(Tableau3[[#This Row],[ID-INS]],Tableau8[ID],0))&amp;""</f>
        <v>PortailR2V_1</v>
      </c>
      <c r="L242" s="99" t="str">
        <f>INDEX(Tableau5[Att1],MATCH(Tableau3[[#This Row],[ID-SIG]],Tableau5[ID],0))&amp;""</f>
        <v>V1_Ouv</v>
      </c>
      <c r="M242" s="99" t="str">
        <f>INDEX(Tableau5[Att2],MATCH(Tableau3[[#This Row],[ID-SIG]],Tableau5[ID],0))&amp;""</f>
        <v/>
      </c>
      <c r="N242" s="99" t="str">
        <f>INDEX(Tableau5[Att3],MATCH(Tableau3[[#This Row],[ID-SIG]],Tableau5[ID],0))&amp;""</f>
        <v/>
      </c>
      <c r="O242" s="99"/>
      <c r="P242" s="99" t="str">
        <f>INDEX(Tableau5[Description],MATCH(Tableau3[[#This Row],[ID-SIG]],Tableau5[ID],0))</f>
        <v>Vantail 1 en fdc ouvert</v>
      </c>
      <c r="Q242" s="99"/>
      <c r="R242" s="103" t="str">
        <f>Tableau3[[#This Row],[Description]]</f>
        <v>Vantail 1 en fdc ouvert</v>
      </c>
      <c r="S242" s="86"/>
      <c r="U242" s="87">
        <v>2</v>
      </c>
      <c r="V242" s="87">
        <v>1</v>
      </c>
      <c r="W242" s="87">
        <v>7</v>
      </c>
      <c r="X242" s="87">
        <v>8</v>
      </c>
      <c r="Y242" s="40"/>
      <c r="Z242" s="165" t="str">
        <f>INDEX(Tableau2[TS],MATCH(Tableau3[[#This Row],[ID-CARTEVOIE]],Tableau2[ID-CARTEVOIE],0))</f>
        <v>ET</v>
      </c>
      <c r="AA242" s="53" t="s">
        <v>213</v>
      </c>
      <c r="AB242" s="223" t="str">
        <f>IFERROR(INDEX(Tableau5[Reserve],MATCH(Tableau3[[#This Row],[ID-SIG]],Tableau5[ID],0))&amp;"","")</f>
        <v/>
      </c>
      <c r="AC242" s="21"/>
      <c r="AD242" s="108" t="str">
        <f>INDEX(Tableau7[Repere],MATCH(Tableau3[[#This Row],[ID-API]],Tableau7[ID-API],0))&amp;""</f>
        <v>A2</v>
      </c>
      <c r="AE242" s="108" t="str">
        <f>INDEX(Tableau1[Repere-Rack],MATCH(Tableau3[[#This Row],[ID-RACK]],Tableau1[ID-RACK],0))&amp;""</f>
        <v>R1</v>
      </c>
      <c r="AF242" s="108" t="str">
        <f>INDEX(Tableau1[Repere-Slot],MATCH(Tableau3[[#This Row],[ID-SLOT]],Tableau1[ID-SLOT],0))&amp;""</f>
        <v>S7</v>
      </c>
      <c r="AG242" s="108" t="str">
        <f>INDEX(Tableau2[Repere-Voie],MATCH(Tableau3[[#This Row],[ID-VOIE]],Tableau2[ID-Voie],0))&amp;""</f>
        <v>v8</v>
      </c>
      <c r="AH242" s="72" t="str">
        <f>Tableau3[[#This Row],[ID-API]]&amp; "." &amp;Tableau3[[#This Row],[ID-RACK]]&amp; "." &amp;Tableau3[[#This Row],[ID-SLOT]]</f>
        <v>2.1.7</v>
      </c>
      <c r="AI242" s="72" t="str">
        <f>INDEX(Tableau1[Ref-Carte],MATCH(Tableau3[[#This Row],[ID-RRS]],Tableau1[ID-RRS],0))</f>
        <v>SDI1602</v>
      </c>
      <c r="AJ242" s="72" t="str">
        <f t="array" ref="AJ242">IFERROR(INDEX(Tableau2[TS],MATCH(1,(Tableau2[Ref-Carte]=Tableau3[[#This Row],[Ref-Carte2]])*(Tableau2[ID-Voie]=Tableau3[[#This Row],[ID-VOIE]]),0)),"")</f>
        <v>ET</v>
      </c>
      <c r="AK242" s="72" t="str">
        <f>IFERROR(INDEX(Tableau2[TS],SUMPRODUCT((Tableau2[Ref-Carte]=Tableau3[[#This Row],[Ref-Carte2]])*(Tableau2[ID-Voie]=Tableau3[[#This Row],[ID-VOIE]])*ROW(Tableau2[TS]))-ROW(Tableau2[#Headers])),"")</f>
        <v>ET</v>
      </c>
      <c r="AL242" s="72" t="str">
        <f>Tableau3[[#This Row],[Ref-Carte2]]&amp;"/"&amp;Tableau3[[#This Row],[ID-VOIE]]</f>
        <v>SDI1602/8</v>
      </c>
      <c r="AM242" s="73" t="str">
        <f>INDEX(Tableau2[Borne],MATCH(Tableau3[[#This Row],[ID-CARTEVOIE]],Tableau2[ID-CARTEVOIE],0))&amp;""</f>
        <v>4B</v>
      </c>
      <c r="AN242" s="74" t="str">
        <f>Tableau3[[#This Row],[ID-API]]&amp;Tableau3[[#This Row],[ID-RACK]]&amp;Tableau3[[#This Row],[ID-SLOT]]&amp;Tableau3[[#This Row],[BORNE]]</f>
        <v>2174B</v>
      </c>
      <c r="AO242" s="1"/>
    </row>
    <row r="243" spans="1:41" ht="20.100000000000001" customHeight="1" thickTop="1" thickBot="1">
      <c r="A243" s="68"/>
      <c r="B243" s="69" t="str">
        <f>IFERROR(INDEX(Tableau4[Date],MATCH($A243,Tableau4[EVO],0)),"")</f>
        <v/>
      </c>
      <c r="C243" s="68" t="str">
        <f>IFERROR(INDEX(Tableau4[Designation],MATCH($A243,Tableau4[EVO],0)),"")</f>
        <v/>
      </c>
      <c r="D243" s="68"/>
      <c r="E243" s="70">
        <v>1</v>
      </c>
      <c r="F243" s="71">
        <v>218</v>
      </c>
      <c r="G243" s="101" t="str">
        <f>INDEX(Tableau8[Att1],MATCH(Tableau3[[#This Row],[ID-INS]],Tableau8[ID],0))&amp;""</f>
        <v>V12</v>
      </c>
      <c r="H243" s="101" t="str">
        <f>INDEX(Tableau8[Att2],MATCH(Tableau3[[#This Row],[ID-INS]],Tableau8[ID],0))&amp;""</f>
        <v>P1</v>
      </c>
      <c r="I243" s="101" t="str">
        <f>INDEX(Tableau8[Att3],MATCH(Tableau3[[#This Row],[ID-INS]],Tableau8[ID],0))&amp;""</f>
        <v>Portail P1</v>
      </c>
      <c r="J243" s="101"/>
      <c r="K243" s="167" t="str">
        <f>INDEX(Tableau8[Nom du modele],MATCH(Tableau3[[#This Row],[ID-INS]],Tableau8[ID],0))&amp;""</f>
        <v>PortailR2V_1</v>
      </c>
      <c r="L243" s="99" t="str">
        <f>INDEX(Tableau5[Att1],MATCH(Tableau3[[#This Row],[ID-SIG]],Tableau5[ID],0))&amp;""</f>
        <v>V1_Fer1</v>
      </c>
      <c r="M243" s="99" t="str">
        <f>INDEX(Tableau5[Att2],MATCH(Tableau3[[#This Row],[ID-SIG]],Tableau5[ID],0))&amp;""</f>
        <v/>
      </c>
      <c r="N243" s="99" t="str">
        <f>INDEX(Tableau5[Att3],MATCH(Tableau3[[#This Row],[ID-SIG]],Tableau5[ID],0))&amp;""</f>
        <v/>
      </c>
      <c r="O243" s="99"/>
      <c r="P243" s="99" t="str">
        <f>INDEX(Tableau5[Description],MATCH(Tableau3[[#This Row],[ID-SIG]],Tableau5[ID],0))</f>
        <v>Vantail 1 en fdc fermé 1</v>
      </c>
      <c r="Q243" s="99"/>
      <c r="R243" s="103" t="str">
        <f>Tableau3[[#This Row],[Description]]</f>
        <v>Vantail 1 en fdc fermé 1</v>
      </c>
      <c r="S243" s="86"/>
      <c r="U243" s="87">
        <v>2</v>
      </c>
      <c r="V243" s="87">
        <v>1</v>
      </c>
      <c r="W243" s="87">
        <v>7</v>
      </c>
      <c r="X243" s="87">
        <v>9</v>
      </c>
      <c r="Y243" s="40"/>
      <c r="Z243" s="165" t="str">
        <f>INDEX(Tableau2[TS],MATCH(Tableau3[[#This Row],[ID-CARTEVOIE]],Tableau2[ID-CARTEVOIE],0))</f>
        <v>ET</v>
      </c>
      <c r="AA243" s="53" t="s">
        <v>213</v>
      </c>
      <c r="AB243" s="223" t="str">
        <f>IFERROR(INDEX(Tableau5[Reserve],MATCH(Tableau3[[#This Row],[ID-SIG]],Tableau5[ID],0))&amp;"","")</f>
        <v/>
      </c>
      <c r="AC243" s="21"/>
      <c r="AD243" s="108" t="str">
        <f>INDEX(Tableau7[Repere],MATCH(Tableau3[[#This Row],[ID-API]],Tableau7[ID-API],0))&amp;""</f>
        <v>A2</v>
      </c>
      <c r="AE243" s="108" t="str">
        <f>INDEX(Tableau1[Repere-Rack],MATCH(Tableau3[[#This Row],[ID-RACK]],Tableau1[ID-RACK],0))&amp;""</f>
        <v>R1</v>
      </c>
      <c r="AF243" s="108" t="str">
        <f>INDEX(Tableau1[Repere-Slot],MATCH(Tableau3[[#This Row],[ID-SLOT]],Tableau1[ID-SLOT],0))&amp;""</f>
        <v>S7</v>
      </c>
      <c r="AG243" s="108" t="str">
        <f>INDEX(Tableau2[Repere-Voie],MATCH(Tableau3[[#This Row],[ID-VOIE]],Tableau2[ID-Voie],0))&amp;""</f>
        <v>v9</v>
      </c>
      <c r="AH243" s="72" t="str">
        <f>Tableau3[[#This Row],[ID-API]]&amp; "." &amp;Tableau3[[#This Row],[ID-RACK]]&amp; "." &amp;Tableau3[[#This Row],[ID-SLOT]]</f>
        <v>2.1.7</v>
      </c>
      <c r="AI243" s="72" t="str">
        <f>INDEX(Tableau1[Ref-Carte],MATCH(Tableau3[[#This Row],[ID-RRS]],Tableau1[ID-RRS],0))</f>
        <v>SDI1602</v>
      </c>
      <c r="AJ243" s="72" t="str">
        <f t="array" ref="AJ243">IFERROR(INDEX(Tableau2[TS],MATCH(1,(Tableau2[Ref-Carte]=Tableau3[[#This Row],[Ref-Carte2]])*(Tableau2[ID-Voie]=Tableau3[[#This Row],[ID-VOIE]]),0)),"")</f>
        <v>ET</v>
      </c>
      <c r="AK243" s="72" t="str">
        <f>IFERROR(INDEX(Tableau2[TS],SUMPRODUCT((Tableau2[Ref-Carte]=Tableau3[[#This Row],[Ref-Carte2]])*(Tableau2[ID-Voie]=Tableau3[[#This Row],[ID-VOIE]])*ROW(Tableau2[TS]))-ROW(Tableau2[#Headers])),"")</f>
        <v>ET</v>
      </c>
      <c r="AL243" s="72" t="str">
        <f>Tableau3[[#This Row],[Ref-Carte2]]&amp;"/"&amp;Tableau3[[#This Row],[ID-VOIE]]</f>
        <v>SDI1602/9</v>
      </c>
      <c r="AM243" s="73" t="str">
        <f>INDEX(Tableau2[Borne],MATCH(Tableau3[[#This Row],[ID-CARTEVOIE]],Tableau2[ID-CARTEVOIE],0))&amp;""</f>
        <v>4A</v>
      </c>
      <c r="AN243" s="74" t="str">
        <f>Tableau3[[#This Row],[ID-API]]&amp;Tableau3[[#This Row],[ID-RACK]]&amp;Tableau3[[#This Row],[ID-SLOT]]&amp;Tableau3[[#This Row],[BORNE]]</f>
        <v>2174A</v>
      </c>
      <c r="AO243" s="1"/>
    </row>
    <row r="244" spans="1:41" ht="20.100000000000001" customHeight="1" thickTop="1" thickBot="1">
      <c r="A244" s="68"/>
      <c r="B244" s="69" t="str">
        <f>IFERROR(INDEX(Tableau4[Date],MATCH($A244,Tableau4[EVO],0)),"")</f>
        <v/>
      </c>
      <c r="C244" s="68" t="str">
        <f>IFERROR(INDEX(Tableau4[Designation],MATCH($A244,Tableau4[EVO],0)),"")</f>
        <v/>
      </c>
      <c r="D244" s="68"/>
      <c r="E244" s="70">
        <v>1</v>
      </c>
      <c r="F244" s="71">
        <v>219</v>
      </c>
      <c r="G244" s="101" t="str">
        <f>INDEX(Tableau8[Att1],MATCH(Tableau3[[#This Row],[ID-INS]],Tableau8[ID],0))&amp;""</f>
        <v>V12</v>
      </c>
      <c r="H244" s="101" t="str">
        <f>INDEX(Tableau8[Att2],MATCH(Tableau3[[#This Row],[ID-INS]],Tableau8[ID],0))&amp;""</f>
        <v>P1</v>
      </c>
      <c r="I244" s="101" t="str">
        <f>INDEX(Tableau8[Att3],MATCH(Tableau3[[#This Row],[ID-INS]],Tableau8[ID],0))&amp;""</f>
        <v>Portail P1</v>
      </c>
      <c r="J244" s="101"/>
      <c r="K244" s="167" t="str">
        <f>INDEX(Tableau8[Nom du modele],MATCH(Tableau3[[#This Row],[ID-INS]],Tableau8[ID],0))&amp;""</f>
        <v>PortailR2V_1</v>
      </c>
      <c r="L244" s="99" t="str">
        <f>INDEX(Tableau5[Att1],MATCH(Tableau3[[#This Row],[ID-SIG]],Tableau5[ID],0))&amp;""</f>
        <v>V1_OuvProtect</v>
      </c>
      <c r="M244" s="99" t="str">
        <f>INDEX(Tableau5[Att2],MATCH(Tableau3[[#This Row],[ID-SIG]],Tableau5[ID],0))&amp;""</f>
        <v/>
      </c>
      <c r="N244" s="99" t="str">
        <f>INDEX(Tableau5[Att3],MATCH(Tableau3[[#This Row],[ID-SIG]],Tableau5[ID],0))&amp;""</f>
        <v/>
      </c>
      <c r="O244" s="99"/>
      <c r="P244" s="99" t="str">
        <f>INDEX(Tableau5[Description],MATCH(Tableau3[[#This Row],[ID-SIG]],Tableau5[ID],0))</f>
        <v>Vantail 1 Protection à l'ouverture par bande ou lame palpeuse</v>
      </c>
      <c r="Q244" s="99"/>
      <c r="R244" s="103" t="str">
        <f>Tableau3[[#This Row],[Description]]</f>
        <v>Vantail 1 Protection à l'ouverture par bande ou lame palpeuse</v>
      </c>
      <c r="S244" s="86"/>
      <c r="U244" s="87">
        <v>2</v>
      </c>
      <c r="V244" s="87">
        <v>1</v>
      </c>
      <c r="W244" s="87">
        <v>7</v>
      </c>
      <c r="X244" s="87">
        <v>10</v>
      </c>
      <c r="Y244" s="40"/>
      <c r="Z244" s="165" t="str">
        <f>INDEX(Tableau2[TS],MATCH(Tableau3[[#This Row],[ID-CARTEVOIE]],Tableau2[ID-CARTEVOIE],0))</f>
        <v>ET</v>
      </c>
      <c r="AA244" s="53" t="s">
        <v>213</v>
      </c>
      <c r="AB244" s="223" t="str">
        <f>IFERROR(INDEX(Tableau5[Reserve],MATCH(Tableau3[[#This Row],[ID-SIG]],Tableau5[ID],0))&amp;"","")</f>
        <v/>
      </c>
      <c r="AC244" s="21"/>
      <c r="AD244" s="108" t="str">
        <f>INDEX(Tableau7[Repere],MATCH(Tableau3[[#This Row],[ID-API]],Tableau7[ID-API],0))&amp;""</f>
        <v>A2</v>
      </c>
      <c r="AE244" s="108" t="str">
        <f>INDEX(Tableau1[Repere-Rack],MATCH(Tableau3[[#This Row],[ID-RACK]],Tableau1[ID-RACK],0))&amp;""</f>
        <v>R1</v>
      </c>
      <c r="AF244" s="108" t="str">
        <f>INDEX(Tableau1[Repere-Slot],MATCH(Tableau3[[#This Row],[ID-SLOT]],Tableau1[ID-SLOT],0))&amp;""</f>
        <v>S7</v>
      </c>
      <c r="AG244" s="108" t="str">
        <f>INDEX(Tableau2[Repere-Voie],MATCH(Tableau3[[#This Row],[ID-VOIE]],Tableau2[ID-Voie],0))&amp;""</f>
        <v>v10</v>
      </c>
      <c r="AH244" s="72" t="str">
        <f>Tableau3[[#This Row],[ID-API]]&amp; "." &amp;Tableau3[[#This Row],[ID-RACK]]&amp; "." &amp;Tableau3[[#This Row],[ID-SLOT]]</f>
        <v>2.1.7</v>
      </c>
      <c r="AI244" s="72" t="str">
        <f>INDEX(Tableau1[Ref-Carte],MATCH(Tableau3[[#This Row],[ID-RRS]],Tableau1[ID-RRS],0))</f>
        <v>SDI1602</v>
      </c>
      <c r="AJ244" s="72" t="str">
        <f t="array" ref="AJ244">IFERROR(INDEX(Tableau2[TS],MATCH(1,(Tableau2[Ref-Carte]=Tableau3[[#This Row],[Ref-Carte2]])*(Tableau2[ID-Voie]=Tableau3[[#This Row],[ID-VOIE]]),0)),"")</f>
        <v>ET</v>
      </c>
      <c r="AK244" s="72" t="str">
        <f>IFERROR(INDEX(Tableau2[TS],SUMPRODUCT((Tableau2[Ref-Carte]=Tableau3[[#This Row],[Ref-Carte2]])*(Tableau2[ID-Voie]=Tableau3[[#This Row],[ID-VOIE]])*ROW(Tableau2[TS]))-ROW(Tableau2[#Headers])),"")</f>
        <v>ET</v>
      </c>
      <c r="AL244" s="72" t="str">
        <f>Tableau3[[#This Row],[Ref-Carte2]]&amp;"/"&amp;Tableau3[[#This Row],[ID-VOIE]]</f>
        <v>SDI1602/10</v>
      </c>
      <c r="AM244" s="73" t="str">
        <f>INDEX(Tableau2[Borne],MATCH(Tableau3[[#This Row],[ID-CARTEVOIE]],Tableau2[ID-CARTEVOIE],0))&amp;""</f>
        <v>5B</v>
      </c>
      <c r="AN244" s="74" t="str">
        <f>Tableau3[[#This Row],[ID-API]]&amp;Tableau3[[#This Row],[ID-RACK]]&amp;Tableau3[[#This Row],[ID-SLOT]]&amp;Tableau3[[#This Row],[BORNE]]</f>
        <v>2175B</v>
      </c>
      <c r="AO244" s="1"/>
    </row>
    <row r="245" spans="1:41" ht="20.100000000000001" customHeight="1" thickTop="1" thickBot="1">
      <c r="A245" s="68"/>
      <c r="B245" s="69" t="str">
        <f>IFERROR(INDEX(Tableau4[Date],MATCH($A245,Tableau4[EVO],0)),"")</f>
        <v/>
      </c>
      <c r="C245" s="68" t="str">
        <f>IFERROR(INDEX(Tableau4[Designation],MATCH($A245,Tableau4[EVO],0)),"")</f>
        <v/>
      </c>
      <c r="D245" s="68"/>
      <c r="E245" s="70">
        <v>1</v>
      </c>
      <c r="F245" s="71">
        <v>220</v>
      </c>
      <c r="G245" s="101" t="str">
        <f>INDEX(Tableau8[Att1],MATCH(Tableau3[[#This Row],[ID-INS]],Tableau8[ID],0))&amp;""</f>
        <v>V12</v>
      </c>
      <c r="H245" s="101" t="str">
        <f>INDEX(Tableau8[Att2],MATCH(Tableau3[[#This Row],[ID-INS]],Tableau8[ID],0))&amp;""</f>
        <v>P1</v>
      </c>
      <c r="I245" s="101" t="str">
        <f>INDEX(Tableau8[Att3],MATCH(Tableau3[[#This Row],[ID-INS]],Tableau8[ID],0))&amp;""</f>
        <v>Portail P1</v>
      </c>
      <c r="J245" s="101"/>
      <c r="K245" s="167" t="str">
        <f>INDEX(Tableau8[Nom du modele],MATCH(Tableau3[[#This Row],[ID-INS]],Tableau8[ID],0))&amp;""</f>
        <v>PortailR2V_1</v>
      </c>
      <c r="L245" s="99" t="str">
        <f>INDEX(Tableau5[Att1],MATCH(Tableau3[[#This Row],[ID-SIG]],Tableau5[ID],0))&amp;""</f>
        <v>V1_ProtectBarrage</v>
      </c>
      <c r="M245" s="99" t="str">
        <f>INDEX(Tableau5[Att2],MATCH(Tableau3[[#This Row],[ID-SIG]],Tableau5[ID],0))&amp;""</f>
        <v/>
      </c>
      <c r="N245" s="99" t="str">
        <f>INDEX(Tableau5[Att3],MATCH(Tableau3[[#This Row],[ID-SIG]],Tableau5[ID],0))&amp;""</f>
        <v/>
      </c>
      <c r="O245" s="99"/>
      <c r="P245" s="99" t="str">
        <f>INDEX(Tableau5[Description],MATCH(Tableau3[[#This Row],[ID-SIG]],Tableau5[ID],0))</f>
        <v>Vantail 1 Protection à fermeture et ouverture par barrage</v>
      </c>
      <c r="Q245" s="99"/>
      <c r="R245" s="103" t="str">
        <f>Tableau3[[#This Row],[Description]]</f>
        <v>Vantail 1 Protection à fermeture et ouverture par barrage</v>
      </c>
      <c r="S245" s="86"/>
      <c r="U245" s="87">
        <v>2</v>
      </c>
      <c r="V245" s="87">
        <v>1</v>
      </c>
      <c r="W245" s="87">
        <v>7</v>
      </c>
      <c r="X245" s="87">
        <v>11</v>
      </c>
      <c r="Y245" s="40"/>
      <c r="Z245" s="165" t="str">
        <f>INDEX(Tableau2[TS],MATCH(Tableau3[[#This Row],[ID-CARTEVOIE]],Tableau2[ID-CARTEVOIE],0))</f>
        <v>ET</v>
      </c>
      <c r="AA245" s="53" t="s">
        <v>213</v>
      </c>
      <c r="AB245" s="223" t="str">
        <f>IFERROR(INDEX(Tableau5[Reserve],MATCH(Tableau3[[#This Row],[ID-SIG]],Tableau5[ID],0))&amp;"","")</f>
        <v/>
      </c>
      <c r="AC245" s="21"/>
      <c r="AD245" s="108" t="str">
        <f>INDEX(Tableau7[Repere],MATCH(Tableau3[[#This Row],[ID-API]],Tableau7[ID-API],0))&amp;""</f>
        <v>A2</v>
      </c>
      <c r="AE245" s="108" t="str">
        <f>INDEX(Tableau1[Repere-Rack],MATCH(Tableau3[[#This Row],[ID-RACK]],Tableau1[ID-RACK],0))&amp;""</f>
        <v>R1</v>
      </c>
      <c r="AF245" s="108" t="str">
        <f>INDEX(Tableau1[Repere-Slot],MATCH(Tableau3[[#This Row],[ID-SLOT]],Tableau1[ID-SLOT],0))&amp;""</f>
        <v>S7</v>
      </c>
      <c r="AG245" s="108" t="str">
        <f>INDEX(Tableau2[Repere-Voie],MATCH(Tableau3[[#This Row],[ID-VOIE]],Tableau2[ID-Voie],0))&amp;""</f>
        <v>v11</v>
      </c>
      <c r="AH245" s="72" t="str">
        <f>Tableau3[[#This Row],[ID-API]]&amp; "." &amp;Tableau3[[#This Row],[ID-RACK]]&amp; "." &amp;Tableau3[[#This Row],[ID-SLOT]]</f>
        <v>2.1.7</v>
      </c>
      <c r="AI245" s="72" t="str">
        <f>INDEX(Tableau1[Ref-Carte],MATCH(Tableau3[[#This Row],[ID-RRS]],Tableau1[ID-RRS],0))</f>
        <v>SDI1602</v>
      </c>
      <c r="AJ245" s="72" t="str">
        <f t="array" ref="AJ245">IFERROR(INDEX(Tableau2[TS],MATCH(1,(Tableau2[Ref-Carte]=Tableau3[[#This Row],[Ref-Carte2]])*(Tableau2[ID-Voie]=Tableau3[[#This Row],[ID-VOIE]]),0)),"")</f>
        <v>ET</v>
      </c>
      <c r="AK245" s="72" t="str">
        <f>IFERROR(INDEX(Tableau2[TS],SUMPRODUCT((Tableau2[Ref-Carte]=Tableau3[[#This Row],[Ref-Carte2]])*(Tableau2[ID-Voie]=Tableau3[[#This Row],[ID-VOIE]])*ROW(Tableau2[TS]))-ROW(Tableau2[#Headers])),"")</f>
        <v>ET</v>
      </c>
      <c r="AL245" s="72" t="str">
        <f>Tableau3[[#This Row],[Ref-Carte2]]&amp;"/"&amp;Tableau3[[#This Row],[ID-VOIE]]</f>
        <v>SDI1602/11</v>
      </c>
      <c r="AM245" s="73" t="str">
        <f>INDEX(Tableau2[Borne],MATCH(Tableau3[[#This Row],[ID-CARTEVOIE]],Tableau2[ID-CARTEVOIE],0))&amp;""</f>
        <v>5A</v>
      </c>
      <c r="AN245" s="74" t="str">
        <f>Tableau3[[#This Row],[ID-API]]&amp;Tableau3[[#This Row],[ID-RACK]]&amp;Tableau3[[#This Row],[ID-SLOT]]&amp;Tableau3[[#This Row],[BORNE]]</f>
        <v>2175A</v>
      </c>
      <c r="AO245" s="1"/>
    </row>
    <row r="246" spans="1:41" ht="20.100000000000001" customHeight="1" thickTop="1" thickBot="1">
      <c r="A246" s="68"/>
      <c r="B246" s="69" t="str">
        <f>IFERROR(INDEX(Tableau4[Date],MATCH($A246,Tableau4[EVO],0)),"")</f>
        <v/>
      </c>
      <c r="C246" s="68" t="str">
        <f>IFERROR(INDEX(Tableau4[Designation],MATCH($A246,Tableau4[EVO],0)),"")</f>
        <v/>
      </c>
      <c r="D246" s="68"/>
      <c r="E246" s="70">
        <v>1</v>
      </c>
      <c r="F246" s="71">
        <v>221</v>
      </c>
      <c r="G246" s="101" t="str">
        <f>INDEX(Tableau8[Att1],MATCH(Tableau3[[#This Row],[ID-INS]],Tableau8[ID],0))&amp;""</f>
        <v>V12</v>
      </c>
      <c r="H246" s="101" t="str">
        <f>INDEX(Tableau8[Att2],MATCH(Tableau3[[#This Row],[ID-INS]],Tableau8[ID],0))&amp;""</f>
        <v>P1</v>
      </c>
      <c r="I246" s="101" t="str">
        <f>INDEX(Tableau8[Att3],MATCH(Tableau3[[#This Row],[ID-INS]],Tableau8[ID],0))&amp;""</f>
        <v>Portail P1</v>
      </c>
      <c r="J246" s="101"/>
      <c r="K246" s="167" t="str">
        <f>INDEX(Tableau8[Nom du modele],MATCH(Tableau3[[#This Row],[ID-INS]],Tableau8[ID],0))&amp;""</f>
        <v>PortailR2V_1</v>
      </c>
      <c r="L246" s="99" t="str">
        <f>INDEX(Tableau5[Att1],MATCH(Tableau3[[#This Row],[ID-SIG]],Tableau5[ID],0))&amp;""</f>
        <v>V1_FerProtect</v>
      </c>
      <c r="M246" s="99" t="str">
        <f>INDEX(Tableau5[Att2],MATCH(Tableau3[[#This Row],[ID-SIG]],Tableau5[ID],0))&amp;""</f>
        <v/>
      </c>
      <c r="N246" s="99" t="str">
        <f>INDEX(Tableau5[Att3],MATCH(Tableau3[[#This Row],[ID-SIG]],Tableau5[ID],0))&amp;""</f>
        <v/>
      </c>
      <c r="O246" s="99"/>
      <c r="P246" s="99" t="str">
        <f>INDEX(Tableau5[Description],MATCH(Tableau3[[#This Row],[ID-SIG]],Tableau5[ID],0))</f>
        <v>Vantail 1 Protection fermeture par bande palpeuse et barrage</v>
      </c>
      <c r="Q246" s="99"/>
      <c r="R246" s="103" t="str">
        <f>Tableau3[[#This Row],[Description]]</f>
        <v>Vantail 1 Protection fermeture par bande palpeuse et barrage</v>
      </c>
      <c r="S246" s="86"/>
      <c r="U246" s="87">
        <v>2</v>
      </c>
      <c r="V246" s="87">
        <v>1</v>
      </c>
      <c r="W246" s="87">
        <v>7</v>
      </c>
      <c r="X246" s="87">
        <v>12</v>
      </c>
      <c r="Y246" s="40"/>
      <c r="Z246" s="165" t="str">
        <f>INDEX(Tableau2[TS],MATCH(Tableau3[[#This Row],[ID-CARTEVOIE]],Tableau2[ID-CARTEVOIE],0))</f>
        <v>ET</v>
      </c>
      <c r="AA246" s="53" t="s">
        <v>213</v>
      </c>
      <c r="AB246" s="223" t="str">
        <f>IFERROR(INDEX(Tableau5[Reserve],MATCH(Tableau3[[#This Row],[ID-SIG]],Tableau5[ID],0))&amp;"","")</f>
        <v/>
      </c>
      <c r="AC246" s="21"/>
      <c r="AD246" s="108" t="str">
        <f>INDEX(Tableau7[Repere],MATCH(Tableau3[[#This Row],[ID-API]],Tableau7[ID-API],0))&amp;""</f>
        <v>A2</v>
      </c>
      <c r="AE246" s="108" t="str">
        <f>INDEX(Tableau1[Repere-Rack],MATCH(Tableau3[[#This Row],[ID-RACK]],Tableau1[ID-RACK],0))&amp;""</f>
        <v>R1</v>
      </c>
      <c r="AF246" s="108" t="str">
        <f>INDEX(Tableau1[Repere-Slot],MATCH(Tableau3[[#This Row],[ID-SLOT]],Tableau1[ID-SLOT],0))&amp;""</f>
        <v>S7</v>
      </c>
      <c r="AG246" s="108" t="str">
        <f>INDEX(Tableau2[Repere-Voie],MATCH(Tableau3[[#This Row],[ID-VOIE]],Tableau2[ID-Voie],0))&amp;""</f>
        <v>v12</v>
      </c>
      <c r="AH246" s="72" t="str">
        <f>Tableau3[[#This Row],[ID-API]]&amp; "." &amp;Tableau3[[#This Row],[ID-RACK]]&amp; "." &amp;Tableau3[[#This Row],[ID-SLOT]]</f>
        <v>2.1.7</v>
      </c>
      <c r="AI246" s="72" t="str">
        <f>INDEX(Tableau1[Ref-Carte],MATCH(Tableau3[[#This Row],[ID-RRS]],Tableau1[ID-RRS],0))</f>
        <v>SDI1602</v>
      </c>
      <c r="AJ246" s="72" t="str">
        <f t="array" ref="AJ246">IFERROR(INDEX(Tableau2[TS],MATCH(1,(Tableau2[Ref-Carte]=Tableau3[[#This Row],[Ref-Carte2]])*(Tableau2[ID-Voie]=Tableau3[[#This Row],[ID-VOIE]]),0)),"")</f>
        <v>ET</v>
      </c>
      <c r="AK246" s="72" t="str">
        <f>IFERROR(INDEX(Tableau2[TS],SUMPRODUCT((Tableau2[Ref-Carte]=Tableau3[[#This Row],[Ref-Carte2]])*(Tableau2[ID-Voie]=Tableau3[[#This Row],[ID-VOIE]])*ROW(Tableau2[TS]))-ROW(Tableau2[#Headers])),"")</f>
        <v>ET</v>
      </c>
      <c r="AL246" s="72" t="str">
        <f>Tableau3[[#This Row],[Ref-Carte2]]&amp;"/"&amp;Tableau3[[#This Row],[ID-VOIE]]</f>
        <v>SDI1602/12</v>
      </c>
      <c r="AM246" s="73" t="str">
        <f>INDEX(Tableau2[Borne],MATCH(Tableau3[[#This Row],[ID-CARTEVOIE]],Tableau2[ID-CARTEVOIE],0))&amp;""</f>
        <v>6B</v>
      </c>
      <c r="AN246" s="74" t="str">
        <f>Tableau3[[#This Row],[ID-API]]&amp;Tableau3[[#This Row],[ID-RACK]]&amp;Tableau3[[#This Row],[ID-SLOT]]&amp;Tableau3[[#This Row],[BORNE]]</f>
        <v>2176B</v>
      </c>
      <c r="AO246" s="1"/>
    </row>
    <row r="247" spans="1:41" ht="20.100000000000001" customHeight="1" thickTop="1" thickBot="1">
      <c r="A247" s="68"/>
      <c r="B247" s="69" t="str">
        <f>IFERROR(INDEX(Tableau4[Date],MATCH($A247,Tableau4[EVO],0)),"")</f>
        <v/>
      </c>
      <c r="C247" s="68" t="str">
        <f>IFERROR(INDEX(Tableau4[Designation],MATCH($A247,Tableau4[EVO],0)),"")</f>
        <v/>
      </c>
      <c r="D247" s="68"/>
      <c r="E247" s="70">
        <v>1</v>
      </c>
      <c r="F247" s="71">
        <v>222</v>
      </c>
      <c r="G247" s="101" t="str">
        <f>INDEX(Tableau8[Att1],MATCH(Tableau3[[#This Row],[ID-INS]],Tableau8[ID],0))&amp;""</f>
        <v>V12</v>
      </c>
      <c r="H247" s="101" t="str">
        <f>INDEX(Tableau8[Att2],MATCH(Tableau3[[#This Row],[ID-INS]],Tableau8[ID],0))&amp;""</f>
        <v>P1</v>
      </c>
      <c r="I247" s="101" t="str">
        <f>INDEX(Tableau8[Att3],MATCH(Tableau3[[#This Row],[ID-INS]],Tableau8[ID],0))&amp;""</f>
        <v>Portail P1</v>
      </c>
      <c r="J247" s="101"/>
      <c r="K247" s="167" t="str">
        <f>INDEX(Tableau8[Nom du modele],MATCH(Tableau3[[#This Row],[ID-INS]],Tableau8[ID],0))&amp;""</f>
        <v>PortailR2V_1</v>
      </c>
      <c r="L247" s="99" t="str">
        <f>INDEX(Tableau5[Att1],MATCH(Tableau3[[#This Row],[ID-SIG]],Tableau5[ID],0))&amp;""</f>
        <v>Vx_Disj</v>
      </c>
      <c r="M247" s="99" t="str">
        <f>INDEX(Tableau5[Att2],MATCH(Tableau3[[#This Row],[ID-SIG]],Tableau5[ID],0))&amp;""</f>
        <v/>
      </c>
      <c r="N247" s="99" t="str">
        <f>INDEX(Tableau5[Att3],MATCH(Tableau3[[#This Row],[ID-SIG]],Tableau5[ID],0))&amp;""</f>
        <v/>
      </c>
      <c r="O247" s="99"/>
      <c r="P247" s="99" t="str">
        <f>INDEX(Tableau5[Description],MATCH(Tableau3[[#This Row],[ID-SIG]],Tableau5[ID],0))</f>
        <v>Vantail 1 et 2 Disjonction (OF SD)</v>
      </c>
      <c r="Q247" s="99"/>
      <c r="R247" s="103" t="str">
        <f>Tableau3[[#This Row],[Description]]</f>
        <v>Vantail 1 et 2 Disjonction (OF SD)</v>
      </c>
      <c r="S247" s="86"/>
      <c r="U247" s="87">
        <v>2</v>
      </c>
      <c r="V247" s="87">
        <v>1</v>
      </c>
      <c r="W247" s="87">
        <v>7</v>
      </c>
      <c r="X247" s="87">
        <v>13</v>
      </c>
      <c r="Y247" s="40"/>
      <c r="Z247" s="165" t="str">
        <f>INDEX(Tableau2[TS],MATCH(Tableau3[[#This Row],[ID-CARTEVOIE]],Tableau2[ID-CARTEVOIE],0))</f>
        <v>ET</v>
      </c>
      <c r="AA247" s="53" t="s">
        <v>213</v>
      </c>
      <c r="AB247" s="223" t="str">
        <f>IFERROR(INDEX(Tableau5[Reserve],MATCH(Tableau3[[#This Row],[ID-SIG]],Tableau5[ID],0))&amp;"","")</f>
        <v/>
      </c>
      <c r="AC247" s="21"/>
      <c r="AD247" s="108" t="str">
        <f>INDEX(Tableau7[Repere],MATCH(Tableau3[[#This Row],[ID-API]],Tableau7[ID-API],0))&amp;""</f>
        <v>A2</v>
      </c>
      <c r="AE247" s="108" t="str">
        <f>INDEX(Tableau1[Repere-Rack],MATCH(Tableau3[[#This Row],[ID-RACK]],Tableau1[ID-RACK],0))&amp;""</f>
        <v>R1</v>
      </c>
      <c r="AF247" s="108" t="str">
        <f>INDEX(Tableau1[Repere-Slot],MATCH(Tableau3[[#This Row],[ID-SLOT]],Tableau1[ID-SLOT],0))&amp;""</f>
        <v>S7</v>
      </c>
      <c r="AG247" s="108" t="str">
        <f>INDEX(Tableau2[Repere-Voie],MATCH(Tableau3[[#This Row],[ID-VOIE]],Tableau2[ID-Voie],0))&amp;""</f>
        <v>v13</v>
      </c>
      <c r="AH247" s="72" t="str">
        <f>Tableau3[[#This Row],[ID-API]]&amp; "." &amp;Tableau3[[#This Row],[ID-RACK]]&amp; "." &amp;Tableau3[[#This Row],[ID-SLOT]]</f>
        <v>2.1.7</v>
      </c>
      <c r="AI247" s="72" t="str">
        <f>INDEX(Tableau1[Ref-Carte],MATCH(Tableau3[[#This Row],[ID-RRS]],Tableau1[ID-RRS],0))</f>
        <v>SDI1602</v>
      </c>
      <c r="AJ247" s="72" t="str">
        <f t="array" ref="AJ247">IFERROR(INDEX(Tableau2[TS],MATCH(1,(Tableau2[Ref-Carte]=Tableau3[[#This Row],[Ref-Carte2]])*(Tableau2[ID-Voie]=Tableau3[[#This Row],[ID-VOIE]]),0)),"")</f>
        <v>ET</v>
      </c>
      <c r="AK247" s="72" t="str">
        <f>IFERROR(INDEX(Tableau2[TS],SUMPRODUCT((Tableau2[Ref-Carte]=Tableau3[[#This Row],[Ref-Carte2]])*(Tableau2[ID-Voie]=Tableau3[[#This Row],[ID-VOIE]])*ROW(Tableau2[TS]))-ROW(Tableau2[#Headers])),"")</f>
        <v>ET</v>
      </c>
      <c r="AL247" s="72" t="str">
        <f>Tableau3[[#This Row],[Ref-Carte2]]&amp;"/"&amp;Tableau3[[#This Row],[ID-VOIE]]</f>
        <v>SDI1602/13</v>
      </c>
      <c r="AM247" s="73" t="str">
        <f>INDEX(Tableau2[Borne],MATCH(Tableau3[[#This Row],[ID-CARTEVOIE]],Tableau2[ID-CARTEVOIE],0))&amp;""</f>
        <v>6A</v>
      </c>
      <c r="AN247" s="74" t="str">
        <f>Tableau3[[#This Row],[ID-API]]&amp;Tableau3[[#This Row],[ID-RACK]]&amp;Tableau3[[#This Row],[ID-SLOT]]&amp;Tableau3[[#This Row],[BORNE]]</f>
        <v>2176A</v>
      </c>
      <c r="AO247" s="1"/>
    </row>
    <row r="248" spans="1:41" ht="20.100000000000001" customHeight="1" thickTop="1" thickBot="1">
      <c r="A248" s="68"/>
      <c r="B248" s="69" t="str">
        <f>IFERROR(INDEX(Tableau4[Date],MATCH($A248,Tableau4[EVO],0)),"")</f>
        <v/>
      </c>
      <c r="C248" s="68" t="str">
        <f>IFERROR(INDEX(Tableau4[Designation],MATCH($A248,Tableau4[EVO],0)),"")</f>
        <v/>
      </c>
      <c r="D248" s="68"/>
      <c r="E248" s="70">
        <v>1</v>
      </c>
      <c r="F248" s="71">
        <v>223</v>
      </c>
      <c r="G248" s="101" t="str">
        <f>INDEX(Tableau8[Att1],MATCH(Tableau3[[#This Row],[ID-INS]],Tableau8[ID],0))&amp;""</f>
        <v>V12</v>
      </c>
      <c r="H248" s="101" t="str">
        <f>INDEX(Tableau8[Att2],MATCH(Tableau3[[#This Row],[ID-INS]],Tableau8[ID],0))&amp;""</f>
        <v>P1</v>
      </c>
      <c r="I248" s="101" t="str">
        <f>INDEX(Tableau8[Att3],MATCH(Tableau3[[#This Row],[ID-INS]],Tableau8[ID],0))&amp;""</f>
        <v>Portail P1</v>
      </c>
      <c r="J248" s="101"/>
      <c r="K248" s="167" t="str">
        <f>INDEX(Tableau8[Nom du modele],MATCH(Tableau3[[#This Row],[ID-INS]],Tableau8[ID],0))&amp;""</f>
        <v>PortailR2V_1</v>
      </c>
      <c r="L248" s="99" t="str">
        <f>INDEX(Tableau5[Att1],MATCH(Tableau3[[#This Row],[ID-SIG]],Tableau5[ID],0))&amp;""</f>
        <v>V1_GrpHydRet1</v>
      </c>
      <c r="M248" s="99" t="str">
        <f>INDEX(Tableau5[Att2],MATCH(Tableau3[[#This Row],[ID-SIG]],Tableau5[ID],0))&amp;""</f>
        <v/>
      </c>
      <c r="N248" s="99" t="str">
        <f>INDEX(Tableau5[Att3],MATCH(Tableau3[[#This Row],[ID-SIG]],Tableau5[ID],0))&amp;""</f>
        <v/>
      </c>
      <c r="O248" s="99"/>
      <c r="P248" s="99" t="str">
        <f>INDEX(Tableau5[Description],MATCH(Tableau3[[#This Row],[ID-SIG]],Tableau5[ID],0))</f>
        <v>Retour Commande 1 marche groupe hydraulique vantail 1</v>
      </c>
      <c r="Q248" s="99"/>
      <c r="R248" s="103" t="str">
        <f>Tableau3[[#This Row],[Description]]</f>
        <v>Retour Commande 1 marche groupe hydraulique vantail 1</v>
      </c>
      <c r="S248" s="86"/>
      <c r="U248" s="87">
        <v>2</v>
      </c>
      <c r="V248" s="87">
        <v>1</v>
      </c>
      <c r="W248" s="87">
        <v>7</v>
      </c>
      <c r="X248" s="87">
        <v>14</v>
      </c>
      <c r="Y248" s="40"/>
      <c r="Z248" s="165" t="str">
        <f>INDEX(Tableau2[TS],MATCH(Tableau3[[#This Row],[ID-CARTEVOIE]],Tableau2[ID-CARTEVOIE],0))</f>
        <v>ET</v>
      </c>
      <c r="AA248" s="53" t="s">
        <v>213</v>
      </c>
      <c r="AB248" s="223" t="str">
        <f>IFERROR(INDEX(Tableau5[Reserve],MATCH(Tableau3[[#This Row],[ID-SIG]],Tableau5[ID],0))&amp;"","")</f>
        <v/>
      </c>
      <c r="AC248" s="21"/>
      <c r="AD248" s="108" t="str">
        <f>INDEX(Tableau7[Repere],MATCH(Tableau3[[#This Row],[ID-API]],Tableau7[ID-API],0))&amp;""</f>
        <v>A2</v>
      </c>
      <c r="AE248" s="108" t="str">
        <f>INDEX(Tableau1[Repere-Rack],MATCH(Tableau3[[#This Row],[ID-RACK]],Tableau1[ID-RACK],0))&amp;""</f>
        <v>R1</v>
      </c>
      <c r="AF248" s="108" t="str">
        <f>INDEX(Tableau1[Repere-Slot],MATCH(Tableau3[[#This Row],[ID-SLOT]],Tableau1[ID-SLOT],0))&amp;""</f>
        <v>S7</v>
      </c>
      <c r="AG248" s="108" t="str">
        <f>INDEX(Tableau2[Repere-Voie],MATCH(Tableau3[[#This Row],[ID-VOIE]],Tableau2[ID-Voie],0))&amp;""</f>
        <v>v14</v>
      </c>
      <c r="AH248" s="72" t="str">
        <f>Tableau3[[#This Row],[ID-API]]&amp; "." &amp;Tableau3[[#This Row],[ID-RACK]]&amp; "." &amp;Tableau3[[#This Row],[ID-SLOT]]</f>
        <v>2.1.7</v>
      </c>
      <c r="AI248" s="72" t="str">
        <f>INDEX(Tableau1[Ref-Carte],MATCH(Tableau3[[#This Row],[ID-RRS]],Tableau1[ID-RRS],0))</f>
        <v>SDI1602</v>
      </c>
      <c r="AJ248" s="72" t="str">
        <f t="array" ref="AJ248">IFERROR(INDEX(Tableau2[TS],MATCH(1,(Tableau2[Ref-Carte]=Tableau3[[#This Row],[Ref-Carte2]])*(Tableau2[ID-Voie]=Tableau3[[#This Row],[ID-VOIE]]),0)),"")</f>
        <v>ET</v>
      </c>
      <c r="AK248" s="72" t="str">
        <f>IFERROR(INDEX(Tableau2[TS],SUMPRODUCT((Tableau2[Ref-Carte]=Tableau3[[#This Row],[Ref-Carte2]])*(Tableau2[ID-Voie]=Tableau3[[#This Row],[ID-VOIE]])*ROW(Tableau2[TS]))-ROW(Tableau2[#Headers])),"")</f>
        <v>ET</v>
      </c>
      <c r="AL248" s="72" t="str">
        <f>Tableau3[[#This Row],[Ref-Carte2]]&amp;"/"&amp;Tableau3[[#This Row],[ID-VOIE]]</f>
        <v>SDI1602/14</v>
      </c>
      <c r="AM248" s="73" t="str">
        <f>INDEX(Tableau2[Borne],MATCH(Tableau3[[#This Row],[ID-CARTEVOIE]],Tableau2[ID-CARTEVOIE],0))&amp;""</f>
        <v>7B</v>
      </c>
      <c r="AN248" s="74" t="str">
        <f>Tableau3[[#This Row],[ID-API]]&amp;Tableau3[[#This Row],[ID-RACK]]&amp;Tableau3[[#This Row],[ID-SLOT]]&amp;Tableau3[[#This Row],[BORNE]]</f>
        <v>2177B</v>
      </c>
      <c r="AO248" s="1"/>
    </row>
    <row r="249" spans="1:41" ht="20.100000000000001" customHeight="1" thickTop="1" thickBot="1">
      <c r="A249" s="110"/>
      <c r="B249" s="111" t="str">
        <f>IFERROR(INDEX(Tableau4[Date],MATCH($A249,Tableau4[EVO],0)),"")</f>
        <v/>
      </c>
      <c r="C249" s="112" t="str">
        <f>IFERROR(INDEX(Tableau4[Designation],MATCH($A249,Tableau4[EVO],0)),"")</f>
        <v/>
      </c>
      <c r="D249" s="110"/>
      <c r="E249" s="113"/>
      <c r="F249" s="146"/>
      <c r="G249" s="147" t="e">
        <f>INDEX(Tableau8[Att1],MATCH(Tableau3[[#This Row],[ID-INS]],Tableau8[ID],0))&amp;""</f>
        <v>#N/A</v>
      </c>
      <c r="H249" s="147" t="e">
        <f>INDEX(Tableau8[Att2],MATCH(Tableau3[[#This Row],[ID-INS]],Tableau8[ID],0))&amp;""</f>
        <v>#N/A</v>
      </c>
      <c r="I249" s="147" t="e">
        <f>INDEX(Tableau8[Att3],MATCH(Tableau3[[#This Row],[ID-INS]],Tableau8[ID],0))&amp;""</f>
        <v>#N/A</v>
      </c>
      <c r="J249" s="148"/>
      <c r="K249" s="167" t="e">
        <f>INDEX(Tableau8[Nom du modele],MATCH(Tableau3[[#This Row],[ID-INS]],Tableau8[ID],0))&amp;""</f>
        <v>#N/A</v>
      </c>
      <c r="L249" s="149" t="s">
        <v>1685</v>
      </c>
      <c r="M249" s="149" t="e">
        <f>INDEX(Tableau5[Att2],MATCH(Tableau3[[#This Row],[ID-SIG]],Tableau5[ID],0))&amp;""</f>
        <v>#N/A</v>
      </c>
      <c r="N249" s="149" t="e">
        <f>INDEX(Tableau5[Att3],MATCH(Tableau3[[#This Row],[ID-SIG]],Tableau5[ID],0))&amp;""</f>
        <v>#N/A</v>
      </c>
      <c r="O249" s="150"/>
      <c r="P249" s="149" t="s">
        <v>1749</v>
      </c>
      <c r="Q249" s="150"/>
      <c r="R249" s="117" t="str">
        <f>Tableau3[[#This Row],[Description]]</f>
        <v>Portail P4 - Réserve</v>
      </c>
      <c r="S249" s="75"/>
      <c r="T249" s="75"/>
      <c r="U249" s="151">
        <v>2</v>
      </c>
      <c r="V249" s="151">
        <v>1</v>
      </c>
      <c r="W249" s="151">
        <v>7</v>
      </c>
      <c r="X249" s="151">
        <v>15</v>
      </c>
      <c r="Y249" s="40"/>
      <c r="Z249" s="166" t="str">
        <f>INDEX(Tableau2[TS],MATCH(Tableau3[[#This Row],[ID-CARTEVOIE]],Tableau2[ID-CARTEVOIE],0))</f>
        <v>ET</v>
      </c>
      <c r="AA249" s="81" t="s">
        <v>213</v>
      </c>
      <c r="AB249" s="226" t="str">
        <f>IFERROR(INDEX(Tableau5[Reserve],MATCH(Tableau3[[#This Row],[ID-SIG]],Tableau5[ID],0))&amp;"","")</f>
        <v/>
      </c>
      <c r="AC249" s="119" t="s">
        <v>1456</v>
      </c>
      <c r="AD249" s="120" t="str">
        <f>INDEX(Tableau7[Repere],MATCH(Tableau3[[#This Row],[ID-API]],Tableau7[ID-API],0))&amp;""</f>
        <v>A2</v>
      </c>
      <c r="AE249" s="121" t="str">
        <f>INDEX(Tableau1[Repere-Rack],MATCH(Tableau3[[#This Row],[ID-RACK]],Tableau1[ID-RACK],0))&amp;""</f>
        <v>R1</v>
      </c>
      <c r="AF249" s="121" t="str">
        <f>INDEX(Tableau1[Repere-Slot],MATCH(Tableau3[[#This Row],[ID-SLOT]],Tableau1[ID-SLOT],0))&amp;""</f>
        <v>S7</v>
      </c>
      <c r="AG249" s="121" t="str">
        <f>INDEX(Tableau2[Repere-Voie],MATCH(Tableau3[[#This Row],[ID-VOIE]],Tableau2[ID-Voie],0))&amp;""</f>
        <v>v15</v>
      </c>
      <c r="AH249" s="122" t="str">
        <f>Tableau3[[#This Row],[ID-API]]&amp; "." &amp;Tableau3[[#This Row],[ID-RACK]]&amp; "." &amp;Tableau3[[#This Row],[ID-SLOT]]</f>
        <v>2.1.7</v>
      </c>
      <c r="AI249" s="72" t="str">
        <f>INDEX(Tableau1[Ref-Carte],MATCH(Tableau3[[#This Row],[ID-RRS]],Tableau1[ID-RRS],0))</f>
        <v>SDI1602</v>
      </c>
      <c r="AJ249" s="72" t="str">
        <f t="array" ref="AJ249">IFERROR(INDEX(Tableau2[TS],MATCH(1,(Tableau2[Ref-Carte]=Tableau3[[#This Row],[Ref-Carte2]])*(Tableau2[ID-Voie]=Tableau3[[#This Row],[ID-VOIE]]),0)),"")</f>
        <v>ET</v>
      </c>
      <c r="AK249" s="72" t="str">
        <f>IFERROR(INDEX(Tableau2[TS],SUMPRODUCT((Tableau2[Ref-Carte]=Tableau3[[#This Row],[Ref-Carte2]])*(Tableau2[ID-Voie]=Tableau3[[#This Row],[ID-VOIE]])*ROW(Tableau2[TS]))-ROW(Tableau2[#Headers])),"")</f>
        <v>ET</v>
      </c>
      <c r="AL249" s="122" t="str">
        <f>Tableau3[[#This Row],[Ref-Carte2]]&amp;"/"&amp;Tableau3[[#This Row],[ID-VOIE]]</f>
        <v>SDI1602/15</v>
      </c>
      <c r="AM249" s="123" t="str">
        <f>INDEX(Tableau2[Borne],MATCH(Tableau3[[#This Row],[ID-CARTEVOIE]],Tableau2[ID-CARTEVOIE],0))&amp;""</f>
        <v>7A</v>
      </c>
      <c r="AN249" s="124" t="str">
        <f>Tableau3[[#This Row],[ID-API]]&amp;Tableau3[[#This Row],[ID-RACK]]&amp;Tableau3[[#This Row],[ID-SLOT]]&amp;Tableau3[[#This Row],[BORNE]]</f>
        <v>2177A</v>
      </c>
      <c r="AO249" s="125"/>
    </row>
    <row r="250" spans="1:41" ht="20.100000000000001" customHeight="1" thickTop="1" thickBot="1">
      <c r="A250" s="110"/>
      <c r="B250" s="111" t="str">
        <f>IFERROR(INDEX(Tableau4[Date],MATCH($A250,Tableau4[EVO],0)),"")</f>
        <v/>
      </c>
      <c r="C250" s="112" t="str">
        <f>IFERROR(INDEX(Tableau4[Designation],MATCH($A250,Tableau4[EVO],0)),"")</f>
        <v/>
      </c>
      <c r="D250" s="110"/>
      <c r="E250" s="113"/>
      <c r="F250" s="146"/>
      <c r="G250" s="147" t="e">
        <f>INDEX(Tableau8[Att1],MATCH(Tableau3[[#This Row],[ID-INS]],Tableau8[ID],0))&amp;""</f>
        <v>#N/A</v>
      </c>
      <c r="H250" s="147" t="e">
        <f>INDEX(Tableau8[Att2],MATCH(Tableau3[[#This Row],[ID-INS]],Tableau8[ID],0))&amp;""</f>
        <v>#N/A</v>
      </c>
      <c r="I250" s="147" t="e">
        <f>INDEX(Tableau8[Att3],MATCH(Tableau3[[#This Row],[ID-INS]],Tableau8[ID],0))&amp;""</f>
        <v>#N/A</v>
      </c>
      <c r="J250" s="148"/>
      <c r="K250" s="167" t="e">
        <f>INDEX(Tableau8[Nom du modele],MATCH(Tableau3[[#This Row],[ID-INS]],Tableau8[ID],0))&amp;""</f>
        <v>#N/A</v>
      </c>
      <c r="L250" s="149" t="s">
        <v>526</v>
      </c>
      <c r="M250" s="149" t="e">
        <f>INDEX(Tableau5[Att2],MATCH(Tableau3[[#This Row],[ID-SIG]],Tableau5[ID],0))&amp;""</f>
        <v>#N/A</v>
      </c>
      <c r="N250" s="149" t="e">
        <f>INDEX(Tableau5[Att3],MATCH(Tableau3[[#This Row],[ID-SIG]],Tableau5[ID],0))&amp;""</f>
        <v>#N/A</v>
      </c>
      <c r="O250" s="150"/>
      <c r="P250" s="149" t="s">
        <v>1750</v>
      </c>
      <c r="Q250" s="150"/>
      <c r="R250" s="117" t="str">
        <f>Tableau3[[#This Row],[Description]]</f>
        <v>Portail P4 - Retour Commande 1 fermeture</v>
      </c>
      <c r="S250" s="75"/>
      <c r="T250" s="75"/>
      <c r="U250" s="151">
        <v>2</v>
      </c>
      <c r="V250" s="151">
        <v>1</v>
      </c>
      <c r="W250" s="151">
        <v>8</v>
      </c>
      <c r="X250" s="151">
        <v>0</v>
      </c>
      <c r="Y250" s="40"/>
      <c r="Z250" s="166" t="str">
        <f>INDEX(Tableau2[TS],MATCH(Tableau3[[#This Row],[ID-CARTEVOIE]],Tableau2[ID-CARTEVOIE],0))</f>
        <v>ET</v>
      </c>
      <c r="AA250" s="81" t="s">
        <v>213</v>
      </c>
      <c r="AB250" s="226" t="str">
        <f>IFERROR(INDEX(Tableau5[Reserve],MATCH(Tableau3[[#This Row],[ID-SIG]],Tableau5[ID],0))&amp;"","")</f>
        <v/>
      </c>
      <c r="AC250" s="119" t="s">
        <v>1456</v>
      </c>
      <c r="AD250" s="120" t="str">
        <f>INDEX(Tableau7[Repere],MATCH(Tableau3[[#This Row],[ID-API]],Tableau7[ID-API],0))&amp;""</f>
        <v>A2</v>
      </c>
      <c r="AE250" s="121" t="str">
        <f>INDEX(Tableau1[Repere-Rack],MATCH(Tableau3[[#This Row],[ID-RACK]],Tableau1[ID-RACK],0))&amp;""</f>
        <v>R1</v>
      </c>
      <c r="AF250" s="121" t="str">
        <f>INDEX(Tableau1[Repere-Slot],MATCH(Tableau3[[#This Row],[ID-SLOT]],Tableau1[ID-SLOT],0))&amp;""</f>
        <v>S8</v>
      </c>
      <c r="AG250" s="121" t="str">
        <f>INDEX(Tableau2[Repere-Voie],MATCH(Tableau3[[#This Row],[ID-VOIE]],Tableau2[ID-Voie],0))&amp;""</f>
        <v>v0</v>
      </c>
      <c r="AH250" s="122" t="str">
        <f>Tableau3[[#This Row],[ID-API]]&amp; "." &amp;Tableau3[[#This Row],[ID-RACK]]&amp; "." &amp;Tableau3[[#This Row],[ID-SLOT]]</f>
        <v>2.1.8</v>
      </c>
      <c r="AI250" s="72" t="str">
        <f>INDEX(Tableau1[Ref-Carte],MATCH(Tableau3[[#This Row],[ID-RRS]],Tableau1[ID-RRS],0))</f>
        <v>SDI1602</v>
      </c>
      <c r="AJ250" s="72" t="str">
        <f t="array" ref="AJ250">IFERROR(INDEX(Tableau2[TS],MATCH(1,(Tableau2[Ref-Carte]=Tableau3[[#This Row],[Ref-Carte2]])*(Tableau2[ID-Voie]=Tableau3[[#This Row],[ID-VOIE]]),0)),"")</f>
        <v>ET</v>
      </c>
      <c r="AK250" s="72" t="str">
        <f>IFERROR(INDEX(Tableau2[TS],SUMPRODUCT((Tableau2[Ref-Carte]=Tableau3[[#This Row],[Ref-Carte2]])*(Tableau2[ID-Voie]=Tableau3[[#This Row],[ID-VOIE]])*ROW(Tableau2[TS]))-ROW(Tableau2[#Headers])),"")</f>
        <v>ET</v>
      </c>
      <c r="AL250" s="122" t="str">
        <f>Tableau3[[#This Row],[Ref-Carte2]]&amp;"/"&amp;Tableau3[[#This Row],[ID-VOIE]]</f>
        <v>SDI1602/0</v>
      </c>
      <c r="AM250" s="123" t="str">
        <f>INDEX(Tableau2[Borne],MATCH(Tableau3[[#This Row],[ID-CARTEVOIE]],Tableau2[ID-CARTEVOIE],0))&amp;""</f>
        <v>0B</v>
      </c>
      <c r="AN250" s="124" t="str">
        <f>Tableau3[[#This Row],[ID-API]]&amp;Tableau3[[#This Row],[ID-RACK]]&amp;Tableau3[[#This Row],[ID-SLOT]]&amp;Tableau3[[#This Row],[BORNE]]</f>
        <v>2180B</v>
      </c>
      <c r="AO250" s="125"/>
    </row>
    <row r="251" spans="1:41" ht="20.100000000000001" customHeight="1" thickTop="1" thickBot="1">
      <c r="A251" s="134"/>
      <c r="B251" s="135" t="str">
        <f>IFERROR(INDEX(Tableau4[Date],MATCH($A251,Tableau4[EVO],0)),"")</f>
        <v/>
      </c>
      <c r="C251" s="136" t="str">
        <f>IFERROR(INDEX(Tableau4[Designation],MATCH($A251,Tableau4[EVO],0)),"")</f>
        <v/>
      </c>
      <c r="D251" s="134"/>
      <c r="E251" s="137">
        <v>4</v>
      </c>
      <c r="F251" s="138">
        <v>270</v>
      </c>
      <c r="G251" s="139" t="str">
        <f>INDEX(Tableau8[Att1],MATCH(Tableau3[[#This Row],[ID-INS]],Tableau8[ID],0))&amp;""</f>
        <v>V1</v>
      </c>
      <c r="H251" s="139" t="str">
        <f>INDEX(Tableau8[Att2],MATCH(Tableau3[[#This Row],[ID-INS]],Tableau8[ID],0))&amp;""</f>
        <v>P4</v>
      </c>
      <c r="I251" s="139" t="str">
        <f>INDEX(Tableau8[Att3],MATCH(Tableau3[[#This Row],[ID-INS]],Tableau8[ID],0))&amp;""</f>
        <v>Portail P4</v>
      </c>
      <c r="J251" s="101"/>
      <c r="K251" s="167" t="str">
        <f>INDEX(Tableau8[Nom du modele],MATCH(Tableau3[[#This Row],[ID-INS]],Tableau8[ID],0))&amp;""</f>
        <v>PortailBleuHydr_1</v>
      </c>
      <c r="L251" s="154" t="s">
        <v>1685</v>
      </c>
      <c r="M251" s="141" t="str">
        <f>INDEX(Tableau5[Att2],MATCH(Tableau3[[#This Row],[ID-SIG]],Tableau5[ID],0))&amp;""</f>
        <v/>
      </c>
      <c r="N251" s="141" t="str">
        <f>INDEX(Tableau5[Att3],MATCH(Tableau3[[#This Row],[ID-SIG]],Tableau5[ID],0))&amp;""</f>
        <v/>
      </c>
      <c r="O251" s="99"/>
      <c r="P251" s="154" t="s">
        <v>1751</v>
      </c>
      <c r="Q251" s="99"/>
      <c r="R251" s="142" t="str">
        <f>Tableau3[[#This Row],[Description]]</f>
        <v>Portail P4 - Entrée Réserve 1</v>
      </c>
      <c r="S251" s="52"/>
      <c r="U251" s="87">
        <v>2</v>
      </c>
      <c r="V251" s="87">
        <v>1</v>
      </c>
      <c r="W251" s="87">
        <v>8</v>
      </c>
      <c r="X251" s="87">
        <v>1</v>
      </c>
      <c r="Y251" s="40"/>
      <c r="Z251" s="165" t="str">
        <f>INDEX(Tableau2[TS],MATCH(Tableau3[[#This Row],[ID-CARTEVOIE]],Tableau2[ID-CARTEVOIE],0))</f>
        <v>ET</v>
      </c>
      <c r="AA251" s="144" t="s">
        <v>213</v>
      </c>
      <c r="AB251" s="224" t="str">
        <f>IFERROR(INDEX(Tableau5[Reserve],MATCH(Tableau3[[#This Row],[ID-SIG]],Tableau5[ID],0))&amp;"","")</f>
        <v/>
      </c>
      <c r="AC251" s="119"/>
      <c r="AD251" s="120" t="str">
        <f>INDEX(Tableau7[Repere],MATCH(Tableau3[[#This Row],[ID-API]],Tableau7[ID-API],0))&amp;""</f>
        <v>A2</v>
      </c>
      <c r="AE251" s="120" t="str">
        <f>INDEX(Tableau1[Repere-Rack],MATCH(Tableau3[[#This Row],[ID-RACK]],Tableau1[ID-RACK],0))&amp;""</f>
        <v>R1</v>
      </c>
      <c r="AF251" s="120" t="str">
        <f>INDEX(Tableau1[Repere-Slot],MATCH(Tableau3[[#This Row],[ID-SLOT]],Tableau1[ID-SLOT],0))&amp;""</f>
        <v>S8</v>
      </c>
      <c r="AG251" s="120" t="str">
        <f>INDEX(Tableau2[Repere-Voie],MATCH(Tableau3[[#This Row],[ID-VOIE]],Tableau2[ID-Voie],0))&amp;""</f>
        <v>v1</v>
      </c>
      <c r="AH251" s="122" t="str">
        <f>Tableau3[[#This Row],[ID-API]]&amp; "." &amp;Tableau3[[#This Row],[ID-RACK]]&amp; "." &amp;Tableau3[[#This Row],[ID-SLOT]]</f>
        <v>2.1.8</v>
      </c>
      <c r="AI251" s="72" t="str">
        <f>INDEX(Tableau1[Ref-Carte],MATCH(Tableau3[[#This Row],[ID-RRS]],Tableau1[ID-RRS],0))</f>
        <v>SDI1602</v>
      </c>
      <c r="AJ251" s="72" t="str">
        <f t="array" ref="AJ251">IFERROR(INDEX(Tableau2[TS],MATCH(1,(Tableau2[Ref-Carte]=Tableau3[[#This Row],[Ref-Carte2]])*(Tableau2[ID-Voie]=Tableau3[[#This Row],[ID-VOIE]]),0)),"")</f>
        <v>ET</v>
      </c>
      <c r="AK251" s="72" t="str">
        <f>IFERROR(INDEX(Tableau2[TS],SUMPRODUCT((Tableau2[Ref-Carte]=Tableau3[[#This Row],[Ref-Carte2]])*(Tableau2[ID-Voie]=Tableau3[[#This Row],[ID-VOIE]])*ROW(Tableau2[TS]))-ROW(Tableau2[#Headers])),"")</f>
        <v>ET</v>
      </c>
      <c r="AL251" s="122" t="str">
        <f>Tableau3[[#This Row],[Ref-Carte2]]&amp;"/"&amp;Tableau3[[#This Row],[ID-VOIE]]</f>
        <v>SDI1602/1</v>
      </c>
      <c r="AM251" s="145" t="str">
        <f>INDEX(Tableau2[Borne],MATCH(Tableau3[[#This Row],[ID-CARTEVOIE]],Tableau2[ID-CARTEVOIE],0))&amp;""</f>
        <v>0A</v>
      </c>
      <c r="AN251" s="124" t="str">
        <f>Tableau3[[#This Row],[ID-API]]&amp;Tableau3[[#This Row],[ID-RACK]]&amp;Tableau3[[#This Row],[ID-SLOT]]&amp;Tableau3[[#This Row],[BORNE]]</f>
        <v>2180A</v>
      </c>
      <c r="AO251" s="125"/>
    </row>
    <row r="252" spans="1:41" ht="20.100000000000001" customHeight="1" thickTop="1" thickBot="1">
      <c r="A252" s="134"/>
      <c r="B252" s="135" t="str">
        <f>IFERROR(INDEX(Tableau4[Date],MATCH($A252,Tableau4[EVO],0)),"")</f>
        <v/>
      </c>
      <c r="C252" s="136" t="str">
        <f>IFERROR(INDEX(Tableau4[Designation],MATCH($A252,Tableau4[EVO],0)),"")</f>
        <v/>
      </c>
      <c r="D252" s="134"/>
      <c r="E252" s="137">
        <v>4</v>
      </c>
      <c r="F252" s="138">
        <v>271</v>
      </c>
      <c r="G252" s="139" t="str">
        <f>INDEX(Tableau8[Att1],MATCH(Tableau3[[#This Row],[ID-INS]],Tableau8[ID],0))&amp;""</f>
        <v>V1</v>
      </c>
      <c r="H252" s="139" t="str">
        <f>INDEX(Tableau8[Att2],MATCH(Tableau3[[#This Row],[ID-INS]],Tableau8[ID],0))&amp;""</f>
        <v>P4</v>
      </c>
      <c r="I252" s="139" t="str">
        <f>INDEX(Tableau8[Att3],MATCH(Tableau3[[#This Row],[ID-INS]],Tableau8[ID],0))&amp;""</f>
        <v>Portail P4</v>
      </c>
      <c r="J252" s="101"/>
      <c r="K252" s="167" t="str">
        <f>INDEX(Tableau8[Nom du modele],MATCH(Tableau3[[#This Row],[ID-INS]],Tableau8[ID],0))&amp;""</f>
        <v>PortailBleuHydr_1</v>
      </c>
      <c r="L252" s="141" t="str">
        <f>INDEX(Tableau5[Att1],MATCH(Tableau3[[#This Row],[ID-SIG]],Tableau5[ID],0))&amp;""</f>
        <v>Réserve</v>
      </c>
      <c r="M252" s="141" t="str">
        <f>INDEX(Tableau5[Att2],MATCH(Tableau3[[#This Row],[ID-SIG]],Tableau5[ID],0))&amp;""</f>
        <v/>
      </c>
      <c r="N252" s="141" t="str">
        <f>INDEX(Tableau5[Att3],MATCH(Tableau3[[#This Row],[ID-SIG]],Tableau5[ID],0))&amp;""</f>
        <v/>
      </c>
      <c r="O252" s="99"/>
      <c r="P252" s="141" t="str">
        <f>INDEX(Tableau5[Description],MATCH(Tableau3[[#This Row],[ID-SIG]],Tableau5[ID],0))</f>
        <v>Réserve</v>
      </c>
      <c r="Q252" s="99"/>
      <c r="R252" s="142" t="str">
        <f>Tableau3[[#This Row],[Description]]</f>
        <v>Réserve</v>
      </c>
      <c r="S252" s="52"/>
      <c r="U252" s="87">
        <v>2</v>
      </c>
      <c r="V252" s="87">
        <v>1</v>
      </c>
      <c r="W252" s="87">
        <v>8</v>
      </c>
      <c r="X252" s="87">
        <v>2</v>
      </c>
      <c r="Y252" s="40"/>
      <c r="Z252" s="165" t="str">
        <f>INDEX(Tableau2[TS],MATCH(Tableau3[[#This Row],[ID-CARTEVOIE]],Tableau2[ID-CARTEVOIE],0))</f>
        <v>ET</v>
      </c>
      <c r="AA252" s="144" t="s">
        <v>213</v>
      </c>
      <c r="AB252" s="224" t="str">
        <f>IFERROR(INDEX(Tableau5[Reserve],MATCH(Tableau3[[#This Row],[ID-SIG]],Tableau5[ID],0))&amp;"","")</f>
        <v/>
      </c>
      <c r="AC252" s="119"/>
      <c r="AD252" s="120" t="str">
        <f>INDEX(Tableau7[Repere],MATCH(Tableau3[[#This Row],[ID-API]],Tableau7[ID-API],0))&amp;""</f>
        <v>A2</v>
      </c>
      <c r="AE252" s="120" t="str">
        <f>INDEX(Tableau1[Repere-Rack],MATCH(Tableau3[[#This Row],[ID-RACK]],Tableau1[ID-RACK],0))&amp;""</f>
        <v>R1</v>
      </c>
      <c r="AF252" s="120" t="str">
        <f>INDEX(Tableau1[Repere-Slot],MATCH(Tableau3[[#This Row],[ID-SLOT]],Tableau1[ID-SLOT],0))&amp;""</f>
        <v>S8</v>
      </c>
      <c r="AG252" s="120" t="str">
        <f>INDEX(Tableau2[Repere-Voie],MATCH(Tableau3[[#This Row],[ID-VOIE]],Tableau2[ID-Voie],0))&amp;""</f>
        <v>v2</v>
      </c>
      <c r="AH252" s="122" t="str">
        <f>Tableau3[[#This Row],[ID-API]]&amp; "." &amp;Tableau3[[#This Row],[ID-RACK]]&amp; "." &amp;Tableau3[[#This Row],[ID-SLOT]]</f>
        <v>2.1.8</v>
      </c>
      <c r="AI252" s="72" t="str">
        <f>INDEX(Tableau1[Ref-Carte],MATCH(Tableau3[[#This Row],[ID-RRS]],Tableau1[ID-RRS],0))</f>
        <v>SDI1602</v>
      </c>
      <c r="AJ252" s="72" t="str">
        <f t="array" ref="AJ252">IFERROR(INDEX(Tableau2[TS],MATCH(1,(Tableau2[Ref-Carte]=Tableau3[[#This Row],[Ref-Carte2]])*(Tableau2[ID-Voie]=Tableau3[[#This Row],[ID-VOIE]]),0)),"")</f>
        <v>ET</v>
      </c>
      <c r="AK252" s="72" t="str">
        <f>IFERROR(INDEX(Tableau2[TS],SUMPRODUCT((Tableau2[Ref-Carte]=Tableau3[[#This Row],[Ref-Carte2]])*(Tableau2[ID-Voie]=Tableau3[[#This Row],[ID-VOIE]])*ROW(Tableau2[TS]))-ROW(Tableau2[#Headers])),"")</f>
        <v>ET</v>
      </c>
      <c r="AL252" s="122" t="str">
        <f>Tableau3[[#This Row],[Ref-Carte2]]&amp;"/"&amp;Tableau3[[#This Row],[ID-VOIE]]</f>
        <v>SDI1602/2</v>
      </c>
      <c r="AM252" s="145" t="str">
        <f>INDEX(Tableau2[Borne],MATCH(Tableau3[[#This Row],[ID-CARTEVOIE]],Tableau2[ID-CARTEVOIE],0))&amp;""</f>
        <v>1B</v>
      </c>
      <c r="AN252" s="124" t="str">
        <f>Tableau3[[#This Row],[ID-API]]&amp;Tableau3[[#This Row],[ID-RACK]]&amp;Tableau3[[#This Row],[ID-SLOT]]&amp;Tableau3[[#This Row],[BORNE]]</f>
        <v>2181B</v>
      </c>
      <c r="AO252" s="125"/>
    </row>
    <row r="253" spans="1:41" ht="20.100000000000001" customHeight="1" thickTop="1" thickBot="1">
      <c r="A253" s="134"/>
      <c r="B253" s="135" t="str">
        <f>IFERROR(INDEX(Tableau4[Date],MATCH($A253,Tableau4[EVO],0)),"")</f>
        <v/>
      </c>
      <c r="C253" s="136" t="str">
        <f>IFERROR(INDEX(Tableau4[Designation],MATCH($A253,Tableau4[EVO],0)),"")</f>
        <v/>
      </c>
      <c r="D253" s="134"/>
      <c r="E253" s="137">
        <v>4</v>
      </c>
      <c r="F253" s="138">
        <v>272</v>
      </c>
      <c r="G253" s="139" t="str">
        <f>INDEX(Tableau8[Att1],MATCH(Tableau3[[#This Row],[ID-INS]],Tableau8[ID],0))&amp;""</f>
        <v>V1</v>
      </c>
      <c r="H253" s="139" t="str">
        <f>INDEX(Tableau8[Att2],MATCH(Tableau3[[#This Row],[ID-INS]],Tableau8[ID],0))&amp;""</f>
        <v>P4</v>
      </c>
      <c r="I253" s="139" t="str">
        <f>INDEX(Tableau8[Att3],MATCH(Tableau3[[#This Row],[ID-INS]],Tableau8[ID],0))&amp;""</f>
        <v>Portail P4</v>
      </c>
      <c r="J253" s="101"/>
      <c r="K253" s="167" t="str">
        <f>INDEX(Tableau8[Nom du modele],MATCH(Tableau3[[#This Row],[ID-INS]],Tableau8[ID],0))&amp;""</f>
        <v>PortailBleuHydr_1</v>
      </c>
      <c r="L253" s="141" t="str">
        <f>INDEX(Tableau5[Att1],MATCH(Tableau3[[#This Row],[ID-SIG]],Tableau5[ID],0))&amp;""</f>
        <v>Effraction</v>
      </c>
      <c r="M253" s="141" t="str">
        <f>INDEX(Tableau5[Att2],MATCH(Tableau3[[#This Row],[ID-SIG]],Tableau5[ID],0))&amp;""</f>
        <v/>
      </c>
      <c r="N253" s="141" t="str">
        <f>INDEX(Tableau5[Att3],MATCH(Tableau3[[#This Row],[ID-SIG]],Tableau5[ID],0))&amp;""</f>
        <v/>
      </c>
      <c r="O253" s="99"/>
      <c r="P253" s="141" t="str">
        <f>INDEX(Tableau5[Description],MATCH(Tableau3[[#This Row],[ID-SIG]],Tableau5[ID],0))</f>
        <v>Effraction</v>
      </c>
      <c r="Q253" s="99"/>
      <c r="R253" s="142" t="str">
        <f>Tableau3[[#This Row],[Description]]</f>
        <v>Effraction</v>
      </c>
      <c r="S253" s="52"/>
      <c r="U253" s="87">
        <v>2</v>
      </c>
      <c r="V253" s="87">
        <v>1</v>
      </c>
      <c r="W253" s="87">
        <v>8</v>
      </c>
      <c r="X253" s="87">
        <v>3</v>
      </c>
      <c r="Y253" s="40"/>
      <c r="Z253" s="165" t="str">
        <f>INDEX(Tableau2[TS],MATCH(Tableau3[[#This Row],[ID-CARTEVOIE]],Tableau2[ID-CARTEVOIE],0))</f>
        <v>ET</v>
      </c>
      <c r="AA253" s="144" t="s">
        <v>213</v>
      </c>
      <c r="AB253" s="224" t="str">
        <f>IFERROR(INDEX(Tableau5[Reserve],MATCH(Tableau3[[#This Row],[ID-SIG]],Tableau5[ID],0))&amp;"","")</f>
        <v/>
      </c>
      <c r="AC253" s="119"/>
      <c r="AD253" s="120" t="str">
        <f>INDEX(Tableau7[Repere],MATCH(Tableau3[[#This Row],[ID-API]],Tableau7[ID-API],0))&amp;""</f>
        <v>A2</v>
      </c>
      <c r="AE253" s="120" t="str">
        <f>INDEX(Tableau1[Repere-Rack],MATCH(Tableau3[[#This Row],[ID-RACK]],Tableau1[ID-RACK],0))&amp;""</f>
        <v>R1</v>
      </c>
      <c r="AF253" s="120" t="str">
        <f>INDEX(Tableau1[Repere-Slot],MATCH(Tableau3[[#This Row],[ID-SLOT]],Tableau1[ID-SLOT],0))&amp;""</f>
        <v>S8</v>
      </c>
      <c r="AG253" s="120" t="str">
        <f>INDEX(Tableau2[Repere-Voie],MATCH(Tableau3[[#This Row],[ID-VOIE]],Tableau2[ID-Voie],0))&amp;""</f>
        <v>v3</v>
      </c>
      <c r="AH253" s="122" t="str">
        <f>Tableau3[[#This Row],[ID-API]]&amp; "." &amp;Tableau3[[#This Row],[ID-RACK]]&amp; "." &amp;Tableau3[[#This Row],[ID-SLOT]]</f>
        <v>2.1.8</v>
      </c>
      <c r="AI253" s="72" t="str">
        <f>INDEX(Tableau1[Ref-Carte],MATCH(Tableau3[[#This Row],[ID-RRS]],Tableau1[ID-RRS],0))</f>
        <v>SDI1602</v>
      </c>
      <c r="AJ253" s="72" t="str">
        <f t="array" ref="AJ253">IFERROR(INDEX(Tableau2[TS],MATCH(1,(Tableau2[Ref-Carte]=Tableau3[[#This Row],[Ref-Carte2]])*(Tableau2[ID-Voie]=Tableau3[[#This Row],[ID-VOIE]]),0)),"")</f>
        <v>ET</v>
      </c>
      <c r="AK253" s="72" t="str">
        <f>IFERROR(INDEX(Tableau2[TS],SUMPRODUCT((Tableau2[Ref-Carte]=Tableau3[[#This Row],[Ref-Carte2]])*(Tableau2[ID-Voie]=Tableau3[[#This Row],[ID-VOIE]])*ROW(Tableau2[TS]))-ROW(Tableau2[#Headers])),"")</f>
        <v>ET</v>
      </c>
      <c r="AL253" s="122" t="str">
        <f>Tableau3[[#This Row],[Ref-Carte2]]&amp;"/"&amp;Tableau3[[#This Row],[ID-VOIE]]</f>
        <v>SDI1602/3</v>
      </c>
      <c r="AM253" s="145" t="str">
        <f>INDEX(Tableau2[Borne],MATCH(Tableau3[[#This Row],[ID-CARTEVOIE]],Tableau2[ID-CARTEVOIE],0))&amp;""</f>
        <v>1A</v>
      </c>
      <c r="AN253" s="124" t="str">
        <f>Tableau3[[#This Row],[ID-API]]&amp;Tableau3[[#This Row],[ID-RACK]]&amp;Tableau3[[#This Row],[ID-SLOT]]&amp;Tableau3[[#This Row],[BORNE]]</f>
        <v>2181A</v>
      </c>
      <c r="AO253" s="125"/>
    </row>
    <row r="254" spans="1:41" ht="20.100000000000001" customHeight="1" thickTop="1" thickBot="1">
      <c r="A254" s="134"/>
      <c r="B254" s="135" t="str">
        <f>IFERROR(INDEX(Tableau4[Date],MATCH($A254,Tableau4[EVO],0)),"")</f>
        <v/>
      </c>
      <c r="C254" s="136" t="str">
        <f>IFERROR(INDEX(Tableau4[Designation],MATCH($A254,Tableau4[EVO],0)),"")</f>
        <v/>
      </c>
      <c r="D254" s="134"/>
      <c r="E254" s="137">
        <v>4</v>
      </c>
      <c r="F254" s="138">
        <v>278</v>
      </c>
      <c r="G254" s="139" t="str">
        <f>INDEX(Tableau8[Att1],MATCH(Tableau3[[#This Row],[ID-INS]],Tableau8[ID],0))&amp;""</f>
        <v>V1</v>
      </c>
      <c r="H254" s="139" t="str">
        <f>INDEX(Tableau8[Att2],MATCH(Tableau3[[#This Row],[ID-INS]],Tableau8[ID],0))&amp;""</f>
        <v>P4</v>
      </c>
      <c r="I254" s="139" t="str">
        <f>INDEX(Tableau8[Att3],MATCH(Tableau3[[#This Row],[ID-INS]],Tableau8[ID],0))&amp;""</f>
        <v>Portail P4</v>
      </c>
      <c r="J254" s="101"/>
      <c r="K254" s="167" t="str">
        <f>INDEX(Tableau8[Nom du modele],MATCH(Tableau3[[#This Row],[ID-INS]],Tableau8[ID],0))&amp;""</f>
        <v>PortailBleuHydr_1</v>
      </c>
      <c r="L254" s="141" t="str">
        <f>INDEX(Tableau5[Att1],MATCH(Tableau3[[#This Row],[ID-SIG]],Tableau5[ID],0))&amp;""</f>
        <v>VD_Ouv</v>
      </c>
      <c r="M254" s="141" t="str">
        <f>INDEX(Tableau5[Att2],MATCH(Tableau3[[#This Row],[ID-SIG]],Tableau5[ID],0))&amp;""</f>
        <v/>
      </c>
      <c r="N254" s="141" t="str">
        <f>INDEX(Tableau5[Att3],MATCH(Tableau3[[#This Row],[ID-SIG]],Tableau5[ID],0))&amp;""</f>
        <v/>
      </c>
      <c r="O254" s="99"/>
      <c r="P254" s="141" t="str">
        <f>INDEX(Tableau5[Description],MATCH(Tableau3[[#This Row],[ID-SIG]],Tableau5[ID],0))</f>
        <v>Vantail droit fdc ouvert</v>
      </c>
      <c r="Q254" s="99"/>
      <c r="R254" s="142" t="str">
        <f>Tableau3[[#This Row],[Description]]</f>
        <v>Vantail droit fdc ouvert</v>
      </c>
      <c r="S254" s="52"/>
      <c r="U254" s="87">
        <v>2</v>
      </c>
      <c r="V254" s="87">
        <v>1</v>
      </c>
      <c r="W254" s="87">
        <v>8</v>
      </c>
      <c r="X254" s="87">
        <v>4</v>
      </c>
      <c r="Y254" s="40"/>
      <c r="Z254" s="165" t="str">
        <f>INDEX(Tableau2[TS],MATCH(Tableau3[[#This Row],[ID-CARTEVOIE]],Tableau2[ID-CARTEVOIE],0))</f>
        <v>ET</v>
      </c>
      <c r="AA254" s="144" t="s">
        <v>213</v>
      </c>
      <c r="AB254" s="224" t="str">
        <f>IFERROR(INDEX(Tableau5[Reserve],MATCH(Tableau3[[#This Row],[ID-SIG]],Tableau5[ID],0))&amp;"","")</f>
        <v/>
      </c>
      <c r="AC254" s="119"/>
      <c r="AD254" s="120" t="str">
        <f>INDEX(Tableau7[Repere],MATCH(Tableau3[[#This Row],[ID-API]],Tableau7[ID-API],0))&amp;""</f>
        <v>A2</v>
      </c>
      <c r="AE254" s="120" t="str">
        <f>INDEX(Tableau1[Repere-Rack],MATCH(Tableau3[[#This Row],[ID-RACK]],Tableau1[ID-RACK],0))&amp;""</f>
        <v>R1</v>
      </c>
      <c r="AF254" s="120" t="str">
        <f>INDEX(Tableau1[Repere-Slot],MATCH(Tableau3[[#This Row],[ID-SLOT]],Tableau1[ID-SLOT],0))&amp;""</f>
        <v>S8</v>
      </c>
      <c r="AG254" s="120" t="str">
        <f>INDEX(Tableau2[Repere-Voie],MATCH(Tableau3[[#This Row],[ID-VOIE]],Tableau2[ID-Voie],0))&amp;""</f>
        <v>v4</v>
      </c>
      <c r="AH254" s="122" t="str">
        <f>Tableau3[[#This Row],[ID-API]]&amp; "." &amp;Tableau3[[#This Row],[ID-RACK]]&amp; "." &amp;Tableau3[[#This Row],[ID-SLOT]]</f>
        <v>2.1.8</v>
      </c>
      <c r="AI254" s="72" t="str">
        <f>INDEX(Tableau1[Ref-Carte],MATCH(Tableau3[[#This Row],[ID-RRS]],Tableau1[ID-RRS],0))</f>
        <v>SDI1602</v>
      </c>
      <c r="AJ254" s="72" t="str">
        <f t="array" ref="AJ254">IFERROR(INDEX(Tableau2[TS],MATCH(1,(Tableau2[Ref-Carte]=Tableau3[[#This Row],[Ref-Carte2]])*(Tableau2[ID-Voie]=Tableau3[[#This Row],[ID-VOIE]]),0)),"")</f>
        <v>ET</v>
      </c>
      <c r="AK254" s="72" t="str">
        <f>IFERROR(INDEX(Tableau2[TS],SUMPRODUCT((Tableau2[Ref-Carte]=Tableau3[[#This Row],[Ref-Carte2]])*(Tableau2[ID-Voie]=Tableau3[[#This Row],[ID-VOIE]])*ROW(Tableau2[TS]))-ROW(Tableau2[#Headers])),"")</f>
        <v>ET</v>
      </c>
      <c r="AL254" s="122" t="str">
        <f>Tableau3[[#This Row],[Ref-Carte2]]&amp;"/"&amp;Tableau3[[#This Row],[ID-VOIE]]</f>
        <v>SDI1602/4</v>
      </c>
      <c r="AM254" s="145" t="str">
        <f>INDEX(Tableau2[Borne],MATCH(Tableau3[[#This Row],[ID-CARTEVOIE]],Tableau2[ID-CARTEVOIE],0))&amp;""</f>
        <v>2B</v>
      </c>
      <c r="AN254" s="124" t="str">
        <f>Tableau3[[#This Row],[ID-API]]&amp;Tableau3[[#This Row],[ID-RACK]]&amp;Tableau3[[#This Row],[ID-SLOT]]&amp;Tableau3[[#This Row],[BORNE]]</f>
        <v>2182B</v>
      </c>
      <c r="AO254" s="125"/>
    </row>
    <row r="255" spans="1:41" ht="20.100000000000001" customHeight="1" thickTop="1" thickBot="1">
      <c r="A255" s="134"/>
      <c r="B255" s="135" t="str">
        <f>IFERROR(INDEX(Tableau4[Date],MATCH($A255,Tableau4[EVO],0)),"")</f>
        <v/>
      </c>
      <c r="C255" s="136" t="str">
        <f>IFERROR(INDEX(Tableau4[Designation],MATCH($A255,Tableau4[EVO],0)),"")</f>
        <v/>
      </c>
      <c r="D255" s="134"/>
      <c r="E255" s="137">
        <v>4</v>
      </c>
      <c r="F255" s="138">
        <v>279</v>
      </c>
      <c r="G255" s="139" t="str">
        <f>INDEX(Tableau8[Att1],MATCH(Tableau3[[#This Row],[ID-INS]],Tableau8[ID],0))&amp;""</f>
        <v>V1</v>
      </c>
      <c r="H255" s="139" t="str">
        <f>INDEX(Tableau8[Att2],MATCH(Tableau3[[#This Row],[ID-INS]],Tableau8[ID],0))&amp;""</f>
        <v>P4</v>
      </c>
      <c r="I255" s="139" t="str">
        <f>INDEX(Tableau8[Att3],MATCH(Tableau3[[#This Row],[ID-INS]],Tableau8[ID],0))&amp;""</f>
        <v>Portail P4</v>
      </c>
      <c r="J255" s="101"/>
      <c r="K255" s="167" t="str">
        <f>INDEX(Tableau8[Nom du modele],MATCH(Tableau3[[#This Row],[ID-INS]],Tableau8[ID],0))&amp;""</f>
        <v>PortailBleuHydr_1</v>
      </c>
      <c r="L255" s="141" t="str">
        <f>INDEX(Tableau5[Att1],MATCH(Tableau3[[#This Row],[ID-SIG]],Tableau5[ID],0))&amp;""</f>
        <v>VD_Fer</v>
      </c>
      <c r="M255" s="141" t="str">
        <f>INDEX(Tableau5[Att2],MATCH(Tableau3[[#This Row],[ID-SIG]],Tableau5[ID],0))&amp;""</f>
        <v/>
      </c>
      <c r="N255" s="141" t="str">
        <f>INDEX(Tableau5[Att3],MATCH(Tableau3[[#This Row],[ID-SIG]],Tableau5[ID],0))&amp;""</f>
        <v/>
      </c>
      <c r="O255" s="99"/>
      <c r="P255" s="141" t="str">
        <f>INDEX(Tableau5[Description],MATCH(Tableau3[[#This Row],[ID-SIG]],Tableau5[ID],0))</f>
        <v>Vantail droit fdc fermé</v>
      </c>
      <c r="Q255" s="99"/>
      <c r="R255" s="142" t="str">
        <f>Tableau3[[#This Row],[Description]]</f>
        <v>Vantail droit fdc fermé</v>
      </c>
      <c r="S255" s="52"/>
      <c r="U255" s="87">
        <v>2</v>
      </c>
      <c r="V255" s="87">
        <v>1</v>
      </c>
      <c r="W255" s="87">
        <v>8</v>
      </c>
      <c r="X255" s="87">
        <v>5</v>
      </c>
      <c r="Y255" s="40"/>
      <c r="Z255" s="165" t="str">
        <f>INDEX(Tableau2[TS],MATCH(Tableau3[[#This Row],[ID-CARTEVOIE]],Tableau2[ID-CARTEVOIE],0))</f>
        <v>ET</v>
      </c>
      <c r="AA255" s="144" t="s">
        <v>213</v>
      </c>
      <c r="AB255" s="224" t="str">
        <f>IFERROR(INDEX(Tableau5[Reserve],MATCH(Tableau3[[#This Row],[ID-SIG]],Tableau5[ID],0))&amp;"","")</f>
        <v/>
      </c>
      <c r="AC255" s="119"/>
      <c r="AD255" s="120" t="str">
        <f>INDEX(Tableau7[Repere],MATCH(Tableau3[[#This Row],[ID-API]],Tableau7[ID-API],0))&amp;""</f>
        <v>A2</v>
      </c>
      <c r="AE255" s="120" t="str">
        <f>INDEX(Tableau1[Repere-Rack],MATCH(Tableau3[[#This Row],[ID-RACK]],Tableau1[ID-RACK],0))&amp;""</f>
        <v>R1</v>
      </c>
      <c r="AF255" s="120" t="str">
        <f>INDEX(Tableau1[Repere-Slot],MATCH(Tableau3[[#This Row],[ID-SLOT]],Tableau1[ID-SLOT],0))&amp;""</f>
        <v>S8</v>
      </c>
      <c r="AG255" s="120" t="str">
        <f>INDEX(Tableau2[Repere-Voie],MATCH(Tableau3[[#This Row],[ID-VOIE]],Tableau2[ID-Voie],0))&amp;""</f>
        <v>v5</v>
      </c>
      <c r="AH255" s="122" t="str">
        <f>Tableau3[[#This Row],[ID-API]]&amp; "." &amp;Tableau3[[#This Row],[ID-RACK]]&amp; "." &amp;Tableau3[[#This Row],[ID-SLOT]]</f>
        <v>2.1.8</v>
      </c>
      <c r="AI255" s="72" t="str">
        <f>INDEX(Tableau1[Ref-Carte],MATCH(Tableau3[[#This Row],[ID-RRS]],Tableau1[ID-RRS],0))</f>
        <v>SDI1602</v>
      </c>
      <c r="AJ255" s="72" t="str">
        <f t="array" ref="AJ255">IFERROR(INDEX(Tableau2[TS],MATCH(1,(Tableau2[Ref-Carte]=Tableau3[[#This Row],[Ref-Carte2]])*(Tableau2[ID-Voie]=Tableau3[[#This Row],[ID-VOIE]]),0)),"")</f>
        <v>ET</v>
      </c>
      <c r="AK255" s="72" t="str">
        <f>IFERROR(INDEX(Tableau2[TS],SUMPRODUCT((Tableau2[Ref-Carte]=Tableau3[[#This Row],[Ref-Carte2]])*(Tableau2[ID-Voie]=Tableau3[[#This Row],[ID-VOIE]])*ROW(Tableau2[TS]))-ROW(Tableau2[#Headers])),"")</f>
        <v>ET</v>
      </c>
      <c r="AL255" s="122" t="str">
        <f>Tableau3[[#This Row],[Ref-Carte2]]&amp;"/"&amp;Tableau3[[#This Row],[ID-VOIE]]</f>
        <v>SDI1602/5</v>
      </c>
      <c r="AM255" s="145" t="str">
        <f>INDEX(Tableau2[Borne],MATCH(Tableau3[[#This Row],[ID-CARTEVOIE]],Tableau2[ID-CARTEVOIE],0))&amp;""</f>
        <v>2A</v>
      </c>
      <c r="AN255" s="124" t="str">
        <f>Tableau3[[#This Row],[ID-API]]&amp;Tableau3[[#This Row],[ID-RACK]]&amp;Tableau3[[#This Row],[ID-SLOT]]&amp;Tableau3[[#This Row],[BORNE]]</f>
        <v>2182A</v>
      </c>
      <c r="AO255" s="125"/>
    </row>
    <row r="256" spans="1:41" ht="20.100000000000001" customHeight="1" thickTop="1" thickBot="1">
      <c r="A256" s="134"/>
      <c r="B256" s="135" t="str">
        <f>IFERROR(INDEX(Tableau4[Date],MATCH($A256,Tableau4[EVO],0)),"")</f>
        <v/>
      </c>
      <c r="C256" s="136" t="str">
        <f>IFERROR(INDEX(Tableau4[Designation],MATCH($A256,Tableau4[EVO],0)),"")</f>
        <v/>
      </c>
      <c r="D256" s="134"/>
      <c r="E256" s="137">
        <v>4</v>
      </c>
      <c r="F256" s="138">
        <v>280</v>
      </c>
      <c r="G256" s="139" t="str">
        <f>INDEX(Tableau8[Att1],MATCH(Tableau3[[#This Row],[ID-INS]],Tableau8[ID],0))&amp;""</f>
        <v>V1</v>
      </c>
      <c r="H256" s="139" t="str">
        <f>INDEX(Tableau8[Att2],MATCH(Tableau3[[#This Row],[ID-INS]],Tableau8[ID],0))&amp;""</f>
        <v>P4</v>
      </c>
      <c r="I256" s="139" t="str">
        <f>INDEX(Tableau8[Att3],MATCH(Tableau3[[#This Row],[ID-INS]],Tableau8[ID],0))&amp;""</f>
        <v>Portail P4</v>
      </c>
      <c r="J256" s="101"/>
      <c r="K256" s="167" t="str">
        <f>INDEX(Tableau8[Nom du modele],MATCH(Tableau3[[#This Row],[ID-INS]],Tableau8[ID],0))&amp;""</f>
        <v>PortailBleuHydr_1</v>
      </c>
      <c r="L256" s="141" t="str">
        <f>INDEX(Tableau5[Att1],MATCH(Tableau3[[#This Row],[ID-SIG]],Tableau5[ID],0))&amp;""</f>
        <v>VG_Ouv</v>
      </c>
      <c r="M256" s="141" t="str">
        <f>INDEX(Tableau5[Att2],MATCH(Tableau3[[#This Row],[ID-SIG]],Tableau5[ID],0))&amp;""</f>
        <v/>
      </c>
      <c r="N256" s="141" t="str">
        <f>INDEX(Tableau5[Att3],MATCH(Tableau3[[#This Row],[ID-SIG]],Tableau5[ID],0))&amp;""</f>
        <v/>
      </c>
      <c r="O256" s="99"/>
      <c r="P256" s="141" t="str">
        <f>INDEX(Tableau5[Description],MATCH(Tableau3[[#This Row],[ID-SIG]],Tableau5[ID],0))</f>
        <v>Vantail gauche fdc ouvert</v>
      </c>
      <c r="Q256" s="99"/>
      <c r="R256" s="142" t="str">
        <f>Tableau3[[#This Row],[Description]]</f>
        <v>Vantail gauche fdc ouvert</v>
      </c>
      <c r="S256" s="52"/>
      <c r="U256" s="87">
        <v>2</v>
      </c>
      <c r="V256" s="87">
        <v>1</v>
      </c>
      <c r="W256" s="87">
        <v>8</v>
      </c>
      <c r="X256" s="87">
        <v>6</v>
      </c>
      <c r="Y256" s="40"/>
      <c r="Z256" s="165" t="str">
        <f>INDEX(Tableau2[TS],MATCH(Tableau3[[#This Row],[ID-CARTEVOIE]],Tableau2[ID-CARTEVOIE],0))</f>
        <v>ET</v>
      </c>
      <c r="AA256" s="144" t="s">
        <v>213</v>
      </c>
      <c r="AB256" s="224" t="str">
        <f>IFERROR(INDEX(Tableau5[Reserve],MATCH(Tableau3[[#This Row],[ID-SIG]],Tableau5[ID],0))&amp;"","")</f>
        <v/>
      </c>
      <c r="AC256" s="119"/>
      <c r="AD256" s="120" t="str">
        <f>INDEX(Tableau7[Repere],MATCH(Tableau3[[#This Row],[ID-API]],Tableau7[ID-API],0))&amp;""</f>
        <v>A2</v>
      </c>
      <c r="AE256" s="120" t="str">
        <f>INDEX(Tableau1[Repere-Rack],MATCH(Tableau3[[#This Row],[ID-RACK]],Tableau1[ID-RACK],0))&amp;""</f>
        <v>R1</v>
      </c>
      <c r="AF256" s="120" t="str">
        <f>INDEX(Tableau1[Repere-Slot],MATCH(Tableau3[[#This Row],[ID-SLOT]],Tableau1[ID-SLOT],0))&amp;""</f>
        <v>S8</v>
      </c>
      <c r="AG256" s="120" t="str">
        <f>INDEX(Tableau2[Repere-Voie],MATCH(Tableau3[[#This Row],[ID-VOIE]],Tableau2[ID-Voie],0))&amp;""</f>
        <v>v6</v>
      </c>
      <c r="AH256" s="122" t="str">
        <f>Tableau3[[#This Row],[ID-API]]&amp; "." &amp;Tableau3[[#This Row],[ID-RACK]]&amp; "." &amp;Tableau3[[#This Row],[ID-SLOT]]</f>
        <v>2.1.8</v>
      </c>
      <c r="AI256" s="72" t="str">
        <f>INDEX(Tableau1[Ref-Carte],MATCH(Tableau3[[#This Row],[ID-RRS]],Tableau1[ID-RRS],0))</f>
        <v>SDI1602</v>
      </c>
      <c r="AJ256" s="72" t="str">
        <f t="array" ref="AJ256">IFERROR(INDEX(Tableau2[TS],MATCH(1,(Tableau2[Ref-Carte]=Tableau3[[#This Row],[Ref-Carte2]])*(Tableau2[ID-Voie]=Tableau3[[#This Row],[ID-VOIE]]),0)),"")</f>
        <v>ET</v>
      </c>
      <c r="AK256" s="72" t="str">
        <f>IFERROR(INDEX(Tableau2[TS],SUMPRODUCT((Tableau2[Ref-Carte]=Tableau3[[#This Row],[Ref-Carte2]])*(Tableau2[ID-Voie]=Tableau3[[#This Row],[ID-VOIE]])*ROW(Tableau2[TS]))-ROW(Tableau2[#Headers])),"")</f>
        <v>ET</v>
      </c>
      <c r="AL256" s="122" t="str">
        <f>Tableau3[[#This Row],[Ref-Carte2]]&amp;"/"&amp;Tableau3[[#This Row],[ID-VOIE]]</f>
        <v>SDI1602/6</v>
      </c>
      <c r="AM256" s="145" t="str">
        <f>INDEX(Tableau2[Borne],MATCH(Tableau3[[#This Row],[ID-CARTEVOIE]],Tableau2[ID-CARTEVOIE],0))&amp;""</f>
        <v>3B</v>
      </c>
      <c r="AN256" s="124" t="str">
        <f>Tableau3[[#This Row],[ID-API]]&amp;Tableau3[[#This Row],[ID-RACK]]&amp;Tableau3[[#This Row],[ID-SLOT]]&amp;Tableau3[[#This Row],[BORNE]]</f>
        <v>2183B</v>
      </c>
      <c r="AO256" s="125"/>
    </row>
    <row r="257" spans="1:41" ht="20.100000000000001" customHeight="1" thickTop="1" thickBot="1">
      <c r="A257" s="134"/>
      <c r="B257" s="135" t="str">
        <f>IFERROR(INDEX(Tableau4[Date],MATCH($A257,Tableau4[EVO],0)),"")</f>
        <v/>
      </c>
      <c r="C257" s="136" t="str">
        <f>IFERROR(INDEX(Tableau4[Designation],MATCH($A257,Tableau4[EVO],0)),"")</f>
        <v/>
      </c>
      <c r="D257" s="134"/>
      <c r="E257" s="137">
        <v>4</v>
      </c>
      <c r="F257" s="138">
        <v>281</v>
      </c>
      <c r="G257" s="139" t="str">
        <f>INDEX(Tableau8[Att1],MATCH(Tableau3[[#This Row],[ID-INS]],Tableau8[ID],0))&amp;""</f>
        <v>V1</v>
      </c>
      <c r="H257" s="139" t="str">
        <f>INDEX(Tableau8[Att2],MATCH(Tableau3[[#This Row],[ID-INS]],Tableau8[ID],0))&amp;""</f>
        <v>P4</v>
      </c>
      <c r="I257" s="139" t="str">
        <f>INDEX(Tableau8[Att3],MATCH(Tableau3[[#This Row],[ID-INS]],Tableau8[ID],0))&amp;""</f>
        <v>Portail P4</v>
      </c>
      <c r="J257" s="101"/>
      <c r="K257" s="167" t="str">
        <f>INDEX(Tableau8[Nom du modele],MATCH(Tableau3[[#This Row],[ID-INS]],Tableau8[ID],0))&amp;""</f>
        <v>PortailBleuHydr_1</v>
      </c>
      <c r="L257" s="141" t="str">
        <f>INDEX(Tableau5[Att1],MATCH(Tableau3[[#This Row],[ID-SIG]],Tableau5[ID],0))&amp;""</f>
        <v>VG_Fer</v>
      </c>
      <c r="M257" s="141" t="str">
        <f>INDEX(Tableau5[Att2],MATCH(Tableau3[[#This Row],[ID-SIG]],Tableau5[ID],0))&amp;""</f>
        <v/>
      </c>
      <c r="N257" s="141" t="str">
        <f>INDEX(Tableau5[Att3],MATCH(Tableau3[[#This Row],[ID-SIG]],Tableau5[ID],0))&amp;""</f>
        <v/>
      </c>
      <c r="O257" s="99"/>
      <c r="P257" s="141" t="str">
        <f>INDEX(Tableau5[Description],MATCH(Tableau3[[#This Row],[ID-SIG]],Tableau5[ID],0))</f>
        <v>Vantail gauche fdc fermé</v>
      </c>
      <c r="Q257" s="99"/>
      <c r="R257" s="142" t="str">
        <f>Tableau3[[#This Row],[Description]]</f>
        <v>Vantail gauche fdc fermé</v>
      </c>
      <c r="S257" s="52"/>
      <c r="U257" s="87">
        <v>2</v>
      </c>
      <c r="V257" s="87">
        <v>1</v>
      </c>
      <c r="W257" s="87">
        <v>8</v>
      </c>
      <c r="X257" s="87">
        <v>7</v>
      </c>
      <c r="Y257" s="40"/>
      <c r="Z257" s="165" t="str">
        <f>INDEX(Tableau2[TS],MATCH(Tableau3[[#This Row],[ID-CARTEVOIE]],Tableau2[ID-CARTEVOIE],0))</f>
        <v>ET</v>
      </c>
      <c r="AA257" s="144" t="s">
        <v>213</v>
      </c>
      <c r="AB257" s="224" t="str">
        <f>IFERROR(INDEX(Tableau5[Reserve],MATCH(Tableau3[[#This Row],[ID-SIG]],Tableau5[ID],0))&amp;"","")</f>
        <v/>
      </c>
      <c r="AC257" s="119"/>
      <c r="AD257" s="120" t="str">
        <f>INDEX(Tableau7[Repere],MATCH(Tableau3[[#This Row],[ID-API]],Tableau7[ID-API],0))&amp;""</f>
        <v>A2</v>
      </c>
      <c r="AE257" s="120" t="str">
        <f>INDEX(Tableau1[Repere-Rack],MATCH(Tableau3[[#This Row],[ID-RACK]],Tableau1[ID-RACK],0))&amp;""</f>
        <v>R1</v>
      </c>
      <c r="AF257" s="120" t="str">
        <f>INDEX(Tableau1[Repere-Slot],MATCH(Tableau3[[#This Row],[ID-SLOT]],Tableau1[ID-SLOT],0))&amp;""</f>
        <v>S8</v>
      </c>
      <c r="AG257" s="120" t="str">
        <f>INDEX(Tableau2[Repere-Voie],MATCH(Tableau3[[#This Row],[ID-VOIE]],Tableau2[ID-Voie],0))&amp;""</f>
        <v>v7</v>
      </c>
      <c r="AH257" s="122" t="str">
        <f>Tableau3[[#This Row],[ID-API]]&amp; "." &amp;Tableau3[[#This Row],[ID-RACK]]&amp; "." &amp;Tableau3[[#This Row],[ID-SLOT]]</f>
        <v>2.1.8</v>
      </c>
      <c r="AI257" s="72" t="str">
        <f>INDEX(Tableau1[Ref-Carte],MATCH(Tableau3[[#This Row],[ID-RRS]],Tableau1[ID-RRS],0))</f>
        <v>SDI1602</v>
      </c>
      <c r="AJ257" s="72" t="str">
        <f t="array" ref="AJ257">IFERROR(INDEX(Tableau2[TS],MATCH(1,(Tableau2[Ref-Carte]=Tableau3[[#This Row],[Ref-Carte2]])*(Tableau2[ID-Voie]=Tableau3[[#This Row],[ID-VOIE]]),0)),"")</f>
        <v>ET</v>
      </c>
      <c r="AK257" s="72" t="str">
        <f>IFERROR(INDEX(Tableau2[TS],SUMPRODUCT((Tableau2[Ref-Carte]=Tableau3[[#This Row],[Ref-Carte2]])*(Tableau2[ID-Voie]=Tableau3[[#This Row],[ID-VOIE]])*ROW(Tableau2[TS]))-ROW(Tableau2[#Headers])),"")</f>
        <v>ET</v>
      </c>
      <c r="AL257" s="122" t="str">
        <f>Tableau3[[#This Row],[Ref-Carte2]]&amp;"/"&amp;Tableau3[[#This Row],[ID-VOIE]]</f>
        <v>SDI1602/7</v>
      </c>
      <c r="AM257" s="145" t="str">
        <f>INDEX(Tableau2[Borne],MATCH(Tableau3[[#This Row],[ID-CARTEVOIE]],Tableau2[ID-CARTEVOIE],0))&amp;""</f>
        <v>3A</v>
      </c>
      <c r="AN257" s="124" t="str">
        <f>Tableau3[[#This Row],[ID-API]]&amp;Tableau3[[#This Row],[ID-RACK]]&amp;Tableau3[[#This Row],[ID-SLOT]]&amp;Tableau3[[#This Row],[BORNE]]</f>
        <v>2183A</v>
      </c>
      <c r="AO257" s="125"/>
    </row>
    <row r="258" spans="1:41" ht="20.100000000000001" customHeight="1" thickTop="1" thickBot="1">
      <c r="A258" s="134"/>
      <c r="B258" s="135" t="str">
        <f>IFERROR(INDEX(Tableau4[Date],MATCH($A258,Tableau4[EVO],0)),"")</f>
        <v/>
      </c>
      <c r="C258" s="136" t="str">
        <f>IFERROR(INDEX(Tableau4[Designation],MATCH($A258,Tableau4[EVO],0)),"")</f>
        <v/>
      </c>
      <c r="D258" s="134"/>
      <c r="E258" s="137">
        <v>4</v>
      </c>
      <c r="F258" s="138">
        <v>282</v>
      </c>
      <c r="G258" s="139" t="str">
        <f>INDEX(Tableau8[Att1],MATCH(Tableau3[[#This Row],[ID-INS]],Tableau8[ID],0))&amp;""</f>
        <v>V1</v>
      </c>
      <c r="H258" s="139" t="str">
        <f>INDEX(Tableau8[Att2],MATCH(Tableau3[[#This Row],[ID-INS]],Tableau8[ID],0))&amp;""</f>
        <v>P4</v>
      </c>
      <c r="I258" s="139" t="str">
        <f>INDEX(Tableau8[Att3],MATCH(Tableau3[[#This Row],[ID-INS]],Tableau8[ID],0))&amp;""</f>
        <v>Portail P4</v>
      </c>
      <c r="J258" s="101"/>
      <c r="K258" s="167" t="str">
        <f>INDEX(Tableau8[Nom du modele],MATCH(Tableau3[[#This Row],[ID-INS]],Tableau8[ID],0))&amp;""</f>
        <v>PortailBleuHydr_1</v>
      </c>
      <c r="L258" s="141" t="str">
        <f>INDEX(Tableau5[Att1],MATCH(Tableau3[[#This Row],[ID-SIG]],Tableau5[ID],0))&amp;""</f>
        <v>Vx_GrpHydAlimDef</v>
      </c>
      <c r="M258" s="141" t="str">
        <f>INDEX(Tableau5[Att2],MATCH(Tableau3[[#This Row],[ID-SIG]],Tableau5[ID],0))&amp;""</f>
        <v/>
      </c>
      <c r="N258" s="141" t="str">
        <f>INDEX(Tableau5[Att3],MATCH(Tableau3[[#This Row],[ID-SIG]],Tableau5[ID],0))&amp;""</f>
        <v/>
      </c>
      <c r="O258" s="99"/>
      <c r="P258" s="141" t="str">
        <f>INDEX(Tableau5[Description],MATCH(Tableau3[[#This Row],[ID-SIG]],Tableau5[ID],0))</f>
        <v>Défaut alimentation groupe hydraulique</v>
      </c>
      <c r="Q258" s="99"/>
      <c r="R258" s="142" t="str">
        <f>Tableau3[[#This Row],[Description]]</f>
        <v>Défaut alimentation groupe hydraulique</v>
      </c>
      <c r="S258" s="52"/>
      <c r="U258" s="87">
        <v>2</v>
      </c>
      <c r="V258" s="87">
        <v>1</v>
      </c>
      <c r="W258" s="87">
        <v>8</v>
      </c>
      <c r="X258" s="87">
        <v>8</v>
      </c>
      <c r="Y258" s="40"/>
      <c r="Z258" s="165" t="str">
        <f>INDEX(Tableau2[TS],MATCH(Tableau3[[#This Row],[ID-CARTEVOIE]],Tableau2[ID-CARTEVOIE],0))</f>
        <v>ET</v>
      </c>
      <c r="AA258" s="144" t="s">
        <v>213</v>
      </c>
      <c r="AB258" s="224" t="str">
        <f>IFERROR(INDEX(Tableau5[Reserve],MATCH(Tableau3[[#This Row],[ID-SIG]],Tableau5[ID],0))&amp;"","")</f>
        <v/>
      </c>
      <c r="AC258" s="119"/>
      <c r="AD258" s="120" t="str">
        <f>INDEX(Tableau7[Repere],MATCH(Tableau3[[#This Row],[ID-API]],Tableau7[ID-API],0))&amp;""</f>
        <v>A2</v>
      </c>
      <c r="AE258" s="120" t="str">
        <f>INDEX(Tableau1[Repere-Rack],MATCH(Tableau3[[#This Row],[ID-RACK]],Tableau1[ID-RACK],0))&amp;""</f>
        <v>R1</v>
      </c>
      <c r="AF258" s="120" t="str">
        <f>INDEX(Tableau1[Repere-Slot],MATCH(Tableau3[[#This Row],[ID-SLOT]],Tableau1[ID-SLOT],0))&amp;""</f>
        <v>S8</v>
      </c>
      <c r="AG258" s="120" t="str">
        <f>INDEX(Tableau2[Repere-Voie],MATCH(Tableau3[[#This Row],[ID-VOIE]],Tableau2[ID-Voie],0))&amp;""</f>
        <v>v8</v>
      </c>
      <c r="AH258" s="122" t="str">
        <f>Tableau3[[#This Row],[ID-API]]&amp; "." &amp;Tableau3[[#This Row],[ID-RACK]]&amp; "." &amp;Tableau3[[#This Row],[ID-SLOT]]</f>
        <v>2.1.8</v>
      </c>
      <c r="AI258" s="72" t="str">
        <f>INDEX(Tableau1[Ref-Carte],MATCH(Tableau3[[#This Row],[ID-RRS]],Tableau1[ID-RRS],0))</f>
        <v>SDI1602</v>
      </c>
      <c r="AJ258" s="72" t="str">
        <f t="array" ref="AJ258">IFERROR(INDEX(Tableau2[TS],MATCH(1,(Tableau2[Ref-Carte]=Tableau3[[#This Row],[Ref-Carte2]])*(Tableau2[ID-Voie]=Tableau3[[#This Row],[ID-VOIE]]),0)),"")</f>
        <v>ET</v>
      </c>
      <c r="AK258" s="72" t="str">
        <f>IFERROR(INDEX(Tableau2[TS],SUMPRODUCT((Tableau2[Ref-Carte]=Tableau3[[#This Row],[Ref-Carte2]])*(Tableau2[ID-Voie]=Tableau3[[#This Row],[ID-VOIE]])*ROW(Tableau2[TS]))-ROW(Tableau2[#Headers])),"")</f>
        <v>ET</v>
      </c>
      <c r="AL258" s="122" t="str">
        <f>Tableau3[[#This Row],[Ref-Carte2]]&amp;"/"&amp;Tableau3[[#This Row],[ID-VOIE]]</f>
        <v>SDI1602/8</v>
      </c>
      <c r="AM258" s="145" t="str">
        <f>INDEX(Tableau2[Borne],MATCH(Tableau3[[#This Row],[ID-CARTEVOIE]],Tableau2[ID-CARTEVOIE],0))&amp;""</f>
        <v>4B</v>
      </c>
      <c r="AN258" s="124" t="str">
        <f>Tableau3[[#This Row],[ID-API]]&amp;Tableau3[[#This Row],[ID-RACK]]&amp;Tableau3[[#This Row],[ID-SLOT]]&amp;Tableau3[[#This Row],[BORNE]]</f>
        <v>2184B</v>
      </c>
      <c r="AO258" s="125"/>
    </row>
    <row r="259" spans="1:41" ht="20.100000000000001" customHeight="1" thickTop="1" thickBot="1">
      <c r="A259" s="134"/>
      <c r="B259" s="135" t="str">
        <f>IFERROR(INDEX(Tableau4[Date],MATCH($A259,Tableau4[EVO],0)),"")</f>
        <v/>
      </c>
      <c r="C259" s="136" t="str">
        <f>IFERROR(INDEX(Tableau4[Designation],MATCH($A259,Tableau4[EVO],0)),"")</f>
        <v/>
      </c>
      <c r="D259" s="134"/>
      <c r="E259" s="137">
        <v>4</v>
      </c>
      <c r="F259" s="138">
        <v>283</v>
      </c>
      <c r="G259" s="139" t="str">
        <f>INDEX(Tableau8[Att1],MATCH(Tableau3[[#This Row],[ID-INS]],Tableau8[ID],0))&amp;""</f>
        <v>V1</v>
      </c>
      <c r="H259" s="139" t="str">
        <f>INDEX(Tableau8[Att2],MATCH(Tableau3[[#This Row],[ID-INS]],Tableau8[ID],0))&amp;""</f>
        <v>P4</v>
      </c>
      <c r="I259" s="139" t="str">
        <f>INDEX(Tableau8[Att3],MATCH(Tableau3[[#This Row],[ID-INS]],Tableau8[ID],0))&amp;""</f>
        <v>Portail P4</v>
      </c>
      <c r="J259" s="101"/>
      <c r="K259" s="167" t="str">
        <f>INDEX(Tableau8[Nom du modele],MATCH(Tableau3[[#This Row],[ID-INS]],Tableau8[ID],0))&amp;""</f>
        <v>PortailBleuHydr_1</v>
      </c>
      <c r="L259" s="141" t="str">
        <f>INDEX(Tableau5[Att1],MATCH(Tableau3[[#This Row],[ID-SIG]],Tableau5[ID],0))&amp;""</f>
        <v>V_GrpHydRet1</v>
      </c>
      <c r="M259" s="141" t="str">
        <f>INDEX(Tableau5[Att2],MATCH(Tableau3[[#This Row],[ID-SIG]],Tableau5[ID],0))&amp;""</f>
        <v/>
      </c>
      <c r="N259" s="141" t="str">
        <f>INDEX(Tableau5[Att3],MATCH(Tableau3[[#This Row],[ID-SIG]],Tableau5[ID],0))&amp;""</f>
        <v/>
      </c>
      <c r="O259" s="99"/>
      <c r="P259" s="141" t="str">
        <f>INDEX(Tableau5[Description],MATCH(Tableau3[[#This Row],[ID-SIG]],Tableau5[ID],0))</f>
        <v>Retour Commande 1 marche groupe hydr</v>
      </c>
      <c r="Q259" s="99"/>
      <c r="R259" s="142" t="str">
        <f>Tableau3[[#This Row],[Description]]</f>
        <v>Retour Commande 1 marche groupe hydr</v>
      </c>
      <c r="S259" s="52"/>
      <c r="U259" s="87">
        <v>2</v>
      </c>
      <c r="V259" s="87">
        <v>1</v>
      </c>
      <c r="W259" s="87">
        <v>8</v>
      </c>
      <c r="X259" s="87">
        <v>9</v>
      </c>
      <c r="Y259" s="40"/>
      <c r="Z259" s="165" t="str">
        <f>INDEX(Tableau2[TS],MATCH(Tableau3[[#This Row],[ID-CARTEVOIE]],Tableau2[ID-CARTEVOIE],0))</f>
        <v>ET</v>
      </c>
      <c r="AA259" s="144" t="s">
        <v>213</v>
      </c>
      <c r="AB259" s="224" t="str">
        <f>IFERROR(INDEX(Tableau5[Reserve],MATCH(Tableau3[[#This Row],[ID-SIG]],Tableau5[ID],0))&amp;"","")</f>
        <v/>
      </c>
      <c r="AC259" s="119"/>
      <c r="AD259" s="120" t="str">
        <f>INDEX(Tableau7[Repere],MATCH(Tableau3[[#This Row],[ID-API]],Tableau7[ID-API],0))&amp;""</f>
        <v>A2</v>
      </c>
      <c r="AE259" s="120" t="str">
        <f>INDEX(Tableau1[Repere-Rack],MATCH(Tableau3[[#This Row],[ID-RACK]],Tableau1[ID-RACK],0))&amp;""</f>
        <v>R1</v>
      </c>
      <c r="AF259" s="120" t="str">
        <f>INDEX(Tableau1[Repere-Slot],MATCH(Tableau3[[#This Row],[ID-SLOT]],Tableau1[ID-SLOT],0))&amp;""</f>
        <v>S8</v>
      </c>
      <c r="AG259" s="120" t="str">
        <f>INDEX(Tableau2[Repere-Voie],MATCH(Tableau3[[#This Row],[ID-VOIE]],Tableau2[ID-Voie],0))&amp;""</f>
        <v>v9</v>
      </c>
      <c r="AH259" s="122" t="str">
        <f>Tableau3[[#This Row],[ID-API]]&amp; "." &amp;Tableau3[[#This Row],[ID-RACK]]&amp; "." &amp;Tableau3[[#This Row],[ID-SLOT]]</f>
        <v>2.1.8</v>
      </c>
      <c r="AI259" s="72" t="str">
        <f>INDEX(Tableau1[Ref-Carte],MATCH(Tableau3[[#This Row],[ID-RRS]],Tableau1[ID-RRS],0))</f>
        <v>SDI1602</v>
      </c>
      <c r="AJ259" s="72" t="str">
        <f t="array" ref="AJ259">IFERROR(INDEX(Tableau2[TS],MATCH(1,(Tableau2[Ref-Carte]=Tableau3[[#This Row],[Ref-Carte2]])*(Tableau2[ID-Voie]=Tableau3[[#This Row],[ID-VOIE]]),0)),"")</f>
        <v>ET</v>
      </c>
      <c r="AK259" s="72" t="str">
        <f>IFERROR(INDEX(Tableau2[TS],SUMPRODUCT((Tableau2[Ref-Carte]=Tableau3[[#This Row],[Ref-Carte2]])*(Tableau2[ID-Voie]=Tableau3[[#This Row],[ID-VOIE]])*ROW(Tableau2[TS]))-ROW(Tableau2[#Headers])),"")</f>
        <v>ET</v>
      </c>
      <c r="AL259" s="122" t="str">
        <f>Tableau3[[#This Row],[Ref-Carte2]]&amp;"/"&amp;Tableau3[[#This Row],[ID-VOIE]]</f>
        <v>SDI1602/9</v>
      </c>
      <c r="AM259" s="145" t="str">
        <f>INDEX(Tableau2[Borne],MATCH(Tableau3[[#This Row],[ID-CARTEVOIE]],Tableau2[ID-CARTEVOIE],0))&amp;""</f>
        <v>4A</v>
      </c>
      <c r="AN259" s="124" t="str">
        <f>Tableau3[[#This Row],[ID-API]]&amp;Tableau3[[#This Row],[ID-RACK]]&amp;Tableau3[[#This Row],[ID-SLOT]]&amp;Tableau3[[#This Row],[BORNE]]</f>
        <v>2184A</v>
      </c>
      <c r="AO259" s="125"/>
    </row>
    <row r="260" spans="1:41" ht="20.100000000000001" customHeight="1" thickTop="1" thickBot="1">
      <c r="A260" s="134"/>
      <c r="B260" s="135" t="str">
        <f>IFERROR(INDEX(Tableau4[Date],MATCH($A260,Tableau4[EVO],0)),"")</f>
        <v/>
      </c>
      <c r="C260" s="136" t="str">
        <f>IFERROR(INDEX(Tableau4[Designation],MATCH($A260,Tableau4[EVO],0)),"")</f>
        <v/>
      </c>
      <c r="D260" s="134"/>
      <c r="E260" s="137">
        <v>4</v>
      </c>
      <c r="F260" s="138">
        <v>284</v>
      </c>
      <c r="G260" s="139" t="str">
        <f>INDEX(Tableau8[Att1],MATCH(Tableau3[[#This Row],[ID-INS]],Tableau8[ID],0))&amp;""</f>
        <v>V1</v>
      </c>
      <c r="H260" s="139" t="str">
        <f>INDEX(Tableau8[Att2],MATCH(Tableau3[[#This Row],[ID-INS]],Tableau8[ID],0))&amp;""</f>
        <v>P4</v>
      </c>
      <c r="I260" s="139" t="str">
        <f>INDEX(Tableau8[Att3],MATCH(Tableau3[[#This Row],[ID-INS]],Tableau8[ID],0))&amp;""</f>
        <v>Portail P4</v>
      </c>
      <c r="J260" s="101"/>
      <c r="K260" s="167" t="str">
        <f>INDEX(Tableau8[Nom du modele],MATCH(Tableau3[[#This Row],[ID-INS]],Tableau8[ID],0))&amp;""</f>
        <v>PortailBleuHydr_1</v>
      </c>
      <c r="L260" s="141" t="str">
        <f>INDEX(Tableau5[Att1],MATCH(Tableau3[[#This Row],[ID-SIG]],Tableau5[ID],0))&amp;""</f>
        <v>VD_BandeP</v>
      </c>
      <c r="M260" s="141" t="str">
        <f>INDEX(Tableau5[Att2],MATCH(Tableau3[[#This Row],[ID-SIG]],Tableau5[ID],0))&amp;""</f>
        <v/>
      </c>
      <c r="N260" s="141" t="str">
        <f>INDEX(Tableau5[Att3],MATCH(Tableau3[[#This Row],[ID-SIG]],Tableau5[ID],0))&amp;""</f>
        <v/>
      </c>
      <c r="O260" s="99"/>
      <c r="P260" s="141" t="str">
        <f>INDEX(Tableau5[Description],MATCH(Tableau3[[#This Row],[ID-SIG]],Tableau5[ID],0))</f>
        <v>Bande palpeuse droite à la fermeture</v>
      </c>
      <c r="Q260" s="99"/>
      <c r="R260" s="142" t="str">
        <f>Tableau3[[#This Row],[Description]]</f>
        <v>Bande palpeuse droite à la fermeture</v>
      </c>
      <c r="S260" s="52"/>
      <c r="U260" s="87">
        <v>2</v>
      </c>
      <c r="V260" s="87">
        <v>1</v>
      </c>
      <c r="W260" s="87">
        <v>8</v>
      </c>
      <c r="X260" s="87">
        <v>10</v>
      </c>
      <c r="Y260" s="40"/>
      <c r="Z260" s="165" t="str">
        <f>INDEX(Tableau2[TS],MATCH(Tableau3[[#This Row],[ID-CARTEVOIE]],Tableau2[ID-CARTEVOIE],0))</f>
        <v>ET</v>
      </c>
      <c r="AA260" s="144" t="s">
        <v>213</v>
      </c>
      <c r="AB260" s="224" t="str">
        <f>IFERROR(INDEX(Tableau5[Reserve],MATCH(Tableau3[[#This Row],[ID-SIG]],Tableau5[ID],0))&amp;"","")</f>
        <v/>
      </c>
      <c r="AC260" s="119"/>
      <c r="AD260" s="120" t="str">
        <f>INDEX(Tableau7[Repere],MATCH(Tableau3[[#This Row],[ID-API]],Tableau7[ID-API],0))&amp;""</f>
        <v>A2</v>
      </c>
      <c r="AE260" s="120" t="str">
        <f>INDEX(Tableau1[Repere-Rack],MATCH(Tableau3[[#This Row],[ID-RACK]],Tableau1[ID-RACK],0))&amp;""</f>
        <v>R1</v>
      </c>
      <c r="AF260" s="120" t="str">
        <f>INDEX(Tableau1[Repere-Slot],MATCH(Tableau3[[#This Row],[ID-SLOT]],Tableau1[ID-SLOT],0))&amp;""</f>
        <v>S8</v>
      </c>
      <c r="AG260" s="120" t="str">
        <f>INDEX(Tableau2[Repere-Voie],MATCH(Tableau3[[#This Row],[ID-VOIE]],Tableau2[ID-Voie],0))&amp;""</f>
        <v>v10</v>
      </c>
      <c r="AH260" s="122" t="str">
        <f>Tableau3[[#This Row],[ID-API]]&amp; "." &amp;Tableau3[[#This Row],[ID-RACK]]&amp; "." &amp;Tableau3[[#This Row],[ID-SLOT]]</f>
        <v>2.1.8</v>
      </c>
      <c r="AI260" s="72" t="str">
        <f>INDEX(Tableau1[Ref-Carte],MATCH(Tableau3[[#This Row],[ID-RRS]],Tableau1[ID-RRS],0))</f>
        <v>SDI1602</v>
      </c>
      <c r="AJ260" s="72" t="str">
        <f t="array" ref="AJ260">IFERROR(INDEX(Tableau2[TS],MATCH(1,(Tableau2[Ref-Carte]=Tableau3[[#This Row],[Ref-Carte2]])*(Tableau2[ID-Voie]=Tableau3[[#This Row],[ID-VOIE]]),0)),"")</f>
        <v>ET</v>
      </c>
      <c r="AK260" s="72" t="str">
        <f>IFERROR(INDEX(Tableau2[TS],SUMPRODUCT((Tableau2[Ref-Carte]=Tableau3[[#This Row],[Ref-Carte2]])*(Tableau2[ID-Voie]=Tableau3[[#This Row],[ID-VOIE]])*ROW(Tableau2[TS]))-ROW(Tableau2[#Headers])),"")</f>
        <v>ET</v>
      </c>
      <c r="AL260" s="122" t="str">
        <f>Tableau3[[#This Row],[Ref-Carte2]]&amp;"/"&amp;Tableau3[[#This Row],[ID-VOIE]]</f>
        <v>SDI1602/10</v>
      </c>
      <c r="AM260" s="145" t="str">
        <f>INDEX(Tableau2[Borne],MATCH(Tableau3[[#This Row],[ID-CARTEVOIE]],Tableau2[ID-CARTEVOIE],0))&amp;""</f>
        <v>5B</v>
      </c>
      <c r="AN260" s="124" t="str">
        <f>Tableau3[[#This Row],[ID-API]]&amp;Tableau3[[#This Row],[ID-RACK]]&amp;Tableau3[[#This Row],[ID-SLOT]]&amp;Tableau3[[#This Row],[BORNE]]</f>
        <v>2185B</v>
      </c>
      <c r="AO260" s="125"/>
    </row>
    <row r="261" spans="1:41" ht="20.100000000000001" customHeight="1" thickTop="1" thickBot="1">
      <c r="A261" s="134"/>
      <c r="B261" s="135" t="str">
        <f>IFERROR(INDEX(Tableau4[Date],MATCH($A261,Tableau4[EVO],0)),"")</f>
        <v/>
      </c>
      <c r="C261" s="136" t="str">
        <f>IFERROR(INDEX(Tableau4[Designation],MATCH($A261,Tableau4[EVO],0)),"")</f>
        <v/>
      </c>
      <c r="D261" s="134"/>
      <c r="E261" s="137">
        <v>4</v>
      </c>
      <c r="F261" s="138">
        <v>285</v>
      </c>
      <c r="G261" s="139" t="str">
        <f>INDEX(Tableau8[Att1],MATCH(Tableau3[[#This Row],[ID-INS]],Tableau8[ID],0))&amp;""</f>
        <v>V1</v>
      </c>
      <c r="H261" s="139" t="str">
        <f>INDEX(Tableau8[Att2],MATCH(Tableau3[[#This Row],[ID-INS]],Tableau8[ID],0))&amp;""</f>
        <v>P4</v>
      </c>
      <c r="I261" s="139" t="str">
        <f>INDEX(Tableau8[Att3],MATCH(Tableau3[[#This Row],[ID-INS]],Tableau8[ID],0))&amp;""</f>
        <v>Portail P4</v>
      </c>
      <c r="J261" s="101"/>
      <c r="K261" s="167" t="str">
        <f>INDEX(Tableau8[Nom du modele],MATCH(Tableau3[[#This Row],[ID-INS]],Tableau8[ID],0))&amp;""</f>
        <v>PortailBleuHydr_1</v>
      </c>
      <c r="L261" s="141" t="str">
        <f>INDEX(Tableau5[Att1],MATCH(Tableau3[[#This Row],[ID-SIG]],Tableau5[ID],0))&amp;""</f>
        <v>VG_BandeP</v>
      </c>
      <c r="M261" s="141" t="str">
        <f>INDEX(Tableau5[Att2],MATCH(Tableau3[[#This Row],[ID-SIG]],Tableau5[ID],0))&amp;""</f>
        <v/>
      </c>
      <c r="N261" s="141" t="str">
        <f>INDEX(Tableau5[Att3],MATCH(Tableau3[[#This Row],[ID-SIG]],Tableau5[ID],0))&amp;""</f>
        <v/>
      </c>
      <c r="O261" s="99"/>
      <c r="P261" s="141" t="str">
        <f>INDEX(Tableau5[Description],MATCH(Tableau3[[#This Row],[ID-SIG]],Tableau5[ID],0))</f>
        <v>Bande palpeuse gauche à la fermeture</v>
      </c>
      <c r="Q261" s="99"/>
      <c r="R261" s="142" t="str">
        <f>Tableau3[[#This Row],[Description]]</f>
        <v>Bande palpeuse gauche à la fermeture</v>
      </c>
      <c r="S261" s="52"/>
      <c r="U261" s="87">
        <v>2</v>
      </c>
      <c r="V261" s="87">
        <v>1</v>
      </c>
      <c r="W261" s="87">
        <v>8</v>
      </c>
      <c r="X261" s="87">
        <v>11</v>
      </c>
      <c r="Y261" s="40"/>
      <c r="Z261" s="165" t="str">
        <f>INDEX(Tableau2[TS],MATCH(Tableau3[[#This Row],[ID-CARTEVOIE]],Tableau2[ID-CARTEVOIE],0))</f>
        <v>ET</v>
      </c>
      <c r="AA261" s="144" t="s">
        <v>213</v>
      </c>
      <c r="AB261" s="224" t="str">
        <f>IFERROR(INDEX(Tableau5[Reserve],MATCH(Tableau3[[#This Row],[ID-SIG]],Tableau5[ID],0))&amp;"","")</f>
        <v/>
      </c>
      <c r="AC261" s="119"/>
      <c r="AD261" s="120" t="str">
        <f>INDEX(Tableau7[Repere],MATCH(Tableau3[[#This Row],[ID-API]],Tableau7[ID-API],0))&amp;""</f>
        <v>A2</v>
      </c>
      <c r="AE261" s="120" t="str">
        <f>INDEX(Tableau1[Repere-Rack],MATCH(Tableau3[[#This Row],[ID-RACK]],Tableau1[ID-RACK],0))&amp;""</f>
        <v>R1</v>
      </c>
      <c r="AF261" s="120" t="str">
        <f>INDEX(Tableau1[Repere-Slot],MATCH(Tableau3[[#This Row],[ID-SLOT]],Tableau1[ID-SLOT],0))&amp;""</f>
        <v>S8</v>
      </c>
      <c r="AG261" s="120" t="str">
        <f>INDEX(Tableau2[Repere-Voie],MATCH(Tableau3[[#This Row],[ID-VOIE]],Tableau2[ID-Voie],0))&amp;""</f>
        <v>v11</v>
      </c>
      <c r="AH261" s="122" t="str">
        <f>Tableau3[[#This Row],[ID-API]]&amp; "." &amp;Tableau3[[#This Row],[ID-RACK]]&amp; "." &amp;Tableau3[[#This Row],[ID-SLOT]]</f>
        <v>2.1.8</v>
      </c>
      <c r="AI261" s="72" t="str">
        <f>INDEX(Tableau1[Ref-Carte],MATCH(Tableau3[[#This Row],[ID-RRS]],Tableau1[ID-RRS],0))</f>
        <v>SDI1602</v>
      </c>
      <c r="AJ261" s="72" t="str">
        <f t="array" ref="AJ261">IFERROR(INDEX(Tableau2[TS],MATCH(1,(Tableau2[Ref-Carte]=Tableau3[[#This Row],[Ref-Carte2]])*(Tableau2[ID-Voie]=Tableau3[[#This Row],[ID-VOIE]]),0)),"")</f>
        <v>ET</v>
      </c>
      <c r="AK261" s="72" t="str">
        <f>IFERROR(INDEX(Tableau2[TS],SUMPRODUCT((Tableau2[Ref-Carte]=Tableau3[[#This Row],[Ref-Carte2]])*(Tableau2[ID-Voie]=Tableau3[[#This Row],[ID-VOIE]])*ROW(Tableau2[TS]))-ROW(Tableau2[#Headers])),"")</f>
        <v>ET</v>
      </c>
      <c r="AL261" s="122" t="str">
        <f>Tableau3[[#This Row],[Ref-Carte2]]&amp;"/"&amp;Tableau3[[#This Row],[ID-VOIE]]</f>
        <v>SDI1602/11</v>
      </c>
      <c r="AM261" s="145" t="str">
        <f>INDEX(Tableau2[Borne],MATCH(Tableau3[[#This Row],[ID-CARTEVOIE]],Tableau2[ID-CARTEVOIE],0))&amp;""</f>
        <v>5A</v>
      </c>
      <c r="AN261" s="124" t="str">
        <f>Tableau3[[#This Row],[ID-API]]&amp;Tableau3[[#This Row],[ID-RACK]]&amp;Tableau3[[#This Row],[ID-SLOT]]&amp;Tableau3[[#This Row],[BORNE]]</f>
        <v>2185A</v>
      </c>
      <c r="AO261" s="125"/>
    </row>
    <row r="262" spans="1:41" ht="20.100000000000001" customHeight="1" thickTop="1" thickBot="1">
      <c r="A262" s="134"/>
      <c r="B262" s="135" t="str">
        <f>IFERROR(INDEX(Tableau4[Date],MATCH($A262,Tableau4[EVO],0)),"")</f>
        <v/>
      </c>
      <c r="C262" s="136" t="str">
        <f>IFERROR(INDEX(Tableau4[Designation],MATCH($A262,Tableau4[EVO],0)),"")</f>
        <v/>
      </c>
      <c r="D262" s="134"/>
      <c r="E262" s="137">
        <v>4</v>
      </c>
      <c r="F262" s="138">
        <v>286</v>
      </c>
      <c r="G262" s="139" t="str">
        <f>INDEX(Tableau8[Att1],MATCH(Tableau3[[#This Row],[ID-INS]],Tableau8[ID],0))&amp;""</f>
        <v>V1</v>
      </c>
      <c r="H262" s="139" t="str">
        <f>INDEX(Tableau8[Att2],MATCH(Tableau3[[#This Row],[ID-INS]],Tableau8[ID],0))&amp;""</f>
        <v>P4</v>
      </c>
      <c r="I262" s="139" t="str">
        <f>INDEX(Tableau8[Att3],MATCH(Tableau3[[#This Row],[ID-INS]],Tableau8[ID],0))&amp;""</f>
        <v>Portail P4</v>
      </c>
      <c r="J262" s="101"/>
      <c r="K262" s="167" t="str">
        <f>INDEX(Tableau8[Nom du modele],MATCH(Tableau3[[#This Row],[ID-INS]],Tableau8[ID],0))&amp;""</f>
        <v>PortailBleuHydr_1</v>
      </c>
      <c r="L262" s="141" t="str">
        <f>INDEX(Tableau5[Att1],MATCH(Tableau3[[#This Row],[ID-SIG]],Tableau5[ID],0))&amp;""</f>
        <v>Vx_CellInfraInt</v>
      </c>
      <c r="M262" s="141" t="str">
        <f>INDEX(Tableau5[Att2],MATCH(Tableau3[[#This Row],[ID-SIG]],Tableau5[ID],0))&amp;""</f>
        <v/>
      </c>
      <c r="N262" s="141" t="str">
        <f>INDEX(Tableau5[Att3],MATCH(Tableau3[[#This Row],[ID-SIG]],Tableau5[ID],0))&amp;""</f>
        <v/>
      </c>
      <c r="O262" s="99"/>
      <c r="P262" s="141" t="s">
        <v>1677</v>
      </c>
      <c r="Q262" s="99"/>
      <c r="R262" s="142" t="str">
        <f>Tableau3[[#This Row],[Description]]</f>
        <v>TEA92</v>
      </c>
      <c r="S262" s="52"/>
      <c r="U262" s="87">
        <v>2</v>
      </c>
      <c r="V262" s="87">
        <v>1</v>
      </c>
      <c r="W262" s="87">
        <v>8</v>
      </c>
      <c r="X262" s="87">
        <v>12</v>
      </c>
      <c r="Y262" s="40"/>
      <c r="Z262" s="165" t="str">
        <f>INDEX(Tableau2[TS],MATCH(Tableau3[[#This Row],[ID-CARTEVOIE]],Tableau2[ID-CARTEVOIE],0))</f>
        <v>ET</v>
      </c>
      <c r="AA262" s="144" t="s">
        <v>213</v>
      </c>
      <c r="AB262" s="224" t="str">
        <f>IFERROR(INDEX(Tableau5[Reserve],MATCH(Tableau3[[#This Row],[ID-SIG]],Tableau5[ID],0))&amp;"","")</f>
        <v/>
      </c>
      <c r="AC262" s="119"/>
      <c r="AD262" s="120" t="str">
        <f>INDEX(Tableau7[Repere],MATCH(Tableau3[[#This Row],[ID-API]],Tableau7[ID-API],0))&amp;""</f>
        <v>A2</v>
      </c>
      <c r="AE262" s="120" t="str">
        <f>INDEX(Tableau1[Repere-Rack],MATCH(Tableau3[[#This Row],[ID-RACK]],Tableau1[ID-RACK],0))&amp;""</f>
        <v>R1</v>
      </c>
      <c r="AF262" s="120" t="str">
        <f>INDEX(Tableau1[Repere-Slot],MATCH(Tableau3[[#This Row],[ID-SLOT]],Tableau1[ID-SLOT],0))&amp;""</f>
        <v>S8</v>
      </c>
      <c r="AG262" s="120" t="str">
        <f>INDEX(Tableau2[Repere-Voie],MATCH(Tableau3[[#This Row],[ID-VOIE]],Tableau2[ID-Voie],0))&amp;""</f>
        <v>v12</v>
      </c>
      <c r="AH262" s="122" t="str">
        <f>Tableau3[[#This Row],[ID-API]]&amp; "." &amp;Tableau3[[#This Row],[ID-RACK]]&amp; "." &amp;Tableau3[[#This Row],[ID-SLOT]]</f>
        <v>2.1.8</v>
      </c>
      <c r="AI262" s="72" t="str">
        <f>INDEX(Tableau1[Ref-Carte],MATCH(Tableau3[[#This Row],[ID-RRS]],Tableau1[ID-RRS],0))</f>
        <v>SDI1602</v>
      </c>
      <c r="AJ262" s="72" t="str">
        <f t="array" ref="AJ262">IFERROR(INDEX(Tableau2[TS],MATCH(1,(Tableau2[Ref-Carte]=Tableau3[[#This Row],[Ref-Carte2]])*(Tableau2[ID-Voie]=Tableau3[[#This Row],[ID-VOIE]]),0)),"")</f>
        <v>ET</v>
      </c>
      <c r="AK262" s="72" t="str">
        <f>IFERROR(INDEX(Tableau2[TS],SUMPRODUCT((Tableau2[Ref-Carte]=Tableau3[[#This Row],[Ref-Carte2]])*(Tableau2[ID-Voie]=Tableau3[[#This Row],[ID-VOIE]])*ROW(Tableau2[TS]))-ROW(Tableau2[#Headers])),"")</f>
        <v>ET</v>
      </c>
      <c r="AL262" s="122" t="str">
        <f>Tableau3[[#This Row],[Ref-Carte2]]&amp;"/"&amp;Tableau3[[#This Row],[ID-VOIE]]</f>
        <v>SDI1602/12</v>
      </c>
      <c r="AM262" s="145" t="str">
        <f>INDEX(Tableau2[Borne],MATCH(Tableau3[[#This Row],[ID-CARTEVOIE]],Tableau2[ID-CARTEVOIE],0))&amp;""</f>
        <v>6B</v>
      </c>
      <c r="AN262" s="124" t="str">
        <f>Tableau3[[#This Row],[ID-API]]&amp;Tableau3[[#This Row],[ID-RACK]]&amp;Tableau3[[#This Row],[ID-SLOT]]&amp;Tableau3[[#This Row],[BORNE]]</f>
        <v>2186B</v>
      </c>
      <c r="AO262" s="125"/>
    </row>
    <row r="263" spans="1:41" ht="20.100000000000001" customHeight="1" thickTop="1" thickBot="1">
      <c r="A263" s="134"/>
      <c r="B263" s="135" t="str">
        <f>IFERROR(INDEX(Tableau4[Date],MATCH($A263,Tableau4[EVO],0)),"")</f>
        <v/>
      </c>
      <c r="C263" s="136" t="str">
        <f>IFERROR(INDEX(Tableau4[Designation],MATCH($A263,Tableau4[EVO],0)),"")</f>
        <v/>
      </c>
      <c r="D263" s="134"/>
      <c r="E263" s="137">
        <v>4</v>
      </c>
      <c r="F263" s="138">
        <v>287</v>
      </c>
      <c r="G263" s="139" t="str">
        <f>INDEX(Tableau8[Att1],MATCH(Tableau3[[#This Row],[ID-INS]],Tableau8[ID],0))&amp;""</f>
        <v>V1</v>
      </c>
      <c r="H263" s="139" t="str">
        <f>INDEX(Tableau8[Att2],MATCH(Tableau3[[#This Row],[ID-INS]],Tableau8[ID],0))&amp;""</f>
        <v>P4</v>
      </c>
      <c r="I263" s="139" t="str">
        <f>INDEX(Tableau8[Att3],MATCH(Tableau3[[#This Row],[ID-INS]],Tableau8[ID],0))&amp;""</f>
        <v>Portail P4</v>
      </c>
      <c r="J263" s="101"/>
      <c r="K263" s="167" t="str">
        <f>INDEX(Tableau8[Nom du modele],MATCH(Tableau3[[#This Row],[ID-INS]],Tableau8[ID],0))&amp;""</f>
        <v>PortailBleuHydr_1</v>
      </c>
      <c r="L263" s="141" t="str">
        <f>INDEX(Tableau5[Att1],MATCH(Tableau3[[#This Row],[ID-SIG]],Tableau5[ID],0))&amp;""</f>
        <v>Vx_CellInfraExt</v>
      </c>
      <c r="M263" s="141" t="str">
        <f>INDEX(Tableau5[Att2],MATCH(Tableau3[[#This Row],[ID-SIG]],Tableau5[ID],0))&amp;""</f>
        <v/>
      </c>
      <c r="N263" s="141" t="str">
        <f>INDEX(Tableau5[Att3],MATCH(Tableau3[[#This Row],[ID-SIG]],Tableau5[ID],0))&amp;""</f>
        <v/>
      </c>
      <c r="O263" s="99"/>
      <c r="P263" s="141" t="s">
        <v>1678</v>
      </c>
      <c r="Q263" s="99"/>
      <c r="R263" s="142" t="str">
        <f>Tableau3[[#This Row],[Description]]</f>
        <v>TEA93</v>
      </c>
      <c r="S263" s="52"/>
      <c r="U263" s="87">
        <v>2</v>
      </c>
      <c r="V263" s="87">
        <v>1</v>
      </c>
      <c r="W263" s="87">
        <v>8</v>
      </c>
      <c r="X263" s="87">
        <v>13</v>
      </c>
      <c r="Y263" s="40"/>
      <c r="Z263" s="165" t="str">
        <f>INDEX(Tableau2[TS],MATCH(Tableau3[[#This Row],[ID-CARTEVOIE]],Tableau2[ID-CARTEVOIE],0))</f>
        <v>ET</v>
      </c>
      <c r="AA263" s="144" t="s">
        <v>213</v>
      </c>
      <c r="AB263" s="224" t="str">
        <f>IFERROR(INDEX(Tableau5[Reserve],MATCH(Tableau3[[#This Row],[ID-SIG]],Tableau5[ID],0))&amp;"","")</f>
        <v/>
      </c>
      <c r="AC263" s="119"/>
      <c r="AD263" s="120" t="str">
        <f>INDEX(Tableau7[Repere],MATCH(Tableau3[[#This Row],[ID-API]],Tableau7[ID-API],0))&amp;""</f>
        <v>A2</v>
      </c>
      <c r="AE263" s="120" t="str">
        <f>INDEX(Tableau1[Repere-Rack],MATCH(Tableau3[[#This Row],[ID-RACK]],Tableau1[ID-RACK],0))&amp;""</f>
        <v>R1</v>
      </c>
      <c r="AF263" s="120" t="str">
        <f>INDEX(Tableau1[Repere-Slot],MATCH(Tableau3[[#This Row],[ID-SLOT]],Tableau1[ID-SLOT],0))&amp;""</f>
        <v>S8</v>
      </c>
      <c r="AG263" s="120" t="str">
        <f>INDEX(Tableau2[Repere-Voie],MATCH(Tableau3[[#This Row],[ID-VOIE]],Tableau2[ID-Voie],0))&amp;""</f>
        <v>v13</v>
      </c>
      <c r="AH263" s="122" t="str">
        <f>Tableau3[[#This Row],[ID-API]]&amp; "." &amp;Tableau3[[#This Row],[ID-RACK]]&amp; "." &amp;Tableau3[[#This Row],[ID-SLOT]]</f>
        <v>2.1.8</v>
      </c>
      <c r="AI263" s="72" t="str">
        <f>INDEX(Tableau1[Ref-Carte],MATCH(Tableau3[[#This Row],[ID-RRS]],Tableau1[ID-RRS],0))</f>
        <v>SDI1602</v>
      </c>
      <c r="AJ263" s="72" t="str">
        <f t="array" ref="AJ263">IFERROR(INDEX(Tableau2[TS],MATCH(1,(Tableau2[Ref-Carte]=Tableau3[[#This Row],[Ref-Carte2]])*(Tableau2[ID-Voie]=Tableau3[[#This Row],[ID-VOIE]]),0)),"")</f>
        <v>ET</v>
      </c>
      <c r="AK263" s="72" t="str">
        <f>IFERROR(INDEX(Tableau2[TS],SUMPRODUCT((Tableau2[Ref-Carte]=Tableau3[[#This Row],[Ref-Carte2]])*(Tableau2[ID-Voie]=Tableau3[[#This Row],[ID-VOIE]])*ROW(Tableau2[TS]))-ROW(Tableau2[#Headers])),"")</f>
        <v>ET</v>
      </c>
      <c r="AL263" s="122" t="str">
        <f>Tableau3[[#This Row],[Ref-Carte2]]&amp;"/"&amp;Tableau3[[#This Row],[ID-VOIE]]</f>
        <v>SDI1602/13</v>
      </c>
      <c r="AM263" s="145" t="str">
        <f>INDEX(Tableau2[Borne],MATCH(Tableau3[[#This Row],[ID-CARTEVOIE]],Tableau2[ID-CARTEVOIE],0))&amp;""</f>
        <v>6A</v>
      </c>
      <c r="AN263" s="124" t="str">
        <f>Tableau3[[#This Row],[ID-API]]&amp;Tableau3[[#This Row],[ID-RACK]]&amp;Tableau3[[#This Row],[ID-SLOT]]&amp;Tableau3[[#This Row],[BORNE]]</f>
        <v>2186A</v>
      </c>
      <c r="AO263" s="125"/>
    </row>
    <row r="264" spans="1:41" ht="20.100000000000001" customHeight="1" thickTop="1" thickBot="1">
      <c r="A264" s="134"/>
      <c r="B264" s="135" t="str">
        <f>IFERROR(INDEX(Tableau4[Date],MATCH($A264,Tableau4[EVO],0)),"")</f>
        <v/>
      </c>
      <c r="C264" s="136" t="str">
        <f>IFERROR(INDEX(Tableau4[Designation],MATCH($A264,Tableau4[EVO],0)),"")</f>
        <v/>
      </c>
      <c r="D264" s="134"/>
      <c r="E264" s="137">
        <v>4</v>
      </c>
      <c r="F264" s="138">
        <v>288</v>
      </c>
      <c r="G264" s="139" t="str">
        <f>INDEX(Tableau8[Att1],MATCH(Tableau3[[#This Row],[ID-INS]],Tableau8[ID],0))&amp;""</f>
        <v>V1</v>
      </c>
      <c r="H264" s="139" t="str">
        <f>INDEX(Tableau8[Att2],MATCH(Tableau3[[#This Row],[ID-INS]],Tableau8[ID],0))&amp;""</f>
        <v>P4</v>
      </c>
      <c r="I264" s="139" t="str">
        <f>INDEX(Tableau8[Att3],MATCH(Tableau3[[#This Row],[ID-INS]],Tableau8[ID],0))&amp;""</f>
        <v>Portail P4</v>
      </c>
      <c r="J264" s="101"/>
      <c r="K264" s="167" t="str">
        <f>INDEX(Tableau8[Nom du modele],MATCH(Tableau3[[#This Row],[ID-INS]],Tableau8[ID],0))&amp;""</f>
        <v>PortailBleuHydr_1</v>
      </c>
      <c r="L264" s="141" t="str">
        <f>INDEX(Tableau5[Att1],MATCH(Tableau3[[#This Row],[ID-SIG]],Tableau5[ID],0))&amp;""</f>
        <v>Vx_EVEtatAlim</v>
      </c>
      <c r="M264" s="141" t="str">
        <f>INDEX(Tableau5[Att2],MATCH(Tableau3[[#This Row],[ID-SIG]],Tableau5[ID],0))&amp;""</f>
        <v/>
      </c>
      <c r="N264" s="141" t="str">
        <f>INDEX(Tableau5[Att3],MATCH(Tableau3[[#This Row],[ID-SIG]],Tableau5[ID],0))&amp;""</f>
        <v/>
      </c>
      <c r="O264" s="99"/>
      <c r="P264" s="141" t="s">
        <v>1679</v>
      </c>
      <c r="Q264" s="99"/>
      <c r="R264" s="142" t="str">
        <f>Tableau3[[#This Row],[Description]]</f>
        <v>TEA94</v>
      </c>
      <c r="S264" s="52"/>
      <c r="U264" s="87">
        <v>2</v>
      </c>
      <c r="V264" s="87">
        <v>1</v>
      </c>
      <c r="W264" s="87">
        <v>8</v>
      </c>
      <c r="X264" s="87">
        <v>14</v>
      </c>
      <c r="Y264" s="40"/>
      <c r="Z264" s="165" t="str">
        <f>INDEX(Tableau2[TS],MATCH(Tableau3[[#This Row],[ID-CARTEVOIE]],Tableau2[ID-CARTEVOIE],0))</f>
        <v>ET</v>
      </c>
      <c r="AA264" s="144" t="s">
        <v>213</v>
      </c>
      <c r="AB264" s="224" t="str">
        <f>IFERROR(INDEX(Tableau5[Reserve],MATCH(Tableau3[[#This Row],[ID-SIG]],Tableau5[ID],0))&amp;"","")</f>
        <v/>
      </c>
      <c r="AC264" s="119"/>
      <c r="AD264" s="120" t="str">
        <f>INDEX(Tableau7[Repere],MATCH(Tableau3[[#This Row],[ID-API]],Tableau7[ID-API],0))&amp;""</f>
        <v>A2</v>
      </c>
      <c r="AE264" s="120" t="str">
        <f>INDEX(Tableau1[Repere-Rack],MATCH(Tableau3[[#This Row],[ID-RACK]],Tableau1[ID-RACK],0))&amp;""</f>
        <v>R1</v>
      </c>
      <c r="AF264" s="120" t="str">
        <f>INDEX(Tableau1[Repere-Slot],MATCH(Tableau3[[#This Row],[ID-SLOT]],Tableau1[ID-SLOT],0))&amp;""</f>
        <v>S8</v>
      </c>
      <c r="AG264" s="120" t="str">
        <f>INDEX(Tableau2[Repere-Voie],MATCH(Tableau3[[#This Row],[ID-VOIE]],Tableau2[ID-Voie],0))&amp;""</f>
        <v>v14</v>
      </c>
      <c r="AH264" s="122" t="str">
        <f>Tableau3[[#This Row],[ID-API]]&amp; "." &amp;Tableau3[[#This Row],[ID-RACK]]&amp; "." &amp;Tableau3[[#This Row],[ID-SLOT]]</f>
        <v>2.1.8</v>
      </c>
      <c r="AI264" s="72" t="str">
        <f>INDEX(Tableau1[Ref-Carte],MATCH(Tableau3[[#This Row],[ID-RRS]],Tableau1[ID-RRS],0))</f>
        <v>SDI1602</v>
      </c>
      <c r="AJ264" s="72" t="str">
        <f t="array" ref="AJ264">IFERROR(INDEX(Tableau2[TS],MATCH(1,(Tableau2[Ref-Carte]=Tableau3[[#This Row],[Ref-Carte2]])*(Tableau2[ID-Voie]=Tableau3[[#This Row],[ID-VOIE]]),0)),"")</f>
        <v>ET</v>
      </c>
      <c r="AK264" s="72" t="str">
        <f>IFERROR(INDEX(Tableau2[TS],SUMPRODUCT((Tableau2[Ref-Carte]=Tableau3[[#This Row],[Ref-Carte2]])*(Tableau2[ID-Voie]=Tableau3[[#This Row],[ID-VOIE]])*ROW(Tableau2[TS]))-ROW(Tableau2[#Headers])),"")</f>
        <v>ET</v>
      </c>
      <c r="AL264" s="122" t="str">
        <f>Tableau3[[#This Row],[Ref-Carte2]]&amp;"/"&amp;Tableau3[[#This Row],[ID-VOIE]]</f>
        <v>SDI1602/14</v>
      </c>
      <c r="AM264" s="145" t="str">
        <f>INDEX(Tableau2[Borne],MATCH(Tableau3[[#This Row],[ID-CARTEVOIE]],Tableau2[ID-CARTEVOIE],0))&amp;""</f>
        <v>7B</v>
      </c>
      <c r="AN264" s="124" t="str">
        <f>Tableau3[[#This Row],[ID-API]]&amp;Tableau3[[#This Row],[ID-RACK]]&amp;Tableau3[[#This Row],[ID-SLOT]]&amp;Tableau3[[#This Row],[BORNE]]</f>
        <v>2187B</v>
      </c>
      <c r="AO264" s="125"/>
    </row>
    <row r="265" spans="1:41" ht="20.100000000000001" customHeight="1" thickTop="1" thickBot="1">
      <c r="A265" s="68"/>
      <c r="B265" s="69" t="str">
        <f>IFERROR(INDEX(Tableau4[Date],MATCH($A265,Tableau4[EVO],0)),"")</f>
        <v/>
      </c>
      <c r="C265" s="68" t="str">
        <f>IFERROR(INDEX(Tableau4[Designation],MATCH($A265,Tableau4[EVO],0)),"")</f>
        <v/>
      </c>
      <c r="D265" s="68"/>
      <c r="E265" s="70">
        <v>11</v>
      </c>
      <c r="F265" s="71">
        <v>303</v>
      </c>
      <c r="G265" s="101" t="str">
        <f>INDEX(Tableau8[Att1],MATCH(Tableau3[[#This Row],[ID-INS]],Tableau8[ID],0))&amp;""</f>
        <v>Al</v>
      </c>
      <c r="H265" s="101" t="str">
        <f>INDEX(Tableau8[Att2],MATCH(Tableau3[[#This Row],[ID-INS]],Tableau8[ID],0))&amp;""</f>
        <v>P11</v>
      </c>
      <c r="I265" s="101" t="str">
        <f>INDEX(Tableau8[Att3],MATCH(Tableau3[[#This Row],[ID-INS]],Tableau8[ID],0))&amp;""</f>
        <v>Portail P11</v>
      </c>
      <c r="J265" s="101"/>
      <c r="K265" s="167" t="str">
        <f>INDEX(Tableau8[Nom du modele],MATCH(Tableau3[[#This Row],[ID-INS]],Tableau8[ID],0))&amp;""</f>
        <v>PortailAlas2V</v>
      </c>
      <c r="L265" s="99" t="str">
        <f>INDEX(Tableau5[Att1],MATCH(Tableau3[[#This Row],[ID-SIG]],Tableau5[ID],0))&amp;""</f>
        <v>Effraction</v>
      </c>
      <c r="M265" s="99" t="str">
        <f>INDEX(Tableau5[Att2],MATCH(Tableau3[[#This Row],[ID-SIG]],Tableau5[ID],0))&amp;""</f>
        <v/>
      </c>
      <c r="N265" s="99" t="str">
        <f>INDEX(Tableau5[Att3],MATCH(Tableau3[[#This Row],[ID-SIG]],Tableau5[ID],0))&amp;""</f>
        <v/>
      </c>
      <c r="O265" s="99"/>
      <c r="P265" s="99" t="str">
        <f>INDEX(Tableau5[Description],MATCH(Tableau3[[#This Row],[ID-SIG]],Tableau5[ID],0))</f>
        <v>Effraction</v>
      </c>
      <c r="Q265" s="99"/>
      <c r="R265" s="103" t="str">
        <f>Tableau3[[#This Row],[Description]]</f>
        <v>Effraction</v>
      </c>
      <c r="S265" s="52"/>
      <c r="U265" s="87">
        <v>2</v>
      </c>
      <c r="V265" s="87">
        <v>1</v>
      </c>
      <c r="W265" s="87">
        <v>8</v>
      </c>
      <c r="X265" s="87">
        <v>15</v>
      </c>
      <c r="Y265" s="40"/>
      <c r="Z265" s="165" t="str">
        <f>INDEX(Tableau2[TS],MATCH(Tableau3[[#This Row],[ID-CARTEVOIE]],Tableau2[ID-CARTEVOIE],0))</f>
        <v>ET</v>
      </c>
      <c r="AA265" s="53" t="s">
        <v>213</v>
      </c>
      <c r="AB265" s="223" t="str">
        <f>IFERROR(INDEX(Tableau5[Reserve],MATCH(Tableau3[[#This Row],[ID-SIG]],Tableau5[ID],0))&amp;"","")</f>
        <v/>
      </c>
      <c r="AC265" s="21"/>
      <c r="AD265" s="108" t="str">
        <f>INDEX(Tableau7[Repere],MATCH(Tableau3[[#This Row],[ID-API]],Tableau7[ID-API],0))&amp;""</f>
        <v>A2</v>
      </c>
      <c r="AE265" s="108" t="str">
        <f>INDEX(Tableau1[Repere-Rack],MATCH(Tableau3[[#This Row],[ID-RACK]],Tableau1[ID-RACK],0))&amp;""</f>
        <v>R1</v>
      </c>
      <c r="AF265" s="108" t="str">
        <f>INDEX(Tableau1[Repere-Slot],MATCH(Tableau3[[#This Row],[ID-SLOT]],Tableau1[ID-SLOT],0))&amp;""</f>
        <v>S8</v>
      </c>
      <c r="AG265" s="108" t="str">
        <f>INDEX(Tableau2[Repere-Voie],MATCH(Tableau3[[#This Row],[ID-VOIE]],Tableau2[ID-Voie],0))&amp;""</f>
        <v>v15</v>
      </c>
      <c r="AH265" s="72" t="str">
        <f>Tableau3[[#This Row],[ID-API]]&amp; "." &amp;Tableau3[[#This Row],[ID-RACK]]&amp; "." &amp;Tableau3[[#This Row],[ID-SLOT]]</f>
        <v>2.1.8</v>
      </c>
      <c r="AI265" s="72" t="str">
        <f>INDEX(Tableau1[Ref-Carte],MATCH(Tableau3[[#This Row],[ID-RRS]],Tableau1[ID-RRS],0))</f>
        <v>SDI1602</v>
      </c>
      <c r="AJ265" s="72" t="str">
        <f t="array" ref="AJ265">IFERROR(INDEX(Tableau2[TS],MATCH(1,(Tableau2[Ref-Carte]=Tableau3[[#This Row],[Ref-Carte2]])*(Tableau2[ID-Voie]=Tableau3[[#This Row],[ID-VOIE]]),0)),"")</f>
        <v>ET</v>
      </c>
      <c r="AK265" s="72" t="str">
        <f>IFERROR(INDEX(Tableau2[TS],SUMPRODUCT((Tableau2[Ref-Carte]=Tableau3[[#This Row],[Ref-Carte2]])*(Tableau2[ID-Voie]=Tableau3[[#This Row],[ID-VOIE]])*ROW(Tableau2[TS]))-ROW(Tableau2[#Headers])),"")</f>
        <v>ET</v>
      </c>
      <c r="AL265" s="72" t="str">
        <f>Tableau3[[#This Row],[Ref-Carte2]]&amp;"/"&amp;Tableau3[[#This Row],[ID-VOIE]]</f>
        <v>SDI1602/15</v>
      </c>
      <c r="AM265" s="73" t="str">
        <f>INDEX(Tableau2[Borne],MATCH(Tableau3[[#This Row],[ID-CARTEVOIE]],Tableau2[ID-CARTEVOIE],0))&amp;""</f>
        <v>7A</v>
      </c>
      <c r="AN265" s="74" t="str">
        <f>Tableau3[[#This Row],[ID-API]]&amp;Tableau3[[#This Row],[ID-RACK]]&amp;Tableau3[[#This Row],[ID-SLOT]]&amp;Tableau3[[#This Row],[BORNE]]</f>
        <v>2187A</v>
      </c>
      <c r="AO265" s="1"/>
    </row>
    <row r="266" spans="1:41" ht="20.100000000000001" customHeight="1" thickTop="1" thickBot="1">
      <c r="A266" s="68"/>
      <c r="B266" s="69" t="str">
        <f>IFERROR(INDEX(Tableau4[Date],MATCH($A266,Tableau4[EVO],0)),"")</f>
        <v/>
      </c>
      <c r="C266" s="68" t="str">
        <f>IFERROR(INDEX(Tableau4[Designation],MATCH($A266,Tableau4[EVO],0)),"")</f>
        <v/>
      </c>
      <c r="D266" s="68"/>
      <c r="E266" s="70">
        <v>11</v>
      </c>
      <c r="F266" s="71">
        <v>304</v>
      </c>
      <c r="G266" s="101" t="str">
        <f>INDEX(Tableau8[Att1],MATCH(Tableau3[[#This Row],[ID-INS]],Tableau8[ID],0))&amp;""</f>
        <v>Al</v>
      </c>
      <c r="H266" s="101" t="str">
        <f>INDEX(Tableau8[Att2],MATCH(Tableau3[[#This Row],[ID-INS]],Tableau8[ID],0))&amp;""</f>
        <v>P11</v>
      </c>
      <c r="I266" s="101" t="str">
        <f>INDEX(Tableau8[Att3],MATCH(Tableau3[[#This Row],[ID-INS]],Tableau8[ID],0))&amp;""</f>
        <v>Portail P11</v>
      </c>
      <c r="J266" s="101"/>
      <c r="K266" s="167" t="str">
        <f>INDEX(Tableau8[Nom du modele],MATCH(Tableau3[[#This Row],[ID-INS]],Tableau8[ID],0))&amp;""</f>
        <v>PortailAlas2V</v>
      </c>
      <c r="L266" s="99" t="str">
        <f>INDEX(Tableau5[Att1],MATCH(Tableau3[[#This Row],[ID-SIG]],Tableau5[ID],0))&amp;""</f>
        <v>Ouv</v>
      </c>
      <c r="M266" s="99" t="str">
        <f>INDEX(Tableau5[Att2],MATCH(Tableau3[[#This Row],[ID-SIG]],Tableau5[ID],0))&amp;""</f>
        <v/>
      </c>
      <c r="N266" s="99" t="str">
        <f>INDEX(Tableau5[Att3],MATCH(Tableau3[[#This Row],[ID-SIG]],Tableau5[ID],0))&amp;""</f>
        <v/>
      </c>
      <c r="O266" s="99"/>
      <c r="P266" s="99" t="str">
        <f>INDEX(Tableau5[Description],MATCH(Tableau3[[#This Row],[ID-SIG]],Tableau5[ID],0))</f>
        <v>Fdc ouvert</v>
      </c>
      <c r="Q266" s="99"/>
      <c r="R266" s="103" t="str">
        <f>Tableau3[[#This Row],[Description]]</f>
        <v>Fdc ouvert</v>
      </c>
      <c r="S266" s="52"/>
      <c r="U266" s="87">
        <v>2</v>
      </c>
      <c r="V266" s="87">
        <v>1</v>
      </c>
      <c r="W266" s="87">
        <v>9</v>
      </c>
      <c r="X266" s="87">
        <v>0</v>
      </c>
      <c r="Y266" s="40"/>
      <c r="Z266" s="165" t="str">
        <f>INDEX(Tableau2[TS],MATCH(Tableau3[[#This Row],[ID-CARTEVOIE]],Tableau2[ID-CARTEVOIE],0))</f>
        <v>ET</v>
      </c>
      <c r="AA266" s="53" t="s">
        <v>213</v>
      </c>
      <c r="AB266" s="223" t="str">
        <f>IFERROR(INDEX(Tableau5[Reserve],MATCH(Tableau3[[#This Row],[ID-SIG]],Tableau5[ID],0))&amp;"","")</f>
        <v/>
      </c>
      <c r="AC266" s="21"/>
      <c r="AD266" s="108" t="str">
        <f>INDEX(Tableau7[Repere],MATCH(Tableau3[[#This Row],[ID-API]],Tableau7[ID-API],0))&amp;""</f>
        <v>A2</v>
      </c>
      <c r="AE266" s="108" t="str">
        <f>INDEX(Tableau1[Repere-Rack],MATCH(Tableau3[[#This Row],[ID-RACK]],Tableau1[ID-RACK],0))&amp;""</f>
        <v>R1</v>
      </c>
      <c r="AF266" s="108" t="str">
        <f>INDEX(Tableau1[Repere-Slot],MATCH(Tableau3[[#This Row],[ID-SLOT]],Tableau1[ID-SLOT],0))&amp;""</f>
        <v>S9</v>
      </c>
      <c r="AG266" s="108" t="str">
        <f>INDEX(Tableau2[Repere-Voie],MATCH(Tableau3[[#This Row],[ID-VOIE]],Tableau2[ID-Voie],0))&amp;""</f>
        <v>v0</v>
      </c>
      <c r="AH266" s="72" t="str">
        <f>Tableau3[[#This Row],[ID-API]]&amp; "." &amp;Tableau3[[#This Row],[ID-RACK]]&amp; "." &amp;Tableau3[[#This Row],[ID-SLOT]]</f>
        <v>2.1.9</v>
      </c>
      <c r="AI266" s="72" t="str">
        <f>INDEX(Tableau1[Ref-Carte],MATCH(Tableau3[[#This Row],[ID-RRS]],Tableau1[ID-RRS],0))</f>
        <v>SDI1602</v>
      </c>
      <c r="AJ266" s="72" t="str">
        <f t="array" ref="AJ266">IFERROR(INDEX(Tableau2[TS],MATCH(1,(Tableau2[Ref-Carte]=Tableau3[[#This Row],[Ref-Carte2]])*(Tableau2[ID-Voie]=Tableau3[[#This Row],[ID-VOIE]]),0)),"")</f>
        <v>ET</v>
      </c>
      <c r="AK266" s="72" t="str">
        <f>IFERROR(INDEX(Tableau2[TS],SUMPRODUCT((Tableau2[Ref-Carte]=Tableau3[[#This Row],[Ref-Carte2]])*(Tableau2[ID-Voie]=Tableau3[[#This Row],[ID-VOIE]])*ROW(Tableau2[TS]))-ROW(Tableau2[#Headers])),"")</f>
        <v>ET</v>
      </c>
      <c r="AL266" s="72" t="str">
        <f>Tableau3[[#This Row],[Ref-Carte2]]&amp;"/"&amp;Tableau3[[#This Row],[ID-VOIE]]</f>
        <v>SDI1602/0</v>
      </c>
      <c r="AM266" s="73" t="str">
        <f>INDEX(Tableau2[Borne],MATCH(Tableau3[[#This Row],[ID-CARTEVOIE]],Tableau2[ID-CARTEVOIE],0))&amp;""</f>
        <v>0B</v>
      </c>
      <c r="AN266" s="74" t="str">
        <f>Tableau3[[#This Row],[ID-API]]&amp;Tableau3[[#This Row],[ID-RACK]]&amp;Tableau3[[#This Row],[ID-SLOT]]&amp;Tableau3[[#This Row],[BORNE]]</f>
        <v>2190B</v>
      </c>
      <c r="AO266" s="1"/>
    </row>
    <row r="267" spans="1:41" ht="20.100000000000001" customHeight="1" thickTop="1" thickBot="1">
      <c r="A267" s="68"/>
      <c r="B267" s="69" t="str">
        <f>IFERROR(INDEX(Tableau4[Date],MATCH($A267,Tableau4[EVO],0)),"")</f>
        <v/>
      </c>
      <c r="C267" s="68" t="str">
        <f>IFERROR(INDEX(Tableau4[Designation],MATCH($A267,Tableau4[EVO],0)),"")</f>
        <v/>
      </c>
      <c r="D267" s="68"/>
      <c r="E267" s="70">
        <v>11</v>
      </c>
      <c r="F267" s="71">
        <v>305</v>
      </c>
      <c r="G267" s="101" t="str">
        <f>INDEX(Tableau8[Att1],MATCH(Tableau3[[#This Row],[ID-INS]],Tableau8[ID],0))&amp;""</f>
        <v>Al</v>
      </c>
      <c r="H267" s="101" t="str">
        <f>INDEX(Tableau8[Att2],MATCH(Tableau3[[#This Row],[ID-INS]],Tableau8[ID],0))&amp;""</f>
        <v>P11</v>
      </c>
      <c r="I267" s="101" t="str">
        <f>INDEX(Tableau8[Att3],MATCH(Tableau3[[#This Row],[ID-INS]],Tableau8[ID],0))&amp;""</f>
        <v>Portail P11</v>
      </c>
      <c r="J267" s="101"/>
      <c r="K267" s="167" t="str">
        <f>INDEX(Tableau8[Nom du modele],MATCH(Tableau3[[#This Row],[ID-INS]],Tableau8[ID],0))&amp;""</f>
        <v>PortailAlas2V</v>
      </c>
      <c r="L267" s="99" t="str">
        <f>INDEX(Tableau5[Att1],MATCH(Tableau3[[#This Row],[ID-SIG]],Tableau5[ID],0))&amp;""</f>
        <v>Fer</v>
      </c>
      <c r="M267" s="99" t="str">
        <f>INDEX(Tableau5[Att2],MATCH(Tableau3[[#This Row],[ID-SIG]],Tableau5[ID],0))&amp;""</f>
        <v/>
      </c>
      <c r="N267" s="99" t="str">
        <f>INDEX(Tableau5[Att3],MATCH(Tableau3[[#This Row],[ID-SIG]],Tableau5[ID],0))&amp;""</f>
        <v/>
      </c>
      <c r="O267" s="99"/>
      <c r="P267" s="99" t="str">
        <f>INDEX(Tableau5[Description],MATCH(Tableau3[[#This Row],[ID-SIG]],Tableau5[ID],0))</f>
        <v>Fdc fermé</v>
      </c>
      <c r="Q267" s="99"/>
      <c r="R267" s="103" t="str">
        <f>Tableau3[[#This Row],[Description]]</f>
        <v>Fdc fermé</v>
      </c>
      <c r="S267" s="52"/>
      <c r="U267" s="87">
        <v>2</v>
      </c>
      <c r="V267" s="87">
        <v>1</v>
      </c>
      <c r="W267" s="87">
        <v>9</v>
      </c>
      <c r="X267" s="87">
        <v>1</v>
      </c>
      <c r="Y267" s="40"/>
      <c r="Z267" s="165" t="str">
        <f>INDEX(Tableau2[TS],MATCH(Tableau3[[#This Row],[ID-CARTEVOIE]],Tableau2[ID-CARTEVOIE],0))</f>
        <v>ET</v>
      </c>
      <c r="AA267" s="53" t="s">
        <v>213</v>
      </c>
      <c r="AB267" s="223" t="str">
        <f>IFERROR(INDEX(Tableau5[Reserve],MATCH(Tableau3[[#This Row],[ID-SIG]],Tableau5[ID],0))&amp;"","")</f>
        <v/>
      </c>
      <c r="AC267" s="21"/>
      <c r="AD267" s="108" t="str">
        <f>INDEX(Tableau7[Repere],MATCH(Tableau3[[#This Row],[ID-API]],Tableau7[ID-API],0))&amp;""</f>
        <v>A2</v>
      </c>
      <c r="AE267" s="108" t="str">
        <f>INDEX(Tableau1[Repere-Rack],MATCH(Tableau3[[#This Row],[ID-RACK]],Tableau1[ID-RACK],0))&amp;""</f>
        <v>R1</v>
      </c>
      <c r="AF267" s="108" t="str">
        <f>INDEX(Tableau1[Repere-Slot],MATCH(Tableau3[[#This Row],[ID-SLOT]],Tableau1[ID-SLOT],0))&amp;""</f>
        <v>S9</v>
      </c>
      <c r="AG267" s="108" t="str">
        <f>INDEX(Tableau2[Repere-Voie],MATCH(Tableau3[[#This Row],[ID-VOIE]],Tableau2[ID-Voie],0))&amp;""</f>
        <v>v1</v>
      </c>
      <c r="AH267" s="72" t="str">
        <f>Tableau3[[#This Row],[ID-API]]&amp; "." &amp;Tableau3[[#This Row],[ID-RACK]]&amp; "." &amp;Tableau3[[#This Row],[ID-SLOT]]</f>
        <v>2.1.9</v>
      </c>
      <c r="AI267" s="72" t="str">
        <f>INDEX(Tableau1[Ref-Carte],MATCH(Tableau3[[#This Row],[ID-RRS]],Tableau1[ID-RRS],0))</f>
        <v>SDI1602</v>
      </c>
      <c r="AJ267" s="72" t="str">
        <f t="array" ref="AJ267">IFERROR(INDEX(Tableau2[TS],MATCH(1,(Tableau2[Ref-Carte]=Tableau3[[#This Row],[Ref-Carte2]])*(Tableau2[ID-Voie]=Tableau3[[#This Row],[ID-VOIE]]),0)),"")</f>
        <v>ET</v>
      </c>
      <c r="AK267" s="72" t="str">
        <f>IFERROR(INDEX(Tableau2[TS],SUMPRODUCT((Tableau2[Ref-Carte]=Tableau3[[#This Row],[Ref-Carte2]])*(Tableau2[ID-Voie]=Tableau3[[#This Row],[ID-VOIE]])*ROW(Tableau2[TS]))-ROW(Tableau2[#Headers])),"")</f>
        <v>ET</v>
      </c>
      <c r="AL267" s="72" t="str">
        <f>Tableau3[[#This Row],[Ref-Carte2]]&amp;"/"&amp;Tableau3[[#This Row],[ID-VOIE]]</f>
        <v>SDI1602/1</v>
      </c>
      <c r="AM267" s="73" t="str">
        <f>INDEX(Tableau2[Borne],MATCH(Tableau3[[#This Row],[ID-CARTEVOIE]],Tableau2[ID-CARTEVOIE],0))&amp;""</f>
        <v>0A</v>
      </c>
      <c r="AN267" s="74" t="str">
        <f>Tableau3[[#This Row],[ID-API]]&amp;Tableau3[[#This Row],[ID-RACK]]&amp;Tableau3[[#This Row],[ID-SLOT]]&amp;Tableau3[[#This Row],[BORNE]]</f>
        <v>2190A</v>
      </c>
      <c r="AO267" s="1"/>
    </row>
    <row r="268" spans="1:41" ht="20.100000000000001" customHeight="1" thickTop="1" thickBot="1">
      <c r="A268" s="68"/>
      <c r="B268" s="69" t="str">
        <f>IFERROR(INDEX(Tableau4[Date],MATCH($A268,Tableau4[EVO],0)),"")</f>
        <v/>
      </c>
      <c r="C268" s="68" t="str">
        <f>IFERROR(INDEX(Tableau4[Designation],MATCH($A268,Tableau4[EVO],0)),"")</f>
        <v/>
      </c>
      <c r="D268" s="68"/>
      <c r="E268" s="70">
        <v>11</v>
      </c>
      <c r="F268" s="71">
        <v>306</v>
      </c>
      <c r="G268" s="101" t="str">
        <f>INDEX(Tableau8[Att1],MATCH(Tableau3[[#This Row],[ID-INS]],Tableau8[ID],0))&amp;""</f>
        <v>Al</v>
      </c>
      <c r="H268" s="101" t="str">
        <f>INDEX(Tableau8[Att2],MATCH(Tableau3[[#This Row],[ID-INS]],Tableau8[ID],0))&amp;""</f>
        <v>P11</v>
      </c>
      <c r="I268" s="101" t="str">
        <f>INDEX(Tableau8[Att3],MATCH(Tableau3[[#This Row],[ID-INS]],Tableau8[ID],0))&amp;""</f>
        <v>Portail P11</v>
      </c>
      <c r="J268" s="101"/>
      <c r="K268" s="167" t="str">
        <f>INDEX(Tableau8[Nom du modele],MATCH(Tableau3[[#This Row],[ID-INS]],Tableau8[ID],0))&amp;""</f>
        <v>PortailAlas2V</v>
      </c>
      <c r="L268" s="99" t="str">
        <f>INDEX(Tableau5[Att1],MATCH(Tableau3[[#This Row],[ID-SIG]],Tableau5[ID],0))&amp;""</f>
        <v>PresTension</v>
      </c>
      <c r="M268" s="99" t="str">
        <f>INDEX(Tableau5[Att2],MATCH(Tableau3[[#This Row],[ID-SIG]],Tableau5[ID],0))&amp;""</f>
        <v/>
      </c>
      <c r="N268" s="99" t="str">
        <f>INDEX(Tableau5[Att3],MATCH(Tableau3[[#This Row],[ID-SIG]],Tableau5[ID],0))&amp;""</f>
        <v/>
      </c>
      <c r="O268" s="99"/>
      <c r="P268" s="99" t="str">
        <f>INDEX(Tableau5[Description],MATCH(Tableau3[[#This Row],[ID-SIG]],Tableau5[ID],0))</f>
        <v>Presence tension</v>
      </c>
      <c r="Q268" s="99"/>
      <c r="R268" s="103" t="str">
        <f>Tableau3[[#This Row],[Description]]</f>
        <v>Presence tension</v>
      </c>
      <c r="S268" s="52"/>
      <c r="U268" s="87">
        <v>2</v>
      </c>
      <c r="V268" s="87">
        <v>1</v>
      </c>
      <c r="W268" s="87">
        <v>9</v>
      </c>
      <c r="X268" s="87">
        <v>2</v>
      </c>
      <c r="Y268" s="40"/>
      <c r="Z268" s="165" t="str">
        <f>INDEX(Tableau2[TS],MATCH(Tableau3[[#This Row],[ID-CARTEVOIE]],Tableau2[ID-CARTEVOIE],0))</f>
        <v>ET</v>
      </c>
      <c r="AA268" s="53" t="s">
        <v>213</v>
      </c>
      <c r="AB268" s="223" t="str">
        <f>IFERROR(INDEX(Tableau5[Reserve],MATCH(Tableau3[[#This Row],[ID-SIG]],Tableau5[ID],0))&amp;"","")</f>
        <v/>
      </c>
      <c r="AC268" s="21"/>
      <c r="AD268" s="108" t="str">
        <f>INDEX(Tableau7[Repere],MATCH(Tableau3[[#This Row],[ID-API]],Tableau7[ID-API],0))&amp;""</f>
        <v>A2</v>
      </c>
      <c r="AE268" s="108" t="str">
        <f>INDEX(Tableau1[Repere-Rack],MATCH(Tableau3[[#This Row],[ID-RACK]],Tableau1[ID-RACK],0))&amp;""</f>
        <v>R1</v>
      </c>
      <c r="AF268" s="108" t="str">
        <f>INDEX(Tableau1[Repere-Slot],MATCH(Tableau3[[#This Row],[ID-SLOT]],Tableau1[ID-SLOT],0))&amp;""</f>
        <v>S9</v>
      </c>
      <c r="AG268" s="108" t="str">
        <f>INDEX(Tableau2[Repere-Voie],MATCH(Tableau3[[#This Row],[ID-VOIE]],Tableau2[ID-Voie],0))&amp;""</f>
        <v>v2</v>
      </c>
      <c r="AH268" s="72" t="str">
        <f>Tableau3[[#This Row],[ID-API]]&amp; "." &amp;Tableau3[[#This Row],[ID-RACK]]&amp; "." &amp;Tableau3[[#This Row],[ID-SLOT]]</f>
        <v>2.1.9</v>
      </c>
      <c r="AI268" s="72" t="str">
        <f>INDEX(Tableau1[Ref-Carte],MATCH(Tableau3[[#This Row],[ID-RRS]],Tableau1[ID-RRS],0))</f>
        <v>SDI1602</v>
      </c>
      <c r="AJ268" s="72" t="str">
        <f t="array" ref="AJ268">IFERROR(INDEX(Tableau2[TS],MATCH(1,(Tableau2[Ref-Carte]=Tableau3[[#This Row],[Ref-Carte2]])*(Tableau2[ID-Voie]=Tableau3[[#This Row],[ID-VOIE]]),0)),"")</f>
        <v>ET</v>
      </c>
      <c r="AK268" s="72" t="str">
        <f>IFERROR(INDEX(Tableau2[TS],SUMPRODUCT((Tableau2[Ref-Carte]=Tableau3[[#This Row],[Ref-Carte2]])*(Tableau2[ID-Voie]=Tableau3[[#This Row],[ID-VOIE]])*ROW(Tableau2[TS]))-ROW(Tableau2[#Headers])),"")</f>
        <v>ET</v>
      </c>
      <c r="AL268" s="72" t="str">
        <f>Tableau3[[#This Row],[Ref-Carte2]]&amp;"/"&amp;Tableau3[[#This Row],[ID-VOIE]]</f>
        <v>SDI1602/2</v>
      </c>
      <c r="AM268" s="73" t="str">
        <f>INDEX(Tableau2[Borne],MATCH(Tableau3[[#This Row],[ID-CARTEVOIE]],Tableau2[ID-CARTEVOIE],0))&amp;""</f>
        <v>1B</v>
      </c>
      <c r="AN268" s="74" t="str">
        <f>Tableau3[[#This Row],[ID-API]]&amp;Tableau3[[#This Row],[ID-RACK]]&amp;Tableau3[[#This Row],[ID-SLOT]]&amp;Tableau3[[#This Row],[BORNE]]</f>
        <v>2191B</v>
      </c>
      <c r="AO268" s="1"/>
    </row>
    <row r="269" spans="1:41" ht="20.100000000000001" customHeight="1" thickTop="1" thickBot="1">
      <c r="A269" s="68"/>
      <c r="B269" s="69" t="str">
        <f>IFERROR(INDEX(Tableau4[Date],MATCH($A269,Tableau4[EVO],0)),"")</f>
        <v/>
      </c>
      <c r="C269" s="68" t="str">
        <f>IFERROR(INDEX(Tableau4[Designation],MATCH($A269,Tableau4[EVO],0)),"")</f>
        <v/>
      </c>
      <c r="D269" s="68"/>
      <c r="E269" s="70">
        <v>13</v>
      </c>
      <c r="F269" s="71">
        <v>108</v>
      </c>
      <c r="G269" s="101" t="str">
        <f>INDEX(Tableau8[Att1],MATCH(Tableau3[[#This Row],[ID-INS]],Tableau8[ID],0))&amp;""</f>
        <v>Al</v>
      </c>
      <c r="H269" s="101" t="str">
        <f>INDEX(Tableau8[Att2],MATCH(Tableau3[[#This Row],[ID-INS]],Tableau8[ID],0))&amp;""</f>
        <v>P13</v>
      </c>
      <c r="I269" s="101" t="str">
        <f>INDEX(Tableau8[Att3],MATCH(Tableau3[[#This Row],[ID-INS]],Tableau8[ID],0))&amp;""</f>
        <v>Portail P13</v>
      </c>
      <c r="J269" s="101"/>
      <c r="K269" s="167" t="str">
        <f>INDEX(Tableau8[Nom du modele],MATCH(Tableau3[[#This Row],[ID-INS]],Tableau8[ID],0))&amp;""</f>
        <v>Portillon</v>
      </c>
      <c r="L269" s="99" t="str">
        <f>INDEX(Tableau5[Att1],MATCH(Tableau3[[#This Row],[ID-SIG]],Tableau5[ID],0))&amp;""</f>
        <v>Fer</v>
      </c>
      <c r="M269" s="99" t="str">
        <f>INDEX(Tableau5[Att2],MATCH(Tableau3[[#This Row],[ID-SIG]],Tableau5[ID],0))&amp;""</f>
        <v/>
      </c>
      <c r="N269" s="99" t="str">
        <f>INDEX(Tableau5[Att3],MATCH(Tableau3[[#This Row],[ID-SIG]],Tableau5[ID],0))&amp;""</f>
        <v/>
      </c>
      <c r="O269" s="99"/>
      <c r="P269" s="99" t="str">
        <f>INDEX(Tableau5[Description],MATCH(Tableau3[[#This Row],[ID-SIG]],Tableau5[ID],0))</f>
        <v>Retour d'état fermée</v>
      </c>
      <c r="Q269" s="99"/>
      <c r="R269" s="103" t="str">
        <f>Tableau3[[#This Row],[Description]]</f>
        <v>Retour d'état fermée</v>
      </c>
      <c r="S269" s="52"/>
      <c r="U269" s="87">
        <v>2</v>
      </c>
      <c r="V269" s="87">
        <v>1</v>
      </c>
      <c r="W269" s="87">
        <v>9</v>
      </c>
      <c r="X269" s="87">
        <v>3</v>
      </c>
      <c r="Y269" s="40"/>
      <c r="Z269" s="165" t="str">
        <f>INDEX(Tableau2[TS],MATCH(Tableau3[[#This Row],[ID-CARTEVOIE]],Tableau2[ID-CARTEVOIE],0))</f>
        <v>ET</v>
      </c>
      <c r="AA269" s="53" t="s">
        <v>213</v>
      </c>
      <c r="AB269" s="223" t="str">
        <f>IFERROR(INDEX(Tableau5[Reserve],MATCH(Tableau3[[#This Row],[ID-SIG]],Tableau5[ID],0))&amp;"","")</f>
        <v/>
      </c>
      <c r="AC269" s="21"/>
      <c r="AD269" s="108" t="str">
        <f>INDEX(Tableau7[Repere],MATCH(Tableau3[[#This Row],[ID-API]],Tableau7[ID-API],0))&amp;""</f>
        <v>A2</v>
      </c>
      <c r="AE269" s="108" t="str">
        <f>INDEX(Tableau1[Repere-Rack],MATCH(Tableau3[[#This Row],[ID-RACK]],Tableau1[ID-RACK],0))&amp;""</f>
        <v>R1</v>
      </c>
      <c r="AF269" s="108" t="str">
        <f>INDEX(Tableau1[Repere-Slot],MATCH(Tableau3[[#This Row],[ID-SLOT]],Tableau1[ID-SLOT],0))&amp;""</f>
        <v>S9</v>
      </c>
      <c r="AG269" s="108" t="str">
        <f>INDEX(Tableau2[Repere-Voie],MATCH(Tableau3[[#This Row],[ID-VOIE]],Tableau2[ID-Voie],0))&amp;""</f>
        <v>v3</v>
      </c>
      <c r="AH269" s="72" t="str">
        <f>Tableau3[[#This Row],[ID-API]]&amp; "." &amp;Tableau3[[#This Row],[ID-RACK]]&amp; "." &amp;Tableau3[[#This Row],[ID-SLOT]]</f>
        <v>2.1.9</v>
      </c>
      <c r="AI269" s="72" t="str">
        <f>INDEX(Tableau1[Ref-Carte],MATCH(Tableau3[[#This Row],[ID-RRS]],Tableau1[ID-RRS],0))</f>
        <v>SDI1602</v>
      </c>
      <c r="AJ269" s="72" t="str">
        <f t="array" ref="AJ269">IFERROR(INDEX(Tableau2[TS],MATCH(1,(Tableau2[Ref-Carte]=Tableau3[[#This Row],[Ref-Carte2]])*(Tableau2[ID-Voie]=Tableau3[[#This Row],[ID-VOIE]]),0)),"")</f>
        <v>ET</v>
      </c>
      <c r="AK269" s="72" t="str">
        <f>IFERROR(INDEX(Tableau2[TS],SUMPRODUCT((Tableau2[Ref-Carte]=Tableau3[[#This Row],[Ref-Carte2]])*(Tableau2[ID-Voie]=Tableau3[[#This Row],[ID-VOIE]])*ROW(Tableau2[TS]))-ROW(Tableau2[#Headers])),"")</f>
        <v>ET</v>
      </c>
      <c r="AL269" s="72" t="str">
        <f>Tableau3[[#This Row],[Ref-Carte2]]&amp;"/"&amp;Tableau3[[#This Row],[ID-VOIE]]</f>
        <v>SDI1602/3</v>
      </c>
      <c r="AM269" s="73" t="str">
        <f>INDEX(Tableau2[Borne],MATCH(Tableau3[[#This Row],[ID-CARTEVOIE]],Tableau2[ID-CARTEVOIE],0))&amp;""</f>
        <v>1A</v>
      </c>
      <c r="AN269" s="74" t="str">
        <f>Tableau3[[#This Row],[ID-API]]&amp;Tableau3[[#This Row],[ID-RACK]]&amp;Tableau3[[#This Row],[ID-SLOT]]&amp;Tableau3[[#This Row],[BORNE]]</f>
        <v>2191A</v>
      </c>
      <c r="AO269" s="1"/>
    </row>
    <row r="270" spans="1:41" ht="20.100000000000001" customHeight="1" thickTop="1" thickBot="1">
      <c r="A270" s="68"/>
      <c r="B270" s="69" t="str">
        <f>IFERROR(INDEX(Tableau4[Date],MATCH($A270,Tableau4[EVO],0)),"")</f>
        <v/>
      </c>
      <c r="C270" s="68" t="str">
        <f>IFERROR(INDEX(Tableau4[Designation],MATCH($A270,Tableau4[EVO],0)),"")</f>
        <v/>
      </c>
      <c r="D270" s="68"/>
      <c r="E270" s="70">
        <v>16</v>
      </c>
      <c r="F270" s="71">
        <v>3</v>
      </c>
      <c r="G270" s="101" t="str">
        <f>INDEX(Tableau8[Att1],MATCH(Tableau3[[#This Row],[ID-INS]],Tableau8[ID],0))&amp;""</f>
        <v>V123</v>
      </c>
      <c r="H270" s="101" t="str">
        <f>INDEX(Tableau8[Att2],MATCH(Tableau3[[#This Row],[ID-INS]],Tableau8[ID],0))&amp;""</f>
        <v>P4P5P6</v>
      </c>
      <c r="I270" s="101" t="str">
        <f>INDEX(Tableau8[Att3],MATCH(Tableau3[[#This Row],[ID-INS]],Tableau8[ID],0))&amp;""</f>
        <v>Portail P4 P5 P6</v>
      </c>
      <c r="J270" s="101"/>
      <c r="K270" s="167" t="str">
        <f>INDEX(Tableau8[Nom du modele],MATCH(Tableau3[[#This Row],[ID-INS]],Tableau8[ID],0))&amp;""</f>
        <v>E_Divers</v>
      </c>
      <c r="L270" s="99" t="str">
        <f>INDEX(Tableau5[Att1],MATCH(Tableau3[[#This Row],[ID-SIG]],Tableau5[ID],0))&amp;""</f>
        <v>C1</v>
      </c>
      <c r="M270" s="99" t="str">
        <f>INDEX(Tableau5[Att2],MATCH(Tableau3[[#This Row],[ID-SIG]],Tableau5[ID],0))&amp;""</f>
        <v/>
      </c>
      <c r="N270" s="99" t="str">
        <f>INDEX(Tableau5[Att3],MATCH(Tableau3[[#This Row],[ID-SIG]],Tableau5[ID],0))&amp;""</f>
        <v/>
      </c>
      <c r="O270" s="99"/>
      <c r="P270" s="99" t="str">
        <f>INDEX(Tableau5[Description],MATCH(Tableau3[[#This Row],[ID-SIG]],Tableau5[ID],0))</f>
        <v>Contact</v>
      </c>
      <c r="Q270" s="99"/>
      <c r="R270" s="103" t="str">
        <f>Tableau3[[#This Row],[Description]]</f>
        <v>Contact</v>
      </c>
      <c r="U270" s="87">
        <v>2</v>
      </c>
      <c r="V270" s="87">
        <v>1</v>
      </c>
      <c r="W270" s="87">
        <v>9</v>
      </c>
      <c r="X270" s="87">
        <v>4</v>
      </c>
      <c r="Y270" s="40"/>
      <c r="Z270" s="165" t="str">
        <f>INDEX(Tableau2[TS],MATCH(Tableau3[[#This Row],[ID-CARTEVOIE]],Tableau2[ID-CARTEVOIE],0))</f>
        <v>ET</v>
      </c>
      <c r="AA270" s="53" t="s">
        <v>213</v>
      </c>
      <c r="AB270" s="223" t="str">
        <f>IFERROR(INDEX(Tableau5[Reserve],MATCH(Tableau3[[#This Row],[ID-SIG]],Tableau5[ID],0))&amp;"","")</f>
        <v/>
      </c>
      <c r="AC270" s="21"/>
      <c r="AD270" s="108" t="str">
        <f>INDEX(Tableau7[Repere],MATCH(Tableau3[[#This Row],[ID-API]],Tableau7[ID-API],0))&amp;""</f>
        <v>A2</v>
      </c>
      <c r="AE270" s="108" t="str">
        <f>INDEX(Tableau1[Repere-Rack],MATCH(Tableau3[[#This Row],[ID-RACK]],Tableau1[ID-RACK],0))&amp;""</f>
        <v>R1</v>
      </c>
      <c r="AF270" s="108" t="str">
        <f>INDEX(Tableau1[Repere-Slot],MATCH(Tableau3[[#This Row],[ID-SLOT]],Tableau1[ID-SLOT],0))&amp;""</f>
        <v>S9</v>
      </c>
      <c r="AG270" s="108" t="str">
        <f>INDEX(Tableau2[Repere-Voie],MATCH(Tableau3[[#This Row],[ID-VOIE]],Tableau2[ID-Voie],0))&amp;""</f>
        <v>v4</v>
      </c>
      <c r="AH270" s="72" t="str">
        <f>Tableau3[[#This Row],[ID-API]]&amp; "." &amp;Tableau3[[#This Row],[ID-RACK]]&amp; "." &amp;Tableau3[[#This Row],[ID-SLOT]]</f>
        <v>2.1.9</v>
      </c>
      <c r="AI270" s="72" t="str">
        <f>INDEX(Tableau1[Ref-Carte],MATCH(Tableau3[[#This Row],[ID-RRS]],Tableau1[ID-RRS],0))</f>
        <v>SDI1602</v>
      </c>
      <c r="AJ270" s="72" t="str">
        <f t="array" ref="AJ270">IFERROR(INDEX(Tableau2[TS],MATCH(1,(Tableau2[Ref-Carte]=Tableau3[[#This Row],[Ref-Carte2]])*(Tableau2[ID-Voie]=Tableau3[[#This Row],[ID-VOIE]]),0)),"")</f>
        <v>ET</v>
      </c>
      <c r="AK270" s="72" t="str">
        <f>IFERROR(INDEX(Tableau2[TS],SUMPRODUCT((Tableau2[Ref-Carte]=Tableau3[[#This Row],[Ref-Carte2]])*(Tableau2[ID-Voie]=Tableau3[[#This Row],[ID-VOIE]])*ROW(Tableau2[TS]))-ROW(Tableau2[#Headers])),"")</f>
        <v>ET</v>
      </c>
      <c r="AL270" s="72" t="str">
        <f>Tableau3[[#This Row],[Ref-Carte2]]&amp;"/"&amp;Tableau3[[#This Row],[ID-VOIE]]</f>
        <v>SDI1602/4</v>
      </c>
      <c r="AM270" s="73" t="str">
        <f>INDEX(Tableau2[Borne],MATCH(Tableau3[[#This Row],[ID-CARTEVOIE]],Tableau2[ID-CARTEVOIE],0))&amp;""</f>
        <v>2B</v>
      </c>
      <c r="AN270" s="74" t="str">
        <f>Tableau3[[#This Row],[ID-API]]&amp;Tableau3[[#This Row],[ID-RACK]]&amp;Tableau3[[#This Row],[ID-SLOT]]&amp;Tableau3[[#This Row],[BORNE]]</f>
        <v>2192B</v>
      </c>
      <c r="AO270" s="1"/>
    </row>
    <row r="271" spans="1:41" ht="20.100000000000001" customHeight="1" thickTop="1" thickBot="1">
      <c r="A271" s="68"/>
      <c r="B271" s="69" t="str">
        <f>IFERROR(INDEX(Tableau4[Date],MATCH($A271,Tableau4[EVO],0)),"")</f>
        <v/>
      </c>
      <c r="C271" s="68" t="str">
        <f>IFERROR(INDEX(Tableau4[Designation],MATCH($A271,Tableau4[EVO],0)),"")</f>
        <v/>
      </c>
      <c r="D271" s="68"/>
      <c r="E271" s="70">
        <v>37</v>
      </c>
      <c r="F271" s="71">
        <v>72</v>
      </c>
      <c r="G271" s="101" t="str">
        <f>INDEX(Tableau8[Att1],MATCH(Tableau3[[#This Row],[ID-INS]],Tableau8[ID],0))&amp;""</f>
        <v>V1</v>
      </c>
      <c r="H271" s="101" t="str">
        <f>INDEX(Tableau8[Att2],MATCH(Tableau3[[#This Row],[ID-INS]],Tableau8[ID],0))&amp;""</f>
        <v>BH6</v>
      </c>
      <c r="I271" s="101" t="str">
        <f>INDEX(Tableau8[Att3],MATCH(Tableau3[[#This Row],[ID-INS]],Tableau8[ID],0))&amp;""</f>
        <v>Barrière BH6</v>
      </c>
      <c r="J271" s="101"/>
      <c r="K271" s="167" t="str">
        <f>INDEX(Tableau8[Nom du modele],MATCH(Tableau3[[#This Row],[ID-INS]],Tableau8[ID],0))&amp;""</f>
        <v>BarriereHerse_1</v>
      </c>
      <c r="L271" s="99" t="str">
        <f>INDEX(Tableau5[Att1],MATCH(Tableau3[[#This Row],[ID-SIG]],Tableau5[ID],0))&amp;""</f>
        <v>Réserve</v>
      </c>
      <c r="M271" s="99" t="str">
        <f>INDEX(Tableau5[Att2],MATCH(Tableau3[[#This Row],[ID-SIG]],Tableau5[ID],0))&amp;""</f>
        <v/>
      </c>
      <c r="N271" s="99" t="str">
        <f>INDEX(Tableau5[Att3],MATCH(Tableau3[[#This Row],[ID-SIG]],Tableau5[ID],0))&amp;""</f>
        <v/>
      </c>
      <c r="O271" s="99"/>
      <c r="P271" s="99" t="str">
        <f>INDEX(Tableau5[Description],MATCH(Tableau3[[#This Row],[ID-SIG]],Tableau5[ID],0))</f>
        <v>Réserve</v>
      </c>
      <c r="Q271" s="99"/>
      <c r="R271" s="103" t="str">
        <f>Tableau3[[#This Row],[Description]]</f>
        <v>Réserve</v>
      </c>
      <c r="U271" s="87">
        <v>2</v>
      </c>
      <c r="V271" s="87">
        <v>1</v>
      </c>
      <c r="W271" s="87">
        <v>9</v>
      </c>
      <c r="X271" s="87">
        <v>5</v>
      </c>
      <c r="Y271" s="40"/>
      <c r="Z271" s="165" t="str">
        <f>INDEX(Tableau2[TS],MATCH(Tableau3[[#This Row],[ID-CARTEVOIE]],Tableau2[ID-CARTEVOIE],0))</f>
        <v>ET</v>
      </c>
      <c r="AA271" s="53" t="s">
        <v>213</v>
      </c>
      <c r="AB271" s="223" t="str">
        <f>IFERROR(INDEX(Tableau5[Reserve],MATCH(Tableau3[[#This Row],[ID-SIG]],Tableau5[ID],0))&amp;"","")</f>
        <v/>
      </c>
      <c r="AC271" s="21"/>
      <c r="AD271" s="108" t="str">
        <f>INDEX(Tableau7[Repere],MATCH(Tableau3[[#This Row],[ID-API]],Tableau7[ID-API],0))&amp;""</f>
        <v>A2</v>
      </c>
      <c r="AE271" s="108" t="str">
        <f>INDEX(Tableau1[Repere-Rack],MATCH(Tableau3[[#This Row],[ID-RACK]],Tableau1[ID-RACK],0))&amp;""</f>
        <v>R1</v>
      </c>
      <c r="AF271" s="108" t="str">
        <f>INDEX(Tableau1[Repere-Slot],MATCH(Tableau3[[#This Row],[ID-SLOT]],Tableau1[ID-SLOT],0))&amp;""</f>
        <v>S9</v>
      </c>
      <c r="AG271" s="108" t="str">
        <f>INDEX(Tableau2[Repere-Voie],MATCH(Tableau3[[#This Row],[ID-VOIE]],Tableau2[ID-Voie],0))&amp;""</f>
        <v>v5</v>
      </c>
      <c r="AH271" s="72" t="str">
        <f>Tableau3[[#This Row],[ID-API]]&amp; "." &amp;Tableau3[[#This Row],[ID-RACK]]&amp; "." &amp;Tableau3[[#This Row],[ID-SLOT]]</f>
        <v>2.1.9</v>
      </c>
      <c r="AI271" s="72" t="str">
        <f>INDEX(Tableau1[Ref-Carte],MATCH(Tableau3[[#This Row],[ID-RRS]],Tableau1[ID-RRS],0))</f>
        <v>SDI1602</v>
      </c>
      <c r="AJ271" s="72" t="str">
        <f t="array" ref="AJ271">IFERROR(INDEX(Tableau2[TS],MATCH(1,(Tableau2[Ref-Carte]=Tableau3[[#This Row],[Ref-Carte2]])*(Tableau2[ID-Voie]=Tableau3[[#This Row],[ID-VOIE]]),0)),"")</f>
        <v>ET</v>
      </c>
      <c r="AK271" s="72" t="str">
        <f>IFERROR(INDEX(Tableau2[TS],SUMPRODUCT((Tableau2[Ref-Carte]=Tableau3[[#This Row],[Ref-Carte2]])*(Tableau2[ID-Voie]=Tableau3[[#This Row],[ID-VOIE]])*ROW(Tableau2[TS]))-ROW(Tableau2[#Headers])),"")</f>
        <v>ET</v>
      </c>
      <c r="AL271" s="72" t="str">
        <f>Tableau3[[#This Row],[Ref-Carte2]]&amp;"/"&amp;Tableau3[[#This Row],[ID-VOIE]]</f>
        <v>SDI1602/5</v>
      </c>
      <c r="AM271" s="73" t="str">
        <f>INDEX(Tableau2[Borne],MATCH(Tableau3[[#This Row],[ID-CARTEVOIE]],Tableau2[ID-CARTEVOIE],0))&amp;""</f>
        <v>2A</v>
      </c>
      <c r="AN271" s="74" t="str">
        <f>Tableau3[[#This Row],[ID-API]]&amp;Tableau3[[#This Row],[ID-RACK]]&amp;Tableau3[[#This Row],[ID-SLOT]]&amp;Tableau3[[#This Row],[BORNE]]</f>
        <v>2192A</v>
      </c>
      <c r="AO271" s="1"/>
    </row>
    <row r="272" spans="1:41" ht="20.100000000000001" customHeight="1" thickTop="1" thickBot="1">
      <c r="A272" s="68"/>
      <c r="B272" s="69" t="str">
        <f>IFERROR(INDEX(Tableau4[Date],MATCH($A272,Tableau4[EVO],0)),"")</f>
        <v/>
      </c>
      <c r="C272" s="68" t="str">
        <f>IFERROR(INDEX(Tableau4[Designation],MATCH($A272,Tableau4[EVO],0)),"")</f>
        <v/>
      </c>
      <c r="D272" s="68"/>
      <c r="E272" s="70">
        <v>37</v>
      </c>
      <c r="F272" s="71">
        <v>73</v>
      </c>
      <c r="G272" s="101" t="str">
        <f>INDEX(Tableau8[Att1],MATCH(Tableau3[[#This Row],[ID-INS]],Tableau8[ID],0))&amp;""</f>
        <v>V1</v>
      </c>
      <c r="H272" s="101" t="str">
        <f>INDEX(Tableau8[Att2],MATCH(Tableau3[[#This Row],[ID-INS]],Tableau8[ID],0))&amp;""</f>
        <v>BH6</v>
      </c>
      <c r="I272" s="101" t="str">
        <f>INDEX(Tableau8[Att3],MATCH(Tableau3[[#This Row],[ID-INS]],Tableau8[ID],0))&amp;""</f>
        <v>Barrière BH6</v>
      </c>
      <c r="J272" s="101"/>
      <c r="K272" s="167" t="str">
        <f>INDEX(Tableau8[Nom du modele],MATCH(Tableau3[[#This Row],[ID-INS]],Tableau8[ID],0))&amp;""</f>
        <v>BarriereHerse_1</v>
      </c>
      <c r="L272" s="99" t="str">
        <f>INDEX(Tableau5[Att1],MATCH(Tableau3[[#This Row],[ID-SIG]],Tableau5[ID],0))&amp;""</f>
        <v>Fer2</v>
      </c>
      <c r="M272" s="99" t="str">
        <f>INDEX(Tableau5[Att2],MATCH(Tableau3[[#This Row],[ID-SIG]],Tableau5[ID],0))&amp;""</f>
        <v/>
      </c>
      <c r="N272" s="99" t="str">
        <f>INDEX(Tableau5[Att3],MATCH(Tableau3[[#This Row],[ID-SIG]],Tableau5[ID],0))&amp;""</f>
        <v/>
      </c>
      <c r="O272" s="99"/>
      <c r="P272" s="99" t="str">
        <f>INDEX(Tableau5[Description],MATCH(Tableau3[[#This Row],[ID-SIG]],Tableau5[ID],0))</f>
        <v>Position 2 fermé</v>
      </c>
      <c r="Q272" s="99"/>
      <c r="R272" s="103" t="str">
        <f>Tableau3[[#This Row],[Description]]</f>
        <v>Position 2 fermé</v>
      </c>
      <c r="U272" s="87">
        <v>2</v>
      </c>
      <c r="V272" s="87">
        <v>1</v>
      </c>
      <c r="W272" s="87">
        <v>9</v>
      </c>
      <c r="X272" s="87">
        <v>6</v>
      </c>
      <c r="Y272" s="40"/>
      <c r="Z272" s="165" t="str">
        <f>INDEX(Tableau2[TS],MATCH(Tableau3[[#This Row],[ID-CARTEVOIE]],Tableau2[ID-CARTEVOIE],0))</f>
        <v>ET</v>
      </c>
      <c r="AA272" s="53" t="s">
        <v>213</v>
      </c>
      <c r="AB272" s="223" t="str">
        <f>IFERROR(INDEX(Tableau5[Reserve],MATCH(Tableau3[[#This Row],[ID-SIG]],Tableau5[ID],0))&amp;"","")</f>
        <v/>
      </c>
      <c r="AC272" s="21"/>
      <c r="AD272" s="108" t="str">
        <f>INDEX(Tableau7[Repere],MATCH(Tableau3[[#This Row],[ID-API]],Tableau7[ID-API],0))&amp;""</f>
        <v>A2</v>
      </c>
      <c r="AE272" s="108" t="str">
        <f>INDEX(Tableau1[Repere-Rack],MATCH(Tableau3[[#This Row],[ID-RACK]],Tableau1[ID-RACK],0))&amp;""</f>
        <v>R1</v>
      </c>
      <c r="AF272" s="108" t="str">
        <f>INDEX(Tableau1[Repere-Slot],MATCH(Tableau3[[#This Row],[ID-SLOT]],Tableau1[ID-SLOT],0))&amp;""</f>
        <v>S9</v>
      </c>
      <c r="AG272" s="108" t="str">
        <f>INDEX(Tableau2[Repere-Voie],MATCH(Tableau3[[#This Row],[ID-VOIE]],Tableau2[ID-Voie],0))&amp;""</f>
        <v>v6</v>
      </c>
      <c r="AH272" s="72" t="str">
        <f>Tableau3[[#This Row],[ID-API]]&amp; "." &amp;Tableau3[[#This Row],[ID-RACK]]&amp; "." &amp;Tableau3[[#This Row],[ID-SLOT]]</f>
        <v>2.1.9</v>
      </c>
      <c r="AI272" s="72" t="str">
        <f>INDEX(Tableau1[Ref-Carte],MATCH(Tableau3[[#This Row],[ID-RRS]],Tableau1[ID-RRS],0))</f>
        <v>SDI1602</v>
      </c>
      <c r="AJ272" s="72" t="str">
        <f t="array" ref="AJ272">IFERROR(INDEX(Tableau2[TS],MATCH(1,(Tableau2[Ref-Carte]=Tableau3[[#This Row],[Ref-Carte2]])*(Tableau2[ID-Voie]=Tableau3[[#This Row],[ID-VOIE]]),0)),"")</f>
        <v>ET</v>
      </c>
      <c r="AK272" s="72" t="str">
        <f>IFERROR(INDEX(Tableau2[TS],SUMPRODUCT((Tableau2[Ref-Carte]=Tableau3[[#This Row],[Ref-Carte2]])*(Tableau2[ID-Voie]=Tableau3[[#This Row],[ID-VOIE]])*ROW(Tableau2[TS]))-ROW(Tableau2[#Headers])),"")</f>
        <v>ET</v>
      </c>
      <c r="AL272" s="72" t="str">
        <f>Tableau3[[#This Row],[Ref-Carte2]]&amp;"/"&amp;Tableau3[[#This Row],[ID-VOIE]]</f>
        <v>SDI1602/6</v>
      </c>
      <c r="AM272" s="73" t="str">
        <f>INDEX(Tableau2[Borne],MATCH(Tableau3[[#This Row],[ID-CARTEVOIE]],Tableau2[ID-CARTEVOIE],0))&amp;""</f>
        <v>3B</v>
      </c>
      <c r="AN272" s="74" t="str">
        <f>Tableau3[[#This Row],[ID-API]]&amp;Tableau3[[#This Row],[ID-RACK]]&amp;Tableau3[[#This Row],[ID-SLOT]]&amp;Tableau3[[#This Row],[BORNE]]</f>
        <v>2193B</v>
      </c>
      <c r="AO272" s="1"/>
    </row>
    <row r="273" spans="1:41" ht="20.100000000000001" customHeight="1" thickTop="1" thickBot="1">
      <c r="A273" s="68"/>
      <c r="B273" s="69" t="str">
        <f>IFERROR(INDEX(Tableau4[Date],MATCH($A273,Tableau4[EVO],0)),"")</f>
        <v/>
      </c>
      <c r="C273" s="68" t="str">
        <f>IFERROR(INDEX(Tableau4[Designation],MATCH($A273,Tableau4[EVO],0)),"")</f>
        <v/>
      </c>
      <c r="D273" s="68"/>
      <c r="E273" s="70">
        <v>37</v>
      </c>
      <c r="F273" s="71">
        <v>77</v>
      </c>
      <c r="G273" s="101" t="str">
        <f>INDEX(Tableau8[Att1],MATCH(Tableau3[[#This Row],[ID-INS]],Tableau8[ID],0))&amp;""</f>
        <v>V1</v>
      </c>
      <c r="H273" s="101" t="str">
        <f>INDEX(Tableau8[Att2],MATCH(Tableau3[[#This Row],[ID-INS]],Tableau8[ID],0))&amp;""</f>
        <v>BH6</v>
      </c>
      <c r="I273" s="101" t="str">
        <f>INDEX(Tableau8[Att3],MATCH(Tableau3[[#This Row],[ID-INS]],Tableau8[ID],0))&amp;""</f>
        <v>Barrière BH6</v>
      </c>
      <c r="J273" s="101"/>
      <c r="K273" s="167" t="str">
        <f>INDEX(Tableau8[Nom du modele],MATCH(Tableau3[[#This Row],[ID-INS]],Tableau8[ID],0))&amp;""</f>
        <v>BarriereHerse_1</v>
      </c>
      <c r="L273" s="99" t="str">
        <f>INDEX(Tableau5[Att1],MATCH(Tableau3[[#This Row],[ID-SIG]],Tableau5[ID],0))&amp;""</f>
        <v>Ouv</v>
      </c>
      <c r="M273" s="99" t="str">
        <f>INDEX(Tableau5[Att2],MATCH(Tableau3[[#This Row],[ID-SIG]],Tableau5[ID],0))&amp;""</f>
        <v/>
      </c>
      <c r="N273" s="99" t="str">
        <f>INDEX(Tableau5[Att3],MATCH(Tableau3[[#This Row],[ID-SIG]],Tableau5[ID],0))&amp;""</f>
        <v/>
      </c>
      <c r="O273" s="99"/>
      <c r="P273" s="99" t="str">
        <f>INDEX(Tableau5[Description],MATCH(Tableau3[[#This Row],[ID-SIG]],Tableau5[ID],0))</f>
        <v>Position ouverte</v>
      </c>
      <c r="Q273" s="99"/>
      <c r="R273" s="103" t="str">
        <f>Tableau3[[#This Row],[Description]]</f>
        <v>Position ouverte</v>
      </c>
      <c r="U273" s="87">
        <v>2</v>
      </c>
      <c r="V273" s="87">
        <v>1</v>
      </c>
      <c r="W273" s="87">
        <v>9</v>
      </c>
      <c r="X273" s="87">
        <v>7</v>
      </c>
      <c r="Y273" s="40"/>
      <c r="Z273" s="165" t="str">
        <f>INDEX(Tableau2[TS],MATCH(Tableau3[[#This Row],[ID-CARTEVOIE]],Tableau2[ID-CARTEVOIE],0))</f>
        <v>ET</v>
      </c>
      <c r="AA273" s="53" t="s">
        <v>213</v>
      </c>
      <c r="AB273" s="223" t="str">
        <f>IFERROR(INDEX(Tableau5[Reserve],MATCH(Tableau3[[#This Row],[ID-SIG]],Tableau5[ID],0))&amp;"","")</f>
        <v/>
      </c>
      <c r="AC273" s="21"/>
      <c r="AD273" s="108" t="str">
        <f>INDEX(Tableau7[Repere],MATCH(Tableau3[[#This Row],[ID-API]],Tableau7[ID-API],0))&amp;""</f>
        <v>A2</v>
      </c>
      <c r="AE273" s="108" t="str">
        <f>INDEX(Tableau1[Repere-Rack],MATCH(Tableau3[[#This Row],[ID-RACK]],Tableau1[ID-RACK],0))&amp;""</f>
        <v>R1</v>
      </c>
      <c r="AF273" s="108" t="str">
        <f>INDEX(Tableau1[Repere-Slot],MATCH(Tableau3[[#This Row],[ID-SLOT]],Tableau1[ID-SLOT],0))&amp;""</f>
        <v>S9</v>
      </c>
      <c r="AG273" s="108" t="str">
        <f>INDEX(Tableau2[Repere-Voie],MATCH(Tableau3[[#This Row],[ID-VOIE]],Tableau2[ID-Voie],0))&amp;""</f>
        <v>v7</v>
      </c>
      <c r="AH273" s="72" t="str">
        <f>Tableau3[[#This Row],[ID-API]]&amp; "." &amp;Tableau3[[#This Row],[ID-RACK]]&amp; "." &amp;Tableau3[[#This Row],[ID-SLOT]]</f>
        <v>2.1.9</v>
      </c>
      <c r="AI273" s="72" t="str">
        <f>INDEX(Tableau1[Ref-Carte],MATCH(Tableau3[[#This Row],[ID-RRS]],Tableau1[ID-RRS],0))</f>
        <v>SDI1602</v>
      </c>
      <c r="AJ273" s="72" t="str">
        <f t="array" ref="AJ273">IFERROR(INDEX(Tableau2[TS],MATCH(1,(Tableau2[Ref-Carte]=Tableau3[[#This Row],[Ref-Carte2]])*(Tableau2[ID-Voie]=Tableau3[[#This Row],[ID-VOIE]]),0)),"")</f>
        <v>ET</v>
      </c>
      <c r="AK273" s="72" t="str">
        <f>IFERROR(INDEX(Tableau2[TS],SUMPRODUCT((Tableau2[Ref-Carte]=Tableau3[[#This Row],[Ref-Carte2]])*(Tableau2[ID-Voie]=Tableau3[[#This Row],[ID-VOIE]])*ROW(Tableau2[TS]))-ROW(Tableau2[#Headers])),"")</f>
        <v>ET</v>
      </c>
      <c r="AL273" s="72" t="str">
        <f>Tableau3[[#This Row],[Ref-Carte2]]&amp;"/"&amp;Tableau3[[#This Row],[ID-VOIE]]</f>
        <v>SDI1602/7</v>
      </c>
      <c r="AM273" s="73" t="str">
        <f>INDEX(Tableau2[Borne],MATCH(Tableau3[[#This Row],[ID-CARTEVOIE]],Tableau2[ID-CARTEVOIE],0))&amp;""</f>
        <v>3A</v>
      </c>
      <c r="AN273" s="74" t="str">
        <f>Tableau3[[#This Row],[ID-API]]&amp;Tableau3[[#This Row],[ID-RACK]]&amp;Tableau3[[#This Row],[ID-SLOT]]&amp;Tableau3[[#This Row],[BORNE]]</f>
        <v>2193A</v>
      </c>
      <c r="AO273" s="1"/>
    </row>
    <row r="274" spans="1:41" ht="20.100000000000001" customHeight="1" thickTop="1" thickBot="1">
      <c r="A274" s="68"/>
      <c r="B274" s="69" t="str">
        <f>IFERROR(INDEX(Tableau4[Date],MATCH($A274,Tableau4[EVO],0)),"")</f>
        <v/>
      </c>
      <c r="C274" s="68" t="str">
        <f>IFERROR(INDEX(Tableau4[Designation],MATCH($A274,Tableau4[EVO],0)),"")</f>
        <v/>
      </c>
      <c r="D274" s="68"/>
      <c r="E274" s="70">
        <v>37</v>
      </c>
      <c r="F274" s="71">
        <v>78</v>
      </c>
      <c r="G274" s="101" t="str">
        <f>INDEX(Tableau8[Att1],MATCH(Tableau3[[#This Row],[ID-INS]],Tableau8[ID],0))&amp;""</f>
        <v>V1</v>
      </c>
      <c r="H274" s="101" t="str">
        <f>INDEX(Tableau8[Att2],MATCH(Tableau3[[#This Row],[ID-INS]],Tableau8[ID],0))&amp;""</f>
        <v>BH6</v>
      </c>
      <c r="I274" s="101" t="str">
        <f>INDEX(Tableau8[Att3],MATCH(Tableau3[[#This Row],[ID-INS]],Tableau8[ID],0))&amp;""</f>
        <v>Barrière BH6</v>
      </c>
      <c r="J274" s="101"/>
      <c r="K274" s="167" t="str">
        <f>INDEX(Tableau8[Nom du modele],MATCH(Tableau3[[#This Row],[ID-INS]],Tableau8[ID],0))&amp;""</f>
        <v>BarriereHerse_1</v>
      </c>
      <c r="L274" s="99" t="str">
        <f>INDEX(Tableau5[Att1],MATCH(Tableau3[[#This Row],[ID-SIG]],Tableau5[ID],0))&amp;""</f>
        <v>Effraction</v>
      </c>
      <c r="M274" s="99" t="str">
        <f>INDEX(Tableau5[Att2],MATCH(Tableau3[[#This Row],[ID-SIG]],Tableau5[ID],0))&amp;""</f>
        <v/>
      </c>
      <c r="N274" s="99" t="str">
        <f>INDEX(Tableau5[Att3],MATCH(Tableau3[[#This Row],[ID-SIG]],Tableau5[ID],0))&amp;""</f>
        <v/>
      </c>
      <c r="O274" s="99"/>
      <c r="P274" s="99" t="str">
        <f>INDEX(Tableau5[Description],MATCH(Tableau3[[#This Row],[ID-SIG]],Tableau5[ID],0))</f>
        <v>Effraction</v>
      </c>
      <c r="Q274" s="99"/>
      <c r="R274" s="103" t="str">
        <f>Tableau3[[#This Row],[Description]]</f>
        <v>Effraction</v>
      </c>
      <c r="U274" s="87">
        <v>2</v>
      </c>
      <c r="V274" s="87">
        <v>1</v>
      </c>
      <c r="W274" s="87">
        <v>9</v>
      </c>
      <c r="X274" s="87">
        <v>8</v>
      </c>
      <c r="Y274" s="40"/>
      <c r="Z274" s="165" t="str">
        <f>INDEX(Tableau2[TS],MATCH(Tableau3[[#This Row],[ID-CARTEVOIE]],Tableau2[ID-CARTEVOIE],0))</f>
        <v>ET</v>
      </c>
      <c r="AA274" s="53" t="s">
        <v>213</v>
      </c>
      <c r="AB274" s="223" t="str">
        <f>IFERROR(INDEX(Tableau5[Reserve],MATCH(Tableau3[[#This Row],[ID-SIG]],Tableau5[ID],0))&amp;"","")</f>
        <v/>
      </c>
      <c r="AC274" s="21"/>
      <c r="AD274" s="108" t="str">
        <f>INDEX(Tableau7[Repere],MATCH(Tableau3[[#This Row],[ID-API]],Tableau7[ID-API],0))&amp;""</f>
        <v>A2</v>
      </c>
      <c r="AE274" s="108" t="str">
        <f>INDEX(Tableau1[Repere-Rack],MATCH(Tableau3[[#This Row],[ID-RACK]],Tableau1[ID-RACK],0))&amp;""</f>
        <v>R1</v>
      </c>
      <c r="AF274" s="108" t="str">
        <f>INDEX(Tableau1[Repere-Slot],MATCH(Tableau3[[#This Row],[ID-SLOT]],Tableau1[ID-SLOT],0))&amp;""</f>
        <v>S9</v>
      </c>
      <c r="AG274" s="108" t="str">
        <f>INDEX(Tableau2[Repere-Voie],MATCH(Tableau3[[#This Row],[ID-VOIE]],Tableau2[ID-Voie],0))&amp;""</f>
        <v>v8</v>
      </c>
      <c r="AH274" s="72" t="str">
        <f>Tableau3[[#This Row],[ID-API]]&amp; "." &amp;Tableau3[[#This Row],[ID-RACK]]&amp; "." &amp;Tableau3[[#This Row],[ID-SLOT]]</f>
        <v>2.1.9</v>
      </c>
      <c r="AI274" s="72" t="str">
        <f>INDEX(Tableau1[Ref-Carte],MATCH(Tableau3[[#This Row],[ID-RRS]],Tableau1[ID-RRS],0))</f>
        <v>SDI1602</v>
      </c>
      <c r="AJ274" s="72" t="str">
        <f t="array" ref="AJ274">IFERROR(INDEX(Tableau2[TS],MATCH(1,(Tableau2[Ref-Carte]=Tableau3[[#This Row],[Ref-Carte2]])*(Tableau2[ID-Voie]=Tableau3[[#This Row],[ID-VOIE]]),0)),"")</f>
        <v>ET</v>
      </c>
      <c r="AK274" s="72" t="str">
        <f>IFERROR(INDEX(Tableau2[TS],SUMPRODUCT((Tableau2[Ref-Carte]=Tableau3[[#This Row],[Ref-Carte2]])*(Tableau2[ID-Voie]=Tableau3[[#This Row],[ID-VOIE]])*ROW(Tableau2[TS]))-ROW(Tableau2[#Headers])),"")</f>
        <v>ET</v>
      </c>
      <c r="AL274" s="72" t="str">
        <f>Tableau3[[#This Row],[Ref-Carte2]]&amp;"/"&amp;Tableau3[[#This Row],[ID-VOIE]]</f>
        <v>SDI1602/8</v>
      </c>
      <c r="AM274" s="73" t="str">
        <f>INDEX(Tableau2[Borne],MATCH(Tableau3[[#This Row],[ID-CARTEVOIE]],Tableau2[ID-CARTEVOIE],0))&amp;""</f>
        <v>4B</v>
      </c>
      <c r="AN274" s="74" t="str">
        <f>Tableau3[[#This Row],[ID-API]]&amp;Tableau3[[#This Row],[ID-RACK]]&amp;Tableau3[[#This Row],[ID-SLOT]]&amp;Tableau3[[#This Row],[BORNE]]</f>
        <v>2194B</v>
      </c>
      <c r="AO274" s="1"/>
    </row>
    <row r="275" spans="1:41" ht="20.100000000000001" customHeight="1" thickTop="1" thickBot="1">
      <c r="A275" s="68"/>
      <c r="B275" s="69" t="str">
        <f>IFERROR(INDEX(Tableau4[Date],MATCH($A275,Tableau4[EVO],0)),"")</f>
        <v/>
      </c>
      <c r="C275" s="68" t="str">
        <f>IFERROR(INDEX(Tableau4[Designation],MATCH($A275,Tableau4[EVO],0)),"")</f>
        <v/>
      </c>
      <c r="D275" s="68"/>
      <c r="E275" s="70">
        <v>37</v>
      </c>
      <c r="F275" s="71">
        <v>79</v>
      </c>
      <c r="G275" s="101" t="str">
        <f>INDEX(Tableau8[Att1],MATCH(Tableau3[[#This Row],[ID-INS]],Tableau8[ID],0))&amp;""</f>
        <v>V1</v>
      </c>
      <c r="H275" s="101" t="str">
        <f>INDEX(Tableau8[Att2],MATCH(Tableau3[[#This Row],[ID-INS]],Tableau8[ID],0))&amp;""</f>
        <v>BH6</v>
      </c>
      <c r="I275" s="101" t="str">
        <f>INDEX(Tableau8[Att3],MATCH(Tableau3[[#This Row],[ID-INS]],Tableau8[ID],0))&amp;""</f>
        <v>Barrière BH6</v>
      </c>
      <c r="J275" s="101"/>
      <c r="K275" s="167" t="str">
        <f>INDEX(Tableau8[Nom du modele],MATCH(Tableau3[[#This Row],[ID-INS]],Tableau8[ID],0))&amp;""</f>
        <v>BarriereHerse_1</v>
      </c>
      <c r="L275" s="99" t="str">
        <f>INDEX(Tableau5[Att1],MATCH(Tableau3[[#This Row],[ID-SIG]],Tableau5[ID],0))&amp;""</f>
        <v>SynthDef</v>
      </c>
      <c r="M275" s="99" t="str">
        <f>INDEX(Tableau5[Att2],MATCH(Tableau3[[#This Row],[ID-SIG]],Tableau5[ID],0))&amp;""</f>
        <v/>
      </c>
      <c r="N275" s="99" t="str">
        <f>INDEX(Tableau5[Att3],MATCH(Tableau3[[#This Row],[ID-SIG]],Tableau5[ID],0))&amp;""</f>
        <v/>
      </c>
      <c r="O275" s="99"/>
      <c r="P275" s="99" t="str">
        <f>INDEX(Tableau5[Description],MATCH(Tableau3[[#This Row],[ID-SIG]],Tableau5[ID],0))</f>
        <v>Synthèse défaut</v>
      </c>
      <c r="Q275" s="99"/>
      <c r="R275" s="103" t="str">
        <f>Tableau3[[#This Row],[Description]]</f>
        <v>Synthèse défaut</v>
      </c>
      <c r="U275" s="87">
        <v>2</v>
      </c>
      <c r="V275" s="87">
        <v>1</v>
      </c>
      <c r="W275" s="87">
        <v>9</v>
      </c>
      <c r="X275" s="87">
        <v>9</v>
      </c>
      <c r="Y275" s="40"/>
      <c r="Z275" s="165" t="str">
        <f>INDEX(Tableau2[TS],MATCH(Tableau3[[#This Row],[ID-CARTEVOIE]],Tableau2[ID-CARTEVOIE],0))</f>
        <v>ET</v>
      </c>
      <c r="AA275" s="53" t="s">
        <v>213</v>
      </c>
      <c r="AB275" s="223" t="str">
        <f>IFERROR(INDEX(Tableau5[Reserve],MATCH(Tableau3[[#This Row],[ID-SIG]],Tableau5[ID],0))&amp;"","")</f>
        <v/>
      </c>
      <c r="AC275" s="21"/>
      <c r="AD275" s="108" t="str">
        <f>INDEX(Tableau7[Repere],MATCH(Tableau3[[#This Row],[ID-API]],Tableau7[ID-API],0))&amp;""</f>
        <v>A2</v>
      </c>
      <c r="AE275" s="108" t="str">
        <f>INDEX(Tableau1[Repere-Rack],MATCH(Tableau3[[#This Row],[ID-RACK]],Tableau1[ID-RACK],0))&amp;""</f>
        <v>R1</v>
      </c>
      <c r="AF275" s="108" t="str">
        <f>INDEX(Tableau1[Repere-Slot],MATCH(Tableau3[[#This Row],[ID-SLOT]],Tableau1[ID-SLOT],0))&amp;""</f>
        <v>S9</v>
      </c>
      <c r="AG275" s="108" t="str">
        <f>INDEX(Tableau2[Repere-Voie],MATCH(Tableau3[[#This Row],[ID-VOIE]],Tableau2[ID-Voie],0))&amp;""</f>
        <v>v9</v>
      </c>
      <c r="AH275" s="72" t="str">
        <f>Tableau3[[#This Row],[ID-API]]&amp; "." &amp;Tableau3[[#This Row],[ID-RACK]]&amp; "." &amp;Tableau3[[#This Row],[ID-SLOT]]</f>
        <v>2.1.9</v>
      </c>
      <c r="AI275" s="72" t="str">
        <f>INDEX(Tableau1[Ref-Carte],MATCH(Tableau3[[#This Row],[ID-RRS]],Tableau1[ID-RRS],0))</f>
        <v>SDI1602</v>
      </c>
      <c r="AJ275" s="72" t="str">
        <f t="array" ref="AJ275">IFERROR(INDEX(Tableau2[TS],MATCH(1,(Tableau2[Ref-Carte]=Tableau3[[#This Row],[Ref-Carte2]])*(Tableau2[ID-Voie]=Tableau3[[#This Row],[ID-VOIE]]),0)),"")</f>
        <v>ET</v>
      </c>
      <c r="AK275" s="72" t="str">
        <f>IFERROR(INDEX(Tableau2[TS],SUMPRODUCT((Tableau2[Ref-Carte]=Tableau3[[#This Row],[Ref-Carte2]])*(Tableau2[ID-Voie]=Tableau3[[#This Row],[ID-VOIE]])*ROW(Tableau2[TS]))-ROW(Tableau2[#Headers])),"")</f>
        <v>ET</v>
      </c>
      <c r="AL275" s="72" t="str">
        <f>Tableau3[[#This Row],[Ref-Carte2]]&amp;"/"&amp;Tableau3[[#This Row],[ID-VOIE]]</f>
        <v>SDI1602/9</v>
      </c>
      <c r="AM275" s="73" t="str">
        <f>INDEX(Tableau2[Borne],MATCH(Tableau3[[#This Row],[ID-CARTEVOIE]],Tableau2[ID-CARTEVOIE],0))&amp;""</f>
        <v>4A</v>
      </c>
      <c r="AN275" s="74" t="str">
        <f>Tableau3[[#This Row],[ID-API]]&amp;Tableau3[[#This Row],[ID-RACK]]&amp;Tableau3[[#This Row],[ID-SLOT]]&amp;Tableau3[[#This Row],[BORNE]]</f>
        <v>2194A</v>
      </c>
      <c r="AO275" s="1"/>
    </row>
    <row r="276" spans="1:41" ht="20.100000000000001" customHeight="1" thickTop="1" thickBot="1">
      <c r="A276" s="68"/>
      <c r="B276" s="69" t="str">
        <f>IFERROR(INDEX(Tableau4[Date],MATCH($A276,Tableau4[EVO],0)),"")</f>
        <v/>
      </c>
      <c r="C276" s="68" t="str">
        <f>IFERROR(INDEX(Tableau4[Designation],MATCH($A276,Tableau4[EVO],0)),"")</f>
        <v/>
      </c>
      <c r="D276" s="68"/>
      <c r="E276" s="70">
        <v>37</v>
      </c>
      <c r="F276" s="71">
        <v>80</v>
      </c>
      <c r="G276" s="101" t="str">
        <f>INDEX(Tableau8[Att1],MATCH(Tableau3[[#This Row],[ID-INS]],Tableau8[ID],0))&amp;""</f>
        <v>V1</v>
      </c>
      <c r="H276" s="101" t="str">
        <f>INDEX(Tableau8[Att2],MATCH(Tableau3[[#This Row],[ID-INS]],Tableau8[ID],0))&amp;""</f>
        <v>BH6</v>
      </c>
      <c r="I276" s="101" t="str">
        <f>INDEX(Tableau8[Att3],MATCH(Tableau3[[#This Row],[ID-INS]],Tableau8[ID],0))&amp;""</f>
        <v>Barrière BH6</v>
      </c>
      <c r="J276" s="101"/>
      <c r="K276" s="167" t="str">
        <f>INDEX(Tableau8[Nom du modele],MATCH(Tableau3[[#This Row],[ID-INS]],Tableau8[ID],0))&amp;""</f>
        <v>BarriereHerse_1</v>
      </c>
      <c r="L276" s="99" t="str">
        <f>INDEX(Tableau5[Att1],MATCH(Tableau3[[#This Row],[ID-SIG]],Tableau5[ID],0))&amp;""</f>
        <v>FerRet1</v>
      </c>
      <c r="M276" s="99" t="str">
        <f>INDEX(Tableau5[Att2],MATCH(Tableau3[[#This Row],[ID-SIG]],Tableau5[ID],0))&amp;""</f>
        <v/>
      </c>
      <c r="N276" s="99" t="str">
        <f>INDEX(Tableau5[Att3],MATCH(Tableau3[[#This Row],[ID-SIG]],Tableau5[ID],0))&amp;""</f>
        <v/>
      </c>
      <c r="O276" s="99"/>
      <c r="P276" s="99" t="str">
        <f>INDEX(Tableau5[Description],MATCH(Tableau3[[#This Row],[ID-SIG]],Tableau5[ID],0))</f>
        <v>Retour Commande 1 fermeture</v>
      </c>
      <c r="Q276" s="99"/>
      <c r="R276" s="103" t="str">
        <f>Tableau3[[#This Row],[Description]]</f>
        <v>Retour Commande 1 fermeture</v>
      </c>
      <c r="U276" s="87">
        <v>2</v>
      </c>
      <c r="V276" s="87">
        <v>1</v>
      </c>
      <c r="W276" s="87">
        <v>9</v>
      </c>
      <c r="X276" s="87">
        <v>10</v>
      </c>
      <c r="Y276" s="40"/>
      <c r="Z276" s="165" t="str">
        <f>INDEX(Tableau2[TS],MATCH(Tableau3[[#This Row],[ID-CARTEVOIE]],Tableau2[ID-CARTEVOIE],0))</f>
        <v>ET</v>
      </c>
      <c r="AA276" s="53" t="s">
        <v>213</v>
      </c>
      <c r="AB276" s="223" t="str">
        <f>IFERROR(INDEX(Tableau5[Reserve],MATCH(Tableau3[[#This Row],[ID-SIG]],Tableau5[ID],0))&amp;"","")</f>
        <v/>
      </c>
      <c r="AC276" s="21"/>
      <c r="AD276" s="108" t="str">
        <f>INDEX(Tableau7[Repere],MATCH(Tableau3[[#This Row],[ID-API]],Tableau7[ID-API],0))&amp;""</f>
        <v>A2</v>
      </c>
      <c r="AE276" s="108" t="str">
        <f>INDEX(Tableau1[Repere-Rack],MATCH(Tableau3[[#This Row],[ID-RACK]],Tableau1[ID-RACK],0))&amp;""</f>
        <v>R1</v>
      </c>
      <c r="AF276" s="108" t="str">
        <f>INDEX(Tableau1[Repere-Slot],MATCH(Tableau3[[#This Row],[ID-SLOT]],Tableau1[ID-SLOT],0))&amp;""</f>
        <v>S9</v>
      </c>
      <c r="AG276" s="108" t="str">
        <f>INDEX(Tableau2[Repere-Voie],MATCH(Tableau3[[#This Row],[ID-VOIE]],Tableau2[ID-Voie],0))&amp;""</f>
        <v>v10</v>
      </c>
      <c r="AH276" s="72" t="str">
        <f>Tableau3[[#This Row],[ID-API]]&amp; "." &amp;Tableau3[[#This Row],[ID-RACK]]&amp; "." &amp;Tableau3[[#This Row],[ID-SLOT]]</f>
        <v>2.1.9</v>
      </c>
      <c r="AI276" s="72" t="str">
        <f>INDEX(Tableau1[Ref-Carte],MATCH(Tableau3[[#This Row],[ID-RRS]],Tableau1[ID-RRS],0))</f>
        <v>SDI1602</v>
      </c>
      <c r="AJ276" s="72" t="str">
        <f t="array" ref="AJ276">IFERROR(INDEX(Tableau2[TS],MATCH(1,(Tableau2[Ref-Carte]=Tableau3[[#This Row],[Ref-Carte2]])*(Tableau2[ID-Voie]=Tableau3[[#This Row],[ID-VOIE]]),0)),"")</f>
        <v>ET</v>
      </c>
      <c r="AK276" s="72" t="str">
        <f>IFERROR(INDEX(Tableau2[TS],SUMPRODUCT((Tableau2[Ref-Carte]=Tableau3[[#This Row],[Ref-Carte2]])*(Tableau2[ID-Voie]=Tableau3[[#This Row],[ID-VOIE]])*ROW(Tableau2[TS]))-ROW(Tableau2[#Headers])),"")</f>
        <v>ET</v>
      </c>
      <c r="AL276" s="72" t="str">
        <f>Tableau3[[#This Row],[Ref-Carte2]]&amp;"/"&amp;Tableau3[[#This Row],[ID-VOIE]]</f>
        <v>SDI1602/10</v>
      </c>
      <c r="AM276" s="73" t="str">
        <f>INDEX(Tableau2[Borne],MATCH(Tableau3[[#This Row],[ID-CARTEVOIE]],Tableau2[ID-CARTEVOIE],0))&amp;""</f>
        <v>5B</v>
      </c>
      <c r="AN276" s="74" t="str">
        <f>Tableau3[[#This Row],[ID-API]]&amp;Tableau3[[#This Row],[ID-RACK]]&amp;Tableau3[[#This Row],[ID-SLOT]]&amp;Tableau3[[#This Row],[BORNE]]</f>
        <v>2195B</v>
      </c>
      <c r="AO276" s="1"/>
    </row>
    <row r="277" spans="1:41" ht="20.100000000000001" customHeight="1" thickTop="1" thickBot="1">
      <c r="A277" s="68"/>
      <c r="B277" s="69" t="str">
        <f>IFERROR(INDEX(Tableau4[Date],MATCH($A277,Tableau4[EVO],0)),"")</f>
        <v/>
      </c>
      <c r="C277" s="68" t="str">
        <f>IFERROR(INDEX(Tableau4[Designation],MATCH($A277,Tableau4[EVO],0)),"")</f>
        <v/>
      </c>
      <c r="D277" s="68"/>
      <c r="E277" s="70">
        <v>37</v>
      </c>
      <c r="F277" s="71">
        <v>81</v>
      </c>
      <c r="G277" s="101" t="str">
        <f>INDEX(Tableau8[Att1],MATCH(Tableau3[[#This Row],[ID-INS]],Tableau8[ID],0))&amp;""</f>
        <v>V1</v>
      </c>
      <c r="H277" s="101" t="str">
        <f>INDEX(Tableau8[Att2],MATCH(Tableau3[[#This Row],[ID-INS]],Tableau8[ID],0))&amp;""</f>
        <v>BH6</v>
      </c>
      <c r="I277" s="101" t="str">
        <f>INDEX(Tableau8[Att3],MATCH(Tableau3[[#This Row],[ID-INS]],Tableau8[ID],0))&amp;""</f>
        <v>Barrière BH6</v>
      </c>
      <c r="J277" s="101"/>
      <c r="K277" s="167" t="str">
        <f>INDEX(Tableau8[Nom du modele],MATCH(Tableau3[[#This Row],[ID-INS]],Tableau8[ID],0))&amp;""</f>
        <v>BarriereHerse_1</v>
      </c>
      <c r="L277" s="99" t="str">
        <f>INDEX(Tableau5[Att1],MATCH(Tableau3[[#This Row],[ID-SIG]],Tableau5[ID],0))&amp;""</f>
        <v>Pres</v>
      </c>
      <c r="M277" s="99" t="str">
        <f>INDEX(Tableau5[Att2],MATCH(Tableau3[[#This Row],[ID-SIG]],Tableau5[ID],0))&amp;""</f>
        <v/>
      </c>
      <c r="N277" s="99" t="str">
        <f>INDEX(Tableau5[Att3],MATCH(Tableau3[[#This Row],[ID-SIG]],Tableau5[ID],0))&amp;""</f>
        <v/>
      </c>
      <c r="O277" s="99"/>
      <c r="P277" s="99" t="str">
        <f>INDEX(Tableau5[Description],MATCH(Tableau3[[#This Row],[ID-SIG]],Tableau5[ID],0))</f>
        <v>Présence sous la barrière (Cellule)</v>
      </c>
      <c r="Q277" s="99"/>
      <c r="R277" s="103" t="str">
        <f>Tableau3[[#This Row],[Description]]</f>
        <v>Présence sous la barrière (Cellule)</v>
      </c>
      <c r="U277" s="87">
        <v>2</v>
      </c>
      <c r="V277" s="87">
        <v>1</v>
      </c>
      <c r="W277" s="87">
        <v>9</v>
      </c>
      <c r="X277" s="87">
        <v>11</v>
      </c>
      <c r="Y277" s="40"/>
      <c r="Z277" s="165" t="str">
        <f>INDEX(Tableau2[TS],MATCH(Tableau3[[#This Row],[ID-CARTEVOIE]],Tableau2[ID-CARTEVOIE],0))</f>
        <v>ET</v>
      </c>
      <c r="AA277" s="53" t="s">
        <v>213</v>
      </c>
      <c r="AB277" s="223" t="str">
        <f>IFERROR(INDEX(Tableau5[Reserve],MATCH(Tableau3[[#This Row],[ID-SIG]],Tableau5[ID],0))&amp;"","")</f>
        <v/>
      </c>
      <c r="AC277" s="21"/>
      <c r="AD277" s="108" t="str">
        <f>INDEX(Tableau7[Repere],MATCH(Tableau3[[#This Row],[ID-API]],Tableau7[ID-API],0))&amp;""</f>
        <v>A2</v>
      </c>
      <c r="AE277" s="108" t="str">
        <f>INDEX(Tableau1[Repere-Rack],MATCH(Tableau3[[#This Row],[ID-RACK]],Tableau1[ID-RACK],0))&amp;""</f>
        <v>R1</v>
      </c>
      <c r="AF277" s="108" t="str">
        <f>INDEX(Tableau1[Repere-Slot],MATCH(Tableau3[[#This Row],[ID-SLOT]],Tableau1[ID-SLOT],0))&amp;""</f>
        <v>S9</v>
      </c>
      <c r="AG277" s="108" t="str">
        <f>INDEX(Tableau2[Repere-Voie],MATCH(Tableau3[[#This Row],[ID-VOIE]],Tableau2[ID-Voie],0))&amp;""</f>
        <v>v11</v>
      </c>
      <c r="AH277" s="72" t="str">
        <f>Tableau3[[#This Row],[ID-API]]&amp; "." &amp;Tableau3[[#This Row],[ID-RACK]]&amp; "." &amp;Tableau3[[#This Row],[ID-SLOT]]</f>
        <v>2.1.9</v>
      </c>
      <c r="AI277" s="72" t="str">
        <f>INDEX(Tableau1[Ref-Carte],MATCH(Tableau3[[#This Row],[ID-RRS]],Tableau1[ID-RRS],0))</f>
        <v>SDI1602</v>
      </c>
      <c r="AJ277" s="72" t="str">
        <f t="array" ref="AJ277">IFERROR(INDEX(Tableau2[TS],MATCH(1,(Tableau2[Ref-Carte]=Tableau3[[#This Row],[Ref-Carte2]])*(Tableau2[ID-Voie]=Tableau3[[#This Row],[ID-VOIE]]),0)),"")</f>
        <v>ET</v>
      </c>
      <c r="AK277" s="72" t="str">
        <f>IFERROR(INDEX(Tableau2[TS],SUMPRODUCT((Tableau2[Ref-Carte]=Tableau3[[#This Row],[Ref-Carte2]])*(Tableau2[ID-Voie]=Tableau3[[#This Row],[ID-VOIE]])*ROW(Tableau2[TS]))-ROW(Tableau2[#Headers])),"")</f>
        <v>ET</v>
      </c>
      <c r="AL277" s="72" t="str">
        <f>Tableau3[[#This Row],[Ref-Carte2]]&amp;"/"&amp;Tableau3[[#This Row],[ID-VOIE]]</f>
        <v>SDI1602/11</v>
      </c>
      <c r="AM277" s="73" t="str">
        <f>INDEX(Tableau2[Borne],MATCH(Tableau3[[#This Row],[ID-CARTEVOIE]],Tableau2[ID-CARTEVOIE],0))&amp;""</f>
        <v>5A</v>
      </c>
      <c r="AN277" s="74" t="str">
        <f>Tableau3[[#This Row],[ID-API]]&amp;Tableau3[[#This Row],[ID-RACK]]&amp;Tableau3[[#This Row],[ID-SLOT]]&amp;Tableau3[[#This Row],[BORNE]]</f>
        <v>2195A</v>
      </c>
      <c r="AO277" s="1"/>
    </row>
    <row r="278" spans="1:41" ht="20.100000000000001" customHeight="1" thickTop="1" thickBot="1">
      <c r="A278" s="68"/>
      <c r="B278" s="69" t="str">
        <f>IFERROR(INDEX(Tableau4[Date],MATCH($A278,Tableau4[EVO],0)),"")</f>
        <v/>
      </c>
      <c r="C278" s="68" t="str">
        <f>IFERROR(INDEX(Tableau4[Designation],MATCH($A278,Tableau4[EVO],0)),"")</f>
        <v/>
      </c>
      <c r="D278" s="68"/>
      <c r="E278" s="70">
        <v>72</v>
      </c>
      <c r="F278" s="71">
        <v>66</v>
      </c>
      <c r="G278" s="101" t="str">
        <f>INDEX(Tableau8[Att1],MATCH(Tableau3[[#This Row],[ID-INS]],Tableau8[ID],0))&amp;""</f>
        <v>V1</v>
      </c>
      <c r="H278" s="101" t="str">
        <f>INDEX(Tableau8[Att2],MATCH(Tableau3[[#This Row],[ID-INS]],Tableau8[ID],0))&amp;""</f>
        <v>BH1</v>
      </c>
      <c r="I278" s="101" t="str">
        <f>INDEX(Tableau8[Att3],MATCH(Tableau3[[#This Row],[ID-INS]],Tableau8[ID],0))&amp;""</f>
        <v>Barrière BH1</v>
      </c>
      <c r="J278" s="101"/>
      <c r="K278" s="167" t="str">
        <f>INDEX(Tableau8[Nom du modele],MATCH(Tableau3[[#This Row],[ID-INS]],Tableau8[ID],0))&amp;""</f>
        <v>BarriereLisse</v>
      </c>
      <c r="L278" s="99" t="str">
        <f>INDEX(Tableau5[Att1],MATCH(Tableau3[[#This Row],[ID-SIG]],Tableau5[ID],0))&amp;""</f>
        <v>Ouv</v>
      </c>
      <c r="M278" s="99" t="str">
        <f>INDEX(Tableau5[Att2],MATCH(Tableau3[[#This Row],[ID-SIG]],Tableau5[ID],0))&amp;""</f>
        <v/>
      </c>
      <c r="N278" s="99" t="str">
        <f>INDEX(Tableau5[Att3],MATCH(Tableau3[[#This Row],[ID-SIG]],Tableau5[ID],0))&amp;""</f>
        <v/>
      </c>
      <c r="O278" s="99"/>
      <c r="P278" s="99" t="str">
        <f>INDEX(Tableau5[Description],MATCH(Tableau3[[#This Row],[ID-SIG]],Tableau5[ID],0))</f>
        <v>Position ouverte</v>
      </c>
      <c r="Q278" s="99"/>
      <c r="R278" s="103" t="str">
        <f>Tableau3[[#This Row],[Description]]</f>
        <v>Position ouverte</v>
      </c>
      <c r="U278" s="87">
        <v>2</v>
      </c>
      <c r="V278" s="87">
        <v>1</v>
      </c>
      <c r="W278" s="87">
        <v>9</v>
      </c>
      <c r="X278" s="87">
        <v>12</v>
      </c>
      <c r="Y278" s="40"/>
      <c r="Z278" s="165" t="str">
        <f>INDEX(Tableau2[TS],MATCH(Tableau3[[#This Row],[ID-CARTEVOIE]],Tableau2[ID-CARTEVOIE],0))</f>
        <v>ET</v>
      </c>
      <c r="AA278" s="53" t="s">
        <v>213</v>
      </c>
      <c r="AB278" s="223" t="str">
        <f>IFERROR(INDEX(Tableau5[Reserve],MATCH(Tableau3[[#This Row],[ID-SIG]],Tableau5[ID],0))&amp;"","")</f>
        <v/>
      </c>
      <c r="AC278" s="21"/>
      <c r="AD278" s="108" t="str">
        <f>INDEX(Tableau7[Repere],MATCH(Tableau3[[#This Row],[ID-API]],Tableau7[ID-API],0))&amp;""</f>
        <v>A2</v>
      </c>
      <c r="AE278" s="108" t="str">
        <f>INDEX(Tableau1[Repere-Rack],MATCH(Tableau3[[#This Row],[ID-RACK]],Tableau1[ID-RACK],0))&amp;""</f>
        <v>R1</v>
      </c>
      <c r="AF278" s="108" t="str">
        <f>INDEX(Tableau1[Repere-Slot],MATCH(Tableau3[[#This Row],[ID-SLOT]],Tableau1[ID-SLOT],0))&amp;""</f>
        <v>S9</v>
      </c>
      <c r="AG278" s="108" t="str">
        <f>INDEX(Tableau2[Repere-Voie],MATCH(Tableau3[[#This Row],[ID-VOIE]],Tableau2[ID-Voie],0))&amp;""</f>
        <v>v12</v>
      </c>
      <c r="AH278" s="72" t="str">
        <f>Tableau3[[#This Row],[ID-API]]&amp; "." &amp;Tableau3[[#This Row],[ID-RACK]]&amp; "." &amp;Tableau3[[#This Row],[ID-SLOT]]</f>
        <v>2.1.9</v>
      </c>
      <c r="AI278" s="72" t="str">
        <f>INDEX(Tableau1[Ref-Carte],MATCH(Tableau3[[#This Row],[ID-RRS]],Tableau1[ID-RRS],0))</f>
        <v>SDI1602</v>
      </c>
      <c r="AJ278" s="72" t="str">
        <f t="array" ref="AJ278">IFERROR(INDEX(Tableau2[TS],MATCH(1,(Tableau2[Ref-Carte]=Tableau3[[#This Row],[Ref-Carte2]])*(Tableau2[ID-Voie]=Tableau3[[#This Row],[ID-VOIE]]),0)),"")</f>
        <v>ET</v>
      </c>
      <c r="AK278" s="72" t="str">
        <f>IFERROR(INDEX(Tableau2[TS],SUMPRODUCT((Tableau2[Ref-Carte]=Tableau3[[#This Row],[Ref-Carte2]])*(Tableau2[ID-Voie]=Tableau3[[#This Row],[ID-VOIE]])*ROW(Tableau2[TS]))-ROW(Tableau2[#Headers])),"")</f>
        <v>ET</v>
      </c>
      <c r="AL278" s="72" t="str">
        <f>Tableau3[[#This Row],[Ref-Carte2]]&amp;"/"&amp;Tableau3[[#This Row],[ID-VOIE]]</f>
        <v>SDI1602/12</v>
      </c>
      <c r="AM278" s="73" t="str">
        <f>INDEX(Tableau2[Borne],MATCH(Tableau3[[#This Row],[ID-CARTEVOIE]],Tableau2[ID-CARTEVOIE],0))&amp;""</f>
        <v>6B</v>
      </c>
      <c r="AN278" s="74" t="str">
        <f>Tableau3[[#This Row],[ID-API]]&amp;Tableau3[[#This Row],[ID-RACK]]&amp;Tableau3[[#This Row],[ID-SLOT]]&amp;Tableau3[[#This Row],[BORNE]]</f>
        <v>2196B</v>
      </c>
      <c r="AO278" s="1"/>
    </row>
    <row r="279" spans="1:41" ht="20.100000000000001" customHeight="1" thickTop="1" thickBot="1">
      <c r="A279" s="68"/>
      <c r="B279" s="69" t="str">
        <f>IFERROR(INDEX(Tableau4[Date],MATCH($A279,Tableau4[EVO],0)),"")</f>
        <v/>
      </c>
      <c r="C279" s="68" t="str">
        <f>IFERROR(INDEX(Tableau4[Designation],MATCH($A279,Tableau4[EVO],0)),"")</f>
        <v/>
      </c>
      <c r="D279" s="68"/>
      <c r="E279" s="70">
        <v>72</v>
      </c>
      <c r="F279" s="71">
        <v>67</v>
      </c>
      <c r="G279" s="101" t="str">
        <f>INDEX(Tableau8[Att1],MATCH(Tableau3[[#This Row],[ID-INS]],Tableau8[ID],0))&amp;""</f>
        <v>V1</v>
      </c>
      <c r="H279" s="101" t="str">
        <f>INDEX(Tableau8[Att2],MATCH(Tableau3[[#This Row],[ID-INS]],Tableau8[ID],0))&amp;""</f>
        <v>BH1</v>
      </c>
      <c r="I279" s="101" t="str">
        <f>INDEX(Tableau8[Att3],MATCH(Tableau3[[#This Row],[ID-INS]],Tableau8[ID],0))&amp;""</f>
        <v>Barrière BH1</v>
      </c>
      <c r="J279" s="101"/>
      <c r="K279" s="167" t="str">
        <f>INDEX(Tableau8[Nom du modele],MATCH(Tableau3[[#This Row],[ID-INS]],Tableau8[ID],0))&amp;""</f>
        <v>BarriereLisse</v>
      </c>
      <c r="L279" s="99" t="str">
        <f>INDEX(Tableau5[Att1],MATCH(Tableau3[[#This Row],[ID-SIG]],Tableau5[ID],0))&amp;""</f>
        <v>Fer</v>
      </c>
      <c r="M279" s="99" t="str">
        <f>INDEX(Tableau5[Att2],MATCH(Tableau3[[#This Row],[ID-SIG]],Tableau5[ID],0))&amp;""</f>
        <v/>
      </c>
      <c r="N279" s="99" t="str">
        <f>INDEX(Tableau5[Att3],MATCH(Tableau3[[#This Row],[ID-SIG]],Tableau5[ID],0))&amp;""</f>
        <v/>
      </c>
      <c r="O279" s="99"/>
      <c r="P279" s="99" t="str">
        <f>INDEX(Tableau5[Description],MATCH(Tableau3[[#This Row],[ID-SIG]],Tableau5[ID],0))</f>
        <v>Position fermée</v>
      </c>
      <c r="Q279" s="99"/>
      <c r="R279" s="103" t="str">
        <f>Tableau3[[#This Row],[Description]]</f>
        <v>Position fermée</v>
      </c>
      <c r="U279" s="87">
        <v>2</v>
      </c>
      <c r="V279" s="87">
        <v>1</v>
      </c>
      <c r="W279" s="87">
        <v>9</v>
      </c>
      <c r="X279" s="87">
        <v>13</v>
      </c>
      <c r="Y279" s="40"/>
      <c r="Z279" s="165" t="str">
        <f>INDEX(Tableau2[TS],MATCH(Tableau3[[#This Row],[ID-CARTEVOIE]],Tableau2[ID-CARTEVOIE],0))</f>
        <v>ET</v>
      </c>
      <c r="AA279" s="53" t="s">
        <v>213</v>
      </c>
      <c r="AB279" s="223" t="str">
        <f>IFERROR(INDEX(Tableau5[Reserve],MATCH(Tableau3[[#This Row],[ID-SIG]],Tableau5[ID],0))&amp;"","")</f>
        <v/>
      </c>
      <c r="AC279" s="21"/>
      <c r="AD279" s="108" t="str">
        <f>INDEX(Tableau7[Repere],MATCH(Tableau3[[#This Row],[ID-API]],Tableau7[ID-API],0))&amp;""</f>
        <v>A2</v>
      </c>
      <c r="AE279" s="108" t="str">
        <f>INDEX(Tableau1[Repere-Rack],MATCH(Tableau3[[#This Row],[ID-RACK]],Tableau1[ID-RACK],0))&amp;""</f>
        <v>R1</v>
      </c>
      <c r="AF279" s="108" t="str">
        <f>INDEX(Tableau1[Repere-Slot],MATCH(Tableau3[[#This Row],[ID-SLOT]],Tableau1[ID-SLOT],0))&amp;""</f>
        <v>S9</v>
      </c>
      <c r="AG279" s="108" t="str">
        <f>INDEX(Tableau2[Repere-Voie],MATCH(Tableau3[[#This Row],[ID-VOIE]],Tableau2[ID-Voie],0))&amp;""</f>
        <v>v13</v>
      </c>
      <c r="AH279" s="72" t="str">
        <f>Tableau3[[#This Row],[ID-API]]&amp; "." &amp;Tableau3[[#This Row],[ID-RACK]]&amp; "." &amp;Tableau3[[#This Row],[ID-SLOT]]</f>
        <v>2.1.9</v>
      </c>
      <c r="AI279" s="72" t="str">
        <f>INDEX(Tableau1[Ref-Carte],MATCH(Tableau3[[#This Row],[ID-RRS]],Tableau1[ID-RRS],0))</f>
        <v>SDI1602</v>
      </c>
      <c r="AJ279" s="72" t="str">
        <f t="array" ref="AJ279">IFERROR(INDEX(Tableau2[TS],MATCH(1,(Tableau2[Ref-Carte]=Tableau3[[#This Row],[Ref-Carte2]])*(Tableau2[ID-Voie]=Tableau3[[#This Row],[ID-VOIE]]),0)),"")</f>
        <v>ET</v>
      </c>
      <c r="AK279" s="72" t="str">
        <f>IFERROR(INDEX(Tableau2[TS],SUMPRODUCT((Tableau2[Ref-Carte]=Tableau3[[#This Row],[Ref-Carte2]])*(Tableau2[ID-Voie]=Tableau3[[#This Row],[ID-VOIE]])*ROW(Tableau2[TS]))-ROW(Tableau2[#Headers])),"")</f>
        <v>ET</v>
      </c>
      <c r="AL279" s="72" t="str">
        <f>Tableau3[[#This Row],[Ref-Carte2]]&amp;"/"&amp;Tableau3[[#This Row],[ID-VOIE]]</f>
        <v>SDI1602/13</v>
      </c>
      <c r="AM279" s="73" t="str">
        <f>INDEX(Tableau2[Borne],MATCH(Tableau3[[#This Row],[ID-CARTEVOIE]],Tableau2[ID-CARTEVOIE],0))&amp;""</f>
        <v>6A</v>
      </c>
      <c r="AN279" s="74" t="str">
        <f>Tableau3[[#This Row],[ID-API]]&amp;Tableau3[[#This Row],[ID-RACK]]&amp;Tableau3[[#This Row],[ID-SLOT]]&amp;Tableau3[[#This Row],[BORNE]]</f>
        <v>2196A</v>
      </c>
      <c r="AO279" s="1"/>
    </row>
    <row r="280" spans="1:41" ht="20.100000000000001" customHeight="1" thickTop="1" thickBot="1">
      <c r="A280" s="68"/>
      <c r="B280" s="69" t="str">
        <f>IFERROR(INDEX(Tableau4[Date],MATCH($A280,Tableau4[EVO],0)),"")</f>
        <v/>
      </c>
      <c r="C280" s="68" t="str">
        <f>IFERROR(INDEX(Tableau4[Designation],MATCH($A280,Tableau4[EVO],0)),"")</f>
        <v/>
      </c>
      <c r="D280" s="68"/>
      <c r="E280" s="70">
        <v>72</v>
      </c>
      <c r="F280" s="71">
        <v>68</v>
      </c>
      <c r="G280" s="101" t="str">
        <f>INDEX(Tableau8[Att1],MATCH(Tableau3[[#This Row],[ID-INS]],Tableau8[ID],0))&amp;""</f>
        <v>V1</v>
      </c>
      <c r="H280" s="101" t="str">
        <f>INDEX(Tableau8[Att2],MATCH(Tableau3[[#This Row],[ID-INS]],Tableau8[ID],0))&amp;""</f>
        <v>BH1</v>
      </c>
      <c r="I280" s="101" t="str">
        <f>INDEX(Tableau8[Att3],MATCH(Tableau3[[#This Row],[ID-INS]],Tableau8[ID],0))&amp;""</f>
        <v>Barrière BH1</v>
      </c>
      <c r="J280" s="101"/>
      <c r="K280" s="167" t="str">
        <f>INDEX(Tableau8[Nom du modele],MATCH(Tableau3[[#This Row],[ID-INS]],Tableau8[ID],0))&amp;""</f>
        <v>BarriereLisse</v>
      </c>
      <c r="L280" s="99" t="str">
        <f>INDEX(Tableau5[Att1],MATCH(Tableau3[[#This Row],[ID-SIG]],Tableau5[ID],0))&amp;""</f>
        <v>SynthDef</v>
      </c>
      <c r="M280" s="99" t="str">
        <f>INDEX(Tableau5[Att2],MATCH(Tableau3[[#This Row],[ID-SIG]],Tableau5[ID],0))&amp;""</f>
        <v/>
      </c>
      <c r="N280" s="99" t="str">
        <f>INDEX(Tableau5[Att3],MATCH(Tableau3[[#This Row],[ID-SIG]],Tableau5[ID],0))&amp;""</f>
        <v/>
      </c>
      <c r="O280" s="99"/>
      <c r="P280" s="99" t="str">
        <f>INDEX(Tableau5[Description],MATCH(Tableau3[[#This Row],[ID-SIG]],Tableau5[ID],0))</f>
        <v>Synthèse défaut</v>
      </c>
      <c r="Q280" s="99"/>
      <c r="R280" s="103" t="str">
        <f>Tableau3[[#This Row],[Description]]</f>
        <v>Synthèse défaut</v>
      </c>
      <c r="U280" s="87">
        <v>2</v>
      </c>
      <c r="V280" s="87">
        <v>1</v>
      </c>
      <c r="W280" s="87">
        <v>9</v>
      </c>
      <c r="X280" s="87">
        <v>14</v>
      </c>
      <c r="Y280" s="40"/>
      <c r="Z280" s="165" t="str">
        <f>INDEX(Tableau2[TS],MATCH(Tableau3[[#This Row],[ID-CARTEVOIE]],Tableau2[ID-CARTEVOIE],0))</f>
        <v>ET</v>
      </c>
      <c r="AA280" s="53" t="s">
        <v>213</v>
      </c>
      <c r="AB280" s="223" t="str">
        <f>IFERROR(INDEX(Tableau5[Reserve],MATCH(Tableau3[[#This Row],[ID-SIG]],Tableau5[ID],0))&amp;"","")</f>
        <v/>
      </c>
      <c r="AC280" s="21"/>
      <c r="AD280" s="108" t="str">
        <f>INDEX(Tableau7[Repere],MATCH(Tableau3[[#This Row],[ID-API]],Tableau7[ID-API],0))&amp;""</f>
        <v>A2</v>
      </c>
      <c r="AE280" s="108" t="str">
        <f>INDEX(Tableau1[Repere-Rack],MATCH(Tableau3[[#This Row],[ID-RACK]],Tableau1[ID-RACK],0))&amp;""</f>
        <v>R1</v>
      </c>
      <c r="AF280" s="108" t="str">
        <f>INDEX(Tableau1[Repere-Slot],MATCH(Tableau3[[#This Row],[ID-SLOT]],Tableau1[ID-SLOT],0))&amp;""</f>
        <v>S9</v>
      </c>
      <c r="AG280" s="108" t="str">
        <f>INDEX(Tableau2[Repere-Voie],MATCH(Tableau3[[#This Row],[ID-VOIE]],Tableau2[ID-Voie],0))&amp;""</f>
        <v>v14</v>
      </c>
      <c r="AH280" s="72" t="str">
        <f>Tableau3[[#This Row],[ID-API]]&amp; "." &amp;Tableau3[[#This Row],[ID-RACK]]&amp; "." &amp;Tableau3[[#This Row],[ID-SLOT]]</f>
        <v>2.1.9</v>
      </c>
      <c r="AI280" s="72" t="str">
        <f>INDEX(Tableau1[Ref-Carte],MATCH(Tableau3[[#This Row],[ID-RRS]],Tableau1[ID-RRS],0))</f>
        <v>SDI1602</v>
      </c>
      <c r="AJ280" s="72" t="str">
        <f t="array" ref="AJ280">IFERROR(INDEX(Tableau2[TS],MATCH(1,(Tableau2[Ref-Carte]=Tableau3[[#This Row],[Ref-Carte2]])*(Tableau2[ID-Voie]=Tableau3[[#This Row],[ID-VOIE]]),0)),"")</f>
        <v>ET</v>
      </c>
      <c r="AK280" s="72" t="str">
        <f>IFERROR(INDEX(Tableau2[TS],SUMPRODUCT((Tableau2[Ref-Carte]=Tableau3[[#This Row],[Ref-Carte2]])*(Tableau2[ID-Voie]=Tableau3[[#This Row],[ID-VOIE]])*ROW(Tableau2[TS]))-ROW(Tableau2[#Headers])),"")</f>
        <v>ET</v>
      </c>
      <c r="AL280" s="72" t="str">
        <f>Tableau3[[#This Row],[Ref-Carte2]]&amp;"/"&amp;Tableau3[[#This Row],[ID-VOIE]]</f>
        <v>SDI1602/14</v>
      </c>
      <c r="AM280" s="73" t="str">
        <f>INDEX(Tableau2[Borne],MATCH(Tableau3[[#This Row],[ID-CARTEVOIE]],Tableau2[ID-CARTEVOIE],0))&amp;""</f>
        <v>7B</v>
      </c>
      <c r="AN280" s="74" t="str">
        <f>Tableau3[[#This Row],[ID-API]]&amp;Tableau3[[#This Row],[ID-RACK]]&amp;Tableau3[[#This Row],[ID-SLOT]]&amp;Tableau3[[#This Row],[BORNE]]</f>
        <v>2197B</v>
      </c>
      <c r="AO280" s="1"/>
    </row>
    <row r="281" spans="1:41" ht="20.100000000000001" customHeight="1" thickTop="1" thickBot="1">
      <c r="A281" s="68"/>
      <c r="B281" s="69" t="str">
        <f>IFERROR(INDEX(Tableau4[Date],MATCH($A281,Tableau4[EVO],0)),"")</f>
        <v/>
      </c>
      <c r="C281" s="68" t="str">
        <f>IFERROR(INDEX(Tableau4[Designation],MATCH($A281,Tableau4[EVO],0)),"")</f>
        <v/>
      </c>
      <c r="D281" s="68"/>
      <c r="E281" s="70">
        <v>72</v>
      </c>
      <c r="F281" s="71">
        <v>69</v>
      </c>
      <c r="G281" s="101" t="str">
        <f>INDEX(Tableau8[Att1],MATCH(Tableau3[[#This Row],[ID-INS]],Tableau8[ID],0))&amp;""</f>
        <v>V1</v>
      </c>
      <c r="H281" s="101" t="str">
        <f>INDEX(Tableau8[Att2],MATCH(Tableau3[[#This Row],[ID-INS]],Tableau8[ID],0))&amp;""</f>
        <v>BH1</v>
      </c>
      <c r="I281" s="101" t="str">
        <f>INDEX(Tableau8[Att3],MATCH(Tableau3[[#This Row],[ID-INS]],Tableau8[ID],0))&amp;""</f>
        <v>Barrière BH1</v>
      </c>
      <c r="J281" s="101"/>
      <c r="K281" s="167" t="str">
        <f>INDEX(Tableau8[Nom du modele],MATCH(Tableau3[[#This Row],[ID-INS]],Tableau8[ID],0))&amp;""</f>
        <v>BarriereLisse</v>
      </c>
      <c r="L281" s="99" t="str">
        <f>INDEX(Tableau5[Att1],MATCH(Tableau3[[#This Row],[ID-SIG]],Tableau5[ID],0))&amp;""</f>
        <v>Effraction</v>
      </c>
      <c r="M281" s="99" t="str">
        <f>INDEX(Tableau5[Att2],MATCH(Tableau3[[#This Row],[ID-SIG]],Tableau5[ID],0))&amp;""</f>
        <v/>
      </c>
      <c r="N281" s="99" t="str">
        <f>INDEX(Tableau5[Att3],MATCH(Tableau3[[#This Row],[ID-SIG]],Tableau5[ID],0))&amp;""</f>
        <v/>
      </c>
      <c r="O281" s="99"/>
      <c r="P281" s="99" t="str">
        <f>INDEX(Tableau5[Description],MATCH(Tableau3[[#This Row],[ID-SIG]],Tableau5[ID],0))</f>
        <v>Effraction</v>
      </c>
      <c r="Q281" s="99"/>
      <c r="R281" s="103" t="str">
        <f>Tableau3[[#This Row],[Description]]</f>
        <v>Effraction</v>
      </c>
      <c r="U281" s="87">
        <v>2</v>
      </c>
      <c r="V281" s="87">
        <v>1</v>
      </c>
      <c r="W281" s="87">
        <v>9</v>
      </c>
      <c r="X281" s="87">
        <v>15</v>
      </c>
      <c r="Y281" s="40"/>
      <c r="Z281" s="165" t="str">
        <f>INDEX(Tableau2[TS],MATCH(Tableau3[[#This Row],[ID-CARTEVOIE]],Tableau2[ID-CARTEVOIE],0))</f>
        <v>ET</v>
      </c>
      <c r="AA281" s="53" t="s">
        <v>213</v>
      </c>
      <c r="AB281" s="223" t="str">
        <f>IFERROR(INDEX(Tableau5[Reserve],MATCH(Tableau3[[#This Row],[ID-SIG]],Tableau5[ID],0))&amp;"","")</f>
        <v/>
      </c>
      <c r="AC281" s="21"/>
      <c r="AD281" s="108" t="str">
        <f>INDEX(Tableau7[Repere],MATCH(Tableau3[[#This Row],[ID-API]],Tableau7[ID-API],0))&amp;""</f>
        <v>A2</v>
      </c>
      <c r="AE281" s="108" t="str">
        <f>INDEX(Tableau1[Repere-Rack],MATCH(Tableau3[[#This Row],[ID-RACK]],Tableau1[ID-RACK],0))&amp;""</f>
        <v>R1</v>
      </c>
      <c r="AF281" s="108" t="str">
        <f>INDEX(Tableau1[Repere-Slot],MATCH(Tableau3[[#This Row],[ID-SLOT]],Tableau1[ID-SLOT],0))&amp;""</f>
        <v>S9</v>
      </c>
      <c r="AG281" s="108" t="str">
        <f>INDEX(Tableau2[Repere-Voie],MATCH(Tableau3[[#This Row],[ID-VOIE]],Tableau2[ID-Voie],0))&amp;""</f>
        <v>v15</v>
      </c>
      <c r="AH281" s="72" t="str">
        <f>Tableau3[[#This Row],[ID-API]]&amp; "." &amp;Tableau3[[#This Row],[ID-RACK]]&amp; "." &amp;Tableau3[[#This Row],[ID-SLOT]]</f>
        <v>2.1.9</v>
      </c>
      <c r="AI281" s="72" t="str">
        <f>INDEX(Tableau1[Ref-Carte],MATCH(Tableau3[[#This Row],[ID-RRS]],Tableau1[ID-RRS],0))</f>
        <v>SDI1602</v>
      </c>
      <c r="AJ281" s="72" t="str">
        <f t="array" ref="AJ281">IFERROR(INDEX(Tableau2[TS],MATCH(1,(Tableau2[Ref-Carte]=Tableau3[[#This Row],[Ref-Carte2]])*(Tableau2[ID-Voie]=Tableau3[[#This Row],[ID-VOIE]]),0)),"")</f>
        <v>ET</v>
      </c>
      <c r="AK281" s="72" t="str">
        <f>IFERROR(INDEX(Tableau2[TS],SUMPRODUCT((Tableau2[Ref-Carte]=Tableau3[[#This Row],[Ref-Carte2]])*(Tableau2[ID-Voie]=Tableau3[[#This Row],[ID-VOIE]])*ROW(Tableau2[TS]))-ROW(Tableau2[#Headers])),"")</f>
        <v>ET</v>
      </c>
      <c r="AL281" s="72" t="str">
        <f>Tableau3[[#This Row],[Ref-Carte2]]&amp;"/"&amp;Tableau3[[#This Row],[ID-VOIE]]</f>
        <v>SDI1602/15</v>
      </c>
      <c r="AM281" s="73" t="str">
        <f>INDEX(Tableau2[Borne],MATCH(Tableau3[[#This Row],[ID-CARTEVOIE]],Tableau2[ID-CARTEVOIE],0))&amp;""</f>
        <v>7A</v>
      </c>
      <c r="AN281" s="74" t="str">
        <f>Tableau3[[#This Row],[ID-API]]&amp;Tableau3[[#This Row],[ID-RACK]]&amp;Tableau3[[#This Row],[ID-SLOT]]&amp;Tableau3[[#This Row],[BORNE]]</f>
        <v>2197A</v>
      </c>
      <c r="AO281" s="1"/>
    </row>
    <row r="282" spans="1:41" ht="20.100000000000001" customHeight="1" thickTop="1" thickBot="1">
      <c r="A282" s="68"/>
      <c r="B282" s="69" t="str">
        <f>IFERROR(INDEX(Tableau4[Date],MATCH($A282,Tableau4[EVO],0)),"")</f>
        <v/>
      </c>
      <c r="C282" s="68" t="str">
        <f>IFERROR(INDEX(Tableau4[Designation],MATCH($A282,Tableau4[EVO],0)),"")</f>
        <v/>
      </c>
      <c r="D282" s="68"/>
      <c r="E282" s="70">
        <v>82</v>
      </c>
      <c r="F282" s="71">
        <v>307</v>
      </c>
      <c r="G282" s="101" t="str">
        <f>INDEX(Tableau8[Att1],MATCH(Tableau3[[#This Row],[ID-INS]],Tableau8[ID],0))&amp;""</f>
        <v>V1</v>
      </c>
      <c r="H282" s="101" t="str">
        <f>INDEX(Tableau8[Att2],MATCH(Tableau3[[#This Row],[ID-INS]],Tableau8[ID],0))&amp;""</f>
        <v>F4</v>
      </c>
      <c r="I282" s="101" t="str">
        <f>INDEX(Tableau8[Att3],MATCH(Tableau3[[#This Row],[ID-INS]],Tableau8[ID],0))&amp;""</f>
        <v>Feu F4</v>
      </c>
      <c r="J282" s="101"/>
      <c r="K282" s="167" t="str">
        <f>INDEX(Tableau8[Nom du modele],MATCH(Tableau3[[#This Row],[ID-INS]],Tableau8[ID],0))&amp;""</f>
        <v>FeuOuvV</v>
      </c>
      <c r="L282" s="99" t="str">
        <f>INDEX(Tableau5[Att1],MATCH(Tableau3[[#This Row],[ID-SIG]],Tableau5[ID],0))&amp;""</f>
        <v>Feu_Cmd</v>
      </c>
      <c r="M282" s="99" t="str">
        <f>INDEX(Tableau5[Att2],MATCH(Tableau3[[#This Row],[ID-SIG]],Tableau5[ID],0))&amp;""</f>
        <v/>
      </c>
      <c r="N282" s="99" t="str">
        <f>INDEX(Tableau5[Att3],MATCH(Tableau3[[#This Row],[ID-SIG]],Tableau5[ID],0))&amp;""</f>
        <v/>
      </c>
      <c r="O282" s="99"/>
      <c r="P282" s="99" t="str">
        <f>INDEX(Tableau5[Description],MATCH(Tableau3[[#This Row],[ID-SIG]],Tableau5[ID],0))</f>
        <v xml:space="preserve">Commande Feu </v>
      </c>
      <c r="Q282" s="99"/>
      <c r="R282" s="103" t="str">
        <f>Tableau3[[#This Row],[Description]]</f>
        <v xml:space="preserve">Commande Feu </v>
      </c>
      <c r="U282" s="87">
        <v>2</v>
      </c>
      <c r="V282" s="87">
        <v>1</v>
      </c>
      <c r="W282" s="87">
        <v>10</v>
      </c>
      <c r="X282" s="87">
        <v>0</v>
      </c>
      <c r="Y282" s="41"/>
      <c r="Z282" s="165" t="str">
        <f>INDEX(Tableau2[TS],MATCH(Tableau3[[#This Row],[ID-CARTEVOIE]],Tableau2[ID-CARTEVOIE],0))</f>
        <v>ST</v>
      </c>
      <c r="AA282" s="53" t="s">
        <v>213</v>
      </c>
      <c r="AB282" s="223" t="str">
        <f>IFERROR(INDEX(Tableau5[Reserve],MATCH(Tableau3[[#This Row],[ID-SIG]],Tableau5[ID],0))&amp;"","")</f>
        <v/>
      </c>
      <c r="AC282" s="21"/>
      <c r="AD282" s="108" t="str">
        <f>INDEX(Tableau7[Repere],MATCH(Tableau3[[#This Row],[ID-API]],Tableau7[ID-API],0))&amp;""</f>
        <v>A2</v>
      </c>
      <c r="AE282" s="108" t="str">
        <f>INDEX(Tableau1[Repere-Rack],MATCH(Tableau3[[#This Row],[ID-RACK]],Tableau1[ID-RACK],0))&amp;""</f>
        <v>R1</v>
      </c>
      <c r="AF282" s="108" t="str">
        <f>INDEX(Tableau1[Repere-Slot],MATCH(Tableau3[[#This Row],[ID-SLOT]],Tableau1[ID-SLOT],0))&amp;""</f>
        <v>S10</v>
      </c>
      <c r="AG282" s="108" t="str">
        <f>INDEX(Tableau2[Repere-Voie],MATCH(Tableau3[[#This Row],[ID-VOIE]],Tableau2[ID-Voie],0))&amp;""</f>
        <v>v0</v>
      </c>
      <c r="AH282" s="72" t="str">
        <f>Tableau3[[#This Row],[ID-API]]&amp; "." &amp;Tableau3[[#This Row],[ID-RACK]]&amp; "." &amp;Tableau3[[#This Row],[ID-SLOT]]</f>
        <v>2.1.10</v>
      </c>
      <c r="AI282" s="72" t="str">
        <f>INDEX(Tableau1[Ref-Carte],MATCH(Tableau3[[#This Row],[ID-RRS]],Tableau1[ID-RRS],0))</f>
        <v>SDO0802</v>
      </c>
      <c r="AJ282" s="72" t="str">
        <f t="array" ref="AJ282">IFERROR(INDEX(Tableau2[TS],MATCH(1,(Tableau2[Ref-Carte]=Tableau3[[#This Row],[Ref-Carte2]])*(Tableau2[ID-Voie]=Tableau3[[#This Row],[ID-VOIE]]),0)),"")</f>
        <v>ST</v>
      </c>
      <c r="AK282" s="72" t="str">
        <f>IFERROR(INDEX(Tableau2[TS],SUMPRODUCT((Tableau2[Ref-Carte]=Tableau3[[#This Row],[Ref-Carte2]])*(Tableau2[ID-Voie]=Tableau3[[#This Row],[ID-VOIE]])*ROW(Tableau2[TS]))-ROW(Tableau2[#Headers])),"")</f>
        <v>ST</v>
      </c>
      <c r="AL282" s="72" t="str">
        <f>Tableau3[[#This Row],[Ref-Carte2]]&amp;"/"&amp;Tableau3[[#This Row],[ID-VOIE]]</f>
        <v>SDO0802/0</v>
      </c>
      <c r="AM282" s="73" t="str">
        <f>INDEX(Tableau2[Borne],MATCH(Tableau3[[#This Row],[ID-CARTEVOIE]],Tableau2[ID-CARTEVOIE],0))&amp;""</f>
        <v>0</v>
      </c>
      <c r="AN282" s="74" t="str">
        <f>Tableau3[[#This Row],[ID-API]]&amp;Tableau3[[#This Row],[ID-RACK]]&amp;Tableau3[[#This Row],[ID-SLOT]]&amp;Tableau3[[#This Row],[BORNE]]</f>
        <v>21100</v>
      </c>
      <c r="AO282" s="1"/>
    </row>
    <row r="283" spans="1:41" ht="20.100000000000001" customHeight="1" thickTop="1" thickBot="1">
      <c r="A283" s="68"/>
      <c r="B283" s="69" t="str">
        <f>IFERROR(INDEX(Tableau4[Date],MATCH($A283,Tableau4[EVO],0)),"")</f>
        <v/>
      </c>
      <c r="C283" s="68" t="str">
        <f>IFERROR(INDEX(Tableau4[Designation],MATCH($A283,Tableau4[EVO],0)),"")</f>
        <v/>
      </c>
      <c r="D283" s="68"/>
      <c r="E283" s="70">
        <v>83</v>
      </c>
      <c r="F283" s="71">
        <v>313</v>
      </c>
      <c r="G283" s="101" t="str">
        <f>INDEX(Tableau8[Att1],MATCH(Tableau3[[#This Row],[ID-INS]],Tableau8[ID],0))&amp;""</f>
        <v>V1</v>
      </c>
      <c r="H283" s="101" t="str">
        <f>INDEX(Tableau8[Att2],MATCH(Tableau3[[#This Row],[ID-INS]],Tableau8[ID],0))&amp;""</f>
        <v>F5</v>
      </c>
      <c r="I283" s="101" t="str">
        <f>INDEX(Tableau8[Att3],MATCH(Tableau3[[#This Row],[ID-INS]],Tableau8[ID],0))&amp;""</f>
        <v>Feu F5</v>
      </c>
      <c r="J283" s="101"/>
      <c r="K283" s="167" t="str">
        <f>INDEX(Tableau8[Nom du modele],MATCH(Tableau3[[#This Row],[ID-INS]],Tableau8[ID],0))&amp;""</f>
        <v>FeuBi_1</v>
      </c>
      <c r="L283" s="99" t="str">
        <f>INDEX(Tableau5[Att1],MATCH(Tableau3[[#This Row],[ID-SIG]],Tableau5[ID],0))&amp;""</f>
        <v>FeuV_Cmd</v>
      </c>
      <c r="M283" s="99" t="str">
        <f>INDEX(Tableau5[Att2],MATCH(Tableau3[[#This Row],[ID-SIG]],Tableau5[ID],0))&amp;""</f>
        <v/>
      </c>
      <c r="N283" s="99" t="str">
        <f>INDEX(Tableau5[Att3],MATCH(Tableau3[[#This Row],[ID-SIG]],Tableau5[ID],0))&amp;""</f>
        <v/>
      </c>
      <c r="O283" s="99"/>
      <c r="P283" s="99" t="str">
        <f>INDEX(Tableau5[Description],MATCH(Tableau3[[#This Row],[ID-SIG]],Tableau5[ID],0))</f>
        <v>Commande Feu Vert</v>
      </c>
      <c r="Q283" s="99"/>
      <c r="R283" s="103" t="str">
        <f>Tableau3[[#This Row],[Description]]</f>
        <v>Commande Feu Vert</v>
      </c>
      <c r="U283" s="87">
        <v>2</v>
      </c>
      <c r="V283" s="87">
        <v>1</v>
      </c>
      <c r="W283" s="87">
        <v>10</v>
      </c>
      <c r="X283" s="87">
        <v>1</v>
      </c>
      <c r="Y283" s="41"/>
      <c r="Z283" s="165" t="str">
        <f>INDEX(Tableau2[TS],MATCH(Tableau3[[#This Row],[ID-CARTEVOIE]],Tableau2[ID-CARTEVOIE],0))</f>
        <v>ST</v>
      </c>
      <c r="AA283" s="53" t="s">
        <v>213</v>
      </c>
      <c r="AB283" s="223" t="str">
        <f>IFERROR(INDEX(Tableau5[Reserve],MATCH(Tableau3[[#This Row],[ID-SIG]],Tableau5[ID],0))&amp;"","")</f>
        <v/>
      </c>
      <c r="AC283" s="21"/>
      <c r="AD283" s="108" t="str">
        <f>INDEX(Tableau7[Repere],MATCH(Tableau3[[#This Row],[ID-API]],Tableau7[ID-API],0))&amp;""</f>
        <v>A2</v>
      </c>
      <c r="AE283" s="108" t="str">
        <f>INDEX(Tableau1[Repere-Rack],MATCH(Tableau3[[#This Row],[ID-RACK]],Tableau1[ID-RACK],0))&amp;""</f>
        <v>R1</v>
      </c>
      <c r="AF283" s="108" t="str">
        <f>INDEX(Tableau1[Repere-Slot],MATCH(Tableau3[[#This Row],[ID-SLOT]],Tableau1[ID-SLOT],0))&amp;""</f>
        <v>S10</v>
      </c>
      <c r="AG283" s="108" t="str">
        <f>INDEX(Tableau2[Repere-Voie],MATCH(Tableau3[[#This Row],[ID-VOIE]],Tableau2[ID-Voie],0))&amp;""</f>
        <v>v1</v>
      </c>
      <c r="AH283" s="72" t="str">
        <f>Tableau3[[#This Row],[ID-API]]&amp; "." &amp;Tableau3[[#This Row],[ID-RACK]]&amp; "." &amp;Tableau3[[#This Row],[ID-SLOT]]</f>
        <v>2.1.10</v>
      </c>
      <c r="AI283" s="72" t="str">
        <f>INDEX(Tableau1[Ref-Carte],MATCH(Tableau3[[#This Row],[ID-RRS]],Tableau1[ID-RRS],0))</f>
        <v>SDO0802</v>
      </c>
      <c r="AJ283" s="72" t="str">
        <f t="array" ref="AJ283">IFERROR(INDEX(Tableau2[TS],MATCH(1,(Tableau2[Ref-Carte]=Tableau3[[#This Row],[Ref-Carte2]])*(Tableau2[ID-Voie]=Tableau3[[#This Row],[ID-VOIE]]),0)),"")</f>
        <v>ST</v>
      </c>
      <c r="AK283" s="72" t="str">
        <f>IFERROR(INDEX(Tableau2[TS],SUMPRODUCT((Tableau2[Ref-Carte]=Tableau3[[#This Row],[Ref-Carte2]])*(Tableau2[ID-Voie]=Tableau3[[#This Row],[ID-VOIE]])*ROW(Tableau2[TS]))-ROW(Tableau2[#Headers])),"")</f>
        <v>ST</v>
      </c>
      <c r="AL283" s="72" t="str">
        <f>Tableau3[[#This Row],[Ref-Carte2]]&amp;"/"&amp;Tableau3[[#This Row],[ID-VOIE]]</f>
        <v>SDO0802/1</v>
      </c>
      <c r="AM283" s="73" t="str">
        <f>INDEX(Tableau2[Borne],MATCH(Tableau3[[#This Row],[ID-CARTEVOIE]],Tableau2[ID-CARTEVOIE],0))&amp;""</f>
        <v>1</v>
      </c>
      <c r="AN283" s="74" t="str">
        <f>Tableau3[[#This Row],[ID-API]]&amp;Tableau3[[#This Row],[ID-RACK]]&amp;Tableau3[[#This Row],[ID-SLOT]]&amp;Tableau3[[#This Row],[BORNE]]</f>
        <v>21101</v>
      </c>
      <c r="AO283" s="1"/>
    </row>
    <row r="284" spans="1:41" ht="20.100000000000001" customHeight="1" thickTop="1" thickBot="1">
      <c r="A284" s="68"/>
      <c r="B284" s="69" t="str">
        <f>IFERROR(INDEX(Tableau4[Date],MATCH($A284,Tableau4[EVO],0)),"")</f>
        <v/>
      </c>
      <c r="C284" s="68" t="str">
        <f>IFERROR(INDEX(Tableau4[Designation],MATCH($A284,Tableau4[EVO],0)),"")</f>
        <v/>
      </c>
      <c r="D284" s="68"/>
      <c r="E284" s="70">
        <v>87</v>
      </c>
      <c r="F284" s="71">
        <v>309</v>
      </c>
      <c r="G284" s="101" t="str">
        <f>INDEX(Tableau8[Att1],MATCH(Tableau3[[#This Row],[ID-INS]],Tableau8[ID],0))&amp;""</f>
        <v>V1</v>
      </c>
      <c r="H284" s="101" t="str">
        <f>INDEX(Tableau8[Att2],MATCH(Tableau3[[#This Row],[ID-INS]],Tableau8[ID],0))&amp;""</f>
        <v>F9</v>
      </c>
      <c r="I284" s="101" t="str">
        <f>INDEX(Tableau8[Att3],MATCH(Tableau3[[#This Row],[ID-INS]],Tableau8[ID],0))&amp;""</f>
        <v>Feu F9</v>
      </c>
      <c r="J284" s="101"/>
      <c r="K284" s="167" t="str">
        <f>INDEX(Tableau8[Nom du modele],MATCH(Tableau3[[#This Row],[ID-INS]],Tableau8[ID],0))&amp;""</f>
        <v>FeuBiCora</v>
      </c>
      <c r="L284" s="99" t="str">
        <f>INDEX(Tableau5[Att1],MATCH(Tableau3[[#This Row],[ID-SIG]],Tableau5[ID],0))&amp;""</f>
        <v>FeuO_Cmd</v>
      </c>
      <c r="M284" s="99" t="str">
        <f>INDEX(Tableau5[Att2],MATCH(Tableau3[[#This Row],[ID-SIG]],Tableau5[ID],0))&amp;""</f>
        <v/>
      </c>
      <c r="N284" s="99" t="str">
        <f>INDEX(Tableau5[Att3],MATCH(Tableau3[[#This Row],[ID-SIG]],Tableau5[ID],0))&amp;""</f>
        <v/>
      </c>
      <c r="O284" s="99"/>
      <c r="P284" s="99" t="str">
        <f>INDEX(Tableau5[Description],MATCH(Tableau3[[#This Row],[ID-SIG]],Tableau5[ID],0))</f>
        <v>Commande Feu Orange</v>
      </c>
      <c r="Q284" s="99"/>
      <c r="R284" s="103" t="str">
        <f>Tableau3[[#This Row],[Description]]</f>
        <v>Commande Feu Orange</v>
      </c>
      <c r="U284" s="87">
        <v>2</v>
      </c>
      <c r="V284" s="87">
        <v>1</v>
      </c>
      <c r="W284" s="87">
        <v>10</v>
      </c>
      <c r="X284" s="87">
        <v>2</v>
      </c>
      <c r="Y284" s="41"/>
      <c r="Z284" s="165" t="str">
        <f>INDEX(Tableau2[TS],MATCH(Tableau3[[#This Row],[ID-CARTEVOIE]],Tableau2[ID-CARTEVOIE],0))</f>
        <v>ST</v>
      </c>
      <c r="AA284" s="53" t="s">
        <v>213</v>
      </c>
      <c r="AB284" s="223" t="str">
        <f>IFERROR(INDEX(Tableau5[Reserve],MATCH(Tableau3[[#This Row],[ID-SIG]],Tableau5[ID],0))&amp;"","")</f>
        <v/>
      </c>
      <c r="AC284" s="21"/>
      <c r="AD284" s="108" t="str">
        <f>INDEX(Tableau7[Repere],MATCH(Tableau3[[#This Row],[ID-API]],Tableau7[ID-API],0))&amp;""</f>
        <v>A2</v>
      </c>
      <c r="AE284" s="108" t="str">
        <f>INDEX(Tableau1[Repere-Rack],MATCH(Tableau3[[#This Row],[ID-RACK]],Tableau1[ID-RACK],0))&amp;""</f>
        <v>R1</v>
      </c>
      <c r="AF284" s="108" t="str">
        <f>INDEX(Tableau1[Repere-Slot],MATCH(Tableau3[[#This Row],[ID-SLOT]],Tableau1[ID-SLOT],0))&amp;""</f>
        <v>S10</v>
      </c>
      <c r="AG284" s="108" t="str">
        <f>INDEX(Tableau2[Repere-Voie],MATCH(Tableau3[[#This Row],[ID-VOIE]],Tableau2[ID-Voie],0))&amp;""</f>
        <v>v2</v>
      </c>
      <c r="AH284" s="72" t="str">
        <f>Tableau3[[#This Row],[ID-API]]&amp; "." &amp;Tableau3[[#This Row],[ID-RACK]]&amp; "." &amp;Tableau3[[#This Row],[ID-SLOT]]</f>
        <v>2.1.10</v>
      </c>
      <c r="AI284" s="72" t="str">
        <f>INDEX(Tableau1[Ref-Carte],MATCH(Tableau3[[#This Row],[ID-RRS]],Tableau1[ID-RRS],0))</f>
        <v>SDO0802</v>
      </c>
      <c r="AJ284" s="72" t="str">
        <f t="array" ref="AJ284">IFERROR(INDEX(Tableau2[TS],MATCH(1,(Tableau2[Ref-Carte]=Tableau3[[#This Row],[Ref-Carte2]])*(Tableau2[ID-Voie]=Tableau3[[#This Row],[ID-VOIE]]),0)),"")</f>
        <v>ST</v>
      </c>
      <c r="AK284" s="72" t="str">
        <f>IFERROR(INDEX(Tableau2[TS],SUMPRODUCT((Tableau2[Ref-Carte]=Tableau3[[#This Row],[Ref-Carte2]])*(Tableau2[ID-Voie]=Tableau3[[#This Row],[ID-VOIE]])*ROW(Tableau2[TS]))-ROW(Tableau2[#Headers])),"")</f>
        <v>ST</v>
      </c>
      <c r="AL284" s="72" t="str">
        <f>Tableau3[[#This Row],[Ref-Carte2]]&amp;"/"&amp;Tableau3[[#This Row],[ID-VOIE]]</f>
        <v>SDO0802/2</v>
      </c>
      <c r="AM284" s="73" t="str">
        <f>INDEX(Tableau2[Borne],MATCH(Tableau3[[#This Row],[ID-CARTEVOIE]],Tableau2[ID-CARTEVOIE],0))&amp;""</f>
        <v>2</v>
      </c>
      <c r="AN284" s="74" t="str">
        <f>Tableau3[[#This Row],[ID-API]]&amp;Tableau3[[#This Row],[ID-RACK]]&amp;Tableau3[[#This Row],[ID-SLOT]]&amp;Tableau3[[#This Row],[BORNE]]</f>
        <v>21102</v>
      </c>
      <c r="AO284" s="1"/>
    </row>
    <row r="285" spans="1:41" ht="20.100000000000001" customHeight="1" thickTop="1" thickBot="1">
      <c r="A285" s="68"/>
      <c r="B285" s="69" t="str">
        <f>IFERROR(INDEX(Tableau4[Date],MATCH($A285,Tableau4[EVO],0)),"")</f>
        <v/>
      </c>
      <c r="C285" s="68" t="str">
        <f>IFERROR(INDEX(Tableau4[Designation],MATCH($A285,Tableau4[EVO],0)),"")</f>
        <v/>
      </c>
      <c r="D285" s="68"/>
      <c r="E285" s="70">
        <v>87</v>
      </c>
      <c r="F285" s="71">
        <v>310</v>
      </c>
      <c r="G285" s="101" t="str">
        <f>INDEX(Tableau8[Att1],MATCH(Tableau3[[#This Row],[ID-INS]],Tableau8[ID],0))&amp;""</f>
        <v>V1</v>
      </c>
      <c r="H285" s="101" t="str">
        <f>INDEX(Tableau8[Att2],MATCH(Tableau3[[#This Row],[ID-INS]],Tableau8[ID],0))&amp;""</f>
        <v>F9</v>
      </c>
      <c r="I285" s="101" t="str">
        <f>INDEX(Tableau8[Att3],MATCH(Tableau3[[#This Row],[ID-INS]],Tableau8[ID],0))&amp;""</f>
        <v>Feu F9</v>
      </c>
      <c r="J285" s="101"/>
      <c r="K285" s="167" t="str">
        <f>INDEX(Tableau8[Nom du modele],MATCH(Tableau3[[#This Row],[ID-INS]],Tableau8[ID],0))&amp;""</f>
        <v>FeuBiCora</v>
      </c>
      <c r="L285" s="99" t="str">
        <f>INDEX(Tableau5[Att1],MATCH(Tableau3[[#This Row],[ID-SIG]],Tableau5[ID],0))&amp;""</f>
        <v>FeuR_Cmd</v>
      </c>
      <c r="M285" s="99" t="str">
        <f>INDEX(Tableau5[Att2],MATCH(Tableau3[[#This Row],[ID-SIG]],Tableau5[ID],0))&amp;""</f>
        <v/>
      </c>
      <c r="N285" s="99" t="str">
        <f>INDEX(Tableau5[Att3],MATCH(Tableau3[[#This Row],[ID-SIG]],Tableau5[ID],0))&amp;""</f>
        <v/>
      </c>
      <c r="O285" s="99"/>
      <c r="P285" s="99" t="str">
        <f>INDEX(Tableau5[Description],MATCH(Tableau3[[#This Row],[ID-SIG]],Tableau5[ID],0))</f>
        <v>Commande Feu Rouge</v>
      </c>
      <c r="Q285" s="99"/>
      <c r="R285" s="103" t="str">
        <f>Tableau3[[#This Row],[Description]]</f>
        <v>Commande Feu Rouge</v>
      </c>
      <c r="U285" s="87">
        <v>2</v>
      </c>
      <c r="V285" s="87">
        <v>1</v>
      </c>
      <c r="W285" s="87">
        <v>10</v>
      </c>
      <c r="X285" s="87">
        <v>3</v>
      </c>
      <c r="Y285" s="41"/>
      <c r="Z285" s="165" t="str">
        <f>INDEX(Tableau2[TS],MATCH(Tableau3[[#This Row],[ID-CARTEVOIE]],Tableau2[ID-CARTEVOIE],0))</f>
        <v>ST</v>
      </c>
      <c r="AA285" s="53" t="s">
        <v>213</v>
      </c>
      <c r="AB285" s="223" t="str">
        <f>IFERROR(INDEX(Tableau5[Reserve],MATCH(Tableau3[[#This Row],[ID-SIG]],Tableau5[ID],0))&amp;"","")</f>
        <v/>
      </c>
      <c r="AC285" s="21"/>
      <c r="AD285" s="108" t="str">
        <f>INDEX(Tableau7[Repere],MATCH(Tableau3[[#This Row],[ID-API]],Tableau7[ID-API],0))&amp;""</f>
        <v>A2</v>
      </c>
      <c r="AE285" s="108" t="str">
        <f>INDEX(Tableau1[Repere-Rack],MATCH(Tableau3[[#This Row],[ID-RACK]],Tableau1[ID-RACK],0))&amp;""</f>
        <v>R1</v>
      </c>
      <c r="AF285" s="108" t="str">
        <f>INDEX(Tableau1[Repere-Slot],MATCH(Tableau3[[#This Row],[ID-SLOT]],Tableau1[ID-SLOT],0))&amp;""</f>
        <v>S10</v>
      </c>
      <c r="AG285" s="108" t="str">
        <f>INDEX(Tableau2[Repere-Voie],MATCH(Tableau3[[#This Row],[ID-VOIE]],Tableau2[ID-Voie],0))&amp;""</f>
        <v>v3</v>
      </c>
      <c r="AH285" s="72" t="str">
        <f>Tableau3[[#This Row],[ID-API]]&amp; "." &amp;Tableau3[[#This Row],[ID-RACK]]&amp; "." &amp;Tableau3[[#This Row],[ID-SLOT]]</f>
        <v>2.1.10</v>
      </c>
      <c r="AI285" s="72" t="str">
        <f>INDEX(Tableau1[Ref-Carte],MATCH(Tableau3[[#This Row],[ID-RRS]],Tableau1[ID-RRS],0))</f>
        <v>SDO0802</v>
      </c>
      <c r="AJ285" s="72" t="str">
        <f t="array" ref="AJ285">IFERROR(INDEX(Tableau2[TS],MATCH(1,(Tableau2[Ref-Carte]=Tableau3[[#This Row],[Ref-Carte2]])*(Tableau2[ID-Voie]=Tableau3[[#This Row],[ID-VOIE]]),0)),"")</f>
        <v>ST</v>
      </c>
      <c r="AK285" s="72" t="str">
        <f>IFERROR(INDEX(Tableau2[TS],SUMPRODUCT((Tableau2[Ref-Carte]=Tableau3[[#This Row],[Ref-Carte2]])*(Tableau2[ID-Voie]=Tableau3[[#This Row],[ID-VOIE]])*ROW(Tableau2[TS]))-ROW(Tableau2[#Headers])),"")</f>
        <v>ST</v>
      </c>
      <c r="AL285" s="72" t="str">
        <f>Tableau3[[#This Row],[Ref-Carte2]]&amp;"/"&amp;Tableau3[[#This Row],[ID-VOIE]]</f>
        <v>SDO0802/3</v>
      </c>
      <c r="AM285" s="73" t="str">
        <f>INDEX(Tableau2[Borne],MATCH(Tableau3[[#This Row],[ID-CARTEVOIE]],Tableau2[ID-CARTEVOIE],0))&amp;""</f>
        <v>3</v>
      </c>
      <c r="AN285" s="74" t="str">
        <f>Tableau3[[#This Row],[ID-API]]&amp;Tableau3[[#This Row],[ID-RACK]]&amp;Tableau3[[#This Row],[ID-SLOT]]&amp;Tableau3[[#This Row],[BORNE]]</f>
        <v>21103</v>
      </c>
      <c r="AO285" s="1"/>
    </row>
    <row r="286" spans="1:41" ht="20.100000000000001" customHeight="1" thickTop="1" thickBot="1">
      <c r="A286" s="68"/>
      <c r="B286" s="69" t="str">
        <f>IFERROR(INDEX(Tableau4[Date],MATCH($A286,Tableau4[EVO],0)),"")</f>
        <v/>
      </c>
      <c r="C286" s="68" t="str">
        <f>IFERROR(INDEX(Tableau4[Designation],MATCH($A286,Tableau4[EVO],0)),"")</f>
        <v/>
      </c>
      <c r="D286" s="68"/>
      <c r="E286" s="70">
        <v>90</v>
      </c>
      <c r="F286" s="71">
        <v>309</v>
      </c>
      <c r="G286" s="101" t="str">
        <f>INDEX(Tableau8[Att1],MATCH(Tableau3[[#This Row],[ID-INS]],Tableau8[ID],0))&amp;""</f>
        <v>V1</v>
      </c>
      <c r="H286" s="101" t="str">
        <f>INDEX(Tableau8[Att2],MATCH(Tableau3[[#This Row],[ID-INS]],Tableau8[ID],0))&amp;""</f>
        <v>F17</v>
      </c>
      <c r="I286" s="101" t="str">
        <f>INDEX(Tableau8[Att3],MATCH(Tableau3[[#This Row],[ID-INS]],Tableau8[ID],0))&amp;""</f>
        <v>Feu F17</v>
      </c>
      <c r="J286" s="101"/>
      <c r="K286" s="167" t="str">
        <f>INDEX(Tableau8[Nom du modele],MATCH(Tableau3[[#This Row],[ID-INS]],Tableau8[ID],0))&amp;""</f>
        <v>FeuBiCora</v>
      </c>
      <c r="L286" s="99" t="str">
        <f>INDEX(Tableau5[Att1],MATCH(Tableau3[[#This Row],[ID-SIG]],Tableau5[ID],0))&amp;""</f>
        <v>FeuO_Cmd</v>
      </c>
      <c r="M286" s="99" t="str">
        <f>INDEX(Tableau5[Att2],MATCH(Tableau3[[#This Row],[ID-SIG]],Tableau5[ID],0))&amp;""</f>
        <v/>
      </c>
      <c r="N286" s="99" t="str">
        <f>INDEX(Tableau5[Att3],MATCH(Tableau3[[#This Row],[ID-SIG]],Tableau5[ID],0))&amp;""</f>
        <v/>
      </c>
      <c r="O286" s="99"/>
      <c r="P286" s="99" t="str">
        <f>INDEX(Tableau5[Description],MATCH(Tableau3[[#This Row],[ID-SIG]],Tableau5[ID],0))</f>
        <v>Commande Feu Orange</v>
      </c>
      <c r="Q286" s="99"/>
      <c r="R286" s="103" t="str">
        <f>Tableau3[[#This Row],[Description]]</f>
        <v>Commande Feu Orange</v>
      </c>
      <c r="U286" s="87">
        <v>2</v>
      </c>
      <c r="V286" s="87">
        <v>1</v>
      </c>
      <c r="W286" s="87">
        <v>10</v>
      </c>
      <c r="X286" s="87">
        <v>4</v>
      </c>
      <c r="Y286" s="41"/>
      <c r="Z286" s="165" t="str">
        <f>INDEX(Tableau2[TS],MATCH(Tableau3[[#This Row],[ID-CARTEVOIE]],Tableau2[ID-CARTEVOIE],0))</f>
        <v>ST</v>
      </c>
      <c r="AA286" s="53" t="s">
        <v>213</v>
      </c>
      <c r="AB286" s="223" t="str">
        <f>IFERROR(INDEX(Tableau5[Reserve],MATCH(Tableau3[[#This Row],[ID-SIG]],Tableau5[ID],0))&amp;"","")</f>
        <v/>
      </c>
      <c r="AC286" s="21"/>
      <c r="AD286" s="108" t="str">
        <f>INDEX(Tableau7[Repere],MATCH(Tableau3[[#This Row],[ID-API]],Tableau7[ID-API],0))&amp;""</f>
        <v>A2</v>
      </c>
      <c r="AE286" s="108" t="str">
        <f>INDEX(Tableau1[Repere-Rack],MATCH(Tableau3[[#This Row],[ID-RACK]],Tableau1[ID-RACK],0))&amp;""</f>
        <v>R1</v>
      </c>
      <c r="AF286" s="108" t="str">
        <f>INDEX(Tableau1[Repere-Slot],MATCH(Tableau3[[#This Row],[ID-SLOT]],Tableau1[ID-SLOT],0))&amp;""</f>
        <v>S10</v>
      </c>
      <c r="AG286" s="108" t="str">
        <f>INDEX(Tableau2[Repere-Voie],MATCH(Tableau3[[#This Row],[ID-VOIE]],Tableau2[ID-Voie],0))&amp;""</f>
        <v>v4</v>
      </c>
      <c r="AH286" s="72" t="str">
        <f>Tableau3[[#This Row],[ID-API]]&amp; "." &amp;Tableau3[[#This Row],[ID-RACK]]&amp; "." &amp;Tableau3[[#This Row],[ID-SLOT]]</f>
        <v>2.1.10</v>
      </c>
      <c r="AI286" s="72" t="str">
        <f>INDEX(Tableau1[Ref-Carte],MATCH(Tableau3[[#This Row],[ID-RRS]],Tableau1[ID-RRS],0))</f>
        <v>SDO0802</v>
      </c>
      <c r="AJ286" s="72" t="str">
        <f t="array" ref="AJ286">IFERROR(INDEX(Tableau2[TS],MATCH(1,(Tableau2[Ref-Carte]=Tableau3[[#This Row],[Ref-Carte2]])*(Tableau2[ID-Voie]=Tableau3[[#This Row],[ID-VOIE]]),0)),"")</f>
        <v>ST</v>
      </c>
      <c r="AK286" s="72" t="str">
        <f>IFERROR(INDEX(Tableau2[TS],SUMPRODUCT((Tableau2[Ref-Carte]=Tableau3[[#This Row],[Ref-Carte2]])*(Tableau2[ID-Voie]=Tableau3[[#This Row],[ID-VOIE]])*ROW(Tableau2[TS]))-ROW(Tableau2[#Headers])),"")</f>
        <v>ST</v>
      </c>
      <c r="AL286" s="72" t="str">
        <f>Tableau3[[#This Row],[Ref-Carte2]]&amp;"/"&amp;Tableau3[[#This Row],[ID-VOIE]]</f>
        <v>SDO0802/4</v>
      </c>
      <c r="AM286" s="73" t="str">
        <f>INDEX(Tableau2[Borne],MATCH(Tableau3[[#This Row],[ID-CARTEVOIE]],Tableau2[ID-CARTEVOIE],0))&amp;""</f>
        <v>4</v>
      </c>
      <c r="AN286" s="74" t="str">
        <f>Tableau3[[#This Row],[ID-API]]&amp;Tableau3[[#This Row],[ID-RACK]]&amp;Tableau3[[#This Row],[ID-SLOT]]&amp;Tableau3[[#This Row],[BORNE]]</f>
        <v>21104</v>
      </c>
      <c r="AO286" s="1"/>
    </row>
    <row r="287" spans="1:41" ht="20.100000000000001" customHeight="1" thickTop="1" thickBot="1">
      <c r="A287" s="134"/>
      <c r="B287" s="135" t="str">
        <f>IFERROR(INDEX(Tableau4[Date],MATCH($A287,Tableau4[EVO],0)),"")</f>
        <v/>
      </c>
      <c r="C287" s="136" t="str">
        <f>IFERROR(INDEX(Tableau4[Designation],MATCH($A287,Tableau4[EVO],0)),"")</f>
        <v/>
      </c>
      <c r="D287" s="134"/>
      <c r="E287" s="137">
        <v>90</v>
      </c>
      <c r="F287" s="138">
        <v>310</v>
      </c>
      <c r="G287" s="139" t="str">
        <f>INDEX(Tableau8[Att1],MATCH(Tableau3[[#This Row],[ID-INS]],Tableau8[ID],0))&amp;""</f>
        <v>V1</v>
      </c>
      <c r="H287" s="140" t="str">
        <f>INDEX(Tableau8[Att2],MATCH(Tableau3[[#This Row],[ID-INS]],Tableau8[ID],0))&amp;""</f>
        <v>F17</v>
      </c>
      <c r="I287" s="139" t="str">
        <f>INDEX(Tableau8[Att3],MATCH(Tableau3[[#This Row],[ID-INS]],Tableau8[ID],0))&amp;""</f>
        <v>Feu F17</v>
      </c>
      <c r="J287" s="101"/>
      <c r="K287" s="167" t="str">
        <f>INDEX(Tableau8[Nom du modele],MATCH(Tableau3[[#This Row],[ID-INS]],Tableau8[ID],0))&amp;""</f>
        <v>FeuBiCora</v>
      </c>
      <c r="L287" s="141" t="str">
        <f>INDEX(Tableau5[Att1],MATCH(Tableau3[[#This Row],[ID-SIG]],Tableau5[ID],0))&amp;""</f>
        <v>FeuR_Cmd</v>
      </c>
      <c r="M287" s="141" t="str">
        <f>INDEX(Tableau5[Att2],MATCH(Tableau3[[#This Row],[ID-SIG]],Tableau5[ID],0))&amp;""</f>
        <v/>
      </c>
      <c r="N287" s="141" t="str">
        <f>INDEX(Tableau5[Att3],MATCH(Tableau3[[#This Row],[ID-SIG]],Tableau5[ID],0))&amp;""</f>
        <v/>
      </c>
      <c r="O287" s="99"/>
      <c r="P287" s="141" t="str">
        <f>INDEX(Tableau5[Description],MATCH(Tableau3[[#This Row],[ID-SIG]],Tableau5[ID],0))</f>
        <v>Commande Feu Rouge</v>
      </c>
      <c r="Q287" s="99"/>
      <c r="R287" s="142" t="str">
        <f>Tableau3[[#This Row],[Description]]</f>
        <v>Commande Feu Rouge</v>
      </c>
      <c r="U287" s="87">
        <v>2</v>
      </c>
      <c r="V287" s="87">
        <v>1</v>
      </c>
      <c r="W287" s="87">
        <v>10</v>
      </c>
      <c r="X287" s="87">
        <v>5</v>
      </c>
      <c r="Y287" s="41"/>
      <c r="Z287" s="165" t="str">
        <f>INDEX(Tableau2[TS],MATCH(Tableau3[[#This Row],[ID-CARTEVOIE]],Tableau2[ID-CARTEVOIE],0))</f>
        <v>ST</v>
      </c>
      <c r="AA287" s="144" t="s">
        <v>213</v>
      </c>
      <c r="AB287" s="224" t="str">
        <f>IFERROR(INDEX(Tableau5[Reserve],MATCH(Tableau3[[#This Row],[ID-SIG]],Tableau5[ID],0))&amp;"","")</f>
        <v/>
      </c>
      <c r="AC287" s="119"/>
      <c r="AD287" s="120" t="str">
        <f>INDEX(Tableau7[Repere],MATCH(Tableau3[[#This Row],[ID-API]],Tableau7[ID-API],0))&amp;""</f>
        <v>A2</v>
      </c>
      <c r="AE287" s="120" t="str">
        <f>INDEX(Tableau1[Repere-Rack],MATCH(Tableau3[[#This Row],[ID-RACK]],Tableau1[ID-RACK],0))&amp;""</f>
        <v>R1</v>
      </c>
      <c r="AF287" s="120" t="str">
        <f>INDEX(Tableau1[Repere-Slot],MATCH(Tableau3[[#This Row],[ID-SLOT]],Tableau1[ID-SLOT],0))&amp;""</f>
        <v>S10</v>
      </c>
      <c r="AG287" s="120" t="str">
        <f>INDEX(Tableau2[Repere-Voie],MATCH(Tableau3[[#This Row],[ID-VOIE]],Tableau2[ID-Voie],0))&amp;""</f>
        <v>v5</v>
      </c>
      <c r="AH287" s="122" t="str">
        <f>Tableau3[[#This Row],[ID-API]]&amp; "." &amp;Tableau3[[#This Row],[ID-RACK]]&amp; "." &amp;Tableau3[[#This Row],[ID-SLOT]]</f>
        <v>2.1.10</v>
      </c>
      <c r="AI287" s="72" t="str">
        <f>INDEX(Tableau1[Ref-Carte],MATCH(Tableau3[[#This Row],[ID-RRS]],Tableau1[ID-RRS],0))</f>
        <v>SDO0802</v>
      </c>
      <c r="AJ287" s="72" t="str">
        <f t="array" ref="AJ287">IFERROR(INDEX(Tableau2[TS],MATCH(1,(Tableau2[Ref-Carte]=Tableau3[[#This Row],[Ref-Carte2]])*(Tableau2[ID-Voie]=Tableau3[[#This Row],[ID-VOIE]]),0)),"")</f>
        <v>ST</v>
      </c>
      <c r="AK287" s="72" t="str">
        <f>IFERROR(INDEX(Tableau2[TS],SUMPRODUCT((Tableau2[Ref-Carte]=Tableau3[[#This Row],[Ref-Carte2]])*(Tableau2[ID-Voie]=Tableau3[[#This Row],[ID-VOIE]])*ROW(Tableau2[TS]))-ROW(Tableau2[#Headers])),"")</f>
        <v>ST</v>
      </c>
      <c r="AL287" s="122" t="str">
        <f>Tableau3[[#This Row],[Ref-Carte2]]&amp;"/"&amp;Tableau3[[#This Row],[ID-VOIE]]</f>
        <v>SDO0802/5</v>
      </c>
      <c r="AM287" s="145" t="str">
        <f>INDEX(Tableau2[Borne],MATCH(Tableau3[[#This Row],[ID-CARTEVOIE]],Tableau2[ID-CARTEVOIE],0))&amp;""</f>
        <v>5</v>
      </c>
      <c r="AN287" s="124" t="str">
        <f>Tableau3[[#This Row],[ID-API]]&amp;Tableau3[[#This Row],[ID-RACK]]&amp;Tableau3[[#This Row],[ID-SLOT]]&amp;Tableau3[[#This Row],[BORNE]]</f>
        <v>21105</v>
      </c>
      <c r="AO287" s="125"/>
    </row>
    <row r="288" spans="1:41" ht="20.100000000000001" customHeight="1" thickTop="1" thickBot="1">
      <c r="A288" s="68"/>
      <c r="B288" s="69" t="str">
        <f>IFERROR(INDEX(Tableau4[Date],MATCH($A288,Tableau4[EVO],0)),"")</f>
        <v/>
      </c>
      <c r="C288" s="68" t="str">
        <f>IFERROR(INDEX(Tableau4[Designation],MATCH($A288,Tableau4[EVO],0)),"")</f>
        <v/>
      </c>
      <c r="D288" s="68"/>
      <c r="E288" s="70">
        <v>96</v>
      </c>
      <c r="F288" s="71">
        <v>317</v>
      </c>
      <c r="G288" s="101" t="str">
        <f>INDEX(Tableau8[Att1],MATCH(Tableau3[[#This Row],[ID-INS]],Tableau8[ID],0))&amp;""</f>
        <v>V1</v>
      </c>
      <c r="H288" s="140" t="str">
        <f>INDEX(Tableau8[Att2],MATCH(Tableau3[[#This Row],[ID-INS]],Tableau8[ID],0))&amp;""</f>
        <v>F16</v>
      </c>
      <c r="I288" s="101" t="str">
        <f>INDEX(Tableau8[Att3],MATCH(Tableau3[[#This Row],[ID-INS]],Tableau8[ID],0))&amp;""</f>
        <v>Feu F16</v>
      </c>
      <c r="J288" s="101"/>
      <c r="K288" s="167" t="str">
        <f>INDEX(Tableau8[Nom du modele],MATCH(Tableau3[[#This Row],[ID-INS]],Tableau8[ID],0))&amp;""</f>
        <v>FeuContrAleaVLPL1</v>
      </c>
      <c r="L288" s="141" t="str">
        <f>INDEX(Tableau5[Att1],MATCH(Tableau3[[#This Row],[ID-SIG]],Tableau5[ID],0))&amp;""</f>
        <v>FeuB_Cmd</v>
      </c>
      <c r="M288" s="99" t="str">
        <f>INDEX(Tableau5[Att2],MATCH(Tableau3[[#This Row],[ID-SIG]],Tableau5[ID],0))&amp;""</f>
        <v/>
      </c>
      <c r="N288" s="99" t="str">
        <f>INDEX(Tableau5[Att3],MATCH(Tableau3[[#This Row],[ID-SIG]],Tableau5[ID],0))&amp;""</f>
        <v/>
      </c>
      <c r="O288" s="99"/>
      <c r="P288" s="141" t="str">
        <f>INDEX(Tableau5[Description],MATCH(Tableau3[[#This Row],[ID-SIG]],Tableau5[ID],0))</f>
        <v>Commande Feu Blanc</v>
      </c>
      <c r="Q288" s="99"/>
      <c r="R288" s="103" t="str">
        <f>Tableau3[[#This Row],[Description]]</f>
        <v>Commande Feu Blanc</v>
      </c>
      <c r="U288" s="87">
        <v>2</v>
      </c>
      <c r="V288" s="87">
        <v>1</v>
      </c>
      <c r="W288" s="87">
        <v>10</v>
      </c>
      <c r="X288" s="87">
        <v>6</v>
      </c>
      <c r="Y288" s="41"/>
      <c r="Z288" s="165" t="str">
        <f>INDEX(Tableau2[TS],MATCH(Tableau3[[#This Row],[ID-CARTEVOIE]],Tableau2[ID-CARTEVOIE],0))</f>
        <v>ST</v>
      </c>
      <c r="AA288" s="53" t="s">
        <v>213</v>
      </c>
      <c r="AB288" s="223" t="str">
        <f>IFERROR(INDEX(Tableau5[Reserve],MATCH(Tableau3[[#This Row],[ID-SIG]],Tableau5[ID],0))&amp;"","")</f>
        <v/>
      </c>
      <c r="AC288" s="21"/>
      <c r="AD288" s="108" t="str">
        <f>INDEX(Tableau7[Repere],MATCH(Tableau3[[#This Row],[ID-API]],Tableau7[ID-API],0))&amp;""</f>
        <v>A2</v>
      </c>
      <c r="AE288" s="108" t="str">
        <f>INDEX(Tableau1[Repere-Rack],MATCH(Tableau3[[#This Row],[ID-RACK]],Tableau1[ID-RACK],0))&amp;""</f>
        <v>R1</v>
      </c>
      <c r="AF288" s="108" t="str">
        <f>INDEX(Tableau1[Repere-Slot],MATCH(Tableau3[[#This Row],[ID-SLOT]],Tableau1[ID-SLOT],0))&amp;""</f>
        <v>S10</v>
      </c>
      <c r="AG288" s="108" t="str">
        <f>INDEX(Tableau2[Repere-Voie],MATCH(Tableau3[[#This Row],[ID-VOIE]],Tableau2[ID-Voie],0))&amp;""</f>
        <v>v6</v>
      </c>
      <c r="AH288" s="72" t="str">
        <f>Tableau3[[#This Row],[ID-API]]&amp; "." &amp;Tableau3[[#This Row],[ID-RACK]]&amp; "." &amp;Tableau3[[#This Row],[ID-SLOT]]</f>
        <v>2.1.10</v>
      </c>
      <c r="AI288" s="72" t="str">
        <f>INDEX(Tableau1[Ref-Carte],MATCH(Tableau3[[#This Row],[ID-RRS]],Tableau1[ID-RRS],0))</f>
        <v>SDO0802</v>
      </c>
      <c r="AJ288" s="72" t="str">
        <f t="array" ref="AJ288">IFERROR(INDEX(Tableau2[TS],MATCH(1,(Tableau2[Ref-Carte]=Tableau3[[#This Row],[Ref-Carte2]])*(Tableau2[ID-Voie]=Tableau3[[#This Row],[ID-VOIE]]),0)),"")</f>
        <v>ST</v>
      </c>
      <c r="AK288" s="72" t="str">
        <f>IFERROR(INDEX(Tableau2[TS],SUMPRODUCT((Tableau2[Ref-Carte]=Tableau3[[#This Row],[Ref-Carte2]])*(Tableau2[ID-Voie]=Tableau3[[#This Row],[ID-VOIE]])*ROW(Tableau2[TS]))-ROW(Tableau2[#Headers])),"")</f>
        <v>ST</v>
      </c>
      <c r="AL288" s="72" t="str">
        <f>Tableau3[[#This Row],[Ref-Carte2]]&amp;"/"&amp;Tableau3[[#This Row],[ID-VOIE]]</f>
        <v>SDO0802/6</v>
      </c>
      <c r="AM288" s="73" t="str">
        <f>INDEX(Tableau2[Borne],MATCH(Tableau3[[#This Row],[ID-CARTEVOIE]],Tableau2[ID-CARTEVOIE],0))&amp;""</f>
        <v>6</v>
      </c>
      <c r="AN288" s="74" t="str">
        <f>Tableau3[[#This Row],[ID-API]]&amp;Tableau3[[#This Row],[ID-RACK]]&amp;Tableau3[[#This Row],[ID-SLOT]]&amp;Tableau3[[#This Row],[BORNE]]</f>
        <v>21106</v>
      </c>
      <c r="AO288" s="1"/>
    </row>
    <row r="289" spans="1:41" ht="20.100000000000001" customHeight="1" thickTop="1" thickBot="1">
      <c r="A289" s="68"/>
      <c r="B289" s="69" t="str">
        <f>IFERROR(INDEX(Tableau4[Date],MATCH($A289,Tableau4[EVO],0)),"")</f>
        <v/>
      </c>
      <c r="C289" s="68" t="str">
        <f>IFERROR(INDEX(Tableau4[Designation],MATCH($A289,Tableau4[EVO],0)),"")</f>
        <v/>
      </c>
      <c r="D289" s="68"/>
      <c r="E289" s="70">
        <v>96</v>
      </c>
      <c r="F289" s="71">
        <v>318</v>
      </c>
      <c r="G289" s="101" t="str">
        <f>INDEX(Tableau8[Att1],MATCH(Tableau3[[#This Row],[ID-INS]],Tableau8[ID],0))&amp;""</f>
        <v>V1</v>
      </c>
      <c r="H289" s="101" t="str">
        <f>INDEX(Tableau8[Att2],MATCH(Tableau3[[#This Row],[ID-INS]],Tableau8[ID],0))&amp;""</f>
        <v>F16</v>
      </c>
      <c r="I289" s="101" t="str">
        <f>INDEX(Tableau8[Att3],MATCH(Tableau3[[#This Row],[ID-INS]],Tableau8[ID],0))&amp;""</f>
        <v>Feu F16</v>
      </c>
      <c r="J289" s="101"/>
      <c r="K289" s="167" t="str">
        <f>INDEX(Tableau8[Nom du modele],MATCH(Tableau3[[#This Row],[ID-INS]],Tableau8[ID],0))&amp;""</f>
        <v>FeuContrAleaVLPL1</v>
      </c>
      <c r="L289" s="99" t="str">
        <f>INDEX(Tableau5[Att1],MATCH(Tableau3[[#This Row],[ID-SIG]],Tableau5[ID],0))&amp;""</f>
        <v>FeuR_Cmd</v>
      </c>
      <c r="M289" s="99" t="str">
        <f>INDEX(Tableau5[Att2],MATCH(Tableau3[[#This Row],[ID-SIG]],Tableau5[ID],0))&amp;""</f>
        <v/>
      </c>
      <c r="N289" s="99" t="str">
        <f>INDEX(Tableau5[Att3],MATCH(Tableau3[[#This Row],[ID-SIG]],Tableau5[ID],0))&amp;""</f>
        <v/>
      </c>
      <c r="O289" s="99"/>
      <c r="P289" s="99" t="str">
        <f>INDEX(Tableau5[Description],MATCH(Tableau3[[#This Row],[ID-SIG]],Tableau5[ID],0))</f>
        <v xml:space="preserve">Commande Feu Rouge </v>
      </c>
      <c r="Q289" s="99"/>
      <c r="R289" s="103" t="str">
        <f>Tableau3[[#This Row],[Description]]</f>
        <v xml:space="preserve">Commande Feu Rouge </v>
      </c>
      <c r="U289" s="87">
        <v>2</v>
      </c>
      <c r="V289" s="87">
        <v>1</v>
      </c>
      <c r="W289" s="87">
        <v>10</v>
      </c>
      <c r="X289" s="87">
        <v>7</v>
      </c>
      <c r="Y289" s="41"/>
      <c r="Z289" s="165" t="str">
        <f>INDEX(Tableau2[TS],MATCH(Tableau3[[#This Row],[ID-CARTEVOIE]],Tableau2[ID-CARTEVOIE],0))</f>
        <v>ST</v>
      </c>
      <c r="AA289" s="53" t="s">
        <v>213</v>
      </c>
      <c r="AB289" s="223" t="str">
        <f>IFERROR(INDEX(Tableau5[Reserve],MATCH(Tableau3[[#This Row],[ID-SIG]],Tableau5[ID],0))&amp;"","")</f>
        <v/>
      </c>
      <c r="AC289" s="21"/>
      <c r="AD289" s="108" t="str">
        <f>INDEX(Tableau7[Repere],MATCH(Tableau3[[#This Row],[ID-API]],Tableau7[ID-API],0))&amp;""</f>
        <v>A2</v>
      </c>
      <c r="AE289" s="108" t="str">
        <f>INDEX(Tableau1[Repere-Rack],MATCH(Tableau3[[#This Row],[ID-RACK]],Tableau1[ID-RACK],0))&amp;""</f>
        <v>R1</v>
      </c>
      <c r="AF289" s="108" t="str">
        <f>INDEX(Tableau1[Repere-Slot],MATCH(Tableau3[[#This Row],[ID-SLOT]],Tableau1[ID-SLOT],0))&amp;""</f>
        <v>S10</v>
      </c>
      <c r="AG289" s="108" t="str">
        <f>INDEX(Tableau2[Repere-Voie],MATCH(Tableau3[[#This Row],[ID-VOIE]],Tableau2[ID-Voie],0))&amp;""</f>
        <v>v7</v>
      </c>
      <c r="AH289" s="72" t="str">
        <f>Tableau3[[#This Row],[ID-API]]&amp; "." &amp;Tableau3[[#This Row],[ID-RACK]]&amp; "." &amp;Tableau3[[#This Row],[ID-SLOT]]</f>
        <v>2.1.10</v>
      </c>
      <c r="AI289" s="72" t="str">
        <f>INDEX(Tableau1[Ref-Carte],MATCH(Tableau3[[#This Row],[ID-RRS]],Tableau1[ID-RRS],0))</f>
        <v>SDO0802</v>
      </c>
      <c r="AJ289" s="72" t="str">
        <f t="array" ref="AJ289">IFERROR(INDEX(Tableau2[TS],MATCH(1,(Tableau2[Ref-Carte]=Tableau3[[#This Row],[Ref-Carte2]])*(Tableau2[ID-Voie]=Tableau3[[#This Row],[ID-VOIE]]),0)),"")</f>
        <v>ST</v>
      </c>
      <c r="AK289" s="72" t="str">
        <f>IFERROR(INDEX(Tableau2[TS],SUMPRODUCT((Tableau2[Ref-Carte]=Tableau3[[#This Row],[Ref-Carte2]])*(Tableau2[ID-Voie]=Tableau3[[#This Row],[ID-VOIE]])*ROW(Tableau2[TS]))-ROW(Tableau2[#Headers])),"")</f>
        <v>ST</v>
      </c>
      <c r="AL289" s="72" t="str">
        <f>Tableau3[[#This Row],[Ref-Carte2]]&amp;"/"&amp;Tableau3[[#This Row],[ID-VOIE]]</f>
        <v>SDO0802/7</v>
      </c>
      <c r="AM289" s="73" t="str">
        <f>INDEX(Tableau2[Borne],MATCH(Tableau3[[#This Row],[ID-CARTEVOIE]],Tableau2[ID-CARTEVOIE],0))&amp;""</f>
        <v>7</v>
      </c>
      <c r="AN289" s="74" t="str">
        <f>Tableau3[[#This Row],[ID-API]]&amp;Tableau3[[#This Row],[ID-RACK]]&amp;Tableau3[[#This Row],[ID-SLOT]]&amp;Tableau3[[#This Row],[BORNE]]</f>
        <v>21107</v>
      </c>
      <c r="AO289" s="1"/>
    </row>
    <row r="290" spans="1:41" ht="20.100000000000001" customHeight="1" thickTop="1" thickBot="1">
      <c r="A290" s="68"/>
      <c r="B290" s="69" t="str">
        <f>IFERROR(INDEX(Tableau4[Date],MATCH($A290,Tableau4[EVO],0)),"")</f>
        <v/>
      </c>
      <c r="C290" s="68" t="str">
        <f>IFERROR(INDEX(Tableau4[Designation],MATCH($A290,Tableau4[EVO],0)),"")</f>
        <v/>
      </c>
      <c r="D290" s="68"/>
      <c r="E290" s="70">
        <v>97</v>
      </c>
      <c r="F290" s="71">
        <v>307</v>
      </c>
      <c r="G290" s="101" t="str">
        <f>INDEX(Tableau8[Att1],MATCH(Tableau3[[#This Row],[ID-INS]],Tableau8[ID],0))&amp;""</f>
        <v>V1</v>
      </c>
      <c r="H290" s="101" t="str">
        <f>INDEX(Tableau8[Att2],MATCH(Tableau3[[#This Row],[ID-INS]],Tableau8[ID],0))&amp;""</f>
        <v>F22</v>
      </c>
      <c r="I290" s="101" t="str">
        <f>INDEX(Tableau8[Att3],MATCH(Tableau3[[#This Row],[ID-INS]],Tableau8[ID],0))&amp;""</f>
        <v>Feu F22</v>
      </c>
      <c r="J290" s="101"/>
      <c r="K290" s="167" t="str">
        <f>INDEX(Tableau8[Nom du modele],MATCH(Tableau3[[#This Row],[ID-INS]],Tableau8[ID],0))&amp;""</f>
        <v>FeuOuvV</v>
      </c>
      <c r="L290" s="99" t="str">
        <f>INDEX(Tableau5[Att1],MATCH(Tableau3[[#This Row],[ID-SIG]],Tableau5[ID],0))&amp;""</f>
        <v>Feu_Cmd</v>
      </c>
      <c r="M290" s="99" t="str">
        <f>INDEX(Tableau5[Att2],MATCH(Tableau3[[#This Row],[ID-SIG]],Tableau5[ID],0))&amp;""</f>
        <v/>
      </c>
      <c r="N290" s="99" t="str">
        <f>INDEX(Tableau5[Att3],MATCH(Tableau3[[#This Row],[ID-SIG]],Tableau5[ID],0))&amp;""</f>
        <v/>
      </c>
      <c r="O290" s="99"/>
      <c r="P290" s="99" t="str">
        <f>INDEX(Tableau5[Description],MATCH(Tableau3[[#This Row],[ID-SIG]],Tableau5[ID],0))</f>
        <v xml:space="preserve">Commande Feu </v>
      </c>
      <c r="Q290" s="99"/>
      <c r="R290" s="103" t="str">
        <f>Tableau3[[#This Row],[Description]]</f>
        <v xml:space="preserve">Commande Feu </v>
      </c>
      <c r="U290" s="87">
        <v>2</v>
      </c>
      <c r="V290" s="87">
        <v>2</v>
      </c>
      <c r="W290" s="87">
        <v>1</v>
      </c>
      <c r="X290" s="87">
        <v>0</v>
      </c>
      <c r="Y290" s="41"/>
      <c r="Z290" s="165" t="str">
        <f>INDEX(Tableau2[TS],MATCH(Tableau3[[#This Row],[ID-CARTEVOIE]],Tableau2[ID-CARTEVOIE],0))</f>
        <v>ST</v>
      </c>
      <c r="AA290" s="53" t="s">
        <v>213</v>
      </c>
      <c r="AB290" s="223" t="str">
        <f>IFERROR(INDEX(Tableau5[Reserve],MATCH(Tableau3[[#This Row],[ID-SIG]],Tableau5[ID],0))&amp;"","")</f>
        <v/>
      </c>
      <c r="AC290" s="21"/>
      <c r="AD290" s="108" t="str">
        <f>INDEX(Tableau7[Repere],MATCH(Tableau3[[#This Row],[ID-API]],Tableau7[ID-API],0))&amp;""</f>
        <v>A2</v>
      </c>
      <c r="AE290" s="108" t="str">
        <f>INDEX(Tableau1[Repere-Rack],MATCH(Tableau3[[#This Row],[ID-RACK]],Tableau1[ID-RACK],0))&amp;""</f>
        <v>R2</v>
      </c>
      <c r="AF290" s="108" t="str">
        <f>INDEX(Tableau1[Repere-Slot],MATCH(Tableau3[[#This Row],[ID-SLOT]],Tableau1[ID-SLOT],0))&amp;""</f>
        <v>S1</v>
      </c>
      <c r="AG290" s="108" t="str">
        <f>INDEX(Tableau2[Repere-Voie],MATCH(Tableau3[[#This Row],[ID-VOIE]],Tableau2[ID-Voie],0))&amp;""</f>
        <v>v0</v>
      </c>
      <c r="AH290" s="72" t="str">
        <f>Tableau3[[#This Row],[ID-API]]&amp; "." &amp;Tableau3[[#This Row],[ID-RACK]]&amp; "." &amp;Tableau3[[#This Row],[ID-SLOT]]</f>
        <v>2.2.1</v>
      </c>
      <c r="AI290" s="72" t="str">
        <f>INDEX(Tableau1[Ref-Carte],MATCH(Tableau3[[#This Row],[ID-RRS]],Tableau1[ID-RRS],0))</f>
        <v>SDO0802</v>
      </c>
      <c r="AJ290" s="72" t="str">
        <f t="array" ref="AJ290">IFERROR(INDEX(Tableau2[TS],MATCH(1,(Tableau2[Ref-Carte]=Tableau3[[#This Row],[Ref-Carte2]])*(Tableau2[ID-Voie]=Tableau3[[#This Row],[ID-VOIE]]),0)),"")</f>
        <v>ST</v>
      </c>
      <c r="AK290" s="72" t="str">
        <f>IFERROR(INDEX(Tableau2[TS],SUMPRODUCT((Tableau2[Ref-Carte]=Tableau3[[#This Row],[Ref-Carte2]])*(Tableau2[ID-Voie]=Tableau3[[#This Row],[ID-VOIE]])*ROW(Tableau2[TS]))-ROW(Tableau2[#Headers])),"")</f>
        <v>ST</v>
      </c>
      <c r="AL290" s="72" t="str">
        <f>Tableau3[[#This Row],[Ref-Carte2]]&amp;"/"&amp;Tableau3[[#This Row],[ID-VOIE]]</f>
        <v>SDO0802/0</v>
      </c>
      <c r="AM290" s="73" t="str">
        <f>INDEX(Tableau2[Borne],MATCH(Tableau3[[#This Row],[ID-CARTEVOIE]],Tableau2[ID-CARTEVOIE],0))&amp;""</f>
        <v>0</v>
      </c>
      <c r="AN290" s="74" t="str">
        <f>Tableau3[[#This Row],[ID-API]]&amp;Tableau3[[#This Row],[ID-RACK]]&amp;Tableau3[[#This Row],[ID-SLOT]]&amp;Tableau3[[#This Row],[BORNE]]</f>
        <v>2210</v>
      </c>
      <c r="AO290" s="1"/>
    </row>
    <row r="291" spans="1:41" ht="20.100000000000001" customHeight="1" thickTop="1" thickBot="1">
      <c r="A291" s="68"/>
      <c r="B291" s="69" t="str">
        <f>IFERROR(INDEX(Tableau4[Date],MATCH($A291,Tableau4[EVO],0)),"")</f>
        <v/>
      </c>
      <c r="C291" s="68" t="str">
        <f>IFERROR(INDEX(Tableau4[Designation],MATCH($A291,Tableau4[EVO],0)),"")</f>
        <v/>
      </c>
      <c r="D291" s="68"/>
      <c r="E291" s="70">
        <v>100</v>
      </c>
      <c r="F291" s="71">
        <v>307</v>
      </c>
      <c r="G291" s="101" t="str">
        <f>INDEX(Tableau8[Att1],MATCH(Tableau3[[#This Row],[ID-INS]],Tableau8[ID],0))&amp;""</f>
        <v>V1</v>
      </c>
      <c r="H291" s="101" t="str">
        <f>INDEX(Tableau8[Att2],MATCH(Tableau3[[#This Row],[ID-INS]],Tableau8[ID],0))&amp;""</f>
        <v>F25</v>
      </c>
      <c r="I291" s="101" t="str">
        <f>INDEX(Tableau8[Att3],MATCH(Tableau3[[#This Row],[ID-INS]],Tableau8[ID],0))&amp;""</f>
        <v>Feu F25</v>
      </c>
      <c r="J291" s="101"/>
      <c r="K291" s="167" t="str">
        <f>INDEX(Tableau8[Nom du modele],MATCH(Tableau3[[#This Row],[ID-INS]],Tableau8[ID],0))&amp;""</f>
        <v>FeuOuvV</v>
      </c>
      <c r="L291" s="99" t="str">
        <f>INDEX(Tableau5[Att1],MATCH(Tableau3[[#This Row],[ID-SIG]],Tableau5[ID],0))&amp;""</f>
        <v>Feu_Cmd</v>
      </c>
      <c r="M291" s="99" t="str">
        <f>INDEX(Tableau5[Att2],MATCH(Tableau3[[#This Row],[ID-SIG]],Tableau5[ID],0))&amp;""</f>
        <v/>
      </c>
      <c r="N291" s="99" t="str">
        <f>INDEX(Tableau5[Att3],MATCH(Tableau3[[#This Row],[ID-SIG]],Tableau5[ID],0))&amp;""</f>
        <v/>
      </c>
      <c r="O291" s="99"/>
      <c r="P291" s="99" t="str">
        <f>INDEX(Tableau5[Description],MATCH(Tableau3[[#This Row],[ID-SIG]],Tableau5[ID],0))</f>
        <v xml:space="preserve">Commande Feu </v>
      </c>
      <c r="Q291" s="99"/>
      <c r="R291" s="103" t="str">
        <f>Tableau3[[#This Row],[Description]]</f>
        <v xml:space="preserve">Commande Feu </v>
      </c>
      <c r="U291" s="87">
        <v>2</v>
      </c>
      <c r="V291" s="87">
        <v>2</v>
      </c>
      <c r="W291" s="87">
        <v>1</v>
      </c>
      <c r="X291" s="87">
        <v>1</v>
      </c>
      <c r="Y291" s="41"/>
      <c r="Z291" s="165" t="str">
        <f>INDEX(Tableau2[TS],MATCH(Tableau3[[#This Row],[ID-CARTEVOIE]],Tableau2[ID-CARTEVOIE],0))</f>
        <v>ST</v>
      </c>
      <c r="AA291" s="53" t="s">
        <v>213</v>
      </c>
      <c r="AB291" s="223" t="str">
        <f>IFERROR(INDEX(Tableau5[Reserve],MATCH(Tableau3[[#This Row],[ID-SIG]],Tableau5[ID],0))&amp;"","")</f>
        <v/>
      </c>
      <c r="AC291" s="21"/>
      <c r="AD291" s="108" t="str">
        <f>INDEX(Tableau7[Repere],MATCH(Tableau3[[#This Row],[ID-API]],Tableau7[ID-API],0))&amp;""</f>
        <v>A2</v>
      </c>
      <c r="AE291" s="108" t="str">
        <f>INDEX(Tableau1[Repere-Rack],MATCH(Tableau3[[#This Row],[ID-RACK]],Tableau1[ID-RACK],0))&amp;""</f>
        <v>R2</v>
      </c>
      <c r="AF291" s="108" t="str">
        <f>INDEX(Tableau1[Repere-Slot],MATCH(Tableau3[[#This Row],[ID-SLOT]],Tableau1[ID-SLOT],0))&amp;""</f>
        <v>S1</v>
      </c>
      <c r="AG291" s="108" t="str">
        <f>INDEX(Tableau2[Repere-Voie],MATCH(Tableau3[[#This Row],[ID-VOIE]],Tableau2[ID-Voie],0))&amp;""</f>
        <v>v1</v>
      </c>
      <c r="AH291" s="72" t="str">
        <f>Tableau3[[#This Row],[ID-API]]&amp; "." &amp;Tableau3[[#This Row],[ID-RACK]]&amp; "." &amp;Tableau3[[#This Row],[ID-SLOT]]</f>
        <v>2.2.1</v>
      </c>
      <c r="AI291" s="72" t="str">
        <f>INDEX(Tableau1[Ref-Carte],MATCH(Tableau3[[#This Row],[ID-RRS]],Tableau1[ID-RRS],0))</f>
        <v>SDO0802</v>
      </c>
      <c r="AJ291" s="72" t="str">
        <f t="array" ref="AJ291">IFERROR(INDEX(Tableau2[TS],MATCH(1,(Tableau2[Ref-Carte]=Tableau3[[#This Row],[Ref-Carte2]])*(Tableau2[ID-Voie]=Tableau3[[#This Row],[ID-VOIE]]),0)),"")</f>
        <v>ST</v>
      </c>
      <c r="AK291" s="72" t="str">
        <f>IFERROR(INDEX(Tableau2[TS],SUMPRODUCT((Tableau2[Ref-Carte]=Tableau3[[#This Row],[Ref-Carte2]])*(Tableau2[ID-Voie]=Tableau3[[#This Row],[ID-VOIE]])*ROW(Tableau2[TS]))-ROW(Tableau2[#Headers])),"")</f>
        <v>ST</v>
      </c>
      <c r="AL291" s="72" t="str">
        <f>Tableau3[[#This Row],[Ref-Carte2]]&amp;"/"&amp;Tableau3[[#This Row],[ID-VOIE]]</f>
        <v>SDO0802/1</v>
      </c>
      <c r="AM291" s="73" t="str">
        <f>INDEX(Tableau2[Borne],MATCH(Tableau3[[#This Row],[ID-CARTEVOIE]],Tableau2[ID-CARTEVOIE],0))&amp;""</f>
        <v>1</v>
      </c>
      <c r="AN291" s="74" t="str">
        <f>Tableau3[[#This Row],[ID-API]]&amp;Tableau3[[#This Row],[ID-RACK]]&amp;Tableau3[[#This Row],[ID-SLOT]]&amp;Tableau3[[#This Row],[BORNE]]</f>
        <v>2211</v>
      </c>
      <c r="AO291" s="1"/>
    </row>
    <row r="292" spans="1:41" ht="20.100000000000001" customHeight="1" thickTop="1" thickBot="1">
      <c r="A292" s="68"/>
      <c r="B292" s="69" t="str">
        <f>IFERROR(INDEX(Tableau4[Date],MATCH($A292,Tableau4[EVO],0)),"")</f>
        <v/>
      </c>
      <c r="C292" s="68" t="str">
        <f>IFERROR(INDEX(Tableau4[Designation],MATCH($A292,Tableau4[EVO],0)),"")</f>
        <v/>
      </c>
      <c r="D292" s="68"/>
      <c r="E292" s="70">
        <v>103</v>
      </c>
      <c r="F292" s="71">
        <v>13</v>
      </c>
      <c r="G292" s="101" t="str">
        <f>INDEX(Tableau8[Att1],MATCH(Tableau3[[#This Row],[ID-INS]],Tableau8[ID],0))&amp;""</f>
        <v>V1</v>
      </c>
      <c r="H292" s="101" t="str">
        <f>INDEX(Tableau8[Att2],MATCH(Tableau3[[#This Row],[ID-INS]],Tableau8[ID],0))&amp;""</f>
        <v>UTLR1</v>
      </c>
      <c r="I292" s="101" t="str">
        <f>INDEX(Tableau8[Att3],MATCH(Tableau3[[#This Row],[ID-INS]],Tableau8[ID],0))&amp;""</f>
        <v>UTL rouge IDVL1/BH1</v>
      </c>
      <c r="J292" s="101"/>
      <c r="K292" s="167" t="str">
        <f>INDEX(Tableau8[Nom du modele],MATCH(Tableau3[[#This Row],[ID-INS]],Tableau8[ID],0))&amp;""</f>
        <v>UTL</v>
      </c>
      <c r="L292" s="99" t="str">
        <f>INDEX(Tableau5[Att1],MATCH(Tableau3[[#This Row],[ID-SIG]],Tableau5[ID],0))&amp;""</f>
        <v>PassEffec</v>
      </c>
      <c r="M292" s="99" t="str">
        <f>INDEX(Tableau5[Att2],MATCH(Tableau3[[#This Row],[ID-SIG]],Tableau5[ID],0))&amp;""</f>
        <v/>
      </c>
      <c r="N292" s="99" t="str">
        <f>INDEX(Tableau5[Att3],MATCH(Tableau3[[#This Row],[ID-SIG]],Tableau5[ID],0))&amp;""</f>
        <v/>
      </c>
      <c r="O292" s="99"/>
      <c r="P292" s="99" t="str">
        <f>INDEX(Tableau5[Description],MATCH(Tableau3[[#This Row],[ID-SIG]],Tableau5[ID],0))</f>
        <v>Commande passage effectué vers UTL</v>
      </c>
      <c r="Q292" s="99"/>
      <c r="R292" s="103" t="str">
        <f>Tableau3[[#This Row],[Description]]</f>
        <v>Commande passage effectué vers UTL</v>
      </c>
      <c r="U292" s="87">
        <v>2</v>
      </c>
      <c r="V292" s="87">
        <v>2</v>
      </c>
      <c r="W292" s="87">
        <v>1</v>
      </c>
      <c r="X292" s="87">
        <v>2</v>
      </c>
      <c r="Y292" s="41"/>
      <c r="Z292" s="165" t="str">
        <f>INDEX(Tableau2[TS],MATCH(Tableau3[[#This Row],[ID-CARTEVOIE]],Tableau2[ID-CARTEVOIE],0))</f>
        <v>ST</v>
      </c>
      <c r="AA292" s="53" t="s">
        <v>213</v>
      </c>
      <c r="AB292" s="223" t="str">
        <f>IFERROR(INDEX(Tableau5[Reserve],MATCH(Tableau3[[#This Row],[ID-SIG]],Tableau5[ID],0))&amp;"","")</f>
        <v/>
      </c>
      <c r="AC292" s="21"/>
      <c r="AD292" s="108" t="str">
        <f>INDEX(Tableau7[Repere],MATCH(Tableau3[[#This Row],[ID-API]],Tableau7[ID-API],0))&amp;""</f>
        <v>A2</v>
      </c>
      <c r="AE292" s="108" t="str">
        <f>INDEX(Tableau1[Repere-Rack],MATCH(Tableau3[[#This Row],[ID-RACK]],Tableau1[ID-RACK],0))&amp;""</f>
        <v>R2</v>
      </c>
      <c r="AF292" s="108" t="str">
        <f>INDEX(Tableau1[Repere-Slot],MATCH(Tableau3[[#This Row],[ID-SLOT]],Tableau1[ID-SLOT],0))&amp;""</f>
        <v>S1</v>
      </c>
      <c r="AG292" s="108" t="str">
        <f>INDEX(Tableau2[Repere-Voie],MATCH(Tableau3[[#This Row],[ID-VOIE]],Tableau2[ID-Voie],0))&amp;""</f>
        <v>v2</v>
      </c>
      <c r="AH292" s="72" t="str">
        <f>Tableau3[[#This Row],[ID-API]]&amp; "." &amp;Tableau3[[#This Row],[ID-RACK]]&amp; "." &amp;Tableau3[[#This Row],[ID-SLOT]]</f>
        <v>2.2.1</v>
      </c>
      <c r="AI292" s="72" t="str">
        <f>INDEX(Tableau1[Ref-Carte],MATCH(Tableau3[[#This Row],[ID-RRS]],Tableau1[ID-RRS],0))</f>
        <v>SDO0802</v>
      </c>
      <c r="AJ292" s="72" t="str">
        <f t="array" ref="AJ292">IFERROR(INDEX(Tableau2[TS],MATCH(1,(Tableau2[Ref-Carte]=Tableau3[[#This Row],[Ref-Carte2]])*(Tableau2[ID-Voie]=Tableau3[[#This Row],[ID-VOIE]]),0)),"")</f>
        <v>ST</v>
      </c>
      <c r="AK292" s="72" t="str">
        <f>IFERROR(INDEX(Tableau2[TS],SUMPRODUCT((Tableau2[Ref-Carte]=Tableau3[[#This Row],[Ref-Carte2]])*(Tableau2[ID-Voie]=Tableau3[[#This Row],[ID-VOIE]])*ROW(Tableau2[TS]))-ROW(Tableau2[#Headers])),"")</f>
        <v>ST</v>
      </c>
      <c r="AL292" s="72" t="str">
        <f>Tableau3[[#This Row],[Ref-Carte2]]&amp;"/"&amp;Tableau3[[#This Row],[ID-VOIE]]</f>
        <v>SDO0802/2</v>
      </c>
      <c r="AM292" s="73" t="str">
        <f>INDEX(Tableau2[Borne],MATCH(Tableau3[[#This Row],[ID-CARTEVOIE]],Tableau2[ID-CARTEVOIE],0))&amp;""</f>
        <v>2</v>
      </c>
      <c r="AN292" s="74" t="str">
        <f>Tableau3[[#This Row],[ID-API]]&amp;Tableau3[[#This Row],[ID-RACK]]&amp;Tableau3[[#This Row],[ID-SLOT]]&amp;Tableau3[[#This Row],[BORNE]]</f>
        <v>2212</v>
      </c>
      <c r="AO292" s="1"/>
    </row>
    <row r="293" spans="1:41" ht="20.100000000000001" customHeight="1" thickTop="1" thickBot="1">
      <c r="A293" s="68"/>
      <c r="B293" s="69" t="str">
        <f>IFERROR(INDEX(Tableau4[Date],MATCH($A293,Tableau4[EVO],0)),"")</f>
        <v/>
      </c>
      <c r="C293" s="68" t="str">
        <f>IFERROR(INDEX(Tableau4[Designation],MATCH($A293,Tableau4[EVO],0)),"")</f>
        <v/>
      </c>
      <c r="D293" s="68"/>
      <c r="E293" s="70">
        <v>103</v>
      </c>
      <c r="F293" s="71">
        <v>14</v>
      </c>
      <c r="G293" s="101" t="str">
        <f>INDEX(Tableau8[Att1],MATCH(Tableau3[[#This Row],[ID-INS]],Tableau8[ID],0))&amp;""</f>
        <v>V1</v>
      </c>
      <c r="H293" s="101" t="str">
        <f>INDEX(Tableau8[Att2],MATCH(Tableau3[[#This Row],[ID-INS]],Tableau8[ID],0))&amp;""</f>
        <v>UTLR1</v>
      </c>
      <c r="I293" s="101" t="str">
        <f>INDEX(Tableau8[Att3],MATCH(Tableau3[[#This Row],[ID-INS]],Tableau8[ID],0))&amp;""</f>
        <v>UTL rouge IDVL1/BH1</v>
      </c>
      <c r="J293" s="101"/>
      <c r="K293" s="167" t="str">
        <f>INDEX(Tableau8[Nom du modele],MATCH(Tableau3[[#This Row],[ID-INS]],Tableau8[ID],0))&amp;""</f>
        <v>UTL</v>
      </c>
      <c r="L293" s="99" t="str">
        <f>INDEX(Tableau5[Att1],MATCH(Tableau3[[#This Row],[ID-SIG]],Tableau5[ID],0))&amp;""</f>
        <v>AutorBadge</v>
      </c>
      <c r="M293" s="99" t="str">
        <f>INDEX(Tableau5[Att2],MATCH(Tableau3[[#This Row],[ID-SIG]],Tableau5[ID],0))&amp;""</f>
        <v/>
      </c>
      <c r="N293" s="99" t="str">
        <f>INDEX(Tableau5[Att3],MATCH(Tableau3[[#This Row],[ID-SIG]],Tableau5[ID],0))&amp;""</f>
        <v/>
      </c>
      <c r="O293" s="99"/>
      <c r="P293" s="99" t="str">
        <f>INDEX(Tableau5[Description],MATCH(Tableau3[[#This Row],[ID-SIG]],Tableau5[ID],0))</f>
        <v>Commande autorisation badgeage vers UTL</v>
      </c>
      <c r="Q293" s="99"/>
      <c r="R293" s="103" t="str">
        <f>Tableau3[[#This Row],[Description]]</f>
        <v>Commande autorisation badgeage vers UTL</v>
      </c>
      <c r="U293" s="87">
        <v>2</v>
      </c>
      <c r="V293" s="87">
        <v>2</v>
      </c>
      <c r="W293" s="87">
        <v>1</v>
      </c>
      <c r="X293" s="87">
        <v>3</v>
      </c>
      <c r="Y293" s="41"/>
      <c r="Z293" s="165" t="str">
        <f>INDEX(Tableau2[TS],MATCH(Tableau3[[#This Row],[ID-CARTEVOIE]],Tableau2[ID-CARTEVOIE],0))</f>
        <v>ST</v>
      </c>
      <c r="AA293" s="53" t="s">
        <v>213</v>
      </c>
      <c r="AB293" s="223" t="str">
        <f>IFERROR(INDEX(Tableau5[Reserve],MATCH(Tableau3[[#This Row],[ID-SIG]],Tableau5[ID],0))&amp;"","")</f>
        <v/>
      </c>
      <c r="AC293" s="21"/>
      <c r="AD293" s="108" t="str">
        <f>INDEX(Tableau7[Repere],MATCH(Tableau3[[#This Row],[ID-API]],Tableau7[ID-API],0))&amp;""</f>
        <v>A2</v>
      </c>
      <c r="AE293" s="108" t="str">
        <f>INDEX(Tableau1[Repere-Rack],MATCH(Tableau3[[#This Row],[ID-RACK]],Tableau1[ID-RACK],0))&amp;""</f>
        <v>R2</v>
      </c>
      <c r="AF293" s="108" t="str">
        <f>INDEX(Tableau1[Repere-Slot],MATCH(Tableau3[[#This Row],[ID-SLOT]],Tableau1[ID-SLOT],0))&amp;""</f>
        <v>S1</v>
      </c>
      <c r="AG293" s="108" t="str">
        <f>INDEX(Tableau2[Repere-Voie],MATCH(Tableau3[[#This Row],[ID-VOIE]],Tableau2[ID-Voie],0))&amp;""</f>
        <v>v3</v>
      </c>
      <c r="AH293" s="72" t="str">
        <f>Tableau3[[#This Row],[ID-API]]&amp; "." &amp;Tableau3[[#This Row],[ID-RACK]]&amp; "." &amp;Tableau3[[#This Row],[ID-SLOT]]</f>
        <v>2.2.1</v>
      </c>
      <c r="AI293" s="72" t="str">
        <f>INDEX(Tableau1[Ref-Carte],MATCH(Tableau3[[#This Row],[ID-RRS]],Tableau1[ID-RRS],0))</f>
        <v>SDO0802</v>
      </c>
      <c r="AJ293" s="72" t="str">
        <f t="array" ref="AJ293">IFERROR(INDEX(Tableau2[TS],MATCH(1,(Tableau2[Ref-Carte]=Tableau3[[#This Row],[Ref-Carte2]])*(Tableau2[ID-Voie]=Tableau3[[#This Row],[ID-VOIE]]),0)),"")</f>
        <v>ST</v>
      </c>
      <c r="AK293" s="72" t="str">
        <f>IFERROR(INDEX(Tableau2[TS],SUMPRODUCT((Tableau2[Ref-Carte]=Tableau3[[#This Row],[Ref-Carte2]])*(Tableau2[ID-Voie]=Tableau3[[#This Row],[ID-VOIE]])*ROW(Tableau2[TS]))-ROW(Tableau2[#Headers])),"")</f>
        <v>ST</v>
      </c>
      <c r="AL293" s="72" t="str">
        <f>Tableau3[[#This Row],[Ref-Carte2]]&amp;"/"&amp;Tableau3[[#This Row],[ID-VOIE]]</f>
        <v>SDO0802/3</v>
      </c>
      <c r="AM293" s="73" t="str">
        <f>INDEX(Tableau2[Borne],MATCH(Tableau3[[#This Row],[ID-CARTEVOIE]],Tableau2[ID-CARTEVOIE],0))&amp;""</f>
        <v>3</v>
      </c>
      <c r="AN293" s="74" t="str">
        <f>Tableau3[[#This Row],[ID-API]]&amp;Tableau3[[#This Row],[ID-RACK]]&amp;Tableau3[[#This Row],[ID-SLOT]]&amp;Tableau3[[#This Row],[BORNE]]</f>
        <v>2213</v>
      </c>
      <c r="AO293" s="1"/>
    </row>
    <row r="294" spans="1:41" ht="20.100000000000001" customHeight="1" thickTop="1" thickBot="1">
      <c r="A294" s="68"/>
      <c r="B294" s="69" t="str">
        <f>IFERROR(INDEX(Tableau4[Date],MATCH($A294,Tableau4[EVO],0)),"")</f>
        <v/>
      </c>
      <c r="C294" s="68" t="str">
        <f>IFERROR(INDEX(Tableau4[Designation],MATCH($A294,Tableau4[EVO],0)),"")</f>
        <v/>
      </c>
      <c r="D294" s="68"/>
      <c r="E294" s="70">
        <v>114</v>
      </c>
      <c r="F294" s="71">
        <v>13</v>
      </c>
      <c r="G294" s="101" t="str">
        <f>INDEX(Tableau8[Att1],MATCH(Tableau3[[#This Row],[ID-INS]],Tableau8[ID],0))&amp;""</f>
        <v>V1</v>
      </c>
      <c r="H294" s="101" t="str">
        <f>INDEX(Tableau8[Att2],MATCH(Tableau3[[#This Row],[ID-INS]],Tableau8[ID],0))&amp;""</f>
        <v>UTLB1</v>
      </c>
      <c r="I294" s="101" t="str">
        <f>INDEX(Tableau8[Att3],MATCH(Tableau3[[#This Row],[ID-INS]],Tableau8[ID],0))&amp;""</f>
        <v>UTL bleue AUTVL1/ IDVL5/BH6</v>
      </c>
      <c r="J294" s="101"/>
      <c r="K294" s="167" t="str">
        <f>INDEX(Tableau8[Nom du modele],MATCH(Tableau3[[#This Row],[ID-INS]],Tableau8[ID],0))&amp;""</f>
        <v>UTL</v>
      </c>
      <c r="L294" s="99" t="str">
        <f>INDEX(Tableau5[Att1],MATCH(Tableau3[[#This Row],[ID-SIG]],Tableau5[ID],0))&amp;""</f>
        <v>PassEffec</v>
      </c>
      <c r="M294" s="99" t="str">
        <f>INDEX(Tableau5[Att2],MATCH(Tableau3[[#This Row],[ID-SIG]],Tableau5[ID],0))&amp;""</f>
        <v/>
      </c>
      <c r="N294" s="99" t="str">
        <f>INDEX(Tableau5[Att3],MATCH(Tableau3[[#This Row],[ID-SIG]],Tableau5[ID],0))&amp;""</f>
        <v/>
      </c>
      <c r="O294" s="99"/>
      <c r="P294" s="99" t="str">
        <f>INDEX(Tableau5[Description],MATCH(Tableau3[[#This Row],[ID-SIG]],Tableau5[ID],0))</f>
        <v>Commande passage effectué vers UTL</v>
      </c>
      <c r="Q294" s="99"/>
      <c r="R294" s="103" t="str">
        <f>Tableau3[[#This Row],[Description]]</f>
        <v>Commande passage effectué vers UTL</v>
      </c>
      <c r="U294" s="87">
        <v>2</v>
      </c>
      <c r="V294" s="87">
        <v>2</v>
      </c>
      <c r="W294" s="87">
        <v>1</v>
      </c>
      <c r="X294" s="87">
        <v>4</v>
      </c>
      <c r="Y294" s="41"/>
      <c r="Z294" s="165" t="str">
        <f>INDEX(Tableau2[TS],MATCH(Tableau3[[#This Row],[ID-CARTEVOIE]],Tableau2[ID-CARTEVOIE],0))</f>
        <v>ST</v>
      </c>
      <c r="AA294" s="53" t="s">
        <v>213</v>
      </c>
      <c r="AB294" s="223" t="str">
        <f>IFERROR(INDEX(Tableau5[Reserve],MATCH(Tableau3[[#This Row],[ID-SIG]],Tableau5[ID],0))&amp;"","")</f>
        <v/>
      </c>
      <c r="AC294" s="21"/>
      <c r="AD294" s="108" t="str">
        <f>INDEX(Tableau7[Repere],MATCH(Tableau3[[#This Row],[ID-API]],Tableau7[ID-API],0))&amp;""</f>
        <v>A2</v>
      </c>
      <c r="AE294" s="108" t="str">
        <f>INDEX(Tableau1[Repere-Rack],MATCH(Tableau3[[#This Row],[ID-RACK]],Tableau1[ID-RACK],0))&amp;""</f>
        <v>R2</v>
      </c>
      <c r="AF294" s="108" t="str">
        <f>INDEX(Tableau1[Repere-Slot],MATCH(Tableau3[[#This Row],[ID-SLOT]],Tableau1[ID-SLOT],0))&amp;""</f>
        <v>S1</v>
      </c>
      <c r="AG294" s="108" t="str">
        <f>INDEX(Tableau2[Repere-Voie],MATCH(Tableau3[[#This Row],[ID-VOIE]],Tableau2[ID-Voie],0))&amp;""</f>
        <v>v4</v>
      </c>
      <c r="AH294" s="72" t="str">
        <f>Tableau3[[#This Row],[ID-API]]&amp; "." &amp;Tableau3[[#This Row],[ID-RACK]]&amp; "." &amp;Tableau3[[#This Row],[ID-SLOT]]</f>
        <v>2.2.1</v>
      </c>
      <c r="AI294" s="72" t="str">
        <f>INDEX(Tableau1[Ref-Carte],MATCH(Tableau3[[#This Row],[ID-RRS]],Tableau1[ID-RRS],0))</f>
        <v>SDO0802</v>
      </c>
      <c r="AJ294" s="72" t="str">
        <f t="array" ref="AJ294">IFERROR(INDEX(Tableau2[TS],MATCH(1,(Tableau2[Ref-Carte]=Tableau3[[#This Row],[Ref-Carte2]])*(Tableau2[ID-Voie]=Tableau3[[#This Row],[ID-VOIE]]),0)),"")</f>
        <v>ST</v>
      </c>
      <c r="AK294" s="72" t="str">
        <f>IFERROR(INDEX(Tableau2[TS],SUMPRODUCT((Tableau2[Ref-Carte]=Tableau3[[#This Row],[Ref-Carte2]])*(Tableau2[ID-Voie]=Tableau3[[#This Row],[ID-VOIE]])*ROW(Tableau2[TS]))-ROW(Tableau2[#Headers])),"")</f>
        <v>ST</v>
      </c>
      <c r="AL294" s="72" t="str">
        <f>Tableau3[[#This Row],[Ref-Carte2]]&amp;"/"&amp;Tableau3[[#This Row],[ID-VOIE]]</f>
        <v>SDO0802/4</v>
      </c>
      <c r="AM294" s="73" t="str">
        <f>INDEX(Tableau2[Borne],MATCH(Tableau3[[#This Row],[ID-CARTEVOIE]],Tableau2[ID-CARTEVOIE],0))&amp;""</f>
        <v>4</v>
      </c>
      <c r="AN294" s="74" t="str">
        <f>Tableau3[[#This Row],[ID-API]]&amp;Tableau3[[#This Row],[ID-RACK]]&amp;Tableau3[[#This Row],[ID-SLOT]]&amp;Tableau3[[#This Row],[BORNE]]</f>
        <v>2214</v>
      </c>
      <c r="AO294" s="1"/>
    </row>
    <row r="295" spans="1:41" ht="20.100000000000001" customHeight="1" thickTop="1" thickBot="1">
      <c r="A295" s="68"/>
      <c r="B295" s="69" t="str">
        <f>IFERROR(INDEX(Tableau4[Date],MATCH($A295,Tableau4[EVO],0)),"")</f>
        <v/>
      </c>
      <c r="C295" s="68" t="str">
        <f>IFERROR(INDEX(Tableau4[Designation],MATCH($A295,Tableau4[EVO],0)),"")</f>
        <v/>
      </c>
      <c r="D295" s="68"/>
      <c r="E295" s="70">
        <v>114</v>
      </c>
      <c r="F295" s="71">
        <v>14</v>
      </c>
      <c r="G295" s="101" t="str">
        <f>INDEX(Tableau8[Att1],MATCH(Tableau3[[#This Row],[ID-INS]],Tableau8[ID],0))&amp;""</f>
        <v>V1</v>
      </c>
      <c r="H295" s="101" t="str">
        <f>INDEX(Tableau8[Att2],MATCH(Tableau3[[#This Row],[ID-INS]],Tableau8[ID],0))&amp;""</f>
        <v>UTLB1</v>
      </c>
      <c r="I295" s="101" t="str">
        <f>INDEX(Tableau8[Att3],MATCH(Tableau3[[#This Row],[ID-INS]],Tableau8[ID],0))&amp;""</f>
        <v>UTL bleue AUTVL1/ IDVL5/BH6</v>
      </c>
      <c r="J295" s="101"/>
      <c r="K295" s="167" t="str">
        <f>INDEX(Tableau8[Nom du modele],MATCH(Tableau3[[#This Row],[ID-INS]],Tableau8[ID],0))&amp;""</f>
        <v>UTL</v>
      </c>
      <c r="L295" s="99" t="str">
        <f>INDEX(Tableau5[Att1],MATCH(Tableau3[[#This Row],[ID-SIG]],Tableau5[ID],0))&amp;""</f>
        <v>AutorBadge</v>
      </c>
      <c r="M295" s="99" t="str">
        <f>INDEX(Tableau5[Att2],MATCH(Tableau3[[#This Row],[ID-SIG]],Tableau5[ID],0))&amp;""</f>
        <v/>
      </c>
      <c r="N295" s="99" t="str">
        <f>INDEX(Tableau5[Att3],MATCH(Tableau3[[#This Row],[ID-SIG]],Tableau5[ID],0))&amp;""</f>
        <v/>
      </c>
      <c r="O295" s="99"/>
      <c r="P295" s="99" t="str">
        <f>INDEX(Tableau5[Description],MATCH(Tableau3[[#This Row],[ID-SIG]],Tableau5[ID],0))</f>
        <v>Commande autorisation badgeage vers UTL</v>
      </c>
      <c r="Q295" s="99"/>
      <c r="R295" s="103" t="str">
        <f>Tableau3[[#This Row],[Description]]</f>
        <v>Commande autorisation badgeage vers UTL</v>
      </c>
      <c r="U295" s="87">
        <v>2</v>
      </c>
      <c r="V295" s="87">
        <v>2</v>
      </c>
      <c r="W295" s="87">
        <v>1</v>
      </c>
      <c r="X295" s="87">
        <v>5</v>
      </c>
      <c r="Y295" s="41"/>
      <c r="Z295" s="165" t="str">
        <f>INDEX(Tableau2[TS],MATCH(Tableau3[[#This Row],[ID-CARTEVOIE]],Tableau2[ID-CARTEVOIE],0))</f>
        <v>ST</v>
      </c>
      <c r="AA295" s="53" t="s">
        <v>213</v>
      </c>
      <c r="AB295" s="223" t="str">
        <f>IFERROR(INDEX(Tableau5[Reserve],MATCH(Tableau3[[#This Row],[ID-SIG]],Tableau5[ID],0))&amp;"","")</f>
        <v/>
      </c>
      <c r="AC295" s="21"/>
      <c r="AD295" s="108" t="str">
        <f>INDEX(Tableau7[Repere],MATCH(Tableau3[[#This Row],[ID-API]],Tableau7[ID-API],0))&amp;""</f>
        <v>A2</v>
      </c>
      <c r="AE295" s="108" t="str">
        <f>INDEX(Tableau1[Repere-Rack],MATCH(Tableau3[[#This Row],[ID-RACK]],Tableau1[ID-RACK],0))&amp;""</f>
        <v>R2</v>
      </c>
      <c r="AF295" s="108" t="str">
        <f>INDEX(Tableau1[Repere-Slot],MATCH(Tableau3[[#This Row],[ID-SLOT]],Tableau1[ID-SLOT],0))&amp;""</f>
        <v>S1</v>
      </c>
      <c r="AG295" s="108" t="str">
        <f>INDEX(Tableau2[Repere-Voie],MATCH(Tableau3[[#This Row],[ID-VOIE]],Tableau2[ID-Voie],0))&amp;""</f>
        <v>v5</v>
      </c>
      <c r="AH295" s="72" t="str">
        <f>Tableau3[[#This Row],[ID-API]]&amp; "." &amp;Tableau3[[#This Row],[ID-RACK]]&amp; "." &amp;Tableau3[[#This Row],[ID-SLOT]]</f>
        <v>2.2.1</v>
      </c>
      <c r="AI295" s="72" t="str">
        <f>INDEX(Tableau1[Ref-Carte],MATCH(Tableau3[[#This Row],[ID-RRS]],Tableau1[ID-RRS],0))</f>
        <v>SDO0802</v>
      </c>
      <c r="AJ295" s="72" t="str">
        <f t="array" ref="AJ295">IFERROR(INDEX(Tableau2[TS],MATCH(1,(Tableau2[Ref-Carte]=Tableau3[[#This Row],[Ref-Carte2]])*(Tableau2[ID-Voie]=Tableau3[[#This Row],[ID-VOIE]]),0)),"")</f>
        <v>ST</v>
      </c>
      <c r="AK295" s="72" t="str">
        <f>IFERROR(INDEX(Tableau2[TS],SUMPRODUCT((Tableau2[Ref-Carte]=Tableau3[[#This Row],[Ref-Carte2]])*(Tableau2[ID-Voie]=Tableau3[[#This Row],[ID-VOIE]])*ROW(Tableau2[TS]))-ROW(Tableau2[#Headers])),"")</f>
        <v>ST</v>
      </c>
      <c r="AL295" s="72" t="str">
        <f>Tableau3[[#This Row],[Ref-Carte2]]&amp;"/"&amp;Tableau3[[#This Row],[ID-VOIE]]</f>
        <v>SDO0802/5</v>
      </c>
      <c r="AM295" s="73" t="str">
        <f>INDEX(Tableau2[Borne],MATCH(Tableau3[[#This Row],[ID-CARTEVOIE]],Tableau2[ID-CARTEVOIE],0))&amp;""</f>
        <v>5</v>
      </c>
      <c r="AN295" s="74" t="str">
        <f>Tableau3[[#This Row],[ID-API]]&amp;Tableau3[[#This Row],[ID-RACK]]&amp;Tableau3[[#This Row],[ID-SLOT]]&amp;Tableau3[[#This Row],[BORNE]]</f>
        <v>2215</v>
      </c>
      <c r="AO295" s="1"/>
    </row>
    <row r="296" spans="1:41" ht="20.100000000000001" customHeight="1" thickTop="1" thickBot="1">
      <c r="A296" s="68"/>
      <c r="B296" s="69" t="str">
        <f>IFERROR(INDEX(Tableau4[Date],MATCH($A296,Tableau4[EVO],0)),"")</f>
        <v/>
      </c>
      <c r="C296" s="68" t="str">
        <f>IFERROR(INDEX(Tableau4[Designation],MATCH($A296,Tableau4[EVO],0)),"")</f>
        <v/>
      </c>
      <c r="D296" s="68"/>
      <c r="E296" s="70">
        <v>228</v>
      </c>
      <c r="F296" s="71">
        <v>323</v>
      </c>
      <c r="G296" s="101" t="str">
        <f>INDEX(Tableau8[Att1],MATCH(Tableau3[[#This Row],[ID-INS]],Tableau8[ID],0))&amp;""</f>
        <v>V1</v>
      </c>
      <c r="H296" s="101" t="str">
        <f>INDEX(Tableau8[Att2],MATCH(Tableau3[[#This Row],[ID-INS]],Tableau8[ID],0))&amp;""</f>
        <v>F16</v>
      </c>
      <c r="I296" s="101" t="str">
        <f>INDEX(Tableau8[Att3],MATCH(Tableau3[[#This Row],[ID-INS]],Tableau8[ID],0))&amp;""</f>
        <v>Buzzer contrôle Aleatoire / CORA V1</v>
      </c>
      <c r="J296" s="101"/>
      <c r="K296" s="167" t="str">
        <f>INDEX(Tableau8[Nom du modele],MATCH(Tableau3[[#This Row],[ID-INS]],Tableau8[ID],0))&amp;""</f>
        <v>BuzzerContrAleaVLPL</v>
      </c>
      <c r="L296" s="99" t="str">
        <f>INDEX(Tableau5[Att1],MATCH(Tableau3[[#This Row],[ID-SIG]],Tableau5[ID],0))&amp;""</f>
        <v>Buzzer_Cmd</v>
      </c>
      <c r="M296" s="99" t="str">
        <f>INDEX(Tableau5[Att2],MATCH(Tableau3[[#This Row],[ID-SIG]],Tableau5[ID],0))&amp;""</f>
        <v/>
      </c>
      <c r="N296" s="99" t="str">
        <f>INDEX(Tableau5[Att3],MATCH(Tableau3[[#This Row],[ID-SIG]],Tableau5[ID],0))&amp;""</f>
        <v/>
      </c>
      <c r="O296" s="99"/>
      <c r="P296" s="99" t="str">
        <f>INDEX(Tableau5[Description],MATCH(Tableau3[[#This Row],[ID-SIG]],Tableau5[ID],0))</f>
        <v>Commande Buzzeur</v>
      </c>
      <c r="Q296" s="99"/>
      <c r="R296" s="103" t="str">
        <f>Tableau3[[#This Row],[Description]]</f>
        <v>Commande Buzzeur</v>
      </c>
      <c r="U296" s="87">
        <v>2</v>
      </c>
      <c r="V296" s="87">
        <v>2</v>
      </c>
      <c r="W296" s="87">
        <v>1</v>
      </c>
      <c r="X296" s="87">
        <v>6</v>
      </c>
      <c r="Y296" s="41"/>
      <c r="Z296" s="165" t="str">
        <f>INDEX(Tableau2[TS],MATCH(Tableau3[[#This Row],[ID-CARTEVOIE]],Tableau2[ID-CARTEVOIE],0))</f>
        <v>ST</v>
      </c>
      <c r="AA296" s="53" t="s">
        <v>213</v>
      </c>
      <c r="AB296" s="223" t="str">
        <f>IFERROR(INDEX(Tableau5[Reserve],MATCH(Tableau3[[#This Row],[ID-SIG]],Tableau5[ID],0))&amp;"","")</f>
        <v/>
      </c>
      <c r="AC296" s="21"/>
      <c r="AD296" s="108" t="str">
        <f>INDEX(Tableau7[Repere],MATCH(Tableau3[[#This Row],[ID-API]],Tableau7[ID-API],0))&amp;""</f>
        <v>A2</v>
      </c>
      <c r="AE296" s="108" t="str">
        <f>INDEX(Tableau1[Repere-Rack],MATCH(Tableau3[[#This Row],[ID-RACK]],Tableau1[ID-RACK],0))&amp;""</f>
        <v>R2</v>
      </c>
      <c r="AF296" s="108" t="str">
        <f>INDEX(Tableau1[Repere-Slot],MATCH(Tableau3[[#This Row],[ID-SLOT]],Tableau1[ID-SLOT],0))&amp;""</f>
        <v>S1</v>
      </c>
      <c r="AG296" s="108" t="str">
        <f>INDEX(Tableau2[Repere-Voie],MATCH(Tableau3[[#This Row],[ID-VOIE]],Tableau2[ID-Voie],0))&amp;""</f>
        <v>v6</v>
      </c>
      <c r="AH296" s="72" t="str">
        <f>Tableau3[[#This Row],[ID-API]]&amp; "." &amp;Tableau3[[#This Row],[ID-RACK]]&amp; "." &amp;Tableau3[[#This Row],[ID-SLOT]]</f>
        <v>2.2.1</v>
      </c>
      <c r="AI296" s="72" t="str">
        <f>INDEX(Tableau1[Ref-Carte],MATCH(Tableau3[[#This Row],[ID-RRS]],Tableau1[ID-RRS],0))</f>
        <v>SDO0802</v>
      </c>
      <c r="AJ296" s="72" t="str">
        <f t="array" ref="AJ296">IFERROR(INDEX(Tableau2[TS],MATCH(1,(Tableau2[Ref-Carte]=Tableau3[[#This Row],[Ref-Carte2]])*(Tableau2[ID-Voie]=Tableau3[[#This Row],[ID-VOIE]]),0)),"")</f>
        <v>ST</v>
      </c>
      <c r="AK296" s="72" t="str">
        <f>IFERROR(INDEX(Tableau2[TS],SUMPRODUCT((Tableau2[Ref-Carte]=Tableau3[[#This Row],[Ref-Carte2]])*(Tableau2[ID-Voie]=Tableau3[[#This Row],[ID-VOIE]])*ROW(Tableau2[TS]))-ROW(Tableau2[#Headers])),"")</f>
        <v>ST</v>
      </c>
      <c r="AL296" s="72" t="str">
        <f>Tableau3[[#This Row],[Ref-Carte2]]&amp;"/"&amp;Tableau3[[#This Row],[ID-VOIE]]</f>
        <v>SDO0802/6</v>
      </c>
      <c r="AM296" s="73" t="str">
        <f>INDEX(Tableau2[Borne],MATCH(Tableau3[[#This Row],[ID-CARTEVOIE]],Tableau2[ID-CARTEVOIE],0))&amp;""</f>
        <v>6</v>
      </c>
      <c r="AN296" s="74" t="str">
        <f>Tableau3[[#This Row],[ID-API]]&amp;Tableau3[[#This Row],[ID-RACK]]&amp;Tableau3[[#This Row],[ID-SLOT]]&amp;Tableau3[[#This Row],[BORNE]]</f>
        <v>2216</v>
      </c>
      <c r="AO296" s="1"/>
    </row>
    <row r="297" spans="1:41" ht="20.100000000000001" customHeight="1" thickTop="1" thickBot="1">
      <c r="A297" s="68"/>
      <c r="B297" s="69" t="str">
        <f>IFERROR(INDEX(Tableau4[Date],MATCH($A297,Tableau4[EVO],0)),"")</f>
        <v/>
      </c>
      <c r="C297" s="68" t="str">
        <f>IFERROR(INDEX(Tableau4[Designation],MATCH($A297,Tableau4[EVO],0)),"")</f>
        <v/>
      </c>
      <c r="D297" s="68"/>
      <c r="E297" s="70">
        <v>273</v>
      </c>
      <c r="F297" s="71">
        <v>316</v>
      </c>
      <c r="G297" s="101" t="str">
        <f>INDEX(Tableau8[Att1],MATCH(Tableau3[[#This Row],[ID-INS]],Tableau8[ID],0))&amp;""</f>
        <v>V1</v>
      </c>
      <c r="H297" s="101" t="str">
        <f>INDEX(Tableau8[Att2],MATCH(Tableau3[[#This Row],[ID-INS]],Tableau8[ID],0))&amp;""</f>
        <v>F5</v>
      </c>
      <c r="I297" s="101" t="str">
        <f>INDEX(Tableau8[Att3],MATCH(Tableau3[[#This Row],[ID-INS]],Tableau8[ID],0))&amp;""</f>
        <v>Feu F5</v>
      </c>
      <c r="J297" s="101"/>
      <c r="K297" s="167" t="str">
        <f>INDEX(Tableau8[Nom du modele],MATCH(Tableau3[[#This Row],[ID-INS]],Tableau8[ID],0))&amp;""</f>
        <v>FeuBi_2</v>
      </c>
      <c r="L297" s="99" t="str">
        <f>INDEX(Tableau5[Att1],MATCH(Tableau3[[#This Row],[ID-SIG]],Tableau5[ID],0))&amp;""</f>
        <v>FeuR_Cmd</v>
      </c>
      <c r="M297" s="99" t="str">
        <f>INDEX(Tableau5[Att2],MATCH(Tableau3[[#This Row],[ID-SIG]],Tableau5[ID],0))&amp;""</f>
        <v/>
      </c>
      <c r="N297" s="99" t="str">
        <f>INDEX(Tableau5[Att3],MATCH(Tableau3[[#This Row],[ID-SIG]],Tableau5[ID],0))&amp;""</f>
        <v/>
      </c>
      <c r="O297" s="99"/>
      <c r="P297" s="99" t="str">
        <f>INDEX(Tableau5[Description],MATCH(Tableau3[[#This Row],[ID-SIG]],Tableau5[ID],0))</f>
        <v>Commande Feu Rouge</v>
      </c>
      <c r="Q297" s="99"/>
      <c r="R297" s="103" t="str">
        <f>Tableau3[[#This Row],[Description]]</f>
        <v>Commande Feu Rouge</v>
      </c>
      <c r="U297" s="87">
        <v>2</v>
      </c>
      <c r="V297" s="87">
        <v>2</v>
      </c>
      <c r="W297" s="87">
        <v>1</v>
      </c>
      <c r="X297" s="87">
        <v>7</v>
      </c>
      <c r="Y297" s="41"/>
      <c r="Z297" s="165" t="str">
        <f>INDEX(Tableau2[TS],MATCH(Tableau3[[#This Row],[ID-CARTEVOIE]],Tableau2[ID-CARTEVOIE],0))</f>
        <v>ST</v>
      </c>
      <c r="AA297" s="53" t="s">
        <v>213</v>
      </c>
      <c r="AB297" s="223" t="str">
        <f>IFERROR(INDEX(Tableau5[Reserve],MATCH(Tableau3[[#This Row],[ID-SIG]],Tableau5[ID],0))&amp;"","")</f>
        <v/>
      </c>
      <c r="AC297" s="21"/>
      <c r="AD297" s="108" t="str">
        <f>INDEX(Tableau7[Repere],MATCH(Tableau3[[#This Row],[ID-API]],Tableau7[ID-API],0))&amp;""</f>
        <v>A2</v>
      </c>
      <c r="AE297" s="108" t="str">
        <f>INDEX(Tableau1[Repere-Rack],MATCH(Tableau3[[#This Row],[ID-RACK]],Tableau1[ID-RACK],0))&amp;""</f>
        <v>R2</v>
      </c>
      <c r="AF297" s="108" t="str">
        <f>INDEX(Tableau1[Repere-Slot],MATCH(Tableau3[[#This Row],[ID-SLOT]],Tableau1[ID-SLOT],0))&amp;""</f>
        <v>S1</v>
      </c>
      <c r="AG297" s="108" t="str">
        <f>INDEX(Tableau2[Repere-Voie],MATCH(Tableau3[[#This Row],[ID-VOIE]],Tableau2[ID-Voie],0))&amp;""</f>
        <v>v7</v>
      </c>
      <c r="AH297" s="72" t="str">
        <f>Tableau3[[#This Row],[ID-API]]&amp; "." &amp;Tableau3[[#This Row],[ID-RACK]]&amp; "." &amp;Tableau3[[#This Row],[ID-SLOT]]</f>
        <v>2.2.1</v>
      </c>
      <c r="AI297" s="72" t="str">
        <f>INDEX(Tableau1[Ref-Carte],MATCH(Tableau3[[#This Row],[ID-RRS]],Tableau1[ID-RRS],0))</f>
        <v>SDO0802</v>
      </c>
      <c r="AJ297" s="72" t="str">
        <f t="array" ref="AJ297">IFERROR(INDEX(Tableau2[TS],MATCH(1,(Tableau2[Ref-Carte]=Tableau3[[#This Row],[Ref-Carte2]])*(Tableau2[ID-Voie]=Tableau3[[#This Row],[ID-VOIE]]),0)),"")</f>
        <v>ST</v>
      </c>
      <c r="AK297" s="72" t="str">
        <f>IFERROR(INDEX(Tableau2[TS],SUMPRODUCT((Tableau2[Ref-Carte]=Tableau3[[#This Row],[Ref-Carte2]])*(Tableau2[ID-Voie]=Tableau3[[#This Row],[ID-VOIE]])*ROW(Tableau2[TS]))-ROW(Tableau2[#Headers])),"")</f>
        <v>ST</v>
      </c>
      <c r="AL297" s="72" t="str">
        <f>Tableau3[[#This Row],[Ref-Carte2]]&amp;"/"&amp;Tableau3[[#This Row],[ID-VOIE]]</f>
        <v>SDO0802/7</v>
      </c>
      <c r="AM297" s="73" t="str">
        <f>INDEX(Tableau2[Borne],MATCH(Tableau3[[#This Row],[ID-CARTEVOIE]],Tableau2[ID-CARTEVOIE],0))&amp;""</f>
        <v>7</v>
      </c>
      <c r="AN297" s="74" t="str">
        <f>Tableau3[[#This Row],[ID-API]]&amp;Tableau3[[#This Row],[ID-RACK]]&amp;Tableau3[[#This Row],[ID-SLOT]]&amp;Tableau3[[#This Row],[BORNE]]</f>
        <v>2217</v>
      </c>
      <c r="AO297" s="1"/>
    </row>
    <row r="298" spans="1:41" ht="20.100000000000001" customHeight="1" thickTop="1" thickBot="1">
      <c r="A298" s="68"/>
      <c r="B298" s="69" t="str">
        <f>IFERROR(INDEX(Tableau4[Date],MATCH($A298,Tableau4[EVO],0)),"")</f>
        <v/>
      </c>
      <c r="C298" s="68" t="str">
        <f>IFERROR(INDEX(Tableau4[Designation],MATCH($A298,Tableau4[EVO],0)),"")</f>
        <v/>
      </c>
      <c r="D298" s="68"/>
      <c r="E298" s="70">
        <v>72</v>
      </c>
      <c r="F298" s="71">
        <v>70</v>
      </c>
      <c r="G298" s="101" t="str">
        <f>INDEX(Tableau8[Att1],MATCH(Tableau3[[#This Row],[ID-INS]],Tableau8[ID],0))&amp;""</f>
        <v>V1</v>
      </c>
      <c r="H298" s="101" t="str">
        <f>INDEX(Tableau8[Att2],MATCH(Tableau3[[#This Row],[ID-INS]],Tableau8[ID],0))&amp;""</f>
        <v>BH1</v>
      </c>
      <c r="I298" s="101" t="str">
        <f>INDEX(Tableau8[Att3],MATCH(Tableau3[[#This Row],[ID-INS]],Tableau8[ID],0))&amp;""</f>
        <v>Barrière BH1</v>
      </c>
      <c r="J298" s="101"/>
      <c r="K298" s="167" t="str">
        <f>INDEX(Tableau8[Nom du modele],MATCH(Tableau3[[#This Row],[ID-INS]],Tableau8[ID],0))&amp;""</f>
        <v>BarriereLisse</v>
      </c>
      <c r="L298" s="99" t="str">
        <f>INDEX(Tableau5[Att1],MATCH(Tableau3[[#This Row],[ID-SIG]],Tableau5[ID],0))&amp;""</f>
        <v>Pres</v>
      </c>
      <c r="M298" s="99" t="str">
        <f>INDEX(Tableau5[Att2],MATCH(Tableau3[[#This Row],[ID-SIG]],Tableau5[ID],0))&amp;""</f>
        <v/>
      </c>
      <c r="N298" s="99" t="str">
        <f>INDEX(Tableau5[Att3],MATCH(Tableau3[[#This Row],[ID-SIG]],Tableau5[ID],0))&amp;""</f>
        <v/>
      </c>
      <c r="O298" s="99"/>
      <c r="P298" s="99" t="str">
        <f>INDEX(Tableau5[Description],MATCH(Tableau3[[#This Row],[ID-SIG]],Tableau5[ID],0))</f>
        <v>Présence sous la barrière (Cellule)</v>
      </c>
      <c r="Q298" s="99"/>
      <c r="R298" s="103" t="str">
        <f>Tableau3[[#This Row],[Description]]</f>
        <v>Présence sous la barrière (Cellule)</v>
      </c>
      <c r="U298" s="87">
        <v>2</v>
      </c>
      <c r="V298" s="87">
        <v>2</v>
      </c>
      <c r="W298" s="87">
        <v>3</v>
      </c>
      <c r="X298" s="87">
        <v>0</v>
      </c>
      <c r="Y298" s="40"/>
      <c r="Z298" s="165" t="str">
        <f>INDEX(Tableau2[TS],MATCH(Tableau3[[#This Row],[ID-CARTEVOIE]],Tableau2[ID-CARTEVOIE],0))</f>
        <v>ET</v>
      </c>
      <c r="AA298" s="53" t="s">
        <v>213</v>
      </c>
      <c r="AB298" s="223" t="str">
        <f>IFERROR(INDEX(Tableau5[Reserve],MATCH(Tableau3[[#This Row],[ID-SIG]],Tableau5[ID],0))&amp;"","")</f>
        <v/>
      </c>
      <c r="AC298" s="21"/>
      <c r="AD298" s="108" t="str">
        <f>INDEX(Tableau7[Repere],MATCH(Tableau3[[#This Row],[ID-API]],Tableau7[ID-API],0))&amp;""</f>
        <v>A2</v>
      </c>
      <c r="AE298" s="108" t="str">
        <f>INDEX(Tableau1[Repere-Rack],MATCH(Tableau3[[#This Row],[ID-RACK]],Tableau1[ID-RACK],0))&amp;""</f>
        <v>R2</v>
      </c>
      <c r="AF298" s="108" t="str">
        <f>INDEX(Tableau1[Repere-Slot],MATCH(Tableau3[[#This Row],[ID-SLOT]],Tableau1[ID-SLOT],0))&amp;""</f>
        <v>S3</v>
      </c>
      <c r="AG298" s="108" t="str">
        <f>INDEX(Tableau2[Repere-Voie],MATCH(Tableau3[[#This Row],[ID-VOIE]],Tableau2[ID-Voie],0))&amp;""</f>
        <v>v0</v>
      </c>
      <c r="AH298" s="72" t="str">
        <f>Tableau3[[#This Row],[ID-API]]&amp; "." &amp;Tableau3[[#This Row],[ID-RACK]]&amp; "." &amp;Tableau3[[#This Row],[ID-SLOT]]</f>
        <v>2.2.3</v>
      </c>
      <c r="AI298" s="72" t="str">
        <f>INDEX(Tableau1[Ref-Carte],MATCH(Tableau3[[#This Row],[ID-RRS]],Tableau1[ID-RRS],0))</f>
        <v>SDI1602</v>
      </c>
      <c r="AJ298" s="72" t="str">
        <f t="array" ref="AJ298">IFERROR(INDEX(Tableau2[TS],MATCH(1,(Tableau2[Ref-Carte]=Tableau3[[#This Row],[Ref-Carte2]])*(Tableau2[ID-Voie]=Tableau3[[#This Row],[ID-VOIE]]),0)),"")</f>
        <v>ET</v>
      </c>
      <c r="AK298" s="72" t="str">
        <f>IFERROR(INDEX(Tableau2[TS],SUMPRODUCT((Tableau2[Ref-Carte]=Tableau3[[#This Row],[Ref-Carte2]])*(Tableau2[ID-Voie]=Tableau3[[#This Row],[ID-VOIE]])*ROW(Tableau2[TS]))-ROW(Tableau2[#Headers])),"")</f>
        <v>ET</v>
      </c>
      <c r="AL298" s="72" t="str">
        <f>Tableau3[[#This Row],[Ref-Carte2]]&amp;"/"&amp;Tableau3[[#This Row],[ID-VOIE]]</f>
        <v>SDI1602/0</v>
      </c>
      <c r="AM298" s="73" t="str">
        <f>INDEX(Tableau2[Borne],MATCH(Tableau3[[#This Row],[ID-CARTEVOIE]],Tableau2[ID-CARTEVOIE],0))&amp;""</f>
        <v>0B</v>
      </c>
      <c r="AN298" s="74" t="str">
        <f>Tableau3[[#This Row],[ID-API]]&amp;Tableau3[[#This Row],[ID-RACK]]&amp;Tableau3[[#This Row],[ID-SLOT]]&amp;Tableau3[[#This Row],[BORNE]]</f>
        <v>2230B</v>
      </c>
      <c r="AO298" s="1"/>
    </row>
    <row r="299" spans="1:41" ht="20.100000000000001" customHeight="1" thickTop="1" thickBot="1">
      <c r="A299" s="68"/>
      <c r="B299" s="69" t="str">
        <f>IFERROR(INDEX(Tableau4[Date],MATCH($A299,Tableau4[EVO],0)),"")</f>
        <v/>
      </c>
      <c r="C299" s="68" t="str">
        <f>IFERROR(INDEX(Tableau4[Designation],MATCH($A299,Tableau4[EVO],0)),"")</f>
        <v/>
      </c>
      <c r="D299" s="68"/>
      <c r="E299" s="70">
        <v>77</v>
      </c>
      <c r="F299" s="71">
        <v>66</v>
      </c>
      <c r="G299" s="101" t="str">
        <f>INDEX(Tableau8[Att1],MATCH(Tableau3[[#This Row],[ID-INS]],Tableau8[ID],0))&amp;""</f>
        <v>V1</v>
      </c>
      <c r="H299" s="101" t="str">
        <f>INDEX(Tableau8[Att2],MATCH(Tableau3[[#This Row],[ID-INS]],Tableau8[ID],0))&amp;""</f>
        <v>BR1</v>
      </c>
      <c r="I299" s="101" t="str">
        <f>INDEX(Tableau8[Att3],MATCH(Tableau3[[#This Row],[ID-INS]],Tableau8[ID],0))&amp;""</f>
        <v>Barrière BR1</v>
      </c>
      <c r="J299" s="101"/>
      <c r="K299" s="167" t="str">
        <f>INDEX(Tableau8[Nom du modele],MATCH(Tableau3[[#This Row],[ID-INS]],Tableau8[ID],0))&amp;""</f>
        <v>BarriereLisse</v>
      </c>
      <c r="L299" s="99" t="str">
        <f>INDEX(Tableau5[Att1],MATCH(Tableau3[[#This Row],[ID-SIG]],Tableau5[ID],0))&amp;""</f>
        <v>Ouv</v>
      </c>
      <c r="M299" s="99" t="str">
        <f>INDEX(Tableau5[Att2],MATCH(Tableau3[[#This Row],[ID-SIG]],Tableau5[ID],0))&amp;""</f>
        <v/>
      </c>
      <c r="N299" s="99" t="str">
        <f>INDEX(Tableau5[Att3],MATCH(Tableau3[[#This Row],[ID-SIG]],Tableau5[ID],0))&amp;""</f>
        <v/>
      </c>
      <c r="O299" s="99"/>
      <c r="P299" s="99" t="str">
        <f>INDEX(Tableau5[Description],MATCH(Tableau3[[#This Row],[ID-SIG]],Tableau5[ID],0))</f>
        <v>Position ouverte</v>
      </c>
      <c r="Q299" s="99"/>
      <c r="R299" s="103" t="str">
        <f>Tableau3[[#This Row],[Description]]</f>
        <v>Position ouverte</v>
      </c>
      <c r="U299" s="87">
        <v>2</v>
      </c>
      <c r="V299" s="87">
        <v>2</v>
      </c>
      <c r="W299" s="87">
        <v>3</v>
      </c>
      <c r="X299" s="87">
        <v>1</v>
      </c>
      <c r="Y299" s="40"/>
      <c r="Z299" s="165" t="str">
        <f>INDEX(Tableau2[TS],MATCH(Tableau3[[#This Row],[ID-CARTEVOIE]],Tableau2[ID-CARTEVOIE],0))</f>
        <v>ET</v>
      </c>
      <c r="AA299" s="53" t="s">
        <v>213</v>
      </c>
      <c r="AB299" s="223" t="str">
        <f>IFERROR(INDEX(Tableau5[Reserve],MATCH(Tableau3[[#This Row],[ID-SIG]],Tableau5[ID],0))&amp;"","")</f>
        <v/>
      </c>
      <c r="AC299" s="21"/>
      <c r="AD299" s="108" t="str">
        <f>INDEX(Tableau7[Repere],MATCH(Tableau3[[#This Row],[ID-API]],Tableau7[ID-API],0))&amp;""</f>
        <v>A2</v>
      </c>
      <c r="AE299" s="108" t="str">
        <f>INDEX(Tableau1[Repere-Rack],MATCH(Tableau3[[#This Row],[ID-RACK]],Tableau1[ID-RACK],0))&amp;""</f>
        <v>R2</v>
      </c>
      <c r="AF299" s="108" t="str">
        <f>INDEX(Tableau1[Repere-Slot],MATCH(Tableau3[[#This Row],[ID-SLOT]],Tableau1[ID-SLOT],0))&amp;""</f>
        <v>S3</v>
      </c>
      <c r="AG299" s="108" t="str">
        <f>INDEX(Tableau2[Repere-Voie],MATCH(Tableau3[[#This Row],[ID-VOIE]],Tableau2[ID-Voie],0))&amp;""</f>
        <v>v1</v>
      </c>
      <c r="AH299" s="72" t="str">
        <f>Tableau3[[#This Row],[ID-API]]&amp; "." &amp;Tableau3[[#This Row],[ID-RACK]]&amp; "." &amp;Tableau3[[#This Row],[ID-SLOT]]</f>
        <v>2.2.3</v>
      </c>
      <c r="AI299" s="72" t="str">
        <f>INDEX(Tableau1[Ref-Carte],MATCH(Tableau3[[#This Row],[ID-RRS]],Tableau1[ID-RRS],0))</f>
        <v>SDI1602</v>
      </c>
      <c r="AJ299" s="72" t="str">
        <f t="array" ref="AJ299">IFERROR(INDEX(Tableau2[TS],MATCH(1,(Tableau2[Ref-Carte]=Tableau3[[#This Row],[Ref-Carte2]])*(Tableau2[ID-Voie]=Tableau3[[#This Row],[ID-VOIE]]),0)),"")</f>
        <v>ET</v>
      </c>
      <c r="AK299" s="72" t="str">
        <f>IFERROR(INDEX(Tableau2[TS],SUMPRODUCT((Tableau2[Ref-Carte]=Tableau3[[#This Row],[Ref-Carte2]])*(Tableau2[ID-Voie]=Tableau3[[#This Row],[ID-VOIE]])*ROW(Tableau2[TS]))-ROW(Tableau2[#Headers])),"")</f>
        <v>ET</v>
      </c>
      <c r="AL299" s="72" t="str">
        <f>Tableau3[[#This Row],[Ref-Carte2]]&amp;"/"&amp;Tableau3[[#This Row],[ID-VOIE]]</f>
        <v>SDI1602/1</v>
      </c>
      <c r="AM299" s="73" t="str">
        <f>INDEX(Tableau2[Borne],MATCH(Tableau3[[#This Row],[ID-CARTEVOIE]],Tableau2[ID-CARTEVOIE],0))&amp;""</f>
        <v>0A</v>
      </c>
      <c r="AN299" s="74" t="str">
        <f>Tableau3[[#This Row],[ID-API]]&amp;Tableau3[[#This Row],[ID-RACK]]&amp;Tableau3[[#This Row],[ID-SLOT]]&amp;Tableau3[[#This Row],[BORNE]]</f>
        <v>2230A</v>
      </c>
      <c r="AO299" s="1"/>
    </row>
    <row r="300" spans="1:41" ht="20.100000000000001" customHeight="1" thickTop="1" thickBot="1">
      <c r="A300" s="68"/>
      <c r="B300" s="69" t="str">
        <f>IFERROR(INDEX(Tableau4[Date],MATCH($A300,Tableau4[EVO],0)),"")</f>
        <v/>
      </c>
      <c r="C300" s="68" t="str">
        <f>IFERROR(INDEX(Tableau4[Designation],MATCH($A300,Tableau4[EVO],0)),"")</f>
        <v/>
      </c>
      <c r="D300" s="68"/>
      <c r="E300" s="70">
        <v>77</v>
      </c>
      <c r="F300" s="71">
        <v>67</v>
      </c>
      <c r="G300" s="101" t="str">
        <f>INDEX(Tableau8[Att1],MATCH(Tableau3[[#This Row],[ID-INS]],Tableau8[ID],0))&amp;""</f>
        <v>V1</v>
      </c>
      <c r="H300" s="101" t="str">
        <f>INDEX(Tableau8[Att2],MATCH(Tableau3[[#This Row],[ID-INS]],Tableau8[ID],0))&amp;""</f>
        <v>BR1</v>
      </c>
      <c r="I300" s="101" t="str">
        <f>INDEX(Tableau8[Att3],MATCH(Tableau3[[#This Row],[ID-INS]],Tableau8[ID],0))&amp;""</f>
        <v>Barrière BR1</v>
      </c>
      <c r="J300" s="101"/>
      <c r="K300" s="167" t="str">
        <f>INDEX(Tableau8[Nom du modele],MATCH(Tableau3[[#This Row],[ID-INS]],Tableau8[ID],0))&amp;""</f>
        <v>BarriereLisse</v>
      </c>
      <c r="L300" s="99" t="str">
        <f>INDEX(Tableau5[Att1],MATCH(Tableau3[[#This Row],[ID-SIG]],Tableau5[ID],0))&amp;""</f>
        <v>Fer</v>
      </c>
      <c r="M300" s="99" t="str">
        <f>INDEX(Tableau5[Att2],MATCH(Tableau3[[#This Row],[ID-SIG]],Tableau5[ID],0))&amp;""</f>
        <v/>
      </c>
      <c r="N300" s="99" t="str">
        <f>INDEX(Tableau5[Att3],MATCH(Tableau3[[#This Row],[ID-SIG]],Tableau5[ID],0))&amp;""</f>
        <v/>
      </c>
      <c r="O300" s="99"/>
      <c r="P300" s="99" t="str">
        <f>INDEX(Tableau5[Description],MATCH(Tableau3[[#This Row],[ID-SIG]],Tableau5[ID],0))</f>
        <v>Position fermée</v>
      </c>
      <c r="Q300" s="99"/>
      <c r="R300" s="103" t="str">
        <f>Tableau3[[#This Row],[Description]]</f>
        <v>Position fermée</v>
      </c>
      <c r="U300" s="87">
        <v>2</v>
      </c>
      <c r="V300" s="87">
        <v>2</v>
      </c>
      <c r="W300" s="87">
        <v>3</v>
      </c>
      <c r="X300" s="87">
        <v>2</v>
      </c>
      <c r="Y300" s="40"/>
      <c r="Z300" s="165" t="str">
        <f>INDEX(Tableau2[TS],MATCH(Tableau3[[#This Row],[ID-CARTEVOIE]],Tableau2[ID-CARTEVOIE],0))</f>
        <v>ET</v>
      </c>
      <c r="AA300" s="53" t="s">
        <v>213</v>
      </c>
      <c r="AB300" s="223" t="str">
        <f>IFERROR(INDEX(Tableau5[Reserve],MATCH(Tableau3[[#This Row],[ID-SIG]],Tableau5[ID],0))&amp;"","")</f>
        <v/>
      </c>
      <c r="AC300" s="21"/>
      <c r="AD300" s="108" t="str">
        <f>INDEX(Tableau7[Repere],MATCH(Tableau3[[#This Row],[ID-API]],Tableau7[ID-API],0))&amp;""</f>
        <v>A2</v>
      </c>
      <c r="AE300" s="108" t="str">
        <f>INDEX(Tableau1[Repere-Rack],MATCH(Tableau3[[#This Row],[ID-RACK]],Tableau1[ID-RACK],0))&amp;""</f>
        <v>R2</v>
      </c>
      <c r="AF300" s="108" t="str">
        <f>INDEX(Tableau1[Repere-Slot],MATCH(Tableau3[[#This Row],[ID-SLOT]],Tableau1[ID-SLOT],0))&amp;""</f>
        <v>S3</v>
      </c>
      <c r="AG300" s="108" t="str">
        <f>INDEX(Tableau2[Repere-Voie],MATCH(Tableau3[[#This Row],[ID-VOIE]],Tableau2[ID-Voie],0))&amp;""</f>
        <v>v2</v>
      </c>
      <c r="AH300" s="72" t="str">
        <f>Tableau3[[#This Row],[ID-API]]&amp; "." &amp;Tableau3[[#This Row],[ID-RACK]]&amp; "." &amp;Tableau3[[#This Row],[ID-SLOT]]</f>
        <v>2.2.3</v>
      </c>
      <c r="AI300" s="72" t="str">
        <f>INDEX(Tableau1[Ref-Carte],MATCH(Tableau3[[#This Row],[ID-RRS]],Tableau1[ID-RRS],0))</f>
        <v>SDI1602</v>
      </c>
      <c r="AJ300" s="72" t="str">
        <f t="array" ref="AJ300">IFERROR(INDEX(Tableau2[TS],MATCH(1,(Tableau2[Ref-Carte]=Tableau3[[#This Row],[Ref-Carte2]])*(Tableau2[ID-Voie]=Tableau3[[#This Row],[ID-VOIE]]),0)),"")</f>
        <v>ET</v>
      </c>
      <c r="AK300" s="72" t="str">
        <f>IFERROR(INDEX(Tableau2[TS],SUMPRODUCT((Tableau2[Ref-Carte]=Tableau3[[#This Row],[Ref-Carte2]])*(Tableau2[ID-Voie]=Tableau3[[#This Row],[ID-VOIE]])*ROW(Tableau2[TS]))-ROW(Tableau2[#Headers])),"")</f>
        <v>ET</v>
      </c>
      <c r="AL300" s="72" t="str">
        <f>Tableau3[[#This Row],[Ref-Carte2]]&amp;"/"&amp;Tableau3[[#This Row],[ID-VOIE]]</f>
        <v>SDI1602/2</v>
      </c>
      <c r="AM300" s="73" t="str">
        <f>INDEX(Tableau2[Borne],MATCH(Tableau3[[#This Row],[ID-CARTEVOIE]],Tableau2[ID-CARTEVOIE],0))&amp;""</f>
        <v>1B</v>
      </c>
      <c r="AN300" s="74" t="str">
        <f>Tableau3[[#This Row],[ID-API]]&amp;Tableau3[[#This Row],[ID-RACK]]&amp;Tableau3[[#This Row],[ID-SLOT]]&amp;Tableau3[[#This Row],[BORNE]]</f>
        <v>2231B</v>
      </c>
      <c r="AO300" s="1"/>
    </row>
    <row r="301" spans="1:41" ht="20.100000000000001" customHeight="1" thickTop="1" thickBot="1">
      <c r="A301" s="68"/>
      <c r="B301" s="69" t="str">
        <f>IFERROR(INDEX(Tableau4[Date],MATCH($A301,Tableau4[EVO],0)),"")</f>
        <v/>
      </c>
      <c r="C301" s="68" t="str">
        <f>IFERROR(INDEX(Tableau4[Designation],MATCH($A301,Tableau4[EVO],0)),"")</f>
        <v/>
      </c>
      <c r="D301" s="68"/>
      <c r="E301" s="70">
        <v>77</v>
      </c>
      <c r="F301" s="71">
        <v>68</v>
      </c>
      <c r="G301" s="101" t="str">
        <f>INDEX(Tableau8[Att1],MATCH(Tableau3[[#This Row],[ID-INS]],Tableau8[ID],0))&amp;""</f>
        <v>V1</v>
      </c>
      <c r="H301" s="101" t="str">
        <f>INDEX(Tableau8[Att2],MATCH(Tableau3[[#This Row],[ID-INS]],Tableau8[ID],0))&amp;""</f>
        <v>BR1</v>
      </c>
      <c r="I301" s="101" t="str">
        <f>INDEX(Tableau8[Att3],MATCH(Tableau3[[#This Row],[ID-INS]],Tableau8[ID],0))&amp;""</f>
        <v>Barrière BR1</v>
      </c>
      <c r="J301" s="101"/>
      <c r="K301" s="167" t="str">
        <f>INDEX(Tableau8[Nom du modele],MATCH(Tableau3[[#This Row],[ID-INS]],Tableau8[ID],0))&amp;""</f>
        <v>BarriereLisse</v>
      </c>
      <c r="L301" s="99" t="str">
        <f>INDEX(Tableau5[Att1],MATCH(Tableau3[[#This Row],[ID-SIG]],Tableau5[ID],0))&amp;""</f>
        <v>SynthDef</v>
      </c>
      <c r="M301" s="99" t="str">
        <f>INDEX(Tableau5[Att2],MATCH(Tableau3[[#This Row],[ID-SIG]],Tableau5[ID],0))&amp;""</f>
        <v/>
      </c>
      <c r="N301" s="99" t="str">
        <f>INDEX(Tableau5[Att3],MATCH(Tableau3[[#This Row],[ID-SIG]],Tableau5[ID],0))&amp;""</f>
        <v/>
      </c>
      <c r="O301" s="99"/>
      <c r="P301" s="99" t="str">
        <f>INDEX(Tableau5[Description],MATCH(Tableau3[[#This Row],[ID-SIG]],Tableau5[ID],0))</f>
        <v>Synthèse défaut</v>
      </c>
      <c r="Q301" s="99"/>
      <c r="R301" s="103" t="str">
        <f>Tableau3[[#This Row],[Description]]</f>
        <v>Synthèse défaut</v>
      </c>
      <c r="U301" s="87">
        <v>2</v>
      </c>
      <c r="V301" s="87">
        <v>2</v>
      </c>
      <c r="W301" s="87">
        <v>3</v>
      </c>
      <c r="X301" s="87">
        <v>3</v>
      </c>
      <c r="Y301" s="40"/>
      <c r="Z301" s="165" t="str">
        <f>INDEX(Tableau2[TS],MATCH(Tableau3[[#This Row],[ID-CARTEVOIE]],Tableau2[ID-CARTEVOIE],0))</f>
        <v>ET</v>
      </c>
      <c r="AA301" s="53" t="s">
        <v>213</v>
      </c>
      <c r="AB301" s="223" t="str">
        <f>IFERROR(INDEX(Tableau5[Reserve],MATCH(Tableau3[[#This Row],[ID-SIG]],Tableau5[ID],0))&amp;"","")</f>
        <v/>
      </c>
      <c r="AC301" s="21"/>
      <c r="AD301" s="108" t="str">
        <f>INDEX(Tableau7[Repere],MATCH(Tableau3[[#This Row],[ID-API]],Tableau7[ID-API],0))&amp;""</f>
        <v>A2</v>
      </c>
      <c r="AE301" s="108" t="str">
        <f>INDEX(Tableau1[Repere-Rack],MATCH(Tableau3[[#This Row],[ID-RACK]],Tableau1[ID-RACK],0))&amp;""</f>
        <v>R2</v>
      </c>
      <c r="AF301" s="108" t="str">
        <f>INDEX(Tableau1[Repere-Slot],MATCH(Tableau3[[#This Row],[ID-SLOT]],Tableau1[ID-SLOT],0))&amp;""</f>
        <v>S3</v>
      </c>
      <c r="AG301" s="108" t="str">
        <f>INDEX(Tableau2[Repere-Voie],MATCH(Tableau3[[#This Row],[ID-VOIE]],Tableau2[ID-Voie],0))&amp;""</f>
        <v>v3</v>
      </c>
      <c r="AH301" s="72" t="str">
        <f>Tableau3[[#This Row],[ID-API]]&amp; "." &amp;Tableau3[[#This Row],[ID-RACK]]&amp; "." &amp;Tableau3[[#This Row],[ID-SLOT]]</f>
        <v>2.2.3</v>
      </c>
      <c r="AI301" s="72" t="str">
        <f>INDEX(Tableau1[Ref-Carte],MATCH(Tableau3[[#This Row],[ID-RRS]],Tableau1[ID-RRS],0))</f>
        <v>SDI1602</v>
      </c>
      <c r="AJ301" s="72" t="str">
        <f t="array" ref="AJ301">IFERROR(INDEX(Tableau2[TS],MATCH(1,(Tableau2[Ref-Carte]=Tableau3[[#This Row],[Ref-Carte2]])*(Tableau2[ID-Voie]=Tableau3[[#This Row],[ID-VOIE]]),0)),"")</f>
        <v>ET</v>
      </c>
      <c r="AK301" s="72" t="str">
        <f>IFERROR(INDEX(Tableau2[TS],SUMPRODUCT((Tableau2[Ref-Carte]=Tableau3[[#This Row],[Ref-Carte2]])*(Tableau2[ID-Voie]=Tableau3[[#This Row],[ID-VOIE]])*ROW(Tableau2[TS]))-ROW(Tableau2[#Headers])),"")</f>
        <v>ET</v>
      </c>
      <c r="AL301" s="72" t="str">
        <f>Tableau3[[#This Row],[Ref-Carte2]]&amp;"/"&amp;Tableau3[[#This Row],[ID-VOIE]]</f>
        <v>SDI1602/3</v>
      </c>
      <c r="AM301" s="73" t="str">
        <f>INDEX(Tableau2[Borne],MATCH(Tableau3[[#This Row],[ID-CARTEVOIE]],Tableau2[ID-CARTEVOIE],0))&amp;""</f>
        <v>1A</v>
      </c>
      <c r="AN301" s="74" t="str">
        <f>Tableau3[[#This Row],[ID-API]]&amp;Tableau3[[#This Row],[ID-RACK]]&amp;Tableau3[[#This Row],[ID-SLOT]]&amp;Tableau3[[#This Row],[BORNE]]</f>
        <v>2231A</v>
      </c>
      <c r="AO301" s="1"/>
    </row>
    <row r="302" spans="1:41" ht="20.100000000000001" customHeight="1" thickTop="1" thickBot="1">
      <c r="A302" s="68"/>
      <c r="B302" s="69" t="str">
        <f>IFERROR(INDEX(Tableau4[Date],MATCH($A302,Tableau4[EVO],0)),"")</f>
        <v/>
      </c>
      <c r="C302" s="68" t="str">
        <f>IFERROR(INDEX(Tableau4[Designation],MATCH($A302,Tableau4[EVO],0)),"")</f>
        <v/>
      </c>
      <c r="D302" s="68"/>
      <c r="E302" s="70">
        <v>77</v>
      </c>
      <c r="F302" s="71">
        <v>69</v>
      </c>
      <c r="G302" s="101" t="str">
        <f>INDEX(Tableau8[Att1],MATCH(Tableau3[[#This Row],[ID-INS]],Tableau8[ID],0))&amp;""</f>
        <v>V1</v>
      </c>
      <c r="H302" s="101" t="str">
        <f>INDEX(Tableau8[Att2],MATCH(Tableau3[[#This Row],[ID-INS]],Tableau8[ID],0))&amp;""</f>
        <v>BR1</v>
      </c>
      <c r="I302" s="101" t="str">
        <f>INDEX(Tableau8[Att3],MATCH(Tableau3[[#This Row],[ID-INS]],Tableau8[ID],0))&amp;""</f>
        <v>Barrière BR1</v>
      </c>
      <c r="J302" s="101"/>
      <c r="K302" s="167" t="str">
        <f>INDEX(Tableau8[Nom du modele],MATCH(Tableau3[[#This Row],[ID-INS]],Tableau8[ID],0))&amp;""</f>
        <v>BarriereLisse</v>
      </c>
      <c r="L302" s="99" t="str">
        <f>INDEX(Tableau5[Att1],MATCH(Tableau3[[#This Row],[ID-SIG]],Tableau5[ID],0))&amp;""</f>
        <v>Effraction</v>
      </c>
      <c r="M302" s="99" t="str">
        <f>INDEX(Tableau5[Att2],MATCH(Tableau3[[#This Row],[ID-SIG]],Tableau5[ID],0))&amp;""</f>
        <v/>
      </c>
      <c r="N302" s="99" t="str">
        <f>INDEX(Tableau5[Att3],MATCH(Tableau3[[#This Row],[ID-SIG]],Tableau5[ID],0))&amp;""</f>
        <v/>
      </c>
      <c r="O302" s="99"/>
      <c r="P302" s="99" t="str">
        <f>INDEX(Tableau5[Description],MATCH(Tableau3[[#This Row],[ID-SIG]],Tableau5[ID],0))</f>
        <v>Effraction</v>
      </c>
      <c r="Q302" s="99"/>
      <c r="R302" s="103" t="str">
        <f>Tableau3[[#This Row],[Description]]</f>
        <v>Effraction</v>
      </c>
      <c r="U302" s="87">
        <v>2</v>
      </c>
      <c r="V302" s="87">
        <v>2</v>
      </c>
      <c r="W302" s="87">
        <v>3</v>
      </c>
      <c r="X302" s="87">
        <v>4</v>
      </c>
      <c r="Y302" s="40"/>
      <c r="Z302" s="165" t="str">
        <f>INDEX(Tableau2[TS],MATCH(Tableau3[[#This Row],[ID-CARTEVOIE]],Tableau2[ID-CARTEVOIE],0))</f>
        <v>ET</v>
      </c>
      <c r="AA302" s="53" t="s">
        <v>213</v>
      </c>
      <c r="AB302" s="223" t="str">
        <f>IFERROR(INDEX(Tableau5[Reserve],MATCH(Tableau3[[#This Row],[ID-SIG]],Tableau5[ID],0))&amp;"","")</f>
        <v/>
      </c>
      <c r="AC302" s="21"/>
      <c r="AD302" s="108" t="str">
        <f>INDEX(Tableau7[Repere],MATCH(Tableau3[[#This Row],[ID-API]],Tableau7[ID-API],0))&amp;""</f>
        <v>A2</v>
      </c>
      <c r="AE302" s="108" t="str">
        <f>INDEX(Tableau1[Repere-Rack],MATCH(Tableau3[[#This Row],[ID-RACK]],Tableau1[ID-RACK],0))&amp;""</f>
        <v>R2</v>
      </c>
      <c r="AF302" s="108" t="str">
        <f>INDEX(Tableau1[Repere-Slot],MATCH(Tableau3[[#This Row],[ID-SLOT]],Tableau1[ID-SLOT],0))&amp;""</f>
        <v>S3</v>
      </c>
      <c r="AG302" s="108" t="str">
        <f>INDEX(Tableau2[Repere-Voie],MATCH(Tableau3[[#This Row],[ID-VOIE]],Tableau2[ID-Voie],0))&amp;""</f>
        <v>v4</v>
      </c>
      <c r="AH302" s="72" t="str">
        <f>Tableau3[[#This Row],[ID-API]]&amp; "." &amp;Tableau3[[#This Row],[ID-RACK]]&amp; "." &amp;Tableau3[[#This Row],[ID-SLOT]]</f>
        <v>2.2.3</v>
      </c>
      <c r="AI302" s="72" t="str">
        <f>INDEX(Tableau1[Ref-Carte],MATCH(Tableau3[[#This Row],[ID-RRS]],Tableau1[ID-RRS],0))</f>
        <v>SDI1602</v>
      </c>
      <c r="AJ302" s="72" t="str">
        <f t="array" ref="AJ302">IFERROR(INDEX(Tableau2[TS],MATCH(1,(Tableau2[Ref-Carte]=Tableau3[[#This Row],[Ref-Carte2]])*(Tableau2[ID-Voie]=Tableau3[[#This Row],[ID-VOIE]]),0)),"")</f>
        <v>ET</v>
      </c>
      <c r="AK302" s="72" t="str">
        <f>IFERROR(INDEX(Tableau2[TS],SUMPRODUCT((Tableau2[Ref-Carte]=Tableau3[[#This Row],[Ref-Carte2]])*(Tableau2[ID-Voie]=Tableau3[[#This Row],[ID-VOIE]])*ROW(Tableau2[TS]))-ROW(Tableau2[#Headers])),"")</f>
        <v>ET</v>
      </c>
      <c r="AL302" s="72" t="str">
        <f>Tableau3[[#This Row],[Ref-Carte2]]&amp;"/"&amp;Tableau3[[#This Row],[ID-VOIE]]</f>
        <v>SDI1602/4</v>
      </c>
      <c r="AM302" s="73" t="str">
        <f>INDEX(Tableau2[Borne],MATCH(Tableau3[[#This Row],[ID-CARTEVOIE]],Tableau2[ID-CARTEVOIE],0))&amp;""</f>
        <v>2B</v>
      </c>
      <c r="AN302" s="74" t="str">
        <f>Tableau3[[#This Row],[ID-API]]&amp;Tableau3[[#This Row],[ID-RACK]]&amp;Tableau3[[#This Row],[ID-SLOT]]&amp;Tableau3[[#This Row],[BORNE]]</f>
        <v>2232B</v>
      </c>
      <c r="AO302" s="1"/>
    </row>
    <row r="303" spans="1:41" ht="20.100000000000001" customHeight="1" thickTop="1" thickBot="1">
      <c r="A303" s="68"/>
      <c r="B303" s="69" t="str">
        <f>IFERROR(INDEX(Tableau4[Date],MATCH($A303,Tableau4[EVO],0)),"")</f>
        <v/>
      </c>
      <c r="C303" s="68" t="str">
        <f>IFERROR(INDEX(Tableau4[Designation],MATCH($A303,Tableau4[EVO],0)),"")</f>
        <v/>
      </c>
      <c r="D303" s="68"/>
      <c r="E303" s="70">
        <v>77</v>
      </c>
      <c r="F303" s="71">
        <v>70</v>
      </c>
      <c r="G303" s="101" t="str">
        <f>INDEX(Tableau8[Att1],MATCH(Tableau3[[#This Row],[ID-INS]],Tableau8[ID],0))&amp;""</f>
        <v>V1</v>
      </c>
      <c r="H303" s="101" t="str">
        <f>INDEX(Tableau8[Att2],MATCH(Tableau3[[#This Row],[ID-INS]],Tableau8[ID],0))&amp;""</f>
        <v>BR1</v>
      </c>
      <c r="I303" s="101" t="str">
        <f>INDEX(Tableau8[Att3],MATCH(Tableau3[[#This Row],[ID-INS]],Tableau8[ID],0))&amp;""</f>
        <v>Barrière BR1</v>
      </c>
      <c r="J303" s="101"/>
      <c r="K303" s="167" t="str">
        <f>INDEX(Tableau8[Nom du modele],MATCH(Tableau3[[#This Row],[ID-INS]],Tableau8[ID],0))&amp;""</f>
        <v>BarriereLisse</v>
      </c>
      <c r="L303" s="99" t="str">
        <f>INDEX(Tableau5[Att1],MATCH(Tableau3[[#This Row],[ID-SIG]],Tableau5[ID],0))&amp;""</f>
        <v>Pres</v>
      </c>
      <c r="M303" s="99" t="str">
        <f>INDEX(Tableau5[Att2],MATCH(Tableau3[[#This Row],[ID-SIG]],Tableau5[ID],0))&amp;""</f>
        <v/>
      </c>
      <c r="N303" s="99" t="str">
        <f>INDEX(Tableau5[Att3],MATCH(Tableau3[[#This Row],[ID-SIG]],Tableau5[ID],0))&amp;""</f>
        <v/>
      </c>
      <c r="O303" s="99"/>
      <c r="P303" s="99" t="str">
        <f>INDEX(Tableau5[Description],MATCH(Tableau3[[#This Row],[ID-SIG]],Tableau5[ID],0))</f>
        <v>Présence sous la barrière (Cellule)</v>
      </c>
      <c r="Q303" s="99"/>
      <c r="R303" s="103" t="str">
        <f>Tableau3[[#This Row],[Description]]</f>
        <v>Présence sous la barrière (Cellule)</v>
      </c>
      <c r="U303" s="87">
        <v>2</v>
      </c>
      <c r="V303" s="87">
        <v>2</v>
      </c>
      <c r="W303" s="87">
        <v>3</v>
      </c>
      <c r="X303" s="87">
        <v>5</v>
      </c>
      <c r="Y303" s="40"/>
      <c r="Z303" s="165" t="str">
        <f>INDEX(Tableau2[TS],MATCH(Tableau3[[#This Row],[ID-CARTEVOIE]],Tableau2[ID-CARTEVOIE],0))</f>
        <v>ET</v>
      </c>
      <c r="AA303" s="53" t="s">
        <v>213</v>
      </c>
      <c r="AB303" s="223" t="str">
        <f>IFERROR(INDEX(Tableau5[Reserve],MATCH(Tableau3[[#This Row],[ID-SIG]],Tableau5[ID],0))&amp;"","")</f>
        <v/>
      </c>
      <c r="AC303" s="21"/>
      <c r="AD303" s="108" t="str">
        <f>INDEX(Tableau7[Repere],MATCH(Tableau3[[#This Row],[ID-API]],Tableau7[ID-API],0))&amp;""</f>
        <v>A2</v>
      </c>
      <c r="AE303" s="108" t="str">
        <f>INDEX(Tableau1[Repere-Rack],MATCH(Tableau3[[#This Row],[ID-RACK]],Tableau1[ID-RACK],0))&amp;""</f>
        <v>R2</v>
      </c>
      <c r="AF303" s="108" t="str">
        <f>INDEX(Tableau1[Repere-Slot],MATCH(Tableau3[[#This Row],[ID-SLOT]],Tableau1[ID-SLOT],0))&amp;""</f>
        <v>S3</v>
      </c>
      <c r="AG303" s="108" t="str">
        <f>INDEX(Tableau2[Repere-Voie],MATCH(Tableau3[[#This Row],[ID-VOIE]],Tableau2[ID-Voie],0))&amp;""</f>
        <v>v5</v>
      </c>
      <c r="AH303" s="72" t="str">
        <f>Tableau3[[#This Row],[ID-API]]&amp; "." &amp;Tableau3[[#This Row],[ID-RACK]]&amp; "." &amp;Tableau3[[#This Row],[ID-SLOT]]</f>
        <v>2.2.3</v>
      </c>
      <c r="AI303" s="72" t="str">
        <f>INDEX(Tableau1[Ref-Carte],MATCH(Tableau3[[#This Row],[ID-RRS]],Tableau1[ID-RRS],0))</f>
        <v>SDI1602</v>
      </c>
      <c r="AJ303" s="72" t="str">
        <f t="array" ref="AJ303">IFERROR(INDEX(Tableau2[TS],MATCH(1,(Tableau2[Ref-Carte]=Tableau3[[#This Row],[Ref-Carte2]])*(Tableau2[ID-Voie]=Tableau3[[#This Row],[ID-VOIE]]),0)),"")</f>
        <v>ET</v>
      </c>
      <c r="AK303" s="72" t="str">
        <f>IFERROR(INDEX(Tableau2[TS],SUMPRODUCT((Tableau2[Ref-Carte]=Tableau3[[#This Row],[Ref-Carte2]])*(Tableau2[ID-Voie]=Tableau3[[#This Row],[ID-VOIE]])*ROW(Tableau2[TS]))-ROW(Tableau2[#Headers])),"")</f>
        <v>ET</v>
      </c>
      <c r="AL303" s="72" t="str">
        <f>Tableau3[[#This Row],[Ref-Carte2]]&amp;"/"&amp;Tableau3[[#This Row],[ID-VOIE]]</f>
        <v>SDI1602/5</v>
      </c>
      <c r="AM303" s="73" t="str">
        <f>INDEX(Tableau2[Borne],MATCH(Tableau3[[#This Row],[ID-CARTEVOIE]],Tableau2[ID-CARTEVOIE],0))&amp;""</f>
        <v>2A</v>
      </c>
      <c r="AN303" s="74" t="str">
        <f>Tableau3[[#This Row],[ID-API]]&amp;Tableau3[[#This Row],[ID-RACK]]&amp;Tableau3[[#This Row],[ID-SLOT]]&amp;Tableau3[[#This Row],[BORNE]]</f>
        <v>2232A</v>
      </c>
      <c r="AO303" s="1"/>
    </row>
    <row r="304" spans="1:41" ht="20.100000000000001" customHeight="1" thickTop="1" thickBot="1">
      <c r="A304" s="68"/>
      <c r="B304" s="69" t="str">
        <f>IFERROR(INDEX(Tableau4[Date],MATCH($A304,Tableau4[EVO],0)),"")</f>
        <v/>
      </c>
      <c r="C304" s="68" t="str">
        <f>IFERROR(INDEX(Tableau4[Designation],MATCH($A304,Tableau4[EVO],0)),"")</f>
        <v/>
      </c>
      <c r="D304" s="68"/>
      <c r="E304" s="70">
        <v>82</v>
      </c>
      <c r="F304" s="71">
        <v>308</v>
      </c>
      <c r="G304" s="101" t="str">
        <f>INDEX(Tableau8[Att1],MATCH(Tableau3[[#This Row],[ID-INS]],Tableau8[ID],0))&amp;""</f>
        <v>V1</v>
      </c>
      <c r="H304" s="101" t="str">
        <f>INDEX(Tableau8[Att2],MATCH(Tableau3[[#This Row],[ID-INS]],Tableau8[ID],0))&amp;""</f>
        <v>F4</v>
      </c>
      <c r="I304" s="101" t="str">
        <f>INDEX(Tableau8[Att3],MATCH(Tableau3[[#This Row],[ID-INS]],Tableau8[ID],0))&amp;""</f>
        <v>Feu F4</v>
      </c>
      <c r="J304" s="101"/>
      <c r="K304" s="167" t="str">
        <f>INDEX(Tableau8[Nom du modele],MATCH(Tableau3[[#This Row],[ID-INS]],Tableau8[ID],0))&amp;""</f>
        <v>FeuOuvV</v>
      </c>
      <c r="L304" s="99" t="str">
        <f>INDEX(Tableau5[Att1],MATCH(Tableau3[[#This Row],[ID-SIG]],Tableau5[ID],0))&amp;""</f>
        <v>Feu_RM</v>
      </c>
      <c r="M304" s="99" t="str">
        <f>INDEX(Tableau5[Att2],MATCH(Tableau3[[#This Row],[ID-SIG]],Tableau5[ID],0))&amp;""</f>
        <v/>
      </c>
      <c r="N304" s="99" t="str">
        <f>INDEX(Tableau5[Att3],MATCH(Tableau3[[#This Row],[ID-SIG]],Tableau5[ID],0))&amp;""</f>
        <v/>
      </c>
      <c r="O304" s="99"/>
      <c r="P304" s="99" t="str">
        <f>INDEX(Tableau5[Description],MATCH(Tableau3[[#This Row],[ID-SIG]],Tableau5[ID],0))</f>
        <v>Retour de marche Feu</v>
      </c>
      <c r="Q304" s="99"/>
      <c r="R304" s="103" t="str">
        <f>Tableau3[[#This Row],[Description]]</f>
        <v>Retour de marche Feu</v>
      </c>
      <c r="U304" s="87">
        <v>2</v>
      </c>
      <c r="V304" s="87">
        <v>2</v>
      </c>
      <c r="W304" s="87">
        <v>3</v>
      </c>
      <c r="X304" s="87">
        <v>6</v>
      </c>
      <c r="Y304" s="40"/>
      <c r="Z304" s="165" t="str">
        <f>INDEX(Tableau2[TS],MATCH(Tableau3[[#This Row],[ID-CARTEVOIE]],Tableau2[ID-CARTEVOIE],0))</f>
        <v>ET</v>
      </c>
      <c r="AA304" s="53" t="s">
        <v>213</v>
      </c>
      <c r="AB304" s="223" t="str">
        <f>IFERROR(INDEX(Tableau5[Reserve],MATCH(Tableau3[[#This Row],[ID-SIG]],Tableau5[ID],0))&amp;"","")</f>
        <v/>
      </c>
      <c r="AC304" s="21"/>
      <c r="AD304" s="108" t="str">
        <f>INDEX(Tableau7[Repere],MATCH(Tableau3[[#This Row],[ID-API]],Tableau7[ID-API],0))&amp;""</f>
        <v>A2</v>
      </c>
      <c r="AE304" s="108" t="str">
        <f>INDEX(Tableau1[Repere-Rack],MATCH(Tableau3[[#This Row],[ID-RACK]],Tableau1[ID-RACK],0))&amp;""</f>
        <v>R2</v>
      </c>
      <c r="AF304" s="108" t="str">
        <f>INDEX(Tableau1[Repere-Slot],MATCH(Tableau3[[#This Row],[ID-SLOT]],Tableau1[ID-SLOT],0))&amp;""</f>
        <v>S3</v>
      </c>
      <c r="AG304" s="108" t="str">
        <f>INDEX(Tableau2[Repere-Voie],MATCH(Tableau3[[#This Row],[ID-VOIE]],Tableau2[ID-Voie],0))&amp;""</f>
        <v>v6</v>
      </c>
      <c r="AH304" s="72" t="str">
        <f>Tableau3[[#This Row],[ID-API]]&amp; "." &amp;Tableau3[[#This Row],[ID-RACK]]&amp; "." &amp;Tableau3[[#This Row],[ID-SLOT]]</f>
        <v>2.2.3</v>
      </c>
      <c r="AI304" s="72" t="str">
        <f>INDEX(Tableau1[Ref-Carte],MATCH(Tableau3[[#This Row],[ID-RRS]],Tableau1[ID-RRS],0))</f>
        <v>SDI1602</v>
      </c>
      <c r="AJ304" s="72" t="str">
        <f t="array" ref="AJ304">IFERROR(INDEX(Tableau2[TS],MATCH(1,(Tableau2[Ref-Carte]=Tableau3[[#This Row],[Ref-Carte2]])*(Tableau2[ID-Voie]=Tableau3[[#This Row],[ID-VOIE]]),0)),"")</f>
        <v>ET</v>
      </c>
      <c r="AK304" s="72" t="str">
        <f>IFERROR(INDEX(Tableau2[TS],SUMPRODUCT((Tableau2[Ref-Carte]=Tableau3[[#This Row],[Ref-Carte2]])*(Tableau2[ID-Voie]=Tableau3[[#This Row],[ID-VOIE]])*ROW(Tableau2[TS]))-ROW(Tableau2[#Headers])),"")</f>
        <v>ET</v>
      </c>
      <c r="AL304" s="72" t="str">
        <f>Tableau3[[#This Row],[Ref-Carte2]]&amp;"/"&amp;Tableau3[[#This Row],[ID-VOIE]]</f>
        <v>SDI1602/6</v>
      </c>
      <c r="AM304" s="73" t="str">
        <f>INDEX(Tableau2[Borne],MATCH(Tableau3[[#This Row],[ID-CARTEVOIE]],Tableau2[ID-CARTEVOIE],0))&amp;""</f>
        <v>3B</v>
      </c>
      <c r="AN304" s="74" t="str">
        <f>Tableau3[[#This Row],[ID-API]]&amp;Tableau3[[#This Row],[ID-RACK]]&amp;Tableau3[[#This Row],[ID-SLOT]]&amp;Tableau3[[#This Row],[BORNE]]</f>
        <v>2233B</v>
      </c>
      <c r="AO304" s="1"/>
    </row>
    <row r="305" spans="1:41" ht="20.100000000000001" customHeight="1" thickTop="1" thickBot="1">
      <c r="A305" s="68"/>
      <c r="B305" s="69" t="str">
        <f>IFERROR(INDEX(Tableau4[Date],MATCH($A305,Tableau4[EVO],0)),"")</f>
        <v/>
      </c>
      <c r="C305" s="68" t="str">
        <f>IFERROR(INDEX(Tableau4[Designation],MATCH($A305,Tableau4[EVO],0)),"")</f>
        <v/>
      </c>
      <c r="D305" s="68"/>
      <c r="E305" s="70">
        <v>83</v>
      </c>
      <c r="F305" s="71">
        <v>314</v>
      </c>
      <c r="G305" s="101" t="str">
        <f>INDEX(Tableau8[Att1],MATCH(Tableau3[[#This Row],[ID-INS]],Tableau8[ID],0))&amp;""</f>
        <v>V1</v>
      </c>
      <c r="H305" s="101" t="str">
        <f>INDEX(Tableau8[Att2],MATCH(Tableau3[[#This Row],[ID-INS]],Tableau8[ID],0))&amp;""</f>
        <v>F5</v>
      </c>
      <c r="I305" s="101" t="str">
        <f>INDEX(Tableau8[Att3],MATCH(Tableau3[[#This Row],[ID-INS]],Tableau8[ID],0))&amp;""</f>
        <v>Feu F5</v>
      </c>
      <c r="J305" s="101"/>
      <c r="K305" s="167" t="str">
        <f>INDEX(Tableau8[Nom du modele],MATCH(Tableau3[[#This Row],[ID-INS]],Tableau8[ID],0))&amp;""</f>
        <v>FeuBi_1</v>
      </c>
      <c r="L305" s="99" t="str">
        <f>INDEX(Tableau5[Att1],MATCH(Tableau3[[#This Row],[ID-SIG]],Tableau5[ID],0))&amp;""</f>
        <v>FeuR_RM</v>
      </c>
      <c r="M305" s="99" t="str">
        <f>INDEX(Tableau5[Att2],MATCH(Tableau3[[#This Row],[ID-SIG]],Tableau5[ID],0))&amp;""</f>
        <v/>
      </c>
      <c r="N305" s="99" t="str">
        <f>INDEX(Tableau5[Att3],MATCH(Tableau3[[#This Row],[ID-SIG]],Tableau5[ID],0))&amp;""</f>
        <v/>
      </c>
      <c r="O305" s="99"/>
      <c r="P305" s="99" t="str">
        <f>INDEX(Tableau5[Description],MATCH(Tableau3[[#This Row],[ID-SIG]],Tableau5[ID],0))</f>
        <v xml:space="preserve">Retour de marche Feu rouge </v>
      </c>
      <c r="Q305" s="99"/>
      <c r="R305" s="103" t="str">
        <f>Tableau3[[#This Row],[Description]]</f>
        <v xml:space="preserve">Retour de marche Feu rouge </v>
      </c>
      <c r="U305" s="87">
        <v>2</v>
      </c>
      <c r="V305" s="87">
        <v>2</v>
      </c>
      <c r="W305" s="87">
        <v>3</v>
      </c>
      <c r="X305" s="87">
        <v>7</v>
      </c>
      <c r="Y305" s="40"/>
      <c r="Z305" s="165" t="str">
        <f>INDEX(Tableau2[TS],MATCH(Tableau3[[#This Row],[ID-CARTEVOIE]],Tableau2[ID-CARTEVOIE],0))</f>
        <v>ET</v>
      </c>
      <c r="AA305" s="53" t="s">
        <v>213</v>
      </c>
      <c r="AB305" s="223" t="str">
        <f>IFERROR(INDEX(Tableau5[Reserve],MATCH(Tableau3[[#This Row],[ID-SIG]],Tableau5[ID],0))&amp;"","")</f>
        <v/>
      </c>
      <c r="AC305" s="21"/>
      <c r="AD305" s="108" t="str">
        <f>INDEX(Tableau7[Repere],MATCH(Tableau3[[#This Row],[ID-API]],Tableau7[ID-API],0))&amp;""</f>
        <v>A2</v>
      </c>
      <c r="AE305" s="108" t="str">
        <f>INDEX(Tableau1[Repere-Rack],MATCH(Tableau3[[#This Row],[ID-RACK]],Tableau1[ID-RACK],0))&amp;""</f>
        <v>R2</v>
      </c>
      <c r="AF305" s="108" t="str">
        <f>INDEX(Tableau1[Repere-Slot],MATCH(Tableau3[[#This Row],[ID-SLOT]],Tableau1[ID-SLOT],0))&amp;""</f>
        <v>S3</v>
      </c>
      <c r="AG305" s="108" t="str">
        <f>INDEX(Tableau2[Repere-Voie],MATCH(Tableau3[[#This Row],[ID-VOIE]],Tableau2[ID-Voie],0))&amp;""</f>
        <v>v7</v>
      </c>
      <c r="AH305" s="72" t="str">
        <f>Tableau3[[#This Row],[ID-API]]&amp; "." &amp;Tableau3[[#This Row],[ID-RACK]]&amp; "." &amp;Tableau3[[#This Row],[ID-SLOT]]</f>
        <v>2.2.3</v>
      </c>
      <c r="AI305" s="72" t="str">
        <f>INDEX(Tableau1[Ref-Carte],MATCH(Tableau3[[#This Row],[ID-RRS]],Tableau1[ID-RRS],0))</f>
        <v>SDI1602</v>
      </c>
      <c r="AJ305" s="72" t="str">
        <f t="array" ref="AJ305">IFERROR(INDEX(Tableau2[TS],MATCH(1,(Tableau2[Ref-Carte]=Tableau3[[#This Row],[Ref-Carte2]])*(Tableau2[ID-Voie]=Tableau3[[#This Row],[ID-VOIE]]),0)),"")</f>
        <v>ET</v>
      </c>
      <c r="AK305" s="72" t="str">
        <f>IFERROR(INDEX(Tableau2[TS],SUMPRODUCT((Tableau2[Ref-Carte]=Tableau3[[#This Row],[Ref-Carte2]])*(Tableau2[ID-Voie]=Tableau3[[#This Row],[ID-VOIE]])*ROW(Tableau2[TS]))-ROW(Tableau2[#Headers])),"")</f>
        <v>ET</v>
      </c>
      <c r="AL305" s="72" t="str">
        <f>Tableau3[[#This Row],[Ref-Carte2]]&amp;"/"&amp;Tableau3[[#This Row],[ID-VOIE]]</f>
        <v>SDI1602/7</v>
      </c>
      <c r="AM305" s="73" t="str">
        <f>INDEX(Tableau2[Borne],MATCH(Tableau3[[#This Row],[ID-CARTEVOIE]],Tableau2[ID-CARTEVOIE],0))&amp;""</f>
        <v>3A</v>
      </c>
      <c r="AN305" s="74" t="str">
        <f>Tableau3[[#This Row],[ID-API]]&amp;Tableau3[[#This Row],[ID-RACK]]&amp;Tableau3[[#This Row],[ID-SLOT]]&amp;Tableau3[[#This Row],[BORNE]]</f>
        <v>2233A</v>
      </c>
      <c r="AO305" s="1"/>
    </row>
    <row r="306" spans="1:41" ht="20.100000000000001" customHeight="1" thickTop="1" thickBot="1">
      <c r="A306" s="68"/>
      <c r="B306" s="69" t="str">
        <f>IFERROR(INDEX(Tableau4[Date],MATCH($A306,Tableau4[EVO],0)),"")</f>
        <v/>
      </c>
      <c r="C306" s="68" t="str">
        <f>IFERROR(INDEX(Tableau4[Designation],MATCH($A306,Tableau4[EVO],0)),"")</f>
        <v/>
      </c>
      <c r="D306" s="68"/>
      <c r="E306" s="70">
        <v>83</v>
      </c>
      <c r="F306" s="71">
        <v>315</v>
      </c>
      <c r="G306" s="101" t="str">
        <f>INDEX(Tableau8[Att1],MATCH(Tableau3[[#This Row],[ID-INS]],Tableau8[ID],0))&amp;""</f>
        <v>V1</v>
      </c>
      <c r="H306" s="101" t="str">
        <f>INDEX(Tableau8[Att2],MATCH(Tableau3[[#This Row],[ID-INS]],Tableau8[ID],0))&amp;""</f>
        <v>F5</v>
      </c>
      <c r="I306" s="101" t="str">
        <f>INDEX(Tableau8[Att3],MATCH(Tableau3[[#This Row],[ID-INS]],Tableau8[ID],0))&amp;""</f>
        <v>Feu F5</v>
      </c>
      <c r="J306" s="101"/>
      <c r="K306" s="167" t="str">
        <f>INDEX(Tableau8[Nom du modele],MATCH(Tableau3[[#This Row],[ID-INS]],Tableau8[ID],0))&amp;""</f>
        <v>FeuBi_1</v>
      </c>
      <c r="L306" s="99" t="str">
        <f>INDEX(Tableau5[Att1],MATCH(Tableau3[[#This Row],[ID-SIG]],Tableau5[ID],0))&amp;""</f>
        <v>FeuV_RM</v>
      </c>
      <c r="M306" s="99" t="str">
        <f>INDEX(Tableau5[Att2],MATCH(Tableau3[[#This Row],[ID-SIG]],Tableau5[ID],0))&amp;""</f>
        <v/>
      </c>
      <c r="N306" s="99" t="str">
        <f>INDEX(Tableau5[Att3],MATCH(Tableau3[[#This Row],[ID-SIG]],Tableau5[ID],0))&amp;""</f>
        <v/>
      </c>
      <c r="O306" s="99"/>
      <c r="P306" s="99" t="str">
        <f>INDEX(Tableau5[Description],MATCH(Tableau3[[#This Row],[ID-SIG]],Tableau5[ID],0))</f>
        <v>Retour de marche Feu Vert</v>
      </c>
      <c r="Q306" s="99"/>
      <c r="R306" s="103" t="str">
        <f>Tableau3[[#This Row],[Description]]</f>
        <v>Retour de marche Feu Vert</v>
      </c>
      <c r="U306" s="87">
        <v>2</v>
      </c>
      <c r="V306" s="87">
        <v>2</v>
      </c>
      <c r="W306" s="87">
        <v>3</v>
      </c>
      <c r="X306" s="87">
        <v>8</v>
      </c>
      <c r="Y306" s="40"/>
      <c r="Z306" s="165" t="str">
        <f>INDEX(Tableau2[TS],MATCH(Tableau3[[#This Row],[ID-CARTEVOIE]],Tableau2[ID-CARTEVOIE],0))</f>
        <v>ET</v>
      </c>
      <c r="AA306" s="53" t="s">
        <v>213</v>
      </c>
      <c r="AB306" s="223" t="str">
        <f>IFERROR(INDEX(Tableau5[Reserve],MATCH(Tableau3[[#This Row],[ID-SIG]],Tableau5[ID],0))&amp;"","")</f>
        <v/>
      </c>
      <c r="AC306" s="21"/>
      <c r="AD306" s="108" t="str">
        <f>INDEX(Tableau7[Repere],MATCH(Tableau3[[#This Row],[ID-API]],Tableau7[ID-API],0))&amp;""</f>
        <v>A2</v>
      </c>
      <c r="AE306" s="108" t="str">
        <f>INDEX(Tableau1[Repere-Rack],MATCH(Tableau3[[#This Row],[ID-RACK]],Tableau1[ID-RACK],0))&amp;""</f>
        <v>R2</v>
      </c>
      <c r="AF306" s="108" t="str">
        <f>INDEX(Tableau1[Repere-Slot],MATCH(Tableau3[[#This Row],[ID-SLOT]],Tableau1[ID-SLOT],0))&amp;""</f>
        <v>S3</v>
      </c>
      <c r="AG306" s="108" t="str">
        <f>INDEX(Tableau2[Repere-Voie],MATCH(Tableau3[[#This Row],[ID-VOIE]],Tableau2[ID-Voie],0))&amp;""</f>
        <v>v8</v>
      </c>
      <c r="AH306" s="72" t="str">
        <f>Tableau3[[#This Row],[ID-API]]&amp; "." &amp;Tableau3[[#This Row],[ID-RACK]]&amp; "." &amp;Tableau3[[#This Row],[ID-SLOT]]</f>
        <v>2.2.3</v>
      </c>
      <c r="AI306" s="72" t="str">
        <f>INDEX(Tableau1[Ref-Carte],MATCH(Tableau3[[#This Row],[ID-RRS]],Tableau1[ID-RRS],0))</f>
        <v>SDI1602</v>
      </c>
      <c r="AJ306" s="72" t="str">
        <f t="array" ref="AJ306">IFERROR(INDEX(Tableau2[TS],MATCH(1,(Tableau2[Ref-Carte]=Tableau3[[#This Row],[Ref-Carte2]])*(Tableau2[ID-Voie]=Tableau3[[#This Row],[ID-VOIE]]),0)),"")</f>
        <v>ET</v>
      </c>
      <c r="AK306" s="72" t="str">
        <f>IFERROR(INDEX(Tableau2[TS],SUMPRODUCT((Tableau2[Ref-Carte]=Tableau3[[#This Row],[Ref-Carte2]])*(Tableau2[ID-Voie]=Tableau3[[#This Row],[ID-VOIE]])*ROW(Tableau2[TS]))-ROW(Tableau2[#Headers])),"")</f>
        <v>ET</v>
      </c>
      <c r="AL306" s="72" t="str">
        <f>Tableau3[[#This Row],[Ref-Carte2]]&amp;"/"&amp;Tableau3[[#This Row],[ID-VOIE]]</f>
        <v>SDI1602/8</v>
      </c>
      <c r="AM306" s="73" t="str">
        <f>INDEX(Tableau2[Borne],MATCH(Tableau3[[#This Row],[ID-CARTEVOIE]],Tableau2[ID-CARTEVOIE],0))&amp;""</f>
        <v>4B</v>
      </c>
      <c r="AN306" s="74" t="str">
        <f>Tableau3[[#This Row],[ID-API]]&amp;Tableau3[[#This Row],[ID-RACK]]&amp;Tableau3[[#This Row],[ID-SLOT]]&amp;Tableau3[[#This Row],[BORNE]]</f>
        <v>2234B</v>
      </c>
      <c r="AO306" s="1"/>
    </row>
    <row r="307" spans="1:41" ht="20.100000000000001" customHeight="1" thickTop="1" thickBot="1">
      <c r="A307" s="68"/>
      <c r="B307" s="69" t="str">
        <f>IFERROR(INDEX(Tableau4[Date],MATCH($A307,Tableau4[EVO],0)),"")</f>
        <v/>
      </c>
      <c r="C307" s="68" t="str">
        <f>IFERROR(INDEX(Tableau4[Designation],MATCH($A307,Tableau4[EVO],0)),"")</f>
        <v/>
      </c>
      <c r="D307" s="68"/>
      <c r="E307" s="70">
        <v>87</v>
      </c>
      <c r="F307" s="71">
        <v>311</v>
      </c>
      <c r="G307" s="101" t="str">
        <f>INDEX(Tableau8[Att1],MATCH(Tableau3[[#This Row],[ID-INS]],Tableau8[ID],0))&amp;""</f>
        <v>V1</v>
      </c>
      <c r="H307" s="101" t="str">
        <f>INDEX(Tableau8[Att2],MATCH(Tableau3[[#This Row],[ID-INS]],Tableau8[ID],0))&amp;""</f>
        <v>F9</v>
      </c>
      <c r="I307" s="101" t="str">
        <f>INDEX(Tableau8[Att3],MATCH(Tableau3[[#This Row],[ID-INS]],Tableau8[ID],0))&amp;""</f>
        <v>Feu F9</v>
      </c>
      <c r="J307" s="101"/>
      <c r="K307" s="167" t="str">
        <f>INDEX(Tableau8[Nom du modele],MATCH(Tableau3[[#This Row],[ID-INS]],Tableau8[ID],0))&amp;""</f>
        <v>FeuBiCora</v>
      </c>
      <c r="L307" s="141" t="str">
        <f>INDEX(Tableau5[Att1],MATCH(Tableau3[[#This Row],[ID-SIG]],Tableau5[ID],0))&amp;""</f>
        <v>FeuO_RM</v>
      </c>
      <c r="M307" s="99" t="str">
        <f>INDEX(Tableau5[Att2],MATCH(Tableau3[[#This Row],[ID-SIG]],Tableau5[ID],0))&amp;""</f>
        <v/>
      </c>
      <c r="N307" s="99" t="str">
        <f>INDEX(Tableau5[Att3],MATCH(Tableau3[[#This Row],[ID-SIG]],Tableau5[ID],0))&amp;""</f>
        <v/>
      </c>
      <c r="O307" s="99"/>
      <c r="P307" s="141" t="str">
        <f>INDEX(Tableau5[Description],MATCH(Tableau3[[#This Row],[ID-SIG]],Tableau5[ID],0))</f>
        <v>Retour de marche Feu Orange</v>
      </c>
      <c r="Q307" s="99"/>
      <c r="R307" s="103" t="str">
        <f>Tableau3[[#This Row],[Description]]</f>
        <v>Retour de marche Feu Orange</v>
      </c>
      <c r="U307" s="87">
        <v>2</v>
      </c>
      <c r="V307" s="87">
        <v>2</v>
      </c>
      <c r="W307" s="87">
        <v>3</v>
      </c>
      <c r="X307" s="87">
        <v>9</v>
      </c>
      <c r="Y307" s="40"/>
      <c r="Z307" s="165" t="str">
        <f>INDEX(Tableau2[TS],MATCH(Tableau3[[#This Row],[ID-CARTEVOIE]],Tableau2[ID-CARTEVOIE],0))</f>
        <v>ET</v>
      </c>
      <c r="AA307" s="53" t="s">
        <v>213</v>
      </c>
      <c r="AB307" s="223" t="str">
        <f>IFERROR(INDEX(Tableau5[Reserve],MATCH(Tableau3[[#This Row],[ID-SIG]],Tableau5[ID],0))&amp;"","")</f>
        <v/>
      </c>
      <c r="AC307" s="21"/>
      <c r="AD307" s="108" t="str">
        <f>INDEX(Tableau7[Repere],MATCH(Tableau3[[#This Row],[ID-API]],Tableau7[ID-API],0))&amp;""</f>
        <v>A2</v>
      </c>
      <c r="AE307" s="108" t="str">
        <f>INDEX(Tableau1[Repere-Rack],MATCH(Tableau3[[#This Row],[ID-RACK]],Tableau1[ID-RACK],0))&amp;""</f>
        <v>R2</v>
      </c>
      <c r="AF307" s="108" t="str">
        <f>INDEX(Tableau1[Repere-Slot],MATCH(Tableau3[[#This Row],[ID-SLOT]],Tableau1[ID-SLOT],0))&amp;""</f>
        <v>S3</v>
      </c>
      <c r="AG307" s="108" t="str">
        <f>INDEX(Tableau2[Repere-Voie],MATCH(Tableau3[[#This Row],[ID-VOIE]],Tableau2[ID-Voie],0))&amp;""</f>
        <v>v9</v>
      </c>
      <c r="AH307" s="72" t="str">
        <f>Tableau3[[#This Row],[ID-API]]&amp; "." &amp;Tableau3[[#This Row],[ID-RACK]]&amp; "." &amp;Tableau3[[#This Row],[ID-SLOT]]</f>
        <v>2.2.3</v>
      </c>
      <c r="AI307" s="72" t="str">
        <f>INDEX(Tableau1[Ref-Carte],MATCH(Tableau3[[#This Row],[ID-RRS]],Tableau1[ID-RRS],0))</f>
        <v>SDI1602</v>
      </c>
      <c r="AJ307" s="72" t="str">
        <f t="array" ref="AJ307">IFERROR(INDEX(Tableau2[TS],MATCH(1,(Tableau2[Ref-Carte]=Tableau3[[#This Row],[Ref-Carte2]])*(Tableau2[ID-Voie]=Tableau3[[#This Row],[ID-VOIE]]),0)),"")</f>
        <v>ET</v>
      </c>
      <c r="AK307" s="72" t="str">
        <f>IFERROR(INDEX(Tableau2[TS],SUMPRODUCT((Tableau2[Ref-Carte]=Tableau3[[#This Row],[Ref-Carte2]])*(Tableau2[ID-Voie]=Tableau3[[#This Row],[ID-VOIE]])*ROW(Tableau2[TS]))-ROW(Tableau2[#Headers])),"")</f>
        <v>ET</v>
      </c>
      <c r="AL307" s="72" t="str">
        <f>Tableau3[[#This Row],[Ref-Carte2]]&amp;"/"&amp;Tableau3[[#This Row],[ID-VOIE]]</f>
        <v>SDI1602/9</v>
      </c>
      <c r="AM307" s="73" t="str">
        <f>INDEX(Tableau2[Borne],MATCH(Tableau3[[#This Row],[ID-CARTEVOIE]],Tableau2[ID-CARTEVOIE],0))&amp;""</f>
        <v>4A</v>
      </c>
      <c r="AN307" s="74" t="str">
        <f>Tableau3[[#This Row],[ID-API]]&amp;Tableau3[[#This Row],[ID-RACK]]&amp;Tableau3[[#This Row],[ID-SLOT]]&amp;Tableau3[[#This Row],[BORNE]]</f>
        <v>2234A</v>
      </c>
      <c r="AO307" s="1"/>
    </row>
    <row r="308" spans="1:41" ht="20.100000000000001" customHeight="1" thickTop="1" thickBot="1">
      <c r="A308" s="68"/>
      <c r="B308" s="69" t="str">
        <f>IFERROR(INDEX(Tableau4[Date],MATCH($A308,Tableau4[EVO],0)),"")</f>
        <v/>
      </c>
      <c r="C308" s="68" t="str">
        <f>IFERROR(INDEX(Tableau4[Designation],MATCH($A308,Tableau4[EVO],0)),"")</f>
        <v/>
      </c>
      <c r="D308" s="68"/>
      <c r="E308" s="70">
        <v>87</v>
      </c>
      <c r="F308" s="71">
        <v>312</v>
      </c>
      <c r="G308" s="101" t="str">
        <f>INDEX(Tableau8[Att1],MATCH(Tableau3[[#This Row],[ID-INS]],Tableau8[ID],0))&amp;""</f>
        <v>V1</v>
      </c>
      <c r="H308" s="101" t="str">
        <f>INDEX(Tableau8[Att2],MATCH(Tableau3[[#This Row],[ID-INS]],Tableau8[ID],0))&amp;""</f>
        <v>F9</v>
      </c>
      <c r="I308" s="101" t="str">
        <f>INDEX(Tableau8[Att3],MATCH(Tableau3[[#This Row],[ID-INS]],Tableau8[ID],0))&amp;""</f>
        <v>Feu F9</v>
      </c>
      <c r="J308" s="101"/>
      <c r="K308" s="167" t="str">
        <f>INDEX(Tableau8[Nom du modele],MATCH(Tableau3[[#This Row],[ID-INS]],Tableau8[ID],0))&amp;""</f>
        <v>FeuBiCora</v>
      </c>
      <c r="L308" s="99" t="str">
        <f>INDEX(Tableau5[Att1],MATCH(Tableau3[[#This Row],[ID-SIG]],Tableau5[ID],0))&amp;""</f>
        <v>FeuR_RM</v>
      </c>
      <c r="M308" s="99" t="str">
        <f>INDEX(Tableau5[Att2],MATCH(Tableau3[[#This Row],[ID-SIG]],Tableau5[ID],0))&amp;""</f>
        <v/>
      </c>
      <c r="N308" s="99" t="str">
        <f>INDEX(Tableau5[Att3],MATCH(Tableau3[[#This Row],[ID-SIG]],Tableau5[ID],0))&amp;""</f>
        <v/>
      </c>
      <c r="O308" s="99"/>
      <c r="P308" s="99" t="str">
        <f>INDEX(Tableau5[Description],MATCH(Tableau3[[#This Row],[ID-SIG]],Tableau5[ID],0))</f>
        <v>Retour de marche Feu Rouge</v>
      </c>
      <c r="Q308" s="99"/>
      <c r="R308" s="103" t="str">
        <f>Tableau3[[#This Row],[Description]]</f>
        <v>Retour de marche Feu Rouge</v>
      </c>
      <c r="U308" s="87">
        <v>2</v>
      </c>
      <c r="V308" s="87">
        <v>2</v>
      </c>
      <c r="W308" s="87">
        <v>3</v>
      </c>
      <c r="X308" s="87">
        <v>10</v>
      </c>
      <c r="Y308" s="40"/>
      <c r="Z308" s="165" t="str">
        <f>INDEX(Tableau2[TS],MATCH(Tableau3[[#This Row],[ID-CARTEVOIE]],Tableau2[ID-CARTEVOIE],0))</f>
        <v>ET</v>
      </c>
      <c r="AA308" s="53" t="s">
        <v>213</v>
      </c>
      <c r="AB308" s="223" t="str">
        <f>IFERROR(INDEX(Tableau5[Reserve],MATCH(Tableau3[[#This Row],[ID-SIG]],Tableau5[ID],0))&amp;"","")</f>
        <v/>
      </c>
      <c r="AC308" s="21"/>
      <c r="AD308" s="108" t="str">
        <f>INDEX(Tableau7[Repere],MATCH(Tableau3[[#This Row],[ID-API]],Tableau7[ID-API],0))&amp;""</f>
        <v>A2</v>
      </c>
      <c r="AE308" s="108" t="str">
        <f>INDEX(Tableau1[Repere-Rack],MATCH(Tableau3[[#This Row],[ID-RACK]],Tableau1[ID-RACK],0))&amp;""</f>
        <v>R2</v>
      </c>
      <c r="AF308" s="108" t="str">
        <f>INDEX(Tableau1[Repere-Slot],MATCH(Tableau3[[#This Row],[ID-SLOT]],Tableau1[ID-SLOT],0))&amp;""</f>
        <v>S3</v>
      </c>
      <c r="AG308" s="108" t="str">
        <f>INDEX(Tableau2[Repere-Voie],MATCH(Tableau3[[#This Row],[ID-VOIE]],Tableau2[ID-Voie],0))&amp;""</f>
        <v>v10</v>
      </c>
      <c r="AH308" s="72" t="str">
        <f>Tableau3[[#This Row],[ID-API]]&amp; "." &amp;Tableau3[[#This Row],[ID-RACK]]&amp; "." &amp;Tableau3[[#This Row],[ID-SLOT]]</f>
        <v>2.2.3</v>
      </c>
      <c r="AI308" s="72" t="str">
        <f>INDEX(Tableau1[Ref-Carte],MATCH(Tableau3[[#This Row],[ID-RRS]],Tableau1[ID-RRS],0))</f>
        <v>SDI1602</v>
      </c>
      <c r="AJ308" s="72" t="str">
        <f t="array" ref="AJ308">IFERROR(INDEX(Tableau2[TS],MATCH(1,(Tableau2[Ref-Carte]=Tableau3[[#This Row],[Ref-Carte2]])*(Tableau2[ID-Voie]=Tableau3[[#This Row],[ID-VOIE]]),0)),"")</f>
        <v>ET</v>
      </c>
      <c r="AK308" s="72" t="str">
        <f>IFERROR(INDEX(Tableau2[TS],SUMPRODUCT((Tableau2[Ref-Carte]=Tableau3[[#This Row],[Ref-Carte2]])*(Tableau2[ID-Voie]=Tableau3[[#This Row],[ID-VOIE]])*ROW(Tableau2[TS]))-ROW(Tableau2[#Headers])),"")</f>
        <v>ET</v>
      </c>
      <c r="AL308" s="72" t="str">
        <f>Tableau3[[#This Row],[Ref-Carte2]]&amp;"/"&amp;Tableau3[[#This Row],[ID-VOIE]]</f>
        <v>SDI1602/10</v>
      </c>
      <c r="AM308" s="73" t="str">
        <f>INDEX(Tableau2[Borne],MATCH(Tableau3[[#This Row],[ID-CARTEVOIE]],Tableau2[ID-CARTEVOIE],0))&amp;""</f>
        <v>5B</v>
      </c>
      <c r="AN308" s="74" t="str">
        <f>Tableau3[[#This Row],[ID-API]]&amp;Tableau3[[#This Row],[ID-RACK]]&amp;Tableau3[[#This Row],[ID-SLOT]]&amp;Tableau3[[#This Row],[BORNE]]</f>
        <v>2235B</v>
      </c>
      <c r="AO308" s="1"/>
    </row>
    <row r="309" spans="1:41" ht="20.100000000000001" customHeight="1" thickTop="1" thickBot="1">
      <c r="A309" s="134"/>
      <c r="B309" s="135" t="str">
        <f>IFERROR(INDEX(Tableau4[Date],MATCH($A309,Tableau4[EVO],0)),"")</f>
        <v/>
      </c>
      <c r="C309" s="136" t="str">
        <f>IFERROR(INDEX(Tableau4[Designation],MATCH($A309,Tableau4[EVO],0)),"")</f>
        <v/>
      </c>
      <c r="D309" s="134"/>
      <c r="E309" s="137">
        <v>90</v>
      </c>
      <c r="F309" s="138">
        <v>311</v>
      </c>
      <c r="G309" s="139" t="str">
        <f>INDEX(Tableau8[Att1],MATCH(Tableau3[[#This Row],[ID-INS]],Tableau8[ID],0))&amp;""</f>
        <v>V1</v>
      </c>
      <c r="H309" s="139" t="str">
        <f>INDEX(Tableau8[Att2],MATCH(Tableau3[[#This Row],[ID-INS]],Tableau8[ID],0))&amp;""</f>
        <v>F17</v>
      </c>
      <c r="I309" s="139" t="str">
        <f>INDEX(Tableau8[Att3],MATCH(Tableau3[[#This Row],[ID-INS]],Tableau8[ID],0))&amp;""</f>
        <v>Feu F17</v>
      </c>
      <c r="J309" s="101"/>
      <c r="K309" s="167" t="str">
        <f>INDEX(Tableau8[Nom du modele],MATCH(Tableau3[[#This Row],[ID-INS]],Tableau8[ID],0))&amp;""</f>
        <v>FeuBiCora</v>
      </c>
      <c r="L309" s="141" t="str">
        <f>INDEX(Tableau5[Att1],MATCH(Tableau3[[#This Row],[ID-SIG]],Tableau5[ID],0))&amp;""</f>
        <v>FeuO_RM</v>
      </c>
      <c r="M309" s="141" t="str">
        <f>INDEX(Tableau5[Att2],MATCH(Tableau3[[#This Row],[ID-SIG]],Tableau5[ID],0))&amp;""</f>
        <v/>
      </c>
      <c r="N309" s="141" t="str">
        <f>INDEX(Tableau5[Att3],MATCH(Tableau3[[#This Row],[ID-SIG]],Tableau5[ID],0))&amp;""</f>
        <v/>
      </c>
      <c r="O309" s="99"/>
      <c r="P309" s="141" t="s">
        <v>748</v>
      </c>
      <c r="Q309" s="99"/>
      <c r="R309" s="142" t="str">
        <f>Tableau3[[#This Row],[Description]]</f>
        <v>Synthèse Alarme ouverture Baies C/C Cellule V3</v>
      </c>
      <c r="U309" s="87">
        <v>2</v>
      </c>
      <c r="V309" s="87">
        <v>2</v>
      </c>
      <c r="W309" s="87">
        <v>3</v>
      </c>
      <c r="X309" s="87">
        <v>11</v>
      </c>
      <c r="Y309" s="40"/>
      <c r="Z309" s="165" t="str">
        <f>INDEX(Tableau2[TS],MATCH(Tableau3[[#This Row],[ID-CARTEVOIE]],Tableau2[ID-CARTEVOIE],0))</f>
        <v>ET</v>
      </c>
      <c r="AA309" s="144" t="s">
        <v>213</v>
      </c>
      <c r="AB309" s="224" t="str">
        <f>IFERROR(INDEX(Tableau5[Reserve],MATCH(Tableau3[[#This Row],[ID-SIG]],Tableau5[ID],0))&amp;"","")</f>
        <v/>
      </c>
      <c r="AC309" s="119"/>
      <c r="AD309" s="120" t="str">
        <f>INDEX(Tableau7[Repere],MATCH(Tableau3[[#This Row],[ID-API]],Tableau7[ID-API],0))&amp;""</f>
        <v>A2</v>
      </c>
      <c r="AE309" s="120" t="str">
        <f>INDEX(Tableau1[Repere-Rack],MATCH(Tableau3[[#This Row],[ID-RACK]],Tableau1[ID-RACK],0))&amp;""</f>
        <v>R2</v>
      </c>
      <c r="AF309" s="120" t="str">
        <f>INDEX(Tableau1[Repere-Slot],MATCH(Tableau3[[#This Row],[ID-SLOT]],Tableau1[ID-SLOT],0))&amp;""</f>
        <v>S3</v>
      </c>
      <c r="AG309" s="120" t="str">
        <f>INDEX(Tableau2[Repere-Voie],MATCH(Tableau3[[#This Row],[ID-VOIE]],Tableau2[ID-Voie],0))&amp;""</f>
        <v>v11</v>
      </c>
      <c r="AH309" s="122" t="str">
        <f>Tableau3[[#This Row],[ID-API]]&amp; "." &amp;Tableau3[[#This Row],[ID-RACK]]&amp; "." &amp;Tableau3[[#This Row],[ID-SLOT]]</f>
        <v>2.2.3</v>
      </c>
      <c r="AI309" s="72" t="str">
        <f>INDEX(Tableau1[Ref-Carte],MATCH(Tableau3[[#This Row],[ID-RRS]],Tableau1[ID-RRS],0))</f>
        <v>SDI1602</v>
      </c>
      <c r="AJ309" s="72" t="str">
        <f t="array" ref="AJ309">IFERROR(INDEX(Tableau2[TS],MATCH(1,(Tableau2[Ref-Carte]=Tableau3[[#This Row],[Ref-Carte2]])*(Tableau2[ID-Voie]=Tableau3[[#This Row],[ID-VOIE]]),0)),"")</f>
        <v>ET</v>
      </c>
      <c r="AK309" s="72" t="str">
        <f>IFERROR(INDEX(Tableau2[TS],SUMPRODUCT((Tableau2[Ref-Carte]=Tableau3[[#This Row],[Ref-Carte2]])*(Tableau2[ID-Voie]=Tableau3[[#This Row],[ID-VOIE]])*ROW(Tableau2[TS]))-ROW(Tableau2[#Headers])),"")</f>
        <v>ET</v>
      </c>
      <c r="AL309" s="122" t="str">
        <f>Tableau3[[#This Row],[Ref-Carte2]]&amp;"/"&amp;Tableau3[[#This Row],[ID-VOIE]]</f>
        <v>SDI1602/11</v>
      </c>
      <c r="AM309" s="145" t="str">
        <f>INDEX(Tableau2[Borne],MATCH(Tableau3[[#This Row],[ID-CARTEVOIE]],Tableau2[ID-CARTEVOIE],0))&amp;""</f>
        <v>5A</v>
      </c>
      <c r="AN309" s="124" t="str">
        <f>Tableau3[[#This Row],[ID-API]]&amp;Tableau3[[#This Row],[ID-RACK]]&amp;Tableau3[[#This Row],[ID-SLOT]]&amp;Tableau3[[#This Row],[BORNE]]</f>
        <v>2235A</v>
      </c>
      <c r="AO309" s="125"/>
    </row>
    <row r="310" spans="1:41" ht="20.100000000000001" customHeight="1" thickTop="1" thickBot="1">
      <c r="A310" s="68"/>
      <c r="B310" s="69" t="str">
        <f>IFERROR(INDEX(Tableau4[Date],MATCH($A310,Tableau4[EVO],0)),"")</f>
        <v/>
      </c>
      <c r="C310" s="68" t="str">
        <f>IFERROR(INDEX(Tableau4[Designation],MATCH($A310,Tableau4[EVO],0)),"")</f>
        <v/>
      </c>
      <c r="D310" s="68"/>
      <c r="E310" s="70">
        <v>90</v>
      </c>
      <c r="F310" s="71">
        <v>312</v>
      </c>
      <c r="G310" s="101" t="str">
        <f>INDEX(Tableau8[Att1],MATCH(Tableau3[[#This Row],[ID-INS]],Tableau8[ID],0))&amp;""</f>
        <v>V1</v>
      </c>
      <c r="H310" s="101" t="str">
        <f>INDEX(Tableau8[Att2],MATCH(Tableau3[[#This Row],[ID-INS]],Tableau8[ID],0))&amp;""</f>
        <v>F17</v>
      </c>
      <c r="I310" s="101" t="str">
        <f>INDEX(Tableau8[Att3],MATCH(Tableau3[[#This Row],[ID-INS]],Tableau8[ID],0))&amp;""</f>
        <v>Feu F17</v>
      </c>
      <c r="J310" s="101"/>
      <c r="K310" s="167" t="str">
        <f>INDEX(Tableau8[Nom du modele],MATCH(Tableau3[[#This Row],[ID-INS]],Tableau8[ID],0))&amp;""</f>
        <v>FeuBiCora</v>
      </c>
      <c r="L310" s="99" t="str">
        <f>INDEX(Tableau5[Att1],MATCH(Tableau3[[#This Row],[ID-SIG]],Tableau5[ID],0))&amp;""</f>
        <v>FeuR_RM</v>
      </c>
      <c r="M310" s="99" t="str">
        <f>INDEX(Tableau5[Att2],MATCH(Tableau3[[#This Row],[ID-SIG]],Tableau5[ID],0))&amp;""</f>
        <v/>
      </c>
      <c r="N310" s="99" t="str">
        <f>INDEX(Tableau5[Att3],MATCH(Tableau3[[#This Row],[ID-SIG]],Tableau5[ID],0))&amp;""</f>
        <v/>
      </c>
      <c r="O310" s="99"/>
      <c r="P310" s="99" t="str">
        <f>INDEX(Tableau5[Description],MATCH(Tableau3[[#This Row],[ID-SIG]],Tableau5[ID],0))</f>
        <v>Retour de marche Feu Rouge</v>
      </c>
      <c r="Q310" s="99"/>
      <c r="R310" s="103" t="str">
        <f>Tableau3[[#This Row],[Description]]</f>
        <v>Retour de marche Feu Rouge</v>
      </c>
      <c r="U310" s="87">
        <v>2</v>
      </c>
      <c r="V310" s="87">
        <v>2</v>
      </c>
      <c r="W310" s="87">
        <v>3</v>
      </c>
      <c r="X310" s="87">
        <v>12</v>
      </c>
      <c r="Y310" s="40"/>
      <c r="Z310" s="165" t="str">
        <f>INDEX(Tableau2[TS],MATCH(Tableau3[[#This Row],[ID-CARTEVOIE]],Tableau2[ID-CARTEVOIE],0))</f>
        <v>ET</v>
      </c>
      <c r="AA310" s="53" t="s">
        <v>213</v>
      </c>
      <c r="AB310" s="223" t="str">
        <f>IFERROR(INDEX(Tableau5[Reserve],MATCH(Tableau3[[#This Row],[ID-SIG]],Tableau5[ID],0))&amp;"","")</f>
        <v/>
      </c>
      <c r="AC310" s="21"/>
      <c r="AD310" s="108" t="str">
        <f>INDEX(Tableau7[Repere],MATCH(Tableau3[[#This Row],[ID-API]],Tableau7[ID-API],0))&amp;""</f>
        <v>A2</v>
      </c>
      <c r="AE310" s="108" t="str">
        <f>INDEX(Tableau1[Repere-Rack],MATCH(Tableau3[[#This Row],[ID-RACK]],Tableau1[ID-RACK],0))&amp;""</f>
        <v>R2</v>
      </c>
      <c r="AF310" s="108" t="str">
        <f>INDEX(Tableau1[Repere-Slot],MATCH(Tableau3[[#This Row],[ID-SLOT]],Tableau1[ID-SLOT],0))&amp;""</f>
        <v>S3</v>
      </c>
      <c r="AG310" s="108" t="str">
        <f>INDEX(Tableau2[Repere-Voie],MATCH(Tableau3[[#This Row],[ID-VOIE]],Tableau2[ID-Voie],0))&amp;""</f>
        <v>v12</v>
      </c>
      <c r="AH310" s="72" t="str">
        <f>Tableau3[[#This Row],[ID-API]]&amp; "." &amp;Tableau3[[#This Row],[ID-RACK]]&amp; "." &amp;Tableau3[[#This Row],[ID-SLOT]]</f>
        <v>2.2.3</v>
      </c>
      <c r="AI310" s="72" t="str">
        <f>INDEX(Tableau1[Ref-Carte],MATCH(Tableau3[[#This Row],[ID-RRS]],Tableau1[ID-RRS],0))</f>
        <v>SDI1602</v>
      </c>
      <c r="AJ310" s="72" t="str">
        <f t="array" ref="AJ310">IFERROR(INDEX(Tableau2[TS],MATCH(1,(Tableau2[Ref-Carte]=Tableau3[[#This Row],[Ref-Carte2]])*(Tableau2[ID-Voie]=Tableau3[[#This Row],[ID-VOIE]]),0)),"")</f>
        <v>ET</v>
      </c>
      <c r="AK310" s="72" t="str">
        <f>IFERROR(INDEX(Tableau2[TS],SUMPRODUCT((Tableau2[Ref-Carte]=Tableau3[[#This Row],[Ref-Carte2]])*(Tableau2[ID-Voie]=Tableau3[[#This Row],[ID-VOIE]])*ROW(Tableau2[TS]))-ROW(Tableau2[#Headers])),"")</f>
        <v>ET</v>
      </c>
      <c r="AL310" s="72" t="str">
        <f>Tableau3[[#This Row],[Ref-Carte2]]&amp;"/"&amp;Tableau3[[#This Row],[ID-VOIE]]</f>
        <v>SDI1602/12</v>
      </c>
      <c r="AM310" s="73" t="str">
        <f>INDEX(Tableau2[Borne],MATCH(Tableau3[[#This Row],[ID-CARTEVOIE]],Tableau2[ID-CARTEVOIE],0))&amp;""</f>
        <v>6B</v>
      </c>
      <c r="AN310" s="74" t="str">
        <f>Tableau3[[#This Row],[ID-API]]&amp;Tableau3[[#This Row],[ID-RACK]]&amp;Tableau3[[#This Row],[ID-SLOT]]&amp;Tableau3[[#This Row],[BORNE]]</f>
        <v>2236B</v>
      </c>
      <c r="AO310" s="1"/>
    </row>
    <row r="311" spans="1:41" ht="20.100000000000001" customHeight="1" thickTop="1" thickBot="1">
      <c r="A311" s="68"/>
      <c r="B311" s="69" t="str">
        <f>IFERROR(INDEX(Tableau4[Date],MATCH($A311,Tableau4[EVO],0)),"")</f>
        <v/>
      </c>
      <c r="C311" s="68" t="str">
        <f>IFERROR(INDEX(Tableau4[Designation],MATCH($A311,Tableau4[EVO],0)),"")</f>
        <v/>
      </c>
      <c r="D311" s="68"/>
      <c r="E311" s="70">
        <v>96</v>
      </c>
      <c r="F311" s="71">
        <v>319</v>
      </c>
      <c r="G311" s="101" t="str">
        <f>INDEX(Tableau8[Att1],MATCH(Tableau3[[#This Row],[ID-INS]],Tableau8[ID],0))&amp;""</f>
        <v>V1</v>
      </c>
      <c r="H311" s="101" t="str">
        <f>INDEX(Tableau8[Att2],MATCH(Tableau3[[#This Row],[ID-INS]],Tableau8[ID],0))&amp;""</f>
        <v>F16</v>
      </c>
      <c r="I311" s="101" t="str">
        <f>INDEX(Tableau8[Att3],MATCH(Tableau3[[#This Row],[ID-INS]],Tableau8[ID],0))&amp;""</f>
        <v>Feu F16</v>
      </c>
      <c r="J311" s="101"/>
      <c r="K311" s="167" t="str">
        <f>INDEX(Tableau8[Nom du modele],MATCH(Tableau3[[#This Row],[ID-INS]],Tableau8[ID],0))&amp;""</f>
        <v>FeuContrAleaVLPL1</v>
      </c>
      <c r="L311" s="155" t="s">
        <v>1685</v>
      </c>
      <c r="M311" s="99" t="str">
        <f>INDEX(Tableau5[Att2],MATCH(Tableau3[[#This Row],[ID-SIG]],Tableau5[ID],0))&amp;""</f>
        <v/>
      </c>
      <c r="N311" s="99" t="str">
        <f>INDEX(Tableau5[Att3],MATCH(Tableau3[[#This Row],[ID-SIG]],Tableau5[ID],0))&amp;""</f>
        <v/>
      </c>
      <c r="O311" s="99"/>
      <c r="P311" s="99" t="str">
        <f>INDEX(Tableau5[Description],MATCH(Tableau3[[#This Row],[ID-SIG]],Tableau5[ID],0))</f>
        <v>Réserve</v>
      </c>
      <c r="Q311" s="99"/>
      <c r="R311" s="103" t="s">
        <v>1753</v>
      </c>
      <c r="U311" s="87">
        <v>2</v>
      </c>
      <c r="V311" s="87">
        <v>2</v>
      </c>
      <c r="W311" s="87">
        <v>3</v>
      </c>
      <c r="X311" s="87">
        <v>13</v>
      </c>
      <c r="Y311" s="40"/>
      <c r="Z311" s="165" t="str">
        <f>INDEX(Tableau2[TS],MATCH(Tableau3[[#This Row],[ID-CARTEVOIE]],Tableau2[ID-CARTEVOIE],0))</f>
        <v>ET</v>
      </c>
      <c r="AA311" s="53" t="s">
        <v>213</v>
      </c>
      <c r="AB311" s="223" t="str">
        <f>IFERROR(INDEX(Tableau5[Reserve],MATCH(Tableau3[[#This Row],[ID-SIG]],Tableau5[ID],0))&amp;"","")</f>
        <v/>
      </c>
      <c r="AC311" s="21"/>
      <c r="AD311" s="108" t="str">
        <f>INDEX(Tableau7[Repere],MATCH(Tableau3[[#This Row],[ID-API]],Tableau7[ID-API],0))&amp;""</f>
        <v>A2</v>
      </c>
      <c r="AE311" s="108" t="str">
        <f>INDEX(Tableau1[Repere-Rack],MATCH(Tableau3[[#This Row],[ID-RACK]],Tableau1[ID-RACK],0))&amp;""</f>
        <v>R2</v>
      </c>
      <c r="AF311" s="108" t="str">
        <f>INDEX(Tableau1[Repere-Slot],MATCH(Tableau3[[#This Row],[ID-SLOT]],Tableau1[ID-SLOT],0))&amp;""</f>
        <v>S3</v>
      </c>
      <c r="AG311" s="108" t="str">
        <f>INDEX(Tableau2[Repere-Voie],MATCH(Tableau3[[#This Row],[ID-VOIE]],Tableau2[ID-Voie],0))&amp;""</f>
        <v>v13</v>
      </c>
      <c r="AH311" s="72" t="str">
        <f>Tableau3[[#This Row],[ID-API]]&amp; "." &amp;Tableau3[[#This Row],[ID-RACK]]&amp; "." &amp;Tableau3[[#This Row],[ID-SLOT]]</f>
        <v>2.2.3</v>
      </c>
      <c r="AI311" s="72" t="str">
        <f>INDEX(Tableau1[Ref-Carte],MATCH(Tableau3[[#This Row],[ID-RRS]],Tableau1[ID-RRS],0))</f>
        <v>SDI1602</v>
      </c>
      <c r="AJ311" s="72" t="str">
        <f t="array" ref="AJ311">IFERROR(INDEX(Tableau2[TS],MATCH(1,(Tableau2[Ref-Carte]=Tableau3[[#This Row],[Ref-Carte2]])*(Tableau2[ID-Voie]=Tableau3[[#This Row],[ID-VOIE]]),0)),"")</f>
        <v>ET</v>
      </c>
      <c r="AK311" s="72" t="str">
        <f>IFERROR(INDEX(Tableau2[TS],SUMPRODUCT((Tableau2[Ref-Carte]=Tableau3[[#This Row],[Ref-Carte2]])*(Tableau2[ID-Voie]=Tableau3[[#This Row],[ID-VOIE]])*ROW(Tableau2[TS]))-ROW(Tableau2[#Headers])),"")</f>
        <v>ET</v>
      </c>
      <c r="AL311" s="72" t="str">
        <f>Tableau3[[#This Row],[Ref-Carte2]]&amp;"/"&amp;Tableau3[[#This Row],[ID-VOIE]]</f>
        <v>SDI1602/13</v>
      </c>
      <c r="AM311" s="73" t="str">
        <f>INDEX(Tableau2[Borne],MATCH(Tableau3[[#This Row],[ID-CARTEVOIE]],Tableau2[ID-CARTEVOIE],0))&amp;""</f>
        <v>6A</v>
      </c>
      <c r="AN311" s="74" t="str">
        <f>Tableau3[[#This Row],[ID-API]]&amp;Tableau3[[#This Row],[ID-RACK]]&amp;Tableau3[[#This Row],[ID-SLOT]]&amp;Tableau3[[#This Row],[BORNE]]</f>
        <v>2236A</v>
      </c>
      <c r="AO311" s="1"/>
    </row>
    <row r="312" spans="1:41" ht="20.100000000000001" customHeight="1" thickTop="1" thickBot="1">
      <c r="A312" s="68"/>
      <c r="B312" s="69" t="str">
        <f>IFERROR(INDEX(Tableau4[Date],MATCH($A312,Tableau4[EVO],0)),"")</f>
        <v/>
      </c>
      <c r="C312" s="68" t="str">
        <f>IFERROR(INDEX(Tableau4[Designation],MATCH($A312,Tableau4[EVO],0)),"")</f>
        <v/>
      </c>
      <c r="D312" s="68"/>
      <c r="E312" s="70">
        <v>96</v>
      </c>
      <c r="F312" s="71">
        <v>320</v>
      </c>
      <c r="G312" s="101" t="str">
        <f>INDEX(Tableau8[Att1],MATCH(Tableau3[[#This Row],[ID-INS]],Tableau8[ID],0))&amp;""</f>
        <v>V1</v>
      </c>
      <c r="H312" s="101" t="str">
        <f>INDEX(Tableau8[Att2],MATCH(Tableau3[[#This Row],[ID-INS]],Tableau8[ID],0))&amp;""</f>
        <v>F16</v>
      </c>
      <c r="I312" s="101" t="str">
        <f>INDEX(Tableau8[Att3],MATCH(Tableau3[[#This Row],[ID-INS]],Tableau8[ID],0))&amp;""</f>
        <v>Feu F16</v>
      </c>
      <c r="J312" s="101"/>
      <c r="K312" s="167" t="str">
        <f>INDEX(Tableau8[Nom du modele],MATCH(Tableau3[[#This Row],[ID-INS]],Tableau8[ID],0))&amp;""</f>
        <v>FeuContrAleaVLPL1</v>
      </c>
      <c r="L312" s="155" t="s">
        <v>1681</v>
      </c>
      <c r="M312" s="99" t="str">
        <f>INDEX(Tableau5[Att2],MATCH(Tableau3[[#This Row],[ID-SIG]],Tableau5[ID],0))&amp;""</f>
        <v/>
      </c>
      <c r="N312" s="99" t="str">
        <f>INDEX(Tableau5[Att3],MATCH(Tableau3[[#This Row],[ID-SIG]],Tableau5[ID],0))&amp;""</f>
        <v/>
      </c>
      <c r="O312" s="99"/>
      <c r="P312" s="99" t="str">
        <f>INDEX(Tableau5[Description],MATCH(Tableau3[[#This Row],[ID-SIG]],Tableau5[ID],0))</f>
        <v>Réserve</v>
      </c>
      <c r="Q312" s="99"/>
      <c r="R312" s="103" t="s">
        <v>1753</v>
      </c>
      <c r="U312" s="87">
        <v>2</v>
      </c>
      <c r="V312" s="87">
        <v>2</v>
      </c>
      <c r="W312" s="87">
        <v>3</v>
      </c>
      <c r="X312" s="87">
        <v>14</v>
      </c>
      <c r="Y312" s="40"/>
      <c r="Z312" s="165" t="str">
        <f>INDEX(Tableau2[TS],MATCH(Tableau3[[#This Row],[ID-CARTEVOIE]],Tableau2[ID-CARTEVOIE],0))</f>
        <v>ET</v>
      </c>
      <c r="AA312" s="53" t="s">
        <v>213</v>
      </c>
      <c r="AB312" s="223" t="str">
        <f>IFERROR(INDEX(Tableau5[Reserve],MATCH(Tableau3[[#This Row],[ID-SIG]],Tableau5[ID],0))&amp;"","")</f>
        <v/>
      </c>
      <c r="AC312" s="21"/>
      <c r="AD312" s="108" t="str">
        <f>INDEX(Tableau7[Repere],MATCH(Tableau3[[#This Row],[ID-API]],Tableau7[ID-API],0))&amp;""</f>
        <v>A2</v>
      </c>
      <c r="AE312" s="108" t="str">
        <f>INDEX(Tableau1[Repere-Rack],MATCH(Tableau3[[#This Row],[ID-RACK]],Tableau1[ID-RACK],0))&amp;""</f>
        <v>R2</v>
      </c>
      <c r="AF312" s="108" t="str">
        <f>INDEX(Tableau1[Repere-Slot],MATCH(Tableau3[[#This Row],[ID-SLOT]],Tableau1[ID-SLOT],0))&amp;""</f>
        <v>S3</v>
      </c>
      <c r="AG312" s="108" t="str">
        <f>INDEX(Tableau2[Repere-Voie],MATCH(Tableau3[[#This Row],[ID-VOIE]],Tableau2[ID-Voie],0))&amp;""</f>
        <v>v14</v>
      </c>
      <c r="AH312" s="72" t="str">
        <f>Tableau3[[#This Row],[ID-API]]&amp; "." &amp;Tableau3[[#This Row],[ID-RACK]]&amp; "." &amp;Tableau3[[#This Row],[ID-SLOT]]</f>
        <v>2.2.3</v>
      </c>
      <c r="AI312" s="72" t="str">
        <f>INDEX(Tableau1[Ref-Carte],MATCH(Tableau3[[#This Row],[ID-RRS]],Tableau1[ID-RRS],0))</f>
        <v>SDI1602</v>
      </c>
      <c r="AJ312" s="72" t="str">
        <f t="array" ref="AJ312">IFERROR(INDEX(Tableau2[TS],MATCH(1,(Tableau2[Ref-Carte]=Tableau3[[#This Row],[Ref-Carte2]])*(Tableau2[ID-Voie]=Tableau3[[#This Row],[ID-VOIE]]),0)),"")</f>
        <v>ET</v>
      </c>
      <c r="AK312" s="72" t="str">
        <f>IFERROR(INDEX(Tableau2[TS],SUMPRODUCT((Tableau2[Ref-Carte]=Tableau3[[#This Row],[Ref-Carte2]])*(Tableau2[ID-Voie]=Tableau3[[#This Row],[ID-VOIE]])*ROW(Tableau2[TS]))-ROW(Tableau2[#Headers])),"")</f>
        <v>ET</v>
      </c>
      <c r="AL312" s="72" t="str">
        <f>Tableau3[[#This Row],[Ref-Carte2]]&amp;"/"&amp;Tableau3[[#This Row],[ID-VOIE]]</f>
        <v>SDI1602/14</v>
      </c>
      <c r="AM312" s="73" t="str">
        <f>INDEX(Tableau2[Borne],MATCH(Tableau3[[#This Row],[ID-CARTEVOIE]],Tableau2[ID-CARTEVOIE],0))&amp;""</f>
        <v>7B</v>
      </c>
      <c r="AN312" s="74" t="str">
        <f>Tableau3[[#This Row],[ID-API]]&amp;Tableau3[[#This Row],[ID-RACK]]&amp;Tableau3[[#This Row],[ID-SLOT]]&amp;Tableau3[[#This Row],[BORNE]]</f>
        <v>2237B</v>
      </c>
      <c r="AO312" s="1"/>
    </row>
    <row r="313" spans="1:41" ht="20.100000000000001" customHeight="1" thickTop="1" thickBot="1">
      <c r="A313" s="68"/>
      <c r="B313" s="69" t="str">
        <f>IFERROR(INDEX(Tableau4[Date],MATCH($A313,Tableau4[EVO],0)),"")</f>
        <v/>
      </c>
      <c r="C313" s="68" t="str">
        <f>IFERROR(INDEX(Tableau4[Designation],MATCH($A313,Tableau4[EVO],0)),"")</f>
        <v/>
      </c>
      <c r="D313" s="68"/>
      <c r="E313" s="70">
        <v>96</v>
      </c>
      <c r="F313" s="71">
        <v>321</v>
      </c>
      <c r="G313" s="101" t="str">
        <f>INDEX(Tableau8[Att1],MATCH(Tableau3[[#This Row],[ID-INS]],Tableau8[ID],0))&amp;""</f>
        <v>V1</v>
      </c>
      <c r="H313" s="101" t="str">
        <f>INDEX(Tableau8[Att2],MATCH(Tableau3[[#This Row],[ID-INS]],Tableau8[ID],0))&amp;""</f>
        <v>F16</v>
      </c>
      <c r="I313" s="101" t="str">
        <f>INDEX(Tableau8[Att3],MATCH(Tableau3[[#This Row],[ID-INS]],Tableau8[ID],0))&amp;""</f>
        <v>Feu F16</v>
      </c>
      <c r="J313" s="101"/>
      <c r="K313" s="167" t="str">
        <f>INDEX(Tableau8[Nom du modele],MATCH(Tableau3[[#This Row],[ID-INS]],Tableau8[ID],0))&amp;""</f>
        <v>FeuContrAleaVLPL1</v>
      </c>
      <c r="L313" s="155" t="s">
        <v>1752</v>
      </c>
      <c r="M313" s="99" t="str">
        <f>INDEX(Tableau5[Att2],MATCH(Tableau3[[#This Row],[ID-SIG]],Tableau5[ID],0))&amp;""</f>
        <v/>
      </c>
      <c r="N313" s="99" t="str">
        <f>INDEX(Tableau5[Att3],MATCH(Tableau3[[#This Row],[ID-SIG]],Tableau5[ID],0))&amp;""</f>
        <v/>
      </c>
      <c r="O313" s="99"/>
      <c r="P313" s="99" t="str">
        <f>INDEX(Tableau5[Description],MATCH(Tableau3[[#This Row],[ID-SIG]],Tableau5[ID],0))</f>
        <v>Réserve</v>
      </c>
      <c r="Q313" s="99"/>
      <c r="R313" s="103" t="s">
        <v>1753</v>
      </c>
      <c r="U313" s="87">
        <v>2</v>
      </c>
      <c r="V313" s="87">
        <v>2</v>
      </c>
      <c r="W313" s="87">
        <v>3</v>
      </c>
      <c r="X313" s="87">
        <v>15</v>
      </c>
      <c r="Y313" s="40"/>
      <c r="Z313" s="165" t="str">
        <f>INDEX(Tableau2[TS],MATCH(Tableau3[[#This Row],[ID-CARTEVOIE]],Tableau2[ID-CARTEVOIE],0))</f>
        <v>ET</v>
      </c>
      <c r="AA313" s="53" t="s">
        <v>213</v>
      </c>
      <c r="AB313" s="223" t="str">
        <f>IFERROR(INDEX(Tableau5[Reserve],MATCH(Tableau3[[#This Row],[ID-SIG]],Tableau5[ID],0))&amp;"","")</f>
        <v/>
      </c>
      <c r="AC313" s="21"/>
      <c r="AD313" s="108" t="str">
        <f>INDEX(Tableau7[Repere],MATCH(Tableau3[[#This Row],[ID-API]],Tableau7[ID-API],0))&amp;""</f>
        <v>A2</v>
      </c>
      <c r="AE313" s="108" t="str">
        <f>INDEX(Tableau1[Repere-Rack],MATCH(Tableau3[[#This Row],[ID-RACK]],Tableau1[ID-RACK],0))&amp;""</f>
        <v>R2</v>
      </c>
      <c r="AF313" s="108" t="str">
        <f>INDEX(Tableau1[Repere-Slot],MATCH(Tableau3[[#This Row],[ID-SLOT]],Tableau1[ID-SLOT],0))&amp;""</f>
        <v>S3</v>
      </c>
      <c r="AG313" s="108" t="str">
        <f>INDEX(Tableau2[Repere-Voie],MATCH(Tableau3[[#This Row],[ID-VOIE]],Tableau2[ID-Voie],0))&amp;""</f>
        <v>v15</v>
      </c>
      <c r="AH313" s="72" t="str">
        <f>Tableau3[[#This Row],[ID-API]]&amp; "." &amp;Tableau3[[#This Row],[ID-RACK]]&amp; "." &amp;Tableau3[[#This Row],[ID-SLOT]]</f>
        <v>2.2.3</v>
      </c>
      <c r="AI313" s="72" t="str">
        <f>INDEX(Tableau1[Ref-Carte],MATCH(Tableau3[[#This Row],[ID-RRS]],Tableau1[ID-RRS],0))</f>
        <v>SDI1602</v>
      </c>
      <c r="AJ313" s="72" t="str">
        <f t="array" ref="AJ313">IFERROR(INDEX(Tableau2[TS],MATCH(1,(Tableau2[Ref-Carte]=Tableau3[[#This Row],[Ref-Carte2]])*(Tableau2[ID-Voie]=Tableau3[[#This Row],[ID-VOIE]]),0)),"")</f>
        <v>ET</v>
      </c>
      <c r="AK313" s="72" t="str">
        <f>IFERROR(INDEX(Tableau2[TS],SUMPRODUCT((Tableau2[Ref-Carte]=Tableau3[[#This Row],[Ref-Carte2]])*(Tableau2[ID-Voie]=Tableau3[[#This Row],[ID-VOIE]])*ROW(Tableau2[TS]))-ROW(Tableau2[#Headers])),"")</f>
        <v>ET</v>
      </c>
      <c r="AL313" s="72" t="str">
        <f>Tableau3[[#This Row],[Ref-Carte2]]&amp;"/"&amp;Tableau3[[#This Row],[ID-VOIE]]</f>
        <v>SDI1602/15</v>
      </c>
      <c r="AM313" s="73" t="str">
        <f>INDEX(Tableau2[Borne],MATCH(Tableau3[[#This Row],[ID-CARTEVOIE]],Tableau2[ID-CARTEVOIE],0))&amp;""</f>
        <v>7A</v>
      </c>
      <c r="AN313" s="74" t="str">
        <f>Tableau3[[#This Row],[ID-API]]&amp;Tableau3[[#This Row],[ID-RACK]]&amp;Tableau3[[#This Row],[ID-SLOT]]&amp;Tableau3[[#This Row],[BORNE]]</f>
        <v>2237A</v>
      </c>
      <c r="AO313" s="1"/>
    </row>
    <row r="314" spans="1:41" ht="20.100000000000001" customHeight="1" thickTop="1" thickBot="1">
      <c r="A314" s="68"/>
      <c r="B314" s="69" t="str">
        <f>IFERROR(INDEX(Tableau4[Date],MATCH($A314,Tableau4[EVO],0)),"")</f>
        <v/>
      </c>
      <c r="C314" s="68" t="str">
        <f>IFERROR(INDEX(Tableau4[Designation],MATCH($A314,Tableau4[EVO],0)),"")</f>
        <v/>
      </c>
      <c r="D314" s="68"/>
      <c r="E314" s="70">
        <v>97</v>
      </c>
      <c r="F314" s="71">
        <v>308</v>
      </c>
      <c r="G314" s="101" t="str">
        <f>INDEX(Tableau8[Att1],MATCH(Tableau3[[#This Row],[ID-INS]],Tableau8[ID],0))&amp;""</f>
        <v>V1</v>
      </c>
      <c r="H314" s="101" t="str">
        <f>INDEX(Tableau8[Att2],MATCH(Tableau3[[#This Row],[ID-INS]],Tableau8[ID],0))&amp;""</f>
        <v>F22</v>
      </c>
      <c r="I314" s="101" t="str">
        <f>INDEX(Tableau8[Att3],MATCH(Tableau3[[#This Row],[ID-INS]],Tableau8[ID],0))&amp;""</f>
        <v>Feu F22</v>
      </c>
      <c r="J314" s="101"/>
      <c r="K314" s="167" t="str">
        <f>INDEX(Tableau8[Nom du modele],MATCH(Tableau3[[#This Row],[ID-INS]],Tableau8[ID],0))&amp;""</f>
        <v>FeuOuvV</v>
      </c>
      <c r="L314" s="99" t="str">
        <f>INDEX(Tableau5[Att1],MATCH(Tableau3[[#This Row],[ID-SIG]],Tableau5[ID],0))&amp;""</f>
        <v>Feu_RM</v>
      </c>
      <c r="M314" s="99" t="str">
        <f>INDEX(Tableau5[Att2],MATCH(Tableau3[[#This Row],[ID-SIG]],Tableau5[ID],0))&amp;""</f>
        <v/>
      </c>
      <c r="N314" s="99" t="str">
        <f>INDEX(Tableau5[Att3],MATCH(Tableau3[[#This Row],[ID-SIG]],Tableau5[ID],0))&amp;""</f>
        <v/>
      </c>
      <c r="O314" s="99"/>
      <c r="P314" s="99" t="str">
        <f>INDEX(Tableau5[Description],MATCH(Tableau3[[#This Row],[ID-SIG]],Tableau5[ID],0))</f>
        <v>Retour de marche Feu</v>
      </c>
      <c r="Q314" s="99"/>
      <c r="R314" s="103" t="str">
        <f>Tableau3[[#This Row],[Description]]</f>
        <v>Retour de marche Feu</v>
      </c>
      <c r="U314" s="87">
        <v>2</v>
      </c>
      <c r="V314" s="87">
        <v>2</v>
      </c>
      <c r="W314" s="87">
        <v>4</v>
      </c>
      <c r="X314" s="87">
        <v>0</v>
      </c>
      <c r="Y314" s="40"/>
      <c r="Z314" s="165" t="str">
        <f>INDEX(Tableau2[TS],MATCH(Tableau3[[#This Row],[ID-CARTEVOIE]],Tableau2[ID-CARTEVOIE],0))</f>
        <v>ET</v>
      </c>
      <c r="AA314" s="53" t="s">
        <v>213</v>
      </c>
      <c r="AB314" s="223" t="str">
        <f>IFERROR(INDEX(Tableau5[Reserve],MATCH(Tableau3[[#This Row],[ID-SIG]],Tableau5[ID],0))&amp;"","")</f>
        <v/>
      </c>
      <c r="AC314" s="21"/>
      <c r="AD314" s="108" t="str">
        <f>INDEX(Tableau7[Repere],MATCH(Tableau3[[#This Row],[ID-API]],Tableau7[ID-API],0))&amp;""</f>
        <v>A2</v>
      </c>
      <c r="AE314" s="108" t="str">
        <f>INDEX(Tableau1[Repere-Rack],MATCH(Tableau3[[#This Row],[ID-RACK]],Tableau1[ID-RACK],0))&amp;""</f>
        <v>R2</v>
      </c>
      <c r="AF314" s="108" t="str">
        <f>INDEX(Tableau1[Repere-Slot],MATCH(Tableau3[[#This Row],[ID-SLOT]],Tableau1[ID-SLOT],0))&amp;""</f>
        <v>S4</v>
      </c>
      <c r="AG314" s="108" t="str">
        <f>INDEX(Tableau2[Repere-Voie],MATCH(Tableau3[[#This Row],[ID-VOIE]],Tableau2[ID-Voie],0))&amp;""</f>
        <v>v0</v>
      </c>
      <c r="AH314" s="72" t="str">
        <f>Tableau3[[#This Row],[ID-API]]&amp; "." &amp;Tableau3[[#This Row],[ID-RACK]]&amp; "." &amp;Tableau3[[#This Row],[ID-SLOT]]</f>
        <v>2.2.4</v>
      </c>
      <c r="AI314" s="72" t="str">
        <f>INDEX(Tableau1[Ref-Carte],MATCH(Tableau3[[#This Row],[ID-RRS]],Tableau1[ID-RRS],0))</f>
        <v>SDI1602</v>
      </c>
      <c r="AJ314" s="72" t="str">
        <f t="array" ref="AJ314">IFERROR(INDEX(Tableau2[TS],MATCH(1,(Tableau2[Ref-Carte]=Tableau3[[#This Row],[Ref-Carte2]])*(Tableau2[ID-Voie]=Tableau3[[#This Row],[ID-VOIE]]),0)),"")</f>
        <v>ET</v>
      </c>
      <c r="AK314" s="72" t="str">
        <f>IFERROR(INDEX(Tableau2[TS],SUMPRODUCT((Tableau2[Ref-Carte]=Tableau3[[#This Row],[Ref-Carte2]])*(Tableau2[ID-Voie]=Tableau3[[#This Row],[ID-VOIE]])*ROW(Tableau2[TS]))-ROW(Tableau2[#Headers])),"")</f>
        <v>ET</v>
      </c>
      <c r="AL314" s="72" t="str">
        <f>Tableau3[[#This Row],[Ref-Carte2]]&amp;"/"&amp;Tableau3[[#This Row],[ID-VOIE]]</f>
        <v>SDI1602/0</v>
      </c>
      <c r="AM314" s="73" t="str">
        <f>INDEX(Tableau2[Borne],MATCH(Tableau3[[#This Row],[ID-CARTEVOIE]],Tableau2[ID-CARTEVOIE],0))&amp;""</f>
        <v>0B</v>
      </c>
      <c r="AN314" s="74" t="str">
        <f>Tableau3[[#This Row],[ID-API]]&amp;Tableau3[[#This Row],[ID-RACK]]&amp;Tableau3[[#This Row],[ID-SLOT]]&amp;Tableau3[[#This Row],[BORNE]]</f>
        <v>2240B</v>
      </c>
      <c r="AO314" s="1"/>
    </row>
    <row r="315" spans="1:41" ht="20.100000000000001" customHeight="1" thickTop="1" thickBot="1">
      <c r="A315" s="68"/>
      <c r="B315" s="69" t="str">
        <f>IFERROR(INDEX(Tableau4[Date],MATCH($A315,Tableau4[EVO],0)),"")</f>
        <v/>
      </c>
      <c r="C315" s="68" t="str">
        <f>IFERROR(INDEX(Tableau4[Designation],MATCH($A315,Tableau4[EVO],0)),"")</f>
        <v/>
      </c>
      <c r="D315" s="68"/>
      <c r="E315" s="70">
        <v>100</v>
      </c>
      <c r="F315" s="71">
        <v>308</v>
      </c>
      <c r="G315" s="101" t="str">
        <f>INDEX(Tableau8[Att1],MATCH(Tableau3[[#This Row],[ID-INS]],Tableau8[ID],0))&amp;""</f>
        <v>V1</v>
      </c>
      <c r="H315" s="101" t="str">
        <f>INDEX(Tableau8[Att2],MATCH(Tableau3[[#This Row],[ID-INS]],Tableau8[ID],0))&amp;""</f>
        <v>F25</v>
      </c>
      <c r="I315" s="101" t="str">
        <f>INDEX(Tableau8[Att3],MATCH(Tableau3[[#This Row],[ID-INS]],Tableau8[ID],0))&amp;""</f>
        <v>Feu F25</v>
      </c>
      <c r="J315" s="101"/>
      <c r="K315" s="167" t="str">
        <f>INDEX(Tableau8[Nom du modele],MATCH(Tableau3[[#This Row],[ID-INS]],Tableau8[ID],0))&amp;""</f>
        <v>FeuOuvV</v>
      </c>
      <c r="L315" s="99" t="str">
        <f>INDEX(Tableau5[Att1],MATCH(Tableau3[[#This Row],[ID-SIG]],Tableau5[ID],0))&amp;""</f>
        <v>Feu_RM</v>
      </c>
      <c r="M315" s="99" t="str">
        <f>INDEX(Tableau5[Att2],MATCH(Tableau3[[#This Row],[ID-SIG]],Tableau5[ID],0))&amp;""</f>
        <v/>
      </c>
      <c r="N315" s="99" t="str">
        <f>INDEX(Tableau5[Att3],MATCH(Tableau3[[#This Row],[ID-SIG]],Tableau5[ID],0))&amp;""</f>
        <v/>
      </c>
      <c r="O315" s="99"/>
      <c r="P315" s="99" t="str">
        <f>INDEX(Tableau5[Description],MATCH(Tableau3[[#This Row],[ID-SIG]],Tableau5[ID],0))</f>
        <v>Retour de marche Feu</v>
      </c>
      <c r="Q315" s="99"/>
      <c r="R315" s="103" t="str">
        <f>Tableau3[[#This Row],[Description]]</f>
        <v>Retour de marche Feu</v>
      </c>
      <c r="U315" s="87">
        <v>2</v>
      </c>
      <c r="V315" s="87">
        <v>2</v>
      </c>
      <c r="W315" s="87">
        <v>4</v>
      </c>
      <c r="X315" s="87">
        <v>1</v>
      </c>
      <c r="Y315" s="40"/>
      <c r="Z315" s="165" t="str">
        <f>INDEX(Tableau2[TS],MATCH(Tableau3[[#This Row],[ID-CARTEVOIE]],Tableau2[ID-CARTEVOIE],0))</f>
        <v>ET</v>
      </c>
      <c r="AA315" s="53" t="s">
        <v>213</v>
      </c>
      <c r="AB315" s="223" t="str">
        <f>IFERROR(INDEX(Tableau5[Reserve],MATCH(Tableau3[[#This Row],[ID-SIG]],Tableau5[ID],0))&amp;"","")</f>
        <v/>
      </c>
      <c r="AC315" s="21"/>
      <c r="AD315" s="108" t="str">
        <f>INDEX(Tableau7[Repere],MATCH(Tableau3[[#This Row],[ID-API]],Tableau7[ID-API],0))&amp;""</f>
        <v>A2</v>
      </c>
      <c r="AE315" s="108" t="str">
        <f>INDEX(Tableau1[Repere-Rack],MATCH(Tableau3[[#This Row],[ID-RACK]],Tableau1[ID-RACK],0))&amp;""</f>
        <v>R2</v>
      </c>
      <c r="AF315" s="108" t="str">
        <f>INDEX(Tableau1[Repere-Slot],MATCH(Tableau3[[#This Row],[ID-SLOT]],Tableau1[ID-SLOT],0))&amp;""</f>
        <v>S4</v>
      </c>
      <c r="AG315" s="108" t="str">
        <f>INDEX(Tableau2[Repere-Voie],MATCH(Tableau3[[#This Row],[ID-VOIE]],Tableau2[ID-Voie],0))&amp;""</f>
        <v>v1</v>
      </c>
      <c r="AH315" s="72" t="str">
        <f>Tableau3[[#This Row],[ID-API]]&amp; "." &amp;Tableau3[[#This Row],[ID-RACK]]&amp; "." &amp;Tableau3[[#This Row],[ID-SLOT]]</f>
        <v>2.2.4</v>
      </c>
      <c r="AI315" s="72" t="str">
        <f>INDEX(Tableau1[Ref-Carte],MATCH(Tableau3[[#This Row],[ID-RRS]],Tableau1[ID-RRS],0))</f>
        <v>SDI1602</v>
      </c>
      <c r="AJ315" s="72" t="str">
        <f t="array" ref="AJ315">IFERROR(INDEX(Tableau2[TS],MATCH(1,(Tableau2[Ref-Carte]=Tableau3[[#This Row],[Ref-Carte2]])*(Tableau2[ID-Voie]=Tableau3[[#This Row],[ID-VOIE]]),0)),"")</f>
        <v>ET</v>
      </c>
      <c r="AK315" s="72" t="str">
        <f>IFERROR(INDEX(Tableau2[TS],SUMPRODUCT((Tableau2[Ref-Carte]=Tableau3[[#This Row],[Ref-Carte2]])*(Tableau2[ID-Voie]=Tableau3[[#This Row],[ID-VOIE]])*ROW(Tableau2[TS]))-ROW(Tableau2[#Headers])),"")</f>
        <v>ET</v>
      </c>
      <c r="AL315" s="72" t="str">
        <f>Tableau3[[#This Row],[Ref-Carte2]]&amp;"/"&amp;Tableau3[[#This Row],[ID-VOIE]]</f>
        <v>SDI1602/1</v>
      </c>
      <c r="AM315" s="73" t="str">
        <f>INDEX(Tableau2[Borne],MATCH(Tableau3[[#This Row],[ID-CARTEVOIE]],Tableau2[ID-CARTEVOIE],0))&amp;""</f>
        <v>0A</v>
      </c>
      <c r="AN315" s="74" t="str">
        <f>Tableau3[[#This Row],[ID-API]]&amp;Tableau3[[#This Row],[ID-RACK]]&amp;Tableau3[[#This Row],[ID-SLOT]]&amp;Tableau3[[#This Row],[BORNE]]</f>
        <v>2240A</v>
      </c>
      <c r="AO315" s="1"/>
    </row>
    <row r="316" spans="1:41" ht="20.100000000000001" customHeight="1" thickTop="1" thickBot="1">
      <c r="A316" s="68"/>
      <c r="B316" s="69" t="str">
        <f>IFERROR(INDEX(Tableau4[Date],MATCH($A316,Tableau4[EVO],0)),"")</f>
        <v/>
      </c>
      <c r="C316" s="68" t="str">
        <f>IFERROR(INDEX(Tableau4[Designation],MATCH($A316,Tableau4[EVO],0)),"")</f>
        <v/>
      </c>
      <c r="D316" s="68"/>
      <c r="E316" s="70">
        <v>103</v>
      </c>
      <c r="F316" s="71">
        <v>15</v>
      </c>
      <c r="G316" s="101" t="str">
        <f>INDEX(Tableau8[Att1],MATCH(Tableau3[[#This Row],[ID-INS]],Tableau8[ID],0))&amp;""</f>
        <v>V1</v>
      </c>
      <c r="H316" s="101" t="str">
        <f>INDEX(Tableau8[Att2],MATCH(Tableau3[[#This Row],[ID-INS]],Tableau8[ID],0))&amp;""</f>
        <v>UTLR1</v>
      </c>
      <c r="I316" s="101" t="str">
        <f>INDEX(Tableau8[Att3],MATCH(Tableau3[[#This Row],[ID-INS]],Tableau8[ID],0))&amp;""</f>
        <v>UTL rouge IDVL1/BH1</v>
      </c>
      <c r="J316" s="101"/>
      <c r="K316" s="167" t="str">
        <f>INDEX(Tableau8[Nom du modele],MATCH(Tableau3[[#This Row],[ID-INS]],Tableau8[ID],0))&amp;""</f>
        <v>UTL</v>
      </c>
      <c r="L316" s="99" t="str">
        <f>INDEX(Tableau5[Att1],MATCH(Tableau3[[#This Row],[ID-SIG]],Tableau5[ID],0))&amp;""</f>
        <v>DmdOuv</v>
      </c>
      <c r="M316" s="99" t="str">
        <f>INDEX(Tableau5[Att2],MATCH(Tableau3[[#This Row],[ID-SIG]],Tableau5[ID],0))&amp;""</f>
        <v/>
      </c>
      <c r="N316" s="99" t="str">
        <f>INDEX(Tableau5[Att3],MATCH(Tableau3[[#This Row],[ID-SIG]],Tableau5[ID],0))&amp;""</f>
        <v/>
      </c>
      <c r="O316" s="99"/>
      <c r="P316" s="99" t="str">
        <f>INDEX(Tableau5[Description],MATCH(Tableau3[[#This Row],[ID-SIG]],Tableau5[ID],0))</f>
        <v>Demande d'ouverture venant UTL</v>
      </c>
      <c r="Q316" s="99"/>
      <c r="R316" s="103" t="str">
        <f>Tableau3[[#This Row],[Description]]</f>
        <v>Demande d'ouverture venant UTL</v>
      </c>
      <c r="U316" s="87">
        <v>2</v>
      </c>
      <c r="V316" s="87">
        <v>2</v>
      </c>
      <c r="W316" s="87">
        <v>4</v>
      </c>
      <c r="X316" s="87">
        <v>2</v>
      </c>
      <c r="Y316" s="40"/>
      <c r="Z316" s="165" t="str">
        <f>INDEX(Tableau2[TS],MATCH(Tableau3[[#This Row],[ID-CARTEVOIE]],Tableau2[ID-CARTEVOIE],0))</f>
        <v>ET</v>
      </c>
      <c r="AA316" s="53" t="s">
        <v>213</v>
      </c>
      <c r="AB316" s="223" t="str">
        <f>IFERROR(INDEX(Tableau5[Reserve],MATCH(Tableau3[[#This Row],[ID-SIG]],Tableau5[ID],0))&amp;"","")</f>
        <v/>
      </c>
      <c r="AC316" s="21"/>
      <c r="AD316" s="108" t="str">
        <f>INDEX(Tableau7[Repere],MATCH(Tableau3[[#This Row],[ID-API]],Tableau7[ID-API],0))&amp;""</f>
        <v>A2</v>
      </c>
      <c r="AE316" s="108" t="str">
        <f>INDEX(Tableau1[Repere-Rack],MATCH(Tableau3[[#This Row],[ID-RACK]],Tableau1[ID-RACK],0))&amp;""</f>
        <v>R2</v>
      </c>
      <c r="AF316" s="108" t="str">
        <f>INDEX(Tableau1[Repere-Slot],MATCH(Tableau3[[#This Row],[ID-SLOT]],Tableau1[ID-SLOT],0))&amp;""</f>
        <v>S4</v>
      </c>
      <c r="AG316" s="108" t="str">
        <f>INDEX(Tableau2[Repere-Voie],MATCH(Tableau3[[#This Row],[ID-VOIE]],Tableau2[ID-Voie],0))&amp;""</f>
        <v>v2</v>
      </c>
      <c r="AH316" s="72" t="str">
        <f>Tableau3[[#This Row],[ID-API]]&amp; "." &amp;Tableau3[[#This Row],[ID-RACK]]&amp; "." &amp;Tableau3[[#This Row],[ID-SLOT]]</f>
        <v>2.2.4</v>
      </c>
      <c r="AI316" s="72" t="str">
        <f>INDEX(Tableau1[Ref-Carte],MATCH(Tableau3[[#This Row],[ID-RRS]],Tableau1[ID-RRS],0))</f>
        <v>SDI1602</v>
      </c>
      <c r="AJ316" s="72" t="str">
        <f t="array" ref="AJ316">IFERROR(INDEX(Tableau2[TS],MATCH(1,(Tableau2[Ref-Carte]=Tableau3[[#This Row],[Ref-Carte2]])*(Tableau2[ID-Voie]=Tableau3[[#This Row],[ID-VOIE]]),0)),"")</f>
        <v>ET</v>
      </c>
      <c r="AK316" s="72" t="str">
        <f>IFERROR(INDEX(Tableau2[TS],SUMPRODUCT((Tableau2[Ref-Carte]=Tableau3[[#This Row],[Ref-Carte2]])*(Tableau2[ID-Voie]=Tableau3[[#This Row],[ID-VOIE]])*ROW(Tableau2[TS]))-ROW(Tableau2[#Headers])),"")</f>
        <v>ET</v>
      </c>
      <c r="AL316" s="72" t="str">
        <f>Tableau3[[#This Row],[Ref-Carte2]]&amp;"/"&amp;Tableau3[[#This Row],[ID-VOIE]]</f>
        <v>SDI1602/2</v>
      </c>
      <c r="AM316" s="73" t="str">
        <f>INDEX(Tableau2[Borne],MATCH(Tableau3[[#This Row],[ID-CARTEVOIE]],Tableau2[ID-CARTEVOIE],0))&amp;""</f>
        <v>1B</v>
      </c>
      <c r="AN316" s="74" t="str">
        <f>Tableau3[[#This Row],[ID-API]]&amp;Tableau3[[#This Row],[ID-RACK]]&amp;Tableau3[[#This Row],[ID-SLOT]]&amp;Tableau3[[#This Row],[BORNE]]</f>
        <v>2241B</v>
      </c>
      <c r="AO316" s="1"/>
    </row>
    <row r="317" spans="1:41" ht="20.100000000000001" customHeight="1" thickTop="1" thickBot="1">
      <c r="A317" s="68"/>
      <c r="B317" s="69" t="str">
        <f>IFERROR(INDEX(Tableau4[Date],MATCH($A317,Tableau4[EVO],0)),"")</f>
        <v/>
      </c>
      <c r="C317" s="68" t="str">
        <f>IFERROR(INDEX(Tableau4[Designation],MATCH($A317,Tableau4[EVO],0)),"")</f>
        <v/>
      </c>
      <c r="D317" s="68"/>
      <c r="E317" s="70">
        <v>114</v>
      </c>
      <c r="F317" s="71">
        <v>15</v>
      </c>
      <c r="G317" s="101" t="str">
        <f>INDEX(Tableau8[Att1],MATCH(Tableau3[[#This Row],[ID-INS]],Tableau8[ID],0))&amp;""</f>
        <v>V1</v>
      </c>
      <c r="H317" s="101" t="str">
        <f>INDEX(Tableau8[Att2],MATCH(Tableau3[[#This Row],[ID-INS]],Tableau8[ID],0))&amp;""</f>
        <v>UTLB1</v>
      </c>
      <c r="I317" s="101" t="str">
        <f>INDEX(Tableau8[Att3],MATCH(Tableau3[[#This Row],[ID-INS]],Tableau8[ID],0))&amp;""</f>
        <v>UTL bleue AUTVL1/ IDVL5/BH6</v>
      </c>
      <c r="J317" s="101"/>
      <c r="K317" s="167" t="str">
        <f>INDEX(Tableau8[Nom du modele],MATCH(Tableau3[[#This Row],[ID-INS]],Tableau8[ID],0))&amp;""</f>
        <v>UTL</v>
      </c>
      <c r="L317" s="99" t="str">
        <f>INDEX(Tableau5[Att1],MATCH(Tableau3[[#This Row],[ID-SIG]],Tableau5[ID],0))&amp;""</f>
        <v>DmdOuv</v>
      </c>
      <c r="M317" s="99" t="str">
        <f>INDEX(Tableau5[Att2],MATCH(Tableau3[[#This Row],[ID-SIG]],Tableau5[ID],0))&amp;""</f>
        <v/>
      </c>
      <c r="N317" s="99" t="str">
        <f>INDEX(Tableau5[Att3],MATCH(Tableau3[[#This Row],[ID-SIG]],Tableau5[ID],0))&amp;""</f>
        <v/>
      </c>
      <c r="O317" s="99"/>
      <c r="P317" s="99" t="str">
        <f>INDEX(Tableau5[Description],MATCH(Tableau3[[#This Row],[ID-SIG]],Tableau5[ID],0))</f>
        <v>Demande d'ouverture venant UTL</v>
      </c>
      <c r="Q317" s="99"/>
      <c r="R317" s="103" t="str">
        <f>Tableau3[[#This Row],[Description]]</f>
        <v>Demande d'ouverture venant UTL</v>
      </c>
      <c r="U317" s="87">
        <v>2</v>
      </c>
      <c r="V317" s="87">
        <v>2</v>
      </c>
      <c r="W317" s="87">
        <v>4</v>
      </c>
      <c r="X317" s="87">
        <v>3</v>
      </c>
      <c r="Y317" s="40"/>
      <c r="Z317" s="165" t="str">
        <f>INDEX(Tableau2[TS],MATCH(Tableau3[[#This Row],[ID-CARTEVOIE]],Tableau2[ID-CARTEVOIE],0))</f>
        <v>ET</v>
      </c>
      <c r="AA317" s="53" t="s">
        <v>213</v>
      </c>
      <c r="AB317" s="223" t="str">
        <f>IFERROR(INDEX(Tableau5[Reserve],MATCH(Tableau3[[#This Row],[ID-SIG]],Tableau5[ID],0))&amp;"","")</f>
        <v/>
      </c>
      <c r="AC317" s="21"/>
      <c r="AD317" s="108" t="str">
        <f>INDEX(Tableau7[Repere],MATCH(Tableau3[[#This Row],[ID-API]],Tableau7[ID-API],0))&amp;""</f>
        <v>A2</v>
      </c>
      <c r="AE317" s="108" t="str">
        <f>INDEX(Tableau1[Repere-Rack],MATCH(Tableau3[[#This Row],[ID-RACK]],Tableau1[ID-RACK],0))&amp;""</f>
        <v>R2</v>
      </c>
      <c r="AF317" s="108" t="str">
        <f>INDEX(Tableau1[Repere-Slot],MATCH(Tableau3[[#This Row],[ID-SLOT]],Tableau1[ID-SLOT],0))&amp;""</f>
        <v>S4</v>
      </c>
      <c r="AG317" s="108" t="str">
        <f>INDEX(Tableau2[Repere-Voie],MATCH(Tableau3[[#This Row],[ID-VOIE]],Tableau2[ID-Voie],0))&amp;""</f>
        <v>v3</v>
      </c>
      <c r="AH317" s="72" t="str">
        <f>Tableau3[[#This Row],[ID-API]]&amp; "." &amp;Tableau3[[#This Row],[ID-RACK]]&amp; "." &amp;Tableau3[[#This Row],[ID-SLOT]]</f>
        <v>2.2.4</v>
      </c>
      <c r="AI317" s="72" t="str">
        <f>INDEX(Tableau1[Ref-Carte],MATCH(Tableau3[[#This Row],[ID-RRS]],Tableau1[ID-RRS],0))</f>
        <v>SDI1602</v>
      </c>
      <c r="AJ317" s="72" t="str">
        <f t="array" ref="AJ317">IFERROR(INDEX(Tableau2[TS],MATCH(1,(Tableau2[Ref-Carte]=Tableau3[[#This Row],[Ref-Carte2]])*(Tableau2[ID-Voie]=Tableau3[[#This Row],[ID-VOIE]]),0)),"")</f>
        <v>ET</v>
      </c>
      <c r="AK317" s="72" t="str">
        <f>IFERROR(INDEX(Tableau2[TS],SUMPRODUCT((Tableau2[Ref-Carte]=Tableau3[[#This Row],[Ref-Carte2]])*(Tableau2[ID-Voie]=Tableau3[[#This Row],[ID-VOIE]])*ROW(Tableau2[TS]))-ROW(Tableau2[#Headers])),"")</f>
        <v>ET</v>
      </c>
      <c r="AL317" s="72" t="str">
        <f>Tableau3[[#This Row],[Ref-Carte2]]&amp;"/"&amp;Tableau3[[#This Row],[ID-VOIE]]</f>
        <v>SDI1602/3</v>
      </c>
      <c r="AM317" s="73" t="str">
        <f>INDEX(Tableau2[Borne],MATCH(Tableau3[[#This Row],[ID-CARTEVOIE]],Tableau2[ID-CARTEVOIE],0))&amp;""</f>
        <v>1A</v>
      </c>
      <c r="AN317" s="74" t="str">
        <f>Tableau3[[#This Row],[ID-API]]&amp;Tableau3[[#This Row],[ID-RACK]]&amp;Tableau3[[#This Row],[ID-SLOT]]&amp;Tableau3[[#This Row],[BORNE]]</f>
        <v>2241A</v>
      </c>
      <c r="AO317" s="1"/>
    </row>
    <row r="318" spans="1:41" ht="20.100000000000001" customHeight="1" thickTop="1" thickBot="1">
      <c r="A318" s="68"/>
      <c r="B318" s="69" t="str">
        <f>IFERROR(INDEX(Tableau4[Date],MATCH($A318,Tableau4[EVO],0)),"")</f>
        <v/>
      </c>
      <c r="C318" s="68" t="str">
        <f>IFERROR(INDEX(Tableau4[Designation],MATCH($A318,Tableau4[EVO],0)),"")</f>
        <v/>
      </c>
      <c r="D318" s="68"/>
      <c r="E318" s="70">
        <v>132</v>
      </c>
      <c r="F318" s="71">
        <v>10</v>
      </c>
      <c r="G318" s="101" t="str">
        <f>INDEX(Tableau8[Att1],MATCH(Tableau3[[#This Row],[ID-INS]],Tableau8[ID],0))&amp;""</f>
        <v>V1</v>
      </c>
      <c r="H318" s="101" t="str">
        <f>INDEX(Tableau8[Att2],MATCH(Tableau3[[#This Row],[ID-INS]],Tableau8[ID],0))&amp;""</f>
        <v>CORA1</v>
      </c>
      <c r="I318" s="101" t="str">
        <f>INDEX(Tableau8[Att3],MATCH(Tableau3[[#This Row],[ID-INS]],Tableau8[ID],0))&amp;""</f>
        <v>CORA Zone 1</v>
      </c>
      <c r="J318" s="101"/>
      <c r="K318" s="167" t="str">
        <f>INDEX(Tableau8[Nom du modele],MATCH(Tableau3[[#This Row],[ID-INS]],Tableau8[ID],0))&amp;""</f>
        <v>CORA</v>
      </c>
      <c r="L318" s="99" t="str">
        <f>INDEX(Tableau5[Att1],MATCH(Tableau3[[#This Row],[ID-SIG]],Tableau5[ID],0))&amp;""</f>
        <v>Detect</v>
      </c>
      <c r="M318" s="99" t="str">
        <f>INDEX(Tableau5[Att2],MATCH(Tableau3[[#This Row],[ID-SIG]],Tableau5[ID],0))&amp;""</f>
        <v/>
      </c>
      <c r="N318" s="99" t="str">
        <f>INDEX(Tableau5[Att3],MATCH(Tableau3[[#This Row],[ID-SIG]],Tableau5[ID],0))&amp;""</f>
        <v/>
      </c>
      <c r="O318" s="99"/>
      <c r="P318" s="99" t="str">
        <f>INDEX(Tableau5[Description],MATCH(Tableau3[[#This Row],[ID-SIG]],Tableau5[ID],0))</f>
        <v>Détection</v>
      </c>
      <c r="Q318" s="99"/>
      <c r="R318" s="103" t="str">
        <f>Tableau3[[#This Row],[Description]]</f>
        <v>Détection</v>
      </c>
      <c r="U318" s="87">
        <v>2</v>
      </c>
      <c r="V318" s="87">
        <v>2</v>
      </c>
      <c r="W318" s="87">
        <v>4</v>
      </c>
      <c r="X318" s="87">
        <v>4</v>
      </c>
      <c r="Y318" s="40"/>
      <c r="Z318" s="165" t="str">
        <f>INDEX(Tableau2[TS],MATCH(Tableau3[[#This Row],[ID-CARTEVOIE]],Tableau2[ID-CARTEVOIE],0))</f>
        <v>ET</v>
      </c>
      <c r="AA318" s="53" t="s">
        <v>213</v>
      </c>
      <c r="AB318" s="223" t="str">
        <f>IFERROR(INDEX(Tableau5[Reserve],MATCH(Tableau3[[#This Row],[ID-SIG]],Tableau5[ID],0))&amp;"","")</f>
        <v/>
      </c>
      <c r="AC318" s="21"/>
      <c r="AD318" s="108" t="str">
        <f>INDEX(Tableau7[Repere],MATCH(Tableau3[[#This Row],[ID-API]],Tableau7[ID-API],0))&amp;""</f>
        <v>A2</v>
      </c>
      <c r="AE318" s="108" t="str">
        <f>INDEX(Tableau1[Repere-Rack],MATCH(Tableau3[[#This Row],[ID-RACK]],Tableau1[ID-RACK],0))&amp;""</f>
        <v>R2</v>
      </c>
      <c r="AF318" s="108" t="str">
        <f>INDEX(Tableau1[Repere-Slot],MATCH(Tableau3[[#This Row],[ID-SLOT]],Tableau1[ID-SLOT],0))&amp;""</f>
        <v>S4</v>
      </c>
      <c r="AG318" s="108" t="str">
        <f>INDEX(Tableau2[Repere-Voie],MATCH(Tableau3[[#This Row],[ID-VOIE]],Tableau2[ID-Voie],0))&amp;""</f>
        <v>v4</v>
      </c>
      <c r="AH318" s="72" t="str">
        <f>Tableau3[[#This Row],[ID-API]]&amp; "." &amp;Tableau3[[#This Row],[ID-RACK]]&amp; "." &amp;Tableau3[[#This Row],[ID-SLOT]]</f>
        <v>2.2.4</v>
      </c>
      <c r="AI318" s="72" t="str">
        <f>INDEX(Tableau1[Ref-Carte],MATCH(Tableau3[[#This Row],[ID-RRS]],Tableau1[ID-RRS],0))</f>
        <v>SDI1602</v>
      </c>
      <c r="AJ318" s="72" t="str">
        <f t="array" ref="AJ318">IFERROR(INDEX(Tableau2[TS],MATCH(1,(Tableau2[Ref-Carte]=Tableau3[[#This Row],[Ref-Carte2]])*(Tableau2[ID-Voie]=Tableau3[[#This Row],[ID-VOIE]]),0)),"")</f>
        <v>ET</v>
      </c>
      <c r="AK318" s="72" t="str">
        <f>IFERROR(INDEX(Tableau2[TS],SUMPRODUCT((Tableau2[Ref-Carte]=Tableau3[[#This Row],[Ref-Carte2]])*(Tableau2[ID-Voie]=Tableau3[[#This Row],[ID-VOIE]])*ROW(Tableau2[TS]))-ROW(Tableau2[#Headers])),"")</f>
        <v>ET</v>
      </c>
      <c r="AL318" s="72" t="str">
        <f>Tableau3[[#This Row],[Ref-Carte2]]&amp;"/"&amp;Tableau3[[#This Row],[ID-VOIE]]</f>
        <v>SDI1602/4</v>
      </c>
      <c r="AM318" s="73" t="str">
        <f>INDEX(Tableau2[Borne],MATCH(Tableau3[[#This Row],[ID-CARTEVOIE]],Tableau2[ID-CARTEVOIE],0))&amp;""</f>
        <v>2B</v>
      </c>
      <c r="AN318" s="74" t="str">
        <f>Tableau3[[#This Row],[ID-API]]&amp;Tableau3[[#This Row],[ID-RACK]]&amp;Tableau3[[#This Row],[ID-SLOT]]&amp;Tableau3[[#This Row],[BORNE]]</f>
        <v>2242B</v>
      </c>
      <c r="AO318" s="1"/>
    </row>
    <row r="319" spans="1:41" ht="20.100000000000001" customHeight="1" thickTop="1" thickBot="1">
      <c r="A319" s="68"/>
      <c r="B319" s="69" t="str">
        <f>IFERROR(INDEX(Tableau4[Date],MATCH($A319,Tableau4[EVO],0)),"")</f>
        <v/>
      </c>
      <c r="C319" s="68" t="str">
        <f>IFERROR(INDEX(Tableau4[Designation],MATCH($A319,Tableau4[EVO],0)),"")</f>
        <v/>
      </c>
      <c r="D319" s="68"/>
      <c r="E319" s="70">
        <v>132</v>
      </c>
      <c r="F319" s="71">
        <v>11</v>
      </c>
      <c r="G319" s="101" t="str">
        <f>INDEX(Tableau8[Att1],MATCH(Tableau3[[#This Row],[ID-INS]],Tableau8[ID],0))&amp;""</f>
        <v>V1</v>
      </c>
      <c r="H319" s="101" t="str">
        <f>INDEX(Tableau8[Att2],MATCH(Tableau3[[#This Row],[ID-INS]],Tableau8[ID],0))&amp;""</f>
        <v>CORA1</v>
      </c>
      <c r="I319" s="101" t="str">
        <f>INDEX(Tableau8[Att3],MATCH(Tableau3[[#This Row],[ID-INS]],Tableau8[ID],0))&amp;""</f>
        <v>CORA Zone 1</v>
      </c>
      <c r="J319" s="101"/>
      <c r="K319" s="167" t="str">
        <f>INDEX(Tableau8[Nom du modele],MATCH(Tableau3[[#This Row],[ID-INS]],Tableau8[ID],0))&amp;""</f>
        <v>CORA</v>
      </c>
      <c r="L319" s="99" t="str">
        <f>INDEX(Tableau5[Att1],MATCH(Tableau3[[#This Row],[ID-SIG]],Tableau5[ID],0))&amp;""</f>
        <v>Def</v>
      </c>
      <c r="M319" s="99" t="str">
        <f>INDEX(Tableau5[Att2],MATCH(Tableau3[[#This Row],[ID-SIG]],Tableau5[ID],0))&amp;""</f>
        <v/>
      </c>
      <c r="N319" s="99" t="str">
        <f>INDEX(Tableau5[Att3],MATCH(Tableau3[[#This Row],[ID-SIG]],Tableau5[ID],0))&amp;""</f>
        <v/>
      </c>
      <c r="O319" s="99"/>
      <c r="P319" s="99" t="str">
        <f>INDEX(Tableau5[Description],MATCH(Tableau3[[#This Row],[ID-SIG]],Tableau5[ID],0))</f>
        <v>Défaut</v>
      </c>
      <c r="Q319" s="99"/>
      <c r="R319" s="103" t="str">
        <f>Tableau3[[#This Row],[Description]]</f>
        <v>Défaut</v>
      </c>
      <c r="U319" s="87">
        <v>2</v>
      </c>
      <c r="V319" s="87">
        <v>2</v>
      </c>
      <c r="W319" s="87">
        <v>4</v>
      </c>
      <c r="X319" s="87">
        <v>5</v>
      </c>
      <c r="Y319" s="40"/>
      <c r="Z319" s="165" t="str">
        <f>INDEX(Tableau2[TS],MATCH(Tableau3[[#This Row],[ID-CARTEVOIE]],Tableau2[ID-CARTEVOIE],0))</f>
        <v>ET</v>
      </c>
      <c r="AA319" s="53" t="s">
        <v>213</v>
      </c>
      <c r="AB319" s="223" t="str">
        <f>IFERROR(INDEX(Tableau5[Reserve],MATCH(Tableau3[[#This Row],[ID-SIG]],Tableau5[ID],0))&amp;"","")</f>
        <v/>
      </c>
      <c r="AC319" s="21"/>
      <c r="AD319" s="108" t="str">
        <f>INDEX(Tableau7[Repere],MATCH(Tableau3[[#This Row],[ID-API]],Tableau7[ID-API],0))&amp;""</f>
        <v>A2</v>
      </c>
      <c r="AE319" s="108" t="str">
        <f>INDEX(Tableau1[Repere-Rack],MATCH(Tableau3[[#This Row],[ID-RACK]],Tableau1[ID-RACK],0))&amp;""</f>
        <v>R2</v>
      </c>
      <c r="AF319" s="108" t="str">
        <f>INDEX(Tableau1[Repere-Slot],MATCH(Tableau3[[#This Row],[ID-SLOT]],Tableau1[ID-SLOT],0))&amp;""</f>
        <v>S4</v>
      </c>
      <c r="AG319" s="108" t="str">
        <f>INDEX(Tableau2[Repere-Voie],MATCH(Tableau3[[#This Row],[ID-VOIE]],Tableau2[ID-Voie],0))&amp;""</f>
        <v>v5</v>
      </c>
      <c r="AH319" s="72" t="str">
        <f>Tableau3[[#This Row],[ID-API]]&amp; "." &amp;Tableau3[[#This Row],[ID-RACK]]&amp; "." &amp;Tableau3[[#This Row],[ID-SLOT]]</f>
        <v>2.2.4</v>
      </c>
      <c r="AI319" s="72" t="str">
        <f>INDEX(Tableau1[Ref-Carte],MATCH(Tableau3[[#This Row],[ID-RRS]],Tableau1[ID-RRS],0))</f>
        <v>SDI1602</v>
      </c>
      <c r="AJ319" s="72" t="str">
        <f t="array" ref="AJ319">IFERROR(INDEX(Tableau2[TS],MATCH(1,(Tableau2[Ref-Carte]=Tableau3[[#This Row],[Ref-Carte2]])*(Tableau2[ID-Voie]=Tableau3[[#This Row],[ID-VOIE]]),0)),"")</f>
        <v>ET</v>
      </c>
      <c r="AK319" s="72" t="str">
        <f>IFERROR(INDEX(Tableau2[TS],SUMPRODUCT((Tableau2[Ref-Carte]=Tableau3[[#This Row],[Ref-Carte2]])*(Tableau2[ID-Voie]=Tableau3[[#This Row],[ID-VOIE]])*ROW(Tableau2[TS]))-ROW(Tableau2[#Headers])),"")</f>
        <v>ET</v>
      </c>
      <c r="AL319" s="72" t="str">
        <f>Tableau3[[#This Row],[Ref-Carte2]]&amp;"/"&amp;Tableau3[[#This Row],[ID-VOIE]]</f>
        <v>SDI1602/5</v>
      </c>
      <c r="AM319" s="73" t="str">
        <f>INDEX(Tableau2[Borne],MATCH(Tableau3[[#This Row],[ID-CARTEVOIE]],Tableau2[ID-CARTEVOIE],0))&amp;""</f>
        <v>2A</v>
      </c>
      <c r="AN319" s="74" t="str">
        <f>Tableau3[[#This Row],[ID-API]]&amp;Tableau3[[#This Row],[ID-RACK]]&amp;Tableau3[[#This Row],[ID-SLOT]]&amp;Tableau3[[#This Row],[BORNE]]</f>
        <v>2242A</v>
      </c>
      <c r="AO319" s="1"/>
    </row>
    <row r="320" spans="1:41" ht="20.100000000000001" customHeight="1" thickTop="1" thickBot="1">
      <c r="A320" s="68"/>
      <c r="B320" s="69" t="str">
        <f>IFERROR(INDEX(Tableau4[Date],MATCH($A320,Tableau4[EVO],0)),"")</f>
        <v/>
      </c>
      <c r="C320" s="68" t="str">
        <f>IFERROR(INDEX(Tableau4[Designation],MATCH($A320,Tableau4[EVO],0)),"")</f>
        <v/>
      </c>
      <c r="D320" s="68"/>
      <c r="E320" s="70">
        <v>132</v>
      </c>
      <c r="F320" s="71">
        <v>12</v>
      </c>
      <c r="G320" s="101" t="str">
        <f>INDEX(Tableau8[Att1],MATCH(Tableau3[[#This Row],[ID-INS]],Tableau8[ID],0))&amp;""</f>
        <v>V1</v>
      </c>
      <c r="H320" s="101" t="str">
        <f>INDEX(Tableau8[Att2],MATCH(Tableau3[[#This Row],[ID-INS]],Tableau8[ID],0))&amp;""</f>
        <v>CORA1</v>
      </c>
      <c r="I320" s="101" t="str">
        <f>INDEX(Tableau8[Att3],MATCH(Tableau3[[#This Row],[ID-INS]],Tableau8[ID],0))&amp;""</f>
        <v>CORA Zone 1</v>
      </c>
      <c r="J320" s="101"/>
      <c r="K320" s="167" t="str">
        <f>INDEX(Tableau8[Nom du modele],MATCH(Tableau3[[#This Row],[ID-INS]],Tableau8[ID],0))&amp;""</f>
        <v>CORA</v>
      </c>
      <c r="L320" s="99" t="str">
        <f>INDEX(Tableau5[Att1],MATCH(Tableau3[[#This Row],[ID-SIG]],Tableau5[ID],0))&amp;""</f>
        <v>E3</v>
      </c>
      <c r="M320" s="99" t="str">
        <f>INDEX(Tableau5[Att2],MATCH(Tableau3[[#This Row],[ID-SIG]],Tableau5[ID],0))&amp;""</f>
        <v/>
      </c>
      <c r="N320" s="99" t="str">
        <f>INDEX(Tableau5[Att3],MATCH(Tableau3[[#This Row],[ID-SIG]],Tableau5[ID],0))&amp;""</f>
        <v/>
      </c>
      <c r="O320" s="99"/>
      <c r="P320" s="99" t="str">
        <f>INDEX(Tableau5[Description],MATCH(Tableau3[[#This Row],[ID-SIG]],Tableau5[ID],0))</f>
        <v>Entrée 3</v>
      </c>
      <c r="Q320" s="99"/>
      <c r="R320" s="103" t="str">
        <f>Tableau3[[#This Row],[Description]]</f>
        <v>Entrée 3</v>
      </c>
      <c r="U320" s="87">
        <v>2</v>
      </c>
      <c r="V320" s="87">
        <v>2</v>
      </c>
      <c r="W320" s="87">
        <v>4</v>
      </c>
      <c r="X320" s="87">
        <v>6</v>
      </c>
      <c r="Y320" s="40"/>
      <c r="Z320" s="165" t="str">
        <f>INDEX(Tableau2[TS],MATCH(Tableau3[[#This Row],[ID-CARTEVOIE]],Tableau2[ID-CARTEVOIE],0))</f>
        <v>ET</v>
      </c>
      <c r="AA320" s="53" t="s">
        <v>213</v>
      </c>
      <c r="AB320" s="223" t="str">
        <f>IFERROR(INDEX(Tableau5[Reserve],MATCH(Tableau3[[#This Row],[ID-SIG]],Tableau5[ID],0))&amp;"","")</f>
        <v/>
      </c>
      <c r="AC320" s="21"/>
      <c r="AD320" s="108" t="str">
        <f>INDEX(Tableau7[Repere],MATCH(Tableau3[[#This Row],[ID-API]],Tableau7[ID-API],0))&amp;""</f>
        <v>A2</v>
      </c>
      <c r="AE320" s="108" t="str">
        <f>INDEX(Tableau1[Repere-Rack],MATCH(Tableau3[[#This Row],[ID-RACK]],Tableau1[ID-RACK],0))&amp;""</f>
        <v>R2</v>
      </c>
      <c r="AF320" s="108" t="str">
        <f>INDEX(Tableau1[Repere-Slot],MATCH(Tableau3[[#This Row],[ID-SLOT]],Tableau1[ID-SLOT],0))&amp;""</f>
        <v>S4</v>
      </c>
      <c r="AG320" s="108" t="str">
        <f>INDEX(Tableau2[Repere-Voie],MATCH(Tableau3[[#This Row],[ID-VOIE]],Tableau2[ID-Voie],0))&amp;""</f>
        <v>v6</v>
      </c>
      <c r="AH320" s="72" t="str">
        <f>Tableau3[[#This Row],[ID-API]]&amp; "." &amp;Tableau3[[#This Row],[ID-RACK]]&amp; "." &amp;Tableau3[[#This Row],[ID-SLOT]]</f>
        <v>2.2.4</v>
      </c>
      <c r="AI320" s="72" t="str">
        <f>INDEX(Tableau1[Ref-Carte],MATCH(Tableau3[[#This Row],[ID-RRS]],Tableau1[ID-RRS],0))</f>
        <v>SDI1602</v>
      </c>
      <c r="AJ320" s="72" t="str">
        <f t="array" ref="AJ320">IFERROR(INDEX(Tableau2[TS],MATCH(1,(Tableau2[Ref-Carte]=Tableau3[[#This Row],[Ref-Carte2]])*(Tableau2[ID-Voie]=Tableau3[[#This Row],[ID-VOIE]]),0)),"")</f>
        <v>ET</v>
      </c>
      <c r="AK320" s="72" t="str">
        <f>IFERROR(INDEX(Tableau2[TS],SUMPRODUCT((Tableau2[Ref-Carte]=Tableau3[[#This Row],[Ref-Carte2]])*(Tableau2[ID-Voie]=Tableau3[[#This Row],[ID-VOIE]])*ROW(Tableau2[TS]))-ROW(Tableau2[#Headers])),"")</f>
        <v>ET</v>
      </c>
      <c r="AL320" s="72" t="str">
        <f>Tableau3[[#This Row],[Ref-Carte2]]&amp;"/"&amp;Tableau3[[#This Row],[ID-VOIE]]</f>
        <v>SDI1602/6</v>
      </c>
      <c r="AM320" s="73" t="str">
        <f>INDEX(Tableau2[Borne],MATCH(Tableau3[[#This Row],[ID-CARTEVOIE]],Tableau2[ID-CARTEVOIE],0))&amp;""</f>
        <v>3B</v>
      </c>
      <c r="AN320" s="74" t="str">
        <f>Tableau3[[#This Row],[ID-API]]&amp;Tableau3[[#This Row],[ID-RACK]]&amp;Tableau3[[#This Row],[ID-SLOT]]&amp;Tableau3[[#This Row],[BORNE]]</f>
        <v>2243B</v>
      </c>
      <c r="AO320" s="1"/>
    </row>
    <row r="321" spans="1:41" ht="20.100000000000001" customHeight="1" thickTop="1" thickBot="1">
      <c r="A321" s="68"/>
      <c r="B321" s="69" t="str">
        <f>IFERROR(INDEX(Tableau4[Date],MATCH($A321,Tableau4[EVO],0)),"")</f>
        <v/>
      </c>
      <c r="C321" s="68" t="str">
        <f>IFERROR(INDEX(Tableau4[Designation],MATCH($A321,Tableau4[EVO],0)),"")</f>
        <v/>
      </c>
      <c r="D321" s="68"/>
      <c r="E321" s="70">
        <v>139</v>
      </c>
      <c r="F321" s="71">
        <v>84</v>
      </c>
      <c r="G321" s="101" t="str">
        <f>INDEX(Tableau8[Att1],MATCH(Tableau3[[#This Row],[ID-INS]],Tableau8[ID],0))&amp;""</f>
        <v>V1</v>
      </c>
      <c r="H321" s="101" t="str">
        <f>INDEX(Tableau8[Att2],MATCH(Tableau3[[#This Row],[ID-INS]],Tableau8[ID],0))&amp;""</f>
        <v>B1</v>
      </c>
      <c r="I321" s="101" t="str">
        <f>INDEX(Tableau8[Att3],MATCH(Tableau3[[#This Row],[ID-INS]],Tableau8[ID],0))&amp;""</f>
        <v>Boucle B1</v>
      </c>
      <c r="J321" s="101"/>
      <c r="K321" s="167" t="str">
        <f>INDEX(Tableau8[Nom du modele],MATCH(Tableau3[[#This Row],[ID-INS]],Tableau8[ID],0))&amp;""</f>
        <v>Boucle</v>
      </c>
      <c r="L321" s="99" t="str">
        <f>INDEX(Tableau5[Att1],MATCH(Tableau3[[#This Row],[ID-SIG]],Tableau5[ID],0))&amp;""</f>
        <v>Def</v>
      </c>
      <c r="M321" s="99" t="str">
        <f>INDEX(Tableau5[Att2],MATCH(Tableau3[[#This Row],[ID-SIG]],Tableau5[ID],0))&amp;""</f>
        <v/>
      </c>
      <c r="N321" s="99" t="str">
        <f>INDEX(Tableau5[Att3],MATCH(Tableau3[[#This Row],[ID-SIG]],Tableau5[ID],0))&amp;""</f>
        <v/>
      </c>
      <c r="O321" s="99"/>
      <c r="P321" s="99" t="str">
        <f>INDEX(Tableau5[Description],MATCH(Tableau3[[#This Row],[ID-SIG]],Tableau5[ID],0))</f>
        <v>Défaut</v>
      </c>
      <c r="Q321" s="99"/>
      <c r="R321" s="103" t="str">
        <f>Tableau3[[#This Row],[Description]]</f>
        <v>Défaut</v>
      </c>
      <c r="U321" s="87">
        <v>2</v>
      </c>
      <c r="V321" s="87">
        <v>2</v>
      </c>
      <c r="W321" s="87">
        <v>4</v>
      </c>
      <c r="X321" s="87">
        <v>7</v>
      </c>
      <c r="Y321" s="40"/>
      <c r="Z321" s="165" t="str">
        <f>INDEX(Tableau2[TS],MATCH(Tableau3[[#This Row],[ID-CARTEVOIE]],Tableau2[ID-CARTEVOIE],0))</f>
        <v>ET</v>
      </c>
      <c r="AA321" s="53" t="s">
        <v>213</v>
      </c>
      <c r="AB321" s="223" t="str">
        <f>IFERROR(INDEX(Tableau5[Reserve],MATCH(Tableau3[[#This Row],[ID-SIG]],Tableau5[ID],0))&amp;"","")</f>
        <v/>
      </c>
      <c r="AC321" s="21"/>
      <c r="AD321" s="108" t="str">
        <f>INDEX(Tableau7[Repere],MATCH(Tableau3[[#This Row],[ID-API]],Tableau7[ID-API],0))&amp;""</f>
        <v>A2</v>
      </c>
      <c r="AE321" s="108" t="str">
        <f>INDEX(Tableau1[Repere-Rack],MATCH(Tableau3[[#This Row],[ID-RACK]],Tableau1[ID-RACK],0))&amp;""</f>
        <v>R2</v>
      </c>
      <c r="AF321" s="108" t="str">
        <f>INDEX(Tableau1[Repere-Slot],MATCH(Tableau3[[#This Row],[ID-SLOT]],Tableau1[ID-SLOT],0))&amp;""</f>
        <v>S4</v>
      </c>
      <c r="AG321" s="108" t="str">
        <f>INDEX(Tableau2[Repere-Voie],MATCH(Tableau3[[#This Row],[ID-VOIE]],Tableau2[ID-Voie],0))&amp;""</f>
        <v>v7</v>
      </c>
      <c r="AH321" s="72" t="str">
        <f>Tableau3[[#This Row],[ID-API]]&amp; "." &amp;Tableau3[[#This Row],[ID-RACK]]&amp; "." &amp;Tableau3[[#This Row],[ID-SLOT]]</f>
        <v>2.2.4</v>
      </c>
      <c r="AI321" s="72" t="str">
        <f>INDEX(Tableau1[Ref-Carte],MATCH(Tableau3[[#This Row],[ID-RRS]],Tableau1[ID-RRS],0))</f>
        <v>SDI1602</v>
      </c>
      <c r="AJ321" s="72" t="str">
        <f t="array" ref="AJ321">IFERROR(INDEX(Tableau2[TS],MATCH(1,(Tableau2[Ref-Carte]=Tableau3[[#This Row],[Ref-Carte2]])*(Tableau2[ID-Voie]=Tableau3[[#This Row],[ID-VOIE]]),0)),"")</f>
        <v>ET</v>
      </c>
      <c r="AK321" s="72" t="str">
        <f>IFERROR(INDEX(Tableau2[TS],SUMPRODUCT((Tableau2[Ref-Carte]=Tableau3[[#This Row],[Ref-Carte2]])*(Tableau2[ID-Voie]=Tableau3[[#This Row],[ID-VOIE]])*ROW(Tableau2[TS]))-ROW(Tableau2[#Headers])),"")</f>
        <v>ET</v>
      </c>
      <c r="AL321" s="72" t="str">
        <f>Tableau3[[#This Row],[Ref-Carte2]]&amp;"/"&amp;Tableau3[[#This Row],[ID-VOIE]]</f>
        <v>SDI1602/7</v>
      </c>
      <c r="AM321" s="73" t="str">
        <f>INDEX(Tableau2[Borne],MATCH(Tableau3[[#This Row],[ID-CARTEVOIE]],Tableau2[ID-CARTEVOIE],0))&amp;""</f>
        <v>3A</v>
      </c>
      <c r="AN321" s="74" t="str">
        <f>Tableau3[[#This Row],[ID-API]]&amp;Tableau3[[#This Row],[ID-RACK]]&amp;Tableau3[[#This Row],[ID-SLOT]]&amp;Tableau3[[#This Row],[BORNE]]</f>
        <v>2243A</v>
      </c>
      <c r="AO321" s="1"/>
    </row>
    <row r="322" spans="1:41" ht="20.100000000000001" customHeight="1" thickTop="1" thickBot="1">
      <c r="A322" s="68"/>
      <c r="B322" s="69" t="str">
        <f>IFERROR(INDEX(Tableau4[Date],MATCH($A322,Tableau4[EVO],0)),"")</f>
        <v/>
      </c>
      <c r="C322" s="68" t="str">
        <f>IFERROR(INDEX(Tableau4[Designation],MATCH($A322,Tableau4[EVO],0)),"")</f>
        <v/>
      </c>
      <c r="D322" s="68"/>
      <c r="E322" s="70">
        <v>139</v>
      </c>
      <c r="F322" s="71">
        <v>85</v>
      </c>
      <c r="G322" s="101" t="str">
        <f>INDEX(Tableau8[Att1],MATCH(Tableau3[[#This Row],[ID-INS]],Tableau8[ID],0))&amp;""</f>
        <v>V1</v>
      </c>
      <c r="H322" s="101" t="str">
        <f>INDEX(Tableau8[Att2],MATCH(Tableau3[[#This Row],[ID-INS]],Tableau8[ID],0))&amp;""</f>
        <v>B1</v>
      </c>
      <c r="I322" s="101" t="str">
        <f>INDEX(Tableau8[Att3],MATCH(Tableau3[[#This Row],[ID-INS]],Tableau8[ID],0))&amp;""</f>
        <v>Boucle B1</v>
      </c>
      <c r="J322" s="101"/>
      <c r="K322" s="167" t="str">
        <f>INDEX(Tableau8[Nom du modele],MATCH(Tableau3[[#This Row],[ID-INS]],Tableau8[ID],0))&amp;""</f>
        <v>Boucle</v>
      </c>
      <c r="L322" s="99" t="str">
        <f>INDEX(Tableau5[Att1],MATCH(Tableau3[[#This Row],[ID-SIG]],Tableau5[ID],0))&amp;""</f>
        <v>Pres</v>
      </c>
      <c r="M322" s="99" t="str">
        <f>INDEX(Tableau5[Att2],MATCH(Tableau3[[#This Row],[ID-SIG]],Tableau5[ID],0))&amp;""</f>
        <v/>
      </c>
      <c r="N322" s="99" t="str">
        <f>INDEX(Tableau5[Att3],MATCH(Tableau3[[#This Row],[ID-SIG]],Tableau5[ID],0))&amp;""</f>
        <v/>
      </c>
      <c r="O322" s="99"/>
      <c r="P322" s="99" t="str">
        <f>INDEX(Tableau5[Description],MATCH(Tableau3[[#This Row],[ID-SIG]],Tableau5[ID],0))</f>
        <v>Présence</v>
      </c>
      <c r="Q322" s="99"/>
      <c r="R322" s="103" t="str">
        <f>Tableau3[[#This Row],[Description]]</f>
        <v>Présence</v>
      </c>
      <c r="U322" s="87">
        <v>2</v>
      </c>
      <c r="V322" s="87">
        <v>2</v>
      </c>
      <c r="W322" s="87">
        <v>4</v>
      </c>
      <c r="X322" s="87">
        <v>8</v>
      </c>
      <c r="Y322" s="40"/>
      <c r="Z322" s="165" t="str">
        <f>INDEX(Tableau2[TS],MATCH(Tableau3[[#This Row],[ID-CARTEVOIE]],Tableau2[ID-CARTEVOIE],0))</f>
        <v>ET</v>
      </c>
      <c r="AA322" s="53" t="s">
        <v>213</v>
      </c>
      <c r="AB322" s="223" t="str">
        <f>IFERROR(INDEX(Tableau5[Reserve],MATCH(Tableau3[[#This Row],[ID-SIG]],Tableau5[ID],0))&amp;"","")</f>
        <v/>
      </c>
      <c r="AC322" s="21"/>
      <c r="AD322" s="108" t="str">
        <f>INDEX(Tableau7[Repere],MATCH(Tableau3[[#This Row],[ID-API]],Tableau7[ID-API],0))&amp;""</f>
        <v>A2</v>
      </c>
      <c r="AE322" s="108" t="str">
        <f>INDEX(Tableau1[Repere-Rack],MATCH(Tableau3[[#This Row],[ID-RACK]],Tableau1[ID-RACK],0))&amp;""</f>
        <v>R2</v>
      </c>
      <c r="AF322" s="108" t="str">
        <f>INDEX(Tableau1[Repere-Slot],MATCH(Tableau3[[#This Row],[ID-SLOT]],Tableau1[ID-SLOT],0))&amp;""</f>
        <v>S4</v>
      </c>
      <c r="AG322" s="108" t="str">
        <f>INDEX(Tableau2[Repere-Voie],MATCH(Tableau3[[#This Row],[ID-VOIE]],Tableau2[ID-Voie],0))&amp;""</f>
        <v>v8</v>
      </c>
      <c r="AH322" s="72" t="str">
        <f>Tableau3[[#This Row],[ID-API]]&amp; "." &amp;Tableau3[[#This Row],[ID-RACK]]&amp; "." &amp;Tableau3[[#This Row],[ID-SLOT]]</f>
        <v>2.2.4</v>
      </c>
      <c r="AI322" s="72" t="str">
        <f>INDEX(Tableau1[Ref-Carte],MATCH(Tableau3[[#This Row],[ID-RRS]],Tableau1[ID-RRS],0))</f>
        <v>SDI1602</v>
      </c>
      <c r="AJ322" s="72" t="str">
        <f t="array" ref="AJ322">IFERROR(INDEX(Tableau2[TS],MATCH(1,(Tableau2[Ref-Carte]=Tableau3[[#This Row],[Ref-Carte2]])*(Tableau2[ID-Voie]=Tableau3[[#This Row],[ID-VOIE]]),0)),"")</f>
        <v>ET</v>
      </c>
      <c r="AK322" s="72" t="str">
        <f>IFERROR(INDEX(Tableau2[TS],SUMPRODUCT((Tableau2[Ref-Carte]=Tableau3[[#This Row],[Ref-Carte2]])*(Tableau2[ID-Voie]=Tableau3[[#This Row],[ID-VOIE]])*ROW(Tableau2[TS]))-ROW(Tableau2[#Headers])),"")</f>
        <v>ET</v>
      </c>
      <c r="AL322" s="72" t="str">
        <f>Tableau3[[#This Row],[Ref-Carte2]]&amp;"/"&amp;Tableau3[[#This Row],[ID-VOIE]]</f>
        <v>SDI1602/8</v>
      </c>
      <c r="AM322" s="73" t="str">
        <f>INDEX(Tableau2[Borne],MATCH(Tableau3[[#This Row],[ID-CARTEVOIE]],Tableau2[ID-CARTEVOIE],0))&amp;""</f>
        <v>4B</v>
      </c>
      <c r="AN322" s="74" t="str">
        <f>Tableau3[[#This Row],[ID-API]]&amp;Tableau3[[#This Row],[ID-RACK]]&amp;Tableau3[[#This Row],[ID-SLOT]]&amp;Tableau3[[#This Row],[BORNE]]</f>
        <v>2244B</v>
      </c>
      <c r="AO322" s="1"/>
    </row>
    <row r="323" spans="1:41" ht="20.100000000000001" customHeight="1" thickTop="1" thickBot="1">
      <c r="A323" s="68"/>
      <c r="B323" s="69" t="str">
        <f>IFERROR(INDEX(Tableau4[Date],MATCH($A323,Tableau4[EVO],0)),"")</f>
        <v/>
      </c>
      <c r="C323" s="68" t="str">
        <f>IFERROR(INDEX(Tableau4[Designation],MATCH($A323,Tableau4[EVO],0)),"")</f>
        <v/>
      </c>
      <c r="D323" s="68"/>
      <c r="E323" s="70">
        <v>143</v>
      </c>
      <c r="F323" s="71">
        <v>84</v>
      </c>
      <c r="G323" s="101" t="str">
        <f>INDEX(Tableau8[Att1],MATCH(Tableau3[[#This Row],[ID-INS]],Tableau8[ID],0))&amp;""</f>
        <v>V1</v>
      </c>
      <c r="H323" s="101" t="str">
        <f>INDEX(Tableau8[Att2],MATCH(Tableau3[[#This Row],[ID-INS]],Tableau8[ID],0))&amp;""</f>
        <v>B6</v>
      </c>
      <c r="I323" s="101" t="str">
        <f>INDEX(Tableau8[Att3],MATCH(Tableau3[[#This Row],[ID-INS]],Tableau8[ID],0))&amp;""</f>
        <v>Boucle B6</v>
      </c>
      <c r="J323" s="101"/>
      <c r="K323" s="167" t="str">
        <f>INDEX(Tableau8[Nom du modele],MATCH(Tableau3[[#This Row],[ID-INS]],Tableau8[ID],0))&amp;""</f>
        <v>Boucle</v>
      </c>
      <c r="L323" s="99" t="str">
        <f>INDEX(Tableau5[Att1],MATCH(Tableau3[[#This Row],[ID-SIG]],Tableau5[ID],0))&amp;""</f>
        <v>Def</v>
      </c>
      <c r="M323" s="99" t="str">
        <f>INDEX(Tableau5[Att2],MATCH(Tableau3[[#This Row],[ID-SIG]],Tableau5[ID],0))&amp;""</f>
        <v/>
      </c>
      <c r="N323" s="99" t="str">
        <f>INDEX(Tableau5[Att3],MATCH(Tableau3[[#This Row],[ID-SIG]],Tableau5[ID],0))&amp;""</f>
        <v/>
      </c>
      <c r="O323" s="99"/>
      <c r="P323" s="99" t="str">
        <f>INDEX(Tableau5[Description],MATCH(Tableau3[[#This Row],[ID-SIG]],Tableau5[ID],0))</f>
        <v>Défaut</v>
      </c>
      <c r="Q323" s="99"/>
      <c r="R323" s="103" t="str">
        <f>Tableau3[[#This Row],[Description]]</f>
        <v>Défaut</v>
      </c>
      <c r="U323" s="87">
        <v>2</v>
      </c>
      <c r="V323" s="87">
        <v>2</v>
      </c>
      <c r="W323" s="87">
        <v>4</v>
      </c>
      <c r="X323" s="87">
        <v>9</v>
      </c>
      <c r="Y323" s="40"/>
      <c r="Z323" s="165" t="str">
        <f>INDEX(Tableau2[TS],MATCH(Tableau3[[#This Row],[ID-CARTEVOIE]],Tableau2[ID-CARTEVOIE],0))</f>
        <v>ET</v>
      </c>
      <c r="AA323" s="53" t="s">
        <v>213</v>
      </c>
      <c r="AB323" s="223" t="str">
        <f>IFERROR(INDEX(Tableau5[Reserve],MATCH(Tableau3[[#This Row],[ID-SIG]],Tableau5[ID],0))&amp;"","")</f>
        <v/>
      </c>
      <c r="AC323" s="21"/>
      <c r="AD323" s="108" t="str">
        <f>INDEX(Tableau7[Repere],MATCH(Tableau3[[#This Row],[ID-API]],Tableau7[ID-API],0))&amp;""</f>
        <v>A2</v>
      </c>
      <c r="AE323" s="108" t="str">
        <f>INDEX(Tableau1[Repere-Rack],MATCH(Tableau3[[#This Row],[ID-RACK]],Tableau1[ID-RACK],0))&amp;""</f>
        <v>R2</v>
      </c>
      <c r="AF323" s="108" t="str">
        <f>INDEX(Tableau1[Repere-Slot],MATCH(Tableau3[[#This Row],[ID-SLOT]],Tableau1[ID-SLOT],0))&amp;""</f>
        <v>S4</v>
      </c>
      <c r="AG323" s="108" t="str">
        <f>INDEX(Tableau2[Repere-Voie],MATCH(Tableau3[[#This Row],[ID-VOIE]],Tableau2[ID-Voie],0))&amp;""</f>
        <v>v9</v>
      </c>
      <c r="AH323" s="72" t="str">
        <f>Tableau3[[#This Row],[ID-API]]&amp; "." &amp;Tableau3[[#This Row],[ID-RACK]]&amp; "." &amp;Tableau3[[#This Row],[ID-SLOT]]</f>
        <v>2.2.4</v>
      </c>
      <c r="AI323" s="72" t="str">
        <f>INDEX(Tableau1[Ref-Carte],MATCH(Tableau3[[#This Row],[ID-RRS]],Tableau1[ID-RRS],0))</f>
        <v>SDI1602</v>
      </c>
      <c r="AJ323" s="72" t="str">
        <f t="array" ref="AJ323">IFERROR(INDEX(Tableau2[TS],MATCH(1,(Tableau2[Ref-Carte]=Tableau3[[#This Row],[Ref-Carte2]])*(Tableau2[ID-Voie]=Tableau3[[#This Row],[ID-VOIE]]),0)),"")</f>
        <v>ET</v>
      </c>
      <c r="AK323" s="72" t="str">
        <f>IFERROR(INDEX(Tableau2[TS],SUMPRODUCT((Tableau2[Ref-Carte]=Tableau3[[#This Row],[Ref-Carte2]])*(Tableau2[ID-Voie]=Tableau3[[#This Row],[ID-VOIE]])*ROW(Tableau2[TS]))-ROW(Tableau2[#Headers])),"")</f>
        <v>ET</v>
      </c>
      <c r="AL323" s="72" t="str">
        <f>Tableau3[[#This Row],[Ref-Carte2]]&amp;"/"&amp;Tableau3[[#This Row],[ID-VOIE]]</f>
        <v>SDI1602/9</v>
      </c>
      <c r="AM323" s="73" t="str">
        <f>INDEX(Tableau2[Borne],MATCH(Tableau3[[#This Row],[ID-CARTEVOIE]],Tableau2[ID-CARTEVOIE],0))&amp;""</f>
        <v>4A</v>
      </c>
      <c r="AN323" s="74" t="str">
        <f>Tableau3[[#This Row],[ID-API]]&amp;Tableau3[[#This Row],[ID-RACK]]&amp;Tableau3[[#This Row],[ID-SLOT]]&amp;Tableau3[[#This Row],[BORNE]]</f>
        <v>2244A</v>
      </c>
      <c r="AO323" s="1"/>
    </row>
    <row r="324" spans="1:41" ht="20.100000000000001" customHeight="1" thickTop="1" thickBot="1">
      <c r="A324" s="68"/>
      <c r="B324" s="69" t="str">
        <f>IFERROR(INDEX(Tableau4[Date],MATCH($A324,Tableau4[EVO],0)),"")</f>
        <v/>
      </c>
      <c r="C324" s="68" t="str">
        <f>IFERROR(INDEX(Tableau4[Designation],MATCH($A324,Tableau4[EVO],0)),"")</f>
        <v/>
      </c>
      <c r="D324" s="68"/>
      <c r="E324" s="70">
        <v>143</v>
      </c>
      <c r="F324" s="71">
        <v>85</v>
      </c>
      <c r="G324" s="101" t="str">
        <f>INDEX(Tableau8[Att1],MATCH(Tableau3[[#This Row],[ID-INS]],Tableau8[ID],0))&amp;""</f>
        <v>V1</v>
      </c>
      <c r="H324" s="101" t="str">
        <f>INDEX(Tableau8[Att2],MATCH(Tableau3[[#This Row],[ID-INS]],Tableau8[ID],0))&amp;""</f>
        <v>B6</v>
      </c>
      <c r="I324" s="101" t="str">
        <f>INDEX(Tableau8[Att3],MATCH(Tableau3[[#This Row],[ID-INS]],Tableau8[ID],0))&amp;""</f>
        <v>Boucle B6</v>
      </c>
      <c r="J324" s="101"/>
      <c r="K324" s="167" t="str">
        <f>INDEX(Tableau8[Nom du modele],MATCH(Tableau3[[#This Row],[ID-INS]],Tableau8[ID],0))&amp;""</f>
        <v>Boucle</v>
      </c>
      <c r="L324" s="99" t="str">
        <f>INDEX(Tableau5[Att1],MATCH(Tableau3[[#This Row],[ID-SIG]],Tableau5[ID],0))&amp;""</f>
        <v>Pres</v>
      </c>
      <c r="M324" s="99" t="str">
        <f>INDEX(Tableau5[Att2],MATCH(Tableau3[[#This Row],[ID-SIG]],Tableau5[ID],0))&amp;""</f>
        <v/>
      </c>
      <c r="N324" s="99" t="str">
        <f>INDEX(Tableau5[Att3],MATCH(Tableau3[[#This Row],[ID-SIG]],Tableau5[ID],0))&amp;""</f>
        <v/>
      </c>
      <c r="O324" s="99"/>
      <c r="P324" s="99" t="str">
        <f>INDEX(Tableau5[Description],MATCH(Tableau3[[#This Row],[ID-SIG]],Tableau5[ID],0))</f>
        <v>Présence</v>
      </c>
      <c r="Q324" s="99"/>
      <c r="R324" s="103" t="str">
        <f>Tableau3[[#This Row],[Description]]</f>
        <v>Présence</v>
      </c>
      <c r="U324" s="87">
        <v>2</v>
      </c>
      <c r="V324" s="87">
        <v>2</v>
      </c>
      <c r="W324" s="87">
        <v>4</v>
      </c>
      <c r="X324" s="87">
        <v>10</v>
      </c>
      <c r="Y324" s="40"/>
      <c r="Z324" s="165" t="str">
        <f>INDEX(Tableau2[TS],MATCH(Tableau3[[#This Row],[ID-CARTEVOIE]],Tableau2[ID-CARTEVOIE],0))</f>
        <v>ET</v>
      </c>
      <c r="AA324" s="53" t="s">
        <v>213</v>
      </c>
      <c r="AB324" s="223" t="str">
        <f>IFERROR(INDEX(Tableau5[Reserve],MATCH(Tableau3[[#This Row],[ID-SIG]],Tableau5[ID],0))&amp;"","")</f>
        <v/>
      </c>
      <c r="AC324" s="21"/>
      <c r="AD324" s="108" t="str">
        <f>INDEX(Tableau7[Repere],MATCH(Tableau3[[#This Row],[ID-API]],Tableau7[ID-API],0))&amp;""</f>
        <v>A2</v>
      </c>
      <c r="AE324" s="108" t="str">
        <f>INDEX(Tableau1[Repere-Rack],MATCH(Tableau3[[#This Row],[ID-RACK]],Tableau1[ID-RACK],0))&amp;""</f>
        <v>R2</v>
      </c>
      <c r="AF324" s="108" t="str">
        <f>INDEX(Tableau1[Repere-Slot],MATCH(Tableau3[[#This Row],[ID-SLOT]],Tableau1[ID-SLOT],0))&amp;""</f>
        <v>S4</v>
      </c>
      <c r="AG324" s="108" t="str">
        <f>INDEX(Tableau2[Repere-Voie],MATCH(Tableau3[[#This Row],[ID-VOIE]],Tableau2[ID-Voie],0))&amp;""</f>
        <v>v10</v>
      </c>
      <c r="AH324" s="72" t="str">
        <f>Tableau3[[#This Row],[ID-API]]&amp; "." &amp;Tableau3[[#This Row],[ID-RACK]]&amp; "." &amp;Tableau3[[#This Row],[ID-SLOT]]</f>
        <v>2.2.4</v>
      </c>
      <c r="AI324" s="72" t="str">
        <f>INDEX(Tableau1[Ref-Carte],MATCH(Tableau3[[#This Row],[ID-RRS]],Tableau1[ID-RRS],0))</f>
        <v>SDI1602</v>
      </c>
      <c r="AJ324" s="72" t="str">
        <f t="array" ref="AJ324">IFERROR(INDEX(Tableau2[TS],MATCH(1,(Tableau2[Ref-Carte]=Tableau3[[#This Row],[Ref-Carte2]])*(Tableau2[ID-Voie]=Tableau3[[#This Row],[ID-VOIE]]),0)),"")</f>
        <v>ET</v>
      </c>
      <c r="AK324" s="72" t="str">
        <f>IFERROR(INDEX(Tableau2[TS],SUMPRODUCT((Tableau2[Ref-Carte]=Tableau3[[#This Row],[Ref-Carte2]])*(Tableau2[ID-Voie]=Tableau3[[#This Row],[ID-VOIE]])*ROW(Tableau2[TS]))-ROW(Tableau2[#Headers])),"")</f>
        <v>ET</v>
      </c>
      <c r="AL324" s="72" t="str">
        <f>Tableau3[[#This Row],[Ref-Carte2]]&amp;"/"&amp;Tableau3[[#This Row],[ID-VOIE]]</f>
        <v>SDI1602/10</v>
      </c>
      <c r="AM324" s="73" t="str">
        <f>INDEX(Tableau2[Borne],MATCH(Tableau3[[#This Row],[ID-CARTEVOIE]],Tableau2[ID-CARTEVOIE],0))&amp;""</f>
        <v>5B</v>
      </c>
      <c r="AN324" s="74" t="str">
        <f>Tableau3[[#This Row],[ID-API]]&amp;Tableau3[[#This Row],[ID-RACK]]&amp;Tableau3[[#This Row],[ID-SLOT]]&amp;Tableau3[[#This Row],[BORNE]]</f>
        <v>2245B</v>
      </c>
      <c r="AO324" s="1"/>
    </row>
    <row r="325" spans="1:41" ht="20.100000000000001" customHeight="1" thickTop="1" thickBot="1">
      <c r="A325" s="68"/>
      <c r="B325" s="69" t="str">
        <f>IFERROR(INDEX(Tableau4[Date],MATCH($A325,Tableau4[EVO],0)),"")</f>
        <v/>
      </c>
      <c r="C325" s="68" t="str">
        <f>IFERROR(INDEX(Tableau4[Designation],MATCH($A325,Tableau4[EVO],0)),"")</f>
        <v/>
      </c>
      <c r="D325" s="68"/>
      <c r="E325" s="70">
        <v>147</v>
      </c>
      <c r="F325" s="71">
        <v>84</v>
      </c>
      <c r="G325" s="101" t="str">
        <f>INDEX(Tableau8[Att1],MATCH(Tableau3[[#This Row],[ID-INS]],Tableau8[ID],0))&amp;""</f>
        <v>V1</v>
      </c>
      <c r="H325" s="101" t="str">
        <f>INDEX(Tableau8[Att2],MATCH(Tableau3[[#This Row],[ID-INS]],Tableau8[ID],0))&amp;""</f>
        <v>B10</v>
      </c>
      <c r="I325" s="101" t="str">
        <f>INDEX(Tableau8[Att3],MATCH(Tableau3[[#This Row],[ID-INS]],Tableau8[ID],0))&amp;""</f>
        <v>Boucle B10</v>
      </c>
      <c r="J325" s="101"/>
      <c r="K325" s="167" t="str">
        <f>INDEX(Tableau8[Nom du modele],MATCH(Tableau3[[#This Row],[ID-INS]],Tableau8[ID],0))&amp;""</f>
        <v>Boucle</v>
      </c>
      <c r="L325" s="99" t="str">
        <f>INDEX(Tableau5[Att1],MATCH(Tableau3[[#This Row],[ID-SIG]],Tableau5[ID],0))&amp;""</f>
        <v>Def</v>
      </c>
      <c r="M325" s="99" t="str">
        <f>INDEX(Tableau5[Att2],MATCH(Tableau3[[#This Row],[ID-SIG]],Tableau5[ID],0))&amp;""</f>
        <v/>
      </c>
      <c r="N325" s="99" t="str">
        <f>INDEX(Tableau5[Att3],MATCH(Tableau3[[#This Row],[ID-SIG]],Tableau5[ID],0))&amp;""</f>
        <v/>
      </c>
      <c r="O325" s="99"/>
      <c r="P325" s="99" t="str">
        <f>INDEX(Tableau5[Description],MATCH(Tableau3[[#This Row],[ID-SIG]],Tableau5[ID],0))</f>
        <v>Défaut</v>
      </c>
      <c r="Q325" s="99"/>
      <c r="R325" s="103" t="str">
        <f>Tableau3[[#This Row],[Description]]</f>
        <v>Défaut</v>
      </c>
      <c r="U325" s="87">
        <v>2</v>
      </c>
      <c r="V325" s="87">
        <v>2</v>
      </c>
      <c r="W325" s="87">
        <v>4</v>
      </c>
      <c r="X325" s="87">
        <v>11</v>
      </c>
      <c r="Y325" s="40"/>
      <c r="Z325" s="165" t="str">
        <f>INDEX(Tableau2[TS],MATCH(Tableau3[[#This Row],[ID-CARTEVOIE]],Tableau2[ID-CARTEVOIE],0))</f>
        <v>ET</v>
      </c>
      <c r="AA325" s="53" t="s">
        <v>213</v>
      </c>
      <c r="AB325" s="223" t="str">
        <f>IFERROR(INDEX(Tableau5[Reserve],MATCH(Tableau3[[#This Row],[ID-SIG]],Tableau5[ID],0))&amp;"","")</f>
        <v/>
      </c>
      <c r="AC325" s="21"/>
      <c r="AD325" s="108" t="str">
        <f>INDEX(Tableau7[Repere],MATCH(Tableau3[[#This Row],[ID-API]],Tableau7[ID-API],0))&amp;""</f>
        <v>A2</v>
      </c>
      <c r="AE325" s="108" t="str">
        <f>INDEX(Tableau1[Repere-Rack],MATCH(Tableau3[[#This Row],[ID-RACK]],Tableau1[ID-RACK],0))&amp;""</f>
        <v>R2</v>
      </c>
      <c r="AF325" s="108" t="str">
        <f>INDEX(Tableau1[Repere-Slot],MATCH(Tableau3[[#This Row],[ID-SLOT]],Tableau1[ID-SLOT],0))&amp;""</f>
        <v>S4</v>
      </c>
      <c r="AG325" s="108" t="str">
        <f>INDEX(Tableau2[Repere-Voie],MATCH(Tableau3[[#This Row],[ID-VOIE]],Tableau2[ID-Voie],0))&amp;""</f>
        <v>v11</v>
      </c>
      <c r="AH325" s="72" t="str">
        <f>Tableau3[[#This Row],[ID-API]]&amp; "." &amp;Tableau3[[#This Row],[ID-RACK]]&amp; "." &amp;Tableau3[[#This Row],[ID-SLOT]]</f>
        <v>2.2.4</v>
      </c>
      <c r="AI325" s="72" t="str">
        <f>INDEX(Tableau1[Ref-Carte],MATCH(Tableau3[[#This Row],[ID-RRS]],Tableau1[ID-RRS],0))</f>
        <v>SDI1602</v>
      </c>
      <c r="AJ325" s="72" t="str">
        <f t="array" ref="AJ325">IFERROR(INDEX(Tableau2[TS],MATCH(1,(Tableau2[Ref-Carte]=Tableau3[[#This Row],[Ref-Carte2]])*(Tableau2[ID-Voie]=Tableau3[[#This Row],[ID-VOIE]]),0)),"")</f>
        <v>ET</v>
      </c>
      <c r="AK325" s="72" t="str">
        <f>IFERROR(INDEX(Tableau2[TS],SUMPRODUCT((Tableau2[Ref-Carte]=Tableau3[[#This Row],[Ref-Carte2]])*(Tableau2[ID-Voie]=Tableau3[[#This Row],[ID-VOIE]])*ROW(Tableau2[TS]))-ROW(Tableau2[#Headers])),"")</f>
        <v>ET</v>
      </c>
      <c r="AL325" s="72" t="str">
        <f>Tableau3[[#This Row],[Ref-Carte2]]&amp;"/"&amp;Tableau3[[#This Row],[ID-VOIE]]</f>
        <v>SDI1602/11</v>
      </c>
      <c r="AM325" s="73" t="str">
        <f>INDEX(Tableau2[Borne],MATCH(Tableau3[[#This Row],[ID-CARTEVOIE]],Tableau2[ID-CARTEVOIE],0))&amp;""</f>
        <v>5A</v>
      </c>
      <c r="AN325" s="74" t="str">
        <f>Tableau3[[#This Row],[ID-API]]&amp;Tableau3[[#This Row],[ID-RACK]]&amp;Tableau3[[#This Row],[ID-SLOT]]&amp;Tableau3[[#This Row],[BORNE]]</f>
        <v>2245A</v>
      </c>
      <c r="AO325" s="1"/>
    </row>
    <row r="326" spans="1:41" ht="20.100000000000001" customHeight="1" thickTop="1" thickBot="1">
      <c r="A326" s="68"/>
      <c r="B326" s="69" t="str">
        <f>IFERROR(INDEX(Tableau4[Date],MATCH($A326,Tableau4[EVO],0)),"")</f>
        <v/>
      </c>
      <c r="C326" s="68" t="str">
        <f>IFERROR(INDEX(Tableau4[Designation],MATCH($A326,Tableau4[EVO],0)),"")</f>
        <v/>
      </c>
      <c r="D326" s="68"/>
      <c r="E326" s="70">
        <v>147</v>
      </c>
      <c r="F326" s="71">
        <v>85</v>
      </c>
      <c r="G326" s="101" t="str">
        <f>INDEX(Tableau8[Att1],MATCH(Tableau3[[#This Row],[ID-INS]],Tableau8[ID],0))&amp;""</f>
        <v>V1</v>
      </c>
      <c r="H326" s="101" t="str">
        <f>INDEX(Tableau8[Att2],MATCH(Tableau3[[#This Row],[ID-INS]],Tableau8[ID],0))&amp;""</f>
        <v>B10</v>
      </c>
      <c r="I326" s="101" t="str">
        <f>INDEX(Tableau8[Att3],MATCH(Tableau3[[#This Row],[ID-INS]],Tableau8[ID],0))&amp;""</f>
        <v>Boucle B10</v>
      </c>
      <c r="J326" s="101"/>
      <c r="K326" s="167" t="str">
        <f>INDEX(Tableau8[Nom du modele],MATCH(Tableau3[[#This Row],[ID-INS]],Tableau8[ID],0))&amp;""</f>
        <v>Boucle</v>
      </c>
      <c r="L326" s="99" t="str">
        <f>INDEX(Tableau5[Att1],MATCH(Tableau3[[#This Row],[ID-SIG]],Tableau5[ID],0))&amp;""</f>
        <v>Pres</v>
      </c>
      <c r="M326" s="99" t="str">
        <f>INDEX(Tableau5[Att2],MATCH(Tableau3[[#This Row],[ID-SIG]],Tableau5[ID],0))&amp;""</f>
        <v/>
      </c>
      <c r="N326" s="99" t="str">
        <f>INDEX(Tableau5[Att3],MATCH(Tableau3[[#This Row],[ID-SIG]],Tableau5[ID],0))&amp;""</f>
        <v/>
      </c>
      <c r="O326" s="99"/>
      <c r="P326" s="99" t="str">
        <f>INDEX(Tableau5[Description],MATCH(Tableau3[[#This Row],[ID-SIG]],Tableau5[ID],0))</f>
        <v>Présence</v>
      </c>
      <c r="Q326" s="99"/>
      <c r="R326" s="103" t="str">
        <f>Tableau3[[#This Row],[Description]]</f>
        <v>Présence</v>
      </c>
      <c r="U326" s="87">
        <v>2</v>
      </c>
      <c r="V326" s="87">
        <v>2</v>
      </c>
      <c r="W326" s="87">
        <v>4</v>
      </c>
      <c r="X326" s="87">
        <v>12</v>
      </c>
      <c r="Y326" s="40"/>
      <c r="Z326" s="165" t="str">
        <f>INDEX(Tableau2[TS],MATCH(Tableau3[[#This Row],[ID-CARTEVOIE]],Tableau2[ID-CARTEVOIE],0))</f>
        <v>ET</v>
      </c>
      <c r="AA326" s="53" t="s">
        <v>213</v>
      </c>
      <c r="AB326" s="223" t="str">
        <f>IFERROR(INDEX(Tableau5[Reserve],MATCH(Tableau3[[#This Row],[ID-SIG]],Tableau5[ID],0))&amp;"","")</f>
        <v/>
      </c>
      <c r="AC326" s="21"/>
      <c r="AD326" s="108" t="str">
        <f>INDEX(Tableau7[Repere],MATCH(Tableau3[[#This Row],[ID-API]],Tableau7[ID-API],0))&amp;""</f>
        <v>A2</v>
      </c>
      <c r="AE326" s="108" t="str">
        <f>INDEX(Tableau1[Repere-Rack],MATCH(Tableau3[[#This Row],[ID-RACK]],Tableau1[ID-RACK],0))&amp;""</f>
        <v>R2</v>
      </c>
      <c r="AF326" s="108" t="str">
        <f>INDEX(Tableau1[Repere-Slot],MATCH(Tableau3[[#This Row],[ID-SLOT]],Tableau1[ID-SLOT],0))&amp;""</f>
        <v>S4</v>
      </c>
      <c r="AG326" s="108" t="str">
        <f>INDEX(Tableau2[Repere-Voie],MATCH(Tableau3[[#This Row],[ID-VOIE]],Tableau2[ID-Voie],0))&amp;""</f>
        <v>v12</v>
      </c>
      <c r="AH326" s="72" t="str">
        <f>Tableau3[[#This Row],[ID-API]]&amp; "." &amp;Tableau3[[#This Row],[ID-RACK]]&amp; "." &amp;Tableau3[[#This Row],[ID-SLOT]]</f>
        <v>2.2.4</v>
      </c>
      <c r="AI326" s="72" t="str">
        <f>INDEX(Tableau1[Ref-Carte],MATCH(Tableau3[[#This Row],[ID-RRS]],Tableau1[ID-RRS],0))</f>
        <v>SDI1602</v>
      </c>
      <c r="AJ326" s="72" t="str">
        <f t="array" ref="AJ326">IFERROR(INDEX(Tableau2[TS],MATCH(1,(Tableau2[Ref-Carte]=Tableau3[[#This Row],[Ref-Carte2]])*(Tableau2[ID-Voie]=Tableau3[[#This Row],[ID-VOIE]]),0)),"")</f>
        <v>ET</v>
      </c>
      <c r="AK326" s="72" t="str">
        <f>IFERROR(INDEX(Tableau2[TS],SUMPRODUCT((Tableau2[Ref-Carte]=Tableau3[[#This Row],[Ref-Carte2]])*(Tableau2[ID-Voie]=Tableau3[[#This Row],[ID-VOIE]])*ROW(Tableau2[TS]))-ROW(Tableau2[#Headers])),"")</f>
        <v>ET</v>
      </c>
      <c r="AL326" s="72" t="str">
        <f>Tableau3[[#This Row],[Ref-Carte2]]&amp;"/"&amp;Tableau3[[#This Row],[ID-VOIE]]</f>
        <v>SDI1602/12</v>
      </c>
      <c r="AM326" s="73" t="str">
        <f>INDEX(Tableau2[Borne],MATCH(Tableau3[[#This Row],[ID-CARTEVOIE]],Tableau2[ID-CARTEVOIE],0))&amp;""</f>
        <v>6B</v>
      </c>
      <c r="AN326" s="74" t="str">
        <f>Tableau3[[#This Row],[ID-API]]&amp;Tableau3[[#This Row],[ID-RACK]]&amp;Tableau3[[#This Row],[ID-SLOT]]&amp;Tableau3[[#This Row],[BORNE]]</f>
        <v>2246B</v>
      </c>
      <c r="AO326" s="1"/>
    </row>
    <row r="327" spans="1:41" ht="20.100000000000001" customHeight="1" thickTop="1" thickBot="1">
      <c r="A327" s="68"/>
      <c r="B327" s="69" t="str">
        <f>IFERROR(INDEX(Tableau4[Date],MATCH($A327,Tableau4[EVO],0)),"")</f>
        <v/>
      </c>
      <c r="C327" s="68" t="str">
        <f>IFERROR(INDEX(Tableau4[Designation],MATCH($A327,Tableau4[EVO],0)),"")</f>
        <v/>
      </c>
      <c r="D327" s="68"/>
      <c r="E327" s="70">
        <v>151</v>
      </c>
      <c r="F327" s="71">
        <v>84</v>
      </c>
      <c r="G327" s="101" t="str">
        <f>INDEX(Tableau8[Att1],MATCH(Tableau3[[#This Row],[ID-INS]],Tableau8[ID],0))&amp;""</f>
        <v>V1</v>
      </c>
      <c r="H327" s="101" t="str">
        <f>INDEX(Tableau8[Att2],MATCH(Tableau3[[#This Row],[ID-INS]],Tableau8[ID],0))&amp;""</f>
        <v>B14</v>
      </c>
      <c r="I327" s="101" t="str">
        <f>INDEX(Tableau8[Att3],MATCH(Tableau3[[#This Row],[ID-INS]],Tableau8[ID],0))&amp;""</f>
        <v>Boucle B14</v>
      </c>
      <c r="J327" s="101"/>
      <c r="K327" s="167" t="str">
        <f>INDEX(Tableau8[Nom du modele],MATCH(Tableau3[[#This Row],[ID-INS]],Tableau8[ID],0))&amp;""</f>
        <v>Boucle</v>
      </c>
      <c r="L327" s="99" t="str">
        <f>INDEX(Tableau5[Att1],MATCH(Tableau3[[#This Row],[ID-SIG]],Tableau5[ID],0))&amp;""</f>
        <v>Def</v>
      </c>
      <c r="M327" s="99" t="str">
        <f>INDEX(Tableau5[Att2],MATCH(Tableau3[[#This Row],[ID-SIG]],Tableau5[ID],0))&amp;""</f>
        <v/>
      </c>
      <c r="N327" s="99" t="str">
        <f>INDEX(Tableau5[Att3],MATCH(Tableau3[[#This Row],[ID-SIG]],Tableau5[ID],0))&amp;""</f>
        <v/>
      </c>
      <c r="O327" s="99"/>
      <c r="P327" s="99" t="str">
        <f>INDEX(Tableau5[Description],MATCH(Tableau3[[#This Row],[ID-SIG]],Tableau5[ID],0))</f>
        <v>Défaut</v>
      </c>
      <c r="Q327" s="99"/>
      <c r="R327" s="103" t="str">
        <f>Tableau3[[#This Row],[Description]]</f>
        <v>Défaut</v>
      </c>
      <c r="U327" s="87">
        <v>2</v>
      </c>
      <c r="V327" s="87">
        <v>2</v>
      </c>
      <c r="W327" s="87">
        <v>4</v>
      </c>
      <c r="X327" s="87">
        <v>13</v>
      </c>
      <c r="Y327" s="40"/>
      <c r="Z327" s="165" t="str">
        <f>INDEX(Tableau2[TS],MATCH(Tableau3[[#This Row],[ID-CARTEVOIE]],Tableau2[ID-CARTEVOIE],0))</f>
        <v>ET</v>
      </c>
      <c r="AA327" s="53" t="s">
        <v>213</v>
      </c>
      <c r="AB327" s="223" t="str">
        <f>IFERROR(INDEX(Tableau5[Reserve],MATCH(Tableau3[[#This Row],[ID-SIG]],Tableau5[ID],0))&amp;"","")</f>
        <v/>
      </c>
      <c r="AC327" s="21"/>
      <c r="AD327" s="108" t="str">
        <f>INDEX(Tableau7[Repere],MATCH(Tableau3[[#This Row],[ID-API]],Tableau7[ID-API],0))&amp;""</f>
        <v>A2</v>
      </c>
      <c r="AE327" s="108" t="str">
        <f>INDEX(Tableau1[Repere-Rack],MATCH(Tableau3[[#This Row],[ID-RACK]],Tableau1[ID-RACK],0))&amp;""</f>
        <v>R2</v>
      </c>
      <c r="AF327" s="108" t="str">
        <f>INDEX(Tableau1[Repere-Slot],MATCH(Tableau3[[#This Row],[ID-SLOT]],Tableau1[ID-SLOT],0))&amp;""</f>
        <v>S4</v>
      </c>
      <c r="AG327" s="108" t="str">
        <f>INDEX(Tableau2[Repere-Voie],MATCH(Tableau3[[#This Row],[ID-VOIE]],Tableau2[ID-Voie],0))&amp;""</f>
        <v>v13</v>
      </c>
      <c r="AH327" s="72" t="str">
        <f>Tableau3[[#This Row],[ID-API]]&amp; "." &amp;Tableau3[[#This Row],[ID-RACK]]&amp; "." &amp;Tableau3[[#This Row],[ID-SLOT]]</f>
        <v>2.2.4</v>
      </c>
      <c r="AI327" s="72" t="str">
        <f>INDEX(Tableau1[Ref-Carte],MATCH(Tableau3[[#This Row],[ID-RRS]],Tableau1[ID-RRS],0))</f>
        <v>SDI1602</v>
      </c>
      <c r="AJ327" s="72" t="str">
        <f t="array" ref="AJ327">IFERROR(INDEX(Tableau2[TS],MATCH(1,(Tableau2[Ref-Carte]=Tableau3[[#This Row],[Ref-Carte2]])*(Tableau2[ID-Voie]=Tableau3[[#This Row],[ID-VOIE]]),0)),"")</f>
        <v>ET</v>
      </c>
      <c r="AK327" s="72" t="str">
        <f>IFERROR(INDEX(Tableau2[TS],SUMPRODUCT((Tableau2[Ref-Carte]=Tableau3[[#This Row],[Ref-Carte2]])*(Tableau2[ID-Voie]=Tableau3[[#This Row],[ID-VOIE]])*ROW(Tableau2[TS]))-ROW(Tableau2[#Headers])),"")</f>
        <v>ET</v>
      </c>
      <c r="AL327" s="72" t="str">
        <f>Tableau3[[#This Row],[Ref-Carte2]]&amp;"/"&amp;Tableau3[[#This Row],[ID-VOIE]]</f>
        <v>SDI1602/13</v>
      </c>
      <c r="AM327" s="73" t="str">
        <f>INDEX(Tableau2[Borne],MATCH(Tableau3[[#This Row],[ID-CARTEVOIE]],Tableau2[ID-CARTEVOIE],0))&amp;""</f>
        <v>6A</v>
      </c>
      <c r="AN327" s="74" t="str">
        <f>Tableau3[[#This Row],[ID-API]]&amp;Tableau3[[#This Row],[ID-RACK]]&amp;Tableau3[[#This Row],[ID-SLOT]]&amp;Tableau3[[#This Row],[BORNE]]</f>
        <v>2246A</v>
      </c>
      <c r="AO327" s="1"/>
    </row>
    <row r="328" spans="1:41" ht="20.100000000000001" customHeight="1" thickTop="1" thickBot="1">
      <c r="A328" s="68"/>
      <c r="B328" s="69" t="str">
        <f>IFERROR(INDEX(Tableau4[Date],MATCH($A328,Tableau4[EVO],0)),"")</f>
        <v/>
      </c>
      <c r="C328" s="68" t="str">
        <f>IFERROR(INDEX(Tableau4[Designation],MATCH($A328,Tableau4[EVO],0)),"")</f>
        <v/>
      </c>
      <c r="D328" s="68"/>
      <c r="E328" s="70">
        <v>151</v>
      </c>
      <c r="F328" s="71">
        <v>85</v>
      </c>
      <c r="G328" s="101" t="str">
        <f>INDEX(Tableau8[Att1],MATCH(Tableau3[[#This Row],[ID-INS]],Tableau8[ID],0))&amp;""</f>
        <v>V1</v>
      </c>
      <c r="H328" s="101" t="str">
        <f>INDEX(Tableau8[Att2],MATCH(Tableau3[[#This Row],[ID-INS]],Tableau8[ID],0))&amp;""</f>
        <v>B14</v>
      </c>
      <c r="I328" s="101" t="str">
        <f>INDEX(Tableau8[Att3],MATCH(Tableau3[[#This Row],[ID-INS]],Tableau8[ID],0))&amp;""</f>
        <v>Boucle B14</v>
      </c>
      <c r="J328" s="101"/>
      <c r="K328" s="167" t="str">
        <f>INDEX(Tableau8[Nom du modele],MATCH(Tableau3[[#This Row],[ID-INS]],Tableau8[ID],0))&amp;""</f>
        <v>Boucle</v>
      </c>
      <c r="L328" s="99" t="str">
        <f>INDEX(Tableau5[Att1],MATCH(Tableau3[[#This Row],[ID-SIG]],Tableau5[ID],0))&amp;""</f>
        <v>Pres</v>
      </c>
      <c r="M328" s="99" t="str">
        <f>INDEX(Tableau5[Att2],MATCH(Tableau3[[#This Row],[ID-SIG]],Tableau5[ID],0))&amp;""</f>
        <v/>
      </c>
      <c r="N328" s="99" t="str">
        <f>INDEX(Tableau5[Att3],MATCH(Tableau3[[#This Row],[ID-SIG]],Tableau5[ID],0))&amp;""</f>
        <v/>
      </c>
      <c r="O328" s="99"/>
      <c r="P328" s="99" t="str">
        <f>INDEX(Tableau5[Description],MATCH(Tableau3[[#This Row],[ID-SIG]],Tableau5[ID],0))</f>
        <v>Présence</v>
      </c>
      <c r="Q328" s="99"/>
      <c r="R328" s="103" t="str">
        <f>Tableau3[[#This Row],[Description]]</f>
        <v>Présence</v>
      </c>
      <c r="U328" s="87">
        <v>2</v>
      </c>
      <c r="V328" s="87">
        <v>2</v>
      </c>
      <c r="W328" s="87">
        <v>4</v>
      </c>
      <c r="X328" s="87">
        <v>14</v>
      </c>
      <c r="Y328" s="40"/>
      <c r="Z328" s="165" t="str">
        <f>INDEX(Tableau2[TS],MATCH(Tableau3[[#This Row],[ID-CARTEVOIE]],Tableau2[ID-CARTEVOIE],0))</f>
        <v>ET</v>
      </c>
      <c r="AA328" s="53" t="s">
        <v>213</v>
      </c>
      <c r="AB328" s="223" t="str">
        <f>IFERROR(INDEX(Tableau5[Reserve],MATCH(Tableau3[[#This Row],[ID-SIG]],Tableau5[ID],0))&amp;"","")</f>
        <v/>
      </c>
      <c r="AC328" s="21"/>
      <c r="AD328" s="108" t="str">
        <f>INDEX(Tableau7[Repere],MATCH(Tableau3[[#This Row],[ID-API]],Tableau7[ID-API],0))&amp;""</f>
        <v>A2</v>
      </c>
      <c r="AE328" s="108" t="str">
        <f>INDEX(Tableau1[Repere-Rack],MATCH(Tableau3[[#This Row],[ID-RACK]],Tableau1[ID-RACK],0))&amp;""</f>
        <v>R2</v>
      </c>
      <c r="AF328" s="108" t="str">
        <f>INDEX(Tableau1[Repere-Slot],MATCH(Tableau3[[#This Row],[ID-SLOT]],Tableau1[ID-SLOT],0))&amp;""</f>
        <v>S4</v>
      </c>
      <c r="AG328" s="108" t="str">
        <f>INDEX(Tableau2[Repere-Voie],MATCH(Tableau3[[#This Row],[ID-VOIE]],Tableau2[ID-Voie],0))&amp;""</f>
        <v>v14</v>
      </c>
      <c r="AH328" s="72" t="str">
        <f>Tableau3[[#This Row],[ID-API]]&amp; "." &amp;Tableau3[[#This Row],[ID-RACK]]&amp; "." &amp;Tableau3[[#This Row],[ID-SLOT]]</f>
        <v>2.2.4</v>
      </c>
      <c r="AI328" s="72" t="str">
        <f>INDEX(Tableau1[Ref-Carte],MATCH(Tableau3[[#This Row],[ID-RRS]],Tableau1[ID-RRS],0))</f>
        <v>SDI1602</v>
      </c>
      <c r="AJ328" s="72" t="str">
        <f t="array" ref="AJ328">IFERROR(INDEX(Tableau2[TS],MATCH(1,(Tableau2[Ref-Carte]=Tableau3[[#This Row],[Ref-Carte2]])*(Tableau2[ID-Voie]=Tableau3[[#This Row],[ID-VOIE]]),0)),"")</f>
        <v>ET</v>
      </c>
      <c r="AK328" s="72" t="str">
        <f>IFERROR(INDEX(Tableau2[TS],SUMPRODUCT((Tableau2[Ref-Carte]=Tableau3[[#This Row],[Ref-Carte2]])*(Tableau2[ID-Voie]=Tableau3[[#This Row],[ID-VOIE]])*ROW(Tableau2[TS]))-ROW(Tableau2[#Headers])),"")</f>
        <v>ET</v>
      </c>
      <c r="AL328" s="72" t="str">
        <f>Tableau3[[#This Row],[Ref-Carte2]]&amp;"/"&amp;Tableau3[[#This Row],[ID-VOIE]]</f>
        <v>SDI1602/14</v>
      </c>
      <c r="AM328" s="73" t="str">
        <f>INDEX(Tableau2[Borne],MATCH(Tableau3[[#This Row],[ID-CARTEVOIE]],Tableau2[ID-CARTEVOIE],0))&amp;""</f>
        <v>7B</v>
      </c>
      <c r="AN328" s="74" t="str">
        <f>Tableau3[[#This Row],[ID-API]]&amp;Tableau3[[#This Row],[ID-RACK]]&amp;Tableau3[[#This Row],[ID-SLOT]]&amp;Tableau3[[#This Row],[BORNE]]</f>
        <v>2247B</v>
      </c>
      <c r="AO328" s="1"/>
    </row>
    <row r="329" spans="1:41" ht="20.100000000000001" customHeight="1" thickTop="1" thickBot="1">
      <c r="A329" s="68"/>
      <c r="B329" s="69" t="str">
        <f>IFERROR(INDEX(Tableau4[Date],MATCH($A329,Tableau4[EVO],0)),"")</f>
        <v/>
      </c>
      <c r="C329" s="68" t="str">
        <f>IFERROR(INDEX(Tableau4[Designation],MATCH($A329,Tableau4[EVO],0)),"")</f>
        <v/>
      </c>
      <c r="D329" s="68"/>
      <c r="E329" s="70">
        <v>157</v>
      </c>
      <c r="F329" s="71">
        <v>84</v>
      </c>
      <c r="G329" s="101" t="str">
        <f>INDEX(Tableau8[Att1],MATCH(Tableau3[[#This Row],[ID-INS]],Tableau8[ID],0))&amp;""</f>
        <v>V1</v>
      </c>
      <c r="H329" s="101" t="str">
        <f>INDEX(Tableau8[Att2],MATCH(Tableau3[[#This Row],[ID-INS]],Tableau8[ID],0))&amp;""</f>
        <v>B21</v>
      </c>
      <c r="I329" s="101" t="str">
        <f>INDEX(Tableau8[Att3],MATCH(Tableau3[[#This Row],[ID-INS]],Tableau8[ID],0))&amp;""</f>
        <v>Boucle B21</v>
      </c>
      <c r="J329" s="101"/>
      <c r="K329" s="167" t="str">
        <f>INDEX(Tableau8[Nom du modele],MATCH(Tableau3[[#This Row],[ID-INS]],Tableau8[ID],0))&amp;""</f>
        <v>Boucle</v>
      </c>
      <c r="L329" s="99" t="str">
        <f>INDEX(Tableau5[Att1],MATCH(Tableau3[[#This Row],[ID-SIG]],Tableau5[ID],0))&amp;""</f>
        <v>Def</v>
      </c>
      <c r="M329" s="99" t="str">
        <f>INDEX(Tableau5[Att2],MATCH(Tableau3[[#This Row],[ID-SIG]],Tableau5[ID],0))&amp;""</f>
        <v/>
      </c>
      <c r="N329" s="99" t="str">
        <f>INDEX(Tableau5[Att3],MATCH(Tableau3[[#This Row],[ID-SIG]],Tableau5[ID],0))&amp;""</f>
        <v/>
      </c>
      <c r="O329" s="99"/>
      <c r="P329" s="99" t="str">
        <f>INDEX(Tableau5[Description],MATCH(Tableau3[[#This Row],[ID-SIG]],Tableau5[ID],0))</f>
        <v>Défaut</v>
      </c>
      <c r="Q329" s="99"/>
      <c r="R329" s="103" t="str">
        <f>Tableau3[[#This Row],[Description]]</f>
        <v>Défaut</v>
      </c>
      <c r="U329" s="87">
        <v>2</v>
      </c>
      <c r="V329" s="87">
        <v>2</v>
      </c>
      <c r="W329" s="87">
        <v>4</v>
      </c>
      <c r="X329" s="87">
        <v>15</v>
      </c>
      <c r="Y329" s="40"/>
      <c r="Z329" s="165" t="str">
        <f>INDEX(Tableau2[TS],MATCH(Tableau3[[#This Row],[ID-CARTEVOIE]],Tableau2[ID-CARTEVOIE],0))</f>
        <v>ET</v>
      </c>
      <c r="AA329" s="53" t="s">
        <v>213</v>
      </c>
      <c r="AB329" s="223" t="str">
        <f>IFERROR(INDEX(Tableau5[Reserve],MATCH(Tableau3[[#This Row],[ID-SIG]],Tableau5[ID],0))&amp;"","")</f>
        <v/>
      </c>
      <c r="AC329" s="21"/>
      <c r="AD329" s="108" t="str">
        <f>INDEX(Tableau7[Repere],MATCH(Tableau3[[#This Row],[ID-API]],Tableau7[ID-API],0))&amp;""</f>
        <v>A2</v>
      </c>
      <c r="AE329" s="108" t="str">
        <f>INDEX(Tableau1[Repere-Rack],MATCH(Tableau3[[#This Row],[ID-RACK]],Tableau1[ID-RACK],0))&amp;""</f>
        <v>R2</v>
      </c>
      <c r="AF329" s="108" t="str">
        <f>INDEX(Tableau1[Repere-Slot],MATCH(Tableau3[[#This Row],[ID-SLOT]],Tableau1[ID-SLOT],0))&amp;""</f>
        <v>S4</v>
      </c>
      <c r="AG329" s="108" t="str">
        <f>INDEX(Tableau2[Repere-Voie],MATCH(Tableau3[[#This Row],[ID-VOIE]],Tableau2[ID-Voie],0))&amp;""</f>
        <v>v15</v>
      </c>
      <c r="AH329" s="72" t="str">
        <f>Tableau3[[#This Row],[ID-API]]&amp; "." &amp;Tableau3[[#This Row],[ID-RACK]]&amp; "." &amp;Tableau3[[#This Row],[ID-SLOT]]</f>
        <v>2.2.4</v>
      </c>
      <c r="AI329" s="72" t="str">
        <f>INDEX(Tableau1[Ref-Carte],MATCH(Tableau3[[#This Row],[ID-RRS]],Tableau1[ID-RRS],0))</f>
        <v>SDI1602</v>
      </c>
      <c r="AJ329" s="72" t="str">
        <f t="array" ref="AJ329">IFERROR(INDEX(Tableau2[TS],MATCH(1,(Tableau2[Ref-Carte]=Tableau3[[#This Row],[Ref-Carte2]])*(Tableau2[ID-Voie]=Tableau3[[#This Row],[ID-VOIE]]),0)),"")</f>
        <v>ET</v>
      </c>
      <c r="AK329" s="72" t="str">
        <f>IFERROR(INDEX(Tableau2[TS],SUMPRODUCT((Tableau2[Ref-Carte]=Tableau3[[#This Row],[Ref-Carte2]])*(Tableau2[ID-Voie]=Tableau3[[#This Row],[ID-VOIE]])*ROW(Tableau2[TS]))-ROW(Tableau2[#Headers])),"")</f>
        <v>ET</v>
      </c>
      <c r="AL329" s="72" t="str">
        <f>Tableau3[[#This Row],[Ref-Carte2]]&amp;"/"&amp;Tableau3[[#This Row],[ID-VOIE]]</f>
        <v>SDI1602/15</v>
      </c>
      <c r="AM329" s="73" t="str">
        <f>INDEX(Tableau2[Borne],MATCH(Tableau3[[#This Row],[ID-CARTEVOIE]],Tableau2[ID-CARTEVOIE],0))&amp;""</f>
        <v>7A</v>
      </c>
      <c r="AN329" s="74" t="str">
        <f>Tableau3[[#This Row],[ID-API]]&amp;Tableau3[[#This Row],[ID-RACK]]&amp;Tableau3[[#This Row],[ID-SLOT]]&amp;Tableau3[[#This Row],[BORNE]]</f>
        <v>2247A</v>
      </c>
      <c r="AO329" s="1"/>
    </row>
    <row r="330" spans="1:41" ht="20.100000000000001" customHeight="1" thickTop="1" thickBot="1">
      <c r="A330" s="68"/>
      <c r="B330" s="69" t="str">
        <f>IFERROR(INDEX(Tableau4[Date],MATCH($A330,Tableau4[EVO],0)),"")</f>
        <v/>
      </c>
      <c r="C330" s="68" t="str">
        <f>IFERROR(INDEX(Tableau4[Designation],MATCH($A330,Tableau4[EVO],0)),"")</f>
        <v/>
      </c>
      <c r="D330" s="68"/>
      <c r="E330" s="70">
        <v>157</v>
      </c>
      <c r="F330" s="71">
        <v>85</v>
      </c>
      <c r="G330" s="101" t="str">
        <f>INDEX(Tableau8[Att1],MATCH(Tableau3[[#This Row],[ID-INS]],Tableau8[ID],0))&amp;""</f>
        <v>V1</v>
      </c>
      <c r="H330" s="101" t="str">
        <f>INDEX(Tableau8[Att2],MATCH(Tableau3[[#This Row],[ID-INS]],Tableau8[ID],0))&amp;""</f>
        <v>B21</v>
      </c>
      <c r="I330" s="101" t="str">
        <f>INDEX(Tableau8[Att3],MATCH(Tableau3[[#This Row],[ID-INS]],Tableau8[ID],0))&amp;""</f>
        <v>Boucle B21</v>
      </c>
      <c r="J330" s="101"/>
      <c r="K330" s="167" t="str">
        <f>INDEX(Tableau8[Nom du modele],MATCH(Tableau3[[#This Row],[ID-INS]],Tableau8[ID],0))&amp;""</f>
        <v>Boucle</v>
      </c>
      <c r="L330" s="99" t="str">
        <f>INDEX(Tableau5[Att1],MATCH(Tableau3[[#This Row],[ID-SIG]],Tableau5[ID],0))&amp;""</f>
        <v>Pres</v>
      </c>
      <c r="M330" s="99" t="str">
        <f>INDEX(Tableau5[Att2],MATCH(Tableau3[[#This Row],[ID-SIG]],Tableau5[ID],0))&amp;""</f>
        <v/>
      </c>
      <c r="N330" s="99" t="str">
        <f>INDEX(Tableau5[Att3],MATCH(Tableau3[[#This Row],[ID-SIG]],Tableau5[ID],0))&amp;""</f>
        <v/>
      </c>
      <c r="O330" s="99"/>
      <c r="P330" s="99" t="str">
        <f>INDEX(Tableau5[Description],MATCH(Tableau3[[#This Row],[ID-SIG]],Tableau5[ID],0))</f>
        <v>Présence</v>
      </c>
      <c r="Q330" s="99"/>
      <c r="R330" s="103" t="str">
        <f>Tableau3[[#This Row],[Description]]</f>
        <v>Présence</v>
      </c>
      <c r="U330" s="87">
        <v>2</v>
      </c>
      <c r="V330" s="87">
        <v>2</v>
      </c>
      <c r="W330" s="87">
        <v>5</v>
      </c>
      <c r="X330" s="87">
        <v>0</v>
      </c>
      <c r="Y330" s="40"/>
      <c r="Z330" s="165" t="str">
        <f>INDEX(Tableau2[TS],MATCH(Tableau3[[#This Row],[ID-CARTEVOIE]],Tableau2[ID-CARTEVOIE],0))</f>
        <v>ET</v>
      </c>
      <c r="AA330" s="53" t="s">
        <v>213</v>
      </c>
      <c r="AB330" s="223" t="str">
        <f>IFERROR(INDEX(Tableau5[Reserve],MATCH(Tableau3[[#This Row],[ID-SIG]],Tableau5[ID],0))&amp;"","")</f>
        <v/>
      </c>
      <c r="AC330" s="21"/>
      <c r="AD330" s="108" t="str">
        <f>INDEX(Tableau7[Repere],MATCH(Tableau3[[#This Row],[ID-API]],Tableau7[ID-API],0))&amp;""</f>
        <v>A2</v>
      </c>
      <c r="AE330" s="108" t="str">
        <f>INDEX(Tableau1[Repere-Rack],MATCH(Tableau3[[#This Row],[ID-RACK]],Tableau1[ID-RACK],0))&amp;""</f>
        <v>R2</v>
      </c>
      <c r="AF330" s="108" t="str">
        <f>INDEX(Tableau1[Repere-Slot],MATCH(Tableau3[[#This Row],[ID-SLOT]],Tableau1[ID-SLOT],0))&amp;""</f>
        <v>S5</v>
      </c>
      <c r="AG330" s="108" t="str">
        <f>INDEX(Tableau2[Repere-Voie],MATCH(Tableau3[[#This Row],[ID-VOIE]],Tableau2[ID-Voie],0))&amp;""</f>
        <v>v0</v>
      </c>
      <c r="AH330" s="72" t="str">
        <f>Tableau3[[#This Row],[ID-API]]&amp; "." &amp;Tableau3[[#This Row],[ID-RACK]]&amp; "." &amp;Tableau3[[#This Row],[ID-SLOT]]</f>
        <v>2.2.5</v>
      </c>
      <c r="AI330" s="72" t="str">
        <f>INDEX(Tableau1[Ref-Carte],MATCH(Tableau3[[#This Row],[ID-RRS]],Tableau1[ID-RRS],0))</f>
        <v>SDI1602</v>
      </c>
      <c r="AJ330" s="72" t="str">
        <f t="array" ref="AJ330">IFERROR(INDEX(Tableau2[TS],MATCH(1,(Tableau2[Ref-Carte]=Tableau3[[#This Row],[Ref-Carte2]])*(Tableau2[ID-Voie]=Tableau3[[#This Row],[ID-VOIE]]),0)),"")</f>
        <v>ET</v>
      </c>
      <c r="AK330" s="72" t="str">
        <f>IFERROR(INDEX(Tableau2[TS],SUMPRODUCT((Tableau2[Ref-Carte]=Tableau3[[#This Row],[Ref-Carte2]])*(Tableau2[ID-Voie]=Tableau3[[#This Row],[ID-VOIE]])*ROW(Tableau2[TS]))-ROW(Tableau2[#Headers])),"")</f>
        <v>ET</v>
      </c>
      <c r="AL330" s="72" t="str">
        <f>Tableau3[[#This Row],[Ref-Carte2]]&amp;"/"&amp;Tableau3[[#This Row],[ID-VOIE]]</f>
        <v>SDI1602/0</v>
      </c>
      <c r="AM330" s="73" t="str">
        <f>INDEX(Tableau2[Borne],MATCH(Tableau3[[#This Row],[ID-CARTEVOIE]],Tableau2[ID-CARTEVOIE],0))&amp;""</f>
        <v>0B</v>
      </c>
      <c r="AN330" s="74" t="str">
        <f>Tableau3[[#This Row],[ID-API]]&amp;Tableau3[[#This Row],[ID-RACK]]&amp;Tableau3[[#This Row],[ID-SLOT]]&amp;Tableau3[[#This Row],[BORNE]]</f>
        <v>2250B</v>
      </c>
      <c r="AO330" s="1"/>
    </row>
    <row r="331" spans="1:41" ht="20.100000000000001" customHeight="1" thickTop="1" thickBot="1">
      <c r="A331" s="134"/>
      <c r="B331" s="135" t="str">
        <f>IFERROR(INDEX(Tableau4[Date],MATCH($A331,Tableau4[EVO],0)),"")</f>
        <v/>
      </c>
      <c r="C331" s="136" t="str">
        <f>IFERROR(INDEX(Tableau4[Designation],MATCH($A331,Tableau4[EVO],0)),"")</f>
        <v/>
      </c>
      <c r="D331" s="134"/>
      <c r="E331" s="137">
        <v>162</v>
      </c>
      <c r="F331" s="138">
        <v>84</v>
      </c>
      <c r="G331" s="139" t="str">
        <f>INDEX(Tableau8[Att1],MATCH(Tableau3[[#This Row],[ID-INS]],Tableau8[ID],0))&amp;""</f>
        <v>V1</v>
      </c>
      <c r="H331" s="140" t="str">
        <f>INDEX(Tableau8[Att2],MATCH(Tableau3[[#This Row],[ID-INS]],Tableau8[ID],0))&amp;""</f>
        <v>B26</v>
      </c>
      <c r="I331" s="139" t="str">
        <f>INDEX(Tableau8[Att3],MATCH(Tableau3[[#This Row],[ID-INS]],Tableau8[ID],0))&amp;""</f>
        <v>Boucle B26</v>
      </c>
      <c r="J331" s="101"/>
      <c r="K331" s="167" t="str">
        <f>INDEX(Tableau8[Nom du modele],MATCH(Tableau3[[#This Row],[ID-INS]],Tableau8[ID],0))&amp;""</f>
        <v>Boucle</v>
      </c>
      <c r="L331" s="141" t="str">
        <f>INDEX(Tableau5[Att1],MATCH(Tableau3[[#This Row],[ID-SIG]],Tableau5[ID],0))&amp;""</f>
        <v>Def</v>
      </c>
      <c r="M331" s="141" t="str">
        <f>INDEX(Tableau5[Att2],MATCH(Tableau3[[#This Row],[ID-SIG]],Tableau5[ID],0))&amp;""</f>
        <v/>
      </c>
      <c r="N331" s="141" t="str">
        <f>INDEX(Tableau5[Att3],MATCH(Tableau3[[#This Row],[ID-SIG]],Tableau5[ID],0))&amp;""</f>
        <v/>
      </c>
      <c r="O331" s="99"/>
      <c r="P331" s="141" t="str">
        <f>INDEX(Tableau5[Description],MATCH(Tableau3[[#This Row],[ID-SIG]],Tableau5[ID],0))</f>
        <v>Défaut</v>
      </c>
      <c r="Q331" s="99"/>
      <c r="R331" s="142" t="str">
        <f>Tableau3[[#This Row],[Description]]</f>
        <v>Défaut</v>
      </c>
      <c r="U331" s="87">
        <v>2</v>
      </c>
      <c r="V331" s="87">
        <v>2</v>
      </c>
      <c r="W331" s="87">
        <v>5</v>
      </c>
      <c r="X331" s="87">
        <v>1</v>
      </c>
      <c r="Y331" s="40"/>
      <c r="Z331" s="165" t="str">
        <f>INDEX(Tableau2[TS],MATCH(Tableau3[[#This Row],[ID-CARTEVOIE]],Tableau2[ID-CARTEVOIE],0))</f>
        <v>ET</v>
      </c>
      <c r="AA331" s="144" t="s">
        <v>213</v>
      </c>
      <c r="AB331" s="224" t="str">
        <f>IFERROR(INDEX(Tableau5[Reserve],MATCH(Tableau3[[#This Row],[ID-SIG]],Tableau5[ID],0))&amp;"","")</f>
        <v/>
      </c>
      <c r="AC331" s="119"/>
      <c r="AD331" s="120" t="str">
        <f>INDEX(Tableau7[Repere],MATCH(Tableau3[[#This Row],[ID-API]],Tableau7[ID-API],0))&amp;""</f>
        <v>A2</v>
      </c>
      <c r="AE331" s="120" t="str">
        <f>INDEX(Tableau1[Repere-Rack],MATCH(Tableau3[[#This Row],[ID-RACK]],Tableau1[ID-RACK],0))&amp;""</f>
        <v>R2</v>
      </c>
      <c r="AF331" s="120" t="str">
        <f>INDEX(Tableau1[Repere-Slot],MATCH(Tableau3[[#This Row],[ID-SLOT]],Tableau1[ID-SLOT],0))&amp;""</f>
        <v>S5</v>
      </c>
      <c r="AG331" s="120" t="str">
        <f>INDEX(Tableau2[Repere-Voie],MATCH(Tableau3[[#This Row],[ID-VOIE]],Tableau2[ID-Voie],0))&amp;""</f>
        <v>v1</v>
      </c>
      <c r="AH331" s="122" t="str">
        <f>Tableau3[[#This Row],[ID-API]]&amp; "." &amp;Tableau3[[#This Row],[ID-RACK]]&amp; "." &amp;Tableau3[[#This Row],[ID-SLOT]]</f>
        <v>2.2.5</v>
      </c>
      <c r="AI331" s="72" t="str">
        <f>INDEX(Tableau1[Ref-Carte],MATCH(Tableau3[[#This Row],[ID-RRS]],Tableau1[ID-RRS],0))</f>
        <v>SDI1602</v>
      </c>
      <c r="AJ331" s="72" t="str">
        <f t="array" ref="AJ331">IFERROR(INDEX(Tableau2[TS],MATCH(1,(Tableau2[Ref-Carte]=Tableau3[[#This Row],[Ref-Carte2]])*(Tableau2[ID-Voie]=Tableau3[[#This Row],[ID-VOIE]]),0)),"")</f>
        <v>ET</v>
      </c>
      <c r="AK331" s="72" t="str">
        <f>IFERROR(INDEX(Tableau2[TS],SUMPRODUCT((Tableau2[Ref-Carte]=Tableau3[[#This Row],[Ref-Carte2]])*(Tableau2[ID-Voie]=Tableau3[[#This Row],[ID-VOIE]])*ROW(Tableau2[TS]))-ROW(Tableau2[#Headers])),"")</f>
        <v>ET</v>
      </c>
      <c r="AL331" s="122" t="str">
        <f>Tableau3[[#This Row],[Ref-Carte2]]&amp;"/"&amp;Tableau3[[#This Row],[ID-VOIE]]</f>
        <v>SDI1602/1</v>
      </c>
      <c r="AM331" s="145" t="str">
        <f>INDEX(Tableau2[Borne],MATCH(Tableau3[[#This Row],[ID-CARTEVOIE]],Tableau2[ID-CARTEVOIE],0))&amp;""</f>
        <v>0A</v>
      </c>
      <c r="AN331" s="124" t="str">
        <f>Tableau3[[#This Row],[ID-API]]&amp;Tableau3[[#This Row],[ID-RACK]]&amp;Tableau3[[#This Row],[ID-SLOT]]&amp;Tableau3[[#This Row],[BORNE]]</f>
        <v>2250A</v>
      </c>
      <c r="AO331" s="125"/>
    </row>
    <row r="332" spans="1:41" ht="20.100000000000001" customHeight="1" thickTop="1" thickBot="1">
      <c r="A332" s="134"/>
      <c r="B332" s="135" t="str">
        <f>IFERROR(INDEX(Tableau4[Date],MATCH($A332,Tableau4[EVO],0)),"")</f>
        <v/>
      </c>
      <c r="C332" s="136" t="str">
        <f>IFERROR(INDEX(Tableau4[Designation],MATCH($A332,Tableau4[EVO],0)),"")</f>
        <v/>
      </c>
      <c r="D332" s="134"/>
      <c r="E332" s="137">
        <v>162</v>
      </c>
      <c r="F332" s="138">
        <v>85</v>
      </c>
      <c r="G332" s="139" t="str">
        <f>INDEX(Tableau8[Att1],MATCH(Tableau3[[#This Row],[ID-INS]],Tableau8[ID],0))&amp;""</f>
        <v>V1</v>
      </c>
      <c r="H332" s="140" t="str">
        <f>INDEX(Tableau8[Att2],MATCH(Tableau3[[#This Row],[ID-INS]],Tableau8[ID],0))&amp;""</f>
        <v>B26</v>
      </c>
      <c r="I332" s="139" t="str">
        <f>INDEX(Tableau8[Att3],MATCH(Tableau3[[#This Row],[ID-INS]],Tableau8[ID],0))&amp;""</f>
        <v>Boucle B26</v>
      </c>
      <c r="J332" s="101"/>
      <c r="K332" s="167" t="str">
        <f>INDEX(Tableau8[Nom du modele],MATCH(Tableau3[[#This Row],[ID-INS]],Tableau8[ID],0))&amp;""</f>
        <v>Boucle</v>
      </c>
      <c r="L332" s="141" t="str">
        <f>INDEX(Tableau5[Att1],MATCH(Tableau3[[#This Row],[ID-SIG]],Tableau5[ID],0))&amp;""</f>
        <v>Pres</v>
      </c>
      <c r="M332" s="141" t="str">
        <f>INDEX(Tableau5[Att2],MATCH(Tableau3[[#This Row],[ID-SIG]],Tableau5[ID],0))&amp;""</f>
        <v/>
      </c>
      <c r="N332" s="141" t="str">
        <f>INDEX(Tableau5[Att3],MATCH(Tableau3[[#This Row],[ID-SIG]],Tableau5[ID],0))&amp;""</f>
        <v/>
      </c>
      <c r="O332" s="99"/>
      <c r="P332" s="141" t="str">
        <f>INDEX(Tableau5[Description],MATCH(Tableau3[[#This Row],[ID-SIG]],Tableau5[ID],0))</f>
        <v>Présence</v>
      </c>
      <c r="Q332" s="99"/>
      <c r="R332" s="142" t="str">
        <f>Tableau3[[#This Row],[Description]]</f>
        <v>Présence</v>
      </c>
      <c r="U332" s="87">
        <v>2</v>
      </c>
      <c r="V332" s="87">
        <v>2</v>
      </c>
      <c r="W332" s="87">
        <v>5</v>
      </c>
      <c r="X332" s="87">
        <v>2</v>
      </c>
      <c r="Y332" s="40"/>
      <c r="Z332" s="165" t="str">
        <f>INDEX(Tableau2[TS],MATCH(Tableau3[[#This Row],[ID-CARTEVOIE]],Tableau2[ID-CARTEVOIE],0))</f>
        <v>ET</v>
      </c>
      <c r="AA332" s="144" t="s">
        <v>213</v>
      </c>
      <c r="AB332" s="224" t="str">
        <f>IFERROR(INDEX(Tableau5[Reserve],MATCH(Tableau3[[#This Row],[ID-SIG]],Tableau5[ID],0))&amp;"","")</f>
        <v/>
      </c>
      <c r="AC332" s="119"/>
      <c r="AD332" s="120" t="str">
        <f>INDEX(Tableau7[Repere],MATCH(Tableau3[[#This Row],[ID-API]],Tableau7[ID-API],0))&amp;""</f>
        <v>A2</v>
      </c>
      <c r="AE332" s="120" t="str">
        <f>INDEX(Tableau1[Repere-Rack],MATCH(Tableau3[[#This Row],[ID-RACK]],Tableau1[ID-RACK],0))&amp;""</f>
        <v>R2</v>
      </c>
      <c r="AF332" s="120" t="str">
        <f>INDEX(Tableau1[Repere-Slot],MATCH(Tableau3[[#This Row],[ID-SLOT]],Tableau1[ID-SLOT],0))&amp;""</f>
        <v>S5</v>
      </c>
      <c r="AG332" s="120" t="str">
        <f>INDEX(Tableau2[Repere-Voie],MATCH(Tableau3[[#This Row],[ID-VOIE]],Tableau2[ID-Voie],0))&amp;""</f>
        <v>v2</v>
      </c>
      <c r="AH332" s="122" t="str">
        <f>Tableau3[[#This Row],[ID-API]]&amp; "." &amp;Tableau3[[#This Row],[ID-RACK]]&amp; "." &amp;Tableau3[[#This Row],[ID-SLOT]]</f>
        <v>2.2.5</v>
      </c>
      <c r="AI332" s="72" t="str">
        <f>INDEX(Tableau1[Ref-Carte],MATCH(Tableau3[[#This Row],[ID-RRS]],Tableau1[ID-RRS],0))</f>
        <v>SDI1602</v>
      </c>
      <c r="AJ332" s="72" t="str">
        <f t="array" ref="AJ332">IFERROR(INDEX(Tableau2[TS],MATCH(1,(Tableau2[Ref-Carte]=Tableau3[[#This Row],[Ref-Carte2]])*(Tableau2[ID-Voie]=Tableau3[[#This Row],[ID-VOIE]]),0)),"")</f>
        <v>ET</v>
      </c>
      <c r="AK332" s="72" t="str">
        <f>IFERROR(INDEX(Tableau2[TS],SUMPRODUCT((Tableau2[Ref-Carte]=Tableau3[[#This Row],[Ref-Carte2]])*(Tableau2[ID-Voie]=Tableau3[[#This Row],[ID-VOIE]])*ROW(Tableau2[TS]))-ROW(Tableau2[#Headers])),"")</f>
        <v>ET</v>
      </c>
      <c r="AL332" s="122" t="str">
        <f>Tableau3[[#This Row],[Ref-Carte2]]&amp;"/"&amp;Tableau3[[#This Row],[ID-VOIE]]</f>
        <v>SDI1602/2</v>
      </c>
      <c r="AM332" s="145" t="str">
        <f>INDEX(Tableau2[Borne],MATCH(Tableau3[[#This Row],[ID-CARTEVOIE]],Tableau2[ID-CARTEVOIE],0))&amp;""</f>
        <v>1B</v>
      </c>
      <c r="AN332" s="124" t="str">
        <f>Tableau3[[#This Row],[ID-API]]&amp;Tableau3[[#This Row],[ID-RACK]]&amp;Tableau3[[#This Row],[ID-SLOT]]&amp;Tableau3[[#This Row],[BORNE]]</f>
        <v>2251B</v>
      </c>
      <c r="AO332" s="125"/>
    </row>
    <row r="333" spans="1:41" ht="20.100000000000001" customHeight="1" thickTop="1" thickBot="1">
      <c r="A333" s="134"/>
      <c r="B333" s="135" t="str">
        <f>IFERROR(INDEX(Tableau4[Date],MATCH($A333,Tableau4[EVO],0)),"")</f>
        <v/>
      </c>
      <c r="C333" s="136" t="str">
        <f>IFERROR(INDEX(Tableau4[Designation],MATCH($A333,Tableau4[EVO],0)),"")</f>
        <v/>
      </c>
      <c r="D333" s="134"/>
      <c r="E333" s="137">
        <v>167</v>
      </c>
      <c r="F333" s="138">
        <v>84</v>
      </c>
      <c r="G333" s="139" t="str">
        <f>INDEX(Tableau8[Att1],MATCH(Tableau3[[#This Row],[ID-INS]],Tableau8[ID],0))&amp;""</f>
        <v>V1</v>
      </c>
      <c r="H333" s="139" t="str">
        <f>INDEX(Tableau8[Att2],MATCH(Tableau3[[#This Row],[ID-INS]],Tableau8[ID],0))&amp;""</f>
        <v>B31</v>
      </c>
      <c r="I333" s="139" t="str">
        <f>INDEX(Tableau8[Att3],MATCH(Tableau3[[#This Row],[ID-INS]],Tableau8[ID],0))&amp;""</f>
        <v>Boucle B31</v>
      </c>
      <c r="J333" s="101"/>
      <c r="K333" s="167" t="str">
        <f>INDEX(Tableau8[Nom du modele],MATCH(Tableau3[[#This Row],[ID-INS]],Tableau8[ID],0))&amp;""</f>
        <v>Boucle</v>
      </c>
      <c r="L333" s="141" t="str">
        <f>INDEX(Tableau5[Att1],MATCH(Tableau3[[#This Row],[ID-SIG]],Tableau5[ID],0))&amp;""</f>
        <v>Def</v>
      </c>
      <c r="M333" s="141" t="str">
        <f>INDEX(Tableau5[Att2],MATCH(Tableau3[[#This Row],[ID-SIG]],Tableau5[ID],0))&amp;""</f>
        <v/>
      </c>
      <c r="N333" s="141" t="str">
        <f>INDEX(Tableau5[Att3],MATCH(Tableau3[[#This Row],[ID-SIG]],Tableau5[ID],0))&amp;""</f>
        <v/>
      </c>
      <c r="O333" s="99"/>
      <c r="P333" s="141" t="str">
        <f>INDEX(Tableau5[Description],MATCH(Tableau3[[#This Row],[ID-SIG]],Tableau5[ID],0))</f>
        <v>Défaut</v>
      </c>
      <c r="Q333" s="99"/>
      <c r="R333" s="142" t="str">
        <f>Tableau3[[#This Row],[Description]]</f>
        <v>Défaut</v>
      </c>
      <c r="U333" s="87">
        <v>2</v>
      </c>
      <c r="V333" s="87">
        <v>2</v>
      </c>
      <c r="W333" s="87">
        <v>5</v>
      </c>
      <c r="X333" s="87">
        <v>3</v>
      </c>
      <c r="Y333" s="40"/>
      <c r="Z333" s="165" t="str">
        <f>INDEX(Tableau2[TS],MATCH(Tableau3[[#This Row],[ID-CARTEVOIE]],Tableau2[ID-CARTEVOIE],0))</f>
        <v>ET</v>
      </c>
      <c r="AA333" s="144" t="s">
        <v>213</v>
      </c>
      <c r="AB333" s="224" t="str">
        <f>IFERROR(INDEX(Tableau5[Reserve],MATCH(Tableau3[[#This Row],[ID-SIG]],Tableau5[ID],0))&amp;"","")</f>
        <v/>
      </c>
      <c r="AC333" s="119"/>
      <c r="AD333" s="120" t="str">
        <f>INDEX(Tableau7[Repere],MATCH(Tableau3[[#This Row],[ID-API]],Tableau7[ID-API],0))&amp;""</f>
        <v>A2</v>
      </c>
      <c r="AE333" s="120" t="str">
        <f>INDEX(Tableau1[Repere-Rack],MATCH(Tableau3[[#This Row],[ID-RACK]],Tableau1[ID-RACK],0))&amp;""</f>
        <v>R2</v>
      </c>
      <c r="AF333" s="120" t="str">
        <f>INDEX(Tableau1[Repere-Slot],MATCH(Tableau3[[#This Row],[ID-SLOT]],Tableau1[ID-SLOT],0))&amp;""</f>
        <v>S5</v>
      </c>
      <c r="AG333" s="120" t="str">
        <f>INDEX(Tableau2[Repere-Voie],MATCH(Tableau3[[#This Row],[ID-VOIE]],Tableau2[ID-Voie],0))&amp;""</f>
        <v>v3</v>
      </c>
      <c r="AH333" s="122" t="str">
        <f>Tableau3[[#This Row],[ID-API]]&amp; "." &amp;Tableau3[[#This Row],[ID-RACK]]&amp; "." &amp;Tableau3[[#This Row],[ID-SLOT]]</f>
        <v>2.2.5</v>
      </c>
      <c r="AI333" s="72" t="str">
        <f>INDEX(Tableau1[Ref-Carte],MATCH(Tableau3[[#This Row],[ID-RRS]],Tableau1[ID-RRS],0))</f>
        <v>SDI1602</v>
      </c>
      <c r="AJ333" s="72" t="str">
        <f t="array" ref="AJ333">IFERROR(INDEX(Tableau2[TS],MATCH(1,(Tableau2[Ref-Carte]=Tableau3[[#This Row],[Ref-Carte2]])*(Tableau2[ID-Voie]=Tableau3[[#This Row],[ID-VOIE]]),0)),"")</f>
        <v>ET</v>
      </c>
      <c r="AK333" s="72" t="str">
        <f>IFERROR(INDEX(Tableau2[TS],SUMPRODUCT((Tableau2[Ref-Carte]=Tableau3[[#This Row],[Ref-Carte2]])*(Tableau2[ID-Voie]=Tableau3[[#This Row],[ID-VOIE]])*ROW(Tableau2[TS]))-ROW(Tableau2[#Headers])),"")</f>
        <v>ET</v>
      </c>
      <c r="AL333" s="122" t="str">
        <f>Tableau3[[#This Row],[Ref-Carte2]]&amp;"/"&amp;Tableau3[[#This Row],[ID-VOIE]]</f>
        <v>SDI1602/3</v>
      </c>
      <c r="AM333" s="145" t="str">
        <f>INDEX(Tableau2[Borne],MATCH(Tableau3[[#This Row],[ID-CARTEVOIE]],Tableau2[ID-CARTEVOIE],0))&amp;""</f>
        <v>1A</v>
      </c>
      <c r="AN333" s="124" t="str">
        <f>Tableau3[[#This Row],[ID-API]]&amp;Tableau3[[#This Row],[ID-RACK]]&amp;Tableau3[[#This Row],[ID-SLOT]]&amp;Tableau3[[#This Row],[BORNE]]</f>
        <v>2251A</v>
      </c>
      <c r="AO333" s="125"/>
    </row>
    <row r="334" spans="1:41" ht="20.100000000000001" customHeight="1" thickTop="1" thickBot="1">
      <c r="A334" s="134"/>
      <c r="B334" s="135" t="str">
        <f>IFERROR(INDEX(Tableau4[Date],MATCH($A334,Tableau4[EVO],0)),"")</f>
        <v/>
      </c>
      <c r="C334" s="136" t="str">
        <f>IFERROR(INDEX(Tableau4[Designation],MATCH($A334,Tableau4[EVO],0)),"")</f>
        <v/>
      </c>
      <c r="D334" s="134"/>
      <c r="E334" s="137">
        <v>167</v>
      </c>
      <c r="F334" s="138">
        <v>85</v>
      </c>
      <c r="G334" s="139" t="str">
        <f>INDEX(Tableau8[Att1],MATCH(Tableau3[[#This Row],[ID-INS]],Tableau8[ID],0))&amp;""</f>
        <v>V1</v>
      </c>
      <c r="H334" s="139" t="str">
        <f>INDEX(Tableau8[Att2],MATCH(Tableau3[[#This Row],[ID-INS]],Tableau8[ID],0))&amp;""</f>
        <v>B31</v>
      </c>
      <c r="I334" s="139" t="str">
        <f>INDEX(Tableau8[Att3],MATCH(Tableau3[[#This Row],[ID-INS]],Tableau8[ID],0))&amp;""</f>
        <v>Boucle B31</v>
      </c>
      <c r="J334" s="101"/>
      <c r="K334" s="167" t="str">
        <f>INDEX(Tableau8[Nom du modele],MATCH(Tableau3[[#This Row],[ID-INS]],Tableau8[ID],0))&amp;""</f>
        <v>Boucle</v>
      </c>
      <c r="L334" s="141" t="str">
        <f>INDEX(Tableau5[Att1],MATCH(Tableau3[[#This Row],[ID-SIG]],Tableau5[ID],0))&amp;""</f>
        <v>Pres</v>
      </c>
      <c r="M334" s="141" t="str">
        <f>INDEX(Tableau5[Att2],MATCH(Tableau3[[#This Row],[ID-SIG]],Tableau5[ID],0))&amp;""</f>
        <v/>
      </c>
      <c r="N334" s="141" t="str">
        <f>INDEX(Tableau5[Att3],MATCH(Tableau3[[#This Row],[ID-SIG]],Tableau5[ID],0))&amp;""</f>
        <v/>
      </c>
      <c r="O334" s="99"/>
      <c r="P334" s="141" t="str">
        <f>INDEX(Tableau5[Description],MATCH(Tableau3[[#This Row],[ID-SIG]],Tableau5[ID],0))</f>
        <v>Présence</v>
      </c>
      <c r="Q334" s="99"/>
      <c r="R334" s="142" t="str">
        <f>Tableau3[[#This Row],[Description]]</f>
        <v>Présence</v>
      </c>
      <c r="U334" s="87">
        <v>2</v>
      </c>
      <c r="V334" s="87">
        <v>2</v>
      </c>
      <c r="W334" s="87">
        <v>5</v>
      </c>
      <c r="X334" s="87">
        <v>4</v>
      </c>
      <c r="Y334" s="40"/>
      <c r="Z334" s="165" t="str">
        <f>INDEX(Tableau2[TS],MATCH(Tableau3[[#This Row],[ID-CARTEVOIE]],Tableau2[ID-CARTEVOIE],0))</f>
        <v>ET</v>
      </c>
      <c r="AA334" s="144" t="s">
        <v>213</v>
      </c>
      <c r="AB334" s="224" t="str">
        <f>IFERROR(INDEX(Tableau5[Reserve],MATCH(Tableau3[[#This Row],[ID-SIG]],Tableau5[ID],0))&amp;"","")</f>
        <v/>
      </c>
      <c r="AC334" s="119"/>
      <c r="AD334" s="120" t="str">
        <f>INDEX(Tableau7[Repere],MATCH(Tableau3[[#This Row],[ID-API]],Tableau7[ID-API],0))&amp;""</f>
        <v>A2</v>
      </c>
      <c r="AE334" s="120" t="str">
        <f>INDEX(Tableau1[Repere-Rack],MATCH(Tableau3[[#This Row],[ID-RACK]],Tableau1[ID-RACK],0))&amp;""</f>
        <v>R2</v>
      </c>
      <c r="AF334" s="120" t="str">
        <f>INDEX(Tableau1[Repere-Slot],MATCH(Tableau3[[#This Row],[ID-SLOT]],Tableau1[ID-SLOT],0))&amp;""</f>
        <v>S5</v>
      </c>
      <c r="AG334" s="120" t="str">
        <f>INDEX(Tableau2[Repere-Voie],MATCH(Tableau3[[#This Row],[ID-VOIE]],Tableau2[ID-Voie],0))&amp;""</f>
        <v>v4</v>
      </c>
      <c r="AH334" s="122" t="str">
        <f>Tableau3[[#This Row],[ID-API]]&amp; "." &amp;Tableau3[[#This Row],[ID-RACK]]&amp; "." &amp;Tableau3[[#This Row],[ID-SLOT]]</f>
        <v>2.2.5</v>
      </c>
      <c r="AI334" s="72" t="str">
        <f>INDEX(Tableau1[Ref-Carte],MATCH(Tableau3[[#This Row],[ID-RRS]],Tableau1[ID-RRS],0))</f>
        <v>SDI1602</v>
      </c>
      <c r="AJ334" s="72" t="str">
        <f t="array" ref="AJ334">IFERROR(INDEX(Tableau2[TS],MATCH(1,(Tableau2[Ref-Carte]=Tableau3[[#This Row],[Ref-Carte2]])*(Tableau2[ID-Voie]=Tableau3[[#This Row],[ID-VOIE]]),0)),"")</f>
        <v>ET</v>
      </c>
      <c r="AK334" s="72" t="str">
        <f>IFERROR(INDEX(Tableau2[TS],SUMPRODUCT((Tableau2[Ref-Carte]=Tableau3[[#This Row],[Ref-Carte2]])*(Tableau2[ID-Voie]=Tableau3[[#This Row],[ID-VOIE]])*ROW(Tableau2[TS]))-ROW(Tableau2[#Headers])),"")</f>
        <v>ET</v>
      </c>
      <c r="AL334" s="122" t="str">
        <f>Tableau3[[#This Row],[Ref-Carte2]]&amp;"/"&amp;Tableau3[[#This Row],[ID-VOIE]]</f>
        <v>SDI1602/4</v>
      </c>
      <c r="AM334" s="145" t="str">
        <f>INDEX(Tableau2[Borne],MATCH(Tableau3[[#This Row],[ID-CARTEVOIE]],Tableau2[ID-CARTEVOIE],0))&amp;""</f>
        <v>2B</v>
      </c>
      <c r="AN334" s="124" t="str">
        <f>Tableau3[[#This Row],[ID-API]]&amp;Tableau3[[#This Row],[ID-RACK]]&amp;Tableau3[[#This Row],[ID-SLOT]]&amp;Tableau3[[#This Row],[BORNE]]</f>
        <v>2252B</v>
      </c>
      <c r="AO334" s="125"/>
    </row>
    <row r="335" spans="1:41" ht="20.100000000000001" customHeight="1" thickTop="1" thickBot="1">
      <c r="A335" s="68"/>
      <c r="B335" s="69" t="str">
        <f>IFERROR(INDEX(Tableau4[Date],MATCH($A335,Tableau4[EVO],0)),"")</f>
        <v/>
      </c>
      <c r="C335" s="68" t="str">
        <f>IFERROR(INDEX(Tableau4[Designation],MATCH($A335,Tableau4[EVO],0)),"")</f>
        <v/>
      </c>
      <c r="D335" s="68"/>
      <c r="E335" s="70">
        <v>170</v>
      </c>
      <c r="F335" s="71">
        <v>84</v>
      </c>
      <c r="G335" s="101" t="str">
        <f>INDEX(Tableau8[Att1],MATCH(Tableau3[[#This Row],[ID-INS]],Tableau8[ID],0))&amp;""</f>
        <v>V1</v>
      </c>
      <c r="H335" s="101" t="str">
        <f>INDEX(Tableau8[Att2],MATCH(Tableau3[[#This Row],[ID-INS]],Tableau8[ID],0))&amp;""</f>
        <v>B34</v>
      </c>
      <c r="I335" s="101" t="str">
        <f>INDEX(Tableau8[Att3],MATCH(Tableau3[[#This Row],[ID-INS]],Tableau8[ID],0))&amp;""</f>
        <v>Boucle B34</v>
      </c>
      <c r="J335" s="101"/>
      <c r="K335" s="167" t="str">
        <f>INDEX(Tableau8[Nom du modele],MATCH(Tableau3[[#This Row],[ID-INS]],Tableau8[ID],0))&amp;""</f>
        <v>Boucle</v>
      </c>
      <c r="L335" s="141" t="str">
        <f>INDEX(Tableau5[Att1],MATCH(Tableau3[[#This Row],[ID-SIG]],Tableau5[ID],0))&amp;""</f>
        <v>Def</v>
      </c>
      <c r="M335" s="99" t="str">
        <f>INDEX(Tableau5[Att2],MATCH(Tableau3[[#This Row],[ID-SIG]],Tableau5[ID],0))&amp;""</f>
        <v/>
      </c>
      <c r="N335" s="99" t="str">
        <f>INDEX(Tableau5[Att3],MATCH(Tableau3[[#This Row],[ID-SIG]],Tableau5[ID],0))&amp;""</f>
        <v/>
      </c>
      <c r="O335" s="99"/>
      <c r="P335" s="141" t="str">
        <f>INDEX(Tableau5[Description],MATCH(Tableau3[[#This Row],[ID-SIG]],Tableau5[ID],0))</f>
        <v>Défaut</v>
      </c>
      <c r="Q335" s="99"/>
      <c r="R335" s="103" t="str">
        <f>Tableau3[[#This Row],[Description]]</f>
        <v>Défaut</v>
      </c>
      <c r="U335" s="87">
        <v>2</v>
      </c>
      <c r="V335" s="87">
        <v>2</v>
      </c>
      <c r="W335" s="87">
        <v>5</v>
      </c>
      <c r="X335" s="87">
        <v>5</v>
      </c>
      <c r="Y335" s="40"/>
      <c r="Z335" s="165" t="str">
        <f>INDEX(Tableau2[TS],MATCH(Tableau3[[#This Row],[ID-CARTEVOIE]],Tableau2[ID-CARTEVOIE],0))</f>
        <v>ET</v>
      </c>
      <c r="AA335" s="53" t="s">
        <v>213</v>
      </c>
      <c r="AB335" s="223" t="str">
        <f>IFERROR(INDEX(Tableau5[Reserve],MATCH(Tableau3[[#This Row],[ID-SIG]],Tableau5[ID],0))&amp;"","")</f>
        <v/>
      </c>
      <c r="AC335" s="21"/>
      <c r="AD335" s="108" t="str">
        <f>INDEX(Tableau7[Repere],MATCH(Tableau3[[#This Row],[ID-API]],Tableau7[ID-API],0))&amp;""</f>
        <v>A2</v>
      </c>
      <c r="AE335" s="108" t="str">
        <f>INDEX(Tableau1[Repere-Rack],MATCH(Tableau3[[#This Row],[ID-RACK]],Tableau1[ID-RACK],0))&amp;""</f>
        <v>R2</v>
      </c>
      <c r="AF335" s="108" t="str">
        <f>INDEX(Tableau1[Repere-Slot],MATCH(Tableau3[[#This Row],[ID-SLOT]],Tableau1[ID-SLOT],0))&amp;""</f>
        <v>S5</v>
      </c>
      <c r="AG335" s="108" t="str">
        <f>INDEX(Tableau2[Repere-Voie],MATCH(Tableau3[[#This Row],[ID-VOIE]],Tableau2[ID-Voie],0))&amp;""</f>
        <v>v5</v>
      </c>
      <c r="AH335" s="72" t="str">
        <f>Tableau3[[#This Row],[ID-API]]&amp; "." &amp;Tableau3[[#This Row],[ID-RACK]]&amp; "." &amp;Tableau3[[#This Row],[ID-SLOT]]</f>
        <v>2.2.5</v>
      </c>
      <c r="AI335" s="72" t="str">
        <f>INDEX(Tableau1[Ref-Carte],MATCH(Tableau3[[#This Row],[ID-RRS]],Tableau1[ID-RRS],0))</f>
        <v>SDI1602</v>
      </c>
      <c r="AJ335" s="72" t="str">
        <f t="array" ref="AJ335">IFERROR(INDEX(Tableau2[TS],MATCH(1,(Tableau2[Ref-Carte]=Tableau3[[#This Row],[Ref-Carte2]])*(Tableau2[ID-Voie]=Tableau3[[#This Row],[ID-VOIE]]),0)),"")</f>
        <v>ET</v>
      </c>
      <c r="AK335" s="72" t="str">
        <f>IFERROR(INDEX(Tableau2[TS],SUMPRODUCT((Tableau2[Ref-Carte]=Tableau3[[#This Row],[Ref-Carte2]])*(Tableau2[ID-Voie]=Tableau3[[#This Row],[ID-VOIE]])*ROW(Tableau2[TS]))-ROW(Tableau2[#Headers])),"")</f>
        <v>ET</v>
      </c>
      <c r="AL335" s="72" t="str">
        <f>Tableau3[[#This Row],[Ref-Carte2]]&amp;"/"&amp;Tableau3[[#This Row],[ID-VOIE]]</f>
        <v>SDI1602/5</v>
      </c>
      <c r="AM335" s="73" t="str">
        <f>INDEX(Tableau2[Borne],MATCH(Tableau3[[#This Row],[ID-CARTEVOIE]],Tableau2[ID-CARTEVOIE],0))&amp;""</f>
        <v>2A</v>
      </c>
      <c r="AN335" s="74" t="str">
        <f>Tableau3[[#This Row],[ID-API]]&amp;Tableau3[[#This Row],[ID-RACK]]&amp;Tableau3[[#This Row],[ID-SLOT]]&amp;Tableau3[[#This Row],[BORNE]]</f>
        <v>2252A</v>
      </c>
      <c r="AO335" s="1"/>
    </row>
    <row r="336" spans="1:41" ht="20.100000000000001" customHeight="1" thickTop="1" thickBot="1">
      <c r="A336" s="68"/>
      <c r="B336" s="69" t="str">
        <f>IFERROR(INDEX(Tableau4[Date],MATCH($A336,Tableau4[EVO],0)),"")</f>
        <v/>
      </c>
      <c r="C336" s="68" t="str">
        <f>IFERROR(INDEX(Tableau4[Designation],MATCH($A336,Tableau4[EVO],0)),"")</f>
        <v/>
      </c>
      <c r="D336" s="68"/>
      <c r="E336" s="70">
        <v>170</v>
      </c>
      <c r="F336" s="71">
        <v>85</v>
      </c>
      <c r="G336" s="101" t="str">
        <f>INDEX(Tableau8[Att1],MATCH(Tableau3[[#This Row],[ID-INS]],Tableau8[ID],0))&amp;""</f>
        <v>V1</v>
      </c>
      <c r="H336" s="101" t="str">
        <f>INDEX(Tableau8[Att2],MATCH(Tableau3[[#This Row],[ID-INS]],Tableau8[ID],0))&amp;""</f>
        <v>B34</v>
      </c>
      <c r="I336" s="101" t="str">
        <f>INDEX(Tableau8[Att3],MATCH(Tableau3[[#This Row],[ID-INS]],Tableau8[ID],0))&amp;""</f>
        <v>Boucle B34</v>
      </c>
      <c r="J336" s="101"/>
      <c r="K336" s="167" t="str">
        <f>INDEX(Tableau8[Nom du modele],MATCH(Tableau3[[#This Row],[ID-INS]],Tableau8[ID],0))&amp;""</f>
        <v>Boucle</v>
      </c>
      <c r="L336" s="99" t="str">
        <f>INDEX(Tableau5[Att1],MATCH(Tableau3[[#This Row],[ID-SIG]],Tableau5[ID],0))&amp;""</f>
        <v>Pres</v>
      </c>
      <c r="M336" s="99" t="str">
        <f>INDEX(Tableau5[Att2],MATCH(Tableau3[[#This Row],[ID-SIG]],Tableau5[ID],0))&amp;""</f>
        <v/>
      </c>
      <c r="N336" s="99" t="str">
        <f>INDEX(Tableau5[Att3],MATCH(Tableau3[[#This Row],[ID-SIG]],Tableau5[ID],0))&amp;""</f>
        <v/>
      </c>
      <c r="O336" s="99"/>
      <c r="P336" s="99" t="str">
        <f>INDEX(Tableau5[Description],MATCH(Tableau3[[#This Row],[ID-SIG]],Tableau5[ID],0))</f>
        <v>Présence</v>
      </c>
      <c r="Q336" s="99"/>
      <c r="R336" s="103" t="str">
        <f>Tableau3[[#This Row],[Description]]</f>
        <v>Présence</v>
      </c>
      <c r="U336" s="87">
        <v>2</v>
      </c>
      <c r="V336" s="87">
        <v>2</v>
      </c>
      <c r="W336" s="87">
        <v>5</v>
      </c>
      <c r="X336" s="87">
        <v>6</v>
      </c>
      <c r="Y336" s="40"/>
      <c r="Z336" s="165" t="str">
        <f>INDEX(Tableau2[TS],MATCH(Tableau3[[#This Row],[ID-CARTEVOIE]],Tableau2[ID-CARTEVOIE],0))</f>
        <v>ET</v>
      </c>
      <c r="AA336" s="53" t="s">
        <v>213</v>
      </c>
      <c r="AB336" s="223" t="str">
        <f>IFERROR(INDEX(Tableau5[Reserve],MATCH(Tableau3[[#This Row],[ID-SIG]],Tableau5[ID],0))&amp;"","")</f>
        <v/>
      </c>
      <c r="AC336" s="21"/>
      <c r="AD336" s="108" t="str">
        <f>INDEX(Tableau7[Repere],MATCH(Tableau3[[#This Row],[ID-API]],Tableau7[ID-API],0))&amp;""</f>
        <v>A2</v>
      </c>
      <c r="AE336" s="108" t="str">
        <f>INDEX(Tableau1[Repere-Rack],MATCH(Tableau3[[#This Row],[ID-RACK]],Tableau1[ID-RACK],0))&amp;""</f>
        <v>R2</v>
      </c>
      <c r="AF336" s="108" t="str">
        <f>INDEX(Tableau1[Repere-Slot],MATCH(Tableau3[[#This Row],[ID-SLOT]],Tableau1[ID-SLOT],0))&amp;""</f>
        <v>S5</v>
      </c>
      <c r="AG336" s="108" t="str">
        <f>INDEX(Tableau2[Repere-Voie],MATCH(Tableau3[[#This Row],[ID-VOIE]],Tableau2[ID-Voie],0))&amp;""</f>
        <v>v6</v>
      </c>
      <c r="AH336" s="72" t="str">
        <f>Tableau3[[#This Row],[ID-API]]&amp; "." &amp;Tableau3[[#This Row],[ID-RACK]]&amp; "." &amp;Tableau3[[#This Row],[ID-SLOT]]</f>
        <v>2.2.5</v>
      </c>
      <c r="AI336" s="72" t="str">
        <f>INDEX(Tableau1[Ref-Carte],MATCH(Tableau3[[#This Row],[ID-RRS]],Tableau1[ID-RRS],0))</f>
        <v>SDI1602</v>
      </c>
      <c r="AJ336" s="72" t="str">
        <f t="array" ref="AJ336">IFERROR(INDEX(Tableau2[TS],MATCH(1,(Tableau2[Ref-Carte]=Tableau3[[#This Row],[Ref-Carte2]])*(Tableau2[ID-Voie]=Tableau3[[#This Row],[ID-VOIE]]),0)),"")</f>
        <v>ET</v>
      </c>
      <c r="AK336" s="72" t="str">
        <f>IFERROR(INDEX(Tableau2[TS],SUMPRODUCT((Tableau2[Ref-Carte]=Tableau3[[#This Row],[Ref-Carte2]])*(Tableau2[ID-Voie]=Tableau3[[#This Row],[ID-VOIE]])*ROW(Tableau2[TS]))-ROW(Tableau2[#Headers])),"")</f>
        <v>ET</v>
      </c>
      <c r="AL336" s="72" t="str">
        <f>Tableau3[[#This Row],[Ref-Carte2]]&amp;"/"&amp;Tableau3[[#This Row],[ID-VOIE]]</f>
        <v>SDI1602/6</v>
      </c>
      <c r="AM336" s="73" t="str">
        <f>INDEX(Tableau2[Borne],MATCH(Tableau3[[#This Row],[ID-CARTEVOIE]],Tableau2[ID-CARTEVOIE],0))&amp;""</f>
        <v>3B</v>
      </c>
      <c r="AN336" s="74" t="str">
        <f>Tableau3[[#This Row],[ID-API]]&amp;Tableau3[[#This Row],[ID-RACK]]&amp;Tableau3[[#This Row],[ID-SLOT]]&amp;Tableau3[[#This Row],[BORNE]]</f>
        <v>2253B</v>
      </c>
      <c r="AO336" s="1"/>
    </row>
    <row r="337" spans="1:41" ht="20.100000000000001" customHeight="1" thickTop="1" thickBot="1">
      <c r="A337" s="68"/>
      <c r="B337" s="69" t="str">
        <f>IFERROR(INDEX(Tableau4[Date],MATCH($A337,Tableau4[EVO],0)),"")</f>
        <v/>
      </c>
      <c r="C337" s="68" t="str">
        <f>IFERROR(INDEX(Tableau4[Designation],MATCH($A337,Tableau4[EVO],0)),"")</f>
        <v/>
      </c>
      <c r="D337" s="68"/>
      <c r="E337" s="70">
        <v>177</v>
      </c>
      <c r="F337" s="71">
        <v>1</v>
      </c>
      <c r="G337" s="101" t="str">
        <f>INDEX(Tableau8[Att1],MATCH(Tableau3[[#This Row],[ID-INS]],Tableau8[ID],0))&amp;""</f>
        <v>V1</v>
      </c>
      <c r="H337" s="101" t="str">
        <f>INDEX(Tableau8[Att2],MATCH(Tableau3[[#This Row],[ID-INS]],Tableau8[ID],0))&amp;""</f>
        <v>BP3</v>
      </c>
      <c r="I337" s="101" t="str">
        <f>INDEX(Tableau8[Att3],MATCH(Tableau3[[#This Row],[ID-INS]],Tableau8[ID],0))&amp;""</f>
        <v>Bouton d'acquittement contrôle aléatoire V1</v>
      </c>
      <c r="J337" s="101"/>
      <c r="K337" s="167" t="str">
        <f>INDEX(Tableau8[Nom du modele],MATCH(Tableau3[[#This Row],[ID-INS]],Tableau8[ID],0))&amp;""</f>
        <v>BoutonPoussoir</v>
      </c>
      <c r="L337" s="99" t="str">
        <f>INDEX(Tableau5[Att1],MATCH(Tableau3[[#This Row],[ID-SIG]],Tableau5[ID],0))&amp;""</f>
        <v>Appui</v>
      </c>
      <c r="M337" s="99" t="str">
        <f>INDEX(Tableau5[Att2],MATCH(Tableau3[[#This Row],[ID-SIG]],Tableau5[ID],0))&amp;""</f>
        <v/>
      </c>
      <c r="N337" s="99" t="str">
        <f>INDEX(Tableau5[Att3],MATCH(Tableau3[[#This Row],[ID-SIG]],Tableau5[ID],0))&amp;""</f>
        <v/>
      </c>
      <c r="O337" s="99"/>
      <c r="P337" s="99" t="str">
        <f>INDEX(Tableau5[Description],MATCH(Tableau3[[#This Row],[ID-SIG]],Tableau5[ID],0))</f>
        <v>Appui</v>
      </c>
      <c r="Q337" s="99"/>
      <c r="R337" s="103" t="str">
        <f>Tableau3[[#This Row],[Description]]</f>
        <v>Appui</v>
      </c>
      <c r="T337" s="85"/>
      <c r="U337" s="87">
        <v>2</v>
      </c>
      <c r="V337" s="87">
        <v>2</v>
      </c>
      <c r="W337" s="87">
        <v>5</v>
      </c>
      <c r="X337" s="87">
        <v>7</v>
      </c>
      <c r="Y337" s="40"/>
      <c r="Z337" s="165" t="str">
        <f>INDEX(Tableau2[TS],MATCH(Tableau3[[#This Row],[ID-CARTEVOIE]],Tableau2[ID-CARTEVOIE],0))</f>
        <v>ET</v>
      </c>
      <c r="AA337" s="53" t="s">
        <v>213</v>
      </c>
      <c r="AB337" s="223" t="str">
        <f>IFERROR(INDEX(Tableau5[Reserve],MATCH(Tableau3[[#This Row],[ID-SIG]],Tableau5[ID],0))&amp;"","")</f>
        <v/>
      </c>
      <c r="AC337" s="21"/>
      <c r="AD337" s="108" t="str">
        <f>INDEX(Tableau7[Repere],MATCH(Tableau3[[#This Row],[ID-API]],Tableau7[ID-API],0))&amp;""</f>
        <v>A2</v>
      </c>
      <c r="AE337" s="108" t="str">
        <f>INDEX(Tableau1[Repere-Rack],MATCH(Tableau3[[#This Row],[ID-RACK]],Tableau1[ID-RACK],0))&amp;""</f>
        <v>R2</v>
      </c>
      <c r="AF337" s="108" t="str">
        <f>INDEX(Tableau1[Repere-Slot],MATCH(Tableau3[[#This Row],[ID-SLOT]],Tableau1[ID-SLOT],0))&amp;""</f>
        <v>S5</v>
      </c>
      <c r="AG337" s="108" t="str">
        <f>INDEX(Tableau2[Repere-Voie],MATCH(Tableau3[[#This Row],[ID-VOIE]],Tableau2[ID-Voie],0))&amp;""</f>
        <v>v7</v>
      </c>
      <c r="AH337" s="72" t="str">
        <f>Tableau3[[#This Row],[ID-API]]&amp; "." &amp;Tableau3[[#This Row],[ID-RACK]]&amp; "." &amp;Tableau3[[#This Row],[ID-SLOT]]</f>
        <v>2.2.5</v>
      </c>
      <c r="AI337" s="72" t="str">
        <f>INDEX(Tableau1[Ref-Carte],MATCH(Tableau3[[#This Row],[ID-RRS]],Tableau1[ID-RRS],0))</f>
        <v>SDI1602</v>
      </c>
      <c r="AJ337" s="72" t="str">
        <f t="array" ref="AJ337">IFERROR(INDEX(Tableau2[TS],MATCH(1,(Tableau2[Ref-Carte]=Tableau3[[#This Row],[Ref-Carte2]])*(Tableau2[ID-Voie]=Tableau3[[#This Row],[ID-VOIE]]),0)),"")</f>
        <v>ET</v>
      </c>
      <c r="AK337" s="72" t="str">
        <f>IFERROR(INDEX(Tableau2[TS],SUMPRODUCT((Tableau2[Ref-Carte]=Tableau3[[#This Row],[Ref-Carte2]])*(Tableau2[ID-Voie]=Tableau3[[#This Row],[ID-VOIE]])*ROW(Tableau2[TS]))-ROW(Tableau2[#Headers])),"")</f>
        <v>ET</v>
      </c>
      <c r="AL337" s="72" t="str">
        <f>Tableau3[[#This Row],[Ref-Carte2]]&amp;"/"&amp;Tableau3[[#This Row],[ID-VOIE]]</f>
        <v>SDI1602/7</v>
      </c>
      <c r="AM337" s="73" t="str">
        <f>INDEX(Tableau2[Borne],MATCH(Tableau3[[#This Row],[ID-CARTEVOIE]],Tableau2[ID-CARTEVOIE],0))&amp;""</f>
        <v>3A</v>
      </c>
      <c r="AN337" s="74" t="str">
        <f>Tableau3[[#This Row],[ID-API]]&amp;Tableau3[[#This Row],[ID-RACK]]&amp;Tableau3[[#This Row],[ID-SLOT]]&amp;Tableau3[[#This Row],[BORNE]]</f>
        <v>2253A</v>
      </c>
      <c r="AO337" s="1"/>
    </row>
    <row r="338" spans="1:41" ht="20.100000000000001" customHeight="1" thickTop="1" thickBot="1">
      <c r="A338" s="68"/>
      <c r="B338" s="69" t="str">
        <f>IFERROR(INDEX(Tableau4[Date],MATCH($A338,Tableau4[EVO],0)),"")</f>
        <v/>
      </c>
      <c r="C338" s="68" t="str">
        <f>IFERROR(INDEX(Tableau4[Designation],MATCH($A338,Tableau4[EVO],0)),"")</f>
        <v/>
      </c>
      <c r="D338" s="68"/>
      <c r="E338" s="70">
        <v>199</v>
      </c>
      <c r="F338" s="71">
        <v>104</v>
      </c>
      <c r="G338" s="101" t="str">
        <f>INDEX(Tableau8[Att1],MATCH(Tableau3[[#This Row],[ID-INS]],Tableau8[ID],0))&amp;""</f>
        <v>X</v>
      </c>
      <c r="H338" s="101" t="str">
        <f>INDEX(Tableau8[Att2],MATCH(Tableau3[[#This Row],[ID-INS]],Tableau8[ID],0))&amp;""</f>
        <v>EL17</v>
      </c>
      <c r="I338" s="101" t="str">
        <f>INDEX(Tableau8[Att3],MATCH(Tableau3[[#This Row],[ID-INS]],Tableau8[ID],0))&amp;""</f>
        <v>RIO2/3 Défaut batterie</v>
      </c>
      <c r="J338" s="101"/>
      <c r="K338" s="167" t="str">
        <f>INDEX(Tableau8[Nom du modele],MATCH(Tableau3[[#This Row],[ID-INS]],Tableau8[ID],0))&amp;""</f>
        <v>SurvElec</v>
      </c>
      <c r="L338" s="99" t="str">
        <f>INDEX(Tableau5[Att1],MATCH(Tableau3[[#This Row],[ID-SIG]],Tableau5[ID],0))&amp;""</f>
        <v>Def</v>
      </c>
      <c r="M338" s="99" t="str">
        <f>INDEX(Tableau5[Att2],MATCH(Tableau3[[#This Row],[ID-SIG]],Tableau5[ID],0))&amp;""</f>
        <v/>
      </c>
      <c r="N338" s="99" t="str">
        <f>INDEX(Tableau5[Att3],MATCH(Tableau3[[#This Row],[ID-SIG]],Tableau5[ID],0))&amp;""</f>
        <v/>
      </c>
      <c r="O338" s="99"/>
      <c r="P338" s="99" t="str">
        <f>INDEX(Tableau5[Description],MATCH(Tableau3[[#This Row],[ID-SIG]],Tableau5[ID],0))</f>
        <v>Défaut</v>
      </c>
      <c r="Q338" s="99"/>
      <c r="R338" s="103" t="str">
        <f>Tableau3[[#This Row],[Description]]</f>
        <v>Défaut</v>
      </c>
      <c r="U338" s="87">
        <v>2</v>
      </c>
      <c r="V338" s="87">
        <v>2</v>
      </c>
      <c r="W338" s="87">
        <v>5</v>
      </c>
      <c r="X338" s="87">
        <v>8</v>
      </c>
      <c r="Y338" s="40"/>
      <c r="Z338" s="165" t="str">
        <f>INDEX(Tableau2[TS],MATCH(Tableau3[[#This Row],[ID-CARTEVOIE]],Tableau2[ID-CARTEVOIE],0))</f>
        <v>ET</v>
      </c>
      <c r="AA338" s="53" t="s">
        <v>213</v>
      </c>
      <c r="AB338" s="223" t="str">
        <f>IFERROR(INDEX(Tableau5[Reserve],MATCH(Tableau3[[#This Row],[ID-SIG]],Tableau5[ID],0))&amp;"","")</f>
        <v/>
      </c>
      <c r="AC338" s="21"/>
      <c r="AD338" s="108" t="str">
        <f>INDEX(Tableau7[Repere],MATCH(Tableau3[[#This Row],[ID-API]],Tableau7[ID-API],0))&amp;""</f>
        <v>A2</v>
      </c>
      <c r="AE338" s="108" t="str">
        <f>INDEX(Tableau1[Repere-Rack],MATCH(Tableau3[[#This Row],[ID-RACK]],Tableau1[ID-RACK],0))&amp;""</f>
        <v>R2</v>
      </c>
      <c r="AF338" s="108" t="str">
        <f>INDEX(Tableau1[Repere-Slot],MATCH(Tableau3[[#This Row],[ID-SLOT]],Tableau1[ID-SLOT],0))&amp;""</f>
        <v>S5</v>
      </c>
      <c r="AG338" s="108" t="str">
        <f>INDEX(Tableau2[Repere-Voie],MATCH(Tableau3[[#This Row],[ID-VOIE]],Tableau2[ID-Voie],0))&amp;""</f>
        <v>v8</v>
      </c>
      <c r="AH338" s="72" t="str">
        <f>Tableau3[[#This Row],[ID-API]]&amp; "." &amp;Tableau3[[#This Row],[ID-RACK]]&amp; "." &amp;Tableau3[[#This Row],[ID-SLOT]]</f>
        <v>2.2.5</v>
      </c>
      <c r="AI338" s="72" t="str">
        <f>INDEX(Tableau1[Ref-Carte],MATCH(Tableau3[[#This Row],[ID-RRS]],Tableau1[ID-RRS],0))</f>
        <v>SDI1602</v>
      </c>
      <c r="AJ338" s="72" t="str">
        <f t="array" ref="AJ338">IFERROR(INDEX(Tableau2[TS],MATCH(1,(Tableau2[Ref-Carte]=Tableau3[[#This Row],[Ref-Carte2]])*(Tableau2[ID-Voie]=Tableau3[[#This Row],[ID-VOIE]]),0)),"")</f>
        <v>ET</v>
      </c>
      <c r="AK338" s="72" t="str">
        <f>IFERROR(INDEX(Tableau2[TS],SUMPRODUCT((Tableau2[Ref-Carte]=Tableau3[[#This Row],[Ref-Carte2]])*(Tableau2[ID-Voie]=Tableau3[[#This Row],[ID-VOIE]])*ROW(Tableau2[TS]))-ROW(Tableau2[#Headers])),"")</f>
        <v>ET</v>
      </c>
      <c r="AL338" s="72" t="str">
        <f>Tableau3[[#This Row],[Ref-Carte2]]&amp;"/"&amp;Tableau3[[#This Row],[ID-VOIE]]</f>
        <v>SDI1602/8</v>
      </c>
      <c r="AM338" s="73" t="str">
        <f>INDEX(Tableau2[Borne],MATCH(Tableau3[[#This Row],[ID-CARTEVOIE]],Tableau2[ID-CARTEVOIE],0))&amp;""</f>
        <v>4B</v>
      </c>
      <c r="AN338" s="74" t="str">
        <f>Tableau3[[#This Row],[ID-API]]&amp;Tableau3[[#This Row],[ID-RACK]]&amp;Tableau3[[#This Row],[ID-SLOT]]&amp;Tableau3[[#This Row],[BORNE]]</f>
        <v>2254B</v>
      </c>
      <c r="AO338" s="1"/>
    </row>
    <row r="339" spans="1:41" ht="20.100000000000001" customHeight="1" thickTop="1" thickBot="1">
      <c r="A339" s="68"/>
      <c r="B339" s="69" t="str">
        <f>IFERROR(INDEX(Tableau4[Date],MATCH($A339,Tableau4[EVO],0)),"")</f>
        <v/>
      </c>
      <c r="C339" s="68" t="str">
        <f>IFERROR(INDEX(Tableau4[Designation],MATCH($A339,Tableau4[EVO],0)),"")</f>
        <v/>
      </c>
      <c r="D339" s="68"/>
      <c r="E339" s="70">
        <v>200</v>
      </c>
      <c r="F339" s="71">
        <v>104</v>
      </c>
      <c r="G339" s="101" t="str">
        <f>INDEX(Tableau8[Att1],MATCH(Tableau3[[#This Row],[ID-INS]],Tableau8[ID],0))&amp;""</f>
        <v>X</v>
      </c>
      <c r="H339" s="101" t="str">
        <f>INDEX(Tableau8[Att2],MATCH(Tableau3[[#This Row],[ID-INS]],Tableau8[ID],0))&amp;""</f>
        <v>EL18</v>
      </c>
      <c r="I339" s="101" t="str">
        <f>INDEX(Tableau8[Att3],MATCH(Tableau3[[#This Row],[ID-INS]],Tableau8[ID],0))&amp;""</f>
        <v>RIO2/3 Synthèse disjonction auxiliaire + puissance</v>
      </c>
      <c r="J339" s="101"/>
      <c r="K339" s="167" t="str">
        <f>INDEX(Tableau8[Nom du modele],MATCH(Tableau3[[#This Row],[ID-INS]],Tableau8[ID],0))&amp;""</f>
        <v>SurvElec</v>
      </c>
      <c r="L339" s="99" t="str">
        <f>INDEX(Tableau5[Att1],MATCH(Tableau3[[#This Row],[ID-SIG]],Tableau5[ID],0))&amp;""</f>
        <v>Def</v>
      </c>
      <c r="M339" s="99" t="str">
        <f>INDEX(Tableau5[Att2],MATCH(Tableau3[[#This Row],[ID-SIG]],Tableau5[ID],0))&amp;""</f>
        <v/>
      </c>
      <c r="N339" s="99" t="str">
        <f>INDEX(Tableau5[Att3],MATCH(Tableau3[[#This Row],[ID-SIG]],Tableau5[ID],0))&amp;""</f>
        <v/>
      </c>
      <c r="O339" s="99"/>
      <c r="P339" s="99" t="str">
        <f>INDEX(Tableau5[Description],MATCH(Tableau3[[#This Row],[ID-SIG]],Tableau5[ID],0))</f>
        <v>Défaut</v>
      </c>
      <c r="Q339" s="99"/>
      <c r="R339" s="103" t="str">
        <f>Tableau3[[#This Row],[Description]]</f>
        <v>Défaut</v>
      </c>
      <c r="U339" s="87">
        <v>2</v>
      </c>
      <c r="V339" s="87">
        <v>2</v>
      </c>
      <c r="W339" s="87">
        <v>5</v>
      </c>
      <c r="X339" s="87">
        <v>9</v>
      </c>
      <c r="Y339" s="40"/>
      <c r="Z339" s="165" t="str">
        <f>INDEX(Tableau2[TS],MATCH(Tableau3[[#This Row],[ID-CARTEVOIE]],Tableau2[ID-CARTEVOIE],0))</f>
        <v>ET</v>
      </c>
      <c r="AA339" s="53" t="s">
        <v>213</v>
      </c>
      <c r="AB339" s="223" t="str">
        <f>IFERROR(INDEX(Tableau5[Reserve],MATCH(Tableau3[[#This Row],[ID-SIG]],Tableau5[ID],0))&amp;"","")</f>
        <v/>
      </c>
      <c r="AC339" s="21"/>
      <c r="AD339" s="108" t="str">
        <f>INDEX(Tableau7[Repere],MATCH(Tableau3[[#This Row],[ID-API]],Tableau7[ID-API],0))&amp;""</f>
        <v>A2</v>
      </c>
      <c r="AE339" s="108" t="str">
        <f>INDEX(Tableau1[Repere-Rack],MATCH(Tableau3[[#This Row],[ID-RACK]],Tableau1[ID-RACK],0))&amp;""</f>
        <v>R2</v>
      </c>
      <c r="AF339" s="108" t="str">
        <f>INDEX(Tableau1[Repere-Slot],MATCH(Tableau3[[#This Row],[ID-SLOT]],Tableau1[ID-SLOT],0))&amp;""</f>
        <v>S5</v>
      </c>
      <c r="AG339" s="108" t="str">
        <f>INDEX(Tableau2[Repere-Voie],MATCH(Tableau3[[#This Row],[ID-VOIE]],Tableau2[ID-Voie],0))&amp;""</f>
        <v>v9</v>
      </c>
      <c r="AH339" s="72" t="str">
        <f>Tableau3[[#This Row],[ID-API]]&amp; "." &amp;Tableau3[[#This Row],[ID-RACK]]&amp; "." &amp;Tableau3[[#This Row],[ID-SLOT]]</f>
        <v>2.2.5</v>
      </c>
      <c r="AI339" s="72" t="str">
        <f>INDEX(Tableau1[Ref-Carte],MATCH(Tableau3[[#This Row],[ID-RRS]],Tableau1[ID-RRS],0))</f>
        <v>SDI1602</v>
      </c>
      <c r="AJ339" s="72" t="str">
        <f t="array" ref="AJ339">IFERROR(INDEX(Tableau2[TS],MATCH(1,(Tableau2[Ref-Carte]=Tableau3[[#This Row],[Ref-Carte2]])*(Tableau2[ID-Voie]=Tableau3[[#This Row],[ID-VOIE]]),0)),"")</f>
        <v>ET</v>
      </c>
      <c r="AK339" s="72" t="str">
        <f>IFERROR(INDEX(Tableau2[TS],SUMPRODUCT((Tableau2[Ref-Carte]=Tableau3[[#This Row],[Ref-Carte2]])*(Tableau2[ID-Voie]=Tableau3[[#This Row],[ID-VOIE]])*ROW(Tableau2[TS]))-ROW(Tableau2[#Headers])),"")</f>
        <v>ET</v>
      </c>
      <c r="AL339" s="72" t="str">
        <f>Tableau3[[#This Row],[Ref-Carte2]]&amp;"/"&amp;Tableau3[[#This Row],[ID-VOIE]]</f>
        <v>SDI1602/9</v>
      </c>
      <c r="AM339" s="73" t="str">
        <f>INDEX(Tableau2[Borne],MATCH(Tableau3[[#This Row],[ID-CARTEVOIE]],Tableau2[ID-CARTEVOIE],0))&amp;""</f>
        <v>4A</v>
      </c>
      <c r="AN339" s="74" t="str">
        <f>Tableau3[[#This Row],[ID-API]]&amp;Tableau3[[#This Row],[ID-RACK]]&amp;Tableau3[[#This Row],[ID-SLOT]]&amp;Tableau3[[#This Row],[BORNE]]</f>
        <v>2254A</v>
      </c>
      <c r="AO339" s="1"/>
    </row>
    <row r="340" spans="1:41" ht="20.100000000000001" customHeight="1" thickTop="1" thickBot="1">
      <c r="A340" s="68"/>
      <c r="B340" s="69" t="str">
        <f>IFERROR(INDEX(Tableau4[Date],MATCH($A340,Tableau4[EVO],0)),"")</f>
        <v/>
      </c>
      <c r="C340" s="68" t="str">
        <f>IFERROR(INDEX(Tableau4[Designation],MATCH($A340,Tableau4[EVO],0)),"")</f>
        <v/>
      </c>
      <c r="D340" s="68"/>
      <c r="E340" s="70">
        <v>201</v>
      </c>
      <c r="F340" s="71">
        <v>104</v>
      </c>
      <c r="G340" s="101" t="str">
        <f>INDEX(Tableau8[Att1],MATCH(Tableau3[[#This Row],[ID-INS]],Tableau8[ID],0))&amp;""</f>
        <v>X</v>
      </c>
      <c r="H340" s="101" t="str">
        <f>INDEX(Tableau8[Att2],MATCH(Tableau3[[#This Row],[ID-INS]],Tableau8[ID],0))&amp;""</f>
        <v>EL19</v>
      </c>
      <c r="I340" s="101" t="str">
        <f>INDEX(Tableau8[Att3],MATCH(Tableau3[[#This Row],[ID-INS]],Tableau8[ID],0))&amp;""</f>
        <v>Portail P11</v>
      </c>
      <c r="J340" s="101"/>
      <c r="K340" s="167" t="str">
        <f>INDEX(Tableau8[Nom du modele],MATCH(Tableau3[[#This Row],[ID-INS]],Tableau8[ID],0))&amp;""</f>
        <v>SurvElec</v>
      </c>
      <c r="L340" s="99" t="str">
        <f>INDEX(Tableau5[Att1],MATCH(Tableau3[[#This Row],[ID-SIG]],Tableau5[ID],0))&amp;""</f>
        <v>Def</v>
      </c>
      <c r="M340" s="99" t="str">
        <f>INDEX(Tableau5[Att2],MATCH(Tableau3[[#This Row],[ID-SIG]],Tableau5[ID],0))&amp;""</f>
        <v/>
      </c>
      <c r="N340" s="99" t="str">
        <f>INDEX(Tableau5[Att3],MATCH(Tableau3[[#This Row],[ID-SIG]],Tableau5[ID],0))&amp;""</f>
        <v/>
      </c>
      <c r="O340" s="99"/>
      <c r="P340" s="99" t="str">
        <f>INDEX(Tableau5[Description],MATCH(Tableau3[[#This Row],[ID-SIG]],Tableau5[ID],0))</f>
        <v>Défaut</v>
      </c>
      <c r="Q340" s="99"/>
      <c r="R340" s="103" t="str">
        <f>Tableau3[[#This Row],[Description]]</f>
        <v>Défaut</v>
      </c>
      <c r="U340" s="87">
        <v>2</v>
      </c>
      <c r="V340" s="87">
        <v>2</v>
      </c>
      <c r="W340" s="87">
        <v>5</v>
      </c>
      <c r="X340" s="87">
        <v>10</v>
      </c>
      <c r="Y340" s="40"/>
      <c r="Z340" s="165" t="str">
        <f>INDEX(Tableau2[TS],MATCH(Tableau3[[#This Row],[ID-CARTEVOIE]],Tableau2[ID-CARTEVOIE],0))</f>
        <v>ET</v>
      </c>
      <c r="AA340" s="53" t="s">
        <v>213</v>
      </c>
      <c r="AB340" s="223" t="str">
        <f>IFERROR(INDEX(Tableau5[Reserve],MATCH(Tableau3[[#This Row],[ID-SIG]],Tableau5[ID],0))&amp;"","")</f>
        <v/>
      </c>
      <c r="AC340" s="21"/>
      <c r="AD340" s="108" t="str">
        <f>INDEX(Tableau7[Repere],MATCH(Tableau3[[#This Row],[ID-API]],Tableau7[ID-API],0))&amp;""</f>
        <v>A2</v>
      </c>
      <c r="AE340" s="108" t="str">
        <f>INDEX(Tableau1[Repere-Rack],MATCH(Tableau3[[#This Row],[ID-RACK]],Tableau1[ID-RACK],0))&amp;""</f>
        <v>R2</v>
      </c>
      <c r="AF340" s="108" t="str">
        <f>INDEX(Tableau1[Repere-Slot],MATCH(Tableau3[[#This Row],[ID-SLOT]],Tableau1[ID-SLOT],0))&amp;""</f>
        <v>S5</v>
      </c>
      <c r="AG340" s="108" t="str">
        <f>INDEX(Tableau2[Repere-Voie],MATCH(Tableau3[[#This Row],[ID-VOIE]],Tableau2[ID-Voie],0))&amp;""</f>
        <v>v10</v>
      </c>
      <c r="AH340" s="72" t="str">
        <f>Tableau3[[#This Row],[ID-API]]&amp; "." &amp;Tableau3[[#This Row],[ID-RACK]]&amp; "." &amp;Tableau3[[#This Row],[ID-SLOT]]</f>
        <v>2.2.5</v>
      </c>
      <c r="AI340" s="72" t="str">
        <f>INDEX(Tableau1[Ref-Carte],MATCH(Tableau3[[#This Row],[ID-RRS]],Tableau1[ID-RRS],0))</f>
        <v>SDI1602</v>
      </c>
      <c r="AJ340" s="72" t="str">
        <f t="array" ref="AJ340">IFERROR(INDEX(Tableau2[TS],MATCH(1,(Tableau2[Ref-Carte]=Tableau3[[#This Row],[Ref-Carte2]])*(Tableau2[ID-Voie]=Tableau3[[#This Row],[ID-VOIE]]),0)),"")</f>
        <v>ET</v>
      </c>
      <c r="AK340" s="72" t="str">
        <f>IFERROR(INDEX(Tableau2[TS],SUMPRODUCT((Tableau2[Ref-Carte]=Tableau3[[#This Row],[Ref-Carte2]])*(Tableau2[ID-Voie]=Tableau3[[#This Row],[ID-VOIE]])*ROW(Tableau2[TS]))-ROW(Tableau2[#Headers])),"")</f>
        <v>ET</v>
      </c>
      <c r="AL340" s="72" t="str">
        <f>Tableau3[[#This Row],[Ref-Carte2]]&amp;"/"&amp;Tableau3[[#This Row],[ID-VOIE]]</f>
        <v>SDI1602/10</v>
      </c>
      <c r="AM340" s="73" t="str">
        <f>INDEX(Tableau2[Borne],MATCH(Tableau3[[#This Row],[ID-CARTEVOIE]],Tableau2[ID-CARTEVOIE],0))&amp;""</f>
        <v>5B</v>
      </c>
      <c r="AN340" s="74" t="str">
        <f>Tableau3[[#This Row],[ID-API]]&amp;Tableau3[[#This Row],[ID-RACK]]&amp;Tableau3[[#This Row],[ID-SLOT]]&amp;Tableau3[[#This Row],[BORNE]]</f>
        <v>2255B</v>
      </c>
      <c r="AO340" s="1"/>
    </row>
    <row r="341" spans="1:41" ht="20.100000000000001" customHeight="1" thickTop="1" thickBot="1">
      <c r="A341" s="68"/>
      <c r="B341" s="69" t="str">
        <f>IFERROR(INDEX(Tableau4[Date],MATCH($A341,Tableau4[EVO],0)),"")</f>
        <v/>
      </c>
      <c r="C341" s="68" t="str">
        <f>IFERROR(INDEX(Tableau4[Designation],MATCH($A341,Tableau4[EVO],0)),"")</f>
        <v/>
      </c>
      <c r="D341" s="68"/>
      <c r="E341" s="70">
        <v>202</v>
      </c>
      <c r="F341" s="71">
        <v>104</v>
      </c>
      <c r="G341" s="101" t="str">
        <f>INDEX(Tableau8[Att1],MATCH(Tableau3[[#This Row],[ID-INS]],Tableau8[ID],0))&amp;""</f>
        <v>X</v>
      </c>
      <c r="H341" s="101" t="str">
        <f>INDEX(Tableau8[Att2],MATCH(Tableau3[[#This Row],[ID-INS]],Tableau8[ID],0))&amp;""</f>
        <v>EL20</v>
      </c>
      <c r="I341" s="101" t="str">
        <f>INDEX(Tableau8[Att3],MATCH(Tableau3[[#This Row],[ID-INS]],Tableau8[ID],0))&amp;""</f>
        <v>Portail P4</v>
      </c>
      <c r="J341" s="101"/>
      <c r="K341" s="167" t="str">
        <f>INDEX(Tableau8[Nom du modele],MATCH(Tableau3[[#This Row],[ID-INS]],Tableau8[ID],0))&amp;""</f>
        <v>SurvElec</v>
      </c>
      <c r="L341" s="99" t="str">
        <f>INDEX(Tableau5[Att1],MATCH(Tableau3[[#This Row],[ID-SIG]],Tableau5[ID],0))&amp;""</f>
        <v>Def</v>
      </c>
      <c r="M341" s="99" t="str">
        <f>INDEX(Tableau5[Att2],MATCH(Tableau3[[#This Row],[ID-SIG]],Tableau5[ID],0))&amp;""</f>
        <v/>
      </c>
      <c r="N341" s="99" t="str">
        <f>INDEX(Tableau5[Att3],MATCH(Tableau3[[#This Row],[ID-SIG]],Tableau5[ID],0))&amp;""</f>
        <v/>
      </c>
      <c r="O341" s="99"/>
      <c r="P341" s="99" t="str">
        <f>INDEX(Tableau5[Description],MATCH(Tableau3[[#This Row],[ID-SIG]],Tableau5[ID],0))</f>
        <v>Défaut</v>
      </c>
      <c r="Q341" s="99"/>
      <c r="R341" s="103" t="str">
        <f>Tableau3[[#This Row],[Description]]</f>
        <v>Défaut</v>
      </c>
      <c r="U341" s="87">
        <v>2</v>
      </c>
      <c r="V341" s="87">
        <v>2</v>
      </c>
      <c r="W341" s="87">
        <v>5</v>
      </c>
      <c r="X341" s="87">
        <v>11</v>
      </c>
      <c r="Y341" s="40"/>
      <c r="Z341" s="165" t="str">
        <f>INDEX(Tableau2[TS],MATCH(Tableau3[[#This Row],[ID-CARTEVOIE]],Tableau2[ID-CARTEVOIE],0))</f>
        <v>ET</v>
      </c>
      <c r="AA341" s="53" t="s">
        <v>213</v>
      </c>
      <c r="AB341" s="223" t="str">
        <f>IFERROR(INDEX(Tableau5[Reserve],MATCH(Tableau3[[#This Row],[ID-SIG]],Tableau5[ID],0))&amp;"","")</f>
        <v/>
      </c>
      <c r="AC341" s="21"/>
      <c r="AD341" s="108" t="str">
        <f>INDEX(Tableau7[Repere],MATCH(Tableau3[[#This Row],[ID-API]],Tableau7[ID-API],0))&amp;""</f>
        <v>A2</v>
      </c>
      <c r="AE341" s="108" t="str">
        <f>INDEX(Tableau1[Repere-Rack],MATCH(Tableau3[[#This Row],[ID-RACK]],Tableau1[ID-RACK],0))&amp;""</f>
        <v>R2</v>
      </c>
      <c r="AF341" s="108" t="str">
        <f>INDEX(Tableau1[Repere-Slot],MATCH(Tableau3[[#This Row],[ID-SLOT]],Tableau1[ID-SLOT],0))&amp;""</f>
        <v>S5</v>
      </c>
      <c r="AG341" s="108" t="str">
        <f>INDEX(Tableau2[Repere-Voie],MATCH(Tableau3[[#This Row],[ID-VOIE]],Tableau2[ID-Voie],0))&amp;""</f>
        <v>v11</v>
      </c>
      <c r="AH341" s="72" t="str">
        <f>Tableau3[[#This Row],[ID-API]]&amp; "." &amp;Tableau3[[#This Row],[ID-RACK]]&amp; "." &amp;Tableau3[[#This Row],[ID-SLOT]]</f>
        <v>2.2.5</v>
      </c>
      <c r="AI341" s="72" t="str">
        <f>INDEX(Tableau1[Ref-Carte],MATCH(Tableau3[[#This Row],[ID-RRS]],Tableau1[ID-RRS],0))</f>
        <v>SDI1602</v>
      </c>
      <c r="AJ341" s="72" t="str">
        <f t="array" ref="AJ341">IFERROR(INDEX(Tableau2[TS],MATCH(1,(Tableau2[Ref-Carte]=Tableau3[[#This Row],[Ref-Carte2]])*(Tableau2[ID-Voie]=Tableau3[[#This Row],[ID-VOIE]]),0)),"")</f>
        <v>ET</v>
      </c>
      <c r="AK341" s="72" t="str">
        <f>IFERROR(INDEX(Tableau2[TS],SUMPRODUCT((Tableau2[Ref-Carte]=Tableau3[[#This Row],[Ref-Carte2]])*(Tableau2[ID-Voie]=Tableau3[[#This Row],[ID-VOIE]])*ROW(Tableau2[TS]))-ROW(Tableau2[#Headers])),"")</f>
        <v>ET</v>
      </c>
      <c r="AL341" s="72" t="str">
        <f>Tableau3[[#This Row],[Ref-Carte2]]&amp;"/"&amp;Tableau3[[#This Row],[ID-VOIE]]</f>
        <v>SDI1602/11</v>
      </c>
      <c r="AM341" s="73" t="str">
        <f>INDEX(Tableau2[Borne],MATCH(Tableau3[[#This Row],[ID-CARTEVOIE]],Tableau2[ID-CARTEVOIE],0))&amp;""</f>
        <v>5A</v>
      </c>
      <c r="AN341" s="74" t="str">
        <f>Tableau3[[#This Row],[ID-API]]&amp;Tableau3[[#This Row],[ID-RACK]]&amp;Tableau3[[#This Row],[ID-SLOT]]&amp;Tableau3[[#This Row],[BORNE]]</f>
        <v>2255A</v>
      </c>
      <c r="AO341" s="1"/>
    </row>
    <row r="342" spans="1:41" ht="20.100000000000001" customHeight="1" thickTop="1" thickBot="1">
      <c r="A342" s="68"/>
      <c r="B342" s="69" t="str">
        <f>IFERROR(INDEX(Tableau4[Date],MATCH($A342,Tableau4[EVO],0)),"")</f>
        <v/>
      </c>
      <c r="C342" s="68" t="str">
        <f>IFERROR(INDEX(Tableau4[Designation],MATCH($A342,Tableau4[EVO],0)),"")</f>
        <v/>
      </c>
      <c r="D342" s="68"/>
      <c r="E342" s="70">
        <v>232</v>
      </c>
      <c r="F342" s="71">
        <v>104</v>
      </c>
      <c r="G342" s="101" t="str">
        <f>INDEX(Tableau8[Att1],MATCH(Tableau3[[#This Row],[ID-INS]],Tableau8[ID],0))&amp;""</f>
        <v>X</v>
      </c>
      <c r="H342" s="101" t="str">
        <f>INDEX(Tableau8[Att2],MATCH(Tableau3[[#This Row],[ID-INS]],Tableau8[ID],0))&amp;""</f>
        <v>EL44</v>
      </c>
      <c r="I342" s="101" t="str">
        <f>INDEX(Tableau8[Att3],MATCH(Tableau3[[#This Row],[ID-INS]],Tableau8[ID],0))&amp;""</f>
        <v>Portail P5</v>
      </c>
      <c r="J342" s="101"/>
      <c r="K342" s="167" t="str">
        <f>INDEX(Tableau8[Nom du modele],MATCH(Tableau3[[#This Row],[ID-INS]],Tableau8[ID],0))&amp;""</f>
        <v>SurvElec</v>
      </c>
      <c r="L342" s="99" t="str">
        <f>INDEX(Tableau5[Att1],MATCH(Tableau3[[#This Row],[ID-SIG]],Tableau5[ID],0))&amp;""</f>
        <v>Def</v>
      </c>
      <c r="M342" s="99" t="str">
        <f>INDEX(Tableau5[Att2],MATCH(Tableau3[[#This Row],[ID-SIG]],Tableau5[ID],0))&amp;""</f>
        <v/>
      </c>
      <c r="N342" s="99" t="str">
        <f>INDEX(Tableau5[Att3],MATCH(Tableau3[[#This Row],[ID-SIG]],Tableau5[ID],0))&amp;""</f>
        <v/>
      </c>
      <c r="O342" s="99"/>
      <c r="P342" s="99" t="str">
        <f>INDEX(Tableau5[Description],MATCH(Tableau3[[#This Row],[ID-SIG]],Tableau5[ID],0))</f>
        <v>Défaut</v>
      </c>
      <c r="Q342" s="99"/>
      <c r="R342" s="103" t="str">
        <f>Tableau3[[#This Row],[Description]]</f>
        <v>Défaut</v>
      </c>
      <c r="U342" s="87">
        <v>2</v>
      </c>
      <c r="V342" s="87">
        <v>2</v>
      </c>
      <c r="W342" s="87">
        <v>5</v>
      </c>
      <c r="X342" s="87">
        <v>12</v>
      </c>
      <c r="Y342" s="40"/>
      <c r="Z342" s="165" t="str">
        <f>INDEX(Tableau2[TS],MATCH(Tableau3[[#This Row],[ID-CARTEVOIE]],Tableau2[ID-CARTEVOIE],0))</f>
        <v>ET</v>
      </c>
      <c r="AA342" s="53" t="s">
        <v>213</v>
      </c>
      <c r="AB342" s="223" t="str">
        <f>IFERROR(INDEX(Tableau5[Reserve],MATCH(Tableau3[[#This Row],[ID-SIG]],Tableau5[ID],0))&amp;"","")</f>
        <v/>
      </c>
      <c r="AC342" s="21"/>
      <c r="AD342" s="108" t="str">
        <f>INDEX(Tableau7[Repere],MATCH(Tableau3[[#This Row],[ID-API]],Tableau7[ID-API],0))&amp;""</f>
        <v>A2</v>
      </c>
      <c r="AE342" s="108" t="str">
        <f>INDEX(Tableau1[Repere-Rack],MATCH(Tableau3[[#This Row],[ID-RACK]],Tableau1[ID-RACK],0))&amp;""</f>
        <v>R2</v>
      </c>
      <c r="AF342" s="108" t="str">
        <f>INDEX(Tableau1[Repere-Slot],MATCH(Tableau3[[#This Row],[ID-SLOT]],Tableau1[ID-SLOT],0))&amp;""</f>
        <v>S5</v>
      </c>
      <c r="AG342" s="108" t="str">
        <f>INDEX(Tableau2[Repere-Voie],MATCH(Tableau3[[#This Row],[ID-VOIE]],Tableau2[ID-Voie],0))&amp;""</f>
        <v>v12</v>
      </c>
      <c r="AH342" s="72" t="str">
        <f>Tableau3[[#This Row],[ID-API]]&amp; "." &amp;Tableau3[[#This Row],[ID-RACK]]&amp; "." &amp;Tableau3[[#This Row],[ID-SLOT]]</f>
        <v>2.2.5</v>
      </c>
      <c r="AI342" s="72" t="str">
        <f>INDEX(Tableau1[Ref-Carte],MATCH(Tableau3[[#This Row],[ID-RRS]],Tableau1[ID-RRS],0))</f>
        <v>SDI1602</v>
      </c>
      <c r="AJ342" s="72" t="str">
        <f t="array" ref="AJ342">IFERROR(INDEX(Tableau2[TS],MATCH(1,(Tableau2[Ref-Carte]=Tableau3[[#This Row],[Ref-Carte2]])*(Tableau2[ID-Voie]=Tableau3[[#This Row],[ID-VOIE]]),0)),"")</f>
        <v>ET</v>
      </c>
      <c r="AK342" s="72" t="str">
        <f>IFERROR(INDEX(Tableau2[TS],SUMPRODUCT((Tableau2[Ref-Carte]=Tableau3[[#This Row],[Ref-Carte2]])*(Tableau2[ID-Voie]=Tableau3[[#This Row],[ID-VOIE]])*ROW(Tableau2[TS]))-ROW(Tableau2[#Headers])),"")</f>
        <v>ET</v>
      </c>
      <c r="AL342" s="72" t="str">
        <f>Tableau3[[#This Row],[Ref-Carte2]]&amp;"/"&amp;Tableau3[[#This Row],[ID-VOIE]]</f>
        <v>SDI1602/12</v>
      </c>
      <c r="AM342" s="73" t="str">
        <f>INDEX(Tableau2[Borne],MATCH(Tableau3[[#This Row],[ID-CARTEVOIE]],Tableau2[ID-CARTEVOIE],0))&amp;""</f>
        <v>6B</v>
      </c>
      <c r="AN342" s="74" t="str">
        <f>Tableau3[[#This Row],[ID-API]]&amp;Tableau3[[#This Row],[ID-RACK]]&amp;Tableau3[[#This Row],[ID-SLOT]]&amp;Tableau3[[#This Row],[BORNE]]</f>
        <v>2256B</v>
      </c>
      <c r="AO342" s="1"/>
    </row>
    <row r="343" spans="1:41" ht="20.100000000000001" customHeight="1" thickTop="1" thickBot="1">
      <c r="A343" s="68"/>
      <c r="B343" s="69" t="str">
        <f>IFERROR(INDEX(Tableau4[Date],MATCH($A343,Tableau4[EVO],0)),"")</f>
        <v/>
      </c>
      <c r="C343" s="68" t="str">
        <f>IFERROR(INDEX(Tableau4[Designation],MATCH($A343,Tableau4[EVO],0)),"")</f>
        <v/>
      </c>
      <c r="D343" s="68"/>
      <c r="E343" s="70">
        <v>233</v>
      </c>
      <c r="F343" s="71">
        <v>104</v>
      </c>
      <c r="G343" s="101" t="str">
        <f>INDEX(Tableau8[Att1],MATCH(Tableau3[[#This Row],[ID-INS]],Tableau8[ID],0))&amp;""</f>
        <v>X</v>
      </c>
      <c r="H343" s="101" t="str">
        <f>INDEX(Tableau8[Att2],MATCH(Tableau3[[#This Row],[ID-INS]],Tableau8[ID],0))&amp;""</f>
        <v>EL45</v>
      </c>
      <c r="I343" s="101" t="str">
        <f>INDEX(Tableau8[Att3],MATCH(Tableau3[[#This Row],[ID-INS]],Tableau8[ID],0))&amp;""</f>
        <v>Barrière BH6</v>
      </c>
      <c r="J343" s="101"/>
      <c r="K343" s="167" t="str">
        <f>INDEX(Tableau8[Nom du modele],MATCH(Tableau3[[#This Row],[ID-INS]],Tableau8[ID],0))&amp;""</f>
        <v>SurvElec</v>
      </c>
      <c r="L343" s="99" t="str">
        <f>INDEX(Tableau5[Att1],MATCH(Tableau3[[#This Row],[ID-SIG]],Tableau5[ID],0))&amp;""</f>
        <v>Def</v>
      </c>
      <c r="M343" s="99" t="str">
        <f>INDEX(Tableau5[Att2],MATCH(Tableau3[[#This Row],[ID-SIG]],Tableau5[ID],0))&amp;""</f>
        <v/>
      </c>
      <c r="N343" s="99" t="str">
        <f>INDEX(Tableau5[Att3],MATCH(Tableau3[[#This Row],[ID-SIG]],Tableau5[ID],0))&amp;""</f>
        <v/>
      </c>
      <c r="O343" s="99"/>
      <c r="P343" s="99" t="str">
        <f>INDEX(Tableau5[Description],MATCH(Tableau3[[#This Row],[ID-SIG]],Tableau5[ID],0))</f>
        <v>Défaut</v>
      </c>
      <c r="Q343" s="99"/>
      <c r="R343" s="103" t="str">
        <f>Tableau3[[#This Row],[Description]]</f>
        <v>Défaut</v>
      </c>
      <c r="U343" s="87">
        <v>2</v>
      </c>
      <c r="V343" s="87">
        <v>2</v>
      </c>
      <c r="W343" s="87">
        <v>5</v>
      </c>
      <c r="X343" s="87">
        <v>13</v>
      </c>
      <c r="Y343" s="40"/>
      <c r="Z343" s="165" t="str">
        <f>INDEX(Tableau2[TS],MATCH(Tableau3[[#This Row],[ID-CARTEVOIE]],Tableau2[ID-CARTEVOIE],0))</f>
        <v>ET</v>
      </c>
      <c r="AA343" s="53" t="s">
        <v>213</v>
      </c>
      <c r="AB343" s="223" t="str">
        <f>IFERROR(INDEX(Tableau5[Reserve],MATCH(Tableau3[[#This Row],[ID-SIG]],Tableau5[ID],0))&amp;"","")</f>
        <v/>
      </c>
      <c r="AC343" s="21"/>
      <c r="AD343" s="108" t="str">
        <f>INDEX(Tableau7[Repere],MATCH(Tableau3[[#This Row],[ID-API]],Tableau7[ID-API],0))&amp;""</f>
        <v>A2</v>
      </c>
      <c r="AE343" s="108" t="str">
        <f>INDEX(Tableau1[Repere-Rack],MATCH(Tableau3[[#This Row],[ID-RACK]],Tableau1[ID-RACK],0))&amp;""</f>
        <v>R2</v>
      </c>
      <c r="AF343" s="108" t="str">
        <f>INDEX(Tableau1[Repere-Slot],MATCH(Tableau3[[#This Row],[ID-SLOT]],Tableau1[ID-SLOT],0))&amp;""</f>
        <v>S5</v>
      </c>
      <c r="AG343" s="108" t="str">
        <f>INDEX(Tableau2[Repere-Voie],MATCH(Tableau3[[#This Row],[ID-VOIE]],Tableau2[ID-Voie],0))&amp;""</f>
        <v>v13</v>
      </c>
      <c r="AH343" s="72" t="str">
        <f>Tableau3[[#This Row],[ID-API]]&amp; "." &amp;Tableau3[[#This Row],[ID-RACK]]&amp; "." &amp;Tableau3[[#This Row],[ID-SLOT]]</f>
        <v>2.2.5</v>
      </c>
      <c r="AI343" s="72" t="str">
        <f>INDEX(Tableau1[Ref-Carte],MATCH(Tableau3[[#This Row],[ID-RRS]],Tableau1[ID-RRS],0))</f>
        <v>SDI1602</v>
      </c>
      <c r="AJ343" s="72" t="str">
        <f t="array" ref="AJ343">IFERROR(INDEX(Tableau2[TS],MATCH(1,(Tableau2[Ref-Carte]=Tableau3[[#This Row],[Ref-Carte2]])*(Tableau2[ID-Voie]=Tableau3[[#This Row],[ID-VOIE]]),0)),"")</f>
        <v>ET</v>
      </c>
      <c r="AK343" s="72" t="str">
        <f>IFERROR(INDEX(Tableau2[TS],SUMPRODUCT((Tableau2[Ref-Carte]=Tableau3[[#This Row],[Ref-Carte2]])*(Tableau2[ID-Voie]=Tableau3[[#This Row],[ID-VOIE]])*ROW(Tableau2[TS]))-ROW(Tableau2[#Headers])),"")</f>
        <v>ET</v>
      </c>
      <c r="AL343" s="72" t="str">
        <f>Tableau3[[#This Row],[Ref-Carte2]]&amp;"/"&amp;Tableau3[[#This Row],[ID-VOIE]]</f>
        <v>SDI1602/13</v>
      </c>
      <c r="AM343" s="73" t="str">
        <f>INDEX(Tableau2[Borne],MATCH(Tableau3[[#This Row],[ID-CARTEVOIE]],Tableau2[ID-CARTEVOIE],0))&amp;""</f>
        <v>6A</v>
      </c>
      <c r="AN343" s="74" t="str">
        <f>Tableau3[[#This Row],[ID-API]]&amp;Tableau3[[#This Row],[ID-RACK]]&amp;Tableau3[[#This Row],[ID-SLOT]]&amp;Tableau3[[#This Row],[BORNE]]</f>
        <v>2256A</v>
      </c>
      <c r="AO343" s="1"/>
    </row>
    <row r="344" spans="1:41" ht="20.100000000000001" customHeight="1" thickTop="1" thickBot="1">
      <c r="A344" s="68"/>
      <c r="B344" s="69" t="str">
        <f>IFERROR(INDEX(Tableau4[Date],MATCH($A344,Tableau4[EVO],0)),"")</f>
        <v/>
      </c>
      <c r="C344" s="68" t="str">
        <f>IFERROR(INDEX(Tableau4[Designation],MATCH($A344,Tableau4[EVO],0)),"")</f>
        <v/>
      </c>
      <c r="D344" s="68"/>
      <c r="E344" s="70">
        <v>234</v>
      </c>
      <c r="F344" s="71">
        <v>104</v>
      </c>
      <c r="G344" s="101" t="str">
        <f>INDEX(Tableau8[Att1],MATCH(Tableau3[[#This Row],[ID-INS]],Tableau8[ID],0))&amp;""</f>
        <v>X</v>
      </c>
      <c r="H344" s="153" t="s">
        <v>1754</v>
      </c>
      <c r="I344" s="101" t="str">
        <f>INDEX(Tableau8[Att3],MATCH(Tableau3[[#This Row],[ID-INS]],Tableau8[ID],0))&amp;""</f>
        <v>Barrière BH7</v>
      </c>
      <c r="J344" s="101"/>
      <c r="K344" s="167" t="str">
        <f>INDEX(Tableau8[Nom du modele],MATCH(Tableau3[[#This Row],[ID-INS]],Tableau8[ID],0))&amp;""</f>
        <v>SurvElec</v>
      </c>
      <c r="L344" s="99" t="str">
        <f>INDEX(Tableau5[Att1],MATCH(Tableau3[[#This Row],[ID-SIG]],Tableau5[ID],0))&amp;""</f>
        <v>Def</v>
      </c>
      <c r="M344" s="99" t="str">
        <f>INDEX(Tableau5[Att2],MATCH(Tableau3[[#This Row],[ID-SIG]],Tableau5[ID],0))&amp;""</f>
        <v/>
      </c>
      <c r="N344" s="99" t="str">
        <f>INDEX(Tableau5[Att3],MATCH(Tableau3[[#This Row],[ID-SIG]],Tableau5[ID],0))&amp;""</f>
        <v/>
      </c>
      <c r="O344" s="99"/>
      <c r="P344" s="99" t="str">
        <f>INDEX(Tableau5[Description],MATCH(Tableau3[[#This Row],[ID-SIG]],Tableau5[ID],0))</f>
        <v>Défaut</v>
      </c>
      <c r="Q344" s="99"/>
      <c r="R344" s="103" t="str">
        <f>Tableau3[[#This Row],[Description]]</f>
        <v>Défaut</v>
      </c>
      <c r="U344" s="87">
        <v>2</v>
      </c>
      <c r="V344" s="87">
        <v>2</v>
      </c>
      <c r="W344" s="87">
        <v>5</v>
      </c>
      <c r="X344" s="87">
        <v>14</v>
      </c>
      <c r="Y344" s="40"/>
      <c r="Z344" s="165" t="str">
        <f>INDEX(Tableau2[TS],MATCH(Tableau3[[#This Row],[ID-CARTEVOIE]],Tableau2[ID-CARTEVOIE],0))</f>
        <v>ET</v>
      </c>
      <c r="AA344" s="53" t="s">
        <v>213</v>
      </c>
      <c r="AB344" s="223" t="str">
        <f>IFERROR(INDEX(Tableau5[Reserve],MATCH(Tableau3[[#This Row],[ID-SIG]],Tableau5[ID],0))&amp;"","")</f>
        <v/>
      </c>
      <c r="AC344" s="21"/>
      <c r="AD344" s="108" t="str">
        <f>INDEX(Tableau7[Repere],MATCH(Tableau3[[#This Row],[ID-API]],Tableau7[ID-API],0))&amp;""</f>
        <v>A2</v>
      </c>
      <c r="AE344" s="108" t="str">
        <f>INDEX(Tableau1[Repere-Rack],MATCH(Tableau3[[#This Row],[ID-RACK]],Tableau1[ID-RACK],0))&amp;""</f>
        <v>R2</v>
      </c>
      <c r="AF344" s="108" t="str">
        <f>INDEX(Tableau1[Repere-Slot],MATCH(Tableau3[[#This Row],[ID-SLOT]],Tableau1[ID-SLOT],0))&amp;""</f>
        <v>S5</v>
      </c>
      <c r="AG344" s="108" t="str">
        <f>INDEX(Tableau2[Repere-Voie],MATCH(Tableau3[[#This Row],[ID-VOIE]],Tableau2[ID-Voie],0))&amp;""</f>
        <v>v14</v>
      </c>
      <c r="AH344" s="72" t="str">
        <f>Tableau3[[#This Row],[ID-API]]&amp; "." &amp;Tableau3[[#This Row],[ID-RACK]]&amp; "." &amp;Tableau3[[#This Row],[ID-SLOT]]</f>
        <v>2.2.5</v>
      </c>
      <c r="AI344" s="72" t="str">
        <f>INDEX(Tableau1[Ref-Carte],MATCH(Tableau3[[#This Row],[ID-RRS]],Tableau1[ID-RRS],0))</f>
        <v>SDI1602</v>
      </c>
      <c r="AJ344" s="72" t="str">
        <f t="array" ref="AJ344">IFERROR(INDEX(Tableau2[TS],MATCH(1,(Tableau2[Ref-Carte]=Tableau3[[#This Row],[Ref-Carte2]])*(Tableau2[ID-Voie]=Tableau3[[#This Row],[ID-VOIE]]),0)),"")</f>
        <v>ET</v>
      </c>
      <c r="AK344" s="72" t="str">
        <f>IFERROR(INDEX(Tableau2[TS],SUMPRODUCT((Tableau2[Ref-Carte]=Tableau3[[#This Row],[Ref-Carte2]])*(Tableau2[ID-Voie]=Tableau3[[#This Row],[ID-VOIE]])*ROW(Tableau2[TS]))-ROW(Tableau2[#Headers])),"")</f>
        <v>ET</v>
      </c>
      <c r="AL344" s="72" t="str">
        <f>Tableau3[[#This Row],[Ref-Carte2]]&amp;"/"&amp;Tableau3[[#This Row],[ID-VOIE]]</f>
        <v>SDI1602/14</v>
      </c>
      <c r="AM344" s="73" t="str">
        <f>INDEX(Tableau2[Borne],MATCH(Tableau3[[#This Row],[ID-CARTEVOIE]],Tableau2[ID-CARTEVOIE],0))&amp;""</f>
        <v>7B</v>
      </c>
      <c r="AN344" s="74" t="str">
        <f>Tableau3[[#This Row],[ID-API]]&amp;Tableau3[[#This Row],[ID-RACK]]&amp;Tableau3[[#This Row],[ID-SLOT]]&amp;Tableau3[[#This Row],[BORNE]]</f>
        <v>2257B</v>
      </c>
      <c r="AO344" s="1"/>
    </row>
    <row r="345" spans="1:41" ht="20.100000000000001" customHeight="1" thickTop="1" thickBot="1">
      <c r="A345" s="68"/>
      <c r="B345" s="69" t="str">
        <f>IFERROR(INDEX(Tableau4[Date],MATCH($A345,Tableau4[EVO],0)),"")</f>
        <v/>
      </c>
      <c r="C345" s="68" t="str">
        <f>IFERROR(INDEX(Tableau4[Designation],MATCH($A345,Tableau4[EVO],0)),"")</f>
        <v/>
      </c>
      <c r="D345" s="68"/>
      <c r="E345" s="70">
        <v>249</v>
      </c>
      <c r="F345" s="71">
        <v>82</v>
      </c>
      <c r="G345" s="101" t="str">
        <f>INDEX(Tableau8[Att1],MATCH(Tableau3[[#This Row],[ID-INS]],Tableau8[ID],0))&amp;""</f>
        <v>V2</v>
      </c>
      <c r="H345" s="101" t="str">
        <f>INDEX(Tableau8[Att2],MATCH(Tableau3[[#This Row],[ID-INS]],Tableau8[ID],0))&amp;""</f>
        <v>BH7</v>
      </c>
      <c r="I345" s="101" t="str">
        <f>INDEX(Tableau8[Att3],MATCH(Tableau3[[#This Row],[ID-INS]],Tableau8[ID],0))&amp;""</f>
        <v>Barrière BH7</v>
      </c>
      <c r="J345" s="101"/>
      <c r="K345" s="167" t="str">
        <f>INDEX(Tableau8[Nom du modele],MATCH(Tableau3[[#This Row],[ID-INS]],Tableau8[ID],0))&amp;""</f>
        <v>BarriereHerse_2</v>
      </c>
      <c r="L345" s="99" t="str">
        <f>INDEX(Tableau5[Att1],MATCH(Tableau3[[#This Row],[ID-SIG]],Tableau5[ID],0))&amp;""</f>
        <v>FerRet2</v>
      </c>
      <c r="M345" s="99" t="str">
        <f>INDEX(Tableau5[Att2],MATCH(Tableau3[[#This Row],[ID-SIG]],Tableau5[ID],0))&amp;""</f>
        <v/>
      </c>
      <c r="N345" s="99" t="str">
        <f>INDEX(Tableau5[Att3],MATCH(Tableau3[[#This Row],[ID-SIG]],Tableau5[ID],0))&amp;""</f>
        <v/>
      </c>
      <c r="O345" s="99"/>
      <c r="P345" s="99" t="s">
        <v>1726</v>
      </c>
      <c r="Q345" s="99"/>
      <c r="R345" s="103" t="str">
        <f>Tableau3[[#This Row],[Description]]</f>
        <v>Réserve - Sortie 1</v>
      </c>
      <c r="U345" s="87">
        <v>2</v>
      </c>
      <c r="V345" s="87">
        <v>2</v>
      </c>
      <c r="W345" s="87">
        <v>5</v>
      </c>
      <c r="X345" s="87">
        <v>15</v>
      </c>
      <c r="Y345" s="40"/>
      <c r="Z345" s="165" t="str">
        <f>INDEX(Tableau2[TS],MATCH(Tableau3[[#This Row],[ID-CARTEVOIE]],Tableau2[ID-CARTEVOIE],0))</f>
        <v>ET</v>
      </c>
      <c r="AA345" s="53" t="s">
        <v>213</v>
      </c>
      <c r="AB345" s="223" t="str">
        <f>IFERROR(INDEX(Tableau5[Reserve],MATCH(Tableau3[[#This Row],[ID-SIG]],Tableau5[ID],0))&amp;"","")</f>
        <v/>
      </c>
      <c r="AC345" s="21"/>
      <c r="AD345" s="108" t="str">
        <f>INDEX(Tableau7[Repere],MATCH(Tableau3[[#This Row],[ID-API]],Tableau7[ID-API],0))&amp;""</f>
        <v>A2</v>
      </c>
      <c r="AE345" s="108" t="str">
        <f>INDEX(Tableau1[Repere-Rack],MATCH(Tableau3[[#This Row],[ID-RACK]],Tableau1[ID-RACK],0))&amp;""</f>
        <v>R2</v>
      </c>
      <c r="AF345" s="108" t="str">
        <f>INDEX(Tableau1[Repere-Slot],MATCH(Tableau3[[#This Row],[ID-SLOT]],Tableau1[ID-SLOT],0))&amp;""</f>
        <v>S5</v>
      </c>
      <c r="AG345" s="108" t="str">
        <f>INDEX(Tableau2[Repere-Voie],MATCH(Tableau3[[#This Row],[ID-VOIE]],Tableau2[ID-Voie],0))&amp;""</f>
        <v>v15</v>
      </c>
      <c r="AH345" s="72" t="str">
        <f>Tableau3[[#This Row],[ID-API]]&amp; "." &amp;Tableau3[[#This Row],[ID-RACK]]&amp; "." &amp;Tableau3[[#This Row],[ID-SLOT]]</f>
        <v>2.2.5</v>
      </c>
      <c r="AI345" s="72" t="str">
        <f>INDEX(Tableau1[Ref-Carte],MATCH(Tableau3[[#This Row],[ID-RRS]],Tableau1[ID-RRS],0))</f>
        <v>SDI1602</v>
      </c>
      <c r="AJ345" s="72" t="str">
        <f t="array" ref="AJ345">IFERROR(INDEX(Tableau2[TS],MATCH(1,(Tableau2[Ref-Carte]=Tableau3[[#This Row],[Ref-Carte2]])*(Tableau2[ID-Voie]=Tableau3[[#This Row],[ID-VOIE]]),0)),"")</f>
        <v>ET</v>
      </c>
      <c r="AK345" s="72" t="str">
        <f>IFERROR(INDEX(Tableau2[TS],SUMPRODUCT((Tableau2[Ref-Carte]=Tableau3[[#This Row],[Ref-Carte2]])*(Tableau2[ID-Voie]=Tableau3[[#This Row],[ID-VOIE]])*ROW(Tableau2[TS]))-ROW(Tableau2[#Headers])),"")</f>
        <v>ET</v>
      </c>
      <c r="AL345" s="72" t="str">
        <f>Tableau3[[#This Row],[Ref-Carte2]]&amp;"/"&amp;Tableau3[[#This Row],[ID-VOIE]]</f>
        <v>SDI1602/15</v>
      </c>
      <c r="AM345" s="73" t="str">
        <f>INDEX(Tableau2[Borne],MATCH(Tableau3[[#This Row],[ID-CARTEVOIE]],Tableau2[ID-CARTEVOIE],0))&amp;""</f>
        <v>7A</v>
      </c>
      <c r="AN345" s="74" t="str">
        <f>Tableau3[[#This Row],[ID-API]]&amp;Tableau3[[#This Row],[ID-RACK]]&amp;Tableau3[[#This Row],[ID-SLOT]]&amp;Tableau3[[#This Row],[BORNE]]</f>
        <v>2257A</v>
      </c>
      <c r="AO345" s="1"/>
    </row>
    <row r="346" spans="1:41" ht="20.100000000000001" customHeight="1" thickTop="1" thickBot="1">
      <c r="A346" s="68"/>
      <c r="B346" s="69" t="str">
        <f>IFERROR(INDEX(Tableau4[Date],MATCH($A346,Tableau4[EVO],0)),"")</f>
        <v/>
      </c>
      <c r="C346" s="68" t="str">
        <f>IFERROR(INDEX(Tableau4[Designation],MATCH($A346,Tableau4[EVO],0)),"")</f>
        <v/>
      </c>
      <c r="D346" s="68"/>
      <c r="E346" s="70">
        <v>249</v>
      </c>
      <c r="F346" s="71">
        <v>83</v>
      </c>
      <c r="G346" s="101" t="str">
        <f>INDEX(Tableau8[Att1],MATCH(Tableau3[[#This Row],[ID-INS]],Tableau8[ID],0))&amp;""</f>
        <v>V2</v>
      </c>
      <c r="H346" s="101" t="str">
        <f>INDEX(Tableau8[Att2],MATCH(Tableau3[[#This Row],[ID-INS]],Tableau8[ID],0))&amp;""</f>
        <v>BH7</v>
      </c>
      <c r="I346" s="101" t="str">
        <f>INDEX(Tableau8[Att3],MATCH(Tableau3[[#This Row],[ID-INS]],Tableau8[ID],0))&amp;""</f>
        <v>Barrière BH7</v>
      </c>
      <c r="J346" s="101"/>
      <c r="K346" s="167" t="str">
        <f>INDEX(Tableau8[Nom du modele],MATCH(Tableau3[[#This Row],[ID-INS]],Tableau8[ID],0))&amp;""</f>
        <v>BarriereHerse_2</v>
      </c>
      <c r="L346" s="99" t="str">
        <f>INDEX(Tableau5[Att1],MATCH(Tableau3[[#This Row],[ID-SIG]],Tableau5[ID],0))&amp;""</f>
        <v>Fer1</v>
      </c>
      <c r="M346" s="99" t="str">
        <f>INDEX(Tableau5[Att2],MATCH(Tableau3[[#This Row],[ID-SIG]],Tableau5[ID],0))&amp;""</f>
        <v/>
      </c>
      <c r="N346" s="99" t="str">
        <f>INDEX(Tableau5[Att3],MATCH(Tableau3[[#This Row],[ID-SIG]],Tableau5[ID],0))&amp;""</f>
        <v/>
      </c>
      <c r="O346" s="99"/>
      <c r="P346" s="99" t="s">
        <v>1726</v>
      </c>
      <c r="Q346" s="99"/>
      <c r="R346" s="103" t="str">
        <f>Tableau3[[#This Row],[Description]]</f>
        <v>Réserve - Sortie 1</v>
      </c>
      <c r="U346" s="87">
        <v>2</v>
      </c>
      <c r="V346" s="87">
        <v>2</v>
      </c>
      <c r="W346" s="87">
        <v>6</v>
      </c>
      <c r="X346" s="87">
        <v>0</v>
      </c>
      <c r="Y346" s="40"/>
      <c r="Z346" s="165" t="str">
        <f>INDEX(Tableau2[TS],MATCH(Tableau3[[#This Row],[ID-CARTEVOIE]],Tableau2[ID-CARTEVOIE],0))</f>
        <v>ET</v>
      </c>
      <c r="AA346" s="53" t="s">
        <v>213</v>
      </c>
      <c r="AB346" s="223" t="str">
        <f>IFERROR(INDEX(Tableau5[Reserve],MATCH(Tableau3[[#This Row],[ID-SIG]],Tableau5[ID],0))&amp;"","")</f>
        <v/>
      </c>
      <c r="AC346" s="21"/>
      <c r="AD346" s="108" t="str">
        <f>INDEX(Tableau7[Repere],MATCH(Tableau3[[#This Row],[ID-API]],Tableau7[ID-API],0))&amp;""</f>
        <v>A2</v>
      </c>
      <c r="AE346" s="108" t="str">
        <f>INDEX(Tableau1[Repere-Rack],MATCH(Tableau3[[#This Row],[ID-RACK]],Tableau1[ID-RACK],0))&amp;""</f>
        <v>R2</v>
      </c>
      <c r="AF346" s="108" t="str">
        <f>INDEX(Tableau1[Repere-Slot],MATCH(Tableau3[[#This Row],[ID-SLOT]],Tableau1[ID-SLOT],0))&amp;""</f>
        <v>S6</v>
      </c>
      <c r="AG346" s="108" t="str">
        <f>INDEX(Tableau2[Repere-Voie],MATCH(Tableau3[[#This Row],[ID-VOIE]],Tableau2[ID-Voie],0))&amp;""</f>
        <v>v0</v>
      </c>
      <c r="AH346" s="72" t="str">
        <f>Tableau3[[#This Row],[ID-API]]&amp; "." &amp;Tableau3[[#This Row],[ID-RACK]]&amp; "." &amp;Tableau3[[#This Row],[ID-SLOT]]</f>
        <v>2.2.6</v>
      </c>
      <c r="AI346" s="72" t="str">
        <f>INDEX(Tableau1[Ref-Carte],MATCH(Tableau3[[#This Row],[ID-RRS]],Tableau1[ID-RRS],0))</f>
        <v>SDI1602</v>
      </c>
      <c r="AJ346" s="72" t="str">
        <f t="array" ref="AJ346">IFERROR(INDEX(Tableau2[TS],MATCH(1,(Tableau2[Ref-Carte]=Tableau3[[#This Row],[Ref-Carte2]])*(Tableau2[ID-Voie]=Tableau3[[#This Row],[ID-VOIE]]),0)),"")</f>
        <v>ET</v>
      </c>
      <c r="AK346" s="72" t="str">
        <f>IFERROR(INDEX(Tableau2[TS],SUMPRODUCT((Tableau2[Ref-Carte]=Tableau3[[#This Row],[Ref-Carte2]])*(Tableau2[ID-Voie]=Tableau3[[#This Row],[ID-VOIE]])*ROW(Tableau2[TS]))-ROW(Tableau2[#Headers])),"")</f>
        <v>ET</v>
      </c>
      <c r="AL346" s="72" t="str">
        <f>Tableau3[[#This Row],[Ref-Carte2]]&amp;"/"&amp;Tableau3[[#This Row],[ID-VOIE]]</f>
        <v>SDI1602/0</v>
      </c>
      <c r="AM346" s="73" t="str">
        <f>INDEX(Tableau2[Borne],MATCH(Tableau3[[#This Row],[ID-CARTEVOIE]],Tableau2[ID-CARTEVOIE],0))&amp;""</f>
        <v>0B</v>
      </c>
      <c r="AN346" s="74" t="str">
        <f>Tableau3[[#This Row],[ID-API]]&amp;Tableau3[[#This Row],[ID-RACK]]&amp;Tableau3[[#This Row],[ID-SLOT]]&amp;Tableau3[[#This Row],[BORNE]]</f>
        <v>2260B</v>
      </c>
      <c r="AO346" s="1"/>
    </row>
    <row r="347" spans="1:41" ht="20.100000000000001" customHeight="1" thickTop="1" thickBot="1">
      <c r="A347" s="68"/>
      <c r="B347" s="69" t="str">
        <f>IFERROR(INDEX(Tableau4[Date],MATCH($A347,Tableau4[EVO],0)),"")</f>
        <v/>
      </c>
      <c r="C347" s="68" t="str">
        <f>IFERROR(INDEX(Tableau4[Designation],MATCH($A347,Tableau4[EVO],0)),"")</f>
        <v/>
      </c>
      <c r="D347" s="68"/>
      <c r="E347" s="70">
        <v>255</v>
      </c>
      <c r="F347" s="71">
        <v>243</v>
      </c>
      <c r="G347" s="101" t="str">
        <f>INDEX(Tableau8[Att1],MATCH(Tableau3[[#This Row],[ID-INS]],Tableau8[ID],0))&amp;""</f>
        <v>V12</v>
      </c>
      <c r="H347" s="101" t="str">
        <f>INDEX(Tableau8[Att2],MATCH(Tableau3[[#This Row],[ID-INS]],Tableau8[ID],0))&amp;""</f>
        <v>P1</v>
      </c>
      <c r="I347" s="101" t="str">
        <f>INDEX(Tableau8[Att3],MATCH(Tableau3[[#This Row],[ID-INS]],Tableau8[ID],0))&amp;""</f>
        <v>Portail P1</v>
      </c>
      <c r="J347" s="101"/>
      <c r="K347" s="167" t="str">
        <f>INDEX(Tableau8[Nom du modele],MATCH(Tableau3[[#This Row],[ID-INS]],Tableau8[ID],0))&amp;""</f>
        <v>PortailR2V_2</v>
      </c>
      <c r="L347" s="99" t="str">
        <f>INDEX(Tableau5[Att1],MATCH(Tableau3[[#This Row],[ID-SIG]],Tableau5[ID],0))&amp;""</f>
        <v>V1_FerRet1</v>
      </c>
      <c r="M347" s="99" t="str">
        <f>INDEX(Tableau5[Att2],MATCH(Tableau3[[#This Row],[ID-SIG]],Tableau5[ID],0))&amp;""</f>
        <v/>
      </c>
      <c r="N347" s="99" t="str">
        <f>INDEX(Tableau5[Att3],MATCH(Tableau3[[#This Row],[ID-SIG]],Tableau5[ID],0))&amp;""</f>
        <v/>
      </c>
      <c r="O347" s="99"/>
      <c r="P347" s="99" t="str">
        <f>INDEX(Tableau5[Description],MATCH(Tableau3[[#This Row],[ID-SIG]],Tableau5[ID],0))</f>
        <v>Retour Commande 1 fermeture vantail 1</v>
      </c>
      <c r="Q347" s="99"/>
      <c r="R347" s="103" t="str">
        <f>Tableau3[[#This Row],[Description]]</f>
        <v>Retour Commande 1 fermeture vantail 1</v>
      </c>
      <c r="U347" s="87">
        <v>2</v>
      </c>
      <c r="V347" s="87">
        <v>2</v>
      </c>
      <c r="W347" s="87">
        <v>6</v>
      </c>
      <c r="X347" s="87">
        <v>1</v>
      </c>
      <c r="Y347" s="40"/>
      <c r="Z347" s="165" t="str">
        <f>INDEX(Tableau2[TS],MATCH(Tableau3[[#This Row],[ID-CARTEVOIE]],Tableau2[ID-CARTEVOIE],0))</f>
        <v>ET</v>
      </c>
      <c r="AA347" s="53" t="s">
        <v>213</v>
      </c>
      <c r="AB347" s="223" t="str">
        <f>IFERROR(INDEX(Tableau5[Reserve],MATCH(Tableau3[[#This Row],[ID-SIG]],Tableau5[ID],0))&amp;"","")</f>
        <v/>
      </c>
      <c r="AC347" s="21"/>
      <c r="AD347" s="108" t="str">
        <f>INDEX(Tableau7[Repere],MATCH(Tableau3[[#This Row],[ID-API]],Tableau7[ID-API],0))&amp;""</f>
        <v>A2</v>
      </c>
      <c r="AE347" s="108" t="str">
        <f>INDEX(Tableau1[Repere-Rack],MATCH(Tableau3[[#This Row],[ID-RACK]],Tableau1[ID-RACK],0))&amp;""</f>
        <v>R2</v>
      </c>
      <c r="AF347" s="108" t="str">
        <f>INDEX(Tableau1[Repere-Slot],MATCH(Tableau3[[#This Row],[ID-SLOT]],Tableau1[ID-SLOT],0))&amp;""</f>
        <v>S6</v>
      </c>
      <c r="AG347" s="108" t="str">
        <f>INDEX(Tableau2[Repere-Voie],MATCH(Tableau3[[#This Row],[ID-VOIE]],Tableau2[ID-Voie],0))&amp;""</f>
        <v>v1</v>
      </c>
      <c r="AH347" s="72" t="str">
        <f>Tableau3[[#This Row],[ID-API]]&amp; "." &amp;Tableau3[[#This Row],[ID-RACK]]&amp; "." &amp;Tableau3[[#This Row],[ID-SLOT]]</f>
        <v>2.2.6</v>
      </c>
      <c r="AI347" s="72" t="str">
        <f>INDEX(Tableau1[Ref-Carte],MATCH(Tableau3[[#This Row],[ID-RRS]],Tableau1[ID-RRS],0))</f>
        <v>SDI1602</v>
      </c>
      <c r="AJ347" s="72" t="str">
        <f t="array" ref="AJ347">IFERROR(INDEX(Tableau2[TS],MATCH(1,(Tableau2[Ref-Carte]=Tableau3[[#This Row],[Ref-Carte2]])*(Tableau2[ID-Voie]=Tableau3[[#This Row],[ID-VOIE]]),0)),"")</f>
        <v>ET</v>
      </c>
      <c r="AK347" s="72" t="str">
        <f>IFERROR(INDEX(Tableau2[TS],SUMPRODUCT((Tableau2[Ref-Carte]=Tableau3[[#This Row],[Ref-Carte2]])*(Tableau2[ID-Voie]=Tableau3[[#This Row],[ID-VOIE]])*ROW(Tableau2[TS]))-ROW(Tableau2[#Headers])),"")</f>
        <v>ET</v>
      </c>
      <c r="AL347" s="72" t="str">
        <f>Tableau3[[#This Row],[Ref-Carte2]]&amp;"/"&amp;Tableau3[[#This Row],[ID-VOIE]]</f>
        <v>SDI1602/1</v>
      </c>
      <c r="AM347" s="73" t="str">
        <f>INDEX(Tableau2[Borne],MATCH(Tableau3[[#This Row],[ID-CARTEVOIE]],Tableau2[ID-CARTEVOIE],0))&amp;""</f>
        <v>0A</v>
      </c>
      <c r="AN347" s="74" t="str">
        <f>Tableau3[[#This Row],[ID-API]]&amp;Tableau3[[#This Row],[ID-RACK]]&amp;Tableau3[[#This Row],[ID-SLOT]]&amp;Tableau3[[#This Row],[BORNE]]</f>
        <v>2260A</v>
      </c>
      <c r="AO347" s="1"/>
    </row>
    <row r="348" spans="1:41" ht="20.100000000000001" customHeight="1" thickTop="1" thickBot="1">
      <c r="A348" s="68"/>
      <c r="B348" s="69" t="str">
        <f>IFERROR(INDEX(Tableau4[Date],MATCH($A348,Tableau4[EVO],0)),"")</f>
        <v/>
      </c>
      <c r="C348" s="68" t="str">
        <f>IFERROR(INDEX(Tableau4[Designation],MATCH($A348,Tableau4[EVO],0)),"")</f>
        <v/>
      </c>
      <c r="D348" s="68"/>
      <c r="E348" s="70">
        <v>259</v>
      </c>
      <c r="F348" s="71">
        <v>289</v>
      </c>
      <c r="G348" s="101" t="str">
        <f>INDEX(Tableau8[Att1],MATCH(Tableau3[[#This Row],[ID-INS]],Tableau8[ID],0))&amp;""</f>
        <v>V2</v>
      </c>
      <c r="H348" s="101" t="str">
        <f>INDEX(Tableau8[Att2],MATCH(Tableau3[[#This Row],[ID-INS]],Tableau8[ID],0))&amp;""</f>
        <v>P5</v>
      </c>
      <c r="I348" s="101" t="str">
        <f>INDEX(Tableau8[Att3],MATCH(Tableau3[[#This Row],[ID-INS]],Tableau8[ID],0))&amp;""</f>
        <v>Portail P5</v>
      </c>
      <c r="J348" s="101"/>
      <c r="K348" s="167" t="str">
        <f>INDEX(Tableau8[Nom du modele],MATCH(Tableau3[[#This Row],[ID-INS]],Tableau8[ID],0))&amp;""</f>
        <v>PortailBleuHydr_2</v>
      </c>
      <c r="L348" s="99" t="str">
        <f>INDEX(Tableau5[Att1],MATCH(Tableau3[[#This Row],[ID-SIG]],Tableau5[ID],0))&amp;""</f>
        <v>V_GrpHydRet2</v>
      </c>
      <c r="M348" s="99" t="str">
        <f>INDEX(Tableau5[Att2],MATCH(Tableau3[[#This Row],[ID-SIG]],Tableau5[ID],0))&amp;""</f>
        <v/>
      </c>
      <c r="N348" s="99" t="str">
        <f>INDEX(Tableau5[Att3],MATCH(Tableau3[[#This Row],[ID-SIG]],Tableau5[ID],0))&amp;""</f>
        <v/>
      </c>
      <c r="O348" s="99"/>
      <c r="P348" s="99" t="s">
        <v>1727</v>
      </c>
      <c r="Q348" s="99"/>
      <c r="R348" s="103" t="str">
        <f>Tableau3[[#This Row],[Description]]</f>
        <v>Réserve - Contact</v>
      </c>
      <c r="U348" s="87">
        <v>2</v>
      </c>
      <c r="V348" s="87">
        <v>2</v>
      </c>
      <c r="W348" s="87">
        <v>6</v>
      </c>
      <c r="X348" s="87">
        <v>2</v>
      </c>
      <c r="Y348" s="40"/>
      <c r="Z348" s="165" t="str">
        <f>INDEX(Tableau2[TS],MATCH(Tableau3[[#This Row],[ID-CARTEVOIE]],Tableau2[ID-CARTEVOIE],0))</f>
        <v>ET</v>
      </c>
      <c r="AA348" s="53" t="s">
        <v>213</v>
      </c>
      <c r="AB348" s="223" t="str">
        <f>IFERROR(INDEX(Tableau5[Reserve],MATCH(Tableau3[[#This Row],[ID-SIG]],Tableau5[ID],0))&amp;"","")</f>
        <v/>
      </c>
      <c r="AC348" s="21"/>
      <c r="AD348" s="108" t="str">
        <f>INDEX(Tableau7[Repere],MATCH(Tableau3[[#This Row],[ID-API]],Tableau7[ID-API],0))&amp;""</f>
        <v>A2</v>
      </c>
      <c r="AE348" s="108" t="str">
        <f>INDEX(Tableau1[Repere-Rack],MATCH(Tableau3[[#This Row],[ID-RACK]],Tableau1[ID-RACK],0))&amp;""</f>
        <v>R2</v>
      </c>
      <c r="AF348" s="108" t="str">
        <f>INDEX(Tableau1[Repere-Slot],MATCH(Tableau3[[#This Row],[ID-SLOT]],Tableau1[ID-SLOT],0))&amp;""</f>
        <v>S6</v>
      </c>
      <c r="AG348" s="108" t="str">
        <f>INDEX(Tableau2[Repere-Voie],MATCH(Tableau3[[#This Row],[ID-VOIE]],Tableau2[ID-Voie],0))&amp;""</f>
        <v>v2</v>
      </c>
      <c r="AH348" s="72" t="str">
        <f>Tableau3[[#This Row],[ID-API]]&amp; "." &amp;Tableau3[[#This Row],[ID-RACK]]&amp; "." &amp;Tableau3[[#This Row],[ID-SLOT]]</f>
        <v>2.2.6</v>
      </c>
      <c r="AI348" s="72" t="str">
        <f>INDEX(Tableau1[Ref-Carte],MATCH(Tableau3[[#This Row],[ID-RRS]],Tableau1[ID-RRS],0))</f>
        <v>SDI1602</v>
      </c>
      <c r="AJ348" s="72" t="str">
        <f t="array" ref="AJ348">IFERROR(INDEX(Tableau2[TS],MATCH(1,(Tableau2[Ref-Carte]=Tableau3[[#This Row],[Ref-Carte2]])*(Tableau2[ID-Voie]=Tableau3[[#This Row],[ID-VOIE]]),0)),"")</f>
        <v>ET</v>
      </c>
      <c r="AK348" s="72" t="str">
        <f>IFERROR(INDEX(Tableau2[TS],SUMPRODUCT((Tableau2[Ref-Carte]=Tableau3[[#This Row],[Ref-Carte2]])*(Tableau2[ID-Voie]=Tableau3[[#This Row],[ID-VOIE]])*ROW(Tableau2[TS]))-ROW(Tableau2[#Headers])),"")</f>
        <v>ET</v>
      </c>
      <c r="AL348" s="72" t="str">
        <f>Tableau3[[#This Row],[Ref-Carte2]]&amp;"/"&amp;Tableau3[[#This Row],[ID-VOIE]]</f>
        <v>SDI1602/2</v>
      </c>
      <c r="AM348" s="73" t="str">
        <f>INDEX(Tableau2[Borne],MATCH(Tableau3[[#This Row],[ID-CARTEVOIE]],Tableau2[ID-CARTEVOIE],0))&amp;""</f>
        <v>1B</v>
      </c>
      <c r="AN348" s="74" t="str">
        <f>Tableau3[[#This Row],[ID-API]]&amp;Tableau3[[#This Row],[ID-RACK]]&amp;Tableau3[[#This Row],[ID-SLOT]]&amp;Tableau3[[#This Row],[BORNE]]</f>
        <v>2261B</v>
      </c>
      <c r="AO348" s="1"/>
    </row>
    <row r="349" spans="1:41" ht="20.100000000000001" customHeight="1" thickTop="1" thickBot="1">
      <c r="A349" s="68"/>
      <c r="B349" s="69" t="str">
        <f>IFERROR(INDEX(Tableau4[Date],MATCH($A349,Tableau4[EVO],0)),"")</f>
        <v/>
      </c>
      <c r="C349" s="68" t="str">
        <f>IFERROR(INDEX(Tableau4[Designation],MATCH($A349,Tableau4[EVO],0)),"")</f>
        <v/>
      </c>
      <c r="D349" s="68"/>
      <c r="E349" s="70">
        <v>259</v>
      </c>
      <c r="F349" s="71">
        <v>290</v>
      </c>
      <c r="G349" s="101" t="str">
        <f>INDEX(Tableau8[Att1],MATCH(Tableau3[[#This Row],[ID-INS]],Tableau8[ID],0))&amp;""</f>
        <v>V2</v>
      </c>
      <c r="H349" s="101" t="str">
        <f>INDEX(Tableau8[Att2],MATCH(Tableau3[[#This Row],[ID-INS]],Tableau8[ID],0))&amp;""</f>
        <v>P5</v>
      </c>
      <c r="I349" s="101" t="str">
        <f>INDEX(Tableau8[Att3],MATCH(Tableau3[[#This Row],[ID-INS]],Tableau8[ID],0))&amp;""</f>
        <v>Portail P5</v>
      </c>
      <c r="J349" s="101"/>
      <c r="K349" s="167" t="str">
        <f>INDEX(Tableau8[Nom du modele],MATCH(Tableau3[[#This Row],[ID-INS]],Tableau8[ID],0))&amp;""</f>
        <v>PortailBleuHydr_2</v>
      </c>
      <c r="L349" s="99" t="str">
        <f>INDEX(Tableau5[Att1],MATCH(Tableau3[[#This Row],[ID-SIG]],Tableau5[ID],0))&amp;""</f>
        <v>V_FerRet2</v>
      </c>
      <c r="M349" s="99" t="str">
        <f>INDEX(Tableau5[Att2],MATCH(Tableau3[[#This Row],[ID-SIG]],Tableau5[ID],0))&amp;""</f>
        <v/>
      </c>
      <c r="N349" s="99" t="str">
        <f>INDEX(Tableau5[Att3],MATCH(Tableau3[[#This Row],[ID-SIG]],Tableau5[ID],0))&amp;""</f>
        <v/>
      </c>
      <c r="O349" s="99"/>
      <c r="P349" s="99" t="s">
        <v>1727</v>
      </c>
      <c r="Q349" s="99"/>
      <c r="R349" s="103" t="str">
        <f>Tableau3[[#This Row],[Description]]</f>
        <v>Réserve - Contact</v>
      </c>
      <c r="U349" s="87">
        <v>2</v>
      </c>
      <c r="V349" s="87">
        <v>2</v>
      </c>
      <c r="W349" s="87">
        <v>6</v>
      </c>
      <c r="X349" s="87">
        <v>3</v>
      </c>
      <c r="Y349" s="40"/>
      <c r="Z349" s="165" t="str">
        <f>INDEX(Tableau2[TS],MATCH(Tableau3[[#This Row],[ID-CARTEVOIE]],Tableau2[ID-CARTEVOIE],0))</f>
        <v>ET</v>
      </c>
      <c r="AA349" s="53" t="s">
        <v>213</v>
      </c>
      <c r="AB349" s="223" t="str">
        <f>IFERROR(INDEX(Tableau5[Reserve],MATCH(Tableau3[[#This Row],[ID-SIG]],Tableau5[ID],0))&amp;"","")</f>
        <v/>
      </c>
      <c r="AC349" s="21"/>
      <c r="AD349" s="108" t="str">
        <f>INDEX(Tableau7[Repere],MATCH(Tableau3[[#This Row],[ID-API]],Tableau7[ID-API],0))&amp;""</f>
        <v>A2</v>
      </c>
      <c r="AE349" s="108" t="str">
        <f>INDEX(Tableau1[Repere-Rack],MATCH(Tableau3[[#This Row],[ID-RACK]],Tableau1[ID-RACK],0))&amp;""</f>
        <v>R2</v>
      </c>
      <c r="AF349" s="108" t="str">
        <f>INDEX(Tableau1[Repere-Slot],MATCH(Tableau3[[#This Row],[ID-SLOT]],Tableau1[ID-SLOT],0))&amp;""</f>
        <v>S6</v>
      </c>
      <c r="AG349" s="108" t="str">
        <f>INDEX(Tableau2[Repere-Voie],MATCH(Tableau3[[#This Row],[ID-VOIE]],Tableau2[ID-Voie],0))&amp;""</f>
        <v>v3</v>
      </c>
      <c r="AH349" s="72" t="str">
        <f>Tableau3[[#This Row],[ID-API]]&amp; "." &amp;Tableau3[[#This Row],[ID-RACK]]&amp; "." &amp;Tableau3[[#This Row],[ID-SLOT]]</f>
        <v>2.2.6</v>
      </c>
      <c r="AI349" s="72" t="str">
        <f>INDEX(Tableau1[Ref-Carte],MATCH(Tableau3[[#This Row],[ID-RRS]],Tableau1[ID-RRS],0))</f>
        <v>SDI1602</v>
      </c>
      <c r="AJ349" s="72" t="str">
        <f t="array" ref="AJ349">IFERROR(INDEX(Tableau2[TS],MATCH(1,(Tableau2[Ref-Carte]=Tableau3[[#This Row],[Ref-Carte2]])*(Tableau2[ID-Voie]=Tableau3[[#This Row],[ID-VOIE]]),0)),"")</f>
        <v>ET</v>
      </c>
      <c r="AK349" s="72" t="str">
        <f>IFERROR(INDEX(Tableau2[TS],SUMPRODUCT((Tableau2[Ref-Carte]=Tableau3[[#This Row],[Ref-Carte2]])*(Tableau2[ID-Voie]=Tableau3[[#This Row],[ID-VOIE]])*ROW(Tableau2[TS]))-ROW(Tableau2[#Headers])),"")</f>
        <v>ET</v>
      </c>
      <c r="AL349" s="72" t="str">
        <f>Tableau3[[#This Row],[Ref-Carte2]]&amp;"/"&amp;Tableau3[[#This Row],[ID-VOIE]]</f>
        <v>SDI1602/3</v>
      </c>
      <c r="AM349" s="73" t="str">
        <f>INDEX(Tableau2[Borne],MATCH(Tableau3[[#This Row],[ID-CARTEVOIE]],Tableau2[ID-CARTEVOIE],0))&amp;""</f>
        <v>1A</v>
      </c>
      <c r="AN349" s="74" t="str">
        <f>Tableau3[[#This Row],[ID-API]]&amp;Tableau3[[#This Row],[ID-RACK]]&amp;Tableau3[[#This Row],[ID-SLOT]]&amp;Tableau3[[#This Row],[BORNE]]</f>
        <v>2261A</v>
      </c>
      <c r="AO349" s="1"/>
    </row>
    <row r="350" spans="1:41" ht="20.100000000000001" customHeight="1" thickTop="1" thickBot="1">
      <c r="A350" s="68"/>
      <c r="B350" s="69" t="str">
        <f>IFERROR(INDEX(Tableau4[Date],MATCH($A350,Tableau4[EVO],0)),"")</f>
        <v/>
      </c>
      <c r="C350" s="68" t="str">
        <f>IFERROR(INDEX(Tableau4[Designation],MATCH($A350,Tableau4[EVO],0)),"")</f>
        <v/>
      </c>
      <c r="D350" s="68"/>
      <c r="E350" s="70">
        <v>259</v>
      </c>
      <c r="F350" s="71">
        <v>291</v>
      </c>
      <c r="G350" s="101" t="str">
        <f>INDEX(Tableau8[Att1],MATCH(Tableau3[[#This Row],[ID-INS]],Tableau8[ID],0))&amp;""</f>
        <v>V2</v>
      </c>
      <c r="H350" s="101" t="str">
        <f>INDEX(Tableau8[Att2],MATCH(Tableau3[[#This Row],[ID-INS]],Tableau8[ID],0))&amp;""</f>
        <v>P5</v>
      </c>
      <c r="I350" s="101" t="str">
        <f>INDEX(Tableau8[Att3],MATCH(Tableau3[[#This Row],[ID-INS]],Tableau8[ID],0))&amp;""</f>
        <v>Portail P5</v>
      </c>
      <c r="J350" s="101"/>
      <c r="K350" s="167" t="str">
        <f>INDEX(Tableau8[Nom du modele],MATCH(Tableau3[[#This Row],[ID-INS]],Tableau8[ID],0))&amp;""</f>
        <v>PortailBleuHydr_2</v>
      </c>
      <c r="L350" s="155" t="s">
        <v>1681</v>
      </c>
      <c r="M350" s="99" t="str">
        <f>INDEX(Tableau5[Att2],MATCH(Tableau3[[#This Row],[ID-SIG]],Tableau5[ID],0))&amp;""</f>
        <v/>
      </c>
      <c r="N350" s="99" t="str">
        <f>INDEX(Tableau5[Att3],MATCH(Tableau3[[#This Row],[ID-SIG]],Tableau5[ID],0))&amp;""</f>
        <v/>
      </c>
      <c r="O350" s="99"/>
      <c r="P350" s="155" t="s">
        <v>1755</v>
      </c>
      <c r="Q350" s="99"/>
      <c r="R350" s="103" t="str">
        <f>Tableau3[[#This Row],[Description]]</f>
        <v>Portail P5 - Entrée Réserve 2</v>
      </c>
      <c r="U350" s="87">
        <v>2</v>
      </c>
      <c r="V350" s="87">
        <v>2</v>
      </c>
      <c r="W350" s="87">
        <v>6</v>
      </c>
      <c r="X350" s="87">
        <v>4</v>
      </c>
      <c r="Y350" s="40"/>
      <c r="Z350" s="165" t="str">
        <f>INDEX(Tableau2[TS],MATCH(Tableau3[[#This Row],[ID-CARTEVOIE]],Tableau2[ID-CARTEVOIE],0))</f>
        <v>ET</v>
      </c>
      <c r="AA350" s="53" t="s">
        <v>213</v>
      </c>
      <c r="AB350" s="223" t="str">
        <f>IFERROR(INDEX(Tableau5[Reserve],MATCH(Tableau3[[#This Row],[ID-SIG]],Tableau5[ID],0))&amp;"","")</f>
        <v/>
      </c>
      <c r="AC350" s="21"/>
      <c r="AD350" s="108" t="str">
        <f>INDEX(Tableau7[Repere],MATCH(Tableau3[[#This Row],[ID-API]],Tableau7[ID-API],0))&amp;""</f>
        <v>A2</v>
      </c>
      <c r="AE350" s="108" t="str">
        <f>INDEX(Tableau1[Repere-Rack],MATCH(Tableau3[[#This Row],[ID-RACK]],Tableau1[ID-RACK],0))&amp;""</f>
        <v>R2</v>
      </c>
      <c r="AF350" s="108" t="str">
        <f>INDEX(Tableau1[Repere-Slot],MATCH(Tableau3[[#This Row],[ID-SLOT]],Tableau1[ID-SLOT],0))&amp;""</f>
        <v>S6</v>
      </c>
      <c r="AG350" s="108" t="str">
        <f>INDEX(Tableau2[Repere-Voie],MATCH(Tableau3[[#This Row],[ID-VOIE]],Tableau2[ID-Voie],0))&amp;""</f>
        <v>v4</v>
      </c>
      <c r="AH350" s="72" t="str">
        <f>Tableau3[[#This Row],[ID-API]]&amp; "." &amp;Tableau3[[#This Row],[ID-RACK]]&amp; "." &amp;Tableau3[[#This Row],[ID-SLOT]]</f>
        <v>2.2.6</v>
      </c>
      <c r="AI350" s="72" t="str">
        <f>INDEX(Tableau1[Ref-Carte],MATCH(Tableau3[[#This Row],[ID-RRS]],Tableau1[ID-RRS],0))</f>
        <v>SDI1602</v>
      </c>
      <c r="AJ350" s="72" t="str">
        <f t="array" ref="AJ350">IFERROR(INDEX(Tableau2[TS],MATCH(1,(Tableau2[Ref-Carte]=Tableau3[[#This Row],[Ref-Carte2]])*(Tableau2[ID-Voie]=Tableau3[[#This Row],[ID-VOIE]]),0)),"")</f>
        <v>ET</v>
      </c>
      <c r="AK350" s="72" t="str">
        <f>IFERROR(INDEX(Tableau2[TS],SUMPRODUCT((Tableau2[Ref-Carte]=Tableau3[[#This Row],[Ref-Carte2]])*(Tableau2[ID-Voie]=Tableau3[[#This Row],[ID-VOIE]])*ROW(Tableau2[TS]))-ROW(Tableau2[#Headers])),"")</f>
        <v>ET</v>
      </c>
      <c r="AL350" s="72" t="str">
        <f>Tableau3[[#This Row],[Ref-Carte2]]&amp;"/"&amp;Tableau3[[#This Row],[ID-VOIE]]</f>
        <v>SDI1602/4</v>
      </c>
      <c r="AM350" s="73" t="str">
        <f>INDEX(Tableau2[Borne],MATCH(Tableau3[[#This Row],[ID-CARTEVOIE]],Tableau2[ID-CARTEVOIE],0))&amp;""</f>
        <v>2B</v>
      </c>
      <c r="AN350" s="74" t="str">
        <f>Tableau3[[#This Row],[ID-API]]&amp;Tableau3[[#This Row],[ID-RACK]]&amp;Tableau3[[#This Row],[ID-SLOT]]&amp;Tableau3[[#This Row],[BORNE]]</f>
        <v>2262B</v>
      </c>
      <c r="AO350" s="1"/>
    </row>
    <row r="351" spans="1:41" ht="20.100000000000001" customHeight="1" thickTop="1" thickBot="1">
      <c r="A351" s="68"/>
      <c r="B351" s="69" t="str">
        <f>IFERROR(INDEX(Tableau4[Date],MATCH($A351,Tableau4[EVO],0)),"")</f>
        <v/>
      </c>
      <c r="C351" s="68" t="str">
        <f>IFERROR(INDEX(Tableau4[Designation],MATCH($A351,Tableau4[EVO],0)),"")</f>
        <v/>
      </c>
      <c r="D351" s="68"/>
      <c r="E351" s="70">
        <v>259</v>
      </c>
      <c r="F351" s="71">
        <v>292</v>
      </c>
      <c r="G351" s="101" t="str">
        <f>INDEX(Tableau8[Att1],MATCH(Tableau3[[#This Row],[ID-INS]],Tableau8[ID],0))&amp;""</f>
        <v>V2</v>
      </c>
      <c r="H351" s="101" t="str">
        <f>INDEX(Tableau8[Att2],MATCH(Tableau3[[#This Row],[ID-INS]],Tableau8[ID],0))&amp;""</f>
        <v>P5</v>
      </c>
      <c r="I351" s="101" t="str">
        <f>INDEX(Tableau8[Att3],MATCH(Tableau3[[#This Row],[ID-INS]],Tableau8[ID],0))&amp;""</f>
        <v>Portail P5</v>
      </c>
      <c r="J351" s="101"/>
      <c r="K351" s="167" t="str">
        <f>INDEX(Tableau8[Nom du modele],MATCH(Tableau3[[#This Row],[ID-INS]],Tableau8[ID],0))&amp;""</f>
        <v>PortailBleuHydr_2</v>
      </c>
      <c r="L351" s="99" t="str">
        <f>INDEX(Tableau5[Att1],MATCH(Tableau3[[#This Row],[ID-SIG]],Tableau5[ID],0))&amp;""</f>
        <v>VD_Fer2</v>
      </c>
      <c r="M351" s="99" t="str">
        <f>INDEX(Tableau5[Att2],MATCH(Tableau3[[#This Row],[ID-SIG]],Tableau5[ID],0))&amp;""</f>
        <v/>
      </c>
      <c r="N351" s="99" t="str">
        <f>INDEX(Tableau5[Att3],MATCH(Tableau3[[#This Row],[ID-SIG]],Tableau5[ID],0))&amp;""</f>
        <v/>
      </c>
      <c r="O351" s="99"/>
      <c r="P351" s="99" t="str">
        <f>INDEX(Tableau5[Description],MATCH(Tableau3[[#This Row],[ID-SIG]],Tableau5[ID],0))</f>
        <v>Vantail droit en fdc fermé 2</v>
      </c>
      <c r="Q351" s="99"/>
      <c r="R351" s="103" t="str">
        <f>Tableau3[[#This Row],[Description]]</f>
        <v>Vantail droit en fdc fermé 2</v>
      </c>
      <c r="U351" s="87">
        <v>2</v>
      </c>
      <c r="V351" s="87">
        <v>2</v>
      </c>
      <c r="W351" s="87">
        <v>6</v>
      </c>
      <c r="X351" s="87">
        <v>5</v>
      </c>
      <c r="Y351" s="40"/>
      <c r="Z351" s="165" t="str">
        <f>INDEX(Tableau2[TS],MATCH(Tableau3[[#This Row],[ID-CARTEVOIE]],Tableau2[ID-CARTEVOIE],0))</f>
        <v>ET</v>
      </c>
      <c r="AA351" s="53" t="s">
        <v>213</v>
      </c>
      <c r="AB351" s="223" t="str">
        <f>IFERROR(INDEX(Tableau5[Reserve],MATCH(Tableau3[[#This Row],[ID-SIG]],Tableau5[ID],0))&amp;"","")</f>
        <v/>
      </c>
      <c r="AC351" s="21"/>
      <c r="AD351" s="108" t="str">
        <f>INDEX(Tableau7[Repere],MATCH(Tableau3[[#This Row],[ID-API]],Tableau7[ID-API],0))&amp;""</f>
        <v>A2</v>
      </c>
      <c r="AE351" s="108" t="str">
        <f>INDEX(Tableau1[Repere-Rack],MATCH(Tableau3[[#This Row],[ID-RACK]],Tableau1[ID-RACK],0))&amp;""</f>
        <v>R2</v>
      </c>
      <c r="AF351" s="108" t="str">
        <f>INDEX(Tableau1[Repere-Slot],MATCH(Tableau3[[#This Row],[ID-SLOT]],Tableau1[ID-SLOT],0))&amp;""</f>
        <v>S6</v>
      </c>
      <c r="AG351" s="108" t="str">
        <f>INDEX(Tableau2[Repere-Voie],MATCH(Tableau3[[#This Row],[ID-VOIE]],Tableau2[ID-Voie],0))&amp;""</f>
        <v>v5</v>
      </c>
      <c r="AH351" s="72" t="str">
        <f>Tableau3[[#This Row],[ID-API]]&amp; "." &amp;Tableau3[[#This Row],[ID-RACK]]&amp; "." &amp;Tableau3[[#This Row],[ID-SLOT]]</f>
        <v>2.2.6</v>
      </c>
      <c r="AI351" s="72" t="str">
        <f>INDEX(Tableau1[Ref-Carte],MATCH(Tableau3[[#This Row],[ID-RRS]],Tableau1[ID-RRS],0))</f>
        <v>SDI1602</v>
      </c>
      <c r="AJ351" s="72" t="str">
        <f t="array" ref="AJ351">IFERROR(INDEX(Tableau2[TS],MATCH(1,(Tableau2[Ref-Carte]=Tableau3[[#This Row],[Ref-Carte2]])*(Tableau2[ID-Voie]=Tableau3[[#This Row],[ID-VOIE]]),0)),"")</f>
        <v>ET</v>
      </c>
      <c r="AK351" s="72" t="str">
        <f>IFERROR(INDEX(Tableau2[TS],SUMPRODUCT((Tableau2[Ref-Carte]=Tableau3[[#This Row],[Ref-Carte2]])*(Tableau2[ID-Voie]=Tableau3[[#This Row],[ID-VOIE]])*ROW(Tableau2[TS]))-ROW(Tableau2[#Headers])),"")</f>
        <v>ET</v>
      </c>
      <c r="AL351" s="72" t="str">
        <f>Tableau3[[#This Row],[Ref-Carte2]]&amp;"/"&amp;Tableau3[[#This Row],[ID-VOIE]]</f>
        <v>SDI1602/5</v>
      </c>
      <c r="AM351" s="73" t="str">
        <f>INDEX(Tableau2[Borne],MATCH(Tableau3[[#This Row],[ID-CARTEVOIE]],Tableau2[ID-CARTEVOIE],0))&amp;""</f>
        <v>2A</v>
      </c>
      <c r="AN351" s="74" t="str">
        <f>Tableau3[[#This Row],[ID-API]]&amp;Tableau3[[#This Row],[ID-RACK]]&amp;Tableau3[[#This Row],[ID-SLOT]]&amp;Tableau3[[#This Row],[BORNE]]</f>
        <v>2262A</v>
      </c>
      <c r="AO351" s="1"/>
    </row>
    <row r="352" spans="1:41" ht="20.100000000000001" customHeight="1" thickTop="1" thickBot="1">
      <c r="A352" s="68"/>
      <c r="B352" s="69" t="str">
        <f>IFERROR(INDEX(Tableau4[Date],MATCH($A352,Tableau4[EVO],0)),"")</f>
        <v/>
      </c>
      <c r="C352" s="68" t="str">
        <f>IFERROR(INDEX(Tableau4[Designation],MATCH($A352,Tableau4[EVO],0)),"")</f>
        <v/>
      </c>
      <c r="D352" s="68"/>
      <c r="E352" s="70">
        <v>259</v>
      </c>
      <c r="F352" s="71">
        <v>293</v>
      </c>
      <c r="G352" s="101" t="str">
        <f>INDEX(Tableau8[Att1],MATCH(Tableau3[[#This Row],[ID-INS]],Tableau8[ID],0))&amp;""</f>
        <v>V2</v>
      </c>
      <c r="H352" s="101" t="str">
        <f>INDEX(Tableau8[Att2],MATCH(Tableau3[[#This Row],[ID-INS]],Tableau8[ID],0))&amp;""</f>
        <v>P5</v>
      </c>
      <c r="I352" s="101" t="str">
        <f>INDEX(Tableau8[Att3],MATCH(Tableau3[[#This Row],[ID-INS]],Tableau8[ID],0))&amp;""</f>
        <v>Portail P5</v>
      </c>
      <c r="J352" s="101"/>
      <c r="K352" s="167" t="str">
        <f>INDEX(Tableau8[Nom du modele],MATCH(Tableau3[[#This Row],[ID-INS]],Tableau8[ID],0))&amp;""</f>
        <v>PortailBleuHydr_2</v>
      </c>
      <c r="L352" s="99" t="str">
        <f>INDEX(Tableau5[Att1],MATCH(Tableau3[[#This Row],[ID-SIG]],Tableau5[ID],0))&amp;""</f>
        <v>VG_Fer2</v>
      </c>
      <c r="M352" s="99" t="str">
        <f>INDEX(Tableau5[Att2],MATCH(Tableau3[[#This Row],[ID-SIG]],Tableau5[ID],0))&amp;""</f>
        <v/>
      </c>
      <c r="N352" s="99" t="str">
        <f>INDEX(Tableau5[Att3],MATCH(Tableau3[[#This Row],[ID-SIG]],Tableau5[ID],0))&amp;""</f>
        <v/>
      </c>
      <c r="O352" s="99"/>
      <c r="P352" s="99" t="str">
        <f>INDEX(Tableau5[Description],MATCH(Tableau3[[#This Row],[ID-SIG]],Tableau5[ID],0))</f>
        <v>Vantail gauche en fdc fermé 2</v>
      </c>
      <c r="Q352" s="99"/>
      <c r="R352" s="103" t="str">
        <f>Tableau3[[#This Row],[Description]]</f>
        <v>Vantail gauche en fdc fermé 2</v>
      </c>
      <c r="U352" s="87">
        <v>2</v>
      </c>
      <c r="V352" s="87">
        <v>2</v>
      </c>
      <c r="W352" s="87">
        <v>6</v>
      </c>
      <c r="X352" s="87">
        <v>6</v>
      </c>
      <c r="Y352" s="40"/>
      <c r="Z352" s="165" t="str">
        <f>INDEX(Tableau2[TS],MATCH(Tableau3[[#This Row],[ID-CARTEVOIE]],Tableau2[ID-CARTEVOIE],0))</f>
        <v>ET</v>
      </c>
      <c r="AA352" s="53" t="s">
        <v>213</v>
      </c>
      <c r="AB352" s="223" t="str">
        <f>IFERROR(INDEX(Tableau5[Reserve],MATCH(Tableau3[[#This Row],[ID-SIG]],Tableau5[ID],0))&amp;"","")</f>
        <v/>
      </c>
      <c r="AC352" s="21"/>
      <c r="AD352" s="108" t="str">
        <f>INDEX(Tableau7[Repere],MATCH(Tableau3[[#This Row],[ID-API]],Tableau7[ID-API],0))&amp;""</f>
        <v>A2</v>
      </c>
      <c r="AE352" s="108" t="str">
        <f>INDEX(Tableau1[Repere-Rack],MATCH(Tableau3[[#This Row],[ID-RACK]],Tableau1[ID-RACK],0))&amp;""</f>
        <v>R2</v>
      </c>
      <c r="AF352" s="108" t="str">
        <f>INDEX(Tableau1[Repere-Slot],MATCH(Tableau3[[#This Row],[ID-SLOT]],Tableau1[ID-SLOT],0))&amp;""</f>
        <v>S6</v>
      </c>
      <c r="AG352" s="108" t="str">
        <f>INDEX(Tableau2[Repere-Voie],MATCH(Tableau3[[#This Row],[ID-VOIE]],Tableau2[ID-Voie],0))&amp;""</f>
        <v>v6</v>
      </c>
      <c r="AH352" s="72" t="str">
        <f>Tableau3[[#This Row],[ID-API]]&amp; "." &amp;Tableau3[[#This Row],[ID-RACK]]&amp; "." &amp;Tableau3[[#This Row],[ID-SLOT]]</f>
        <v>2.2.6</v>
      </c>
      <c r="AI352" s="72" t="str">
        <f>INDEX(Tableau1[Ref-Carte],MATCH(Tableau3[[#This Row],[ID-RRS]],Tableau1[ID-RRS],0))</f>
        <v>SDI1602</v>
      </c>
      <c r="AJ352" s="72" t="str">
        <f t="array" ref="AJ352">IFERROR(INDEX(Tableau2[TS],MATCH(1,(Tableau2[Ref-Carte]=Tableau3[[#This Row],[Ref-Carte2]])*(Tableau2[ID-Voie]=Tableau3[[#This Row],[ID-VOIE]]),0)),"")</f>
        <v>ET</v>
      </c>
      <c r="AK352" s="72" t="str">
        <f>IFERROR(INDEX(Tableau2[TS],SUMPRODUCT((Tableau2[Ref-Carte]=Tableau3[[#This Row],[Ref-Carte2]])*(Tableau2[ID-Voie]=Tableau3[[#This Row],[ID-VOIE]])*ROW(Tableau2[TS]))-ROW(Tableau2[#Headers])),"")</f>
        <v>ET</v>
      </c>
      <c r="AL352" s="72" t="str">
        <f>Tableau3[[#This Row],[Ref-Carte2]]&amp;"/"&amp;Tableau3[[#This Row],[ID-VOIE]]</f>
        <v>SDI1602/6</v>
      </c>
      <c r="AM352" s="73" t="str">
        <f>INDEX(Tableau2[Borne],MATCH(Tableau3[[#This Row],[ID-CARTEVOIE]],Tableau2[ID-CARTEVOIE],0))&amp;""</f>
        <v>3B</v>
      </c>
      <c r="AN352" s="74" t="str">
        <f>Tableau3[[#This Row],[ID-API]]&amp;Tableau3[[#This Row],[ID-RACK]]&amp;Tableau3[[#This Row],[ID-SLOT]]&amp;Tableau3[[#This Row],[BORNE]]</f>
        <v>2263B</v>
      </c>
      <c r="AO352" s="1"/>
    </row>
    <row r="353" spans="1:41" ht="20.100000000000001" customHeight="1" thickTop="1" thickBot="1">
      <c r="A353" s="68"/>
      <c r="B353" s="69" t="str">
        <f>IFERROR(INDEX(Tableau4[Date],MATCH($A353,Tableau4[EVO],0)),"")</f>
        <v/>
      </c>
      <c r="C353" s="68" t="str">
        <f>IFERROR(INDEX(Tableau4[Designation],MATCH($A353,Tableau4[EVO],0)),"")</f>
        <v/>
      </c>
      <c r="D353" s="68"/>
      <c r="E353" s="70">
        <v>264</v>
      </c>
      <c r="F353" s="71">
        <v>6</v>
      </c>
      <c r="G353" s="101" t="str">
        <f>INDEX(Tableau8[Att1],MATCH(Tableau3[[#This Row],[ID-INS]],Tableau8[ID],0))&amp;""</f>
        <v>V1</v>
      </c>
      <c r="H353" s="101" t="str">
        <f>INDEX(Tableau8[Att2],MATCH(Tableau3[[#This Row],[ID-INS]],Tableau8[ID],0))&amp;""</f>
        <v>P1</v>
      </c>
      <c r="I353" s="101" t="str">
        <f>INDEX(Tableau8[Att3],MATCH(Tableau3[[#This Row],[ID-INS]],Tableau8[ID],0))&amp;""</f>
        <v>Portail P1</v>
      </c>
      <c r="J353" s="101"/>
      <c r="K353" s="167" t="str">
        <f>INDEX(Tableau8[Nom du modele],MATCH(Tableau3[[#This Row],[ID-INS]],Tableau8[ID],0))&amp;""</f>
        <v>Effraction</v>
      </c>
      <c r="L353" s="99" t="str">
        <f>INDEX(Tableau5[Att1],MATCH(Tableau3[[#This Row],[ID-SIG]],Tableau5[ID],0))&amp;""</f>
        <v>SynthEffr</v>
      </c>
      <c r="M353" s="99" t="str">
        <f>INDEX(Tableau5[Att2],MATCH(Tableau3[[#This Row],[ID-SIG]],Tableau5[ID],0))&amp;""</f>
        <v/>
      </c>
      <c r="N353" s="99" t="str">
        <f>INDEX(Tableau5[Att3],MATCH(Tableau3[[#This Row],[ID-SIG]],Tableau5[ID],0))&amp;""</f>
        <v/>
      </c>
      <c r="O353" s="99"/>
      <c r="P353" s="99" t="str">
        <f>INDEX(Tableau5[Description],MATCH(Tableau3[[#This Row],[ID-SIG]],Tableau5[ID],0))</f>
        <v>Synthèse effraction</v>
      </c>
      <c r="Q353" s="99"/>
      <c r="R353" s="103" t="str">
        <f>Tableau3[[#This Row],[Description]]</f>
        <v>Synthèse effraction</v>
      </c>
      <c r="U353" s="87">
        <v>2</v>
      </c>
      <c r="V353" s="87">
        <v>2</v>
      </c>
      <c r="W353" s="87">
        <v>6</v>
      </c>
      <c r="X353" s="87">
        <v>7</v>
      </c>
      <c r="Y353" s="40"/>
      <c r="Z353" s="165" t="str">
        <f>INDEX(Tableau2[TS],MATCH(Tableau3[[#This Row],[ID-CARTEVOIE]],Tableau2[ID-CARTEVOIE],0))</f>
        <v>ET</v>
      </c>
      <c r="AA353" s="53" t="s">
        <v>213</v>
      </c>
      <c r="AB353" s="223" t="str">
        <f>IFERROR(INDEX(Tableau5[Reserve],MATCH(Tableau3[[#This Row],[ID-SIG]],Tableau5[ID],0))&amp;"","")</f>
        <v/>
      </c>
      <c r="AC353" s="21"/>
      <c r="AD353" s="108" t="str">
        <f>INDEX(Tableau7[Repere],MATCH(Tableau3[[#This Row],[ID-API]],Tableau7[ID-API],0))&amp;""</f>
        <v>A2</v>
      </c>
      <c r="AE353" s="108" t="str">
        <f>INDEX(Tableau1[Repere-Rack],MATCH(Tableau3[[#This Row],[ID-RACK]],Tableau1[ID-RACK],0))&amp;""</f>
        <v>R2</v>
      </c>
      <c r="AF353" s="108" t="str">
        <f>INDEX(Tableau1[Repere-Slot],MATCH(Tableau3[[#This Row],[ID-SLOT]],Tableau1[ID-SLOT],0))&amp;""</f>
        <v>S6</v>
      </c>
      <c r="AG353" s="108" t="str">
        <f>INDEX(Tableau2[Repere-Voie],MATCH(Tableau3[[#This Row],[ID-VOIE]],Tableau2[ID-Voie],0))&amp;""</f>
        <v>v7</v>
      </c>
      <c r="AH353" s="72" t="str">
        <f>Tableau3[[#This Row],[ID-API]]&amp; "." &amp;Tableau3[[#This Row],[ID-RACK]]&amp; "." &amp;Tableau3[[#This Row],[ID-SLOT]]</f>
        <v>2.2.6</v>
      </c>
      <c r="AI353" s="72" t="str">
        <f>INDEX(Tableau1[Ref-Carte],MATCH(Tableau3[[#This Row],[ID-RRS]],Tableau1[ID-RRS],0))</f>
        <v>SDI1602</v>
      </c>
      <c r="AJ353" s="72" t="str">
        <f t="array" ref="AJ353">IFERROR(INDEX(Tableau2[TS],MATCH(1,(Tableau2[Ref-Carte]=Tableau3[[#This Row],[Ref-Carte2]])*(Tableau2[ID-Voie]=Tableau3[[#This Row],[ID-VOIE]]),0)),"")</f>
        <v>ET</v>
      </c>
      <c r="AK353" s="72" t="str">
        <f>IFERROR(INDEX(Tableau2[TS],SUMPRODUCT((Tableau2[Ref-Carte]=Tableau3[[#This Row],[Ref-Carte2]])*(Tableau2[ID-Voie]=Tableau3[[#This Row],[ID-VOIE]])*ROW(Tableau2[TS]))-ROW(Tableau2[#Headers])),"")</f>
        <v>ET</v>
      </c>
      <c r="AL353" s="72" t="str">
        <f>Tableau3[[#This Row],[Ref-Carte2]]&amp;"/"&amp;Tableau3[[#This Row],[ID-VOIE]]</f>
        <v>SDI1602/7</v>
      </c>
      <c r="AM353" s="73" t="str">
        <f>INDEX(Tableau2[Borne],MATCH(Tableau3[[#This Row],[ID-CARTEVOIE]],Tableau2[ID-CARTEVOIE],0))&amp;""</f>
        <v>3A</v>
      </c>
      <c r="AN353" s="74" t="str">
        <f>Tableau3[[#This Row],[ID-API]]&amp;Tableau3[[#This Row],[ID-RACK]]&amp;Tableau3[[#This Row],[ID-SLOT]]&amp;Tableau3[[#This Row],[BORNE]]</f>
        <v>2263A</v>
      </c>
      <c r="AO353" s="1"/>
    </row>
    <row r="354" spans="1:41" ht="20.100000000000001" customHeight="1" thickTop="1" thickBot="1">
      <c r="A354" s="68"/>
      <c r="B354" s="69" t="str">
        <f>IFERROR(INDEX(Tableau4[Date],MATCH($A354,Tableau4[EVO],0)),"")</f>
        <v/>
      </c>
      <c r="C354" s="68" t="str">
        <f>IFERROR(INDEX(Tableau4[Designation],MATCH($A354,Tableau4[EVO],0)),"")</f>
        <v/>
      </c>
      <c r="D354" s="68"/>
      <c r="E354" s="70">
        <v>481</v>
      </c>
      <c r="F354" s="71">
        <v>3</v>
      </c>
      <c r="G354" s="101" t="str">
        <f>INDEX(Tableau8[Att1],MATCH(Tableau3[[#This Row],[ID-INS]],Tableau8[ID],0))&amp;""</f>
        <v>V1/V2</v>
      </c>
      <c r="H354" s="101" t="str">
        <f>INDEX(Tableau8[Att2],MATCH(Tableau3[[#This Row],[ID-INS]],Tableau8[ID],0))&amp;""</f>
        <v>PPH82</v>
      </c>
      <c r="I354" s="101" t="str">
        <f>INDEX(Tableau8[Att3],MATCH(Tableau3[[#This Row],[ID-INS]],Tableau8[ID],0))&amp;""</f>
        <v>Portail P11 ouvert</v>
      </c>
      <c r="J354" s="101"/>
      <c r="K354" s="167" t="str">
        <f>INDEX(Tableau8[Nom du modele],MATCH(Tableau3[[#This Row],[ID-INS]],Tableau8[ID],0))&amp;""</f>
        <v>E_Divers</v>
      </c>
      <c r="L354" s="99" t="str">
        <f>INDEX(Tableau5[Att1],MATCH(Tableau3[[#This Row],[ID-SIG]],Tableau5[ID],0))&amp;""</f>
        <v>C1</v>
      </c>
      <c r="M354" s="99" t="str">
        <f>INDEX(Tableau5[Att2],MATCH(Tableau3[[#This Row],[ID-SIG]],Tableau5[ID],0))&amp;""</f>
        <v/>
      </c>
      <c r="N354" s="99" t="str">
        <f>INDEX(Tableau5[Att3],MATCH(Tableau3[[#This Row],[ID-SIG]],Tableau5[ID],0))&amp;""</f>
        <v/>
      </c>
      <c r="O354" s="99"/>
      <c r="P354" s="99" t="str">
        <f>INDEX(Tableau5[Description],MATCH(Tableau3[[#This Row],[ID-SIG]],Tableau5[ID],0))</f>
        <v>Contact</v>
      </c>
      <c r="Q354" s="99"/>
      <c r="R354" s="103" t="str">
        <f>Tableau3[[#This Row],[Description]]</f>
        <v>Contact</v>
      </c>
      <c r="U354" s="87">
        <v>2</v>
      </c>
      <c r="V354" s="87">
        <v>2</v>
      </c>
      <c r="W354" s="87">
        <v>6</v>
      </c>
      <c r="X354" s="87">
        <v>8</v>
      </c>
      <c r="Y354" s="40"/>
      <c r="Z354" s="165" t="str">
        <f>INDEX(Tableau2[TS],MATCH(Tableau3[[#This Row],[ID-CARTEVOIE]],Tableau2[ID-CARTEVOIE],0))</f>
        <v>ET</v>
      </c>
      <c r="AA354" s="53" t="s">
        <v>213</v>
      </c>
      <c r="AB354" s="223" t="str">
        <f>IFERROR(INDEX(Tableau5[Reserve],MATCH(Tableau3[[#This Row],[ID-SIG]],Tableau5[ID],0))&amp;"","")</f>
        <v/>
      </c>
      <c r="AC354" s="21"/>
      <c r="AD354" s="108" t="str">
        <f>INDEX(Tableau7[Repere],MATCH(Tableau3[[#This Row],[ID-API]],Tableau7[ID-API],0))&amp;""</f>
        <v>A2</v>
      </c>
      <c r="AE354" s="108" t="str">
        <f>INDEX(Tableau1[Repere-Rack],MATCH(Tableau3[[#This Row],[ID-RACK]],Tableau1[ID-RACK],0))&amp;""</f>
        <v>R2</v>
      </c>
      <c r="AF354" s="108" t="str">
        <f>INDEX(Tableau1[Repere-Slot],MATCH(Tableau3[[#This Row],[ID-SLOT]],Tableau1[ID-SLOT],0))&amp;""</f>
        <v>S6</v>
      </c>
      <c r="AG354" s="108" t="str">
        <f>INDEX(Tableau2[Repere-Voie],MATCH(Tableau3[[#This Row],[ID-VOIE]],Tableau2[ID-Voie],0))&amp;""</f>
        <v>v8</v>
      </c>
      <c r="AH354" s="72" t="str">
        <f>Tableau3[[#This Row],[ID-API]]&amp; "." &amp;Tableau3[[#This Row],[ID-RACK]]&amp; "." &amp;Tableau3[[#This Row],[ID-SLOT]]</f>
        <v>2.2.6</v>
      </c>
      <c r="AI354" s="72" t="str">
        <f>INDEX(Tableau1[Ref-Carte],MATCH(Tableau3[[#This Row],[ID-RRS]],Tableau1[ID-RRS],0))</f>
        <v>SDI1602</v>
      </c>
      <c r="AJ354" s="72" t="str">
        <f t="array" ref="AJ354">IFERROR(INDEX(Tableau2[TS],MATCH(1,(Tableau2[Ref-Carte]=Tableau3[[#This Row],[Ref-Carte2]])*(Tableau2[ID-Voie]=Tableau3[[#This Row],[ID-VOIE]]),0)),"")</f>
        <v>ET</v>
      </c>
      <c r="AK354" s="72" t="str">
        <f>IFERROR(INDEX(Tableau2[TS],SUMPRODUCT((Tableau2[Ref-Carte]=Tableau3[[#This Row],[Ref-Carte2]])*(Tableau2[ID-Voie]=Tableau3[[#This Row],[ID-VOIE]])*ROW(Tableau2[TS]))-ROW(Tableau2[#Headers])),"")</f>
        <v>ET</v>
      </c>
      <c r="AL354" s="72" t="str">
        <f>Tableau3[[#This Row],[Ref-Carte2]]&amp;"/"&amp;Tableau3[[#This Row],[ID-VOIE]]</f>
        <v>SDI1602/8</v>
      </c>
      <c r="AM354" s="73" t="str">
        <f>INDEX(Tableau2[Borne],MATCH(Tableau3[[#This Row],[ID-CARTEVOIE]],Tableau2[ID-CARTEVOIE],0))&amp;""</f>
        <v>4B</v>
      </c>
      <c r="AN354" s="74" t="str">
        <f>Tableau3[[#This Row],[ID-API]]&amp;Tableau3[[#This Row],[ID-RACK]]&amp;Tableau3[[#This Row],[ID-SLOT]]&amp;Tableau3[[#This Row],[BORNE]]</f>
        <v>2264B</v>
      </c>
      <c r="AO354" s="1"/>
    </row>
    <row r="355" spans="1:41" ht="20.100000000000001" customHeight="1" thickTop="1" thickBot="1">
      <c r="A355" s="68"/>
      <c r="B355" s="69" t="str">
        <f>IFERROR(INDEX(Tableau4[Date],MATCH($A355,Tableau4[EVO],0)),"")</f>
        <v/>
      </c>
      <c r="C355" s="68" t="str">
        <f>IFERROR(INDEX(Tableau4[Designation],MATCH($A355,Tableau4[EVO],0)),"")</f>
        <v/>
      </c>
      <c r="D355" s="68"/>
      <c r="E355" s="70">
        <v>482</v>
      </c>
      <c r="F355" s="71">
        <v>3</v>
      </c>
      <c r="G355" s="101" t="str">
        <f>INDEX(Tableau8[Att1],MATCH(Tableau3[[#This Row],[ID-INS]],Tableau8[ID],0))&amp;""</f>
        <v>V1/V2</v>
      </c>
      <c r="H355" s="101" t="str">
        <f>INDEX(Tableau8[Att2],MATCH(Tableau3[[#This Row],[ID-INS]],Tableau8[ID],0))&amp;""</f>
        <v>PPH83</v>
      </c>
      <c r="I355" s="101" t="str">
        <f>INDEX(Tableau8[Att3],MATCH(Tableau3[[#This Row],[ID-INS]],Tableau8[ID],0))&amp;""</f>
        <v>Alarme CP11 portillon ALAS</v>
      </c>
      <c r="J355" s="101"/>
      <c r="K355" s="167" t="str">
        <f>INDEX(Tableau8[Nom du modele],MATCH(Tableau3[[#This Row],[ID-INS]],Tableau8[ID],0))&amp;""</f>
        <v>E_Divers</v>
      </c>
      <c r="L355" s="99" t="str">
        <f>INDEX(Tableau5[Att1],MATCH(Tableau3[[#This Row],[ID-SIG]],Tableau5[ID],0))&amp;""</f>
        <v>C1</v>
      </c>
      <c r="M355" s="99" t="str">
        <f>INDEX(Tableau5[Att2],MATCH(Tableau3[[#This Row],[ID-SIG]],Tableau5[ID],0))&amp;""</f>
        <v/>
      </c>
      <c r="N355" s="99" t="str">
        <f>INDEX(Tableau5[Att3],MATCH(Tableau3[[#This Row],[ID-SIG]],Tableau5[ID],0))&amp;""</f>
        <v/>
      </c>
      <c r="O355" s="99"/>
      <c r="P355" s="99" t="str">
        <f>INDEX(Tableau5[Description],MATCH(Tableau3[[#This Row],[ID-SIG]],Tableau5[ID],0))</f>
        <v>Contact</v>
      </c>
      <c r="Q355" s="99"/>
      <c r="R355" s="103" t="str">
        <f>Tableau3[[#This Row],[Description]]</f>
        <v>Contact</v>
      </c>
      <c r="U355" s="87">
        <v>2</v>
      </c>
      <c r="V355" s="87">
        <v>2</v>
      </c>
      <c r="W355" s="87">
        <v>6</v>
      </c>
      <c r="X355" s="87">
        <v>9</v>
      </c>
      <c r="Y355" s="40"/>
      <c r="Z355" s="165" t="str">
        <f>INDEX(Tableau2[TS],MATCH(Tableau3[[#This Row],[ID-CARTEVOIE]],Tableau2[ID-CARTEVOIE],0))</f>
        <v>ET</v>
      </c>
      <c r="AA355" s="53" t="s">
        <v>213</v>
      </c>
      <c r="AB355" s="223" t="str">
        <f>IFERROR(INDEX(Tableau5[Reserve],MATCH(Tableau3[[#This Row],[ID-SIG]],Tableau5[ID],0))&amp;"","")</f>
        <v/>
      </c>
      <c r="AC355" s="21"/>
      <c r="AD355" s="108" t="str">
        <f>INDEX(Tableau7[Repere],MATCH(Tableau3[[#This Row],[ID-API]],Tableau7[ID-API],0))&amp;""</f>
        <v>A2</v>
      </c>
      <c r="AE355" s="108" t="str">
        <f>INDEX(Tableau1[Repere-Rack],MATCH(Tableau3[[#This Row],[ID-RACK]],Tableau1[ID-RACK],0))&amp;""</f>
        <v>R2</v>
      </c>
      <c r="AF355" s="108" t="str">
        <f>INDEX(Tableau1[Repere-Slot],MATCH(Tableau3[[#This Row],[ID-SLOT]],Tableau1[ID-SLOT],0))&amp;""</f>
        <v>S6</v>
      </c>
      <c r="AG355" s="108" t="str">
        <f>INDEX(Tableau2[Repere-Voie],MATCH(Tableau3[[#This Row],[ID-VOIE]],Tableau2[ID-Voie],0))&amp;""</f>
        <v>v9</v>
      </c>
      <c r="AH355" s="72" t="str">
        <f>Tableau3[[#This Row],[ID-API]]&amp; "." &amp;Tableau3[[#This Row],[ID-RACK]]&amp; "." &amp;Tableau3[[#This Row],[ID-SLOT]]</f>
        <v>2.2.6</v>
      </c>
      <c r="AI355" s="72" t="str">
        <f>INDEX(Tableau1[Ref-Carte],MATCH(Tableau3[[#This Row],[ID-RRS]],Tableau1[ID-RRS],0))</f>
        <v>SDI1602</v>
      </c>
      <c r="AJ355" s="72" t="str">
        <f t="array" ref="AJ355">IFERROR(INDEX(Tableau2[TS],MATCH(1,(Tableau2[Ref-Carte]=Tableau3[[#This Row],[Ref-Carte2]])*(Tableau2[ID-Voie]=Tableau3[[#This Row],[ID-VOIE]]),0)),"")</f>
        <v>ET</v>
      </c>
      <c r="AK355" s="72" t="str">
        <f>IFERROR(INDEX(Tableau2[TS],SUMPRODUCT((Tableau2[Ref-Carte]=Tableau3[[#This Row],[Ref-Carte2]])*(Tableau2[ID-Voie]=Tableau3[[#This Row],[ID-VOIE]])*ROW(Tableau2[TS]))-ROW(Tableau2[#Headers])),"")</f>
        <v>ET</v>
      </c>
      <c r="AL355" s="72" t="str">
        <f>Tableau3[[#This Row],[Ref-Carte2]]&amp;"/"&amp;Tableau3[[#This Row],[ID-VOIE]]</f>
        <v>SDI1602/9</v>
      </c>
      <c r="AM355" s="73" t="str">
        <f>INDEX(Tableau2[Borne],MATCH(Tableau3[[#This Row],[ID-CARTEVOIE]],Tableau2[ID-CARTEVOIE],0))&amp;""</f>
        <v>4A</v>
      </c>
      <c r="AN355" s="74" t="str">
        <f>Tableau3[[#This Row],[ID-API]]&amp;Tableau3[[#This Row],[ID-RACK]]&amp;Tableau3[[#This Row],[ID-SLOT]]&amp;Tableau3[[#This Row],[BORNE]]</f>
        <v>2264A</v>
      </c>
      <c r="AO355" s="1"/>
    </row>
    <row r="356" spans="1:41" ht="20.100000000000001" customHeight="1" thickTop="1" thickBot="1">
      <c r="A356" s="68"/>
      <c r="B356" s="69" t="str">
        <f>IFERROR(INDEX(Tableau4[Date],MATCH($A356,Tableau4[EVO],0)),"")</f>
        <v/>
      </c>
      <c r="C356" s="68" t="str">
        <f>IFERROR(INDEX(Tableau4[Designation],MATCH($A356,Tableau4[EVO],0)),"")</f>
        <v/>
      </c>
      <c r="D356" s="68"/>
      <c r="E356" s="70">
        <v>483</v>
      </c>
      <c r="F356" s="71">
        <v>3</v>
      </c>
      <c r="G356" s="101" t="str">
        <f>INDEX(Tableau8[Att1],MATCH(Tableau3[[#This Row],[ID-INS]],Tableau8[ID],0))&amp;""</f>
        <v>V1/V2</v>
      </c>
      <c r="H356" s="101" t="str">
        <f>INDEX(Tableau8[Att2],MATCH(Tableau3[[#This Row],[ID-INS]],Tableau8[ID],0))&amp;""</f>
        <v>PPH84</v>
      </c>
      <c r="I356" s="101" t="str">
        <f>INDEX(Tableau8[Att3],MATCH(Tableau3[[#This Row],[ID-INS]],Tableau8[ID],0))&amp;""</f>
        <v>Fraude CP11 portillon ALAS</v>
      </c>
      <c r="J356" s="101"/>
      <c r="K356" s="167" t="str">
        <f>INDEX(Tableau8[Nom du modele],MATCH(Tableau3[[#This Row],[ID-INS]],Tableau8[ID],0))&amp;""</f>
        <v>E_Divers</v>
      </c>
      <c r="L356" s="99" t="str">
        <f>INDEX(Tableau5[Att1],MATCH(Tableau3[[#This Row],[ID-SIG]],Tableau5[ID],0))&amp;""</f>
        <v>C1</v>
      </c>
      <c r="M356" s="99" t="str">
        <f>INDEX(Tableau5[Att2],MATCH(Tableau3[[#This Row],[ID-SIG]],Tableau5[ID],0))&amp;""</f>
        <v/>
      </c>
      <c r="N356" s="99" t="str">
        <f>INDEX(Tableau5[Att3],MATCH(Tableau3[[#This Row],[ID-SIG]],Tableau5[ID],0))&amp;""</f>
        <v/>
      </c>
      <c r="O356" s="99"/>
      <c r="P356" s="99" t="str">
        <f>INDEX(Tableau5[Description],MATCH(Tableau3[[#This Row],[ID-SIG]],Tableau5[ID],0))</f>
        <v>Contact</v>
      </c>
      <c r="Q356" s="99"/>
      <c r="R356" s="103" t="str">
        <f>Tableau3[[#This Row],[Description]]</f>
        <v>Contact</v>
      </c>
      <c r="U356" s="87">
        <v>2</v>
      </c>
      <c r="V356" s="87">
        <v>2</v>
      </c>
      <c r="W356" s="87">
        <v>6</v>
      </c>
      <c r="X356" s="87">
        <v>10</v>
      </c>
      <c r="Y356" s="40"/>
      <c r="Z356" s="165" t="str">
        <f>INDEX(Tableau2[TS],MATCH(Tableau3[[#This Row],[ID-CARTEVOIE]],Tableau2[ID-CARTEVOIE],0))</f>
        <v>ET</v>
      </c>
      <c r="AA356" s="53" t="s">
        <v>213</v>
      </c>
      <c r="AB356" s="223" t="str">
        <f>IFERROR(INDEX(Tableau5[Reserve],MATCH(Tableau3[[#This Row],[ID-SIG]],Tableau5[ID],0))&amp;"","")</f>
        <v/>
      </c>
      <c r="AC356" s="21"/>
      <c r="AD356" s="108" t="str">
        <f>INDEX(Tableau7[Repere],MATCH(Tableau3[[#This Row],[ID-API]],Tableau7[ID-API],0))&amp;""</f>
        <v>A2</v>
      </c>
      <c r="AE356" s="108" t="str">
        <f>INDEX(Tableau1[Repere-Rack],MATCH(Tableau3[[#This Row],[ID-RACK]],Tableau1[ID-RACK],0))&amp;""</f>
        <v>R2</v>
      </c>
      <c r="AF356" s="108" t="str">
        <f>INDEX(Tableau1[Repere-Slot],MATCH(Tableau3[[#This Row],[ID-SLOT]],Tableau1[ID-SLOT],0))&amp;""</f>
        <v>S6</v>
      </c>
      <c r="AG356" s="108" t="str">
        <f>INDEX(Tableau2[Repere-Voie],MATCH(Tableau3[[#This Row],[ID-VOIE]],Tableau2[ID-Voie],0))&amp;""</f>
        <v>v10</v>
      </c>
      <c r="AH356" s="72" t="str">
        <f>Tableau3[[#This Row],[ID-API]]&amp; "." &amp;Tableau3[[#This Row],[ID-RACK]]&amp; "." &amp;Tableau3[[#This Row],[ID-SLOT]]</f>
        <v>2.2.6</v>
      </c>
      <c r="AI356" s="72" t="str">
        <f>INDEX(Tableau1[Ref-Carte],MATCH(Tableau3[[#This Row],[ID-RRS]],Tableau1[ID-RRS],0))</f>
        <v>SDI1602</v>
      </c>
      <c r="AJ356" s="72" t="str">
        <f t="array" ref="AJ356">IFERROR(INDEX(Tableau2[TS],MATCH(1,(Tableau2[Ref-Carte]=Tableau3[[#This Row],[Ref-Carte2]])*(Tableau2[ID-Voie]=Tableau3[[#This Row],[ID-VOIE]]),0)),"")</f>
        <v>ET</v>
      </c>
      <c r="AK356" s="72" t="str">
        <f>IFERROR(INDEX(Tableau2[TS],SUMPRODUCT((Tableau2[Ref-Carte]=Tableau3[[#This Row],[Ref-Carte2]])*(Tableau2[ID-Voie]=Tableau3[[#This Row],[ID-VOIE]])*ROW(Tableau2[TS]))-ROW(Tableau2[#Headers])),"")</f>
        <v>ET</v>
      </c>
      <c r="AL356" s="72" t="str">
        <f>Tableau3[[#This Row],[Ref-Carte2]]&amp;"/"&amp;Tableau3[[#This Row],[ID-VOIE]]</f>
        <v>SDI1602/10</v>
      </c>
      <c r="AM356" s="73" t="str">
        <f>INDEX(Tableau2[Borne],MATCH(Tableau3[[#This Row],[ID-CARTEVOIE]],Tableau2[ID-CARTEVOIE],0))&amp;""</f>
        <v>5B</v>
      </c>
      <c r="AN356" s="74" t="str">
        <f>Tableau3[[#This Row],[ID-API]]&amp;Tableau3[[#This Row],[ID-RACK]]&amp;Tableau3[[#This Row],[ID-SLOT]]&amp;Tableau3[[#This Row],[BORNE]]</f>
        <v>2265B</v>
      </c>
      <c r="AO356" s="1"/>
    </row>
    <row r="357" spans="1:41" ht="20.100000000000001" customHeight="1" thickTop="1" thickBot="1">
      <c r="A357" s="68"/>
      <c r="B357" s="69" t="str">
        <f>IFERROR(INDEX(Tableau4[Date],MATCH($A357,Tableau4[EVO],0)),"")</f>
        <v/>
      </c>
      <c r="C357" s="68" t="str">
        <f>IFERROR(INDEX(Tableau4[Designation],MATCH($A357,Tableau4[EVO],0)),"")</f>
        <v/>
      </c>
      <c r="D357" s="68"/>
      <c r="E357" s="70">
        <v>484</v>
      </c>
      <c r="F357" s="71">
        <v>3</v>
      </c>
      <c r="G357" s="101" t="str">
        <f>INDEX(Tableau8[Att1],MATCH(Tableau3[[#This Row],[ID-INS]],Tableau8[ID],0))&amp;""</f>
        <v>V1/V2</v>
      </c>
      <c r="H357" s="101" t="str">
        <f>INDEX(Tableau8[Att2],MATCH(Tableau3[[#This Row],[ID-INS]],Tableau8[ID],0))&amp;""</f>
        <v>PPH85</v>
      </c>
      <c r="I357" s="101" t="str">
        <f>INDEX(Tableau8[Att3],MATCH(Tableau3[[#This Row],[ID-INS]],Tableau8[ID],0))&amp;""</f>
        <v>Portail P1 ouvert</v>
      </c>
      <c r="J357" s="101"/>
      <c r="K357" s="167" t="str">
        <f>INDEX(Tableau8[Nom du modele],MATCH(Tableau3[[#This Row],[ID-INS]],Tableau8[ID],0))&amp;""</f>
        <v>E_Divers</v>
      </c>
      <c r="L357" s="99" t="str">
        <f>INDEX(Tableau5[Att1],MATCH(Tableau3[[#This Row],[ID-SIG]],Tableau5[ID],0))&amp;""</f>
        <v>C1</v>
      </c>
      <c r="M357" s="99" t="str">
        <f>INDEX(Tableau5[Att2],MATCH(Tableau3[[#This Row],[ID-SIG]],Tableau5[ID],0))&amp;""</f>
        <v/>
      </c>
      <c r="N357" s="99" t="str">
        <f>INDEX(Tableau5[Att3],MATCH(Tableau3[[#This Row],[ID-SIG]],Tableau5[ID],0))&amp;""</f>
        <v/>
      </c>
      <c r="O357" s="99"/>
      <c r="P357" s="99" t="str">
        <f>INDEX(Tableau5[Description],MATCH(Tableau3[[#This Row],[ID-SIG]],Tableau5[ID],0))</f>
        <v>Contact</v>
      </c>
      <c r="Q357" s="99"/>
      <c r="R357" s="103" t="str">
        <f>Tableau3[[#This Row],[Description]]</f>
        <v>Contact</v>
      </c>
      <c r="U357" s="87">
        <v>2</v>
      </c>
      <c r="V357" s="87">
        <v>2</v>
      </c>
      <c r="W357" s="87">
        <v>6</v>
      </c>
      <c r="X357" s="87">
        <v>11</v>
      </c>
      <c r="Y357" s="40"/>
      <c r="Z357" s="165" t="str">
        <f>INDEX(Tableau2[TS],MATCH(Tableau3[[#This Row],[ID-CARTEVOIE]],Tableau2[ID-CARTEVOIE],0))</f>
        <v>ET</v>
      </c>
      <c r="AA357" s="53" t="s">
        <v>213</v>
      </c>
      <c r="AB357" s="223" t="str">
        <f>IFERROR(INDEX(Tableau5[Reserve],MATCH(Tableau3[[#This Row],[ID-SIG]],Tableau5[ID],0))&amp;"","")</f>
        <v/>
      </c>
      <c r="AC357" s="21"/>
      <c r="AD357" s="108" t="str">
        <f>INDEX(Tableau7[Repere],MATCH(Tableau3[[#This Row],[ID-API]],Tableau7[ID-API],0))&amp;""</f>
        <v>A2</v>
      </c>
      <c r="AE357" s="108" t="str">
        <f>INDEX(Tableau1[Repere-Rack],MATCH(Tableau3[[#This Row],[ID-RACK]],Tableau1[ID-RACK],0))&amp;""</f>
        <v>R2</v>
      </c>
      <c r="AF357" s="108" t="str">
        <f>INDEX(Tableau1[Repere-Slot],MATCH(Tableau3[[#This Row],[ID-SLOT]],Tableau1[ID-SLOT],0))&amp;""</f>
        <v>S6</v>
      </c>
      <c r="AG357" s="108" t="str">
        <f>INDEX(Tableau2[Repere-Voie],MATCH(Tableau3[[#This Row],[ID-VOIE]],Tableau2[ID-Voie],0))&amp;""</f>
        <v>v11</v>
      </c>
      <c r="AH357" s="72" t="str">
        <f>Tableau3[[#This Row],[ID-API]]&amp; "." &amp;Tableau3[[#This Row],[ID-RACK]]&amp; "." &amp;Tableau3[[#This Row],[ID-SLOT]]</f>
        <v>2.2.6</v>
      </c>
      <c r="AI357" s="72" t="str">
        <f>INDEX(Tableau1[Ref-Carte],MATCH(Tableau3[[#This Row],[ID-RRS]],Tableau1[ID-RRS],0))</f>
        <v>SDI1602</v>
      </c>
      <c r="AJ357" s="72" t="str">
        <f t="array" ref="AJ357">IFERROR(INDEX(Tableau2[TS],MATCH(1,(Tableau2[Ref-Carte]=Tableau3[[#This Row],[Ref-Carte2]])*(Tableau2[ID-Voie]=Tableau3[[#This Row],[ID-VOIE]]),0)),"")</f>
        <v>ET</v>
      </c>
      <c r="AK357" s="72" t="str">
        <f>IFERROR(INDEX(Tableau2[TS],SUMPRODUCT((Tableau2[Ref-Carte]=Tableau3[[#This Row],[Ref-Carte2]])*(Tableau2[ID-Voie]=Tableau3[[#This Row],[ID-VOIE]])*ROW(Tableau2[TS]))-ROW(Tableau2[#Headers])),"")</f>
        <v>ET</v>
      </c>
      <c r="AL357" s="72" t="str">
        <f>Tableau3[[#This Row],[Ref-Carte2]]&amp;"/"&amp;Tableau3[[#This Row],[ID-VOIE]]</f>
        <v>SDI1602/11</v>
      </c>
      <c r="AM357" s="73" t="str">
        <f>INDEX(Tableau2[Borne],MATCH(Tableau3[[#This Row],[ID-CARTEVOIE]],Tableau2[ID-CARTEVOIE],0))&amp;""</f>
        <v>5A</v>
      </c>
      <c r="AN357" s="74" t="str">
        <f>Tableau3[[#This Row],[ID-API]]&amp;Tableau3[[#This Row],[ID-RACK]]&amp;Tableau3[[#This Row],[ID-SLOT]]&amp;Tableau3[[#This Row],[BORNE]]</f>
        <v>2265A</v>
      </c>
      <c r="AO357" s="1"/>
    </row>
    <row r="358" spans="1:41" ht="20.100000000000001" customHeight="1" thickTop="1" thickBot="1">
      <c r="A358" s="68"/>
      <c r="B358" s="69" t="str">
        <f>IFERROR(INDEX(Tableau4[Date],MATCH($A358,Tableau4[EVO],0)),"")</f>
        <v/>
      </c>
      <c r="C358" s="68" t="str">
        <f>IFERROR(INDEX(Tableau4[Designation],MATCH($A358,Tableau4[EVO],0)),"")</f>
        <v/>
      </c>
      <c r="D358" s="68"/>
      <c r="E358" s="70">
        <v>485</v>
      </c>
      <c r="F358" s="71">
        <v>3</v>
      </c>
      <c r="G358" s="101" t="str">
        <f>INDEX(Tableau8[Att1],MATCH(Tableau3[[#This Row],[ID-INS]],Tableau8[ID],0))&amp;""</f>
        <v>V1/V2</v>
      </c>
      <c r="H358" s="101" t="str">
        <f>INDEX(Tableau8[Att2],MATCH(Tableau3[[#This Row],[ID-INS]],Tableau8[ID],0))&amp;""</f>
        <v>PPH86</v>
      </c>
      <c r="I358" s="101" t="str">
        <f>INDEX(Tableau8[Att3],MATCH(Tableau3[[#This Row],[ID-INS]],Tableau8[ID],0))&amp;""</f>
        <v>Portail P1 non vérrouillé</v>
      </c>
      <c r="J358" s="101"/>
      <c r="K358" s="167" t="str">
        <f>INDEX(Tableau8[Nom du modele],MATCH(Tableau3[[#This Row],[ID-INS]],Tableau8[ID],0))&amp;""</f>
        <v>E_Divers</v>
      </c>
      <c r="L358" s="99" t="str">
        <f>INDEX(Tableau5[Att1],MATCH(Tableau3[[#This Row],[ID-SIG]],Tableau5[ID],0))&amp;""</f>
        <v>C1</v>
      </c>
      <c r="M358" s="99" t="str">
        <f>INDEX(Tableau5[Att2],MATCH(Tableau3[[#This Row],[ID-SIG]],Tableau5[ID],0))&amp;""</f>
        <v/>
      </c>
      <c r="N358" s="99" t="str">
        <f>INDEX(Tableau5[Att3],MATCH(Tableau3[[#This Row],[ID-SIG]],Tableau5[ID],0))&amp;""</f>
        <v/>
      </c>
      <c r="O358" s="99"/>
      <c r="P358" s="99" t="str">
        <f>INDEX(Tableau5[Description],MATCH(Tableau3[[#This Row],[ID-SIG]],Tableau5[ID],0))</f>
        <v>Contact</v>
      </c>
      <c r="Q358" s="99"/>
      <c r="R358" s="103" t="str">
        <f>Tableau3[[#This Row],[Description]]</f>
        <v>Contact</v>
      </c>
      <c r="U358" s="87">
        <v>2</v>
      </c>
      <c r="V358" s="87">
        <v>2</v>
      </c>
      <c r="W358" s="87">
        <v>6</v>
      </c>
      <c r="X358" s="87">
        <v>12</v>
      </c>
      <c r="Y358" s="40"/>
      <c r="Z358" s="165" t="str">
        <f>INDEX(Tableau2[TS],MATCH(Tableau3[[#This Row],[ID-CARTEVOIE]],Tableau2[ID-CARTEVOIE],0))</f>
        <v>ET</v>
      </c>
      <c r="AA358" s="53" t="s">
        <v>213</v>
      </c>
      <c r="AB358" s="223" t="str">
        <f>IFERROR(INDEX(Tableau5[Reserve],MATCH(Tableau3[[#This Row],[ID-SIG]],Tableau5[ID],0))&amp;"","")</f>
        <v/>
      </c>
      <c r="AC358" s="21"/>
      <c r="AD358" s="108" t="str">
        <f>INDEX(Tableau7[Repere],MATCH(Tableau3[[#This Row],[ID-API]],Tableau7[ID-API],0))&amp;""</f>
        <v>A2</v>
      </c>
      <c r="AE358" s="108" t="str">
        <f>INDEX(Tableau1[Repere-Rack],MATCH(Tableau3[[#This Row],[ID-RACK]],Tableau1[ID-RACK],0))&amp;""</f>
        <v>R2</v>
      </c>
      <c r="AF358" s="108" t="str">
        <f>INDEX(Tableau1[Repere-Slot],MATCH(Tableau3[[#This Row],[ID-SLOT]],Tableau1[ID-SLOT],0))&amp;""</f>
        <v>S6</v>
      </c>
      <c r="AG358" s="108" t="str">
        <f>INDEX(Tableau2[Repere-Voie],MATCH(Tableau3[[#This Row],[ID-VOIE]],Tableau2[ID-Voie],0))&amp;""</f>
        <v>v12</v>
      </c>
      <c r="AH358" s="72" t="str">
        <f>Tableau3[[#This Row],[ID-API]]&amp; "." &amp;Tableau3[[#This Row],[ID-RACK]]&amp; "." &amp;Tableau3[[#This Row],[ID-SLOT]]</f>
        <v>2.2.6</v>
      </c>
      <c r="AI358" s="72" t="str">
        <f>INDEX(Tableau1[Ref-Carte],MATCH(Tableau3[[#This Row],[ID-RRS]],Tableau1[ID-RRS],0))</f>
        <v>SDI1602</v>
      </c>
      <c r="AJ358" s="72" t="str">
        <f t="array" ref="AJ358">IFERROR(INDEX(Tableau2[TS],MATCH(1,(Tableau2[Ref-Carte]=Tableau3[[#This Row],[Ref-Carte2]])*(Tableau2[ID-Voie]=Tableau3[[#This Row],[ID-VOIE]]),0)),"")</f>
        <v>ET</v>
      </c>
      <c r="AK358" s="72" t="str">
        <f>IFERROR(INDEX(Tableau2[TS],SUMPRODUCT((Tableau2[Ref-Carte]=Tableau3[[#This Row],[Ref-Carte2]])*(Tableau2[ID-Voie]=Tableau3[[#This Row],[ID-VOIE]])*ROW(Tableau2[TS]))-ROW(Tableau2[#Headers])),"")</f>
        <v>ET</v>
      </c>
      <c r="AL358" s="72" t="str">
        <f>Tableau3[[#This Row],[Ref-Carte2]]&amp;"/"&amp;Tableau3[[#This Row],[ID-VOIE]]</f>
        <v>SDI1602/12</v>
      </c>
      <c r="AM358" s="73" t="str">
        <f>INDEX(Tableau2[Borne],MATCH(Tableau3[[#This Row],[ID-CARTEVOIE]],Tableau2[ID-CARTEVOIE],0))&amp;""</f>
        <v>6B</v>
      </c>
      <c r="AN358" s="74" t="str">
        <f>Tableau3[[#This Row],[ID-API]]&amp;Tableau3[[#This Row],[ID-RACK]]&amp;Tableau3[[#This Row],[ID-SLOT]]&amp;Tableau3[[#This Row],[BORNE]]</f>
        <v>2266B</v>
      </c>
      <c r="AO358" s="1"/>
    </row>
    <row r="359" spans="1:41" ht="20.100000000000001" customHeight="1" thickTop="1" thickBot="1">
      <c r="A359" s="68"/>
      <c r="B359" s="69" t="str">
        <f>IFERROR(INDEX(Tableau4[Date],MATCH($A359,Tableau4[EVO],0)),"")</f>
        <v/>
      </c>
      <c r="C359" s="68" t="str">
        <f>IFERROR(INDEX(Tableau4[Designation],MATCH($A359,Tableau4[EVO],0)),"")</f>
        <v/>
      </c>
      <c r="D359" s="68"/>
      <c r="E359" s="70">
        <v>486</v>
      </c>
      <c r="F359" s="71">
        <v>3</v>
      </c>
      <c r="G359" s="101" t="str">
        <f>INDEX(Tableau8[Att1],MATCH(Tableau3[[#This Row],[ID-INS]],Tableau8[ID],0))&amp;""</f>
        <v>V1/V2</v>
      </c>
      <c r="H359" s="101" t="str">
        <f>INDEX(Tableau8[Att2],MATCH(Tableau3[[#This Row],[ID-INS]],Tableau8[ID],0))&amp;""</f>
        <v>PPH87</v>
      </c>
      <c r="I359" s="101" t="str">
        <f>INDEX(Tableau8[Att3],MATCH(Tableau3[[#This Row],[ID-INS]],Tableau8[ID],0))&amp;""</f>
        <v>Portail P4 ouvert</v>
      </c>
      <c r="J359" s="101"/>
      <c r="K359" s="167" t="str">
        <f>INDEX(Tableau8[Nom du modele],MATCH(Tableau3[[#This Row],[ID-INS]],Tableau8[ID],0))&amp;""</f>
        <v>E_Divers</v>
      </c>
      <c r="L359" s="99" t="str">
        <f>INDEX(Tableau5[Att1],MATCH(Tableau3[[#This Row],[ID-SIG]],Tableau5[ID],0))&amp;""</f>
        <v>C1</v>
      </c>
      <c r="M359" s="99" t="str">
        <f>INDEX(Tableau5[Att2],MATCH(Tableau3[[#This Row],[ID-SIG]],Tableau5[ID],0))&amp;""</f>
        <v/>
      </c>
      <c r="N359" s="99" t="str">
        <f>INDEX(Tableau5[Att3],MATCH(Tableau3[[#This Row],[ID-SIG]],Tableau5[ID],0))&amp;""</f>
        <v/>
      </c>
      <c r="O359" s="99"/>
      <c r="P359" s="99" t="str">
        <f>INDEX(Tableau5[Description],MATCH(Tableau3[[#This Row],[ID-SIG]],Tableau5[ID],0))</f>
        <v>Contact</v>
      </c>
      <c r="Q359" s="99"/>
      <c r="R359" s="103" t="str">
        <f>Tableau3[[#This Row],[Description]]</f>
        <v>Contact</v>
      </c>
      <c r="U359" s="87">
        <v>2</v>
      </c>
      <c r="V359" s="87">
        <v>2</v>
      </c>
      <c r="W359" s="87">
        <v>6</v>
      </c>
      <c r="X359" s="87">
        <v>13</v>
      </c>
      <c r="Y359" s="40"/>
      <c r="Z359" s="165" t="str">
        <f>INDEX(Tableau2[TS],MATCH(Tableau3[[#This Row],[ID-CARTEVOIE]],Tableau2[ID-CARTEVOIE],0))</f>
        <v>ET</v>
      </c>
      <c r="AA359" s="53" t="s">
        <v>213</v>
      </c>
      <c r="AB359" s="223" t="str">
        <f>IFERROR(INDEX(Tableau5[Reserve],MATCH(Tableau3[[#This Row],[ID-SIG]],Tableau5[ID],0))&amp;"","")</f>
        <v/>
      </c>
      <c r="AC359" s="21"/>
      <c r="AD359" s="108" t="str">
        <f>INDEX(Tableau7[Repere],MATCH(Tableau3[[#This Row],[ID-API]],Tableau7[ID-API],0))&amp;""</f>
        <v>A2</v>
      </c>
      <c r="AE359" s="108" t="str">
        <f>INDEX(Tableau1[Repere-Rack],MATCH(Tableau3[[#This Row],[ID-RACK]],Tableau1[ID-RACK],0))&amp;""</f>
        <v>R2</v>
      </c>
      <c r="AF359" s="108" t="str">
        <f>INDEX(Tableau1[Repere-Slot],MATCH(Tableau3[[#This Row],[ID-SLOT]],Tableau1[ID-SLOT],0))&amp;""</f>
        <v>S6</v>
      </c>
      <c r="AG359" s="108" t="str">
        <f>INDEX(Tableau2[Repere-Voie],MATCH(Tableau3[[#This Row],[ID-VOIE]],Tableau2[ID-Voie],0))&amp;""</f>
        <v>v13</v>
      </c>
      <c r="AH359" s="72" t="str">
        <f>Tableau3[[#This Row],[ID-API]]&amp; "." &amp;Tableau3[[#This Row],[ID-RACK]]&amp; "." &amp;Tableau3[[#This Row],[ID-SLOT]]</f>
        <v>2.2.6</v>
      </c>
      <c r="AI359" s="72" t="str">
        <f>INDEX(Tableau1[Ref-Carte],MATCH(Tableau3[[#This Row],[ID-RRS]],Tableau1[ID-RRS],0))</f>
        <v>SDI1602</v>
      </c>
      <c r="AJ359" s="72" t="str">
        <f t="array" ref="AJ359">IFERROR(INDEX(Tableau2[TS],MATCH(1,(Tableau2[Ref-Carte]=Tableau3[[#This Row],[Ref-Carte2]])*(Tableau2[ID-Voie]=Tableau3[[#This Row],[ID-VOIE]]),0)),"")</f>
        <v>ET</v>
      </c>
      <c r="AK359" s="72" t="str">
        <f>IFERROR(INDEX(Tableau2[TS],SUMPRODUCT((Tableau2[Ref-Carte]=Tableau3[[#This Row],[Ref-Carte2]])*(Tableau2[ID-Voie]=Tableau3[[#This Row],[ID-VOIE]])*ROW(Tableau2[TS]))-ROW(Tableau2[#Headers])),"")</f>
        <v>ET</v>
      </c>
      <c r="AL359" s="72" t="str">
        <f>Tableau3[[#This Row],[Ref-Carte2]]&amp;"/"&amp;Tableau3[[#This Row],[ID-VOIE]]</f>
        <v>SDI1602/13</v>
      </c>
      <c r="AM359" s="73" t="str">
        <f>INDEX(Tableau2[Borne],MATCH(Tableau3[[#This Row],[ID-CARTEVOIE]],Tableau2[ID-CARTEVOIE],0))&amp;""</f>
        <v>6A</v>
      </c>
      <c r="AN359" s="74" t="str">
        <f>Tableau3[[#This Row],[ID-API]]&amp;Tableau3[[#This Row],[ID-RACK]]&amp;Tableau3[[#This Row],[ID-SLOT]]&amp;Tableau3[[#This Row],[BORNE]]</f>
        <v>2266A</v>
      </c>
      <c r="AO359" s="1"/>
    </row>
    <row r="360" spans="1:41" ht="20.100000000000001" customHeight="1" thickTop="1" thickBot="1">
      <c r="A360" s="68"/>
      <c r="B360" s="69" t="str">
        <f>IFERROR(INDEX(Tableau4[Date],MATCH($A360,Tableau4[EVO],0)),"")</f>
        <v/>
      </c>
      <c r="C360" s="68" t="str">
        <f>IFERROR(INDEX(Tableau4[Designation],MATCH($A360,Tableau4[EVO],0)),"")</f>
        <v/>
      </c>
      <c r="D360" s="68"/>
      <c r="E360" s="70">
        <v>487</v>
      </c>
      <c r="F360" s="71">
        <v>3</v>
      </c>
      <c r="G360" s="101" t="str">
        <f>INDEX(Tableau8[Att1],MATCH(Tableau3[[#This Row],[ID-INS]],Tableau8[ID],0))&amp;""</f>
        <v>V1/V2</v>
      </c>
      <c r="H360" s="101" t="str">
        <f>INDEX(Tableau8[Att2],MATCH(Tableau3[[#This Row],[ID-INS]],Tableau8[ID],0))&amp;""</f>
        <v>PPH88</v>
      </c>
      <c r="I360" s="101" t="str">
        <f>INDEX(Tableau8[Att3],MATCH(Tableau3[[#This Row],[ID-INS]],Tableau8[ID],0))&amp;""</f>
        <v>Portail P5 ouvert</v>
      </c>
      <c r="J360" s="101"/>
      <c r="K360" s="167" t="str">
        <f>INDEX(Tableau8[Nom du modele],MATCH(Tableau3[[#This Row],[ID-INS]],Tableau8[ID],0))&amp;""</f>
        <v>E_Divers</v>
      </c>
      <c r="L360" s="99" t="str">
        <f>INDEX(Tableau5[Att1],MATCH(Tableau3[[#This Row],[ID-SIG]],Tableau5[ID],0))&amp;""</f>
        <v>C1</v>
      </c>
      <c r="M360" s="99" t="str">
        <f>INDEX(Tableau5[Att2],MATCH(Tableau3[[#This Row],[ID-SIG]],Tableau5[ID],0))&amp;""</f>
        <v/>
      </c>
      <c r="N360" s="99" t="str">
        <f>INDEX(Tableau5[Att3],MATCH(Tableau3[[#This Row],[ID-SIG]],Tableau5[ID],0))&amp;""</f>
        <v/>
      </c>
      <c r="O360" s="99"/>
      <c r="P360" s="99" t="str">
        <f>INDEX(Tableau5[Description],MATCH(Tableau3[[#This Row],[ID-SIG]],Tableau5[ID],0))</f>
        <v>Contact</v>
      </c>
      <c r="Q360" s="99"/>
      <c r="R360" s="103" t="str">
        <f>Tableau3[[#This Row],[Description]]</f>
        <v>Contact</v>
      </c>
      <c r="U360" s="87">
        <v>2</v>
      </c>
      <c r="V360" s="87">
        <v>2</v>
      </c>
      <c r="W360" s="87">
        <v>6</v>
      </c>
      <c r="X360" s="87">
        <v>14</v>
      </c>
      <c r="Y360" s="40"/>
      <c r="Z360" s="165" t="str">
        <f>INDEX(Tableau2[TS],MATCH(Tableau3[[#This Row],[ID-CARTEVOIE]],Tableau2[ID-CARTEVOIE],0))</f>
        <v>ET</v>
      </c>
      <c r="AA360" s="53" t="s">
        <v>213</v>
      </c>
      <c r="AB360" s="223" t="str">
        <f>IFERROR(INDEX(Tableau5[Reserve],MATCH(Tableau3[[#This Row],[ID-SIG]],Tableau5[ID],0))&amp;"","")</f>
        <v/>
      </c>
      <c r="AC360" s="21"/>
      <c r="AD360" s="108" t="str">
        <f>INDEX(Tableau7[Repere],MATCH(Tableau3[[#This Row],[ID-API]],Tableau7[ID-API],0))&amp;""</f>
        <v>A2</v>
      </c>
      <c r="AE360" s="108" t="str">
        <f>INDEX(Tableau1[Repere-Rack],MATCH(Tableau3[[#This Row],[ID-RACK]],Tableau1[ID-RACK],0))&amp;""</f>
        <v>R2</v>
      </c>
      <c r="AF360" s="108" t="str">
        <f>INDEX(Tableau1[Repere-Slot],MATCH(Tableau3[[#This Row],[ID-SLOT]],Tableau1[ID-SLOT],0))&amp;""</f>
        <v>S6</v>
      </c>
      <c r="AG360" s="108" t="str">
        <f>INDEX(Tableau2[Repere-Voie],MATCH(Tableau3[[#This Row],[ID-VOIE]],Tableau2[ID-Voie],0))&amp;""</f>
        <v>v14</v>
      </c>
      <c r="AH360" s="72" t="str">
        <f>Tableau3[[#This Row],[ID-API]]&amp; "." &amp;Tableau3[[#This Row],[ID-RACK]]&amp; "." &amp;Tableau3[[#This Row],[ID-SLOT]]</f>
        <v>2.2.6</v>
      </c>
      <c r="AI360" s="72" t="str">
        <f>INDEX(Tableau1[Ref-Carte],MATCH(Tableau3[[#This Row],[ID-RRS]],Tableau1[ID-RRS],0))</f>
        <v>SDI1602</v>
      </c>
      <c r="AJ360" s="72" t="str">
        <f t="array" ref="AJ360">IFERROR(INDEX(Tableau2[TS],MATCH(1,(Tableau2[Ref-Carte]=Tableau3[[#This Row],[Ref-Carte2]])*(Tableau2[ID-Voie]=Tableau3[[#This Row],[ID-VOIE]]),0)),"")</f>
        <v>ET</v>
      </c>
      <c r="AK360" s="72" t="str">
        <f>IFERROR(INDEX(Tableau2[TS],SUMPRODUCT((Tableau2[Ref-Carte]=Tableau3[[#This Row],[Ref-Carte2]])*(Tableau2[ID-Voie]=Tableau3[[#This Row],[ID-VOIE]])*ROW(Tableau2[TS]))-ROW(Tableau2[#Headers])),"")</f>
        <v>ET</v>
      </c>
      <c r="AL360" s="72" t="str">
        <f>Tableau3[[#This Row],[Ref-Carte2]]&amp;"/"&amp;Tableau3[[#This Row],[ID-VOIE]]</f>
        <v>SDI1602/14</v>
      </c>
      <c r="AM360" s="73" t="str">
        <f>INDEX(Tableau2[Borne],MATCH(Tableau3[[#This Row],[ID-CARTEVOIE]],Tableau2[ID-CARTEVOIE],0))&amp;""</f>
        <v>7B</v>
      </c>
      <c r="AN360" s="74" t="str">
        <f>Tableau3[[#This Row],[ID-API]]&amp;Tableau3[[#This Row],[ID-RACK]]&amp;Tableau3[[#This Row],[ID-SLOT]]&amp;Tableau3[[#This Row],[BORNE]]</f>
        <v>2267B</v>
      </c>
      <c r="AO360" s="1"/>
    </row>
    <row r="361" spans="1:41" ht="20.100000000000001" customHeight="1" thickTop="1" thickBot="1">
      <c r="A361" s="68"/>
      <c r="B361" s="69" t="str">
        <f>IFERROR(INDEX(Tableau4[Date],MATCH($A361,Tableau4[EVO],0)),"")</f>
        <v/>
      </c>
      <c r="C361" s="68" t="str">
        <f>IFERROR(INDEX(Tableau4[Designation],MATCH($A361,Tableau4[EVO],0)),"")</f>
        <v/>
      </c>
      <c r="D361" s="68"/>
      <c r="E361" s="70">
        <v>488</v>
      </c>
      <c r="F361" s="71">
        <v>3</v>
      </c>
      <c r="G361" s="101" t="str">
        <f>INDEX(Tableau8[Att1],MATCH(Tableau3[[#This Row],[ID-INS]],Tableau8[ID],0))&amp;""</f>
        <v>V1/V2</v>
      </c>
      <c r="H361" s="101" t="str">
        <f>INDEX(Tableau8[Att2],MATCH(Tableau3[[#This Row],[ID-INS]],Tableau8[ID],0))&amp;""</f>
        <v>PPH89</v>
      </c>
      <c r="I361" s="101" t="str">
        <f>INDEX(Tableau8[Att3],MATCH(Tableau3[[#This Row],[ID-INS]],Tableau8[ID],0))&amp;""</f>
        <v>Alarme CP19 armoire RIO V1/V2</v>
      </c>
      <c r="J361" s="101"/>
      <c r="K361" s="167" t="str">
        <f>INDEX(Tableau8[Nom du modele],MATCH(Tableau3[[#This Row],[ID-INS]],Tableau8[ID],0))&amp;""</f>
        <v>E_Divers</v>
      </c>
      <c r="L361" s="99" t="str">
        <f>INDEX(Tableau5[Att1],MATCH(Tableau3[[#This Row],[ID-SIG]],Tableau5[ID],0))&amp;""</f>
        <v>C1</v>
      </c>
      <c r="M361" s="99" t="str">
        <f>INDEX(Tableau5[Att2],MATCH(Tableau3[[#This Row],[ID-SIG]],Tableau5[ID],0))&amp;""</f>
        <v/>
      </c>
      <c r="N361" s="99" t="str">
        <f>INDEX(Tableau5[Att3],MATCH(Tableau3[[#This Row],[ID-SIG]],Tableau5[ID],0))&amp;""</f>
        <v/>
      </c>
      <c r="O361" s="99"/>
      <c r="P361" s="99" t="str">
        <f>INDEX(Tableau5[Description],MATCH(Tableau3[[#This Row],[ID-SIG]],Tableau5[ID],0))</f>
        <v>Contact</v>
      </c>
      <c r="Q361" s="99"/>
      <c r="R361" s="103" t="str">
        <f>Tableau3[[#This Row],[Description]]</f>
        <v>Contact</v>
      </c>
      <c r="U361" s="87">
        <v>2</v>
      </c>
      <c r="V361" s="87">
        <v>2</v>
      </c>
      <c r="W361" s="87">
        <v>6</v>
      </c>
      <c r="X361" s="87">
        <v>15</v>
      </c>
      <c r="Y361" s="40"/>
      <c r="Z361" s="165" t="str">
        <f>INDEX(Tableau2[TS],MATCH(Tableau3[[#This Row],[ID-CARTEVOIE]],Tableau2[ID-CARTEVOIE],0))</f>
        <v>ET</v>
      </c>
      <c r="AA361" s="53" t="s">
        <v>213</v>
      </c>
      <c r="AB361" s="223" t="str">
        <f>IFERROR(INDEX(Tableau5[Reserve],MATCH(Tableau3[[#This Row],[ID-SIG]],Tableau5[ID],0))&amp;"","")</f>
        <v/>
      </c>
      <c r="AC361" s="21"/>
      <c r="AD361" s="108" t="str">
        <f>INDEX(Tableau7[Repere],MATCH(Tableau3[[#This Row],[ID-API]],Tableau7[ID-API],0))&amp;""</f>
        <v>A2</v>
      </c>
      <c r="AE361" s="108" t="str">
        <f>INDEX(Tableau1[Repere-Rack],MATCH(Tableau3[[#This Row],[ID-RACK]],Tableau1[ID-RACK],0))&amp;""</f>
        <v>R2</v>
      </c>
      <c r="AF361" s="108" t="str">
        <f>INDEX(Tableau1[Repere-Slot],MATCH(Tableau3[[#This Row],[ID-SLOT]],Tableau1[ID-SLOT],0))&amp;""</f>
        <v>S6</v>
      </c>
      <c r="AG361" s="108" t="str">
        <f>INDEX(Tableau2[Repere-Voie],MATCH(Tableau3[[#This Row],[ID-VOIE]],Tableau2[ID-Voie],0))&amp;""</f>
        <v>v15</v>
      </c>
      <c r="AH361" s="72" t="str">
        <f>Tableau3[[#This Row],[ID-API]]&amp; "." &amp;Tableau3[[#This Row],[ID-RACK]]&amp; "." &amp;Tableau3[[#This Row],[ID-SLOT]]</f>
        <v>2.2.6</v>
      </c>
      <c r="AI361" s="72" t="str">
        <f>INDEX(Tableau1[Ref-Carte],MATCH(Tableau3[[#This Row],[ID-RRS]],Tableau1[ID-RRS],0))</f>
        <v>SDI1602</v>
      </c>
      <c r="AJ361" s="72" t="str">
        <f t="array" ref="AJ361">IFERROR(INDEX(Tableau2[TS],MATCH(1,(Tableau2[Ref-Carte]=Tableau3[[#This Row],[Ref-Carte2]])*(Tableau2[ID-Voie]=Tableau3[[#This Row],[ID-VOIE]]),0)),"")</f>
        <v>ET</v>
      </c>
      <c r="AK361" s="72" t="str">
        <f>IFERROR(INDEX(Tableau2[TS],SUMPRODUCT((Tableau2[Ref-Carte]=Tableau3[[#This Row],[Ref-Carte2]])*(Tableau2[ID-Voie]=Tableau3[[#This Row],[ID-VOIE]])*ROW(Tableau2[TS]))-ROW(Tableau2[#Headers])),"")</f>
        <v>ET</v>
      </c>
      <c r="AL361" s="72" t="str">
        <f>Tableau3[[#This Row],[Ref-Carte2]]&amp;"/"&amp;Tableau3[[#This Row],[ID-VOIE]]</f>
        <v>SDI1602/15</v>
      </c>
      <c r="AM361" s="73" t="str">
        <f>INDEX(Tableau2[Borne],MATCH(Tableau3[[#This Row],[ID-CARTEVOIE]],Tableau2[ID-CARTEVOIE],0))&amp;""</f>
        <v>7A</v>
      </c>
      <c r="AN361" s="74" t="str">
        <f>Tableau3[[#This Row],[ID-API]]&amp;Tableau3[[#This Row],[ID-RACK]]&amp;Tableau3[[#This Row],[ID-SLOT]]&amp;Tableau3[[#This Row],[BORNE]]</f>
        <v>2267A</v>
      </c>
      <c r="AO361" s="1"/>
    </row>
    <row r="362" spans="1:41" ht="20.100000000000001" customHeight="1" thickTop="1" thickBot="1">
      <c r="A362" s="68"/>
      <c r="B362" s="69" t="str">
        <f>IFERROR(INDEX(Tableau4[Date],MATCH($A362,Tableau4[EVO],0)),"")</f>
        <v/>
      </c>
      <c r="C362" s="68" t="str">
        <f>IFERROR(INDEX(Tableau4[Designation],MATCH($A362,Tableau4[EVO],0)),"")</f>
        <v/>
      </c>
      <c r="D362" s="68"/>
      <c r="E362" s="70">
        <v>489</v>
      </c>
      <c r="F362" s="71">
        <v>3</v>
      </c>
      <c r="G362" s="101" t="str">
        <f>INDEX(Tableau8[Att1],MATCH(Tableau3[[#This Row],[ID-INS]],Tableau8[ID],0))&amp;""</f>
        <v>V1/V2</v>
      </c>
      <c r="H362" s="101" t="str">
        <f>INDEX(Tableau8[Att2],MATCH(Tableau3[[#This Row],[ID-INS]],Tableau8[ID],0))&amp;""</f>
        <v>PPH90</v>
      </c>
      <c r="I362" s="101" t="str">
        <f>INDEX(Tableau8[Att3],MATCH(Tableau3[[#This Row],[ID-INS]],Tableau8[ID],0))&amp;""</f>
        <v>Alarme Radar Laser Cellules sous toiture</v>
      </c>
      <c r="J362" s="101"/>
      <c r="K362" s="167" t="str">
        <f>INDEX(Tableau8[Nom du modele],MATCH(Tableau3[[#This Row],[ID-INS]],Tableau8[ID],0))&amp;""</f>
        <v>E_Divers</v>
      </c>
      <c r="L362" s="99" t="str">
        <f>INDEX(Tableau5[Att1],MATCH(Tableau3[[#This Row],[ID-SIG]],Tableau5[ID],0))&amp;""</f>
        <v>C1</v>
      </c>
      <c r="M362" s="99" t="str">
        <f>INDEX(Tableau5[Att2],MATCH(Tableau3[[#This Row],[ID-SIG]],Tableau5[ID],0))&amp;""</f>
        <v/>
      </c>
      <c r="N362" s="99" t="str">
        <f>INDEX(Tableau5[Att3],MATCH(Tableau3[[#This Row],[ID-SIG]],Tableau5[ID],0))&amp;""</f>
        <v/>
      </c>
      <c r="O362" s="99"/>
      <c r="P362" s="99" t="str">
        <f>INDEX(Tableau5[Description],MATCH(Tableau3[[#This Row],[ID-SIG]],Tableau5[ID],0))</f>
        <v>Contact</v>
      </c>
      <c r="Q362" s="99"/>
      <c r="R362" s="103" t="str">
        <f>Tableau3[[#This Row],[Description]]</f>
        <v>Contact</v>
      </c>
      <c r="U362" s="87">
        <v>2</v>
      </c>
      <c r="V362" s="87">
        <v>2</v>
      </c>
      <c r="W362" s="87">
        <v>7</v>
      </c>
      <c r="X362" s="87">
        <v>0</v>
      </c>
      <c r="Y362" s="40"/>
      <c r="Z362" s="165" t="str">
        <f>INDEX(Tableau2[TS],MATCH(Tableau3[[#This Row],[ID-CARTEVOIE]],Tableau2[ID-CARTEVOIE],0))</f>
        <v>ET</v>
      </c>
      <c r="AA362" s="53" t="s">
        <v>213</v>
      </c>
      <c r="AB362" s="223" t="str">
        <f>IFERROR(INDEX(Tableau5[Reserve],MATCH(Tableau3[[#This Row],[ID-SIG]],Tableau5[ID],0))&amp;"","")</f>
        <v/>
      </c>
      <c r="AC362" s="21"/>
      <c r="AD362" s="108" t="str">
        <f>INDEX(Tableau7[Repere],MATCH(Tableau3[[#This Row],[ID-API]],Tableau7[ID-API],0))&amp;""</f>
        <v>A2</v>
      </c>
      <c r="AE362" s="108" t="str">
        <f>INDEX(Tableau1[Repere-Rack],MATCH(Tableau3[[#This Row],[ID-RACK]],Tableau1[ID-RACK],0))&amp;""</f>
        <v>R2</v>
      </c>
      <c r="AF362" s="108" t="str">
        <f>INDEX(Tableau1[Repere-Slot],MATCH(Tableau3[[#This Row],[ID-SLOT]],Tableau1[ID-SLOT],0))&amp;""</f>
        <v>S7</v>
      </c>
      <c r="AG362" s="108" t="str">
        <f>INDEX(Tableau2[Repere-Voie],MATCH(Tableau3[[#This Row],[ID-VOIE]],Tableau2[ID-Voie],0))&amp;""</f>
        <v>v0</v>
      </c>
      <c r="AH362" s="72" t="str">
        <f>Tableau3[[#This Row],[ID-API]]&amp; "." &amp;Tableau3[[#This Row],[ID-RACK]]&amp; "." &amp;Tableau3[[#This Row],[ID-SLOT]]</f>
        <v>2.2.7</v>
      </c>
      <c r="AI362" s="72" t="str">
        <f>INDEX(Tableau1[Ref-Carte],MATCH(Tableau3[[#This Row],[ID-RRS]],Tableau1[ID-RRS],0))</f>
        <v>SDI1602</v>
      </c>
      <c r="AJ362" s="72" t="str">
        <f t="array" ref="AJ362">IFERROR(INDEX(Tableau2[TS],MATCH(1,(Tableau2[Ref-Carte]=Tableau3[[#This Row],[Ref-Carte2]])*(Tableau2[ID-Voie]=Tableau3[[#This Row],[ID-VOIE]]),0)),"")</f>
        <v>ET</v>
      </c>
      <c r="AK362" s="72" t="str">
        <f>IFERROR(INDEX(Tableau2[TS],SUMPRODUCT((Tableau2[Ref-Carte]=Tableau3[[#This Row],[Ref-Carte2]])*(Tableau2[ID-Voie]=Tableau3[[#This Row],[ID-VOIE]])*ROW(Tableau2[TS]))-ROW(Tableau2[#Headers])),"")</f>
        <v>ET</v>
      </c>
      <c r="AL362" s="72" t="str">
        <f>Tableau3[[#This Row],[Ref-Carte2]]&amp;"/"&amp;Tableau3[[#This Row],[ID-VOIE]]</f>
        <v>SDI1602/0</v>
      </c>
      <c r="AM362" s="73" t="str">
        <f>INDEX(Tableau2[Borne],MATCH(Tableau3[[#This Row],[ID-CARTEVOIE]],Tableau2[ID-CARTEVOIE],0))&amp;""</f>
        <v>0B</v>
      </c>
      <c r="AN362" s="74" t="str">
        <f>Tableau3[[#This Row],[ID-API]]&amp;Tableau3[[#This Row],[ID-RACK]]&amp;Tableau3[[#This Row],[ID-SLOT]]&amp;Tableau3[[#This Row],[BORNE]]</f>
        <v>2270B</v>
      </c>
      <c r="AO362" s="1"/>
    </row>
    <row r="363" spans="1:41" ht="20.100000000000001" customHeight="1" thickTop="1" thickBot="1">
      <c r="A363" s="68"/>
      <c r="B363" s="69" t="str">
        <f>IFERROR(INDEX(Tableau4[Date],MATCH($A363,Tableau4[EVO],0)),"")</f>
        <v/>
      </c>
      <c r="C363" s="68" t="str">
        <f>IFERROR(INDEX(Tableau4[Designation],MATCH($A363,Tableau4[EVO],0)),"")</f>
        <v/>
      </c>
      <c r="D363" s="68"/>
      <c r="E363" s="70">
        <v>490</v>
      </c>
      <c r="F363" s="71">
        <v>3</v>
      </c>
      <c r="G363" s="101" t="str">
        <f>INDEX(Tableau8[Att1],MATCH(Tableau3[[#This Row],[ID-INS]],Tableau8[ID],0))&amp;""</f>
        <v>V1/V2</v>
      </c>
      <c r="H363" s="101" t="str">
        <f>INDEX(Tableau8[Att2],MATCH(Tableau3[[#This Row],[ID-INS]],Tableau8[ID],0))&amp;""</f>
        <v>PPH91</v>
      </c>
      <c r="I363" s="101" t="str">
        <f>INDEX(Tableau8[Att3],MATCH(Tableau3[[#This Row],[ID-INS]],Tableau8[ID],0))&amp;""</f>
        <v>Fraude Radar Laser Cellules sous toiture</v>
      </c>
      <c r="J363" s="101"/>
      <c r="K363" s="167" t="str">
        <f>INDEX(Tableau8[Nom du modele],MATCH(Tableau3[[#This Row],[ID-INS]],Tableau8[ID],0))&amp;""</f>
        <v>E_Divers</v>
      </c>
      <c r="L363" s="99" t="str">
        <f>INDEX(Tableau5[Att1],MATCH(Tableau3[[#This Row],[ID-SIG]],Tableau5[ID],0))&amp;""</f>
        <v>C1</v>
      </c>
      <c r="M363" s="99" t="str">
        <f>INDEX(Tableau5[Att2],MATCH(Tableau3[[#This Row],[ID-SIG]],Tableau5[ID],0))&amp;""</f>
        <v/>
      </c>
      <c r="N363" s="99" t="str">
        <f>INDEX(Tableau5[Att3],MATCH(Tableau3[[#This Row],[ID-SIG]],Tableau5[ID],0))&amp;""</f>
        <v/>
      </c>
      <c r="O363" s="99"/>
      <c r="P363" s="99" t="str">
        <f>INDEX(Tableau5[Description],MATCH(Tableau3[[#This Row],[ID-SIG]],Tableau5[ID],0))</f>
        <v>Contact</v>
      </c>
      <c r="Q363" s="99"/>
      <c r="R363" s="103" t="str">
        <f>Tableau3[[#This Row],[Description]]</f>
        <v>Contact</v>
      </c>
      <c r="U363" s="87">
        <v>2</v>
      </c>
      <c r="V363" s="87">
        <v>2</v>
      </c>
      <c r="W363" s="87">
        <v>7</v>
      </c>
      <c r="X363" s="87">
        <v>1</v>
      </c>
      <c r="Y363" s="40"/>
      <c r="Z363" s="165" t="str">
        <f>INDEX(Tableau2[TS],MATCH(Tableau3[[#This Row],[ID-CARTEVOIE]],Tableau2[ID-CARTEVOIE],0))</f>
        <v>ET</v>
      </c>
      <c r="AA363" s="53" t="s">
        <v>213</v>
      </c>
      <c r="AB363" s="223" t="str">
        <f>IFERROR(INDEX(Tableau5[Reserve],MATCH(Tableau3[[#This Row],[ID-SIG]],Tableau5[ID],0))&amp;"","")</f>
        <v/>
      </c>
      <c r="AC363" s="21"/>
      <c r="AD363" s="108" t="str">
        <f>INDEX(Tableau7[Repere],MATCH(Tableau3[[#This Row],[ID-API]],Tableau7[ID-API],0))&amp;""</f>
        <v>A2</v>
      </c>
      <c r="AE363" s="108" t="str">
        <f>INDEX(Tableau1[Repere-Rack],MATCH(Tableau3[[#This Row],[ID-RACK]],Tableau1[ID-RACK],0))&amp;""</f>
        <v>R2</v>
      </c>
      <c r="AF363" s="108" t="str">
        <f>INDEX(Tableau1[Repere-Slot],MATCH(Tableau3[[#This Row],[ID-SLOT]],Tableau1[ID-SLOT],0))&amp;""</f>
        <v>S7</v>
      </c>
      <c r="AG363" s="108" t="str">
        <f>INDEX(Tableau2[Repere-Voie],MATCH(Tableau3[[#This Row],[ID-VOIE]],Tableau2[ID-Voie],0))&amp;""</f>
        <v>v1</v>
      </c>
      <c r="AH363" s="72" t="str">
        <f>Tableau3[[#This Row],[ID-API]]&amp; "." &amp;Tableau3[[#This Row],[ID-RACK]]&amp; "." &amp;Tableau3[[#This Row],[ID-SLOT]]</f>
        <v>2.2.7</v>
      </c>
      <c r="AI363" s="72" t="str">
        <f>INDEX(Tableau1[Ref-Carte],MATCH(Tableau3[[#This Row],[ID-RRS]],Tableau1[ID-RRS],0))</f>
        <v>SDI1602</v>
      </c>
      <c r="AJ363" s="72" t="str">
        <f t="array" ref="AJ363">IFERROR(INDEX(Tableau2[TS],MATCH(1,(Tableau2[Ref-Carte]=Tableau3[[#This Row],[Ref-Carte2]])*(Tableau2[ID-Voie]=Tableau3[[#This Row],[ID-VOIE]]),0)),"")</f>
        <v>ET</v>
      </c>
      <c r="AK363" s="72" t="str">
        <f>IFERROR(INDEX(Tableau2[TS],SUMPRODUCT((Tableau2[Ref-Carte]=Tableau3[[#This Row],[Ref-Carte2]])*(Tableau2[ID-Voie]=Tableau3[[#This Row],[ID-VOIE]])*ROW(Tableau2[TS]))-ROW(Tableau2[#Headers])),"")</f>
        <v>ET</v>
      </c>
      <c r="AL363" s="72" t="str">
        <f>Tableau3[[#This Row],[Ref-Carte2]]&amp;"/"&amp;Tableau3[[#This Row],[ID-VOIE]]</f>
        <v>SDI1602/1</v>
      </c>
      <c r="AM363" s="73" t="str">
        <f>INDEX(Tableau2[Borne],MATCH(Tableau3[[#This Row],[ID-CARTEVOIE]],Tableau2[ID-CARTEVOIE],0))&amp;""</f>
        <v>0A</v>
      </c>
      <c r="AN363" s="74" t="str">
        <f>Tableau3[[#This Row],[ID-API]]&amp;Tableau3[[#This Row],[ID-RACK]]&amp;Tableau3[[#This Row],[ID-SLOT]]&amp;Tableau3[[#This Row],[BORNE]]</f>
        <v>2270A</v>
      </c>
      <c r="AO363" s="1"/>
    </row>
    <row r="364" spans="1:41" ht="20.100000000000001" customHeight="1" thickTop="1" thickBot="1">
      <c r="A364" s="68"/>
      <c r="B364" s="69" t="str">
        <f>IFERROR(INDEX(Tableau4[Date],MATCH($A364,Tableau4[EVO],0)),"")</f>
        <v/>
      </c>
      <c r="C364" s="68" t="str">
        <f>IFERROR(INDEX(Tableau4[Designation],MATCH($A364,Tableau4[EVO],0)),"")</f>
        <v/>
      </c>
      <c r="D364" s="68"/>
      <c r="E364" s="70">
        <v>491</v>
      </c>
      <c r="F364" s="71">
        <v>3</v>
      </c>
      <c r="G364" s="101" t="str">
        <f>INDEX(Tableau8[Att1],MATCH(Tableau3[[#This Row],[ID-INS]],Tableau8[ID],0))&amp;""</f>
        <v>V1/V2</v>
      </c>
      <c r="H364" s="101" t="str">
        <f>INDEX(Tableau8[Att2],MATCH(Tableau3[[#This Row],[ID-INS]],Tableau8[ID],0))&amp;""</f>
        <v>PPH92</v>
      </c>
      <c r="I364" s="101" t="str">
        <f>INDEX(Tableau8[Att3],MATCH(Tableau3[[#This Row],[ID-INS]],Tableau8[ID],0))&amp;""</f>
        <v>Dérangement Radar Laser Cellules sous toiture</v>
      </c>
      <c r="J364" s="101"/>
      <c r="K364" s="167" t="str">
        <f>INDEX(Tableau8[Nom du modele],MATCH(Tableau3[[#This Row],[ID-INS]],Tableau8[ID],0))&amp;""</f>
        <v>E_Divers</v>
      </c>
      <c r="L364" s="99" t="str">
        <f>INDEX(Tableau5[Att1],MATCH(Tableau3[[#This Row],[ID-SIG]],Tableau5[ID],0))&amp;""</f>
        <v>C1</v>
      </c>
      <c r="M364" s="99" t="str">
        <f>INDEX(Tableau5[Att2],MATCH(Tableau3[[#This Row],[ID-SIG]],Tableau5[ID],0))&amp;""</f>
        <v/>
      </c>
      <c r="N364" s="99" t="str">
        <f>INDEX(Tableau5[Att3],MATCH(Tableau3[[#This Row],[ID-SIG]],Tableau5[ID],0))&amp;""</f>
        <v/>
      </c>
      <c r="O364" s="99"/>
      <c r="P364" s="99" t="str">
        <f>INDEX(Tableau5[Description],MATCH(Tableau3[[#This Row],[ID-SIG]],Tableau5[ID],0))</f>
        <v>Contact</v>
      </c>
      <c r="Q364" s="99"/>
      <c r="R364" s="103" t="str">
        <f>Tableau3[[#This Row],[Description]]</f>
        <v>Contact</v>
      </c>
      <c r="U364" s="87">
        <v>2</v>
      </c>
      <c r="V364" s="87">
        <v>2</v>
      </c>
      <c r="W364" s="87">
        <v>7</v>
      </c>
      <c r="X364" s="87">
        <v>2</v>
      </c>
      <c r="Y364" s="40"/>
      <c r="Z364" s="165" t="str">
        <f>INDEX(Tableau2[TS],MATCH(Tableau3[[#This Row],[ID-CARTEVOIE]],Tableau2[ID-CARTEVOIE],0))</f>
        <v>ET</v>
      </c>
      <c r="AA364" s="53" t="s">
        <v>213</v>
      </c>
      <c r="AB364" s="223" t="str">
        <f>IFERROR(INDEX(Tableau5[Reserve],MATCH(Tableau3[[#This Row],[ID-SIG]],Tableau5[ID],0))&amp;"","")</f>
        <v/>
      </c>
      <c r="AC364" s="21"/>
      <c r="AD364" s="108" t="str">
        <f>INDEX(Tableau7[Repere],MATCH(Tableau3[[#This Row],[ID-API]],Tableau7[ID-API],0))&amp;""</f>
        <v>A2</v>
      </c>
      <c r="AE364" s="108" t="str">
        <f>INDEX(Tableau1[Repere-Rack],MATCH(Tableau3[[#This Row],[ID-RACK]],Tableau1[ID-RACK],0))&amp;""</f>
        <v>R2</v>
      </c>
      <c r="AF364" s="108" t="str">
        <f>INDEX(Tableau1[Repere-Slot],MATCH(Tableau3[[#This Row],[ID-SLOT]],Tableau1[ID-SLOT],0))&amp;""</f>
        <v>S7</v>
      </c>
      <c r="AG364" s="108" t="str">
        <f>INDEX(Tableau2[Repere-Voie],MATCH(Tableau3[[#This Row],[ID-VOIE]],Tableau2[ID-Voie],0))&amp;""</f>
        <v>v2</v>
      </c>
      <c r="AH364" s="72" t="str">
        <f>Tableau3[[#This Row],[ID-API]]&amp; "." &amp;Tableau3[[#This Row],[ID-RACK]]&amp; "." &amp;Tableau3[[#This Row],[ID-SLOT]]</f>
        <v>2.2.7</v>
      </c>
      <c r="AI364" s="72" t="str">
        <f>INDEX(Tableau1[Ref-Carte],MATCH(Tableau3[[#This Row],[ID-RRS]],Tableau1[ID-RRS],0))</f>
        <v>SDI1602</v>
      </c>
      <c r="AJ364" s="72" t="str">
        <f t="array" ref="AJ364">IFERROR(INDEX(Tableau2[TS],MATCH(1,(Tableau2[Ref-Carte]=Tableau3[[#This Row],[Ref-Carte2]])*(Tableau2[ID-Voie]=Tableau3[[#This Row],[ID-VOIE]]),0)),"")</f>
        <v>ET</v>
      </c>
      <c r="AK364" s="72" t="str">
        <f>IFERROR(INDEX(Tableau2[TS],SUMPRODUCT((Tableau2[Ref-Carte]=Tableau3[[#This Row],[Ref-Carte2]])*(Tableau2[ID-Voie]=Tableau3[[#This Row],[ID-VOIE]])*ROW(Tableau2[TS]))-ROW(Tableau2[#Headers])),"")</f>
        <v>ET</v>
      </c>
      <c r="AL364" s="72" t="str">
        <f>Tableau3[[#This Row],[Ref-Carte2]]&amp;"/"&amp;Tableau3[[#This Row],[ID-VOIE]]</f>
        <v>SDI1602/2</v>
      </c>
      <c r="AM364" s="73" t="str">
        <f>INDEX(Tableau2[Borne],MATCH(Tableau3[[#This Row],[ID-CARTEVOIE]],Tableau2[ID-CARTEVOIE],0))&amp;""</f>
        <v>1B</v>
      </c>
      <c r="AN364" s="74" t="str">
        <f>Tableau3[[#This Row],[ID-API]]&amp;Tableau3[[#This Row],[ID-RACK]]&amp;Tableau3[[#This Row],[ID-SLOT]]&amp;Tableau3[[#This Row],[BORNE]]</f>
        <v>2271B</v>
      </c>
      <c r="AO364" s="1"/>
    </row>
    <row r="365" spans="1:41" ht="20.100000000000001" customHeight="1" thickTop="1" thickBot="1">
      <c r="A365" s="68"/>
      <c r="B365" s="69" t="str">
        <f>IFERROR(INDEX(Tableau4[Date],MATCH($A365,Tableau4[EVO],0)),"")</f>
        <v/>
      </c>
      <c r="C365" s="68" t="str">
        <f>IFERROR(INDEX(Tableau4[Designation],MATCH($A365,Tableau4[EVO],0)),"")</f>
        <v/>
      </c>
      <c r="D365" s="68"/>
      <c r="E365" s="70">
        <v>492</v>
      </c>
      <c r="F365" s="71">
        <v>3</v>
      </c>
      <c r="G365" s="101" t="str">
        <f>INDEX(Tableau8[Att1],MATCH(Tableau3[[#This Row],[ID-INS]],Tableau8[ID],0))&amp;""</f>
        <v>V1/V2</v>
      </c>
      <c r="H365" s="101" t="str">
        <f>INDEX(Tableau8[Att2],MATCH(Tableau3[[#This Row],[ID-INS]],Tableau8[ID],0))&amp;""</f>
        <v>PPH93</v>
      </c>
      <c r="I365" s="101" t="str">
        <f>INDEX(Tableau8[Att3],MATCH(Tableau3[[#This Row],[ID-INS]],Tableau8[ID],0))&amp;""</f>
        <v>Alarme Barrière IR sur toiture</v>
      </c>
      <c r="J365" s="101"/>
      <c r="K365" s="167" t="str">
        <f>INDEX(Tableau8[Nom du modele],MATCH(Tableau3[[#This Row],[ID-INS]],Tableau8[ID],0))&amp;""</f>
        <v>E_Divers</v>
      </c>
      <c r="L365" s="99" t="str">
        <f>INDEX(Tableau5[Att1],MATCH(Tableau3[[#This Row],[ID-SIG]],Tableau5[ID],0))&amp;""</f>
        <v>C1</v>
      </c>
      <c r="M365" s="99" t="str">
        <f>INDEX(Tableau5[Att2],MATCH(Tableau3[[#This Row],[ID-SIG]],Tableau5[ID],0))&amp;""</f>
        <v/>
      </c>
      <c r="N365" s="99" t="str">
        <f>INDEX(Tableau5[Att3],MATCH(Tableau3[[#This Row],[ID-SIG]],Tableau5[ID],0))&amp;""</f>
        <v/>
      </c>
      <c r="O365" s="99"/>
      <c r="P365" s="99" t="str">
        <f>INDEX(Tableau5[Description],MATCH(Tableau3[[#This Row],[ID-SIG]],Tableau5[ID],0))</f>
        <v>Contact</v>
      </c>
      <c r="Q365" s="99"/>
      <c r="R365" s="103" t="str">
        <f>Tableau3[[#This Row],[Description]]</f>
        <v>Contact</v>
      </c>
      <c r="U365" s="87">
        <v>2</v>
      </c>
      <c r="V365" s="87">
        <v>2</v>
      </c>
      <c r="W365" s="87">
        <v>7</v>
      </c>
      <c r="X365" s="87">
        <v>3</v>
      </c>
      <c r="Y365" s="40"/>
      <c r="Z365" s="165" t="str">
        <f>INDEX(Tableau2[TS],MATCH(Tableau3[[#This Row],[ID-CARTEVOIE]],Tableau2[ID-CARTEVOIE],0))</f>
        <v>ET</v>
      </c>
      <c r="AA365" s="53" t="s">
        <v>213</v>
      </c>
      <c r="AB365" s="223" t="str">
        <f>IFERROR(INDEX(Tableau5[Reserve],MATCH(Tableau3[[#This Row],[ID-SIG]],Tableau5[ID],0))&amp;"","")</f>
        <v/>
      </c>
      <c r="AC365" s="21"/>
      <c r="AD365" s="108" t="str">
        <f>INDEX(Tableau7[Repere],MATCH(Tableau3[[#This Row],[ID-API]],Tableau7[ID-API],0))&amp;""</f>
        <v>A2</v>
      </c>
      <c r="AE365" s="108" t="str">
        <f>INDEX(Tableau1[Repere-Rack],MATCH(Tableau3[[#This Row],[ID-RACK]],Tableau1[ID-RACK],0))&amp;""</f>
        <v>R2</v>
      </c>
      <c r="AF365" s="108" t="str">
        <f>INDEX(Tableau1[Repere-Slot],MATCH(Tableau3[[#This Row],[ID-SLOT]],Tableau1[ID-SLOT],0))&amp;""</f>
        <v>S7</v>
      </c>
      <c r="AG365" s="108" t="str">
        <f>INDEX(Tableau2[Repere-Voie],MATCH(Tableau3[[#This Row],[ID-VOIE]],Tableau2[ID-Voie],0))&amp;""</f>
        <v>v3</v>
      </c>
      <c r="AH365" s="72" t="str">
        <f>Tableau3[[#This Row],[ID-API]]&amp; "." &amp;Tableau3[[#This Row],[ID-RACK]]&amp; "." &amp;Tableau3[[#This Row],[ID-SLOT]]</f>
        <v>2.2.7</v>
      </c>
      <c r="AI365" s="72" t="str">
        <f>INDEX(Tableau1[Ref-Carte],MATCH(Tableau3[[#This Row],[ID-RRS]],Tableau1[ID-RRS],0))</f>
        <v>SDI1602</v>
      </c>
      <c r="AJ365" s="72" t="str">
        <f t="array" ref="AJ365">IFERROR(INDEX(Tableau2[TS],MATCH(1,(Tableau2[Ref-Carte]=Tableau3[[#This Row],[Ref-Carte2]])*(Tableau2[ID-Voie]=Tableau3[[#This Row],[ID-VOIE]]),0)),"")</f>
        <v>ET</v>
      </c>
      <c r="AK365" s="72" t="str">
        <f>IFERROR(INDEX(Tableau2[TS],SUMPRODUCT((Tableau2[Ref-Carte]=Tableau3[[#This Row],[Ref-Carte2]])*(Tableau2[ID-Voie]=Tableau3[[#This Row],[ID-VOIE]])*ROW(Tableau2[TS]))-ROW(Tableau2[#Headers])),"")</f>
        <v>ET</v>
      </c>
      <c r="AL365" s="72" t="str">
        <f>Tableau3[[#This Row],[Ref-Carte2]]&amp;"/"&amp;Tableau3[[#This Row],[ID-VOIE]]</f>
        <v>SDI1602/3</v>
      </c>
      <c r="AM365" s="73" t="str">
        <f>INDEX(Tableau2[Borne],MATCH(Tableau3[[#This Row],[ID-CARTEVOIE]],Tableau2[ID-CARTEVOIE],0))&amp;""</f>
        <v>1A</v>
      </c>
      <c r="AN365" s="74" t="str">
        <f>Tableau3[[#This Row],[ID-API]]&amp;Tableau3[[#This Row],[ID-RACK]]&amp;Tableau3[[#This Row],[ID-SLOT]]&amp;Tableau3[[#This Row],[BORNE]]</f>
        <v>2271A</v>
      </c>
      <c r="AO365" s="1"/>
    </row>
    <row r="366" spans="1:41" ht="20.100000000000001" customHeight="1" thickTop="1" thickBot="1">
      <c r="A366" s="68"/>
      <c r="B366" s="69" t="str">
        <f>IFERROR(INDEX(Tableau4[Date],MATCH($A366,Tableau4[EVO],0)),"")</f>
        <v/>
      </c>
      <c r="C366" s="68" t="str">
        <f>IFERROR(INDEX(Tableau4[Designation],MATCH($A366,Tableau4[EVO],0)),"")</f>
        <v/>
      </c>
      <c r="D366" s="68"/>
      <c r="E366" s="70">
        <v>493</v>
      </c>
      <c r="F366" s="71">
        <v>3</v>
      </c>
      <c r="G366" s="101" t="str">
        <f>INDEX(Tableau8[Att1],MATCH(Tableau3[[#This Row],[ID-INS]],Tableau8[ID],0))&amp;""</f>
        <v>V1/V2</v>
      </c>
      <c r="H366" s="101" t="str">
        <f>INDEX(Tableau8[Att2],MATCH(Tableau3[[#This Row],[ID-INS]],Tableau8[ID],0))&amp;""</f>
        <v>PPH94</v>
      </c>
      <c r="I366" s="101" t="str">
        <f>INDEX(Tableau8[Att3],MATCH(Tableau3[[#This Row],[ID-INS]],Tableau8[ID],0))&amp;""</f>
        <v>Fraude Barrière IR sur toiture</v>
      </c>
      <c r="J366" s="101"/>
      <c r="K366" s="167" t="str">
        <f>INDEX(Tableau8[Nom du modele],MATCH(Tableau3[[#This Row],[ID-INS]],Tableau8[ID],0))&amp;""</f>
        <v>E_Divers</v>
      </c>
      <c r="L366" s="99" t="str">
        <f>INDEX(Tableau5[Att1],MATCH(Tableau3[[#This Row],[ID-SIG]],Tableau5[ID],0))&amp;""</f>
        <v>C1</v>
      </c>
      <c r="M366" s="99" t="str">
        <f>INDEX(Tableau5[Att2],MATCH(Tableau3[[#This Row],[ID-SIG]],Tableau5[ID],0))&amp;""</f>
        <v/>
      </c>
      <c r="N366" s="99" t="str">
        <f>INDEX(Tableau5[Att3],MATCH(Tableau3[[#This Row],[ID-SIG]],Tableau5[ID],0))&amp;""</f>
        <v/>
      </c>
      <c r="O366" s="99"/>
      <c r="P366" s="99" t="str">
        <f>INDEX(Tableau5[Description],MATCH(Tableau3[[#This Row],[ID-SIG]],Tableau5[ID],0))</f>
        <v>Contact</v>
      </c>
      <c r="Q366" s="99"/>
      <c r="R366" s="103" t="str">
        <f>Tableau3[[#This Row],[Description]]</f>
        <v>Contact</v>
      </c>
      <c r="U366" s="87">
        <v>2</v>
      </c>
      <c r="V366" s="87">
        <v>2</v>
      </c>
      <c r="W366" s="87">
        <v>7</v>
      </c>
      <c r="X366" s="87">
        <v>4</v>
      </c>
      <c r="Y366" s="40"/>
      <c r="Z366" s="165" t="str">
        <f>INDEX(Tableau2[TS],MATCH(Tableau3[[#This Row],[ID-CARTEVOIE]],Tableau2[ID-CARTEVOIE],0))</f>
        <v>ET</v>
      </c>
      <c r="AA366" s="53" t="s">
        <v>213</v>
      </c>
      <c r="AB366" s="223" t="str">
        <f>IFERROR(INDEX(Tableau5[Reserve],MATCH(Tableau3[[#This Row],[ID-SIG]],Tableau5[ID],0))&amp;"","")</f>
        <v/>
      </c>
      <c r="AC366" s="21"/>
      <c r="AD366" s="108" t="str">
        <f>INDEX(Tableau7[Repere],MATCH(Tableau3[[#This Row],[ID-API]],Tableau7[ID-API],0))&amp;""</f>
        <v>A2</v>
      </c>
      <c r="AE366" s="108" t="str">
        <f>INDEX(Tableau1[Repere-Rack],MATCH(Tableau3[[#This Row],[ID-RACK]],Tableau1[ID-RACK],0))&amp;""</f>
        <v>R2</v>
      </c>
      <c r="AF366" s="108" t="str">
        <f>INDEX(Tableau1[Repere-Slot],MATCH(Tableau3[[#This Row],[ID-SLOT]],Tableau1[ID-SLOT],0))&amp;""</f>
        <v>S7</v>
      </c>
      <c r="AG366" s="108" t="str">
        <f>INDEX(Tableau2[Repere-Voie],MATCH(Tableau3[[#This Row],[ID-VOIE]],Tableau2[ID-Voie],0))&amp;""</f>
        <v>v4</v>
      </c>
      <c r="AH366" s="72" t="str">
        <f>Tableau3[[#This Row],[ID-API]]&amp; "." &amp;Tableau3[[#This Row],[ID-RACK]]&amp; "." &amp;Tableau3[[#This Row],[ID-SLOT]]</f>
        <v>2.2.7</v>
      </c>
      <c r="AI366" s="72" t="str">
        <f>INDEX(Tableau1[Ref-Carte],MATCH(Tableau3[[#This Row],[ID-RRS]],Tableau1[ID-RRS],0))</f>
        <v>SDI1602</v>
      </c>
      <c r="AJ366" s="72" t="str">
        <f t="array" ref="AJ366">IFERROR(INDEX(Tableau2[TS],MATCH(1,(Tableau2[Ref-Carte]=Tableau3[[#This Row],[Ref-Carte2]])*(Tableau2[ID-Voie]=Tableau3[[#This Row],[ID-VOIE]]),0)),"")</f>
        <v>ET</v>
      </c>
      <c r="AK366" s="72" t="str">
        <f>IFERROR(INDEX(Tableau2[TS],SUMPRODUCT((Tableau2[Ref-Carte]=Tableau3[[#This Row],[Ref-Carte2]])*(Tableau2[ID-Voie]=Tableau3[[#This Row],[ID-VOIE]])*ROW(Tableau2[TS]))-ROW(Tableau2[#Headers])),"")</f>
        <v>ET</v>
      </c>
      <c r="AL366" s="72" t="str">
        <f>Tableau3[[#This Row],[Ref-Carte2]]&amp;"/"&amp;Tableau3[[#This Row],[ID-VOIE]]</f>
        <v>SDI1602/4</v>
      </c>
      <c r="AM366" s="73" t="str">
        <f>INDEX(Tableau2[Borne],MATCH(Tableau3[[#This Row],[ID-CARTEVOIE]],Tableau2[ID-CARTEVOIE],0))&amp;""</f>
        <v>2B</v>
      </c>
      <c r="AN366" s="74" t="str">
        <f>Tableau3[[#This Row],[ID-API]]&amp;Tableau3[[#This Row],[ID-RACK]]&amp;Tableau3[[#This Row],[ID-SLOT]]&amp;Tableau3[[#This Row],[BORNE]]</f>
        <v>2272B</v>
      </c>
      <c r="AO366" s="1"/>
    </row>
    <row r="367" spans="1:41" ht="20.100000000000001" customHeight="1" thickTop="1" thickBot="1">
      <c r="A367" s="68"/>
      <c r="B367" s="69" t="str">
        <f>IFERROR(INDEX(Tableau4[Date],MATCH($A367,Tableau4[EVO],0)),"")</f>
        <v/>
      </c>
      <c r="C367" s="68" t="str">
        <f>IFERROR(INDEX(Tableau4[Designation],MATCH($A367,Tableau4[EVO],0)),"")</f>
        <v/>
      </c>
      <c r="D367" s="68"/>
      <c r="E367" s="70">
        <v>494</v>
      </c>
      <c r="F367" s="71">
        <v>3</v>
      </c>
      <c r="G367" s="101" t="str">
        <f>INDEX(Tableau8[Att1],MATCH(Tableau3[[#This Row],[ID-INS]],Tableau8[ID],0))&amp;""</f>
        <v>V1/V2</v>
      </c>
      <c r="H367" s="101" t="str">
        <f>INDEX(Tableau8[Att2],MATCH(Tableau3[[#This Row],[ID-INS]],Tableau8[ID],0))&amp;""</f>
        <v>PPH95</v>
      </c>
      <c r="I367" s="101" t="str">
        <f>INDEX(Tableau8[Att3],MATCH(Tableau3[[#This Row],[ID-INS]],Tableau8[ID],0))&amp;""</f>
        <v>Dérangement Barrière IR sur toiture</v>
      </c>
      <c r="J367" s="101"/>
      <c r="K367" s="167" t="str">
        <f>INDEX(Tableau8[Nom du modele],MATCH(Tableau3[[#This Row],[ID-INS]],Tableau8[ID],0))&amp;""</f>
        <v>E_Divers</v>
      </c>
      <c r="L367" s="99" t="str">
        <f>INDEX(Tableau5[Att1],MATCH(Tableau3[[#This Row],[ID-SIG]],Tableau5[ID],0))&amp;""</f>
        <v>C1</v>
      </c>
      <c r="M367" s="99" t="str">
        <f>INDEX(Tableau5[Att2],MATCH(Tableau3[[#This Row],[ID-SIG]],Tableau5[ID],0))&amp;""</f>
        <v/>
      </c>
      <c r="N367" s="99" t="str">
        <f>INDEX(Tableau5[Att3],MATCH(Tableau3[[#This Row],[ID-SIG]],Tableau5[ID],0))&amp;""</f>
        <v/>
      </c>
      <c r="O367" s="99"/>
      <c r="P367" s="99" t="str">
        <f>INDEX(Tableau5[Description],MATCH(Tableau3[[#This Row],[ID-SIG]],Tableau5[ID],0))</f>
        <v>Contact</v>
      </c>
      <c r="Q367" s="99"/>
      <c r="R367" s="103" t="str">
        <f>Tableau3[[#This Row],[Description]]</f>
        <v>Contact</v>
      </c>
      <c r="U367" s="87">
        <v>2</v>
      </c>
      <c r="V367" s="87">
        <v>2</v>
      </c>
      <c r="W367" s="87">
        <v>7</v>
      </c>
      <c r="X367" s="87">
        <v>5</v>
      </c>
      <c r="Y367" s="40"/>
      <c r="Z367" s="165" t="str">
        <f>INDEX(Tableau2[TS],MATCH(Tableau3[[#This Row],[ID-CARTEVOIE]],Tableau2[ID-CARTEVOIE],0))</f>
        <v>ET</v>
      </c>
      <c r="AA367" s="53" t="s">
        <v>213</v>
      </c>
      <c r="AB367" s="223" t="str">
        <f>IFERROR(INDEX(Tableau5[Reserve],MATCH(Tableau3[[#This Row],[ID-SIG]],Tableau5[ID],0))&amp;"","")</f>
        <v/>
      </c>
      <c r="AC367" s="21"/>
      <c r="AD367" s="108" t="str">
        <f>INDEX(Tableau7[Repere],MATCH(Tableau3[[#This Row],[ID-API]],Tableau7[ID-API],0))&amp;""</f>
        <v>A2</v>
      </c>
      <c r="AE367" s="108" t="str">
        <f>INDEX(Tableau1[Repere-Rack],MATCH(Tableau3[[#This Row],[ID-RACK]],Tableau1[ID-RACK],0))&amp;""</f>
        <v>R2</v>
      </c>
      <c r="AF367" s="108" t="str">
        <f>INDEX(Tableau1[Repere-Slot],MATCH(Tableau3[[#This Row],[ID-SLOT]],Tableau1[ID-SLOT],0))&amp;""</f>
        <v>S7</v>
      </c>
      <c r="AG367" s="108" t="str">
        <f>INDEX(Tableau2[Repere-Voie],MATCH(Tableau3[[#This Row],[ID-VOIE]],Tableau2[ID-Voie],0))&amp;""</f>
        <v>v5</v>
      </c>
      <c r="AH367" s="72" t="str">
        <f>Tableau3[[#This Row],[ID-API]]&amp; "." &amp;Tableau3[[#This Row],[ID-RACK]]&amp; "." &amp;Tableau3[[#This Row],[ID-SLOT]]</f>
        <v>2.2.7</v>
      </c>
      <c r="AI367" s="72" t="str">
        <f>INDEX(Tableau1[Ref-Carte],MATCH(Tableau3[[#This Row],[ID-RRS]],Tableau1[ID-RRS],0))</f>
        <v>SDI1602</v>
      </c>
      <c r="AJ367" s="72" t="str">
        <f t="array" ref="AJ367">IFERROR(INDEX(Tableau2[TS],MATCH(1,(Tableau2[Ref-Carte]=Tableau3[[#This Row],[Ref-Carte2]])*(Tableau2[ID-Voie]=Tableau3[[#This Row],[ID-VOIE]]),0)),"")</f>
        <v>ET</v>
      </c>
      <c r="AK367" s="72" t="str">
        <f>IFERROR(INDEX(Tableau2[TS],SUMPRODUCT((Tableau2[Ref-Carte]=Tableau3[[#This Row],[Ref-Carte2]])*(Tableau2[ID-Voie]=Tableau3[[#This Row],[ID-VOIE]])*ROW(Tableau2[TS]))-ROW(Tableau2[#Headers])),"")</f>
        <v>ET</v>
      </c>
      <c r="AL367" s="72" t="str">
        <f>Tableau3[[#This Row],[Ref-Carte2]]&amp;"/"&amp;Tableau3[[#This Row],[ID-VOIE]]</f>
        <v>SDI1602/5</v>
      </c>
      <c r="AM367" s="73" t="str">
        <f>INDEX(Tableau2[Borne],MATCH(Tableau3[[#This Row],[ID-CARTEVOIE]],Tableau2[ID-CARTEVOIE],0))&amp;""</f>
        <v>2A</v>
      </c>
      <c r="AN367" s="74" t="str">
        <f>Tableau3[[#This Row],[ID-API]]&amp;Tableau3[[#This Row],[ID-RACK]]&amp;Tableau3[[#This Row],[ID-SLOT]]&amp;Tableau3[[#This Row],[BORNE]]</f>
        <v>2272A</v>
      </c>
      <c r="AO367" s="1"/>
    </row>
    <row r="368" spans="1:41" ht="20.100000000000001" customHeight="1" thickTop="1" thickBot="1">
      <c r="A368" s="68"/>
      <c r="B368" s="69" t="str">
        <f>IFERROR(INDEX(Tableau4[Date],MATCH($A368,Tableau4[EVO],0)),"")</f>
        <v/>
      </c>
      <c r="C368" s="68" t="str">
        <f>IFERROR(INDEX(Tableau4[Designation],MATCH($A368,Tableau4[EVO],0)),"")</f>
        <v/>
      </c>
      <c r="D368" s="68"/>
      <c r="E368" s="70">
        <v>495</v>
      </c>
      <c r="F368" s="71">
        <v>3</v>
      </c>
      <c r="G368" s="101" t="str">
        <f>INDEX(Tableau8[Att1],MATCH(Tableau3[[#This Row],[ID-INS]],Tableau8[ID],0))&amp;""</f>
        <v>V1/V2</v>
      </c>
      <c r="H368" s="101" t="str">
        <f>INDEX(Tableau8[Att2],MATCH(Tableau3[[#This Row],[ID-INS]],Tableau8[ID],0))&amp;""</f>
        <v>PPH96</v>
      </c>
      <c r="I368" s="101" t="str">
        <f>INDEX(Tableau8[Att3],MATCH(Tableau3[[#This Row],[ID-INS]],Tableau8[ID],0))&amp;""</f>
        <v>Ouverture trappe accès ventail 1 P1</v>
      </c>
      <c r="J368" s="101"/>
      <c r="K368" s="167" t="str">
        <f>INDEX(Tableau8[Nom du modele],MATCH(Tableau3[[#This Row],[ID-INS]],Tableau8[ID],0))&amp;""</f>
        <v>E_Divers</v>
      </c>
      <c r="L368" s="99" t="str">
        <f>INDEX(Tableau5[Att1],MATCH(Tableau3[[#This Row],[ID-SIG]],Tableau5[ID],0))&amp;""</f>
        <v>C1</v>
      </c>
      <c r="M368" s="99" t="str">
        <f>INDEX(Tableau5[Att2],MATCH(Tableau3[[#This Row],[ID-SIG]],Tableau5[ID],0))&amp;""</f>
        <v/>
      </c>
      <c r="N368" s="99" t="str">
        <f>INDEX(Tableau5[Att3],MATCH(Tableau3[[#This Row],[ID-SIG]],Tableau5[ID],0))&amp;""</f>
        <v/>
      </c>
      <c r="O368" s="99"/>
      <c r="P368" s="99" t="str">
        <f>INDEX(Tableau5[Description],MATCH(Tableau3[[#This Row],[ID-SIG]],Tableau5[ID],0))</f>
        <v>Contact</v>
      </c>
      <c r="Q368" s="99"/>
      <c r="R368" s="103" t="str">
        <f>Tableau3[[#This Row],[Description]]</f>
        <v>Contact</v>
      </c>
      <c r="U368" s="87">
        <v>2</v>
      </c>
      <c r="V368" s="87">
        <v>2</v>
      </c>
      <c r="W368" s="87">
        <v>7</v>
      </c>
      <c r="X368" s="87">
        <v>6</v>
      </c>
      <c r="Y368" s="40"/>
      <c r="Z368" s="165" t="str">
        <f>INDEX(Tableau2[TS],MATCH(Tableau3[[#This Row],[ID-CARTEVOIE]],Tableau2[ID-CARTEVOIE],0))</f>
        <v>ET</v>
      </c>
      <c r="AA368" s="53" t="s">
        <v>213</v>
      </c>
      <c r="AB368" s="223" t="str">
        <f>IFERROR(INDEX(Tableau5[Reserve],MATCH(Tableau3[[#This Row],[ID-SIG]],Tableau5[ID],0))&amp;"","")</f>
        <v/>
      </c>
      <c r="AC368" s="21"/>
      <c r="AD368" s="108" t="str">
        <f>INDEX(Tableau7[Repere],MATCH(Tableau3[[#This Row],[ID-API]],Tableau7[ID-API],0))&amp;""</f>
        <v>A2</v>
      </c>
      <c r="AE368" s="108" t="str">
        <f>INDEX(Tableau1[Repere-Rack],MATCH(Tableau3[[#This Row],[ID-RACK]],Tableau1[ID-RACK],0))&amp;""</f>
        <v>R2</v>
      </c>
      <c r="AF368" s="108" t="str">
        <f>INDEX(Tableau1[Repere-Slot],MATCH(Tableau3[[#This Row],[ID-SLOT]],Tableau1[ID-SLOT],0))&amp;""</f>
        <v>S7</v>
      </c>
      <c r="AG368" s="108" t="str">
        <f>INDEX(Tableau2[Repere-Voie],MATCH(Tableau3[[#This Row],[ID-VOIE]],Tableau2[ID-Voie],0))&amp;""</f>
        <v>v6</v>
      </c>
      <c r="AH368" s="72" t="str">
        <f>Tableau3[[#This Row],[ID-API]]&amp; "." &amp;Tableau3[[#This Row],[ID-RACK]]&amp; "." &amp;Tableau3[[#This Row],[ID-SLOT]]</f>
        <v>2.2.7</v>
      </c>
      <c r="AI368" s="72" t="str">
        <f>INDEX(Tableau1[Ref-Carte],MATCH(Tableau3[[#This Row],[ID-RRS]],Tableau1[ID-RRS],0))</f>
        <v>SDI1602</v>
      </c>
      <c r="AJ368" s="72" t="str">
        <f t="array" ref="AJ368">IFERROR(INDEX(Tableau2[TS],MATCH(1,(Tableau2[Ref-Carte]=Tableau3[[#This Row],[Ref-Carte2]])*(Tableau2[ID-Voie]=Tableau3[[#This Row],[ID-VOIE]]),0)),"")</f>
        <v>ET</v>
      </c>
      <c r="AK368" s="72" t="str">
        <f>IFERROR(INDEX(Tableau2[TS],SUMPRODUCT((Tableau2[Ref-Carte]=Tableau3[[#This Row],[Ref-Carte2]])*(Tableau2[ID-Voie]=Tableau3[[#This Row],[ID-VOIE]])*ROW(Tableau2[TS]))-ROW(Tableau2[#Headers])),"")</f>
        <v>ET</v>
      </c>
      <c r="AL368" s="72" t="str">
        <f>Tableau3[[#This Row],[Ref-Carte2]]&amp;"/"&amp;Tableau3[[#This Row],[ID-VOIE]]</f>
        <v>SDI1602/6</v>
      </c>
      <c r="AM368" s="73" t="str">
        <f>INDEX(Tableau2[Borne],MATCH(Tableau3[[#This Row],[ID-CARTEVOIE]],Tableau2[ID-CARTEVOIE],0))&amp;""</f>
        <v>3B</v>
      </c>
      <c r="AN368" s="74" t="str">
        <f>Tableau3[[#This Row],[ID-API]]&amp;Tableau3[[#This Row],[ID-RACK]]&amp;Tableau3[[#This Row],[ID-SLOT]]&amp;Tableau3[[#This Row],[BORNE]]</f>
        <v>2273B</v>
      </c>
      <c r="AO368" s="1"/>
    </row>
    <row r="369" spans="1:41" ht="20.100000000000001" customHeight="1" thickTop="1" thickBot="1">
      <c r="A369" s="68"/>
      <c r="B369" s="69" t="str">
        <f>IFERROR(INDEX(Tableau4[Date],MATCH($A369,Tableau4[EVO],0)),"")</f>
        <v/>
      </c>
      <c r="C369" s="68" t="str">
        <f>IFERROR(INDEX(Tableau4[Designation],MATCH($A369,Tableau4[EVO],0)),"")</f>
        <v/>
      </c>
      <c r="D369" s="68"/>
      <c r="E369" s="70">
        <v>496</v>
      </c>
      <c r="F369" s="71">
        <v>3</v>
      </c>
      <c r="G369" s="101" t="str">
        <f>INDEX(Tableau8[Att1],MATCH(Tableau3[[#This Row],[ID-INS]],Tableau8[ID],0))&amp;""</f>
        <v>V1/V2</v>
      </c>
      <c r="H369" s="101" t="str">
        <f>INDEX(Tableau8[Att2],MATCH(Tableau3[[#This Row],[ID-INS]],Tableau8[ID],0))&amp;""</f>
        <v>PPH97</v>
      </c>
      <c r="I369" s="101" t="str">
        <f>INDEX(Tableau8[Att3],MATCH(Tableau3[[#This Row],[ID-INS]],Tableau8[ID],0))&amp;""</f>
        <v>Ouverture trappe accès ventail 2 P1 et vantail 1 P2</v>
      </c>
      <c r="J369" s="101"/>
      <c r="K369" s="167" t="str">
        <f>INDEX(Tableau8[Nom du modele],MATCH(Tableau3[[#This Row],[ID-INS]],Tableau8[ID],0))&amp;""</f>
        <v>E_Divers</v>
      </c>
      <c r="L369" s="99" t="str">
        <f>INDEX(Tableau5[Att1],MATCH(Tableau3[[#This Row],[ID-SIG]],Tableau5[ID],0))&amp;""</f>
        <v>C1</v>
      </c>
      <c r="M369" s="99" t="str">
        <f>INDEX(Tableau5[Att2],MATCH(Tableau3[[#This Row],[ID-SIG]],Tableau5[ID],0))&amp;""</f>
        <v/>
      </c>
      <c r="N369" s="99" t="str">
        <f>INDEX(Tableau5[Att3],MATCH(Tableau3[[#This Row],[ID-SIG]],Tableau5[ID],0))&amp;""</f>
        <v/>
      </c>
      <c r="O369" s="99"/>
      <c r="P369" s="99" t="str">
        <f>INDEX(Tableau5[Description],MATCH(Tableau3[[#This Row],[ID-SIG]],Tableau5[ID],0))</f>
        <v>Contact</v>
      </c>
      <c r="Q369" s="99"/>
      <c r="R369" s="103" t="str">
        <f>Tableau3[[#This Row],[Description]]</f>
        <v>Contact</v>
      </c>
      <c r="U369" s="87">
        <v>2</v>
      </c>
      <c r="V369" s="87">
        <v>2</v>
      </c>
      <c r="W369" s="87">
        <v>7</v>
      </c>
      <c r="X369" s="87">
        <v>7</v>
      </c>
      <c r="Y369" s="40"/>
      <c r="Z369" s="165" t="str">
        <f>INDEX(Tableau2[TS],MATCH(Tableau3[[#This Row],[ID-CARTEVOIE]],Tableau2[ID-CARTEVOIE],0))</f>
        <v>ET</v>
      </c>
      <c r="AA369" s="53" t="s">
        <v>213</v>
      </c>
      <c r="AB369" s="223" t="str">
        <f>IFERROR(INDEX(Tableau5[Reserve],MATCH(Tableau3[[#This Row],[ID-SIG]],Tableau5[ID],0))&amp;"","")</f>
        <v/>
      </c>
      <c r="AC369" s="21"/>
      <c r="AD369" s="108" t="str">
        <f>INDEX(Tableau7[Repere],MATCH(Tableau3[[#This Row],[ID-API]],Tableau7[ID-API],0))&amp;""</f>
        <v>A2</v>
      </c>
      <c r="AE369" s="108" t="str">
        <f>INDEX(Tableau1[Repere-Rack],MATCH(Tableau3[[#This Row],[ID-RACK]],Tableau1[ID-RACK],0))&amp;""</f>
        <v>R2</v>
      </c>
      <c r="AF369" s="108" t="str">
        <f>INDEX(Tableau1[Repere-Slot],MATCH(Tableau3[[#This Row],[ID-SLOT]],Tableau1[ID-SLOT],0))&amp;""</f>
        <v>S7</v>
      </c>
      <c r="AG369" s="108" t="str">
        <f>INDEX(Tableau2[Repere-Voie],MATCH(Tableau3[[#This Row],[ID-VOIE]],Tableau2[ID-Voie],0))&amp;""</f>
        <v>v7</v>
      </c>
      <c r="AH369" s="72" t="str">
        <f>Tableau3[[#This Row],[ID-API]]&amp; "." &amp;Tableau3[[#This Row],[ID-RACK]]&amp; "." &amp;Tableau3[[#This Row],[ID-SLOT]]</f>
        <v>2.2.7</v>
      </c>
      <c r="AI369" s="72" t="str">
        <f>INDEX(Tableau1[Ref-Carte],MATCH(Tableau3[[#This Row],[ID-RRS]],Tableau1[ID-RRS],0))</f>
        <v>SDI1602</v>
      </c>
      <c r="AJ369" s="72" t="str">
        <f t="array" ref="AJ369">IFERROR(INDEX(Tableau2[TS],MATCH(1,(Tableau2[Ref-Carte]=Tableau3[[#This Row],[Ref-Carte2]])*(Tableau2[ID-Voie]=Tableau3[[#This Row],[ID-VOIE]]),0)),"")</f>
        <v>ET</v>
      </c>
      <c r="AK369" s="72" t="str">
        <f>IFERROR(INDEX(Tableau2[TS],SUMPRODUCT((Tableau2[Ref-Carte]=Tableau3[[#This Row],[Ref-Carte2]])*(Tableau2[ID-Voie]=Tableau3[[#This Row],[ID-VOIE]])*ROW(Tableau2[TS]))-ROW(Tableau2[#Headers])),"")</f>
        <v>ET</v>
      </c>
      <c r="AL369" s="72" t="str">
        <f>Tableau3[[#This Row],[Ref-Carte2]]&amp;"/"&amp;Tableau3[[#This Row],[ID-VOIE]]</f>
        <v>SDI1602/7</v>
      </c>
      <c r="AM369" s="73" t="str">
        <f>INDEX(Tableau2[Borne],MATCH(Tableau3[[#This Row],[ID-CARTEVOIE]],Tableau2[ID-CARTEVOIE],0))&amp;""</f>
        <v>3A</v>
      </c>
      <c r="AN369" s="74" t="str">
        <f>Tableau3[[#This Row],[ID-API]]&amp;Tableau3[[#This Row],[ID-RACK]]&amp;Tableau3[[#This Row],[ID-SLOT]]&amp;Tableau3[[#This Row],[BORNE]]</f>
        <v>2273A</v>
      </c>
      <c r="AO369" s="1"/>
    </row>
    <row r="370" spans="1:41" ht="20.100000000000001" customHeight="1" thickTop="1" thickBot="1">
      <c r="A370" s="110"/>
      <c r="B370" s="111" t="str">
        <f>IFERROR(INDEX(Tableau4[Date],MATCH($A370,Tableau4[EVO],0)),"")</f>
        <v/>
      </c>
      <c r="C370" s="112" t="str">
        <f>IFERROR(INDEX(Tableau4[Designation],MATCH($A370,Tableau4[EVO],0)),"")</f>
        <v/>
      </c>
      <c r="D370" s="110"/>
      <c r="E370" s="113"/>
      <c r="F370" s="146"/>
      <c r="G370" s="147" t="e">
        <f>INDEX(Tableau8[Att1],MATCH(Tableau3[[#This Row],[ID-INS]],Tableau8[ID],0))&amp;""</f>
        <v>#N/A</v>
      </c>
      <c r="H370" s="147" t="s">
        <v>1756</v>
      </c>
      <c r="I370" s="147" t="e">
        <f>INDEX(Tableau8[Att3],MATCH(Tableau3[[#This Row],[ID-INS]],Tableau8[ID],0))&amp;""</f>
        <v>#N/A</v>
      </c>
      <c r="J370" s="148"/>
      <c r="K370" s="167" t="e">
        <f>INDEX(Tableau8[Nom du modele],MATCH(Tableau3[[#This Row],[ID-INS]],Tableau8[ID],0))&amp;""</f>
        <v>#N/A</v>
      </c>
      <c r="L370" s="149" t="s">
        <v>260</v>
      </c>
      <c r="M370" s="149" t="e">
        <f>INDEX(Tableau5[Att2],MATCH(Tableau3[[#This Row],[ID-SIG]],Tableau5[ID],0))&amp;""</f>
        <v>#N/A</v>
      </c>
      <c r="N370" s="149" t="e">
        <f>INDEX(Tableau5[Att3],MATCH(Tableau3[[#This Row],[ID-SIG]],Tableau5[ID],0))&amp;""</f>
        <v>#N/A</v>
      </c>
      <c r="O370" s="150"/>
      <c r="P370" s="149" t="s">
        <v>1757</v>
      </c>
      <c r="Q370" s="150"/>
      <c r="R370" s="117" t="str">
        <f>Tableau3[[#This Row],[Description]]</f>
        <v>Synthèse Défaut alimentation rack d'extension du RIO 2 - Défaut</v>
      </c>
      <c r="S370" s="75"/>
      <c r="T370" s="75"/>
      <c r="U370" s="151">
        <v>2</v>
      </c>
      <c r="V370" s="151">
        <v>2</v>
      </c>
      <c r="W370" s="151">
        <v>7</v>
      </c>
      <c r="X370" s="151">
        <v>8</v>
      </c>
      <c r="Y370" s="40"/>
      <c r="Z370" s="166" t="str">
        <f>INDEX(Tableau2[TS],MATCH(Tableau3[[#This Row],[ID-CARTEVOIE]],Tableau2[ID-CARTEVOIE],0))</f>
        <v>ET</v>
      </c>
      <c r="AA370" s="81" t="s">
        <v>213</v>
      </c>
      <c r="AB370" s="226" t="str">
        <f>IFERROR(INDEX(Tableau5[Reserve],MATCH(Tableau3[[#This Row],[ID-SIG]],Tableau5[ID],0))&amp;"","")</f>
        <v/>
      </c>
      <c r="AC370" s="119" t="s">
        <v>1456</v>
      </c>
      <c r="AD370" s="120" t="str">
        <f>INDEX(Tableau7[Repere],MATCH(Tableau3[[#This Row],[ID-API]],Tableau7[ID-API],0))&amp;""</f>
        <v>A2</v>
      </c>
      <c r="AE370" s="121" t="str">
        <f>INDEX(Tableau1[Repere-Rack],MATCH(Tableau3[[#This Row],[ID-RACK]],Tableau1[ID-RACK],0))&amp;""</f>
        <v>R2</v>
      </c>
      <c r="AF370" s="121" t="str">
        <f>INDEX(Tableau1[Repere-Slot],MATCH(Tableau3[[#This Row],[ID-SLOT]],Tableau1[ID-SLOT],0))&amp;""</f>
        <v>S7</v>
      </c>
      <c r="AG370" s="121" t="str">
        <f>INDEX(Tableau2[Repere-Voie],MATCH(Tableau3[[#This Row],[ID-VOIE]],Tableau2[ID-Voie],0))&amp;""</f>
        <v>v8</v>
      </c>
      <c r="AH370" s="122" t="str">
        <f>Tableau3[[#This Row],[ID-API]]&amp; "." &amp;Tableau3[[#This Row],[ID-RACK]]&amp; "." &amp;Tableau3[[#This Row],[ID-SLOT]]</f>
        <v>2.2.7</v>
      </c>
      <c r="AI370" s="72" t="str">
        <f>INDEX(Tableau1[Ref-Carte],MATCH(Tableau3[[#This Row],[ID-RRS]],Tableau1[ID-RRS],0))</f>
        <v>SDI1602</v>
      </c>
      <c r="AJ370" s="72" t="str">
        <f t="array" ref="AJ370">IFERROR(INDEX(Tableau2[TS],MATCH(1,(Tableau2[Ref-Carte]=Tableau3[[#This Row],[Ref-Carte2]])*(Tableau2[ID-Voie]=Tableau3[[#This Row],[ID-VOIE]]),0)),"")</f>
        <v>ET</v>
      </c>
      <c r="AK370" s="72" t="str">
        <f>IFERROR(INDEX(Tableau2[TS],SUMPRODUCT((Tableau2[Ref-Carte]=Tableau3[[#This Row],[Ref-Carte2]])*(Tableau2[ID-Voie]=Tableau3[[#This Row],[ID-VOIE]])*ROW(Tableau2[TS]))-ROW(Tableau2[#Headers])),"")</f>
        <v>ET</v>
      </c>
      <c r="AL370" s="122" t="str">
        <f>Tableau3[[#This Row],[Ref-Carte2]]&amp;"/"&amp;Tableau3[[#This Row],[ID-VOIE]]</f>
        <v>SDI1602/8</v>
      </c>
      <c r="AM370" s="123" t="str">
        <f>INDEX(Tableau2[Borne],MATCH(Tableau3[[#This Row],[ID-CARTEVOIE]],Tableau2[ID-CARTEVOIE],0))&amp;""</f>
        <v>4B</v>
      </c>
      <c r="AN370" s="124" t="str">
        <f>Tableau3[[#This Row],[ID-API]]&amp;Tableau3[[#This Row],[ID-RACK]]&amp;Tableau3[[#This Row],[ID-SLOT]]&amp;Tableau3[[#This Row],[BORNE]]</f>
        <v>2274B</v>
      </c>
      <c r="AO370" s="125"/>
    </row>
    <row r="371" spans="1:41" ht="20.100000000000001" customHeight="1" thickTop="1" thickBot="1">
      <c r="A371" s="110"/>
      <c r="B371" s="111" t="str">
        <f>IFERROR(INDEX(Tableau4[Date],MATCH($A371,Tableau4[EVO],0)),"")</f>
        <v/>
      </c>
      <c r="C371" s="112" t="str">
        <f>IFERROR(INDEX(Tableau4[Designation],MATCH($A371,Tableau4[EVO],0)),"")</f>
        <v/>
      </c>
      <c r="D371" s="110"/>
      <c r="E371" s="113"/>
      <c r="F371" s="146"/>
      <c r="G371" s="156" t="e">
        <f>INDEX(Tableau8[Att1],MATCH(Tableau3[[#This Row],[ID-INS]],Tableau8[ID],0))&amp;""</f>
        <v>#N/A</v>
      </c>
      <c r="H371" s="156" t="e">
        <f>INDEX(Tableau8[Att2],MATCH(Tableau3[[#This Row],[ID-INS]],Tableau8[ID],0))&amp;""</f>
        <v>#N/A</v>
      </c>
      <c r="I371" s="156" t="e">
        <f>INDEX(Tableau8[Att3],MATCH(Tableau3[[#This Row],[ID-INS]],Tableau8[ID],0))&amp;""</f>
        <v>#N/A</v>
      </c>
      <c r="J371" s="157"/>
      <c r="K371" s="167" t="e">
        <f>INDEX(Tableau8[Nom du modele],MATCH(Tableau3[[#This Row],[ID-INS]],Tableau8[ID],0))&amp;""</f>
        <v>#N/A</v>
      </c>
      <c r="L371" s="158" t="e">
        <f>INDEX(Tableau5[Att1],MATCH(Tableau3[[#This Row],[ID-SIG]],Tableau5[ID],0))&amp;""</f>
        <v>#N/A</v>
      </c>
      <c r="M371" s="158" t="e">
        <f>INDEX(Tableau5[Att2],MATCH(Tableau3[[#This Row],[ID-SIG]],Tableau5[ID],0))&amp;""</f>
        <v>#N/A</v>
      </c>
      <c r="N371" s="158" t="e">
        <f>INDEX(Tableau5[Att3],MATCH(Tableau3[[#This Row],[ID-SIG]],Tableau5[ID],0))&amp;""</f>
        <v>#N/A</v>
      </c>
      <c r="O371" s="159"/>
      <c r="P371" s="158" t="s">
        <v>747</v>
      </c>
      <c r="Q371" s="159"/>
      <c r="R371" s="128" t="str">
        <f>Tableau3[[#This Row],[Description]]</f>
        <v>Synthèse Alarme ouverture Baies C/C Cellule V1/V2</v>
      </c>
      <c r="S371" s="129"/>
      <c r="T371" s="129"/>
      <c r="U371" s="160">
        <v>2</v>
      </c>
      <c r="V371" s="160">
        <v>2</v>
      </c>
      <c r="W371" s="160">
        <v>7</v>
      </c>
      <c r="X371" s="160">
        <v>9</v>
      </c>
      <c r="Y371" s="40"/>
      <c r="Z371" s="166" t="str">
        <f>INDEX(Tableau2[TS],MATCH(Tableau3[[#This Row],[ID-CARTEVOIE]],Tableau2[ID-CARTEVOIE],0))</f>
        <v>ET</v>
      </c>
      <c r="AA371" s="81" t="s">
        <v>213</v>
      </c>
      <c r="AB371" s="226" t="str">
        <f>IFERROR(INDEX(Tableau5[Reserve],MATCH(Tableau3[[#This Row],[ID-SIG]],Tableau5[ID],0))&amp;"","")</f>
        <v/>
      </c>
      <c r="AC371" s="119" t="s">
        <v>1456</v>
      </c>
      <c r="AD371" s="120" t="str">
        <f>INDEX(Tableau7[Repere],MATCH(Tableau3[[#This Row],[ID-API]],Tableau7[ID-API],0))&amp;""</f>
        <v>A2</v>
      </c>
      <c r="AE371" s="121" t="str">
        <f>INDEX(Tableau1[Repere-Rack],MATCH(Tableau3[[#This Row],[ID-RACK]],Tableau1[ID-RACK],0))&amp;""</f>
        <v>R2</v>
      </c>
      <c r="AF371" s="121" t="str">
        <f>INDEX(Tableau1[Repere-Slot],MATCH(Tableau3[[#This Row],[ID-SLOT]],Tableau1[ID-SLOT],0))&amp;""</f>
        <v>S7</v>
      </c>
      <c r="AG371" s="121" t="str">
        <f>INDEX(Tableau2[Repere-Voie],MATCH(Tableau3[[#This Row],[ID-VOIE]],Tableau2[ID-Voie],0))&amp;""</f>
        <v>v9</v>
      </c>
      <c r="AH371" s="122" t="str">
        <f>Tableau3[[#This Row],[ID-API]]&amp; "." &amp;Tableau3[[#This Row],[ID-RACK]]&amp; "." &amp;Tableau3[[#This Row],[ID-SLOT]]</f>
        <v>2.2.7</v>
      </c>
      <c r="AI371" s="72" t="str">
        <f>INDEX(Tableau1[Ref-Carte],MATCH(Tableau3[[#This Row],[ID-RRS]],Tableau1[ID-RRS],0))</f>
        <v>SDI1602</v>
      </c>
      <c r="AJ371" s="72" t="str">
        <f t="array" ref="AJ371">IFERROR(INDEX(Tableau2[TS],MATCH(1,(Tableau2[Ref-Carte]=Tableau3[[#This Row],[Ref-Carte2]])*(Tableau2[ID-Voie]=Tableau3[[#This Row],[ID-VOIE]]),0)),"")</f>
        <v>ET</v>
      </c>
      <c r="AK371" s="72" t="str">
        <f>IFERROR(INDEX(Tableau2[TS],SUMPRODUCT((Tableau2[Ref-Carte]=Tableau3[[#This Row],[Ref-Carte2]])*(Tableau2[ID-Voie]=Tableau3[[#This Row],[ID-VOIE]])*ROW(Tableau2[TS]))-ROW(Tableau2[#Headers])),"")</f>
        <v>ET</v>
      </c>
      <c r="AL371" s="122" t="str">
        <f>Tableau3[[#This Row],[Ref-Carte2]]&amp;"/"&amp;Tableau3[[#This Row],[ID-VOIE]]</f>
        <v>SDI1602/9</v>
      </c>
      <c r="AM371" s="123" t="str">
        <f>INDEX(Tableau2[Borne],MATCH(Tableau3[[#This Row],[ID-CARTEVOIE]],Tableau2[ID-CARTEVOIE],0))&amp;""</f>
        <v>4A</v>
      </c>
      <c r="AN371" s="124" t="str">
        <f>Tableau3[[#This Row],[ID-API]]&amp;Tableau3[[#This Row],[ID-RACK]]&amp;Tableau3[[#This Row],[ID-SLOT]]&amp;Tableau3[[#This Row],[BORNE]]</f>
        <v>2274A</v>
      </c>
      <c r="AO371" s="125"/>
    </row>
    <row r="372" spans="1:41" ht="20.100000000000001" customHeight="1" thickTop="1" thickBot="1">
      <c r="A372" s="110"/>
      <c r="B372" s="111" t="str">
        <f>IFERROR(INDEX(Tableau4[Date],MATCH($A372,Tableau4[EVO],0)),"")</f>
        <v/>
      </c>
      <c r="C372" s="112" t="str">
        <f>IFERROR(INDEX(Tableau4[Designation],MATCH($A372,Tableau4[EVO],0)),"")</f>
        <v/>
      </c>
      <c r="D372" s="110"/>
      <c r="E372" s="113"/>
      <c r="F372" s="146"/>
      <c r="G372" s="156" t="e">
        <f>INDEX(Tableau8[Att1],MATCH(Tableau3[[#This Row],[ID-INS]],Tableau8[ID],0))&amp;""</f>
        <v>#N/A</v>
      </c>
      <c r="H372" s="156" t="e">
        <f>INDEX(Tableau8[Att2],MATCH(Tableau3[[#This Row],[ID-INS]],Tableau8[ID],0))&amp;""</f>
        <v>#N/A</v>
      </c>
      <c r="I372" s="156" t="e">
        <f>INDEX(Tableau8[Att3],MATCH(Tableau3[[#This Row],[ID-INS]],Tableau8[ID],0))&amp;""</f>
        <v>#N/A</v>
      </c>
      <c r="J372" s="157"/>
      <c r="K372" s="167" t="e">
        <f>INDEX(Tableau8[Nom du modele],MATCH(Tableau3[[#This Row],[ID-INS]],Tableau8[ID],0))&amp;""</f>
        <v>#N/A</v>
      </c>
      <c r="L372" s="158" t="e">
        <f>INDEX(Tableau5[Att1],MATCH(Tableau3[[#This Row],[ID-SIG]],Tableau5[ID],0))&amp;""</f>
        <v>#N/A</v>
      </c>
      <c r="M372" s="158" t="e">
        <f>INDEX(Tableau5[Att2],MATCH(Tableau3[[#This Row],[ID-SIG]],Tableau5[ID],0))&amp;""</f>
        <v>#N/A</v>
      </c>
      <c r="N372" s="158" t="e">
        <f>INDEX(Tableau5[Att3],MATCH(Tableau3[[#This Row],[ID-SIG]],Tableau5[ID],0))&amp;""</f>
        <v>#N/A</v>
      </c>
      <c r="O372" s="159"/>
      <c r="P372" s="158" t="e">
        <f>INDEX(Tableau5[Description],MATCH(Tableau3[[#This Row],[ID-SIG]],Tableau5[ID],0))</f>
        <v>#N/A</v>
      </c>
      <c r="Q372" s="159"/>
      <c r="R372" s="128" t="e">
        <f>Tableau3[[#This Row],[Description]]</f>
        <v>#N/A</v>
      </c>
      <c r="S372" s="129"/>
      <c r="T372" s="129"/>
      <c r="U372" s="151">
        <v>2</v>
      </c>
      <c r="V372" s="151">
        <v>2</v>
      </c>
      <c r="W372" s="151">
        <v>7</v>
      </c>
      <c r="X372" s="151">
        <v>10</v>
      </c>
      <c r="Y372" s="40"/>
      <c r="Z372" s="166" t="str">
        <f>INDEX(Tableau2[TS],MATCH(Tableau3[[#This Row],[ID-CARTEVOIE]],Tableau2[ID-CARTEVOIE],0))</f>
        <v>ET</v>
      </c>
      <c r="AA372" s="81" t="s">
        <v>213</v>
      </c>
      <c r="AB372" s="226" t="str">
        <f>IFERROR(INDEX(Tableau5[Reserve],MATCH(Tableau3[[#This Row],[ID-SIG]],Tableau5[ID],0))&amp;"","")</f>
        <v/>
      </c>
      <c r="AC372" s="119" t="s">
        <v>1456</v>
      </c>
      <c r="AD372" s="120" t="str">
        <f>INDEX(Tableau7[Repere],MATCH(Tableau3[[#This Row],[ID-API]],Tableau7[ID-API],0))&amp;""</f>
        <v>A2</v>
      </c>
      <c r="AE372" s="121" t="str">
        <f>INDEX(Tableau1[Repere-Rack],MATCH(Tableau3[[#This Row],[ID-RACK]],Tableau1[ID-RACK],0))&amp;""</f>
        <v>R2</v>
      </c>
      <c r="AF372" s="121" t="str">
        <f>INDEX(Tableau1[Repere-Slot],MATCH(Tableau3[[#This Row],[ID-SLOT]],Tableau1[ID-SLOT],0))&amp;""</f>
        <v>S7</v>
      </c>
      <c r="AG372" s="121" t="str">
        <f>INDEX(Tableau2[Repere-Voie],MATCH(Tableau3[[#This Row],[ID-VOIE]],Tableau2[ID-Voie],0))&amp;""</f>
        <v>v10</v>
      </c>
      <c r="AH372" s="122" t="str">
        <f>Tableau3[[#This Row],[ID-API]]&amp; "." &amp;Tableau3[[#This Row],[ID-RACK]]&amp; "." &amp;Tableau3[[#This Row],[ID-SLOT]]</f>
        <v>2.2.7</v>
      </c>
      <c r="AI372" s="72" t="str">
        <f>INDEX(Tableau1[Ref-Carte],MATCH(Tableau3[[#This Row],[ID-RRS]],Tableau1[ID-RRS],0))</f>
        <v>SDI1602</v>
      </c>
      <c r="AJ372" s="72" t="str">
        <f t="array" ref="AJ372">IFERROR(INDEX(Tableau2[TS],MATCH(1,(Tableau2[Ref-Carte]=Tableau3[[#This Row],[Ref-Carte2]])*(Tableau2[ID-Voie]=Tableau3[[#This Row],[ID-VOIE]]),0)),"")</f>
        <v>ET</v>
      </c>
      <c r="AK372" s="72" t="str">
        <f>IFERROR(INDEX(Tableau2[TS],SUMPRODUCT((Tableau2[Ref-Carte]=Tableau3[[#This Row],[Ref-Carte2]])*(Tableau2[ID-Voie]=Tableau3[[#This Row],[ID-VOIE]])*ROW(Tableau2[TS]))-ROW(Tableau2[#Headers])),"")</f>
        <v>ET</v>
      </c>
      <c r="AL372" s="122" t="str">
        <f>Tableau3[[#This Row],[Ref-Carte2]]&amp;"/"&amp;Tableau3[[#This Row],[ID-VOIE]]</f>
        <v>SDI1602/10</v>
      </c>
      <c r="AM372" s="123" t="str">
        <f>INDEX(Tableau2[Borne],MATCH(Tableau3[[#This Row],[ID-CARTEVOIE]],Tableau2[ID-CARTEVOIE],0))&amp;""</f>
        <v>5B</v>
      </c>
      <c r="AN372" s="124" t="str">
        <f>Tableau3[[#This Row],[ID-API]]&amp;Tableau3[[#This Row],[ID-RACK]]&amp;Tableau3[[#This Row],[ID-SLOT]]&amp;Tableau3[[#This Row],[BORNE]]</f>
        <v>2275B</v>
      </c>
      <c r="AO372" s="125"/>
    </row>
    <row r="373" spans="1:41" ht="20.100000000000001" customHeight="1" thickTop="1" thickBot="1">
      <c r="A373" s="110"/>
      <c r="B373" s="111" t="str">
        <f>IFERROR(INDEX(Tableau4[Date],MATCH($A373,Tableau4[EVO],0)),"")</f>
        <v/>
      </c>
      <c r="C373" s="112" t="str">
        <f>IFERROR(INDEX(Tableau4[Designation],MATCH($A373,Tableau4[EVO],0)),"")</f>
        <v/>
      </c>
      <c r="D373" s="110"/>
      <c r="E373" s="113"/>
      <c r="F373" s="146"/>
      <c r="G373" s="156" t="e">
        <f>INDEX(Tableau8[Att1],MATCH(Tableau3[[#This Row],[ID-INS]],Tableau8[ID],0))&amp;""</f>
        <v>#N/A</v>
      </c>
      <c r="H373" s="156" t="e">
        <f>INDEX(Tableau8[Att2],MATCH(Tableau3[[#This Row],[ID-INS]],Tableau8[ID],0))&amp;""</f>
        <v>#N/A</v>
      </c>
      <c r="I373" s="156" t="e">
        <f>INDEX(Tableau8[Att3],MATCH(Tableau3[[#This Row],[ID-INS]],Tableau8[ID],0))&amp;""</f>
        <v>#N/A</v>
      </c>
      <c r="J373" s="157"/>
      <c r="K373" s="167" t="e">
        <f>INDEX(Tableau8[Nom du modele],MATCH(Tableau3[[#This Row],[ID-INS]],Tableau8[ID],0))&amp;""</f>
        <v>#N/A</v>
      </c>
      <c r="L373" s="158" t="e">
        <f>INDEX(Tableau5[Att1],MATCH(Tableau3[[#This Row],[ID-SIG]],Tableau5[ID],0))&amp;""</f>
        <v>#N/A</v>
      </c>
      <c r="M373" s="158" t="e">
        <f>INDEX(Tableau5[Att2],MATCH(Tableau3[[#This Row],[ID-SIG]],Tableau5[ID],0))&amp;""</f>
        <v>#N/A</v>
      </c>
      <c r="N373" s="158" t="e">
        <f>INDEX(Tableau5[Att3],MATCH(Tableau3[[#This Row],[ID-SIG]],Tableau5[ID],0))&amp;""</f>
        <v>#N/A</v>
      </c>
      <c r="O373" s="159"/>
      <c r="P373" s="158" t="e">
        <f>INDEX(Tableau5[Description],MATCH(Tableau3[[#This Row],[ID-SIG]],Tableau5[ID],0))</f>
        <v>#N/A</v>
      </c>
      <c r="Q373" s="159"/>
      <c r="R373" s="128" t="e">
        <f>Tableau3[[#This Row],[Description]]</f>
        <v>#N/A</v>
      </c>
      <c r="S373" s="129"/>
      <c r="T373" s="129"/>
      <c r="U373" s="160">
        <v>2</v>
      </c>
      <c r="V373" s="160">
        <v>2</v>
      </c>
      <c r="W373" s="160">
        <v>7</v>
      </c>
      <c r="X373" s="160">
        <v>11</v>
      </c>
      <c r="Y373" s="40"/>
      <c r="Z373" s="166" t="str">
        <f>INDEX(Tableau2[TS],MATCH(Tableau3[[#This Row],[ID-CARTEVOIE]],Tableau2[ID-CARTEVOIE],0))</f>
        <v>ET</v>
      </c>
      <c r="AA373" s="81" t="s">
        <v>213</v>
      </c>
      <c r="AB373" s="226" t="str">
        <f>IFERROR(INDEX(Tableau5[Reserve],MATCH(Tableau3[[#This Row],[ID-SIG]],Tableau5[ID],0))&amp;"","")</f>
        <v/>
      </c>
      <c r="AC373" s="119" t="s">
        <v>1456</v>
      </c>
      <c r="AD373" s="120" t="str">
        <f>INDEX(Tableau7[Repere],MATCH(Tableau3[[#This Row],[ID-API]],Tableau7[ID-API],0))&amp;""</f>
        <v>A2</v>
      </c>
      <c r="AE373" s="121" t="str">
        <f>INDEX(Tableau1[Repere-Rack],MATCH(Tableau3[[#This Row],[ID-RACK]],Tableau1[ID-RACK],0))&amp;""</f>
        <v>R2</v>
      </c>
      <c r="AF373" s="121" t="str">
        <f>INDEX(Tableau1[Repere-Slot],MATCH(Tableau3[[#This Row],[ID-SLOT]],Tableau1[ID-SLOT],0))&amp;""</f>
        <v>S7</v>
      </c>
      <c r="AG373" s="121" t="str">
        <f>INDEX(Tableau2[Repere-Voie],MATCH(Tableau3[[#This Row],[ID-VOIE]],Tableau2[ID-Voie],0))&amp;""</f>
        <v>v11</v>
      </c>
      <c r="AH373" s="122" t="str">
        <f>Tableau3[[#This Row],[ID-API]]&amp; "." &amp;Tableau3[[#This Row],[ID-RACK]]&amp; "." &amp;Tableau3[[#This Row],[ID-SLOT]]</f>
        <v>2.2.7</v>
      </c>
      <c r="AI373" s="72" t="str">
        <f>INDEX(Tableau1[Ref-Carte],MATCH(Tableau3[[#This Row],[ID-RRS]],Tableau1[ID-RRS],0))</f>
        <v>SDI1602</v>
      </c>
      <c r="AJ373" s="72" t="str">
        <f t="array" ref="AJ373">IFERROR(INDEX(Tableau2[TS],MATCH(1,(Tableau2[Ref-Carte]=Tableau3[[#This Row],[Ref-Carte2]])*(Tableau2[ID-Voie]=Tableau3[[#This Row],[ID-VOIE]]),0)),"")</f>
        <v>ET</v>
      </c>
      <c r="AK373" s="72" t="str">
        <f>IFERROR(INDEX(Tableau2[TS],SUMPRODUCT((Tableau2[Ref-Carte]=Tableau3[[#This Row],[Ref-Carte2]])*(Tableau2[ID-Voie]=Tableau3[[#This Row],[ID-VOIE]])*ROW(Tableau2[TS]))-ROW(Tableau2[#Headers])),"")</f>
        <v>ET</v>
      </c>
      <c r="AL373" s="122" t="str">
        <f>Tableau3[[#This Row],[Ref-Carte2]]&amp;"/"&amp;Tableau3[[#This Row],[ID-VOIE]]</f>
        <v>SDI1602/11</v>
      </c>
      <c r="AM373" s="123" t="str">
        <f>INDEX(Tableau2[Borne],MATCH(Tableau3[[#This Row],[ID-CARTEVOIE]],Tableau2[ID-CARTEVOIE],0))&amp;""</f>
        <v>5A</v>
      </c>
      <c r="AN373" s="124" t="str">
        <f>Tableau3[[#This Row],[ID-API]]&amp;Tableau3[[#This Row],[ID-RACK]]&amp;Tableau3[[#This Row],[ID-SLOT]]&amp;Tableau3[[#This Row],[BORNE]]</f>
        <v>2275A</v>
      </c>
      <c r="AO373" s="125"/>
    </row>
    <row r="374" spans="1:41" ht="20.100000000000001" customHeight="1" thickTop="1" thickBot="1">
      <c r="A374" s="110"/>
      <c r="B374" s="111" t="str">
        <f>IFERROR(INDEX(Tableau4[Date],MATCH($A374,Tableau4[EVO],0)),"")</f>
        <v/>
      </c>
      <c r="C374" s="112" t="str">
        <f>IFERROR(INDEX(Tableau4[Designation],MATCH($A374,Tableau4[EVO],0)),"")</f>
        <v/>
      </c>
      <c r="D374" s="110"/>
      <c r="E374" s="113"/>
      <c r="F374" s="146"/>
      <c r="G374" s="147" t="e">
        <f>INDEX(Tableau8[Att1],MATCH(Tableau3[[#This Row],[ID-INS]],Tableau8[ID],0))&amp;""</f>
        <v>#N/A</v>
      </c>
      <c r="H374" s="147" t="e">
        <f>INDEX(Tableau8[Att2],MATCH(Tableau3[[#This Row],[ID-INS]],Tableau8[ID],0))&amp;""</f>
        <v>#N/A</v>
      </c>
      <c r="I374" s="147" t="e">
        <f>INDEX(Tableau8[Att3],MATCH(Tableau3[[#This Row],[ID-INS]],Tableau8[ID],0))&amp;""</f>
        <v>#N/A</v>
      </c>
      <c r="J374" s="148"/>
      <c r="K374" s="167" t="e">
        <f>INDEX(Tableau8[Nom du modele],MATCH(Tableau3[[#This Row],[ID-INS]],Tableau8[ID],0))&amp;""</f>
        <v>#N/A</v>
      </c>
      <c r="L374" s="149" t="e">
        <f>INDEX(Tableau5[Att1],MATCH(Tableau3[[#This Row],[ID-SIG]],Tableau5[ID],0))&amp;""</f>
        <v>#N/A</v>
      </c>
      <c r="M374" s="149" t="e">
        <f>INDEX(Tableau5[Att2],MATCH(Tableau3[[#This Row],[ID-SIG]],Tableau5[ID],0))&amp;""</f>
        <v>#N/A</v>
      </c>
      <c r="N374" s="149" t="e">
        <f>INDEX(Tableau5[Att3],MATCH(Tableau3[[#This Row],[ID-SIG]],Tableau5[ID],0))&amp;""</f>
        <v>#N/A</v>
      </c>
      <c r="O374" s="150"/>
      <c r="P374" s="149" t="e">
        <f>INDEX(Tableau5[Description],MATCH(Tableau3[[#This Row],[ID-SIG]],Tableau5[ID],0))</f>
        <v>#N/A</v>
      </c>
      <c r="Q374" s="150"/>
      <c r="R374" s="117" t="e">
        <f>Tableau3[[#This Row],[Description]]</f>
        <v>#N/A</v>
      </c>
      <c r="S374" s="75"/>
      <c r="T374" s="75"/>
      <c r="U374" s="151">
        <v>2</v>
      </c>
      <c r="V374" s="151">
        <v>2</v>
      </c>
      <c r="W374" s="151">
        <v>7</v>
      </c>
      <c r="X374" s="151">
        <v>12</v>
      </c>
      <c r="Y374" s="40"/>
      <c r="Z374" s="166" t="str">
        <f>INDEX(Tableau2[TS],MATCH(Tableau3[[#This Row],[ID-CARTEVOIE]],Tableau2[ID-CARTEVOIE],0))</f>
        <v>ET</v>
      </c>
      <c r="AA374" s="81" t="s">
        <v>213</v>
      </c>
      <c r="AB374" s="226" t="str">
        <f>IFERROR(INDEX(Tableau5[Reserve],MATCH(Tableau3[[#This Row],[ID-SIG]],Tableau5[ID],0))&amp;"","")</f>
        <v/>
      </c>
      <c r="AC374" s="119" t="s">
        <v>1456</v>
      </c>
      <c r="AD374" s="120" t="str">
        <f>INDEX(Tableau7[Repere],MATCH(Tableau3[[#This Row],[ID-API]],Tableau7[ID-API],0))&amp;""</f>
        <v>A2</v>
      </c>
      <c r="AE374" s="121" t="str">
        <f>INDEX(Tableau1[Repere-Rack],MATCH(Tableau3[[#This Row],[ID-RACK]],Tableau1[ID-RACK],0))&amp;""</f>
        <v>R2</v>
      </c>
      <c r="AF374" s="121" t="str">
        <f>INDEX(Tableau1[Repere-Slot],MATCH(Tableau3[[#This Row],[ID-SLOT]],Tableau1[ID-SLOT],0))&amp;""</f>
        <v>S7</v>
      </c>
      <c r="AG374" s="121" t="str">
        <f>INDEX(Tableau2[Repere-Voie],MATCH(Tableau3[[#This Row],[ID-VOIE]],Tableau2[ID-Voie],0))&amp;""</f>
        <v>v12</v>
      </c>
      <c r="AH374" s="122" t="str">
        <f>Tableau3[[#This Row],[ID-API]]&amp; "." &amp;Tableau3[[#This Row],[ID-RACK]]&amp; "." &amp;Tableau3[[#This Row],[ID-SLOT]]</f>
        <v>2.2.7</v>
      </c>
      <c r="AI374" s="72" t="str">
        <f>INDEX(Tableau1[Ref-Carte],MATCH(Tableau3[[#This Row],[ID-RRS]],Tableau1[ID-RRS],0))</f>
        <v>SDI1602</v>
      </c>
      <c r="AJ374" s="72" t="str">
        <f t="array" ref="AJ374">IFERROR(INDEX(Tableau2[TS],MATCH(1,(Tableau2[Ref-Carte]=Tableau3[[#This Row],[Ref-Carte2]])*(Tableau2[ID-Voie]=Tableau3[[#This Row],[ID-VOIE]]),0)),"")</f>
        <v>ET</v>
      </c>
      <c r="AK374" s="72" t="str">
        <f>IFERROR(INDEX(Tableau2[TS],SUMPRODUCT((Tableau2[Ref-Carte]=Tableau3[[#This Row],[Ref-Carte2]])*(Tableau2[ID-Voie]=Tableau3[[#This Row],[ID-VOIE]])*ROW(Tableau2[TS]))-ROW(Tableau2[#Headers])),"")</f>
        <v>ET</v>
      </c>
      <c r="AL374" s="122" t="str">
        <f>Tableau3[[#This Row],[Ref-Carte2]]&amp;"/"&amp;Tableau3[[#This Row],[ID-VOIE]]</f>
        <v>SDI1602/12</v>
      </c>
      <c r="AM374" s="123" t="str">
        <f>INDEX(Tableau2[Borne],MATCH(Tableau3[[#This Row],[ID-CARTEVOIE]],Tableau2[ID-CARTEVOIE],0))&amp;""</f>
        <v>6B</v>
      </c>
      <c r="AN374" s="124" t="str">
        <f>Tableau3[[#This Row],[ID-API]]&amp;Tableau3[[#This Row],[ID-RACK]]&amp;Tableau3[[#This Row],[ID-SLOT]]&amp;Tableau3[[#This Row],[BORNE]]</f>
        <v>2276B</v>
      </c>
      <c r="AO374" s="125"/>
    </row>
    <row r="375" spans="1:41" ht="20.100000000000001" customHeight="1" thickTop="1" thickBot="1">
      <c r="A375" s="110"/>
      <c r="B375" s="111" t="str">
        <f>IFERROR(INDEX(Tableau4[Date],MATCH($A375,Tableau4[EVO],0)),"")</f>
        <v/>
      </c>
      <c r="C375" s="112" t="str">
        <f>IFERROR(INDEX(Tableau4[Designation],MATCH($A375,Tableau4[EVO],0)),"")</f>
        <v/>
      </c>
      <c r="D375" s="110"/>
      <c r="E375" s="113"/>
      <c r="F375" s="146"/>
      <c r="G375" s="156" t="e">
        <f>INDEX(Tableau8[Att1],MATCH(Tableau3[[#This Row],[ID-INS]],Tableau8[ID],0))&amp;""</f>
        <v>#N/A</v>
      </c>
      <c r="H375" s="156" t="e">
        <f>INDEX(Tableau8[Att2],MATCH(Tableau3[[#This Row],[ID-INS]],Tableau8[ID],0))&amp;""</f>
        <v>#N/A</v>
      </c>
      <c r="I375" s="156" t="e">
        <f>INDEX(Tableau8[Att3],MATCH(Tableau3[[#This Row],[ID-INS]],Tableau8[ID],0))&amp;""</f>
        <v>#N/A</v>
      </c>
      <c r="J375" s="157"/>
      <c r="K375" s="167" t="e">
        <f>INDEX(Tableau8[Nom du modele],MATCH(Tableau3[[#This Row],[ID-INS]],Tableau8[ID],0))&amp;""</f>
        <v>#N/A</v>
      </c>
      <c r="L375" s="158" t="e">
        <f>INDEX(Tableau5[Att1],MATCH(Tableau3[[#This Row],[ID-SIG]],Tableau5[ID],0))&amp;""</f>
        <v>#N/A</v>
      </c>
      <c r="M375" s="158" t="e">
        <f>INDEX(Tableau5[Att2],MATCH(Tableau3[[#This Row],[ID-SIG]],Tableau5[ID],0))&amp;""</f>
        <v>#N/A</v>
      </c>
      <c r="N375" s="158" t="e">
        <f>INDEX(Tableau5[Att3],MATCH(Tableau3[[#This Row],[ID-SIG]],Tableau5[ID],0))&amp;""</f>
        <v>#N/A</v>
      </c>
      <c r="O375" s="159"/>
      <c r="P375" s="158" t="e">
        <f>INDEX(Tableau5[Description],MATCH(Tableau3[[#This Row],[ID-SIG]],Tableau5[ID],0))</f>
        <v>#N/A</v>
      </c>
      <c r="Q375" s="159"/>
      <c r="R375" s="128" t="e">
        <f>Tableau3[[#This Row],[Description]]</f>
        <v>#N/A</v>
      </c>
      <c r="S375" s="129"/>
      <c r="T375" s="129"/>
      <c r="U375" s="160">
        <v>2</v>
      </c>
      <c r="V375" s="160">
        <v>2</v>
      </c>
      <c r="W375" s="160">
        <v>7</v>
      </c>
      <c r="X375" s="160">
        <v>13</v>
      </c>
      <c r="Y375" s="40"/>
      <c r="Z375" s="166" t="str">
        <f>INDEX(Tableau2[TS],MATCH(Tableau3[[#This Row],[ID-CARTEVOIE]],Tableau2[ID-CARTEVOIE],0))</f>
        <v>ET</v>
      </c>
      <c r="AA375" s="81" t="s">
        <v>213</v>
      </c>
      <c r="AB375" s="226" t="str">
        <f>IFERROR(INDEX(Tableau5[Reserve],MATCH(Tableau3[[#This Row],[ID-SIG]],Tableau5[ID],0))&amp;"","")</f>
        <v/>
      </c>
      <c r="AC375" s="119" t="s">
        <v>1456</v>
      </c>
      <c r="AD375" s="120" t="str">
        <f>INDEX(Tableau7[Repere],MATCH(Tableau3[[#This Row],[ID-API]],Tableau7[ID-API],0))&amp;""</f>
        <v>A2</v>
      </c>
      <c r="AE375" s="121" t="str">
        <f>INDEX(Tableau1[Repere-Rack],MATCH(Tableau3[[#This Row],[ID-RACK]],Tableau1[ID-RACK],0))&amp;""</f>
        <v>R2</v>
      </c>
      <c r="AF375" s="121" t="str">
        <f>INDEX(Tableau1[Repere-Slot],MATCH(Tableau3[[#This Row],[ID-SLOT]],Tableau1[ID-SLOT],0))&amp;""</f>
        <v>S7</v>
      </c>
      <c r="AG375" s="121" t="str">
        <f>INDEX(Tableau2[Repere-Voie],MATCH(Tableau3[[#This Row],[ID-VOIE]],Tableau2[ID-Voie],0))&amp;""</f>
        <v>v13</v>
      </c>
      <c r="AH375" s="122" t="str">
        <f>Tableau3[[#This Row],[ID-API]]&amp; "." &amp;Tableau3[[#This Row],[ID-RACK]]&amp; "." &amp;Tableau3[[#This Row],[ID-SLOT]]</f>
        <v>2.2.7</v>
      </c>
      <c r="AI375" s="72" t="str">
        <f>INDEX(Tableau1[Ref-Carte],MATCH(Tableau3[[#This Row],[ID-RRS]],Tableau1[ID-RRS],0))</f>
        <v>SDI1602</v>
      </c>
      <c r="AJ375" s="72" t="str">
        <f t="array" ref="AJ375">IFERROR(INDEX(Tableau2[TS],MATCH(1,(Tableau2[Ref-Carte]=Tableau3[[#This Row],[Ref-Carte2]])*(Tableau2[ID-Voie]=Tableau3[[#This Row],[ID-VOIE]]),0)),"")</f>
        <v>ET</v>
      </c>
      <c r="AK375" s="72" t="str">
        <f>IFERROR(INDEX(Tableau2[TS],SUMPRODUCT((Tableau2[Ref-Carte]=Tableau3[[#This Row],[Ref-Carte2]])*(Tableau2[ID-Voie]=Tableau3[[#This Row],[ID-VOIE]])*ROW(Tableau2[TS]))-ROW(Tableau2[#Headers])),"")</f>
        <v>ET</v>
      </c>
      <c r="AL375" s="122" t="str">
        <f>Tableau3[[#This Row],[Ref-Carte2]]&amp;"/"&amp;Tableau3[[#This Row],[ID-VOIE]]</f>
        <v>SDI1602/13</v>
      </c>
      <c r="AM375" s="123" t="str">
        <f>INDEX(Tableau2[Borne],MATCH(Tableau3[[#This Row],[ID-CARTEVOIE]],Tableau2[ID-CARTEVOIE],0))&amp;""</f>
        <v>6A</v>
      </c>
      <c r="AN375" s="124" t="str">
        <f>Tableau3[[#This Row],[ID-API]]&amp;Tableau3[[#This Row],[ID-RACK]]&amp;Tableau3[[#This Row],[ID-SLOT]]&amp;Tableau3[[#This Row],[BORNE]]</f>
        <v>2276A</v>
      </c>
      <c r="AO375" s="125"/>
    </row>
    <row r="376" spans="1:41" ht="20.100000000000001" customHeight="1" thickTop="1" thickBot="1">
      <c r="A376" s="110"/>
      <c r="B376" s="111" t="str">
        <f>IFERROR(INDEX(Tableau4[Date],MATCH($A376,Tableau4[EVO],0)),"")</f>
        <v/>
      </c>
      <c r="C376" s="112" t="str">
        <f>IFERROR(INDEX(Tableau4[Designation],MATCH($A376,Tableau4[EVO],0)),"")</f>
        <v/>
      </c>
      <c r="D376" s="110"/>
      <c r="E376" s="113"/>
      <c r="F376" s="146"/>
      <c r="G376" s="147" t="e">
        <f>INDEX(Tableau8[Att1],MATCH(Tableau3[[#This Row],[ID-INS]],Tableau8[ID],0))&amp;""</f>
        <v>#N/A</v>
      </c>
      <c r="H376" s="147" t="e">
        <f>INDEX(Tableau8[Att2],MATCH(Tableau3[[#This Row],[ID-INS]],Tableau8[ID],0))&amp;""</f>
        <v>#N/A</v>
      </c>
      <c r="I376" s="147" t="e">
        <f>INDEX(Tableau8[Att3],MATCH(Tableau3[[#This Row],[ID-INS]],Tableau8[ID],0))&amp;""</f>
        <v>#N/A</v>
      </c>
      <c r="J376" s="148"/>
      <c r="K376" s="167" t="e">
        <f>INDEX(Tableau8[Nom du modele],MATCH(Tableau3[[#This Row],[ID-INS]],Tableau8[ID],0))&amp;""</f>
        <v>#N/A</v>
      </c>
      <c r="L376" s="149" t="e">
        <f>INDEX(Tableau5[Att1],MATCH(Tableau3[[#This Row],[ID-SIG]],Tableau5[ID],0))&amp;""</f>
        <v>#N/A</v>
      </c>
      <c r="M376" s="149" t="e">
        <f>INDEX(Tableau5[Att2],MATCH(Tableau3[[#This Row],[ID-SIG]],Tableau5[ID],0))&amp;""</f>
        <v>#N/A</v>
      </c>
      <c r="N376" s="149" t="e">
        <f>INDEX(Tableau5[Att3],MATCH(Tableau3[[#This Row],[ID-SIG]],Tableau5[ID],0))&amp;""</f>
        <v>#N/A</v>
      </c>
      <c r="O376" s="150"/>
      <c r="P376" s="149" t="e">
        <f>INDEX(Tableau5[Description],MATCH(Tableau3[[#This Row],[ID-SIG]],Tableau5[ID],0))</f>
        <v>#N/A</v>
      </c>
      <c r="Q376" s="150"/>
      <c r="R376" s="117" t="e">
        <f>Tableau3[[#This Row],[Description]]</f>
        <v>#N/A</v>
      </c>
      <c r="S376" s="75"/>
      <c r="T376" s="75"/>
      <c r="U376" s="151">
        <v>2</v>
      </c>
      <c r="V376" s="151">
        <v>2</v>
      </c>
      <c r="W376" s="151">
        <v>7</v>
      </c>
      <c r="X376" s="151">
        <v>14</v>
      </c>
      <c r="Y376" s="40"/>
      <c r="Z376" s="166" t="str">
        <f>INDEX(Tableau2[TS],MATCH(Tableau3[[#This Row],[ID-CARTEVOIE]],Tableau2[ID-CARTEVOIE],0))</f>
        <v>ET</v>
      </c>
      <c r="AA376" s="81" t="s">
        <v>213</v>
      </c>
      <c r="AB376" s="226" t="str">
        <f>IFERROR(INDEX(Tableau5[Reserve],MATCH(Tableau3[[#This Row],[ID-SIG]],Tableau5[ID],0))&amp;"","")</f>
        <v/>
      </c>
      <c r="AC376" s="119" t="s">
        <v>1456</v>
      </c>
      <c r="AD376" s="120" t="str">
        <f>INDEX(Tableau7[Repere],MATCH(Tableau3[[#This Row],[ID-API]],Tableau7[ID-API],0))&amp;""</f>
        <v>A2</v>
      </c>
      <c r="AE376" s="121" t="str">
        <f>INDEX(Tableau1[Repere-Rack],MATCH(Tableau3[[#This Row],[ID-RACK]],Tableau1[ID-RACK],0))&amp;""</f>
        <v>R2</v>
      </c>
      <c r="AF376" s="121" t="str">
        <f>INDEX(Tableau1[Repere-Slot],MATCH(Tableau3[[#This Row],[ID-SLOT]],Tableau1[ID-SLOT],0))&amp;""</f>
        <v>S7</v>
      </c>
      <c r="AG376" s="121" t="str">
        <f>INDEX(Tableau2[Repere-Voie],MATCH(Tableau3[[#This Row],[ID-VOIE]],Tableau2[ID-Voie],0))&amp;""</f>
        <v>v14</v>
      </c>
      <c r="AH376" s="122" t="str">
        <f>Tableau3[[#This Row],[ID-API]]&amp; "." &amp;Tableau3[[#This Row],[ID-RACK]]&amp; "." &amp;Tableau3[[#This Row],[ID-SLOT]]</f>
        <v>2.2.7</v>
      </c>
      <c r="AI376" s="72" t="str">
        <f>INDEX(Tableau1[Ref-Carte],MATCH(Tableau3[[#This Row],[ID-RRS]],Tableau1[ID-RRS],0))</f>
        <v>SDI1602</v>
      </c>
      <c r="AJ376" s="72" t="str">
        <f t="array" ref="AJ376">IFERROR(INDEX(Tableau2[TS],MATCH(1,(Tableau2[Ref-Carte]=Tableau3[[#This Row],[Ref-Carte2]])*(Tableau2[ID-Voie]=Tableau3[[#This Row],[ID-VOIE]]),0)),"")</f>
        <v>ET</v>
      </c>
      <c r="AK376" s="72" t="str">
        <f>IFERROR(INDEX(Tableau2[TS],SUMPRODUCT((Tableau2[Ref-Carte]=Tableau3[[#This Row],[Ref-Carte2]])*(Tableau2[ID-Voie]=Tableau3[[#This Row],[ID-VOIE]])*ROW(Tableau2[TS]))-ROW(Tableau2[#Headers])),"")</f>
        <v>ET</v>
      </c>
      <c r="AL376" s="122" t="str">
        <f>Tableau3[[#This Row],[Ref-Carte2]]&amp;"/"&amp;Tableau3[[#This Row],[ID-VOIE]]</f>
        <v>SDI1602/14</v>
      </c>
      <c r="AM376" s="123" t="str">
        <f>INDEX(Tableau2[Borne],MATCH(Tableau3[[#This Row],[ID-CARTEVOIE]],Tableau2[ID-CARTEVOIE],0))&amp;""</f>
        <v>7B</v>
      </c>
      <c r="AN376" s="124" t="str">
        <f>Tableau3[[#This Row],[ID-API]]&amp;Tableau3[[#This Row],[ID-RACK]]&amp;Tableau3[[#This Row],[ID-SLOT]]&amp;Tableau3[[#This Row],[BORNE]]</f>
        <v>2277B</v>
      </c>
      <c r="AO376" s="125"/>
    </row>
    <row r="377" spans="1:41" ht="20.100000000000001" customHeight="1" thickTop="1" thickBot="1">
      <c r="A377" s="110"/>
      <c r="B377" s="111" t="str">
        <f>IFERROR(INDEX(Tableau4[Date],MATCH($A377,Tableau4[EVO],0)),"")</f>
        <v/>
      </c>
      <c r="C377" s="112" t="str">
        <f>IFERROR(INDEX(Tableau4[Designation],MATCH($A377,Tableau4[EVO],0)),"")</f>
        <v/>
      </c>
      <c r="D377" s="110"/>
      <c r="E377" s="113"/>
      <c r="F377" s="146"/>
      <c r="G377" s="147" t="e">
        <f>INDEX(Tableau8[Att1],MATCH(Tableau3[[#This Row],[ID-INS]],Tableau8[ID],0))&amp;""</f>
        <v>#N/A</v>
      </c>
      <c r="H377" s="147" t="e">
        <f>INDEX(Tableau8[Att2],MATCH(Tableau3[[#This Row],[ID-INS]],Tableau8[ID],0))&amp;""</f>
        <v>#N/A</v>
      </c>
      <c r="I377" s="147" t="e">
        <f>INDEX(Tableau8[Att3],MATCH(Tableau3[[#This Row],[ID-INS]],Tableau8[ID],0))&amp;""</f>
        <v>#N/A</v>
      </c>
      <c r="J377" s="148"/>
      <c r="K377" s="167" t="e">
        <f>INDEX(Tableau8[Nom du modele],MATCH(Tableau3[[#This Row],[ID-INS]],Tableau8[ID],0))&amp;""</f>
        <v>#N/A</v>
      </c>
      <c r="L377" s="149" t="e">
        <f>INDEX(Tableau5[Att1],MATCH(Tableau3[[#This Row],[ID-SIG]],Tableau5[ID],0))&amp;""</f>
        <v>#N/A</v>
      </c>
      <c r="M377" s="149" t="e">
        <f>INDEX(Tableau5[Att2],MATCH(Tableau3[[#This Row],[ID-SIG]],Tableau5[ID],0))&amp;""</f>
        <v>#N/A</v>
      </c>
      <c r="N377" s="149" t="e">
        <f>INDEX(Tableau5[Att3],MATCH(Tableau3[[#This Row],[ID-SIG]],Tableau5[ID],0))&amp;""</f>
        <v>#N/A</v>
      </c>
      <c r="O377" s="150"/>
      <c r="P377" s="149" t="e">
        <f>INDEX(Tableau5[Description],MATCH(Tableau3[[#This Row],[ID-SIG]],Tableau5[ID],0))</f>
        <v>#N/A</v>
      </c>
      <c r="Q377" s="150"/>
      <c r="R377" s="117" t="e">
        <f>Tableau3[[#This Row],[Description]]</f>
        <v>#N/A</v>
      </c>
      <c r="S377" s="75"/>
      <c r="T377" s="75"/>
      <c r="U377" s="160">
        <v>2</v>
      </c>
      <c r="V377" s="160">
        <v>2</v>
      </c>
      <c r="W377" s="160">
        <v>7</v>
      </c>
      <c r="X377" s="160">
        <v>15</v>
      </c>
      <c r="Y377" s="40"/>
      <c r="Z377" s="166" t="str">
        <f>INDEX(Tableau2[TS],MATCH(Tableau3[[#This Row],[ID-CARTEVOIE]],Tableau2[ID-CARTEVOIE],0))</f>
        <v>ET</v>
      </c>
      <c r="AA377" s="81" t="s">
        <v>213</v>
      </c>
      <c r="AB377" s="226" t="str">
        <f>IFERROR(INDEX(Tableau5[Reserve],MATCH(Tableau3[[#This Row],[ID-SIG]],Tableau5[ID],0))&amp;"","")</f>
        <v/>
      </c>
      <c r="AC377" s="119" t="s">
        <v>1456</v>
      </c>
      <c r="AD377" s="120" t="str">
        <f>INDEX(Tableau7[Repere],MATCH(Tableau3[[#This Row],[ID-API]],Tableau7[ID-API],0))&amp;""</f>
        <v>A2</v>
      </c>
      <c r="AE377" s="121" t="str">
        <f>INDEX(Tableau1[Repere-Rack],MATCH(Tableau3[[#This Row],[ID-RACK]],Tableau1[ID-RACK],0))&amp;""</f>
        <v>R2</v>
      </c>
      <c r="AF377" s="121" t="str">
        <f>INDEX(Tableau1[Repere-Slot],MATCH(Tableau3[[#This Row],[ID-SLOT]],Tableau1[ID-SLOT],0))&amp;""</f>
        <v>S7</v>
      </c>
      <c r="AG377" s="121" t="str">
        <f>INDEX(Tableau2[Repere-Voie],MATCH(Tableau3[[#This Row],[ID-VOIE]],Tableau2[ID-Voie],0))&amp;""</f>
        <v>v15</v>
      </c>
      <c r="AH377" s="122" t="str">
        <f>Tableau3[[#This Row],[ID-API]]&amp; "." &amp;Tableau3[[#This Row],[ID-RACK]]&amp; "." &amp;Tableau3[[#This Row],[ID-SLOT]]</f>
        <v>2.2.7</v>
      </c>
      <c r="AI377" s="72" t="str">
        <f>INDEX(Tableau1[Ref-Carte],MATCH(Tableau3[[#This Row],[ID-RRS]],Tableau1[ID-RRS],0))</f>
        <v>SDI1602</v>
      </c>
      <c r="AJ377" s="72" t="str">
        <f t="array" ref="AJ377">IFERROR(INDEX(Tableau2[TS],MATCH(1,(Tableau2[Ref-Carte]=Tableau3[[#This Row],[Ref-Carte2]])*(Tableau2[ID-Voie]=Tableau3[[#This Row],[ID-VOIE]]),0)),"")</f>
        <v>ET</v>
      </c>
      <c r="AK377" s="72" t="str">
        <f>IFERROR(INDEX(Tableau2[TS],SUMPRODUCT((Tableau2[Ref-Carte]=Tableau3[[#This Row],[Ref-Carte2]])*(Tableau2[ID-Voie]=Tableau3[[#This Row],[ID-VOIE]])*ROW(Tableau2[TS]))-ROW(Tableau2[#Headers])),"")</f>
        <v>ET</v>
      </c>
      <c r="AL377" s="122" t="str">
        <f>Tableau3[[#This Row],[Ref-Carte2]]&amp;"/"&amp;Tableau3[[#This Row],[ID-VOIE]]</f>
        <v>SDI1602/15</v>
      </c>
      <c r="AM377" s="123" t="str">
        <f>INDEX(Tableau2[Borne],MATCH(Tableau3[[#This Row],[ID-CARTEVOIE]],Tableau2[ID-CARTEVOIE],0))&amp;""</f>
        <v>7A</v>
      </c>
      <c r="AN377" s="124" t="str">
        <f>Tableau3[[#This Row],[ID-API]]&amp;Tableau3[[#This Row],[ID-RACK]]&amp;Tableau3[[#This Row],[ID-SLOT]]&amp;Tableau3[[#This Row],[BORNE]]</f>
        <v>2277A</v>
      </c>
      <c r="AO377" s="125"/>
    </row>
    <row r="378" spans="1:41" ht="20.100000000000001" customHeight="1" thickTop="1" thickBot="1">
      <c r="A378" s="68"/>
      <c r="B378" s="69" t="str">
        <f>IFERROR(INDEX(Tableau4[Date],MATCH($A378,Tableau4[EVO],0)),"")</f>
        <v/>
      </c>
      <c r="C378" s="68" t="str">
        <f>IFERROR(INDEX(Tableau4[Designation],MATCH($A378,Tableau4[EVO],0)),"")</f>
        <v/>
      </c>
      <c r="D378" s="68"/>
      <c r="E378" s="70">
        <v>1</v>
      </c>
      <c r="F378" s="71">
        <v>198</v>
      </c>
      <c r="G378" s="101" t="str">
        <f>INDEX(Tableau8[Att1],MATCH(Tableau3[[#This Row],[ID-INS]],Tableau8[ID],0))&amp;""</f>
        <v>V12</v>
      </c>
      <c r="H378" s="101" t="str">
        <f>INDEX(Tableau8[Att2],MATCH(Tableau3[[#This Row],[ID-INS]],Tableau8[ID],0))&amp;""</f>
        <v>P1</v>
      </c>
      <c r="I378" s="101" t="str">
        <f>INDEX(Tableau8[Att3],MATCH(Tableau3[[#This Row],[ID-INS]],Tableau8[ID],0))&amp;""</f>
        <v>Portail P1</v>
      </c>
      <c r="J378" s="101"/>
      <c r="K378" s="167" t="str">
        <f>INDEX(Tableau8[Nom du modele],MATCH(Tableau3[[#This Row],[ID-INS]],Tableau8[ID],0))&amp;""</f>
        <v>PortailR2V_1</v>
      </c>
      <c r="L378" s="155" t="s">
        <v>1681</v>
      </c>
      <c r="M378" s="99" t="str">
        <f>INDEX(Tableau5[Att2],MATCH(Tableau3[[#This Row],[ID-SIG]],Tableau5[ID],0))&amp;""</f>
        <v/>
      </c>
      <c r="N378" s="99" t="str">
        <f>INDEX(Tableau5[Att3],MATCH(Tableau3[[#This Row],[ID-SIG]],Tableau5[ID],0))&amp;""</f>
        <v/>
      </c>
      <c r="O378" s="99"/>
      <c r="P378" s="155" t="s">
        <v>1682</v>
      </c>
      <c r="Q378" s="99"/>
      <c r="R378" s="103" t="str">
        <f>Tableau3[[#This Row],[Description]]</f>
        <v>Portail P1 - Sortie Réserve 2</v>
      </c>
      <c r="S378" s="86"/>
      <c r="U378" s="87">
        <v>3</v>
      </c>
      <c r="V378" s="87">
        <v>1</v>
      </c>
      <c r="W378" s="87">
        <v>2</v>
      </c>
      <c r="X378" s="87">
        <v>0</v>
      </c>
      <c r="Y378" s="41"/>
      <c r="Z378" s="165" t="str">
        <f>INDEX(Tableau2[TS],MATCH(Tableau3[[#This Row],[ID-CARTEVOIE]],Tableau2[ID-CARTEVOIE],0))</f>
        <v>ST</v>
      </c>
      <c r="AA378" s="53" t="s">
        <v>213</v>
      </c>
      <c r="AB378" s="223" t="str">
        <f>IFERROR(INDEX(Tableau5[Reserve],MATCH(Tableau3[[#This Row],[ID-SIG]],Tableau5[ID],0))&amp;"","")</f>
        <v/>
      </c>
      <c r="AC378" s="21"/>
      <c r="AD378" s="108" t="str">
        <f>INDEX(Tableau7[Repere],MATCH(Tableau3[[#This Row],[ID-API]],Tableau7[ID-API],0))&amp;""</f>
        <v>A3</v>
      </c>
      <c r="AE378" s="108" t="str">
        <f>INDEX(Tableau1[Repere-Rack],MATCH(Tableau3[[#This Row],[ID-RACK]],Tableau1[ID-RACK],0))&amp;""</f>
        <v>R1</v>
      </c>
      <c r="AF378" s="108" t="str">
        <f>INDEX(Tableau1[Repere-Slot],MATCH(Tableau3[[#This Row],[ID-SLOT]],Tableau1[ID-SLOT],0))&amp;""</f>
        <v>S2</v>
      </c>
      <c r="AG378" s="108" t="str">
        <f>INDEX(Tableau2[Repere-Voie],MATCH(Tableau3[[#This Row],[ID-VOIE]],Tableau2[ID-Voie],0))&amp;""</f>
        <v>v0</v>
      </c>
      <c r="AH378" s="72" t="str">
        <f>Tableau3[[#This Row],[ID-API]]&amp; "." &amp;Tableau3[[#This Row],[ID-RACK]]&amp; "." &amp;Tableau3[[#This Row],[ID-SLOT]]</f>
        <v>3.1.2</v>
      </c>
      <c r="AI378" s="72" t="str">
        <f>INDEX(Tableau1[Ref-Carte],MATCH(Tableau3[[#This Row],[ID-RRS]],Tableau1[ID-RRS],0))</f>
        <v>SDO0802</v>
      </c>
      <c r="AJ378" s="72" t="str">
        <f t="array" ref="AJ378">IFERROR(INDEX(Tableau2[TS],MATCH(1,(Tableau2[Ref-Carte]=Tableau3[[#This Row],[Ref-Carte2]])*(Tableau2[ID-Voie]=Tableau3[[#This Row],[ID-VOIE]]),0)),"")</f>
        <v>ST</v>
      </c>
      <c r="AK378" s="72" t="str">
        <f>IFERROR(INDEX(Tableau2[TS],SUMPRODUCT((Tableau2[Ref-Carte]=Tableau3[[#This Row],[Ref-Carte2]])*(Tableau2[ID-Voie]=Tableau3[[#This Row],[ID-VOIE]])*ROW(Tableau2[TS]))-ROW(Tableau2[#Headers])),"")</f>
        <v>ST</v>
      </c>
      <c r="AL378" s="72" t="str">
        <f>Tableau3[[#This Row],[Ref-Carte2]]&amp;"/"&amp;Tableau3[[#This Row],[ID-VOIE]]</f>
        <v>SDO0802/0</v>
      </c>
      <c r="AM378" s="73" t="str">
        <f>INDEX(Tableau2[Borne],MATCH(Tableau3[[#This Row],[ID-CARTEVOIE]],Tableau2[ID-CARTEVOIE],0))&amp;""</f>
        <v>0</v>
      </c>
      <c r="AN378" s="74" t="str">
        <f>Tableau3[[#This Row],[ID-API]]&amp;Tableau3[[#This Row],[ID-RACK]]&amp;Tableau3[[#This Row],[ID-SLOT]]&amp;Tableau3[[#This Row],[BORNE]]</f>
        <v>3120</v>
      </c>
      <c r="AO378" s="1"/>
    </row>
    <row r="379" spans="1:41" ht="20.100000000000001" customHeight="1" thickTop="1" thickBot="1">
      <c r="A379" s="68"/>
      <c r="B379" s="69" t="str">
        <f>IFERROR(INDEX(Tableau4[Date],MATCH($A379,Tableau4[EVO],0)),"")</f>
        <v/>
      </c>
      <c r="C379" s="68" t="str">
        <f>IFERROR(INDEX(Tableau4[Designation],MATCH($A379,Tableau4[EVO],0)),"")</f>
        <v/>
      </c>
      <c r="D379" s="68"/>
      <c r="E379" s="70">
        <v>1</v>
      </c>
      <c r="F379" s="71">
        <v>207</v>
      </c>
      <c r="G379" s="101" t="str">
        <f>INDEX(Tableau8[Att1],MATCH(Tableau3[[#This Row],[ID-INS]],Tableau8[ID],0))&amp;""</f>
        <v>V12</v>
      </c>
      <c r="H379" s="101" t="str">
        <f>INDEX(Tableau8[Att2],MATCH(Tableau3[[#This Row],[ID-INS]],Tableau8[ID],0))&amp;""</f>
        <v>P1</v>
      </c>
      <c r="I379" s="101" t="str">
        <f>INDEX(Tableau8[Att3],MATCH(Tableau3[[#This Row],[ID-INS]],Tableau8[ID],0))&amp;""</f>
        <v>Portail P1</v>
      </c>
      <c r="J379" s="101"/>
      <c r="K379" s="167" t="str">
        <f>INDEX(Tableau8[Nom du modele],MATCH(Tableau3[[#This Row],[ID-INS]],Tableau8[ID],0))&amp;""</f>
        <v>PortailR2V_1</v>
      </c>
      <c r="L379" s="99" t="str">
        <f>INDEX(Tableau5[Att1],MATCH(Tableau3[[#This Row],[ID-SIG]],Tableau5[ID],0))&amp;""</f>
        <v>V1_GrpHydCmd2</v>
      </c>
      <c r="M379" s="99" t="str">
        <f>INDEX(Tableau5[Att2],MATCH(Tableau3[[#This Row],[ID-SIG]],Tableau5[ID],0))&amp;""</f>
        <v/>
      </c>
      <c r="N379" s="99" t="str">
        <f>INDEX(Tableau5[Att3],MATCH(Tableau3[[#This Row],[ID-SIG]],Tableau5[ID],0))&amp;""</f>
        <v/>
      </c>
      <c r="O379" s="99"/>
      <c r="P379" s="99" t="str">
        <f>INDEX(Tableau5[Description],MATCH(Tableau3[[#This Row],[ID-SIG]],Tableau5[ID],0))</f>
        <v>Commande 2 marche groupe hydraulique vantail 1</v>
      </c>
      <c r="Q379" s="99"/>
      <c r="R379" s="103" t="str">
        <f>Tableau3[[#This Row],[Description]]</f>
        <v>Commande 2 marche groupe hydraulique vantail 1</v>
      </c>
      <c r="S379" s="86"/>
      <c r="U379" s="87">
        <v>3</v>
      </c>
      <c r="V379" s="87">
        <v>1</v>
      </c>
      <c r="W379" s="87">
        <v>2</v>
      </c>
      <c r="X379" s="87">
        <v>1</v>
      </c>
      <c r="Y379" s="41"/>
      <c r="Z379" s="165" t="str">
        <f>INDEX(Tableau2[TS],MATCH(Tableau3[[#This Row],[ID-CARTEVOIE]],Tableau2[ID-CARTEVOIE],0))</f>
        <v>ST</v>
      </c>
      <c r="AA379" s="53" t="s">
        <v>213</v>
      </c>
      <c r="AB379" s="223" t="str">
        <f>IFERROR(INDEX(Tableau5[Reserve],MATCH(Tableau3[[#This Row],[ID-SIG]],Tableau5[ID],0))&amp;"","")</f>
        <v/>
      </c>
      <c r="AC379" s="21"/>
      <c r="AD379" s="108" t="str">
        <f>INDEX(Tableau7[Repere],MATCH(Tableau3[[#This Row],[ID-API]],Tableau7[ID-API],0))&amp;""</f>
        <v>A3</v>
      </c>
      <c r="AE379" s="108" t="str">
        <f>INDEX(Tableau1[Repere-Rack],MATCH(Tableau3[[#This Row],[ID-RACK]],Tableau1[ID-RACK],0))&amp;""</f>
        <v>R1</v>
      </c>
      <c r="AF379" s="108" t="str">
        <f>INDEX(Tableau1[Repere-Slot],MATCH(Tableau3[[#This Row],[ID-SLOT]],Tableau1[ID-SLOT],0))&amp;""</f>
        <v>S2</v>
      </c>
      <c r="AG379" s="108" t="str">
        <f>INDEX(Tableau2[Repere-Voie],MATCH(Tableau3[[#This Row],[ID-VOIE]],Tableau2[ID-Voie],0))&amp;""</f>
        <v>v1</v>
      </c>
      <c r="AH379" s="72" t="str">
        <f>Tableau3[[#This Row],[ID-API]]&amp; "." &amp;Tableau3[[#This Row],[ID-RACK]]&amp; "." &amp;Tableau3[[#This Row],[ID-SLOT]]</f>
        <v>3.1.2</v>
      </c>
      <c r="AI379" s="72" t="str">
        <f>INDEX(Tableau1[Ref-Carte],MATCH(Tableau3[[#This Row],[ID-RRS]],Tableau1[ID-RRS],0))</f>
        <v>SDO0802</v>
      </c>
      <c r="AJ379" s="72" t="str">
        <f t="array" ref="AJ379">IFERROR(INDEX(Tableau2[TS],MATCH(1,(Tableau2[Ref-Carte]=Tableau3[[#This Row],[Ref-Carte2]])*(Tableau2[ID-Voie]=Tableau3[[#This Row],[ID-VOIE]]),0)),"")</f>
        <v>ST</v>
      </c>
      <c r="AK379" s="72" t="str">
        <f>IFERROR(INDEX(Tableau2[TS],SUMPRODUCT((Tableau2[Ref-Carte]=Tableau3[[#This Row],[Ref-Carte2]])*(Tableau2[ID-Voie]=Tableau3[[#This Row],[ID-VOIE]])*ROW(Tableau2[TS]))-ROW(Tableau2[#Headers])),"")</f>
        <v>ST</v>
      </c>
      <c r="AL379" s="72" t="str">
        <f>Tableau3[[#This Row],[Ref-Carte2]]&amp;"/"&amp;Tableau3[[#This Row],[ID-VOIE]]</f>
        <v>SDO0802/1</v>
      </c>
      <c r="AM379" s="73" t="str">
        <f>INDEX(Tableau2[Borne],MATCH(Tableau3[[#This Row],[ID-CARTEVOIE]],Tableau2[ID-CARTEVOIE],0))&amp;""</f>
        <v>1</v>
      </c>
      <c r="AN379" s="74" t="str">
        <f>Tableau3[[#This Row],[ID-API]]&amp;Tableau3[[#This Row],[ID-RACK]]&amp;Tableau3[[#This Row],[ID-SLOT]]&amp;Tableau3[[#This Row],[BORNE]]</f>
        <v>3121</v>
      </c>
      <c r="AO379" s="1"/>
    </row>
    <row r="380" spans="1:41" ht="20.100000000000001" customHeight="1" thickTop="1" thickBot="1">
      <c r="A380" s="68"/>
      <c r="B380" s="69" t="str">
        <f>IFERROR(INDEX(Tableau4[Date],MATCH($A380,Tableau4[EVO],0)),"")</f>
        <v/>
      </c>
      <c r="C380" s="68" t="str">
        <f>IFERROR(INDEX(Tableau4[Designation],MATCH($A380,Tableau4[EVO],0)),"")</f>
        <v/>
      </c>
      <c r="D380" s="68"/>
      <c r="E380" s="70">
        <v>1</v>
      </c>
      <c r="F380" s="71">
        <v>208</v>
      </c>
      <c r="G380" s="101" t="str">
        <f>INDEX(Tableau8[Att1],MATCH(Tableau3[[#This Row],[ID-INS]],Tableau8[ID],0))&amp;""</f>
        <v>V12</v>
      </c>
      <c r="H380" s="101" t="str">
        <f>INDEX(Tableau8[Att2],MATCH(Tableau3[[#This Row],[ID-INS]],Tableau8[ID],0))&amp;""</f>
        <v>P1</v>
      </c>
      <c r="I380" s="101" t="str">
        <f>INDEX(Tableau8[Att3],MATCH(Tableau3[[#This Row],[ID-INS]],Tableau8[ID],0))&amp;""</f>
        <v>Portail P1</v>
      </c>
      <c r="J380" s="101"/>
      <c r="K380" s="167" t="str">
        <f>INDEX(Tableau8[Nom du modele],MATCH(Tableau3[[#This Row],[ID-INS]],Tableau8[ID],0))&amp;""</f>
        <v>PortailR2V_1</v>
      </c>
      <c r="L380" s="99" t="str">
        <f>INDEX(Tableau5[Att1],MATCH(Tableau3[[#This Row],[ID-SIG]],Tableau5[ID],0))&amp;""</f>
        <v>V1_FerCmd2</v>
      </c>
      <c r="M380" s="99" t="str">
        <f>INDEX(Tableau5[Att2],MATCH(Tableau3[[#This Row],[ID-SIG]],Tableau5[ID],0))&amp;""</f>
        <v/>
      </c>
      <c r="N380" s="99" t="str">
        <f>INDEX(Tableau5[Att3],MATCH(Tableau3[[#This Row],[ID-SIG]],Tableau5[ID],0))&amp;""</f>
        <v/>
      </c>
      <c r="O380" s="99"/>
      <c r="P380" s="99" t="str">
        <f>INDEX(Tableau5[Description],MATCH(Tableau3[[#This Row],[ID-SIG]],Tableau5[ID],0))</f>
        <v>Commande 2 fermeture vantail 1</v>
      </c>
      <c r="Q380" s="99"/>
      <c r="R380" s="103" t="str">
        <f>Tableau3[[#This Row],[Description]]</f>
        <v>Commande 2 fermeture vantail 1</v>
      </c>
      <c r="S380" s="86"/>
      <c r="U380" s="87">
        <v>3</v>
      </c>
      <c r="V380" s="87">
        <v>1</v>
      </c>
      <c r="W380" s="87">
        <v>2</v>
      </c>
      <c r="X380" s="87">
        <v>2</v>
      </c>
      <c r="Y380" s="41"/>
      <c r="Z380" s="165" t="str">
        <f>INDEX(Tableau2[TS],MATCH(Tableau3[[#This Row],[ID-CARTEVOIE]],Tableau2[ID-CARTEVOIE],0))</f>
        <v>ST</v>
      </c>
      <c r="AA380" s="53" t="s">
        <v>213</v>
      </c>
      <c r="AB380" s="223" t="str">
        <f>IFERROR(INDEX(Tableau5[Reserve],MATCH(Tableau3[[#This Row],[ID-SIG]],Tableau5[ID],0))&amp;"","")</f>
        <v/>
      </c>
      <c r="AC380" s="21"/>
      <c r="AD380" s="108" t="str">
        <f>INDEX(Tableau7[Repere],MATCH(Tableau3[[#This Row],[ID-API]],Tableau7[ID-API],0))&amp;""</f>
        <v>A3</v>
      </c>
      <c r="AE380" s="108" t="str">
        <f>INDEX(Tableau1[Repere-Rack],MATCH(Tableau3[[#This Row],[ID-RACK]],Tableau1[ID-RACK],0))&amp;""</f>
        <v>R1</v>
      </c>
      <c r="AF380" s="108" t="str">
        <f>INDEX(Tableau1[Repere-Slot],MATCH(Tableau3[[#This Row],[ID-SLOT]],Tableau1[ID-SLOT],0))&amp;""</f>
        <v>S2</v>
      </c>
      <c r="AG380" s="108" t="str">
        <f>INDEX(Tableau2[Repere-Voie],MATCH(Tableau3[[#This Row],[ID-VOIE]],Tableau2[ID-Voie],0))&amp;""</f>
        <v>v2</v>
      </c>
      <c r="AH380" s="72" t="str">
        <f>Tableau3[[#This Row],[ID-API]]&amp; "." &amp;Tableau3[[#This Row],[ID-RACK]]&amp; "." &amp;Tableau3[[#This Row],[ID-SLOT]]</f>
        <v>3.1.2</v>
      </c>
      <c r="AI380" s="72" t="str">
        <f>INDEX(Tableau1[Ref-Carte],MATCH(Tableau3[[#This Row],[ID-RRS]],Tableau1[ID-RRS],0))</f>
        <v>SDO0802</v>
      </c>
      <c r="AJ380" s="72" t="str">
        <f t="array" ref="AJ380">IFERROR(INDEX(Tableau2[TS],MATCH(1,(Tableau2[Ref-Carte]=Tableau3[[#This Row],[Ref-Carte2]])*(Tableau2[ID-Voie]=Tableau3[[#This Row],[ID-VOIE]]),0)),"")</f>
        <v>ST</v>
      </c>
      <c r="AK380" s="72" t="str">
        <f>IFERROR(INDEX(Tableau2[TS],SUMPRODUCT((Tableau2[Ref-Carte]=Tableau3[[#This Row],[Ref-Carte2]])*(Tableau2[ID-Voie]=Tableau3[[#This Row],[ID-VOIE]])*ROW(Tableau2[TS]))-ROW(Tableau2[#Headers])),"")</f>
        <v>ST</v>
      </c>
      <c r="AL380" s="72" t="str">
        <f>Tableau3[[#This Row],[Ref-Carte2]]&amp;"/"&amp;Tableau3[[#This Row],[ID-VOIE]]</f>
        <v>SDO0802/2</v>
      </c>
      <c r="AM380" s="73" t="str">
        <f>INDEX(Tableau2[Borne],MATCH(Tableau3[[#This Row],[ID-CARTEVOIE]],Tableau2[ID-CARTEVOIE],0))&amp;""</f>
        <v>2</v>
      </c>
      <c r="AN380" s="74" t="str">
        <f>Tableau3[[#This Row],[ID-API]]&amp;Tableau3[[#This Row],[ID-RACK]]&amp;Tableau3[[#This Row],[ID-SLOT]]&amp;Tableau3[[#This Row],[BORNE]]</f>
        <v>3122</v>
      </c>
      <c r="AO380" s="1"/>
    </row>
    <row r="381" spans="1:41" ht="20.100000000000001" customHeight="1" thickTop="1" thickBot="1">
      <c r="A381" s="68"/>
      <c r="B381" s="69" t="str">
        <f>IFERROR(INDEX(Tableau4[Date],MATCH($A381,Tableau4[EVO],0)),"")</f>
        <v/>
      </c>
      <c r="C381" s="68" t="str">
        <f>IFERROR(INDEX(Tableau4[Designation],MATCH($A381,Tableau4[EVO],0)),"")</f>
        <v/>
      </c>
      <c r="D381" s="68"/>
      <c r="E381" s="70">
        <v>1</v>
      </c>
      <c r="F381" s="71">
        <v>229</v>
      </c>
      <c r="G381" s="101" t="str">
        <f>INDEX(Tableau8[Att1],MATCH(Tableau3[[#This Row],[ID-INS]],Tableau8[ID],0))&amp;""</f>
        <v>V12</v>
      </c>
      <c r="H381" s="101" t="str">
        <f>INDEX(Tableau8[Att2],MATCH(Tableau3[[#This Row],[ID-INS]],Tableau8[ID],0))&amp;""</f>
        <v>P1</v>
      </c>
      <c r="I381" s="101" t="str">
        <f>INDEX(Tableau8[Att3],MATCH(Tableau3[[#This Row],[ID-INS]],Tableau8[ID],0))&amp;""</f>
        <v>Portail P1</v>
      </c>
      <c r="J381" s="101"/>
      <c r="K381" s="167" t="str">
        <f>INDEX(Tableau8[Nom du modele],MATCH(Tableau3[[#This Row],[ID-INS]],Tableau8[ID],0))&amp;""</f>
        <v>PortailR2V_1</v>
      </c>
      <c r="L381" s="99" t="str">
        <f>INDEX(Tableau5[Att1],MATCH(Tableau3[[#This Row],[ID-SIG]],Tableau5[ID],0))&amp;""</f>
        <v>V2_SignalCmd</v>
      </c>
      <c r="M381" s="99" t="str">
        <f>INDEX(Tableau5[Att2],MATCH(Tableau3[[#This Row],[ID-SIG]],Tableau5[ID],0))&amp;""</f>
        <v/>
      </c>
      <c r="N381" s="99" t="str">
        <f>INDEX(Tableau5[Att3],MATCH(Tableau3[[#This Row],[ID-SIG]],Tableau5[ID],0))&amp;""</f>
        <v/>
      </c>
      <c r="O381" s="99"/>
      <c r="P381" s="99" t="str">
        <f>INDEX(Tableau5[Description],MATCH(Tableau3[[#This Row],[ID-SIG]],Tableau5[ID],0))</f>
        <v>Commande signalisation</v>
      </c>
      <c r="Q381" s="99"/>
      <c r="R381" s="103" t="str">
        <f>Tableau3[[#This Row],[Description]]</f>
        <v>Commande signalisation</v>
      </c>
      <c r="S381" s="86"/>
      <c r="U381" s="87">
        <v>3</v>
      </c>
      <c r="V381" s="87">
        <v>1</v>
      </c>
      <c r="W381" s="87">
        <v>2</v>
      </c>
      <c r="X381" s="87">
        <v>3</v>
      </c>
      <c r="Y381" s="41"/>
      <c r="Z381" s="165" t="str">
        <f>INDEX(Tableau2[TS],MATCH(Tableau3[[#This Row],[ID-CARTEVOIE]],Tableau2[ID-CARTEVOIE],0))</f>
        <v>ST</v>
      </c>
      <c r="AA381" s="53" t="s">
        <v>213</v>
      </c>
      <c r="AB381" s="223" t="str">
        <f>IFERROR(INDEX(Tableau5[Reserve],MATCH(Tableau3[[#This Row],[ID-SIG]],Tableau5[ID],0))&amp;"","")</f>
        <v/>
      </c>
      <c r="AC381" s="21"/>
      <c r="AD381" s="108" t="str">
        <f>INDEX(Tableau7[Repere],MATCH(Tableau3[[#This Row],[ID-API]],Tableau7[ID-API],0))&amp;""</f>
        <v>A3</v>
      </c>
      <c r="AE381" s="108" t="str">
        <f>INDEX(Tableau1[Repere-Rack],MATCH(Tableau3[[#This Row],[ID-RACK]],Tableau1[ID-RACK],0))&amp;""</f>
        <v>R1</v>
      </c>
      <c r="AF381" s="108" t="str">
        <f>INDEX(Tableau1[Repere-Slot],MATCH(Tableau3[[#This Row],[ID-SLOT]],Tableau1[ID-SLOT],0))&amp;""</f>
        <v>S2</v>
      </c>
      <c r="AG381" s="108" t="str">
        <f>INDEX(Tableau2[Repere-Voie],MATCH(Tableau3[[#This Row],[ID-VOIE]],Tableau2[ID-Voie],0))&amp;""</f>
        <v>v3</v>
      </c>
      <c r="AH381" s="72" t="str">
        <f>Tableau3[[#This Row],[ID-API]]&amp; "." &amp;Tableau3[[#This Row],[ID-RACK]]&amp; "." &amp;Tableau3[[#This Row],[ID-SLOT]]</f>
        <v>3.1.2</v>
      </c>
      <c r="AI381" s="72" t="str">
        <f>INDEX(Tableau1[Ref-Carte],MATCH(Tableau3[[#This Row],[ID-RRS]],Tableau1[ID-RRS],0))</f>
        <v>SDO0802</v>
      </c>
      <c r="AJ381" s="72" t="str">
        <f t="array" ref="AJ381">IFERROR(INDEX(Tableau2[TS],MATCH(1,(Tableau2[Ref-Carte]=Tableau3[[#This Row],[Ref-Carte2]])*(Tableau2[ID-Voie]=Tableau3[[#This Row],[ID-VOIE]]),0)),"")</f>
        <v>ST</v>
      </c>
      <c r="AK381" s="72" t="str">
        <f>IFERROR(INDEX(Tableau2[TS],SUMPRODUCT((Tableau2[Ref-Carte]=Tableau3[[#This Row],[Ref-Carte2]])*(Tableau2[ID-Voie]=Tableau3[[#This Row],[ID-VOIE]])*ROW(Tableau2[TS]))-ROW(Tableau2[#Headers])),"")</f>
        <v>ST</v>
      </c>
      <c r="AL381" s="72" t="str">
        <f>Tableau3[[#This Row],[Ref-Carte2]]&amp;"/"&amp;Tableau3[[#This Row],[ID-VOIE]]</f>
        <v>SDO0802/3</v>
      </c>
      <c r="AM381" s="73" t="str">
        <f>INDEX(Tableau2[Borne],MATCH(Tableau3[[#This Row],[ID-CARTEVOIE]],Tableau2[ID-CARTEVOIE],0))&amp;""</f>
        <v>3</v>
      </c>
      <c r="AN381" s="74" t="str">
        <f>Tableau3[[#This Row],[ID-API]]&amp;Tableau3[[#This Row],[ID-RACK]]&amp;Tableau3[[#This Row],[ID-SLOT]]&amp;Tableau3[[#This Row],[BORNE]]</f>
        <v>3123</v>
      </c>
      <c r="AO381" s="1"/>
    </row>
    <row r="382" spans="1:41" ht="20.100000000000001" customHeight="1" thickTop="1" thickBot="1">
      <c r="A382" s="68"/>
      <c r="B382" s="69" t="str">
        <f>IFERROR(INDEX(Tableau4[Date],MATCH($A382,Tableau4[EVO],0)),"")</f>
        <v/>
      </c>
      <c r="C382" s="68" t="str">
        <f>IFERROR(INDEX(Tableau4[Designation],MATCH($A382,Tableau4[EVO],0)),"")</f>
        <v/>
      </c>
      <c r="D382" s="68"/>
      <c r="E382" s="70">
        <v>1</v>
      </c>
      <c r="F382" s="71">
        <v>230</v>
      </c>
      <c r="G382" s="101" t="str">
        <f>INDEX(Tableau8[Att1],MATCH(Tableau3[[#This Row],[ID-INS]],Tableau8[ID],0))&amp;""</f>
        <v>V12</v>
      </c>
      <c r="H382" s="101" t="str">
        <f>INDEX(Tableau8[Att2],MATCH(Tableau3[[#This Row],[ID-INS]],Tableau8[ID],0))&amp;""</f>
        <v>P1</v>
      </c>
      <c r="I382" s="101" t="str">
        <f>INDEX(Tableau8[Att3],MATCH(Tableau3[[#This Row],[ID-INS]],Tableau8[ID],0))&amp;""</f>
        <v>Portail P1</v>
      </c>
      <c r="J382" s="101"/>
      <c r="K382" s="167" t="str">
        <f>INDEX(Tableau8[Nom du modele],MATCH(Tableau3[[#This Row],[ID-INS]],Tableau8[ID],0))&amp;""</f>
        <v>PortailR2V_1</v>
      </c>
      <c r="L382" s="99" t="str">
        <f>INDEX(Tableau5[Att1],MATCH(Tableau3[[#This Row],[ID-SIG]],Tableau5[ID],0))&amp;""</f>
        <v>V2_GrpHydCmd1</v>
      </c>
      <c r="M382" s="99" t="str">
        <f>INDEX(Tableau5[Att2],MATCH(Tableau3[[#This Row],[ID-SIG]],Tableau5[ID],0))&amp;""</f>
        <v/>
      </c>
      <c r="N382" s="99" t="str">
        <f>INDEX(Tableau5[Att3],MATCH(Tableau3[[#This Row],[ID-SIG]],Tableau5[ID],0))&amp;""</f>
        <v/>
      </c>
      <c r="O382" s="99"/>
      <c r="P382" s="99" t="str">
        <f>INDEX(Tableau5[Description],MATCH(Tableau3[[#This Row],[ID-SIG]],Tableau5[ID],0))</f>
        <v>Commande 1 marche groupe hydraulique vantail 2</v>
      </c>
      <c r="Q382" s="99"/>
      <c r="R382" s="103" t="str">
        <f>Tableau3[[#This Row],[Description]]</f>
        <v>Commande 1 marche groupe hydraulique vantail 2</v>
      </c>
      <c r="S382" s="86"/>
      <c r="U382" s="87">
        <v>3</v>
      </c>
      <c r="V382" s="87">
        <v>1</v>
      </c>
      <c r="W382" s="87">
        <v>2</v>
      </c>
      <c r="X382" s="87">
        <v>4</v>
      </c>
      <c r="Y382" s="41"/>
      <c r="Z382" s="165" t="str">
        <f>INDEX(Tableau2[TS],MATCH(Tableau3[[#This Row],[ID-CARTEVOIE]],Tableau2[ID-CARTEVOIE],0))</f>
        <v>ST</v>
      </c>
      <c r="AA382" s="53" t="s">
        <v>213</v>
      </c>
      <c r="AB382" s="223" t="str">
        <f>IFERROR(INDEX(Tableau5[Reserve],MATCH(Tableau3[[#This Row],[ID-SIG]],Tableau5[ID],0))&amp;"","")</f>
        <v/>
      </c>
      <c r="AC382" s="21"/>
      <c r="AD382" s="108" t="str">
        <f>INDEX(Tableau7[Repere],MATCH(Tableau3[[#This Row],[ID-API]],Tableau7[ID-API],0))&amp;""</f>
        <v>A3</v>
      </c>
      <c r="AE382" s="108" t="str">
        <f>INDEX(Tableau1[Repere-Rack],MATCH(Tableau3[[#This Row],[ID-RACK]],Tableau1[ID-RACK],0))&amp;""</f>
        <v>R1</v>
      </c>
      <c r="AF382" s="108" t="str">
        <f>INDEX(Tableau1[Repere-Slot],MATCH(Tableau3[[#This Row],[ID-SLOT]],Tableau1[ID-SLOT],0))&amp;""</f>
        <v>S2</v>
      </c>
      <c r="AG382" s="108" t="str">
        <f>INDEX(Tableau2[Repere-Voie],MATCH(Tableau3[[#This Row],[ID-VOIE]],Tableau2[ID-Voie],0))&amp;""</f>
        <v>v4</v>
      </c>
      <c r="AH382" s="72" t="str">
        <f>Tableau3[[#This Row],[ID-API]]&amp; "." &amp;Tableau3[[#This Row],[ID-RACK]]&amp; "." &amp;Tableau3[[#This Row],[ID-SLOT]]</f>
        <v>3.1.2</v>
      </c>
      <c r="AI382" s="72" t="str">
        <f>INDEX(Tableau1[Ref-Carte],MATCH(Tableau3[[#This Row],[ID-RRS]],Tableau1[ID-RRS],0))</f>
        <v>SDO0802</v>
      </c>
      <c r="AJ382" s="72" t="str">
        <f t="array" ref="AJ382">IFERROR(INDEX(Tableau2[TS],MATCH(1,(Tableau2[Ref-Carte]=Tableau3[[#This Row],[Ref-Carte2]])*(Tableau2[ID-Voie]=Tableau3[[#This Row],[ID-VOIE]]),0)),"")</f>
        <v>ST</v>
      </c>
      <c r="AK382" s="72" t="str">
        <f>IFERROR(INDEX(Tableau2[TS],SUMPRODUCT((Tableau2[Ref-Carte]=Tableau3[[#This Row],[Ref-Carte2]])*(Tableau2[ID-Voie]=Tableau3[[#This Row],[ID-VOIE]])*ROW(Tableau2[TS]))-ROW(Tableau2[#Headers])),"")</f>
        <v>ST</v>
      </c>
      <c r="AL382" s="72" t="str">
        <f>Tableau3[[#This Row],[Ref-Carte2]]&amp;"/"&amp;Tableau3[[#This Row],[ID-VOIE]]</f>
        <v>SDO0802/4</v>
      </c>
      <c r="AM382" s="73" t="str">
        <f>INDEX(Tableau2[Borne],MATCH(Tableau3[[#This Row],[ID-CARTEVOIE]],Tableau2[ID-CARTEVOIE],0))&amp;""</f>
        <v>4</v>
      </c>
      <c r="AN382" s="74" t="str">
        <f>Tableau3[[#This Row],[ID-API]]&amp;Tableau3[[#This Row],[ID-RACK]]&amp;Tableau3[[#This Row],[ID-SLOT]]&amp;Tableau3[[#This Row],[BORNE]]</f>
        <v>3124</v>
      </c>
      <c r="AO382" s="1"/>
    </row>
    <row r="383" spans="1:41" ht="20.100000000000001" customHeight="1" thickTop="1" thickBot="1">
      <c r="A383" s="68"/>
      <c r="B383" s="69" t="str">
        <f>IFERROR(INDEX(Tableau4[Date],MATCH($A383,Tableau4[EVO],0)),"")</f>
        <v/>
      </c>
      <c r="C383" s="68" t="str">
        <f>IFERROR(INDEX(Tableau4[Designation],MATCH($A383,Tableau4[EVO],0)),"")</f>
        <v/>
      </c>
      <c r="D383" s="68"/>
      <c r="E383" s="70">
        <v>1</v>
      </c>
      <c r="F383" s="71">
        <v>231</v>
      </c>
      <c r="G383" s="101" t="str">
        <f>INDEX(Tableau8[Att1],MATCH(Tableau3[[#This Row],[ID-INS]],Tableau8[ID],0))&amp;""</f>
        <v>V12</v>
      </c>
      <c r="H383" s="101" t="str">
        <f>INDEX(Tableau8[Att2],MATCH(Tableau3[[#This Row],[ID-INS]],Tableau8[ID],0))&amp;""</f>
        <v>P1</v>
      </c>
      <c r="I383" s="101" t="str">
        <f>INDEX(Tableau8[Att3],MATCH(Tableau3[[#This Row],[ID-INS]],Tableau8[ID],0))&amp;""</f>
        <v>Portail P1</v>
      </c>
      <c r="J383" s="101"/>
      <c r="K383" s="167" t="str">
        <f>INDEX(Tableau8[Nom du modele],MATCH(Tableau3[[#This Row],[ID-INS]],Tableau8[ID],0))&amp;""</f>
        <v>PortailR2V_1</v>
      </c>
      <c r="L383" s="99" t="str">
        <f>INDEX(Tableau5[Att1],MATCH(Tableau3[[#This Row],[ID-SIG]],Tableau5[ID],0))&amp;""</f>
        <v>V2_OuvCmd</v>
      </c>
      <c r="M383" s="99" t="str">
        <f>INDEX(Tableau5[Att2],MATCH(Tableau3[[#This Row],[ID-SIG]],Tableau5[ID],0))&amp;""</f>
        <v/>
      </c>
      <c r="N383" s="99" t="str">
        <f>INDEX(Tableau5[Att3],MATCH(Tableau3[[#This Row],[ID-SIG]],Tableau5[ID],0))&amp;""</f>
        <v/>
      </c>
      <c r="O383" s="99"/>
      <c r="P383" s="99" t="str">
        <f>INDEX(Tableau5[Description],MATCH(Tableau3[[#This Row],[ID-SIG]],Tableau5[ID],0))</f>
        <v>Commande ouverture vantail</v>
      </c>
      <c r="Q383" s="99"/>
      <c r="R383" s="103" t="str">
        <f>Tableau3[[#This Row],[Description]]</f>
        <v>Commande ouverture vantail</v>
      </c>
      <c r="S383" s="86"/>
      <c r="U383" s="87">
        <v>3</v>
      </c>
      <c r="V383" s="87">
        <v>1</v>
      </c>
      <c r="W383" s="87">
        <v>2</v>
      </c>
      <c r="X383" s="87">
        <v>5</v>
      </c>
      <c r="Y383" s="41"/>
      <c r="Z383" s="165" t="str">
        <f>INDEX(Tableau2[TS],MATCH(Tableau3[[#This Row],[ID-CARTEVOIE]],Tableau2[ID-CARTEVOIE],0))</f>
        <v>ST</v>
      </c>
      <c r="AA383" s="53" t="s">
        <v>213</v>
      </c>
      <c r="AB383" s="223" t="str">
        <f>IFERROR(INDEX(Tableau5[Reserve],MATCH(Tableau3[[#This Row],[ID-SIG]],Tableau5[ID],0))&amp;"","")</f>
        <v/>
      </c>
      <c r="AC383" s="21"/>
      <c r="AD383" s="108" t="str">
        <f>INDEX(Tableau7[Repere],MATCH(Tableau3[[#This Row],[ID-API]],Tableau7[ID-API],0))&amp;""</f>
        <v>A3</v>
      </c>
      <c r="AE383" s="108" t="str">
        <f>INDEX(Tableau1[Repere-Rack],MATCH(Tableau3[[#This Row],[ID-RACK]],Tableau1[ID-RACK],0))&amp;""</f>
        <v>R1</v>
      </c>
      <c r="AF383" s="108" t="str">
        <f>INDEX(Tableau1[Repere-Slot],MATCH(Tableau3[[#This Row],[ID-SLOT]],Tableau1[ID-SLOT],0))&amp;""</f>
        <v>S2</v>
      </c>
      <c r="AG383" s="108" t="str">
        <f>INDEX(Tableau2[Repere-Voie],MATCH(Tableau3[[#This Row],[ID-VOIE]],Tableau2[ID-Voie],0))&amp;""</f>
        <v>v5</v>
      </c>
      <c r="AH383" s="72" t="str">
        <f>Tableau3[[#This Row],[ID-API]]&amp; "." &amp;Tableau3[[#This Row],[ID-RACK]]&amp; "." &amp;Tableau3[[#This Row],[ID-SLOT]]</f>
        <v>3.1.2</v>
      </c>
      <c r="AI383" s="72" t="str">
        <f>INDEX(Tableau1[Ref-Carte],MATCH(Tableau3[[#This Row],[ID-RRS]],Tableau1[ID-RRS],0))</f>
        <v>SDO0802</v>
      </c>
      <c r="AJ383" s="72" t="str">
        <f t="array" ref="AJ383">IFERROR(INDEX(Tableau2[TS],MATCH(1,(Tableau2[Ref-Carte]=Tableau3[[#This Row],[Ref-Carte2]])*(Tableau2[ID-Voie]=Tableau3[[#This Row],[ID-VOIE]]),0)),"")</f>
        <v>ST</v>
      </c>
      <c r="AK383" s="72" t="str">
        <f>IFERROR(INDEX(Tableau2[TS],SUMPRODUCT((Tableau2[Ref-Carte]=Tableau3[[#This Row],[Ref-Carte2]])*(Tableau2[ID-Voie]=Tableau3[[#This Row],[ID-VOIE]])*ROW(Tableau2[TS]))-ROW(Tableau2[#Headers])),"")</f>
        <v>ST</v>
      </c>
      <c r="AL383" s="72" t="str">
        <f>Tableau3[[#This Row],[Ref-Carte2]]&amp;"/"&amp;Tableau3[[#This Row],[ID-VOIE]]</f>
        <v>SDO0802/5</v>
      </c>
      <c r="AM383" s="73" t="str">
        <f>INDEX(Tableau2[Borne],MATCH(Tableau3[[#This Row],[ID-CARTEVOIE]],Tableau2[ID-CARTEVOIE],0))&amp;""</f>
        <v>5</v>
      </c>
      <c r="AN383" s="74" t="str">
        <f>Tableau3[[#This Row],[ID-API]]&amp;Tableau3[[#This Row],[ID-RACK]]&amp;Tableau3[[#This Row],[ID-SLOT]]&amp;Tableau3[[#This Row],[BORNE]]</f>
        <v>3125</v>
      </c>
      <c r="AO383" s="1"/>
    </row>
    <row r="384" spans="1:41" ht="20.100000000000001" customHeight="1" thickTop="1" thickBot="1">
      <c r="A384" s="68"/>
      <c r="B384" s="69" t="str">
        <f>IFERROR(INDEX(Tableau4[Date],MATCH($A384,Tableau4[EVO],0)),"")</f>
        <v/>
      </c>
      <c r="C384" s="68" t="str">
        <f>IFERROR(INDEX(Tableau4[Designation],MATCH($A384,Tableau4[EVO],0)),"")</f>
        <v/>
      </c>
      <c r="D384" s="68"/>
      <c r="E384" s="70">
        <v>1</v>
      </c>
      <c r="F384" s="71">
        <v>232</v>
      </c>
      <c r="G384" s="101" t="str">
        <f>INDEX(Tableau8[Att1],MATCH(Tableau3[[#This Row],[ID-INS]],Tableau8[ID],0))&amp;""</f>
        <v>V12</v>
      </c>
      <c r="H384" s="101" t="str">
        <f>INDEX(Tableau8[Att2],MATCH(Tableau3[[#This Row],[ID-INS]],Tableau8[ID],0))&amp;""</f>
        <v>P1</v>
      </c>
      <c r="I384" s="101" t="str">
        <f>INDEX(Tableau8[Att3],MATCH(Tableau3[[#This Row],[ID-INS]],Tableau8[ID],0))&amp;""</f>
        <v>Portail P1</v>
      </c>
      <c r="J384" s="101"/>
      <c r="K384" s="167" t="str">
        <f>INDEX(Tableau8[Nom du modele],MATCH(Tableau3[[#This Row],[ID-INS]],Tableau8[ID],0))&amp;""</f>
        <v>PortailR2V_1</v>
      </c>
      <c r="L384" s="99" t="str">
        <f>INDEX(Tableau5[Att1],MATCH(Tableau3[[#This Row],[ID-SIG]],Tableau5[ID],0))&amp;""</f>
        <v>Réserve</v>
      </c>
      <c r="M384" s="99" t="str">
        <f>INDEX(Tableau5[Att2],MATCH(Tableau3[[#This Row],[ID-SIG]],Tableau5[ID],0))&amp;""</f>
        <v/>
      </c>
      <c r="N384" s="99" t="str">
        <f>INDEX(Tableau5[Att3],MATCH(Tableau3[[#This Row],[ID-SIG]],Tableau5[ID],0))&amp;""</f>
        <v/>
      </c>
      <c r="O384" s="99"/>
      <c r="P384" s="99" t="str">
        <f>INDEX(Tableau5[Description],MATCH(Tableau3[[#This Row],[ID-SIG]],Tableau5[ID],0))</f>
        <v>Réserve</v>
      </c>
      <c r="Q384" s="99"/>
      <c r="R384" s="103" t="str">
        <f>Tableau3[[#This Row],[Description]]</f>
        <v>Réserve</v>
      </c>
      <c r="S384" s="86"/>
      <c r="U384" s="87">
        <v>3</v>
      </c>
      <c r="V384" s="87">
        <v>1</v>
      </c>
      <c r="W384" s="87">
        <v>2</v>
      </c>
      <c r="X384" s="87">
        <v>6</v>
      </c>
      <c r="Y384" s="41"/>
      <c r="Z384" s="165" t="str">
        <f>INDEX(Tableau2[TS],MATCH(Tableau3[[#This Row],[ID-CARTEVOIE]],Tableau2[ID-CARTEVOIE],0))</f>
        <v>ST</v>
      </c>
      <c r="AA384" s="53" t="s">
        <v>213</v>
      </c>
      <c r="AB384" s="223" t="str">
        <f>IFERROR(INDEX(Tableau5[Reserve],MATCH(Tableau3[[#This Row],[ID-SIG]],Tableau5[ID],0))&amp;"","")</f>
        <v/>
      </c>
      <c r="AC384" s="21"/>
      <c r="AD384" s="108" t="str">
        <f>INDEX(Tableau7[Repere],MATCH(Tableau3[[#This Row],[ID-API]],Tableau7[ID-API],0))&amp;""</f>
        <v>A3</v>
      </c>
      <c r="AE384" s="108" t="str">
        <f>INDEX(Tableau1[Repere-Rack],MATCH(Tableau3[[#This Row],[ID-RACK]],Tableau1[ID-RACK],0))&amp;""</f>
        <v>R1</v>
      </c>
      <c r="AF384" s="108" t="str">
        <f>INDEX(Tableau1[Repere-Slot],MATCH(Tableau3[[#This Row],[ID-SLOT]],Tableau1[ID-SLOT],0))&amp;""</f>
        <v>S2</v>
      </c>
      <c r="AG384" s="108" t="str">
        <f>INDEX(Tableau2[Repere-Voie],MATCH(Tableau3[[#This Row],[ID-VOIE]],Tableau2[ID-Voie],0))&amp;""</f>
        <v>v6</v>
      </c>
      <c r="AH384" s="72" t="str">
        <f>Tableau3[[#This Row],[ID-API]]&amp; "." &amp;Tableau3[[#This Row],[ID-RACK]]&amp; "." &amp;Tableau3[[#This Row],[ID-SLOT]]</f>
        <v>3.1.2</v>
      </c>
      <c r="AI384" s="72" t="str">
        <f>INDEX(Tableau1[Ref-Carte],MATCH(Tableau3[[#This Row],[ID-RRS]],Tableau1[ID-RRS],0))</f>
        <v>SDO0802</v>
      </c>
      <c r="AJ384" s="72" t="str">
        <f t="array" ref="AJ384">IFERROR(INDEX(Tableau2[TS],MATCH(1,(Tableau2[Ref-Carte]=Tableau3[[#This Row],[Ref-Carte2]])*(Tableau2[ID-Voie]=Tableau3[[#This Row],[ID-VOIE]]),0)),"")</f>
        <v>ST</v>
      </c>
      <c r="AK384" s="72" t="str">
        <f>IFERROR(INDEX(Tableau2[TS],SUMPRODUCT((Tableau2[Ref-Carte]=Tableau3[[#This Row],[Ref-Carte2]])*(Tableau2[ID-Voie]=Tableau3[[#This Row],[ID-VOIE]])*ROW(Tableau2[TS]))-ROW(Tableau2[#Headers])),"")</f>
        <v>ST</v>
      </c>
      <c r="AL384" s="72" t="str">
        <f>Tableau3[[#This Row],[Ref-Carte2]]&amp;"/"&amp;Tableau3[[#This Row],[ID-VOIE]]</f>
        <v>SDO0802/6</v>
      </c>
      <c r="AM384" s="73" t="str">
        <f>INDEX(Tableau2[Borne],MATCH(Tableau3[[#This Row],[ID-CARTEVOIE]],Tableau2[ID-CARTEVOIE],0))&amp;""</f>
        <v>6</v>
      </c>
      <c r="AN384" s="74" t="str">
        <f>Tableau3[[#This Row],[ID-API]]&amp;Tableau3[[#This Row],[ID-RACK]]&amp;Tableau3[[#This Row],[ID-SLOT]]&amp;Tableau3[[#This Row],[BORNE]]</f>
        <v>3126</v>
      </c>
      <c r="AO384" s="1"/>
    </row>
    <row r="385" spans="1:41" ht="20.100000000000001" customHeight="1" thickTop="1" thickBot="1">
      <c r="A385" s="68"/>
      <c r="B385" s="69" t="str">
        <f>IFERROR(INDEX(Tableau4[Date],MATCH($A385,Tableau4[EVO],0)),"")</f>
        <v/>
      </c>
      <c r="C385" s="68" t="str">
        <f>IFERROR(INDEX(Tableau4[Designation],MATCH($A385,Tableau4[EVO],0)),"")</f>
        <v/>
      </c>
      <c r="D385" s="68"/>
      <c r="E385" s="70">
        <v>1</v>
      </c>
      <c r="F385" s="71">
        <v>233</v>
      </c>
      <c r="G385" s="101" t="str">
        <f>INDEX(Tableau8[Att1],MATCH(Tableau3[[#This Row],[ID-INS]],Tableau8[ID],0))&amp;""</f>
        <v>V12</v>
      </c>
      <c r="H385" s="101" t="str">
        <f>INDEX(Tableau8[Att2],MATCH(Tableau3[[#This Row],[ID-INS]],Tableau8[ID],0))&amp;""</f>
        <v>P1</v>
      </c>
      <c r="I385" s="101" t="str">
        <f>INDEX(Tableau8[Att3],MATCH(Tableau3[[#This Row],[ID-INS]],Tableau8[ID],0))&amp;""</f>
        <v>Portail P1</v>
      </c>
      <c r="J385" s="101"/>
      <c r="K385" s="167" t="str">
        <f>INDEX(Tableau8[Nom du modele],MATCH(Tableau3[[#This Row],[ID-INS]],Tableau8[ID],0))&amp;""</f>
        <v>PortailR2V_1</v>
      </c>
      <c r="L385" s="99" t="str">
        <f>INDEX(Tableau5[Att1],MATCH(Tableau3[[#This Row],[ID-SIG]],Tableau5[ID],0))&amp;""</f>
        <v>V2_FerCmd1</v>
      </c>
      <c r="M385" s="99" t="str">
        <f>INDEX(Tableau5[Att2],MATCH(Tableau3[[#This Row],[ID-SIG]],Tableau5[ID],0))&amp;""</f>
        <v/>
      </c>
      <c r="N385" s="99" t="str">
        <f>INDEX(Tableau5[Att3],MATCH(Tableau3[[#This Row],[ID-SIG]],Tableau5[ID],0))&amp;""</f>
        <v/>
      </c>
      <c r="O385" s="99"/>
      <c r="P385" s="99" t="str">
        <f>INDEX(Tableau5[Description],MATCH(Tableau3[[#This Row],[ID-SIG]],Tableau5[ID],0))</f>
        <v>Commande 1 fermeture vantail 2</v>
      </c>
      <c r="Q385" s="99"/>
      <c r="R385" s="103" t="str">
        <f>Tableau3[[#This Row],[Description]]</f>
        <v>Commande 1 fermeture vantail 2</v>
      </c>
      <c r="S385" s="86"/>
      <c r="U385" s="87">
        <v>3</v>
      </c>
      <c r="V385" s="87">
        <v>1</v>
      </c>
      <c r="W385" s="87">
        <v>2</v>
      </c>
      <c r="X385" s="87">
        <v>7</v>
      </c>
      <c r="Y385" s="41"/>
      <c r="Z385" s="165" t="str">
        <f>INDEX(Tableau2[TS],MATCH(Tableau3[[#This Row],[ID-CARTEVOIE]],Tableau2[ID-CARTEVOIE],0))</f>
        <v>ST</v>
      </c>
      <c r="AA385" s="53" t="s">
        <v>213</v>
      </c>
      <c r="AB385" s="223" t="str">
        <f>IFERROR(INDEX(Tableau5[Reserve],MATCH(Tableau3[[#This Row],[ID-SIG]],Tableau5[ID],0))&amp;"","")</f>
        <v/>
      </c>
      <c r="AC385" s="21"/>
      <c r="AD385" s="108" t="str">
        <f>INDEX(Tableau7[Repere],MATCH(Tableau3[[#This Row],[ID-API]],Tableau7[ID-API],0))&amp;""</f>
        <v>A3</v>
      </c>
      <c r="AE385" s="108" t="str">
        <f>INDEX(Tableau1[Repere-Rack],MATCH(Tableau3[[#This Row],[ID-RACK]],Tableau1[ID-RACK],0))&amp;""</f>
        <v>R1</v>
      </c>
      <c r="AF385" s="108" t="str">
        <f>INDEX(Tableau1[Repere-Slot],MATCH(Tableau3[[#This Row],[ID-SLOT]],Tableau1[ID-SLOT],0))&amp;""</f>
        <v>S2</v>
      </c>
      <c r="AG385" s="108" t="str">
        <f>INDEX(Tableau2[Repere-Voie],MATCH(Tableau3[[#This Row],[ID-VOIE]],Tableau2[ID-Voie],0))&amp;""</f>
        <v>v7</v>
      </c>
      <c r="AH385" s="72" t="str">
        <f>Tableau3[[#This Row],[ID-API]]&amp; "." &amp;Tableau3[[#This Row],[ID-RACK]]&amp; "." &amp;Tableau3[[#This Row],[ID-SLOT]]</f>
        <v>3.1.2</v>
      </c>
      <c r="AI385" s="72" t="str">
        <f>INDEX(Tableau1[Ref-Carte],MATCH(Tableau3[[#This Row],[ID-RRS]],Tableau1[ID-RRS],0))</f>
        <v>SDO0802</v>
      </c>
      <c r="AJ385" s="72" t="str">
        <f t="array" ref="AJ385">IFERROR(INDEX(Tableau2[TS],MATCH(1,(Tableau2[Ref-Carte]=Tableau3[[#This Row],[Ref-Carte2]])*(Tableau2[ID-Voie]=Tableau3[[#This Row],[ID-VOIE]]),0)),"")</f>
        <v>ST</v>
      </c>
      <c r="AK385" s="72" t="str">
        <f>IFERROR(INDEX(Tableau2[TS],SUMPRODUCT((Tableau2[Ref-Carte]=Tableau3[[#This Row],[Ref-Carte2]])*(Tableau2[ID-Voie]=Tableau3[[#This Row],[ID-VOIE]])*ROW(Tableau2[TS]))-ROW(Tableau2[#Headers])),"")</f>
        <v>ST</v>
      </c>
      <c r="AL385" s="72" t="str">
        <f>Tableau3[[#This Row],[Ref-Carte2]]&amp;"/"&amp;Tableau3[[#This Row],[ID-VOIE]]</f>
        <v>SDO0802/7</v>
      </c>
      <c r="AM385" s="73" t="str">
        <f>INDEX(Tableau2[Borne],MATCH(Tableau3[[#This Row],[ID-CARTEVOIE]],Tableau2[ID-CARTEVOIE],0))&amp;""</f>
        <v>7</v>
      </c>
      <c r="AN385" s="74" t="str">
        <f>Tableau3[[#This Row],[ID-API]]&amp;Tableau3[[#This Row],[ID-RACK]]&amp;Tableau3[[#This Row],[ID-SLOT]]&amp;Tableau3[[#This Row],[BORNE]]</f>
        <v>3127</v>
      </c>
      <c r="AO385" s="1"/>
    </row>
    <row r="386" spans="1:41" ht="20.100000000000001" customHeight="1" thickTop="1" thickBot="1">
      <c r="A386" s="68"/>
      <c r="B386" s="69" t="str">
        <f>IFERROR(INDEX(Tableau4[Date],MATCH($A386,Tableau4[EVO],0)),"")</f>
        <v/>
      </c>
      <c r="C386" s="68" t="str">
        <f>IFERROR(INDEX(Tableau4[Designation],MATCH($A386,Tableau4[EVO],0)),"")</f>
        <v/>
      </c>
      <c r="D386" s="68"/>
      <c r="E386" s="70">
        <v>2</v>
      </c>
      <c r="F386" s="71">
        <v>109</v>
      </c>
      <c r="G386" s="101" t="str">
        <f>INDEX(Tableau8[Att1],MATCH(Tableau3[[#This Row],[ID-INS]],Tableau8[ID],0))&amp;""</f>
        <v>V3</v>
      </c>
      <c r="H386" s="101" t="str">
        <f>INDEX(Tableau8[Att2],MATCH(Tableau3[[#This Row],[ID-INS]],Tableau8[ID],0))&amp;""</f>
        <v>P2</v>
      </c>
      <c r="I386" s="101" t="str">
        <f>INDEX(Tableau8[Att3],MATCH(Tableau3[[#This Row],[ID-INS]],Tableau8[ID],0))&amp;""</f>
        <v>Portail P2</v>
      </c>
      <c r="J386" s="101"/>
      <c r="K386" s="167" t="str">
        <f>INDEX(Tableau8[Nom du modele],MATCH(Tableau3[[#This Row],[ID-INS]],Tableau8[ID],0))&amp;""</f>
        <v>PortailR1V_1</v>
      </c>
      <c r="L386" s="99" t="str">
        <f>INDEX(Tableau5[Att1],MATCH(Tableau3[[#This Row],[ID-SIG]],Tableau5[ID],0))&amp;""</f>
        <v>V1_GrpHydCmd2</v>
      </c>
      <c r="M386" s="99" t="str">
        <f>INDEX(Tableau5[Att2],MATCH(Tableau3[[#This Row],[ID-SIG]],Tableau5[ID],0))&amp;""</f>
        <v/>
      </c>
      <c r="N386" s="99" t="str">
        <f>INDEX(Tableau5[Att3],MATCH(Tableau3[[#This Row],[ID-SIG]],Tableau5[ID],0))&amp;""</f>
        <v/>
      </c>
      <c r="O386" s="99"/>
      <c r="P386" s="99" t="str">
        <f>INDEX(Tableau5[Description],MATCH(Tableau3[[#This Row],[ID-SIG]],Tableau5[ID],0))</f>
        <v>Commande de marche 2 du groupe hydraulique</v>
      </c>
      <c r="Q386" s="99"/>
      <c r="R386" s="103" t="str">
        <f>Tableau3[[#This Row],[Description]]</f>
        <v>Commande de marche 2 du groupe hydraulique</v>
      </c>
      <c r="S386" s="52"/>
      <c r="U386" s="87">
        <v>3</v>
      </c>
      <c r="V386" s="87">
        <v>1</v>
      </c>
      <c r="W386" s="87">
        <v>3</v>
      </c>
      <c r="X386" s="87">
        <v>0</v>
      </c>
      <c r="Y386" s="41"/>
      <c r="Z386" s="165" t="str">
        <f>INDEX(Tableau2[TS],MATCH(Tableau3[[#This Row],[ID-CARTEVOIE]],Tableau2[ID-CARTEVOIE],0))</f>
        <v>ST</v>
      </c>
      <c r="AA386" s="53" t="s">
        <v>213</v>
      </c>
      <c r="AB386" s="223" t="str">
        <f>IFERROR(INDEX(Tableau5[Reserve],MATCH(Tableau3[[#This Row],[ID-SIG]],Tableau5[ID],0))&amp;"","")</f>
        <v/>
      </c>
      <c r="AC386" s="21"/>
      <c r="AD386" s="108" t="str">
        <f>INDEX(Tableau7[Repere],MATCH(Tableau3[[#This Row],[ID-API]],Tableau7[ID-API],0))&amp;""</f>
        <v>A3</v>
      </c>
      <c r="AE386" s="108" t="str">
        <f>INDEX(Tableau1[Repere-Rack],MATCH(Tableau3[[#This Row],[ID-RACK]],Tableau1[ID-RACK],0))&amp;""</f>
        <v>R1</v>
      </c>
      <c r="AF386" s="108" t="str">
        <f>INDEX(Tableau1[Repere-Slot],MATCH(Tableau3[[#This Row],[ID-SLOT]],Tableau1[ID-SLOT],0))&amp;""</f>
        <v>S3</v>
      </c>
      <c r="AG386" s="108" t="str">
        <f>INDEX(Tableau2[Repere-Voie],MATCH(Tableau3[[#This Row],[ID-VOIE]],Tableau2[ID-Voie],0))&amp;""</f>
        <v>v0</v>
      </c>
      <c r="AH386" s="72" t="str">
        <f>Tableau3[[#This Row],[ID-API]]&amp; "." &amp;Tableau3[[#This Row],[ID-RACK]]&amp; "." &amp;Tableau3[[#This Row],[ID-SLOT]]</f>
        <v>3.1.3</v>
      </c>
      <c r="AI386" s="72" t="str">
        <f>INDEX(Tableau1[Ref-Carte],MATCH(Tableau3[[#This Row],[ID-RRS]],Tableau1[ID-RRS],0))</f>
        <v>SDO0802</v>
      </c>
      <c r="AJ386" s="72" t="str">
        <f t="array" ref="AJ386">IFERROR(INDEX(Tableau2[TS],MATCH(1,(Tableau2[Ref-Carte]=Tableau3[[#This Row],[Ref-Carte2]])*(Tableau2[ID-Voie]=Tableau3[[#This Row],[ID-VOIE]]),0)),"")</f>
        <v>ST</v>
      </c>
      <c r="AK386" s="72" t="str">
        <f>IFERROR(INDEX(Tableau2[TS],SUMPRODUCT((Tableau2[Ref-Carte]=Tableau3[[#This Row],[Ref-Carte2]])*(Tableau2[ID-Voie]=Tableau3[[#This Row],[ID-VOIE]])*ROW(Tableau2[TS]))-ROW(Tableau2[#Headers])),"")</f>
        <v>ST</v>
      </c>
      <c r="AL386" s="72" t="str">
        <f>Tableau3[[#This Row],[Ref-Carte2]]&amp;"/"&amp;Tableau3[[#This Row],[ID-VOIE]]</f>
        <v>SDO0802/0</v>
      </c>
      <c r="AM386" s="73" t="str">
        <f>INDEX(Tableau2[Borne],MATCH(Tableau3[[#This Row],[ID-CARTEVOIE]],Tableau2[ID-CARTEVOIE],0))&amp;""</f>
        <v>0</v>
      </c>
      <c r="AN386" s="74" t="str">
        <f>Tableau3[[#This Row],[ID-API]]&amp;Tableau3[[#This Row],[ID-RACK]]&amp;Tableau3[[#This Row],[ID-SLOT]]&amp;Tableau3[[#This Row],[BORNE]]</f>
        <v>3130</v>
      </c>
      <c r="AO386" s="1"/>
    </row>
    <row r="387" spans="1:41" ht="20.100000000000001" customHeight="1" thickTop="1" thickBot="1">
      <c r="A387" s="68"/>
      <c r="B387" s="69" t="str">
        <f>IFERROR(INDEX(Tableau4[Date],MATCH($A387,Tableau4[EVO],0)),"")</f>
        <v/>
      </c>
      <c r="C387" s="68" t="str">
        <f>IFERROR(INDEX(Tableau4[Designation],MATCH($A387,Tableau4[EVO],0)),"")</f>
        <v/>
      </c>
      <c r="D387" s="68"/>
      <c r="E387" s="70">
        <v>2</v>
      </c>
      <c r="F387" s="71">
        <v>110</v>
      </c>
      <c r="G387" s="101" t="str">
        <f>INDEX(Tableau8[Att1],MATCH(Tableau3[[#This Row],[ID-INS]],Tableau8[ID],0))&amp;""</f>
        <v>V3</v>
      </c>
      <c r="H387" s="101" t="str">
        <f>INDEX(Tableau8[Att2],MATCH(Tableau3[[#This Row],[ID-INS]],Tableau8[ID],0))&amp;""</f>
        <v>P2</v>
      </c>
      <c r="I387" s="101" t="str">
        <f>INDEX(Tableau8[Att3],MATCH(Tableau3[[#This Row],[ID-INS]],Tableau8[ID],0))&amp;""</f>
        <v>Portail P2</v>
      </c>
      <c r="J387" s="101"/>
      <c r="K387" s="167" t="str">
        <f>INDEX(Tableau8[Nom du modele],MATCH(Tableau3[[#This Row],[ID-INS]],Tableau8[ID],0))&amp;""</f>
        <v>PortailR1V_1</v>
      </c>
      <c r="L387" s="99" t="str">
        <f>INDEX(Tableau5[Att1],MATCH(Tableau3[[#This Row],[ID-SIG]],Tableau5[ID],0))&amp;""</f>
        <v>V1_FerCmd2</v>
      </c>
      <c r="M387" s="99" t="str">
        <f>INDEX(Tableau5[Att2],MATCH(Tableau3[[#This Row],[ID-SIG]],Tableau5[ID],0))&amp;""</f>
        <v/>
      </c>
      <c r="N387" s="99" t="str">
        <f>INDEX(Tableau5[Att3],MATCH(Tableau3[[#This Row],[ID-SIG]],Tableau5[ID],0))&amp;""</f>
        <v/>
      </c>
      <c r="O387" s="99"/>
      <c r="P387" s="99" t="str">
        <f>INDEX(Tableau5[Description],MATCH(Tableau3[[#This Row],[ID-SIG]],Tableau5[ID],0))</f>
        <v>Commande de fermeture 2 du vantail 1</v>
      </c>
      <c r="Q387" s="99"/>
      <c r="R387" s="103" t="str">
        <f>Tableau3[[#This Row],[Description]]</f>
        <v>Commande de fermeture 2 du vantail 1</v>
      </c>
      <c r="S387" s="52"/>
      <c r="U387" s="87">
        <v>3</v>
      </c>
      <c r="V387" s="87">
        <v>1</v>
      </c>
      <c r="W387" s="87">
        <v>3</v>
      </c>
      <c r="X387" s="87">
        <v>1</v>
      </c>
      <c r="Y387" s="41"/>
      <c r="Z387" s="165" t="str">
        <f>INDEX(Tableau2[TS],MATCH(Tableau3[[#This Row],[ID-CARTEVOIE]],Tableau2[ID-CARTEVOIE],0))</f>
        <v>ST</v>
      </c>
      <c r="AA387" s="53" t="s">
        <v>213</v>
      </c>
      <c r="AB387" s="223" t="str">
        <f>IFERROR(INDEX(Tableau5[Reserve],MATCH(Tableau3[[#This Row],[ID-SIG]],Tableau5[ID],0))&amp;"","")</f>
        <v/>
      </c>
      <c r="AC387" s="21"/>
      <c r="AD387" s="108" t="str">
        <f>INDEX(Tableau7[Repere],MATCH(Tableau3[[#This Row],[ID-API]],Tableau7[ID-API],0))&amp;""</f>
        <v>A3</v>
      </c>
      <c r="AE387" s="108" t="str">
        <f>INDEX(Tableau1[Repere-Rack],MATCH(Tableau3[[#This Row],[ID-RACK]],Tableau1[ID-RACK],0))&amp;""</f>
        <v>R1</v>
      </c>
      <c r="AF387" s="108" t="str">
        <f>INDEX(Tableau1[Repere-Slot],MATCH(Tableau3[[#This Row],[ID-SLOT]],Tableau1[ID-SLOT],0))&amp;""</f>
        <v>S3</v>
      </c>
      <c r="AG387" s="108" t="str">
        <f>INDEX(Tableau2[Repere-Voie],MATCH(Tableau3[[#This Row],[ID-VOIE]],Tableau2[ID-Voie],0))&amp;""</f>
        <v>v1</v>
      </c>
      <c r="AH387" s="72" t="str">
        <f>Tableau3[[#This Row],[ID-API]]&amp; "." &amp;Tableau3[[#This Row],[ID-RACK]]&amp; "." &amp;Tableau3[[#This Row],[ID-SLOT]]</f>
        <v>3.1.3</v>
      </c>
      <c r="AI387" s="72" t="str">
        <f>INDEX(Tableau1[Ref-Carte],MATCH(Tableau3[[#This Row],[ID-RRS]],Tableau1[ID-RRS],0))</f>
        <v>SDO0802</v>
      </c>
      <c r="AJ387" s="72" t="str">
        <f t="array" ref="AJ387">IFERROR(INDEX(Tableau2[TS],MATCH(1,(Tableau2[Ref-Carte]=Tableau3[[#This Row],[Ref-Carte2]])*(Tableau2[ID-Voie]=Tableau3[[#This Row],[ID-VOIE]]),0)),"")</f>
        <v>ST</v>
      </c>
      <c r="AK387" s="72" t="str">
        <f>IFERROR(INDEX(Tableau2[TS],SUMPRODUCT((Tableau2[Ref-Carte]=Tableau3[[#This Row],[Ref-Carte2]])*(Tableau2[ID-Voie]=Tableau3[[#This Row],[ID-VOIE]])*ROW(Tableau2[TS]))-ROW(Tableau2[#Headers])),"")</f>
        <v>ST</v>
      </c>
      <c r="AL387" s="72" t="str">
        <f>Tableau3[[#This Row],[Ref-Carte2]]&amp;"/"&amp;Tableau3[[#This Row],[ID-VOIE]]</f>
        <v>SDO0802/1</v>
      </c>
      <c r="AM387" s="73" t="str">
        <f>INDEX(Tableau2[Borne],MATCH(Tableau3[[#This Row],[ID-CARTEVOIE]],Tableau2[ID-CARTEVOIE],0))&amp;""</f>
        <v>1</v>
      </c>
      <c r="AN387" s="74" t="str">
        <f>Tableau3[[#This Row],[ID-API]]&amp;Tableau3[[#This Row],[ID-RACK]]&amp;Tableau3[[#This Row],[ID-SLOT]]&amp;Tableau3[[#This Row],[BORNE]]</f>
        <v>3131</v>
      </c>
      <c r="AO387" s="1"/>
    </row>
    <row r="388" spans="1:41" ht="20.100000000000001" customHeight="1" thickTop="1" thickBot="1">
      <c r="A388" s="68"/>
      <c r="B388" s="69" t="str">
        <f>IFERROR(INDEX(Tableau4[Date],MATCH($A388,Tableau4[EVO],0)),"")</f>
        <v/>
      </c>
      <c r="C388" s="68" t="str">
        <f>IFERROR(INDEX(Tableau4[Designation],MATCH($A388,Tableau4[EVO],0)),"")</f>
        <v/>
      </c>
      <c r="D388" s="68"/>
      <c r="E388" s="70">
        <v>2</v>
      </c>
      <c r="F388" s="71">
        <v>111</v>
      </c>
      <c r="G388" s="101" t="str">
        <f>INDEX(Tableau8[Att1],MATCH(Tableau3[[#This Row],[ID-INS]],Tableau8[ID],0))&amp;""</f>
        <v>V3</v>
      </c>
      <c r="H388" s="101" t="str">
        <f>INDEX(Tableau8[Att2],MATCH(Tableau3[[#This Row],[ID-INS]],Tableau8[ID],0))&amp;""</f>
        <v>P2</v>
      </c>
      <c r="I388" s="101" t="str">
        <f>INDEX(Tableau8[Att3],MATCH(Tableau3[[#This Row],[ID-INS]],Tableau8[ID],0))&amp;""</f>
        <v>Portail P2</v>
      </c>
      <c r="J388" s="101"/>
      <c r="K388" s="167" t="str">
        <f>INDEX(Tableau8[Nom du modele],MATCH(Tableau3[[#This Row],[ID-INS]],Tableau8[ID],0))&amp;""</f>
        <v>PortailR1V_1</v>
      </c>
      <c r="L388" s="99" t="str">
        <f>INDEX(Tableau5[Att1],MATCH(Tableau3[[#This Row],[ID-SIG]],Tableau5[ID],0))&amp;""</f>
        <v>Vx_ARUCmd2</v>
      </c>
      <c r="M388" s="99" t="str">
        <f>INDEX(Tableau5[Att2],MATCH(Tableau3[[#This Row],[ID-SIG]],Tableau5[ID],0))&amp;""</f>
        <v/>
      </c>
      <c r="N388" s="99" t="str">
        <f>INDEX(Tableau5[Att3],MATCH(Tableau3[[#This Row],[ID-SIG]],Tableau5[ID],0))&amp;""</f>
        <v/>
      </c>
      <c r="O388" s="99"/>
      <c r="P388" s="99" t="str">
        <f>INDEX(Tableau5[Description],MATCH(Tableau3[[#This Row],[ID-SIG]],Tableau5[ID],0))</f>
        <v>Commande d'ARU 2</v>
      </c>
      <c r="Q388" s="99"/>
      <c r="R388" s="103" t="str">
        <f>Tableau3[[#This Row],[Description]]</f>
        <v>Commande d'ARU 2</v>
      </c>
      <c r="S388" s="52"/>
      <c r="U388" s="87">
        <v>3</v>
      </c>
      <c r="V388" s="87">
        <v>1</v>
      </c>
      <c r="W388" s="87">
        <v>3</v>
      </c>
      <c r="X388" s="87">
        <v>2</v>
      </c>
      <c r="Y388" s="41"/>
      <c r="Z388" s="165" t="str">
        <f>INDEX(Tableau2[TS],MATCH(Tableau3[[#This Row],[ID-CARTEVOIE]],Tableau2[ID-CARTEVOIE],0))</f>
        <v>ST</v>
      </c>
      <c r="AA388" s="53" t="s">
        <v>213</v>
      </c>
      <c r="AB388" s="223" t="str">
        <f>IFERROR(INDEX(Tableau5[Reserve],MATCH(Tableau3[[#This Row],[ID-SIG]],Tableau5[ID],0))&amp;"","")</f>
        <v/>
      </c>
      <c r="AC388" s="21"/>
      <c r="AD388" s="108" t="str">
        <f>INDEX(Tableau7[Repere],MATCH(Tableau3[[#This Row],[ID-API]],Tableau7[ID-API],0))&amp;""</f>
        <v>A3</v>
      </c>
      <c r="AE388" s="108" t="str">
        <f>INDEX(Tableau1[Repere-Rack],MATCH(Tableau3[[#This Row],[ID-RACK]],Tableau1[ID-RACK],0))&amp;""</f>
        <v>R1</v>
      </c>
      <c r="AF388" s="108" t="str">
        <f>INDEX(Tableau1[Repere-Slot],MATCH(Tableau3[[#This Row],[ID-SLOT]],Tableau1[ID-SLOT],0))&amp;""</f>
        <v>S3</v>
      </c>
      <c r="AG388" s="108" t="str">
        <f>INDEX(Tableau2[Repere-Voie],MATCH(Tableau3[[#This Row],[ID-VOIE]],Tableau2[ID-Voie],0))&amp;""</f>
        <v>v2</v>
      </c>
      <c r="AH388" s="72" t="str">
        <f>Tableau3[[#This Row],[ID-API]]&amp; "." &amp;Tableau3[[#This Row],[ID-RACK]]&amp; "." &amp;Tableau3[[#This Row],[ID-SLOT]]</f>
        <v>3.1.3</v>
      </c>
      <c r="AI388" s="72" t="str">
        <f>INDEX(Tableau1[Ref-Carte],MATCH(Tableau3[[#This Row],[ID-RRS]],Tableau1[ID-RRS],0))</f>
        <v>SDO0802</v>
      </c>
      <c r="AJ388" s="72" t="str">
        <f t="array" ref="AJ388">IFERROR(INDEX(Tableau2[TS],MATCH(1,(Tableau2[Ref-Carte]=Tableau3[[#This Row],[Ref-Carte2]])*(Tableau2[ID-Voie]=Tableau3[[#This Row],[ID-VOIE]]),0)),"")</f>
        <v>ST</v>
      </c>
      <c r="AK388" s="72" t="str">
        <f>IFERROR(INDEX(Tableau2[TS],SUMPRODUCT((Tableau2[Ref-Carte]=Tableau3[[#This Row],[Ref-Carte2]])*(Tableau2[ID-Voie]=Tableau3[[#This Row],[ID-VOIE]])*ROW(Tableau2[TS]))-ROW(Tableau2[#Headers])),"")</f>
        <v>ST</v>
      </c>
      <c r="AL388" s="72" t="str">
        <f>Tableau3[[#This Row],[Ref-Carte2]]&amp;"/"&amp;Tableau3[[#This Row],[ID-VOIE]]</f>
        <v>SDO0802/2</v>
      </c>
      <c r="AM388" s="73" t="str">
        <f>INDEX(Tableau2[Borne],MATCH(Tableau3[[#This Row],[ID-CARTEVOIE]],Tableau2[ID-CARTEVOIE],0))&amp;""</f>
        <v>2</v>
      </c>
      <c r="AN388" s="74" t="str">
        <f>Tableau3[[#This Row],[ID-API]]&amp;Tableau3[[#This Row],[ID-RACK]]&amp;Tableau3[[#This Row],[ID-SLOT]]&amp;Tableau3[[#This Row],[BORNE]]</f>
        <v>3132</v>
      </c>
      <c r="AO388" s="1"/>
    </row>
    <row r="389" spans="1:41" ht="20.100000000000001" customHeight="1" thickTop="1" thickBot="1">
      <c r="A389" s="68"/>
      <c r="B389" s="69" t="str">
        <f>IFERROR(INDEX(Tableau4[Date],MATCH($A389,Tableau4[EVO],0)),"")</f>
        <v/>
      </c>
      <c r="C389" s="68" t="str">
        <f>IFERROR(INDEX(Tableau4[Designation],MATCH($A389,Tableau4[EVO],0)),"")</f>
        <v/>
      </c>
      <c r="D389" s="68"/>
      <c r="E389" s="70">
        <v>4</v>
      </c>
      <c r="F389" s="71">
        <v>265</v>
      </c>
      <c r="G389" s="101" t="str">
        <f>INDEX(Tableau8[Att1],MATCH(Tableau3[[#This Row],[ID-INS]],Tableau8[ID],0))&amp;""</f>
        <v>V1</v>
      </c>
      <c r="H389" s="101" t="str">
        <f>INDEX(Tableau8[Att2],MATCH(Tableau3[[#This Row],[ID-INS]],Tableau8[ID],0))&amp;""</f>
        <v>P4</v>
      </c>
      <c r="I389" s="101" t="str">
        <f>INDEX(Tableau8[Att3],MATCH(Tableau3[[#This Row],[ID-INS]],Tableau8[ID],0))&amp;""</f>
        <v>Portail P4</v>
      </c>
      <c r="J389" s="101"/>
      <c r="K389" s="167" t="str">
        <f>INDEX(Tableau8[Nom du modele],MATCH(Tableau3[[#This Row],[ID-INS]],Tableau8[ID],0))&amp;""</f>
        <v>PortailBleuHydr_1</v>
      </c>
      <c r="L389" s="99" t="str">
        <f>INDEX(Tableau5[Att1],MATCH(Tableau3[[#This Row],[ID-SIG]],Tableau5[ID],0))&amp;""</f>
        <v>Vx_GrpHydCmd2</v>
      </c>
      <c r="M389" s="99" t="str">
        <f>INDEX(Tableau5[Att2],MATCH(Tableau3[[#This Row],[ID-SIG]],Tableau5[ID],0))&amp;""</f>
        <v/>
      </c>
      <c r="N389" s="99" t="str">
        <f>INDEX(Tableau5[Att3],MATCH(Tableau3[[#This Row],[ID-SIG]],Tableau5[ID],0))&amp;""</f>
        <v/>
      </c>
      <c r="O389" s="99"/>
      <c r="P389" s="99" t="str">
        <f>INDEX(Tableau5[Description],MATCH(Tableau3[[#This Row],[ID-SIG]],Tableau5[ID],0))</f>
        <v>Commande 2 groupe hydraulique</v>
      </c>
      <c r="Q389" s="99"/>
      <c r="R389" s="103" t="str">
        <f>Tableau3[[#This Row],[Description]]</f>
        <v>Commande 2 groupe hydraulique</v>
      </c>
      <c r="S389" s="52"/>
      <c r="U389" s="87">
        <v>3</v>
      </c>
      <c r="V389" s="87">
        <v>1</v>
      </c>
      <c r="W389" s="87">
        <v>3</v>
      </c>
      <c r="X389" s="87">
        <v>3</v>
      </c>
      <c r="Y389" s="41"/>
      <c r="Z389" s="165" t="str">
        <f>INDEX(Tableau2[TS],MATCH(Tableau3[[#This Row],[ID-CARTEVOIE]],Tableau2[ID-CARTEVOIE],0))</f>
        <v>ST</v>
      </c>
      <c r="AA389" s="53" t="s">
        <v>213</v>
      </c>
      <c r="AB389" s="223" t="str">
        <f>IFERROR(INDEX(Tableau5[Reserve],MATCH(Tableau3[[#This Row],[ID-SIG]],Tableau5[ID],0))&amp;"","")</f>
        <v/>
      </c>
      <c r="AC389" s="21"/>
      <c r="AD389" s="108" t="str">
        <f>INDEX(Tableau7[Repere],MATCH(Tableau3[[#This Row],[ID-API]],Tableau7[ID-API],0))&amp;""</f>
        <v>A3</v>
      </c>
      <c r="AE389" s="108" t="str">
        <f>INDEX(Tableau1[Repere-Rack],MATCH(Tableau3[[#This Row],[ID-RACK]],Tableau1[ID-RACK],0))&amp;""</f>
        <v>R1</v>
      </c>
      <c r="AF389" s="108" t="str">
        <f>INDEX(Tableau1[Repere-Slot],MATCH(Tableau3[[#This Row],[ID-SLOT]],Tableau1[ID-SLOT],0))&amp;""</f>
        <v>S3</v>
      </c>
      <c r="AG389" s="108" t="str">
        <f>INDEX(Tableau2[Repere-Voie],MATCH(Tableau3[[#This Row],[ID-VOIE]],Tableau2[ID-Voie],0))&amp;""</f>
        <v>v3</v>
      </c>
      <c r="AH389" s="72" t="str">
        <f>Tableau3[[#This Row],[ID-API]]&amp; "." &amp;Tableau3[[#This Row],[ID-RACK]]&amp; "." &amp;Tableau3[[#This Row],[ID-SLOT]]</f>
        <v>3.1.3</v>
      </c>
      <c r="AI389" s="72" t="str">
        <f>INDEX(Tableau1[Ref-Carte],MATCH(Tableau3[[#This Row],[ID-RRS]],Tableau1[ID-RRS],0))</f>
        <v>SDO0802</v>
      </c>
      <c r="AJ389" s="72" t="str">
        <f t="array" ref="AJ389">IFERROR(INDEX(Tableau2[TS],MATCH(1,(Tableau2[Ref-Carte]=Tableau3[[#This Row],[Ref-Carte2]])*(Tableau2[ID-Voie]=Tableau3[[#This Row],[ID-VOIE]]),0)),"")</f>
        <v>ST</v>
      </c>
      <c r="AK389" s="72" t="str">
        <f>IFERROR(INDEX(Tableau2[TS],SUMPRODUCT((Tableau2[Ref-Carte]=Tableau3[[#This Row],[Ref-Carte2]])*(Tableau2[ID-Voie]=Tableau3[[#This Row],[ID-VOIE]])*ROW(Tableau2[TS]))-ROW(Tableau2[#Headers])),"")</f>
        <v>ST</v>
      </c>
      <c r="AL389" s="72" t="str">
        <f>Tableau3[[#This Row],[Ref-Carte2]]&amp;"/"&amp;Tableau3[[#This Row],[ID-VOIE]]</f>
        <v>SDO0802/3</v>
      </c>
      <c r="AM389" s="73" t="str">
        <f>INDEX(Tableau2[Borne],MATCH(Tableau3[[#This Row],[ID-CARTEVOIE]],Tableau2[ID-CARTEVOIE],0))&amp;""</f>
        <v>3</v>
      </c>
      <c r="AN389" s="74" t="str">
        <f>Tableau3[[#This Row],[ID-API]]&amp;Tableau3[[#This Row],[ID-RACK]]&amp;Tableau3[[#This Row],[ID-SLOT]]&amp;Tableau3[[#This Row],[BORNE]]</f>
        <v>3133</v>
      </c>
      <c r="AO389" s="1"/>
    </row>
    <row r="390" spans="1:41" ht="20.100000000000001" customHeight="1" thickTop="1" thickBot="1">
      <c r="A390" s="68"/>
      <c r="B390" s="69" t="str">
        <f>IFERROR(INDEX(Tableau4[Date],MATCH($A390,Tableau4[EVO],0)),"")</f>
        <v/>
      </c>
      <c r="C390" s="68" t="str">
        <f>IFERROR(INDEX(Tableau4[Designation],MATCH($A390,Tableau4[EVO],0)),"")</f>
        <v/>
      </c>
      <c r="D390" s="68"/>
      <c r="E390" s="70">
        <v>4</v>
      </c>
      <c r="F390" s="71">
        <v>266</v>
      </c>
      <c r="G390" s="101" t="str">
        <f>INDEX(Tableau8[Att1],MATCH(Tableau3[[#This Row],[ID-INS]],Tableau8[ID],0))&amp;""</f>
        <v>V1</v>
      </c>
      <c r="H390" s="101" t="str">
        <f>INDEX(Tableau8[Att2],MATCH(Tableau3[[#This Row],[ID-INS]],Tableau8[ID],0))&amp;""</f>
        <v>P4</v>
      </c>
      <c r="I390" s="101" t="str">
        <f>INDEX(Tableau8[Att3],MATCH(Tableau3[[#This Row],[ID-INS]],Tableau8[ID],0))&amp;""</f>
        <v>Portail P4</v>
      </c>
      <c r="J390" s="101"/>
      <c r="K390" s="167" t="str">
        <f>INDEX(Tableau8[Nom du modele],MATCH(Tableau3[[#This Row],[ID-INS]],Tableau8[ID],0))&amp;""</f>
        <v>PortailBleuHydr_1</v>
      </c>
      <c r="L390" s="99" t="str">
        <f>INDEX(Tableau5[Att1],MATCH(Tableau3[[#This Row],[ID-SIG]],Tableau5[ID],0))&amp;""</f>
        <v>Vx_FerCmd2</v>
      </c>
      <c r="M390" s="99" t="str">
        <f>INDEX(Tableau5[Att2],MATCH(Tableau3[[#This Row],[ID-SIG]],Tableau5[ID],0))&amp;""</f>
        <v/>
      </c>
      <c r="N390" s="99" t="str">
        <f>INDEX(Tableau5[Att3],MATCH(Tableau3[[#This Row],[ID-SIG]],Tableau5[ID],0))&amp;""</f>
        <v/>
      </c>
      <c r="O390" s="99"/>
      <c r="P390" s="99" t="str">
        <f>INDEX(Tableau5[Description],MATCH(Tableau3[[#This Row],[ID-SIG]],Tableau5[ID],0))</f>
        <v>Commande 2 fermeture</v>
      </c>
      <c r="Q390" s="99"/>
      <c r="R390" s="103" t="str">
        <f>Tableau3[[#This Row],[Description]]</f>
        <v>Commande 2 fermeture</v>
      </c>
      <c r="S390" s="52"/>
      <c r="U390" s="87">
        <v>3</v>
      </c>
      <c r="V390" s="87">
        <v>1</v>
      </c>
      <c r="W390" s="87">
        <v>3</v>
      </c>
      <c r="X390" s="87">
        <v>4</v>
      </c>
      <c r="Y390" s="41"/>
      <c r="Z390" s="165" t="str">
        <f>INDEX(Tableau2[TS],MATCH(Tableau3[[#This Row],[ID-CARTEVOIE]],Tableau2[ID-CARTEVOIE],0))</f>
        <v>ST</v>
      </c>
      <c r="AA390" s="53" t="s">
        <v>213</v>
      </c>
      <c r="AB390" s="223" t="str">
        <f>IFERROR(INDEX(Tableau5[Reserve],MATCH(Tableau3[[#This Row],[ID-SIG]],Tableau5[ID],0))&amp;"","")</f>
        <v/>
      </c>
      <c r="AC390" s="21"/>
      <c r="AD390" s="108" t="str">
        <f>INDEX(Tableau7[Repere],MATCH(Tableau3[[#This Row],[ID-API]],Tableau7[ID-API],0))&amp;""</f>
        <v>A3</v>
      </c>
      <c r="AE390" s="108" t="str">
        <f>INDEX(Tableau1[Repere-Rack],MATCH(Tableau3[[#This Row],[ID-RACK]],Tableau1[ID-RACK],0))&amp;""</f>
        <v>R1</v>
      </c>
      <c r="AF390" s="108" t="str">
        <f>INDEX(Tableau1[Repere-Slot],MATCH(Tableau3[[#This Row],[ID-SLOT]],Tableau1[ID-SLOT],0))&amp;""</f>
        <v>S3</v>
      </c>
      <c r="AG390" s="108" t="str">
        <f>INDEX(Tableau2[Repere-Voie],MATCH(Tableau3[[#This Row],[ID-VOIE]],Tableau2[ID-Voie],0))&amp;""</f>
        <v>v4</v>
      </c>
      <c r="AH390" s="72" t="str">
        <f>Tableau3[[#This Row],[ID-API]]&amp; "." &amp;Tableau3[[#This Row],[ID-RACK]]&amp; "." &amp;Tableau3[[#This Row],[ID-SLOT]]</f>
        <v>3.1.3</v>
      </c>
      <c r="AI390" s="72" t="str">
        <f>INDEX(Tableau1[Ref-Carte],MATCH(Tableau3[[#This Row],[ID-RRS]],Tableau1[ID-RRS],0))</f>
        <v>SDO0802</v>
      </c>
      <c r="AJ390" s="72" t="str">
        <f t="array" ref="AJ390">IFERROR(INDEX(Tableau2[TS],MATCH(1,(Tableau2[Ref-Carte]=Tableau3[[#This Row],[Ref-Carte2]])*(Tableau2[ID-Voie]=Tableau3[[#This Row],[ID-VOIE]]),0)),"")</f>
        <v>ST</v>
      </c>
      <c r="AK390" s="72" t="str">
        <f>IFERROR(INDEX(Tableau2[TS],SUMPRODUCT((Tableau2[Ref-Carte]=Tableau3[[#This Row],[Ref-Carte2]])*(Tableau2[ID-Voie]=Tableau3[[#This Row],[ID-VOIE]])*ROW(Tableau2[TS]))-ROW(Tableau2[#Headers])),"")</f>
        <v>ST</v>
      </c>
      <c r="AL390" s="72" t="str">
        <f>Tableau3[[#This Row],[Ref-Carte2]]&amp;"/"&amp;Tableau3[[#This Row],[ID-VOIE]]</f>
        <v>SDO0802/4</v>
      </c>
      <c r="AM390" s="73" t="str">
        <f>INDEX(Tableau2[Borne],MATCH(Tableau3[[#This Row],[ID-CARTEVOIE]],Tableau2[ID-CARTEVOIE],0))&amp;""</f>
        <v>4</v>
      </c>
      <c r="AN390" s="74" t="str">
        <f>Tableau3[[#This Row],[ID-API]]&amp;Tableau3[[#This Row],[ID-RACK]]&amp;Tableau3[[#This Row],[ID-SLOT]]&amp;Tableau3[[#This Row],[BORNE]]</f>
        <v>3134</v>
      </c>
      <c r="AO390" s="1"/>
    </row>
    <row r="391" spans="1:41" ht="20.100000000000001" customHeight="1" thickTop="1" thickBot="1">
      <c r="A391" s="68"/>
      <c r="B391" s="69" t="str">
        <f>IFERROR(INDEX(Tableau4[Date],MATCH($A391,Tableau4[EVO],0)),"")</f>
        <v/>
      </c>
      <c r="C391" s="68" t="str">
        <f>IFERROR(INDEX(Tableau4[Designation],MATCH($A391,Tableau4[EVO],0)),"")</f>
        <v/>
      </c>
      <c r="D391" s="68"/>
      <c r="E391" s="70">
        <v>4</v>
      </c>
      <c r="F391" s="71">
        <v>267</v>
      </c>
      <c r="G391" s="101" t="str">
        <f>INDEX(Tableau8[Att1],MATCH(Tableau3[[#This Row],[ID-INS]],Tableau8[ID],0))&amp;""</f>
        <v>V1</v>
      </c>
      <c r="H391" s="101" t="str">
        <f>INDEX(Tableau8[Att2],MATCH(Tableau3[[#This Row],[ID-INS]],Tableau8[ID],0))&amp;""</f>
        <v>P4</v>
      </c>
      <c r="I391" s="101" t="str">
        <f>INDEX(Tableau8[Att3],MATCH(Tableau3[[#This Row],[ID-INS]],Tableau8[ID],0))&amp;""</f>
        <v>Portail P4</v>
      </c>
      <c r="J391" s="101"/>
      <c r="K391" s="167" t="str">
        <f>INDEX(Tableau8[Nom du modele],MATCH(Tableau3[[#This Row],[ID-INS]],Tableau8[ID],0))&amp;""</f>
        <v>PortailBleuHydr_1</v>
      </c>
      <c r="L391" s="155" t="s">
        <v>1681</v>
      </c>
      <c r="M391" s="99" t="str">
        <f>INDEX(Tableau5[Att2],MATCH(Tableau3[[#This Row],[ID-SIG]],Tableau5[ID],0))&amp;""</f>
        <v/>
      </c>
      <c r="N391" s="99" t="str">
        <f>INDEX(Tableau5[Att3],MATCH(Tableau3[[#This Row],[ID-SIG]],Tableau5[ID],0))&amp;""</f>
        <v/>
      </c>
      <c r="O391" s="99"/>
      <c r="P391" s="155" t="s">
        <v>1684</v>
      </c>
      <c r="Q391" s="99"/>
      <c r="R391" s="103" t="str">
        <f>Tableau3[[#This Row],[Description]]</f>
        <v>Portail P4 - Sortie Réserve 2</v>
      </c>
      <c r="S391" s="52"/>
      <c r="U391" s="87">
        <v>3</v>
      </c>
      <c r="V391" s="87">
        <v>1</v>
      </c>
      <c r="W391" s="87">
        <v>3</v>
      </c>
      <c r="X391" s="87">
        <v>5</v>
      </c>
      <c r="Y391" s="41"/>
      <c r="Z391" s="165" t="str">
        <f>INDEX(Tableau2[TS],MATCH(Tableau3[[#This Row],[ID-CARTEVOIE]],Tableau2[ID-CARTEVOIE],0))</f>
        <v>ST</v>
      </c>
      <c r="AA391" s="53" t="s">
        <v>213</v>
      </c>
      <c r="AB391" s="223" t="str">
        <f>IFERROR(INDEX(Tableau5[Reserve],MATCH(Tableau3[[#This Row],[ID-SIG]],Tableau5[ID],0))&amp;"","")</f>
        <v/>
      </c>
      <c r="AC391" s="21"/>
      <c r="AD391" s="108" t="str">
        <f>INDEX(Tableau7[Repere],MATCH(Tableau3[[#This Row],[ID-API]],Tableau7[ID-API],0))&amp;""</f>
        <v>A3</v>
      </c>
      <c r="AE391" s="108" t="str">
        <f>INDEX(Tableau1[Repere-Rack],MATCH(Tableau3[[#This Row],[ID-RACK]],Tableau1[ID-RACK],0))&amp;""</f>
        <v>R1</v>
      </c>
      <c r="AF391" s="108" t="str">
        <f>INDEX(Tableau1[Repere-Slot],MATCH(Tableau3[[#This Row],[ID-SLOT]],Tableau1[ID-SLOT],0))&amp;""</f>
        <v>S3</v>
      </c>
      <c r="AG391" s="108" t="str">
        <f>INDEX(Tableau2[Repere-Voie],MATCH(Tableau3[[#This Row],[ID-VOIE]],Tableau2[ID-Voie],0))&amp;""</f>
        <v>v5</v>
      </c>
      <c r="AH391" s="72" t="str">
        <f>Tableau3[[#This Row],[ID-API]]&amp; "." &amp;Tableau3[[#This Row],[ID-RACK]]&amp; "." &amp;Tableau3[[#This Row],[ID-SLOT]]</f>
        <v>3.1.3</v>
      </c>
      <c r="AI391" s="72" t="str">
        <f>INDEX(Tableau1[Ref-Carte],MATCH(Tableau3[[#This Row],[ID-RRS]],Tableau1[ID-RRS],0))</f>
        <v>SDO0802</v>
      </c>
      <c r="AJ391" s="72" t="str">
        <f t="array" ref="AJ391">IFERROR(INDEX(Tableau2[TS],MATCH(1,(Tableau2[Ref-Carte]=Tableau3[[#This Row],[Ref-Carte2]])*(Tableau2[ID-Voie]=Tableau3[[#This Row],[ID-VOIE]]),0)),"")</f>
        <v>ST</v>
      </c>
      <c r="AK391" s="72" t="str">
        <f>IFERROR(INDEX(Tableau2[TS],SUMPRODUCT((Tableau2[Ref-Carte]=Tableau3[[#This Row],[Ref-Carte2]])*(Tableau2[ID-Voie]=Tableau3[[#This Row],[ID-VOIE]])*ROW(Tableau2[TS]))-ROW(Tableau2[#Headers])),"")</f>
        <v>ST</v>
      </c>
      <c r="AL391" s="72" t="str">
        <f>Tableau3[[#This Row],[Ref-Carte2]]&amp;"/"&amp;Tableau3[[#This Row],[ID-VOIE]]</f>
        <v>SDO0802/5</v>
      </c>
      <c r="AM391" s="73" t="str">
        <f>INDEX(Tableau2[Borne],MATCH(Tableau3[[#This Row],[ID-CARTEVOIE]],Tableau2[ID-CARTEVOIE],0))&amp;""</f>
        <v>5</v>
      </c>
      <c r="AN391" s="74" t="str">
        <f>Tableau3[[#This Row],[ID-API]]&amp;Tableau3[[#This Row],[ID-RACK]]&amp;Tableau3[[#This Row],[ID-SLOT]]&amp;Tableau3[[#This Row],[BORNE]]</f>
        <v>3135</v>
      </c>
      <c r="AO391" s="1"/>
    </row>
    <row r="392" spans="1:41" ht="20.100000000000001" customHeight="1" thickTop="1" thickBot="1">
      <c r="A392" s="68"/>
      <c r="B392" s="69" t="str">
        <f>IFERROR(INDEX(Tableau4[Date],MATCH($A392,Tableau4[EVO],0)),"")</f>
        <v/>
      </c>
      <c r="C392" s="68" t="str">
        <f>IFERROR(INDEX(Tableau4[Designation],MATCH($A392,Tableau4[EVO],0)),"")</f>
        <v/>
      </c>
      <c r="D392" s="68"/>
      <c r="E392" s="70">
        <v>5</v>
      </c>
      <c r="F392" s="71">
        <v>273</v>
      </c>
      <c r="G392" s="101" t="str">
        <f>INDEX(Tableau8[Att1],MATCH(Tableau3[[#This Row],[ID-INS]],Tableau8[ID],0))&amp;""</f>
        <v>V2</v>
      </c>
      <c r="H392" s="101" t="str">
        <f>INDEX(Tableau8[Att2],MATCH(Tableau3[[#This Row],[ID-INS]],Tableau8[ID],0))&amp;""</f>
        <v>P5</v>
      </c>
      <c r="I392" s="101" t="str">
        <f>INDEX(Tableau8[Att3],MATCH(Tableau3[[#This Row],[ID-INS]],Tableau8[ID],0))&amp;""</f>
        <v>Portail P5</v>
      </c>
      <c r="J392" s="101"/>
      <c r="K392" s="167" t="str">
        <f>INDEX(Tableau8[Nom du modele],MATCH(Tableau3[[#This Row],[ID-INS]],Tableau8[ID],0))&amp;""</f>
        <v>PortailBleuHydr_1</v>
      </c>
      <c r="L392" s="99" t="str">
        <f>INDEX(Tableau5[Att1],MATCH(Tableau3[[#This Row],[ID-SIG]],Tableau5[ID],0))&amp;""</f>
        <v>Vx_GrpHydCmd1</v>
      </c>
      <c r="M392" s="99" t="str">
        <f>INDEX(Tableau5[Att2],MATCH(Tableau3[[#This Row],[ID-SIG]],Tableau5[ID],0))&amp;""</f>
        <v/>
      </c>
      <c r="N392" s="99" t="str">
        <f>INDEX(Tableau5[Att3],MATCH(Tableau3[[#This Row],[ID-SIG]],Tableau5[ID],0))&amp;""</f>
        <v/>
      </c>
      <c r="O392" s="99"/>
      <c r="P392" s="99" t="str">
        <f>INDEX(Tableau5[Description],MATCH(Tableau3[[#This Row],[ID-SIG]],Tableau5[ID],0))</f>
        <v>Commande 1 groupe hydraulique</v>
      </c>
      <c r="Q392" s="99"/>
      <c r="R392" s="103" t="str">
        <f>Tableau3[[#This Row],[Description]]</f>
        <v>Commande 1 groupe hydraulique</v>
      </c>
      <c r="S392" s="52"/>
      <c r="U392" s="87">
        <v>3</v>
      </c>
      <c r="V392" s="87">
        <v>1</v>
      </c>
      <c r="W392" s="87">
        <v>3</v>
      </c>
      <c r="X392" s="87">
        <v>6</v>
      </c>
      <c r="Y392" s="41"/>
      <c r="Z392" s="165" t="str">
        <f>INDEX(Tableau2[TS],MATCH(Tableau3[[#This Row],[ID-CARTEVOIE]],Tableau2[ID-CARTEVOIE],0))</f>
        <v>ST</v>
      </c>
      <c r="AA392" s="53" t="s">
        <v>213</v>
      </c>
      <c r="AB392" s="223" t="str">
        <f>IFERROR(INDEX(Tableau5[Reserve],MATCH(Tableau3[[#This Row],[ID-SIG]],Tableau5[ID],0))&amp;"","")</f>
        <v/>
      </c>
      <c r="AC392" s="21"/>
      <c r="AD392" s="108" t="str">
        <f>INDEX(Tableau7[Repere],MATCH(Tableau3[[#This Row],[ID-API]],Tableau7[ID-API],0))&amp;""</f>
        <v>A3</v>
      </c>
      <c r="AE392" s="108" t="str">
        <f>INDEX(Tableau1[Repere-Rack],MATCH(Tableau3[[#This Row],[ID-RACK]],Tableau1[ID-RACK],0))&amp;""</f>
        <v>R1</v>
      </c>
      <c r="AF392" s="108" t="str">
        <f>INDEX(Tableau1[Repere-Slot],MATCH(Tableau3[[#This Row],[ID-SLOT]],Tableau1[ID-SLOT],0))&amp;""</f>
        <v>S3</v>
      </c>
      <c r="AG392" s="108" t="str">
        <f>INDEX(Tableau2[Repere-Voie],MATCH(Tableau3[[#This Row],[ID-VOIE]],Tableau2[ID-Voie],0))&amp;""</f>
        <v>v6</v>
      </c>
      <c r="AH392" s="72" t="str">
        <f>Tableau3[[#This Row],[ID-API]]&amp; "." &amp;Tableau3[[#This Row],[ID-RACK]]&amp; "." &amp;Tableau3[[#This Row],[ID-SLOT]]</f>
        <v>3.1.3</v>
      </c>
      <c r="AI392" s="72" t="str">
        <f>INDEX(Tableau1[Ref-Carte],MATCH(Tableau3[[#This Row],[ID-RRS]],Tableau1[ID-RRS],0))</f>
        <v>SDO0802</v>
      </c>
      <c r="AJ392" s="72" t="str">
        <f t="array" ref="AJ392">IFERROR(INDEX(Tableau2[TS],MATCH(1,(Tableau2[Ref-Carte]=Tableau3[[#This Row],[Ref-Carte2]])*(Tableau2[ID-Voie]=Tableau3[[#This Row],[ID-VOIE]]),0)),"")</f>
        <v>ST</v>
      </c>
      <c r="AK392" s="72" t="str">
        <f>IFERROR(INDEX(Tableau2[TS],SUMPRODUCT((Tableau2[Ref-Carte]=Tableau3[[#This Row],[Ref-Carte2]])*(Tableau2[ID-Voie]=Tableau3[[#This Row],[ID-VOIE]])*ROW(Tableau2[TS]))-ROW(Tableau2[#Headers])),"")</f>
        <v>ST</v>
      </c>
      <c r="AL392" s="72" t="str">
        <f>Tableau3[[#This Row],[Ref-Carte2]]&amp;"/"&amp;Tableau3[[#This Row],[ID-VOIE]]</f>
        <v>SDO0802/6</v>
      </c>
      <c r="AM392" s="73" t="str">
        <f>INDEX(Tableau2[Borne],MATCH(Tableau3[[#This Row],[ID-CARTEVOIE]],Tableau2[ID-CARTEVOIE],0))&amp;""</f>
        <v>6</v>
      </c>
      <c r="AN392" s="74" t="str">
        <f>Tableau3[[#This Row],[ID-API]]&amp;Tableau3[[#This Row],[ID-RACK]]&amp;Tableau3[[#This Row],[ID-SLOT]]&amp;Tableau3[[#This Row],[BORNE]]</f>
        <v>3136</v>
      </c>
      <c r="AO392" s="1"/>
    </row>
    <row r="393" spans="1:41" ht="20.100000000000001" customHeight="1" thickTop="1" thickBot="1">
      <c r="A393" s="68"/>
      <c r="B393" s="69" t="str">
        <f>IFERROR(INDEX(Tableau4[Date],MATCH($A393,Tableau4[EVO],0)),"")</f>
        <v/>
      </c>
      <c r="C393" s="68" t="str">
        <f>IFERROR(INDEX(Tableau4[Designation],MATCH($A393,Tableau4[EVO],0)),"")</f>
        <v/>
      </c>
      <c r="D393" s="68"/>
      <c r="E393" s="70">
        <v>5</v>
      </c>
      <c r="F393" s="71">
        <v>274</v>
      </c>
      <c r="G393" s="101" t="str">
        <f>INDEX(Tableau8[Att1],MATCH(Tableau3[[#This Row],[ID-INS]],Tableau8[ID],0))&amp;""</f>
        <v>V2</v>
      </c>
      <c r="H393" s="101" t="str">
        <f>INDEX(Tableau8[Att2],MATCH(Tableau3[[#This Row],[ID-INS]],Tableau8[ID],0))&amp;""</f>
        <v>P5</v>
      </c>
      <c r="I393" s="101" t="str">
        <f>INDEX(Tableau8[Att3],MATCH(Tableau3[[#This Row],[ID-INS]],Tableau8[ID],0))&amp;""</f>
        <v>Portail P5</v>
      </c>
      <c r="J393" s="101"/>
      <c r="K393" s="167" t="str">
        <f>INDEX(Tableau8[Nom du modele],MATCH(Tableau3[[#This Row],[ID-INS]],Tableau8[ID],0))&amp;""</f>
        <v>PortailBleuHydr_1</v>
      </c>
      <c r="L393" s="99" t="str">
        <f>INDEX(Tableau5[Att1],MATCH(Tableau3[[#This Row],[ID-SIG]],Tableau5[ID],0))&amp;""</f>
        <v>Vx_OuvCmd</v>
      </c>
      <c r="M393" s="99" t="str">
        <f>INDEX(Tableau5[Att2],MATCH(Tableau3[[#This Row],[ID-SIG]],Tableau5[ID],0))&amp;""</f>
        <v/>
      </c>
      <c r="N393" s="99" t="str">
        <f>INDEX(Tableau5[Att3],MATCH(Tableau3[[#This Row],[ID-SIG]],Tableau5[ID],0))&amp;""</f>
        <v/>
      </c>
      <c r="O393" s="99"/>
      <c r="P393" s="99" t="str">
        <f>INDEX(Tableau5[Description],MATCH(Tableau3[[#This Row],[ID-SIG]],Tableau5[ID],0))</f>
        <v xml:space="preserve">Commande ouverture </v>
      </c>
      <c r="Q393" s="99"/>
      <c r="R393" s="103" t="str">
        <f>Tableau3[[#This Row],[Description]]</f>
        <v xml:space="preserve">Commande ouverture </v>
      </c>
      <c r="S393" s="52"/>
      <c r="U393" s="87">
        <v>3</v>
      </c>
      <c r="V393" s="87">
        <v>1</v>
      </c>
      <c r="W393" s="87">
        <v>3</v>
      </c>
      <c r="X393" s="87">
        <v>7</v>
      </c>
      <c r="Y393" s="41"/>
      <c r="Z393" s="165" t="str">
        <f>INDEX(Tableau2[TS],MATCH(Tableau3[[#This Row],[ID-CARTEVOIE]],Tableau2[ID-CARTEVOIE],0))</f>
        <v>ST</v>
      </c>
      <c r="AA393" s="53" t="s">
        <v>213</v>
      </c>
      <c r="AB393" s="223" t="str">
        <f>IFERROR(INDEX(Tableau5[Reserve],MATCH(Tableau3[[#This Row],[ID-SIG]],Tableau5[ID],0))&amp;"","")</f>
        <v/>
      </c>
      <c r="AC393" s="21"/>
      <c r="AD393" s="108" t="str">
        <f>INDEX(Tableau7[Repere],MATCH(Tableau3[[#This Row],[ID-API]],Tableau7[ID-API],0))&amp;""</f>
        <v>A3</v>
      </c>
      <c r="AE393" s="108" t="str">
        <f>INDEX(Tableau1[Repere-Rack],MATCH(Tableau3[[#This Row],[ID-RACK]],Tableau1[ID-RACK],0))&amp;""</f>
        <v>R1</v>
      </c>
      <c r="AF393" s="108" t="str">
        <f>INDEX(Tableau1[Repere-Slot],MATCH(Tableau3[[#This Row],[ID-SLOT]],Tableau1[ID-SLOT],0))&amp;""</f>
        <v>S3</v>
      </c>
      <c r="AG393" s="108" t="str">
        <f>INDEX(Tableau2[Repere-Voie],MATCH(Tableau3[[#This Row],[ID-VOIE]],Tableau2[ID-Voie],0))&amp;""</f>
        <v>v7</v>
      </c>
      <c r="AH393" s="72" t="str">
        <f>Tableau3[[#This Row],[ID-API]]&amp; "." &amp;Tableau3[[#This Row],[ID-RACK]]&amp; "." &amp;Tableau3[[#This Row],[ID-SLOT]]</f>
        <v>3.1.3</v>
      </c>
      <c r="AI393" s="72" t="str">
        <f>INDEX(Tableau1[Ref-Carte],MATCH(Tableau3[[#This Row],[ID-RRS]],Tableau1[ID-RRS],0))</f>
        <v>SDO0802</v>
      </c>
      <c r="AJ393" s="72" t="str">
        <f t="array" ref="AJ393">IFERROR(INDEX(Tableau2[TS],MATCH(1,(Tableau2[Ref-Carte]=Tableau3[[#This Row],[Ref-Carte2]])*(Tableau2[ID-Voie]=Tableau3[[#This Row],[ID-VOIE]]),0)),"")</f>
        <v>ST</v>
      </c>
      <c r="AK393" s="72" t="str">
        <f>IFERROR(INDEX(Tableau2[TS],SUMPRODUCT((Tableau2[Ref-Carte]=Tableau3[[#This Row],[Ref-Carte2]])*(Tableau2[ID-Voie]=Tableau3[[#This Row],[ID-VOIE]])*ROW(Tableau2[TS]))-ROW(Tableau2[#Headers])),"")</f>
        <v>ST</v>
      </c>
      <c r="AL393" s="72" t="str">
        <f>Tableau3[[#This Row],[Ref-Carte2]]&amp;"/"&amp;Tableau3[[#This Row],[ID-VOIE]]</f>
        <v>SDO0802/7</v>
      </c>
      <c r="AM393" s="73" t="str">
        <f>INDEX(Tableau2[Borne],MATCH(Tableau3[[#This Row],[ID-CARTEVOIE]],Tableau2[ID-CARTEVOIE],0))&amp;""</f>
        <v>7</v>
      </c>
      <c r="AN393" s="74" t="str">
        <f>Tableau3[[#This Row],[ID-API]]&amp;Tableau3[[#This Row],[ID-RACK]]&amp;Tableau3[[#This Row],[ID-SLOT]]&amp;Tableau3[[#This Row],[BORNE]]</f>
        <v>3137</v>
      </c>
      <c r="AO393" s="1"/>
    </row>
    <row r="394" spans="1:41" ht="20.100000000000001" customHeight="1" thickTop="1" thickBot="1">
      <c r="A394" s="68"/>
      <c r="B394" s="69" t="str">
        <f>IFERROR(INDEX(Tableau4[Date],MATCH($A394,Tableau4[EVO],0)),"")</f>
        <v/>
      </c>
      <c r="C394" s="68" t="str">
        <f>IFERROR(INDEX(Tableau4[Designation],MATCH($A394,Tableau4[EVO],0)),"")</f>
        <v/>
      </c>
      <c r="D394" s="68"/>
      <c r="E394" s="70">
        <v>5</v>
      </c>
      <c r="F394" s="71">
        <v>275</v>
      </c>
      <c r="G394" s="101" t="str">
        <f>INDEX(Tableau8[Att1],MATCH(Tableau3[[#This Row],[ID-INS]],Tableau8[ID],0))&amp;""</f>
        <v>V2</v>
      </c>
      <c r="H394" s="101" t="str">
        <f>INDEX(Tableau8[Att2],MATCH(Tableau3[[#This Row],[ID-INS]],Tableau8[ID],0))&amp;""</f>
        <v>P5</v>
      </c>
      <c r="I394" s="101" t="str">
        <f>INDEX(Tableau8[Att3],MATCH(Tableau3[[#This Row],[ID-INS]],Tableau8[ID],0))&amp;""</f>
        <v>Portail P5</v>
      </c>
      <c r="J394" s="101"/>
      <c r="K394" s="167" t="str">
        <f>INDEX(Tableau8[Nom du modele],MATCH(Tableau3[[#This Row],[ID-INS]],Tableau8[ID],0))&amp;""</f>
        <v>PortailBleuHydr_1</v>
      </c>
      <c r="L394" s="99" t="str">
        <f>INDEX(Tableau5[Att1],MATCH(Tableau3[[#This Row],[ID-SIG]],Tableau5[ID],0))&amp;""</f>
        <v>Vx_FerCmd1</v>
      </c>
      <c r="M394" s="99" t="str">
        <f>INDEX(Tableau5[Att2],MATCH(Tableau3[[#This Row],[ID-SIG]],Tableau5[ID],0))&amp;""</f>
        <v/>
      </c>
      <c r="N394" s="99" t="str">
        <f>INDEX(Tableau5[Att3],MATCH(Tableau3[[#This Row],[ID-SIG]],Tableau5[ID],0))&amp;""</f>
        <v/>
      </c>
      <c r="O394" s="99"/>
      <c r="P394" s="99" t="str">
        <f>INDEX(Tableau5[Description],MATCH(Tableau3[[#This Row],[ID-SIG]],Tableau5[ID],0))</f>
        <v>Commande 1 fermeture</v>
      </c>
      <c r="Q394" s="99"/>
      <c r="R394" s="103" t="str">
        <f>Tableau3[[#This Row],[Description]]</f>
        <v>Commande 1 fermeture</v>
      </c>
      <c r="S394" s="52"/>
      <c r="U394" s="87">
        <v>3</v>
      </c>
      <c r="V394" s="87">
        <v>1</v>
      </c>
      <c r="W394" s="87">
        <v>4</v>
      </c>
      <c r="X394" s="87">
        <v>0</v>
      </c>
      <c r="Y394" s="41"/>
      <c r="Z394" s="165" t="str">
        <f>INDEX(Tableau2[TS],MATCH(Tableau3[[#This Row],[ID-CARTEVOIE]],Tableau2[ID-CARTEVOIE],0))</f>
        <v>ST</v>
      </c>
      <c r="AA394" s="53" t="s">
        <v>213</v>
      </c>
      <c r="AB394" s="223" t="str">
        <f>IFERROR(INDEX(Tableau5[Reserve],MATCH(Tableau3[[#This Row],[ID-SIG]],Tableau5[ID],0))&amp;"","")</f>
        <v/>
      </c>
      <c r="AC394" s="21"/>
      <c r="AD394" s="108" t="str">
        <f>INDEX(Tableau7[Repere],MATCH(Tableau3[[#This Row],[ID-API]],Tableau7[ID-API],0))&amp;""</f>
        <v>A3</v>
      </c>
      <c r="AE394" s="108" t="str">
        <f>INDEX(Tableau1[Repere-Rack],MATCH(Tableau3[[#This Row],[ID-RACK]],Tableau1[ID-RACK],0))&amp;""</f>
        <v>R1</v>
      </c>
      <c r="AF394" s="108" t="str">
        <f>INDEX(Tableau1[Repere-Slot],MATCH(Tableau3[[#This Row],[ID-SLOT]],Tableau1[ID-SLOT],0))&amp;""</f>
        <v>S4</v>
      </c>
      <c r="AG394" s="108" t="str">
        <f>INDEX(Tableau2[Repere-Voie],MATCH(Tableau3[[#This Row],[ID-VOIE]],Tableau2[ID-Voie],0))&amp;""</f>
        <v>v0</v>
      </c>
      <c r="AH394" s="72" t="str">
        <f>Tableau3[[#This Row],[ID-API]]&amp; "." &amp;Tableau3[[#This Row],[ID-RACK]]&amp; "." &amp;Tableau3[[#This Row],[ID-SLOT]]</f>
        <v>3.1.4</v>
      </c>
      <c r="AI394" s="72" t="str">
        <f>INDEX(Tableau1[Ref-Carte],MATCH(Tableau3[[#This Row],[ID-RRS]],Tableau1[ID-RRS],0))</f>
        <v>SDO0802</v>
      </c>
      <c r="AJ394" s="72" t="str">
        <f t="array" ref="AJ394">IFERROR(INDEX(Tableau2[TS],MATCH(1,(Tableau2[Ref-Carte]=Tableau3[[#This Row],[Ref-Carte2]])*(Tableau2[ID-Voie]=Tableau3[[#This Row],[ID-VOIE]]),0)),"")</f>
        <v>ST</v>
      </c>
      <c r="AK394" s="72" t="str">
        <f>IFERROR(INDEX(Tableau2[TS],SUMPRODUCT((Tableau2[Ref-Carte]=Tableau3[[#This Row],[Ref-Carte2]])*(Tableau2[ID-Voie]=Tableau3[[#This Row],[ID-VOIE]])*ROW(Tableau2[TS]))-ROW(Tableau2[#Headers])),"")</f>
        <v>ST</v>
      </c>
      <c r="AL394" s="72" t="str">
        <f>Tableau3[[#This Row],[Ref-Carte2]]&amp;"/"&amp;Tableau3[[#This Row],[ID-VOIE]]</f>
        <v>SDO0802/0</v>
      </c>
      <c r="AM394" s="73" t="str">
        <f>INDEX(Tableau2[Borne],MATCH(Tableau3[[#This Row],[ID-CARTEVOIE]],Tableau2[ID-CARTEVOIE],0))&amp;""</f>
        <v>0</v>
      </c>
      <c r="AN394" s="74" t="str">
        <f>Tableau3[[#This Row],[ID-API]]&amp;Tableau3[[#This Row],[ID-RACK]]&amp;Tableau3[[#This Row],[ID-SLOT]]&amp;Tableau3[[#This Row],[BORNE]]</f>
        <v>3140</v>
      </c>
      <c r="AO394" s="1"/>
    </row>
    <row r="395" spans="1:41" ht="20.100000000000001" customHeight="1" thickTop="1" thickBot="1">
      <c r="A395" s="68"/>
      <c r="B395" s="69" t="str">
        <f>IFERROR(INDEX(Tableau4[Date],MATCH($A395,Tableau4[EVO],0)),"")</f>
        <v/>
      </c>
      <c r="C395" s="68" t="str">
        <f>IFERROR(INDEX(Tableau4[Designation],MATCH($A395,Tableau4[EVO],0)),"")</f>
        <v/>
      </c>
      <c r="D395" s="68"/>
      <c r="E395" s="70">
        <v>5</v>
      </c>
      <c r="F395" s="71">
        <v>276</v>
      </c>
      <c r="G395" s="101" t="str">
        <f>INDEX(Tableau8[Att1],MATCH(Tableau3[[#This Row],[ID-INS]],Tableau8[ID],0))&amp;""</f>
        <v>V2</v>
      </c>
      <c r="H395" s="101" t="str">
        <f>INDEX(Tableau8[Att2],MATCH(Tableau3[[#This Row],[ID-INS]],Tableau8[ID],0))&amp;""</f>
        <v>P5</v>
      </c>
      <c r="I395" s="101" t="str">
        <f>INDEX(Tableau8[Att3],MATCH(Tableau3[[#This Row],[ID-INS]],Tableau8[ID],0))&amp;""</f>
        <v>Portail P5</v>
      </c>
      <c r="J395" s="101"/>
      <c r="K395" s="167" t="str">
        <f>INDEX(Tableau8[Nom du modele],MATCH(Tableau3[[#This Row],[ID-INS]],Tableau8[ID],0))&amp;""</f>
        <v>PortailBleuHydr_1</v>
      </c>
      <c r="L395" s="99" t="str">
        <f>INDEX(Tableau5[Att1],MATCH(Tableau3[[#This Row],[ID-SIG]],Tableau5[ID],0))&amp;""</f>
        <v>Vx_SignalCmd</v>
      </c>
      <c r="M395" s="99" t="str">
        <f>INDEX(Tableau5[Att2],MATCH(Tableau3[[#This Row],[ID-SIG]],Tableau5[ID],0))&amp;""</f>
        <v/>
      </c>
      <c r="N395" s="99" t="str">
        <f>INDEX(Tableau5[Att3],MATCH(Tableau3[[#This Row],[ID-SIG]],Tableau5[ID],0))&amp;""</f>
        <v/>
      </c>
      <c r="O395" s="99"/>
      <c r="P395" s="99" t="str">
        <f>INDEX(Tableau5[Description],MATCH(Tableau3[[#This Row],[ID-SIG]],Tableau5[ID],0))</f>
        <v>Commande signalisation en mouvement</v>
      </c>
      <c r="Q395" s="99"/>
      <c r="R395" s="103" t="str">
        <f>Tableau3[[#This Row],[Description]]</f>
        <v>Commande signalisation en mouvement</v>
      </c>
      <c r="S395" s="52"/>
      <c r="U395" s="87">
        <v>3</v>
      </c>
      <c r="V395" s="87">
        <v>1</v>
      </c>
      <c r="W395" s="87">
        <v>4</v>
      </c>
      <c r="X395" s="87">
        <v>1</v>
      </c>
      <c r="Y395" s="41"/>
      <c r="Z395" s="165" t="str">
        <f>INDEX(Tableau2[TS],MATCH(Tableau3[[#This Row],[ID-CARTEVOIE]],Tableau2[ID-CARTEVOIE],0))</f>
        <v>ST</v>
      </c>
      <c r="AA395" s="53" t="s">
        <v>213</v>
      </c>
      <c r="AB395" s="223" t="str">
        <f>IFERROR(INDEX(Tableau5[Reserve],MATCH(Tableau3[[#This Row],[ID-SIG]],Tableau5[ID],0))&amp;"","")</f>
        <v/>
      </c>
      <c r="AC395" s="21"/>
      <c r="AD395" s="108" t="str">
        <f>INDEX(Tableau7[Repere],MATCH(Tableau3[[#This Row],[ID-API]],Tableau7[ID-API],0))&amp;""</f>
        <v>A3</v>
      </c>
      <c r="AE395" s="108" t="str">
        <f>INDEX(Tableau1[Repere-Rack],MATCH(Tableau3[[#This Row],[ID-RACK]],Tableau1[ID-RACK],0))&amp;""</f>
        <v>R1</v>
      </c>
      <c r="AF395" s="108" t="str">
        <f>INDEX(Tableau1[Repere-Slot],MATCH(Tableau3[[#This Row],[ID-SLOT]],Tableau1[ID-SLOT],0))&amp;""</f>
        <v>S4</v>
      </c>
      <c r="AG395" s="108" t="str">
        <f>INDEX(Tableau2[Repere-Voie],MATCH(Tableau3[[#This Row],[ID-VOIE]],Tableau2[ID-Voie],0))&amp;""</f>
        <v>v1</v>
      </c>
      <c r="AH395" s="72" t="str">
        <f>Tableau3[[#This Row],[ID-API]]&amp; "." &amp;Tableau3[[#This Row],[ID-RACK]]&amp; "." &amp;Tableau3[[#This Row],[ID-SLOT]]</f>
        <v>3.1.4</v>
      </c>
      <c r="AI395" s="72" t="str">
        <f>INDEX(Tableau1[Ref-Carte],MATCH(Tableau3[[#This Row],[ID-RRS]],Tableau1[ID-RRS],0))</f>
        <v>SDO0802</v>
      </c>
      <c r="AJ395" s="72" t="str">
        <f t="array" ref="AJ395">IFERROR(INDEX(Tableau2[TS],MATCH(1,(Tableau2[Ref-Carte]=Tableau3[[#This Row],[Ref-Carte2]])*(Tableau2[ID-Voie]=Tableau3[[#This Row],[ID-VOIE]]),0)),"")</f>
        <v>ST</v>
      </c>
      <c r="AK395" s="72" t="str">
        <f>IFERROR(INDEX(Tableau2[TS],SUMPRODUCT((Tableau2[Ref-Carte]=Tableau3[[#This Row],[Ref-Carte2]])*(Tableau2[ID-Voie]=Tableau3[[#This Row],[ID-VOIE]])*ROW(Tableau2[TS]))-ROW(Tableau2[#Headers])),"")</f>
        <v>ST</v>
      </c>
      <c r="AL395" s="72" t="str">
        <f>Tableau3[[#This Row],[Ref-Carte2]]&amp;"/"&amp;Tableau3[[#This Row],[ID-VOIE]]</f>
        <v>SDO0802/1</v>
      </c>
      <c r="AM395" s="73" t="str">
        <f>INDEX(Tableau2[Borne],MATCH(Tableau3[[#This Row],[ID-CARTEVOIE]],Tableau2[ID-CARTEVOIE],0))&amp;""</f>
        <v>1</v>
      </c>
      <c r="AN395" s="74" t="str">
        <f>Tableau3[[#This Row],[ID-API]]&amp;Tableau3[[#This Row],[ID-RACK]]&amp;Tableau3[[#This Row],[ID-SLOT]]&amp;Tableau3[[#This Row],[BORNE]]</f>
        <v>3141</v>
      </c>
      <c r="AO395" s="1"/>
    </row>
    <row r="396" spans="1:41" ht="20.100000000000001" customHeight="1" thickTop="1" thickBot="1">
      <c r="A396" s="68"/>
      <c r="B396" s="69" t="str">
        <f>IFERROR(INDEX(Tableau4[Date],MATCH($A396,Tableau4[EVO],0)),"")</f>
        <v/>
      </c>
      <c r="C396" s="68" t="str">
        <f>IFERROR(INDEX(Tableau4[Designation],MATCH($A396,Tableau4[EVO],0)),"")</f>
        <v/>
      </c>
      <c r="D396" s="68"/>
      <c r="E396" s="70">
        <v>5</v>
      </c>
      <c r="F396" s="71">
        <v>277</v>
      </c>
      <c r="G396" s="101" t="str">
        <f>INDEX(Tableau8[Att1],MATCH(Tableau3[[#This Row],[ID-INS]],Tableau8[ID],0))&amp;""</f>
        <v>V2</v>
      </c>
      <c r="H396" s="101" t="str">
        <f>INDEX(Tableau8[Att2],MATCH(Tableau3[[#This Row],[ID-INS]],Tableau8[ID],0))&amp;""</f>
        <v>P5</v>
      </c>
      <c r="I396" s="101" t="str">
        <f>INDEX(Tableau8[Att3],MATCH(Tableau3[[#This Row],[ID-INS]],Tableau8[ID],0))&amp;""</f>
        <v>Portail P5</v>
      </c>
      <c r="J396" s="101"/>
      <c r="K396" s="167" t="str">
        <f>INDEX(Tableau8[Nom du modele],MATCH(Tableau3[[#This Row],[ID-INS]],Tableau8[ID],0))&amp;""</f>
        <v>PortailBleuHydr_1</v>
      </c>
      <c r="L396" s="155" t="s">
        <v>1685</v>
      </c>
      <c r="M396" s="99" t="str">
        <f>INDEX(Tableau5[Att2],MATCH(Tableau3[[#This Row],[ID-SIG]],Tableau5[ID],0))&amp;""</f>
        <v/>
      </c>
      <c r="N396" s="99" t="str">
        <f>INDEX(Tableau5[Att3],MATCH(Tableau3[[#This Row],[ID-SIG]],Tableau5[ID],0))&amp;""</f>
        <v/>
      </c>
      <c r="O396" s="99"/>
      <c r="P396" s="155" t="s">
        <v>1686</v>
      </c>
      <c r="Q396" s="99"/>
      <c r="R396" s="103" t="str">
        <f>Tableau3[[#This Row],[Description]]</f>
        <v>Portail P5 - Sortie Réserve 1</v>
      </c>
      <c r="S396" s="52"/>
      <c r="U396" s="87">
        <v>3</v>
      </c>
      <c r="V396" s="87">
        <v>1</v>
      </c>
      <c r="W396" s="87">
        <v>4</v>
      </c>
      <c r="X396" s="87">
        <v>2</v>
      </c>
      <c r="Y396" s="41"/>
      <c r="Z396" s="165" t="str">
        <f>INDEX(Tableau2[TS],MATCH(Tableau3[[#This Row],[ID-CARTEVOIE]],Tableau2[ID-CARTEVOIE],0))</f>
        <v>ST</v>
      </c>
      <c r="AA396" s="53" t="s">
        <v>213</v>
      </c>
      <c r="AB396" s="223" t="str">
        <f>IFERROR(INDEX(Tableau5[Reserve],MATCH(Tableau3[[#This Row],[ID-SIG]],Tableau5[ID],0))&amp;"","")</f>
        <v/>
      </c>
      <c r="AC396" s="21"/>
      <c r="AD396" s="108" t="str">
        <f>INDEX(Tableau7[Repere],MATCH(Tableau3[[#This Row],[ID-API]],Tableau7[ID-API],0))&amp;""</f>
        <v>A3</v>
      </c>
      <c r="AE396" s="108" t="str">
        <f>INDEX(Tableau1[Repere-Rack],MATCH(Tableau3[[#This Row],[ID-RACK]],Tableau1[ID-RACK],0))&amp;""</f>
        <v>R1</v>
      </c>
      <c r="AF396" s="108" t="str">
        <f>INDEX(Tableau1[Repere-Slot],MATCH(Tableau3[[#This Row],[ID-SLOT]],Tableau1[ID-SLOT],0))&amp;""</f>
        <v>S4</v>
      </c>
      <c r="AG396" s="108" t="str">
        <f>INDEX(Tableau2[Repere-Voie],MATCH(Tableau3[[#This Row],[ID-VOIE]],Tableau2[ID-Voie],0))&amp;""</f>
        <v>v2</v>
      </c>
      <c r="AH396" s="72" t="str">
        <f>Tableau3[[#This Row],[ID-API]]&amp; "." &amp;Tableau3[[#This Row],[ID-RACK]]&amp; "." &amp;Tableau3[[#This Row],[ID-SLOT]]</f>
        <v>3.1.4</v>
      </c>
      <c r="AI396" s="72" t="str">
        <f>INDEX(Tableau1[Ref-Carte],MATCH(Tableau3[[#This Row],[ID-RRS]],Tableau1[ID-RRS],0))</f>
        <v>SDO0802</v>
      </c>
      <c r="AJ396" s="72" t="str">
        <f t="array" ref="AJ396">IFERROR(INDEX(Tableau2[TS],MATCH(1,(Tableau2[Ref-Carte]=Tableau3[[#This Row],[Ref-Carte2]])*(Tableau2[ID-Voie]=Tableau3[[#This Row],[ID-VOIE]]),0)),"")</f>
        <v>ST</v>
      </c>
      <c r="AK396" s="72" t="str">
        <f>IFERROR(INDEX(Tableau2[TS],SUMPRODUCT((Tableau2[Ref-Carte]=Tableau3[[#This Row],[Ref-Carte2]])*(Tableau2[ID-Voie]=Tableau3[[#This Row],[ID-VOIE]])*ROW(Tableau2[TS]))-ROW(Tableau2[#Headers])),"")</f>
        <v>ST</v>
      </c>
      <c r="AL396" s="72" t="str">
        <f>Tableau3[[#This Row],[Ref-Carte2]]&amp;"/"&amp;Tableau3[[#This Row],[ID-VOIE]]</f>
        <v>SDO0802/2</v>
      </c>
      <c r="AM396" s="73" t="str">
        <f>INDEX(Tableau2[Borne],MATCH(Tableau3[[#This Row],[ID-CARTEVOIE]],Tableau2[ID-CARTEVOIE],0))&amp;""</f>
        <v>2</v>
      </c>
      <c r="AN396" s="74" t="str">
        <f>Tableau3[[#This Row],[ID-API]]&amp;Tableau3[[#This Row],[ID-RACK]]&amp;Tableau3[[#This Row],[ID-SLOT]]&amp;Tableau3[[#This Row],[BORNE]]</f>
        <v>3142</v>
      </c>
      <c r="AO396" s="1"/>
    </row>
    <row r="397" spans="1:41" ht="20.100000000000001" customHeight="1" thickTop="1" thickBot="1">
      <c r="A397" s="68"/>
      <c r="B397" s="69" t="str">
        <f>IFERROR(INDEX(Tableau4[Date],MATCH($A397,Tableau4[EVO],0)),"")</f>
        <v/>
      </c>
      <c r="C397" s="68" t="str">
        <f>IFERROR(INDEX(Tableau4[Designation],MATCH($A397,Tableau4[EVO],0)),"")</f>
        <v/>
      </c>
      <c r="D397" s="68"/>
      <c r="E397" s="70">
        <v>6</v>
      </c>
      <c r="F397" s="71">
        <v>265</v>
      </c>
      <c r="G397" s="101" t="str">
        <f>INDEX(Tableau8[Att1],MATCH(Tableau3[[#This Row],[ID-INS]],Tableau8[ID],0))&amp;""</f>
        <v>V3</v>
      </c>
      <c r="H397" s="101" t="str">
        <f>INDEX(Tableau8[Att2],MATCH(Tableau3[[#This Row],[ID-INS]],Tableau8[ID],0))&amp;""</f>
        <v>P6</v>
      </c>
      <c r="I397" s="101" t="str">
        <f>INDEX(Tableau8[Att3],MATCH(Tableau3[[#This Row],[ID-INS]],Tableau8[ID],0))&amp;""</f>
        <v>Portail P6</v>
      </c>
      <c r="J397" s="101"/>
      <c r="K397" s="167" t="str">
        <f>INDEX(Tableau8[Nom du modele],MATCH(Tableau3[[#This Row],[ID-INS]],Tableau8[ID],0))&amp;""</f>
        <v>PortailBleuHydr_1</v>
      </c>
      <c r="L397" s="99" t="str">
        <f>INDEX(Tableau5[Att1],MATCH(Tableau3[[#This Row],[ID-SIG]],Tableau5[ID],0))&amp;""</f>
        <v>Vx_GrpHydCmd2</v>
      </c>
      <c r="M397" s="99" t="str">
        <f>INDEX(Tableau5[Att2],MATCH(Tableau3[[#This Row],[ID-SIG]],Tableau5[ID],0))&amp;""</f>
        <v/>
      </c>
      <c r="N397" s="99" t="str">
        <f>INDEX(Tableau5[Att3],MATCH(Tableau3[[#This Row],[ID-SIG]],Tableau5[ID],0))&amp;""</f>
        <v/>
      </c>
      <c r="O397" s="99"/>
      <c r="P397" s="99" t="str">
        <f>INDEX(Tableau5[Description],MATCH(Tableau3[[#This Row],[ID-SIG]],Tableau5[ID],0))</f>
        <v>Commande 2 groupe hydraulique</v>
      </c>
      <c r="Q397" s="99"/>
      <c r="R397" s="103" t="str">
        <f>Tableau3[[#This Row],[Description]]</f>
        <v>Commande 2 groupe hydraulique</v>
      </c>
      <c r="S397" s="52"/>
      <c r="U397" s="87">
        <v>3</v>
      </c>
      <c r="V397" s="87">
        <v>1</v>
      </c>
      <c r="W397" s="87">
        <v>4</v>
      </c>
      <c r="X397" s="87">
        <v>3</v>
      </c>
      <c r="Y397" s="41"/>
      <c r="Z397" s="165" t="str">
        <f>INDEX(Tableau2[TS],MATCH(Tableau3[[#This Row],[ID-CARTEVOIE]],Tableau2[ID-CARTEVOIE],0))</f>
        <v>ST</v>
      </c>
      <c r="AA397" s="53" t="s">
        <v>213</v>
      </c>
      <c r="AB397" s="223" t="str">
        <f>IFERROR(INDEX(Tableau5[Reserve],MATCH(Tableau3[[#This Row],[ID-SIG]],Tableau5[ID],0))&amp;"","")</f>
        <v/>
      </c>
      <c r="AC397" s="21"/>
      <c r="AD397" s="108" t="str">
        <f>INDEX(Tableau7[Repere],MATCH(Tableau3[[#This Row],[ID-API]],Tableau7[ID-API],0))&amp;""</f>
        <v>A3</v>
      </c>
      <c r="AE397" s="108" t="str">
        <f>INDEX(Tableau1[Repere-Rack],MATCH(Tableau3[[#This Row],[ID-RACK]],Tableau1[ID-RACK],0))&amp;""</f>
        <v>R1</v>
      </c>
      <c r="AF397" s="108" t="str">
        <f>INDEX(Tableau1[Repere-Slot],MATCH(Tableau3[[#This Row],[ID-SLOT]],Tableau1[ID-SLOT],0))&amp;""</f>
        <v>S4</v>
      </c>
      <c r="AG397" s="108" t="str">
        <f>INDEX(Tableau2[Repere-Voie],MATCH(Tableau3[[#This Row],[ID-VOIE]],Tableau2[ID-Voie],0))&amp;""</f>
        <v>v3</v>
      </c>
      <c r="AH397" s="72" t="str">
        <f>Tableau3[[#This Row],[ID-API]]&amp; "." &amp;Tableau3[[#This Row],[ID-RACK]]&amp; "." &amp;Tableau3[[#This Row],[ID-SLOT]]</f>
        <v>3.1.4</v>
      </c>
      <c r="AI397" s="72" t="str">
        <f>INDEX(Tableau1[Ref-Carte],MATCH(Tableau3[[#This Row],[ID-RRS]],Tableau1[ID-RRS],0))</f>
        <v>SDO0802</v>
      </c>
      <c r="AJ397" s="72" t="str">
        <f t="array" ref="AJ397">IFERROR(INDEX(Tableau2[TS],MATCH(1,(Tableau2[Ref-Carte]=Tableau3[[#This Row],[Ref-Carte2]])*(Tableau2[ID-Voie]=Tableau3[[#This Row],[ID-VOIE]]),0)),"")</f>
        <v>ST</v>
      </c>
      <c r="AK397" s="72" t="str">
        <f>IFERROR(INDEX(Tableau2[TS],SUMPRODUCT((Tableau2[Ref-Carte]=Tableau3[[#This Row],[Ref-Carte2]])*(Tableau2[ID-Voie]=Tableau3[[#This Row],[ID-VOIE]])*ROW(Tableau2[TS]))-ROW(Tableau2[#Headers])),"")</f>
        <v>ST</v>
      </c>
      <c r="AL397" s="72" t="str">
        <f>Tableau3[[#This Row],[Ref-Carte2]]&amp;"/"&amp;Tableau3[[#This Row],[ID-VOIE]]</f>
        <v>SDO0802/3</v>
      </c>
      <c r="AM397" s="73" t="str">
        <f>INDEX(Tableau2[Borne],MATCH(Tableau3[[#This Row],[ID-CARTEVOIE]],Tableau2[ID-CARTEVOIE],0))&amp;""</f>
        <v>3</v>
      </c>
      <c r="AN397" s="74" t="str">
        <f>Tableau3[[#This Row],[ID-API]]&amp;Tableau3[[#This Row],[ID-RACK]]&amp;Tableau3[[#This Row],[ID-SLOT]]&amp;Tableau3[[#This Row],[BORNE]]</f>
        <v>3143</v>
      </c>
      <c r="AO397" s="1"/>
    </row>
    <row r="398" spans="1:41" ht="20.100000000000001" customHeight="1" thickTop="1" thickBot="1">
      <c r="A398" s="68"/>
      <c r="B398" s="69" t="str">
        <f>IFERROR(INDEX(Tableau4[Date],MATCH($A398,Tableau4[EVO],0)),"")</f>
        <v/>
      </c>
      <c r="C398" s="68" t="str">
        <f>IFERROR(INDEX(Tableau4[Designation],MATCH($A398,Tableau4[EVO],0)),"")</f>
        <v/>
      </c>
      <c r="D398" s="68"/>
      <c r="E398" s="70">
        <v>6</v>
      </c>
      <c r="F398" s="71">
        <v>266</v>
      </c>
      <c r="G398" s="101" t="str">
        <f>INDEX(Tableau8[Att1],MATCH(Tableau3[[#This Row],[ID-INS]],Tableau8[ID],0))&amp;""</f>
        <v>V3</v>
      </c>
      <c r="H398" s="101" t="str">
        <f>INDEX(Tableau8[Att2],MATCH(Tableau3[[#This Row],[ID-INS]],Tableau8[ID],0))&amp;""</f>
        <v>P6</v>
      </c>
      <c r="I398" s="101" t="str">
        <f>INDEX(Tableau8[Att3],MATCH(Tableau3[[#This Row],[ID-INS]],Tableau8[ID],0))&amp;""</f>
        <v>Portail P6</v>
      </c>
      <c r="J398" s="101"/>
      <c r="K398" s="167" t="str">
        <f>INDEX(Tableau8[Nom du modele],MATCH(Tableau3[[#This Row],[ID-INS]],Tableau8[ID],0))&amp;""</f>
        <v>PortailBleuHydr_1</v>
      </c>
      <c r="L398" s="99" t="str">
        <f>INDEX(Tableau5[Att1],MATCH(Tableau3[[#This Row],[ID-SIG]],Tableau5[ID],0))&amp;""</f>
        <v>Vx_FerCmd2</v>
      </c>
      <c r="M398" s="99" t="str">
        <f>INDEX(Tableau5[Att2],MATCH(Tableau3[[#This Row],[ID-SIG]],Tableau5[ID],0))&amp;""</f>
        <v/>
      </c>
      <c r="N398" s="99" t="str">
        <f>INDEX(Tableau5[Att3],MATCH(Tableau3[[#This Row],[ID-SIG]],Tableau5[ID],0))&amp;""</f>
        <v/>
      </c>
      <c r="O398" s="99"/>
      <c r="P398" s="99" t="str">
        <f>INDEX(Tableau5[Description],MATCH(Tableau3[[#This Row],[ID-SIG]],Tableau5[ID],0))</f>
        <v>Commande 2 fermeture</v>
      </c>
      <c r="Q398" s="99"/>
      <c r="R398" s="103" t="str">
        <f>Tableau3[[#This Row],[Description]]</f>
        <v>Commande 2 fermeture</v>
      </c>
      <c r="S398" s="52"/>
      <c r="U398" s="87">
        <v>3</v>
      </c>
      <c r="V398" s="87">
        <v>1</v>
      </c>
      <c r="W398" s="87">
        <v>4</v>
      </c>
      <c r="X398" s="87">
        <v>4</v>
      </c>
      <c r="Y398" s="41"/>
      <c r="Z398" s="165" t="str">
        <f>INDEX(Tableau2[TS],MATCH(Tableau3[[#This Row],[ID-CARTEVOIE]],Tableau2[ID-CARTEVOIE],0))</f>
        <v>ST</v>
      </c>
      <c r="AA398" s="53" t="s">
        <v>213</v>
      </c>
      <c r="AB398" s="223" t="str">
        <f>IFERROR(INDEX(Tableau5[Reserve],MATCH(Tableau3[[#This Row],[ID-SIG]],Tableau5[ID],0))&amp;"","")</f>
        <v/>
      </c>
      <c r="AC398" s="21"/>
      <c r="AD398" s="108" t="str">
        <f>INDEX(Tableau7[Repere],MATCH(Tableau3[[#This Row],[ID-API]],Tableau7[ID-API],0))&amp;""</f>
        <v>A3</v>
      </c>
      <c r="AE398" s="108" t="str">
        <f>INDEX(Tableau1[Repere-Rack],MATCH(Tableau3[[#This Row],[ID-RACK]],Tableau1[ID-RACK],0))&amp;""</f>
        <v>R1</v>
      </c>
      <c r="AF398" s="108" t="str">
        <f>INDEX(Tableau1[Repere-Slot],MATCH(Tableau3[[#This Row],[ID-SLOT]],Tableau1[ID-SLOT],0))&amp;""</f>
        <v>S4</v>
      </c>
      <c r="AG398" s="108" t="str">
        <f>INDEX(Tableau2[Repere-Voie],MATCH(Tableau3[[#This Row],[ID-VOIE]],Tableau2[ID-Voie],0))&amp;""</f>
        <v>v4</v>
      </c>
      <c r="AH398" s="72" t="str">
        <f>Tableau3[[#This Row],[ID-API]]&amp; "." &amp;Tableau3[[#This Row],[ID-RACK]]&amp; "." &amp;Tableau3[[#This Row],[ID-SLOT]]</f>
        <v>3.1.4</v>
      </c>
      <c r="AI398" s="72" t="str">
        <f>INDEX(Tableau1[Ref-Carte],MATCH(Tableau3[[#This Row],[ID-RRS]],Tableau1[ID-RRS],0))</f>
        <v>SDO0802</v>
      </c>
      <c r="AJ398" s="72" t="str">
        <f t="array" ref="AJ398">IFERROR(INDEX(Tableau2[TS],MATCH(1,(Tableau2[Ref-Carte]=Tableau3[[#This Row],[Ref-Carte2]])*(Tableau2[ID-Voie]=Tableau3[[#This Row],[ID-VOIE]]),0)),"")</f>
        <v>ST</v>
      </c>
      <c r="AK398" s="72" t="str">
        <f>IFERROR(INDEX(Tableau2[TS],SUMPRODUCT((Tableau2[Ref-Carte]=Tableau3[[#This Row],[Ref-Carte2]])*(Tableau2[ID-Voie]=Tableau3[[#This Row],[ID-VOIE]])*ROW(Tableau2[TS]))-ROW(Tableau2[#Headers])),"")</f>
        <v>ST</v>
      </c>
      <c r="AL398" s="72" t="str">
        <f>Tableau3[[#This Row],[Ref-Carte2]]&amp;"/"&amp;Tableau3[[#This Row],[ID-VOIE]]</f>
        <v>SDO0802/4</v>
      </c>
      <c r="AM398" s="73" t="str">
        <f>INDEX(Tableau2[Borne],MATCH(Tableau3[[#This Row],[ID-CARTEVOIE]],Tableau2[ID-CARTEVOIE],0))&amp;""</f>
        <v>4</v>
      </c>
      <c r="AN398" s="74" t="str">
        <f>Tableau3[[#This Row],[ID-API]]&amp;Tableau3[[#This Row],[ID-RACK]]&amp;Tableau3[[#This Row],[ID-SLOT]]&amp;Tableau3[[#This Row],[BORNE]]</f>
        <v>3144</v>
      </c>
      <c r="AO398" s="1"/>
    </row>
    <row r="399" spans="1:41" ht="20.100000000000001" customHeight="1" thickTop="1" thickBot="1">
      <c r="A399" s="68"/>
      <c r="B399" s="69" t="str">
        <f>IFERROR(INDEX(Tableau4[Date],MATCH($A399,Tableau4[EVO],0)),"")</f>
        <v/>
      </c>
      <c r="C399" s="68" t="str">
        <f>IFERROR(INDEX(Tableau4[Designation],MATCH($A399,Tableau4[EVO],0)),"")</f>
        <v/>
      </c>
      <c r="D399" s="68"/>
      <c r="E399" s="70">
        <v>6</v>
      </c>
      <c r="F399" s="71">
        <v>267</v>
      </c>
      <c r="G399" s="101" t="str">
        <f>INDEX(Tableau8[Att1],MATCH(Tableau3[[#This Row],[ID-INS]],Tableau8[ID],0))&amp;""</f>
        <v>V3</v>
      </c>
      <c r="H399" s="101" t="str">
        <f>INDEX(Tableau8[Att2],MATCH(Tableau3[[#This Row],[ID-INS]],Tableau8[ID],0))&amp;""</f>
        <v>P6</v>
      </c>
      <c r="I399" s="101" t="str">
        <f>INDEX(Tableau8[Att3],MATCH(Tableau3[[#This Row],[ID-INS]],Tableau8[ID],0))&amp;""</f>
        <v>Portail P6</v>
      </c>
      <c r="J399" s="101"/>
      <c r="K399" s="167" t="str">
        <f>INDEX(Tableau8[Nom du modele],MATCH(Tableau3[[#This Row],[ID-INS]],Tableau8[ID],0))&amp;""</f>
        <v>PortailBleuHydr_1</v>
      </c>
      <c r="L399" s="155" t="s">
        <v>1681</v>
      </c>
      <c r="M399" s="99" t="str">
        <f>INDEX(Tableau5[Att2],MATCH(Tableau3[[#This Row],[ID-SIG]],Tableau5[ID],0))&amp;""</f>
        <v/>
      </c>
      <c r="N399" s="99" t="str">
        <f>INDEX(Tableau5[Att3],MATCH(Tableau3[[#This Row],[ID-SIG]],Tableau5[ID],0))&amp;""</f>
        <v/>
      </c>
      <c r="O399" s="99"/>
      <c r="P399" s="155" t="s">
        <v>1687</v>
      </c>
      <c r="Q399" s="99"/>
      <c r="R399" s="103" t="str">
        <f>Tableau3[[#This Row],[Description]]</f>
        <v>Portail P6 - Sortie Réserve 2</v>
      </c>
      <c r="S399" s="52"/>
      <c r="U399" s="87">
        <v>3</v>
      </c>
      <c r="V399" s="87">
        <v>1</v>
      </c>
      <c r="W399" s="87">
        <v>4</v>
      </c>
      <c r="X399" s="87">
        <v>5</v>
      </c>
      <c r="Y399" s="41"/>
      <c r="Z399" s="165" t="str">
        <f>INDEX(Tableau2[TS],MATCH(Tableau3[[#This Row],[ID-CARTEVOIE]],Tableau2[ID-CARTEVOIE],0))</f>
        <v>ST</v>
      </c>
      <c r="AA399" s="53" t="s">
        <v>213</v>
      </c>
      <c r="AB399" s="223" t="str">
        <f>IFERROR(INDEX(Tableau5[Reserve],MATCH(Tableau3[[#This Row],[ID-SIG]],Tableau5[ID],0))&amp;"","")</f>
        <v/>
      </c>
      <c r="AC399" s="21"/>
      <c r="AD399" s="108" t="str">
        <f>INDEX(Tableau7[Repere],MATCH(Tableau3[[#This Row],[ID-API]],Tableau7[ID-API],0))&amp;""</f>
        <v>A3</v>
      </c>
      <c r="AE399" s="108" t="str">
        <f>INDEX(Tableau1[Repere-Rack],MATCH(Tableau3[[#This Row],[ID-RACK]],Tableau1[ID-RACK],0))&amp;""</f>
        <v>R1</v>
      </c>
      <c r="AF399" s="108" t="str">
        <f>INDEX(Tableau1[Repere-Slot],MATCH(Tableau3[[#This Row],[ID-SLOT]],Tableau1[ID-SLOT],0))&amp;""</f>
        <v>S4</v>
      </c>
      <c r="AG399" s="108" t="str">
        <f>INDEX(Tableau2[Repere-Voie],MATCH(Tableau3[[#This Row],[ID-VOIE]],Tableau2[ID-Voie],0))&amp;""</f>
        <v>v5</v>
      </c>
      <c r="AH399" s="72" t="str">
        <f>Tableau3[[#This Row],[ID-API]]&amp; "." &amp;Tableau3[[#This Row],[ID-RACK]]&amp; "." &amp;Tableau3[[#This Row],[ID-SLOT]]</f>
        <v>3.1.4</v>
      </c>
      <c r="AI399" s="72" t="str">
        <f>INDEX(Tableau1[Ref-Carte],MATCH(Tableau3[[#This Row],[ID-RRS]],Tableau1[ID-RRS],0))</f>
        <v>SDO0802</v>
      </c>
      <c r="AJ399" s="72" t="str">
        <f t="array" ref="AJ399">IFERROR(INDEX(Tableau2[TS],MATCH(1,(Tableau2[Ref-Carte]=Tableau3[[#This Row],[Ref-Carte2]])*(Tableau2[ID-Voie]=Tableau3[[#This Row],[ID-VOIE]]),0)),"")</f>
        <v>ST</v>
      </c>
      <c r="AK399" s="72" t="str">
        <f>IFERROR(INDEX(Tableau2[TS],SUMPRODUCT((Tableau2[Ref-Carte]=Tableau3[[#This Row],[Ref-Carte2]])*(Tableau2[ID-Voie]=Tableau3[[#This Row],[ID-VOIE]])*ROW(Tableau2[TS]))-ROW(Tableau2[#Headers])),"")</f>
        <v>ST</v>
      </c>
      <c r="AL399" s="72" t="str">
        <f>Tableau3[[#This Row],[Ref-Carte2]]&amp;"/"&amp;Tableau3[[#This Row],[ID-VOIE]]</f>
        <v>SDO0802/5</v>
      </c>
      <c r="AM399" s="73" t="str">
        <f>INDEX(Tableau2[Borne],MATCH(Tableau3[[#This Row],[ID-CARTEVOIE]],Tableau2[ID-CARTEVOIE],0))&amp;""</f>
        <v>5</v>
      </c>
      <c r="AN399" s="74" t="str">
        <f>Tableau3[[#This Row],[ID-API]]&amp;Tableau3[[#This Row],[ID-RACK]]&amp;Tableau3[[#This Row],[ID-SLOT]]&amp;Tableau3[[#This Row],[BORNE]]</f>
        <v>3145</v>
      </c>
      <c r="AO399" s="1"/>
    </row>
    <row r="400" spans="1:41" ht="20.100000000000001" customHeight="1" thickTop="1" thickBot="1">
      <c r="A400" s="68"/>
      <c r="B400" s="69" t="str">
        <f>IFERROR(INDEX(Tableau4[Date],MATCH($A400,Tableau4[EVO],0)),"")</f>
        <v/>
      </c>
      <c r="C400" s="68" t="str">
        <f>IFERROR(INDEX(Tableau4[Designation],MATCH($A400,Tableau4[EVO],0)),"")</f>
        <v/>
      </c>
      <c r="D400" s="68"/>
      <c r="E400" s="70">
        <v>37</v>
      </c>
      <c r="F400" s="71">
        <v>71</v>
      </c>
      <c r="G400" s="101" t="str">
        <f>INDEX(Tableau8[Att1],MATCH(Tableau3[[#This Row],[ID-INS]],Tableau8[ID],0))&amp;""</f>
        <v>V1</v>
      </c>
      <c r="H400" s="101" t="str">
        <f>INDEX(Tableau8[Att2],MATCH(Tableau3[[#This Row],[ID-INS]],Tableau8[ID],0))&amp;""</f>
        <v>BH6</v>
      </c>
      <c r="I400" s="101" t="str">
        <f>INDEX(Tableau8[Att3],MATCH(Tableau3[[#This Row],[ID-INS]],Tableau8[ID],0))&amp;""</f>
        <v>Barrière BH6</v>
      </c>
      <c r="J400" s="101"/>
      <c r="K400" s="167" t="str">
        <f>INDEX(Tableau8[Nom du modele],MATCH(Tableau3[[#This Row],[ID-INS]],Tableau8[ID],0))&amp;""</f>
        <v>BarriereHerse_1</v>
      </c>
      <c r="L400" s="99" t="str">
        <f>INDEX(Tableau5[Att1],MATCH(Tableau3[[#This Row],[ID-SIG]],Tableau5[ID],0))&amp;""</f>
        <v>FerCmd2</v>
      </c>
      <c r="M400" s="99" t="str">
        <f>INDEX(Tableau5[Att2],MATCH(Tableau3[[#This Row],[ID-SIG]],Tableau5[ID],0))&amp;""</f>
        <v/>
      </c>
      <c r="N400" s="99" t="str">
        <f>INDEX(Tableau5[Att3],MATCH(Tableau3[[#This Row],[ID-SIG]],Tableau5[ID],0))&amp;""</f>
        <v/>
      </c>
      <c r="O400" s="99"/>
      <c r="P400" s="99" t="str">
        <f>INDEX(Tableau5[Description],MATCH(Tableau3[[#This Row],[ID-SIG]],Tableau5[ID],0))</f>
        <v>Commande 2 fermeture</v>
      </c>
      <c r="Q400" s="99"/>
      <c r="R400" s="103" t="str">
        <f>Tableau3[[#This Row],[Description]]</f>
        <v>Commande 2 fermeture</v>
      </c>
      <c r="U400" s="87">
        <v>3</v>
      </c>
      <c r="V400" s="87">
        <v>1</v>
      </c>
      <c r="W400" s="87">
        <v>4</v>
      </c>
      <c r="X400" s="87">
        <v>6</v>
      </c>
      <c r="Y400" s="41"/>
      <c r="Z400" s="165" t="str">
        <f>INDEX(Tableau2[TS],MATCH(Tableau3[[#This Row],[ID-CARTEVOIE]],Tableau2[ID-CARTEVOIE],0))</f>
        <v>ST</v>
      </c>
      <c r="AA400" s="53" t="s">
        <v>213</v>
      </c>
      <c r="AB400" s="223" t="str">
        <f>IFERROR(INDEX(Tableau5[Reserve],MATCH(Tableau3[[#This Row],[ID-SIG]],Tableau5[ID],0))&amp;"","")</f>
        <v/>
      </c>
      <c r="AC400" s="21"/>
      <c r="AD400" s="108" t="str">
        <f>INDEX(Tableau7[Repere],MATCH(Tableau3[[#This Row],[ID-API]],Tableau7[ID-API],0))&amp;""</f>
        <v>A3</v>
      </c>
      <c r="AE400" s="108" t="str">
        <f>INDEX(Tableau1[Repere-Rack],MATCH(Tableau3[[#This Row],[ID-RACK]],Tableau1[ID-RACK],0))&amp;""</f>
        <v>R1</v>
      </c>
      <c r="AF400" s="108" t="str">
        <f>INDEX(Tableau1[Repere-Slot],MATCH(Tableau3[[#This Row],[ID-SLOT]],Tableau1[ID-SLOT],0))&amp;""</f>
        <v>S4</v>
      </c>
      <c r="AG400" s="108" t="str">
        <f>INDEX(Tableau2[Repere-Voie],MATCH(Tableau3[[#This Row],[ID-VOIE]],Tableau2[ID-Voie],0))&amp;""</f>
        <v>v6</v>
      </c>
      <c r="AH400" s="72" t="str">
        <f>Tableau3[[#This Row],[ID-API]]&amp; "." &amp;Tableau3[[#This Row],[ID-RACK]]&amp; "." &amp;Tableau3[[#This Row],[ID-SLOT]]</f>
        <v>3.1.4</v>
      </c>
      <c r="AI400" s="72" t="str">
        <f>INDEX(Tableau1[Ref-Carte],MATCH(Tableau3[[#This Row],[ID-RRS]],Tableau1[ID-RRS],0))</f>
        <v>SDO0802</v>
      </c>
      <c r="AJ400" s="72" t="str">
        <f t="array" ref="AJ400">IFERROR(INDEX(Tableau2[TS],MATCH(1,(Tableau2[Ref-Carte]=Tableau3[[#This Row],[Ref-Carte2]])*(Tableau2[ID-Voie]=Tableau3[[#This Row],[ID-VOIE]]),0)),"")</f>
        <v>ST</v>
      </c>
      <c r="AK400" s="72" t="str">
        <f>IFERROR(INDEX(Tableau2[TS],SUMPRODUCT((Tableau2[Ref-Carte]=Tableau3[[#This Row],[Ref-Carte2]])*(Tableau2[ID-Voie]=Tableau3[[#This Row],[ID-VOIE]])*ROW(Tableau2[TS]))-ROW(Tableau2[#Headers])),"")</f>
        <v>ST</v>
      </c>
      <c r="AL400" s="72" t="str">
        <f>Tableau3[[#This Row],[Ref-Carte2]]&amp;"/"&amp;Tableau3[[#This Row],[ID-VOIE]]</f>
        <v>SDO0802/6</v>
      </c>
      <c r="AM400" s="73" t="str">
        <f>INDEX(Tableau2[Borne],MATCH(Tableau3[[#This Row],[ID-CARTEVOIE]],Tableau2[ID-CARTEVOIE],0))&amp;""</f>
        <v>6</v>
      </c>
      <c r="AN400" s="74" t="str">
        <f>Tableau3[[#This Row],[ID-API]]&amp;Tableau3[[#This Row],[ID-RACK]]&amp;Tableau3[[#This Row],[ID-SLOT]]&amp;Tableau3[[#This Row],[BORNE]]</f>
        <v>3146</v>
      </c>
      <c r="AO400" s="1"/>
    </row>
    <row r="401" spans="1:41" ht="20.100000000000001" customHeight="1" thickTop="1" thickBot="1">
      <c r="A401" s="68"/>
      <c r="B401" s="69" t="str">
        <f>IFERROR(INDEX(Tableau4[Date],MATCH($A401,Tableau4[EVO],0)),"")</f>
        <v/>
      </c>
      <c r="C401" s="68" t="str">
        <f>IFERROR(INDEX(Tableau4[Designation],MATCH($A401,Tableau4[EVO],0)),"")</f>
        <v/>
      </c>
      <c r="D401" s="68"/>
      <c r="E401" s="70">
        <v>38</v>
      </c>
      <c r="F401" s="71">
        <v>74</v>
      </c>
      <c r="G401" s="101" t="str">
        <f>INDEX(Tableau8[Att1],MATCH(Tableau3[[#This Row],[ID-INS]],Tableau8[ID],0))&amp;""</f>
        <v>V2</v>
      </c>
      <c r="H401" s="101" t="str">
        <f>INDEX(Tableau8[Att2],MATCH(Tableau3[[#This Row],[ID-INS]],Tableau8[ID],0))&amp;""</f>
        <v>BH7</v>
      </c>
      <c r="I401" s="101" t="str">
        <f>INDEX(Tableau8[Att3],MATCH(Tableau3[[#This Row],[ID-INS]],Tableau8[ID],0))&amp;""</f>
        <v>Barrière BH7</v>
      </c>
      <c r="J401" s="101"/>
      <c r="K401" s="167" t="str">
        <f>INDEX(Tableau8[Nom du modele],MATCH(Tableau3[[#This Row],[ID-INS]],Tableau8[ID],0))&amp;""</f>
        <v>BarriereHerse_1</v>
      </c>
      <c r="L401" s="99" t="str">
        <f>INDEX(Tableau5[Att1],MATCH(Tableau3[[#This Row],[ID-SIG]],Tableau5[ID],0))&amp;""</f>
        <v>OuvCmd</v>
      </c>
      <c r="M401" s="99" t="str">
        <f>INDEX(Tableau5[Att2],MATCH(Tableau3[[#This Row],[ID-SIG]],Tableau5[ID],0))&amp;""</f>
        <v/>
      </c>
      <c r="N401" s="99" t="str">
        <f>INDEX(Tableau5[Att3],MATCH(Tableau3[[#This Row],[ID-SIG]],Tableau5[ID],0))&amp;""</f>
        <v/>
      </c>
      <c r="O401" s="99"/>
      <c r="P401" s="99" t="str">
        <f>INDEX(Tableau5[Description],MATCH(Tableau3[[#This Row],[ID-SIG]],Tableau5[ID],0))</f>
        <v>Commande ouverture</v>
      </c>
      <c r="Q401" s="99"/>
      <c r="R401" s="103" t="str">
        <f>Tableau3[[#This Row],[Description]]</f>
        <v>Commande ouverture</v>
      </c>
      <c r="U401" s="87">
        <v>3</v>
      </c>
      <c r="V401" s="87">
        <v>1</v>
      </c>
      <c r="W401" s="87">
        <v>4</v>
      </c>
      <c r="X401" s="87">
        <v>7</v>
      </c>
      <c r="Y401" s="41"/>
      <c r="Z401" s="165" t="str">
        <f>INDEX(Tableau2[TS],MATCH(Tableau3[[#This Row],[ID-CARTEVOIE]],Tableau2[ID-CARTEVOIE],0))</f>
        <v>ST</v>
      </c>
      <c r="AA401" s="53" t="s">
        <v>213</v>
      </c>
      <c r="AB401" s="223" t="str">
        <f>IFERROR(INDEX(Tableau5[Reserve],MATCH(Tableau3[[#This Row],[ID-SIG]],Tableau5[ID],0))&amp;"","")</f>
        <v/>
      </c>
      <c r="AC401" s="21"/>
      <c r="AD401" s="108" t="str">
        <f>INDEX(Tableau7[Repere],MATCH(Tableau3[[#This Row],[ID-API]],Tableau7[ID-API],0))&amp;""</f>
        <v>A3</v>
      </c>
      <c r="AE401" s="108" t="str">
        <f>INDEX(Tableau1[Repere-Rack],MATCH(Tableau3[[#This Row],[ID-RACK]],Tableau1[ID-RACK],0))&amp;""</f>
        <v>R1</v>
      </c>
      <c r="AF401" s="108" t="str">
        <f>INDEX(Tableau1[Repere-Slot],MATCH(Tableau3[[#This Row],[ID-SLOT]],Tableau1[ID-SLOT],0))&amp;""</f>
        <v>S4</v>
      </c>
      <c r="AG401" s="108" t="str">
        <f>INDEX(Tableau2[Repere-Voie],MATCH(Tableau3[[#This Row],[ID-VOIE]],Tableau2[ID-Voie],0))&amp;""</f>
        <v>v7</v>
      </c>
      <c r="AH401" s="72" t="str">
        <f>Tableau3[[#This Row],[ID-API]]&amp; "." &amp;Tableau3[[#This Row],[ID-RACK]]&amp; "." &amp;Tableau3[[#This Row],[ID-SLOT]]</f>
        <v>3.1.4</v>
      </c>
      <c r="AI401" s="72" t="str">
        <f>INDEX(Tableau1[Ref-Carte],MATCH(Tableau3[[#This Row],[ID-RRS]],Tableau1[ID-RRS],0))</f>
        <v>SDO0802</v>
      </c>
      <c r="AJ401" s="72" t="str">
        <f t="array" ref="AJ401">IFERROR(INDEX(Tableau2[TS],MATCH(1,(Tableau2[Ref-Carte]=Tableau3[[#This Row],[Ref-Carte2]])*(Tableau2[ID-Voie]=Tableau3[[#This Row],[ID-VOIE]]),0)),"")</f>
        <v>ST</v>
      </c>
      <c r="AK401" s="72" t="str">
        <f>IFERROR(INDEX(Tableau2[TS],SUMPRODUCT((Tableau2[Ref-Carte]=Tableau3[[#This Row],[Ref-Carte2]])*(Tableau2[ID-Voie]=Tableau3[[#This Row],[ID-VOIE]])*ROW(Tableau2[TS]))-ROW(Tableau2[#Headers])),"")</f>
        <v>ST</v>
      </c>
      <c r="AL401" s="72" t="str">
        <f>Tableau3[[#This Row],[Ref-Carte2]]&amp;"/"&amp;Tableau3[[#This Row],[ID-VOIE]]</f>
        <v>SDO0802/7</v>
      </c>
      <c r="AM401" s="73" t="str">
        <f>INDEX(Tableau2[Borne],MATCH(Tableau3[[#This Row],[ID-CARTEVOIE]],Tableau2[ID-CARTEVOIE],0))&amp;""</f>
        <v>7</v>
      </c>
      <c r="AN401" s="74" t="str">
        <f>Tableau3[[#This Row],[ID-API]]&amp;Tableau3[[#This Row],[ID-RACK]]&amp;Tableau3[[#This Row],[ID-SLOT]]&amp;Tableau3[[#This Row],[BORNE]]</f>
        <v>3147</v>
      </c>
      <c r="AO401" s="1"/>
    </row>
    <row r="402" spans="1:41" ht="20.100000000000001" customHeight="1" thickTop="1" thickBot="1">
      <c r="A402" s="68"/>
      <c r="B402" s="69" t="str">
        <f>IFERROR(INDEX(Tableau4[Date],MATCH($A402,Tableau4[EVO],0)),"")</f>
        <v/>
      </c>
      <c r="C402" s="68" t="str">
        <f>IFERROR(INDEX(Tableau4[Designation],MATCH($A402,Tableau4[EVO],0)),"")</f>
        <v/>
      </c>
      <c r="D402" s="68"/>
      <c r="E402" s="70">
        <v>38</v>
      </c>
      <c r="F402" s="71">
        <v>75</v>
      </c>
      <c r="G402" s="101" t="str">
        <f>INDEX(Tableau8[Att1],MATCH(Tableau3[[#This Row],[ID-INS]],Tableau8[ID],0))&amp;""</f>
        <v>V2</v>
      </c>
      <c r="H402" s="101" t="str">
        <f>INDEX(Tableau8[Att2],MATCH(Tableau3[[#This Row],[ID-INS]],Tableau8[ID],0))&amp;""</f>
        <v>BH7</v>
      </c>
      <c r="I402" s="101" t="str">
        <f>INDEX(Tableau8[Att3],MATCH(Tableau3[[#This Row],[ID-INS]],Tableau8[ID],0))&amp;""</f>
        <v>Barrière BH7</v>
      </c>
      <c r="J402" s="101"/>
      <c r="K402" s="167" t="str">
        <f>INDEX(Tableau8[Nom du modele],MATCH(Tableau3[[#This Row],[ID-INS]],Tableau8[ID],0))&amp;""</f>
        <v>BarriereHerse_1</v>
      </c>
      <c r="L402" s="99" t="str">
        <f>INDEX(Tableau5[Att1],MATCH(Tableau3[[#This Row],[ID-SIG]],Tableau5[ID],0))&amp;""</f>
        <v>Réserve</v>
      </c>
      <c r="M402" s="99" t="str">
        <f>INDEX(Tableau5[Att2],MATCH(Tableau3[[#This Row],[ID-SIG]],Tableau5[ID],0))&amp;""</f>
        <v/>
      </c>
      <c r="N402" s="99" t="str">
        <f>INDEX(Tableau5[Att3],MATCH(Tableau3[[#This Row],[ID-SIG]],Tableau5[ID],0))&amp;""</f>
        <v/>
      </c>
      <c r="O402" s="99"/>
      <c r="P402" s="99" t="str">
        <f>INDEX(Tableau5[Description],MATCH(Tableau3[[#This Row],[ID-SIG]],Tableau5[ID],0))</f>
        <v>Réserve</v>
      </c>
      <c r="Q402" s="99"/>
      <c r="R402" s="103" t="str">
        <f>Tableau3[[#This Row],[Description]]</f>
        <v>Réserve</v>
      </c>
      <c r="U402" s="87">
        <v>3</v>
      </c>
      <c r="V402" s="87">
        <v>1</v>
      </c>
      <c r="W402" s="87">
        <v>5</v>
      </c>
      <c r="X402" s="87">
        <v>0</v>
      </c>
      <c r="Y402" s="41"/>
      <c r="Z402" s="165" t="str">
        <f>INDEX(Tableau2[TS],MATCH(Tableau3[[#This Row],[ID-CARTEVOIE]],Tableau2[ID-CARTEVOIE],0))</f>
        <v>ST</v>
      </c>
      <c r="AA402" s="53" t="s">
        <v>213</v>
      </c>
      <c r="AB402" s="223" t="str">
        <f>IFERROR(INDEX(Tableau5[Reserve],MATCH(Tableau3[[#This Row],[ID-SIG]],Tableau5[ID],0))&amp;"","")</f>
        <v/>
      </c>
      <c r="AC402" s="21"/>
      <c r="AD402" s="108" t="str">
        <f>INDEX(Tableau7[Repere],MATCH(Tableau3[[#This Row],[ID-API]],Tableau7[ID-API],0))&amp;""</f>
        <v>A3</v>
      </c>
      <c r="AE402" s="108" t="str">
        <f>INDEX(Tableau1[Repere-Rack],MATCH(Tableau3[[#This Row],[ID-RACK]],Tableau1[ID-RACK],0))&amp;""</f>
        <v>R1</v>
      </c>
      <c r="AF402" s="108" t="str">
        <f>INDEX(Tableau1[Repere-Slot],MATCH(Tableau3[[#This Row],[ID-SLOT]],Tableau1[ID-SLOT],0))&amp;""</f>
        <v>S5</v>
      </c>
      <c r="AG402" s="108" t="str">
        <f>INDEX(Tableau2[Repere-Voie],MATCH(Tableau3[[#This Row],[ID-VOIE]],Tableau2[ID-Voie],0))&amp;""</f>
        <v>v0</v>
      </c>
      <c r="AH402" s="72" t="str">
        <f>Tableau3[[#This Row],[ID-API]]&amp; "." &amp;Tableau3[[#This Row],[ID-RACK]]&amp; "." &amp;Tableau3[[#This Row],[ID-SLOT]]</f>
        <v>3.1.5</v>
      </c>
      <c r="AI402" s="72" t="str">
        <f>INDEX(Tableau1[Ref-Carte],MATCH(Tableau3[[#This Row],[ID-RRS]],Tableau1[ID-RRS],0))</f>
        <v>SDO0802</v>
      </c>
      <c r="AJ402" s="72" t="str">
        <f t="array" ref="AJ402">IFERROR(INDEX(Tableau2[TS],MATCH(1,(Tableau2[Ref-Carte]=Tableau3[[#This Row],[Ref-Carte2]])*(Tableau2[ID-Voie]=Tableau3[[#This Row],[ID-VOIE]]),0)),"")</f>
        <v>ST</v>
      </c>
      <c r="AK402" s="72" t="str">
        <f>IFERROR(INDEX(Tableau2[TS],SUMPRODUCT((Tableau2[Ref-Carte]=Tableau3[[#This Row],[Ref-Carte2]])*(Tableau2[ID-Voie]=Tableau3[[#This Row],[ID-VOIE]])*ROW(Tableau2[TS]))-ROW(Tableau2[#Headers])),"")</f>
        <v>ST</v>
      </c>
      <c r="AL402" s="72" t="str">
        <f>Tableau3[[#This Row],[Ref-Carte2]]&amp;"/"&amp;Tableau3[[#This Row],[ID-VOIE]]</f>
        <v>SDO0802/0</v>
      </c>
      <c r="AM402" s="73" t="str">
        <f>INDEX(Tableau2[Borne],MATCH(Tableau3[[#This Row],[ID-CARTEVOIE]],Tableau2[ID-CARTEVOIE],0))&amp;""</f>
        <v>0</v>
      </c>
      <c r="AN402" s="74" t="str">
        <f>Tableau3[[#This Row],[ID-API]]&amp;Tableau3[[#This Row],[ID-RACK]]&amp;Tableau3[[#This Row],[ID-SLOT]]&amp;Tableau3[[#This Row],[BORNE]]</f>
        <v>3150</v>
      </c>
      <c r="AO402" s="1"/>
    </row>
    <row r="403" spans="1:41" ht="20.100000000000001" customHeight="1" thickTop="1" thickBot="1">
      <c r="A403" s="68"/>
      <c r="B403" s="69" t="str">
        <f>IFERROR(INDEX(Tableau4[Date],MATCH($A403,Tableau4[EVO],0)),"")</f>
        <v/>
      </c>
      <c r="C403" s="68" t="str">
        <f>IFERROR(INDEX(Tableau4[Designation],MATCH($A403,Tableau4[EVO],0)),"")</f>
        <v/>
      </c>
      <c r="D403" s="68"/>
      <c r="E403" s="70">
        <v>38</v>
      </c>
      <c r="F403" s="71">
        <v>76</v>
      </c>
      <c r="G403" s="101" t="str">
        <f>INDEX(Tableau8[Att1],MATCH(Tableau3[[#This Row],[ID-INS]],Tableau8[ID],0))&amp;""</f>
        <v>V2</v>
      </c>
      <c r="H403" s="101" t="str">
        <f>INDEX(Tableau8[Att2],MATCH(Tableau3[[#This Row],[ID-INS]],Tableau8[ID],0))&amp;""</f>
        <v>BH7</v>
      </c>
      <c r="I403" s="101" t="str">
        <f>INDEX(Tableau8[Att3],MATCH(Tableau3[[#This Row],[ID-INS]],Tableau8[ID],0))&amp;""</f>
        <v>Barrière BH7</v>
      </c>
      <c r="J403" s="101"/>
      <c r="K403" s="167" t="str">
        <f>INDEX(Tableau8[Nom du modele],MATCH(Tableau3[[#This Row],[ID-INS]],Tableau8[ID],0))&amp;""</f>
        <v>BarriereHerse_1</v>
      </c>
      <c r="L403" s="99" t="str">
        <f>INDEX(Tableau5[Att1],MATCH(Tableau3[[#This Row],[ID-SIG]],Tableau5[ID],0))&amp;""</f>
        <v>FerCmd1</v>
      </c>
      <c r="M403" s="99" t="str">
        <f>INDEX(Tableau5[Att2],MATCH(Tableau3[[#This Row],[ID-SIG]],Tableau5[ID],0))&amp;""</f>
        <v/>
      </c>
      <c r="N403" s="99" t="str">
        <f>INDEX(Tableau5[Att3],MATCH(Tableau3[[#This Row],[ID-SIG]],Tableau5[ID],0))&amp;""</f>
        <v/>
      </c>
      <c r="O403" s="99"/>
      <c r="P403" s="99" t="str">
        <f>INDEX(Tableau5[Description],MATCH(Tableau3[[#This Row],[ID-SIG]],Tableau5[ID],0))</f>
        <v>Commande 1 fermeture</v>
      </c>
      <c r="Q403" s="99"/>
      <c r="R403" s="103" t="str">
        <f>Tableau3[[#This Row],[Description]]</f>
        <v>Commande 1 fermeture</v>
      </c>
      <c r="U403" s="87">
        <v>3</v>
      </c>
      <c r="V403" s="87">
        <v>1</v>
      </c>
      <c r="W403" s="87">
        <v>5</v>
      </c>
      <c r="X403" s="87">
        <v>1</v>
      </c>
      <c r="Y403" s="41"/>
      <c r="Z403" s="165" t="str">
        <f>INDEX(Tableau2[TS],MATCH(Tableau3[[#This Row],[ID-CARTEVOIE]],Tableau2[ID-CARTEVOIE],0))</f>
        <v>ST</v>
      </c>
      <c r="AA403" s="53" t="s">
        <v>213</v>
      </c>
      <c r="AB403" s="223" t="str">
        <f>IFERROR(INDEX(Tableau5[Reserve],MATCH(Tableau3[[#This Row],[ID-SIG]],Tableau5[ID],0))&amp;"","")</f>
        <v/>
      </c>
      <c r="AC403" s="21"/>
      <c r="AD403" s="108" t="str">
        <f>INDEX(Tableau7[Repere],MATCH(Tableau3[[#This Row],[ID-API]],Tableau7[ID-API],0))&amp;""</f>
        <v>A3</v>
      </c>
      <c r="AE403" s="108" t="str">
        <f>INDEX(Tableau1[Repere-Rack],MATCH(Tableau3[[#This Row],[ID-RACK]],Tableau1[ID-RACK],0))&amp;""</f>
        <v>R1</v>
      </c>
      <c r="AF403" s="108" t="str">
        <f>INDEX(Tableau1[Repere-Slot],MATCH(Tableau3[[#This Row],[ID-SLOT]],Tableau1[ID-SLOT],0))&amp;""</f>
        <v>S5</v>
      </c>
      <c r="AG403" s="108" t="str">
        <f>INDEX(Tableau2[Repere-Voie],MATCH(Tableau3[[#This Row],[ID-VOIE]],Tableau2[ID-Voie],0))&amp;""</f>
        <v>v1</v>
      </c>
      <c r="AH403" s="72" t="str">
        <f>Tableau3[[#This Row],[ID-API]]&amp; "." &amp;Tableau3[[#This Row],[ID-RACK]]&amp; "." &amp;Tableau3[[#This Row],[ID-SLOT]]</f>
        <v>3.1.5</v>
      </c>
      <c r="AI403" s="72" t="str">
        <f>INDEX(Tableau1[Ref-Carte],MATCH(Tableau3[[#This Row],[ID-RRS]],Tableau1[ID-RRS],0))</f>
        <v>SDO0802</v>
      </c>
      <c r="AJ403" s="72" t="str">
        <f t="array" ref="AJ403">IFERROR(INDEX(Tableau2[TS],MATCH(1,(Tableau2[Ref-Carte]=Tableau3[[#This Row],[Ref-Carte2]])*(Tableau2[ID-Voie]=Tableau3[[#This Row],[ID-VOIE]]),0)),"")</f>
        <v>ST</v>
      </c>
      <c r="AK403" s="72" t="str">
        <f>IFERROR(INDEX(Tableau2[TS],SUMPRODUCT((Tableau2[Ref-Carte]=Tableau3[[#This Row],[Ref-Carte2]])*(Tableau2[ID-Voie]=Tableau3[[#This Row],[ID-VOIE]])*ROW(Tableau2[TS]))-ROW(Tableau2[#Headers])),"")</f>
        <v>ST</v>
      </c>
      <c r="AL403" s="72" t="str">
        <f>Tableau3[[#This Row],[Ref-Carte2]]&amp;"/"&amp;Tableau3[[#This Row],[ID-VOIE]]</f>
        <v>SDO0802/1</v>
      </c>
      <c r="AM403" s="73" t="str">
        <f>INDEX(Tableau2[Borne],MATCH(Tableau3[[#This Row],[ID-CARTEVOIE]],Tableau2[ID-CARTEVOIE],0))&amp;""</f>
        <v>1</v>
      </c>
      <c r="AN403" s="74" t="str">
        <f>Tableau3[[#This Row],[ID-API]]&amp;Tableau3[[#This Row],[ID-RACK]]&amp;Tableau3[[#This Row],[ID-SLOT]]&amp;Tableau3[[#This Row],[BORNE]]</f>
        <v>3151</v>
      </c>
      <c r="AO403" s="1"/>
    </row>
    <row r="404" spans="1:41" ht="20.100000000000001" customHeight="1" thickTop="1" thickBot="1">
      <c r="A404" s="68"/>
      <c r="B404" s="69" t="str">
        <f>IFERROR(INDEX(Tableau4[Date],MATCH($A404,Tableau4[EVO],0)),"")</f>
        <v/>
      </c>
      <c r="C404" s="68" t="str">
        <f>IFERROR(INDEX(Tableau4[Designation],MATCH($A404,Tableau4[EVO],0)),"")</f>
        <v/>
      </c>
      <c r="D404" s="68"/>
      <c r="E404" s="70">
        <v>39</v>
      </c>
      <c r="F404" s="71">
        <v>71</v>
      </c>
      <c r="G404" s="101" t="str">
        <f>INDEX(Tableau8[Att1],MATCH(Tableau3[[#This Row],[ID-INS]],Tableau8[ID],0))&amp;""</f>
        <v>V3</v>
      </c>
      <c r="H404" s="101" t="str">
        <f>INDEX(Tableau8[Att2],MATCH(Tableau3[[#This Row],[ID-INS]],Tableau8[ID],0))&amp;""</f>
        <v>BH8</v>
      </c>
      <c r="I404" s="101" t="str">
        <f>INDEX(Tableau8[Att3],MATCH(Tableau3[[#This Row],[ID-INS]],Tableau8[ID],0))&amp;""</f>
        <v>Barrière BH8</v>
      </c>
      <c r="J404" s="101"/>
      <c r="K404" s="167" t="str">
        <f>INDEX(Tableau8[Nom du modele],MATCH(Tableau3[[#This Row],[ID-INS]],Tableau8[ID],0))&amp;""</f>
        <v>BarriereHerse_1</v>
      </c>
      <c r="L404" s="99" t="str">
        <f>INDEX(Tableau5[Att1],MATCH(Tableau3[[#This Row],[ID-SIG]],Tableau5[ID],0))&amp;""</f>
        <v>FerCmd2</v>
      </c>
      <c r="M404" s="99" t="str">
        <f>INDEX(Tableau5[Att2],MATCH(Tableau3[[#This Row],[ID-SIG]],Tableau5[ID],0))&amp;""</f>
        <v/>
      </c>
      <c r="N404" s="99" t="str">
        <f>INDEX(Tableau5[Att3],MATCH(Tableau3[[#This Row],[ID-SIG]],Tableau5[ID],0))&amp;""</f>
        <v/>
      </c>
      <c r="O404" s="99"/>
      <c r="P404" s="99" t="str">
        <f>INDEX(Tableau5[Description],MATCH(Tableau3[[#This Row],[ID-SIG]],Tableau5[ID],0))</f>
        <v>Commande 2 fermeture</v>
      </c>
      <c r="Q404" s="99"/>
      <c r="R404" s="103" t="str">
        <f>Tableau3[[#This Row],[Description]]</f>
        <v>Commande 2 fermeture</v>
      </c>
      <c r="U404" s="87">
        <v>3</v>
      </c>
      <c r="V404" s="87">
        <v>1</v>
      </c>
      <c r="W404" s="87">
        <v>5</v>
      </c>
      <c r="X404" s="87">
        <v>2</v>
      </c>
      <c r="Y404" s="41"/>
      <c r="Z404" s="165" t="str">
        <f>INDEX(Tableau2[TS],MATCH(Tableau3[[#This Row],[ID-CARTEVOIE]],Tableau2[ID-CARTEVOIE],0))</f>
        <v>ST</v>
      </c>
      <c r="AA404" s="53" t="s">
        <v>213</v>
      </c>
      <c r="AB404" s="223" t="str">
        <f>IFERROR(INDEX(Tableau5[Reserve],MATCH(Tableau3[[#This Row],[ID-SIG]],Tableau5[ID],0))&amp;"","")</f>
        <v/>
      </c>
      <c r="AC404" s="21"/>
      <c r="AD404" s="108" t="str">
        <f>INDEX(Tableau7[Repere],MATCH(Tableau3[[#This Row],[ID-API]],Tableau7[ID-API],0))&amp;""</f>
        <v>A3</v>
      </c>
      <c r="AE404" s="108" t="str">
        <f>INDEX(Tableau1[Repere-Rack],MATCH(Tableau3[[#This Row],[ID-RACK]],Tableau1[ID-RACK],0))&amp;""</f>
        <v>R1</v>
      </c>
      <c r="AF404" s="108" t="str">
        <f>INDEX(Tableau1[Repere-Slot],MATCH(Tableau3[[#This Row],[ID-SLOT]],Tableau1[ID-SLOT],0))&amp;""</f>
        <v>S5</v>
      </c>
      <c r="AG404" s="108" t="str">
        <f>INDEX(Tableau2[Repere-Voie],MATCH(Tableau3[[#This Row],[ID-VOIE]],Tableau2[ID-Voie],0))&amp;""</f>
        <v>v2</v>
      </c>
      <c r="AH404" s="72" t="str">
        <f>Tableau3[[#This Row],[ID-API]]&amp; "." &amp;Tableau3[[#This Row],[ID-RACK]]&amp; "." &amp;Tableau3[[#This Row],[ID-SLOT]]</f>
        <v>3.1.5</v>
      </c>
      <c r="AI404" s="72" t="str">
        <f>INDEX(Tableau1[Ref-Carte],MATCH(Tableau3[[#This Row],[ID-RRS]],Tableau1[ID-RRS],0))</f>
        <v>SDO0802</v>
      </c>
      <c r="AJ404" s="72" t="str">
        <f t="array" ref="AJ404">IFERROR(INDEX(Tableau2[TS],MATCH(1,(Tableau2[Ref-Carte]=Tableau3[[#This Row],[Ref-Carte2]])*(Tableau2[ID-Voie]=Tableau3[[#This Row],[ID-VOIE]]),0)),"")</f>
        <v>ST</v>
      </c>
      <c r="AK404" s="72" t="str">
        <f>IFERROR(INDEX(Tableau2[TS],SUMPRODUCT((Tableau2[Ref-Carte]=Tableau3[[#This Row],[Ref-Carte2]])*(Tableau2[ID-Voie]=Tableau3[[#This Row],[ID-VOIE]])*ROW(Tableau2[TS]))-ROW(Tableau2[#Headers])),"")</f>
        <v>ST</v>
      </c>
      <c r="AL404" s="72" t="str">
        <f>Tableau3[[#This Row],[Ref-Carte2]]&amp;"/"&amp;Tableau3[[#This Row],[ID-VOIE]]</f>
        <v>SDO0802/2</v>
      </c>
      <c r="AM404" s="73" t="str">
        <f>INDEX(Tableau2[Borne],MATCH(Tableau3[[#This Row],[ID-CARTEVOIE]],Tableau2[ID-CARTEVOIE],0))&amp;""</f>
        <v>2</v>
      </c>
      <c r="AN404" s="74" t="str">
        <f>Tableau3[[#This Row],[ID-API]]&amp;Tableau3[[#This Row],[ID-RACK]]&amp;Tableau3[[#This Row],[ID-SLOT]]&amp;Tableau3[[#This Row],[BORNE]]</f>
        <v>3152</v>
      </c>
      <c r="AO404" s="1"/>
    </row>
    <row r="405" spans="1:41" ht="20.100000000000001" customHeight="1" thickTop="1" thickBot="1">
      <c r="A405" s="68"/>
      <c r="B405" s="69" t="str">
        <f>IFERROR(INDEX(Tableau4[Date],MATCH($A405,Tableau4[EVO],0)),"")</f>
        <v/>
      </c>
      <c r="C405" s="68" t="str">
        <f>IFERROR(INDEX(Tableau4[Designation],MATCH($A405,Tableau4[EVO],0)),"")</f>
        <v/>
      </c>
      <c r="D405" s="68"/>
      <c r="E405" s="70">
        <v>73</v>
      </c>
      <c r="F405" s="71">
        <v>63</v>
      </c>
      <c r="G405" s="101" t="str">
        <f>INDEX(Tableau8[Att1],MATCH(Tableau3[[#This Row],[ID-INS]],Tableau8[ID],0))&amp;""</f>
        <v>V2</v>
      </c>
      <c r="H405" s="101" t="str">
        <f>INDEX(Tableau8[Att2],MATCH(Tableau3[[#This Row],[ID-INS]],Tableau8[ID],0))&amp;""</f>
        <v>BH2</v>
      </c>
      <c r="I405" s="101" t="str">
        <f>INDEX(Tableau8[Att3],MATCH(Tableau3[[#This Row],[ID-INS]],Tableau8[ID],0))&amp;""</f>
        <v>Barrière BH2</v>
      </c>
      <c r="J405" s="101"/>
      <c r="K405" s="167" t="str">
        <f>INDEX(Tableau8[Nom du modele],MATCH(Tableau3[[#This Row],[ID-INS]],Tableau8[ID],0))&amp;""</f>
        <v>BarriereLisse</v>
      </c>
      <c r="L405" s="99" t="str">
        <f>INDEX(Tableau5[Att1],MATCH(Tableau3[[#This Row],[ID-SIG]],Tableau5[ID],0))&amp;""</f>
        <v>OuvCmd</v>
      </c>
      <c r="M405" s="99" t="str">
        <f>INDEX(Tableau5[Att2],MATCH(Tableau3[[#This Row],[ID-SIG]],Tableau5[ID],0))&amp;""</f>
        <v/>
      </c>
      <c r="N405" s="99" t="str">
        <f>INDEX(Tableau5[Att3],MATCH(Tableau3[[#This Row],[ID-SIG]],Tableau5[ID],0))&amp;""</f>
        <v/>
      </c>
      <c r="O405" s="99"/>
      <c r="P405" s="99" t="str">
        <f>INDEX(Tableau5[Description],MATCH(Tableau3[[#This Row],[ID-SIG]],Tableau5[ID],0))</f>
        <v>Commande ouverture</v>
      </c>
      <c r="Q405" s="99"/>
      <c r="R405" s="103" t="str">
        <f>Tableau3[[#This Row],[Description]]</f>
        <v>Commande ouverture</v>
      </c>
      <c r="U405" s="87">
        <v>3</v>
      </c>
      <c r="V405" s="87">
        <v>1</v>
      </c>
      <c r="W405" s="87">
        <v>5</v>
      </c>
      <c r="X405" s="87">
        <v>3</v>
      </c>
      <c r="Y405" s="41"/>
      <c r="Z405" s="165" t="str">
        <f>INDEX(Tableau2[TS],MATCH(Tableau3[[#This Row],[ID-CARTEVOIE]],Tableau2[ID-CARTEVOIE],0))</f>
        <v>ST</v>
      </c>
      <c r="AA405" s="53" t="s">
        <v>213</v>
      </c>
      <c r="AB405" s="223" t="str">
        <f>IFERROR(INDEX(Tableau5[Reserve],MATCH(Tableau3[[#This Row],[ID-SIG]],Tableau5[ID],0))&amp;"","")</f>
        <v/>
      </c>
      <c r="AC405" s="21"/>
      <c r="AD405" s="108" t="str">
        <f>INDEX(Tableau7[Repere],MATCH(Tableau3[[#This Row],[ID-API]],Tableau7[ID-API],0))&amp;""</f>
        <v>A3</v>
      </c>
      <c r="AE405" s="108" t="str">
        <f>INDEX(Tableau1[Repere-Rack],MATCH(Tableau3[[#This Row],[ID-RACK]],Tableau1[ID-RACK],0))&amp;""</f>
        <v>R1</v>
      </c>
      <c r="AF405" s="108" t="str">
        <f>INDEX(Tableau1[Repere-Slot],MATCH(Tableau3[[#This Row],[ID-SLOT]],Tableau1[ID-SLOT],0))&amp;""</f>
        <v>S5</v>
      </c>
      <c r="AG405" s="108" t="str">
        <f>INDEX(Tableau2[Repere-Voie],MATCH(Tableau3[[#This Row],[ID-VOIE]],Tableau2[ID-Voie],0))&amp;""</f>
        <v>v3</v>
      </c>
      <c r="AH405" s="72" t="str">
        <f>Tableau3[[#This Row],[ID-API]]&amp; "." &amp;Tableau3[[#This Row],[ID-RACK]]&amp; "." &amp;Tableau3[[#This Row],[ID-SLOT]]</f>
        <v>3.1.5</v>
      </c>
      <c r="AI405" s="72" t="str">
        <f>INDEX(Tableau1[Ref-Carte],MATCH(Tableau3[[#This Row],[ID-RRS]],Tableau1[ID-RRS],0))</f>
        <v>SDO0802</v>
      </c>
      <c r="AJ405" s="72" t="str">
        <f t="array" ref="AJ405">IFERROR(INDEX(Tableau2[TS],MATCH(1,(Tableau2[Ref-Carte]=Tableau3[[#This Row],[Ref-Carte2]])*(Tableau2[ID-Voie]=Tableau3[[#This Row],[ID-VOIE]]),0)),"")</f>
        <v>ST</v>
      </c>
      <c r="AK405" s="72" t="str">
        <f>IFERROR(INDEX(Tableau2[TS],SUMPRODUCT((Tableau2[Ref-Carte]=Tableau3[[#This Row],[Ref-Carte2]])*(Tableau2[ID-Voie]=Tableau3[[#This Row],[ID-VOIE]])*ROW(Tableau2[TS]))-ROW(Tableau2[#Headers])),"")</f>
        <v>ST</v>
      </c>
      <c r="AL405" s="72" t="str">
        <f>Tableau3[[#This Row],[Ref-Carte2]]&amp;"/"&amp;Tableau3[[#This Row],[ID-VOIE]]</f>
        <v>SDO0802/3</v>
      </c>
      <c r="AM405" s="73" t="str">
        <f>INDEX(Tableau2[Borne],MATCH(Tableau3[[#This Row],[ID-CARTEVOIE]],Tableau2[ID-CARTEVOIE],0))&amp;""</f>
        <v>3</v>
      </c>
      <c r="AN405" s="74" t="str">
        <f>Tableau3[[#This Row],[ID-API]]&amp;Tableau3[[#This Row],[ID-RACK]]&amp;Tableau3[[#This Row],[ID-SLOT]]&amp;Tableau3[[#This Row],[BORNE]]</f>
        <v>3153</v>
      </c>
      <c r="AO405" s="1"/>
    </row>
    <row r="406" spans="1:41" ht="20.100000000000001" customHeight="1" thickTop="1" thickBot="1">
      <c r="A406" s="68"/>
      <c r="B406" s="69" t="str">
        <f>IFERROR(INDEX(Tableau4[Date],MATCH($A406,Tableau4[EVO],0)),"")</f>
        <v/>
      </c>
      <c r="C406" s="68" t="str">
        <f>IFERROR(INDEX(Tableau4[Designation],MATCH($A406,Tableau4[EVO],0)),"")</f>
        <v/>
      </c>
      <c r="D406" s="68"/>
      <c r="E406" s="70">
        <v>73</v>
      </c>
      <c r="F406" s="71">
        <v>64</v>
      </c>
      <c r="G406" s="101" t="str">
        <f>INDEX(Tableau8[Att1],MATCH(Tableau3[[#This Row],[ID-INS]],Tableau8[ID],0))&amp;""</f>
        <v>V2</v>
      </c>
      <c r="H406" s="101" t="str">
        <f>INDEX(Tableau8[Att2],MATCH(Tableau3[[#This Row],[ID-INS]],Tableau8[ID],0))&amp;""</f>
        <v>BH2</v>
      </c>
      <c r="I406" s="101" t="str">
        <f>INDEX(Tableau8[Att3],MATCH(Tableau3[[#This Row],[ID-INS]],Tableau8[ID],0))&amp;""</f>
        <v>Barrière BH2</v>
      </c>
      <c r="J406" s="101"/>
      <c r="K406" s="167" t="str">
        <f>INDEX(Tableau8[Nom du modele],MATCH(Tableau3[[#This Row],[ID-INS]],Tableau8[ID],0))&amp;""</f>
        <v>BarriereLisse</v>
      </c>
      <c r="L406" s="99" t="str">
        <f>INDEX(Tableau5[Att1],MATCH(Tableau3[[#This Row],[ID-SIG]],Tableau5[ID],0))&amp;""</f>
        <v>FerCmd</v>
      </c>
      <c r="M406" s="99" t="str">
        <f>INDEX(Tableau5[Att2],MATCH(Tableau3[[#This Row],[ID-SIG]],Tableau5[ID],0))&amp;""</f>
        <v/>
      </c>
      <c r="N406" s="99" t="str">
        <f>INDEX(Tableau5[Att3],MATCH(Tableau3[[#This Row],[ID-SIG]],Tableau5[ID],0))&amp;""</f>
        <v/>
      </c>
      <c r="O406" s="99"/>
      <c r="P406" s="99" t="str">
        <f>INDEX(Tableau5[Description],MATCH(Tableau3[[#This Row],[ID-SIG]],Tableau5[ID],0))</f>
        <v>Commande fermeture</v>
      </c>
      <c r="Q406" s="99"/>
      <c r="R406" s="103" t="str">
        <f>Tableau3[[#This Row],[Description]]</f>
        <v>Commande fermeture</v>
      </c>
      <c r="U406" s="87">
        <v>3</v>
      </c>
      <c r="V406" s="87">
        <v>1</v>
      </c>
      <c r="W406" s="87">
        <v>5</v>
      </c>
      <c r="X406" s="87">
        <v>4</v>
      </c>
      <c r="Y406" s="41"/>
      <c r="Z406" s="165" t="str">
        <f>INDEX(Tableau2[TS],MATCH(Tableau3[[#This Row],[ID-CARTEVOIE]],Tableau2[ID-CARTEVOIE],0))</f>
        <v>ST</v>
      </c>
      <c r="AA406" s="53" t="s">
        <v>213</v>
      </c>
      <c r="AB406" s="223" t="str">
        <f>IFERROR(INDEX(Tableau5[Reserve],MATCH(Tableau3[[#This Row],[ID-SIG]],Tableau5[ID],0))&amp;"","")</f>
        <v/>
      </c>
      <c r="AC406" s="21"/>
      <c r="AD406" s="108" t="str">
        <f>INDEX(Tableau7[Repere],MATCH(Tableau3[[#This Row],[ID-API]],Tableau7[ID-API],0))&amp;""</f>
        <v>A3</v>
      </c>
      <c r="AE406" s="108" t="str">
        <f>INDEX(Tableau1[Repere-Rack],MATCH(Tableau3[[#This Row],[ID-RACK]],Tableau1[ID-RACK],0))&amp;""</f>
        <v>R1</v>
      </c>
      <c r="AF406" s="108" t="str">
        <f>INDEX(Tableau1[Repere-Slot],MATCH(Tableau3[[#This Row],[ID-SLOT]],Tableau1[ID-SLOT],0))&amp;""</f>
        <v>S5</v>
      </c>
      <c r="AG406" s="108" t="str">
        <f>INDEX(Tableau2[Repere-Voie],MATCH(Tableau3[[#This Row],[ID-VOIE]],Tableau2[ID-Voie],0))&amp;""</f>
        <v>v4</v>
      </c>
      <c r="AH406" s="72" t="str">
        <f>Tableau3[[#This Row],[ID-API]]&amp; "." &amp;Tableau3[[#This Row],[ID-RACK]]&amp; "." &amp;Tableau3[[#This Row],[ID-SLOT]]</f>
        <v>3.1.5</v>
      </c>
      <c r="AI406" s="72" t="str">
        <f>INDEX(Tableau1[Ref-Carte],MATCH(Tableau3[[#This Row],[ID-RRS]],Tableau1[ID-RRS],0))</f>
        <v>SDO0802</v>
      </c>
      <c r="AJ406" s="72" t="str">
        <f t="array" ref="AJ406">IFERROR(INDEX(Tableau2[TS],MATCH(1,(Tableau2[Ref-Carte]=Tableau3[[#This Row],[Ref-Carte2]])*(Tableau2[ID-Voie]=Tableau3[[#This Row],[ID-VOIE]]),0)),"")</f>
        <v>ST</v>
      </c>
      <c r="AK406" s="72" t="str">
        <f>IFERROR(INDEX(Tableau2[TS],SUMPRODUCT((Tableau2[Ref-Carte]=Tableau3[[#This Row],[Ref-Carte2]])*(Tableau2[ID-Voie]=Tableau3[[#This Row],[ID-VOIE]])*ROW(Tableau2[TS]))-ROW(Tableau2[#Headers])),"")</f>
        <v>ST</v>
      </c>
      <c r="AL406" s="72" t="str">
        <f>Tableau3[[#This Row],[Ref-Carte2]]&amp;"/"&amp;Tableau3[[#This Row],[ID-VOIE]]</f>
        <v>SDO0802/4</v>
      </c>
      <c r="AM406" s="73" t="str">
        <f>INDEX(Tableau2[Borne],MATCH(Tableau3[[#This Row],[ID-CARTEVOIE]],Tableau2[ID-CARTEVOIE],0))&amp;""</f>
        <v>4</v>
      </c>
      <c r="AN406" s="74" t="str">
        <f>Tableau3[[#This Row],[ID-API]]&amp;Tableau3[[#This Row],[ID-RACK]]&amp;Tableau3[[#This Row],[ID-SLOT]]&amp;Tableau3[[#This Row],[BORNE]]</f>
        <v>3154</v>
      </c>
      <c r="AO406" s="1"/>
    </row>
    <row r="407" spans="1:41" ht="20.100000000000001" customHeight="1" thickTop="1" thickBot="1">
      <c r="A407" s="68"/>
      <c r="B407" s="69" t="str">
        <f>IFERROR(INDEX(Tableau4[Date],MATCH($A407,Tableau4[EVO],0)),"")</f>
        <v/>
      </c>
      <c r="C407" s="68" t="str">
        <f>IFERROR(INDEX(Tableau4[Designation],MATCH($A407,Tableau4[EVO],0)),"")</f>
        <v/>
      </c>
      <c r="D407" s="68"/>
      <c r="E407" s="70">
        <v>73</v>
      </c>
      <c r="F407" s="71">
        <v>65</v>
      </c>
      <c r="G407" s="101" t="str">
        <f>INDEX(Tableau8[Att1],MATCH(Tableau3[[#This Row],[ID-INS]],Tableau8[ID],0))&amp;""</f>
        <v>V2</v>
      </c>
      <c r="H407" s="101" t="str">
        <f>INDEX(Tableau8[Att2],MATCH(Tableau3[[#This Row],[ID-INS]],Tableau8[ID],0))&amp;""</f>
        <v>BH2</v>
      </c>
      <c r="I407" s="101" t="str">
        <f>INDEX(Tableau8[Att3],MATCH(Tableau3[[#This Row],[ID-INS]],Tableau8[ID],0))&amp;""</f>
        <v>Barrière BH2</v>
      </c>
      <c r="J407" s="101"/>
      <c r="K407" s="167" t="str">
        <f>INDEX(Tableau8[Nom du modele],MATCH(Tableau3[[#This Row],[ID-INS]],Tableau8[ID],0))&amp;""</f>
        <v>BarriereLisse</v>
      </c>
      <c r="L407" s="99" t="str">
        <f>INDEX(Tableau5[Att1],MATCH(Tableau3[[#This Row],[ID-SIG]],Tableau5[ID],0))&amp;""</f>
        <v>Réserve</v>
      </c>
      <c r="M407" s="99" t="str">
        <f>INDEX(Tableau5[Att2],MATCH(Tableau3[[#This Row],[ID-SIG]],Tableau5[ID],0))&amp;""</f>
        <v/>
      </c>
      <c r="N407" s="99" t="str">
        <f>INDEX(Tableau5[Att3],MATCH(Tableau3[[#This Row],[ID-SIG]],Tableau5[ID],0))&amp;""</f>
        <v/>
      </c>
      <c r="O407" s="99"/>
      <c r="P407" s="99" t="str">
        <f>INDEX(Tableau5[Description],MATCH(Tableau3[[#This Row],[ID-SIG]],Tableau5[ID],0))</f>
        <v>Réserve</v>
      </c>
      <c r="Q407" s="99"/>
      <c r="R407" s="103" t="str">
        <f>Tableau3[[#This Row],[Description]]</f>
        <v>Réserve</v>
      </c>
      <c r="U407" s="87">
        <v>3</v>
      </c>
      <c r="V407" s="87">
        <v>1</v>
      </c>
      <c r="W407" s="87">
        <v>5</v>
      </c>
      <c r="X407" s="87">
        <v>5</v>
      </c>
      <c r="Y407" s="41"/>
      <c r="Z407" s="165" t="str">
        <f>INDEX(Tableau2[TS],MATCH(Tableau3[[#This Row],[ID-CARTEVOIE]],Tableau2[ID-CARTEVOIE],0))</f>
        <v>ST</v>
      </c>
      <c r="AA407" s="53" t="s">
        <v>213</v>
      </c>
      <c r="AB407" s="223" t="str">
        <f>IFERROR(INDEX(Tableau5[Reserve],MATCH(Tableau3[[#This Row],[ID-SIG]],Tableau5[ID],0))&amp;"","")</f>
        <v/>
      </c>
      <c r="AC407" s="21"/>
      <c r="AD407" s="108" t="str">
        <f>INDEX(Tableau7[Repere],MATCH(Tableau3[[#This Row],[ID-API]],Tableau7[ID-API],0))&amp;""</f>
        <v>A3</v>
      </c>
      <c r="AE407" s="108" t="str">
        <f>INDEX(Tableau1[Repere-Rack],MATCH(Tableau3[[#This Row],[ID-RACK]],Tableau1[ID-RACK],0))&amp;""</f>
        <v>R1</v>
      </c>
      <c r="AF407" s="108" t="str">
        <f>INDEX(Tableau1[Repere-Slot],MATCH(Tableau3[[#This Row],[ID-SLOT]],Tableau1[ID-SLOT],0))&amp;""</f>
        <v>S5</v>
      </c>
      <c r="AG407" s="108" t="str">
        <f>INDEX(Tableau2[Repere-Voie],MATCH(Tableau3[[#This Row],[ID-VOIE]],Tableau2[ID-Voie],0))&amp;""</f>
        <v>v5</v>
      </c>
      <c r="AH407" s="72" t="str">
        <f>Tableau3[[#This Row],[ID-API]]&amp; "." &amp;Tableau3[[#This Row],[ID-RACK]]&amp; "." &amp;Tableau3[[#This Row],[ID-SLOT]]</f>
        <v>3.1.5</v>
      </c>
      <c r="AI407" s="72" t="str">
        <f>INDEX(Tableau1[Ref-Carte],MATCH(Tableau3[[#This Row],[ID-RRS]],Tableau1[ID-RRS],0))</f>
        <v>SDO0802</v>
      </c>
      <c r="AJ407" s="72" t="str">
        <f t="array" ref="AJ407">IFERROR(INDEX(Tableau2[TS],MATCH(1,(Tableau2[Ref-Carte]=Tableau3[[#This Row],[Ref-Carte2]])*(Tableau2[ID-Voie]=Tableau3[[#This Row],[ID-VOIE]]),0)),"")</f>
        <v>ST</v>
      </c>
      <c r="AK407" s="72" t="str">
        <f>IFERROR(INDEX(Tableau2[TS],SUMPRODUCT((Tableau2[Ref-Carte]=Tableau3[[#This Row],[Ref-Carte2]])*(Tableau2[ID-Voie]=Tableau3[[#This Row],[ID-VOIE]])*ROW(Tableau2[TS]))-ROW(Tableau2[#Headers])),"")</f>
        <v>ST</v>
      </c>
      <c r="AL407" s="72" t="str">
        <f>Tableau3[[#This Row],[Ref-Carte2]]&amp;"/"&amp;Tableau3[[#This Row],[ID-VOIE]]</f>
        <v>SDO0802/5</v>
      </c>
      <c r="AM407" s="73" t="str">
        <f>INDEX(Tableau2[Borne],MATCH(Tableau3[[#This Row],[ID-CARTEVOIE]],Tableau2[ID-CARTEVOIE],0))&amp;""</f>
        <v>5</v>
      </c>
      <c r="AN407" s="74" t="str">
        <f>Tableau3[[#This Row],[ID-API]]&amp;Tableau3[[#This Row],[ID-RACK]]&amp;Tableau3[[#This Row],[ID-SLOT]]&amp;Tableau3[[#This Row],[BORNE]]</f>
        <v>3155</v>
      </c>
      <c r="AO407" s="1"/>
    </row>
    <row r="408" spans="1:41" ht="20.100000000000001" customHeight="1" thickTop="1" thickBot="1">
      <c r="A408" s="75"/>
      <c r="B408" s="76" t="str">
        <f>IFERROR(INDEX(Tableau4[Date],MATCH($A408,Tableau4[EVO],0)),"")</f>
        <v/>
      </c>
      <c r="C408" s="75" t="str">
        <f>IFERROR(INDEX(Tableau4[Designation],MATCH($A408,Tableau4[EVO],0)),"")</f>
        <v/>
      </c>
      <c r="D408" s="75"/>
      <c r="E408" s="79">
        <v>78</v>
      </c>
      <c r="F408" s="80">
        <v>63</v>
      </c>
      <c r="G408" s="102" t="str">
        <f>INDEX(Tableau8[Att1],MATCH(Tableau3[[#This Row],[ID-INS]],Tableau8[ID],0))&amp;""</f>
        <v>V2</v>
      </c>
      <c r="H408" s="102" t="str">
        <f>INDEX(Tableau8[Att2],MATCH(Tableau3[[#This Row],[ID-INS]],Tableau8[ID],0))&amp;""</f>
        <v>BR2</v>
      </c>
      <c r="I408" s="102" t="str">
        <f>INDEX(Tableau8[Att3],MATCH(Tableau3[[#This Row],[ID-INS]],Tableau8[ID],0))&amp;""</f>
        <v>Barrière BR2</v>
      </c>
      <c r="J408" s="102"/>
      <c r="K408" s="167" t="str">
        <f>INDEX(Tableau8[Nom du modele],MATCH(Tableau3[[#This Row],[ID-INS]],Tableau8[ID],0))&amp;""</f>
        <v>BarriereLisse</v>
      </c>
      <c r="L408" s="100" t="str">
        <f>INDEX(Tableau5[Att1],MATCH(Tableau3[[#This Row],[ID-SIG]],Tableau5[ID],0))&amp;""</f>
        <v>OuvCmd</v>
      </c>
      <c r="M408" s="100" t="str">
        <f>INDEX(Tableau5[Att2],MATCH(Tableau3[[#This Row],[ID-SIG]],Tableau5[ID],0))&amp;""</f>
        <v/>
      </c>
      <c r="N408" s="100" t="str">
        <f>INDEX(Tableau5[Att3],MATCH(Tableau3[[#This Row],[ID-SIG]],Tableau5[ID],0))&amp;""</f>
        <v/>
      </c>
      <c r="O408" s="100"/>
      <c r="P408" s="100" t="str">
        <f>INDEX(Tableau5[Description],MATCH(Tableau3[[#This Row],[ID-SIG]],Tableau5[ID],0))</f>
        <v>Commande ouverture</v>
      </c>
      <c r="Q408" s="100"/>
      <c r="R408" s="104" t="str">
        <f>Tableau3[[#This Row],[Description]]</f>
        <v>Commande ouverture</v>
      </c>
      <c r="U408" s="88">
        <v>3</v>
      </c>
      <c r="V408" s="88">
        <v>1</v>
      </c>
      <c r="W408" s="88">
        <v>5</v>
      </c>
      <c r="X408" s="88">
        <v>6</v>
      </c>
      <c r="Y408" s="41"/>
      <c r="Z408" s="166" t="str">
        <f>INDEX(Tableau2[TS],MATCH(Tableau3[[#This Row],[ID-CARTEVOIE]],Tableau2[ID-CARTEVOIE],0))</f>
        <v>ST</v>
      </c>
      <c r="AA408" s="81" t="s">
        <v>213</v>
      </c>
      <c r="AB408" s="226" t="str">
        <f>IFERROR(INDEX(Tableau5[Reserve],MATCH(Tableau3[[#This Row],[ID-SIG]],Tableau5[ID],0))&amp;"","")</f>
        <v/>
      </c>
      <c r="AC408" s="21"/>
      <c r="AD408" s="108" t="str">
        <f>INDEX(Tableau7[Repere],MATCH(Tableau3[[#This Row],[ID-API]],Tableau7[ID-API],0))&amp;""</f>
        <v>A3</v>
      </c>
      <c r="AE408" s="109" t="str">
        <f>INDEX(Tableau1[Repere-Rack],MATCH(Tableau3[[#This Row],[ID-RACK]],Tableau1[ID-RACK],0))&amp;""</f>
        <v>R1</v>
      </c>
      <c r="AF408" s="109" t="str">
        <f>INDEX(Tableau1[Repere-Slot],MATCH(Tableau3[[#This Row],[ID-SLOT]],Tableau1[ID-SLOT],0))&amp;""</f>
        <v>S5</v>
      </c>
      <c r="AG408" s="109" t="str">
        <f>INDEX(Tableau2[Repere-Voie],MATCH(Tableau3[[#This Row],[ID-VOIE]],Tableau2[ID-Voie],0))&amp;""</f>
        <v>v6</v>
      </c>
      <c r="AH408" s="72" t="str">
        <f>Tableau3[[#This Row],[ID-API]]&amp; "." &amp;Tableau3[[#This Row],[ID-RACK]]&amp; "." &amp;Tableau3[[#This Row],[ID-SLOT]]</f>
        <v>3.1.5</v>
      </c>
      <c r="AI408" s="72" t="str">
        <f>INDEX(Tableau1[Ref-Carte],MATCH(Tableau3[[#This Row],[ID-RRS]],Tableau1[ID-RRS],0))</f>
        <v>SDO0802</v>
      </c>
      <c r="AJ408" s="72" t="str">
        <f t="array" ref="AJ408">IFERROR(INDEX(Tableau2[TS],MATCH(1,(Tableau2[Ref-Carte]=Tableau3[[#This Row],[Ref-Carte2]])*(Tableau2[ID-Voie]=Tableau3[[#This Row],[ID-VOIE]]),0)),"")</f>
        <v>ST</v>
      </c>
      <c r="AK408" s="72" t="str">
        <f>IFERROR(INDEX(Tableau2[TS],SUMPRODUCT((Tableau2[Ref-Carte]=Tableau3[[#This Row],[Ref-Carte2]])*(Tableau2[ID-Voie]=Tableau3[[#This Row],[ID-VOIE]])*ROW(Tableau2[TS]))-ROW(Tableau2[#Headers])),"")</f>
        <v>ST</v>
      </c>
      <c r="AL408" s="72" t="str">
        <f>Tableau3[[#This Row],[Ref-Carte2]]&amp;"/"&amp;Tableau3[[#This Row],[ID-VOIE]]</f>
        <v>SDO0802/6</v>
      </c>
      <c r="AM408" s="77" t="str">
        <f>INDEX(Tableau2[Borne],MATCH(Tableau3[[#This Row],[ID-CARTEVOIE]],Tableau2[ID-CARTEVOIE],0))&amp;""</f>
        <v>6</v>
      </c>
      <c r="AN408" s="74" t="str">
        <f>Tableau3[[#This Row],[ID-API]]&amp;Tableau3[[#This Row],[ID-RACK]]&amp;Tableau3[[#This Row],[ID-SLOT]]&amp;Tableau3[[#This Row],[BORNE]]</f>
        <v>3156</v>
      </c>
      <c r="AO408" s="1"/>
    </row>
    <row r="409" spans="1:41" ht="20.100000000000001" customHeight="1" thickTop="1" thickBot="1">
      <c r="A409" s="75"/>
      <c r="B409" s="76" t="str">
        <f>IFERROR(INDEX(Tableau4[Date],MATCH($A409,Tableau4[EVO],0)),"")</f>
        <v/>
      </c>
      <c r="C409" s="75" t="str">
        <f>IFERROR(INDEX(Tableau4[Designation],MATCH($A409,Tableau4[EVO],0)),"")</f>
        <v/>
      </c>
      <c r="D409" s="75"/>
      <c r="E409" s="79">
        <v>78</v>
      </c>
      <c r="F409" s="80">
        <v>64</v>
      </c>
      <c r="G409" s="126" t="str">
        <f>INDEX(Tableau8[Att1],MATCH(Tableau3[[#This Row],[ID-INS]],Tableau8[ID],0))&amp;""</f>
        <v>V2</v>
      </c>
      <c r="H409" s="126" t="str">
        <f>INDEX(Tableau8[Att2],MATCH(Tableau3[[#This Row],[ID-INS]],Tableau8[ID],0))&amp;""</f>
        <v>BR2</v>
      </c>
      <c r="I409" s="126" t="str">
        <f>INDEX(Tableau8[Att3],MATCH(Tableau3[[#This Row],[ID-INS]],Tableau8[ID],0))&amp;""</f>
        <v>Barrière BR2</v>
      </c>
      <c r="J409" s="126"/>
      <c r="K409" s="167" t="str">
        <f>INDEX(Tableau8[Nom du modele],MATCH(Tableau3[[#This Row],[ID-INS]],Tableau8[ID],0))&amp;""</f>
        <v>BarriereLisse</v>
      </c>
      <c r="L409" s="127" t="str">
        <f>INDEX(Tableau5[Att1],MATCH(Tableau3[[#This Row],[ID-SIG]],Tableau5[ID],0))&amp;""</f>
        <v>FerCmd</v>
      </c>
      <c r="M409" s="127" t="str">
        <f>INDEX(Tableau5[Att2],MATCH(Tableau3[[#This Row],[ID-SIG]],Tableau5[ID],0))&amp;""</f>
        <v/>
      </c>
      <c r="N409" s="127" t="str">
        <f>INDEX(Tableau5[Att3],MATCH(Tableau3[[#This Row],[ID-SIG]],Tableau5[ID],0))&amp;""</f>
        <v/>
      </c>
      <c r="O409" s="127"/>
      <c r="P409" s="127" t="str">
        <f>INDEX(Tableau5[Description],MATCH(Tableau3[[#This Row],[ID-SIG]],Tableau5[ID],0))</f>
        <v>Commande fermeture</v>
      </c>
      <c r="Q409" s="127"/>
      <c r="R409" s="143" t="str">
        <f>Tableau3[[#This Row],[Description]]</f>
        <v>Commande fermeture</v>
      </c>
      <c r="U409" s="130">
        <v>3</v>
      </c>
      <c r="V409" s="130">
        <v>1</v>
      </c>
      <c r="W409" s="130">
        <v>5</v>
      </c>
      <c r="X409" s="130">
        <v>7</v>
      </c>
      <c r="Y409" s="41"/>
      <c r="Z409" s="166" t="str">
        <f>INDEX(Tableau2[TS],MATCH(Tableau3[[#This Row],[ID-CARTEVOIE]],Tableau2[ID-CARTEVOIE],0))</f>
        <v>ST</v>
      </c>
      <c r="AA409" s="81" t="s">
        <v>213</v>
      </c>
      <c r="AB409" s="226" t="str">
        <f>IFERROR(INDEX(Tableau5[Reserve],MATCH(Tableau3[[#This Row],[ID-SIG]],Tableau5[ID],0))&amp;"","")</f>
        <v/>
      </c>
      <c r="AC409" s="21"/>
      <c r="AD409" s="108" t="str">
        <f>INDEX(Tableau7[Repere],MATCH(Tableau3[[#This Row],[ID-API]],Tableau7[ID-API],0))&amp;""</f>
        <v>A3</v>
      </c>
      <c r="AE409" s="109" t="str">
        <f>INDEX(Tableau1[Repere-Rack],MATCH(Tableau3[[#This Row],[ID-RACK]],Tableau1[ID-RACK],0))&amp;""</f>
        <v>R1</v>
      </c>
      <c r="AF409" s="109" t="str">
        <f>INDEX(Tableau1[Repere-Slot],MATCH(Tableau3[[#This Row],[ID-SLOT]],Tableau1[ID-SLOT],0))&amp;""</f>
        <v>S5</v>
      </c>
      <c r="AG409" s="109" t="str">
        <f>INDEX(Tableau2[Repere-Voie],MATCH(Tableau3[[#This Row],[ID-VOIE]],Tableau2[ID-Voie],0))&amp;""</f>
        <v>v7</v>
      </c>
      <c r="AH409" s="72" t="str">
        <f>Tableau3[[#This Row],[ID-API]]&amp; "." &amp;Tableau3[[#This Row],[ID-RACK]]&amp; "." &amp;Tableau3[[#This Row],[ID-SLOT]]</f>
        <v>3.1.5</v>
      </c>
      <c r="AI409" s="72" t="str">
        <f>INDEX(Tableau1[Ref-Carte],MATCH(Tableau3[[#This Row],[ID-RRS]],Tableau1[ID-RRS],0))</f>
        <v>SDO0802</v>
      </c>
      <c r="AJ409" s="72" t="str">
        <f t="array" ref="AJ409">IFERROR(INDEX(Tableau2[TS],MATCH(1,(Tableau2[Ref-Carte]=Tableau3[[#This Row],[Ref-Carte2]])*(Tableau2[ID-Voie]=Tableau3[[#This Row],[ID-VOIE]]),0)),"")</f>
        <v>ST</v>
      </c>
      <c r="AK409" s="72" t="str">
        <f>IFERROR(INDEX(Tableau2[TS],SUMPRODUCT((Tableau2[Ref-Carte]=Tableau3[[#This Row],[Ref-Carte2]])*(Tableau2[ID-Voie]=Tableau3[[#This Row],[ID-VOIE]])*ROW(Tableau2[TS]))-ROW(Tableau2[#Headers])),"")</f>
        <v>ST</v>
      </c>
      <c r="AL409" s="72" t="str">
        <f>Tableau3[[#This Row],[Ref-Carte2]]&amp;"/"&amp;Tableau3[[#This Row],[ID-VOIE]]</f>
        <v>SDO0802/7</v>
      </c>
      <c r="AM409" s="77" t="str">
        <f>INDEX(Tableau2[Borne],MATCH(Tableau3[[#This Row],[ID-CARTEVOIE]],Tableau2[ID-CARTEVOIE],0))&amp;""</f>
        <v>7</v>
      </c>
      <c r="AN409" s="74" t="str">
        <f>Tableau3[[#This Row],[ID-API]]&amp;Tableau3[[#This Row],[ID-RACK]]&amp;Tableau3[[#This Row],[ID-SLOT]]&amp;Tableau3[[#This Row],[BORNE]]</f>
        <v>3157</v>
      </c>
      <c r="AO409" s="1"/>
    </row>
    <row r="410" spans="1:41" ht="20.100000000000001" customHeight="1" thickTop="1" thickBot="1">
      <c r="A410" s="75"/>
      <c r="B410" s="76" t="str">
        <f>IFERROR(INDEX(Tableau4[Date],MATCH($A410,Tableau4[EVO],0)),"")</f>
        <v/>
      </c>
      <c r="C410" s="75" t="str">
        <f>IFERROR(INDEX(Tableau4[Designation],MATCH($A410,Tableau4[EVO],0)),"")</f>
        <v/>
      </c>
      <c r="D410" s="75"/>
      <c r="E410" s="79">
        <v>1</v>
      </c>
      <c r="F410" s="80">
        <v>226</v>
      </c>
      <c r="G410" s="102" t="str">
        <f>INDEX(Tableau8[Att1],MATCH(Tableau3[[#This Row],[ID-INS]],Tableau8[ID],0))&amp;""</f>
        <v>V12</v>
      </c>
      <c r="H410" s="102" t="str">
        <f>INDEX(Tableau8[Att2],MATCH(Tableau3[[#This Row],[ID-INS]],Tableau8[ID],0))&amp;""</f>
        <v>P1</v>
      </c>
      <c r="I410" s="102" t="str">
        <f>INDEX(Tableau8[Att3],MATCH(Tableau3[[#This Row],[ID-INS]],Tableau8[ID],0))&amp;""</f>
        <v>Portail P1</v>
      </c>
      <c r="J410" s="102"/>
      <c r="K410" s="167" t="str">
        <f>INDEX(Tableau8[Nom du modele],MATCH(Tableau3[[#This Row],[ID-INS]],Tableau8[ID],0))&amp;""</f>
        <v>PortailR2V_1</v>
      </c>
      <c r="L410" s="100" t="str">
        <f>INDEX(Tableau5[Att1],MATCH(Tableau3[[#This Row],[ID-SIG]],Tableau5[ID],0))&amp;""</f>
        <v>V1_GrpHydRet2</v>
      </c>
      <c r="M410" s="100" t="str">
        <f>INDEX(Tableau5[Att2],MATCH(Tableau3[[#This Row],[ID-SIG]],Tableau5[ID],0))&amp;""</f>
        <v/>
      </c>
      <c r="N410" s="100" t="str">
        <f>INDEX(Tableau5[Att3],MATCH(Tableau3[[#This Row],[ID-SIG]],Tableau5[ID],0))&amp;""</f>
        <v/>
      </c>
      <c r="O410" s="100"/>
      <c r="P410" s="100" t="str">
        <f>INDEX(Tableau5[Description],MATCH(Tableau3[[#This Row],[ID-SIG]],Tableau5[ID],0))</f>
        <v>Retour Commande 2 marche groupe hydraulique vantail 1</v>
      </c>
      <c r="Q410" s="100"/>
      <c r="R410" s="104" t="str">
        <f>Tableau3[[#This Row],[Description]]</f>
        <v>Retour Commande 2 marche groupe hydraulique vantail 1</v>
      </c>
      <c r="S410" s="86"/>
      <c r="U410" s="88">
        <v>3</v>
      </c>
      <c r="V410" s="88">
        <v>1</v>
      </c>
      <c r="W410" s="88">
        <v>6</v>
      </c>
      <c r="X410" s="88">
        <v>0</v>
      </c>
      <c r="Y410" s="40"/>
      <c r="Z410" s="166" t="str">
        <f>INDEX(Tableau2[TS],MATCH(Tableau3[[#This Row],[ID-CARTEVOIE]],Tableau2[ID-CARTEVOIE],0))</f>
        <v>ET</v>
      </c>
      <c r="AA410" s="81" t="s">
        <v>213</v>
      </c>
      <c r="AB410" s="226" t="str">
        <f>IFERROR(INDEX(Tableau5[Reserve],MATCH(Tableau3[[#This Row],[ID-SIG]],Tableau5[ID],0))&amp;"","")</f>
        <v/>
      </c>
      <c r="AC410" s="21"/>
      <c r="AD410" s="108" t="str">
        <f>INDEX(Tableau7[Repere],MATCH(Tableau3[[#This Row],[ID-API]],Tableau7[ID-API],0))&amp;""</f>
        <v>A3</v>
      </c>
      <c r="AE410" s="109" t="str">
        <f>INDEX(Tableau1[Repere-Rack],MATCH(Tableau3[[#This Row],[ID-RACK]],Tableau1[ID-RACK],0))&amp;""</f>
        <v>R1</v>
      </c>
      <c r="AF410" s="109" t="str">
        <f>INDEX(Tableau1[Repere-Slot],MATCH(Tableau3[[#This Row],[ID-SLOT]],Tableau1[ID-SLOT],0))&amp;""</f>
        <v>S6</v>
      </c>
      <c r="AG410" s="109" t="str">
        <f>INDEX(Tableau2[Repere-Voie],MATCH(Tableau3[[#This Row],[ID-VOIE]],Tableau2[ID-Voie],0))&amp;""</f>
        <v>v0</v>
      </c>
      <c r="AH410" s="72" t="str">
        <f>Tableau3[[#This Row],[ID-API]]&amp; "." &amp;Tableau3[[#This Row],[ID-RACK]]&amp; "." &amp;Tableau3[[#This Row],[ID-SLOT]]</f>
        <v>3.1.6</v>
      </c>
      <c r="AI410" s="72" t="str">
        <f>INDEX(Tableau1[Ref-Carte],MATCH(Tableau3[[#This Row],[ID-RRS]],Tableau1[ID-RRS],0))</f>
        <v>SDI1602</v>
      </c>
      <c r="AJ410" s="72" t="str">
        <f t="array" ref="AJ410">IFERROR(INDEX(Tableau2[TS],MATCH(1,(Tableau2[Ref-Carte]=Tableau3[[#This Row],[Ref-Carte2]])*(Tableau2[ID-Voie]=Tableau3[[#This Row],[ID-VOIE]]),0)),"")</f>
        <v>ET</v>
      </c>
      <c r="AK410" s="72" t="str">
        <f>IFERROR(INDEX(Tableau2[TS],SUMPRODUCT((Tableau2[Ref-Carte]=Tableau3[[#This Row],[Ref-Carte2]])*(Tableau2[ID-Voie]=Tableau3[[#This Row],[ID-VOIE]])*ROW(Tableau2[TS]))-ROW(Tableau2[#Headers])),"")</f>
        <v>ET</v>
      </c>
      <c r="AL410" s="72" t="str">
        <f>Tableau3[[#This Row],[Ref-Carte2]]&amp;"/"&amp;Tableau3[[#This Row],[ID-VOIE]]</f>
        <v>SDI1602/0</v>
      </c>
      <c r="AM410" s="77" t="str">
        <f>INDEX(Tableau2[Borne],MATCH(Tableau3[[#This Row],[ID-CARTEVOIE]],Tableau2[ID-CARTEVOIE],0))&amp;""</f>
        <v>0B</v>
      </c>
      <c r="AN410" s="74" t="str">
        <f>Tableau3[[#This Row],[ID-API]]&amp;Tableau3[[#This Row],[ID-RACK]]&amp;Tableau3[[#This Row],[ID-SLOT]]&amp;Tableau3[[#This Row],[BORNE]]</f>
        <v>3160B</v>
      </c>
      <c r="AO410" s="1"/>
    </row>
    <row r="411" spans="1:41" ht="20.100000000000001" customHeight="1" thickTop="1" thickBot="1">
      <c r="A411" s="75"/>
      <c r="B411" s="76" t="str">
        <f>IFERROR(INDEX(Tableau4[Date],MATCH($A411,Tableau4[EVO],0)),"")</f>
        <v/>
      </c>
      <c r="C411" s="75" t="str">
        <f>IFERROR(INDEX(Tableau4[Designation],MATCH($A411,Tableau4[EVO],0)),"")</f>
        <v/>
      </c>
      <c r="D411" s="75"/>
      <c r="E411" s="79">
        <v>1</v>
      </c>
      <c r="F411" s="80">
        <v>227</v>
      </c>
      <c r="G411" s="126" t="str">
        <f>INDEX(Tableau8[Att1],MATCH(Tableau3[[#This Row],[ID-INS]],Tableau8[ID],0))&amp;""</f>
        <v>V12</v>
      </c>
      <c r="H411" s="126" t="str">
        <f>INDEX(Tableau8[Att2],MATCH(Tableau3[[#This Row],[ID-INS]],Tableau8[ID],0))&amp;""</f>
        <v>P1</v>
      </c>
      <c r="I411" s="126" t="str">
        <f>INDEX(Tableau8[Att3],MATCH(Tableau3[[#This Row],[ID-INS]],Tableau8[ID],0))&amp;""</f>
        <v>Portail P1</v>
      </c>
      <c r="J411" s="126"/>
      <c r="K411" s="167" t="str">
        <f>INDEX(Tableau8[Nom du modele],MATCH(Tableau3[[#This Row],[ID-INS]],Tableau8[ID],0))&amp;""</f>
        <v>PortailR2V_1</v>
      </c>
      <c r="L411" s="127" t="str">
        <f>INDEX(Tableau5[Att1],MATCH(Tableau3[[#This Row],[ID-SIG]],Tableau5[ID],0))&amp;""</f>
        <v>V1_FerRet2</v>
      </c>
      <c r="M411" s="127" t="str">
        <f>INDEX(Tableau5[Att2],MATCH(Tableau3[[#This Row],[ID-SIG]],Tableau5[ID],0))&amp;""</f>
        <v/>
      </c>
      <c r="N411" s="127" t="str">
        <f>INDEX(Tableau5[Att3],MATCH(Tableau3[[#This Row],[ID-SIG]],Tableau5[ID],0))&amp;""</f>
        <v/>
      </c>
      <c r="O411" s="127"/>
      <c r="P411" s="127" t="str">
        <f>INDEX(Tableau5[Description],MATCH(Tableau3[[#This Row],[ID-SIG]],Tableau5[ID],0))</f>
        <v>Retour Commande 2 fermeture vantail 1</v>
      </c>
      <c r="Q411" s="127"/>
      <c r="R411" s="143" t="str">
        <f>Tableau3[[#This Row],[Description]]</f>
        <v>Retour Commande 2 fermeture vantail 1</v>
      </c>
      <c r="S411" s="86"/>
      <c r="U411" s="130">
        <v>3</v>
      </c>
      <c r="V411" s="130">
        <v>1</v>
      </c>
      <c r="W411" s="130">
        <v>6</v>
      </c>
      <c r="X411" s="130">
        <v>1</v>
      </c>
      <c r="Y411" s="40"/>
      <c r="Z411" s="166" t="str">
        <f>INDEX(Tableau2[TS],MATCH(Tableau3[[#This Row],[ID-CARTEVOIE]],Tableau2[ID-CARTEVOIE],0))</f>
        <v>ET</v>
      </c>
      <c r="AA411" s="81" t="s">
        <v>213</v>
      </c>
      <c r="AB411" s="226" t="str">
        <f>IFERROR(INDEX(Tableau5[Reserve],MATCH(Tableau3[[#This Row],[ID-SIG]],Tableau5[ID],0))&amp;"","")</f>
        <v/>
      </c>
      <c r="AC411" s="21"/>
      <c r="AD411" s="108" t="str">
        <f>INDEX(Tableau7[Repere],MATCH(Tableau3[[#This Row],[ID-API]],Tableau7[ID-API],0))&amp;""</f>
        <v>A3</v>
      </c>
      <c r="AE411" s="109" t="str">
        <f>INDEX(Tableau1[Repere-Rack],MATCH(Tableau3[[#This Row],[ID-RACK]],Tableau1[ID-RACK],0))&amp;""</f>
        <v>R1</v>
      </c>
      <c r="AF411" s="109" t="str">
        <f>INDEX(Tableau1[Repere-Slot],MATCH(Tableau3[[#This Row],[ID-SLOT]],Tableau1[ID-SLOT],0))&amp;""</f>
        <v>S6</v>
      </c>
      <c r="AG411" s="109" t="str">
        <f>INDEX(Tableau2[Repere-Voie],MATCH(Tableau3[[#This Row],[ID-VOIE]],Tableau2[ID-Voie],0))&amp;""</f>
        <v>v1</v>
      </c>
      <c r="AH411" s="72" t="str">
        <f>Tableau3[[#This Row],[ID-API]]&amp; "." &amp;Tableau3[[#This Row],[ID-RACK]]&amp; "." &amp;Tableau3[[#This Row],[ID-SLOT]]</f>
        <v>3.1.6</v>
      </c>
      <c r="AI411" s="72" t="str">
        <f>INDEX(Tableau1[Ref-Carte],MATCH(Tableau3[[#This Row],[ID-RRS]],Tableau1[ID-RRS],0))</f>
        <v>SDI1602</v>
      </c>
      <c r="AJ411" s="72" t="str">
        <f t="array" ref="AJ411">IFERROR(INDEX(Tableau2[TS],MATCH(1,(Tableau2[Ref-Carte]=Tableau3[[#This Row],[Ref-Carte2]])*(Tableau2[ID-Voie]=Tableau3[[#This Row],[ID-VOIE]]),0)),"")</f>
        <v>ET</v>
      </c>
      <c r="AK411" s="72" t="str">
        <f>IFERROR(INDEX(Tableau2[TS],SUMPRODUCT((Tableau2[Ref-Carte]=Tableau3[[#This Row],[Ref-Carte2]])*(Tableau2[ID-Voie]=Tableau3[[#This Row],[ID-VOIE]])*ROW(Tableau2[TS]))-ROW(Tableau2[#Headers])),"")</f>
        <v>ET</v>
      </c>
      <c r="AL411" s="72" t="str">
        <f>Tableau3[[#This Row],[Ref-Carte2]]&amp;"/"&amp;Tableau3[[#This Row],[ID-VOIE]]</f>
        <v>SDI1602/1</v>
      </c>
      <c r="AM411" s="77" t="str">
        <f>INDEX(Tableau2[Borne],MATCH(Tableau3[[#This Row],[ID-CARTEVOIE]],Tableau2[ID-CARTEVOIE],0))&amp;""</f>
        <v>0A</v>
      </c>
      <c r="AN411" s="74" t="str">
        <f>Tableau3[[#This Row],[ID-API]]&amp;Tableau3[[#This Row],[ID-RACK]]&amp;Tableau3[[#This Row],[ID-SLOT]]&amp;Tableau3[[#This Row],[BORNE]]</f>
        <v>3160A</v>
      </c>
      <c r="AO411" s="1"/>
    </row>
    <row r="412" spans="1:41" ht="20.100000000000001" customHeight="1" thickTop="1" thickBot="1">
      <c r="A412" s="75"/>
      <c r="B412" s="76" t="str">
        <f>IFERROR(INDEX(Tableau4[Date],MATCH($A412,Tableau4[EVO],0)),"")</f>
        <v/>
      </c>
      <c r="C412" s="75" t="str">
        <f>IFERROR(INDEX(Tableau4[Designation],MATCH($A412,Tableau4[EVO],0)),"")</f>
        <v/>
      </c>
      <c r="D412" s="75"/>
      <c r="E412" s="79">
        <v>1</v>
      </c>
      <c r="F412" s="80">
        <v>228</v>
      </c>
      <c r="G412" s="126" t="str">
        <f>INDEX(Tableau8[Att1],MATCH(Tableau3[[#This Row],[ID-INS]],Tableau8[ID],0))&amp;""</f>
        <v>V12</v>
      </c>
      <c r="H412" s="126" t="str">
        <f>INDEX(Tableau8[Att2],MATCH(Tableau3[[#This Row],[ID-INS]],Tableau8[ID],0))&amp;""</f>
        <v>P1</v>
      </c>
      <c r="I412" s="126" t="str">
        <f>INDEX(Tableau8[Att3],MATCH(Tableau3[[#This Row],[ID-INS]],Tableau8[ID],0))&amp;""</f>
        <v>Portail P1</v>
      </c>
      <c r="J412" s="126"/>
      <c r="K412" s="167" t="str">
        <f>INDEX(Tableau8[Nom du modele],MATCH(Tableau3[[#This Row],[ID-INS]],Tableau8[ID],0))&amp;""</f>
        <v>PortailR2V_1</v>
      </c>
      <c r="L412" s="127" t="str">
        <f>INDEX(Tableau5[Att1],MATCH(Tableau3[[#This Row],[ID-SIG]],Tableau5[ID],0))&amp;""</f>
        <v>V1_Fer2</v>
      </c>
      <c r="M412" s="127" t="str">
        <f>INDEX(Tableau5[Att2],MATCH(Tableau3[[#This Row],[ID-SIG]],Tableau5[ID],0))&amp;""</f>
        <v/>
      </c>
      <c r="N412" s="127" t="str">
        <f>INDEX(Tableau5[Att3],MATCH(Tableau3[[#This Row],[ID-SIG]],Tableau5[ID],0))&amp;""</f>
        <v/>
      </c>
      <c r="O412" s="127"/>
      <c r="P412" s="127" t="str">
        <f>INDEX(Tableau5[Description],MATCH(Tableau3[[#This Row],[ID-SIG]],Tableau5[ID],0))</f>
        <v>Vantail 1 en fdc Fermé 2</v>
      </c>
      <c r="Q412" s="127"/>
      <c r="R412" s="143" t="str">
        <f>Tableau3[[#This Row],[Description]]</f>
        <v>Vantail 1 en fdc Fermé 2</v>
      </c>
      <c r="S412" s="86"/>
      <c r="U412" s="88">
        <v>3</v>
      </c>
      <c r="V412" s="88">
        <v>1</v>
      </c>
      <c r="W412" s="88">
        <v>6</v>
      </c>
      <c r="X412" s="88">
        <v>2</v>
      </c>
      <c r="Y412" s="40"/>
      <c r="Z412" s="166" t="str">
        <f>INDEX(Tableau2[TS],MATCH(Tableau3[[#This Row],[ID-CARTEVOIE]],Tableau2[ID-CARTEVOIE],0))</f>
        <v>ET</v>
      </c>
      <c r="AA412" s="81" t="s">
        <v>213</v>
      </c>
      <c r="AB412" s="226" t="str">
        <f>IFERROR(INDEX(Tableau5[Reserve],MATCH(Tableau3[[#This Row],[ID-SIG]],Tableau5[ID],0))&amp;"","")</f>
        <v/>
      </c>
      <c r="AC412" s="21"/>
      <c r="AD412" s="108" t="str">
        <f>INDEX(Tableau7[Repere],MATCH(Tableau3[[#This Row],[ID-API]],Tableau7[ID-API],0))&amp;""</f>
        <v>A3</v>
      </c>
      <c r="AE412" s="109" t="str">
        <f>INDEX(Tableau1[Repere-Rack],MATCH(Tableau3[[#This Row],[ID-RACK]],Tableau1[ID-RACK],0))&amp;""</f>
        <v>R1</v>
      </c>
      <c r="AF412" s="109" t="str">
        <f>INDEX(Tableau1[Repere-Slot],MATCH(Tableau3[[#This Row],[ID-SLOT]],Tableau1[ID-SLOT],0))&amp;""</f>
        <v>S6</v>
      </c>
      <c r="AG412" s="109" t="str">
        <f>INDEX(Tableau2[Repere-Voie],MATCH(Tableau3[[#This Row],[ID-VOIE]],Tableau2[ID-Voie],0))&amp;""</f>
        <v>v2</v>
      </c>
      <c r="AH412" s="72" t="str">
        <f>Tableau3[[#This Row],[ID-API]]&amp; "." &amp;Tableau3[[#This Row],[ID-RACK]]&amp; "." &amp;Tableau3[[#This Row],[ID-SLOT]]</f>
        <v>3.1.6</v>
      </c>
      <c r="AI412" s="72" t="str">
        <f>INDEX(Tableau1[Ref-Carte],MATCH(Tableau3[[#This Row],[ID-RRS]],Tableau1[ID-RRS],0))</f>
        <v>SDI1602</v>
      </c>
      <c r="AJ412" s="72" t="str">
        <f t="array" ref="AJ412">IFERROR(INDEX(Tableau2[TS],MATCH(1,(Tableau2[Ref-Carte]=Tableau3[[#This Row],[Ref-Carte2]])*(Tableau2[ID-Voie]=Tableau3[[#This Row],[ID-VOIE]]),0)),"")</f>
        <v>ET</v>
      </c>
      <c r="AK412" s="72" t="str">
        <f>IFERROR(INDEX(Tableau2[TS],SUMPRODUCT((Tableau2[Ref-Carte]=Tableau3[[#This Row],[Ref-Carte2]])*(Tableau2[ID-Voie]=Tableau3[[#This Row],[ID-VOIE]])*ROW(Tableau2[TS]))-ROW(Tableau2[#Headers])),"")</f>
        <v>ET</v>
      </c>
      <c r="AL412" s="72" t="str">
        <f>Tableau3[[#This Row],[Ref-Carte2]]&amp;"/"&amp;Tableau3[[#This Row],[ID-VOIE]]</f>
        <v>SDI1602/2</v>
      </c>
      <c r="AM412" s="77" t="str">
        <f>INDEX(Tableau2[Borne],MATCH(Tableau3[[#This Row],[ID-CARTEVOIE]],Tableau2[ID-CARTEVOIE],0))&amp;""</f>
        <v>1B</v>
      </c>
      <c r="AN412" s="74" t="str">
        <f>Tableau3[[#This Row],[ID-API]]&amp;Tableau3[[#This Row],[ID-RACK]]&amp;Tableau3[[#This Row],[ID-SLOT]]&amp;Tableau3[[#This Row],[BORNE]]</f>
        <v>3161B</v>
      </c>
      <c r="AO412" s="1"/>
    </row>
    <row r="413" spans="1:41" ht="20.100000000000001" customHeight="1" thickTop="1" thickBot="1">
      <c r="A413" s="75"/>
      <c r="B413" s="76" t="str">
        <f>IFERROR(INDEX(Tableau4[Date],MATCH($A413,Tableau4[EVO],0)),"")</f>
        <v/>
      </c>
      <c r="C413" s="75" t="str">
        <f>IFERROR(INDEX(Tableau4[Designation],MATCH($A413,Tableau4[EVO],0)),"")</f>
        <v/>
      </c>
      <c r="D413" s="75"/>
      <c r="E413" s="79">
        <v>1</v>
      </c>
      <c r="F413" s="80">
        <v>234</v>
      </c>
      <c r="G413" s="102" t="str">
        <f>INDEX(Tableau8[Att1],MATCH(Tableau3[[#This Row],[ID-INS]],Tableau8[ID],0))&amp;""</f>
        <v>V12</v>
      </c>
      <c r="H413" s="102" t="str">
        <f>INDEX(Tableau8[Att2],MATCH(Tableau3[[#This Row],[ID-INS]],Tableau8[ID],0))&amp;""</f>
        <v>P1</v>
      </c>
      <c r="I413" s="102" t="str">
        <f>INDEX(Tableau8[Att3],MATCH(Tableau3[[#This Row],[ID-INS]],Tableau8[ID],0))&amp;""</f>
        <v>Portail P1</v>
      </c>
      <c r="J413" s="102"/>
      <c r="K413" s="167" t="str">
        <f>INDEX(Tableau8[Nom du modele],MATCH(Tableau3[[#This Row],[ID-INS]],Tableau8[ID],0))&amp;""</f>
        <v>PortailR2V_1</v>
      </c>
      <c r="L413" s="100" t="str">
        <f>INDEX(Tableau5[Att1],MATCH(Tableau3[[#This Row],[ID-SIG]],Tableau5[ID],0))&amp;""</f>
        <v>V2_Ouv</v>
      </c>
      <c r="M413" s="100" t="str">
        <f>INDEX(Tableau5[Att2],MATCH(Tableau3[[#This Row],[ID-SIG]],Tableau5[ID],0))&amp;""</f>
        <v/>
      </c>
      <c r="N413" s="100" t="str">
        <f>INDEX(Tableau5[Att3],MATCH(Tableau3[[#This Row],[ID-SIG]],Tableau5[ID],0))&amp;""</f>
        <v/>
      </c>
      <c r="O413" s="100"/>
      <c r="P413" s="100" t="str">
        <f>INDEX(Tableau5[Description],MATCH(Tableau3[[#This Row],[ID-SIG]],Tableau5[ID],0))</f>
        <v>Vantail 2 en fdc ouvert</v>
      </c>
      <c r="Q413" s="100"/>
      <c r="R413" s="104" t="str">
        <f>Tableau3[[#This Row],[Description]]</f>
        <v>Vantail 2 en fdc ouvert</v>
      </c>
      <c r="S413" s="86"/>
      <c r="U413" s="130">
        <v>3</v>
      </c>
      <c r="V413" s="130">
        <v>1</v>
      </c>
      <c r="W413" s="130">
        <v>6</v>
      </c>
      <c r="X413" s="130">
        <v>3</v>
      </c>
      <c r="Y413" s="40"/>
      <c r="Z413" s="166" t="str">
        <f>INDEX(Tableau2[TS],MATCH(Tableau3[[#This Row],[ID-CARTEVOIE]],Tableau2[ID-CARTEVOIE],0))</f>
        <v>ET</v>
      </c>
      <c r="AA413" s="81" t="s">
        <v>213</v>
      </c>
      <c r="AB413" s="226" t="str">
        <f>IFERROR(INDEX(Tableau5[Reserve],MATCH(Tableau3[[#This Row],[ID-SIG]],Tableau5[ID],0))&amp;"","")</f>
        <v/>
      </c>
      <c r="AC413" s="21"/>
      <c r="AD413" s="108" t="str">
        <f>INDEX(Tableau7[Repere],MATCH(Tableau3[[#This Row],[ID-API]],Tableau7[ID-API],0))&amp;""</f>
        <v>A3</v>
      </c>
      <c r="AE413" s="109" t="str">
        <f>INDEX(Tableau1[Repere-Rack],MATCH(Tableau3[[#This Row],[ID-RACK]],Tableau1[ID-RACK],0))&amp;""</f>
        <v>R1</v>
      </c>
      <c r="AF413" s="109" t="str">
        <f>INDEX(Tableau1[Repere-Slot],MATCH(Tableau3[[#This Row],[ID-SLOT]],Tableau1[ID-SLOT],0))&amp;""</f>
        <v>S6</v>
      </c>
      <c r="AG413" s="109" t="str">
        <f>INDEX(Tableau2[Repere-Voie],MATCH(Tableau3[[#This Row],[ID-VOIE]],Tableau2[ID-Voie],0))&amp;""</f>
        <v>v3</v>
      </c>
      <c r="AH413" s="72" t="str">
        <f>Tableau3[[#This Row],[ID-API]]&amp; "." &amp;Tableau3[[#This Row],[ID-RACK]]&amp; "." &amp;Tableau3[[#This Row],[ID-SLOT]]</f>
        <v>3.1.6</v>
      </c>
      <c r="AI413" s="72" t="str">
        <f>INDEX(Tableau1[Ref-Carte],MATCH(Tableau3[[#This Row],[ID-RRS]],Tableau1[ID-RRS],0))</f>
        <v>SDI1602</v>
      </c>
      <c r="AJ413" s="72" t="str">
        <f t="array" ref="AJ413">IFERROR(INDEX(Tableau2[TS],MATCH(1,(Tableau2[Ref-Carte]=Tableau3[[#This Row],[Ref-Carte2]])*(Tableau2[ID-Voie]=Tableau3[[#This Row],[ID-VOIE]]),0)),"")</f>
        <v>ET</v>
      </c>
      <c r="AK413" s="72" t="str">
        <f>IFERROR(INDEX(Tableau2[TS],SUMPRODUCT((Tableau2[Ref-Carte]=Tableau3[[#This Row],[Ref-Carte2]])*(Tableau2[ID-Voie]=Tableau3[[#This Row],[ID-VOIE]])*ROW(Tableau2[TS]))-ROW(Tableau2[#Headers])),"")</f>
        <v>ET</v>
      </c>
      <c r="AL413" s="72" t="str">
        <f>Tableau3[[#This Row],[Ref-Carte2]]&amp;"/"&amp;Tableau3[[#This Row],[ID-VOIE]]</f>
        <v>SDI1602/3</v>
      </c>
      <c r="AM413" s="77" t="str">
        <f>INDEX(Tableau2[Borne],MATCH(Tableau3[[#This Row],[ID-CARTEVOIE]],Tableau2[ID-CARTEVOIE],0))&amp;""</f>
        <v>1A</v>
      </c>
      <c r="AN413" s="74" t="str">
        <f>Tableau3[[#This Row],[ID-API]]&amp;Tableau3[[#This Row],[ID-RACK]]&amp;Tableau3[[#This Row],[ID-SLOT]]&amp;Tableau3[[#This Row],[BORNE]]</f>
        <v>3161A</v>
      </c>
      <c r="AO413" s="1"/>
    </row>
    <row r="414" spans="1:41" ht="20.100000000000001" customHeight="1" thickTop="1" thickBot="1">
      <c r="A414" s="75"/>
      <c r="B414" s="76" t="str">
        <f>IFERROR(INDEX(Tableau4[Date],MATCH($A414,Tableau4[EVO],0)),"")</f>
        <v/>
      </c>
      <c r="C414" s="75" t="str">
        <f>IFERROR(INDEX(Tableau4[Designation],MATCH($A414,Tableau4[EVO],0)),"")</f>
        <v/>
      </c>
      <c r="D414" s="75"/>
      <c r="E414" s="79">
        <v>1</v>
      </c>
      <c r="F414" s="80">
        <v>235</v>
      </c>
      <c r="G414" s="102" t="str">
        <f>INDEX(Tableau8[Att1],MATCH(Tableau3[[#This Row],[ID-INS]],Tableau8[ID],0))&amp;""</f>
        <v>V12</v>
      </c>
      <c r="H414" s="102" t="str">
        <f>INDEX(Tableau8[Att2],MATCH(Tableau3[[#This Row],[ID-INS]],Tableau8[ID],0))&amp;""</f>
        <v>P1</v>
      </c>
      <c r="I414" s="102" t="str">
        <f>INDEX(Tableau8[Att3],MATCH(Tableau3[[#This Row],[ID-INS]],Tableau8[ID],0))&amp;""</f>
        <v>Portail P1</v>
      </c>
      <c r="J414" s="102"/>
      <c r="K414" s="167" t="str">
        <f>INDEX(Tableau8[Nom du modele],MATCH(Tableau3[[#This Row],[ID-INS]],Tableau8[ID],0))&amp;""</f>
        <v>PortailR2V_1</v>
      </c>
      <c r="L414" s="100" t="str">
        <f>INDEX(Tableau5[Att1],MATCH(Tableau3[[#This Row],[ID-SIG]],Tableau5[ID],0))&amp;""</f>
        <v>V2_Fer1</v>
      </c>
      <c r="M414" s="100" t="str">
        <f>INDEX(Tableau5[Att2],MATCH(Tableau3[[#This Row],[ID-SIG]],Tableau5[ID],0))&amp;""</f>
        <v/>
      </c>
      <c r="N414" s="100" t="str">
        <f>INDEX(Tableau5[Att3],MATCH(Tableau3[[#This Row],[ID-SIG]],Tableau5[ID],0))&amp;""</f>
        <v/>
      </c>
      <c r="O414" s="100"/>
      <c r="P414" s="100" t="str">
        <f>INDEX(Tableau5[Description],MATCH(Tableau3[[#This Row],[ID-SIG]],Tableau5[ID],0))</f>
        <v>Vantail 2 en fdc Fermé 1</v>
      </c>
      <c r="Q414" s="100"/>
      <c r="R414" s="104" t="str">
        <f>Tableau3[[#This Row],[Description]]</f>
        <v>Vantail 2 en fdc Fermé 1</v>
      </c>
      <c r="S414" s="86"/>
      <c r="U414" s="88">
        <v>3</v>
      </c>
      <c r="V414" s="88">
        <v>1</v>
      </c>
      <c r="W414" s="88">
        <v>6</v>
      </c>
      <c r="X414" s="88">
        <v>4</v>
      </c>
      <c r="Y414" s="40"/>
      <c r="Z414" s="166" t="str">
        <f>INDEX(Tableau2[TS],MATCH(Tableau3[[#This Row],[ID-CARTEVOIE]],Tableau2[ID-CARTEVOIE],0))</f>
        <v>ET</v>
      </c>
      <c r="AA414" s="81" t="s">
        <v>213</v>
      </c>
      <c r="AB414" s="226" t="str">
        <f>IFERROR(INDEX(Tableau5[Reserve],MATCH(Tableau3[[#This Row],[ID-SIG]],Tableau5[ID],0))&amp;"","")</f>
        <v/>
      </c>
      <c r="AC414" s="21"/>
      <c r="AD414" s="108" t="str">
        <f>INDEX(Tableau7[Repere],MATCH(Tableau3[[#This Row],[ID-API]],Tableau7[ID-API],0))&amp;""</f>
        <v>A3</v>
      </c>
      <c r="AE414" s="109" t="str">
        <f>INDEX(Tableau1[Repere-Rack],MATCH(Tableau3[[#This Row],[ID-RACK]],Tableau1[ID-RACK],0))&amp;""</f>
        <v>R1</v>
      </c>
      <c r="AF414" s="109" t="str">
        <f>INDEX(Tableau1[Repere-Slot],MATCH(Tableau3[[#This Row],[ID-SLOT]],Tableau1[ID-SLOT],0))&amp;""</f>
        <v>S6</v>
      </c>
      <c r="AG414" s="109" t="str">
        <f>INDEX(Tableau2[Repere-Voie],MATCH(Tableau3[[#This Row],[ID-VOIE]],Tableau2[ID-Voie],0))&amp;""</f>
        <v>v4</v>
      </c>
      <c r="AH414" s="72" t="str">
        <f>Tableau3[[#This Row],[ID-API]]&amp; "." &amp;Tableau3[[#This Row],[ID-RACK]]&amp; "." &amp;Tableau3[[#This Row],[ID-SLOT]]</f>
        <v>3.1.6</v>
      </c>
      <c r="AI414" s="72" t="str">
        <f>INDEX(Tableau1[Ref-Carte],MATCH(Tableau3[[#This Row],[ID-RRS]],Tableau1[ID-RRS],0))</f>
        <v>SDI1602</v>
      </c>
      <c r="AJ414" s="72" t="str">
        <f t="array" ref="AJ414">IFERROR(INDEX(Tableau2[TS],MATCH(1,(Tableau2[Ref-Carte]=Tableau3[[#This Row],[Ref-Carte2]])*(Tableau2[ID-Voie]=Tableau3[[#This Row],[ID-VOIE]]),0)),"")</f>
        <v>ET</v>
      </c>
      <c r="AK414" s="72" t="str">
        <f>IFERROR(INDEX(Tableau2[TS],SUMPRODUCT((Tableau2[Ref-Carte]=Tableau3[[#This Row],[Ref-Carte2]])*(Tableau2[ID-Voie]=Tableau3[[#This Row],[ID-VOIE]])*ROW(Tableau2[TS]))-ROW(Tableau2[#Headers])),"")</f>
        <v>ET</v>
      </c>
      <c r="AL414" s="72" t="str">
        <f>Tableau3[[#This Row],[Ref-Carte2]]&amp;"/"&amp;Tableau3[[#This Row],[ID-VOIE]]</f>
        <v>SDI1602/4</v>
      </c>
      <c r="AM414" s="77" t="str">
        <f>INDEX(Tableau2[Borne],MATCH(Tableau3[[#This Row],[ID-CARTEVOIE]],Tableau2[ID-CARTEVOIE],0))&amp;""</f>
        <v>2B</v>
      </c>
      <c r="AN414" s="74" t="str">
        <f>Tableau3[[#This Row],[ID-API]]&amp;Tableau3[[#This Row],[ID-RACK]]&amp;Tableau3[[#This Row],[ID-SLOT]]&amp;Tableau3[[#This Row],[BORNE]]</f>
        <v>3162B</v>
      </c>
      <c r="AO414" s="1"/>
    </row>
    <row r="415" spans="1:41" ht="20.100000000000001" customHeight="1" thickTop="1" thickBot="1">
      <c r="A415" s="75"/>
      <c r="B415" s="76" t="str">
        <f>IFERROR(INDEX(Tableau4[Date],MATCH($A415,Tableau4[EVO],0)),"")</f>
        <v/>
      </c>
      <c r="C415" s="75" t="str">
        <f>IFERROR(INDEX(Tableau4[Designation],MATCH($A415,Tableau4[EVO],0)),"")</f>
        <v/>
      </c>
      <c r="D415" s="75"/>
      <c r="E415" s="79">
        <v>1</v>
      </c>
      <c r="F415" s="80">
        <v>236</v>
      </c>
      <c r="G415" s="102" t="str">
        <f>INDEX(Tableau8[Att1],MATCH(Tableau3[[#This Row],[ID-INS]],Tableau8[ID],0))&amp;""</f>
        <v>V12</v>
      </c>
      <c r="H415" s="102" t="str">
        <f>INDEX(Tableau8[Att2],MATCH(Tableau3[[#This Row],[ID-INS]],Tableau8[ID],0))&amp;""</f>
        <v>P1</v>
      </c>
      <c r="I415" s="102" t="str">
        <f>INDEX(Tableau8[Att3],MATCH(Tableau3[[#This Row],[ID-INS]],Tableau8[ID],0))&amp;""</f>
        <v>Portail P1</v>
      </c>
      <c r="J415" s="102"/>
      <c r="K415" s="167" t="str">
        <f>INDEX(Tableau8[Nom du modele],MATCH(Tableau3[[#This Row],[ID-INS]],Tableau8[ID],0))&amp;""</f>
        <v>PortailR2V_1</v>
      </c>
      <c r="L415" s="100" t="str">
        <f>INDEX(Tableau5[Att1],MATCH(Tableau3[[#This Row],[ID-SIG]],Tableau5[ID],0))&amp;""</f>
        <v>V2_OuvProtect</v>
      </c>
      <c r="M415" s="100" t="str">
        <f>INDEX(Tableau5[Att2],MATCH(Tableau3[[#This Row],[ID-SIG]],Tableau5[ID],0))&amp;""</f>
        <v/>
      </c>
      <c r="N415" s="100" t="str">
        <f>INDEX(Tableau5[Att3],MATCH(Tableau3[[#This Row],[ID-SIG]],Tableau5[ID],0))&amp;""</f>
        <v/>
      </c>
      <c r="O415" s="100"/>
      <c r="P415" s="100" t="str">
        <f>INDEX(Tableau5[Description],MATCH(Tableau3[[#This Row],[ID-SIG]],Tableau5[ID],0))</f>
        <v>Vantail 2 Protection à l'ouverture par bande ou lame palpeuse</v>
      </c>
      <c r="Q415" s="100"/>
      <c r="R415" s="104" t="str">
        <f>Tableau3[[#This Row],[Description]]</f>
        <v>Vantail 2 Protection à l'ouverture par bande ou lame palpeuse</v>
      </c>
      <c r="S415" s="86"/>
      <c r="U415" s="130">
        <v>3</v>
      </c>
      <c r="V415" s="130">
        <v>1</v>
      </c>
      <c r="W415" s="130">
        <v>6</v>
      </c>
      <c r="X415" s="130">
        <v>5</v>
      </c>
      <c r="Y415" s="40"/>
      <c r="Z415" s="166" t="str">
        <f>INDEX(Tableau2[TS],MATCH(Tableau3[[#This Row],[ID-CARTEVOIE]],Tableau2[ID-CARTEVOIE],0))</f>
        <v>ET</v>
      </c>
      <c r="AA415" s="81" t="s">
        <v>213</v>
      </c>
      <c r="AB415" s="226" t="str">
        <f>IFERROR(INDEX(Tableau5[Reserve],MATCH(Tableau3[[#This Row],[ID-SIG]],Tableau5[ID],0))&amp;"","")</f>
        <v/>
      </c>
      <c r="AC415" s="21"/>
      <c r="AD415" s="108" t="str">
        <f>INDEX(Tableau7[Repere],MATCH(Tableau3[[#This Row],[ID-API]],Tableau7[ID-API],0))&amp;""</f>
        <v>A3</v>
      </c>
      <c r="AE415" s="109" t="str">
        <f>INDEX(Tableau1[Repere-Rack],MATCH(Tableau3[[#This Row],[ID-RACK]],Tableau1[ID-RACK],0))&amp;""</f>
        <v>R1</v>
      </c>
      <c r="AF415" s="109" t="str">
        <f>INDEX(Tableau1[Repere-Slot],MATCH(Tableau3[[#This Row],[ID-SLOT]],Tableau1[ID-SLOT],0))&amp;""</f>
        <v>S6</v>
      </c>
      <c r="AG415" s="109" t="str">
        <f>INDEX(Tableau2[Repere-Voie],MATCH(Tableau3[[#This Row],[ID-VOIE]],Tableau2[ID-Voie],0))&amp;""</f>
        <v>v5</v>
      </c>
      <c r="AH415" s="72" t="str">
        <f>Tableau3[[#This Row],[ID-API]]&amp; "." &amp;Tableau3[[#This Row],[ID-RACK]]&amp; "." &amp;Tableau3[[#This Row],[ID-SLOT]]</f>
        <v>3.1.6</v>
      </c>
      <c r="AI415" s="72" t="str">
        <f>INDEX(Tableau1[Ref-Carte],MATCH(Tableau3[[#This Row],[ID-RRS]],Tableau1[ID-RRS],0))</f>
        <v>SDI1602</v>
      </c>
      <c r="AJ415" s="72" t="str">
        <f t="array" ref="AJ415">IFERROR(INDEX(Tableau2[TS],MATCH(1,(Tableau2[Ref-Carte]=Tableau3[[#This Row],[Ref-Carte2]])*(Tableau2[ID-Voie]=Tableau3[[#This Row],[ID-VOIE]]),0)),"")</f>
        <v>ET</v>
      </c>
      <c r="AK415" s="72" t="str">
        <f>IFERROR(INDEX(Tableau2[TS],SUMPRODUCT((Tableau2[Ref-Carte]=Tableau3[[#This Row],[Ref-Carte2]])*(Tableau2[ID-Voie]=Tableau3[[#This Row],[ID-VOIE]])*ROW(Tableau2[TS]))-ROW(Tableau2[#Headers])),"")</f>
        <v>ET</v>
      </c>
      <c r="AL415" s="72" t="str">
        <f>Tableau3[[#This Row],[Ref-Carte2]]&amp;"/"&amp;Tableau3[[#This Row],[ID-VOIE]]</f>
        <v>SDI1602/5</v>
      </c>
      <c r="AM415" s="77" t="str">
        <f>INDEX(Tableau2[Borne],MATCH(Tableau3[[#This Row],[ID-CARTEVOIE]],Tableau2[ID-CARTEVOIE],0))&amp;""</f>
        <v>2A</v>
      </c>
      <c r="AN415" s="74" t="str">
        <f>Tableau3[[#This Row],[ID-API]]&amp;Tableau3[[#This Row],[ID-RACK]]&amp;Tableau3[[#This Row],[ID-SLOT]]&amp;Tableau3[[#This Row],[BORNE]]</f>
        <v>3162A</v>
      </c>
      <c r="AO415" s="1"/>
    </row>
    <row r="416" spans="1:41" ht="20.100000000000001" customHeight="1" thickTop="1" thickBot="1">
      <c r="A416" s="68"/>
      <c r="B416" s="69" t="str">
        <f>IFERROR(INDEX(Tableau4[Date],MATCH($A416,Tableau4[EVO],0)),"")</f>
        <v/>
      </c>
      <c r="C416" s="68" t="str">
        <f>IFERROR(INDEX(Tableau4[Designation],MATCH($A416,Tableau4[EVO],0)),"")</f>
        <v/>
      </c>
      <c r="D416" s="68"/>
      <c r="E416" s="70">
        <v>1</v>
      </c>
      <c r="F416" s="71">
        <v>237</v>
      </c>
      <c r="G416" s="101" t="str">
        <f>INDEX(Tableau8[Att1],MATCH(Tableau3[[#This Row],[ID-INS]],Tableau8[ID],0))&amp;""</f>
        <v>V12</v>
      </c>
      <c r="H416" s="101" t="str">
        <f>INDEX(Tableau8[Att2],MATCH(Tableau3[[#This Row],[ID-INS]],Tableau8[ID],0))&amp;""</f>
        <v>P1</v>
      </c>
      <c r="I416" s="101" t="str">
        <f>INDEX(Tableau8[Att3],MATCH(Tableau3[[#This Row],[ID-INS]],Tableau8[ID],0))&amp;""</f>
        <v>Portail P1</v>
      </c>
      <c r="J416" s="101"/>
      <c r="K416" s="167" t="str">
        <f>INDEX(Tableau8[Nom du modele],MATCH(Tableau3[[#This Row],[ID-INS]],Tableau8[ID],0))&amp;""</f>
        <v>PortailR2V_1</v>
      </c>
      <c r="L416" s="99" t="str">
        <f>INDEX(Tableau5[Att1],MATCH(Tableau3[[#This Row],[ID-SIG]],Tableau5[ID],0))&amp;""</f>
        <v>V2_ProtectBarrage</v>
      </c>
      <c r="M416" s="99" t="str">
        <f>INDEX(Tableau5[Att2],MATCH(Tableau3[[#This Row],[ID-SIG]],Tableau5[ID],0))&amp;""</f>
        <v/>
      </c>
      <c r="N416" s="99" t="str">
        <f>INDEX(Tableau5[Att3],MATCH(Tableau3[[#This Row],[ID-SIG]],Tableau5[ID],0))&amp;""</f>
        <v/>
      </c>
      <c r="O416" s="99"/>
      <c r="P416" s="99" t="str">
        <f>INDEX(Tableau5[Description],MATCH(Tableau3[[#This Row],[ID-SIG]],Tableau5[ID],0))</f>
        <v>Vantail 2 Protection à fermeture et ouverture par barrage</v>
      </c>
      <c r="Q416" s="99"/>
      <c r="R416" s="103" t="str">
        <f>Tableau3[[#This Row],[Description]]</f>
        <v>Vantail 2 Protection à fermeture et ouverture par barrage</v>
      </c>
      <c r="S416" s="86"/>
      <c r="U416" s="87">
        <v>3</v>
      </c>
      <c r="V416" s="87">
        <v>1</v>
      </c>
      <c r="W416" s="87">
        <v>6</v>
      </c>
      <c r="X416" s="87">
        <v>6</v>
      </c>
      <c r="Y416" s="40"/>
      <c r="Z416" s="165" t="str">
        <f>INDEX(Tableau2[TS],MATCH(Tableau3[[#This Row],[ID-CARTEVOIE]],Tableau2[ID-CARTEVOIE],0))</f>
        <v>ET</v>
      </c>
      <c r="AA416" s="53" t="s">
        <v>213</v>
      </c>
      <c r="AB416" s="223" t="str">
        <f>IFERROR(INDEX(Tableau5[Reserve],MATCH(Tableau3[[#This Row],[ID-SIG]],Tableau5[ID],0))&amp;"","")</f>
        <v/>
      </c>
      <c r="AC416" s="21"/>
      <c r="AD416" s="108" t="str">
        <f>INDEX(Tableau7[Repere],MATCH(Tableau3[[#This Row],[ID-API]],Tableau7[ID-API],0))&amp;""</f>
        <v>A3</v>
      </c>
      <c r="AE416" s="108" t="str">
        <f>INDEX(Tableau1[Repere-Rack],MATCH(Tableau3[[#This Row],[ID-RACK]],Tableau1[ID-RACK],0))&amp;""</f>
        <v>R1</v>
      </c>
      <c r="AF416" s="108" t="str">
        <f>INDEX(Tableau1[Repere-Slot],MATCH(Tableau3[[#This Row],[ID-SLOT]],Tableau1[ID-SLOT],0))&amp;""</f>
        <v>S6</v>
      </c>
      <c r="AG416" s="108" t="str">
        <f>INDEX(Tableau2[Repere-Voie],MATCH(Tableau3[[#This Row],[ID-VOIE]],Tableau2[ID-Voie],0))&amp;""</f>
        <v>v6</v>
      </c>
      <c r="AH416" s="72" t="str">
        <f>Tableau3[[#This Row],[ID-API]]&amp; "." &amp;Tableau3[[#This Row],[ID-RACK]]&amp; "." &amp;Tableau3[[#This Row],[ID-SLOT]]</f>
        <v>3.1.6</v>
      </c>
      <c r="AI416" s="72" t="str">
        <f>INDEX(Tableau1[Ref-Carte],MATCH(Tableau3[[#This Row],[ID-RRS]],Tableau1[ID-RRS],0))</f>
        <v>SDI1602</v>
      </c>
      <c r="AJ416" s="72" t="str">
        <f t="array" ref="AJ416">IFERROR(INDEX(Tableau2[TS],MATCH(1,(Tableau2[Ref-Carte]=Tableau3[[#This Row],[Ref-Carte2]])*(Tableau2[ID-Voie]=Tableau3[[#This Row],[ID-VOIE]]),0)),"")</f>
        <v>ET</v>
      </c>
      <c r="AK416" s="72" t="str">
        <f>IFERROR(INDEX(Tableau2[TS],SUMPRODUCT((Tableau2[Ref-Carte]=Tableau3[[#This Row],[Ref-Carte2]])*(Tableau2[ID-Voie]=Tableau3[[#This Row],[ID-VOIE]])*ROW(Tableau2[TS]))-ROW(Tableau2[#Headers])),"")</f>
        <v>ET</v>
      </c>
      <c r="AL416" s="72" t="str">
        <f>Tableau3[[#This Row],[Ref-Carte2]]&amp;"/"&amp;Tableau3[[#This Row],[ID-VOIE]]</f>
        <v>SDI1602/6</v>
      </c>
      <c r="AM416" s="73" t="str">
        <f>INDEX(Tableau2[Borne],MATCH(Tableau3[[#This Row],[ID-CARTEVOIE]],Tableau2[ID-CARTEVOIE],0))&amp;""</f>
        <v>3B</v>
      </c>
      <c r="AN416" s="74" t="str">
        <f>Tableau3[[#This Row],[ID-API]]&amp;Tableau3[[#This Row],[ID-RACK]]&amp;Tableau3[[#This Row],[ID-SLOT]]&amp;Tableau3[[#This Row],[BORNE]]</f>
        <v>3163B</v>
      </c>
      <c r="AO416" s="1"/>
    </row>
    <row r="417" spans="1:41" ht="20.100000000000001" customHeight="1" thickTop="1" thickBot="1">
      <c r="A417" s="68"/>
      <c r="B417" s="69" t="str">
        <f>IFERROR(INDEX(Tableau4[Date],MATCH($A417,Tableau4[EVO],0)),"")</f>
        <v/>
      </c>
      <c r="C417" s="68" t="str">
        <f>IFERROR(INDEX(Tableau4[Designation],MATCH($A417,Tableau4[EVO],0)),"")</f>
        <v/>
      </c>
      <c r="D417" s="68"/>
      <c r="E417" s="70">
        <v>1</v>
      </c>
      <c r="F417" s="71">
        <v>238</v>
      </c>
      <c r="G417" s="101" t="str">
        <f>INDEX(Tableau8[Att1],MATCH(Tableau3[[#This Row],[ID-INS]],Tableau8[ID],0))&amp;""</f>
        <v>V12</v>
      </c>
      <c r="H417" s="101" t="str">
        <f>INDEX(Tableau8[Att2],MATCH(Tableau3[[#This Row],[ID-INS]],Tableau8[ID],0))&amp;""</f>
        <v>P1</v>
      </c>
      <c r="I417" s="101" t="str">
        <f>INDEX(Tableau8[Att3],MATCH(Tableau3[[#This Row],[ID-INS]],Tableau8[ID],0))&amp;""</f>
        <v>Portail P1</v>
      </c>
      <c r="J417" s="101"/>
      <c r="K417" s="167" t="str">
        <f>INDEX(Tableau8[Nom du modele],MATCH(Tableau3[[#This Row],[ID-INS]],Tableau8[ID],0))&amp;""</f>
        <v>PortailR2V_1</v>
      </c>
      <c r="L417" s="99" t="str">
        <f>INDEX(Tableau5[Att1],MATCH(Tableau3[[#This Row],[ID-SIG]],Tableau5[ID],0))&amp;""</f>
        <v>V2_FerProtect</v>
      </c>
      <c r="M417" s="99" t="str">
        <f>INDEX(Tableau5[Att2],MATCH(Tableau3[[#This Row],[ID-SIG]],Tableau5[ID],0))&amp;""</f>
        <v/>
      </c>
      <c r="N417" s="99" t="str">
        <f>INDEX(Tableau5[Att3],MATCH(Tableau3[[#This Row],[ID-SIG]],Tableau5[ID],0))&amp;""</f>
        <v/>
      </c>
      <c r="O417" s="99"/>
      <c r="P417" s="99" t="str">
        <f>INDEX(Tableau5[Description],MATCH(Tableau3[[#This Row],[ID-SIG]],Tableau5[ID],0))</f>
        <v>Vantail 2 Protection fermeture par bande palpeuse et barrage</v>
      </c>
      <c r="Q417" s="99"/>
      <c r="R417" s="103" t="str">
        <f>Tableau3[[#This Row],[Description]]</f>
        <v>Vantail 2 Protection fermeture par bande palpeuse et barrage</v>
      </c>
      <c r="S417" s="86"/>
      <c r="U417" s="87">
        <v>3</v>
      </c>
      <c r="V417" s="87">
        <v>1</v>
      </c>
      <c r="W417" s="87">
        <v>6</v>
      </c>
      <c r="X417" s="87">
        <v>7</v>
      </c>
      <c r="Y417" s="40"/>
      <c r="Z417" s="165" t="str">
        <f>INDEX(Tableau2[TS],MATCH(Tableau3[[#This Row],[ID-CARTEVOIE]],Tableau2[ID-CARTEVOIE],0))</f>
        <v>ET</v>
      </c>
      <c r="AA417" s="53" t="s">
        <v>213</v>
      </c>
      <c r="AB417" s="223" t="str">
        <f>IFERROR(INDEX(Tableau5[Reserve],MATCH(Tableau3[[#This Row],[ID-SIG]],Tableau5[ID],0))&amp;"","")</f>
        <v/>
      </c>
      <c r="AC417" s="21"/>
      <c r="AD417" s="108" t="str">
        <f>INDEX(Tableau7[Repere],MATCH(Tableau3[[#This Row],[ID-API]],Tableau7[ID-API],0))&amp;""</f>
        <v>A3</v>
      </c>
      <c r="AE417" s="108" t="str">
        <f>INDEX(Tableau1[Repere-Rack],MATCH(Tableau3[[#This Row],[ID-RACK]],Tableau1[ID-RACK],0))&amp;""</f>
        <v>R1</v>
      </c>
      <c r="AF417" s="108" t="str">
        <f>INDEX(Tableau1[Repere-Slot],MATCH(Tableau3[[#This Row],[ID-SLOT]],Tableau1[ID-SLOT],0))&amp;""</f>
        <v>S6</v>
      </c>
      <c r="AG417" s="108" t="str">
        <f>INDEX(Tableau2[Repere-Voie],MATCH(Tableau3[[#This Row],[ID-VOIE]],Tableau2[ID-Voie],0))&amp;""</f>
        <v>v7</v>
      </c>
      <c r="AH417" s="72" t="str">
        <f>Tableau3[[#This Row],[ID-API]]&amp; "." &amp;Tableau3[[#This Row],[ID-RACK]]&amp; "." &amp;Tableau3[[#This Row],[ID-SLOT]]</f>
        <v>3.1.6</v>
      </c>
      <c r="AI417" s="72" t="str">
        <f>INDEX(Tableau1[Ref-Carte],MATCH(Tableau3[[#This Row],[ID-RRS]],Tableau1[ID-RRS],0))</f>
        <v>SDI1602</v>
      </c>
      <c r="AJ417" s="72" t="str">
        <f t="array" ref="AJ417">IFERROR(INDEX(Tableau2[TS],MATCH(1,(Tableau2[Ref-Carte]=Tableau3[[#This Row],[Ref-Carte2]])*(Tableau2[ID-Voie]=Tableau3[[#This Row],[ID-VOIE]]),0)),"")</f>
        <v>ET</v>
      </c>
      <c r="AK417" s="72" t="str">
        <f>IFERROR(INDEX(Tableau2[TS],SUMPRODUCT((Tableau2[Ref-Carte]=Tableau3[[#This Row],[Ref-Carte2]])*(Tableau2[ID-Voie]=Tableau3[[#This Row],[ID-VOIE]])*ROW(Tableau2[TS]))-ROW(Tableau2[#Headers])),"")</f>
        <v>ET</v>
      </c>
      <c r="AL417" s="72" t="str">
        <f>Tableau3[[#This Row],[Ref-Carte2]]&amp;"/"&amp;Tableau3[[#This Row],[ID-VOIE]]</f>
        <v>SDI1602/7</v>
      </c>
      <c r="AM417" s="73" t="str">
        <f>INDEX(Tableau2[Borne],MATCH(Tableau3[[#This Row],[ID-CARTEVOIE]],Tableau2[ID-CARTEVOIE],0))&amp;""</f>
        <v>3A</v>
      </c>
      <c r="AN417" s="74" t="str">
        <f>Tableau3[[#This Row],[ID-API]]&amp;Tableau3[[#This Row],[ID-RACK]]&amp;Tableau3[[#This Row],[ID-SLOT]]&amp;Tableau3[[#This Row],[BORNE]]</f>
        <v>3163A</v>
      </c>
      <c r="AO417" s="1"/>
    </row>
    <row r="418" spans="1:41" ht="20.100000000000001" customHeight="1" thickTop="1" thickBot="1">
      <c r="A418" s="68"/>
      <c r="B418" s="69" t="str">
        <f>IFERROR(INDEX(Tableau4[Date],MATCH($A418,Tableau4[EVO],0)),"")</f>
        <v/>
      </c>
      <c r="C418" s="68" t="str">
        <f>IFERROR(INDEX(Tableau4[Designation],MATCH($A418,Tableau4[EVO],0)),"")</f>
        <v/>
      </c>
      <c r="D418" s="68"/>
      <c r="E418" s="70">
        <v>1</v>
      </c>
      <c r="F418" s="71">
        <v>239</v>
      </c>
      <c r="G418" s="101" t="str">
        <f>INDEX(Tableau8[Att1],MATCH(Tableau3[[#This Row],[ID-INS]],Tableau8[ID],0))&amp;""</f>
        <v>V12</v>
      </c>
      <c r="H418" s="101" t="str">
        <f>INDEX(Tableau8[Att2],MATCH(Tableau3[[#This Row],[ID-INS]],Tableau8[ID],0))&amp;""</f>
        <v>P1</v>
      </c>
      <c r="I418" s="101" t="str">
        <f>INDEX(Tableau8[Att3],MATCH(Tableau3[[#This Row],[ID-INS]],Tableau8[ID],0))&amp;""</f>
        <v>Portail P1</v>
      </c>
      <c r="J418" s="101"/>
      <c r="K418" s="167" t="str">
        <f>INDEX(Tableau8[Nom du modele],MATCH(Tableau3[[#This Row],[ID-INS]],Tableau8[ID],0))&amp;""</f>
        <v>PortailR2V_1</v>
      </c>
      <c r="L418" s="99" t="str">
        <f>INDEX(Tableau5[Att1],MATCH(Tableau3[[#This Row],[ID-SIG]],Tableau5[ID],0))&amp;""</f>
        <v>V2_FerRet1</v>
      </c>
      <c r="M418" s="99" t="str">
        <f>INDEX(Tableau5[Att2],MATCH(Tableau3[[#This Row],[ID-SIG]],Tableau5[ID],0))&amp;""</f>
        <v/>
      </c>
      <c r="N418" s="99" t="str">
        <f>INDEX(Tableau5[Att3],MATCH(Tableau3[[#This Row],[ID-SIG]],Tableau5[ID],0))&amp;""</f>
        <v/>
      </c>
      <c r="O418" s="99"/>
      <c r="P418" s="99" t="str">
        <f>INDEX(Tableau5[Description],MATCH(Tableau3[[#This Row],[ID-SIG]],Tableau5[ID],0))</f>
        <v>Retour Commande 1 fermeture vantail 2</v>
      </c>
      <c r="Q418" s="99"/>
      <c r="R418" s="103" t="str">
        <f>Tableau3[[#This Row],[Description]]</f>
        <v>Retour Commande 1 fermeture vantail 2</v>
      </c>
      <c r="S418" s="86"/>
      <c r="U418" s="87">
        <v>3</v>
      </c>
      <c r="V418" s="87">
        <v>1</v>
      </c>
      <c r="W418" s="87">
        <v>6</v>
      </c>
      <c r="X418" s="87">
        <v>8</v>
      </c>
      <c r="Y418" s="40"/>
      <c r="Z418" s="165" t="str">
        <f>INDEX(Tableau2[TS],MATCH(Tableau3[[#This Row],[ID-CARTEVOIE]],Tableau2[ID-CARTEVOIE],0))</f>
        <v>ET</v>
      </c>
      <c r="AA418" s="53" t="s">
        <v>213</v>
      </c>
      <c r="AB418" s="223" t="str">
        <f>IFERROR(INDEX(Tableau5[Reserve],MATCH(Tableau3[[#This Row],[ID-SIG]],Tableau5[ID],0))&amp;"","")</f>
        <v/>
      </c>
      <c r="AC418" s="21"/>
      <c r="AD418" s="108" t="str">
        <f>INDEX(Tableau7[Repere],MATCH(Tableau3[[#This Row],[ID-API]],Tableau7[ID-API],0))&amp;""</f>
        <v>A3</v>
      </c>
      <c r="AE418" s="108" t="str">
        <f>INDEX(Tableau1[Repere-Rack],MATCH(Tableau3[[#This Row],[ID-RACK]],Tableau1[ID-RACK],0))&amp;""</f>
        <v>R1</v>
      </c>
      <c r="AF418" s="108" t="str">
        <f>INDEX(Tableau1[Repere-Slot],MATCH(Tableau3[[#This Row],[ID-SLOT]],Tableau1[ID-SLOT],0))&amp;""</f>
        <v>S6</v>
      </c>
      <c r="AG418" s="108" t="str">
        <f>INDEX(Tableau2[Repere-Voie],MATCH(Tableau3[[#This Row],[ID-VOIE]],Tableau2[ID-Voie],0))&amp;""</f>
        <v>v8</v>
      </c>
      <c r="AH418" s="72" t="str">
        <f>Tableau3[[#This Row],[ID-API]]&amp; "." &amp;Tableau3[[#This Row],[ID-RACK]]&amp; "." &amp;Tableau3[[#This Row],[ID-SLOT]]</f>
        <v>3.1.6</v>
      </c>
      <c r="AI418" s="72" t="str">
        <f>INDEX(Tableau1[Ref-Carte],MATCH(Tableau3[[#This Row],[ID-RRS]],Tableau1[ID-RRS],0))</f>
        <v>SDI1602</v>
      </c>
      <c r="AJ418" s="72" t="str">
        <f t="array" ref="AJ418">IFERROR(INDEX(Tableau2[TS],MATCH(1,(Tableau2[Ref-Carte]=Tableau3[[#This Row],[Ref-Carte2]])*(Tableau2[ID-Voie]=Tableau3[[#This Row],[ID-VOIE]]),0)),"")</f>
        <v>ET</v>
      </c>
      <c r="AK418" s="72" t="str">
        <f>IFERROR(INDEX(Tableau2[TS],SUMPRODUCT((Tableau2[Ref-Carte]=Tableau3[[#This Row],[Ref-Carte2]])*(Tableau2[ID-Voie]=Tableau3[[#This Row],[ID-VOIE]])*ROW(Tableau2[TS]))-ROW(Tableau2[#Headers])),"")</f>
        <v>ET</v>
      </c>
      <c r="AL418" s="72" t="str">
        <f>Tableau3[[#This Row],[Ref-Carte2]]&amp;"/"&amp;Tableau3[[#This Row],[ID-VOIE]]</f>
        <v>SDI1602/8</v>
      </c>
      <c r="AM418" s="73" t="str">
        <f>INDEX(Tableau2[Borne],MATCH(Tableau3[[#This Row],[ID-CARTEVOIE]],Tableau2[ID-CARTEVOIE],0))&amp;""</f>
        <v>4B</v>
      </c>
      <c r="AN418" s="74" t="str">
        <f>Tableau3[[#This Row],[ID-API]]&amp;Tableau3[[#This Row],[ID-RACK]]&amp;Tableau3[[#This Row],[ID-SLOT]]&amp;Tableau3[[#This Row],[BORNE]]</f>
        <v>3164B</v>
      </c>
      <c r="AO418" s="1"/>
    </row>
    <row r="419" spans="1:41" ht="20.100000000000001" customHeight="1" thickTop="1" thickBot="1">
      <c r="A419" s="68"/>
      <c r="B419" s="69" t="str">
        <f>IFERROR(INDEX(Tableau4[Date],MATCH($A419,Tableau4[EVO],0)),"")</f>
        <v/>
      </c>
      <c r="C419" s="68" t="str">
        <f>IFERROR(INDEX(Tableau4[Designation],MATCH($A419,Tableau4[EVO],0)),"")</f>
        <v/>
      </c>
      <c r="D419" s="68"/>
      <c r="E419" s="70">
        <v>1</v>
      </c>
      <c r="F419" s="71">
        <v>240</v>
      </c>
      <c r="G419" s="101" t="str">
        <f>INDEX(Tableau8[Att1],MATCH(Tableau3[[#This Row],[ID-INS]],Tableau8[ID],0))&amp;""</f>
        <v>V12</v>
      </c>
      <c r="H419" s="101" t="str">
        <f>INDEX(Tableau8[Att2],MATCH(Tableau3[[#This Row],[ID-INS]],Tableau8[ID],0))&amp;""</f>
        <v>P1</v>
      </c>
      <c r="I419" s="101" t="str">
        <f>INDEX(Tableau8[Att3],MATCH(Tableau3[[#This Row],[ID-INS]],Tableau8[ID],0))&amp;""</f>
        <v>Portail P1</v>
      </c>
      <c r="J419" s="101"/>
      <c r="K419" s="167" t="str">
        <f>INDEX(Tableau8[Nom du modele],MATCH(Tableau3[[#This Row],[ID-INS]],Tableau8[ID],0))&amp;""</f>
        <v>PortailR2V_1</v>
      </c>
      <c r="L419" s="99" t="str">
        <f>INDEX(Tableau5[Att1],MATCH(Tableau3[[#This Row],[ID-SIG]],Tableau5[ID],0))&amp;""</f>
        <v>V2_GrpHydRet1</v>
      </c>
      <c r="M419" s="99" t="str">
        <f>INDEX(Tableau5[Att2],MATCH(Tableau3[[#This Row],[ID-SIG]],Tableau5[ID],0))&amp;""</f>
        <v/>
      </c>
      <c r="N419" s="99" t="str">
        <f>INDEX(Tableau5[Att3],MATCH(Tableau3[[#This Row],[ID-SIG]],Tableau5[ID],0))&amp;""</f>
        <v/>
      </c>
      <c r="O419" s="99"/>
      <c r="P419" s="99" t="str">
        <f>INDEX(Tableau5[Description],MATCH(Tableau3[[#This Row],[ID-SIG]],Tableau5[ID],0))</f>
        <v>Retour Commande 1 marche groupe hydraulique vantail 2</v>
      </c>
      <c r="Q419" s="99"/>
      <c r="R419" s="103" t="str">
        <f>Tableau3[[#This Row],[Description]]</f>
        <v>Retour Commande 1 marche groupe hydraulique vantail 2</v>
      </c>
      <c r="S419" s="86"/>
      <c r="U419" s="87">
        <v>3</v>
      </c>
      <c r="V419" s="87">
        <v>1</v>
      </c>
      <c r="W419" s="87">
        <v>6</v>
      </c>
      <c r="X419" s="87">
        <v>9</v>
      </c>
      <c r="Y419" s="40"/>
      <c r="Z419" s="165" t="str">
        <f>INDEX(Tableau2[TS],MATCH(Tableau3[[#This Row],[ID-CARTEVOIE]],Tableau2[ID-CARTEVOIE],0))</f>
        <v>ET</v>
      </c>
      <c r="AA419" s="53" t="s">
        <v>213</v>
      </c>
      <c r="AB419" s="223" t="str">
        <f>IFERROR(INDEX(Tableau5[Reserve],MATCH(Tableau3[[#This Row],[ID-SIG]],Tableau5[ID],0))&amp;"","")</f>
        <v/>
      </c>
      <c r="AC419" s="21"/>
      <c r="AD419" s="108" t="str">
        <f>INDEX(Tableau7[Repere],MATCH(Tableau3[[#This Row],[ID-API]],Tableau7[ID-API],0))&amp;""</f>
        <v>A3</v>
      </c>
      <c r="AE419" s="108" t="str">
        <f>INDEX(Tableau1[Repere-Rack],MATCH(Tableau3[[#This Row],[ID-RACK]],Tableau1[ID-RACK],0))&amp;""</f>
        <v>R1</v>
      </c>
      <c r="AF419" s="108" t="str">
        <f>INDEX(Tableau1[Repere-Slot],MATCH(Tableau3[[#This Row],[ID-SLOT]],Tableau1[ID-SLOT],0))&amp;""</f>
        <v>S6</v>
      </c>
      <c r="AG419" s="108" t="str">
        <f>INDEX(Tableau2[Repere-Voie],MATCH(Tableau3[[#This Row],[ID-VOIE]],Tableau2[ID-Voie],0))&amp;""</f>
        <v>v9</v>
      </c>
      <c r="AH419" s="72" t="str">
        <f>Tableau3[[#This Row],[ID-API]]&amp; "." &amp;Tableau3[[#This Row],[ID-RACK]]&amp; "." &amp;Tableau3[[#This Row],[ID-SLOT]]</f>
        <v>3.1.6</v>
      </c>
      <c r="AI419" s="72" t="str">
        <f>INDEX(Tableau1[Ref-Carte],MATCH(Tableau3[[#This Row],[ID-RRS]],Tableau1[ID-RRS],0))</f>
        <v>SDI1602</v>
      </c>
      <c r="AJ419" s="72" t="str">
        <f t="array" ref="AJ419">IFERROR(INDEX(Tableau2[TS],MATCH(1,(Tableau2[Ref-Carte]=Tableau3[[#This Row],[Ref-Carte2]])*(Tableau2[ID-Voie]=Tableau3[[#This Row],[ID-VOIE]]),0)),"")</f>
        <v>ET</v>
      </c>
      <c r="AK419" s="72" t="str">
        <f>IFERROR(INDEX(Tableau2[TS],SUMPRODUCT((Tableau2[Ref-Carte]=Tableau3[[#This Row],[Ref-Carte2]])*(Tableau2[ID-Voie]=Tableau3[[#This Row],[ID-VOIE]])*ROW(Tableau2[TS]))-ROW(Tableau2[#Headers])),"")</f>
        <v>ET</v>
      </c>
      <c r="AL419" s="72" t="str">
        <f>Tableau3[[#This Row],[Ref-Carte2]]&amp;"/"&amp;Tableau3[[#This Row],[ID-VOIE]]</f>
        <v>SDI1602/9</v>
      </c>
      <c r="AM419" s="73" t="str">
        <f>INDEX(Tableau2[Borne],MATCH(Tableau3[[#This Row],[ID-CARTEVOIE]],Tableau2[ID-CARTEVOIE],0))&amp;""</f>
        <v>4A</v>
      </c>
      <c r="AN419" s="74" t="str">
        <f>Tableau3[[#This Row],[ID-API]]&amp;Tableau3[[#This Row],[ID-RACK]]&amp;Tableau3[[#This Row],[ID-SLOT]]&amp;Tableau3[[#This Row],[BORNE]]</f>
        <v>3164A</v>
      </c>
      <c r="AO419" s="1"/>
    </row>
    <row r="420" spans="1:41" ht="20.100000000000001" customHeight="1" thickTop="1" thickBot="1">
      <c r="A420" s="134"/>
      <c r="B420" s="135" t="str">
        <f>IFERROR(INDEX(Tableau4[Date],MATCH($A420,Tableau4[EVO],0)),"")</f>
        <v/>
      </c>
      <c r="C420" s="136" t="str">
        <f>IFERROR(INDEX(Tableau4[Designation],MATCH($A420,Tableau4[EVO],0)),"")</f>
        <v/>
      </c>
      <c r="D420" s="134"/>
      <c r="E420" s="137">
        <v>5</v>
      </c>
      <c r="F420" s="138">
        <v>268</v>
      </c>
      <c r="G420" s="139" t="str">
        <f>INDEX(Tableau8[Att1],MATCH(Tableau3[[#This Row],[ID-INS]],Tableau8[ID],0))&amp;""</f>
        <v>V2</v>
      </c>
      <c r="H420" s="139" t="str">
        <f>INDEX(Tableau8[Att2],MATCH(Tableau3[[#This Row],[ID-INS]],Tableau8[ID],0))&amp;""</f>
        <v>P5</v>
      </c>
      <c r="I420" s="139" t="str">
        <f>INDEX(Tableau8[Att3],MATCH(Tableau3[[#This Row],[ID-INS]],Tableau8[ID],0))&amp;""</f>
        <v>Portail P5</v>
      </c>
      <c r="J420" s="101"/>
      <c r="K420" s="167" t="str">
        <f>INDEX(Tableau8[Nom du modele],MATCH(Tableau3[[#This Row],[ID-INS]],Tableau8[ID],0))&amp;""</f>
        <v>PortailBleuHydr_1</v>
      </c>
      <c r="L420" s="141" t="str">
        <f>INDEX(Tableau5[Att1],MATCH(Tableau3[[#This Row],[ID-SIG]],Tableau5[ID],0))&amp;""</f>
        <v>Réserve</v>
      </c>
      <c r="M420" s="141" t="str">
        <f>INDEX(Tableau5[Att2],MATCH(Tableau3[[#This Row],[ID-SIG]],Tableau5[ID],0))&amp;""</f>
        <v/>
      </c>
      <c r="N420" s="141" t="str">
        <f>INDEX(Tableau5[Att3],MATCH(Tableau3[[#This Row],[ID-SIG]],Tableau5[ID],0))&amp;""</f>
        <v/>
      </c>
      <c r="O420" s="99"/>
      <c r="P420" s="141" t="str">
        <f>INDEX(Tableau5[Description],MATCH(Tableau3[[#This Row],[ID-SIG]],Tableau5[ID],0))</f>
        <v>Réserve</v>
      </c>
      <c r="Q420" s="99"/>
      <c r="R420" s="142" t="str">
        <f>Tableau3[[#This Row],[Description]]</f>
        <v>Réserve</v>
      </c>
      <c r="S420" s="52"/>
      <c r="U420" s="87">
        <v>3</v>
      </c>
      <c r="V420" s="87">
        <v>1</v>
      </c>
      <c r="W420" s="87">
        <v>6</v>
      </c>
      <c r="X420" s="87">
        <v>10</v>
      </c>
      <c r="Y420" s="40"/>
      <c r="Z420" s="165" t="str">
        <f>INDEX(Tableau2[TS],MATCH(Tableau3[[#This Row],[ID-CARTEVOIE]],Tableau2[ID-CARTEVOIE],0))</f>
        <v>ET</v>
      </c>
      <c r="AA420" s="144" t="s">
        <v>213</v>
      </c>
      <c r="AB420" s="224" t="str">
        <f>IFERROR(INDEX(Tableau5[Reserve],MATCH(Tableau3[[#This Row],[ID-SIG]],Tableau5[ID],0))&amp;"","")</f>
        <v/>
      </c>
      <c r="AC420" s="119"/>
      <c r="AD420" s="120" t="str">
        <f>INDEX(Tableau7[Repere],MATCH(Tableau3[[#This Row],[ID-API]],Tableau7[ID-API],0))&amp;""</f>
        <v>A3</v>
      </c>
      <c r="AE420" s="120" t="str">
        <f>INDEX(Tableau1[Repere-Rack],MATCH(Tableau3[[#This Row],[ID-RACK]],Tableau1[ID-RACK],0))&amp;""</f>
        <v>R1</v>
      </c>
      <c r="AF420" s="120" t="str">
        <f>INDEX(Tableau1[Repere-Slot],MATCH(Tableau3[[#This Row],[ID-SLOT]],Tableau1[ID-SLOT],0))&amp;""</f>
        <v>S6</v>
      </c>
      <c r="AG420" s="120" t="str">
        <f>INDEX(Tableau2[Repere-Voie],MATCH(Tableau3[[#This Row],[ID-VOIE]],Tableau2[ID-Voie],0))&amp;""</f>
        <v>v10</v>
      </c>
      <c r="AH420" s="122" t="str">
        <f>Tableau3[[#This Row],[ID-API]]&amp; "." &amp;Tableau3[[#This Row],[ID-RACK]]&amp; "." &amp;Tableau3[[#This Row],[ID-SLOT]]</f>
        <v>3.1.6</v>
      </c>
      <c r="AI420" s="72" t="str">
        <f>INDEX(Tableau1[Ref-Carte],MATCH(Tableau3[[#This Row],[ID-RRS]],Tableau1[ID-RRS],0))</f>
        <v>SDI1602</v>
      </c>
      <c r="AJ420" s="72" t="str">
        <f t="array" ref="AJ420">IFERROR(INDEX(Tableau2[TS],MATCH(1,(Tableau2[Ref-Carte]=Tableau3[[#This Row],[Ref-Carte2]])*(Tableau2[ID-Voie]=Tableau3[[#This Row],[ID-VOIE]]),0)),"")</f>
        <v>ET</v>
      </c>
      <c r="AK420" s="72" t="str">
        <f>IFERROR(INDEX(Tableau2[TS],SUMPRODUCT((Tableau2[Ref-Carte]=Tableau3[[#This Row],[Ref-Carte2]])*(Tableau2[ID-Voie]=Tableau3[[#This Row],[ID-VOIE]])*ROW(Tableau2[TS]))-ROW(Tableau2[#Headers])),"")</f>
        <v>ET</v>
      </c>
      <c r="AL420" s="122" t="str">
        <f>Tableau3[[#This Row],[Ref-Carte2]]&amp;"/"&amp;Tableau3[[#This Row],[ID-VOIE]]</f>
        <v>SDI1602/10</v>
      </c>
      <c r="AM420" s="145" t="str">
        <f>INDEX(Tableau2[Borne],MATCH(Tableau3[[#This Row],[ID-CARTEVOIE]],Tableau2[ID-CARTEVOIE],0))&amp;""</f>
        <v>5B</v>
      </c>
      <c r="AN420" s="124" t="str">
        <f>Tableau3[[#This Row],[ID-API]]&amp;Tableau3[[#This Row],[ID-RACK]]&amp;Tableau3[[#This Row],[ID-SLOT]]&amp;Tableau3[[#This Row],[BORNE]]</f>
        <v>3165B</v>
      </c>
      <c r="AO420" s="125"/>
    </row>
    <row r="421" spans="1:41" ht="20.100000000000001" customHeight="1" thickTop="1" thickBot="1">
      <c r="A421" s="134"/>
      <c r="B421" s="135" t="str">
        <f>IFERROR(INDEX(Tableau4[Date],MATCH($A421,Tableau4[EVO],0)),"")</f>
        <v/>
      </c>
      <c r="C421" s="136" t="str">
        <f>IFERROR(INDEX(Tableau4[Designation],MATCH($A421,Tableau4[EVO],0)),"")</f>
        <v/>
      </c>
      <c r="D421" s="134"/>
      <c r="E421" s="137">
        <v>5</v>
      </c>
      <c r="F421" s="138">
        <v>269</v>
      </c>
      <c r="G421" s="139" t="str">
        <f>INDEX(Tableau8[Att1],MATCH(Tableau3[[#This Row],[ID-INS]],Tableau8[ID],0))&amp;""</f>
        <v>V2</v>
      </c>
      <c r="H421" s="139" t="str">
        <f>INDEX(Tableau8[Att2],MATCH(Tableau3[[#This Row],[ID-INS]],Tableau8[ID],0))&amp;""</f>
        <v>P5</v>
      </c>
      <c r="I421" s="139" t="str">
        <f>INDEX(Tableau8[Att3],MATCH(Tableau3[[#This Row],[ID-INS]],Tableau8[ID],0))&amp;""</f>
        <v>Portail P5</v>
      </c>
      <c r="J421" s="101"/>
      <c r="K421" s="167" t="str">
        <f>INDEX(Tableau8[Nom du modele],MATCH(Tableau3[[#This Row],[ID-INS]],Tableau8[ID],0))&amp;""</f>
        <v>PortailBleuHydr_1</v>
      </c>
      <c r="L421" s="141" t="str">
        <f>INDEX(Tableau5[Att1],MATCH(Tableau3[[#This Row],[ID-SIG]],Tableau5[ID],0))&amp;""</f>
        <v>V_FerRet1</v>
      </c>
      <c r="M421" s="141" t="str">
        <f>INDEX(Tableau5[Att2],MATCH(Tableau3[[#This Row],[ID-SIG]],Tableau5[ID],0))&amp;""</f>
        <v/>
      </c>
      <c r="N421" s="141" t="str">
        <f>INDEX(Tableau5[Att3],MATCH(Tableau3[[#This Row],[ID-SIG]],Tableau5[ID],0))&amp;""</f>
        <v/>
      </c>
      <c r="O421" s="99"/>
      <c r="P421" s="141" t="str">
        <f>INDEX(Tableau5[Description],MATCH(Tableau3[[#This Row],[ID-SIG]],Tableau5[ID],0))</f>
        <v>Retour Commande 1 fermeture</v>
      </c>
      <c r="Q421" s="99"/>
      <c r="R421" s="142" t="str">
        <f>Tableau3[[#This Row],[Description]]</f>
        <v>Retour Commande 1 fermeture</v>
      </c>
      <c r="S421" s="52"/>
      <c r="U421" s="87">
        <v>3</v>
      </c>
      <c r="V421" s="87">
        <v>1</v>
      </c>
      <c r="W421" s="87">
        <v>6</v>
      </c>
      <c r="X421" s="87">
        <v>11</v>
      </c>
      <c r="Y421" s="40"/>
      <c r="Z421" s="165" t="str">
        <f>INDEX(Tableau2[TS],MATCH(Tableau3[[#This Row],[ID-CARTEVOIE]],Tableau2[ID-CARTEVOIE],0))</f>
        <v>ET</v>
      </c>
      <c r="AA421" s="144" t="s">
        <v>213</v>
      </c>
      <c r="AB421" s="224" t="str">
        <f>IFERROR(INDEX(Tableau5[Reserve],MATCH(Tableau3[[#This Row],[ID-SIG]],Tableau5[ID],0))&amp;"","")</f>
        <v/>
      </c>
      <c r="AC421" s="119"/>
      <c r="AD421" s="120" t="str">
        <f>INDEX(Tableau7[Repere],MATCH(Tableau3[[#This Row],[ID-API]],Tableau7[ID-API],0))&amp;""</f>
        <v>A3</v>
      </c>
      <c r="AE421" s="120" t="str">
        <f>INDEX(Tableau1[Repere-Rack],MATCH(Tableau3[[#This Row],[ID-RACK]],Tableau1[ID-RACK],0))&amp;""</f>
        <v>R1</v>
      </c>
      <c r="AF421" s="120" t="str">
        <f>INDEX(Tableau1[Repere-Slot],MATCH(Tableau3[[#This Row],[ID-SLOT]],Tableau1[ID-SLOT],0))&amp;""</f>
        <v>S6</v>
      </c>
      <c r="AG421" s="120" t="str">
        <f>INDEX(Tableau2[Repere-Voie],MATCH(Tableau3[[#This Row],[ID-VOIE]],Tableau2[ID-Voie],0))&amp;""</f>
        <v>v11</v>
      </c>
      <c r="AH421" s="122" t="str">
        <f>Tableau3[[#This Row],[ID-API]]&amp; "." &amp;Tableau3[[#This Row],[ID-RACK]]&amp; "." &amp;Tableau3[[#This Row],[ID-SLOT]]</f>
        <v>3.1.6</v>
      </c>
      <c r="AI421" s="72" t="str">
        <f>INDEX(Tableau1[Ref-Carte],MATCH(Tableau3[[#This Row],[ID-RRS]],Tableau1[ID-RRS],0))</f>
        <v>SDI1602</v>
      </c>
      <c r="AJ421" s="72" t="str">
        <f t="array" ref="AJ421">IFERROR(INDEX(Tableau2[TS],MATCH(1,(Tableau2[Ref-Carte]=Tableau3[[#This Row],[Ref-Carte2]])*(Tableau2[ID-Voie]=Tableau3[[#This Row],[ID-VOIE]]),0)),"")</f>
        <v>ET</v>
      </c>
      <c r="AK421" s="72" t="str">
        <f>IFERROR(INDEX(Tableau2[TS],SUMPRODUCT((Tableau2[Ref-Carte]=Tableau3[[#This Row],[Ref-Carte2]])*(Tableau2[ID-Voie]=Tableau3[[#This Row],[ID-VOIE]])*ROW(Tableau2[TS]))-ROW(Tableau2[#Headers])),"")</f>
        <v>ET</v>
      </c>
      <c r="AL421" s="122" t="str">
        <f>Tableau3[[#This Row],[Ref-Carte2]]&amp;"/"&amp;Tableau3[[#This Row],[ID-VOIE]]</f>
        <v>SDI1602/11</v>
      </c>
      <c r="AM421" s="145" t="str">
        <f>INDEX(Tableau2[Borne],MATCH(Tableau3[[#This Row],[ID-CARTEVOIE]],Tableau2[ID-CARTEVOIE],0))&amp;""</f>
        <v>5A</v>
      </c>
      <c r="AN421" s="124" t="str">
        <f>Tableau3[[#This Row],[ID-API]]&amp;Tableau3[[#This Row],[ID-RACK]]&amp;Tableau3[[#This Row],[ID-SLOT]]&amp;Tableau3[[#This Row],[BORNE]]</f>
        <v>3165A</v>
      </c>
      <c r="AO421" s="125"/>
    </row>
    <row r="422" spans="1:41" ht="20.100000000000001" customHeight="1" thickTop="1" thickBot="1">
      <c r="A422" s="68"/>
      <c r="B422" s="69" t="str">
        <f>IFERROR(INDEX(Tableau4[Date],MATCH($A422,Tableau4[EVO],0)),"")</f>
        <v/>
      </c>
      <c r="C422" s="68" t="str">
        <f>IFERROR(INDEX(Tableau4[Designation],MATCH($A422,Tableau4[EVO],0)),"")</f>
        <v/>
      </c>
      <c r="D422" s="68"/>
      <c r="E422" s="70">
        <v>5</v>
      </c>
      <c r="F422" s="71">
        <v>270</v>
      </c>
      <c r="G422" s="101" t="str">
        <f>INDEX(Tableau8[Att1],MATCH(Tableau3[[#This Row],[ID-INS]],Tableau8[ID],0))&amp;""</f>
        <v>V2</v>
      </c>
      <c r="H422" s="101" t="str">
        <f>INDEX(Tableau8[Att2],MATCH(Tableau3[[#This Row],[ID-INS]],Tableau8[ID],0))&amp;""</f>
        <v>P5</v>
      </c>
      <c r="I422" s="101" t="str">
        <f>INDEX(Tableau8[Att3],MATCH(Tableau3[[#This Row],[ID-INS]],Tableau8[ID],0))&amp;""</f>
        <v>Portail P5</v>
      </c>
      <c r="J422" s="101"/>
      <c r="K422" s="167" t="str">
        <f>INDEX(Tableau8[Nom du modele],MATCH(Tableau3[[#This Row],[ID-INS]],Tableau8[ID],0))&amp;""</f>
        <v>PortailBleuHydr_1</v>
      </c>
      <c r="L422" s="155" t="s">
        <v>1685</v>
      </c>
      <c r="M422" s="99" t="str">
        <f>INDEX(Tableau5[Att2],MATCH(Tableau3[[#This Row],[ID-SIG]],Tableau5[ID],0))&amp;""</f>
        <v/>
      </c>
      <c r="N422" s="99" t="str">
        <f>INDEX(Tableau5[Att3],MATCH(Tableau3[[#This Row],[ID-SIG]],Tableau5[ID],0))&amp;""</f>
        <v/>
      </c>
      <c r="O422" s="99"/>
      <c r="P422" s="155" t="s">
        <v>1688</v>
      </c>
      <c r="Q422" s="99"/>
      <c r="R422" s="103" t="str">
        <f>Tableau3[[#This Row],[Description]]</f>
        <v>Portail P5 - Entrée Réserve 1</v>
      </c>
      <c r="S422" s="52"/>
      <c r="U422" s="87">
        <v>3</v>
      </c>
      <c r="V422" s="87">
        <v>1</v>
      </c>
      <c r="W422" s="87">
        <v>6</v>
      </c>
      <c r="X422" s="87">
        <v>12</v>
      </c>
      <c r="Y422" s="40"/>
      <c r="Z422" s="165" t="str">
        <f>INDEX(Tableau2[TS],MATCH(Tableau3[[#This Row],[ID-CARTEVOIE]],Tableau2[ID-CARTEVOIE],0))</f>
        <v>ET</v>
      </c>
      <c r="AA422" s="53" t="s">
        <v>213</v>
      </c>
      <c r="AB422" s="223" t="str">
        <f>IFERROR(INDEX(Tableau5[Reserve],MATCH(Tableau3[[#This Row],[ID-SIG]],Tableau5[ID],0))&amp;"","")</f>
        <v/>
      </c>
      <c r="AC422" s="21"/>
      <c r="AD422" s="108" t="str">
        <f>INDEX(Tableau7[Repere],MATCH(Tableau3[[#This Row],[ID-API]],Tableau7[ID-API],0))&amp;""</f>
        <v>A3</v>
      </c>
      <c r="AE422" s="108" t="str">
        <f>INDEX(Tableau1[Repere-Rack],MATCH(Tableau3[[#This Row],[ID-RACK]],Tableau1[ID-RACK],0))&amp;""</f>
        <v>R1</v>
      </c>
      <c r="AF422" s="108" t="str">
        <f>INDEX(Tableau1[Repere-Slot],MATCH(Tableau3[[#This Row],[ID-SLOT]],Tableau1[ID-SLOT],0))&amp;""</f>
        <v>S6</v>
      </c>
      <c r="AG422" s="108" t="str">
        <f>INDEX(Tableau2[Repere-Voie],MATCH(Tableau3[[#This Row],[ID-VOIE]],Tableau2[ID-Voie],0))&amp;""</f>
        <v>v12</v>
      </c>
      <c r="AH422" s="72" t="str">
        <f>Tableau3[[#This Row],[ID-API]]&amp; "." &amp;Tableau3[[#This Row],[ID-RACK]]&amp; "." &amp;Tableau3[[#This Row],[ID-SLOT]]</f>
        <v>3.1.6</v>
      </c>
      <c r="AI422" s="72" t="str">
        <f>INDEX(Tableau1[Ref-Carte],MATCH(Tableau3[[#This Row],[ID-RRS]],Tableau1[ID-RRS],0))</f>
        <v>SDI1602</v>
      </c>
      <c r="AJ422" s="72" t="str">
        <f t="array" ref="AJ422">IFERROR(INDEX(Tableau2[TS],MATCH(1,(Tableau2[Ref-Carte]=Tableau3[[#This Row],[Ref-Carte2]])*(Tableau2[ID-Voie]=Tableau3[[#This Row],[ID-VOIE]]),0)),"")</f>
        <v>ET</v>
      </c>
      <c r="AK422" s="72" t="str">
        <f>IFERROR(INDEX(Tableau2[TS],SUMPRODUCT((Tableau2[Ref-Carte]=Tableau3[[#This Row],[Ref-Carte2]])*(Tableau2[ID-Voie]=Tableau3[[#This Row],[ID-VOIE]])*ROW(Tableau2[TS]))-ROW(Tableau2[#Headers])),"")</f>
        <v>ET</v>
      </c>
      <c r="AL422" s="72" t="str">
        <f>Tableau3[[#This Row],[Ref-Carte2]]&amp;"/"&amp;Tableau3[[#This Row],[ID-VOIE]]</f>
        <v>SDI1602/12</v>
      </c>
      <c r="AM422" s="73" t="str">
        <f>INDEX(Tableau2[Borne],MATCH(Tableau3[[#This Row],[ID-CARTEVOIE]],Tableau2[ID-CARTEVOIE],0))&amp;""</f>
        <v>6B</v>
      </c>
      <c r="AN422" s="74" t="str">
        <f>Tableau3[[#This Row],[ID-API]]&amp;Tableau3[[#This Row],[ID-RACK]]&amp;Tableau3[[#This Row],[ID-SLOT]]&amp;Tableau3[[#This Row],[BORNE]]</f>
        <v>3166B</v>
      </c>
      <c r="AO422" s="1"/>
    </row>
    <row r="423" spans="1:41" ht="20.100000000000001" customHeight="1" thickTop="1" thickBot="1">
      <c r="A423" s="68"/>
      <c r="B423" s="69" t="str">
        <f>IFERROR(INDEX(Tableau4[Date],MATCH($A423,Tableau4[EVO],0)),"")</f>
        <v/>
      </c>
      <c r="C423" s="68" t="str">
        <f>IFERROR(INDEX(Tableau4[Designation],MATCH($A423,Tableau4[EVO],0)),"")</f>
        <v/>
      </c>
      <c r="D423" s="68"/>
      <c r="E423" s="70">
        <v>5</v>
      </c>
      <c r="F423" s="71">
        <v>271</v>
      </c>
      <c r="G423" s="101" t="str">
        <f>INDEX(Tableau8[Att1],MATCH(Tableau3[[#This Row],[ID-INS]],Tableau8[ID],0))&amp;""</f>
        <v>V2</v>
      </c>
      <c r="H423" s="101" t="str">
        <f>INDEX(Tableau8[Att2],MATCH(Tableau3[[#This Row],[ID-INS]],Tableau8[ID],0))&amp;""</f>
        <v>P5</v>
      </c>
      <c r="I423" s="101" t="str">
        <f>INDEX(Tableau8[Att3],MATCH(Tableau3[[#This Row],[ID-INS]],Tableau8[ID],0))&amp;""</f>
        <v>Portail P5</v>
      </c>
      <c r="J423" s="101"/>
      <c r="K423" s="167" t="str">
        <f>INDEX(Tableau8[Nom du modele],MATCH(Tableau3[[#This Row],[ID-INS]],Tableau8[ID],0))&amp;""</f>
        <v>PortailBleuHydr_1</v>
      </c>
      <c r="L423" s="99" t="str">
        <f>INDEX(Tableau5[Att1],MATCH(Tableau3[[#This Row],[ID-SIG]],Tableau5[ID],0))&amp;""</f>
        <v>Réserve</v>
      </c>
      <c r="M423" s="99" t="str">
        <f>INDEX(Tableau5[Att2],MATCH(Tableau3[[#This Row],[ID-SIG]],Tableau5[ID],0))&amp;""</f>
        <v/>
      </c>
      <c r="N423" s="99" t="str">
        <f>INDEX(Tableau5[Att3],MATCH(Tableau3[[#This Row],[ID-SIG]],Tableau5[ID],0))&amp;""</f>
        <v/>
      </c>
      <c r="O423" s="99"/>
      <c r="P423" s="99" t="str">
        <f>INDEX(Tableau5[Description],MATCH(Tableau3[[#This Row],[ID-SIG]],Tableau5[ID],0))</f>
        <v>Réserve</v>
      </c>
      <c r="Q423" s="99"/>
      <c r="R423" s="103" t="str">
        <f>Tableau3[[#This Row],[Description]]</f>
        <v>Réserve</v>
      </c>
      <c r="S423" s="52"/>
      <c r="U423" s="87">
        <v>3</v>
      </c>
      <c r="V423" s="87">
        <v>1</v>
      </c>
      <c r="W423" s="87">
        <v>6</v>
      </c>
      <c r="X423" s="87">
        <v>13</v>
      </c>
      <c r="Y423" s="40"/>
      <c r="Z423" s="165" t="str">
        <f>INDEX(Tableau2[TS],MATCH(Tableau3[[#This Row],[ID-CARTEVOIE]],Tableau2[ID-CARTEVOIE],0))</f>
        <v>ET</v>
      </c>
      <c r="AA423" s="53" t="s">
        <v>213</v>
      </c>
      <c r="AB423" s="223" t="str">
        <f>IFERROR(INDEX(Tableau5[Reserve],MATCH(Tableau3[[#This Row],[ID-SIG]],Tableau5[ID],0))&amp;"","")</f>
        <v/>
      </c>
      <c r="AC423" s="21"/>
      <c r="AD423" s="108" t="str">
        <f>INDEX(Tableau7[Repere],MATCH(Tableau3[[#This Row],[ID-API]],Tableau7[ID-API],0))&amp;""</f>
        <v>A3</v>
      </c>
      <c r="AE423" s="108" t="str">
        <f>INDEX(Tableau1[Repere-Rack],MATCH(Tableau3[[#This Row],[ID-RACK]],Tableau1[ID-RACK],0))&amp;""</f>
        <v>R1</v>
      </c>
      <c r="AF423" s="108" t="str">
        <f>INDEX(Tableau1[Repere-Slot],MATCH(Tableau3[[#This Row],[ID-SLOT]],Tableau1[ID-SLOT],0))&amp;""</f>
        <v>S6</v>
      </c>
      <c r="AG423" s="108" t="str">
        <f>INDEX(Tableau2[Repere-Voie],MATCH(Tableau3[[#This Row],[ID-VOIE]],Tableau2[ID-Voie],0))&amp;""</f>
        <v>v13</v>
      </c>
      <c r="AH423" s="72" t="str">
        <f>Tableau3[[#This Row],[ID-API]]&amp; "." &amp;Tableau3[[#This Row],[ID-RACK]]&amp; "." &amp;Tableau3[[#This Row],[ID-SLOT]]</f>
        <v>3.1.6</v>
      </c>
      <c r="AI423" s="72" t="str">
        <f>INDEX(Tableau1[Ref-Carte],MATCH(Tableau3[[#This Row],[ID-RRS]],Tableau1[ID-RRS],0))</f>
        <v>SDI1602</v>
      </c>
      <c r="AJ423" s="72" t="str">
        <f t="array" ref="AJ423">IFERROR(INDEX(Tableau2[TS],MATCH(1,(Tableau2[Ref-Carte]=Tableau3[[#This Row],[Ref-Carte2]])*(Tableau2[ID-Voie]=Tableau3[[#This Row],[ID-VOIE]]),0)),"")</f>
        <v>ET</v>
      </c>
      <c r="AK423" s="72" t="str">
        <f>IFERROR(INDEX(Tableau2[TS],SUMPRODUCT((Tableau2[Ref-Carte]=Tableau3[[#This Row],[Ref-Carte2]])*(Tableau2[ID-Voie]=Tableau3[[#This Row],[ID-VOIE]])*ROW(Tableau2[TS]))-ROW(Tableau2[#Headers])),"")</f>
        <v>ET</v>
      </c>
      <c r="AL423" s="72" t="str">
        <f>Tableau3[[#This Row],[Ref-Carte2]]&amp;"/"&amp;Tableau3[[#This Row],[ID-VOIE]]</f>
        <v>SDI1602/13</v>
      </c>
      <c r="AM423" s="73" t="str">
        <f>INDEX(Tableau2[Borne],MATCH(Tableau3[[#This Row],[ID-CARTEVOIE]],Tableau2[ID-CARTEVOIE],0))&amp;""</f>
        <v>6A</v>
      </c>
      <c r="AN423" s="74" t="str">
        <f>Tableau3[[#This Row],[ID-API]]&amp;Tableau3[[#This Row],[ID-RACK]]&amp;Tableau3[[#This Row],[ID-SLOT]]&amp;Tableau3[[#This Row],[BORNE]]</f>
        <v>3166A</v>
      </c>
      <c r="AO423" s="1"/>
    </row>
    <row r="424" spans="1:41" ht="20.100000000000001" customHeight="1" thickTop="1" thickBot="1">
      <c r="A424" s="68"/>
      <c r="B424" s="69" t="str">
        <f>IFERROR(INDEX(Tableau4[Date],MATCH($A424,Tableau4[EVO],0)),"")</f>
        <v/>
      </c>
      <c r="C424" s="68" t="str">
        <f>IFERROR(INDEX(Tableau4[Designation],MATCH($A424,Tableau4[EVO],0)),"")</f>
        <v/>
      </c>
      <c r="D424" s="68"/>
      <c r="E424" s="70">
        <v>5</v>
      </c>
      <c r="F424" s="71">
        <v>272</v>
      </c>
      <c r="G424" s="101" t="str">
        <f>INDEX(Tableau8[Att1],MATCH(Tableau3[[#This Row],[ID-INS]],Tableau8[ID],0))&amp;""</f>
        <v>V2</v>
      </c>
      <c r="H424" s="101" t="str">
        <f>INDEX(Tableau8[Att2],MATCH(Tableau3[[#This Row],[ID-INS]],Tableau8[ID],0))&amp;""</f>
        <v>P5</v>
      </c>
      <c r="I424" s="101" t="str">
        <f>INDEX(Tableau8[Att3],MATCH(Tableau3[[#This Row],[ID-INS]],Tableau8[ID],0))&amp;""</f>
        <v>Portail P5</v>
      </c>
      <c r="J424" s="101"/>
      <c r="K424" s="167" t="str">
        <f>INDEX(Tableau8[Nom du modele],MATCH(Tableau3[[#This Row],[ID-INS]],Tableau8[ID],0))&amp;""</f>
        <v>PortailBleuHydr_1</v>
      </c>
      <c r="L424" s="99" t="str">
        <f>INDEX(Tableau5[Att1],MATCH(Tableau3[[#This Row],[ID-SIG]],Tableau5[ID],0))&amp;""</f>
        <v>Effraction</v>
      </c>
      <c r="M424" s="99" t="str">
        <f>INDEX(Tableau5[Att2],MATCH(Tableau3[[#This Row],[ID-SIG]],Tableau5[ID],0))&amp;""</f>
        <v/>
      </c>
      <c r="N424" s="99" t="str">
        <f>INDEX(Tableau5[Att3],MATCH(Tableau3[[#This Row],[ID-SIG]],Tableau5[ID],0))&amp;""</f>
        <v/>
      </c>
      <c r="O424" s="99"/>
      <c r="P424" s="99" t="str">
        <f>INDEX(Tableau5[Description],MATCH(Tableau3[[#This Row],[ID-SIG]],Tableau5[ID],0))</f>
        <v>Effraction</v>
      </c>
      <c r="Q424" s="99"/>
      <c r="R424" s="103" t="str">
        <f>Tableau3[[#This Row],[Description]]</f>
        <v>Effraction</v>
      </c>
      <c r="S424" s="52"/>
      <c r="U424" s="87">
        <v>3</v>
      </c>
      <c r="V424" s="87">
        <v>1</v>
      </c>
      <c r="W424" s="87">
        <v>6</v>
      </c>
      <c r="X424" s="87">
        <v>14</v>
      </c>
      <c r="Y424" s="40"/>
      <c r="Z424" s="165" t="str">
        <f>INDEX(Tableau2[TS],MATCH(Tableau3[[#This Row],[ID-CARTEVOIE]],Tableau2[ID-CARTEVOIE],0))</f>
        <v>ET</v>
      </c>
      <c r="AA424" s="53" t="s">
        <v>213</v>
      </c>
      <c r="AB424" s="223" t="str">
        <f>IFERROR(INDEX(Tableau5[Reserve],MATCH(Tableau3[[#This Row],[ID-SIG]],Tableau5[ID],0))&amp;"","")</f>
        <v/>
      </c>
      <c r="AC424" s="21"/>
      <c r="AD424" s="108" t="str">
        <f>INDEX(Tableau7[Repere],MATCH(Tableau3[[#This Row],[ID-API]],Tableau7[ID-API],0))&amp;""</f>
        <v>A3</v>
      </c>
      <c r="AE424" s="108" t="str">
        <f>INDEX(Tableau1[Repere-Rack],MATCH(Tableau3[[#This Row],[ID-RACK]],Tableau1[ID-RACK],0))&amp;""</f>
        <v>R1</v>
      </c>
      <c r="AF424" s="108" t="str">
        <f>INDEX(Tableau1[Repere-Slot],MATCH(Tableau3[[#This Row],[ID-SLOT]],Tableau1[ID-SLOT],0))&amp;""</f>
        <v>S6</v>
      </c>
      <c r="AG424" s="108" t="str">
        <f>INDEX(Tableau2[Repere-Voie],MATCH(Tableau3[[#This Row],[ID-VOIE]],Tableau2[ID-Voie],0))&amp;""</f>
        <v>v14</v>
      </c>
      <c r="AH424" s="72" t="str">
        <f>Tableau3[[#This Row],[ID-API]]&amp; "." &amp;Tableau3[[#This Row],[ID-RACK]]&amp; "." &amp;Tableau3[[#This Row],[ID-SLOT]]</f>
        <v>3.1.6</v>
      </c>
      <c r="AI424" s="72" t="str">
        <f>INDEX(Tableau1[Ref-Carte],MATCH(Tableau3[[#This Row],[ID-RRS]],Tableau1[ID-RRS],0))</f>
        <v>SDI1602</v>
      </c>
      <c r="AJ424" s="72" t="str">
        <f t="array" ref="AJ424">IFERROR(INDEX(Tableau2[TS],MATCH(1,(Tableau2[Ref-Carte]=Tableau3[[#This Row],[Ref-Carte2]])*(Tableau2[ID-Voie]=Tableau3[[#This Row],[ID-VOIE]]),0)),"")</f>
        <v>ET</v>
      </c>
      <c r="AK424" s="72" t="str">
        <f>IFERROR(INDEX(Tableau2[TS],SUMPRODUCT((Tableau2[Ref-Carte]=Tableau3[[#This Row],[Ref-Carte2]])*(Tableau2[ID-Voie]=Tableau3[[#This Row],[ID-VOIE]])*ROW(Tableau2[TS]))-ROW(Tableau2[#Headers])),"")</f>
        <v>ET</v>
      </c>
      <c r="AL424" s="72" t="str">
        <f>Tableau3[[#This Row],[Ref-Carte2]]&amp;"/"&amp;Tableau3[[#This Row],[ID-VOIE]]</f>
        <v>SDI1602/14</v>
      </c>
      <c r="AM424" s="73" t="str">
        <f>INDEX(Tableau2[Borne],MATCH(Tableau3[[#This Row],[ID-CARTEVOIE]],Tableau2[ID-CARTEVOIE],0))&amp;""</f>
        <v>7B</v>
      </c>
      <c r="AN424" s="74" t="str">
        <f>Tableau3[[#This Row],[ID-API]]&amp;Tableau3[[#This Row],[ID-RACK]]&amp;Tableau3[[#This Row],[ID-SLOT]]&amp;Tableau3[[#This Row],[BORNE]]</f>
        <v>3167B</v>
      </c>
      <c r="AO424" s="1"/>
    </row>
    <row r="425" spans="1:41" ht="20.100000000000001" customHeight="1" thickTop="1" thickBot="1">
      <c r="A425" s="68"/>
      <c r="B425" s="69" t="str">
        <f>IFERROR(INDEX(Tableau4[Date],MATCH($A425,Tableau4[EVO],0)),"")</f>
        <v/>
      </c>
      <c r="C425" s="68" t="str">
        <f>IFERROR(INDEX(Tableau4[Designation],MATCH($A425,Tableau4[EVO],0)),"")</f>
        <v/>
      </c>
      <c r="D425" s="68"/>
      <c r="E425" s="70">
        <v>5</v>
      </c>
      <c r="F425" s="71">
        <v>278</v>
      </c>
      <c r="G425" s="101" t="str">
        <f>INDEX(Tableau8[Att1],MATCH(Tableau3[[#This Row],[ID-INS]],Tableau8[ID],0))&amp;""</f>
        <v>V2</v>
      </c>
      <c r="H425" s="101" t="str">
        <f>INDEX(Tableau8[Att2],MATCH(Tableau3[[#This Row],[ID-INS]],Tableau8[ID],0))&amp;""</f>
        <v>P5</v>
      </c>
      <c r="I425" s="101" t="str">
        <f>INDEX(Tableau8[Att3],MATCH(Tableau3[[#This Row],[ID-INS]],Tableau8[ID],0))&amp;""</f>
        <v>Portail P5</v>
      </c>
      <c r="J425" s="101"/>
      <c r="K425" s="167" t="str">
        <f>INDEX(Tableau8[Nom du modele],MATCH(Tableau3[[#This Row],[ID-INS]],Tableau8[ID],0))&amp;""</f>
        <v>PortailBleuHydr_1</v>
      </c>
      <c r="L425" s="99" t="str">
        <f>INDEX(Tableau5[Att1],MATCH(Tableau3[[#This Row],[ID-SIG]],Tableau5[ID],0))&amp;""</f>
        <v>VD_Ouv</v>
      </c>
      <c r="M425" s="99" t="str">
        <f>INDEX(Tableau5[Att2],MATCH(Tableau3[[#This Row],[ID-SIG]],Tableau5[ID],0))&amp;""</f>
        <v/>
      </c>
      <c r="N425" s="99" t="str">
        <f>INDEX(Tableau5[Att3],MATCH(Tableau3[[#This Row],[ID-SIG]],Tableau5[ID],0))&amp;""</f>
        <v/>
      </c>
      <c r="O425" s="99"/>
      <c r="P425" s="99" t="str">
        <f>INDEX(Tableau5[Description],MATCH(Tableau3[[#This Row],[ID-SIG]],Tableau5[ID],0))</f>
        <v>Vantail droit fdc ouvert</v>
      </c>
      <c r="Q425" s="99"/>
      <c r="R425" s="103" t="str">
        <f>Tableau3[[#This Row],[Description]]</f>
        <v>Vantail droit fdc ouvert</v>
      </c>
      <c r="S425" s="52"/>
      <c r="U425" s="87">
        <v>3</v>
      </c>
      <c r="V425" s="87">
        <v>1</v>
      </c>
      <c r="W425" s="87">
        <v>6</v>
      </c>
      <c r="X425" s="87">
        <v>15</v>
      </c>
      <c r="Y425" s="40"/>
      <c r="Z425" s="165" t="str">
        <f>INDEX(Tableau2[TS],MATCH(Tableau3[[#This Row],[ID-CARTEVOIE]],Tableau2[ID-CARTEVOIE],0))</f>
        <v>ET</v>
      </c>
      <c r="AA425" s="53" t="s">
        <v>213</v>
      </c>
      <c r="AB425" s="223" t="str">
        <f>IFERROR(INDEX(Tableau5[Reserve],MATCH(Tableau3[[#This Row],[ID-SIG]],Tableau5[ID],0))&amp;"","")</f>
        <v/>
      </c>
      <c r="AC425" s="21"/>
      <c r="AD425" s="108" t="str">
        <f>INDEX(Tableau7[Repere],MATCH(Tableau3[[#This Row],[ID-API]],Tableau7[ID-API],0))&amp;""</f>
        <v>A3</v>
      </c>
      <c r="AE425" s="108" t="str">
        <f>INDEX(Tableau1[Repere-Rack],MATCH(Tableau3[[#This Row],[ID-RACK]],Tableau1[ID-RACK],0))&amp;""</f>
        <v>R1</v>
      </c>
      <c r="AF425" s="108" t="str">
        <f>INDEX(Tableau1[Repere-Slot],MATCH(Tableau3[[#This Row],[ID-SLOT]],Tableau1[ID-SLOT],0))&amp;""</f>
        <v>S6</v>
      </c>
      <c r="AG425" s="108" t="str">
        <f>INDEX(Tableau2[Repere-Voie],MATCH(Tableau3[[#This Row],[ID-VOIE]],Tableau2[ID-Voie],0))&amp;""</f>
        <v>v15</v>
      </c>
      <c r="AH425" s="72" t="str">
        <f>Tableau3[[#This Row],[ID-API]]&amp; "." &amp;Tableau3[[#This Row],[ID-RACK]]&amp; "." &amp;Tableau3[[#This Row],[ID-SLOT]]</f>
        <v>3.1.6</v>
      </c>
      <c r="AI425" s="72" t="str">
        <f>INDEX(Tableau1[Ref-Carte],MATCH(Tableau3[[#This Row],[ID-RRS]],Tableau1[ID-RRS],0))</f>
        <v>SDI1602</v>
      </c>
      <c r="AJ425" s="72" t="str">
        <f t="array" ref="AJ425">IFERROR(INDEX(Tableau2[TS],MATCH(1,(Tableau2[Ref-Carte]=Tableau3[[#This Row],[Ref-Carte2]])*(Tableau2[ID-Voie]=Tableau3[[#This Row],[ID-VOIE]]),0)),"")</f>
        <v>ET</v>
      </c>
      <c r="AK425" s="72" t="str">
        <f>IFERROR(INDEX(Tableau2[TS],SUMPRODUCT((Tableau2[Ref-Carte]=Tableau3[[#This Row],[Ref-Carte2]])*(Tableau2[ID-Voie]=Tableau3[[#This Row],[ID-VOIE]])*ROW(Tableau2[TS]))-ROW(Tableau2[#Headers])),"")</f>
        <v>ET</v>
      </c>
      <c r="AL425" s="72" t="str">
        <f>Tableau3[[#This Row],[Ref-Carte2]]&amp;"/"&amp;Tableau3[[#This Row],[ID-VOIE]]</f>
        <v>SDI1602/15</v>
      </c>
      <c r="AM425" s="73" t="str">
        <f>INDEX(Tableau2[Borne],MATCH(Tableau3[[#This Row],[ID-CARTEVOIE]],Tableau2[ID-CARTEVOIE],0))&amp;""</f>
        <v>7A</v>
      </c>
      <c r="AN425" s="74" t="str">
        <f>Tableau3[[#This Row],[ID-API]]&amp;Tableau3[[#This Row],[ID-RACK]]&amp;Tableau3[[#This Row],[ID-SLOT]]&amp;Tableau3[[#This Row],[BORNE]]</f>
        <v>3167A</v>
      </c>
      <c r="AO425" s="1"/>
    </row>
    <row r="426" spans="1:41" ht="20.100000000000001" customHeight="1" thickTop="1" thickBot="1">
      <c r="A426" s="68"/>
      <c r="B426" s="69" t="str">
        <f>IFERROR(INDEX(Tableau4[Date],MATCH($A426,Tableau4[EVO],0)),"")</f>
        <v/>
      </c>
      <c r="C426" s="68" t="str">
        <f>IFERROR(INDEX(Tableau4[Designation],MATCH($A426,Tableau4[EVO],0)),"")</f>
        <v/>
      </c>
      <c r="D426" s="68"/>
      <c r="E426" s="70">
        <v>5</v>
      </c>
      <c r="F426" s="71">
        <v>279</v>
      </c>
      <c r="G426" s="101" t="str">
        <f>INDEX(Tableau8[Att1],MATCH(Tableau3[[#This Row],[ID-INS]],Tableau8[ID],0))&amp;""</f>
        <v>V2</v>
      </c>
      <c r="H426" s="101" t="str">
        <f>INDEX(Tableau8[Att2],MATCH(Tableau3[[#This Row],[ID-INS]],Tableau8[ID],0))&amp;""</f>
        <v>P5</v>
      </c>
      <c r="I426" s="101" t="str">
        <f>INDEX(Tableau8[Att3],MATCH(Tableau3[[#This Row],[ID-INS]],Tableau8[ID],0))&amp;""</f>
        <v>Portail P5</v>
      </c>
      <c r="J426" s="101"/>
      <c r="K426" s="167" t="str">
        <f>INDEX(Tableau8[Nom du modele],MATCH(Tableau3[[#This Row],[ID-INS]],Tableau8[ID],0))&amp;""</f>
        <v>PortailBleuHydr_1</v>
      </c>
      <c r="L426" s="99" t="str">
        <f>INDEX(Tableau5[Att1],MATCH(Tableau3[[#This Row],[ID-SIG]],Tableau5[ID],0))&amp;""</f>
        <v>VD_Fer</v>
      </c>
      <c r="M426" s="99" t="str">
        <f>INDEX(Tableau5[Att2],MATCH(Tableau3[[#This Row],[ID-SIG]],Tableau5[ID],0))&amp;""</f>
        <v/>
      </c>
      <c r="N426" s="99" t="str">
        <f>INDEX(Tableau5[Att3],MATCH(Tableau3[[#This Row],[ID-SIG]],Tableau5[ID],0))&amp;""</f>
        <v/>
      </c>
      <c r="O426" s="99"/>
      <c r="P426" s="99" t="str">
        <f>INDEX(Tableau5[Description],MATCH(Tableau3[[#This Row],[ID-SIG]],Tableau5[ID],0))</f>
        <v>Vantail droit fdc fermé</v>
      </c>
      <c r="Q426" s="99"/>
      <c r="R426" s="103" t="str">
        <f>Tableau3[[#This Row],[Description]]</f>
        <v>Vantail droit fdc fermé</v>
      </c>
      <c r="S426" s="52"/>
      <c r="U426" s="87">
        <v>3</v>
      </c>
      <c r="V426" s="87">
        <v>1</v>
      </c>
      <c r="W426" s="87">
        <v>7</v>
      </c>
      <c r="X426" s="87">
        <v>0</v>
      </c>
      <c r="Y426" s="40"/>
      <c r="Z426" s="165" t="str">
        <f>INDEX(Tableau2[TS],MATCH(Tableau3[[#This Row],[ID-CARTEVOIE]],Tableau2[ID-CARTEVOIE],0))</f>
        <v>ET</v>
      </c>
      <c r="AA426" s="53" t="s">
        <v>213</v>
      </c>
      <c r="AB426" s="223" t="str">
        <f>IFERROR(INDEX(Tableau5[Reserve],MATCH(Tableau3[[#This Row],[ID-SIG]],Tableau5[ID],0))&amp;"","")</f>
        <v/>
      </c>
      <c r="AC426" s="21"/>
      <c r="AD426" s="108" t="str">
        <f>INDEX(Tableau7[Repere],MATCH(Tableau3[[#This Row],[ID-API]],Tableau7[ID-API],0))&amp;""</f>
        <v>A3</v>
      </c>
      <c r="AE426" s="108" t="str">
        <f>INDEX(Tableau1[Repere-Rack],MATCH(Tableau3[[#This Row],[ID-RACK]],Tableau1[ID-RACK],0))&amp;""</f>
        <v>R1</v>
      </c>
      <c r="AF426" s="108" t="str">
        <f>INDEX(Tableau1[Repere-Slot],MATCH(Tableau3[[#This Row],[ID-SLOT]],Tableau1[ID-SLOT],0))&amp;""</f>
        <v>S7</v>
      </c>
      <c r="AG426" s="108" t="str">
        <f>INDEX(Tableau2[Repere-Voie],MATCH(Tableau3[[#This Row],[ID-VOIE]],Tableau2[ID-Voie],0))&amp;""</f>
        <v>v0</v>
      </c>
      <c r="AH426" s="72" t="str">
        <f>Tableau3[[#This Row],[ID-API]]&amp; "." &amp;Tableau3[[#This Row],[ID-RACK]]&amp; "." &amp;Tableau3[[#This Row],[ID-SLOT]]</f>
        <v>3.1.7</v>
      </c>
      <c r="AI426" s="72" t="str">
        <f>INDEX(Tableau1[Ref-Carte],MATCH(Tableau3[[#This Row],[ID-RRS]],Tableau1[ID-RRS],0))</f>
        <v>SDI1602</v>
      </c>
      <c r="AJ426" s="72" t="str">
        <f t="array" ref="AJ426">IFERROR(INDEX(Tableau2[TS],MATCH(1,(Tableau2[Ref-Carte]=Tableau3[[#This Row],[Ref-Carte2]])*(Tableau2[ID-Voie]=Tableau3[[#This Row],[ID-VOIE]]),0)),"")</f>
        <v>ET</v>
      </c>
      <c r="AK426" s="72" t="str">
        <f>IFERROR(INDEX(Tableau2[TS],SUMPRODUCT((Tableau2[Ref-Carte]=Tableau3[[#This Row],[Ref-Carte2]])*(Tableau2[ID-Voie]=Tableau3[[#This Row],[ID-VOIE]])*ROW(Tableau2[TS]))-ROW(Tableau2[#Headers])),"")</f>
        <v>ET</v>
      </c>
      <c r="AL426" s="72" t="str">
        <f>Tableau3[[#This Row],[Ref-Carte2]]&amp;"/"&amp;Tableau3[[#This Row],[ID-VOIE]]</f>
        <v>SDI1602/0</v>
      </c>
      <c r="AM426" s="73" t="str">
        <f>INDEX(Tableau2[Borne],MATCH(Tableau3[[#This Row],[ID-CARTEVOIE]],Tableau2[ID-CARTEVOIE],0))&amp;""</f>
        <v>0B</v>
      </c>
      <c r="AN426" s="74" t="str">
        <f>Tableau3[[#This Row],[ID-API]]&amp;Tableau3[[#This Row],[ID-RACK]]&amp;Tableau3[[#This Row],[ID-SLOT]]&amp;Tableau3[[#This Row],[BORNE]]</f>
        <v>3170B</v>
      </c>
      <c r="AO426" s="1"/>
    </row>
    <row r="427" spans="1:41" ht="20.100000000000001" customHeight="1" thickTop="1" thickBot="1">
      <c r="A427" s="68"/>
      <c r="B427" s="69" t="str">
        <f>IFERROR(INDEX(Tableau4[Date],MATCH($A427,Tableau4[EVO],0)),"")</f>
        <v/>
      </c>
      <c r="C427" s="68" t="str">
        <f>IFERROR(INDEX(Tableau4[Designation],MATCH($A427,Tableau4[EVO],0)),"")</f>
        <v/>
      </c>
      <c r="D427" s="68"/>
      <c r="E427" s="70">
        <v>5</v>
      </c>
      <c r="F427" s="71">
        <v>280</v>
      </c>
      <c r="G427" s="101" t="str">
        <f>INDEX(Tableau8[Att1],MATCH(Tableau3[[#This Row],[ID-INS]],Tableau8[ID],0))&amp;""</f>
        <v>V2</v>
      </c>
      <c r="H427" s="101" t="str">
        <f>INDEX(Tableau8[Att2],MATCH(Tableau3[[#This Row],[ID-INS]],Tableau8[ID],0))&amp;""</f>
        <v>P5</v>
      </c>
      <c r="I427" s="101" t="str">
        <f>INDEX(Tableau8[Att3],MATCH(Tableau3[[#This Row],[ID-INS]],Tableau8[ID],0))&amp;""</f>
        <v>Portail P5</v>
      </c>
      <c r="J427" s="101"/>
      <c r="K427" s="167" t="str">
        <f>INDEX(Tableau8[Nom du modele],MATCH(Tableau3[[#This Row],[ID-INS]],Tableau8[ID],0))&amp;""</f>
        <v>PortailBleuHydr_1</v>
      </c>
      <c r="L427" s="99" t="str">
        <f>INDEX(Tableau5[Att1],MATCH(Tableau3[[#This Row],[ID-SIG]],Tableau5[ID],0))&amp;""</f>
        <v>VG_Ouv</v>
      </c>
      <c r="M427" s="99" t="str">
        <f>INDEX(Tableau5[Att2],MATCH(Tableau3[[#This Row],[ID-SIG]],Tableau5[ID],0))&amp;""</f>
        <v/>
      </c>
      <c r="N427" s="99" t="str">
        <f>INDEX(Tableau5[Att3],MATCH(Tableau3[[#This Row],[ID-SIG]],Tableau5[ID],0))&amp;""</f>
        <v/>
      </c>
      <c r="O427" s="99"/>
      <c r="P427" s="99" t="str">
        <f>INDEX(Tableau5[Description],MATCH(Tableau3[[#This Row],[ID-SIG]],Tableau5[ID],0))</f>
        <v>Vantail gauche fdc ouvert</v>
      </c>
      <c r="Q427" s="99"/>
      <c r="R427" s="103" t="str">
        <f>Tableau3[[#This Row],[Description]]</f>
        <v>Vantail gauche fdc ouvert</v>
      </c>
      <c r="S427" s="52"/>
      <c r="U427" s="87">
        <v>3</v>
      </c>
      <c r="V427" s="87">
        <v>1</v>
      </c>
      <c r="W427" s="87">
        <v>7</v>
      </c>
      <c r="X427" s="87">
        <v>1</v>
      </c>
      <c r="Y427" s="40"/>
      <c r="Z427" s="165" t="str">
        <f>INDEX(Tableau2[TS],MATCH(Tableau3[[#This Row],[ID-CARTEVOIE]],Tableau2[ID-CARTEVOIE],0))</f>
        <v>ET</v>
      </c>
      <c r="AA427" s="53" t="s">
        <v>213</v>
      </c>
      <c r="AB427" s="223" t="str">
        <f>IFERROR(INDEX(Tableau5[Reserve],MATCH(Tableau3[[#This Row],[ID-SIG]],Tableau5[ID],0))&amp;"","")</f>
        <v/>
      </c>
      <c r="AC427" s="21"/>
      <c r="AD427" s="108" t="str">
        <f>INDEX(Tableau7[Repere],MATCH(Tableau3[[#This Row],[ID-API]],Tableau7[ID-API],0))&amp;""</f>
        <v>A3</v>
      </c>
      <c r="AE427" s="108" t="str">
        <f>INDEX(Tableau1[Repere-Rack],MATCH(Tableau3[[#This Row],[ID-RACK]],Tableau1[ID-RACK],0))&amp;""</f>
        <v>R1</v>
      </c>
      <c r="AF427" s="108" t="str">
        <f>INDEX(Tableau1[Repere-Slot],MATCH(Tableau3[[#This Row],[ID-SLOT]],Tableau1[ID-SLOT],0))&amp;""</f>
        <v>S7</v>
      </c>
      <c r="AG427" s="108" t="str">
        <f>INDEX(Tableau2[Repere-Voie],MATCH(Tableau3[[#This Row],[ID-VOIE]],Tableau2[ID-Voie],0))&amp;""</f>
        <v>v1</v>
      </c>
      <c r="AH427" s="72" t="str">
        <f>Tableau3[[#This Row],[ID-API]]&amp; "." &amp;Tableau3[[#This Row],[ID-RACK]]&amp; "." &amp;Tableau3[[#This Row],[ID-SLOT]]</f>
        <v>3.1.7</v>
      </c>
      <c r="AI427" s="72" t="str">
        <f>INDEX(Tableau1[Ref-Carte],MATCH(Tableau3[[#This Row],[ID-RRS]],Tableau1[ID-RRS],0))</f>
        <v>SDI1602</v>
      </c>
      <c r="AJ427" s="72" t="str">
        <f t="array" ref="AJ427">IFERROR(INDEX(Tableau2[TS],MATCH(1,(Tableau2[Ref-Carte]=Tableau3[[#This Row],[Ref-Carte2]])*(Tableau2[ID-Voie]=Tableau3[[#This Row],[ID-VOIE]]),0)),"")</f>
        <v>ET</v>
      </c>
      <c r="AK427" s="72" t="str">
        <f>IFERROR(INDEX(Tableau2[TS],SUMPRODUCT((Tableau2[Ref-Carte]=Tableau3[[#This Row],[Ref-Carte2]])*(Tableau2[ID-Voie]=Tableau3[[#This Row],[ID-VOIE]])*ROW(Tableau2[TS]))-ROW(Tableau2[#Headers])),"")</f>
        <v>ET</v>
      </c>
      <c r="AL427" s="72" t="str">
        <f>Tableau3[[#This Row],[Ref-Carte2]]&amp;"/"&amp;Tableau3[[#This Row],[ID-VOIE]]</f>
        <v>SDI1602/1</v>
      </c>
      <c r="AM427" s="73" t="str">
        <f>INDEX(Tableau2[Borne],MATCH(Tableau3[[#This Row],[ID-CARTEVOIE]],Tableau2[ID-CARTEVOIE],0))&amp;""</f>
        <v>0A</v>
      </c>
      <c r="AN427" s="74" t="str">
        <f>Tableau3[[#This Row],[ID-API]]&amp;Tableau3[[#This Row],[ID-RACK]]&amp;Tableau3[[#This Row],[ID-SLOT]]&amp;Tableau3[[#This Row],[BORNE]]</f>
        <v>3170A</v>
      </c>
      <c r="AO427" s="1"/>
    </row>
    <row r="428" spans="1:41" ht="20.100000000000001" customHeight="1" thickTop="1" thickBot="1">
      <c r="A428" s="68"/>
      <c r="B428" s="69" t="str">
        <f>IFERROR(INDEX(Tableau4[Date],MATCH($A428,Tableau4[EVO],0)),"")</f>
        <v/>
      </c>
      <c r="C428" s="68" t="str">
        <f>IFERROR(INDEX(Tableau4[Designation],MATCH($A428,Tableau4[EVO],0)),"")</f>
        <v/>
      </c>
      <c r="D428" s="68"/>
      <c r="E428" s="70">
        <v>5</v>
      </c>
      <c r="F428" s="71">
        <v>281</v>
      </c>
      <c r="G428" s="101" t="str">
        <f>INDEX(Tableau8[Att1],MATCH(Tableau3[[#This Row],[ID-INS]],Tableau8[ID],0))&amp;""</f>
        <v>V2</v>
      </c>
      <c r="H428" s="101" t="str">
        <f>INDEX(Tableau8[Att2],MATCH(Tableau3[[#This Row],[ID-INS]],Tableau8[ID],0))&amp;""</f>
        <v>P5</v>
      </c>
      <c r="I428" s="101" t="str">
        <f>INDEX(Tableau8[Att3],MATCH(Tableau3[[#This Row],[ID-INS]],Tableau8[ID],0))&amp;""</f>
        <v>Portail P5</v>
      </c>
      <c r="J428" s="101"/>
      <c r="K428" s="167" t="str">
        <f>INDEX(Tableau8[Nom du modele],MATCH(Tableau3[[#This Row],[ID-INS]],Tableau8[ID],0))&amp;""</f>
        <v>PortailBleuHydr_1</v>
      </c>
      <c r="L428" s="99" t="str">
        <f>INDEX(Tableau5[Att1],MATCH(Tableau3[[#This Row],[ID-SIG]],Tableau5[ID],0))&amp;""</f>
        <v>VG_Fer</v>
      </c>
      <c r="M428" s="99" t="str">
        <f>INDEX(Tableau5[Att2],MATCH(Tableau3[[#This Row],[ID-SIG]],Tableau5[ID],0))&amp;""</f>
        <v/>
      </c>
      <c r="N428" s="99" t="str">
        <f>INDEX(Tableau5[Att3],MATCH(Tableau3[[#This Row],[ID-SIG]],Tableau5[ID],0))&amp;""</f>
        <v/>
      </c>
      <c r="O428" s="99"/>
      <c r="P428" s="99" t="str">
        <f>INDEX(Tableau5[Description],MATCH(Tableau3[[#This Row],[ID-SIG]],Tableau5[ID],0))</f>
        <v>Vantail gauche fdc fermé</v>
      </c>
      <c r="Q428" s="99"/>
      <c r="R428" s="103" t="str">
        <f>Tableau3[[#This Row],[Description]]</f>
        <v>Vantail gauche fdc fermé</v>
      </c>
      <c r="S428" s="52"/>
      <c r="U428" s="87">
        <v>3</v>
      </c>
      <c r="V428" s="87">
        <v>1</v>
      </c>
      <c r="W428" s="87">
        <v>7</v>
      </c>
      <c r="X428" s="87">
        <v>2</v>
      </c>
      <c r="Y428" s="40"/>
      <c r="Z428" s="165" t="str">
        <f>INDEX(Tableau2[TS],MATCH(Tableau3[[#This Row],[ID-CARTEVOIE]],Tableau2[ID-CARTEVOIE],0))</f>
        <v>ET</v>
      </c>
      <c r="AA428" s="53" t="s">
        <v>213</v>
      </c>
      <c r="AB428" s="223" t="str">
        <f>IFERROR(INDEX(Tableau5[Reserve],MATCH(Tableau3[[#This Row],[ID-SIG]],Tableau5[ID],0))&amp;"","")</f>
        <v/>
      </c>
      <c r="AC428" s="21"/>
      <c r="AD428" s="108" t="str">
        <f>INDEX(Tableau7[Repere],MATCH(Tableau3[[#This Row],[ID-API]],Tableau7[ID-API],0))&amp;""</f>
        <v>A3</v>
      </c>
      <c r="AE428" s="108" t="str">
        <f>INDEX(Tableau1[Repere-Rack],MATCH(Tableau3[[#This Row],[ID-RACK]],Tableau1[ID-RACK],0))&amp;""</f>
        <v>R1</v>
      </c>
      <c r="AF428" s="108" t="str">
        <f>INDEX(Tableau1[Repere-Slot],MATCH(Tableau3[[#This Row],[ID-SLOT]],Tableau1[ID-SLOT],0))&amp;""</f>
        <v>S7</v>
      </c>
      <c r="AG428" s="108" t="str">
        <f>INDEX(Tableau2[Repere-Voie],MATCH(Tableau3[[#This Row],[ID-VOIE]],Tableau2[ID-Voie],0))&amp;""</f>
        <v>v2</v>
      </c>
      <c r="AH428" s="72" t="str">
        <f>Tableau3[[#This Row],[ID-API]]&amp; "." &amp;Tableau3[[#This Row],[ID-RACK]]&amp; "." &amp;Tableau3[[#This Row],[ID-SLOT]]</f>
        <v>3.1.7</v>
      </c>
      <c r="AI428" s="72" t="str">
        <f>INDEX(Tableau1[Ref-Carte],MATCH(Tableau3[[#This Row],[ID-RRS]],Tableau1[ID-RRS],0))</f>
        <v>SDI1602</v>
      </c>
      <c r="AJ428" s="72" t="str">
        <f t="array" ref="AJ428">IFERROR(INDEX(Tableau2[TS],MATCH(1,(Tableau2[Ref-Carte]=Tableau3[[#This Row],[Ref-Carte2]])*(Tableau2[ID-Voie]=Tableau3[[#This Row],[ID-VOIE]]),0)),"")</f>
        <v>ET</v>
      </c>
      <c r="AK428" s="72" t="str">
        <f>IFERROR(INDEX(Tableau2[TS],SUMPRODUCT((Tableau2[Ref-Carte]=Tableau3[[#This Row],[Ref-Carte2]])*(Tableau2[ID-Voie]=Tableau3[[#This Row],[ID-VOIE]])*ROW(Tableau2[TS]))-ROW(Tableau2[#Headers])),"")</f>
        <v>ET</v>
      </c>
      <c r="AL428" s="72" t="str">
        <f>Tableau3[[#This Row],[Ref-Carte2]]&amp;"/"&amp;Tableau3[[#This Row],[ID-VOIE]]</f>
        <v>SDI1602/2</v>
      </c>
      <c r="AM428" s="73" t="str">
        <f>INDEX(Tableau2[Borne],MATCH(Tableau3[[#This Row],[ID-CARTEVOIE]],Tableau2[ID-CARTEVOIE],0))&amp;""</f>
        <v>1B</v>
      </c>
      <c r="AN428" s="74" t="str">
        <f>Tableau3[[#This Row],[ID-API]]&amp;Tableau3[[#This Row],[ID-RACK]]&amp;Tableau3[[#This Row],[ID-SLOT]]&amp;Tableau3[[#This Row],[BORNE]]</f>
        <v>3171B</v>
      </c>
      <c r="AO428" s="1"/>
    </row>
    <row r="429" spans="1:41" ht="20.100000000000001" customHeight="1" thickTop="1" thickBot="1">
      <c r="A429" s="68"/>
      <c r="B429" s="69" t="str">
        <f>IFERROR(INDEX(Tableau4[Date],MATCH($A429,Tableau4[EVO],0)),"")</f>
        <v/>
      </c>
      <c r="C429" s="68" t="str">
        <f>IFERROR(INDEX(Tableau4[Designation],MATCH($A429,Tableau4[EVO],0)),"")</f>
        <v/>
      </c>
      <c r="D429" s="68"/>
      <c r="E429" s="70">
        <v>5</v>
      </c>
      <c r="F429" s="71">
        <v>282</v>
      </c>
      <c r="G429" s="101" t="str">
        <f>INDEX(Tableau8[Att1],MATCH(Tableau3[[#This Row],[ID-INS]],Tableau8[ID],0))&amp;""</f>
        <v>V2</v>
      </c>
      <c r="H429" s="101" t="str">
        <f>INDEX(Tableau8[Att2],MATCH(Tableau3[[#This Row],[ID-INS]],Tableau8[ID],0))&amp;""</f>
        <v>P5</v>
      </c>
      <c r="I429" s="101" t="str">
        <f>INDEX(Tableau8[Att3],MATCH(Tableau3[[#This Row],[ID-INS]],Tableau8[ID],0))&amp;""</f>
        <v>Portail P5</v>
      </c>
      <c r="J429" s="101"/>
      <c r="K429" s="167" t="str">
        <f>INDEX(Tableau8[Nom du modele],MATCH(Tableau3[[#This Row],[ID-INS]],Tableau8[ID],0))&amp;""</f>
        <v>PortailBleuHydr_1</v>
      </c>
      <c r="L429" s="99" t="str">
        <f>INDEX(Tableau5[Att1],MATCH(Tableau3[[#This Row],[ID-SIG]],Tableau5[ID],0))&amp;""</f>
        <v>Vx_GrpHydAlimDef</v>
      </c>
      <c r="M429" s="99" t="str">
        <f>INDEX(Tableau5[Att2],MATCH(Tableau3[[#This Row],[ID-SIG]],Tableau5[ID],0))&amp;""</f>
        <v/>
      </c>
      <c r="N429" s="99" t="str">
        <f>INDEX(Tableau5[Att3],MATCH(Tableau3[[#This Row],[ID-SIG]],Tableau5[ID],0))&amp;""</f>
        <v/>
      </c>
      <c r="O429" s="99"/>
      <c r="P429" s="99" t="str">
        <f>INDEX(Tableau5[Description],MATCH(Tableau3[[#This Row],[ID-SIG]],Tableau5[ID],0))</f>
        <v>Défaut alimentation groupe hydraulique</v>
      </c>
      <c r="Q429" s="99"/>
      <c r="R429" s="103" t="str">
        <f>Tableau3[[#This Row],[Description]]</f>
        <v>Défaut alimentation groupe hydraulique</v>
      </c>
      <c r="S429" s="52"/>
      <c r="U429" s="87">
        <v>3</v>
      </c>
      <c r="V429" s="87">
        <v>1</v>
      </c>
      <c r="W429" s="87">
        <v>7</v>
      </c>
      <c r="X429" s="87">
        <v>3</v>
      </c>
      <c r="Y429" s="40"/>
      <c r="Z429" s="165" t="str">
        <f>INDEX(Tableau2[TS],MATCH(Tableau3[[#This Row],[ID-CARTEVOIE]],Tableau2[ID-CARTEVOIE],0))</f>
        <v>ET</v>
      </c>
      <c r="AA429" s="53" t="s">
        <v>213</v>
      </c>
      <c r="AB429" s="223" t="str">
        <f>IFERROR(INDEX(Tableau5[Reserve],MATCH(Tableau3[[#This Row],[ID-SIG]],Tableau5[ID],0))&amp;"","")</f>
        <v/>
      </c>
      <c r="AC429" s="21"/>
      <c r="AD429" s="108" t="str">
        <f>INDEX(Tableau7[Repere],MATCH(Tableau3[[#This Row],[ID-API]],Tableau7[ID-API],0))&amp;""</f>
        <v>A3</v>
      </c>
      <c r="AE429" s="108" t="str">
        <f>INDEX(Tableau1[Repere-Rack],MATCH(Tableau3[[#This Row],[ID-RACK]],Tableau1[ID-RACK],0))&amp;""</f>
        <v>R1</v>
      </c>
      <c r="AF429" s="108" t="str">
        <f>INDEX(Tableau1[Repere-Slot],MATCH(Tableau3[[#This Row],[ID-SLOT]],Tableau1[ID-SLOT],0))&amp;""</f>
        <v>S7</v>
      </c>
      <c r="AG429" s="108" t="str">
        <f>INDEX(Tableau2[Repere-Voie],MATCH(Tableau3[[#This Row],[ID-VOIE]],Tableau2[ID-Voie],0))&amp;""</f>
        <v>v3</v>
      </c>
      <c r="AH429" s="72" t="str">
        <f>Tableau3[[#This Row],[ID-API]]&amp; "." &amp;Tableau3[[#This Row],[ID-RACK]]&amp; "." &amp;Tableau3[[#This Row],[ID-SLOT]]</f>
        <v>3.1.7</v>
      </c>
      <c r="AI429" s="72" t="str">
        <f>INDEX(Tableau1[Ref-Carte],MATCH(Tableau3[[#This Row],[ID-RRS]],Tableau1[ID-RRS],0))</f>
        <v>SDI1602</v>
      </c>
      <c r="AJ429" s="72" t="str">
        <f t="array" ref="AJ429">IFERROR(INDEX(Tableau2[TS],MATCH(1,(Tableau2[Ref-Carte]=Tableau3[[#This Row],[Ref-Carte2]])*(Tableau2[ID-Voie]=Tableau3[[#This Row],[ID-VOIE]]),0)),"")</f>
        <v>ET</v>
      </c>
      <c r="AK429" s="72" t="str">
        <f>IFERROR(INDEX(Tableau2[TS],SUMPRODUCT((Tableau2[Ref-Carte]=Tableau3[[#This Row],[Ref-Carte2]])*(Tableau2[ID-Voie]=Tableau3[[#This Row],[ID-VOIE]])*ROW(Tableau2[TS]))-ROW(Tableau2[#Headers])),"")</f>
        <v>ET</v>
      </c>
      <c r="AL429" s="72" t="str">
        <f>Tableau3[[#This Row],[Ref-Carte2]]&amp;"/"&amp;Tableau3[[#This Row],[ID-VOIE]]</f>
        <v>SDI1602/3</v>
      </c>
      <c r="AM429" s="73" t="str">
        <f>INDEX(Tableau2[Borne],MATCH(Tableau3[[#This Row],[ID-CARTEVOIE]],Tableau2[ID-CARTEVOIE],0))&amp;""</f>
        <v>1A</v>
      </c>
      <c r="AN429" s="74" t="str">
        <f>Tableau3[[#This Row],[ID-API]]&amp;Tableau3[[#This Row],[ID-RACK]]&amp;Tableau3[[#This Row],[ID-SLOT]]&amp;Tableau3[[#This Row],[BORNE]]</f>
        <v>3171A</v>
      </c>
      <c r="AO429" s="1"/>
    </row>
    <row r="430" spans="1:41" ht="20.100000000000001" customHeight="1" thickTop="1" thickBot="1">
      <c r="A430" s="68"/>
      <c r="B430" s="69" t="str">
        <f>IFERROR(INDEX(Tableau4[Date],MATCH($A430,Tableau4[EVO],0)),"")</f>
        <v/>
      </c>
      <c r="C430" s="68" t="str">
        <f>IFERROR(INDEX(Tableau4[Designation],MATCH($A430,Tableau4[EVO],0)),"")</f>
        <v/>
      </c>
      <c r="D430" s="68"/>
      <c r="E430" s="70">
        <v>5</v>
      </c>
      <c r="F430" s="71">
        <v>283</v>
      </c>
      <c r="G430" s="101" t="str">
        <f>INDEX(Tableau8[Att1],MATCH(Tableau3[[#This Row],[ID-INS]],Tableau8[ID],0))&amp;""</f>
        <v>V2</v>
      </c>
      <c r="H430" s="101" t="str">
        <f>INDEX(Tableau8[Att2],MATCH(Tableau3[[#This Row],[ID-INS]],Tableau8[ID],0))&amp;""</f>
        <v>P5</v>
      </c>
      <c r="I430" s="101" t="str">
        <f>INDEX(Tableau8[Att3],MATCH(Tableau3[[#This Row],[ID-INS]],Tableau8[ID],0))&amp;""</f>
        <v>Portail P5</v>
      </c>
      <c r="J430" s="101"/>
      <c r="K430" s="167" t="str">
        <f>INDEX(Tableau8[Nom du modele],MATCH(Tableau3[[#This Row],[ID-INS]],Tableau8[ID],0))&amp;""</f>
        <v>PortailBleuHydr_1</v>
      </c>
      <c r="L430" s="99" t="str">
        <f>INDEX(Tableau5[Att1],MATCH(Tableau3[[#This Row],[ID-SIG]],Tableau5[ID],0))&amp;""</f>
        <v>V_GrpHydRet1</v>
      </c>
      <c r="M430" s="99" t="str">
        <f>INDEX(Tableau5[Att2],MATCH(Tableau3[[#This Row],[ID-SIG]],Tableau5[ID],0))&amp;""</f>
        <v/>
      </c>
      <c r="N430" s="99" t="str">
        <f>INDEX(Tableau5[Att3],MATCH(Tableau3[[#This Row],[ID-SIG]],Tableau5[ID],0))&amp;""</f>
        <v/>
      </c>
      <c r="O430" s="99"/>
      <c r="P430" s="99" t="str">
        <f>INDEX(Tableau5[Description],MATCH(Tableau3[[#This Row],[ID-SIG]],Tableau5[ID],0))</f>
        <v>Retour Commande 1 marche groupe hydr</v>
      </c>
      <c r="Q430" s="99"/>
      <c r="R430" s="103" t="str">
        <f>Tableau3[[#This Row],[Description]]</f>
        <v>Retour Commande 1 marche groupe hydr</v>
      </c>
      <c r="S430" s="52"/>
      <c r="U430" s="87">
        <v>3</v>
      </c>
      <c r="V430" s="87">
        <v>1</v>
      </c>
      <c r="W430" s="87">
        <v>7</v>
      </c>
      <c r="X430" s="87">
        <v>4</v>
      </c>
      <c r="Y430" s="40"/>
      <c r="Z430" s="165" t="str">
        <f>INDEX(Tableau2[TS],MATCH(Tableau3[[#This Row],[ID-CARTEVOIE]],Tableau2[ID-CARTEVOIE],0))</f>
        <v>ET</v>
      </c>
      <c r="AA430" s="53" t="s">
        <v>213</v>
      </c>
      <c r="AB430" s="223" t="str">
        <f>IFERROR(INDEX(Tableau5[Reserve],MATCH(Tableau3[[#This Row],[ID-SIG]],Tableau5[ID],0))&amp;"","")</f>
        <v/>
      </c>
      <c r="AC430" s="21"/>
      <c r="AD430" s="108" t="str">
        <f>INDEX(Tableau7[Repere],MATCH(Tableau3[[#This Row],[ID-API]],Tableau7[ID-API],0))&amp;""</f>
        <v>A3</v>
      </c>
      <c r="AE430" s="108" t="str">
        <f>INDEX(Tableau1[Repere-Rack],MATCH(Tableau3[[#This Row],[ID-RACK]],Tableau1[ID-RACK],0))&amp;""</f>
        <v>R1</v>
      </c>
      <c r="AF430" s="108" t="str">
        <f>INDEX(Tableau1[Repere-Slot],MATCH(Tableau3[[#This Row],[ID-SLOT]],Tableau1[ID-SLOT],0))&amp;""</f>
        <v>S7</v>
      </c>
      <c r="AG430" s="108" t="str">
        <f>INDEX(Tableau2[Repere-Voie],MATCH(Tableau3[[#This Row],[ID-VOIE]],Tableau2[ID-Voie],0))&amp;""</f>
        <v>v4</v>
      </c>
      <c r="AH430" s="72" t="str">
        <f>Tableau3[[#This Row],[ID-API]]&amp; "." &amp;Tableau3[[#This Row],[ID-RACK]]&amp; "." &amp;Tableau3[[#This Row],[ID-SLOT]]</f>
        <v>3.1.7</v>
      </c>
      <c r="AI430" s="72" t="str">
        <f>INDEX(Tableau1[Ref-Carte],MATCH(Tableau3[[#This Row],[ID-RRS]],Tableau1[ID-RRS],0))</f>
        <v>SDI1602</v>
      </c>
      <c r="AJ430" s="72" t="str">
        <f t="array" ref="AJ430">IFERROR(INDEX(Tableau2[TS],MATCH(1,(Tableau2[Ref-Carte]=Tableau3[[#This Row],[Ref-Carte2]])*(Tableau2[ID-Voie]=Tableau3[[#This Row],[ID-VOIE]]),0)),"")</f>
        <v>ET</v>
      </c>
      <c r="AK430" s="72" t="str">
        <f>IFERROR(INDEX(Tableau2[TS],SUMPRODUCT((Tableau2[Ref-Carte]=Tableau3[[#This Row],[Ref-Carte2]])*(Tableau2[ID-Voie]=Tableau3[[#This Row],[ID-VOIE]])*ROW(Tableau2[TS]))-ROW(Tableau2[#Headers])),"")</f>
        <v>ET</v>
      </c>
      <c r="AL430" s="72" t="str">
        <f>Tableau3[[#This Row],[Ref-Carte2]]&amp;"/"&amp;Tableau3[[#This Row],[ID-VOIE]]</f>
        <v>SDI1602/4</v>
      </c>
      <c r="AM430" s="73" t="str">
        <f>INDEX(Tableau2[Borne],MATCH(Tableau3[[#This Row],[ID-CARTEVOIE]],Tableau2[ID-CARTEVOIE],0))&amp;""</f>
        <v>2B</v>
      </c>
      <c r="AN430" s="74" t="str">
        <f>Tableau3[[#This Row],[ID-API]]&amp;Tableau3[[#This Row],[ID-RACK]]&amp;Tableau3[[#This Row],[ID-SLOT]]&amp;Tableau3[[#This Row],[BORNE]]</f>
        <v>3172B</v>
      </c>
      <c r="AO430" s="1"/>
    </row>
    <row r="431" spans="1:41" ht="20.100000000000001" customHeight="1" thickTop="1" thickBot="1">
      <c r="A431" s="68"/>
      <c r="B431" s="69" t="str">
        <f>IFERROR(INDEX(Tableau4[Date],MATCH($A431,Tableau4[EVO],0)),"")</f>
        <v/>
      </c>
      <c r="C431" s="68" t="str">
        <f>IFERROR(INDEX(Tableau4[Designation],MATCH($A431,Tableau4[EVO],0)),"")</f>
        <v/>
      </c>
      <c r="D431" s="68"/>
      <c r="E431" s="70">
        <v>5</v>
      </c>
      <c r="F431" s="71">
        <v>284</v>
      </c>
      <c r="G431" s="101" t="str">
        <f>INDEX(Tableau8[Att1],MATCH(Tableau3[[#This Row],[ID-INS]],Tableau8[ID],0))&amp;""</f>
        <v>V2</v>
      </c>
      <c r="H431" s="101" t="str">
        <f>INDEX(Tableau8[Att2],MATCH(Tableau3[[#This Row],[ID-INS]],Tableau8[ID],0))&amp;""</f>
        <v>P5</v>
      </c>
      <c r="I431" s="101" t="str">
        <f>INDEX(Tableau8[Att3],MATCH(Tableau3[[#This Row],[ID-INS]],Tableau8[ID],0))&amp;""</f>
        <v>Portail P5</v>
      </c>
      <c r="J431" s="101"/>
      <c r="K431" s="167" t="str">
        <f>INDEX(Tableau8[Nom du modele],MATCH(Tableau3[[#This Row],[ID-INS]],Tableau8[ID],0))&amp;""</f>
        <v>PortailBleuHydr_1</v>
      </c>
      <c r="L431" s="99" t="str">
        <f>INDEX(Tableau5[Att1],MATCH(Tableau3[[#This Row],[ID-SIG]],Tableau5[ID],0))&amp;""</f>
        <v>VD_BandeP</v>
      </c>
      <c r="M431" s="99" t="str">
        <f>INDEX(Tableau5[Att2],MATCH(Tableau3[[#This Row],[ID-SIG]],Tableau5[ID],0))&amp;""</f>
        <v/>
      </c>
      <c r="N431" s="99" t="str">
        <f>INDEX(Tableau5[Att3],MATCH(Tableau3[[#This Row],[ID-SIG]],Tableau5[ID],0))&amp;""</f>
        <v/>
      </c>
      <c r="O431" s="99"/>
      <c r="P431" s="99" t="str">
        <f>INDEX(Tableau5[Description],MATCH(Tableau3[[#This Row],[ID-SIG]],Tableau5[ID],0))</f>
        <v>Bande palpeuse droite à la fermeture</v>
      </c>
      <c r="Q431" s="99"/>
      <c r="R431" s="103" t="str">
        <f>Tableau3[[#This Row],[Description]]</f>
        <v>Bande palpeuse droite à la fermeture</v>
      </c>
      <c r="S431" s="52"/>
      <c r="U431" s="87">
        <v>3</v>
      </c>
      <c r="V431" s="87">
        <v>1</v>
      </c>
      <c r="W431" s="87">
        <v>7</v>
      </c>
      <c r="X431" s="87">
        <v>5</v>
      </c>
      <c r="Y431" s="40"/>
      <c r="Z431" s="165" t="str">
        <f>INDEX(Tableau2[TS],MATCH(Tableau3[[#This Row],[ID-CARTEVOIE]],Tableau2[ID-CARTEVOIE],0))</f>
        <v>ET</v>
      </c>
      <c r="AA431" s="53" t="s">
        <v>213</v>
      </c>
      <c r="AB431" s="223" t="str">
        <f>IFERROR(INDEX(Tableau5[Reserve],MATCH(Tableau3[[#This Row],[ID-SIG]],Tableau5[ID],0))&amp;"","")</f>
        <v/>
      </c>
      <c r="AC431" s="21"/>
      <c r="AD431" s="108" t="str">
        <f>INDEX(Tableau7[Repere],MATCH(Tableau3[[#This Row],[ID-API]],Tableau7[ID-API],0))&amp;""</f>
        <v>A3</v>
      </c>
      <c r="AE431" s="108" t="str">
        <f>INDEX(Tableau1[Repere-Rack],MATCH(Tableau3[[#This Row],[ID-RACK]],Tableau1[ID-RACK],0))&amp;""</f>
        <v>R1</v>
      </c>
      <c r="AF431" s="108" t="str">
        <f>INDEX(Tableau1[Repere-Slot],MATCH(Tableau3[[#This Row],[ID-SLOT]],Tableau1[ID-SLOT],0))&amp;""</f>
        <v>S7</v>
      </c>
      <c r="AG431" s="108" t="str">
        <f>INDEX(Tableau2[Repere-Voie],MATCH(Tableau3[[#This Row],[ID-VOIE]],Tableau2[ID-Voie],0))&amp;""</f>
        <v>v5</v>
      </c>
      <c r="AH431" s="72" t="str">
        <f>Tableau3[[#This Row],[ID-API]]&amp; "." &amp;Tableau3[[#This Row],[ID-RACK]]&amp; "." &amp;Tableau3[[#This Row],[ID-SLOT]]</f>
        <v>3.1.7</v>
      </c>
      <c r="AI431" s="72" t="str">
        <f>INDEX(Tableau1[Ref-Carte],MATCH(Tableau3[[#This Row],[ID-RRS]],Tableau1[ID-RRS],0))</f>
        <v>SDI1602</v>
      </c>
      <c r="AJ431" s="72" t="str">
        <f t="array" ref="AJ431">IFERROR(INDEX(Tableau2[TS],MATCH(1,(Tableau2[Ref-Carte]=Tableau3[[#This Row],[Ref-Carte2]])*(Tableau2[ID-Voie]=Tableau3[[#This Row],[ID-VOIE]]),0)),"")</f>
        <v>ET</v>
      </c>
      <c r="AK431" s="72" t="str">
        <f>IFERROR(INDEX(Tableau2[TS],SUMPRODUCT((Tableau2[Ref-Carte]=Tableau3[[#This Row],[Ref-Carte2]])*(Tableau2[ID-Voie]=Tableau3[[#This Row],[ID-VOIE]])*ROW(Tableau2[TS]))-ROW(Tableau2[#Headers])),"")</f>
        <v>ET</v>
      </c>
      <c r="AL431" s="72" t="str">
        <f>Tableau3[[#This Row],[Ref-Carte2]]&amp;"/"&amp;Tableau3[[#This Row],[ID-VOIE]]</f>
        <v>SDI1602/5</v>
      </c>
      <c r="AM431" s="73" t="str">
        <f>INDEX(Tableau2[Borne],MATCH(Tableau3[[#This Row],[ID-CARTEVOIE]],Tableau2[ID-CARTEVOIE],0))&amp;""</f>
        <v>2A</v>
      </c>
      <c r="AN431" s="74" t="str">
        <f>Tableau3[[#This Row],[ID-API]]&amp;Tableau3[[#This Row],[ID-RACK]]&amp;Tableau3[[#This Row],[ID-SLOT]]&amp;Tableau3[[#This Row],[BORNE]]</f>
        <v>3172A</v>
      </c>
      <c r="AO431" s="1"/>
    </row>
    <row r="432" spans="1:41" ht="20.100000000000001" customHeight="1" thickTop="1" thickBot="1">
      <c r="A432" s="68"/>
      <c r="B432" s="69" t="str">
        <f>IFERROR(INDEX(Tableau4[Date],MATCH($A432,Tableau4[EVO],0)),"")</f>
        <v/>
      </c>
      <c r="C432" s="68" t="str">
        <f>IFERROR(INDEX(Tableau4[Designation],MATCH($A432,Tableau4[EVO],0)),"")</f>
        <v/>
      </c>
      <c r="D432" s="68"/>
      <c r="E432" s="70">
        <v>5</v>
      </c>
      <c r="F432" s="71">
        <v>285</v>
      </c>
      <c r="G432" s="101" t="str">
        <f>INDEX(Tableau8[Att1],MATCH(Tableau3[[#This Row],[ID-INS]],Tableau8[ID],0))&amp;""</f>
        <v>V2</v>
      </c>
      <c r="H432" s="101" t="str">
        <f>INDEX(Tableau8[Att2],MATCH(Tableau3[[#This Row],[ID-INS]],Tableau8[ID],0))&amp;""</f>
        <v>P5</v>
      </c>
      <c r="I432" s="101" t="str">
        <f>INDEX(Tableau8[Att3],MATCH(Tableau3[[#This Row],[ID-INS]],Tableau8[ID],0))&amp;""</f>
        <v>Portail P5</v>
      </c>
      <c r="J432" s="101"/>
      <c r="K432" s="167" t="str">
        <f>INDEX(Tableau8[Nom du modele],MATCH(Tableau3[[#This Row],[ID-INS]],Tableau8[ID],0))&amp;""</f>
        <v>PortailBleuHydr_1</v>
      </c>
      <c r="L432" s="99" t="str">
        <f>INDEX(Tableau5[Att1],MATCH(Tableau3[[#This Row],[ID-SIG]],Tableau5[ID],0))&amp;""</f>
        <v>VG_BandeP</v>
      </c>
      <c r="M432" s="99" t="str">
        <f>INDEX(Tableau5[Att2],MATCH(Tableau3[[#This Row],[ID-SIG]],Tableau5[ID],0))&amp;""</f>
        <v/>
      </c>
      <c r="N432" s="99" t="str">
        <f>INDEX(Tableau5[Att3],MATCH(Tableau3[[#This Row],[ID-SIG]],Tableau5[ID],0))&amp;""</f>
        <v/>
      </c>
      <c r="O432" s="99"/>
      <c r="P432" s="99" t="str">
        <f>INDEX(Tableau5[Description],MATCH(Tableau3[[#This Row],[ID-SIG]],Tableau5[ID],0))</f>
        <v>Bande palpeuse gauche à la fermeture</v>
      </c>
      <c r="Q432" s="99"/>
      <c r="R432" s="103" t="str">
        <f>Tableau3[[#This Row],[Description]]</f>
        <v>Bande palpeuse gauche à la fermeture</v>
      </c>
      <c r="S432" s="52"/>
      <c r="U432" s="87">
        <v>3</v>
      </c>
      <c r="V432" s="87">
        <v>1</v>
      </c>
      <c r="W432" s="87">
        <v>7</v>
      </c>
      <c r="X432" s="87">
        <v>6</v>
      </c>
      <c r="Y432" s="40"/>
      <c r="Z432" s="165" t="str">
        <f>INDEX(Tableau2[TS],MATCH(Tableau3[[#This Row],[ID-CARTEVOIE]],Tableau2[ID-CARTEVOIE],0))</f>
        <v>ET</v>
      </c>
      <c r="AA432" s="53" t="s">
        <v>213</v>
      </c>
      <c r="AB432" s="223" t="str">
        <f>IFERROR(INDEX(Tableau5[Reserve],MATCH(Tableau3[[#This Row],[ID-SIG]],Tableau5[ID],0))&amp;"","")</f>
        <v/>
      </c>
      <c r="AC432" s="21"/>
      <c r="AD432" s="108" t="str">
        <f>INDEX(Tableau7[Repere],MATCH(Tableau3[[#This Row],[ID-API]],Tableau7[ID-API],0))&amp;""</f>
        <v>A3</v>
      </c>
      <c r="AE432" s="108" t="str">
        <f>INDEX(Tableau1[Repere-Rack],MATCH(Tableau3[[#This Row],[ID-RACK]],Tableau1[ID-RACK],0))&amp;""</f>
        <v>R1</v>
      </c>
      <c r="AF432" s="108" t="str">
        <f>INDEX(Tableau1[Repere-Slot],MATCH(Tableau3[[#This Row],[ID-SLOT]],Tableau1[ID-SLOT],0))&amp;""</f>
        <v>S7</v>
      </c>
      <c r="AG432" s="108" t="str">
        <f>INDEX(Tableau2[Repere-Voie],MATCH(Tableau3[[#This Row],[ID-VOIE]],Tableau2[ID-Voie],0))&amp;""</f>
        <v>v6</v>
      </c>
      <c r="AH432" s="72" t="str">
        <f>Tableau3[[#This Row],[ID-API]]&amp; "." &amp;Tableau3[[#This Row],[ID-RACK]]&amp; "." &amp;Tableau3[[#This Row],[ID-SLOT]]</f>
        <v>3.1.7</v>
      </c>
      <c r="AI432" s="72" t="str">
        <f>INDEX(Tableau1[Ref-Carte],MATCH(Tableau3[[#This Row],[ID-RRS]],Tableau1[ID-RRS],0))</f>
        <v>SDI1602</v>
      </c>
      <c r="AJ432" s="72" t="str">
        <f t="array" ref="AJ432">IFERROR(INDEX(Tableau2[TS],MATCH(1,(Tableau2[Ref-Carte]=Tableau3[[#This Row],[Ref-Carte2]])*(Tableau2[ID-Voie]=Tableau3[[#This Row],[ID-VOIE]]),0)),"")</f>
        <v>ET</v>
      </c>
      <c r="AK432" s="72" t="str">
        <f>IFERROR(INDEX(Tableau2[TS],SUMPRODUCT((Tableau2[Ref-Carte]=Tableau3[[#This Row],[Ref-Carte2]])*(Tableau2[ID-Voie]=Tableau3[[#This Row],[ID-VOIE]])*ROW(Tableau2[TS]))-ROW(Tableau2[#Headers])),"")</f>
        <v>ET</v>
      </c>
      <c r="AL432" s="72" t="str">
        <f>Tableau3[[#This Row],[Ref-Carte2]]&amp;"/"&amp;Tableau3[[#This Row],[ID-VOIE]]</f>
        <v>SDI1602/6</v>
      </c>
      <c r="AM432" s="73" t="str">
        <f>INDEX(Tableau2[Borne],MATCH(Tableau3[[#This Row],[ID-CARTEVOIE]],Tableau2[ID-CARTEVOIE],0))&amp;""</f>
        <v>3B</v>
      </c>
      <c r="AN432" s="74" t="str">
        <f>Tableau3[[#This Row],[ID-API]]&amp;Tableau3[[#This Row],[ID-RACK]]&amp;Tableau3[[#This Row],[ID-SLOT]]&amp;Tableau3[[#This Row],[BORNE]]</f>
        <v>3173B</v>
      </c>
      <c r="AO432" s="1"/>
    </row>
    <row r="433" spans="1:41" ht="20.100000000000001" customHeight="1" thickTop="1" thickBot="1">
      <c r="A433" s="68"/>
      <c r="B433" s="69" t="str">
        <f>IFERROR(INDEX(Tableau4[Date],MATCH($A433,Tableau4[EVO],0)),"")</f>
        <v/>
      </c>
      <c r="C433" s="68" t="str">
        <f>IFERROR(INDEX(Tableau4[Designation],MATCH($A433,Tableau4[EVO],0)),"")</f>
        <v/>
      </c>
      <c r="D433" s="68"/>
      <c r="E433" s="70">
        <v>5</v>
      </c>
      <c r="F433" s="71">
        <v>286</v>
      </c>
      <c r="G433" s="101" t="str">
        <f>INDEX(Tableau8[Att1],MATCH(Tableau3[[#This Row],[ID-INS]],Tableau8[ID],0))&amp;""</f>
        <v>V2</v>
      </c>
      <c r="H433" s="101" t="str">
        <f>INDEX(Tableau8[Att2],MATCH(Tableau3[[#This Row],[ID-INS]],Tableau8[ID],0))&amp;""</f>
        <v>P5</v>
      </c>
      <c r="I433" s="101" t="str">
        <f>INDEX(Tableau8[Att3],MATCH(Tableau3[[#This Row],[ID-INS]],Tableau8[ID],0))&amp;""</f>
        <v>Portail P5</v>
      </c>
      <c r="J433" s="101"/>
      <c r="K433" s="167" t="str">
        <f>INDEX(Tableau8[Nom du modele],MATCH(Tableau3[[#This Row],[ID-INS]],Tableau8[ID],0))&amp;""</f>
        <v>PortailBleuHydr_1</v>
      </c>
      <c r="L433" s="99" t="str">
        <f>INDEX(Tableau5[Att1],MATCH(Tableau3[[#This Row],[ID-SIG]],Tableau5[ID],0))&amp;""</f>
        <v>Vx_CellInfraInt</v>
      </c>
      <c r="M433" s="99" t="str">
        <f>INDEX(Tableau5[Att2],MATCH(Tableau3[[#This Row],[ID-SIG]],Tableau5[ID],0))&amp;""</f>
        <v/>
      </c>
      <c r="N433" s="99" t="str">
        <f>INDEX(Tableau5[Att3],MATCH(Tableau3[[#This Row],[ID-SIG]],Tableau5[ID],0))&amp;""</f>
        <v/>
      </c>
      <c r="O433" s="99"/>
      <c r="P433" s="99" t="str">
        <f>INDEX(Tableau5[Description],MATCH(Tableau3[[#This Row],[ID-SIG]],Tableau5[ID],0))</f>
        <v>Cellule infrarouge intérieure</v>
      </c>
      <c r="Q433" s="99"/>
      <c r="R433" s="103" t="str">
        <f>Tableau3[[#This Row],[Description]]</f>
        <v>Cellule infrarouge intérieure</v>
      </c>
      <c r="S433" s="52"/>
      <c r="U433" s="87">
        <v>3</v>
      </c>
      <c r="V433" s="87">
        <v>1</v>
      </c>
      <c r="W433" s="87">
        <v>7</v>
      </c>
      <c r="X433" s="87">
        <v>7</v>
      </c>
      <c r="Y433" s="40"/>
      <c r="Z433" s="165" t="str">
        <f>INDEX(Tableau2[TS],MATCH(Tableau3[[#This Row],[ID-CARTEVOIE]],Tableau2[ID-CARTEVOIE],0))</f>
        <v>ET</v>
      </c>
      <c r="AA433" s="53" t="s">
        <v>213</v>
      </c>
      <c r="AB433" s="223" t="str">
        <f>IFERROR(INDEX(Tableau5[Reserve],MATCH(Tableau3[[#This Row],[ID-SIG]],Tableau5[ID],0))&amp;"","")</f>
        <v/>
      </c>
      <c r="AC433" s="21"/>
      <c r="AD433" s="108" t="str">
        <f>INDEX(Tableau7[Repere],MATCH(Tableau3[[#This Row],[ID-API]],Tableau7[ID-API],0))&amp;""</f>
        <v>A3</v>
      </c>
      <c r="AE433" s="108" t="str">
        <f>INDEX(Tableau1[Repere-Rack],MATCH(Tableau3[[#This Row],[ID-RACK]],Tableau1[ID-RACK],0))&amp;""</f>
        <v>R1</v>
      </c>
      <c r="AF433" s="108" t="str">
        <f>INDEX(Tableau1[Repere-Slot],MATCH(Tableau3[[#This Row],[ID-SLOT]],Tableau1[ID-SLOT],0))&amp;""</f>
        <v>S7</v>
      </c>
      <c r="AG433" s="108" t="str">
        <f>INDEX(Tableau2[Repere-Voie],MATCH(Tableau3[[#This Row],[ID-VOIE]],Tableau2[ID-Voie],0))&amp;""</f>
        <v>v7</v>
      </c>
      <c r="AH433" s="72" t="str">
        <f>Tableau3[[#This Row],[ID-API]]&amp; "." &amp;Tableau3[[#This Row],[ID-RACK]]&amp; "." &amp;Tableau3[[#This Row],[ID-SLOT]]</f>
        <v>3.1.7</v>
      </c>
      <c r="AI433" s="72" t="str">
        <f>INDEX(Tableau1[Ref-Carte],MATCH(Tableau3[[#This Row],[ID-RRS]],Tableau1[ID-RRS],0))</f>
        <v>SDI1602</v>
      </c>
      <c r="AJ433" s="72" t="str">
        <f t="array" ref="AJ433">IFERROR(INDEX(Tableau2[TS],MATCH(1,(Tableau2[Ref-Carte]=Tableau3[[#This Row],[Ref-Carte2]])*(Tableau2[ID-Voie]=Tableau3[[#This Row],[ID-VOIE]]),0)),"")</f>
        <v>ET</v>
      </c>
      <c r="AK433" s="72" t="str">
        <f>IFERROR(INDEX(Tableau2[TS],SUMPRODUCT((Tableau2[Ref-Carte]=Tableau3[[#This Row],[Ref-Carte2]])*(Tableau2[ID-Voie]=Tableau3[[#This Row],[ID-VOIE]])*ROW(Tableau2[TS]))-ROW(Tableau2[#Headers])),"")</f>
        <v>ET</v>
      </c>
      <c r="AL433" s="72" t="str">
        <f>Tableau3[[#This Row],[Ref-Carte2]]&amp;"/"&amp;Tableau3[[#This Row],[ID-VOIE]]</f>
        <v>SDI1602/7</v>
      </c>
      <c r="AM433" s="73" t="str">
        <f>INDEX(Tableau2[Borne],MATCH(Tableau3[[#This Row],[ID-CARTEVOIE]],Tableau2[ID-CARTEVOIE],0))&amp;""</f>
        <v>3A</v>
      </c>
      <c r="AN433" s="74" t="str">
        <f>Tableau3[[#This Row],[ID-API]]&amp;Tableau3[[#This Row],[ID-RACK]]&amp;Tableau3[[#This Row],[ID-SLOT]]&amp;Tableau3[[#This Row],[BORNE]]</f>
        <v>3173A</v>
      </c>
      <c r="AO433" s="1"/>
    </row>
    <row r="434" spans="1:41" ht="20.100000000000001" customHeight="1" thickTop="1" thickBot="1">
      <c r="A434" s="68"/>
      <c r="B434" s="69" t="str">
        <f>IFERROR(INDEX(Tableau4[Date],MATCH($A434,Tableau4[EVO],0)),"")</f>
        <v/>
      </c>
      <c r="C434" s="68" t="str">
        <f>IFERROR(INDEX(Tableau4[Designation],MATCH($A434,Tableau4[EVO],0)),"")</f>
        <v/>
      </c>
      <c r="D434" s="68"/>
      <c r="E434" s="70">
        <v>5</v>
      </c>
      <c r="F434" s="71">
        <v>287</v>
      </c>
      <c r="G434" s="101" t="str">
        <f>INDEX(Tableau8[Att1],MATCH(Tableau3[[#This Row],[ID-INS]],Tableau8[ID],0))&amp;""</f>
        <v>V2</v>
      </c>
      <c r="H434" s="101" t="str">
        <f>INDEX(Tableau8[Att2],MATCH(Tableau3[[#This Row],[ID-INS]],Tableau8[ID],0))&amp;""</f>
        <v>P5</v>
      </c>
      <c r="I434" s="101" t="str">
        <f>INDEX(Tableau8[Att3],MATCH(Tableau3[[#This Row],[ID-INS]],Tableau8[ID],0))&amp;""</f>
        <v>Portail P5</v>
      </c>
      <c r="J434" s="101"/>
      <c r="K434" s="167" t="str">
        <f>INDEX(Tableau8[Nom du modele],MATCH(Tableau3[[#This Row],[ID-INS]],Tableau8[ID],0))&amp;""</f>
        <v>PortailBleuHydr_1</v>
      </c>
      <c r="L434" s="99" t="str">
        <f>INDEX(Tableau5[Att1],MATCH(Tableau3[[#This Row],[ID-SIG]],Tableau5[ID],0))&amp;""</f>
        <v>Vx_CellInfraExt</v>
      </c>
      <c r="M434" s="99" t="str">
        <f>INDEX(Tableau5[Att2],MATCH(Tableau3[[#This Row],[ID-SIG]],Tableau5[ID],0))&amp;""</f>
        <v/>
      </c>
      <c r="N434" s="99" t="str">
        <f>INDEX(Tableau5[Att3],MATCH(Tableau3[[#This Row],[ID-SIG]],Tableau5[ID],0))&amp;""</f>
        <v/>
      </c>
      <c r="O434" s="99"/>
      <c r="P434" s="99" t="str">
        <f>INDEX(Tableau5[Description],MATCH(Tableau3[[#This Row],[ID-SIG]],Tableau5[ID],0))</f>
        <v>Cellule infrarouge extérieure</v>
      </c>
      <c r="Q434" s="99"/>
      <c r="R434" s="103" t="str">
        <f>Tableau3[[#This Row],[Description]]</f>
        <v>Cellule infrarouge extérieure</v>
      </c>
      <c r="S434" s="52"/>
      <c r="U434" s="87">
        <v>3</v>
      </c>
      <c r="V434" s="87">
        <v>1</v>
      </c>
      <c r="W434" s="87">
        <v>7</v>
      </c>
      <c r="X434" s="87">
        <v>8</v>
      </c>
      <c r="Y434" s="40"/>
      <c r="Z434" s="165" t="str">
        <f>INDEX(Tableau2[TS],MATCH(Tableau3[[#This Row],[ID-CARTEVOIE]],Tableau2[ID-CARTEVOIE],0))</f>
        <v>ET</v>
      </c>
      <c r="AA434" s="53" t="s">
        <v>213</v>
      </c>
      <c r="AB434" s="223" t="str">
        <f>IFERROR(INDEX(Tableau5[Reserve],MATCH(Tableau3[[#This Row],[ID-SIG]],Tableau5[ID],0))&amp;"","")</f>
        <v/>
      </c>
      <c r="AC434" s="21"/>
      <c r="AD434" s="108" t="str">
        <f>INDEX(Tableau7[Repere],MATCH(Tableau3[[#This Row],[ID-API]],Tableau7[ID-API],0))&amp;""</f>
        <v>A3</v>
      </c>
      <c r="AE434" s="108" t="str">
        <f>INDEX(Tableau1[Repere-Rack],MATCH(Tableau3[[#This Row],[ID-RACK]],Tableau1[ID-RACK],0))&amp;""</f>
        <v>R1</v>
      </c>
      <c r="AF434" s="108" t="str">
        <f>INDEX(Tableau1[Repere-Slot],MATCH(Tableau3[[#This Row],[ID-SLOT]],Tableau1[ID-SLOT],0))&amp;""</f>
        <v>S7</v>
      </c>
      <c r="AG434" s="108" t="str">
        <f>INDEX(Tableau2[Repere-Voie],MATCH(Tableau3[[#This Row],[ID-VOIE]],Tableau2[ID-Voie],0))&amp;""</f>
        <v>v8</v>
      </c>
      <c r="AH434" s="72" t="str">
        <f>Tableau3[[#This Row],[ID-API]]&amp; "." &amp;Tableau3[[#This Row],[ID-RACK]]&amp; "." &amp;Tableau3[[#This Row],[ID-SLOT]]</f>
        <v>3.1.7</v>
      </c>
      <c r="AI434" s="72" t="str">
        <f>INDEX(Tableau1[Ref-Carte],MATCH(Tableau3[[#This Row],[ID-RRS]],Tableau1[ID-RRS],0))</f>
        <v>SDI1602</v>
      </c>
      <c r="AJ434" s="72" t="str">
        <f t="array" ref="AJ434">IFERROR(INDEX(Tableau2[TS],MATCH(1,(Tableau2[Ref-Carte]=Tableau3[[#This Row],[Ref-Carte2]])*(Tableau2[ID-Voie]=Tableau3[[#This Row],[ID-VOIE]]),0)),"")</f>
        <v>ET</v>
      </c>
      <c r="AK434" s="72" t="str">
        <f>IFERROR(INDEX(Tableau2[TS],SUMPRODUCT((Tableau2[Ref-Carte]=Tableau3[[#This Row],[Ref-Carte2]])*(Tableau2[ID-Voie]=Tableau3[[#This Row],[ID-VOIE]])*ROW(Tableau2[TS]))-ROW(Tableau2[#Headers])),"")</f>
        <v>ET</v>
      </c>
      <c r="AL434" s="72" t="str">
        <f>Tableau3[[#This Row],[Ref-Carte2]]&amp;"/"&amp;Tableau3[[#This Row],[ID-VOIE]]</f>
        <v>SDI1602/8</v>
      </c>
      <c r="AM434" s="73" t="str">
        <f>INDEX(Tableau2[Borne],MATCH(Tableau3[[#This Row],[ID-CARTEVOIE]],Tableau2[ID-CARTEVOIE],0))&amp;""</f>
        <v>4B</v>
      </c>
      <c r="AN434" s="74" t="str">
        <f>Tableau3[[#This Row],[ID-API]]&amp;Tableau3[[#This Row],[ID-RACK]]&amp;Tableau3[[#This Row],[ID-SLOT]]&amp;Tableau3[[#This Row],[BORNE]]</f>
        <v>3174B</v>
      </c>
      <c r="AO434" s="1"/>
    </row>
    <row r="435" spans="1:41" ht="20.100000000000001" customHeight="1" thickTop="1" thickBot="1">
      <c r="A435" s="68"/>
      <c r="B435" s="69" t="str">
        <f>IFERROR(INDEX(Tableau4[Date],MATCH($A435,Tableau4[EVO],0)),"")</f>
        <v/>
      </c>
      <c r="C435" s="68" t="str">
        <f>IFERROR(INDEX(Tableau4[Designation],MATCH($A435,Tableau4[EVO],0)),"")</f>
        <v/>
      </c>
      <c r="D435" s="68"/>
      <c r="E435" s="70">
        <v>5</v>
      </c>
      <c r="F435" s="71">
        <v>288</v>
      </c>
      <c r="G435" s="101" t="str">
        <f>INDEX(Tableau8[Att1],MATCH(Tableau3[[#This Row],[ID-INS]],Tableau8[ID],0))&amp;""</f>
        <v>V2</v>
      </c>
      <c r="H435" s="101" t="str">
        <f>INDEX(Tableau8[Att2],MATCH(Tableau3[[#This Row],[ID-INS]],Tableau8[ID],0))&amp;""</f>
        <v>P5</v>
      </c>
      <c r="I435" s="101" t="str">
        <f>INDEX(Tableau8[Att3],MATCH(Tableau3[[#This Row],[ID-INS]],Tableau8[ID],0))&amp;""</f>
        <v>Portail P5</v>
      </c>
      <c r="J435" s="101"/>
      <c r="K435" s="167" t="str">
        <f>INDEX(Tableau8[Nom du modele],MATCH(Tableau3[[#This Row],[ID-INS]],Tableau8[ID],0))&amp;""</f>
        <v>PortailBleuHydr_1</v>
      </c>
      <c r="L435" s="99" t="str">
        <f>INDEX(Tableau5[Att1],MATCH(Tableau3[[#This Row],[ID-SIG]],Tableau5[ID],0))&amp;""</f>
        <v>Vx_EVEtatAlim</v>
      </c>
      <c r="M435" s="99" t="str">
        <f>INDEX(Tableau5[Att2],MATCH(Tableau3[[#This Row],[ID-SIG]],Tableau5[ID],0))&amp;""</f>
        <v/>
      </c>
      <c r="N435" s="99" t="str">
        <f>INDEX(Tableau5[Att3],MATCH(Tableau3[[#This Row],[ID-SIG]],Tableau5[ID],0))&amp;""</f>
        <v/>
      </c>
      <c r="O435" s="99"/>
      <c r="P435" s="99" t="str">
        <f>INDEX(Tableau5[Description],MATCH(Tableau3[[#This Row],[ID-SIG]],Tableau5[ID],0))</f>
        <v>Etat alimentation EV commande portail</v>
      </c>
      <c r="Q435" s="99"/>
      <c r="R435" s="103" t="str">
        <f>Tableau3[[#This Row],[Description]]</f>
        <v>Etat alimentation EV commande portail</v>
      </c>
      <c r="S435" s="52"/>
      <c r="U435" s="87">
        <v>3</v>
      </c>
      <c r="V435" s="87">
        <v>1</v>
      </c>
      <c r="W435" s="87">
        <v>7</v>
      </c>
      <c r="X435" s="87">
        <v>9</v>
      </c>
      <c r="Y435" s="40"/>
      <c r="Z435" s="165" t="str">
        <f>INDEX(Tableau2[TS],MATCH(Tableau3[[#This Row],[ID-CARTEVOIE]],Tableau2[ID-CARTEVOIE],0))</f>
        <v>ET</v>
      </c>
      <c r="AA435" s="53" t="s">
        <v>213</v>
      </c>
      <c r="AB435" s="223" t="str">
        <f>IFERROR(INDEX(Tableau5[Reserve],MATCH(Tableau3[[#This Row],[ID-SIG]],Tableau5[ID],0))&amp;"","")</f>
        <v/>
      </c>
      <c r="AC435" s="21"/>
      <c r="AD435" s="108" t="str">
        <f>INDEX(Tableau7[Repere],MATCH(Tableau3[[#This Row],[ID-API]],Tableau7[ID-API],0))&amp;""</f>
        <v>A3</v>
      </c>
      <c r="AE435" s="108" t="str">
        <f>INDEX(Tableau1[Repere-Rack],MATCH(Tableau3[[#This Row],[ID-RACK]],Tableau1[ID-RACK],0))&amp;""</f>
        <v>R1</v>
      </c>
      <c r="AF435" s="108" t="str">
        <f>INDEX(Tableau1[Repere-Slot],MATCH(Tableau3[[#This Row],[ID-SLOT]],Tableau1[ID-SLOT],0))&amp;""</f>
        <v>S7</v>
      </c>
      <c r="AG435" s="108" t="str">
        <f>INDEX(Tableau2[Repere-Voie],MATCH(Tableau3[[#This Row],[ID-VOIE]],Tableau2[ID-Voie],0))&amp;""</f>
        <v>v9</v>
      </c>
      <c r="AH435" s="72" t="str">
        <f>Tableau3[[#This Row],[ID-API]]&amp; "." &amp;Tableau3[[#This Row],[ID-RACK]]&amp; "." &amp;Tableau3[[#This Row],[ID-SLOT]]</f>
        <v>3.1.7</v>
      </c>
      <c r="AI435" s="72" t="str">
        <f>INDEX(Tableau1[Ref-Carte],MATCH(Tableau3[[#This Row],[ID-RRS]],Tableau1[ID-RRS],0))</f>
        <v>SDI1602</v>
      </c>
      <c r="AJ435" s="72" t="str">
        <f t="array" ref="AJ435">IFERROR(INDEX(Tableau2[TS],MATCH(1,(Tableau2[Ref-Carte]=Tableau3[[#This Row],[Ref-Carte2]])*(Tableau2[ID-Voie]=Tableau3[[#This Row],[ID-VOIE]]),0)),"")</f>
        <v>ET</v>
      </c>
      <c r="AK435" s="72" t="str">
        <f>IFERROR(INDEX(Tableau2[TS],SUMPRODUCT((Tableau2[Ref-Carte]=Tableau3[[#This Row],[Ref-Carte2]])*(Tableau2[ID-Voie]=Tableau3[[#This Row],[ID-VOIE]])*ROW(Tableau2[TS]))-ROW(Tableau2[#Headers])),"")</f>
        <v>ET</v>
      </c>
      <c r="AL435" s="72" t="str">
        <f>Tableau3[[#This Row],[Ref-Carte2]]&amp;"/"&amp;Tableau3[[#This Row],[ID-VOIE]]</f>
        <v>SDI1602/9</v>
      </c>
      <c r="AM435" s="73" t="str">
        <f>INDEX(Tableau2[Borne],MATCH(Tableau3[[#This Row],[ID-CARTEVOIE]],Tableau2[ID-CARTEVOIE],0))&amp;""</f>
        <v>4A</v>
      </c>
      <c r="AN435" s="74" t="str">
        <f>Tableau3[[#This Row],[ID-API]]&amp;Tableau3[[#This Row],[ID-RACK]]&amp;Tableau3[[#This Row],[ID-SLOT]]&amp;Tableau3[[#This Row],[BORNE]]</f>
        <v>3174A</v>
      </c>
      <c r="AO435" s="1"/>
    </row>
    <row r="436" spans="1:41" ht="20.100000000000001" customHeight="1" thickTop="1" thickBot="1">
      <c r="A436" s="68"/>
      <c r="B436" s="69" t="str">
        <f>IFERROR(INDEX(Tableau4[Date],MATCH($A436,Tableau4[EVO],0)),"")</f>
        <v/>
      </c>
      <c r="C436" s="68" t="str">
        <f>IFERROR(INDEX(Tableau4[Designation],MATCH($A436,Tableau4[EVO],0)),"")</f>
        <v/>
      </c>
      <c r="D436" s="68"/>
      <c r="E436" s="70">
        <v>38</v>
      </c>
      <c r="F436" s="71">
        <v>72</v>
      </c>
      <c r="G436" s="101" t="str">
        <f>INDEX(Tableau8[Att1],MATCH(Tableau3[[#This Row],[ID-INS]],Tableau8[ID],0))&amp;""</f>
        <v>V2</v>
      </c>
      <c r="H436" s="101" t="str">
        <f>INDEX(Tableau8[Att2],MATCH(Tableau3[[#This Row],[ID-INS]],Tableau8[ID],0))&amp;""</f>
        <v>BH7</v>
      </c>
      <c r="I436" s="101" t="str">
        <f>INDEX(Tableau8[Att3],MATCH(Tableau3[[#This Row],[ID-INS]],Tableau8[ID],0))&amp;""</f>
        <v>Barrière BH7</v>
      </c>
      <c r="J436" s="101"/>
      <c r="K436" s="167" t="str">
        <f>INDEX(Tableau8[Nom du modele],MATCH(Tableau3[[#This Row],[ID-INS]],Tableau8[ID],0))&amp;""</f>
        <v>BarriereHerse_1</v>
      </c>
      <c r="L436" s="99" t="str">
        <f>INDEX(Tableau5[Att1],MATCH(Tableau3[[#This Row],[ID-SIG]],Tableau5[ID],0))&amp;""</f>
        <v>Réserve</v>
      </c>
      <c r="M436" s="99" t="str">
        <f>INDEX(Tableau5[Att2],MATCH(Tableau3[[#This Row],[ID-SIG]],Tableau5[ID],0))&amp;""</f>
        <v/>
      </c>
      <c r="N436" s="99" t="str">
        <f>INDEX(Tableau5[Att3],MATCH(Tableau3[[#This Row],[ID-SIG]],Tableau5[ID],0))&amp;""</f>
        <v/>
      </c>
      <c r="O436" s="99"/>
      <c r="P436" s="99" t="str">
        <f>INDEX(Tableau5[Description],MATCH(Tableau3[[#This Row],[ID-SIG]],Tableau5[ID],0))</f>
        <v>Réserve</v>
      </c>
      <c r="Q436" s="99"/>
      <c r="R436" s="103" t="str">
        <f>Tableau3[[#This Row],[Description]]</f>
        <v>Réserve</v>
      </c>
      <c r="U436" s="87">
        <v>3</v>
      </c>
      <c r="V436" s="87">
        <v>1</v>
      </c>
      <c r="W436" s="87">
        <v>7</v>
      </c>
      <c r="X436" s="87">
        <v>10</v>
      </c>
      <c r="Y436" s="40"/>
      <c r="Z436" s="165" t="str">
        <f>INDEX(Tableau2[TS],MATCH(Tableau3[[#This Row],[ID-CARTEVOIE]],Tableau2[ID-CARTEVOIE],0))</f>
        <v>ET</v>
      </c>
      <c r="AA436" s="53" t="s">
        <v>213</v>
      </c>
      <c r="AB436" s="223" t="str">
        <f>IFERROR(INDEX(Tableau5[Reserve],MATCH(Tableau3[[#This Row],[ID-SIG]],Tableau5[ID],0))&amp;"","")</f>
        <v/>
      </c>
      <c r="AC436" s="21"/>
      <c r="AD436" s="108" t="str">
        <f>INDEX(Tableau7[Repere],MATCH(Tableau3[[#This Row],[ID-API]],Tableau7[ID-API],0))&amp;""</f>
        <v>A3</v>
      </c>
      <c r="AE436" s="108" t="str">
        <f>INDEX(Tableau1[Repere-Rack],MATCH(Tableau3[[#This Row],[ID-RACK]],Tableau1[ID-RACK],0))&amp;""</f>
        <v>R1</v>
      </c>
      <c r="AF436" s="108" t="str">
        <f>INDEX(Tableau1[Repere-Slot],MATCH(Tableau3[[#This Row],[ID-SLOT]],Tableau1[ID-SLOT],0))&amp;""</f>
        <v>S7</v>
      </c>
      <c r="AG436" s="108" t="str">
        <f>INDEX(Tableau2[Repere-Voie],MATCH(Tableau3[[#This Row],[ID-VOIE]],Tableau2[ID-Voie],0))&amp;""</f>
        <v>v10</v>
      </c>
      <c r="AH436" s="72" t="str">
        <f>Tableau3[[#This Row],[ID-API]]&amp; "." &amp;Tableau3[[#This Row],[ID-RACK]]&amp; "." &amp;Tableau3[[#This Row],[ID-SLOT]]</f>
        <v>3.1.7</v>
      </c>
      <c r="AI436" s="72" t="str">
        <f>INDEX(Tableau1[Ref-Carte],MATCH(Tableau3[[#This Row],[ID-RRS]],Tableau1[ID-RRS],0))</f>
        <v>SDI1602</v>
      </c>
      <c r="AJ436" s="72" t="str">
        <f t="array" ref="AJ436">IFERROR(INDEX(Tableau2[TS],MATCH(1,(Tableau2[Ref-Carte]=Tableau3[[#This Row],[Ref-Carte2]])*(Tableau2[ID-Voie]=Tableau3[[#This Row],[ID-VOIE]]),0)),"")</f>
        <v>ET</v>
      </c>
      <c r="AK436" s="72" t="str">
        <f>IFERROR(INDEX(Tableau2[TS],SUMPRODUCT((Tableau2[Ref-Carte]=Tableau3[[#This Row],[Ref-Carte2]])*(Tableau2[ID-Voie]=Tableau3[[#This Row],[ID-VOIE]])*ROW(Tableau2[TS]))-ROW(Tableau2[#Headers])),"")</f>
        <v>ET</v>
      </c>
      <c r="AL436" s="72" t="str">
        <f>Tableau3[[#This Row],[Ref-Carte2]]&amp;"/"&amp;Tableau3[[#This Row],[ID-VOIE]]</f>
        <v>SDI1602/10</v>
      </c>
      <c r="AM436" s="73" t="str">
        <f>INDEX(Tableau2[Borne],MATCH(Tableau3[[#This Row],[ID-CARTEVOIE]],Tableau2[ID-CARTEVOIE],0))&amp;""</f>
        <v>5B</v>
      </c>
      <c r="AN436" s="74" t="str">
        <f>Tableau3[[#This Row],[ID-API]]&amp;Tableau3[[#This Row],[ID-RACK]]&amp;Tableau3[[#This Row],[ID-SLOT]]&amp;Tableau3[[#This Row],[BORNE]]</f>
        <v>3175B</v>
      </c>
      <c r="AO436" s="1"/>
    </row>
    <row r="437" spans="1:41" ht="20.100000000000001" customHeight="1" thickTop="1" thickBot="1">
      <c r="A437" s="68"/>
      <c r="B437" s="69" t="str">
        <f>IFERROR(INDEX(Tableau4[Date],MATCH($A437,Tableau4[EVO],0)),"")</f>
        <v/>
      </c>
      <c r="C437" s="68" t="str">
        <f>IFERROR(INDEX(Tableau4[Designation],MATCH($A437,Tableau4[EVO],0)),"")</f>
        <v/>
      </c>
      <c r="D437" s="68"/>
      <c r="E437" s="70">
        <v>38</v>
      </c>
      <c r="F437" s="71">
        <v>73</v>
      </c>
      <c r="G437" s="101" t="str">
        <f>INDEX(Tableau8[Att1],MATCH(Tableau3[[#This Row],[ID-INS]],Tableau8[ID],0))&amp;""</f>
        <v>V2</v>
      </c>
      <c r="H437" s="101" t="str">
        <f>INDEX(Tableau8[Att2],MATCH(Tableau3[[#This Row],[ID-INS]],Tableau8[ID],0))&amp;""</f>
        <v>BH7</v>
      </c>
      <c r="I437" s="101" t="str">
        <f>INDEX(Tableau8[Att3],MATCH(Tableau3[[#This Row],[ID-INS]],Tableau8[ID],0))&amp;""</f>
        <v>Barrière BH7</v>
      </c>
      <c r="J437" s="101"/>
      <c r="K437" s="167" t="str">
        <f>INDEX(Tableau8[Nom du modele],MATCH(Tableau3[[#This Row],[ID-INS]],Tableau8[ID],0))&amp;""</f>
        <v>BarriereHerse_1</v>
      </c>
      <c r="L437" s="99" t="str">
        <f>INDEX(Tableau5[Att1],MATCH(Tableau3[[#This Row],[ID-SIG]],Tableau5[ID],0))&amp;""</f>
        <v>Fer2</v>
      </c>
      <c r="M437" s="99" t="str">
        <f>INDEX(Tableau5[Att2],MATCH(Tableau3[[#This Row],[ID-SIG]],Tableau5[ID],0))&amp;""</f>
        <v/>
      </c>
      <c r="N437" s="99" t="str">
        <f>INDEX(Tableau5[Att3],MATCH(Tableau3[[#This Row],[ID-SIG]],Tableau5[ID],0))&amp;""</f>
        <v/>
      </c>
      <c r="O437" s="99"/>
      <c r="P437" s="99" t="str">
        <f>INDEX(Tableau5[Description],MATCH(Tableau3[[#This Row],[ID-SIG]],Tableau5[ID],0))</f>
        <v>Position 2 fermé</v>
      </c>
      <c r="Q437" s="99"/>
      <c r="R437" s="103" t="str">
        <f>Tableau3[[#This Row],[Description]]</f>
        <v>Position 2 fermé</v>
      </c>
      <c r="U437" s="87">
        <v>3</v>
      </c>
      <c r="V437" s="87">
        <v>1</v>
      </c>
      <c r="W437" s="87">
        <v>7</v>
      </c>
      <c r="X437" s="87">
        <v>11</v>
      </c>
      <c r="Y437" s="40"/>
      <c r="Z437" s="165" t="str">
        <f>INDEX(Tableau2[TS],MATCH(Tableau3[[#This Row],[ID-CARTEVOIE]],Tableau2[ID-CARTEVOIE],0))</f>
        <v>ET</v>
      </c>
      <c r="AA437" s="53" t="s">
        <v>213</v>
      </c>
      <c r="AB437" s="223" t="str">
        <f>IFERROR(INDEX(Tableau5[Reserve],MATCH(Tableau3[[#This Row],[ID-SIG]],Tableau5[ID],0))&amp;"","")</f>
        <v/>
      </c>
      <c r="AC437" s="21"/>
      <c r="AD437" s="108" t="str">
        <f>INDEX(Tableau7[Repere],MATCH(Tableau3[[#This Row],[ID-API]],Tableau7[ID-API],0))&amp;""</f>
        <v>A3</v>
      </c>
      <c r="AE437" s="108" t="str">
        <f>INDEX(Tableau1[Repere-Rack],MATCH(Tableau3[[#This Row],[ID-RACK]],Tableau1[ID-RACK],0))&amp;""</f>
        <v>R1</v>
      </c>
      <c r="AF437" s="108" t="str">
        <f>INDEX(Tableau1[Repere-Slot],MATCH(Tableau3[[#This Row],[ID-SLOT]],Tableau1[ID-SLOT],0))&amp;""</f>
        <v>S7</v>
      </c>
      <c r="AG437" s="108" t="str">
        <f>INDEX(Tableau2[Repere-Voie],MATCH(Tableau3[[#This Row],[ID-VOIE]],Tableau2[ID-Voie],0))&amp;""</f>
        <v>v11</v>
      </c>
      <c r="AH437" s="72" t="str">
        <f>Tableau3[[#This Row],[ID-API]]&amp; "." &amp;Tableau3[[#This Row],[ID-RACK]]&amp; "." &amp;Tableau3[[#This Row],[ID-SLOT]]</f>
        <v>3.1.7</v>
      </c>
      <c r="AI437" s="72" t="str">
        <f>INDEX(Tableau1[Ref-Carte],MATCH(Tableau3[[#This Row],[ID-RRS]],Tableau1[ID-RRS],0))</f>
        <v>SDI1602</v>
      </c>
      <c r="AJ437" s="72" t="str">
        <f t="array" ref="AJ437">IFERROR(INDEX(Tableau2[TS],MATCH(1,(Tableau2[Ref-Carte]=Tableau3[[#This Row],[Ref-Carte2]])*(Tableau2[ID-Voie]=Tableau3[[#This Row],[ID-VOIE]]),0)),"")</f>
        <v>ET</v>
      </c>
      <c r="AK437" s="72" t="str">
        <f>IFERROR(INDEX(Tableau2[TS],SUMPRODUCT((Tableau2[Ref-Carte]=Tableau3[[#This Row],[Ref-Carte2]])*(Tableau2[ID-Voie]=Tableau3[[#This Row],[ID-VOIE]])*ROW(Tableau2[TS]))-ROW(Tableau2[#Headers])),"")</f>
        <v>ET</v>
      </c>
      <c r="AL437" s="72" t="str">
        <f>Tableau3[[#This Row],[Ref-Carte2]]&amp;"/"&amp;Tableau3[[#This Row],[ID-VOIE]]</f>
        <v>SDI1602/11</v>
      </c>
      <c r="AM437" s="73" t="str">
        <f>INDEX(Tableau2[Borne],MATCH(Tableau3[[#This Row],[ID-CARTEVOIE]],Tableau2[ID-CARTEVOIE],0))&amp;""</f>
        <v>5A</v>
      </c>
      <c r="AN437" s="74" t="str">
        <f>Tableau3[[#This Row],[ID-API]]&amp;Tableau3[[#This Row],[ID-RACK]]&amp;Tableau3[[#This Row],[ID-SLOT]]&amp;Tableau3[[#This Row],[BORNE]]</f>
        <v>3175A</v>
      </c>
      <c r="AO437" s="1"/>
    </row>
    <row r="438" spans="1:41" ht="20.100000000000001" customHeight="1" thickTop="1" thickBot="1">
      <c r="A438" s="68"/>
      <c r="B438" s="69" t="str">
        <f>IFERROR(INDEX(Tableau4[Date],MATCH($A438,Tableau4[EVO],0)),"")</f>
        <v/>
      </c>
      <c r="C438" s="68" t="str">
        <f>IFERROR(INDEX(Tableau4[Designation],MATCH($A438,Tableau4[EVO],0)),"")</f>
        <v/>
      </c>
      <c r="D438" s="68"/>
      <c r="E438" s="70">
        <v>38</v>
      </c>
      <c r="F438" s="71">
        <v>77</v>
      </c>
      <c r="G438" s="101" t="str">
        <f>INDEX(Tableau8[Att1],MATCH(Tableau3[[#This Row],[ID-INS]],Tableau8[ID],0))&amp;""</f>
        <v>V2</v>
      </c>
      <c r="H438" s="101" t="str">
        <f>INDEX(Tableau8[Att2],MATCH(Tableau3[[#This Row],[ID-INS]],Tableau8[ID],0))&amp;""</f>
        <v>BH7</v>
      </c>
      <c r="I438" s="101" t="str">
        <f>INDEX(Tableau8[Att3],MATCH(Tableau3[[#This Row],[ID-INS]],Tableau8[ID],0))&amp;""</f>
        <v>Barrière BH7</v>
      </c>
      <c r="J438" s="101"/>
      <c r="K438" s="167" t="str">
        <f>INDEX(Tableau8[Nom du modele],MATCH(Tableau3[[#This Row],[ID-INS]],Tableau8[ID],0))&amp;""</f>
        <v>BarriereHerse_1</v>
      </c>
      <c r="L438" s="99" t="str">
        <f>INDEX(Tableau5[Att1],MATCH(Tableau3[[#This Row],[ID-SIG]],Tableau5[ID],0))&amp;""</f>
        <v>Ouv</v>
      </c>
      <c r="M438" s="99" t="str">
        <f>INDEX(Tableau5[Att2],MATCH(Tableau3[[#This Row],[ID-SIG]],Tableau5[ID],0))&amp;""</f>
        <v/>
      </c>
      <c r="N438" s="99" t="str">
        <f>INDEX(Tableau5[Att3],MATCH(Tableau3[[#This Row],[ID-SIG]],Tableau5[ID],0))&amp;""</f>
        <v/>
      </c>
      <c r="O438" s="99"/>
      <c r="P438" s="99" t="str">
        <f>INDEX(Tableau5[Description],MATCH(Tableau3[[#This Row],[ID-SIG]],Tableau5[ID],0))</f>
        <v>Position ouverte</v>
      </c>
      <c r="Q438" s="99"/>
      <c r="R438" s="103" t="str">
        <f>Tableau3[[#This Row],[Description]]</f>
        <v>Position ouverte</v>
      </c>
      <c r="U438" s="87">
        <v>3</v>
      </c>
      <c r="V438" s="87">
        <v>1</v>
      </c>
      <c r="W438" s="87">
        <v>7</v>
      </c>
      <c r="X438" s="87">
        <v>12</v>
      </c>
      <c r="Y438" s="40"/>
      <c r="Z438" s="165" t="str">
        <f>INDEX(Tableau2[TS],MATCH(Tableau3[[#This Row],[ID-CARTEVOIE]],Tableau2[ID-CARTEVOIE],0))</f>
        <v>ET</v>
      </c>
      <c r="AA438" s="53" t="s">
        <v>213</v>
      </c>
      <c r="AB438" s="223" t="str">
        <f>IFERROR(INDEX(Tableau5[Reserve],MATCH(Tableau3[[#This Row],[ID-SIG]],Tableau5[ID],0))&amp;"","")</f>
        <v/>
      </c>
      <c r="AC438" s="21"/>
      <c r="AD438" s="108" t="str">
        <f>INDEX(Tableau7[Repere],MATCH(Tableau3[[#This Row],[ID-API]],Tableau7[ID-API],0))&amp;""</f>
        <v>A3</v>
      </c>
      <c r="AE438" s="108" t="str">
        <f>INDEX(Tableau1[Repere-Rack],MATCH(Tableau3[[#This Row],[ID-RACK]],Tableau1[ID-RACK],0))&amp;""</f>
        <v>R1</v>
      </c>
      <c r="AF438" s="108" t="str">
        <f>INDEX(Tableau1[Repere-Slot],MATCH(Tableau3[[#This Row],[ID-SLOT]],Tableau1[ID-SLOT],0))&amp;""</f>
        <v>S7</v>
      </c>
      <c r="AG438" s="108" t="str">
        <f>INDEX(Tableau2[Repere-Voie],MATCH(Tableau3[[#This Row],[ID-VOIE]],Tableau2[ID-Voie],0))&amp;""</f>
        <v>v12</v>
      </c>
      <c r="AH438" s="72" t="str">
        <f>Tableau3[[#This Row],[ID-API]]&amp; "." &amp;Tableau3[[#This Row],[ID-RACK]]&amp; "." &amp;Tableau3[[#This Row],[ID-SLOT]]</f>
        <v>3.1.7</v>
      </c>
      <c r="AI438" s="72" t="str">
        <f>INDEX(Tableau1[Ref-Carte],MATCH(Tableau3[[#This Row],[ID-RRS]],Tableau1[ID-RRS],0))</f>
        <v>SDI1602</v>
      </c>
      <c r="AJ438" s="72" t="str">
        <f t="array" ref="AJ438">IFERROR(INDEX(Tableau2[TS],MATCH(1,(Tableau2[Ref-Carte]=Tableau3[[#This Row],[Ref-Carte2]])*(Tableau2[ID-Voie]=Tableau3[[#This Row],[ID-VOIE]]),0)),"")</f>
        <v>ET</v>
      </c>
      <c r="AK438" s="72" t="str">
        <f>IFERROR(INDEX(Tableau2[TS],SUMPRODUCT((Tableau2[Ref-Carte]=Tableau3[[#This Row],[Ref-Carte2]])*(Tableau2[ID-Voie]=Tableau3[[#This Row],[ID-VOIE]])*ROW(Tableau2[TS]))-ROW(Tableau2[#Headers])),"")</f>
        <v>ET</v>
      </c>
      <c r="AL438" s="72" t="str">
        <f>Tableau3[[#This Row],[Ref-Carte2]]&amp;"/"&amp;Tableau3[[#This Row],[ID-VOIE]]</f>
        <v>SDI1602/12</v>
      </c>
      <c r="AM438" s="73" t="str">
        <f>INDEX(Tableau2[Borne],MATCH(Tableau3[[#This Row],[ID-CARTEVOIE]],Tableau2[ID-CARTEVOIE],0))&amp;""</f>
        <v>6B</v>
      </c>
      <c r="AN438" s="74" t="str">
        <f>Tableau3[[#This Row],[ID-API]]&amp;Tableau3[[#This Row],[ID-RACK]]&amp;Tableau3[[#This Row],[ID-SLOT]]&amp;Tableau3[[#This Row],[BORNE]]</f>
        <v>3176B</v>
      </c>
      <c r="AO438" s="1"/>
    </row>
    <row r="439" spans="1:41" ht="20.100000000000001" customHeight="1" thickTop="1" thickBot="1">
      <c r="A439" s="68"/>
      <c r="B439" s="69" t="str">
        <f>IFERROR(INDEX(Tableau4[Date],MATCH($A439,Tableau4[EVO],0)),"")</f>
        <v/>
      </c>
      <c r="C439" s="68" t="str">
        <f>IFERROR(INDEX(Tableau4[Designation],MATCH($A439,Tableau4[EVO],0)),"")</f>
        <v/>
      </c>
      <c r="D439" s="68"/>
      <c r="E439" s="70">
        <v>38</v>
      </c>
      <c r="F439" s="71">
        <v>78</v>
      </c>
      <c r="G439" s="101" t="str">
        <f>INDEX(Tableau8[Att1],MATCH(Tableau3[[#This Row],[ID-INS]],Tableau8[ID],0))&amp;""</f>
        <v>V2</v>
      </c>
      <c r="H439" s="101" t="str">
        <f>INDEX(Tableau8[Att2],MATCH(Tableau3[[#This Row],[ID-INS]],Tableau8[ID],0))&amp;""</f>
        <v>BH7</v>
      </c>
      <c r="I439" s="101" t="str">
        <f>INDEX(Tableau8[Att3],MATCH(Tableau3[[#This Row],[ID-INS]],Tableau8[ID],0))&amp;""</f>
        <v>Barrière BH7</v>
      </c>
      <c r="J439" s="101"/>
      <c r="K439" s="167" t="str">
        <f>INDEX(Tableau8[Nom du modele],MATCH(Tableau3[[#This Row],[ID-INS]],Tableau8[ID],0))&amp;""</f>
        <v>BarriereHerse_1</v>
      </c>
      <c r="L439" s="99" t="str">
        <f>INDEX(Tableau5[Att1],MATCH(Tableau3[[#This Row],[ID-SIG]],Tableau5[ID],0))&amp;""</f>
        <v>Effraction</v>
      </c>
      <c r="M439" s="99" t="str">
        <f>INDEX(Tableau5[Att2],MATCH(Tableau3[[#This Row],[ID-SIG]],Tableau5[ID],0))&amp;""</f>
        <v/>
      </c>
      <c r="N439" s="99" t="str">
        <f>INDEX(Tableau5[Att3],MATCH(Tableau3[[#This Row],[ID-SIG]],Tableau5[ID],0))&amp;""</f>
        <v/>
      </c>
      <c r="O439" s="99"/>
      <c r="P439" s="99" t="str">
        <f>INDEX(Tableau5[Description],MATCH(Tableau3[[#This Row],[ID-SIG]],Tableau5[ID],0))</f>
        <v>Effraction</v>
      </c>
      <c r="Q439" s="99"/>
      <c r="R439" s="103" t="str">
        <f>Tableau3[[#This Row],[Description]]</f>
        <v>Effraction</v>
      </c>
      <c r="U439" s="87">
        <v>3</v>
      </c>
      <c r="V439" s="87">
        <v>1</v>
      </c>
      <c r="W439" s="87">
        <v>7</v>
      </c>
      <c r="X439" s="87">
        <v>13</v>
      </c>
      <c r="Y439" s="40"/>
      <c r="Z439" s="165" t="str">
        <f>INDEX(Tableau2[TS],MATCH(Tableau3[[#This Row],[ID-CARTEVOIE]],Tableau2[ID-CARTEVOIE],0))</f>
        <v>ET</v>
      </c>
      <c r="AA439" s="53" t="s">
        <v>213</v>
      </c>
      <c r="AB439" s="223" t="str">
        <f>IFERROR(INDEX(Tableau5[Reserve],MATCH(Tableau3[[#This Row],[ID-SIG]],Tableau5[ID],0))&amp;"","")</f>
        <v/>
      </c>
      <c r="AC439" s="21"/>
      <c r="AD439" s="108" t="str">
        <f>INDEX(Tableau7[Repere],MATCH(Tableau3[[#This Row],[ID-API]],Tableau7[ID-API],0))&amp;""</f>
        <v>A3</v>
      </c>
      <c r="AE439" s="108" t="str">
        <f>INDEX(Tableau1[Repere-Rack],MATCH(Tableau3[[#This Row],[ID-RACK]],Tableau1[ID-RACK],0))&amp;""</f>
        <v>R1</v>
      </c>
      <c r="AF439" s="108" t="str">
        <f>INDEX(Tableau1[Repere-Slot],MATCH(Tableau3[[#This Row],[ID-SLOT]],Tableau1[ID-SLOT],0))&amp;""</f>
        <v>S7</v>
      </c>
      <c r="AG439" s="108" t="str">
        <f>INDEX(Tableau2[Repere-Voie],MATCH(Tableau3[[#This Row],[ID-VOIE]],Tableau2[ID-Voie],0))&amp;""</f>
        <v>v13</v>
      </c>
      <c r="AH439" s="72" t="str">
        <f>Tableau3[[#This Row],[ID-API]]&amp; "." &amp;Tableau3[[#This Row],[ID-RACK]]&amp; "." &amp;Tableau3[[#This Row],[ID-SLOT]]</f>
        <v>3.1.7</v>
      </c>
      <c r="AI439" s="72" t="str">
        <f>INDEX(Tableau1[Ref-Carte],MATCH(Tableau3[[#This Row],[ID-RRS]],Tableau1[ID-RRS],0))</f>
        <v>SDI1602</v>
      </c>
      <c r="AJ439" s="72" t="str">
        <f t="array" ref="AJ439">IFERROR(INDEX(Tableau2[TS],MATCH(1,(Tableau2[Ref-Carte]=Tableau3[[#This Row],[Ref-Carte2]])*(Tableau2[ID-Voie]=Tableau3[[#This Row],[ID-VOIE]]),0)),"")</f>
        <v>ET</v>
      </c>
      <c r="AK439" s="72" t="str">
        <f>IFERROR(INDEX(Tableau2[TS],SUMPRODUCT((Tableau2[Ref-Carte]=Tableau3[[#This Row],[Ref-Carte2]])*(Tableau2[ID-Voie]=Tableau3[[#This Row],[ID-VOIE]])*ROW(Tableau2[TS]))-ROW(Tableau2[#Headers])),"")</f>
        <v>ET</v>
      </c>
      <c r="AL439" s="72" t="str">
        <f>Tableau3[[#This Row],[Ref-Carte2]]&amp;"/"&amp;Tableau3[[#This Row],[ID-VOIE]]</f>
        <v>SDI1602/13</v>
      </c>
      <c r="AM439" s="73" t="str">
        <f>INDEX(Tableau2[Borne],MATCH(Tableau3[[#This Row],[ID-CARTEVOIE]],Tableau2[ID-CARTEVOIE],0))&amp;""</f>
        <v>6A</v>
      </c>
      <c r="AN439" s="74" t="str">
        <f>Tableau3[[#This Row],[ID-API]]&amp;Tableau3[[#This Row],[ID-RACK]]&amp;Tableau3[[#This Row],[ID-SLOT]]&amp;Tableau3[[#This Row],[BORNE]]</f>
        <v>3176A</v>
      </c>
      <c r="AO439" s="1"/>
    </row>
    <row r="440" spans="1:41" ht="20.100000000000001" customHeight="1" thickTop="1" thickBot="1">
      <c r="A440" s="68"/>
      <c r="B440" s="69" t="str">
        <f>IFERROR(INDEX(Tableau4[Date],MATCH($A440,Tableau4[EVO],0)),"")</f>
        <v/>
      </c>
      <c r="C440" s="68" t="str">
        <f>IFERROR(INDEX(Tableau4[Designation],MATCH($A440,Tableau4[EVO],0)),"")</f>
        <v/>
      </c>
      <c r="D440" s="68"/>
      <c r="E440" s="70">
        <v>38</v>
      </c>
      <c r="F440" s="71">
        <v>79</v>
      </c>
      <c r="G440" s="101" t="str">
        <f>INDEX(Tableau8[Att1],MATCH(Tableau3[[#This Row],[ID-INS]],Tableau8[ID],0))&amp;""</f>
        <v>V2</v>
      </c>
      <c r="H440" s="101" t="str">
        <f>INDEX(Tableau8[Att2],MATCH(Tableau3[[#This Row],[ID-INS]],Tableau8[ID],0))&amp;""</f>
        <v>BH7</v>
      </c>
      <c r="I440" s="101" t="str">
        <f>INDEX(Tableau8[Att3],MATCH(Tableau3[[#This Row],[ID-INS]],Tableau8[ID],0))&amp;""</f>
        <v>Barrière BH7</v>
      </c>
      <c r="J440" s="101"/>
      <c r="K440" s="167" t="str">
        <f>INDEX(Tableau8[Nom du modele],MATCH(Tableau3[[#This Row],[ID-INS]],Tableau8[ID],0))&amp;""</f>
        <v>BarriereHerse_1</v>
      </c>
      <c r="L440" s="99" t="str">
        <f>INDEX(Tableau5[Att1],MATCH(Tableau3[[#This Row],[ID-SIG]],Tableau5[ID],0))&amp;""</f>
        <v>SynthDef</v>
      </c>
      <c r="M440" s="99" t="str">
        <f>INDEX(Tableau5[Att2],MATCH(Tableau3[[#This Row],[ID-SIG]],Tableau5[ID],0))&amp;""</f>
        <v/>
      </c>
      <c r="N440" s="99" t="str">
        <f>INDEX(Tableau5[Att3],MATCH(Tableau3[[#This Row],[ID-SIG]],Tableau5[ID],0))&amp;""</f>
        <v/>
      </c>
      <c r="O440" s="99"/>
      <c r="P440" s="99" t="str">
        <f>INDEX(Tableau5[Description],MATCH(Tableau3[[#This Row],[ID-SIG]],Tableau5[ID],0))</f>
        <v>Synthèse défaut</v>
      </c>
      <c r="Q440" s="99"/>
      <c r="R440" s="103" t="str">
        <f>Tableau3[[#This Row],[Description]]</f>
        <v>Synthèse défaut</v>
      </c>
      <c r="U440" s="87">
        <v>3</v>
      </c>
      <c r="V440" s="87">
        <v>1</v>
      </c>
      <c r="W440" s="87">
        <v>7</v>
      </c>
      <c r="X440" s="87">
        <v>14</v>
      </c>
      <c r="Y440" s="40"/>
      <c r="Z440" s="165" t="str">
        <f>INDEX(Tableau2[TS],MATCH(Tableau3[[#This Row],[ID-CARTEVOIE]],Tableau2[ID-CARTEVOIE],0))</f>
        <v>ET</v>
      </c>
      <c r="AA440" s="53" t="s">
        <v>213</v>
      </c>
      <c r="AB440" s="223" t="str">
        <f>IFERROR(INDEX(Tableau5[Reserve],MATCH(Tableau3[[#This Row],[ID-SIG]],Tableau5[ID],0))&amp;"","")</f>
        <v/>
      </c>
      <c r="AC440" s="21"/>
      <c r="AD440" s="108" t="str">
        <f>INDEX(Tableau7[Repere],MATCH(Tableau3[[#This Row],[ID-API]],Tableau7[ID-API],0))&amp;""</f>
        <v>A3</v>
      </c>
      <c r="AE440" s="108" t="str">
        <f>INDEX(Tableau1[Repere-Rack],MATCH(Tableau3[[#This Row],[ID-RACK]],Tableau1[ID-RACK],0))&amp;""</f>
        <v>R1</v>
      </c>
      <c r="AF440" s="108" t="str">
        <f>INDEX(Tableau1[Repere-Slot],MATCH(Tableau3[[#This Row],[ID-SLOT]],Tableau1[ID-SLOT],0))&amp;""</f>
        <v>S7</v>
      </c>
      <c r="AG440" s="108" t="str">
        <f>INDEX(Tableau2[Repere-Voie],MATCH(Tableau3[[#This Row],[ID-VOIE]],Tableau2[ID-Voie],0))&amp;""</f>
        <v>v14</v>
      </c>
      <c r="AH440" s="72" t="str">
        <f>Tableau3[[#This Row],[ID-API]]&amp; "." &amp;Tableau3[[#This Row],[ID-RACK]]&amp; "." &amp;Tableau3[[#This Row],[ID-SLOT]]</f>
        <v>3.1.7</v>
      </c>
      <c r="AI440" s="72" t="str">
        <f>INDEX(Tableau1[Ref-Carte],MATCH(Tableau3[[#This Row],[ID-RRS]],Tableau1[ID-RRS],0))</f>
        <v>SDI1602</v>
      </c>
      <c r="AJ440" s="72" t="str">
        <f t="array" ref="AJ440">IFERROR(INDEX(Tableau2[TS],MATCH(1,(Tableau2[Ref-Carte]=Tableau3[[#This Row],[Ref-Carte2]])*(Tableau2[ID-Voie]=Tableau3[[#This Row],[ID-VOIE]]),0)),"")</f>
        <v>ET</v>
      </c>
      <c r="AK440" s="72" t="str">
        <f>IFERROR(INDEX(Tableau2[TS],SUMPRODUCT((Tableau2[Ref-Carte]=Tableau3[[#This Row],[Ref-Carte2]])*(Tableau2[ID-Voie]=Tableau3[[#This Row],[ID-VOIE]])*ROW(Tableau2[TS]))-ROW(Tableau2[#Headers])),"")</f>
        <v>ET</v>
      </c>
      <c r="AL440" s="72" t="str">
        <f>Tableau3[[#This Row],[Ref-Carte2]]&amp;"/"&amp;Tableau3[[#This Row],[ID-VOIE]]</f>
        <v>SDI1602/14</v>
      </c>
      <c r="AM440" s="73" t="str">
        <f>INDEX(Tableau2[Borne],MATCH(Tableau3[[#This Row],[ID-CARTEVOIE]],Tableau2[ID-CARTEVOIE],0))&amp;""</f>
        <v>7B</v>
      </c>
      <c r="AN440" s="74" t="str">
        <f>Tableau3[[#This Row],[ID-API]]&amp;Tableau3[[#This Row],[ID-RACK]]&amp;Tableau3[[#This Row],[ID-SLOT]]&amp;Tableau3[[#This Row],[BORNE]]</f>
        <v>3177B</v>
      </c>
      <c r="AO440" s="1"/>
    </row>
    <row r="441" spans="1:41" ht="20.100000000000001" customHeight="1" thickTop="1" thickBot="1">
      <c r="A441" s="68"/>
      <c r="B441" s="69" t="str">
        <f>IFERROR(INDEX(Tableau4[Date],MATCH($A441,Tableau4[EVO],0)),"")</f>
        <v/>
      </c>
      <c r="C441" s="68" t="str">
        <f>IFERROR(INDEX(Tableau4[Designation],MATCH($A441,Tableau4[EVO],0)),"")</f>
        <v/>
      </c>
      <c r="D441" s="68"/>
      <c r="E441" s="70">
        <v>38</v>
      </c>
      <c r="F441" s="71">
        <v>80</v>
      </c>
      <c r="G441" s="101" t="str">
        <f>INDEX(Tableau8[Att1],MATCH(Tableau3[[#This Row],[ID-INS]],Tableau8[ID],0))&amp;""</f>
        <v>V2</v>
      </c>
      <c r="H441" s="101" t="str">
        <f>INDEX(Tableau8[Att2],MATCH(Tableau3[[#This Row],[ID-INS]],Tableau8[ID],0))&amp;""</f>
        <v>BH7</v>
      </c>
      <c r="I441" s="101" t="str">
        <f>INDEX(Tableau8[Att3],MATCH(Tableau3[[#This Row],[ID-INS]],Tableau8[ID],0))&amp;""</f>
        <v>Barrière BH7</v>
      </c>
      <c r="J441" s="101"/>
      <c r="K441" s="167" t="str">
        <f>INDEX(Tableau8[Nom du modele],MATCH(Tableau3[[#This Row],[ID-INS]],Tableau8[ID],0))&amp;""</f>
        <v>BarriereHerse_1</v>
      </c>
      <c r="L441" s="99" t="str">
        <f>INDEX(Tableau5[Att1],MATCH(Tableau3[[#This Row],[ID-SIG]],Tableau5[ID],0))&amp;""</f>
        <v>FerRet1</v>
      </c>
      <c r="M441" s="99" t="str">
        <f>INDEX(Tableau5[Att2],MATCH(Tableau3[[#This Row],[ID-SIG]],Tableau5[ID],0))&amp;""</f>
        <v/>
      </c>
      <c r="N441" s="99" t="str">
        <f>INDEX(Tableau5[Att3],MATCH(Tableau3[[#This Row],[ID-SIG]],Tableau5[ID],0))&amp;""</f>
        <v/>
      </c>
      <c r="O441" s="99"/>
      <c r="P441" s="99" t="str">
        <f>INDEX(Tableau5[Description],MATCH(Tableau3[[#This Row],[ID-SIG]],Tableau5[ID],0))</f>
        <v>Retour Commande 1 fermeture</v>
      </c>
      <c r="Q441" s="99"/>
      <c r="R441" s="103" t="str">
        <f>Tableau3[[#This Row],[Description]]</f>
        <v>Retour Commande 1 fermeture</v>
      </c>
      <c r="U441" s="87">
        <v>3</v>
      </c>
      <c r="V441" s="87">
        <v>1</v>
      </c>
      <c r="W441" s="87">
        <v>7</v>
      </c>
      <c r="X441" s="87">
        <v>15</v>
      </c>
      <c r="Y441" s="40"/>
      <c r="Z441" s="165" t="str">
        <f>INDEX(Tableau2[TS],MATCH(Tableau3[[#This Row],[ID-CARTEVOIE]],Tableau2[ID-CARTEVOIE],0))</f>
        <v>ET</v>
      </c>
      <c r="AA441" s="53" t="s">
        <v>213</v>
      </c>
      <c r="AB441" s="223" t="str">
        <f>IFERROR(INDEX(Tableau5[Reserve],MATCH(Tableau3[[#This Row],[ID-SIG]],Tableau5[ID],0))&amp;"","")</f>
        <v/>
      </c>
      <c r="AC441" s="21"/>
      <c r="AD441" s="108" t="str">
        <f>INDEX(Tableau7[Repere],MATCH(Tableau3[[#This Row],[ID-API]],Tableau7[ID-API],0))&amp;""</f>
        <v>A3</v>
      </c>
      <c r="AE441" s="108" t="str">
        <f>INDEX(Tableau1[Repere-Rack],MATCH(Tableau3[[#This Row],[ID-RACK]],Tableau1[ID-RACK],0))&amp;""</f>
        <v>R1</v>
      </c>
      <c r="AF441" s="108" t="str">
        <f>INDEX(Tableau1[Repere-Slot],MATCH(Tableau3[[#This Row],[ID-SLOT]],Tableau1[ID-SLOT],0))&amp;""</f>
        <v>S7</v>
      </c>
      <c r="AG441" s="108" t="str">
        <f>INDEX(Tableau2[Repere-Voie],MATCH(Tableau3[[#This Row],[ID-VOIE]],Tableau2[ID-Voie],0))&amp;""</f>
        <v>v15</v>
      </c>
      <c r="AH441" s="72" t="str">
        <f>Tableau3[[#This Row],[ID-API]]&amp; "." &amp;Tableau3[[#This Row],[ID-RACK]]&amp; "." &amp;Tableau3[[#This Row],[ID-SLOT]]</f>
        <v>3.1.7</v>
      </c>
      <c r="AI441" s="72" t="str">
        <f>INDEX(Tableau1[Ref-Carte],MATCH(Tableau3[[#This Row],[ID-RRS]],Tableau1[ID-RRS],0))</f>
        <v>SDI1602</v>
      </c>
      <c r="AJ441" s="72" t="str">
        <f t="array" ref="AJ441">IFERROR(INDEX(Tableau2[TS],MATCH(1,(Tableau2[Ref-Carte]=Tableau3[[#This Row],[Ref-Carte2]])*(Tableau2[ID-Voie]=Tableau3[[#This Row],[ID-VOIE]]),0)),"")</f>
        <v>ET</v>
      </c>
      <c r="AK441" s="72" t="str">
        <f>IFERROR(INDEX(Tableau2[TS],SUMPRODUCT((Tableau2[Ref-Carte]=Tableau3[[#This Row],[Ref-Carte2]])*(Tableau2[ID-Voie]=Tableau3[[#This Row],[ID-VOIE]])*ROW(Tableau2[TS]))-ROW(Tableau2[#Headers])),"")</f>
        <v>ET</v>
      </c>
      <c r="AL441" s="72" t="str">
        <f>Tableau3[[#This Row],[Ref-Carte2]]&amp;"/"&amp;Tableau3[[#This Row],[ID-VOIE]]</f>
        <v>SDI1602/15</v>
      </c>
      <c r="AM441" s="73" t="str">
        <f>INDEX(Tableau2[Borne],MATCH(Tableau3[[#This Row],[ID-CARTEVOIE]],Tableau2[ID-CARTEVOIE],0))&amp;""</f>
        <v>7A</v>
      </c>
      <c r="AN441" s="74" t="str">
        <f>Tableau3[[#This Row],[ID-API]]&amp;Tableau3[[#This Row],[ID-RACK]]&amp;Tableau3[[#This Row],[ID-SLOT]]&amp;Tableau3[[#This Row],[BORNE]]</f>
        <v>3177A</v>
      </c>
      <c r="AO441" s="1"/>
    </row>
    <row r="442" spans="1:41" ht="20.100000000000001" customHeight="1" thickTop="1" thickBot="1">
      <c r="A442" s="75"/>
      <c r="B442" s="76" t="str">
        <f>IFERROR(INDEX(Tableau4[Date],MATCH($A442,Tableau4[EVO],0)),"")</f>
        <v/>
      </c>
      <c r="C442" s="75" t="str">
        <f>IFERROR(INDEX(Tableau4[Designation],MATCH($A442,Tableau4[EVO],0)),"")</f>
        <v/>
      </c>
      <c r="D442" s="75"/>
      <c r="E442" s="79">
        <v>78</v>
      </c>
      <c r="F442" s="80">
        <v>65</v>
      </c>
      <c r="G442" s="102" t="str">
        <f>INDEX(Tableau8[Att1],MATCH(Tableau3[[#This Row],[ID-INS]],Tableau8[ID],0))&amp;""</f>
        <v>V2</v>
      </c>
      <c r="H442" s="163" t="str">
        <f>INDEX(Tableau8[Att2],MATCH(Tableau3[[#This Row],[ID-INS]],Tableau8[ID],0))&amp;""</f>
        <v>BR2</v>
      </c>
      <c r="I442" s="102" t="str">
        <f>INDEX(Tableau8[Att3],MATCH(Tableau3[[#This Row],[ID-INS]],Tableau8[ID],0))&amp;""</f>
        <v>Barrière BR2</v>
      </c>
      <c r="J442" s="102"/>
      <c r="K442" s="167" t="str">
        <f>INDEX(Tableau8[Nom du modele],MATCH(Tableau3[[#This Row],[ID-INS]],Tableau8[ID],0))&amp;""</f>
        <v>BarriereLisse</v>
      </c>
      <c r="L442" s="149" t="str">
        <f>INDEX(Tableau5[Att1],MATCH(Tableau3[[#This Row],[ID-SIG]],Tableau5[ID],0))&amp;""</f>
        <v>Réserve</v>
      </c>
      <c r="M442" s="100" t="str">
        <f>INDEX(Tableau5[Att2],MATCH(Tableau3[[#This Row],[ID-SIG]],Tableau5[ID],0))&amp;""</f>
        <v/>
      </c>
      <c r="N442" s="100" t="str">
        <f>INDEX(Tableau5[Att3],MATCH(Tableau3[[#This Row],[ID-SIG]],Tableau5[ID],0))&amp;""</f>
        <v/>
      </c>
      <c r="O442" s="100"/>
      <c r="P442" s="149" t="str">
        <f>INDEX(Tableau5[Description],MATCH(Tableau3[[#This Row],[ID-SIG]],Tableau5[ID],0))</f>
        <v>Réserve</v>
      </c>
      <c r="Q442" s="100"/>
      <c r="R442" s="104" t="str">
        <f>Tableau3[[#This Row],[Description]]</f>
        <v>Réserve</v>
      </c>
      <c r="U442" s="88">
        <v>3</v>
      </c>
      <c r="V442" s="88">
        <v>1</v>
      </c>
      <c r="W442" s="88">
        <v>8</v>
      </c>
      <c r="X442" s="88">
        <v>0</v>
      </c>
      <c r="Y442" s="41"/>
      <c r="Z442" s="166" t="str">
        <f>INDEX(Tableau2[TS],MATCH(Tableau3[[#This Row],[ID-CARTEVOIE]],Tableau2[ID-CARTEVOIE],0))</f>
        <v>ST</v>
      </c>
      <c r="AA442" s="81" t="s">
        <v>213</v>
      </c>
      <c r="AB442" s="226" t="str">
        <f>IFERROR(INDEX(Tableau5[Reserve],MATCH(Tableau3[[#This Row],[ID-SIG]],Tableau5[ID],0))&amp;"","")</f>
        <v/>
      </c>
      <c r="AC442" s="21"/>
      <c r="AD442" s="108" t="str">
        <f>INDEX(Tableau7[Repere],MATCH(Tableau3[[#This Row],[ID-API]],Tableau7[ID-API],0))&amp;""</f>
        <v>A3</v>
      </c>
      <c r="AE442" s="109" t="str">
        <f>INDEX(Tableau1[Repere-Rack],MATCH(Tableau3[[#This Row],[ID-RACK]],Tableau1[ID-RACK],0))&amp;""</f>
        <v>R1</v>
      </c>
      <c r="AF442" s="109" t="str">
        <f>INDEX(Tableau1[Repere-Slot],MATCH(Tableau3[[#This Row],[ID-SLOT]],Tableau1[ID-SLOT],0))&amp;""</f>
        <v>S8</v>
      </c>
      <c r="AG442" s="109" t="str">
        <f>INDEX(Tableau2[Repere-Voie],MATCH(Tableau3[[#This Row],[ID-VOIE]],Tableau2[ID-Voie],0))&amp;""</f>
        <v>v0</v>
      </c>
      <c r="AH442" s="72" t="str">
        <f>Tableau3[[#This Row],[ID-API]]&amp; "." &amp;Tableau3[[#This Row],[ID-RACK]]&amp; "." &amp;Tableau3[[#This Row],[ID-SLOT]]</f>
        <v>3.1.8</v>
      </c>
      <c r="AI442" s="72" t="str">
        <f>INDEX(Tableau1[Ref-Carte],MATCH(Tableau3[[#This Row],[ID-RRS]],Tableau1[ID-RRS],0))</f>
        <v>SDO0802</v>
      </c>
      <c r="AJ442" s="72" t="str">
        <f t="array" ref="AJ442">IFERROR(INDEX(Tableau2[TS],MATCH(1,(Tableau2[Ref-Carte]=Tableau3[[#This Row],[Ref-Carte2]])*(Tableau2[ID-Voie]=Tableau3[[#This Row],[ID-VOIE]]),0)),"")</f>
        <v>ST</v>
      </c>
      <c r="AK442" s="72" t="str">
        <f>IFERROR(INDEX(Tableau2[TS],SUMPRODUCT((Tableau2[Ref-Carte]=Tableau3[[#This Row],[Ref-Carte2]])*(Tableau2[ID-Voie]=Tableau3[[#This Row],[ID-VOIE]])*ROW(Tableau2[TS]))-ROW(Tableau2[#Headers])),"")</f>
        <v>ST</v>
      </c>
      <c r="AL442" s="72" t="str">
        <f>Tableau3[[#This Row],[Ref-Carte2]]&amp;"/"&amp;Tableau3[[#This Row],[ID-VOIE]]</f>
        <v>SDO0802/0</v>
      </c>
      <c r="AM442" s="77" t="str">
        <f>INDEX(Tableau2[Borne],MATCH(Tableau3[[#This Row],[ID-CARTEVOIE]],Tableau2[ID-CARTEVOIE],0))&amp;""</f>
        <v>0</v>
      </c>
      <c r="AN442" s="74" t="str">
        <f>Tableau3[[#This Row],[ID-API]]&amp;Tableau3[[#This Row],[ID-RACK]]&amp;Tableau3[[#This Row],[ID-SLOT]]&amp;Tableau3[[#This Row],[BORNE]]</f>
        <v>3180</v>
      </c>
      <c r="AO442" s="1"/>
    </row>
    <row r="443" spans="1:41" ht="20.100000000000001" customHeight="1" thickTop="1" thickBot="1">
      <c r="A443" s="68"/>
      <c r="B443" s="69" t="str">
        <f>IFERROR(INDEX(Tableau4[Date],MATCH($A443,Tableau4[EVO],0)),"")</f>
        <v/>
      </c>
      <c r="C443" s="68" t="str">
        <f>IFERROR(INDEX(Tableau4[Designation],MATCH($A443,Tableau4[EVO],0)),"")</f>
        <v/>
      </c>
      <c r="D443" s="68"/>
      <c r="E443" s="70">
        <v>81</v>
      </c>
      <c r="F443" s="71">
        <v>307</v>
      </c>
      <c r="G443" s="101" t="str">
        <f>INDEX(Tableau8[Att1],MATCH(Tableau3[[#This Row],[ID-INS]],Tableau8[ID],0))&amp;""</f>
        <v>V2</v>
      </c>
      <c r="H443" s="101" t="str">
        <f>INDEX(Tableau8[Att2],MATCH(Tableau3[[#This Row],[ID-INS]],Tableau8[ID],0))&amp;""</f>
        <v>F3</v>
      </c>
      <c r="I443" s="101" t="str">
        <f>INDEX(Tableau8[Att3],MATCH(Tableau3[[#This Row],[ID-INS]],Tableau8[ID],0))&amp;""</f>
        <v>Feu F3</v>
      </c>
      <c r="J443" s="101"/>
      <c r="K443" s="167" t="str">
        <f>INDEX(Tableau8[Nom du modele],MATCH(Tableau3[[#This Row],[ID-INS]],Tableau8[ID],0))&amp;""</f>
        <v>FeuOuvV</v>
      </c>
      <c r="L443" s="99" t="str">
        <f>INDEX(Tableau5[Att1],MATCH(Tableau3[[#This Row],[ID-SIG]],Tableau5[ID],0))&amp;""</f>
        <v>Feu_Cmd</v>
      </c>
      <c r="M443" s="99" t="str">
        <f>INDEX(Tableau5[Att2],MATCH(Tableau3[[#This Row],[ID-SIG]],Tableau5[ID],0))&amp;""</f>
        <v/>
      </c>
      <c r="N443" s="99" t="str">
        <f>INDEX(Tableau5[Att3],MATCH(Tableau3[[#This Row],[ID-SIG]],Tableau5[ID],0))&amp;""</f>
        <v/>
      </c>
      <c r="O443" s="99"/>
      <c r="P443" s="99" t="str">
        <f>INDEX(Tableau5[Description],MATCH(Tableau3[[#This Row],[ID-SIG]],Tableau5[ID],0))</f>
        <v xml:space="preserve">Commande Feu </v>
      </c>
      <c r="Q443" s="99"/>
      <c r="R443" s="103" t="str">
        <f>Tableau3[[#This Row],[Description]]</f>
        <v xml:space="preserve">Commande Feu </v>
      </c>
      <c r="U443" s="87">
        <v>3</v>
      </c>
      <c r="V443" s="87">
        <v>1</v>
      </c>
      <c r="W443" s="87">
        <v>8</v>
      </c>
      <c r="X443" s="87">
        <v>1</v>
      </c>
      <c r="Y443" s="41"/>
      <c r="Z443" s="165" t="str">
        <f>INDEX(Tableau2[TS],MATCH(Tableau3[[#This Row],[ID-CARTEVOIE]],Tableau2[ID-CARTEVOIE],0))</f>
        <v>ST</v>
      </c>
      <c r="AA443" s="53" t="s">
        <v>213</v>
      </c>
      <c r="AB443" s="223" t="str">
        <f>IFERROR(INDEX(Tableau5[Reserve],MATCH(Tableau3[[#This Row],[ID-SIG]],Tableau5[ID],0))&amp;"","")</f>
        <v/>
      </c>
      <c r="AC443" s="21"/>
      <c r="AD443" s="108" t="str">
        <f>INDEX(Tableau7[Repere],MATCH(Tableau3[[#This Row],[ID-API]],Tableau7[ID-API],0))&amp;""</f>
        <v>A3</v>
      </c>
      <c r="AE443" s="108" t="str">
        <f>INDEX(Tableau1[Repere-Rack],MATCH(Tableau3[[#This Row],[ID-RACK]],Tableau1[ID-RACK],0))&amp;""</f>
        <v>R1</v>
      </c>
      <c r="AF443" s="108" t="str">
        <f>INDEX(Tableau1[Repere-Slot],MATCH(Tableau3[[#This Row],[ID-SLOT]],Tableau1[ID-SLOT],0))&amp;""</f>
        <v>S8</v>
      </c>
      <c r="AG443" s="108" t="str">
        <f>INDEX(Tableau2[Repere-Voie],MATCH(Tableau3[[#This Row],[ID-VOIE]],Tableau2[ID-Voie],0))&amp;""</f>
        <v>v1</v>
      </c>
      <c r="AH443" s="72" t="str">
        <f>Tableau3[[#This Row],[ID-API]]&amp; "." &amp;Tableau3[[#This Row],[ID-RACK]]&amp; "." &amp;Tableau3[[#This Row],[ID-SLOT]]</f>
        <v>3.1.8</v>
      </c>
      <c r="AI443" s="72" t="str">
        <f>INDEX(Tableau1[Ref-Carte],MATCH(Tableau3[[#This Row],[ID-RRS]],Tableau1[ID-RRS],0))</f>
        <v>SDO0802</v>
      </c>
      <c r="AJ443" s="72" t="str">
        <f t="array" ref="AJ443">IFERROR(INDEX(Tableau2[TS],MATCH(1,(Tableau2[Ref-Carte]=Tableau3[[#This Row],[Ref-Carte2]])*(Tableau2[ID-Voie]=Tableau3[[#This Row],[ID-VOIE]]),0)),"")</f>
        <v>ST</v>
      </c>
      <c r="AK443" s="72" t="str">
        <f>IFERROR(INDEX(Tableau2[TS],SUMPRODUCT((Tableau2[Ref-Carte]=Tableau3[[#This Row],[Ref-Carte2]])*(Tableau2[ID-Voie]=Tableau3[[#This Row],[ID-VOIE]])*ROW(Tableau2[TS]))-ROW(Tableau2[#Headers])),"")</f>
        <v>ST</v>
      </c>
      <c r="AL443" s="72" t="str">
        <f>Tableau3[[#This Row],[Ref-Carte2]]&amp;"/"&amp;Tableau3[[#This Row],[ID-VOIE]]</f>
        <v>SDO0802/1</v>
      </c>
      <c r="AM443" s="73" t="str">
        <f>INDEX(Tableau2[Borne],MATCH(Tableau3[[#This Row],[ID-CARTEVOIE]],Tableau2[ID-CARTEVOIE],0))&amp;""</f>
        <v>1</v>
      </c>
      <c r="AN443" s="74" t="str">
        <f>Tableau3[[#This Row],[ID-API]]&amp;Tableau3[[#This Row],[ID-RACK]]&amp;Tableau3[[#This Row],[ID-SLOT]]&amp;Tableau3[[#This Row],[BORNE]]</f>
        <v>3181</v>
      </c>
      <c r="AO443" s="1"/>
    </row>
    <row r="444" spans="1:41" ht="20.100000000000001" customHeight="1" thickTop="1" thickBot="1">
      <c r="A444" s="68"/>
      <c r="B444" s="69" t="str">
        <f>IFERROR(INDEX(Tableau4[Date],MATCH($A444,Tableau4[EVO],0)),"")</f>
        <v/>
      </c>
      <c r="C444" s="68" t="str">
        <f>IFERROR(INDEX(Tableau4[Designation],MATCH($A444,Tableau4[EVO],0)),"")</f>
        <v/>
      </c>
      <c r="D444" s="68"/>
      <c r="E444" s="70">
        <v>84</v>
      </c>
      <c r="F444" s="71">
        <v>313</v>
      </c>
      <c r="G444" s="101" t="str">
        <f>INDEX(Tableau8[Att1],MATCH(Tableau3[[#This Row],[ID-INS]],Tableau8[ID],0))&amp;""</f>
        <v>V2</v>
      </c>
      <c r="H444" s="101" t="str">
        <f>INDEX(Tableau8[Att2],MATCH(Tableau3[[#This Row],[ID-INS]],Tableau8[ID],0))&amp;""</f>
        <v>F6</v>
      </c>
      <c r="I444" s="101" t="str">
        <f>INDEX(Tableau8[Att3],MATCH(Tableau3[[#This Row],[ID-INS]],Tableau8[ID],0))&amp;""</f>
        <v>Feu F6</v>
      </c>
      <c r="J444" s="101"/>
      <c r="K444" s="167" t="str">
        <f>INDEX(Tableau8[Nom du modele],MATCH(Tableau3[[#This Row],[ID-INS]],Tableau8[ID],0))&amp;""</f>
        <v>FeuBi_1</v>
      </c>
      <c r="L444" s="99" t="str">
        <f>INDEX(Tableau5[Att1],MATCH(Tableau3[[#This Row],[ID-SIG]],Tableau5[ID],0))&amp;""</f>
        <v>FeuV_Cmd</v>
      </c>
      <c r="M444" s="99" t="str">
        <f>INDEX(Tableau5[Att2],MATCH(Tableau3[[#This Row],[ID-SIG]],Tableau5[ID],0))&amp;""</f>
        <v/>
      </c>
      <c r="N444" s="99" t="str">
        <f>INDEX(Tableau5[Att3],MATCH(Tableau3[[#This Row],[ID-SIG]],Tableau5[ID],0))&amp;""</f>
        <v/>
      </c>
      <c r="O444" s="99"/>
      <c r="P444" s="99" t="str">
        <f>INDEX(Tableau5[Description],MATCH(Tableau3[[#This Row],[ID-SIG]],Tableau5[ID],0))</f>
        <v>Commande Feu Vert</v>
      </c>
      <c r="Q444" s="99"/>
      <c r="R444" s="103" t="str">
        <f>Tableau3[[#This Row],[Description]]</f>
        <v>Commande Feu Vert</v>
      </c>
      <c r="U444" s="87">
        <v>3</v>
      </c>
      <c r="V444" s="87">
        <v>1</v>
      </c>
      <c r="W444" s="87">
        <v>8</v>
      </c>
      <c r="X444" s="87">
        <v>2</v>
      </c>
      <c r="Y444" s="41"/>
      <c r="Z444" s="165" t="str">
        <f>INDEX(Tableau2[TS],MATCH(Tableau3[[#This Row],[ID-CARTEVOIE]],Tableau2[ID-CARTEVOIE],0))</f>
        <v>ST</v>
      </c>
      <c r="AA444" s="53" t="s">
        <v>213</v>
      </c>
      <c r="AB444" s="223" t="str">
        <f>IFERROR(INDEX(Tableau5[Reserve],MATCH(Tableau3[[#This Row],[ID-SIG]],Tableau5[ID],0))&amp;"","")</f>
        <v/>
      </c>
      <c r="AC444" s="21"/>
      <c r="AD444" s="108" t="str">
        <f>INDEX(Tableau7[Repere],MATCH(Tableau3[[#This Row],[ID-API]],Tableau7[ID-API],0))&amp;""</f>
        <v>A3</v>
      </c>
      <c r="AE444" s="108" t="str">
        <f>INDEX(Tableau1[Repere-Rack],MATCH(Tableau3[[#This Row],[ID-RACK]],Tableau1[ID-RACK],0))&amp;""</f>
        <v>R1</v>
      </c>
      <c r="AF444" s="108" t="str">
        <f>INDEX(Tableau1[Repere-Slot],MATCH(Tableau3[[#This Row],[ID-SLOT]],Tableau1[ID-SLOT],0))&amp;""</f>
        <v>S8</v>
      </c>
      <c r="AG444" s="108" t="str">
        <f>INDEX(Tableau2[Repere-Voie],MATCH(Tableau3[[#This Row],[ID-VOIE]],Tableau2[ID-Voie],0))&amp;""</f>
        <v>v2</v>
      </c>
      <c r="AH444" s="72" t="str">
        <f>Tableau3[[#This Row],[ID-API]]&amp; "." &amp;Tableau3[[#This Row],[ID-RACK]]&amp; "." &amp;Tableau3[[#This Row],[ID-SLOT]]</f>
        <v>3.1.8</v>
      </c>
      <c r="AI444" s="72" t="str">
        <f>INDEX(Tableau1[Ref-Carte],MATCH(Tableau3[[#This Row],[ID-RRS]],Tableau1[ID-RRS],0))</f>
        <v>SDO0802</v>
      </c>
      <c r="AJ444" s="72" t="str">
        <f t="array" ref="AJ444">IFERROR(INDEX(Tableau2[TS],MATCH(1,(Tableau2[Ref-Carte]=Tableau3[[#This Row],[Ref-Carte2]])*(Tableau2[ID-Voie]=Tableau3[[#This Row],[ID-VOIE]]),0)),"")</f>
        <v>ST</v>
      </c>
      <c r="AK444" s="72" t="str">
        <f>IFERROR(INDEX(Tableau2[TS],SUMPRODUCT((Tableau2[Ref-Carte]=Tableau3[[#This Row],[Ref-Carte2]])*(Tableau2[ID-Voie]=Tableau3[[#This Row],[ID-VOIE]])*ROW(Tableau2[TS]))-ROW(Tableau2[#Headers])),"")</f>
        <v>ST</v>
      </c>
      <c r="AL444" s="72" t="str">
        <f>Tableau3[[#This Row],[Ref-Carte2]]&amp;"/"&amp;Tableau3[[#This Row],[ID-VOIE]]</f>
        <v>SDO0802/2</v>
      </c>
      <c r="AM444" s="73" t="str">
        <f>INDEX(Tableau2[Borne],MATCH(Tableau3[[#This Row],[ID-CARTEVOIE]],Tableau2[ID-CARTEVOIE],0))&amp;""</f>
        <v>2</v>
      </c>
      <c r="AN444" s="74" t="str">
        <f>Tableau3[[#This Row],[ID-API]]&amp;Tableau3[[#This Row],[ID-RACK]]&amp;Tableau3[[#This Row],[ID-SLOT]]&amp;Tableau3[[#This Row],[BORNE]]</f>
        <v>3182</v>
      </c>
      <c r="AO444" s="1"/>
    </row>
    <row r="445" spans="1:41" ht="20.100000000000001" customHeight="1" thickTop="1" thickBot="1">
      <c r="A445" s="68"/>
      <c r="B445" s="69" t="str">
        <f>IFERROR(INDEX(Tableau4[Date],MATCH($A445,Tableau4[EVO],0)),"")</f>
        <v/>
      </c>
      <c r="C445" s="68" t="str">
        <f>IFERROR(INDEX(Tableau4[Designation],MATCH($A445,Tableau4[EVO],0)),"")</f>
        <v/>
      </c>
      <c r="D445" s="68"/>
      <c r="E445" s="70">
        <v>88</v>
      </c>
      <c r="F445" s="71">
        <v>309</v>
      </c>
      <c r="G445" s="101" t="str">
        <f>INDEX(Tableau8[Att1],MATCH(Tableau3[[#This Row],[ID-INS]],Tableau8[ID],0))&amp;""</f>
        <v>V2</v>
      </c>
      <c r="H445" s="101" t="str">
        <f>INDEX(Tableau8[Att2],MATCH(Tableau3[[#This Row],[ID-INS]],Tableau8[ID],0))&amp;""</f>
        <v>F10</v>
      </c>
      <c r="I445" s="101" t="str">
        <f>INDEX(Tableau8[Att3],MATCH(Tableau3[[#This Row],[ID-INS]],Tableau8[ID],0))&amp;""</f>
        <v>Feu F10</v>
      </c>
      <c r="J445" s="101"/>
      <c r="K445" s="167" t="str">
        <f>INDEX(Tableau8[Nom du modele],MATCH(Tableau3[[#This Row],[ID-INS]],Tableau8[ID],0))&amp;""</f>
        <v>FeuBiCora</v>
      </c>
      <c r="L445" s="99" t="str">
        <f>INDEX(Tableau5[Att1],MATCH(Tableau3[[#This Row],[ID-SIG]],Tableau5[ID],0))&amp;""</f>
        <v>FeuO_Cmd</v>
      </c>
      <c r="M445" s="99" t="str">
        <f>INDEX(Tableau5[Att2],MATCH(Tableau3[[#This Row],[ID-SIG]],Tableau5[ID],0))&amp;""</f>
        <v/>
      </c>
      <c r="N445" s="99" t="str">
        <f>INDEX(Tableau5[Att3],MATCH(Tableau3[[#This Row],[ID-SIG]],Tableau5[ID],0))&amp;""</f>
        <v/>
      </c>
      <c r="O445" s="99"/>
      <c r="P445" s="99" t="str">
        <f>INDEX(Tableau5[Description],MATCH(Tableau3[[#This Row],[ID-SIG]],Tableau5[ID],0))</f>
        <v>Commande Feu Orange</v>
      </c>
      <c r="Q445" s="99"/>
      <c r="R445" s="103" t="str">
        <f>Tableau3[[#This Row],[Description]]</f>
        <v>Commande Feu Orange</v>
      </c>
      <c r="U445" s="87">
        <v>3</v>
      </c>
      <c r="V445" s="87">
        <v>1</v>
      </c>
      <c r="W445" s="87">
        <v>8</v>
      </c>
      <c r="X445" s="87">
        <v>3</v>
      </c>
      <c r="Y445" s="41"/>
      <c r="Z445" s="165" t="str">
        <f>INDEX(Tableau2[TS],MATCH(Tableau3[[#This Row],[ID-CARTEVOIE]],Tableau2[ID-CARTEVOIE],0))</f>
        <v>ST</v>
      </c>
      <c r="AA445" s="53" t="s">
        <v>213</v>
      </c>
      <c r="AB445" s="223" t="str">
        <f>IFERROR(INDEX(Tableau5[Reserve],MATCH(Tableau3[[#This Row],[ID-SIG]],Tableau5[ID],0))&amp;"","")</f>
        <v/>
      </c>
      <c r="AC445" s="21"/>
      <c r="AD445" s="108" t="str">
        <f>INDEX(Tableau7[Repere],MATCH(Tableau3[[#This Row],[ID-API]],Tableau7[ID-API],0))&amp;""</f>
        <v>A3</v>
      </c>
      <c r="AE445" s="108" t="str">
        <f>INDEX(Tableau1[Repere-Rack],MATCH(Tableau3[[#This Row],[ID-RACK]],Tableau1[ID-RACK],0))&amp;""</f>
        <v>R1</v>
      </c>
      <c r="AF445" s="108" t="str">
        <f>INDEX(Tableau1[Repere-Slot],MATCH(Tableau3[[#This Row],[ID-SLOT]],Tableau1[ID-SLOT],0))&amp;""</f>
        <v>S8</v>
      </c>
      <c r="AG445" s="108" t="str">
        <f>INDEX(Tableau2[Repere-Voie],MATCH(Tableau3[[#This Row],[ID-VOIE]],Tableau2[ID-Voie],0))&amp;""</f>
        <v>v3</v>
      </c>
      <c r="AH445" s="72" t="str">
        <f>Tableau3[[#This Row],[ID-API]]&amp; "." &amp;Tableau3[[#This Row],[ID-RACK]]&amp; "." &amp;Tableau3[[#This Row],[ID-SLOT]]</f>
        <v>3.1.8</v>
      </c>
      <c r="AI445" s="72" t="str">
        <f>INDEX(Tableau1[Ref-Carte],MATCH(Tableau3[[#This Row],[ID-RRS]],Tableau1[ID-RRS],0))</f>
        <v>SDO0802</v>
      </c>
      <c r="AJ445" s="72" t="str">
        <f t="array" ref="AJ445">IFERROR(INDEX(Tableau2[TS],MATCH(1,(Tableau2[Ref-Carte]=Tableau3[[#This Row],[Ref-Carte2]])*(Tableau2[ID-Voie]=Tableau3[[#This Row],[ID-VOIE]]),0)),"")</f>
        <v>ST</v>
      </c>
      <c r="AK445" s="72" t="str">
        <f>IFERROR(INDEX(Tableau2[TS],SUMPRODUCT((Tableau2[Ref-Carte]=Tableau3[[#This Row],[Ref-Carte2]])*(Tableau2[ID-Voie]=Tableau3[[#This Row],[ID-VOIE]])*ROW(Tableau2[TS]))-ROW(Tableau2[#Headers])),"")</f>
        <v>ST</v>
      </c>
      <c r="AL445" s="72" t="str">
        <f>Tableau3[[#This Row],[Ref-Carte2]]&amp;"/"&amp;Tableau3[[#This Row],[ID-VOIE]]</f>
        <v>SDO0802/3</v>
      </c>
      <c r="AM445" s="73" t="str">
        <f>INDEX(Tableau2[Borne],MATCH(Tableau3[[#This Row],[ID-CARTEVOIE]],Tableau2[ID-CARTEVOIE],0))&amp;""</f>
        <v>3</v>
      </c>
      <c r="AN445" s="74" t="str">
        <f>Tableau3[[#This Row],[ID-API]]&amp;Tableau3[[#This Row],[ID-RACK]]&amp;Tableau3[[#This Row],[ID-SLOT]]&amp;Tableau3[[#This Row],[BORNE]]</f>
        <v>3183</v>
      </c>
      <c r="AO445" s="1"/>
    </row>
    <row r="446" spans="1:41" ht="20.100000000000001" customHeight="1" thickTop="1" thickBot="1">
      <c r="A446" s="68"/>
      <c r="B446" s="69" t="str">
        <f>IFERROR(INDEX(Tableau4[Date],MATCH($A446,Tableau4[EVO],0)),"")</f>
        <v/>
      </c>
      <c r="C446" s="68" t="str">
        <f>IFERROR(INDEX(Tableau4[Designation],MATCH($A446,Tableau4[EVO],0)),"")</f>
        <v/>
      </c>
      <c r="D446" s="68"/>
      <c r="E446" s="70">
        <v>88</v>
      </c>
      <c r="F446" s="71">
        <v>310</v>
      </c>
      <c r="G446" s="101" t="str">
        <f>INDEX(Tableau8[Att1],MATCH(Tableau3[[#This Row],[ID-INS]],Tableau8[ID],0))&amp;""</f>
        <v>V2</v>
      </c>
      <c r="H446" s="101" t="str">
        <f>INDEX(Tableau8[Att2],MATCH(Tableau3[[#This Row],[ID-INS]],Tableau8[ID],0))&amp;""</f>
        <v>F10</v>
      </c>
      <c r="I446" s="101" t="str">
        <f>INDEX(Tableau8[Att3],MATCH(Tableau3[[#This Row],[ID-INS]],Tableau8[ID],0))&amp;""</f>
        <v>Feu F10</v>
      </c>
      <c r="J446" s="101"/>
      <c r="K446" s="167" t="str">
        <f>INDEX(Tableau8[Nom du modele],MATCH(Tableau3[[#This Row],[ID-INS]],Tableau8[ID],0))&amp;""</f>
        <v>FeuBiCora</v>
      </c>
      <c r="L446" s="99" t="str">
        <f>INDEX(Tableau5[Att1],MATCH(Tableau3[[#This Row],[ID-SIG]],Tableau5[ID],0))&amp;""</f>
        <v>FeuR_Cmd</v>
      </c>
      <c r="M446" s="99" t="str">
        <f>INDEX(Tableau5[Att2],MATCH(Tableau3[[#This Row],[ID-SIG]],Tableau5[ID],0))&amp;""</f>
        <v/>
      </c>
      <c r="N446" s="99" t="str">
        <f>INDEX(Tableau5[Att3],MATCH(Tableau3[[#This Row],[ID-SIG]],Tableau5[ID],0))&amp;""</f>
        <v/>
      </c>
      <c r="O446" s="99"/>
      <c r="P446" s="99" t="str">
        <f>INDEX(Tableau5[Description],MATCH(Tableau3[[#This Row],[ID-SIG]],Tableau5[ID],0))</f>
        <v>Commande Feu Rouge</v>
      </c>
      <c r="Q446" s="99"/>
      <c r="R446" s="103" t="str">
        <f>Tableau3[[#This Row],[Description]]</f>
        <v>Commande Feu Rouge</v>
      </c>
      <c r="U446" s="87">
        <v>3</v>
      </c>
      <c r="V446" s="87">
        <v>1</v>
      </c>
      <c r="W446" s="87">
        <v>8</v>
      </c>
      <c r="X446" s="87">
        <v>4</v>
      </c>
      <c r="Y446" s="41"/>
      <c r="Z446" s="165" t="str">
        <f>INDEX(Tableau2[TS],MATCH(Tableau3[[#This Row],[ID-CARTEVOIE]],Tableau2[ID-CARTEVOIE],0))</f>
        <v>ST</v>
      </c>
      <c r="AA446" s="53" t="s">
        <v>213</v>
      </c>
      <c r="AB446" s="223" t="str">
        <f>IFERROR(INDEX(Tableau5[Reserve],MATCH(Tableau3[[#This Row],[ID-SIG]],Tableau5[ID],0))&amp;"","")</f>
        <v/>
      </c>
      <c r="AC446" s="21"/>
      <c r="AD446" s="108" t="str">
        <f>INDEX(Tableau7[Repere],MATCH(Tableau3[[#This Row],[ID-API]],Tableau7[ID-API],0))&amp;""</f>
        <v>A3</v>
      </c>
      <c r="AE446" s="108" t="str">
        <f>INDEX(Tableau1[Repere-Rack],MATCH(Tableau3[[#This Row],[ID-RACK]],Tableau1[ID-RACK],0))&amp;""</f>
        <v>R1</v>
      </c>
      <c r="AF446" s="108" t="str">
        <f>INDEX(Tableau1[Repere-Slot],MATCH(Tableau3[[#This Row],[ID-SLOT]],Tableau1[ID-SLOT],0))&amp;""</f>
        <v>S8</v>
      </c>
      <c r="AG446" s="108" t="str">
        <f>INDEX(Tableau2[Repere-Voie],MATCH(Tableau3[[#This Row],[ID-VOIE]],Tableau2[ID-Voie],0))&amp;""</f>
        <v>v4</v>
      </c>
      <c r="AH446" s="72" t="str">
        <f>Tableau3[[#This Row],[ID-API]]&amp; "." &amp;Tableau3[[#This Row],[ID-RACK]]&amp; "." &amp;Tableau3[[#This Row],[ID-SLOT]]</f>
        <v>3.1.8</v>
      </c>
      <c r="AI446" s="72" t="str">
        <f>INDEX(Tableau1[Ref-Carte],MATCH(Tableau3[[#This Row],[ID-RRS]],Tableau1[ID-RRS],0))</f>
        <v>SDO0802</v>
      </c>
      <c r="AJ446" s="72" t="str">
        <f t="array" ref="AJ446">IFERROR(INDEX(Tableau2[TS],MATCH(1,(Tableau2[Ref-Carte]=Tableau3[[#This Row],[Ref-Carte2]])*(Tableau2[ID-Voie]=Tableau3[[#This Row],[ID-VOIE]]),0)),"")</f>
        <v>ST</v>
      </c>
      <c r="AK446" s="72" t="str">
        <f>IFERROR(INDEX(Tableau2[TS],SUMPRODUCT((Tableau2[Ref-Carte]=Tableau3[[#This Row],[Ref-Carte2]])*(Tableau2[ID-Voie]=Tableau3[[#This Row],[ID-VOIE]])*ROW(Tableau2[TS]))-ROW(Tableau2[#Headers])),"")</f>
        <v>ST</v>
      </c>
      <c r="AL446" s="72" t="str">
        <f>Tableau3[[#This Row],[Ref-Carte2]]&amp;"/"&amp;Tableau3[[#This Row],[ID-VOIE]]</f>
        <v>SDO0802/4</v>
      </c>
      <c r="AM446" s="73" t="str">
        <f>INDEX(Tableau2[Borne],MATCH(Tableau3[[#This Row],[ID-CARTEVOIE]],Tableau2[ID-CARTEVOIE],0))&amp;""</f>
        <v>4</v>
      </c>
      <c r="AN446" s="74" t="str">
        <f>Tableau3[[#This Row],[ID-API]]&amp;Tableau3[[#This Row],[ID-RACK]]&amp;Tableau3[[#This Row],[ID-SLOT]]&amp;Tableau3[[#This Row],[BORNE]]</f>
        <v>3184</v>
      </c>
      <c r="AO446" s="1"/>
    </row>
    <row r="447" spans="1:41" ht="20.100000000000001" customHeight="1" thickTop="1" thickBot="1">
      <c r="A447" s="68"/>
      <c r="B447" s="69" t="str">
        <f>IFERROR(INDEX(Tableau4[Date],MATCH($A447,Tableau4[EVO],0)),"")</f>
        <v/>
      </c>
      <c r="C447" s="68" t="str">
        <f>IFERROR(INDEX(Tableau4[Designation],MATCH($A447,Tableau4[EVO],0)),"")</f>
        <v/>
      </c>
      <c r="D447" s="68"/>
      <c r="E447" s="70">
        <v>91</v>
      </c>
      <c r="F447" s="71">
        <v>309</v>
      </c>
      <c r="G447" s="101" t="str">
        <f>INDEX(Tableau8[Att1],MATCH(Tableau3[[#This Row],[ID-INS]],Tableau8[ID],0))&amp;""</f>
        <v>V2</v>
      </c>
      <c r="H447" s="101" t="str">
        <f>INDEX(Tableau8[Att2],MATCH(Tableau3[[#This Row],[ID-INS]],Tableau8[ID],0))&amp;""</f>
        <v>F18</v>
      </c>
      <c r="I447" s="101" t="str">
        <f>INDEX(Tableau8[Att3],MATCH(Tableau3[[#This Row],[ID-INS]],Tableau8[ID],0))&amp;""</f>
        <v>Feu F18</v>
      </c>
      <c r="J447" s="101"/>
      <c r="K447" s="167" t="str">
        <f>INDEX(Tableau8[Nom du modele],MATCH(Tableau3[[#This Row],[ID-INS]],Tableau8[ID],0))&amp;""</f>
        <v>FeuBiCora</v>
      </c>
      <c r="L447" s="99" t="str">
        <f>INDEX(Tableau5[Att1],MATCH(Tableau3[[#This Row],[ID-SIG]],Tableau5[ID],0))&amp;""</f>
        <v>FeuO_Cmd</v>
      </c>
      <c r="M447" s="99" t="str">
        <f>INDEX(Tableau5[Att2],MATCH(Tableau3[[#This Row],[ID-SIG]],Tableau5[ID],0))&amp;""</f>
        <v/>
      </c>
      <c r="N447" s="99" t="str">
        <f>INDEX(Tableau5[Att3],MATCH(Tableau3[[#This Row],[ID-SIG]],Tableau5[ID],0))&amp;""</f>
        <v/>
      </c>
      <c r="O447" s="99"/>
      <c r="P447" s="99" t="str">
        <f>INDEX(Tableau5[Description],MATCH(Tableau3[[#This Row],[ID-SIG]],Tableau5[ID],0))</f>
        <v>Commande Feu Orange</v>
      </c>
      <c r="Q447" s="99"/>
      <c r="R447" s="103" t="str">
        <f>Tableau3[[#This Row],[Description]]</f>
        <v>Commande Feu Orange</v>
      </c>
      <c r="U447" s="87">
        <v>3</v>
      </c>
      <c r="V447" s="87">
        <v>1</v>
      </c>
      <c r="W447" s="87">
        <v>8</v>
      </c>
      <c r="X447" s="87">
        <v>5</v>
      </c>
      <c r="Y447" s="41"/>
      <c r="Z447" s="165" t="str">
        <f>INDEX(Tableau2[TS],MATCH(Tableau3[[#This Row],[ID-CARTEVOIE]],Tableau2[ID-CARTEVOIE],0))</f>
        <v>ST</v>
      </c>
      <c r="AA447" s="53" t="s">
        <v>213</v>
      </c>
      <c r="AB447" s="223" t="str">
        <f>IFERROR(INDEX(Tableau5[Reserve],MATCH(Tableau3[[#This Row],[ID-SIG]],Tableau5[ID],0))&amp;"","")</f>
        <v/>
      </c>
      <c r="AC447" s="21"/>
      <c r="AD447" s="108" t="str">
        <f>INDEX(Tableau7[Repere],MATCH(Tableau3[[#This Row],[ID-API]],Tableau7[ID-API],0))&amp;""</f>
        <v>A3</v>
      </c>
      <c r="AE447" s="108" t="str">
        <f>INDEX(Tableau1[Repere-Rack],MATCH(Tableau3[[#This Row],[ID-RACK]],Tableau1[ID-RACK],0))&amp;""</f>
        <v>R1</v>
      </c>
      <c r="AF447" s="108" t="str">
        <f>INDEX(Tableau1[Repere-Slot],MATCH(Tableau3[[#This Row],[ID-SLOT]],Tableau1[ID-SLOT],0))&amp;""</f>
        <v>S8</v>
      </c>
      <c r="AG447" s="108" t="str">
        <f>INDEX(Tableau2[Repere-Voie],MATCH(Tableau3[[#This Row],[ID-VOIE]],Tableau2[ID-Voie],0))&amp;""</f>
        <v>v5</v>
      </c>
      <c r="AH447" s="72" t="str">
        <f>Tableau3[[#This Row],[ID-API]]&amp; "." &amp;Tableau3[[#This Row],[ID-RACK]]&amp; "." &amp;Tableau3[[#This Row],[ID-SLOT]]</f>
        <v>3.1.8</v>
      </c>
      <c r="AI447" s="72" t="str">
        <f>INDEX(Tableau1[Ref-Carte],MATCH(Tableau3[[#This Row],[ID-RRS]],Tableau1[ID-RRS],0))</f>
        <v>SDO0802</v>
      </c>
      <c r="AJ447" s="72" t="str">
        <f t="array" ref="AJ447">IFERROR(INDEX(Tableau2[TS],MATCH(1,(Tableau2[Ref-Carte]=Tableau3[[#This Row],[Ref-Carte2]])*(Tableau2[ID-Voie]=Tableau3[[#This Row],[ID-VOIE]]),0)),"")</f>
        <v>ST</v>
      </c>
      <c r="AK447" s="72" t="str">
        <f>IFERROR(INDEX(Tableau2[TS],SUMPRODUCT((Tableau2[Ref-Carte]=Tableau3[[#This Row],[Ref-Carte2]])*(Tableau2[ID-Voie]=Tableau3[[#This Row],[ID-VOIE]])*ROW(Tableau2[TS]))-ROW(Tableau2[#Headers])),"")</f>
        <v>ST</v>
      </c>
      <c r="AL447" s="72" t="str">
        <f>Tableau3[[#This Row],[Ref-Carte2]]&amp;"/"&amp;Tableau3[[#This Row],[ID-VOIE]]</f>
        <v>SDO0802/5</v>
      </c>
      <c r="AM447" s="73" t="str">
        <f>INDEX(Tableau2[Borne],MATCH(Tableau3[[#This Row],[ID-CARTEVOIE]],Tableau2[ID-CARTEVOIE],0))&amp;""</f>
        <v>5</v>
      </c>
      <c r="AN447" s="74" t="str">
        <f>Tableau3[[#This Row],[ID-API]]&amp;Tableau3[[#This Row],[ID-RACK]]&amp;Tableau3[[#This Row],[ID-SLOT]]&amp;Tableau3[[#This Row],[BORNE]]</f>
        <v>3185</v>
      </c>
      <c r="AO447" s="1"/>
    </row>
    <row r="448" spans="1:41" ht="20.100000000000001" customHeight="1" thickTop="1" thickBot="1">
      <c r="A448" s="68"/>
      <c r="B448" s="69" t="str">
        <f>IFERROR(INDEX(Tableau4[Date],MATCH($A448,Tableau4[EVO],0)),"")</f>
        <v/>
      </c>
      <c r="C448" s="68" t="str">
        <f>IFERROR(INDEX(Tableau4[Designation],MATCH($A448,Tableau4[EVO],0)),"")</f>
        <v/>
      </c>
      <c r="D448" s="68"/>
      <c r="E448" s="70">
        <v>91</v>
      </c>
      <c r="F448" s="71">
        <v>310</v>
      </c>
      <c r="G448" s="101" t="str">
        <f>INDEX(Tableau8[Att1],MATCH(Tableau3[[#This Row],[ID-INS]],Tableau8[ID],0))&amp;""</f>
        <v>V2</v>
      </c>
      <c r="H448" s="101" t="str">
        <f>INDEX(Tableau8[Att2],MATCH(Tableau3[[#This Row],[ID-INS]],Tableau8[ID],0))&amp;""</f>
        <v>F18</v>
      </c>
      <c r="I448" s="101" t="str">
        <f>INDEX(Tableau8[Att3],MATCH(Tableau3[[#This Row],[ID-INS]],Tableau8[ID],0))&amp;""</f>
        <v>Feu F18</v>
      </c>
      <c r="J448" s="101"/>
      <c r="K448" s="167" t="str">
        <f>INDEX(Tableau8[Nom du modele],MATCH(Tableau3[[#This Row],[ID-INS]],Tableau8[ID],0))&amp;""</f>
        <v>FeuBiCora</v>
      </c>
      <c r="L448" s="141" t="str">
        <f>INDEX(Tableau5[Att1],MATCH(Tableau3[[#This Row],[ID-SIG]],Tableau5[ID],0))&amp;""</f>
        <v>FeuR_Cmd</v>
      </c>
      <c r="M448" s="99" t="str">
        <f>INDEX(Tableau5[Att2],MATCH(Tableau3[[#This Row],[ID-SIG]],Tableau5[ID],0))&amp;""</f>
        <v/>
      </c>
      <c r="N448" s="99" t="str">
        <f>INDEX(Tableau5[Att3],MATCH(Tableau3[[#This Row],[ID-SIG]],Tableau5[ID],0))&amp;""</f>
        <v/>
      </c>
      <c r="O448" s="99"/>
      <c r="P448" s="141" t="str">
        <f>INDEX(Tableau5[Description],MATCH(Tableau3[[#This Row],[ID-SIG]],Tableau5[ID],0))</f>
        <v>Commande Feu Rouge</v>
      </c>
      <c r="Q448" s="99"/>
      <c r="R448" s="103" t="str">
        <f>Tableau3[[#This Row],[Description]]</f>
        <v>Commande Feu Rouge</v>
      </c>
      <c r="U448" s="87">
        <v>3</v>
      </c>
      <c r="V448" s="87">
        <v>1</v>
      </c>
      <c r="W448" s="87">
        <v>8</v>
      </c>
      <c r="X448" s="87">
        <v>6</v>
      </c>
      <c r="Y448" s="41"/>
      <c r="Z448" s="165" t="str">
        <f>INDEX(Tableau2[TS],MATCH(Tableau3[[#This Row],[ID-CARTEVOIE]],Tableau2[ID-CARTEVOIE],0))</f>
        <v>ST</v>
      </c>
      <c r="AA448" s="53" t="s">
        <v>213</v>
      </c>
      <c r="AB448" s="223" t="str">
        <f>IFERROR(INDEX(Tableau5[Reserve],MATCH(Tableau3[[#This Row],[ID-SIG]],Tableau5[ID],0))&amp;"","")</f>
        <v/>
      </c>
      <c r="AC448" s="21"/>
      <c r="AD448" s="108" t="str">
        <f>INDEX(Tableau7[Repere],MATCH(Tableau3[[#This Row],[ID-API]],Tableau7[ID-API],0))&amp;""</f>
        <v>A3</v>
      </c>
      <c r="AE448" s="108" t="str">
        <f>INDEX(Tableau1[Repere-Rack],MATCH(Tableau3[[#This Row],[ID-RACK]],Tableau1[ID-RACK],0))&amp;""</f>
        <v>R1</v>
      </c>
      <c r="AF448" s="108" t="str">
        <f>INDEX(Tableau1[Repere-Slot],MATCH(Tableau3[[#This Row],[ID-SLOT]],Tableau1[ID-SLOT],0))&amp;""</f>
        <v>S8</v>
      </c>
      <c r="AG448" s="108" t="str">
        <f>INDEX(Tableau2[Repere-Voie],MATCH(Tableau3[[#This Row],[ID-VOIE]],Tableau2[ID-Voie],0))&amp;""</f>
        <v>v6</v>
      </c>
      <c r="AH448" s="72" t="str">
        <f>Tableau3[[#This Row],[ID-API]]&amp; "." &amp;Tableau3[[#This Row],[ID-RACK]]&amp; "." &amp;Tableau3[[#This Row],[ID-SLOT]]</f>
        <v>3.1.8</v>
      </c>
      <c r="AI448" s="72" t="str">
        <f>INDEX(Tableau1[Ref-Carte],MATCH(Tableau3[[#This Row],[ID-RRS]],Tableau1[ID-RRS],0))</f>
        <v>SDO0802</v>
      </c>
      <c r="AJ448" s="72" t="str">
        <f t="array" ref="AJ448">IFERROR(INDEX(Tableau2[TS],MATCH(1,(Tableau2[Ref-Carte]=Tableau3[[#This Row],[Ref-Carte2]])*(Tableau2[ID-Voie]=Tableau3[[#This Row],[ID-VOIE]]),0)),"")</f>
        <v>ST</v>
      </c>
      <c r="AK448" s="72" t="str">
        <f>IFERROR(INDEX(Tableau2[TS],SUMPRODUCT((Tableau2[Ref-Carte]=Tableau3[[#This Row],[Ref-Carte2]])*(Tableau2[ID-Voie]=Tableau3[[#This Row],[ID-VOIE]])*ROW(Tableau2[TS]))-ROW(Tableau2[#Headers])),"")</f>
        <v>ST</v>
      </c>
      <c r="AL448" s="72" t="str">
        <f>Tableau3[[#This Row],[Ref-Carte2]]&amp;"/"&amp;Tableau3[[#This Row],[ID-VOIE]]</f>
        <v>SDO0802/6</v>
      </c>
      <c r="AM448" s="73" t="str">
        <f>INDEX(Tableau2[Borne],MATCH(Tableau3[[#This Row],[ID-CARTEVOIE]],Tableau2[ID-CARTEVOIE],0))&amp;""</f>
        <v>6</v>
      </c>
      <c r="AN448" s="74" t="str">
        <f>Tableau3[[#This Row],[ID-API]]&amp;Tableau3[[#This Row],[ID-RACK]]&amp;Tableau3[[#This Row],[ID-SLOT]]&amp;Tableau3[[#This Row],[BORNE]]</f>
        <v>3186</v>
      </c>
      <c r="AO448" s="1"/>
    </row>
    <row r="449" spans="1:41" ht="20.100000000000001" customHeight="1" thickTop="1" thickBot="1">
      <c r="A449" s="68"/>
      <c r="B449" s="69" t="str">
        <f>IFERROR(INDEX(Tableau4[Date],MATCH($A449,Tableau4[EVO],0)),"")</f>
        <v/>
      </c>
      <c r="C449" s="68" t="str">
        <f>IFERROR(INDEX(Tableau4[Designation],MATCH($A449,Tableau4[EVO],0)),"")</f>
        <v/>
      </c>
      <c r="D449" s="68"/>
      <c r="E449" s="70">
        <v>95</v>
      </c>
      <c r="F449" s="71">
        <v>317</v>
      </c>
      <c r="G449" s="101" t="str">
        <f>INDEX(Tableau8[Att1],MATCH(Tableau3[[#This Row],[ID-INS]],Tableau8[ID],0))&amp;""</f>
        <v>V2</v>
      </c>
      <c r="H449" s="101" t="str">
        <f>INDEX(Tableau8[Att2],MATCH(Tableau3[[#This Row],[ID-INS]],Tableau8[ID],0))&amp;""</f>
        <v>F15</v>
      </c>
      <c r="I449" s="101" t="str">
        <f>INDEX(Tableau8[Att3],MATCH(Tableau3[[#This Row],[ID-INS]],Tableau8[ID],0))&amp;""</f>
        <v>Feu F15</v>
      </c>
      <c r="J449" s="101"/>
      <c r="K449" s="167" t="str">
        <f>INDEX(Tableau8[Nom du modele],MATCH(Tableau3[[#This Row],[ID-INS]],Tableau8[ID],0))&amp;""</f>
        <v>FeuContrAleaVLPL1</v>
      </c>
      <c r="L449" s="99" t="str">
        <f>INDEX(Tableau5[Att1],MATCH(Tableau3[[#This Row],[ID-SIG]],Tableau5[ID],0))&amp;""</f>
        <v>FeuB_Cmd</v>
      </c>
      <c r="M449" s="99" t="str">
        <f>INDEX(Tableau5[Att2],MATCH(Tableau3[[#This Row],[ID-SIG]],Tableau5[ID],0))&amp;""</f>
        <v/>
      </c>
      <c r="N449" s="99" t="str">
        <f>INDEX(Tableau5[Att3],MATCH(Tableau3[[#This Row],[ID-SIG]],Tableau5[ID],0))&amp;""</f>
        <v/>
      </c>
      <c r="O449" s="99"/>
      <c r="P449" s="99" t="str">
        <f>INDEX(Tableau5[Description],MATCH(Tableau3[[#This Row],[ID-SIG]],Tableau5[ID],0))</f>
        <v>Commande Feu Blanc</v>
      </c>
      <c r="Q449" s="99"/>
      <c r="R449" s="103" t="str">
        <f>Tableau3[[#This Row],[Description]]</f>
        <v>Commande Feu Blanc</v>
      </c>
      <c r="U449" s="87">
        <v>3</v>
      </c>
      <c r="V449" s="87">
        <v>1</v>
      </c>
      <c r="W449" s="87">
        <v>8</v>
      </c>
      <c r="X449" s="87">
        <v>7</v>
      </c>
      <c r="Y449" s="41"/>
      <c r="Z449" s="165" t="str">
        <f>INDEX(Tableau2[TS],MATCH(Tableau3[[#This Row],[ID-CARTEVOIE]],Tableau2[ID-CARTEVOIE],0))</f>
        <v>ST</v>
      </c>
      <c r="AA449" s="53" t="s">
        <v>213</v>
      </c>
      <c r="AB449" s="223" t="str">
        <f>IFERROR(INDEX(Tableau5[Reserve],MATCH(Tableau3[[#This Row],[ID-SIG]],Tableau5[ID],0))&amp;"","")</f>
        <v/>
      </c>
      <c r="AC449" s="21"/>
      <c r="AD449" s="108" t="str">
        <f>INDEX(Tableau7[Repere],MATCH(Tableau3[[#This Row],[ID-API]],Tableau7[ID-API],0))&amp;""</f>
        <v>A3</v>
      </c>
      <c r="AE449" s="108" t="str">
        <f>INDEX(Tableau1[Repere-Rack],MATCH(Tableau3[[#This Row],[ID-RACK]],Tableau1[ID-RACK],0))&amp;""</f>
        <v>R1</v>
      </c>
      <c r="AF449" s="108" t="str">
        <f>INDEX(Tableau1[Repere-Slot],MATCH(Tableau3[[#This Row],[ID-SLOT]],Tableau1[ID-SLOT],0))&amp;""</f>
        <v>S8</v>
      </c>
      <c r="AG449" s="108" t="str">
        <f>INDEX(Tableau2[Repere-Voie],MATCH(Tableau3[[#This Row],[ID-VOIE]],Tableau2[ID-Voie],0))&amp;""</f>
        <v>v7</v>
      </c>
      <c r="AH449" s="72" t="str">
        <f>Tableau3[[#This Row],[ID-API]]&amp; "." &amp;Tableau3[[#This Row],[ID-RACK]]&amp; "." &amp;Tableau3[[#This Row],[ID-SLOT]]</f>
        <v>3.1.8</v>
      </c>
      <c r="AI449" s="72" t="str">
        <f>INDEX(Tableau1[Ref-Carte],MATCH(Tableau3[[#This Row],[ID-RRS]],Tableau1[ID-RRS],0))</f>
        <v>SDO0802</v>
      </c>
      <c r="AJ449" s="72" t="str">
        <f t="array" ref="AJ449">IFERROR(INDEX(Tableau2[TS],MATCH(1,(Tableau2[Ref-Carte]=Tableau3[[#This Row],[Ref-Carte2]])*(Tableau2[ID-Voie]=Tableau3[[#This Row],[ID-VOIE]]),0)),"")</f>
        <v>ST</v>
      </c>
      <c r="AK449" s="72" t="str">
        <f>IFERROR(INDEX(Tableau2[TS],SUMPRODUCT((Tableau2[Ref-Carte]=Tableau3[[#This Row],[Ref-Carte2]])*(Tableau2[ID-Voie]=Tableau3[[#This Row],[ID-VOIE]])*ROW(Tableau2[TS]))-ROW(Tableau2[#Headers])),"")</f>
        <v>ST</v>
      </c>
      <c r="AL449" s="72" t="str">
        <f>Tableau3[[#This Row],[Ref-Carte2]]&amp;"/"&amp;Tableau3[[#This Row],[ID-VOIE]]</f>
        <v>SDO0802/7</v>
      </c>
      <c r="AM449" s="73" t="str">
        <f>INDEX(Tableau2[Borne],MATCH(Tableau3[[#This Row],[ID-CARTEVOIE]],Tableau2[ID-CARTEVOIE],0))&amp;""</f>
        <v>7</v>
      </c>
      <c r="AN449" s="74" t="str">
        <f>Tableau3[[#This Row],[ID-API]]&amp;Tableau3[[#This Row],[ID-RACK]]&amp;Tableau3[[#This Row],[ID-SLOT]]&amp;Tableau3[[#This Row],[BORNE]]</f>
        <v>3187</v>
      </c>
      <c r="AO449" s="1"/>
    </row>
    <row r="450" spans="1:41" ht="20.100000000000001" customHeight="1" thickTop="1" thickBot="1">
      <c r="A450" s="68"/>
      <c r="B450" s="69" t="str">
        <f>IFERROR(INDEX(Tableau4[Date],MATCH($A450,Tableau4[EVO],0)),"")</f>
        <v/>
      </c>
      <c r="C450" s="68" t="str">
        <f>IFERROR(INDEX(Tableau4[Designation],MATCH($A450,Tableau4[EVO],0)),"")</f>
        <v/>
      </c>
      <c r="D450" s="68"/>
      <c r="E450" s="70">
        <v>95</v>
      </c>
      <c r="F450" s="71">
        <v>318</v>
      </c>
      <c r="G450" s="101" t="str">
        <f>INDEX(Tableau8[Att1],MATCH(Tableau3[[#This Row],[ID-INS]],Tableau8[ID],0))&amp;""</f>
        <v>V2</v>
      </c>
      <c r="H450" s="101" t="str">
        <f>INDEX(Tableau8[Att2],MATCH(Tableau3[[#This Row],[ID-INS]],Tableau8[ID],0))&amp;""</f>
        <v>F15</v>
      </c>
      <c r="I450" s="101" t="str">
        <f>INDEX(Tableau8[Att3],MATCH(Tableau3[[#This Row],[ID-INS]],Tableau8[ID],0))&amp;""</f>
        <v>Feu F15</v>
      </c>
      <c r="J450" s="101"/>
      <c r="K450" s="167" t="str">
        <f>INDEX(Tableau8[Nom du modele],MATCH(Tableau3[[#This Row],[ID-INS]],Tableau8[ID],0))&amp;""</f>
        <v>FeuContrAleaVLPL1</v>
      </c>
      <c r="L450" s="99" t="str">
        <f>INDEX(Tableau5[Att1],MATCH(Tableau3[[#This Row],[ID-SIG]],Tableau5[ID],0))&amp;""</f>
        <v>FeuR_Cmd</v>
      </c>
      <c r="M450" s="99" t="str">
        <f>INDEX(Tableau5[Att2],MATCH(Tableau3[[#This Row],[ID-SIG]],Tableau5[ID],0))&amp;""</f>
        <v/>
      </c>
      <c r="N450" s="99" t="str">
        <f>INDEX(Tableau5[Att3],MATCH(Tableau3[[#This Row],[ID-SIG]],Tableau5[ID],0))&amp;""</f>
        <v/>
      </c>
      <c r="O450" s="99"/>
      <c r="P450" s="99" t="str">
        <f>INDEX(Tableau5[Description],MATCH(Tableau3[[#This Row],[ID-SIG]],Tableau5[ID],0))</f>
        <v xml:space="preserve">Commande Feu Rouge </v>
      </c>
      <c r="Q450" s="99"/>
      <c r="R450" s="103" t="str">
        <f>Tableau3[[#This Row],[Description]]</f>
        <v xml:space="preserve">Commande Feu Rouge </v>
      </c>
      <c r="U450" s="87">
        <v>3</v>
      </c>
      <c r="V450" s="87">
        <v>1</v>
      </c>
      <c r="W450" s="87">
        <v>9</v>
      </c>
      <c r="X450" s="87">
        <v>0</v>
      </c>
      <c r="Y450" s="41"/>
      <c r="Z450" s="165" t="str">
        <f>INDEX(Tableau2[TS],MATCH(Tableau3[[#This Row],[ID-CARTEVOIE]],Tableau2[ID-CARTEVOIE],0))</f>
        <v>ST</v>
      </c>
      <c r="AA450" s="53" t="s">
        <v>213</v>
      </c>
      <c r="AB450" s="223" t="str">
        <f>IFERROR(INDEX(Tableau5[Reserve],MATCH(Tableau3[[#This Row],[ID-SIG]],Tableau5[ID],0))&amp;"","")</f>
        <v/>
      </c>
      <c r="AC450" s="21"/>
      <c r="AD450" s="108" t="str">
        <f>INDEX(Tableau7[Repere],MATCH(Tableau3[[#This Row],[ID-API]],Tableau7[ID-API],0))&amp;""</f>
        <v>A3</v>
      </c>
      <c r="AE450" s="108" t="str">
        <f>INDEX(Tableau1[Repere-Rack],MATCH(Tableau3[[#This Row],[ID-RACK]],Tableau1[ID-RACK],0))&amp;""</f>
        <v>R1</v>
      </c>
      <c r="AF450" s="108" t="str">
        <f>INDEX(Tableau1[Repere-Slot],MATCH(Tableau3[[#This Row],[ID-SLOT]],Tableau1[ID-SLOT],0))&amp;""</f>
        <v>S9</v>
      </c>
      <c r="AG450" s="108" t="str">
        <f>INDEX(Tableau2[Repere-Voie],MATCH(Tableau3[[#This Row],[ID-VOIE]],Tableau2[ID-Voie],0))&amp;""</f>
        <v>v0</v>
      </c>
      <c r="AH450" s="72" t="str">
        <f>Tableau3[[#This Row],[ID-API]]&amp; "." &amp;Tableau3[[#This Row],[ID-RACK]]&amp; "." &amp;Tableau3[[#This Row],[ID-SLOT]]</f>
        <v>3.1.9</v>
      </c>
      <c r="AI450" s="72" t="str">
        <f>INDEX(Tableau1[Ref-Carte],MATCH(Tableau3[[#This Row],[ID-RRS]],Tableau1[ID-RRS],0))</f>
        <v>SDO0802</v>
      </c>
      <c r="AJ450" s="72" t="str">
        <f t="array" ref="AJ450">IFERROR(INDEX(Tableau2[TS],MATCH(1,(Tableau2[Ref-Carte]=Tableau3[[#This Row],[Ref-Carte2]])*(Tableau2[ID-Voie]=Tableau3[[#This Row],[ID-VOIE]]),0)),"")</f>
        <v>ST</v>
      </c>
      <c r="AK450" s="72" t="str">
        <f>IFERROR(INDEX(Tableau2[TS],SUMPRODUCT((Tableau2[Ref-Carte]=Tableau3[[#This Row],[Ref-Carte2]])*(Tableau2[ID-Voie]=Tableau3[[#This Row],[ID-VOIE]])*ROW(Tableau2[TS]))-ROW(Tableau2[#Headers])),"")</f>
        <v>ST</v>
      </c>
      <c r="AL450" s="72" t="str">
        <f>Tableau3[[#This Row],[Ref-Carte2]]&amp;"/"&amp;Tableau3[[#This Row],[ID-VOIE]]</f>
        <v>SDO0802/0</v>
      </c>
      <c r="AM450" s="73" t="str">
        <f>INDEX(Tableau2[Borne],MATCH(Tableau3[[#This Row],[ID-CARTEVOIE]],Tableau2[ID-CARTEVOIE],0))&amp;""</f>
        <v>0</v>
      </c>
      <c r="AN450" s="74" t="str">
        <f>Tableau3[[#This Row],[ID-API]]&amp;Tableau3[[#This Row],[ID-RACK]]&amp;Tableau3[[#This Row],[ID-SLOT]]&amp;Tableau3[[#This Row],[BORNE]]</f>
        <v>3190</v>
      </c>
      <c r="AO450" s="1"/>
    </row>
    <row r="451" spans="1:41" ht="20.100000000000001" customHeight="1" thickTop="1" thickBot="1">
      <c r="A451" s="68"/>
      <c r="B451" s="69" t="str">
        <f>IFERROR(INDEX(Tableau4[Date],MATCH($A451,Tableau4[EVO],0)),"")</f>
        <v/>
      </c>
      <c r="C451" s="68" t="str">
        <f>IFERROR(INDEX(Tableau4[Designation],MATCH($A451,Tableau4[EVO],0)),"")</f>
        <v/>
      </c>
      <c r="D451" s="68"/>
      <c r="E451" s="70">
        <v>98</v>
      </c>
      <c r="F451" s="71">
        <v>307</v>
      </c>
      <c r="G451" s="101" t="str">
        <f>INDEX(Tableau8[Att1],MATCH(Tableau3[[#This Row],[ID-INS]],Tableau8[ID],0))&amp;""</f>
        <v>V2</v>
      </c>
      <c r="H451" s="101" t="str">
        <f>INDEX(Tableau8[Att2],MATCH(Tableau3[[#This Row],[ID-INS]],Tableau8[ID],0))&amp;""</f>
        <v>F23</v>
      </c>
      <c r="I451" s="101" t="str">
        <f>INDEX(Tableau8[Att3],MATCH(Tableau3[[#This Row],[ID-INS]],Tableau8[ID],0))&amp;""</f>
        <v>Feu F23</v>
      </c>
      <c r="J451" s="101"/>
      <c r="K451" s="167" t="str">
        <f>INDEX(Tableau8[Nom du modele],MATCH(Tableau3[[#This Row],[ID-INS]],Tableau8[ID],0))&amp;""</f>
        <v>FeuOuvV</v>
      </c>
      <c r="L451" s="99" t="str">
        <f>INDEX(Tableau5[Att1],MATCH(Tableau3[[#This Row],[ID-SIG]],Tableau5[ID],0))&amp;""</f>
        <v>Feu_Cmd</v>
      </c>
      <c r="M451" s="99" t="str">
        <f>INDEX(Tableau5[Att2],MATCH(Tableau3[[#This Row],[ID-SIG]],Tableau5[ID],0))&amp;""</f>
        <v/>
      </c>
      <c r="N451" s="99" t="str">
        <f>INDEX(Tableau5[Att3],MATCH(Tableau3[[#This Row],[ID-SIG]],Tableau5[ID],0))&amp;""</f>
        <v/>
      </c>
      <c r="O451" s="99"/>
      <c r="P451" s="99" t="str">
        <f>INDEX(Tableau5[Description],MATCH(Tableau3[[#This Row],[ID-SIG]],Tableau5[ID],0))</f>
        <v xml:space="preserve">Commande Feu </v>
      </c>
      <c r="Q451" s="99"/>
      <c r="R451" s="103" t="str">
        <f>Tableau3[[#This Row],[Description]]</f>
        <v xml:space="preserve">Commande Feu </v>
      </c>
      <c r="U451" s="87">
        <v>3</v>
      </c>
      <c r="V451" s="87">
        <v>1</v>
      </c>
      <c r="W451" s="87">
        <v>9</v>
      </c>
      <c r="X451" s="87">
        <v>1</v>
      </c>
      <c r="Y451" s="41"/>
      <c r="Z451" s="165" t="str">
        <f>INDEX(Tableau2[TS],MATCH(Tableau3[[#This Row],[ID-CARTEVOIE]],Tableau2[ID-CARTEVOIE],0))</f>
        <v>ST</v>
      </c>
      <c r="AA451" s="53" t="s">
        <v>213</v>
      </c>
      <c r="AB451" s="223" t="str">
        <f>IFERROR(INDEX(Tableau5[Reserve],MATCH(Tableau3[[#This Row],[ID-SIG]],Tableau5[ID],0))&amp;"","")</f>
        <v/>
      </c>
      <c r="AC451" s="21"/>
      <c r="AD451" s="108" t="str">
        <f>INDEX(Tableau7[Repere],MATCH(Tableau3[[#This Row],[ID-API]],Tableau7[ID-API],0))&amp;""</f>
        <v>A3</v>
      </c>
      <c r="AE451" s="108" t="str">
        <f>INDEX(Tableau1[Repere-Rack],MATCH(Tableau3[[#This Row],[ID-RACK]],Tableau1[ID-RACK],0))&amp;""</f>
        <v>R1</v>
      </c>
      <c r="AF451" s="108" t="str">
        <f>INDEX(Tableau1[Repere-Slot],MATCH(Tableau3[[#This Row],[ID-SLOT]],Tableau1[ID-SLOT],0))&amp;""</f>
        <v>S9</v>
      </c>
      <c r="AG451" s="108" t="str">
        <f>INDEX(Tableau2[Repere-Voie],MATCH(Tableau3[[#This Row],[ID-VOIE]],Tableau2[ID-Voie],0))&amp;""</f>
        <v>v1</v>
      </c>
      <c r="AH451" s="72" t="str">
        <f>Tableau3[[#This Row],[ID-API]]&amp; "." &amp;Tableau3[[#This Row],[ID-RACK]]&amp; "." &amp;Tableau3[[#This Row],[ID-SLOT]]</f>
        <v>3.1.9</v>
      </c>
      <c r="AI451" s="72" t="str">
        <f>INDEX(Tableau1[Ref-Carte],MATCH(Tableau3[[#This Row],[ID-RRS]],Tableau1[ID-RRS],0))</f>
        <v>SDO0802</v>
      </c>
      <c r="AJ451" s="72" t="str">
        <f t="array" ref="AJ451">IFERROR(INDEX(Tableau2[TS],MATCH(1,(Tableau2[Ref-Carte]=Tableau3[[#This Row],[Ref-Carte2]])*(Tableau2[ID-Voie]=Tableau3[[#This Row],[ID-VOIE]]),0)),"")</f>
        <v>ST</v>
      </c>
      <c r="AK451" s="72" t="str">
        <f>IFERROR(INDEX(Tableau2[TS],SUMPRODUCT((Tableau2[Ref-Carte]=Tableau3[[#This Row],[Ref-Carte2]])*(Tableau2[ID-Voie]=Tableau3[[#This Row],[ID-VOIE]])*ROW(Tableau2[TS]))-ROW(Tableau2[#Headers])),"")</f>
        <v>ST</v>
      </c>
      <c r="AL451" s="72" t="str">
        <f>Tableau3[[#This Row],[Ref-Carte2]]&amp;"/"&amp;Tableau3[[#This Row],[ID-VOIE]]</f>
        <v>SDO0802/1</v>
      </c>
      <c r="AM451" s="73" t="str">
        <f>INDEX(Tableau2[Borne],MATCH(Tableau3[[#This Row],[ID-CARTEVOIE]],Tableau2[ID-CARTEVOIE],0))&amp;""</f>
        <v>1</v>
      </c>
      <c r="AN451" s="74" t="str">
        <f>Tableau3[[#This Row],[ID-API]]&amp;Tableau3[[#This Row],[ID-RACK]]&amp;Tableau3[[#This Row],[ID-SLOT]]&amp;Tableau3[[#This Row],[BORNE]]</f>
        <v>3191</v>
      </c>
      <c r="AO451" s="1"/>
    </row>
    <row r="452" spans="1:41" ht="20.100000000000001" customHeight="1" thickTop="1" thickBot="1">
      <c r="A452" s="68"/>
      <c r="B452" s="69" t="str">
        <f>IFERROR(INDEX(Tableau4[Date],MATCH($A452,Tableau4[EVO],0)),"")</f>
        <v/>
      </c>
      <c r="C452" s="68" t="str">
        <f>IFERROR(INDEX(Tableau4[Designation],MATCH($A452,Tableau4[EVO],0)),"")</f>
        <v/>
      </c>
      <c r="D452" s="68"/>
      <c r="E452" s="70">
        <v>101</v>
      </c>
      <c r="F452" s="71">
        <v>307</v>
      </c>
      <c r="G452" s="101" t="str">
        <f>INDEX(Tableau8[Att1],MATCH(Tableau3[[#This Row],[ID-INS]],Tableau8[ID],0))&amp;""</f>
        <v>V2</v>
      </c>
      <c r="H452" s="101" t="str">
        <f>INDEX(Tableau8[Att2],MATCH(Tableau3[[#This Row],[ID-INS]],Tableau8[ID],0))&amp;""</f>
        <v>F26</v>
      </c>
      <c r="I452" s="101" t="str">
        <f>INDEX(Tableau8[Att3],MATCH(Tableau3[[#This Row],[ID-INS]],Tableau8[ID],0))&amp;""</f>
        <v>Feu F26</v>
      </c>
      <c r="J452" s="101"/>
      <c r="K452" s="167" t="str">
        <f>INDEX(Tableau8[Nom du modele],MATCH(Tableau3[[#This Row],[ID-INS]],Tableau8[ID],0))&amp;""</f>
        <v>FeuOuvV</v>
      </c>
      <c r="L452" s="99" t="str">
        <f>INDEX(Tableau5[Att1],MATCH(Tableau3[[#This Row],[ID-SIG]],Tableau5[ID],0))&amp;""</f>
        <v>Feu_Cmd</v>
      </c>
      <c r="M452" s="99" t="str">
        <f>INDEX(Tableau5[Att2],MATCH(Tableau3[[#This Row],[ID-SIG]],Tableau5[ID],0))&amp;""</f>
        <v/>
      </c>
      <c r="N452" s="99" t="str">
        <f>INDEX(Tableau5[Att3],MATCH(Tableau3[[#This Row],[ID-SIG]],Tableau5[ID],0))&amp;""</f>
        <v/>
      </c>
      <c r="O452" s="99"/>
      <c r="P452" s="99" t="str">
        <f>INDEX(Tableau5[Description],MATCH(Tableau3[[#This Row],[ID-SIG]],Tableau5[ID],0))</f>
        <v xml:space="preserve">Commande Feu </v>
      </c>
      <c r="Q452" s="99"/>
      <c r="R452" s="103" t="str">
        <f>Tableau3[[#This Row],[Description]]</f>
        <v xml:space="preserve">Commande Feu </v>
      </c>
      <c r="U452" s="87">
        <v>3</v>
      </c>
      <c r="V452" s="87">
        <v>1</v>
      </c>
      <c r="W452" s="87">
        <v>9</v>
      </c>
      <c r="X452" s="87">
        <v>2</v>
      </c>
      <c r="Y452" s="41"/>
      <c r="Z452" s="165" t="str">
        <f>INDEX(Tableau2[TS],MATCH(Tableau3[[#This Row],[ID-CARTEVOIE]],Tableau2[ID-CARTEVOIE],0))</f>
        <v>ST</v>
      </c>
      <c r="AA452" s="53" t="s">
        <v>213</v>
      </c>
      <c r="AB452" s="223" t="str">
        <f>IFERROR(INDEX(Tableau5[Reserve],MATCH(Tableau3[[#This Row],[ID-SIG]],Tableau5[ID],0))&amp;"","")</f>
        <v/>
      </c>
      <c r="AC452" s="21"/>
      <c r="AD452" s="108" t="str">
        <f>INDEX(Tableau7[Repere],MATCH(Tableau3[[#This Row],[ID-API]],Tableau7[ID-API],0))&amp;""</f>
        <v>A3</v>
      </c>
      <c r="AE452" s="108" t="str">
        <f>INDEX(Tableau1[Repere-Rack],MATCH(Tableau3[[#This Row],[ID-RACK]],Tableau1[ID-RACK],0))&amp;""</f>
        <v>R1</v>
      </c>
      <c r="AF452" s="108" t="str">
        <f>INDEX(Tableau1[Repere-Slot],MATCH(Tableau3[[#This Row],[ID-SLOT]],Tableau1[ID-SLOT],0))&amp;""</f>
        <v>S9</v>
      </c>
      <c r="AG452" s="108" t="str">
        <f>INDEX(Tableau2[Repere-Voie],MATCH(Tableau3[[#This Row],[ID-VOIE]],Tableau2[ID-Voie],0))&amp;""</f>
        <v>v2</v>
      </c>
      <c r="AH452" s="72" t="str">
        <f>Tableau3[[#This Row],[ID-API]]&amp; "." &amp;Tableau3[[#This Row],[ID-RACK]]&amp; "." &amp;Tableau3[[#This Row],[ID-SLOT]]</f>
        <v>3.1.9</v>
      </c>
      <c r="AI452" s="72" t="str">
        <f>INDEX(Tableau1[Ref-Carte],MATCH(Tableau3[[#This Row],[ID-RRS]],Tableau1[ID-RRS],0))</f>
        <v>SDO0802</v>
      </c>
      <c r="AJ452" s="72" t="str">
        <f t="array" ref="AJ452">IFERROR(INDEX(Tableau2[TS],MATCH(1,(Tableau2[Ref-Carte]=Tableau3[[#This Row],[Ref-Carte2]])*(Tableau2[ID-Voie]=Tableau3[[#This Row],[ID-VOIE]]),0)),"")</f>
        <v>ST</v>
      </c>
      <c r="AK452" s="72" t="str">
        <f>IFERROR(INDEX(Tableau2[TS],SUMPRODUCT((Tableau2[Ref-Carte]=Tableau3[[#This Row],[Ref-Carte2]])*(Tableau2[ID-Voie]=Tableau3[[#This Row],[ID-VOIE]])*ROW(Tableau2[TS]))-ROW(Tableau2[#Headers])),"")</f>
        <v>ST</v>
      </c>
      <c r="AL452" s="72" t="str">
        <f>Tableau3[[#This Row],[Ref-Carte2]]&amp;"/"&amp;Tableau3[[#This Row],[ID-VOIE]]</f>
        <v>SDO0802/2</v>
      </c>
      <c r="AM452" s="73" t="str">
        <f>INDEX(Tableau2[Borne],MATCH(Tableau3[[#This Row],[ID-CARTEVOIE]],Tableau2[ID-CARTEVOIE],0))&amp;""</f>
        <v>2</v>
      </c>
      <c r="AN452" s="74" t="str">
        <f>Tableau3[[#This Row],[ID-API]]&amp;Tableau3[[#This Row],[ID-RACK]]&amp;Tableau3[[#This Row],[ID-SLOT]]&amp;Tableau3[[#This Row],[BORNE]]</f>
        <v>3192</v>
      </c>
      <c r="AO452" s="1"/>
    </row>
    <row r="453" spans="1:41" ht="20.100000000000001" customHeight="1" thickTop="1" thickBot="1">
      <c r="A453" s="68"/>
      <c r="B453" s="69" t="str">
        <f>IFERROR(INDEX(Tableau4[Date],MATCH($A453,Tableau4[EVO],0)),"")</f>
        <v/>
      </c>
      <c r="C453" s="68" t="str">
        <f>IFERROR(INDEX(Tableau4[Designation],MATCH($A453,Tableau4[EVO],0)),"")</f>
        <v/>
      </c>
      <c r="D453" s="68"/>
      <c r="E453" s="70">
        <v>104</v>
      </c>
      <c r="F453" s="71">
        <v>13</v>
      </c>
      <c r="G453" s="101" t="str">
        <f>INDEX(Tableau8[Att1],MATCH(Tableau3[[#This Row],[ID-INS]],Tableau8[ID],0))&amp;""</f>
        <v>V2</v>
      </c>
      <c r="H453" s="101" t="str">
        <f>INDEX(Tableau8[Att2],MATCH(Tableau3[[#This Row],[ID-INS]],Tableau8[ID],0))&amp;""</f>
        <v>UTLR2</v>
      </c>
      <c r="I453" s="101" t="str">
        <f>INDEX(Tableau8[Att3],MATCH(Tableau3[[#This Row],[ID-INS]],Tableau8[ID],0))&amp;""</f>
        <v>UTL rouge IDVL2/BH2</v>
      </c>
      <c r="J453" s="101"/>
      <c r="K453" s="167" t="str">
        <f>INDEX(Tableau8[Nom du modele],MATCH(Tableau3[[#This Row],[ID-INS]],Tableau8[ID],0))&amp;""</f>
        <v>UTL</v>
      </c>
      <c r="L453" s="141" t="str">
        <f>INDEX(Tableau5[Att1],MATCH(Tableau3[[#This Row],[ID-SIG]],Tableau5[ID],0))&amp;""</f>
        <v>PassEffec</v>
      </c>
      <c r="M453" s="99" t="str">
        <f>INDEX(Tableau5[Att2],MATCH(Tableau3[[#This Row],[ID-SIG]],Tableau5[ID],0))&amp;""</f>
        <v/>
      </c>
      <c r="N453" s="99" t="str">
        <f>INDEX(Tableau5[Att3],MATCH(Tableau3[[#This Row],[ID-SIG]],Tableau5[ID],0))&amp;""</f>
        <v/>
      </c>
      <c r="O453" s="99"/>
      <c r="P453" s="141" t="str">
        <f>INDEX(Tableau5[Description],MATCH(Tableau3[[#This Row],[ID-SIG]],Tableau5[ID],0))</f>
        <v>Commande passage effectué vers UTL</v>
      </c>
      <c r="Q453" s="99"/>
      <c r="R453" s="103" t="str">
        <f>Tableau3[[#This Row],[Description]]</f>
        <v>Commande passage effectué vers UTL</v>
      </c>
      <c r="U453" s="87">
        <v>3</v>
      </c>
      <c r="V453" s="87">
        <v>1</v>
      </c>
      <c r="W453" s="87">
        <v>9</v>
      </c>
      <c r="X453" s="87">
        <v>3</v>
      </c>
      <c r="Y453" s="41"/>
      <c r="Z453" s="165" t="str">
        <f>INDEX(Tableau2[TS],MATCH(Tableau3[[#This Row],[ID-CARTEVOIE]],Tableau2[ID-CARTEVOIE],0))</f>
        <v>ST</v>
      </c>
      <c r="AA453" s="53" t="s">
        <v>213</v>
      </c>
      <c r="AB453" s="223" t="str">
        <f>IFERROR(INDEX(Tableau5[Reserve],MATCH(Tableau3[[#This Row],[ID-SIG]],Tableau5[ID],0))&amp;"","")</f>
        <v/>
      </c>
      <c r="AC453" s="21"/>
      <c r="AD453" s="108" t="str">
        <f>INDEX(Tableau7[Repere],MATCH(Tableau3[[#This Row],[ID-API]],Tableau7[ID-API],0))&amp;""</f>
        <v>A3</v>
      </c>
      <c r="AE453" s="108" t="str">
        <f>INDEX(Tableau1[Repere-Rack],MATCH(Tableau3[[#This Row],[ID-RACK]],Tableau1[ID-RACK],0))&amp;""</f>
        <v>R1</v>
      </c>
      <c r="AF453" s="108" t="str">
        <f>INDEX(Tableau1[Repere-Slot],MATCH(Tableau3[[#This Row],[ID-SLOT]],Tableau1[ID-SLOT],0))&amp;""</f>
        <v>S9</v>
      </c>
      <c r="AG453" s="108" t="str">
        <f>INDEX(Tableau2[Repere-Voie],MATCH(Tableau3[[#This Row],[ID-VOIE]],Tableau2[ID-Voie],0))&amp;""</f>
        <v>v3</v>
      </c>
      <c r="AH453" s="72" t="str">
        <f>Tableau3[[#This Row],[ID-API]]&amp; "." &amp;Tableau3[[#This Row],[ID-RACK]]&amp; "." &amp;Tableau3[[#This Row],[ID-SLOT]]</f>
        <v>3.1.9</v>
      </c>
      <c r="AI453" s="72" t="str">
        <f>INDEX(Tableau1[Ref-Carte],MATCH(Tableau3[[#This Row],[ID-RRS]],Tableau1[ID-RRS],0))</f>
        <v>SDO0802</v>
      </c>
      <c r="AJ453" s="72" t="str">
        <f t="array" ref="AJ453">IFERROR(INDEX(Tableau2[TS],MATCH(1,(Tableau2[Ref-Carte]=Tableau3[[#This Row],[Ref-Carte2]])*(Tableau2[ID-Voie]=Tableau3[[#This Row],[ID-VOIE]]),0)),"")</f>
        <v>ST</v>
      </c>
      <c r="AK453" s="72" t="str">
        <f>IFERROR(INDEX(Tableau2[TS],SUMPRODUCT((Tableau2[Ref-Carte]=Tableau3[[#This Row],[Ref-Carte2]])*(Tableau2[ID-Voie]=Tableau3[[#This Row],[ID-VOIE]])*ROW(Tableau2[TS]))-ROW(Tableau2[#Headers])),"")</f>
        <v>ST</v>
      </c>
      <c r="AL453" s="72" t="str">
        <f>Tableau3[[#This Row],[Ref-Carte2]]&amp;"/"&amp;Tableau3[[#This Row],[ID-VOIE]]</f>
        <v>SDO0802/3</v>
      </c>
      <c r="AM453" s="73" t="str">
        <f>INDEX(Tableau2[Borne],MATCH(Tableau3[[#This Row],[ID-CARTEVOIE]],Tableau2[ID-CARTEVOIE],0))&amp;""</f>
        <v>3</v>
      </c>
      <c r="AN453" s="74" t="str">
        <f>Tableau3[[#This Row],[ID-API]]&amp;Tableau3[[#This Row],[ID-RACK]]&amp;Tableau3[[#This Row],[ID-SLOT]]&amp;Tableau3[[#This Row],[BORNE]]</f>
        <v>3193</v>
      </c>
      <c r="AO453" s="1"/>
    </row>
    <row r="454" spans="1:41" ht="20.100000000000001" customHeight="1" thickTop="1" thickBot="1">
      <c r="A454" s="68"/>
      <c r="B454" s="69" t="str">
        <f>IFERROR(INDEX(Tableau4[Date],MATCH($A454,Tableau4[EVO],0)),"")</f>
        <v/>
      </c>
      <c r="C454" s="68" t="str">
        <f>IFERROR(INDEX(Tableau4[Designation],MATCH($A454,Tableau4[EVO],0)),"")</f>
        <v/>
      </c>
      <c r="D454" s="68"/>
      <c r="E454" s="70">
        <v>104</v>
      </c>
      <c r="F454" s="71">
        <v>14</v>
      </c>
      <c r="G454" s="101" t="str">
        <f>INDEX(Tableau8[Att1],MATCH(Tableau3[[#This Row],[ID-INS]],Tableau8[ID],0))&amp;""</f>
        <v>V2</v>
      </c>
      <c r="H454" s="101" t="str">
        <f>INDEX(Tableau8[Att2],MATCH(Tableau3[[#This Row],[ID-INS]],Tableau8[ID],0))&amp;""</f>
        <v>UTLR2</v>
      </c>
      <c r="I454" s="101" t="str">
        <f>INDEX(Tableau8[Att3],MATCH(Tableau3[[#This Row],[ID-INS]],Tableau8[ID],0))&amp;""</f>
        <v>UTL rouge IDVL2/BH2</v>
      </c>
      <c r="J454" s="101"/>
      <c r="K454" s="167" t="str">
        <f>INDEX(Tableau8[Nom du modele],MATCH(Tableau3[[#This Row],[ID-INS]],Tableau8[ID],0))&amp;""</f>
        <v>UTL</v>
      </c>
      <c r="L454" s="99" t="str">
        <f>INDEX(Tableau5[Att1],MATCH(Tableau3[[#This Row],[ID-SIG]],Tableau5[ID],0))&amp;""</f>
        <v>AutorBadge</v>
      </c>
      <c r="M454" s="99" t="str">
        <f>INDEX(Tableau5[Att2],MATCH(Tableau3[[#This Row],[ID-SIG]],Tableau5[ID],0))&amp;""</f>
        <v/>
      </c>
      <c r="N454" s="99" t="str">
        <f>INDEX(Tableau5[Att3],MATCH(Tableau3[[#This Row],[ID-SIG]],Tableau5[ID],0))&amp;""</f>
        <v/>
      </c>
      <c r="O454" s="99"/>
      <c r="P454" s="99" t="str">
        <f>INDEX(Tableau5[Description],MATCH(Tableau3[[#This Row],[ID-SIG]],Tableau5[ID],0))</f>
        <v>Commande autorisation badgeage vers UTL</v>
      </c>
      <c r="Q454" s="99"/>
      <c r="R454" s="103" t="str">
        <f>Tableau3[[#This Row],[Description]]</f>
        <v>Commande autorisation badgeage vers UTL</v>
      </c>
      <c r="U454" s="87">
        <v>3</v>
      </c>
      <c r="V454" s="87">
        <v>1</v>
      </c>
      <c r="W454" s="87">
        <v>9</v>
      </c>
      <c r="X454" s="87">
        <v>4</v>
      </c>
      <c r="Y454" s="41"/>
      <c r="Z454" s="165" t="str">
        <f>INDEX(Tableau2[TS],MATCH(Tableau3[[#This Row],[ID-CARTEVOIE]],Tableau2[ID-CARTEVOIE],0))</f>
        <v>ST</v>
      </c>
      <c r="AA454" s="53" t="s">
        <v>213</v>
      </c>
      <c r="AB454" s="223" t="str">
        <f>IFERROR(INDEX(Tableau5[Reserve],MATCH(Tableau3[[#This Row],[ID-SIG]],Tableau5[ID],0))&amp;"","")</f>
        <v/>
      </c>
      <c r="AC454" s="21"/>
      <c r="AD454" s="108" t="str">
        <f>INDEX(Tableau7[Repere],MATCH(Tableau3[[#This Row],[ID-API]],Tableau7[ID-API],0))&amp;""</f>
        <v>A3</v>
      </c>
      <c r="AE454" s="108" t="str">
        <f>INDEX(Tableau1[Repere-Rack],MATCH(Tableau3[[#This Row],[ID-RACK]],Tableau1[ID-RACK],0))&amp;""</f>
        <v>R1</v>
      </c>
      <c r="AF454" s="108" t="str">
        <f>INDEX(Tableau1[Repere-Slot],MATCH(Tableau3[[#This Row],[ID-SLOT]],Tableau1[ID-SLOT],0))&amp;""</f>
        <v>S9</v>
      </c>
      <c r="AG454" s="108" t="str">
        <f>INDEX(Tableau2[Repere-Voie],MATCH(Tableau3[[#This Row],[ID-VOIE]],Tableau2[ID-Voie],0))&amp;""</f>
        <v>v4</v>
      </c>
      <c r="AH454" s="72" t="str">
        <f>Tableau3[[#This Row],[ID-API]]&amp; "." &amp;Tableau3[[#This Row],[ID-RACK]]&amp; "." &amp;Tableau3[[#This Row],[ID-SLOT]]</f>
        <v>3.1.9</v>
      </c>
      <c r="AI454" s="72" t="str">
        <f>INDEX(Tableau1[Ref-Carte],MATCH(Tableau3[[#This Row],[ID-RRS]],Tableau1[ID-RRS],0))</f>
        <v>SDO0802</v>
      </c>
      <c r="AJ454" s="72" t="str">
        <f t="array" ref="AJ454">IFERROR(INDEX(Tableau2[TS],MATCH(1,(Tableau2[Ref-Carte]=Tableau3[[#This Row],[Ref-Carte2]])*(Tableau2[ID-Voie]=Tableau3[[#This Row],[ID-VOIE]]),0)),"")</f>
        <v>ST</v>
      </c>
      <c r="AK454" s="72" t="str">
        <f>IFERROR(INDEX(Tableau2[TS],SUMPRODUCT((Tableau2[Ref-Carte]=Tableau3[[#This Row],[Ref-Carte2]])*(Tableau2[ID-Voie]=Tableau3[[#This Row],[ID-VOIE]])*ROW(Tableau2[TS]))-ROW(Tableau2[#Headers])),"")</f>
        <v>ST</v>
      </c>
      <c r="AL454" s="72" t="str">
        <f>Tableau3[[#This Row],[Ref-Carte2]]&amp;"/"&amp;Tableau3[[#This Row],[ID-VOIE]]</f>
        <v>SDO0802/4</v>
      </c>
      <c r="AM454" s="73" t="str">
        <f>INDEX(Tableau2[Borne],MATCH(Tableau3[[#This Row],[ID-CARTEVOIE]],Tableau2[ID-CARTEVOIE],0))&amp;""</f>
        <v>4</v>
      </c>
      <c r="AN454" s="74" t="str">
        <f>Tableau3[[#This Row],[ID-API]]&amp;Tableau3[[#This Row],[ID-RACK]]&amp;Tableau3[[#This Row],[ID-SLOT]]&amp;Tableau3[[#This Row],[BORNE]]</f>
        <v>3194</v>
      </c>
      <c r="AO454" s="1"/>
    </row>
    <row r="455" spans="1:41" ht="20.100000000000001" customHeight="1" thickTop="1" thickBot="1">
      <c r="A455" s="68"/>
      <c r="B455" s="69" t="str">
        <f>IFERROR(INDEX(Tableau4[Date],MATCH($A455,Tableau4[EVO],0)),"")</f>
        <v/>
      </c>
      <c r="C455" s="68" t="str">
        <f>IFERROR(INDEX(Tableau4[Designation],MATCH($A455,Tableau4[EVO],0)),"")</f>
        <v/>
      </c>
      <c r="D455" s="68"/>
      <c r="E455" s="70">
        <v>115</v>
      </c>
      <c r="F455" s="71">
        <v>13</v>
      </c>
      <c r="G455" s="101" t="str">
        <f>INDEX(Tableau8[Att1],MATCH(Tableau3[[#This Row],[ID-INS]],Tableau8[ID],0))&amp;""</f>
        <v>V2</v>
      </c>
      <c r="H455" s="101" t="str">
        <f>INDEX(Tableau8[Att2],MATCH(Tableau3[[#This Row],[ID-INS]],Tableau8[ID],0))&amp;""</f>
        <v>UTLB2</v>
      </c>
      <c r="I455" s="101" t="str">
        <f>INDEX(Tableau8[Att3],MATCH(Tableau3[[#This Row],[ID-INS]],Tableau8[ID],0))&amp;""</f>
        <v>UTL bleue AUTVL2/IDVL6/BH7</v>
      </c>
      <c r="J455" s="101"/>
      <c r="K455" s="167" t="str">
        <f>INDEX(Tableau8[Nom du modele],MATCH(Tableau3[[#This Row],[ID-INS]],Tableau8[ID],0))&amp;""</f>
        <v>UTL</v>
      </c>
      <c r="L455" s="99" t="str">
        <f>INDEX(Tableau5[Att1],MATCH(Tableau3[[#This Row],[ID-SIG]],Tableau5[ID],0))&amp;""</f>
        <v>PassEffec</v>
      </c>
      <c r="M455" s="99" t="str">
        <f>INDEX(Tableau5[Att2],MATCH(Tableau3[[#This Row],[ID-SIG]],Tableau5[ID],0))&amp;""</f>
        <v/>
      </c>
      <c r="N455" s="99" t="str">
        <f>INDEX(Tableau5[Att3],MATCH(Tableau3[[#This Row],[ID-SIG]],Tableau5[ID],0))&amp;""</f>
        <v/>
      </c>
      <c r="O455" s="99"/>
      <c r="P455" s="99" t="str">
        <f>INDEX(Tableau5[Description],MATCH(Tableau3[[#This Row],[ID-SIG]],Tableau5[ID],0))</f>
        <v>Commande passage effectué vers UTL</v>
      </c>
      <c r="Q455" s="99"/>
      <c r="R455" s="103" t="str">
        <f>Tableau3[[#This Row],[Description]]</f>
        <v>Commande passage effectué vers UTL</v>
      </c>
      <c r="U455" s="87">
        <v>3</v>
      </c>
      <c r="V455" s="87">
        <v>1</v>
      </c>
      <c r="W455" s="87">
        <v>9</v>
      </c>
      <c r="X455" s="87">
        <v>5</v>
      </c>
      <c r="Y455" s="41"/>
      <c r="Z455" s="165" t="str">
        <f>INDEX(Tableau2[TS],MATCH(Tableau3[[#This Row],[ID-CARTEVOIE]],Tableau2[ID-CARTEVOIE],0))</f>
        <v>ST</v>
      </c>
      <c r="AA455" s="53" t="s">
        <v>213</v>
      </c>
      <c r="AB455" s="223" t="str">
        <f>IFERROR(INDEX(Tableau5[Reserve],MATCH(Tableau3[[#This Row],[ID-SIG]],Tableau5[ID],0))&amp;"","")</f>
        <v/>
      </c>
      <c r="AC455" s="21"/>
      <c r="AD455" s="108" t="str">
        <f>INDEX(Tableau7[Repere],MATCH(Tableau3[[#This Row],[ID-API]],Tableau7[ID-API],0))&amp;""</f>
        <v>A3</v>
      </c>
      <c r="AE455" s="108" t="str">
        <f>INDEX(Tableau1[Repere-Rack],MATCH(Tableau3[[#This Row],[ID-RACK]],Tableau1[ID-RACK],0))&amp;""</f>
        <v>R1</v>
      </c>
      <c r="AF455" s="108" t="str">
        <f>INDEX(Tableau1[Repere-Slot],MATCH(Tableau3[[#This Row],[ID-SLOT]],Tableau1[ID-SLOT],0))&amp;""</f>
        <v>S9</v>
      </c>
      <c r="AG455" s="108" t="str">
        <f>INDEX(Tableau2[Repere-Voie],MATCH(Tableau3[[#This Row],[ID-VOIE]],Tableau2[ID-Voie],0))&amp;""</f>
        <v>v5</v>
      </c>
      <c r="AH455" s="72" t="str">
        <f>Tableau3[[#This Row],[ID-API]]&amp; "." &amp;Tableau3[[#This Row],[ID-RACK]]&amp; "." &amp;Tableau3[[#This Row],[ID-SLOT]]</f>
        <v>3.1.9</v>
      </c>
      <c r="AI455" s="72" t="str">
        <f>INDEX(Tableau1[Ref-Carte],MATCH(Tableau3[[#This Row],[ID-RRS]],Tableau1[ID-RRS],0))</f>
        <v>SDO0802</v>
      </c>
      <c r="AJ455" s="72" t="str">
        <f t="array" ref="AJ455">IFERROR(INDEX(Tableau2[TS],MATCH(1,(Tableau2[Ref-Carte]=Tableau3[[#This Row],[Ref-Carte2]])*(Tableau2[ID-Voie]=Tableau3[[#This Row],[ID-VOIE]]),0)),"")</f>
        <v>ST</v>
      </c>
      <c r="AK455" s="72" t="str">
        <f>IFERROR(INDEX(Tableau2[TS],SUMPRODUCT((Tableau2[Ref-Carte]=Tableau3[[#This Row],[Ref-Carte2]])*(Tableau2[ID-Voie]=Tableau3[[#This Row],[ID-VOIE]])*ROW(Tableau2[TS]))-ROW(Tableau2[#Headers])),"")</f>
        <v>ST</v>
      </c>
      <c r="AL455" s="72" t="str">
        <f>Tableau3[[#This Row],[Ref-Carte2]]&amp;"/"&amp;Tableau3[[#This Row],[ID-VOIE]]</f>
        <v>SDO0802/5</v>
      </c>
      <c r="AM455" s="73" t="str">
        <f>INDEX(Tableau2[Borne],MATCH(Tableau3[[#This Row],[ID-CARTEVOIE]],Tableau2[ID-CARTEVOIE],0))&amp;""</f>
        <v>5</v>
      </c>
      <c r="AN455" s="74" t="str">
        <f>Tableau3[[#This Row],[ID-API]]&amp;Tableau3[[#This Row],[ID-RACK]]&amp;Tableau3[[#This Row],[ID-SLOT]]&amp;Tableau3[[#This Row],[BORNE]]</f>
        <v>3195</v>
      </c>
      <c r="AO455" s="1"/>
    </row>
    <row r="456" spans="1:41" ht="20.100000000000001" customHeight="1" thickTop="1" thickBot="1">
      <c r="A456" s="68"/>
      <c r="B456" s="69" t="str">
        <f>IFERROR(INDEX(Tableau4[Date],MATCH($A456,Tableau4[EVO],0)),"")</f>
        <v/>
      </c>
      <c r="C456" s="68" t="str">
        <f>IFERROR(INDEX(Tableau4[Designation],MATCH($A456,Tableau4[EVO],0)),"")</f>
        <v/>
      </c>
      <c r="D456" s="68"/>
      <c r="E456" s="70">
        <v>115</v>
      </c>
      <c r="F456" s="71">
        <v>14</v>
      </c>
      <c r="G456" s="101" t="str">
        <f>INDEX(Tableau8[Att1],MATCH(Tableau3[[#This Row],[ID-INS]],Tableau8[ID],0))&amp;""</f>
        <v>V2</v>
      </c>
      <c r="H456" s="101" t="str">
        <f>INDEX(Tableau8[Att2],MATCH(Tableau3[[#This Row],[ID-INS]],Tableau8[ID],0))&amp;""</f>
        <v>UTLB2</v>
      </c>
      <c r="I456" s="101" t="str">
        <f>INDEX(Tableau8[Att3],MATCH(Tableau3[[#This Row],[ID-INS]],Tableau8[ID],0))&amp;""</f>
        <v>UTL bleue AUTVL2/IDVL6/BH7</v>
      </c>
      <c r="J456" s="101"/>
      <c r="K456" s="167" t="str">
        <f>INDEX(Tableau8[Nom du modele],MATCH(Tableau3[[#This Row],[ID-INS]],Tableau8[ID],0))&amp;""</f>
        <v>UTL</v>
      </c>
      <c r="L456" s="99" t="str">
        <f>INDEX(Tableau5[Att1],MATCH(Tableau3[[#This Row],[ID-SIG]],Tableau5[ID],0))&amp;""</f>
        <v>AutorBadge</v>
      </c>
      <c r="M456" s="99" t="str">
        <f>INDEX(Tableau5[Att2],MATCH(Tableau3[[#This Row],[ID-SIG]],Tableau5[ID],0))&amp;""</f>
        <v/>
      </c>
      <c r="N456" s="99" t="str">
        <f>INDEX(Tableau5[Att3],MATCH(Tableau3[[#This Row],[ID-SIG]],Tableau5[ID],0))&amp;""</f>
        <v/>
      </c>
      <c r="O456" s="99"/>
      <c r="P456" s="99" t="str">
        <f>INDEX(Tableau5[Description],MATCH(Tableau3[[#This Row],[ID-SIG]],Tableau5[ID],0))</f>
        <v>Commande autorisation badgeage vers UTL</v>
      </c>
      <c r="Q456" s="99"/>
      <c r="R456" s="103" t="str">
        <f>Tableau3[[#This Row],[Description]]</f>
        <v>Commande autorisation badgeage vers UTL</v>
      </c>
      <c r="U456" s="87">
        <v>3</v>
      </c>
      <c r="V456" s="87">
        <v>1</v>
      </c>
      <c r="W456" s="87">
        <v>9</v>
      </c>
      <c r="X456" s="87">
        <v>6</v>
      </c>
      <c r="Y456" s="41"/>
      <c r="Z456" s="165" t="str">
        <f>INDEX(Tableau2[TS],MATCH(Tableau3[[#This Row],[ID-CARTEVOIE]],Tableau2[ID-CARTEVOIE],0))</f>
        <v>ST</v>
      </c>
      <c r="AA456" s="53" t="s">
        <v>213</v>
      </c>
      <c r="AB456" s="223" t="str">
        <f>IFERROR(INDEX(Tableau5[Reserve],MATCH(Tableau3[[#This Row],[ID-SIG]],Tableau5[ID],0))&amp;"","")</f>
        <v/>
      </c>
      <c r="AC456" s="21"/>
      <c r="AD456" s="108" t="str">
        <f>INDEX(Tableau7[Repere],MATCH(Tableau3[[#This Row],[ID-API]],Tableau7[ID-API],0))&amp;""</f>
        <v>A3</v>
      </c>
      <c r="AE456" s="108" t="str">
        <f>INDEX(Tableau1[Repere-Rack],MATCH(Tableau3[[#This Row],[ID-RACK]],Tableau1[ID-RACK],0))&amp;""</f>
        <v>R1</v>
      </c>
      <c r="AF456" s="108" t="str">
        <f>INDEX(Tableau1[Repere-Slot],MATCH(Tableau3[[#This Row],[ID-SLOT]],Tableau1[ID-SLOT],0))&amp;""</f>
        <v>S9</v>
      </c>
      <c r="AG456" s="108" t="str">
        <f>INDEX(Tableau2[Repere-Voie],MATCH(Tableau3[[#This Row],[ID-VOIE]],Tableau2[ID-Voie],0))&amp;""</f>
        <v>v6</v>
      </c>
      <c r="AH456" s="72" t="str">
        <f>Tableau3[[#This Row],[ID-API]]&amp; "." &amp;Tableau3[[#This Row],[ID-RACK]]&amp; "." &amp;Tableau3[[#This Row],[ID-SLOT]]</f>
        <v>3.1.9</v>
      </c>
      <c r="AI456" s="72" t="str">
        <f>INDEX(Tableau1[Ref-Carte],MATCH(Tableau3[[#This Row],[ID-RRS]],Tableau1[ID-RRS],0))</f>
        <v>SDO0802</v>
      </c>
      <c r="AJ456" s="72" t="str">
        <f t="array" ref="AJ456">IFERROR(INDEX(Tableau2[TS],MATCH(1,(Tableau2[Ref-Carte]=Tableau3[[#This Row],[Ref-Carte2]])*(Tableau2[ID-Voie]=Tableau3[[#This Row],[ID-VOIE]]),0)),"")</f>
        <v>ST</v>
      </c>
      <c r="AK456" s="72" t="str">
        <f>IFERROR(INDEX(Tableau2[TS],SUMPRODUCT((Tableau2[Ref-Carte]=Tableau3[[#This Row],[Ref-Carte2]])*(Tableau2[ID-Voie]=Tableau3[[#This Row],[ID-VOIE]])*ROW(Tableau2[TS]))-ROW(Tableau2[#Headers])),"")</f>
        <v>ST</v>
      </c>
      <c r="AL456" s="72" t="str">
        <f>Tableau3[[#This Row],[Ref-Carte2]]&amp;"/"&amp;Tableau3[[#This Row],[ID-VOIE]]</f>
        <v>SDO0802/6</v>
      </c>
      <c r="AM456" s="73" t="str">
        <f>INDEX(Tableau2[Borne],MATCH(Tableau3[[#This Row],[ID-CARTEVOIE]],Tableau2[ID-CARTEVOIE],0))&amp;""</f>
        <v>6</v>
      </c>
      <c r="AN456" s="74" t="str">
        <f>Tableau3[[#This Row],[ID-API]]&amp;Tableau3[[#This Row],[ID-RACK]]&amp;Tableau3[[#This Row],[ID-SLOT]]&amp;Tableau3[[#This Row],[BORNE]]</f>
        <v>3196</v>
      </c>
      <c r="AO456" s="1"/>
    </row>
    <row r="457" spans="1:41" ht="20.100000000000001" customHeight="1" thickTop="1" thickBot="1">
      <c r="A457" s="68"/>
      <c r="B457" s="69" t="str">
        <f>IFERROR(INDEX(Tableau4[Date],MATCH($A457,Tableau4[EVO],0)),"")</f>
        <v/>
      </c>
      <c r="C457" s="68" t="str">
        <f>IFERROR(INDEX(Tableau4[Designation],MATCH($A457,Tableau4[EVO],0)),"")</f>
        <v/>
      </c>
      <c r="D457" s="68"/>
      <c r="E457" s="70">
        <v>227</v>
      </c>
      <c r="F457" s="71">
        <v>323</v>
      </c>
      <c r="G457" s="101" t="str">
        <f>INDEX(Tableau8[Att1],MATCH(Tableau3[[#This Row],[ID-INS]],Tableau8[ID],0))&amp;""</f>
        <v>V2</v>
      </c>
      <c r="H457" s="101" t="str">
        <f>INDEX(Tableau8[Att2],MATCH(Tableau3[[#This Row],[ID-INS]],Tableau8[ID],0))&amp;""</f>
        <v>F15</v>
      </c>
      <c r="I457" s="101" t="str">
        <f>INDEX(Tableau8[Att3],MATCH(Tableau3[[#This Row],[ID-INS]],Tableau8[ID],0))&amp;""</f>
        <v>Buzzer contrôle Aleatoire / CORA V2</v>
      </c>
      <c r="J457" s="101"/>
      <c r="K457" s="167" t="str">
        <f>INDEX(Tableau8[Nom du modele],MATCH(Tableau3[[#This Row],[ID-INS]],Tableau8[ID],0))&amp;""</f>
        <v>BuzzerContrAleaVLPL</v>
      </c>
      <c r="L457" s="99" t="str">
        <f>INDEX(Tableau5[Att1],MATCH(Tableau3[[#This Row],[ID-SIG]],Tableau5[ID],0))&amp;""</f>
        <v>Buzzer_Cmd</v>
      </c>
      <c r="M457" s="99" t="str">
        <f>INDEX(Tableau5[Att2],MATCH(Tableau3[[#This Row],[ID-SIG]],Tableau5[ID],0))&amp;""</f>
        <v/>
      </c>
      <c r="N457" s="99" t="str">
        <f>INDEX(Tableau5[Att3],MATCH(Tableau3[[#This Row],[ID-SIG]],Tableau5[ID],0))&amp;""</f>
        <v/>
      </c>
      <c r="O457" s="99"/>
      <c r="P457" s="99" t="str">
        <f>INDEX(Tableau5[Description],MATCH(Tableau3[[#This Row],[ID-SIG]],Tableau5[ID],0))</f>
        <v>Commande Buzzeur</v>
      </c>
      <c r="Q457" s="99"/>
      <c r="R457" s="103" t="str">
        <f>Tableau3[[#This Row],[Description]]</f>
        <v>Commande Buzzeur</v>
      </c>
      <c r="U457" s="87">
        <v>3</v>
      </c>
      <c r="V457" s="87">
        <v>1</v>
      </c>
      <c r="W457" s="87">
        <v>9</v>
      </c>
      <c r="X457" s="87">
        <v>7</v>
      </c>
      <c r="Y457" s="41"/>
      <c r="Z457" s="165" t="str">
        <f>INDEX(Tableau2[TS],MATCH(Tableau3[[#This Row],[ID-CARTEVOIE]],Tableau2[ID-CARTEVOIE],0))</f>
        <v>ST</v>
      </c>
      <c r="AA457" s="53" t="s">
        <v>213</v>
      </c>
      <c r="AB457" s="223" t="str">
        <f>IFERROR(INDEX(Tableau5[Reserve],MATCH(Tableau3[[#This Row],[ID-SIG]],Tableau5[ID],0))&amp;"","")</f>
        <v/>
      </c>
      <c r="AC457" s="21"/>
      <c r="AD457" s="108" t="str">
        <f>INDEX(Tableau7[Repere],MATCH(Tableau3[[#This Row],[ID-API]],Tableau7[ID-API],0))&amp;""</f>
        <v>A3</v>
      </c>
      <c r="AE457" s="108" t="str">
        <f>INDEX(Tableau1[Repere-Rack],MATCH(Tableau3[[#This Row],[ID-RACK]],Tableau1[ID-RACK],0))&amp;""</f>
        <v>R1</v>
      </c>
      <c r="AF457" s="108" t="str">
        <f>INDEX(Tableau1[Repere-Slot],MATCH(Tableau3[[#This Row],[ID-SLOT]],Tableau1[ID-SLOT],0))&amp;""</f>
        <v>S9</v>
      </c>
      <c r="AG457" s="108" t="str">
        <f>INDEX(Tableau2[Repere-Voie],MATCH(Tableau3[[#This Row],[ID-VOIE]],Tableau2[ID-Voie],0))&amp;""</f>
        <v>v7</v>
      </c>
      <c r="AH457" s="72" t="str">
        <f>Tableau3[[#This Row],[ID-API]]&amp; "." &amp;Tableau3[[#This Row],[ID-RACK]]&amp; "." &amp;Tableau3[[#This Row],[ID-SLOT]]</f>
        <v>3.1.9</v>
      </c>
      <c r="AI457" s="72" t="str">
        <f>INDEX(Tableau1[Ref-Carte],MATCH(Tableau3[[#This Row],[ID-RRS]],Tableau1[ID-RRS],0))</f>
        <v>SDO0802</v>
      </c>
      <c r="AJ457" s="72" t="str">
        <f t="array" ref="AJ457">IFERROR(INDEX(Tableau2[TS],MATCH(1,(Tableau2[Ref-Carte]=Tableau3[[#This Row],[Ref-Carte2]])*(Tableau2[ID-Voie]=Tableau3[[#This Row],[ID-VOIE]]),0)),"")</f>
        <v>ST</v>
      </c>
      <c r="AK457" s="72" t="str">
        <f>IFERROR(INDEX(Tableau2[TS],SUMPRODUCT((Tableau2[Ref-Carte]=Tableau3[[#This Row],[Ref-Carte2]])*(Tableau2[ID-Voie]=Tableau3[[#This Row],[ID-VOIE]])*ROW(Tableau2[TS]))-ROW(Tableau2[#Headers])),"")</f>
        <v>ST</v>
      </c>
      <c r="AL457" s="72" t="str">
        <f>Tableau3[[#This Row],[Ref-Carte2]]&amp;"/"&amp;Tableau3[[#This Row],[ID-VOIE]]</f>
        <v>SDO0802/7</v>
      </c>
      <c r="AM457" s="73" t="str">
        <f>INDEX(Tableau2[Borne],MATCH(Tableau3[[#This Row],[ID-CARTEVOIE]],Tableau2[ID-CARTEVOIE],0))&amp;""</f>
        <v>7</v>
      </c>
      <c r="AN457" s="74" t="str">
        <f>Tableau3[[#This Row],[ID-API]]&amp;Tableau3[[#This Row],[ID-RACK]]&amp;Tableau3[[#This Row],[ID-SLOT]]&amp;Tableau3[[#This Row],[BORNE]]</f>
        <v>3197</v>
      </c>
      <c r="AO457" s="1"/>
    </row>
    <row r="458" spans="1:41" ht="20.100000000000001" customHeight="1" thickTop="1" thickBot="1">
      <c r="A458" s="68"/>
      <c r="B458" s="69" t="str">
        <f>IFERROR(INDEX(Tableau4[Date],MATCH($A458,Tableau4[EVO],0)),"")</f>
        <v/>
      </c>
      <c r="C458" s="68" t="str">
        <f>IFERROR(INDEX(Tableau4[Designation],MATCH($A458,Tableau4[EVO],0)),"")</f>
        <v/>
      </c>
      <c r="D458" s="68"/>
      <c r="E458" s="70">
        <v>255</v>
      </c>
      <c r="F458" s="71">
        <v>241</v>
      </c>
      <c r="G458" s="101" t="str">
        <f>INDEX(Tableau8[Att1],MATCH(Tableau3[[#This Row],[ID-INS]],Tableau8[ID],0))&amp;""</f>
        <v>V12</v>
      </c>
      <c r="H458" s="101" t="str">
        <f>INDEX(Tableau8[Att2],MATCH(Tableau3[[#This Row],[ID-INS]],Tableau8[ID],0))&amp;""</f>
        <v>P1</v>
      </c>
      <c r="I458" s="101" t="str">
        <f>INDEX(Tableau8[Att3],MATCH(Tableau3[[#This Row],[ID-INS]],Tableau8[ID],0))&amp;""</f>
        <v>Portail P1</v>
      </c>
      <c r="J458" s="101"/>
      <c r="K458" s="167" t="str">
        <f>INDEX(Tableau8[Nom du modele],MATCH(Tableau3[[#This Row],[ID-INS]],Tableau8[ID],0))&amp;""</f>
        <v>PortailR2V_2</v>
      </c>
      <c r="L458" s="99" t="str">
        <f>INDEX(Tableau5[Att1],MATCH(Tableau3[[#This Row],[ID-SIG]],Tableau5[ID],0))&amp;""</f>
        <v>Vx_OuvGCmd2</v>
      </c>
      <c r="M458" s="99" t="str">
        <f>INDEX(Tableau5[Att2],MATCH(Tableau3[[#This Row],[ID-SIG]],Tableau5[ID],0))&amp;""</f>
        <v/>
      </c>
      <c r="N458" s="99" t="str">
        <f>INDEX(Tableau5[Att3],MATCH(Tableau3[[#This Row],[ID-SIG]],Tableau5[ID],0))&amp;""</f>
        <v/>
      </c>
      <c r="O458" s="99"/>
      <c r="P458" s="99" t="str">
        <f>INDEX(Tableau5[Description],MATCH(Tableau3[[#This Row],[ID-SIG]],Tableau5[ID],0))</f>
        <v>Commande 2 ouverture gâche</v>
      </c>
      <c r="Q458" s="99"/>
      <c r="R458" s="103" t="str">
        <f>Tableau3[[#This Row],[Description]]</f>
        <v>Commande 2 ouverture gâche</v>
      </c>
      <c r="U458" s="87">
        <v>3</v>
      </c>
      <c r="V458" s="87">
        <v>1</v>
      </c>
      <c r="W458" s="87">
        <v>10</v>
      </c>
      <c r="X458" s="87">
        <v>0</v>
      </c>
      <c r="Y458" s="41"/>
      <c r="Z458" s="165" t="str">
        <f>INDEX(Tableau2[TS],MATCH(Tableau3[[#This Row],[ID-CARTEVOIE]],Tableau2[ID-CARTEVOIE],0))</f>
        <v>ST</v>
      </c>
      <c r="AA458" s="53" t="s">
        <v>213</v>
      </c>
      <c r="AB458" s="223" t="str">
        <f>IFERROR(INDEX(Tableau5[Reserve],MATCH(Tableau3[[#This Row],[ID-SIG]],Tableau5[ID],0))&amp;"","")</f>
        <v/>
      </c>
      <c r="AC458" s="21"/>
      <c r="AD458" s="108" t="str">
        <f>INDEX(Tableau7[Repere],MATCH(Tableau3[[#This Row],[ID-API]],Tableau7[ID-API],0))&amp;""</f>
        <v>A3</v>
      </c>
      <c r="AE458" s="108" t="str">
        <f>INDEX(Tableau1[Repere-Rack],MATCH(Tableau3[[#This Row],[ID-RACK]],Tableau1[ID-RACK],0))&amp;""</f>
        <v>R1</v>
      </c>
      <c r="AF458" s="108" t="str">
        <f>INDEX(Tableau1[Repere-Slot],MATCH(Tableau3[[#This Row],[ID-SLOT]],Tableau1[ID-SLOT],0))&amp;""</f>
        <v>S10</v>
      </c>
      <c r="AG458" s="108" t="str">
        <f>INDEX(Tableau2[Repere-Voie],MATCH(Tableau3[[#This Row],[ID-VOIE]],Tableau2[ID-Voie],0))&amp;""</f>
        <v>v0</v>
      </c>
      <c r="AH458" s="72" t="str">
        <f>Tableau3[[#This Row],[ID-API]]&amp; "." &amp;Tableau3[[#This Row],[ID-RACK]]&amp; "." &amp;Tableau3[[#This Row],[ID-SLOT]]</f>
        <v>3.1.10</v>
      </c>
      <c r="AI458" s="72" t="str">
        <f>INDEX(Tableau1[Ref-Carte],MATCH(Tableau3[[#This Row],[ID-RRS]],Tableau1[ID-RRS],0))</f>
        <v>SDO0802</v>
      </c>
      <c r="AJ458" s="72" t="str">
        <f t="array" ref="AJ458">IFERROR(INDEX(Tableau2[TS],MATCH(1,(Tableau2[Ref-Carte]=Tableau3[[#This Row],[Ref-Carte2]])*(Tableau2[ID-Voie]=Tableau3[[#This Row],[ID-VOIE]]),0)),"")</f>
        <v>ST</v>
      </c>
      <c r="AK458" s="72" t="str">
        <f>IFERROR(INDEX(Tableau2[TS],SUMPRODUCT((Tableau2[Ref-Carte]=Tableau3[[#This Row],[Ref-Carte2]])*(Tableau2[ID-Voie]=Tableau3[[#This Row],[ID-VOIE]])*ROW(Tableau2[TS]))-ROW(Tableau2[#Headers])),"")</f>
        <v>ST</v>
      </c>
      <c r="AL458" s="72" t="str">
        <f>Tableau3[[#This Row],[Ref-Carte2]]&amp;"/"&amp;Tableau3[[#This Row],[ID-VOIE]]</f>
        <v>SDO0802/0</v>
      </c>
      <c r="AM458" s="73" t="str">
        <f>INDEX(Tableau2[Borne],MATCH(Tableau3[[#This Row],[ID-CARTEVOIE]],Tableau2[ID-CARTEVOIE],0))&amp;""</f>
        <v>0</v>
      </c>
      <c r="AN458" s="74" t="str">
        <f>Tableau3[[#This Row],[ID-API]]&amp;Tableau3[[#This Row],[ID-RACK]]&amp;Tableau3[[#This Row],[ID-SLOT]]&amp;Tableau3[[#This Row],[BORNE]]</f>
        <v>31100</v>
      </c>
      <c r="AO458" s="1"/>
    </row>
    <row r="459" spans="1:41" ht="20.100000000000001" customHeight="1" thickTop="1" thickBot="1">
      <c r="A459" s="68"/>
      <c r="B459" s="69" t="str">
        <f>IFERROR(INDEX(Tableau4[Date],MATCH($A459,Tableau4[EVO],0)),"")</f>
        <v/>
      </c>
      <c r="C459" s="68" t="str">
        <f>IFERROR(INDEX(Tableau4[Designation],MATCH($A459,Tableau4[EVO],0)),"")</f>
        <v/>
      </c>
      <c r="D459" s="68"/>
      <c r="E459" s="70">
        <v>256</v>
      </c>
      <c r="F459" s="71">
        <v>135</v>
      </c>
      <c r="G459" s="101" t="str">
        <f>INDEX(Tableau8[Att1],MATCH(Tableau3[[#This Row],[ID-INS]],Tableau8[ID],0))&amp;""</f>
        <v>V3</v>
      </c>
      <c r="H459" s="101" t="str">
        <f>INDEX(Tableau8[Att2],MATCH(Tableau3[[#This Row],[ID-INS]],Tableau8[ID],0))&amp;""</f>
        <v>P2</v>
      </c>
      <c r="I459" s="101" t="str">
        <f>INDEX(Tableau8[Att3],MATCH(Tableau3[[#This Row],[ID-INS]],Tableau8[ID],0))&amp;""</f>
        <v>Portail P2</v>
      </c>
      <c r="J459" s="101"/>
      <c r="K459" s="167" t="str">
        <f>INDEX(Tableau8[Nom du modele],MATCH(Tableau3[[#This Row],[ID-INS]],Tableau8[ID],0))&amp;""</f>
        <v>PortailR1V_2</v>
      </c>
      <c r="L459" s="99" t="str">
        <f>INDEX(Tableau5[Att1],MATCH(Tableau3[[#This Row],[ID-SIG]],Tableau5[ID],0))&amp;""</f>
        <v>V2_GrpHydCmd2</v>
      </c>
      <c r="M459" s="99" t="str">
        <f>INDEX(Tableau5[Att2],MATCH(Tableau3[[#This Row],[ID-SIG]],Tableau5[ID],0))&amp;""</f>
        <v/>
      </c>
      <c r="N459" s="99" t="str">
        <f>INDEX(Tableau5[Att3],MATCH(Tableau3[[#This Row],[ID-SIG]],Tableau5[ID],0))&amp;""</f>
        <v/>
      </c>
      <c r="O459" s="99"/>
      <c r="P459" s="99" t="str">
        <f>INDEX(Tableau5[Description],MATCH(Tableau3[[#This Row],[ID-SIG]],Tableau5[ID],0))</f>
        <v>Commande 2 marche groupe hydraulique vantail 2</v>
      </c>
      <c r="Q459" s="99"/>
      <c r="R459" s="103" t="str">
        <f>Tableau3[[#This Row],[Description]]</f>
        <v>Commande 2 marche groupe hydraulique vantail 2</v>
      </c>
      <c r="U459" s="87">
        <v>3</v>
      </c>
      <c r="V459" s="87">
        <v>1</v>
      </c>
      <c r="W459" s="87">
        <v>10</v>
      </c>
      <c r="X459" s="87">
        <v>1</v>
      </c>
      <c r="Y459" s="41"/>
      <c r="Z459" s="165" t="str">
        <f>INDEX(Tableau2[TS],MATCH(Tableau3[[#This Row],[ID-CARTEVOIE]],Tableau2[ID-CARTEVOIE],0))</f>
        <v>ST</v>
      </c>
      <c r="AA459" s="53" t="s">
        <v>213</v>
      </c>
      <c r="AB459" s="223" t="str">
        <f>IFERROR(INDEX(Tableau5[Reserve],MATCH(Tableau3[[#This Row],[ID-SIG]],Tableau5[ID],0))&amp;"","")</f>
        <v/>
      </c>
      <c r="AC459" s="21"/>
      <c r="AD459" s="108" t="str">
        <f>INDEX(Tableau7[Repere],MATCH(Tableau3[[#This Row],[ID-API]],Tableau7[ID-API],0))&amp;""</f>
        <v>A3</v>
      </c>
      <c r="AE459" s="108" t="str">
        <f>INDEX(Tableau1[Repere-Rack],MATCH(Tableau3[[#This Row],[ID-RACK]],Tableau1[ID-RACK],0))&amp;""</f>
        <v>R1</v>
      </c>
      <c r="AF459" s="108" t="str">
        <f>INDEX(Tableau1[Repere-Slot],MATCH(Tableau3[[#This Row],[ID-SLOT]],Tableau1[ID-SLOT],0))&amp;""</f>
        <v>S10</v>
      </c>
      <c r="AG459" s="108" t="str">
        <f>INDEX(Tableau2[Repere-Voie],MATCH(Tableau3[[#This Row],[ID-VOIE]],Tableau2[ID-Voie],0))&amp;""</f>
        <v>v1</v>
      </c>
      <c r="AH459" s="72" t="str">
        <f>Tableau3[[#This Row],[ID-API]]&amp; "." &amp;Tableau3[[#This Row],[ID-RACK]]&amp; "." &amp;Tableau3[[#This Row],[ID-SLOT]]</f>
        <v>3.1.10</v>
      </c>
      <c r="AI459" s="72" t="str">
        <f>INDEX(Tableau1[Ref-Carte],MATCH(Tableau3[[#This Row],[ID-RRS]],Tableau1[ID-RRS],0))</f>
        <v>SDO0802</v>
      </c>
      <c r="AJ459" s="72" t="str">
        <f t="array" ref="AJ459">IFERROR(INDEX(Tableau2[TS],MATCH(1,(Tableau2[Ref-Carte]=Tableau3[[#This Row],[Ref-Carte2]])*(Tableau2[ID-Voie]=Tableau3[[#This Row],[ID-VOIE]]),0)),"")</f>
        <v>ST</v>
      </c>
      <c r="AK459" s="72" t="str">
        <f>IFERROR(INDEX(Tableau2[TS],SUMPRODUCT((Tableau2[Ref-Carte]=Tableau3[[#This Row],[Ref-Carte2]])*(Tableau2[ID-Voie]=Tableau3[[#This Row],[ID-VOIE]])*ROW(Tableau2[TS]))-ROW(Tableau2[#Headers])),"")</f>
        <v>ST</v>
      </c>
      <c r="AL459" s="72" t="str">
        <f>Tableau3[[#This Row],[Ref-Carte2]]&amp;"/"&amp;Tableau3[[#This Row],[ID-VOIE]]</f>
        <v>SDO0802/1</v>
      </c>
      <c r="AM459" s="73" t="str">
        <f>INDEX(Tableau2[Borne],MATCH(Tableau3[[#This Row],[ID-CARTEVOIE]],Tableau2[ID-CARTEVOIE],0))&amp;""</f>
        <v>1</v>
      </c>
      <c r="AN459" s="74" t="str">
        <f>Tableau3[[#This Row],[ID-API]]&amp;Tableau3[[#This Row],[ID-RACK]]&amp;Tableau3[[#This Row],[ID-SLOT]]&amp;Tableau3[[#This Row],[BORNE]]</f>
        <v>31101</v>
      </c>
      <c r="AO459" s="1"/>
    </row>
    <row r="460" spans="1:41" ht="20.100000000000001" customHeight="1" thickTop="1" thickBot="1">
      <c r="A460" s="68"/>
      <c r="B460" s="69" t="str">
        <f>IFERROR(INDEX(Tableau4[Date],MATCH($A460,Tableau4[EVO],0)),"")</f>
        <v/>
      </c>
      <c r="C460" s="68" t="str">
        <f>IFERROR(INDEX(Tableau4[Designation],MATCH($A460,Tableau4[EVO],0)),"")</f>
        <v/>
      </c>
      <c r="D460" s="68"/>
      <c r="E460" s="70">
        <v>256</v>
      </c>
      <c r="F460" s="71">
        <v>136</v>
      </c>
      <c r="G460" s="101" t="str">
        <f>INDEX(Tableau8[Att1],MATCH(Tableau3[[#This Row],[ID-INS]],Tableau8[ID],0))&amp;""</f>
        <v>V3</v>
      </c>
      <c r="H460" s="101" t="str">
        <f>INDEX(Tableau8[Att2],MATCH(Tableau3[[#This Row],[ID-INS]],Tableau8[ID],0))&amp;""</f>
        <v>P2</v>
      </c>
      <c r="I460" s="101" t="str">
        <f>INDEX(Tableau8[Att3],MATCH(Tableau3[[#This Row],[ID-INS]],Tableau8[ID],0))&amp;""</f>
        <v>Portail P2</v>
      </c>
      <c r="J460" s="101"/>
      <c r="K460" s="167" t="str">
        <f>INDEX(Tableau8[Nom du modele],MATCH(Tableau3[[#This Row],[ID-INS]],Tableau8[ID],0))&amp;""</f>
        <v>PortailR1V_2</v>
      </c>
      <c r="L460" s="99" t="str">
        <f>INDEX(Tableau5[Att1],MATCH(Tableau3[[#This Row],[ID-SIG]],Tableau5[ID],0))&amp;""</f>
        <v>V2_FerCmd2</v>
      </c>
      <c r="M460" s="99" t="str">
        <f>INDEX(Tableau5[Att2],MATCH(Tableau3[[#This Row],[ID-SIG]],Tableau5[ID],0))&amp;""</f>
        <v/>
      </c>
      <c r="N460" s="99" t="str">
        <f>INDEX(Tableau5[Att3],MATCH(Tableau3[[#This Row],[ID-SIG]],Tableau5[ID],0))&amp;""</f>
        <v/>
      </c>
      <c r="O460" s="99"/>
      <c r="P460" s="99" t="str">
        <f>INDEX(Tableau5[Description],MATCH(Tableau3[[#This Row],[ID-SIG]],Tableau5[ID],0))</f>
        <v>Commande 2 fermeture vantail 2</v>
      </c>
      <c r="Q460" s="99"/>
      <c r="R460" s="103" t="str">
        <f>Tableau3[[#This Row],[Description]]</f>
        <v>Commande 2 fermeture vantail 2</v>
      </c>
      <c r="U460" s="87">
        <v>3</v>
      </c>
      <c r="V460" s="87">
        <v>1</v>
      </c>
      <c r="W460" s="87">
        <v>10</v>
      </c>
      <c r="X460" s="87">
        <v>2</v>
      </c>
      <c r="Y460" s="41"/>
      <c r="Z460" s="165" t="str">
        <f>INDEX(Tableau2[TS],MATCH(Tableau3[[#This Row],[ID-CARTEVOIE]],Tableau2[ID-CARTEVOIE],0))</f>
        <v>ST</v>
      </c>
      <c r="AA460" s="53" t="s">
        <v>213</v>
      </c>
      <c r="AB460" s="223" t="str">
        <f>IFERROR(INDEX(Tableau5[Reserve],MATCH(Tableau3[[#This Row],[ID-SIG]],Tableau5[ID],0))&amp;"","")</f>
        <v/>
      </c>
      <c r="AC460" s="21"/>
      <c r="AD460" s="108" t="str">
        <f>INDEX(Tableau7[Repere],MATCH(Tableau3[[#This Row],[ID-API]],Tableau7[ID-API],0))&amp;""</f>
        <v>A3</v>
      </c>
      <c r="AE460" s="108" t="str">
        <f>INDEX(Tableau1[Repere-Rack],MATCH(Tableau3[[#This Row],[ID-RACK]],Tableau1[ID-RACK],0))&amp;""</f>
        <v>R1</v>
      </c>
      <c r="AF460" s="108" t="str">
        <f>INDEX(Tableau1[Repere-Slot],MATCH(Tableau3[[#This Row],[ID-SLOT]],Tableau1[ID-SLOT],0))&amp;""</f>
        <v>S10</v>
      </c>
      <c r="AG460" s="108" t="str">
        <f>INDEX(Tableau2[Repere-Voie],MATCH(Tableau3[[#This Row],[ID-VOIE]],Tableau2[ID-Voie],0))&amp;""</f>
        <v>v2</v>
      </c>
      <c r="AH460" s="72" t="str">
        <f>Tableau3[[#This Row],[ID-API]]&amp; "." &amp;Tableau3[[#This Row],[ID-RACK]]&amp; "." &amp;Tableau3[[#This Row],[ID-SLOT]]</f>
        <v>3.1.10</v>
      </c>
      <c r="AI460" s="72" t="str">
        <f>INDEX(Tableau1[Ref-Carte],MATCH(Tableau3[[#This Row],[ID-RRS]],Tableau1[ID-RRS],0))</f>
        <v>SDO0802</v>
      </c>
      <c r="AJ460" s="72" t="str">
        <f t="array" ref="AJ460">IFERROR(INDEX(Tableau2[TS],MATCH(1,(Tableau2[Ref-Carte]=Tableau3[[#This Row],[Ref-Carte2]])*(Tableau2[ID-Voie]=Tableau3[[#This Row],[ID-VOIE]]),0)),"")</f>
        <v>ST</v>
      </c>
      <c r="AK460" s="72" t="str">
        <f>IFERROR(INDEX(Tableau2[TS],SUMPRODUCT((Tableau2[Ref-Carte]=Tableau3[[#This Row],[Ref-Carte2]])*(Tableau2[ID-Voie]=Tableau3[[#This Row],[ID-VOIE]])*ROW(Tableau2[TS]))-ROW(Tableau2[#Headers])),"")</f>
        <v>ST</v>
      </c>
      <c r="AL460" s="72" t="str">
        <f>Tableau3[[#This Row],[Ref-Carte2]]&amp;"/"&amp;Tableau3[[#This Row],[ID-VOIE]]</f>
        <v>SDO0802/2</v>
      </c>
      <c r="AM460" s="73" t="str">
        <f>INDEX(Tableau2[Borne],MATCH(Tableau3[[#This Row],[ID-CARTEVOIE]],Tableau2[ID-CARTEVOIE],0))&amp;""</f>
        <v>2</v>
      </c>
      <c r="AN460" s="74" t="str">
        <f>Tableau3[[#This Row],[ID-API]]&amp;Tableau3[[#This Row],[ID-RACK]]&amp;Tableau3[[#This Row],[ID-SLOT]]&amp;Tableau3[[#This Row],[BORNE]]</f>
        <v>31102</v>
      </c>
      <c r="AO460" s="1"/>
    </row>
    <row r="461" spans="1:41" ht="20.100000000000001" customHeight="1" thickTop="1" thickBot="1">
      <c r="A461" s="68"/>
      <c r="B461" s="69" t="str">
        <f>IFERROR(INDEX(Tableau4[Date],MATCH($A461,Tableau4[EVO],0)),"")</f>
        <v/>
      </c>
      <c r="C461" s="68" t="str">
        <f>IFERROR(INDEX(Tableau4[Designation],MATCH($A461,Tableau4[EVO],0)),"")</f>
        <v/>
      </c>
      <c r="D461" s="68"/>
      <c r="E461" s="70">
        <v>256</v>
      </c>
      <c r="F461" s="71">
        <v>140</v>
      </c>
      <c r="G461" s="101" t="str">
        <f>INDEX(Tableau8[Att1],MATCH(Tableau3[[#This Row],[ID-INS]],Tableau8[ID],0))&amp;""</f>
        <v>V3</v>
      </c>
      <c r="H461" s="101" t="str">
        <f>INDEX(Tableau8[Att2],MATCH(Tableau3[[#This Row],[ID-INS]],Tableau8[ID],0))&amp;""</f>
        <v>P2</v>
      </c>
      <c r="I461" s="101" t="str">
        <f>INDEX(Tableau8[Att3],MATCH(Tableau3[[#This Row],[ID-INS]],Tableau8[ID],0))&amp;""</f>
        <v>Portail P2</v>
      </c>
      <c r="J461" s="101"/>
      <c r="K461" s="167" t="str">
        <f>INDEX(Tableau8[Nom du modele],MATCH(Tableau3[[#This Row],[ID-INS]],Tableau8[ID],0))&amp;""</f>
        <v>PortailR1V_2</v>
      </c>
      <c r="L461" s="99" t="str">
        <f>INDEX(Tableau5[Att1],MATCH(Tableau3[[#This Row],[ID-SIG]],Tableau5[ID],0))&amp;""</f>
        <v>V2_SignalCmd</v>
      </c>
      <c r="M461" s="99" t="str">
        <f>INDEX(Tableau5[Att2],MATCH(Tableau3[[#This Row],[ID-SIG]],Tableau5[ID],0))&amp;""</f>
        <v/>
      </c>
      <c r="N461" s="99" t="str">
        <f>INDEX(Tableau5[Att3],MATCH(Tableau3[[#This Row],[ID-SIG]],Tableau5[ID],0))&amp;""</f>
        <v/>
      </c>
      <c r="O461" s="99"/>
      <c r="P461" s="99" t="str">
        <f>INDEX(Tableau5[Description],MATCH(Tableau3[[#This Row],[ID-SIG]],Tableau5[ID],0))</f>
        <v>Commande signalisation du vantail 2</v>
      </c>
      <c r="Q461" s="99"/>
      <c r="R461" s="103" t="str">
        <f>Tableau3[[#This Row],[Description]]</f>
        <v>Commande signalisation du vantail 2</v>
      </c>
      <c r="U461" s="87">
        <v>3</v>
      </c>
      <c r="V461" s="87">
        <v>1</v>
      </c>
      <c r="W461" s="87">
        <v>10</v>
      </c>
      <c r="X461" s="87">
        <v>3</v>
      </c>
      <c r="Y461" s="41"/>
      <c r="Z461" s="165" t="str">
        <f>INDEX(Tableau2[TS],MATCH(Tableau3[[#This Row],[ID-CARTEVOIE]],Tableau2[ID-CARTEVOIE],0))</f>
        <v>ST</v>
      </c>
      <c r="AA461" s="53" t="s">
        <v>213</v>
      </c>
      <c r="AB461" s="223" t="str">
        <f>IFERROR(INDEX(Tableau5[Reserve],MATCH(Tableau3[[#This Row],[ID-SIG]],Tableau5[ID],0))&amp;"","")</f>
        <v/>
      </c>
      <c r="AC461" s="21"/>
      <c r="AD461" s="108" t="str">
        <f>INDEX(Tableau7[Repere],MATCH(Tableau3[[#This Row],[ID-API]],Tableau7[ID-API],0))&amp;""</f>
        <v>A3</v>
      </c>
      <c r="AE461" s="108" t="str">
        <f>INDEX(Tableau1[Repere-Rack],MATCH(Tableau3[[#This Row],[ID-RACK]],Tableau1[ID-RACK],0))&amp;""</f>
        <v>R1</v>
      </c>
      <c r="AF461" s="108" t="str">
        <f>INDEX(Tableau1[Repere-Slot],MATCH(Tableau3[[#This Row],[ID-SLOT]],Tableau1[ID-SLOT],0))&amp;""</f>
        <v>S10</v>
      </c>
      <c r="AG461" s="108" t="str">
        <f>INDEX(Tableau2[Repere-Voie],MATCH(Tableau3[[#This Row],[ID-VOIE]],Tableau2[ID-Voie],0))&amp;""</f>
        <v>v3</v>
      </c>
      <c r="AH461" s="72" t="str">
        <f>Tableau3[[#This Row],[ID-API]]&amp; "." &amp;Tableau3[[#This Row],[ID-RACK]]&amp; "." &amp;Tableau3[[#This Row],[ID-SLOT]]</f>
        <v>3.1.10</v>
      </c>
      <c r="AI461" s="72" t="str">
        <f>INDEX(Tableau1[Ref-Carte],MATCH(Tableau3[[#This Row],[ID-RRS]],Tableau1[ID-RRS],0))</f>
        <v>SDO0802</v>
      </c>
      <c r="AJ461" s="72" t="str">
        <f t="array" ref="AJ461">IFERROR(INDEX(Tableau2[TS],MATCH(1,(Tableau2[Ref-Carte]=Tableau3[[#This Row],[Ref-Carte2]])*(Tableau2[ID-Voie]=Tableau3[[#This Row],[ID-VOIE]]),0)),"")</f>
        <v>ST</v>
      </c>
      <c r="AK461" s="72" t="str">
        <f>IFERROR(INDEX(Tableau2[TS],SUMPRODUCT((Tableau2[Ref-Carte]=Tableau3[[#This Row],[Ref-Carte2]])*(Tableau2[ID-Voie]=Tableau3[[#This Row],[ID-VOIE]])*ROW(Tableau2[TS]))-ROW(Tableau2[#Headers])),"")</f>
        <v>ST</v>
      </c>
      <c r="AL461" s="72" t="str">
        <f>Tableau3[[#This Row],[Ref-Carte2]]&amp;"/"&amp;Tableau3[[#This Row],[ID-VOIE]]</f>
        <v>SDO0802/3</v>
      </c>
      <c r="AM461" s="73" t="str">
        <f>INDEX(Tableau2[Borne],MATCH(Tableau3[[#This Row],[ID-CARTEVOIE]],Tableau2[ID-CARTEVOIE],0))&amp;""</f>
        <v>3</v>
      </c>
      <c r="AN461" s="74" t="str">
        <f>Tableau3[[#This Row],[ID-API]]&amp;Tableau3[[#This Row],[ID-RACK]]&amp;Tableau3[[#This Row],[ID-SLOT]]&amp;Tableau3[[#This Row],[BORNE]]</f>
        <v>31103</v>
      </c>
      <c r="AO461" s="1"/>
    </row>
    <row r="462" spans="1:41" ht="20.100000000000001" customHeight="1" thickTop="1" thickBot="1">
      <c r="A462" s="68"/>
      <c r="B462" s="69" t="str">
        <f>IFERROR(INDEX(Tableau4[Date],MATCH($A462,Tableau4[EVO],0)),"")</f>
        <v/>
      </c>
      <c r="C462" s="68" t="str">
        <f>IFERROR(INDEX(Tableau4[Designation],MATCH($A462,Tableau4[EVO],0)),"")</f>
        <v/>
      </c>
      <c r="D462" s="68"/>
      <c r="E462" s="70">
        <v>256</v>
      </c>
      <c r="F462" s="71">
        <v>142</v>
      </c>
      <c r="G462" s="101" t="str">
        <f>INDEX(Tableau8[Att1],MATCH(Tableau3[[#This Row],[ID-INS]],Tableau8[ID],0))&amp;""</f>
        <v>V3</v>
      </c>
      <c r="H462" s="101" t="str">
        <f>INDEX(Tableau8[Att2],MATCH(Tableau3[[#This Row],[ID-INS]],Tableau8[ID],0))&amp;""</f>
        <v>P2</v>
      </c>
      <c r="I462" s="101" t="str">
        <f>INDEX(Tableau8[Att3],MATCH(Tableau3[[#This Row],[ID-INS]],Tableau8[ID],0))&amp;""</f>
        <v>Portail P2</v>
      </c>
      <c r="J462" s="101"/>
      <c r="K462" s="167" t="str">
        <f>INDEX(Tableau8[Nom du modele],MATCH(Tableau3[[#This Row],[ID-INS]],Tableau8[ID],0))&amp;""</f>
        <v>PortailR1V_2</v>
      </c>
      <c r="L462" s="99" t="str">
        <f>INDEX(Tableau5[Att1],MATCH(Tableau3[[#This Row],[ID-SIG]],Tableau5[ID],0))&amp;""</f>
        <v>V2_OuvCmd</v>
      </c>
      <c r="M462" s="99" t="str">
        <f>INDEX(Tableau5[Att2],MATCH(Tableau3[[#This Row],[ID-SIG]],Tableau5[ID],0))&amp;""</f>
        <v/>
      </c>
      <c r="N462" s="99" t="str">
        <f>INDEX(Tableau5[Att3],MATCH(Tableau3[[#This Row],[ID-SIG]],Tableau5[ID],0))&amp;""</f>
        <v/>
      </c>
      <c r="O462" s="99"/>
      <c r="P462" s="99" t="str">
        <f>INDEX(Tableau5[Description],MATCH(Tableau3[[#This Row],[ID-SIG]],Tableau5[ID],0))</f>
        <v>Commande d'ouverture du vantail 2</v>
      </c>
      <c r="Q462" s="99"/>
      <c r="R462" s="103" t="str">
        <f>Tableau3[[#This Row],[Description]]</f>
        <v>Commande d'ouverture du vantail 2</v>
      </c>
      <c r="U462" s="87">
        <v>3</v>
      </c>
      <c r="V462" s="87">
        <v>1</v>
      </c>
      <c r="W462" s="87">
        <v>10</v>
      </c>
      <c r="X462" s="87">
        <v>4</v>
      </c>
      <c r="Y462" s="41"/>
      <c r="Z462" s="165" t="str">
        <f>INDEX(Tableau2[TS],MATCH(Tableau3[[#This Row],[ID-CARTEVOIE]],Tableau2[ID-CARTEVOIE],0))</f>
        <v>ST</v>
      </c>
      <c r="AA462" s="53" t="s">
        <v>213</v>
      </c>
      <c r="AB462" s="223" t="str">
        <f>IFERROR(INDEX(Tableau5[Reserve],MATCH(Tableau3[[#This Row],[ID-SIG]],Tableau5[ID],0))&amp;"","")</f>
        <v/>
      </c>
      <c r="AC462" s="21"/>
      <c r="AD462" s="108" t="str">
        <f>INDEX(Tableau7[Repere],MATCH(Tableau3[[#This Row],[ID-API]],Tableau7[ID-API],0))&amp;""</f>
        <v>A3</v>
      </c>
      <c r="AE462" s="108" t="str">
        <f>INDEX(Tableau1[Repere-Rack],MATCH(Tableau3[[#This Row],[ID-RACK]],Tableau1[ID-RACK],0))&amp;""</f>
        <v>R1</v>
      </c>
      <c r="AF462" s="108" t="str">
        <f>INDEX(Tableau1[Repere-Slot],MATCH(Tableau3[[#This Row],[ID-SLOT]],Tableau1[ID-SLOT],0))&amp;""</f>
        <v>S10</v>
      </c>
      <c r="AG462" s="108" t="str">
        <f>INDEX(Tableau2[Repere-Voie],MATCH(Tableau3[[#This Row],[ID-VOIE]],Tableau2[ID-Voie],0))&amp;""</f>
        <v>v4</v>
      </c>
      <c r="AH462" s="72" t="str">
        <f>Tableau3[[#This Row],[ID-API]]&amp; "." &amp;Tableau3[[#This Row],[ID-RACK]]&amp; "." &amp;Tableau3[[#This Row],[ID-SLOT]]</f>
        <v>3.1.10</v>
      </c>
      <c r="AI462" s="72" t="str">
        <f>INDEX(Tableau1[Ref-Carte],MATCH(Tableau3[[#This Row],[ID-RRS]],Tableau1[ID-RRS],0))</f>
        <v>SDO0802</v>
      </c>
      <c r="AJ462" s="72" t="str">
        <f t="array" ref="AJ462">IFERROR(INDEX(Tableau2[TS],MATCH(1,(Tableau2[Ref-Carte]=Tableau3[[#This Row],[Ref-Carte2]])*(Tableau2[ID-Voie]=Tableau3[[#This Row],[ID-VOIE]]),0)),"")</f>
        <v>ST</v>
      </c>
      <c r="AK462" s="72" t="str">
        <f>IFERROR(INDEX(Tableau2[TS],SUMPRODUCT((Tableau2[Ref-Carte]=Tableau3[[#This Row],[Ref-Carte2]])*(Tableau2[ID-Voie]=Tableau3[[#This Row],[ID-VOIE]])*ROW(Tableau2[TS]))-ROW(Tableau2[#Headers])),"")</f>
        <v>ST</v>
      </c>
      <c r="AL462" s="72" t="str">
        <f>Tableau3[[#This Row],[Ref-Carte2]]&amp;"/"&amp;Tableau3[[#This Row],[ID-VOIE]]</f>
        <v>SDO0802/4</v>
      </c>
      <c r="AM462" s="73" t="str">
        <f>INDEX(Tableau2[Borne],MATCH(Tableau3[[#This Row],[ID-CARTEVOIE]],Tableau2[ID-CARTEVOIE],0))&amp;""</f>
        <v>4</v>
      </c>
      <c r="AN462" s="74" t="str">
        <f>Tableau3[[#This Row],[ID-API]]&amp;Tableau3[[#This Row],[ID-RACK]]&amp;Tableau3[[#This Row],[ID-SLOT]]&amp;Tableau3[[#This Row],[BORNE]]</f>
        <v>31104</v>
      </c>
      <c r="AO462" s="1"/>
    </row>
    <row r="463" spans="1:41" ht="20.100000000000001" customHeight="1" thickTop="1" thickBot="1">
      <c r="A463" s="68"/>
      <c r="B463" s="69" t="str">
        <f>IFERROR(INDEX(Tableau4[Date],MATCH($A463,Tableau4[EVO],0)),"")</f>
        <v/>
      </c>
      <c r="C463" s="68" t="str">
        <f>IFERROR(INDEX(Tableau4[Designation],MATCH($A463,Tableau4[EVO],0)),"")</f>
        <v/>
      </c>
      <c r="D463" s="68"/>
      <c r="E463" s="70">
        <v>256</v>
      </c>
      <c r="F463" s="71">
        <v>143</v>
      </c>
      <c r="G463" s="101" t="str">
        <f>INDEX(Tableau8[Att1],MATCH(Tableau3[[#This Row],[ID-INS]],Tableau8[ID],0))&amp;""</f>
        <v>V3</v>
      </c>
      <c r="H463" s="101" t="str">
        <f>INDEX(Tableau8[Att2],MATCH(Tableau3[[#This Row],[ID-INS]],Tableau8[ID],0))&amp;""</f>
        <v>P2</v>
      </c>
      <c r="I463" s="101" t="str">
        <f>INDEX(Tableau8[Att3],MATCH(Tableau3[[#This Row],[ID-INS]],Tableau8[ID],0))&amp;""</f>
        <v>Portail P2</v>
      </c>
      <c r="J463" s="101"/>
      <c r="K463" s="167" t="str">
        <f>INDEX(Tableau8[Nom du modele],MATCH(Tableau3[[#This Row],[ID-INS]],Tableau8[ID],0))&amp;""</f>
        <v>PortailR1V_2</v>
      </c>
      <c r="L463" s="154" t="s">
        <v>560</v>
      </c>
      <c r="M463" s="99" t="str">
        <f>INDEX(Tableau5[Att2],MATCH(Tableau3[[#This Row],[ID-SIG]],Tableau5[ID],0))&amp;""</f>
        <v/>
      </c>
      <c r="N463" s="99" t="str">
        <f>INDEX(Tableau5[Att3],MATCH(Tableau3[[#This Row],[ID-SIG]],Tableau5[ID],0))&amp;""</f>
        <v/>
      </c>
      <c r="O463" s="99"/>
      <c r="P463" s="155" t="s">
        <v>1690</v>
      </c>
      <c r="Q463" s="99"/>
      <c r="R463" s="103" t="str">
        <f>Tableau3[[#This Row],[Description]]</f>
        <v>Portail P2 - Commande d'ouverture gâche 2</v>
      </c>
      <c r="U463" s="87">
        <v>3</v>
      </c>
      <c r="V463" s="87">
        <v>1</v>
      </c>
      <c r="W463" s="87">
        <v>10</v>
      </c>
      <c r="X463" s="87">
        <v>5</v>
      </c>
      <c r="Y463" s="41"/>
      <c r="Z463" s="165" t="str">
        <f>INDEX(Tableau2[TS],MATCH(Tableau3[[#This Row],[ID-CARTEVOIE]],Tableau2[ID-CARTEVOIE],0))</f>
        <v>ST</v>
      </c>
      <c r="AA463" s="53" t="s">
        <v>213</v>
      </c>
      <c r="AB463" s="223" t="str">
        <f>IFERROR(INDEX(Tableau5[Reserve],MATCH(Tableau3[[#This Row],[ID-SIG]],Tableau5[ID],0))&amp;"","")</f>
        <v/>
      </c>
      <c r="AC463" s="21"/>
      <c r="AD463" s="108" t="str">
        <f>INDEX(Tableau7[Repere],MATCH(Tableau3[[#This Row],[ID-API]],Tableau7[ID-API],0))&amp;""</f>
        <v>A3</v>
      </c>
      <c r="AE463" s="108" t="str">
        <f>INDEX(Tableau1[Repere-Rack],MATCH(Tableau3[[#This Row],[ID-RACK]],Tableau1[ID-RACK],0))&amp;""</f>
        <v>R1</v>
      </c>
      <c r="AF463" s="108" t="str">
        <f>INDEX(Tableau1[Repere-Slot],MATCH(Tableau3[[#This Row],[ID-SLOT]],Tableau1[ID-SLOT],0))&amp;""</f>
        <v>S10</v>
      </c>
      <c r="AG463" s="108" t="str">
        <f>INDEX(Tableau2[Repere-Voie],MATCH(Tableau3[[#This Row],[ID-VOIE]],Tableau2[ID-Voie],0))&amp;""</f>
        <v>v5</v>
      </c>
      <c r="AH463" s="72" t="str">
        <f>Tableau3[[#This Row],[ID-API]]&amp; "." &amp;Tableau3[[#This Row],[ID-RACK]]&amp; "." &amp;Tableau3[[#This Row],[ID-SLOT]]</f>
        <v>3.1.10</v>
      </c>
      <c r="AI463" s="72" t="str">
        <f>INDEX(Tableau1[Ref-Carte],MATCH(Tableau3[[#This Row],[ID-RRS]],Tableau1[ID-RRS],0))</f>
        <v>SDO0802</v>
      </c>
      <c r="AJ463" s="72" t="str">
        <f t="array" ref="AJ463">IFERROR(INDEX(Tableau2[TS],MATCH(1,(Tableau2[Ref-Carte]=Tableau3[[#This Row],[Ref-Carte2]])*(Tableau2[ID-Voie]=Tableau3[[#This Row],[ID-VOIE]]),0)),"")</f>
        <v>ST</v>
      </c>
      <c r="AK463" s="72" t="str">
        <f>IFERROR(INDEX(Tableau2[TS],SUMPRODUCT((Tableau2[Ref-Carte]=Tableau3[[#This Row],[Ref-Carte2]])*(Tableau2[ID-Voie]=Tableau3[[#This Row],[ID-VOIE]])*ROW(Tableau2[TS]))-ROW(Tableau2[#Headers])),"")</f>
        <v>ST</v>
      </c>
      <c r="AL463" s="72" t="str">
        <f>Tableau3[[#This Row],[Ref-Carte2]]&amp;"/"&amp;Tableau3[[#This Row],[ID-VOIE]]</f>
        <v>SDO0802/5</v>
      </c>
      <c r="AM463" s="73" t="str">
        <f>INDEX(Tableau2[Borne],MATCH(Tableau3[[#This Row],[ID-CARTEVOIE]],Tableau2[ID-CARTEVOIE],0))&amp;""</f>
        <v>5</v>
      </c>
      <c r="AN463" s="74" t="str">
        <f>Tableau3[[#This Row],[ID-API]]&amp;Tableau3[[#This Row],[ID-RACK]]&amp;Tableau3[[#This Row],[ID-SLOT]]&amp;Tableau3[[#This Row],[BORNE]]</f>
        <v>31105</v>
      </c>
      <c r="AO463" s="1"/>
    </row>
    <row r="464" spans="1:41" ht="20.100000000000001" customHeight="1" thickTop="1" thickBot="1">
      <c r="A464" s="68"/>
      <c r="B464" s="69" t="str">
        <f>IFERROR(INDEX(Tableau4[Date],MATCH($A464,Tableau4[EVO],0)),"")</f>
        <v/>
      </c>
      <c r="C464" s="68" t="str">
        <f>IFERROR(INDEX(Tableau4[Designation],MATCH($A464,Tableau4[EVO],0)),"")</f>
        <v/>
      </c>
      <c r="D464" s="68"/>
      <c r="E464" s="70">
        <v>274</v>
      </c>
      <c r="F464" s="71">
        <v>316</v>
      </c>
      <c r="G464" s="101" t="str">
        <f>INDEX(Tableau8[Att1],MATCH(Tableau3[[#This Row],[ID-INS]],Tableau8[ID],0))&amp;""</f>
        <v>V2</v>
      </c>
      <c r="H464" s="101" t="str">
        <f>INDEX(Tableau8[Att2],MATCH(Tableau3[[#This Row],[ID-INS]],Tableau8[ID],0))&amp;""</f>
        <v>F6</v>
      </c>
      <c r="I464" s="101" t="str">
        <f>INDEX(Tableau8[Att3],MATCH(Tableau3[[#This Row],[ID-INS]],Tableau8[ID],0))&amp;""</f>
        <v>Feu F6</v>
      </c>
      <c r="J464" s="101"/>
      <c r="K464" s="167" t="str">
        <f>INDEX(Tableau8[Nom du modele],MATCH(Tableau3[[#This Row],[ID-INS]],Tableau8[ID],0))&amp;""</f>
        <v>FeuBi_2</v>
      </c>
      <c r="L464" s="99" t="str">
        <f>INDEX(Tableau5[Att1],MATCH(Tableau3[[#This Row],[ID-SIG]],Tableau5[ID],0))&amp;""</f>
        <v>FeuR_Cmd</v>
      </c>
      <c r="M464" s="99" t="str">
        <f>INDEX(Tableau5[Att2],MATCH(Tableau3[[#This Row],[ID-SIG]],Tableau5[ID],0))&amp;""</f>
        <v/>
      </c>
      <c r="N464" s="99" t="str">
        <f>INDEX(Tableau5[Att3],MATCH(Tableau3[[#This Row],[ID-SIG]],Tableau5[ID],0))&amp;""</f>
        <v/>
      </c>
      <c r="O464" s="99"/>
      <c r="P464" s="99" t="str">
        <f>INDEX(Tableau5[Description],MATCH(Tableau3[[#This Row],[ID-SIG]],Tableau5[ID],0))</f>
        <v>Commande Feu Rouge</v>
      </c>
      <c r="Q464" s="99"/>
      <c r="R464" s="103" t="str">
        <f>Tableau3[[#This Row],[Description]]</f>
        <v>Commande Feu Rouge</v>
      </c>
      <c r="U464" s="87">
        <v>3</v>
      </c>
      <c r="V464" s="87">
        <v>1</v>
      </c>
      <c r="W464" s="87">
        <v>10</v>
      </c>
      <c r="X464" s="87">
        <v>6</v>
      </c>
      <c r="Y464" s="41"/>
      <c r="Z464" s="165" t="str">
        <f>INDEX(Tableau2[TS],MATCH(Tableau3[[#This Row],[ID-CARTEVOIE]],Tableau2[ID-CARTEVOIE],0))</f>
        <v>ST</v>
      </c>
      <c r="AA464" s="53" t="s">
        <v>213</v>
      </c>
      <c r="AB464" s="223" t="str">
        <f>IFERROR(INDEX(Tableau5[Reserve],MATCH(Tableau3[[#This Row],[ID-SIG]],Tableau5[ID],0))&amp;"","")</f>
        <v/>
      </c>
      <c r="AC464" s="21"/>
      <c r="AD464" s="108" t="str">
        <f>INDEX(Tableau7[Repere],MATCH(Tableau3[[#This Row],[ID-API]],Tableau7[ID-API],0))&amp;""</f>
        <v>A3</v>
      </c>
      <c r="AE464" s="108" t="str">
        <f>INDEX(Tableau1[Repere-Rack],MATCH(Tableau3[[#This Row],[ID-RACK]],Tableau1[ID-RACK],0))&amp;""</f>
        <v>R1</v>
      </c>
      <c r="AF464" s="108" t="str">
        <f>INDEX(Tableau1[Repere-Slot],MATCH(Tableau3[[#This Row],[ID-SLOT]],Tableau1[ID-SLOT],0))&amp;""</f>
        <v>S10</v>
      </c>
      <c r="AG464" s="108" t="str">
        <f>INDEX(Tableau2[Repere-Voie],MATCH(Tableau3[[#This Row],[ID-VOIE]],Tableau2[ID-Voie],0))&amp;""</f>
        <v>v6</v>
      </c>
      <c r="AH464" s="72" t="str">
        <f>Tableau3[[#This Row],[ID-API]]&amp; "." &amp;Tableau3[[#This Row],[ID-RACK]]&amp; "." &amp;Tableau3[[#This Row],[ID-SLOT]]</f>
        <v>3.1.10</v>
      </c>
      <c r="AI464" s="72" t="str">
        <f>INDEX(Tableau1[Ref-Carte],MATCH(Tableau3[[#This Row],[ID-RRS]],Tableau1[ID-RRS],0))</f>
        <v>SDO0802</v>
      </c>
      <c r="AJ464" s="72" t="str">
        <f t="array" ref="AJ464">IFERROR(INDEX(Tableau2[TS],MATCH(1,(Tableau2[Ref-Carte]=Tableau3[[#This Row],[Ref-Carte2]])*(Tableau2[ID-Voie]=Tableau3[[#This Row],[ID-VOIE]]),0)),"")</f>
        <v>ST</v>
      </c>
      <c r="AK464" s="72" t="str">
        <f>IFERROR(INDEX(Tableau2[TS],SUMPRODUCT((Tableau2[Ref-Carte]=Tableau3[[#This Row],[Ref-Carte2]])*(Tableau2[ID-Voie]=Tableau3[[#This Row],[ID-VOIE]])*ROW(Tableau2[TS]))-ROW(Tableau2[#Headers])),"")</f>
        <v>ST</v>
      </c>
      <c r="AL464" s="72" t="str">
        <f>Tableau3[[#This Row],[Ref-Carte2]]&amp;"/"&amp;Tableau3[[#This Row],[ID-VOIE]]</f>
        <v>SDO0802/6</v>
      </c>
      <c r="AM464" s="73" t="str">
        <f>INDEX(Tableau2[Borne],MATCH(Tableau3[[#This Row],[ID-CARTEVOIE]],Tableau2[ID-CARTEVOIE],0))&amp;""</f>
        <v>6</v>
      </c>
      <c r="AN464" s="74" t="str">
        <f>Tableau3[[#This Row],[ID-API]]&amp;Tableau3[[#This Row],[ID-RACK]]&amp;Tableau3[[#This Row],[ID-SLOT]]&amp;Tableau3[[#This Row],[BORNE]]</f>
        <v>31106</v>
      </c>
      <c r="AO464" s="1"/>
    </row>
    <row r="465" spans="1:41" ht="20.100000000000001" customHeight="1" thickTop="1" thickBot="1">
      <c r="A465" s="110"/>
      <c r="B465" s="111" t="str">
        <f>IFERROR(INDEX(Tableau4[Date],MATCH($A465,Tableau4[EVO],0)),"")</f>
        <v/>
      </c>
      <c r="C465" s="112" t="str">
        <f>IFERROR(INDEX(Tableau4[Designation],MATCH($A465,Tableau4[EVO],0)),"")</f>
        <v/>
      </c>
      <c r="D465" s="110"/>
      <c r="E465" s="113"/>
      <c r="F465" s="146"/>
      <c r="G465" s="147" t="e">
        <f>INDEX(Tableau8[Att1],MATCH(Tableau3[[#This Row],[ID-INS]],Tableau8[ID],0))&amp;""</f>
        <v>#N/A</v>
      </c>
      <c r="H465" s="147" t="e">
        <f>INDEX(Tableau8[Att2],MATCH(Tableau3[[#This Row],[ID-INS]],Tableau8[ID],0))&amp;""</f>
        <v>#N/A</v>
      </c>
      <c r="I465" s="147" t="e">
        <f>INDEX(Tableau8[Att3],MATCH(Tableau3[[#This Row],[ID-INS]],Tableau8[ID],0))&amp;""</f>
        <v>#N/A</v>
      </c>
      <c r="J465" s="148"/>
      <c r="K465" s="167" t="e">
        <f>INDEX(Tableau8[Nom du modele],MATCH(Tableau3[[#This Row],[ID-INS]],Tableau8[ID],0))&amp;""</f>
        <v>#N/A</v>
      </c>
      <c r="L465" s="149" t="e">
        <f>INDEX(Tableau5[Att1],MATCH(Tableau3[[#This Row],[ID-SIG]],Tableau5[ID],0))&amp;""</f>
        <v>#N/A</v>
      </c>
      <c r="M465" s="149" t="e">
        <f>INDEX(Tableau5[Att2],MATCH(Tableau3[[#This Row],[ID-SIG]],Tableau5[ID],0))&amp;""</f>
        <v>#N/A</v>
      </c>
      <c r="N465" s="149" t="e">
        <f>INDEX(Tableau5[Att3],MATCH(Tableau3[[#This Row],[ID-SIG]],Tableau5[ID],0))&amp;""</f>
        <v>#N/A</v>
      </c>
      <c r="O465" s="150"/>
      <c r="P465" s="149" t="e">
        <f>INDEX(Tableau5[Description],MATCH(Tableau3[[#This Row],[ID-SIG]],Tableau5[ID],0))</f>
        <v>#N/A</v>
      </c>
      <c r="Q465" s="150"/>
      <c r="R465" s="117" t="e">
        <f>Tableau3[[#This Row],[Description]]</f>
        <v>#N/A</v>
      </c>
      <c r="S465" s="75"/>
      <c r="T465" s="75"/>
      <c r="U465" s="151">
        <v>3</v>
      </c>
      <c r="V465" s="151">
        <v>1</v>
      </c>
      <c r="W465" s="151">
        <v>10</v>
      </c>
      <c r="X465" s="151">
        <v>7</v>
      </c>
      <c r="Y465" s="41"/>
      <c r="Z465" s="166" t="str">
        <f>INDEX(Tableau2[TS],MATCH(Tableau3[[#This Row],[ID-CARTEVOIE]],Tableau2[ID-CARTEVOIE],0))</f>
        <v>ST</v>
      </c>
      <c r="AA465" s="81" t="s">
        <v>213</v>
      </c>
      <c r="AB465" s="226" t="str">
        <f>IFERROR(INDEX(Tableau5[Reserve],MATCH(Tableau3[[#This Row],[ID-SIG]],Tableau5[ID],0))&amp;"","")</f>
        <v/>
      </c>
      <c r="AC465" s="119" t="s">
        <v>1456</v>
      </c>
      <c r="AD465" s="120" t="str">
        <f>INDEX(Tableau7[Repere],MATCH(Tableau3[[#This Row],[ID-API]],Tableau7[ID-API],0))&amp;""</f>
        <v>A3</v>
      </c>
      <c r="AE465" s="121" t="str">
        <f>INDEX(Tableau1[Repere-Rack],MATCH(Tableau3[[#This Row],[ID-RACK]],Tableau1[ID-RACK],0))&amp;""</f>
        <v>R1</v>
      </c>
      <c r="AF465" s="121" t="str">
        <f>INDEX(Tableau1[Repere-Slot],MATCH(Tableau3[[#This Row],[ID-SLOT]],Tableau1[ID-SLOT],0))&amp;""</f>
        <v>S10</v>
      </c>
      <c r="AG465" s="121" t="str">
        <f>INDEX(Tableau2[Repere-Voie],MATCH(Tableau3[[#This Row],[ID-VOIE]],Tableau2[ID-Voie],0))&amp;""</f>
        <v>v7</v>
      </c>
      <c r="AH465" s="122" t="str">
        <f>Tableau3[[#This Row],[ID-API]]&amp; "." &amp;Tableau3[[#This Row],[ID-RACK]]&amp; "." &amp;Tableau3[[#This Row],[ID-SLOT]]</f>
        <v>3.1.10</v>
      </c>
      <c r="AI465" s="72" t="str">
        <f>INDEX(Tableau1[Ref-Carte],MATCH(Tableau3[[#This Row],[ID-RRS]],Tableau1[ID-RRS],0))</f>
        <v>SDO0802</v>
      </c>
      <c r="AJ465" s="72" t="str">
        <f t="array" ref="AJ465">IFERROR(INDEX(Tableau2[TS],MATCH(1,(Tableau2[Ref-Carte]=Tableau3[[#This Row],[Ref-Carte2]])*(Tableau2[ID-Voie]=Tableau3[[#This Row],[ID-VOIE]]),0)),"")</f>
        <v>ST</v>
      </c>
      <c r="AK465" s="72" t="str">
        <f>IFERROR(INDEX(Tableau2[TS],SUMPRODUCT((Tableau2[Ref-Carte]=Tableau3[[#This Row],[Ref-Carte2]])*(Tableau2[ID-Voie]=Tableau3[[#This Row],[ID-VOIE]])*ROW(Tableau2[TS]))-ROW(Tableau2[#Headers])),"")</f>
        <v>ST</v>
      </c>
      <c r="AL465" s="122" t="str">
        <f>Tableau3[[#This Row],[Ref-Carte2]]&amp;"/"&amp;Tableau3[[#This Row],[ID-VOIE]]</f>
        <v>SDO0802/7</v>
      </c>
      <c r="AM465" s="123" t="str">
        <f>INDEX(Tableau2[Borne],MATCH(Tableau3[[#This Row],[ID-CARTEVOIE]],Tableau2[ID-CARTEVOIE],0))&amp;""</f>
        <v>7</v>
      </c>
      <c r="AN465" s="124" t="str">
        <f>Tableau3[[#This Row],[ID-API]]&amp;Tableau3[[#This Row],[ID-RACK]]&amp;Tableau3[[#This Row],[ID-SLOT]]&amp;Tableau3[[#This Row],[BORNE]]</f>
        <v>31107</v>
      </c>
      <c r="AO465" s="125"/>
    </row>
    <row r="466" spans="1:41" ht="20.100000000000001" customHeight="1" thickTop="1" thickBot="1">
      <c r="A466" s="68"/>
      <c r="B466" s="69" t="str">
        <f>IFERROR(INDEX(Tableau4[Date],MATCH($A466,Tableau4[EVO],0)),"")</f>
        <v/>
      </c>
      <c r="C466" s="68" t="str">
        <f>IFERROR(INDEX(Tableau4[Designation],MATCH($A466,Tableau4[EVO],0)),"")</f>
        <v/>
      </c>
      <c r="D466" s="68"/>
      <c r="E466" s="70">
        <v>38</v>
      </c>
      <c r="F466" s="71">
        <v>81</v>
      </c>
      <c r="G466" s="101" t="str">
        <f>INDEX(Tableau8[Att1],MATCH(Tableau3[[#This Row],[ID-INS]],Tableau8[ID],0))&amp;""</f>
        <v>V2</v>
      </c>
      <c r="H466" s="101" t="str">
        <f>INDEX(Tableau8[Att2],MATCH(Tableau3[[#This Row],[ID-INS]],Tableau8[ID],0))&amp;""</f>
        <v>BH7</v>
      </c>
      <c r="I466" s="101" t="str">
        <f>INDEX(Tableau8[Att3],MATCH(Tableau3[[#This Row],[ID-INS]],Tableau8[ID],0))&amp;""</f>
        <v>Barrière BH7</v>
      </c>
      <c r="J466" s="101"/>
      <c r="K466" s="167" t="str">
        <f>INDEX(Tableau8[Nom du modele],MATCH(Tableau3[[#This Row],[ID-INS]],Tableau8[ID],0))&amp;""</f>
        <v>BarriereHerse_1</v>
      </c>
      <c r="L466" s="99" t="str">
        <f>INDEX(Tableau5[Att1],MATCH(Tableau3[[#This Row],[ID-SIG]],Tableau5[ID],0))&amp;""</f>
        <v>Pres</v>
      </c>
      <c r="M466" s="99" t="str">
        <f>INDEX(Tableau5[Att2],MATCH(Tableau3[[#This Row],[ID-SIG]],Tableau5[ID],0))&amp;""</f>
        <v/>
      </c>
      <c r="N466" s="99" t="str">
        <f>INDEX(Tableau5[Att3],MATCH(Tableau3[[#This Row],[ID-SIG]],Tableau5[ID],0))&amp;""</f>
        <v/>
      </c>
      <c r="O466" s="99"/>
      <c r="P466" s="99" t="str">
        <f>INDEX(Tableau5[Description],MATCH(Tableau3[[#This Row],[ID-SIG]],Tableau5[ID],0))</f>
        <v>Présence sous la barrière (Cellule)</v>
      </c>
      <c r="Q466" s="99"/>
      <c r="R466" s="103" t="str">
        <f>Tableau3[[#This Row],[Description]]</f>
        <v>Présence sous la barrière (Cellule)</v>
      </c>
      <c r="U466" s="87">
        <v>3</v>
      </c>
      <c r="V466" s="87">
        <v>2</v>
      </c>
      <c r="W466" s="87">
        <v>2</v>
      </c>
      <c r="X466" s="87">
        <v>0</v>
      </c>
      <c r="Y466" s="40"/>
      <c r="Z466" s="165" t="str">
        <f>INDEX(Tableau2[TS],MATCH(Tableau3[[#This Row],[ID-CARTEVOIE]],Tableau2[ID-CARTEVOIE],0))</f>
        <v>ET</v>
      </c>
      <c r="AA466" s="53" t="s">
        <v>213</v>
      </c>
      <c r="AB466" s="223" t="str">
        <f>IFERROR(INDEX(Tableau5[Reserve],MATCH(Tableau3[[#This Row],[ID-SIG]],Tableau5[ID],0))&amp;"","")</f>
        <v/>
      </c>
      <c r="AC466" s="21"/>
      <c r="AD466" s="108" t="str">
        <f>INDEX(Tableau7[Repere],MATCH(Tableau3[[#This Row],[ID-API]],Tableau7[ID-API],0))&amp;""</f>
        <v>A3</v>
      </c>
      <c r="AE466" s="108" t="str">
        <f>INDEX(Tableau1[Repere-Rack],MATCH(Tableau3[[#This Row],[ID-RACK]],Tableau1[ID-RACK],0))&amp;""</f>
        <v>R2</v>
      </c>
      <c r="AF466" s="108" t="str">
        <f>INDEX(Tableau1[Repere-Slot],MATCH(Tableau3[[#This Row],[ID-SLOT]],Tableau1[ID-SLOT],0))&amp;""</f>
        <v>S2</v>
      </c>
      <c r="AG466" s="108" t="str">
        <f>INDEX(Tableau2[Repere-Voie],MATCH(Tableau3[[#This Row],[ID-VOIE]],Tableau2[ID-Voie],0))&amp;""</f>
        <v>v0</v>
      </c>
      <c r="AH466" s="72" t="str">
        <f>Tableau3[[#This Row],[ID-API]]&amp; "." &amp;Tableau3[[#This Row],[ID-RACK]]&amp; "." &amp;Tableau3[[#This Row],[ID-SLOT]]</f>
        <v>3.2.2</v>
      </c>
      <c r="AI466" s="72" t="str">
        <f>INDEX(Tableau1[Ref-Carte],MATCH(Tableau3[[#This Row],[ID-RRS]],Tableau1[ID-RRS],0))</f>
        <v>SDI1602</v>
      </c>
      <c r="AJ466" s="72" t="str">
        <f t="array" ref="AJ466">IFERROR(INDEX(Tableau2[TS],MATCH(1,(Tableau2[Ref-Carte]=Tableau3[[#This Row],[Ref-Carte2]])*(Tableau2[ID-Voie]=Tableau3[[#This Row],[ID-VOIE]]),0)),"")</f>
        <v>ET</v>
      </c>
      <c r="AK466" s="72" t="str">
        <f>IFERROR(INDEX(Tableau2[TS],SUMPRODUCT((Tableau2[Ref-Carte]=Tableau3[[#This Row],[Ref-Carte2]])*(Tableau2[ID-Voie]=Tableau3[[#This Row],[ID-VOIE]])*ROW(Tableau2[TS]))-ROW(Tableau2[#Headers])),"")</f>
        <v>ET</v>
      </c>
      <c r="AL466" s="72" t="str">
        <f>Tableau3[[#This Row],[Ref-Carte2]]&amp;"/"&amp;Tableau3[[#This Row],[ID-VOIE]]</f>
        <v>SDI1602/0</v>
      </c>
      <c r="AM466" s="73" t="str">
        <f>INDEX(Tableau2[Borne],MATCH(Tableau3[[#This Row],[ID-CARTEVOIE]],Tableau2[ID-CARTEVOIE],0))&amp;""</f>
        <v>0B</v>
      </c>
      <c r="AN466" s="74" t="str">
        <f>Tableau3[[#This Row],[ID-API]]&amp;Tableau3[[#This Row],[ID-RACK]]&amp;Tableau3[[#This Row],[ID-SLOT]]&amp;Tableau3[[#This Row],[BORNE]]</f>
        <v>3220B</v>
      </c>
      <c r="AO466" s="1"/>
    </row>
    <row r="467" spans="1:41" ht="20.100000000000001" customHeight="1" thickTop="1" thickBot="1">
      <c r="A467" s="68"/>
      <c r="B467" s="69" t="str">
        <f>IFERROR(INDEX(Tableau4[Date],MATCH($A467,Tableau4[EVO],0)),"")</f>
        <v/>
      </c>
      <c r="C467" s="68" t="str">
        <f>IFERROR(INDEX(Tableau4[Designation],MATCH($A467,Tableau4[EVO],0)),"")</f>
        <v/>
      </c>
      <c r="D467" s="68"/>
      <c r="E467" s="70">
        <v>73</v>
      </c>
      <c r="F467" s="71">
        <v>66</v>
      </c>
      <c r="G467" s="101" t="str">
        <f>INDEX(Tableau8[Att1],MATCH(Tableau3[[#This Row],[ID-INS]],Tableau8[ID],0))&amp;""</f>
        <v>V2</v>
      </c>
      <c r="H467" s="101" t="str">
        <f>INDEX(Tableau8[Att2],MATCH(Tableau3[[#This Row],[ID-INS]],Tableau8[ID],0))&amp;""</f>
        <v>BH2</v>
      </c>
      <c r="I467" s="101" t="str">
        <f>INDEX(Tableau8[Att3],MATCH(Tableau3[[#This Row],[ID-INS]],Tableau8[ID],0))&amp;""</f>
        <v>Barrière BH2</v>
      </c>
      <c r="J467" s="101"/>
      <c r="K467" s="167" t="str">
        <f>INDEX(Tableau8[Nom du modele],MATCH(Tableau3[[#This Row],[ID-INS]],Tableau8[ID],0))&amp;""</f>
        <v>BarriereLisse</v>
      </c>
      <c r="L467" s="99" t="str">
        <f>INDEX(Tableau5[Att1],MATCH(Tableau3[[#This Row],[ID-SIG]],Tableau5[ID],0))&amp;""</f>
        <v>Ouv</v>
      </c>
      <c r="M467" s="99" t="str">
        <f>INDEX(Tableau5[Att2],MATCH(Tableau3[[#This Row],[ID-SIG]],Tableau5[ID],0))&amp;""</f>
        <v/>
      </c>
      <c r="N467" s="99" t="str">
        <f>INDEX(Tableau5[Att3],MATCH(Tableau3[[#This Row],[ID-SIG]],Tableau5[ID],0))&amp;""</f>
        <v/>
      </c>
      <c r="O467" s="99"/>
      <c r="P467" s="99" t="str">
        <f>INDEX(Tableau5[Description],MATCH(Tableau3[[#This Row],[ID-SIG]],Tableau5[ID],0))</f>
        <v>Position ouverte</v>
      </c>
      <c r="Q467" s="99"/>
      <c r="R467" s="103" t="str">
        <f>Tableau3[[#This Row],[Description]]</f>
        <v>Position ouverte</v>
      </c>
      <c r="U467" s="87">
        <v>3</v>
      </c>
      <c r="V467" s="87">
        <v>2</v>
      </c>
      <c r="W467" s="87">
        <v>2</v>
      </c>
      <c r="X467" s="87">
        <v>1</v>
      </c>
      <c r="Y467" s="40"/>
      <c r="Z467" s="165" t="str">
        <f>INDEX(Tableau2[TS],MATCH(Tableau3[[#This Row],[ID-CARTEVOIE]],Tableau2[ID-CARTEVOIE],0))</f>
        <v>ET</v>
      </c>
      <c r="AA467" s="53" t="s">
        <v>213</v>
      </c>
      <c r="AB467" s="223" t="str">
        <f>IFERROR(INDEX(Tableau5[Reserve],MATCH(Tableau3[[#This Row],[ID-SIG]],Tableau5[ID],0))&amp;"","")</f>
        <v/>
      </c>
      <c r="AC467" s="21"/>
      <c r="AD467" s="108" t="str">
        <f>INDEX(Tableau7[Repere],MATCH(Tableau3[[#This Row],[ID-API]],Tableau7[ID-API],0))&amp;""</f>
        <v>A3</v>
      </c>
      <c r="AE467" s="108" t="str">
        <f>INDEX(Tableau1[Repere-Rack],MATCH(Tableau3[[#This Row],[ID-RACK]],Tableau1[ID-RACK],0))&amp;""</f>
        <v>R2</v>
      </c>
      <c r="AF467" s="108" t="str">
        <f>INDEX(Tableau1[Repere-Slot],MATCH(Tableau3[[#This Row],[ID-SLOT]],Tableau1[ID-SLOT],0))&amp;""</f>
        <v>S2</v>
      </c>
      <c r="AG467" s="108" t="str">
        <f>INDEX(Tableau2[Repere-Voie],MATCH(Tableau3[[#This Row],[ID-VOIE]],Tableau2[ID-Voie],0))&amp;""</f>
        <v>v1</v>
      </c>
      <c r="AH467" s="72" t="str">
        <f>Tableau3[[#This Row],[ID-API]]&amp; "." &amp;Tableau3[[#This Row],[ID-RACK]]&amp; "." &amp;Tableau3[[#This Row],[ID-SLOT]]</f>
        <v>3.2.2</v>
      </c>
      <c r="AI467" s="72" t="str">
        <f>INDEX(Tableau1[Ref-Carte],MATCH(Tableau3[[#This Row],[ID-RRS]],Tableau1[ID-RRS],0))</f>
        <v>SDI1602</v>
      </c>
      <c r="AJ467" s="72" t="str">
        <f t="array" ref="AJ467">IFERROR(INDEX(Tableau2[TS],MATCH(1,(Tableau2[Ref-Carte]=Tableau3[[#This Row],[Ref-Carte2]])*(Tableau2[ID-Voie]=Tableau3[[#This Row],[ID-VOIE]]),0)),"")</f>
        <v>ET</v>
      </c>
      <c r="AK467" s="72" t="str">
        <f>IFERROR(INDEX(Tableau2[TS],SUMPRODUCT((Tableau2[Ref-Carte]=Tableau3[[#This Row],[Ref-Carte2]])*(Tableau2[ID-Voie]=Tableau3[[#This Row],[ID-VOIE]])*ROW(Tableau2[TS]))-ROW(Tableau2[#Headers])),"")</f>
        <v>ET</v>
      </c>
      <c r="AL467" s="72" t="str">
        <f>Tableau3[[#This Row],[Ref-Carte2]]&amp;"/"&amp;Tableau3[[#This Row],[ID-VOIE]]</f>
        <v>SDI1602/1</v>
      </c>
      <c r="AM467" s="73" t="str">
        <f>INDEX(Tableau2[Borne],MATCH(Tableau3[[#This Row],[ID-CARTEVOIE]],Tableau2[ID-CARTEVOIE],0))&amp;""</f>
        <v>0A</v>
      </c>
      <c r="AN467" s="74" t="str">
        <f>Tableau3[[#This Row],[ID-API]]&amp;Tableau3[[#This Row],[ID-RACK]]&amp;Tableau3[[#This Row],[ID-SLOT]]&amp;Tableau3[[#This Row],[BORNE]]</f>
        <v>3220A</v>
      </c>
      <c r="AO467" s="1"/>
    </row>
    <row r="468" spans="1:41" ht="20.100000000000001" customHeight="1" thickTop="1" thickBot="1">
      <c r="A468" s="68"/>
      <c r="B468" s="69" t="str">
        <f>IFERROR(INDEX(Tableau4[Date],MATCH($A468,Tableau4[EVO],0)),"")</f>
        <v/>
      </c>
      <c r="C468" s="68" t="str">
        <f>IFERROR(INDEX(Tableau4[Designation],MATCH($A468,Tableau4[EVO],0)),"")</f>
        <v/>
      </c>
      <c r="D468" s="68"/>
      <c r="E468" s="70">
        <v>73</v>
      </c>
      <c r="F468" s="71">
        <v>67</v>
      </c>
      <c r="G468" s="101" t="str">
        <f>INDEX(Tableau8[Att1],MATCH(Tableau3[[#This Row],[ID-INS]],Tableau8[ID],0))&amp;""</f>
        <v>V2</v>
      </c>
      <c r="H468" s="101" t="str">
        <f>INDEX(Tableau8[Att2],MATCH(Tableau3[[#This Row],[ID-INS]],Tableau8[ID],0))&amp;""</f>
        <v>BH2</v>
      </c>
      <c r="I468" s="101" t="str">
        <f>INDEX(Tableau8[Att3],MATCH(Tableau3[[#This Row],[ID-INS]],Tableau8[ID],0))&amp;""</f>
        <v>Barrière BH2</v>
      </c>
      <c r="J468" s="101"/>
      <c r="K468" s="167" t="str">
        <f>INDEX(Tableau8[Nom du modele],MATCH(Tableau3[[#This Row],[ID-INS]],Tableau8[ID],0))&amp;""</f>
        <v>BarriereLisse</v>
      </c>
      <c r="L468" s="99" t="str">
        <f>INDEX(Tableau5[Att1],MATCH(Tableau3[[#This Row],[ID-SIG]],Tableau5[ID],0))&amp;""</f>
        <v>Fer</v>
      </c>
      <c r="M468" s="99" t="str">
        <f>INDEX(Tableau5[Att2],MATCH(Tableau3[[#This Row],[ID-SIG]],Tableau5[ID],0))&amp;""</f>
        <v/>
      </c>
      <c r="N468" s="99" t="str">
        <f>INDEX(Tableau5[Att3],MATCH(Tableau3[[#This Row],[ID-SIG]],Tableau5[ID],0))&amp;""</f>
        <v/>
      </c>
      <c r="O468" s="99"/>
      <c r="P468" s="99" t="str">
        <f>INDEX(Tableau5[Description],MATCH(Tableau3[[#This Row],[ID-SIG]],Tableau5[ID],0))</f>
        <v>Position fermée</v>
      </c>
      <c r="Q468" s="99"/>
      <c r="R468" s="103" t="str">
        <f>Tableau3[[#This Row],[Description]]</f>
        <v>Position fermée</v>
      </c>
      <c r="U468" s="87">
        <v>3</v>
      </c>
      <c r="V468" s="87">
        <v>2</v>
      </c>
      <c r="W468" s="87">
        <v>2</v>
      </c>
      <c r="X468" s="87">
        <v>2</v>
      </c>
      <c r="Y468" s="40"/>
      <c r="Z468" s="165" t="str">
        <f>INDEX(Tableau2[TS],MATCH(Tableau3[[#This Row],[ID-CARTEVOIE]],Tableau2[ID-CARTEVOIE],0))</f>
        <v>ET</v>
      </c>
      <c r="AA468" s="53" t="s">
        <v>213</v>
      </c>
      <c r="AB468" s="223" t="str">
        <f>IFERROR(INDEX(Tableau5[Reserve],MATCH(Tableau3[[#This Row],[ID-SIG]],Tableau5[ID],0))&amp;"","")</f>
        <v/>
      </c>
      <c r="AC468" s="21"/>
      <c r="AD468" s="108" t="str">
        <f>INDEX(Tableau7[Repere],MATCH(Tableau3[[#This Row],[ID-API]],Tableau7[ID-API],0))&amp;""</f>
        <v>A3</v>
      </c>
      <c r="AE468" s="108" t="str">
        <f>INDEX(Tableau1[Repere-Rack],MATCH(Tableau3[[#This Row],[ID-RACK]],Tableau1[ID-RACK],0))&amp;""</f>
        <v>R2</v>
      </c>
      <c r="AF468" s="108" t="str">
        <f>INDEX(Tableau1[Repere-Slot],MATCH(Tableau3[[#This Row],[ID-SLOT]],Tableau1[ID-SLOT],0))&amp;""</f>
        <v>S2</v>
      </c>
      <c r="AG468" s="108" t="str">
        <f>INDEX(Tableau2[Repere-Voie],MATCH(Tableau3[[#This Row],[ID-VOIE]],Tableau2[ID-Voie],0))&amp;""</f>
        <v>v2</v>
      </c>
      <c r="AH468" s="72" t="str">
        <f>Tableau3[[#This Row],[ID-API]]&amp; "." &amp;Tableau3[[#This Row],[ID-RACK]]&amp; "." &amp;Tableau3[[#This Row],[ID-SLOT]]</f>
        <v>3.2.2</v>
      </c>
      <c r="AI468" s="72" t="str">
        <f>INDEX(Tableau1[Ref-Carte],MATCH(Tableau3[[#This Row],[ID-RRS]],Tableau1[ID-RRS],0))</f>
        <v>SDI1602</v>
      </c>
      <c r="AJ468" s="72" t="str">
        <f t="array" ref="AJ468">IFERROR(INDEX(Tableau2[TS],MATCH(1,(Tableau2[Ref-Carte]=Tableau3[[#This Row],[Ref-Carte2]])*(Tableau2[ID-Voie]=Tableau3[[#This Row],[ID-VOIE]]),0)),"")</f>
        <v>ET</v>
      </c>
      <c r="AK468" s="72" t="str">
        <f>IFERROR(INDEX(Tableau2[TS],SUMPRODUCT((Tableau2[Ref-Carte]=Tableau3[[#This Row],[Ref-Carte2]])*(Tableau2[ID-Voie]=Tableau3[[#This Row],[ID-VOIE]])*ROW(Tableau2[TS]))-ROW(Tableau2[#Headers])),"")</f>
        <v>ET</v>
      </c>
      <c r="AL468" s="72" t="str">
        <f>Tableau3[[#This Row],[Ref-Carte2]]&amp;"/"&amp;Tableau3[[#This Row],[ID-VOIE]]</f>
        <v>SDI1602/2</v>
      </c>
      <c r="AM468" s="73" t="str">
        <f>INDEX(Tableau2[Borne],MATCH(Tableau3[[#This Row],[ID-CARTEVOIE]],Tableau2[ID-CARTEVOIE],0))&amp;""</f>
        <v>1B</v>
      </c>
      <c r="AN468" s="74" t="str">
        <f>Tableau3[[#This Row],[ID-API]]&amp;Tableau3[[#This Row],[ID-RACK]]&amp;Tableau3[[#This Row],[ID-SLOT]]&amp;Tableau3[[#This Row],[BORNE]]</f>
        <v>3221B</v>
      </c>
      <c r="AO468" s="1"/>
    </row>
    <row r="469" spans="1:41" ht="20.100000000000001" customHeight="1" thickTop="1" thickBot="1">
      <c r="A469" s="68"/>
      <c r="B469" s="69" t="str">
        <f>IFERROR(INDEX(Tableau4[Date],MATCH($A469,Tableau4[EVO],0)),"")</f>
        <v/>
      </c>
      <c r="C469" s="68" t="str">
        <f>IFERROR(INDEX(Tableau4[Designation],MATCH($A469,Tableau4[EVO],0)),"")</f>
        <v/>
      </c>
      <c r="D469" s="68"/>
      <c r="E469" s="70">
        <v>73</v>
      </c>
      <c r="F469" s="71">
        <v>68</v>
      </c>
      <c r="G469" s="101" t="str">
        <f>INDEX(Tableau8[Att1],MATCH(Tableau3[[#This Row],[ID-INS]],Tableau8[ID],0))&amp;""</f>
        <v>V2</v>
      </c>
      <c r="H469" s="101" t="str">
        <f>INDEX(Tableau8[Att2],MATCH(Tableau3[[#This Row],[ID-INS]],Tableau8[ID],0))&amp;""</f>
        <v>BH2</v>
      </c>
      <c r="I469" s="101" t="str">
        <f>INDEX(Tableau8[Att3],MATCH(Tableau3[[#This Row],[ID-INS]],Tableau8[ID],0))&amp;""</f>
        <v>Barrière BH2</v>
      </c>
      <c r="J469" s="101"/>
      <c r="K469" s="167" t="str">
        <f>INDEX(Tableau8[Nom du modele],MATCH(Tableau3[[#This Row],[ID-INS]],Tableau8[ID],0))&amp;""</f>
        <v>BarriereLisse</v>
      </c>
      <c r="L469" s="99" t="str">
        <f>INDEX(Tableau5[Att1],MATCH(Tableau3[[#This Row],[ID-SIG]],Tableau5[ID],0))&amp;""</f>
        <v>SynthDef</v>
      </c>
      <c r="M469" s="99" t="str">
        <f>INDEX(Tableau5[Att2],MATCH(Tableau3[[#This Row],[ID-SIG]],Tableau5[ID],0))&amp;""</f>
        <v/>
      </c>
      <c r="N469" s="99" t="str">
        <f>INDEX(Tableau5[Att3],MATCH(Tableau3[[#This Row],[ID-SIG]],Tableau5[ID],0))&amp;""</f>
        <v/>
      </c>
      <c r="O469" s="99"/>
      <c r="P469" s="99" t="str">
        <f>INDEX(Tableau5[Description],MATCH(Tableau3[[#This Row],[ID-SIG]],Tableau5[ID],0))</f>
        <v>Synthèse défaut</v>
      </c>
      <c r="Q469" s="99"/>
      <c r="R469" s="103" t="str">
        <f>Tableau3[[#This Row],[Description]]</f>
        <v>Synthèse défaut</v>
      </c>
      <c r="U469" s="87">
        <v>3</v>
      </c>
      <c r="V469" s="87">
        <v>2</v>
      </c>
      <c r="W469" s="87">
        <v>2</v>
      </c>
      <c r="X469" s="87">
        <v>3</v>
      </c>
      <c r="Y469" s="40"/>
      <c r="Z469" s="165" t="str">
        <f>INDEX(Tableau2[TS],MATCH(Tableau3[[#This Row],[ID-CARTEVOIE]],Tableau2[ID-CARTEVOIE],0))</f>
        <v>ET</v>
      </c>
      <c r="AA469" s="53" t="s">
        <v>213</v>
      </c>
      <c r="AB469" s="223" t="str">
        <f>IFERROR(INDEX(Tableau5[Reserve],MATCH(Tableau3[[#This Row],[ID-SIG]],Tableau5[ID],0))&amp;"","")</f>
        <v/>
      </c>
      <c r="AC469" s="21"/>
      <c r="AD469" s="108" t="str">
        <f>INDEX(Tableau7[Repere],MATCH(Tableau3[[#This Row],[ID-API]],Tableau7[ID-API],0))&amp;""</f>
        <v>A3</v>
      </c>
      <c r="AE469" s="108" t="str">
        <f>INDEX(Tableau1[Repere-Rack],MATCH(Tableau3[[#This Row],[ID-RACK]],Tableau1[ID-RACK],0))&amp;""</f>
        <v>R2</v>
      </c>
      <c r="AF469" s="108" t="str">
        <f>INDEX(Tableau1[Repere-Slot],MATCH(Tableau3[[#This Row],[ID-SLOT]],Tableau1[ID-SLOT],0))&amp;""</f>
        <v>S2</v>
      </c>
      <c r="AG469" s="108" t="str">
        <f>INDEX(Tableau2[Repere-Voie],MATCH(Tableau3[[#This Row],[ID-VOIE]],Tableau2[ID-Voie],0))&amp;""</f>
        <v>v3</v>
      </c>
      <c r="AH469" s="72" t="str">
        <f>Tableau3[[#This Row],[ID-API]]&amp; "." &amp;Tableau3[[#This Row],[ID-RACK]]&amp; "." &amp;Tableau3[[#This Row],[ID-SLOT]]</f>
        <v>3.2.2</v>
      </c>
      <c r="AI469" s="72" t="str">
        <f>INDEX(Tableau1[Ref-Carte],MATCH(Tableau3[[#This Row],[ID-RRS]],Tableau1[ID-RRS],0))</f>
        <v>SDI1602</v>
      </c>
      <c r="AJ469" s="72" t="str">
        <f t="array" ref="AJ469">IFERROR(INDEX(Tableau2[TS],MATCH(1,(Tableau2[Ref-Carte]=Tableau3[[#This Row],[Ref-Carte2]])*(Tableau2[ID-Voie]=Tableau3[[#This Row],[ID-VOIE]]),0)),"")</f>
        <v>ET</v>
      </c>
      <c r="AK469" s="72" t="str">
        <f>IFERROR(INDEX(Tableau2[TS],SUMPRODUCT((Tableau2[Ref-Carte]=Tableau3[[#This Row],[Ref-Carte2]])*(Tableau2[ID-Voie]=Tableau3[[#This Row],[ID-VOIE]])*ROW(Tableau2[TS]))-ROW(Tableau2[#Headers])),"")</f>
        <v>ET</v>
      </c>
      <c r="AL469" s="72" t="str">
        <f>Tableau3[[#This Row],[Ref-Carte2]]&amp;"/"&amp;Tableau3[[#This Row],[ID-VOIE]]</f>
        <v>SDI1602/3</v>
      </c>
      <c r="AM469" s="73" t="str">
        <f>INDEX(Tableau2[Borne],MATCH(Tableau3[[#This Row],[ID-CARTEVOIE]],Tableau2[ID-CARTEVOIE],0))&amp;""</f>
        <v>1A</v>
      </c>
      <c r="AN469" s="74" t="str">
        <f>Tableau3[[#This Row],[ID-API]]&amp;Tableau3[[#This Row],[ID-RACK]]&amp;Tableau3[[#This Row],[ID-SLOT]]&amp;Tableau3[[#This Row],[BORNE]]</f>
        <v>3221A</v>
      </c>
      <c r="AO469" s="1"/>
    </row>
    <row r="470" spans="1:41" ht="20.100000000000001" customHeight="1" thickTop="1" thickBot="1">
      <c r="A470" s="68"/>
      <c r="B470" s="69" t="str">
        <f>IFERROR(INDEX(Tableau4[Date],MATCH($A470,Tableau4[EVO],0)),"")</f>
        <v/>
      </c>
      <c r="C470" s="68" t="str">
        <f>IFERROR(INDEX(Tableau4[Designation],MATCH($A470,Tableau4[EVO],0)),"")</f>
        <v/>
      </c>
      <c r="D470" s="68"/>
      <c r="E470" s="70">
        <v>73</v>
      </c>
      <c r="F470" s="71">
        <v>69</v>
      </c>
      <c r="G470" s="101" t="str">
        <f>INDEX(Tableau8[Att1],MATCH(Tableau3[[#This Row],[ID-INS]],Tableau8[ID],0))&amp;""</f>
        <v>V2</v>
      </c>
      <c r="H470" s="101" t="str">
        <f>INDEX(Tableau8[Att2],MATCH(Tableau3[[#This Row],[ID-INS]],Tableau8[ID],0))&amp;""</f>
        <v>BH2</v>
      </c>
      <c r="I470" s="101" t="str">
        <f>INDEX(Tableau8[Att3],MATCH(Tableau3[[#This Row],[ID-INS]],Tableau8[ID],0))&amp;""</f>
        <v>Barrière BH2</v>
      </c>
      <c r="J470" s="101"/>
      <c r="K470" s="167" t="str">
        <f>INDEX(Tableau8[Nom du modele],MATCH(Tableau3[[#This Row],[ID-INS]],Tableau8[ID],0))&amp;""</f>
        <v>BarriereLisse</v>
      </c>
      <c r="L470" s="99" t="str">
        <f>INDEX(Tableau5[Att1],MATCH(Tableau3[[#This Row],[ID-SIG]],Tableau5[ID],0))&amp;""</f>
        <v>Effraction</v>
      </c>
      <c r="M470" s="99" t="str">
        <f>INDEX(Tableau5[Att2],MATCH(Tableau3[[#This Row],[ID-SIG]],Tableau5[ID],0))&amp;""</f>
        <v/>
      </c>
      <c r="N470" s="99" t="str">
        <f>INDEX(Tableau5[Att3],MATCH(Tableau3[[#This Row],[ID-SIG]],Tableau5[ID],0))&amp;""</f>
        <v/>
      </c>
      <c r="O470" s="99"/>
      <c r="P470" s="99" t="str">
        <f>INDEX(Tableau5[Description],MATCH(Tableau3[[#This Row],[ID-SIG]],Tableau5[ID],0))</f>
        <v>Effraction</v>
      </c>
      <c r="Q470" s="99"/>
      <c r="R470" s="103" t="str">
        <f>Tableau3[[#This Row],[Description]]</f>
        <v>Effraction</v>
      </c>
      <c r="U470" s="87">
        <v>3</v>
      </c>
      <c r="V470" s="87">
        <v>2</v>
      </c>
      <c r="W470" s="87">
        <v>2</v>
      </c>
      <c r="X470" s="87">
        <v>4</v>
      </c>
      <c r="Y470" s="40"/>
      <c r="Z470" s="165" t="str">
        <f>INDEX(Tableau2[TS],MATCH(Tableau3[[#This Row],[ID-CARTEVOIE]],Tableau2[ID-CARTEVOIE],0))</f>
        <v>ET</v>
      </c>
      <c r="AA470" s="53" t="s">
        <v>213</v>
      </c>
      <c r="AB470" s="223" t="str">
        <f>IFERROR(INDEX(Tableau5[Reserve],MATCH(Tableau3[[#This Row],[ID-SIG]],Tableau5[ID],0))&amp;"","")</f>
        <v/>
      </c>
      <c r="AC470" s="21"/>
      <c r="AD470" s="108" t="str">
        <f>INDEX(Tableau7[Repere],MATCH(Tableau3[[#This Row],[ID-API]],Tableau7[ID-API],0))&amp;""</f>
        <v>A3</v>
      </c>
      <c r="AE470" s="108" t="str">
        <f>INDEX(Tableau1[Repere-Rack],MATCH(Tableau3[[#This Row],[ID-RACK]],Tableau1[ID-RACK],0))&amp;""</f>
        <v>R2</v>
      </c>
      <c r="AF470" s="108" t="str">
        <f>INDEX(Tableau1[Repere-Slot],MATCH(Tableau3[[#This Row],[ID-SLOT]],Tableau1[ID-SLOT],0))&amp;""</f>
        <v>S2</v>
      </c>
      <c r="AG470" s="108" t="str">
        <f>INDEX(Tableau2[Repere-Voie],MATCH(Tableau3[[#This Row],[ID-VOIE]],Tableau2[ID-Voie],0))&amp;""</f>
        <v>v4</v>
      </c>
      <c r="AH470" s="72" t="str">
        <f>Tableau3[[#This Row],[ID-API]]&amp; "." &amp;Tableau3[[#This Row],[ID-RACK]]&amp; "." &amp;Tableau3[[#This Row],[ID-SLOT]]</f>
        <v>3.2.2</v>
      </c>
      <c r="AI470" s="72" t="str">
        <f>INDEX(Tableau1[Ref-Carte],MATCH(Tableau3[[#This Row],[ID-RRS]],Tableau1[ID-RRS],0))</f>
        <v>SDI1602</v>
      </c>
      <c r="AJ470" s="72" t="str">
        <f t="array" ref="AJ470">IFERROR(INDEX(Tableau2[TS],MATCH(1,(Tableau2[Ref-Carte]=Tableau3[[#This Row],[Ref-Carte2]])*(Tableau2[ID-Voie]=Tableau3[[#This Row],[ID-VOIE]]),0)),"")</f>
        <v>ET</v>
      </c>
      <c r="AK470" s="72" t="str">
        <f>IFERROR(INDEX(Tableau2[TS],SUMPRODUCT((Tableau2[Ref-Carte]=Tableau3[[#This Row],[Ref-Carte2]])*(Tableau2[ID-Voie]=Tableau3[[#This Row],[ID-VOIE]])*ROW(Tableau2[TS]))-ROW(Tableau2[#Headers])),"")</f>
        <v>ET</v>
      </c>
      <c r="AL470" s="72" t="str">
        <f>Tableau3[[#This Row],[Ref-Carte2]]&amp;"/"&amp;Tableau3[[#This Row],[ID-VOIE]]</f>
        <v>SDI1602/4</v>
      </c>
      <c r="AM470" s="73" t="str">
        <f>INDEX(Tableau2[Borne],MATCH(Tableau3[[#This Row],[ID-CARTEVOIE]],Tableau2[ID-CARTEVOIE],0))&amp;""</f>
        <v>2B</v>
      </c>
      <c r="AN470" s="74" t="str">
        <f>Tableau3[[#This Row],[ID-API]]&amp;Tableau3[[#This Row],[ID-RACK]]&amp;Tableau3[[#This Row],[ID-SLOT]]&amp;Tableau3[[#This Row],[BORNE]]</f>
        <v>3222B</v>
      </c>
      <c r="AO470" s="1"/>
    </row>
    <row r="471" spans="1:41" ht="20.100000000000001" customHeight="1" thickTop="1" thickBot="1">
      <c r="A471" s="68"/>
      <c r="B471" s="69" t="str">
        <f>IFERROR(INDEX(Tableau4[Date],MATCH($A471,Tableau4[EVO],0)),"")</f>
        <v/>
      </c>
      <c r="C471" s="68" t="str">
        <f>IFERROR(INDEX(Tableau4[Designation],MATCH($A471,Tableau4[EVO],0)),"")</f>
        <v/>
      </c>
      <c r="D471" s="68"/>
      <c r="E471" s="70">
        <v>73</v>
      </c>
      <c r="F471" s="71">
        <v>70</v>
      </c>
      <c r="G471" s="101" t="str">
        <f>INDEX(Tableau8[Att1],MATCH(Tableau3[[#This Row],[ID-INS]],Tableau8[ID],0))&amp;""</f>
        <v>V2</v>
      </c>
      <c r="H471" s="101" t="str">
        <f>INDEX(Tableau8[Att2],MATCH(Tableau3[[#This Row],[ID-INS]],Tableau8[ID],0))&amp;""</f>
        <v>BH2</v>
      </c>
      <c r="I471" s="101" t="str">
        <f>INDEX(Tableau8[Att3],MATCH(Tableau3[[#This Row],[ID-INS]],Tableau8[ID],0))&amp;""</f>
        <v>Barrière BH2</v>
      </c>
      <c r="J471" s="101"/>
      <c r="K471" s="167" t="str">
        <f>INDEX(Tableau8[Nom du modele],MATCH(Tableau3[[#This Row],[ID-INS]],Tableau8[ID],0))&amp;""</f>
        <v>BarriereLisse</v>
      </c>
      <c r="L471" s="99" t="str">
        <f>INDEX(Tableau5[Att1],MATCH(Tableau3[[#This Row],[ID-SIG]],Tableau5[ID],0))&amp;""</f>
        <v>Pres</v>
      </c>
      <c r="M471" s="99" t="str">
        <f>INDEX(Tableau5[Att2],MATCH(Tableau3[[#This Row],[ID-SIG]],Tableau5[ID],0))&amp;""</f>
        <v/>
      </c>
      <c r="N471" s="99" t="str">
        <f>INDEX(Tableau5[Att3],MATCH(Tableau3[[#This Row],[ID-SIG]],Tableau5[ID],0))&amp;""</f>
        <v/>
      </c>
      <c r="O471" s="99"/>
      <c r="P471" s="99" t="str">
        <f>INDEX(Tableau5[Description],MATCH(Tableau3[[#This Row],[ID-SIG]],Tableau5[ID],0))</f>
        <v>Présence sous la barrière (Cellule)</v>
      </c>
      <c r="Q471" s="99"/>
      <c r="R471" s="103" t="str">
        <f>Tableau3[[#This Row],[Description]]</f>
        <v>Présence sous la barrière (Cellule)</v>
      </c>
      <c r="U471" s="87">
        <v>3</v>
      </c>
      <c r="V471" s="87">
        <v>2</v>
      </c>
      <c r="W471" s="87">
        <v>2</v>
      </c>
      <c r="X471" s="87">
        <v>5</v>
      </c>
      <c r="Y471" s="40"/>
      <c r="Z471" s="165" t="str">
        <f>INDEX(Tableau2[TS],MATCH(Tableau3[[#This Row],[ID-CARTEVOIE]],Tableau2[ID-CARTEVOIE],0))</f>
        <v>ET</v>
      </c>
      <c r="AA471" s="53" t="s">
        <v>213</v>
      </c>
      <c r="AB471" s="223" t="str">
        <f>IFERROR(INDEX(Tableau5[Reserve],MATCH(Tableau3[[#This Row],[ID-SIG]],Tableau5[ID],0))&amp;"","")</f>
        <v/>
      </c>
      <c r="AC471" s="21"/>
      <c r="AD471" s="108" t="str">
        <f>INDEX(Tableau7[Repere],MATCH(Tableau3[[#This Row],[ID-API]],Tableau7[ID-API],0))&amp;""</f>
        <v>A3</v>
      </c>
      <c r="AE471" s="108" t="str">
        <f>INDEX(Tableau1[Repere-Rack],MATCH(Tableau3[[#This Row],[ID-RACK]],Tableau1[ID-RACK],0))&amp;""</f>
        <v>R2</v>
      </c>
      <c r="AF471" s="108" t="str">
        <f>INDEX(Tableau1[Repere-Slot],MATCH(Tableau3[[#This Row],[ID-SLOT]],Tableau1[ID-SLOT],0))&amp;""</f>
        <v>S2</v>
      </c>
      <c r="AG471" s="108" t="str">
        <f>INDEX(Tableau2[Repere-Voie],MATCH(Tableau3[[#This Row],[ID-VOIE]],Tableau2[ID-Voie],0))&amp;""</f>
        <v>v5</v>
      </c>
      <c r="AH471" s="72" t="str">
        <f>Tableau3[[#This Row],[ID-API]]&amp; "." &amp;Tableau3[[#This Row],[ID-RACK]]&amp; "." &amp;Tableau3[[#This Row],[ID-SLOT]]</f>
        <v>3.2.2</v>
      </c>
      <c r="AI471" s="72" t="str">
        <f>INDEX(Tableau1[Ref-Carte],MATCH(Tableau3[[#This Row],[ID-RRS]],Tableau1[ID-RRS],0))</f>
        <v>SDI1602</v>
      </c>
      <c r="AJ471" s="72" t="str">
        <f t="array" ref="AJ471">IFERROR(INDEX(Tableau2[TS],MATCH(1,(Tableau2[Ref-Carte]=Tableau3[[#This Row],[Ref-Carte2]])*(Tableau2[ID-Voie]=Tableau3[[#This Row],[ID-VOIE]]),0)),"")</f>
        <v>ET</v>
      </c>
      <c r="AK471" s="72" t="str">
        <f>IFERROR(INDEX(Tableau2[TS],SUMPRODUCT((Tableau2[Ref-Carte]=Tableau3[[#This Row],[Ref-Carte2]])*(Tableau2[ID-Voie]=Tableau3[[#This Row],[ID-VOIE]])*ROW(Tableau2[TS]))-ROW(Tableau2[#Headers])),"")</f>
        <v>ET</v>
      </c>
      <c r="AL471" s="72" t="str">
        <f>Tableau3[[#This Row],[Ref-Carte2]]&amp;"/"&amp;Tableau3[[#This Row],[ID-VOIE]]</f>
        <v>SDI1602/5</v>
      </c>
      <c r="AM471" s="73" t="str">
        <f>INDEX(Tableau2[Borne],MATCH(Tableau3[[#This Row],[ID-CARTEVOIE]],Tableau2[ID-CARTEVOIE],0))&amp;""</f>
        <v>2A</v>
      </c>
      <c r="AN471" s="74" t="str">
        <f>Tableau3[[#This Row],[ID-API]]&amp;Tableau3[[#This Row],[ID-RACK]]&amp;Tableau3[[#This Row],[ID-SLOT]]&amp;Tableau3[[#This Row],[BORNE]]</f>
        <v>3222A</v>
      </c>
      <c r="AO471" s="1"/>
    </row>
    <row r="472" spans="1:41" ht="20.100000000000001" customHeight="1" thickTop="1" thickBot="1">
      <c r="A472" s="68"/>
      <c r="B472" s="69" t="str">
        <f>IFERROR(INDEX(Tableau4[Date],MATCH($A472,Tableau4[EVO],0)),"")</f>
        <v/>
      </c>
      <c r="C472" s="68" t="str">
        <f>IFERROR(INDEX(Tableau4[Designation],MATCH($A472,Tableau4[EVO],0)),"")</f>
        <v/>
      </c>
      <c r="D472" s="68"/>
      <c r="E472" s="70">
        <v>78</v>
      </c>
      <c r="F472" s="71">
        <v>66</v>
      </c>
      <c r="G472" s="101" t="str">
        <f>INDEX(Tableau8[Att1],MATCH(Tableau3[[#This Row],[ID-INS]],Tableau8[ID],0))&amp;""</f>
        <v>V2</v>
      </c>
      <c r="H472" s="101" t="str">
        <f>INDEX(Tableau8[Att2],MATCH(Tableau3[[#This Row],[ID-INS]],Tableau8[ID],0))&amp;""</f>
        <v>BR2</v>
      </c>
      <c r="I472" s="101" t="str">
        <f>INDEX(Tableau8[Att3],MATCH(Tableau3[[#This Row],[ID-INS]],Tableau8[ID],0))&amp;""</f>
        <v>Barrière BR2</v>
      </c>
      <c r="J472" s="101"/>
      <c r="K472" s="167" t="str">
        <f>INDEX(Tableau8[Nom du modele],MATCH(Tableau3[[#This Row],[ID-INS]],Tableau8[ID],0))&amp;""</f>
        <v>BarriereLisse</v>
      </c>
      <c r="L472" s="99" t="str">
        <f>INDEX(Tableau5[Att1],MATCH(Tableau3[[#This Row],[ID-SIG]],Tableau5[ID],0))&amp;""</f>
        <v>Ouv</v>
      </c>
      <c r="M472" s="99" t="str">
        <f>INDEX(Tableau5[Att2],MATCH(Tableau3[[#This Row],[ID-SIG]],Tableau5[ID],0))&amp;""</f>
        <v/>
      </c>
      <c r="N472" s="99" t="str">
        <f>INDEX(Tableau5[Att3],MATCH(Tableau3[[#This Row],[ID-SIG]],Tableau5[ID],0))&amp;""</f>
        <v/>
      </c>
      <c r="O472" s="99"/>
      <c r="P472" s="99" t="str">
        <f>INDEX(Tableau5[Description],MATCH(Tableau3[[#This Row],[ID-SIG]],Tableau5[ID],0))</f>
        <v>Position ouverte</v>
      </c>
      <c r="Q472" s="99"/>
      <c r="R472" s="103" t="str">
        <f>Tableau3[[#This Row],[Description]]</f>
        <v>Position ouverte</v>
      </c>
      <c r="U472" s="87">
        <v>3</v>
      </c>
      <c r="V472" s="87">
        <v>2</v>
      </c>
      <c r="W472" s="87">
        <v>2</v>
      </c>
      <c r="X472" s="87">
        <v>6</v>
      </c>
      <c r="Y472" s="40"/>
      <c r="Z472" s="165" t="str">
        <f>INDEX(Tableau2[TS],MATCH(Tableau3[[#This Row],[ID-CARTEVOIE]],Tableau2[ID-CARTEVOIE],0))</f>
        <v>ET</v>
      </c>
      <c r="AA472" s="53" t="s">
        <v>213</v>
      </c>
      <c r="AB472" s="223" t="str">
        <f>IFERROR(INDEX(Tableau5[Reserve],MATCH(Tableau3[[#This Row],[ID-SIG]],Tableau5[ID],0))&amp;"","")</f>
        <v/>
      </c>
      <c r="AC472" s="21"/>
      <c r="AD472" s="108" t="str">
        <f>INDEX(Tableau7[Repere],MATCH(Tableau3[[#This Row],[ID-API]],Tableau7[ID-API],0))&amp;""</f>
        <v>A3</v>
      </c>
      <c r="AE472" s="108" t="str">
        <f>INDEX(Tableau1[Repere-Rack],MATCH(Tableau3[[#This Row],[ID-RACK]],Tableau1[ID-RACK],0))&amp;""</f>
        <v>R2</v>
      </c>
      <c r="AF472" s="108" t="str">
        <f>INDEX(Tableau1[Repere-Slot],MATCH(Tableau3[[#This Row],[ID-SLOT]],Tableau1[ID-SLOT],0))&amp;""</f>
        <v>S2</v>
      </c>
      <c r="AG472" s="108" t="str">
        <f>INDEX(Tableau2[Repere-Voie],MATCH(Tableau3[[#This Row],[ID-VOIE]],Tableau2[ID-Voie],0))&amp;""</f>
        <v>v6</v>
      </c>
      <c r="AH472" s="72" t="str">
        <f>Tableau3[[#This Row],[ID-API]]&amp; "." &amp;Tableau3[[#This Row],[ID-RACK]]&amp; "." &amp;Tableau3[[#This Row],[ID-SLOT]]</f>
        <v>3.2.2</v>
      </c>
      <c r="AI472" s="72" t="str">
        <f>INDEX(Tableau1[Ref-Carte],MATCH(Tableau3[[#This Row],[ID-RRS]],Tableau1[ID-RRS],0))</f>
        <v>SDI1602</v>
      </c>
      <c r="AJ472" s="72" t="str">
        <f t="array" ref="AJ472">IFERROR(INDEX(Tableau2[TS],MATCH(1,(Tableau2[Ref-Carte]=Tableau3[[#This Row],[Ref-Carte2]])*(Tableau2[ID-Voie]=Tableau3[[#This Row],[ID-VOIE]]),0)),"")</f>
        <v>ET</v>
      </c>
      <c r="AK472" s="72" t="str">
        <f>IFERROR(INDEX(Tableau2[TS],SUMPRODUCT((Tableau2[Ref-Carte]=Tableau3[[#This Row],[Ref-Carte2]])*(Tableau2[ID-Voie]=Tableau3[[#This Row],[ID-VOIE]])*ROW(Tableau2[TS]))-ROW(Tableau2[#Headers])),"")</f>
        <v>ET</v>
      </c>
      <c r="AL472" s="72" t="str">
        <f>Tableau3[[#This Row],[Ref-Carte2]]&amp;"/"&amp;Tableau3[[#This Row],[ID-VOIE]]</f>
        <v>SDI1602/6</v>
      </c>
      <c r="AM472" s="73" t="str">
        <f>INDEX(Tableau2[Borne],MATCH(Tableau3[[#This Row],[ID-CARTEVOIE]],Tableau2[ID-CARTEVOIE],0))&amp;""</f>
        <v>3B</v>
      </c>
      <c r="AN472" s="74" t="str">
        <f>Tableau3[[#This Row],[ID-API]]&amp;Tableau3[[#This Row],[ID-RACK]]&amp;Tableau3[[#This Row],[ID-SLOT]]&amp;Tableau3[[#This Row],[BORNE]]</f>
        <v>3223B</v>
      </c>
      <c r="AO472" s="1"/>
    </row>
    <row r="473" spans="1:41" ht="20.100000000000001" customHeight="1" thickTop="1" thickBot="1">
      <c r="A473" s="68"/>
      <c r="B473" s="69" t="str">
        <f>IFERROR(INDEX(Tableau4[Date],MATCH($A473,Tableau4[EVO],0)),"")</f>
        <v/>
      </c>
      <c r="C473" s="68" t="str">
        <f>IFERROR(INDEX(Tableau4[Designation],MATCH($A473,Tableau4[EVO],0)),"")</f>
        <v/>
      </c>
      <c r="D473" s="68"/>
      <c r="E473" s="70">
        <v>78</v>
      </c>
      <c r="F473" s="71">
        <v>67</v>
      </c>
      <c r="G473" s="101" t="str">
        <f>INDEX(Tableau8[Att1],MATCH(Tableau3[[#This Row],[ID-INS]],Tableau8[ID],0))&amp;""</f>
        <v>V2</v>
      </c>
      <c r="H473" s="101" t="str">
        <f>INDEX(Tableau8[Att2],MATCH(Tableau3[[#This Row],[ID-INS]],Tableau8[ID],0))&amp;""</f>
        <v>BR2</v>
      </c>
      <c r="I473" s="101" t="str">
        <f>INDEX(Tableau8[Att3],MATCH(Tableau3[[#This Row],[ID-INS]],Tableau8[ID],0))&amp;""</f>
        <v>Barrière BR2</v>
      </c>
      <c r="J473" s="101"/>
      <c r="K473" s="167" t="str">
        <f>INDEX(Tableau8[Nom du modele],MATCH(Tableau3[[#This Row],[ID-INS]],Tableau8[ID],0))&amp;""</f>
        <v>BarriereLisse</v>
      </c>
      <c r="L473" s="99" t="str">
        <f>INDEX(Tableau5[Att1],MATCH(Tableau3[[#This Row],[ID-SIG]],Tableau5[ID],0))&amp;""</f>
        <v>Fer</v>
      </c>
      <c r="M473" s="99" t="str">
        <f>INDEX(Tableau5[Att2],MATCH(Tableau3[[#This Row],[ID-SIG]],Tableau5[ID],0))&amp;""</f>
        <v/>
      </c>
      <c r="N473" s="99" t="str">
        <f>INDEX(Tableau5[Att3],MATCH(Tableau3[[#This Row],[ID-SIG]],Tableau5[ID],0))&amp;""</f>
        <v/>
      </c>
      <c r="O473" s="99"/>
      <c r="P473" s="99" t="str">
        <f>INDEX(Tableau5[Description],MATCH(Tableau3[[#This Row],[ID-SIG]],Tableau5[ID],0))</f>
        <v>Position fermée</v>
      </c>
      <c r="Q473" s="99"/>
      <c r="R473" s="103" t="str">
        <f>Tableau3[[#This Row],[Description]]</f>
        <v>Position fermée</v>
      </c>
      <c r="U473" s="87">
        <v>3</v>
      </c>
      <c r="V473" s="87">
        <v>2</v>
      </c>
      <c r="W473" s="87">
        <v>2</v>
      </c>
      <c r="X473" s="87">
        <v>7</v>
      </c>
      <c r="Y473" s="40"/>
      <c r="Z473" s="165" t="str">
        <f>INDEX(Tableau2[TS],MATCH(Tableau3[[#This Row],[ID-CARTEVOIE]],Tableau2[ID-CARTEVOIE],0))</f>
        <v>ET</v>
      </c>
      <c r="AA473" s="53" t="s">
        <v>213</v>
      </c>
      <c r="AB473" s="223" t="str">
        <f>IFERROR(INDEX(Tableau5[Reserve],MATCH(Tableau3[[#This Row],[ID-SIG]],Tableau5[ID],0))&amp;"","")</f>
        <v/>
      </c>
      <c r="AC473" s="21"/>
      <c r="AD473" s="108" t="str">
        <f>INDEX(Tableau7[Repere],MATCH(Tableau3[[#This Row],[ID-API]],Tableau7[ID-API],0))&amp;""</f>
        <v>A3</v>
      </c>
      <c r="AE473" s="108" t="str">
        <f>INDEX(Tableau1[Repere-Rack],MATCH(Tableau3[[#This Row],[ID-RACK]],Tableau1[ID-RACK],0))&amp;""</f>
        <v>R2</v>
      </c>
      <c r="AF473" s="108" t="str">
        <f>INDEX(Tableau1[Repere-Slot],MATCH(Tableau3[[#This Row],[ID-SLOT]],Tableau1[ID-SLOT],0))&amp;""</f>
        <v>S2</v>
      </c>
      <c r="AG473" s="108" t="str">
        <f>INDEX(Tableau2[Repere-Voie],MATCH(Tableau3[[#This Row],[ID-VOIE]],Tableau2[ID-Voie],0))&amp;""</f>
        <v>v7</v>
      </c>
      <c r="AH473" s="72" t="str">
        <f>Tableau3[[#This Row],[ID-API]]&amp; "." &amp;Tableau3[[#This Row],[ID-RACK]]&amp; "." &amp;Tableau3[[#This Row],[ID-SLOT]]</f>
        <v>3.2.2</v>
      </c>
      <c r="AI473" s="72" t="str">
        <f>INDEX(Tableau1[Ref-Carte],MATCH(Tableau3[[#This Row],[ID-RRS]],Tableau1[ID-RRS],0))</f>
        <v>SDI1602</v>
      </c>
      <c r="AJ473" s="72" t="str">
        <f t="array" ref="AJ473">IFERROR(INDEX(Tableau2[TS],MATCH(1,(Tableau2[Ref-Carte]=Tableau3[[#This Row],[Ref-Carte2]])*(Tableau2[ID-Voie]=Tableau3[[#This Row],[ID-VOIE]]),0)),"")</f>
        <v>ET</v>
      </c>
      <c r="AK473" s="72" t="str">
        <f>IFERROR(INDEX(Tableau2[TS],SUMPRODUCT((Tableau2[Ref-Carte]=Tableau3[[#This Row],[Ref-Carte2]])*(Tableau2[ID-Voie]=Tableau3[[#This Row],[ID-VOIE]])*ROW(Tableau2[TS]))-ROW(Tableau2[#Headers])),"")</f>
        <v>ET</v>
      </c>
      <c r="AL473" s="72" t="str">
        <f>Tableau3[[#This Row],[Ref-Carte2]]&amp;"/"&amp;Tableau3[[#This Row],[ID-VOIE]]</f>
        <v>SDI1602/7</v>
      </c>
      <c r="AM473" s="73" t="str">
        <f>INDEX(Tableau2[Borne],MATCH(Tableau3[[#This Row],[ID-CARTEVOIE]],Tableau2[ID-CARTEVOIE],0))&amp;""</f>
        <v>3A</v>
      </c>
      <c r="AN473" s="74" t="str">
        <f>Tableau3[[#This Row],[ID-API]]&amp;Tableau3[[#This Row],[ID-RACK]]&amp;Tableau3[[#This Row],[ID-SLOT]]&amp;Tableau3[[#This Row],[BORNE]]</f>
        <v>3223A</v>
      </c>
      <c r="AO473" s="1"/>
    </row>
    <row r="474" spans="1:41" ht="20.100000000000001" customHeight="1" thickTop="1" thickBot="1">
      <c r="A474" s="68"/>
      <c r="B474" s="69" t="str">
        <f>IFERROR(INDEX(Tableau4[Date],MATCH($A474,Tableau4[EVO],0)),"")</f>
        <v/>
      </c>
      <c r="C474" s="68" t="str">
        <f>IFERROR(INDEX(Tableau4[Designation],MATCH($A474,Tableau4[EVO],0)),"")</f>
        <v/>
      </c>
      <c r="D474" s="68"/>
      <c r="E474" s="70">
        <v>78</v>
      </c>
      <c r="F474" s="71">
        <v>68</v>
      </c>
      <c r="G474" s="101" t="str">
        <f>INDEX(Tableau8[Att1],MATCH(Tableau3[[#This Row],[ID-INS]],Tableau8[ID],0))&amp;""</f>
        <v>V2</v>
      </c>
      <c r="H474" s="101" t="str">
        <f>INDEX(Tableau8[Att2],MATCH(Tableau3[[#This Row],[ID-INS]],Tableau8[ID],0))&amp;""</f>
        <v>BR2</v>
      </c>
      <c r="I474" s="101" t="str">
        <f>INDEX(Tableau8[Att3],MATCH(Tableau3[[#This Row],[ID-INS]],Tableau8[ID],0))&amp;""</f>
        <v>Barrière BR2</v>
      </c>
      <c r="J474" s="101"/>
      <c r="K474" s="167" t="str">
        <f>INDEX(Tableau8[Nom du modele],MATCH(Tableau3[[#This Row],[ID-INS]],Tableau8[ID],0))&amp;""</f>
        <v>BarriereLisse</v>
      </c>
      <c r="L474" s="99" t="str">
        <f>INDEX(Tableau5[Att1],MATCH(Tableau3[[#This Row],[ID-SIG]],Tableau5[ID],0))&amp;""</f>
        <v>SynthDef</v>
      </c>
      <c r="M474" s="99" t="str">
        <f>INDEX(Tableau5[Att2],MATCH(Tableau3[[#This Row],[ID-SIG]],Tableau5[ID],0))&amp;""</f>
        <v/>
      </c>
      <c r="N474" s="99" t="str">
        <f>INDEX(Tableau5[Att3],MATCH(Tableau3[[#This Row],[ID-SIG]],Tableau5[ID],0))&amp;""</f>
        <v/>
      </c>
      <c r="O474" s="99"/>
      <c r="P474" s="99" t="str">
        <f>INDEX(Tableau5[Description],MATCH(Tableau3[[#This Row],[ID-SIG]],Tableau5[ID],0))</f>
        <v>Synthèse défaut</v>
      </c>
      <c r="Q474" s="99"/>
      <c r="R474" s="103" t="str">
        <f>Tableau3[[#This Row],[Description]]</f>
        <v>Synthèse défaut</v>
      </c>
      <c r="U474" s="87">
        <v>3</v>
      </c>
      <c r="V474" s="87">
        <v>2</v>
      </c>
      <c r="W474" s="87">
        <v>2</v>
      </c>
      <c r="X474" s="87">
        <v>8</v>
      </c>
      <c r="Y474" s="40"/>
      <c r="Z474" s="165" t="str">
        <f>INDEX(Tableau2[TS],MATCH(Tableau3[[#This Row],[ID-CARTEVOIE]],Tableau2[ID-CARTEVOIE],0))</f>
        <v>ET</v>
      </c>
      <c r="AA474" s="53" t="s">
        <v>213</v>
      </c>
      <c r="AB474" s="223" t="str">
        <f>IFERROR(INDEX(Tableau5[Reserve],MATCH(Tableau3[[#This Row],[ID-SIG]],Tableau5[ID],0))&amp;"","")</f>
        <v/>
      </c>
      <c r="AC474" s="21"/>
      <c r="AD474" s="108" t="str">
        <f>INDEX(Tableau7[Repere],MATCH(Tableau3[[#This Row],[ID-API]],Tableau7[ID-API],0))&amp;""</f>
        <v>A3</v>
      </c>
      <c r="AE474" s="108" t="str">
        <f>INDEX(Tableau1[Repere-Rack],MATCH(Tableau3[[#This Row],[ID-RACK]],Tableau1[ID-RACK],0))&amp;""</f>
        <v>R2</v>
      </c>
      <c r="AF474" s="108" t="str">
        <f>INDEX(Tableau1[Repere-Slot],MATCH(Tableau3[[#This Row],[ID-SLOT]],Tableau1[ID-SLOT],0))&amp;""</f>
        <v>S2</v>
      </c>
      <c r="AG474" s="108" t="str">
        <f>INDEX(Tableau2[Repere-Voie],MATCH(Tableau3[[#This Row],[ID-VOIE]],Tableau2[ID-Voie],0))&amp;""</f>
        <v>v8</v>
      </c>
      <c r="AH474" s="72" t="str">
        <f>Tableau3[[#This Row],[ID-API]]&amp; "." &amp;Tableau3[[#This Row],[ID-RACK]]&amp; "." &amp;Tableau3[[#This Row],[ID-SLOT]]</f>
        <v>3.2.2</v>
      </c>
      <c r="AI474" s="72" t="str">
        <f>INDEX(Tableau1[Ref-Carte],MATCH(Tableau3[[#This Row],[ID-RRS]],Tableau1[ID-RRS],0))</f>
        <v>SDI1602</v>
      </c>
      <c r="AJ474" s="72" t="str">
        <f t="array" ref="AJ474">IFERROR(INDEX(Tableau2[TS],MATCH(1,(Tableau2[Ref-Carte]=Tableau3[[#This Row],[Ref-Carte2]])*(Tableau2[ID-Voie]=Tableau3[[#This Row],[ID-VOIE]]),0)),"")</f>
        <v>ET</v>
      </c>
      <c r="AK474" s="72" t="str">
        <f>IFERROR(INDEX(Tableau2[TS],SUMPRODUCT((Tableau2[Ref-Carte]=Tableau3[[#This Row],[Ref-Carte2]])*(Tableau2[ID-Voie]=Tableau3[[#This Row],[ID-VOIE]])*ROW(Tableau2[TS]))-ROW(Tableau2[#Headers])),"")</f>
        <v>ET</v>
      </c>
      <c r="AL474" s="72" t="str">
        <f>Tableau3[[#This Row],[Ref-Carte2]]&amp;"/"&amp;Tableau3[[#This Row],[ID-VOIE]]</f>
        <v>SDI1602/8</v>
      </c>
      <c r="AM474" s="73" t="str">
        <f>INDEX(Tableau2[Borne],MATCH(Tableau3[[#This Row],[ID-CARTEVOIE]],Tableau2[ID-CARTEVOIE],0))&amp;""</f>
        <v>4B</v>
      </c>
      <c r="AN474" s="74" t="str">
        <f>Tableau3[[#This Row],[ID-API]]&amp;Tableau3[[#This Row],[ID-RACK]]&amp;Tableau3[[#This Row],[ID-SLOT]]&amp;Tableau3[[#This Row],[BORNE]]</f>
        <v>3224B</v>
      </c>
      <c r="AO474" s="1"/>
    </row>
    <row r="475" spans="1:41" ht="20.100000000000001" customHeight="1" thickTop="1" thickBot="1">
      <c r="A475" s="68"/>
      <c r="B475" s="69" t="str">
        <f>IFERROR(INDEX(Tableau4[Date],MATCH($A475,Tableau4[EVO],0)),"")</f>
        <v/>
      </c>
      <c r="C475" s="68" t="str">
        <f>IFERROR(INDEX(Tableau4[Designation],MATCH($A475,Tableau4[EVO],0)),"")</f>
        <v/>
      </c>
      <c r="D475" s="68"/>
      <c r="E475" s="70">
        <v>78</v>
      </c>
      <c r="F475" s="71">
        <v>69</v>
      </c>
      <c r="G475" s="101" t="str">
        <f>INDEX(Tableau8[Att1],MATCH(Tableau3[[#This Row],[ID-INS]],Tableau8[ID],0))&amp;""</f>
        <v>V2</v>
      </c>
      <c r="H475" s="101" t="str">
        <f>INDEX(Tableau8[Att2],MATCH(Tableau3[[#This Row],[ID-INS]],Tableau8[ID],0))&amp;""</f>
        <v>BR2</v>
      </c>
      <c r="I475" s="101" t="str">
        <f>INDEX(Tableau8[Att3],MATCH(Tableau3[[#This Row],[ID-INS]],Tableau8[ID],0))&amp;""</f>
        <v>Barrière BR2</v>
      </c>
      <c r="J475" s="101"/>
      <c r="K475" s="167" t="str">
        <f>INDEX(Tableau8[Nom du modele],MATCH(Tableau3[[#This Row],[ID-INS]],Tableau8[ID],0))&amp;""</f>
        <v>BarriereLisse</v>
      </c>
      <c r="L475" s="99" t="str">
        <f>INDEX(Tableau5[Att1],MATCH(Tableau3[[#This Row],[ID-SIG]],Tableau5[ID],0))&amp;""</f>
        <v>Effraction</v>
      </c>
      <c r="M475" s="99" t="str">
        <f>INDEX(Tableau5[Att2],MATCH(Tableau3[[#This Row],[ID-SIG]],Tableau5[ID],0))&amp;""</f>
        <v/>
      </c>
      <c r="N475" s="99" t="str">
        <f>INDEX(Tableau5[Att3],MATCH(Tableau3[[#This Row],[ID-SIG]],Tableau5[ID],0))&amp;""</f>
        <v/>
      </c>
      <c r="O475" s="99"/>
      <c r="P475" s="99" t="str">
        <f>INDEX(Tableau5[Description],MATCH(Tableau3[[#This Row],[ID-SIG]],Tableau5[ID],0))</f>
        <v>Effraction</v>
      </c>
      <c r="Q475" s="99"/>
      <c r="R475" s="103" t="str">
        <f>Tableau3[[#This Row],[Description]]</f>
        <v>Effraction</v>
      </c>
      <c r="U475" s="87">
        <v>3</v>
      </c>
      <c r="V475" s="87">
        <v>2</v>
      </c>
      <c r="W475" s="87">
        <v>2</v>
      </c>
      <c r="X475" s="87">
        <v>9</v>
      </c>
      <c r="Y475" s="40"/>
      <c r="Z475" s="165" t="str">
        <f>INDEX(Tableau2[TS],MATCH(Tableau3[[#This Row],[ID-CARTEVOIE]],Tableau2[ID-CARTEVOIE],0))</f>
        <v>ET</v>
      </c>
      <c r="AA475" s="53" t="s">
        <v>213</v>
      </c>
      <c r="AB475" s="223" t="str">
        <f>IFERROR(INDEX(Tableau5[Reserve],MATCH(Tableau3[[#This Row],[ID-SIG]],Tableau5[ID],0))&amp;"","")</f>
        <v/>
      </c>
      <c r="AC475" s="21"/>
      <c r="AD475" s="108" t="str">
        <f>INDEX(Tableau7[Repere],MATCH(Tableau3[[#This Row],[ID-API]],Tableau7[ID-API],0))&amp;""</f>
        <v>A3</v>
      </c>
      <c r="AE475" s="108" t="str">
        <f>INDEX(Tableau1[Repere-Rack],MATCH(Tableau3[[#This Row],[ID-RACK]],Tableau1[ID-RACK],0))&amp;""</f>
        <v>R2</v>
      </c>
      <c r="AF475" s="108" t="str">
        <f>INDEX(Tableau1[Repere-Slot],MATCH(Tableau3[[#This Row],[ID-SLOT]],Tableau1[ID-SLOT],0))&amp;""</f>
        <v>S2</v>
      </c>
      <c r="AG475" s="108" t="str">
        <f>INDEX(Tableau2[Repere-Voie],MATCH(Tableau3[[#This Row],[ID-VOIE]],Tableau2[ID-Voie],0))&amp;""</f>
        <v>v9</v>
      </c>
      <c r="AH475" s="72" t="str">
        <f>Tableau3[[#This Row],[ID-API]]&amp; "." &amp;Tableau3[[#This Row],[ID-RACK]]&amp; "." &amp;Tableau3[[#This Row],[ID-SLOT]]</f>
        <v>3.2.2</v>
      </c>
      <c r="AI475" s="72" t="str">
        <f>INDEX(Tableau1[Ref-Carte],MATCH(Tableau3[[#This Row],[ID-RRS]],Tableau1[ID-RRS],0))</f>
        <v>SDI1602</v>
      </c>
      <c r="AJ475" s="72" t="str">
        <f t="array" ref="AJ475">IFERROR(INDEX(Tableau2[TS],MATCH(1,(Tableau2[Ref-Carte]=Tableau3[[#This Row],[Ref-Carte2]])*(Tableau2[ID-Voie]=Tableau3[[#This Row],[ID-VOIE]]),0)),"")</f>
        <v>ET</v>
      </c>
      <c r="AK475" s="72" t="str">
        <f>IFERROR(INDEX(Tableau2[TS],SUMPRODUCT((Tableau2[Ref-Carte]=Tableau3[[#This Row],[Ref-Carte2]])*(Tableau2[ID-Voie]=Tableau3[[#This Row],[ID-VOIE]])*ROW(Tableau2[TS]))-ROW(Tableau2[#Headers])),"")</f>
        <v>ET</v>
      </c>
      <c r="AL475" s="72" t="str">
        <f>Tableau3[[#This Row],[Ref-Carte2]]&amp;"/"&amp;Tableau3[[#This Row],[ID-VOIE]]</f>
        <v>SDI1602/9</v>
      </c>
      <c r="AM475" s="73" t="str">
        <f>INDEX(Tableau2[Borne],MATCH(Tableau3[[#This Row],[ID-CARTEVOIE]],Tableau2[ID-CARTEVOIE],0))&amp;""</f>
        <v>4A</v>
      </c>
      <c r="AN475" s="74" t="str">
        <f>Tableau3[[#This Row],[ID-API]]&amp;Tableau3[[#This Row],[ID-RACK]]&amp;Tableau3[[#This Row],[ID-SLOT]]&amp;Tableau3[[#This Row],[BORNE]]</f>
        <v>3224A</v>
      </c>
      <c r="AO475" s="1"/>
    </row>
    <row r="476" spans="1:41" ht="20.100000000000001" customHeight="1" thickTop="1" thickBot="1">
      <c r="A476" s="68"/>
      <c r="B476" s="69" t="str">
        <f>IFERROR(INDEX(Tableau4[Date],MATCH($A476,Tableau4[EVO],0)),"")</f>
        <v/>
      </c>
      <c r="C476" s="68" t="str">
        <f>IFERROR(INDEX(Tableau4[Designation],MATCH($A476,Tableau4[EVO],0)),"")</f>
        <v/>
      </c>
      <c r="D476" s="68"/>
      <c r="E476" s="70">
        <v>78</v>
      </c>
      <c r="F476" s="71">
        <v>70</v>
      </c>
      <c r="G476" s="101" t="str">
        <f>INDEX(Tableau8[Att1],MATCH(Tableau3[[#This Row],[ID-INS]],Tableau8[ID],0))&amp;""</f>
        <v>V2</v>
      </c>
      <c r="H476" s="101" t="str">
        <f>INDEX(Tableau8[Att2],MATCH(Tableau3[[#This Row],[ID-INS]],Tableau8[ID],0))&amp;""</f>
        <v>BR2</v>
      </c>
      <c r="I476" s="101" t="str">
        <f>INDEX(Tableau8[Att3],MATCH(Tableau3[[#This Row],[ID-INS]],Tableau8[ID],0))&amp;""</f>
        <v>Barrière BR2</v>
      </c>
      <c r="J476" s="101"/>
      <c r="K476" s="167" t="str">
        <f>INDEX(Tableau8[Nom du modele],MATCH(Tableau3[[#This Row],[ID-INS]],Tableau8[ID],0))&amp;""</f>
        <v>BarriereLisse</v>
      </c>
      <c r="L476" s="99" t="str">
        <f>INDEX(Tableau5[Att1],MATCH(Tableau3[[#This Row],[ID-SIG]],Tableau5[ID],0))&amp;""</f>
        <v>Pres</v>
      </c>
      <c r="M476" s="99" t="str">
        <f>INDEX(Tableau5[Att2],MATCH(Tableau3[[#This Row],[ID-SIG]],Tableau5[ID],0))&amp;""</f>
        <v/>
      </c>
      <c r="N476" s="99" t="str">
        <f>INDEX(Tableau5[Att3],MATCH(Tableau3[[#This Row],[ID-SIG]],Tableau5[ID],0))&amp;""</f>
        <v/>
      </c>
      <c r="O476" s="99"/>
      <c r="P476" s="99" t="str">
        <f>INDEX(Tableau5[Description],MATCH(Tableau3[[#This Row],[ID-SIG]],Tableau5[ID],0))</f>
        <v>Présence sous la barrière (Cellule)</v>
      </c>
      <c r="Q476" s="99"/>
      <c r="R476" s="103" t="str">
        <f>Tableau3[[#This Row],[Description]]</f>
        <v>Présence sous la barrière (Cellule)</v>
      </c>
      <c r="U476" s="87">
        <v>3</v>
      </c>
      <c r="V476" s="87">
        <v>2</v>
      </c>
      <c r="W476" s="87">
        <v>2</v>
      </c>
      <c r="X476" s="87">
        <v>10</v>
      </c>
      <c r="Y476" s="40"/>
      <c r="Z476" s="165" t="str">
        <f>INDEX(Tableau2[TS],MATCH(Tableau3[[#This Row],[ID-CARTEVOIE]],Tableau2[ID-CARTEVOIE],0))</f>
        <v>ET</v>
      </c>
      <c r="AA476" s="53" t="s">
        <v>213</v>
      </c>
      <c r="AB476" s="223" t="str">
        <f>IFERROR(INDEX(Tableau5[Reserve],MATCH(Tableau3[[#This Row],[ID-SIG]],Tableau5[ID],0))&amp;"","")</f>
        <v/>
      </c>
      <c r="AC476" s="21"/>
      <c r="AD476" s="108" t="str">
        <f>INDEX(Tableau7[Repere],MATCH(Tableau3[[#This Row],[ID-API]],Tableau7[ID-API],0))&amp;""</f>
        <v>A3</v>
      </c>
      <c r="AE476" s="108" t="str">
        <f>INDEX(Tableau1[Repere-Rack],MATCH(Tableau3[[#This Row],[ID-RACK]],Tableau1[ID-RACK],0))&amp;""</f>
        <v>R2</v>
      </c>
      <c r="AF476" s="108" t="str">
        <f>INDEX(Tableau1[Repere-Slot],MATCH(Tableau3[[#This Row],[ID-SLOT]],Tableau1[ID-SLOT],0))&amp;""</f>
        <v>S2</v>
      </c>
      <c r="AG476" s="108" t="str">
        <f>INDEX(Tableau2[Repere-Voie],MATCH(Tableau3[[#This Row],[ID-VOIE]],Tableau2[ID-Voie],0))&amp;""</f>
        <v>v10</v>
      </c>
      <c r="AH476" s="72" t="str">
        <f>Tableau3[[#This Row],[ID-API]]&amp; "." &amp;Tableau3[[#This Row],[ID-RACK]]&amp; "." &amp;Tableau3[[#This Row],[ID-SLOT]]</f>
        <v>3.2.2</v>
      </c>
      <c r="AI476" s="72" t="str">
        <f>INDEX(Tableau1[Ref-Carte],MATCH(Tableau3[[#This Row],[ID-RRS]],Tableau1[ID-RRS],0))</f>
        <v>SDI1602</v>
      </c>
      <c r="AJ476" s="72" t="str">
        <f t="array" ref="AJ476">IFERROR(INDEX(Tableau2[TS],MATCH(1,(Tableau2[Ref-Carte]=Tableau3[[#This Row],[Ref-Carte2]])*(Tableau2[ID-Voie]=Tableau3[[#This Row],[ID-VOIE]]),0)),"")</f>
        <v>ET</v>
      </c>
      <c r="AK476" s="72" t="str">
        <f>IFERROR(INDEX(Tableau2[TS],SUMPRODUCT((Tableau2[Ref-Carte]=Tableau3[[#This Row],[Ref-Carte2]])*(Tableau2[ID-Voie]=Tableau3[[#This Row],[ID-VOIE]])*ROW(Tableau2[TS]))-ROW(Tableau2[#Headers])),"")</f>
        <v>ET</v>
      </c>
      <c r="AL476" s="72" t="str">
        <f>Tableau3[[#This Row],[Ref-Carte2]]&amp;"/"&amp;Tableau3[[#This Row],[ID-VOIE]]</f>
        <v>SDI1602/10</v>
      </c>
      <c r="AM476" s="73" t="str">
        <f>INDEX(Tableau2[Borne],MATCH(Tableau3[[#This Row],[ID-CARTEVOIE]],Tableau2[ID-CARTEVOIE],0))&amp;""</f>
        <v>5B</v>
      </c>
      <c r="AN476" s="74" t="str">
        <f>Tableau3[[#This Row],[ID-API]]&amp;Tableau3[[#This Row],[ID-RACK]]&amp;Tableau3[[#This Row],[ID-SLOT]]&amp;Tableau3[[#This Row],[BORNE]]</f>
        <v>3225B</v>
      </c>
      <c r="AO476" s="1"/>
    </row>
    <row r="477" spans="1:41" ht="20.100000000000001" customHeight="1" thickTop="1" thickBot="1">
      <c r="A477" s="68"/>
      <c r="B477" s="69" t="str">
        <f>IFERROR(INDEX(Tableau4[Date],MATCH($A477,Tableau4[EVO],0)),"")</f>
        <v/>
      </c>
      <c r="C477" s="68" t="str">
        <f>IFERROR(INDEX(Tableau4[Designation],MATCH($A477,Tableau4[EVO],0)),"")</f>
        <v/>
      </c>
      <c r="D477" s="68"/>
      <c r="E477" s="70">
        <v>81</v>
      </c>
      <c r="F477" s="71">
        <v>308</v>
      </c>
      <c r="G477" s="101" t="str">
        <f>INDEX(Tableau8[Att1],MATCH(Tableau3[[#This Row],[ID-INS]],Tableau8[ID],0))&amp;""</f>
        <v>V2</v>
      </c>
      <c r="H477" s="101" t="str">
        <f>INDEX(Tableau8[Att2],MATCH(Tableau3[[#This Row],[ID-INS]],Tableau8[ID],0))&amp;""</f>
        <v>F3</v>
      </c>
      <c r="I477" s="101" t="str">
        <f>INDEX(Tableau8[Att3],MATCH(Tableau3[[#This Row],[ID-INS]],Tableau8[ID],0))&amp;""</f>
        <v>Feu F3</v>
      </c>
      <c r="J477" s="101"/>
      <c r="K477" s="167" t="str">
        <f>INDEX(Tableau8[Nom du modele],MATCH(Tableau3[[#This Row],[ID-INS]],Tableau8[ID],0))&amp;""</f>
        <v>FeuOuvV</v>
      </c>
      <c r="L477" s="99" t="str">
        <f>INDEX(Tableau5[Att1],MATCH(Tableau3[[#This Row],[ID-SIG]],Tableau5[ID],0))&amp;""</f>
        <v>Feu_RM</v>
      </c>
      <c r="M477" s="99" t="str">
        <f>INDEX(Tableau5[Att2],MATCH(Tableau3[[#This Row],[ID-SIG]],Tableau5[ID],0))&amp;""</f>
        <v/>
      </c>
      <c r="N477" s="99" t="str">
        <f>INDEX(Tableau5[Att3],MATCH(Tableau3[[#This Row],[ID-SIG]],Tableau5[ID],0))&amp;""</f>
        <v/>
      </c>
      <c r="O477" s="99"/>
      <c r="P477" s="99" t="str">
        <f>INDEX(Tableau5[Description],MATCH(Tableau3[[#This Row],[ID-SIG]],Tableau5[ID],0))</f>
        <v>Retour de marche Feu</v>
      </c>
      <c r="Q477" s="99"/>
      <c r="R477" s="103" t="str">
        <f>Tableau3[[#This Row],[Description]]</f>
        <v>Retour de marche Feu</v>
      </c>
      <c r="U477" s="87">
        <v>3</v>
      </c>
      <c r="V477" s="87">
        <v>2</v>
      </c>
      <c r="W477" s="87">
        <v>2</v>
      </c>
      <c r="X477" s="87">
        <v>11</v>
      </c>
      <c r="Y477" s="40"/>
      <c r="Z477" s="165" t="str">
        <f>INDEX(Tableau2[TS],MATCH(Tableau3[[#This Row],[ID-CARTEVOIE]],Tableau2[ID-CARTEVOIE],0))</f>
        <v>ET</v>
      </c>
      <c r="AA477" s="53" t="s">
        <v>213</v>
      </c>
      <c r="AB477" s="223" t="str">
        <f>IFERROR(INDEX(Tableau5[Reserve],MATCH(Tableau3[[#This Row],[ID-SIG]],Tableau5[ID],0))&amp;"","")</f>
        <v/>
      </c>
      <c r="AC477" s="21"/>
      <c r="AD477" s="108" t="str">
        <f>INDEX(Tableau7[Repere],MATCH(Tableau3[[#This Row],[ID-API]],Tableau7[ID-API],0))&amp;""</f>
        <v>A3</v>
      </c>
      <c r="AE477" s="108" t="str">
        <f>INDEX(Tableau1[Repere-Rack],MATCH(Tableau3[[#This Row],[ID-RACK]],Tableau1[ID-RACK],0))&amp;""</f>
        <v>R2</v>
      </c>
      <c r="AF477" s="108" t="str">
        <f>INDEX(Tableau1[Repere-Slot],MATCH(Tableau3[[#This Row],[ID-SLOT]],Tableau1[ID-SLOT],0))&amp;""</f>
        <v>S2</v>
      </c>
      <c r="AG477" s="108" t="str">
        <f>INDEX(Tableau2[Repere-Voie],MATCH(Tableau3[[#This Row],[ID-VOIE]],Tableau2[ID-Voie],0))&amp;""</f>
        <v>v11</v>
      </c>
      <c r="AH477" s="72" t="str">
        <f>Tableau3[[#This Row],[ID-API]]&amp; "." &amp;Tableau3[[#This Row],[ID-RACK]]&amp; "." &amp;Tableau3[[#This Row],[ID-SLOT]]</f>
        <v>3.2.2</v>
      </c>
      <c r="AI477" s="72" t="str">
        <f>INDEX(Tableau1[Ref-Carte],MATCH(Tableau3[[#This Row],[ID-RRS]],Tableau1[ID-RRS],0))</f>
        <v>SDI1602</v>
      </c>
      <c r="AJ477" s="72" t="str">
        <f t="array" ref="AJ477">IFERROR(INDEX(Tableau2[TS],MATCH(1,(Tableau2[Ref-Carte]=Tableau3[[#This Row],[Ref-Carte2]])*(Tableau2[ID-Voie]=Tableau3[[#This Row],[ID-VOIE]]),0)),"")</f>
        <v>ET</v>
      </c>
      <c r="AK477" s="72" t="str">
        <f>IFERROR(INDEX(Tableau2[TS],SUMPRODUCT((Tableau2[Ref-Carte]=Tableau3[[#This Row],[Ref-Carte2]])*(Tableau2[ID-Voie]=Tableau3[[#This Row],[ID-VOIE]])*ROW(Tableau2[TS]))-ROW(Tableau2[#Headers])),"")</f>
        <v>ET</v>
      </c>
      <c r="AL477" s="72" t="str">
        <f>Tableau3[[#This Row],[Ref-Carte2]]&amp;"/"&amp;Tableau3[[#This Row],[ID-VOIE]]</f>
        <v>SDI1602/11</v>
      </c>
      <c r="AM477" s="73" t="str">
        <f>INDEX(Tableau2[Borne],MATCH(Tableau3[[#This Row],[ID-CARTEVOIE]],Tableau2[ID-CARTEVOIE],0))&amp;""</f>
        <v>5A</v>
      </c>
      <c r="AN477" s="74" t="str">
        <f>Tableau3[[#This Row],[ID-API]]&amp;Tableau3[[#This Row],[ID-RACK]]&amp;Tableau3[[#This Row],[ID-SLOT]]&amp;Tableau3[[#This Row],[BORNE]]</f>
        <v>3225A</v>
      </c>
      <c r="AO477" s="1"/>
    </row>
    <row r="478" spans="1:41" ht="20.100000000000001" customHeight="1" thickTop="1" thickBot="1">
      <c r="A478" s="68"/>
      <c r="B478" s="69" t="str">
        <f>IFERROR(INDEX(Tableau4[Date],MATCH($A478,Tableau4[EVO],0)),"")</f>
        <v/>
      </c>
      <c r="C478" s="68" t="str">
        <f>IFERROR(INDEX(Tableau4[Designation],MATCH($A478,Tableau4[EVO],0)),"")</f>
        <v/>
      </c>
      <c r="D478" s="68"/>
      <c r="E478" s="70">
        <v>84</v>
      </c>
      <c r="F478" s="71">
        <v>314</v>
      </c>
      <c r="G478" s="101" t="str">
        <f>INDEX(Tableau8[Att1],MATCH(Tableau3[[#This Row],[ID-INS]],Tableau8[ID],0))&amp;""</f>
        <v>V2</v>
      </c>
      <c r="H478" s="101" t="str">
        <f>INDEX(Tableau8[Att2],MATCH(Tableau3[[#This Row],[ID-INS]],Tableau8[ID],0))&amp;""</f>
        <v>F6</v>
      </c>
      <c r="I478" s="101" t="str">
        <f>INDEX(Tableau8[Att3],MATCH(Tableau3[[#This Row],[ID-INS]],Tableau8[ID],0))&amp;""</f>
        <v>Feu F6</v>
      </c>
      <c r="J478" s="101"/>
      <c r="K478" s="167" t="str">
        <f>INDEX(Tableau8[Nom du modele],MATCH(Tableau3[[#This Row],[ID-INS]],Tableau8[ID],0))&amp;""</f>
        <v>FeuBi_1</v>
      </c>
      <c r="L478" s="99" t="str">
        <f>INDEX(Tableau5[Att1],MATCH(Tableau3[[#This Row],[ID-SIG]],Tableau5[ID],0))&amp;""</f>
        <v>FeuR_RM</v>
      </c>
      <c r="M478" s="99" t="str">
        <f>INDEX(Tableau5[Att2],MATCH(Tableau3[[#This Row],[ID-SIG]],Tableau5[ID],0))&amp;""</f>
        <v/>
      </c>
      <c r="N478" s="99" t="str">
        <f>INDEX(Tableau5[Att3],MATCH(Tableau3[[#This Row],[ID-SIG]],Tableau5[ID],0))&amp;""</f>
        <v/>
      </c>
      <c r="O478" s="99"/>
      <c r="P478" s="99" t="str">
        <f>INDEX(Tableau5[Description],MATCH(Tableau3[[#This Row],[ID-SIG]],Tableau5[ID],0))</f>
        <v xml:space="preserve">Retour de marche Feu rouge </v>
      </c>
      <c r="Q478" s="99"/>
      <c r="R478" s="103" t="str">
        <f>Tableau3[[#This Row],[Description]]</f>
        <v xml:space="preserve">Retour de marche Feu rouge </v>
      </c>
      <c r="U478" s="87">
        <v>3</v>
      </c>
      <c r="V478" s="87">
        <v>2</v>
      </c>
      <c r="W478" s="87">
        <v>2</v>
      </c>
      <c r="X478" s="87">
        <v>12</v>
      </c>
      <c r="Y478" s="40"/>
      <c r="Z478" s="165" t="str">
        <f>INDEX(Tableau2[TS],MATCH(Tableau3[[#This Row],[ID-CARTEVOIE]],Tableau2[ID-CARTEVOIE],0))</f>
        <v>ET</v>
      </c>
      <c r="AA478" s="53" t="s">
        <v>213</v>
      </c>
      <c r="AB478" s="223" t="str">
        <f>IFERROR(INDEX(Tableau5[Reserve],MATCH(Tableau3[[#This Row],[ID-SIG]],Tableau5[ID],0))&amp;"","")</f>
        <v/>
      </c>
      <c r="AC478" s="21"/>
      <c r="AD478" s="108" t="str">
        <f>INDEX(Tableau7[Repere],MATCH(Tableau3[[#This Row],[ID-API]],Tableau7[ID-API],0))&amp;""</f>
        <v>A3</v>
      </c>
      <c r="AE478" s="108" t="str">
        <f>INDEX(Tableau1[Repere-Rack],MATCH(Tableau3[[#This Row],[ID-RACK]],Tableau1[ID-RACK],0))&amp;""</f>
        <v>R2</v>
      </c>
      <c r="AF478" s="108" t="str">
        <f>INDEX(Tableau1[Repere-Slot],MATCH(Tableau3[[#This Row],[ID-SLOT]],Tableau1[ID-SLOT],0))&amp;""</f>
        <v>S2</v>
      </c>
      <c r="AG478" s="108" t="str">
        <f>INDEX(Tableau2[Repere-Voie],MATCH(Tableau3[[#This Row],[ID-VOIE]],Tableau2[ID-Voie],0))&amp;""</f>
        <v>v12</v>
      </c>
      <c r="AH478" s="72" t="str">
        <f>Tableau3[[#This Row],[ID-API]]&amp; "." &amp;Tableau3[[#This Row],[ID-RACK]]&amp; "." &amp;Tableau3[[#This Row],[ID-SLOT]]</f>
        <v>3.2.2</v>
      </c>
      <c r="AI478" s="72" t="str">
        <f>INDEX(Tableau1[Ref-Carte],MATCH(Tableau3[[#This Row],[ID-RRS]],Tableau1[ID-RRS],0))</f>
        <v>SDI1602</v>
      </c>
      <c r="AJ478" s="72" t="str">
        <f t="array" ref="AJ478">IFERROR(INDEX(Tableau2[TS],MATCH(1,(Tableau2[Ref-Carte]=Tableau3[[#This Row],[Ref-Carte2]])*(Tableau2[ID-Voie]=Tableau3[[#This Row],[ID-VOIE]]),0)),"")</f>
        <v>ET</v>
      </c>
      <c r="AK478" s="72" t="str">
        <f>IFERROR(INDEX(Tableau2[TS],SUMPRODUCT((Tableau2[Ref-Carte]=Tableau3[[#This Row],[Ref-Carte2]])*(Tableau2[ID-Voie]=Tableau3[[#This Row],[ID-VOIE]])*ROW(Tableau2[TS]))-ROW(Tableau2[#Headers])),"")</f>
        <v>ET</v>
      </c>
      <c r="AL478" s="72" t="str">
        <f>Tableau3[[#This Row],[Ref-Carte2]]&amp;"/"&amp;Tableau3[[#This Row],[ID-VOIE]]</f>
        <v>SDI1602/12</v>
      </c>
      <c r="AM478" s="73" t="str">
        <f>INDEX(Tableau2[Borne],MATCH(Tableau3[[#This Row],[ID-CARTEVOIE]],Tableau2[ID-CARTEVOIE],0))&amp;""</f>
        <v>6B</v>
      </c>
      <c r="AN478" s="74" t="str">
        <f>Tableau3[[#This Row],[ID-API]]&amp;Tableau3[[#This Row],[ID-RACK]]&amp;Tableau3[[#This Row],[ID-SLOT]]&amp;Tableau3[[#This Row],[BORNE]]</f>
        <v>3226B</v>
      </c>
      <c r="AO478" s="1"/>
    </row>
    <row r="479" spans="1:41" ht="20.100000000000001" customHeight="1" thickTop="1" thickBot="1">
      <c r="A479" s="68"/>
      <c r="B479" s="69" t="str">
        <f>IFERROR(INDEX(Tableau4[Date],MATCH($A479,Tableau4[EVO],0)),"")</f>
        <v/>
      </c>
      <c r="C479" s="68" t="str">
        <f>IFERROR(INDEX(Tableau4[Designation],MATCH($A479,Tableau4[EVO],0)),"")</f>
        <v/>
      </c>
      <c r="D479" s="68"/>
      <c r="E479" s="70">
        <v>84</v>
      </c>
      <c r="F479" s="71">
        <v>315</v>
      </c>
      <c r="G479" s="101" t="str">
        <f>INDEX(Tableau8[Att1],MATCH(Tableau3[[#This Row],[ID-INS]],Tableau8[ID],0))&amp;""</f>
        <v>V2</v>
      </c>
      <c r="H479" s="101" t="str">
        <f>INDEX(Tableau8[Att2],MATCH(Tableau3[[#This Row],[ID-INS]],Tableau8[ID],0))&amp;""</f>
        <v>F6</v>
      </c>
      <c r="I479" s="101" t="str">
        <f>INDEX(Tableau8[Att3],MATCH(Tableau3[[#This Row],[ID-INS]],Tableau8[ID],0))&amp;""</f>
        <v>Feu F6</v>
      </c>
      <c r="J479" s="101"/>
      <c r="K479" s="167" t="str">
        <f>INDEX(Tableau8[Nom du modele],MATCH(Tableau3[[#This Row],[ID-INS]],Tableau8[ID],0))&amp;""</f>
        <v>FeuBi_1</v>
      </c>
      <c r="L479" s="99" t="str">
        <f>INDEX(Tableau5[Att1],MATCH(Tableau3[[#This Row],[ID-SIG]],Tableau5[ID],0))&amp;""</f>
        <v>FeuV_RM</v>
      </c>
      <c r="M479" s="99" t="str">
        <f>INDEX(Tableau5[Att2],MATCH(Tableau3[[#This Row],[ID-SIG]],Tableau5[ID],0))&amp;""</f>
        <v/>
      </c>
      <c r="N479" s="99" t="str">
        <f>INDEX(Tableau5[Att3],MATCH(Tableau3[[#This Row],[ID-SIG]],Tableau5[ID],0))&amp;""</f>
        <v/>
      </c>
      <c r="O479" s="99"/>
      <c r="P479" s="99" t="str">
        <f>INDEX(Tableau5[Description],MATCH(Tableau3[[#This Row],[ID-SIG]],Tableau5[ID],0))</f>
        <v>Retour de marche Feu Vert</v>
      </c>
      <c r="Q479" s="99"/>
      <c r="R479" s="103" t="str">
        <f>Tableau3[[#This Row],[Description]]</f>
        <v>Retour de marche Feu Vert</v>
      </c>
      <c r="U479" s="87">
        <v>3</v>
      </c>
      <c r="V479" s="87">
        <v>2</v>
      </c>
      <c r="W479" s="87">
        <v>2</v>
      </c>
      <c r="X479" s="87">
        <v>13</v>
      </c>
      <c r="Y479" s="40"/>
      <c r="Z479" s="165" t="str">
        <f>INDEX(Tableau2[TS],MATCH(Tableau3[[#This Row],[ID-CARTEVOIE]],Tableau2[ID-CARTEVOIE],0))</f>
        <v>ET</v>
      </c>
      <c r="AA479" s="53" t="s">
        <v>213</v>
      </c>
      <c r="AB479" s="223" t="str">
        <f>IFERROR(INDEX(Tableau5[Reserve],MATCH(Tableau3[[#This Row],[ID-SIG]],Tableau5[ID],0))&amp;"","")</f>
        <v/>
      </c>
      <c r="AC479" s="21"/>
      <c r="AD479" s="108" t="str">
        <f>INDEX(Tableau7[Repere],MATCH(Tableau3[[#This Row],[ID-API]],Tableau7[ID-API],0))&amp;""</f>
        <v>A3</v>
      </c>
      <c r="AE479" s="108" t="str">
        <f>INDEX(Tableau1[Repere-Rack],MATCH(Tableau3[[#This Row],[ID-RACK]],Tableau1[ID-RACK],0))&amp;""</f>
        <v>R2</v>
      </c>
      <c r="AF479" s="108" t="str">
        <f>INDEX(Tableau1[Repere-Slot],MATCH(Tableau3[[#This Row],[ID-SLOT]],Tableau1[ID-SLOT],0))&amp;""</f>
        <v>S2</v>
      </c>
      <c r="AG479" s="108" t="str">
        <f>INDEX(Tableau2[Repere-Voie],MATCH(Tableau3[[#This Row],[ID-VOIE]],Tableau2[ID-Voie],0))&amp;""</f>
        <v>v13</v>
      </c>
      <c r="AH479" s="72" t="str">
        <f>Tableau3[[#This Row],[ID-API]]&amp; "." &amp;Tableau3[[#This Row],[ID-RACK]]&amp; "." &amp;Tableau3[[#This Row],[ID-SLOT]]</f>
        <v>3.2.2</v>
      </c>
      <c r="AI479" s="72" t="str">
        <f>INDEX(Tableau1[Ref-Carte],MATCH(Tableau3[[#This Row],[ID-RRS]],Tableau1[ID-RRS],0))</f>
        <v>SDI1602</v>
      </c>
      <c r="AJ479" s="72" t="str">
        <f t="array" ref="AJ479">IFERROR(INDEX(Tableau2[TS],MATCH(1,(Tableau2[Ref-Carte]=Tableau3[[#This Row],[Ref-Carte2]])*(Tableau2[ID-Voie]=Tableau3[[#This Row],[ID-VOIE]]),0)),"")</f>
        <v>ET</v>
      </c>
      <c r="AK479" s="72" t="str">
        <f>IFERROR(INDEX(Tableau2[TS],SUMPRODUCT((Tableau2[Ref-Carte]=Tableau3[[#This Row],[Ref-Carte2]])*(Tableau2[ID-Voie]=Tableau3[[#This Row],[ID-VOIE]])*ROW(Tableau2[TS]))-ROW(Tableau2[#Headers])),"")</f>
        <v>ET</v>
      </c>
      <c r="AL479" s="72" t="str">
        <f>Tableau3[[#This Row],[Ref-Carte2]]&amp;"/"&amp;Tableau3[[#This Row],[ID-VOIE]]</f>
        <v>SDI1602/13</v>
      </c>
      <c r="AM479" s="73" t="str">
        <f>INDEX(Tableau2[Borne],MATCH(Tableau3[[#This Row],[ID-CARTEVOIE]],Tableau2[ID-CARTEVOIE],0))&amp;""</f>
        <v>6A</v>
      </c>
      <c r="AN479" s="74" t="str">
        <f>Tableau3[[#This Row],[ID-API]]&amp;Tableau3[[#This Row],[ID-RACK]]&amp;Tableau3[[#This Row],[ID-SLOT]]&amp;Tableau3[[#This Row],[BORNE]]</f>
        <v>3226A</v>
      </c>
      <c r="AO479" s="1"/>
    </row>
    <row r="480" spans="1:41" ht="20.100000000000001" customHeight="1" thickTop="1" thickBot="1">
      <c r="A480" s="68"/>
      <c r="B480" s="69" t="str">
        <f>IFERROR(INDEX(Tableau4[Date],MATCH($A480,Tableau4[EVO],0)),"")</f>
        <v/>
      </c>
      <c r="C480" s="68" t="str">
        <f>IFERROR(INDEX(Tableau4[Designation],MATCH($A480,Tableau4[EVO],0)),"")</f>
        <v/>
      </c>
      <c r="D480" s="68"/>
      <c r="E480" s="70">
        <v>88</v>
      </c>
      <c r="F480" s="71">
        <v>311</v>
      </c>
      <c r="G480" s="101" t="str">
        <f>INDEX(Tableau8[Att1],MATCH(Tableau3[[#This Row],[ID-INS]],Tableau8[ID],0))&amp;""</f>
        <v>V2</v>
      </c>
      <c r="H480" s="101" t="str">
        <f>INDEX(Tableau8[Att2],MATCH(Tableau3[[#This Row],[ID-INS]],Tableau8[ID],0))&amp;""</f>
        <v>F10</v>
      </c>
      <c r="I480" s="101" t="str">
        <f>INDEX(Tableau8[Att3],MATCH(Tableau3[[#This Row],[ID-INS]],Tableau8[ID],0))&amp;""</f>
        <v>Feu F10</v>
      </c>
      <c r="J480" s="101"/>
      <c r="K480" s="167" t="str">
        <f>INDEX(Tableau8[Nom du modele],MATCH(Tableau3[[#This Row],[ID-INS]],Tableau8[ID],0))&amp;""</f>
        <v>FeuBiCora</v>
      </c>
      <c r="L480" s="99" t="str">
        <f>INDEX(Tableau5[Att1],MATCH(Tableau3[[#This Row],[ID-SIG]],Tableau5[ID],0))&amp;""</f>
        <v>FeuO_RM</v>
      </c>
      <c r="M480" s="99" t="str">
        <f>INDEX(Tableau5[Att2],MATCH(Tableau3[[#This Row],[ID-SIG]],Tableau5[ID],0))&amp;""</f>
        <v/>
      </c>
      <c r="N480" s="99" t="str">
        <f>INDEX(Tableau5[Att3],MATCH(Tableau3[[#This Row],[ID-SIG]],Tableau5[ID],0))&amp;""</f>
        <v/>
      </c>
      <c r="O480" s="99"/>
      <c r="P480" s="99" t="str">
        <f>INDEX(Tableau5[Description],MATCH(Tableau3[[#This Row],[ID-SIG]],Tableau5[ID],0))</f>
        <v>Retour de marche Feu Orange</v>
      </c>
      <c r="Q480" s="99"/>
      <c r="R480" s="103" t="str">
        <f>Tableau3[[#This Row],[Description]]</f>
        <v>Retour de marche Feu Orange</v>
      </c>
      <c r="U480" s="87">
        <v>3</v>
      </c>
      <c r="V480" s="87">
        <v>2</v>
      </c>
      <c r="W480" s="87">
        <v>2</v>
      </c>
      <c r="X480" s="87">
        <v>14</v>
      </c>
      <c r="Y480" s="40"/>
      <c r="Z480" s="165" t="str">
        <f>INDEX(Tableau2[TS],MATCH(Tableau3[[#This Row],[ID-CARTEVOIE]],Tableau2[ID-CARTEVOIE],0))</f>
        <v>ET</v>
      </c>
      <c r="AA480" s="53" t="s">
        <v>213</v>
      </c>
      <c r="AB480" s="223" t="str">
        <f>IFERROR(INDEX(Tableau5[Reserve],MATCH(Tableau3[[#This Row],[ID-SIG]],Tableau5[ID],0))&amp;"","")</f>
        <v/>
      </c>
      <c r="AC480" s="21"/>
      <c r="AD480" s="108" t="str">
        <f>INDEX(Tableau7[Repere],MATCH(Tableau3[[#This Row],[ID-API]],Tableau7[ID-API],0))&amp;""</f>
        <v>A3</v>
      </c>
      <c r="AE480" s="108" t="str">
        <f>INDEX(Tableau1[Repere-Rack],MATCH(Tableau3[[#This Row],[ID-RACK]],Tableau1[ID-RACK],0))&amp;""</f>
        <v>R2</v>
      </c>
      <c r="AF480" s="108" t="str">
        <f>INDEX(Tableau1[Repere-Slot],MATCH(Tableau3[[#This Row],[ID-SLOT]],Tableau1[ID-SLOT],0))&amp;""</f>
        <v>S2</v>
      </c>
      <c r="AG480" s="108" t="str">
        <f>INDEX(Tableau2[Repere-Voie],MATCH(Tableau3[[#This Row],[ID-VOIE]],Tableau2[ID-Voie],0))&amp;""</f>
        <v>v14</v>
      </c>
      <c r="AH480" s="72" t="str">
        <f>Tableau3[[#This Row],[ID-API]]&amp; "." &amp;Tableau3[[#This Row],[ID-RACK]]&amp; "." &amp;Tableau3[[#This Row],[ID-SLOT]]</f>
        <v>3.2.2</v>
      </c>
      <c r="AI480" s="72" t="str">
        <f>INDEX(Tableau1[Ref-Carte],MATCH(Tableau3[[#This Row],[ID-RRS]],Tableau1[ID-RRS],0))</f>
        <v>SDI1602</v>
      </c>
      <c r="AJ480" s="72" t="str">
        <f t="array" ref="AJ480">IFERROR(INDEX(Tableau2[TS],MATCH(1,(Tableau2[Ref-Carte]=Tableau3[[#This Row],[Ref-Carte2]])*(Tableau2[ID-Voie]=Tableau3[[#This Row],[ID-VOIE]]),0)),"")</f>
        <v>ET</v>
      </c>
      <c r="AK480" s="72" t="str">
        <f>IFERROR(INDEX(Tableau2[TS],SUMPRODUCT((Tableau2[Ref-Carte]=Tableau3[[#This Row],[Ref-Carte2]])*(Tableau2[ID-Voie]=Tableau3[[#This Row],[ID-VOIE]])*ROW(Tableau2[TS]))-ROW(Tableau2[#Headers])),"")</f>
        <v>ET</v>
      </c>
      <c r="AL480" s="72" t="str">
        <f>Tableau3[[#This Row],[Ref-Carte2]]&amp;"/"&amp;Tableau3[[#This Row],[ID-VOIE]]</f>
        <v>SDI1602/14</v>
      </c>
      <c r="AM480" s="73" t="str">
        <f>INDEX(Tableau2[Borne],MATCH(Tableau3[[#This Row],[ID-CARTEVOIE]],Tableau2[ID-CARTEVOIE],0))&amp;""</f>
        <v>7B</v>
      </c>
      <c r="AN480" s="74" t="str">
        <f>Tableau3[[#This Row],[ID-API]]&amp;Tableau3[[#This Row],[ID-RACK]]&amp;Tableau3[[#This Row],[ID-SLOT]]&amp;Tableau3[[#This Row],[BORNE]]</f>
        <v>3227B</v>
      </c>
      <c r="AO480" s="1"/>
    </row>
    <row r="481" spans="1:41" ht="20.100000000000001" customHeight="1" thickTop="1" thickBot="1">
      <c r="A481" s="68"/>
      <c r="B481" s="69" t="str">
        <f>IFERROR(INDEX(Tableau4[Date],MATCH($A481,Tableau4[EVO],0)),"")</f>
        <v/>
      </c>
      <c r="C481" s="68" t="str">
        <f>IFERROR(INDEX(Tableau4[Designation],MATCH($A481,Tableau4[EVO],0)),"")</f>
        <v/>
      </c>
      <c r="D481" s="68"/>
      <c r="E481" s="70">
        <v>88</v>
      </c>
      <c r="F481" s="71">
        <v>312</v>
      </c>
      <c r="G481" s="101" t="str">
        <f>INDEX(Tableau8[Att1],MATCH(Tableau3[[#This Row],[ID-INS]],Tableau8[ID],0))&amp;""</f>
        <v>V2</v>
      </c>
      <c r="H481" s="101" t="str">
        <f>INDEX(Tableau8[Att2],MATCH(Tableau3[[#This Row],[ID-INS]],Tableau8[ID],0))&amp;""</f>
        <v>F10</v>
      </c>
      <c r="I481" s="101" t="str">
        <f>INDEX(Tableau8[Att3],MATCH(Tableau3[[#This Row],[ID-INS]],Tableau8[ID],0))&amp;""</f>
        <v>Feu F10</v>
      </c>
      <c r="J481" s="101"/>
      <c r="K481" s="167" t="str">
        <f>INDEX(Tableau8[Nom du modele],MATCH(Tableau3[[#This Row],[ID-INS]],Tableau8[ID],0))&amp;""</f>
        <v>FeuBiCora</v>
      </c>
      <c r="L481" s="99" t="str">
        <f>INDEX(Tableau5[Att1],MATCH(Tableau3[[#This Row],[ID-SIG]],Tableau5[ID],0))&amp;""</f>
        <v>FeuR_RM</v>
      </c>
      <c r="M481" s="99" t="str">
        <f>INDEX(Tableau5[Att2],MATCH(Tableau3[[#This Row],[ID-SIG]],Tableau5[ID],0))&amp;""</f>
        <v/>
      </c>
      <c r="N481" s="99" t="str">
        <f>INDEX(Tableau5[Att3],MATCH(Tableau3[[#This Row],[ID-SIG]],Tableau5[ID],0))&amp;""</f>
        <v/>
      </c>
      <c r="O481" s="99"/>
      <c r="P481" s="99" t="str">
        <f>INDEX(Tableau5[Description],MATCH(Tableau3[[#This Row],[ID-SIG]],Tableau5[ID],0))</f>
        <v>Retour de marche Feu Rouge</v>
      </c>
      <c r="Q481" s="99"/>
      <c r="R481" s="103" t="str">
        <f>Tableau3[[#This Row],[Description]]</f>
        <v>Retour de marche Feu Rouge</v>
      </c>
      <c r="U481" s="87">
        <v>3</v>
      </c>
      <c r="V481" s="87">
        <v>2</v>
      </c>
      <c r="W481" s="87">
        <v>2</v>
      </c>
      <c r="X481" s="87">
        <v>15</v>
      </c>
      <c r="Y481" s="40"/>
      <c r="Z481" s="165" t="str">
        <f>INDEX(Tableau2[TS],MATCH(Tableau3[[#This Row],[ID-CARTEVOIE]],Tableau2[ID-CARTEVOIE],0))</f>
        <v>ET</v>
      </c>
      <c r="AA481" s="53" t="s">
        <v>213</v>
      </c>
      <c r="AB481" s="223" t="str">
        <f>IFERROR(INDEX(Tableau5[Reserve],MATCH(Tableau3[[#This Row],[ID-SIG]],Tableau5[ID],0))&amp;"","")</f>
        <v/>
      </c>
      <c r="AC481" s="21"/>
      <c r="AD481" s="108" t="str">
        <f>INDEX(Tableau7[Repere],MATCH(Tableau3[[#This Row],[ID-API]],Tableau7[ID-API],0))&amp;""</f>
        <v>A3</v>
      </c>
      <c r="AE481" s="108" t="str">
        <f>INDEX(Tableau1[Repere-Rack],MATCH(Tableau3[[#This Row],[ID-RACK]],Tableau1[ID-RACK],0))&amp;""</f>
        <v>R2</v>
      </c>
      <c r="AF481" s="108" t="str">
        <f>INDEX(Tableau1[Repere-Slot],MATCH(Tableau3[[#This Row],[ID-SLOT]],Tableau1[ID-SLOT],0))&amp;""</f>
        <v>S2</v>
      </c>
      <c r="AG481" s="108" t="str">
        <f>INDEX(Tableau2[Repere-Voie],MATCH(Tableau3[[#This Row],[ID-VOIE]],Tableau2[ID-Voie],0))&amp;""</f>
        <v>v15</v>
      </c>
      <c r="AH481" s="72" t="str">
        <f>Tableau3[[#This Row],[ID-API]]&amp; "." &amp;Tableau3[[#This Row],[ID-RACK]]&amp; "." &amp;Tableau3[[#This Row],[ID-SLOT]]</f>
        <v>3.2.2</v>
      </c>
      <c r="AI481" s="72" t="str">
        <f>INDEX(Tableau1[Ref-Carte],MATCH(Tableau3[[#This Row],[ID-RRS]],Tableau1[ID-RRS],0))</f>
        <v>SDI1602</v>
      </c>
      <c r="AJ481" s="72" t="str">
        <f t="array" ref="AJ481">IFERROR(INDEX(Tableau2[TS],MATCH(1,(Tableau2[Ref-Carte]=Tableau3[[#This Row],[Ref-Carte2]])*(Tableau2[ID-Voie]=Tableau3[[#This Row],[ID-VOIE]]),0)),"")</f>
        <v>ET</v>
      </c>
      <c r="AK481" s="72" t="str">
        <f>IFERROR(INDEX(Tableau2[TS],SUMPRODUCT((Tableau2[Ref-Carte]=Tableau3[[#This Row],[Ref-Carte2]])*(Tableau2[ID-Voie]=Tableau3[[#This Row],[ID-VOIE]])*ROW(Tableau2[TS]))-ROW(Tableau2[#Headers])),"")</f>
        <v>ET</v>
      </c>
      <c r="AL481" s="72" t="str">
        <f>Tableau3[[#This Row],[Ref-Carte2]]&amp;"/"&amp;Tableau3[[#This Row],[ID-VOIE]]</f>
        <v>SDI1602/15</v>
      </c>
      <c r="AM481" s="73" t="str">
        <f>INDEX(Tableau2[Borne],MATCH(Tableau3[[#This Row],[ID-CARTEVOIE]],Tableau2[ID-CARTEVOIE],0))&amp;""</f>
        <v>7A</v>
      </c>
      <c r="AN481" s="74" t="str">
        <f>Tableau3[[#This Row],[ID-API]]&amp;Tableau3[[#This Row],[ID-RACK]]&amp;Tableau3[[#This Row],[ID-SLOT]]&amp;Tableau3[[#This Row],[BORNE]]</f>
        <v>3227A</v>
      </c>
      <c r="AO481" s="1"/>
    </row>
    <row r="482" spans="1:41" ht="20.100000000000001" customHeight="1" thickTop="1" thickBot="1">
      <c r="A482" s="68"/>
      <c r="B482" s="69" t="str">
        <f>IFERROR(INDEX(Tableau4[Date],MATCH($A482,Tableau4[EVO],0)),"")</f>
        <v/>
      </c>
      <c r="C482" s="68" t="str">
        <f>IFERROR(INDEX(Tableau4[Designation],MATCH($A482,Tableau4[EVO],0)),"")</f>
        <v/>
      </c>
      <c r="D482" s="68"/>
      <c r="E482" s="70">
        <v>91</v>
      </c>
      <c r="F482" s="71">
        <v>311</v>
      </c>
      <c r="G482" s="101" t="str">
        <f>INDEX(Tableau8[Att1],MATCH(Tableau3[[#This Row],[ID-INS]],Tableau8[ID],0))&amp;""</f>
        <v>V2</v>
      </c>
      <c r="H482" s="101" t="str">
        <f>INDEX(Tableau8[Att2],MATCH(Tableau3[[#This Row],[ID-INS]],Tableau8[ID],0))&amp;""</f>
        <v>F18</v>
      </c>
      <c r="I482" s="101" t="str">
        <f>INDEX(Tableau8[Att3],MATCH(Tableau3[[#This Row],[ID-INS]],Tableau8[ID],0))&amp;""</f>
        <v>Feu F18</v>
      </c>
      <c r="J482" s="101"/>
      <c r="K482" s="167" t="str">
        <f>INDEX(Tableau8[Nom du modele],MATCH(Tableau3[[#This Row],[ID-INS]],Tableau8[ID],0))&amp;""</f>
        <v>FeuBiCora</v>
      </c>
      <c r="L482" s="99" t="str">
        <f>INDEX(Tableau5[Att1],MATCH(Tableau3[[#This Row],[ID-SIG]],Tableau5[ID],0))&amp;""</f>
        <v>FeuO_RM</v>
      </c>
      <c r="M482" s="99" t="str">
        <f>INDEX(Tableau5[Att2],MATCH(Tableau3[[#This Row],[ID-SIG]],Tableau5[ID],0))&amp;""</f>
        <v/>
      </c>
      <c r="N482" s="99" t="str">
        <f>INDEX(Tableau5[Att3],MATCH(Tableau3[[#This Row],[ID-SIG]],Tableau5[ID],0))&amp;""</f>
        <v/>
      </c>
      <c r="O482" s="99"/>
      <c r="P482" s="99" t="str">
        <f>INDEX(Tableau5[Description],MATCH(Tableau3[[#This Row],[ID-SIG]],Tableau5[ID],0))</f>
        <v>Retour de marche Feu Orange</v>
      </c>
      <c r="Q482" s="99"/>
      <c r="R482" s="103" t="str">
        <f>Tableau3[[#This Row],[Description]]</f>
        <v>Retour de marche Feu Orange</v>
      </c>
      <c r="U482" s="87">
        <v>3</v>
      </c>
      <c r="V482" s="87">
        <v>2</v>
      </c>
      <c r="W482" s="87">
        <v>3</v>
      </c>
      <c r="X482" s="87">
        <v>0</v>
      </c>
      <c r="Y482" s="40"/>
      <c r="Z482" s="165" t="str">
        <f>INDEX(Tableau2[TS],MATCH(Tableau3[[#This Row],[ID-CARTEVOIE]],Tableau2[ID-CARTEVOIE],0))</f>
        <v>ET</v>
      </c>
      <c r="AA482" s="53" t="s">
        <v>213</v>
      </c>
      <c r="AB482" s="223" t="str">
        <f>IFERROR(INDEX(Tableau5[Reserve],MATCH(Tableau3[[#This Row],[ID-SIG]],Tableau5[ID],0))&amp;"","")</f>
        <v/>
      </c>
      <c r="AC482" s="21"/>
      <c r="AD482" s="108" t="str">
        <f>INDEX(Tableau7[Repere],MATCH(Tableau3[[#This Row],[ID-API]],Tableau7[ID-API],0))&amp;""</f>
        <v>A3</v>
      </c>
      <c r="AE482" s="108" t="str">
        <f>INDEX(Tableau1[Repere-Rack],MATCH(Tableau3[[#This Row],[ID-RACK]],Tableau1[ID-RACK],0))&amp;""</f>
        <v>R2</v>
      </c>
      <c r="AF482" s="108" t="str">
        <f>INDEX(Tableau1[Repere-Slot],MATCH(Tableau3[[#This Row],[ID-SLOT]],Tableau1[ID-SLOT],0))&amp;""</f>
        <v>S3</v>
      </c>
      <c r="AG482" s="108" t="str">
        <f>INDEX(Tableau2[Repere-Voie],MATCH(Tableau3[[#This Row],[ID-VOIE]],Tableau2[ID-Voie],0))&amp;""</f>
        <v>v0</v>
      </c>
      <c r="AH482" s="72" t="str">
        <f>Tableau3[[#This Row],[ID-API]]&amp; "." &amp;Tableau3[[#This Row],[ID-RACK]]&amp; "." &amp;Tableau3[[#This Row],[ID-SLOT]]</f>
        <v>3.2.3</v>
      </c>
      <c r="AI482" s="72" t="str">
        <f>INDEX(Tableau1[Ref-Carte],MATCH(Tableau3[[#This Row],[ID-RRS]],Tableau1[ID-RRS],0))</f>
        <v>SDI1602</v>
      </c>
      <c r="AJ482" s="72" t="str">
        <f t="array" ref="AJ482">IFERROR(INDEX(Tableau2[TS],MATCH(1,(Tableau2[Ref-Carte]=Tableau3[[#This Row],[Ref-Carte2]])*(Tableau2[ID-Voie]=Tableau3[[#This Row],[ID-VOIE]]),0)),"")</f>
        <v>ET</v>
      </c>
      <c r="AK482" s="72" t="str">
        <f>IFERROR(INDEX(Tableau2[TS],SUMPRODUCT((Tableau2[Ref-Carte]=Tableau3[[#This Row],[Ref-Carte2]])*(Tableau2[ID-Voie]=Tableau3[[#This Row],[ID-VOIE]])*ROW(Tableau2[TS]))-ROW(Tableau2[#Headers])),"")</f>
        <v>ET</v>
      </c>
      <c r="AL482" s="72" t="str">
        <f>Tableau3[[#This Row],[Ref-Carte2]]&amp;"/"&amp;Tableau3[[#This Row],[ID-VOIE]]</f>
        <v>SDI1602/0</v>
      </c>
      <c r="AM482" s="73" t="str">
        <f>INDEX(Tableau2[Borne],MATCH(Tableau3[[#This Row],[ID-CARTEVOIE]],Tableau2[ID-CARTEVOIE],0))&amp;""</f>
        <v>0B</v>
      </c>
      <c r="AN482" s="74" t="str">
        <f>Tableau3[[#This Row],[ID-API]]&amp;Tableau3[[#This Row],[ID-RACK]]&amp;Tableau3[[#This Row],[ID-SLOT]]&amp;Tableau3[[#This Row],[BORNE]]</f>
        <v>3230B</v>
      </c>
      <c r="AO482" s="1"/>
    </row>
    <row r="483" spans="1:41" ht="20.100000000000001" customHeight="1" thickTop="1" thickBot="1">
      <c r="A483" s="68"/>
      <c r="B483" s="69" t="str">
        <f>IFERROR(INDEX(Tableau4[Date],MATCH($A483,Tableau4[EVO],0)),"")</f>
        <v/>
      </c>
      <c r="C483" s="68" t="str">
        <f>IFERROR(INDEX(Tableau4[Designation],MATCH($A483,Tableau4[EVO],0)),"")</f>
        <v/>
      </c>
      <c r="D483" s="68"/>
      <c r="E483" s="70">
        <v>91</v>
      </c>
      <c r="F483" s="71">
        <v>312</v>
      </c>
      <c r="G483" s="101" t="str">
        <f>INDEX(Tableau8[Att1],MATCH(Tableau3[[#This Row],[ID-INS]],Tableau8[ID],0))&amp;""</f>
        <v>V2</v>
      </c>
      <c r="H483" s="101" t="str">
        <f>INDEX(Tableau8[Att2],MATCH(Tableau3[[#This Row],[ID-INS]],Tableau8[ID],0))&amp;""</f>
        <v>F18</v>
      </c>
      <c r="I483" s="101" t="str">
        <f>INDEX(Tableau8[Att3],MATCH(Tableau3[[#This Row],[ID-INS]],Tableau8[ID],0))&amp;""</f>
        <v>Feu F18</v>
      </c>
      <c r="J483" s="101"/>
      <c r="K483" s="167" t="str">
        <f>INDEX(Tableau8[Nom du modele],MATCH(Tableau3[[#This Row],[ID-INS]],Tableau8[ID],0))&amp;""</f>
        <v>FeuBiCora</v>
      </c>
      <c r="L483" s="99" t="str">
        <f>INDEX(Tableau5[Att1],MATCH(Tableau3[[#This Row],[ID-SIG]],Tableau5[ID],0))&amp;""</f>
        <v>FeuR_RM</v>
      </c>
      <c r="M483" s="99" t="str">
        <f>INDEX(Tableau5[Att2],MATCH(Tableau3[[#This Row],[ID-SIG]],Tableau5[ID],0))&amp;""</f>
        <v/>
      </c>
      <c r="N483" s="99" t="str">
        <f>INDEX(Tableau5[Att3],MATCH(Tableau3[[#This Row],[ID-SIG]],Tableau5[ID],0))&amp;""</f>
        <v/>
      </c>
      <c r="O483" s="99"/>
      <c r="P483" s="99" t="str">
        <f>INDEX(Tableau5[Description],MATCH(Tableau3[[#This Row],[ID-SIG]],Tableau5[ID],0))</f>
        <v>Retour de marche Feu Rouge</v>
      </c>
      <c r="Q483" s="99"/>
      <c r="R483" s="103" t="str">
        <f>Tableau3[[#This Row],[Description]]</f>
        <v>Retour de marche Feu Rouge</v>
      </c>
      <c r="U483" s="87">
        <v>3</v>
      </c>
      <c r="V483" s="87">
        <v>2</v>
      </c>
      <c r="W483" s="87">
        <v>3</v>
      </c>
      <c r="X483" s="87">
        <v>1</v>
      </c>
      <c r="Y483" s="40"/>
      <c r="Z483" s="165" t="str">
        <f>INDEX(Tableau2[TS],MATCH(Tableau3[[#This Row],[ID-CARTEVOIE]],Tableau2[ID-CARTEVOIE],0))</f>
        <v>ET</v>
      </c>
      <c r="AA483" s="53" t="s">
        <v>213</v>
      </c>
      <c r="AB483" s="223" t="str">
        <f>IFERROR(INDEX(Tableau5[Reserve],MATCH(Tableau3[[#This Row],[ID-SIG]],Tableau5[ID],0))&amp;"","")</f>
        <v/>
      </c>
      <c r="AC483" s="21"/>
      <c r="AD483" s="108" t="str">
        <f>INDEX(Tableau7[Repere],MATCH(Tableau3[[#This Row],[ID-API]],Tableau7[ID-API],0))&amp;""</f>
        <v>A3</v>
      </c>
      <c r="AE483" s="108" t="str">
        <f>INDEX(Tableau1[Repere-Rack],MATCH(Tableau3[[#This Row],[ID-RACK]],Tableau1[ID-RACK],0))&amp;""</f>
        <v>R2</v>
      </c>
      <c r="AF483" s="108" t="str">
        <f>INDEX(Tableau1[Repere-Slot],MATCH(Tableau3[[#This Row],[ID-SLOT]],Tableau1[ID-SLOT],0))&amp;""</f>
        <v>S3</v>
      </c>
      <c r="AG483" s="108" t="str">
        <f>INDEX(Tableau2[Repere-Voie],MATCH(Tableau3[[#This Row],[ID-VOIE]],Tableau2[ID-Voie],0))&amp;""</f>
        <v>v1</v>
      </c>
      <c r="AH483" s="72" t="str">
        <f>Tableau3[[#This Row],[ID-API]]&amp; "." &amp;Tableau3[[#This Row],[ID-RACK]]&amp; "." &amp;Tableau3[[#This Row],[ID-SLOT]]</f>
        <v>3.2.3</v>
      </c>
      <c r="AI483" s="72" t="str">
        <f>INDEX(Tableau1[Ref-Carte],MATCH(Tableau3[[#This Row],[ID-RRS]],Tableau1[ID-RRS],0))</f>
        <v>SDI1602</v>
      </c>
      <c r="AJ483" s="72" t="str">
        <f t="array" ref="AJ483">IFERROR(INDEX(Tableau2[TS],MATCH(1,(Tableau2[Ref-Carte]=Tableau3[[#This Row],[Ref-Carte2]])*(Tableau2[ID-Voie]=Tableau3[[#This Row],[ID-VOIE]]),0)),"")</f>
        <v>ET</v>
      </c>
      <c r="AK483" s="72" t="str">
        <f>IFERROR(INDEX(Tableau2[TS],SUMPRODUCT((Tableau2[Ref-Carte]=Tableau3[[#This Row],[Ref-Carte2]])*(Tableau2[ID-Voie]=Tableau3[[#This Row],[ID-VOIE]])*ROW(Tableau2[TS]))-ROW(Tableau2[#Headers])),"")</f>
        <v>ET</v>
      </c>
      <c r="AL483" s="72" t="str">
        <f>Tableau3[[#This Row],[Ref-Carte2]]&amp;"/"&amp;Tableau3[[#This Row],[ID-VOIE]]</f>
        <v>SDI1602/1</v>
      </c>
      <c r="AM483" s="73" t="str">
        <f>INDEX(Tableau2[Borne],MATCH(Tableau3[[#This Row],[ID-CARTEVOIE]],Tableau2[ID-CARTEVOIE],0))&amp;""</f>
        <v>0A</v>
      </c>
      <c r="AN483" s="74" t="str">
        <f>Tableau3[[#This Row],[ID-API]]&amp;Tableau3[[#This Row],[ID-RACK]]&amp;Tableau3[[#This Row],[ID-SLOT]]&amp;Tableau3[[#This Row],[BORNE]]</f>
        <v>3230A</v>
      </c>
      <c r="AO483" s="1"/>
    </row>
    <row r="484" spans="1:41" ht="20.100000000000001" customHeight="1" thickTop="1" thickBot="1">
      <c r="A484" s="68"/>
      <c r="B484" s="69" t="str">
        <f>IFERROR(INDEX(Tableau4[Date],MATCH($A484,Tableau4[EVO],0)),"")</f>
        <v/>
      </c>
      <c r="C484" s="68" t="str">
        <f>IFERROR(INDEX(Tableau4[Designation],MATCH($A484,Tableau4[EVO],0)),"")</f>
        <v/>
      </c>
      <c r="D484" s="68"/>
      <c r="E484" s="70">
        <v>95</v>
      </c>
      <c r="F484" s="71">
        <v>319</v>
      </c>
      <c r="G484" s="101" t="str">
        <f>INDEX(Tableau8[Att1],MATCH(Tableau3[[#This Row],[ID-INS]],Tableau8[ID],0))&amp;""</f>
        <v>V2</v>
      </c>
      <c r="H484" s="101" t="str">
        <f>INDEX(Tableau8[Att2],MATCH(Tableau3[[#This Row],[ID-INS]],Tableau8[ID],0))&amp;""</f>
        <v>F15</v>
      </c>
      <c r="I484" s="101" t="str">
        <f>INDEX(Tableau8[Att3],MATCH(Tableau3[[#This Row],[ID-INS]],Tableau8[ID],0))&amp;""</f>
        <v>Feu F15</v>
      </c>
      <c r="J484" s="101"/>
      <c r="K484" s="167" t="str">
        <f>INDEX(Tableau8[Nom du modele],MATCH(Tableau3[[#This Row],[ID-INS]],Tableau8[ID],0))&amp;""</f>
        <v>FeuContrAleaVLPL1</v>
      </c>
      <c r="L484" s="99" t="str">
        <f>INDEX(Tableau5[Att1],MATCH(Tableau3[[#This Row],[ID-SIG]],Tableau5[ID],0))&amp;""</f>
        <v>Réserve</v>
      </c>
      <c r="M484" s="99" t="str">
        <f>INDEX(Tableau5[Att2],MATCH(Tableau3[[#This Row],[ID-SIG]],Tableau5[ID],0))&amp;""</f>
        <v/>
      </c>
      <c r="N484" s="99" t="str">
        <f>INDEX(Tableau5[Att3],MATCH(Tableau3[[#This Row],[ID-SIG]],Tableau5[ID],0))&amp;""</f>
        <v/>
      </c>
      <c r="O484" s="99"/>
      <c r="P484" s="99" t="str">
        <f>INDEX(Tableau5[Description],MATCH(Tableau3[[#This Row],[ID-SIG]],Tableau5[ID],0))</f>
        <v>Réserve</v>
      </c>
      <c r="Q484" s="99"/>
      <c r="R484" s="103" t="str">
        <f>Tableau3[[#This Row],[Description]]</f>
        <v>Réserve</v>
      </c>
      <c r="U484" s="87">
        <v>3</v>
      </c>
      <c r="V484" s="87">
        <v>2</v>
      </c>
      <c r="W484" s="87">
        <v>3</v>
      </c>
      <c r="X484" s="87">
        <v>2</v>
      </c>
      <c r="Y484" s="40"/>
      <c r="Z484" s="165" t="str">
        <f>INDEX(Tableau2[TS],MATCH(Tableau3[[#This Row],[ID-CARTEVOIE]],Tableau2[ID-CARTEVOIE],0))</f>
        <v>ET</v>
      </c>
      <c r="AA484" s="53" t="s">
        <v>213</v>
      </c>
      <c r="AB484" s="223" t="str">
        <f>IFERROR(INDEX(Tableau5[Reserve],MATCH(Tableau3[[#This Row],[ID-SIG]],Tableau5[ID],0))&amp;"","")</f>
        <v/>
      </c>
      <c r="AC484" s="21"/>
      <c r="AD484" s="108" t="str">
        <f>INDEX(Tableau7[Repere],MATCH(Tableau3[[#This Row],[ID-API]],Tableau7[ID-API],0))&amp;""</f>
        <v>A3</v>
      </c>
      <c r="AE484" s="108" t="str">
        <f>INDEX(Tableau1[Repere-Rack],MATCH(Tableau3[[#This Row],[ID-RACK]],Tableau1[ID-RACK],0))&amp;""</f>
        <v>R2</v>
      </c>
      <c r="AF484" s="108" t="str">
        <f>INDEX(Tableau1[Repere-Slot],MATCH(Tableau3[[#This Row],[ID-SLOT]],Tableau1[ID-SLOT],0))&amp;""</f>
        <v>S3</v>
      </c>
      <c r="AG484" s="108" t="str">
        <f>INDEX(Tableau2[Repere-Voie],MATCH(Tableau3[[#This Row],[ID-VOIE]],Tableau2[ID-Voie],0))&amp;""</f>
        <v>v2</v>
      </c>
      <c r="AH484" s="72" t="str">
        <f>Tableau3[[#This Row],[ID-API]]&amp; "." &amp;Tableau3[[#This Row],[ID-RACK]]&amp; "." &amp;Tableau3[[#This Row],[ID-SLOT]]</f>
        <v>3.2.3</v>
      </c>
      <c r="AI484" s="72" t="str">
        <f>INDEX(Tableau1[Ref-Carte],MATCH(Tableau3[[#This Row],[ID-RRS]],Tableau1[ID-RRS],0))</f>
        <v>SDI1602</v>
      </c>
      <c r="AJ484" s="72" t="str">
        <f t="array" ref="AJ484">IFERROR(INDEX(Tableau2[TS],MATCH(1,(Tableau2[Ref-Carte]=Tableau3[[#This Row],[Ref-Carte2]])*(Tableau2[ID-Voie]=Tableau3[[#This Row],[ID-VOIE]]),0)),"")</f>
        <v>ET</v>
      </c>
      <c r="AK484" s="72" t="str">
        <f>IFERROR(INDEX(Tableau2[TS],SUMPRODUCT((Tableau2[Ref-Carte]=Tableau3[[#This Row],[Ref-Carte2]])*(Tableau2[ID-Voie]=Tableau3[[#This Row],[ID-VOIE]])*ROW(Tableau2[TS]))-ROW(Tableau2[#Headers])),"")</f>
        <v>ET</v>
      </c>
      <c r="AL484" s="72" t="str">
        <f>Tableau3[[#This Row],[Ref-Carte2]]&amp;"/"&amp;Tableau3[[#This Row],[ID-VOIE]]</f>
        <v>SDI1602/2</v>
      </c>
      <c r="AM484" s="73" t="str">
        <f>INDEX(Tableau2[Borne],MATCH(Tableau3[[#This Row],[ID-CARTEVOIE]],Tableau2[ID-CARTEVOIE],0))&amp;""</f>
        <v>1B</v>
      </c>
      <c r="AN484" s="74" t="str">
        <f>Tableau3[[#This Row],[ID-API]]&amp;Tableau3[[#This Row],[ID-RACK]]&amp;Tableau3[[#This Row],[ID-SLOT]]&amp;Tableau3[[#This Row],[BORNE]]</f>
        <v>3231B</v>
      </c>
      <c r="AO484" s="1"/>
    </row>
    <row r="485" spans="1:41" ht="20.100000000000001" customHeight="1" thickTop="1" thickBot="1">
      <c r="A485" s="68"/>
      <c r="B485" s="69" t="str">
        <f>IFERROR(INDEX(Tableau4[Date],MATCH($A485,Tableau4[EVO],0)),"")</f>
        <v/>
      </c>
      <c r="C485" s="68" t="str">
        <f>IFERROR(INDEX(Tableau4[Designation],MATCH($A485,Tableau4[EVO],0)),"")</f>
        <v/>
      </c>
      <c r="D485" s="68"/>
      <c r="E485" s="70">
        <v>95</v>
      </c>
      <c r="F485" s="71">
        <v>320</v>
      </c>
      <c r="G485" s="101" t="str">
        <f>INDEX(Tableau8[Att1],MATCH(Tableau3[[#This Row],[ID-INS]],Tableau8[ID],0))&amp;""</f>
        <v>V2</v>
      </c>
      <c r="H485" s="101" t="str">
        <f>INDEX(Tableau8[Att2],MATCH(Tableau3[[#This Row],[ID-INS]],Tableau8[ID],0))&amp;""</f>
        <v>F15</v>
      </c>
      <c r="I485" s="101" t="str">
        <f>INDEX(Tableau8[Att3],MATCH(Tableau3[[#This Row],[ID-INS]],Tableau8[ID],0))&amp;""</f>
        <v>Feu F15</v>
      </c>
      <c r="J485" s="101"/>
      <c r="K485" s="167" t="str">
        <f>INDEX(Tableau8[Nom du modele],MATCH(Tableau3[[#This Row],[ID-INS]],Tableau8[ID],0))&amp;""</f>
        <v>FeuContrAleaVLPL1</v>
      </c>
      <c r="L485" s="99" t="str">
        <f>INDEX(Tableau5[Att1],MATCH(Tableau3[[#This Row],[ID-SIG]],Tableau5[ID],0))&amp;""</f>
        <v>Réserve</v>
      </c>
      <c r="M485" s="99" t="str">
        <f>INDEX(Tableau5[Att2],MATCH(Tableau3[[#This Row],[ID-SIG]],Tableau5[ID],0))&amp;""</f>
        <v/>
      </c>
      <c r="N485" s="99" t="str">
        <f>INDEX(Tableau5[Att3],MATCH(Tableau3[[#This Row],[ID-SIG]],Tableau5[ID],0))&amp;""</f>
        <v/>
      </c>
      <c r="O485" s="99"/>
      <c r="P485" s="99" t="str">
        <f>INDEX(Tableau5[Description],MATCH(Tableau3[[#This Row],[ID-SIG]],Tableau5[ID],0))</f>
        <v>Réserve</v>
      </c>
      <c r="Q485" s="99"/>
      <c r="R485" s="103" t="str">
        <f>Tableau3[[#This Row],[Description]]</f>
        <v>Réserve</v>
      </c>
      <c r="U485" s="87">
        <v>3</v>
      </c>
      <c r="V485" s="87">
        <v>2</v>
      </c>
      <c r="W485" s="87">
        <v>3</v>
      </c>
      <c r="X485" s="87">
        <v>3</v>
      </c>
      <c r="Y485" s="40"/>
      <c r="Z485" s="165" t="str">
        <f>INDEX(Tableau2[TS],MATCH(Tableau3[[#This Row],[ID-CARTEVOIE]],Tableau2[ID-CARTEVOIE],0))</f>
        <v>ET</v>
      </c>
      <c r="AA485" s="53" t="s">
        <v>213</v>
      </c>
      <c r="AB485" s="223" t="str">
        <f>IFERROR(INDEX(Tableau5[Reserve],MATCH(Tableau3[[#This Row],[ID-SIG]],Tableau5[ID],0))&amp;"","")</f>
        <v/>
      </c>
      <c r="AC485" s="21"/>
      <c r="AD485" s="108" t="str">
        <f>INDEX(Tableau7[Repere],MATCH(Tableau3[[#This Row],[ID-API]],Tableau7[ID-API],0))&amp;""</f>
        <v>A3</v>
      </c>
      <c r="AE485" s="108" t="str">
        <f>INDEX(Tableau1[Repere-Rack],MATCH(Tableau3[[#This Row],[ID-RACK]],Tableau1[ID-RACK],0))&amp;""</f>
        <v>R2</v>
      </c>
      <c r="AF485" s="108" t="str">
        <f>INDEX(Tableau1[Repere-Slot],MATCH(Tableau3[[#This Row],[ID-SLOT]],Tableau1[ID-SLOT],0))&amp;""</f>
        <v>S3</v>
      </c>
      <c r="AG485" s="108" t="str">
        <f>INDEX(Tableau2[Repere-Voie],MATCH(Tableau3[[#This Row],[ID-VOIE]],Tableau2[ID-Voie],0))&amp;""</f>
        <v>v3</v>
      </c>
      <c r="AH485" s="72" t="str">
        <f>Tableau3[[#This Row],[ID-API]]&amp; "." &amp;Tableau3[[#This Row],[ID-RACK]]&amp; "." &amp;Tableau3[[#This Row],[ID-SLOT]]</f>
        <v>3.2.3</v>
      </c>
      <c r="AI485" s="72" t="str">
        <f>INDEX(Tableau1[Ref-Carte],MATCH(Tableau3[[#This Row],[ID-RRS]],Tableau1[ID-RRS],0))</f>
        <v>SDI1602</v>
      </c>
      <c r="AJ485" s="72" t="str">
        <f t="array" ref="AJ485">IFERROR(INDEX(Tableau2[TS],MATCH(1,(Tableau2[Ref-Carte]=Tableau3[[#This Row],[Ref-Carte2]])*(Tableau2[ID-Voie]=Tableau3[[#This Row],[ID-VOIE]]),0)),"")</f>
        <v>ET</v>
      </c>
      <c r="AK485" s="72" t="str">
        <f>IFERROR(INDEX(Tableau2[TS],SUMPRODUCT((Tableau2[Ref-Carte]=Tableau3[[#This Row],[Ref-Carte2]])*(Tableau2[ID-Voie]=Tableau3[[#This Row],[ID-VOIE]])*ROW(Tableau2[TS]))-ROW(Tableau2[#Headers])),"")</f>
        <v>ET</v>
      </c>
      <c r="AL485" s="72" t="str">
        <f>Tableau3[[#This Row],[Ref-Carte2]]&amp;"/"&amp;Tableau3[[#This Row],[ID-VOIE]]</f>
        <v>SDI1602/3</v>
      </c>
      <c r="AM485" s="73" t="str">
        <f>INDEX(Tableau2[Borne],MATCH(Tableau3[[#This Row],[ID-CARTEVOIE]],Tableau2[ID-CARTEVOIE],0))&amp;""</f>
        <v>1A</v>
      </c>
      <c r="AN485" s="74" t="str">
        <f>Tableau3[[#This Row],[ID-API]]&amp;Tableau3[[#This Row],[ID-RACK]]&amp;Tableau3[[#This Row],[ID-SLOT]]&amp;Tableau3[[#This Row],[BORNE]]</f>
        <v>3231A</v>
      </c>
      <c r="AO485" s="1"/>
    </row>
    <row r="486" spans="1:41" ht="20.100000000000001" customHeight="1" thickTop="1" thickBot="1">
      <c r="A486" s="68"/>
      <c r="B486" s="69" t="str">
        <f>IFERROR(INDEX(Tableau4[Date],MATCH($A486,Tableau4[EVO],0)),"")</f>
        <v/>
      </c>
      <c r="C486" s="68" t="str">
        <f>IFERROR(INDEX(Tableau4[Designation],MATCH($A486,Tableau4[EVO],0)),"")</f>
        <v/>
      </c>
      <c r="D486" s="68"/>
      <c r="E486" s="70">
        <v>95</v>
      </c>
      <c r="F486" s="71">
        <v>321</v>
      </c>
      <c r="G486" s="101" t="str">
        <f>INDEX(Tableau8[Att1],MATCH(Tableau3[[#This Row],[ID-INS]],Tableau8[ID],0))&amp;""</f>
        <v>V2</v>
      </c>
      <c r="H486" s="101" t="str">
        <f>INDEX(Tableau8[Att2],MATCH(Tableau3[[#This Row],[ID-INS]],Tableau8[ID],0))&amp;""</f>
        <v>F15</v>
      </c>
      <c r="I486" s="101" t="str">
        <f>INDEX(Tableau8[Att3],MATCH(Tableau3[[#This Row],[ID-INS]],Tableau8[ID],0))&amp;""</f>
        <v>Feu F15</v>
      </c>
      <c r="J486" s="101"/>
      <c r="K486" s="167" t="str">
        <f>INDEX(Tableau8[Nom du modele],MATCH(Tableau3[[#This Row],[ID-INS]],Tableau8[ID],0))&amp;""</f>
        <v>FeuContrAleaVLPL1</v>
      </c>
      <c r="L486" s="99" t="str">
        <f>INDEX(Tableau5[Att1],MATCH(Tableau3[[#This Row],[ID-SIG]],Tableau5[ID],0))&amp;""</f>
        <v>Réserve</v>
      </c>
      <c r="M486" s="99" t="str">
        <f>INDEX(Tableau5[Att2],MATCH(Tableau3[[#This Row],[ID-SIG]],Tableau5[ID],0))&amp;""</f>
        <v/>
      </c>
      <c r="N486" s="99" t="str">
        <f>INDEX(Tableau5[Att3],MATCH(Tableau3[[#This Row],[ID-SIG]],Tableau5[ID],0))&amp;""</f>
        <v/>
      </c>
      <c r="O486" s="99"/>
      <c r="P486" s="99" t="str">
        <f>INDEX(Tableau5[Description],MATCH(Tableau3[[#This Row],[ID-SIG]],Tableau5[ID],0))</f>
        <v>Réserve</v>
      </c>
      <c r="Q486" s="99"/>
      <c r="R486" s="103" t="str">
        <f>Tableau3[[#This Row],[Description]]</f>
        <v>Réserve</v>
      </c>
      <c r="U486" s="87">
        <v>3</v>
      </c>
      <c r="V486" s="87">
        <v>2</v>
      </c>
      <c r="W486" s="87">
        <v>3</v>
      </c>
      <c r="X486" s="87">
        <v>4</v>
      </c>
      <c r="Y486" s="40"/>
      <c r="Z486" s="165" t="str">
        <f>INDEX(Tableau2[TS],MATCH(Tableau3[[#This Row],[ID-CARTEVOIE]],Tableau2[ID-CARTEVOIE],0))</f>
        <v>ET</v>
      </c>
      <c r="AA486" s="53" t="s">
        <v>213</v>
      </c>
      <c r="AB486" s="223" t="str">
        <f>IFERROR(INDEX(Tableau5[Reserve],MATCH(Tableau3[[#This Row],[ID-SIG]],Tableau5[ID],0))&amp;"","")</f>
        <v/>
      </c>
      <c r="AC486" s="21"/>
      <c r="AD486" s="108" t="str">
        <f>INDEX(Tableau7[Repere],MATCH(Tableau3[[#This Row],[ID-API]],Tableau7[ID-API],0))&amp;""</f>
        <v>A3</v>
      </c>
      <c r="AE486" s="108" t="str">
        <f>INDEX(Tableau1[Repere-Rack],MATCH(Tableau3[[#This Row],[ID-RACK]],Tableau1[ID-RACK],0))&amp;""</f>
        <v>R2</v>
      </c>
      <c r="AF486" s="108" t="str">
        <f>INDEX(Tableau1[Repere-Slot],MATCH(Tableau3[[#This Row],[ID-SLOT]],Tableau1[ID-SLOT],0))&amp;""</f>
        <v>S3</v>
      </c>
      <c r="AG486" s="108" t="str">
        <f>INDEX(Tableau2[Repere-Voie],MATCH(Tableau3[[#This Row],[ID-VOIE]],Tableau2[ID-Voie],0))&amp;""</f>
        <v>v4</v>
      </c>
      <c r="AH486" s="72" t="str">
        <f>Tableau3[[#This Row],[ID-API]]&amp; "." &amp;Tableau3[[#This Row],[ID-RACK]]&amp; "." &amp;Tableau3[[#This Row],[ID-SLOT]]</f>
        <v>3.2.3</v>
      </c>
      <c r="AI486" s="72" t="str">
        <f>INDEX(Tableau1[Ref-Carte],MATCH(Tableau3[[#This Row],[ID-RRS]],Tableau1[ID-RRS],0))</f>
        <v>SDI1602</v>
      </c>
      <c r="AJ486" s="72" t="str">
        <f t="array" ref="AJ486">IFERROR(INDEX(Tableau2[TS],MATCH(1,(Tableau2[Ref-Carte]=Tableau3[[#This Row],[Ref-Carte2]])*(Tableau2[ID-Voie]=Tableau3[[#This Row],[ID-VOIE]]),0)),"")</f>
        <v>ET</v>
      </c>
      <c r="AK486" s="72" t="str">
        <f>IFERROR(INDEX(Tableau2[TS],SUMPRODUCT((Tableau2[Ref-Carte]=Tableau3[[#This Row],[Ref-Carte2]])*(Tableau2[ID-Voie]=Tableau3[[#This Row],[ID-VOIE]])*ROW(Tableau2[TS]))-ROW(Tableau2[#Headers])),"")</f>
        <v>ET</v>
      </c>
      <c r="AL486" s="72" t="str">
        <f>Tableau3[[#This Row],[Ref-Carte2]]&amp;"/"&amp;Tableau3[[#This Row],[ID-VOIE]]</f>
        <v>SDI1602/4</v>
      </c>
      <c r="AM486" s="73" t="str">
        <f>INDEX(Tableau2[Borne],MATCH(Tableau3[[#This Row],[ID-CARTEVOIE]],Tableau2[ID-CARTEVOIE],0))&amp;""</f>
        <v>2B</v>
      </c>
      <c r="AN486" s="74" t="str">
        <f>Tableau3[[#This Row],[ID-API]]&amp;Tableau3[[#This Row],[ID-RACK]]&amp;Tableau3[[#This Row],[ID-SLOT]]&amp;Tableau3[[#This Row],[BORNE]]</f>
        <v>3232B</v>
      </c>
      <c r="AO486" s="1"/>
    </row>
    <row r="487" spans="1:41" ht="20.100000000000001" customHeight="1" thickTop="1" thickBot="1">
      <c r="A487" s="68"/>
      <c r="B487" s="69" t="str">
        <f>IFERROR(INDEX(Tableau4[Date],MATCH($A487,Tableau4[EVO],0)),"")</f>
        <v/>
      </c>
      <c r="C487" s="68" t="str">
        <f>IFERROR(INDEX(Tableau4[Designation],MATCH($A487,Tableau4[EVO],0)),"")</f>
        <v/>
      </c>
      <c r="D487" s="68"/>
      <c r="E487" s="70">
        <v>98</v>
      </c>
      <c r="F487" s="71">
        <v>308</v>
      </c>
      <c r="G487" s="101" t="str">
        <f>INDEX(Tableau8[Att1],MATCH(Tableau3[[#This Row],[ID-INS]],Tableau8[ID],0))&amp;""</f>
        <v>V2</v>
      </c>
      <c r="H487" s="101" t="str">
        <f>INDEX(Tableau8[Att2],MATCH(Tableau3[[#This Row],[ID-INS]],Tableau8[ID],0))&amp;""</f>
        <v>F23</v>
      </c>
      <c r="I487" s="101" t="str">
        <f>INDEX(Tableau8[Att3],MATCH(Tableau3[[#This Row],[ID-INS]],Tableau8[ID],0))&amp;""</f>
        <v>Feu F23</v>
      </c>
      <c r="J487" s="101"/>
      <c r="K487" s="167" t="str">
        <f>INDEX(Tableau8[Nom du modele],MATCH(Tableau3[[#This Row],[ID-INS]],Tableau8[ID],0))&amp;""</f>
        <v>FeuOuvV</v>
      </c>
      <c r="L487" s="99" t="str">
        <f>INDEX(Tableau5[Att1],MATCH(Tableau3[[#This Row],[ID-SIG]],Tableau5[ID],0))&amp;""</f>
        <v>Feu_RM</v>
      </c>
      <c r="M487" s="99" t="str">
        <f>INDEX(Tableau5[Att2],MATCH(Tableau3[[#This Row],[ID-SIG]],Tableau5[ID],0))&amp;""</f>
        <v/>
      </c>
      <c r="N487" s="99" t="str">
        <f>INDEX(Tableau5[Att3],MATCH(Tableau3[[#This Row],[ID-SIG]],Tableau5[ID],0))&amp;""</f>
        <v/>
      </c>
      <c r="O487" s="99"/>
      <c r="P487" s="99" t="str">
        <f>INDEX(Tableau5[Description],MATCH(Tableau3[[#This Row],[ID-SIG]],Tableau5[ID],0))</f>
        <v>Retour de marche Feu</v>
      </c>
      <c r="Q487" s="99"/>
      <c r="R487" s="103" t="str">
        <f>Tableau3[[#This Row],[Description]]</f>
        <v>Retour de marche Feu</v>
      </c>
      <c r="U487" s="87">
        <v>3</v>
      </c>
      <c r="V487" s="87">
        <v>2</v>
      </c>
      <c r="W487" s="87">
        <v>3</v>
      </c>
      <c r="X487" s="87">
        <v>5</v>
      </c>
      <c r="Y487" s="40"/>
      <c r="Z487" s="165" t="str">
        <f>INDEX(Tableau2[TS],MATCH(Tableau3[[#This Row],[ID-CARTEVOIE]],Tableau2[ID-CARTEVOIE],0))</f>
        <v>ET</v>
      </c>
      <c r="AA487" s="53" t="s">
        <v>213</v>
      </c>
      <c r="AB487" s="223" t="str">
        <f>IFERROR(INDEX(Tableau5[Reserve],MATCH(Tableau3[[#This Row],[ID-SIG]],Tableau5[ID],0))&amp;"","")</f>
        <v/>
      </c>
      <c r="AC487" s="21"/>
      <c r="AD487" s="108" t="str">
        <f>INDEX(Tableau7[Repere],MATCH(Tableau3[[#This Row],[ID-API]],Tableau7[ID-API],0))&amp;""</f>
        <v>A3</v>
      </c>
      <c r="AE487" s="108" t="str">
        <f>INDEX(Tableau1[Repere-Rack],MATCH(Tableau3[[#This Row],[ID-RACK]],Tableau1[ID-RACK],0))&amp;""</f>
        <v>R2</v>
      </c>
      <c r="AF487" s="108" t="str">
        <f>INDEX(Tableau1[Repere-Slot],MATCH(Tableau3[[#This Row],[ID-SLOT]],Tableau1[ID-SLOT],0))&amp;""</f>
        <v>S3</v>
      </c>
      <c r="AG487" s="108" t="str">
        <f>INDEX(Tableau2[Repere-Voie],MATCH(Tableau3[[#This Row],[ID-VOIE]],Tableau2[ID-Voie],0))&amp;""</f>
        <v>v5</v>
      </c>
      <c r="AH487" s="72" t="str">
        <f>Tableau3[[#This Row],[ID-API]]&amp; "." &amp;Tableau3[[#This Row],[ID-RACK]]&amp; "." &amp;Tableau3[[#This Row],[ID-SLOT]]</f>
        <v>3.2.3</v>
      </c>
      <c r="AI487" s="72" t="str">
        <f>INDEX(Tableau1[Ref-Carte],MATCH(Tableau3[[#This Row],[ID-RRS]],Tableau1[ID-RRS],0))</f>
        <v>SDI1602</v>
      </c>
      <c r="AJ487" s="72" t="str">
        <f t="array" ref="AJ487">IFERROR(INDEX(Tableau2[TS],MATCH(1,(Tableau2[Ref-Carte]=Tableau3[[#This Row],[Ref-Carte2]])*(Tableau2[ID-Voie]=Tableau3[[#This Row],[ID-VOIE]]),0)),"")</f>
        <v>ET</v>
      </c>
      <c r="AK487" s="72" t="str">
        <f>IFERROR(INDEX(Tableau2[TS],SUMPRODUCT((Tableau2[Ref-Carte]=Tableau3[[#This Row],[Ref-Carte2]])*(Tableau2[ID-Voie]=Tableau3[[#This Row],[ID-VOIE]])*ROW(Tableau2[TS]))-ROW(Tableau2[#Headers])),"")</f>
        <v>ET</v>
      </c>
      <c r="AL487" s="72" t="str">
        <f>Tableau3[[#This Row],[Ref-Carte2]]&amp;"/"&amp;Tableau3[[#This Row],[ID-VOIE]]</f>
        <v>SDI1602/5</v>
      </c>
      <c r="AM487" s="73" t="str">
        <f>INDEX(Tableau2[Borne],MATCH(Tableau3[[#This Row],[ID-CARTEVOIE]],Tableau2[ID-CARTEVOIE],0))&amp;""</f>
        <v>2A</v>
      </c>
      <c r="AN487" s="74" t="str">
        <f>Tableau3[[#This Row],[ID-API]]&amp;Tableau3[[#This Row],[ID-RACK]]&amp;Tableau3[[#This Row],[ID-SLOT]]&amp;Tableau3[[#This Row],[BORNE]]</f>
        <v>3232A</v>
      </c>
      <c r="AO487" s="1"/>
    </row>
    <row r="488" spans="1:41" ht="20.100000000000001" customHeight="1" thickTop="1" thickBot="1">
      <c r="A488" s="68"/>
      <c r="B488" s="69" t="str">
        <f>IFERROR(INDEX(Tableau4[Date],MATCH($A488,Tableau4[EVO],0)),"")</f>
        <v/>
      </c>
      <c r="C488" s="68" t="str">
        <f>IFERROR(INDEX(Tableau4[Designation],MATCH($A488,Tableau4[EVO],0)),"")</f>
        <v/>
      </c>
      <c r="D488" s="68"/>
      <c r="E488" s="70">
        <v>101</v>
      </c>
      <c r="F488" s="71">
        <v>308</v>
      </c>
      <c r="G488" s="101" t="str">
        <f>INDEX(Tableau8[Att1],MATCH(Tableau3[[#This Row],[ID-INS]],Tableau8[ID],0))&amp;""</f>
        <v>V2</v>
      </c>
      <c r="H488" s="101" t="str">
        <f>INDEX(Tableau8[Att2],MATCH(Tableau3[[#This Row],[ID-INS]],Tableau8[ID],0))&amp;""</f>
        <v>F26</v>
      </c>
      <c r="I488" s="101" t="str">
        <f>INDEX(Tableau8[Att3],MATCH(Tableau3[[#This Row],[ID-INS]],Tableau8[ID],0))&amp;""</f>
        <v>Feu F26</v>
      </c>
      <c r="J488" s="101"/>
      <c r="K488" s="167" t="str">
        <f>INDEX(Tableau8[Nom du modele],MATCH(Tableau3[[#This Row],[ID-INS]],Tableau8[ID],0))&amp;""</f>
        <v>FeuOuvV</v>
      </c>
      <c r="L488" s="99" t="str">
        <f>INDEX(Tableau5[Att1],MATCH(Tableau3[[#This Row],[ID-SIG]],Tableau5[ID],0))&amp;""</f>
        <v>Feu_RM</v>
      </c>
      <c r="M488" s="99" t="str">
        <f>INDEX(Tableau5[Att2],MATCH(Tableau3[[#This Row],[ID-SIG]],Tableau5[ID],0))&amp;""</f>
        <v/>
      </c>
      <c r="N488" s="99" t="str">
        <f>INDEX(Tableau5[Att3],MATCH(Tableau3[[#This Row],[ID-SIG]],Tableau5[ID],0))&amp;""</f>
        <v/>
      </c>
      <c r="O488" s="99"/>
      <c r="P488" s="99" t="str">
        <f>INDEX(Tableau5[Description],MATCH(Tableau3[[#This Row],[ID-SIG]],Tableau5[ID],0))</f>
        <v>Retour de marche Feu</v>
      </c>
      <c r="Q488" s="99"/>
      <c r="R488" s="103" t="str">
        <f>Tableau3[[#This Row],[Description]]</f>
        <v>Retour de marche Feu</v>
      </c>
      <c r="U488" s="87">
        <v>3</v>
      </c>
      <c r="V488" s="87">
        <v>2</v>
      </c>
      <c r="W488" s="87">
        <v>3</v>
      </c>
      <c r="X488" s="87">
        <v>6</v>
      </c>
      <c r="Y488" s="40"/>
      <c r="Z488" s="165" t="str">
        <f>INDEX(Tableau2[TS],MATCH(Tableau3[[#This Row],[ID-CARTEVOIE]],Tableau2[ID-CARTEVOIE],0))</f>
        <v>ET</v>
      </c>
      <c r="AA488" s="53" t="s">
        <v>213</v>
      </c>
      <c r="AB488" s="223" t="str">
        <f>IFERROR(INDEX(Tableau5[Reserve],MATCH(Tableau3[[#This Row],[ID-SIG]],Tableau5[ID],0))&amp;"","")</f>
        <v/>
      </c>
      <c r="AC488" s="21"/>
      <c r="AD488" s="108" t="str">
        <f>INDEX(Tableau7[Repere],MATCH(Tableau3[[#This Row],[ID-API]],Tableau7[ID-API],0))&amp;""</f>
        <v>A3</v>
      </c>
      <c r="AE488" s="108" t="str">
        <f>INDEX(Tableau1[Repere-Rack],MATCH(Tableau3[[#This Row],[ID-RACK]],Tableau1[ID-RACK],0))&amp;""</f>
        <v>R2</v>
      </c>
      <c r="AF488" s="108" t="str">
        <f>INDEX(Tableau1[Repere-Slot],MATCH(Tableau3[[#This Row],[ID-SLOT]],Tableau1[ID-SLOT],0))&amp;""</f>
        <v>S3</v>
      </c>
      <c r="AG488" s="108" t="str">
        <f>INDEX(Tableau2[Repere-Voie],MATCH(Tableau3[[#This Row],[ID-VOIE]],Tableau2[ID-Voie],0))&amp;""</f>
        <v>v6</v>
      </c>
      <c r="AH488" s="72" t="str">
        <f>Tableau3[[#This Row],[ID-API]]&amp; "." &amp;Tableau3[[#This Row],[ID-RACK]]&amp; "." &amp;Tableau3[[#This Row],[ID-SLOT]]</f>
        <v>3.2.3</v>
      </c>
      <c r="AI488" s="72" t="str">
        <f>INDEX(Tableau1[Ref-Carte],MATCH(Tableau3[[#This Row],[ID-RRS]],Tableau1[ID-RRS],0))</f>
        <v>SDI1602</v>
      </c>
      <c r="AJ488" s="72" t="str">
        <f t="array" ref="AJ488">IFERROR(INDEX(Tableau2[TS],MATCH(1,(Tableau2[Ref-Carte]=Tableau3[[#This Row],[Ref-Carte2]])*(Tableau2[ID-Voie]=Tableau3[[#This Row],[ID-VOIE]]),0)),"")</f>
        <v>ET</v>
      </c>
      <c r="AK488" s="72" t="str">
        <f>IFERROR(INDEX(Tableau2[TS],SUMPRODUCT((Tableau2[Ref-Carte]=Tableau3[[#This Row],[Ref-Carte2]])*(Tableau2[ID-Voie]=Tableau3[[#This Row],[ID-VOIE]])*ROW(Tableau2[TS]))-ROW(Tableau2[#Headers])),"")</f>
        <v>ET</v>
      </c>
      <c r="AL488" s="72" t="str">
        <f>Tableau3[[#This Row],[Ref-Carte2]]&amp;"/"&amp;Tableau3[[#This Row],[ID-VOIE]]</f>
        <v>SDI1602/6</v>
      </c>
      <c r="AM488" s="73" t="str">
        <f>INDEX(Tableau2[Borne],MATCH(Tableau3[[#This Row],[ID-CARTEVOIE]],Tableau2[ID-CARTEVOIE],0))&amp;""</f>
        <v>3B</v>
      </c>
      <c r="AN488" s="74" t="str">
        <f>Tableau3[[#This Row],[ID-API]]&amp;Tableau3[[#This Row],[ID-RACK]]&amp;Tableau3[[#This Row],[ID-SLOT]]&amp;Tableau3[[#This Row],[BORNE]]</f>
        <v>3233B</v>
      </c>
      <c r="AO488" s="1"/>
    </row>
    <row r="489" spans="1:41" ht="20.100000000000001" customHeight="1" thickTop="1" thickBot="1">
      <c r="A489" s="68"/>
      <c r="B489" s="69" t="str">
        <f>IFERROR(INDEX(Tableau4[Date],MATCH($A489,Tableau4[EVO],0)),"")</f>
        <v/>
      </c>
      <c r="C489" s="68" t="str">
        <f>IFERROR(INDEX(Tableau4[Designation],MATCH($A489,Tableau4[EVO],0)),"")</f>
        <v/>
      </c>
      <c r="D489" s="68"/>
      <c r="E489" s="70">
        <v>104</v>
      </c>
      <c r="F489" s="71">
        <v>15</v>
      </c>
      <c r="G489" s="101" t="str">
        <f>INDEX(Tableau8[Att1],MATCH(Tableau3[[#This Row],[ID-INS]],Tableau8[ID],0))&amp;""</f>
        <v>V2</v>
      </c>
      <c r="H489" s="101" t="str">
        <f>INDEX(Tableau8[Att2],MATCH(Tableau3[[#This Row],[ID-INS]],Tableau8[ID],0))&amp;""</f>
        <v>UTLR2</v>
      </c>
      <c r="I489" s="101" t="str">
        <f>INDEX(Tableau8[Att3],MATCH(Tableau3[[#This Row],[ID-INS]],Tableau8[ID],0))&amp;""</f>
        <v>UTL rouge IDVL2/BH2</v>
      </c>
      <c r="J489" s="101"/>
      <c r="K489" s="167" t="str">
        <f>INDEX(Tableau8[Nom du modele],MATCH(Tableau3[[#This Row],[ID-INS]],Tableau8[ID],0))&amp;""</f>
        <v>UTL</v>
      </c>
      <c r="L489" s="99" t="str">
        <f>INDEX(Tableau5[Att1],MATCH(Tableau3[[#This Row],[ID-SIG]],Tableau5[ID],0))&amp;""</f>
        <v>DmdOuv</v>
      </c>
      <c r="M489" s="99" t="str">
        <f>INDEX(Tableau5[Att2],MATCH(Tableau3[[#This Row],[ID-SIG]],Tableau5[ID],0))&amp;""</f>
        <v/>
      </c>
      <c r="N489" s="99" t="str">
        <f>INDEX(Tableau5[Att3],MATCH(Tableau3[[#This Row],[ID-SIG]],Tableau5[ID],0))&amp;""</f>
        <v/>
      </c>
      <c r="O489" s="99"/>
      <c r="P489" s="99" t="str">
        <f>INDEX(Tableau5[Description],MATCH(Tableau3[[#This Row],[ID-SIG]],Tableau5[ID],0))</f>
        <v>Demande d'ouverture venant UTL</v>
      </c>
      <c r="Q489" s="99"/>
      <c r="R489" s="103" t="str">
        <f>Tableau3[[#This Row],[Description]]</f>
        <v>Demande d'ouverture venant UTL</v>
      </c>
      <c r="U489" s="87">
        <v>3</v>
      </c>
      <c r="V489" s="87">
        <v>2</v>
      </c>
      <c r="W489" s="87">
        <v>3</v>
      </c>
      <c r="X489" s="87">
        <v>7</v>
      </c>
      <c r="Y489" s="40"/>
      <c r="Z489" s="165" t="str">
        <f>INDEX(Tableau2[TS],MATCH(Tableau3[[#This Row],[ID-CARTEVOIE]],Tableau2[ID-CARTEVOIE],0))</f>
        <v>ET</v>
      </c>
      <c r="AA489" s="53" t="s">
        <v>213</v>
      </c>
      <c r="AB489" s="223" t="str">
        <f>IFERROR(INDEX(Tableau5[Reserve],MATCH(Tableau3[[#This Row],[ID-SIG]],Tableau5[ID],0))&amp;"","")</f>
        <v/>
      </c>
      <c r="AC489" s="21"/>
      <c r="AD489" s="108" t="str">
        <f>INDEX(Tableau7[Repere],MATCH(Tableau3[[#This Row],[ID-API]],Tableau7[ID-API],0))&amp;""</f>
        <v>A3</v>
      </c>
      <c r="AE489" s="108" t="str">
        <f>INDEX(Tableau1[Repere-Rack],MATCH(Tableau3[[#This Row],[ID-RACK]],Tableau1[ID-RACK],0))&amp;""</f>
        <v>R2</v>
      </c>
      <c r="AF489" s="108" t="str">
        <f>INDEX(Tableau1[Repere-Slot],MATCH(Tableau3[[#This Row],[ID-SLOT]],Tableau1[ID-SLOT],0))&amp;""</f>
        <v>S3</v>
      </c>
      <c r="AG489" s="108" t="str">
        <f>INDEX(Tableau2[Repere-Voie],MATCH(Tableau3[[#This Row],[ID-VOIE]],Tableau2[ID-Voie],0))&amp;""</f>
        <v>v7</v>
      </c>
      <c r="AH489" s="72" t="str">
        <f>Tableau3[[#This Row],[ID-API]]&amp; "." &amp;Tableau3[[#This Row],[ID-RACK]]&amp; "." &amp;Tableau3[[#This Row],[ID-SLOT]]</f>
        <v>3.2.3</v>
      </c>
      <c r="AI489" s="72" t="str">
        <f>INDEX(Tableau1[Ref-Carte],MATCH(Tableau3[[#This Row],[ID-RRS]],Tableau1[ID-RRS],0))</f>
        <v>SDI1602</v>
      </c>
      <c r="AJ489" s="72" t="str">
        <f t="array" ref="AJ489">IFERROR(INDEX(Tableau2[TS],MATCH(1,(Tableau2[Ref-Carte]=Tableau3[[#This Row],[Ref-Carte2]])*(Tableau2[ID-Voie]=Tableau3[[#This Row],[ID-VOIE]]),0)),"")</f>
        <v>ET</v>
      </c>
      <c r="AK489" s="72" t="str">
        <f>IFERROR(INDEX(Tableau2[TS],SUMPRODUCT((Tableau2[Ref-Carte]=Tableau3[[#This Row],[Ref-Carte2]])*(Tableau2[ID-Voie]=Tableau3[[#This Row],[ID-VOIE]])*ROW(Tableau2[TS]))-ROW(Tableau2[#Headers])),"")</f>
        <v>ET</v>
      </c>
      <c r="AL489" s="72" t="str">
        <f>Tableau3[[#This Row],[Ref-Carte2]]&amp;"/"&amp;Tableau3[[#This Row],[ID-VOIE]]</f>
        <v>SDI1602/7</v>
      </c>
      <c r="AM489" s="73" t="str">
        <f>INDEX(Tableau2[Borne],MATCH(Tableau3[[#This Row],[ID-CARTEVOIE]],Tableau2[ID-CARTEVOIE],0))&amp;""</f>
        <v>3A</v>
      </c>
      <c r="AN489" s="74" t="str">
        <f>Tableau3[[#This Row],[ID-API]]&amp;Tableau3[[#This Row],[ID-RACK]]&amp;Tableau3[[#This Row],[ID-SLOT]]&amp;Tableau3[[#This Row],[BORNE]]</f>
        <v>3233A</v>
      </c>
      <c r="AO489" s="1"/>
    </row>
    <row r="490" spans="1:41" ht="20.100000000000001" customHeight="1" thickTop="1" thickBot="1">
      <c r="A490" s="68"/>
      <c r="B490" s="69" t="str">
        <f>IFERROR(INDEX(Tableau4[Date],MATCH($A490,Tableau4[EVO],0)),"")</f>
        <v/>
      </c>
      <c r="C490" s="68" t="str">
        <f>IFERROR(INDEX(Tableau4[Designation],MATCH($A490,Tableau4[EVO],0)),"")</f>
        <v/>
      </c>
      <c r="D490" s="68"/>
      <c r="E490" s="70">
        <v>115</v>
      </c>
      <c r="F490" s="71">
        <v>15</v>
      </c>
      <c r="G490" s="101" t="str">
        <f>INDEX(Tableau8[Att1],MATCH(Tableau3[[#This Row],[ID-INS]],Tableau8[ID],0))&amp;""</f>
        <v>V2</v>
      </c>
      <c r="H490" s="101" t="str">
        <f>INDEX(Tableau8[Att2],MATCH(Tableau3[[#This Row],[ID-INS]],Tableau8[ID],0))&amp;""</f>
        <v>UTLB2</v>
      </c>
      <c r="I490" s="101" t="str">
        <f>INDEX(Tableau8[Att3],MATCH(Tableau3[[#This Row],[ID-INS]],Tableau8[ID],0))&amp;""</f>
        <v>UTL bleue AUTVL2/IDVL6/BH7</v>
      </c>
      <c r="J490" s="101"/>
      <c r="K490" s="167" t="str">
        <f>INDEX(Tableau8[Nom du modele],MATCH(Tableau3[[#This Row],[ID-INS]],Tableau8[ID],0))&amp;""</f>
        <v>UTL</v>
      </c>
      <c r="L490" s="99" t="str">
        <f>INDEX(Tableau5[Att1],MATCH(Tableau3[[#This Row],[ID-SIG]],Tableau5[ID],0))&amp;""</f>
        <v>DmdOuv</v>
      </c>
      <c r="M490" s="99" t="str">
        <f>INDEX(Tableau5[Att2],MATCH(Tableau3[[#This Row],[ID-SIG]],Tableau5[ID],0))&amp;""</f>
        <v/>
      </c>
      <c r="N490" s="99" t="str">
        <f>INDEX(Tableau5[Att3],MATCH(Tableau3[[#This Row],[ID-SIG]],Tableau5[ID],0))&amp;""</f>
        <v/>
      </c>
      <c r="O490" s="99"/>
      <c r="P490" s="99" t="str">
        <f>INDEX(Tableau5[Description],MATCH(Tableau3[[#This Row],[ID-SIG]],Tableau5[ID],0))</f>
        <v>Demande d'ouverture venant UTL</v>
      </c>
      <c r="Q490" s="99"/>
      <c r="R490" s="103" t="str">
        <f>Tableau3[[#This Row],[Description]]</f>
        <v>Demande d'ouverture venant UTL</v>
      </c>
      <c r="U490" s="87">
        <v>3</v>
      </c>
      <c r="V490" s="87">
        <v>2</v>
      </c>
      <c r="W490" s="87">
        <v>3</v>
      </c>
      <c r="X490" s="87">
        <v>8</v>
      </c>
      <c r="Y490" s="40"/>
      <c r="Z490" s="165" t="str">
        <f>INDEX(Tableau2[TS],MATCH(Tableau3[[#This Row],[ID-CARTEVOIE]],Tableau2[ID-CARTEVOIE],0))</f>
        <v>ET</v>
      </c>
      <c r="AA490" s="53" t="s">
        <v>213</v>
      </c>
      <c r="AB490" s="223" t="str">
        <f>IFERROR(INDEX(Tableau5[Reserve],MATCH(Tableau3[[#This Row],[ID-SIG]],Tableau5[ID],0))&amp;"","")</f>
        <v/>
      </c>
      <c r="AC490" s="21"/>
      <c r="AD490" s="108" t="str">
        <f>INDEX(Tableau7[Repere],MATCH(Tableau3[[#This Row],[ID-API]],Tableau7[ID-API],0))&amp;""</f>
        <v>A3</v>
      </c>
      <c r="AE490" s="108" t="str">
        <f>INDEX(Tableau1[Repere-Rack],MATCH(Tableau3[[#This Row],[ID-RACK]],Tableau1[ID-RACK],0))&amp;""</f>
        <v>R2</v>
      </c>
      <c r="AF490" s="108" t="str">
        <f>INDEX(Tableau1[Repere-Slot],MATCH(Tableau3[[#This Row],[ID-SLOT]],Tableau1[ID-SLOT],0))&amp;""</f>
        <v>S3</v>
      </c>
      <c r="AG490" s="108" t="str">
        <f>INDEX(Tableau2[Repere-Voie],MATCH(Tableau3[[#This Row],[ID-VOIE]],Tableau2[ID-Voie],0))&amp;""</f>
        <v>v8</v>
      </c>
      <c r="AH490" s="72" t="str">
        <f>Tableau3[[#This Row],[ID-API]]&amp; "." &amp;Tableau3[[#This Row],[ID-RACK]]&amp; "." &amp;Tableau3[[#This Row],[ID-SLOT]]</f>
        <v>3.2.3</v>
      </c>
      <c r="AI490" s="72" t="str">
        <f>INDEX(Tableau1[Ref-Carte],MATCH(Tableau3[[#This Row],[ID-RRS]],Tableau1[ID-RRS],0))</f>
        <v>SDI1602</v>
      </c>
      <c r="AJ490" s="72" t="str">
        <f t="array" ref="AJ490">IFERROR(INDEX(Tableau2[TS],MATCH(1,(Tableau2[Ref-Carte]=Tableau3[[#This Row],[Ref-Carte2]])*(Tableau2[ID-Voie]=Tableau3[[#This Row],[ID-VOIE]]),0)),"")</f>
        <v>ET</v>
      </c>
      <c r="AK490" s="72" t="str">
        <f>IFERROR(INDEX(Tableau2[TS],SUMPRODUCT((Tableau2[Ref-Carte]=Tableau3[[#This Row],[Ref-Carte2]])*(Tableau2[ID-Voie]=Tableau3[[#This Row],[ID-VOIE]])*ROW(Tableau2[TS]))-ROW(Tableau2[#Headers])),"")</f>
        <v>ET</v>
      </c>
      <c r="AL490" s="72" t="str">
        <f>Tableau3[[#This Row],[Ref-Carte2]]&amp;"/"&amp;Tableau3[[#This Row],[ID-VOIE]]</f>
        <v>SDI1602/8</v>
      </c>
      <c r="AM490" s="73" t="str">
        <f>INDEX(Tableau2[Borne],MATCH(Tableau3[[#This Row],[ID-CARTEVOIE]],Tableau2[ID-CARTEVOIE],0))&amp;""</f>
        <v>4B</v>
      </c>
      <c r="AN490" s="74" t="str">
        <f>Tableau3[[#This Row],[ID-API]]&amp;Tableau3[[#This Row],[ID-RACK]]&amp;Tableau3[[#This Row],[ID-SLOT]]&amp;Tableau3[[#This Row],[BORNE]]</f>
        <v>3234B</v>
      </c>
      <c r="AO490" s="1"/>
    </row>
    <row r="491" spans="1:41" ht="20.100000000000001" customHeight="1" thickTop="1" thickBot="1">
      <c r="A491" s="68"/>
      <c r="B491" s="69" t="str">
        <f>IFERROR(INDEX(Tableau4[Date],MATCH($A491,Tableau4[EVO],0)),"")</f>
        <v/>
      </c>
      <c r="C491" s="68" t="str">
        <f>IFERROR(INDEX(Tableau4[Designation],MATCH($A491,Tableau4[EVO],0)),"")</f>
        <v/>
      </c>
      <c r="D491" s="68"/>
      <c r="E491" s="70">
        <v>133</v>
      </c>
      <c r="F491" s="71">
        <v>10</v>
      </c>
      <c r="G491" s="101" t="str">
        <f>INDEX(Tableau8[Att1],MATCH(Tableau3[[#This Row],[ID-INS]],Tableau8[ID],0))&amp;""</f>
        <v>V2</v>
      </c>
      <c r="H491" s="101" t="str">
        <f>INDEX(Tableau8[Att2],MATCH(Tableau3[[#This Row],[ID-INS]],Tableau8[ID],0))&amp;""</f>
        <v>CORA2</v>
      </c>
      <c r="I491" s="101" t="str">
        <f>INDEX(Tableau8[Att3],MATCH(Tableau3[[#This Row],[ID-INS]],Tableau8[ID],0))&amp;""</f>
        <v>CORA Zone 2</v>
      </c>
      <c r="J491" s="101"/>
      <c r="K491" s="167" t="str">
        <f>INDEX(Tableau8[Nom du modele],MATCH(Tableau3[[#This Row],[ID-INS]],Tableau8[ID],0))&amp;""</f>
        <v>CORA</v>
      </c>
      <c r="L491" s="99" t="str">
        <f>INDEX(Tableau5[Att1],MATCH(Tableau3[[#This Row],[ID-SIG]],Tableau5[ID],0))&amp;""</f>
        <v>Detect</v>
      </c>
      <c r="M491" s="99" t="str">
        <f>INDEX(Tableau5[Att2],MATCH(Tableau3[[#This Row],[ID-SIG]],Tableau5[ID],0))&amp;""</f>
        <v/>
      </c>
      <c r="N491" s="99" t="str">
        <f>INDEX(Tableau5[Att3],MATCH(Tableau3[[#This Row],[ID-SIG]],Tableau5[ID],0))&amp;""</f>
        <v/>
      </c>
      <c r="O491" s="99"/>
      <c r="P491" s="99" t="str">
        <f>INDEX(Tableau5[Description],MATCH(Tableau3[[#This Row],[ID-SIG]],Tableau5[ID],0))</f>
        <v>Détection</v>
      </c>
      <c r="Q491" s="99"/>
      <c r="R491" s="103" t="str">
        <f>Tableau3[[#This Row],[Description]]</f>
        <v>Détection</v>
      </c>
      <c r="U491" s="87">
        <v>3</v>
      </c>
      <c r="V491" s="87">
        <v>2</v>
      </c>
      <c r="W491" s="87">
        <v>3</v>
      </c>
      <c r="X491" s="87">
        <v>9</v>
      </c>
      <c r="Y491" s="40"/>
      <c r="Z491" s="165" t="str">
        <f>INDEX(Tableau2[TS],MATCH(Tableau3[[#This Row],[ID-CARTEVOIE]],Tableau2[ID-CARTEVOIE],0))</f>
        <v>ET</v>
      </c>
      <c r="AA491" s="53" t="s">
        <v>213</v>
      </c>
      <c r="AB491" s="223" t="str">
        <f>IFERROR(INDEX(Tableau5[Reserve],MATCH(Tableau3[[#This Row],[ID-SIG]],Tableau5[ID],0))&amp;"","")</f>
        <v/>
      </c>
      <c r="AC491" s="21"/>
      <c r="AD491" s="108" t="str">
        <f>INDEX(Tableau7[Repere],MATCH(Tableau3[[#This Row],[ID-API]],Tableau7[ID-API],0))&amp;""</f>
        <v>A3</v>
      </c>
      <c r="AE491" s="108" t="str">
        <f>INDEX(Tableau1[Repere-Rack],MATCH(Tableau3[[#This Row],[ID-RACK]],Tableau1[ID-RACK],0))&amp;""</f>
        <v>R2</v>
      </c>
      <c r="AF491" s="108" t="str">
        <f>INDEX(Tableau1[Repere-Slot],MATCH(Tableau3[[#This Row],[ID-SLOT]],Tableau1[ID-SLOT],0))&amp;""</f>
        <v>S3</v>
      </c>
      <c r="AG491" s="108" t="str">
        <f>INDEX(Tableau2[Repere-Voie],MATCH(Tableau3[[#This Row],[ID-VOIE]],Tableau2[ID-Voie],0))&amp;""</f>
        <v>v9</v>
      </c>
      <c r="AH491" s="72" t="str">
        <f>Tableau3[[#This Row],[ID-API]]&amp; "." &amp;Tableau3[[#This Row],[ID-RACK]]&amp; "." &amp;Tableau3[[#This Row],[ID-SLOT]]</f>
        <v>3.2.3</v>
      </c>
      <c r="AI491" s="72" t="str">
        <f>INDEX(Tableau1[Ref-Carte],MATCH(Tableau3[[#This Row],[ID-RRS]],Tableau1[ID-RRS],0))</f>
        <v>SDI1602</v>
      </c>
      <c r="AJ491" s="72" t="str">
        <f t="array" ref="AJ491">IFERROR(INDEX(Tableau2[TS],MATCH(1,(Tableau2[Ref-Carte]=Tableau3[[#This Row],[Ref-Carte2]])*(Tableau2[ID-Voie]=Tableau3[[#This Row],[ID-VOIE]]),0)),"")</f>
        <v>ET</v>
      </c>
      <c r="AK491" s="72" t="str">
        <f>IFERROR(INDEX(Tableau2[TS],SUMPRODUCT((Tableau2[Ref-Carte]=Tableau3[[#This Row],[Ref-Carte2]])*(Tableau2[ID-Voie]=Tableau3[[#This Row],[ID-VOIE]])*ROW(Tableau2[TS]))-ROW(Tableau2[#Headers])),"")</f>
        <v>ET</v>
      </c>
      <c r="AL491" s="72" t="str">
        <f>Tableau3[[#This Row],[Ref-Carte2]]&amp;"/"&amp;Tableau3[[#This Row],[ID-VOIE]]</f>
        <v>SDI1602/9</v>
      </c>
      <c r="AM491" s="73" t="str">
        <f>INDEX(Tableau2[Borne],MATCH(Tableau3[[#This Row],[ID-CARTEVOIE]],Tableau2[ID-CARTEVOIE],0))&amp;""</f>
        <v>4A</v>
      </c>
      <c r="AN491" s="74" t="str">
        <f>Tableau3[[#This Row],[ID-API]]&amp;Tableau3[[#This Row],[ID-RACK]]&amp;Tableau3[[#This Row],[ID-SLOT]]&amp;Tableau3[[#This Row],[BORNE]]</f>
        <v>3234A</v>
      </c>
      <c r="AO491" s="1"/>
    </row>
    <row r="492" spans="1:41" ht="20.100000000000001" customHeight="1" thickTop="1" thickBot="1">
      <c r="A492" s="68"/>
      <c r="B492" s="69" t="str">
        <f>IFERROR(INDEX(Tableau4[Date],MATCH($A492,Tableau4[EVO],0)),"")</f>
        <v/>
      </c>
      <c r="C492" s="68" t="str">
        <f>IFERROR(INDEX(Tableau4[Designation],MATCH($A492,Tableau4[EVO],0)),"")</f>
        <v/>
      </c>
      <c r="D492" s="68"/>
      <c r="E492" s="70">
        <v>133</v>
      </c>
      <c r="F492" s="71">
        <v>11</v>
      </c>
      <c r="G492" s="101" t="str">
        <f>INDEX(Tableau8[Att1],MATCH(Tableau3[[#This Row],[ID-INS]],Tableau8[ID],0))&amp;""</f>
        <v>V2</v>
      </c>
      <c r="H492" s="101" t="str">
        <f>INDEX(Tableau8[Att2],MATCH(Tableau3[[#This Row],[ID-INS]],Tableau8[ID],0))&amp;""</f>
        <v>CORA2</v>
      </c>
      <c r="I492" s="101" t="str">
        <f>INDEX(Tableau8[Att3],MATCH(Tableau3[[#This Row],[ID-INS]],Tableau8[ID],0))&amp;""</f>
        <v>CORA Zone 2</v>
      </c>
      <c r="J492" s="101"/>
      <c r="K492" s="167" t="str">
        <f>INDEX(Tableau8[Nom du modele],MATCH(Tableau3[[#This Row],[ID-INS]],Tableau8[ID],0))&amp;""</f>
        <v>CORA</v>
      </c>
      <c r="L492" s="99" t="str">
        <f>INDEX(Tableau5[Att1],MATCH(Tableau3[[#This Row],[ID-SIG]],Tableau5[ID],0))&amp;""</f>
        <v>Def</v>
      </c>
      <c r="M492" s="99" t="str">
        <f>INDEX(Tableau5[Att2],MATCH(Tableau3[[#This Row],[ID-SIG]],Tableau5[ID],0))&amp;""</f>
        <v/>
      </c>
      <c r="N492" s="99" t="str">
        <f>INDEX(Tableau5[Att3],MATCH(Tableau3[[#This Row],[ID-SIG]],Tableau5[ID],0))&amp;""</f>
        <v/>
      </c>
      <c r="O492" s="99"/>
      <c r="P492" s="99" t="str">
        <f>INDEX(Tableau5[Description],MATCH(Tableau3[[#This Row],[ID-SIG]],Tableau5[ID],0))</f>
        <v>Défaut</v>
      </c>
      <c r="Q492" s="99"/>
      <c r="R492" s="103" t="str">
        <f>Tableau3[[#This Row],[Description]]</f>
        <v>Défaut</v>
      </c>
      <c r="U492" s="87">
        <v>3</v>
      </c>
      <c r="V492" s="87">
        <v>2</v>
      </c>
      <c r="W492" s="87">
        <v>3</v>
      </c>
      <c r="X492" s="87">
        <v>10</v>
      </c>
      <c r="Y492" s="40"/>
      <c r="Z492" s="165" t="str">
        <f>INDEX(Tableau2[TS],MATCH(Tableau3[[#This Row],[ID-CARTEVOIE]],Tableau2[ID-CARTEVOIE],0))</f>
        <v>ET</v>
      </c>
      <c r="AA492" s="53" t="s">
        <v>213</v>
      </c>
      <c r="AB492" s="223" t="str">
        <f>IFERROR(INDEX(Tableau5[Reserve],MATCH(Tableau3[[#This Row],[ID-SIG]],Tableau5[ID],0))&amp;"","")</f>
        <v/>
      </c>
      <c r="AC492" s="21"/>
      <c r="AD492" s="108" t="str">
        <f>INDEX(Tableau7[Repere],MATCH(Tableau3[[#This Row],[ID-API]],Tableau7[ID-API],0))&amp;""</f>
        <v>A3</v>
      </c>
      <c r="AE492" s="108" t="str">
        <f>INDEX(Tableau1[Repere-Rack],MATCH(Tableau3[[#This Row],[ID-RACK]],Tableau1[ID-RACK],0))&amp;""</f>
        <v>R2</v>
      </c>
      <c r="AF492" s="108" t="str">
        <f>INDEX(Tableau1[Repere-Slot],MATCH(Tableau3[[#This Row],[ID-SLOT]],Tableau1[ID-SLOT],0))&amp;""</f>
        <v>S3</v>
      </c>
      <c r="AG492" s="108" t="str">
        <f>INDEX(Tableau2[Repere-Voie],MATCH(Tableau3[[#This Row],[ID-VOIE]],Tableau2[ID-Voie],0))&amp;""</f>
        <v>v10</v>
      </c>
      <c r="AH492" s="72" t="str">
        <f>Tableau3[[#This Row],[ID-API]]&amp; "." &amp;Tableau3[[#This Row],[ID-RACK]]&amp; "." &amp;Tableau3[[#This Row],[ID-SLOT]]</f>
        <v>3.2.3</v>
      </c>
      <c r="AI492" s="72" t="str">
        <f>INDEX(Tableau1[Ref-Carte],MATCH(Tableau3[[#This Row],[ID-RRS]],Tableau1[ID-RRS],0))</f>
        <v>SDI1602</v>
      </c>
      <c r="AJ492" s="72" t="str">
        <f t="array" ref="AJ492">IFERROR(INDEX(Tableau2[TS],MATCH(1,(Tableau2[Ref-Carte]=Tableau3[[#This Row],[Ref-Carte2]])*(Tableau2[ID-Voie]=Tableau3[[#This Row],[ID-VOIE]]),0)),"")</f>
        <v>ET</v>
      </c>
      <c r="AK492" s="72" t="str">
        <f>IFERROR(INDEX(Tableau2[TS],SUMPRODUCT((Tableau2[Ref-Carte]=Tableau3[[#This Row],[Ref-Carte2]])*(Tableau2[ID-Voie]=Tableau3[[#This Row],[ID-VOIE]])*ROW(Tableau2[TS]))-ROW(Tableau2[#Headers])),"")</f>
        <v>ET</v>
      </c>
      <c r="AL492" s="72" t="str">
        <f>Tableau3[[#This Row],[Ref-Carte2]]&amp;"/"&amp;Tableau3[[#This Row],[ID-VOIE]]</f>
        <v>SDI1602/10</v>
      </c>
      <c r="AM492" s="73" t="str">
        <f>INDEX(Tableau2[Borne],MATCH(Tableau3[[#This Row],[ID-CARTEVOIE]],Tableau2[ID-CARTEVOIE],0))&amp;""</f>
        <v>5B</v>
      </c>
      <c r="AN492" s="74" t="str">
        <f>Tableau3[[#This Row],[ID-API]]&amp;Tableau3[[#This Row],[ID-RACK]]&amp;Tableau3[[#This Row],[ID-SLOT]]&amp;Tableau3[[#This Row],[BORNE]]</f>
        <v>3235B</v>
      </c>
      <c r="AO492" s="1"/>
    </row>
    <row r="493" spans="1:41" ht="20.100000000000001" customHeight="1" thickTop="1" thickBot="1">
      <c r="A493" s="68"/>
      <c r="B493" s="69" t="str">
        <f>IFERROR(INDEX(Tableau4[Date],MATCH($A493,Tableau4[EVO],0)),"")</f>
        <v/>
      </c>
      <c r="C493" s="68" t="str">
        <f>IFERROR(INDEX(Tableau4[Designation],MATCH($A493,Tableau4[EVO],0)),"")</f>
        <v/>
      </c>
      <c r="D493" s="68"/>
      <c r="E493" s="70">
        <v>133</v>
      </c>
      <c r="F493" s="71">
        <v>12</v>
      </c>
      <c r="G493" s="101" t="str">
        <f>INDEX(Tableau8[Att1],MATCH(Tableau3[[#This Row],[ID-INS]],Tableau8[ID],0))&amp;""</f>
        <v>V2</v>
      </c>
      <c r="H493" s="101" t="str">
        <f>INDEX(Tableau8[Att2],MATCH(Tableau3[[#This Row],[ID-INS]],Tableau8[ID],0))&amp;""</f>
        <v>CORA2</v>
      </c>
      <c r="I493" s="101" t="str">
        <f>INDEX(Tableau8[Att3],MATCH(Tableau3[[#This Row],[ID-INS]],Tableau8[ID],0))&amp;""</f>
        <v>CORA Zone 2</v>
      </c>
      <c r="J493" s="101"/>
      <c r="K493" s="167" t="str">
        <f>INDEX(Tableau8[Nom du modele],MATCH(Tableau3[[#This Row],[ID-INS]],Tableau8[ID],0))&amp;""</f>
        <v>CORA</v>
      </c>
      <c r="L493" s="99" t="str">
        <f>INDEX(Tableau5[Att1],MATCH(Tableau3[[#This Row],[ID-SIG]],Tableau5[ID],0))&amp;""</f>
        <v>E3</v>
      </c>
      <c r="M493" s="99" t="str">
        <f>INDEX(Tableau5[Att2],MATCH(Tableau3[[#This Row],[ID-SIG]],Tableau5[ID],0))&amp;""</f>
        <v/>
      </c>
      <c r="N493" s="99" t="str">
        <f>INDEX(Tableau5[Att3],MATCH(Tableau3[[#This Row],[ID-SIG]],Tableau5[ID],0))&amp;""</f>
        <v/>
      </c>
      <c r="O493" s="99"/>
      <c r="P493" s="99" t="str">
        <f>INDEX(Tableau5[Description],MATCH(Tableau3[[#This Row],[ID-SIG]],Tableau5[ID],0))</f>
        <v>Entrée 3</v>
      </c>
      <c r="Q493" s="99"/>
      <c r="R493" s="103" t="str">
        <f>Tableau3[[#This Row],[Description]]</f>
        <v>Entrée 3</v>
      </c>
      <c r="U493" s="87">
        <v>3</v>
      </c>
      <c r="V493" s="87">
        <v>2</v>
      </c>
      <c r="W493" s="87">
        <v>3</v>
      </c>
      <c r="X493" s="87">
        <v>11</v>
      </c>
      <c r="Y493" s="40"/>
      <c r="Z493" s="165" t="str">
        <f>INDEX(Tableau2[TS],MATCH(Tableau3[[#This Row],[ID-CARTEVOIE]],Tableau2[ID-CARTEVOIE],0))</f>
        <v>ET</v>
      </c>
      <c r="AA493" s="53" t="s">
        <v>213</v>
      </c>
      <c r="AB493" s="223" t="str">
        <f>IFERROR(INDEX(Tableau5[Reserve],MATCH(Tableau3[[#This Row],[ID-SIG]],Tableau5[ID],0))&amp;"","")</f>
        <v/>
      </c>
      <c r="AC493" s="21"/>
      <c r="AD493" s="108" t="str">
        <f>INDEX(Tableau7[Repere],MATCH(Tableau3[[#This Row],[ID-API]],Tableau7[ID-API],0))&amp;""</f>
        <v>A3</v>
      </c>
      <c r="AE493" s="108" t="str">
        <f>INDEX(Tableau1[Repere-Rack],MATCH(Tableau3[[#This Row],[ID-RACK]],Tableau1[ID-RACK],0))&amp;""</f>
        <v>R2</v>
      </c>
      <c r="AF493" s="108" t="str">
        <f>INDEX(Tableau1[Repere-Slot],MATCH(Tableau3[[#This Row],[ID-SLOT]],Tableau1[ID-SLOT],0))&amp;""</f>
        <v>S3</v>
      </c>
      <c r="AG493" s="108" t="str">
        <f>INDEX(Tableau2[Repere-Voie],MATCH(Tableau3[[#This Row],[ID-VOIE]],Tableau2[ID-Voie],0))&amp;""</f>
        <v>v11</v>
      </c>
      <c r="AH493" s="72" t="str">
        <f>Tableau3[[#This Row],[ID-API]]&amp; "." &amp;Tableau3[[#This Row],[ID-RACK]]&amp; "." &amp;Tableau3[[#This Row],[ID-SLOT]]</f>
        <v>3.2.3</v>
      </c>
      <c r="AI493" s="72" t="str">
        <f>INDEX(Tableau1[Ref-Carte],MATCH(Tableau3[[#This Row],[ID-RRS]],Tableau1[ID-RRS],0))</f>
        <v>SDI1602</v>
      </c>
      <c r="AJ493" s="72" t="str">
        <f t="array" ref="AJ493">IFERROR(INDEX(Tableau2[TS],MATCH(1,(Tableau2[Ref-Carte]=Tableau3[[#This Row],[Ref-Carte2]])*(Tableau2[ID-Voie]=Tableau3[[#This Row],[ID-VOIE]]),0)),"")</f>
        <v>ET</v>
      </c>
      <c r="AK493" s="72" t="str">
        <f>IFERROR(INDEX(Tableau2[TS],SUMPRODUCT((Tableau2[Ref-Carte]=Tableau3[[#This Row],[Ref-Carte2]])*(Tableau2[ID-Voie]=Tableau3[[#This Row],[ID-VOIE]])*ROW(Tableau2[TS]))-ROW(Tableau2[#Headers])),"")</f>
        <v>ET</v>
      </c>
      <c r="AL493" s="72" t="str">
        <f>Tableau3[[#This Row],[Ref-Carte2]]&amp;"/"&amp;Tableau3[[#This Row],[ID-VOIE]]</f>
        <v>SDI1602/11</v>
      </c>
      <c r="AM493" s="73" t="str">
        <f>INDEX(Tableau2[Borne],MATCH(Tableau3[[#This Row],[ID-CARTEVOIE]],Tableau2[ID-CARTEVOIE],0))&amp;""</f>
        <v>5A</v>
      </c>
      <c r="AN493" s="74" t="str">
        <f>Tableau3[[#This Row],[ID-API]]&amp;Tableau3[[#This Row],[ID-RACK]]&amp;Tableau3[[#This Row],[ID-SLOT]]&amp;Tableau3[[#This Row],[BORNE]]</f>
        <v>3235A</v>
      </c>
      <c r="AO493" s="1"/>
    </row>
    <row r="494" spans="1:41" ht="20.100000000000001" customHeight="1" thickTop="1" thickBot="1">
      <c r="A494" s="68"/>
      <c r="B494" s="69" t="str">
        <f>IFERROR(INDEX(Tableau4[Date],MATCH($A494,Tableau4[EVO],0)),"")</f>
        <v/>
      </c>
      <c r="C494" s="68" t="str">
        <f>IFERROR(INDEX(Tableau4[Designation],MATCH($A494,Tableau4[EVO],0)),"")</f>
        <v/>
      </c>
      <c r="D494" s="68"/>
      <c r="E494" s="70">
        <v>140</v>
      </c>
      <c r="F494" s="71">
        <v>84</v>
      </c>
      <c r="G494" s="101" t="str">
        <f>INDEX(Tableau8[Att1],MATCH(Tableau3[[#This Row],[ID-INS]],Tableau8[ID],0))&amp;""</f>
        <v>V2</v>
      </c>
      <c r="H494" s="101" t="str">
        <f>INDEX(Tableau8[Att2],MATCH(Tableau3[[#This Row],[ID-INS]],Tableau8[ID],0))&amp;""</f>
        <v>B2</v>
      </c>
      <c r="I494" s="101" t="str">
        <f>INDEX(Tableau8[Att3],MATCH(Tableau3[[#This Row],[ID-INS]],Tableau8[ID],0))&amp;""</f>
        <v>Boucle B2</v>
      </c>
      <c r="J494" s="101"/>
      <c r="K494" s="167" t="str">
        <f>INDEX(Tableau8[Nom du modele],MATCH(Tableau3[[#This Row],[ID-INS]],Tableau8[ID],0))&amp;""</f>
        <v>Boucle</v>
      </c>
      <c r="L494" s="99" t="str">
        <f>INDEX(Tableau5[Att1],MATCH(Tableau3[[#This Row],[ID-SIG]],Tableau5[ID],0))&amp;""</f>
        <v>Def</v>
      </c>
      <c r="M494" s="99" t="str">
        <f>INDEX(Tableau5[Att2],MATCH(Tableau3[[#This Row],[ID-SIG]],Tableau5[ID],0))&amp;""</f>
        <v/>
      </c>
      <c r="N494" s="99" t="str">
        <f>INDEX(Tableau5[Att3],MATCH(Tableau3[[#This Row],[ID-SIG]],Tableau5[ID],0))&amp;""</f>
        <v/>
      </c>
      <c r="O494" s="99"/>
      <c r="P494" s="99" t="str">
        <f>INDEX(Tableau5[Description],MATCH(Tableau3[[#This Row],[ID-SIG]],Tableau5[ID],0))</f>
        <v>Défaut</v>
      </c>
      <c r="Q494" s="99"/>
      <c r="R494" s="103" t="str">
        <f>Tableau3[[#This Row],[Description]]</f>
        <v>Défaut</v>
      </c>
      <c r="U494" s="87">
        <v>3</v>
      </c>
      <c r="V494" s="87">
        <v>2</v>
      </c>
      <c r="W494" s="87">
        <v>3</v>
      </c>
      <c r="X494" s="87">
        <v>12</v>
      </c>
      <c r="Y494" s="40"/>
      <c r="Z494" s="165" t="str">
        <f>INDEX(Tableau2[TS],MATCH(Tableau3[[#This Row],[ID-CARTEVOIE]],Tableau2[ID-CARTEVOIE],0))</f>
        <v>ET</v>
      </c>
      <c r="AA494" s="53" t="s">
        <v>213</v>
      </c>
      <c r="AB494" s="223" t="str">
        <f>IFERROR(INDEX(Tableau5[Reserve],MATCH(Tableau3[[#This Row],[ID-SIG]],Tableau5[ID],0))&amp;"","")</f>
        <v/>
      </c>
      <c r="AC494" s="21"/>
      <c r="AD494" s="108" t="str">
        <f>INDEX(Tableau7[Repere],MATCH(Tableau3[[#This Row],[ID-API]],Tableau7[ID-API],0))&amp;""</f>
        <v>A3</v>
      </c>
      <c r="AE494" s="108" t="str">
        <f>INDEX(Tableau1[Repere-Rack],MATCH(Tableau3[[#This Row],[ID-RACK]],Tableau1[ID-RACK],0))&amp;""</f>
        <v>R2</v>
      </c>
      <c r="AF494" s="108" t="str">
        <f>INDEX(Tableau1[Repere-Slot],MATCH(Tableau3[[#This Row],[ID-SLOT]],Tableau1[ID-SLOT],0))&amp;""</f>
        <v>S3</v>
      </c>
      <c r="AG494" s="108" t="str">
        <f>INDEX(Tableau2[Repere-Voie],MATCH(Tableau3[[#This Row],[ID-VOIE]],Tableau2[ID-Voie],0))&amp;""</f>
        <v>v12</v>
      </c>
      <c r="AH494" s="72" t="str">
        <f>Tableau3[[#This Row],[ID-API]]&amp; "." &amp;Tableau3[[#This Row],[ID-RACK]]&amp; "." &amp;Tableau3[[#This Row],[ID-SLOT]]</f>
        <v>3.2.3</v>
      </c>
      <c r="AI494" s="72" t="str">
        <f>INDEX(Tableau1[Ref-Carte],MATCH(Tableau3[[#This Row],[ID-RRS]],Tableau1[ID-RRS],0))</f>
        <v>SDI1602</v>
      </c>
      <c r="AJ494" s="72" t="str">
        <f t="array" ref="AJ494">IFERROR(INDEX(Tableau2[TS],MATCH(1,(Tableau2[Ref-Carte]=Tableau3[[#This Row],[Ref-Carte2]])*(Tableau2[ID-Voie]=Tableau3[[#This Row],[ID-VOIE]]),0)),"")</f>
        <v>ET</v>
      </c>
      <c r="AK494" s="72" t="str">
        <f>IFERROR(INDEX(Tableau2[TS],SUMPRODUCT((Tableau2[Ref-Carte]=Tableau3[[#This Row],[Ref-Carte2]])*(Tableau2[ID-Voie]=Tableau3[[#This Row],[ID-VOIE]])*ROW(Tableau2[TS]))-ROW(Tableau2[#Headers])),"")</f>
        <v>ET</v>
      </c>
      <c r="AL494" s="72" t="str">
        <f>Tableau3[[#This Row],[Ref-Carte2]]&amp;"/"&amp;Tableau3[[#This Row],[ID-VOIE]]</f>
        <v>SDI1602/12</v>
      </c>
      <c r="AM494" s="73" t="str">
        <f>INDEX(Tableau2[Borne],MATCH(Tableau3[[#This Row],[ID-CARTEVOIE]],Tableau2[ID-CARTEVOIE],0))&amp;""</f>
        <v>6B</v>
      </c>
      <c r="AN494" s="74" t="str">
        <f>Tableau3[[#This Row],[ID-API]]&amp;Tableau3[[#This Row],[ID-RACK]]&amp;Tableau3[[#This Row],[ID-SLOT]]&amp;Tableau3[[#This Row],[BORNE]]</f>
        <v>3236B</v>
      </c>
      <c r="AO494" s="1"/>
    </row>
    <row r="495" spans="1:41" ht="20.100000000000001" customHeight="1" thickTop="1" thickBot="1">
      <c r="A495" s="68"/>
      <c r="B495" s="69" t="str">
        <f>IFERROR(INDEX(Tableau4[Date],MATCH($A495,Tableau4[EVO],0)),"")</f>
        <v/>
      </c>
      <c r="C495" s="68" t="str">
        <f>IFERROR(INDEX(Tableau4[Designation],MATCH($A495,Tableau4[EVO],0)),"")</f>
        <v/>
      </c>
      <c r="D495" s="68"/>
      <c r="E495" s="70">
        <v>140</v>
      </c>
      <c r="F495" s="71">
        <v>85</v>
      </c>
      <c r="G495" s="101" t="str">
        <f>INDEX(Tableau8[Att1],MATCH(Tableau3[[#This Row],[ID-INS]],Tableau8[ID],0))&amp;""</f>
        <v>V2</v>
      </c>
      <c r="H495" s="101" t="str">
        <f>INDEX(Tableau8[Att2],MATCH(Tableau3[[#This Row],[ID-INS]],Tableau8[ID],0))&amp;""</f>
        <v>B2</v>
      </c>
      <c r="I495" s="101" t="str">
        <f>INDEX(Tableau8[Att3],MATCH(Tableau3[[#This Row],[ID-INS]],Tableau8[ID],0))&amp;""</f>
        <v>Boucle B2</v>
      </c>
      <c r="J495" s="101"/>
      <c r="K495" s="167" t="str">
        <f>INDEX(Tableau8[Nom du modele],MATCH(Tableau3[[#This Row],[ID-INS]],Tableau8[ID],0))&amp;""</f>
        <v>Boucle</v>
      </c>
      <c r="L495" s="99" t="str">
        <f>INDEX(Tableau5[Att1],MATCH(Tableau3[[#This Row],[ID-SIG]],Tableau5[ID],0))&amp;""</f>
        <v>Pres</v>
      </c>
      <c r="M495" s="99" t="str">
        <f>INDEX(Tableau5[Att2],MATCH(Tableau3[[#This Row],[ID-SIG]],Tableau5[ID],0))&amp;""</f>
        <v/>
      </c>
      <c r="N495" s="99" t="str">
        <f>INDEX(Tableau5[Att3],MATCH(Tableau3[[#This Row],[ID-SIG]],Tableau5[ID],0))&amp;""</f>
        <v/>
      </c>
      <c r="O495" s="99"/>
      <c r="P495" s="99" t="str">
        <f>INDEX(Tableau5[Description],MATCH(Tableau3[[#This Row],[ID-SIG]],Tableau5[ID],0))</f>
        <v>Présence</v>
      </c>
      <c r="Q495" s="99"/>
      <c r="R495" s="103" t="str">
        <f>Tableau3[[#This Row],[Description]]</f>
        <v>Présence</v>
      </c>
      <c r="U495" s="87">
        <v>3</v>
      </c>
      <c r="V495" s="87">
        <v>2</v>
      </c>
      <c r="W495" s="87">
        <v>3</v>
      </c>
      <c r="X495" s="87">
        <v>13</v>
      </c>
      <c r="Y495" s="40"/>
      <c r="Z495" s="165" t="str">
        <f>INDEX(Tableau2[TS],MATCH(Tableau3[[#This Row],[ID-CARTEVOIE]],Tableau2[ID-CARTEVOIE],0))</f>
        <v>ET</v>
      </c>
      <c r="AA495" s="53" t="s">
        <v>213</v>
      </c>
      <c r="AB495" s="223" t="str">
        <f>IFERROR(INDEX(Tableau5[Reserve],MATCH(Tableau3[[#This Row],[ID-SIG]],Tableau5[ID],0))&amp;"","")</f>
        <v/>
      </c>
      <c r="AC495" s="21"/>
      <c r="AD495" s="108" t="str">
        <f>INDEX(Tableau7[Repere],MATCH(Tableau3[[#This Row],[ID-API]],Tableau7[ID-API],0))&amp;""</f>
        <v>A3</v>
      </c>
      <c r="AE495" s="108" t="str">
        <f>INDEX(Tableau1[Repere-Rack],MATCH(Tableau3[[#This Row],[ID-RACK]],Tableau1[ID-RACK],0))&amp;""</f>
        <v>R2</v>
      </c>
      <c r="AF495" s="108" t="str">
        <f>INDEX(Tableau1[Repere-Slot],MATCH(Tableau3[[#This Row],[ID-SLOT]],Tableau1[ID-SLOT],0))&amp;""</f>
        <v>S3</v>
      </c>
      <c r="AG495" s="108" t="str">
        <f>INDEX(Tableau2[Repere-Voie],MATCH(Tableau3[[#This Row],[ID-VOIE]],Tableau2[ID-Voie],0))&amp;""</f>
        <v>v13</v>
      </c>
      <c r="AH495" s="72" t="str">
        <f>Tableau3[[#This Row],[ID-API]]&amp; "." &amp;Tableau3[[#This Row],[ID-RACK]]&amp; "." &amp;Tableau3[[#This Row],[ID-SLOT]]</f>
        <v>3.2.3</v>
      </c>
      <c r="AI495" s="72" t="str">
        <f>INDEX(Tableau1[Ref-Carte],MATCH(Tableau3[[#This Row],[ID-RRS]],Tableau1[ID-RRS],0))</f>
        <v>SDI1602</v>
      </c>
      <c r="AJ495" s="72" t="str">
        <f t="array" ref="AJ495">IFERROR(INDEX(Tableau2[TS],MATCH(1,(Tableau2[Ref-Carte]=Tableau3[[#This Row],[Ref-Carte2]])*(Tableau2[ID-Voie]=Tableau3[[#This Row],[ID-VOIE]]),0)),"")</f>
        <v>ET</v>
      </c>
      <c r="AK495" s="72" t="str">
        <f>IFERROR(INDEX(Tableau2[TS],SUMPRODUCT((Tableau2[Ref-Carte]=Tableau3[[#This Row],[Ref-Carte2]])*(Tableau2[ID-Voie]=Tableau3[[#This Row],[ID-VOIE]])*ROW(Tableau2[TS]))-ROW(Tableau2[#Headers])),"")</f>
        <v>ET</v>
      </c>
      <c r="AL495" s="72" t="str">
        <f>Tableau3[[#This Row],[Ref-Carte2]]&amp;"/"&amp;Tableau3[[#This Row],[ID-VOIE]]</f>
        <v>SDI1602/13</v>
      </c>
      <c r="AM495" s="73" t="str">
        <f>INDEX(Tableau2[Borne],MATCH(Tableau3[[#This Row],[ID-CARTEVOIE]],Tableau2[ID-CARTEVOIE],0))&amp;""</f>
        <v>6A</v>
      </c>
      <c r="AN495" s="74" t="str">
        <f>Tableau3[[#This Row],[ID-API]]&amp;Tableau3[[#This Row],[ID-RACK]]&amp;Tableau3[[#This Row],[ID-SLOT]]&amp;Tableau3[[#This Row],[BORNE]]</f>
        <v>3236A</v>
      </c>
      <c r="AO495" s="1"/>
    </row>
    <row r="496" spans="1:41" ht="20.100000000000001" customHeight="1" thickTop="1" thickBot="1">
      <c r="A496" s="68"/>
      <c r="B496" s="69" t="str">
        <f>IFERROR(INDEX(Tableau4[Date],MATCH($A496,Tableau4[EVO],0)),"")</f>
        <v/>
      </c>
      <c r="C496" s="68" t="str">
        <f>IFERROR(INDEX(Tableau4[Designation],MATCH($A496,Tableau4[EVO],0)),"")</f>
        <v/>
      </c>
      <c r="D496" s="68"/>
      <c r="E496" s="70">
        <v>144</v>
      </c>
      <c r="F496" s="71">
        <v>84</v>
      </c>
      <c r="G496" s="101" t="str">
        <f>INDEX(Tableau8[Att1],MATCH(Tableau3[[#This Row],[ID-INS]],Tableau8[ID],0))&amp;""</f>
        <v>V2</v>
      </c>
      <c r="H496" s="101" t="str">
        <f>INDEX(Tableau8[Att2],MATCH(Tableau3[[#This Row],[ID-INS]],Tableau8[ID],0))&amp;""</f>
        <v>B7</v>
      </c>
      <c r="I496" s="101" t="str">
        <f>INDEX(Tableau8[Att3],MATCH(Tableau3[[#This Row],[ID-INS]],Tableau8[ID],0))&amp;""</f>
        <v>Boucle B7</v>
      </c>
      <c r="J496" s="101"/>
      <c r="K496" s="167" t="str">
        <f>INDEX(Tableau8[Nom du modele],MATCH(Tableau3[[#This Row],[ID-INS]],Tableau8[ID],0))&amp;""</f>
        <v>Boucle</v>
      </c>
      <c r="L496" s="99" t="str">
        <f>INDEX(Tableau5[Att1],MATCH(Tableau3[[#This Row],[ID-SIG]],Tableau5[ID],0))&amp;""</f>
        <v>Def</v>
      </c>
      <c r="M496" s="99" t="str">
        <f>INDEX(Tableau5[Att2],MATCH(Tableau3[[#This Row],[ID-SIG]],Tableau5[ID],0))&amp;""</f>
        <v/>
      </c>
      <c r="N496" s="99" t="str">
        <f>INDEX(Tableau5[Att3],MATCH(Tableau3[[#This Row],[ID-SIG]],Tableau5[ID],0))&amp;""</f>
        <v/>
      </c>
      <c r="O496" s="99"/>
      <c r="P496" s="99" t="str">
        <f>INDEX(Tableau5[Description],MATCH(Tableau3[[#This Row],[ID-SIG]],Tableau5[ID],0))</f>
        <v>Défaut</v>
      </c>
      <c r="Q496" s="99"/>
      <c r="R496" s="103" t="str">
        <f>Tableau3[[#This Row],[Description]]</f>
        <v>Défaut</v>
      </c>
      <c r="U496" s="87">
        <v>3</v>
      </c>
      <c r="V496" s="87">
        <v>2</v>
      </c>
      <c r="W496" s="87">
        <v>3</v>
      </c>
      <c r="X496" s="87">
        <v>14</v>
      </c>
      <c r="Y496" s="40"/>
      <c r="Z496" s="165" t="str">
        <f>INDEX(Tableau2[TS],MATCH(Tableau3[[#This Row],[ID-CARTEVOIE]],Tableau2[ID-CARTEVOIE],0))</f>
        <v>ET</v>
      </c>
      <c r="AA496" s="53" t="s">
        <v>213</v>
      </c>
      <c r="AB496" s="223" t="str">
        <f>IFERROR(INDEX(Tableau5[Reserve],MATCH(Tableau3[[#This Row],[ID-SIG]],Tableau5[ID],0))&amp;"","")</f>
        <v/>
      </c>
      <c r="AC496" s="21"/>
      <c r="AD496" s="108" t="str">
        <f>INDEX(Tableau7[Repere],MATCH(Tableau3[[#This Row],[ID-API]],Tableau7[ID-API],0))&amp;""</f>
        <v>A3</v>
      </c>
      <c r="AE496" s="108" t="str">
        <f>INDEX(Tableau1[Repere-Rack],MATCH(Tableau3[[#This Row],[ID-RACK]],Tableau1[ID-RACK],0))&amp;""</f>
        <v>R2</v>
      </c>
      <c r="AF496" s="108" t="str">
        <f>INDEX(Tableau1[Repere-Slot],MATCH(Tableau3[[#This Row],[ID-SLOT]],Tableau1[ID-SLOT],0))&amp;""</f>
        <v>S3</v>
      </c>
      <c r="AG496" s="108" t="str">
        <f>INDEX(Tableau2[Repere-Voie],MATCH(Tableau3[[#This Row],[ID-VOIE]],Tableau2[ID-Voie],0))&amp;""</f>
        <v>v14</v>
      </c>
      <c r="AH496" s="72" t="str">
        <f>Tableau3[[#This Row],[ID-API]]&amp; "." &amp;Tableau3[[#This Row],[ID-RACK]]&amp; "." &amp;Tableau3[[#This Row],[ID-SLOT]]</f>
        <v>3.2.3</v>
      </c>
      <c r="AI496" s="72" t="str">
        <f>INDEX(Tableau1[Ref-Carte],MATCH(Tableau3[[#This Row],[ID-RRS]],Tableau1[ID-RRS],0))</f>
        <v>SDI1602</v>
      </c>
      <c r="AJ496" s="72" t="str">
        <f t="array" ref="AJ496">IFERROR(INDEX(Tableau2[TS],MATCH(1,(Tableau2[Ref-Carte]=Tableau3[[#This Row],[Ref-Carte2]])*(Tableau2[ID-Voie]=Tableau3[[#This Row],[ID-VOIE]]),0)),"")</f>
        <v>ET</v>
      </c>
      <c r="AK496" s="72" t="str">
        <f>IFERROR(INDEX(Tableau2[TS],SUMPRODUCT((Tableau2[Ref-Carte]=Tableau3[[#This Row],[Ref-Carte2]])*(Tableau2[ID-Voie]=Tableau3[[#This Row],[ID-VOIE]])*ROW(Tableau2[TS]))-ROW(Tableau2[#Headers])),"")</f>
        <v>ET</v>
      </c>
      <c r="AL496" s="72" t="str">
        <f>Tableau3[[#This Row],[Ref-Carte2]]&amp;"/"&amp;Tableau3[[#This Row],[ID-VOIE]]</f>
        <v>SDI1602/14</v>
      </c>
      <c r="AM496" s="73" t="str">
        <f>INDEX(Tableau2[Borne],MATCH(Tableau3[[#This Row],[ID-CARTEVOIE]],Tableau2[ID-CARTEVOIE],0))&amp;""</f>
        <v>7B</v>
      </c>
      <c r="AN496" s="74" t="str">
        <f>Tableau3[[#This Row],[ID-API]]&amp;Tableau3[[#This Row],[ID-RACK]]&amp;Tableau3[[#This Row],[ID-SLOT]]&amp;Tableau3[[#This Row],[BORNE]]</f>
        <v>3237B</v>
      </c>
      <c r="AO496" s="1"/>
    </row>
    <row r="497" spans="1:41" ht="20.100000000000001" customHeight="1" thickTop="1" thickBot="1">
      <c r="A497" s="68"/>
      <c r="B497" s="69" t="str">
        <f>IFERROR(INDEX(Tableau4[Date],MATCH($A497,Tableau4[EVO],0)),"")</f>
        <v/>
      </c>
      <c r="C497" s="68" t="str">
        <f>IFERROR(INDEX(Tableau4[Designation],MATCH($A497,Tableau4[EVO],0)),"")</f>
        <v/>
      </c>
      <c r="D497" s="68"/>
      <c r="E497" s="70">
        <v>144</v>
      </c>
      <c r="F497" s="71">
        <v>85</v>
      </c>
      <c r="G497" s="101" t="str">
        <f>INDEX(Tableau8[Att1],MATCH(Tableau3[[#This Row],[ID-INS]],Tableau8[ID],0))&amp;""</f>
        <v>V2</v>
      </c>
      <c r="H497" s="101" t="str">
        <f>INDEX(Tableau8[Att2],MATCH(Tableau3[[#This Row],[ID-INS]],Tableau8[ID],0))&amp;""</f>
        <v>B7</v>
      </c>
      <c r="I497" s="101" t="str">
        <f>INDEX(Tableau8[Att3],MATCH(Tableau3[[#This Row],[ID-INS]],Tableau8[ID],0))&amp;""</f>
        <v>Boucle B7</v>
      </c>
      <c r="J497" s="101"/>
      <c r="K497" s="167" t="str">
        <f>INDEX(Tableau8[Nom du modele],MATCH(Tableau3[[#This Row],[ID-INS]],Tableau8[ID],0))&amp;""</f>
        <v>Boucle</v>
      </c>
      <c r="L497" s="99" t="str">
        <f>INDEX(Tableau5[Att1],MATCH(Tableau3[[#This Row],[ID-SIG]],Tableau5[ID],0))&amp;""</f>
        <v>Pres</v>
      </c>
      <c r="M497" s="99" t="str">
        <f>INDEX(Tableau5[Att2],MATCH(Tableau3[[#This Row],[ID-SIG]],Tableau5[ID],0))&amp;""</f>
        <v/>
      </c>
      <c r="N497" s="99" t="str">
        <f>INDEX(Tableau5[Att3],MATCH(Tableau3[[#This Row],[ID-SIG]],Tableau5[ID],0))&amp;""</f>
        <v/>
      </c>
      <c r="O497" s="99"/>
      <c r="P497" s="99" t="str">
        <f>INDEX(Tableau5[Description],MATCH(Tableau3[[#This Row],[ID-SIG]],Tableau5[ID],0))</f>
        <v>Présence</v>
      </c>
      <c r="Q497" s="99"/>
      <c r="R497" s="103" t="str">
        <f>Tableau3[[#This Row],[Description]]</f>
        <v>Présence</v>
      </c>
      <c r="U497" s="87">
        <v>3</v>
      </c>
      <c r="V497" s="87">
        <v>2</v>
      </c>
      <c r="W497" s="87">
        <v>3</v>
      </c>
      <c r="X497" s="87">
        <v>15</v>
      </c>
      <c r="Y497" s="40"/>
      <c r="Z497" s="165" t="str">
        <f>INDEX(Tableau2[TS],MATCH(Tableau3[[#This Row],[ID-CARTEVOIE]],Tableau2[ID-CARTEVOIE],0))</f>
        <v>ET</v>
      </c>
      <c r="AA497" s="53" t="s">
        <v>213</v>
      </c>
      <c r="AB497" s="223" t="str">
        <f>IFERROR(INDEX(Tableau5[Reserve],MATCH(Tableau3[[#This Row],[ID-SIG]],Tableau5[ID],0))&amp;"","")</f>
        <v/>
      </c>
      <c r="AC497" s="21"/>
      <c r="AD497" s="108" t="str">
        <f>INDEX(Tableau7[Repere],MATCH(Tableau3[[#This Row],[ID-API]],Tableau7[ID-API],0))&amp;""</f>
        <v>A3</v>
      </c>
      <c r="AE497" s="108" t="str">
        <f>INDEX(Tableau1[Repere-Rack],MATCH(Tableau3[[#This Row],[ID-RACK]],Tableau1[ID-RACK],0))&amp;""</f>
        <v>R2</v>
      </c>
      <c r="AF497" s="108" t="str">
        <f>INDEX(Tableau1[Repere-Slot],MATCH(Tableau3[[#This Row],[ID-SLOT]],Tableau1[ID-SLOT],0))&amp;""</f>
        <v>S3</v>
      </c>
      <c r="AG497" s="108" t="str">
        <f>INDEX(Tableau2[Repere-Voie],MATCH(Tableau3[[#This Row],[ID-VOIE]],Tableau2[ID-Voie],0))&amp;""</f>
        <v>v15</v>
      </c>
      <c r="AH497" s="72" t="str">
        <f>Tableau3[[#This Row],[ID-API]]&amp; "." &amp;Tableau3[[#This Row],[ID-RACK]]&amp; "." &amp;Tableau3[[#This Row],[ID-SLOT]]</f>
        <v>3.2.3</v>
      </c>
      <c r="AI497" s="72" t="str">
        <f>INDEX(Tableau1[Ref-Carte],MATCH(Tableau3[[#This Row],[ID-RRS]],Tableau1[ID-RRS],0))</f>
        <v>SDI1602</v>
      </c>
      <c r="AJ497" s="72" t="str">
        <f t="array" ref="AJ497">IFERROR(INDEX(Tableau2[TS],MATCH(1,(Tableau2[Ref-Carte]=Tableau3[[#This Row],[Ref-Carte2]])*(Tableau2[ID-Voie]=Tableau3[[#This Row],[ID-VOIE]]),0)),"")</f>
        <v>ET</v>
      </c>
      <c r="AK497" s="72" t="str">
        <f>IFERROR(INDEX(Tableau2[TS],SUMPRODUCT((Tableau2[Ref-Carte]=Tableau3[[#This Row],[Ref-Carte2]])*(Tableau2[ID-Voie]=Tableau3[[#This Row],[ID-VOIE]])*ROW(Tableau2[TS]))-ROW(Tableau2[#Headers])),"")</f>
        <v>ET</v>
      </c>
      <c r="AL497" s="72" t="str">
        <f>Tableau3[[#This Row],[Ref-Carte2]]&amp;"/"&amp;Tableau3[[#This Row],[ID-VOIE]]</f>
        <v>SDI1602/15</v>
      </c>
      <c r="AM497" s="73" t="str">
        <f>INDEX(Tableau2[Borne],MATCH(Tableau3[[#This Row],[ID-CARTEVOIE]],Tableau2[ID-CARTEVOIE],0))&amp;""</f>
        <v>7A</v>
      </c>
      <c r="AN497" s="74" t="str">
        <f>Tableau3[[#This Row],[ID-API]]&amp;Tableau3[[#This Row],[ID-RACK]]&amp;Tableau3[[#This Row],[ID-SLOT]]&amp;Tableau3[[#This Row],[BORNE]]</f>
        <v>3237A</v>
      </c>
      <c r="AO497" s="1"/>
    </row>
    <row r="498" spans="1:41" ht="20.100000000000001" customHeight="1" thickTop="1" thickBot="1">
      <c r="A498" s="68"/>
      <c r="B498" s="69" t="str">
        <f>IFERROR(INDEX(Tableau4[Date],MATCH($A498,Tableau4[EVO],0)),"")</f>
        <v/>
      </c>
      <c r="C498" s="68" t="str">
        <f>IFERROR(INDEX(Tableau4[Designation],MATCH($A498,Tableau4[EVO],0)),"")</f>
        <v/>
      </c>
      <c r="D498" s="68"/>
      <c r="E498" s="70">
        <v>148</v>
      </c>
      <c r="F498" s="71">
        <v>84</v>
      </c>
      <c r="G498" s="101" t="str">
        <f>INDEX(Tableau8[Att1],MATCH(Tableau3[[#This Row],[ID-INS]],Tableau8[ID],0))&amp;""</f>
        <v>V2</v>
      </c>
      <c r="H498" s="101" t="str">
        <f>INDEX(Tableau8[Att2],MATCH(Tableau3[[#This Row],[ID-INS]],Tableau8[ID],0))&amp;""</f>
        <v>B11</v>
      </c>
      <c r="I498" s="101" t="str">
        <f>INDEX(Tableau8[Att3],MATCH(Tableau3[[#This Row],[ID-INS]],Tableau8[ID],0))&amp;""</f>
        <v>Boucle B11</v>
      </c>
      <c r="J498" s="101"/>
      <c r="K498" s="167" t="str">
        <f>INDEX(Tableau8[Nom du modele],MATCH(Tableau3[[#This Row],[ID-INS]],Tableau8[ID],0))&amp;""</f>
        <v>Boucle</v>
      </c>
      <c r="L498" s="99" t="str">
        <f>INDEX(Tableau5[Att1],MATCH(Tableau3[[#This Row],[ID-SIG]],Tableau5[ID],0))&amp;""</f>
        <v>Def</v>
      </c>
      <c r="M498" s="99" t="str">
        <f>INDEX(Tableau5[Att2],MATCH(Tableau3[[#This Row],[ID-SIG]],Tableau5[ID],0))&amp;""</f>
        <v/>
      </c>
      <c r="N498" s="99" t="str">
        <f>INDEX(Tableau5[Att3],MATCH(Tableau3[[#This Row],[ID-SIG]],Tableau5[ID],0))&amp;""</f>
        <v/>
      </c>
      <c r="O498" s="99"/>
      <c r="P498" s="99" t="str">
        <f>INDEX(Tableau5[Description],MATCH(Tableau3[[#This Row],[ID-SIG]],Tableau5[ID],0))</f>
        <v>Défaut</v>
      </c>
      <c r="Q498" s="99"/>
      <c r="R498" s="103" t="str">
        <f>Tableau3[[#This Row],[Description]]</f>
        <v>Défaut</v>
      </c>
      <c r="U498" s="87">
        <v>3</v>
      </c>
      <c r="V498" s="87">
        <v>2</v>
      </c>
      <c r="W498" s="87">
        <v>4</v>
      </c>
      <c r="X498" s="87">
        <v>0</v>
      </c>
      <c r="Y498" s="40"/>
      <c r="Z498" s="165" t="str">
        <f>INDEX(Tableau2[TS],MATCH(Tableau3[[#This Row],[ID-CARTEVOIE]],Tableau2[ID-CARTEVOIE],0))</f>
        <v>ET</v>
      </c>
      <c r="AA498" s="53" t="s">
        <v>213</v>
      </c>
      <c r="AB498" s="223" t="str">
        <f>IFERROR(INDEX(Tableau5[Reserve],MATCH(Tableau3[[#This Row],[ID-SIG]],Tableau5[ID],0))&amp;"","")</f>
        <v/>
      </c>
      <c r="AC498" s="21"/>
      <c r="AD498" s="108" t="str">
        <f>INDEX(Tableau7[Repere],MATCH(Tableau3[[#This Row],[ID-API]],Tableau7[ID-API],0))&amp;""</f>
        <v>A3</v>
      </c>
      <c r="AE498" s="108" t="str">
        <f>INDEX(Tableau1[Repere-Rack],MATCH(Tableau3[[#This Row],[ID-RACK]],Tableau1[ID-RACK],0))&amp;""</f>
        <v>R2</v>
      </c>
      <c r="AF498" s="108" t="str">
        <f>INDEX(Tableau1[Repere-Slot],MATCH(Tableau3[[#This Row],[ID-SLOT]],Tableau1[ID-SLOT],0))&amp;""</f>
        <v>S4</v>
      </c>
      <c r="AG498" s="108" t="str">
        <f>INDEX(Tableau2[Repere-Voie],MATCH(Tableau3[[#This Row],[ID-VOIE]],Tableau2[ID-Voie],0))&amp;""</f>
        <v>v0</v>
      </c>
      <c r="AH498" s="72" t="str">
        <f>Tableau3[[#This Row],[ID-API]]&amp; "." &amp;Tableau3[[#This Row],[ID-RACK]]&amp; "." &amp;Tableau3[[#This Row],[ID-SLOT]]</f>
        <v>3.2.4</v>
      </c>
      <c r="AI498" s="72" t="str">
        <f>INDEX(Tableau1[Ref-Carte],MATCH(Tableau3[[#This Row],[ID-RRS]],Tableau1[ID-RRS],0))</f>
        <v>SDI1602</v>
      </c>
      <c r="AJ498" s="72" t="str">
        <f t="array" ref="AJ498">IFERROR(INDEX(Tableau2[TS],MATCH(1,(Tableau2[Ref-Carte]=Tableau3[[#This Row],[Ref-Carte2]])*(Tableau2[ID-Voie]=Tableau3[[#This Row],[ID-VOIE]]),0)),"")</f>
        <v>ET</v>
      </c>
      <c r="AK498" s="72" t="str">
        <f>IFERROR(INDEX(Tableau2[TS],SUMPRODUCT((Tableau2[Ref-Carte]=Tableau3[[#This Row],[Ref-Carte2]])*(Tableau2[ID-Voie]=Tableau3[[#This Row],[ID-VOIE]])*ROW(Tableau2[TS]))-ROW(Tableau2[#Headers])),"")</f>
        <v>ET</v>
      </c>
      <c r="AL498" s="72" t="str">
        <f>Tableau3[[#This Row],[Ref-Carte2]]&amp;"/"&amp;Tableau3[[#This Row],[ID-VOIE]]</f>
        <v>SDI1602/0</v>
      </c>
      <c r="AM498" s="73" t="str">
        <f>INDEX(Tableau2[Borne],MATCH(Tableau3[[#This Row],[ID-CARTEVOIE]],Tableau2[ID-CARTEVOIE],0))&amp;""</f>
        <v>0B</v>
      </c>
      <c r="AN498" s="74" t="str">
        <f>Tableau3[[#This Row],[ID-API]]&amp;Tableau3[[#This Row],[ID-RACK]]&amp;Tableau3[[#This Row],[ID-SLOT]]&amp;Tableau3[[#This Row],[BORNE]]</f>
        <v>3240B</v>
      </c>
      <c r="AO498" s="1"/>
    </row>
    <row r="499" spans="1:41" ht="20.100000000000001" customHeight="1" thickTop="1" thickBot="1">
      <c r="A499" s="68"/>
      <c r="B499" s="69" t="str">
        <f>IFERROR(INDEX(Tableau4[Date],MATCH($A499,Tableau4[EVO],0)),"")</f>
        <v/>
      </c>
      <c r="C499" s="68" t="str">
        <f>IFERROR(INDEX(Tableau4[Designation],MATCH($A499,Tableau4[EVO],0)),"")</f>
        <v/>
      </c>
      <c r="D499" s="68"/>
      <c r="E499" s="70">
        <v>148</v>
      </c>
      <c r="F499" s="71">
        <v>85</v>
      </c>
      <c r="G499" s="101" t="str">
        <f>INDEX(Tableau8[Att1],MATCH(Tableau3[[#This Row],[ID-INS]],Tableau8[ID],0))&amp;""</f>
        <v>V2</v>
      </c>
      <c r="H499" s="101" t="str">
        <f>INDEX(Tableau8[Att2],MATCH(Tableau3[[#This Row],[ID-INS]],Tableau8[ID],0))&amp;""</f>
        <v>B11</v>
      </c>
      <c r="I499" s="101" t="str">
        <f>INDEX(Tableau8[Att3],MATCH(Tableau3[[#This Row],[ID-INS]],Tableau8[ID],0))&amp;""</f>
        <v>Boucle B11</v>
      </c>
      <c r="J499" s="101"/>
      <c r="K499" s="167" t="str">
        <f>INDEX(Tableau8[Nom du modele],MATCH(Tableau3[[#This Row],[ID-INS]],Tableau8[ID],0))&amp;""</f>
        <v>Boucle</v>
      </c>
      <c r="L499" s="99" t="str">
        <f>INDEX(Tableau5[Att1],MATCH(Tableau3[[#This Row],[ID-SIG]],Tableau5[ID],0))&amp;""</f>
        <v>Pres</v>
      </c>
      <c r="M499" s="99" t="str">
        <f>INDEX(Tableau5[Att2],MATCH(Tableau3[[#This Row],[ID-SIG]],Tableau5[ID],0))&amp;""</f>
        <v/>
      </c>
      <c r="N499" s="99" t="str">
        <f>INDEX(Tableau5[Att3],MATCH(Tableau3[[#This Row],[ID-SIG]],Tableau5[ID],0))&amp;""</f>
        <v/>
      </c>
      <c r="O499" s="99"/>
      <c r="P499" s="99" t="str">
        <f>INDEX(Tableau5[Description],MATCH(Tableau3[[#This Row],[ID-SIG]],Tableau5[ID],0))</f>
        <v>Présence</v>
      </c>
      <c r="Q499" s="99"/>
      <c r="R499" s="103" t="str">
        <f>Tableau3[[#This Row],[Description]]</f>
        <v>Présence</v>
      </c>
      <c r="U499" s="87">
        <v>3</v>
      </c>
      <c r="V499" s="87">
        <v>2</v>
      </c>
      <c r="W499" s="87">
        <v>4</v>
      </c>
      <c r="X499" s="87">
        <v>1</v>
      </c>
      <c r="Y499" s="40"/>
      <c r="Z499" s="165" t="str">
        <f>INDEX(Tableau2[TS],MATCH(Tableau3[[#This Row],[ID-CARTEVOIE]],Tableau2[ID-CARTEVOIE],0))</f>
        <v>ET</v>
      </c>
      <c r="AA499" s="53" t="s">
        <v>213</v>
      </c>
      <c r="AB499" s="223" t="str">
        <f>IFERROR(INDEX(Tableau5[Reserve],MATCH(Tableau3[[#This Row],[ID-SIG]],Tableau5[ID],0))&amp;"","")</f>
        <v/>
      </c>
      <c r="AC499" s="21"/>
      <c r="AD499" s="108" t="str">
        <f>INDEX(Tableau7[Repere],MATCH(Tableau3[[#This Row],[ID-API]],Tableau7[ID-API],0))&amp;""</f>
        <v>A3</v>
      </c>
      <c r="AE499" s="108" t="str">
        <f>INDEX(Tableau1[Repere-Rack],MATCH(Tableau3[[#This Row],[ID-RACK]],Tableau1[ID-RACK],0))&amp;""</f>
        <v>R2</v>
      </c>
      <c r="AF499" s="108" t="str">
        <f>INDEX(Tableau1[Repere-Slot],MATCH(Tableau3[[#This Row],[ID-SLOT]],Tableau1[ID-SLOT],0))&amp;""</f>
        <v>S4</v>
      </c>
      <c r="AG499" s="108" t="str">
        <f>INDEX(Tableau2[Repere-Voie],MATCH(Tableau3[[#This Row],[ID-VOIE]],Tableau2[ID-Voie],0))&amp;""</f>
        <v>v1</v>
      </c>
      <c r="AH499" s="72" t="str">
        <f>Tableau3[[#This Row],[ID-API]]&amp; "." &amp;Tableau3[[#This Row],[ID-RACK]]&amp; "." &amp;Tableau3[[#This Row],[ID-SLOT]]</f>
        <v>3.2.4</v>
      </c>
      <c r="AI499" s="72" t="str">
        <f>INDEX(Tableau1[Ref-Carte],MATCH(Tableau3[[#This Row],[ID-RRS]],Tableau1[ID-RRS],0))</f>
        <v>SDI1602</v>
      </c>
      <c r="AJ499" s="72" t="str">
        <f t="array" ref="AJ499">IFERROR(INDEX(Tableau2[TS],MATCH(1,(Tableau2[Ref-Carte]=Tableau3[[#This Row],[Ref-Carte2]])*(Tableau2[ID-Voie]=Tableau3[[#This Row],[ID-VOIE]]),0)),"")</f>
        <v>ET</v>
      </c>
      <c r="AK499" s="72" t="str">
        <f>IFERROR(INDEX(Tableau2[TS],SUMPRODUCT((Tableau2[Ref-Carte]=Tableau3[[#This Row],[Ref-Carte2]])*(Tableau2[ID-Voie]=Tableau3[[#This Row],[ID-VOIE]])*ROW(Tableau2[TS]))-ROW(Tableau2[#Headers])),"")</f>
        <v>ET</v>
      </c>
      <c r="AL499" s="72" t="str">
        <f>Tableau3[[#This Row],[Ref-Carte2]]&amp;"/"&amp;Tableau3[[#This Row],[ID-VOIE]]</f>
        <v>SDI1602/1</v>
      </c>
      <c r="AM499" s="73" t="str">
        <f>INDEX(Tableau2[Borne],MATCH(Tableau3[[#This Row],[ID-CARTEVOIE]],Tableau2[ID-CARTEVOIE],0))&amp;""</f>
        <v>0A</v>
      </c>
      <c r="AN499" s="74" t="str">
        <f>Tableau3[[#This Row],[ID-API]]&amp;Tableau3[[#This Row],[ID-RACK]]&amp;Tableau3[[#This Row],[ID-SLOT]]&amp;Tableau3[[#This Row],[BORNE]]</f>
        <v>3240A</v>
      </c>
      <c r="AO499" s="1"/>
    </row>
    <row r="500" spans="1:41" ht="20.100000000000001" customHeight="1" thickTop="1" thickBot="1">
      <c r="A500" s="68"/>
      <c r="B500" s="69" t="str">
        <f>IFERROR(INDEX(Tableau4[Date],MATCH($A500,Tableau4[EVO],0)),"")</f>
        <v/>
      </c>
      <c r="C500" s="68" t="str">
        <f>IFERROR(INDEX(Tableau4[Designation],MATCH($A500,Tableau4[EVO],0)),"")</f>
        <v/>
      </c>
      <c r="D500" s="68"/>
      <c r="E500" s="70">
        <v>152</v>
      </c>
      <c r="F500" s="71">
        <v>84</v>
      </c>
      <c r="G500" s="101" t="str">
        <f>INDEX(Tableau8[Att1],MATCH(Tableau3[[#This Row],[ID-INS]],Tableau8[ID],0))&amp;""</f>
        <v>V2</v>
      </c>
      <c r="H500" s="101" t="str">
        <f>INDEX(Tableau8[Att2],MATCH(Tableau3[[#This Row],[ID-INS]],Tableau8[ID],0))&amp;""</f>
        <v>B15</v>
      </c>
      <c r="I500" s="101" t="str">
        <f>INDEX(Tableau8[Att3],MATCH(Tableau3[[#This Row],[ID-INS]],Tableau8[ID],0))&amp;""</f>
        <v>Boucle B15</v>
      </c>
      <c r="J500" s="101"/>
      <c r="K500" s="167" t="str">
        <f>INDEX(Tableau8[Nom du modele],MATCH(Tableau3[[#This Row],[ID-INS]],Tableau8[ID],0))&amp;""</f>
        <v>Boucle</v>
      </c>
      <c r="L500" s="99" t="str">
        <f>INDEX(Tableau5[Att1],MATCH(Tableau3[[#This Row],[ID-SIG]],Tableau5[ID],0))&amp;""</f>
        <v>Def</v>
      </c>
      <c r="M500" s="99" t="str">
        <f>INDEX(Tableau5[Att2],MATCH(Tableau3[[#This Row],[ID-SIG]],Tableau5[ID],0))&amp;""</f>
        <v/>
      </c>
      <c r="N500" s="99" t="str">
        <f>INDEX(Tableau5[Att3],MATCH(Tableau3[[#This Row],[ID-SIG]],Tableau5[ID],0))&amp;""</f>
        <v/>
      </c>
      <c r="O500" s="99"/>
      <c r="P500" s="99" t="str">
        <f>INDEX(Tableau5[Description],MATCH(Tableau3[[#This Row],[ID-SIG]],Tableau5[ID],0))</f>
        <v>Défaut</v>
      </c>
      <c r="Q500" s="99"/>
      <c r="R500" s="103" t="str">
        <f>Tableau3[[#This Row],[Description]]</f>
        <v>Défaut</v>
      </c>
      <c r="U500" s="87">
        <v>3</v>
      </c>
      <c r="V500" s="87">
        <v>2</v>
      </c>
      <c r="W500" s="87">
        <v>4</v>
      </c>
      <c r="X500" s="87">
        <v>2</v>
      </c>
      <c r="Y500" s="40"/>
      <c r="Z500" s="165" t="str">
        <f>INDEX(Tableau2[TS],MATCH(Tableau3[[#This Row],[ID-CARTEVOIE]],Tableau2[ID-CARTEVOIE],0))</f>
        <v>ET</v>
      </c>
      <c r="AA500" s="53" t="s">
        <v>213</v>
      </c>
      <c r="AB500" s="223" t="str">
        <f>IFERROR(INDEX(Tableau5[Reserve],MATCH(Tableau3[[#This Row],[ID-SIG]],Tableau5[ID],0))&amp;"","")</f>
        <v/>
      </c>
      <c r="AC500" s="21"/>
      <c r="AD500" s="108" t="str">
        <f>INDEX(Tableau7[Repere],MATCH(Tableau3[[#This Row],[ID-API]],Tableau7[ID-API],0))&amp;""</f>
        <v>A3</v>
      </c>
      <c r="AE500" s="108" t="str">
        <f>INDEX(Tableau1[Repere-Rack],MATCH(Tableau3[[#This Row],[ID-RACK]],Tableau1[ID-RACK],0))&amp;""</f>
        <v>R2</v>
      </c>
      <c r="AF500" s="108" t="str">
        <f>INDEX(Tableau1[Repere-Slot],MATCH(Tableau3[[#This Row],[ID-SLOT]],Tableau1[ID-SLOT],0))&amp;""</f>
        <v>S4</v>
      </c>
      <c r="AG500" s="108" t="str">
        <f>INDEX(Tableau2[Repere-Voie],MATCH(Tableau3[[#This Row],[ID-VOIE]],Tableau2[ID-Voie],0))&amp;""</f>
        <v>v2</v>
      </c>
      <c r="AH500" s="72" t="str">
        <f>Tableau3[[#This Row],[ID-API]]&amp; "." &amp;Tableau3[[#This Row],[ID-RACK]]&amp; "." &amp;Tableau3[[#This Row],[ID-SLOT]]</f>
        <v>3.2.4</v>
      </c>
      <c r="AI500" s="72" t="str">
        <f>INDEX(Tableau1[Ref-Carte],MATCH(Tableau3[[#This Row],[ID-RRS]],Tableau1[ID-RRS],0))</f>
        <v>SDI1602</v>
      </c>
      <c r="AJ500" s="72" t="str">
        <f t="array" ref="AJ500">IFERROR(INDEX(Tableau2[TS],MATCH(1,(Tableau2[Ref-Carte]=Tableau3[[#This Row],[Ref-Carte2]])*(Tableau2[ID-Voie]=Tableau3[[#This Row],[ID-VOIE]]),0)),"")</f>
        <v>ET</v>
      </c>
      <c r="AK500" s="72" t="str">
        <f>IFERROR(INDEX(Tableau2[TS],SUMPRODUCT((Tableau2[Ref-Carte]=Tableau3[[#This Row],[Ref-Carte2]])*(Tableau2[ID-Voie]=Tableau3[[#This Row],[ID-VOIE]])*ROW(Tableau2[TS]))-ROW(Tableau2[#Headers])),"")</f>
        <v>ET</v>
      </c>
      <c r="AL500" s="72" t="str">
        <f>Tableau3[[#This Row],[Ref-Carte2]]&amp;"/"&amp;Tableau3[[#This Row],[ID-VOIE]]</f>
        <v>SDI1602/2</v>
      </c>
      <c r="AM500" s="73" t="str">
        <f>INDEX(Tableau2[Borne],MATCH(Tableau3[[#This Row],[ID-CARTEVOIE]],Tableau2[ID-CARTEVOIE],0))&amp;""</f>
        <v>1B</v>
      </c>
      <c r="AN500" s="74" t="str">
        <f>Tableau3[[#This Row],[ID-API]]&amp;Tableau3[[#This Row],[ID-RACK]]&amp;Tableau3[[#This Row],[ID-SLOT]]&amp;Tableau3[[#This Row],[BORNE]]</f>
        <v>3241B</v>
      </c>
      <c r="AO500" s="1"/>
    </row>
    <row r="501" spans="1:41" ht="20.100000000000001" customHeight="1" thickTop="1" thickBot="1">
      <c r="A501" s="68"/>
      <c r="B501" s="69" t="str">
        <f>IFERROR(INDEX(Tableau4[Date],MATCH($A501,Tableau4[EVO],0)),"")</f>
        <v/>
      </c>
      <c r="C501" s="68" t="str">
        <f>IFERROR(INDEX(Tableau4[Designation],MATCH($A501,Tableau4[EVO],0)),"")</f>
        <v/>
      </c>
      <c r="D501" s="68"/>
      <c r="E501" s="70">
        <v>152</v>
      </c>
      <c r="F501" s="71">
        <v>85</v>
      </c>
      <c r="G501" s="101" t="str">
        <f>INDEX(Tableau8[Att1],MATCH(Tableau3[[#This Row],[ID-INS]],Tableau8[ID],0))&amp;""</f>
        <v>V2</v>
      </c>
      <c r="H501" s="101" t="str">
        <f>INDEX(Tableau8[Att2],MATCH(Tableau3[[#This Row],[ID-INS]],Tableau8[ID],0))&amp;""</f>
        <v>B15</v>
      </c>
      <c r="I501" s="101" t="str">
        <f>INDEX(Tableau8[Att3],MATCH(Tableau3[[#This Row],[ID-INS]],Tableau8[ID],0))&amp;""</f>
        <v>Boucle B15</v>
      </c>
      <c r="J501" s="101"/>
      <c r="K501" s="167" t="str">
        <f>INDEX(Tableau8[Nom du modele],MATCH(Tableau3[[#This Row],[ID-INS]],Tableau8[ID],0))&amp;""</f>
        <v>Boucle</v>
      </c>
      <c r="L501" s="99" t="str">
        <f>INDEX(Tableau5[Att1],MATCH(Tableau3[[#This Row],[ID-SIG]],Tableau5[ID],0))&amp;""</f>
        <v>Pres</v>
      </c>
      <c r="M501" s="99" t="str">
        <f>INDEX(Tableau5[Att2],MATCH(Tableau3[[#This Row],[ID-SIG]],Tableau5[ID],0))&amp;""</f>
        <v/>
      </c>
      <c r="N501" s="99" t="str">
        <f>INDEX(Tableau5[Att3],MATCH(Tableau3[[#This Row],[ID-SIG]],Tableau5[ID],0))&amp;""</f>
        <v/>
      </c>
      <c r="O501" s="99"/>
      <c r="P501" s="99" t="str">
        <f>INDEX(Tableau5[Description],MATCH(Tableau3[[#This Row],[ID-SIG]],Tableau5[ID],0))</f>
        <v>Présence</v>
      </c>
      <c r="Q501" s="99"/>
      <c r="R501" s="103" t="str">
        <f>Tableau3[[#This Row],[Description]]</f>
        <v>Présence</v>
      </c>
      <c r="U501" s="87">
        <v>3</v>
      </c>
      <c r="V501" s="87">
        <v>2</v>
      </c>
      <c r="W501" s="87">
        <v>4</v>
      </c>
      <c r="X501" s="87">
        <v>3</v>
      </c>
      <c r="Y501" s="40"/>
      <c r="Z501" s="165" t="str">
        <f>INDEX(Tableau2[TS],MATCH(Tableau3[[#This Row],[ID-CARTEVOIE]],Tableau2[ID-CARTEVOIE],0))</f>
        <v>ET</v>
      </c>
      <c r="AA501" s="53" t="s">
        <v>213</v>
      </c>
      <c r="AB501" s="223" t="str">
        <f>IFERROR(INDEX(Tableau5[Reserve],MATCH(Tableau3[[#This Row],[ID-SIG]],Tableau5[ID],0))&amp;"","")</f>
        <v/>
      </c>
      <c r="AC501" s="21"/>
      <c r="AD501" s="108" t="str">
        <f>INDEX(Tableau7[Repere],MATCH(Tableau3[[#This Row],[ID-API]],Tableau7[ID-API],0))&amp;""</f>
        <v>A3</v>
      </c>
      <c r="AE501" s="108" t="str">
        <f>INDEX(Tableau1[Repere-Rack],MATCH(Tableau3[[#This Row],[ID-RACK]],Tableau1[ID-RACK],0))&amp;""</f>
        <v>R2</v>
      </c>
      <c r="AF501" s="108" t="str">
        <f>INDEX(Tableau1[Repere-Slot],MATCH(Tableau3[[#This Row],[ID-SLOT]],Tableau1[ID-SLOT],0))&amp;""</f>
        <v>S4</v>
      </c>
      <c r="AG501" s="108" t="str">
        <f>INDEX(Tableau2[Repere-Voie],MATCH(Tableau3[[#This Row],[ID-VOIE]],Tableau2[ID-Voie],0))&amp;""</f>
        <v>v3</v>
      </c>
      <c r="AH501" s="72" t="str">
        <f>Tableau3[[#This Row],[ID-API]]&amp; "." &amp;Tableau3[[#This Row],[ID-RACK]]&amp; "." &amp;Tableau3[[#This Row],[ID-SLOT]]</f>
        <v>3.2.4</v>
      </c>
      <c r="AI501" s="72" t="str">
        <f>INDEX(Tableau1[Ref-Carte],MATCH(Tableau3[[#This Row],[ID-RRS]],Tableau1[ID-RRS],0))</f>
        <v>SDI1602</v>
      </c>
      <c r="AJ501" s="72" t="str">
        <f t="array" ref="AJ501">IFERROR(INDEX(Tableau2[TS],MATCH(1,(Tableau2[Ref-Carte]=Tableau3[[#This Row],[Ref-Carte2]])*(Tableau2[ID-Voie]=Tableau3[[#This Row],[ID-VOIE]]),0)),"")</f>
        <v>ET</v>
      </c>
      <c r="AK501" s="72" t="str">
        <f>IFERROR(INDEX(Tableau2[TS],SUMPRODUCT((Tableau2[Ref-Carte]=Tableau3[[#This Row],[Ref-Carte2]])*(Tableau2[ID-Voie]=Tableau3[[#This Row],[ID-VOIE]])*ROW(Tableau2[TS]))-ROW(Tableau2[#Headers])),"")</f>
        <v>ET</v>
      </c>
      <c r="AL501" s="72" t="str">
        <f>Tableau3[[#This Row],[Ref-Carte2]]&amp;"/"&amp;Tableau3[[#This Row],[ID-VOIE]]</f>
        <v>SDI1602/3</v>
      </c>
      <c r="AM501" s="73" t="str">
        <f>INDEX(Tableau2[Borne],MATCH(Tableau3[[#This Row],[ID-CARTEVOIE]],Tableau2[ID-CARTEVOIE],0))&amp;""</f>
        <v>1A</v>
      </c>
      <c r="AN501" s="74" t="str">
        <f>Tableau3[[#This Row],[ID-API]]&amp;Tableau3[[#This Row],[ID-RACK]]&amp;Tableau3[[#This Row],[ID-SLOT]]&amp;Tableau3[[#This Row],[BORNE]]</f>
        <v>3241A</v>
      </c>
      <c r="AO501" s="1"/>
    </row>
    <row r="502" spans="1:41" ht="20.100000000000001" customHeight="1" thickTop="1" thickBot="1">
      <c r="A502" s="68"/>
      <c r="B502" s="69" t="str">
        <f>IFERROR(INDEX(Tableau4[Date],MATCH($A502,Tableau4[EVO],0)),"")</f>
        <v/>
      </c>
      <c r="C502" s="68" t="str">
        <f>IFERROR(INDEX(Tableau4[Designation],MATCH($A502,Tableau4[EVO],0)),"")</f>
        <v/>
      </c>
      <c r="D502" s="68"/>
      <c r="E502" s="70">
        <v>158</v>
      </c>
      <c r="F502" s="71">
        <v>84</v>
      </c>
      <c r="G502" s="101" t="str">
        <f>INDEX(Tableau8[Att1],MATCH(Tableau3[[#This Row],[ID-INS]],Tableau8[ID],0))&amp;""</f>
        <v>V2</v>
      </c>
      <c r="H502" s="140" t="str">
        <f>INDEX(Tableau8[Att2],MATCH(Tableau3[[#This Row],[ID-INS]],Tableau8[ID],0))&amp;""</f>
        <v>B22</v>
      </c>
      <c r="I502" s="101" t="str">
        <f>INDEX(Tableau8[Att3],MATCH(Tableau3[[#This Row],[ID-INS]],Tableau8[ID],0))&amp;""</f>
        <v>Boucle B22</v>
      </c>
      <c r="J502" s="101"/>
      <c r="K502" s="167" t="str">
        <f>INDEX(Tableau8[Nom du modele],MATCH(Tableau3[[#This Row],[ID-INS]],Tableau8[ID],0))&amp;""</f>
        <v>Boucle</v>
      </c>
      <c r="L502" s="99" t="str">
        <f>INDEX(Tableau5[Att1],MATCH(Tableau3[[#This Row],[ID-SIG]],Tableau5[ID],0))&amp;""</f>
        <v>Def</v>
      </c>
      <c r="M502" s="99" t="str">
        <f>INDEX(Tableau5[Att2],MATCH(Tableau3[[#This Row],[ID-SIG]],Tableau5[ID],0))&amp;""</f>
        <v/>
      </c>
      <c r="N502" s="99" t="str">
        <f>INDEX(Tableau5[Att3],MATCH(Tableau3[[#This Row],[ID-SIG]],Tableau5[ID],0))&amp;""</f>
        <v/>
      </c>
      <c r="O502" s="99"/>
      <c r="P502" s="141" t="str">
        <f>INDEX(Tableau5[Description],MATCH(Tableau3[[#This Row],[ID-SIG]],Tableau5[ID],0))</f>
        <v>Défaut</v>
      </c>
      <c r="Q502" s="99"/>
      <c r="R502" s="103" t="str">
        <f>Tableau3[[#This Row],[Description]]</f>
        <v>Défaut</v>
      </c>
      <c r="U502" s="87">
        <v>3</v>
      </c>
      <c r="V502" s="87">
        <v>2</v>
      </c>
      <c r="W502" s="87">
        <v>4</v>
      </c>
      <c r="X502" s="87">
        <v>4</v>
      </c>
      <c r="Y502" s="40"/>
      <c r="Z502" s="165" t="str">
        <f>INDEX(Tableau2[TS],MATCH(Tableau3[[#This Row],[ID-CARTEVOIE]],Tableau2[ID-CARTEVOIE],0))</f>
        <v>ET</v>
      </c>
      <c r="AA502" s="53" t="s">
        <v>213</v>
      </c>
      <c r="AB502" s="223" t="str">
        <f>IFERROR(INDEX(Tableau5[Reserve],MATCH(Tableau3[[#This Row],[ID-SIG]],Tableau5[ID],0))&amp;"","")</f>
        <v/>
      </c>
      <c r="AC502" s="21"/>
      <c r="AD502" s="108" t="str">
        <f>INDEX(Tableau7[Repere],MATCH(Tableau3[[#This Row],[ID-API]],Tableau7[ID-API],0))&amp;""</f>
        <v>A3</v>
      </c>
      <c r="AE502" s="108" t="str">
        <f>INDEX(Tableau1[Repere-Rack],MATCH(Tableau3[[#This Row],[ID-RACK]],Tableau1[ID-RACK],0))&amp;""</f>
        <v>R2</v>
      </c>
      <c r="AF502" s="108" t="str">
        <f>INDEX(Tableau1[Repere-Slot],MATCH(Tableau3[[#This Row],[ID-SLOT]],Tableau1[ID-SLOT],0))&amp;""</f>
        <v>S4</v>
      </c>
      <c r="AG502" s="108" t="str">
        <f>INDEX(Tableau2[Repere-Voie],MATCH(Tableau3[[#This Row],[ID-VOIE]],Tableau2[ID-Voie],0))&amp;""</f>
        <v>v4</v>
      </c>
      <c r="AH502" s="72" t="str">
        <f>Tableau3[[#This Row],[ID-API]]&amp; "." &amp;Tableau3[[#This Row],[ID-RACK]]&amp; "." &amp;Tableau3[[#This Row],[ID-SLOT]]</f>
        <v>3.2.4</v>
      </c>
      <c r="AI502" s="72" t="str">
        <f>INDEX(Tableau1[Ref-Carte],MATCH(Tableau3[[#This Row],[ID-RRS]],Tableau1[ID-RRS],0))</f>
        <v>SDI1602</v>
      </c>
      <c r="AJ502" s="72" t="str">
        <f t="array" ref="AJ502">IFERROR(INDEX(Tableau2[TS],MATCH(1,(Tableau2[Ref-Carte]=Tableau3[[#This Row],[Ref-Carte2]])*(Tableau2[ID-Voie]=Tableau3[[#This Row],[ID-VOIE]]),0)),"")</f>
        <v>ET</v>
      </c>
      <c r="AK502" s="72" t="str">
        <f>IFERROR(INDEX(Tableau2[TS],SUMPRODUCT((Tableau2[Ref-Carte]=Tableau3[[#This Row],[Ref-Carte2]])*(Tableau2[ID-Voie]=Tableau3[[#This Row],[ID-VOIE]])*ROW(Tableau2[TS]))-ROW(Tableau2[#Headers])),"")</f>
        <v>ET</v>
      </c>
      <c r="AL502" s="72" t="str">
        <f>Tableau3[[#This Row],[Ref-Carte2]]&amp;"/"&amp;Tableau3[[#This Row],[ID-VOIE]]</f>
        <v>SDI1602/4</v>
      </c>
      <c r="AM502" s="73" t="str">
        <f>INDEX(Tableau2[Borne],MATCH(Tableau3[[#This Row],[ID-CARTEVOIE]],Tableau2[ID-CARTEVOIE],0))&amp;""</f>
        <v>2B</v>
      </c>
      <c r="AN502" s="74" t="str">
        <f>Tableau3[[#This Row],[ID-API]]&amp;Tableau3[[#This Row],[ID-RACK]]&amp;Tableau3[[#This Row],[ID-SLOT]]&amp;Tableau3[[#This Row],[BORNE]]</f>
        <v>3242B</v>
      </c>
      <c r="AO502" s="1"/>
    </row>
    <row r="503" spans="1:41" ht="20.100000000000001" customHeight="1" thickTop="1" thickBot="1">
      <c r="A503" s="68"/>
      <c r="B503" s="69" t="str">
        <f>IFERROR(INDEX(Tableau4[Date],MATCH($A503,Tableau4[EVO],0)),"")</f>
        <v/>
      </c>
      <c r="C503" s="68" t="str">
        <f>IFERROR(INDEX(Tableau4[Designation],MATCH($A503,Tableau4[EVO],0)),"")</f>
        <v/>
      </c>
      <c r="D503" s="68"/>
      <c r="E503" s="70">
        <v>158</v>
      </c>
      <c r="F503" s="71">
        <v>85</v>
      </c>
      <c r="G503" s="101" t="str">
        <f>INDEX(Tableau8[Att1],MATCH(Tableau3[[#This Row],[ID-INS]],Tableau8[ID],0))&amp;""</f>
        <v>V2</v>
      </c>
      <c r="H503" s="101" t="str">
        <f>INDEX(Tableau8[Att2],MATCH(Tableau3[[#This Row],[ID-INS]],Tableau8[ID],0))&amp;""</f>
        <v>B22</v>
      </c>
      <c r="I503" s="101" t="str">
        <f>INDEX(Tableau8[Att3],MATCH(Tableau3[[#This Row],[ID-INS]],Tableau8[ID],0))&amp;""</f>
        <v>Boucle B22</v>
      </c>
      <c r="J503" s="101"/>
      <c r="K503" s="167" t="str">
        <f>INDEX(Tableau8[Nom du modele],MATCH(Tableau3[[#This Row],[ID-INS]],Tableau8[ID],0))&amp;""</f>
        <v>Boucle</v>
      </c>
      <c r="L503" s="99" t="str">
        <f>INDEX(Tableau5[Att1],MATCH(Tableau3[[#This Row],[ID-SIG]],Tableau5[ID],0))&amp;""</f>
        <v>Pres</v>
      </c>
      <c r="M503" s="99" t="str">
        <f>INDEX(Tableau5[Att2],MATCH(Tableau3[[#This Row],[ID-SIG]],Tableau5[ID],0))&amp;""</f>
        <v/>
      </c>
      <c r="N503" s="99" t="str">
        <f>INDEX(Tableau5[Att3],MATCH(Tableau3[[#This Row],[ID-SIG]],Tableau5[ID],0))&amp;""</f>
        <v/>
      </c>
      <c r="O503" s="99"/>
      <c r="P503" s="99" t="str">
        <f>INDEX(Tableau5[Description],MATCH(Tableau3[[#This Row],[ID-SIG]],Tableau5[ID],0))</f>
        <v>Présence</v>
      </c>
      <c r="Q503" s="99"/>
      <c r="R503" s="103" t="str">
        <f>Tableau3[[#This Row],[Description]]</f>
        <v>Présence</v>
      </c>
      <c r="U503" s="87">
        <v>3</v>
      </c>
      <c r="V503" s="87">
        <v>2</v>
      </c>
      <c r="W503" s="87">
        <v>4</v>
      </c>
      <c r="X503" s="87">
        <v>5</v>
      </c>
      <c r="Y503" s="40"/>
      <c r="Z503" s="165" t="str">
        <f>INDEX(Tableau2[TS],MATCH(Tableau3[[#This Row],[ID-CARTEVOIE]],Tableau2[ID-CARTEVOIE],0))</f>
        <v>ET</v>
      </c>
      <c r="AA503" s="53" t="s">
        <v>213</v>
      </c>
      <c r="AB503" s="223" t="str">
        <f>IFERROR(INDEX(Tableau5[Reserve],MATCH(Tableau3[[#This Row],[ID-SIG]],Tableau5[ID],0))&amp;"","")</f>
        <v/>
      </c>
      <c r="AC503" s="21"/>
      <c r="AD503" s="108" t="str">
        <f>INDEX(Tableau7[Repere],MATCH(Tableau3[[#This Row],[ID-API]],Tableau7[ID-API],0))&amp;""</f>
        <v>A3</v>
      </c>
      <c r="AE503" s="108" t="str">
        <f>INDEX(Tableau1[Repere-Rack],MATCH(Tableau3[[#This Row],[ID-RACK]],Tableau1[ID-RACK],0))&amp;""</f>
        <v>R2</v>
      </c>
      <c r="AF503" s="108" t="str">
        <f>INDEX(Tableau1[Repere-Slot],MATCH(Tableau3[[#This Row],[ID-SLOT]],Tableau1[ID-SLOT],0))&amp;""</f>
        <v>S4</v>
      </c>
      <c r="AG503" s="108" t="str">
        <f>INDEX(Tableau2[Repere-Voie],MATCH(Tableau3[[#This Row],[ID-VOIE]],Tableau2[ID-Voie],0))&amp;""</f>
        <v>v5</v>
      </c>
      <c r="AH503" s="72" t="str">
        <f>Tableau3[[#This Row],[ID-API]]&amp; "." &amp;Tableau3[[#This Row],[ID-RACK]]&amp; "." &amp;Tableau3[[#This Row],[ID-SLOT]]</f>
        <v>3.2.4</v>
      </c>
      <c r="AI503" s="72" t="str">
        <f>INDEX(Tableau1[Ref-Carte],MATCH(Tableau3[[#This Row],[ID-RRS]],Tableau1[ID-RRS],0))</f>
        <v>SDI1602</v>
      </c>
      <c r="AJ503" s="72" t="str">
        <f t="array" ref="AJ503">IFERROR(INDEX(Tableau2[TS],MATCH(1,(Tableau2[Ref-Carte]=Tableau3[[#This Row],[Ref-Carte2]])*(Tableau2[ID-Voie]=Tableau3[[#This Row],[ID-VOIE]]),0)),"")</f>
        <v>ET</v>
      </c>
      <c r="AK503" s="72" t="str">
        <f>IFERROR(INDEX(Tableau2[TS],SUMPRODUCT((Tableau2[Ref-Carte]=Tableau3[[#This Row],[Ref-Carte2]])*(Tableau2[ID-Voie]=Tableau3[[#This Row],[ID-VOIE]])*ROW(Tableau2[TS]))-ROW(Tableau2[#Headers])),"")</f>
        <v>ET</v>
      </c>
      <c r="AL503" s="72" t="str">
        <f>Tableau3[[#This Row],[Ref-Carte2]]&amp;"/"&amp;Tableau3[[#This Row],[ID-VOIE]]</f>
        <v>SDI1602/5</v>
      </c>
      <c r="AM503" s="73" t="str">
        <f>INDEX(Tableau2[Borne],MATCH(Tableau3[[#This Row],[ID-CARTEVOIE]],Tableau2[ID-CARTEVOIE],0))&amp;""</f>
        <v>2A</v>
      </c>
      <c r="AN503" s="74" t="str">
        <f>Tableau3[[#This Row],[ID-API]]&amp;Tableau3[[#This Row],[ID-RACK]]&amp;Tableau3[[#This Row],[ID-SLOT]]&amp;Tableau3[[#This Row],[BORNE]]</f>
        <v>3242A</v>
      </c>
      <c r="AO503" s="1"/>
    </row>
    <row r="504" spans="1:41" ht="20.100000000000001" customHeight="1" thickTop="1" thickBot="1">
      <c r="A504" s="134"/>
      <c r="B504" s="135" t="str">
        <f>IFERROR(INDEX(Tableau4[Date],MATCH($A504,Tableau4[EVO],0)),"")</f>
        <v/>
      </c>
      <c r="C504" s="136" t="str">
        <f>IFERROR(INDEX(Tableau4[Designation],MATCH($A504,Tableau4[EVO],0)),"")</f>
        <v/>
      </c>
      <c r="D504" s="134"/>
      <c r="E504" s="137">
        <v>163</v>
      </c>
      <c r="F504" s="138">
        <v>84</v>
      </c>
      <c r="G504" s="139" t="str">
        <f>INDEX(Tableau8[Att1],MATCH(Tableau3[[#This Row],[ID-INS]],Tableau8[ID],0))&amp;""</f>
        <v>V2</v>
      </c>
      <c r="H504" s="140" t="str">
        <f>INDEX(Tableau8[Att2],MATCH(Tableau3[[#This Row],[ID-INS]],Tableau8[ID],0))&amp;""</f>
        <v>B27</v>
      </c>
      <c r="I504" s="139" t="str">
        <f>INDEX(Tableau8[Att3],MATCH(Tableau3[[#This Row],[ID-INS]],Tableau8[ID],0))&amp;""</f>
        <v>Boucle B27</v>
      </c>
      <c r="J504" s="101"/>
      <c r="K504" s="167" t="str">
        <f>INDEX(Tableau8[Nom du modele],MATCH(Tableau3[[#This Row],[ID-INS]],Tableau8[ID],0))&amp;""</f>
        <v>Boucle</v>
      </c>
      <c r="L504" s="141" t="str">
        <f>INDEX(Tableau5[Att1],MATCH(Tableau3[[#This Row],[ID-SIG]],Tableau5[ID],0))&amp;""</f>
        <v>Def</v>
      </c>
      <c r="M504" s="141" t="str">
        <f>INDEX(Tableau5[Att2],MATCH(Tableau3[[#This Row],[ID-SIG]],Tableau5[ID],0))&amp;""</f>
        <v/>
      </c>
      <c r="N504" s="141" t="str">
        <f>INDEX(Tableau5[Att3],MATCH(Tableau3[[#This Row],[ID-SIG]],Tableau5[ID],0))&amp;""</f>
        <v/>
      </c>
      <c r="O504" s="99"/>
      <c r="P504" s="141" t="str">
        <f>INDEX(Tableau5[Description],MATCH(Tableau3[[#This Row],[ID-SIG]],Tableau5[ID],0))</f>
        <v>Défaut</v>
      </c>
      <c r="Q504" s="99"/>
      <c r="R504" s="142" t="str">
        <f>Tableau3[[#This Row],[Description]]</f>
        <v>Défaut</v>
      </c>
      <c r="U504" s="87">
        <v>3</v>
      </c>
      <c r="V504" s="87">
        <v>2</v>
      </c>
      <c r="W504" s="87">
        <v>4</v>
      </c>
      <c r="X504" s="87">
        <v>6</v>
      </c>
      <c r="Y504" s="40"/>
      <c r="Z504" s="165" t="str">
        <f>INDEX(Tableau2[TS],MATCH(Tableau3[[#This Row],[ID-CARTEVOIE]],Tableau2[ID-CARTEVOIE],0))</f>
        <v>ET</v>
      </c>
      <c r="AA504" s="144" t="s">
        <v>213</v>
      </c>
      <c r="AB504" s="224" t="str">
        <f>IFERROR(INDEX(Tableau5[Reserve],MATCH(Tableau3[[#This Row],[ID-SIG]],Tableau5[ID],0))&amp;"","")</f>
        <v/>
      </c>
      <c r="AC504" s="119"/>
      <c r="AD504" s="120" t="str">
        <f>INDEX(Tableau7[Repere],MATCH(Tableau3[[#This Row],[ID-API]],Tableau7[ID-API],0))&amp;""</f>
        <v>A3</v>
      </c>
      <c r="AE504" s="120" t="str">
        <f>INDEX(Tableau1[Repere-Rack],MATCH(Tableau3[[#This Row],[ID-RACK]],Tableau1[ID-RACK],0))&amp;""</f>
        <v>R2</v>
      </c>
      <c r="AF504" s="120" t="str">
        <f>INDEX(Tableau1[Repere-Slot],MATCH(Tableau3[[#This Row],[ID-SLOT]],Tableau1[ID-SLOT],0))&amp;""</f>
        <v>S4</v>
      </c>
      <c r="AG504" s="120" t="str">
        <f>INDEX(Tableau2[Repere-Voie],MATCH(Tableau3[[#This Row],[ID-VOIE]],Tableau2[ID-Voie],0))&amp;""</f>
        <v>v6</v>
      </c>
      <c r="AH504" s="122" t="str">
        <f>Tableau3[[#This Row],[ID-API]]&amp; "." &amp;Tableau3[[#This Row],[ID-RACK]]&amp; "." &amp;Tableau3[[#This Row],[ID-SLOT]]</f>
        <v>3.2.4</v>
      </c>
      <c r="AI504" s="72" t="str">
        <f>INDEX(Tableau1[Ref-Carte],MATCH(Tableau3[[#This Row],[ID-RRS]],Tableau1[ID-RRS],0))</f>
        <v>SDI1602</v>
      </c>
      <c r="AJ504" s="72" t="str">
        <f t="array" ref="AJ504">IFERROR(INDEX(Tableau2[TS],MATCH(1,(Tableau2[Ref-Carte]=Tableau3[[#This Row],[Ref-Carte2]])*(Tableau2[ID-Voie]=Tableau3[[#This Row],[ID-VOIE]]),0)),"")</f>
        <v>ET</v>
      </c>
      <c r="AK504" s="72" t="str">
        <f>IFERROR(INDEX(Tableau2[TS],SUMPRODUCT((Tableau2[Ref-Carte]=Tableau3[[#This Row],[Ref-Carte2]])*(Tableau2[ID-Voie]=Tableau3[[#This Row],[ID-VOIE]])*ROW(Tableau2[TS]))-ROW(Tableau2[#Headers])),"")</f>
        <v>ET</v>
      </c>
      <c r="AL504" s="122" t="str">
        <f>Tableau3[[#This Row],[Ref-Carte2]]&amp;"/"&amp;Tableau3[[#This Row],[ID-VOIE]]</f>
        <v>SDI1602/6</v>
      </c>
      <c r="AM504" s="145" t="str">
        <f>INDEX(Tableau2[Borne],MATCH(Tableau3[[#This Row],[ID-CARTEVOIE]],Tableau2[ID-CARTEVOIE],0))&amp;""</f>
        <v>3B</v>
      </c>
      <c r="AN504" s="124" t="str">
        <f>Tableau3[[#This Row],[ID-API]]&amp;Tableau3[[#This Row],[ID-RACK]]&amp;Tableau3[[#This Row],[ID-SLOT]]&amp;Tableau3[[#This Row],[BORNE]]</f>
        <v>3243B</v>
      </c>
      <c r="AO504" s="125"/>
    </row>
    <row r="505" spans="1:41" ht="20.100000000000001" customHeight="1" thickTop="1" thickBot="1">
      <c r="A505" s="110"/>
      <c r="B505" s="111" t="str">
        <f>IFERROR(INDEX(Tableau4[Date],MATCH($A505,Tableau4[EVO],0)),"")</f>
        <v/>
      </c>
      <c r="C505" s="112" t="str">
        <f>IFERROR(INDEX(Tableau4[Designation],MATCH($A505,Tableau4[EVO],0)),"")</f>
        <v/>
      </c>
      <c r="D505" s="110"/>
      <c r="E505" s="113">
        <v>163</v>
      </c>
      <c r="F505" s="114">
        <v>85</v>
      </c>
      <c r="G505" s="115" t="str">
        <f>INDEX(Tableau8[Att1],MATCH(Tableau3[[#This Row],[ID-INS]],Tableau8[ID],0))&amp;""</f>
        <v>V2</v>
      </c>
      <c r="H505" s="115" t="str">
        <f>INDEX(Tableau8[Att2],MATCH(Tableau3[[#This Row],[ID-INS]],Tableau8[ID],0))&amp;""</f>
        <v>B27</v>
      </c>
      <c r="I505" s="115" t="str">
        <f>INDEX(Tableau8[Att3],MATCH(Tableau3[[#This Row],[ID-INS]],Tableau8[ID],0))&amp;""</f>
        <v>Boucle B27</v>
      </c>
      <c r="J505" s="102"/>
      <c r="K505" s="167" t="str">
        <f>INDEX(Tableau8[Nom du modele],MATCH(Tableau3[[#This Row],[ID-INS]],Tableau8[ID],0))&amp;""</f>
        <v>Boucle</v>
      </c>
      <c r="L505" s="116" t="str">
        <f>INDEX(Tableau5[Att1],MATCH(Tableau3[[#This Row],[ID-SIG]],Tableau5[ID],0))&amp;""</f>
        <v>Pres</v>
      </c>
      <c r="M505" s="116" t="str">
        <f>INDEX(Tableau5[Att2],MATCH(Tableau3[[#This Row],[ID-SIG]],Tableau5[ID],0))&amp;""</f>
        <v/>
      </c>
      <c r="N505" s="116" t="str">
        <f>INDEX(Tableau5[Att3],MATCH(Tableau3[[#This Row],[ID-SIG]],Tableau5[ID],0))&amp;""</f>
        <v/>
      </c>
      <c r="O505" s="100"/>
      <c r="P505" s="116" t="str">
        <f>INDEX(Tableau5[Description],MATCH(Tableau3[[#This Row],[ID-SIG]],Tableau5[ID],0))</f>
        <v>Présence</v>
      </c>
      <c r="Q505" s="100"/>
      <c r="R505" s="117" t="str">
        <f>Tableau3[[#This Row],[Description]]</f>
        <v>Présence</v>
      </c>
      <c r="U505" s="88">
        <v>3</v>
      </c>
      <c r="V505" s="88">
        <v>2</v>
      </c>
      <c r="W505" s="88">
        <v>4</v>
      </c>
      <c r="X505" s="88">
        <v>7</v>
      </c>
      <c r="Y505" s="40"/>
      <c r="Z505" s="166" t="str">
        <f>INDEX(Tableau2[TS],MATCH(Tableau3[[#This Row],[ID-CARTEVOIE]],Tableau2[ID-CARTEVOIE],0))</f>
        <v>ET</v>
      </c>
      <c r="AA505" s="118" t="s">
        <v>213</v>
      </c>
      <c r="AB505" s="225" t="str">
        <f>IFERROR(INDEX(Tableau5[Reserve],MATCH(Tableau3[[#This Row],[ID-SIG]],Tableau5[ID],0))&amp;"","")</f>
        <v/>
      </c>
      <c r="AC505" s="119"/>
      <c r="AD505" s="120" t="str">
        <f>INDEX(Tableau7[Repere],MATCH(Tableau3[[#This Row],[ID-API]],Tableau7[ID-API],0))&amp;""</f>
        <v>A3</v>
      </c>
      <c r="AE505" s="121" t="str">
        <f>INDEX(Tableau1[Repere-Rack],MATCH(Tableau3[[#This Row],[ID-RACK]],Tableau1[ID-RACK],0))&amp;""</f>
        <v>R2</v>
      </c>
      <c r="AF505" s="121" t="str">
        <f>INDEX(Tableau1[Repere-Slot],MATCH(Tableau3[[#This Row],[ID-SLOT]],Tableau1[ID-SLOT],0))&amp;""</f>
        <v>S4</v>
      </c>
      <c r="AG505" s="121" t="str">
        <f>INDEX(Tableau2[Repere-Voie],MATCH(Tableau3[[#This Row],[ID-VOIE]],Tableau2[ID-Voie],0))&amp;""</f>
        <v>v7</v>
      </c>
      <c r="AH505" s="122" t="str">
        <f>Tableau3[[#This Row],[ID-API]]&amp; "." &amp;Tableau3[[#This Row],[ID-RACK]]&amp; "." &amp;Tableau3[[#This Row],[ID-SLOT]]</f>
        <v>3.2.4</v>
      </c>
      <c r="AI505" s="72" t="str">
        <f>INDEX(Tableau1[Ref-Carte],MATCH(Tableau3[[#This Row],[ID-RRS]],Tableau1[ID-RRS],0))</f>
        <v>SDI1602</v>
      </c>
      <c r="AJ505" s="72" t="str">
        <f t="array" ref="AJ505">IFERROR(INDEX(Tableau2[TS],MATCH(1,(Tableau2[Ref-Carte]=Tableau3[[#This Row],[Ref-Carte2]])*(Tableau2[ID-Voie]=Tableau3[[#This Row],[ID-VOIE]]),0)),"")</f>
        <v>ET</v>
      </c>
      <c r="AK505" s="72" t="str">
        <f>IFERROR(INDEX(Tableau2[TS],SUMPRODUCT((Tableau2[Ref-Carte]=Tableau3[[#This Row],[Ref-Carte2]])*(Tableau2[ID-Voie]=Tableau3[[#This Row],[ID-VOIE]])*ROW(Tableau2[TS]))-ROW(Tableau2[#Headers])),"")</f>
        <v>ET</v>
      </c>
      <c r="AL505" s="122" t="str">
        <f>Tableau3[[#This Row],[Ref-Carte2]]&amp;"/"&amp;Tableau3[[#This Row],[ID-VOIE]]</f>
        <v>SDI1602/7</v>
      </c>
      <c r="AM505" s="123" t="str">
        <f>INDEX(Tableau2[Borne],MATCH(Tableau3[[#This Row],[ID-CARTEVOIE]],Tableau2[ID-CARTEVOIE],0))&amp;""</f>
        <v>3A</v>
      </c>
      <c r="AN505" s="124" t="str">
        <f>Tableau3[[#This Row],[ID-API]]&amp;Tableau3[[#This Row],[ID-RACK]]&amp;Tableau3[[#This Row],[ID-SLOT]]&amp;Tableau3[[#This Row],[BORNE]]</f>
        <v>3243A</v>
      </c>
      <c r="AO505" s="125"/>
    </row>
    <row r="506" spans="1:41" ht="20.100000000000001" customHeight="1" thickTop="1" thickBot="1">
      <c r="A506" s="134"/>
      <c r="B506" s="135" t="str">
        <f>IFERROR(INDEX(Tableau4[Date],MATCH($A506,Tableau4[EVO],0)),"")</f>
        <v/>
      </c>
      <c r="C506" s="136" t="str">
        <f>IFERROR(INDEX(Tableau4[Designation],MATCH($A506,Tableau4[EVO],0)),"")</f>
        <v/>
      </c>
      <c r="D506" s="134"/>
      <c r="E506" s="137">
        <v>168</v>
      </c>
      <c r="F506" s="138">
        <v>84</v>
      </c>
      <c r="G506" s="139" t="str">
        <f>INDEX(Tableau8[Att1],MATCH(Tableau3[[#This Row],[ID-INS]],Tableau8[ID],0))&amp;""</f>
        <v>V2</v>
      </c>
      <c r="H506" s="139" t="str">
        <f>INDEX(Tableau8[Att2],MATCH(Tableau3[[#This Row],[ID-INS]],Tableau8[ID],0))&amp;""</f>
        <v>B32</v>
      </c>
      <c r="I506" s="139" t="str">
        <f>INDEX(Tableau8[Att3],MATCH(Tableau3[[#This Row],[ID-INS]],Tableau8[ID],0))&amp;""</f>
        <v>Boucle B32</v>
      </c>
      <c r="J506" s="101"/>
      <c r="K506" s="167" t="str">
        <f>INDEX(Tableau8[Nom du modele],MATCH(Tableau3[[#This Row],[ID-INS]],Tableau8[ID],0))&amp;""</f>
        <v>Boucle</v>
      </c>
      <c r="L506" s="141" t="str">
        <f>INDEX(Tableau5[Att1],MATCH(Tableau3[[#This Row],[ID-SIG]],Tableau5[ID],0))&amp;""</f>
        <v>Def</v>
      </c>
      <c r="M506" s="141" t="str">
        <f>INDEX(Tableau5[Att2],MATCH(Tableau3[[#This Row],[ID-SIG]],Tableau5[ID],0))&amp;""</f>
        <v/>
      </c>
      <c r="N506" s="141" t="str">
        <f>INDEX(Tableau5[Att3],MATCH(Tableau3[[#This Row],[ID-SIG]],Tableau5[ID],0))&amp;""</f>
        <v/>
      </c>
      <c r="O506" s="99"/>
      <c r="P506" s="141" t="str">
        <f>INDEX(Tableau5[Description],MATCH(Tableau3[[#This Row],[ID-SIG]],Tableau5[ID],0))</f>
        <v>Défaut</v>
      </c>
      <c r="Q506" s="99"/>
      <c r="R506" s="142" t="str">
        <f>Tableau3[[#This Row],[Description]]</f>
        <v>Défaut</v>
      </c>
      <c r="U506" s="87">
        <v>3</v>
      </c>
      <c r="V506" s="87">
        <v>2</v>
      </c>
      <c r="W506" s="87">
        <v>4</v>
      </c>
      <c r="X506" s="87">
        <v>8</v>
      </c>
      <c r="Y506" s="40"/>
      <c r="Z506" s="165" t="str">
        <f>INDEX(Tableau2[TS],MATCH(Tableau3[[#This Row],[ID-CARTEVOIE]],Tableau2[ID-CARTEVOIE],0))</f>
        <v>ET</v>
      </c>
      <c r="AA506" s="144" t="s">
        <v>213</v>
      </c>
      <c r="AB506" s="224" t="str">
        <f>IFERROR(INDEX(Tableau5[Reserve],MATCH(Tableau3[[#This Row],[ID-SIG]],Tableau5[ID],0))&amp;"","")</f>
        <v/>
      </c>
      <c r="AC506" s="119"/>
      <c r="AD506" s="120" t="str">
        <f>INDEX(Tableau7[Repere],MATCH(Tableau3[[#This Row],[ID-API]],Tableau7[ID-API],0))&amp;""</f>
        <v>A3</v>
      </c>
      <c r="AE506" s="120" t="str">
        <f>INDEX(Tableau1[Repere-Rack],MATCH(Tableau3[[#This Row],[ID-RACK]],Tableau1[ID-RACK],0))&amp;""</f>
        <v>R2</v>
      </c>
      <c r="AF506" s="120" t="str">
        <f>INDEX(Tableau1[Repere-Slot],MATCH(Tableau3[[#This Row],[ID-SLOT]],Tableau1[ID-SLOT],0))&amp;""</f>
        <v>S4</v>
      </c>
      <c r="AG506" s="120" t="str">
        <f>INDEX(Tableau2[Repere-Voie],MATCH(Tableau3[[#This Row],[ID-VOIE]],Tableau2[ID-Voie],0))&amp;""</f>
        <v>v8</v>
      </c>
      <c r="AH506" s="122" t="str">
        <f>Tableau3[[#This Row],[ID-API]]&amp; "." &amp;Tableau3[[#This Row],[ID-RACK]]&amp; "." &amp;Tableau3[[#This Row],[ID-SLOT]]</f>
        <v>3.2.4</v>
      </c>
      <c r="AI506" s="72" t="str">
        <f>INDEX(Tableau1[Ref-Carte],MATCH(Tableau3[[#This Row],[ID-RRS]],Tableau1[ID-RRS],0))</f>
        <v>SDI1602</v>
      </c>
      <c r="AJ506" s="72" t="str">
        <f t="array" ref="AJ506">IFERROR(INDEX(Tableau2[TS],MATCH(1,(Tableau2[Ref-Carte]=Tableau3[[#This Row],[Ref-Carte2]])*(Tableau2[ID-Voie]=Tableau3[[#This Row],[ID-VOIE]]),0)),"")</f>
        <v>ET</v>
      </c>
      <c r="AK506" s="72" t="str">
        <f>IFERROR(INDEX(Tableau2[TS],SUMPRODUCT((Tableau2[Ref-Carte]=Tableau3[[#This Row],[Ref-Carte2]])*(Tableau2[ID-Voie]=Tableau3[[#This Row],[ID-VOIE]])*ROW(Tableau2[TS]))-ROW(Tableau2[#Headers])),"")</f>
        <v>ET</v>
      </c>
      <c r="AL506" s="122" t="str">
        <f>Tableau3[[#This Row],[Ref-Carte2]]&amp;"/"&amp;Tableau3[[#This Row],[ID-VOIE]]</f>
        <v>SDI1602/8</v>
      </c>
      <c r="AM506" s="145" t="str">
        <f>INDEX(Tableau2[Borne],MATCH(Tableau3[[#This Row],[ID-CARTEVOIE]],Tableau2[ID-CARTEVOIE],0))&amp;""</f>
        <v>4B</v>
      </c>
      <c r="AN506" s="124" t="str">
        <f>Tableau3[[#This Row],[ID-API]]&amp;Tableau3[[#This Row],[ID-RACK]]&amp;Tableau3[[#This Row],[ID-SLOT]]&amp;Tableau3[[#This Row],[BORNE]]</f>
        <v>3244B</v>
      </c>
      <c r="AO506" s="125"/>
    </row>
    <row r="507" spans="1:41" ht="20.100000000000001" customHeight="1" thickTop="1" thickBot="1">
      <c r="A507" s="68"/>
      <c r="B507" s="69" t="str">
        <f>IFERROR(INDEX(Tableau4[Date],MATCH($A507,Tableau4[EVO],0)),"")</f>
        <v/>
      </c>
      <c r="C507" s="68" t="str">
        <f>IFERROR(INDEX(Tableau4[Designation],MATCH($A507,Tableau4[EVO],0)),"")</f>
        <v/>
      </c>
      <c r="D507" s="68"/>
      <c r="E507" s="70">
        <v>168</v>
      </c>
      <c r="F507" s="71">
        <v>85</v>
      </c>
      <c r="G507" s="101" t="str">
        <f>INDEX(Tableau8[Att1],MATCH(Tableau3[[#This Row],[ID-INS]],Tableau8[ID],0))&amp;""</f>
        <v>V2</v>
      </c>
      <c r="H507" s="101" t="str">
        <f>INDEX(Tableau8[Att2],MATCH(Tableau3[[#This Row],[ID-INS]],Tableau8[ID],0))&amp;""</f>
        <v>B32</v>
      </c>
      <c r="I507" s="101" t="str">
        <f>INDEX(Tableau8[Att3],MATCH(Tableau3[[#This Row],[ID-INS]],Tableau8[ID],0))&amp;""</f>
        <v>Boucle B32</v>
      </c>
      <c r="J507" s="101"/>
      <c r="K507" s="167" t="str">
        <f>INDEX(Tableau8[Nom du modele],MATCH(Tableau3[[#This Row],[ID-INS]],Tableau8[ID],0))&amp;""</f>
        <v>Boucle</v>
      </c>
      <c r="L507" s="99" t="str">
        <f>INDEX(Tableau5[Att1],MATCH(Tableau3[[#This Row],[ID-SIG]],Tableau5[ID],0))&amp;""</f>
        <v>Pres</v>
      </c>
      <c r="M507" s="99" t="str">
        <f>INDEX(Tableau5[Att2],MATCH(Tableau3[[#This Row],[ID-SIG]],Tableau5[ID],0))&amp;""</f>
        <v/>
      </c>
      <c r="N507" s="99" t="str">
        <f>INDEX(Tableau5[Att3],MATCH(Tableau3[[#This Row],[ID-SIG]],Tableau5[ID],0))&amp;""</f>
        <v/>
      </c>
      <c r="O507" s="99"/>
      <c r="P507" s="99" t="str">
        <f>INDEX(Tableau5[Description],MATCH(Tableau3[[#This Row],[ID-SIG]],Tableau5[ID],0))</f>
        <v>Présence</v>
      </c>
      <c r="Q507" s="99"/>
      <c r="R507" s="103" t="str">
        <f>Tableau3[[#This Row],[Description]]</f>
        <v>Présence</v>
      </c>
      <c r="U507" s="87">
        <v>3</v>
      </c>
      <c r="V507" s="87">
        <v>2</v>
      </c>
      <c r="W507" s="87">
        <v>4</v>
      </c>
      <c r="X507" s="87">
        <v>9</v>
      </c>
      <c r="Y507" s="40"/>
      <c r="Z507" s="165" t="str">
        <f>INDEX(Tableau2[TS],MATCH(Tableau3[[#This Row],[ID-CARTEVOIE]],Tableau2[ID-CARTEVOIE],0))</f>
        <v>ET</v>
      </c>
      <c r="AA507" s="53" t="s">
        <v>213</v>
      </c>
      <c r="AB507" s="223" t="str">
        <f>IFERROR(INDEX(Tableau5[Reserve],MATCH(Tableau3[[#This Row],[ID-SIG]],Tableau5[ID],0))&amp;"","")</f>
        <v/>
      </c>
      <c r="AC507" s="21"/>
      <c r="AD507" s="108" t="str">
        <f>INDEX(Tableau7[Repere],MATCH(Tableau3[[#This Row],[ID-API]],Tableau7[ID-API],0))&amp;""</f>
        <v>A3</v>
      </c>
      <c r="AE507" s="108" t="str">
        <f>INDEX(Tableau1[Repere-Rack],MATCH(Tableau3[[#This Row],[ID-RACK]],Tableau1[ID-RACK],0))&amp;""</f>
        <v>R2</v>
      </c>
      <c r="AF507" s="108" t="str">
        <f>INDEX(Tableau1[Repere-Slot],MATCH(Tableau3[[#This Row],[ID-SLOT]],Tableau1[ID-SLOT],0))&amp;""</f>
        <v>S4</v>
      </c>
      <c r="AG507" s="108" t="str">
        <f>INDEX(Tableau2[Repere-Voie],MATCH(Tableau3[[#This Row],[ID-VOIE]],Tableau2[ID-Voie],0))&amp;""</f>
        <v>v9</v>
      </c>
      <c r="AH507" s="72" t="str">
        <f>Tableau3[[#This Row],[ID-API]]&amp; "." &amp;Tableau3[[#This Row],[ID-RACK]]&amp; "." &amp;Tableau3[[#This Row],[ID-SLOT]]</f>
        <v>3.2.4</v>
      </c>
      <c r="AI507" s="72" t="str">
        <f>INDEX(Tableau1[Ref-Carte],MATCH(Tableau3[[#This Row],[ID-RRS]],Tableau1[ID-RRS],0))</f>
        <v>SDI1602</v>
      </c>
      <c r="AJ507" s="72" t="str">
        <f t="array" ref="AJ507">IFERROR(INDEX(Tableau2[TS],MATCH(1,(Tableau2[Ref-Carte]=Tableau3[[#This Row],[Ref-Carte2]])*(Tableau2[ID-Voie]=Tableau3[[#This Row],[ID-VOIE]]),0)),"")</f>
        <v>ET</v>
      </c>
      <c r="AK507" s="72" t="str">
        <f>IFERROR(INDEX(Tableau2[TS],SUMPRODUCT((Tableau2[Ref-Carte]=Tableau3[[#This Row],[Ref-Carte2]])*(Tableau2[ID-Voie]=Tableau3[[#This Row],[ID-VOIE]])*ROW(Tableau2[TS]))-ROW(Tableau2[#Headers])),"")</f>
        <v>ET</v>
      </c>
      <c r="AL507" s="72" t="str">
        <f>Tableau3[[#This Row],[Ref-Carte2]]&amp;"/"&amp;Tableau3[[#This Row],[ID-VOIE]]</f>
        <v>SDI1602/9</v>
      </c>
      <c r="AM507" s="73" t="str">
        <f>INDEX(Tableau2[Borne],MATCH(Tableau3[[#This Row],[ID-CARTEVOIE]],Tableau2[ID-CARTEVOIE],0))&amp;""</f>
        <v>4A</v>
      </c>
      <c r="AN507" s="74" t="str">
        <f>Tableau3[[#This Row],[ID-API]]&amp;Tableau3[[#This Row],[ID-RACK]]&amp;Tableau3[[#This Row],[ID-SLOT]]&amp;Tableau3[[#This Row],[BORNE]]</f>
        <v>3244A</v>
      </c>
      <c r="AO507" s="1"/>
    </row>
    <row r="508" spans="1:41" ht="20.100000000000001" customHeight="1" thickTop="1" thickBot="1">
      <c r="A508" s="68"/>
      <c r="B508" s="69" t="str">
        <f>IFERROR(INDEX(Tableau4[Date],MATCH($A508,Tableau4[EVO],0)),"")</f>
        <v/>
      </c>
      <c r="C508" s="68" t="str">
        <f>IFERROR(INDEX(Tableau4[Designation],MATCH($A508,Tableau4[EVO],0)),"")</f>
        <v/>
      </c>
      <c r="D508" s="68"/>
      <c r="E508" s="70">
        <v>171</v>
      </c>
      <c r="F508" s="71">
        <v>84</v>
      </c>
      <c r="G508" s="101" t="str">
        <f>INDEX(Tableau8[Att1],MATCH(Tableau3[[#This Row],[ID-INS]],Tableau8[ID],0))&amp;""</f>
        <v>V2</v>
      </c>
      <c r="H508" s="101" t="str">
        <f>INDEX(Tableau8[Att2],MATCH(Tableau3[[#This Row],[ID-INS]],Tableau8[ID],0))&amp;""</f>
        <v>B35</v>
      </c>
      <c r="I508" s="101" t="str">
        <f>INDEX(Tableau8[Att3],MATCH(Tableau3[[#This Row],[ID-INS]],Tableau8[ID],0))&amp;""</f>
        <v>Boucle B35</v>
      </c>
      <c r="J508" s="101"/>
      <c r="K508" s="167" t="str">
        <f>INDEX(Tableau8[Nom du modele],MATCH(Tableau3[[#This Row],[ID-INS]],Tableau8[ID],0))&amp;""</f>
        <v>Boucle</v>
      </c>
      <c r="L508" s="99" t="str">
        <f>INDEX(Tableau5[Att1],MATCH(Tableau3[[#This Row],[ID-SIG]],Tableau5[ID],0))&amp;""</f>
        <v>Def</v>
      </c>
      <c r="M508" s="99" t="str">
        <f>INDEX(Tableau5[Att2],MATCH(Tableau3[[#This Row],[ID-SIG]],Tableau5[ID],0))&amp;""</f>
        <v/>
      </c>
      <c r="N508" s="99" t="str">
        <f>INDEX(Tableau5[Att3],MATCH(Tableau3[[#This Row],[ID-SIG]],Tableau5[ID],0))&amp;""</f>
        <v/>
      </c>
      <c r="O508" s="99"/>
      <c r="P508" s="99" t="str">
        <f>INDEX(Tableau5[Description],MATCH(Tableau3[[#This Row],[ID-SIG]],Tableau5[ID],0))</f>
        <v>Défaut</v>
      </c>
      <c r="Q508" s="99"/>
      <c r="R508" s="103" t="str">
        <f>Tableau3[[#This Row],[Description]]</f>
        <v>Défaut</v>
      </c>
      <c r="U508" s="87">
        <v>3</v>
      </c>
      <c r="V508" s="87">
        <v>2</v>
      </c>
      <c r="W508" s="87">
        <v>4</v>
      </c>
      <c r="X508" s="87">
        <v>10</v>
      </c>
      <c r="Y508" s="40"/>
      <c r="Z508" s="165" t="str">
        <f>INDEX(Tableau2[TS],MATCH(Tableau3[[#This Row],[ID-CARTEVOIE]],Tableau2[ID-CARTEVOIE],0))</f>
        <v>ET</v>
      </c>
      <c r="AA508" s="53" t="s">
        <v>213</v>
      </c>
      <c r="AB508" s="223" t="str">
        <f>IFERROR(INDEX(Tableau5[Reserve],MATCH(Tableau3[[#This Row],[ID-SIG]],Tableau5[ID],0))&amp;"","")</f>
        <v/>
      </c>
      <c r="AC508" s="21"/>
      <c r="AD508" s="108" t="str">
        <f>INDEX(Tableau7[Repere],MATCH(Tableau3[[#This Row],[ID-API]],Tableau7[ID-API],0))&amp;""</f>
        <v>A3</v>
      </c>
      <c r="AE508" s="108" t="str">
        <f>INDEX(Tableau1[Repere-Rack],MATCH(Tableau3[[#This Row],[ID-RACK]],Tableau1[ID-RACK],0))&amp;""</f>
        <v>R2</v>
      </c>
      <c r="AF508" s="108" t="str">
        <f>INDEX(Tableau1[Repere-Slot],MATCH(Tableau3[[#This Row],[ID-SLOT]],Tableau1[ID-SLOT],0))&amp;""</f>
        <v>S4</v>
      </c>
      <c r="AG508" s="108" t="str">
        <f>INDEX(Tableau2[Repere-Voie],MATCH(Tableau3[[#This Row],[ID-VOIE]],Tableau2[ID-Voie],0))&amp;""</f>
        <v>v10</v>
      </c>
      <c r="AH508" s="72" t="str">
        <f>Tableau3[[#This Row],[ID-API]]&amp; "." &amp;Tableau3[[#This Row],[ID-RACK]]&amp; "." &amp;Tableau3[[#This Row],[ID-SLOT]]</f>
        <v>3.2.4</v>
      </c>
      <c r="AI508" s="72" t="str">
        <f>INDEX(Tableau1[Ref-Carte],MATCH(Tableau3[[#This Row],[ID-RRS]],Tableau1[ID-RRS],0))</f>
        <v>SDI1602</v>
      </c>
      <c r="AJ508" s="72" t="str">
        <f t="array" ref="AJ508">IFERROR(INDEX(Tableau2[TS],MATCH(1,(Tableau2[Ref-Carte]=Tableau3[[#This Row],[Ref-Carte2]])*(Tableau2[ID-Voie]=Tableau3[[#This Row],[ID-VOIE]]),0)),"")</f>
        <v>ET</v>
      </c>
      <c r="AK508" s="72" t="str">
        <f>IFERROR(INDEX(Tableau2[TS],SUMPRODUCT((Tableau2[Ref-Carte]=Tableau3[[#This Row],[Ref-Carte2]])*(Tableau2[ID-Voie]=Tableau3[[#This Row],[ID-VOIE]])*ROW(Tableau2[TS]))-ROW(Tableau2[#Headers])),"")</f>
        <v>ET</v>
      </c>
      <c r="AL508" s="72" t="str">
        <f>Tableau3[[#This Row],[Ref-Carte2]]&amp;"/"&amp;Tableau3[[#This Row],[ID-VOIE]]</f>
        <v>SDI1602/10</v>
      </c>
      <c r="AM508" s="73" t="str">
        <f>INDEX(Tableau2[Borne],MATCH(Tableau3[[#This Row],[ID-CARTEVOIE]],Tableau2[ID-CARTEVOIE],0))&amp;""</f>
        <v>5B</v>
      </c>
      <c r="AN508" s="74" t="str">
        <f>Tableau3[[#This Row],[ID-API]]&amp;Tableau3[[#This Row],[ID-RACK]]&amp;Tableau3[[#This Row],[ID-SLOT]]&amp;Tableau3[[#This Row],[BORNE]]</f>
        <v>3245B</v>
      </c>
      <c r="AO508" s="1"/>
    </row>
    <row r="509" spans="1:41" ht="20.100000000000001" customHeight="1" thickTop="1" thickBot="1">
      <c r="A509" s="68"/>
      <c r="B509" s="69" t="str">
        <f>IFERROR(INDEX(Tableau4[Date],MATCH($A509,Tableau4[EVO],0)),"")</f>
        <v/>
      </c>
      <c r="C509" s="68" t="str">
        <f>IFERROR(INDEX(Tableau4[Designation],MATCH($A509,Tableau4[EVO],0)),"")</f>
        <v/>
      </c>
      <c r="D509" s="68"/>
      <c r="E509" s="70">
        <v>171</v>
      </c>
      <c r="F509" s="71">
        <v>85</v>
      </c>
      <c r="G509" s="101" t="str">
        <f>INDEX(Tableau8[Att1],MATCH(Tableau3[[#This Row],[ID-INS]],Tableau8[ID],0))&amp;""</f>
        <v>V2</v>
      </c>
      <c r="H509" s="101" t="str">
        <f>INDEX(Tableau8[Att2],MATCH(Tableau3[[#This Row],[ID-INS]],Tableau8[ID],0))&amp;""</f>
        <v>B35</v>
      </c>
      <c r="I509" s="101" t="str">
        <f>INDEX(Tableau8[Att3],MATCH(Tableau3[[#This Row],[ID-INS]],Tableau8[ID],0))&amp;""</f>
        <v>Boucle B35</v>
      </c>
      <c r="J509" s="101"/>
      <c r="K509" s="167" t="str">
        <f>INDEX(Tableau8[Nom du modele],MATCH(Tableau3[[#This Row],[ID-INS]],Tableau8[ID],0))&amp;""</f>
        <v>Boucle</v>
      </c>
      <c r="L509" s="141" t="str">
        <f>INDEX(Tableau5[Att1],MATCH(Tableau3[[#This Row],[ID-SIG]],Tableau5[ID],0))&amp;""</f>
        <v>Pres</v>
      </c>
      <c r="M509" s="99" t="str">
        <f>INDEX(Tableau5[Att2],MATCH(Tableau3[[#This Row],[ID-SIG]],Tableau5[ID],0))&amp;""</f>
        <v/>
      </c>
      <c r="N509" s="99" t="str">
        <f>INDEX(Tableau5[Att3],MATCH(Tableau3[[#This Row],[ID-SIG]],Tableau5[ID],0))&amp;""</f>
        <v/>
      </c>
      <c r="O509" s="99"/>
      <c r="P509" s="141" t="str">
        <f>INDEX(Tableau5[Description],MATCH(Tableau3[[#This Row],[ID-SIG]],Tableau5[ID],0))</f>
        <v>Présence</v>
      </c>
      <c r="Q509" s="99"/>
      <c r="R509" s="103" t="str">
        <f>Tableau3[[#This Row],[Description]]</f>
        <v>Présence</v>
      </c>
      <c r="U509" s="87">
        <v>3</v>
      </c>
      <c r="V509" s="87">
        <v>2</v>
      </c>
      <c r="W509" s="87">
        <v>4</v>
      </c>
      <c r="X509" s="87">
        <v>11</v>
      </c>
      <c r="Y509" s="40"/>
      <c r="Z509" s="165" t="str">
        <f>INDEX(Tableau2[TS],MATCH(Tableau3[[#This Row],[ID-CARTEVOIE]],Tableau2[ID-CARTEVOIE],0))</f>
        <v>ET</v>
      </c>
      <c r="AA509" s="53" t="s">
        <v>213</v>
      </c>
      <c r="AB509" s="223" t="str">
        <f>IFERROR(INDEX(Tableau5[Reserve],MATCH(Tableau3[[#This Row],[ID-SIG]],Tableau5[ID],0))&amp;"","")</f>
        <v/>
      </c>
      <c r="AC509" s="21"/>
      <c r="AD509" s="108" t="str">
        <f>INDEX(Tableau7[Repere],MATCH(Tableau3[[#This Row],[ID-API]],Tableau7[ID-API],0))&amp;""</f>
        <v>A3</v>
      </c>
      <c r="AE509" s="108" t="str">
        <f>INDEX(Tableau1[Repere-Rack],MATCH(Tableau3[[#This Row],[ID-RACK]],Tableau1[ID-RACK],0))&amp;""</f>
        <v>R2</v>
      </c>
      <c r="AF509" s="108" t="str">
        <f>INDEX(Tableau1[Repere-Slot],MATCH(Tableau3[[#This Row],[ID-SLOT]],Tableau1[ID-SLOT],0))&amp;""</f>
        <v>S4</v>
      </c>
      <c r="AG509" s="108" t="str">
        <f>INDEX(Tableau2[Repere-Voie],MATCH(Tableau3[[#This Row],[ID-VOIE]],Tableau2[ID-Voie],0))&amp;""</f>
        <v>v11</v>
      </c>
      <c r="AH509" s="72" t="str">
        <f>Tableau3[[#This Row],[ID-API]]&amp; "." &amp;Tableau3[[#This Row],[ID-RACK]]&amp; "." &amp;Tableau3[[#This Row],[ID-SLOT]]</f>
        <v>3.2.4</v>
      </c>
      <c r="AI509" s="72" t="str">
        <f>INDEX(Tableau1[Ref-Carte],MATCH(Tableau3[[#This Row],[ID-RRS]],Tableau1[ID-RRS],0))</f>
        <v>SDI1602</v>
      </c>
      <c r="AJ509" s="72" t="str">
        <f t="array" ref="AJ509">IFERROR(INDEX(Tableau2[TS],MATCH(1,(Tableau2[Ref-Carte]=Tableau3[[#This Row],[Ref-Carte2]])*(Tableau2[ID-Voie]=Tableau3[[#This Row],[ID-VOIE]]),0)),"")</f>
        <v>ET</v>
      </c>
      <c r="AK509" s="72" t="str">
        <f>IFERROR(INDEX(Tableau2[TS],SUMPRODUCT((Tableau2[Ref-Carte]=Tableau3[[#This Row],[Ref-Carte2]])*(Tableau2[ID-Voie]=Tableau3[[#This Row],[ID-VOIE]])*ROW(Tableau2[TS]))-ROW(Tableau2[#Headers])),"")</f>
        <v>ET</v>
      </c>
      <c r="AL509" s="72" t="str">
        <f>Tableau3[[#This Row],[Ref-Carte2]]&amp;"/"&amp;Tableau3[[#This Row],[ID-VOIE]]</f>
        <v>SDI1602/11</v>
      </c>
      <c r="AM509" s="73" t="str">
        <f>INDEX(Tableau2[Borne],MATCH(Tableau3[[#This Row],[ID-CARTEVOIE]],Tableau2[ID-CARTEVOIE],0))&amp;""</f>
        <v>5A</v>
      </c>
      <c r="AN509" s="74" t="str">
        <f>Tableau3[[#This Row],[ID-API]]&amp;Tableau3[[#This Row],[ID-RACK]]&amp;Tableau3[[#This Row],[ID-SLOT]]&amp;Tableau3[[#This Row],[BORNE]]</f>
        <v>3245A</v>
      </c>
      <c r="AO509" s="1"/>
    </row>
    <row r="510" spans="1:41" ht="20.100000000000001" customHeight="1" thickTop="1" thickBot="1">
      <c r="A510" s="68"/>
      <c r="B510" s="69" t="str">
        <f>IFERROR(INDEX(Tableau4[Date],MATCH($A510,Tableau4[EVO],0)),"")</f>
        <v/>
      </c>
      <c r="C510" s="68" t="str">
        <f>IFERROR(INDEX(Tableau4[Designation],MATCH($A510,Tableau4[EVO],0)),"")</f>
        <v/>
      </c>
      <c r="D510" s="68"/>
      <c r="E510" s="70">
        <v>178</v>
      </c>
      <c r="F510" s="71">
        <v>1</v>
      </c>
      <c r="G510" s="101" t="str">
        <f>INDEX(Tableau8[Att1],MATCH(Tableau3[[#This Row],[ID-INS]],Tableau8[ID],0))&amp;""</f>
        <v>V2</v>
      </c>
      <c r="H510" s="101" t="str">
        <f>INDEX(Tableau8[Att2],MATCH(Tableau3[[#This Row],[ID-INS]],Tableau8[ID],0))&amp;""</f>
        <v>BP4</v>
      </c>
      <c r="I510" s="101" t="str">
        <f>INDEX(Tableau8[Att3],MATCH(Tableau3[[#This Row],[ID-INS]],Tableau8[ID],0))&amp;""</f>
        <v>Bouton d'acquittement contrôle aléatoire V2</v>
      </c>
      <c r="J510" s="101"/>
      <c r="K510" s="167" t="str">
        <f>INDEX(Tableau8[Nom du modele],MATCH(Tableau3[[#This Row],[ID-INS]],Tableau8[ID],0))&amp;""</f>
        <v>BoutonPoussoir</v>
      </c>
      <c r="L510" s="99" t="str">
        <f>INDEX(Tableau5[Att1],MATCH(Tableau3[[#This Row],[ID-SIG]],Tableau5[ID],0))&amp;""</f>
        <v>Appui</v>
      </c>
      <c r="M510" s="99" t="str">
        <f>INDEX(Tableau5[Att2],MATCH(Tableau3[[#This Row],[ID-SIG]],Tableau5[ID],0))&amp;""</f>
        <v/>
      </c>
      <c r="N510" s="99" t="str">
        <f>INDEX(Tableau5[Att3],MATCH(Tableau3[[#This Row],[ID-SIG]],Tableau5[ID],0))&amp;""</f>
        <v/>
      </c>
      <c r="O510" s="99"/>
      <c r="P510" s="99" t="str">
        <f>INDEX(Tableau5[Description],MATCH(Tableau3[[#This Row],[ID-SIG]],Tableau5[ID],0))</f>
        <v>Appui</v>
      </c>
      <c r="Q510" s="99"/>
      <c r="R510" s="103" t="str">
        <f>Tableau3[[#This Row],[Description]]</f>
        <v>Appui</v>
      </c>
      <c r="T510" s="85"/>
      <c r="U510" s="87">
        <v>3</v>
      </c>
      <c r="V510" s="87">
        <v>2</v>
      </c>
      <c r="W510" s="87">
        <v>4</v>
      </c>
      <c r="X510" s="87">
        <v>12</v>
      </c>
      <c r="Y510" s="40"/>
      <c r="Z510" s="165" t="str">
        <f>INDEX(Tableau2[TS],MATCH(Tableau3[[#This Row],[ID-CARTEVOIE]],Tableau2[ID-CARTEVOIE],0))</f>
        <v>ET</v>
      </c>
      <c r="AA510" s="53" t="s">
        <v>213</v>
      </c>
      <c r="AB510" s="223" t="str">
        <f>IFERROR(INDEX(Tableau5[Reserve],MATCH(Tableau3[[#This Row],[ID-SIG]],Tableau5[ID],0))&amp;"","")</f>
        <v/>
      </c>
      <c r="AC510" s="21"/>
      <c r="AD510" s="108" t="str">
        <f>INDEX(Tableau7[Repere],MATCH(Tableau3[[#This Row],[ID-API]],Tableau7[ID-API],0))&amp;""</f>
        <v>A3</v>
      </c>
      <c r="AE510" s="108" t="str">
        <f>INDEX(Tableau1[Repere-Rack],MATCH(Tableau3[[#This Row],[ID-RACK]],Tableau1[ID-RACK],0))&amp;""</f>
        <v>R2</v>
      </c>
      <c r="AF510" s="108" t="str">
        <f>INDEX(Tableau1[Repere-Slot],MATCH(Tableau3[[#This Row],[ID-SLOT]],Tableau1[ID-SLOT],0))&amp;""</f>
        <v>S4</v>
      </c>
      <c r="AG510" s="108" t="str">
        <f>INDEX(Tableau2[Repere-Voie],MATCH(Tableau3[[#This Row],[ID-VOIE]],Tableau2[ID-Voie],0))&amp;""</f>
        <v>v12</v>
      </c>
      <c r="AH510" s="72" t="str">
        <f>Tableau3[[#This Row],[ID-API]]&amp; "." &amp;Tableau3[[#This Row],[ID-RACK]]&amp; "." &amp;Tableau3[[#This Row],[ID-SLOT]]</f>
        <v>3.2.4</v>
      </c>
      <c r="AI510" s="72" t="str">
        <f>INDEX(Tableau1[Ref-Carte],MATCH(Tableau3[[#This Row],[ID-RRS]],Tableau1[ID-RRS],0))</f>
        <v>SDI1602</v>
      </c>
      <c r="AJ510" s="72" t="str">
        <f t="array" ref="AJ510">IFERROR(INDEX(Tableau2[TS],MATCH(1,(Tableau2[Ref-Carte]=Tableau3[[#This Row],[Ref-Carte2]])*(Tableau2[ID-Voie]=Tableau3[[#This Row],[ID-VOIE]]),0)),"")</f>
        <v>ET</v>
      </c>
      <c r="AK510" s="72" t="str">
        <f>IFERROR(INDEX(Tableau2[TS],SUMPRODUCT((Tableau2[Ref-Carte]=Tableau3[[#This Row],[Ref-Carte2]])*(Tableau2[ID-Voie]=Tableau3[[#This Row],[ID-VOIE]])*ROW(Tableau2[TS]))-ROW(Tableau2[#Headers])),"")</f>
        <v>ET</v>
      </c>
      <c r="AL510" s="72" t="str">
        <f>Tableau3[[#This Row],[Ref-Carte2]]&amp;"/"&amp;Tableau3[[#This Row],[ID-VOIE]]</f>
        <v>SDI1602/12</v>
      </c>
      <c r="AM510" s="73" t="str">
        <f>INDEX(Tableau2[Borne],MATCH(Tableau3[[#This Row],[ID-CARTEVOIE]],Tableau2[ID-CARTEVOIE],0))&amp;""</f>
        <v>6B</v>
      </c>
      <c r="AN510" s="74" t="str">
        <f>Tableau3[[#This Row],[ID-API]]&amp;Tableau3[[#This Row],[ID-RACK]]&amp;Tableau3[[#This Row],[ID-SLOT]]&amp;Tableau3[[#This Row],[BORNE]]</f>
        <v>3246B</v>
      </c>
      <c r="AO510" s="1"/>
    </row>
    <row r="511" spans="1:41" ht="20.100000000000001" customHeight="1" thickTop="1" thickBot="1">
      <c r="A511" s="68"/>
      <c r="B511" s="69" t="str">
        <f>IFERROR(INDEX(Tableau4[Date],MATCH($A511,Tableau4[EVO],0)),"")</f>
        <v/>
      </c>
      <c r="C511" s="68" t="str">
        <f>IFERROR(INDEX(Tableau4[Designation],MATCH($A511,Tableau4[EVO],0)),"")</f>
        <v/>
      </c>
      <c r="D511" s="68"/>
      <c r="E511" s="70">
        <v>248</v>
      </c>
      <c r="F511" s="71">
        <v>82</v>
      </c>
      <c r="G511" s="101" t="str">
        <f>INDEX(Tableau8[Att1],MATCH(Tableau3[[#This Row],[ID-INS]],Tableau8[ID],0))&amp;""</f>
        <v>V1</v>
      </c>
      <c r="H511" s="101" t="str">
        <f>INDEX(Tableau8[Att2],MATCH(Tableau3[[#This Row],[ID-INS]],Tableau8[ID],0))&amp;""</f>
        <v>BH6</v>
      </c>
      <c r="I511" s="101" t="str">
        <f>INDEX(Tableau8[Att3],MATCH(Tableau3[[#This Row],[ID-INS]],Tableau8[ID],0))&amp;""</f>
        <v>Barrière BH6</v>
      </c>
      <c r="J511" s="101"/>
      <c r="K511" s="167" t="str">
        <f>INDEX(Tableau8[Nom du modele],MATCH(Tableau3[[#This Row],[ID-INS]],Tableau8[ID],0))&amp;""</f>
        <v>BarriereHerse_2</v>
      </c>
      <c r="L511" s="99" t="str">
        <f>INDEX(Tableau5[Att1],MATCH(Tableau3[[#This Row],[ID-SIG]],Tableau5[ID],0))&amp;""</f>
        <v>FerRet2</v>
      </c>
      <c r="M511" s="99" t="str">
        <f>INDEX(Tableau5[Att2],MATCH(Tableau3[[#This Row],[ID-SIG]],Tableau5[ID],0))&amp;""</f>
        <v/>
      </c>
      <c r="N511" s="99" t="str">
        <f>INDEX(Tableau5[Att3],MATCH(Tableau3[[#This Row],[ID-SIG]],Tableau5[ID],0))&amp;""</f>
        <v/>
      </c>
      <c r="O511" s="99"/>
      <c r="P511" s="99" t="s">
        <v>1726</v>
      </c>
      <c r="Q511" s="99"/>
      <c r="R511" s="103" t="str">
        <f>Tableau3[[#This Row],[Description]]</f>
        <v>Réserve - Sortie 1</v>
      </c>
      <c r="U511" s="87">
        <v>3</v>
      </c>
      <c r="V511" s="87">
        <v>2</v>
      </c>
      <c r="W511" s="87">
        <v>4</v>
      </c>
      <c r="X511" s="87">
        <v>13</v>
      </c>
      <c r="Y511" s="40"/>
      <c r="Z511" s="165" t="str">
        <f>INDEX(Tableau2[TS],MATCH(Tableau3[[#This Row],[ID-CARTEVOIE]],Tableau2[ID-CARTEVOIE],0))</f>
        <v>ET</v>
      </c>
      <c r="AA511" s="53" t="s">
        <v>213</v>
      </c>
      <c r="AB511" s="223" t="str">
        <f>IFERROR(INDEX(Tableau5[Reserve],MATCH(Tableau3[[#This Row],[ID-SIG]],Tableau5[ID],0))&amp;"","")</f>
        <v/>
      </c>
      <c r="AC511" s="21"/>
      <c r="AD511" s="108" t="str">
        <f>INDEX(Tableau7[Repere],MATCH(Tableau3[[#This Row],[ID-API]],Tableau7[ID-API],0))&amp;""</f>
        <v>A3</v>
      </c>
      <c r="AE511" s="108" t="str">
        <f>INDEX(Tableau1[Repere-Rack],MATCH(Tableau3[[#This Row],[ID-RACK]],Tableau1[ID-RACK],0))&amp;""</f>
        <v>R2</v>
      </c>
      <c r="AF511" s="108" t="str">
        <f>INDEX(Tableau1[Repere-Slot],MATCH(Tableau3[[#This Row],[ID-SLOT]],Tableau1[ID-SLOT],0))&amp;""</f>
        <v>S4</v>
      </c>
      <c r="AG511" s="108" t="str">
        <f>INDEX(Tableau2[Repere-Voie],MATCH(Tableau3[[#This Row],[ID-VOIE]],Tableau2[ID-Voie],0))&amp;""</f>
        <v>v13</v>
      </c>
      <c r="AH511" s="72" t="str">
        <f>Tableau3[[#This Row],[ID-API]]&amp; "." &amp;Tableau3[[#This Row],[ID-RACK]]&amp; "." &amp;Tableau3[[#This Row],[ID-SLOT]]</f>
        <v>3.2.4</v>
      </c>
      <c r="AI511" s="72" t="str">
        <f>INDEX(Tableau1[Ref-Carte],MATCH(Tableau3[[#This Row],[ID-RRS]],Tableau1[ID-RRS],0))</f>
        <v>SDI1602</v>
      </c>
      <c r="AJ511" s="72" t="str">
        <f t="array" ref="AJ511">IFERROR(INDEX(Tableau2[TS],MATCH(1,(Tableau2[Ref-Carte]=Tableau3[[#This Row],[Ref-Carte2]])*(Tableau2[ID-Voie]=Tableau3[[#This Row],[ID-VOIE]]),0)),"")</f>
        <v>ET</v>
      </c>
      <c r="AK511" s="72" t="str">
        <f>IFERROR(INDEX(Tableau2[TS],SUMPRODUCT((Tableau2[Ref-Carte]=Tableau3[[#This Row],[Ref-Carte2]])*(Tableau2[ID-Voie]=Tableau3[[#This Row],[ID-VOIE]])*ROW(Tableau2[TS]))-ROW(Tableau2[#Headers])),"")</f>
        <v>ET</v>
      </c>
      <c r="AL511" s="72" t="str">
        <f>Tableau3[[#This Row],[Ref-Carte2]]&amp;"/"&amp;Tableau3[[#This Row],[ID-VOIE]]</f>
        <v>SDI1602/13</v>
      </c>
      <c r="AM511" s="73" t="str">
        <f>INDEX(Tableau2[Borne],MATCH(Tableau3[[#This Row],[ID-CARTEVOIE]],Tableau2[ID-CARTEVOIE],0))&amp;""</f>
        <v>6A</v>
      </c>
      <c r="AN511" s="74" t="str">
        <f>Tableau3[[#This Row],[ID-API]]&amp;Tableau3[[#This Row],[ID-RACK]]&amp;Tableau3[[#This Row],[ID-SLOT]]&amp;Tableau3[[#This Row],[BORNE]]</f>
        <v>3246A</v>
      </c>
      <c r="AO511" s="1"/>
    </row>
    <row r="512" spans="1:41" ht="20.100000000000001" customHeight="1" thickTop="1" thickBot="1">
      <c r="A512" s="68"/>
      <c r="B512" s="69" t="str">
        <f>IFERROR(INDEX(Tableau4[Date],MATCH($A512,Tableau4[EVO],0)),"")</f>
        <v/>
      </c>
      <c r="C512" s="68" t="str">
        <f>IFERROR(INDEX(Tableau4[Designation],MATCH($A512,Tableau4[EVO],0)),"")</f>
        <v/>
      </c>
      <c r="D512" s="68"/>
      <c r="E512" s="70">
        <v>248</v>
      </c>
      <c r="F512" s="71">
        <v>83</v>
      </c>
      <c r="G512" s="101" t="str">
        <f>INDEX(Tableau8[Att1],MATCH(Tableau3[[#This Row],[ID-INS]],Tableau8[ID],0))&amp;""</f>
        <v>V1</v>
      </c>
      <c r="H512" s="101" t="str">
        <f>INDEX(Tableau8[Att2],MATCH(Tableau3[[#This Row],[ID-INS]],Tableau8[ID],0))&amp;""</f>
        <v>BH6</v>
      </c>
      <c r="I512" s="101" t="str">
        <f>INDEX(Tableau8[Att3],MATCH(Tableau3[[#This Row],[ID-INS]],Tableau8[ID],0))&amp;""</f>
        <v>Barrière BH6</v>
      </c>
      <c r="J512" s="101"/>
      <c r="K512" s="167" t="str">
        <f>INDEX(Tableau8[Nom du modele],MATCH(Tableau3[[#This Row],[ID-INS]],Tableau8[ID],0))&amp;""</f>
        <v>BarriereHerse_2</v>
      </c>
      <c r="L512" s="99" t="str">
        <f>INDEX(Tableau5[Att1],MATCH(Tableau3[[#This Row],[ID-SIG]],Tableau5[ID],0))&amp;""</f>
        <v>Fer1</v>
      </c>
      <c r="M512" s="99" t="str">
        <f>INDEX(Tableau5[Att2],MATCH(Tableau3[[#This Row],[ID-SIG]],Tableau5[ID],0))&amp;""</f>
        <v/>
      </c>
      <c r="N512" s="99" t="str">
        <f>INDEX(Tableau5[Att3],MATCH(Tableau3[[#This Row],[ID-SIG]],Tableau5[ID],0))&amp;""</f>
        <v/>
      </c>
      <c r="O512" s="99"/>
      <c r="P512" s="99" t="s">
        <v>1726</v>
      </c>
      <c r="Q512" s="99"/>
      <c r="R512" s="103" t="str">
        <f>Tableau3[[#This Row],[Description]]</f>
        <v>Réserve - Sortie 1</v>
      </c>
      <c r="U512" s="87">
        <v>3</v>
      </c>
      <c r="V512" s="87">
        <v>2</v>
      </c>
      <c r="W512" s="87">
        <v>4</v>
      </c>
      <c r="X512" s="87">
        <v>14</v>
      </c>
      <c r="Y512" s="40"/>
      <c r="Z512" s="165" t="str">
        <f>INDEX(Tableau2[TS],MATCH(Tableau3[[#This Row],[ID-CARTEVOIE]],Tableau2[ID-CARTEVOIE],0))</f>
        <v>ET</v>
      </c>
      <c r="AA512" s="53" t="s">
        <v>213</v>
      </c>
      <c r="AB512" s="223" t="str">
        <f>IFERROR(INDEX(Tableau5[Reserve],MATCH(Tableau3[[#This Row],[ID-SIG]],Tableau5[ID],0))&amp;"","")</f>
        <v/>
      </c>
      <c r="AC512" s="21"/>
      <c r="AD512" s="108" t="str">
        <f>INDEX(Tableau7[Repere],MATCH(Tableau3[[#This Row],[ID-API]],Tableau7[ID-API],0))&amp;""</f>
        <v>A3</v>
      </c>
      <c r="AE512" s="108" t="str">
        <f>INDEX(Tableau1[Repere-Rack],MATCH(Tableau3[[#This Row],[ID-RACK]],Tableau1[ID-RACK],0))&amp;""</f>
        <v>R2</v>
      </c>
      <c r="AF512" s="108" t="str">
        <f>INDEX(Tableau1[Repere-Slot],MATCH(Tableau3[[#This Row],[ID-SLOT]],Tableau1[ID-SLOT],0))&amp;""</f>
        <v>S4</v>
      </c>
      <c r="AG512" s="108" t="str">
        <f>INDEX(Tableau2[Repere-Voie],MATCH(Tableau3[[#This Row],[ID-VOIE]],Tableau2[ID-Voie],0))&amp;""</f>
        <v>v14</v>
      </c>
      <c r="AH512" s="72" t="str">
        <f>Tableau3[[#This Row],[ID-API]]&amp; "." &amp;Tableau3[[#This Row],[ID-RACK]]&amp; "." &amp;Tableau3[[#This Row],[ID-SLOT]]</f>
        <v>3.2.4</v>
      </c>
      <c r="AI512" s="72" t="str">
        <f>INDEX(Tableau1[Ref-Carte],MATCH(Tableau3[[#This Row],[ID-RRS]],Tableau1[ID-RRS],0))</f>
        <v>SDI1602</v>
      </c>
      <c r="AJ512" s="72" t="str">
        <f t="array" ref="AJ512">IFERROR(INDEX(Tableau2[TS],MATCH(1,(Tableau2[Ref-Carte]=Tableau3[[#This Row],[Ref-Carte2]])*(Tableau2[ID-Voie]=Tableau3[[#This Row],[ID-VOIE]]),0)),"")</f>
        <v>ET</v>
      </c>
      <c r="AK512" s="72" t="str">
        <f>IFERROR(INDEX(Tableau2[TS],SUMPRODUCT((Tableau2[Ref-Carte]=Tableau3[[#This Row],[Ref-Carte2]])*(Tableau2[ID-Voie]=Tableau3[[#This Row],[ID-VOIE]])*ROW(Tableau2[TS]))-ROW(Tableau2[#Headers])),"")</f>
        <v>ET</v>
      </c>
      <c r="AL512" s="72" t="str">
        <f>Tableau3[[#This Row],[Ref-Carte2]]&amp;"/"&amp;Tableau3[[#This Row],[ID-VOIE]]</f>
        <v>SDI1602/14</v>
      </c>
      <c r="AM512" s="73" t="str">
        <f>INDEX(Tableau2[Borne],MATCH(Tableau3[[#This Row],[ID-CARTEVOIE]],Tableau2[ID-CARTEVOIE],0))&amp;""</f>
        <v>7B</v>
      </c>
      <c r="AN512" s="74" t="str">
        <f>Tableau3[[#This Row],[ID-API]]&amp;Tableau3[[#This Row],[ID-RACK]]&amp;Tableau3[[#This Row],[ID-SLOT]]&amp;Tableau3[[#This Row],[BORNE]]</f>
        <v>3247B</v>
      </c>
      <c r="AO512" s="1"/>
    </row>
    <row r="513" spans="1:41" ht="20.100000000000001" customHeight="1" thickTop="1" thickBot="1">
      <c r="A513" s="68"/>
      <c r="B513" s="69" t="str">
        <f>IFERROR(INDEX(Tableau4[Date],MATCH($A513,Tableau4[EVO],0)),"")</f>
        <v/>
      </c>
      <c r="C513" s="68" t="str">
        <f>IFERROR(INDEX(Tableau4[Designation],MATCH($A513,Tableau4[EVO],0)),"")</f>
        <v/>
      </c>
      <c r="D513" s="68"/>
      <c r="E513" s="70">
        <v>250</v>
      </c>
      <c r="F513" s="71">
        <v>82</v>
      </c>
      <c r="G513" s="101" t="str">
        <f>INDEX(Tableau8[Att1],MATCH(Tableau3[[#This Row],[ID-INS]],Tableau8[ID],0))&amp;""</f>
        <v>V3</v>
      </c>
      <c r="H513" s="101" t="str">
        <f>INDEX(Tableau8[Att2],MATCH(Tableau3[[#This Row],[ID-INS]],Tableau8[ID],0))&amp;""</f>
        <v>BH8</v>
      </c>
      <c r="I513" s="101" t="str">
        <f>INDEX(Tableau8[Att3],MATCH(Tableau3[[#This Row],[ID-INS]],Tableau8[ID],0))&amp;""</f>
        <v>Barrière BH8</v>
      </c>
      <c r="J513" s="101"/>
      <c r="K513" s="167" t="str">
        <f>INDEX(Tableau8[Nom du modele],MATCH(Tableau3[[#This Row],[ID-INS]],Tableau8[ID],0))&amp;""</f>
        <v>BarriereHerse_2</v>
      </c>
      <c r="L513" s="99" t="str">
        <f>INDEX(Tableau5[Att1],MATCH(Tableau3[[#This Row],[ID-SIG]],Tableau5[ID],0))&amp;""</f>
        <v>FerRet2</v>
      </c>
      <c r="M513" s="99" t="str">
        <f>INDEX(Tableau5[Att2],MATCH(Tableau3[[#This Row],[ID-SIG]],Tableau5[ID],0))&amp;""</f>
        <v/>
      </c>
      <c r="N513" s="99" t="str">
        <f>INDEX(Tableau5[Att3],MATCH(Tableau3[[#This Row],[ID-SIG]],Tableau5[ID],0))&amp;""</f>
        <v/>
      </c>
      <c r="O513" s="99"/>
      <c r="P513" s="99" t="str">
        <f>INDEX(Tableau5[Description],MATCH(Tableau3[[#This Row],[ID-SIG]],Tableau5[ID],0))</f>
        <v>Retour Commande 2 fermeture</v>
      </c>
      <c r="Q513" s="99"/>
      <c r="R513" s="103" t="str">
        <f>Tableau3[[#This Row],[Description]]</f>
        <v>Retour Commande 2 fermeture</v>
      </c>
      <c r="U513" s="87">
        <v>3</v>
      </c>
      <c r="V513" s="87">
        <v>2</v>
      </c>
      <c r="W513" s="87">
        <v>4</v>
      </c>
      <c r="X513" s="87">
        <v>15</v>
      </c>
      <c r="Y513" s="40"/>
      <c r="Z513" s="165" t="str">
        <f>INDEX(Tableau2[TS],MATCH(Tableau3[[#This Row],[ID-CARTEVOIE]],Tableau2[ID-CARTEVOIE],0))</f>
        <v>ET</v>
      </c>
      <c r="AA513" s="53" t="s">
        <v>213</v>
      </c>
      <c r="AB513" s="223" t="str">
        <f>IFERROR(INDEX(Tableau5[Reserve],MATCH(Tableau3[[#This Row],[ID-SIG]],Tableau5[ID],0))&amp;"","")</f>
        <v/>
      </c>
      <c r="AC513" s="21"/>
      <c r="AD513" s="108" t="str">
        <f>INDEX(Tableau7[Repere],MATCH(Tableau3[[#This Row],[ID-API]],Tableau7[ID-API],0))&amp;""</f>
        <v>A3</v>
      </c>
      <c r="AE513" s="108" t="str">
        <f>INDEX(Tableau1[Repere-Rack],MATCH(Tableau3[[#This Row],[ID-RACK]],Tableau1[ID-RACK],0))&amp;""</f>
        <v>R2</v>
      </c>
      <c r="AF513" s="108" t="str">
        <f>INDEX(Tableau1[Repere-Slot],MATCH(Tableau3[[#This Row],[ID-SLOT]],Tableau1[ID-SLOT],0))&amp;""</f>
        <v>S4</v>
      </c>
      <c r="AG513" s="108" t="str">
        <f>INDEX(Tableau2[Repere-Voie],MATCH(Tableau3[[#This Row],[ID-VOIE]],Tableau2[ID-Voie],0))&amp;""</f>
        <v>v15</v>
      </c>
      <c r="AH513" s="72" t="str">
        <f>Tableau3[[#This Row],[ID-API]]&amp; "." &amp;Tableau3[[#This Row],[ID-RACK]]&amp; "." &amp;Tableau3[[#This Row],[ID-SLOT]]</f>
        <v>3.2.4</v>
      </c>
      <c r="AI513" s="72" t="str">
        <f>INDEX(Tableau1[Ref-Carte],MATCH(Tableau3[[#This Row],[ID-RRS]],Tableau1[ID-RRS],0))</f>
        <v>SDI1602</v>
      </c>
      <c r="AJ513" s="72" t="str">
        <f t="array" ref="AJ513">IFERROR(INDEX(Tableau2[TS],MATCH(1,(Tableau2[Ref-Carte]=Tableau3[[#This Row],[Ref-Carte2]])*(Tableau2[ID-Voie]=Tableau3[[#This Row],[ID-VOIE]]),0)),"")</f>
        <v>ET</v>
      </c>
      <c r="AK513" s="72" t="str">
        <f>IFERROR(INDEX(Tableau2[TS],SUMPRODUCT((Tableau2[Ref-Carte]=Tableau3[[#This Row],[Ref-Carte2]])*(Tableau2[ID-Voie]=Tableau3[[#This Row],[ID-VOIE]])*ROW(Tableau2[TS]))-ROW(Tableau2[#Headers])),"")</f>
        <v>ET</v>
      </c>
      <c r="AL513" s="72" t="str">
        <f>Tableau3[[#This Row],[Ref-Carte2]]&amp;"/"&amp;Tableau3[[#This Row],[ID-VOIE]]</f>
        <v>SDI1602/15</v>
      </c>
      <c r="AM513" s="73" t="str">
        <f>INDEX(Tableau2[Borne],MATCH(Tableau3[[#This Row],[ID-CARTEVOIE]],Tableau2[ID-CARTEVOIE],0))&amp;""</f>
        <v>7A</v>
      </c>
      <c r="AN513" s="74" t="str">
        <f>Tableau3[[#This Row],[ID-API]]&amp;Tableau3[[#This Row],[ID-RACK]]&amp;Tableau3[[#This Row],[ID-SLOT]]&amp;Tableau3[[#This Row],[BORNE]]</f>
        <v>3247A</v>
      </c>
      <c r="AO513" s="1"/>
    </row>
    <row r="514" spans="1:41" ht="20.100000000000001" customHeight="1" thickTop="1" thickBot="1">
      <c r="A514" s="68"/>
      <c r="B514" s="69" t="str">
        <f>IFERROR(INDEX(Tableau4[Date],MATCH($A514,Tableau4[EVO],0)),"")</f>
        <v/>
      </c>
      <c r="C514" s="68" t="str">
        <f>IFERROR(INDEX(Tableau4[Designation],MATCH($A514,Tableau4[EVO],0)),"")</f>
        <v/>
      </c>
      <c r="D514" s="68"/>
      <c r="E514" s="70">
        <v>250</v>
      </c>
      <c r="F514" s="71">
        <v>83</v>
      </c>
      <c r="G514" s="101" t="str">
        <f>INDEX(Tableau8[Att1],MATCH(Tableau3[[#This Row],[ID-INS]],Tableau8[ID],0))&amp;""</f>
        <v>V3</v>
      </c>
      <c r="H514" s="101" t="str">
        <f>INDEX(Tableau8[Att2],MATCH(Tableau3[[#This Row],[ID-INS]],Tableau8[ID],0))&amp;""</f>
        <v>BH8</v>
      </c>
      <c r="I514" s="101" t="str">
        <f>INDEX(Tableau8[Att3],MATCH(Tableau3[[#This Row],[ID-INS]],Tableau8[ID],0))&amp;""</f>
        <v>Barrière BH8</v>
      </c>
      <c r="J514" s="101"/>
      <c r="K514" s="167" t="str">
        <f>INDEX(Tableau8[Nom du modele],MATCH(Tableau3[[#This Row],[ID-INS]],Tableau8[ID],0))&amp;""</f>
        <v>BarriereHerse_2</v>
      </c>
      <c r="L514" s="99" t="str">
        <f>INDEX(Tableau5[Att1],MATCH(Tableau3[[#This Row],[ID-SIG]],Tableau5[ID],0))&amp;""</f>
        <v>Fer1</v>
      </c>
      <c r="M514" s="99" t="str">
        <f>INDEX(Tableau5[Att2],MATCH(Tableau3[[#This Row],[ID-SIG]],Tableau5[ID],0))&amp;""</f>
        <v/>
      </c>
      <c r="N514" s="99" t="str">
        <f>INDEX(Tableau5[Att3],MATCH(Tableau3[[#This Row],[ID-SIG]],Tableau5[ID],0))&amp;""</f>
        <v/>
      </c>
      <c r="O514" s="99"/>
      <c r="P514" s="99" t="str">
        <f>INDEX(Tableau5[Description],MATCH(Tableau3[[#This Row],[ID-SIG]],Tableau5[ID],0))</f>
        <v xml:space="preserve">Position 1 fermée </v>
      </c>
      <c r="Q514" s="99"/>
      <c r="R514" s="103" t="str">
        <f>Tableau3[[#This Row],[Description]]</f>
        <v xml:space="preserve">Position 1 fermée </v>
      </c>
      <c r="U514" s="87">
        <v>3</v>
      </c>
      <c r="V514" s="87">
        <v>2</v>
      </c>
      <c r="W514" s="87">
        <v>5</v>
      </c>
      <c r="X514" s="87">
        <v>0</v>
      </c>
      <c r="Y514" s="40"/>
      <c r="Z514" s="165" t="str">
        <f>INDEX(Tableau2[TS],MATCH(Tableau3[[#This Row],[ID-CARTEVOIE]],Tableau2[ID-CARTEVOIE],0))</f>
        <v>ET</v>
      </c>
      <c r="AA514" s="53" t="s">
        <v>213</v>
      </c>
      <c r="AB514" s="223" t="str">
        <f>IFERROR(INDEX(Tableau5[Reserve],MATCH(Tableau3[[#This Row],[ID-SIG]],Tableau5[ID],0))&amp;"","")</f>
        <v/>
      </c>
      <c r="AC514" s="21"/>
      <c r="AD514" s="108" t="str">
        <f>INDEX(Tableau7[Repere],MATCH(Tableau3[[#This Row],[ID-API]],Tableau7[ID-API],0))&amp;""</f>
        <v>A3</v>
      </c>
      <c r="AE514" s="108" t="str">
        <f>INDEX(Tableau1[Repere-Rack],MATCH(Tableau3[[#This Row],[ID-RACK]],Tableau1[ID-RACK],0))&amp;""</f>
        <v>R2</v>
      </c>
      <c r="AF514" s="108" t="str">
        <f>INDEX(Tableau1[Repere-Slot],MATCH(Tableau3[[#This Row],[ID-SLOT]],Tableau1[ID-SLOT],0))&amp;""</f>
        <v>S5</v>
      </c>
      <c r="AG514" s="108" t="str">
        <f>INDEX(Tableau2[Repere-Voie],MATCH(Tableau3[[#This Row],[ID-VOIE]],Tableau2[ID-Voie],0))&amp;""</f>
        <v>v0</v>
      </c>
      <c r="AH514" s="72" t="str">
        <f>Tableau3[[#This Row],[ID-API]]&amp; "." &amp;Tableau3[[#This Row],[ID-RACK]]&amp; "." &amp;Tableau3[[#This Row],[ID-SLOT]]</f>
        <v>3.2.5</v>
      </c>
      <c r="AI514" s="72" t="str">
        <f>INDEX(Tableau1[Ref-Carte],MATCH(Tableau3[[#This Row],[ID-RRS]],Tableau1[ID-RRS],0))</f>
        <v>SDI1602</v>
      </c>
      <c r="AJ514" s="72" t="str">
        <f t="array" ref="AJ514">IFERROR(INDEX(Tableau2[TS],MATCH(1,(Tableau2[Ref-Carte]=Tableau3[[#This Row],[Ref-Carte2]])*(Tableau2[ID-Voie]=Tableau3[[#This Row],[ID-VOIE]]),0)),"")</f>
        <v>ET</v>
      </c>
      <c r="AK514" s="72" t="str">
        <f>IFERROR(INDEX(Tableau2[TS],SUMPRODUCT((Tableau2[Ref-Carte]=Tableau3[[#This Row],[Ref-Carte2]])*(Tableau2[ID-Voie]=Tableau3[[#This Row],[ID-VOIE]])*ROW(Tableau2[TS]))-ROW(Tableau2[#Headers])),"")</f>
        <v>ET</v>
      </c>
      <c r="AL514" s="72" t="str">
        <f>Tableau3[[#This Row],[Ref-Carte2]]&amp;"/"&amp;Tableau3[[#This Row],[ID-VOIE]]</f>
        <v>SDI1602/0</v>
      </c>
      <c r="AM514" s="73" t="str">
        <f>INDEX(Tableau2[Borne],MATCH(Tableau3[[#This Row],[ID-CARTEVOIE]],Tableau2[ID-CARTEVOIE],0))&amp;""</f>
        <v>0B</v>
      </c>
      <c r="AN514" s="74" t="str">
        <f>Tableau3[[#This Row],[ID-API]]&amp;Tableau3[[#This Row],[ID-RACK]]&amp;Tableau3[[#This Row],[ID-SLOT]]&amp;Tableau3[[#This Row],[BORNE]]</f>
        <v>3250B</v>
      </c>
      <c r="AO514" s="1"/>
    </row>
    <row r="515" spans="1:41" ht="20.100000000000001" customHeight="1" thickTop="1" thickBot="1">
      <c r="A515" s="68"/>
      <c r="B515" s="69" t="str">
        <f>IFERROR(INDEX(Tableau4[Date],MATCH($A515,Tableau4[EVO],0)),"")</f>
        <v/>
      </c>
      <c r="C515" s="68" t="str">
        <f>IFERROR(INDEX(Tableau4[Designation],MATCH($A515,Tableau4[EVO],0)),"")</f>
        <v/>
      </c>
      <c r="D515" s="68"/>
      <c r="E515" s="70">
        <v>255</v>
      </c>
      <c r="F515" s="71">
        <v>242</v>
      </c>
      <c r="G515" s="101" t="str">
        <f>INDEX(Tableau8[Att1],MATCH(Tableau3[[#This Row],[ID-INS]],Tableau8[ID],0))&amp;""</f>
        <v>V12</v>
      </c>
      <c r="H515" s="101" t="str">
        <f>INDEX(Tableau8[Att2],MATCH(Tableau3[[#This Row],[ID-INS]],Tableau8[ID],0))&amp;""</f>
        <v>P1</v>
      </c>
      <c r="I515" s="101" t="str">
        <f>INDEX(Tableau8[Att3],MATCH(Tableau3[[#This Row],[ID-INS]],Tableau8[ID],0))&amp;""</f>
        <v>Portail P1</v>
      </c>
      <c r="J515" s="101"/>
      <c r="K515" s="167" t="str">
        <f>INDEX(Tableau8[Nom du modele],MATCH(Tableau3[[#This Row],[ID-INS]],Tableau8[ID],0))&amp;""</f>
        <v>PortailR2V_2</v>
      </c>
      <c r="L515" s="155" t="s">
        <v>1691</v>
      </c>
      <c r="M515" s="99" t="str">
        <f>INDEX(Tableau5[Att2],MATCH(Tableau3[[#This Row],[ID-SIG]],Tableau5[ID],0))&amp;""</f>
        <v/>
      </c>
      <c r="N515" s="99" t="str">
        <f>INDEX(Tableau5[Att3],MATCH(Tableau3[[#This Row],[ID-SIG]],Tableau5[ID],0))&amp;""</f>
        <v/>
      </c>
      <c r="O515" s="99"/>
      <c r="P515" s="155" t="s">
        <v>1691</v>
      </c>
      <c r="Q515" s="99"/>
      <c r="R515" s="103" t="str">
        <f>Tableau3[[#This Row],[Description]]</f>
        <v>Vx_GacheOuv2 (Reserve)</v>
      </c>
      <c r="U515" s="87">
        <v>3</v>
      </c>
      <c r="V515" s="87">
        <v>2</v>
      </c>
      <c r="W515" s="87">
        <v>5</v>
      </c>
      <c r="X515" s="87">
        <v>1</v>
      </c>
      <c r="Y515" s="40"/>
      <c r="Z515" s="165" t="str">
        <f>INDEX(Tableau2[TS],MATCH(Tableau3[[#This Row],[ID-CARTEVOIE]],Tableau2[ID-CARTEVOIE],0))</f>
        <v>ET</v>
      </c>
      <c r="AA515" s="53" t="s">
        <v>213</v>
      </c>
      <c r="AB515" s="223" t="str">
        <f>IFERROR(INDEX(Tableau5[Reserve],MATCH(Tableau3[[#This Row],[ID-SIG]],Tableau5[ID],0))&amp;"","")</f>
        <v/>
      </c>
      <c r="AC515" s="21"/>
      <c r="AD515" s="108" t="str">
        <f>INDEX(Tableau7[Repere],MATCH(Tableau3[[#This Row],[ID-API]],Tableau7[ID-API],0))&amp;""</f>
        <v>A3</v>
      </c>
      <c r="AE515" s="108" t="str">
        <f>INDEX(Tableau1[Repere-Rack],MATCH(Tableau3[[#This Row],[ID-RACK]],Tableau1[ID-RACK],0))&amp;""</f>
        <v>R2</v>
      </c>
      <c r="AF515" s="108" t="str">
        <f>INDEX(Tableau1[Repere-Slot],MATCH(Tableau3[[#This Row],[ID-SLOT]],Tableau1[ID-SLOT],0))&amp;""</f>
        <v>S5</v>
      </c>
      <c r="AG515" s="108" t="str">
        <f>INDEX(Tableau2[Repere-Voie],MATCH(Tableau3[[#This Row],[ID-VOIE]],Tableau2[ID-Voie],0))&amp;""</f>
        <v>v1</v>
      </c>
      <c r="AH515" s="72" t="str">
        <f>Tableau3[[#This Row],[ID-API]]&amp; "." &amp;Tableau3[[#This Row],[ID-RACK]]&amp; "." &amp;Tableau3[[#This Row],[ID-SLOT]]</f>
        <v>3.2.5</v>
      </c>
      <c r="AI515" s="72" t="str">
        <f>INDEX(Tableau1[Ref-Carte],MATCH(Tableau3[[#This Row],[ID-RRS]],Tableau1[ID-RRS],0))</f>
        <v>SDI1602</v>
      </c>
      <c r="AJ515" s="72" t="str">
        <f t="array" ref="AJ515">IFERROR(INDEX(Tableau2[TS],MATCH(1,(Tableau2[Ref-Carte]=Tableau3[[#This Row],[Ref-Carte2]])*(Tableau2[ID-Voie]=Tableau3[[#This Row],[ID-VOIE]]),0)),"")</f>
        <v>ET</v>
      </c>
      <c r="AK515" s="72" t="str">
        <f>IFERROR(INDEX(Tableau2[TS],SUMPRODUCT((Tableau2[Ref-Carte]=Tableau3[[#This Row],[Ref-Carte2]])*(Tableau2[ID-Voie]=Tableau3[[#This Row],[ID-VOIE]])*ROW(Tableau2[TS]))-ROW(Tableau2[#Headers])),"")</f>
        <v>ET</v>
      </c>
      <c r="AL515" s="72" t="str">
        <f>Tableau3[[#This Row],[Ref-Carte2]]&amp;"/"&amp;Tableau3[[#This Row],[ID-VOIE]]</f>
        <v>SDI1602/1</v>
      </c>
      <c r="AM515" s="73" t="str">
        <f>INDEX(Tableau2[Borne],MATCH(Tableau3[[#This Row],[ID-CARTEVOIE]],Tableau2[ID-CARTEVOIE],0))&amp;""</f>
        <v>0A</v>
      </c>
      <c r="AN515" s="74" t="str">
        <f>Tableau3[[#This Row],[ID-API]]&amp;Tableau3[[#This Row],[ID-RACK]]&amp;Tableau3[[#This Row],[ID-SLOT]]&amp;Tableau3[[#This Row],[BORNE]]</f>
        <v>3250A</v>
      </c>
      <c r="AO515" s="1"/>
    </row>
    <row r="516" spans="1:41" ht="20.100000000000001" customHeight="1" thickTop="1" thickBot="1">
      <c r="A516" s="68"/>
      <c r="B516" s="69" t="str">
        <f>IFERROR(INDEX(Tableau4[Date],MATCH($A516,Tableau4[EVO],0)),"")</f>
        <v/>
      </c>
      <c r="C516" s="68" t="str">
        <f>IFERROR(INDEX(Tableau4[Designation],MATCH($A516,Tableau4[EVO],0)),"")</f>
        <v/>
      </c>
      <c r="D516" s="68"/>
      <c r="E516" s="70">
        <v>256</v>
      </c>
      <c r="F516" s="71">
        <v>131</v>
      </c>
      <c r="G516" s="101" t="str">
        <f>INDEX(Tableau8[Att1],MATCH(Tableau3[[#This Row],[ID-INS]],Tableau8[ID],0))&amp;""</f>
        <v>V3</v>
      </c>
      <c r="H516" s="101" t="str">
        <f>INDEX(Tableau8[Att2],MATCH(Tableau3[[#This Row],[ID-INS]],Tableau8[ID],0))&amp;""</f>
        <v>P2</v>
      </c>
      <c r="I516" s="101" t="str">
        <f>INDEX(Tableau8[Att3],MATCH(Tableau3[[#This Row],[ID-INS]],Tableau8[ID],0))&amp;""</f>
        <v>Portail P2</v>
      </c>
      <c r="J516" s="101"/>
      <c r="K516" s="167" t="str">
        <f>INDEX(Tableau8[Nom du modele],MATCH(Tableau3[[#This Row],[ID-INS]],Tableau8[ID],0))&amp;""</f>
        <v>PortailR1V_2</v>
      </c>
      <c r="L516" s="99" t="str">
        <f>INDEX(Tableau5[Att1],MATCH(Tableau3[[#This Row],[ID-SIG]],Tableau5[ID],0))&amp;""</f>
        <v>Vx_GacheOuv2</v>
      </c>
      <c r="M516" s="99" t="str">
        <f>INDEX(Tableau5[Att2],MATCH(Tableau3[[#This Row],[ID-SIG]],Tableau5[ID],0))&amp;""</f>
        <v/>
      </c>
      <c r="N516" s="99" t="str">
        <f>INDEX(Tableau5[Att3],MATCH(Tableau3[[#This Row],[ID-SIG]],Tableau5[ID],0))&amp;""</f>
        <v/>
      </c>
      <c r="O516" s="99"/>
      <c r="P516" s="155" t="s">
        <v>1758</v>
      </c>
      <c r="Q516" s="99"/>
      <c r="R516" s="103" t="str">
        <f>Tableau3[[#This Row],[Description]]</f>
        <v>VANTAIL P2V2 - Retourd'état Gâche rentrée</v>
      </c>
      <c r="U516" s="87">
        <v>3</v>
      </c>
      <c r="V516" s="87">
        <v>2</v>
      </c>
      <c r="W516" s="87">
        <v>5</v>
      </c>
      <c r="X516" s="87">
        <v>2</v>
      </c>
      <c r="Y516" s="40"/>
      <c r="Z516" s="165" t="str">
        <f>INDEX(Tableau2[TS],MATCH(Tableau3[[#This Row],[ID-CARTEVOIE]],Tableau2[ID-CARTEVOIE],0))</f>
        <v>ET</v>
      </c>
      <c r="AA516" s="53" t="s">
        <v>213</v>
      </c>
      <c r="AB516" s="223" t="str">
        <f>IFERROR(INDEX(Tableau5[Reserve],MATCH(Tableau3[[#This Row],[ID-SIG]],Tableau5[ID],0))&amp;"","")</f>
        <v/>
      </c>
      <c r="AC516" s="21"/>
      <c r="AD516" s="108" t="str">
        <f>INDEX(Tableau7[Repere],MATCH(Tableau3[[#This Row],[ID-API]],Tableau7[ID-API],0))&amp;""</f>
        <v>A3</v>
      </c>
      <c r="AE516" s="108" t="str">
        <f>INDEX(Tableau1[Repere-Rack],MATCH(Tableau3[[#This Row],[ID-RACK]],Tableau1[ID-RACK],0))&amp;""</f>
        <v>R2</v>
      </c>
      <c r="AF516" s="108" t="str">
        <f>INDEX(Tableau1[Repere-Slot],MATCH(Tableau3[[#This Row],[ID-SLOT]],Tableau1[ID-SLOT],0))&amp;""</f>
        <v>S5</v>
      </c>
      <c r="AG516" s="108" t="str">
        <f>INDEX(Tableau2[Repere-Voie],MATCH(Tableau3[[#This Row],[ID-VOIE]],Tableau2[ID-Voie],0))&amp;""</f>
        <v>v2</v>
      </c>
      <c r="AH516" s="72" t="str">
        <f>Tableau3[[#This Row],[ID-API]]&amp; "." &amp;Tableau3[[#This Row],[ID-RACK]]&amp; "." &amp;Tableau3[[#This Row],[ID-SLOT]]</f>
        <v>3.2.5</v>
      </c>
      <c r="AI516" s="72" t="str">
        <f>INDEX(Tableau1[Ref-Carte],MATCH(Tableau3[[#This Row],[ID-RRS]],Tableau1[ID-RRS],0))</f>
        <v>SDI1602</v>
      </c>
      <c r="AJ516" s="72" t="str">
        <f t="array" ref="AJ516">IFERROR(INDEX(Tableau2[TS],MATCH(1,(Tableau2[Ref-Carte]=Tableau3[[#This Row],[Ref-Carte2]])*(Tableau2[ID-Voie]=Tableau3[[#This Row],[ID-VOIE]]),0)),"")</f>
        <v>ET</v>
      </c>
      <c r="AK516" s="72" t="str">
        <f>IFERROR(INDEX(Tableau2[TS],SUMPRODUCT((Tableau2[Ref-Carte]=Tableau3[[#This Row],[Ref-Carte2]])*(Tableau2[ID-Voie]=Tableau3[[#This Row],[ID-VOIE]])*ROW(Tableau2[TS]))-ROW(Tableau2[#Headers])),"")</f>
        <v>ET</v>
      </c>
      <c r="AL516" s="72" t="str">
        <f>Tableau3[[#This Row],[Ref-Carte2]]&amp;"/"&amp;Tableau3[[#This Row],[ID-VOIE]]</f>
        <v>SDI1602/2</v>
      </c>
      <c r="AM516" s="73" t="str">
        <f>INDEX(Tableau2[Borne],MATCH(Tableau3[[#This Row],[ID-CARTEVOIE]],Tableau2[ID-CARTEVOIE],0))&amp;""</f>
        <v>1B</v>
      </c>
      <c r="AN516" s="74" t="str">
        <f>Tableau3[[#This Row],[ID-API]]&amp;Tableau3[[#This Row],[ID-RACK]]&amp;Tableau3[[#This Row],[ID-SLOT]]&amp;Tableau3[[#This Row],[BORNE]]</f>
        <v>3251B</v>
      </c>
      <c r="AO516" s="1"/>
    </row>
    <row r="517" spans="1:41" ht="20.100000000000001" customHeight="1" thickTop="1" thickBot="1">
      <c r="A517" s="68"/>
      <c r="B517" s="69" t="str">
        <f>IFERROR(INDEX(Tableau4[Date],MATCH($A517,Tableau4[EVO],0)),"")</f>
        <v/>
      </c>
      <c r="C517" s="68" t="str">
        <f>IFERROR(INDEX(Tableau4[Designation],MATCH($A517,Tableau4[EVO],0)),"")</f>
        <v/>
      </c>
      <c r="D517" s="68"/>
      <c r="E517" s="70">
        <v>256</v>
      </c>
      <c r="F517" s="71">
        <v>132</v>
      </c>
      <c r="G517" s="101" t="str">
        <f>INDEX(Tableau8[Att1],MATCH(Tableau3[[#This Row],[ID-INS]],Tableau8[ID],0))&amp;""</f>
        <v>V3</v>
      </c>
      <c r="H517" s="101" t="str">
        <f>INDEX(Tableau8[Att2],MATCH(Tableau3[[#This Row],[ID-INS]],Tableau8[ID],0))&amp;""</f>
        <v>P2</v>
      </c>
      <c r="I517" s="101" t="str">
        <f>INDEX(Tableau8[Att3],MATCH(Tableau3[[#This Row],[ID-INS]],Tableau8[ID],0))&amp;""</f>
        <v>Portail P2</v>
      </c>
      <c r="J517" s="101"/>
      <c r="K517" s="167" t="str">
        <f>INDEX(Tableau8[Nom du modele],MATCH(Tableau3[[#This Row],[ID-INS]],Tableau8[ID],0))&amp;""</f>
        <v>PortailR1V_2</v>
      </c>
      <c r="L517" s="155" t="s">
        <v>1692</v>
      </c>
      <c r="M517" s="99" t="str">
        <f>INDEX(Tableau5[Att2],MATCH(Tableau3[[#This Row],[ID-SIG]],Tableau5[ID],0))&amp;""</f>
        <v/>
      </c>
      <c r="N517" s="99" t="str">
        <f>INDEX(Tableau5[Att3],MATCH(Tableau3[[#This Row],[ID-SIG]],Tableau5[ID],0))&amp;""</f>
        <v/>
      </c>
      <c r="O517" s="99"/>
      <c r="P517" s="155" t="s">
        <v>1693</v>
      </c>
      <c r="Q517" s="99"/>
      <c r="R517" s="103" t="str">
        <f>Tableau3[[#This Row],[Description]]</f>
        <v>VANTAIL P2V2 - Retourd'état Gâche sortie</v>
      </c>
      <c r="U517" s="87">
        <v>3</v>
      </c>
      <c r="V517" s="87">
        <v>2</v>
      </c>
      <c r="W517" s="87">
        <v>5</v>
      </c>
      <c r="X517" s="87">
        <v>3</v>
      </c>
      <c r="Y517" s="40"/>
      <c r="Z517" s="165" t="str">
        <f>INDEX(Tableau2[TS],MATCH(Tableau3[[#This Row],[ID-CARTEVOIE]],Tableau2[ID-CARTEVOIE],0))</f>
        <v>ET</v>
      </c>
      <c r="AA517" s="53" t="s">
        <v>213</v>
      </c>
      <c r="AB517" s="223" t="str">
        <f>IFERROR(INDEX(Tableau5[Reserve],MATCH(Tableau3[[#This Row],[ID-SIG]],Tableau5[ID],0))&amp;"","")</f>
        <v/>
      </c>
      <c r="AC517" s="21"/>
      <c r="AD517" s="108" t="str">
        <f>INDEX(Tableau7[Repere],MATCH(Tableau3[[#This Row],[ID-API]],Tableau7[ID-API],0))&amp;""</f>
        <v>A3</v>
      </c>
      <c r="AE517" s="108" t="str">
        <f>INDEX(Tableau1[Repere-Rack],MATCH(Tableau3[[#This Row],[ID-RACK]],Tableau1[ID-RACK],0))&amp;""</f>
        <v>R2</v>
      </c>
      <c r="AF517" s="108" t="str">
        <f>INDEX(Tableau1[Repere-Slot],MATCH(Tableau3[[#This Row],[ID-SLOT]],Tableau1[ID-SLOT],0))&amp;""</f>
        <v>S5</v>
      </c>
      <c r="AG517" s="108" t="str">
        <f>INDEX(Tableau2[Repere-Voie],MATCH(Tableau3[[#This Row],[ID-VOIE]],Tableau2[ID-Voie],0))&amp;""</f>
        <v>v3</v>
      </c>
      <c r="AH517" s="72" t="str">
        <f>Tableau3[[#This Row],[ID-API]]&amp; "." &amp;Tableau3[[#This Row],[ID-RACK]]&amp; "." &amp;Tableau3[[#This Row],[ID-SLOT]]</f>
        <v>3.2.5</v>
      </c>
      <c r="AI517" s="72" t="str">
        <f>INDEX(Tableau1[Ref-Carte],MATCH(Tableau3[[#This Row],[ID-RRS]],Tableau1[ID-RRS],0))</f>
        <v>SDI1602</v>
      </c>
      <c r="AJ517" s="72" t="str">
        <f t="array" ref="AJ517">IFERROR(INDEX(Tableau2[TS],MATCH(1,(Tableau2[Ref-Carte]=Tableau3[[#This Row],[Ref-Carte2]])*(Tableau2[ID-Voie]=Tableau3[[#This Row],[ID-VOIE]]),0)),"")</f>
        <v>ET</v>
      </c>
      <c r="AK517" s="72" t="str">
        <f>IFERROR(INDEX(Tableau2[TS],SUMPRODUCT((Tableau2[Ref-Carte]=Tableau3[[#This Row],[Ref-Carte2]])*(Tableau2[ID-Voie]=Tableau3[[#This Row],[ID-VOIE]])*ROW(Tableau2[TS]))-ROW(Tableau2[#Headers])),"")</f>
        <v>ET</v>
      </c>
      <c r="AL517" s="72" t="str">
        <f>Tableau3[[#This Row],[Ref-Carte2]]&amp;"/"&amp;Tableau3[[#This Row],[ID-VOIE]]</f>
        <v>SDI1602/3</v>
      </c>
      <c r="AM517" s="73" t="str">
        <f>INDEX(Tableau2[Borne],MATCH(Tableau3[[#This Row],[ID-CARTEVOIE]],Tableau2[ID-CARTEVOIE],0))&amp;""</f>
        <v>1A</v>
      </c>
      <c r="AN517" s="74" t="str">
        <f>Tableau3[[#This Row],[ID-API]]&amp;Tableau3[[#This Row],[ID-RACK]]&amp;Tableau3[[#This Row],[ID-SLOT]]&amp;Tableau3[[#This Row],[BORNE]]</f>
        <v>3251A</v>
      </c>
      <c r="AO517" s="1"/>
    </row>
    <row r="518" spans="1:41" ht="20.100000000000001" customHeight="1" thickTop="1" thickBot="1">
      <c r="A518" s="68"/>
      <c r="B518" s="69" t="str">
        <f>IFERROR(INDEX(Tableau4[Date],MATCH($A518,Tableau4[EVO],0)),"")</f>
        <v/>
      </c>
      <c r="C518" s="68" t="str">
        <f>IFERROR(INDEX(Tableau4[Designation],MATCH($A518,Tableau4[EVO],0)),"")</f>
        <v/>
      </c>
      <c r="D518" s="68"/>
      <c r="E518" s="70">
        <v>256</v>
      </c>
      <c r="F518" s="71">
        <v>134</v>
      </c>
      <c r="G518" s="101" t="str">
        <f>INDEX(Tableau8[Att1],MATCH(Tableau3[[#This Row],[ID-INS]],Tableau8[ID],0))&amp;""</f>
        <v>V3</v>
      </c>
      <c r="H518" s="101" t="str">
        <f>INDEX(Tableau8[Att2],MATCH(Tableau3[[#This Row],[ID-INS]],Tableau8[ID],0))&amp;""</f>
        <v>P2</v>
      </c>
      <c r="I518" s="101" t="str">
        <f>INDEX(Tableau8[Att3],MATCH(Tableau3[[#This Row],[ID-INS]],Tableau8[ID],0))&amp;""</f>
        <v>Portail P2</v>
      </c>
      <c r="J518" s="101"/>
      <c r="K518" s="167" t="str">
        <f>INDEX(Tableau8[Nom du modele],MATCH(Tableau3[[#This Row],[ID-INS]],Tableau8[ID],0))&amp;""</f>
        <v>PortailR1V_2</v>
      </c>
      <c r="L518" s="99" t="str">
        <f>INDEX(Tableau5[Att1],MATCH(Tableau3[[#This Row],[ID-SIG]],Tableau5[ID],0))&amp;""</f>
        <v>V1_GrpHydRet2</v>
      </c>
      <c r="M518" s="99" t="str">
        <f>INDEX(Tableau5[Att2],MATCH(Tableau3[[#This Row],[ID-SIG]],Tableau5[ID],0))&amp;""</f>
        <v/>
      </c>
      <c r="N518" s="99" t="str">
        <f>INDEX(Tableau5[Att3],MATCH(Tableau3[[#This Row],[ID-SIG]],Tableau5[ID],0))&amp;""</f>
        <v/>
      </c>
      <c r="O518" s="99"/>
      <c r="P518" s="99" t="str">
        <f>INDEX(Tableau5[Description],MATCH(Tableau3[[#This Row],[ID-SIG]],Tableau5[ID],0))</f>
        <v>Retour Commande 2 marche groupe hydraulique</v>
      </c>
      <c r="Q518" s="99"/>
      <c r="R518" s="103" t="str">
        <f>Tableau3[[#This Row],[Description]]</f>
        <v>Retour Commande 2 marche groupe hydraulique</v>
      </c>
      <c r="U518" s="87">
        <v>3</v>
      </c>
      <c r="V518" s="87">
        <v>2</v>
      </c>
      <c r="W518" s="87">
        <v>5</v>
      </c>
      <c r="X518" s="87">
        <v>4</v>
      </c>
      <c r="Y518" s="40"/>
      <c r="Z518" s="165" t="str">
        <f>INDEX(Tableau2[TS],MATCH(Tableau3[[#This Row],[ID-CARTEVOIE]],Tableau2[ID-CARTEVOIE],0))</f>
        <v>ET</v>
      </c>
      <c r="AA518" s="53" t="s">
        <v>213</v>
      </c>
      <c r="AB518" s="223" t="str">
        <f>IFERROR(INDEX(Tableau5[Reserve],MATCH(Tableau3[[#This Row],[ID-SIG]],Tableau5[ID],0))&amp;"","")</f>
        <v/>
      </c>
      <c r="AC518" s="21"/>
      <c r="AD518" s="108" t="str">
        <f>INDEX(Tableau7[Repere],MATCH(Tableau3[[#This Row],[ID-API]],Tableau7[ID-API],0))&amp;""</f>
        <v>A3</v>
      </c>
      <c r="AE518" s="108" t="str">
        <f>INDEX(Tableau1[Repere-Rack],MATCH(Tableau3[[#This Row],[ID-RACK]],Tableau1[ID-RACK],0))&amp;""</f>
        <v>R2</v>
      </c>
      <c r="AF518" s="108" t="str">
        <f>INDEX(Tableau1[Repere-Slot],MATCH(Tableau3[[#This Row],[ID-SLOT]],Tableau1[ID-SLOT],0))&amp;""</f>
        <v>S5</v>
      </c>
      <c r="AG518" s="108" t="str">
        <f>INDEX(Tableau2[Repere-Voie],MATCH(Tableau3[[#This Row],[ID-VOIE]],Tableau2[ID-Voie],0))&amp;""</f>
        <v>v4</v>
      </c>
      <c r="AH518" s="72" t="str">
        <f>Tableau3[[#This Row],[ID-API]]&amp; "." &amp;Tableau3[[#This Row],[ID-RACK]]&amp; "." &amp;Tableau3[[#This Row],[ID-SLOT]]</f>
        <v>3.2.5</v>
      </c>
      <c r="AI518" s="72" t="str">
        <f>INDEX(Tableau1[Ref-Carte],MATCH(Tableau3[[#This Row],[ID-RRS]],Tableau1[ID-RRS],0))</f>
        <v>SDI1602</v>
      </c>
      <c r="AJ518" s="72" t="str">
        <f t="array" ref="AJ518">IFERROR(INDEX(Tableau2[TS],MATCH(1,(Tableau2[Ref-Carte]=Tableau3[[#This Row],[Ref-Carte2]])*(Tableau2[ID-Voie]=Tableau3[[#This Row],[ID-VOIE]]),0)),"")</f>
        <v>ET</v>
      </c>
      <c r="AK518" s="72" t="str">
        <f>IFERROR(INDEX(Tableau2[TS],SUMPRODUCT((Tableau2[Ref-Carte]=Tableau3[[#This Row],[Ref-Carte2]])*(Tableau2[ID-Voie]=Tableau3[[#This Row],[ID-VOIE]])*ROW(Tableau2[TS]))-ROW(Tableau2[#Headers])),"")</f>
        <v>ET</v>
      </c>
      <c r="AL518" s="72" t="str">
        <f>Tableau3[[#This Row],[Ref-Carte2]]&amp;"/"&amp;Tableau3[[#This Row],[ID-VOIE]]</f>
        <v>SDI1602/4</v>
      </c>
      <c r="AM518" s="73" t="str">
        <f>INDEX(Tableau2[Borne],MATCH(Tableau3[[#This Row],[ID-CARTEVOIE]],Tableau2[ID-CARTEVOIE],0))&amp;""</f>
        <v>2B</v>
      </c>
      <c r="AN518" s="74" t="str">
        <f>Tableau3[[#This Row],[ID-API]]&amp;Tableau3[[#This Row],[ID-RACK]]&amp;Tableau3[[#This Row],[ID-SLOT]]&amp;Tableau3[[#This Row],[BORNE]]</f>
        <v>3252B</v>
      </c>
      <c r="AO518" s="1"/>
    </row>
    <row r="519" spans="1:41" ht="20.100000000000001" customHeight="1" thickTop="1" thickBot="1">
      <c r="A519" s="68"/>
      <c r="B519" s="69" t="str">
        <f>IFERROR(INDEX(Tableau4[Date],MATCH($A519,Tableau4[EVO],0)),"")</f>
        <v/>
      </c>
      <c r="C519" s="68" t="str">
        <f>IFERROR(INDEX(Tableau4[Designation],MATCH($A519,Tableau4[EVO],0)),"")</f>
        <v/>
      </c>
      <c r="D519" s="68"/>
      <c r="E519" s="70">
        <v>256</v>
      </c>
      <c r="F519" s="71">
        <v>137</v>
      </c>
      <c r="G519" s="101" t="str">
        <f>INDEX(Tableau8[Att1],MATCH(Tableau3[[#This Row],[ID-INS]],Tableau8[ID],0))&amp;""</f>
        <v>V3</v>
      </c>
      <c r="H519" s="101" t="str">
        <f>INDEX(Tableau8[Att2],MATCH(Tableau3[[#This Row],[ID-INS]],Tableau8[ID],0))&amp;""</f>
        <v>P2</v>
      </c>
      <c r="I519" s="101" t="str">
        <f>INDEX(Tableau8[Att3],MATCH(Tableau3[[#This Row],[ID-INS]],Tableau8[ID],0))&amp;""</f>
        <v>Portail P2</v>
      </c>
      <c r="J519" s="101"/>
      <c r="K519" s="167" t="str">
        <f>INDEX(Tableau8[Nom du modele],MATCH(Tableau3[[#This Row],[ID-INS]],Tableau8[ID],0))&amp;""</f>
        <v>PortailR1V_2</v>
      </c>
      <c r="L519" s="99" t="str">
        <f>INDEX(Tableau5[Att1],MATCH(Tableau3[[#This Row],[ID-SIG]],Tableau5[ID],0))&amp;""</f>
        <v>V2_GrpHydRet2</v>
      </c>
      <c r="M519" s="99" t="str">
        <f>INDEX(Tableau5[Att2],MATCH(Tableau3[[#This Row],[ID-SIG]],Tableau5[ID],0))&amp;""</f>
        <v/>
      </c>
      <c r="N519" s="99" t="str">
        <f>INDEX(Tableau5[Att3],MATCH(Tableau3[[#This Row],[ID-SIG]],Tableau5[ID],0))&amp;""</f>
        <v/>
      </c>
      <c r="O519" s="99"/>
      <c r="P519" s="99" t="str">
        <f>INDEX(Tableau5[Description],MATCH(Tableau3[[#This Row],[ID-SIG]],Tableau5[ID],0))</f>
        <v>Retour Commande 2 marche groupe hydraulique vantail 2</v>
      </c>
      <c r="Q519" s="99"/>
      <c r="R519" s="103" t="str">
        <f>Tableau3[[#This Row],[Description]]</f>
        <v>Retour Commande 2 marche groupe hydraulique vantail 2</v>
      </c>
      <c r="U519" s="87">
        <v>3</v>
      </c>
      <c r="V519" s="87">
        <v>2</v>
      </c>
      <c r="W519" s="87">
        <v>5</v>
      </c>
      <c r="X519" s="87">
        <v>5</v>
      </c>
      <c r="Y519" s="40"/>
      <c r="Z519" s="165" t="str">
        <f>INDEX(Tableau2[TS],MATCH(Tableau3[[#This Row],[ID-CARTEVOIE]],Tableau2[ID-CARTEVOIE],0))</f>
        <v>ET</v>
      </c>
      <c r="AA519" s="53" t="s">
        <v>213</v>
      </c>
      <c r="AB519" s="223" t="str">
        <f>IFERROR(INDEX(Tableau5[Reserve],MATCH(Tableau3[[#This Row],[ID-SIG]],Tableau5[ID],0))&amp;"","")</f>
        <v/>
      </c>
      <c r="AC519" s="21"/>
      <c r="AD519" s="108" t="str">
        <f>INDEX(Tableau7[Repere],MATCH(Tableau3[[#This Row],[ID-API]],Tableau7[ID-API],0))&amp;""</f>
        <v>A3</v>
      </c>
      <c r="AE519" s="108" t="str">
        <f>INDEX(Tableau1[Repere-Rack],MATCH(Tableau3[[#This Row],[ID-RACK]],Tableau1[ID-RACK],0))&amp;""</f>
        <v>R2</v>
      </c>
      <c r="AF519" s="108" t="str">
        <f>INDEX(Tableau1[Repere-Slot],MATCH(Tableau3[[#This Row],[ID-SLOT]],Tableau1[ID-SLOT],0))&amp;""</f>
        <v>S5</v>
      </c>
      <c r="AG519" s="108" t="str">
        <f>INDEX(Tableau2[Repere-Voie],MATCH(Tableau3[[#This Row],[ID-VOIE]],Tableau2[ID-Voie],0))&amp;""</f>
        <v>v5</v>
      </c>
      <c r="AH519" s="72" t="str">
        <f>Tableau3[[#This Row],[ID-API]]&amp; "." &amp;Tableau3[[#This Row],[ID-RACK]]&amp; "." &amp;Tableau3[[#This Row],[ID-SLOT]]</f>
        <v>3.2.5</v>
      </c>
      <c r="AI519" s="72" t="str">
        <f>INDEX(Tableau1[Ref-Carte],MATCH(Tableau3[[#This Row],[ID-RRS]],Tableau1[ID-RRS],0))</f>
        <v>SDI1602</v>
      </c>
      <c r="AJ519" s="72" t="str">
        <f t="array" ref="AJ519">IFERROR(INDEX(Tableau2[TS],MATCH(1,(Tableau2[Ref-Carte]=Tableau3[[#This Row],[Ref-Carte2]])*(Tableau2[ID-Voie]=Tableau3[[#This Row],[ID-VOIE]]),0)),"")</f>
        <v>ET</v>
      </c>
      <c r="AK519" s="72" t="str">
        <f>IFERROR(INDEX(Tableau2[TS],SUMPRODUCT((Tableau2[Ref-Carte]=Tableau3[[#This Row],[Ref-Carte2]])*(Tableau2[ID-Voie]=Tableau3[[#This Row],[ID-VOIE]])*ROW(Tableau2[TS]))-ROW(Tableau2[#Headers])),"")</f>
        <v>ET</v>
      </c>
      <c r="AL519" s="72" t="str">
        <f>Tableau3[[#This Row],[Ref-Carte2]]&amp;"/"&amp;Tableau3[[#This Row],[ID-VOIE]]</f>
        <v>SDI1602/5</v>
      </c>
      <c r="AM519" s="73" t="str">
        <f>INDEX(Tableau2[Borne],MATCH(Tableau3[[#This Row],[ID-CARTEVOIE]],Tableau2[ID-CARTEVOIE],0))&amp;""</f>
        <v>2A</v>
      </c>
      <c r="AN519" s="74" t="str">
        <f>Tableau3[[#This Row],[ID-API]]&amp;Tableau3[[#This Row],[ID-RACK]]&amp;Tableau3[[#This Row],[ID-SLOT]]&amp;Tableau3[[#This Row],[BORNE]]</f>
        <v>3252A</v>
      </c>
      <c r="AO519" s="1"/>
    </row>
    <row r="520" spans="1:41" ht="20.100000000000001" customHeight="1" thickTop="1" thickBot="1">
      <c r="A520" s="68"/>
      <c r="B520" s="69" t="str">
        <f>IFERROR(INDEX(Tableau4[Date],MATCH($A520,Tableau4[EVO],0)),"")</f>
        <v/>
      </c>
      <c r="C520" s="68" t="str">
        <f>IFERROR(INDEX(Tableau4[Designation],MATCH($A520,Tableau4[EVO],0)),"")</f>
        <v/>
      </c>
      <c r="D520" s="68"/>
      <c r="E520" s="70">
        <v>256</v>
      </c>
      <c r="F520" s="71">
        <v>138</v>
      </c>
      <c r="G520" s="101" t="str">
        <f>INDEX(Tableau8[Att1],MATCH(Tableau3[[#This Row],[ID-INS]],Tableau8[ID],0))&amp;""</f>
        <v>V3</v>
      </c>
      <c r="H520" s="101" t="str">
        <f>INDEX(Tableau8[Att2],MATCH(Tableau3[[#This Row],[ID-INS]],Tableau8[ID],0))&amp;""</f>
        <v>P2</v>
      </c>
      <c r="I520" s="101" t="str">
        <f>INDEX(Tableau8[Att3],MATCH(Tableau3[[#This Row],[ID-INS]],Tableau8[ID],0))&amp;""</f>
        <v>Portail P2</v>
      </c>
      <c r="J520" s="101"/>
      <c r="K520" s="167" t="str">
        <f>INDEX(Tableau8[Nom du modele],MATCH(Tableau3[[#This Row],[ID-INS]],Tableau8[ID],0))&amp;""</f>
        <v>PortailR1V_2</v>
      </c>
      <c r="L520" s="99" t="str">
        <f>INDEX(Tableau5[Att1],MATCH(Tableau3[[#This Row],[ID-SIG]],Tableau5[ID],0))&amp;""</f>
        <v>V2_FerRet2</v>
      </c>
      <c r="M520" s="99" t="str">
        <f>INDEX(Tableau5[Att2],MATCH(Tableau3[[#This Row],[ID-SIG]],Tableau5[ID],0))&amp;""</f>
        <v/>
      </c>
      <c r="N520" s="99" t="str">
        <f>INDEX(Tableau5[Att3],MATCH(Tableau3[[#This Row],[ID-SIG]],Tableau5[ID],0))&amp;""</f>
        <v/>
      </c>
      <c r="O520" s="99"/>
      <c r="P520" s="99" t="str">
        <f>INDEX(Tableau5[Description],MATCH(Tableau3[[#This Row],[ID-SIG]],Tableau5[ID],0))</f>
        <v>Retour Commande 2 fermeture vantail 2</v>
      </c>
      <c r="Q520" s="99"/>
      <c r="R520" s="103" t="str">
        <f>Tableau3[[#This Row],[Description]]</f>
        <v>Retour Commande 2 fermeture vantail 2</v>
      </c>
      <c r="U520" s="87">
        <v>3</v>
      </c>
      <c r="V520" s="87">
        <v>2</v>
      </c>
      <c r="W520" s="87">
        <v>5</v>
      </c>
      <c r="X520" s="87">
        <v>6</v>
      </c>
      <c r="Y520" s="40"/>
      <c r="Z520" s="165" t="str">
        <f>INDEX(Tableau2[TS],MATCH(Tableau3[[#This Row],[ID-CARTEVOIE]],Tableau2[ID-CARTEVOIE],0))</f>
        <v>ET</v>
      </c>
      <c r="AA520" s="53" t="s">
        <v>213</v>
      </c>
      <c r="AB520" s="223" t="str">
        <f>IFERROR(INDEX(Tableau5[Reserve],MATCH(Tableau3[[#This Row],[ID-SIG]],Tableau5[ID],0))&amp;"","")</f>
        <v/>
      </c>
      <c r="AC520" s="21"/>
      <c r="AD520" s="108" t="str">
        <f>INDEX(Tableau7[Repere],MATCH(Tableau3[[#This Row],[ID-API]],Tableau7[ID-API],0))&amp;""</f>
        <v>A3</v>
      </c>
      <c r="AE520" s="108" t="str">
        <f>INDEX(Tableau1[Repere-Rack],MATCH(Tableau3[[#This Row],[ID-RACK]],Tableau1[ID-RACK],0))&amp;""</f>
        <v>R2</v>
      </c>
      <c r="AF520" s="108" t="str">
        <f>INDEX(Tableau1[Repere-Slot],MATCH(Tableau3[[#This Row],[ID-SLOT]],Tableau1[ID-SLOT],0))&amp;""</f>
        <v>S5</v>
      </c>
      <c r="AG520" s="108" t="str">
        <f>INDEX(Tableau2[Repere-Voie],MATCH(Tableau3[[#This Row],[ID-VOIE]],Tableau2[ID-Voie],0))&amp;""</f>
        <v>v6</v>
      </c>
      <c r="AH520" s="72" t="str">
        <f>Tableau3[[#This Row],[ID-API]]&amp; "." &amp;Tableau3[[#This Row],[ID-RACK]]&amp; "." &amp;Tableau3[[#This Row],[ID-SLOT]]</f>
        <v>3.2.5</v>
      </c>
      <c r="AI520" s="72" t="str">
        <f>INDEX(Tableau1[Ref-Carte],MATCH(Tableau3[[#This Row],[ID-RRS]],Tableau1[ID-RRS],0))</f>
        <v>SDI1602</v>
      </c>
      <c r="AJ520" s="72" t="str">
        <f t="array" ref="AJ520">IFERROR(INDEX(Tableau2[TS],MATCH(1,(Tableau2[Ref-Carte]=Tableau3[[#This Row],[Ref-Carte2]])*(Tableau2[ID-Voie]=Tableau3[[#This Row],[ID-VOIE]]),0)),"")</f>
        <v>ET</v>
      </c>
      <c r="AK520" s="72" t="str">
        <f>IFERROR(INDEX(Tableau2[TS],SUMPRODUCT((Tableau2[Ref-Carte]=Tableau3[[#This Row],[Ref-Carte2]])*(Tableau2[ID-Voie]=Tableau3[[#This Row],[ID-VOIE]])*ROW(Tableau2[TS]))-ROW(Tableau2[#Headers])),"")</f>
        <v>ET</v>
      </c>
      <c r="AL520" s="72" t="str">
        <f>Tableau3[[#This Row],[Ref-Carte2]]&amp;"/"&amp;Tableau3[[#This Row],[ID-VOIE]]</f>
        <v>SDI1602/6</v>
      </c>
      <c r="AM520" s="73" t="str">
        <f>INDEX(Tableau2[Borne],MATCH(Tableau3[[#This Row],[ID-CARTEVOIE]],Tableau2[ID-CARTEVOIE],0))&amp;""</f>
        <v>3B</v>
      </c>
      <c r="AN520" s="74" t="str">
        <f>Tableau3[[#This Row],[ID-API]]&amp;Tableau3[[#This Row],[ID-RACK]]&amp;Tableau3[[#This Row],[ID-SLOT]]&amp;Tableau3[[#This Row],[BORNE]]</f>
        <v>3253B</v>
      </c>
      <c r="AO520" s="1"/>
    </row>
    <row r="521" spans="1:41" ht="20.100000000000001" customHeight="1" thickTop="1" thickBot="1">
      <c r="A521" s="68"/>
      <c r="B521" s="69" t="str">
        <f>IFERROR(INDEX(Tableau4[Date],MATCH($A521,Tableau4[EVO],0)),"")</f>
        <v/>
      </c>
      <c r="C521" s="68" t="str">
        <f>IFERROR(INDEX(Tableau4[Designation],MATCH($A521,Tableau4[EVO],0)),"")</f>
        <v/>
      </c>
      <c r="D521" s="68"/>
      <c r="E521" s="70">
        <v>256</v>
      </c>
      <c r="F521" s="71">
        <v>139</v>
      </c>
      <c r="G521" s="101" t="str">
        <f>INDEX(Tableau8[Att1],MATCH(Tableau3[[#This Row],[ID-INS]],Tableau8[ID],0))&amp;""</f>
        <v>V3</v>
      </c>
      <c r="H521" s="101" t="str">
        <f>INDEX(Tableau8[Att2],MATCH(Tableau3[[#This Row],[ID-INS]],Tableau8[ID],0))&amp;""</f>
        <v>P2</v>
      </c>
      <c r="I521" s="101" t="str">
        <f>INDEX(Tableau8[Att3],MATCH(Tableau3[[#This Row],[ID-INS]],Tableau8[ID],0))&amp;""</f>
        <v>Portail P2</v>
      </c>
      <c r="J521" s="101"/>
      <c r="K521" s="167" t="str">
        <f>INDEX(Tableau8[Nom du modele],MATCH(Tableau3[[#This Row],[ID-INS]],Tableau8[ID],0))&amp;""</f>
        <v>PortailR1V_2</v>
      </c>
      <c r="L521" s="99" t="str">
        <f>INDEX(Tableau5[Att1],MATCH(Tableau3[[#This Row],[ID-SIG]],Tableau5[ID],0))&amp;""</f>
        <v>V2_Fer2</v>
      </c>
      <c r="M521" s="99" t="str">
        <f>INDEX(Tableau5[Att2],MATCH(Tableau3[[#This Row],[ID-SIG]],Tableau5[ID],0))&amp;""</f>
        <v/>
      </c>
      <c r="N521" s="99" t="str">
        <f>INDEX(Tableau5[Att3],MATCH(Tableau3[[#This Row],[ID-SIG]],Tableau5[ID],0))&amp;""</f>
        <v/>
      </c>
      <c r="O521" s="99"/>
      <c r="P521" s="99" t="str">
        <f>INDEX(Tableau5[Description],MATCH(Tableau3[[#This Row],[ID-SIG]],Tableau5[ID],0))</f>
        <v>Vantail 2 Fermé 2</v>
      </c>
      <c r="Q521" s="99"/>
      <c r="R521" s="103" t="str">
        <f>Tableau3[[#This Row],[Description]]</f>
        <v>Vantail 2 Fermé 2</v>
      </c>
      <c r="U521" s="87">
        <v>3</v>
      </c>
      <c r="V521" s="87">
        <v>2</v>
      </c>
      <c r="W521" s="87">
        <v>5</v>
      </c>
      <c r="X521" s="87">
        <v>7</v>
      </c>
      <c r="Y521" s="40"/>
      <c r="Z521" s="165" t="str">
        <f>INDEX(Tableau2[TS],MATCH(Tableau3[[#This Row],[ID-CARTEVOIE]],Tableau2[ID-CARTEVOIE],0))</f>
        <v>ET</v>
      </c>
      <c r="AA521" s="53" t="s">
        <v>213</v>
      </c>
      <c r="AB521" s="223" t="str">
        <f>IFERROR(INDEX(Tableau5[Reserve],MATCH(Tableau3[[#This Row],[ID-SIG]],Tableau5[ID],0))&amp;"","")</f>
        <v/>
      </c>
      <c r="AC521" s="21"/>
      <c r="AD521" s="108" t="str">
        <f>INDEX(Tableau7[Repere],MATCH(Tableau3[[#This Row],[ID-API]],Tableau7[ID-API],0))&amp;""</f>
        <v>A3</v>
      </c>
      <c r="AE521" s="108" t="str">
        <f>INDEX(Tableau1[Repere-Rack],MATCH(Tableau3[[#This Row],[ID-RACK]],Tableau1[ID-RACK],0))&amp;""</f>
        <v>R2</v>
      </c>
      <c r="AF521" s="108" t="str">
        <f>INDEX(Tableau1[Repere-Slot],MATCH(Tableau3[[#This Row],[ID-SLOT]],Tableau1[ID-SLOT],0))&amp;""</f>
        <v>S5</v>
      </c>
      <c r="AG521" s="108" t="str">
        <f>INDEX(Tableau2[Repere-Voie],MATCH(Tableau3[[#This Row],[ID-VOIE]],Tableau2[ID-Voie],0))&amp;""</f>
        <v>v7</v>
      </c>
      <c r="AH521" s="72" t="str">
        <f>Tableau3[[#This Row],[ID-API]]&amp; "." &amp;Tableau3[[#This Row],[ID-RACK]]&amp; "." &amp;Tableau3[[#This Row],[ID-SLOT]]</f>
        <v>3.2.5</v>
      </c>
      <c r="AI521" s="72" t="str">
        <f>INDEX(Tableau1[Ref-Carte],MATCH(Tableau3[[#This Row],[ID-RRS]],Tableau1[ID-RRS],0))</f>
        <v>SDI1602</v>
      </c>
      <c r="AJ521" s="72" t="str">
        <f t="array" ref="AJ521">IFERROR(INDEX(Tableau2[TS],MATCH(1,(Tableau2[Ref-Carte]=Tableau3[[#This Row],[Ref-Carte2]])*(Tableau2[ID-Voie]=Tableau3[[#This Row],[ID-VOIE]]),0)),"")</f>
        <v>ET</v>
      </c>
      <c r="AK521" s="72" t="str">
        <f>IFERROR(INDEX(Tableau2[TS],SUMPRODUCT((Tableau2[Ref-Carte]=Tableau3[[#This Row],[Ref-Carte2]])*(Tableau2[ID-Voie]=Tableau3[[#This Row],[ID-VOIE]])*ROW(Tableau2[TS]))-ROW(Tableau2[#Headers])),"")</f>
        <v>ET</v>
      </c>
      <c r="AL521" s="72" t="str">
        <f>Tableau3[[#This Row],[Ref-Carte2]]&amp;"/"&amp;Tableau3[[#This Row],[ID-VOIE]]</f>
        <v>SDI1602/7</v>
      </c>
      <c r="AM521" s="73" t="str">
        <f>INDEX(Tableau2[Borne],MATCH(Tableau3[[#This Row],[ID-CARTEVOIE]],Tableau2[ID-CARTEVOIE],0))&amp;""</f>
        <v>3A</v>
      </c>
      <c r="AN521" s="74" t="str">
        <f>Tableau3[[#This Row],[ID-API]]&amp;Tableau3[[#This Row],[ID-RACK]]&amp;Tableau3[[#This Row],[ID-SLOT]]&amp;Tableau3[[#This Row],[BORNE]]</f>
        <v>3253A</v>
      </c>
      <c r="AO521" s="1"/>
    </row>
    <row r="522" spans="1:41" ht="20.100000000000001" customHeight="1" thickTop="1" thickBot="1">
      <c r="A522" s="68"/>
      <c r="B522" s="69" t="str">
        <f>IFERROR(INDEX(Tableau4[Date],MATCH($A522,Tableau4[EVO],0)),"")</f>
        <v/>
      </c>
      <c r="C522" s="68" t="str">
        <f>IFERROR(INDEX(Tableau4[Designation],MATCH($A522,Tableau4[EVO],0)),"")</f>
        <v/>
      </c>
      <c r="D522" s="68"/>
      <c r="E522" s="70">
        <v>256</v>
      </c>
      <c r="F522" s="71">
        <v>145</v>
      </c>
      <c r="G522" s="101" t="str">
        <f>INDEX(Tableau8[Att1],MATCH(Tableau3[[#This Row],[ID-INS]],Tableau8[ID],0))&amp;""</f>
        <v>V3</v>
      </c>
      <c r="H522" s="101" t="str">
        <f>INDEX(Tableau8[Att2],MATCH(Tableau3[[#This Row],[ID-INS]],Tableau8[ID],0))&amp;""</f>
        <v>P2</v>
      </c>
      <c r="I522" s="101" t="str">
        <f>INDEX(Tableau8[Att3],MATCH(Tableau3[[#This Row],[ID-INS]],Tableau8[ID],0))&amp;""</f>
        <v>Portail P2</v>
      </c>
      <c r="J522" s="101"/>
      <c r="K522" s="167" t="str">
        <f>INDEX(Tableau8[Nom du modele],MATCH(Tableau3[[#This Row],[ID-INS]],Tableau8[ID],0))&amp;""</f>
        <v>PortailR1V_2</v>
      </c>
      <c r="L522" s="99" t="str">
        <f>INDEX(Tableau5[Att1],MATCH(Tableau3[[#This Row],[ID-SIG]],Tableau5[ID],0))&amp;""</f>
        <v>V2_Ouv</v>
      </c>
      <c r="M522" s="99" t="str">
        <f>INDEX(Tableau5[Att2],MATCH(Tableau3[[#This Row],[ID-SIG]],Tableau5[ID],0))&amp;""</f>
        <v/>
      </c>
      <c r="N522" s="99" t="str">
        <f>INDEX(Tableau5[Att3],MATCH(Tableau3[[#This Row],[ID-SIG]],Tableau5[ID],0))&amp;""</f>
        <v/>
      </c>
      <c r="O522" s="99"/>
      <c r="P522" s="99" t="str">
        <f>INDEX(Tableau5[Description],MATCH(Tableau3[[#This Row],[ID-SIG]],Tableau5[ID],0))</f>
        <v>Vantail 2 en fdc Ouvert</v>
      </c>
      <c r="Q522" s="99"/>
      <c r="R522" s="103" t="str">
        <f>Tableau3[[#This Row],[Description]]</f>
        <v>Vantail 2 en fdc Ouvert</v>
      </c>
      <c r="U522" s="87">
        <v>3</v>
      </c>
      <c r="V522" s="87">
        <v>2</v>
      </c>
      <c r="W522" s="87">
        <v>5</v>
      </c>
      <c r="X522" s="87">
        <v>8</v>
      </c>
      <c r="Y522" s="40"/>
      <c r="Z522" s="165" t="str">
        <f>INDEX(Tableau2[TS],MATCH(Tableau3[[#This Row],[ID-CARTEVOIE]],Tableau2[ID-CARTEVOIE],0))</f>
        <v>ET</v>
      </c>
      <c r="AA522" s="53" t="s">
        <v>213</v>
      </c>
      <c r="AB522" s="223" t="str">
        <f>IFERROR(INDEX(Tableau5[Reserve],MATCH(Tableau3[[#This Row],[ID-SIG]],Tableau5[ID],0))&amp;"","")</f>
        <v/>
      </c>
      <c r="AC522" s="21"/>
      <c r="AD522" s="108" t="str">
        <f>INDEX(Tableau7[Repere],MATCH(Tableau3[[#This Row],[ID-API]],Tableau7[ID-API],0))&amp;""</f>
        <v>A3</v>
      </c>
      <c r="AE522" s="108" t="str">
        <f>INDEX(Tableau1[Repere-Rack],MATCH(Tableau3[[#This Row],[ID-RACK]],Tableau1[ID-RACK],0))&amp;""</f>
        <v>R2</v>
      </c>
      <c r="AF522" s="108" t="str">
        <f>INDEX(Tableau1[Repere-Slot],MATCH(Tableau3[[#This Row],[ID-SLOT]],Tableau1[ID-SLOT],0))&amp;""</f>
        <v>S5</v>
      </c>
      <c r="AG522" s="108" t="str">
        <f>INDEX(Tableau2[Repere-Voie],MATCH(Tableau3[[#This Row],[ID-VOIE]],Tableau2[ID-Voie],0))&amp;""</f>
        <v>v8</v>
      </c>
      <c r="AH522" s="72" t="str">
        <f>Tableau3[[#This Row],[ID-API]]&amp; "." &amp;Tableau3[[#This Row],[ID-RACK]]&amp; "." &amp;Tableau3[[#This Row],[ID-SLOT]]</f>
        <v>3.2.5</v>
      </c>
      <c r="AI522" s="72" t="str">
        <f>INDEX(Tableau1[Ref-Carte],MATCH(Tableau3[[#This Row],[ID-RRS]],Tableau1[ID-RRS],0))</f>
        <v>SDI1602</v>
      </c>
      <c r="AJ522" s="72" t="str">
        <f t="array" ref="AJ522">IFERROR(INDEX(Tableau2[TS],MATCH(1,(Tableau2[Ref-Carte]=Tableau3[[#This Row],[Ref-Carte2]])*(Tableau2[ID-Voie]=Tableau3[[#This Row],[ID-VOIE]]),0)),"")</f>
        <v>ET</v>
      </c>
      <c r="AK522" s="72" t="str">
        <f>IFERROR(INDEX(Tableau2[TS],SUMPRODUCT((Tableau2[Ref-Carte]=Tableau3[[#This Row],[Ref-Carte2]])*(Tableau2[ID-Voie]=Tableau3[[#This Row],[ID-VOIE]])*ROW(Tableau2[TS]))-ROW(Tableau2[#Headers])),"")</f>
        <v>ET</v>
      </c>
      <c r="AL522" s="72" t="str">
        <f>Tableau3[[#This Row],[Ref-Carte2]]&amp;"/"&amp;Tableau3[[#This Row],[ID-VOIE]]</f>
        <v>SDI1602/8</v>
      </c>
      <c r="AM522" s="73" t="str">
        <f>INDEX(Tableau2[Borne],MATCH(Tableau3[[#This Row],[ID-CARTEVOIE]],Tableau2[ID-CARTEVOIE],0))&amp;""</f>
        <v>4B</v>
      </c>
      <c r="AN522" s="74" t="str">
        <f>Tableau3[[#This Row],[ID-API]]&amp;Tableau3[[#This Row],[ID-RACK]]&amp;Tableau3[[#This Row],[ID-SLOT]]&amp;Tableau3[[#This Row],[BORNE]]</f>
        <v>3254B</v>
      </c>
      <c r="AO522" s="1"/>
    </row>
    <row r="523" spans="1:41" ht="20.100000000000001" customHeight="1" thickTop="1" thickBot="1">
      <c r="A523" s="68"/>
      <c r="B523" s="69" t="str">
        <f>IFERROR(INDEX(Tableau4[Date],MATCH($A523,Tableau4[EVO],0)),"")</f>
        <v/>
      </c>
      <c r="C523" s="68" t="str">
        <f>IFERROR(INDEX(Tableau4[Designation],MATCH($A523,Tableau4[EVO],0)),"")</f>
        <v/>
      </c>
      <c r="D523" s="68"/>
      <c r="E523" s="70">
        <v>256</v>
      </c>
      <c r="F523" s="71">
        <v>147</v>
      </c>
      <c r="G523" s="101" t="str">
        <f>INDEX(Tableau8[Att1],MATCH(Tableau3[[#This Row],[ID-INS]],Tableau8[ID],0))&amp;""</f>
        <v>V3</v>
      </c>
      <c r="H523" s="101" t="str">
        <f>INDEX(Tableau8[Att2],MATCH(Tableau3[[#This Row],[ID-INS]],Tableau8[ID],0))&amp;""</f>
        <v>P2</v>
      </c>
      <c r="I523" s="101" t="str">
        <f>INDEX(Tableau8[Att3],MATCH(Tableau3[[#This Row],[ID-INS]],Tableau8[ID],0))&amp;""</f>
        <v>Portail P2</v>
      </c>
      <c r="J523" s="101"/>
      <c r="K523" s="167" t="str">
        <f>INDEX(Tableau8[Nom du modele],MATCH(Tableau3[[#This Row],[ID-INS]],Tableau8[ID],0))&amp;""</f>
        <v>PortailR1V_2</v>
      </c>
      <c r="L523" s="99" t="str">
        <f>INDEX(Tableau5[Att1],MATCH(Tableau3[[#This Row],[ID-SIG]],Tableau5[ID],0))&amp;""</f>
        <v>V2_OuvProtect</v>
      </c>
      <c r="M523" s="99" t="str">
        <f>INDEX(Tableau5[Att2],MATCH(Tableau3[[#This Row],[ID-SIG]],Tableau5[ID],0))&amp;""</f>
        <v/>
      </c>
      <c r="N523" s="99" t="str">
        <f>INDEX(Tableau5[Att3],MATCH(Tableau3[[#This Row],[ID-SIG]],Tableau5[ID],0))&amp;""</f>
        <v/>
      </c>
      <c r="O523" s="99"/>
      <c r="P523" s="99" t="str">
        <f>INDEX(Tableau5[Description],MATCH(Tableau3[[#This Row],[ID-SIG]],Tableau5[ID],0))</f>
        <v>Vantail 2 Protection à l'ouverture par bande palpeuse</v>
      </c>
      <c r="Q523" s="99"/>
      <c r="R523" s="103" t="str">
        <f>Tableau3[[#This Row],[Description]]</f>
        <v>Vantail 2 Protection à l'ouverture par bande palpeuse</v>
      </c>
      <c r="U523" s="87">
        <v>3</v>
      </c>
      <c r="V523" s="87">
        <v>2</v>
      </c>
      <c r="W523" s="87">
        <v>5</v>
      </c>
      <c r="X523" s="87">
        <v>9</v>
      </c>
      <c r="Y523" s="40"/>
      <c r="Z523" s="165" t="str">
        <f>INDEX(Tableau2[TS],MATCH(Tableau3[[#This Row],[ID-CARTEVOIE]],Tableau2[ID-CARTEVOIE],0))</f>
        <v>ET</v>
      </c>
      <c r="AA523" s="53" t="s">
        <v>213</v>
      </c>
      <c r="AB523" s="223" t="str">
        <f>IFERROR(INDEX(Tableau5[Reserve],MATCH(Tableau3[[#This Row],[ID-SIG]],Tableau5[ID],0))&amp;"","")</f>
        <v/>
      </c>
      <c r="AC523" s="21"/>
      <c r="AD523" s="108" t="str">
        <f>INDEX(Tableau7[Repere],MATCH(Tableau3[[#This Row],[ID-API]],Tableau7[ID-API],0))&amp;""</f>
        <v>A3</v>
      </c>
      <c r="AE523" s="108" t="str">
        <f>INDEX(Tableau1[Repere-Rack],MATCH(Tableau3[[#This Row],[ID-RACK]],Tableau1[ID-RACK],0))&amp;""</f>
        <v>R2</v>
      </c>
      <c r="AF523" s="108" t="str">
        <f>INDEX(Tableau1[Repere-Slot],MATCH(Tableau3[[#This Row],[ID-SLOT]],Tableau1[ID-SLOT],0))&amp;""</f>
        <v>S5</v>
      </c>
      <c r="AG523" s="108" t="str">
        <f>INDEX(Tableau2[Repere-Voie],MATCH(Tableau3[[#This Row],[ID-VOIE]],Tableau2[ID-Voie],0))&amp;""</f>
        <v>v9</v>
      </c>
      <c r="AH523" s="72" t="str">
        <f>Tableau3[[#This Row],[ID-API]]&amp; "." &amp;Tableau3[[#This Row],[ID-RACK]]&amp; "." &amp;Tableau3[[#This Row],[ID-SLOT]]</f>
        <v>3.2.5</v>
      </c>
      <c r="AI523" s="72" t="str">
        <f>INDEX(Tableau1[Ref-Carte],MATCH(Tableau3[[#This Row],[ID-RRS]],Tableau1[ID-RRS],0))</f>
        <v>SDI1602</v>
      </c>
      <c r="AJ523" s="72" t="str">
        <f t="array" ref="AJ523">IFERROR(INDEX(Tableau2[TS],MATCH(1,(Tableau2[Ref-Carte]=Tableau3[[#This Row],[Ref-Carte2]])*(Tableau2[ID-Voie]=Tableau3[[#This Row],[ID-VOIE]]),0)),"")</f>
        <v>ET</v>
      </c>
      <c r="AK523" s="72" t="str">
        <f>IFERROR(INDEX(Tableau2[TS],SUMPRODUCT((Tableau2[Ref-Carte]=Tableau3[[#This Row],[Ref-Carte2]])*(Tableau2[ID-Voie]=Tableau3[[#This Row],[ID-VOIE]])*ROW(Tableau2[TS]))-ROW(Tableau2[#Headers])),"")</f>
        <v>ET</v>
      </c>
      <c r="AL523" s="72" t="str">
        <f>Tableau3[[#This Row],[Ref-Carte2]]&amp;"/"&amp;Tableau3[[#This Row],[ID-VOIE]]</f>
        <v>SDI1602/9</v>
      </c>
      <c r="AM523" s="73" t="str">
        <f>INDEX(Tableau2[Borne],MATCH(Tableau3[[#This Row],[ID-CARTEVOIE]],Tableau2[ID-CARTEVOIE],0))&amp;""</f>
        <v>4A</v>
      </c>
      <c r="AN523" s="74" t="str">
        <f>Tableau3[[#This Row],[ID-API]]&amp;Tableau3[[#This Row],[ID-RACK]]&amp;Tableau3[[#This Row],[ID-SLOT]]&amp;Tableau3[[#This Row],[BORNE]]</f>
        <v>3254A</v>
      </c>
      <c r="AO523" s="1"/>
    </row>
    <row r="524" spans="1:41" ht="20.100000000000001" customHeight="1" thickTop="1" thickBot="1">
      <c r="A524" s="68"/>
      <c r="B524" s="69" t="str">
        <f>IFERROR(INDEX(Tableau4[Date],MATCH($A524,Tableau4[EVO],0)),"")</f>
        <v/>
      </c>
      <c r="C524" s="68" t="str">
        <f>IFERROR(INDEX(Tableau4[Designation],MATCH($A524,Tableau4[EVO],0)),"")</f>
        <v/>
      </c>
      <c r="D524" s="68"/>
      <c r="E524" s="70">
        <v>256</v>
      </c>
      <c r="F524" s="71">
        <v>148</v>
      </c>
      <c r="G524" s="101" t="str">
        <f>INDEX(Tableau8[Att1],MATCH(Tableau3[[#This Row],[ID-INS]],Tableau8[ID],0))&amp;""</f>
        <v>V3</v>
      </c>
      <c r="H524" s="101" t="str">
        <f>INDEX(Tableau8[Att2],MATCH(Tableau3[[#This Row],[ID-INS]],Tableau8[ID],0))&amp;""</f>
        <v>P2</v>
      </c>
      <c r="I524" s="101" t="str">
        <f>INDEX(Tableau8[Att3],MATCH(Tableau3[[#This Row],[ID-INS]],Tableau8[ID],0))&amp;""</f>
        <v>Portail P2</v>
      </c>
      <c r="J524" s="101"/>
      <c r="K524" s="167" t="str">
        <f>INDEX(Tableau8[Nom du modele],MATCH(Tableau3[[#This Row],[ID-INS]],Tableau8[ID],0))&amp;""</f>
        <v>PortailR1V_2</v>
      </c>
      <c r="L524" s="99" t="str">
        <f>INDEX(Tableau5[Att1],MATCH(Tableau3[[#This Row],[ID-SIG]],Tableau5[ID],0))&amp;""</f>
        <v>V2_ProtectBarrage</v>
      </c>
      <c r="M524" s="99" t="str">
        <f>INDEX(Tableau5[Att2],MATCH(Tableau3[[#This Row],[ID-SIG]],Tableau5[ID],0))&amp;""</f>
        <v/>
      </c>
      <c r="N524" s="99" t="str">
        <f>INDEX(Tableau5[Att3],MATCH(Tableau3[[#This Row],[ID-SIG]],Tableau5[ID],0))&amp;""</f>
        <v/>
      </c>
      <c r="O524" s="99"/>
      <c r="P524" s="99" t="str">
        <f>INDEX(Tableau5[Description],MATCH(Tableau3[[#This Row],[ID-SIG]],Tableau5[ID],0))</f>
        <v>Vantail 2 Protection par cellule</v>
      </c>
      <c r="Q524" s="99"/>
      <c r="R524" s="103" t="str">
        <f>Tableau3[[#This Row],[Description]]</f>
        <v>Vantail 2 Protection par cellule</v>
      </c>
      <c r="U524" s="87">
        <v>3</v>
      </c>
      <c r="V524" s="87">
        <v>2</v>
      </c>
      <c r="W524" s="87">
        <v>5</v>
      </c>
      <c r="X524" s="87">
        <v>10</v>
      </c>
      <c r="Y524" s="40"/>
      <c r="Z524" s="165" t="str">
        <f>INDEX(Tableau2[TS],MATCH(Tableau3[[#This Row],[ID-CARTEVOIE]],Tableau2[ID-CARTEVOIE],0))</f>
        <v>ET</v>
      </c>
      <c r="AA524" s="53" t="s">
        <v>213</v>
      </c>
      <c r="AB524" s="223" t="str">
        <f>IFERROR(INDEX(Tableau5[Reserve],MATCH(Tableau3[[#This Row],[ID-SIG]],Tableau5[ID],0))&amp;"","")</f>
        <v/>
      </c>
      <c r="AC524" s="21"/>
      <c r="AD524" s="108" t="str">
        <f>INDEX(Tableau7[Repere],MATCH(Tableau3[[#This Row],[ID-API]],Tableau7[ID-API],0))&amp;""</f>
        <v>A3</v>
      </c>
      <c r="AE524" s="108" t="str">
        <f>INDEX(Tableau1[Repere-Rack],MATCH(Tableau3[[#This Row],[ID-RACK]],Tableau1[ID-RACK],0))&amp;""</f>
        <v>R2</v>
      </c>
      <c r="AF524" s="108" t="str">
        <f>INDEX(Tableau1[Repere-Slot],MATCH(Tableau3[[#This Row],[ID-SLOT]],Tableau1[ID-SLOT],0))&amp;""</f>
        <v>S5</v>
      </c>
      <c r="AG524" s="108" t="str">
        <f>INDEX(Tableau2[Repere-Voie],MATCH(Tableau3[[#This Row],[ID-VOIE]],Tableau2[ID-Voie],0))&amp;""</f>
        <v>v10</v>
      </c>
      <c r="AH524" s="72" t="str">
        <f>Tableau3[[#This Row],[ID-API]]&amp; "." &amp;Tableau3[[#This Row],[ID-RACK]]&amp; "." &amp;Tableau3[[#This Row],[ID-SLOT]]</f>
        <v>3.2.5</v>
      </c>
      <c r="AI524" s="72" t="str">
        <f>INDEX(Tableau1[Ref-Carte],MATCH(Tableau3[[#This Row],[ID-RRS]],Tableau1[ID-RRS],0))</f>
        <v>SDI1602</v>
      </c>
      <c r="AJ524" s="72" t="str">
        <f t="array" ref="AJ524">IFERROR(INDEX(Tableau2[TS],MATCH(1,(Tableau2[Ref-Carte]=Tableau3[[#This Row],[Ref-Carte2]])*(Tableau2[ID-Voie]=Tableau3[[#This Row],[ID-VOIE]]),0)),"")</f>
        <v>ET</v>
      </c>
      <c r="AK524" s="72" t="str">
        <f>IFERROR(INDEX(Tableau2[TS],SUMPRODUCT((Tableau2[Ref-Carte]=Tableau3[[#This Row],[Ref-Carte2]])*(Tableau2[ID-Voie]=Tableau3[[#This Row],[ID-VOIE]])*ROW(Tableau2[TS]))-ROW(Tableau2[#Headers])),"")</f>
        <v>ET</v>
      </c>
      <c r="AL524" s="72" t="str">
        <f>Tableau3[[#This Row],[Ref-Carte2]]&amp;"/"&amp;Tableau3[[#This Row],[ID-VOIE]]</f>
        <v>SDI1602/10</v>
      </c>
      <c r="AM524" s="73" t="str">
        <f>INDEX(Tableau2[Borne],MATCH(Tableau3[[#This Row],[ID-CARTEVOIE]],Tableau2[ID-CARTEVOIE],0))&amp;""</f>
        <v>5B</v>
      </c>
      <c r="AN524" s="74" t="str">
        <f>Tableau3[[#This Row],[ID-API]]&amp;Tableau3[[#This Row],[ID-RACK]]&amp;Tableau3[[#This Row],[ID-SLOT]]&amp;Tableau3[[#This Row],[BORNE]]</f>
        <v>3255B</v>
      </c>
      <c r="AO524" s="1"/>
    </row>
    <row r="525" spans="1:41" ht="20.100000000000001" customHeight="1" thickTop="1" thickBot="1">
      <c r="A525" s="68"/>
      <c r="B525" s="69" t="str">
        <f>IFERROR(INDEX(Tableau4[Date],MATCH($A525,Tableau4[EVO],0)),"")</f>
        <v/>
      </c>
      <c r="C525" s="68" t="str">
        <f>IFERROR(INDEX(Tableau4[Designation],MATCH($A525,Tableau4[EVO],0)),"")</f>
        <v/>
      </c>
      <c r="D525" s="68"/>
      <c r="E525" s="70">
        <v>256</v>
      </c>
      <c r="F525" s="71">
        <v>149</v>
      </c>
      <c r="G525" s="101" t="str">
        <f>INDEX(Tableau8[Att1],MATCH(Tableau3[[#This Row],[ID-INS]],Tableau8[ID],0))&amp;""</f>
        <v>V3</v>
      </c>
      <c r="H525" s="101" t="str">
        <f>INDEX(Tableau8[Att2],MATCH(Tableau3[[#This Row],[ID-INS]],Tableau8[ID],0))&amp;""</f>
        <v>P2</v>
      </c>
      <c r="I525" s="101" t="str">
        <f>INDEX(Tableau8[Att3],MATCH(Tableau3[[#This Row],[ID-INS]],Tableau8[ID],0))&amp;""</f>
        <v>Portail P2</v>
      </c>
      <c r="J525" s="101"/>
      <c r="K525" s="167" t="str">
        <f>INDEX(Tableau8[Nom du modele],MATCH(Tableau3[[#This Row],[ID-INS]],Tableau8[ID],0))&amp;""</f>
        <v>PortailR1V_2</v>
      </c>
      <c r="L525" s="99" t="str">
        <f>INDEX(Tableau5[Att1],MATCH(Tableau3[[#This Row],[ID-SIG]],Tableau5[ID],0))&amp;""</f>
        <v>V2_FerProtect</v>
      </c>
      <c r="M525" s="99" t="str">
        <f>INDEX(Tableau5[Att2],MATCH(Tableau3[[#This Row],[ID-SIG]],Tableau5[ID],0))&amp;""</f>
        <v/>
      </c>
      <c r="N525" s="99" t="str">
        <f>INDEX(Tableau5[Att3],MATCH(Tableau3[[#This Row],[ID-SIG]],Tableau5[ID],0))&amp;""</f>
        <v/>
      </c>
      <c r="O525" s="99"/>
      <c r="P525" s="99" t="str">
        <f>INDEX(Tableau5[Description],MATCH(Tableau3[[#This Row],[ID-SIG]],Tableau5[ID],0))</f>
        <v>Vantail 2 Protection de fermeture par bande palpeuse</v>
      </c>
      <c r="Q525" s="99"/>
      <c r="R525" s="103" t="str">
        <f>Tableau3[[#This Row],[Description]]</f>
        <v>Vantail 2 Protection de fermeture par bande palpeuse</v>
      </c>
      <c r="U525" s="87">
        <v>3</v>
      </c>
      <c r="V525" s="87">
        <v>2</v>
      </c>
      <c r="W525" s="87">
        <v>5</v>
      </c>
      <c r="X525" s="87">
        <v>11</v>
      </c>
      <c r="Y525" s="40"/>
      <c r="Z525" s="165" t="str">
        <f>INDEX(Tableau2[TS],MATCH(Tableau3[[#This Row],[ID-CARTEVOIE]],Tableau2[ID-CARTEVOIE],0))</f>
        <v>ET</v>
      </c>
      <c r="AA525" s="53" t="s">
        <v>213</v>
      </c>
      <c r="AB525" s="223" t="str">
        <f>IFERROR(INDEX(Tableau5[Reserve],MATCH(Tableau3[[#This Row],[ID-SIG]],Tableau5[ID],0))&amp;"","")</f>
        <v/>
      </c>
      <c r="AC525" s="21"/>
      <c r="AD525" s="108" t="str">
        <f>INDEX(Tableau7[Repere],MATCH(Tableau3[[#This Row],[ID-API]],Tableau7[ID-API],0))&amp;""</f>
        <v>A3</v>
      </c>
      <c r="AE525" s="108" t="str">
        <f>INDEX(Tableau1[Repere-Rack],MATCH(Tableau3[[#This Row],[ID-RACK]],Tableau1[ID-RACK],0))&amp;""</f>
        <v>R2</v>
      </c>
      <c r="AF525" s="108" t="str">
        <f>INDEX(Tableau1[Repere-Slot],MATCH(Tableau3[[#This Row],[ID-SLOT]],Tableau1[ID-SLOT],0))&amp;""</f>
        <v>S5</v>
      </c>
      <c r="AG525" s="108" t="str">
        <f>INDEX(Tableau2[Repere-Voie],MATCH(Tableau3[[#This Row],[ID-VOIE]],Tableau2[ID-Voie],0))&amp;""</f>
        <v>v11</v>
      </c>
      <c r="AH525" s="72" t="str">
        <f>Tableau3[[#This Row],[ID-API]]&amp; "." &amp;Tableau3[[#This Row],[ID-RACK]]&amp; "." &amp;Tableau3[[#This Row],[ID-SLOT]]</f>
        <v>3.2.5</v>
      </c>
      <c r="AI525" s="72" t="str">
        <f>INDEX(Tableau1[Ref-Carte],MATCH(Tableau3[[#This Row],[ID-RRS]],Tableau1[ID-RRS],0))</f>
        <v>SDI1602</v>
      </c>
      <c r="AJ525" s="72" t="str">
        <f t="array" ref="AJ525">IFERROR(INDEX(Tableau2[TS],MATCH(1,(Tableau2[Ref-Carte]=Tableau3[[#This Row],[Ref-Carte2]])*(Tableau2[ID-Voie]=Tableau3[[#This Row],[ID-VOIE]]),0)),"")</f>
        <v>ET</v>
      </c>
      <c r="AK525" s="72" t="str">
        <f>IFERROR(INDEX(Tableau2[TS],SUMPRODUCT((Tableau2[Ref-Carte]=Tableau3[[#This Row],[Ref-Carte2]])*(Tableau2[ID-Voie]=Tableau3[[#This Row],[ID-VOIE]])*ROW(Tableau2[TS]))-ROW(Tableau2[#Headers])),"")</f>
        <v>ET</v>
      </c>
      <c r="AL525" s="72" t="str">
        <f>Tableau3[[#This Row],[Ref-Carte2]]&amp;"/"&amp;Tableau3[[#This Row],[ID-VOIE]]</f>
        <v>SDI1602/11</v>
      </c>
      <c r="AM525" s="73" t="str">
        <f>INDEX(Tableau2[Borne],MATCH(Tableau3[[#This Row],[ID-CARTEVOIE]],Tableau2[ID-CARTEVOIE],0))&amp;""</f>
        <v>5A</v>
      </c>
      <c r="AN525" s="74" t="str">
        <f>Tableau3[[#This Row],[ID-API]]&amp;Tableau3[[#This Row],[ID-RACK]]&amp;Tableau3[[#This Row],[ID-SLOT]]&amp;Tableau3[[#This Row],[BORNE]]</f>
        <v>3255A</v>
      </c>
      <c r="AO525" s="1"/>
    </row>
    <row r="526" spans="1:41" ht="20.100000000000001" customHeight="1" thickTop="1" thickBot="1">
      <c r="A526" s="68"/>
      <c r="B526" s="69" t="str">
        <f>IFERROR(INDEX(Tableau4[Date],MATCH($A526,Tableau4[EVO],0)),"")</f>
        <v/>
      </c>
      <c r="C526" s="68" t="str">
        <f>IFERROR(INDEX(Tableau4[Designation],MATCH($A526,Tableau4[EVO],0)),"")</f>
        <v/>
      </c>
      <c r="D526" s="68"/>
      <c r="E526" s="70">
        <v>256</v>
      </c>
      <c r="F526" s="71">
        <v>150</v>
      </c>
      <c r="G526" s="101" t="str">
        <f>INDEX(Tableau8[Att1],MATCH(Tableau3[[#This Row],[ID-INS]],Tableau8[ID],0))&amp;""</f>
        <v>V3</v>
      </c>
      <c r="H526" s="101" t="str">
        <f>INDEX(Tableau8[Att2],MATCH(Tableau3[[#This Row],[ID-INS]],Tableau8[ID],0))&amp;""</f>
        <v>P2</v>
      </c>
      <c r="I526" s="101" t="str">
        <f>INDEX(Tableau8[Att3],MATCH(Tableau3[[#This Row],[ID-INS]],Tableau8[ID],0))&amp;""</f>
        <v>Portail P2</v>
      </c>
      <c r="J526" s="101"/>
      <c r="K526" s="167" t="str">
        <f>INDEX(Tableau8[Nom du modele],MATCH(Tableau3[[#This Row],[ID-INS]],Tableau8[ID],0))&amp;""</f>
        <v>PortailR1V_2</v>
      </c>
      <c r="L526" s="99" t="str">
        <f>INDEX(Tableau5[Att1],MATCH(Tableau3[[#This Row],[ID-SIG]],Tableau5[ID],0))&amp;""</f>
        <v>Réserve</v>
      </c>
      <c r="M526" s="99" t="str">
        <f>INDEX(Tableau5[Att2],MATCH(Tableau3[[#This Row],[ID-SIG]],Tableau5[ID],0))&amp;""</f>
        <v/>
      </c>
      <c r="N526" s="99" t="str">
        <f>INDEX(Tableau5[Att3],MATCH(Tableau3[[#This Row],[ID-SIG]],Tableau5[ID],0))&amp;""</f>
        <v/>
      </c>
      <c r="O526" s="99"/>
      <c r="P526" s="99" t="str">
        <f>INDEX(Tableau5[Description],MATCH(Tableau3[[#This Row],[ID-SIG]],Tableau5[ID],0))</f>
        <v xml:space="preserve">Réserve </v>
      </c>
      <c r="Q526" s="99"/>
      <c r="R526" s="103" t="str">
        <f>Tableau3[[#This Row],[Description]]</f>
        <v xml:space="preserve">Réserve </v>
      </c>
      <c r="U526" s="87">
        <v>3</v>
      </c>
      <c r="V526" s="87">
        <v>2</v>
      </c>
      <c r="W526" s="87">
        <v>5</v>
      </c>
      <c r="X526" s="87">
        <v>12</v>
      </c>
      <c r="Y526" s="40"/>
      <c r="Z526" s="165" t="str">
        <f>INDEX(Tableau2[TS],MATCH(Tableau3[[#This Row],[ID-CARTEVOIE]],Tableau2[ID-CARTEVOIE],0))</f>
        <v>ET</v>
      </c>
      <c r="AA526" s="53" t="s">
        <v>213</v>
      </c>
      <c r="AB526" s="223" t="str">
        <f>IFERROR(INDEX(Tableau5[Reserve],MATCH(Tableau3[[#This Row],[ID-SIG]],Tableau5[ID],0))&amp;"","")</f>
        <v/>
      </c>
      <c r="AC526" s="21"/>
      <c r="AD526" s="108" t="str">
        <f>INDEX(Tableau7[Repere],MATCH(Tableau3[[#This Row],[ID-API]],Tableau7[ID-API],0))&amp;""</f>
        <v>A3</v>
      </c>
      <c r="AE526" s="108" t="str">
        <f>INDEX(Tableau1[Repere-Rack],MATCH(Tableau3[[#This Row],[ID-RACK]],Tableau1[ID-RACK],0))&amp;""</f>
        <v>R2</v>
      </c>
      <c r="AF526" s="108" t="str">
        <f>INDEX(Tableau1[Repere-Slot],MATCH(Tableau3[[#This Row],[ID-SLOT]],Tableau1[ID-SLOT],0))&amp;""</f>
        <v>S5</v>
      </c>
      <c r="AG526" s="108" t="str">
        <f>INDEX(Tableau2[Repere-Voie],MATCH(Tableau3[[#This Row],[ID-VOIE]],Tableau2[ID-Voie],0))&amp;""</f>
        <v>v12</v>
      </c>
      <c r="AH526" s="72" t="str">
        <f>Tableau3[[#This Row],[ID-API]]&amp; "." &amp;Tableau3[[#This Row],[ID-RACK]]&amp; "." &amp;Tableau3[[#This Row],[ID-SLOT]]</f>
        <v>3.2.5</v>
      </c>
      <c r="AI526" s="72" t="str">
        <f>INDEX(Tableau1[Ref-Carte],MATCH(Tableau3[[#This Row],[ID-RRS]],Tableau1[ID-RRS],0))</f>
        <v>SDI1602</v>
      </c>
      <c r="AJ526" s="72" t="str">
        <f t="array" ref="AJ526">IFERROR(INDEX(Tableau2[TS],MATCH(1,(Tableau2[Ref-Carte]=Tableau3[[#This Row],[Ref-Carte2]])*(Tableau2[ID-Voie]=Tableau3[[#This Row],[ID-VOIE]]),0)),"")</f>
        <v>ET</v>
      </c>
      <c r="AK526" s="72" t="str">
        <f>IFERROR(INDEX(Tableau2[TS],SUMPRODUCT((Tableau2[Ref-Carte]=Tableau3[[#This Row],[Ref-Carte2]])*(Tableau2[ID-Voie]=Tableau3[[#This Row],[ID-VOIE]])*ROW(Tableau2[TS]))-ROW(Tableau2[#Headers])),"")</f>
        <v>ET</v>
      </c>
      <c r="AL526" s="72" t="str">
        <f>Tableau3[[#This Row],[Ref-Carte2]]&amp;"/"&amp;Tableau3[[#This Row],[ID-VOIE]]</f>
        <v>SDI1602/12</v>
      </c>
      <c r="AM526" s="73" t="str">
        <f>INDEX(Tableau2[Borne],MATCH(Tableau3[[#This Row],[ID-CARTEVOIE]],Tableau2[ID-CARTEVOIE],0))&amp;""</f>
        <v>6B</v>
      </c>
      <c r="AN526" s="74" t="str">
        <f>Tableau3[[#This Row],[ID-API]]&amp;Tableau3[[#This Row],[ID-RACK]]&amp;Tableau3[[#This Row],[ID-SLOT]]&amp;Tableau3[[#This Row],[BORNE]]</f>
        <v>3256B</v>
      </c>
      <c r="AO526" s="1"/>
    </row>
    <row r="527" spans="1:41" ht="20.100000000000001" customHeight="1" thickTop="1" thickBot="1">
      <c r="A527" s="68"/>
      <c r="B527" s="69" t="str">
        <f>IFERROR(INDEX(Tableau4[Date],MATCH($A527,Tableau4[EVO],0)),"")</f>
        <v/>
      </c>
      <c r="C527" s="68" t="str">
        <f>IFERROR(INDEX(Tableau4[Designation],MATCH($A527,Tableau4[EVO],0)),"")</f>
        <v/>
      </c>
      <c r="D527" s="68"/>
      <c r="E527" s="70">
        <v>256</v>
      </c>
      <c r="F527" s="71">
        <v>152</v>
      </c>
      <c r="G527" s="101" t="str">
        <f>INDEX(Tableau8[Att1],MATCH(Tableau3[[#This Row],[ID-INS]],Tableau8[ID],0))&amp;""</f>
        <v>V3</v>
      </c>
      <c r="H527" s="101" t="str">
        <f>INDEX(Tableau8[Att2],MATCH(Tableau3[[#This Row],[ID-INS]],Tableau8[ID],0))&amp;""</f>
        <v>P2</v>
      </c>
      <c r="I527" s="101" t="str">
        <f>INDEX(Tableau8[Att3],MATCH(Tableau3[[#This Row],[ID-INS]],Tableau8[ID],0))&amp;""</f>
        <v>Portail P2</v>
      </c>
      <c r="J527" s="101"/>
      <c r="K527" s="167" t="str">
        <f>INDEX(Tableau8[Nom du modele],MATCH(Tableau3[[#This Row],[ID-INS]],Tableau8[ID],0))&amp;""</f>
        <v>PortailR1V_2</v>
      </c>
      <c r="L527" s="99" t="str">
        <f>INDEX(Tableau5[Att1],MATCH(Tableau3[[#This Row],[ID-SIG]],Tableau5[ID],0))&amp;""</f>
        <v>V1_FerRet2</v>
      </c>
      <c r="M527" s="99" t="str">
        <f>INDEX(Tableau5[Att2],MATCH(Tableau3[[#This Row],[ID-SIG]],Tableau5[ID],0))&amp;""</f>
        <v/>
      </c>
      <c r="N527" s="99" t="str">
        <f>INDEX(Tableau5[Att3],MATCH(Tableau3[[#This Row],[ID-SIG]],Tableau5[ID],0))&amp;""</f>
        <v/>
      </c>
      <c r="O527" s="99"/>
      <c r="P527" s="99" t="str">
        <f>INDEX(Tableau5[Description],MATCH(Tableau3[[#This Row],[ID-SIG]],Tableau5[ID],0))</f>
        <v>Retour Commande 2 fermeture vantail 1</v>
      </c>
      <c r="Q527" s="99"/>
      <c r="R527" s="103" t="str">
        <f>Tableau3[[#This Row],[Description]]</f>
        <v>Retour Commande 2 fermeture vantail 1</v>
      </c>
      <c r="U527" s="87">
        <v>3</v>
      </c>
      <c r="V527" s="87">
        <v>2</v>
      </c>
      <c r="W527" s="87">
        <v>5</v>
      </c>
      <c r="X527" s="87">
        <v>13</v>
      </c>
      <c r="Y527" s="40"/>
      <c r="Z527" s="165" t="str">
        <f>INDEX(Tableau2[TS],MATCH(Tableau3[[#This Row],[ID-CARTEVOIE]],Tableau2[ID-CARTEVOIE],0))</f>
        <v>ET</v>
      </c>
      <c r="AA527" s="53" t="s">
        <v>213</v>
      </c>
      <c r="AB527" s="223" t="str">
        <f>IFERROR(INDEX(Tableau5[Reserve],MATCH(Tableau3[[#This Row],[ID-SIG]],Tableau5[ID],0))&amp;"","")</f>
        <v/>
      </c>
      <c r="AC527" s="21"/>
      <c r="AD527" s="108" t="str">
        <f>INDEX(Tableau7[Repere],MATCH(Tableau3[[#This Row],[ID-API]],Tableau7[ID-API],0))&amp;""</f>
        <v>A3</v>
      </c>
      <c r="AE527" s="108" t="str">
        <f>INDEX(Tableau1[Repere-Rack],MATCH(Tableau3[[#This Row],[ID-RACK]],Tableau1[ID-RACK],0))&amp;""</f>
        <v>R2</v>
      </c>
      <c r="AF527" s="108" t="str">
        <f>INDEX(Tableau1[Repere-Slot],MATCH(Tableau3[[#This Row],[ID-SLOT]],Tableau1[ID-SLOT],0))&amp;""</f>
        <v>S5</v>
      </c>
      <c r="AG527" s="108" t="str">
        <f>INDEX(Tableau2[Repere-Voie],MATCH(Tableau3[[#This Row],[ID-VOIE]],Tableau2[ID-Voie],0))&amp;""</f>
        <v>v13</v>
      </c>
      <c r="AH527" s="72" t="str">
        <f>Tableau3[[#This Row],[ID-API]]&amp; "." &amp;Tableau3[[#This Row],[ID-RACK]]&amp; "." &amp;Tableau3[[#This Row],[ID-SLOT]]</f>
        <v>3.2.5</v>
      </c>
      <c r="AI527" s="72" t="str">
        <f>INDEX(Tableau1[Ref-Carte],MATCH(Tableau3[[#This Row],[ID-RRS]],Tableau1[ID-RRS],0))</f>
        <v>SDI1602</v>
      </c>
      <c r="AJ527" s="72" t="str">
        <f t="array" ref="AJ527">IFERROR(INDEX(Tableau2[TS],MATCH(1,(Tableau2[Ref-Carte]=Tableau3[[#This Row],[Ref-Carte2]])*(Tableau2[ID-Voie]=Tableau3[[#This Row],[ID-VOIE]]),0)),"")</f>
        <v>ET</v>
      </c>
      <c r="AK527" s="72" t="str">
        <f>IFERROR(INDEX(Tableau2[TS],SUMPRODUCT((Tableau2[Ref-Carte]=Tableau3[[#This Row],[Ref-Carte2]])*(Tableau2[ID-Voie]=Tableau3[[#This Row],[ID-VOIE]])*ROW(Tableau2[TS]))-ROW(Tableau2[#Headers])),"")</f>
        <v>ET</v>
      </c>
      <c r="AL527" s="72" t="str">
        <f>Tableau3[[#This Row],[Ref-Carte2]]&amp;"/"&amp;Tableau3[[#This Row],[ID-VOIE]]</f>
        <v>SDI1602/13</v>
      </c>
      <c r="AM527" s="73" t="str">
        <f>INDEX(Tableau2[Borne],MATCH(Tableau3[[#This Row],[ID-CARTEVOIE]],Tableau2[ID-CARTEVOIE],0))&amp;""</f>
        <v>6A</v>
      </c>
      <c r="AN527" s="74" t="str">
        <f>Tableau3[[#This Row],[ID-API]]&amp;Tableau3[[#This Row],[ID-RACK]]&amp;Tableau3[[#This Row],[ID-SLOT]]&amp;Tableau3[[#This Row],[BORNE]]</f>
        <v>3256A</v>
      </c>
      <c r="AO527" s="1"/>
    </row>
    <row r="528" spans="1:41" ht="20.100000000000001" customHeight="1" thickTop="1" thickBot="1">
      <c r="A528" s="68"/>
      <c r="B528" s="69" t="str">
        <f>IFERROR(INDEX(Tableau4[Date],MATCH($A528,Tableau4[EVO],0)),"")</f>
        <v/>
      </c>
      <c r="C528" s="68" t="str">
        <f>IFERROR(INDEX(Tableau4[Designation],MATCH($A528,Tableau4[EVO],0)),"")</f>
        <v/>
      </c>
      <c r="D528" s="68"/>
      <c r="E528" s="70">
        <v>256</v>
      </c>
      <c r="F528" s="71">
        <v>154</v>
      </c>
      <c r="G528" s="101" t="str">
        <f>INDEX(Tableau8[Att1],MATCH(Tableau3[[#This Row],[ID-INS]],Tableau8[ID],0))&amp;""</f>
        <v>V3</v>
      </c>
      <c r="H528" s="101" t="str">
        <f>INDEX(Tableau8[Att2],MATCH(Tableau3[[#This Row],[ID-INS]],Tableau8[ID],0))&amp;""</f>
        <v>P2</v>
      </c>
      <c r="I528" s="101" t="str">
        <f>INDEX(Tableau8[Att3],MATCH(Tableau3[[#This Row],[ID-INS]],Tableau8[ID],0))&amp;""</f>
        <v>Portail P2</v>
      </c>
      <c r="J528" s="101"/>
      <c r="K528" s="167" t="str">
        <f>INDEX(Tableau8[Nom du modele],MATCH(Tableau3[[#This Row],[ID-INS]],Tableau8[ID],0))&amp;""</f>
        <v>PortailR1V_2</v>
      </c>
      <c r="L528" s="99" t="str">
        <f>INDEX(Tableau5[Att1],MATCH(Tableau3[[#This Row],[ID-SIG]],Tableau5[ID],0))&amp;""</f>
        <v>V1_Fer2</v>
      </c>
      <c r="M528" s="99" t="str">
        <f>INDEX(Tableau5[Att2],MATCH(Tableau3[[#This Row],[ID-SIG]],Tableau5[ID],0))&amp;""</f>
        <v/>
      </c>
      <c r="N528" s="99" t="str">
        <f>INDEX(Tableau5[Att3],MATCH(Tableau3[[#This Row],[ID-SIG]],Tableau5[ID],0))&amp;""</f>
        <v/>
      </c>
      <c r="O528" s="99"/>
      <c r="P528" s="99" t="str">
        <f>INDEX(Tableau5[Description],MATCH(Tableau3[[#This Row],[ID-SIG]],Tableau5[ID],0))</f>
        <v>Vantail 1 en fdc Fermé 2</v>
      </c>
      <c r="Q528" s="99"/>
      <c r="R528" s="103" t="str">
        <f>Tableau3[[#This Row],[Description]]</f>
        <v>Vantail 1 en fdc Fermé 2</v>
      </c>
      <c r="U528" s="87">
        <v>3</v>
      </c>
      <c r="V528" s="87">
        <v>2</v>
      </c>
      <c r="W528" s="87">
        <v>5</v>
      </c>
      <c r="X528" s="87">
        <v>14</v>
      </c>
      <c r="Y528" s="40"/>
      <c r="Z528" s="165" t="str">
        <f>INDEX(Tableau2[TS],MATCH(Tableau3[[#This Row],[ID-CARTEVOIE]],Tableau2[ID-CARTEVOIE],0))</f>
        <v>ET</v>
      </c>
      <c r="AA528" s="53" t="s">
        <v>213</v>
      </c>
      <c r="AB528" s="223" t="str">
        <f>IFERROR(INDEX(Tableau5[Reserve],MATCH(Tableau3[[#This Row],[ID-SIG]],Tableau5[ID],0))&amp;"","")</f>
        <v/>
      </c>
      <c r="AC528" s="21"/>
      <c r="AD528" s="108" t="str">
        <f>INDEX(Tableau7[Repere],MATCH(Tableau3[[#This Row],[ID-API]],Tableau7[ID-API],0))&amp;""</f>
        <v>A3</v>
      </c>
      <c r="AE528" s="108" t="str">
        <f>INDEX(Tableau1[Repere-Rack],MATCH(Tableau3[[#This Row],[ID-RACK]],Tableau1[ID-RACK],0))&amp;""</f>
        <v>R2</v>
      </c>
      <c r="AF528" s="108" t="str">
        <f>INDEX(Tableau1[Repere-Slot],MATCH(Tableau3[[#This Row],[ID-SLOT]],Tableau1[ID-SLOT],0))&amp;""</f>
        <v>S5</v>
      </c>
      <c r="AG528" s="108" t="str">
        <f>INDEX(Tableau2[Repere-Voie],MATCH(Tableau3[[#This Row],[ID-VOIE]],Tableau2[ID-Voie],0))&amp;""</f>
        <v>v14</v>
      </c>
      <c r="AH528" s="72" t="str">
        <f>Tableau3[[#This Row],[ID-API]]&amp; "." &amp;Tableau3[[#This Row],[ID-RACK]]&amp; "." &amp;Tableau3[[#This Row],[ID-SLOT]]</f>
        <v>3.2.5</v>
      </c>
      <c r="AI528" s="72" t="str">
        <f>INDEX(Tableau1[Ref-Carte],MATCH(Tableau3[[#This Row],[ID-RRS]],Tableau1[ID-RRS],0))</f>
        <v>SDI1602</v>
      </c>
      <c r="AJ528" s="72" t="str">
        <f t="array" ref="AJ528">IFERROR(INDEX(Tableau2[TS],MATCH(1,(Tableau2[Ref-Carte]=Tableau3[[#This Row],[Ref-Carte2]])*(Tableau2[ID-Voie]=Tableau3[[#This Row],[ID-VOIE]]),0)),"")</f>
        <v>ET</v>
      </c>
      <c r="AK528" s="72" t="str">
        <f>IFERROR(INDEX(Tableau2[TS],SUMPRODUCT((Tableau2[Ref-Carte]=Tableau3[[#This Row],[Ref-Carte2]])*(Tableau2[ID-Voie]=Tableau3[[#This Row],[ID-VOIE]])*ROW(Tableau2[TS]))-ROW(Tableau2[#Headers])),"")</f>
        <v>ET</v>
      </c>
      <c r="AL528" s="72" t="str">
        <f>Tableau3[[#This Row],[Ref-Carte2]]&amp;"/"&amp;Tableau3[[#This Row],[ID-VOIE]]</f>
        <v>SDI1602/14</v>
      </c>
      <c r="AM528" s="73" t="str">
        <f>INDEX(Tableau2[Borne],MATCH(Tableau3[[#This Row],[ID-CARTEVOIE]],Tableau2[ID-CARTEVOIE],0))&amp;""</f>
        <v>7B</v>
      </c>
      <c r="AN528" s="74" t="str">
        <f>Tableau3[[#This Row],[ID-API]]&amp;Tableau3[[#This Row],[ID-RACK]]&amp;Tableau3[[#This Row],[ID-SLOT]]&amp;Tableau3[[#This Row],[BORNE]]</f>
        <v>3257B</v>
      </c>
      <c r="AO528" s="1"/>
    </row>
    <row r="529" spans="1:41" ht="20.100000000000001" customHeight="1" thickTop="1" thickBot="1">
      <c r="A529" s="68"/>
      <c r="B529" s="69" t="str">
        <f>IFERROR(INDEX(Tableau4[Date],MATCH($A529,Tableau4[EVO],0)),"")</f>
        <v/>
      </c>
      <c r="C529" s="68" t="str">
        <f>IFERROR(INDEX(Tableau4[Designation],MATCH($A529,Tableau4[EVO],0)),"")</f>
        <v/>
      </c>
      <c r="D529" s="68"/>
      <c r="E529" s="70">
        <v>258</v>
      </c>
      <c r="F529" s="71">
        <v>289</v>
      </c>
      <c r="G529" s="101" t="str">
        <f>INDEX(Tableau8[Att1],MATCH(Tableau3[[#This Row],[ID-INS]],Tableau8[ID],0))&amp;""</f>
        <v>V1</v>
      </c>
      <c r="H529" s="101" t="str">
        <f>INDEX(Tableau8[Att2],MATCH(Tableau3[[#This Row],[ID-INS]],Tableau8[ID],0))&amp;""</f>
        <v>P4</v>
      </c>
      <c r="I529" s="101" t="str">
        <f>INDEX(Tableau8[Att3],MATCH(Tableau3[[#This Row],[ID-INS]],Tableau8[ID],0))&amp;""</f>
        <v>Portail P4</v>
      </c>
      <c r="J529" s="101"/>
      <c r="K529" s="167" t="str">
        <f>INDEX(Tableau8[Nom du modele],MATCH(Tableau3[[#This Row],[ID-INS]],Tableau8[ID],0))&amp;""</f>
        <v>PortailBleuHydr_2</v>
      </c>
      <c r="L529" s="99" t="str">
        <f>INDEX(Tableau5[Att1],MATCH(Tableau3[[#This Row],[ID-SIG]],Tableau5[ID],0))&amp;""</f>
        <v>V_GrpHydRet2</v>
      </c>
      <c r="M529" s="99" t="str">
        <f>INDEX(Tableau5[Att2],MATCH(Tableau3[[#This Row],[ID-SIG]],Tableau5[ID],0))&amp;""</f>
        <v/>
      </c>
      <c r="N529" s="99" t="str">
        <f>INDEX(Tableau5[Att3],MATCH(Tableau3[[#This Row],[ID-SIG]],Tableau5[ID],0))&amp;""</f>
        <v/>
      </c>
      <c r="O529" s="99"/>
      <c r="P529" s="99" t="str">
        <f>INDEX(Tableau5[Description],MATCH(Tableau3[[#This Row],[ID-SIG]],Tableau5[ID],0))</f>
        <v>Retour Commande 2 marche groupe hydr</v>
      </c>
      <c r="Q529" s="99"/>
      <c r="R529" s="103" t="str">
        <f>Tableau3[[#This Row],[Description]]</f>
        <v>Retour Commande 2 marche groupe hydr</v>
      </c>
      <c r="U529" s="87">
        <v>3</v>
      </c>
      <c r="V529" s="87">
        <v>2</v>
      </c>
      <c r="W529" s="87">
        <v>5</v>
      </c>
      <c r="X529" s="87">
        <v>15</v>
      </c>
      <c r="Y529" s="40"/>
      <c r="Z529" s="165" t="str">
        <f>INDEX(Tableau2[TS],MATCH(Tableau3[[#This Row],[ID-CARTEVOIE]],Tableau2[ID-CARTEVOIE],0))</f>
        <v>ET</v>
      </c>
      <c r="AA529" s="53" t="s">
        <v>213</v>
      </c>
      <c r="AB529" s="223" t="str">
        <f>IFERROR(INDEX(Tableau5[Reserve],MATCH(Tableau3[[#This Row],[ID-SIG]],Tableau5[ID],0))&amp;"","")</f>
        <v/>
      </c>
      <c r="AC529" s="21"/>
      <c r="AD529" s="108" t="str">
        <f>INDEX(Tableau7[Repere],MATCH(Tableau3[[#This Row],[ID-API]],Tableau7[ID-API],0))&amp;""</f>
        <v>A3</v>
      </c>
      <c r="AE529" s="108" t="str">
        <f>INDEX(Tableau1[Repere-Rack],MATCH(Tableau3[[#This Row],[ID-RACK]],Tableau1[ID-RACK],0))&amp;""</f>
        <v>R2</v>
      </c>
      <c r="AF529" s="108" t="str">
        <f>INDEX(Tableau1[Repere-Slot],MATCH(Tableau3[[#This Row],[ID-SLOT]],Tableau1[ID-SLOT],0))&amp;""</f>
        <v>S5</v>
      </c>
      <c r="AG529" s="108" t="str">
        <f>INDEX(Tableau2[Repere-Voie],MATCH(Tableau3[[#This Row],[ID-VOIE]],Tableau2[ID-Voie],0))&amp;""</f>
        <v>v15</v>
      </c>
      <c r="AH529" s="72" t="str">
        <f>Tableau3[[#This Row],[ID-API]]&amp; "." &amp;Tableau3[[#This Row],[ID-RACK]]&amp; "." &amp;Tableau3[[#This Row],[ID-SLOT]]</f>
        <v>3.2.5</v>
      </c>
      <c r="AI529" s="72" t="str">
        <f>INDEX(Tableau1[Ref-Carte],MATCH(Tableau3[[#This Row],[ID-RRS]],Tableau1[ID-RRS],0))</f>
        <v>SDI1602</v>
      </c>
      <c r="AJ529" s="72" t="str">
        <f t="array" ref="AJ529">IFERROR(INDEX(Tableau2[TS],MATCH(1,(Tableau2[Ref-Carte]=Tableau3[[#This Row],[Ref-Carte2]])*(Tableau2[ID-Voie]=Tableau3[[#This Row],[ID-VOIE]]),0)),"")</f>
        <v>ET</v>
      </c>
      <c r="AK529" s="72" t="str">
        <f>IFERROR(INDEX(Tableau2[TS],SUMPRODUCT((Tableau2[Ref-Carte]=Tableau3[[#This Row],[Ref-Carte2]])*(Tableau2[ID-Voie]=Tableau3[[#This Row],[ID-VOIE]])*ROW(Tableau2[TS]))-ROW(Tableau2[#Headers])),"")</f>
        <v>ET</v>
      </c>
      <c r="AL529" s="72" t="str">
        <f>Tableau3[[#This Row],[Ref-Carte2]]&amp;"/"&amp;Tableau3[[#This Row],[ID-VOIE]]</f>
        <v>SDI1602/15</v>
      </c>
      <c r="AM529" s="73" t="str">
        <f>INDEX(Tableau2[Borne],MATCH(Tableau3[[#This Row],[ID-CARTEVOIE]],Tableau2[ID-CARTEVOIE],0))&amp;""</f>
        <v>7A</v>
      </c>
      <c r="AN529" s="74" t="str">
        <f>Tableau3[[#This Row],[ID-API]]&amp;Tableau3[[#This Row],[ID-RACK]]&amp;Tableau3[[#This Row],[ID-SLOT]]&amp;Tableau3[[#This Row],[BORNE]]</f>
        <v>3257A</v>
      </c>
      <c r="AO529" s="1"/>
    </row>
    <row r="530" spans="1:41" ht="20.100000000000001" customHeight="1" thickTop="1" thickBot="1">
      <c r="A530" s="68"/>
      <c r="B530" s="69" t="str">
        <f>IFERROR(INDEX(Tableau4[Date],MATCH($A530,Tableau4[EVO],0)),"")</f>
        <v/>
      </c>
      <c r="C530" s="68" t="str">
        <f>IFERROR(INDEX(Tableau4[Designation],MATCH($A530,Tableau4[EVO],0)),"")</f>
        <v/>
      </c>
      <c r="D530" s="68"/>
      <c r="E530" s="70">
        <v>258</v>
      </c>
      <c r="F530" s="71">
        <v>290</v>
      </c>
      <c r="G530" s="101" t="str">
        <f>INDEX(Tableau8[Att1],MATCH(Tableau3[[#This Row],[ID-INS]],Tableau8[ID],0))&amp;""</f>
        <v>V1</v>
      </c>
      <c r="H530" s="101" t="str">
        <f>INDEX(Tableau8[Att2],MATCH(Tableau3[[#This Row],[ID-INS]],Tableau8[ID],0))&amp;""</f>
        <v>P4</v>
      </c>
      <c r="I530" s="101" t="str">
        <f>INDEX(Tableau8[Att3],MATCH(Tableau3[[#This Row],[ID-INS]],Tableau8[ID],0))&amp;""</f>
        <v>Portail P4</v>
      </c>
      <c r="J530" s="101"/>
      <c r="K530" s="167" t="str">
        <f>INDEX(Tableau8[Nom du modele],MATCH(Tableau3[[#This Row],[ID-INS]],Tableau8[ID],0))&amp;""</f>
        <v>PortailBleuHydr_2</v>
      </c>
      <c r="L530" s="99" t="str">
        <f>INDEX(Tableau5[Att1],MATCH(Tableau3[[#This Row],[ID-SIG]],Tableau5[ID],0))&amp;""</f>
        <v>V_FerRet2</v>
      </c>
      <c r="M530" s="99" t="str">
        <f>INDEX(Tableau5[Att2],MATCH(Tableau3[[#This Row],[ID-SIG]],Tableau5[ID],0))&amp;""</f>
        <v/>
      </c>
      <c r="N530" s="99" t="str">
        <f>INDEX(Tableau5[Att3],MATCH(Tableau3[[#This Row],[ID-SIG]],Tableau5[ID],0))&amp;""</f>
        <v/>
      </c>
      <c r="O530" s="99"/>
      <c r="P530" s="99" t="str">
        <f>INDEX(Tableau5[Description],MATCH(Tableau3[[#This Row],[ID-SIG]],Tableau5[ID],0))</f>
        <v>Retour Commande 2 fermeture</v>
      </c>
      <c r="Q530" s="99"/>
      <c r="R530" s="103" t="str">
        <f>Tableau3[[#This Row],[Description]]</f>
        <v>Retour Commande 2 fermeture</v>
      </c>
      <c r="U530" s="87">
        <v>3</v>
      </c>
      <c r="V530" s="87">
        <v>2</v>
      </c>
      <c r="W530" s="87">
        <v>6</v>
      </c>
      <c r="X530" s="87">
        <v>0</v>
      </c>
      <c r="Y530" s="40"/>
      <c r="Z530" s="165" t="str">
        <f>INDEX(Tableau2[TS],MATCH(Tableau3[[#This Row],[ID-CARTEVOIE]],Tableau2[ID-CARTEVOIE],0))</f>
        <v>ET</v>
      </c>
      <c r="AA530" s="53" t="s">
        <v>213</v>
      </c>
      <c r="AB530" s="223" t="str">
        <f>IFERROR(INDEX(Tableau5[Reserve],MATCH(Tableau3[[#This Row],[ID-SIG]],Tableau5[ID],0))&amp;"","")</f>
        <v/>
      </c>
      <c r="AC530" s="21"/>
      <c r="AD530" s="108" t="str">
        <f>INDEX(Tableau7[Repere],MATCH(Tableau3[[#This Row],[ID-API]],Tableau7[ID-API],0))&amp;""</f>
        <v>A3</v>
      </c>
      <c r="AE530" s="108" t="str">
        <f>INDEX(Tableau1[Repere-Rack],MATCH(Tableau3[[#This Row],[ID-RACK]],Tableau1[ID-RACK],0))&amp;""</f>
        <v>R2</v>
      </c>
      <c r="AF530" s="108" t="str">
        <f>INDEX(Tableau1[Repere-Slot],MATCH(Tableau3[[#This Row],[ID-SLOT]],Tableau1[ID-SLOT],0))&amp;""</f>
        <v>S6</v>
      </c>
      <c r="AG530" s="108" t="str">
        <f>INDEX(Tableau2[Repere-Voie],MATCH(Tableau3[[#This Row],[ID-VOIE]],Tableau2[ID-Voie],0))&amp;""</f>
        <v>v0</v>
      </c>
      <c r="AH530" s="72" t="str">
        <f>Tableau3[[#This Row],[ID-API]]&amp; "." &amp;Tableau3[[#This Row],[ID-RACK]]&amp; "." &amp;Tableau3[[#This Row],[ID-SLOT]]</f>
        <v>3.2.6</v>
      </c>
      <c r="AI530" s="72" t="str">
        <f>INDEX(Tableau1[Ref-Carte],MATCH(Tableau3[[#This Row],[ID-RRS]],Tableau1[ID-RRS],0))</f>
        <v>SDI1602</v>
      </c>
      <c r="AJ530" s="72" t="str">
        <f t="array" ref="AJ530">IFERROR(INDEX(Tableau2[TS],MATCH(1,(Tableau2[Ref-Carte]=Tableau3[[#This Row],[Ref-Carte2]])*(Tableau2[ID-Voie]=Tableau3[[#This Row],[ID-VOIE]]),0)),"")</f>
        <v>ET</v>
      </c>
      <c r="AK530" s="72" t="str">
        <f>IFERROR(INDEX(Tableau2[TS],SUMPRODUCT((Tableau2[Ref-Carte]=Tableau3[[#This Row],[Ref-Carte2]])*(Tableau2[ID-Voie]=Tableau3[[#This Row],[ID-VOIE]])*ROW(Tableau2[TS]))-ROW(Tableau2[#Headers])),"")</f>
        <v>ET</v>
      </c>
      <c r="AL530" s="72" t="str">
        <f>Tableau3[[#This Row],[Ref-Carte2]]&amp;"/"&amp;Tableau3[[#This Row],[ID-VOIE]]</f>
        <v>SDI1602/0</v>
      </c>
      <c r="AM530" s="73" t="str">
        <f>INDEX(Tableau2[Borne],MATCH(Tableau3[[#This Row],[ID-CARTEVOIE]],Tableau2[ID-CARTEVOIE],0))&amp;""</f>
        <v>0B</v>
      </c>
      <c r="AN530" s="74" t="str">
        <f>Tableau3[[#This Row],[ID-API]]&amp;Tableau3[[#This Row],[ID-RACK]]&amp;Tableau3[[#This Row],[ID-SLOT]]&amp;Tableau3[[#This Row],[BORNE]]</f>
        <v>3260B</v>
      </c>
      <c r="AO530" s="1"/>
    </row>
    <row r="531" spans="1:41" ht="20.100000000000001" customHeight="1" thickTop="1" thickBot="1">
      <c r="A531" s="68"/>
      <c r="B531" s="69" t="str">
        <f>IFERROR(INDEX(Tableau4[Date],MATCH($A531,Tableau4[EVO],0)),"")</f>
        <v/>
      </c>
      <c r="C531" s="68" t="str">
        <f>IFERROR(INDEX(Tableau4[Designation],MATCH($A531,Tableau4[EVO],0)),"")</f>
        <v/>
      </c>
      <c r="D531" s="68"/>
      <c r="E531" s="70">
        <v>258</v>
      </c>
      <c r="F531" s="71">
        <v>291</v>
      </c>
      <c r="G531" s="101" t="str">
        <f>INDEX(Tableau8[Att1],MATCH(Tableau3[[#This Row],[ID-INS]],Tableau8[ID],0))&amp;""</f>
        <v>V1</v>
      </c>
      <c r="H531" s="101" t="str">
        <f>INDEX(Tableau8[Att2],MATCH(Tableau3[[#This Row],[ID-INS]],Tableau8[ID],0))&amp;""</f>
        <v>P4</v>
      </c>
      <c r="I531" s="101" t="str">
        <f>INDEX(Tableau8[Att3],MATCH(Tableau3[[#This Row],[ID-INS]],Tableau8[ID],0))&amp;""</f>
        <v>Portail P4</v>
      </c>
      <c r="J531" s="101"/>
      <c r="K531" s="167" t="str">
        <f>INDEX(Tableau8[Nom du modele],MATCH(Tableau3[[#This Row],[ID-INS]],Tableau8[ID],0))&amp;""</f>
        <v>PortailBleuHydr_2</v>
      </c>
      <c r="L531" s="155" t="s">
        <v>1681</v>
      </c>
      <c r="M531" s="99" t="str">
        <f>INDEX(Tableau5[Att2],MATCH(Tableau3[[#This Row],[ID-SIG]],Tableau5[ID],0))&amp;""</f>
        <v/>
      </c>
      <c r="N531" s="99" t="str">
        <f>INDEX(Tableau5[Att3],MATCH(Tableau3[[#This Row],[ID-SIG]],Tableau5[ID],0))&amp;""</f>
        <v/>
      </c>
      <c r="O531" s="99"/>
      <c r="P531" s="155" t="s">
        <v>1694</v>
      </c>
      <c r="Q531" s="99"/>
      <c r="R531" s="103" t="str">
        <f>Tableau3[[#This Row],[Description]]</f>
        <v>Portail P4 - Entrée Réserve 2</v>
      </c>
      <c r="U531" s="87">
        <v>3</v>
      </c>
      <c r="V531" s="87">
        <v>2</v>
      </c>
      <c r="W531" s="87">
        <v>6</v>
      </c>
      <c r="X531" s="87">
        <v>1</v>
      </c>
      <c r="Y531" s="40"/>
      <c r="Z531" s="165" t="str">
        <f>INDEX(Tableau2[TS],MATCH(Tableau3[[#This Row],[ID-CARTEVOIE]],Tableau2[ID-CARTEVOIE],0))</f>
        <v>ET</v>
      </c>
      <c r="AA531" s="53" t="s">
        <v>213</v>
      </c>
      <c r="AB531" s="223" t="str">
        <f>IFERROR(INDEX(Tableau5[Reserve],MATCH(Tableau3[[#This Row],[ID-SIG]],Tableau5[ID],0))&amp;"","")</f>
        <v/>
      </c>
      <c r="AC531" s="21"/>
      <c r="AD531" s="108" t="str">
        <f>INDEX(Tableau7[Repere],MATCH(Tableau3[[#This Row],[ID-API]],Tableau7[ID-API],0))&amp;""</f>
        <v>A3</v>
      </c>
      <c r="AE531" s="108" t="str">
        <f>INDEX(Tableau1[Repere-Rack],MATCH(Tableau3[[#This Row],[ID-RACK]],Tableau1[ID-RACK],0))&amp;""</f>
        <v>R2</v>
      </c>
      <c r="AF531" s="108" t="str">
        <f>INDEX(Tableau1[Repere-Slot],MATCH(Tableau3[[#This Row],[ID-SLOT]],Tableau1[ID-SLOT],0))&amp;""</f>
        <v>S6</v>
      </c>
      <c r="AG531" s="108" t="str">
        <f>INDEX(Tableau2[Repere-Voie],MATCH(Tableau3[[#This Row],[ID-VOIE]],Tableau2[ID-Voie],0))&amp;""</f>
        <v>v1</v>
      </c>
      <c r="AH531" s="72" t="str">
        <f>Tableau3[[#This Row],[ID-API]]&amp; "." &amp;Tableau3[[#This Row],[ID-RACK]]&amp; "." &amp;Tableau3[[#This Row],[ID-SLOT]]</f>
        <v>3.2.6</v>
      </c>
      <c r="AI531" s="72" t="str">
        <f>INDEX(Tableau1[Ref-Carte],MATCH(Tableau3[[#This Row],[ID-RRS]],Tableau1[ID-RRS],0))</f>
        <v>SDI1602</v>
      </c>
      <c r="AJ531" s="72" t="str">
        <f t="array" ref="AJ531">IFERROR(INDEX(Tableau2[TS],MATCH(1,(Tableau2[Ref-Carte]=Tableau3[[#This Row],[Ref-Carte2]])*(Tableau2[ID-Voie]=Tableau3[[#This Row],[ID-VOIE]]),0)),"")</f>
        <v>ET</v>
      </c>
      <c r="AK531" s="72" t="str">
        <f>IFERROR(INDEX(Tableau2[TS],SUMPRODUCT((Tableau2[Ref-Carte]=Tableau3[[#This Row],[Ref-Carte2]])*(Tableau2[ID-Voie]=Tableau3[[#This Row],[ID-VOIE]])*ROW(Tableau2[TS]))-ROW(Tableau2[#Headers])),"")</f>
        <v>ET</v>
      </c>
      <c r="AL531" s="72" t="str">
        <f>Tableau3[[#This Row],[Ref-Carte2]]&amp;"/"&amp;Tableau3[[#This Row],[ID-VOIE]]</f>
        <v>SDI1602/1</v>
      </c>
      <c r="AM531" s="73" t="str">
        <f>INDEX(Tableau2[Borne],MATCH(Tableau3[[#This Row],[ID-CARTEVOIE]],Tableau2[ID-CARTEVOIE],0))&amp;""</f>
        <v>0A</v>
      </c>
      <c r="AN531" s="74" t="str">
        <f>Tableau3[[#This Row],[ID-API]]&amp;Tableau3[[#This Row],[ID-RACK]]&amp;Tableau3[[#This Row],[ID-SLOT]]&amp;Tableau3[[#This Row],[BORNE]]</f>
        <v>3260A</v>
      </c>
      <c r="AO531" s="1"/>
    </row>
    <row r="532" spans="1:41" ht="20.100000000000001" customHeight="1" thickTop="1" thickBot="1">
      <c r="A532" s="68"/>
      <c r="B532" s="69" t="str">
        <f>IFERROR(INDEX(Tableau4[Date],MATCH($A532,Tableau4[EVO],0)),"")</f>
        <v/>
      </c>
      <c r="C532" s="68" t="str">
        <f>IFERROR(INDEX(Tableau4[Designation],MATCH($A532,Tableau4[EVO],0)),"")</f>
        <v/>
      </c>
      <c r="D532" s="68"/>
      <c r="E532" s="70">
        <v>258</v>
      </c>
      <c r="F532" s="71">
        <v>292</v>
      </c>
      <c r="G532" s="101" t="str">
        <f>INDEX(Tableau8[Att1],MATCH(Tableau3[[#This Row],[ID-INS]],Tableau8[ID],0))&amp;""</f>
        <v>V1</v>
      </c>
      <c r="H532" s="101" t="str">
        <f>INDEX(Tableau8[Att2],MATCH(Tableau3[[#This Row],[ID-INS]],Tableau8[ID],0))&amp;""</f>
        <v>P4</v>
      </c>
      <c r="I532" s="101" t="str">
        <f>INDEX(Tableau8[Att3],MATCH(Tableau3[[#This Row],[ID-INS]],Tableau8[ID],0))&amp;""</f>
        <v>Portail P4</v>
      </c>
      <c r="J532" s="101"/>
      <c r="K532" s="167" t="str">
        <f>INDEX(Tableau8[Nom du modele],MATCH(Tableau3[[#This Row],[ID-INS]],Tableau8[ID],0))&amp;""</f>
        <v>PortailBleuHydr_2</v>
      </c>
      <c r="L532" s="99" t="str">
        <f>INDEX(Tableau5[Att1],MATCH(Tableau3[[#This Row],[ID-SIG]],Tableau5[ID],0))&amp;""</f>
        <v>VD_Fer2</v>
      </c>
      <c r="M532" s="99" t="str">
        <f>INDEX(Tableau5[Att2],MATCH(Tableau3[[#This Row],[ID-SIG]],Tableau5[ID],0))&amp;""</f>
        <v/>
      </c>
      <c r="N532" s="99" t="str">
        <f>INDEX(Tableau5[Att3],MATCH(Tableau3[[#This Row],[ID-SIG]],Tableau5[ID],0))&amp;""</f>
        <v/>
      </c>
      <c r="O532" s="99"/>
      <c r="P532" s="99" t="str">
        <f>INDEX(Tableau5[Description],MATCH(Tableau3[[#This Row],[ID-SIG]],Tableau5[ID],0))</f>
        <v>Vantail droit en fdc fermé 2</v>
      </c>
      <c r="Q532" s="99"/>
      <c r="R532" s="103" t="str">
        <f>Tableau3[[#This Row],[Description]]</f>
        <v>Vantail droit en fdc fermé 2</v>
      </c>
      <c r="U532" s="87">
        <v>3</v>
      </c>
      <c r="V532" s="87">
        <v>2</v>
      </c>
      <c r="W532" s="87">
        <v>6</v>
      </c>
      <c r="X532" s="87">
        <v>2</v>
      </c>
      <c r="Y532" s="40"/>
      <c r="Z532" s="165" t="str">
        <f>INDEX(Tableau2[TS],MATCH(Tableau3[[#This Row],[ID-CARTEVOIE]],Tableau2[ID-CARTEVOIE],0))</f>
        <v>ET</v>
      </c>
      <c r="AA532" s="53" t="s">
        <v>213</v>
      </c>
      <c r="AB532" s="223" t="str">
        <f>IFERROR(INDEX(Tableau5[Reserve],MATCH(Tableau3[[#This Row],[ID-SIG]],Tableau5[ID],0))&amp;"","")</f>
        <v/>
      </c>
      <c r="AC532" s="21"/>
      <c r="AD532" s="108" t="str">
        <f>INDEX(Tableau7[Repere],MATCH(Tableau3[[#This Row],[ID-API]],Tableau7[ID-API],0))&amp;""</f>
        <v>A3</v>
      </c>
      <c r="AE532" s="108" t="str">
        <f>INDEX(Tableau1[Repere-Rack],MATCH(Tableau3[[#This Row],[ID-RACK]],Tableau1[ID-RACK],0))&amp;""</f>
        <v>R2</v>
      </c>
      <c r="AF532" s="108" t="str">
        <f>INDEX(Tableau1[Repere-Slot],MATCH(Tableau3[[#This Row],[ID-SLOT]],Tableau1[ID-SLOT],0))&amp;""</f>
        <v>S6</v>
      </c>
      <c r="AG532" s="108" t="str">
        <f>INDEX(Tableau2[Repere-Voie],MATCH(Tableau3[[#This Row],[ID-VOIE]],Tableau2[ID-Voie],0))&amp;""</f>
        <v>v2</v>
      </c>
      <c r="AH532" s="72" t="str">
        <f>Tableau3[[#This Row],[ID-API]]&amp; "." &amp;Tableau3[[#This Row],[ID-RACK]]&amp; "." &amp;Tableau3[[#This Row],[ID-SLOT]]</f>
        <v>3.2.6</v>
      </c>
      <c r="AI532" s="72" t="str">
        <f>INDEX(Tableau1[Ref-Carte],MATCH(Tableau3[[#This Row],[ID-RRS]],Tableau1[ID-RRS],0))</f>
        <v>SDI1602</v>
      </c>
      <c r="AJ532" s="72" t="str">
        <f t="array" ref="AJ532">IFERROR(INDEX(Tableau2[TS],MATCH(1,(Tableau2[Ref-Carte]=Tableau3[[#This Row],[Ref-Carte2]])*(Tableau2[ID-Voie]=Tableau3[[#This Row],[ID-VOIE]]),0)),"")</f>
        <v>ET</v>
      </c>
      <c r="AK532" s="72" t="str">
        <f>IFERROR(INDEX(Tableau2[TS],SUMPRODUCT((Tableau2[Ref-Carte]=Tableau3[[#This Row],[Ref-Carte2]])*(Tableau2[ID-Voie]=Tableau3[[#This Row],[ID-VOIE]])*ROW(Tableau2[TS]))-ROW(Tableau2[#Headers])),"")</f>
        <v>ET</v>
      </c>
      <c r="AL532" s="72" t="str">
        <f>Tableau3[[#This Row],[Ref-Carte2]]&amp;"/"&amp;Tableau3[[#This Row],[ID-VOIE]]</f>
        <v>SDI1602/2</v>
      </c>
      <c r="AM532" s="73" t="str">
        <f>INDEX(Tableau2[Borne],MATCH(Tableau3[[#This Row],[ID-CARTEVOIE]],Tableau2[ID-CARTEVOIE],0))&amp;""</f>
        <v>1B</v>
      </c>
      <c r="AN532" s="74" t="str">
        <f>Tableau3[[#This Row],[ID-API]]&amp;Tableau3[[#This Row],[ID-RACK]]&amp;Tableau3[[#This Row],[ID-SLOT]]&amp;Tableau3[[#This Row],[BORNE]]</f>
        <v>3261B</v>
      </c>
      <c r="AO532" s="1"/>
    </row>
    <row r="533" spans="1:41" ht="20.100000000000001" customHeight="1" thickTop="1" thickBot="1">
      <c r="A533" s="68"/>
      <c r="B533" s="69" t="str">
        <f>IFERROR(INDEX(Tableau4[Date],MATCH($A533,Tableau4[EVO],0)),"")</f>
        <v/>
      </c>
      <c r="C533" s="68" t="str">
        <f>IFERROR(INDEX(Tableau4[Designation],MATCH($A533,Tableau4[EVO],0)),"")</f>
        <v/>
      </c>
      <c r="D533" s="68"/>
      <c r="E533" s="70">
        <v>258</v>
      </c>
      <c r="F533" s="71">
        <v>293</v>
      </c>
      <c r="G533" s="101" t="str">
        <f>INDEX(Tableau8[Att1],MATCH(Tableau3[[#This Row],[ID-INS]],Tableau8[ID],0))&amp;""</f>
        <v>V1</v>
      </c>
      <c r="H533" s="101" t="str">
        <f>INDEX(Tableau8[Att2],MATCH(Tableau3[[#This Row],[ID-INS]],Tableau8[ID],0))&amp;""</f>
        <v>P4</v>
      </c>
      <c r="I533" s="101" t="str">
        <f>INDEX(Tableau8[Att3],MATCH(Tableau3[[#This Row],[ID-INS]],Tableau8[ID],0))&amp;""</f>
        <v>Portail P4</v>
      </c>
      <c r="J533" s="101"/>
      <c r="K533" s="167" t="str">
        <f>INDEX(Tableau8[Nom du modele],MATCH(Tableau3[[#This Row],[ID-INS]],Tableau8[ID],0))&amp;""</f>
        <v>PortailBleuHydr_2</v>
      </c>
      <c r="L533" s="99" t="str">
        <f>INDEX(Tableau5[Att1],MATCH(Tableau3[[#This Row],[ID-SIG]],Tableau5[ID],0))&amp;""</f>
        <v>VG_Fer2</v>
      </c>
      <c r="M533" s="99" t="str">
        <f>INDEX(Tableau5[Att2],MATCH(Tableau3[[#This Row],[ID-SIG]],Tableau5[ID],0))&amp;""</f>
        <v/>
      </c>
      <c r="N533" s="99" t="str">
        <f>INDEX(Tableau5[Att3],MATCH(Tableau3[[#This Row],[ID-SIG]],Tableau5[ID],0))&amp;""</f>
        <v/>
      </c>
      <c r="O533" s="99"/>
      <c r="P533" s="99" t="s">
        <v>1727</v>
      </c>
      <c r="Q533" s="99"/>
      <c r="R533" s="103" t="str">
        <f>Tableau3[[#This Row],[Description]]</f>
        <v>Réserve - Contact</v>
      </c>
      <c r="U533" s="87">
        <v>3</v>
      </c>
      <c r="V533" s="87">
        <v>2</v>
      </c>
      <c r="W533" s="87">
        <v>6</v>
      </c>
      <c r="X533" s="87">
        <v>3</v>
      </c>
      <c r="Y533" s="40"/>
      <c r="Z533" s="165" t="str">
        <f>INDEX(Tableau2[TS],MATCH(Tableau3[[#This Row],[ID-CARTEVOIE]],Tableau2[ID-CARTEVOIE],0))</f>
        <v>ET</v>
      </c>
      <c r="AA533" s="53" t="s">
        <v>213</v>
      </c>
      <c r="AB533" s="223" t="str">
        <f>IFERROR(INDEX(Tableau5[Reserve],MATCH(Tableau3[[#This Row],[ID-SIG]],Tableau5[ID],0))&amp;"","")</f>
        <v/>
      </c>
      <c r="AC533" s="21"/>
      <c r="AD533" s="108" t="str">
        <f>INDEX(Tableau7[Repere],MATCH(Tableau3[[#This Row],[ID-API]],Tableau7[ID-API],0))&amp;""</f>
        <v>A3</v>
      </c>
      <c r="AE533" s="108" t="str">
        <f>INDEX(Tableau1[Repere-Rack],MATCH(Tableau3[[#This Row],[ID-RACK]],Tableau1[ID-RACK],0))&amp;""</f>
        <v>R2</v>
      </c>
      <c r="AF533" s="108" t="str">
        <f>INDEX(Tableau1[Repere-Slot],MATCH(Tableau3[[#This Row],[ID-SLOT]],Tableau1[ID-SLOT],0))&amp;""</f>
        <v>S6</v>
      </c>
      <c r="AG533" s="108" t="str">
        <f>INDEX(Tableau2[Repere-Voie],MATCH(Tableau3[[#This Row],[ID-VOIE]],Tableau2[ID-Voie],0))&amp;""</f>
        <v>v3</v>
      </c>
      <c r="AH533" s="72" t="str">
        <f>Tableau3[[#This Row],[ID-API]]&amp; "." &amp;Tableau3[[#This Row],[ID-RACK]]&amp; "." &amp;Tableau3[[#This Row],[ID-SLOT]]</f>
        <v>3.2.6</v>
      </c>
      <c r="AI533" s="72" t="str">
        <f>INDEX(Tableau1[Ref-Carte],MATCH(Tableau3[[#This Row],[ID-RRS]],Tableau1[ID-RRS],0))</f>
        <v>SDI1602</v>
      </c>
      <c r="AJ533" s="72" t="str">
        <f t="array" ref="AJ533">IFERROR(INDEX(Tableau2[TS],MATCH(1,(Tableau2[Ref-Carte]=Tableau3[[#This Row],[Ref-Carte2]])*(Tableau2[ID-Voie]=Tableau3[[#This Row],[ID-VOIE]]),0)),"")</f>
        <v>ET</v>
      </c>
      <c r="AK533" s="72" t="str">
        <f>IFERROR(INDEX(Tableau2[TS],SUMPRODUCT((Tableau2[Ref-Carte]=Tableau3[[#This Row],[Ref-Carte2]])*(Tableau2[ID-Voie]=Tableau3[[#This Row],[ID-VOIE]])*ROW(Tableau2[TS]))-ROW(Tableau2[#Headers])),"")</f>
        <v>ET</v>
      </c>
      <c r="AL533" s="72" t="str">
        <f>Tableau3[[#This Row],[Ref-Carte2]]&amp;"/"&amp;Tableau3[[#This Row],[ID-VOIE]]</f>
        <v>SDI1602/3</v>
      </c>
      <c r="AM533" s="73" t="str">
        <f>INDEX(Tableau2[Borne],MATCH(Tableau3[[#This Row],[ID-CARTEVOIE]],Tableau2[ID-CARTEVOIE],0))&amp;""</f>
        <v>1A</v>
      </c>
      <c r="AN533" s="74" t="str">
        <f>Tableau3[[#This Row],[ID-API]]&amp;Tableau3[[#This Row],[ID-RACK]]&amp;Tableau3[[#This Row],[ID-SLOT]]&amp;Tableau3[[#This Row],[BORNE]]</f>
        <v>3261A</v>
      </c>
      <c r="AO533" s="1"/>
    </row>
    <row r="534" spans="1:41" ht="20.100000000000001" customHeight="1" thickTop="1" thickBot="1">
      <c r="A534" s="68"/>
      <c r="B534" s="69" t="str">
        <f>IFERROR(INDEX(Tableau4[Date],MATCH($A534,Tableau4[EVO],0)),"")</f>
        <v/>
      </c>
      <c r="C534" s="68" t="str">
        <f>IFERROR(INDEX(Tableau4[Designation],MATCH($A534,Tableau4[EVO],0)),"")</f>
        <v/>
      </c>
      <c r="D534" s="68"/>
      <c r="E534" s="70">
        <v>260</v>
      </c>
      <c r="F534" s="71">
        <v>289</v>
      </c>
      <c r="G534" s="101" t="str">
        <f>INDEX(Tableau8[Att1],MATCH(Tableau3[[#This Row],[ID-INS]],Tableau8[ID],0))&amp;""</f>
        <v>V3</v>
      </c>
      <c r="H534" s="101" t="str">
        <f>INDEX(Tableau8[Att2],MATCH(Tableau3[[#This Row],[ID-INS]],Tableau8[ID],0))&amp;""</f>
        <v>P6</v>
      </c>
      <c r="I534" s="101" t="str">
        <f>INDEX(Tableau8[Att3],MATCH(Tableau3[[#This Row],[ID-INS]],Tableau8[ID],0))&amp;""</f>
        <v>Portail P6</v>
      </c>
      <c r="J534" s="101"/>
      <c r="K534" s="167" t="str">
        <f>INDEX(Tableau8[Nom du modele],MATCH(Tableau3[[#This Row],[ID-INS]],Tableau8[ID],0))&amp;""</f>
        <v>PortailBleuHydr_2</v>
      </c>
      <c r="L534" s="99" t="str">
        <f>INDEX(Tableau5[Att1],MATCH(Tableau3[[#This Row],[ID-SIG]],Tableau5[ID],0))&amp;""</f>
        <v>V_GrpHydRet2</v>
      </c>
      <c r="M534" s="99" t="str">
        <f>INDEX(Tableau5[Att2],MATCH(Tableau3[[#This Row],[ID-SIG]],Tableau5[ID],0))&amp;""</f>
        <v/>
      </c>
      <c r="N534" s="99" t="str">
        <f>INDEX(Tableau5[Att3],MATCH(Tableau3[[#This Row],[ID-SIG]],Tableau5[ID],0))&amp;""</f>
        <v/>
      </c>
      <c r="O534" s="99"/>
      <c r="P534" s="99" t="str">
        <f>INDEX(Tableau5[Description],MATCH(Tableau3[[#This Row],[ID-SIG]],Tableau5[ID],0))</f>
        <v>Retour Commande 2 marche groupe hydr</v>
      </c>
      <c r="Q534" s="99"/>
      <c r="R534" s="103" t="str">
        <f>Tableau3[[#This Row],[Description]]</f>
        <v>Retour Commande 2 marche groupe hydr</v>
      </c>
      <c r="U534" s="87">
        <v>3</v>
      </c>
      <c r="V534" s="87">
        <v>2</v>
      </c>
      <c r="W534" s="87">
        <v>6</v>
      </c>
      <c r="X534" s="87">
        <v>4</v>
      </c>
      <c r="Y534" s="40"/>
      <c r="Z534" s="165" t="str">
        <f>INDEX(Tableau2[TS],MATCH(Tableau3[[#This Row],[ID-CARTEVOIE]],Tableau2[ID-CARTEVOIE],0))</f>
        <v>ET</v>
      </c>
      <c r="AA534" s="53" t="s">
        <v>213</v>
      </c>
      <c r="AB534" s="223" t="str">
        <f>IFERROR(INDEX(Tableau5[Reserve],MATCH(Tableau3[[#This Row],[ID-SIG]],Tableau5[ID],0))&amp;"","")</f>
        <v/>
      </c>
      <c r="AC534" s="21"/>
      <c r="AD534" s="108" t="str">
        <f>INDEX(Tableau7[Repere],MATCH(Tableau3[[#This Row],[ID-API]],Tableau7[ID-API],0))&amp;""</f>
        <v>A3</v>
      </c>
      <c r="AE534" s="108" t="str">
        <f>INDEX(Tableau1[Repere-Rack],MATCH(Tableau3[[#This Row],[ID-RACK]],Tableau1[ID-RACK],0))&amp;""</f>
        <v>R2</v>
      </c>
      <c r="AF534" s="108" t="str">
        <f>INDEX(Tableau1[Repere-Slot],MATCH(Tableau3[[#This Row],[ID-SLOT]],Tableau1[ID-SLOT],0))&amp;""</f>
        <v>S6</v>
      </c>
      <c r="AG534" s="108" t="str">
        <f>INDEX(Tableau2[Repere-Voie],MATCH(Tableau3[[#This Row],[ID-VOIE]],Tableau2[ID-Voie],0))&amp;""</f>
        <v>v4</v>
      </c>
      <c r="AH534" s="72" t="str">
        <f>Tableau3[[#This Row],[ID-API]]&amp; "." &amp;Tableau3[[#This Row],[ID-RACK]]&amp; "." &amp;Tableau3[[#This Row],[ID-SLOT]]</f>
        <v>3.2.6</v>
      </c>
      <c r="AI534" s="72" t="str">
        <f>INDEX(Tableau1[Ref-Carte],MATCH(Tableau3[[#This Row],[ID-RRS]],Tableau1[ID-RRS],0))</f>
        <v>SDI1602</v>
      </c>
      <c r="AJ534" s="72" t="str">
        <f t="array" ref="AJ534">IFERROR(INDEX(Tableau2[TS],MATCH(1,(Tableau2[Ref-Carte]=Tableau3[[#This Row],[Ref-Carte2]])*(Tableau2[ID-Voie]=Tableau3[[#This Row],[ID-VOIE]]),0)),"")</f>
        <v>ET</v>
      </c>
      <c r="AK534" s="72" t="str">
        <f>IFERROR(INDEX(Tableau2[TS],SUMPRODUCT((Tableau2[Ref-Carte]=Tableau3[[#This Row],[Ref-Carte2]])*(Tableau2[ID-Voie]=Tableau3[[#This Row],[ID-VOIE]])*ROW(Tableau2[TS]))-ROW(Tableau2[#Headers])),"")</f>
        <v>ET</v>
      </c>
      <c r="AL534" s="72" t="str">
        <f>Tableau3[[#This Row],[Ref-Carte2]]&amp;"/"&amp;Tableau3[[#This Row],[ID-VOIE]]</f>
        <v>SDI1602/4</v>
      </c>
      <c r="AM534" s="73" t="str">
        <f>INDEX(Tableau2[Borne],MATCH(Tableau3[[#This Row],[ID-CARTEVOIE]],Tableau2[ID-CARTEVOIE],0))&amp;""</f>
        <v>2B</v>
      </c>
      <c r="AN534" s="74" t="str">
        <f>Tableau3[[#This Row],[ID-API]]&amp;Tableau3[[#This Row],[ID-RACK]]&amp;Tableau3[[#This Row],[ID-SLOT]]&amp;Tableau3[[#This Row],[BORNE]]</f>
        <v>3262B</v>
      </c>
      <c r="AO534" s="1"/>
    </row>
    <row r="535" spans="1:41" ht="20.100000000000001" customHeight="1" thickTop="1" thickBot="1">
      <c r="A535" s="68"/>
      <c r="B535" s="69" t="str">
        <f>IFERROR(INDEX(Tableau4[Date],MATCH($A535,Tableau4[EVO],0)),"")</f>
        <v/>
      </c>
      <c r="C535" s="68" t="str">
        <f>IFERROR(INDEX(Tableau4[Designation],MATCH($A535,Tableau4[EVO],0)),"")</f>
        <v/>
      </c>
      <c r="D535" s="68"/>
      <c r="E535" s="70">
        <v>260</v>
      </c>
      <c r="F535" s="71">
        <v>290</v>
      </c>
      <c r="G535" s="101" t="str">
        <f>INDEX(Tableau8[Att1],MATCH(Tableau3[[#This Row],[ID-INS]],Tableau8[ID],0))&amp;""</f>
        <v>V3</v>
      </c>
      <c r="H535" s="101" t="str">
        <f>INDEX(Tableau8[Att2],MATCH(Tableau3[[#This Row],[ID-INS]],Tableau8[ID],0))&amp;""</f>
        <v>P6</v>
      </c>
      <c r="I535" s="101" t="str">
        <f>INDEX(Tableau8[Att3],MATCH(Tableau3[[#This Row],[ID-INS]],Tableau8[ID],0))&amp;""</f>
        <v>Portail P6</v>
      </c>
      <c r="J535" s="101"/>
      <c r="K535" s="167" t="str">
        <f>INDEX(Tableau8[Nom du modele],MATCH(Tableau3[[#This Row],[ID-INS]],Tableau8[ID],0))&amp;""</f>
        <v>PortailBleuHydr_2</v>
      </c>
      <c r="L535" s="99" t="str">
        <f>INDEX(Tableau5[Att1],MATCH(Tableau3[[#This Row],[ID-SIG]],Tableau5[ID],0))&amp;""</f>
        <v>V_FerRet2</v>
      </c>
      <c r="M535" s="99" t="str">
        <f>INDEX(Tableau5[Att2],MATCH(Tableau3[[#This Row],[ID-SIG]],Tableau5[ID],0))&amp;""</f>
        <v/>
      </c>
      <c r="N535" s="99" t="str">
        <f>INDEX(Tableau5[Att3],MATCH(Tableau3[[#This Row],[ID-SIG]],Tableau5[ID],0))&amp;""</f>
        <v/>
      </c>
      <c r="O535" s="99"/>
      <c r="P535" s="99" t="str">
        <f>INDEX(Tableau5[Description],MATCH(Tableau3[[#This Row],[ID-SIG]],Tableau5[ID],0))</f>
        <v>Retour Commande 2 fermeture</v>
      </c>
      <c r="Q535" s="99"/>
      <c r="R535" s="103" t="str">
        <f>Tableau3[[#This Row],[Description]]</f>
        <v>Retour Commande 2 fermeture</v>
      </c>
      <c r="U535" s="87">
        <v>3</v>
      </c>
      <c r="V535" s="87">
        <v>2</v>
      </c>
      <c r="W535" s="87">
        <v>6</v>
      </c>
      <c r="X535" s="87">
        <v>5</v>
      </c>
      <c r="Y535" s="40"/>
      <c r="Z535" s="165" t="str">
        <f>INDEX(Tableau2[TS],MATCH(Tableau3[[#This Row],[ID-CARTEVOIE]],Tableau2[ID-CARTEVOIE],0))</f>
        <v>ET</v>
      </c>
      <c r="AA535" s="53" t="s">
        <v>213</v>
      </c>
      <c r="AB535" s="223" t="str">
        <f>IFERROR(INDEX(Tableau5[Reserve],MATCH(Tableau3[[#This Row],[ID-SIG]],Tableau5[ID],0))&amp;"","")</f>
        <v/>
      </c>
      <c r="AC535" s="21"/>
      <c r="AD535" s="108" t="str">
        <f>INDEX(Tableau7[Repere],MATCH(Tableau3[[#This Row],[ID-API]],Tableau7[ID-API],0))&amp;""</f>
        <v>A3</v>
      </c>
      <c r="AE535" s="108" t="str">
        <f>INDEX(Tableau1[Repere-Rack],MATCH(Tableau3[[#This Row],[ID-RACK]],Tableau1[ID-RACK],0))&amp;""</f>
        <v>R2</v>
      </c>
      <c r="AF535" s="108" t="str">
        <f>INDEX(Tableau1[Repere-Slot],MATCH(Tableau3[[#This Row],[ID-SLOT]],Tableau1[ID-SLOT],0))&amp;""</f>
        <v>S6</v>
      </c>
      <c r="AG535" s="108" t="str">
        <f>INDEX(Tableau2[Repere-Voie],MATCH(Tableau3[[#This Row],[ID-VOIE]],Tableau2[ID-Voie],0))&amp;""</f>
        <v>v5</v>
      </c>
      <c r="AH535" s="72" t="str">
        <f>Tableau3[[#This Row],[ID-API]]&amp; "." &amp;Tableau3[[#This Row],[ID-RACK]]&amp; "." &amp;Tableau3[[#This Row],[ID-SLOT]]</f>
        <v>3.2.6</v>
      </c>
      <c r="AI535" s="72" t="str">
        <f>INDEX(Tableau1[Ref-Carte],MATCH(Tableau3[[#This Row],[ID-RRS]],Tableau1[ID-RRS],0))</f>
        <v>SDI1602</v>
      </c>
      <c r="AJ535" s="72" t="str">
        <f t="array" ref="AJ535">IFERROR(INDEX(Tableau2[TS],MATCH(1,(Tableau2[Ref-Carte]=Tableau3[[#This Row],[Ref-Carte2]])*(Tableau2[ID-Voie]=Tableau3[[#This Row],[ID-VOIE]]),0)),"")</f>
        <v>ET</v>
      </c>
      <c r="AK535" s="72" t="str">
        <f>IFERROR(INDEX(Tableau2[TS],SUMPRODUCT((Tableau2[Ref-Carte]=Tableau3[[#This Row],[Ref-Carte2]])*(Tableau2[ID-Voie]=Tableau3[[#This Row],[ID-VOIE]])*ROW(Tableau2[TS]))-ROW(Tableau2[#Headers])),"")</f>
        <v>ET</v>
      </c>
      <c r="AL535" s="72" t="str">
        <f>Tableau3[[#This Row],[Ref-Carte2]]&amp;"/"&amp;Tableau3[[#This Row],[ID-VOIE]]</f>
        <v>SDI1602/5</v>
      </c>
      <c r="AM535" s="73" t="str">
        <f>INDEX(Tableau2[Borne],MATCH(Tableau3[[#This Row],[ID-CARTEVOIE]],Tableau2[ID-CARTEVOIE],0))&amp;""</f>
        <v>2A</v>
      </c>
      <c r="AN535" s="74" t="str">
        <f>Tableau3[[#This Row],[ID-API]]&amp;Tableau3[[#This Row],[ID-RACK]]&amp;Tableau3[[#This Row],[ID-SLOT]]&amp;Tableau3[[#This Row],[BORNE]]</f>
        <v>3262A</v>
      </c>
      <c r="AO535" s="1"/>
    </row>
    <row r="536" spans="1:41" ht="20.100000000000001" customHeight="1" thickTop="1" thickBot="1">
      <c r="A536" s="68"/>
      <c r="B536" s="69" t="str">
        <f>IFERROR(INDEX(Tableau4[Date],MATCH($A536,Tableau4[EVO],0)),"")</f>
        <v/>
      </c>
      <c r="C536" s="68" t="str">
        <f>IFERROR(INDEX(Tableau4[Designation],MATCH($A536,Tableau4[EVO],0)),"")</f>
        <v/>
      </c>
      <c r="D536" s="68"/>
      <c r="E536" s="70">
        <v>260</v>
      </c>
      <c r="F536" s="71">
        <v>291</v>
      </c>
      <c r="G536" s="101" t="str">
        <f>INDEX(Tableau8[Att1],MATCH(Tableau3[[#This Row],[ID-INS]],Tableau8[ID],0))&amp;""</f>
        <v>V3</v>
      </c>
      <c r="H536" s="101" t="str">
        <f>INDEX(Tableau8[Att2],MATCH(Tableau3[[#This Row],[ID-INS]],Tableau8[ID],0))&amp;""</f>
        <v>P6</v>
      </c>
      <c r="I536" s="101" t="str">
        <f>INDEX(Tableau8[Att3],MATCH(Tableau3[[#This Row],[ID-INS]],Tableau8[ID],0))&amp;""</f>
        <v>Portail P6</v>
      </c>
      <c r="J536" s="101"/>
      <c r="K536" s="167" t="str">
        <f>INDEX(Tableau8[Nom du modele],MATCH(Tableau3[[#This Row],[ID-INS]],Tableau8[ID],0))&amp;""</f>
        <v>PortailBleuHydr_2</v>
      </c>
      <c r="L536" s="155" t="s">
        <v>1681</v>
      </c>
      <c r="M536" s="99" t="str">
        <f>INDEX(Tableau5[Att2],MATCH(Tableau3[[#This Row],[ID-SIG]],Tableau5[ID],0))&amp;""</f>
        <v/>
      </c>
      <c r="N536" s="99" t="str">
        <f>INDEX(Tableau5[Att3],MATCH(Tableau3[[#This Row],[ID-SIG]],Tableau5[ID],0))&amp;""</f>
        <v/>
      </c>
      <c r="O536" s="99"/>
      <c r="P536" s="155" t="s">
        <v>1695</v>
      </c>
      <c r="Q536" s="99"/>
      <c r="R536" s="103" t="str">
        <f>Tableau3[[#This Row],[Description]]</f>
        <v>Portail P6 - Entrée Réserve 2</v>
      </c>
      <c r="U536" s="87">
        <v>3</v>
      </c>
      <c r="V536" s="87">
        <v>2</v>
      </c>
      <c r="W536" s="87">
        <v>6</v>
      </c>
      <c r="X536" s="87">
        <v>6</v>
      </c>
      <c r="Y536" s="40"/>
      <c r="Z536" s="165" t="str">
        <f>INDEX(Tableau2[TS],MATCH(Tableau3[[#This Row],[ID-CARTEVOIE]],Tableau2[ID-CARTEVOIE],0))</f>
        <v>ET</v>
      </c>
      <c r="AA536" s="53" t="s">
        <v>213</v>
      </c>
      <c r="AB536" s="223" t="str">
        <f>IFERROR(INDEX(Tableau5[Reserve],MATCH(Tableau3[[#This Row],[ID-SIG]],Tableau5[ID],0))&amp;"","")</f>
        <v/>
      </c>
      <c r="AC536" s="21"/>
      <c r="AD536" s="108" t="str">
        <f>INDEX(Tableau7[Repere],MATCH(Tableau3[[#This Row],[ID-API]],Tableau7[ID-API],0))&amp;""</f>
        <v>A3</v>
      </c>
      <c r="AE536" s="108" t="str">
        <f>INDEX(Tableau1[Repere-Rack],MATCH(Tableau3[[#This Row],[ID-RACK]],Tableau1[ID-RACK],0))&amp;""</f>
        <v>R2</v>
      </c>
      <c r="AF536" s="108" t="str">
        <f>INDEX(Tableau1[Repere-Slot],MATCH(Tableau3[[#This Row],[ID-SLOT]],Tableau1[ID-SLOT],0))&amp;""</f>
        <v>S6</v>
      </c>
      <c r="AG536" s="108" t="str">
        <f>INDEX(Tableau2[Repere-Voie],MATCH(Tableau3[[#This Row],[ID-VOIE]],Tableau2[ID-Voie],0))&amp;""</f>
        <v>v6</v>
      </c>
      <c r="AH536" s="72" t="str">
        <f>Tableau3[[#This Row],[ID-API]]&amp; "." &amp;Tableau3[[#This Row],[ID-RACK]]&amp; "." &amp;Tableau3[[#This Row],[ID-SLOT]]</f>
        <v>3.2.6</v>
      </c>
      <c r="AI536" s="72" t="str">
        <f>INDEX(Tableau1[Ref-Carte],MATCH(Tableau3[[#This Row],[ID-RRS]],Tableau1[ID-RRS],0))</f>
        <v>SDI1602</v>
      </c>
      <c r="AJ536" s="72" t="str">
        <f t="array" ref="AJ536">IFERROR(INDEX(Tableau2[TS],MATCH(1,(Tableau2[Ref-Carte]=Tableau3[[#This Row],[Ref-Carte2]])*(Tableau2[ID-Voie]=Tableau3[[#This Row],[ID-VOIE]]),0)),"")</f>
        <v>ET</v>
      </c>
      <c r="AK536" s="72" t="str">
        <f>IFERROR(INDEX(Tableau2[TS],SUMPRODUCT((Tableau2[Ref-Carte]=Tableau3[[#This Row],[Ref-Carte2]])*(Tableau2[ID-Voie]=Tableau3[[#This Row],[ID-VOIE]])*ROW(Tableau2[TS]))-ROW(Tableau2[#Headers])),"")</f>
        <v>ET</v>
      </c>
      <c r="AL536" s="72" t="str">
        <f>Tableau3[[#This Row],[Ref-Carte2]]&amp;"/"&amp;Tableau3[[#This Row],[ID-VOIE]]</f>
        <v>SDI1602/6</v>
      </c>
      <c r="AM536" s="73" t="str">
        <f>INDEX(Tableau2[Borne],MATCH(Tableau3[[#This Row],[ID-CARTEVOIE]],Tableau2[ID-CARTEVOIE],0))&amp;""</f>
        <v>3B</v>
      </c>
      <c r="AN536" s="74" t="str">
        <f>Tableau3[[#This Row],[ID-API]]&amp;Tableau3[[#This Row],[ID-RACK]]&amp;Tableau3[[#This Row],[ID-SLOT]]&amp;Tableau3[[#This Row],[BORNE]]</f>
        <v>3263B</v>
      </c>
      <c r="AO536" s="1"/>
    </row>
    <row r="537" spans="1:41" ht="20.100000000000001" customHeight="1" thickTop="1" thickBot="1">
      <c r="A537" s="68"/>
      <c r="B537" s="69" t="str">
        <f>IFERROR(INDEX(Tableau4[Date],MATCH($A537,Tableau4[EVO],0)),"")</f>
        <v/>
      </c>
      <c r="C537" s="68" t="str">
        <f>IFERROR(INDEX(Tableau4[Designation],MATCH($A537,Tableau4[EVO],0)),"")</f>
        <v/>
      </c>
      <c r="D537" s="68"/>
      <c r="E537" s="70">
        <v>260</v>
      </c>
      <c r="F537" s="71">
        <v>292</v>
      </c>
      <c r="G537" s="101" t="str">
        <f>INDEX(Tableau8[Att1],MATCH(Tableau3[[#This Row],[ID-INS]],Tableau8[ID],0))&amp;""</f>
        <v>V3</v>
      </c>
      <c r="H537" s="101" t="str">
        <f>INDEX(Tableau8[Att2],MATCH(Tableau3[[#This Row],[ID-INS]],Tableau8[ID],0))&amp;""</f>
        <v>P6</v>
      </c>
      <c r="I537" s="101" t="str">
        <f>INDEX(Tableau8[Att3],MATCH(Tableau3[[#This Row],[ID-INS]],Tableau8[ID],0))&amp;""</f>
        <v>Portail P6</v>
      </c>
      <c r="J537" s="101"/>
      <c r="K537" s="167" t="str">
        <f>INDEX(Tableau8[Nom du modele],MATCH(Tableau3[[#This Row],[ID-INS]],Tableau8[ID],0))&amp;""</f>
        <v>PortailBleuHydr_2</v>
      </c>
      <c r="L537" s="99" t="str">
        <f>INDEX(Tableau5[Att1],MATCH(Tableau3[[#This Row],[ID-SIG]],Tableau5[ID],0))&amp;""</f>
        <v>VD_Fer2</v>
      </c>
      <c r="M537" s="99" t="str">
        <f>INDEX(Tableau5[Att2],MATCH(Tableau3[[#This Row],[ID-SIG]],Tableau5[ID],0))&amp;""</f>
        <v/>
      </c>
      <c r="N537" s="99" t="str">
        <f>INDEX(Tableau5[Att3],MATCH(Tableau3[[#This Row],[ID-SIG]],Tableau5[ID],0))&amp;""</f>
        <v/>
      </c>
      <c r="O537" s="99"/>
      <c r="P537" s="99" t="str">
        <f>INDEX(Tableau5[Description],MATCH(Tableau3[[#This Row],[ID-SIG]],Tableau5[ID],0))</f>
        <v>Vantail droit en fdc fermé 2</v>
      </c>
      <c r="Q537" s="99"/>
      <c r="R537" s="103" t="str">
        <f>Tableau3[[#This Row],[Description]]</f>
        <v>Vantail droit en fdc fermé 2</v>
      </c>
      <c r="U537" s="87">
        <v>3</v>
      </c>
      <c r="V537" s="87">
        <v>2</v>
      </c>
      <c r="W537" s="87">
        <v>6</v>
      </c>
      <c r="X537" s="87">
        <v>7</v>
      </c>
      <c r="Y537" s="40"/>
      <c r="Z537" s="165" t="str">
        <f>INDEX(Tableau2[TS],MATCH(Tableau3[[#This Row],[ID-CARTEVOIE]],Tableau2[ID-CARTEVOIE],0))</f>
        <v>ET</v>
      </c>
      <c r="AA537" s="53" t="s">
        <v>213</v>
      </c>
      <c r="AB537" s="223" t="str">
        <f>IFERROR(INDEX(Tableau5[Reserve],MATCH(Tableau3[[#This Row],[ID-SIG]],Tableau5[ID],0))&amp;"","")</f>
        <v/>
      </c>
      <c r="AC537" s="21"/>
      <c r="AD537" s="108" t="str">
        <f>INDEX(Tableau7[Repere],MATCH(Tableau3[[#This Row],[ID-API]],Tableau7[ID-API],0))&amp;""</f>
        <v>A3</v>
      </c>
      <c r="AE537" s="108" t="str">
        <f>INDEX(Tableau1[Repere-Rack],MATCH(Tableau3[[#This Row],[ID-RACK]],Tableau1[ID-RACK],0))&amp;""</f>
        <v>R2</v>
      </c>
      <c r="AF537" s="108" t="str">
        <f>INDEX(Tableau1[Repere-Slot],MATCH(Tableau3[[#This Row],[ID-SLOT]],Tableau1[ID-SLOT],0))&amp;""</f>
        <v>S6</v>
      </c>
      <c r="AG537" s="108" t="str">
        <f>INDEX(Tableau2[Repere-Voie],MATCH(Tableau3[[#This Row],[ID-VOIE]],Tableau2[ID-Voie],0))&amp;""</f>
        <v>v7</v>
      </c>
      <c r="AH537" s="72" t="str">
        <f>Tableau3[[#This Row],[ID-API]]&amp; "." &amp;Tableau3[[#This Row],[ID-RACK]]&amp; "." &amp;Tableau3[[#This Row],[ID-SLOT]]</f>
        <v>3.2.6</v>
      </c>
      <c r="AI537" s="72" t="str">
        <f>INDEX(Tableau1[Ref-Carte],MATCH(Tableau3[[#This Row],[ID-RRS]],Tableau1[ID-RRS],0))</f>
        <v>SDI1602</v>
      </c>
      <c r="AJ537" s="72" t="str">
        <f t="array" ref="AJ537">IFERROR(INDEX(Tableau2[TS],MATCH(1,(Tableau2[Ref-Carte]=Tableau3[[#This Row],[Ref-Carte2]])*(Tableau2[ID-Voie]=Tableau3[[#This Row],[ID-VOIE]]),0)),"")</f>
        <v>ET</v>
      </c>
      <c r="AK537" s="72" t="str">
        <f>IFERROR(INDEX(Tableau2[TS],SUMPRODUCT((Tableau2[Ref-Carte]=Tableau3[[#This Row],[Ref-Carte2]])*(Tableau2[ID-Voie]=Tableau3[[#This Row],[ID-VOIE]])*ROW(Tableau2[TS]))-ROW(Tableau2[#Headers])),"")</f>
        <v>ET</v>
      </c>
      <c r="AL537" s="72" t="str">
        <f>Tableau3[[#This Row],[Ref-Carte2]]&amp;"/"&amp;Tableau3[[#This Row],[ID-VOIE]]</f>
        <v>SDI1602/7</v>
      </c>
      <c r="AM537" s="73" t="str">
        <f>INDEX(Tableau2[Borne],MATCH(Tableau3[[#This Row],[ID-CARTEVOIE]],Tableau2[ID-CARTEVOIE],0))&amp;""</f>
        <v>3A</v>
      </c>
      <c r="AN537" s="74" t="str">
        <f>Tableau3[[#This Row],[ID-API]]&amp;Tableau3[[#This Row],[ID-RACK]]&amp;Tableau3[[#This Row],[ID-SLOT]]&amp;Tableau3[[#This Row],[BORNE]]</f>
        <v>3263A</v>
      </c>
      <c r="AO537" s="1"/>
    </row>
    <row r="538" spans="1:41" ht="20.100000000000001" customHeight="1" thickTop="1" thickBot="1">
      <c r="A538" s="68"/>
      <c r="B538" s="69" t="str">
        <f>IFERROR(INDEX(Tableau4[Date],MATCH($A538,Tableau4[EVO],0)),"")</f>
        <v/>
      </c>
      <c r="C538" s="68" t="str">
        <f>IFERROR(INDEX(Tableau4[Designation],MATCH($A538,Tableau4[EVO],0)),"")</f>
        <v/>
      </c>
      <c r="D538" s="68"/>
      <c r="E538" s="70">
        <v>260</v>
      </c>
      <c r="F538" s="71">
        <v>293</v>
      </c>
      <c r="G538" s="101" t="str">
        <f>INDEX(Tableau8[Att1],MATCH(Tableau3[[#This Row],[ID-INS]],Tableau8[ID],0))&amp;""</f>
        <v>V3</v>
      </c>
      <c r="H538" s="101" t="str">
        <f>INDEX(Tableau8[Att2],MATCH(Tableau3[[#This Row],[ID-INS]],Tableau8[ID],0))&amp;""</f>
        <v>P6</v>
      </c>
      <c r="I538" s="101" t="str">
        <f>INDEX(Tableau8[Att3],MATCH(Tableau3[[#This Row],[ID-INS]],Tableau8[ID],0))&amp;""</f>
        <v>Portail P6</v>
      </c>
      <c r="J538" s="101"/>
      <c r="K538" s="167" t="str">
        <f>INDEX(Tableau8[Nom du modele],MATCH(Tableau3[[#This Row],[ID-INS]],Tableau8[ID],0))&amp;""</f>
        <v>PortailBleuHydr_2</v>
      </c>
      <c r="L538" s="99" t="str">
        <f>INDEX(Tableau5[Att1],MATCH(Tableau3[[#This Row],[ID-SIG]],Tableau5[ID],0))&amp;""</f>
        <v>VG_Fer2</v>
      </c>
      <c r="M538" s="99" t="str">
        <f>INDEX(Tableau5[Att2],MATCH(Tableau3[[#This Row],[ID-SIG]],Tableau5[ID],0))&amp;""</f>
        <v/>
      </c>
      <c r="N538" s="99" t="str">
        <f>INDEX(Tableau5[Att3],MATCH(Tableau3[[#This Row],[ID-SIG]],Tableau5[ID],0))&amp;""</f>
        <v/>
      </c>
      <c r="O538" s="99"/>
      <c r="P538" s="99" t="str">
        <f>INDEX(Tableau5[Description],MATCH(Tableau3[[#This Row],[ID-SIG]],Tableau5[ID],0))</f>
        <v>Vantail gauche en fdc fermé 2</v>
      </c>
      <c r="Q538" s="99"/>
      <c r="R538" s="103" t="str">
        <f>Tableau3[[#This Row],[Description]]</f>
        <v>Vantail gauche en fdc fermé 2</v>
      </c>
      <c r="U538" s="87">
        <v>3</v>
      </c>
      <c r="V538" s="87">
        <v>2</v>
      </c>
      <c r="W538" s="87">
        <v>6</v>
      </c>
      <c r="X538" s="87">
        <v>8</v>
      </c>
      <c r="Y538" s="40"/>
      <c r="Z538" s="165" t="str">
        <f>INDEX(Tableau2[TS],MATCH(Tableau3[[#This Row],[ID-CARTEVOIE]],Tableau2[ID-CARTEVOIE],0))</f>
        <v>ET</v>
      </c>
      <c r="AA538" s="53" t="s">
        <v>213</v>
      </c>
      <c r="AB538" s="223" t="str">
        <f>IFERROR(INDEX(Tableau5[Reserve],MATCH(Tableau3[[#This Row],[ID-SIG]],Tableau5[ID],0))&amp;"","")</f>
        <v/>
      </c>
      <c r="AC538" s="21"/>
      <c r="AD538" s="108" t="str">
        <f>INDEX(Tableau7[Repere],MATCH(Tableau3[[#This Row],[ID-API]],Tableau7[ID-API],0))&amp;""</f>
        <v>A3</v>
      </c>
      <c r="AE538" s="108" t="str">
        <f>INDEX(Tableau1[Repere-Rack],MATCH(Tableau3[[#This Row],[ID-RACK]],Tableau1[ID-RACK],0))&amp;""</f>
        <v>R2</v>
      </c>
      <c r="AF538" s="108" t="str">
        <f>INDEX(Tableau1[Repere-Slot],MATCH(Tableau3[[#This Row],[ID-SLOT]],Tableau1[ID-SLOT],0))&amp;""</f>
        <v>S6</v>
      </c>
      <c r="AG538" s="108" t="str">
        <f>INDEX(Tableau2[Repere-Voie],MATCH(Tableau3[[#This Row],[ID-VOIE]],Tableau2[ID-Voie],0))&amp;""</f>
        <v>v8</v>
      </c>
      <c r="AH538" s="72" t="str">
        <f>Tableau3[[#This Row],[ID-API]]&amp; "." &amp;Tableau3[[#This Row],[ID-RACK]]&amp; "." &amp;Tableau3[[#This Row],[ID-SLOT]]</f>
        <v>3.2.6</v>
      </c>
      <c r="AI538" s="72" t="str">
        <f>INDEX(Tableau1[Ref-Carte],MATCH(Tableau3[[#This Row],[ID-RRS]],Tableau1[ID-RRS],0))</f>
        <v>SDI1602</v>
      </c>
      <c r="AJ538" s="72" t="str">
        <f t="array" ref="AJ538">IFERROR(INDEX(Tableau2[TS],MATCH(1,(Tableau2[Ref-Carte]=Tableau3[[#This Row],[Ref-Carte2]])*(Tableau2[ID-Voie]=Tableau3[[#This Row],[ID-VOIE]]),0)),"")</f>
        <v>ET</v>
      </c>
      <c r="AK538" s="72" t="str">
        <f>IFERROR(INDEX(Tableau2[TS],SUMPRODUCT((Tableau2[Ref-Carte]=Tableau3[[#This Row],[Ref-Carte2]])*(Tableau2[ID-Voie]=Tableau3[[#This Row],[ID-VOIE]])*ROW(Tableau2[TS]))-ROW(Tableau2[#Headers])),"")</f>
        <v>ET</v>
      </c>
      <c r="AL538" s="72" t="str">
        <f>Tableau3[[#This Row],[Ref-Carte2]]&amp;"/"&amp;Tableau3[[#This Row],[ID-VOIE]]</f>
        <v>SDI1602/8</v>
      </c>
      <c r="AM538" s="73" t="str">
        <f>INDEX(Tableau2[Borne],MATCH(Tableau3[[#This Row],[ID-CARTEVOIE]],Tableau2[ID-CARTEVOIE],0))&amp;""</f>
        <v>4B</v>
      </c>
      <c r="AN538" s="74" t="str">
        <f>Tableau3[[#This Row],[ID-API]]&amp;Tableau3[[#This Row],[ID-RACK]]&amp;Tableau3[[#This Row],[ID-SLOT]]&amp;Tableau3[[#This Row],[BORNE]]</f>
        <v>3264B</v>
      </c>
      <c r="AO538" s="1"/>
    </row>
    <row r="539" spans="1:41" ht="20.100000000000001" customHeight="1" thickTop="1" thickBot="1">
      <c r="A539" s="110"/>
      <c r="B539" s="111" t="str">
        <f>IFERROR(INDEX(Tableau4[Date],MATCH($A539,Tableau4[EVO],0)),"")</f>
        <v/>
      </c>
      <c r="C539" s="112" t="str">
        <f>IFERROR(INDEX(Tableau4[Designation],MATCH($A539,Tableau4[EVO],0)),"")</f>
        <v/>
      </c>
      <c r="D539" s="110"/>
      <c r="E539" s="113"/>
      <c r="F539" s="146"/>
      <c r="G539" s="147" t="e">
        <f>INDEX(Tableau8[Att1],MATCH(Tableau3[[#This Row],[ID-INS]],Tableau8[ID],0))&amp;""</f>
        <v>#N/A</v>
      </c>
      <c r="H539" s="147" t="s">
        <v>1696</v>
      </c>
      <c r="I539" s="147" t="e">
        <f>INDEX(Tableau8[Att3],MATCH(Tableau3[[#This Row],[ID-INS]],Tableau8[ID],0))&amp;""</f>
        <v>#N/A</v>
      </c>
      <c r="J539" s="148"/>
      <c r="K539" s="167" t="e">
        <f>INDEX(Tableau8[Nom du modele],MATCH(Tableau3[[#This Row],[ID-INS]],Tableau8[ID],0))&amp;""</f>
        <v>#N/A</v>
      </c>
      <c r="L539" s="149" t="s">
        <v>260</v>
      </c>
      <c r="M539" s="149" t="e">
        <f>INDEX(Tableau5[Att2],MATCH(Tableau3[[#This Row],[ID-SIG]],Tableau5[ID],0))&amp;""</f>
        <v>#N/A</v>
      </c>
      <c r="N539" s="149" t="e">
        <f>INDEX(Tableau5[Att3],MATCH(Tableau3[[#This Row],[ID-SIG]],Tableau5[ID],0))&amp;""</f>
        <v>#N/A</v>
      </c>
      <c r="O539" s="150"/>
      <c r="P539" s="149" t="s">
        <v>1697</v>
      </c>
      <c r="Q539" s="150"/>
      <c r="R539" s="117" t="str">
        <f>Tableau3[[#This Row],[Description]]</f>
        <v>Synthèse Défaut alimentation rack d'extension du RIO 3 - Défaut</v>
      </c>
      <c r="S539" s="75"/>
      <c r="T539" s="75"/>
      <c r="U539" s="151">
        <v>3</v>
      </c>
      <c r="V539" s="151">
        <v>2</v>
      </c>
      <c r="W539" s="151">
        <v>6</v>
      </c>
      <c r="X539" s="151">
        <v>9</v>
      </c>
      <c r="Y539" s="40"/>
      <c r="Z539" s="166" t="str">
        <f>INDEX(Tableau2[TS],MATCH(Tableau3[[#This Row],[ID-CARTEVOIE]],Tableau2[ID-CARTEVOIE],0))</f>
        <v>ET</v>
      </c>
      <c r="AA539" s="81" t="s">
        <v>213</v>
      </c>
      <c r="AB539" s="226" t="str">
        <f>IFERROR(INDEX(Tableau5[Reserve],MATCH(Tableau3[[#This Row],[ID-SIG]],Tableau5[ID],0))&amp;"","")</f>
        <v/>
      </c>
      <c r="AC539" s="119" t="s">
        <v>1456</v>
      </c>
      <c r="AD539" s="120" t="str">
        <f>INDEX(Tableau7[Repere],MATCH(Tableau3[[#This Row],[ID-API]],Tableau7[ID-API],0))&amp;""</f>
        <v>A3</v>
      </c>
      <c r="AE539" s="121" t="str">
        <f>INDEX(Tableau1[Repere-Rack],MATCH(Tableau3[[#This Row],[ID-RACK]],Tableau1[ID-RACK],0))&amp;""</f>
        <v>R2</v>
      </c>
      <c r="AF539" s="121" t="str">
        <f>INDEX(Tableau1[Repere-Slot],MATCH(Tableau3[[#This Row],[ID-SLOT]],Tableau1[ID-SLOT],0))&amp;""</f>
        <v>S6</v>
      </c>
      <c r="AG539" s="121" t="str">
        <f>INDEX(Tableau2[Repere-Voie],MATCH(Tableau3[[#This Row],[ID-VOIE]],Tableau2[ID-Voie],0))&amp;""</f>
        <v>v9</v>
      </c>
      <c r="AH539" s="122" t="str">
        <f>Tableau3[[#This Row],[ID-API]]&amp; "." &amp;Tableau3[[#This Row],[ID-RACK]]&amp; "." &amp;Tableau3[[#This Row],[ID-SLOT]]</f>
        <v>3.2.6</v>
      </c>
      <c r="AI539" s="72" t="str">
        <f>INDEX(Tableau1[Ref-Carte],MATCH(Tableau3[[#This Row],[ID-RRS]],Tableau1[ID-RRS],0))</f>
        <v>SDI1602</v>
      </c>
      <c r="AJ539" s="72" t="str">
        <f t="array" ref="AJ539">IFERROR(INDEX(Tableau2[TS],MATCH(1,(Tableau2[Ref-Carte]=Tableau3[[#This Row],[Ref-Carte2]])*(Tableau2[ID-Voie]=Tableau3[[#This Row],[ID-VOIE]]),0)),"")</f>
        <v>ET</v>
      </c>
      <c r="AK539" s="72" t="str">
        <f>IFERROR(INDEX(Tableau2[TS],SUMPRODUCT((Tableau2[Ref-Carte]=Tableau3[[#This Row],[Ref-Carte2]])*(Tableau2[ID-Voie]=Tableau3[[#This Row],[ID-VOIE]])*ROW(Tableau2[TS]))-ROW(Tableau2[#Headers])),"")</f>
        <v>ET</v>
      </c>
      <c r="AL539" s="122" t="str">
        <f>Tableau3[[#This Row],[Ref-Carte2]]&amp;"/"&amp;Tableau3[[#This Row],[ID-VOIE]]</f>
        <v>SDI1602/9</v>
      </c>
      <c r="AM539" s="123" t="str">
        <f>INDEX(Tableau2[Borne],MATCH(Tableau3[[#This Row],[ID-CARTEVOIE]],Tableau2[ID-CARTEVOIE],0))&amp;""</f>
        <v>4A</v>
      </c>
      <c r="AN539" s="124" t="str">
        <f>Tableau3[[#This Row],[ID-API]]&amp;Tableau3[[#This Row],[ID-RACK]]&amp;Tableau3[[#This Row],[ID-SLOT]]&amp;Tableau3[[#This Row],[BORNE]]</f>
        <v>3264A</v>
      </c>
      <c r="AO539" s="125"/>
    </row>
    <row r="540" spans="1:41" ht="20.100000000000001" customHeight="1" thickTop="1" thickBot="1">
      <c r="A540" s="110"/>
      <c r="B540" s="111" t="str">
        <f>IFERROR(INDEX(Tableau4[Date],MATCH($A540,Tableau4[EVO],0)),"")</f>
        <v/>
      </c>
      <c r="C540" s="112" t="str">
        <f>IFERROR(INDEX(Tableau4[Designation],MATCH($A540,Tableau4[EVO],0)),"")</f>
        <v/>
      </c>
      <c r="D540" s="110"/>
      <c r="E540" s="113"/>
      <c r="F540" s="146"/>
      <c r="G540" s="147" t="e">
        <f>INDEX(Tableau8[Att1],MATCH(Tableau3[[#This Row],[ID-INS]],Tableau8[ID],0))&amp;""</f>
        <v>#N/A</v>
      </c>
      <c r="H540" s="147" t="e">
        <f>INDEX(Tableau8[Att2],MATCH(Tableau3[[#This Row],[ID-INS]],Tableau8[ID],0))&amp;""</f>
        <v>#N/A</v>
      </c>
      <c r="I540" s="147" t="e">
        <f>INDEX(Tableau8[Att3],MATCH(Tableau3[[#This Row],[ID-INS]],Tableau8[ID],0))&amp;""</f>
        <v>#N/A</v>
      </c>
      <c r="J540" s="148"/>
      <c r="K540" s="167" t="e">
        <f>INDEX(Tableau8[Nom du modele],MATCH(Tableau3[[#This Row],[ID-INS]],Tableau8[ID],0))&amp;""</f>
        <v>#N/A</v>
      </c>
      <c r="L540" s="149" t="e">
        <f>INDEX(Tableau5[Att1],MATCH(Tableau3[[#This Row],[ID-SIG]],Tableau5[ID],0))&amp;""</f>
        <v>#N/A</v>
      </c>
      <c r="M540" s="149" t="e">
        <f>INDEX(Tableau5[Att2],MATCH(Tableau3[[#This Row],[ID-SIG]],Tableau5[ID],0))&amp;""</f>
        <v>#N/A</v>
      </c>
      <c r="N540" s="149" t="e">
        <f>INDEX(Tableau5[Att3],MATCH(Tableau3[[#This Row],[ID-SIG]],Tableau5[ID],0))&amp;""</f>
        <v>#N/A</v>
      </c>
      <c r="O540" s="150"/>
      <c r="P540" s="149" t="e">
        <f>INDEX(Tableau5[Description],MATCH(Tableau3[[#This Row],[ID-SIG]],Tableau5[ID],0))</f>
        <v>#N/A</v>
      </c>
      <c r="Q540" s="150"/>
      <c r="R540" s="117" t="e">
        <f>Tableau3[[#This Row],[Description]]</f>
        <v>#N/A</v>
      </c>
      <c r="S540" s="75"/>
      <c r="T540" s="75"/>
      <c r="U540" s="151">
        <v>3</v>
      </c>
      <c r="V540" s="151">
        <v>2</v>
      </c>
      <c r="W540" s="151">
        <v>6</v>
      </c>
      <c r="X540" s="151">
        <v>10</v>
      </c>
      <c r="Y540" s="40"/>
      <c r="Z540" s="166" t="str">
        <f>INDEX(Tableau2[TS],MATCH(Tableau3[[#This Row],[ID-CARTEVOIE]],Tableau2[ID-CARTEVOIE],0))</f>
        <v>ET</v>
      </c>
      <c r="AA540" s="81" t="s">
        <v>213</v>
      </c>
      <c r="AB540" s="226" t="str">
        <f>IFERROR(INDEX(Tableau5[Reserve],MATCH(Tableau3[[#This Row],[ID-SIG]],Tableau5[ID],0))&amp;"","")</f>
        <v/>
      </c>
      <c r="AC540" s="119" t="s">
        <v>1456</v>
      </c>
      <c r="AD540" s="120" t="str">
        <f>INDEX(Tableau7[Repere],MATCH(Tableau3[[#This Row],[ID-API]],Tableau7[ID-API],0))&amp;""</f>
        <v>A3</v>
      </c>
      <c r="AE540" s="121" t="str">
        <f>INDEX(Tableau1[Repere-Rack],MATCH(Tableau3[[#This Row],[ID-RACK]],Tableau1[ID-RACK],0))&amp;""</f>
        <v>R2</v>
      </c>
      <c r="AF540" s="121" t="str">
        <f>INDEX(Tableau1[Repere-Slot],MATCH(Tableau3[[#This Row],[ID-SLOT]],Tableau1[ID-SLOT],0))&amp;""</f>
        <v>S6</v>
      </c>
      <c r="AG540" s="121" t="str">
        <f>INDEX(Tableau2[Repere-Voie],MATCH(Tableau3[[#This Row],[ID-VOIE]],Tableau2[ID-Voie],0))&amp;""</f>
        <v>v10</v>
      </c>
      <c r="AH540" s="122" t="str">
        <f>Tableau3[[#This Row],[ID-API]]&amp; "." &amp;Tableau3[[#This Row],[ID-RACK]]&amp; "." &amp;Tableau3[[#This Row],[ID-SLOT]]</f>
        <v>3.2.6</v>
      </c>
      <c r="AI540" s="72" t="str">
        <f>INDEX(Tableau1[Ref-Carte],MATCH(Tableau3[[#This Row],[ID-RRS]],Tableau1[ID-RRS],0))</f>
        <v>SDI1602</v>
      </c>
      <c r="AJ540" s="72" t="str">
        <f t="array" ref="AJ540">IFERROR(INDEX(Tableau2[TS],MATCH(1,(Tableau2[Ref-Carte]=Tableau3[[#This Row],[Ref-Carte2]])*(Tableau2[ID-Voie]=Tableau3[[#This Row],[ID-VOIE]]),0)),"")</f>
        <v>ET</v>
      </c>
      <c r="AK540" s="72" t="str">
        <f>IFERROR(INDEX(Tableau2[TS],SUMPRODUCT((Tableau2[Ref-Carte]=Tableau3[[#This Row],[Ref-Carte2]])*(Tableau2[ID-Voie]=Tableau3[[#This Row],[ID-VOIE]])*ROW(Tableau2[TS]))-ROW(Tableau2[#Headers])),"")</f>
        <v>ET</v>
      </c>
      <c r="AL540" s="122" t="str">
        <f>Tableau3[[#This Row],[Ref-Carte2]]&amp;"/"&amp;Tableau3[[#This Row],[ID-VOIE]]</f>
        <v>SDI1602/10</v>
      </c>
      <c r="AM540" s="123" t="str">
        <f>INDEX(Tableau2[Borne],MATCH(Tableau3[[#This Row],[ID-CARTEVOIE]],Tableau2[ID-CARTEVOIE],0))&amp;""</f>
        <v>5B</v>
      </c>
      <c r="AN540" s="124" t="str">
        <f>Tableau3[[#This Row],[ID-API]]&amp;Tableau3[[#This Row],[ID-RACK]]&amp;Tableau3[[#This Row],[ID-SLOT]]&amp;Tableau3[[#This Row],[BORNE]]</f>
        <v>3265B</v>
      </c>
      <c r="AO540" s="125"/>
    </row>
    <row r="541" spans="1:41" ht="20.100000000000001" customHeight="1" thickTop="1" thickBot="1">
      <c r="A541" s="110"/>
      <c r="B541" s="111" t="str">
        <f>IFERROR(INDEX(Tableau4[Date],MATCH($A541,Tableau4[EVO],0)),"")</f>
        <v/>
      </c>
      <c r="C541" s="112" t="str">
        <f>IFERROR(INDEX(Tableau4[Designation],MATCH($A541,Tableau4[EVO],0)),"")</f>
        <v/>
      </c>
      <c r="D541" s="110"/>
      <c r="E541" s="113"/>
      <c r="F541" s="146"/>
      <c r="G541" s="147" t="e">
        <f>INDEX(Tableau8[Att1],MATCH(Tableau3[[#This Row],[ID-INS]],Tableau8[ID],0))&amp;""</f>
        <v>#N/A</v>
      </c>
      <c r="H541" s="147" t="e">
        <f>INDEX(Tableau8[Att2],MATCH(Tableau3[[#This Row],[ID-INS]],Tableau8[ID],0))&amp;""</f>
        <v>#N/A</v>
      </c>
      <c r="I541" s="147" t="e">
        <f>INDEX(Tableau8[Att3],MATCH(Tableau3[[#This Row],[ID-INS]],Tableau8[ID],0))&amp;""</f>
        <v>#N/A</v>
      </c>
      <c r="J541" s="148"/>
      <c r="K541" s="167" t="e">
        <f>INDEX(Tableau8[Nom du modele],MATCH(Tableau3[[#This Row],[ID-INS]],Tableau8[ID],0))&amp;""</f>
        <v>#N/A</v>
      </c>
      <c r="L541" s="149" t="e">
        <f>INDEX(Tableau5[Att1],MATCH(Tableau3[[#This Row],[ID-SIG]],Tableau5[ID],0))&amp;""</f>
        <v>#N/A</v>
      </c>
      <c r="M541" s="149" t="e">
        <f>INDEX(Tableau5[Att2],MATCH(Tableau3[[#This Row],[ID-SIG]],Tableau5[ID],0))&amp;""</f>
        <v>#N/A</v>
      </c>
      <c r="N541" s="149" t="e">
        <f>INDEX(Tableau5[Att3],MATCH(Tableau3[[#This Row],[ID-SIG]],Tableau5[ID],0))&amp;""</f>
        <v>#N/A</v>
      </c>
      <c r="O541" s="150"/>
      <c r="P541" s="149" t="e">
        <f>INDEX(Tableau5[Description],MATCH(Tableau3[[#This Row],[ID-SIG]],Tableau5[ID],0))</f>
        <v>#N/A</v>
      </c>
      <c r="Q541" s="150"/>
      <c r="R541" s="117" t="e">
        <f>Tableau3[[#This Row],[Description]]</f>
        <v>#N/A</v>
      </c>
      <c r="S541" s="75"/>
      <c r="T541" s="75"/>
      <c r="U541" s="151">
        <v>3</v>
      </c>
      <c r="V541" s="151">
        <v>2</v>
      </c>
      <c r="W541" s="151">
        <v>6</v>
      </c>
      <c r="X541" s="151">
        <v>11</v>
      </c>
      <c r="Y541" s="40"/>
      <c r="Z541" s="166" t="str">
        <f>INDEX(Tableau2[TS],MATCH(Tableau3[[#This Row],[ID-CARTEVOIE]],Tableau2[ID-CARTEVOIE],0))</f>
        <v>ET</v>
      </c>
      <c r="AA541" s="81" t="s">
        <v>213</v>
      </c>
      <c r="AB541" s="226" t="str">
        <f>IFERROR(INDEX(Tableau5[Reserve],MATCH(Tableau3[[#This Row],[ID-SIG]],Tableau5[ID],0))&amp;"","")</f>
        <v/>
      </c>
      <c r="AC541" s="119" t="s">
        <v>1456</v>
      </c>
      <c r="AD541" s="120" t="str">
        <f>INDEX(Tableau7[Repere],MATCH(Tableau3[[#This Row],[ID-API]],Tableau7[ID-API],0))&amp;""</f>
        <v>A3</v>
      </c>
      <c r="AE541" s="121" t="str">
        <f>INDEX(Tableau1[Repere-Rack],MATCH(Tableau3[[#This Row],[ID-RACK]],Tableau1[ID-RACK],0))&amp;""</f>
        <v>R2</v>
      </c>
      <c r="AF541" s="121" t="str">
        <f>INDEX(Tableau1[Repere-Slot],MATCH(Tableau3[[#This Row],[ID-SLOT]],Tableau1[ID-SLOT],0))&amp;""</f>
        <v>S6</v>
      </c>
      <c r="AG541" s="121" t="str">
        <f>INDEX(Tableau2[Repere-Voie],MATCH(Tableau3[[#This Row],[ID-VOIE]],Tableau2[ID-Voie],0))&amp;""</f>
        <v>v11</v>
      </c>
      <c r="AH541" s="122" t="str">
        <f>Tableau3[[#This Row],[ID-API]]&amp; "." &amp;Tableau3[[#This Row],[ID-RACK]]&amp; "." &amp;Tableau3[[#This Row],[ID-SLOT]]</f>
        <v>3.2.6</v>
      </c>
      <c r="AI541" s="72" t="str">
        <f>INDEX(Tableau1[Ref-Carte],MATCH(Tableau3[[#This Row],[ID-RRS]],Tableau1[ID-RRS],0))</f>
        <v>SDI1602</v>
      </c>
      <c r="AJ541" s="72" t="str">
        <f t="array" ref="AJ541">IFERROR(INDEX(Tableau2[TS],MATCH(1,(Tableau2[Ref-Carte]=Tableau3[[#This Row],[Ref-Carte2]])*(Tableau2[ID-Voie]=Tableau3[[#This Row],[ID-VOIE]]),0)),"")</f>
        <v>ET</v>
      </c>
      <c r="AK541" s="72" t="str">
        <f>IFERROR(INDEX(Tableau2[TS],SUMPRODUCT((Tableau2[Ref-Carte]=Tableau3[[#This Row],[Ref-Carte2]])*(Tableau2[ID-Voie]=Tableau3[[#This Row],[ID-VOIE]])*ROW(Tableau2[TS]))-ROW(Tableau2[#Headers])),"")</f>
        <v>ET</v>
      </c>
      <c r="AL541" s="122" t="str">
        <f>Tableau3[[#This Row],[Ref-Carte2]]&amp;"/"&amp;Tableau3[[#This Row],[ID-VOIE]]</f>
        <v>SDI1602/11</v>
      </c>
      <c r="AM541" s="123" t="str">
        <f>INDEX(Tableau2[Borne],MATCH(Tableau3[[#This Row],[ID-CARTEVOIE]],Tableau2[ID-CARTEVOIE],0))&amp;""</f>
        <v>5A</v>
      </c>
      <c r="AN541" s="124" t="str">
        <f>Tableau3[[#This Row],[ID-API]]&amp;Tableau3[[#This Row],[ID-RACK]]&amp;Tableau3[[#This Row],[ID-SLOT]]&amp;Tableau3[[#This Row],[BORNE]]</f>
        <v>3265A</v>
      </c>
      <c r="AO541" s="125"/>
    </row>
    <row r="542" spans="1:41" ht="20.100000000000001" customHeight="1" thickTop="1" thickBot="1">
      <c r="A542" s="110"/>
      <c r="B542" s="111" t="str">
        <f>IFERROR(INDEX(Tableau4[Date],MATCH($A542,Tableau4[EVO],0)),"")</f>
        <v/>
      </c>
      <c r="C542" s="112" t="str">
        <f>IFERROR(INDEX(Tableau4[Designation],MATCH($A542,Tableau4[EVO],0)),"")</f>
        <v/>
      </c>
      <c r="D542" s="110"/>
      <c r="E542" s="113"/>
      <c r="F542" s="146"/>
      <c r="G542" s="147" t="e">
        <f>INDEX(Tableau8[Att1],MATCH(Tableau3[[#This Row],[ID-INS]],Tableau8[ID],0))&amp;""</f>
        <v>#N/A</v>
      </c>
      <c r="H542" s="147" t="e">
        <f>INDEX(Tableau8[Att2],MATCH(Tableau3[[#This Row],[ID-INS]],Tableau8[ID],0))&amp;""</f>
        <v>#N/A</v>
      </c>
      <c r="I542" s="147" t="e">
        <f>INDEX(Tableau8[Att3],MATCH(Tableau3[[#This Row],[ID-INS]],Tableau8[ID],0))&amp;""</f>
        <v>#N/A</v>
      </c>
      <c r="J542" s="148"/>
      <c r="K542" s="167" t="e">
        <f>INDEX(Tableau8[Nom du modele],MATCH(Tableau3[[#This Row],[ID-INS]],Tableau8[ID],0))&amp;""</f>
        <v>#N/A</v>
      </c>
      <c r="L542" s="149" t="e">
        <f>INDEX(Tableau5[Att1],MATCH(Tableau3[[#This Row],[ID-SIG]],Tableau5[ID],0))&amp;""</f>
        <v>#N/A</v>
      </c>
      <c r="M542" s="149" t="e">
        <f>INDEX(Tableau5[Att2],MATCH(Tableau3[[#This Row],[ID-SIG]],Tableau5[ID],0))&amp;""</f>
        <v>#N/A</v>
      </c>
      <c r="N542" s="149" t="e">
        <f>INDEX(Tableau5[Att3],MATCH(Tableau3[[#This Row],[ID-SIG]],Tableau5[ID],0))&amp;""</f>
        <v>#N/A</v>
      </c>
      <c r="O542" s="150"/>
      <c r="P542" s="149" t="e">
        <f>INDEX(Tableau5[Description],MATCH(Tableau3[[#This Row],[ID-SIG]],Tableau5[ID],0))</f>
        <v>#N/A</v>
      </c>
      <c r="Q542" s="150"/>
      <c r="R542" s="117" t="e">
        <f>Tableau3[[#This Row],[Description]]</f>
        <v>#N/A</v>
      </c>
      <c r="S542" s="75"/>
      <c r="T542" s="75"/>
      <c r="U542" s="151">
        <v>3</v>
      </c>
      <c r="V542" s="151">
        <v>2</v>
      </c>
      <c r="W542" s="151">
        <v>6</v>
      </c>
      <c r="X542" s="151">
        <v>12</v>
      </c>
      <c r="Y542" s="40"/>
      <c r="Z542" s="166" t="str">
        <f>INDEX(Tableau2[TS],MATCH(Tableau3[[#This Row],[ID-CARTEVOIE]],Tableau2[ID-CARTEVOIE],0))</f>
        <v>ET</v>
      </c>
      <c r="AA542" s="81" t="s">
        <v>213</v>
      </c>
      <c r="AB542" s="226" t="str">
        <f>IFERROR(INDEX(Tableau5[Reserve],MATCH(Tableau3[[#This Row],[ID-SIG]],Tableau5[ID],0))&amp;"","")</f>
        <v/>
      </c>
      <c r="AC542" s="119" t="s">
        <v>1456</v>
      </c>
      <c r="AD542" s="120" t="str">
        <f>INDEX(Tableau7[Repere],MATCH(Tableau3[[#This Row],[ID-API]],Tableau7[ID-API],0))&amp;""</f>
        <v>A3</v>
      </c>
      <c r="AE542" s="121" t="str">
        <f>INDEX(Tableau1[Repere-Rack],MATCH(Tableau3[[#This Row],[ID-RACK]],Tableau1[ID-RACK],0))&amp;""</f>
        <v>R2</v>
      </c>
      <c r="AF542" s="121" t="str">
        <f>INDEX(Tableau1[Repere-Slot],MATCH(Tableau3[[#This Row],[ID-SLOT]],Tableau1[ID-SLOT],0))&amp;""</f>
        <v>S6</v>
      </c>
      <c r="AG542" s="121" t="str">
        <f>INDEX(Tableau2[Repere-Voie],MATCH(Tableau3[[#This Row],[ID-VOIE]],Tableau2[ID-Voie],0))&amp;""</f>
        <v>v12</v>
      </c>
      <c r="AH542" s="122" t="str">
        <f>Tableau3[[#This Row],[ID-API]]&amp; "." &amp;Tableau3[[#This Row],[ID-RACK]]&amp; "." &amp;Tableau3[[#This Row],[ID-SLOT]]</f>
        <v>3.2.6</v>
      </c>
      <c r="AI542" s="72" t="str">
        <f>INDEX(Tableau1[Ref-Carte],MATCH(Tableau3[[#This Row],[ID-RRS]],Tableau1[ID-RRS],0))</f>
        <v>SDI1602</v>
      </c>
      <c r="AJ542" s="72" t="str">
        <f t="array" ref="AJ542">IFERROR(INDEX(Tableau2[TS],MATCH(1,(Tableau2[Ref-Carte]=Tableau3[[#This Row],[Ref-Carte2]])*(Tableau2[ID-Voie]=Tableau3[[#This Row],[ID-VOIE]]),0)),"")</f>
        <v>ET</v>
      </c>
      <c r="AK542" s="72" t="str">
        <f>IFERROR(INDEX(Tableau2[TS],SUMPRODUCT((Tableau2[Ref-Carte]=Tableau3[[#This Row],[Ref-Carte2]])*(Tableau2[ID-Voie]=Tableau3[[#This Row],[ID-VOIE]])*ROW(Tableau2[TS]))-ROW(Tableau2[#Headers])),"")</f>
        <v>ET</v>
      </c>
      <c r="AL542" s="122" t="str">
        <f>Tableau3[[#This Row],[Ref-Carte2]]&amp;"/"&amp;Tableau3[[#This Row],[ID-VOIE]]</f>
        <v>SDI1602/12</v>
      </c>
      <c r="AM542" s="123" t="str">
        <f>INDEX(Tableau2[Borne],MATCH(Tableau3[[#This Row],[ID-CARTEVOIE]],Tableau2[ID-CARTEVOIE],0))&amp;""</f>
        <v>6B</v>
      </c>
      <c r="AN542" s="124" t="str">
        <f>Tableau3[[#This Row],[ID-API]]&amp;Tableau3[[#This Row],[ID-RACK]]&amp;Tableau3[[#This Row],[ID-SLOT]]&amp;Tableau3[[#This Row],[BORNE]]</f>
        <v>3266B</v>
      </c>
      <c r="AO542" s="125"/>
    </row>
    <row r="543" spans="1:41" ht="20.100000000000001" customHeight="1" thickTop="1" thickBot="1">
      <c r="A543" s="110"/>
      <c r="B543" s="111" t="str">
        <f>IFERROR(INDEX(Tableau4[Date],MATCH($A543,Tableau4[EVO],0)),"")</f>
        <v/>
      </c>
      <c r="C543" s="112" t="str">
        <f>IFERROR(INDEX(Tableau4[Designation],MATCH($A543,Tableau4[EVO],0)),"")</f>
        <v/>
      </c>
      <c r="D543" s="110"/>
      <c r="E543" s="113"/>
      <c r="F543" s="146"/>
      <c r="G543" s="147" t="e">
        <f>INDEX(Tableau8[Att1],MATCH(Tableau3[[#This Row],[ID-INS]],Tableau8[ID],0))&amp;""</f>
        <v>#N/A</v>
      </c>
      <c r="H543" s="147" t="e">
        <f>INDEX(Tableau8[Att2],MATCH(Tableau3[[#This Row],[ID-INS]],Tableau8[ID],0))&amp;""</f>
        <v>#N/A</v>
      </c>
      <c r="I543" s="147" t="e">
        <f>INDEX(Tableau8[Att3],MATCH(Tableau3[[#This Row],[ID-INS]],Tableau8[ID],0))&amp;""</f>
        <v>#N/A</v>
      </c>
      <c r="J543" s="148"/>
      <c r="K543" s="167" t="e">
        <f>INDEX(Tableau8[Nom du modele],MATCH(Tableau3[[#This Row],[ID-INS]],Tableau8[ID],0))&amp;""</f>
        <v>#N/A</v>
      </c>
      <c r="L543" s="149" t="e">
        <f>INDEX(Tableau5[Att1],MATCH(Tableau3[[#This Row],[ID-SIG]],Tableau5[ID],0))&amp;""</f>
        <v>#N/A</v>
      </c>
      <c r="M543" s="149" t="e">
        <f>INDEX(Tableau5[Att2],MATCH(Tableau3[[#This Row],[ID-SIG]],Tableau5[ID],0))&amp;""</f>
        <v>#N/A</v>
      </c>
      <c r="N543" s="149" t="e">
        <f>INDEX(Tableau5[Att3],MATCH(Tableau3[[#This Row],[ID-SIG]],Tableau5[ID],0))&amp;""</f>
        <v>#N/A</v>
      </c>
      <c r="O543" s="150"/>
      <c r="P543" s="149" t="e">
        <f>INDEX(Tableau5[Description],MATCH(Tableau3[[#This Row],[ID-SIG]],Tableau5[ID],0))</f>
        <v>#N/A</v>
      </c>
      <c r="Q543" s="150"/>
      <c r="R543" s="117" t="e">
        <f>Tableau3[[#This Row],[Description]]</f>
        <v>#N/A</v>
      </c>
      <c r="S543" s="75"/>
      <c r="T543" s="75"/>
      <c r="U543" s="151">
        <v>3</v>
      </c>
      <c r="V543" s="151">
        <v>2</v>
      </c>
      <c r="W543" s="151">
        <v>6</v>
      </c>
      <c r="X543" s="151">
        <v>13</v>
      </c>
      <c r="Y543" s="40"/>
      <c r="Z543" s="166" t="str">
        <f>INDEX(Tableau2[TS],MATCH(Tableau3[[#This Row],[ID-CARTEVOIE]],Tableau2[ID-CARTEVOIE],0))</f>
        <v>ET</v>
      </c>
      <c r="AA543" s="81" t="s">
        <v>213</v>
      </c>
      <c r="AB543" s="226" t="str">
        <f>IFERROR(INDEX(Tableau5[Reserve],MATCH(Tableau3[[#This Row],[ID-SIG]],Tableau5[ID],0))&amp;"","")</f>
        <v/>
      </c>
      <c r="AC543" s="119" t="s">
        <v>1456</v>
      </c>
      <c r="AD543" s="120" t="str">
        <f>INDEX(Tableau7[Repere],MATCH(Tableau3[[#This Row],[ID-API]],Tableau7[ID-API],0))&amp;""</f>
        <v>A3</v>
      </c>
      <c r="AE543" s="121" t="str">
        <f>INDEX(Tableau1[Repere-Rack],MATCH(Tableau3[[#This Row],[ID-RACK]],Tableau1[ID-RACK],0))&amp;""</f>
        <v>R2</v>
      </c>
      <c r="AF543" s="121" t="str">
        <f>INDEX(Tableau1[Repere-Slot],MATCH(Tableau3[[#This Row],[ID-SLOT]],Tableau1[ID-SLOT],0))&amp;""</f>
        <v>S6</v>
      </c>
      <c r="AG543" s="121" t="str">
        <f>INDEX(Tableau2[Repere-Voie],MATCH(Tableau3[[#This Row],[ID-VOIE]],Tableau2[ID-Voie],0))&amp;""</f>
        <v>v13</v>
      </c>
      <c r="AH543" s="122" t="str">
        <f>Tableau3[[#This Row],[ID-API]]&amp; "." &amp;Tableau3[[#This Row],[ID-RACK]]&amp; "." &amp;Tableau3[[#This Row],[ID-SLOT]]</f>
        <v>3.2.6</v>
      </c>
      <c r="AI543" s="72" t="str">
        <f>INDEX(Tableau1[Ref-Carte],MATCH(Tableau3[[#This Row],[ID-RRS]],Tableau1[ID-RRS],0))</f>
        <v>SDI1602</v>
      </c>
      <c r="AJ543" s="72" t="str">
        <f t="array" ref="AJ543">IFERROR(INDEX(Tableau2[TS],MATCH(1,(Tableau2[Ref-Carte]=Tableau3[[#This Row],[Ref-Carte2]])*(Tableau2[ID-Voie]=Tableau3[[#This Row],[ID-VOIE]]),0)),"")</f>
        <v>ET</v>
      </c>
      <c r="AK543" s="72" t="str">
        <f>IFERROR(INDEX(Tableau2[TS],SUMPRODUCT((Tableau2[Ref-Carte]=Tableau3[[#This Row],[Ref-Carte2]])*(Tableau2[ID-Voie]=Tableau3[[#This Row],[ID-VOIE]])*ROW(Tableau2[TS]))-ROW(Tableau2[#Headers])),"")</f>
        <v>ET</v>
      </c>
      <c r="AL543" s="122" t="str">
        <f>Tableau3[[#This Row],[Ref-Carte2]]&amp;"/"&amp;Tableau3[[#This Row],[ID-VOIE]]</f>
        <v>SDI1602/13</v>
      </c>
      <c r="AM543" s="123" t="str">
        <f>INDEX(Tableau2[Borne],MATCH(Tableau3[[#This Row],[ID-CARTEVOIE]],Tableau2[ID-CARTEVOIE],0))&amp;""</f>
        <v>6A</v>
      </c>
      <c r="AN543" s="124" t="str">
        <f>Tableau3[[#This Row],[ID-API]]&amp;Tableau3[[#This Row],[ID-RACK]]&amp;Tableau3[[#This Row],[ID-SLOT]]&amp;Tableau3[[#This Row],[BORNE]]</f>
        <v>3266A</v>
      </c>
      <c r="AO543" s="125"/>
    </row>
    <row r="544" spans="1:41" ht="20.100000000000001" customHeight="1" thickTop="1" thickBot="1">
      <c r="A544" s="110"/>
      <c r="B544" s="111" t="str">
        <f>IFERROR(INDEX(Tableau4[Date],MATCH($A544,Tableau4[EVO],0)),"")</f>
        <v/>
      </c>
      <c r="C544" s="112" t="str">
        <f>IFERROR(INDEX(Tableau4[Designation],MATCH($A544,Tableau4[EVO],0)),"")</f>
        <v/>
      </c>
      <c r="D544" s="110"/>
      <c r="E544" s="113"/>
      <c r="F544" s="146"/>
      <c r="G544" s="147" t="e">
        <f>INDEX(Tableau8[Att1],MATCH(Tableau3[[#This Row],[ID-INS]],Tableau8[ID],0))&amp;""</f>
        <v>#N/A</v>
      </c>
      <c r="H544" s="147" t="e">
        <f>INDEX(Tableau8[Att2],MATCH(Tableau3[[#This Row],[ID-INS]],Tableau8[ID],0))&amp;""</f>
        <v>#N/A</v>
      </c>
      <c r="I544" s="147" t="e">
        <f>INDEX(Tableau8[Att3],MATCH(Tableau3[[#This Row],[ID-INS]],Tableau8[ID],0))&amp;""</f>
        <v>#N/A</v>
      </c>
      <c r="J544" s="148"/>
      <c r="K544" s="167" t="e">
        <f>INDEX(Tableau8[Nom du modele],MATCH(Tableau3[[#This Row],[ID-INS]],Tableau8[ID],0))&amp;""</f>
        <v>#N/A</v>
      </c>
      <c r="L544" s="149" t="e">
        <f>INDEX(Tableau5[Att1],MATCH(Tableau3[[#This Row],[ID-SIG]],Tableau5[ID],0))&amp;""</f>
        <v>#N/A</v>
      </c>
      <c r="M544" s="149" t="e">
        <f>INDEX(Tableau5[Att2],MATCH(Tableau3[[#This Row],[ID-SIG]],Tableau5[ID],0))&amp;""</f>
        <v>#N/A</v>
      </c>
      <c r="N544" s="149" t="e">
        <f>INDEX(Tableau5[Att3],MATCH(Tableau3[[#This Row],[ID-SIG]],Tableau5[ID],0))&amp;""</f>
        <v>#N/A</v>
      </c>
      <c r="O544" s="150"/>
      <c r="P544" s="149" t="e">
        <f>INDEX(Tableau5[Description],MATCH(Tableau3[[#This Row],[ID-SIG]],Tableau5[ID],0))</f>
        <v>#N/A</v>
      </c>
      <c r="Q544" s="150"/>
      <c r="R544" s="117" t="e">
        <f>Tableau3[[#This Row],[Description]]</f>
        <v>#N/A</v>
      </c>
      <c r="S544" s="75"/>
      <c r="T544" s="75"/>
      <c r="U544" s="151">
        <v>3</v>
      </c>
      <c r="V544" s="151">
        <v>2</v>
      </c>
      <c r="W544" s="151">
        <v>6</v>
      </c>
      <c r="X544" s="151">
        <v>14</v>
      </c>
      <c r="Y544" s="40"/>
      <c r="Z544" s="166" t="str">
        <f>INDEX(Tableau2[TS],MATCH(Tableau3[[#This Row],[ID-CARTEVOIE]],Tableau2[ID-CARTEVOIE],0))</f>
        <v>ET</v>
      </c>
      <c r="AA544" s="81" t="s">
        <v>213</v>
      </c>
      <c r="AB544" s="226" t="str">
        <f>IFERROR(INDEX(Tableau5[Reserve],MATCH(Tableau3[[#This Row],[ID-SIG]],Tableau5[ID],0))&amp;"","")</f>
        <v/>
      </c>
      <c r="AC544" s="119" t="s">
        <v>1456</v>
      </c>
      <c r="AD544" s="120" t="str">
        <f>INDEX(Tableau7[Repere],MATCH(Tableau3[[#This Row],[ID-API]],Tableau7[ID-API],0))&amp;""</f>
        <v>A3</v>
      </c>
      <c r="AE544" s="121" t="str">
        <f>INDEX(Tableau1[Repere-Rack],MATCH(Tableau3[[#This Row],[ID-RACK]],Tableau1[ID-RACK],0))&amp;""</f>
        <v>R2</v>
      </c>
      <c r="AF544" s="121" t="str">
        <f>INDEX(Tableau1[Repere-Slot],MATCH(Tableau3[[#This Row],[ID-SLOT]],Tableau1[ID-SLOT],0))&amp;""</f>
        <v>S6</v>
      </c>
      <c r="AG544" s="121" t="str">
        <f>INDEX(Tableau2[Repere-Voie],MATCH(Tableau3[[#This Row],[ID-VOIE]],Tableau2[ID-Voie],0))&amp;""</f>
        <v>v14</v>
      </c>
      <c r="AH544" s="122" t="str">
        <f>Tableau3[[#This Row],[ID-API]]&amp; "." &amp;Tableau3[[#This Row],[ID-RACK]]&amp; "." &amp;Tableau3[[#This Row],[ID-SLOT]]</f>
        <v>3.2.6</v>
      </c>
      <c r="AI544" s="72" t="str">
        <f>INDEX(Tableau1[Ref-Carte],MATCH(Tableau3[[#This Row],[ID-RRS]],Tableau1[ID-RRS],0))</f>
        <v>SDI1602</v>
      </c>
      <c r="AJ544" s="72" t="str">
        <f t="array" ref="AJ544">IFERROR(INDEX(Tableau2[TS],MATCH(1,(Tableau2[Ref-Carte]=Tableau3[[#This Row],[Ref-Carte2]])*(Tableau2[ID-Voie]=Tableau3[[#This Row],[ID-VOIE]]),0)),"")</f>
        <v>ET</v>
      </c>
      <c r="AK544" s="72" t="str">
        <f>IFERROR(INDEX(Tableau2[TS],SUMPRODUCT((Tableau2[Ref-Carte]=Tableau3[[#This Row],[Ref-Carte2]])*(Tableau2[ID-Voie]=Tableau3[[#This Row],[ID-VOIE]])*ROW(Tableau2[TS]))-ROW(Tableau2[#Headers])),"")</f>
        <v>ET</v>
      </c>
      <c r="AL544" s="122" t="str">
        <f>Tableau3[[#This Row],[Ref-Carte2]]&amp;"/"&amp;Tableau3[[#This Row],[ID-VOIE]]</f>
        <v>SDI1602/14</v>
      </c>
      <c r="AM544" s="123" t="str">
        <f>INDEX(Tableau2[Borne],MATCH(Tableau3[[#This Row],[ID-CARTEVOIE]],Tableau2[ID-CARTEVOIE],0))&amp;""</f>
        <v>7B</v>
      </c>
      <c r="AN544" s="124" t="str">
        <f>Tableau3[[#This Row],[ID-API]]&amp;Tableau3[[#This Row],[ID-RACK]]&amp;Tableau3[[#This Row],[ID-SLOT]]&amp;Tableau3[[#This Row],[BORNE]]</f>
        <v>3267B</v>
      </c>
      <c r="AO544" s="125"/>
    </row>
    <row r="545" spans="1:41" ht="20.100000000000001" customHeight="1" thickTop="1" thickBot="1">
      <c r="A545" s="110"/>
      <c r="B545" s="111" t="str">
        <f>IFERROR(INDEX(Tableau4[Date],MATCH($A545,Tableau4[EVO],0)),"")</f>
        <v/>
      </c>
      <c r="C545" s="112" t="str">
        <f>IFERROR(INDEX(Tableau4[Designation],MATCH($A545,Tableau4[EVO],0)),"")</f>
        <v/>
      </c>
      <c r="D545" s="110"/>
      <c r="E545" s="113"/>
      <c r="F545" s="146"/>
      <c r="G545" s="147" t="e">
        <f>INDEX(Tableau8[Att1],MATCH(Tableau3[[#This Row],[ID-INS]],Tableau8[ID],0))&amp;""</f>
        <v>#N/A</v>
      </c>
      <c r="H545" s="147" t="e">
        <f>INDEX(Tableau8[Att2],MATCH(Tableau3[[#This Row],[ID-INS]],Tableau8[ID],0))&amp;""</f>
        <v>#N/A</v>
      </c>
      <c r="I545" s="147" t="e">
        <f>INDEX(Tableau8[Att3],MATCH(Tableau3[[#This Row],[ID-INS]],Tableau8[ID],0))&amp;""</f>
        <v>#N/A</v>
      </c>
      <c r="J545" s="148"/>
      <c r="K545" s="167" t="e">
        <f>INDEX(Tableau8[Nom du modele],MATCH(Tableau3[[#This Row],[ID-INS]],Tableau8[ID],0))&amp;""</f>
        <v>#N/A</v>
      </c>
      <c r="L545" s="149" t="e">
        <f>INDEX(Tableau5[Att1],MATCH(Tableau3[[#This Row],[ID-SIG]],Tableau5[ID],0))&amp;""</f>
        <v>#N/A</v>
      </c>
      <c r="M545" s="149" t="e">
        <f>INDEX(Tableau5[Att2],MATCH(Tableau3[[#This Row],[ID-SIG]],Tableau5[ID],0))&amp;""</f>
        <v>#N/A</v>
      </c>
      <c r="N545" s="149" t="e">
        <f>INDEX(Tableau5[Att3],MATCH(Tableau3[[#This Row],[ID-SIG]],Tableau5[ID],0))&amp;""</f>
        <v>#N/A</v>
      </c>
      <c r="O545" s="150"/>
      <c r="P545" s="149" t="e">
        <f>INDEX(Tableau5[Description],MATCH(Tableau3[[#This Row],[ID-SIG]],Tableau5[ID],0))</f>
        <v>#N/A</v>
      </c>
      <c r="Q545" s="150"/>
      <c r="R545" s="117" t="e">
        <f>Tableau3[[#This Row],[Description]]</f>
        <v>#N/A</v>
      </c>
      <c r="S545" s="75"/>
      <c r="T545" s="75"/>
      <c r="U545" s="151">
        <v>3</v>
      </c>
      <c r="V545" s="151">
        <v>2</v>
      </c>
      <c r="W545" s="151">
        <v>6</v>
      </c>
      <c r="X545" s="151">
        <v>15</v>
      </c>
      <c r="Y545" s="40"/>
      <c r="Z545" s="166" t="str">
        <f>INDEX(Tableau2[TS],MATCH(Tableau3[[#This Row],[ID-CARTEVOIE]],Tableau2[ID-CARTEVOIE],0))</f>
        <v>ET</v>
      </c>
      <c r="AA545" s="81" t="s">
        <v>213</v>
      </c>
      <c r="AB545" s="226" t="str">
        <f>IFERROR(INDEX(Tableau5[Reserve],MATCH(Tableau3[[#This Row],[ID-SIG]],Tableau5[ID],0))&amp;"","")</f>
        <v/>
      </c>
      <c r="AC545" s="119" t="s">
        <v>1456</v>
      </c>
      <c r="AD545" s="120" t="str">
        <f>INDEX(Tableau7[Repere],MATCH(Tableau3[[#This Row],[ID-API]],Tableau7[ID-API],0))&amp;""</f>
        <v>A3</v>
      </c>
      <c r="AE545" s="121" t="str">
        <f>INDEX(Tableau1[Repere-Rack],MATCH(Tableau3[[#This Row],[ID-RACK]],Tableau1[ID-RACK],0))&amp;""</f>
        <v>R2</v>
      </c>
      <c r="AF545" s="121" t="str">
        <f>INDEX(Tableau1[Repere-Slot],MATCH(Tableau3[[#This Row],[ID-SLOT]],Tableau1[ID-SLOT],0))&amp;""</f>
        <v>S6</v>
      </c>
      <c r="AG545" s="121" t="str">
        <f>INDEX(Tableau2[Repere-Voie],MATCH(Tableau3[[#This Row],[ID-VOIE]],Tableau2[ID-Voie],0))&amp;""</f>
        <v>v15</v>
      </c>
      <c r="AH545" s="122" t="str">
        <f>Tableau3[[#This Row],[ID-API]]&amp; "." &amp;Tableau3[[#This Row],[ID-RACK]]&amp; "." &amp;Tableau3[[#This Row],[ID-SLOT]]</f>
        <v>3.2.6</v>
      </c>
      <c r="AI545" s="72" t="str">
        <f>INDEX(Tableau1[Ref-Carte],MATCH(Tableau3[[#This Row],[ID-RRS]],Tableau1[ID-RRS],0))</f>
        <v>SDI1602</v>
      </c>
      <c r="AJ545" s="72" t="str">
        <f t="array" ref="AJ545">IFERROR(INDEX(Tableau2[TS],MATCH(1,(Tableau2[Ref-Carte]=Tableau3[[#This Row],[Ref-Carte2]])*(Tableau2[ID-Voie]=Tableau3[[#This Row],[ID-VOIE]]),0)),"")</f>
        <v>ET</v>
      </c>
      <c r="AK545" s="72" t="str">
        <f>IFERROR(INDEX(Tableau2[TS],SUMPRODUCT((Tableau2[Ref-Carte]=Tableau3[[#This Row],[Ref-Carte2]])*(Tableau2[ID-Voie]=Tableau3[[#This Row],[ID-VOIE]])*ROW(Tableau2[TS]))-ROW(Tableau2[#Headers])),"")</f>
        <v>ET</v>
      </c>
      <c r="AL545" s="122" t="str">
        <f>Tableau3[[#This Row],[Ref-Carte2]]&amp;"/"&amp;Tableau3[[#This Row],[ID-VOIE]]</f>
        <v>SDI1602/15</v>
      </c>
      <c r="AM545" s="123" t="str">
        <f>INDEX(Tableau2[Borne],MATCH(Tableau3[[#This Row],[ID-CARTEVOIE]],Tableau2[ID-CARTEVOIE],0))&amp;""</f>
        <v>7A</v>
      </c>
      <c r="AN545" s="124" t="str">
        <f>Tableau3[[#This Row],[ID-API]]&amp;Tableau3[[#This Row],[ID-RACK]]&amp;Tableau3[[#This Row],[ID-SLOT]]&amp;Tableau3[[#This Row],[BORNE]]</f>
        <v>3267A</v>
      </c>
      <c r="AO545" s="125"/>
    </row>
    <row r="546" spans="1:41" ht="20.100000000000001" customHeight="1" thickTop="1" thickBot="1">
      <c r="A546" s="68"/>
      <c r="B546" s="69" t="str">
        <f>IFERROR(INDEX(Tableau4[Date],MATCH($A546,Tableau4[EVO],0)),"")</f>
        <v/>
      </c>
      <c r="C546" s="68" t="str">
        <f>IFERROR(INDEX(Tableau4[Designation],MATCH($A546,Tableau4[EVO],0)),"")</f>
        <v/>
      </c>
      <c r="D546" s="68"/>
      <c r="E546" s="70">
        <v>2</v>
      </c>
      <c r="F546" s="71">
        <v>116</v>
      </c>
      <c r="G546" s="101" t="str">
        <f>INDEX(Tableau8[Att1],MATCH(Tableau3[[#This Row],[ID-INS]],Tableau8[ID],0))&amp;""</f>
        <v>V3</v>
      </c>
      <c r="H546" s="101" t="str">
        <f>INDEX(Tableau8[Att2],MATCH(Tableau3[[#This Row],[ID-INS]],Tableau8[ID],0))&amp;""</f>
        <v>P2</v>
      </c>
      <c r="I546" s="101" t="str">
        <f>INDEX(Tableau8[Att3],MATCH(Tableau3[[#This Row],[ID-INS]],Tableau8[ID],0))&amp;""</f>
        <v>Portail P2</v>
      </c>
      <c r="J546" s="101"/>
      <c r="K546" s="167" t="str">
        <f>INDEX(Tableau8[Nom du modele],MATCH(Tableau3[[#This Row],[ID-INS]],Tableau8[ID],0))&amp;""</f>
        <v>PortailR1V_1</v>
      </c>
      <c r="L546" s="99" t="str">
        <f>INDEX(Tableau5[Att1],MATCH(Tableau3[[#This Row],[ID-SIG]],Tableau5[ID],0))&amp;""</f>
        <v>V1_SignalCmd</v>
      </c>
      <c r="M546" s="99" t="str">
        <f>INDEX(Tableau5[Att2],MATCH(Tableau3[[#This Row],[ID-SIG]],Tableau5[ID],0))&amp;""</f>
        <v/>
      </c>
      <c r="N546" s="99" t="str">
        <f>INDEX(Tableau5[Att3],MATCH(Tableau3[[#This Row],[ID-SIG]],Tableau5[ID],0))&amp;""</f>
        <v/>
      </c>
      <c r="O546" s="99"/>
      <c r="P546" s="99" t="str">
        <f>INDEX(Tableau5[Description],MATCH(Tableau3[[#This Row],[ID-SIG]],Tableau5[ID],0))</f>
        <v>Commande signalisation</v>
      </c>
      <c r="Q546" s="99"/>
      <c r="R546" s="103" t="str">
        <f>Tableau3[[#This Row],[Description]]</f>
        <v>Commande signalisation</v>
      </c>
      <c r="S546" s="52"/>
      <c r="U546" s="87">
        <v>4</v>
      </c>
      <c r="V546" s="87">
        <v>1</v>
      </c>
      <c r="W546" s="87">
        <v>3</v>
      </c>
      <c r="X546" s="87">
        <v>0</v>
      </c>
      <c r="Y546" s="41"/>
      <c r="Z546" s="165" t="str">
        <f>INDEX(Tableau2[TS],MATCH(Tableau3[[#This Row],[ID-CARTEVOIE]],Tableau2[ID-CARTEVOIE],0))</f>
        <v>ST</v>
      </c>
      <c r="AA546" s="53" t="s">
        <v>213</v>
      </c>
      <c r="AB546" s="223" t="str">
        <f>IFERROR(INDEX(Tableau5[Reserve],MATCH(Tableau3[[#This Row],[ID-SIG]],Tableau5[ID],0))&amp;"","")</f>
        <v/>
      </c>
      <c r="AC546" s="21"/>
      <c r="AD546" s="108" t="str">
        <f>INDEX(Tableau7[Repere],MATCH(Tableau3[[#This Row],[ID-API]],Tableau7[ID-API],0))&amp;""</f>
        <v>A4</v>
      </c>
      <c r="AE546" s="108" t="str">
        <f>INDEX(Tableau1[Repere-Rack],MATCH(Tableau3[[#This Row],[ID-RACK]],Tableau1[ID-RACK],0))&amp;""</f>
        <v>R1</v>
      </c>
      <c r="AF546" s="108" t="str">
        <f>INDEX(Tableau1[Repere-Slot],MATCH(Tableau3[[#This Row],[ID-SLOT]],Tableau1[ID-SLOT],0))&amp;""</f>
        <v>S3</v>
      </c>
      <c r="AG546" s="108" t="str">
        <f>INDEX(Tableau2[Repere-Voie],MATCH(Tableau3[[#This Row],[ID-VOIE]],Tableau2[ID-Voie],0))&amp;""</f>
        <v>v0</v>
      </c>
      <c r="AH546" s="72" t="str">
        <f>Tableau3[[#This Row],[ID-API]]&amp; "." &amp;Tableau3[[#This Row],[ID-RACK]]&amp; "." &amp;Tableau3[[#This Row],[ID-SLOT]]</f>
        <v>4.1.3</v>
      </c>
      <c r="AI546" s="72" t="str">
        <f>INDEX(Tableau1[Ref-Carte],MATCH(Tableau3[[#This Row],[ID-RRS]],Tableau1[ID-RRS],0))</f>
        <v>SDO0802</v>
      </c>
      <c r="AJ546" s="72" t="str">
        <f t="array" ref="AJ546">IFERROR(INDEX(Tableau2[TS],MATCH(1,(Tableau2[Ref-Carte]=Tableau3[[#This Row],[Ref-Carte2]])*(Tableau2[ID-Voie]=Tableau3[[#This Row],[ID-VOIE]]),0)),"")</f>
        <v>ST</v>
      </c>
      <c r="AK546" s="72" t="str">
        <f>IFERROR(INDEX(Tableau2[TS],SUMPRODUCT((Tableau2[Ref-Carte]=Tableau3[[#This Row],[Ref-Carte2]])*(Tableau2[ID-Voie]=Tableau3[[#This Row],[ID-VOIE]])*ROW(Tableau2[TS]))-ROW(Tableau2[#Headers])),"")</f>
        <v>ST</v>
      </c>
      <c r="AL546" s="72" t="str">
        <f>Tableau3[[#This Row],[Ref-Carte2]]&amp;"/"&amp;Tableau3[[#This Row],[ID-VOIE]]</f>
        <v>SDO0802/0</v>
      </c>
      <c r="AM546" s="73" t="str">
        <f>INDEX(Tableau2[Borne],MATCH(Tableau3[[#This Row],[ID-CARTEVOIE]],Tableau2[ID-CARTEVOIE],0))&amp;""</f>
        <v>0</v>
      </c>
      <c r="AN546" s="74" t="str">
        <f>Tableau3[[#This Row],[ID-API]]&amp;Tableau3[[#This Row],[ID-RACK]]&amp;Tableau3[[#This Row],[ID-SLOT]]&amp;Tableau3[[#This Row],[BORNE]]</f>
        <v>4130</v>
      </c>
      <c r="AO546" s="1"/>
    </row>
    <row r="547" spans="1:41" ht="20.100000000000001" customHeight="1" thickTop="1" thickBot="1">
      <c r="A547" s="68"/>
      <c r="B547" s="69" t="str">
        <f>IFERROR(INDEX(Tableau4[Date],MATCH($A547,Tableau4[EVO],0)),"")</f>
        <v/>
      </c>
      <c r="C547" s="68" t="str">
        <f>IFERROR(INDEX(Tableau4[Designation],MATCH($A547,Tableau4[EVO],0)),"")</f>
        <v/>
      </c>
      <c r="D547" s="68"/>
      <c r="E547" s="70">
        <v>2</v>
      </c>
      <c r="F547" s="71">
        <v>117</v>
      </c>
      <c r="G547" s="101" t="str">
        <f>INDEX(Tableau8[Att1],MATCH(Tableau3[[#This Row],[ID-INS]],Tableau8[ID],0))&amp;""</f>
        <v>V3</v>
      </c>
      <c r="H547" s="101" t="str">
        <f>INDEX(Tableau8[Att2],MATCH(Tableau3[[#This Row],[ID-INS]],Tableau8[ID],0))&amp;""</f>
        <v>P2</v>
      </c>
      <c r="I547" s="101" t="str">
        <f>INDEX(Tableau8[Att3],MATCH(Tableau3[[#This Row],[ID-INS]],Tableau8[ID],0))&amp;""</f>
        <v>Portail P2</v>
      </c>
      <c r="J547" s="101"/>
      <c r="K547" s="167" t="str">
        <f>INDEX(Tableau8[Nom du modele],MATCH(Tableau3[[#This Row],[ID-INS]],Tableau8[ID],0))&amp;""</f>
        <v>PortailR1V_1</v>
      </c>
      <c r="L547" s="99" t="str">
        <f>INDEX(Tableau5[Att1],MATCH(Tableau3[[#This Row],[ID-SIG]],Tableau5[ID],0))&amp;""</f>
        <v>V1_GrpHydCmd1</v>
      </c>
      <c r="M547" s="99" t="str">
        <f>INDEX(Tableau5[Att2],MATCH(Tableau3[[#This Row],[ID-SIG]],Tableau5[ID],0))&amp;""</f>
        <v/>
      </c>
      <c r="N547" s="99" t="str">
        <f>INDEX(Tableau5[Att3],MATCH(Tableau3[[#This Row],[ID-SIG]],Tableau5[ID],0))&amp;""</f>
        <v/>
      </c>
      <c r="O547" s="99"/>
      <c r="P547" s="99" t="str">
        <f>INDEX(Tableau5[Description],MATCH(Tableau3[[#This Row],[ID-SIG]],Tableau5[ID],0))</f>
        <v>Commande de marche 1 du groupe hydraulique</v>
      </c>
      <c r="Q547" s="99"/>
      <c r="R547" s="103" t="str">
        <f>Tableau3[[#This Row],[Description]]</f>
        <v>Commande de marche 1 du groupe hydraulique</v>
      </c>
      <c r="S547" s="52"/>
      <c r="U547" s="87">
        <v>4</v>
      </c>
      <c r="V547" s="87">
        <v>1</v>
      </c>
      <c r="W547" s="87">
        <v>3</v>
      </c>
      <c r="X547" s="87">
        <v>1</v>
      </c>
      <c r="Y547" s="41"/>
      <c r="Z547" s="165" t="str">
        <f>INDEX(Tableau2[TS],MATCH(Tableau3[[#This Row],[ID-CARTEVOIE]],Tableau2[ID-CARTEVOIE],0))</f>
        <v>ST</v>
      </c>
      <c r="AA547" s="53" t="s">
        <v>213</v>
      </c>
      <c r="AB547" s="223" t="str">
        <f>IFERROR(INDEX(Tableau5[Reserve],MATCH(Tableau3[[#This Row],[ID-SIG]],Tableau5[ID],0))&amp;"","")</f>
        <v/>
      </c>
      <c r="AC547" s="21"/>
      <c r="AD547" s="108" t="str">
        <f>INDEX(Tableau7[Repere],MATCH(Tableau3[[#This Row],[ID-API]],Tableau7[ID-API],0))&amp;""</f>
        <v>A4</v>
      </c>
      <c r="AE547" s="108" t="str">
        <f>INDEX(Tableau1[Repere-Rack],MATCH(Tableau3[[#This Row],[ID-RACK]],Tableau1[ID-RACK],0))&amp;""</f>
        <v>R1</v>
      </c>
      <c r="AF547" s="108" t="str">
        <f>INDEX(Tableau1[Repere-Slot],MATCH(Tableau3[[#This Row],[ID-SLOT]],Tableau1[ID-SLOT],0))&amp;""</f>
        <v>S3</v>
      </c>
      <c r="AG547" s="108" t="str">
        <f>INDEX(Tableau2[Repere-Voie],MATCH(Tableau3[[#This Row],[ID-VOIE]],Tableau2[ID-Voie],0))&amp;""</f>
        <v>v1</v>
      </c>
      <c r="AH547" s="72" t="str">
        <f>Tableau3[[#This Row],[ID-API]]&amp; "." &amp;Tableau3[[#This Row],[ID-RACK]]&amp; "." &amp;Tableau3[[#This Row],[ID-SLOT]]</f>
        <v>4.1.3</v>
      </c>
      <c r="AI547" s="72" t="str">
        <f>INDEX(Tableau1[Ref-Carte],MATCH(Tableau3[[#This Row],[ID-RRS]],Tableau1[ID-RRS],0))</f>
        <v>SDO0802</v>
      </c>
      <c r="AJ547" s="72" t="str">
        <f t="array" ref="AJ547">IFERROR(INDEX(Tableau2[TS],MATCH(1,(Tableau2[Ref-Carte]=Tableau3[[#This Row],[Ref-Carte2]])*(Tableau2[ID-Voie]=Tableau3[[#This Row],[ID-VOIE]]),0)),"")</f>
        <v>ST</v>
      </c>
      <c r="AK547" s="72" t="str">
        <f>IFERROR(INDEX(Tableau2[TS],SUMPRODUCT((Tableau2[Ref-Carte]=Tableau3[[#This Row],[Ref-Carte2]])*(Tableau2[ID-Voie]=Tableau3[[#This Row],[ID-VOIE]])*ROW(Tableau2[TS]))-ROW(Tableau2[#Headers])),"")</f>
        <v>ST</v>
      </c>
      <c r="AL547" s="72" t="str">
        <f>Tableau3[[#This Row],[Ref-Carte2]]&amp;"/"&amp;Tableau3[[#This Row],[ID-VOIE]]</f>
        <v>SDO0802/1</v>
      </c>
      <c r="AM547" s="73" t="str">
        <f>INDEX(Tableau2[Borne],MATCH(Tableau3[[#This Row],[ID-CARTEVOIE]],Tableau2[ID-CARTEVOIE],0))&amp;""</f>
        <v>1</v>
      </c>
      <c r="AN547" s="74" t="str">
        <f>Tableau3[[#This Row],[ID-API]]&amp;Tableau3[[#This Row],[ID-RACK]]&amp;Tableau3[[#This Row],[ID-SLOT]]&amp;Tableau3[[#This Row],[BORNE]]</f>
        <v>4131</v>
      </c>
      <c r="AO547" s="1"/>
    </row>
    <row r="548" spans="1:41" ht="20.100000000000001" customHeight="1" thickTop="1" thickBot="1">
      <c r="A548" s="68"/>
      <c r="B548" s="69" t="str">
        <f>IFERROR(INDEX(Tableau4[Date],MATCH($A548,Tableau4[EVO],0)),"")</f>
        <v/>
      </c>
      <c r="C548" s="68" t="str">
        <f>IFERROR(INDEX(Tableau4[Designation],MATCH($A548,Tableau4[EVO],0)),"")</f>
        <v/>
      </c>
      <c r="D548" s="68"/>
      <c r="E548" s="70">
        <v>2</v>
      </c>
      <c r="F548" s="71">
        <v>118</v>
      </c>
      <c r="G548" s="101" t="str">
        <f>INDEX(Tableau8[Att1],MATCH(Tableau3[[#This Row],[ID-INS]],Tableau8[ID],0))&amp;""</f>
        <v>V3</v>
      </c>
      <c r="H548" s="101" t="str">
        <f>INDEX(Tableau8[Att2],MATCH(Tableau3[[#This Row],[ID-INS]],Tableau8[ID],0))&amp;""</f>
        <v>P2</v>
      </c>
      <c r="I548" s="101" t="str">
        <f>INDEX(Tableau8[Att3],MATCH(Tableau3[[#This Row],[ID-INS]],Tableau8[ID],0))&amp;""</f>
        <v>Portail P2</v>
      </c>
      <c r="J548" s="101"/>
      <c r="K548" s="167" t="str">
        <f>INDEX(Tableau8[Nom du modele],MATCH(Tableau3[[#This Row],[ID-INS]],Tableau8[ID],0))&amp;""</f>
        <v>PortailR1V_1</v>
      </c>
      <c r="L548" s="99" t="str">
        <f>INDEX(Tableau5[Att1],MATCH(Tableau3[[#This Row],[ID-SIG]],Tableau5[ID],0))&amp;""</f>
        <v>V1_OuvCmd</v>
      </c>
      <c r="M548" s="99" t="str">
        <f>INDEX(Tableau5[Att2],MATCH(Tableau3[[#This Row],[ID-SIG]],Tableau5[ID],0))&amp;""</f>
        <v/>
      </c>
      <c r="N548" s="99" t="str">
        <f>INDEX(Tableau5[Att3],MATCH(Tableau3[[#This Row],[ID-SIG]],Tableau5[ID],0))&amp;""</f>
        <v/>
      </c>
      <c r="O548" s="99"/>
      <c r="P548" s="99" t="str">
        <f>INDEX(Tableau5[Description],MATCH(Tableau3[[#This Row],[ID-SIG]],Tableau5[ID],0))</f>
        <v>Commande d'ouverture du vantail 1</v>
      </c>
      <c r="Q548" s="99"/>
      <c r="R548" s="103" t="str">
        <f>Tableau3[[#This Row],[Description]]</f>
        <v>Commande d'ouverture du vantail 1</v>
      </c>
      <c r="S548" s="52"/>
      <c r="U548" s="87">
        <v>4</v>
      </c>
      <c r="V548" s="87">
        <v>1</v>
      </c>
      <c r="W548" s="87">
        <v>3</v>
      </c>
      <c r="X548" s="87">
        <v>2</v>
      </c>
      <c r="Y548" s="41"/>
      <c r="Z548" s="165" t="str">
        <f>INDEX(Tableau2[TS],MATCH(Tableau3[[#This Row],[ID-CARTEVOIE]],Tableau2[ID-CARTEVOIE],0))</f>
        <v>ST</v>
      </c>
      <c r="AA548" s="53" t="s">
        <v>213</v>
      </c>
      <c r="AB548" s="223" t="str">
        <f>IFERROR(INDEX(Tableau5[Reserve],MATCH(Tableau3[[#This Row],[ID-SIG]],Tableau5[ID],0))&amp;"","")</f>
        <v/>
      </c>
      <c r="AC548" s="21"/>
      <c r="AD548" s="108" t="str">
        <f>INDEX(Tableau7[Repere],MATCH(Tableau3[[#This Row],[ID-API]],Tableau7[ID-API],0))&amp;""</f>
        <v>A4</v>
      </c>
      <c r="AE548" s="108" t="str">
        <f>INDEX(Tableau1[Repere-Rack],MATCH(Tableau3[[#This Row],[ID-RACK]],Tableau1[ID-RACK],0))&amp;""</f>
        <v>R1</v>
      </c>
      <c r="AF548" s="108" t="str">
        <f>INDEX(Tableau1[Repere-Slot],MATCH(Tableau3[[#This Row],[ID-SLOT]],Tableau1[ID-SLOT],0))&amp;""</f>
        <v>S3</v>
      </c>
      <c r="AG548" s="108" t="str">
        <f>INDEX(Tableau2[Repere-Voie],MATCH(Tableau3[[#This Row],[ID-VOIE]],Tableau2[ID-Voie],0))&amp;""</f>
        <v>v2</v>
      </c>
      <c r="AH548" s="72" t="str">
        <f>Tableau3[[#This Row],[ID-API]]&amp; "." &amp;Tableau3[[#This Row],[ID-RACK]]&amp; "." &amp;Tableau3[[#This Row],[ID-SLOT]]</f>
        <v>4.1.3</v>
      </c>
      <c r="AI548" s="72" t="str">
        <f>INDEX(Tableau1[Ref-Carte],MATCH(Tableau3[[#This Row],[ID-RRS]],Tableau1[ID-RRS],0))</f>
        <v>SDO0802</v>
      </c>
      <c r="AJ548" s="72" t="str">
        <f t="array" ref="AJ548">IFERROR(INDEX(Tableau2[TS],MATCH(1,(Tableau2[Ref-Carte]=Tableau3[[#This Row],[Ref-Carte2]])*(Tableau2[ID-Voie]=Tableau3[[#This Row],[ID-VOIE]]),0)),"")</f>
        <v>ST</v>
      </c>
      <c r="AK548" s="72" t="str">
        <f>IFERROR(INDEX(Tableau2[TS],SUMPRODUCT((Tableau2[Ref-Carte]=Tableau3[[#This Row],[Ref-Carte2]])*(Tableau2[ID-Voie]=Tableau3[[#This Row],[ID-VOIE]])*ROW(Tableau2[TS]))-ROW(Tableau2[#Headers])),"")</f>
        <v>ST</v>
      </c>
      <c r="AL548" s="72" t="str">
        <f>Tableau3[[#This Row],[Ref-Carte2]]&amp;"/"&amp;Tableau3[[#This Row],[ID-VOIE]]</f>
        <v>SDO0802/2</v>
      </c>
      <c r="AM548" s="73" t="str">
        <f>INDEX(Tableau2[Borne],MATCH(Tableau3[[#This Row],[ID-CARTEVOIE]],Tableau2[ID-CARTEVOIE],0))&amp;""</f>
        <v>2</v>
      </c>
      <c r="AN548" s="74" t="str">
        <f>Tableau3[[#This Row],[ID-API]]&amp;Tableau3[[#This Row],[ID-RACK]]&amp;Tableau3[[#This Row],[ID-SLOT]]&amp;Tableau3[[#This Row],[BORNE]]</f>
        <v>4132</v>
      </c>
      <c r="AO548" s="1"/>
    </row>
    <row r="549" spans="1:41" ht="20.100000000000001" customHeight="1" thickTop="1" thickBot="1">
      <c r="A549" s="68"/>
      <c r="B549" s="69" t="str">
        <f>IFERROR(INDEX(Tableau4[Date],MATCH($A549,Tableau4[EVO],0)),"")</f>
        <v/>
      </c>
      <c r="C549" s="68" t="str">
        <f>IFERROR(INDEX(Tableau4[Designation],MATCH($A549,Tableau4[EVO],0)),"")</f>
        <v/>
      </c>
      <c r="D549" s="68"/>
      <c r="E549" s="70">
        <v>2</v>
      </c>
      <c r="F549" s="71">
        <v>119</v>
      </c>
      <c r="G549" s="101" t="str">
        <f>INDEX(Tableau8[Att1],MATCH(Tableau3[[#This Row],[ID-INS]],Tableau8[ID],0))&amp;""</f>
        <v>V3</v>
      </c>
      <c r="H549" s="101" t="str">
        <f>INDEX(Tableau8[Att2],MATCH(Tableau3[[#This Row],[ID-INS]],Tableau8[ID],0))&amp;""</f>
        <v>P2</v>
      </c>
      <c r="I549" s="101" t="str">
        <f>INDEX(Tableau8[Att3],MATCH(Tableau3[[#This Row],[ID-INS]],Tableau8[ID],0))&amp;""</f>
        <v>Portail P2</v>
      </c>
      <c r="J549" s="101"/>
      <c r="K549" s="167" t="str">
        <f>INDEX(Tableau8[Nom du modele],MATCH(Tableau3[[#This Row],[ID-INS]],Tableau8[ID],0))&amp;""</f>
        <v>PortailR1V_1</v>
      </c>
      <c r="L549" s="155" t="s">
        <v>1683</v>
      </c>
      <c r="M549" s="99" t="str">
        <f>INDEX(Tableau5[Att2],MATCH(Tableau3[[#This Row],[ID-SIG]],Tableau5[ID],0))&amp;""</f>
        <v/>
      </c>
      <c r="N549" s="99" t="str">
        <f>INDEX(Tableau5[Att3],MATCH(Tableau3[[#This Row],[ID-SIG]],Tableau5[ID],0))&amp;""</f>
        <v/>
      </c>
      <c r="O549" s="99"/>
      <c r="P549" s="155" t="s">
        <v>1698</v>
      </c>
      <c r="Q549" s="99"/>
      <c r="R549" s="103" t="str">
        <f>Tableau3[[#This Row],[Description]]</f>
        <v>Portail P2V1 - Verrouillage</v>
      </c>
      <c r="S549" s="52"/>
      <c r="U549" s="87">
        <v>4</v>
      </c>
      <c r="V549" s="87">
        <v>1</v>
      </c>
      <c r="W549" s="87">
        <v>3</v>
      </c>
      <c r="X549" s="87">
        <v>3</v>
      </c>
      <c r="Y549" s="41"/>
      <c r="Z549" s="165" t="str">
        <f>INDEX(Tableau2[TS],MATCH(Tableau3[[#This Row],[ID-CARTEVOIE]],Tableau2[ID-CARTEVOIE],0))</f>
        <v>ST</v>
      </c>
      <c r="AA549" s="53" t="s">
        <v>213</v>
      </c>
      <c r="AB549" s="223" t="str">
        <f>IFERROR(INDEX(Tableau5[Reserve],MATCH(Tableau3[[#This Row],[ID-SIG]],Tableau5[ID],0))&amp;"","")</f>
        <v/>
      </c>
      <c r="AC549" s="21"/>
      <c r="AD549" s="108" t="str">
        <f>INDEX(Tableau7[Repere],MATCH(Tableau3[[#This Row],[ID-API]],Tableau7[ID-API],0))&amp;""</f>
        <v>A4</v>
      </c>
      <c r="AE549" s="108" t="str">
        <f>INDEX(Tableau1[Repere-Rack],MATCH(Tableau3[[#This Row],[ID-RACK]],Tableau1[ID-RACK],0))&amp;""</f>
        <v>R1</v>
      </c>
      <c r="AF549" s="108" t="str">
        <f>INDEX(Tableau1[Repere-Slot],MATCH(Tableau3[[#This Row],[ID-SLOT]],Tableau1[ID-SLOT],0))&amp;""</f>
        <v>S3</v>
      </c>
      <c r="AG549" s="108" t="str">
        <f>INDEX(Tableau2[Repere-Voie],MATCH(Tableau3[[#This Row],[ID-VOIE]],Tableau2[ID-Voie],0))&amp;""</f>
        <v>v3</v>
      </c>
      <c r="AH549" s="72" t="str">
        <f>Tableau3[[#This Row],[ID-API]]&amp; "." &amp;Tableau3[[#This Row],[ID-RACK]]&amp; "." &amp;Tableau3[[#This Row],[ID-SLOT]]</f>
        <v>4.1.3</v>
      </c>
      <c r="AI549" s="72" t="str">
        <f>INDEX(Tableau1[Ref-Carte],MATCH(Tableau3[[#This Row],[ID-RRS]],Tableau1[ID-RRS],0))</f>
        <v>SDO0802</v>
      </c>
      <c r="AJ549" s="72" t="str">
        <f t="array" ref="AJ549">IFERROR(INDEX(Tableau2[TS],MATCH(1,(Tableau2[Ref-Carte]=Tableau3[[#This Row],[Ref-Carte2]])*(Tableau2[ID-Voie]=Tableau3[[#This Row],[ID-VOIE]]),0)),"")</f>
        <v>ST</v>
      </c>
      <c r="AK549" s="72" t="str">
        <f>IFERROR(INDEX(Tableau2[TS],SUMPRODUCT((Tableau2[Ref-Carte]=Tableau3[[#This Row],[Ref-Carte2]])*(Tableau2[ID-Voie]=Tableau3[[#This Row],[ID-VOIE]])*ROW(Tableau2[TS]))-ROW(Tableau2[#Headers])),"")</f>
        <v>ST</v>
      </c>
      <c r="AL549" s="72" t="str">
        <f>Tableau3[[#This Row],[Ref-Carte2]]&amp;"/"&amp;Tableau3[[#This Row],[ID-VOIE]]</f>
        <v>SDO0802/3</v>
      </c>
      <c r="AM549" s="73" t="str">
        <f>INDEX(Tableau2[Borne],MATCH(Tableau3[[#This Row],[ID-CARTEVOIE]],Tableau2[ID-CARTEVOIE],0))&amp;""</f>
        <v>3</v>
      </c>
      <c r="AN549" s="74" t="str">
        <f>Tableau3[[#This Row],[ID-API]]&amp;Tableau3[[#This Row],[ID-RACK]]&amp;Tableau3[[#This Row],[ID-SLOT]]&amp;Tableau3[[#This Row],[BORNE]]</f>
        <v>4133</v>
      </c>
      <c r="AO549" s="1"/>
    </row>
    <row r="550" spans="1:41" ht="20.100000000000001" customHeight="1" thickTop="1" thickBot="1">
      <c r="A550" s="68"/>
      <c r="B550" s="69" t="str">
        <f>IFERROR(INDEX(Tableau4[Date],MATCH($A550,Tableau4[EVO],0)),"")</f>
        <v/>
      </c>
      <c r="C550" s="68" t="str">
        <f>IFERROR(INDEX(Tableau4[Designation],MATCH($A550,Tableau4[EVO],0)),"")</f>
        <v/>
      </c>
      <c r="D550" s="68"/>
      <c r="E550" s="70">
        <v>2</v>
      </c>
      <c r="F550" s="71">
        <v>120</v>
      </c>
      <c r="G550" s="101" t="str">
        <f>INDEX(Tableau8[Att1],MATCH(Tableau3[[#This Row],[ID-INS]],Tableau8[ID],0))&amp;""</f>
        <v>V3</v>
      </c>
      <c r="H550" s="101" t="str">
        <f>INDEX(Tableau8[Att2],MATCH(Tableau3[[#This Row],[ID-INS]],Tableau8[ID],0))&amp;""</f>
        <v>P2</v>
      </c>
      <c r="I550" s="101" t="str">
        <f>INDEX(Tableau8[Att3],MATCH(Tableau3[[#This Row],[ID-INS]],Tableau8[ID],0))&amp;""</f>
        <v>Portail P2</v>
      </c>
      <c r="J550" s="101"/>
      <c r="K550" s="167" t="str">
        <f>INDEX(Tableau8[Nom du modele],MATCH(Tableau3[[#This Row],[ID-INS]],Tableau8[ID],0))&amp;""</f>
        <v>PortailR1V_1</v>
      </c>
      <c r="L550" s="99" t="str">
        <f>INDEX(Tableau5[Att1],MATCH(Tableau3[[#This Row],[ID-SIG]],Tableau5[ID],0))&amp;""</f>
        <v>V1_FerCmd1</v>
      </c>
      <c r="M550" s="99" t="str">
        <f>INDEX(Tableau5[Att2],MATCH(Tableau3[[#This Row],[ID-SIG]],Tableau5[ID],0))&amp;""</f>
        <v/>
      </c>
      <c r="N550" s="99" t="str">
        <f>INDEX(Tableau5[Att3],MATCH(Tableau3[[#This Row],[ID-SIG]],Tableau5[ID],0))&amp;""</f>
        <v/>
      </c>
      <c r="O550" s="99"/>
      <c r="P550" s="99" t="str">
        <f>INDEX(Tableau5[Description],MATCH(Tableau3[[#This Row],[ID-SIG]],Tableau5[ID],0))</f>
        <v>Commande de fermeture 1 du vantail 1</v>
      </c>
      <c r="Q550" s="99"/>
      <c r="R550" s="103" t="str">
        <f>Tableau3[[#This Row],[Description]]</f>
        <v>Commande de fermeture 1 du vantail 1</v>
      </c>
      <c r="S550" s="52"/>
      <c r="U550" s="87">
        <v>4</v>
      </c>
      <c r="V550" s="87">
        <v>1</v>
      </c>
      <c r="W550" s="87">
        <v>3</v>
      </c>
      <c r="X550" s="87">
        <v>4</v>
      </c>
      <c r="Y550" s="41"/>
      <c r="Z550" s="165" t="str">
        <f>INDEX(Tableau2[TS],MATCH(Tableau3[[#This Row],[ID-CARTEVOIE]],Tableau2[ID-CARTEVOIE],0))</f>
        <v>ST</v>
      </c>
      <c r="AA550" s="53" t="s">
        <v>213</v>
      </c>
      <c r="AB550" s="223" t="str">
        <f>IFERROR(INDEX(Tableau5[Reserve],MATCH(Tableau3[[#This Row],[ID-SIG]],Tableau5[ID],0))&amp;"","")</f>
        <v/>
      </c>
      <c r="AC550" s="21"/>
      <c r="AD550" s="108" t="str">
        <f>INDEX(Tableau7[Repere],MATCH(Tableau3[[#This Row],[ID-API]],Tableau7[ID-API],0))&amp;""</f>
        <v>A4</v>
      </c>
      <c r="AE550" s="108" t="str">
        <f>INDEX(Tableau1[Repere-Rack],MATCH(Tableau3[[#This Row],[ID-RACK]],Tableau1[ID-RACK],0))&amp;""</f>
        <v>R1</v>
      </c>
      <c r="AF550" s="108" t="str">
        <f>INDEX(Tableau1[Repere-Slot],MATCH(Tableau3[[#This Row],[ID-SLOT]],Tableau1[ID-SLOT],0))&amp;""</f>
        <v>S3</v>
      </c>
      <c r="AG550" s="108" t="str">
        <f>INDEX(Tableau2[Repere-Voie],MATCH(Tableau3[[#This Row],[ID-VOIE]],Tableau2[ID-Voie],0))&amp;""</f>
        <v>v4</v>
      </c>
      <c r="AH550" s="72" t="str">
        <f>Tableau3[[#This Row],[ID-API]]&amp; "." &amp;Tableau3[[#This Row],[ID-RACK]]&amp; "." &amp;Tableau3[[#This Row],[ID-SLOT]]</f>
        <v>4.1.3</v>
      </c>
      <c r="AI550" s="72" t="str">
        <f>INDEX(Tableau1[Ref-Carte],MATCH(Tableau3[[#This Row],[ID-RRS]],Tableau1[ID-RRS],0))</f>
        <v>SDO0802</v>
      </c>
      <c r="AJ550" s="72" t="str">
        <f t="array" ref="AJ550">IFERROR(INDEX(Tableau2[TS],MATCH(1,(Tableau2[Ref-Carte]=Tableau3[[#This Row],[Ref-Carte2]])*(Tableau2[ID-Voie]=Tableau3[[#This Row],[ID-VOIE]]),0)),"")</f>
        <v>ST</v>
      </c>
      <c r="AK550" s="72" t="str">
        <f>IFERROR(INDEX(Tableau2[TS],SUMPRODUCT((Tableau2[Ref-Carte]=Tableau3[[#This Row],[Ref-Carte2]])*(Tableau2[ID-Voie]=Tableau3[[#This Row],[ID-VOIE]])*ROW(Tableau2[TS]))-ROW(Tableau2[#Headers])),"")</f>
        <v>ST</v>
      </c>
      <c r="AL550" s="72" t="str">
        <f>Tableau3[[#This Row],[Ref-Carte2]]&amp;"/"&amp;Tableau3[[#This Row],[ID-VOIE]]</f>
        <v>SDO0802/4</v>
      </c>
      <c r="AM550" s="73" t="str">
        <f>INDEX(Tableau2[Borne],MATCH(Tableau3[[#This Row],[ID-CARTEVOIE]],Tableau2[ID-CARTEVOIE],0))&amp;""</f>
        <v>4</v>
      </c>
      <c r="AN550" s="74" t="str">
        <f>Tableau3[[#This Row],[ID-API]]&amp;Tableau3[[#This Row],[ID-RACK]]&amp;Tableau3[[#This Row],[ID-SLOT]]&amp;Tableau3[[#This Row],[BORNE]]</f>
        <v>4134</v>
      </c>
      <c r="AO550" s="1"/>
    </row>
    <row r="551" spans="1:41" ht="20.100000000000001" customHeight="1" thickTop="1" thickBot="1">
      <c r="A551" s="68"/>
      <c r="B551" s="69" t="str">
        <f>IFERROR(INDEX(Tableau4[Date],MATCH($A551,Tableau4[EVO],0)),"")</f>
        <v/>
      </c>
      <c r="C551" s="68" t="str">
        <f>IFERROR(INDEX(Tableau4[Designation],MATCH($A551,Tableau4[EVO],0)),"")</f>
        <v/>
      </c>
      <c r="D551" s="68"/>
      <c r="E551" s="70">
        <v>2</v>
      </c>
      <c r="F551" s="71">
        <v>121</v>
      </c>
      <c r="G551" s="101" t="str">
        <f>INDEX(Tableau8[Att1],MATCH(Tableau3[[#This Row],[ID-INS]],Tableau8[ID],0))&amp;""</f>
        <v>V3</v>
      </c>
      <c r="H551" s="101" t="str">
        <f>INDEX(Tableau8[Att2],MATCH(Tableau3[[#This Row],[ID-INS]],Tableau8[ID],0))&amp;""</f>
        <v>P2</v>
      </c>
      <c r="I551" s="101" t="str">
        <f>INDEX(Tableau8[Att3],MATCH(Tableau3[[#This Row],[ID-INS]],Tableau8[ID],0))&amp;""</f>
        <v>Portail P2</v>
      </c>
      <c r="J551" s="101"/>
      <c r="K551" s="167" t="str">
        <f>INDEX(Tableau8[Nom du modele],MATCH(Tableau3[[#This Row],[ID-INS]],Tableau8[ID],0))&amp;""</f>
        <v>PortailR1V_1</v>
      </c>
      <c r="L551" s="99" t="str">
        <f>INDEX(Tableau5[Att1],MATCH(Tableau3[[#This Row],[ID-SIG]],Tableau5[ID],0))&amp;""</f>
        <v>Vx_OuvGCmd</v>
      </c>
      <c r="M551" s="99" t="str">
        <f>INDEX(Tableau5[Att2],MATCH(Tableau3[[#This Row],[ID-SIG]],Tableau5[ID],0))&amp;""</f>
        <v/>
      </c>
      <c r="N551" s="99" t="str">
        <f>INDEX(Tableau5[Att3],MATCH(Tableau3[[#This Row],[ID-SIG]],Tableau5[ID],0))&amp;""</f>
        <v/>
      </c>
      <c r="O551" s="99"/>
      <c r="P551" s="99" t="str">
        <f>INDEX(Tableau5[Description],MATCH(Tableau3[[#This Row],[ID-SIG]],Tableau5[ID],0))</f>
        <v>Commande d'ouverture gâche</v>
      </c>
      <c r="Q551" s="99"/>
      <c r="R551" s="103" t="str">
        <f>Tableau3[[#This Row],[Description]]</f>
        <v>Commande d'ouverture gâche</v>
      </c>
      <c r="S551" s="52"/>
      <c r="U551" s="87">
        <v>4</v>
      </c>
      <c r="V551" s="87">
        <v>1</v>
      </c>
      <c r="W551" s="87">
        <v>3</v>
      </c>
      <c r="X551" s="87">
        <v>5</v>
      </c>
      <c r="Y551" s="41"/>
      <c r="Z551" s="165" t="str">
        <f>INDEX(Tableau2[TS],MATCH(Tableau3[[#This Row],[ID-CARTEVOIE]],Tableau2[ID-CARTEVOIE],0))</f>
        <v>ST</v>
      </c>
      <c r="AA551" s="53" t="s">
        <v>213</v>
      </c>
      <c r="AB551" s="223" t="str">
        <f>IFERROR(INDEX(Tableau5[Reserve],MATCH(Tableau3[[#This Row],[ID-SIG]],Tableau5[ID],0))&amp;"","")</f>
        <v/>
      </c>
      <c r="AC551" s="21"/>
      <c r="AD551" s="108" t="str">
        <f>INDEX(Tableau7[Repere],MATCH(Tableau3[[#This Row],[ID-API]],Tableau7[ID-API],0))&amp;""</f>
        <v>A4</v>
      </c>
      <c r="AE551" s="108" t="str">
        <f>INDEX(Tableau1[Repere-Rack],MATCH(Tableau3[[#This Row],[ID-RACK]],Tableau1[ID-RACK],0))&amp;""</f>
        <v>R1</v>
      </c>
      <c r="AF551" s="108" t="str">
        <f>INDEX(Tableau1[Repere-Slot],MATCH(Tableau3[[#This Row],[ID-SLOT]],Tableau1[ID-SLOT],0))&amp;""</f>
        <v>S3</v>
      </c>
      <c r="AG551" s="108" t="str">
        <f>INDEX(Tableau2[Repere-Voie],MATCH(Tableau3[[#This Row],[ID-VOIE]],Tableau2[ID-Voie],0))&amp;""</f>
        <v>v5</v>
      </c>
      <c r="AH551" s="72" t="str">
        <f>Tableau3[[#This Row],[ID-API]]&amp; "." &amp;Tableau3[[#This Row],[ID-RACK]]&amp; "." &amp;Tableau3[[#This Row],[ID-SLOT]]</f>
        <v>4.1.3</v>
      </c>
      <c r="AI551" s="72" t="str">
        <f>INDEX(Tableau1[Ref-Carte],MATCH(Tableau3[[#This Row],[ID-RRS]],Tableau1[ID-RRS],0))</f>
        <v>SDO0802</v>
      </c>
      <c r="AJ551" s="72" t="str">
        <f t="array" ref="AJ551">IFERROR(INDEX(Tableau2[TS],MATCH(1,(Tableau2[Ref-Carte]=Tableau3[[#This Row],[Ref-Carte2]])*(Tableau2[ID-Voie]=Tableau3[[#This Row],[ID-VOIE]]),0)),"")</f>
        <v>ST</v>
      </c>
      <c r="AK551" s="72" t="str">
        <f>IFERROR(INDEX(Tableau2[TS],SUMPRODUCT((Tableau2[Ref-Carte]=Tableau3[[#This Row],[Ref-Carte2]])*(Tableau2[ID-Voie]=Tableau3[[#This Row],[ID-VOIE]])*ROW(Tableau2[TS]))-ROW(Tableau2[#Headers])),"")</f>
        <v>ST</v>
      </c>
      <c r="AL551" s="72" t="str">
        <f>Tableau3[[#This Row],[Ref-Carte2]]&amp;"/"&amp;Tableau3[[#This Row],[ID-VOIE]]</f>
        <v>SDO0802/5</v>
      </c>
      <c r="AM551" s="73" t="str">
        <f>INDEX(Tableau2[Borne],MATCH(Tableau3[[#This Row],[ID-CARTEVOIE]],Tableau2[ID-CARTEVOIE],0))&amp;""</f>
        <v>5</v>
      </c>
      <c r="AN551" s="74" t="str">
        <f>Tableau3[[#This Row],[ID-API]]&amp;Tableau3[[#This Row],[ID-RACK]]&amp;Tableau3[[#This Row],[ID-SLOT]]&amp;Tableau3[[#This Row],[BORNE]]</f>
        <v>4135</v>
      </c>
      <c r="AO551" s="1"/>
    </row>
    <row r="552" spans="1:41" ht="20.100000000000001" customHeight="1" thickTop="1" thickBot="1">
      <c r="A552" s="68"/>
      <c r="B552" s="69" t="str">
        <f>IFERROR(INDEX(Tableau4[Date],MATCH($A552,Tableau4[EVO],0)),"")</f>
        <v/>
      </c>
      <c r="C552" s="68" t="str">
        <f>IFERROR(INDEX(Tableau4[Designation],MATCH($A552,Tableau4[EVO],0)),"")</f>
        <v/>
      </c>
      <c r="D552" s="68"/>
      <c r="E552" s="70">
        <v>2</v>
      </c>
      <c r="F552" s="71">
        <v>122</v>
      </c>
      <c r="G552" s="101" t="str">
        <f>INDEX(Tableau8[Att1],MATCH(Tableau3[[#This Row],[ID-INS]],Tableau8[ID],0))&amp;""</f>
        <v>V3</v>
      </c>
      <c r="H552" s="101" t="str">
        <f>INDEX(Tableau8[Att2],MATCH(Tableau3[[#This Row],[ID-INS]],Tableau8[ID],0))&amp;""</f>
        <v>P2</v>
      </c>
      <c r="I552" s="101" t="str">
        <f>INDEX(Tableau8[Att3],MATCH(Tableau3[[#This Row],[ID-INS]],Tableau8[ID],0))&amp;""</f>
        <v>Portail P2</v>
      </c>
      <c r="J552" s="101"/>
      <c r="K552" s="167" t="str">
        <f>INDEX(Tableau8[Nom du modele],MATCH(Tableau3[[#This Row],[ID-INS]],Tableau8[ID],0))&amp;""</f>
        <v>PortailR1V_1</v>
      </c>
      <c r="L552" s="99" t="str">
        <f>INDEX(Tableau5[Att1],MATCH(Tableau3[[#This Row],[ID-SIG]],Tableau5[ID],0))&amp;""</f>
        <v>Vx_FerGCmd</v>
      </c>
      <c r="M552" s="99" t="str">
        <f>INDEX(Tableau5[Att2],MATCH(Tableau3[[#This Row],[ID-SIG]],Tableau5[ID],0))&amp;""</f>
        <v/>
      </c>
      <c r="N552" s="99" t="str">
        <f>INDEX(Tableau5[Att3],MATCH(Tableau3[[#This Row],[ID-SIG]],Tableau5[ID],0))&amp;""</f>
        <v/>
      </c>
      <c r="O552" s="99"/>
      <c r="P552" s="99" t="str">
        <f>INDEX(Tableau5[Description],MATCH(Tableau3[[#This Row],[ID-SIG]],Tableau5[ID],0))</f>
        <v>Commande de fermeture gâche</v>
      </c>
      <c r="Q552" s="99"/>
      <c r="R552" s="103" t="str">
        <f>Tableau3[[#This Row],[Description]]</f>
        <v>Commande de fermeture gâche</v>
      </c>
      <c r="S552" s="52"/>
      <c r="U552" s="87">
        <v>4</v>
      </c>
      <c r="V552" s="87">
        <v>1</v>
      </c>
      <c r="W552" s="87">
        <v>3</v>
      </c>
      <c r="X552" s="87">
        <v>6</v>
      </c>
      <c r="Y552" s="41"/>
      <c r="Z552" s="165" t="str">
        <f>INDEX(Tableau2[TS],MATCH(Tableau3[[#This Row],[ID-CARTEVOIE]],Tableau2[ID-CARTEVOIE],0))</f>
        <v>ST</v>
      </c>
      <c r="AA552" s="53" t="s">
        <v>213</v>
      </c>
      <c r="AB552" s="223" t="str">
        <f>IFERROR(INDEX(Tableau5[Reserve],MATCH(Tableau3[[#This Row],[ID-SIG]],Tableau5[ID],0))&amp;"","")</f>
        <v/>
      </c>
      <c r="AC552" s="21"/>
      <c r="AD552" s="108" t="str">
        <f>INDEX(Tableau7[Repere],MATCH(Tableau3[[#This Row],[ID-API]],Tableau7[ID-API],0))&amp;""</f>
        <v>A4</v>
      </c>
      <c r="AE552" s="108" t="str">
        <f>INDEX(Tableau1[Repere-Rack],MATCH(Tableau3[[#This Row],[ID-RACK]],Tableau1[ID-RACK],0))&amp;""</f>
        <v>R1</v>
      </c>
      <c r="AF552" s="108" t="str">
        <f>INDEX(Tableau1[Repere-Slot],MATCH(Tableau3[[#This Row],[ID-SLOT]],Tableau1[ID-SLOT],0))&amp;""</f>
        <v>S3</v>
      </c>
      <c r="AG552" s="108" t="str">
        <f>INDEX(Tableau2[Repere-Voie],MATCH(Tableau3[[#This Row],[ID-VOIE]],Tableau2[ID-Voie],0))&amp;""</f>
        <v>v6</v>
      </c>
      <c r="AH552" s="72" t="str">
        <f>Tableau3[[#This Row],[ID-API]]&amp; "." &amp;Tableau3[[#This Row],[ID-RACK]]&amp; "." &amp;Tableau3[[#This Row],[ID-SLOT]]</f>
        <v>4.1.3</v>
      </c>
      <c r="AI552" s="72" t="str">
        <f>INDEX(Tableau1[Ref-Carte],MATCH(Tableau3[[#This Row],[ID-RRS]],Tableau1[ID-RRS],0))</f>
        <v>SDO0802</v>
      </c>
      <c r="AJ552" s="72" t="str">
        <f t="array" ref="AJ552">IFERROR(INDEX(Tableau2[TS],MATCH(1,(Tableau2[Ref-Carte]=Tableau3[[#This Row],[Ref-Carte2]])*(Tableau2[ID-Voie]=Tableau3[[#This Row],[ID-VOIE]]),0)),"")</f>
        <v>ST</v>
      </c>
      <c r="AK552" s="72" t="str">
        <f>IFERROR(INDEX(Tableau2[TS],SUMPRODUCT((Tableau2[Ref-Carte]=Tableau3[[#This Row],[Ref-Carte2]])*(Tableau2[ID-Voie]=Tableau3[[#This Row],[ID-VOIE]])*ROW(Tableau2[TS]))-ROW(Tableau2[#Headers])),"")</f>
        <v>ST</v>
      </c>
      <c r="AL552" s="72" t="str">
        <f>Tableau3[[#This Row],[Ref-Carte2]]&amp;"/"&amp;Tableau3[[#This Row],[ID-VOIE]]</f>
        <v>SDO0802/6</v>
      </c>
      <c r="AM552" s="73" t="str">
        <f>INDEX(Tableau2[Borne],MATCH(Tableau3[[#This Row],[ID-CARTEVOIE]],Tableau2[ID-CARTEVOIE],0))&amp;""</f>
        <v>6</v>
      </c>
      <c r="AN552" s="74" t="str">
        <f>Tableau3[[#This Row],[ID-API]]&amp;Tableau3[[#This Row],[ID-RACK]]&amp;Tableau3[[#This Row],[ID-SLOT]]&amp;Tableau3[[#This Row],[BORNE]]</f>
        <v>4136</v>
      </c>
      <c r="AO552" s="1"/>
    </row>
    <row r="553" spans="1:41" ht="20.100000000000001" customHeight="1" thickTop="1" thickBot="1">
      <c r="A553" s="68"/>
      <c r="B553" s="69" t="str">
        <f>IFERROR(INDEX(Tableau4[Date],MATCH($A553,Tableau4[EVO],0)),"")</f>
        <v/>
      </c>
      <c r="C553" s="68" t="str">
        <f>IFERROR(INDEX(Tableau4[Designation],MATCH($A553,Tableau4[EVO],0)),"")</f>
        <v/>
      </c>
      <c r="D553" s="68"/>
      <c r="E553" s="70">
        <v>2</v>
      </c>
      <c r="F553" s="71">
        <v>123</v>
      </c>
      <c r="G553" s="101" t="str">
        <f>INDEX(Tableau8[Att1],MATCH(Tableau3[[#This Row],[ID-INS]],Tableau8[ID],0))&amp;""</f>
        <v>V3</v>
      </c>
      <c r="H553" s="101" t="str">
        <f>INDEX(Tableau8[Att2],MATCH(Tableau3[[#This Row],[ID-INS]],Tableau8[ID],0))&amp;""</f>
        <v>P2</v>
      </c>
      <c r="I553" s="101" t="str">
        <f>INDEX(Tableau8[Att3],MATCH(Tableau3[[#This Row],[ID-INS]],Tableau8[ID],0))&amp;""</f>
        <v>Portail P2</v>
      </c>
      <c r="J553" s="101"/>
      <c r="K553" s="167" t="str">
        <f>INDEX(Tableau8[Nom du modele],MATCH(Tableau3[[#This Row],[ID-INS]],Tableau8[ID],0))&amp;""</f>
        <v>PortailR1V_1</v>
      </c>
      <c r="L553" s="155" t="s">
        <v>1699</v>
      </c>
      <c r="M553" s="99" t="str">
        <f>INDEX(Tableau5[Att2],MATCH(Tableau3[[#This Row],[ID-SIG]],Tableau5[ID],0))&amp;""</f>
        <v/>
      </c>
      <c r="N553" s="99" t="str">
        <f>INDEX(Tableau5[Att3],MATCH(Tableau3[[#This Row],[ID-SIG]],Tableau5[ID],0))&amp;""</f>
        <v/>
      </c>
      <c r="O553" s="99"/>
      <c r="P553" s="155" t="s">
        <v>1700</v>
      </c>
      <c r="Q553" s="99"/>
      <c r="R553" s="103" t="str">
        <f>Tableau3[[#This Row],[Description]]</f>
        <v>Portail P2V2 - Verrouillage</v>
      </c>
      <c r="S553" s="52"/>
      <c r="U553" s="87">
        <v>4</v>
      </c>
      <c r="V553" s="87">
        <v>1</v>
      </c>
      <c r="W553" s="87">
        <v>3</v>
      </c>
      <c r="X553" s="87">
        <v>7</v>
      </c>
      <c r="Y553" s="41"/>
      <c r="Z553" s="165" t="str">
        <f>INDEX(Tableau2[TS],MATCH(Tableau3[[#This Row],[ID-CARTEVOIE]],Tableau2[ID-CARTEVOIE],0))</f>
        <v>ST</v>
      </c>
      <c r="AA553" s="53" t="s">
        <v>213</v>
      </c>
      <c r="AB553" s="223" t="str">
        <f>IFERROR(INDEX(Tableau5[Reserve],MATCH(Tableau3[[#This Row],[ID-SIG]],Tableau5[ID],0))&amp;"","")</f>
        <v/>
      </c>
      <c r="AC553" s="21"/>
      <c r="AD553" s="108" t="str">
        <f>INDEX(Tableau7[Repere],MATCH(Tableau3[[#This Row],[ID-API]],Tableau7[ID-API],0))&amp;""</f>
        <v>A4</v>
      </c>
      <c r="AE553" s="108" t="str">
        <f>INDEX(Tableau1[Repere-Rack],MATCH(Tableau3[[#This Row],[ID-RACK]],Tableau1[ID-RACK],0))&amp;""</f>
        <v>R1</v>
      </c>
      <c r="AF553" s="108" t="str">
        <f>INDEX(Tableau1[Repere-Slot],MATCH(Tableau3[[#This Row],[ID-SLOT]],Tableau1[ID-SLOT],0))&amp;""</f>
        <v>S3</v>
      </c>
      <c r="AG553" s="108" t="str">
        <f>INDEX(Tableau2[Repere-Voie],MATCH(Tableau3[[#This Row],[ID-VOIE]],Tableau2[ID-Voie],0))&amp;""</f>
        <v>v7</v>
      </c>
      <c r="AH553" s="72" t="str">
        <f>Tableau3[[#This Row],[ID-API]]&amp; "." &amp;Tableau3[[#This Row],[ID-RACK]]&amp; "." &amp;Tableau3[[#This Row],[ID-SLOT]]</f>
        <v>4.1.3</v>
      </c>
      <c r="AI553" s="72" t="str">
        <f>INDEX(Tableau1[Ref-Carte],MATCH(Tableau3[[#This Row],[ID-RRS]],Tableau1[ID-RRS],0))</f>
        <v>SDO0802</v>
      </c>
      <c r="AJ553" s="72" t="str">
        <f t="array" ref="AJ553">IFERROR(INDEX(Tableau2[TS],MATCH(1,(Tableau2[Ref-Carte]=Tableau3[[#This Row],[Ref-Carte2]])*(Tableau2[ID-Voie]=Tableau3[[#This Row],[ID-VOIE]]),0)),"")</f>
        <v>ST</v>
      </c>
      <c r="AK553" s="72" t="str">
        <f>IFERROR(INDEX(Tableau2[TS],SUMPRODUCT((Tableau2[Ref-Carte]=Tableau3[[#This Row],[Ref-Carte2]])*(Tableau2[ID-Voie]=Tableau3[[#This Row],[ID-VOIE]])*ROW(Tableau2[TS]))-ROW(Tableau2[#Headers])),"")</f>
        <v>ST</v>
      </c>
      <c r="AL553" s="72" t="str">
        <f>Tableau3[[#This Row],[Ref-Carte2]]&amp;"/"&amp;Tableau3[[#This Row],[ID-VOIE]]</f>
        <v>SDO0802/7</v>
      </c>
      <c r="AM553" s="73" t="str">
        <f>INDEX(Tableau2[Borne],MATCH(Tableau3[[#This Row],[ID-CARTEVOIE]],Tableau2[ID-CARTEVOIE],0))&amp;""</f>
        <v>7</v>
      </c>
      <c r="AN553" s="74" t="str">
        <f>Tableau3[[#This Row],[ID-API]]&amp;Tableau3[[#This Row],[ID-RACK]]&amp;Tableau3[[#This Row],[ID-SLOT]]&amp;Tableau3[[#This Row],[BORNE]]</f>
        <v>4137</v>
      </c>
      <c r="AO553" s="1"/>
    </row>
    <row r="554" spans="1:41" ht="20.100000000000001" customHeight="1" thickTop="1" thickBot="1">
      <c r="A554" s="68"/>
      <c r="B554" s="69" t="str">
        <f>IFERROR(INDEX(Tableau4[Date],MATCH($A554,Tableau4[EVO],0)),"")</f>
        <v/>
      </c>
      <c r="C554" s="68" t="str">
        <f>IFERROR(INDEX(Tableau4[Designation],MATCH($A554,Tableau4[EVO],0)),"")</f>
        <v/>
      </c>
      <c r="D554" s="68"/>
      <c r="E554" s="70">
        <v>6</v>
      </c>
      <c r="F554" s="71">
        <v>273</v>
      </c>
      <c r="G554" s="101" t="str">
        <f>INDEX(Tableau8[Att1],MATCH(Tableau3[[#This Row],[ID-INS]],Tableau8[ID],0))&amp;""</f>
        <v>V3</v>
      </c>
      <c r="H554" s="101" t="str">
        <f>INDEX(Tableau8[Att2],MATCH(Tableau3[[#This Row],[ID-INS]],Tableau8[ID],0))&amp;""</f>
        <v>P6</v>
      </c>
      <c r="I554" s="101" t="str">
        <f>INDEX(Tableau8[Att3],MATCH(Tableau3[[#This Row],[ID-INS]],Tableau8[ID],0))&amp;""</f>
        <v>Portail P6</v>
      </c>
      <c r="J554" s="101"/>
      <c r="K554" s="167" t="str">
        <f>INDEX(Tableau8[Nom du modele],MATCH(Tableau3[[#This Row],[ID-INS]],Tableau8[ID],0))&amp;""</f>
        <v>PortailBleuHydr_1</v>
      </c>
      <c r="L554" s="99" t="str">
        <f>INDEX(Tableau5[Att1],MATCH(Tableau3[[#This Row],[ID-SIG]],Tableau5[ID],0))&amp;""</f>
        <v>Vx_GrpHydCmd1</v>
      </c>
      <c r="M554" s="99" t="str">
        <f>INDEX(Tableau5[Att2],MATCH(Tableau3[[#This Row],[ID-SIG]],Tableau5[ID],0))&amp;""</f>
        <v/>
      </c>
      <c r="N554" s="99" t="str">
        <f>INDEX(Tableau5[Att3],MATCH(Tableau3[[#This Row],[ID-SIG]],Tableau5[ID],0))&amp;""</f>
        <v/>
      </c>
      <c r="O554" s="99"/>
      <c r="P554" s="99" t="str">
        <f>INDEX(Tableau5[Description],MATCH(Tableau3[[#This Row],[ID-SIG]],Tableau5[ID],0))</f>
        <v>Commande 1 groupe hydraulique</v>
      </c>
      <c r="Q554" s="99"/>
      <c r="R554" s="103" t="str">
        <f>Tableau3[[#This Row],[Description]]</f>
        <v>Commande 1 groupe hydraulique</v>
      </c>
      <c r="S554" s="52"/>
      <c r="U554" s="87">
        <v>4</v>
      </c>
      <c r="V554" s="87">
        <v>1</v>
      </c>
      <c r="W554" s="87">
        <v>4</v>
      </c>
      <c r="X554" s="87">
        <v>0</v>
      </c>
      <c r="Y554" s="41"/>
      <c r="Z554" s="165" t="str">
        <f>INDEX(Tableau2[TS],MATCH(Tableau3[[#This Row],[ID-CARTEVOIE]],Tableau2[ID-CARTEVOIE],0))</f>
        <v>ST</v>
      </c>
      <c r="AA554" s="53" t="s">
        <v>213</v>
      </c>
      <c r="AB554" s="223" t="str">
        <f>IFERROR(INDEX(Tableau5[Reserve],MATCH(Tableau3[[#This Row],[ID-SIG]],Tableau5[ID],0))&amp;"","")</f>
        <v/>
      </c>
      <c r="AC554" s="21"/>
      <c r="AD554" s="108" t="str">
        <f>INDEX(Tableau7[Repere],MATCH(Tableau3[[#This Row],[ID-API]],Tableau7[ID-API],0))&amp;""</f>
        <v>A4</v>
      </c>
      <c r="AE554" s="108" t="str">
        <f>INDEX(Tableau1[Repere-Rack],MATCH(Tableau3[[#This Row],[ID-RACK]],Tableau1[ID-RACK],0))&amp;""</f>
        <v>R1</v>
      </c>
      <c r="AF554" s="108" t="str">
        <f>INDEX(Tableau1[Repere-Slot],MATCH(Tableau3[[#This Row],[ID-SLOT]],Tableau1[ID-SLOT],0))&amp;""</f>
        <v>S4</v>
      </c>
      <c r="AG554" s="108" t="str">
        <f>INDEX(Tableau2[Repere-Voie],MATCH(Tableau3[[#This Row],[ID-VOIE]],Tableau2[ID-Voie],0))&amp;""</f>
        <v>v0</v>
      </c>
      <c r="AH554" s="72" t="str">
        <f>Tableau3[[#This Row],[ID-API]]&amp; "." &amp;Tableau3[[#This Row],[ID-RACK]]&amp; "." &amp;Tableau3[[#This Row],[ID-SLOT]]</f>
        <v>4.1.4</v>
      </c>
      <c r="AI554" s="72" t="str">
        <f>INDEX(Tableau1[Ref-Carte],MATCH(Tableau3[[#This Row],[ID-RRS]],Tableau1[ID-RRS],0))</f>
        <v>SDO0802</v>
      </c>
      <c r="AJ554" s="72" t="str">
        <f t="array" ref="AJ554">IFERROR(INDEX(Tableau2[TS],MATCH(1,(Tableau2[Ref-Carte]=Tableau3[[#This Row],[Ref-Carte2]])*(Tableau2[ID-Voie]=Tableau3[[#This Row],[ID-VOIE]]),0)),"")</f>
        <v>ST</v>
      </c>
      <c r="AK554" s="72" t="str">
        <f>IFERROR(INDEX(Tableau2[TS],SUMPRODUCT((Tableau2[Ref-Carte]=Tableau3[[#This Row],[Ref-Carte2]])*(Tableau2[ID-Voie]=Tableau3[[#This Row],[ID-VOIE]])*ROW(Tableau2[TS]))-ROW(Tableau2[#Headers])),"")</f>
        <v>ST</v>
      </c>
      <c r="AL554" s="72" t="str">
        <f>Tableau3[[#This Row],[Ref-Carte2]]&amp;"/"&amp;Tableau3[[#This Row],[ID-VOIE]]</f>
        <v>SDO0802/0</v>
      </c>
      <c r="AM554" s="73" t="str">
        <f>INDEX(Tableau2[Borne],MATCH(Tableau3[[#This Row],[ID-CARTEVOIE]],Tableau2[ID-CARTEVOIE],0))&amp;""</f>
        <v>0</v>
      </c>
      <c r="AN554" s="74" t="str">
        <f>Tableau3[[#This Row],[ID-API]]&amp;Tableau3[[#This Row],[ID-RACK]]&amp;Tableau3[[#This Row],[ID-SLOT]]&amp;Tableau3[[#This Row],[BORNE]]</f>
        <v>4140</v>
      </c>
      <c r="AO554" s="1"/>
    </row>
    <row r="555" spans="1:41" ht="20.100000000000001" customHeight="1" thickTop="1" thickBot="1">
      <c r="A555" s="68"/>
      <c r="B555" s="69" t="str">
        <f>IFERROR(INDEX(Tableau4[Date],MATCH($A555,Tableau4[EVO],0)),"")</f>
        <v/>
      </c>
      <c r="C555" s="68" t="str">
        <f>IFERROR(INDEX(Tableau4[Designation],MATCH($A555,Tableau4[EVO],0)),"")</f>
        <v/>
      </c>
      <c r="D555" s="68"/>
      <c r="E555" s="70">
        <v>6</v>
      </c>
      <c r="F555" s="71">
        <v>274</v>
      </c>
      <c r="G555" s="101" t="str">
        <f>INDEX(Tableau8[Att1],MATCH(Tableau3[[#This Row],[ID-INS]],Tableau8[ID],0))&amp;""</f>
        <v>V3</v>
      </c>
      <c r="H555" s="101" t="str">
        <f>INDEX(Tableau8[Att2],MATCH(Tableau3[[#This Row],[ID-INS]],Tableau8[ID],0))&amp;""</f>
        <v>P6</v>
      </c>
      <c r="I555" s="101" t="str">
        <f>INDEX(Tableau8[Att3],MATCH(Tableau3[[#This Row],[ID-INS]],Tableau8[ID],0))&amp;""</f>
        <v>Portail P6</v>
      </c>
      <c r="J555" s="101"/>
      <c r="K555" s="167" t="str">
        <f>INDEX(Tableau8[Nom du modele],MATCH(Tableau3[[#This Row],[ID-INS]],Tableau8[ID],0))&amp;""</f>
        <v>PortailBleuHydr_1</v>
      </c>
      <c r="L555" s="99" t="str">
        <f>INDEX(Tableau5[Att1],MATCH(Tableau3[[#This Row],[ID-SIG]],Tableau5[ID],0))&amp;""</f>
        <v>Vx_OuvCmd</v>
      </c>
      <c r="M555" s="99" t="str">
        <f>INDEX(Tableau5[Att2],MATCH(Tableau3[[#This Row],[ID-SIG]],Tableau5[ID],0))&amp;""</f>
        <v/>
      </c>
      <c r="N555" s="99" t="str">
        <f>INDEX(Tableau5[Att3],MATCH(Tableau3[[#This Row],[ID-SIG]],Tableau5[ID],0))&amp;""</f>
        <v/>
      </c>
      <c r="O555" s="99"/>
      <c r="P555" s="99" t="str">
        <f>INDEX(Tableau5[Description],MATCH(Tableau3[[#This Row],[ID-SIG]],Tableau5[ID],0))</f>
        <v xml:space="preserve">Commande ouverture </v>
      </c>
      <c r="Q555" s="99"/>
      <c r="R555" s="103" t="str">
        <f>Tableau3[[#This Row],[Description]]</f>
        <v xml:space="preserve">Commande ouverture </v>
      </c>
      <c r="S555" s="52"/>
      <c r="U555" s="87">
        <v>4</v>
      </c>
      <c r="V555" s="87">
        <v>1</v>
      </c>
      <c r="W555" s="87">
        <v>4</v>
      </c>
      <c r="X555" s="87">
        <v>1</v>
      </c>
      <c r="Y555" s="41"/>
      <c r="Z555" s="165" t="str">
        <f>INDEX(Tableau2[TS],MATCH(Tableau3[[#This Row],[ID-CARTEVOIE]],Tableau2[ID-CARTEVOIE],0))</f>
        <v>ST</v>
      </c>
      <c r="AA555" s="53" t="s">
        <v>213</v>
      </c>
      <c r="AB555" s="223" t="str">
        <f>IFERROR(INDEX(Tableau5[Reserve],MATCH(Tableau3[[#This Row],[ID-SIG]],Tableau5[ID],0))&amp;"","")</f>
        <v/>
      </c>
      <c r="AC555" s="21"/>
      <c r="AD555" s="108" t="str">
        <f>INDEX(Tableau7[Repere],MATCH(Tableau3[[#This Row],[ID-API]],Tableau7[ID-API],0))&amp;""</f>
        <v>A4</v>
      </c>
      <c r="AE555" s="108" t="str">
        <f>INDEX(Tableau1[Repere-Rack],MATCH(Tableau3[[#This Row],[ID-RACK]],Tableau1[ID-RACK],0))&amp;""</f>
        <v>R1</v>
      </c>
      <c r="AF555" s="108" t="str">
        <f>INDEX(Tableau1[Repere-Slot],MATCH(Tableau3[[#This Row],[ID-SLOT]],Tableau1[ID-SLOT],0))&amp;""</f>
        <v>S4</v>
      </c>
      <c r="AG555" s="108" t="str">
        <f>INDEX(Tableau2[Repere-Voie],MATCH(Tableau3[[#This Row],[ID-VOIE]],Tableau2[ID-Voie],0))&amp;""</f>
        <v>v1</v>
      </c>
      <c r="AH555" s="72" t="str">
        <f>Tableau3[[#This Row],[ID-API]]&amp; "." &amp;Tableau3[[#This Row],[ID-RACK]]&amp; "." &amp;Tableau3[[#This Row],[ID-SLOT]]</f>
        <v>4.1.4</v>
      </c>
      <c r="AI555" s="72" t="str">
        <f>INDEX(Tableau1[Ref-Carte],MATCH(Tableau3[[#This Row],[ID-RRS]],Tableau1[ID-RRS],0))</f>
        <v>SDO0802</v>
      </c>
      <c r="AJ555" s="72" t="str">
        <f t="array" ref="AJ555">IFERROR(INDEX(Tableau2[TS],MATCH(1,(Tableau2[Ref-Carte]=Tableau3[[#This Row],[Ref-Carte2]])*(Tableau2[ID-Voie]=Tableau3[[#This Row],[ID-VOIE]]),0)),"")</f>
        <v>ST</v>
      </c>
      <c r="AK555" s="72" t="str">
        <f>IFERROR(INDEX(Tableau2[TS],SUMPRODUCT((Tableau2[Ref-Carte]=Tableau3[[#This Row],[Ref-Carte2]])*(Tableau2[ID-Voie]=Tableau3[[#This Row],[ID-VOIE]])*ROW(Tableau2[TS]))-ROW(Tableau2[#Headers])),"")</f>
        <v>ST</v>
      </c>
      <c r="AL555" s="72" t="str">
        <f>Tableau3[[#This Row],[Ref-Carte2]]&amp;"/"&amp;Tableau3[[#This Row],[ID-VOIE]]</f>
        <v>SDO0802/1</v>
      </c>
      <c r="AM555" s="73" t="str">
        <f>INDEX(Tableau2[Borne],MATCH(Tableau3[[#This Row],[ID-CARTEVOIE]],Tableau2[ID-CARTEVOIE],0))&amp;""</f>
        <v>1</v>
      </c>
      <c r="AN555" s="74" t="str">
        <f>Tableau3[[#This Row],[ID-API]]&amp;Tableau3[[#This Row],[ID-RACK]]&amp;Tableau3[[#This Row],[ID-SLOT]]&amp;Tableau3[[#This Row],[BORNE]]</f>
        <v>4141</v>
      </c>
      <c r="AO555" s="1"/>
    </row>
    <row r="556" spans="1:41" ht="20.100000000000001" customHeight="1" thickTop="1" thickBot="1">
      <c r="A556" s="68"/>
      <c r="B556" s="69" t="str">
        <f>IFERROR(INDEX(Tableau4[Date],MATCH($A556,Tableau4[EVO],0)),"")</f>
        <v/>
      </c>
      <c r="C556" s="68" t="str">
        <f>IFERROR(INDEX(Tableau4[Designation],MATCH($A556,Tableau4[EVO],0)),"")</f>
        <v/>
      </c>
      <c r="D556" s="68"/>
      <c r="E556" s="70">
        <v>6</v>
      </c>
      <c r="F556" s="71">
        <v>275</v>
      </c>
      <c r="G556" s="101" t="str">
        <f>INDEX(Tableau8[Att1],MATCH(Tableau3[[#This Row],[ID-INS]],Tableau8[ID],0))&amp;""</f>
        <v>V3</v>
      </c>
      <c r="H556" s="101" t="str">
        <f>INDEX(Tableau8[Att2],MATCH(Tableau3[[#This Row],[ID-INS]],Tableau8[ID],0))&amp;""</f>
        <v>P6</v>
      </c>
      <c r="I556" s="101" t="str">
        <f>INDEX(Tableau8[Att3],MATCH(Tableau3[[#This Row],[ID-INS]],Tableau8[ID],0))&amp;""</f>
        <v>Portail P6</v>
      </c>
      <c r="J556" s="101"/>
      <c r="K556" s="167" t="str">
        <f>INDEX(Tableau8[Nom du modele],MATCH(Tableau3[[#This Row],[ID-INS]],Tableau8[ID],0))&amp;""</f>
        <v>PortailBleuHydr_1</v>
      </c>
      <c r="L556" s="99" t="str">
        <f>INDEX(Tableau5[Att1],MATCH(Tableau3[[#This Row],[ID-SIG]],Tableau5[ID],0))&amp;""</f>
        <v>Vx_FerCmd1</v>
      </c>
      <c r="M556" s="99" t="str">
        <f>INDEX(Tableau5[Att2],MATCH(Tableau3[[#This Row],[ID-SIG]],Tableau5[ID],0))&amp;""</f>
        <v/>
      </c>
      <c r="N556" s="99" t="str">
        <f>INDEX(Tableau5[Att3],MATCH(Tableau3[[#This Row],[ID-SIG]],Tableau5[ID],0))&amp;""</f>
        <v/>
      </c>
      <c r="O556" s="99"/>
      <c r="P556" s="99" t="str">
        <f>INDEX(Tableau5[Description],MATCH(Tableau3[[#This Row],[ID-SIG]],Tableau5[ID],0))</f>
        <v>Commande 1 fermeture</v>
      </c>
      <c r="Q556" s="99"/>
      <c r="R556" s="103" t="str">
        <f>Tableau3[[#This Row],[Description]]</f>
        <v>Commande 1 fermeture</v>
      </c>
      <c r="S556" s="52"/>
      <c r="U556" s="87">
        <v>4</v>
      </c>
      <c r="V556" s="87">
        <v>1</v>
      </c>
      <c r="W556" s="87">
        <v>4</v>
      </c>
      <c r="X556" s="87">
        <v>2</v>
      </c>
      <c r="Y556" s="41"/>
      <c r="Z556" s="165" t="str">
        <f>INDEX(Tableau2[TS],MATCH(Tableau3[[#This Row],[ID-CARTEVOIE]],Tableau2[ID-CARTEVOIE],0))</f>
        <v>ST</v>
      </c>
      <c r="AA556" s="53" t="s">
        <v>213</v>
      </c>
      <c r="AB556" s="223" t="str">
        <f>IFERROR(INDEX(Tableau5[Reserve],MATCH(Tableau3[[#This Row],[ID-SIG]],Tableau5[ID],0))&amp;"","")</f>
        <v/>
      </c>
      <c r="AC556" s="21"/>
      <c r="AD556" s="108" t="str">
        <f>INDEX(Tableau7[Repere],MATCH(Tableau3[[#This Row],[ID-API]],Tableau7[ID-API],0))&amp;""</f>
        <v>A4</v>
      </c>
      <c r="AE556" s="108" t="str">
        <f>INDEX(Tableau1[Repere-Rack],MATCH(Tableau3[[#This Row],[ID-RACK]],Tableau1[ID-RACK],0))&amp;""</f>
        <v>R1</v>
      </c>
      <c r="AF556" s="108" t="str">
        <f>INDEX(Tableau1[Repere-Slot],MATCH(Tableau3[[#This Row],[ID-SLOT]],Tableau1[ID-SLOT],0))&amp;""</f>
        <v>S4</v>
      </c>
      <c r="AG556" s="108" t="str">
        <f>INDEX(Tableau2[Repere-Voie],MATCH(Tableau3[[#This Row],[ID-VOIE]],Tableau2[ID-Voie],0))&amp;""</f>
        <v>v2</v>
      </c>
      <c r="AH556" s="72" t="str">
        <f>Tableau3[[#This Row],[ID-API]]&amp; "." &amp;Tableau3[[#This Row],[ID-RACK]]&amp; "." &amp;Tableau3[[#This Row],[ID-SLOT]]</f>
        <v>4.1.4</v>
      </c>
      <c r="AI556" s="72" t="str">
        <f>INDEX(Tableau1[Ref-Carte],MATCH(Tableau3[[#This Row],[ID-RRS]],Tableau1[ID-RRS],0))</f>
        <v>SDO0802</v>
      </c>
      <c r="AJ556" s="72" t="str">
        <f t="array" ref="AJ556">IFERROR(INDEX(Tableau2[TS],MATCH(1,(Tableau2[Ref-Carte]=Tableau3[[#This Row],[Ref-Carte2]])*(Tableau2[ID-Voie]=Tableau3[[#This Row],[ID-VOIE]]),0)),"")</f>
        <v>ST</v>
      </c>
      <c r="AK556" s="72" t="str">
        <f>IFERROR(INDEX(Tableau2[TS],SUMPRODUCT((Tableau2[Ref-Carte]=Tableau3[[#This Row],[Ref-Carte2]])*(Tableau2[ID-Voie]=Tableau3[[#This Row],[ID-VOIE]])*ROW(Tableau2[TS]))-ROW(Tableau2[#Headers])),"")</f>
        <v>ST</v>
      </c>
      <c r="AL556" s="72" t="str">
        <f>Tableau3[[#This Row],[Ref-Carte2]]&amp;"/"&amp;Tableau3[[#This Row],[ID-VOIE]]</f>
        <v>SDO0802/2</v>
      </c>
      <c r="AM556" s="73" t="str">
        <f>INDEX(Tableau2[Borne],MATCH(Tableau3[[#This Row],[ID-CARTEVOIE]],Tableau2[ID-CARTEVOIE],0))&amp;""</f>
        <v>2</v>
      </c>
      <c r="AN556" s="74" t="str">
        <f>Tableau3[[#This Row],[ID-API]]&amp;Tableau3[[#This Row],[ID-RACK]]&amp;Tableau3[[#This Row],[ID-SLOT]]&amp;Tableau3[[#This Row],[BORNE]]</f>
        <v>4142</v>
      </c>
      <c r="AO556" s="1"/>
    </row>
    <row r="557" spans="1:41" ht="20.100000000000001" customHeight="1" thickTop="1" thickBot="1">
      <c r="A557" s="68"/>
      <c r="B557" s="69" t="str">
        <f>IFERROR(INDEX(Tableau4[Date],MATCH($A557,Tableau4[EVO],0)),"")</f>
        <v/>
      </c>
      <c r="C557" s="68" t="str">
        <f>IFERROR(INDEX(Tableau4[Designation],MATCH($A557,Tableau4[EVO],0)),"")</f>
        <v/>
      </c>
      <c r="D557" s="68"/>
      <c r="E557" s="70">
        <v>6</v>
      </c>
      <c r="F557" s="71">
        <v>276</v>
      </c>
      <c r="G557" s="101" t="str">
        <f>INDEX(Tableau8[Att1],MATCH(Tableau3[[#This Row],[ID-INS]],Tableau8[ID],0))&amp;""</f>
        <v>V3</v>
      </c>
      <c r="H557" s="101" t="str">
        <f>INDEX(Tableau8[Att2],MATCH(Tableau3[[#This Row],[ID-INS]],Tableau8[ID],0))&amp;""</f>
        <v>P6</v>
      </c>
      <c r="I557" s="101" t="str">
        <f>INDEX(Tableau8[Att3],MATCH(Tableau3[[#This Row],[ID-INS]],Tableau8[ID],0))&amp;""</f>
        <v>Portail P6</v>
      </c>
      <c r="J557" s="101"/>
      <c r="K557" s="167" t="str">
        <f>INDEX(Tableau8[Nom du modele],MATCH(Tableau3[[#This Row],[ID-INS]],Tableau8[ID],0))&amp;""</f>
        <v>PortailBleuHydr_1</v>
      </c>
      <c r="L557" s="99" t="str">
        <f>INDEX(Tableau5[Att1],MATCH(Tableau3[[#This Row],[ID-SIG]],Tableau5[ID],0))&amp;""</f>
        <v>Vx_SignalCmd</v>
      </c>
      <c r="M557" s="99" t="str">
        <f>INDEX(Tableau5[Att2],MATCH(Tableau3[[#This Row],[ID-SIG]],Tableau5[ID],0))&amp;""</f>
        <v/>
      </c>
      <c r="N557" s="99" t="str">
        <f>INDEX(Tableau5[Att3],MATCH(Tableau3[[#This Row],[ID-SIG]],Tableau5[ID],0))&amp;""</f>
        <v/>
      </c>
      <c r="O557" s="99"/>
      <c r="P557" s="99" t="str">
        <f>INDEX(Tableau5[Description],MATCH(Tableau3[[#This Row],[ID-SIG]],Tableau5[ID],0))</f>
        <v>Commande signalisation en mouvement</v>
      </c>
      <c r="Q557" s="99"/>
      <c r="R557" s="103" t="str">
        <f>Tableau3[[#This Row],[Description]]</f>
        <v>Commande signalisation en mouvement</v>
      </c>
      <c r="S557" s="52"/>
      <c r="U557" s="87">
        <v>4</v>
      </c>
      <c r="V557" s="87">
        <v>1</v>
      </c>
      <c r="W557" s="87">
        <v>4</v>
      </c>
      <c r="X557" s="87">
        <v>3</v>
      </c>
      <c r="Y557" s="41"/>
      <c r="Z557" s="165" t="str">
        <f>INDEX(Tableau2[TS],MATCH(Tableau3[[#This Row],[ID-CARTEVOIE]],Tableau2[ID-CARTEVOIE],0))</f>
        <v>ST</v>
      </c>
      <c r="AA557" s="53" t="s">
        <v>213</v>
      </c>
      <c r="AB557" s="223" t="str">
        <f>IFERROR(INDEX(Tableau5[Reserve],MATCH(Tableau3[[#This Row],[ID-SIG]],Tableau5[ID],0))&amp;"","")</f>
        <v/>
      </c>
      <c r="AC557" s="21"/>
      <c r="AD557" s="108" t="str">
        <f>INDEX(Tableau7[Repere],MATCH(Tableau3[[#This Row],[ID-API]],Tableau7[ID-API],0))&amp;""</f>
        <v>A4</v>
      </c>
      <c r="AE557" s="108" t="str">
        <f>INDEX(Tableau1[Repere-Rack],MATCH(Tableau3[[#This Row],[ID-RACK]],Tableau1[ID-RACK],0))&amp;""</f>
        <v>R1</v>
      </c>
      <c r="AF557" s="108" t="str">
        <f>INDEX(Tableau1[Repere-Slot],MATCH(Tableau3[[#This Row],[ID-SLOT]],Tableau1[ID-SLOT],0))&amp;""</f>
        <v>S4</v>
      </c>
      <c r="AG557" s="108" t="str">
        <f>INDEX(Tableau2[Repere-Voie],MATCH(Tableau3[[#This Row],[ID-VOIE]],Tableau2[ID-Voie],0))&amp;""</f>
        <v>v3</v>
      </c>
      <c r="AH557" s="72" t="str">
        <f>Tableau3[[#This Row],[ID-API]]&amp; "." &amp;Tableau3[[#This Row],[ID-RACK]]&amp; "." &amp;Tableau3[[#This Row],[ID-SLOT]]</f>
        <v>4.1.4</v>
      </c>
      <c r="AI557" s="72" t="str">
        <f>INDEX(Tableau1[Ref-Carte],MATCH(Tableau3[[#This Row],[ID-RRS]],Tableau1[ID-RRS],0))</f>
        <v>SDO0802</v>
      </c>
      <c r="AJ557" s="72" t="str">
        <f t="array" ref="AJ557">IFERROR(INDEX(Tableau2[TS],MATCH(1,(Tableau2[Ref-Carte]=Tableau3[[#This Row],[Ref-Carte2]])*(Tableau2[ID-Voie]=Tableau3[[#This Row],[ID-VOIE]]),0)),"")</f>
        <v>ST</v>
      </c>
      <c r="AK557" s="72" t="str">
        <f>IFERROR(INDEX(Tableau2[TS],SUMPRODUCT((Tableau2[Ref-Carte]=Tableau3[[#This Row],[Ref-Carte2]])*(Tableau2[ID-Voie]=Tableau3[[#This Row],[ID-VOIE]])*ROW(Tableau2[TS]))-ROW(Tableau2[#Headers])),"")</f>
        <v>ST</v>
      </c>
      <c r="AL557" s="72" t="str">
        <f>Tableau3[[#This Row],[Ref-Carte2]]&amp;"/"&amp;Tableau3[[#This Row],[ID-VOIE]]</f>
        <v>SDO0802/3</v>
      </c>
      <c r="AM557" s="73" t="str">
        <f>INDEX(Tableau2[Borne],MATCH(Tableau3[[#This Row],[ID-CARTEVOIE]],Tableau2[ID-CARTEVOIE],0))&amp;""</f>
        <v>3</v>
      </c>
      <c r="AN557" s="74" t="str">
        <f>Tableau3[[#This Row],[ID-API]]&amp;Tableau3[[#This Row],[ID-RACK]]&amp;Tableau3[[#This Row],[ID-SLOT]]&amp;Tableau3[[#This Row],[BORNE]]</f>
        <v>4143</v>
      </c>
      <c r="AO557" s="1"/>
    </row>
    <row r="558" spans="1:41" ht="20.100000000000001" customHeight="1" thickTop="1" thickBot="1">
      <c r="A558" s="68"/>
      <c r="B558" s="69" t="str">
        <f>IFERROR(INDEX(Tableau4[Date],MATCH($A558,Tableau4[EVO],0)),"")</f>
        <v/>
      </c>
      <c r="C558" s="68" t="str">
        <f>IFERROR(INDEX(Tableau4[Designation],MATCH($A558,Tableau4[EVO],0)),"")</f>
        <v/>
      </c>
      <c r="D558" s="68"/>
      <c r="E558" s="70">
        <v>6</v>
      </c>
      <c r="F558" s="71">
        <v>277</v>
      </c>
      <c r="G558" s="101" t="str">
        <f>INDEX(Tableau8[Att1],MATCH(Tableau3[[#This Row],[ID-INS]],Tableau8[ID],0))&amp;""</f>
        <v>V3</v>
      </c>
      <c r="H558" s="101" t="str">
        <f>INDEX(Tableau8[Att2],MATCH(Tableau3[[#This Row],[ID-INS]],Tableau8[ID],0))&amp;""</f>
        <v>P6</v>
      </c>
      <c r="I558" s="101" t="str">
        <f>INDEX(Tableau8[Att3],MATCH(Tableau3[[#This Row],[ID-INS]],Tableau8[ID],0))&amp;""</f>
        <v>Portail P6</v>
      </c>
      <c r="J558" s="101"/>
      <c r="K558" s="167" t="str">
        <f>INDEX(Tableau8[Nom du modele],MATCH(Tableau3[[#This Row],[ID-INS]],Tableau8[ID],0))&amp;""</f>
        <v>PortailBleuHydr_1</v>
      </c>
      <c r="L558" s="99" t="str">
        <f>INDEX(Tableau5[Att1],MATCH(Tableau3[[#This Row],[ID-SIG]],Tableau5[ID],0))&amp;""</f>
        <v>Vx_ARUCmd1</v>
      </c>
      <c r="M558" s="99" t="str">
        <f>INDEX(Tableau5[Att2],MATCH(Tableau3[[#This Row],[ID-SIG]],Tableau5[ID],0))&amp;""</f>
        <v/>
      </c>
      <c r="N558" s="99" t="str">
        <f>INDEX(Tableau5[Att3],MATCH(Tableau3[[#This Row],[ID-SIG]],Tableau5[ID],0))&amp;""</f>
        <v/>
      </c>
      <c r="O558" s="99"/>
      <c r="P558" s="99" t="str">
        <f>INDEX(Tableau5[Description],MATCH(Tableau3[[#This Row],[ID-SIG]],Tableau5[ID],0))</f>
        <v>Commande 1 ARU</v>
      </c>
      <c r="Q558" s="99"/>
      <c r="R558" s="103" t="str">
        <f>Tableau3[[#This Row],[Description]]</f>
        <v>Commande 1 ARU</v>
      </c>
      <c r="S558" s="52"/>
      <c r="U558" s="87">
        <v>4</v>
      </c>
      <c r="V558" s="87">
        <v>1</v>
      </c>
      <c r="W558" s="87">
        <v>4</v>
      </c>
      <c r="X558" s="87">
        <v>4</v>
      </c>
      <c r="Y558" s="41"/>
      <c r="Z558" s="165" t="str">
        <f>INDEX(Tableau2[TS],MATCH(Tableau3[[#This Row],[ID-CARTEVOIE]],Tableau2[ID-CARTEVOIE],0))</f>
        <v>ST</v>
      </c>
      <c r="AA558" s="53" t="s">
        <v>213</v>
      </c>
      <c r="AB558" s="223" t="str">
        <f>IFERROR(INDEX(Tableau5[Reserve],MATCH(Tableau3[[#This Row],[ID-SIG]],Tableau5[ID],0))&amp;"","")</f>
        <v/>
      </c>
      <c r="AC558" s="21"/>
      <c r="AD558" s="108" t="str">
        <f>INDEX(Tableau7[Repere],MATCH(Tableau3[[#This Row],[ID-API]],Tableau7[ID-API],0))&amp;""</f>
        <v>A4</v>
      </c>
      <c r="AE558" s="108" t="str">
        <f>INDEX(Tableau1[Repere-Rack],MATCH(Tableau3[[#This Row],[ID-RACK]],Tableau1[ID-RACK],0))&amp;""</f>
        <v>R1</v>
      </c>
      <c r="AF558" s="108" t="str">
        <f>INDEX(Tableau1[Repere-Slot],MATCH(Tableau3[[#This Row],[ID-SLOT]],Tableau1[ID-SLOT],0))&amp;""</f>
        <v>S4</v>
      </c>
      <c r="AG558" s="108" t="str">
        <f>INDEX(Tableau2[Repere-Voie],MATCH(Tableau3[[#This Row],[ID-VOIE]],Tableau2[ID-Voie],0))&amp;""</f>
        <v>v4</v>
      </c>
      <c r="AH558" s="72" t="str">
        <f>Tableau3[[#This Row],[ID-API]]&amp; "." &amp;Tableau3[[#This Row],[ID-RACK]]&amp; "." &amp;Tableau3[[#This Row],[ID-SLOT]]</f>
        <v>4.1.4</v>
      </c>
      <c r="AI558" s="72" t="str">
        <f>INDEX(Tableau1[Ref-Carte],MATCH(Tableau3[[#This Row],[ID-RRS]],Tableau1[ID-RRS],0))</f>
        <v>SDO0802</v>
      </c>
      <c r="AJ558" s="72" t="str">
        <f t="array" ref="AJ558">IFERROR(INDEX(Tableau2[TS],MATCH(1,(Tableau2[Ref-Carte]=Tableau3[[#This Row],[Ref-Carte2]])*(Tableau2[ID-Voie]=Tableau3[[#This Row],[ID-VOIE]]),0)),"")</f>
        <v>ST</v>
      </c>
      <c r="AK558" s="72" t="str">
        <f>IFERROR(INDEX(Tableau2[TS],SUMPRODUCT((Tableau2[Ref-Carte]=Tableau3[[#This Row],[Ref-Carte2]])*(Tableau2[ID-Voie]=Tableau3[[#This Row],[ID-VOIE]])*ROW(Tableau2[TS]))-ROW(Tableau2[#Headers])),"")</f>
        <v>ST</v>
      </c>
      <c r="AL558" s="72" t="str">
        <f>Tableau3[[#This Row],[Ref-Carte2]]&amp;"/"&amp;Tableau3[[#This Row],[ID-VOIE]]</f>
        <v>SDO0802/4</v>
      </c>
      <c r="AM558" s="73" t="str">
        <f>INDEX(Tableau2[Borne],MATCH(Tableau3[[#This Row],[ID-CARTEVOIE]],Tableau2[ID-CARTEVOIE],0))&amp;""</f>
        <v>4</v>
      </c>
      <c r="AN558" s="74" t="str">
        <f>Tableau3[[#This Row],[ID-API]]&amp;Tableau3[[#This Row],[ID-RACK]]&amp;Tableau3[[#This Row],[ID-SLOT]]&amp;Tableau3[[#This Row],[BORNE]]</f>
        <v>4144</v>
      </c>
      <c r="AO558" s="1"/>
    </row>
    <row r="559" spans="1:41" ht="20.100000000000001" customHeight="1" thickTop="1" thickBot="1">
      <c r="A559" s="68"/>
      <c r="B559" s="69" t="str">
        <f>IFERROR(INDEX(Tableau4[Date],MATCH($A559,Tableau4[EVO],0)),"")</f>
        <v/>
      </c>
      <c r="C559" s="68" t="str">
        <f>IFERROR(INDEX(Tableau4[Designation],MATCH($A559,Tableau4[EVO],0)),"")</f>
        <v/>
      </c>
      <c r="D559" s="68"/>
      <c r="E559" s="70">
        <v>39</v>
      </c>
      <c r="F559" s="71">
        <v>74</v>
      </c>
      <c r="G559" s="101" t="str">
        <f>INDEX(Tableau8[Att1],MATCH(Tableau3[[#This Row],[ID-INS]],Tableau8[ID],0))&amp;""</f>
        <v>V3</v>
      </c>
      <c r="H559" s="101" t="str">
        <f>INDEX(Tableau8[Att2],MATCH(Tableau3[[#This Row],[ID-INS]],Tableau8[ID],0))&amp;""</f>
        <v>BH8</v>
      </c>
      <c r="I559" s="101" t="str">
        <f>INDEX(Tableau8[Att3],MATCH(Tableau3[[#This Row],[ID-INS]],Tableau8[ID],0))&amp;""</f>
        <v>Barrière BH8</v>
      </c>
      <c r="J559" s="101"/>
      <c r="K559" s="167" t="str">
        <f>INDEX(Tableau8[Nom du modele],MATCH(Tableau3[[#This Row],[ID-INS]],Tableau8[ID],0))&amp;""</f>
        <v>BarriereHerse_1</v>
      </c>
      <c r="L559" s="99" t="str">
        <f>INDEX(Tableau5[Att1],MATCH(Tableau3[[#This Row],[ID-SIG]],Tableau5[ID],0))&amp;""</f>
        <v>OuvCmd</v>
      </c>
      <c r="M559" s="99" t="str">
        <f>INDEX(Tableau5[Att2],MATCH(Tableau3[[#This Row],[ID-SIG]],Tableau5[ID],0))&amp;""</f>
        <v/>
      </c>
      <c r="N559" s="99" t="str">
        <f>INDEX(Tableau5[Att3],MATCH(Tableau3[[#This Row],[ID-SIG]],Tableau5[ID],0))&amp;""</f>
        <v/>
      </c>
      <c r="O559" s="99"/>
      <c r="P559" s="99" t="str">
        <f>INDEX(Tableau5[Description],MATCH(Tableau3[[#This Row],[ID-SIG]],Tableau5[ID],0))</f>
        <v>Commande ouverture</v>
      </c>
      <c r="Q559" s="99"/>
      <c r="R559" s="103" t="str">
        <f>Tableau3[[#This Row],[Description]]</f>
        <v>Commande ouverture</v>
      </c>
      <c r="U559" s="87">
        <v>4</v>
      </c>
      <c r="V559" s="87">
        <v>1</v>
      </c>
      <c r="W559" s="87">
        <v>4</v>
      </c>
      <c r="X559" s="87">
        <v>5</v>
      </c>
      <c r="Y559" s="41"/>
      <c r="Z559" s="165" t="str">
        <f>INDEX(Tableau2[TS],MATCH(Tableau3[[#This Row],[ID-CARTEVOIE]],Tableau2[ID-CARTEVOIE],0))</f>
        <v>ST</v>
      </c>
      <c r="AA559" s="53" t="s">
        <v>213</v>
      </c>
      <c r="AB559" s="223" t="str">
        <f>IFERROR(INDEX(Tableau5[Reserve],MATCH(Tableau3[[#This Row],[ID-SIG]],Tableau5[ID],0))&amp;"","")</f>
        <v/>
      </c>
      <c r="AC559" s="21"/>
      <c r="AD559" s="108" t="str">
        <f>INDEX(Tableau7[Repere],MATCH(Tableau3[[#This Row],[ID-API]],Tableau7[ID-API],0))&amp;""</f>
        <v>A4</v>
      </c>
      <c r="AE559" s="108" t="str">
        <f>INDEX(Tableau1[Repere-Rack],MATCH(Tableau3[[#This Row],[ID-RACK]],Tableau1[ID-RACK],0))&amp;""</f>
        <v>R1</v>
      </c>
      <c r="AF559" s="108" t="str">
        <f>INDEX(Tableau1[Repere-Slot],MATCH(Tableau3[[#This Row],[ID-SLOT]],Tableau1[ID-SLOT],0))&amp;""</f>
        <v>S4</v>
      </c>
      <c r="AG559" s="108" t="str">
        <f>INDEX(Tableau2[Repere-Voie],MATCH(Tableau3[[#This Row],[ID-VOIE]],Tableau2[ID-Voie],0))&amp;""</f>
        <v>v5</v>
      </c>
      <c r="AH559" s="72" t="str">
        <f>Tableau3[[#This Row],[ID-API]]&amp; "." &amp;Tableau3[[#This Row],[ID-RACK]]&amp; "." &amp;Tableau3[[#This Row],[ID-SLOT]]</f>
        <v>4.1.4</v>
      </c>
      <c r="AI559" s="72" t="str">
        <f>INDEX(Tableau1[Ref-Carte],MATCH(Tableau3[[#This Row],[ID-RRS]],Tableau1[ID-RRS],0))</f>
        <v>SDO0802</v>
      </c>
      <c r="AJ559" s="72" t="str">
        <f t="array" ref="AJ559">IFERROR(INDEX(Tableau2[TS],MATCH(1,(Tableau2[Ref-Carte]=Tableau3[[#This Row],[Ref-Carte2]])*(Tableau2[ID-Voie]=Tableau3[[#This Row],[ID-VOIE]]),0)),"")</f>
        <v>ST</v>
      </c>
      <c r="AK559" s="72" t="str">
        <f>IFERROR(INDEX(Tableau2[TS],SUMPRODUCT((Tableau2[Ref-Carte]=Tableau3[[#This Row],[Ref-Carte2]])*(Tableau2[ID-Voie]=Tableau3[[#This Row],[ID-VOIE]])*ROW(Tableau2[TS]))-ROW(Tableau2[#Headers])),"")</f>
        <v>ST</v>
      </c>
      <c r="AL559" s="72" t="str">
        <f>Tableau3[[#This Row],[Ref-Carte2]]&amp;"/"&amp;Tableau3[[#This Row],[ID-VOIE]]</f>
        <v>SDO0802/5</v>
      </c>
      <c r="AM559" s="73" t="str">
        <f>INDEX(Tableau2[Borne],MATCH(Tableau3[[#This Row],[ID-CARTEVOIE]],Tableau2[ID-CARTEVOIE],0))&amp;""</f>
        <v>5</v>
      </c>
      <c r="AN559" s="74" t="str">
        <f>Tableau3[[#This Row],[ID-API]]&amp;Tableau3[[#This Row],[ID-RACK]]&amp;Tableau3[[#This Row],[ID-SLOT]]&amp;Tableau3[[#This Row],[BORNE]]</f>
        <v>4145</v>
      </c>
      <c r="AO559" s="1"/>
    </row>
    <row r="560" spans="1:41" ht="20.100000000000001" customHeight="1" thickTop="1" thickBot="1">
      <c r="A560" s="68"/>
      <c r="B560" s="69" t="str">
        <f>IFERROR(INDEX(Tableau4[Date],MATCH($A560,Tableau4[EVO],0)),"")</f>
        <v/>
      </c>
      <c r="C560" s="68" t="str">
        <f>IFERROR(INDEX(Tableau4[Designation],MATCH($A560,Tableau4[EVO],0)),"")</f>
        <v/>
      </c>
      <c r="D560" s="68"/>
      <c r="E560" s="70">
        <v>39</v>
      </c>
      <c r="F560" s="71">
        <v>75</v>
      </c>
      <c r="G560" s="101" t="str">
        <f>INDEX(Tableau8[Att1],MATCH(Tableau3[[#This Row],[ID-INS]],Tableau8[ID],0))&amp;""</f>
        <v>V3</v>
      </c>
      <c r="H560" s="101" t="str">
        <f>INDEX(Tableau8[Att2],MATCH(Tableau3[[#This Row],[ID-INS]],Tableau8[ID],0))&amp;""</f>
        <v>BH8</v>
      </c>
      <c r="I560" s="101" t="str">
        <f>INDEX(Tableau8[Att3],MATCH(Tableau3[[#This Row],[ID-INS]],Tableau8[ID],0))&amp;""</f>
        <v>Barrière BH8</v>
      </c>
      <c r="J560" s="101"/>
      <c r="K560" s="167" t="str">
        <f>INDEX(Tableau8[Nom du modele],MATCH(Tableau3[[#This Row],[ID-INS]],Tableau8[ID],0))&amp;""</f>
        <v>BarriereHerse_1</v>
      </c>
      <c r="L560" s="99" t="str">
        <f>INDEX(Tableau5[Att1],MATCH(Tableau3[[#This Row],[ID-SIG]],Tableau5[ID],0))&amp;""</f>
        <v>Réserve</v>
      </c>
      <c r="M560" s="99" t="str">
        <f>INDEX(Tableau5[Att2],MATCH(Tableau3[[#This Row],[ID-SIG]],Tableau5[ID],0))&amp;""</f>
        <v/>
      </c>
      <c r="N560" s="99" t="str">
        <f>INDEX(Tableau5[Att3],MATCH(Tableau3[[#This Row],[ID-SIG]],Tableau5[ID],0))&amp;""</f>
        <v/>
      </c>
      <c r="O560" s="99"/>
      <c r="P560" s="99" t="str">
        <f>INDEX(Tableau5[Description],MATCH(Tableau3[[#This Row],[ID-SIG]],Tableau5[ID],0))</f>
        <v>Réserve</v>
      </c>
      <c r="Q560" s="99"/>
      <c r="R560" s="103" t="str">
        <f>Tableau3[[#This Row],[Description]]</f>
        <v>Réserve</v>
      </c>
      <c r="U560" s="87">
        <v>4</v>
      </c>
      <c r="V560" s="87">
        <v>1</v>
      </c>
      <c r="W560" s="87">
        <v>4</v>
      </c>
      <c r="X560" s="87">
        <v>6</v>
      </c>
      <c r="Y560" s="41"/>
      <c r="Z560" s="165" t="str">
        <f>INDEX(Tableau2[TS],MATCH(Tableau3[[#This Row],[ID-CARTEVOIE]],Tableau2[ID-CARTEVOIE],0))</f>
        <v>ST</v>
      </c>
      <c r="AA560" s="53" t="s">
        <v>213</v>
      </c>
      <c r="AB560" s="223" t="str">
        <f>IFERROR(INDEX(Tableau5[Reserve],MATCH(Tableau3[[#This Row],[ID-SIG]],Tableau5[ID],0))&amp;"","")</f>
        <v/>
      </c>
      <c r="AC560" s="21"/>
      <c r="AD560" s="108" t="str">
        <f>INDEX(Tableau7[Repere],MATCH(Tableau3[[#This Row],[ID-API]],Tableau7[ID-API],0))&amp;""</f>
        <v>A4</v>
      </c>
      <c r="AE560" s="108" t="str">
        <f>INDEX(Tableau1[Repere-Rack],MATCH(Tableau3[[#This Row],[ID-RACK]],Tableau1[ID-RACK],0))&amp;""</f>
        <v>R1</v>
      </c>
      <c r="AF560" s="108" t="str">
        <f>INDEX(Tableau1[Repere-Slot],MATCH(Tableau3[[#This Row],[ID-SLOT]],Tableau1[ID-SLOT],0))&amp;""</f>
        <v>S4</v>
      </c>
      <c r="AG560" s="108" t="str">
        <f>INDEX(Tableau2[Repere-Voie],MATCH(Tableau3[[#This Row],[ID-VOIE]],Tableau2[ID-Voie],0))&amp;""</f>
        <v>v6</v>
      </c>
      <c r="AH560" s="72" t="str">
        <f>Tableau3[[#This Row],[ID-API]]&amp; "." &amp;Tableau3[[#This Row],[ID-RACK]]&amp; "." &amp;Tableau3[[#This Row],[ID-SLOT]]</f>
        <v>4.1.4</v>
      </c>
      <c r="AI560" s="72" t="str">
        <f>INDEX(Tableau1[Ref-Carte],MATCH(Tableau3[[#This Row],[ID-RRS]],Tableau1[ID-RRS],0))</f>
        <v>SDO0802</v>
      </c>
      <c r="AJ560" s="72" t="str">
        <f t="array" ref="AJ560">IFERROR(INDEX(Tableau2[TS],MATCH(1,(Tableau2[Ref-Carte]=Tableau3[[#This Row],[Ref-Carte2]])*(Tableau2[ID-Voie]=Tableau3[[#This Row],[ID-VOIE]]),0)),"")</f>
        <v>ST</v>
      </c>
      <c r="AK560" s="72" t="str">
        <f>IFERROR(INDEX(Tableau2[TS],SUMPRODUCT((Tableau2[Ref-Carte]=Tableau3[[#This Row],[Ref-Carte2]])*(Tableau2[ID-Voie]=Tableau3[[#This Row],[ID-VOIE]])*ROW(Tableau2[TS]))-ROW(Tableau2[#Headers])),"")</f>
        <v>ST</v>
      </c>
      <c r="AL560" s="72" t="str">
        <f>Tableau3[[#This Row],[Ref-Carte2]]&amp;"/"&amp;Tableau3[[#This Row],[ID-VOIE]]</f>
        <v>SDO0802/6</v>
      </c>
      <c r="AM560" s="73" t="str">
        <f>INDEX(Tableau2[Borne],MATCH(Tableau3[[#This Row],[ID-CARTEVOIE]],Tableau2[ID-CARTEVOIE],0))&amp;""</f>
        <v>6</v>
      </c>
      <c r="AN560" s="74" t="str">
        <f>Tableau3[[#This Row],[ID-API]]&amp;Tableau3[[#This Row],[ID-RACK]]&amp;Tableau3[[#This Row],[ID-SLOT]]&amp;Tableau3[[#This Row],[BORNE]]</f>
        <v>4146</v>
      </c>
      <c r="AO560" s="1"/>
    </row>
    <row r="561" spans="1:41" ht="20.100000000000001" customHeight="1" thickTop="1" thickBot="1">
      <c r="A561" s="68"/>
      <c r="B561" s="69" t="str">
        <f>IFERROR(INDEX(Tableau4[Date],MATCH($A561,Tableau4[EVO],0)),"")</f>
        <v/>
      </c>
      <c r="C561" s="68" t="str">
        <f>IFERROR(INDEX(Tableau4[Designation],MATCH($A561,Tableau4[EVO],0)),"")</f>
        <v/>
      </c>
      <c r="D561" s="68"/>
      <c r="E561" s="70">
        <v>39</v>
      </c>
      <c r="F561" s="71">
        <v>76</v>
      </c>
      <c r="G561" s="101" t="str">
        <f>INDEX(Tableau8[Att1],MATCH(Tableau3[[#This Row],[ID-INS]],Tableau8[ID],0))&amp;""</f>
        <v>V3</v>
      </c>
      <c r="H561" s="101" t="str">
        <f>INDEX(Tableau8[Att2],MATCH(Tableau3[[#This Row],[ID-INS]],Tableau8[ID],0))&amp;""</f>
        <v>BH8</v>
      </c>
      <c r="I561" s="101" t="str">
        <f>INDEX(Tableau8[Att3],MATCH(Tableau3[[#This Row],[ID-INS]],Tableau8[ID],0))&amp;""</f>
        <v>Barrière BH8</v>
      </c>
      <c r="J561" s="101"/>
      <c r="K561" s="167" t="str">
        <f>INDEX(Tableau8[Nom du modele],MATCH(Tableau3[[#This Row],[ID-INS]],Tableau8[ID],0))&amp;""</f>
        <v>BarriereHerse_1</v>
      </c>
      <c r="L561" s="99" t="str">
        <f>INDEX(Tableau5[Att1],MATCH(Tableau3[[#This Row],[ID-SIG]],Tableau5[ID],0))&amp;""</f>
        <v>FerCmd1</v>
      </c>
      <c r="M561" s="99" t="str">
        <f>INDEX(Tableau5[Att2],MATCH(Tableau3[[#This Row],[ID-SIG]],Tableau5[ID],0))&amp;""</f>
        <v/>
      </c>
      <c r="N561" s="99" t="str">
        <f>INDEX(Tableau5[Att3],MATCH(Tableau3[[#This Row],[ID-SIG]],Tableau5[ID],0))&amp;""</f>
        <v/>
      </c>
      <c r="O561" s="99"/>
      <c r="P561" s="99" t="str">
        <f>INDEX(Tableau5[Description],MATCH(Tableau3[[#This Row],[ID-SIG]],Tableau5[ID],0))</f>
        <v>Commande 1 fermeture</v>
      </c>
      <c r="Q561" s="99"/>
      <c r="R561" s="103" t="str">
        <f>Tableau3[[#This Row],[Description]]</f>
        <v>Commande 1 fermeture</v>
      </c>
      <c r="U561" s="87">
        <v>4</v>
      </c>
      <c r="V561" s="87">
        <v>1</v>
      </c>
      <c r="W561" s="87">
        <v>4</v>
      </c>
      <c r="X561" s="87">
        <v>7</v>
      </c>
      <c r="Y561" s="41"/>
      <c r="Z561" s="165" t="str">
        <f>INDEX(Tableau2[TS],MATCH(Tableau3[[#This Row],[ID-CARTEVOIE]],Tableau2[ID-CARTEVOIE],0))</f>
        <v>ST</v>
      </c>
      <c r="AA561" s="53" t="s">
        <v>213</v>
      </c>
      <c r="AB561" s="223" t="str">
        <f>IFERROR(INDEX(Tableau5[Reserve],MATCH(Tableau3[[#This Row],[ID-SIG]],Tableau5[ID],0))&amp;"","")</f>
        <v/>
      </c>
      <c r="AC561" s="21"/>
      <c r="AD561" s="108" t="str">
        <f>INDEX(Tableau7[Repere],MATCH(Tableau3[[#This Row],[ID-API]],Tableau7[ID-API],0))&amp;""</f>
        <v>A4</v>
      </c>
      <c r="AE561" s="108" t="str">
        <f>INDEX(Tableau1[Repere-Rack],MATCH(Tableau3[[#This Row],[ID-RACK]],Tableau1[ID-RACK],0))&amp;""</f>
        <v>R1</v>
      </c>
      <c r="AF561" s="108" t="str">
        <f>INDEX(Tableau1[Repere-Slot],MATCH(Tableau3[[#This Row],[ID-SLOT]],Tableau1[ID-SLOT],0))&amp;""</f>
        <v>S4</v>
      </c>
      <c r="AG561" s="108" t="str">
        <f>INDEX(Tableau2[Repere-Voie],MATCH(Tableau3[[#This Row],[ID-VOIE]],Tableau2[ID-Voie],0))&amp;""</f>
        <v>v7</v>
      </c>
      <c r="AH561" s="72" t="str">
        <f>Tableau3[[#This Row],[ID-API]]&amp; "." &amp;Tableau3[[#This Row],[ID-RACK]]&amp; "." &amp;Tableau3[[#This Row],[ID-SLOT]]</f>
        <v>4.1.4</v>
      </c>
      <c r="AI561" s="72" t="str">
        <f>INDEX(Tableau1[Ref-Carte],MATCH(Tableau3[[#This Row],[ID-RRS]],Tableau1[ID-RRS],0))</f>
        <v>SDO0802</v>
      </c>
      <c r="AJ561" s="72" t="str">
        <f t="array" ref="AJ561">IFERROR(INDEX(Tableau2[TS],MATCH(1,(Tableau2[Ref-Carte]=Tableau3[[#This Row],[Ref-Carte2]])*(Tableau2[ID-Voie]=Tableau3[[#This Row],[ID-VOIE]]),0)),"")</f>
        <v>ST</v>
      </c>
      <c r="AK561" s="72" t="str">
        <f>IFERROR(INDEX(Tableau2[TS],SUMPRODUCT((Tableau2[Ref-Carte]=Tableau3[[#This Row],[Ref-Carte2]])*(Tableau2[ID-Voie]=Tableau3[[#This Row],[ID-VOIE]])*ROW(Tableau2[TS]))-ROW(Tableau2[#Headers])),"")</f>
        <v>ST</v>
      </c>
      <c r="AL561" s="72" t="str">
        <f>Tableau3[[#This Row],[Ref-Carte2]]&amp;"/"&amp;Tableau3[[#This Row],[ID-VOIE]]</f>
        <v>SDO0802/7</v>
      </c>
      <c r="AM561" s="73" t="str">
        <f>INDEX(Tableau2[Borne],MATCH(Tableau3[[#This Row],[ID-CARTEVOIE]],Tableau2[ID-CARTEVOIE],0))&amp;""</f>
        <v>7</v>
      </c>
      <c r="AN561" s="74" t="str">
        <f>Tableau3[[#This Row],[ID-API]]&amp;Tableau3[[#This Row],[ID-RACK]]&amp;Tableau3[[#This Row],[ID-SLOT]]&amp;Tableau3[[#This Row],[BORNE]]</f>
        <v>4147</v>
      </c>
      <c r="AO561" s="1"/>
    </row>
    <row r="562" spans="1:41" ht="20.100000000000001" customHeight="1" thickTop="1" thickBot="1">
      <c r="A562" s="68"/>
      <c r="B562" s="69" t="str">
        <f>IFERROR(INDEX(Tableau4[Date],MATCH($A562,Tableau4[EVO],0)),"")</f>
        <v/>
      </c>
      <c r="C562" s="68" t="str">
        <f>IFERROR(INDEX(Tableau4[Designation],MATCH($A562,Tableau4[EVO],0)),"")</f>
        <v/>
      </c>
      <c r="D562" s="68"/>
      <c r="E562" s="70">
        <v>2</v>
      </c>
      <c r="F562" s="71">
        <v>112</v>
      </c>
      <c r="G562" s="101" t="str">
        <f>INDEX(Tableau8[Att1],MATCH(Tableau3[[#This Row],[ID-INS]],Tableau8[ID],0))&amp;""</f>
        <v>V3</v>
      </c>
      <c r="H562" s="101" t="str">
        <f>INDEX(Tableau8[Att2],MATCH(Tableau3[[#This Row],[ID-INS]],Tableau8[ID],0))&amp;""</f>
        <v>P2</v>
      </c>
      <c r="I562" s="101" t="str">
        <f>INDEX(Tableau8[Att3],MATCH(Tableau3[[#This Row],[ID-INS]],Tableau8[ID],0))&amp;""</f>
        <v>Portail P2</v>
      </c>
      <c r="J562" s="101"/>
      <c r="K562" s="167" t="str">
        <f>INDEX(Tableau8[Nom du modele],MATCH(Tableau3[[#This Row],[ID-INS]],Tableau8[ID],0))&amp;""</f>
        <v>PortailR1V_1</v>
      </c>
      <c r="L562" s="99" t="str">
        <f>INDEX(Tableau5[Att1],MATCH(Tableau3[[#This Row],[ID-SIG]],Tableau5[ID],0))&amp;""</f>
        <v>V1_GrpHydRet1</v>
      </c>
      <c r="M562" s="99" t="str">
        <f>INDEX(Tableau5[Att2],MATCH(Tableau3[[#This Row],[ID-SIG]],Tableau5[ID],0))&amp;""</f>
        <v/>
      </c>
      <c r="N562" s="99" t="str">
        <f>INDEX(Tableau5[Att3],MATCH(Tableau3[[#This Row],[ID-SIG]],Tableau5[ID],0))&amp;""</f>
        <v/>
      </c>
      <c r="O562" s="99"/>
      <c r="P562" s="99" t="str">
        <f>INDEX(Tableau5[Description],MATCH(Tableau3[[#This Row],[ID-SIG]],Tableau5[ID],0))</f>
        <v>Retour Commande de marche 1 du groupe hydraulique</v>
      </c>
      <c r="Q562" s="99"/>
      <c r="R562" s="103" t="str">
        <f>Tableau3[[#This Row],[Description]]</f>
        <v>Retour Commande de marche 1 du groupe hydraulique</v>
      </c>
      <c r="S562" s="52"/>
      <c r="U562" s="87">
        <v>4</v>
      </c>
      <c r="V562" s="87">
        <v>1</v>
      </c>
      <c r="W562" s="87">
        <v>5</v>
      </c>
      <c r="X562" s="87">
        <v>0</v>
      </c>
      <c r="Y562" s="40"/>
      <c r="Z562" s="165" t="str">
        <f>INDEX(Tableau2[TS],MATCH(Tableau3[[#This Row],[ID-CARTEVOIE]],Tableau2[ID-CARTEVOIE],0))</f>
        <v>ET</v>
      </c>
      <c r="AA562" s="53" t="s">
        <v>213</v>
      </c>
      <c r="AB562" s="223" t="str">
        <f>IFERROR(INDEX(Tableau5[Reserve],MATCH(Tableau3[[#This Row],[ID-SIG]],Tableau5[ID],0))&amp;"","")</f>
        <v/>
      </c>
      <c r="AC562" s="21"/>
      <c r="AD562" s="108" t="str">
        <f>INDEX(Tableau7[Repere],MATCH(Tableau3[[#This Row],[ID-API]],Tableau7[ID-API],0))&amp;""</f>
        <v>A4</v>
      </c>
      <c r="AE562" s="108" t="str">
        <f>INDEX(Tableau1[Repere-Rack],MATCH(Tableau3[[#This Row],[ID-RACK]],Tableau1[ID-RACK],0))&amp;""</f>
        <v>R1</v>
      </c>
      <c r="AF562" s="108" t="str">
        <f>INDEX(Tableau1[Repere-Slot],MATCH(Tableau3[[#This Row],[ID-SLOT]],Tableau1[ID-SLOT],0))&amp;""</f>
        <v>S5</v>
      </c>
      <c r="AG562" s="108" t="str">
        <f>INDEX(Tableau2[Repere-Voie],MATCH(Tableau3[[#This Row],[ID-VOIE]],Tableau2[ID-Voie],0))&amp;""</f>
        <v>v0</v>
      </c>
      <c r="AH562" s="72" t="str">
        <f>Tableau3[[#This Row],[ID-API]]&amp; "." &amp;Tableau3[[#This Row],[ID-RACK]]&amp; "." &amp;Tableau3[[#This Row],[ID-SLOT]]</f>
        <v>4.1.5</v>
      </c>
      <c r="AI562" s="72" t="str">
        <f>INDEX(Tableau1[Ref-Carte],MATCH(Tableau3[[#This Row],[ID-RRS]],Tableau1[ID-RRS],0))</f>
        <v>SDI1602</v>
      </c>
      <c r="AJ562" s="72" t="str">
        <f t="array" ref="AJ562">IFERROR(INDEX(Tableau2[TS],MATCH(1,(Tableau2[Ref-Carte]=Tableau3[[#This Row],[Ref-Carte2]])*(Tableau2[ID-Voie]=Tableau3[[#This Row],[ID-VOIE]]),0)),"")</f>
        <v>ET</v>
      </c>
      <c r="AK562" s="72" t="str">
        <f>IFERROR(INDEX(Tableau2[TS],SUMPRODUCT((Tableau2[Ref-Carte]=Tableau3[[#This Row],[Ref-Carte2]])*(Tableau2[ID-Voie]=Tableau3[[#This Row],[ID-VOIE]])*ROW(Tableau2[TS]))-ROW(Tableau2[#Headers])),"")</f>
        <v>ET</v>
      </c>
      <c r="AL562" s="72" t="str">
        <f>Tableau3[[#This Row],[Ref-Carte2]]&amp;"/"&amp;Tableau3[[#This Row],[ID-VOIE]]</f>
        <v>SDI1602/0</v>
      </c>
      <c r="AM562" s="73" t="str">
        <f>INDEX(Tableau2[Borne],MATCH(Tableau3[[#This Row],[ID-CARTEVOIE]],Tableau2[ID-CARTEVOIE],0))&amp;""</f>
        <v>0B</v>
      </c>
      <c r="AN562" s="74" t="str">
        <f>Tableau3[[#This Row],[ID-API]]&amp;Tableau3[[#This Row],[ID-RACK]]&amp;Tableau3[[#This Row],[ID-SLOT]]&amp;Tableau3[[#This Row],[BORNE]]</f>
        <v>4150B</v>
      </c>
      <c r="AO562" s="1"/>
    </row>
    <row r="563" spans="1:41" ht="20.100000000000001" customHeight="1" thickTop="1" thickBot="1">
      <c r="A563" s="68"/>
      <c r="B563" s="69" t="str">
        <f>IFERROR(INDEX(Tableau4[Date],MATCH($A563,Tableau4[EVO],0)),"")</f>
        <v/>
      </c>
      <c r="C563" s="68" t="str">
        <f>IFERROR(INDEX(Tableau4[Designation],MATCH($A563,Tableau4[EVO],0)),"")</f>
        <v/>
      </c>
      <c r="D563" s="68"/>
      <c r="E563" s="70">
        <v>2</v>
      </c>
      <c r="F563" s="71">
        <v>113</v>
      </c>
      <c r="G563" s="101" t="str">
        <f>INDEX(Tableau8[Att1],MATCH(Tableau3[[#This Row],[ID-INS]],Tableau8[ID],0))&amp;""</f>
        <v>V3</v>
      </c>
      <c r="H563" s="101" t="str">
        <f>INDEX(Tableau8[Att2],MATCH(Tableau3[[#This Row],[ID-INS]],Tableau8[ID],0))&amp;""</f>
        <v>P2</v>
      </c>
      <c r="I563" s="101" t="str">
        <f>INDEX(Tableau8[Att3],MATCH(Tableau3[[#This Row],[ID-INS]],Tableau8[ID],0))&amp;""</f>
        <v>Portail P2</v>
      </c>
      <c r="J563" s="101"/>
      <c r="K563" s="167" t="str">
        <f>INDEX(Tableau8[Nom du modele],MATCH(Tableau3[[#This Row],[ID-INS]],Tableau8[ID],0))&amp;""</f>
        <v>PortailR1V_1</v>
      </c>
      <c r="L563" s="99" t="str">
        <f>INDEX(Tableau5[Att1],MATCH(Tableau3[[#This Row],[ID-SIG]],Tableau5[ID],0))&amp;""</f>
        <v>V1_FerRet1</v>
      </c>
      <c r="M563" s="99" t="str">
        <f>INDEX(Tableau5[Att2],MATCH(Tableau3[[#This Row],[ID-SIG]],Tableau5[ID],0))&amp;""</f>
        <v/>
      </c>
      <c r="N563" s="99" t="str">
        <f>INDEX(Tableau5[Att3],MATCH(Tableau3[[#This Row],[ID-SIG]],Tableau5[ID],0))&amp;""</f>
        <v/>
      </c>
      <c r="O563" s="99"/>
      <c r="P563" s="99" t="str">
        <f>INDEX(Tableau5[Description],MATCH(Tableau3[[#This Row],[ID-SIG]],Tableau5[ID],0))</f>
        <v>Retour Commande de fermeture 1 du vantail 1</v>
      </c>
      <c r="Q563" s="99"/>
      <c r="R563" s="103" t="str">
        <f>Tableau3[[#This Row],[Description]]</f>
        <v>Retour Commande de fermeture 1 du vantail 1</v>
      </c>
      <c r="S563" s="52"/>
      <c r="U563" s="87">
        <v>4</v>
      </c>
      <c r="V563" s="87">
        <v>1</v>
      </c>
      <c r="W563" s="87">
        <v>5</v>
      </c>
      <c r="X563" s="87">
        <v>1</v>
      </c>
      <c r="Y563" s="40"/>
      <c r="Z563" s="165" t="str">
        <f>INDEX(Tableau2[TS],MATCH(Tableau3[[#This Row],[ID-CARTEVOIE]],Tableau2[ID-CARTEVOIE],0))</f>
        <v>ET</v>
      </c>
      <c r="AA563" s="53" t="s">
        <v>213</v>
      </c>
      <c r="AB563" s="223" t="str">
        <f>IFERROR(INDEX(Tableau5[Reserve],MATCH(Tableau3[[#This Row],[ID-SIG]],Tableau5[ID],0))&amp;"","")</f>
        <v/>
      </c>
      <c r="AC563" s="21"/>
      <c r="AD563" s="108" t="str">
        <f>INDEX(Tableau7[Repere],MATCH(Tableau3[[#This Row],[ID-API]],Tableau7[ID-API],0))&amp;""</f>
        <v>A4</v>
      </c>
      <c r="AE563" s="108" t="str">
        <f>INDEX(Tableau1[Repere-Rack],MATCH(Tableau3[[#This Row],[ID-RACK]],Tableau1[ID-RACK],0))&amp;""</f>
        <v>R1</v>
      </c>
      <c r="AF563" s="108" t="str">
        <f>INDEX(Tableau1[Repere-Slot],MATCH(Tableau3[[#This Row],[ID-SLOT]],Tableau1[ID-SLOT],0))&amp;""</f>
        <v>S5</v>
      </c>
      <c r="AG563" s="108" t="str">
        <f>INDEX(Tableau2[Repere-Voie],MATCH(Tableau3[[#This Row],[ID-VOIE]],Tableau2[ID-Voie],0))&amp;""</f>
        <v>v1</v>
      </c>
      <c r="AH563" s="72" t="str">
        <f>Tableau3[[#This Row],[ID-API]]&amp; "." &amp;Tableau3[[#This Row],[ID-RACK]]&amp; "." &amp;Tableau3[[#This Row],[ID-SLOT]]</f>
        <v>4.1.5</v>
      </c>
      <c r="AI563" s="72" t="str">
        <f>INDEX(Tableau1[Ref-Carte],MATCH(Tableau3[[#This Row],[ID-RRS]],Tableau1[ID-RRS],0))</f>
        <v>SDI1602</v>
      </c>
      <c r="AJ563" s="72" t="str">
        <f t="array" ref="AJ563">IFERROR(INDEX(Tableau2[TS],MATCH(1,(Tableau2[Ref-Carte]=Tableau3[[#This Row],[Ref-Carte2]])*(Tableau2[ID-Voie]=Tableau3[[#This Row],[ID-VOIE]]),0)),"")</f>
        <v>ET</v>
      </c>
      <c r="AK563" s="72" t="str">
        <f>IFERROR(INDEX(Tableau2[TS],SUMPRODUCT((Tableau2[Ref-Carte]=Tableau3[[#This Row],[Ref-Carte2]])*(Tableau2[ID-Voie]=Tableau3[[#This Row],[ID-VOIE]])*ROW(Tableau2[TS]))-ROW(Tableau2[#Headers])),"")</f>
        <v>ET</v>
      </c>
      <c r="AL563" s="72" t="str">
        <f>Tableau3[[#This Row],[Ref-Carte2]]&amp;"/"&amp;Tableau3[[#This Row],[ID-VOIE]]</f>
        <v>SDI1602/1</v>
      </c>
      <c r="AM563" s="73" t="str">
        <f>INDEX(Tableau2[Borne],MATCH(Tableau3[[#This Row],[ID-CARTEVOIE]],Tableau2[ID-CARTEVOIE],0))&amp;""</f>
        <v>0A</v>
      </c>
      <c r="AN563" s="74" t="str">
        <f>Tableau3[[#This Row],[ID-API]]&amp;Tableau3[[#This Row],[ID-RACK]]&amp;Tableau3[[#This Row],[ID-SLOT]]&amp;Tableau3[[#This Row],[BORNE]]</f>
        <v>4150A</v>
      </c>
      <c r="AO563" s="1"/>
    </row>
    <row r="564" spans="1:41" ht="20.100000000000001" customHeight="1" thickTop="1" thickBot="1">
      <c r="A564" s="68"/>
      <c r="B564" s="69" t="str">
        <f>IFERROR(INDEX(Tableau4[Date],MATCH($A564,Tableau4[EVO],0)),"")</f>
        <v/>
      </c>
      <c r="C564" s="68" t="str">
        <f>IFERROR(INDEX(Tableau4[Designation],MATCH($A564,Tableau4[EVO],0)),"")</f>
        <v/>
      </c>
      <c r="D564" s="68"/>
      <c r="E564" s="70">
        <v>2</v>
      </c>
      <c r="F564" s="71">
        <v>114</v>
      </c>
      <c r="G564" s="101" t="str">
        <f>INDEX(Tableau8[Att1],MATCH(Tableau3[[#This Row],[ID-INS]],Tableau8[ID],0))&amp;""</f>
        <v>V3</v>
      </c>
      <c r="H564" s="101" t="str">
        <f>INDEX(Tableau8[Att2],MATCH(Tableau3[[#This Row],[ID-INS]],Tableau8[ID],0))&amp;""</f>
        <v>P2</v>
      </c>
      <c r="I564" s="101" t="str">
        <f>INDEX(Tableau8[Att3],MATCH(Tableau3[[#This Row],[ID-INS]],Tableau8[ID],0))&amp;""</f>
        <v>Portail P2</v>
      </c>
      <c r="J564" s="101"/>
      <c r="K564" s="167" t="str">
        <f>INDEX(Tableau8[Nom du modele],MATCH(Tableau3[[#This Row],[ID-INS]],Tableau8[ID],0))&amp;""</f>
        <v>PortailR1V_1</v>
      </c>
      <c r="L564" s="155" t="s">
        <v>1685</v>
      </c>
      <c r="M564" s="99" t="str">
        <f>INDEX(Tableau5[Att2],MATCH(Tableau3[[#This Row],[ID-SIG]],Tableau5[ID],0))&amp;""</f>
        <v/>
      </c>
      <c r="N564" s="99" t="str">
        <f>INDEX(Tableau5[Att3],MATCH(Tableau3[[#This Row],[ID-SIG]],Tableau5[ID],0))&amp;""</f>
        <v/>
      </c>
      <c r="O564" s="99"/>
      <c r="P564" s="155" t="s">
        <v>1701</v>
      </c>
      <c r="Q564" s="99"/>
      <c r="R564" s="103" t="str">
        <f>Tableau3[[#This Row],[Description]]</f>
        <v>Portail P2 - Entrée Réserve 1</v>
      </c>
      <c r="S564" s="52"/>
      <c r="U564" s="87">
        <v>4</v>
      </c>
      <c r="V564" s="87">
        <v>1</v>
      </c>
      <c r="W564" s="87">
        <v>5</v>
      </c>
      <c r="X564" s="87">
        <v>2</v>
      </c>
      <c r="Y564" s="40"/>
      <c r="Z564" s="165" t="str">
        <f>INDEX(Tableau2[TS],MATCH(Tableau3[[#This Row],[ID-CARTEVOIE]],Tableau2[ID-CARTEVOIE],0))</f>
        <v>ET</v>
      </c>
      <c r="AA564" s="53" t="s">
        <v>213</v>
      </c>
      <c r="AB564" s="223" t="str">
        <f>IFERROR(INDEX(Tableau5[Reserve],MATCH(Tableau3[[#This Row],[ID-SIG]],Tableau5[ID],0))&amp;"","")</f>
        <v/>
      </c>
      <c r="AC564" s="21"/>
      <c r="AD564" s="108" t="str">
        <f>INDEX(Tableau7[Repere],MATCH(Tableau3[[#This Row],[ID-API]],Tableau7[ID-API],0))&amp;""</f>
        <v>A4</v>
      </c>
      <c r="AE564" s="108" t="str">
        <f>INDEX(Tableau1[Repere-Rack],MATCH(Tableau3[[#This Row],[ID-RACK]],Tableau1[ID-RACK],0))&amp;""</f>
        <v>R1</v>
      </c>
      <c r="AF564" s="108" t="str">
        <f>INDEX(Tableau1[Repere-Slot],MATCH(Tableau3[[#This Row],[ID-SLOT]],Tableau1[ID-SLOT],0))&amp;""</f>
        <v>S5</v>
      </c>
      <c r="AG564" s="108" t="str">
        <f>INDEX(Tableau2[Repere-Voie],MATCH(Tableau3[[#This Row],[ID-VOIE]],Tableau2[ID-Voie],0))&amp;""</f>
        <v>v2</v>
      </c>
      <c r="AH564" s="72" t="str">
        <f>Tableau3[[#This Row],[ID-API]]&amp; "." &amp;Tableau3[[#This Row],[ID-RACK]]&amp; "." &amp;Tableau3[[#This Row],[ID-SLOT]]</f>
        <v>4.1.5</v>
      </c>
      <c r="AI564" s="72" t="str">
        <f>INDEX(Tableau1[Ref-Carte],MATCH(Tableau3[[#This Row],[ID-RRS]],Tableau1[ID-RRS],0))</f>
        <v>SDI1602</v>
      </c>
      <c r="AJ564" s="72" t="str">
        <f t="array" ref="AJ564">IFERROR(INDEX(Tableau2[TS],MATCH(1,(Tableau2[Ref-Carte]=Tableau3[[#This Row],[Ref-Carte2]])*(Tableau2[ID-Voie]=Tableau3[[#This Row],[ID-VOIE]]),0)),"")</f>
        <v>ET</v>
      </c>
      <c r="AK564" s="72" t="str">
        <f>IFERROR(INDEX(Tableau2[TS],SUMPRODUCT((Tableau2[Ref-Carte]=Tableau3[[#This Row],[Ref-Carte2]])*(Tableau2[ID-Voie]=Tableau3[[#This Row],[ID-VOIE]])*ROW(Tableau2[TS]))-ROW(Tableau2[#Headers])),"")</f>
        <v>ET</v>
      </c>
      <c r="AL564" s="72" t="str">
        <f>Tableau3[[#This Row],[Ref-Carte2]]&amp;"/"&amp;Tableau3[[#This Row],[ID-VOIE]]</f>
        <v>SDI1602/2</v>
      </c>
      <c r="AM564" s="73" t="str">
        <f>INDEX(Tableau2[Borne],MATCH(Tableau3[[#This Row],[ID-CARTEVOIE]],Tableau2[ID-CARTEVOIE],0))&amp;""</f>
        <v>1B</v>
      </c>
      <c r="AN564" s="74" t="str">
        <f>Tableau3[[#This Row],[ID-API]]&amp;Tableau3[[#This Row],[ID-RACK]]&amp;Tableau3[[#This Row],[ID-SLOT]]&amp;Tableau3[[#This Row],[BORNE]]</f>
        <v>4151B</v>
      </c>
      <c r="AO564" s="1"/>
    </row>
    <row r="565" spans="1:41" ht="20.100000000000001" customHeight="1" thickTop="1" thickBot="1">
      <c r="A565" s="68"/>
      <c r="B565" s="69" t="str">
        <f>IFERROR(INDEX(Tableau4[Date],MATCH($A565,Tableau4[EVO],0)),"")</f>
        <v/>
      </c>
      <c r="C565" s="68" t="str">
        <f>IFERROR(INDEX(Tableau4[Designation],MATCH($A565,Tableau4[EVO],0)),"")</f>
        <v/>
      </c>
      <c r="D565" s="68"/>
      <c r="E565" s="70">
        <v>2</v>
      </c>
      <c r="F565" s="71">
        <v>115</v>
      </c>
      <c r="G565" s="101" t="str">
        <f>INDEX(Tableau8[Att1],MATCH(Tableau3[[#This Row],[ID-INS]],Tableau8[ID],0))&amp;""</f>
        <v>V3</v>
      </c>
      <c r="H565" s="101" t="str">
        <f>INDEX(Tableau8[Att2],MATCH(Tableau3[[#This Row],[ID-INS]],Tableau8[ID],0))&amp;""</f>
        <v>P2</v>
      </c>
      <c r="I565" s="101" t="str">
        <f>INDEX(Tableau8[Att3],MATCH(Tableau3[[#This Row],[ID-INS]],Tableau8[ID],0))&amp;""</f>
        <v>Portail P2</v>
      </c>
      <c r="J565" s="101"/>
      <c r="K565" s="167" t="str">
        <f>INDEX(Tableau8[Nom du modele],MATCH(Tableau3[[#This Row],[ID-INS]],Tableau8[ID],0))&amp;""</f>
        <v>PortailR1V_1</v>
      </c>
      <c r="L565" s="99" t="str">
        <f>INDEX(Tableau5[Att1],MATCH(Tableau3[[#This Row],[ID-SIG]],Tableau5[ID],0))&amp;""</f>
        <v>Réserve</v>
      </c>
      <c r="M565" s="99" t="str">
        <f>INDEX(Tableau5[Att2],MATCH(Tableau3[[#This Row],[ID-SIG]],Tableau5[ID],0))&amp;""</f>
        <v/>
      </c>
      <c r="N565" s="99" t="str">
        <f>INDEX(Tableau5[Att3],MATCH(Tableau3[[#This Row],[ID-SIG]],Tableau5[ID],0))&amp;""</f>
        <v/>
      </c>
      <c r="O565" s="99"/>
      <c r="P565" s="99" t="str">
        <f>INDEX(Tableau5[Description],MATCH(Tableau3[[#This Row],[ID-SIG]],Tableau5[ID],0))</f>
        <v xml:space="preserve">Réserve </v>
      </c>
      <c r="Q565" s="99"/>
      <c r="R565" s="103" t="str">
        <f>Tableau3[[#This Row],[Description]]</f>
        <v xml:space="preserve">Réserve </v>
      </c>
      <c r="S565" s="52"/>
      <c r="U565" s="87">
        <v>4</v>
      </c>
      <c r="V565" s="87">
        <v>1</v>
      </c>
      <c r="W565" s="87">
        <v>5</v>
      </c>
      <c r="X565" s="87">
        <v>3</v>
      </c>
      <c r="Y565" s="40"/>
      <c r="Z565" s="165" t="str">
        <f>INDEX(Tableau2[TS],MATCH(Tableau3[[#This Row],[ID-CARTEVOIE]],Tableau2[ID-CARTEVOIE],0))</f>
        <v>ET</v>
      </c>
      <c r="AA565" s="53" t="s">
        <v>213</v>
      </c>
      <c r="AB565" s="223" t="str">
        <f>IFERROR(INDEX(Tableau5[Reserve],MATCH(Tableau3[[#This Row],[ID-SIG]],Tableau5[ID],0))&amp;"","")</f>
        <v/>
      </c>
      <c r="AC565" s="21"/>
      <c r="AD565" s="108" t="str">
        <f>INDEX(Tableau7[Repere],MATCH(Tableau3[[#This Row],[ID-API]],Tableau7[ID-API],0))&amp;""</f>
        <v>A4</v>
      </c>
      <c r="AE565" s="108" t="str">
        <f>INDEX(Tableau1[Repere-Rack],MATCH(Tableau3[[#This Row],[ID-RACK]],Tableau1[ID-RACK],0))&amp;""</f>
        <v>R1</v>
      </c>
      <c r="AF565" s="108" t="str">
        <f>INDEX(Tableau1[Repere-Slot],MATCH(Tableau3[[#This Row],[ID-SLOT]],Tableau1[ID-SLOT],0))&amp;""</f>
        <v>S5</v>
      </c>
      <c r="AG565" s="108" t="str">
        <f>INDEX(Tableau2[Repere-Voie],MATCH(Tableau3[[#This Row],[ID-VOIE]],Tableau2[ID-Voie],0))&amp;""</f>
        <v>v3</v>
      </c>
      <c r="AH565" s="72" t="str">
        <f>Tableau3[[#This Row],[ID-API]]&amp; "." &amp;Tableau3[[#This Row],[ID-RACK]]&amp; "." &amp;Tableau3[[#This Row],[ID-SLOT]]</f>
        <v>4.1.5</v>
      </c>
      <c r="AI565" s="72" t="str">
        <f>INDEX(Tableau1[Ref-Carte],MATCH(Tableau3[[#This Row],[ID-RRS]],Tableau1[ID-RRS],0))</f>
        <v>SDI1602</v>
      </c>
      <c r="AJ565" s="72" t="str">
        <f t="array" ref="AJ565">IFERROR(INDEX(Tableau2[TS],MATCH(1,(Tableau2[Ref-Carte]=Tableau3[[#This Row],[Ref-Carte2]])*(Tableau2[ID-Voie]=Tableau3[[#This Row],[ID-VOIE]]),0)),"")</f>
        <v>ET</v>
      </c>
      <c r="AK565" s="72" t="str">
        <f>IFERROR(INDEX(Tableau2[TS],SUMPRODUCT((Tableau2[Ref-Carte]=Tableau3[[#This Row],[Ref-Carte2]])*(Tableau2[ID-Voie]=Tableau3[[#This Row],[ID-VOIE]])*ROW(Tableau2[TS]))-ROW(Tableau2[#Headers])),"")</f>
        <v>ET</v>
      </c>
      <c r="AL565" s="72" t="str">
        <f>Tableau3[[#This Row],[Ref-Carte2]]&amp;"/"&amp;Tableau3[[#This Row],[ID-VOIE]]</f>
        <v>SDI1602/3</v>
      </c>
      <c r="AM565" s="73" t="str">
        <f>INDEX(Tableau2[Borne],MATCH(Tableau3[[#This Row],[ID-CARTEVOIE]],Tableau2[ID-CARTEVOIE],0))&amp;""</f>
        <v>1A</v>
      </c>
      <c r="AN565" s="74" t="str">
        <f>Tableau3[[#This Row],[ID-API]]&amp;Tableau3[[#This Row],[ID-RACK]]&amp;Tableau3[[#This Row],[ID-SLOT]]&amp;Tableau3[[#This Row],[BORNE]]</f>
        <v>4151A</v>
      </c>
      <c r="AO565" s="1"/>
    </row>
    <row r="566" spans="1:41" ht="20.100000000000001" customHeight="1" thickTop="1" thickBot="1">
      <c r="A566" s="68"/>
      <c r="B566" s="69" t="str">
        <f>IFERROR(INDEX(Tableau4[Date],MATCH($A566,Tableau4[EVO],0)),"")</f>
        <v/>
      </c>
      <c r="C566" s="68" t="str">
        <f>IFERROR(INDEX(Tableau4[Designation],MATCH($A566,Tableau4[EVO],0)),"")</f>
        <v/>
      </c>
      <c r="D566" s="68"/>
      <c r="E566" s="70">
        <v>2</v>
      </c>
      <c r="F566" s="71">
        <v>124</v>
      </c>
      <c r="G566" s="101" t="str">
        <f>INDEX(Tableau8[Att1],MATCH(Tableau3[[#This Row],[ID-INS]],Tableau8[ID],0))&amp;""</f>
        <v>V3</v>
      </c>
      <c r="H566" s="101" t="str">
        <f>INDEX(Tableau8[Att2],MATCH(Tableau3[[#This Row],[ID-INS]],Tableau8[ID],0))&amp;""</f>
        <v>P2</v>
      </c>
      <c r="I566" s="101" t="str">
        <f>INDEX(Tableau8[Att3],MATCH(Tableau3[[#This Row],[ID-INS]],Tableau8[ID],0))&amp;""</f>
        <v>Portail P2</v>
      </c>
      <c r="J566" s="101"/>
      <c r="K566" s="167" t="str">
        <f>INDEX(Tableau8[Nom du modele],MATCH(Tableau3[[#This Row],[ID-INS]],Tableau8[ID],0))&amp;""</f>
        <v>PortailR1V_1</v>
      </c>
      <c r="L566" s="99" t="str">
        <f>INDEX(Tableau5[Att1],MATCH(Tableau3[[#This Row],[ID-SIG]],Tableau5[ID],0))&amp;""</f>
        <v>V_Ouv</v>
      </c>
      <c r="M566" s="99" t="str">
        <f>INDEX(Tableau5[Att2],MATCH(Tableau3[[#This Row],[ID-SIG]],Tableau5[ID],0))&amp;""</f>
        <v/>
      </c>
      <c r="N566" s="99" t="str">
        <f>INDEX(Tableau5[Att3],MATCH(Tableau3[[#This Row],[ID-SIG]],Tableau5[ID],0))&amp;""</f>
        <v/>
      </c>
      <c r="O566" s="99"/>
      <c r="P566" s="99" t="str">
        <f>INDEX(Tableau5[Description],MATCH(Tableau3[[#This Row],[ID-SIG]],Tableau5[ID],0))</f>
        <v>Ventail en fdc Ouvert</v>
      </c>
      <c r="Q566" s="99"/>
      <c r="R566" s="103" t="str">
        <f>Tableau3[[#This Row],[Description]]</f>
        <v>Ventail en fdc Ouvert</v>
      </c>
      <c r="S566" s="52"/>
      <c r="U566" s="87">
        <v>4</v>
      </c>
      <c r="V566" s="87">
        <v>1</v>
      </c>
      <c r="W566" s="87">
        <v>5</v>
      </c>
      <c r="X566" s="87">
        <v>4</v>
      </c>
      <c r="Y566" s="40"/>
      <c r="Z566" s="165" t="str">
        <f>INDEX(Tableau2[TS],MATCH(Tableau3[[#This Row],[ID-CARTEVOIE]],Tableau2[ID-CARTEVOIE],0))</f>
        <v>ET</v>
      </c>
      <c r="AA566" s="53" t="s">
        <v>213</v>
      </c>
      <c r="AB566" s="223" t="str">
        <f>IFERROR(INDEX(Tableau5[Reserve],MATCH(Tableau3[[#This Row],[ID-SIG]],Tableau5[ID],0))&amp;"","")</f>
        <v/>
      </c>
      <c r="AC566" s="21"/>
      <c r="AD566" s="108" t="str">
        <f>INDEX(Tableau7[Repere],MATCH(Tableau3[[#This Row],[ID-API]],Tableau7[ID-API],0))&amp;""</f>
        <v>A4</v>
      </c>
      <c r="AE566" s="108" t="str">
        <f>INDEX(Tableau1[Repere-Rack],MATCH(Tableau3[[#This Row],[ID-RACK]],Tableau1[ID-RACK],0))&amp;""</f>
        <v>R1</v>
      </c>
      <c r="AF566" s="108" t="str">
        <f>INDEX(Tableau1[Repere-Slot],MATCH(Tableau3[[#This Row],[ID-SLOT]],Tableau1[ID-SLOT],0))&amp;""</f>
        <v>S5</v>
      </c>
      <c r="AG566" s="108" t="str">
        <f>INDEX(Tableau2[Repere-Voie],MATCH(Tableau3[[#This Row],[ID-VOIE]],Tableau2[ID-Voie],0))&amp;""</f>
        <v>v4</v>
      </c>
      <c r="AH566" s="72" t="str">
        <f>Tableau3[[#This Row],[ID-API]]&amp; "." &amp;Tableau3[[#This Row],[ID-RACK]]&amp; "." &amp;Tableau3[[#This Row],[ID-SLOT]]</f>
        <v>4.1.5</v>
      </c>
      <c r="AI566" s="72" t="str">
        <f>INDEX(Tableau1[Ref-Carte],MATCH(Tableau3[[#This Row],[ID-RRS]],Tableau1[ID-RRS],0))</f>
        <v>SDI1602</v>
      </c>
      <c r="AJ566" s="72" t="str">
        <f t="array" ref="AJ566">IFERROR(INDEX(Tableau2[TS],MATCH(1,(Tableau2[Ref-Carte]=Tableau3[[#This Row],[Ref-Carte2]])*(Tableau2[ID-Voie]=Tableau3[[#This Row],[ID-VOIE]]),0)),"")</f>
        <v>ET</v>
      </c>
      <c r="AK566" s="72" t="str">
        <f>IFERROR(INDEX(Tableau2[TS],SUMPRODUCT((Tableau2[Ref-Carte]=Tableau3[[#This Row],[Ref-Carte2]])*(Tableau2[ID-Voie]=Tableau3[[#This Row],[ID-VOIE]])*ROW(Tableau2[TS]))-ROW(Tableau2[#Headers])),"")</f>
        <v>ET</v>
      </c>
      <c r="AL566" s="72" t="str">
        <f>Tableau3[[#This Row],[Ref-Carte2]]&amp;"/"&amp;Tableau3[[#This Row],[ID-VOIE]]</f>
        <v>SDI1602/4</v>
      </c>
      <c r="AM566" s="73" t="str">
        <f>INDEX(Tableau2[Borne],MATCH(Tableau3[[#This Row],[ID-CARTEVOIE]],Tableau2[ID-CARTEVOIE],0))&amp;""</f>
        <v>2B</v>
      </c>
      <c r="AN566" s="74" t="str">
        <f>Tableau3[[#This Row],[ID-API]]&amp;Tableau3[[#This Row],[ID-RACK]]&amp;Tableau3[[#This Row],[ID-SLOT]]&amp;Tableau3[[#This Row],[BORNE]]</f>
        <v>4152B</v>
      </c>
      <c r="AO566" s="1"/>
    </row>
    <row r="567" spans="1:41" ht="20.100000000000001" customHeight="1" thickTop="1" thickBot="1">
      <c r="A567" s="68"/>
      <c r="B567" s="69" t="str">
        <f>IFERROR(INDEX(Tableau4[Date],MATCH($A567,Tableau4[EVO],0)),"")</f>
        <v/>
      </c>
      <c r="C567" s="68" t="str">
        <f>IFERROR(INDEX(Tableau4[Designation],MATCH($A567,Tableau4[EVO],0)),"")</f>
        <v/>
      </c>
      <c r="D567" s="68"/>
      <c r="E567" s="70">
        <v>2</v>
      </c>
      <c r="F567" s="71">
        <v>125</v>
      </c>
      <c r="G567" s="101" t="str">
        <f>INDEX(Tableau8[Att1],MATCH(Tableau3[[#This Row],[ID-INS]],Tableau8[ID],0))&amp;""</f>
        <v>V3</v>
      </c>
      <c r="H567" s="101" t="str">
        <f>INDEX(Tableau8[Att2],MATCH(Tableau3[[#This Row],[ID-INS]],Tableau8[ID],0))&amp;""</f>
        <v>P2</v>
      </c>
      <c r="I567" s="101" t="str">
        <f>INDEX(Tableau8[Att3],MATCH(Tableau3[[#This Row],[ID-INS]],Tableau8[ID],0))&amp;""</f>
        <v>Portail P2</v>
      </c>
      <c r="J567" s="101"/>
      <c r="K567" s="167" t="str">
        <f>INDEX(Tableau8[Nom du modele],MATCH(Tableau3[[#This Row],[ID-INS]],Tableau8[ID],0))&amp;""</f>
        <v>PortailR1V_1</v>
      </c>
      <c r="L567" s="99" t="str">
        <f>INDEX(Tableau5[Att1],MATCH(Tableau3[[#This Row],[ID-SIG]],Tableau5[ID],0))&amp;""</f>
        <v>V1_Fer1</v>
      </c>
      <c r="M567" s="99" t="str">
        <f>INDEX(Tableau5[Att2],MATCH(Tableau3[[#This Row],[ID-SIG]],Tableau5[ID],0))&amp;""</f>
        <v/>
      </c>
      <c r="N567" s="99" t="str">
        <f>INDEX(Tableau5[Att3],MATCH(Tableau3[[#This Row],[ID-SIG]],Tableau5[ID],0))&amp;""</f>
        <v/>
      </c>
      <c r="O567" s="99"/>
      <c r="P567" s="99" t="str">
        <f>INDEX(Tableau5[Description],MATCH(Tableau3[[#This Row],[ID-SIG]],Tableau5[ID],0))</f>
        <v>Vantail 1 en fdc Fermé 1</v>
      </c>
      <c r="Q567" s="99"/>
      <c r="R567" s="103" t="str">
        <f>Tableau3[[#This Row],[Description]]</f>
        <v>Vantail 1 en fdc Fermé 1</v>
      </c>
      <c r="S567" s="52"/>
      <c r="U567" s="87">
        <v>4</v>
      </c>
      <c r="V567" s="87">
        <v>1</v>
      </c>
      <c r="W567" s="87">
        <v>5</v>
      </c>
      <c r="X567" s="87">
        <v>5</v>
      </c>
      <c r="Y567" s="40"/>
      <c r="Z567" s="165" t="str">
        <f>INDEX(Tableau2[TS],MATCH(Tableau3[[#This Row],[ID-CARTEVOIE]],Tableau2[ID-CARTEVOIE],0))</f>
        <v>ET</v>
      </c>
      <c r="AA567" s="53" t="s">
        <v>213</v>
      </c>
      <c r="AB567" s="223" t="str">
        <f>IFERROR(INDEX(Tableau5[Reserve],MATCH(Tableau3[[#This Row],[ID-SIG]],Tableau5[ID],0))&amp;"","")</f>
        <v/>
      </c>
      <c r="AC567" s="21"/>
      <c r="AD567" s="108" t="str">
        <f>INDEX(Tableau7[Repere],MATCH(Tableau3[[#This Row],[ID-API]],Tableau7[ID-API],0))&amp;""</f>
        <v>A4</v>
      </c>
      <c r="AE567" s="108" t="str">
        <f>INDEX(Tableau1[Repere-Rack],MATCH(Tableau3[[#This Row],[ID-RACK]],Tableau1[ID-RACK],0))&amp;""</f>
        <v>R1</v>
      </c>
      <c r="AF567" s="108" t="str">
        <f>INDEX(Tableau1[Repere-Slot],MATCH(Tableau3[[#This Row],[ID-SLOT]],Tableau1[ID-SLOT],0))&amp;""</f>
        <v>S5</v>
      </c>
      <c r="AG567" s="108" t="str">
        <f>INDEX(Tableau2[Repere-Voie],MATCH(Tableau3[[#This Row],[ID-VOIE]],Tableau2[ID-Voie],0))&amp;""</f>
        <v>v5</v>
      </c>
      <c r="AH567" s="72" t="str">
        <f>Tableau3[[#This Row],[ID-API]]&amp; "." &amp;Tableau3[[#This Row],[ID-RACK]]&amp; "." &amp;Tableau3[[#This Row],[ID-SLOT]]</f>
        <v>4.1.5</v>
      </c>
      <c r="AI567" s="72" t="str">
        <f>INDEX(Tableau1[Ref-Carte],MATCH(Tableau3[[#This Row],[ID-RRS]],Tableau1[ID-RRS],0))</f>
        <v>SDI1602</v>
      </c>
      <c r="AJ567" s="72" t="str">
        <f t="array" ref="AJ567">IFERROR(INDEX(Tableau2[TS],MATCH(1,(Tableau2[Ref-Carte]=Tableau3[[#This Row],[Ref-Carte2]])*(Tableau2[ID-Voie]=Tableau3[[#This Row],[ID-VOIE]]),0)),"")</f>
        <v>ET</v>
      </c>
      <c r="AK567" s="72" t="str">
        <f>IFERROR(INDEX(Tableau2[TS],SUMPRODUCT((Tableau2[Ref-Carte]=Tableau3[[#This Row],[Ref-Carte2]])*(Tableau2[ID-Voie]=Tableau3[[#This Row],[ID-VOIE]])*ROW(Tableau2[TS]))-ROW(Tableau2[#Headers])),"")</f>
        <v>ET</v>
      </c>
      <c r="AL567" s="72" t="str">
        <f>Tableau3[[#This Row],[Ref-Carte2]]&amp;"/"&amp;Tableau3[[#This Row],[ID-VOIE]]</f>
        <v>SDI1602/5</v>
      </c>
      <c r="AM567" s="73" t="str">
        <f>INDEX(Tableau2[Borne],MATCH(Tableau3[[#This Row],[ID-CARTEVOIE]],Tableau2[ID-CARTEVOIE],0))&amp;""</f>
        <v>2A</v>
      </c>
      <c r="AN567" s="74" t="str">
        <f>Tableau3[[#This Row],[ID-API]]&amp;Tableau3[[#This Row],[ID-RACK]]&amp;Tableau3[[#This Row],[ID-SLOT]]&amp;Tableau3[[#This Row],[BORNE]]</f>
        <v>4152A</v>
      </c>
      <c r="AO567" s="1"/>
    </row>
    <row r="568" spans="1:41" ht="20.100000000000001" customHeight="1" thickTop="1" thickBot="1">
      <c r="A568" s="68"/>
      <c r="B568" s="69" t="str">
        <f>IFERROR(INDEX(Tableau4[Date],MATCH($A568,Tableau4[EVO],0)),"")</f>
        <v/>
      </c>
      <c r="C568" s="68" t="str">
        <f>IFERROR(INDEX(Tableau4[Designation],MATCH($A568,Tableau4[EVO],0)),"")</f>
        <v/>
      </c>
      <c r="D568" s="68"/>
      <c r="E568" s="70">
        <v>2</v>
      </c>
      <c r="F568" s="71">
        <v>126</v>
      </c>
      <c r="G568" s="101" t="str">
        <f>INDEX(Tableau8[Att1],MATCH(Tableau3[[#This Row],[ID-INS]],Tableau8[ID],0))&amp;""</f>
        <v>V3</v>
      </c>
      <c r="H568" s="101" t="str">
        <f>INDEX(Tableau8[Att2],MATCH(Tableau3[[#This Row],[ID-INS]],Tableau8[ID],0))&amp;""</f>
        <v>P2</v>
      </c>
      <c r="I568" s="101" t="str">
        <f>INDEX(Tableau8[Att3],MATCH(Tableau3[[#This Row],[ID-INS]],Tableau8[ID],0))&amp;""</f>
        <v>Portail P2</v>
      </c>
      <c r="J568" s="101"/>
      <c r="K568" s="167" t="str">
        <f>INDEX(Tableau8[Nom du modele],MATCH(Tableau3[[#This Row],[ID-INS]],Tableau8[ID],0))&amp;""</f>
        <v>PortailR1V_1</v>
      </c>
      <c r="L568" s="99" t="str">
        <f>INDEX(Tableau5[Att1],MATCH(Tableau3[[#This Row],[ID-SIG]],Tableau5[ID],0))&amp;""</f>
        <v>V1_OuvProtect</v>
      </c>
      <c r="M568" s="99" t="str">
        <f>INDEX(Tableau5[Att2],MATCH(Tableau3[[#This Row],[ID-SIG]],Tableau5[ID],0))&amp;""</f>
        <v/>
      </c>
      <c r="N568" s="99" t="str">
        <f>INDEX(Tableau5[Att3],MATCH(Tableau3[[#This Row],[ID-SIG]],Tableau5[ID],0))&amp;""</f>
        <v/>
      </c>
      <c r="O568" s="99"/>
      <c r="P568" s="99" t="str">
        <f>INDEX(Tableau5[Description],MATCH(Tableau3[[#This Row],[ID-SIG]],Tableau5[ID],0))</f>
        <v>Protection à l'ouverture par bande palpeuse</v>
      </c>
      <c r="Q568" s="99"/>
      <c r="R568" s="103" t="str">
        <f>Tableau3[[#This Row],[Description]]</f>
        <v>Protection à l'ouverture par bande palpeuse</v>
      </c>
      <c r="S568" s="52"/>
      <c r="U568" s="87">
        <v>4</v>
      </c>
      <c r="V568" s="87">
        <v>1</v>
      </c>
      <c r="W568" s="87">
        <v>5</v>
      </c>
      <c r="X568" s="87">
        <v>6</v>
      </c>
      <c r="Y568" s="40"/>
      <c r="Z568" s="165" t="str">
        <f>INDEX(Tableau2[TS],MATCH(Tableau3[[#This Row],[ID-CARTEVOIE]],Tableau2[ID-CARTEVOIE],0))</f>
        <v>ET</v>
      </c>
      <c r="AA568" s="53" t="s">
        <v>213</v>
      </c>
      <c r="AB568" s="223" t="str">
        <f>IFERROR(INDEX(Tableau5[Reserve],MATCH(Tableau3[[#This Row],[ID-SIG]],Tableau5[ID],0))&amp;"","")</f>
        <v/>
      </c>
      <c r="AC568" s="21"/>
      <c r="AD568" s="108" t="str">
        <f>INDEX(Tableau7[Repere],MATCH(Tableau3[[#This Row],[ID-API]],Tableau7[ID-API],0))&amp;""</f>
        <v>A4</v>
      </c>
      <c r="AE568" s="108" t="str">
        <f>INDEX(Tableau1[Repere-Rack],MATCH(Tableau3[[#This Row],[ID-RACK]],Tableau1[ID-RACK],0))&amp;""</f>
        <v>R1</v>
      </c>
      <c r="AF568" s="108" t="str">
        <f>INDEX(Tableau1[Repere-Slot],MATCH(Tableau3[[#This Row],[ID-SLOT]],Tableau1[ID-SLOT],0))&amp;""</f>
        <v>S5</v>
      </c>
      <c r="AG568" s="108" t="str">
        <f>INDEX(Tableau2[Repere-Voie],MATCH(Tableau3[[#This Row],[ID-VOIE]],Tableau2[ID-Voie],0))&amp;""</f>
        <v>v6</v>
      </c>
      <c r="AH568" s="72" t="str">
        <f>Tableau3[[#This Row],[ID-API]]&amp; "." &amp;Tableau3[[#This Row],[ID-RACK]]&amp; "." &amp;Tableau3[[#This Row],[ID-SLOT]]</f>
        <v>4.1.5</v>
      </c>
      <c r="AI568" s="72" t="str">
        <f>INDEX(Tableau1[Ref-Carte],MATCH(Tableau3[[#This Row],[ID-RRS]],Tableau1[ID-RRS],0))</f>
        <v>SDI1602</v>
      </c>
      <c r="AJ568" s="72" t="str">
        <f t="array" ref="AJ568">IFERROR(INDEX(Tableau2[TS],MATCH(1,(Tableau2[Ref-Carte]=Tableau3[[#This Row],[Ref-Carte2]])*(Tableau2[ID-Voie]=Tableau3[[#This Row],[ID-VOIE]]),0)),"")</f>
        <v>ET</v>
      </c>
      <c r="AK568" s="72" t="str">
        <f>IFERROR(INDEX(Tableau2[TS],SUMPRODUCT((Tableau2[Ref-Carte]=Tableau3[[#This Row],[Ref-Carte2]])*(Tableau2[ID-Voie]=Tableau3[[#This Row],[ID-VOIE]])*ROW(Tableau2[TS]))-ROW(Tableau2[#Headers])),"")</f>
        <v>ET</v>
      </c>
      <c r="AL568" s="72" t="str">
        <f>Tableau3[[#This Row],[Ref-Carte2]]&amp;"/"&amp;Tableau3[[#This Row],[ID-VOIE]]</f>
        <v>SDI1602/6</v>
      </c>
      <c r="AM568" s="73" t="str">
        <f>INDEX(Tableau2[Borne],MATCH(Tableau3[[#This Row],[ID-CARTEVOIE]],Tableau2[ID-CARTEVOIE],0))&amp;""</f>
        <v>3B</v>
      </c>
      <c r="AN568" s="74" t="str">
        <f>Tableau3[[#This Row],[ID-API]]&amp;Tableau3[[#This Row],[ID-RACK]]&amp;Tableau3[[#This Row],[ID-SLOT]]&amp;Tableau3[[#This Row],[BORNE]]</f>
        <v>4153B</v>
      </c>
      <c r="AO568" s="1"/>
    </row>
    <row r="569" spans="1:41" ht="20.100000000000001" customHeight="1" thickTop="1" thickBot="1">
      <c r="A569" s="68"/>
      <c r="B569" s="69" t="str">
        <f>IFERROR(INDEX(Tableau4[Date],MATCH($A569,Tableau4[EVO],0)),"")</f>
        <v/>
      </c>
      <c r="C569" s="68" t="str">
        <f>IFERROR(INDEX(Tableau4[Designation],MATCH($A569,Tableau4[EVO],0)),"")</f>
        <v/>
      </c>
      <c r="D569" s="68">
        <v>1</v>
      </c>
      <c r="E569" s="70">
        <v>2</v>
      </c>
      <c r="F569" s="71">
        <v>127</v>
      </c>
      <c r="G569" s="101" t="str">
        <f>INDEX(Tableau8[Att1],MATCH(Tableau3[[#This Row],[ID-INS]],Tableau8[ID],0))&amp;""</f>
        <v>V3</v>
      </c>
      <c r="H569" s="101" t="str">
        <f>INDEX(Tableau8[Att2],MATCH(Tableau3[[#This Row],[ID-INS]],Tableau8[ID],0))&amp;""</f>
        <v>P2</v>
      </c>
      <c r="I569" s="101" t="str">
        <f>INDEX(Tableau8[Att3],MATCH(Tableau3[[#This Row],[ID-INS]],Tableau8[ID],0))&amp;""</f>
        <v>Portail P2</v>
      </c>
      <c r="J569" s="101"/>
      <c r="K569" s="167" t="str">
        <f>INDEX(Tableau8[Nom du modele],MATCH(Tableau3[[#This Row],[ID-INS]],Tableau8[ID],0))&amp;""</f>
        <v>PortailR1V_1</v>
      </c>
      <c r="L569" s="99" t="str">
        <f>INDEX(Tableau5[Att1],MATCH(Tableau3[[#This Row],[ID-SIG]],Tableau5[ID],0))&amp;""</f>
        <v>V1_OuvFerProtectBarrage</v>
      </c>
      <c r="M569" s="99" t="str">
        <f>INDEX(Tableau5[Att2],MATCH(Tableau3[[#This Row],[ID-SIG]],Tableau5[ID],0))&amp;""</f>
        <v/>
      </c>
      <c r="N569" s="99" t="str">
        <f>INDEX(Tableau5[Att3],MATCH(Tableau3[[#This Row],[ID-SIG]],Tableau5[ID],0))&amp;""</f>
        <v/>
      </c>
      <c r="O569" s="99"/>
      <c r="P569" s="99" t="str">
        <f>INDEX(Tableau5[Description],MATCH(Tableau3[[#This Row],[ID-SIG]],Tableau5[ID],0))</f>
        <v>Protection à fermeture et ouverture par cellule</v>
      </c>
      <c r="Q569" s="99"/>
      <c r="R569" s="103" t="str">
        <f>Tableau3[[#This Row],[Description]]</f>
        <v>Protection à fermeture et ouverture par cellule</v>
      </c>
      <c r="S569" s="52"/>
      <c r="U569" s="87">
        <v>4</v>
      </c>
      <c r="V569" s="87">
        <v>1</v>
      </c>
      <c r="W569" s="87">
        <v>5</v>
      </c>
      <c r="X569" s="87">
        <v>7</v>
      </c>
      <c r="Y569" s="40"/>
      <c r="Z569" s="165" t="str">
        <f>INDEX(Tableau2[TS],MATCH(Tableau3[[#This Row],[ID-CARTEVOIE]],Tableau2[ID-CARTEVOIE],0))</f>
        <v>ET</v>
      </c>
      <c r="AA569" s="53" t="s">
        <v>213</v>
      </c>
      <c r="AB569" s="223" t="str">
        <f>IFERROR(INDEX(Tableau5[Reserve],MATCH(Tableau3[[#This Row],[ID-SIG]],Tableau5[ID],0))&amp;"","")</f>
        <v/>
      </c>
      <c r="AC569" s="21"/>
      <c r="AD569" s="108" t="str">
        <f>INDEX(Tableau7[Repere],MATCH(Tableau3[[#This Row],[ID-API]],Tableau7[ID-API],0))&amp;""</f>
        <v>A4</v>
      </c>
      <c r="AE569" s="108" t="str">
        <f>INDEX(Tableau1[Repere-Rack],MATCH(Tableau3[[#This Row],[ID-RACK]],Tableau1[ID-RACK],0))&amp;""</f>
        <v>R1</v>
      </c>
      <c r="AF569" s="108" t="str">
        <f>INDEX(Tableau1[Repere-Slot],MATCH(Tableau3[[#This Row],[ID-SLOT]],Tableau1[ID-SLOT],0))&amp;""</f>
        <v>S5</v>
      </c>
      <c r="AG569" s="108" t="str">
        <f>INDEX(Tableau2[Repere-Voie],MATCH(Tableau3[[#This Row],[ID-VOIE]],Tableau2[ID-Voie],0))&amp;""</f>
        <v>v7</v>
      </c>
      <c r="AH569" s="72" t="str">
        <f>Tableau3[[#This Row],[ID-API]]&amp; "." &amp;Tableau3[[#This Row],[ID-RACK]]&amp; "." &amp;Tableau3[[#This Row],[ID-SLOT]]</f>
        <v>4.1.5</v>
      </c>
      <c r="AI569" s="72" t="str">
        <f>INDEX(Tableau1[Ref-Carte],MATCH(Tableau3[[#This Row],[ID-RRS]],Tableau1[ID-RRS],0))</f>
        <v>SDI1602</v>
      </c>
      <c r="AJ569" s="72" t="str">
        <f t="array" ref="AJ569">IFERROR(INDEX(Tableau2[TS],MATCH(1,(Tableau2[Ref-Carte]=Tableau3[[#This Row],[Ref-Carte2]])*(Tableau2[ID-Voie]=Tableau3[[#This Row],[ID-VOIE]]),0)),"")</f>
        <v>ET</v>
      </c>
      <c r="AK569" s="72" t="str">
        <f>IFERROR(INDEX(Tableau2[TS],SUMPRODUCT((Tableau2[Ref-Carte]=Tableau3[[#This Row],[Ref-Carte2]])*(Tableau2[ID-Voie]=Tableau3[[#This Row],[ID-VOIE]])*ROW(Tableau2[TS]))-ROW(Tableau2[#Headers])),"")</f>
        <v>ET</v>
      </c>
      <c r="AL569" s="72" t="str">
        <f>Tableau3[[#This Row],[Ref-Carte2]]&amp;"/"&amp;Tableau3[[#This Row],[ID-VOIE]]</f>
        <v>SDI1602/7</v>
      </c>
      <c r="AM569" s="73" t="str">
        <f>INDEX(Tableau2[Borne],MATCH(Tableau3[[#This Row],[ID-CARTEVOIE]],Tableau2[ID-CARTEVOIE],0))&amp;""</f>
        <v>3A</v>
      </c>
      <c r="AN569" s="74" t="str">
        <f>Tableau3[[#This Row],[ID-API]]&amp;Tableau3[[#This Row],[ID-RACK]]&amp;Tableau3[[#This Row],[ID-SLOT]]&amp;Tableau3[[#This Row],[BORNE]]</f>
        <v>4153A</v>
      </c>
      <c r="AO569" s="1"/>
    </row>
    <row r="570" spans="1:41" ht="20.100000000000001" customHeight="1" thickTop="1" thickBot="1">
      <c r="A570" s="68"/>
      <c r="B570" s="69" t="str">
        <f>IFERROR(INDEX(Tableau4[Date],MATCH($A570,Tableau4[EVO],0)),"")</f>
        <v/>
      </c>
      <c r="C570" s="68" t="str">
        <f>IFERROR(INDEX(Tableau4[Designation],MATCH($A570,Tableau4[EVO],0)),"")</f>
        <v/>
      </c>
      <c r="D570" s="68"/>
      <c r="E570" s="70">
        <v>2</v>
      </c>
      <c r="F570" s="71">
        <v>128</v>
      </c>
      <c r="G570" s="101" t="str">
        <f>INDEX(Tableau8[Att1],MATCH(Tableau3[[#This Row],[ID-INS]],Tableau8[ID],0))&amp;""</f>
        <v>V3</v>
      </c>
      <c r="H570" s="101" t="str">
        <f>INDEX(Tableau8[Att2],MATCH(Tableau3[[#This Row],[ID-INS]],Tableau8[ID],0))&amp;""</f>
        <v>P2</v>
      </c>
      <c r="I570" s="101" t="str">
        <f>INDEX(Tableau8[Att3],MATCH(Tableau3[[#This Row],[ID-INS]],Tableau8[ID],0))&amp;""</f>
        <v>Portail P2</v>
      </c>
      <c r="J570" s="101"/>
      <c r="K570" s="167" t="str">
        <f>INDEX(Tableau8[Nom du modele],MATCH(Tableau3[[#This Row],[ID-INS]],Tableau8[ID],0))&amp;""</f>
        <v>PortailR1V_1</v>
      </c>
      <c r="L570" s="99" t="str">
        <f>INDEX(Tableau5[Att1],MATCH(Tableau3[[#This Row],[ID-SIG]],Tableau5[ID],0))&amp;""</f>
        <v>V1_FerProtect</v>
      </c>
      <c r="M570" s="99" t="str">
        <f>INDEX(Tableau5[Att2],MATCH(Tableau3[[#This Row],[ID-SIG]],Tableau5[ID],0))&amp;""</f>
        <v/>
      </c>
      <c r="N570" s="99" t="str">
        <f>INDEX(Tableau5[Att3],MATCH(Tableau3[[#This Row],[ID-SIG]],Tableau5[ID],0))&amp;""</f>
        <v/>
      </c>
      <c r="O570" s="99"/>
      <c r="P570" s="99" t="str">
        <f>INDEX(Tableau5[Description],MATCH(Tableau3[[#This Row],[ID-SIG]],Tableau5[ID],0))</f>
        <v>Protection fermeture par bande palpeuse</v>
      </c>
      <c r="Q570" s="99"/>
      <c r="R570" s="103" t="str">
        <f>Tableau3[[#This Row],[Description]]</f>
        <v>Protection fermeture par bande palpeuse</v>
      </c>
      <c r="S570" s="52"/>
      <c r="U570" s="87">
        <v>4</v>
      </c>
      <c r="V570" s="87">
        <v>1</v>
      </c>
      <c r="W570" s="87">
        <v>5</v>
      </c>
      <c r="X570" s="87">
        <v>8</v>
      </c>
      <c r="Y570" s="40"/>
      <c r="Z570" s="165" t="str">
        <f>INDEX(Tableau2[TS],MATCH(Tableau3[[#This Row],[ID-CARTEVOIE]],Tableau2[ID-CARTEVOIE],0))</f>
        <v>ET</v>
      </c>
      <c r="AA570" s="53" t="s">
        <v>213</v>
      </c>
      <c r="AB570" s="223" t="str">
        <f>IFERROR(INDEX(Tableau5[Reserve],MATCH(Tableau3[[#This Row],[ID-SIG]],Tableau5[ID],0))&amp;"","")</f>
        <v/>
      </c>
      <c r="AC570" s="21"/>
      <c r="AD570" s="108" t="str">
        <f>INDEX(Tableau7[Repere],MATCH(Tableau3[[#This Row],[ID-API]],Tableau7[ID-API],0))&amp;""</f>
        <v>A4</v>
      </c>
      <c r="AE570" s="108" t="str">
        <f>INDEX(Tableau1[Repere-Rack],MATCH(Tableau3[[#This Row],[ID-RACK]],Tableau1[ID-RACK],0))&amp;""</f>
        <v>R1</v>
      </c>
      <c r="AF570" s="108" t="str">
        <f>INDEX(Tableau1[Repere-Slot],MATCH(Tableau3[[#This Row],[ID-SLOT]],Tableau1[ID-SLOT],0))&amp;""</f>
        <v>S5</v>
      </c>
      <c r="AG570" s="108" t="str">
        <f>INDEX(Tableau2[Repere-Voie],MATCH(Tableau3[[#This Row],[ID-VOIE]],Tableau2[ID-Voie],0))&amp;""</f>
        <v>v8</v>
      </c>
      <c r="AH570" s="72" t="str">
        <f>Tableau3[[#This Row],[ID-API]]&amp; "." &amp;Tableau3[[#This Row],[ID-RACK]]&amp; "." &amp;Tableau3[[#This Row],[ID-SLOT]]</f>
        <v>4.1.5</v>
      </c>
      <c r="AI570" s="72" t="str">
        <f>INDEX(Tableau1[Ref-Carte],MATCH(Tableau3[[#This Row],[ID-RRS]],Tableau1[ID-RRS],0))</f>
        <v>SDI1602</v>
      </c>
      <c r="AJ570" s="72" t="str">
        <f t="array" ref="AJ570">IFERROR(INDEX(Tableau2[TS],MATCH(1,(Tableau2[Ref-Carte]=Tableau3[[#This Row],[Ref-Carte2]])*(Tableau2[ID-Voie]=Tableau3[[#This Row],[ID-VOIE]]),0)),"")</f>
        <v>ET</v>
      </c>
      <c r="AK570" s="72" t="str">
        <f>IFERROR(INDEX(Tableau2[TS],SUMPRODUCT((Tableau2[Ref-Carte]=Tableau3[[#This Row],[Ref-Carte2]])*(Tableau2[ID-Voie]=Tableau3[[#This Row],[ID-VOIE]])*ROW(Tableau2[TS]))-ROW(Tableau2[#Headers])),"")</f>
        <v>ET</v>
      </c>
      <c r="AL570" s="72" t="str">
        <f>Tableau3[[#This Row],[Ref-Carte2]]&amp;"/"&amp;Tableau3[[#This Row],[ID-VOIE]]</f>
        <v>SDI1602/8</v>
      </c>
      <c r="AM570" s="73" t="str">
        <f>INDEX(Tableau2[Borne],MATCH(Tableau3[[#This Row],[ID-CARTEVOIE]],Tableau2[ID-CARTEVOIE],0))&amp;""</f>
        <v>4B</v>
      </c>
      <c r="AN570" s="74" t="str">
        <f>Tableau3[[#This Row],[ID-API]]&amp;Tableau3[[#This Row],[ID-RACK]]&amp;Tableau3[[#This Row],[ID-SLOT]]&amp;Tableau3[[#This Row],[BORNE]]</f>
        <v>4154B</v>
      </c>
      <c r="AO570" s="1"/>
    </row>
    <row r="571" spans="1:41" ht="20.100000000000001" customHeight="1" thickTop="1" thickBot="1">
      <c r="A571" s="68"/>
      <c r="B571" s="69" t="str">
        <f>IFERROR(INDEX(Tableau4[Date],MATCH($A571,Tableau4[EVO],0)),"")</f>
        <v/>
      </c>
      <c r="C571" s="68" t="str">
        <f>IFERROR(INDEX(Tableau4[Designation],MATCH($A571,Tableau4[EVO],0)),"")</f>
        <v/>
      </c>
      <c r="D571" s="68"/>
      <c r="E571" s="70">
        <v>2</v>
      </c>
      <c r="F571" s="71">
        <v>129</v>
      </c>
      <c r="G571" s="101" t="str">
        <f>INDEX(Tableau8[Att1],MATCH(Tableau3[[#This Row],[ID-INS]],Tableau8[ID],0))&amp;""</f>
        <v>V3</v>
      </c>
      <c r="H571" s="101" t="str">
        <f>INDEX(Tableau8[Att2],MATCH(Tableau3[[#This Row],[ID-INS]],Tableau8[ID],0))&amp;""</f>
        <v>P2</v>
      </c>
      <c r="I571" s="101" t="str">
        <f>INDEX(Tableau8[Att3],MATCH(Tableau3[[#This Row],[ID-INS]],Tableau8[ID],0))&amp;""</f>
        <v>Portail P2</v>
      </c>
      <c r="J571" s="101"/>
      <c r="K571" s="167" t="str">
        <f>INDEX(Tableau8[Nom du modele],MATCH(Tableau3[[#This Row],[ID-INS]],Tableau8[ID],0))&amp;""</f>
        <v>PortailR1V_1</v>
      </c>
      <c r="L571" s="155" t="s">
        <v>1702</v>
      </c>
      <c r="M571" s="99" t="str">
        <f>INDEX(Tableau5[Att2],MATCH(Tableau3[[#This Row],[ID-SIG]],Tableau5[ID],0))&amp;""</f>
        <v/>
      </c>
      <c r="N571" s="99" t="str">
        <f>INDEX(Tableau5[Att3],MATCH(Tableau3[[#This Row],[ID-SIG]],Tableau5[ID],0))&amp;""</f>
        <v/>
      </c>
      <c r="O571" s="99"/>
      <c r="P571" s="155" t="s">
        <v>1703</v>
      </c>
      <c r="Q571" s="99"/>
      <c r="R571" s="103" t="str">
        <f>Tableau3[[#This Row],[Description]]</f>
        <v>VANTAIL P2V1 - Retourd'état Gâche sortie</v>
      </c>
      <c r="S571" s="52"/>
      <c r="U571" s="87">
        <v>4</v>
      </c>
      <c r="V571" s="87">
        <v>1</v>
      </c>
      <c r="W571" s="87">
        <v>5</v>
      </c>
      <c r="X571" s="87">
        <v>9</v>
      </c>
      <c r="Y571" s="40"/>
      <c r="Z571" s="165" t="str">
        <f>INDEX(Tableau2[TS],MATCH(Tableau3[[#This Row],[ID-CARTEVOIE]],Tableau2[ID-CARTEVOIE],0))</f>
        <v>ET</v>
      </c>
      <c r="AA571" s="53" t="s">
        <v>213</v>
      </c>
      <c r="AB571" s="223" t="str">
        <f>IFERROR(INDEX(Tableau5[Reserve],MATCH(Tableau3[[#This Row],[ID-SIG]],Tableau5[ID],0))&amp;"","")</f>
        <v/>
      </c>
      <c r="AC571" s="21"/>
      <c r="AD571" s="108" t="str">
        <f>INDEX(Tableau7[Repere],MATCH(Tableau3[[#This Row],[ID-API]],Tableau7[ID-API],0))&amp;""</f>
        <v>A4</v>
      </c>
      <c r="AE571" s="108" t="str">
        <f>INDEX(Tableau1[Repere-Rack],MATCH(Tableau3[[#This Row],[ID-RACK]],Tableau1[ID-RACK],0))&amp;""</f>
        <v>R1</v>
      </c>
      <c r="AF571" s="108" t="str">
        <f>INDEX(Tableau1[Repere-Slot],MATCH(Tableau3[[#This Row],[ID-SLOT]],Tableau1[ID-SLOT],0))&amp;""</f>
        <v>S5</v>
      </c>
      <c r="AG571" s="108" t="str">
        <f>INDEX(Tableau2[Repere-Voie],MATCH(Tableau3[[#This Row],[ID-VOIE]],Tableau2[ID-Voie],0))&amp;""</f>
        <v>v9</v>
      </c>
      <c r="AH571" s="72" t="str">
        <f>Tableau3[[#This Row],[ID-API]]&amp; "." &amp;Tableau3[[#This Row],[ID-RACK]]&amp; "." &amp;Tableau3[[#This Row],[ID-SLOT]]</f>
        <v>4.1.5</v>
      </c>
      <c r="AI571" s="72" t="str">
        <f>INDEX(Tableau1[Ref-Carte],MATCH(Tableau3[[#This Row],[ID-RRS]],Tableau1[ID-RRS],0))</f>
        <v>SDI1602</v>
      </c>
      <c r="AJ571" s="72" t="str">
        <f t="array" ref="AJ571">IFERROR(INDEX(Tableau2[TS],MATCH(1,(Tableau2[Ref-Carte]=Tableau3[[#This Row],[Ref-Carte2]])*(Tableau2[ID-Voie]=Tableau3[[#This Row],[ID-VOIE]]),0)),"")</f>
        <v>ET</v>
      </c>
      <c r="AK571" s="72" t="str">
        <f>IFERROR(INDEX(Tableau2[TS],SUMPRODUCT((Tableau2[Ref-Carte]=Tableau3[[#This Row],[Ref-Carte2]])*(Tableau2[ID-Voie]=Tableau3[[#This Row],[ID-VOIE]])*ROW(Tableau2[TS]))-ROW(Tableau2[#Headers])),"")</f>
        <v>ET</v>
      </c>
      <c r="AL571" s="72" t="str">
        <f>Tableau3[[#This Row],[Ref-Carte2]]&amp;"/"&amp;Tableau3[[#This Row],[ID-VOIE]]</f>
        <v>SDI1602/9</v>
      </c>
      <c r="AM571" s="73" t="str">
        <f>INDEX(Tableau2[Borne],MATCH(Tableau3[[#This Row],[ID-CARTEVOIE]],Tableau2[ID-CARTEVOIE],0))&amp;""</f>
        <v>4A</v>
      </c>
      <c r="AN571" s="74" t="str">
        <f>Tableau3[[#This Row],[ID-API]]&amp;Tableau3[[#This Row],[ID-RACK]]&amp;Tableau3[[#This Row],[ID-SLOT]]&amp;Tableau3[[#This Row],[BORNE]]</f>
        <v>4154A</v>
      </c>
      <c r="AO571" s="1"/>
    </row>
    <row r="572" spans="1:41" ht="20.100000000000001" customHeight="1" thickTop="1" thickBot="1">
      <c r="A572" s="68"/>
      <c r="B572" s="69" t="str">
        <f>IFERROR(INDEX(Tableau4[Date],MATCH($A572,Tableau4[EVO],0)),"")</f>
        <v/>
      </c>
      <c r="C572" s="68" t="str">
        <f>IFERROR(INDEX(Tableau4[Designation],MATCH($A572,Tableau4[EVO],0)),"")</f>
        <v/>
      </c>
      <c r="D572" s="68"/>
      <c r="E572" s="70">
        <v>6</v>
      </c>
      <c r="F572" s="71">
        <v>268</v>
      </c>
      <c r="G572" s="101" t="str">
        <f>INDEX(Tableau8[Att1],MATCH(Tableau3[[#This Row],[ID-INS]],Tableau8[ID],0))&amp;""</f>
        <v>V3</v>
      </c>
      <c r="H572" s="101" t="str">
        <f>INDEX(Tableau8[Att2],MATCH(Tableau3[[#This Row],[ID-INS]],Tableau8[ID],0))&amp;""</f>
        <v>P6</v>
      </c>
      <c r="I572" s="101" t="str">
        <f>INDEX(Tableau8[Att3],MATCH(Tableau3[[#This Row],[ID-INS]],Tableau8[ID],0))&amp;""</f>
        <v>Portail P6</v>
      </c>
      <c r="J572" s="101"/>
      <c r="K572" s="167" t="str">
        <f>INDEX(Tableau8[Nom du modele],MATCH(Tableau3[[#This Row],[ID-INS]],Tableau8[ID],0))&amp;""</f>
        <v>PortailBleuHydr_1</v>
      </c>
      <c r="L572" s="155" t="s">
        <v>518</v>
      </c>
      <c r="M572" s="99" t="str">
        <f>INDEX(Tableau5[Att2],MATCH(Tableau3[[#This Row],[ID-SIG]],Tableau5[ID],0))&amp;""</f>
        <v/>
      </c>
      <c r="N572" s="99" t="str">
        <f>INDEX(Tableau5[Att3],MATCH(Tableau3[[#This Row],[ID-SIG]],Tableau5[ID],0))&amp;""</f>
        <v/>
      </c>
      <c r="O572" s="99"/>
      <c r="P572" s="155" t="s">
        <v>1704</v>
      </c>
      <c r="Q572" s="99"/>
      <c r="R572" s="103" t="str">
        <f>Tableau3[[#This Row],[Description]]</f>
        <v>VANTAIL P2V1 - Retourd'état Gâche rentrée</v>
      </c>
      <c r="S572" s="52"/>
      <c r="U572" s="87">
        <v>4</v>
      </c>
      <c r="V572" s="87">
        <v>1</v>
      </c>
      <c r="W572" s="87">
        <v>5</v>
      </c>
      <c r="X572" s="87">
        <v>10</v>
      </c>
      <c r="Y572" s="40"/>
      <c r="Z572" s="165" t="str">
        <f>INDEX(Tableau2[TS],MATCH(Tableau3[[#This Row],[ID-CARTEVOIE]],Tableau2[ID-CARTEVOIE],0))</f>
        <v>ET</v>
      </c>
      <c r="AA572" s="53" t="s">
        <v>213</v>
      </c>
      <c r="AB572" s="223" t="str">
        <f>IFERROR(INDEX(Tableau5[Reserve],MATCH(Tableau3[[#This Row],[ID-SIG]],Tableau5[ID],0))&amp;"","")</f>
        <v/>
      </c>
      <c r="AC572" s="21"/>
      <c r="AD572" s="108" t="str">
        <f>INDEX(Tableau7[Repere],MATCH(Tableau3[[#This Row],[ID-API]],Tableau7[ID-API],0))&amp;""</f>
        <v>A4</v>
      </c>
      <c r="AE572" s="108" t="str">
        <f>INDEX(Tableau1[Repere-Rack],MATCH(Tableau3[[#This Row],[ID-RACK]],Tableau1[ID-RACK],0))&amp;""</f>
        <v>R1</v>
      </c>
      <c r="AF572" s="108" t="str">
        <f>INDEX(Tableau1[Repere-Slot],MATCH(Tableau3[[#This Row],[ID-SLOT]],Tableau1[ID-SLOT],0))&amp;""</f>
        <v>S5</v>
      </c>
      <c r="AG572" s="108" t="str">
        <f>INDEX(Tableau2[Repere-Voie],MATCH(Tableau3[[#This Row],[ID-VOIE]],Tableau2[ID-Voie],0))&amp;""</f>
        <v>v10</v>
      </c>
      <c r="AH572" s="72" t="str">
        <f>Tableau3[[#This Row],[ID-API]]&amp; "." &amp;Tableau3[[#This Row],[ID-RACK]]&amp; "." &amp;Tableau3[[#This Row],[ID-SLOT]]</f>
        <v>4.1.5</v>
      </c>
      <c r="AI572" s="72" t="str">
        <f>INDEX(Tableau1[Ref-Carte],MATCH(Tableau3[[#This Row],[ID-RRS]],Tableau1[ID-RRS],0))</f>
        <v>SDI1602</v>
      </c>
      <c r="AJ572" s="72" t="str">
        <f t="array" ref="AJ572">IFERROR(INDEX(Tableau2[TS],MATCH(1,(Tableau2[Ref-Carte]=Tableau3[[#This Row],[Ref-Carte2]])*(Tableau2[ID-Voie]=Tableau3[[#This Row],[ID-VOIE]]),0)),"")</f>
        <v>ET</v>
      </c>
      <c r="AK572" s="72" t="str">
        <f>IFERROR(INDEX(Tableau2[TS],SUMPRODUCT((Tableau2[Ref-Carte]=Tableau3[[#This Row],[Ref-Carte2]])*(Tableau2[ID-Voie]=Tableau3[[#This Row],[ID-VOIE]])*ROW(Tableau2[TS]))-ROW(Tableau2[#Headers])),"")</f>
        <v>ET</v>
      </c>
      <c r="AL572" s="72" t="str">
        <f>Tableau3[[#This Row],[Ref-Carte2]]&amp;"/"&amp;Tableau3[[#This Row],[ID-VOIE]]</f>
        <v>SDI1602/10</v>
      </c>
      <c r="AM572" s="73" t="str">
        <f>INDEX(Tableau2[Borne],MATCH(Tableau3[[#This Row],[ID-CARTEVOIE]],Tableau2[ID-CARTEVOIE],0))&amp;""</f>
        <v>5B</v>
      </c>
      <c r="AN572" s="74" t="str">
        <f>Tableau3[[#This Row],[ID-API]]&amp;Tableau3[[#This Row],[ID-RACK]]&amp;Tableau3[[#This Row],[ID-SLOT]]&amp;Tableau3[[#This Row],[BORNE]]</f>
        <v>4155B</v>
      </c>
      <c r="AO572" s="1"/>
    </row>
    <row r="573" spans="1:41" ht="20.100000000000001" customHeight="1" thickTop="1" thickBot="1">
      <c r="A573" s="68"/>
      <c r="B573" s="69" t="str">
        <f>IFERROR(INDEX(Tableau4[Date],MATCH($A573,Tableau4[EVO],0)),"")</f>
        <v/>
      </c>
      <c r="C573" s="68" t="str">
        <f>IFERROR(INDEX(Tableau4[Designation],MATCH($A573,Tableau4[EVO],0)),"")</f>
        <v/>
      </c>
      <c r="D573" s="68"/>
      <c r="E573" s="70">
        <v>6</v>
      </c>
      <c r="F573" s="71">
        <v>269</v>
      </c>
      <c r="G573" s="101" t="str">
        <f>INDEX(Tableau8[Att1],MATCH(Tableau3[[#This Row],[ID-INS]],Tableau8[ID],0))&amp;""</f>
        <v>V3</v>
      </c>
      <c r="H573" s="101" t="str">
        <f>INDEX(Tableau8[Att2],MATCH(Tableau3[[#This Row],[ID-INS]],Tableau8[ID],0))&amp;""</f>
        <v>P6</v>
      </c>
      <c r="I573" s="101" t="str">
        <f>INDEX(Tableau8[Att3],MATCH(Tableau3[[#This Row],[ID-INS]],Tableau8[ID],0))&amp;""</f>
        <v>Portail P6</v>
      </c>
      <c r="J573" s="101"/>
      <c r="K573" s="167" t="str">
        <f>INDEX(Tableau8[Nom du modele],MATCH(Tableau3[[#This Row],[ID-INS]],Tableau8[ID],0))&amp;""</f>
        <v>PortailBleuHydr_1</v>
      </c>
      <c r="L573" s="99" t="str">
        <f>INDEX(Tableau5[Att1],MATCH(Tableau3[[#This Row],[ID-SIG]],Tableau5[ID],0))&amp;""</f>
        <v>V_FerRet1</v>
      </c>
      <c r="M573" s="99" t="str">
        <f>INDEX(Tableau5[Att2],MATCH(Tableau3[[#This Row],[ID-SIG]],Tableau5[ID],0))&amp;""</f>
        <v/>
      </c>
      <c r="N573" s="99" t="str">
        <f>INDEX(Tableau5[Att3],MATCH(Tableau3[[#This Row],[ID-SIG]],Tableau5[ID],0))&amp;""</f>
        <v/>
      </c>
      <c r="O573" s="99"/>
      <c r="P573" s="99" t="str">
        <f>INDEX(Tableau5[Description],MATCH(Tableau3[[#This Row],[ID-SIG]],Tableau5[ID],0))</f>
        <v>Retour Commande 1 fermeture</v>
      </c>
      <c r="Q573" s="99"/>
      <c r="R573" s="103" t="str">
        <f>Tableau3[[#This Row],[Description]]</f>
        <v>Retour Commande 1 fermeture</v>
      </c>
      <c r="S573" s="52"/>
      <c r="U573" s="87">
        <v>4</v>
      </c>
      <c r="V573" s="87">
        <v>1</v>
      </c>
      <c r="W573" s="87">
        <v>5</v>
      </c>
      <c r="X573" s="87">
        <v>11</v>
      </c>
      <c r="Y573" s="40"/>
      <c r="Z573" s="165" t="str">
        <f>INDEX(Tableau2[TS],MATCH(Tableau3[[#This Row],[ID-CARTEVOIE]],Tableau2[ID-CARTEVOIE],0))</f>
        <v>ET</v>
      </c>
      <c r="AA573" s="53" t="s">
        <v>213</v>
      </c>
      <c r="AB573" s="223" t="str">
        <f>IFERROR(INDEX(Tableau5[Reserve],MATCH(Tableau3[[#This Row],[ID-SIG]],Tableau5[ID],0))&amp;"","")</f>
        <v/>
      </c>
      <c r="AC573" s="21"/>
      <c r="AD573" s="108" t="str">
        <f>INDEX(Tableau7[Repere],MATCH(Tableau3[[#This Row],[ID-API]],Tableau7[ID-API],0))&amp;""</f>
        <v>A4</v>
      </c>
      <c r="AE573" s="108" t="str">
        <f>INDEX(Tableau1[Repere-Rack],MATCH(Tableau3[[#This Row],[ID-RACK]],Tableau1[ID-RACK],0))&amp;""</f>
        <v>R1</v>
      </c>
      <c r="AF573" s="108" t="str">
        <f>INDEX(Tableau1[Repere-Slot],MATCH(Tableau3[[#This Row],[ID-SLOT]],Tableau1[ID-SLOT],0))&amp;""</f>
        <v>S5</v>
      </c>
      <c r="AG573" s="108" t="str">
        <f>INDEX(Tableau2[Repere-Voie],MATCH(Tableau3[[#This Row],[ID-VOIE]],Tableau2[ID-Voie],0))&amp;""</f>
        <v>v11</v>
      </c>
      <c r="AH573" s="72" t="str">
        <f>Tableau3[[#This Row],[ID-API]]&amp; "." &amp;Tableau3[[#This Row],[ID-RACK]]&amp; "." &amp;Tableau3[[#This Row],[ID-SLOT]]</f>
        <v>4.1.5</v>
      </c>
      <c r="AI573" s="72" t="str">
        <f>INDEX(Tableau1[Ref-Carte],MATCH(Tableau3[[#This Row],[ID-RRS]],Tableau1[ID-RRS],0))</f>
        <v>SDI1602</v>
      </c>
      <c r="AJ573" s="72" t="str">
        <f t="array" ref="AJ573">IFERROR(INDEX(Tableau2[TS],MATCH(1,(Tableau2[Ref-Carte]=Tableau3[[#This Row],[Ref-Carte2]])*(Tableau2[ID-Voie]=Tableau3[[#This Row],[ID-VOIE]]),0)),"")</f>
        <v>ET</v>
      </c>
      <c r="AK573" s="72" t="str">
        <f>IFERROR(INDEX(Tableau2[TS],SUMPRODUCT((Tableau2[Ref-Carte]=Tableau3[[#This Row],[Ref-Carte2]])*(Tableau2[ID-Voie]=Tableau3[[#This Row],[ID-VOIE]])*ROW(Tableau2[TS]))-ROW(Tableau2[#Headers])),"")</f>
        <v>ET</v>
      </c>
      <c r="AL573" s="72" t="str">
        <f>Tableau3[[#This Row],[Ref-Carte2]]&amp;"/"&amp;Tableau3[[#This Row],[ID-VOIE]]</f>
        <v>SDI1602/11</v>
      </c>
      <c r="AM573" s="73" t="str">
        <f>INDEX(Tableau2[Borne],MATCH(Tableau3[[#This Row],[ID-CARTEVOIE]],Tableau2[ID-CARTEVOIE],0))&amp;""</f>
        <v>5A</v>
      </c>
      <c r="AN573" s="74" t="str">
        <f>Tableau3[[#This Row],[ID-API]]&amp;Tableau3[[#This Row],[ID-RACK]]&amp;Tableau3[[#This Row],[ID-SLOT]]&amp;Tableau3[[#This Row],[BORNE]]</f>
        <v>4155A</v>
      </c>
      <c r="AO573" s="1"/>
    </row>
    <row r="574" spans="1:41" ht="20.100000000000001" customHeight="1" thickTop="1" thickBot="1">
      <c r="A574" s="68"/>
      <c r="B574" s="69" t="str">
        <f>IFERROR(INDEX(Tableau4[Date],MATCH($A574,Tableau4[EVO],0)),"")</f>
        <v/>
      </c>
      <c r="C574" s="68" t="str">
        <f>IFERROR(INDEX(Tableau4[Designation],MATCH($A574,Tableau4[EVO],0)),"")</f>
        <v/>
      </c>
      <c r="D574" s="68"/>
      <c r="E574" s="70">
        <v>6</v>
      </c>
      <c r="F574" s="71">
        <v>270</v>
      </c>
      <c r="G574" s="101" t="str">
        <f>INDEX(Tableau8[Att1],MATCH(Tableau3[[#This Row],[ID-INS]],Tableau8[ID],0))&amp;""</f>
        <v>V3</v>
      </c>
      <c r="H574" s="101" t="str">
        <f>INDEX(Tableau8[Att2],MATCH(Tableau3[[#This Row],[ID-INS]],Tableau8[ID],0))&amp;""</f>
        <v>P6</v>
      </c>
      <c r="I574" s="101" t="str">
        <f>INDEX(Tableau8[Att3],MATCH(Tableau3[[#This Row],[ID-INS]],Tableau8[ID],0))&amp;""</f>
        <v>Portail P6</v>
      </c>
      <c r="J574" s="101"/>
      <c r="K574" s="167" t="str">
        <f>INDEX(Tableau8[Nom du modele],MATCH(Tableau3[[#This Row],[ID-INS]],Tableau8[ID],0))&amp;""</f>
        <v>PortailBleuHydr_1</v>
      </c>
      <c r="L574" s="155" t="s">
        <v>1685</v>
      </c>
      <c r="M574" s="99" t="str">
        <f>INDEX(Tableau5[Att2],MATCH(Tableau3[[#This Row],[ID-SIG]],Tableau5[ID],0))&amp;""</f>
        <v/>
      </c>
      <c r="N574" s="99" t="str">
        <f>INDEX(Tableau5[Att3],MATCH(Tableau3[[#This Row],[ID-SIG]],Tableau5[ID],0))&amp;""</f>
        <v/>
      </c>
      <c r="O574" s="99"/>
      <c r="P574" s="155" t="s">
        <v>1705</v>
      </c>
      <c r="Q574" s="99"/>
      <c r="R574" s="103" t="str">
        <f>Tableau3[[#This Row],[Description]]</f>
        <v>Portail P6 - Entrée Réserve 1</v>
      </c>
      <c r="S574" s="52"/>
      <c r="U574" s="87">
        <v>4</v>
      </c>
      <c r="V574" s="87">
        <v>1</v>
      </c>
      <c r="W574" s="87">
        <v>5</v>
      </c>
      <c r="X574" s="87">
        <v>12</v>
      </c>
      <c r="Y574" s="40"/>
      <c r="Z574" s="165" t="str">
        <f>INDEX(Tableau2[TS],MATCH(Tableau3[[#This Row],[ID-CARTEVOIE]],Tableau2[ID-CARTEVOIE],0))</f>
        <v>ET</v>
      </c>
      <c r="AA574" s="53" t="s">
        <v>213</v>
      </c>
      <c r="AB574" s="223" t="str">
        <f>IFERROR(INDEX(Tableau5[Reserve],MATCH(Tableau3[[#This Row],[ID-SIG]],Tableau5[ID],0))&amp;"","")</f>
        <v/>
      </c>
      <c r="AC574" s="21"/>
      <c r="AD574" s="108" t="str">
        <f>INDEX(Tableau7[Repere],MATCH(Tableau3[[#This Row],[ID-API]],Tableau7[ID-API],0))&amp;""</f>
        <v>A4</v>
      </c>
      <c r="AE574" s="108" t="str">
        <f>INDEX(Tableau1[Repere-Rack],MATCH(Tableau3[[#This Row],[ID-RACK]],Tableau1[ID-RACK],0))&amp;""</f>
        <v>R1</v>
      </c>
      <c r="AF574" s="108" t="str">
        <f>INDEX(Tableau1[Repere-Slot],MATCH(Tableau3[[#This Row],[ID-SLOT]],Tableau1[ID-SLOT],0))&amp;""</f>
        <v>S5</v>
      </c>
      <c r="AG574" s="108" t="str">
        <f>INDEX(Tableau2[Repere-Voie],MATCH(Tableau3[[#This Row],[ID-VOIE]],Tableau2[ID-Voie],0))&amp;""</f>
        <v>v12</v>
      </c>
      <c r="AH574" s="72" t="str">
        <f>Tableau3[[#This Row],[ID-API]]&amp; "." &amp;Tableau3[[#This Row],[ID-RACK]]&amp; "." &amp;Tableau3[[#This Row],[ID-SLOT]]</f>
        <v>4.1.5</v>
      </c>
      <c r="AI574" s="72" t="str">
        <f>INDEX(Tableau1[Ref-Carte],MATCH(Tableau3[[#This Row],[ID-RRS]],Tableau1[ID-RRS],0))</f>
        <v>SDI1602</v>
      </c>
      <c r="AJ574" s="72" t="str">
        <f t="array" ref="AJ574">IFERROR(INDEX(Tableau2[TS],MATCH(1,(Tableau2[Ref-Carte]=Tableau3[[#This Row],[Ref-Carte2]])*(Tableau2[ID-Voie]=Tableau3[[#This Row],[ID-VOIE]]),0)),"")</f>
        <v>ET</v>
      </c>
      <c r="AK574" s="72" t="str">
        <f>IFERROR(INDEX(Tableau2[TS],SUMPRODUCT((Tableau2[Ref-Carte]=Tableau3[[#This Row],[Ref-Carte2]])*(Tableau2[ID-Voie]=Tableau3[[#This Row],[ID-VOIE]])*ROW(Tableau2[TS]))-ROW(Tableau2[#Headers])),"")</f>
        <v>ET</v>
      </c>
      <c r="AL574" s="72" t="str">
        <f>Tableau3[[#This Row],[Ref-Carte2]]&amp;"/"&amp;Tableau3[[#This Row],[ID-VOIE]]</f>
        <v>SDI1602/12</v>
      </c>
      <c r="AM574" s="73" t="str">
        <f>INDEX(Tableau2[Borne],MATCH(Tableau3[[#This Row],[ID-CARTEVOIE]],Tableau2[ID-CARTEVOIE],0))&amp;""</f>
        <v>6B</v>
      </c>
      <c r="AN574" s="74" t="str">
        <f>Tableau3[[#This Row],[ID-API]]&amp;Tableau3[[#This Row],[ID-RACK]]&amp;Tableau3[[#This Row],[ID-SLOT]]&amp;Tableau3[[#This Row],[BORNE]]</f>
        <v>4156B</v>
      </c>
      <c r="AO574" s="1"/>
    </row>
    <row r="575" spans="1:41" ht="20.100000000000001" customHeight="1" thickTop="1" thickBot="1">
      <c r="A575" s="68"/>
      <c r="B575" s="69" t="str">
        <f>IFERROR(INDEX(Tableau4[Date],MATCH($A575,Tableau4[EVO],0)),"")</f>
        <v/>
      </c>
      <c r="C575" s="68" t="str">
        <f>IFERROR(INDEX(Tableau4[Designation],MATCH($A575,Tableau4[EVO],0)),"")</f>
        <v/>
      </c>
      <c r="D575" s="68"/>
      <c r="E575" s="70">
        <v>6</v>
      </c>
      <c r="F575" s="71">
        <v>271</v>
      </c>
      <c r="G575" s="101" t="str">
        <f>INDEX(Tableau8[Att1],MATCH(Tableau3[[#This Row],[ID-INS]],Tableau8[ID],0))&amp;""</f>
        <v>V3</v>
      </c>
      <c r="H575" s="101" t="str">
        <f>INDEX(Tableau8[Att2],MATCH(Tableau3[[#This Row],[ID-INS]],Tableau8[ID],0))&amp;""</f>
        <v>P6</v>
      </c>
      <c r="I575" s="101" t="str">
        <f>INDEX(Tableau8[Att3],MATCH(Tableau3[[#This Row],[ID-INS]],Tableau8[ID],0))&amp;""</f>
        <v>Portail P6</v>
      </c>
      <c r="J575" s="101"/>
      <c r="K575" s="167" t="str">
        <f>INDEX(Tableau8[Nom du modele],MATCH(Tableau3[[#This Row],[ID-INS]],Tableau8[ID],0))&amp;""</f>
        <v>PortailBleuHydr_1</v>
      </c>
      <c r="L575" s="99" t="str">
        <f>INDEX(Tableau5[Att1],MATCH(Tableau3[[#This Row],[ID-SIG]],Tableau5[ID],0))&amp;""</f>
        <v>Réserve</v>
      </c>
      <c r="M575" s="99" t="str">
        <f>INDEX(Tableau5[Att2],MATCH(Tableau3[[#This Row],[ID-SIG]],Tableau5[ID],0))&amp;""</f>
        <v/>
      </c>
      <c r="N575" s="99" t="str">
        <f>INDEX(Tableau5[Att3],MATCH(Tableau3[[#This Row],[ID-SIG]],Tableau5[ID],0))&amp;""</f>
        <v/>
      </c>
      <c r="O575" s="99"/>
      <c r="P575" s="99" t="str">
        <f>INDEX(Tableau5[Description],MATCH(Tableau3[[#This Row],[ID-SIG]],Tableau5[ID],0))</f>
        <v>Réserve</v>
      </c>
      <c r="Q575" s="99"/>
      <c r="R575" s="103" t="str">
        <f>Tableau3[[#This Row],[Description]]</f>
        <v>Réserve</v>
      </c>
      <c r="S575" s="52"/>
      <c r="U575" s="87">
        <v>4</v>
      </c>
      <c r="V575" s="87">
        <v>1</v>
      </c>
      <c r="W575" s="87">
        <v>5</v>
      </c>
      <c r="X575" s="87">
        <v>13</v>
      </c>
      <c r="Y575" s="40"/>
      <c r="Z575" s="165" t="str">
        <f>INDEX(Tableau2[TS],MATCH(Tableau3[[#This Row],[ID-CARTEVOIE]],Tableau2[ID-CARTEVOIE],0))</f>
        <v>ET</v>
      </c>
      <c r="AA575" s="53" t="s">
        <v>213</v>
      </c>
      <c r="AB575" s="223" t="str">
        <f>IFERROR(INDEX(Tableau5[Reserve],MATCH(Tableau3[[#This Row],[ID-SIG]],Tableau5[ID],0))&amp;"","")</f>
        <v/>
      </c>
      <c r="AC575" s="21"/>
      <c r="AD575" s="108" t="str">
        <f>INDEX(Tableau7[Repere],MATCH(Tableau3[[#This Row],[ID-API]],Tableau7[ID-API],0))&amp;""</f>
        <v>A4</v>
      </c>
      <c r="AE575" s="108" t="str">
        <f>INDEX(Tableau1[Repere-Rack],MATCH(Tableau3[[#This Row],[ID-RACK]],Tableau1[ID-RACK],0))&amp;""</f>
        <v>R1</v>
      </c>
      <c r="AF575" s="108" t="str">
        <f>INDEX(Tableau1[Repere-Slot],MATCH(Tableau3[[#This Row],[ID-SLOT]],Tableau1[ID-SLOT],0))&amp;""</f>
        <v>S5</v>
      </c>
      <c r="AG575" s="108" t="str">
        <f>INDEX(Tableau2[Repere-Voie],MATCH(Tableau3[[#This Row],[ID-VOIE]],Tableau2[ID-Voie],0))&amp;""</f>
        <v>v13</v>
      </c>
      <c r="AH575" s="72" t="str">
        <f>Tableau3[[#This Row],[ID-API]]&amp; "." &amp;Tableau3[[#This Row],[ID-RACK]]&amp; "." &amp;Tableau3[[#This Row],[ID-SLOT]]</f>
        <v>4.1.5</v>
      </c>
      <c r="AI575" s="72" t="str">
        <f>INDEX(Tableau1[Ref-Carte],MATCH(Tableau3[[#This Row],[ID-RRS]],Tableau1[ID-RRS],0))</f>
        <v>SDI1602</v>
      </c>
      <c r="AJ575" s="72" t="str">
        <f t="array" ref="AJ575">IFERROR(INDEX(Tableau2[TS],MATCH(1,(Tableau2[Ref-Carte]=Tableau3[[#This Row],[Ref-Carte2]])*(Tableau2[ID-Voie]=Tableau3[[#This Row],[ID-VOIE]]),0)),"")</f>
        <v>ET</v>
      </c>
      <c r="AK575" s="72" t="str">
        <f>IFERROR(INDEX(Tableau2[TS],SUMPRODUCT((Tableau2[Ref-Carte]=Tableau3[[#This Row],[Ref-Carte2]])*(Tableau2[ID-Voie]=Tableau3[[#This Row],[ID-VOIE]])*ROW(Tableau2[TS]))-ROW(Tableau2[#Headers])),"")</f>
        <v>ET</v>
      </c>
      <c r="AL575" s="72" t="str">
        <f>Tableau3[[#This Row],[Ref-Carte2]]&amp;"/"&amp;Tableau3[[#This Row],[ID-VOIE]]</f>
        <v>SDI1602/13</v>
      </c>
      <c r="AM575" s="73" t="str">
        <f>INDEX(Tableau2[Borne],MATCH(Tableau3[[#This Row],[ID-CARTEVOIE]],Tableau2[ID-CARTEVOIE],0))&amp;""</f>
        <v>6A</v>
      </c>
      <c r="AN575" s="74" t="str">
        <f>Tableau3[[#This Row],[ID-API]]&amp;Tableau3[[#This Row],[ID-RACK]]&amp;Tableau3[[#This Row],[ID-SLOT]]&amp;Tableau3[[#This Row],[BORNE]]</f>
        <v>4156A</v>
      </c>
      <c r="AO575" s="1"/>
    </row>
    <row r="576" spans="1:41" ht="20.100000000000001" customHeight="1" thickTop="1" thickBot="1">
      <c r="A576" s="68"/>
      <c r="B576" s="69" t="str">
        <f>IFERROR(INDEX(Tableau4[Date],MATCH($A576,Tableau4[EVO],0)),"")</f>
        <v/>
      </c>
      <c r="C576" s="68" t="str">
        <f>IFERROR(INDEX(Tableau4[Designation],MATCH($A576,Tableau4[EVO],0)),"")</f>
        <v/>
      </c>
      <c r="D576" s="68"/>
      <c r="E576" s="70">
        <v>6</v>
      </c>
      <c r="F576" s="71">
        <v>272</v>
      </c>
      <c r="G576" s="101" t="str">
        <f>INDEX(Tableau8[Att1],MATCH(Tableau3[[#This Row],[ID-INS]],Tableau8[ID],0))&amp;""</f>
        <v>V3</v>
      </c>
      <c r="H576" s="101" t="str">
        <f>INDEX(Tableau8[Att2],MATCH(Tableau3[[#This Row],[ID-INS]],Tableau8[ID],0))&amp;""</f>
        <v>P6</v>
      </c>
      <c r="I576" s="101" t="str">
        <f>INDEX(Tableau8[Att3],MATCH(Tableau3[[#This Row],[ID-INS]],Tableau8[ID],0))&amp;""</f>
        <v>Portail P6</v>
      </c>
      <c r="J576" s="101"/>
      <c r="K576" s="167" t="str">
        <f>INDEX(Tableau8[Nom du modele],MATCH(Tableau3[[#This Row],[ID-INS]],Tableau8[ID],0))&amp;""</f>
        <v>PortailBleuHydr_1</v>
      </c>
      <c r="L576" s="99" t="str">
        <f>INDEX(Tableau5[Att1],MATCH(Tableau3[[#This Row],[ID-SIG]],Tableau5[ID],0))&amp;""</f>
        <v>Effraction</v>
      </c>
      <c r="M576" s="99" t="str">
        <f>INDEX(Tableau5[Att2],MATCH(Tableau3[[#This Row],[ID-SIG]],Tableau5[ID],0))&amp;""</f>
        <v/>
      </c>
      <c r="N576" s="99" t="str">
        <f>INDEX(Tableau5[Att3],MATCH(Tableau3[[#This Row],[ID-SIG]],Tableau5[ID],0))&amp;""</f>
        <v/>
      </c>
      <c r="O576" s="99"/>
      <c r="P576" s="99" t="str">
        <f>INDEX(Tableau5[Description],MATCH(Tableau3[[#This Row],[ID-SIG]],Tableau5[ID],0))</f>
        <v>Effraction</v>
      </c>
      <c r="Q576" s="99"/>
      <c r="R576" s="103" t="str">
        <f>Tableau3[[#This Row],[Description]]</f>
        <v>Effraction</v>
      </c>
      <c r="S576" s="52"/>
      <c r="U576" s="87">
        <v>4</v>
      </c>
      <c r="V576" s="87">
        <v>1</v>
      </c>
      <c r="W576" s="87">
        <v>5</v>
      </c>
      <c r="X576" s="87">
        <v>14</v>
      </c>
      <c r="Y576" s="40"/>
      <c r="Z576" s="165" t="str">
        <f>INDEX(Tableau2[TS],MATCH(Tableau3[[#This Row],[ID-CARTEVOIE]],Tableau2[ID-CARTEVOIE],0))</f>
        <v>ET</v>
      </c>
      <c r="AA576" s="53" t="s">
        <v>213</v>
      </c>
      <c r="AB576" s="223" t="str">
        <f>IFERROR(INDEX(Tableau5[Reserve],MATCH(Tableau3[[#This Row],[ID-SIG]],Tableau5[ID],0))&amp;"","")</f>
        <v/>
      </c>
      <c r="AC576" s="21"/>
      <c r="AD576" s="108" t="str">
        <f>INDEX(Tableau7[Repere],MATCH(Tableau3[[#This Row],[ID-API]],Tableau7[ID-API],0))&amp;""</f>
        <v>A4</v>
      </c>
      <c r="AE576" s="108" t="str">
        <f>INDEX(Tableau1[Repere-Rack],MATCH(Tableau3[[#This Row],[ID-RACK]],Tableau1[ID-RACK],0))&amp;""</f>
        <v>R1</v>
      </c>
      <c r="AF576" s="108" t="str">
        <f>INDEX(Tableau1[Repere-Slot],MATCH(Tableau3[[#This Row],[ID-SLOT]],Tableau1[ID-SLOT],0))&amp;""</f>
        <v>S5</v>
      </c>
      <c r="AG576" s="108" t="str">
        <f>INDEX(Tableau2[Repere-Voie],MATCH(Tableau3[[#This Row],[ID-VOIE]],Tableau2[ID-Voie],0))&amp;""</f>
        <v>v14</v>
      </c>
      <c r="AH576" s="72" t="str">
        <f>Tableau3[[#This Row],[ID-API]]&amp; "." &amp;Tableau3[[#This Row],[ID-RACK]]&amp; "." &amp;Tableau3[[#This Row],[ID-SLOT]]</f>
        <v>4.1.5</v>
      </c>
      <c r="AI576" s="72" t="str">
        <f>INDEX(Tableau1[Ref-Carte],MATCH(Tableau3[[#This Row],[ID-RRS]],Tableau1[ID-RRS],0))</f>
        <v>SDI1602</v>
      </c>
      <c r="AJ576" s="72" t="str">
        <f t="array" ref="AJ576">IFERROR(INDEX(Tableau2[TS],MATCH(1,(Tableau2[Ref-Carte]=Tableau3[[#This Row],[Ref-Carte2]])*(Tableau2[ID-Voie]=Tableau3[[#This Row],[ID-VOIE]]),0)),"")</f>
        <v>ET</v>
      </c>
      <c r="AK576" s="72" t="str">
        <f>IFERROR(INDEX(Tableau2[TS],SUMPRODUCT((Tableau2[Ref-Carte]=Tableau3[[#This Row],[Ref-Carte2]])*(Tableau2[ID-Voie]=Tableau3[[#This Row],[ID-VOIE]])*ROW(Tableau2[TS]))-ROW(Tableau2[#Headers])),"")</f>
        <v>ET</v>
      </c>
      <c r="AL576" s="72" t="str">
        <f>Tableau3[[#This Row],[Ref-Carte2]]&amp;"/"&amp;Tableau3[[#This Row],[ID-VOIE]]</f>
        <v>SDI1602/14</v>
      </c>
      <c r="AM576" s="73" t="str">
        <f>INDEX(Tableau2[Borne],MATCH(Tableau3[[#This Row],[ID-CARTEVOIE]],Tableau2[ID-CARTEVOIE],0))&amp;""</f>
        <v>7B</v>
      </c>
      <c r="AN576" s="74" t="str">
        <f>Tableau3[[#This Row],[ID-API]]&amp;Tableau3[[#This Row],[ID-RACK]]&amp;Tableau3[[#This Row],[ID-SLOT]]&amp;Tableau3[[#This Row],[BORNE]]</f>
        <v>4157B</v>
      </c>
      <c r="AO576" s="1"/>
    </row>
    <row r="577" spans="1:41" ht="20.100000000000001" customHeight="1" thickTop="1" thickBot="1">
      <c r="A577" s="68"/>
      <c r="B577" s="69" t="str">
        <f>IFERROR(INDEX(Tableau4[Date],MATCH($A577,Tableau4[EVO],0)),"")</f>
        <v/>
      </c>
      <c r="C577" s="68" t="str">
        <f>IFERROR(INDEX(Tableau4[Designation],MATCH($A577,Tableau4[EVO],0)),"")</f>
        <v/>
      </c>
      <c r="D577" s="68"/>
      <c r="E577" s="70">
        <v>6</v>
      </c>
      <c r="F577" s="71">
        <v>278</v>
      </c>
      <c r="G577" s="101" t="str">
        <f>INDEX(Tableau8[Att1],MATCH(Tableau3[[#This Row],[ID-INS]],Tableau8[ID],0))&amp;""</f>
        <v>V3</v>
      </c>
      <c r="H577" s="101" t="str">
        <f>INDEX(Tableau8[Att2],MATCH(Tableau3[[#This Row],[ID-INS]],Tableau8[ID],0))&amp;""</f>
        <v>P6</v>
      </c>
      <c r="I577" s="101" t="str">
        <f>INDEX(Tableau8[Att3],MATCH(Tableau3[[#This Row],[ID-INS]],Tableau8[ID],0))&amp;""</f>
        <v>Portail P6</v>
      </c>
      <c r="J577" s="101"/>
      <c r="K577" s="167" t="str">
        <f>INDEX(Tableau8[Nom du modele],MATCH(Tableau3[[#This Row],[ID-INS]],Tableau8[ID],0))&amp;""</f>
        <v>PortailBleuHydr_1</v>
      </c>
      <c r="L577" s="99" t="str">
        <f>INDEX(Tableau5[Att1],MATCH(Tableau3[[#This Row],[ID-SIG]],Tableau5[ID],0))&amp;""</f>
        <v>VD_Ouv</v>
      </c>
      <c r="M577" s="99" t="str">
        <f>INDEX(Tableau5[Att2],MATCH(Tableau3[[#This Row],[ID-SIG]],Tableau5[ID],0))&amp;""</f>
        <v/>
      </c>
      <c r="N577" s="99" t="str">
        <f>INDEX(Tableau5[Att3],MATCH(Tableau3[[#This Row],[ID-SIG]],Tableau5[ID],0))&amp;""</f>
        <v/>
      </c>
      <c r="O577" s="99"/>
      <c r="P577" s="99" t="str">
        <f>INDEX(Tableau5[Description],MATCH(Tableau3[[#This Row],[ID-SIG]],Tableau5[ID],0))</f>
        <v>Vantail droit fdc ouvert</v>
      </c>
      <c r="Q577" s="99"/>
      <c r="R577" s="103" t="str">
        <f>Tableau3[[#This Row],[Description]]</f>
        <v>Vantail droit fdc ouvert</v>
      </c>
      <c r="S577" s="52"/>
      <c r="U577" s="87">
        <v>4</v>
      </c>
      <c r="V577" s="87">
        <v>1</v>
      </c>
      <c r="W577" s="87">
        <v>5</v>
      </c>
      <c r="X577" s="87">
        <v>15</v>
      </c>
      <c r="Y577" s="40"/>
      <c r="Z577" s="165" t="str">
        <f>INDEX(Tableau2[TS],MATCH(Tableau3[[#This Row],[ID-CARTEVOIE]],Tableau2[ID-CARTEVOIE],0))</f>
        <v>ET</v>
      </c>
      <c r="AA577" s="53" t="s">
        <v>213</v>
      </c>
      <c r="AB577" s="223" t="str">
        <f>IFERROR(INDEX(Tableau5[Reserve],MATCH(Tableau3[[#This Row],[ID-SIG]],Tableau5[ID],0))&amp;"","")</f>
        <v/>
      </c>
      <c r="AC577" s="21"/>
      <c r="AD577" s="108" t="str">
        <f>INDEX(Tableau7[Repere],MATCH(Tableau3[[#This Row],[ID-API]],Tableau7[ID-API],0))&amp;""</f>
        <v>A4</v>
      </c>
      <c r="AE577" s="108" t="str">
        <f>INDEX(Tableau1[Repere-Rack],MATCH(Tableau3[[#This Row],[ID-RACK]],Tableau1[ID-RACK],0))&amp;""</f>
        <v>R1</v>
      </c>
      <c r="AF577" s="108" t="str">
        <f>INDEX(Tableau1[Repere-Slot],MATCH(Tableau3[[#This Row],[ID-SLOT]],Tableau1[ID-SLOT],0))&amp;""</f>
        <v>S5</v>
      </c>
      <c r="AG577" s="108" t="str">
        <f>INDEX(Tableau2[Repere-Voie],MATCH(Tableau3[[#This Row],[ID-VOIE]],Tableau2[ID-Voie],0))&amp;""</f>
        <v>v15</v>
      </c>
      <c r="AH577" s="72" t="str">
        <f>Tableau3[[#This Row],[ID-API]]&amp; "." &amp;Tableau3[[#This Row],[ID-RACK]]&amp; "." &amp;Tableau3[[#This Row],[ID-SLOT]]</f>
        <v>4.1.5</v>
      </c>
      <c r="AI577" s="72" t="str">
        <f>INDEX(Tableau1[Ref-Carte],MATCH(Tableau3[[#This Row],[ID-RRS]],Tableau1[ID-RRS],0))</f>
        <v>SDI1602</v>
      </c>
      <c r="AJ577" s="72" t="str">
        <f t="array" ref="AJ577">IFERROR(INDEX(Tableau2[TS],MATCH(1,(Tableau2[Ref-Carte]=Tableau3[[#This Row],[Ref-Carte2]])*(Tableau2[ID-Voie]=Tableau3[[#This Row],[ID-VOIE]]),0)),"")</f>
        <v>ET</v>
      </c>
      <c r="AK577" s="72" t="str">
        <f>IFERROR(INDEX(Tableau2[TS],SUMPRODUCT((Tableau2[Ref-Carte]=Tableau3[[#This Row],[Ref-Carte2]])*(Tableau2[ID-Voie]=Tableau3[[#This Row],[ID-VOIE]])*ROW(Tableau2[TS]))-ROW(Tableau2[#Headers])),"")</f>
        <v>ET</v>
      </c>
      <c r="AL577" s="72" t="str">
        <f>Tableau3[[#This Row],[Ref-Carte2]]&amp;"/"&amp;Tableau3[[#This Row],[ID-VOIE]]</f>
        <v>SDI1602/15</v>
      </c>
      <c r="AM577" s="73" t="str">
        <f>INDEX(Tableau2[Borne],MATCH(Tableau3[[#This Row],[ID-CARTEVOIE]],Tableau2[ID-CARTEVOIE],0))&amp;""</f>
        <v>7A</v>
      </c>
      <c r="AN577" s="74" t="str">
        <f>Tableau3[[#This Row],[ID-API]]&amp;Tableau3[[#This Row],[ID-RACK]]&amp;Tableau3[[#This Row],[ID-SLOT]]&amp;Tableau3[[#This Row],[BORNE]]</f>
        <v>4157A</v>
      </c>
      <c r="AO577" s="1"/>
    </row>
    <row r="578" spans="1:41" ht="20.100000000000001" customHeight="1" thickTop="1" thickBot="1">
      <c r="A578" s="68"/>
      <c r="B578" s="69" t="str">
        <f>IFERROR(INDEX(Tableau4[Date],MATCH($A578,Tableau4[EVO],0)),"")</f>
        <v/>
      </c>
      <c r="C578" s="68" t="str">
        <f>IFERROR(INDEX(Tableau4[Designation],MATCH($A578,Tableau4[EVO],0)),"")</f>
        <v/>
      </c>
      <c r="D578" s="68"/>
      <c r="E578" s="70">
        <v>6</v>
      </c>
      <c r="F578" s="71">
        <v>279</v>
      </c>
      <c r="G578" s="101" t="str">
        <f>INDEX(Tableau8[Att1],MATCH(Tableau3[[#This Row],[ID-INS]],Tableau8[ID],0))&amp;""</f>
        <v>V3</v>
      </c>
      <c r="H578" s="101" t="str">
        <f>INDEX(Tableau8[Att2],MATCH(Tableau3[[#This Row],[ID-INS]],Tableau8[ID],0))&amp;""</f>
        <v>P6</v>
      </c>
      <c r="I578" s="101" t="str">
        <f>INDEX(Tableau8[Att3],MATCH(Tableau3[[#This Row],[ID-INS]],Tableau8[ID],0))&amp;""</f>
        <v>Portail P6</v>
      </c>
      <c r="J578" s="101"/>
      <c r="K578" s="167" t="str">
        <f>INDEX(Tableau8[Nom du modele],MATCH(Tableau3[[#This Row],[ID-INS]],Tableau8[ID],0))&amp;""</f>
        <v>PortailBleuHydr_1</v>
      </c>
      <c r="L578" s="99" t="str">
        <f>INDEX(Tableau5[Att1],MATCH(Tableau3[[#This Row],[ID-SIG]],Tableau5[ID],0))&amp;""</f>
        <v>VD_Fer</v>
      </c>
      <c r="M578" s="99" t="str">
        <f>INDEX(Tableau5[Att2],MATCH(Tableau3[[#This Row],[ID-SIG]],Tableau5[ID],0))&amp;""</f>
        <v/>
      </c>
      <c r="N578" s="99" t="str">
        <f>INDEX(Tableau5[Att3],MATCH(Tableau3[[#This Row],[ID-SIG]],Tableau5[ID],0))&amp;""</f>
        <v/>
      </c>
      <c r="O578" s="99"/>
      <c r="P578" s="99" t="str">
        <f>INDEX(Tableau5[Description],MATCH(Tableau3[[#This Row],[ID-SIG]],Tableau5[ID],0))</f>
        <v>Vantail droit fdc fermé</v>
      </c>
      <c r="Q578" s="99"/>
      <c r="R578" s="103" t="str">
        <f>Tableau3[[#This Row],[Description]]</f>
        <v>Vantail droit fdc fermé</v>
      </c>
      <c r="S578" s="52"/>
      <c r="U578" s="87">
        <v>4</v>
      </c>
      <c r="V578" s="87">
        <v>1</v>
      </c>
      <c r="W578" s="87">
        <v>6</v>
      </c>
      <c r="X578" s="87">
        <v>0</v>
      </c>
      <c r="Y578" s="40"/>
      <c r="Z578" s="165" t="str">
        <f>INDEX(Tableau2[TS],MATCH(Tableau3[[#This Row],[ID-CARTEVOIE]],Tableau2[ID-CARTEVOIE],0))</f>
        <v>ET</v>
      </c>
      <c r="AA578" s="53" t="s">
        <v>213</v>
      </c>
      <c r="AB578" s="223" t="str">
        <f>IFERROR(INDEX(Tableau5[Reserve],MATCH(Tableau3[[#This Row],[ID-SIG]],Tableau5[ID],0))&amp;"","")</f>
        <v/>
      </c>
      <c r="AC578" s="21"/>
      <c r="AD578" s="108" t="str">
        <f>INDEX(Tableau7[Repere],MATCH(Tableau3[[#This Row],[ID-API]],Tableau7[ID-API],0))&amp;""</f>
        <v>A4</v>
      </c>
      <c r="AE578" s="108" t="str">
        <f>INDEX(Tableau1[Repere-Rack],MATCH(Tableau3[[#This Row],[ID-RACK]],Tableau1[ID-RACK],0))&amp;""</f>
        <v>R1</v>
      </c>
      <c r="AF578" s="108" t="str">
        <f>INDEX(Tableau1[Repere-Slot],MATCH(Tableau3[[#This Row],[ID-SLOT]],Tableau1[ID-SLOT],0))&amp;""</f>
        <v>S6</v>
      </c>
      <c r="AG578" s="108" t="str">
        <f>INDEX(Tableau2[Repere-Voie],MATCH(Tableau3[[#This Row],[ID-VOIE]],Tableau2[ID-Voie],0))&amp;""</f>
        <v>v0</v>
      </c>
      <c r="AH578" s="72" t="str">
        <f>Tableau3[[#This Row],[ID-API]]&amp; "." &amp;Tableau3[[#This Row],[ID-RACK]]&amp; "." &amp;Tableau3[[#This Row],[ID-SLOT]]</f>
        <v>4.1.6</v>
      </c>
      <c r="AI578" s="72" t="str">
        <f>INDEX(Tableau1[Ref-Carte],MATCH(Tableau3[[#This Row],[ID-RRS]],Tableau1[ID-RRS],0))</f>
        <v>SDI1602</v>
      </c>
      <c r="AJ578" s="72" t="str">
        <f t="array" ref="AJ578">IFERROR(INDEX(Tableau2[TS],MATCH(1,(Tableau2[Ref-Carte]=Tableau3[[#This Row],[Ref-Carte2]])*(Tableau2[ID-Voie]=Tableau3[[#This Row],[ID-VOIE]]),0)),"")</f>
        <v>ET</v>
      </c>
      <c r="AK578" s="72" t="str">
        <f>IFERROR(INDEX(Tableau2[TS],SUMPRODUCT((Tableau2[Ref-Carte]=Tableau3[[#This Row],[Ref-Carte2]])*(Tableau2[ID-Voie]=Tableau3[[#This Row],[ID-VOIE]])*ROW(Tableau2[TS]))-ROW(Tableau2[#Headers])),"")</f>
        <v>ET</v>
      </c>
      <c r="AL578" s="72" t="str">
        <f>Tableau3[[#This Row],[Ref-Carte2]]&amp;"/"&amp;Tableau3[[#This Row],[ID-VOIE]]</f>
        <v>SDI1602/0</v>
      </c>
      <c r="AM578" s="73" t="str">
        <f>INDEX(Tableau2[Borne],MATCH(Tableau3[[#This Row],[ID-CARTEVOIE]],Tableau2[ID-CARTEVOIE],0))&amp;""</f>
        <v>0B</v>
      </c>
      <c r="AN578" s="74" t="str">
        <f>Tableau3[[#This Row],[ID-API]]&amp;Tableau3[[#This Row],[ID-RACK]]&amp;Tableau3[[#This Row],[ID-SLOT]]&amp;Tableau3[[#This Row],[BORNE]]</f>
        <v>4160B</v>
      </c>
      <c r="AO578" s="1"/>
    </row>
    <row r="579" spans="1:41" ht="20.100000000000001" customHeight="1" thickTop="1" thickBot="1">
      <c r="A579" s="68"/>
      <c r="B579" s="69" t="str">
        <f>IFERROR(INDEX(Tableau4[Date],MATCH($A579,Tableau4[EVO],0)),"")</f>
        <v/>
      </c>
      <c r="C579" s="68" t="str">
        <f>IFERROR(INDEX(Tableau4[Designation],MATCH($A579,Tableau4[EVO],0)),"")</f>
        <v/>
      </c>
      <c r="D579" s="68"/>
      <c r="E579" s="70">
        <v>6</v>
      </c>
      <c r="F579" s="71">
        <v>280</v>
      </c>
      <c r="G579" s="101" t="str">
        <f>INDEX(Tableau8[Att1],MATCH(Tableau3[[#This Row],[ID-INS]],Tableau8[ID],0))&amp;""</f>
        <v>V3</v>
      </c>
      <c r="H579" s="101" t="str">
        <f>INDEX(Tableau8[Att2],MATCH(Tableau3[[#This Row],[ID-INS]],Tableau8[ID],0))&amp;""</f>
        <v>P6</v>
      </c>
      <c r="I579" s="101" t="str">
        <f>INDEX(Tableau8[Att3],MATCH(Tableau3[[#This Row],[ID-INS]],Tableau8[ID],0))&amp;""</f>
        <v>Portail P6</v>
      </c>
      <c r="J579" s="101"/>
      <c r="K579" s="167" t="str">
        <f>INDEX(Tableau8[Nom du modele],MATCH(Tableau3[[#This Row],[ID-INS]],Tableau8[ID],0))&amp;""</f>
        <v>PortailBleuHydr_1</v>
      </c>
      <c r="L579" s="99" t="str">
        <f>INDEX(Tableau5[Att1],MATCH(Tableau3[[#This Row],[ID-SIG]],Tableau5[ID],0))&amp;""</f>
        <v>VG_Ouv</v>
      </c>
      <c r="M579" s="99" t="str">
        <f>INDEX(Tableau5[Att2],MATCH(Tableau3[[#This Row],[ID-SIG]],Tableau5[ID],0))&amp;""</f>
        <v/>
      </c>
      <c r="N579" s="99" t="str">
        <f>INDEX(Tableau5[Att3],MATCH(Tableau3[[#This Row],[ID-SIG]],Tableau5[ID],0))&amp;""</f>
        <v/>
      </c>
      <c r="O579" s="99"/>
      <c r="P579" s="99" t="str">
        <f>INDEX(Tableau5[Description],MATCH(Tableau3[[#This Row],[ID-SIG]],Tableau5[ID],0))</f>
        <v>Vantail gauche fdc ouvert</v>
      </c>
      <c r="Q579" s="99"/>
      <c r="R579" s="103" t="str">
        <f>Tableau3[[#This Row],[Description]]</f>
        <v>Vantail gauche fdc ouvert</v>
      </c>
      <c r="S579" s="52"/>
      <c r="U579" s="87">
        <v>4</v>
      </c>
      <c r="V579" s="87">
        <v>1</v>
      </c>
      <c r="W579" s="87">
        <v>6</v>
      </c>
      <c r="X579" s="87">
        <v>1</v>
      </c>
      <c r="Y579" s="40"/>
      <c r="Z579" s="165" t="str">
        <f>INDEX(Tableau2[TS],MATCH(Tableau3[[#This Row],[ID-CARTEVOIE]],Tableau2[ID-CARTEVOIE],0))</f>
        <v>ET</v>
      </c>
      <c r="AA579" s="53" t="s">
        <v>213</v>
      </c>
      <c r="AB579" s="223" t="str">
        <f>IFERROR(INDEX(Tableau5[Reserve],MATCH(Tableau3[[#This Row],[ID-SIG]],Tableau5[ID],0))&amp;"","")</f>
        <v/>
      </c>
      <c r="AC579" s="21"/>
      <c r="AD579" s="108" t="str">
        <f>INDEX(Tableau7[Repere],MATCH(Tableau3[[#This Row],[ID-API]],Tableau7[ID-API],0))&amp;""</f>
        <v>A4</v>
      </c>
      <c r="AE579" s="108" t="str">
        <f>INDEX(Tableau1[Repere-Rack],MATCH(Tableau3[[#This Row],[ID-RACK]],Tableau1[ID-RACK],0))&amp;""</f>
        <v>R1</v>
      </c>
      <c r="AF579" s="108" t="str">
        <f>INDEX(Tableau1[Repere-Slot],MATCH(Tableau3[[#This Row],[ID-SLOT]],Tableau1[ID-SLOT],0))&amp;""</f>
        <v>S6</v>
      </c>
      <c r="AG579" s="108" t="str">
        <f>INDEX(Tableau2[Repere-Voie],MATCH(Tableau3[[#This Row],[ID-VOIE]],Tableau2[ID-Voie],0))&amp;""</f>
        <v>v1</v>
      </c>
      <c r="AH579" s="72" t="str">
        <f>Tableau3[[#This Row],[ID-API]]&amp; "." &amp;Tableau3[[#This Row],[ID-RACK]]&amp; "." &amp;Tableau3[[#This Row],[ID-SLOT]]</f>
        <v>4.1.6</v>
      </c>
      <c r="AI579" s="72" t="str">
        <f>INDEX(Tableau1[Ref-Carte],MATCH(Tableau3[[#This Row],[ID-RRS]],Tableau1[ID-RRS],0))</f>
        <v>SDI1602</v>
      </c>
      <c r="AJ579" s="72" t="str">
        <f t="array" ref="AJ579">IFERROR(INDEX(Tableau2[TS],MATCH(1,(Tableau2[Ref-Carte]=Tableau3[[#This Row],[Ref-Carte2]])*(Tableau2[ID-Voie]=Tableau3[[#This Row],[ID-VOIE]]),0)),"")</f>
        <v>ET</v>
      </c>
      <c r="AK579" s="72" t="str">
        <f>IFERROR(INDEX(Tableau2[TS],SUMPRODUCT((Tableau2[Ref-Carte]=Tableau3[[#This Row],[Ref-Carte2]])*(Tableau2[ID-Voie]=Tableau3[[#This Row],[ID-VOIE]])*ROW(Tableau2[TS]))-ROW(Tableau2[#Headers])),"")</f>
        <v>ET</v>
      </c>
      <c r="AL579" s="72" t="str">
        <f>Tableau3[[#This Row],[Ref-Carte2]]&amp;"/"&amp;Tableau3[[#This Row],[ID-VOIE]]</f>
        <v>SDI1602/1</v>
      </c>
      <c r="AM579" s="73" t="str">
        <f>INDEX(Tableau2[Borne],MATCH(Tableau3[[#This Row],[ID-CARTEVOIE]],Tableau2[ID-CARTEVOIE],0))&amp;""</f>
        <v>0A</v>
      </c>
      <c r="AN579" s="74" t="str">
        <f>Tableau3[[#This Row],[ID-API]]&amp;Tableau3[[#This Row],[ID-RACK]]&amp;Tableau3[[#This Row],[ID-SLOT]]&amp;Tableau3[[#This Row],[BORNE]]</f>
        <v>4160A</v>
      </c>
      <c r="AO579" s="1"/>
    </row>
    <row r="580" spans="1:41" ht="20.100000000000001" customHeight="1" thickTop="1" thickBot="1">
      <c r="A580" s="68"/>
      <c r="B580" s="69" t="str">
        <f>IFERROR(INDEX(Tableau4[Date],MATCH($A580,Tableau4[EVO],0)),"")</f>
        <v/>
      </c>
      <c r="C580" s="68" t="str">
        <f>IFERROR(INDEX(Tableau4[Designation],MATCH($A580,Tableau4[EVO],0)),"")</f>
        <v/>
      </c>
      <c r="D580" s="68"/>
      <c r="E580" s="70">
        <v>6</v>
      </c>
      <c r="F580" s="71">
        <v>281</v>
      </c>
      <c r="G580" s="101" t="str">
        <f>INDEX(Tableau8[Att1],MATCH(Tableau3[[#This Row],[ID-INS]],Tableau8[ID],0))&amp;""</f>
        <v>V3</v>
      </c>
      <c r="H580" s="101" t="str">
        <f>INDEX(Tableau8[Att2],MATCH(Tableau3[[#This Row],[ID-INS]],Tableau8[ID],0))&amp;""</f>
        <v>P6</v>
      </c>
      <c r="I580" s="101" t="str">
        <f>INDEX(Tableau8[Att3],MATCH(Tableau3[[#This Row],[ID-INS]],Tableau8[ID],0))&amp;""</f>
        <v>Portail P6</v>
      </c>
      <c r="J580" s="101"/>
      <c r="K580" s="167" t="str">
        <f>INDEX(Tableau8[Nom du modele],MATCH(Tableau3[[#This Row],[ID-INS]],Tableau8[ID],0))&amp;""</f>
        <v>PortailBleuHydr_1</v>
      </c>
      <c r="L580" s="99" t="str">
        <f>INDEX(Tableau5[Att1],MATCH(Tableau3[[#This Row],[ID-SIG]],Tableau5[ID],0))&amp;""</f>
        <v>VG_Fer</v>
      </c>
      <c r="M580" s="99" t="str">
        <f>INDEX(Tableau5[Att2],MATCH(Tableau3[[#This Row],[ID-SIG]],Tableau5[ID],0))&amp;""</f>
        <v/>
      </c>
      <c r="N580" s="99" t="str">
        <f>INDEX(Tableau5[Att3],MATCH(Tableau3[[#This Row],[ID-SIG]],Tableau5[ID],0))&amp;""</f>
        <v/>
      </c>
      <c r="O580" s="99"/>
      <c r="P580" s="99" t="str">
        <f>INDEX(Tableau5[Description],MATCH(Tableau3[[#This Row],[ID-SIG]],Tableau5[ID],0))</f>
        <v>Vantail gauche fdc fermé</v>
      </c>
      <c r="Q580" s="99"/>
      <c r="R580" s="103" t="str">
        <f>Tableau3[[#This Row],[Description]]</f>
        <v>Vantail gauche fdc fermé</v>
      </c>
      <c r="S580" s="52"/>
      <c r="U580" s="87">
        <v>4</v>
      </c>
      <c r="V580" s="87">
        <v>1</v>
      </c>
      <c r="W580" s="87">
        <v>6</v>
      </c>
      <c r="X580" s="87">
        <v>2</v>
      </c>
      <c r="Y580" s="40"/>
      <c r="Z580" s="165" t="str">
        <f>INDEX(Tableau2[TS],MATCH(Tableau3[[#This Row],[ID-CARTEVOIE]],Tableau2[ID-CARTEVOIE],0))</f>
        <v>ET</v>
      </c>
      <c r="AA580" s="53" t="s">
        <v>213</v>
      </c>
      <c r="AB580" s="223" t="str">
        <f>IFERROR(INDEX(Tableau5[Reserve],MATCH(Tableau3[[#This Row],[ID-SIG]],Tableau5[ID],0))&amp;"","")</f>
        <v/>
      </c>
      <c r="AC580" s="21"/>
      <c r="AD580" s="108" t="str">
        <f>INDEX(Tableau7[Repere],MATCH(Tableau3[[#This Row],[ID-API]],Tableau7[ID-API],0))&amp;""</f>
        <v>A4</v>
      </c>
      <c r="AE580" s="108" t="str">
        <f>INDEX(Tableau1[Repere-Rack],MATCH(Tableau3[[#This Row],[ID-RACK]],Tableau1[ID-RACK],0))&amp;""</f>
        <v>R1</v>
      </c>
      <c r="AF580" s="108" t="str">
        <f>INDEX(Tableau1[Repere-Slot],MATCH(Tableau3[[#This Row],[ID-SLOT]],Tableau1[ID-SLOT],0))&amp;""</f>
        <v>S6</v>
      </c>
      <c r="AG580" s="108" t="str">
        <f>INDEX(Tableau2[Repere-Voie],MATCH(Tableau3[[#This Row],[ID-VOIE]],Tableau2[ID-Voie],0))&amp;""</f>
        <v>v2</v>
      </c>
      <c r="AH580" s="72" t="str">
        <f>Tableau3[[#This Row],[ID-API]]&amp; "." &amp;Tableau3[[#This Row],[ID-RACK]]&amp; "." &amp;Tableau3[[#This Row],[ID-SLOT]]</f>
        <v>4.1.6</v>
      </c>
      <c r="AI580" s="72" t="str">
        <f>INDEX(Tableau1[Ref-Carte],MATCH(Tableau3[[#This Row],[ID-RRS]],Tableau1[ID-RRS],0))</f>
        <v>SDI1602</v>
      </c>
      <c r="AJ580" s="72" t="str">
        <f t="array" ref="AJ580">IFERROR(INDEX(Tableau2[TS],MATCH(1,(Tableau2[Ref-Carte]=Tableau3[[#This Row],[Ref-Carte2]])*(Tableau2[ID-Voie]=Tableau3[[#This Row],[ID-VOIE]]),0)),"")</f>
        <v>ET</v>
      </c>
      <c r="AK580" s="72" t="str">
        <f>IFERROR(INDEX(Tableau2[TS],SUMPRODUCT((Tableau2[Ref-Carte]=Tableau3[[#This Row],[Ref-Carte2]])*(Tableau2[ID-Voie]=Tableau3[[#This Row],[ID-VOIE]])*ROW(Tableau2[TS]))-ROW(Tableau2[#Headers])),"")</f>
        <v>ET</v>
      </c>
      <c r="AL580" s="72" t="str">
        <f>Tableau3[[#This Row],[Ref-Carte2]]&amp;"/"&amp;Tableau3[[#This Row],[ID-VOIE]]</f>
        <v>SDI1602/2</v>
      </c>
      <c r="AM580" s="73" t="str">
        <f>INDEX(Tableau2[Borne],MATCH(Tableau3[[#This Row],[ID-CARTEVOIE]],Tableau2[ID-CARTEVOIE],0))&amp;""</f>
        <v>1B</v>
      </c>
      <c r="AN580" s="74" t="str">
        <f>Tableau3[[#This Row],[ID-API]]&amp;Tableau3[[#This Row],[ID-RACK]]&amp;Tableau3[[#This Row],[ID-SLOT]]&amp;Tableau3[[#This Row],[BORNE]]</f>
        <v>4161B</v>
      </c>
      <c r="AO580" s="1"/>
    </row>
    <row r="581" spans="1:41" ht="20.100000000000001" customHeight="1" thickTop="1" thickBot="1">
      <c r="A581" s="68"/>
      <c r="B581" s="69" t="str">
        <f>IFERROR(INDEX(Tableau4[Date],MATCH($A581,Tableau4[EVO],0)),"")</f>
        <v/>
      </c>
      <c r="C581" s="68" t="str">
        <f>IFERROR(INDEX(Tableau4[Designation],MATCH($A581,Tableau4[EVO],0)),"")</f>
        <v/>
      </c>
      <c r="D581" s="68"/>
      <c r="E581" s="70">
        <v>6</v>
      </c>
      <c r="F581" s="71">
        <v>282</v>
      </c>
      <c r="G581" s="101" t="str">
        <f>INDEX(Tableau8[Att1],MATCH(Tableau3[[#This Row],[ID-INS]],Tableau8[ID],0))&amp;""</f>
        <v>V3</v>
      </c>
      <c r="H581" s="101" t="str">
        <f>INDEX(Tableau8[Att2],MATCH(Tableau3[[#This Row],[ID-INS]],Tableau8[ID],0))&amp;""</f>
        <v>P6</v>
      </c>
      <c r="I581" s="101" t="str">
        <f>INDEX(Tableau8[Att3],MATCH(Tableau3[[#This Row],[ID-INS]],Tableau8[ID],0))&amp;""</f>
        <v>Portail P6</v>
      </c>
      <c r="J581" s="101"/>
      <c r="K581" s="167" t="str">
        <f>INDEX(Tableau8[Nom du modele],MATCH(Tableau3[[#This Row],[ID-INS]],Tableau8[ID],0))&amp;""</f>
        <v>PortailBleuHydr_1</v>
      </c>
      <c r="L581" s="99" t="str">
        <f>INDEX(Tableau5[Att1],MATCH(Tableau3[[#This Row],[ID-SIG]],Tableau5[ID],0))&amp;""</f>
        <v>Vx_GrpHydAlimDef</v>
      </c>
      <c r="M581" s="99" t="str">
        <f>INDEX(Tableau5[Att2],MATCH(Tableau3[[#This Row],[ID-SIG]],Tableau5[ID],0))&amp;""</f>
        <v/>
      </c>
      <c r="N581" s="99" t="str">
        <f>INDEX(Tableau5[Att3],MATCH(Tableau3[[#This Row],[ID-SIG]],Tableau5[ID],0))&amp;""</f>
        <v/>
      </c>
      <c r="O581" s="99"/>
      <c r="P581" s="99" t="str">
        <f>INDEX(Tableau5[Description],MATCH(Tableau3[[#This Row],[ID-SIG]],Tableau5[ID],0))</f>
        <v>Défaut alimentation groupe hydraulique</v>
      </c>
      <c r="Q581" s="99"/>
      <c r="R581" s="103" t="str">
        <f>Tableau3[[#This Row],[Description]]</f>
        <v>Défaut alimentation groupe hydraulique</v>
      </c>
      <c r="S581" s="52"/>
      <c r="U581" s="87">
        <v>4</v>
      </c>
      <c r="V581" s="87">
        <v>1</v>
      </c>
      <c r="W581" s="87">
        <v>6</v>
      </c>
      <c r="X581" s="87">
        <v>3</v>
      </c>
      <c r="Y581" s="40"/>
      <c r="Z581" s="165" t="str">
        <f>INDEX(Tableau2[TS],MATCH(Tableau3[[#This Row],[ID-CARTEVOIE]],Tableau2[ID-CARTEVOIE],0))</f>
        <v>ET</v>
      </c>
      <c r="AA581" s="53" t="s">
        <v>213</v>
      </c>
      <c r="AB581" s="223" t="str">
        <f>IFERROR(INDEX(Tableau5[Reserve],MATCH(Tableau3[[#This Row],[ID-SIG]],Tableau5[ID],0))&amp;"","")</f>
        <v/>
      </c>
      <c r="AC581" s="21"/>
      <c r="AD581" s="108" t="str">
        <f>INDEX(Tableau7[Repere],MATCH(Tableau3[[#This Row],[ID-API]],Tableau7[ID-API],0))&amp;""</f>
        <v>A4</v>
      </c>
      <c r="AE581" s="108" t="str">
        <f>INDEX(Tableau1[Repere-Rack],MATCH(Tableau3[[#This Row],[ID-RACK]],Tableau1[ID-RACK],0))&amp;""</f>
        <v>R1</v>
      </c>
      <c r="AF581" s="108" t="str">
        <f>INDEX(Tableau1[Repere-Slot],MATCH(Tableau3[[#This Row],[ID-SLOT]],Tableau1[ID-SLOT],0))&amp;""</f>
        <v>S6</v>
      </c>
      <c r="AG581" s="108" t="str">
        <f>INDEX(Tableau2[Repere-Voie],MATCH(Tableau3[[#This Row],[ID-VOIE]],Tableau2[ID-Voie],0))&amp;""</f>
        <v>v3</v>
      </c>
      <c r="AH581" s="72" t="str">
        <f>Tableau3[[#This Row],[ID-API]]&amp; "." &amp;Tableau3[[#This Row],[ID-RACK]]&amp; "." &amp;Tableau3[[#This Row],[ID-SLOT]]</f>
        <v>4.1.6</v>
      </c>
      <c r="AI581" s="72" t="str">
        <f>INDEX(Tableau1[Ref-Carte],MATCH(Tableau3[[#This Row],[ID-RRS]],Tableau1[ID-RRS],0))</f>
        <v>SDI1602</v>
      </c>
      <c r="AJ581" s="72" t="str">
        <f t="array" ref="AJ581">IFERROR(INDEX(Tableau2[TS],MATCH(1,(Tableau2[Ref-Carte]=Tableau3[[#This Row],[Ref-Carte2]])*(Tableau2[ID-Voie]=Tableau3[[#This Row],[ID-VOIE]]),0)),"")</f>
        <v>ET</v>
      </c>
      <c r="AK581" s="72" t="str">
        <f>IFERROR(INDEX(Tableau2[TS],SUMPRODUCT((Tableau2[Ref-Carte]=Tableau3[[#This Row],[Ref-Carte2]])*(Tableau2[ID-Voie]=Tableau3[[#This Row],[ID-VOIE]])*ROW(Tableau2[TS]))-ROW(Tableau2[#Headers])),"")</f>
        <v>ET</v>
      </c>
      <c r="AL581" s="72" t="str">
        <f>Tableau3[[#This Row],[Ref-Carte2]]&amp;"/"&amp;Tableau3[[#This Row],[ID-VOIE]]</f>
        <v>SDI1602/3</v>
      </c>
      <c r="AM581" s="73" t="str">
        <f>INDEX(Tableau2[Borne],MATCH(Tableau3[[#This Row],[ID-CARTEVOIE]],Tableau2[ID-CARTEVOIE],0))&amp;""</f>
        <v>1A</v>
      </c>
      <c r="AN581" s="74" t="str">
        <f>Tableau3[[#This Row],[ID-API]]&amp;Tableau3[[#This Row],[ID-RACK]]&amp;Tableau3[[#This Row],[ID-SLOT]]&amp;Tableau3[[#This Row],[BORNE]]</f>
        <v>4161A</v>
      </c>
      <c r="AO581" s="1"/>
    </row>
    <row r="582" spans="1:41" ht="20.100000000000001" customHeight="1" thickTop="1" thickBot="1">
      <c r="A582" s="68"/>
      <c r="B582" s="69" t="str">
        <f>IFERROR(INDEX(Tableau4[Date],MATCH($A582,Tableau4[EVO],0)),"")</f>
        <v/>
      </c>
      <c r="C582" s="68" t="str">
        <f>IFERROR(INDEX(Tableau4[Designation],MATCH($A582,Tableau4[EVO],0)),"")</f>
        <v/>
      </c>
      <c r="D582" s="68"/>
      <c r="E582" s="70">
        <v>6</v>
      </c>
      <c r="F582" s="71">
        <v>283</v>
      </c>
      <c r="G582" s="101" t="str">
        <f>INDEX(Tableau8[Att1],MATCH(Tableau3[[#This Row],[ID-INS]],Tableau8[ID],0))&amp;""</f>
        <v>V3</v>
      </c>
      <c r="H582" s="101" t="str">
        <f>INDEX(Tableau8[Att2],MATCH(Tableau3[[#This Row],[ID-INS]],Tableau8[ID],0))&amp;""</f>
        <v>P6</v>
      </c>
      <c r="I582" s="101" t="str">
        <f>INDEX(Tableau8[Att3],MATCH(Tableau3[[#This Row],[ID-INS]],Tableau8[ID],0))&amp;""</f>
        <v>Portail P6</v>
      </c>
      <c r="J582" s="101"/>
      <c r="K582" s="167" t="str">
        <f>INDEX(Tableau8[Nom du modele],MATCH(Tableau3[[#This Row],[ID-INS]],Tableau8[ID],0))&amp;""</f>
        <v>PortailBleuHydr_1</v>
      </c>
      <c r="L582" s="99" t="str">
        <f>INDEX(Tableau5[Att1],MATCH(Tableau3[[#This Row],[ID-SIG]],Tableau5[ID],0))&amp;""</f>
        <v>V_GrpHydRet1</v>
      </c>
      <c r="M582" s="99" t="str">
        <f>INDEX(Tableau5[Att2],MATCH(Tableau3[[#This Row],[ID-SIG]],Tableau5[ID],0))&amp;""</f>
        <v/>
      </c>
      <c r="N582" s="99" t="str">
        <f>INDEX(Tableau5[Att3],MATCH(Tableau3[[#This Row],[ID-SIG]],Tableau5[ID],0))&amp;""</f>
        <v/>
      </c>
      <c r="O582" s="99"/>
      <c r="P582" s="99" t="str">
        <f>INDEX(Tableau5[Description],MATCH(Tableau3[[#This Row],[ID-SIG]],Tableau5[ID],0))</f>
        <v>Retour Commande 1 marche groupe hydr</v>
      </c>
      <c r="Q582" s="99"/>
      <c r="R582" s="103" t="str">
        <f>Tableau3[[#This Row],[Description]]</f>
        <v>Retour Commande 1 marche groupe hydr</v>
      </c>
      <c r="S582" s="52"/>
      <c r="U582" s="87">
        <v>4</v>
      </c>
      <c r="V582" s="87">
        <v>1</v>
      </c>
      <c r="W582" s="87">
        <v>6</v>
      </c>
      <c r="X582" s="87">
        <v>4</v>
      </c>
      <c r="Y582" s="40"/>
      <c r="Z582" s="165" t="str">
        <f>INDEX(Tableau2[TS],MATCH(Tableau3[[#This Row],[ID-CARTEVOIE]],Tableau2[ID-CARTEVOIE],0))</f>
        <v>ET</v>
      </c>
      <c r="AA582" s="53" t="s">
        <v>213</v>
      </c>
      <c r="AB582" s="223" t="str">
        <f>IFERROR(INDEX(Tableau5[Reserve],MATCH(Tableau3[[#This Row],[ID-SIG]],Tableau5[ID],0))&amp;"","")</f>
        <v/>
      </c>
      <c r="AC582" s="21"/>
      <c r="AD582" s="108" t="str">
        <f>INDEX(Tableau7[Repere],MATCH(Tableau3[[#This Row],[ID-API]],Tableau7[ID-API],0))&amp;""</f>
        <v>A4</v>
      </c>
      <c r="AE582" s="108" t="str">
        <f>INDEX(Tableau1[Repere-Rack],MATCH(Tableau3[[#This Row],[ID-RACK]],Tableau1[ID-RACK],0))&amp;""</f>
        <v>R1</v>
      </c>
      <c r="AF582" s="108" t="str">
        <f>INDEX(Tableau1[Repere-Slot],MATCH(Tableau3[[#This Row],[ID-SLOT]],Tableau1[ID-SLOT],0))&amp;""</f>
        <v>S6</v>
      </c>
      <c r="AG582" s="108" t="str">
        <f>INDEX(Tableau2[Repere-Voie],MATCH(Tableau3[[#This Row],[ID-VOIE]],Tableau2[ID-Voie],0))&amp;""</f>
        <v>v4</v>
      </c>
      <c r="AH582" s="72" t="str">
        <f>Tableau3[[#This Row],[ID-API]]&amp; "." &amp;Tableau3[[#This Row],[ID-RACK]]&amp; "." &amp;Tableau3[[#This Row],[ID-SLOT]]</f>
        <v>4.1.6</v>
      </c>
      <c r="AI582" s="72" t="str">
        <f>INDEX(Tableau1[Ref-Carte],MATCH(Tableau3[[#This Row],[ID-RRS]],Tableau1[ID-RRS],0))</f>
        <v>SDI1602</v>
      </c>
      <c r="AJ582" s="72" t="str">
        <f t="array" ref="AJ582">IFERROR(INDEX(Tableau2[TS],MATCH(1,(Tableau2[Ref-Carte]=Tableau3[[#This Row],[Ref-Carte2]])*(Tableau2[ID-Voie]=Tableau3[[#This Row],[ID-VOIE]]),0)),"")</f>
        <v>ET</v>
      </c>
      <c r="AK582" s="72" t="str">
        <f>IFERROR(INDEX(Tableau2[TS],SUMPRODUCT((Tableau2[Ref-Carte]=Tableau3[[#This Row],[Ref-Carte2]])*(Tableau2[ID-Voie]=Tableau3[[#This Row],[ID-VOIE]])*ROW(Tableau2[TS]))-ROW(Tableau2[#Headers])),"")</f>
        <v>ET</v>
      </c>
      <c r="AL582" s="72" t="str">
        <f>Tableau3[[#This Row],[Ref-Carte2]]&amp;"/"&amp;Tableau3[[#This Row],[ID-VOIE]]</f>
        <v>SDI1602/4</v>
      </c>
      <c r="AM582" s="73" t="str">
        <f>INDEX(Tableau2[Borne],MATCH(Tableau3[[#This Row],[ID-CARTEVOIE]],Tableau2[ID-CARTEVOIE],0))&amp;""</f>
        <v>2B</v>
      </c>
      <c r="AN582" s="74" t="str">
        <f>Tableau3[[#This Row],[ID-API]]&amp;Tableau3[[#This Row],[ID-RACK]]&amp;Tableau3[[#This Row],[ID-SLOT]]&amp;Tableau3[[#This Row],[BORNE]]</f>
        <v>4162B</v>
      </c>
      <c r="AO582" s="1"/>
    </row>
    <row r="583" spans="1:41" ht="20.100000000000001" customHeight="1" thickTop="1" thickBot="1">
      <c r="A583" s="68"/>
      <c r="B583" s="69" t="str">
        <f>IFERROR(INDEX(Tableau4[Date],MATCH($A583,Tableau4[EVO],0)),"")</f>
        <v/>
      </c>
      <c r="C583" s="68" t="str">
        <f>IFERROR(INDEX(Tableau4[Designation],MATCH($A583,Tableau4[EVO],0)),"")</f>
        <v/>
      </c>
      <c r="D583" s="68"/>
      <c r="E583" s="70">
        <v>6</v>
      </c>
      <c r="F583" s="71">
        <v>284</v>
      </c>
      <c r="G583" s="101" t="str">
        <f>INDEX(Tableau8[Att1],MATCH(Tableau3[[#This Row],[ID-INS]],Tableau8[ID],0))&amp;""</f>
        <v>V3</v>
      </c>
      <c r="H583" s="101" t="str">
        <f>INDEX(Tableau8[Att2],MATCH(Tableau3[[#This Row],[ID-INS]],Tableau8[ID],0))&amp;""</f>
        <v>P6</v>
      </c>
      <c r="I583" s="101" t="str">
        <f>INDEX(Tableau8[Att3],MATCH(Tableau3[[#This Row],[ID-INS]],Tableau8[ID],0))&amp;""</f>
        <v>Portail P6</v>
      </c>
      <c r="J583" s="101"/>
      <c r="K583" s="167" t="str">
        <f>INDEX(Tableau8[Nom du modele],MATCH(Tableau3[[#This Row],[ID-INS]],Tableau8[ID],0))&amp;""</f>
        <v>PortailBleuHydr_1</v>
      </c>
      <c r="L583" s="99" t="str">
        <f>INDEX(Tableau5[Att1],MATCH(Tableau3[[#This Row],[ID-SIG]],Tableau5[ID],0))&amp;""</f>
        <v>VD_BandeP</v>
      </c>
      <c r="M583" s="99" t="str">
        <f>INDEX(Tableau5[Att2],MATCH(Tableau3[[#This Row],[ID-SIG]],Tableau5[ID],0))&amp;""</f>
        <v/>
      </c>
      <c r="N583" s="99" t="str">
        <f>INDEX(Tableau5[Att3],MATCH(Tableau3[[#This Row],[ID-SIG]],Tableau5[ID],0))&amp;""</f>
        <v/>
      </c>
      <c r="O583" s="99"/>
      <c r="P583" s="99" t="str">
        <f>INDEX(Tableau5[Description],MATCH(Tableau3[[#This Row],[ID-SIG]],Tableau5[ID],0))</f>
        <v>Bande palpeuse droite à la fermeture</v>
      </c>
      <c r="Q583" s="99"/>
      <c r="R583" s="103" t="str">
        <f>Tableau3[[#This Row],[Description]]</f>
        <v>Bande palpeuse droite à la fermeture</v>
      </c>
      <c r="S583" s="52"/>
      <c r="U583" s="87">
        <v>4</v>
      </c>
      <c r="V583" s="87">
        <v>1</v>
      </c>
      <c r="W583" s="87">
        <v>6</v>
      </c>
      <c r="X583" s="87">
        <v>5</v>
      </c>
      <c r="Y583" s="40"/>
      <c r="Z583" s="165" t="str">
        <f>INDEX(Tableau2[TS],MATCH(Tableau3[[#This Row],[ID-CARTEVOIE]],Tableau2[ID-CARTEVOIE],0))</f>
        <v>ET</v>
      </c>
      <c r="AA583" s="53" t="s">
        <v>213</v>
      </c>
      <c r="AB583" s="223" t="str">
        <f>IFERROR(INDEX(Tableau5[Reserve],MATCH(Tableau3[[#This Row],[ID-SIG]],Tableau5[ID],0))&amp;"","")</f>
        <v/>
      </c>
      <c r="AC583" s="21"/>
      <c r="AD583" s="108" t="str">
        <f>INDEX(Tableau7[Repere],MATCH(Tableau3[[#This Row],[ID-API]],Tableau7[ID-API],0))&amp;""</f>
        <v>A4</v>
      </c>
      <c r="AE583" s="108" t="str">
        <f>INDEX(Tableau1[Repere-Rack],MATCH(Tableau3[[#This Row],[ID-RACK]],Tableau1[ID-RACK],0))&amp;""</f>
        <v>R1</v>
      </c>
      <c r="AF583" s="108" t="str">
        <f>INDEX(Tableau1[Repere-Slot],MATCH(Tableau3[[#This Row],[ID-SLOT]],Tableau1[ID-SLOT],0))&amp;""</f>
        <v>S6</v>
      </c>
      <c r="AG583" s="108" t="str">
        <f>INDEX(Tableau2[Repere-Voie],MATCH(Tableau3[[#This Row],[ID-VOIE]],Tableau2[ID-Voie],0))&amp;""</f>
        <v>v5</v>
      </c>
      <c r="AH583" s="72" t="str">
        <f>Tableau3[[#This Row],[ID-API]]&amp; "." &amp;Tableau3[[#This Row],[ID-RACK]]&amp; "." &amp;Tableau3[[#This Row],[ID-SLOT]]</f>
        <v>4.1.6</v>
      </c>
      <c r="AI583" s="72" t="str">
        <f>INDEX(Tableau1[Ref-Carte],MATCH(Tableau3[[#This Row],[ID-RRS]],Tableau1[ID-RRS],0))</f>
        <v>SDI1602</v>
      </c>
      <c r="AJ583" s="72" t="str">
        <f t="array" ref="AJ583">IFERROR(INDEX(Tableau2[TS],MATCH(1,(Tableau2[Ref-Carte]=Tableau3[[#This Row],[Ref-Carte2]])*(Tableau2[ID-Voie]=Tableau3[[#This Row],[ID-VOIE]]),0)),"")</f>
        <v>ET</v>
      </c>
      <c r="AK583" s="72" t="str">
        <f>IFERROR(INDEX(Tableau2[TS],SUMPRODUCT((Tableau2[Ref-Carte]=Tableau3[[#This Row],[Ref-Carte2]])*(Tableau2[ID-Voie]=Tableau3[[#This Row],[ID-VOIE]])*ROW(Tableau2[TS]))-ROW(Tableau2[#Headers])),"")</f>
        <v>ET</v>
      </c>
      <c r="AL583" s="72" t="str">
        <f>Tableau3[[#This Row],[Ref-Carte2]]&amp;"/"&amp;Tableau3[[#This Row],[ID-VOIE]]</f>
        <v>SDI1602/5</v>
      </c>
      <c r="AM583" s="73" t="str">
        <f>INDEX(Tableau2[Borne],MATCH(Tableau3[[#This Row],[ID-CARTEVOIE]],Tableau2[ID-CARTEVOIE],0))&amp;""</f>
        <v>2A</v>
      </c>
      <c r="AN583" s="74" t="str">
        <f>Tableau3[[#This Row],[ID-API]]&amp;Tableau3[[#This Row],[ID-RACK]]&amp;Tableau3[[#This Row],[ID-SLOT]]&amp;Tableau3[[#This Row],[BORNE]]</f>
        <v>4162A</v>
      </c>
      <c r="AO583" s="1"/>
    </row>
    <row r="584" spans="1:41" ht="20.100000000000001" customHeight="1" thickTop="1" thickBot="1">
      <c r="A584" s="68"/>
      <c r="B584" s="69" t="str">
        <f>IFERROR(INDEX(Tableau4[Date],MATCH($A584,Tableau4[EVO],0)),"")</f>
        <v/>
      </c>
      <c r="C584" s="68" t="str">
        <f>IFERROR(INDEX(Tableau4[Designation],MATCH($A584,Tableau4[EVO],0)),"")</f>
        <v/>
      </c>
      <c r="D584" s="68"/>
      <c r="E584" s="70">
        <v>6</v>
      </c>
      <c r="F584" s="71">
        <v>285</v>
      </c>
      <c r="G584" s="101" t="str">
        <f>INDEX(Tableau8[Att1],MATCH(Tableau3[[#This Row],[ID-INS]],Tableau8[ID],0))&amp;""</f>
        <v>V3</v>
      </c>
      <c r="H584" s="101" t="str">
        <f>INDEX(Tableau8[Att2],MATCH(Tableau3[[#This Row],[ID-INS]],Tableau8[ID],0))&amp;""</f>
        <v>P6</v>
      </c>
      <c r="I584" s="101" t="str">
        <f>INDEX(Tableau8[Att3],MATCH(Tableau3[[#This Row],[ID-INS]],Tableau8[ID],0))&amp;""</f>
        <v>Portail P6</v>
      </c>
      <c r="J584" s="101"/>
      <c r="K584" s="167" t="str">
        <f>INDEX(Tableau8[Nom du modele],MATCH(Tableau3[[#This Row],[ID-INS]],Tableau8[ID],0))&amp;""</f>
        <v>PortailBleuHydr_1</v>
      </c>
      <c r="L584" s="99" t="str">
        <f>INDEX(Tableau5[Att1],MATCH(Tableau3[[#This Row],[ID-SIG]],Tableau5[ID],0))&amp;""</f>
        <v>VG_BandeP</v>
      </c>
      <c r="M584" s="99" t="str">
        <f>INDEX(Tableau5[Att2],MATCH(Tableau3[[#This Row],[ID-SIG]],Tableau5[ID],0))&amp;""</f>
        <v/>
      </c>
      <c r="N584" s="99" t="str">
        <f>INDEX(Tableau5[Att3],MATCH(Tableau3[[#This Row],[ID-SIG]],Tableau5[ID],0))&amp;""</f>
        <v/>
      </c>
      <c r="O584" s="99"/>
      <c r="P584" s="99" t="str">
        <f>INDEX(Tableau5[Description],MATCH(Tableau3[[#This Row],[ID-SIG]],Tableau5[ID],0))</f>
        <v>Bande palpeuse gauche à la fermeture</v>
      </c>
      <c r="Q584" s="99"/>
      <c r="R584" s="103" t="str">
        <f>Tableau3[[#This Row],[Description]]</f>
        <v>Bande palpeuse gauche à la fermeture</v>
      </c>
      <c r="S584" s="52"/>
      <c r="U584" s="87">
        <v>4</v>
      </c>
      <c r="V584" s="87">
        <v>1</v>
      </c>
      <c r="W584" s="87">
        <v>6</v>
      </c>
      <c r="X584" s="87">
        <v>6</v>
      </c>
      <c r="Y584" s="40"/>
      <c r="Z584" s="165" t="str">
        <f>INDEX(Tableau2[TS],MATCH(Tableau3[[#This Row],[ID-CARTEVOIE]],Tableau2[ID-CARTEVOIE],0))</f>
        <v>ET</v>
      </c>
      <c r="AA584" s="53" t="s">
        <v>213</v>
      </c>
      <c r="AB584" s="223" t="str">
        <f>IFERROR(INDEX(Tableau5[Reserve],MATCH(Tableau3[[#This Row],[ID-SIG]],Tableau5[ID],0))&amp;"","")</f>
        <v/>
      </c>
      <c r="AC584" s="21"/>
      <c r="AD584" s="108" t="str">
        <f>INDEX(Tableau7[Repere],MATCH(Tableau3[[#This Row],[ID-API]],Tableau7[ID-API],0))&amp;""</f>
        <v>A4</v>
      </c>
      <c r="AE584" s="108" t="str">
        <f>INDEX(Tableau1[Repere-Rack],MATCH(Tableau3[[#This Row],[ID-RACK]],Tableau1[ID-RACK],0))&amp;""</f>
        <v>R1</v>
      </c>
      <c r="AF584" s="108" t="str">
        <f>INDEX(Tableau1[Repere-Slot],MATCH(Tableau3[[#This Row],[ID-SLOT]],Tableau1[ID-SLOT],0))&amp;""</f>
        <v>S6</v>
      </c>
      <c r="AG584" s="108" t="str">
        <f>INDEX(Tableau2[Repere-Voie],MATCH(Tableau3[[#This Row],[ID-VOIE]],Tableau2[ID-Voie],0))&amp;""</f>
        <v>v6</v>
      </c>
      <c r="AH584" s="72" t="str">
        <f>Tableau3[[#This Row],[ID-API]]&amp; "." &amp;Tableau3[[#This Row],[ID-RACK]]&amp; "." &amp;Tableau3[[#This Row],[ID-SLOT]]</f>
        <v>4.1.6</v>
      </c>
      <c r="AI584" s="72" t="str">
        <f>INDEX(Tableau1[Ref-Carte],MATCH(Tableau3[[#This Row],[ID-RRS]],Tableau1[ID-RRS],0))</f>
        <v>SDI1602</v>
      </c>
      <c r="AJ584" s="72" t="str">
        <f t="array" ref="AJ584">IFERROR(INDEX(Tableau2[TS],MATCH(1,(Tableau2[Ref-Carte]=Tableau3[[#This Row],[Ref-Carte2]])*(Tableau2[ID-Voie]=Tableau3[[#This Row],[ID-VOIE]]),0)),"")</f>
        <v>ET</v>
      </c>
      <c r="AK584" s="72" t="str">
        <f>IFERROR(INDEX(Tableau2[TS],SUMPRODUCT((Tableau2[Ref-Carte]=Tableau3[[#This Row],[Ref-Carte2]])*(Tableau2[ID-Voie]=Tableau3[[#This Row],[ID-VOIE]])*ROW(Tableau2[TS]))-ROW(Tableau2[#Headers])),"")</f>
        <v>ET</v>
      </c>
      <c r="AL584" s="72" t="str">
        <f>Tableau3[[#This Row],[Ref-Carte2]]&amp;"/"&amp;Tableau3[[#This Row],[ID-VOIE]]</f>
        <v>SDI1602/6</v>
      </c>
      <c r="AM584" s="73" t="str">
        <f>INDEX(Tableau2[Borne],MATCH(Tableau3[[#This Row],[ID-CARTEVOIE]],Tableau2[ID-CARTEVOIE],0))&amp;""</f>
        <v>3B</v>
      </c>
      <c r="AN584" s="74" t="str">
        <f>Tableau3[[#This Row],[ID-API]]&amp;Tableau3[[#This Row],[ID-RACK]]&amp;Tableau3[[#This Row],[ID-SLOT]]&amp;Tableau3[[#This Row],[BORNE]]</f>
        <v>4163B</v>
      </c>
      <c r="AO584" s="1"/>
    </row>
    <row r="585" spans="1:41" ht="20.100000000000001" customHeight="1" thickTop="1" thickBot="1">
      <c r="A585" s="68"/>
      <c r="B585" s="69" t="str">
        <f>IFERROR(INDEX(Tableau4[Date],MATCH($A585,Tableau4[EVO],0)),"")</f>
        <v/>
      </c>
      <c r="C585" s="68" t="str">
        <f>IFERROR(INDEX(Tableau4[Designation],MATCH($A585,Tableau4[EVO],0)),"")</f>
        <v/>
      </c>
      <c r="D585" s="68"/>
      <c r="E585" s="70">
        <v>6</v>
      </c>
      <c r="F585" s="71">
        <v>286</v>
      </c>
      <c r="G585" s="101" t="str">
        <f>INDEX(Tableau8[Att1],MATCH(Tableau3[[#This Row],[ID-INS]],Tableau8[ID],0))&amp;""</f>
        <v>V3</v>
      </c>
      <c r="H585" s="101" t="str">
        <f>INDEX(Tableau8[Att2],MATCH(Tableau3[[#This Row],[ID-INS]],Tableau8[ID],0))&amp;""</f>
        <v>P6</v>
      </c>
      <c r="I585" s="101" t="str">
        <f>INDEX(Tableau8[Att3],MATCH(Tableau3[[#This Row],[ID-INS]],Tableau8[ID],0))&amp;""</f>
        <v>Portail P6</v>
      </c>
      <c r="J585" s="101"/>
      <c r="K585" s="167" t="str">
        <f>INDEX(Tableau8[Nom du modele],MATCH(Tableau3[[#This Row],[ID-INS]],Tableau8[ID],0))&amp;""</f>
        <v>PortailBleuHydr_1</v>
      </c>
      <c r="L585" s="99" t="str">
        <f>INDEX(Tableau5[Att1],MATCH(Tableau3[[#This Row],[ID-SIG]],Tableau5[ID],0))&amp;""</f>
        <v>Vx_CellInfraInt</v>
      </c>
      <c r="M585" s="99" t="str">
        <f>INDEX(Tableau5[Att2],MATCH(Tableau3[[#This Row],[ID-SIG]],Tableau5[ID],0))&amp;""</f>
        <v/>
      </c>
      <c r="N585" s="99" t="str">
        <f>INDEX(Tableau5[Att3],MATCH(Tableau3[[#This Row],[ID-SIG]],Tableau5[ID],0))&amp;""</f>
        <v/>
      </c>
      <c r="O585" s="99"/>
      <c r="P585" s="99" t="str">
        <f>INDEX(Tableau5[Description],MATCH(Tableau3[[#This Row],[ID-SIG]],Tableau5[ID],0))</f>
        <v>Cellule infrarouge intérieure</v>
      </c>
      <c r="Q585" s="99"/>
      <c r="R585" s="103" t="str">
        <f>Tableau3[[#This Row],[Description]]</f>
        <v>Cellule infrarouge intérieure</v>
      </c>
      <c r="S585" s="52"/>
      <c r="U585" s="87">
        <v>4</v>
      </c>
      <c r="V585" s="87">
        <v>1</v>
      </c>
      <c r="W585" s="87">
        <v>6</v>
      </c>
      <c r="X585" s="87">
        <v>7</v>
      </c>
      <c r="Y585" s="40"/>
      <c r="Z585" s="165" t="str">
        <f>INDEX(Tableau2[TS],MATCH(Tableau3[[#This Row],[ID-CARTEVOIE]],Tableau2[ID-CARTEVOIE],0))</f>
        <v>ET</v>
      </c>
      <c r="AA585" s="53" t="s">
        <v>213</v>
      </c>
      <c r="AB585" s="223" t="str">
        <f>IFERROR(INDEX(Tableau5[Reserve],MATCH(Tableau3[[#This Row],[ID-SIG]],Tableau5[ID],0))&amp;"","")</f>
        <v/>
      </c>
      <c r="AC585" s="21"/>
      <c r="AD585" s="108" t="str">
        <f>INDEX(Tableau7[Repere],MATCH(Tableau3[[#This Row],[ID-API]],Tableau7[ID-API],0))&amp;""</f>
        <v>A4</v>
      </c>
      <c r="AE585" s="108" t="str">
        <f>INDEX(Tableau1[Repere-Rack],MATCH(Tableau3[[#This Row],[ID-RACK]],Tableau1[ID-RACK],0))&amp;""</f>
        <v>R1</v>
      </c>
      <c r="AF585" s="108" t="str">
        <f>INDEX(Tableau1[Repere-Slot],MATCH(Tableau3[[#This Row],[ID-SLOT]],Tableau1[ID-SLOT],0))&amp;""</f>
        <v>S6</v>
      </c>
      <c r="AG585" s="108" t="str">
        <f>INDEX(Tableau2[Repere-Voie],MATCH(Tableau3[[#This Row],[ID-VOIE]],Tableau2[ID-Voie],0))&amp;""</f>
        <v>v7</v>
      </c>
      <c r="AH585" s="72" t="str">
        <f>Tableau3[[#This Row],[ID-API]]&amp; "." &amp;Tableau3[[#This Row],[ID-RACK]]&amp; "." &amp;Tableau3[[#This Row],[ID-SLOT]]</f>
        <v>4.1.6</v>
      </c>
      <c r="AI585" s="72" t="str">
        <f>INDEX(Tableau1[Ref-Carte],MATCH(Tableau3[[#This Row],[ID-RRS]],Tableau1[ID-RRS],0))</f>
        <v>SDI1602</v>
      </c>
      <c r="AJ585" s="72" t="str">
        <f t="array" ref="AJ585">IFERROR(INDEX(Tableau2[TS],MATCH(1,(Tableau2[Ref-Carte]=Tableau3[[#This Row],[Ref-Carte2]])*(Tableau2[ID-Voie]=Tableau3[[#This Row],[ID-VOIE]]),0)),"")</f>
        <v>ET</v>
      </c>
      <c r="AK585" s="72" t="str">
        <f>IFERROR(INDEX(Tableau2[TS],SUMPRODUCT((Tableau2[Ref-Carte]=Tableau3[[#This Row],[Ref-Carte2]])*(Tableau2[ID-Voie]=Tableau3[[#This Row],[ID-VOIE]])*ROW(Tableau2[TS]))-ROW(Tableau2[#Headers])),"")</f>
        <v>ET</v>
      </c>
      <c r="AL585" s="72" t="str">
        <f>Tableau3[[#This Row],[Ref-Carte2]]&amp;"/"&amp;Tableau3[[#This Row],[ID-VOIE]]</f>
        <v>SDI1602/7</v>
      </c>
      <c r="AM585" s="73" t="str">
        <f>INDEX(Tableau2[Borne],MATCH(Tableau3[[#This Row],[ID-CARTEVOIE]],Tableau2[ID-CARTEVOIE],0))&amp;""</f>
        <v>3A</v>
      </c>
      <c r="AN585" s="74" t="str">
        <f>Tableau3[[#This Row],[ID-API]]&amp;Tableau3[[#This Row],[ID-RACK]]&amp;Tableau3[[#This Row],[ID-SLOT]]&amp;Tableau3[[#This Row],[BORNE]]</f>
        <v>4163A</v>
      </c>
      <c r="AO585" s="1"/>
    </row>
    <row r="586" spans="1:41" ht="20.100000000000001" customHeight="1" thickTop="1" thickBot="1">
      <c r="A586" s="75"/>
      <c r="B586" s="76" t="str">
        <f>IFERROR(INDEX(Tableau4[Date],MATCH($A586,Tableau4[EVO],0)),"")</f>
        <v/>
      </c>
      <c r="C586" s="75" t="str">
        <f>IFERROR(INDEX(Tableau4[Designation],MATCH($A586,Tableau4[EVO],0)),"")</f>
        <v/>
      </c>
      <c r="D586" s="75"/>
      <c r="E586" s="79">
        <v>6</v>
      </c>
      <c r="F586" s="80">
        <v>287</v>
      </c>
      <c r="G586" s="102" t="str">
        <f>INDEX(Tableau8[Att1],MATCH(Tableau3[[#This Row],[ID-INS]],Tableau8[ID],0))&amp;""</f>
        <v>V3</v>
      </c>
      <c r="H586" s="102" t="str">
        <f>INDEX(Tableau8[Att2],MATCH(Tableau3[[#This Row],[ID-INS]],Tableau8[ID],0))&amp;""</f>
        <v>P6</v>
      </c>
      <c r="I586" s="102" t="str">
        <f>INDEX(Tableau8[Att3],MATCH(Tableau3[[#This Row],[ID-INS]],Tableau8[ID],0))&amp;""</f>
        <v>Portail P6</v>
      </c>
      <c r="J586" s="102"/>
      <c r="K586" s="167" t="str">
        <f>INDEX(Tableau8[Nom du modele],MATCH(Tableau3[[#This Row],[ID-INS]],Tableau8[ID],0))&amp;""</f>
        <v>PortailBleuHydr_1</v>
      </c>
      <c r="L586" s="100" t="str">
        <f>INDEX(Tableau5[Att1],MATCH(Tableau3[[#This Row],[ID-SIG]],Tableau5[ID],0))&amp;""</f>
        <v>Vx_CellInfraExt</v>
      </c>
      <c r="M586" s="100" t="str">
        <f>INDEX(Tableau5[Att2],MATCH(Tableau3[[#This Row],[ID-SIG]],Tableau5[ID],0))&amp;""</f>
        <v/>
      </c>
      <c r="N586" s="100" t="str">
        <f>INDEX(Tableau5[Att3],MATCH(Tableau3[[#This Row],[ID-SIG]],Tableau5[ID],0))&amp;""</f>
        <v/>
      </c>
      <c r="O586" s="100"/>
      <c r="P586" s="100" t="str">
        <f>INDEX(Tableau5[Description],MATCH(Tableau3[[#This Row],[ID-SIG]],Tableau5[ID],0))</f>
        <v>Cellule infrarouge extérieure</v>
      </c>
      <c r="Q586" s="100"/>
      <c r="R586" s="104" t="str">
        <f>Tableau3[[#This Row],[Description]]</f>
        <v>Cellule infrarouge extérieure</v>
      </c>
      <c r="S586" s="52"/>
      <c r="U586" s="88">
        <v>4</v>
      </c>
      <c r="V586" s="88">
        <v>1</v>
      </c>
      <c r="W586" s="88">
        <v>6</v>
      </c>
      <c r="X586" s="88">
        <v>8</v>
      </c>
      <c r="Y586" s="40"/>
      <c r="Z586" s="166" t="str">
        <f>INDEX(Tableau2[TS],MATCH(Tableau3[[#This Row],[ID-CARTEVOIE]],Tableau2[ID-CARTEVOIE],0))</f>
        <v>ET</v>
      </c>
      <c r="AA586" s="81" t="s">
        <v>213</v>
      </c>
      <c r="AB586" s="226" t="str">
        <f>IFERROR(INDEX(Tableau5[Reserve],MATCH(Tableau3[[#This Row],[ID-SIG]],Tableau5[ID],0))&amp;"","")</f>
        <v/>
      </c>
      <c r="AC586" s="21"/>
      <c r="AD586" s="108" t="str">
        <f>INDEX(Tableau7[Repere],MATCH(Tableau3[[#This Row],[ID-API]],Tableau7[ID-API],0))&amp;""</f>
        <v>A4</v>
      </c>
      <c r="AE586" s="109" t="str">
        <f>INDEX(Tableau1[Repere-Rack],MATCH(Tableau3[[#This Row],[ID-RACK]],Tableau1[ID-RACK],0))&amp;""</f>
        <v>R1</v>
      </c>
      <c r="AF586" s="109" t="str">
        <f>INDEX(Tableau1[Repere-Slot],MATCH(Tableau3[[#This Row],[ID-SLOT]],Tableau1[ID-SLOT],0))&amp;""</f>
        <v>S6</v>
      </c>
      <c r="AG586" s="109" t="str">
        <f>INDEX(Tableau2[Repere-Voie],MATCH(Tableau3[[#This Row],[ID-VOIE]],Tableau2[ID-Voie],0))&amp;""</f>
        <v>v8</v>
      </c>
      <c r="AH586" s="72" t="str">
        <f>Tableau3[[#This Row],[ID-API]]&amp; "." &amp;Tableau3[[#This Row],[ID-RACK]]&amp; "." &amp;Tableau3[[#This Row],[ID-SLOT]]</f>
        <v>4.1.6</v>
      </c>
      <c r="AI586" s="72" t="str">
        <f>INDEX(Tableau1[Ref-Carte],MATCH(Tableau3[[#This Row],[ID-RRS]],Tableau1[ID-RRS],0))</f>
        <v>SDI1602</v>
      </c>
      <c r="AJ586" s="72" t="str">
        <f t="array" ref="AJ586">IFERROR(INDEX(Tableau2[TS],MATCH(1,(Tableau2[Ref-Carte]=Tableau3[[#This Row],[Ref-Carte2]])*(Tableau2[ID-Voie]=Tableau3[[#This Row],[ID-VOIE]]),0)),"")</f>
        <v>ET</v>
      </c>
      <c r="AK586" s="72" t="str">
        <f>IFERROR(INDEX(Tableau2[TS],SUMPRODUCT((Tableau2[Ref-Carte]=Tableau3[[#This Row],[Ref-Carte2]])*(Tableau2[ID-Voie]=Tableau3[[#This Row],[ID-VOIE]])*ROW(Tableau2[TS]))-ROW(Tableau2[#Headers])),"")</f>
        <v>ET</v>
      </c>
      <c r="AL586" s="72" t="str">
        <f>Tableau3[[#This Row],[Ref-Carte2]]&amp;"/"&amp;Tableau3[[#This Row],[ID-VOIE]]</f>
        <v>SDI1602/8</v>
      </c>
      <c r="AM586" s="77" t="str">
        <f>INDEX(Tableau2[Borne],MATCH(Tableau3[[#This Row],[ID-CARTEVOIE]],Tableau2[ID-CARTEVOIE],0))&amp;""</f>
        <v>4B</v>
      </c>
      <c r="AN586" s="74" t="str">
        <f>Tableau3[[#This Row],[ID-API]]&amp;Tableau3[[#This Row],[ID-RACK]]&amp;Tableau3[[#This Row],[ID-SLOT]]&amp;Tableau3[[#This Row],[BORNE]]</f>
        <v>4164B</v>
      </c>
      <c r="AO586" s="1"/>
    </row>
    <row r="587" spans="1:41" ht="20.100000000000001" customHeight="1" thickTop="1" thickBot="1">
      <c r="A587" s="75"/>
      <c r="B587" s="76" t="str">
        <f>IFERROR(INDEX(Tableau4[Date],MATCH($A587,Tableau4[EVO],0)),"")</f>
        <v/>
      </c>
      <c r="C587" s="75" t="str">
        <f>IFERROR(INDEX(Tableau4[Designation],MATCH($A587,Tableau4[EVO],0)),"")</f>
        <v/>
      </c>
      <c r="D587" s="75"/>
      <c r="E587" s="79">
        <v>6</v>
      </c>
      <c r="F587" s="80">
        <v>288</v>
      </c>
      <c r="G587" s="102" t="str">
        <f>INDEX(Tableau8[Att1],MATCH(Tableau3[[#This Row],[ID-INS]],Tableau8[ID],0))&amp;""</f>
        <v>V3</v>
      </c>
      <c r="H587" s="102" t="str">
        <f>INDEX(Tableau8[Att2],MATCH(Tableau3[[#This Row],[ID-INS]],Tableau8[ID],0))&amp;""</f>
        <v>P6</v>
      </c>
      <c r="I587" s="102" t="str">
        <f>INDEX(Tableau8[Att3],MATCH(Tableau3[[#This Row],[ID-INS]],Tableau8[ID],0))&amp;""</f>
        <v>Portail P6</v>
      </c>
      <c r="J587" s="102"/>
      <c r="K587" s="167" t="str">
        <f>INDEX(Tableau8[Nom du modele],MATCH(Tableau3[[#This Row],[ID-INS]],Tableau8[ID],0))&amp;""</f>
        <v>PortailBleuHydr_1</v>
      </c>
      <c r="L587" s="100" t="str">
        <f>INDEX(Tableau5[Att1],MATCH(Tableau3[[#This Row],[ID-SIG]],Tableau5[ID],0))&amp;""</f>
        <v>Vx_EVEtatAlim</v>
      </c>
      <c r="M587" s="100" t="str">
        <f>INDEX(Tableau5[Att2],MATCH(Tableau3[[#This Row],[ID-SIG]],Tableau5[ID],0))&amp;""</f>
        <v/>
      </c>
      <c r="N587" s="100" t="str">
        <f>INDEX(Tableau5[Att3],MATCH(Tableau3[[#This Row],[ID-SIG]],Tableau5[ID],0))&amp;""</f>
        <v/>
      </c>
      <c r="O587" s="100"/>
      <c r="P587" s="100" t="str">
        <f>INDEX(Tableau5[Description],MATCH(Tableau3[[#This Row],[ID-SIG]],Tableau5[ID],0))</f>
        <v>Etat alimentation EV commande portail</v>
      </c>
      <c r="Q587" s="100"/>
      <c r="R587" s="104" t="str">
        <f>Tableau3[[#This Row],[Description]]</f>
        <v>Etat alimentation EV commande portail</v>
      </c>
      <c r="S587" s="52"/>
      <c r="U587" s="88">
        <v>4</v>
      </c>
      <c r="V587" s="88">
        <v>1</v>
      </c>
      <c r="W587" s="88">
        <v>6</v>
      </c>
      <c r="X587" s="87">
        <v>9</v>
      </c>
      <c r="Y587" s="40"/>
      <c r="Z587" s="166" t="str">
        <f>INDEX(Tableau2[TS],MATCH(Tableau3[[#This Row],[ID-CARTEVOIE]],Tableau2[ID-CARTEVOIE],0))</f>
        <v>ET</v>
      </c>
      <c r="AA587" s="81" t="s">
        <v>213</v>
      </c>
      <c r="AB587" s="226" t="str">
        <f>IFERROR(INDEX(Tableau5[Reserve],MATCH(Tableau3[[#This Row],[ID-SIG]],Tableau5[ID],0))&amp;"","")</f>
        <v/>
      </c>
      <c r="AC587" s="21"/>
      <c r="AD587" s="108" t="str">
        <f>INDEX(Tableau7[Repere],MATCH(Tableau3[[#This Row],[ID-API]],Tableau7[ID-API],0))&amp;""</f>
        <v>A4</v>
      </c>
      <c r="AE587" s="109" t="str">
        <f>INDEX(Tableau1[Repere-Rack],MATCH(Tableau3[[#This Row],[ID-RACK]],Tableau1[ID-RACK],0))&amp;""</f>
        <v>R1</v>
      </c>
      <c r="AF587" s="109" t="str">
        <f>INDEX(Tableau1[Repere-Slot],MATCH(Tableau3[[#This Row],[ID-SLOT]],Tableau1[ID-SLOT],0))&amp;""</f>
        <v>S6</v>
      </c>
      <c r="AG587" s="109" t="str">
        <f>INDEX(Tableau2[Repere-Voie],MATCH(Tableau3[[#This Row],[ID-VOIE]],Tableau2[ID-Voie],0))&amp;""</f>
        <v>v9</v>
      </c>
      <c r="AH587" s="72" t="str">
        <f>Tableau3[[#This Row],[ID-API]]&amp; "." &amp;Tableau3[[#This Row],[ID-RACK]]&amp; "." &amp;Tableau3[[#This Row],[ID-SLOT]]</f>
        <v>4.1.6</v>
      </c>
      <c r="AI587" s="72" t="str">
        <f>INDEX(Tableau1[Ref-Carte],MATCH(Tableau3[[#This Row],[ID-RRS]],Tableau1[ID-RRS],0))</f>
        <v>SDI1602</v>
      </c>
      <c r="AJ587" s="72" t="str">
        <f t="array" ref="AJ587">IFERROR(INDEX(Tableau2[TS],MATCH(1,(Tableau2[Ref-Carte]=Tableau3[[#This Row],[Ref-Carte2]])*(Tableau2[ID-Voie]=Tableau3[[#This Row],[ID-VOIE]]),0)),"")</f>
        <v>ET</v>
      </c>
      <c r="AK587" s="72" t="str">
        <f>IFERROR(INDEX(Tableau2[TS],SUMPRODUCT((Tableau2[Ref-Carte]=Tableau3[[#This Row],[Ref-Carte2]])*(Tableau2[ID-Voie]=Tableau3[[#This Row],[ID-VOIE]])*ROW(Tableau2[TS]))-ROW(Tableau2[#Headers])),"")</f>
        <v>ET</v>
      </c>
      <c r="AL587" s="72" t="str">
        <f>Tableau3[[#This Row],[Ref-Carte2]]&amp;"/"&amp;Tableau3[[#This Row],[ID-VOIE]]</f>
        <v>SDI1602/9</v>
      </c>
      <c r="AM587" s="77" t="str">
        <f>INDEX(Tableau2[Borne],MATCH(Tableau3[[#This Row],[ID-CARTEVOIE]],Tableau2[ID-CARTEVOIE],0))&amp;""</f>
        <v>4A</v>
      </c>
      <c r="AN587" s="74" t="str">
        <f>Tableau3[[#This Row],[ID-API]]&amp;Tableau3[[#This Row],[ID-RACK]]&amp;Tableau3[[#This Row],[ID-SLOT]]&amp;Tableau3[[#This Row],[BORNE]]</f>
        <v>4164A</v>
      </c>
      <c r="AO587" s="1"/>
    </row>
    <row r="588" spans="1:41" ht="20.100000000000001" customHeight="1" thickTop="1" thickBot="1">
      <c r="A588" s="75"/>
      <c r="B588" s="76" t="str">
        <f>IFERROR(INDEX(Tableau4[Date],MATCH($A588,Tableau4[EVO],0)),"")</f>
        <v/>
      </c>
      <c r="C588" s="75" t="str">
        <f>IFERROR(INDEX(Tableau4[Designation],MATCH($A588,Tableau4[EVO],0)),"")</f>
        <v/>
      </c>
      <c r="D588" s="75"/>
      <c r="E588" s="79">
        <v>39</v>
      </c>
      <c r="F588" s="80">
        <v>72</v>
      </c>
      <c r="G588" s="102" t="str">
        <f>INDEX(Tableau8[Att1],MATCH(Tableau3[[#This Row],[ID-INS]],Tableau8[ID],0))&amp;""</f>
        <v>V3</v>
      </c>
      <c r="H588" s="102" t="str">
        <f>INDEX(Tableau8[Att2],MATCH(Tableau3[[#This Row],[ID-INS]],Tableau8[ID],0))&amp;""</f>
        <v>BH8</v>
      </c>
      <c r="I588" s="102" t="str">
        <f>INDEX(Tableau8[Att3],MATCH(Tableau3[[#This Row],[ID-INS]],Tableau8[ID],0))&amp;""</f>
        <v>Barrière BH8</v>
      </c>
      <c r="J588" s="102"/>
      <c r="K588" s="167" t="str">
        <f>INDEX(Tableau8[Nom du modele],MATCH(Tableau3[[#This Row],[ID-INS]],Tableau8[ID],0))&amp;""</f>
        <v>BarriereHerse_1</v>
      </c>
      <c r="L588" s="100" t="str">
        <f>INDEX(Tableau5[Att1],MATCH(Tableau3[[#This Row],[ID-SIG]],Tableau5[ID],0))&amp;""</f>
        <v>Réserve</v>
      </c>
      <c r="M588" s="100" t="str">
        <f>INDEX(Tableau5[Att2],MATCH(Tableau3[[#This Row],[ID-SIG]],Tableau5[ID],0))&amp;""</f>
        <v/>
      </c>
      <c r="N588" s="100" t="str">
        <f>INDEX(Tableau5[Att3],MATCH(Tableau3[[#This Row],[ID-SIG]],Tableau5[ID],0))&amp;""</f>
        <v/>
      </c>
      <c r="O588" s="100"/>
      <c r="P588" s="100" t="str">
        <f>INDEX(Tableau5[Description],MATCH(Tableau3[[#This Row],[ID-SIG]],Tableau5[ID],0))</f>
        <v>Réserve</v>
      </c>
      <c r="Q588" s="100"/>
      <c r="R588" s="104" t="str">
        <f>Tableau3[[#This Row],[Description]]</f>
        <v>Réserve</v>
      </c>
      <c r="U588" s="88">
        <v>4</v>
      </c>
      <c r="V588" s="88">
        <v>1</v>
      </c>
      <c r="W588" s="88">
        <v>6</v>
      </c>
      <c r="X588" s="88">
        <v>10</v>
      </c>
      <c r="Y588" s="40"/>
      <c r="Z588" s="166" t="str">
        <f>INDEX(Tableau2[TS],MATCH(Tableau3[[#This Row],[ID-CARTEVOIE]],Tableau2[ID-CARTEVOIE],0))</f>
        <v>ET</v>
      </c>
      <c r="AA588" s="81" t="s">
        <v>213</v>
      </c>
      <c r="AB588" s="226" t="str">
        <f>IFERROR(INDEX(Tableau5[Reserve],MATCH(Tableau3[[#This Row],[ID-SIG]],Tableau5[ID],0))&amp;"","")</f>
        <v/>
      </c>
      <c r="AC588" s="21"/>
      <c r="AD588" s="108" t="str">
        <f>INDEX(Tableau7[Repere],MATCH(Tableau3[[#This Row],[ID-API]],Tableau7[ID-API],0))&amp;""</f>
        <v>A4</v>
      </c>
      <c r="AE588" s="109" t="str">
        <f>INDEX(Tableau1[Repere-Rack],MATCH(Tableau3[[#This Row],[ID-RACK]],Tableau1[ID-RACK],0))&amp;""</f>
        <v>R1</v>
      </c>
      <c r="AF588" s="109" t="str">
        <f>INDEX(Tableau1[Repere-Slot],MATCH(Tableau3[[#This Row],[ID-SLOT]],Tableau1[ID-SLOT],0))&amp;""</f>
        <v>S6</v>
      </c>
      <c r="AG588" s="109" t="str">
        <f>INDEX(Tableau2[Repere-Voie],MATCH(Tableau3[[#This Row],[ID-VOIE]],Tableau2[ID-Voie],0))&amp;""</f>
        <v>v10</v>
      </c>
      <c r="AH588" s="72" t="str">
        <f>Tableau3[[#This Row],[ID-API]]&amp; "." &amp;Tableau3[[#This Row],[ID-RACK]]&amp; "." &amp;Tableau3[[#This Row],[ID-SLOT]]</f>
        <v>4.1.6</v>
      </c>
      <c r="AI588" s="72" t="str">
        <f>INDEX(Tableau1[Ref-Carte],MATCH(Tableau3[[#This Row],[ID-RRS]],Tableau1[ID-RRS],0))</f>
        <v>SDI1602</v>
      </c>
      <c r="AJ588" s="72" t="str">
        <f t="array" ref="AJ588">IFERROR(INDEX(Tableau2[TS],MATCH(1,(Tableau2[Ref-Carte]=Tableau3[[#This Row],[Ref-Carte2]])*(Tableau2[ID-Voie]=Tableau3[[#This Row],[ID-VOIE]]),0)),"")</f>
        <v>ET</v>
      </c>
      <c r="AK588" s="72" t="str">
        <f>IFERROR(INDEX(Tableau2[TS],SUMPRODUCT((Tableau2[Ref-Carte]=Tableau3[[#This Row],[Ref-Carte2]])*(Tableau2[ID-Voie]=Tableau3[[#This Row],[ID-VOIE]])*ROW(Tableau2[TS]))-ROW(Tableau2[#Headers])),"")</f>
        <v>ET</v>
      </c>
      <c r="AL588" s="72" t="str">
        <f>Tableau3[[#This Row],[Ref-Carte2]]&amp;"/"&amp;Tableau3[[#This Row],[ID-VOIE]]</f>
        <v>SDI1602/10</v>
      </c>
      <c r="AM588" s="77" t="str">
        <f>INDEX(Tableau2[Borne],MATCH(Tableau3[[#This Row],[ID-CARTEVOIE]],Tableau2[ID-CARTEVOIE],0))&amp;""</f>
        <v>5B</v>
      </c>
      <c r="AN588" s="74" t="str">
        <f>Tableau3[[#This Row],[ID-API]]&amp;Tableau3[[#This Row],[ID-RACK]]&amp;Tableau3[[#This Row],[ID-SLOT]]&amp;Tableau3[[#This Row],[BORNE]]</f>
        <v>4165B</v>
      </c>
      <c r="AO588" s="1"/>
    </row>
    <row r="589" spans="1:41" ht="20.100000000000001" customHeight="1" thickTop="1" thickBot="1">
      <c r="A589" s="75"/>
      <c r="B589" s="76" t="str">
        <f>IFERROR(INDEX(Tableau4[Date],MATCH($A589,Tableau4[EVO],0)),"")</f>
        <v/>
      </c>
      <c r="C589" s="75" t="str">
        <f>IFERROR(INDEX(Tableau4[Designation],MATCH($A589,Tableau4[EVO],0)),"")</f>
        <v/>
      </c>
      <c r="D589" s="75"/>
      <c r="E589" s="79">
        <v>39</v>
      </c>
      <c r="F589" s="80">
        <v>73</v>
      </c>
      <c r="G589" s="102" t="str">
        <f>INDEX(Tableau8[Att1],MATCH(Tableau3[[#This Row],[ID-INS]],Tableau8[ID],0))&amp;""</f>
        <v>V3</v>
      </c>
      <c r="H589" s="102" t="str">
        <f>INDEX(Tableau8[Att2],MATCH(Tableau3[[#This Row],[ID-INS]],Tableau8[ID],0))&amp;""</f>
        <v>BH8</v>
      </c>
      <c r="I589" s="102" t="str">
        <f>INDEX(Tableau8[Att3],MATCH(Tableau3[[#This Row],[ID-INS]],Tableau8[ID],0))&amp;""</f>
        <v>Barrière BH8</v>
      </c>
      <c r="J589" s="102"/>
      <c r="K589" s="167" t="str">
        <f>INDEX(Tableau8[Nom du modele],MATCH(Tableau3[[#This Row],[ID-INS]],Tableau8[ID],0))&amp;""</f>
        <v>BarriereHerse_1</v>
      </c>
      <c r="L589" s="100" t="str">
        <f>INDEX(Tableau5[Att1],MATCH(Tableau3[[#This Row],[ID-SIG]],Tableau5[ID],0))&amp;""</f>
        <v>Fer2</v>
      </c>
      <c r="M589" s="100" t="str">
        <f>INDEX(Tableau5[Att2],MATCH(Tableau3[[#This Row],[ID-SIG]],Tableau5[ID],0))&amp;""</f>
        <v/>
      </c>
      <c r="N589" s="100" t="str">
        <f>INDEX(Tableau5[Att3],MATCH(Tableau3[[#This Row],[ID-SIG]],Tableau5[ID],0))&amp;""</f>
        <v/>
      </c>
      <c r="O589" s="100"/>
      <c r="P589" s="100" t="str">
        <f>INDEX(Tableau5[Description],MATCH(Tableau3[[#This Row],[ID-SIG]],Tableau5[ID],0))</f>
        <v>Position 2 fermé</v>
      </c>
      <c r="Q589" s="100"/>
      <c r="R589" s="104" t="str">
        <f>Tableau3[[#This Row],[Description]]</f>
        <v>Position 2 fermé</v>
      </c>
      <c r="U589" s="88">
        <v>4</v>
      </c>
      <c r="V589" s="88">
        <v>1</v>
      </c>
      <c r="W589" s="88">
        <v>6</v>
      </c>
      <c r="X589" s="87">
        <v>11</v>
      </c>
      <c r="Y589" s="40"/>
      <c r="Z589" s="166" t="str">
        <f>INDEX(Tableau2[TS],MATCH(Tableau3[[#This Row],[ID-CARTEVOIE]],Tableau2[ID-CARTEVOIE],0))</f>
        <v>ET</v>
      </c>
      <c r="AA589" s="81" t="s">
        <v>213</v>
      </c>
      <c r="AB589" s="226" t="str">
        <f>IFERROR(INDEX(Tableau5[Reserve],MATCH(Tableau3[[#This Row],[ID-SIG]],Tableau5[ID],0))&amp;"","")</f>
        <v/>
      </c>
      <c r="AC589" s="21"/>
      <c r="AD589" s="108" t="str">
        <f>INDEX(Tableau7[Repere],MATCH(Tableau3[[#This Row],[ID-API]],Tableau7[ID-API],0))&amp;""</f>
        <v>A4</v>
      </c>
      <c r="AE589" s="109" t="str">
        <f>INDEX(Tableau1[Repere-Rack],MATCH(Tableau3[[#This Row],[ID-RACK]],Tableau1[ID-RACK],0))&amp;""</f>
        <v>R1</v>
      </c>
      <c r="AF589" s="109" t="str">
        <f>INDEX(Tableau1[Repere-Slot],MATCH(Tableau3[[#This Row],[ID-SLOT]],Tableau1[ID-SLOT],0))&amp;""</f>
        <v>S6</v>
      </c>
      <c r="AG589" s="109" t="str">
        <f>INDEX(Tableau2[Repere-Voie],MATCH(Tableau3[[#This Row],[ID-VOIE]],Tableau2[ID-Voie],0))&amp;""</f>
        <v>v11</v>
      </c>
      <c r="AH589" s="72" t="str">
        <f>Tableau3[[#This Row],[ID-API]]&amp; "." &amp;Tableau3[[#This Row],[ID-RACK]]&amp; "." &amp;Tableau3[[#This Row],[ID-SLOT]]</f>
        <v>4.1.6</v>
      </c>
      <c r="AI589" s="72" t="str">
        <f>INDEX(Tableau1[Ref-Carte],MATCH(Tableau3[[#This Row],[ID-RRS]],Tableau1[ID-RRS],0))</f>
        <v>SDI1602</v>
      </c>
      <c r="AJ589" s="72" t="str">
        <f t="array" ref="AJ589">IFERROR(INDEX(Tableau2[TS],MATCH(1,(Tableau2[Ref-Carte]=Tableau3[[#This Row],[Ref-Carte2]])*(Tableau2[ID-Voie]=Tableau3[[#This Row],[ID-VOIE]]),0)),"")</f>
        <v>ET</v>
      </c>
      <c r="AK589" s="72" t="str">
        <f>IFERROR(INDEX(Tableau2[TS],SUMPRODUCT((Tableau2[Ref-Carte]=Tableau3[[#This Row],[Ref-Carte2]])*(Tableau2[ID-Voie]=Tableau3[[#This Row],[ID-VOIE]])*ROW(Tableau2[TS]))-ROW(Tableau2[#Headers])),"")</f>
        <v>ET</v>
      </c>
      <c r="AL589" s="72" t="str">
        <f>Tableau3[[#This Row],[Ref-Carte2]]&amp;"/"&amp;Tableau3[[#This Row],[ID-VOIE]]</f>
        <v>SDI1602/11</v>
      </c>
      <c r="AM589" s="77" t="str">
        <f>INDEX(Tableau2[Borne],MATCH(Tableau3[[#This Row],[ID-CARTEVOIE]],Tableau2[ID-CARTEVOIE],0))&amp;""</f>
        <v>5A</v>
      </c>
      <c r="AN589" s="74" t="str">
        <f>Tableau3[[#This Row],[ID-API]]&amp;Tableau3[[#This Row],[ID-RACK]]&amp;Tableau3[[#This Row],[ID-SLOT]]&amp;Tableau3[[#This Row],[BORNE]]</f>
        <v>4165A</v>
      </c>
      <c r="AO589" s="1"/>
    </row>
    <row r="590" spans="1:41" ht="20.100000000000001" customHeight="1" thickTop="1" thickBot="1">
      <c r="A590" s="75"/>
      <c r="B590" s="76" t="str">
        <f>IFERROR(INDEX(Tableau4[Date],MATCH($A590,Tableau4[EVO],0)),"")</f>
        <v/>
      </c>
      <c r="C590" s="75" t="str">
        <f>IFERROR(INDEX(Tableau4[Designation],MATCH($A590,Tableau4[EVO],0)),"")</f>
        <v/>
      </c>
      <c r="D590" s="75"/>
      <c r="E590" s="79">
        <v>39</v>
      </c>
      <c r="F590" s="80">
        <v>77</v>
      </c>
      <c r="G590" s="102" t="str">
        <f>INDEX(Tableau8[Att1],MATCH(Tableau3[[#This Row],[ID-INS]],Tableau8[ID],0))&amp;""</f>
        <v>V3</v>
      </c>
      <c r="H590" s="102" t="str">
        <f>INDEX(Tableau8[Att2],MATCH(Tableau3[[#This Row],[ID-INS]],Tableau8[ID],0))&amp;""</f>
        <v>BH8</v>
      </c>
      <c r="I590" s="102" t="str">
        <f>INDEX(Tableau8[Att3],MATCH(Tableau3[[#This Row],[ID-INS]],Tableau8[ID],0))&amp;""</f>
        <v>Barrière BH8</v>
      </c>
      <c r="J590" s="102"/>
      <c r="K590" s="167" t="str">
        <f>INDEX(Tableau8[Nom du modele],MATCH(Tableau3[[#This Row],[ID-INS]],Tableau8[ID],0))&amp;""</f>
        <v>BarriereHerse_1</v>
      </c>
      <c r="L590" s="100" t="str">
        <f>INDEX(Tableau5[Att1],MATCH(Tableau3[[#This Row],[ID-SIG]],Tableau5[ID],0))&amp;""</f>
        <v>Ouv</v>
      </c>
      <c r="M590" s="100" t="str">
        <f>INDEX(Tableau5[Att2],MATCH(Tableau3[[#This Row],[ID-SIG]],Tableau5[ID],0))&amp;""</f>
        <v/>
      </c>
      <c r="N590" s="100" t="str">
        <f>INDEX(Tableau5[Att3],MATCH(Tableau3[[#This Row],[ID-SIG]],Tableau5[ID],0))&amp;""</f>
        <v/>
      </c>
      <c r="O590" s="100"/>
      <c r="P590" s="100" t="str">
        <f>INDEX(Tableau5[Description],MATCH(Tableau3[[#This Row],[ID-SIG]],Tableau5[ID],0))</f>
        <v>Position ouverte</v>
      </c>
      <c r="Q590" s="100"/>
      <c r="R590" s="104" t="str">
        <f>Tableau3[[#This Row],[Description]]</f>
        <v>Position ouverte</v>
      </c>
      <c r="U590" s="88">
        <v>4</v>
      </c>
      <c r="V590" s="88">
        <v>1</v>
      </c>
      <c r="W590" s="88">
        <v>6</v>
      </c>
      <c r="X590" s="88">
        <v>12</v>
      </c>
      <c r="Y590" s="40"/>
      <c r="Z590" s="166" t="str">
        <f>INDEX(Tableau2[TS],MATCH(Tableau3[[#This Row],[ID-CARTEVOIE]],Tableau2[ID-CARTEVOIE],0))</f>
        <v>ET</v>
      </c>
      <c r="AA590" s="81" t="s">
        <v>213</v>
      </c>
      <c r="AB590" s="226" t="str">
        <f>IFERROR(INDEX(Tableau5[Reserve],MATCH(Tableau3[[#This Row],[ID-SIG]],Tableau5[ID],0))&amp;"","")</f>
        <v/>
      </c>
      <c r="AC590" s="21"/>
      <c r="AD590" s="108" t="str">
        <f>INDEX(Tableau7[Repere],MATCH(Tableau3[[#This Row],[ID-API]],Tableau7[ID-API],0))&amp;""</f>
        <v>A4</v>
      </c>
      <c r="AE590" s="109" t="str">
        <f>INDEX(Tableau1[Repere-Rack],MATCH(Tableau3[[#This Row],[ID-RACK]],Tableau1[ID-RACK],0))&amp;""</f>
        <v>R1</v>
      </c>
      <c r="AF590" s="109" t="str">
        <f>INDEX(Tableau1[Repere-Slot],MATCH(Tableau3[[#This Row],[ID-SLOT]],Tableau1[ID-SLOT],0))&amp;""</f>
        <v>S6</v>
      </c>
      <c r="AG590" s="109" t="str">
        <f>INDEX(Tableau2[Repere-Voie],MATCH(Tableau3[[#This Row],[ID-VOIE]],Tableau2[ID-Voie],0))&amp;""</f>
        <v>v12</v>
      </c>
      <c r="AH590" s="72" t="str">
        <f>Tableau3[[#This Row],[ID-API]]&amp; "." &amp;Tableau3[[#This Row],[ID-RACK]]&amp; "." &amp;Tableau3[[#This Row],[ID-SLOT]]</f>
        <v>4.1.6</v>
      </c>
      <c r="AI590" s="72" t="str">
        <f>INDEX(Tableau1[Ref-Carte],MATCH(Tableau3[[#This Row],[ID-RRS]],Tableau1[ID-RRS],0))</f>
        <v>SDI1602</v>
      </c>
      <c r="AJ590" s="72" t="str">
        <f t="array" ref="AJ590">IFERROR(INDEX(Tableau2[TS],MATCH(1,(Tableau2[Ref-Carte]=Tableau3[[#This Row],[Ref-Carte2]])*(Tableau2[ID-Voie]=Tableau3[[#This Row],[ID-VOIE]]),0)),"")</f>
        <v>ET</v>
      </c>
      <c r="AK590" s="72" t="str">
        <f>IFERROR(INDEX(Tableau2[TS],SUMPRODUCT((Tableau2[Ref-Carte]=Tableau3[[#This Row],[Ref-Carte2]])*(Tableau2[ID-Voie]=Tableau3[[#This Row],[ID-VOIE]])*ROW(Tableau2[TS]))-ROW(Tableau2[#Headers])),"")</f>
        <v>ET</v>
      </c>
      <c r="AL590" s="72" t="str">
        <f>Tableau3[[#This Row],[Ref-Carte2]]&amp;"/"&amp;Tableau3[[#This Row],[ID-VOIE]]</f>
        <v>SDI1602/12</v>
      </c>
      <c r="AM590" s="77" t="str">
        <f>INDEX(Tableau2[Borne],MATCH(Tableau3[[#This Row],[ID-CARTEVOIE]],Tableau2[ID-CARTEVOIE],0))&amp;""</f>
        <v>6B</v>
      </c>
      <c r="AN590" s="74" t="str">
        <f>Tableau3[[#This Row],[ID-API]]&amp;Tableau3[[#This Row],[ID-RACK]]&amp;Tableau3[[#This Row],[ID-SLOT]]&amp;Tableau3[[#This Row],[BORNE]]</f>
        <v>4166B</v>
      </c>
      <c r="AO590" s="1"/>
    </row>
    <row r="591" spans="1:41" ht="20.100000000000001" customHeight="1" thickTop="1" thickBot="1">
      <c r="A591" s="75"/>
      <c r="B591" s="76" t="str">
        <f>IFERROR(INDEX(Tableau4[Date],MATCH($A591,Tableau4[EVO],0)),"")</f>
        <v/>
      </c>
      <c r="C591" s="75" t="str">
        <f>IFERROR(INDEX(Tableau4[Designation],MATCH($A591,Tableau4[EVO],0)),"")</f>
        <v/>
      </c>
      <c r="D591" s="75"/>
      <c r="E591" s="79">
        <v>39</v>
      </c>
      <c r="F591" s="80">
        <v>78</v>
      </c>
      <c r="G591" s="102" t="str">
        <f>INDEX(Tableau8[Att1],MATCH(Tableau3[[#This Row],[ID-INS]],Tableau8[ID],0))&amp;""</f>
        <v>V3</v>
      </c>
      <c r="H591" s="102" t="str">
        <f>INDEX(Tableau8[Att2],MATCH(Tableau3[[#This Row],[ID-INS]],Tableau8[ID],0))&amp;""</f>
        <v>BH8</v>
      </c>
      <c r="I591" s="102" t="str">
        <f>INDEX(Tableau8[Att3],MATCH(Tableau3[[#This Row],[ID-INS]],Tableau8[ID],0))&amp;""</f>
        <v>Barrière BH8</v>
      </c>
      <c r="J591" s="102"/>
      <c r="K591" s="167" t="str">
        <f>INDEX(Tableau8[Nom du modele],MATCH(Tableau3[[#This Row],[ID-INS]],Tableau8[ID],0))&amp;""</f>
        <v>BarriereHerse_1</v>
      </c>
      <c r="L591" s="100" t="str">
        <f>INDEX(Tableau5[Att1],MATCH(Tableau3[[#This Row],[ID-SIG]],Tableau5[ID],0))&amp;""</f>
        <v>Effraction</v>
      </c>
      <c r="M591" s="100" t="str">
        <f>INDEX(Tableau5[Att2],MATCH(Tableau3[[#This Row],[ID-SIG]],Tableau5[ID],0))&amp;""</f>
        <v/>
      </c>
      <c r="N591" s="100" t="str">
        <f>INDEX(Tableau5[Att3],MATCH(Tableau3[[#This Row],[ID-SIG]],Tableau5[ID],0))&amp;""</f>
        <v/>
      </c>
      <c r="O591" s="100"/>
      <c r="P591" s="100" t="str">
        <f>INDEX(Tableau5[Description],MATCH(Tableau3[[#This Row],[ID-SIG]],Tableau5[ID],0))</f>
        <v>Effraction</v>
      </c>
      <c r="Q591" s="100"/>
      <c r="R591" s="104" t="str">
        <f>Tableau3[[#This Row],[Description]]</f>
        <v>Effraction</v>
      </c>
      <c r="U591" s="88">
        <v>4</v>
      </c>
      <c r="V591" s="88">
        <v>1</v>
      </c>
      <c r="W591" s="88">
        <v>6</v>
      </c>
      <c r="X591" s="87">
        <v>13</v>
      </c>
      <c r="Y591" s="40"/>
      <c r="Z591" s="166" t="str">
        <f>INDEX(Tableau2[TS],MATCH(Tableau3[[#This Row],[ID-CARTEVOIE]],Tableau2[ID-CARTEVOIE],0))</f>
        <v>ET</v>
      </c>
      <c r="AA591" s="81" t="s">
        <v>213</v>
      </c>
      <c r="AB591" s="226" t="str">
        <f>IFERROR(INDEX(Tableau5[Reserve],MATCH(Tableau3[[#This Row],[ID-SIG]],Tableau5[ID],0))&amp;"","")</f>
        <v/>
      </c>
      <c r="AC591" s="21"/>
      <c r="AD591" s="108" t="str">
        <f>INDEX(Tableau7[Repere],MATCH(Tableau3[[#This Row],[ID-API]],Tableau7[ID-API],0))&amp;""</f>
        <v>A4</v>
      </c>
      <c r="AE591" s="109" t="str">
        <f>INDEX(Tableau1[Repere-Rack],MATCH(Tableau3[[#This Row],[ID-RACK]],Tableau1[ID-RACK],0))&amp;""</f>
        <v>R1</v>
      </c>
      <c r="AF591" s="109" t="str">
        <f>INDEX(Tableau1[Repere-Slot],MATCH(Tableau3[[#This Row],[ID-SLOT]],Tableau1[ID-SLOT],0))&amp;""</f>
        <v>S6</v>
      </c>
      <c r="AG591" s="109" t="str">
        <f>INDEX(Tableau2[Repere-Voie],MATCH(Tableau3[[#This Row],[ID-VOIE]],Tableau2[ID-Voie],0))&amp;""</f>
        <v>v13</v>
      </c>
      <c r="AH591" s="72" t="str">
        <f>Tableau3[[#This Row],[ID-API]]&amp; "." &amp;Tableau3[[#This Row],[ID-RACK]]&amp; "." &amp;Tableau3[[#This Row],[ID-SLOT]]</f>
        <v>4.1.6</v>
      </c>
      <c r="AI591" s="72" t="str">
        <f>INDEX(Tableau1[Ref-Carte],MATCH(Tableau3[[#This Row],[ID-RRS]],Tableau1[ID-RRS],0))</f>
        <v>SDI1602</v>
      </c>
      <c r="AJ591" s="72" t="str">
        <f t="array" ref="AJ591">IFERROR(INDEX(Tableau2[TS],MATCH(1,(Tableau2[Ref-Carte]=Tableau3[[#This Row],[Ref-Carte2]])*(Tableau2[ID-Voie]=Tableau3[[#This Row],[ID-VOIE]]),0)),"")</f>
        <v>ET</v>
      </c>
      <c r="AK591" s="72" t="str">
        <f>IFERROR(INDEX(Tableau2[TS],SUMPRODUCT((Tableau2[Ref-Carte]=Tableau3[[#This Row],[Ref-Carte2]])*(Tableau2[ID-Voie]=Tableau3[[#This Row],[ID-VOIE]])*ROW(Tableau2[TS]))-ROW(Tableau2[#Headers])),"")</f>
        <v>ET</v>
      </c>
      <c r="AL591" s="72" t="str">
        <f>Tableau3[[#This Row],[Ref-Carte2]]&amp;"/"&amp;Tableau3[[#This Row],[ID-VOIE]]</f>
        <v>SDI1602/13</v>
      </c>
      <c r="AM591" s="77" t="str">
        <f>INDEX(Tableau2[Borne],MATCH(Tableau3[[#This Row],[ID-CARTEVOIE]],Tableau2[ID-CARTEVOIE],0))&amp;""</f>
        <v>6A</v>
      </c>
      <c r="AN591" s="74" t="str">
        <f>Tableau3[[#This Row],[ID-API]]&amp;Tableau3[[#This Row],[ID-RACK]]&amp;Tableau3[[#This Row],[ID-SLOT]]&amp;Tableau3[[#This Row],[BORNE]]</f>
        <v>4166A</v>
      </c>
      <c r="AO591" s="1"/>
    </row>
    <row r="592" spans="1:41" ht="20.100000000000001" customHeight="1" thickTop="1" thickBot="1">
      <c r="A592" s="75"/>
      <c r="B592" s="76" t="str">
        <f>IFERROR(INDEX(Tableau4[Date],MATCH($A592,Tableau4[EVO],0)),"")</f>
        <v/>
      </c>
      <c r="C592" s="75" t="str">
        <f>IFERROR(INDEX(Tableau4[Designation],MATCH($A592,Tableau4[EVO],0)),"")</f>
        <v/>
      </c>
      <c r="D592" s="75"/>
      <c r="E592" s="79">
        <v>39</v>
      </c>
      <c r="F592" s="80">
        <v>79</v>
      </c>
      <c r="G592" s="102" t="str">
        <f>INDEX(Tableau8[Att1],MATCH(Tableau3[[#This Row],[ID-INS]],Tableau8[ID],0))&amp;""</f>
        <v>V3</v>
      </c>
      <c r="H592" s="102" t="str">
        <f>INDEX(Tableau8[Att2],MATCH(Tableau3[[#This Row],[ID-INS]],Tableau8[ID],0))&amp;""</f>
        <v>BH8</v>
      </c>
      <c r="I592" s="102" t="str">
        <f>INDEX(Tableau8[Att3],MATCH(Tableau3[[#This Row],[ID-INS]],Tableau8[ID],0))&amp;""</f>
        <v>Barrière BH8</v>
      </c>
      <c r="J592" s="102"/>
      <c r="K592" s="167" t="str">
        <f>INDEX(Tableau8[Nom du modele],MATCH(Tableau3[[#This Row],[ID-INS]],Tableau8[ID],0))&amp;""</f>
        <v>BarriereHerse_1</v>
      </c>
      <c r="L592" s="100" t="str">
        <f>INDEX(Tableau5[Att1],MATCH(Tableau3[[#This Row],[ID-SIG]],Tableau5[ID],0))&amp;""</f>
        <v>SynthDef</v>
      </c>
      <c r="M592" s="100" t="str">
        <f>INDEX(Tableau5[Att2],MATCH(Tableau3[[#This Row],[ID-SIG]],Tableau5[ID],0))&amp;""</f>
        <v/>
      </c>
      <c r="N592" s="100" t="str">
        <f>INDEX(Tableau5[Att3],MATCH(Tableau3[[#This Row],[ID-SIG]],Tableau5[ID],0))&amp;""</f>
        <v/>
      </c>
      <c r="O592" s="100"/>
      <c r="P592" s="100" t="str">
        <f>INDEX(Tableau5[Description],MATCH(Tableau3[[#This Row],[ID-SIG]],Tableau5[ID],0))</f>
        <v>Synthèse défaut</v>
      </c>
      <c r="Q592" s="100"/>
      <c r="R592" s="104" t="str">
        <f>Tableau3[[#This Row],[Description]]</f>
        <v>Synthèse défaut</v>
      </c>
      <c r="U592" s="88">
        <v>4</v>
      </c>
      <c r="V592" s="88">
        <v>1</v>
      </c>
      <c r="W592" s="88">
        <v>6</v>
      </c>
      <c r="X592" s="88">
        <v>14</v>
      </c>
      <c r="Y592" s="40"/>
      <c r="Z592" s="166" t="str">
        <f>INDEX(Tableau2[TS],MATCH(Tableau3[[#This Row],[ID-CARTEVOIE]],Tableau2[ID-CARTEVOIE],0))</f>
        <v>ET</v>
      </c>
      <c r="AA592" s="81" t="s">
        <v>213</v>
      </c>
      <c r="AB592" s="226" t="str">
        <f>IFERROR(INDEX(Tableau5[Reserve],MATCH(Tableau3[[#This Row],[ID-SIG]],Tableau5[ID],0))&amp;"","")</f>
        <v/>
      </c>
      <c r="AC592" s="21"/>
      <c r="AD592" s="108" t="str">
        <f>INDEX(Tableau7[Repere],MATCH(Tableau3[[#This Row],[ID-API]],Tableau7[ID-API],0))&amp;""</f>
        <v>A4</v>
      </c>
      <c r="AE592" s="109" t="str">
        <f>INDEX(Tableau1[Repere-Rack],MATCH(Tableau3[[#This Row],[ID-RACK]],Tableau1[ID-RACK],0))&amp;""</f>
        <v>R1</v>
      </c>
      <c r="AF592" s="109" t="str">
        <f>INDEX(Tableau1[Repere-Slot],MATCH(Tableau3[[#This Row],[ID-SLOT]],Tableau1[ID-SLOT],0))&amp;""</f>
        <v>S6</v>
      </c>
      <c r="AG592" s="109" t="str">
        <f>INDEX(Tableau2[Repere-Voie],MATCH(Tableau3[[#This Row],[ID-VOIE]],Tableau2[ID-Voie],0))&amp;""</f>
        <v>v14</v>
      </c>
      <c r="AH592" s="72" t="str">
        <f>Tableau3[[#This Row],[ID-API]]&amp; "." &amp;Tableau3[[#This Row],[ID-RACK]]&amp; "." &amp;Tableau3[[#This Row],[ID-SLOT]]</f>
        <v>4.1.6</v>
      </c>
      <c r="AI592" s="72" t="str">
        <f>INDEX(Tableau1[Ref-Carte],MATCH(Tableau3[[#This Row],[ID-RRS]],Tableau1[ID-RRS],0))</f>
        <v>SDI1602</v>
      </c>
      <c r="AJ592" s="72" t="str">
        <f t="array" ref="AJ592">IFERROR(INDEX(Tableau2[TS],MATCH(1,(Tableau2[Ref-Carte]=Tableau3[[#This Row],[Ref-Carte2]])*(Tableau2[ID-Voie]=Tableau3[[#This Row],[ID-VOIE]]),0)),"")</f>
        <v>ET</v>
      </c>
      <c r="AK592" s="72" t="str">
        <f>IFERROR(INDEX(Tableau2[TS],SUMPRODUCT((Tableau2[Ref-Carte]=Tableau3[[#This Row],[Ref-Carte2]])*(Tableau2[ID-Voie]=Tableau3[[#This Row],[ID-VOIE]])*ROW(Tableau2[TS]))-ROW(Tableau2[#Headers])),"")</f>
        <v>ET</v>
      </c>
      <c r="AL592" s="72" t="str">
        <f>Tableau3[[#This Row],[Ref-Carte2]]&amp;"/"&amp;Tableau3[[#This Row],[ID-VOIE]]</f>
        <v>SDI1602/14</v>
      </c>
      <c r="AM592" s="77" t="str">
        <f>INDEX(Tableau2[Borne],MATCH(Tableau3[[#This Row],[ID-CARTEVOIE]],Tableau2[ID-CARTEVOIE],0))&amp;""</f>
        <v>7B</v>
      </c>
      <c r="AN592" s="74" t="str">
        <f>Tableau3[[#This Row],[ID-API]]&amp;Tableau3[[#This Row],[ID-RACK]]&amp;Tableau3[[#This Row],[ID-SLOT]]&amp;Tableau3[[#This Row],[BORNE]]</f>
        <v>4167B</v>
      </c>
      <c r="AO592" s="1"/>
    </row>
    <row r="593" spans="1:41" ht="20.100000000000001" customHeight="1" thickTop="1" thickBot="1">
      <c r="A593" s="68"/>
      <c r="B593" s="69" t="str">
        <f>IFERROR(INDEX(Tableau4[Date],MATCH($A593,Tableau4[EVO],0)),"")</f>
        <v/>
      </c>
      <c r="C593" s="68" t="str">
        <f>IFERROR(INDEX(Tableau4[Designation],MATCH($A593,Tableau4[EVO],0)),"")</f>
        <v/>
      </c>
      <c r="D593" s="68"/>
      <c r="E593" s="70">
        <v>39</v>
      </c>
      <c r="F593" s="71">
        <v>80</v>
      </c>
      <c r="G593" s="101" t="str">
        <f>INDEX(Tableau8[Att1],MATCH(Tableau3[[#This Row],[ID-INS]],Tableau8[ID],0))&amp;""</f>
        <v>V3</v>
      </c>
      <c r="H593" s="101" t="str">
        <f>INDEX(Tableau8[Att2],MATCH(Tableau3[[#This Row],[ID-INS]],Tableau8[ID],0))&amp;""</f>
        <v>BH8</v>
      </c>
      <c r="I593" s="101" t="str">
        <f>INDEX(Tableau8[Att3],MATCH(Tableau3[[#This Row],[ID-INS]],Tableau8[ID],0))&amp;""</f>
        <v>Barrière BH8</v>
      </c>
      <c r="J593" s="101"/>
      <c r="K593" s="167" t="str">
        <f>INDEX(Tableau8[Nom du modele],MATCH(Tableau3[[#This Row],[ID-INS]],Tableau8[ID],0))&amp;""</f>
        <v>BarriereHerse_1</v>
      </c>
      <c r="L593" s="99" t="str">
        <f>INDEX(Tableau5[Att1],MATCH(Tableau3[[#This Row],[ID-SIG]],Tableau5[ID],0))&amp;""</f>
        <v>FerRet1</v>
      </c>
      <c r="M593" s="99" t="str">
        <f>INDEX(Tableau5[Att2],MATCH(Tableau3[[#This Row],[ID-SIG]],Tableau5[ID],0))&amp;""</f>
        <v/>
      </c>
      <c r="N593" s="99" t="str">
        <f>INDEX(Tableau5[Att3],MATCH(Tableau3[[#This Row],[ID-SIG]],Tableau5[ID],0))&amp;""</f>
        <v/>
      </c>
      <c r="O593" s="99"/>
      <c r="P593" s="99" t="str">
        <f>INDEX(Tableau5[Description],MATCH(Tableau3[[#This Row],[ID-SIG]],Tableau5[ID],0))</f>
        <v>Retour Commande 1 fermeture</v>
      </c>
      <c r="Q593" s="99"/>
      <c r="R593" s="103" t="str">
        <f>Tableau3[[#This Row],[Description]]</f>
        <v>Retour Commande 1 fermeture</v>
      </c>
      <c r="U593" s="87">
        <v>4</v>
      </c>
      <c r="V593" s="87">
        <v>1</v>
      </c>
      <c r="W593" s="87">
        <v>6</v>
      </c>
      <c r="X593" s="87">
        <v>15</v>
      </c>
      <c r="Y593" s="40"/>
      <c r="Z593" s="165" t="str">
        <f>INDEX(Tableau2[TS],MATCH(Tableau3[[#This Row],[ID-CARTEVOIE]],Tableau2[ID-CARTEVOIE],0))</f>
        <v>ET</v>
      </c>
      <c r="AA593" s="53" t="s">
        <v>213</v>
      </c>
      <c r="AB593" s="223" t="str">
        <f>IFERROR(INDEX(Tableau5[Reserve],MATCH(Tableau3[[#This Row],[ID-SIG]],Tableau5[ID],0))&amp;"","")</f>
        <v/>
      </c>
      <c r="AC593" s="21"/>
      <c r="AD593" s="108" t="str">
        <f>INDEX(Tableau7[Repere],MATCH(Tableau3[[#This Row],[ID-API]],Tableau7[ID-API],0))&amp;""</f>
        <v>A4</v>
      </c>
      <c r="AE593" s="108" t="str">
        <f>INDEX(Tableau1[Repere-Rack],MATCH(Tableau3[[#This Row],[ID-RACK]],Tableau1[ID-RACK],0))&amp;""</f>
        <v>R1</v>
      </c>
      <c r="AF593" s="108" t="str">
        <f>INDEX(Tableau1[Repere-Slot],MATCH(Tableau3[[#This Row],[ID-SLOT]],Tableau1[ID-SLOT],0))&amp;""</f>
        <v>S6</v>
      </c>
      <c r="AG593" s="108" t="str">
        <f>INDEX(Tableau2[Repere-Voie],MATCH(Tableau3[[#This Row],[ID-VOIE]],Tableau2[ID-Voie],0))&amp;""</f>
        <v>v15</v>
      </c>
      <c r="AH593" s="72" t="str">
        <f>Tableau3[[#This Row],[ID-API]]&amp; "." &amp;Tableau3[[#This Row],[ID-RACK]]&amp; "." &amp;Tableau3[[#This Row],[ID-SLOT]]</f>
        <v>4.1.6</v>
      </c>
      <c r="AI593" s="72" t="str">
        <f>INDEX(Tableau1[Ref-Carte],MATCH(Tableau3[[#This Row],[ID-RRS]],Tableau1[ID-RRS],0))</f>
        <v>SDI1602</v>
      </c>
      <c r="AJ593" s="72" t="str">
        <f t="array" ref="AJ593">IFERROR(INDEX(Tableau2[TS],MATCH(1,(Tableau2[Ref-Carte]=Tableau3[[#This Row],[Ref-Carte2]])*(Tableau2[ID-Voie]=Tableau3[[#This Row],[ID-VOIE]]),0)),"")</f>
        <v>ET</v>
      </c>
      <c r="AK593" s="72" t="str">
        <f>IFERROR(INDEX(Tableau2[TS],SUMPRODUCT((Tableau2[Ref-Carte]=Tableau3[[#This Row],[Ref-Carte2]])*(Tableau2[ID-Voie]=Tableau3[[#This Row],[ID-VOIE]])*ROW(Tableau2[TS]))-ROW(Tableau2[#Headers])),"")</f>
        <v>ET</v>
      </c>
      <c r="AL593" s="72" t="str">
        <f>Tableau3[[#This Row],[Ref-Carte2]]&amp;"/"&amp;Tableau3[[#This Row],[ID-VOIE]]</f>
        <v>SDI1602/15</v>
      </c>
      <c r="AM593" s="73" t="str">
        <f>INDEX(Tableau2[Borne],MATCH(Tableau3[[#This Row],[ID-CARTEVOIE]],Tableau2[ID-CARTEVOIE],0))&amp;""</f>
        <v>7A</v>
      </c>
      <c r="AN593" s="74" t="str">
        <f>Tableau3[[#This Row],[ID-API]]&amp;Tableau3[[#This Row],[ID-RACK]]&amp;Tableau3[[#This Row],[ID-SLOT]]&amp;Tableau3[[#This Row],[BORNE]]</f>
        <v>4167A</v>
      </c>
      <c r="AO593" s="1"/>
    </row>
    <row r="594" spans="1:41" ht="20.100000000000001" customHeight="1" thickTop="1" thickBot="1">
      <c r="A594" s="68"/>
      <c r="B594" s="69" t="str">
        <f>IFERROR(INDEX(Tableau4[Date],MATCH($A594,Tableau4[EVO],0)),"")</f>
        <v/>
      </c>
      <c r="C594" s="68" t="str">
        <f>IFERROR(INDEX(Tableau4[Designation],MATCH($A594,Tableau4[EVO],0)),"")</f>
        <v/>
      </c>
      <c r="D594" s="68"/>
      <c r="E594" s="70">
        <v>74</v>
      </c>
      <c r="F594" s="71">
        <v>63</v>
      </c>
      <c r="G594" s="101" t="str">
        <f>INDEX(Tableau8[Att1],MATCH(Tableau3[[#This Row],[ID-INS]],Tableau8[ID],0))&amp;""</f>
        <v>V3</v>
      </c>
      <c r="H594" s="101" t="str">
        <f>INDEX(Tableau8[Att2],MATCH(Tableau3[[#This Row],[ID-INS]],Tableau8[ID],0))&amp;""</f>
        <v>BH3</v>
      </c>
      <c r="I594" s="101" t="str">
        <f>INDEX(Tableau8[Att3],MATCH(Tableau3[[#This Row],[ID-INS]],Tableau8[ID],0))&amp;""</f>
        <v>Barrière BH3</v>
      </c>
      <c r="J594" s="101"/>
      <c r="K594" s="167" t="str">
        <f>INDEX(Tableau8[Nom du modele],MATCH(Tableau3[[#This Row],[ID-INS]],Tableau8[ID],0))&amp;""</f>
        <v>BarriereLisse</v>
      </c>
      <c r="L594" s="99" t="str">
        <f>INDEX(Tableau5[Att1],MATCH(Tableau3[[#This Row],[ID-SIG]],Tableau5[ID],0))&amp;""</f>
        <v>OuvCmd</v>
      </c>
      <c r="M594" s="99" t="str">
        <f>INDEX(Tableau5[Att2],MATCH(Tableau3[[#This Row],[ID-SIG]],Tableau5[ID],0))&amp;""</f>
        <v/>
      </c>
      <c r="N594" s="99" t="str">
        <f>INDEX(Tableau5[Att3],MATCH(Tableau3[[#This Row],[ID-SIG]],Tableau5[ID],0))&amp;""</f>
        <v/>
      </c>
      <c r="O594" s="99"/>
      <c r="P594" s="99" t="str">
        <f>INDEX(Tableau5[Description],MATCH(Tableau3[[#This Row],[ID-SIG]],Tableau5[ID],0))</f>
        <v>Commande ouverture</v>
      </c>
      <c r="Q594" s="99"/>
      <c r="R594" s="103" t="str">
        <f>Tableau3[[#This Row],[Description]]</f>
        <v>Commande ouverture</v>
      </c>
      <c r="U594" s="87">
        <v>4</v>
      </c>
      <c r="V594" s="87">
        <v>1</v>
      </c>
      <c r="W594" s="87">
        <v>7</v>
      </c>
      <c r="X594" s="87">
        <v>0</v>
      </c>
      <c r="Y594" s="41"/>
      <c r="Z594" s="165" t="str">
        <f>INDEX(Tableau2[TS],MATCH(Tableau3[[#This Row],[ID-CARTEVOIE]],Tableau2[ID-CARTEVOIE],0))</f>
        <v>ST</v>
      </c>
      <c r="AA594" s="53" t="s">
        <v>213</v>
      </c>
      <c r="AB594" s="223" t="str">
        <f>IFERROR(INDEX(Tableau5[Reserve],MATCH(Tableau3[[#This Row],[ID-SIG]],Tableau5[ID],0))&amp;"","")</f>
        <v/>
      </c>
      <c r="AC594" s="21"/>
      <c r="AD594" s="108" t="str">
        <f>INDEX(Tableau7[Repere],MATCH(Tableau3[[#This Row],[ID-API]],Tableau7[ID-API],0))&amp;""</f>
        <v>A4</v>
      </c>
      <c r="AE594" s="108" t="str">
        <f>INDEX(Tableau1[Repere-Rack],MATCH(Tableau3[[#This Row],[ID-RACK]],Tableau1[ID-RACK],0))&amp;""</f>
        <v>R1</v>
      </c>
      <c r="AF594" s="108" t="str">
        <f>INDEX(Tableau1[Repere-Slot],MATCH(Tableau3[[#This Row],[ID-SLOT]],Tableau1[ID-SLOT],0))&amp;""</f>
        <v>S7</v>
      </c>
      <c r="AG594" s="108" t="str">
        <f>INDEX(Tableau2[Repere-Voie],MATCH(Tableau3[[#This Row],[ID-VOIE]],Tableau2[ID-Voie],0))&amp;""</f>
        <v>v0</v>
      </c>
      <c r="AH594" s="72" t="str">
        <f>Tableau3[[#This Row],[ID-API]]&amp; "." &amp;Tableau3[[#This Row],[ID-RACK]]&amp; "." &amp;Tableau3[[#This Row],[ID-SLOT]]</f>
        <v>4.1.7</v>
      </c>
      <c r="AI594" s="72" t="str">
        <f>INDEX(Tableau1[Ref-Carte],MATCH(Tableau3[[#This Row],[ID-RRS]],Tableau1[ID-RRS],0))</f>
        <v>SDO0802</v>
      </c>
      <c r="AJ594" s="72" t="str">
        <f t="array" ref="AJ594">IFERROR(INDEX(Tableau2[TS],MATCH(1,(Tableau2[Ref-Carte]=Tableau3[[#This Row],[Ref-Carte2]])*(Tableau2[ID-Voie]=Tableau3[[#This Row],[ID-VOIE]]),0)),"")</f>
        <v>ST</v>
      </c>
      <c r="AK594" s="72" t="str">
        <f>IFERROR(INDEX(Tableau2[TS],SUMPRODUCT((Tableau2[Ref-Carte]=Tableau3[[#This Row],[Ref-Carte2]])*(Tableau2[ID-Voie]=Tableau3[[#This Row],[ID-VOIE]])*ROW(Tableau2[TS]))-ROW(Tableau2[#Headers])),"")</f>
        <v>ST</v>
      </c>
      <c r="AL594" s="72" t="str">
        <f>Tableau3[[#This Row],[Ref-Carte2]]&amp;"/"&amp;Tableau3[[#This Row],[ID-VOIE]]</f>
        <v>SDO0802/0</v>
      </c>
      <c r="AM594" s="73" t="str">
        <f>INDEX(Tableau2[Borne],MATCH(Tableau3[[#This Row],[ID-CARTEVOIE]],Tableau2[ID-CARTEVOIE],0))&amp;""</f>
        <v>0</v>
      </c>
      <c r="AN594" s="74" t="str">
        <f>Tableau3[[#This Row],[ID-API]]&amp;Tableau3[[#This Row],[ID-RACK]]&amp;Tableau3[[#This Row],[ID-SLOT]]&amp;Tableau3[[#This Row],[BORNE]]</f>
        <v>4170</v>
      </c>
      <c r="AO594" s="1"/>
    </row>
    <row r="595" spans="1:41" ht="20.100000000000001" customHeight="1" thickTop="1" thickBot="1">
      <c r="A595" s="68"/>
      <c r="B595" s="69" t="str">
        <f>IFERROR(INDEX(Tableau4[Date],MATCH($A595,Tableau4[EVO],0)),"")</f>
        <v/>
      </c>
      <c r="C595" s="68" t="str">
        <f>IFERROR(INDEX(Tableau4[Designation],MATCH($A595,Tableau4[EVO],0)),"")</f>
        <v/>
      </c>
      <c r="D595" s="68"/>
      <c r="E595" s="70">
        <v>74</v>
      </c>
      <c r="F595" s="71">
        <v>64</v>
      </c>
      <c r="G595" s="101" t="str">
        <f>INDEX(Tableau8[Att1],MATCH(Tableau3[[#This Row],[ID-INS]],Tableau8[ID],0))&amp;""</f>
        <v>V3</v>
      </c>
      <c r="H595" s="101" t="str">
        <f>INDEX(Tableau8[Att2],MATCH(Tableau3[[#This Row],[ID-INS]],Tableau8[ID],0))&amp;""</f>
        <v>BH3</v>
      </c>
      <c r="I595" s="101" t="str">
        <f>INDEX(Tableau8[Att3],MATCH(Tableau3[[#This Row],[ID-INS]],Tableau8[ID],0))&amp;""</f>
        <v>Barrière BH3</v>
      </c>
      <c r="J595" s="101"/>
      <c r="K595" s="167" t="str">
        <f>INDEX(Tableau8[Nom du modele],MATCH(Tableau3[[#This Row],[ID-INS]],Tableau8[ID],0))&amp;""</f>
        <v>BarriereLisse</v>
      </c>
      <c r="L595" s="99" t="str">
        <f>INDEX(Tableau5[Att1],MATCH(Tableau3[[#This Row],[ID-SIG]],Tableau5[ID],0))&amp;""</f>
        <v>FerCmd</v>
      </c>
      <c r="M595" s="99" t="str">
        <f>INDEX(Tableau5[Att2],MATCH(Tableau3[[#This Row],[ID-SIG]],Tableau5[ID],0))&amp;""</f>
        <v/>
      </c>
      <c r="N595" s="99" t="str">
        <f>INDEX(Tableau5[Att3],MATCH(Tableau3[[#This Row],[ID-SIG]],Tableau5[ID],0))&amp;""</f>
        <v/>
      </c>
      <c r="O595" s="99"/>
      <c r="P595" s="99" t="str">
        <f>INDEX(Tableau5[Description],MATCH(Tableau3[[#This Row],[ID-SIG]],Tableau5[ID],0))</f>
        <v>Commande fermeture</v>
      </c>
      <c r="Q595" s="99"/>
      <c r="R595" s="103" t="str">
        <f>Tableau3[[#This Row],[Description]]</f>
        <v>Commande fermeture</v>
      </c>
      <c r="U595" s="87">
        <v>4</v>
      </c>
      <c r="V595" s="87">
        <v>1</v>
      </c>
      <c r="W595" s="87">
        <v>7</v>
      </c>
      <c r="X595" s="87">
        <v>1</v>
      </c>
      <c r="Y595" s="41"/>
      <c r="Z595" s="165" t="str">
        <f>INDEX(Tableau2[TS],MATCH(Tableau3[[#This Row],[ID-CARTEVOIE]],Tableau2[ID-CARTEVOIE],0))</f>
        <v>ST</v>
      </c>
      <c r="AA595" s="53" t="s">
        <v>213</v>
      </c>
      <c r="AB595" s="223" t="str">
        <f>IFERROR(INDEX(Tableau5[Reserve],MATCH(Tableau3[[#This Row],[ID-SIG]],Tableau5[ID],0))&amp;"","")</f>
        <v/>
      </c>
      <c r="AC595" s="21"/>
      <c r="AD595" s="108" t="str">
        <f>INDEX(Tableau7[Repere],MATCH(Tableau3[[#This Row],[ID-API]],Tableau7[ID-API],0))&amp;""</f>
        <v>A4</v>
      </c>
      <c r="AE595" s="108" t="str">
        <f>INDEX(Tableau1[Repere-Rack],MATCH(Tableau3[[#This Row],[ID-RACK]],Tableau1[ID-RACK],0))&amp;""</f>
        <v>R1</v>
      </c>
      <c r="AF595" s="108" t="str">
        <f>INDEX(Tableau1[Repere-Slot],MATCH(Tableau3[[#This Row],[ID-SLOT]],Tableau1[ID-SLOT],0))&amp;""</f>
        <v>S7</v>
      </c>
      <c r="AG595" s="108" t="str">
        <f>INDEX(Tableau2[Repere-Voie],MATCH(Tableau3[[#This Row],[ID-VOIE]],Tableau2[ID-Voie],0))&amp;""</f>
        <v>v1</v>
      </c>
      <c r="AH595" s="72" t="str">
        <f>Tableau3[[#This Row],[ID-API]]&amp; "." &amp;Tableau3[[#This Row],[ID-RACK]]&amp; "." &amp;Tableau3[[#This Row],[ID-SLOT]]</f>
        <v>4.1.7</v>
      </c>
      <c r="AI595" s="72" t="str">
        <f>INDEX(Tableau1[Ref-Carte],MATCH(Tableau3[[#This Row],[ID-RRS]],Tableau1[ID-RRS],0))</f>
        <v>SDO0802</v>
      </c>
      <c r="AJ595" s="72" t="str">
        <f t="array" ref="AJ595">IFERROR(INDEX(Tableau2[TS],MATCH(1,(Tableau2[Ref-Carte]=Tableau3[[#This Row],[Ref-Carte2]])*(Tableau2[ID-Voie]=Tableau3[[#This Row],[ID-VOIE]]),0)),"")</f>
        <v>ST</v>
      </c>
      <c r="AK595" s="72" t="str">
        <f>IFERROR(INDEX(Tableau2[TS],SUMPRODUCT((Tableau2[Ref-Carte]=Tableau3[[#This Row],[Ref-Carte2]])*(Tableau2[ID-Voie]=Tableau3[[#This Row],[ID-VOIE]])*ROW(Tableau2[TS]))-ROW(Tableau2[#Headers])),"")</f>
        <v>ST</v>
      </c>
      <c r="AL595" s="72" t="str">
        <f>Tableau3[[#This Row],[Ref-Carte2]]&amp;"/"&amp;Tableau3[[#This Row],[ID-VOIE]]</f>
        <v>SDO0802/1</v>
      </c>
      <c r="AM595" s="73" t="str">
        <f>INDEX(Tableau2[Borne],MATCH(Tableau3[[#This Row],[ID-CARTEVOIE]],Tableau2[ID-CARTEVOIE],0))&amp;""</f>
        <v>1</v>
      </c>
      <c r="AN595" s="74" t="str">
        <f>Tableau3[[#This Row],[ID-API]]&amp;Tableau3[[#This Row],[ID-RACK]]&amp;Tableau3[[#This Row],[ID-SLOT]]&amp;Tableau3[[#This Row],[BORNE]]</f>
        <v>4171</v>
      </c>
      <c r="AO595" s="1"/>
    </row>
    <row r="596" spans="1:41" ht="20.100000000000001" customHeight="1" thickTop="1" thickBot="1">
      <c r="A596" s="68"/>
      <c r="B596" s="69" t="str">
        <f>IFERROR(INDEX(Tableau4[Date],MATCH($A596,Tableau4[EVO],0)),"")</f>
        <v/>
      </c>
      <c r="C596" s="68" t="str">
        <f>IFERROR(INDEX(Tableau4[Designation],MATCH($A596,Tableau4[EVO],0)),"")</f>
        <v/>
      </c>
      <c r="D596" s="68"/>
      <c r="E596" s="70">
        <v>74</v>
      </c>
      <c r="F596" s="71">
        <v>65</v>
      </c>
      <c r="G596" s="101" t="str">
        <f>INDEX(Tableau8[Att1],MATCH(Tableau3[[#This Row],[ID-INS]],Tableau8[ID],0))&amp;""</f>
        <v>V3</v>
      </c>
      <c r="H596" s="101" t="str">
        <f>INDEX(Tableau8[Att2],MATCH(Tableau3[[#This Row],[ID-INS]],Tableau8[ID],0))&amp;""</f>
        <v>BH3</v>
      </c>
      <c r="I596" s="101" t="str">
        <f>INDEX(Tableau8[Att3],MATCH(Tableau3[[#This Row],[ID-INS]],Tableau8[ID],0))&amp;""</f>
        <v>Barrière BH3</v>
      </c>
      <c r="J596" s="101"/>
      <c r="K596" s="167" t="str">
        <f>INDEX(Tableau8[Nom du modele],MATCH(Tableau3[[#This Row],[ID-INS]],Tableau8[ID],0))&amp;""</f>
        <v>BarriereLisse</v>
      </c>
      <c r="L596" s="99" t="str">
        <f>INDEX(Tableau5[Att1],MATCH(Tableau3[[#This Row],[ID-SIG]],Tableau5[ID],0))&amp;""</f>
        <v>Réserve</v>
      </c>
      <c r="M596" s="99" t="str">
        <f>INDEX(Tableau5[Att2],MATCH(Tableau3[[#This Row],[ID-SIG]],Tableau5[ID],0))&amp;""</f>
        <v/>
      </c>
      <c r="N596" s="99" t="str">
        <f>INDEX(Tableau5[Att3],MATCH(Tableau3[[#This Row],[ID-SIG]],Tableau5[ID],0))&amp;""</f>
        <v/>
      </c>
      <c r="O596" s="99"/>
      <c r="P596" s="99" t="str">
        <f>INDEX(Tableau5[Description],MATCH(Tableau3[[#This Row],[ID-SIG]],Tableau5[ID],0))</f>
        <v>Réserve</v>
      </c>
      <c r="Q596" s="99"/>
      <c r="R596" s="103" t="str">
        <f>Tableau3[[#This Row],[Description]]</f>
        <v>Réserve</v>
      </c>
      <c r="U596" s="87">
        <v>4</v>
      </c>
      <c r="V596" s="87">
        <v>1</v>
      </c>
      <c r="W596" s="87">
        <v>7</v>
      </c>
      <c r="X596" s="87">
        <v>2</v>
      </c>
      <c r="Y596" s="41"/>
      <c r="Z596" s="165" t="str">
        <f>INDEX(Tableau2[TS],MATCH(Tableau3[[#This Row],[ID-CARTEVOIE]],Tableau2[ID-CARTEVOIE],0))</f>
        <v>ST</v>
      </c>
      <c r="AA596" s="53" t="s">
        <v>213</v>
      </c>
      <c r="AB596" s="223" t="str">
        <f>IFERROR(INDEX(Tableau5[Reserve],MATCH(Tableau3[[#This Row],[ID-SIG]],Tableau5[ID],0))&amp;"","")</f>
        <v/>
      </c>
      <c r="AC596" s="21"/>
      <c r="AD596" s="108" t="str">
        <f>INDEX(Tableau7[Repere],MATCH(Tableau3[[#This Row],[ID-API]],Tableau7[ID-API],0))&amp;""</f>
        <v>A4</v>
      </c>
      <c r="AE596" s="108" t="str">
        <f>INDEX(Tableau1[Repere-Rack],MATCH(Tableau3[[#This Row],[ID-RACK]],Tableau1[ID-RACK],0))&amp;""</f>
        <v>R1</v>
      </c>
      <c r="AF596" s="108" t="str">
        <f>INDEX(Tableau1[Repere-Slot],MATCH(Tableau3[[#This Row],[ID-SLOT]],Tableau1[ID-SLOT],0))&amp;""</f>
        <v>S7</v>
      </c>
      <c r="AG596" s="108" t="str">
        <f>INDEX(Tableau2[Repere-Voie],MATCH(Tableau3[[#This Row],[ID-VOIE]],Tableau2[ID-Voie],0))&amp;""</f>
        <v>v2</v>
      </c>
      <c r="AH596" s="72" t="str">
        <f>Tableau3[[#This Row],[ID-API]]&amp; "." &amp;Tableau3[[#This Row],[ID-RACK]]&amp; "." &amp;Tableau3[[#This Row],[ID-SLOT]]</f>
        <v>4.1.7</v>
      </c>
      <c r="AI596" s="72" t="str">
        <f>INDEX(Tableau1[Ref-Carte],MATCH(Tableau3[[#This Row],[ID-RRS]],Tableau1[ID-RRS],0))</f>
        <v>SDO0802</v>
      </c>
      <c r="AJ596" s="72" t="str">
        <f t="array" ref="AJ596">IFERROR(INDEX(Tableau2[TS],MATCH(1,(Tableau2[Ref-Carte]=Tableau3[[#This Row],[Ref-Carte2]])*(Tableau2[ID-Voie]=Tableau3[[#This Row],[ID-VOIE]]),0)),"")</f>
        <v>ST</v>
      </c>
      <c r="AK596" s="72" t="str">
        <f>IFERROR(INDEX(Tableau2[TS],SUMPRODUCT((Tableau2[Ref-Carte]=Tableau3[[#This Row],[Ref-Carte2]])*(Tableau2[ID-Voie]=Tableau3[[#This Row],[ID-VOIE]])*ROW(Tableau2[TS]))-ROW(Tableau2[#Headers])),"")</f>
        <v>ST</v>
      </c>
      <c r="AL596" s="72" t="str">
        <f>Tableau3[[#This Row],[Ref-Carte2]]&amp;"/"&amp;Tableau3[[#This Row],[ID-VOIE]]</f>
        <v>SDO0802/2</v>
      </c>
      <c r="AM596" s="73" t="str">
        <f>INDEX(Tableau2[Borne],MATCH(Tableau3[[#This Row],[ID-CARTEVOIE]],Tableau2[ID-CARTEVOIE],0))&amp;""</f>
        <v>2</v>
      </c>
      <c r="AN596" s="74" t="str">
        <f>Tableau3[[#This Row],[ID-API]]&amp;Tableau3[[#This Row],[ID-RACK]]&amp;Tableau3[[#This Row],[ID-SLOT]]&amp;Tableau3[[#This Row],[BORNE]]</f>
        <v>4172</v>
      </c>
      <c r="AO596" s="1"/>
    </row>
    <row r="597" spans="1:41" ht="20.100000000000001" customHeight="1" thickTop="1" thickBot="1">
      <c r="A597" s="68"/>
      <c r="B597" s="69" t="str">
        <f>IFERROR(INDEX(Tableau4[Date],MATCH($A597,Tableau4[EVO],0)),"")</f>
        <v/>
      </c>
      <c r="C597" s="68" t="str">
        <f>IFERROR(INDEX(Tableau4[Designation],MATCH($A597,Tableau4[EVO],0)),"")</f>
        <v/>
      </c>
      <c r="D597" s="68"/>
      <c r="E597" s="70">
        <v>79</v>
      </c>
      <c r="F597" s="71">
        <v>63</v>
      </c>
      <c r="G597" s="101" t="str">
        <f>INDEX(Tableau8[Att1],MATCH(Tableau3[[#This Row],[ID-INS]],Tableau8[ID],0))&amp;""</f>
        <v>V3</v>
      </c>
      <c r="H597" s="101" t="str">
        <f>INDEX(Tableau8[Att2],MATCH(Tableau3[[#This Row],[ID-INS]],Tableau8[ID],0))&amp;""</f>
        <v>BR3</v>
      </c>
      <c r="I597" s="101" t="str">
        <f>INDEX(Tableau8[Att3],MATCH(Tableau3[[#This Row],[ID-INS]],Tableau8[ID],0))&amp;""</f>
        <v>Barrière BR3</v>
      </c>
      <c r="J597" s="101"/>
      <c r="K597" s="167" t="str">
        <f>INDEX(Tableau8[Nom du modele],MATCH(Tableau3[[#This Row],[ID-INS]],Tableau8[ID],0))&amp;""</f>
        <v>BarriereLisse</v>
      </c>
      <c r="L597" s="99" t="str">
        <f>INDEX(Tableau5[Att1],MATCH(Tableau3[[#This Row],[ID-SIG]],Tableau5[ID],0))&amp;""</f>
        <v>OuvCmd</v>
      </c>
      <c r="M597" s="99" t="str">
        <f>INDEX(Tableau5[Att2],MATCH(Tableau3[[#This Row],[ID-SIG]],Tableau5[ID],0))&amp;""</f>
        <v/>
      </c>
      <c r="N597" s="99" t="str">
        <f>INDEX(Tableau5[Att3],MATCH(Tableau3[[#This Row],[ID-SIG]],Tableau5[ID],0))&amp;""</f>
        <v/>
      </c>
      <c r="O597" s="99"/>
      <c r="P597" s="99" t="str">
        <f>INDEX(Tableau5[Description],MATCH(Tableau3[[#This Row],[ID-SIG]],Tableau5[ID],0))</f>
        <v>Commande ouverture</v>
      </c>
      <c r="Q597" s="99"/>
      <c r="R597" s="103" t="str">
        <f>Tableau3[[#This Row],[Description]]</f>
        <v>Commande ouverture</v>
      </c>
      <c r="U597" s="87">
        <v>4</v>
      </c>
      <c r="V597" s="87">
        <v>1</v>
      </c>
      <c r="W597" s="87">
        <v>7</v>
      </c>
      <c r="X597" s="87">
        <v>3</v>
      </c>
      <c r="Y597" s="41"/>
      <c r="Z597" s="165" t="str">
        <f>INDEX(Tableau2[TS],MATCH(Tableau3[[#This Row],[ID-CARTEVOIE]],Tableau2[ID-CARTEVOIE],0))</f>
        <v>ST</v>
      </c>
      <c r="AA597" s="53" t="s">
        <v>213</v>
      </c>
      <c r="AB597" s="223" t="str">
        <f>IFERROR(INDEX(Tableau5[Reserve],MATCH(Tableau3[[#This Row],[ID-SIG]],Tableau5[ID],0))&amp;"","")</f>
        <v/>
      </c>
      <c r="AC597" s="21"/>
      <c r="AD597" s="108" t="str">
        <f>INDEX(Tableau7[Repere],MATCH(Tableau3[[#This Row],[ID-API]],Tableau7[ID-API],0))&amp;""</f>
        <v>A4</v>
      </c>
      <c r="AE597" s="108" t="str">
        <f>INDEX(Tableau1[Repere-Rack],MATCH(Tableau3[[#This Row],[ID-RACK]],Tableau1[ID-RACK],0))&amp;""</f>
        <v>R1</v>
      </c>
      <c r="AF597" s="108" t="str">
        <f>INDEX(Tableau1[Repere-Slot],MATCH(Tableau3[[#This Row],[ID-SLOT]],Tableau1[ID-SLOT],0))&amp;""</f>
        <v>S7</v>
      </c>
      <c r="AG597" s="108" t="str">
        <f>INDEX(Tableau2[Repere-Voie],MATCH(Tableau3[[#This Row],[ID-VOIE]],Tableau2[ID-Voie],0))&amp;""</f>
        <v>v3</v>
      </c>
      <c r="AH597" s="72" t="str">
        <f>Tableau3[[#This Row],[ID-API]]&amp; "." &amp;Tableau3[[#This Row],[ID-RACK]]&amp; "." &amp;Tableau3[[#This Row],[ID-SLOT]]</f>
        <v>4.1.7</v>
      </c>
      <c r="AI597" s="72" t="str">
        <f>INDEX(Tableau1[Ref-Carte],MATCH(Tableau3[[#This Row],[ID-RRS]],Tableau1[ID-RRS],0))</f>
        <v>SDO0802</v>
      </c>
      <c r="AJ597" s="72" t="str">
        <f t="array" ref="AJ597">IFERROR(INDEX(Tableau2[TS],MATCH(1,(Tableau2[Ref-Carte]=Tableau3[[#This Row],[Ref-Carte2]])*(Tableau2[ID-Voie]=Tableau3[[#This Row],[ID-VOIE]]),0)),"")</f>
        <v>ST</v>
      </c>
      <c r="AK597" s="72" t="str">
        <f>IFERROR(INDEX(Tableau2[TS],SUMPRODUCT((Tableau2[Ref-Carte]=Tableau3[[#This Row],[Ref-Carte2]])*(Tableau2[ID-Voie]=Tableau3[[#This Row],[ID-VOIE]])*ROW(Tableau2[TS]))-ROW(Tableau2[#Headers])),"")</f>
        <v>ST</v>
      </c>
      <c r="AL597" s="72" t="str">
        <f>Tableau3[[#This Row],[Ref-Carte2]]&amp;"/"&amp;Tableau3[[#This Row],[ID-VOIE]]</f>
        <v>SDO0802/3</v>
      </c>
      <c r="AM597" s="73" t="str">
        <f>INDEX(Tableau2[Borne],MATCH(Tableau3[[#This Row],[ID-CARTEVOIE]],Tableau2[ID-CARTEVOIE],0))&amp;""</f>
        <v>3</v>
      </c>
      <c r="AN597" s="74" t="str">
        <f>Tableau3[[#This Row],[ID-API]]&amp;Tableau3[[#This Row],[ID-RACK]]&amp;Tableau3[[#This Row],[ID-SLOT]]&amp;Tableau3[[#This Row],[BORNE]]</f>
        <v>4173</v>
      </c>
      <c r="AO597" s="1"/>
    </row>
    <row r="598" spans="1:41" ht="20.100000000000001" customHeight="1" thickTop="1" thickBot="1">
      <c r="A598" s="68"/>
      <c r="B598" s="69" t="str">
        <f>IFERROR(INDEX(Tableau4[Date],MATCH($A598,Tableau4[EVO],0)),"")</f>
        <v/>
      </c>
      <c r="C598" s="68" t="str">
        <f>IFERROR(INDEX(Tableau4[Designation],MATCH($A598,Tableau4[EVO],0)),"")</f>
        <v/>
      </c>
      <c r="D598" s="68"/>
      <c r="E598" s="70">
        <v>79</v>
      </c>
      <c r="F598" s="71">
        <v>64</v>
      </c>
      <c r="G598" s="101" t="str">
        <f>INDEX(Tableau8[Att1],MATCH(Tableau3[[#This Row],[ID-INS]],Tableau8[ID],0))&amp;""</f>
        <v>V3</v>
      </c>
      <c r="H598" s="101" t="str">
        <f>INDEX(Tableau8[Att2],MATCH(Tableau3[[#This Row],[ID-INS]],Tableau8[ID],0))&amp;""</f>
        <v>BR3</v>
      </c>
      <c r="I598" s="101" t="str">
        <f>INDEX(Tableau8[Att3],MATCH(Tableau3[[#This Row],[ID-INS]],Tableau8[ID],0))&amp;""</f>
        <v>Barrière BR3</v>
      </c>
      <c r="J598" s="101"/>
      <c r="K598" s="167" t="str">
        <f>INDEX(Tableau8[Nom du modele],MATCH(Tableau3[[#This Row],[ID-INS]],Tableau8[ID],0))&amp;""</f>
        <v>BarriereLisse</v>
      </c>
      <c r="L598" s="99" t="str">
        <f>INDEX(Tableau5[Att1],MATCH(Tableau3[[#This Row],[ID-SIG]],Tableau5[ID],0))&amp;""</f>
        <v>FerCmd</v>
      </c>
      <c r="M598" s="99" t="str">
        <f>INDEX(Tableau5[Att2],MATCH(Tableau3[[#This Row],[ID-SIG]],Tableau5[ID],0))&amp;""</f>
        <v/>
      </c>
      <c r="N598" s="99" t="str">
        <f>INDEX(Tableau5[Att3],MATCH(Tableau3[[#This Row],[ID-SIG]],Tableau5[ID],0))&amp;""</f>
        <v/>
      </c>
      <c r="O598" s="99"/>
      <c r="P598" s="99" t="str">
        <f>INDEX(Tableau5[Description],MATCH(Tableau3[[#This Row],[ID-SIG]],Tableau5[ID],0))</f>
        <v>Commande fermeture</v>
      </c>
      <c r="Q598" s="99"/>
      <c r="R598" s="103" t="str">
        <f>Tableau3[[#This Row],[Description]]</f>
        <v>Commande fermeture</v>
      </c>
      <c r="U598" s="87">
        <v>4</v>
      </c>
      <c r="V598" s="87">
        <v>1</v>
      </c>
      <c r="W598" s="87">
        <v>7</v>
      </c>
      <c r="X598" s="87">
        <v>4</v>
      </c>
      <c r="Y598" s="41"/>
      <c r="Z598" s="165" t="str">
        <f>INDEX(Tableau2[TS],MATCH(Tableau3[[#This Row],[ID-CARTEVOIE]],Tableau2[ID-CARTEVOIE],0))</f>
        <v>ST</v>
      </c>
      <c r="AA598" s="53" t="s">
        <v>213</v>
      </c>
      <c r="AB598" s="223" t="str">
        <f>IFERROR(INDEX(Tableau5[Reserve],MATCH(Tableau3[[#This Row],[ID-SIG]],Tableau5[ID],0))&amp;"","")</f>
        <v/>
      </c>
      <c r="AC598" s="21"/>
      <c r="AD598" s="108" t="str">
        <f>INDEX(Tableau7[Repere],MATCH(Tableau3[[#This Row],[ID-API]],Tableau7[ID-API],0))&amp;""</f>
        <v>A4</v>
      </c>
      <c r="AE598" s="108" t="str">
        <f>INDEX(Tableau1[Repere-Rack],MATCH(Tableau3[[#This Row],[ID-RACK]],Tableau1[ID-RACK],0))&amp;""</f>
        <v>R1</v>
      </c>
      <c r="AF598" s="108" t="str">
        <f>INDEX(Tableau1[Repere-Slot],MATCH(Tableau3[[#This Row],[ID-SLOT]],Tableau1[ID-SLOT],0))&amp;""</f>
        <v>S7</v>
      </c>
      <c r="AG598" s="108" t="str">
        <f>INDEX(Tableau2[Repere-Voie],MATCH(Tableau3[[#This Row],[ID-VOIE]],Tableau2[ID-Voie],0))&amp;""</f>
        <v>v4</v>
      </c>
      <c r="AH598" s="72" t="str">
        <f>Tableau3[[#This Row],[ID-API]]&amp; "." &amp;Tableau3[[#This Row],[ID-RACK]]&amp; "." &amp;Tableau3[[#This Row],[ID-SLOT]]</f>
        <v>4.1.7</v>
      </c>
      <c r="AI598" s="72" t="str">
        <f>INDEX(Tableau1[Ref-Carte],MATCH(Tableau3[[#This Row],[ID-RRS]],Tableau1[ID-RRS],0))</f>
        <v>SDO0802</v>
      </c>
      <c r="AJ598" s="72" t="str">
        <f t="array" ref="AJ598">IFERROR(INDEX(Tableau2[TS],MATCH(1,(Tableau2[Ref-Carte]=Tableau3[[#This Row],[Ref-Carte2]])*(Tableau2[ID-Voie]=Tableau3[[#This Row],[ID-VOIE]]),0)),"")</f>
        <v>ST</v>
      </c>
      <c r="AK598" s="72" t="str">
        <f>IFERROR(INDEX(Tableau2[TS],SUMPRODUCT((Tableau2[Ref-Carte]=Tableau3[[#This Row],[Ref-Carte2]])*(Tableau2[ID-Voie]=Tableau3[[#This Row],[ID-VOIE]])*ROW(Tableau2[TS]))-ROW(Tableau2[#Headers])),"")</f>
        <v>ST</v>
      </c>
      <c r="AL598" s="72" t="str">
        <f>Tableau3[[#This Row],[Ref-Carte2]]&amp;"/"&amp;Tableau3[[#This Row],[ID-VOIE]]</f>
        <v>SDO0802/4</v>
      </c>
      <c r="AM598" s="73" t="str">
        <f>INDEX(Tableau2[Borne],MATCH(Tableau3[[#This Row],[ID-CARTEVOIE]],Tableau2[ID-CARTEVOIE],0))&amp;""</f>
        <v>4</v>
      </c>
      <c r="AN598" s="74" t="str">
        <f>Tableau3[[#This Row],[ID-API]]&amp;Tableau3[[#This Row],[ID-RACK]]&amp;Tableau3[[#This Row],[ID-SLOT]]&amp;Tableau3[[#This Row],[BORNE]]</f>
        <v>4174</v>
      </c>
      <c r="AO598" s="1"/>
    </row>
    <row r="599" spans="1:41" ht="20.100000000000001" customHeight="1" thickTop="1" thickBot="1">
      <c r="A599" s="68"/>
      <c r="B599" s="69" t="str">
        <f>IFERROR(INDEX(Tableau4[Date],MATCH($A599,Tableau4[EVO],0)),"")</f>
        <v/>
      </c>
      <c r="C599" s="68" t="str">
        <f>IFERROR(INDEX(Tableau4[Designation],MATCH($A599,Tableau4[EVO],0)),"")</f>
        <v/>
      </c>
      <c r="D599" s="68"/>
      <c r="E599" s="70">
        <v>79</v>
      </c>
      <c r="F599" s="71">
        <v>65</v>
      </c>
      <c r="G599" s="101" t="str">
        <f>INDEX(Tableau8[Att1],MATCH(Tableau3[[#This Row],[ID-INS]],Tableau8[ID],0))&amp;""</f>
        <v>V3</v>
      </c>
      <c r="H599" s="101" t="str">
        <f>INDEX(Tableau8[Att2],MATCH(Tableau3[[#This Row],[ID-INS]],Tableau8[ID],0))&amp;""</f>
        <v>BR3</v>
      </c>
      <c r="I599" s="101" t="str">
        <f>INDEX(Tableau8[Att3],MATCH(Tableau3[[#This Row],[ID-INS]],Tableau8[ID],0))&amp;""</f>
        <v>Barrière BR3</v>
      </c>
      <c r="J599" s="101"/>
      <c r="K599" s="167" t="str">
        <f>INDEX(Tableau8[Nom du modele],MATCH(Tableau3[[#This Row],[ID-INS]],Tableau8[ID],0))&amp;""</f>
        <v>BarriereLisse</v>
      </c>
      <c r="L599" s="99" t="str">
        <f>INDEX(Tableau5[Att1],MATCH(Tableau3[[#This Row],[ID-SIG]],Tableau5[ID],0))&amp;""</f>
        <v>Réserve</v>
      </c>
      <c r="M599" s="99" t="str">
        <f>INDEX(Tableau5[Att2],MATCH(Tableau3[[#This Row],[ID-SIG]],Tableau5[ID],0))&amp;""</f>
        <v/>
      </c>
      <c r="N599" s="99" t="str">
        <f>INDEX(Tableau5[Att3],MATCH(Tableau3[[#This Row],[ID-SIG]],Tableau5[ID],0))&amp;""</f>
        <v/>
      </c>
      <c r="O599" s="99"/>
      <c r="P599" s="99" t="str">
        <f>INDEX(Tableau5[Description],MATCH(Tableau3[[#This Row],[ID-SIG]],Tableau5[ID],0))</f>
        <v>Réserve</v>
      </c>
      <c r="Q599" s="99"/>
      <c r="R599" s="103" t="str">
        <f>Tableau3[[#This Row],[Description]]</f>
        <v>Réserve</v>
      </c>
      <c r="U599" s="87">
        <v>4</v>
      </c>
      <c r="V599" s="87">
        <v>1</v>
      </c>
      <c r="W599" s="87">
        <v>7</v>
      </c>
      <c r="X599" s="87">
        <v>5</v>
      </c>
      <c r="Y599" s="41"/>
      <c r="Z599" s="165" t="str">
        <f>INDEX(Tableau2[TS],MATCH(Tableau3[[#This Row],[ID-CARTEVOIE]],Tableau2[ID-CARTEVOIE],0))</f>
        <v>ST</v>
      </c>
      <c r="AA599" s="53" t="s">
        <v>213</v>
      </c>
      <c r="AB599" s="223" t="str">
        <f>IFERROR(INDEX(Tableau5[Reserve],MATCH(Tableau3[[#This Row],[ID-SIG]],Tableau5[ID],0))&amp;"","")</f>
        <v/>
      </c>
      <c r="AC599" s="21"/>
      <c r="AD599" s="108" t="str">
        <f>INDEX(Tableau7[Repere],MATCH(Tableau3[[#This Row],[ID-API]],Tableau7[ID-API],0))&amp;""</f>
        <v>A4</v>
      </c>
      <c r="AE599" s="108" t="str">
        <f>INDEX(Tableau1[Repere-Rack],MATCH(Tableau3[[#This Row],[ID-RACK]],Tableau1[ID-RACK],0))&amp;""</f>
        <v>R1</v>
      </c>
      <c r="AF599" s="108" t="str">
        <f>INDEX(Tableau1[Repere-Slot],MATCH(Tableau3[[#This Row],[ID-SLOT]],Tableau1[ID-SLOT],0))&amp;""</f>
        <v>S7</v>
      </c>
      <c r="AG599" s="108" t="str">
        <f>INDEX(Tableau2[Repere-Voie],MATCH(Tableau3[[#This Row],[ID-VOIE]],Tableau2[ID-Voie],0))&amp;""</f>
        <v>v5</v>
      </c>
      <c r="AH599" s="72" t="str">
        <f>Tableau3[[#This Row],[ID-API]]&amp; "." &amp;Tableau3[[#This Row],[ID-RACK]]&amp; "." &amp;Tableau3[[#This Row],[ID-SLOT]]</f>
        <v>4.1.7</v>
      </c>
      <c r="AI599" s="72" t="str">
        <f>INDEX(Tableau1[Ref-Carte],MATCH(Tableau3[[#This Row],[ID-RRS]],Tableau1[ID-RRS],0))</f>
        <v>SDO0802</v>
      </c>
      <c r="AJ599" s="72" t="str">
        <f t="array" ref="AJ599">IFERROR(INDEX(Tableau2[TS],MATCH(1,(Tableau2[Ref-Carte]=Tableau3[[#This Row],[Ref-Carte2]])*(Tableau2[ID-Voie]=Tableau3[[#This Row],[ID-VOIE]]),0)),"")</f>
        <v>ST</v>
      </c>
      <c r="AK599" s="72" t="str">
        <f>IFERROR(INDEX(Tableau2[TS],SUMPRODUCT((Tableau2[Ref-Carte]=Tableau3[[#This Row],[Ref-Carte2]])*(Tableau2[ID-Voie]=Tableau3[[#This Row],[ID-VOIE]])*ROW(Tableau2[TS]))-ROW(Tableau2[#Headers])),"")</f>
        <v>ST</v>
      </c>
      <c r="AL599" s="72" t="str">
        <f>Tableau3[[#This Row],[Ref-Carte2]]&amp;"/"&amp;Tableau3[[#This Row],[ID-VOIE]]</f>
        <v>SDO0802/5</v>
      </c>
      <c r="AM599" s="73" t="str">
        <f>INDEX(Tableau2[Borne],MATCH(Tableau3[[#This Row],[ID-CARTEVOIE]],Tableau2[ID-CARTEVOIE],0))&amp;""</f>
        <v>5</v>
      </c>
      <c r="AN599" s="74" t="str">
        <f>Tableau3[[#This Row],[ID-API]]&amp;Tableau3[[#This Row],[ID-RACK]]&amp;Tableau3[[#This Row],[ID-SLOT]]&amp;Tableau3[[#This Row],[BORNE]]</f>
        <v>4175</v>
      </c>
      <c r="AO599" s="1"/>
    </row>
    <row r="600" spans="1:41" ht="20.100000000000001" customHeight="1" thickTop="1" thickBot="1">
      <c r="A600" s="68"/>
      <c r="B600" s="69" t="str">
        <f>IFERROR(INDEX(Tableau4[Date],MATCH($A600,Tableau4[EVO],0)),"")</f>
        <v/>
      </c>
      <c r="C600" s="68" t="str">
        <f>IFERROR(INDEX(Tableau4[Designation],MATCH($A600,Tableau4[EVO],0)),"")</f>
        <v/>
      </c>
      <c r="D600" s="68"/>
      <c r="E600" s="70">
        <v>80</v>
      </c>
      <c r="F600" s="71">
        <v>307</v>
      </c>
      <c r="G600" s="101" t="str">
        <f>INDEX(Tableau8[Att1],MATCH(Tableau3[[#This Row],[ID-INS]],Tableau8[ID],0))&amp;""</f>
        <v>V3</v>
      </c>
      <c r="H600" s="101" t="str">
        <f>INDEX(Tableau8[Att2],MATCH(Tableau3[[#This Row],[ID-INS]],Tableau8[ID],0))&amp;""</f>
        <v>F2</v>
      </c>
      <c r="I600" s="101" t="str">
        <f>INDEX(Tableau8[Att3],MATCH(Tableau3[[#This Row],[ID-INS]],Tableau8[ID],0))&amp;""</f>
        <v>Feu F2</v>
      </c>
      <c r="J600" s="101"/>
      <c r="K600" s="167" t="str">
        <f>INDEX(Tableau8[Nom du modele],MATCH(Tableau3[[#This Row],[ID-INS]],Tableau8[ID],0))&amp;""</f>
        <v>FeuOuvV</v>
      </c>
      <c r="L600" s="99" t="str">
        <f>INDEX(Tableau5[Att1],MATCH(Tableau3[[#This Row],[ID-SIG]],Tableau5[ID],0))&amp;""</f>
        <v>Feu_Cmd</v>
      </c>
      <c r="M600" s="99" t="str">
        <f>INDEX(Tableau5[Att2],MATCH(Tableau3[[#This Row],[ID-SIG]],Tableau5[ID],0))&amp;""</f>
        <v/>
      </c>
      <c r="N600" s="99" t="str">
        <f>INDEX(Tableau5[Att3],MATCH(Tableau3[[#This Row],[ID-SIG]],Tableau5[ID],0))&amp;""</f>
        <v/>
      </c>
      <c r="O600" s="99"/>
      <c r="P600" s="99" t="str">
        <f>INDEX(Tableau5[Description],MATCH(Tableau3[[#This Row],[ID-SIG]],Tableau5[ID],0))</f>
        <v xml:space="preserve">Commande Feu </v>
      </c>
      <c r="Q600" s="99"/>
      <c r="R600" s="103" t="str">
        <f>Tableau3[[#This Row],[Description]]</f>
        <v xml:space="preserve">Commande Feu </v>
      </c>
      <c r="U600" s="87">
        <v>4</v>
      </c>
      <c r="V600" s="87">
        <v>1</v>
      </c>
      <c r="W600" s="87">
        <v>7</v>
      </c>
      <c r="X600" s="87">
        <v>6</v>
      </c>
      <c r="Y600" s="41"/>
      <c r="Z600" s="165" t="str">
        <f>INDEX(Tableau2[TS],MATCH(Tableau3[[#This Row],[ID-CARTEVOIE]],Tableau2[ID-CARTEVOIE],0))</f>
        <v>ST</v>
      </c>
      <c r="AA600" s="53" t="s">
        <v>213</v>
      </c>
      <c r="AB600" s="223" t="str">
        <f>IFERROR(INDEX(Tableau5[Reserve],MATCH(Tableau3[[#This Row],[ID-SIG]],Tableau5[ID],0))&amp;"","")</f>
        <v/>
      </c>
      <c r="AC600" s="21"/>
      <c r="AD600" s="108" t="str">
        <f>INDEX(Tableau7[Repere],MATCH(Tableau3[[#This Row],[ID-API]],Tableau7[ID-API],0))&amp;""</f>
        <v>A4</v>
      </c>
      <c r="AE600" s="108" t="str">
        <f>INDEX(Tableau1[Repere-Rack],MATCH(Tableau3[[#This Row],[ID-RACK]],Tableau1[ID-RACK],0))&amp;""</f>
        <v>R1</v>
      </c>
      <c r="AF600" s="108" t="str">
        <f>INDEX(Tableau1[Repere-Slot],MATCH(Tableau3[[#This Row],[ID-SLOT]],Tableau1[ID-SLOT],0))&amp;""</f>
        <v>S7</v>
      </c>
      <c r="AG600" s="108" t="str">
        <f>INDEX(Tableau2[Repere-Voie],MATCH(Tableau3[[#This Row],[ID-VOIE]],Tableau2[ID-Voie],0))&amp;""</f>
        <v>v6</v>
      </c>
      <c r="AH600" s="72" t="str">
        <f>Tableau3[[#This Row],[ID-API]]&amp; "." &amp;Tableau3[[#This Row],[ID-RACK]]&amp; "." &amp;Tableau3[[#This Row],[ID-SLOT]]</f>
        <v>4.1.7</v>
      </c>
      <c r="AI600" s="72" t="str">
        <f>INDEX(Tableau1[Ref-Carte],MATCH(Tableau3[[#This Row],[ID-RRS]],Tableau1[ID-RRS],0))</f>
        <v>SDO0802</v>
      </c>
      <c r="AJ600" s="72" t="str">
        <f t="array" ref="AJ600">IFERROR(INDEX(Tableau2[TS],MATCH(1,(Tableau2[Ref-Carte]=Tableau3[[#This Row],[Ref-Carte2]])*(Tableau2[ID-Voie]=Tableau3[[#This Row],[ID-VOIE]]),0)),"")</f>
        <v>ST</v>
      </c>
      <c r="AK600" s="72" t="str">
        <f>IFERROR(INDEX(Tableau2[TS],SUMPRODUCT((Tableau2[Ref-Carte]=Tableau3[[#This Row],[Ref-Carte2]])*(Tableau2[ID-Voie]=Tableau3[[#This Row],[ID-VOIE]])*ROW(Tableau2[TS]))-ROW(Tableau2[#Headers])),"")</f>
        <v>ST</v>
      </c>
      <c r="AL600" s="72" t="str">
        <f>Tableau3[[#This Row],[Ref-Carte2]]&amp;"/"&amp;Tableau3[[#This Row],[ID-VOIE]]</f>
        <v>SDO0802/6</v>
      </c>
      <c r="AM600" s="73" t="str">
        <f>INDEX(Tableau2[Borne],MATCH(Tableau3[[#This Row],[ID-CARTEVOIE]],Tableau2[ID-CARTEVOIE],0))&amp;""</f>
        <v>6</v>
      </c>
      <c r="AN600" s="74" t="str">
        <f>Tableau3[[#This Row],[ID-API]]&amp;Tableau3[[#This Row],[ID-RACK]]&amp;Tableau3[[#This Row],[ID-SLOT]]&amp;Tableau3[[#This Row],[BORNE]]</f>
        <v>4176</v>
      </c>
      <c r="AO600" s="1"/>
    </row>
    <row r="601" spans="1:41" ht="20.100000000000001" customHeight="1" thickTop="1" thickBot="1">
      <c r="A601" s="68"/>
      <c r="B601" s="69" t="str">
        <f>IFERROR(INDEX(Tableau4[Date],MATCH($A601,Tableau4[EVO],0)),"")</f>
        <v/>
      </c>
      <c r="C601" s="68" t="str">
        <f>IFERROR(INDEX(Tableau4[Designation],MATCH($A601,Tableau4[EVO],0)),"")</f>
        <v/>
      </c>
      <c r="D601" s="68"/>
      <c r="E601" s="70">
        <v>85</v>
      </c>
      <c r="F601" s="71">
        <v>313</v>
      </c>
      <c r="G601" s="101" t="str">
        <f>INDEX(Tableau8[Att1],MATCH(Tableau3[[#This Row],[ID-INS]],Tableau8[ID],0))&amp;""</f>
        <v>V3</v>
      </c>
      <c r="H601" s="101" t="str">
        <f>INDEX(Tableau8[Att2],MATCH(Tableau3[[#This Row],[ID-INS]],Tableau8[ID],0))&amp;""</f>
        <v>F7</v>
      </c>
      <c r="I601" s="101" t="str">
        <f>INDEX(Tableau8[Att3],MATCH(Tableau3[[#This Row],[ID-INS]],Tableau8[ID],0))&amp;""</f>
        <v>Feu F7</v>
      </c>
      <c r="J601" s="101"/>
      <c r="K601" s="167" t="str">
        <f>INDEX(Tableau8[Nom du modele],MATCH(Tableau3[[#This Row],[ID-INS]],Tableau8[ID],0))&amp;""</f>
        <v>FeuBi_1</v>
      </c>
      <c r="L601" s="99" t="str">
        <f>INDEX(Tableau5[Att1],MATCH(Tableau3[[#This Row],[ID-SIG]],Tableau5[ID],0))&amp;""</f>
        <v>FeuV_Cmd</v>
      </c>
      <c r="M601" s="99" t="str">
        <f>INDEX(Tableau5[Att2],MATCH(Tableau3[[#This Row],[ID-SIG]],Tableau5[ID],0))&amp;""</f>
        <v/>
      </c>
      <c r="N601" s="99" t="str">
        <f>INDEX(Tableau5[Att3],MATCH(Tableau3[[#This Row],[ID-SIG]],Tableau5[ID],0))&amp;""</f>
        <v/>
      </c>
      <c r="O601" s="99"/>
      <c r="P601" s="99" t="str">
        <f>INDEX(Tableau5[Description],MATCH(Tableau3[[#This Row],[ID-SIG]],Tableau5[ID],0))</f>
        <v>Commande Feu Vert</v>
      </c>
      <c r="Q601" s="99"/>
      <c r="R601" s="103" t="str">
        <f>Tableau3[[#This Row],[Description]]</f>
        <v>Commande Feu Vert</v>
      </c>
      <c r="U601" s="87">
        <v>4</v>
      </c>
      <c r="V601" s="87">
        <v>1</v>
      </c>
      <c r="W601" s="87">
        <v>7</v>
      </c>
      <c r="X601" s="87">
        <v>7</v>
      </c>
      <c r="Y601" s="41"/>
      <c r="Z601" s="165" t="str">
        <f>INDEX(Tableau2[TS],MATCH(Tableau3[[#This Row],[ID-CARTEVOIE]],Tableau2[ID-CARTEVOIE],0))</f>
        <v>ST</v>
      </c>
      <c r="AA601" s="53" t="s">
        <v>213</v>
      </c>
      <c r="AB601" s="223" t="str">
        <f>IFERROR(INDEX(Tableau5[Reserve],MATCH(Tableau3[[#This Row],[ID-SIG]],Tableau5[ID],0))&amp;"","")</f>
        <v/>
      </c>
      <c r="AC601" s="21"/>
      <c r="AD601" s="108" t="str">
        <f>INDEX(Tableau7[Repere],MATCH(Tableau3[[#This Row],[ID-API]],Tableau7[ID-API],0))&amp;""</f>
        <v>A4</v>
      </c>
      <c r="AE601" s="108" t="str">
        <f>INDEX(Tableau1[Repere-Rack],MATCH(Tableau3[[#This Row],[ID-RACK]],Tableau1[ID-RACK],0))&amp;""</f>
        <v>R1</v>
      </c>
      <c r="AF601" s="108" t="str">
        <f>INDEX(Tableau1[Repere-Slot],MATCH(Tableau3[[#This Row],[ID-SLOT]],Tableau1[ID-SLOT],0))&amp;""</f>
        <v>S7</v>
      </c>
      <c r="AG601" s="108" t="str">
        <f>INDEX(Tableau2[Repere-Voie],MATCH(Tableau3[[#This Row],[ID-VOIE]],Tableau2[ID-Voie],0))&amp;""</f>
        <v>v7</v>
      </c>
      <c r="AH601" s="72" t="str">
        <f>Tableau3[[#This Row],[ID-API]]&amp; "." &amp;Tableau3[[#This Row],[ID-RACK]]&amp; "." &amp;Tableau3[[#This Row],[ID-SLOT]]</f>
        <v>4.1.7</v>
      </c>
      <c r="AI601" s="72" t="str">
        <f>INDEX(Tableau1[Ref-Carte],MATCH(Tableau3[[#This Row],[ID-RRS]],Tableau1[ID-RRS],0))</f>
        <v>SDO0802</v>
      </c>
      <c r="AJ601" s="72" t="str">
        <f t="array" ref="AJ601">IFERROR(INDEX(Tableau2[TS],MATCH(1,(Tableau2[Ref-Carte]=Tableau3[[#This Row],[Ref-Carte2]])*(Tableau2[ID-Voie]=Tableau3[[#This Row],[ID-VOIE]]),0)),"")</f>
        <v>ST</v>
      </c>
      <c r="AK601" s="72" t="str">
        <f>IFERROR(INDEX(Tableau2[TS],SUMPRODUCT((Tableau2[Ref-Carte]=Tableau3[[#This Row],[Ref-Carte2]])*(Tableau2[ID-Voie]=Tableau3[[#This Row],[ID-VOIE]])*ROW(Tableau2[TS]))-ROW(Tableau2[#Headers])),"")</f>
        <v>ST</v>
      </c>
      <c r="AL601" s="72" t="str">
        <f>Tableau3[[#This Row],[Ref-Carte2]]&amp;"/"&amp;Tableau3[[#This Row],[ID-VOIE]]</f>
        <v>SDO0802/7</v>
      </c>
      <c r="AM601" s="73" t="str">
        <f>INDEX(Tableau2[Borne],MATCH(Tableau3[[#This Row],[ID-CARTEVOIE]],Tableau2[ID-CARTEVOIE],0))&amp;""</f>
        <v>7</v>
      </c>
      <c r="AN601" s="74" t="str">
        <f>Tableau3[[#This Row],[ID-API]]&amp;Tableau3[[#This Row],[ID-RACK]]&amp;Tableau3[[#This Row],[ID-SLOT]]&amp;Tableau3[[#This Row],[BORNE]]</f>
        <v>4177</v>
      </c>
      <c r="AO601" s="1"/>
    </row>
    <row r="602" spans="1:41" ht="20.100000000000001" customHeight="1" thickTop="1" thickBot="1">
      <c r="A602" s="68"/>
      <c r="B602" s="69" t="str">
        <f>IFERROR(INDEX(Tableau4[Date],MATCH($A602,Tableau4[EVO],0)),"")</f>
        <v/>
      </c>
      <c r="C602" s="68" t="str">
        <f>IFERROR(INDEX(Tableau4[Designation],MATCH($A602,Tableau4[EVO],0)),"")</f>
        <v/>
      </c>
      <c r="D602" s="68"/>
      <c r="E602" s="70">
        <v>89</v>
      </c>
      <c r="F602" s="71">
        <v>309</v>
      </c>
      <c r="G602" s="101" t="str">
        <f>INDEX(Tableau8[Att1],MATCH(Tableau3[[#This Row],[ID-INS]],Tableau8[ID],0))&amp;""</f>
        <v>V3</v>
      </c>
      <c r="H602" s="101" t="str">
        <f>INDEX(Tableau8[Att2],MATCH(Tableau3[[#This Row],[ID-INS]],Tableau8[ID],0))&amp;""</f>
        <v>F11</v>
      </c>
      <c r="I602" s="101" t="str">
        <f>INDEX(Tableau8[Att3],MATCH(Tableau3[[#This Row],[ID-INS]],Tableau8[ID],0))&amp;""</f>
        <v>Feu F11</v>
      </c>
      <c r="J602" s="101"/>
      <c r="K602" s="167" t="str">
        <f>INDEX(Tableau8[Nom du modele],MATCH(Tableau3[[#This Row],[ID-INS]],Tableau8[ID],0))&amp;""</f>
        <v>FeuBiCora</v>
      </c>
      <c r="L602" s="99" t="str">
        <f>INDEX(Tableau5[Att1],MATCH(Tableau3[[#This Row],[ID-SIG]],Tableau5[ID],0))&amp;""</f>
        <v>FeuO_Cmd</v>
      </c>
      <c r="M602" s="99" t="str">
        <f>INDEX(Tableau5[Att2],MATCH(Tableau3[[#This Row],[ID-SIG]],Tableau5[ID],0))&amp;""</f>
        <v/>
      </c>
      <c r="N602" s="99" t="str">
        <f>INDEX(Tableau5[Att3],MATCH(Tableau3[[#This Row],[ID-SIG]],Tableau5[ID],0))&amp;""</f>
        <v/>
      </c>
      <c r="O602" s="99"/>
      <c r="P602" s="99" t="str">
        <f>INDEX(Tableau5[Description],MATCH(Tableau3[[#This Row],[ID-SIG]],Tableau5[ID],0))</f>
        <v>Commande Feu Orange</v>
      </c>
      <c r="Q602" s="99"/>
      <c r="R602" s="103" t="str">
        <f>Tableau3[[#This Row],[Description]]</f>
        <v>Commande Feu Orange</v>
      </c>
      <c r="U602" s="87">
        <v>4</v>
      </c>
      <c r="V602" s="87">
        <v>1</v>
      </c>
      <c r="W602" s="87">
        <v>8</v>
      </c>
      <c r="X602" s="87">
        <v>0</v>
      </c>
      <c r="Y602" s="41"/>
      <c r="Z602" s="165" t="str">
        <f>INDEX(Tableau2[TS],MATCH(Tableau3[[#This Row],[ID-CARTEVOIE]],Tableau2[ID-CARTEVOIE],0))</f>
        <v>ST</v>
      </c>
      <c r="AA602" s="53" t="s">
        <v>213</v>
      </c>
      <c r="AB602" s="223" t="str">
        <f>IFERROR(INDEX(Tableau5[Reserve],MATCH(Tableau3[[#This Row],[ID-SIG]],Tableau5[ID],0))&amp;"","")</f>
        <v/>
      </c>
      <c r="AC602" s="21"/>
      <c r="AD602" s="108" t="str">
        <f>INDEX(Tableau7[Repere],MATCH(Tableau3[[#This Row],[ID-API]],Tableau7[ID-API],0))&amp;""</f>
        <v>A4</v>
      </c>
      <c r="AE602" s="108" t="str">
        <f>INDEX(Tableau1[Repere-Rack],MATCH(Tableau3[[#This Row],[ID-RACK]],Tableau1[ID-RACK],0))&amp;""</f>
        <v>R1</v>
      </c>
      <c r="AF602" s="108" t="str">
        <f>INDEX(Tableau1[Repere-Slot],MATCH(Tableau3[[#This Row],[ID-SLOT]],Tableau1[ID-SLOT],0))&amp;""</f>
        <v>S8</v>
      </c>
      <c r="AG602" s="108" t="str">
        <f>INDEX(Tableau2[Repere-Voie],MATCH(Tableau3[[#This Row],[ID-VOIE]],Tableau2[ID-Voie],0))&amp;""</f>
        <v>v0</v>
      </c>
      <c r="AH602" s="72" t="str">
        <f>Tableau3[[#This Row],[ID-API]]&amp; "." &amp;Tableau3[[#This Row],[ID-RACK]]&amp; "." &amp;Tableau3[[#This Row],[ID-SLOT]]</f>
        <v>4.1.8</v>
      </c>
      <c r="AI602" s="72" t="str">
        <f>INDEX(Tableau1[Ref-Carte],MATCH(Tableau3[[#This Row],[ID-RRS]],Tableau1[ID-RRS],0))</f>
        <v>SDO0802</v>
      </c>
      <c r="AJ602" s="72" t="str">
        <f t="array" ref="AJ602">IFERROR(INDEX(Tableau2[TS],MATCH(1,(Tableau2[Ref-Carte]=Tableau3[[#This Row],[Ref-Carte2]])*(Tableau2[ID-Voie]=Tableau3[[#This Row],[ID-VOIE]]),0)),"")</f>
        <v>ST</v>
      </c>
      <c r="AK602" s="72" t="str">
        <f>IFERROR(INDEX(Tableau2[TS],SUMPRODUCT((Tableau2[Ref-Carte]=Tableau3[[#This Row],[Ref-Carte2]])*(Tableau2[ID-Voie]=Tableau3[[#This Row],[ID-VOIE]])*ROW(Tableau2[TS]))-ROW(Tableau2[#Headers])),"")</f>
        <v>ST</v>
      </c>
      <c r="AL602" s="72" t="str">
        <f>Tableau3[[#This Row],[Ref-Carte2]]&amp;"/"&amp;Tableau3[[#This Row],[ID-VOIE]]</f>
        <v>SDO0802/0</v>
      </c>
      <c r="AM602" s="73" t="str">
        <f>INDEX(Tableau2[Borne],MATCH(Tableau3[[#This Row],[ID-CARTEVOIE]],Tableau2[ID-CARTEVOIE],0))&amp;""</f>
        <v>0</v>
      </c>
      <c r="AN602" s="74" t="str">
        <f>Tableau3[[#This Row],[ID-API]]&amp;Tableau3[[#This Row],[ID-RACK]]&amp;Tableau3[[#This Row],[ID-SLOT]]&amp;Tableau3[[#This Row],[BORNE]]</f>
        <v>4180</v>
      </c>
      <c r="AO602" s="1"/>
    </row>
    <row r="603" spans="1:41" ht="20.100000000000001" customHeight="1" thickTop="1" thickBot="1">
      <c r="A603" s="68"/>
      <c r="B603" s="69" t="str">
        <f>IFERROR(INDEX(Tableau4[Date],MATCH($A603,Tableau4[EVO],0)),"")</f>
        <v/>
      </c>
      <c r="C603" s="68" t="str">
        <f>IFERROR(INDEX(Tableau4[Designation],MATCH($A603,Tableau4[EVO],0)),"")</f>
        <v/>
      </c>
      <c r="D603" s="68"/>
      <c r="E603" s="70">
        <v>89</v>
      </c>
      <c r="F603" s="71">
        <v>310</v>
      </c>
      <c r="G603" s="101" t="str">
        <f>INDEX(Tableau8[Att1],MATCH(Tableau3[[#This Row],[ID-INS]],Tableau8[ID],0))&amp;""</f>
        <v>V3</v>
      </c>
      <c r="H603" s="101" t="str">
        <f>INDEX(Tableau8[Att2],MATCH(Tableau3[[#This Row],[ID-INS]],Tableau8[ID],0))&amp;""</f>
        <v>F11</v>
      </c>
      <c r="I603" s="101" t="str">
        <f>INDEX(Tableau8[Att3],MATCH(Tableau3[[#This Row],[ID-INS]],Tableau8[ID],0))&amp;""</f>
        <v>Feu F11</v>
      </c>
      <c r="J603" s="101"/>
      <c r="K603" s="167" t="str">
        <f>INDEX(Tableau8[Nom du modele],MATCH(Tableau3[[#This Row],[ID-INS]],Tableau8[ID],0))&amp;""</f>
        <v>FeuBiCora</v>
      </c>
      <c r="L603" s="99" t="str">
        <f>INDEX(Tableau5[Att1],MATCH(Tableau3[[#This Row],[ID-SIG]],Tableau5[ID],0))&amp;""</f>
        <v>FeuR_Cmd</v>
      </c>
      <c r="M603" s="99" t="str">
        <f>INDEX(Tableau5[Att2],MATCH(Tableau3[[#This Row],[ID-SIG]],Tableau5[ID],0))&amp;""</f>
        <v/>
      </c>
      <c r="N603" s="99" t="str">
        <f>INDEX(Tableau5[Att3],MATCH(Tableau3[[#This Row],[ID-SIG]],Tableau5[ID],0))&amp;""</f>
        <v/>
      </c>
      <c r="O603" s="99"/>
      <c r="P603" s="99" t="str">
        <f>INDEX(Tableau5[Description],MATCH(Tableau3[[#This Row],[ID-SIG]],Tableau5[ID],0))</f>
        <v>Commande Feu Rouge</v>
      </c>
      <c r="Q603" s="99"/>
      <c r="R603" s="103" t="str">
        <f>Tableau3[[#This Row],[Description]]</f>
        <v>Commande Feu Rouge</v>
      </c>
      <c r="U603" s="87">
        <v>4</v>
      </c>
      <c r="V603" s="87">
        <v>1</v>
      </c>
      <c r="W603" s="87">
        <v>8</v>
      </c>
      <c r="X603" s="87">
        <v>1</v>
      </c>
      <c r="Y603" s="41"/>
      <c r="Z603" s="165" t="str">
        <f>INDEX(Tableau2[TS],MATCH(Tableau3[[#This Row],[ID-CARTEVOIE]],Tableau2[ID-CARTEVOIE],0))</f>
        <v>ST</v>
      </c>
      <c r="AA603" s="53" t="s">
        <v>213</v>
      </c>
      <c r="AB603" s="223" t="str">
        <f>IFERROR(INDEX(Tableau5[Reserve],MATCH(Tableau3[[#This Row],[ID-SIG]],Tableau5[ID],0))&amp;"","")</f>
        <v/>
      </c>
      <c r="AC603" s="21"/>
      <c r="AD603" s="108" t="str">
        <f>INDEX(Tableau7[Repere],MATCH(Tableau3[[#This Row],[ID-API]],Tableau7[ID-API],0))&amp;""</f>
        <v>A4</v>
      </c>
      <c r="AE603" s="108" t="str">
        <f>INDEX(Tableau1[Repere-Rack],MATCH(Tableau3[[#This Row],[ID-RACK]],Tableau1[ID-RACK],0))&amp;""</f>
        <v>R1</v>
      </c>
      <c r="AF603" s="108" t="str">
        <f>INDEX(Tableau1[Repere-Slot],MATCH(Tableau3[[#This Row],[ID-SLOT]],Tableau1[ID-SLOT],0))&amp;""</f>
        <v>S8</v>
      </c>
      <c r="AG603" s="108" t="str">
        <f>INDEX(Tableau2[Repere-Voie],MATCH(Tableau3[[#This Row],[ID-VOIE]],Tableau2[ID-Voie],0))&amp;""</f>
        <v>v1</v>
      </c>
      <c r="AH603" s="72" t="str">
        <f>Tableau3[[#This Row],[ID-API]]&amp; "." &amp;Tableau3[[#This Row],[ID-RACK]]&amp; "." &amp;Tableau3[[#This Row],[ID-SLOT]]</f>
        <v>4.1.8</v>
      </c>
      <c r="AI603" s="72" t="str">
        <f>INDEX(Tableau1[Ref-Carte],MATCH(Tableau3[[#This Row],[ID-RRS]],Tableau1[ID-RRS],0))</f>
        <v>SDO0802</v>
      </c>
      <c r="AJ603" s="72" t="str">
        <f t="array" ref="AJ603">IFERROR(INDEX(Tableau2[TS],MATCH(1,(Tableau2[Ref-Carte]=Tableau3[[#This Row],[Ref-Carte2]])*(Tableau2[ID-Voie]=Tableau3[[#This Row],[ID-VOIE]]),0)),"")</f>
        <v>ST</v>
      </c>
      <c r="AK603" s="72" t="str">
        <f>IFERROR(INDEX(Tableau2[TS],SUMPRODUCT((Tableau2[Ref-Carte]=Tableau3[[#This Row],[Ref-Carte2]])*(Tableau2[ID-Voie]=Tableau3[[#This Row],[ID-VOIE]])*ROW(Tableau2[TS]))-ROW(Tableau2[#Headers])),"")</f>
        <v>ST</v>
      </c>
      <c r="AL603" s="72" t="str">
        <f>Tableau3[[#This Row],[Ref-Carte2]]&amp;"/"&amp;Tableau3[[#This Row],[ID-VOIE]]</f>
        <v>SDO0802/1</v>
      </c>
      <c r="AM603" s="73" t="str">
        <f>INDEX(Tableau2[Borne],MATCH(Tableau3[[#This Row],[ID-CARTEVOIE]],Tableau2[ID-CARTEVOIE],0))&amp;""</f>
        <v>1</v>
      </c>
      <c r="AN603" s="74" t="str">
        <f>Tableau3[[#This Row],[ID-API]]&amp;Tableau3[[#This Row],[ID-RACK]]&amp;Tableau3[[#This Row],[ID-SLOT]]&amp;Tableau3[[#This Row],[BORNE]]</f>
        <v>4181</v>
      </c>
      <c r="AO603" s="1"/>
    </row>
    <row r="604" spans="1:41" ht="20.100000000000001" customHeight="1" thickTop="1" thickBot="1">
      <c r="A604" s="68"/>
      <c r="B604" s="69" t="str">
        <f>IFERROR(INDEX(Tableau4[Date],MATCH($A604,Tableau4[EVO],0)),"")</f>
        <v/>
      </c>
      <c r="C604" s="68" t="str">
        <f>IFERROR(INDEX(Tableau4[Designation],MATCH($A604,Tableau4[EVO],0)),"")</f>
        <v/>
      </c>
      <c r="D604" s="68"/>
      <c r="E604" s="70">
        <v>92</v>
      </c>
      <c r="F604" s="71">
        <v>309</v>
      </c>
      <c r="G604" s="101" t="str">
        <f>INDEX(Tableau8[Att1],MATCH(Tableau3[[#This Row],[ID-INS]],Tableau8[ID],0))&amp;""</f>
        <v>V3</v>
      </c>
      <c r="H604" s="101" t="str">
        <f>INDEX(Tableau8[Att2],MATCH(Tableau3[[#This Row],[ID-INS]],Tableau8[ID],0))&amp;""</f>
        <v>F19</v>
      </c>
      <c r="I604" s="101" t="str">
        <f>INDEX(Tableau8[Att3],MATCH(Tableau3[[#This Row],[ID-INS]],Tableau8[ID],0))&amp;""</f>
        <v>Feu F19</v>
      </c>
      <c r="J604" s="101"/>
      <c r="K604" s="167" t="str">
        <f>INDEX(Tableau8[Nom du modele],MATCH(Tableau3[[#This Row],[ID-INS]],Tableau8[ID],0))&amp;""</f>
        <v>FeuBiCora</v>
      </c>
      <c r="L604" s="99" t="str">
        <f>INDEX(Tableau5[Att1],MATCH(Tableau3[[#This Row],[ID-SIG]],Tableau5[ID],0))&amp;""</f>
        <v>FeuO_Cmd</v>
      </c>
      <c r="M604" s="99" t="str">
        <f>INDEX(Tableau5[Att2],MATCH(Tableau3[[#This Row],[ID-SIG]],Tableau5[ID],0))&amp;""</f>
        <v/>
      </c>
      <c r="N604" s="99" t="str">
        <f>INDEX(Tableau5[Att3],MATCH(Tableau3[[#This Row],[ID-SIG]],Tableau5[ID],0))&amp;""</f>
        <v/>
      </c>
      <c r="O604" s="99"/>
      <c r="P604" s="99" t="str">
        <f>INDEX(Tableau5[Description],MATCH(Tableau3[[#This Row],[ID-SIG]],Tableau5[ID],0))</f>
        <v>Commande Feu Orange</v>
      </c>
      <c r="Q604" s="99"/>
      <c r="R604" s="103" t="str">
        <f>Tableau3[[#This Row],[Description]]</f>
        <v>Commande Feu Orange</v>
      </c>
      <c r="U604" s="87">
        <v>4</v>
      </c>
      <c r="V604" s="87">
        <v>1</v>
      </c>
      <c r="W604" s="87">
        <v>8</v>
      </c>
      <c r="X604" s="87">
        <v>2</v>
      </c>
      <c r="Y604" s="41"/>
      <c r="Z604" s="165" t="str">
        <f>INDEX(Tableau2[TS],MATCH(Tableau3[[#This Row],[ID-CARTEVOIE]],Tableau2[ID-CARTEVOIE],0))</f>
        <v>ST</v>
      </c>
      <c r="AA604" s="53" t="s">
        <v>213</v>
      </c>
      <c r="AB604" s="223" t="str">
        <f>IFERROR(INDEX(Tableau5[Reserve],MATCH(Tableau3[[#This Row],[ID-SIG]],Tableau5[ID],0))&amp;"","")</f>
        <v/>
      </c>
      <c r="AC604" s="21"/>
      <c r="AD604" s="108" t="str">
        <f>INDEX(Tableau7[Repere],MATCH(Tableau3[[#This Row],[ID-API]],Tableau7[ID-API],0))&amp;""</f>
        <v>A4</v>
      </c>
      <c r="AE604" s="108" t="str">
        <f>INDEX(Tableau1[Repere-Rack],MATCH(Tableau3[[#This Row],[ID-RACK]],Tableau1[ID-RACK],0))&amp;""</f>
        <v>R1</v>
      </c>
      <c r="AF604" s="108" t="str">
        <f>INDEX(Tableau1[Repere-Slot],MATCH(Tableau3[[#This Row],[ID-SLOT]],Tableau1[ID-SLOT],0))&amp;""</f>
        <v>S8</v>
      </c>
      <c r="AG604" s="108" t="str">
        <f>INDEX(Tableau2[Repere-Voie],MATCH(Tableau3[[#This Row],[ID-VOIE]],Tableau2[ID-Voie],0))&amp;""</f>
        <v>v2</v>
      </c>
      <c r="AH604" s="72" t="str">
        <f>Tableau3[[#This Row],[ID-API]]&amp; "." &amp;Tableau3[[#This Row],[ID-RACK]]&amp; "." &amp;Tableau3[[#This Row],[ID-SLOT]]</f>
        <v>4.1.8</v>
      </c>
      <c r="AI604" s="72" t="str">
        <f>INDEX(Tableau1[Ref-Carte],MATCH(Tableau3[[#This Row],[ID-RRS]],Tableau1[ID-RRS],0))</f>
        <v>SDO0802</v>
      </c>
      <c r="AJ604" s="72" t="str">
        <f t="array" ref="AJ604">IFERROR(INDEX(Tableau2[TS],MATCH(1,(Tableau2[Ref-Carte]=Tableau3[[#This Row],[Ref-Carte2]])*(Tableau2[ID-Voie]=Tableau3[[#This Row],[ID-VOIE]]),0)),"")</f>
        <v>ST</v>
      </c>
      <c r="AK604" s="72" t="str">
        <f>IFERROR(INDEX(Tableau2[TS],SUMPRODUCT((Tableau2[Ref-Carte]=Tableau3[[#This Row],[Ref-Carte2]])*(Tableau2[ID-Voie]=Tableau3[[#This Row],[ID-VOIE]])*ROW(Tableau2[TS]))-ROW(Tableau2[#Headers])),"")</f>
        <v>ST</v>
      </c>
      <c r="AL604" s="72" t="str">
        <f>Tableau3[[#This Row],[Ref-Carte2]]&amp;"/"&amp;Tableau3[[#This Row],[ID-VOIE]]</f>
        <v>SDO0802/2</v>
      </c>
      <c r="AM604" s="73" t="str">
        <f>INDEX(Tableau2[Borne],MATCH(Tableau3[[#This Row],[ID-CARTEVOIE]],Tableau2[ID-CARTEVOIE],0))&amp;""</f>
        <v>2</v>
      </c>
      <c r="AN604" s="74" t="str">
        <f>Tableau3[[#This Row],[ID-API]]&amp;Tableau3[[#This Row],[ID-RACK]]&amp;Tableau3[[#This Row],[ID-SLOT]]&amp;Tableau3[[#This Row],[BORNE]]</f>
        <v>4182</v>
      </c>
      <c r="AO604" s="1"/>
    </row>
    <row r="605" spans="1:41" ht="20.100000000000001" customHeight="1" thickTop="1" thickBot="1">
      <c r="A605" s="68"/>
      <c r="B605" s="69" t="str">
        <f>IFERROR(INDEX(Tableau4[Date],MATCH($A605,Tableau4[EVO],0)),"")</f>
        <v/>
      </c>
      <c r="C605" s="68" t="str">
        <f>IFERROR(INDEX(Tableau4[Designation],MATCH($A605,Tableau4[EVO],0)),"")</f>
        <v/>
      </c>
      <c r="D605" s="68"/>
      <c r="E605" s="70">
        <v>92</v>
      </c>
      <c r="F605" s="71">
        <v>310</v>
      </c>
      <c r="G605" s="101" t="str">
        <f>INDEX(Tableau8[Att1],MATCH(Tableau3[[#This Row],[ID-INS]],Tableau8[ID],0))&amp;""</f>
        <v>V3</v>
      </c>
      <c r="H605" s="101" t="str">
        <f>INDEX(Tableau8[Att2],MATCH(Tableau3[[#This Row],[ID-INS]],Tableau8[ID],0))&amp;""</f>
        <v>F19</v>
      </c>
      <c r="I605" s="101" t="str">
        <f>INDEX(Tableau8[Att3],MATCH(Tableau3[[#This Row],[ID-INS]],Tableau8[ID],0))&amp;""</f>
        <v>Feu F19</v>
      </c>
      <c r="J605" s="101"/>
      <c r="K605" s="167" t="str">
        <f>INDEX(Tableau8[Nom du modele],MATCH(Tableau3[[#This Row],[ID-INS]],Tableau8[ID],0))&amp;""</f>
        <v>FeuBiCora</v>
      </c>
      <c r="L605" s="99" t="str">
        <f>INDEX(Tableau5[Att1],MATCH(Tableau3[[#This Row],[ID-SIG]],Tableau5[ID],0))&amp;""</f>
        <v>FeuR_Cmd</v>
      </c>
      <c r="M605" s="99" t="str">
        <f>INDEX(Tableau5[Att2],MATCH(Tableau3[[#This Row],[ID-SIG]],Tableau5[ID],0))&amp;""</f>
        <v/>
      </c>
      <c r="N605" s="99" t="str">
        <f>INDEX(Tableau5[Att3],MATCH(Tableau3[[#This Row],[ID-SIG]],Tableau5[ID],0))&amp;""</f>
        <v/>
      </c>
      <c r="O605" s="99"/>
      <c r="P605" s="99" t="str">
        <f>INDEX(Tableau5[Description],MATCH(Tableau3[[#This Row],[ID-SIG]],Tableau5[ID],0))</f>
        <v>Commande Feu Rouge</v>
      </c>
      <c r="Q605" s="99"/>
      <c r="R605" s="103" t="str">
        <f>Tableau3[[#This Row],[Description]]</f>
        <v>Commande Feu Rouge</v>
      </c>
      <c r="U605" s="87">
        <v>4</v>
      </c>
      <c r="V605" s="87">
        <v>1</v>
      </c>
      <c r="W605" s="87">
        <v>8</v>
      </c>
      <c r="X605" s="87">
        <v>3</v>
      </c>
      <c r="Y605" s="41"/>
      <c r="Z605" s="165" t="str">
        <f>INDEX(Tableau2[TS],MATCH(Tableau3[[#This Row],[ID-CARTEVOIE]],Tableau2[ID-CARTEVOIE],0))</f>
        <v>ST</v>
      </c>
      <c r="AA605" s="53" t="s">
        <v>213</v>
      </c>
      <c r="AB605" s="223" t="str">
        <f>IFERROR(INDEX(Tableau5[Reserve],MATCH(Tableau3[[#This Row],[ID-SIG]],Tableau5[ID],0))&amp;"","")</f>
        <v/>
      </c>
      <c r="AC605" s="21"/>
      <c r="AD605" s="108" t="str">
        <f>INDEX(Tableau7[Repere],MATCH(Tableau3[[#This Row],[ID-API]],Tableau7[ID-API],0))&amp;""</f>
        <v>A4</v>
      </c>
      <c r="AE605" s="108" t="str">
        <f>INDEX(Tableau1[Repere-Rack],MATCH(Tableau3[[#This Row],[ID-RACK]],Tableau1[ID-RACK],0))&amp;""</f>
        <v>R1</v>
      </c>
      <c r="AF605" s="108" t="str">
        <f>INDEX(Tableau1[Repere-Slot],MATCH(Tableau3[[#This Row],[ID-SLOT]],Tableau1[ID-SLOT],0))&amp;""</f>
        <v>S8</v>
      </c>
      <c r="AG605" s="108" t="str">
        <f>INDEX(Tableau2[Repere-Voie],MATCH(Tableau3[[#This Row],[ID-VOIE]],Tableau2[ID-Voie],0))&amp;""</f>
        <v>v3</v>
      </c>
      <c r="AH605" s="72" t="str">
        <f>Tableau3[[#This Row],[ID-API]]&amp; "." &amp;Tableau3[[#This Row],[ID-RACK]]&amp; "." &amp;Tableau3[[#This Row],[ID-SLOT]]</f>
        <v>4.1.8</v>
      </c>
      <c r="AI605" s="72" t="str">
        <f>INDEX(Tableau1[Ref-Carte],MATCH(Tableau3[[#This Row],[ID-RRS]],Tableau1[ID-RRS],0))</f>
        <v>SDO0802</v>
      </c>
      <c r="AJ605" s="72" t="str">
        <f t="array" ref="AJ605">IFERROR(INDEX(Tableau2[TS],MATCH(1,(Tableau2[Ref-Carte]=Tableau3[[#This Row],[Ref-Carte2]])*(Tableau2[ID-Voie]=Tableau3[[#This Row],[ID-VOIE]]),0)),"")</f>
        <v>ST</v>
      </c>
      <c r="AK605" s="72" t="str">
        <f>IFERROR(INDEX(Tableau2[TS],SUMPRODUCT((Tableau2[Ref-Carte]=Tableau3[[#This Row],[Ref-Carte2]])*(Tableau2[ID-Voie]=Tableau3[[#This Row],[ID-VOIE]])*ROW(Tableau2[TS]))-ROW(Tableau2[#Headers])),"")</f>
        <v>ST</v>
      </c>
      <c r="AL605" s="72" t="str">
        <f>Tableau3[[#This Row],[Ref-Carte2]]&amp;"/"&amp;Tableau3[[#This Row],[ID-VOIE]]</f>
        <v>SDO0802/3</v>
      </c>
      <c r="AM605" s="73" t="str">
        <f>INDEX(Tableau2[Borne],MATCH(Tableau3[[#This Row],[ID-CARTEVOIE]],Tableau2[ID-CARTEVOIE],0))&amp;""</f>
        <v>3</v>
      </c>
      <c r="AN605" s="74" t="str">
        <f>Tableau3[[#This Row],[ID-API]]&amp;Tableau3[[#This Row],[ID-RACK]]&amp;Tableau3[[#This Row],[ID-SLOT]]&amp;Tableau3[[#This Row],[BORNE]]</f>
        <v>4183</v>
      </c>
      <c r="AO605" s="1"/>
    </row>
    <row r="606" spans="1:41" ht="20.100000000000001" customHeight="1" thickTop="1" thickBot="1">
      <c r="A606" s="68"/>
      <c r="B606" s="69" t="str">
        <f>IFERROR(INDEX(Tableau4[Date],MATCH($A606,Tableau4[EVO],0)),"")</f>
        <v/>
      </c>
      <c r="C606" s="68" t="str">
        <f>IFERROR(INDEX(Tableau4[Designation],MATCH($A606,Tableau4[EVO],0)),"")</f>
        <v/>
      </c>
      <c r="D606" s="68"/>
      <c r="E606" s="70">
        <v>94</v>
      </c>
      <c r="F606" s="71">
        <v>317</v>
      </c>
      <c r="G606" s="101" t="str">
        <f>INDEX(Tableau8[Att1],MATCH(Tableau3[[#This Row],[ID-INS]],Tableau8[ID],0))&amp;""</f>
        <v>V3</v>
      </c>
      <c r="H606" s="101" t="str">
        <f>INDEX(Tableau8[Att2],MATCH(Tableau3[[#This Row],[ID-INS]],Tableau8[ID],0))&amp;""</f>
        <v>F14</v>
      </c>
      <c r="I606" s="101" t="str">
        <f>INDEX(Tableau8[Att3],MATCH(Tableau3[[#This Row],[ID-INS]],Tableau8[ID],0))&amp;""</f>
        <v>Feu F14</v>
      </c>
      <c r="J606" s="101"/>
      <c r="K606" s="167" t="str">
        <f>INDEX(Tableau8[Nom du modele],MATCH(Tableau3[[#This Row],[ID-INS]],Tableau8[ID],0))&amp;""</f>
        <v>FeuContrAleaVLPL1</v>
      </c>
      <c r="L606" s="99" t="str">
        <f>INDEX(Tableau5[Att1],MATCH(Tableau3[[#This Row],[ID-SIG]],Tableau5[ID],0))&amp;""</f>
        <v>FeuB_Cmd</v>
      </c>
      <c r="M606" s="99" t="str">
        <f>INDEX(Tableau5[Att2],MATCH(Tableau3[[#This Row],[ID-SIG]],Tableau5[ID],0))&amp;""</f>
        <v/>
      </c>
      <c r="N606" s="99" t="str">
        <f>INDEX(Tableau5[Att3],MATCH(Tableau3[[#This Row],[ID-SIG]],Tableau5[ID],0))&amp;""</f>
        <v/>
      </c>
      <c r="O606" s="99"/>
      <c r="P606" s="99" t="str">
        <f>INDEX(Tableau5[Description],MATCH(Tableau3[[#This Row],[ID-SIG]],Tableau5[ID],0))</f>
        <v>Commande Feu Blanc</v>
      </c>
      <c r="Q606" s="99"/>
      <c r="R606" s="103" t="str">
        <f>Tableau3[[#This Row],[Description]]</f>
        <v>Commande Feu Blanc</v>
      </c>
      <c r="U606" s="87">
        <v>4</v>
      </c>
      <c r="V606" s="87">
        <v>1</v>
      </c>
      <c r="W606" s="87">
        <v>8</v>
      </c>
      <c r="X606" s="87">
        <v>4</v>
      </c>
      <c r="Y606" s="41"/>
      <c r="Z606" s="165" t="str">
        <f>INDEX(Tableau2[TS],MATCH(Tableau3[[#This Row],[ID-CARTEVOIE]],Tableau2[ID-CARTEVOIE],0))</f>
        <v>ST</v>
      </c>
      <c r="AA606" s="53" t="s">
        <v>213</v>
      </c>
      <c r="AB606" s="223" t="str">
        <f>IFERROR(INDEX(Tableau5[Reserve],MATCH(Tableau3[[#This Row],[ID-SIG]],Tableau5[ID],0))&amp;"","")</f>
        <v/>
      </c>
      <c r="AC606" s="21"/>
      <c r="AD606" s="108" t="str">
        <f>INDEX(Tableau7[Repere],MATCH(Tableau3[[#This Row],[ID-API]],Tableau7[ID-API],0))&amp;""</f>
        <v>A4</v>
      </c>
      <c r="AE606" s="108" t="str">
        <f>INDEX(Tableau1[Repere-Rack],MATCH(Tableau3[[#This Row],[ID-RACK]],Tableau1[ID-RACK],0))&amp;""</f>
        <v>R1</v>
      </c>
      <c r="AF606" s="108" t="str">
        <f>INDEX(Tableau1[Repere-Slot],MATCH(Tableau3[[#This Row],[ID-SLOT]],Tableau1[ID-SLOT],0))&amp;""</f>
        <v>S8</v>
      </c>
      <c r="AG606" s="108" t="str">
        <f>INDEX(Tableau2[Repere-Voie],MATCH(Tableau3[[#This Row],[ID-VOIE]],Tableau2[ID-Voie],0))&amp;""</f>
        <v>v4</v>
      </c>
      <c r="AH606" s="72" t="str">
        <f>Tableau3[[#This Row],[ID-API]]&amp; "." &amp;Tableau3[[#This Row],[ID-RACK]]&amp; "." &amp;Tableau3[[#This Row],[ID-SLOT]]</f>
        <v>4.1.8</v>
      </c>
      <c r="AI606" s="72" t="str">
        <f>INDEX(Tableau1[Ref-Carte],MATCH(Tableau3[[#This Row],[ID-RRS]],Tableau1[ID-RRS],0))</f>
        <v>SDO0802</v>
      </c>
      <c r="AJ606" s="72" t="str">
        <f t="array" ref="AJ606">IFERROR(INDEX(Tableau2[TS],MATCH(1,(Tableau2[Ref-Carte]=Tableau3[[#This Row],[Ref-Carte2]])*(Tableau2[ID-Voie]=Tableau3[[#This Row],[ID-VOIE]]),0)),"")</f>
        <v>ST</v>
      </c>
      <c r="AK606" s="72" t="str">
        <f>IFERROR(INDEX(Tableau2[TS],SUMPRODUCT((Tableau2[Ref-Carte]=Tableau3[[#This Row],[Ref-Carte2]])*(Tableau2[ID-Voie]=Tableau3[[#This Row],[ID-VOIE]])*ROW(Tableau2[TS]))-ROW(Tableau2[#Headers])),"")</f>
        <v>ST</v>
      </c>
      <c r="AL606" s="72" t="str">
        <f>Tableau3[[#This Row],[Ref-Carte2]]&amp;"/"&amp;Tableau3[[#This Row],[ID-VOIE]]</f>
        <v>SDO0802/4</v>
      </c>
      <c r="AM606" s="73" t="str">
        <f>INDEX(Tableau2[Borne],MATCH(Tableau3[[#This Row],[ID-CARTEVOIE]],Tableau2[ID-CARTEVOIE],0))&amp;""</f>
        <v>4</v>
      </c>
      <c r="AN606" s="74" t="str">
        <f>Tableau3[[#This Row],[ID-API]]&amp;Tableau3[[#This Row],[ID-RACK]]&amp;Tableau3[[#This Row],[ID-SLOT]]&amp;Tableau3[[#This Row],[BORNE]]</f>
        <v>4184</v>
      </c>
      <c r="AO606" s="1"/>
    </row>
    <row r="607" spans="1:41" ht="20.100000000000001" customHeight="1" thickTop="1" thickBot="1">
      <c r="A607" s="68"/>
      <c r="B607" s="69" t="str">
        <f>IFERROR(INDEX(Tableau4[Date],MATCH($A607,Tableau4[EVO],0)),"")</f>
        <v/>
      </c>
      <c r="C607" s="68" t="str">
        <f>IFERROR(INDEX(Tableau4[Designation],MATCH($A607,Tableau4[EVO],0)),"")</f>
        <v/>
      </c>
      <c r="D607" s="68"/>
      <c r="E607" s="70">
        <v>94</v>
      </c>
      <c r="F607" s="71">
        <v>318</v>
      </c>
      <c r="G607" s="101" t="str">
        <f>INDEX(Tableau8[Att1],MATCH(Tableau3[[#This Row],[ID-INS]],Tableau8[ID],0))&amp;""</f>
        <v>V3</v>
      </c>
      <c r="H607" s="101" t="str">
        <f>INDEX(Tableau8[Att2],MATCH(Tableau3[[#This Row],[ID-INS]],Tableau8[ID],0))&amp;""</f>
        <v>F14</v>
      </c>
      <c r="I607" s="101" t="str">
        <f>INDEX(Tableau8[Att3],MATCH(Tableau3[[#This Row],[ID-INS]],Tableau8[ID],0))&amp;""</f>
        <v>Feu F14</v>
      </c>
      <c r="J607" s="101"/>
      <c r="K607" s="167" t="str">
        <f>INDEX(Tableau8[Nom du modele],MATCH(Tableau3[[#This Row],[ID-INS]],Tableau8[ID],0))&amp;""</f>
        <v>FeuContrAleaVLPL1</v>
      </c>
      <c r="L607" s="99" t="str">
        <f>INDEX(Tableau5[Att1],MATCH(Tableau3[[#This Row],[ID-SIG]],Tableau5[ID],0))&amp;""</f>
        <v>FeuR_Cmd</v>
      </c>
      <c r="M607" s="99" t="str">
        <f>INDEX(Tableau5[Att2],MATCH(Tableau3[[#This Row],[ID-SIG]],Tableau5[ID],0))&amp;""</f>
        <v/>
      </c>
      <c r="N607" s="99" t="str">
        <f>INDEX(Tableau5[Att3],MATCH(Tableau3[[#This Row],[ID-SIG]],Tableau5[ID],0))&amp;""</f>
        <v/>
      </c>
      <c r="O607" s="99"/>
      <c r="P607" s="99" t="str">
        <f>INDEX(Tableau5[Description],MATCH(Tableau3[[#This Row],[ID-SIG]],Tableau5[ID],0))</f>
        <v xml:space="preserve">Commande Feu Rouge </v>
      </c>
      <c r="Q607" s="99"/>
      <c r="R607" s="103" t="str">
        <f>Tableau3[[#This Row],[Description]]</f>
        <v xml:space="preserve">Commande Feu Rouge </v>
      </c>
      <c r="U607" s="87">
        <v>4</v>
      </c>
      <c r="V607" s="87">
        <v>1</v>
      </c>
      <c r="W607" s="87">
        <v>8</v>
      </c>
      <c r="X607" s="87">
        <v>5</v>
      </c>
      <c r="Y607" s="41"/>
      <c r="Z607" s="165" t="str">
        <f>INDEX(Tableau2[TS],MATCH(Tableau3[[#This Row],[ID-CARTEVOIE]],Tableau2[ID-CARTEVOIE],0))</f>
        <v>ST</v>
      </c>
      <c r="AA607" s="53" t="s">
        <v>213</v>
      </c>
      <c r="AB607" s="223" t="str">
        <f>IFERROR(INDEX(Tableau5[Reserve],MATCH(Tableau3[[#This Row],[ID-SIG]],Tableau5[ID],0))&amp;"","")</f>
        <v/>
      </c>
      <c r="AC607" s="21"/>
      <c r="AD607" s="108" t="str">
        <f>INDEX(Tableau7[Repere],MATCH(Tableau3[[#This Row],[ID-API]],Tableau7[ID-API],0))&amp;""</f>
        <v>A4</v>
      </c>
      <c r="AE607" s="108" t="str">
        <f>INDEX(Tableau1[Repere-Rack],MATCH(Tableau3[[#This Row],[ID-RACK]],Tableau1[ID-RACK],0))&amp;""</f>
        <v>R1</v>
      </c>
      <c r="AF607" s="108" t="str">
        <f>INDEX(Tableau1[Repere-Slot],MATCH(Tableau3[[#This Row],[ID-SLOT]],Tableau1[ID-SLOT],0))&amp;""</f>
        <v>S8</v>
      </c>
      <c r="AG607" s="108" t="str">
        <f>INDEX(Tableau2[Repere-Voie],MATCH(Tableau3[[#This Row],[ID-VOIE]],Tableau2[ID-Voie],0))&amp;""</f>
        <v>v5</v>
      </c>
      <c r="AH607" s="72" t="str">
        <f>Tableau3[[#This Row],[ID-API]]&amp; "." &amp;Tableau3[[#This Row],[ID-RACK]]&amp; "." &amp;Tableau3[[#This Row],[ID-SLOT]]</f>
        <v>4.1.8</v>
      </c>
      <c r="AI607" s="72" t="str">
        <f>INDEX(Tableau1[Ref-Carte],MATCH(Tableau3[[#This Row],[ID-RRS]],Tableau1[ID-RRS],0))</f>
        <v>SDO0802</v>
      </c>
      <c r="AJ607" s="72" t="str">
        <f t="array" ref="AJ607">IFERROR(INDEX(Tableau2[TS],MATCH(1,(Tableau2[Ref-Carte]=Tableau3[[#This Row],[Ref-Carte2]])*(Tableau2[ID-Voie]=Tableau3[[#This Row],[ID-VOIE]]),0)),"")</f>
        <v>ST</v>
      </c>
      <c r="AK607" s="72" t="str">
        <f>IFERROR(INDEX(Tableau2[TS],SUMPRODUCT((Tableau2[Ref-Carte]=Tableau3[[#This Row],[Ref-Carte2]])*(Tableau2[ID-Voie]=Tableau3[[#This Row],[ID-VOIE]])*ROW(Tableau2[TS]))-ROW(Tableau2[#Headers])),"")</f>
        <v>ST</v>
      </c>
      <c r="AL607" s="72" t="str">
        <f>Tableau3[[#This Row],[Ref-Carte2]]&amp;"/"&amp;Tableau3[[#This Row],[ID-VOIE]]</f>
        <v>SDO0802/5</v>
      </c>
      <c r="AM607" s="73" t="str">
        <f>INDEX(Tableau2[Borne],MATCH(Tableau3[[#This Row],[ID-CARTEVOIE]],Tableau2[ID-CARTEVOIE],0))&amp;""</f>
        <v>5</v>
      </c>
      <c r="AN607" s="74" t="str">
        <f>Tableau3[[#This Row],[ID-API]]&amp;Tableau3[[#This Row],[ID-RACK]]&amp;Tableau3[[#This Row],[ID-SLOT]]&amp;Tableau3[[#This Row],[BORNE]]</f>
        <v>4185</v>
      </c>
      <c r="AO607" s="1"/>
    </row>
    <row r="608" spans="1:41" ht="20.100000000000001" customHeight="1" thickTop="1" thickBot="1">
      <c r="A608" s="68"/>
      <c r="B608" s="69" t="str">
        <f>IFERROR(INDEX(Tableau4[Date],MATCH($A608,Tableau4[EVO],0)),"")</f>
        <v/>
      </c>
      <c r="C608" s="68" t="str">
        <f>IFERROR(INDEX(Tableau4[Designation],MATCH($A608,Tableau4[EVO],0)),"")</f>
        <v/>
      </c>
      <c r="D608" s="68"/>
      <c r="E608" s="70">
        <v>99</v>
      </c>
      <c r="F608" s="71">
        <v>307</v>
      </c>
      <c r="G608" s="101" t="str">
        <f>INDEX(Tableau8[Att1],MATCH(Tableau3[[#This Row],[ID-INS]],Tableau8[ID],0))&amp;""</f>
        <v>V3</v>
      </c>
      <c r="H608" s="101" t="str">
        <f>INDEX(Tableau8[Att2],MATCH(Tableau3[[#This Row],[ID-INS]],Tableau8[ID],0))&amp;""</f>
        <v>F24</v>
      </c>
      <c r="I608" s="101" t="str">
        <f>INDEX(Tableau8[Att3],MATCH(Tableau3[[#This Row],[ID-INS]],Tableau8[ID],0))&amp;""</f>
        <v>Feu F24</v>
      </c>
      <c r="J608" s="101"/>
      <c r="K608" s="167" t="str">
        <f>INDEX(Tableau8[Nom du modele],MATCH(Tableau3[[#This Row],[ID-INS]],Tableau8[ID],0))&amp;""</f>
        <v>FeuOuvV</v>
      </c>
      <c r="L608" s="99" t="str">
        <f>INDEX(Tableau5[Att1],MATCH(Tableau3[[#This Row],[ID-SIG]],Tableau5[ID],0))&amp;""</f>
        <v>Feu_Cmd</v>
      </c>
      <c r="M608" s="99" t="str">
        <f>INDEX(Tableau5[Att2],MATCH(Tableau3[[#This Row],[ID-SIG]],Tableau5[ID],0))&amp;""</f>
        <v/>
      </c>
      <c r="N608" s="99" t="str">
        <f>INDEX(Tableau5[Att3],MATCH(Tableau3[[#This Row],[ID-SIG]],Tableau5[ID],0))&amp;""</f>
        <v/>
      </c>
      <c r="O608" s="99"/>
      <c r="P608" s="99" t="str">
        <f>INDEX(Tableau5[Description],MATCH(Tableau3[[#This Row],[ID-SIG]],Tableau5[ID],0))</f>
        <v xml:space="preserve">Commande Feu </v>
      </c>
      <c r="Q608" s="99"/>
      <c r="R608" s="103" t="str">
        <f>Tableau3[[#This Row],[Description]]</f>
        <v xml:space="preserve">Commande Feu </v>
      </c>
      <c r="U608" s="87">
        <v>4</v>
      </c>
      <c r="V608" s="87">
        <v>1</v>
      </c>
      <c r="W608" s="87">
        <v>8</v>
      </c>
      <c r="X608" s="87">
        <v>6</v>
      </c>
      <c r="Y608" s="41"/>
      <c r="Z608" s="165" t="str">
        <f>INDEX(Tableau2[TS],MATCH(Tableau3[[#This Row],[ID-CARTEVOIE]],Tableau2[ID-CARTEVOIE],0))</f>
        <v>ST</v>
      </c>
      <c r="AA608" s="53" t="s">
        <v>213</v>
      </c>
      <c r="AB608" s="223" t="str">
        <f>IFERROR(INDEX(Tableau5[Reserve],MATCH(Tableau3[[#This Row],[ID-SIG]],Tableau5[ID],0))&amp;"","")</f>
        <v/>
      </c>
      <c r="AC608" s="21"/>
      <c r="AD608" s="108" t="str">
        <f>INDEX(Tableau7[Repere],MATCH(Tableau3[[#This Row],[ID-API]],Tableau7[ID-API],0))&amp;""</f>
        <v>A4</v>
      </c>
      <c r="AE608" s="108" t="str">
        <f>INDEX(Tableau1[Repere-Rack],MATCH(Tableau3[[#This Row],[ID-RACK]],Tableau1[ID-RACK],0))&amp;""</f>
        <v>R1</v>
      </c>
      <c r="AF608" s="108" t="str">
        <f>INDEX(Tableau1[Repere-Slot],MATCH(Tableau3[[#This Row],[ID-SLOT]],Tableau1[ID-SLOT],0))&amp;""</f>
        <v>S8</v>
      </c>
      <c r="AG608" s="108" t="str">
        <f>INDEX(Tableau2[Repere-Voie],MATCH(Tableau3[[#This Row],[ID-VOIE]],Tableau2[ID-Voie],0))&amp;""</f>
        <v>v6</v>
      </c>
      <c r="AH608" s="72" t="str">
        <f>Tableau3[[#This Row],[ID-API]]&amp; "." &amp;Tableau3[[#This Row],[ID-RACK]]&amp; "." &amp;Tableau3[[#This Row],[ID-SLOT]]</f>
        <v>4.1.8</v>
      </c>
      <c r="AI608" s="72" t="str">
        <f>INDEX(Tableau1[Ref-Carte],MATCH(Tableau3[[#This Row],[ID-RRS]],Tableau1[ID-RRS],0))</f>
        <v>SDO0802</v>
      </c>
      <c r="AJ608" s="72" t="str">
        <f t="array" ref="AJ608">IFERROR(INDEX(Tableau2[TS],MATCH(1,(Tableau2[Ref-Carte]=Tableau3[[#This Row],[Ref-Carte2]])*(Tableau2[ID-Voie]=Tableau3[[#This Row],[ID-VOIE]]),0)),"")</f>
        <v>ST</v>
      </c>
      <c r="AK608" s="72" t="str">
        <f>IFERROR(INDEX(Tableau2[TS],SUMPRODUCT((Tableau2[Ref-Carte]=Tableau3[[#This Row],[Ref-Carte2]])*(Tableau2[ID-Voie]=Tableau3[[#This Row],[ID-VOIE]])*ROW(Tableau2[TS]))-ROW(Tableau2[#Headers])),"")</f>
        <v>ST</v>
      </c>
      <c r="AL608" s="72" t="str">
        <f>Tableau3[[#This Row],[Ref-Carte2]]&amp;"/"&amp;Tableau3[[#This Row],[ID-VOIE]]</f>
        <v>SDO0802/6</v>
      </c>
      <c r="AM608" s="73" t="str">
        <f>INDEX(Tableau2[Borne],MATCH(Tableau3[[#This Row],[ID-CARTEVOIE]],Tableau2[ID-CARTEVOIE],0))&amp;""</f>
        <v>6</v>
      </c>
      <c r="AN608" s="74" t="str">
        <f>Tableau3[[#This Row],[ID-API]]&amp;Tableau3[[#This Row],[ID-RACK]]&amp;Tableau3[[#This Row],[ID-SLOT]]&amp;Tableau3[[#This Row],[BORNE]]</f>
        <v>4186</v>
      </c>
      <c r="AO608" s="1"/>
    </row>
    <row r="609" spans="1:41" ht="20.100000000000001" customHeight="1" thickTop="1" thickBot="1">
      <c r="A609" s="68"/>
      <c r="B609" s="69" t="str">
        <f>IFERROR(INDEX(Tableau4[Date],MATCH($A609,Tableau4[EVO],0)),"")</f>
        <v/>
      </c>
      <c r="C609" s="68" t="str">
        <f>IFERROR(INDEX(Tableau4[Designation],MATCH($A609,Tableau4[EVO],0)),"")</f>
        <v/>
      </c>
      <c r="D609" s="68"/>
      <c r="E609" s="70">
        <v>102</v>
      </c>
      <c r="F609" s="71">
        <v>307</v>
      </c>
      <c r="G609" s="101" t="str">
        <f>INDEX(Tableau8[Att1],MATCH(Tableau3[[#This Row],[ID-INS]],Tableau8[ID],0))&amp;""</f>
        <v>V3</v>
      </c>
      <c r="H609" s="101" t="str">
        <f>INDEX(Tableau8[Att2],MATCH(Tableau3[[#This Row],[ID-INS]],Tableau8[ID],0))&amp;""</f>
        <v>F27</v>
      </c>
      <c r="I609" s="101" t="str">
        <f>INDEX(Tableau8[Att3],MATCH(Tableau3[[#This Row],[ID-INS]],Tableau8[ID],0))&amp;""</f>
        <v>Feu F27</v>
      </c>
      <c r="J609" s="101"/>
      <c r="K609" s="167" t="str">
        <f>INDEX(Tableau8[Nom du modele],MATCH(Tableau3[[#This Row],[ID-INS]],Tableau8[ID],0))&amp;""</f>
        <v>FeuOuvV</v>
      </c>
      <c r="L609" s="99" t="str">
        <f>INDEX(Tableau5[Att1],MATCH(Tableau3[[#This Row],[ID-SIG]],Tableau5[ID],0))&amp;""</f>
        <v>Feu_Cmd</v>
      </c>
      <c r="M609" s="99" t="str">
        <f>INDEX(Tableau5[Att2],MATCH(Tableau3[[#This Row],[ID-SIG]],Tableau5[ID],0))&amp;""</f>
        <v/>
      </c>
      <c r="N609" s="99" t="str">
        <f>INDEX(Tableau5[Att3],MATCH(Tableau3[[#This Row],[ID-SIG]],Tableau5[ID],0))&amp;""</f>
        <v/>
      </c>
      <c r="O609" s="99"/>
      <c r="P609" s="99" t="str">
        <f>INDEX(Tableau5[Description],MATCH(Tableau3[[#This Row],[ID-SIG]],Tableau5[ID],0))</f>
        <v xml:space="preserve">Commande Feu </v>
      </c>
      <c r="Q609" s="99"/>
      <c r="R609" s="103" t="str">
        <f>Tableau3[[#This Row],[Description]]</f>
        <v xml:space="preserve">Commande Feu </v>
      </c>
      <c r="U609" s="87">
        <v>4</v>
      </c>
      <c r="V609" s="87">
        <v>1</v>
      </c>
      <c r="W609" s="87">
        <v>8</v>
      </c>
      <c r="X609" s="87">
        <v>7</v>
      </c>
      <c r="Y609" s="41"/>
      <c r="Z609" s="165" t="str">
        <f>INDEX(Tableau2[TS],MATCH(Tableau3[[#This Row],[ID-CARTEVOIE]],Tableau2[ID-CARTEVOIE],0))</f>
        <v>ST</v>
      </c>
      <c r="AA609" s="53" t="s">
        <v>213</v>
      </c>
      <c r="AB609" s="223" t="str">
        <f>IFERROR(INDEX(Tableau5[Reserve],MATCH(Tableau3[[#This Row],[ID-SIG]],Tableau5[ID],0))&amp;"","")</f>
        <v/>
      </c>
      <c r="AC609" s="21"/>
      <c r="AD609" s="108" t="str">
        <f>INDEX(Tableau7[Repere],MATCH(Tableau3[[#This Row],[ID-API]],Tableau7[ID-API],0))&amp;""</f>
        <v>A4</v>
      </c>
      <c r="AE609" s="108" t="str">
        <f>INDEX(Tableau1[Repere-Rack],MATCH(Tableau3[[#This Row],[ID-RACK]],Tableau1[ID-RACK],0))&amp;""</f>
        <v>R1</v>
      </c>
      <c r="AF609" s="108" t="str">
        <f>INDEX(Tableau1[Repere-Slot],MATCH(Tableau3[[#This Row],[ID-SLOT]],Tableau1[ID-SLOT],0))&amp;""</f>
        <v>S8</v>
      </c>
      <c r="AG609" s="108" t="str">
        <f>INDEX(Tableau2[Repere-Voie],MATCH(Tableau3[[#This Row],[ID-VOIE]],Tableau2[ID-Voie],0))&amp;""</f>
        <v>v7</v>
      </c>
      <c r="AH609" s="72" t="str">
        <f>Tableau3[[#This Row],[ID-API]]&amp; "." &amp;Tableau3[[#This Row],[ID-RACK]]&amp; "." &amp;Tableau3[[#This Row],[ID-SLOT]]</f>
        <v>4.1.8</v>
      </c>
      <c r="AI609" s="72" t="str">
        <f>INDEX(Tableau1[Ref-Carte],MATCH(Tableau3[[#This Row],[ID-RRS]],Tableau1[ID-RRS],0))</f>
        <v>SDO0802</v>
      </c>
      <c r="AJ609" s="72" t="str">
        <f t="array" ref="AJ609">IFERROR(INDEX(Tableau2[TS],MATCH(1,(Tableau2[Ref-Carte]=Tableau3[[#This Row],[Ref-Carte2]])*(Tableau2[ID-Voie]=Tableau3[[#This Row],[ID-VOIE]]),0)),"")</f>
        <v>ST</v>
      </c>
      <c r="AK609" s="72" t="str">
        <f>IFERROR(INDEX(Tableau2[TS],SUMPRODUCT((Tableau2[Ref-Carte]=Tableau3[[#This Row],[Ref-Carte2]])*(Tableau2[ID-Voie]=Tableau3[[#This Row],[ID-VOIE]])*ROW(Tableau2[TS]))-ROW(Tableau2[#Headers])),"")</f>
        <v>ST</v>
      </c>
      <c r="AL609" s="72" t="str">
        <f>Tableau3[[#This Row],[Ref-Carte2]]&amp;"/"&amp;Tableau3[[#This Row],[ID-VOIE]]</f>
        <v>SDO0802/7</v>
      </c>
      <c r="AM609" s="73" t="str">
        <f>INDEX(Tableau2[Borne],MATCH(Tableau3[[#This Row],[ID-CARTEVOIE]],Tableau2[ID-CARTEVOIE],0))&amp;""</f>
        <v>7</v>
      </c>
      <c r="AN609" s="74" t="str">
        <f>Tableau3[[#This Row],[ID-API]]&amp;Tableau3[[#This Row],[ID-RACK]]&amp;Tableau3[[#This Row],[ID-SLOT]]&amp;Tableau3[[#This Row],[BORNE]]</f>
        <v>4187</v>
      </c>
      <c r="AO609" s="1"/>
    </row>
    <row r="610" spans="1:41" ht="20.100000000000001" customHeight="1" thickTop="1" thickBot="1">
      <c r="A610" s="68"/>
      <c r="B610" s="69" t="str">
        <f>IFERROR(INDEX(Tableau4[Date],MATCH($A610,Tableau4[EVO],0)),"")</f>
        <v/>
      </c>
      <c r="C610" s="68" t="str">
        <f>IFERROR(INDEX(Tableau4[Designation],MATCH($A610,Tableau4[EVO],0)),"")</f>
        <v/>
      </c>
      <c r="D610" s="68"/>
      <c r="E610" s="70">
        <v>105</v>
      </c>
      <c r="F610" s="71">
        <v>13</v>
      </c>
      <c r="G610" s="101" t="str">
        <f>INDEX(Tableau8[Att1],MATCH(Tableau3[[#This Row],[ID-INS]],Tableau8[ID],0))&amp;""</f>
        <v>V3</v>
      </c>
      <c r="H610" s="101" t="str">
        <f>INDEX(Tableau8[Att2],MATCH(Tableau3[[#This Row],[ID-INS]],Tableau8[ID],0))&amp;""</f>
        <v>UTLR3</v>
      </c>
      <c r="I610" s="101" t="str">
        <f>INDEX(Tableau8[Att3],MATCH(Tableau3[[#This Row],[ID-INS]],Tableau8[ID],0))&amp;""</f>
        <v>UTL rouge IDVL3/BH3</v>
      </c>
      <c r="J610" s="101"/>
      <c r="K610" s="167" t="str">
        <f>INDEX(Tableau8[Nom du modele],MATCH(Tableau3[[#This Row],[ID-INS]],Tableau8[ID],0))&amp;""</f>
        <v>UTL</v>
      </c>
      <c r="L610" s="99" t="str">
        <f>INDEX(Tableau5[Att1],MATCH(Tableau3[[#This Row],[ID-SIG]],Tableau5[ID],0))&amp;""</f>
        <v>PassEffec</v>
      </c>
      <c r="M610" s="99" t="str">
        <f>INDEX(Tableau5[Att2],MATCH(Tableau3[[#This Row],[ID-SIG]],Tableau5[ID],0))&amp;""</f>
        <v/>
      </c>
      <c r="N610" s="99" t="str">
        <f>INDEX(Tableau5[Att3],MATCH(Tableau3[[#This Row],[ID-SIG]],Tableau5[ID],0))&amp;""</f>
        <v/>
      </c>
      <c r="O610" s="99"/>
      <c r="P610" s="99" t="str">
        <f>INDEX(Tableau5[Description],MATCH(Tableau3[[#This Row],[ID-SIG]],Tableau5[ID],0))</f>
        <v>Commande passage effectué vers UTL</v>
      </c>
      <c r="Q610" s="99"/>
      <c r="R610" s="103" t="str">
        <f>Tableau3[[#This Row],[Description]]</f>
        <v>Commande passage effectué vers UTL</v>
      </c>
      <c r="U610" s="87">
        <v>4</v>
      </c>
      <c r="V610" s="87">
        <v>1</v>
      </c>
      <c r="W610" s="87">
        <v>9</v>
      </c>
      <c r="X610" s="87">
        <v>0</v>
      </c>
      <c r="Y610" s="41"/>
      <c r="Z610" s="165" t="str">
        <f>INDEX(Tableau2[TS],MATCH(Tableau3[[#This Row],[ID-CARTEVOIE]],Tableau2[ID-CARTEVOIE],0))</f>
        <v>ST</v>
      </c>
      <c r="AA610" s="53" t="s">
        <v>213</v>
      </c>
      <c r="AB610" s="223" t="str">
        <f>IFERROR(INDEX(Tableau5[Reserve],MATCH(Tableau3[[#This Row],[ID-SIG]],Tableau5[ID],0))&amp;"","")</f>
        <v/>
      </c>
      <c r="AC610" s="21"/>
      <c r="AD610" s="108" t="str">
        <f>INDEX(Tableau7[Repere],MATCH(Tableau3[[#This Row],[ID-API]],Tableau7[ID-API],0))&amp;""</f>
        <v>A4</v>
      </c>
      <c r="AE610" s="108" t="str">
        <f>INDEX(Tableau1[Repere-Rack],MATCH(Tableau3[[#This Row],[ID-RACK]],Tableau1[ID-RACK],0))&amp;""</f>
        <v>R1</v>
      </c>
      <c r="AF610" s="108" t="str">
        <f>INDEX(Tableau1[Repere-Slot],MATCH(Tableau3[[#This Row],[ID-SLOT]],Tableau1[ID-SLOT],0))&amp;""</f>
        <v>S9</v>
      </c>
      <c r="AG610" s="108" t="str">
        <f>INDEX(Tableau2[Repere-Voie],MATCH(Tableau3[[#This Row],[ID-VOIE]],Tableau2[ID-Voie],0))&amp;""</f>
        <v>v0</v>
      </c>
      <c r="AH610" s="72" t="str">
        <f>Tableau3[[#This Row],[ID-API]]&amp; "." &amp;Tableau3[[#This Row],[ID-RACK]]&amp; "." &amp;Tableau3[[#This Row],[ID-SLOT]]</f>
        <v>4.1.9</v>
      </c>
      <c r="AI610" s="72" t="str">
        <f>INDEX(Tableau1[Ref-Carte],MATCH(Tableau3[[#This Row],[ID-RRS]],Tableau1[ID-RRS],0))</f>
        <v>SDO0802</v>
      </c>
      <c r="AJ610" s="72" t="str">
        <f t="array" ref="AJ610">IFERROR(INDEX(Tableau2[TS],MATCH(1,(Tableau2[Ref-Carte]=Tableau3[[#This Row],[Ref-Carte2]])*(Tableau2[ID-Voie]=Tableau3[[#This Row],[ID-VOIE]]),0)),"")</f>
        <v>ST</v>
      </c>
      <c r="AK610" s="72" t="str">
        <f>IFERROR(INDEX(Tableau2[TS],SUMPRODUCT((Tableau2[Ref-Carte]=Tableau3[[#This Row],[Ref-Carte2]])*(Tableau2[ID-Voie]=Tableau3[[#This Row],[ID-VOIE]])*ROW(Tableau2[TS]))-ROW(Tableau2[#Headers])),"")</f>
        <v>ST</v>
      </c>
      <c r="AL610" s="72" t="str">
        <f>Tableau3[[#This Row],[Ref-Carte2]]&amp;"/"&amp;Tableau3[[#This Row],[ID-VOIE]]</f>
        <v>SDO0802/0</v>
      </c>
      <c r="AM610" s="73" t="str">
        <f>INDEX(Tableau2[Borne],MATCH(Tableau3[[#This Row],[ID-CARTEVOIE]],Tableau2[ID-CARTEVOIE],0))&amp;""</f>
        <v>0</v>
      </c>
      <c r="AN610" s="74" t="str">
        <f>Tableau3[[#This Row],[ID-API]]&amp;Tableau3[[#This Row],[ID-RACK]]&amp;Tableau3[[#This Row],[ID-SLOT]]&amp;Tableau3[[#This Row],[BORNE]]</f>
        <v>4190</v>
      </c>
      <c r="AO610" s="1"/>
    </row>
    <row r="611" spans="1:41" ht="20.100000000000001" customHeight="1" thickTop="1" thickBot="1">
      <c r="A611" s="68"/>
      <c r="B611" s="69" t="str">
        <f>IFERROR(INDEX(Tableau4[Date],MATCH($A611,Tableau4[EVO],0)),"")</f>
        <v/>
      </c>
      <c r="C611" s="68" t="str">
        <f>IFERROR(INDEX(Tableau4[Designation],MATCH($A611,Tableau4[EVO],0)),"")</f>
        <v/>
      </c>
      <c r="D611" s="68"/>
      <c r="E611" s="70">
        <v>105</v>
      </c>
      <c r="F611" s="71">
        <v>14</v>
      </c>
      <c r="G611" s="101" t="str">
        <f>INDEX(Tableau8[Att1],MATCH(Tableau3[[#This Row],[ID-INS]],Tableau8[ID],0))&amp;""</f>
        <v>V3</v>
      </c>
      <c r="H611" s="101" t="str">
        <f>INDEX(Tableau8[Att2],MATCH(Tableau3[[#This Row],[ID-INS]],Tableau8[ID],0))&amp;""</f>
        <v>UTLR3</v>
      </c>
      <c r="I611" s="101" t="str">
        <f>INDEX(Tableau8[Att3],MATCH(Tableau3[[#This Row],[ID-INS]],Tableau8[ID],0))&amp;""</f>
        <v>UTL rouge IDVL3/BH3</v>
      </c>
      <c r="J611" s="101"/>
      <c r="K611" s="167" t="str">
        <f>INDEX(Tableau8[Nom du modele],MATCH(Tableau3[[#This Row],[ID-INS]],Tableau8[ID],0))&amp;""</f>
        <v>UTL</v>
      </c>
      <c r="L611" s="99" t="str">
        <f>INDEX(Tableau5[Att1],MATCH(Tableau3[[#This Row],[ID-SIG]],Tableau5[ID],0))&amp;""</f>
        <v>AutorBadge</v>
      </c>
      <c r="M611" s="99" t="str">
        <f>INDEX(Tableau5[Att2],MATCH(Tableau3[[#This Row],[ID-SIG]],Tableau5[ID],0))&amp;""</f>
        <v/>
      </c>
      <c r="N611" s="99" t="str">
        <f>INDEX(Tableau5[Att3],MATCH(Tableau3[[#This Row],[ID-SIG]],Tableau5[ID],0))&amp;""</f>
        <v/>
      </c>
      <c r="O611" s="99"/>
      <c r="P611" s="99" t="str">
        <f>INDEX(Tableau5[Description],MATCH(Tableau3[[#This Row],[ID-SIG]],Tableau5[ID],0))</f>
        <v>Commande autorisation badgeage vers UTL</v>
      </c>
      <c r="Q611" s="99"/>
      <c r="R611" s="103" t="str">
        <f>Tableau3[[#This Row],[Description]]</f>
        <v>Commande autorisation badgeage vers UTL</v>
      </c>
      <c r="U611" s="87">
        <v>4</v>
      </c>
      <c r="V611" s="87">
        <v>1</v>
      </c>
      <c r="W611" s="87">
        <v>9</v>
      </c>
      <c r="X611" s="87">
        <v>1</v>
      </c>
      <c r="Y611" s="41"/>
      <c r="Z611" s="165" t="str">
        <f>INDEX(Tableau2[TS],MATCH(Tableau3[[#This Row],[ID-CARTEVOIE]],Tableau2[ID-CARTEVOIE],0))</f>
        <v>ST</v>
      </c>
      <c r="AA611" s="53" t="s">
        <v>213</v>
      </c>
      <c r="AB611" s="223" t="str">
        <f>IFERROR(INDEX(Tableau5[Reserve],MATCH(Tableau3[[#This Row],[ID-SIG]],Tableau5[ID],0))&amp;"","")</f>
        <v/>
      </c>
      <c r="AC611" s="21"/>
      <c r="AD611" s="108" t="str">
        <f>INDEX(Tableau7[Repere],MATCH(Tableau3[[#This Row],[ID-API]],Tableau7[ID-API],0))&amp;""</f>
        <v>A4</v>
      </c>
      <c r="AE611" s="108" t="str">
        <f>INDEX(Tableau1[Repere-Rack],MATCH(Tableau3[[#This Row],[ID-RACK]],Tableau1[ID-RACK],0))&amp;""</f>
        <v>R1</v>
      </c>
      <c r="AF611" s="108" t="str">
        <f>INDEX(Tableau1[Repere-Slot],MATCH(Tableau3[[#This Row],[ID-SLOT]],Tableau1[ID-SLOT],0))&amp;""</f>
        <v>S9</v>
      </c>
      <c r="AG611" s="108" t="str">
        <f>INDEX(Tableau2[Repere-Voie],MATCH(Tableau3[[#This Row],[ID-VOIE]],Tableau2[ID-Voie],0))&amp;""</f>
        <v>v1</v>
      </c>
      <c r="AH611" s="72" t="str">
        <f>Tableau3[[#This Row],[ID-API]]&amp; "." &amp;Tableau3[[#This Row],[ID-RACK]]&amp; "." &amp;Tableau3[[#This Row],[ID-SLOT]]</f>
        <v>4.1.9</v>
      </c>
      <c r="AI611" s="72" t="str">
        <f>INDEX(Tableau1[Ref-Carte],MATCH(Tableau3[[#This Row],[ID-RRS]],Tableau1[ID-RRS],0))</f>
        <v>SDO0802</v>
      </c>
      <c r="AJ611" s="72" t="str">
        <f t="array" ref="AJ611">IFERROR(INDEX(Tableau2[TS],MATCH(1,(Tableau2[Ref-Carte]=Tableau3[[#This Row],[Ref-Carte2]])*(Tableau2[ID-Voie]=Tableau3[[#This Row],[ID-VOIE]]),0)),"")</f>
        <v>ST</v>
      </c>
      <c r="AK611" s="72" t="str">
        <f>IFERROR(INDEX(Tableau2[TS],SUMPRODUCT((Tableau2[Ref-Carte]=Tableau3[[#This Row],[Ref-Carte2]])*(Tableau2[ID-Voie]=Tableau3[[#This Row],[ID-VOIE]])*ROW(Tableau2[TS]))-ROW(Tableau2[#Headers])),"")</f>
        <v>ST</v>
      </c>
      <c r="AL611" s="72" t="str">
        <f>Tableau3[[#This Row],[Ref-Carte2]]&amp;"/"&amp;Tableau3[[#This Row],[ID-VOIE]]</f>
        <v>SDO0802/1</v>
      </c>
      <c r="AM611" s="73" t="str">
        <f>INDEX(Tableau2[Borne],MATCH(Tableau3[[#This Row],[ID-CARTEVOIE]],Tableau2[ID-CARTEVOIE],0))&amp;""</f>
        <v>1</v>
      </c>
      <c r="AN611" s="74" t="str">
        <f>Tableau3[[#This Row],[ID-API]]&amp;Tableau3[[#This Row],[ID-RACK]]&amp;Tableau3[[#This Row],[ID-SLOT]]&amp;Tableau3[[#This Row],[BORNE]]</f>
        <v>4191</v>
      </c>
      <c r="AO611" s="1"/>
    </row>
    <row r="612" spans="1:41" ht="20.100000000000001" customHeight="1" thickTop="1" thickBot="1">
      <c r="A612" s="68"/>
      <c r="B612" s="69" t="str">
        <f>IFERROR(INDEX(Tableau4[Date],MATCH($A612,Tableau4[EVO],0)),"")</f>
        <v/>
      </c>
      <c r="C612" s="68" t="str">
        <f>IFERROR(INDEX(Tableau4[Designation],MATCH($A612,Tableau4[EVO],0)),"")</f>
        <v/>
      </c>
      <c r="D612" s="68"/>
      <c r="E612" s="70">
        <v>116</v>
      </c>
      <c r="F612" s="71">
        <v>13</v>
      </c>
      <c r="G612" s="101" t="str">
        <f>INDEX(Tableau8[Att1],MATCH(Tableau3[[#This Row],[ID-INS]],Tableau8[ID],0))&amp;""</f>
        <v>V3</v>
      </c>
      <c r="H612" s="101" t="str">
        <f>INDEX(Tableau8[Att2],MATCH(Tableau3[[#This Row],[ID-INS]],Tableau8[ID],0))&amp;""</f>
        <v>UTLB3</v>
      </c>
      <c r="I612" s="101" t="str">
        <f>INDEX(Tableau8[Att3],MATCH(Tableau3[[#This Row],[ID-INS]],Tableau8[ID],0))&amp;""</f>
        <v>UTL bleue AUTVL3/IDVL7BH8</v>
      </c>
      <c r="J612" s="101"/>
      <c r="K612" s="167" t="str">
        <f>INDEX(Tableau8[Nom du modele],MATCH(Tableau3[[#This Row],[ID-INS]],Tableau8[ID],0))&amp;""</f>
        <v>UTL</v>
      </c>
      <c r="L612" s="99" t="str">
        <f>INDEX(Tableau5[Att1],MATCH(Tableau3[[#This Row],[ID-SIG]],Tableau5[ID],0))&amp;""</f>
        <v>PassEffec</v>
      </c>
      <c r="M612" s="99" t="str">
        <f>INDEX(Tableau5[Att2],MATCH(Tableau3[[#This Row],[ID-SIG]],Tableau5[ID],0))&amp;""</f>
        <v/>
      </c>
      <c r="N612" s="99" t="str">
        <f>INDEX(Tableau5[Att3],MATCH(Tableau3[[#This Row],[ID-SIG]],Tableau5[ID],0))&amp;""</f>
        <v/>
      </c>
      <c r="O612" s="99"/>
      <c r="P612" s="99" t="str">
        <f>INDEX(Tableau5[Description],MATCH(Tableau3[[#This Row],[ID-SIG]],Tableau5[ID],0))</f>
        <v>Commande passage effectué vers UTL</v>
      </c>
      <c r="Q612" s="99"/>
      <c r="R612" s="103" t="str">
        <f>Tableau3[[#This Row],[Description]]</f>
        <v>Commande passage effectué vers UTL</v>
      </c>
      <c r="U612" s="87">
        <v>4</v>
      </c>
      <c r="V612" s="87">
        <v>1</v>
      </c>
      <c r="W612" s="87">
        <v>9</v>
      </c>
      <c r="X612" s="87">
        <v>2</v>
      </c>
      <c r="Y612" s="41"/>
      <c r="Z612" s="165" t="str">
        <f>INDEX(Tableau2[TS],MATCH(Tableau3[[#This Row],[ID-CARTEVOIE]],Tableau2[ID-CARTEVOIE],0))</f>
        <v>ST</v>
      </c>
      <c r="AA612" s="53" t="s">
        <v>213</v>
      </c>
      <c r="AB612" s="223" t="str">
        <f>IFERROR(INDEX(Tableau5[Reserve],MATCH(Tableau3[[#This Row],[ID-SIG]],Tableau5[ID],0))&amp;"","")</f>
        <v/>
      </c>
      <c r="AC612" s="21"/>
      <c r="AD612" s="108" t="str">
        <f>INDEX(Tableau7[Repere],MATCH(Tableau3[[#This Row],[ID-API]],Tableau7[ID-API],0))&amp;""</f>
        <v>A4</v>
      </c>
      <c r="AE612" s="108" t="str">
        <f>INDEX(Tableau1[Repere-Rack],MATCH(Tableau3[[#This Row],[ID-RACK]],Tableau1[ID-RACK],0))&amp;""</f>
        <v>R1</v>
      </c>
      <c r="AF612" s="108" t="str">
        <f>INDEX(Tableau1[Repere-Slot],MATCH(Tableau3[[#This Row],[ID-SLOT]],Tableau1[ID-SLOT],0))&amp;""</f>
        <v>S9</v>
      </c>
      <c r="AG612" s="108" t="str">
        <f>INDEX(Tableau2[Repere-Voie],MATCH(Tableau3[[#This Row],[ID-VOIE]],Tableau2[ID-Voie],0))&amp;""</f>
        <v>v2</v>
      </c>
      <c r="AH612" s="72" t="str">
        <f>Tableau3[[#This Row],[ID-API]]&amp; "." &amp;Tableau3[[#This Row],[ID-RACK]]&amp; "." &amp;Tableau3[[#This Row],[ID-SLOT]]</f>
        <v>4.1.9</v>
      </c>
      <c r="AI612" s="72" t="str">
        <f>INDEX(Tableau1[Ref-Carte],MATCH(Tableau3[[#This Row],[ID-RRS]],Tableau1[ID-RRS],0))</f>
        <v>SDO0802</v>
      </c>
      <c r="AJ612" s="72" t="str">
        <f t="array" ref="AJ612">IFERROR(INDEX(Tableau2[TS],MATCH(1,(Tableau2[Ref-Carte]=Tableau3[[#This Row],[Ref-Carte2]])*(Tableau2[ID-Voie]=Tableau3[[#This Row],[ID-VOIE]]),0)),"")</f>
        <v>ST</v>
      </c>
      <c r="AK612" s="72" t="str">
        <f>IFERROR(INDEX(Tableau2[TS],SUMPRODUCT((Tableau2[Ref-Carte]=Tableau3[[#This Row],[Ref-Carte2]])*(Tableau2[ID-Voie]=Tableau3[[#This Row],[ID-VOIE]])*ROW(Tableau2[TS]))-ROW(Tableau2[#Headers])),"")</f>
        <v>ST</v>
      </c>
      <c r="AL612" s="72" t="str">
        <f>Tableau3[[#This Row],[Ref-Carte2]]&amp;"/"&amp;Tableau3[[#This Row],[ID-VOIE]]</f>
        <v>SDO0802/2</v>
      </c>
      <c r="AM612" s="73" t="str">
        <f>INDEX(Tableau2[Borne],MATCH(Tableau3[[#This Row],[ID-CARTEVOIE]],Tableau2[ID-CARTEVOIE],0))&amp;""</f>
        <v>2</v>
      </c>
      <c r="AN612" s="74" t="str">
        <f>Tableau3[[#This Row],[ID-API]]&amp;Tableau3[[#This Row],[ID-RACK]]&amp;Tableau3[[#This Row],[ID-SLOT]]&amp;Tableau3[[#This Row],[BORNE]]</f>
        <v>4192</v>
      </c>
      <c r="AO612" s="1"/>
    </row>
    <row r="613" spans="1:41" ht="20.100000000000001" customHeight="1" thickTop="1" thickBot="1">
      <c r="A613" s="68"/>
      <c r="B613" s="69" t="str">
        <f>IFERROR(INDEX(Tableau4[Date],MATCH($A613,Tableau4[EVO],0)),"")</f>
        <v/>
      </c>
      <c r="C613" s="68" t="str">
        <f>IFERROR(INDEX(Tableau4[Designation],MATCH($A613,Tableau4[EVO],0)),"")</f>
        <v/>
      </c>
      <c r="D613" s="68"/>
      <c r="E613" s="70">
        <v>116</v>
      </c>
      <c r="F613" s="71">
        <v>14</v>
      </c>
      <c r="G613" s="101" t="str">
        <f>INDEX(Tableau8[Att1],MATCH(Tableau3[[#This Row],[ID-INS]],Tableau8[ID],0))&amp;""</f>
        <v>V3</v>
      </c>
      <c r="H613" s="101" t="str">
        <f>INDEX(Tableau8[Att2],MATCH(Tableau3[[#This Row],[ID-INS]],Tableau8[ID],0))&amp;""</f>
        <v>UTLB3</v>
      </c>
      <c r="I613" s="101" t="str">
        <f>INDEX(Tableau8[Att3],MATCH(Tableau3[[#This Row],[ID-INS]],Tableau8[ID],0))&amp;""</f>
        <v>UTL bleue AUTVL3/IDVL7BH8</v>
      </c>
      <c r="J613" s="101"/>
      <c r="K613" s="167" t="str">
        <f>INDEX(Tableau8[Nom du modele],MATCH(Tableau3[[#This Row],[ID-INS]],Tableau8[ID],0))&amp;""</f>
        <v>UTL</v>
      </c>
      <c r="L613" s="99" t="str">
        <f>INDEX(Tableau5[Att1],MATCH(Tableau3[[#This Row],[ID-SIG]],Tableau5[ID],0))&amp;""</f>
        <v>AutorBadge</v>
      </c>
      <c r="M613" s="99" t="str">
        <f>INDEX(Tableau5[Att2],MATCH(Tableau3[[#This Row],[ID-SIG]],Tableau5[ID],0))&amp;""</f>
        <v/>
      </c>
      <c r="N613" s="99" t="str">
        <f>INDEX(Tableau5[Att3],MATCH(Tableau3[[#This Row],[ID-SIG]],Tableau5[ID],0))&amp;""</f>
        <v/>
      </c>
      <c r="O613" s="99"/>
      <c r="P613" s="99" t="str">
        <f>INDEX(Tableau5[Description],MATCH(Tableau3[[#This Row],[ID-SIG]],Tableau5[ID],0))</f>
        <v>Commande autorisation badgeage vers UTL</v>
      </c>
      <c r="Q613" s="99"/>
      <c r="R613" s="103" t="str">
        <f>Tableau3[[#This Row],[Description]]</f>
        <v>Commande autorisation badgeage vers UTL</v>
      </c>
      <c r="U613" s="87">
        <v>4</v>
      </c>
      <c r="V613" s="87">
        <v>1</v>
      </c>
      <c r="W613" s="87">
        <v>9</v>
      </c>
      <c r="X613" s="87">
        <v>3</v>
      </c>
      <c r="Y613" s="41"/>
      <c r="Z613" s="165" t="str">
        <f>INDEX(Tableau2[TS],MATCH(Tableau3[[#This Row],[ID-CARTEVOIE]],Tableau2[ID-CARTEVOIE],0))</f>
        <v>ST</v>
      </c>
      <c r="AA613" s="53" t="s">
        <v>213</v>
      </c>
      <c r="AB613" s="223" t="str">
        <f>IFERROR(INDEX(Tableau5[Reserve],MATCH(Tableau3[[#This Row],[ID-SIG]],Tableau5[ID],0))&amp;"","")</f>
        <v/>
      </c>
      <c r="AC613" s="21"/>
      <c r="AD613" s="108" t="str">
        <f>INDEX(Tableau7[Repere],MATCH(Tableau3[[#This Row],[ID-API]],Tableau7[ID-API],0))&amp;""</f>
        <v>A4</v>
      </c>
      <c r="AE613" s="108" t="str">
        <f>INDEX(Tableau1[Repere-Rack],MATCH(Tableau3[[#This Row],[ID-RACK]],Tableau1[ID-RACK],0))&amp;""</f>
        <v>R1</v>
      </c>
      <c r="AF613" s="108" t="str">
        <f>INDEX(Tableau1[Repere-Slot],MATCH(Tableau3[[#This Row],[ID-SLOT]],Tableau1[ID-SLOT],0))&amp;""</f>
        <v>S9</v>
      </c>
      <c r="AG613" s="108" t="str">
        <f>INDEX(Tableau2[Repere-Voie],MATCH(Tableau3[[#This Row],[ID-VOIE]],Tableau2[ID-Voie],0))&amp;""</f>
        <v>v3</v>
      </c>
      <c r="AH613" s="72" t="str">
        <f>Tableau3[[#This Row],[ID-API]]&amp; "." &amp;Tableau3[[#This Row],[ID-RACK]]&amp; "." &amp;Tableau3[[#This Row],[ID-SLOT]]</f>
        <v>4.1.9</v>
      </c>
      <c r="AI613" s="72" t="str">
        <f>INDEX(Tableau1[Ref-Carte],MATCH(Tableau3[[#This Row],[ID-RRS]],Tableau1[ID-RRS],0))</f>
        <v>SDO0802</v>
      </c>
      <c r="AJ613" s="72" t="str">
        <f t="array" ref="AJ613">IFERROR(INDEX(Tableau2[TS],MATCH(1,(Tableau2[Ref-Carte]=Tableau3[[#This Row],[Ref-Carte2]])*(Tableau2[ID-Voie]=Tableau3[[#This Row],[ID-VOIE]]),0)),"")</f>
        <v>ST</v>
      </c>
      <c r="AK613" s="72" t="str">
        <f>IFERROR(INDEX(Tableau2[TS],SUMPRODUCT((Tableau2[Ref-Carte]=Tableau3[[#This Row],[Ref-Carte2]])*(Tableau2[ID-Voie]=Tableau3[[#This Row],[ID-VOIE]])*ROW(Tableau2[TS]))-ROW(Tableau2[#Headers])),"")</f>
        <v>ST</v>
      </c>
      <c r="AL613" s="72" t="str">
        <f>Tableau3[[#This Row],[Ref-Carte2]]&amp;"/"&amp;Tableau3[[#This Row],[ID-VOIE]]</f>
        <v>SDO0802/3</v>
      </c>
      <c r="AM613" s="73" t="str">
        <f>INDEX(Tableau2[Borne],MATCH(Tableau3[[#This Row],[ID-CARTEVOIE]],Tableau2[ID-CARTEVOIE],0))&amp;""</f>
        <v>3</v>
      </c>
      <c r="AN613" s="74" t="str">
        <f>Tableau3[[#This Row],[ID-API]]&amp;Tableau3[[#This Row],[ID-RACK]]&amp;Tableau3[[#This Row],[ID-SLOT]]&amp;Tableau3[[#This Row],[BORNE]]</f>
        <v>4193</v>
      </c>
      <c r="AO613" s="1"/>
    </row>
    <row r="614" spans="1:41" ht="20.100000000000001" customHeight="1" thickTop="1" thickBot="1">
      <c r="A614" s="68"/>
      <c r="B614" s="69" t="str">
        <f>IFERROR(INDEX(Tableau4[Date],MATCH($A614,Tableau4[EVO],0)),"")</f>
        <v/>
      </c>
      <c r="C614" s="68" t="str">
        <f>IFERROR(INDEX(Tableau4[Designation],MATCH($A614,Tableau4[EVO],0)),"")</f>
        <v/>
      </c>
      <c r="D614" s="68"/>
      <c r="E614" s="70">
        <v>226</v>
      </c>
      <c r="F614" s="71">
        <v>323</v>
      </c>
      <c r="G614" s="101" t="str">
        <f>INDEX(Tableau8[Att1],MATCH(Tableau3[[#This Row],[ID-INS]],Tableau8[ID],0))&amp;""</f>
        <v>V3</v>
      </c>
      <c r="H614" s="101" t="str">
        <f>INDEX(Tableau8[Att2],MATCH(Tableau3[[#This Row],[ID-INS]],Tableau8[ID],0))&amp;""</f>
        <v>F14</v>
      </c>
      <c r="I614" s="101" t="str">
        <f>INDEX(Tableau8[Att3],MATCH(Tableau3[[#This Row],[ID-INS]],Tableau8[ID],0))&amp;""</f>
        <v>Buzzer contrôle Aleatoire / CORA V3</v>
      </c>
      <c r="J614" s="101"/>
      <c r="K614" s="167" t="str">
        <f>INDEX(Tableau8[Nom du modele],MATCH(Tableau3[[#This Row],[ID-INS]],Tableau8[ID],0))&amp;""</f>
        <v>BuzzerContrAleaVLPL</v>
      </c>
      <c r="L614" s="99" t="str">
        <f>INDEX(Tableau5[Att1],MATCH(Tableau3[[#This Row],[ID-SIG]],Tableau5[ID],0))&amp;""</f>
        <v>Buzzer_Cmd</v>
      </c>
      <c r="M614" s="99" t="str">
        <f>INDEX(Tableau5[Att2],MATCH(Tableau3[[#This Row],[ID-SIG]],Tableau5[ID],0))&amp;""</f>
        <v/>
      </c>
      <c r="N614" s="99" t="str">
        <f>INDEX(Tableau5[Att3],MATCH(Tableau3[[#This Row],[ID-SIG]],Tableau5[ID],0))&amp;""</f>
        <v/>
      </c>
      <c r="O614" s="99"/>
      <c r="P614" s="99" t="str">
        <f>INDEX(Tableau5[Description],MATCH(Tableau3[[#This Row],[ID-SIG]],Tableau5[ID],0))</f>
        <v>Commande Buzzeur</v>
      </c>
      <c r="Q614" s="99"/>
      <c r="R614" s="103" t="str">
        <f>Tableau3[[#This Row],[Description]]</f>
        <v>Commande Buzzeur</v>
      </c>
      <c r="U614" s="87">
        <v>4</v>
      </c>
      <c r="V614" s="87">
        <v>1</v>
      </c>
      <c r="W614" s="87">
        <v>9</v>
      </c>
      <c r="X614" s="87">
        <v>4</v>
      </c>
      <c r="Y614" s="41"/>
      <c r="Z614" s="165" t="str">
        <f>INDEX(Tableau2[TS],MATCH(Tableau3[[#This Row],[ID-CARTEVOIE]],Tableau2[ID-CARTEVOIE],0))</f>
        <v>ST</v>
      </c>
      <c r="AA614" s="53" t="s">
        <v>213</v>
      </c>
      <c r="AB614" s="223" t="str">
        <f>IFERROR(INDEX(Tableau5[Reserve],MATCH(Tableau3[[#This Row],[ID-SIG]],Tableau5[ID],0))&amp;"","")</f>
        <v/>
      </c>
      <c r="AC614" s="21"/>
      <c r="AD614" s="108" t="str">
        <f>INDEX(Tableau7[Repere],MATCH(Tableau3[[#This Row],[ID-API]],Tableau7[ID-API],0))&amp;""</f>
        <v>A4</v>
      </c>
      <c r="AE614" s="108" t="str">
        <f>INDEX(Tableau1[Repere-Rack],MATCH(Tableau3[[#This Row],[ID-RACK]],Tableau1[ID-RACK],0))&amp;""</f>
        <v>R1</v>
      </c>
      <c r="AF614" s="108" t="str">
        <f>INDEX(Tableau1[Repere-Slot],MATCH(Tableau3[[#This Row],[ID-SLOT]],Tableau1[ID-SLOT],0))&amp;""</f>
        <v>S9</v>
      </c>
      <c r="AG614" s="108" t="str">
        <f>INDEX(Tableau2[Repere-Voie],MATCH(Tableau3[[#This Row],[ID-VOIE]],Tableau2[ID-Voie],0))&amp;""</f>
        <v>v4</v>
      </c>
      <c r="AH614" s="72" t="str">
        <f>Tableau3[[#This Row],[ID-API]]&amp; "." &amp;Tableau3[[#This Row],[ID-RACK]]&amp; "." &amp;Tableau3[[#This Row],[ID-SLOT]]</f>
        <v>4.1.9</v>
      </c>
      <c r="AI614" s="72" t="str">
        <f>INDEX(Tableau1[Ref-Carte],MATCH(Tableau3[[#This Row],[ID-RRS]],Tableau1[ID-RRS],0))</f>
        <v>SDO0802</v>
      </c>
      <c r="AJ614" s="72" t="str">
        <f t="array" ref="AJ614">IFERROR(INDEX(Tableau2[TS],MATCH(1,(Tableau2[Ref-Carte]=Tableau3[[#This Row],[Ref-Carte2]])*(Tableau2[ID-Voie]=Tableau3[[#This Row],[ID-VOIE]]),0)),"")</f>
        <v>ST</v>
      </c>
      <c r="AK614" s="72" t="str">
        <f>IFERROR(INDEX(Tableau2[TS],SUMPRODUCT((Tableau2[Ref-Carte]=Tableau3[[#This Row],[Ref-Carte2]])*(Tableau2[ID-Voie]=Tableau3[[#This Row],[ID-VOIE]])*ROW(Tableau2[TS]))-ROW(Tableau2[#Headers])),"")</f>
        <v>ST</v>
      </c>
      <c r="AL614" s="72" t="str">
        <f>Tableau3[[#This Row],[Ref-Carte2]]&amp;"/"&amp;Tableau3[[#This Row],[ID-VOIE]]</f>
        <v>SDO0802/4</v>
      </c>
      <c r="AM614" s="73" t="str">
        <f>INDEX(Tableau2[Borne],MATCH(Tableau3[[#This Row],[ID-CARTEVOIE]],Tableau2[ID-CARTEVOIE],0))&amp;""</f>
        <v>4</v>
      </c>
      <c r="AN614" s="74" t="str">
        <f>Tableau3[[#This Row],[ID-API]]&amp;Tableau3[[#This Row],[ID-RACK]]&amp;Tableau3[[#This Row],[ID-SLOT]]&amp;Tableau3[[#This Row],[BORNE]]</f>
        <v>4194</v>
      </c>
      <c r="AO614" s="1"/>
    </row>
    <row r="615" spans="1:41" ht="20.100000000000001" customHeight="1" thickTop="1" thickBot="1">
      <c r="A615" s="68"/>
      <c r="B615" s="69" t="str">
        <f>IFERROR(INDEX(Tableau4[Date],MATCH($A615,Tableau4[EVO],0)),"")</f>
        <v/>
      </c>
      <c r="C615" s="68" t="str">
        <f>IFERROR(INDEX(Tableau4[Designation],MATCH($A615,Tableau4[EVO],0)),"")</f>
        <v/>
      </c>
      <c r="D615" s="68"/>
      <c r="E615" s="70">
        <v>256</v>
      </c>
      <c r="F615" s="71">
        <v>141</v>
      </c>
      <c r="G615" s="101" t="str">
        <f>INDEX(Tableau8[Att1],MATCH(Tableau3[[#This Row],[ID-INS]],Tableau8[ID],0))&amp;""</f>
        <v>V3</v>
      </c>
      <c r="H615" s="101" t="str">
        <f>INDEX(Tableau8[Att2],MATCH(Tableau3[[#This Row],[ID-INS]],Tableau8[ID],0))&amp;""</f>
        <v>P2</v>
      </c>
      <c r="I615" s="101" t="str">
        <f>INDEX(Tableau8[Att3],MATCH(Tableau3[[#This Row],[ID-INS]],Tableau8[ID],0))&amp;""</f>
        <v>Portail P2</v>
      </c>
      <c r="J615" s="101"/>
      <c r="K615" s="167" t="str">
        <f>INDEX(Tableau8[Nom du modele],MATCH(Tableau3[[#This Row],[ID-INS]],Tableau8[ID],0))&amp;""</f>
        <v>PortailR1V_2</v>
      </c>
      <c r="L615" s="99" t="str">
        <f>INDEX(Tableau5[Att1],MATCH(Tableau3[[#This Row],[ID-SIG]],Tableau5[ID],0))&amp;""</f>
        <v>V2_GrpHydCmd1</v>
      </c>
      <c r="M615" s="99" t="str">
        <f>INDEX(Tableau5[Att2],MATCH(Tableau3[[#This Row],[ID-SIG]],Tableau5[ID],0))&amp;""</f>
        <v/>
      </c>
      <c r="N615" s="99" t="str">
        <f>INDEX(Tableau5[Att3],MATCH(Tableau3[[#This Row],[ID-SIG]],Tableau5[ID],0))&amp;""</f>
        <v/>
      </c>
      <c r="O615" s="99"/>
      <c r="P615" s="99" t="str">
        <f>INDEX(Tableau5[Description],MATCH(Tableau3[[#This Row],[ID-SIG]],Tableau5[ID],0))</f>
        <v>Commande de marche 1 du groupe hydraulique vantail 2</v>
      </c>
      <c r="Q615" s="99"/>
      <c r="R615" s="103" t="str">
        <f>Tableau3[[#This Row],[Description]]</f>
        <v>Commande de marche 1 du groupe hydraulique vantail 2</v>
      </c>
      <c r="U615" s="87">
        <v>4</v>
      </c>
      <c r="V615" s="87">
        <v>1</v>
      </c>
      <c r="W615" s="87">
        <v>9</v>
      </c>
      <c r="X615" s="87">
        <v>5</v>
      </c>
      <c r="Y615" s="41"/>
      <c r="Z615" s="165" t="str">
        <f>INDEX(Tableau2[TS],MATCH(Tableau3[[#This Row],[ID-CARTEVOIE]],Tableau2[ID-CARTEVOIE],0))</f>
        <v>ST</v>
      </c>
      <c r="AA615" s="53" t="s">
        <v>213</v>
      </c>
      <c r="AB615" s="223" t="str">
        <f>IFERROR(INDEX(Tableau5[Reserve],MATCH(Tableau3[[#This Row],[ID-SIG]],Tableau5[ID],0))&amp;"","")</f>
        <v/>
      </c>
      <c r="AC615" s="21"/>
      <c r="AD615" s="108" t="str">
        <f>INDEX(Tableau7[Repere],MATCH(Tableau3[[#This Row],[ID-API]],Tableau7[ID-API],0))&amp;""</f>
        <v>A4</v>
      </c>
      <c r="AE615" s="108" t="str">
        <f>INDEX(Tableau1[Repere-Rack],MATCH(Tableau3[[#This Row],[ID-RACK]],Tableau1[ID-RACK],0))&amp;""</f>
        <v>R1</v>
      </c>
      <c r="AF615" s="108" t="str">
        <f>INDEX(Tableau1[Repere-Slot],MATCH(Tableau3[[#This Row],[ID-SLOT]],Tableau1[ID-SLOT],0))&amp;""</f>
        <v>S9</v>
      </c>
      <c r="AG615" s="108" t="str">
        <f>INDEX(Tableau2[Repere-Voie],MATCH(Tableau3[[#This Row],[ID-VOIE]],Tableau2[ID-Voie],0))&amp;""</f>
        <v>v5</v>
      </c>
      <c r="AH615" s="72" t="str">
        <f>Tableau3[[#This Row],[ID-API]]&amp; "." &amp;Tableau3[[#This Row],[ID-RACK]]&amp; "." &amp;Tableau3[[#This Row],[ID-SLOT]]</f>
        <v>4.1.9</v>
      </c>
      <c r="AI615" s="72" t="str">
        <f>INDEX(Tableau1[Ref-Carte],MATCH(Tableau3[[#This Row],[ID-RRS]],Tableau1[ID-RRS],0))</f>
        <v>SDO0802</v>
      </c>
      <c r="AJ615" s="72" t="str">
        <f t="array" ref="AJ615">IFERROR(INDEX(Tableau2[TS],MATCH(1,(Tableau2[Ref-Carte]=Tableau3[[#This Row],[Ref-Carte2]])*(Tableau2[ID-Voie]=Tableau3[[#This Row],[ID-VOIE]]),0)),"")</f>
        <v>ST</v>
      </c>
      <c r="AK615" s="72" t="str">
        <f>IFERROR(INDEX(Tableau2[TS],SUMPRODUCT((Tableau2[Ref-Carte]=Tableau3[[#This Row],[Ref-Carte2]])*(Tableau2[ID-Voie]=Tableau3[[#This Row],[ID-VOIE]])*ROW(Tableau2[TS]))-ROW(Tableau2[#Headers])),"")</f>
        <v>ST</v>
      </c>
      <c r="AL615" s="72" t="str">
        <f>Tableau3[[#This Row],[Ref-Carte2]]&amp;"/"&amp;Tableau3[[#This Row],[ID-VOIE]]</f>
        <v>SDO0802/5</v>
      </c>
      <c r="AM615" s="73" t="str">
        <f>INDEX(Tableau2[Borne],MATCH(Tableau3[[#This Row],[ID-CARTEVOIE]],Tableau2[ID-CARTEVOIE],0))&amp;""</f>
        <v>5</v>
      </c>
      <c r="AN615" s="74" t="str">
        <f>Tableau3[[#This Row],[ID-API]]&amp;Tableau3[[#This Row],[ID-RACK]]&amp;Tableau3[[#This Row],[ID-SLOT]]&amp;Tableau3[[#This Row],[BORNE]]</f>
        <v>4195</v>
      </c>
      <c r="AO615" s="1"/>
    </row>
    <row r="616" spans="1:41" ht="20.100000000000001" customHeight="1" thickTop="1" thickBot="1">
      <c r="A616" s="68"/>
      <c r="B616" s="69" t="str">
        <f>IFERROR(INDEX(Tableau4[Date],MATCH($A616,Tableau4[EVO],0)),"")</f>
        <v/>
      </c>
      <c r="C616" s="68" t="str">
        <f>IFERROR(INDEX(Tableau4[Designation],MATCH($A616,Tableau4[EVO],0)),"")</f>
        <v/>
      </c>
      <c r="D616" s="68"/>
      <c r="E616" s="70">
        <v>256</v>
      </c>
      <c r="F616" s="71">
        <v>144</v>
      </c>
      <c r="G616" s="101" t="str">
        <f>INDEX(Tableau8[Att1],MATCH(Tableau3[[#This Row],[ID-INS]],Tableau8[ID],0))&amp;""</f>
        <v>V3</v>
      </c>
      <c r="H616" s="101" t="str">
        <f>INDEX(Tableau8[Att2],MATCH(Tableau3[[#This Row],[ID-INS]],Tableau8[ID],0))&amp;""</f>
        <v>P2</v>
      </c>
      <c r="I616" s="101" t="str">
        <f>INDEX(Tableau8[Att3],MATCH(Tableau3[[#This Row],[ID-INS]],Tableau8[ID],0))&amp;""</f>
        <v>Portail P2</v>
      </c>
      <c r="J616" s="101"/>
      <c r="K616" s="167" t="str">
        <f>INDEX(Tableau8[Nom du modele],MATCH(Tableau3[[#This Row],[ID-INS]],Tableau8[ID],0))&amp;""</f>
        <v>PortailR1V_2</v>
      </c>
      <c r="L616" s="99" t="str">
        <f>INDEX(Tableau5[Att1],MATCH(Tableau3[[#This Row],[ID-SIG]],Tableau5[ID],0))&amp;""</f>
        <v>V2_FerCmd1</v>
      </c>
      <c r="M616" s="99" t="str">
        <f>INDEX(Tableau5[Att2],MATCH(Tableau3[[#This Row],[ID-SIG]],Tableau5[ID],0))&amp;""</f>
        <v/>
      </c>
      <c r="N616" s="99" t="str">
        <f>INDEX(Tableau5[Att3],MATCH(Tableau3[[#This Row],[ID-SIG]],Tableau5[ID],0))&amp;""</f>
        <v/>
      </c>
      <c r="O616" s="99"/>
      <c r="P616" s="99" t="str">
        <f>INDEX(Tableau5[Description],MATCH(Tableau3[[#This Row],[ID-SIG]],Tableau5[ID],0))</f>
        <v>Commande de fermeture 1 du vantail 2</v>
      </c>
      <c r="Q616" s="99"/>
      <c r="R616" s="103" t="str">
        <f>Tableau3[[#This Row],[Description]]</f>
        <v>Commande de fermeture 1 du vantail 2</v>
      </c>
      <c r="U616" s="87">
        <v>4</v>
      </c>
      <c r="V616" s="87">
        <v>1</v>
      </c>
      <c r="W616" s="87">
        <v>9</v>
      </c>
      <c r="X616" s="87">
        <v>6</v>
      </c>
      <c r="Y616" s="41"/>
      <c r="Z616" s="165" t="str">
        <f>INDEX(Tableau2[TS],MATCH(Tableau3[[#This Row],[ID-CARTEVOIE]],Tableau2[ID-CARTEVOIE],0))</f>
        <v>ST</v>
      </c>
      <c r="AA616" s="53" t="s">
        <v>213</v>
      </c>
      <c r="AB616" s="223" t="str">
        <f>IFERROR(INDEX(Tableau5[Reserve],MATCH(Tableau3[[#This Row],[ID-SIG]],Tableau5[ID],0))&amp;"","")</f>
        <v/>
      </c>
      <c r="AC616" s="21"/>
      <c r="AD616" s="108" t="str">
        <f>INDEX(Tableau7[Repere],MATCH(Tableau3[[#This Row],[ID-API]],Tableau7[ID-API],0))&amp;""</f>
        <v>A4</v>
      </c>
      <c r="AE616" s="108" t="str">
        <f>INDEX(Tableau1[Repere-Rack],MATCH(Tableau3[[#This Row],[ID-RACK]],Tableau1[ID-RACK],0))&amp;""</f>
        <v>R1</v>
      </c>
      <c r="AF616" s="108" t="str">
        <f>INDEX(Tableau1[Repere-Slot],MATCH(Tableau3[[#This Row],[ID-SLOT]],Tableau1[ID-SLOT],0))&amp;""</f>
        <v>S9</v>
      </c>
      <c r="AG616" s="108" t="str">
        <f>INDEX(Tableau2[Repere-Voie],MATCH(Tableau3[[#This Row],[ID-VOIE]],Tableau2[ID-Voie],0))&amp;""</f>
        <v>v6</v>
      </c>
      <c r="AH616" s="72" t="str">
        <f>Tableau3[[#This Row],[ID-API]]&amp; "." &amp;Tableau3[[#This Row],[ID-RACK]]&amp; "." &amp;Tableau3[[#This Row],[ID-SLOT]]</f>
        <v>4.1.9</v>
      </c>
      <c r="AI616" s="72" t="str">
        <f>INDEX(Tableau1[Ref-Carte],MATCH(Tableau3[[#This Row],[ID-RRS]],Tableau1[ID-RRS],0))</f>
        <v>SDO0802</v>
      </c>
      <c r="AJ616" s="72" t="str">
        <f t="array" ref="AJ616">IFERROR(INDEX(Tableau2[TS],MATCH(1,(Tableau2[Ref-Carte]=Tableau3[[#This Row],[Ref-Carte2]])*(Tableau2[ID-Voie]=Tableau3[[#This Row],[ID-VOIE]]),0)),"")</f>
        <v>ST</v>
      </c>
      <c r="AK616" s="72" t="str">
        <f>IFERROR(INDEX(Tableau2[TS],SUMPRODUCT((Tableau2[Ref-Carte]=Tableau3[[#This Row],[Ref-Carte2]])*(Tableau2[ID-Voie]=Tableau3[[#This Row],[ID-VOIE]])*ROW(Tableau2[TS]))-ROW(Tableau2[#Headers])),"")</f>
        <v>ST</v>
      </c>
      <c r="AL616" s="72" t="str">
        <f>Tableau3[[#This Row],[Ref-Carte2]]&amp;"/"&amp;Tableau3[[#This Row],[ID-VOIE]]</f>
        <v>SDO0802/6</v>
      </c>
      <c r="AM616" s="73" t="str">
        <f>INDEX(Tableau2[Borne],MATCH(Tableau3[[#This Row],[ID-CARTEVOIE]],Tableau2[ID-CARTEVOIE],0))&amp;""</f>
        <v>6</v>
      </c>
      <c r="AN616" s="74" t="str">
        <f>Tableau3[[#This Row],[ID-API]]&amp;Tableau3[[#This Row],[ID-RACK]]&amp;Tableau3[[#This Row],[ID-SLOT]]&amp;Tableau3[[#This Row],[BORNE]]</f>
        <v>4196</v>
      </c>
      <c r="AO616" s="1"/>
    </row>
    <row r="617" spans="1:41" ht="20.100000000000001" customHeight="1" thickTop="1" thickBot="1">
      <c r="A617" s="68"/>
      <c r="B617" s="69" t="str">
        <f>IFERROR(INDEX(Tableau4[Date],MATCH($A617,Tableau4[EVO],0)),"")</f>
        <v/>
      </c>
      <c r="C617" s="68" t="str">
        <f>IFERROR(INDEX(Tableau4[Designation],MATCH($A617,Tableau4[EVO],0)),"")</f>
        <v/>
      </c>
      <c r="D617" s="68"/>
      <c r="E617" s="70">
        <v>275</v>
      </c>
      <c r="F617" s="71">
        <v>316</v>
      </c>
      <c r="G617" s="101" t="str">
        <f>INDEX(Tableau8[Att1],MATCH(Tableau3[[#This Row],[ID-INS]],Tableau8[ID],0))&amp;""</f>
        <v>V3</v>
      </c>
      <c r="H617" s="101" t="str">
        <f>INDEX(Tableau8[Att2],MATCH(Tableau3[[#This Row],[ID-INS]],Tableau8[ID],0))&amp;""</f>
        <v>F7</v>
      </c>
      <c r="I617" s="101" t="str">
        <f>INDEX(Tableau8[Att3],MATCH(Tableau3[[#This Row],[ID-INS]],Tableau8[ID],0))&amp;""</f>
        <v>Feu F7</v>
      </c>
      <c r="J617" s="101"/>
      <c r="K617" s="167" t="str">
        <f>INDEX(Tableau8[Nom du modele],MATCH(Tableau3[[#This Row],[ID-INS]],Tableau8[ID],0))&amp;""</f>
        <v>FeuBi_2</v>
      </c>
      <c r="L617" s="99" t="str">
        <f>INDEX(Tableau5[Att1],MATCH(Tableau3[[#This Row],[ID-SIG]],Tableau5[ID],0))&amp;""</f>
        <v>FeuR_Cmd</v>
      </c>
      <c r="M617" s="99" t="str">
        <f>INDEX(Tableau5[Att2],MATCH(Tableau3[[#This Row],[ID-SIG]],Tableau5[ID],0))&amp;""</f>
        <v/>
      </c>
      <c r="N617" s="99" t="str">
        <f>INDEX(Tableau5[Att3],MATCH(Tableau3[[#This Row],[ID-SIG]],Tableau5[ID],0))&amp;""</f>
        <v/>
      </c>
      <c r="O617" s="99"/>
      <c r="P617" s="99" t="str">
        <f>INDEX(Tableau5[Description],MATCH(Tableau3[[#This Row],[ID-SIG]],Tableau5[ID],0))</f>
        <v>Commande Feu Rouge</v>
      </c>
      <c r="Q617" s="99"/>
      <c r="R617" s="103" t="str">
        <f>Tableau3[[#This Row],[Description]]</f>
        <v>Commande Feu Rouge</v>
      </c>
      <c r="U617" s="87">
        <v>4</v>
      </c>
      <c r="V617" s="87">
        <v>1</v>
      </c>
      <c r="W617" s="87">
        <v>9</v>
      </c>
      <c r="X617" s="87">
        <v>7</v>
      </c>
      <c r="Y617" s="41"/>
      <c r="Z617" s="165" t="str">
        <f>INDEX(Tableau2[TS],MATCH(Tableau3[[#This Row],[ID-CARTEVOIE]],Tableau2[ID-CARTEVOIE],0))</f>
        <v>ST</v>
      </c>
      <c r="AA617" s="53" t="s">
        <v>213</v>
      </c>
      <c r="AB617" s="223" t="str">
        <f>IFERROR(INDEX(Tableau5[Reserve],MATCH(Tableau3[[#This Row],[ID-SIG]],Tableau5[ID],0))&amp;"","")</f>
        <v/>
      </c>
      <c r="AC617" s="21"/>
      <c r="AD617" s="108" t="str">
        <f>INDEX(Tableau7[Repere],MATCH(Tableau3[[#This Row],[ID-API]],Tableau7[ID-API],0))&amp;""</f>
        <v>A4</v>
      </c>
      <c r="AE617" s="108" t="str">
        <f>INDEX(Tableau1[Repere-Rack],MATCH(Tableau3[[#This Row],[ID-RACK]],Tableau1[ID-RACK],0))&amp;""</f>
        <v>R1</v>
      </c>
      <c r="AF617" s="108" t="str">
        <f>INDEX(Tableau1[Repere-Slot],MATCH(Tableau3[[#This Row],[ID-SLOT]],Tableau1[ID-SLOT],0))&amp;""</f>
        <v>S9</v>
      </c>
      <c r="AG617" s="108" t="str">
        <f>INDEX(Tableau2[Repere-Voie],MATCH(Tableau3[[#This Row],[ID-VOIE]],Tableau2[ID-Voie],0))&amp;""</f>
        <v>v7</v>
      </c>
      <c r="AH617" s="72" t="str">
        <f>Tableau3[[#This Row],[ID-API]]&amp; "." &amp;Tableau3[[#This Row],[ID-RACK]]&amp; "." &amp;Tableau3[[#This Row],[ID-SLOT]]</f>
        <v>4.1.9</v>
      </c>
      <c r="AI617" s="72" t="str">
        <f>INDEX(Tableau1[Ref-Carte],MATCH(Tableau3[[#This Row],[ID-RRS]],Tableau1[ID-RRS],0))</f>
        <v>SDO0802</v>
      </c>
      <c r="AJ617" s="72" t="str">
        <f t="array" ref="AJ617">IFERROR(INDEX(Tableau2[TS],MATCH(1,(Tableau2[Ref-Carte]=Tableau3[[#This Row],[Ref-Carte2]])*(Tableau2[ID-Voie]=Tableau3[[#This Row],[ID-VOIE]]),0)),"")</f>
        <v>ST</v>
      </c>
      <c r="AK617" s="72" t="str">
        <f>IFERROR(INDEX(Tableau2[TS],SUMPRODUCT((Tableau2[Ref-Carte]=Tableau3[[#This Row],[Ref-Carte2]])*(Tableau2[ID-Voie]=Tableau3[[#This Row],[ID-VOIE]])*ROW(Tableau2[TS]))-ROW(Tableau2[#Headers])),"")</f>
        <v>ST</v>
      </c>
      <c r="AL617" s="72" t="str">
        <f>Tableau3[[#This Row],[Ref-Carte2]]&amp;"/"&amp;Tableau3[[#This Row],[ID-VOIE]]</f>
        <v>SDO0802/7</v>
      </c>
      <c r="AM617" s="73" t="str">
        <f>INDEX(Tableau2[Borne],MATCH(Tableau3[[#This Row],[ID-CARTEVOIE]],Tableau2[ID-CARTEVOIE],0))&amp;""</f>
        <v>7</v>
      </c>
      <c r="AN617" s="74" t="str">
        <f>Tableau3[[#This Row],[ID-API]]&amp;Tableau3[[#This Row],[ID-RACK]]&amp;Tableau3[[#This Row],[ID-SLOT]]&amp;Tableau3[[#This Row],[BORNE]]</f>
        <v>4197</v>
      </c>
      <c r="AO617" s="1"/>
    </row>
    <row r="618" spans="1:41" ht="20.100000000000001" customHeight="1" thickTop="1" thickBot="1">
      <c r="A618" s="68"/>
      <c r="B618" s="69" t="str">
        <f>IFERROR(INDEX(Tableau4[Date],MATCH($A618,Tableau4[EVO],0)),"")</f>
        <v/>
      </c>
      <c r="C618" s="68" t="str">
        <f>IFERROR(INDEX(Tableau4[Designation],MATCH($A618,Tableau4[EVO],0)),"")</f>
        <v/>
      </c>
      <c r="D618" s="68"/>
      <c r="E618" s="70">
        <v>39</v>
      </c>
      <c r="F618" s="71">
        <v>81</v>
      </c>
      <c r="G618" s="101" t="str">
        <f>INDEX(Tableau8[Att1],MATCH(Tableau3[[#This Row],[ID-INS]],Tableau8[ID],0))&amp;""</f>
        <v>V3</v>
      </c>
      <c r="H618" s="101" t="str">
        <f>INDEX(Tableau8[Att2],MATCH(Tableau3[[#This Row],[ID-INS]],Tableau8[ID],0))&amp;""</f>
        <v>BH8</v>
      </c>
      <c r="I618" s="101" t="str">
        <f>INDEX(Tableau8[Att3],MATCH(Tableau3[[#This Row],[ID-INS]],Tableau8[ID],0))&amp;""</f>
        <v>Barrière BH8</v>
      </c>
      <c r="J618" s="101"/>
      <c r="K618" s="167" t="str">
        <f>INDEX(Tableau8[Nom du modele],MATCH(Tableau3[[#This Row],[ID-INS]],Tableau8[ID],0))&amp;""</f>
        <v>BarriereHerse_1</v>
      </c>
      <c r="L618" s="99" t="str">
        <f>INDEX(Tableau5[Att1],MATCH(Tableau3[[#This Row],[ID-SIG]],Tableau5[ID],0))&amp;""</f>
        <v>Pres</v>
      </c>
      <c r="M618" s="99" t="str">
        <f>INDEX(Tableau5[Att2],MATCH(Tableau3[[#This Row],[ID-SIG]],Tableau5[ID],0))&amp;""</f>
        <v/>
      </c>
      <c r="N618" s="99" t="str">
        <f>INDEX(Tableau5[Att3],MATCH(Tableau3[[#This Row],[ID-SIG]],Tableau5[ID],0))&amp;""</f>
        <v/>
      </c>
      <c r="O618" s="99"/>
      <c r="P618" s="99" t="str">
        <f>INDEX(Tableau5[Description],MATCH(Tableau3[[#This Row],[ID-SIG]],Tableau5[ID],0))</f>
        <v>Présence sous la barrière (Cellule)</v>
      </c>
      <c r="Q618" s="99"/>
      <c r="R618" s="103" t="str">
        <f>Tableau3[[#This Row],[Description]]</f>
        <v>Présence sous la barrière (Cellule)</v>
      </c>
      <c r="U618" s="87">
        <v>4</v>
      </c>
      <c r="V618" s="87">
        <v>2</v>
      </c>
      <c r="W618" s="87">
        <v>1</v>
      </c>
      <c r="X618" s="87">
        <v>0</v>
      </c>
      <c r="Y618" s="40"/>
      <c r="Z618" s="165" t="str">
        <f>INDEX(Tableau2[TS],MATCH(Tableau3[[#This Row],[ID-CARTEVOIE]],Tableau2[ID-CARTEVOIE],0))</f>
        <v>ET</v>
      </c>
      <c r="AA618" s="53" t="s">
        <v>213</v>
      </c>
      <c r="AB618" s="223" t="str">
        <f>IFERROR(INDEX(Tableau5[Reserve],MATCH(Tableau3[[#This Row],[ID-SIG]],Tableau5[ID],0))&amp;"","")</f>
        <v/>
      </c>
      <c r="AC618" s="21"/>
      <c r="AD618" s="108" t="str">
        <f>INDEX(Tableau7[Repere],MATCH(Tableau3[[#This Row],[ID-API]],Tableau7[ID-API],0))&amp;""</f>
        <v>A4</v>
      </c>
      <c r="AE618" s="108" t="str">
        <f>INDEX(Tableau1[Repere-Rack],MATCH(Tableau3[[#This Row],[ID-RACK]],Tableau1[ID-RACK],0))&amp;""</f>
        <v>R2</v>
      </c>
      <c r="AF618" s="108" t="str">
        <f>INDEX(Tableau1[Repere-Slot],MATCH(Tableau3[[#This Row],[ID-SLOT]],Tableau1[ID-SLOT],0))&amp;""</f>
        <v>S1</v>
      </c>
      <c r="AG618" s="108" t="str">
        <f>INDEX(Tableau2[Repere-Voie],MATCH(Tableau3[[#This Row],[ID-VOIE]],Tableau2[ID-Voie],0))&amp;""</f>
        <v>v0</v>
      </c>
      <c r="AH618" s="72" t="str">
        <f>Tableau3[[#This Row],[ID-API]]&amp; "." &amp;Tableau3[[#This Row],[ID-RACK]]&amp; "." &amp;Tableau3[[#This Row],[ID-SLOT]]</f>
        <v>4.2.1</v>
      </c>
      <c r="AI618" s="72" t="str">
        <f>INDEX(Tableau1[Ref-Carte],MATCH(Tableau3[[#This Row],[ID-RRS]],Tableau1[ID-RRS],0))</f>
        <v>SDI1602</v>
      </c>
      <c r="AJ618" s="72" t="str">
        <f t="array" ref="AJ618">IFERROR(INDEX(Tableau2[TS],MATCH(1,(Tableau2[Ref-Carte]=Tableau3[[#This Row],[Ref-Carte2]])*(Tableau2[ID-Voie]=Tableau3[[#This Row],[ID-VOIE]]),0)),"")</f>
        <v>ET</v>
      </c>
      <c r="AK618" s="72" t="str">
        <f>IFERROR(INDEX(Tableau2[TS],SUMPRODUCT((Tableau2[Ref-Carte]=Tableau3[[#This Row],[Ref-Carte2]])*(Tableau2[ID-Voie]=Tableau3[[#This Row],[ID-VOIE]])*ROW(Tableau2[TS]))-ROW(Tableau2[#Headers])),"")</f>
        <v>ET</v>
      </c>
      <c r="AL618" s="72" t="str">
        <f>Tableau3[[#This Row],[Ref-Carte2]]&amp;"/"&amp;Tableau3[[#This Row],[ID-VOIE]]</f>
        <v>SDI1602/0</v>
      </c>
      <c r="AM618" s="73" t="str">
        <f>INDEX(Tableau2[Borne],MATCH(Tableau3[[#This Row],[ID-CARTEVOIE]],Tableau2[ID-CARTEVOIE],0))&amp;""</f>
        <v>0B</v>
      </c>
      <c r="AN618" s="74" t="str">
        <f>Tableau3[[#This Row],[ID-API]]&amp;Tableau3[[#This Row],[ID-RACK]]&amp;Tableau3[[#This Row],[ID-SLOT]]&amp;Tableau3[[#This Row],[BORNE]]</f>
        <v>4210B</v>
      </c>
      <c r="AO618" s="1"/>
    </row>
    <row r="619" spans="1:41" ht="20.100000000000001" customHeight="1" thickTop="1" thickBot="1">
      <c r="A619" s="68"/>
      <c r="B619" s="69" t="str">
        <f>IFERROR(INDEX(Tableau4[Date],MATCH($A619,Tableau4[EVO],0)),"")</f>
        <v/>
      </c>
      <c r="C619" s="68" t="str">
        <f>IFERROR(INDEX(Tableau4[Designation],MATCH($A619,Tableau4[EVO],0)),"")</f>
        <v/>
      </c>
      <c r="D619" s="68"/>
      <c r="E619" s="70">
        <v>74</v>
      </c>
      <c r="F619" s="71">
        <v>66</v>
      </c>
      <c r="G619" s="101" t="str">
        <f>INDEX(Tableau8[Att1],MATCH(Tableau3[[#This Row],[ID-INS]],Tableau8[ID],0))&amp;""</f>
        <v>V3</v>
      </c>
      <c r="H619" s="101" t="str">
        <f>INDEX(Tableau8[Att2],MATCH(Tableau3[[#This Row],[ID-INS]],Tableau8[ID],0))&amp;""</f>
        <v>BH3</v>
      </c>
      <c r="I619" s="101" t="str">
        <f>INDEX(Tableau8[Att3],MATCH(Tableau3[[#This Row],[ID-INS]],Tableau8[ID],0))&amp;""</f>
        <v>Barrière BH3</v>
      </c>
      <c r="J619" s="101"/>
      <c r="K619" s="167" t="str">
        <f>INDEX(Tableau8[Nom du modele],MATCH(Tableau3[[#This Row],[ID-INS]],Tableau8[ID],0))&amp;""</f>
        <v>BarriereLisse</v>
      </c>
      <c r="L619" s="99" t="str">
        <f>INDEX(Tableau5[Att1],MATCH(Tableau3[[#This Row],[ID-SIG]],Tableau5[ID],0))&amp;""</f>
        <v>Ouv</v>
      </c>
      <c r="M619" s="99" t="str">
        <f>INDEX(Tableau5[Att2],MATCH(Tableau3[[#This Row],[ID-SIG]],Tableau5[ID],0))&amp;""</f>
        <v/>
      </c>
      <c r="N619" s="99" t="str">
        <f>INDEX(Tableau5[Att3],MATCH(Tableau3[[#This Row],[ID-SIG]],Tableau5[ID],0))&amp;""</f>
        <v/>
      </c>
      <c r="O619" s="99"/>
      <c r="P619" s="99" t="str">
        <f>INDEX(Tableau5[Description],MATCH(Tableau3[[#This Row],[ID-SIG]],Tableau5[ID],0))</f>
        <v>Position ouverte</v>
      </c>
      <c r="Q619" s="99"/>
      <c r="R619" s="103" t="str">
        <f>Tableau3[[#This Row],[Description]]</f>
        <v>Position ouverte</v>
      </c>
      <c r="U619" s="87">
        <v>4</v>
      </c>
      <c r="V619" s="87">
        <v>2</v>
      </c>
      <c r="W619" s="87">
        <v>1</v>
      </c>
      <c r="X619" s="87">
        <v>1</v>
      </c>
      <c r="Y619" s="40"/>
      <c r="Z619" s="165" t="str">
        <f>INDEX(Tableau2[TS],MATCH(Tableau3[[#This Row],[ID-CARTEVOIE]],Tableau2[ID-CARTEVOIE],0))</f>
        <v>ET</v>
      </c>
      <c r="AA619" s="53" t="s">
        <v>213</v>
      </c>
      <c r="AB619" s="223" t="str">
        <f>IFERROR(INDEX(Tableau5[Reserve],MATCH(Tableau3[[#This Row],[ID-SIG]],Tableau5[ID],0))&amp;"","")</f>
        <v/>
      </c>
      <c r="AC619" s="21"/>
      <c r="AD619" s="108" t="str">
        <f>INDEX(Tableau7[Repere],MATCH(Tableau3[[#This Row],[ID-API]],Tableau7[ID-API],0))&amp;""</f>
        <v>A4</v>
      </c>
      <c r="AE619" s="108" t="str">
        <f>INDEX(Tableau1[Repere-Rack],MATCH(Tableau3[[#This Row],[ID-RACK]],Tableau1[ID-RACK],0))&amp;""</f>
        <v>R2</v>
      </c>
      <c r="AF619" s="108" t="str">
        <f>INDEX(Tableau1[Repere-Slot],MATCH(Tableau3[[#This Row],[ID-SLOT]],Tableau1[ID-SLOT],0))&amp;""</f>
        <v>S1</v>
      </c>
      <c r="AG619" s="108" t="str">
        <f>INDEX(Tableau2[Repere-Voie],MATCH(Tableau3[[#This Row],[ID-VOIE]],Tableau2[ID-Voie],0))&amp;""</f>
        <v>v1</v>
      </c>
      <c r="AH619" s="72" t="str">
        <f>Tableau3[[#This Row],[ID-API]]&amp; "." &amp;Tableau3[[#This Row],[ID-RACK]]&amp; "." &amp;Tableau3[[#This Row],[ID-SLOT]]</f>
        <v>4.2.1</v>
      </c>
      <c r="AI619" s="72" t="str">
        <f>INDEX(Tableau1[Ref-Carte],MATCH(Tableau3[[#This Row],[ID-RRS]],Tableau1[ID-RRS],0))</f>
        <v>SDI1602</v>
      </c>
      <c r="AJ619" s="72" t="str">
        <f t="array" ref="AJ619">IFERROR(INDEX(Tableau2[TS],MATCH(1,(Tableau2[Ref-Carte]=Tableau3[[#This Row],[Ref-Carte2]])*(Tableau2[ID-Voie]=Tableau3[[#This Row],[ID-VOIE]]),0)),"")</f>
        <v>ET</v>
      </c>
      <c r="AK619" s="72" t="str">
        <f>IFERROR(INDEX(Tableau2[TS],SUMPRODUCT((Tableau2[Ref-Carte]=Tableau3[[#This Row],[Ref-Carte2]])*(Tableau2[ID-Voie]=Tableau3[[#This Row],[ID-VOIE]])*ROW(Tableau2[TS]))-ROW(Tableau2[#Headers])),"")</f>
        <v>ET</v>
      </c>
      <c r="AL619" s="72" t="str">
        <f>Tableau3[[#This Row],[Ref-Carte2]]&amp;"/"&amp;Tableau3[[#This Row],[ID-VOIE]]</f>
        <v>SDI1602/1</v>
      </c>
      <c r="AM619" s="73" t="str">
        <f>INDEX(Tableau2[Borne],MATCH(Tableau3[[#This Row],[ID-CARTEVOIE]],Tableau2[ID-CARTEVOIE],0))&amp;""</f>
        <v>0A</v>
      </c>
      <c r="AN619" s="74" t="str">
        <f>Tableau3[[#This Row],[ID-API]]&amp;Tableau3[[#This Row],[ID-RACK]]&amp;Tableau3[[#This Row],[ID-SLOT]]&amp;Tableau3[[#This Row],[BORNE]]</f>
        <v>4210A</v>
      </c>
      <c r="AO619" s="1"/>
    </row>
    <row r="620" spans="1:41" ht="20.100000000000001" customHeight="1" thickTop="1" thickBot="1">
      <c r="A620" s="68"/>
      <c r="B620" s="69" t="str">
        <f>IFERROR(INDEX(Tableau4[Date],MATCH($A620,Tableau4[EVO],0)),"")</f>
        <v/>
      </c>
      <c r="C620" s="68" t="str">
        <f>IFERROR(INDEX(Tableau4[Designation],MATCH($A620,Tableau4[EVO],0)),"")</f>
        <v/>
      </c>
      <c r="D620" s="68"/>
      <c r="E620" s="70">
        <v>74</v>
      </c>
      <c r="F620" s="71">
        <v>67</v>
      </c>
      <c r="G620" s="101" t="str">
        <f>INDEX(Tableau8[Att1],MATCH(Tableau3[[#This Row],[ID-INS]],Tableau8[ID],0))&amp;""</f>
        <v>V3</v>
      </c>
      <c r="H620" s="101" t="str">
        <f>INDEX(Tableau8[Att2],MATCH(Tableau3[[#This Row],[ID-INS]],Tableau8[ID],0))&amp;""</f>
        <v>BH3</v>
      </c>
      <c r="I620" s="101" t="str">
        <f>INDEX(Tableau8[Att3],MATCH(Tableau3[[#This Row],[ID-INS]],Tableau8[ID],0))&amp;""</f>
        <v>Barrière BH3</v>
      </c>
      <c r="J620" s="101"/>
      <c r="K620" s="167" t="str">
        <f>INDEX(Tableau8[Nom du modele],MATCH(Tableau3[[#This Row],[ID-INS]],Tableau8[ID],0))&amp;""</f>
        <v>BarriereLisse</v>
      </c>
      <c r="L620" s="99" t="str">
        <f>INDEX(Tableau5[Att1],MATCH(Tableau3[[#This Row],[ID-SIG]],Tableau5[ID],0))&amp;""</f>
        <v>Fer</v>
      </c>
      <c r="M620" s="99" t="str">
        <f>INDEX(Tableau5[Att2],MATCH(Tableau3[[#This Row],[ID-SIG]],Tableau5[ID],0))&amp;""</f>
        <v/>
      </c>
      <c r="N620" s="99" t="str">
        <f>INDEX(Tableau5[Att3],MATCH(Tableau3[[#This Row],[ID-SIG]],Tableau5[ID],0))&amp;""</f>
        <v/>
      </c>
      <c r="O620" s="99"/>
      <c r="P620" s="99" t="str">
        <f>INDEX(Tableau5[Description],MATCH(Tableau3[[#This Row],[ID-SIG]],Tableau5[ID],0))</f>
        <v>Position fermée</v>
      </c>
      <c r="Q620" s="99"/>
      <c r="R620" s="103" t="str">
        <f>Tableau3[[#This Row],[Description]]</f>
        <v>Position fermée</v>
      </c>
      <c r="U620" s="87">
        <v>4</v>
      </c>
      <c r="V620" s="87">
        <v>2</v>
      </c>
      <c r="W620" s="87">
        <v>1</v>
      </c>
      <c r="X620" s="87">
        <v>2</v>
      </c>
      <c r="Y620" s="40"/>
      <c r="Z620" s="165" t="str">
        <f>INDEX(Tableau2[TS],MATCH(Tableau3[[#This Row],[ID-CARTEVOIE]],Tableau2[ID-CARTEVOIE],0))</f>
        <v>ET</v>
      </c>
      <c r="AA620" s="53" t="s">
        <v>213</v>
      </c>
      <c r="AB620" s="223" t="str">
        <f>IFERROR(INDEX(Tableau5[Reserve],MATCH(Tableau3[[#This Row],[ID-SIG]],Tableau5[ID],0))&amp;"","")</f>
        <v/>
      </c>
      <c r="AC620" s="21"/>
      <c r="AD620" s="108" t="str">
        <f>INDEX(Tableau7[Repere],MATCH(Tableau3[[#This Row],[ID-API]],Tableau7[ID-API],0))&amp;""</f>
        <v>A4</v>
      </c>
      <c r="AE620" s="108" t="str">
        <f>INDEX(Tableau1[Repere-Rack],MATCH(Tableau3[[#This Row],[ID-RACK]],Tableau1[ID-RACK],0))&amp;""</f>
        <v>R2</v>
      </c>
      <c r="AF620" s="108" t="str">
        <f>INDEX(Tableau1[Repere-Slot],MATCH(Tableau3[[#This Row],[ID-SLOT]],Tableau1[ID-SLOT],0))&amp;""</f>
        <v>S1</v>
      </c>
      <c r="AG620" s="108" t="str">
        <f>INDEX(Tableau2[Repere-Voie],MATCH(Tableau3[[#This Row],[ID-VOIE]],Tableau2[ID-Voie],0))&amp;""</f>
        <v>v2</v>
      </c>
      <c r="AH620" s="72" t="str">
        <f>Tableau3[[#This Row],[ID-API]]&amp; "." &amp;Tableau3[[#This Row],[ID-RACK]]&amp; "." &amp;Tableau3[[#This Row],[ID-SLOT]]</f>
        <v>4.2.1</v>
      </c>
      <c r="AI620" s="72" t="str">
        <f>INDEX(Tableau1[Ref-Carte],MATCH(Tableau3[[#This Row],[ID-RRS]],Tableau1[ID-RRS],0))</f>
        <v>SDI1602</v>
      </c>
      <c r="AJ620" s="72" t="str">
        <f t="array" ref="AJ620">IFERROR(INDEX(Tableau2[TS],MATCH(1,(Tableau2[Ref-Carte]=Tableau3[[#This Row],[Ref-Carte2]])*(Tableau2[ID-Voie]=Tableau3[[#This Row],[ID-VOIE]]),0)),"")</f>
        <v>ET</v>
      </c>
      <c r="AK620" s="72" t="str">
        <f>IFERROR(INDEX(Tableau2[TS],SUMPRODUCT((Tableau2[Ref-Carte]=Tableau3[[#This Row],[Ref-Carte2]])*(Tableau2[ID-Voie]=Tableau3[[#This Row],[ID-VOIE]])*ROW(Tableau2[TS]))-ROW(Tableau2[#Headers])),"")</f>
        <v>ET</v>
      </c>
      <c r="AL620" s="72" t="str">
        <f>Tableau3[[#This Row],[Ref-Carte2]]&amp;"/"&amp;Tableau3[[#This Row],[ID-VOIE]]</f>
        <v>SDI1602/2</v>
      </c>
      <c r="AM620" s="73" t="str">
        <f>INDEX(Tableau2[Borne],MATCH(Tableau3[[#This Row],[ID-CARTEVOIE]],Tableau2[ID-CARTEVOIE],0))&amp;""</f>
        <v>1B</v>
      </c>
      <c r="AN620" s="74" t="str">
        <f>Tableau3[[#This Row],[ID-API]]&amp;Tableau3[[#This Row],[ID-RACK]]&amp;Tableau3[[#This Row],[ID-SLOT]]&amp;Tableau3[[#This Row],[BORNE]]</f>
        <v>4211B</v>
      </c>
      <c r="AO620" s="1"/>
    </row>
    <row r="621" spans="1:41" ht="20.100000000000001" customHeight="1" thickTop="1" thickBot="1">
      <c r="A621" s="68"/>
      <c r="B621" s="69" t="str">
        <f>IFERROR(INDEX(Tableau4[Date],MATCH($A621,Tableau4[EVO],0)),"")</f>
        <v/>
      </c>
      <c r="C621" s="68" t="str">
        <f>IFERROR(INDEX(Tableau4[Designation],MATCH($A621,Tableau4[EVO],0)),"")</f>
        <v/>
      </c>
      <c r="D621" s="68"/>
      <c r="E621" s="70">
        <v>74</v>
      </c>
      <c r="F621" s="71">
        <v>68</v>
      </c>
      <c r="G621" s="101" t="str">
        <f>INDEX(Tableau8[Att1],MATCH(Tableau3[[#This Row],[ID-INS]],Tableau8[ID],0))&amp;""</f>
        <v>V3</v>
      </c>
      <c r="H621" s="101" t="str">
        <f>INDEX(Tableau8[Att2],MATCH(Tableau3[[#This Row],[ID-INS]],Tableau8[ID],0))&amp;""</f>
        <v>BH3</v>
      </c>
      <c r="I621" s="101" t="str">
        <f>INDEX(Tableau8[Att3],MATCH(Tableau3[[#This Row],[ID-INS]],Tableau8[ID],0))&amp;""</f>
        <v>Barrière BH3</v>
      </c>
      <c r="J621" s="101"/>
      <c r="K621" s="167" t="str">
        <f>INDEX(Tableau8[Nom du modele],MATCH(Tableau3[[#This Row],[ID-INS]],Tableau8[ID],0))&amp;""</f>
        <v>BarriereLisse</v>
      </c>
      <c r="L621" s="99" t="str">
        <f>INDEX(Tableau5[Att1],MATCH(Tableau3[[#This Row],[ID-SIG]],Tableau5[ID],0))&amp;""</f>
        <v>SynthDef</v>
      </c>
      <c r="M621" s="99" t="str">
        <f>INDEX(Tableau5[Att2],MATCH(Tableau3[[#This Row],[ID-SIG]],Tableau5[ID],0))&amp;""</f>
        <v/>
      </c>
      <c r="N621" s="99" t="str">
        <f>INDEX(Tableau5[Att3],MATCH(Tableau3[[#This Row],[ID-SIG]],Tableau5[ID],0))&amp;""</f>
        <v/>
      </c>
      <c r="O621" s="99"/>
      <c r="P621" s="99" t="str">
        <f>INDEX(Tableau5[Description],MATCH(Tableau3[[#This Row],[ID-SIG]],Tableau5[ID],0))</f>
        <v>Synthèse défaut</v>
      </c>
      <c r="Q621" s="99"/>
      <c r="R621" s="103" t="str">
        <f>Tableau3[[#This Row],[Description]]</f>
        <v>Synthèse défaut</v>
      </c>
      <c r="U621" s="87">
        <v>4</v>
      </c>
      <c r="V621" s="87">
        <v>2</v>
      </c>
      <c r="W621" s="87">
        <v>1</v>
      </c>
      <c r="X621" s="87">
        <v>3</v>
      </c>
      <c r="Y621" s="40"/>
      <c r="Z621" s="165" t="str">
        <f>INDEX(Tableau2[TS],MATCH(Tableau3[[#This Row],[ID-CARTEVOIE]],Tableau2[ID-CARTEVOIE],0))</f>
        <v>ET</v>
      </c>
      <c r="AA621" s="53" t="s">
        <v>213</v>
      </c>
      <c r="AB621" s="223" t="str">
        <f>IFERROR(INDEX(Tableau5[Reserve],MATCH(Tableau3[[#This Row],[ID-SIG]],Tableau5[ID],0))&amp;"","")</f>
        <v/>
      </c>
      <c r="AC621" s="21"/>
      <c r="AD621" s="108" t="str">
        <f>INDEX(Tableau7[Repere],MATCH(Tableau3[[#This Row],[ID-API]],Tableau7[ID-API],0))&amp;""</f>
        <v>A4</v>
      </c>
      <c r="AE621" s="108" t="str">
        <f>INDEX(Tableau1[Repere-Rack],MATCH(Tableau3[[#This Row],[ID-RACK]],Tableau1[ID-RACK],0))&amp;""</f>
        <v>R2</v>
      </c>
      <c r="AF621" s="108" t="str">
        <f>INDEX(Tableau1[Repere-Slot],MATCH(Tableau3[[#This Row],[ID-SLOT]],Tableau1[ID-SLOT],0))&amp;""</f>
        <v>S1</v>
      </c>
      <c r="AG621" s="108" t="str">
        <f>INDEX(Tableau2[Repere-Voie],MATCH(Tableau3[[#This Row],[ID-VOIE]],Tableau2[ID-Voie],0))&amp;""</f>
        <v>v3</v>
      </c>
      <c r="AH621" s="72" t="str">
        <f>Tableau3[[#This Row],[ID-API]]&amp; "." &amp;Tableau3[[#This Row],[ID-RACK]]&amp; "." &amp;Tableau3[[#This Row],[ID-SLOT]]</f>
        <v>4.2.1</v>
      </c>
      <c r="AI621" s="72" t="str">
        <f>INDEX(Tableau1[Ref-Carte],MATCH(Tableau3[[#This Row],[ID-RRS]],Tableau1[ID-RRS],0))</f>
        <v>SDI1602</v>
      </c>
      <c r="AJ621" s="72" t="str">
        <f t="array" ref="AJ621">IFERROR(INDEX(Tableau2[TS],MATCH(1,(Tableau2[Ref-Carte]=Tableau3[[#This Row],[Ref-Carte2]])*(Tableau2[ID-Voie]=Tableau3[[#This Row],[ID-VOIE]]),0)),"")</f>
        <v>ET</v>
      </c>
      <c r="AK621" s="72" t="str">
        <f>IFERROR(INDEX(Tableau2[TS],SUMPRODUCT((Tableau2[Ref-Carte]=Tableau3[[#This Row],[Ref-Carte2]])*(Tableau2[ID-Voie]=Tableau3[[#This Row],[ID-VOIE]])*ROW(Tableau2[TS]))-ROW(Tableau2[#Headers])),"")</f>
        <v>ET</v>
      </c>
      <c r="AL621" s="72" t="str">
        <f>Tableau3[[#This Row],[Ref-Carte2]]&amp;"/"&amp;Tableau3[[#This Row],[ID-VOIE]]</f>
        <v>SDI1602/3</v>
      </c>
      <c r="AM621" s="73" t="str">
        <f>INDEX(Tableau2[Borne],MATCH(Tableau3[[#This Row],[ID-CARTEVOIE]],Tableau2[ID-CARTEVOIE],0))&amp;""</f>
        <v>1A</v>
      </c>
      <c r="AN621" s="74" t="str">
        <f>Tableau3[[#This Row],[ID-API]]&amp;Tableau3[[#This Row],[ID-RACK]]&amp;Tableau3[[#This Row],[ID-SLOT]]&amp;Tableau3[[#This Row],[BORNE]]</f>
        <v>4211A</v>
      </c>
      <c r="AO621" s="1"/>
    </row>
    <row r="622" spans="1:41" ht="20.100000000000001" customHeight="1" thickTop="1" thickBot="1">
      <c r="A622" s="68"/>
      <c r="B622" s="69" t="str">
        <f>IFERROR(INDEX(Tableau4[Date],MATCH($A622,Tableau4[EVO],0)),"")</f>
        <v/>
      </c>
      <c r="C622" s="68" t="str">
        <f>IFERROR(INDEX(Tableau4[Designation],MATCH($A622,Tableau4[EVO],0)),"")</f>
        <v/>
      </c>
      <c r="D622" s="68"/>
      <c r="E622" s="70">
        <v>74</v>
      </c>
      <c r="F622" s="71">
        <v>69</v>
      </c>
      <c r="G622" s="101" t="str">
        <f>INDEX(Tableau8[Att1],MATCH(Tableau3[[#This Row],[ID-INS]],Tableau8[ID],0))&amp;""</f>
        <v>V3</v>
      </c>
      <c r="H622" s="101" t="str">
        <f>INDEX(Tableau8[Att2],MATCH(Tableau3[[#This Row],[ID-INS]],Tableau8[ID],0))&amp;""</f>
        <v>BH3</v>
      </c>
      <c r="I622" s="101" t="str">
        <f>INDEX(Tableau8[Att3],MATCH(Tableau3[[#This Row],[ID-INS]],Tableau8[ID],0))&amp;""</f>
        <v>Barrière BH3</v>
      </c>
      <c r="J622" s="101"/>
      <c r="K622" s="167" t="str">
        <f>INDEX(Tableau8[Nom du modele],MATCH(Tableau3[[#This Row],[ID-INS]],Tableau8[ID],0))&amp;""</f>
        <v>BarriereLisse</v>
      </c>
      <c r="L622" s="99" t="str">
        <f>INDEX(Tableau5[Att1],MATCH(Tableau3[[#This Row],[ID-SIG]],Tableau5[ID],0))&amp;""</f>
        <v>Effraction</v>
      </c>
      <c r="M622" s="99" t="str">
        <f>INDEX(Tableau5[Att2],MATCH(Tableau3[[#This Row],[ID-SIG]],Tableau5[ID],0))&amp;""</f>
        <v/>
      </c>
      <c r="N622" s="99" t="str">
        <f>INDEX(Tableau5[Att3],MATCH(Tableau3[[#This Row],[ID-SIG]],Tableau5[ID],0))&amp;""</f>
        <v/>
      </c>
      <c r="O622" s="99"/>
      <c r="P622" s="99" t="str">
        <f>INDEX(Tableau5[Description],MATCH(Tableau3[[#This Row],[ID-SIG]],Tableau5[ID],0))</f>
        <v>Effraction</v>
      </c>
      <c r="Q622" s="99"/>
      <c r="R622" s="103" t="str">
        <f>Tableau3[[#This Row],[Description]]</f>
        <v>Effraction</v>
      </c>
      <c r="U622" s="87">
        <v>4</v>
      </c>
      <c r="V622" s="87">
        <v>2</v>
      </c>
      <c r="W622" s="87">
        <v>1</v>
      </c>
      <c r="X622" s="87">
        <v>4</v>
      </c>
      <c r="Y622" s="40"/>
      <c r="Z622" s="165" t="str">
        <f>INDEX(Tableau2[TS],MATCH(Tableau3[[#This Row],[ID-CARTEVOIE]],Tableau2[ID-CARTEVOIE],0))</f>
        <v>ET</v>
      </c>
      <c r="AA622" s="53" t="s">
        <v>213</v>
      </c>
      <c r="AB622" s="223" t="str">
        <f>IFERROR(INDEX(Tableau5[Reserve],MATCH(Tableau3[[#This Row],[ID-SIG]],Tableau5[ID],0))&amp;"","")</f>
        <v/>
      </c>
      <c r="AC622" s="21"/>
      <c r="AD622" s="108" t="str">
        <f>INDEX(Tableau7[Repere],MATCH(Tableau3[[#This Row],[ID-API]],Tableau7[ID-API],0))&amp;""</f>
        <v>A4</v>
      </c>
      <c r="AE622" s="108" t="str">
        <f>INDEX(Tableau1[Repere-Rack],MATCH(Tableau3[[#This Row],[ID-RACK]],Tableau1[ID-RACK],0))&amp;""</f>
        <v>R2</v>
      </c>
      <c r="AF622" s="108" t="str">
        <f>INDEX(Tableau1[Repere-Slot],MATCH(Tableau3[[#This Row],[ID-SLOT]],Tableau1[ID-SLOT],0))&amp;""</f>
        <v>S1</v>
      </c>
      <c r="AG622" s="108" t="str">
        <f>INDEX(Tableau2[Repere-Voie],MATCH(Tableau3[[#This Row],[ID-VOIE]],Tableau2[ID-Voie],0))&amp;""</f>
        <v>v4</v>
      </c>
      <c r="AH622" s="72" t="str">
        <f>Tableau3[[#This Row],[ID-API]]&amp; "." &amp;Tableau3[[#This Row],[ID-RACK]]&amp; "." &amp;Tableau3[[#This Row],[ID-SLOT]]</f>
        <v>4.2.1</v>
      </c>
      <c r="AI622" s="72" t="str">
        <f>INDEX(Tableau1[Ref-Carte],MATCH(Tableau3[[#This Row],[ID-RRS]],Tableau1[ID-RRS],0))</f>
        <v>SDI1602</v>
      </c>
      <c r="AJ622" s="72" t="str">
        <f t="array" ref="AJ622">IFERROR(INDEX(Tableau2[TS],MATCH(1,(Tableau2[Ref-Carte]=Tableau3[[#This Row],[Ref-Carte2]])*(Tableau2[ID-Voie]=Tableau3[[#This Row],[ID-VOIE]]),0)),"")</f>
        <v>ET</v>
      </c>
      <c r="AK622" s="72" t="str">
        <f>IFERROR(INDEX(Tableau2[TS],SUMPRODUCT((Tableau2[Ref-Carte]=Tableau3[[#This Row],[Ref-Carte2]])*(Tableau2[ID-Voie]=Tableau3[[#This Row],[ID-VOIE]])*ROW(Tableau2[TS]))-ROW(Tableau2[#Headers])),"")</f>
        <v>ET</v>
      </c>
      <c r="AL622" s="72" t="str">
        <f>Tableau3[[#This Row],[Ref-Carte2]]&amp;"/"&amp;Tableau3[[#This Row],[ID-VOIE]]</f>
        <v>SDI1602/4</v>
      </c>
      <c r="AM622" s="73" t="str">
        <f>INDEX(Tableau2[Borne],MATCH(Tableau3[[#This Row],[ID-CARTEVOIE]],Tableau2[ID-CARTEVOIE],0))&amp;""</f>
        <v>2B</v>
      </c>
      <c r="AN622" s="74" t="str">
        <f>Tableau3[[#This Row],[ID-API]]&amp;Tableau3[[#This Row],[ID-RACK]]&amp;Tableau3[[#This Row],[ID-SLOT]]&amp;Tableau3[[#This Row],[BORNE]]</f>
        <v>4212B</v>
      </c>
      <c r="AO622" s="1"/>
    </row>
    <row r="623" spans="1:41" ht="20.100000000000001" customHeight="1" thickTop="1" thickBot="1">
      <c r="A623" s="68"/>
      <c r="B623" s="69" t="str">
        <f>IFERROR(INDEX(Tableau4[Date],MATCH($A623,Tableau4[EVO],0)),"")</f>
        <v/>
      </c>
      <c r="C623" s="68" t="str">
        <f>IFERROR(INDEX(Tableau4[Designation],MATCH($A623,Tableau4[EVO],0)),"")</f>
        <v/>
      </c>
      <c r="D623" s="68"/>
      <c r="E623" s="70">
        <v>74</v>
      </c>
      <c r="F623" s="71">
        <v>70</v>
      </c>
      <c r="G623" s="101" t="str">
        <f>INDEX(Tableau8[Att1],MATCH(Tableau3[[#This Row],[ID-INS]],Tableau8[ID],0))&amp;""</f>
        <v>V3</v>
      </c>
      <c r="H623" s="101" t="str">
        <f>INDEX(Tableau8[Att2],MATCH(Tableau3[[#This Row],[ID-INS]],Tableau8[ID],0))&amp;""</f>
        <v>BH3</v>
      </c>
      <c r="I623" s="101" t="str">
        <f>INDEX(Tableau8[Att3],MATCH(Tableau3[[#This Row],[ID-INS]],Tableau8[ID],0))&amp;""</f>
        <v>Barrière BH3</v>
      </c>
      <c r="J623" s="101"/>
      <c r="K623" s="167" t="str">
        <f>INDEX(Tableau8[Nom du modele],MATCH(Tableau3[[#This Row],[ID-INS]],Tableau8[ID],0))&amp;""</f>
        <v>BarriereLisse</v>
      </c>
      <c r="L623" s="99" t="str">
        <f>INDEX(Tableau5[Att1],MATCH(Tableau3[[#This Row],[ID-SIG]],Tableau5[ID],0))&amp;""</f>
        <v>Pres</v>
      </c>
      <c r="M623" s="99" t="str">
        <f>INDEX(Tableau5[Att2],MATCH(Tableau3[[#This Row],[ID-SIG]],Tableau5[ID],0))&amp;""</f>
        <v/>
      </c>
      <c r="N623" s="99" t="str">
        <f>INDEX(Tableau5[Att3],MATCH(Tableau3[[#This Row],[ID-SIG]],Tableau5[ID],0))&amp;""</f>
        <v/>
      </c>
      <c r="O623" s="99"/>
      <c r="P623" s="99" t="str">
        <f>INDEX(Tableau5[Description],MATCH(Tableau3[[#This Row],[ID-SIG]],Tableau5[ID],0))</f>
        <v>Présence sous la barrière (Cellule)</v>
      </c>
      <c r="Q623" s="99"/>
      <c r="R623" s="103" t="str">
        <f>Tableau3[[#This Row],[Description]]</f>
        <v>Présence sous la barrière (Cellule)</v>
      </c>
      <c r="U623" s="87">
        <v>4</v>
      </c>
      <c r="V623" s="87">
        <v>2</v>
      </c>
      <c r="W623" s="87">
        <v>1</v>
      </c>
      <c r="X623" s="87">
        <v>5</v>
      </c>
      <c r="Y623" s="40"/>
      <c r="Z623" s="165" t="str">
        <f>INDEX(Tableau2[TS],MATCH(Tableau3[[#This Row],[ID-CARTEVOIE]],Tableau2[ID-CARTEVOIE],0))</f>
        <v>ET</v>
      </c>
      <c r="AA623" s="53" t="s">
        <v>213</v>
      </c>
      <c r="AB623" s="223" t="str">
        <f>IFERROR(INDEX(Tableau5[Reserve],MATCH(Tableau3[[#This Row],[ID-SIG]],Tableau5[ID],0))&amp;"","")</f>
        <v/>
      </c>
      <c r="AC623" s="21"/>
      <c r="AD623" s="108" t="str">
        <f>INDEX(Tableau7[Repere],MATCH(Tableau3[[#This Row],[ID-API]],Tableau7[ID-API],0))&amp;""</f>
        <v>A4</v>
      </c>
      <c r="AE623" s="108" t="str">
        <f>INDEX(Tableau1[Repere-Rack],MATCH(Tableau3[[#This Row],[ID-RACK]],Tableau1[ID-RACK],0))&amp;""</f>
        <v>R2</v>
      </c>
      <c r="AF623" s="108" t="str">
        <f>INDEX(Tableau1[Repere-Slot],MATCH(Tableau3[[#This Row],[ID-SLOT]],Tableau1[ID-SLOT],0))&amp;""</f>
        <v>S1</v>
      </c>
      <c r="AG623" s="108" t="str">
        <f>INDEX(Tableau2[Repere-Voie],MATCH(Tableau3[[#This Row],[ID-VOIE]],Tableau2[ID-Voie],0))&amp;""</f>
        <v>v5</v>
      </c>
      <c r="AH623" s="72" t="str">
        <f>Tableau3[[#This Row],[ID-API]]&amp; "." &amp;Tableau3[[#This Row],[ID-RACK]]&amp; "." &amp;Tableau3[[#This Row],[ID-SLOT]]</f>
        <v>4.2.1</v>
      </c>
      <c r="AI623" s="72" t="str">
        <f>INDEX(Tableau1[Ref-Carte],MATCH(Tableau3[[#This Row],[ID-RRS]],Tableau1[ID-RRS],0))</f>
        <v>SDI1602</v>
      </c>
      <c r="AJ623" s="72" t="str">
        <f t="array" ref="AJ623">IFERROR(INDEX(Tableau2[TS],MATCH(1,(Tableau2[Ref-Carte]=Tableau3[[#This Row],[Ref-Carte2]])*(Tableau2[ID-Voie]=Tableau3[[#This Row],[ID-VOIE]]),0)),"")</f>
        <v>ET</v>
      </c>
      <c r="AK623" s="72" t="str">
        <f>IFERROR(INDEX(Tableau2[TS],SUMPRODUCT((Tableau2[Ref-Carte]=Tableau3[[#This Row],[Ref-Carte2]])*(Tableau2[ID-Voie]=Tableau3[[#This Row],[ID-VOIE]])*ROW(Tableau2[TS]))-ROW(Tableau2[#Headers])),"")</f>
        <v>ET</v>
      </c>
      <c r="AL623" s="72" t="str">
        <f>Tableau3[[#This Row],[Ref-Carte2]]&amp;"/"&amp;Tableau3[[#This Row],[ID-VOIE]]</f>
        <v>SDI1602/5</v>
      </c>
      <c r="AM623" s="73" t="str">
        <f>INDEX(Tableau2[Borne],MATCH(Tableau3[[#This Row],[ID-CARTEVOIE]],Tableau2[ID-CARTEVOIE],0))&amp;""</f>
        <v>2A</v>
      </c>
      <c r="AN623" s="74" t="str">
        <f>Tableau3[[#This Row],[ID-API]]&amp;Tableau3[[#This Row],[ID-RACK]]&amp;Tableau3[[#This Row],[ID-SLOT]]&amp;Tableau3[[#This Row],[BORNE]]</f>
        <v>4212A</v>
      </c>
      <c r="AO623" s="1"/>
    </row>
    <row r="624" spans="1:41" ht="20.100000000000001" customHeight="1" thickTop="1" thickBot="1">
      <c r="A624" s="68"/>
      <c r="B624" s="69" t="str">
        <f>IFERROR(INDEX(Tableau4[Date],MATCH($A624,Tableau4[EVO],0)),"")</f>
        <v/>
      </c>
      <c r="C624" s="68" t="str">
        <f>IFERROR(INDEX(Tableau4[Designation],MATCH($A624,Tableau4[EVO],0)),"")</f>
        <v/>
      </c>
      <c r="D624" s="68"/>
      <c r="E624" s="70">
        <v>79</v>
      </c>
      <c r="F624" s="71">
        <v>66</v>
      </c>
      <c r="G624" s="101" t="str">
        <f>INDEX(Tableau8[Att1],MATCH(Tableau3[[#This Row],[ID-INS]],Tableau8[ID],0))&amp;""</f>
        <v>V3</v>
      </c>
      <c r="H624" s="101" t="str">
        <f>INDEX(Tableau8[Att2],MATCH(Tableau3[[#This Row],[ID-INS]],Tableau8[ID],0))&amp;""</f>
        <v>BR3</v>
      </c>
      <c r="I624" s="101" t="str">
        <f>INDEX(Tableau8[Att3],MATCH(Tableau3[[#This Row],[ID-INS]],Tableau8[ID],0))&amp;""</f>
        <v>Barrière BR3</v>
      </c>
      <c r="J624" s="101"/>
      <c r="K624" s="167" t="str">
        <f>INDEX(Tableau8[Nom du modele],MATCH(Tableau3[[#This Row],[ID-INS]],Tableau8[ID],0))&amp;""</f>
        <v>BarriereLisse</v>
      </c>
      <c r="L624" s="99" t="str">
        <f>INDEX(Tableau5[Att1],MATCH(Tableau3[[#This Row],[ID-SIG]],Tableau5[ID],0))&amp;""</f>
        <v>Ouv</v>
      </c>
      <c r="M624" s="99" t="str">
        <f>INDEX(Tableau5[Att2],MATCH(Tableau3[[#This Row],[ID-SIG]],Tableau5[ID],0))&amp;""</f>
        <v/>
      </c>
      <c r="N624" s="99" t="str">
        <f>INDEX(Tableau5[Att3],MATCH(Tableau3[[#This Row],[ID-SIG]],Tableau5[ID],0))&amp;""</f>
        <v/>
      </c>
      <c r="O624" s="99"/>
      <c r="P624" s="99" t="str">
        <f>INDEX(Tableau5[Description],MATCH(Tableau3[[#This Row],[ID-SIG]],Tableau5[ID],0))</f>
        <v>Position ouverte</v>
      </c>
      <c r="Q624" s="99"/>
      <c r="R624" s="103" t="str">
        <f>Tableau3[[#This Row],[Description]]</f>
        <v>Position ouverte</v>
      </c>
      <c r="U624" s="87">
        <v>4</v>
      </c>
      <c r="V624" s="87">
        <v>2</v>
      </c>
      <c r="W624" s="87">
        <v>1</v>
      </c>
      <c r="X624" s="87">
        <v>6</v>
      </c>
      <c r="Y624" s="40"/>
      <c r="Z624" s="165" t="str">
        <f>INDEX(Tableau2[TS],MATCH(Tableau3[[#This Row],[ID-CARTEVOIE]],Tableau2[ID-CARTEVOIE],0))</f>
        <v>ET</v>
      </c>
      <c r="AA624" s="53" t="s">
        <v>213</v>
      </c>
      <c r="AB624" s="223" t="str">
        <f>IFERROR(INDEX(Tableau5[Reserve],MATCH(Tableau3[[#This Row],[ID-SIG]],Tableau5[ID],0))&amp;"","")</f>
        <v/>
      </c>
      <c r="AC624" s="21"/>
      <c r="AD624" s="108" t="str">
        <f>INDEX(Tableau7[Repere],MATCH(Tableau3[[#This Row],[ID-API]],Tableau7[ID-API],0))&amp;""</f>
        <v>A4</v>
      </c>
      <c r="AE624" s="108" t="str">
        <f>INDEX(Tableau1[Repere-Rack],MATCH(Tableau3[[#This Row],[ID-RACK]],Tableau1[ID-RACK],0))&amp;""</f>
        <v>R2</v>
      </c>
      <c r="AF624" s="108" t="str">
        <f>INDEX(Tableau1[Repere-Slot],MATCH(Tableau3[[#This Row],[ID-SLOT]],Tableau1[ID-SLOT],0))&amp;""</f>
        <v>S1</v>
      </c>
      <c r="AG624" s="108" t="str">
        <f>INDEX(Tableau2[Repere-Voie],MATCH(Tableau3[[#This Row],[ID-VOIE]],Tableau2[ID-Voie],0))&amp;""</f>
        <v>v6</v>
      </c>
      <c r="AH624" s="72" t="str">
        <f>Tableau3[[#This Row],[ID-API]]&amp; "." &amp;Tableau3[[#This Row],[ID-RACK]]&amp; "." &amp;Tableau3[[#This Row],[ID-SLOT]]</f>
        <v>4.2.1</v>
      </c>
      <c r="AI624" s="72" t="str">
        <f>INDEX(Tableau1[Ref-Carte],MATCH(Tableau3[[#This Row],[ID-RRS]],Tableau1[ID-RRS],0))</f>
        <v>SDI1602</v>
      </c>
      <c r="AJ624" s="72" t="str">
        <f t="array" ref="AJ624">IFERROR(INDEX(Tableau2[TS],MATCH(1,(Tableau2[Ref-Carte]=Tableau3[[#This Row],[Ref-Carte2]])*(Tableau2[ID-Voie]=Tableau3[[#This Row],[ID-VOIE]]),0)),"")</f>
        <v>ET</v>
      </c>
      <c r="AK624" s="72" t="str">
        <f>IFERROR(INDEX(Tableau2[TS],SUMPRODUCT((Tableau2[Ref-Carte]=Tableau3[[#This Row],[Ref-Carte2]])*(Tableau2[ID-Voie]=Tableau3[[#This Row],[ID-VOIE]])*ROW(Tableau2[TS]))-ROW(Tableau2[#Headers])),"")</f>
        <v>ET</v>
      </c>
      <c r="AL624" s="72" t="str">
        <f>Tableau3[[#This Row],[Ref-Carte2]]&amp;"/"&amp;Tableau3[[#This Row],[ID-VOIE]]</f>
        <v>SDI1602/6</v>
      </c>
      <c r="AM624" s="73" t="str">
        <f>INDEX(Tableau2[Borne],MATCH(Tableau3[[#This Row],[ID-CARTEVOIE]],Tableau2[ID-CARTEVOIE],0))&amp;""</f>
        <v>3B</v>
      </c>
      <c r="AN624" s="74" t="str">
        <f>Tableau3[[#This Row],[ID-API]]&amp;Tableau3[[#This Row],[ID-RACK]]&amp;Tableau3[[#This Row],[ID-SLOT]]&amp;Tableau3[[#This Row],[BORNE]]</f>
        <v>4213B</v>
      </c>
      <c r="AO624" s="1"/>
    </row>
    <row r="625" spans="1:41" ht="20.100000000000001" customHeight="1" thickTop="1" thickBot="1">
      <c r="A625" s="68"/>
      <c r="B625" s="69" t="str">
        <f>IFERROR(INDEX(Tableau4[Date],MATCH($A625,Tableau4[EVO],0)),"")</f>
        <v/>
      </c>
      <c r="C625" s="68" t="str">
        <f>IFERROR(INDEX(Tableau4[Designation],MATCH($A625,Tableau4[EVO],0)),"")</f>
        <v/>
      </c>
      <c r="D625" s="68"/>
      <c r="E625" s="70">
        <v>79</v>
      </c>
      <c r="F625" s="71">
        <v>67</v>
      </c>
      <c r="G625" s="101" t="str">
        <f>INDEX(Tableau8[Att1],MATCH(Tableau3[[#This Row],[ID-INS]],Tableau8[ID],0))&amp;""</f>
        <v>V3</v>
      </c>
      <c r="H625" s="101" t="str">
        <f>INDEX(Tableau8[Att2],MATCH(Tableau3[[#This Row],[ID-INS]],Tableau8[ID],0))&amp;""</f>
        <v>BR3</v>
      </c>
      <c r="I625" s="101" t="str">
        <f>INDEX(Tableau8[Att3],MATCH(Tableau3[[#This Row],[ID-INS]],Tableau8[ID],0))&amp;""</f>
        <v>Barrière BR3</v>
      </c>
      <c r="J625" s="101"/>
      <c r="K625" s="167" t="str">
        <f>INDEX(Tableau8[Nom du modele],MATCH(Tableau3[[#This Row],[ID-INS]],Tableau8[ID],0))&amp;""</f>
        <v>BarriereLisse</v>
      </c>
      <c r="L625" s="99" t="str">
        <f>INDEX(Tableau5[Att1],MATCH(Tableau3[[#This Row],[ID-SIG]],Tableau5[ID],0))&amp;""</f>
        <v>Fer</v>
      </c>
      <c r="M625" s="99" t="str">
        <f>INDEX(Tableau5[Att2],MATCH(Tableau3[[#This Row],[ID-SIG]],Tableau5[ID],0))&amp;""</f>
        <v/>
      </c>
      <c r="N625" s="99" t="str">
        <f>INDEX(Tableau5[Att3],MATCH(Tableau3[[#This Row],[ID-SIG]],Tableau5[ID],0))&amp;""</f>
        <v/>
      </c>
      <c r="O625" s="99"/>
      <c r="P625" s="99" t="str">
        <f>INDEX(Tableau5[Description],MATCH(Tableau3[[#This Row],[ID-SIG]],Tableau5[ID],0))</f>
        <v>Position fermée</v>
      </c>
      <c r="Q625" s="99"/>
      <c r="R625" s="103" t="str">
        <f>Tableau3[[#This Row],[Description]]</f>
        <v>Position fermée</v>
      </c>
      <c r="U625" s="87">
        <v>4</v>
      </c>
      <c r="V625" s="87">
        <v>2</v>
      </c>
      <c r="W625" s="87">
        <v>1</v>
      </c>
      <c r="X625" s="87">
        <v>7</v>
      </c>
      <c r="Y625" s="40"/>
      <c r="Z625" s="165" t="str">
        <f>INDEX(Tableau2[TS],MATCH(Tableau3[[#This Row],[ID-CARTEVOIE]],Tableau2[ID-CARTEVOIE],0))</f>
        <v>ET</v>
      </c>
      <c r="AA625" s="53" t="s">
        <v>213</v>
      </c>
      <c r="AB625" s="223" t="str">
        <f>IFERROR(INDEX(Tableau5[Reserve],MATCH(Tableau3[[#This Row],[ID-SIG]],Tableau5[ID],0))&amp;"","")</f>
        <v/>
      </c>
      <c r="AC625" s="21"/>
      <c r="AD625" s="108" t="str">
        <f>INDEX(Tableau7[Repere],MATCH(Tableau3[[#This Row],[ID-API]],Tableau7[ID-API],0))&amp;""</f>
        <v>A4</v>
      </c>
      <c r="AE625" s="108" t="str">
        <f>INDEX(Tableau1[Repere-Rack],MATCH(Tableau3[[#This Row],[ID-RACK]],Tableau1[ID-RACK],0))&amp;""</f>
        <v>R2</v>
      </c>
      <c r="AF625" s="108" t="str">
        <f>INDEX(Tableau1[Repere-Slot],MATCH(Tableau3[[#This Row],[ID-SLOT]],Tableau1[ID-SLOT],0))&amp;""</f>
        <v>S1</v>
      </c>
      <c r="AG625" s="108" t="str">
        <f>INDEX(Tableau2[Repere-Voie],MATCH(Tableau3[[#This Row],[ID-VOIE]],Tableau2[ID-Voie],0))&amp;""</f>
        <v>v7</v>
      </c>
      <c r="AH625" s="72" t="str">
        <f>Tableau3[[#This Row],[ID-API]]&amp; "." &amp;Tableau3[[#This Row],[ID-RACK]]&amp; "." &amp;Tableau3[[#This Row],[ID-SLOT]]</f>
        <v>4.2.1</v>
      </c>
      <c r="AI625" s="72" t="str">
        <f>INDEX(Tableau1[Ref-Carte],MATCH(Tableau3[[#This Row],[ID-RRS]],Tableau1[ID-RRS],0))</f>
        <v>SDI1602</v>
      </c>
      <c r="AJ625" s="72" t="str">
        <f t="array" ref="AJ625">IFERROR(INDEX(Tableau2[TS],MATCH(1,(Tableau2[Ref-Carte]=Tableau3[[#This Row],[Ref-Carte2]])*(Tableau2[ID-Voie]=Tableau3[[#This Row],[ID-VOIE]]),0)),"")</f>
        <v>ET</v>
      </c>
      <c r="AK625" s="72" t="str">
        <f>IFERROR(INDEX(Tableau2[TS],SUMPRODUCT((Tableau2[Ref-Carte]=Tableau3[[#This Row],[Ref-Carte2]])*(Tableau2[ID-Voie]=Tableau3[[#This Row],[ID-VOIE]])*ROW(Tableau2[TS]))-ROW(Tableau2[#Headers])),"")</f>
        <v>ET</v>
      </c>
      <c r="AL625" s="72" t="str">
        <f>Tableau3[[#This Row],[Ref-Carte2]]&amp;"/"&amp;Tableau3[[#This Row],[ID-VOIE]]</f>
        <v>SDI1602/7</v>
      </c>
      <c r="AM625" s="73" t="str">
        <f>INDEX(Tableau2[Borne],MATCH(Tableau3[[#This Row],[ID-CARTEVOIE]],Tableau2[ID-CARTEVOIE],0))&amp;""</f>
        <v>3A</v>
      </c>
      <c r="AN625" s="74" t="str">
        <f>Tableau3[[#This Row],[ID-API]]&amp;Tableau3[[#This Row],[ID-RACK]]&amp;Tableau3[[#This Row],[ID-SLOT]]&amp;Tableau3[[#This Row],[BORNE]]</f>
        <v>4213A</v>
      </c>
      <c r="AO625" s="1"/>
    </row>
    <row r="626" spans="1:41" ht="20.100000000000001" customHeight="1" thickTop="1" thickBot="1">
      <c r="A626" s="68"/>
      <c r="B626" s="69" t="str">
        <f>IFERROR(INDEX(Tableau4[Date],MATCH($A626,Tableau4[EVO],0)),"")</f>
        <v/>
      </c>
      <c r="C626" s="68" t="str">
        <f>IFERROR(INDEX(Tableau4[Designation],MATCH($A626,Tableau4[EVO],0)),"")</f>
        <v/>
      </c>
      <c r="D626" s="68"/>
      <c r="E626" s="70">
        <v>79</v>
      </c>
      <c r="F626" s="71">
        <v>68</v>
      </c>
      <c r="G626" s="101" t="str">
        <f>INDEX(Tableau8[Att1],MATCH(Tableau3[[#This Row],[ID-INS]],Tableau8[ID],0))&amp;""</f>
        <v>V3</v>
      </c>
      <c r="H626" s="101" t="str">
        <f>INDEX(Tableau8[Att2],MATCH(Tableau3[[#This Row],[ID-INS]],Tableau8[ID],0))&amp;""</f>
        <v>BR3</v>
      </c>
      <c r="I626" s="101" t="str">
        <f>INDEX(Tableau8[Att3],MATCH(Tableau3[[#This Row],[ID-INS]],Tableau8[ID],0))&amp;""</f>
        <v>Barrière BR3</v>
      </c>
      <c r="J626" s="101"/>
      <c r="K626" s="167" t="str">
        <f>INDEX(Tableau8[Nom du modele],MATCH(Tableau3[[#This Row],[ID-INS]],Tableau8[ID],0))&amp;""</f>
        <v>BarriereLisse</v>
      </c>
      <c r="L626" s="99" t="str">
        <f>INDEX(Tableau5[Att1],MATCH(Tableau3[[#This Row],[ID-SIG]],Tableau5[ID],0))&amp;""</f>
        <v>SynthDef</v>
      </c>
      <c r="M626" s="99" t="str">
        <f>INDEX(Tableau5[Att2],MATCH(Tableau3[[#This Row],[ID-SIG]],Tableau5[ID],0))&amp;""</f>
        <v/>
      </c>
      <c r="N626" s="99" t="str">
        <f>INDEX(Tableau5[Att3],MATCH(Tableau3[[#This Row],[ID-SIG]],Tableau5[ID],0))&amp;""</f>
        <v/>
      </c>
      <c r="O626" s="99"/>
      <c r="P626" s="99" t="str">
        <f>INDEX(Tableau5[Description],MATCH(Tableau3[[#This Row],[ID-SIG]],Tableau5[ID],0))</f>
        <v>Synthèse défaut</v>
      </c>
      <c r="Q626" s="99"/>
      <c r="R626" s="103" t="str">
        <f>Tableau3[[#This Row],[Description]]</f>
        <v>Synthèse défaut</v>
      </c>
      <c r="U626" s="87">
        <v>4</v>
      </c>
      <c r="V626" s="87">
        <v>2</v>
      </c>
      <c r="W626" s="87">
        <v>1</v>
      </c>
      <c r="X626" s="87">
        <v>8</v>
      </c>
      <c r="Y626" s="40"/>
      <c r="Z626" s="165" t="str">
        <f>INDEX(Tableau2[TS],MATCH(Tableau3[[#This Row],[ID-CARTEVOIE]],Tableau2[ID-CARTEVOIE],0))</f>
        <v>ET</v>
      </c>
      <c r="AA626" s="53" t="s">
        <v>213</v>
      </c>
      <c r="AB626" s="223" t="str">
        <f>IFERROR(INDEX(Tableau5[Reserve],MATCH(Tableau3[[#This Row],[ID-SIG]],Tableau5[ID],0))&amp;"","")</f>
        <v/>
      </c>
      <c r="AC626" s="21"/>
      <c r="AD626" s="108" t="str">
        <f>INDEX(Tableau7[Repere],MATCH(Tableau3[[#This Row],[ID-API]],Tableau7[ID-API],0))&amp;""</f>
        <v>A4</v>
      </c>
      <c r="AE626" s="108" t="str">
        <f>INDEX(Tableau1[Repere-Rack],MATCH(Tableau3[[#This Row],[ID-RACK]],Tableau1[ID-RACK],0))&amp;""</f>
        <v>R2</v>
      </c>
      <c r="AF626" s="108" t="str">
        <f>INDEX(Tableau1[Repere-Slot],MATCH(Tableau3[[#This Row],[ID-SLOT]],Tableau1[ID-SLOT],0))&amp;""</f>
        <v>S1</v>
      </c>
      <c r="AG626" s="108" t="str">
        <f>INDEX(Tableau2[Repere-Voie],MATCH(Tableau3[[#This Row],[ID-VOIE]],Tableau2[ID-Voie],0))&amp;""</f>
        <v>v8</v>
      </c>
      <c r="AH626" s="72" t="str">
        <f>Tableau3[[#This Row],[ID-API]]&amp; "." &amp;Tableau3[[#This Row],[ID-RACK]]&amp; "." &amp;Tableau3[[#This Row],[ID-SLOT]]</f>
        <v>4.2.1</v>
      </c>
      <c r="AI626" s="72" t="str">
        <f>INDEX(Tableau1[Ref-Carte],MATCH(Tableau3[[#This Row],[ID-RRS]],Tableau1[ID-RRS],0))</f>
        <v>SDI1602</v>
      </c>
      <c r="AJ626" s="72" t="str">
        <f t="array" ref="AJ626">IFERROR(INDEX(Tableau2[TS],MATCH(1,(Tableau2[Ref-Carte]=Tableau3[[#This Row],[Ref-Carte2]])*(Tableau2[ID-Voie]=Tableau3[[#This Row],[ID-VOIE]]),0)),"")</f>
        <v>ET</v>
      </c>
      <c r="AK626" s="72" t="str">
        <f>IFERROR(INDEX(Tableau2[TS],SUMPRODUCT((Tableau2[Ref-Carte]=Tableau3[[#This Row],[Ref-Carte2]])*(Tableau2[ID-Voie]=Tableau3[[#This Row],[ID-VOIE]])*ROW(Tableau2[TS]))-ROW(Tableau2[#Headers])),"")</f>
        <v>ET</v>
      </c>
      <c r="AL626" s="72" t="str">
        <f>Tableau3[[#This Row],[Ref-Carte2]]&amp;"/"&amp;Tableau3[[#This Row],[ID-VOIE]]</f>
        <v>SDI1602/8</v>
      </c>
      <c r="AM626" s="73" t="str">
        <f>INDEX(Tableau2[Borne],MATCH(Tableau3[[#This Row],[ID-CARTEVOIE]],Tableau2[ID-CARTEVOIE],0))&amp;""</f>
        <v>4B</v>
      </c>
      <c r="AN626" s="74" t="str">
        <f>Tableau3[[#This Row],[ID-API]]&amp;Tableau3[[#This Row],[ID-RACK]]&amp;Tableau3[[#This Row],[ID-SLOT]]&amp;Tableau3[[#This Row],[BORNE]]</f>
        <v>4214B</v>
      </c>
      <c r="AO626" s="1"/>
    </row>
    <row r="627" spans="1:41" ht="20.100000000000001" customHeight="1" thickTop="1" thickBot="1">
      <c r="A627" s="68"/>
      <c r="B627" s="69" t="str">
        <f>IFERROR(INDEX(Tableau4[Date],MATCH($A627,Tableau4[EVO],0)),"")</f>
        <v/>
      </c>
      <c r="C627" s="68" t="str">
        <f>IFERROR(INDEX(Tableau4[Designation],MATCH($A627,Tableau4[EVO],0)),"")</f>
        <v/>
      </c>
      <c r="D627" s="68"/>
      <c r="E627" s="70">
        <v>79</v>
      </c>
      <c r="F627" s="71">
        <v>69</v>
      </c>
      <c r="G627" s="101" t="str">
        <f>INDEX(Tableau8[Att1],MATCH(Tableau3[[#This Row],[ID-INS]],Tableau8[ID],0))&amp;""</f>
        <v>V3</v>
      </c>
      <c r="H627" s="101" t="str">
        <f>INDEX(Tableau8[Att2],MATCH(Tableau3[[#This Row],[ID-INS]],Tableau8[ID],0))&amp;""</f>
        <v>BR3</v>
      </c>
      <c r="I627" s="101" t="str">
        <f>INDEX(Tableau8[Att3],MATCH(Tableau3[[#This Row],[ID-INS]],Tableau8[ID],0))&amp;""</f>
        <v>Barrière BR3</v>
      </c>
      <c r="J627" s="101"/>
      <c r="K627" s="167" t="str">
        <f>INDEX(Tableau8[Nom du modele],MATCH(Tableau3[[#This Row],[ID-INS]],Tableau8[ID],0))&amp;""</f>
        <v>BarriereLisse</v>
      </c>
      <c r="L627" s="99" t="str">
        <f>INDEX(Tableau5[Att1],MATCH(Tableau3[[#This Row],[ID-SIG]],Tableau5[ID],0))&amp;""</f>
        <v>Effraction</v>
      </c>
      <c r="M627" s="99" t="str">
        <f>INDEX(Tableau5[Att2],MATCH(Tableau3[[#This Row],[ID-SIG]],Tableau5[ID],0))&amp;""</f>
        <v/>
      </c>
      <c r="N627" s="99" t="str">
        <f>INDEX(Tableau5[Att3],MATCH(Tableau3[[#This Row],[ID-SIG]],Tableau5[ID],0))&amp;""</f>
        <v/>
      </c>
      <c r="O627" s="99"/>
      <c r="P627" s="99" t="str">
        <f>INDEX(Tableau5[Description],MATCH(Tableau3[[#This Row],[ID-SIG]],Tableau5[ID],0))</f>
        <v>Effraction</v>
      </c>
      <c r="Q627" s="99"/>
      <c r="R627" s="103" t="str">
        <f>Tableau3[[#This Row],[Description]]</f>
        <v>Effraction</v>
      </c>
      <c r="U627" s="87">
        <v>4</v>
      </c>
      <c r="V627" s="87">
        <v>2</v>
      </c>
      <c r="W627" s="87">
        <v>1</v>
      </c>
      <c r="X627" s="87">
        <v>9</v>
      </c>
      <c r="Y627" s="40"/>
      <c r="Z627" s="165" t="str">
        <f>INDEX(Tableau2[TS],MATCH(Tableau3[[#This Row],[ID-CARTEVOIE]],Tableau2[ID-CARTEVOIE],0))</f>
        <v>ET</v>
      </c>
      <c r="AA627" s="53" t="s">
        <v>213</v>
      </c>
      <c r="AB627" s="223" t="str">
        <f>IFERROR(INDEX(Tableau5[Reserve],MATCH(Tableau3[[#This Row],[ID-SIG]],Tableau5[ID],0))&amp;"","")</f>
        <v/>
      </c>
      <c r="AC627" s="21"/>
      <c r="AD627" s="108" t="str">
        <f>INDEX(Tableau7[Repere],MATCH(Tableau3[[#This Row],[ID-API]],Tableau7[ID-API],0))&amp;""</f>
        <v>A4</v>
      </c>
      <c r="AE627" s="108" t="str">
        <f>INDEX(Tableau1[Repere-Rack],MATCH(Tableau3[[#This Row],[ID-RACK]],Tableau1[ID-RACK],0))&amp;""</f>
        <v>R2</v>
      </c>
      <c r="AF627" s="108" t="str">
        <f>INDEX(Tableau1[Repere-Slot],MATCH(Tableau3[[#This Row],[ID-SLOT]],Tableau1[ID-SLOT],0))&amp;""</f>
        <v>S1</v>
      </c>
      <c r="AG627" s="108" t="str">
        <f>INDEX(Tableau2[Repere-Voie],MATCH(Tableau3[[#This Row],[ID-VOIE]],Tableau2[ID-Voie],0))&amp;""</f>
        <v>v9</v>
      </c>
      <c r="AH627" s="72" t="str">
        <f>Tableau3[[#This Row],[ID-API]]&amp; "." &amp;Tableau3[[#This Row],[ID-RACK]]&amp; "." &amp;Tableau3[[#This Row],[ID-SLOT]]</f>
        <v>4.2.1</v>
      </c>
      <c r="AI627" s="72" t="str">
        <f>INDEX(Tableau1[Ref-Carte],MATCH(Tableau3[[#This Row],[ID-RRS]],Tableau1[ID-RRS],0))</f>
        <v>SDI1602</v>
      </c>
      <c r="AJ627" s="72" t="str">
        <f t="array" ref="AJ627">IFERROR(INDEX(Tableau2[TS],MATCH(1,(Tableau2[Ref-Carte]=Tableau3[[#This Row],[Ref-Carte2]])*(Tableau2[ID-Voie]=Tableau3[[#This Row],[ID-VOIE]]),0)),"")</f>
        <v>ET</v>
      </c>
      <c r="AK627" s="72" t="str">
        <f>IFERROR(INDEX(Tableau2[TS],SUMPRODUCT((Tableau2[Ref-Carte]=Tableau3[[#This Row],[Ref-Carte2]])*(Tableau2[ID-Voie]=Tableau3[[#This Row],[ID-VOIE]])*ROW(Tableau2[TS]))-ROW(Tableau2[#Headers])),"")</f>
        <v>ET</v>
      </c>
      <c r="AL627" s="72" t="str">
        <f>Tableau3[[#This Row],[Ref-Carte2]]&amp;"/"&amp;Tableau3[[#This Row],[ID-VOIE]]</f>
        <v>SDI1602/9</v>
      </c>
      <c r="AM627" s="73" t="str">
        <f>INDEX(Tableau2[Borne],MATCH(Tableau3[[#This Row],[ID-CARTEVOIE]],Tableau2[ID-CARTEVOIE],0))&amp;""</f>
        <v>4A</v>
      </c>
      <c r="AN627" s="74" t="str">
        <f>Tableau3[[#This Row],[ID-API]]&amp;Tableau3[[#This Row],[ID-RACK]]&amp;Tableau3[[#This Row],[ID-SLOT]]&amp;Tableau3[[#This Row],[BORNE]]</f>
        <v>4214A</v>
      </c>
      <c r="AO627" s="1"/>
    </row>
    <row r="628" spans="1:41" ht="20.100000000000001" customHeight="1" thickTop="1" thickBot="1">
      <c r="A628" s="68"/>
      <c r="B628" s="69" t="str">
        <f>IFERROR(INDEX(Tableau4[Date],MATCH($A628,Tableau4[EVO],0)),"")</f>
        <v/>
      </c>
      <c r="C628" s="68" t="str">
        <f>IFERROR(INDEX(Tableau4[Designation],MATCH($A628,Tableau4[EVO],0)),"")</f>
        <v/>
      </c>
      <c r="D628" s="68"/>
      <c r="E628" s="70">
        <v>79</v>
      </c>
      <c r="F628" s="71">
        <v>70</v>
      </c>
      <c r="G628" s="101" t="str">
        <f>INDEX(Tableau8[Att1],MATCH(Tableau3[[#This Row],[ID-INS]],Tableau8[ID],0))&amp;""</f>
        <v>V3</v>
      </c>
      <c r="H628" s="101" t="str">
        <f>INDEX(Tableau8[Att2],MATCH(Tableau3[[#This Row],[ID-INS]],Tableau8[ID],0))&amp;""</f>
        <v>BR3</v>
      </c>
      <c r="I628" s="101" t="str">
        <f>INDEX(Tableau8[Att3],MATCH(Tableau3[[#This Row],[ID-INS]],Tableau8[ID],0))&amp;""</f>
        <v>Barrière BR3</v>
      </c>
      <c r="J628" s="101"/>
      <c r="K628" s="167" t="str">
        <f>INDEX(Tableau8[Nom du modele],MATCH(Tableau3[[#This Row],[ID-INS]],Tableau8[ID],0))&amp;""</f>
        <v>BarriereLisse</v>
      </c>
      <c r="L628" s="99" t="str">
        <f>INDEX(Tableau5[Att1],MATCH(Tableau3[[#This Row],[ID-SIG]],Tableau5[ID],0))&amp;""</f>
        <v>Pres</v>
      </c>
      <c r="M628" s="99" t="str">
        <f>INDEX(Tableau5[Att2],MATCH(Tableau3[[#This Row],[ID-SIG]],Tableau5[ID],0))&amp;""</f>
        <v/>
      </c>
      <c r="N628" s="99" t="str">
        <f>INDEX(Tableau5[Att3],MATCH(Tableau3[[#This Row],[ID-SIG]],Tableau5[ID],0))&amp;""</f>
        <v/>
      </c>
      <c r="O628" s="99"/>
      <c r="P628" s="99" t="str">
        <f>INDEX(Tableau5[Description],MATCH(Tableau3[[#This Row],[ID-SIG]],Tableau5[ID],0))</f>
        <v>Présence sous la barrière (Cellule)</v>
      </c>
      <c r="Q628" s="99"/>
      <c r="R628" s="103" t="str">
        <f>Tableau3[[#This Row],[Description]]</f>
        <v>Présence sous la barrière (Cellule)</v>
      </c>
      <c r="U628" s="87">
        <v>4</v>
      </c>
      <c r="V628" s="87">
        <v>2</v>
      </c>
      <c r="W628" s="87">
        <v>1</v>
      </c>
      <c r="X628" s="87">
        <v>10</v>
      </c>
      <c r="Y628" s="40"/>
      <c r="Z628" s="165" t="str">
        <f>INDEX(Tableau2[TS],MATCH(Tableau3[[#This Row],[ID-CARTEVOIE]],Tableau2[ID-CARTEVOIE],0))</f>
        <v>ET</v>
      </c>
      <c r="AA628" s="53" t="s">
        <v>213</v>
      </c>
      <c r="AB628" s="223" t="str">
        <f>IFERROR(INDEX(Tableau5[Reserve],MATCH(Tableau3[[#This Row],[ID-SIG]],Tableau5[ID],0))&amp;"","")</f>
        <v/>
      </c>
      <c r="AC628" s="21"/>
      <c r="AD628" s="108" t="str">
        <f>INDEX(Tableau7[Repere],MATCH(Tableau3[[#This Row],[ID-API]],Tableau7[ID-API],0))&amp;""</f>
        <v>A4</v>
      </c>
      <c r="AE628" s="108" t="str">
        <f>INDEX(Tableau1[Repere-Rack],MATCH(Tableau3[[#This Row],[ID-RACK]],Tableau1[ID-RACK],0))&amp;""</f>
        <v>R2</v>
      </c>
      <c r="AF628" s="108" t="str">
        <f>INDEX(Tableau1[Repere-Slot],MATCH(Tableau3[[#This Row],[ID-SLOT]],Tableau1[ID-SLOT],0))&amp;""</f>
        <v>S1</v>
      </c>
      <c r="AG628" s="108" t="str">
        <f>INDEX(Tableau2[Repere-Voie],MATCH(Tableau3[[#This Row],[ID-VOIE]],Tableau2[ID-Voie],0))&amp;""</f>
        <v>v10</v>
      </c>
      <c r="AH628" s="72" t="str">
        <f>Tableau3[[#This Row],[ID-API]]&amp; "." &amp;Tableau3[[#This Row],[ID-RACK]]&amp; "." &amp;Tableau3[[#This Row],[ID-SLOT]]</f>
        <v>4.2.1</v>
      </c>
      <c r="AI628" s="72" t="str">
        <f>INDEX(Tableau1[Ref-Carte],MATCH(Tableau3[[#This Row],[ID-RRS]],Tableau1[ID-RRS],0))</f>
        <v>SDI1602</v>
      </c>
      <c r="AJ628" s="72" t="str">
        <f t="array" ref="AJ628">IFERROR(INDEX(Tableau2[TS],MATCH(1,(Tableau2[Ref-Carte]=Tableau3[[#This Row],[Ref-Carte2]])*(Tableau2[ID-Voie]=Tableau3[[#This Row],[ID-VOIE]]),0)),"")</f>
        <v>ET</v>
      </c>
      <c r="AK628" s="72" t="str">
        <f>IFERROR(INDEX(Tableau2[TS],SUMPRODUCT((Tableau2[Ref-Carte]=Tableau3[[#This Row],[Ref-Carte2]])*(Tableau2[ID-Voie]=Tableau3[[#This Row],[ID-VOIE]])*ROW(Tableau2[TS]))-ROW(Tableau2[#Headers])),"")</f>
        <v>ET</v>
      </c>
      <c r="AL628" s="72" t="str">
        <f>Tableau3[[#This Row],[Ref-Carte2]]&amp;"/"&amp;Tableau3[[#This Row],[ID-VOIE]]</f>
        <v>SDI1602/10</v>
      </c>
      <c r="AM628" s="73" t="str">
        <f>INDEX(Tableau2[Borne],MATCH(Tableau3[[#This Row],[ID-CARTEVOIE]],Tableau2[ID-CARTEVOIE],0))&amp;""</f>
        <v>5B</v>
      </c>
      <c r="AN628" s="74" t="str">
        <f>Tableau3[[#This Row],[ID-API]]&amp;Tableau3[[#This Row],[ID-RACK]]&amp;Tableau3[[#This Row],[ID-SLOT]]&amp;Tableau3[[#This Row],[BORNE]]</f>
        <v>4215B</v>
      </c>
      <c r="AO628" s="1"/>
    </row>
    <row r="629" spans="1:41" ht="20.100000000000001" customHeight="1" thickTop="1" thickBot="1">
      <c r="A629" s="68"/>
      <c r="B629" s="69" t="str">
        <f>IFERROR(INDEX(Tableau4[Date],MATCH($A629,Tableau4[EVO],0)),"")</f>
        <v/>
      </c>
      <c r="C629" s="68" t="str">
        <f>IFERROR(INDEX(Tableau4[Designation],MATCH($A629,Tableau4[EVO],0)),"")</f>
        <v/>
      </c>
      <c r="D629" s="68"/>
      <c r="E629" s="70">
        <v>80</v>
      </c>
      <c r="F629" s="71">
        <v>308</v>
      </c>
      <c r="G629" s="101" t="str">
        <f>INDEX(Tableau8[Att1],MATCH(Tableau3[[#This Row],[ID-INS]],Tableau8[ID],0))&amp;""</f>
        <v>V3</v>
      </c>
      <c r="H629" s="101" t="str">
        <f>INDEX(Tableau8[Att2],MATCH(Tableau3[[#This Row],[ID-INS]],Tableau8[ID],0))&amp;""</f>
        <v>F2</v>
      </c>
      <c r="I629" s="101" t="str">
        <f>INDEX(Tableau8[Att3],MATCH(Tableau3[[#This Row],[ID-INS]],Tableau8[ID],0))&amp;""</f>
        <v>Feu F2</v>
      </c>
      <c r="J629" s="101"/>
      <c r="K629" s="167" t="str">
        <f>INDEX(Tableau8[Nom du modele],MATCH(Tableau3[[#This Row],[ID-INS]],Tableau8[ID],0))&amp;""</f>
        <v>FeuOuvV</v>
      </c>
      <c r="L629" s="99" t="str">
        <f>INDEX(Tableau5[Att1],MATCH(Tableau3[[#This Row],[ID-SIG]],Tableau5[ID],0))&amp;""</f>
        <v>Feu_RM</v>
      </c>
      <c r="M629" s="99" t="str">
        <f>INDEX(Tableau5[Att2],MATCH(Tableau3[[#This Row],[ID-SIG]],Tableau5[ID],0))&amp;""</f>
        <v/>
      </c>
      <c r="N629" s="99" t="str">
        <f>INDEX(Tableau5[Att3],MATCH(Tableau3[[#This Row],[ID-SIG]],Tableau5[ID],0))&amp;""</f>
        <v/>
      </c>
      <c r="O629" s="99"/>
      <c r="P629" s="99" t="str">
        <f>INDEX(Tableau5[Description],MATCH(Tableau3[[#This Row],[ID-SIG]],Tableau5[ID],0))</f>
        <v>Retour de marche Feu</v>
      </c>
      <c r="Q629" s="99"/>
      <c r="R629" s="103" t="str">
        <f>Tableau3[[#This Row],[Description]]</f>
        <v>Retour de marche Feu</v>
      </c>
      <c r="U629" s="87">
        <v>4</v>
      </c>
      <c r="V629" s="87">
        <v>2</v>
      </c>
      <c r="W629" s="87">
        <v>1</v>
      </c>
      <c r="X629" s="87">
        <v>11</v>
      </c>
      <c r="Y629" s="40"/>
      <c r="Z629" s="165" t="str">
        <f>INDEX(Tableau2[TS],MATCH(Tableau3[[#This Row],[ID-CARTEVOIE]],Tableau2[ID-CARTEVOIE],0))</f>
        <v>ET</v>
      </c>
      <c r="AA629" s="53" t="s">
        <v>213</v>
      </c>
      <c r="AB629" s="223" t="str">
        <f>IFERROR(INDEX(Tableau5[Reserve],MATCH(Tableau3[[#This Row],[ID-SIG]],Tableau5[ID],0))&amp;"","")</f>
        <v/>
      </c>
      <c r="AC629" s="21"/>
      <c r="AD629" s="108" t="str">
        <f>INDEX(Tableau7[Repere],MATCH(Tableau3[[#This Row],[ID-API]],Tableau7[ID-API],0))&amp;""</f>
        <v>A4</v>
      </c>
      <c r="AE629" s="108" t="str">
        <f>INDEX(Tableau1[Repere-Rack],MATCH(Tableau3[[#This Row],[ID-RACK]],Tableau1[ID-RACK],0))&amp;""</f>
        <v>R2</v>
      </c>
      <c r="AF629" s="108" t="str">
        <f>INDEX(Tableau1[Repere-Slot],MATCH(Tableau3[[#This Row],[ID-SLOT]],Tableau1[ID-SLOT],0))&amp;""</f>
        <v>S1</v>
      </c>
      <c r="AG629" s="108" t="str">
        <f>INDEX(Tableau2[Repere-Voie],MATCH(Tableau3[[#This Row],[ID-VOIE]],Tableau2[ID-Voie],0))&amp;""</f>
        <v>v11</v>
      </c>
      <c r="AH629" s="72" t="str">
        <f>Tableau3[[#This Row],[ID-API]]&amp; "." &amp;Tableau3[[#This Row],[ID-RACK]]&amp; "." &amp;Tableau3[[#This Row],[ID-SLOT]]</f>
        <v>4.2.1</v>
      </c>
      <c r="AI629" s="72" t="str">
        <f>INDEX(Tableau1[Ref-Carte],MATCH(Tableau3[[#This Row],[ID-RRS]],Tableau1[ID-RRS],0))</f>
        <v>SDI1602</v>
      </c>
      <c r="AJ629" s="72" t="str">
        <f t="array" ref="AJ629">IFERROR(INDEX(Tableau2[TS],MATCH(1,(Tableau2[Ref-Carte]=Tableau3[[#This Row],[Ref-Carte2]])*(Tableau2[ID-Voie]=Tableau3[[#This Row],[ID-VOIE]]),0)),"")</f>
        <v>ET</v>
      </c>
      <c r="AK629" s="72" t="str">
        <f>IFERROR(INDEX(Tableau2[TS],SUMPRODUCT((Tableau2[Ref-Carte]=Tableau3[[#This Row],[Ref-Carte2]])*(Tableau2[ID-Voie]=Tableau3[[#This Row],[ID-VOIE]])*ROW(Tableau2[TS]))-ROW(Tableau2[#Headers])),"")</f>
        <v>ET</v>
      </c>
      <c r="AL629" s="72" t="str">
        <f>Tableau3[[#This Row],[Ref-Carte2]]&amp;"/"&amp;Tableau3[[#This Row],[ID-VOIE]]</f>
        <v>SDI1602/11</v>
      </c>
      <c r="AM629" s="73" t="str">
        <f>INDEX(Tableau2[Borne],MATCH(Tableau3[[#This Row],[ID-CARTEVOIE]],Tableau2[ID-CARTEVOIE],0))&amp;""</f>
        <v>5A</v>
      </c>
      <c r="AN629" s="74" t="str">
        <f>Tableau3[[#This Row],[ID-API]]&amp;Tableau3[[#This Row],[ID-RACK]]&amp;Tableau3[[#This Row],[ID-SLOT]]&amp;Tableau3[[#This Row],[BORNE]]</f>
        <v>4215A</v>
      </c>
      <c r="AO629" s="1"/>
    </row>
    <row r="630" spans="1:41" ht="20.100000000000001" customHeight="1" thickTop="1" thickBot="1">
      <c r="A630" s="68"/>
      <c r="B630" s="69" t="str">
        <f>IFERROR(INDEX(Tableau4[Date],MATCH($A630,Tableau4[EVO],0)),"")</f>
        <v/>
      </c>
      <c r="C630" s="68" t="str">
        <f>IFERROR(INDEX(Tableau4[Designation],MATCH($A630,Tableau4[EVO],0)),"")</f>
        <v/>
      </c>
      <c r="D630" s="68"/>
      <c r="E630" s="70">
        <v>85</v>
      </c>
      <c r="F630" s="71">
        <v>314</v>
      </c>
      <c r="G630" s="101" t="str">
        <f>INDEX(Tableau8[Att1],MATCH(Tableau3[[#This Row],[ID-INS]],Tableau8[ID],0))&amp;""</f>
        <v>V3</v>
      </c>
      <c r="H630" s="101" t="str">
        <f>INDEX(Tableau8[Att2],MATCH(Tableau3[[#This Row],[ID-INS]],Tableau8[ID],0))&amp;""</f>
        <v>F7</v>
      </c>
      <c r="I630" s="101" t="str">
        <f>INDEX(Tableau8[Att3],MATCH(Tableau3[[#This Row],[ID-INS]],Tableau8[ID],0))&amp;""</f>
        <v>Feu F7</v>
      </c>
      <c r="J630" s="101"/>
      <c r="K630" s="167" t="str">
        <f>INDEX(Tableau8[Nom du modele],MATCH(Tableau3[[#This Row],[ID-INS]],Tableau8[ID],0))&amp;""</f>
        <v>FeuBi_1</v>
      </c>
      <c r="L630" s="99" t="str">
        <f>INDEX(Tableau5[Att1],MATCH(Tableau3[[#This Row],[ID-SIG]],Tableau5[ID],0))&amp;""</f>
        <v>FeuR_RM</v>
      </c>
      <c r="M630" s="99" t="str">
        <f>INDEX(Tableau5[Att2],MATCH(Tableau3[[#This Row],[ID-SIG]],Tableau5[ID],0))&amp;""</f>
        <v/>
      </c>
      <c r="N630" s="99" t="str">
        <f>INDEX(Tableau5[Att3],MATCH(Tableau3[[#This Row],[ID-SIG]],Tableau5[ID],0))&amp;""</f>
        <v/>
      </c>
      <c r="O630" s="99"/>
      <c r="P630" s="99" t="str">
        <f>INDEX(Tableau5[Description],MATCH(Tableau3[[#This Row],[ID-SIG]],Tableau5[ID],0))</f>
        <v xml:space="preserve">Retour de marche Feu rouge </v>
      </c>
      <c r="Q630" s="99"/>
      <c r="R630" s="103" t="str">
        <f>Tableau3[[#This Row],[Description]]</f>
        <v xml:space="preserve">Retour de marche Feu rouge </v>
      </c>
      <c r="U630" s="87">
        <v>4</v>
      </c>
      <c r="V630" s="87">
        <v>2</v>
      </c>
      <c r="W630" s="87">
        <v>1</v>
      </c>
      <c r="X630" s="87">
        <v>12</v>
      </c>
      <c r="Y630" s="40"/>
      <c r="Z630" s="165" t="str">
        <f>INDEX(Tableau2[TS],MATCH(Tableau3[[#This Row],[ID-CARTEVOIE]],Tableau2[ID-CARTEVOIE],0))</f>
        <v>ET</v>
      </c>
      <c r="AA630" s="53" t="s">
        <v>213</v>
      </c>
      <c r="AB630" s="223" t="str">
        <f>IFERROR(INDEX(Tableau5[Reserve],MATCH(Tableau3[[#This Row],[ID-SIG]],Tableau5[ID],0))&amp;"","")</f>
        <v/>
      </c>
      <c r="AC630" s="21"/>
      <c r="AD630" s="108" t="str">
        <f>INDEX(Tableau7[Repere],MATCH(Tableau3[[#This Row],[ID-API]],Tableau7[ID-API],0))&amp;""</f>
        <v>A4</v>
      </c>
      <c r="AE630" s="108" t="str">
        <f>INDEX(Tableau1[Repere-Rack],MATCH(Tableau3[[#This Row],[ID-RACK]],Tableau1[ID-RACK],0))&amp;""</f>
        <v>R2</v>
      </c>
      <c r="AF630" s="108" t="str">
        <f>INDEX(Tableau1[Repere-Slot],MATCH(Tableau3[[#This Row],[ID-SLOT]],Tableau1[ID-SLOT],0))&amp;""</f>
        <v>S1</v>
      </c>
      <c r="AG630" s="108" t="str">
        <f>INDEX(Tableau2[Repere-Voie],MATCH(Tableau3[[#This Row],[ID-VOIE]],Tableau2[ID-Voie],0))&amp;""</f>
        <v>v12</v>
      </c>
      <c r="AH630" s="72" t="str">
        <f>Tableau3[[#This Row],[ID-API]]&amp; "." &amp;Tableau3[[#This Row],[ID-RACK]]&amp; "." &amp;Tableau3[[#This Row],[ID-SLOT]]</f>
        <v>4.2.1</v>
      </c>
      <c r="AI630" s="72" t="str">
        <f>INDEX(Tableau1[Ref-Carte],MATCH(Tableau3[[#This Row],[ID-RRS]],Tableau1[ID-RRS],0))</f>
        <v>SDI1602</v>
      </c>
      <c r="AJ630" s="72" t="str">
        <f t="array" ref="AJ630">IFERROR(INDEX(Tableau2[TS],MATCH(1,(Tableau2[Ref-Carte]=Tableau3[[#This Row],[Ref-Carte2]])*(Tableau2[ID-Voie]=Tableau3[[#This Row],[ID-VOIE]]),0)),"")</f>
        <v>ET</v>
      </c>
      <c r="AK630" s="72" t="str">
        <f>IFERROR(INDEX(Tableau2[TS],SUMPRODUCT((Tableau2[Ref-Carte]=Tableau3[[#This Row],[Ref-Carte2]])*(Tableau2[ID-Voie]=Tableau3[[#This Row],[ID-VOIE]])*ROW(Tableau2[TS]))-ROW(Tableau2[#Headers])),"")</f>
        <v>ET</v>
      </c>
      <c r="AL630" s="72" t="str">
        <f>Tableau3[[#This Row],[Ref-Carte2]]&amp;"/"&amp;Tableau3[[#This Row],[ID-VOIE]]</f>
        <v>SDI1602/12</v>
      </c>
      <c r="AM630" s="73" t="str">
        <f>INDEX(Tableau2[Borne],MATCH(Tableau3[[#This Row],[ID-CARTEVOIE]],Tableau2[ID-CARTEVOIE],0))&amp;""</f>
        <v>6B</v>
      </c>
      <c r="AN630" s="74" t="str">
        <f>Tableau3[[#This Row],[ID-API]]&amp;Tableau3[[#This Row],[ID-RACK]]&amp;Tableau3[[#This Row],[ID-SLOT]]&amp;Tableau3[[#This Row],[BORNE]]</f>
        <v>4216B</v>
      </c>
      <c r="AO630" s="1"/>
    </row>
    <row r="631" spans="1:41" ht="20.100000000000001" customHeight="1" thickTop="1" thickBot="1">
      <c r="A631" s="68"/>
      <c r="B631" s="69" t="str">
        <f>IFERROR(INDEX(Tableau4[Date],MATCH($A631,Tableau4[EVO],0)),"")</f>
        <v/>
      </c>
      <c r="C631" s="68" t="str">
        <f>IFERROR(INDEX(Tableau4[Designation],MATCH($A631,Tableau4[EVO],0)),"")</f>
        <v/>
      </c>
      <c r="D631" s="68"/>
      <c r="E631" s="70">
        <v>85</v>
      </c>
      <c r="F631" s="71">
        <v>315</v>
      </c>
      <c r="G631" s="101" t="str">
        <f>INDEX(Tableau8[Att1],MATCH(Tableau3[[#This Row],[ID-INS]],Tableau8[ID],0))&amp;""</f>
        <v>V3</v>
      </c>
      <c r="H631" s="101" t="str">
        <f>INDEX(Tableau8[Att2],MATCH(Tableau3[[#This Row],[ID-INS]],Tableau8[ID],0))&amp;""</f>
        <v>F7</v>
      </c>
      <c r="I631" s="101" t="str">
        <f>INDEX(Tableau8[Att3],MATCH(Tableau3[[#This Row],[ID-INS]],Tableau8[ID],0))&amp;""</f>
        <v>Feu F7</v>
      </c>
      <c r="J631" s="101"/>
      <c r="K631" s="167" t="str">
        <f>INDEX(Tableau8[Nom du modele],MATCH(Tableau3[[#This Row],[ID-INS]],Tableau8[ID],0))&amp;""</f>
        <v>FeuBi_1</v>
      </c>
      <c r="L631" s="99" t="str">
        <f>INDEX(Tableau5[Att1],MATCH(Tableau3[[#This Row],[ID-SIG]],Tableau5[ID],0))&amp;""</f>
        <v>FeuV_RM</v>
      </c>
      <c r="M631" s="99" t="str">
        <f>INDEX(Tableau5[Att2],MATCH(Tableau3[[#This Row],[ID-SIG]],Tableau5[ID],0))&amp;""</f>
        <v/>
      </c>
      <c r="N631" s="99" t="str">
        <f>INDEX(Tableau5[Att3],MATCH(Tableau3[[#This Row],[ID-SIG]],Tableau5[ID],0))&amp;""</f>
        <v/>
      </c>
      <c r="O631" s="99"/>
      <c r="P631" s="99" t="str">
        <f>INDEX(Tableau5[Description],MATCH(Tableau3[[#This Row],[ID-SIG]],Tableau5[ID],0))</f>
        <v>Retour de marche Feu Vert</v>
      </c>
      <c r="Q631" s="99"/>
      <c r="R631" s="103" t="str">
        <f>Tableau3[[#This Row],[Description]]</f>
        <v>Retour de marche Feu Vert</v>
      </c>
      <c r="U631" s="87">
        <v>4</v>
      </c>
      <c r="V631" s="87">
        <v>2</v>
      </c>
      <c r="W631" s="87">
        <v>1</v>
      </c>
      <c r="X631" s="87">
        <v>13</v>
      </c>
      <c r="Y631" s="40"/>
      <c r="Z631" s="165" t="str">
        <f>INDEX(Tableau2[TS],MATCH(Tableau3[[#This Row],[ID-CARTEVOIE]],Tableau2[ID-CARTEVOIE],0))</f>
        <v>ET</v>
      </c>
      <c r="AA631" s="53" t="s">
        <v>213</v>
      </c>
      <c r="AB631" s="223" t="str">
        <f>IFERROR(INDEX(Tableau5[Reserve],MATCH(Tableau3[[#This Row],[ID-SIG]],Tableau5[ID],0))&amp;"","")</f>
        <v/>
      </c>
      <c r="AC631" s="21"/>
      <c r="AD631" s="108" t="str">
        <f>INDEX(Tableau7[Repere],MATCH(Tableau3[[#This Row],[ID-API]],Tableau7[ID-API],0))&amp;""</f>
        <v>A4</v>
      </c>
      <c r="AE631" s="108" t="str">
        <f>INDEX(Tableau1[Repere-Rack],MATCH(Tableau3[[#This Row],[ID-RACK]],Tableau1[ID-RACK],0))&amp;""</f>
        <v>R2</v>
      </c>
      <c r="AF631" s="108" t="str">
        <f>INDEX(Tableau1[Repere-Slot],MATCH(Tableau3[[#This Row],[ID-SLOT]],Tableau1[ID-SLOT],0))&amp;""</f>
        <v>S1</v>
      </c>
      <c r="AG631" s="108" t="str">
        <f>INDEX(Tableau2[Repere-Voie],MATCH(Tableau3[[#This Row],[ID-VOIE]],Tableau2[ID-Voie],0))&amp;""</f>
        <v>v13</v>
      </c>
      <c r="AH631" s="72" t="str">
        <f>Tableau3[[#This Row],[ID-API]]&amp; "." &amp;Tableau3[[#This Row],[ID-RACK]]&amp; "." &amp;Tableau3[[#This Row],[ID-SLOT]]</f>
        <v>4.2.1</v>
      </c>
      <c r="AI631" s="72" t="str">
        <f>INDEX(Tableau1[Ref-Carte],MATCH(Tableau3[[#This Row],[ID-RRS]],Tableau1[ID-RRS],0))</f>
        <v>SDI1602</v>
      </c>
      <c r="AJ631" s="72" t="str">
        <f t="array" ref="AJ631">IFERROR(INDEX(Tableau2[TS],MATCH(1,(Tableau2[Ref-Carte]=Tableau3[[#This Row],[Ref-Carte2]])*(Tableau2[ID-Voie]=Tableau3[[#This Row],[ID-VOIE]]),0)),"")</f>
        <v>ET</v>
      </c>
      <c r="AK631" s="72" t="str">
        <f>IFERROR(INDEX(Tableau2[TS],SUMPRODUCT((Tableau2[Ref-Carte]=Tableau3[[#This Row],[Ref-Carte2]])*(Tableau2[ID-Voie]=Tableau3[[#This Row],[ID-VOIE]])*ROW(Tableau2[TS]))-ROW(Tableau2[#Headers])),"")</f>
        <v>ET</v>
      </c>
      <c r="AL631" s="72" t="str">
        <f>Tableau3[[#This Row],[Ref-Carte2]]&amp;"/"&amp;Tableau3[[#This Row],[ID-VOIE]]</f>
        <v>SDI1602/13</v>
      </c>
      <c r="AM631" s="73" t="str">
        <f>INDEX(Tableau2[Borne],MATCH(Tableau3[[#This Row],[ID-CARTEVOIE]],Tableau2[ID-CARTEVOIE],0))&amp;""</f>
        <v>6A</v>
      </c>
      <c r="AN631" s="74" t="str">
        <f>Tableau3[[#This Row],[ID-API]]&amp;Tableau3[[#This Row],[ID-RACK]]&amp;Tableau3[[#This Row],[ID-SLOT]]&amp;Tableau3[[#This Row],[BORNE]]</f>
        <v>4216A</v>
      </c>
      <c r="AO631" s="1"/>
    </row>
    <row r="632" spans="1:41" ht="20.100000000000001" customHeight="1" thickTop="1" thickBot="1">
      <c r="A632" s="68"/>
      <c r="B632" s="69" t="str">
        <f>IFERROR(INDEX(Tableau4[Date],MATCH($A632,Tableau4[EVO],0)),"")</f>
        <v/>
      </c>
      <c r="C632" s="68" t="str">
        <f>IFERROR(INDEX(Tableau4[Designation],MATCH($A632,Tableau4[EVO],0)),"")</f>
        <v/>
      </c>
      <c r="D632" s="68"/>
      <c r="E632" s="70">
        <v>89</v>
      </c>
      <c r="F632" s="71">
        <v>311</v>
      </c>
      <c r="G632" s="101" t="str">
        <f>INDEX(Tableau8[Att1],MATCH(Tableau3[[#This Row],[ID-INS]],Tableau8[ID],0))&amp;""</f>
        <v>V3</v>
      </c>
      <c r="H632" s="101" t="str">
        <f>INDEX(Tableau8[Att2],MATCH(Tableau3[[#This Row],[ID-INS]],Tableau8[ID],0))&amp;""</f>
        <v>F11</v>
      </c>
      <c r="I632" s="101" t="str">
        <f>INDEX(Tableau8[Att3],MATCH(Tableau3[[#This Row],[ID-INS]],Tableau8[ID],0))&amp;""</f>
        <v>Feu F11</v>
      </c>
      <c r="J632" s="101"/>
      <c r="K632" s="167" t="str">
        <f>INDEX(Tableau8[Nom du modele],MATCH(Tableau3[[#This Row],[ID-INS]],Tableau8[ID],0))&amp;""</f>
        <v>FeuBiCora</v>
      </c>
      <c r="L632" s="99" t="str">
        <f>INDEX(Tableau5[Att1],MATCH(Tableau3[[#This Row],[ID-SIG]],Tableau5[ID],0))&amp;""</f>
        <v>FeuO_RM</v>
      </c>
      <c r="M632" s="99" t="str">
        <f>INDEX(Tableau5[Att2],MATCH(Tableau3[[#This Row],[ID-SIG]],Tableau5[ID],0))&amp;""</f>
        <v/>
      </c>
      <c r="N632" s="99" t="str">
        <f>INDEX(Tableau5[Att3],MATCH(Tableau3[[#This Row],[ID-SIG]],Tableau5[ID],0))&amp;""</f>
        <v/>
      </c>
      <c r="O632" s="99"/>
      <c r="P632" s="99" t="str">
        <f>INDEX(Tableau5[Description],MATCH(Tableau3[[#This Row],[ID-SIG]],Tableau5[ID],0))</f>
        <v>Retour de marche Feu Orange</v>
      </c>
      <c r="Q632" s="99"/>
      <c r="R632" s="103" t="str">
        <f>Tableau3[[#This Row],[Description]]</f>
        <v>Retour de marche Feu Orange</v>
      </c>
      <c r="U632" s="87">
        <v>4</v>
      </c>
      <c r="V632" s="87">
        <v>2</v>
      </c>
      <c r="W632" s="87">
        <v>1</v>
      </c>
      <c r="X632" s="87">
        <v>14</v>
      </c>
      <c r="Y632" s="40"/>
      <c r="Z632" s="165" t="str">
        <f>INDEX(Tableau2[TS],MATCH(Tableau3[[#This Row],[ID-CARTEVOIE]],Tableau2[ID-CARTEVOIE],0))</f>
        <v>ET</v>
      </c>
      <c r="AA632" s="53" t="s">
        <v>213</v>
      </c>
      <c r="AB632" s="223" t="str">
        <f>IFERROR(INDEX(Tableau5[Reserve],MATCH(Tableau3[[#This Row],[ID-SIG]],Tableau5[ID],0))&amp;"","")</f>
        <v/>
      </c>
      <c r="AC632" s="21"/>
      <c r="AD632" s="108" t="str">
        <f>INDEX(Tableau7[Repere],MATCH(Tableau3[[#This Row],[ID-API]],Tableau7[ID-API],0))&amp;""</f>
        <v>A4</v>
      </c>
      <c r="AE632" s="108" t="str">
        <f>INDEX(Tableau1[Repere-Rack],MATCH(Tableau3[[#This Row],[ID-RACK]],Tableau1[ID-RACK],0))&amp;""</f>
        <v>R2</v>
      </c>
      <c r="AF632" s="108" t="str">
        <f>INDEX(Tableau1[Repere-Slot],MATCH(Tableau3[[#This Row],[ID-SLOT]],Tableau1[ID-SLOT],0))&amp;""</f>
        <v>S1</v>
      </c>
      <c r="AG632" s="108" t="str">
        <f>INDEX(Tableau2[Repere-Voie],MATCH(Tableau3[[#This Row],[ID-VOIE]],Tableau2[ID-Voie],0))&amp;""</f>
        <v>v14</v>
      </c>
      <c r="AH632" s="72" t="str">
        <f>Tableau3[[#This Row],[ID-API]]&amp; "." &amp;Tableau3[[#This Row],[ID-RACK]]&amp; "." &amp;Tableau3[[#This Row],[ID-SLOT]]</f>
        <v>4.2.1</v>
      </c>
      <c r="AI632" s="72" t="str">
        <f>INDEX(Tableau1[Ref-Carte],MATCH(Tableau3[[#This Row],[ID-RRS]],Tableau1[ID-RRS],0))</f>
        <v>SDI1602</v>
      </c>
      <c r="AJ632" s="72" t="str">
        <f t="array" ref="AJ632">IFERROR(INDEX(Tableau2[TS],MATCH(1,(Tableau2[Ref-Carte]=Tableau3[[#This Row],[Ref-Carte2]])*(Tableau2[ID-Voie]=Tableau3[[#This Row],[ID-VOIE]]),0)),"")</f>
        <v>ET</v>
      </c>
      <c r="AK632" s="72" t="str">
        <f>IFERROR(INDEX(Tableau2[TS],SUMPRODUCT((Tableau2[Ref-Carte]=Tableau3[[#This Row],[Ref-Carte2]])*(Tableau2[ID-Voie]=Tableau3[[#This Row],[ID-VOIE]])*ROW(Tableau2[TS]))-ROW(Tableau2[#Headers])),"")</f>
        <v>ET</v>
      </c>
      <c r="AL632" s="72" t="str">
        <f>Tableau3[[#This Row],[Ref-Carte2]]&amp;"/"&amp;Tableau3[[#This Row],[ID-VOIE]]</f>
        <v>SDI1602/14</v>
      </c>
      <c r="AM632" s="73" t="str">
        <f>INDEX(Tableau2[Borne],MATCH(Tableau3[[#This Row],[ID-CARTEVOIE]],Tableau2[ID-CARTEVOIE],0))&amp;""</f>
        <v>7B</v>
      </c>
      <c r="AN632" s="74" t="str">
        <f>Tableau3[[#This Row],[ID-API]]&amp;Tableau3[[#This Row],[ID-RACK]]&amp;Tableau3[[#This Row],[ID-SLOT]]&amp;Tableau3[[#This Row],[BORNE]]</f>
        <v>4217B</v>
      </c>
      <c r="AO632" s="1"/>
    </row>
    <row r="633" spans="1:41" ht="20.100000000000001" customHeight="1" thickTop="1" thickBot="1">
      <c r="A633" s="68"/>
      <c r="B633" s="69" t="str">
        <f>IFERROR(INDEX(Tableau4[Date],MATCH($A633,Tableau4[EVO],0)),"")</f>
        <v/>
      </c>
      <c r="C633" s="68" t="str">
        <f>IFERROR(INDEX(Tableau4[Designation],MATCH($A633,Tableau4[EVO],0)),"")</f>
        <v/>
      </c>
      <c r="D633" s="68"/>
      <c r="E633" s="70">
        <v>89</v>
      </c>
      <c r="F633" s="71">
        <v>312</v>
      </c>
      <c r="G633" s="101" t="str">
        <f>INDEX(Tableau8[Att1],MATCH(Tableau3[[#This Row],[ID-INS]],Tableau8[ID],0))&amp;""</f>
        <v>V3</v>
      </c>
      <c r="H633" s="101" t="str">
        <f>INDEX(Tableau8[Att2],MATCH(Tableau3[[#This Row],[ID-INS]],Tableau8[ID],0))&amp;""</f>
        <v>F11</v>
      </c>
      <c r="I633" s="101" t="str">
        <f>INDEX(Tableau8[Att3],MATCH(Tableau3[[#This Row],[ID-INS]],Tableau8[ID],0))&amp;""</f>
        <v>Feu F11</v>
      </c>
      <c r="J633" s="101"/>
      <c r="K633" s="167" t="str">
        <f>INDEX(Tableau8[Nom du modele],MATCH(Tableau3[[#This Row],[ID-INS]],Tableau8[ID],0))&amp;""</f>
        <v>FeuBiCora</v>
      </c>
      <c r="L633" s="99" t="str">
        <f>INDEX(Tableau5[Att1],MATCH(Tableau3[[#This Row],[ID-SIG]],Tableau5[ID],0))&amp;""</f>
        <v>FeuR_RM</v>
      </c>
      <c r="M633" s="99" t="str">
        <f>INDEX(Tableau5[Att2],MATCH(Tableau3[[#This Row],[ID-SIG]],Tableau5[ID],0))&amp;""</f>
        <v/>
      </c>
      <c r="N633" s="99" t="str">
        <f>INDEX(Tableau5[Att3],MATCH(Tableau3[[#This Row],[ID-SIG]],Tableau5[ID],0))&amp;""</f>
        <v/>
      </c>
      <c r="O633" s="99"/>
      <c r="P633" s="99" t="str">
        <f>INDEX(Tableau5[Description],MATCH(Tableau3[[#This Row],[ID-SIG]],Tableau5[ID],0))</f>
        <v>Retour de marche Feu Rouge</v>
      </c>
      <c r="Q633" s="99"/>
      <c r="R633" s="103" t="str">
        <f>Tableau3[[#This Row],[Description]]</f>
        <v>Retour de marche Feu Rouge</v>
      </c>
      <c r="U633" s="87">
        <v>4</v>
      </c>
      <c r="V633" s="87">
        <v>2</v>
      </c>
      <c r="W633" s="87">
        <v>1</v>
      </c>
      <c r="X633" s="87">
        <v>15</v>
      </c>
      <c r="Y633" s="40"/>
      <c r="Z633" s="165" t="str">
        <f>INDEX(Tableau2[TS],MATCH(Tableau3[[#This Row],[ID-CARTEVOIE]],Tableau2[ID-CARTEVOIE],0))</f>
        <v>ET</v>
      </c>
      <c r="AA633" s="53" t="s">
        <v>213</v>
      </c>
      <c r="AB633" s="223" t="str">
        <f>IFERROR(INDEX(Tableau5[Reserve],MATCH(Tableau3[[#This Row],[ID-SIG]],Tableau5[ID],0))&amp;"","")</f>
        <v/>
      </c>
      <c r="AC633" s="21"/>
      <c r="AD633" s="108" t="str">
        <f>INDEX(Tableau7[Repere],MATCH(Tableau3[[#This Row],[ID-API]],Tableau7[ID-API],0))&amp;""</f>
        <v>A4</v>
      </c>
      <c r="AE633" s="108" t="str">
        <f>INDEX(Tableau1[Repere-Rack],MATCH(Tableau3[[#This Row],[ID-RACK]],Tableau1[ID-RACK],0))&amp;""</f>
        <v>R2</v>
      </c>
      <c r="AF633" s="108" t="str">
        <f>INDEX(Tableau1[Repere-Slot],MATCH(Tableau3[[#This Row],[ID-SLOT]],Tableau1[ID-SLOT],0))&amp;""</f>
        <v>S1</v>
      </c>
      <c r="AG633" s="108" t="str">
        <f>INDEX(Tableau2[Repere-Voie],MATCH(Tableau3[[#This Row],[ID-VOIE]],Tableau2[ID-Voie],0))&amp;""</f>
        <v>v15</v>
      </c>
      <c r="AH633" s="72" t="str">
        <f>Tableau3[[#This Row],[ID-API]]&amp; "." &amp;Tableau3[[#This Row],[ID-RACK]]&amp; "." &amp;Tableau3[[#This Row],[ID-SLOT]]</f>
        <v>4.2.1</v>
      </c>
      <c r="AI633" s="72" t="str">
        <f>INDEX(Tableau1[Ref-Carte],MATCH(Tableau3[[#This Row],[ID-RRS]],Tableau1[ID-RRS],0))</f>
        <v>SDI1602</v>
      </c>
      <c r="AJ633" s="72" t="str">
        <f t="array" ref="AJ633">IFERROR(INDEX(Tableau2[TS],MATCH(1,(Tableau2[Ref-Carte]=Tableau3[[#This Row],[Ref-Carte2]])*(Tableau2[ID-Voie]=Tableau3[[#This Row],[ID-VOIE]]),0)),"")</f>
        <v>ET</v>
      </c>
      <c r="AK633" s="72" t="str">
        <f>IFERROR(INDEX(Tableau2[TS],SUMPRODUCT((Tableau2[Ref-Carte]=Tableau3[[#This Row],[Ref-Carte2]])*(Tableau2[ID-Voie]=Tableau3[[#This Row],[ID-VOIE]])*ROW(Tableau2[TS]))-ROW(Tableau2[#Headers])),"")</f>
        <v>ET</v>
      </c>
      <c r="AL633" s="72" t="str">
        <f>Tableau3[[#This Row],[Ref-Carte2]]&amp;"/"&amp;Tableau3[[#This Row],[ID-VOIE]]</f>
        <v>SDI1602/15</v>
      </c>
      <c r="AM633" s="73" t="str">
        <f>INDEX(Tableau2[Borne],MATCH(Tableau3[[#This Row],[ID-CARTEVOIE]],Tableau2[ID-CARTEVOIE],0))&amp;""</f>
        <v>7A</v>
      </c>
      <c r="AN633" s="74" t="str">
        <f>Tableau3[[#This Row],[ID-API]]&amp;Tableau3[[#This Row],[ID-RACK]]&amp;Tableau3[[#This Row],[ID-SLOT]]&amp;Tableau3[[#This Row],[BORNE]]</f>
        <v>4217A</v>
      </c>
      <c r="AO633" s="1"/>
    </row>
    <row r="634" spans="1:41" ht="20.100000000000001" customHeight="1" thickTop="1" thickBot="1">
      <c r="A634" s="68"/>
      <c r="B634" s="69" t="str">
        <f>IFERROR(INDEX(Tableau4[Date],MATCH($A634,Tableau4[EVO],0)),"")</f>
        <v/>
      </c>
      <c r="C634" s="68" t="str">
        <f>IFERROR(INDEX(Tableau4[Designation],MATCH($A634,Tableau4[EVO],0)),"")</f>
        <v/>
      </c>
      <c r="D634" s="68"/>
      <c r="E634" s="70">
        <v>92</v>
      </c>
      <c r="F634" s="71">
        <v>311</v>
      </c>
      <c r="G634" s="101" t="str">
        <f>INDEX(Tableau8[Att1],MATCH(Tableau3[[#This Row],[ID-INS]],Tableau8[ID],0))&amp;""</f>
        <v>V3</v>
      </c>
      <c r="H634" s="101" t="str">
        <f>INDEX(Tableau8[Att2],MATCH(Tableau3[[#This Row],[ID-INS]],Tableau8[ID],0))&amp;""</f>
        <v>F19</v>
      </c>
      <c r="I634" s="101" t="str">
        <f>INDEX(Tableau8[Att3],MATCH(Tableau3[[#This Row],[ID-INS]],Tableau8[ID],0))&amp;""</f>
        <v>Feu F19</v>
      </c>
      <c r="J634" s="101"/>
      <c r="K634" s="167" t="str">
        <f>INDEX(Tableau8[Nom du modele],MATCH(Tableau3[[#This Row],[ID-INS]],Tableau8[ID],0))&amp;""</f>
        <v>FeuBiCora</v>
      </c>
      <c r="L634" s="99" t="str">
        <f>INDEX(Tableau5[Att1],MATCH(Tableau3[[#This Row],[ID-SIG]],Tableau5[ID],0))&amp;""</f>
        <v>FeuO_RM</v>
      </c>
      <c r="M634" s="99" t="str">
        <f>INDEX(Tableau5[Att2],MATCH(Tableau3[[#This Row],[ID-SIG]],Tableau5[ID],0))&amp;""</f>
        <v/>
      </c>
      <c r="N634" s="99" t="str">
        <f>INDEX(Tableau5[Att3],MATCH(Tableau3[[#This Row],[ID-SIG]],Tableau5[ID],0))&amp;""</f>
        <v/>
      </c>
      <c r="O634" s="99"/>
      <c r="P634" s="99" t="str">
        <f>INDEX(Tableau5[Description],MATCH(Tableau3[[#This Row],[ID-SIG]],Tableau5[ID],0))</f>
        <v>Retour de marche Feu Orange</v>
      </c>
      <c r="Q634" s="99"/>
      <c r="R634" s="103" t="str">
        <f>Tableau3[[#This Row],[Description]]</f>
        <v>Retour de marche Feu Orange</v>
      </c>
      <c r="U634" s="87">
        <v>4</v>
      </c>
      <c r="V634" s="87">
        <v>2</v>
      </c>
      <c r="W634" s="87">
        <v>2</v>
      </c>
      <c r="X634" s="87">
        <v>0</v>
      </c>
      <c r="Y634" s="40"/>
      <c r="Z634" s="165" t="str">
        <f>INDEX(Tableau2[TS],MATCH(Tableau3[[#This Row],[ID-CARTEVOIE]],Tableau2[ID-CARTEVOIE],0))</f>
        <v>ET</v>
      </c>
      <c r="AA634" s="53" t="s">
        <v>213</v>
      </c>
      <c r="AB634" s="223" t="str">
        <f>IFERROR(INDEX(Tableau5[Reserve],MATCH(Tableau3[[#This Row],[ID-SIG]],Tableau5[ID],0))&amp;"","")</f>
        <v/>
      </c>
      <c r="AC634" s="21"/>
      <c r="AD634" s="108" t="str">
        <f>INDEX(Tableau7[Repere],MATCH(Tableau3[[#This Row],[ID-API]],Tableau7[ID-API],0))&amp;""</f>
        <v>A4</v>
      </c>
      <c r="AE634" s="108" t="str">
        <f>INDEX(Tableau1[Repere-Rack],MATCH(Tableau3[[#This Row],[ID-RACK]],Tableau1[ID-RACK],0))&amp;""</f>
        <v>R2</v>
      </c>
      <c r="AF634" s="108" t="str">
        <f>INDEX(Tableau1[Repere-Slot],MATCH(Tableau3[[#This Row],[ID-SLOT]],Tableau1[ID-SLOT],0))&amp;""</f>
        <v>S2</v>
      </c>
      <c r="AG634" s="108" t="str">
        <f>INDEX(Tableau2[Repere-Voie],MATCH(Tableau3[[#This Row],[ID-VOIE]],Tableau2[ID-Voie],0))&amp;""</f>
        <v>v0</v>
      </c>
      <c r="AH634" s="72" t="str">
        <f>Tableau3[[#This Row],[ID-API]]&amp; "." &amp;Tableau3[[#This Row],[ID-RACK]]&amp; "." &amp;Tableau3[[#This Row],[ID-SLOT]]</f>
        <v>4.2.2</v>
      </c>
      <c r="AI634" s="72" t="str">
        <f>INDEX(Tableau1[Ref-Carte],MATCH(Tableau3[[#This Row],[ID-RRS]],Tableau1[ID-RRS],0))</f>
        <v>SDI1602</v>
      </c>
      <c r="AJ634" s="72" t="str">
        <f t="array" ref="AJ634">IFERROR(INDEX(Tableau2[TS],MATCH(1,(Tableau2[Ref-Carte]=Tableau3[[#This Row],[Ref-Carte2]])*(Tableau2[ID-Voie]=Tableau3[[#This Row],[ID-VOIE]]),0)),"")</f>
        <v>ET</v>
      </c>
      <c r="AK634" s="72" t="str">
        <f>IFERROR(INDEX(Tableau2[TS],SUMPRODUCT((Tableau2[Ref-Carte]=Tableau3[[#This Row],[Ref-Carte2]])*(Tableau2[ID-Voie]=Tableau3[[#This Row],[ID-VOIE]])*ROW(Tableau2[TS]))-ROW(Tableau2[#Headers])),"")</f>
        <v>ET</v>
      </c>
      <c r="AL634" s="72" t="str">
        <f>Tableau3[[#This Row],[Ref-Carte2]]&amp;"/"&amp;Tableau3[[#This Row],[ID-VOIE]]</f>
        <v>SDI1602/0</v>
      </c>
      <c r="AM634" s="73" t="str">
        <f>INDEX(Tableau2[Borne],MATCH(Tableau3[[#This Row],[ID-CARTEVOIE]],Tableau2[ID-CARTEVOIE],0))&amp;""</f>
        <v>0B</v>
      </c>
      <c r="AN634" s="74" t="str">
        <f>Tableau3[[#This Row],[ID-API]]&amp;Tableau3[[#This Row],[ID-RACK]]&amp;Tableau3[[#This Row],[ID-SLOT]]&amp;Tableau3[[#This Row],[BORNE]]</f>
        <v>4220B</v>
      </c>
      <c r="AO634" s="1"/>
    </row>
    <row r="635" spans="1:41" ht="20.100000000000001" customHeight="1" thickTop="1" thickBot="1">
      <c r="A635" s="68"/>
      <c r="B635" s="69" t="str">
        <f>IFERROR(INDEX(Tableau4[Date],MATCH($A635,Tableau4[EVO],0)),"")</f>
        <v/>
      </c>
      <c r="C635" s="68" t="str">
        <f>IFERROR(INDEX(Tableau4[Designation],MATCH($A635,Tableau4[EVO],0)),"")</f>
        <v/>
      </c>
      <c r="D635" s="68"/>
      <c r="E635" s="70">
        <v>92</v>
      </c>
      <c r="F635" s="71">
        <v>312</v>
      </c>
      <c r="G635" s="101" t="str">
        <f>INDEX(Tableau8[Att1],MATCH(Tableau3[[#This Row],[ID-INS]],Tableau8[ID],0))&amp;""</f>
        <v>V3</v>
      </c>
      <c r="H635" s="101" t="str">
        <f>INDEX(Tableau8[Att2],MATCH(Tableau3[[#This Row],[ID-INS]],Tableau8[ID],0))&amp;""</f>
        <v>F19</v>
      </c>
      <c r="I635" s="101" t="str">
        <f>INDEX(Tableau8[Att3],MATCH(Tableau3[[#This Row],[ID-INS]],Tableau8[ID],0))&amp;""</f>
        <v>Feu F19</v>
      </c>
      <c r="J635" s="101"/>
      <c r="K635" s="167" t="str">
        <f>INDEX(Tableau8[Nom du modele],MATCH(Tableau3[[#This Row],[ID-INS]],Tableau8[ID],0))&amp;""</f>
        <v>FeuBiCora</v>
      </c>
      <c r="L635" s="99" t="str">
        <f>INDEX(Tableau5[Att1],MATCH(Tableau3[[#This Row],[ID-SIG]],Tableau5[ID],0))&amp;""</f>
        <v>FeuR_RM</v>
      </c>
      <c r="M635" s="99" t="str">
        <f>INDEX(Tableau5[Att2],MATCH(Tableau3[[#This Row],[ID-SIG]],Tableau5[ID],0))&amp;""</f>
        <v/>
      </c>
      <c r="N635" s="99" t="str">
        <f>INDEX(Tableau5[Att3],MATCH(Tableau3[[#This Row],[ID-SIG]],Tableau5[ID],0))&amp;""</f>
        <v/>
      </c>
      <c r="O635" s="99"/>
      <c r="P635" s="99" t="str">
        <f>INDEX(Tableau5[Description],MATCH(Tableau3[[#This Row],[ID-SIG]],Tableau5[ID],0))</f>
        <v>Retour de marche Feu Rouge</v>
      </c>
      <c r="Q635" s="99"/>
      <c r="R635" s="103" t="str">
        <f>Tableau3[[#This Row],[Description]]</f>
        <v>Retour de marche Feu Rouge</v>
      </c>
      <c r="U635" s="87">
        <v>4</v>
      </c>
      <c r="V635" s="87">
        <v>2</v>
      </c>
      <c r="W635" s="87">
        <v>2</v>
      </c>
      <c r="X635" s="87">
        <v>1</v>
      </c>
      <c r="Y635" s="40"/>
      <c r="Z635" s="165" t="str">
        <f>INDEX(Tableau2[TS],MATCH(Tableau3[[#This Row],[ID-CARTEVOIE]],Tableau2[ID-CARTEVOIE],0))</f>
        <v>ET</v>
      </c>
      <c r="AA635" s="53" t="s">
        <v>213</v>
      </c>
      <c r="AB635" s="223" t="str">
        <f>IFERROR(INDEX(Tableau5[Reserve],MATCH(Tableau3[[#This Row],[ID-SIG]],Tableau5[ID],0))&amp;"","")</f>
        <v/>
      </c>
      <c r="AC635" s="21"/>
      <c r="AD635" s="108" t="str">
        <f>INDEX(Tableau7[Repere],MATCH(Tableau3[[#This Row],[ID-API]],Tableau7[ID-API],0))&amp;""</f>
        <v>A4</v>
      </c>
      <c r="AE635" s="108" t="str">
        <f>INDEX(Tableau1[Repere-Rack],MATCH(Tableau3[[#This Row],[ID-RACK]],Tableau1[ID-RACK],0))&amp;""</f>
        <v>R2</v>
      </c>
      <c r="AF635" s="108" t="str">
        <f>INDEX(Tableau1[Repere-Slot],MATCH(Tableau3[[#This Row],[ID-SLOT]],Tableau1[ID-SLOT],0))&amp;""</f>
        <v>S2</v>
      </c>
      <c r="AG635" s="108" t="str">
        <f>INDEX(Tableau2[Repere-Voie],MATCH(Tableau3[[#This Row],[ID-VOIE]],Tableau2[ID-Voie],0))&amp;""</f>
        <v>v1</v>
      </c>
      <c r="AH635" s="72" t="str">
        <f>Tableau3[[#This Row],[ID-API]]&amp; "." &amp;Tableau3[[#This Row],[ID-RACK]]&amp; "." &amp;Tableau3[[#This Row],[ID-SLOT]]</f>
        <v>4.2.2</v>
      </c>
      <c r="AI635" s="72" t="str">
        <f>INDEX(Tableau1[Ref-Carte],MATCH(Tableau3[[#This Row],[ID-RRS]],Tableau1[ID-RRS],0))</f>
        <v>SDI1602</v>
      </c>
      <c r="AJ635" s="72" t="str">
        <f t="array" ref="AJ635">IFERROR(INDEX(Tableau2[TS],MATCH(1,(Tableau2[Ref-Carte]=Tableau3[[#This Row],[Ref-Carte2]])*(Tableau2[ID-Voie]=Tableau3[[#This Row],[ID-VOIE]]),0)),"")</f>
        <v>ET</v>
      </c>
      <c r="AK635" s="72" t="str">
        <f>IFERROR(INDEX(Tableau2[TS],SUMPRODUCT((Tableau2[Ref-Carte]=Tableau3[[#This Row],[Ref-Carte2]])*(Tableau2[ID-Voie]=Tableau3[[#This Row],[ID-VOIE]])*ROW(Tableau2[TS]))-ROW(Tableau2[#Headers])),"")</f>
        <v>ET</v>
      </c>
      <c r="AL635" s="72" t="str">
        <f>Tableau3[[#This Row],[Ref-Carte2]]&amp;"/"&amp;Tableau3[[#This Row],[ID-VOIE]]</f>
        <v>SDI1602/1</v>
      </c>
      <c r="AM635" s="73" t="str">
        <f>INDEX(Tableau2[Borne],MATCH(Tableau3[[#This Row],[ID-CARTEVOIE]],Tableau2[ID-CARTEVOIE],0))&amp;""</f>
        <v>0A</v>
      </c>
      <c r="AN635" s="74" t="str">
        <f>Tableau3[[#This Row],[ID-API]]&amp;Tableau3[[#This Row],[ID-RACK]]&amp;Tableau3[[#This Row],[ID-SLOT]]&amp;Tableau3[[#This Row],[BORNE]]</f>
        <v>4220A</v>
      </c>
      <c r="AO635" s="1"/>
    </row>
    <row r="636" spans="1:41" ht="20.100000000000001" customHeight="1" thickTop="1" thickBot="1">
      <c r="A636" s="68"/>
      <c r="B636" s="69" t="str">
        <f>IFERROR(INDEX(Tableau4[Date],MATCH($A636,Tableau4[EVO],0)),"")</f>
        <v/>
      </c>
      <c r="C636" s="68" t="str">
        <f>IFERROR(INDEX(Tableau4[Designation],MATCH($A636,Tableau4[EVO],0)),"")</f>
        <v/>
      </c>
      <c r="D636" s="68"/>
      <c r="E636" s="70">
        <v>94</v>
      </c>
      <c r="F636" s="71">
        <v>319</v>
      </c>
      <c r="G636" s="101" t="str">
        <f>INDEX(Tableau8[Att1],MATCH(Tableau3[[#This Row],[ID-INS]],Tableau8[ID],0))&amp;""</f>
        <v>V3</v>
      </c>
      <c r="H636" s="101" t="str">
        <f>INDEX(Tableau8[Att2],MATCH(Tableau3[[#This Row],[ID-INS]],Tableau8[ID],0))&amp;""</f>
        <v>F14</v>
      </c>
      <c r="I636" s="101" t="str">
        <f>INDEX(Tableau8[Att3],MATCH(Tableau3[[#This Row],[ID-INS]],Tableau8[ID],0))&amp;""</f>
        <v>Feu F14</v>
      </c>
      <c r="J636" s="101"/>
      <c r="K636" s="167" t="str">
        <f>INDEX(Tableau8[Nom du modele],MATCH(Tableau3[[#This Row],[ID-INS]],Tableau8[ID],0))&amp;""</f>
        <v>FeuContrAleaVLPL1</v>
      </c>
      <c r="L636" s="99" t="str">
        <f>INDEX(Tableau5[Att1],MATCH(Tableau3[[#This Row],[ID-SIG]],Tableau5[ID],0))&amp;""</f>
        <v>Réserve</v>
      </c>
      <c r="M636" s="99" t="str">
        <f>INDEX(Tableau5[Att2],MATCH(Tableau3[[#This Row],[ID-SIG]],Tableau5[ID],0))&amp;""</f>
        <v/>
      </c>
      <c r="N636" s="99" t="str">
        <f>INDEX(Tableau5[Att3],MATCH(Tableau3[[#This Row],[ID-SIG]],Tableau5[ID],0))&amp;""</f>
        <v/>
      </c>
      <c r="O636" s="99"/>
      <c r="P636" s="99" t="str">
        <f>INDEX(Tableau5[Description],MATCH(Tableau3[[#This Row],[ID-SIG]],Tableau5[ID],0))</f>
        <v>Réserve</v>
      </c>
      <c r="Q636" s="99"/>
      <c r="R636" s="103" t="str">
        <f>Tableau3[[#This Row],[Description]]</f>
        <v>Réserve</v>
      </c>
      <c r="U636" s="87">
        <v>4</v>
      </c>
      <c r="V636" s="87">
        <v>2</v>
      </c>
      <c r="W636" s="87">
        <v>2</v>
      </c>
      <c r="X636" s="87">
        <v>2</v>
      </c>
      <c r="Y636" s="40"/>
      <c r="Z636" s="165" t="str">
        <f>INDEX(Tableau2[TS],MATCH(Tableau3[[#This Row],[ID-CARTEVOIE]],Tableau2[ID-CARTEVOIE],0))</f>
        <v>ET</v>
      </c>
      <c r="AA636" s="53" t="s">
        <v>213</v>
      </c>
      <c r="AB636" s="223" t="str">
        <f>IFERROR(INDEX(Tableau5[Reserve],MATCH(Tableau3[[#This Row],[ID-SIG]],Tableau5[ID],0))&amp;"","")</f>
        <v/>
      </c>
      <c r="AC636" s="21"/>
      <c r="AD636" s="108" t="str">
        <f>INDEX(Tableau7[Repere],MATCH(Tableau3[[#This Row],[ID-API]],Tableau7[ID-API],0))&amp;""</f>
        <v>A4</v>
      </c>
      <c r="AE636" s="108" t="str">
        <f>INDEX(Tableau1[Repere-Rack],MATCH(Tableau3[[#This Row],[ID-RACK]],Tableau1[ID-RACK],0))&amp;""</f>
        <v>R2</v>
      </c>
      <c r="AF636" s="108" t="str">
        <f>INDEX(Tableau1[Repere-Slot],MATCH(Tableau3[[#This Row],[ID-SLOT]],Tableau1[ID-SLOT],0))&amp;""</f>
        <v>S2</v>
      </c>
      <c r="AG636" s="108" t="str">
        <f>INDEX(Tableau2[Repere-Voie],MATCH(Tableau3[[#This Row],[ID-VOIE]],Tableau2[ID-Voie],0))&amp;""</f>
        <v>v2</v>
      </c>
      <c r="AH636" s="72" t="str">
        <f>Tableau3[[#This Row],[ID-API]]&amp; "." &amp;Tableau3[[#This Row],[ID-RACK]]&amp; "." &amp;Tableau3[[#This Row],[ID-SLOT]]</f>
        <v>4.2.2</v>
      </c>
      <c r="AI636" s="72" t="str">
        <f>INDEX(Tableau1[Ref-Carte],MATCH(Tableau3[[#This Row],[ID-RRS]],Tableau1[ID-RRS],0))</f>
        <v>SDI1602</v>
      </c>
      <c r="AJ636" s="72" t="str">
        <f t="array" ref="AJ636">IFERROR(INDEX(Tableau2[TS],MATCH(1,(Tableau2[Ref-Carte]=Tableau3[[#This Row],[Ref-Carte2]])*(Tableau2[ID-Voie]=Tableau3[[#This Row],[ID-VOIE]]),0)),"")</f>
        <v>ET</v>
      </c>
      <c r="AK636" s="72" t="str">
        <f>IFERROR(INDEX(Tableau2[TS],SUMPRODUCT((Tableau2[Ref-Carte]=Tableau3[[#This Row],[Ref-Carte2]])*(Tableau2[ID-Voie]=Tableau3[[#This Row],[ID-VOIE]])*ROW(Tableau2[TS]))-ROW(Tableau2[#Headers])),"")</f>
        <v>ET</v>
      </c>
      <c r="AL636" s="72" t="str">
        <f>Tableau3[[#This Row],[Ref-Carte2]]&amp;"/"&amp;Tableau3[[#This Row],[ID-VOIE]]</f>
        <v>SDI1602/2</v>
      </c>
      <c r="AM636" s="73" t="str">
        <f>INDEX(Tableau2[Borne],MATCH(Tableau3[[#This Row],[ID-CARTEVOIE]],Tableau2[ID-CARTEVOIE],0))&amp;""</f>
        <v>1B</v>
      </c>
      <c r="AN636" s="74" t="str">
        <f>Tableau3[[#This Row],[ID-API]]&amp;Tableau3[[#This Row],[ID-RACK]]&amp;Tableau3[[#This Row],[ID-SLOT]]&amp;Tableau3[[#This Row],[BORNE]]</f>
        <v>4221B</v>
      </c>
      <c r="AO636" s="1"/>
    </row>
    <row r="637" spans="1:41" ht="20.100000000000001" customHeight="1" thickTop="1" thickBot="1">
      <c r="A637" s="68"/>
      <c r="B637" s="69" t="str">
        <f>IFERROR(INDEX(Tableau4[Date],MATCH($A637,Tableau4[EVO],0)),"")</f>
        <v/>
      </c>
      <c r="C637" s="68" t="str">
        <f>IFERROR(INDEX(Tableau4[Designation],MATCH($A637,Tableau4[EVO],0)),"")</f>
        <v/>
      </c>
      <c r="D637" s="68"/>
      <c r="E637" s="70">
        <v>94</v>
      </c>
      <c r="F637" s="71">
        <v>320</v>
      </c>
      <c r="G637" s="101" t="str">
        <f>INDEX(Tableau8[Att1],MATCH(Tableau3[[#This Row],[ID-INS]],Tableau8[ID],0))&amp;""</f>
        <v>V3</v>
      </c>
      <c r="H637" s="101" t="str">
        <f>INDEX(Tableau8[Att2],MATCH(Tableau3[[#This Row],[ID-INS]],Tableau8[ID],0))&amp;""</f>
        <v>F14</v>
      </c>
      <c r="I637" s="101" t="str">
        <f>INDEX(Tableau8[Att3],MATCH(Tableau3[[#This Row],[ID-INS]],Tableau8[ID],0))&amp;""</f>
        <v>Feu F14</v>
      </c>
      <c r="J637" s="101"/>
      <c r="K637" s="167" t="str">
        <f>INDEX(Tableau8[Nom du modele],MATCH(Tableau3[[#This Row],[ID-INS]],Tableau8[ID],0))&amp;""</f>
        <v>FeuContrAleaVLPL1</v>
      </c>
      <c r="L637" s="99" t="str">
        <f>INDEX(Tableau5[Att1],MATCH(Tableau3[[#This Row],[ID-SIG]],Tableau5[ID],0))&amp;""</f>
        <v>Réserve</v>
      </c>
      <c r="M637" s="99" t="str">
        <f>INDEX(Tableau5[Att2],MATCH(Tableau3[[#This Row],[ID-SIG]],Tableau5[ID],0))&amp;""</f>
        <v/>
      </c>
      <c r="N637" s="99" t="str">
        <f>INDEX(Tableau5[Att3],MATCH(Tableau3[[#This Row],[ID-SIG]],Tableau5[ID],0))&amp;""</f>
        <v/>
      </c>
      <c r="O637" s="99"/>
      <c r="P637" s="99" t="str">
        <f>INDEX(Tableau5[Description],MATCH(Tableau3[[#This Row],[ID-SIG]],Tableau5[ID],0))</f>
        <v>Réserve</v>
      </c>
      <c r="Q637" s="99"/>
      <c r="R637" s="103" t="str">
        <f>Tableau3[[#This Row],[Description]]</f>
        <v>Réserve</v>
      </c>
      <c r="U637" s="87">
        <v>4</v>
      </c>
      <c r="V637" s="87">
        <v>2</v>
      </c>
      <c r="W637" s="87">
        <v>2</v>
      </c>
      <c r="X637" s="87">
        <v>3</v>
      </c>
      <c r="Y637" s="40"/>
      <c r="Z637" s="165" t="str">
        <f>INDEX(Tableau2[TS],MATCH(Tableau3[[#This Row],[ID-CARTEVOIE]],Tableau2[ID-CARTEVOIE],0))</f>
        <v>ET</v>
      </c>
      <c r="AA637" s="53" t="s">
        <v>213</v>
      </c>
      <c r="AB637" s="223" t="str">
        <f>IFERROR(INDEX(Tableau5[Reserve],MATCH(Tableau3[[#This Row],[ID-SIG]],Tableau5[ID],0))&amp;"","")</f>
        <v/>
      </c>
      <c r="AC637" s="21"/>
      <c r="AD637" s="108" t="str">
        <f>INDEX(Tableau7[Repere],MATCH(Tableau3[[#This Row],[ID-API]],Tableau7[ID-API],0))&amp;""</f>
        <v>A4</v>
      </c>
      <c r="AE637" s="108" t="str">
        <f>INDEX(Tableau1[Repere-Rack],MATCH(Tableau3[[#This Row],[ID-RACK]],Tableau1[ID-RACK],0))&amp;""</f>
        <v>R2</v>
      </c>
      <c r="AF637" s="108" t="str">
        <f>INDEX(Tableau1[Repere-Slot],MATCH(Tableau3[[#This Row],[ID-SLOT]],Tableau1[ID-SLOT],0))&amp;""</f>
        <v>S2</v>
      </c>
      <c r="AG637" s="108" t="str">
        <f>INDEX(Tableau2[Repere-Voie],MATCH(Tableau3[[#This Row],[ID-VOIE]],Tableau2[ID-Voie],0))&amp;""</f>
        <v>v3</v>
      </c>
      <c r="AH637" s="72" t="str">
        <f>Tableau3[[#This Row],[ID-API]]&amp; "." &amp;Tableau3[[#This Row],[ID-RACK]]&amp; "." &amp;Tableau3[[#This Row],[ID-SLOT]]</f>
        <v>4.2.2</v>
      </c>
      <c r="AI637" s="72" t="str">
        <f>INDEX(Tableau1[Ref-Carte],MATCH(Tableau3[[#This Row],[ID-RRS]],Tableau1[ID-RRS],0))</f>
        <v>SDI1602</v>
      </c>
      <c r="AJ637" s="72" t="str">
        <f t="array" ref="AJ637">IFERROR(INDEX(Tableau2[TS],MATCH(1,(Tableau2[Ref-Carte]=Tableau3[[#This Row],[Ref-Carte2]])*(Tableau2[ID-Voie]=Tableau3[[#This Row],[ID-VOIE]]),0)),"")</f>
        <v>ET</v>
      </c>
      <c r="AK637" s="72" t="str">
        <f>IFERROR(INDEX(Tableau2[TS],SUMPRODUCT((Tableau2[Ref-Carte]=Tableau3[[#This Row],[Ref-Carte2]])*(Tableau2[ID-Voie]=Tableau3[[#This Row],[ID-VOIE]])*ROW(Tableau2[TS]))-ROW(Tableau2[#Headers])),"")</f>
        <v>ET</v>
      </c>
      <c r="AL637" s="72" t="str">
        <f>Tableau3[[#This Row],[Ref-Carte2]]&amp;"/"&amp;Tableau3[[#This Row],[ID-VOIE]]</f>
        <v>SDI1602/3</v>
      </c>
      <c r="AM637" s="73" t="str">
        <f>INDEX(Tableau2[Borne],MATCH(Tableau3[[#This Row],[ID-CARTEVOIE]],Tableau2[ID-CARTEVOIE],0))&amp;""</f>
        <v>1A</v>
      </c>
      <c r="AN637" s="74" t="str">
        <f>Tableau3[[#This Row],[ID-API]]&amp;Tableau3[[#This Row],[ID-RACK]]&amp;Tableau3[[#This Row],[ID-SLOT]]&amp;Tableau3[[#This Row],[BORNE]]</f>
        <v>4221A</v>
      </c>
      <c r="AO637" s="1"/>
    </row>
    <row r="638" spans="1:41" ht="20.100000000000001" customHeight="1" thickTop="1" thickBot="1">
      <c r="A638" s="68"/>
      <c r="B638" s="69" t="str">
        <f>IFERROR(INDEX(Tableau4[Date],MATCH($A638,Tableau4[EVO],0)),"")</f>
        <v/>
      </c>
      <c r="C638" s="68" t="str">
        <f>IFERROR(INDEX(Tableau4[Designation],MATCH($A638,Tableau4[EVO],0)),"")</f>
        <v/>
      </c>
      <c r="D638" s="68"/>
      <c r="E638" s="70">
        <v>94</v>
      </c>
      <c r="F638" s="71">
        <v>321</v>
      </c>
      <c r="G638" s="101" t="str">
        <f>INDEX(Tableau8[Att1],MATCH(Tableau3[[#This Row],[ID-INS]],Tableau8[ID],0))&amp;""</f>
        <v>V3</v>
      </c>
      <c r="H638" s="101" t="str">
        <f>INDEX(Tableau8[Att2],MATCH(Tableau3[[#This Row],[ID-INS]],Tableau8[ID],0))&amp;""</f>
        <v>F14</v>
      </c>
      <c r="I638" s="101" t="str">
        <f>INDEX(Tableau8[Att3],MATCH(Tableau3[[#This Row],[ID-INS]],Tableau8[ID],0))&amp;""</f>
        <v>Feu F14</v>
      </c>
      <c r="J638" s="101"/>
      <c r="K638" s="167" t="str">
        <f>INDEX(Tableau8[Nom du modele],MATCH(Tableau3[[#This Row],[ID-INS]],Tableau8[ID],0))&amp;""</f>
        <v>FeuContrAleaVLPL1</v>
      </c>
      <c r="L638" s="99" t="str">
        <f>INDEX(Tableau5[Att1],MATCH(Tableau3[[#This Row],[ID-SIG]],Tableau5[ID],0))&amp;""</f>
        <v>Réserve</v>
      </c>
      <c r="M638" s="99" t="str">
        <f>INDEX(Tableau5[Att2],MATCH(Tableau3[[#This Row],[ID-SIG]],Tableau5[ID],0))&amp;""</f>
        <v/>
      </c>
      <c r="N638" s="99" t="str">
        <f>INDEX(Tableau5[Att3],MATCH(Tableau3[[#This Row],[ID-SIG]],Tableau5[ID],0))&amp;""</f>
        <v/>
      </c>
      <c r="O638" s="99"/>
      <c r="P638" s="99" t="str">
        <f>INDEX(Tableau5[Description],MATCH(Tableau3[[#This Row],[ID-SIG]],Tableau5[ID],0))</f>
        <v>Réserve</v>
      </c>
      <c r="Q638" s="99"/>
      <c r="R638" s="103" t="str">
        <f>Tableau3[[#This Row],[Description]]</f>
        <v>Réserve</v>
      </c>
      <c r="U638" s="87">
        <v>4</v>
      </c>
      <c r="V638" s="87">
        <v>2</v>
      </c>
      <c r="W638" s="87">
        <v>2</v>
      </c>
      <c r="X638" s="87">
        <v>4</v>
      </c>
      <c r="Y638" s="40"/>
      <c r="Z638" s="165" t="str">
        <f>INDEX(Tableau2[TS],MATCH(Tableau3[[#This Row],[ID-CARTEVOIE]],Tableau2[ID-CARTEVOIE],0))</f>
        <v>ET</v>
      </c>
      <c r="AA638" s="53" t="s">
        <v>213</v>
      </c>
      <c r="AB638" s="223" t="str">
        <f>IFERROR(INDEX(Tableau5[Reserve],MATCH(Tableau3[[#This Row],[ID-SIG]],Tableau5[ID],0))&amp;"","")</f>
        <v/>
      </c>
      <c r="AC638" s="21"/>
      <c r="AD638" s="108" t="str">
        <f>INDEX(Tableau7[Repere],MATCH(Tableau3[[#This Row],[ID-API]],Tableau7[ID-API],0))&amp;""</f>
        <v>A4</v>
      </c>
      <c r="AE638" s="108" t="str">
        <f>INDEX(Tableau1[Repere-Rack],MATCH(Tableau3[[#This Row],[ID-RACK]],Tableau1[ID-RACK],0))&amp;""</f>
        <v>R2</v>
      </c>
      <c r="AF638" s="108" t="str">
        <f>INDEX(Tableau1[Repere-Slot],MATCH(Tableau3[[#This Row],[ID-SLOT]],Tableau1[ID-SLOT],0))&amp;""</f>
        <v>S2</v>
      </c>
      <c r="AG638" s="108" t="str">
        <f>INDEX(Tableau2[Repere-Voie],MATCH(Tableau3[[#This Row],[ID-VOIE]],Tableau2[ID-Voie],0))&amp;""</f>
        <v>v4</v>
      </c>
      <c r="AH638" s="72" t="str">
        <f>Tableau3[[#This Row],[ID-API]]&amp; "." &amp;Tableau3[[#This Row],[ID-RACK]]&amp; "." &amp;Tableau3[[#This Row],[ID-SLOT]]</f>
        <v>4.2.2</v>
      </c>
      <c r="AI638" s="72" t="str">
        <f>INDEX(Tableau1[Ref-Carte],MATCH(Tableau3[[#This Row],[ID-RRS]],Tableau1[ID-RRS],0))</f>
        <v>SDI1602</v>
      </c>
      <c r="AJ638" s="72" t="str">
        <f t="array" ref="AJ638">IFERROR(INDEX(Tableau2[TS],MATCH(1,(Tableau2[Ref-Carte]=Tableau3[[#This Row],[Ref-Carte2]])*(Tableau2[ID-Voie]=Tableau3[[#This Row],[ID-VOIE]]),0)),"")</f>
        <v>ET</v>
      </c>
      <c r="AK638" s="72" t="str">
        <f>IFERROR(INDEX(Tableau2[TS],SUMPRODUCT((Tableau2[Ref-Carte]=Tableau3[[#This Row],[Ref-Carte2]])*(Tableau2[ID-Voie]=Tableau3[[#This Row],[ID-VOIE]])*ROW(Tableau2[TS]))-ROW(Tableau2[#Headers])),"")</f>
        <v>ET</v>
      </c>
      <c r="AL638" s="72" t="str">
        <f>Tableau3[[#This Row],[Ref-Carte2]]&amp;"/"&amp;Tableau3[[#This Row],[ID-VOIE]]</f>
        <v>SDI1602/4</v>
      </c>
      <c r="AM638" s="73" t="str">
        <f>INDEX(Tableau2[Borne],MATCH(Tableau3[[#This Row],[ID-CARTEVOIE]],Tableau2[ID-CARTEVOIE],0))&amp;""</f>
        <v>2B</v>
      </c>
      <c r="AN638" s="74" t="str">
        <f>Tableau3[[#This Row],[ID-API]]&amp;Tableau3[[#This Row],[ID-RACK]]&amp;Tableau3[[#This Row],[ID-SLOT]]&amp;Tableau3[[#This Row],[BORNE]]</f>
        <v>4222B</v>
      </c>
      <c r="AO638" s="1"/>
    </row>
    <row r="639" spans="1:41" ht="20.100000000000001" customHeight="1" thickTop="1" thickBot="1">
      <c r="A639" s="68"/>
      <c r="B639" s="69" t="str">
        <f>IFERROR(INDEX(Tableau4[Date],MATCH($A639,Tableau4[EVO],0)),"")</f>
        <v/>
      </c>
      <c r="C639" s="68" t="str">
        <f>IFERROR(INDEX(Tableau4[Designation],MATCH($A639,Tableau4[EVO],0)),"")</f>
        <v/>
      </c>
      <c r="D639" s="68"/>
      <c r="E639" s="70">
        <v>99</v>
      </c>
      <c r="F639" s="71">
        <v>308</v>
      </c>
      <c r="G639" s="101" t="str">
        <f>INDEX(Tableau8[Att1],MATCH(Tableau3[[#This Row],[ID-INS]],Tableau8[ID],0))&amp;""</f>
        <v>V3</v>
      </c>
      <c r="H639" s="101" t="str">
        <f>INDEX(Tableau8[Att2],MATCH(Tableau3[[#This Row],[ID-INS]],Tableau8[ID],0))&amp;""</f>
        <v>F24</v>
      </c>
      <c r="I639" s="101" t="str">
        <f>INDEX(Tableau8[Att3],MATCH(Tableau3[[#This Row],[ID-INS]],Tableau8[ID],0))&amp;""</f>
        <v>Feu F24</v>
      </c>
      <c r="J639" s="101"/>
      <c r="K639" s="167" t="str">
        <f>INDEX(Tableau8[Nom du modele],MATCH(Tableau3[[#This Row],[ID-INS]],Tableau8[ID],0))&amp;""</f>
        <v>FeuOuvV</v>
      </c>
      <c r="L639" s="99" t="str">
        <f>INDEX(Tableau5[Att1],MATCH(Tableau3[[#This Row],[ID-SIG]],Tableau5[ID],0))&amp;""</f>
        <v>Feu_RM</v>
      </c>
      <c r="M639" s="99" t="str">
        <f>INDEX(Tableau5[Att2],MATCH(Tableau3[[#This Row],[ID-SIG]],Tableau5[ID],0))&amp;""</f>
        <v/>
      </c>
      <c r="N639" s="99" t="str">
        <f>INDEX(Tableau5[Att3],MATCH(Tableau3[[#This Row],[ID-SIG]],Tableau5[ID],0))&amp;""</f>
        <v/>
      </c>
      <c r="O639" s="99"/>
      <c r="P639" s="99" t="str">
        <f>INDEX(Tableau5[Description],MATCH(Tableau3[[#This Row],[ID-SIG]],Tableau5[ID],0))</f>
        <v>Retour de marche Feu</v>
      </c>
      <c r="Q639" s="99"/>
      <c r="R639" s="103" t="str">
        <f>Tableau3[[#This Row],[Description]]</f>
        <v>Retour de marche Feu</v>
      </c>
      <c r="U639" s="87">
        <v>4</v>
      </c>
      <c r="V639" s="87">
        <v>2</v>
      </c>
      <c r="W639" s="87">
        <v>2</v>
      </c>
      <c r="X639" s="87">
        <v>5</v>
      </c>
      <c r="Y639" s="40"/>
      <c r="Z639" s="165" t="str">
        <f>INDEX(Tableau2[TS],MATCH(Tableau3[[#This Row],[ID-CARTEVOIE]],Tableau2[ID-CARTEVOIE],0))</f>
        <v>ET</v>
      </c>
      <c r="AA639" s="53" t="s">
        <v>213</v>
      </c>
      <c r="AB639" s="223" t="str">
        <f>IFERROR(INDEX(Tableau5[Reserve],MATCH(Tableau3[[#This Row],[ID-SIG]],Tableau5[ID],0))&amp;"","")</f>
        <v/>
      </c>
      <c r="AC639" s="21"/>
      <c r="AD639" s="108" t="str">
        <f>INDEX(Tableau7[Repere],MATCH(Tableau3[[#This Row],[ID-API]],Tableau7[ID-API],0))&amp;""</f>
        <v>A4</v>
      </c>
      <c r="AE639" s="108" t="str">
        <f>INDEX(Tableau1[Repere-Rack],MATCH(Tableau3[[#This Row],[ID-RACK]],Tableau1[ID-RACK],0))&amp;""</f>
        <v>R2</v>
      </c>
      <c r="AF639" s="108" t="str">
        <f>INDEX(Tableau1[Repere-Slot],MATCH(Tableau3[[#This Row],[ID-SLOT]],Tableau1[ID-SLOT],0))&amp;""</f>
        <v>S2</v>
      </c>
      <c r="AG639" s="108" t="str">
        <f>INDEX(Tableau2[Repere-Voie],MATCH(Tableau3[[#This Row],[ID-VOIE]],Tableau2[ID-Voie],0))&amp;""</f>
        <v>v5</v>
      </c>
      <c r="AH639" s="72" t="str">
        <f>Tableau3[[#This Row],[ID-API]]&amp; "." &amp;Tableau3[[#This Row],[ID-RACK]]&amp; "." &amp;Tableau3[[#This Row],[ID-SLOT]]</f>
        <v>4.2.2</v>
      </c>
      <c r="AI639" s="72" t="str">
        <f>INDEX(Tableau1[Ref-Carte],MATCH(Tableau3[[#This Row],[ID-RRS]],Tableau1[ID-RRS],0))</f>
        <v>SDI1602</v>
      </c>
      <c r="AJ639" s="72" t="str">
        <f t="array" ref="AJ639">IFERROR(INDEX(Tableau2[TS],MATCH(1,(Tableau2[Ref-Carte]=Tableau3[[#This Row],[Ref-Carte2]])*(Tableau2[ID-Voie]=Tableau3[[#This Row],[ID-VOIE]]),0)),"")</f>
        <v>ET</v>
      </c>
      <c r="AK639" s="72" t="str">
        <f>IFERROR(INDEX(Tableau2[TS],SUMPRODUCT((Tableau2[Ref-Carte]=Tableau3[[#This Row],[Ref-Carte2]])*(Tableau2[ID-Voie]=Tableau3[[#This Row],[ID-VOIE]])*ROW(Tableau2[TS]))-ROW(Tableau2[#Headers])),"")</f>
        <v>ET</v>
      </c>
      <c r="AL639" s="72" t="str">
        <f>Tableau3[[#This Row],[Ref-Carte2]]&amp;"/"&amp;Tableau3[[#This Row],[ID-VOIE]]</f>
        <v>SDI1602/5</v>
      </c>
      <c r="AM639" s="73" t="str">
        <f>INDEX(Tableau2[Borne],MATCH(Tableau3[[#This Row],[ID-CARTEVOIE]],Tableau2[ID-CARTEVOIE],0))&amp;""</f>
        <v>2A</v>
      </c>
      <c r="AN639" s="74" t="str">
        <f>Tableau3[[#This Row],[ID-API]]&amp;Tableau3[[#This Row],[ID-RACK]]&amp;Tableau3[[#This Row],[ID-SLOT]]&amp;Tableau3[[#This Row],[BORNE]]</f>
        <v>4222A</v>
      </c>
      <c r="AO639" s="1"/>
    </row>
    <row r="640" spans="1:41" ht="20.100000000000001" customHeight="1" thickTop="1" thickBot="1">
      <c r="A640" s="68"/>
      <c r="B640" s="69" t="str">
        <f>IFERROR(INDEX(Tableau4[Date],MATCH($A640,Tableau4[EVO],0)),"")</f>
        <v/>
      </c>
      <c r="C640" s="68" t="str">
        <f>IFERROR(INDEX(Tableau4[Designation],MATCH($A640,Tableau4[EVO],0)),"")</f>
        <v/>
      </c>
      <c r="D640" s="68"/>
      <c r="E640" s="70">
        <v>102</v>
      </c>
      <c r="F640" s="71">
        <v>308</v>
      </c>
      <c r="G640" s="101" t="str">
        <f>INDEX(Tableau8[Att1],MATCH(Tableau3[[#This Row],[ID-INS]],Tableau8[ID],0))&amp;""</f>
        <v>V3</v>
      </c>
      <c r="H640" s="101" t="str">
        <f>INDEX(Tableau8[Att2],MATCH(Tableau3[[#This Row],[ID-INS]],Tableau8[ID],0))&amp;""</f>
        <v>F27</v>
      </c>
      <c r="I640" s="101" t="str">
        <f>INDEX(Tableau8[Att3],MATCH(Tableau3[[#This Row],[ID-INS]],Tableau8[ID],0))&amp;""</f>
        <v>Feu F27</v>
      </c>
      <c r="J640" s="101"/>
      <c r="K640" s="167" t="str">
        <f>INDEX(Tableau8[Nom du modele],MATCH(Tableau3[[#This Row],[ID-INS]],Tableau8[ID],0))&amp;""</f>
        <v>FeuOuvV</v>
      </c>
      <c r="L640" s="99" t="str">
        <f>INDEX(Tableau5[Att1],MATCH(Tableau3[[#This Row],[ID-SIG]],Tableau5[ID],0))&amp;""</f>
        <v>Feu_RM</v>
      </c>
      <c r="M640" s="99" t="str">
        <f>INDEX(Tableau5[Att2],MATCH(Tableau3[[#This Row],[ID-SIG]],Tableau5[ID],0))&amp;""</f>
        <v/>
      </c>
      <c r="N640" s="99" t="str">
        <f>INDEX(Tableau5[Att3],MATCH(Tableau3[[#This Row],[ID-SIG]],Tableau5[ID],0))&amp;""</f>
        <v/>
      </c>
      <c r="O640" s="99"/>
      <c r="P640" s="99" t="str">
        <f>INDEX(Tableau5[Description],MATCH(Tableau3[[#This Row],[ID-SIG]],Tableau5[ID],0))</f>
        <v>Retour de marche Feu</v>
      </c>
      <c r="Q640" s="99"/>
      <c r="R640" s="103" t="str">
        <f>Tableau3[[#This Row],[Description]]</f>
        <v>Retour de marche Feu</v>
      </c>
      <c r="U640" s="87">
        <v>4</v>
      </c>
      <c r="V640" s="87">
        <v>2</v>
      </c>
      <c r="W640" s="87">
        <v>2</v>
      </c>
      <c r="X640" s="87">
        <v>6</v>
      </c>
      <c r="Y640" s="40"/>
      <c r="Z640" s="165" t="str">
        <f>INDEX(Tableau2[TS],MATCH(Tableau3[[#This Row],[ID-CARTEVOIE]],Tableau2[ID-CARTEVOIE],0))</f>
        <v>ET</v>
      </c>
      <c r="AA640" s="53" t="s">
        <v>213</v>
      </c>
      <c r="AB640" s="223" t="str">
        <f>IFERROR(INDEX(Tableau5[Reserve],MATCH(Tableau3[[#This Row],[ID-SIG]],Tableau5[ID],0))&amp;"","")</f>
        <v/>
      </c>
      <c r="AC640" s="21"/>
      <c r="AD640" s="108" t="str">
        <f>INDEX(Tableau7[Repere],MATCH(Tableau3[[#This Row],[ID-API]],Tableau7[ID-API],0))&amp;""</f>
        <v>A4</v>
      </c>
      <c r="AE640" s="108" t="str">
        <f>INDEX(Tableau1[Repere-Rack],MATCH(Tableau3[[#This Row],[ID-RACK]],Tableau1[ID-RACK],0))&amp;""</f>
        <v>R2</v>
      </c>
      <c r="AF640" s="108" t="str">
        <f>INDEX(Tableau1[Repere-Slot],MATCH(Tableau3[[#This Row],[ID-SLOT]],Tableau1[ID-SLOT],0))&amp;""</f>
        <v>S2</v>
      </c>
      <c r="AG640" s="108" t="str">
        <f>INDEX(Tableau2[Repere-Voie],MATCH(Tableau3[[#This Row],[ID-VOIE]],Tableau2[ID-Voie],0))&amp;""</f>
        <v>v6</v>
      </c>
      <c r="AH640" s="72" t="str">
        <f>Tableau3[[#This Row],[ID-API]]&amp; "." &amp;Tableau3[[#This Row],[ID-RACK]]&amp; "." &amp;Tableau3[[#This Row],[ID-SLOT]]</f>
        <v>4.2.2</v>
      </c>
      <c r="AI640" s="72" t="str">
        <f>INDEX(Tableau1[Ref-Carte],MATCH(Tableau3[[#This Row],[ID-RRS]],Tableau1[ID-RRS],0))</f>
        <v>SDI1602</v>
      </c>
      <c r="AJ640" s="72" t="str">
        <f t="array" ref="AJ640">IFERROR(INDEX(Tableau2[TS],MATCH(1,(Tableau2[Ref-Carte]=Tableau3[[#This Row],[Ref-Carte2]])*(Tableau2[ID-Voie]=Tableau3[[#This Row],[ID-VOIE]]),0)),"")</f>
        <v>ET</v>
      </c>
      <c r="AK640" s="72" t="str">
        <f>IFERROR(INDEX(Tableau2[TS],SUMPRODUCT((Tableau2[Ref-Carte]=Tableau3[[#This Row],[Ref-Carte2]])*(Tableau2[ID-Voie]=Tableau3[[#This Row],[ID-VOIE]])*ROW(Tableau2[TS]))-ROW(Tableau2[#Headers])),"")</f>
        <v>ET</v>
      </c>
      <c r="AL640" s="72" t="str">
        <f>Tableau3[[#This Row],[Ref-Carte2]]&amp;"/"&amp;Tableau3[[#This Row],[ID-VOIE]]</f>
        <v>SDI1602/6</v>
      </c>
      <c r="AM640" s="73" t="str">
        <f>INDEX(Tableau2[Borne],MATCH(Tableau3[[#This Row],[ID-CARTEVOIE]],Tableau2[ID-CARTEVOIE],0))&amp;""</f>
        <v>3B</v>
      </c>
      <c r="AN640" s="74" t="str">
        <f>Tableau3[[#This Row],[ID-API]]&amp;Tableau3[[#This Row],[ID-RACK]]&amp;Tableau3[[#This Row],[ID-SLOT]]&amp;Tableau3[[#This Row],[BORNE]]</f>
        <v>4223B</v>
      </c>
      <c r="AO640" s="1"/>
    </row>
    <row r="641" spans="1:41" ht="20.100000000000001" customHeight="1" thickTop="1" thickBot="1">
      <c r="A641" s="68"/>
      <c r="B641" s="69" t="str">
        <f>IFERROR(INDEX(Tableau4[Date],MATCH($A641,Tableau4[EVO],0)),"")</f>
        <v/>
      </c>
      <c r="C641" s="68" t="str">
        <f>IFERROR(INDEX(Tableau4[Designation],MATCH($A641,Tableau4[EVO],0)),"")</f>
        <v/>
      </c>
      <c r="D641" s="68"/>
      <c r="E641" s="70">
        <v>105</v>
      </c>
      <c r="F641" s="71">
        <v>15</v>
      </c>
      <c r="G641" s="101" t="str">
        <f>INDEX(Tableau8[Att1],MATCH(Tableau3[[#This Row],[ID-INS]],Tableau8[ID],0))&amp;""</f>
        <v>V3</v>
      </c>
      <c r="H641" s="101" t="str">
        <f>INDEX(Tableau8[Att2],MATCH(Tableau3[[#This Row],[ID-INS]],Tableau8[ID],0))&amp;""</f>
        <v>UTLR3</v>
      </c>
      <c r="I641" s="101" t="str">
        <f>INDEX(Tableau8[Att3],MATCH(Tableau3[[#This Row],[ID-INS]],Tableau8[ID],0))&amp;""</f>
        <v>UTL rouge IDVL3/BH3</v>
      </c>
      <c r="J641" s="101"/>
      <c r="K641" s="167" t="str">
        <f>INDEX(Tableau8[Nom du modele],MATCH(Tableau3[[#This Row],[ID-INS]],Tableau8[ID],0))&amp;""</f>
        <v>UTL</v>
      </c>
      <c r="L641" s="99" t="str">
        <f>INDEX(Tableau5[Att1],MATCH(Tableau3[[#This Row],[ID-SIG]],Tableau5[ID],0))&amp;""</f>
        <v>DmdOuv</v>
      </c>
      <c r="M641" s="99" t="str">
        <f>INDEX(Tableau5[Att2],MATCH(Tableau3[[#This Row],[ID-SIG]],Tableau5[ID],0))&amp;""</f>
        <v/>
      </c>
      <c r="N641" s="99" t="str">
        <f>INDEX(Tableau5[Att3],MATCH(Tableau3[[#This Row],[ID-SIG]],Tableau5[ID],0))&amp;""</f>
        <v/>
      </c>
      <c r="O641" s="99"/>
      <c r="P641" s="99" t="str">
        <f>INDEX(Tableau5[Description],MATCH(Tableau3[[#This Row],[ID-SIG]],Tableau5[ID],0))</f>
        <v>Demande d'ouverture venant UTL</v>
      </c>
      <c r="Q641" s="99"/>
      <c r="R641" s="103" t="str">
        <f>Tableau3[[#This Row],[Description]]</f>
        <v>Demande d'ouverture venant UTL</v>
      </c>
      <c r="U641" s="87">
        <v>4</v>
      </c>
      <c r="V641" s="87">
        <v>2</v>
      </c>
      <c r="W641" s="87">
        <v>2</v>
      </c>
      <c r="X641" s="87">
        <v>7</v>
      </c>
      <c r="Y641" s="40"/>
      <c r="Z641" s="165" t="str">
        <f>INDEX(Tableau2[TS],MATCH(Tableau3[[#This Row],[ID-CARTEVOIE]],Tableau2[ID-CARTEVOIE],0))</f>
        <v>ET</v>
      </c>
      <c r="AA641" s="53" t="s">
        <v>213</v>
      </c>
      <c r="AB641" s="223" t="str">
        <f>IFERROR(INDEX(Tableau5[Reserve],MATCH(Tableau3[[#This Row],[ID-SIG]],Tableau5[ID],0))&amp;"","")</f>
        <v/>
      </c>
      <c r="AC641" s="21"/>
      <c r="AD641" s="108" t="str">
        <f>INDEX(Tableau7[Repere],MATCH(Tableau3[[#This Row],[ID-API]],Tableau7[ID-API],0))&amp;""</f>
        <v>A4</v>
      </c>
      <c r="AE641" s="108" t="str">
        <f>INDEX(Tableau1[Repere-Rack],MATCH(Tableau3[[#This Row],[ID-RACK]],Tableau1[ID-RACK],0))&amp;""</f>
        <v>R2</v>
      </c>
      <c r="AF641" s="108" t="str">
        <f>INDEX(Tableau1[Repere-Slot],MATCH(Tableau3[[#This Row],[ID-SLOT]],Tableau1[ID-SLOT],0))&amp;""</f>
        <v>S2</v>
      </c>
      <c r="AG641" s="108" t="str">
        <f>INDEX(Tableau2[Repere-Voie],MATCH(Tableau3[[#This Row],[ID-VOIE]],Tableau2[ID-Voie],0))&amp;""</f>
        <v>v7</v>
      </c>
      <c r="AH641" s="72" t="str">
        <f>Tableau3[[#This Row],[ID-API]]&amp; "." &amp;Tableau3[[#This Row],[ID-RACK]]&amp; "." &amp;Tableau3[[#This Row],[ID-SLOT]]</f>
        <v>4.2.2</v>
      </c>
      <c r="AI641" s="72" t="str">
        <f>INDEX(Tableau1[Ref-Carte],MATCH(Tableau3[[#This Row],[ID-RRS]],Tableau1[ID-RRS],0))</f>
        <v>SDI1602</v>
      </c>
      <c r="AJ641" s="72" t="str">
        <f t="array" ref="AJ641">IFERROR(INDEX(Tableau2[TS],MATCH(1,(Tableau2[Ref-Carte]=Tableau3[[#This Row],[Ref-Carte2]])*(Tableau2[ID-Voie]=Tableau3[[#This Row],[ID-VOIE]]),0)),"")</f>
        <v>ET</v>
      </c>
      <c r="AK641" s="72" t="str">
        <f>IFERROR(INDEX(Tableau2[TS],SUMPRODUCT((Tableau2[Ref-Carte]=Tableau3[[#This Row],[Ref-Carte2]])*(Tableau2[ID-Voie]=Tableau3[[#This Row],[ID-VOIE]])*ROW(Tableau2[TS]))-ROW(Tableau2[#Headers])),"")</f>
        <v>ET</v>
      </c>
      <c r="AL641" s="72" t="str">
        <f>Tableau3[[#This Row],[Ref-Carte2]]&amp;"/"&amp;Tableau3[[#This Row],[ID-VOIE]]</f>
        <v>SDI1602/7</v>
      </c>
      <c r="AM641" s="73" t="str">
        <f>INDEX(Tableau2[Borne],MATCH(Tableau3[[#This Row],[ID-CARTEVOIE]],Tableau2[ID-CARTEVOIE],0))&amp;""</f>
        <v>3A</v>
      </c>
      <c r="AN641" s="74" t="str">
        <f>Tableau3[[#This Row],[ID-API]]&amp;Tableau3[[#This Row],[ID-RACK]]&amp;Tableau3[[#This Row],[ID-SLOT]]&amp;Tableau3[[#This Row],[BORNE]]</f>
        <v>4223A</v>
      </c>
      <c r="AO641" s="1"/>
    </row>
    <row r="642" spans="1:41" ht="20.100000000000001" customHeight="1" thickTop="1" thickBot="1">
      <c r="A642" s="68"/>
      <c r="B642" s="69" t="str">
        <f>IFERROR(INDEX(Tableau4[Date],MATCH($A642,Tableau4[EVO],0)),"")</f>
        <v/>
      </c>
      <c r="C642" s="68" t="str">
        <f>IFERROR(INDEX(Tableau4[Designation],MATCH($A642,Tableau4[EVO],0)),"")</f>
        <v/>
      </c>
      <c r="D642" s="68"/>
      <c r="E642" s="70">
        <v>116</v>
      </c>
      <c r="F642" s="71">
        <v>15</v>
      </c>
      <c r="G642" s="101" t="str">
        <f>INDEX(Tableau8[Att1],MATCH(Tableau3[[#This Row],[ID-INS]],Tableau8[ID],0))&amp;""</f>
        <v>V3</v>
      </c>
      <c r="H642" s="101" t="str">
        <f>INDEX(Tableau8[Att2],MATCH(Tableau3[[#This Row],[ID-INS]],Tableau8[ID],0))&amp;""</f>
        <v>UTLB3</v>
      </c>
      <c r="I642" s="101" t="str">
        <f>INDEX(Tableau8[Att3],MATCH(Tableau3[[#This Row],[ID-INS]],Tableau8[ID],0))&amp;""</f>
        <v>UTL bleue AUTVL3/IDVL7BH8</v>
      </c>
      <c r="J642" s="101"/>
      <c r="K642" s="167" t="str">
        <f>INDEX(Tableau8[Nom du modele],MATCH(Tableau3[[#This Row],[ID-INS]],Tableau8[ID],0))&amp;""</f>
        <v>UTL</v>
      </c>
      <c r="L642" s="99" t="str">
        <f>INDEX(Tableau5[Att1],MATCH(Tableau3[[#This Row],[ID-SIG]],Tableau5[ID],0))&amp;""</f>
        <v>DmdOuv</v>
      </c>
      <c r="M642" s="99" t="str">
        <f>INDEX(Tableau5[Att2],MATCH(Tableau3[[#This Row],[ID-SIG]],Tableau5[ID],0))&amp;""</f>
        <v/>
      </c>
      <c r="N642" s="99" t="str">
        <f>INDEX(Tableau5[Att3],MATCH(Tableau3[[#This Row],[ID-SIG]],Tableau5[ID],0))&amp;""</f>
        <v/>
      </c>
      <c r="O642" s="99"/>
      <c r="P642" s="99" t="str">
        <f>INDEX(Tableau5[Description],MATCH(Tableau3[[#This Row],[ID-SIG]],Tableau5[ID],0))</f>
        <v>Demande d'ouverture venant UTL</v>
      </c>
      <c r="Q642" s="99"/>
      <c r="R642" s="103" t="str">
        <f>Tableau3[[#This Row],[Description]]</f>
        <v>Demande d'ouverture venant UTL</v>
      </c>
      <c r="U642" s="87">
        <v>4</v>
      </c>
      <c r="V642" s="87">
        <v>2</v>
      </c>
      <c r="W642" s="87">
        <v>2</v>
      </c>
      <c r="X642" s="87">
        <v>8</v>
      </c>
      <c r="Y642" s="40"/>
      <c r="Z642" s="165" t="str">
        <f>INDEX(Tableau2[TS],MATCH(Tableau3[[#This Row],[ID-CARTEVOIE]],Tableau2[ID-CARTEVOIE],0))</f>
        <v>ET</v>
      </c>
      <c r="AA642" s="53" t="s">
        <v>213</v>
      </c>
      <c r="AB642" s="223" t="str">
        <f>IFERROR(INDEX(Tableau5[Reserve],MATCH(Tableau3[[#This Row],[ID-SIG]],Tableau5[ID],0))&amp;"","")</f>
        <v/>
      </c>
      <c r="AC642" s="21"/>
      <c r="AD642" s="108" t="str">
        <f>INDEX(Tableau7[Repere],MATCH(Tableau3[[#This Row],[ID-API]],Tableau7[ID-API],0))&amp;""</f>
        <v>A4</v>
      </c>
      <c r="AE642" s="108" t="str">
        <f>INDEX(Tableau1[Repere-Rack],MATCH(Tableau3[[#This Row],[ID-RACK]],Tableau1[ID-RACK],0))&amp;""</f>
        <v>R2</v>
      </c>
      <c r="AF642" s="108" t="str">
        <f>INDEX(Tableau1[Repere-Slot],MATCH(Tableau3[[#This Row],[ID-SLOT]],Tableau1[ID-SLOT],0))&amp;""</f>
        <v>S2</v>
      </c>
      <c r="AG642" s="108" t="str">
        <f>INDEX(Tableau2[Repere-Voie],MATCH(Tableau3[[#This Row],[ID-VOIE]],Tableau2[ID-Voie],0))&amp;""</f>
        <v>v8</v>
      </c>
      <c r="AH642" s="72" t="str">
        <f>Tableau3[[#This Row],[ID-API]]&amp; "." &amp;Tableau3[[#This Row],[ID-RACK]]&amp; "." &amp;Tableau3[[#This Row],[ID-SLOT]]</f>
        <v>4.2.2</v>
      </c>
      <c r="AI642" s="72" t="str">
        <f>INDEX(Tableau1[Ref-Carte],MATCH(Tableau3[[#This Row],[ID-RRS]],Tableau1[ID-RRS],0))</f>
        <v>SDI1602</v>
      </c>
      <c r="AJ642" s="72" t="str">
        <f t="array" ref="AJ642">IFERROR(INDEX(Tableau2[TS],MATCH(1,(Tableau2[Ref-Carte]=Tableau3[[#This Row],[Ref-Carte2]])*(Tableau2[ID-Voie]=Tableau3[[#This Row],[ID-VOIE]]),0)),"")</f>
        <v>ET</v>
      </c>
      <c r="AK642" s="72" t="str">
        <f>IFERROR(INDEX(Tableau2[TS],SUMPRODUCT((Tableau2[Ref-Carte]=Tableau3[[#This Row],[Ref-Carte2]])*(Tableau2[ID-Voie]=Tableau3[[#This Row],[ID-VOIE]])*ROW(Tableau2[TS]))-ROW(Tableau2[#Headers])),"")</f>
        <v>ET</v>
      </c>
      <c r="AL642" s="72" t="str">
        <f>Tableau3[[#This Row],[Ref-Carte2]]&amp;"/"&amp;Tableau3[[#This Row],[ID-VOIE]]</f>
        <v>SDI1602/8</v>
      </c>
      <c r="AM642" s="73" t="str">
        <f>INDEX(Tableau2[Borne],MATCH(Tableau3[[#This Row],[ID-CARTEVOIE]],Tableau2[ID-CARTEVOIE],0))&amp;""</f>
        <v>4B</v>
      </c>
      <c r="AN642" s="74" t="str">
        <f>Tableau3[[#This Row],[ID-API]]&amp;Tableau3[[#This Row],[ID-RACK]]&amp;Tableau3[[#This Row],[ID-SLOT]]&amp;Tableau3[[#This Row],[BORNE]]</f>
        <v>4224B</v>
      </c>
      <c r="AO642" s="1"/>
    </row>
    <row r="643" spans="1:41" ht="20.100000000000001" customHeight="1" thickTop="1" thickBot="1">
      <c r="A643" s="68"/>
      <c r="B643" s="69" t="str">
        <f>IFERROR(INDEX(Tableau4[Date],MATCH($A643,Tableau4[EVO],0)),"")</f>
        <v/>
      </c>
      <c r="C643" s="68" t="str">
        <f>IFERROR(INDEX(Tableau4[Designation],MATCH($A643,Tableau4[EVO],0)),"")</f>
        <v/>
      </c>
      <c r="D643" s="68"/>
      <c r="E643" s="70">
        <v>134</v>
      </c>
      <c r="F643" s="71">
        <v>10</v>
      </c>
      <c r="G643" s="101" t="str">
        <f>INDEX(Tableau8[Att1],MATCH(Tableau3[[#This Row],[ID-INS]],Tableau8[ID],0))&amp;""</f>
        <v>V3</v>
      </c>
      <c r="H643" s="101" t="str">
        <f>INDEX(Tableau8[Att2],MATCH(Tableau3[[#This Row],[ID-INS]],Tableau8[ID],0))&amp;""</f>
        <v>CORA3</v>
      </c>
      <c r="I643" s="101" t="str">
        <f>INDEX(Tableau8[Att3],MATCH(Tableau3[[#This Row],[ID-INS]],Tableau8[ID],0))&amp;""</f>
        <v>CORA Zone 3</v>
      </c>
      <c r="J643" s="101"/>
      <c r="K643" s="167" t="str">
        <f>INDEX(Tableau8[Nom du modele],MATCH(Tableau3[[#This Row],[ID-INS]],Tableau8[ID],0))&amp;""</f>
        <v>CORA</v>
      </c>
      <c r="L643" s="99" t="str">
        <f>INDEX(Tableau5[Att1],MATCH(Tableau3[[#This Row],[ID-SIG]],Tableau5[ID],0))&amp;""</f>
        <v>Detect</v>
      </c>
      <c r="M643" s="99" t="str">
        <f>INDEX(Tableau5[Att2],MATCH(Tableau3[[#This Row],[ID-SIG]],Tableau5[ID],0))&amp;""</f>
        <v/>
      </c>
      <c r="N643" s="99" t="str">
        <f>INDEX(Tableau5[Att3],MATCH(Tableau3[[#This Row],[ID-SIG]],Tableau5[ID],0))&amp;""</f>
        <v/>
      </c>
      <c r="O643" s="99"/>
      <c r="P643" s="99" t="str">
        <f>INDEX(Tableau5[Description],MATCH(Tableau3[[#This Row],[ID-SIG]],Tableau5[ID],0))</f>
        <v>Détection</v>
      </c>
      <c r="Q643" s="99"/>
      <c r="R643" s="103" t="str">
        <f>Tableau3[[#This Row],[Description]]</f>
        <v>Détection</v>
      </c>
      <c r="U643" s="87">
        <v>4</v>
      </c>
      <c r="V643" s="87">
        <v>2</v>
      </c>
      <c r="W643" s="87">
        <v>2</v>
      </c>
      <c r="X643" s="87">
        <v>9</v>
      </c>
      <c r="Y643" s="40"/>
      <c r="Z643" s="165" t="str">
        <f>INDEX(Tableau2[TS],MATCH(Tableau3[[#This Row],[ID-CARTEVOIE]],Tableau2[ID-CARTEVOIE],0))</f>
        <v>ET</v>
      </c>
      <c r="AA643" s="53" t="s">
        <v>213</v>
      </c>
      <c r="AB643" s="223" t="str">
        <f>IFERROR(INDEX(Tableau5[Reserve],MATCH(Tableau3[[#This Row],[ID-SIG]],Tableau5[ID],0))&amp;"","")</f>
        <v/>
      </c>
      <c r="AC643" s="21"/>
      <c r="AD643" s="108" t="str">
        <f>INDEX(Tableau7[Repere],MATCH(Tableau3[[#This Row],[ID-API]],Tableau7[ID-API],0))&amp;""</f>
        <v>A4</v>
      </c>
      <c r="AE643" s="108" t="str">
        <f>INDEX(Tableau1[Repere-Rack],MATCH(Tableau3[[#This Row],[ID-RACK]],Tableau1[ID-RACK],0))&amp;""</f>
        <v>R2</v>
      </c>
      <c r="AF643" s="108" t="str">
        <f>INDEX(Tableau1[Repere-Slot],MATCH(Tableau3[[#This Row],[ID-SLOT]],Tableau1[ID-SLOT],0))&amp;""</f>
        <v>S2</v>
      </c>
      <c r="AG643" s="108" t="str">
        <f>INDEX(Tableau2[Repere-Voie],MATCH(Tableau3[[#This Row],[ID-VOIE]],Tableau2[ID-Voie],0))&amp;""</f>
        <v>v9</v>
      </c>
      <c r="AH643" s="72" t="str">
        <f>Tableau3[[#This Row],[ID-API]]&amp; "." &amp;Tableau3[[#This Row],[ID-RACK]]&amp; "." &amp;Tableau3[[#This Row],[ID-SLOT]]</f>
        <v>4.2.2</v>
      </c>
      <c r="AI643" s="72" t="str">
        <f>INDEX(Tableau1[Ref-Carte],MATCH(Tableau3[[#This Row],[ID-RRS]],Tableau1[ID-RRS],0))</f>
        <v>SDI1602</v>
      </c>
      <c r="AJ643" s="72" t="str">
        <f t="array" ref="AJ643">IFERROR(INDEX(Tableau2[TS],MATCH(1,(Tableau2[Ref-Carte]=Tableau3[[#This Row],[Ref-Carte2]])*(Tableau2[ID-Voie]=Tableau3[[#This Row],[ID-VOIE]]),0)),"")</f>
        <v>ET</v>
      </c>
      <c r="AK643" s="72" t="str">
        <f>IFERROR(INDEX(Tableau2[TS],SUMPRODUCT((Tableau2[Ref-Carte]=Tableau3[[#This Row],[Ref-Carte2]])*(Tableau2[ID-Voie]=Tableau3[[#This Row],[ID-VOIE]])*ROW(Tableau2[TS]))-ROW(Tableau2[#Headers])),"")</f>
        <v>ET</v>
      </c>
      <c r="AL643" s="72" t="str">
        <f>Tableau3[[#This Row],[Ref-Carte2]]&amp;"/"&amp;Tableau3[[#This Row],[ID-VOIE]]</f>
        <v>SDI1602/9</v>
      </c>
      <c r="AM643" s="73" t="str">
        <f>INDEX(Tableau2[Borne],MATCH(Tableau3[[#This Row],[ID-CARTEVOIE]],Tableau2[ID-CARTEVOIE],0))&amp;""</f>
        <v>4A</v>
      </c>
      <c r="AN643" s="74" t="str">
        <f>Tableau3[[#This Row],[ID-API]]&amp;Tableau3[[#This Row],[ID-RACK]]&amp;Tableau3[[#This Row],[ID-SLOT]]&amp;Tableau3[[#This Row],[BORNE]]</f>
        <v>4224A</v>
      </c>
      <c r="AO643" s="1"/>
    </row>
    <row r="644" spans="1:41" ht="20.100000000000001" customHeight="1" thickTop="1" thickBot="1">
      <c r="A644" s="68"/>
      <c r="B644" s="69" t="str">
        <f>IFERROR(INDEX(Tableau4[Date],MATCH($A644,Tableau4[EVO],0)),"")</f>
        <v/>
      </c>
      <c r="C644" s="68" t="str">
        <f>IFERROR(INDEX(Tableau4[Designation],MATCH($A644,Tableau4[EVO],0)),"")</f>
        <v/>
      </c>
      <c r="D644" s="68"/>
      <c r="E644" s="70">
        <v>134</v>
      </c>
      <c r="F644" s="71">
        <v>11</v>
      </c>
      <c r="G644" s="101" t="str">
        <f>INDEX(Tableau8[Att1],MATCH(Tableau3[[#This Row],[ID-INS]],Tableau8[ID],0))&amp;""</f>
        <v>V3</v>
      </c>
      <c r="H644" s="101" t="str">
        <f>INDEX(Tableau8[Att2],MATCH(Tableau3[[#This Row],[ID-INS]],Tableau8[ID],0))&amp;""</f>
        <v>CORA3</v>
      </c>
      <c r="I644" s="101" t="str">
        <f>INDEX(Tableau8[Att3],MATCH(Tableau3[[#This Row],[ID-INS]],Tableau8[ID],0))&amp;""</f>
        <v>CORA Zone 3</v>
      </c>
      <c r="J644" s="101"/>
      <c r="K644" s="167" t="str">
        <f>INDEX(Tableau8[Nom du modele],MATCH(Tableau3[[#This Row],[ID-INS]],Tableau8[ID],0))&amp;""</f>
        <v>CORA</v>
      </c>
      <c r="L644" s="99" t="str">
        <f>INDEX(Tableau5[Att1],MATCH(Tableau3[[#This Row],[ID-SIG]],Tableau5[ID],0))&amp;""</f>
        <v>Def</v>
      </c>
      <c r="M644" s="99" t="str">
        <f>INDEX(Tableau5[Att2],MATCH(Tableau3[[#This Row],[ID-SIG]],Tableau5[ID],0))&amp;""</f>
        <v/>
      </c>
      <c r="N644" s="99" t="str">
        <f>INDEX(Tableau5[Att3],MATCH(Tableau3[[#This Row],[ID-SIG]],Tableau5[ID],0))&amp;""</f>
        <v/>
      </c>
      <c r="O644" s="99"/>
      <c r="P644" s="99" t="str">
        <f>INDEX(Tableau5[Description],MATCH(Tableau3[[#This Row],[ID-SIG]],Tableau5[ID],0))</f>
        <v>Défaut</v>
      </c>
      <c r="Q644" s="99"/>
      <c r="R644" s="103" t="str">
        <f>Tableau3[[#This Row],[Description]]</f>
        <v>Défaut</v>
      </c>
      <c r="U644" s="87">
        <v>4</v>
      </c>
      <c r="V644" s="87">
        <v>2</v>
      </c>
      <c r="W644" s="87">
        <v>2</v>
      </c>
      <c r="X644" s="87">
        <v>10</v>
      </c>
      <c r="Y644" s="40"/>
      <c r="Z644" s="165" t="str">
        <f>INDEX(Tableau2[TS],MATCH(Tableau3[[#This Row],[ID-CARTEVOIE]],Tableau2[ID-CARTEVOIE],0))</f>
        <v>ET</v>
      </c>
      <c r="AA644" s="53" t="s">
        <v>213</v>
      </c>
      <c r="AB644" s="223" t="str">
        <f>IFERROR(INDEX(Tableau5[Reserve],MATCH(Tableau3[[#This Row],[ID-SIG]],Tableau5[ID],0))&amp;"","")</f>
        <v/>
      </c>
      <c r="AC644" s="21"/>
      <c r="AD644" s="108" t="str">
        <f>INDEX(Tableau7[Repere],MATCH(Tableau3[[#This Row],[ID-API]],Tableau7[ID-API],0))&amp;""</f>
        <v>A4</v>
      </c>
      <c r="AE644" s="108" t="str">
        <f>INDEX(Tableau1[Repere-Rack],MATCH(Tableau3[[#This Row],[ID-RACK]],Tableau1[ID-RACK],0))&amp;""</f>
        <v>R2</v>
      </c>
      <c r="AF644" s="108" t="str">
        <f>INDEX(Tableau1[Repere-Slot],MATCH(Tableau3[[#This Row],[ID-SLOT]],Tableau1[ID-SLOT],0))&amp;""</f>
        <v>S2</v>
      </c>
      <c r="AG644" s="108" t="str">
        <f>INDEX(Tableau2[Repere-Voie],MATCH(Tableau3[[#This Row],[ID-VOIE]],Tableau2[ID-Voie],0))&amp;""</f>
        <v>v10</v>
      </c>
      <c r="AH644" s="72" t="str">
        <f>Tableau3[[#This Row],[ID-API]]&amp; "." &amp;Tableau3[[#This Row],[ID-RACK]]&amp; "." &amp;Tableau3[[#This Row],[ID-SLOT]]</f>
        <v>4.2.2</v>
      </c>
      <c r="AI644" s="72" t="str">
        <f>INDEX(Tableau1[Ref-Carte],MATCH(Tableau3[[#This Row],[ID-RRS]],Tableau1[ID-RRS],0))</f>
        <v>SDI1602</v>
      </c>
      <c r="AJ644" s="72" t="str">
        <f t="array" ref="AJ644">IFERROR(INDEX(Tableau2[TS],MATCH(1,(Tableau2[Ref-Carte]=Tableau3[[#This Row],[Ref-Carte2]])*(Tableau2[ID-Voie]=Tableau3[[#This Row],[ID-VOIE]]),0)),"")</f>
        <v>ET</v>
      </c>
      <c r="AK644" s="72" t="str">
        <f>IFERROR(INDEX(Tableau2[TS],SUMPRODUCT((Tableau2[Ref-Carte]=Tableau3[[#This Row],[Ref-Carte2]])*(Tableau2[ID-Voie]=Tableau3[[#This Row],[ID-VOIE]])*ROW(Tableau2[TS]))-ROW(Tableau2[#Headers])),"")</f>
        <v>ET</v>
      </c>
      <c r="AL644" s="72" t="str">
        <f>Tableau3[[#This Row],[Ref-Carte2]]&amp;"/"&amp;Tableau3[[#This Row],[ID-VOIE]]</f>
        <v>SDI1602/10</v>
      </c>
      <c r="AM644" s="73" t="str">
        <f>INDEX(Tableau2[Borne],MATCH(Tableau3[[#This Row],[ID-CARTEVOIE]],Tableau2[ID-CARTEVOIE],0))&amp;""</f>
        <v>5B</v>
      </c>
      <c r="AN644" s="74" t="str">
        <f>Tableau3[[#This Row],[ID-API]]&amp;Tableau3[[#This Row],[ID-RACK]]&amp;Tableau3[[#This Row],[ID-SLOT]]&amp;Tableau3[[#This Row],[BORNE]]</f>
        <v>4225B</v>
      </c>
      <c r="AO644" s="1"/>
    </row>
    <row r="645" spans="1:41" ht="20.100000000000001" customHeight="1" thickTop="1" thickBot="1">
      <c r="A645" s="68"/>
      <c r="B645" s="69" t="str">
        <f>IFERROR(INDEX(Tableau4[Date],MATCH($A645,Tableau4[EVO],0)),"")</f>
        <v/>
      </c>
      <c r="C645" s="68" t="str">
        <f>IFERROR(INDEX(Tableau4[Designation],MATCH($A645,Tableau4[EVO],0)),"")</f>
        <v/>
      </c>
      <c r="D645" s="68"/>
      <c r="E645" s="70">
        <v>134</v>
      </c>
      <c r="F645" s="71">
        <v>12</v>
      </c>
      <c r="G645" s="101" t="str">
        <f>INDEX(Tableau8[Att1],MATCH(Tableau3[[#This Row],[ID-INS]],Tableau8[ID],0))&amp;""</f>
        <v>V3</v>
      </c>
      <c r="H645" s="101" t="str">
        <f>INDEX(Tableau8[Att2],MATCH(Tableau3[[#This Row],[ID-INS]],Tableau8[ID],0))&amp;""</f>
        <v>CORA3</v>
      </c>
      <c r="I645" s="101" t="str">
        <f>INDEX(Tableau8[Att3],MATCH(Tableau3[[#This Row],[ID-INS]],Tableau8[ID],0))&amp;""</f>
        <v>CORA Zone 3</v>
      </c>
      <c r="J645" s="101"/>
      <c r="K645" s="167" t="str">
        <f>INDEX(Tableau8[Nom du modele],MATCH(Tableau3[[#This Row],[ID-INS]],Tableau8[ID],0))&amp;""</f>
        <v>CORA</v>
      </c>
      <c r="L645" s="99" t="str">
        <f>INDEX(Tableau5[Att1],MATCH(Tableau3[[#This Row],[ID-SIG]],Tableau5[ID],0))&amp;""</f>
        <v>E3</v>
      </c>
      <c r="M645" s="99" t="str">
        <f>INDEX(Tableau5[Att2],MATCH(Tableau3[[#This Row],[ID-SIG]],Tableau5[ID],0))&amp;""</f>
        <v/>
      </c>
      <c r="N645" s="99" t="str">
        <f>INDEX(Tableau5[Att3],MATCH(Tableau3[[#This Row],[ID-SIG]],Tableau5[ID],0))&amp;""</f>
        <v/>
      </c>
      <c r="O645" s="99"/>
      <c r="P645" s="99" t="str">
        <f>INDEX(Tableau5[Description],MATCH(Tableau3[[#This Row],[ID-SIG]],Tableau5[ID],0))</f>
        <v>Entrée 3</v>
      </c>
      <c r="Q645" s="99"/>
      <c r="R645" s="103" t="str">
        <f>Tableau3[[#This Row],[Description]]</f>
        <v>Entrée 3</v>
      </c>
      <c r="U645" s="87">
        <v>4</v>
      </c>
      <c r="V645" s="87">
        <v>2</v>
      </c>
      <c r="W645" s="87">
        <v>2</v>
      </c>
      <c r="X645" s="87">
        <v>11</v>
      </c>
      <c r="Y645" s="40"/>
      <c r="Z645" s="165" t="str">
        <f>INDEX(Tableau2[TS],MATCH(Tableau3[[#This Row],[ID-CARTEVOIE]],Tableau2[ID-CARTEVOIE],0))</f>
        <v>ET</v>
      </c>
      <c r="AA645" s="53" t="s">
        <v>213</v>
      </c>
      <c r="AB645" s="223" t="str">
        <f>IFERROR(INDEX(Tableau5[Reserve],MATCH(Tableau3[[#This Row],[ID-SIG]],Tableau5[ID],0))&amp;"","")</f>
        <v/>
      </c>
      <c r="AC645" s="21"/>
      <c r="AD645" s="108" t="str">
        <f>INDEX(Tableau7[Repere],MATCH(Tableau3[[#This Row],[ID-API]],Tableau7[ID-API],0))&amp;""</f>
        <v>A4</v>
      </c>
      <c r="AE645" s="108" t="str">
        <f>INDEX(Tableau1[Repere-Rack],MATCH(Tableau3[[#This Row],[ID-RACK]],Tableau1[ID-RACK],0))&amp;""</f>
        <v>R2</v>
      </c>
      <c r="AF645" s="108" t="str">
        <f>INDEX(Tableau1[Repere-Slot],MATCH(Tableau3[[#This Row],[ID-SLOT]],Tableau1[ID-SLOT],0))&amp;""</f>
        <v>S2</v>
      </c>
      <c r="AG645" s="108" t="str">
        <f>INDEX(Tableau2[Repere-Voie],MATCH(Tableau3[[#This Row],[ID-VOIE]],Tableau2[ID-Voie],0))&amp;""</f>
        <v>v11</v>
      </c>
      <c r="AH645" s="72" t="str">
        <f>Tableau3[[#This Row],[ID-API]]&amp; "." &amp;Tableau3[[#This Row],[ID-RACK]]&amp; "." &amp;Tableau3[[#This Row],[ID-SLOT]]</f>
        <v>4.2.2</v>
      </c>
      <c r="AI645" s="72" t="str">
        <f>INDEX(Tableau1[Ref-Carte],MATCH(Tableau3[[#This Row],[ID-RRS]],Tableau1[ID-RRS],0))</f>
        <v>SDI1602</v>
      </c>
      <c r="AJ645" s="72" t="str">
        <f t="array" ref="AJ645">IFERROR(INDEX(Tableau2[TS],MATCH(1,(Tableau2[Ref-Carte]=Tableau3[[#This Row],[Ref-Carte2]])*(Tableau2[ID-Voie]=Tableau3[[#This Row],[ID-VOIE]]),0)),"")</f>
        <v>ET</v>
      </c>
      <c r="AK645" s="72" t="str">
        <f>IFERROR(INDEX(Tableau2[TS],SUMPRODUCT((Tableau2[Ref-Carte]=Tableau3[[#This Row],[Ref-Carte2]])*(Tableau2[ID-Voie]=Tableau3[[#This Row],[ID-VOIE]])*ROW(Tableau2[TS]))-ROW(Tableau2[#Headers])),"")</f>
        <v>ET</v>
      </c>
      <c r="AL645" s="72" t="str">
        <f>Tableau3[[#This Row],[Ref-Carte2]]&amp;"/"&amp;Tableau3[[#This Row],[ID-VOIE]]</f>
        <v>SDI1602/11</v>
      </c>
      <c r="AM645" s="73" t="str">
        <f>INDEX(Tableau2[Borne],MATCH(Tableau3[[#This Row],[ID-CARTEVOIE]],Tableau2[ID-CARTEVOIE],0))&amp;""</f>
        <v>5A</v>
      </c>
      <c r="AN645" s="74" t="str">
        <f>Tableau3[[#This Row],[ID-API]]&amp;Tableau3[[#This Row],[ID-RACK]]&amp;Tableau3[[#This Row],[ID-SLOT]]&amp;Tableau3[[#This Row],[BORNE]]</f>
        <v>4225A</v>
      </c>
      <c r="AO645" s="1"/>
    </row>
    <row r="646" spans="1:41" ht="20.100000000000001" customHeight="1" thickTop="1" thickBot="1">
      <c r="A646" s="68"/>
      <c r="B646" s="69" t="str">
        <f>IFERROR(INDEX(Tableau4[Date],MATCH($A646,Tableau4[EVO],0)),"")</f>
        <v/>
      </c>
      <c r="C646" s="68" t="str">
        <f>IFERROR(INDEX(Tableau4[Designation],MATCH($A646,Tableau4[EVO],0)),"")</f>
        <v/>
      </c>
      <c r="D646" s="68"/>
      <c r="E646" s="70">
        <v>141</v>
      </c>
      <c r="F646" s="71">
        <v>84</v>
      </c>
      <c r="G646" s="101" t="str">
        <f>INDEX(Tableau8[Att1],MATCH(Tableau3[[#This Row],[ID-INS]],Tableau8[ID],0))&amp;""</f>
        <v>V3</v>
      </c>
      <c r="H646" s="101" t="str">
        <f>INDEX(Tableau8[Att2],MATCH(Tableau3[[#This Row],[ID-INS]],Tableau8[ID],0))&amp;""</f>
        <v>B3</v>
      </c>
      <c r="I646" s="101" t="str">
        <f>INDEX(Tableau8[Att3],MATCH(Tableau3[[#This Row],[ID-INS]],Tableau8[ID],0))&amp;""</f>
        <v>Boucle B3</v>
      </c>
      <c r="J646" s="101"/>
      <c r="K646" s="167" t="str">
        <f>INDEX(Tableau8[Nom du modele],MATCH(Tableau3[[#This Row],[ID-INS]],Tableau8[ID],0))&amp;""</f>
        <v>Boucle</v>
      </c>
      <c r="L646" s="99" t="str">
        <f>INDEX(Tableau5[Att1],MATCH(Tableau3[[#This Row],[ID-SIG]],Tableau5[ID],0))&amp;""</f>
        <v>Def</v>
      </c>
      <c r="M646" s="99" t="str">
        <f>INDEX(Tableau5[Att2],MATCH(Tableau3[[#This Row],[ID-SIG]],Tableau5[ID],0))&amp;""</f>
        <v/>
      </c>
      <c r="N646" s="99" t="str">
        <f>INDEX(Tableau5[Att3],MATCH(Tableau3[[#This Row],[ID-SIG]],Tableau5[ID],0))&amp;""</f>
        <v/>
      </c>
      <c r="O646" s="99"/>
      <c r="P646" s="99" t="str">
        <f>INDEX(Tableau5[Description],MATCH(Tableau3[[#This Row],[ID-SIG]],Tableau5[ID],0))</f>
        <v>Défaut</v>
      </c>
      <c r="Q646" s="99"/>
      <c r="R646" s="103" t="str">
        <f>Tableau3[[#This Row],[Description]]</f>
        <v>Défaut</v>
      </c>
      <c r="U646" s="87">
        <v>4</v>
      </c>
      <c r="V646" s="87">
        <v>2</v>
      </c>
      <c r="W646" s="87">
        <v>2</v>
      </c>
      <c r="X646" s="87">
        <v>12</v>
      </c>
      <c r="Y646" s="40"/>
      <c r="Z646" s="165" t="str">
        <f>INDEX(Tableau2[TS],MATCH(Tableau3[[#This Row],[ID-CARTEVOIE]],Tableau2[ID-CARTEVOIE],0))</f>
        <v>ET</v>
      </c>
      <c r="AA646" s="53" t="s">
        <v>213</v>
      </c>
      <c r="AB646" s="223" t="str">
        <f>IFERROR(INDEX(Tableau5[Reserve],MATCH(Tableau3[[#This Row],[ID-SIG]],Tableau5[ID],0))&amp;"","")</f>
        <v/>
      </c>
      <c r="AC646" s="21"/>
      <c r="AD646" s="108" t="str">
        <f>INDEX(Tableau7[Repere],MATCH(Tableau3[[#This Row],[ID-API]],Tableau7[ID-API],0))&amp;""</f>
        <v>A4</v>
      </c>
      <c r="AE646" s="108" t="str">
        <f>INDEX(Tableau1[Repere-Rack],MATCH(Tableau3[[#This Row],[ID-RACK]],Tableau1[ID-RACK],0))&amp;""</f>
        <v>R2</v>
      </c>
      <c r="AF646" s="108" t="str">
        <f>INDEX(Tableau1[Repere-Slot],MATCH(Tableau3[[#This Row],[ID-SLOT]],Tableau1[ID-SLOT],0))&amp;""</f>
        <v>S2</v>
      </c>
      <c r="AG646" s="108" t="str">
        <f>INDEX(Tableau2[Repere-Voie],MATCH(Tableau3[[#This Row],[ID-VOIE]],Tableau2[ID-Voie],0))&amp;""</f>
        <v>v12</v>
      </c>
      <c r="AH646" s="72" t="str">
        <f>Tableau3[[#This Row],[ID-API]]&amp; "." &amp;Tableau3[[#This Row],[ID-RACK]]&amp; "." &amp;Tableau3[[#This Row],[ID-SLOT]]</f>
        <v>4.2.2</v>
      </c>
      <c r="AI646" s="72" t="str">
        <f>INDEX(Tableau1[Ref-Carte],MATCH(Tableau3[[#This Row],[ID-RRS]],Tableau1[ID-RRS],0))</f>
        <v>SDI1602</v>
      </c>
      <c r="AJ646" s="72" t="str">
        <f t="array" ref="AJ646">IFERROR(INDEX(Tableau2[TS],MATCH(1,(Tableau2[Ref-Carte]=Tableau3[[#This Row],[Ref-Carte2]])*(Tableau2[ID-Voie]=Tableau3[[#This Row],[ID-VOIE]]),0)),"")</f>
        <v>ET</v>
      </c>
      <c r="AK646" s="72" t="str">
        <f>IFERROR(INDEX(Tableau2[TS],SUMPRODUCT((Tableau2[Ref-Carte]=Tableau3[[#This Row],[Ref-Carte2]])*(Tableau2[ID-Voie]=Tableau3[[#This Row],[ID-VOIE]])*ROW(Tableau2[TS]))-ROW(Tableau2[#Headers])),"")</f>
        <v>ET</v>
      </c>
      <c r="AL646" s="72" t="str">
        <f>Tableau3[[#This Row],[Ref-Carte2]]&amp;"/"&amp;Tableau3[[#This Row],[ID-VOIE]]</f>
        <v>SDI1602/12</v>
      </c>
      <c r="AM646" s="73" t="str">
        <f>INDEX(Tableau2[Borne],MATCH(Tableau3[[#This Row],[ID-CARTEVOIE]],Tableau2[ID-CARTEVOIE],0))&amp;""</f>
        <v>6B</v>
      </c>
      <c r="AN646" s="74" t="str">
        <f>Tableau3[[#This Row],[ID-API]]&amp;Tableau3[[#This Row],[ID-RACK]]&amp;Tableau3[[#This Row],[ID-SLOT]]&amp;Tableau3[[#This Row],[BORNE]]</f>
        <v>4226B</v>
      </c>
      <c r="AO646" s="1"/>
    </row>
    <row r="647" spans="1:41" ht="20.100000000000001" customHeight="1" thickTop="1" thickBot="1">
      <c r="A647" s="68"/>
      <c r="B647" s="69" t="str">
        <f>IFERROR(INDEX(Tableau4[Date],MATCH($A647,Tableau4[EVO],0)),"")</f>
        <v/>
      </c>
      <c r="C647" s="68" t="str">
        <f>IFERROR(INDEX(Tableau4[Designation],MATCH($A647,Tableau4[EVO],0)),"")</f>
        <v/>
      </c>
      <c r="D647" s="68"/>
      <c r="E647" s="70">
        <v>141</v>
      </c>
      <c r="F647" s="71">
        <v>85</v>
      </c>
      <c r="G647" s="101" t="str">
        <f>INDEX(Tableau8[Att1],MATCH(Tableau3[[#This Row],[ID-INS]],Tableau8[ID],0))&amp;""</f>
        <v>V3</v>
      </c>
      <c r="H647" s="101" t="str">
        <f>INDEX(Tableau8[Att2],MATCH(Tableau3[[#This Row],[ID-INS]],Tableau8[ID],0))&amp;""</f>
        <v>B3</v>
      </c>
      <c r="I647" s="101" t="str">
        <f>INDEX(Tableau8[Att3],MATCH(Tableau3[[#This Row],[ID-INS]],Tableau8[ID],0))&amp;""</f>
        <v>Boucle B3</v>
      </c>
      <c r="J647" s="101"/>
      <c r="K647" s="167" t="str">
        <f>INDEX(Tableau8[Nom du modele],MATCH(Tableau3[[#This Row],[ID-INS]],Tableau8[ID],0))&amp;""</f>
        <v>Boucle</v>
      </c>
      <c r="L647" s="99" t="str">
        <f>INDEX(Tableau5[Att1],MATCH(Tableau3[[#This Row],[ID-SIG]],Tableau5[ID],0))&amp;""</f>
        <v>Pres</v>
      </c>
      <c r="M647" s="99" t="str">
        <f>INDEX(Tableau5[Att2],MATCH(Tableau3[[#This Row],[ID-SIG]],Tableau5[ID],0))&amp;""</f>
        <v/>
      </c>
      <c r="N647" s="99" t="str">
        <f>INDEX(Tableau5[Att3],MATCH(Tableau3[[#This Row],[ID-SIG]],Tableau5[ID],0))&amp;""</f>
        <v/>
      </c>
      <c r="O647" s="99"/>
      <c r="P647" s="99" t="str">
        <f>INDEX(Tableau5[Description],MATCH(Tableau3[[#This Row],[ID-SIG]],Tableau5[ID],0))</f>
        <v>Présence</v>
      </c>
      <c r="Q647" s="99"/>
      <c r="R647" s="103" t="str">
        <f>Tableau3[[#This Row],[Description]]</f>
        <v>Présence</v>
      </c>
      <c r="U647" s="87">
        <v>4</v>
      </c>
      <c r="V647" s="87">
        <v>2</v>
      </c>
      <c r="W647" s="87">
        <v>2</v>
      </c>
      <c r="X647" s="87">
        <v>13</v>
      </c>
      <c r="Y647" s="40"/>
      <c r="Z647" s="165" t="str">
        <f>INDEX(Tableau2[TS],MATCH(Tableau3[[#This Row],[ID-CARTEVOIE]],Tableau2[ID-CARTEVOIE],0))</f>
        <v>ET</v>
      </c>
      <c r="AA647" s="53" t="s">
        <v>213</v>
      </c>
      <c r="AB647" s="223" t="str">
        <f>IFERROR(INDEX(Tableau5[Reserve],MATCH(Tableau3[[#This Row],[ID-SIG]],Tableau5[ID],0))&amp;"","")</f>
        <v/>
      </c>
      <c r="AC647" s="21"/>
      <c r="AD647" s="108" t="str">
        <f>INDEX(Tableau7[Repere],MATCH(Tableau3[[#This Row],[ID-API]],Tableau7[ID-API],0))&amp;""</f>
        <v>A4</v>
      </c>
      <c r="AE647" s="108" t="str">
        <f>INDEX(Tableau1[Repere-Rack],MATCH(Tableau3[[#This Row],[ID-RACK]],Tableau1[ID-RACK],0))&amp;""</f>
        <v>R2</v>
      </c>
      <c r="AF647" s="108" t="str">
        <f>INDEX(Tableau1[Repere-Slot],MATCH(Tableau3[[#This Row],[ID-SLOT]],Tableau1[ID-SLOT],0))&amp;""</f>
        <v>S2</v>
      </c>
      <c r="AG647" s="108" t="str">
        <f>INDEX(Tableau2[Repere-Voie],MATCH(Tableau3[[#This Row],[ID-VOIE]],Tableau2[ID-Voie],0))&amp;""</f>
        <v>v13</v>
      </c>
      <c r="AH647" s="72" t="str">
        <f>Tableau3[[#This Row],[ID-API]]&amp; "." &amp;Tableau3[[#This Row],[ID-RACK]]&amp; "." &amp;Tableau3[[#This Row],[ID-SLOT]]</f>
        <v>4.2.2</v>
      </c>
      <c r="AI647" s="72" t="str">
        <f>INDEX(Tableau1[Ref-Carte],MATCH(Tableau3[[#This Row],[ID-RRS]],Tableau1[ID-RRS],0))</f>
        <v>SDI1602</v>
      </c>
      <c r="AJ647" s="72" t="str">
        <f t="array" ref="AJ647">IFERROR(INDEX(Tableau2[TS],MATCH(1,(Tableau2[Ref-Carte]=Tableau3[[#This Row],[Ref-Carte2]])*(Tableau2[ID-Voie]=Tableau3[[#This Row],[ID-VOIE]]),0)),"")</f>
        <v>ET</v>
      </c>
      <c r="AK647" s="72" t="str">
        <f>IFERROR(INDEX(Tableau2[TS],SUMPRODUCT((Tableau2[Ref-Carte]=Tableau3[[#This Row],[Ref-Carte2]])*(Tableau2[ID-Voie]=Tableau3[[#This Row],[ID-VOIE]])*ROW(Tableau2[TS]))-ROW(Tableau2[#Headers])),"")</f>
        <v>ET</v>
      </c>
      <c r="AL647" s="72" t="str">
        <f>Tableau3[[#This Row],[Ref-Carte2]]&amp;"/"&amp;Tableau3[[#This Row],[ID-VOIE]]</f>
        <v>SDI1602/13</v>
      </c>
      <c r="AM647" s="73" t="str">
        <f>INDEX(Tableau2[Borne],MATCH(Tableau3[[#This Row],[ID-CARTEVOIE]],Tableau2[ID-CARTEVOIE],0))&amp;""</f>
        <v>6A</v>
      </c>
      <c r="AN647" s="74" t="str">
        <f>Tableau3[[#This Row],[ID-API]]&amp;Tableau3[[#This Row],[ID-RACK]]&amp;Tableau3[[#This Row],[ID-SLOT]]&amp;Tableau3[[#This Row],[BORNE]]</f>
        <v>4226A</v>
      </c>
      <c r="AO647" s="1"/>
    </row>
    <row r="648" spans="1:41" ht="20.100000000000001" customHeight="1" thickTop="1" thickBot="1">
      <c r="A648" s="68"/>
      <c r="B648" s="69" t="str">
        <f>IFERROR(INDEX(Tableau4[Date],MATCH($A648,Tableau4[EVO],0)),"")</f>
        <v/>
      </c>
      <c r="C648" s="68" t="str">
        <f>IFERROR(INDEX(Tableau4[Designation],MATCH($A648,Tableau4[EVO],0)),"")</f>
        <v/>
      </c>
      <c r="D648" s="68"/>
      <c r="E648" s="70">
        <v>145</v>
      </c>
      <c r="F648" s="71">
        <v>84</v>
      </c>
      <c r="G648" s="101" t="str">
        <f>INDEX(Tableau8[Att1],MATCH(Tableau3[[#This Row],[ID-INS]],Tableau8[ID],0))&amp;""</f>
        <v>V3</v>
      </c>
      <c r="H648" s="101" t="str">
        <f>INDEX(Tableau8[Att2],MATCH(Tableau3[[#This Row],[ID-INS]],Tableau8[ID],0))&amp;""</f>
        <v>B8</v>
      </c>
      <c r="I648" s="101" t="str">
        <f>INDEX(Tableau8[Att3],MATCH(Tableau3[[#This Row],[ID-INS]],Tableau8[ID],0))&amp;""</f>
        <v>Boucle B8</v>
      </c>
      <c r="J648" s="101"/>
      <c r="K648" s="167" t="str">
        <f>INDEX(Tableau8[Nom du modele],MATCH(Tableau3[[#This Row],[ID-INS]],Tableau8[ID],0))&amp;""</f>
        <v>Boucle</v>
      </c>
      <c r="L648" s="99" t="str">
        <f>INDEX(Tableau5[Att1],MATCH(Tableau3[[#This Row],[ID-SIG]],Tableau5[ID],0))&amp;""</f>
        <v>Def</v>
      </c>
      <c r="M648" s="99" t="str">
        <f>INDEX(Tableau5[Att2],MATCH(Tableau3[[#This Row],[ID-SIG]],Tableau5[ID],0))&amp;""</f>
        <v/>
      </c>
      <c r="N648" s="99" t="str">
        <f>INDEX(Tableau5[Att3],MATCH(Tableau3[[#This Row],[ID-SIG]],Tableau5[ID],0))&amp;""</f>
        <v/>
      </c>
      <c r="O648" s="99"/>
      <c r="P648" s="99" t="str">
        <f>INDEX(Tableau5[Description],MATCH(Tableau3[[#This Row],[ID-SIG]],Tableau5[ID],0))</f>
        <v>Défaut</v>
      </c>
      <c r="Q648" s="99"/>
      <c r="R648" s="103" t="str">
        <f>Tableau3[[#This Row],[Description]]</f>
        <v>Défaut</v>
      </c>
      <c r="U648" s="87">
        <v>4</v>
      </c>
      <c r="V648" s="87">
        <v>2</v>
      </c>
      <c r="W648" s="87">
        <v>2</v>
      </c>
      <c r="X648" s="87">
        <v>14</v>
      </c>
      <c r="Y648" s="40"/>
      <c r="Z648" s="165" t="str">
        <f>INDEX(Tableau2[TS],MATCH(Tableau3[[#This Row],[ID-CARTEVOIE]],Tableau2[ID-CARTEVOIE],0))</f>
        <v>ET</v>
      </c>
      <c r="AA648" s="53" t="s">
        <v>213</v>
      </c>
      <c r="AB648" s="223" t="str">
        <f>IFERROR(INDEX(Tableau5[Reserve],MATCH(Tableau3[[#This Row],[ID-SIG]],Tableau5[ID],0))&amp;"","")</f>
        <v/>
      </c>
      <c r="AC648" s="21"/>
      <c r="AD648" s="108" t="str">
        <f>INDEX(Tableau7[Repere],MATCH(Tableau3[[#This Row],[ID-API]],Tableau7[ID-API],0))&amp;""</f>
        <v>A4</v>
      </c>
      <c r="AE648" s="108" t="str">
        <f>INDEX(Tableau1[Repere-Rack],MATCH(Tableau3[[#This Row],[ID-RACK]],Tableau1[ID-RACK],0))&amp;""</f>
        <v>R2</v>
      </c>
      <c r="AF648" s="108" t="str">
        <f>INDEX(Tableau1[Repere-Slot],MATCH(Tableau3[[#This Row],[ID-SLOT]],Tableau1[ID-SLOT],0))&amp;""</f>
        <v>S2</v>
      </c>
      <c r="AG648" s="108" t="str">
        <f>INDEX(Tableau2[Repere-Voie],MATCH(Tableau3[[#This Row],[ID-VOIE]],Tableau2[ID-Voie],0))&amp;""</f>
        <v>v14</v>
      </c>
      <c r="AH648" s="72" t="str">
        <f>Tableau3[[#This Row],[ID-API]]&amp; "." &amp;Tableau3[[#This Row],[ID-RACK]]&amp; "." &amp;Tableau3[[#This Row],[ID-SLOT]]</f>
        <v>4.2.2</v>
      </c>
      <c r="AI648" s="72" t="str">
        <f>INDEX(Tableau1[Ref-Carte],MATCH(Tableau3[[#This Row],[ID-RRS]],Tableau1[ID-RRS],0))</f>
        <v>SDI1602</v>
      </c>
      <c r="AJ648" s="72" t="str">
        <f t="array" ref="AJ648">IFERROR(INDEX(Tableau2[TS],MATCH(1,(Tableau2[Ref-Carte]=Tableau3[[#This Row],[Ref-Carte2]])*(Tableau2[ID-Voie]=Tableau3[[#This Row],[ID-VOIE]]),0)),"")</f>
        <v>ET</v>
      </c>
      <c r="AK648" s="72" t="str">
        <f>IFERROR(INDEX(Tableau2[TS],SUMPRODUCT((Tableau2[Ref-Carte]=Tableau3[[#This Row],[Ref-Carte2]])*(Tableau2[ID-Voie]=Tableau3[[#This Row],[ID-VOIE]])*ROW(Tableau2[TS]))-ROW(Tableau2[#Headers])),"")</f>
        <v>ET</v>
      </c>
      <c r="AL648" s="72" t="str">
        <f>Tableau3[[#This Row],[Ref-Carte2]]&amp;"/"&amp;Tableau3[[#This Row],[ID-VOIE]]</f>
        <v>SDI1602/14</v>
      </c>
      <c r="AM648" s="73" t="str">
        <f>INDEX(Tableau2[Borne],MATCH(Tableau3[[#This Row],[ID-CARTEVOIE]],Tableau2[ID-CARTEVOIE],0))&amp;""</f>
        <v>7B</v>
      </c>
      <c r="AN648" s="74" t="str">
        <f>Tableau3[[#This Row],[ID-API]]&amp;Tableau3[[#This Row],[ID-RACK]]&amp;Tableau3[[#This Row],[ID-SLOT]]&amp;Tableau3[[#This Row],[BORNE]]</f>
        <v>4227B</v>
      </c>
      <c r="AO648" s="1"/>
    </row>
    <row r="649" spans="1:41" ht="20.100000000000001" customHeight="1" thickTop="1" thickBot="1">
      <c r="A649" s="68"/>
      <c r="B649" s="69" t="str">
        <f>IFERROR(INDEX(Tableau4[Date],MATCH($A649,Tableau4[EVO],0)),"")</f>
        <v/>
      </c>
      <c r="C649" s="68" t="str">
        <f>IFERROR(INDEX(Tableau4[Designation],MATCH($A649,Tableau4[EVO],0)),"")</f>
        <v/>
      </c>
      <c r="D649" s="68"/>
      <c r="E649" s="70">
        <v>145</v>
      </c>
      <c r="F649" s="71">
        <v>85</v>
      </c>
      <c r="G649" s="101" t="str">
        <f>INDEX(Tableau8[Att1],MATCH(Tableau3[[#This Row],[ID-INS]],Tableau8[ID],0))&amp;""</f>
        <v>V3</v>
      </c>
      <c r="H649" s="101" t="str">
        <f>INDEX(Tableau8[Att2],MATCH(Tableau3[[#This Row],[ID-INS]],Tableau8[ID],0))&amp;""</f>
        <v>B8</v>
      </c>
      <c r="I649" s="101" t="str">
        <f>INDEX(Tableau8[Att3],MATCH(Tableau3[[#This Row],[ID-INS]],Tableau8[ID],0))&amp;""</f>
        <v>Boucle B8</v>
      </c>
      <c r="J649" s="101"/>
      <c r="K649" s="167" t="str">
        <f>INDEX(Tableau8[Nom du modele],MATCH(Tableau3[[#This Row],[ID-INS]],Tableau8[ID],0))&amp;""</f>
        <v>Boucle</v>
      </c>
      <c r="L649" s="99" t="str">
        <f>INDEX(Tableau5[Att1],MATCH(Tableau3[[#This Row],[ID-SIG]],Tableau5[ID],0))&amp;""</f>
        <v>Pres</v>
      </c>
      <c r="M649" s="99" t="str">
        <f>INDEX(Tableau5[Att2],MATCH(Tableau3[[#This Row],[ID-SIG]],Tableau5[ID],0))&amp;""</f>
        <v/>
      </c>
      <c r="N649" s="99" t="str">
        <f>INDEX(Tableau5[Att3],MATCH(Tableau3[[#This Row],[ID-SIG]],Tableau5[ID],0))&amp;""</f>
        <v/>
      </c>
      <c r="O649" s="99"/>
      <c r="P649" s="99" t="str">
        <f>INDEX(Tableau5[Description],MATCH(Tableau3[[#This Row],[ID-SIG]],Tableau5[ID],0))</f>
        <v>Présence</v>
      </c>
      <c r="Q649" s="99"/>
      <c r="R649" s="103" t="str">
        <f>Tableau3[[#This Row],[Description]]</f>
        <v>Présence</v>
      </c>
      <c r="U649" s="87">
        <v>4</v>
      </c>
      <c r="V649" s="87">
        <v>2</v>
      </c>
      <c r="W649" s="87">
        <v>2</v>
      </c>
      <c r="X649" s="87">
        <v>15</v>
      </c>
      <c r="Y649" s="40"/>
      <c r="Z649" s="165" t="str">
        <f>INDEX(Tableau2[TS],MATCH(Tableau3[[#This Row],[ID-CARTEVOIE]],Tableau2[ID-CARTEVOIE],0))</f>
        <v>ET</v>
      </c>
      <c r="AA649" s="53" t="s">
        <v>213</v>
      </c>
      <c r="AB649" s="223" t="str">
        <f>IFERROR(INDEX(Tableau5[Reserve],MATCH(Tableau3[[#This Row],[ID-SIG]],Tableau5[ID],0))&amp;"","")</f>
        <v/>
      </c>
      <c r="AC649" s="21"/>
      <c r="AD649" s="108" t="str">
        <f>INDEX(Tableau7[Repere],MATCH(Tableau3[[#This Row],[ID-API]],Tableau7[ID-API],0))&amp;""</f>
        <v>A4</v>
      </c>
      <c r="AE649" s="108" t="str">
        <f>INDEX(Tableau1[Repere-Rack],MATCH(Tableau3[[#This Row],[ID-RACK]],Tableau1[ID-RACK],0))&amp;""</f>
        <v>R2</v>
      </c>
      <c r="AF649" s="108" t="str">
        <f>INDEX(Tableau1[Repere-Slot],MATCH(Tableau3[[#This Row],[ID-SLOT]],Tableau1[ID-SLOT],0))&amp;""</f>
        <v>S2</v>
      </c>
      <c r="AG649" s="108" t="str">
        <f>INDEX(Tableau2[Repere-Voie],MATCH(Tableau3[[#This Row],[ID-VOIE]],Tableau2[ID-Voie],0))&amp;""</f>
        <v>v15</v>
      </c>
      <c r="AH649" s="72" t="str">
        <f>Tableau3[[#This Row],[ID-API]]&amp; "." &amp;Tableau3[[#This Row],[ID-RACK]]&amp; "." &amp;Tableau3[[#This Row],[ID-SLOT]]</f>
        <v>4.2.2</v>
      </c>
      <c r="AI649" s="72" t="str">
        <f>INDEX(Tableau1[Ref-Carte],MATCH(Tableau3[[#This Row],[ID-RRS]],Tableau1[ID-RRS],0))</f>
        <v>SDI1602</v>
      </c>
      <c r="AJ649" s="72" t="str">
        <f t="array" ref="AJ649">IFERROR(INDEX(Tableau2[TS],MATCH(1,(Tableau2[Ref-Carte]=Tableau3[[#This Row],[Ref-Carte2]])*(Tableau2[ID-Voie]=Tableau3[[#This Row],[ID-VOIE]]),0)),"")</f>
        <v>ET</v>
      </c>
      <c r="AK649" s="72" t="str">
        <f>IFERROR(INDEX(Tableau2[TS],SUMPRODUCT((Tableau2[Ref-Carte]=Tableau3[[#This Row],[Ref-Carte2]])*(Tableau2[ID-Voie]=Tableau3[[#This Row],[ID-VOIE]])*ROW(Tableau2[TS]))-ROW(Tableau2[#Headers])),"")</f>
        <v>ET</v>
      </c>
      <c r="AL649" s="72" t="str">
        <f>Tableau3[[#This Row],[Ref-Carte2]]&amp;"/"&amp;Tableau3[[#This Row],[ID-VOIE]]</f>
        <v>SDI1602/15</v>
      </c>
      <c r="AM649" s="73" t="str">
        <f>INDEX(Tableau2[Borne],MATCH(Tableau3[[#This Row],[ID-CARTEVOIE]],Tableau2[ID-CARTEVOIE],0))&amp;""</f>
        <v>7A</v>
      </c>
      <c r="AN649" s="74" t="str">
        <f>Tableau3[[#This Row],[ID-API]]&amp;Tableau3[[#This Row],[ID-RACK]]&amp;Tableau3[[#This Row],[ID-SLOT]]&amp;Tableau3[[#This Row],[BORNE]]</f>
        <v>4227A</v>
      </c>
      <c r="AO649" s="1"/>
    </row>
    <row r="650" spans="1:41" ht="20.100000000000001" customHeight="1" thickTop="1" thickBot="1">
      <c r="A650" s="68"/>
      <c r="B650" s="69" t="str">
        <f>IFERROR(INDEX(Tableau4[Date],MATCH($A650,Tableau4[EVO],0)),"")</f>
        <v/>
      </c>
      <c r="C650" s="68" t="str">
        <f>IFERROR(INDEX(Tableau4[Designation],MATCH($A650,Tableau4[EVO],0)),"")</f>
        <v/>
      </c>
      <c r="D650" s="68"/>
      <c r="E650" s="70">
        <v>149</v>
      </c>
      <c r="F650" s="71">
        <v>84</v>
      </c>
      <c r="G650" s="101" t="str">
        <f>INDEX(Tableau8[Att1],MATCH(Tableau3[[#This Row],[ID-INS]],Tableau8[ID],0))&amp;""</f>
        <v>V3</v>
      </c>
      <c r="H650" s="101" t="str">
        <f>INDEX(Tableau8[Att2],MATCH(Tableau3[[#This Row],[ID-INS]],Tableau8[ID],0))&amp;""</f>
        <v>B12</v>
      </c>
      <c r="I650" s="101" t="str">
        <f>INDEX(Tableau8[Att3],MATCH(Tableau3[[#This Row],[ID-INS]],Tableau8[ID],0))&amp;""</f>
        <v>Boucle B12</v>
      </c>
      <c r="J650" s="101"/>
      <c r="K650" s="167" t="str">
        <f>INDEX(Tableau8[Nom du modele],MATCH(Tableau3[[#This Row],[ID-INS]],Tableau8[ID],0))&amp;""</f>
        <v>Boucle</v>
      </c>
      <c r="L650" s="99" t="str">
        <f>INDEX(Tableau5[Att1],MATCH(Tableau3[[#This Row],[ID-SIG]],Tableau5[ID],0))&amp;""</f>
        <v>Def</v>
      </c>
      <c r="M650" s="99" t="str">
        <f>INDEX(Tableau5[Att2],MATCH(Tableau3[[#This Row],[ID-SIG]],Tableau5[ID],0))&amp;""</f>
        <v/>
      </c>
      <c r="N650" s="99" t="str">
        <f>INDEX(Tableau5[Att3],MATCH(Tableau3[[#This Row],[ID-SIG]],Tableau5[ID],0))&amp;""</f>
        <v/>
      </c>
      <c r="O650" s="99"/>
      <c r="P650" s="99" t="str">
        <f>INDEX(Tableau5[Description],MATCH(Tableau3[[#This Row],[ID-SIG]],Tableau5[ID],0))</f>
        <v>Défaut</v>
      </c>
      <c r="Q650" s="99"/>
      <c r="R650" s="103" t="str">
        <f>Tableau3[[#This Row],[Description]]</f>
        <v>Défaut</v>
      </c>
      <c r="U650" s="87">
        <v>4</v>
      </c>
      <c r="V650" s="87">
        <v>2</v>
      </c>
      <c r="W650" s="87">
        <v>3</v>
      </c>
      <c r="X650" s="87">
        <v>0</v>
      </c>
      <c r="Y650" s="40"/>
      <c r="Z650" s="165" t="str">
        <f>INDEX(Tableau2[TS],MATCH(Tableau3[[#This Row],[ID-CARTEVOIE]],Tableau2[ID-CARTEVOIE],0))</f>
        <v>ET</v>
      </c>
      <c r="AA650" s="53" t="s">
        <v>213</v>
      </c>
      <c r="AB650" s="223" t="str">
        <f>IFERROR(INDEX(Tableau5[Reserve],MATCH(Tableau3[[#This Row],[ID-SIG]],Tableau5[ID],0))&amp;"","")</f>
        <v/>
      </c>
      <c r="AC650" s="21"/>
      <c r="AD650" s="108" t="str">
        <f>INDEX(Tableau7[Repere],MATCH(Tableau3[[#This Row],[ID-API]],Tableau7[ID-API],0))&amp;""</f>
        <v>A4</v>
      </c>
      <c r="AE650" s="108" t="str">
        <f>INDEX(Tableau1[Repere-Rack],MATCH(Tableau3[[#This Row],[ID-RACK]],Tableau1[ID-RACK],0))&amp;""</f>
        <v>R2</v>
      </c>
      <c r="AF650" s="108" t="str">
        <f>INDEX(Tableau1[Repere-Slot],MATCH(Tableau3[[#This Row],[ID-SLOT]],Tableau1[ID-SLOT],0))&amp;""</f>
        <v>S3</v>
      </c>
      <c r="AG650" s="108" t="str">
        <f>INDEX(Tableau2[Repere-Voie],MATCH(Tableau3[[#This Row],[ID-VOIE]],Tableau2[ID-Voie],0))&amp;""</f>
        <v>v0</v>
      </c>
      <c r="AH650" s="72" t="str">
        <f>Tableau3[[#This Row],[ID-API]]&amp; "." &amp;Tableau3[[#This Row],[ID-RACK]]&amp; "." &amp;Tableau3[[#This Row],[ID-SLOT]]</f>
        <v>4.2.3</v>
      </c>
      <c r="AI650" s="72" t="str">
        <f>INDEX(Tableau1[Ref-Carte],MATCH(Tableau3[[#This Row],[ID-RRS]],Tableau1[ID-RRS],0))</f>
        <v>SDI1602</v>
      </c>
      <c r="AJ650" s="72" t="str">
        <f t="array" ref="AJ650">IFERROR(INDEX(Tableau2[TS],MATCH(1,(Tableau2[Ref-Carte]=Tableau3[[#This Row],[Ref-Carte2]])*(Tableau2[ID-Voie]=Tableau3[[#This Row],[ID-VOIE]]),0)),"")</f>
        <v>ET</v>
      </c>
      <c r="AK650" s="72" t="str">
        <f>IFERROR(INDEX(Tableau2[TS],SUMPRODUCT((Tableau2[Ref-Carte]=Tableau3[[#This Row],[Ref-Carte2]])*(Tableau2[ID-Voie]=Tableau3[[#This Row],[ID-VOIE]])*ROW(Tableau2[TS]))-ROW(Tableau2[#Headers])),"")</f>
        <v>ET</v>
      </c>
      <c r="AL650" s="72" t="str">
        <f>Tableau3[[#This Row],[Ref-Carte2]]&amp;"/"&amp;Tableau3[[#This Row],[ID-VOIE]]</f>
        <v>SDI1602/0</v>
      </c>
      <c r="AM650" s="73" t="str">
        <f>INDEX(Tableau2[Borne],MATCH(Tableau3[[#This Row],[ID-CARTEVOIE]],Tableau2[ID-CARTEVOIE],0))&amp;""</f>
        <v>0B</v>
      </c>
      <c r="AN650" s="74" t="str">
        <f>Tableau3[[#This Row],[ID-API]]&amp;Tableau3[[#This Row],[ID-RACK]]&amp;Tableau3[[#This Row],[ID-SLOT]]&amp;Tableau3[[#This Row],[BORNE]]</f>
        <v>4230B</v>
      </c>
      <c r="AO650" s="1"/>
    </row>
    <row r="651" spans="1:41" ht="20.100000000000001" customHeight="1" thickTop="1" thickBot="1">
      <c r="A651" s="68"/>
      <c r="B651" s="69" t="str">
        <f>IFERROR(INDEX(Tableau4[Date],MATCH($A651,Tableau4[EVO],0)),"")</f>
        <v/>
      </c>
      <c r="C651" s="68" t="str">
        <f>IFERROR(INDEX(Tableau4[Designation],MATCH($A651,Tableau4[EVO],0)),"")</f>
        <v/>
      </c>
      <c r="D651" s="68"/>
      <c r="E651" s="70">
        <v>149</v>
      </c>
      <c r="F651" s="71">
        <v>85</v>
      </c>
      <c r="G651" s="101" t="str">
        <f>INDEX(Tableau8[Att1],MATCH(Tableau3[[#This Row],[ID-INS]],Tableau8[ID],0))&amp;""</f>
        <v>V3</v>
      </c>
      <c r="H651" s="101" t="str">
        <f>INDEX(Tableau8[Att2],MATCH(Tableau3[[#This Row],[ID-INS]],Tableau8[ID],0))&amp;""</f>
        <v>B12</v>
      </c>
      <c r="I651" s="101" t="str">
        <f>INDEX(Tableau8[Att3],MATCH(Tableau3[[#This Row],[ID-INS]],Tableau8[ID],0))&amp;""</f>
        <v>Boucle B12</v>
      </c>
      <c r="J651" s="101"/>
      <c r="K651" s="167" t="str">
        <f>INDEX(Tableau8[Nom du modele],MATCH(Tableau3[[#This Row],[ID-INS]],Tableau8[ID],0))&amp;""</f>
        <v>Boucle</v>
      </c>
      <c r="L651" s="99" t="str">
        <f>INDEX(Tableau5[Att1],MATCH(Tableau3[[#This Row],[ID-SIG]],Tableau5[ID],0))&amp;""</f>
        <v>Pres</v>
      </c>
      <c r="M651" s="99" t="str">
        <f>INDEX(Tableau5[Att2],MATCH(Tableau3[[#This Row],[ID-SIG]],Tableau5[ID],0))&amp;""</f>
        <v/>
      </c>
      <c r="N651" s="99" t="str">
        <f>INDEX(Tableau5[Att3],MATCH(Tableau3[[#This Row],[ID-SIG]],Tableau5[ID],0))&amp;""</f>
        <v/>
      </c>
      <c r="O651" s="99"/>
      <c r="P651" s="99" t="str">
        <f>INDEX(Tableau5[Description],MATCH(Tableau3[[#This Row],[ID-SIG]],Tableau5[ID],0))</f>
        <v>Présence</v>
      </c>
      <c r="Q651" s="99"/>
      <c r="R651" s="103" t="str">
        <f>Tableau3[[#This Row],[Description]]</f>
        <v>Présence</v>
      </c>
      <c r="U651" s="87">
        <v>4</v>
      </c>
      <c r="V651" s="87">
        <v>2</v>
      </c>
      <c r="W651" s="87">
        <v>3</v>
      </c>
      <c r="X651" s="87">
        <v>1</v>
      </c>
      <c r="Y651" s="40"/>
      <c r="Z651" s="165" t="str">
        <f>INDEX(Tableau2[TS],MATCH(Tableau3[[#This Row],[ID-CARTEVOIE]],Tableau2[ID-CARTEVOIE],0))</f>
        <v>ET</v>
      </c>
      <c r="AA651" s="53" t="s">
        <v>213</v>
      </c>
      <c r="AB651" s="223" t="str">
        <f>IFERROR(INDEX(Tableau5[Reserve],MATCH(Tableau3[[#This Row],[ID-SIG]],Tableau5[ID],0))&amp;"","")</f>
        <v/>
      </c>
      <c r="AC651" s="21"/>
      <c r="AD651" s="108" t="str">
        <f>INDEX(Tableau7[Repere],MATCH(Tableau3[[#This Row],[ID-API]],Tableau7[ID-API],0))&amp;""</f>
        <v>A4</v>
      </c>
      <c r="AE651" s="108" t="str">
        <f>INDEX(Tableau1[Repere-Rack],MATCH(Tableau3[[#This Row],[ID-RACK]],Tableau1[ID-RACK],0))&amp;""</f>
        <v>R2</v>
      </c>
      <c r="AF651" s="108" t="str">
        <f>INDEX(Tableau1[Repere-Slot],MATCH(Tableau3[[#This Row],[ID-SLOT]],Tableau1[ID-SLOT],0))&amp;""</f>
        <v>S3</v>
      </c>
      <c r="AG651" s="108" t="str">
        <f>INDEX(Tableau2[Repere-Voie],MATCH(Tableau3[[#This Row],[ID-VOIE]],Tableau2[ID-Voie],0))&amp;""</f>
        <v>v1</v>
      </c>
      <c r="AH651" s="72" t="str">
        <f>Tableau3[[#This Row],[ID-API]]&amp; "." &amp;Tableau3[[#This Row],[ID-RACK]]&amp; "." &amp;Tableau3[[#This Row],[ID-SLOT]]</f>
        <v>4.2.3</v>
      </c>
      <c r="AI651" s="72" t="str">
        <f>INDEX(Tableau1[Ref-Carte],MATCH(Tableau3[[#This Row],[ID-RRS]],Tableau1[ID-RRS],0))</f>
        <v>SDI1602</v>
      </c>
      <c r="AJ651" s="72" t="str">
        <f t="array" ref="AJ651">IFERROR(INDEX(Tableau2[TS],MATCH(1,(Tableau2[Ref-Carte]=Tableau3[[#This Row],[Ref-Carte2]])*(Tableau2[ID-Voie]=Tableau3[[#This Row],[ID-VOIE]]),0)),"")</f>
        <v>ET</v>
      </c>
      <c r="AK651" s="72" t="str">
        <f>IFERROR(INDEX(Tableau2[TS],SUMPRODUCT((Tableau2[Ref-Carte]=Tableau3[[#This Row],[Ref-Carte2]])*(Tableau2[ID-Voie]=Tableau3[[#This Row],[ID-VOIE]])*ROW(Tableau2[TS]))-ROW(Tableau2[#Headers])),"")</f>
        <v>ET</v>
      </c>
      <c r="AL651" s="72" t="str">
        <f>Tableau3[[#This Row],[Ref-Carte2]]&amp;"/"&amp;Tableau3[[#This Row],[ID-VOIE]]</f>
        <v>SDI1602/1</v>
      </c>
      <c r="AM651" s="73" t="str">
        <f>INDEX(Tableau2[Borne],MATCH(Tableau3[[#This Row],[ID-CARTEVOIE]],Tableau2[ID-CARTEVOIE],0))&amp;""</f>
        <v>0A</v>
      </c>
      <c r="AN651" s="74" t="str">
        <f>Tableau3[[#This Row],[ID-API]]&amp;Tableau3[[#This Row],[ID-RACK]]&amp;Tableau3[[#This Row],[ID-SLOT]]&amp;Tableau3[[#This Row],[BORNE]]</f>
        <v>4230A</v>
      </c>
      <c r="AO651" s="1"/>
    </row>
    <row r="652" spans="1:41" ht="20.100000000000001" customHeight="1" thickTop="1" thickBot="1">
      <c r="A652" s="68"/>
      <c r="B652" s="69" t="str">
        <f>IFERROR(INDEX(Tableau4[Date],MATCH($A652,Tableau4[EVO],0)),"")</f>
        <v/>
      </c>
      <c r="C652" s="68" t="str">
        <f>IFERROR(INDEX(Tableau4[Designation],MATCH($A652,Tableau4[EVO],0)),"")</f>
        <v/>
      </c>
      <c r="D652" s="68"/>
      <c r="E652" s="70">
        <v>153</v>
      </c>
      <c r="F652" s="71">
        <v>84</v>
      </c>
      <c r="G652" s="101" t="str">
        <f>INDEX(Tableau8[Att1],MATCH(Tableau3[[#This Row],[ID-INS]],Tableau8[ID],0))&amp;""</f>
        <v>V3</v>
      </c>
      <c r="H652" s="101" t="str">
        <f>INDEX(Tableau8[Att2],MATCH(Tableau3[[#This Row],[ID-INS]],Tableau8[ID],0))&amp;""</f>
        <v>B16</v>
      </c>
      <c r="I652" s="101" t="str">
        <f>INDEX(Tableau8[Att3],MATCH(Tableau3[[#This Row],[ID-INS]],Tableau8[ID],0))&amp;""</f>
        <v>Boucle B16</v>
      </c>
      <c r="J652" s="101"/>
      <c r="K652" s="167" t="str">
        <f>INDEX(Tableau8[Nom du modele],MATCH(Tableau3[[#This Row],[ID-INS]],Tableau8[ID],0))&amp;""</f>
        <v>Boucle</v>
      </c>
      <c r="L652" s="99" t="str">
        <f>INDEX(Tableau5[Att1],MATCH(Tableau3[[#This Row],[ID-SIG]],Tableau5[ID],0))&amp;""</f>
        <v>Def</v>
      </c>
      <c r="M652" s="99" t="str">
        <f>INDEX(Tableau5[Att2],MATCH(Tableau3[[#This Row],[ID-SIG]],Tableau5[ID],0))&amp;""</f>
        <v/>
      </c>
      <c r="N652" s="99" t="str">
        <f>INDEX(Tableau5[Att3],MATCH(Tableau3[[#This Row],[ID-SIG]],Tableau5[ID],0))&amp;""</f>
        <v/>
      </c>
      <c r="O652" s="99"/>
      <c r="P652" s="99" t="str">
        <f>INDEX(Tableau5[Description],MATCH(Tableau3[[#This Row],[ID-SIG]],Tableau5[ID],0))</f>
        <v>Défaut</v>
      </c>
      <c r="Q652" s="99"/>
      <c r="R652" s="103" t="str">
        <f>Tableau3[[#This Row],[Description]]</f>
        <v>Défaut</v>
      </c>
      <c r="U652" s="87">
        <v>4</v>
      </c>
      <c r="V652" s="87">
        <v>2</v>
      </c>
      <c r="W652" s="87">
        <v>3</v>
      </c>
      <c r="X652" s="87">
        <v>2</v>
      </c>
      <c r="Y652" s="40"/>
      <c r="Z652" s="165" t="str">
        <f>INDEX(Tableau2[TS],MATCH(Tableau3[[#This Row],[ID-CARTEVOIE]],Tableau2[ID-CARTEVOIE],0))</f>
        <v>ET</v>
      </c>
      <c r="AA652" s="53" t="s">
        <v>213</v>
      </c>
      <c r="AB652" s="223" t="str">
        <f>IFERROR(INDEX(Tableau5[Reserve],MATCH(Tableau3[[#This Row],[ID-SIG]],Tableau5[ID],0))&amp;"","")</f>
        <v/>
      </c>
      <c r="AC652" s="21"/>
      <c r="AD652" s="108" t="str">
        <f>INDEX(Tableau7[Repere],MATCH(Tableau3[[#This Row],[ID-API]],Tableau7[ID-API],0))&amp;""</f>
        <v>A4</v>
      </c>
      <c r="AE652" s="108" t="str">
        <f>INDEX(Tableau1[Repere-Rack],MATCH(Tableau3[[#This Row],[ID-RACK]],Tableau1[ID-RACK],0))&amp;""</f>
        <v>R2</v>
      </c>
      <c r="AF652" s="108" t="str">
        <f>INDEX(Tableau1[Repere-Slot],MATCH(Tableau3[[#This Row],[ID-SLOT]],Tableau1[ID-SLOT],0))&amp;""</f>
        <v>S3</v>
      </c>
      <c r="AG652" s="108" t="str">
        <f>INDEX(Tableau2[Repere-Voie],MATCH(Tableau3[[#This Row],[ID-VOIE]],Tableau2[ID-Voie],0))&amp;""</f>
        <v>v2</v>
      </c>
      <c r="AH652" s="72" t="str">
        <f>Tableau3[[#This Row],[ID-API]]&amp; "." &amp;Tableau3[[#This Row],[ID-RACK]]&amp; "." &amp;Tableau3[[#This Row],[ID-SLOT]]</f>
        <v>4.2.3</v>
      </c>
      <c r="AI652" s="72" t="str">
        <f>INDEX(Tableau1[Ref-Carte],MATCH(Tableau3[[#This Row],[ID-RRS]],Tableau1[ID-RRS],0))</f>
        <v>SDI1602</v>
      </c>
      <c r="AJ652" s="72" t="str">
        <f t="array" ref="AJ652">IFERROR(INDEX(Tableau2[TS],MATCH(1,(Tableau2[Ref-Carte]=Tableau3[[#This Row],[Ref-Carte2]])*(Tableau2[ID-Voie]=Tableau3[[#This Row],[ID-VOIE]]),0)),"")</f>
        <v>ET</v>
      </c>
      <c r="AK652" s="72" t="str">
        <f>IFERROR(INDEX(Tableau2[TS],SUMPRODUCT((Tableau2[Ref-Carte]=Tableau3[[#This Row],[Ref-Carte2]])*(Tableau2[ID-Voie]=Tableau3[[#This Row],[ID-VOIE]])*ROW(Tableau2[TS]))-ROW(Tableau2[#Headers])),"")</f>
        <v>ET</v>
      </c>
      <c r="AL652" s="72" t="str">
        <f>Tableau3[[#This Row],[Ref-Carte2]]&amp;"/"&amp;Tableau3[[#This Row],[ID-VOIE]]</f>
        <v>SDI1602/2</v>
      </c>
      <c r="AM652" s="73" t="str">
        <f>INDEX(Tableau2[Borne],MATCH(Tableau3[[#This Row],[ID-CARTEVOIE]],Tableau2[ID-CARTEVOIE],0))&amp;""</f>
        <v>1B</v>
      </c>
      <c r="AN652" s="74" t="str">
        <f>Tableau3[[#This Row],[ID-API]]&amp;Tableau3[[#This Row],[ID-RACK]]&amp;Tableau3[[#This Row],[ID-SLOT]]&amp;Tableau3[[#This Row],[BORNE]]</f>
        <v>4231B</v>
      </c>
      <c r="AO652" s="1"/>
    </row>
    <row r="653" spans="1:41" ht="20.100000000000001" customHeight="1" thickTop="1" thickBot="1">
      <c r="A653" s="68"/>
      <c r="B653" s="69" t="str">
        <f>IFERROR(INDEX(Tableau4[Date],MATCH($A653,Tableau4[EVO],0)),"")</f>
        <v/>
      </c>
      <c r="C653" s="68" t="str">
        <f>IFERROR(INDEX(Tableau4[Designation],MATCH($A653,Tableau4[EVO],0)),"")</f>
        <v/>
      </c>
      <c r="D653" s="68"/>
      <c r="E653" s="70">
        <v>153</v>
      </c>
      <c r="F653" s="71">
        <v>85</v>
      </c>
      <c r="G653" s="101" t="str">
        <f>INDEX(Tableau8[Att1],MATCH(Tableau3[[#This Row],[ID-INS]],Tableau8[ID],0))&amp;""</f>
        <v>V3</v>
      </c>
      <c r="H653" s="101" t="str">
        <f>INDEX(Tableau8[Att2],MATCH(Tableau3[[#This Row],[ID-INS]],Tableau8[ID],0))&amp;""</f>
        <v>B16</v>
      </c>
      <c r="I653" s="101" t="str">
        <f>INDEX(Tableau8[Att3],MATCH(Tableau3[[#This Row],[ID-INS]],Tableau8[ID],0))&amp;""</f>
        <v>Boucle B16</v>
      </c>
      <c r="J653" s="101"/>
      <c r="K653" s="167" t="str">
        <f>INDEX(Tableau8[Nom du modele],MATCH(Tableau3[[#This Row],[ID-INS]],Tableau8[ID],0))&amp;""</f>
        <v>Boucle</v>
      </c>
      <c r="L653" s="99" t="str">
        <f>INDEX(Tableau5[Att1],MATCH(Tableau3[[#This Row],[ID-SIG]],Tableau5[ID],0))&amp;""</f>
        <v>Pres</v>
      </c>
      <c r="M653" s="99" t="str">
        <f>INDEX(Tableau5[Att2],MATCH(Tableau3[[#This Row],[ID-SIG]],Tableau5[ID],0))&amp;""</f>
        <v/>
      </c>
      <c r="N653" s="99" t="str">
        <f>INDEX(Tableau5[Att3],MATCH(Tableau3[[#This Row],[ID-SIG]],Tableau5[ID],0))&amp;""</f>
        <v/>
      </c>
      <c r="O653" s="99"/>
      <c r="P653" s="99" t="str">
        <f>INDEX(Tableau5[Description],MATCH(Tableau3[[#This Row],[ID-SIG]],Tableau5[ID],0))</f>
        <v>Présence</v>
      </c>
      <c r="Q653" s="99"/>
      <c r="R653" s="103" t="str">
        <f>Tableau3[[#This Row],[Description]]</f>
        <v>Présence</v>
      </c>
      <c r="U653" s="87">
        <v>4</v>
      </c>
      <c r="V653" s="87">
        <v>2</v>
      </c>
      <c r="W653" s="87">
        <v>3</v>
      </c>
      <c r="X653" s="87">
        <v>3</v>
      </c>
      <c r="Y653" s="40"/>
      <c r="Z653" s="165" t="str">
        <f>INDEX(Tableau2[TS],MATCH(Tableau3[[#This Row],[ID-CARTEVOIE]],Tableau2[ID-CARTEVOIE],0))</f>
        <v>ET</v>
      </c>
      <c r="AA653" s="53" t="s">
        <v>213</v>
      </c>
      <c r="AB653" s="223" t="str">
        <f>IFERROR(INDEX(Tableau5[Reserve],MATCH(Tableau3[[#This Row],[ID-SIG]],Tableau5[ID],0))&amp;"","")</f>
        <v/>
      </c>
      <c r="AC653" s="21"/>
      <c r="AD653" s="108" t="str">
        <f>INDEX(Tableau7[Repere],MATCH(Tableau3[[#This Row],[ID-API]],Tableau7[ID-API],0))&amp;""</f>
        <v>A4</v>
      </c>
      <c r="AE653" s="108" t="str">
        <f>INDEX(Tableau1[Repere-Rack],MATCH(Tableau3[[#This Row],[ID-RACK]],Tableau1[ID-RACK],0))&amp;""</f>
        <v>R2</v>
      </c>
      <c r="AF653" s="108" t="str">
        <f>INDEX(Tableau1[Repere-Slot],MATCH(Tableau3[[#This Row],[ID-SLOT]],Tableau1[ID-SLOT],0))&amp;""</f>
        <v>S3</v>
      </c>
      <c r="AG653" s="108" t="str">
        <f>INDEX(Tableau2[Repere-Voie],MATCH(Tableau3[[#This Row],[ID-VOIE]],Tableau2[ID-Voie],0))&amp;""</f>
        <v>v3</v>
      </c>
      <c r="AH653" s="72" t="str">
        <f>Tableau3[[#This Row],[ID-API]]&amp; "." &amp;Tableau3[[#This Row],[ID-RACK]]&amp; "." &amp;Tableau3[[#This Row],[ID-SLOT]]</f>
        <v>4.2.3</v>
      </c>
      <c r="AI653" s="72" t="str">
        <f>INDEX(Tableau1[Ref-Carte],MATCH(Tableau3[[#This Row],[ID-RRS]],Tableau1[ID-RRS],0))</f>
        <v>SDI1602</v>
      </c>
      <c r="AJ653" s="72" t="str">
        <f t="array" ref="AJ653">IFERROR(INDEX(Tableau2[TS],MATCH(1,(Tableau2[Ref-Carte]=Tableau3[[#This Row],[Ref-Carte2]])*(Tableau2[ID-Voie]=Tableau3[[#This Row],[ID-VOIE]]),0)),"")</f>
        <v>ET</v>
      </c>
      <c r="AK653" s="72" t="str">
        <f>IFERROR(INDEX(Tableau2[TS],SUMPRODUCT((Tableau2[Ref-Carte]=Tableau3[[#This Row],[Ref-Carte2]])*(Tableau2[ID-Voie]=Tableau3[[#This Row],[ID-VOIE]])*ROW(Tableau2[TS]))-ROW(Tableau2[#Headers])),"")</f>
        <v>ET</v>
      </c>
      <c r="AL653" s="72" t="str">
        <f>Tableau3[[#This Row],[Ref-Carte2]]&amp;"/"&amp;Tableau3[[#This Row],[ID-VOIE]]</f>
        <v>SDI1602/3</v>
      </c>
      <c r="AM653" s="73" t="str">
        <f>INDEX(Tableau2[Borne],MATCH(Tableau3[[#This Row],[ID-CARTEVOIE]],Tableau2[ID-CARTEVOIE],0))&amp;""</f>
        <v>1A</v>
      </c>
      <c r="AN653" s="74" t="str">
        <f>Tableau3[[#This Row],[ID-API]]&amp;Tableau3[[#This Row],[ID-RACK]]&amp;Tableau3[[#This Row],[ID-SLOT]]&amp;Tableau3[[#This Row],[BORNE]]</f>
        <v>4231A</v>
      </c>
      <c r="AO653" s="1"/>
    </row>
    <row r="654" spans="1:41" ht="20.100000000000001" customHeight="1" thickTop="1" thickBot="1">
      <c r="A654" s="68"/>
      <c r="B654" s="69" t="str">
        <f>IFERROR(INDEX(Tableau4[Date],MATCH($A654,Tableau4[EVO],0)),"")</f>
        <v/>
      </c>
      <c r="C654" s="68" t="str">
        <f>IFERROR(INDEX(Tableau4[Designation],MATCH($A654,Tableau4[EVO],0)),"")</f>
        <v/>
      </c>
      <c r="D654" s="68"/>
      <c r="E654" s="70">
        <v>159</v>
      </c>
      <c r="F654" s="71">
        <v>84</v>
      </c>
      <c r="G654" s="101" t="str">
        <f>INDEX(Tableau8[Att1],MATCH(Tableau3[[#This Row],[ID-INS]],Tableau8[ID],0))&amp;""</f>
        <v>V3</v>
      </c>
      <c r="H654" s="101" t="str">
        <f>INDEX(Tableau8[Att2],MATCH(Tableau3[[#This Row],[ID-INS]],Tableau8[ID],0))&amp;""</f>
        <v>B23</v>
      </c>
      <c r="I654" s="101" t="str">
        <f>INDEX(Tableau8[Att3],MATCH(Tableau3[[#This Row],[ID-INS]],Tableau8[ID],0))&amp;""</f>
        <v>Boucle B23</v>
      </c>
      <c r="J654" s="101"/>
      <c r="K654" s="167" t="str">
        <f>INDEX(Tableau8[Nom du modele],MATCH(Tableau3[[#This Row],[ID-INS]],Tableau8[ID],0))&amp;""</f>
        <v>Boucle</v>
      </c>
      <c r="L654" s="99" t="str">
        <f>INDEX(Tableau5[Att1],MATCH(Tableau3[[#This Row],[ID-SIG]],Tableau5[ID],0))&amp;""</f>
        <v>Def</v>
      </c>
      <c r="M654" s="99" t="str">
        <f>INDEX(Tableau5[Att2],MATCH(Tableau3[[#This Row],[ID-SIG]],Tableau5[ID],0))&amp;""</f>
        <v/>
      </c>
      <c r="N654" s="99" t="str">
        <f>INDEX(Tableau5[Att3],MATCH(Tableau3[[#This Row],[ID-SIG]],Tableau5[ID],0))&amp;""</f>
        <v/>
      </c>
      <c r="O654" s="99"/>
      <c r="P654" s="99" t="str">
        <f>INDEX(Tableau5[Description],MATCH(Tableau3[[#This Row],[ID-SIG]],Tableau5[ID],0))</f>
        <v>Défaut</v>
      </c>
      <c r="Q654" s="99"/>
      <c r="R654" s="103" t="str">
        <f>Tableau3[[#This Row],[Description]]</f>
        <v>Défaut</v>
      </c>
      <c r="U654" s="87">
        <v>4</v>
      </c>
      <c r="V654" s="87">
        <v>2</v>
      </c>
      <c r="W654" s="87">
        <v>3</v>
      </c>
      <c r="X654" s="87">
        <v>4</v>
      </c>
      <c r="Y654" s="40"/>
      <c r="Z654" s="165" t="str">
        <f>INDEX(Tableau2[TS],MATCH(Tableau3[[#This Row],[ID-CARTEVOIE]],Tableau2[ID-CARTEVOIE],0))</f>
        <v>ET</v>
      </c>
      <c r="AA654" s="53" t="s">
        <v>213</v>
      </c>
      <c r="AB654" s="223" t="str">
        <f>IFERROR(INDEX(Tableau5[Reserve],MATCH(Tableau3[[#This Row],[ID-SIG]],Tableau5[ID],0))&amp;"","")</f>
        <v/>
      </c>
      <c r="AC654" s="21"/>
      <c r="AD654" s="108" t="str">
        <f>INDEX(Tableau7[Repere],MATCH(Tableau3[[#This Row],[ID-API]],Tableau7[ID-API],0))&amp;""</f>
        <v>A4</v>
      </c>
      <c r="AE654" s="108" t="str">
        <f>INDEX(Tableau1[Repere-Rack],MATCH(Tableau3[[#This Row],[ID-RACK]],Tableau1[ID-RACK],0))&amp;""</f>
        <v>R2</v>
      </c>
      <c r="AF654" s="108" t="str">
        <f>INDEX(Tableau1[Repere-Slot],MATCH(Tableau3[[#This Row],[ID-SLOT]],Tableau1[ID-SLOT],0))&amp;""</f>
        <v>S3</v>
      </c>
      <c r="AG654" s="108" t="str">
        <f>INDEX(Tableau2[Repere-Voie],MATCH(Tableau3[[#This Row],[ID-VOIE]],Tableau2[ID-Voie],0))&amp;""</f>
        <v>v4</v>
      </c>
      <c r="AH654" s="72" t="str">
        <f>Tableau3[[#This Row],[ID-API]]&amp; "." &amp;Tableau3[[#This Row],[ID-RACK]]&amp; "." &amp;Tableau3[[#This Row],[ID-SLOT]]</f>
        <v>4.2.3</v>
      </c>
      <c r="AI654" s="72" t="str">
        <f>INDEX(Tableau1[Ref-Carte],MATCH(Tableau3[[#This Row],[ID-RRS]],Tableau1[ID-RRS],0))</f>
        <v>SDI1602</v>
      </c>
      <c r="AJ654" s="72" t="str">
        <f t="array" ref="AJ654">IFERROR(INDEX(Tableau2[TS],MATCH(1,(Tableau2[Ref-Carte]=Tableau3[[#This Row],[Ref-Carte2]])*(Tableau2[ID-Voie]=Tableau3[[#This Row],[ID-VOIE]]),0)),"")</f>
        <v>ET</v>
      </c>
      <c r="AK654" s="72" t="str">
        <f>IFERROR(INDEX(Tableau2[TS],SUMPRODUCT((Tableau2[Ref-Carte]=Tableau3[[#This Row],[Ref-Carte2]])*(Tableau2[ID-Voie]=Tableau3[[#This Row],[ID-VOIE]])*ROW(Tableau2[TS]))-ROW(Tableau2[#Headers])),"")</f>
        <v>ET</v>
      </c>
      <c r="AL654" s="72" t="str">
        <f>Tableau3[[#This Row],[Ref-Carte2]]&amp;"/"&amp;Tableau3[[#This Row],[ID-VOIE]]</f>
        <v>SDI1602/4</v>
      </c>
      <c r="AM654" s="73" t="str">
        <f>INDEX(Tableau2[Borne],MATCH(Tableau3[[#This Row],[ID-CARTEVOIE]],Tableau2[ID-CARTEVOIE],0))&amp;""</f>
        <v>2B</v>
      </c>
      <c r="AN654" s="74" t="str">
        <f>Tableau3[[#This Row],[ID-API]]&amp;Tableau3[[#This Row],[ID-RACK]]&amp;Tableau3[[#This Row],[ID-SLOT]]&amp;Tableau3[[#This Row],[BORNE]]</f>
        <v>4232B</v>
      </c>
      <c r="AO654" s="1"/>
    </row>
    <row r="655" spans="1:41" ht="20.100000000000001" customHeight="1" thickTop="1" thickBot="1">
      <c r="A655" s="68"/>
      <c r="B655" s="69" t="str">
        <f>IFERROR(INDEX(Tableau4[Date],MATCH($A655,Tableau4[EVO],0)),"")</f>
        <v/>
      </c>
      <c r="C655" s="68" t="str">
        <f>IFERROR(INDEX(Tableau4[Designation],MATCH($A655,Tableau4[EVO],0)),"")</f>
        <v/>
      </c>
      <c r="D655" s="68"/>
      <c r="E655" s="70">
        <v>159</v>
      </c>
      <c r="F655" s="71">
        <v>85</v>
      </c>
      <c r="G655" s="101" t="str">
        <f>INDEX(Tableau8[Att1],MATCH(Tableau3[[#This Row],[ID-INS]],Tableau8[ID],0))&amp;""</f>
        <v>V3</v>
      </c>
      <c r="H655" s="101" t="str">
        <f>INDEX(Tableau8[Att2],MATCH(Tableau3[[#This Row],[ID-INS]],Tableau8[ID],0))&amp;""</f>
        <v>B23</v>
      </c>
      <c r="I655" s="101" t="str">
        <f>INDEX(Tableau8[Att3],MATCH(Tableau3[[#This Row],[ID-INS]],Tableau8[ID],0))&amp;""</f>
        <v>Boucle B23</v>
      </c>
      <c r="J655" s="101"/>
      <c r="K655" s="167" t="str">
        <f>INDEX(Tableau8[Nom du modele],MATCH(Tableau3[[#This Row],[ID-INS]],Tableau8[ID],0))&amp;""</f>
        <v>Boucle</v>
      </c>
      <c r="L655" s="99" t="str">
        <f>INDEX(Tableau5[Att1],MATCH(Tableau3[[#This Row],[ID-SIG]],Tableau5[ID],0))&amp;""</f>
        <v>Pres</v>
      </c>
      <c r="M655" s="99" t="str">
        <f>INDEX(Tableau5[Att2],MATCH(Tableau3[[#This Row],[ID-SIG]],Tableau5[ID],0))&amp;""</f>
        <v/>
      </c>
      <c r="N655" s="99" t="str">
        <f>INDEX(Tableau5[Att3],MATCH(Tableau3[[#This Row],[ID-SIG]],Tableau5[ID],0))&amp;""</f>
        <v/>
      </c>
      <c r="O655" s="99"/>
      <c r="P655" s="99" t="str">
        <f>INDEX(Tableau5[Description],MATCH(Tableau3[[#This Row],[ID-SIG]],Tableau5[ID],0))</f>
        <v>Présence</v>
      </c>
      <c r="Q655" s="99"/>
      <c r="R655" s="103" t="str">
        <f>Tableau3[[#This Row],[Description]]</f>
        <v>Présence</v>
      </c>
      <c r="U655" s="87">
        <v>4</v>
      </c>
      <c r="V655" s="87">
        <v>2</v>
      </c>
      <c r="W655" s="87">
        <v>3</v>
      </c>
      <c r="X655" s="87">
        <v>5</v>
      </c>
      <c r="Y655" s="40"/>
      <c r="Z655" s="165" t="str">
        <f>INDEX(Tableau2[TS],MATCH(Tableau3[[#This Row],[ID-CARTEVOIE]],Tableau2[ID-CARTEVOIE],0))</f>
        <v>ET</v>
      </c>
      <c r="AA655" s="53" t="s">
        <v>213</v>
      </c>
      <c r="AB655" s="223" t="str">
        <f>IFERROR(INDEX(Tableau5[Reserve],MATCH(Tableau3[[#This Row],[ID-SIG]],Tableau5[ID],0))&amp;"","")</f>
        <v/>
      </c>
      <c r="AC655" s="21"/>
      <c r="AD655" s="108" t="str">
        <f>INDEX(Tableau7[Repere],MATCH(Tableau3[[#This Row],[ID-API]],Tableau7[ID-API],0))&amp;""</f>
        <v>A4</v>
      </c>
      <c r="AE655" s="108" t="str">
        <f>INDEX(Tableau1[Repere-Rack],MATCH(Tableau3[[#This Row],[ID-RACK]],Tableau1[ID-RACK],0))&amp;""</f>
        <v>R2</v>
      </c>
      <c r="AF655" s="108" t="str">
        <f>INDEX(Tableau1[Repere-Slot],MATCH(Tableau3[[#This Row],[ID-SLOT]],Tableau1[ID-SLOT],0))&amp;""</f>
        <v>S3</v>
      </c>
      <c r="AG655" s="108" t="str">
        <f>INDEX(Tableau2[Repere-Voie],MATCH(Tableau3[[#This Row],[ID-VOIE]],Tableau2[ID-Voie],0))&amp;""</f>
        <v>v5</v>
      </c>
      <c r="AH655" s="72" t="str">
        <f>Tableau3[[#This Row],[ID-API]]&amp; "." &amp;Tableau3[[#This Row],[ID-RACK]]&amp; "." &amp;Tableau3[[#This Row],[ID-SLOT]]</f>
        <v>4.2.3</v>
      </c>
      <c r="AI655" s="72" t="str">
        <f>INDEX(Tableau1[Ref-Carte],MATCH(Tableau3[[#This Row],[ID-RRS]],Tableau1[ID-RRS],0))</f>
        <v>SDI1602</v>
      </c>
      <c r="AJ655" s="72" t="str">
        <f t="array" ref="AJ655">IFERROR(INDEX(Tableau2[TS],MATCH(1,(Tableau2[Ref-Carte]=Tableau3[[#This Row],[Ref-Carte2]])*(Tableau2[ID-Voie]=Tableau3[[#This Row],[ID-VOIE]]),0)),"")</f>
        <v>ET</v>
      </c>
      <c r="AK655" s="72" t="str">
        <f>IFERROR(INDEX(Tableau2[TS],SUMPRODUCT((Tableau2[Ref-Carte]=Tableau3[[#This Row],[Ref-Carte2]])*(Tableau2[ID-Voie]=Tableau3[[#This Row],[ID-VOIE]])*ROW(Tableau2[TS]))-ROW(Tableau2[#Headers])),"")</f>
        <v>ET</v>
      </c>
      <c r="AL655" s="72" t="str">
        <f>Tableau3[[#This Row],[Ref-Carte2]]&amp;"/"&amp;Tableau3[[#This Row],[ID-VOIE]]</f>
        <v>SDI1602/5</v>
      </c>
      <c r="AM655" s="73" t="str">
        <f>INDEX(Tableau2[Borne],MATCH(Tableau3[[#This Row],[ID-CARTEVOIE]],Tableau2[ID-CARTEVOIE],0))&amp;""</f>
        <v>2A</v>
      </c>
      <c r="AN655" s="74" t="str">
        <f>Tableau3[[#This Row],[ID-API]]&amp;Tableau3[[#This Row],[ID-RACK]]&amp;Tableau3[[#This Row],[ID-SLOT]]&amp;Tableau3[[#This Row],[BORNE]]</f>
        <v>4232A</v>
      </c>
      <c r="AO655" s="1"/>
    </row>
    <row r="656" spans="1:41" ht="20.100000000000001" customHeight="1" thickTop="1" thickBot="1">
      <c r="A656" s="134"/>
      <c r="B656" s="135" t="str">
        <f>IFERROR(INDEX(Tableau4[Date],MATCH($A656,Tableau4[EVO],0)),"")</f>
        <v/>
      </c>
      <c r="C656" s="136" t="str">
        <f>IFERROR(INDEX(Tableau4[Designation],MATCH($A656,Tableau4[EVO],0)),"")</f>
        <v/>
      </c>
      <c r="D656" s="134"/>
      <c r="E656" s="137">
        <v>164</v>
      </c>
      <c r="F656" s="138">
        <v>84</v>
      </c>
      <c r="G656" s="139" t="str">
        <f>INDEX(Tableau8[Att1],MATCH(Tableau3[[#This Row],[ID-INS]],Tableau8[ID],0))&amp;""</f>
        <v>V3</v>
      </c>
      <c r="H656" s="139" t="str">
        <f>INDEX(Tableau8[Att2],MATCH(Tableau3[[#This Row],[ID-INS]],Tableau8[ID],0))&amp;""</f>
        <v>B28</v>
      </c>
      <c r="I656" s="139" t="str">
        <f>INDEX(Tableau8[Att3],MATCH(Tableau3[[#This Row],[ID-INS]],Tableau8[ID],0))&amp;""</f>
        <v>Boucle B28</v>
      </c>
      <c r="J656" s="101"/>
      <c r="K656" s="167" t="str">
        <f>INDEX(Tableau8[Nom du modele],MATCH(Tableau3[[#This Row],[ID-INS]],Tableau8[ID],0))&amp;""</f>
        <v>Boucle</v>
      </c>
      <c r="L656" s="141" t="str">
        <f>INDEX(Tableau5[Att1],MATCH(Tableau3[[#This Row],[ID-SIG]],Tableau5[ID],0))&amp;""</f>
        <v>Def</v>
      </c>
      <c r="M656" s="141" t="str">
        <f>INDEX(Tableau5[Att2],MATCH(Tableau3[[#This Row],[ID-SIG]],Tableau5[ID],0))&amp;""</f>
        <v/>
      </c>
      <c r="N656" s="141" t="str">
        <f>INDEX(Tableau5[Att3],MATCH(Tableau3[[#This Row],[ID-SIG]],Tableau5[ID],0))&amp;""</f>
        <v/>
      </c>
      <c r="O656" s="99"/>
      <c r="P656" s="141" t="str">
        <f>INDEX(Tableau5[Description],MATCH(Tableau3[[#This Row],[ID-SIG]],Tableau5[ID],0))</f>
        <v>Défaut</v>
      </c>
      <c r="Q656" s="99"/>
      <c r="R656" s="142" t="str">
        <f>Tableau3[[#This Row],[Description]]</f>
        <v>Défaut</v>
      </c>
      <c r="U656" s="87">
        <v>4</v>
      </c>
      <c r="V656" s="87">
        <v>2</v>
      </c>
      <c r="W656" s="87">
        <v>3</v>
      </c>
      <c r="X656" s="87">
        <v>6</v>
      </c>
      <c r="Y656" s="40"/>
      <c r="Z656" s="165" t="str">
        <f>INDEX(Tableau2[TS],MATCH(Tableau3[[#This Row],[ID-CARTEVOIE]],Tableau2[ID-CARTEVOIE],0))</f>
        <v>ET</v>
      </c>
      <c r="AA656" s="144" t="s">
        <v>213</v>
      </c>
      <c r="AB656" s="224" t="str">
        <f>IFERROR(INDEX(Tableau5[Reserve],MATCH(Tableau3[[#This Row],[ID-SIG]],Tableau5[ID],0))&amp;"","")</f>
        <v/>
      </c>
      <c r="AC656" s="119"/>
      <c r="AD656" s="120" t="str">
        <f>INDEX(Tableau7[Repere],MATCH(Tableau3[[#This Row],[ID-API]],Tableau7[ID-API],0))&amp;""</f>
        <v>A4</v>
      </c>
      <c r="AE656" s="120" t="str">
        <f>INDEX(Tableau1[Repere-Rack],MATCH(Tableau3[[#This Row],[ID-RACK]],Tableau1[ID-RACK],0))&amp;""</f>
        <v>R2</v>
      </c>
      <c r="AF656" s="120" t="str">
        <f>INDEX(Tableau1[Repere-Slot],MATCH(Tableau3[[#This Row],[ID-SLOT]],Tableau1[ID-SLOT],0))&amp;""</f>
        <v>S3</v>
      </c>
      <c r="AG656" s="120" t="str">
        <f>INDEX(Tableau2[Repere-Voie],MATCH(Tableau3[[#This Row],[ID-VOIE]],Tableau2[ID-Voie],0))&amp;""</f>
        <v>v6</v>
      </c>
      <c r="AH656" s="122" t="str">
        <f>Tableau3[[#This Row],[ID-API]]&amp; "." &amp;Tableau3[[#This Row],[ID-RACK]]&amp; "." &amp;Tableau3[[#This Row],[ID-SLOT]]</f>
        <v>4.2.3</v>
      </c>
      <c r="AI656" s="72" t="str">
        <f>INDEX(Tableau1[Ref-Carte],MATCH(Tableau3[[#This Row],[ID-RRS]],Tableau1[ID-RRS],0))</f>
        <v>SDI1602</v>
      </c>
      <c r="AJ656" s="72" t="str">
        <f t="array" ref="AJ656">IFERROR(INDEX(Tableau2[TS],MATCH(1,(Tableau2[Ref-Carte]=Tableau3[[#This Row],[Ref-Carte2]])*(Tableau2[ID-Voie]=Tableau3[[#This Row],[ID-VOIE]]),0)),"")</f>
        <v>ET</v>
      </c>
      <c r="AK656" s="72" t="str">
        <f>IFERROR(INDEX(Tableau2[TS],SUMPRODUCT((Tableau2[Ref-Carte]=Tableau3[[#This Row],[Ref-Carte2]])*(Tableau2[ID-Voie]=Tableau3[[#This Row],[ID-VOIE]])*ROW(Tableau2[TS]))-ROW(Tableau2[#Headers])),"")</f>
        <v>ET</v>
      </c>
      <c r="AL656" s="122" t="str">
        <f>Tableau3[[#This Row],[Ref-Carte2]]&amp;"/"&amp;Tableau3[[#This Row],[ID-VOIE]]</f>
        <v>SDI1602/6</v>
      </c>
      <c r="AM656" s="145" t="str">
        <f>INDEX(Tableau2[Borne],MATCH(Tableau3[[#This Row],[ID-CARTEVOIE]],Tableau2[ID-CARTEVOIE],0))&amp;""</f>
        <v>3B</v>
      </c>
      <c r="AN656" s="124" t="str">
        <f>Tableau3[[#This Row],[ID-API]]&amp;Tableau3[[#This Row],[ID-RACK]]&amp;Tableau3[[#This Row],[ID-SLOT]]&amp;Tableau3[[#This Row],[BORNE]]</f>
        <v>4233B</v>
      </c>
      <c r="AO656" s="125"/>
    </row>
    <row r="657" spans="1:41" ht="20.100000000000001" customHeight="1" thickTop="1" thickBot="1">
      <c r="A657" s="134"/>
      <c r="B657" s="135" t="str">
        <f>IFERROR(INDEX(Tableau4[Date],MATCH($A657,Tableau4[EVO],0)),"")</f>
        <v/>
      </c>
      <c r="C657" s="136" t="str">
        <f>IFERROR(INDEX(Tableau4[Designation],MATCH($A657,Tableau4[EVO],0)),"")</f>
        <v/>
      </c>
      <c r="D657" s="134"/>
      <c r="E657" s="137">
        <v>164</v>
      </c>
      <c r="F657" s="138">
        <v>85</v>
      </c>
      <c r="G657" s="139" t="str">
        <f>INDEX(Tableau8[Att1],MATCH(Tableau3[[#This Row],[ID-INS]],Tableau8[ID],0))&amp;""</f>
        <v>V3</v>
      </c>
      <c r="H657" s="139" t="str">
        <f>INDEX(Tableau8[Att2],MATCH(Tableau3[[#This Row],[ID-INS]],Tableau8[ID],0))&amp;""</f>
        <v>B28</v>
      </c>
      <c r="I657" s="139" t="str">
        <f>INDEX(Tableau8[Att3],MATCH(Tableau3[[#This Row],[ID-INS]],Tableau8[ID],0))&amp;""</f>
        <v>Boucle B28</v>
      </c>
      <c r="J657" s="101"/>
      <c r="K657" s="167" t="str">
        <f>INDEX(Tableau8[Nom du modele],MATCH(Tableau3[[#This Row],[ID-INS]],Tableau8[ID],0))&amp;""</f>
        <v>Boucle</v>
      </c>
      <c r="L657" s="141" t="str">
        <f>INDEX(Tableau5[Att1],MATCH(Tableau3[[#This Row],[ID-SIG]],Tableau5[ID],0))&amp;""</f>
        <v>Pres</v>
      </c>
      <c r="M657" s="141" t="str">
        <f>INDEX(Tableau5[Att2],MATCH(Tableau3[[#This Row],[ID-SIG]],Tableau5[ID],0))&amp;""</f>
        <v/>
      </c>
      <c r="N657" s="141" t="str">
        <f>INDEX(Tableau5[Att3],MATCH(Tableau3[[#This Row],[ID-SIG]],Tableau5[ID],0))&amp;""</f>
        <v/>
      </c>
      <c r="O657" s="99"/>
      <c r="P657" s="141" t="str">
        <f>INDEX(Tableau5[Description],MATCH(Tableau3[[#This Row],[ID-SIG]],Tableau5[ID],0))</f>
        <v>Présence</v>
      </c>
      <c r="Q657" s="99"/>
      <c r="R657" s="142" t="str">
        <f>Tableau3[[#This Row],[Description]]</f>
        <v>Présence</v>
      </c>
      <c r="U657" s="87">
        <v>4</v>
      </c>
      <c r="V657" s="87">
        <v>2</v>
      </c>
      <c r="W657" s="87">
        <v>3</v>
      </c>
      <c r="X657" s="87">
        <v>7</v>
      </c>
      <c r="Y657" s="40"/>
      <c r="Z657" s="165" t="str">
        <f>INDEX(Tableau2[TS],MATCH(Tableau3[[#This Row],[ID-CARTEVOIE]],Tableau2[ID-CARTEVOIE],0))</f>
        <v>ET</v>
      </c>
      <c r="AA657" s="144" t="s">
        <v>213</v>
      </c>
      <c r="AB657" s="224" t="str">
        <f>IFERROR(INDEX(Tableau5[Reserve],MATCH(Tableau3[[#This Row],[ID-SIG]],Tableau5[ID],0))&amp;"","")</f>
        <v/>
      </c>
      <c r="AC657" s="119"/>
      <c r="AD657" s="120" t="str">
        <f>INDEX(Tableau7[Repere],MATCH(Tableau3[[#This Row],[ID-API]],Tableau7[ID-API],0))&amp;""</f>
        <v>A4</v>
      </c>
      <c r="AE657" s="120" t="str">
        <f>INDEX(Tableau1[Repere-Rack],MATCH(Tableau3[[#This Row],[ID-RACK]],Tableau1[ID-RACK],0))&amp;""</f>
        <v>R2</v>
      </c>
      <c r="AF657" s="120" t="str">
        <f>INDEX(Tableau1[Repere-Slot],MATCH(Tableau3[[#This Row],[ID-SLOT]],Tableau1[ID-SLOT],0))&amp;""</f>
        <v>S3</v>
      </c>
      <c r="AG657" s="120" t="str">
        <f>INDEX(Tableau2[Repere-Voie],MATCH(Tableau3[[#This Row],[ID-VOIE]],Tableau2[ID-Voie],0))&amp;""</f>
        <v>v7</v>
      </c>
      <c r="AH657" s="122" t="str">
        <f>Tableau3[[#This Row],[ID-API]]&amp; "." &amp;Tableau3[[#This Row],[ID-RACK]]&amp; "." &amp;Tableau3[[#This Row],[ID-SLOT]]</f>
        <v>4.2.3</v>
      </c>
      <c r="AI657" s="72" t="str">
        <f>INDEX(Tableau1[Ref-Carte],MATCH(Tableau3[[#This Row],[ID-RRS]],Tableau1[ID-RRS],0))</f>
        <v>SDI1602</v>
      </c>
      <c r="AJ657" s="72" t="str">
        <f t="array" ref="AJ657">IFERROR(INDEX(Tableau2[TS],MATCH(1,(Tableau2[Ref-Carte]=Tableau3[[#This Row],[Ref-Carte2]])*(Tableau2[ID-Voie]=Tableau3[[#This Row],[ID-VOIE]]),0)),"")</f>
        <v>ET</v>
      </c>
      <c r="AK657" s="72" t="str">
        <f>IFERROR(INDEX(Tableau2[TS],SUMPRODUCT((Tableau2[Ref-Carte]=Tableau3[[#This Row],[Ref-Carte2]])*(Tableau2[ID-Voie]=Tableau3[[#This Row],[ID-VOIE]])*ROW(Tableau2[TS]))-ROW(Tableau2[#Headers])),"")</f>
        <v>ET</v>
      </c>
      <c r="AL657" s="122" t="str">
        <f>Tableau3[[#This Row],[Ref-Carte2]]&amp;"/"&amp;Tableau3[[#This Row],[ID-VOIE]]</f>
        <v>SDI1602/7</v>
      </c>
      <c r="AM657" s="145" t="str">
        <f>INDEX(Tableau2[Borne],MATCH(Tableau3[[#This Row],[ID-CARTEVOIE]],Tableau2[ID-CARTEVOIE],0))&amp;""</f>
        <v>3A</v>
      </c>
      <c r="AN657" s="124" t="str">
        <f>Tableau3[[#This Row],[ID-API]]&amp;Tableau3[[#This Row],[ID-RACK]]&amp;Tableau3[[#This Row],[ID-SLOT]]&amp;Tableau3[[#This Row],[BORNE]]</f>
        <v>4233A</v>
      </c>
      <c r="AO657" s="125"/>
    </row>
    <row r="658" spans="1:41" ht="20.100000000000001" customHeight="1" thickTop="1" thickBot="1">
      <c r="A658" s="68"/>
      <c r="B658" s="69" t="str">
        <f>IFERROR(INDEX(Tableau4[Date],MATCH($A658,Tableau4[EVO],0)),"")</f>
        <v/>
      </c>
      <c r="C658" s="68" t="str">
        <f>IFERROR(INDEX(Tableau4[Designation],MATCH($A658,Tableau4[EVO],0)),"")</f>
        <v/>
      </c>
      <c r="D658" s="68"/>
      <c r="E658" s="70">
        <v>169</v>
      </c>
      <c r="F658" s="71">
        <v>84</v>
      </c>
      <c r="G658" s="101" t="str">
        <f>INDEX(Tableau8[Att1],MATCH(Tableau3[[#This Row],[ID-INS]],Tableau8[ID],0))&amp;""</f>
        <v>V3</v>
      </c>
      <c r="H658" s="101" t="str">
        <f>INDEX(Tableau8[Att2],MATCH(Tableau3[[#This Row],[ID-INS]],Tableau8[ID],0))&amp;""</f>
        <v>B33</v>
      </c>
      <c r="I658" s="101" t="str">
        <f>INDEX(Tableau8[Att3],MATCH(Tableau3[[#This Row],[ID-INS]],Tableau8[ID],0))&amp;""</f>
        <v>Boucle B33</v>
      </c>
      <c r="J658" s="101"/>
      <c r="K658" s="167" t="str">
        <f>INDEX(Tableau8[Nom du modele],MATCH(Tableau3[[#This Row],[ID-INS]],Tableau8[ID],0))&amp;""</f>
        <v>Boucle</v>
      </c>
      <c r="L658" s="99" t="str">
        <f>INDEX(Tableau5[Att1],MATCH(Tableau3[[#This Row],[ID-SIG]],Tableau5[ID],0))&amp;""</f>
        <v>Def</v>
      </c>
      <c r="M658" s="99" t="str">
        <f>INDEX(Tableau5[Att2],MATCH(Tableau3[[#This Row],[ID-SIG]],Tableau5[ID],0))&amp;""</f>
        <v/>
      </c>
      <c r="N658" s="99" t="str">
        <f>INDEX(Tableau5[Att3],MATCH(Tableau3[[#This Row],[ID-SIG]],Tableau5[ID],0))&amp;""</f>
        <v/>
      </c>
      <c r="O658" s="99"/>
      <c r="P658" s="99" t="str">
        <f>INDEX(Tableau5[Description],MATCH(Tableau3[[#This Row],[ID-SIG]],Tableau5[ID],0))</f>
        <v>Défaut</v>
      </c>
      <c r="Q658" s="99"/>
      <c r="R658" s="103" t="str">
        <f>Tableau3[[#This Row],[Description]]</f>
        <v>Défaut</v>
      </c>
      <c r="U658" s="87">
        <v>4</v>
      </c>
      <c r="V658" s="87">
        <v>2</v>
      </c>
      <c r="W658" s="87">
        <v>3</v>
      </c>
      <c r="X658" s="87">
        <v>8</v>
      </c>
      <c r="Y658" s="40"/>
      <c r="Z658" s="165" t="str">
        <f>INDEX(Tableau2[TS],MATCH(Tableau3[[#This Row],[ID-CARTEVOIE]],Tableau2[ID-CARTEVOIE],0))</f>
        <v>ET</v>
      </c>
      <c r="AA658" s="53" t="s">
        <v>213</v>
      </c>
      <c r="AB658" s="223" t="str">
        <f>IFERROR(INDEX(Tableau5[Reserve],MATCH(Tableau3[[#This Row],[ID-SIG]],Tableau5[ID],0))&amp;"","")</f>
        <v/>
      </c>
      <c r="AC658" s="21"/>
      <c r="AD658" s="108" t="str">
        <f>INDEX(Tableau7[Repere],MATCH(Tableau3[[#This Row],[ID-API]],Tableau7[ID-API],0))&amp;""</f>
        <v>A4</v>
      </c>
      <c r="AE658" s="108" t="str">
        <f>INDEX(Tableau1[Repere-Rack],MATCH(Tableau3[[#This Row],[ID-RACK]],Tableau1[ID-RACK],0))&amp;""</f>
        <v>R2</v>
      </c>
      <c r="AF658" s="108" t="str">
        <f>INDEX(Tableau1[Repere-Slot],MATCH(Tableau3[[#This Row],[ID-SLOT]],Tableau1[ID-SLOT],0))&amp;""</f>
        <v>S3</v>
      </c>
      <c r="AG658" s="108" t="str">
        <f>INDEX(Tableau2[Repere-Voie],MATCH(Tableau3[[#This Row],[ID-VOIE]],Tableau2[ID-Voie],0))&amp;""</f>
        <v>v8</v>
      </c>
      <c r="AH658" s="72" t="str">
        <f>Tableau3[[#This Row],[ID-API]]&amp; "." &amp;Tableau3[[#This Row],[ID-RACK]]&amp; "." &amp;Tableau3[[#This Row],[ID-SLOT]]</f>
        <v>4.2.3</v>
      </c>
      <c r="AI658" s="72" t="str">
        <f>INDEX(Tableau1[Ref-Carte],MATCH(Tableau3[[#This Row],[ID-RRS]],Tableau1[ID-RRS],0))</f>
        <v>SDI1602</v>
      </c>
      <c r="AJ658" s="72" t="str">
        <f t="array" ref="AJ658">IFERROR(INDEX(Tableau2[TS],MATCH(1,(Tableau2[Ref-Carte]=Tableau3[[#This Row],[Ref-Carte2]])*(Tableau2[ID-Voie]=Tableau3[[#This Row],[ID-VOIE]]),0)),"")</f>
        <v>ET</v>
      </c>
      <c r="AK658" s="72" t="str">
        <f>IFERROR(INDEX(Tableau2[TS],SUMPRODUCT((Tableau2[Ref-Carte]=Tableau3[[#This Row],[Ref-Carte2]])*(Tableau2[ID-Voie]=Tableau3[[#This Row],[ID-VOIE]])*ROW(Tableau2[TS]))-ROW(Tableau2[#Headers])),"")</f>
        <v>ET</v>
      </c>
      <c r="AL658" s="72" t="str">
        <f>Tableau3[[#This Row],[Ref-Carte2]]&amp;"/"&amp;Tableau3[[#This Row],[ID-VOIE]]</f>
        <v>SDI1602/8</v>
      </c>
      <c r="AM658" s="73" t="str">
        <f>INDEX(Tableau2[Borne],MATCH(Tableau3[[#This Row],[ID-CARTEVOIE]],Tableau2[ID-CARTEVOIE],0))&amp;""</f>
        <v>4B</v>
      </c>
      <c r="AN658" s="74" t="str">
        <f>Tableau3[[#This Row],[ID-API]]&amp;Tableau3[[#This Row],[ID-RACK]]&amp;Tableau3[[#This Row],[ID-SLOT]]&amp;Tableau3[[#This Row],[BORNE]]</f>
        <v>4234B</v>
      </c>
      <c r="AO658" s="1"/>
    </row>
    <row r="659" spans="1:41" ht="20.100000000000001" customHeight="1" thickTop="1" thickBot="1">
      <c r="A659" s="68"/>
      <c r="B659" s="69" t="str">
        <f>IFERROR(INDEX(Tableau4[Date],MATCH($A659,Tableau4[EVO],0)),"")</f>
        <v/>
      </c>
      <c r="C659" s="68" t="str">
        <f>IFERROR(INDEX(Tableau4[Designation],MATCH($A659,Tableau4[EVO],0)),"")</f>
        <v/>
      </c>
      <c r="D659" s="68"/>
      <c r="E659" s="70">
        <v>169</v>
      </c>
      <c r="F659" s="71">
        <v>85</v>
      </c>
      <c r="G659" s="101" t="str">
        <f>INDEX(Tableau8[Att1],MATCH(Tableau3[[#This Row],[ID-INS]],Tableau8[ID],0))&amp;""</f>
        <v>V3</v>
      </c>
      <c r="H659" s="101" t="str">
        <f>INDEX(Tableau8[Att2],MATCH(Tableau3[[#This Row],[ID-INS]],Tableau8[ID],0))&amp;""</f>
        <v>B33</v>
      </c>
      <c r="I659" s="101" t="str">
        <f>INDEX(Tableau8[Att3],MATCH(Tableau3[[#This Row],[ID-INS]],Tableau8[ID],0))&amp;""</f>
        <v>Boucle B33</v>
      </c>
      <c r="J659" s="101"/>
      <c r="K659" s="167" t="str">
        <f>INDEX(Tableau8[Nom du modele],MATCH(Tableau3[[#This Row],[ID-INS]],Tableau8[ID],0))&amp;""</f>
        <v>Boucle</v>
      </c>
      <c r="L659" s="99" t="str">
        <f>INDEX(Tableau5[Att1],MATCH(Tableau3[[#This Row],[ID-SIG]],Tableau5[ID],0))&amp;""</f>
        <v>Pres</v>
      </c>
      <c r="M659" s="99" t="str">
        <f>INDEX(Tableau5[Att2],MATCH(Tableau3[[#This Row],[ID-SIG]],Tableau5[ID],0))&amp;""</f>
        <v/>
      </c>
      <c r="N659" s="99" t="str">
        <f>INDEX(Tableau5[Att3],MATCH(Tableau3[[#This Row],[ID-SIG]],Tableau5[ID],0))&amp;""</f>
        <v/>
      </c>
      <c r="O659" s="99"/>
      <c r="P659" s="99" t="str">
        <f>INDEX(Tableau5[Description],MATCH(Tableau3[[#This Row],[ID-SIG]],Tableau5[ID],0))</f>
        <v>Présence</v>
      </c>
      <c r="Q659" s="99"/>
      <c r="R659" s="103" t="str">
        <f>Tableau3[[#This Row],[Description]]</f>
        <v>Présence</v>
      </c>
      <c r="U659" s="87">
        <v>4</v>
      </c>
      <c r="V659" s="87">
        <v>2</v>
      </c>
      <c r="W659" s="87">
        <v>3</v>
      </c>
      <c r="X659" s="87">
        <v>9</v>
      </c>
      <c r="Y659" s="40"/>
      <c r="Z659" s="165" t="str">
        <f>INDEX(Tableau2[TS],MATCH(Tableau3[[#This Row],[ID-CARTEVOIE]],Tableau2[ID-CARTEVOIE],0))</f>
        <v>ET</v>
      </c>
      <c r="AA659" s="53" t="s">
        <v>213</v>
      </c>
      <c r="AB659" s="223" t="str">
        <f>IFERROR(INDEX(Tableau5[Reserve],MATCH(Tableau3[[#This Row],[ID-SIG]],Tableau5[ID],0))&amp;"","")</f>
        <v/>
      </c>
      <c r="AC659" s="21"/>
      <c r="AD659" s="108" t="str">
        <f>INDEX(Tableau7[Repere],MATCH(Tableau3[[#This Row],[ID-API]],Tableau7[ID-API],0))&amp;""</f>
        <v>A4</v>
      </c>
      <c r="AE659" s="108" t="str">
        <f>INDEX(Tableau1[Repere-Rack],MATCH(Tableau3[[#This Row],[ID-RACK]],Tableau1[ID-RACK],0))&amp;""</f>
        <v>R2</v>
      </c>
      <c r="AF659" s="108" t="str">
        <f>INDEX(Tableau1[Repere-Slot],MATCH(Tableau3[[#This Row],[ID-SLOT]],Tableau1[ID-SLOT],0))&amp;""</f>
        <v>S3</v>
      </c>
      <c r="AG659" s="108" t="str">
        <f>INDEX(Tableau2[Repere-Voie],MATCH(Tableau3[[#This Row],[ID-VOIE]],Tableau2[ID-Voie],0))&amp;""</f>
        <v>v9</v>
      </c>
      <c r="AH659" s="72" t="str">
        <f>Tableau3[[#This Row],[ID-API]]&amp; "." &amp;Tableau3[[#This Row],[ID-RACK]]&amp; "." &amp;Tableau3[[#This Row],[ID-SLOT]]</f>
        <v>4.2.3</v>
      </c>
      <c r="AI659" s="72" t="str">
        <f>INDEX(Tableau1[Ref-Carte],MATCH(Tableau3[[#This Row],[ID-RRS]],Tableau1[ID-RRS],0))</f>
        <v>SDI1602</v>
      </c>
      <c r="AJ659" s="72" t="str">
        <f t="array" ref="AJ659">IFERROR(INDEX(Tableau2[TS],MATCH(1,(Tableau2[Ref-Carte]=Tableau3[[#This Row],[Ref-Carte2]])*(Tableau2[ID-Voie]=Tableau3[[#This Row],[ID-VOIE]]),0)),"")</f>
        <v>ET</v>
      </c>
      <c r="AK659" s="72" t="str">
        <f>IFERROR(INDEX(Tableau2[TS],SUMPRODUCT((Tableau2[Ref-Carte]=Tableau3[[#This Row],[Ref-Carte2]])*(Tableau2[ID-Voie]=Tableau3[[#This Row],[ID-VOIE]])*ROW(Tableau2[TS]))-ROW(Tableau2[#Headers])),"")</f>
        <v>ET</v>
      </c>
      <c r="AL659" s="72" t="str">
        <f>Tableau3[[#This Row],[Ref-Carte2]]&amp;"/"&amp;Tableau3[[#This Row],[ID-VOIE]]</f>
        <v>SDI1602/9</v>
      </c>
      <c r="AM659" s="73" t="str">
        <f>INDEX(Tableau2[Borne],MATCH(Tableau3[[#This Row],[ID-CARTEVOIE]],Tableau2[ID-CARTEVOIE],0))&amp;""</f>
        <v>4A</v>
      </c>
      <c r="AN659" s="74" t="str">
        <f>Tableau3[[#This Row],[ID-API]]&amp;Tableau3[[#This Row],[ID-RACK]]&amp;Tableau3[[#This Row],[ID-SLOT]]&amp;Tableau3[[#This Row],[BORNE]]</f>
        <v>4234A</v>
      </c>
      <c r="AO659" s="1"/>
    </row>
    <row r="660" spans="1:41" ht="20.100000000000001" customHeight="1" thickTop="1" thickBot="1">
      <c r="A660" s="68"/>
      <c r="B660" s="69" t="str">
        <f>IFERROR(INDEX(Tableau4[Date],MATCH($A660,Tableau4[EVO],0)),"")</f>
        <v/>
      </c>
      <c r="C660" s="68" t="str">
        <f>IFERROR(INDEX(Tableau4[Designation],MATCH($A660,Tableau4[EVO],0)),"")</f>
        <v/>
      </c>
      <c r="D660" s="68"/>
      <c r="E660" s="70">
        <v>172</v>
      </c>
      <c r="F660" s="71">
        <v>84</v>
      </c>
      <c r="G660" s="101" t="str">
        <f>INDEX(Tableau8[Att1],MATCH(Tableau3[[#This Row],[ID-INS]],Tableau8[ID],0))&amp;""</f>
        <v>V3</v>
      </c>
      <c r="H660" s="101" t="str">
        <f>INDEX(Tableau8[Att2],MATCH(Tableau3[[#This Row],[ID-INS]],Tableau8[ID],0))&amp;""</f>
        <v>B36</v>
      </c>
      <c r="I660" s="101" t="str">
        <f>INDEX(Tableau8[Att3],MATCH(Tableau3[[#This Row],[ID-INS]],Tableau8[ID],0))&amp;""</f>
        <v>Boucle B36</v>
      </c>
      <c r="J660" s="101"/>
      <c r="K660" s="167" t="str">
        <f>INDEX(Tableau8[Nom du modele],MATCH(Tableau3[[#This Row],[ID-INS]],Tableau8[ID],0))&amp;""</f>
        <v>Boucle</v>
      </c>
      <c r="L660" s="99" t="str">
        <f>INDEX(Tableau5[Att1],MATCH(Tableau3[[#This Row],[ID-SIG]],Tableau5[ID],0))&amp;""</f>
        <v>Def</v>
      </c>
      <c r="M660" s="99" t="str">
        <f>INDEX(Tableau5[Att2],MATCH(Tableau3[[#This Row],[ID-SIG]],Tableau5[ID],0))&amp;""</f>
        <v/>
      </c>
      <c r="N660" s="99" t="str">
        <f>INDEX(Tableau5[Att3],MATCH(Tableau3[[#This Row],[ID-SIG]],Tableau5[ID],0))&amp;""</f>
        <v/>
      </c>
      <c r="O660" s="99"/>
      <c r="P660" s="99" t="str">
        <f>INDEX(Tableau5[Description],MATCH(Tableau3[[#This Row],[ID-SIG]],Tableau5[ID],0))</f>
        <v>Défaut</v>
      </c>
      <c r="Q660" s="99"/>
      <c r="R660" s="103" t="str">
        <f>Tableau3[[#This Row],[Description]]</f>
        <v>Défaut</v>
      </c>
      <c r="U660" s="87">
        <v>4</v>
      </c>
      <c r="V660" s="87">
        <v>2</v>
      </c>
      <c r="W660" s="87">
        <v>3</v>
      </c>
      <c r="X660" s="87">
        <v>10</v>
      </c>
      <c r="Y660" s="40"/>
      <c r="Z660" s="165" t="str">
        <f>INDEX(Tableau2[TS],MATCH(Tableau3[[#This Row],[ID-CARTEVOIE]],Tableau2[ID-CARTEVOIE],0))</f>
        <v>ET</v>
      </c>
      <c r="AA660" s="53" t="s">
        <v>213</v>
      </c>
      <c r="AB660" s="223" t="str">
        <f>IFERROR(INDEX(Tableau5[Reserve],MATCH(Tableau3[[#This Row],[ID-SIG]],Tableau5[ID],0))&amp;"","")</f>
        <v/>
      </c>
      <c r="AC660" s="21"/>
      <c r="AD660" s="108" t="str">
        <f>INDEX(Tableau7[Repere],MATCH(Tableau3[[#This Row],[ID-API]],Tableau7[ID-API],0))&amp;""</f>
        <v>A4</v>
      </c>
      <c r="AE660" s="108" t="str">
        <f>INDEX(Tableau1[Repere-Rack],MATCH(Tableau3[[#This Row],[ID-RACK]],Tableau1[ID-RACK],0))&amp;""</f>
        <v>R2</v>
      </c>
      <c r="AF660" s="108" t="str">
        <f>INDEX(Tableau1[Repere-Slot],MATCH(Tableau3[[#This Row],[ID-SLOT]],Tableau1[ID-SLOT],0))&amp;""</f>
        <v>S3</v>
      </c>
      <c r="AG660" s="108" t="str">
        <f>INDEX(Tableau2[Repere-Voie],MATCH(Tableau3[[#This Row],[ID-VOIE]],Tableau2[ID-Voie],0))&amp;""</f>
        <v>v10</v>
      </c>
      <c r="AH660" s="72" t="str">
        <f>Tableau3[[#This Row],[ID-API]]&amp; "." &amp;Tableau3[[#This Row],[ID-RACK]]&amp; "." &amp;Tableau3[[#This Row],[ID-SLOT]]</f>
        <v>4.2.3</v>
      </c>
      <c r="AI660" s="72" t="str">
        <f>INDEX(Tableau1[Ref-Carte],MATCH(Tableau3[[#This Row],[ID-RRS]],Tableau1[ID-RRS],0))</f>
        <v>SDI1602</v>
      </c>
      <c r="AJ660" s="72" t="str">
        <f t="array" ref="AJ660">IFERROR(INDEX(Tableau2[TS],MATCH(1,(Tableau2[Ref-Carte]=Tableau3[[#This Row],[Ref-Carte2]])*(Tableau2[ID-Voie]=Tableau3[[#This Row],[ID-VOIE]]),0)),"")</f>
        <v>ET</v>
      </c>
      <c r="AK660" s="72" t="str">
        <f>IFERROR(INDEX(Tableau2[TS],SUMPRODUCT((Tableau2[Ref-Carte]=Tableau3[[#This Row],[Ref-Carte2]])*(Tableau2[ID-Voie]=Tableau3[[#This Row],[ID-VOIE]])*ROW(Tableau2[TS]))-ROW(Tableau2[#Headers])),"")</f>
        <v>ET</v>
      </c>
      <c r="AL660" s="72" t="str">
        <f>Tableau3[[#This Row],[Ref-Carte2]]&amp;"/"&amp;Tableau3[[#This Row],[ID-VOIE]]</f>
        <v>SDI1602/10</v>
      </c>
      <c r="AM660" s="73" t="str">
        <f>INDEX(Tableau2[Borne],MATCH(Tableau3[[#This Row],[ID-CARTEVOIE]],Tableau2[ID-CARTEVOIE],0))&amp;""</f>
        <v>5B</v>
      </c>
      <c r="AN660" s="74" t="str">
        <f>Tableau3[[#This Row],[ID-API]]&amp;Tableau3[[#This Row],[ID-RACK]]&amp;Tableau3[[#This Row],[ID-SLOT]]&amp;Tableau3[[#This Row],[BORNE]]</f>
        <v>4235B</v>
      </c>
      <c r="AO660" s="1"/>
    </row>
    <row r="661" spans="1:41" ht="20.100000000000001" customHeight="1" thickTop="1" thickBot="1">
      <c r="A661" s="68"/>
      <c r="B661" s="69" t="str">
        <f>IFERROR(INDEX(Tableau4[Date],MATCH($A661,Tableau4[EVO],0)),"")</f>
        <v/>
      </c>
      <c r="C661" s="68" t="str">
        <f>IFERROR(INDEX(Tableau4[Designation],MATCH($A661,Tableau4[EVO],0)),"")</f>
        <v/>
      </c>
      <c r="D661" s="68"/>
      <c r="E661" s="70">
        <v>172</v>
      </c>
      <c r="F661" s="71">
        <v>85</v>
      </c>
      <c r="G661" s="101" t="str">
        <f>INDEX(Tableau8[Att1],MATCH(Tableau3[[#This Row],[ID-INS]],Tableau8[ID],0))&amp;""</f>
        <v>V3</v>
      </c>
      <c r="H661" s="101" t="str">
        <f>INDEX(Tableau8[Att2],MATCH(Tableau3[[#This Row],[ID-INS]],Tableau8[ID],0))&amp;""</f>
        <v>B36</v>
      </c>
      <c r="I661" s="101" t="str">
        <f>INDEX(Tableau8[Att3],MATCH(Tableau3[[#This Row],[ID-INS]],Tableau8[ID],0))&amp;""</f>
        <v>Boucle B36</v>
      </c>
      <c r="J661" s="101"/>
      <c r="K661" s="167" t="str">
        <f>INDEX(Tableau8[Nom du modele],MATCH(Tableau3[[#This Row],[ID-INS]],Tableau8[ID],0))&amp;""</f>
        <v>Boucle</v>
      </c>
      <c r="L661" s="99" t="str">
        <f>INDEX(Tableau5[Att1],MATCH(Tableau3[[#This Row],[ID-SIG]],Tableau5[ID],0))&amp;""</f>
        <v>Pres</v>
      </c>
      <c r="M661" s="99" t="str">
        <f>INDEX(Tableau5[Att2],MATCH(Tableau3[[#This Row],[ID-SIG]],Tableau5[ID],0))&amp;""</f>
        <v/>
      </c>
      <c r="N661" s="99" t="str">
        <f>INDEX(Tableau5[Att3],MATCH(Tableau3[[#This Row],[ID-SIG]],Tableau5[ID],0))&amp;""</f>
        <v/>
      </c>
      <c r="O661" s="99"/>
      <c r="P661" s="99" t="str">
        <f>INDEX(Tableau5[Description],MATCH(Tableau3[[#This Row],[ID-SIG]],Tableau5[ID],0))</f>
        <v>Présence</v>
      </c>
      <c r="Q661" s="99"/>
      <c r="R661" s="103" t="str">
        <f>Tableau3[[#This Row],[Description]]</f>
        <v>Présence</v>
      </c>
      <c r="U661" s="87">
        <v>4</v>
      </c>
      <c r="V661" s="87">
        <v>2</v>
      </c>
      <c r="W661" s="87">
        <v>3</v>
      </c>
      <c r="X661" s="87">
        <v>11</v>
      </c>
      <c r="Y661" s="40"/>
      <c r="Z661" s="165" t="str">
        <f>INDEX(Tableau2[TS],MATCH(Tableau3[[#This Row],[ID-CARTEVOIE]],Tableau2[ID-CARTEVOIE],0))</f>
        <v>ET</v>
      </c>
      <c r="AA661" s="53" t="s">
        <v>213</v>
      </c>
      <c r="AB661" s="223" t="str">
        <f>IFERROR(INDEX(Tableau5[Reserve],MATCH(Tableau3[[#This Row],[ID-SIG]],Tableau5[ID],0))&amp;"","")</f>
        <v/>
      </c>
      <c r="AC661" s="21"/>
      <c r="AD661" s="108" t="str">
        <f>INDEX(Tableau7[Repere],MATCH(Tableau3[[#This Row],[ID-API]],Tableau7[ID-API],0))&amp;""</f>
        <v>A4</v>
      </c>
      <c r="AE661" s="108" t="str">
        <f>INDEX(Tableau1[Repere-Rack],MATCH(Tableau3[[#This Row],[ID-RACK]],Tableau1[ID-RACK],0))&amp;""</f>
        <v>R2</v>
      </c>
      <c r="AF661" s="108" t="str">
        <f>INDEX(Tableau1[Repere-Slot],MATCH(Tableau3[[#This Row],[ID-SLOT]],Tableau1[ID-SLOT],0))&amp;""</f>
        <v>S3</v>
      </c>
      <c r="AG661" s="108" t="str">
        <f>INDEX(Tableau2[Repere-Voie],MATCH(Tableau3[[#This Row],[ID-VOIE]],Tableau2[ID-Voie],0))&amp;""</f>
        <v>v11</v>
      </c>
      <c r="AH661" s="72" t="str">
        <f>Tableau3[[#This Row],[ID-API]]&amp; "." &amp;Tableau3[[#This Row],[ID-RACK]]&amp; "." &amp;Tableau3[[#This Row],[ID-SLOT]]</f>
        <v>4.2.3</v>
      </c>
      <c r="AI661" s="72" t="str">
        <f>INDEX(Tableau1[Ref-Carte],MATCH(Tableau3[[#This Row],[ID-RRS]],Tableau1[ID-RRS],0))</f>
        <v>SDI1602</v>
      </c>
      <c r="AJ661" s="72" t="str">
        <f t="array" ref="AJ661">IFERROR(INDEX(Tableau2[TS],MATCH(1,(Tableau2[Ref-Carte]=Tableau3[[#This Row],[Ref-Carte2]])*(Tableau2[ID-Voie]=Tableau3[[#This Row],[ID-VOIE]]),0)),"")</f>
        <v>ET</v>
      </c>
      <c r="AK661" s="72" t="str">
        <f>IFERROR(INDEX(Tableau2[TS],SUMPRODUCT((Tableau2[Ref-Carte]=Tableau3[[#This Row],[Ref-Carte2]])*(Tableau2[ID-Voie]=Tableau3[[#This Row],[ID-VOIE]])*ROW(Tableau2[TS]))-ROW(Tableau2[#Headers])),"")</f>
        <v>ET</v>
      </c>
      <c r="AL661" s="72" t="str">
        <f>Tableau3[[#This Row],[Ref-Carte2]]&amp;"/"&amp;Tableau3[[#This Row],[ID-VOIE]]</f>
        <v>SDI1602/11</v>
      </c>
      <c r="AM661" s="73" t="str">
        <f>INDEX(Tableau2[Borne],MATCH(Tableau3[[#This Row],[ID-CARTEVOIE]],Tableau2[ID-CARTEVOIE],0))&amp;""</f>
        <v>5A</v>
      </c>
      <c r="AN661" s="74" t="str">
        <f>Tableau3[[#This Row],[ID-API]]&amp;Tableau3[[#This Row],[ID-RACK]]&amp;Tableau3[[#This Row],[ID-SLOT]]&amp;Tableau3[[#This Row],[BORNE]]</f>
        <v>4235A</v>
      </c>
      <c r="AO661" s="1"/>
    </row>
    <row r="662" spans="1:41" ht="20.100000000000001" customHeight="1" thickTop="1" thickBot="1">
      <c r="A662" s="68"/>
      <c r="B662" s="69" t="str">
        <f>IFERROR(INDEX(Tableau4[Date],MATCH($A662,Tableau4[EVO],0)),"")</f>
        <v/>
      </c>
      <c r="C662" s="68" t="str">
        <f>IFERROR(INDEX(Tableau4[Designation],MATCH($A662,Tableau4[EVO],0)),"")</f>
        <v/>
      </c>
      <c r="D662" s="68"/>
      <c r="E662" s="70">
        <v>179</v>
      </c>
      <c r="F662" s="71">
        <v>1</v>
      </c>
      <c r="G662" s="101" t="str">
        <f>INDEX(Tableau8[Att1],MATCH(Tableau3[[#This Row],[ID-INS]],Tableau8[ID],0))&amp;""</f>
        <v>V3</v>
      </c>
      <c r="H662" s="101" t="str">
        <f>INDEX(Tableau8[Att2],MATCH(Tableau3[[#This Row],[ID-INS]],Tableau8[ID],0))&amp;""</f>
        <v>BP5</v>
      </c>
      <c r="I662" s="101" t="str">
        <f>INDEX(Tableau8[Att3],MATCH(Tableau3[[#This Row],[ID-INS]],Tableau8[ID],0))&amp;""</f>
        <v>Bouton d'acquittement contrôle aléatoire V3</v>
      </c>
      <c r="J662" s="101"/>
      <c r="K662" s="167" t="str">
        <f>INDEX(Tableau8[Nom du modele],MATCH(Tableau3[[#This Row],[ID-INS]],Tableau8[ID],0))&amp;""</f>
        <v>BoutonPoussoir</v>
      </c>
      <c r="L662" s="99" t="str">
        <f>INDEX(Tableau5[Att1],MATCH(Tableau3[[#This Row],[ID-SIG]],Tableau5[ID],0))&amp;""</f>
        <v>Appui</v>
      </c>
      <c r="M662" s="99" t="str">
        <f>INDEX(Tableau5[Att2],MATCH(Tableau3[[#This Row],[ID-SIG]],Tableau5[ID],0))&amp;""</f>
        <v/>
      </c>
      <c r="N662" s="99" t="str">
        <f>INDEX(Tableau5[Att3],MATCH(Tableau3[[#This Row],[ID-SIG]],Tableau5[ID],0))&amp;""</f>
        <v/>
      </c>
      <c r="O662" s="99"/>
      <c r="P662" s="99" t="str">
        <f>INDEX(Tableau5[Description],MATCH(Tableau3[[#This Row],[ID-SIG]],Tableau5[ID],0))</f>
        <v>Appui</v>
      </c>
      <c r="Q662" s="99"/>
      <c r="R662" s="103" t="str">
        <f>Tableau3[[#This Row],[Description]]</f>
        <v>Appui</v>
      </c>
      <c r="T662" s="85"/>
      <c r="U662" s="87">
        <v>4</v>
      </c>
      <c r="V662" s="87">
        <v>2</v>
      </c>
      <c r="W662" s="87">
        <v>3</v>
      </c>
      <c r="X662" s="87">
        <v>12</v>
      </c>
      <c r="Y662" s="40"/>
      <c r="Z662" s="165" t="str">
        <f>INDEX(Tableau2[TS],MATCH(Tableau3[[#This Row],[ID-CARTEVOIE]],Tableau2[ID-CARTEVOIE],0))</f>
        <v>ET</v>
      </c>
      <c r="AA662" s="53" t="s">
        <v>213</v>
      </c>
      <c r="AB662" s="223" t="str">
        <f>IFERROR(INDEX(Tableau5[Reserve],MATCH(Tableau3[[#This Row],[ID-SIG]],Tableau5[ID],0))&amp;"","")</f>
        <v/>
      </c>
      <c r="AC662" s="21"/>
      <c r="AD662" s="108" t="str">
        <f>INDEX(Tableau7[Repere],MATCH(Tableau3[[#This Row],[ID-API]],Tableau7[ID-API],0))&amp;""</f>
        <v>A4</v>
      </c>
      <c r="AE662" s="108" t="str">
        <f>INDEX(Tableau1[Repere-Rack],MATCH(Tableau3[[#This Row],[ID-RACK]],Tableau1[ID-RACK],0))&amp;""</f>
        <v>R2</v>
      </c>
      <c r="AF662" s="108" t="str">
        <f>INDEX(Tableau1[Repere-Slot],MATCH(Tableau3[[#This Row],[ID-SLOT]],Tableau1[ID-SLOT],0))&amp;""</f>
        <v>S3</v>
      </c>
      <c r="AG662" s="108" t="str">
        <f>INDEX(Tableau2[Repere-Voie],MATCH(Tableau3[[#This Row],[ID-VOIE]],Tableau2[ID-Voie],0))&amp;""</f>
        <v>v12</v>
      </c>
      <c r="AH662" s="72" t="str">
        <f>Tableau3[[#This Row],[ID-API]]&amp; "." &amp;Tableau3[[#This Row],[ID-RACK]]&amp; "." &amp;Tableau3[[#This Row],[ID-SLOT]]</f>
        <v>4.2.3</v>
      </c>
      <c r="AI662" s="72" t="str">
        <f>INDEX(Tableau1[Ref-Carte],MATCH(Tableau3[[#This Row],[ID-RRS]],Tableau1[ID-RRS],0))</f>
        <v>SDI1602</v>
      </c>
      <c r="AJ662" s="72" t="str">
        <f t="array" ref="AJ662">IFERROR(INDEX(Tableau2[TS],MATCH(1,(Tableau2[Ref-Carte]=Tableau3[[#This Row],[Ref-Carte2]])*(Tableau2[ID-Voie]=Tableau3[[#This Row],[ID-VOIE]]),0)),"")</f>
        <v>ET</v>
      </c>
      <c r="AK662" s="72" t="str">
        <f>IFERROR(INDEX(Tableau2[TS],SUMPRODUCT((Tableau2[Ref-Carte]=Tableau3[[#This Row],[Ref-Carte2]])*(Tableau2[ID-Voie]=Tableau3[[#This Row],[ID-VOIE]])*ROW(Tableau2[TS]))-ROW(Tableau2[#Headers])),"")</f>
        <v>ET</v>
      </c>
      <c r="AL662" s="72" t="str">
        <f>Tableau3[[#This Row],[Ref-Carte2]]&amp;"/"&amp;Tableau3[[#This Row],[ID-VOIE]]</f>
        <v>SDI1602/12</v>
      </c>
      <c r="AM662" s="73" t="str">
        <f>INDEX(Tableau2[Borne],MATCH(Tableau3[[#This Row],[ID-CARTEVOIE]],Tableau2[ID-CARTEVOIE],0))&amp;""</f>
        <v>6B</v>
      </c>
      <c r="AN662" s="74" t="str">
        <f>Tableau3[[#This Row],[ID-API]]&amp;Tableau3[[#This Row],[ID-RACK]]&amp;Tableau3[[#This Row],[ID-SLOT]]&amp;Tableau3[[#This Row],[BORNE]]</f>
        <v>4236B</v>
      </c>
      <c r="AO662" s="1"/>
    </row>
    <row r="663" spans="1:41" ht="20.100000000000001" customHeight="1" thickTop="1" thickBot="1">
      <c r="A663" s="68"/>
      <c r="B663" s="69" t="str">
        <f>IFERROR(INDEX(Tableau4[Date],MATCH($A663,Tableau4[EVO],0)),"")</f>
        <v/>
      </c>
      <c r="C663" s="68" t="str">
        <f>IFERROR(INDEX(Tableau4[Designation],MATCH($A663,Tableau4[EVO],0)),"")</f>
        <v/>
      </c>
      <c r="D663" s="68"/>
      <c r="E663" s="70">
        <v>203</v>
      </c>
      <c r="F663" s="71">
        <v>104</v>
      </c>
      <c r="G663" s="101" t="str">
        <f>INDEX(Tableau8[Att1],MATCH(Tableau3[[#This Row],[ID-INS]],Tableau8[ID],0))&amp;""</f>
        <v>X</v>
      </c>
      <c r="H663" s="101" t="str">
        <f>INDEX(Tableau8[Att2],MATCH(Tableau3[[#This Row],[ID-INS]],Tableau8[ID],0))&amp;""</f>
        <v>EL21</v>
      </c>
      <c r="I663" s="101" t="str">
        <f>INDEX(Tableau8[Att3],MATCH(Tableau3[[#This Row],[ID-INS]],Tableau8[ID],0))&amp;""</f>
        <v>RIO4 Défaut batterie</v>
      </c>
      <c r="J663" s="101"/>
      <c r="K663" s="167" t="str">
        <f>INDEX(Tableau8[Nom du modele],MATCH(Tableau3[[#This Row],[ID-INS]],Tableau8[ID],0))&amp;""</f>
        <v>SurvElec</v>
      </c>
      <c r="L663" s="99" t="str">
        <f>INDEX(Tableau5[Att1],MATCH(Tableau3[[#This Row],[ID-SIG]],Tableau5[ID],0))&amp;""</f>
        <v>Def</v>
      </c>
      <c r="M663" s="99" t="str">
        <f>INDEX(Tableau5[Att2],MATCH(Tableau3[[#This Row],[ID-SIG]],Tableau5[ID],0))&amp;""</f>
        <v/>
      </c>
      <c r="N663" s="99" t="str">
        <f>INDEX(Tableau5[Att3],MATCH(Tableau3[[#This Row],[ID-SIG]],Tableau5[ID],0))&amp;""</f>
        <v/>
      </c>
      <c r="O663" s="99"/>
      <c r="P663" s="99" t="str">
        <f>INDEX(Tableau5[Description],MATCH(Tableau3[[#This Row],[ID-SIG]],Tableau5[ID],0))</f>
        <v>Défaut</v>
      </c>
      <c r="Q663" s="99"/>
      <c r="R663" s="103" t="str">
        <f>Tableau3[[#This Row],[Description]]</f>
        <v>Défaut</v>
      </c>
      <c r="U663" s="87">
        <v>4</v>
      </c>
      <c r="V663" s="87">
        <v>2</v>
      </c>
      <c r="W663" s="87">
        <v>3</v>
      </c>
      <c r="X663" s="87">
        <v>13</v>
      </c>
      <c r="Y663" s="40"/>
      <c r="Z663" s="165" t="str">
        <f>INDEX(Tableau2[TS],MATCH(Tableau3[[#This Row],[ID-CARTEVOIE]],Tableau2[ID-CARTEVOIE],0))</f>
        <v>ET</v>
      </c>
      <c r="AA663" s="53" t="s">
        <v>213</v>
      </c>
      <c r="AB663" s="223" t="str">
        <f>IFERROR(INDEX(Tableau5[Reserve],MATCH(Tableau3[[#This Row],[ID-SIG]],Tableau5[ID],0))&amp;"","")</f>
        <v/>
      </c>
      <c r="AC663" s="21"/>
      <c r="AD663" s="108" t="str">
        <f>INDEX(Tableau7[Repere],MATCH(Tableau3[[#This Row],[ID-API]],Tableau7[ID-API],0))&amp;""</f>
        <v>A4</v>
      </c>
      <c r="AE663" s="108" t="str">
        <f>INDEX(Tableau1[Repere-Rack],MATCH(Tableau3[[#This Row],[ID-RACK]],Tableau1[ID-RACK],0))&amp;""</f>
        <v>R2</v>
      </c>
      <c r="AF663" s="108" t="str">
        <f>INDEX(Tableau1[Repere-Slot],MATCH(Tableau3[[#This Row],[ID-SLOT]],Tableau1[ID-SLOT],0))&amp;""</f>
        <v>S3</v>
      </c>
      <c r="AG663" s="108" t="str">
        <f>INDEX(Tableau2[Repere-Voie],MATCH(Tableau3[[#This Row],[ID-VOIE]],Tableau2[ID-Voie],0))&amp;""</f>
        <v>v13</v>
      </c>
      <c r="AH663" s="72" t="str">
        <f>Tableau3[[#This Row],[ID-API]]&amp; "." &amp;Tableau3[[#This Row],[ID-RACK]]&amp; "." &amp;Tableau3[[#This Row],[ID-SLOT]]</f>
        <v>4.2.3</v>
      </c>
      <c r="AI663" s="72" t="str">
        <f>INDEX(Tableau1[Ref-Carte],MATCH(Tableau3[[#This Row],[ID-RRS]],Tableau1[ID-RRS],0))</f>
        <v>SDI1602</v>
      </c>
      <c r="AJ663" s="72" t="str">
        <f t="array" ref="AJ663">IFERROR(INDEX(Tableau2[TS],MATCH(1,(Tableau2[Ref-Carte]=Tableau3[[#This Row],[Ref-Carte2]])*(Tableau2[ID-Voie]=Tableau3[[#This Row],[ID-VOIE]]),0)),"")</f>
        <v>ET</v>
      </c>
      <c r="AK663" s="72" t="str">
        <f>IFERROR(INDEX(Tableau2[TS],SUMPRODUCT((Tableau2[Ref-Carte]=Tableau3[[#This Row],[Ref-Carte2]])*(Tableau2[ID-Voie]=Tableau3[[#This Row],[ID-VOIE]])*ROW(Tableau2[TS]))-ROW(Tableau2[#Headers])),"")</f>
        <v>ET</v>
      </c>
      <c r="AL663" s="72" t="str">
        <f>Tableau3[[#This Row],[Ref-Carte2]]&amp;"/"&amp;Tableau3[[#This Row],[ID-VOIE]]</f>
        <v>SDI1602/13</v>
      </c>
      <c r="AM663" s="73" t="str">
        <f>INDEX(Tableau2[Borne],MATCH(Tableau3[[#This Row],[ID-CARTEVOIE]],Tableau2[ID-CARTEVOIE],0))&amp;""</f>
        <v>6A</v>
      </c>
      <c r="AN663" s="74" t="str">
        <f>Tableau3[[#This Row],[ID-API]]&amp;Tableau3[[#This Row],[ID-RACK]]&amp;Tableau3[[#This Row],[ID-SLOT]]&amp;Tableau3[[#This Row],[BORNE]]</f>
        <v>4236A</v>
      </c>
      <c r="AO663" s="1"/>
    </row>
    <row r="664" spans="1:41" ht="20.100000000000001" customHeight="1" thickTop="1" thickBot="1">
      <c r="A664" s="68"/>
      <c r="B664" s="69" t="str">
        <f>IFERROR(INDEX(Tableau4[Date],MATCH($A664,Tableau4[EVO],0)),"")</f>
        <v/>
      </c>
      <c r="C664" s="68" t="str">
        <f>IFERROR(INDEX(Tableau4[Designation],MATCH($A664,Tableau4[EVO],0)),"")</f>
        <v/>
      </c>
      <c r="D664" s="68"/>
      <c r="E664" s="70">
        <v>204</v>
      </c>
      <c r="F664" s="71">
        <v>104</v>
      </c>
      <c r="G664" s="101" t="str">
        <f>INDEX(Tableau8[Att1],MATCH(Tableau3[[#This Row],[ID-INS]],Tableau8[ID],0))&amp;""</f>
        <v>X</v>
      </c>
      <c r="H664" s="101" t="str">
        <f>INDEX(Tableau8[Att2],MATCH(Tableau3[[#This Row],[ID-INS]],Tableau8[ID],0))&amp;""</f>
        <v>EL22</v>
      </c>
      <c r="I664" s="101" t="str">
        <f>INDEX(Tableau8[Att3],MATCH(Tableau3[[#This Row],[ID-INS]],Tableau8[ID],0))&amp;""</f>
        <v>RIO4 Synthèse disjonction auxiliaire + puissance</v>
      </c>
      <c r="J664" s="101"/>
      <c r="K664" s="167" t="str">
        <f>INDEX(Tableau8[Nom du modele],MATCH(Tableau3[[#This Row],[ID-INS]],Tableau8[ID],0))&amp;""</f>
        <v>SurvElec</v>
      </c>
      <c r="L664" s="99" t="str">
        <f>INDEX(Tableau5[Att1],MATCH(Tableau3[[#This Row],[ID-SIG]],Tableau5[ID],0))&amp;""</f>
        <v>Def</v>
      </c>
      <c r="M664" s="99" t="str">
        <f>INDEX(Tableau5[Att2],MATCH(Tableau3[[#This Row],[ID-SIG]],Tableau5[ID],0))&amp;""</f>
        <v/>
      </c>
      <c r="N664" s="99" t="str">
        <f>INDEX(Tableau5[Att3],MATCH(Tableau3[[#This Row],[ID-SIG]],Tableau5[ID],0))&amp;""</f>
        <v/>
      </c>
      <c r="O664" s="99"/>
      <c r="P664" s="99" t="str">
        <f>INDEX(Tableau5[Description],MATCH(Tableau3[[#This Row],[ID-SIG]],Tableau5[ID],0))</f>
        <v>Défaut</v>
      </c>
      <c r="Q664" s="99"/>
      <c r="R664" s="103" t="str">
        <f>Tableau3[[#This Row],[Description]]</f>
        <v>Défaut</v>
      </c>
      <c r="U664" s="87">
        <v>4</v>
      </c>
      <c r="V664" s="87">
        <v>2</v>
      </c>
      <c r="W664" s="87">
        <v>3</v>
      </c>
      <c r="X664" s="87">
        <v>14</v>
      </c>
      <c r="Y664" s="40"/>
      <c r="Z664" s="165" t="str">
        <f>INDEX(Tableau2[TS],MATCH(Tableau3[[#This Row],[ID-CARTEVOIE]],Tableau2[ID-CARTEVOIE],0))</f>
        <v>ET</v>
      </c>
      <c r="AA664" s="53" t="s">
        <v>213</v>
      </c>
      <c r="AB664" s="223" t="str">
        <f>IFERROR(INDEX(Tableau5[Reserve],MATCH(Tableau3[[#This Row],[ID-SIG]],Tableau5[ID],0))&amp;"","")</f>
        <v/>
      </c>
      <c r="AC664" s="21"/>
      <c r="AD664" s="108" t="str">
        <f>INDEX(Tableau7[Repere],MATCH(Tableau3[[#This Row],[ID-API]],Tableau7[ID-API],0))&amp;""</f>
        <v>A4</v>
      </c>
      <c r="AE664" s="108" t="str">
        <f>INDEX(Tableau1[Repere-Rack],MATCH(Tableau3[[#This Row],[ID-RACK]],Tableau1[ID-RACK],0))&amp;""</f>
        <v>R2</v>
      </c>
      <c r="AF664" s="108" t="str">
        <f>INDEX(Tableau1[Repere-Slot],MATCH(Tableau3[[#This Row],[ID-SLOT]],Tableau1[ID-SLOT],0))&amp;""</f>
        <v>S3</v>
      </c>
      <c r="AG664" s="108" t="str">
        <f>INDEX(Tableau2[Repere-Voie],MATCH(Tableau3[[#This Row],[ID-VOIE]],Tableau2[ID-Voie],0))&amp;""</f>
        <v>v14</v>
      </c>
      <c r="AH664" s="72" t="str">
        <f>Tableau3[[#This Row],[ID-API]]&amp; "." &amp;Tableau3[[#This Row],[ID-RACK]]&amp; "." &amp;Tableau3[[#This Row],[ID-SLOT]]</f>
        <v>4.2.3</v>
      </c>
      <c r="AI664" s="72" t="str">
        <f>INDEX(Tableau1[Ref-Carte],MATCH(Tableau3[[#This Row],[ID-RRS]],Tableau1[ID-RRS],0))</f>
        <v>SDI1602</v>
      </c>
      <c r="AJ664" s="72" t="str">
        <f t="array" ref="AJ664">IFERROR(INDEX(Tableau2[TS],MATCH(1,(Tableau2[Ref-Carte]=Tableau3[[#This Row],[Ref-Carte2]])*(Tableau2[ID-Voie]=Tableau3[[#This Row],[ID-VOIE]]),0)),"")</f>
        <v>ET</v>
      </c>
      <c r="AK664" s="72" t="str">
        <f>IFERROR(INDEX(Tableau2[TS],SUMPRODUCT((Tableau2[Ref-Carte]=Tableau3[[#This Row],[Ref-Carte2]])*(Tableau2[ID-Voie]=Tableau3[[#This Row],[ID-VOIE]])*ROW(Tableau2[TS]))-ROW(Tableau2[#Headers])),"")</f>
        <v>ET</v>
      </c>
      <c r="AL664" s="72" t="str">
        <f>Tableau3[[#This Row],[Ref-Carte2]]&amp;"/"&amp;Tableau3[[#This Row],[ID-VOIE]]</f>
        <v>SDI1602/14</v>
      </c>
      <c r="AM664" s="73" t="str">
        <f>INDEX(Tableau2[Borne],MATCH(Tableau3[[#This Row],[ID-CARTEVOIE]],Tableau2[ID-CARTEVOIE],0))&amp;""</f>
        <v>7B</v>
      </c>
      <c r="AN664" s="74" t="str">
        <f>Tableau3[[#This Row],[ID-API]]&amp;Tableau3[[#This Row],[ID-RACK]]&amp;Tableau3[[#This Row],[ID-SLOT]]&amp;Tableau3[[#This Row],[BORNE]]</f>
        <v>4237B</v>
      </c>
      <c r="AO664" s="1"/>
    </row>
    <row r="665" spans="1:41" ht="20.100000000000001" customHeight="1" thickTop="1" thickBot="1">
      <c r="A665" s="68"/>
      <c r="B665" s="69" t="str">
        <f>IFERROR(INDEX(Tableau4[Date],MATCH($A665,Tableau4[EVO],0)),"")</f>
        <v/>
      </c>
      <c r="C665" s="68" t="str">
        <f>IFERROR(INDEX(Tableau4[Designation],MATCH($A665,Tableau4[EVO],0)),"")</f>
        <v/>
      </c>
      <c r="D665" s="68"/>
      <c r="E665" s="70">
        <v>205</v>
      </c>
      <c r="F665" s="71">
        <v>104</v>
      </c>
      <c r="G665" s="101" t="str">
        <f>INDEX(Tableau8[Att1],MATCH(Tableau3[[#This Row],[ID-INS]],Tableau8[ID],0))&amp;""</f>
        <v>X</v>
      </c>
      <c r="H665" s="101" t="str">
        <f>INDEX(Tableau8[Att2],MATCH(Tableau3[[#This Row],[ID-INS]],Tableau8[ID],0))&amp;""</f>
        <v>EL23</v>
      </c>
      <c r="I665" s="101" t="str">
        <f>INDEX(Tableau8[Att3],MATCH(Tableau3[[#This Row],[ID-INS]],Tableau8[ID],0))&amp;""</f>
        <v>Portail P2</v>
      </c>
      <c r="J665" s="101"/>
      <c r="K665" s="167" t="str">
        <f>INDEX(Tableau8[Nom du modele],MATCH(Tableau3[[#This Row],[ID-INS]],Tableau8[ID],0))&amp;""</f>
        <v>SurvElec</v>
      </c>
      <c r="L665" s="99" t="str">
        <f>INDEX(Tableau5[Att1],MATCH(Tableau3[[#This Row],[ID-SIG]],Tableau5[ID],0))&amp;""</f>
        <v>Def</v>
      </c>
      <c r="M665" s="99" t="str">
        <f>INDEX(Tableau5[Att2],MATCH(Tableau3[[#This Row],[ID-SIG]],Tableau5[ID],0))&amp;""</f>
        <v/>
      </c>
      <c r="N665" s="99" t="str">
        <f>INDEX(Tableau5[Att3],MATCH(Tableau3[[#This Row],[ID-SIG]],Tableau5[ID],0))&amp;""</f>
        <v/>
      </c>
      <c r="O665" s="99"/>
      <c r="P665" s="99" t="str">
        <f>INDEX(Tableau5[Description],MATCH(Tableau3[[#This Row],[ID-SIG]],Tableau5[ID],0))</f>
        <v>Défaut</v>
      </c>
      <c r="Q665" s="99"/>
      <c r="R665" s="103" t="str">
        <f>Tableau3[[#This Row],[Description]]</f>
        <v>Défaut</v>
      </c>
      <c r="U665" s="87">
        <v>4</v>
      </c>
      <c r="V665" s="87">
        <v>2</v>
      </c>
      <c r="W665" s="87">
        <v>3</v>
      </c>
      <c r="X665" s="87">
        <v>15</v>
      </c>
      <c r="Y665" s="40"/>
      <c r="Z665" s="165" t="str">
        <f>INDEX(Tableau2[TS],MATCH(Tableau3[[#This Row],[ID-CARTEVOIE]],Tableau2[ID-CARTEVOIE],0))</f>
        <v>ET</v>
      </c>
      <c r="AA665" s="53" t="s">
        <v>213</v>
      </c>
      <c r="AB665" s="223" t="str">
        <f>IFERROR(INDEX(Tableau5[Reserve],MATCH(Tableau3[[#This Row],[ID-SIG]],Tableau5[ID],0))&amp;"","")</f>
        <v/>
      </c>
      <c r="AC665" s="21"/>
      <c r="AD665" s="108" t="str">
        <f>INDEX(Tableau7[Repere],MATCH(Tableau3[[#This Row],[ID-API]],Tableau7[ID-API],0))&amp;""</f>
        <v>A4</v>
      </c>
      <c r="AE665" s="108" t="str">
        <f>INDEX(Tableau1[Repere-Rack],MATCH(Tableau3[[#This Row],[ID-RACK]],Tableau1[ID-RACK],0))&amp;""</f>
        <v>R2</v>
      </c>
      <c r="AF665" s="108" t="str">
        <f>INDEX(Tableau1[Repere-Slot],MATCH(Tableau3[[#This Row],[ID-SLOT]],Tableau1[ID-SLOT],0))&amp;""</f>
        <v>S3</v>
      </c>
      <c r="AG665" s="108" t="str">
        <f>INDEX(Tableau2[Repere-Voie],MATCH(Tableau3[[#This Row],[ID-VOIE]],Tableau2[ID-Voie],0))&amp;""</f>
        <v>v15</v>
      </c>
      <c r="AH665" s="72" t="str">
        <f>Tableau3[[#This Row],[ID-API]]&amp; "." &amp;Tableau3[[#This Row],[ID-RACK]]&amp; "." &amp;Tableau3[[#This Row],[ID-SLOT]]</f>
        <v>4.2.3</v>
      </c>
      <c r="AI665" s="72" t="str">
        <f>INDEX(Tableau1[Ref-Carte],MATCH(Tableau3[[#This Row],[ID-RRS]],Tableau1[ID-RRS],0))</f>
        <v>SDI1602</v>
      </c>
      <c r="AJ665" s="72" t="str">
        <f t="array" ref="AJ665">IFERROR(INDEX(Tableau2[TS],MATCH(1,(Tableau2[Ref-Carte]=Tableau3[[#This Row],[Ref-Carte2]])*(Tableau2[ID-Voie]=Tableau3[[#This Row],[ID-VOIE]]),0)),"")</f>
        <v>ET</v>
      </c>
      <c r="AK665" s="72" t="str">
        <f>IFERROR(INDEX(Tableau2[TS],SUMPRODUCT((Tableau2[Ref-Carte]=Tableau3[[#This Row],[Ref-Carte2]])*(Tableau2[ID-Voie]=Tableau3[[#This Row],[ID-VOIE]])*ROW(Tableau2[TS]))-ROW(Tableau2[#Headers])),"")</f>
        <v>ET</v>
      </c>
      <c r="AL665" s="72" t="str">
        <f>Tableau3[[#This Row],[Ref-Carte2]]&amp;"/"&amp;Tableau3[[#This Row],[ID-VOIE]]</f>
        <v>SDI1602/15</v>
      </c>
      <c r="AM665" s="73" t="str">
        <f>INDEX(Tableau2[Borne],MATCH(Tableau3[[#This Row],[ID-CARTEVOIE]],Tableau2[ID-CARTEVOIE],0))&amp;""</f>
        <v>7A</v>
      </c>
      <c r="AN665" s="74" t="str">
        <f>Tableau3[[#This Row],[ID-API]]&amp;Tableau3[[#This Row],[ID-RACK]]&amp;Tableau3[[#This Row],[ID-SLOT]]&amp;Tableau3[[#This Row],[BORNE]]</f>
        <v>4237A</v>
      </c>
      <c r="AO665" s="1"/>
    </row>
    <row r="666" spans="1:41" ht="20.100000000000001" customHeight="1" thickTop="1" thickBot="1">
      <c r="A666" s="68"/>
      <c r="B666" s="69" t="str">
        <f>IFERROR(INDEX(Tableau4[Date],MATCH($A666,Tableau4[EVO],0)),"")</f>
        <v/>
      </c>
      <c r="C666" s="68" t="str">
        <f>IFERROR(INDEX(Tableau4[Designation],MATCH($A666,Tableau4[EVO],0)),"")</f>
        <v/>
      </c>
      <c r="D666" s="68"/>
      <c r="E666" s="70">
        <v>206</v>
      </c>
      <c r="F666" s="71">
        <v>104</v>
      </c>
      <c r="G666" s="101" t="str">
        <f>INDEX(Tableau8[Att1],MATCH(Tableau3[[#This Row],[ID-INS]],Tableau8[ID],0))&amp;""</f>
        <v>X</v>
      </c>
      <c r="H666" s="101" t="str">
        <f>INDEX(Tableau8[Att2],MATCH(Tableau3[[#This Row],[ID-INS]],Tableau8[ID],0))&amp;""</f>
        <v>EL24</v>
      </c>
      <c r="I666" s="101" t="str">
        <f>INDEX(Tableau8[Att3],MATCH(Tableau3[[#This Row],[ID-INS]],Tableau8[ID],0))&amp;""</f>
        <v>Portail P2</v>
      </c>
      <c r="J666" s="101"/>
      <c r="K666" s="167" t="str">
        <f>INDEX(Tableau8[Nom du modele],MATCH(Tableau3[[#This Row],[ID-INS]],Tableau8[ID],0))&amp;""</f>
        <v>SurvElec</v>
      </c>
      <c r="L666" s="99" t="str">
        <f>INDEX(Tableau5[Att1],MATCH(Tableau3[[#This Row],[ID-SIG]],Tableau5[ID],0))&amp;""</f>
        <v>Def</v>
      </c>
      <c r="M666" s="99" t="str">
        <f>INDEX(Tableau5[Att2],MATCH(Tableau3[[#This Row],[ID-SIG]],Tableau5[ID],0))&amp;""</f>
        <v/>
      </c>
      <c r="N666" s="99" t="str">
        <f>INDEX(Tableau5[Att3],MATCH(Tableau3[[#This Row],[ID-SIG]],Tableau5[ID],0))&amp;""</f>
        <v/>
      </c>
      <c r="O666" s="99"/>
      <c r="P666" s="99" t="str">
        <f>INDEX(Tableau5[Description],MATCH(Tableau3[[#This Row],[ID-SIG]],Tableau5[ID],0))</f>
        <v>Défaut</v>
      </c>
      <c r="Q666" s="99"/>
      <c r="R666" s="103" t="str">
        <f>Tableau3[[#This Row],[Description]]</f>
        <v>Défaut</v>
      </c>
      <c r="U666" s="87">
        <v>4</v>
      </c>
      <c r="V666" s="87">
        <v>2</v>
      </c>
      <c r="W666" s="87">
        <v>4</v>
      </c>
      <c r="X666" s="87">
        <v>0</v>
      </c>
      <c r="Y666" s="40"/>
      <c r="Z666" s="165" t="str">
        <f>INDEX(Tableau2[TS],MATCH(Tableau3[[#This Row],[ID-CARTEVOIE]],Tableau2[ID-CARTEVOIE],0))</f>
        <v>ET</v>
      </c>
      <c r="AA666" s="53" t="s">
        <v>213</v>
      </c>
      <c r="AB666" s="223" t="str">
        <f>IFERROR(INDEX(Tableau5[Reserve],MATCH(Tableau3[[#This Row],[ID-SIG]],Tableau5[ID],0))&amp;"","")</f>
        <v/>
      </c>
      <c r="AC666" s="21"/>
      <c r="AD666" s="108" t="str">
        <f>INDEX(Tableau7[Repere],MATCH(Tableau3[[#This Row],[ID-API]],Tableau7[ID-API],0))&amp;""</f>
        <v>A4</v>
      </c>
      <c r="AE666" s="108" t="str">
        <f>INDEX(Tableau1[Repere-Rack],MATCH(Tableau3[[#This Row],[ID-RACK]],Tableau1[ID-RACK],0))&amp;""</f>
        <v>R2</v>
      </c>
      <c r="AF666" s="108" t="str">
        <f>INDEX(Tableau1[Repere-Slot],MATCH(Tableau3[[#This Row],[ID-SLOT]],Tableau1[ID-SLOT],0))&amp;""</f>
        <v>S4</v>
      </c>
      <c r="AG666" s="108" t="str">
        <f>INDEX(Tableau2[Repere-Voie],MATCH(Tableau3[[#This Row],[ID-VOIE]],Tableau2[ID-Voie],0))&amp;""</f>
        <v>v0</v>
      </c>
      <c r="AH666" s="72" t="str">
        <f>Tableau3[[#This Row],[ID-API]]&amp; "." &amp;Tableau3[[#This Row],[ID-RACK]]&amp; "." &amp;Tableau3[[#This Row],[ID-SLOT]]</f>
        <v>4.2.4</v>
      </c>
      <c r="AI666" s="72" t="str">
        <f>INDEX(Tableau1[Ref-Carte],MATCH(Tableau3[[#This Row],[ID-RRS]],Tableau1[ID-RRS],0))</f>
        <v>SDI1602</v>
      </c>
      <c r="AJ666" s="72" t="str">
        <f t="array" ref="AJ666">IFERROR(INDEX(Tableau2[TS],MATCH(1,(Tableau2[Ref-Carte]=Tableau3[[#This Row],[Ref-Carte2]])*(Tableau2[ID-Voie]=Tableau3[[#This Row],[ID-VOIE]]),0)),"")</f>
        <v>ET</v>
      </c>
      <c r="AK666" s="72" t="str">
        <f>IFERROR(INDEX(Tableau2[TS],SUMPRODUCT((Tableau2[Ref-Carte]=Tableau3[[#This Row],[Ref-Carte2]])*(Tableau2[ID-Voie]=Tableau3[[#This Row],[ID-VOIE]])*ROW(Tableau2[TS]))-ROW(Tableau2[#Headers])),"")</f>
        <v>ET</v>
      </c>
      <c r="AL666" s="72" t="str">
        <f>Tableau3[[#This Row],[Ref-Carte2]]&amp;"/"&amp;Tableau3[[#This Row],[ID-VOIE]]</f>
        <v>SDI1602/0</v>
      </c>
      <c r="AM666" s="73" t="str">
        <f>INDEX(Tableau2[Borne],MATCH(Tableau3[[#This Row],[ID-CARTEVOIE]],Tableau2[ID-CARTEVOIE],0))&amp;""</f>
        <v>0B</v>
      </c>
      <c r="AN666" s="74" t="str">
        <f>Tableau3[[#This Row],[ID-API]]&amp;Tableau3[[#This Row],[ID-RACK]]&amp;Tableau3[[#This Row],[ID-SLOT]]&amp;Tableau3[[#This Row],[BORNE]]</f>
        <v>4240B</v>
      </c>
      <c r="AO666" s="1"/>
    </row>
    <row r="667" spans="1:41" ht="20.100000000000001" customHeight="1" thickTop="1" thickBot="1">
      <c r="A667" s="68"/>
      <c r="B667" s="69" t="str">
        <f>IFERROR(INDEX(Tableau4[Date],MATCH($A667,Tableau4[EVO],0)),"")</f>
        <v/>
      </c>
      <c r="C667" s="68" t="str">
        <f>IFERROR(INDEX(Tableau4[Designation],MATCH($A667,Tableau4[EVO],0)),"")</f>
        <v/>
      </c>
      <c r="D667" s="68"/>
      <c r="E667" s="70">
        <v>235</v>
      </c>
      <c r="F667" s="71">
        <v>104</v>
      </c>
      <c r="G667" s="101" t="str">
        <f>INDEX(Tableau8[Att1],MATCH(Tableau3[[#This Row],[ID-INS]],Tableau8[ID],0))&amp;""</f>
        <v>X</v>
      </c>
      <c r="H667" s="101" t="str">
        <f>INDEX(Tableau8[Att2],MATCH(Tableau3[[#This Row],[ID-INS]],Tableau8[ID],0))&amp;""</f>
        <v>EL46</v>
      </c>
      <c r="I667" s="101" t="str">
        <f>INDEX(Tableau8[Att3],MATCH(Tableau3[[#This Row],[ID-INS]],Tableau8[ID],0))&amp;""</f>
        <v>Portail P6</v>
      </c>
      <c r="J667" s="101"/>
      <c r="K667" s="167" t="str">
        <f>INDEX(Tableau8[Nom du modele],MATCH(Tableau3[[#This Row],[ID-INS]],Tableau8[ID],0))&amp;""</f>
        <v>SurvElec</v>
      </c>
      <c r="L667" s="99" t="str">
        <f>INDEX(Tableau5[Att1],MATCH(Tableau3[[#This Row],[ID-SIG]],Tableau5[ID],0))&amp;""</f>
        <v>Def</v>
      </c>
      <c r="M667" s="99" t="str">
        <f>INDEX(Tableau5[Att2],MATCH(Tableau3[[#This Row],[ID-SIG]],Tableau5[ID],0))&amp;""</f>
        <v/>
      </c>
      <c r="N667" s="99" t="str">
        <f>INDEX(Tableau5[Att3],MATCH(Tableau3[[#This Row],[ID-SIG]],Tableau5[ID],0))&amp;""</f>
        <v/>
      </c>
      <c r="O667" s="99"/>
      <c r="P667" s="99" t="str">
        <f>INDEX(Tableau5[Description],MATCH(Tableau3[[#This Row],[ID-SIG]],Tableau5[ID],0))</f>
        <v>Défaut</v>
      </c>
      <c r="Q667" s="99"/>
      <c r="R667" s="103" t="str">
        <f>Tableau3[[#This Row],[Description]]</f>
        <v>Défaut</v>
      </c>
      <c r="U667" s="87">
        <v>4</v>
      </c>
      <c r="V667" s="87">
        <v>2</v>
      </c>
      <c r="W667" s="87">
        <v>4</v>
      </c>
      <c r="X667" s="87">
        <v>1</v>
      </c>
      <c r="Y667" s="40"/>
      <c r="Z667" s="165" t="str">
        <f>INDEX(Tableau2[TS],MATCH(Tableau3[[#This Row],[ID-CARTEVOIE]],Tableau2[ID-CARTEVOIE],0))</f>
        <v>ET</v>
      </c>
      <c r="AA667" s="53" t="s">
        <v>213</v>
      </c>
      <c r="AB667" s="223" t="str">
        <f>IFERROR(INDEX(Tableau5[Reserve],MATCH(Tableau3[[#This Row],[ID-SIG]],Tableau5[ID],0))&amp;"","")</f>
        <v/>
      </c>
      <c r="AC667" s="21"/>
      <c r="AD667" s="108" t="str">
        <f>INDEX(Tableau7[Repere],MATCH(Tableau3[[#This Row],[ID-API]],Tableau7[ID-API],0))&amp;""</f>
        <v>A4</v>
      </c>
      <c r="AE667" s="108" t="str">
        <f>INDEX(Tableau1[Repere-Rack],MATCH(Tableau3[[#This Row],[ID-RACK]],Tableau1[ID-RACK],0))&amp;""</f>
        <v>R2</v>
      </c>
      <c r="AF667" s="108" t="str">
        <f>INDEX(Tableau1[Repere-Slot],MATCH(Tableau3[[#This Row],[ID-SLOT]],Tableau1[ID-SLOT],0))&amp;""</f>
        <v>S4</v>
      </c>
      <c r="AG667" s="108" t="str">
        <f>INDEX(Tableau2[Repere-Voie],MATCH(Tableau3[[#This Row],[ID-VOIE]],Tableau2[ID-Voie],0))&amp;""</f>
        <v>v1</v>
      </c>
      <c r="AH667" s="72" t="str">
        <f>Tableau3[[#This Row],[ID-API]]&amp; "." &amp;Tableau3[[#This Row],[ID-RACK]]&amp; "." &amp;Tableau3[[#This Row],[ID-SLOT]]</f>
        <v>4.2.4</v>
      </c>
      <c r="AI667" s="72" t="str">
        <f>INDEX(Tableau1[Ref-Carte],MATCH(Tableau3[[#This Row],[ID-RRS]],Tableau1[ID-RRS],0))</f>
        <v>SDI1602</v>
      </c>
      <c r="AJ667" s="72" t="str">
        <f t="array" ref="AJ667">IFERROR(INDEX(Tableau2[TS],MATCH(1,(Tableau2[Ref-Carte]=Tableau3[[#This Row],[Ref-Carte2]])*(Tableau2[ID-Voie]=Tableau3[[#This Row],[ID-VOIE]]),0)),"")</f>
        <v>ET</v>
      </c>
      <c r="AK667" s="72" t="str">
        <f>IFERROR(INDEX(Tableau2[TS],SUMPRODUCT((Tableau2[Ref-Carte]=Tableau3[[#This Row],[Ref-Carte2]])*(Tableau2[ID-Voie]=Tableau3[[#This Row],[ID-VOIE]])*ROW(Tableau2[TS]))-ROW(Tableau2[#Headers])),"")</f>
        <v>ET</v>
      </c>
      <c r="AL667" s="72" t="str">
        <f>Tableau3[[#This Row],[Ref-Carte2]]&amp;"/"&amp;Tableau3[[#This Row],[ID-VOIE]]</f>
        <v>SDI1602/1</v>
      </c>
      <c r="AM667" s="73" t="str">
        <f>INDEX(Tableau2[Borne],MATCH(Tableau3[[#This Row],[ID-CARTEVOIE]],Tableau2[ID-CARTEVOIE],0))&amp;""</f>
        <v>0A</v>
      </c>
      <c r="AN667" s="74" t="str">
        <f>Tableau3[[#This Row],[ID-API]]&amp;Tableau3[[#This Row],[ID-RACK]]&amp;Tableau3[[#This Row],[ID-SLOT]]&amp;Tableau3[[#This Row],[BORNE]]</f>
        <v>4240A</v>
      </c>
      <c r="AO667" s="1"/>
    </row>
    <row r="668" spans="1:41" ht="20.100000000000001" customHeight="1" thickTop="1" thickBot="1">
      <c r="A668" s="68"/>
      <c r="B668" s="69" t="str">
        <f>IFERROR(INDEX(Tableau4[Date],MATCH($A668,Tableau4[EVO],0)),"")</f>
        <v/>
      </c>
      <c r="C668" s="68" t="str">
        <f>IFERROR(INDEX(Tableau4[Designation],MATCH($A668,Tableau4[EVO],0)),"")</f>
        <v/>
      </c>
      <c r="D668" s="68"/>
      <c r="E668" s="70">
        <v>236</v>
      </c>
      <c r="F668" s="71">
        <v>104</v>
      </c>
      <c r="G668" s="101" t="str">
        <f>INDEX(Tableau8[Att1],MATCH(Tableau3[[#This Row],[ID-INS]],Tableau8[ID],0))&amp;""</f>
        <v>X</v>
      </c>
      <c r="H668" s="101" t="str">
        <f>INDEX(Tableau8[Att2],MATCH(Tableau3[[#This Row],[ID-INS]],Tableau8[ID],0))&amp;""</f>
        <v>EL47</v>
      </c>
      <c r="I668" s="101" t="str">
        <f>INDEX(Tableau8[Att3],MATCH(Tableau3[[#This Row],[ID-INS]],Tableau8[ID],0))&amp;""</f>
        <v>Barrière BH8</v>
      </c>
      <c r="J668" s="101"/>
      <c r="K668" s="167" t="str">
        <f>INDEX(Tableau8[Nom du modele],MATCH(Tableau3[[#This Row],[ID-INS]],Tableau8[ID],0))&amp;""</f>
        <v>SurvElec</v>
      </c>
      <c r="L668" s="99" t="str">
        <f>INDEX(Tableau5[Att1],MATCH(Tableau3[[#This Row],[ID-SIG]],Tableau5[ID],0))&amp;""</f>
        <v>Def</v>
      </c>
      <c r="M668" s="99" t="str">
        <f>INDEX(Tableau5[Att2],MATCH(Tableau3[[#This Row],[ID-SIG]],Tableau5[ID],0))&amp;""</f>
        <v/>
      </c>
      <c r="N668" s="99" t="str">
        <f>INDEX(Tableau5[Att3],MATCH(Tableau3[[#This Row],[ID-SIG]],Tableau5[ID],0))&amp;""</f>
        <v/>
      </c>
      <c r="O668" s="99"/>
      <c r="P668" s="99" t="str">
        <f>INDEX(Tableau5[Description],MATCH(Tableau3[[#This Row],[ID-SIG]],Tableau5[ID],0))</f>
        <v>Défaut</v>
      </c>
      <c r="Q668" s="99"/>
      <c r="R668" s="103" t="str">
        <f>Tableau3[[#This Row],[Description]]</f>
        <v>Défaut</v>
      </c>
      <c r="U668" s="87">
        <v>4</v>
      </c>
      <c r="V668" s="87">
        <v>2</v>
      </c>
      <c r="W668" s="87">
        <v>4</v>
      </c>
      <c r="X668" s="87">
        <v>2</v>
      </c>
      <c r="Y668" s="40"/>
      <c r="Z668" s="165" t="str">
        <f>INDEX(Tableau2[TS],MATCH(Tableau3[[#This Row],[ID-CARTEVOIE]],Tableau2[ID-CARTEVOIE],0))</f>
        <v>ET</v>
      </c>
      <c r="AA668" s="53" t="s">
        <v>213</v>
      </c>
      <c r="AB668" s="223" t="str">
        <f>IFERROR(INDEX(Tableau5[Reserve],MATCH(Tableau3[[#This Row],[ID-SIG]],Tableau5[ID],0))&amp;"","")</f>
        <v/>
      </c>
      <c r="AC668" s="21"/>
      <c r="AD668" s="108" t="str">
        <f>INDEX(Tableau7[Repere],MATCH(Tableau3[[#This Row],[ID-API]],Tableau7[ID-API],0))&amp;""</f>
        <v>A4</v>
      </c>
      <c r="AE668" s="108" t="str">
        <f>INDEX(Tableau1[Repere-Rack],MATCH(Tableau3[[#This Row],[ID-RACK]],Tableau1[ID-RACK],0))&amp;""</f>
        <v>R2</v>
      </c>
      <c r="AF668" s="108" t="str">
        <f>INDEX(Tableau1[Repere-Slot],MATCH(Tableau3[[#This Row],[ID-SLOT]],Tableau1[ID-SLOT],0))&amp;""</f>
        <v>S4</v>
      </c>
      <c r="AG668" s="108" t="str">
        <f>INDEX(Tableau2[Repere-Voie],MATCH(Tableau3[[#This Row],[ID-VOIE]],Tableau2[ID-Voie],0))&amp;""</f>
        <v>v2</v>
      </c>
      <c r="AH668" s="72" t="str">
        <f>Tableau3[[#This Row],[ID-API]]&amp; "." &amp;Tableau3[[#This Row],[ID-RACK]]&amp; "." &amp;Tableau3[[#This Row],[ID-SLOT]]</f>
        <v>4.2.4</v>
      </c>
      <c r="AI668" s="72" t="str">
        <f>INDEX(Tableau1[Ref-Carte],MATCH(Tableau3[[#This Row],[ID-RRS]],Tableau1[ID-RRS],0))</f>
        <v>SDI1602</v>
      </c>
      <c r="AJ668" s="72" t="str">
        <f t="array" ref="AJ668">IFERROR(INDEX(Tableau2[TS],MATCH(1,(Tableau2[Ref-Carte]=Tableau3[[#This Row],[Ref-Carte2]])*(Tableau2[ID-Voie]=Tableau3[[#This Row],[ID-VOIE]]),0)),"")</f>
        <v>ET</v>
      </c>
      <c r="AK668" s="72" t="str">
        <f>IFERROR(INDEX(Tableau2[TS],SUMPRODUCT((Tableau2[Ref-Carte]=Tableau3[[#This Row],[Ref-Carte2]])*(Tableau2[ID-Voie]=Tableau3[[#This Row],[ID-VOIE]])*ROW(Tableau2[TS]))-ROW(Tableau2[#Headers])),"")</f>
        <v>ET</v>
      </c>
      <c r="AL668" s="72" t="str">
        <f>Tableau3[[#This Row],[Ref-Carte2]]&amp;"/"&amp;Tableau3[[#This Row],[ID-VOIE]]</f>
        <v>SDI1602/2</v>
      </c>
      <c r="AM668" s="73" t="str">
        <f>INDEX(Tableau2[Borne],MATCH(Tableau3[[#This Row],[ID-CARTEVOIE]],Tableau2[ID-CARTEVOIE],0))&amp;""</f>
        <v>1B</v>
      </c>
      <c r="AN668" s="74" t="str">
        <f>Tableau3[[#This Row],[ID-API]]&amp;Tableau3[[#This Row],[ID-RACK]]&amp;Tableau3[[#This Row],[ID-SLOT]]&amp;Tableau3[[#This Row],[BORNE]]</f>
        <v>4241B</v>
      </c>
      <c r="AO668" s="1"/>
    </row>
    <row r="669" spans="1:41" ht="20.100000000000001" customHeight="1" thickTop="1" thickBot="1">
      <c r="A669" s="68"/>
      <c r="B669" s="69" t="str">
        <f>IFERROR(INDEX(Tableau4[Date],MATCH($A669,Tableau4[EVO],0)),"")</f>
        <v/>
      </c>
      <c r="C669" s="68" t="str">
        <f>IFERROR(INDEX(Tableau4[Designation],MATCH($A669,Tableau4[EVO],0)),"")</f>
        <v/>
      </c>
      <c r="D669" s="68"/>
      <c r="E669" s="70">
        <v>256</v>
      </c>
      <c r="F669" s="71">
        <v>130</v>
      </c>
      <c r="G669" s="101" t="str">
        <f>INDEX(Tableau8[Att1],MATCH(Tableau3[[#This Row],[ID-INS]],Tableau8[ID],0))&amp;""</f>
        <v>V3</v>
      </c>
      <c r="H669" s="101" t="str">
        <f>INDEX(Tableau8[Att2],MATCH(Tableau3[[#This Row],[ID-INS]],Tableau8[ID],0))&amp;""</f>
        <v>P2</v>
      </c>
      <c r="I669" s="101" t="str">
        <f>INDEX(Tableau8[Att3],MATCH(Tableau3[[#This Row],[ID-INS]],Tableau8[ID],0))&amp;""</f>
        <v>Portail P2</v>
      </c>
      <c r="J669" s="101"/>
      <c r="K669" s="167" t="str">
        <f>INDEX(Tableau8[Nom du modele],MATCH(Tableau3[[#This Row],[ID-INS]],Tableau8[ID],0))&amp;""</f>
        <v>PortailR1V_2</v>
      </c>
      <c r="L669" s="155" t="s">
        <v>1706</v>
      </c>
      <c r="M669" s="99" t="str">
        <f>INDEX(Tableau5[Att2],MATCH(Tableau3[[#This Row],[ID-SIG]],Tableau5[ID],0))&amp;""</f>
        <v/>
      </c>
      <c r="N669" s="99" t="str">
        <f>INDEX(Tableau5[Att3],MATCH(Tableau3[[#This Row],[ID-SIG]],Tableau5[ID],0))&amp;""</f>
        <v/>
      </c>
      <c r="O669" s="99"/>
      <c r="P669" s="155" t="s">
        <v>1707</v>
      </c>
      <c r="Q669" s="99"/>
      <c r="R669" s="103" t="str">
        <f>Tableau3[[#This Row],[Description]]</f>
        <v>Portail P2 - Fin de course ouvert 1 gâche (Reserve)</v>
      </c>
      <c r="U669" s="87">
        <v>4</v>
      </c>
      <c r="V669" s="87">
        <v>2</v>
      </c>
      <c r="W669" s="87">
        <v>4</v>
      </c>
      <c r="X669" s="87">
        <v>3</v>
      </c>
      <c r="Y669" s="40"/>
      <c r="Z669" s="165" t="str">
        <f>INDEX(Tableau2[TS],MATCH(Tableau3[[#This Row],[ID-CARTEVOIE]],Tableau2[ID-CARTEVOIE],0))</f>
        <v>ET</v>
      </c>
      <c r="AA669" s="53" t="s">
        <v>213</v>
      </c>
      <c r="AB669" s="223" t="str">
        <f>IFERROR(INDEX(Tableau5[Reserve],MATCH(Tableau3[[#This Row],[ID-SIG]],Tableau5[ID],0))&amp;"","")</f>
        <v/>
      </c>
      <c r="AC669" s="21"/>
      <c r="AD669" s="108" t="str">
        <f>INDEX(Tableau7[Repere],MATCH(Tableau3[[#This Row],[ID-API]],Tableau7[ID-API],0))&amp;""</f>
        <v>A4</v>
      </c>
      <c r="AE669" s="108" t="str">
        <f>INDEX(Tableau1[Repere-Rack],MATCH(Tableau3[[#This Row],[ID-RACK]],Tableau1[ID-RACK],0))&amp;""</f>
        <v>R2</v>
      </c>
      <c r="AF669" s="108" t="str">
        <f>INDEX(Tableau1[Repere-Slot],MATCH(Tableau3[[#This Row],[ID-SLOT]],Tableau1[ID-SLOT],0))&amp;""</f>
        <v>S4</v>
      </c>
      <c r="AG669" s="108" t="str">
        <f>INDEX(Tableau2[Repere-Voie],MATCH(Tableau3[[#This Row],[ID-VOIE]],Tableau2[ID-Voie],0))&amp;""</f>
        <v>v3</v>
      </c>
      <c r="AH669" s="72" t="str">
        <f>Tableau3[[#This Row],[ID-API]]&amp; "." &amp;Tableau3[[#This Row],[ID-RACK]]&amp; "." &amp;Tableau3[[#This Row],[ID-SLOT]]</f>
        <v>4.2.4</v>
      </c>
      <c r="AI669" s="72" t="str">
        <f>INDEX(Tableau1[Ref-Carte],MATCH(Tableau3[[#This Row],[ID-RRS]],Tableau1[ID-RRS],0))</f>
        <v>SDI1602</v>
      </c>
      <c r="AJ669" s="72" t="str">
        <f t="array" ref="AJ669">IFERROR(INDEX(Tableau2[TS],MATCH(1,(Tableau2[Ref-Carte]=Tableau3[[#This Row],[Ref-Carte2]])*(Tableau2[ID-Voie]=Tableau3[[#This Row],[ID-VOIE]]),0)),"")</f>
        <v>ET</v>
      </c>
      <c r="AK669" s="72" t="str">
        <f>IFERROR(INDEX(Tableau2[TS],SUMPRODUCT((Tableau2[Ref-Carte]=Tableau3[[#This Row],[Ref-Carte2]])*(Tableau2[ID-Voie]=Tableau3[[#This Row],[ID-VOIE]])*ROW(Tableau2[TS]))-ROW(Tableau2[#Headers])),"")</f>
        <v>ET</v>
      </c>
      <c r="AL669" s="72" t="str">
        <f>Tableau3[[#This Row],[Ref-Carte2]]&amp;"/"&amp;Tableau3[[#This Row],[ID-VOIE]]</f>
        <v>SDI1602/3</v>
      </c>
      <c r="AM669" s="73" t="str">
        <f>INDEX(Tableau2[Borne],MATCH(Tableau3[[#This Row],[ID-CARTEVOIE]],Tableau2[ID-CARTEVOIE],0))&amp;""</f>
        <v>1A</v>
      </c>
      <c r="AN669" s="74" t="str">
        <f>Tableau3[[#This Row],[ID-API]]&amp;Tableau3[[#This Row],[ID-RACK]]&amp;Tableau3[[#This Row],[ID-SLOT]]&amp;Tableau3[[#This Row],[BORNE]]</f>
        <v>4241A</v>
      </c>
      <c r="AO669" s="1"/>
    </row>
    <row r="670" spans="1:41" ht="20.100000000000001" customHeight="1" thickTop="1" thickBot="1">
      <c r="A670" s="68"/>
      <c r="B670" s="69" t="str">
        <f>IFERROR(INDEX(Tableau4[Date],MATCH($A670,Tableau4[EVO],0)),"")</f>
        <v/>
      </c>
      <c r="C670" s="68" t="str">
        <f>IFERROR(INDEX(Tableau4[Designation],MATCH($A670,Tableau4[EVO],0)),"")</f>
        <v/>
      </c>
      <c r="D670" s="68"/>
      <c r="E670" s="70">
        <v>256</v>
      </c>
      <c r="F670" s="71">
        <v>133</v>
      </c>
      <c r="G670" s="101" t="str">
        <f>INDEX(Tableau8[Att1],MATCH(Tableau3[[#This Row],[ID-INS]],Tableau8[ID],0))&amp;""</f>
        <v>V3</v>
      </c>
      <c r="H670" s="101" t="str">
        <f>INDEX(Tableau8[Att2],MATCH(Tableau3[[#This Row],[ID-INS]],Tableau8[ID],0))&amp;""</f>
        <v>P2</v>
      </c>
      <c r="I670" s="101" t="str">
        <f>INDEX(Tableau8[Att3],MATCH(Tableau3[[#This Row],[ID-INS]],Tableau8[ID],0))&amp;""</f>
        <v>Portail P2</v>
      </c>
      <c r="J670" s="101"/>
      <c r="K670" s="167" t="str">
        <f>INDEX(Tableau8[Nom du modele],MATCH(Tableau3[[#This Row],[ID-INS]],Tableau8[ID],0))&amp;""</f>
        <v>PortailR1V_2</v>
      </c>
      <c r="L670" s="99" t="str">
        <f>INDEX(Tableau5[Att1],MATCH(Tableau3[[#This Row],[ID-SIG]],Tableau5[ID],0))&amp;""</f>
        <v>Vx_Disj</v>
      </c>
      <c r="M670" s="99" t="str">
        <f>INDEX(Tableau5[Att2],MATCH(Tableau3[[#This Row],[ID-SIG]],Tableau5[ID],0))&amp;""</f>
        <v/>
      </c>
      <c r="N670" s="99" t="str">
        <f>INDEX(Tableau5[Att3],MATCH(Tableau3[[#This Row],[ID-SIG]],Tableau5[ID],0))&amp;""</f>
        <v/>
      </c>
      <c r="O670" s="99"/>
      <c r="P670" s="99" t="str">
        <f>INDEX(Tableau5[Description],MATCH(Tableau3[[#This Row],[ID-SIG]],Tableau5[ID],0))</f>
        <v>Vantail 1 et 2 Disjonction (OF SD)</v>
      </c>
      <c r="Q670" s="99"/>
      <c r="R670" s="103" t="str">
        <f>Tableau3[[#This Row],[Description]]</f>
        <v>Vantail 1 et 2 Disjonction (OF SD)</v>
      </c>
      <c r="U670" s="87">
        <v>4</v>
      </c>
      <c r="V670" s="87">
        <v>2</v>
      </c>
      <c r="W670" s="87">
        <v>4</v>
      </c>
      <c r="X670" s="87">
        <v>4</v>
      </c>
      <c r="Y670" s="40"/>
      <c r="Z670" s="165" t="str">
        <f>INDEX(Tableau2[TS],MATCH(Tableau3[[#This Row],[ID-CARTEVOIE]],Tableau2[ID-CARTEVOIE],0))</f>
        <v>ET</v>
      </c>
      <c r="AA670" s="53" t="s">
        <v>213</v>
      </c>
      <c r="AB670" s="223" t="str">
        <f>IFERROR(INDEX(Tableau5[Reserve],MATCH(Tableau3[[#This Row],[ID-SIG]],Tableau5[ID],0))&amp;"","")</f>
        <v/>
      </c>
      <c r="AC670" s="21"/>
      <c r="AD670" s="108" t="str">
        <f>INDEX(Tableau7[Repere],MATCH(Tableau3[[#This Row],[ID-API]],Tableau7[ID-API],0))&amp;""</f>
        <v>A4</v>
      </c>
      <c r="AE670" s="108" t="str">
        <f>INDEX(Tableau1[Repere-Rack],MATCH(Tableau3[[#This Row],[ID-RACK]],Tableau1[ID-RACK],0))&amp;""</f>
        <v>R2</v>
      </c>
      <c r="AF670" s="108" t="str">
        <f>INDEX(Tableau1[Repere-Slot],MATCH(Tableau3[[#This Row],[ID-SLOT]],Tableau1[ID-SLOT],0))&amp;""</f>
        <v>S4</v>
      </c>
      <c r="AG670" s="108" t="str">
        <f>INDEX(Tableau2[Repere-Voie],MATCH(Tableau3[[#This Row],[ID-VOIE]],Tableau2[ID-Voie],0))&amp;""</f>
        <v>v4</v>
      </c>
      <c r="AH670" s="72" t="str">
        <f>Tableau3[[#This Row],[ID-API]]&amp; "." &amp;Tableau3[[#This Row],[ID-RACK]]&amp; "." &amp;Tableau3[[#This Row],[ID-SLOT]]</f>
        <v>4.2.4</v>
      </c>
      <c r="AI670" s="72" t="str">
        <f>INDEX(Tableau1[Ref-Carte],MATCH(Tableau3[[#This Row],[ID-RRS]],Tableau1[ID-RRS],0))</f>
        <v>SDI1602</v>
      </c>
      <c r="AJ670" s="72" t="str">
        <f t="array" ref="AJ670">IFERROR(INDEX(Tableau2[TS],MATCH(1,(Tableau2[Ref-Carte]=Tableau3[[#This Row],[Ref-Carte2]])*(Tableau2[ID-Voie]=Tableau3[[#This Row],[ID-VOIE]]),0)),"")</f>
        <v>ET</v>
      </c>
      <c r="AK670" s="72" t="str">
        <f>IFERROR(INDEX(Tableau2[TS],SUMPRODUCT((Tableau2[Ref-Carte]=Tableau3[[#This Row],[Ref-Carte2]])*(Tableau2[ID-Voie]=Tableau3[[#This Row],[ID-VOIE]])*ROW(Tableau2[TS]))-ROW(Tableau2[#Headers])),"")</f>
        <v>ET</v>
      </c>
      <c r="AL670" s="72" t="str">
        <f>Tableau3[[#This Row],[Ref-Carte2]]&amp;"/"&amp;Tableau3[[#This Row],[ID-VOIE]]</f>
        <v>SDI1602/4</v>
      </c>
      <c r="AM670" s="73" t="str">
        <f>INDEX(Tableau2[Borne],MATCH(Tableau3[[#This Row],[ID-CARTEVOIE]],Tableau2[ID-CARTEVOIE],0))&amp;""</f>
        <v>2B</v>
      </c>
      <c r="AN670" s="74" t="str">
        <f>Tableau3[[#This Row],[ID-API]]&amp;Tableau3[[#This Row],[ID-RACK]]&amp;Tableau3[[#This Row],[ID-SLOT]]&amp;Tableau3[[#This Row],[BORNE]]</f>
        <v>4242B</v>
      </c>
      <c r="AO670" s="1"/>
    </row>
    <row r="671" spans="1:41" ht="20.100000000000001" customHeight="1" thickTop="1" thickBot="1">
      <c r="A671" s="68"/>
      <c r="B671" s="69" t="str">
        <f>IFERROR(INDEX(Tableau4[Date],MATCH($A671,Tableau4[EVO],0)),"")</f>
        <v/>
      </c>
      <c r="C671" s="68" t="str">
        <f>IFERROR(INDEX(Tableau4[Designation],MATCH($A671,Tableau4[EVO],0)),"")</f>
        <v/>
      </c>
      <c r="D671" s="68"/>
      <c r="E671" s="70">
        <v>256</v>
      </c>
      <c r="F671" s="71">
        <v>146</v>
      </c>
      <c r="G671" s="101" t="str">
        <f>INDEX(Tableau8[Att1],MATCH(Tableau3[[#This Row],[ID-INS]],Tableau8[ID],0))&amp;""</f>
        <v>V3</v>
      </c>
      <c r="H671" s="101" t="str">
        <f>INDEX(Tableau8[Att2],MATCH(Tableau3[[#This Row],[ID-INS]],Tableau8[ID],0))&amp;""</f>
        <v>P2</v>
      </c>
      <c r="I671" s="101" t="str">
        <f>INDEX(Tableau8[Att3],MATCH(Tableau3[[#This Row],[ID-INS]],Tableau8[ID],0))&amp;""</f>
        <v>Portail P2</v>
      </c>
      <c r="J671" s="101"/>
      <c r="K671" s="167" t="str">
        <f>INDEX(Tableau8[Nom du modele],MATCH(Tableau3[[#This Row],[ID-INS]],Tableau8[ID],0))&amp;""</f>
        <v>PortailR1V_2</v>
      </c>
      <c r="L671" s="99" t="str">
        <f>INDEX(Tableau5[Att1],MATCH(Tableau3[[#This Row],[ID-SIG]],Tableau5[ID],0))&amp;""</f>
        <v>V2_Fer1</v>
      </c>
      <c r="M671" s="99" t="str">
        <f>INDEX(Tableau5[Att2],MATCH(Tableau3[[#This Row],[ID-SIG]],Tableau5[ID],0))&amp;""</f>
        <v/>
      </c>
      <c r="N671" s="99" t="str">
        <f>INDEX(Tableau5[Att3],MATCH(Tableau3[[#This Row],[ID-SIG]],Tableau5[ID],0))&amp;""</f>
        <v/>
      </c>
      <c r="O671" s="99"/>
      <c r="P671" s="99" t="str">
        <f>INDEX(Tableau5[Description],MATCH(Tableau3[[#This Row],[ID-SIG]],Tableau5[ID],0))</f>
        <v>Vantail 2 en fdc Fermé 1</v>
      </c>
      <c r="Q671" s="99"/>
      <c r="R671" s="103" t="str">
        <f>Tableau3[[#This Row],[Description]]</f>
        <v>Vantail 2 en fdc Fermé 1</v>
      </c>
      <c r="U671" s="87">
        <v>4</v>
      </c>
      <c r="V671" s="87">
        <v>2</v>
      </c>
      <c r="W671" s="87">
        <v>4</v>
      </c>
      <c r="X671" s="87">
        <v>5</v>
      </c>
      <c r="Y671" s="40"/>
      <c r="Z671" s="165" t="str">
        <f>INDEX(Tableau2[TS],MATCH(Tableau3[[#This Row],[ID-CARTEVOIE]],Tableau2[ID-CARTEVOIE],0))</f>
        <v>ET</v>
      </c>
      <c r="AA671" s="53" t="s">
        <v>213</v>
      </c>
      <c r="AB671" s="223" t="str">
        <f>IFERROR(INDEX(Tableau5[Reserve],MATCH(Tableau3[[#This Row],[ID-SIG]],Tableau5[ID],0))&amp;"","")</f>
        <v/>
      </c>
      <c r="AC671" s="21"/>
      <c r="AD671" s="108" t="str">
        <f>INDEX(Tableau7[Repere],MATCH(Tableau3[[#This Row],[ID-API]],Tableau7[ID-API],0))&amp;""</f>
        <v>A4</v>
      </c>
      <c r="AE671" s="108" t="str">
        <f>INDEX(Tableau1[Repere-Rack],MATCH(Tableau3[[#This Row],[ID-RACK]],Tableau1[ID-RACK],0))&amp;""</f>
        <v>R2</v>
      </c>
      <c r="AF671" s="108" t="str">
        <f>INDEX(Tableau1[Repere-Slot],MATCH(Tableau3[[#This Row],[ID-SLOT]],Tableau1[ID-SLOT],0))&amp;""</f>
        <v>S4</v>
      </c>
      <c r="AG671" s="108" t="str">
        <f>INDEX(Tableau2[Repere-Voie],MATCH(Tableau3[[#This Row],[ID-VOIE]],Tableau2[ID-Voie],0))&amp;""</f>
        <v>v5</v>
      </c>
      <c r="AH671" s="72" t="str">
        <f>Tableau3[[#This Row],[ID-API]]&amp; "." &amp;Tableau3[[#This Row],[ID-RACK]]&amp; "." &amp;Tableau3[[#This Row],[ID-SLOT]]</f>
        <v>4.2.4</v>
      </c>
      <c r="AI671" s="72" t="str">
        <f>INDEX(Tableau1[Ref-Carte],MATCH(Tableau3[[#This Row],[ID-RRS]],Tableau1[ID-RRS],0))</f>
        <v>SDI1602</v>
      </c>
      <c r="AJ671" s="72" t="str">
        <f t="array" ref="AJ671">IFERROR(INDEX(Tableau2[TS],MATCH(1,(Tableau2[Ref-Carte]=Tableau3[[#This Row],[Ref-Carte2]])*(Tableau2[ID-Voie]=Tableau3[[#This Row],[ID-VOIE]]),0)),"")</f>
        <v>ET</v>
      </c>
      <c r="AK671" s="72" t="str">
        <f>IFERROR(INDEX(Tableau2[TS],SUMPRODUCT((Tableau2[Ref-Carte]=Tableau3[[#This Row],[Ref-Carte2]])*(Tableau2[ID-Voie]=Tableau3[[#This Row],[ID-VOIE]])*ROW(Tableau2[TS]))-ROW(Tableau2[#Headers])),"")</f>
        <v>ET</v>
      </c>
      <c r="AL671" s="72" t="str">
        <f>Tableau3[[#This Row],[Ref-Carte2]]&amp;"/"&amp;Tableau3[[#This Row],[ID-VOIE]]</f>
        <v>SDI1602/5</v>
      </c>
      <c r="AM671" s="73" t="str">
        <f>INDEX(Tableau2[Borne],MATCH(Tableau3[[#This Row],[ID-CARTEVOIE]],Tableau2[ID-CARTEVOIE],0))&amp;""</f>
        <v>2A</v>
      </c>
      <c r="AN671" s="74" t="str">
        <f>Tableau3[[#This Row],[ID-API]]&amp;Tableau3[[#This Row],[ID-RACK]]&amp;Tableau3[[#This Row],[ID-SLOT]]&amp;Tableau3[[#This Row],[BORNE]]</f>
        <v>4242A</v>
      </c>
      <c r="AO671" s="1"/>
    </row>
    <row r="672" spans="1:41" ht="20.100000000000001" customHeight="1" thickTop="1" thickBot="1">
      <c r="A672" s="68"/>
      <c r="B672" s="69" t="str">
        <f>IFERROR(INDEX(Tableau4[Date],MATCH($A672,Tableau4[EVO],0)),"")</f>
        <v/>
      </c>
      <c r="C672" s="68" t="str">
        <f>IFERROR(INDEX(Tableau4[Designation],MATCH($A672,Tableau4[EVO],0)),"")</f>
        <v/>
      </c>
      <c r="D672" s="68"/>
      <c r="E672" s="70">
        <v>256</v>
      </c>
      <c r="F672" s="71">
        <v>151</v>
      </c>
      <c r="G672" s="101" t="str">
        <f>INDEX(Tableau8[Att1],MATCH(Tableau3[[#This Row],[ID-INS]],Tableau8[ID],0))&amp;""</f>
        <v>V3</v>
      </c>
      <c r="H672" s="101" t="str">
        <f>INDEX(Tableau8[Att2],MATCH(Tableau3[[#This Row],[ID-INS]],Tableau8[ID],0))&amp;""</f>
        <v>P2</v>
      </c>
      <c r="I672" s="101" t="str">
        <f>INDEX(Tableau8[Att3],MATCH(Tableau3[[#This Row],[ID-INS]],Tableau8[ID],0))&amp;""</f>
        <v>Portail P2</v>
      </c>
      <c r="J672" s="101"/>
      <c r="K672" s="167" t="str">
        <f>INDEX(Tableau8[Nom du modele],MATCH(Tableau3[[#This Row],[ID-INS]],Tableau8[ID],0))&amp;""</f>
        <v>PortailR1V_2</v>
      </c>
      <c r="L672" s="99" t="str">
        <f>INDEX(Tableau5[Att1],MATCH(Tableau3[[#This Row],[ID-SIG]],Tableau5[ID],0))&amp;""</f>
        <v>V2_GrpHydRet1</v>
      </c>
      <c r="M672" s="99" t="str">
        <f>INDEX(Tableau5[Att2],MATCH(Tableau3[[#This Row],[ID-SIG]],Tableau5[ID],0))&amp;""</f>
        <v/>
      </c>
      <c r="N672" s="99" t="str">
        <f>INDEX(Tableau5[Att3],MATCH(Tableau3[[#This Row],[ID-SIG]],Tableau5[ID],0))&amp;""</f>
        <v/>
      </c>
      <c r="O672" s="99"/>
      <c r="P672" s="99" t="str">
        <f>INDEX(Tableau5[Description],MATCH(Tableau3[[#This Row],[ID-SIG]],Tableau5[ID],0))</f>
        <v>Retour Commande 1 marche groupe hydraulique vantail 2</v>
      </c>
      <c r="Q672" s="99"/>
      <c r="R672" s="103" t="str">
        <f>Tableau3[[#This Row],[Description]]</f>
        <v>Retour Commande 1 marche groupe hydraulique vantail 2</v>
      </c>
      <c r="U672" s="87">
        <v>4</v>
      </c>
      <c r="V672" s="87">
        <v>2</v>
      </c>
      <c r="W672" s="87">
        <v>4</v>
      </c>
      <c r="X672" s="87">
        <v>6</v>
      </c>
      <c r="Y672" s="40"/>
      <c r="Z672" s="165" t="str">
        <f>INDEX(Tableau2[TS],MATCH(Tableau3[[#This Row],[ID-CARTEVOIE]],Tableau2[ID-CARTEVOIE],0))</f>
        <v>ET</v>
      </c>
      <c r="AA672" s="53" t="s">
        <v>213</v>
      </c>
      <c r="AB672" s="223" t="str">
        <f>IFERROR(INDEX(Tableau5[Reserve],MATCH(Tableau3[[#This Row],[ID-SIG]],Tableau5[ID],0))&amp;"","")</f>
        <v/>
      </c>
      <c r="AC672" s="21"/>
      <c r="AD672" s="108" t="str">
        <f>INDEX(Tableau7[Repere],MATCH(Tableau3[[#This Row],[ID-API]],Tableau7[ID-API],0))&amp;""</f>
        <v>A4</v>
      </c>
      <c r="AE672" s="108" t="str">
        <f>INDEX(Tableau1[Repere-Rack],MATCH(Tableau3[[#This Row],[ID-RACK]],Tableau1[ID-RACK],0))&amp;""</f>
        <v>R2</v>
      </c>
      <c r="AF672" s="108" t="str">
        <f>INDEX(Tableau1[Repere-Slot],MATCH(Tableau3[[#This Row],[ID-SLOT]],Tableau1[ID-SLOT],0))&amp;""</f>
        <v>S4</v>
      </c>
      <c r="AG672" s="108" t="str">
        <f>INDEX(Tableau2[Repere-Voie],MATCH(Tableau3[[#This Row],[ID-VOIE]],Tableau2[ID-Voie],0))&amp;""</f>
        <v>v6</v>
      </c>
      <c r="AH672" s="72" t="str">
        <f>Tableau3[[#This Row],[ID-API]]&amp; "." &amp;Tableau3[[#This Row],[ID-RACK]]&amp; "." &amp;Tableau3[[#This Row],[ID-SLOT]]</f>
        <v>4.2.4</v>
      </c>
      <c r="AI672" s="72" t="str">
        <f>INDEX(Tableau1[Ref-Carte],MATCH(Tableau3[[#This Row],[ID-RRS]],Tableau1[ID-RRS],0))</f>
        <v>SDI1602</v>
      </c>
      <c r="AJ672" s="72" t="str">
        <f t="array" ref="AJ672">IFERROR(INDEX(Tableau2[TS],MATCH(1,(Tableau2[Ref-Carte]=Tableau3[[#This Row],[Ref-Carte2]])*(Tableau2[ID-Voie]=Tableau3[[#This Row],[ID-VOIE]]),0)),"")</f>
        <v>ET</v>
      </c>
      <c r="AK672" s="72" t="str">
        <f>IFERROR(INDEX(Tableau2[TS],SUMPRODUCT((Tableau2[Ref-Carte]=Tableau3[[#This Row],[Ref-Carte2]])*(Tableau2[ID-Voie]=Tableau3[[#This Row],[ID-VOIE]])*ROW(Tableau2[TS]))-ROW(Tableau2[#Headers])),"")</f>
        <v>ET</v>
      </c>
      <c r="AL672" s="72" t="str">
        <f>Tableau3[[#This Row],[Ref-Carte2]]&amp;"/"&amp;Tableau3[[#This Row],[ID-VOIE]]</f>
        <v>SDI1602/6</v>
      </c>
      <c r="AM672" s="73" t="str">
        <f>INDEX(Tableau2[Borne],MATCH(Tableau3[[#This Row],[ID-CARTEVOIE]],Tableau2[ID-CARTEVOIE],0))&amp;""</f>
        <v>3B</v>
      </c>
      <c r="AN672" s="74" t="str">
        <f>Tableau3[[#This Row],[ID-API]]&amp;Tableau3[[#This Row],[ID-RACK]]&amp;Tableau3[[#This Row],[ID-SLOT]]&amp;Tableau3[[#This Row],[BORNE]]</f>
        <v>4243B</v>
      </c>
      <c r="AO672" s="1"/>
    </row>
    <row r="673" spans="1:41" ht="20.100000000000001" customHeight="1" thickTop="1" thickBot="1">
      <c r="A673" s="68"/>
      <c r="B673" s="69" t="str">
        <f>IFERROR(INDEX(Tableau4[Date],MATCH($A673,Tableau4[EVO],0)),"")</f>
        <v/>
      </c>
      <c r="C673" s="68" t="str">
        <f>IFERROR(INDEX(Tableau4[Designation],MATCH($A673,Tableau4[EVO],0)),"")</f>
        <v/>
      </c>
      <c r="D673" s="68"/>
      <c r="E673" s="70">
        <v>256</v>
      </c>
      <c r="F673" s="71">
        <v>153</v>
      </c>
      <c r="G673" s="101" t="str">
        <f>INDEX(Tableau8[Att1],MATCH(Tableau3[[#This Row],[ID-INS]],Tableau8[ID],0))&amp;""</f>
        <v>V3</v>
      </c>
      <c r="H673" s="101" t="str">
        <f>INDEX(Tableau8[Att2],MATCH(Tableau3[[#This Row],[ID-INS]],Tableau8[ID],0))&amp;""</f>
        <v>P2</v>
      </c>
      <c r="I673" s="101" t="str">
        <f>INDEX(Tableau8[Att3],MATCH(Tableau3[[#This Row],[ID-INS]],Tableau8[ID],0))&amp;""</f>
        <v>Portail P2</v>
      </c>
      <c r="J673" s="101"/>
      <c r="K673" s="167" t="str">
        <f>INDEX(Tableau8[Nom du modele],MATCH(Tableau3[[#This Row],[ID-INS]],Tableau8[ID],0))&amp;""</f>
        <v>PortailR1V_2</v>
      </c>
      <c r="L673" s="99" t="str">
        <f>INDEX(Tableau5[Att1],MATCH(Tableau3[[#This Row],[ID-SIG]],Tableau5[ID],0))&amp;""</f>
        <v>V2_FerRet1</v>
      </c>
      <c r="M673" s="99" t="str">
        <f>INDEX(Tableau5[Att2],MATCH(Tableau3[[#This Row],[ID-SIG]],Tableau5[ID],0))&amp;""</f>
        <v/>
      </c>
      <c r="N673" s="99" t="str">
        <f>INDEX(Tableau5[Att3],MATCH(Tableau3[[#This Row],[ID-SIG]],Tableau5[ID],0))&amp;""</f>
        <v/>
      </c>
      <c r="O673" s="99"/>
      <c r="P673" s="99" t="str">
        <f>INDEX(Tableau5[Description],MATCH(Tableau3[[#This Row],[ID-SIG]],Tableau5[ID],0))</f>
        <v>Retour Commande 1 fermeture vantail 2</v>
      </c>
      <c r="Q673" s="99"/>
      <c r="R673" s="103" t="str">
        <f>Tableau3[[#This Row],[Description]]</f>
        <v>Retour Commande 1 fermeture vantail 2</v>
      </c>
      <c r="U673" s="87">
        <v>4</v>
      </c>
      <c r="V673" s="87">
        <v>2</v>
      </c>
      <c r="W673" s="87">
        <v>4</v>
      </c>
      <c r="X673" s="87">
        <v>7</v>
      </c>
      <c r="Y673" s="40"/>
      <c r="Z673" s="165" t="str">
        <f>INDEX(Tableau2[TS],MATCH(Tableau3[[#This Row],[ID-CARTEVOIE]],Tableau2[ID-CARTEVOIE],0))</f>
        <v>ET</v>
      </c>
      <c r="AA673" s="53" t="s">
        <v>213</v>
      </c>
      <c r="AB673" s="223" t="str">
        <f>IFERROR(INDEX(Tableau5[Reserve],MATCH(Tableau3[[#This Row],[ID-SIG]],Tableau5[ID],0))&amp;"","")</f>
        <v/>
      </c>
      <c r="AC673" s="21"/>
      <c r="AD673" s="108" t="str">
        <f>INDEX(Tableau7[Repere],MATCH(Tableau3[[#This Row],[ID-API]],Tableau7[ID-API],0))&amp;""</f>
        <v>A4</v>
      </c>
      <c r="AE673" s="108" t="str">
        <f>INDEX(Tableau1[Repere-Rack],MATCH(Tableau3[[#This Row],[ID-RACK]],Tableau1[ID-RACK],0))&amp;""</f>
        <v>R2</v>
      </c>
      <c r="AF673" s="108" t="str">
        <f>INDEX(Tableau1[Repere-Slot],MATCH(Tableau3[[#This Row],[ID-SLOT]],Tableau1[ID-SLOT],0))&amp;""</f>
        <v>S4</v>
      </c>
      <c r="AG673" s="108" t="str">
        <f>INDEX(Tableau2[Repere-Voie],MATCH(Tableau3[[#This Row],[ID-VOIE]],Tableau2[ID-Voie],0))&amp;""</f>
        <v>v7</v>
      </c>
      <c r="AH673" s="72" t="str">
        <f>Tableau3[[#This Row],[ID-API]]&amp; "." &amp;Tableau3[[#This Row],[ID-RACK]]&amp; "." &amp;Tableau3[[#This Row],[ID-SLOT]]</f>
        <v>4.2.4</v>
      </c>
      <c r="AI673" s="72" t="str">
        <f>INDEX(Tableau1[Ref-Carte],MATCH(Tableau3[[#This Row],[ID-RRS]],Tableau1[ID-RRS],0))</f>
        <v>SDI1602</v>
      </c>
      <c r="AJ673" s="72" t="str">
        <f t="array" ref="AJ673">IFERROR(INDEX(Tableau2[TS],MATCH(1,(Tableau2[Ref-Carte]=Tableau3[[#This Row],[Ref-Carte2]])*(Tableau2[ID-Voie]=Tableau3[[#This Row],[ID-VOIE]]),0)),"")</f>
        <v>ET</v>
      </c>
      <c r="AK673" s="72" t="str">
        <f>IFERROR(INDEX(Tableau2[TS],SUMPRODUCT((Tableau2[Ref-Carte]=Tableau3[[#This Row],[Ref-Carte2]])*(Tableau2[ID-Voie]=Tableau3[[#This Row],[ID-VOIE]])*ROW(Tableau2[TS]))-ROW(Tableau2[#Headers])),"")</f>
        <v>ET</v>
      </c>
      <c r="AL673" s="72" t="str">
        <f>Tableau3[[#This Row],[Ref-Carte2]]&amp;"/"&amp;Tableau3[[#This Row],[ID-VOIE]]</f>
        <v>SDI1602/7</v>
      </c>
      <c r="AM673" s="73" t="str">
        <f>INDEX(Tableau2[Borne],MATCH(Tableau3[[#This Row],[ID-CARTEVOIE]],Tableau2[ID-CARTEVOIE],0))&amp;""</f>
        <v>3A</v>
      </c>
      <c r="AN673" s="74" t="str">
        <f>Tableau3[[#This Row],[ID-API]]&amp;Tableau3[[#This Row],[ID-RACK]]&amp;Tableau3[[#This Row],[ID-SLOT]]&amp;Tableau3[[#This Row],[BORNE]]</f>
        <v>4243A</v>
      </c>
      <c r="AO673" s="1"/>
    </row>
    <row r="674" spans="1:41" ht="20.100000000000001" customHeight="1" thickTop="1" thickBot="1">
      <c r="A674" s="68"/>
      <c r="B674" s="69" t="str">
        <f>IFERROR(INDEX(Tableau4[Date],MATCH($A674,Tableau4[EVO],0)),"")</f>
        <v/>
      </c>
      <c r="C674" s="68" t="str">
        <f>IFERROR(INDEX(Tableau4[Designation],MATCH($A674,Tableau4[EVO],0)),"")</f>
        <v/>
      </c>
      <c r="D674" s="68"/>
      <c r="E674" s="70">
        <v>265</v>
      </c>
      <c r="F674" s="71">
        <v>6</v>
      </c>
      <c r="G674" s="101" t="str">
        <f>INDEX(Tableau8[Att1],MATCH(Tableau3[[#This Row],[ID-INS]],Tableau8[ID],0))&amp;""</f>
        <v>V2V3</v>
      </c>
      <c r="H674" s="101" t="str">
        <f>INDEX(Tableau8[Att2],MATCH(Tableau3[[#This Row],[ID-INS]],Tableau8[ID],0))&amp;""</f>
        <v>P1P2</v>
      </c>
      <c r="I674" s="101" t="str">
        <f>INDEX(Tableau8[Att3],MATCH(Tableau3[[#This Row],[ID-INS]],Tableau8[ID],0))&amp;""</f>
        <v>Portail P2</v>
      </c>
      <c r="J674" s="101"/>
      <c r="K674" s="167" t="str">
        <f>INDEX(Tableau8[Nom du modele],MATCH(Tableau3[[#This Row],[ID-INS]],Tableau8[ID],0))&amp;""</f>
        <v>Effraction</v>
      </c>
      <c r="L674" s="99" t="str">
        <f>INDEX(Tableau5[Att1],MATCH(Tableau3[[#This Row],[ID-SIG]],Tableau5[ID],0))&amp;""</f>
        <v>SynthEffr</v>
      </c>
      <c r="M674" s="99" t="str">
        <f>INDEX(Tableau5[Att2],MATCH(Tableau3[[#This Row],[ID-SIG]],Tableau5[ID],0))&amp;""</f>
        <v/>
      </c>
      <c r="N674" s="99" t="str">
        <f>INDEX(Tableau5[Att3],MATCH(Tableau3[[#This Row],[ID-SIG]],Tableau5[ID],0))&amp;""</f>
        <v/>
      </c>
      <c r="O674" s="99"/>
      <c r="P674" s="99" t="str">
        <f>INDEX(Tableau5[Description],MATCH(Tableau3[[#This Row],[ID-SIG]],Tableau5[ID],0))</f>
        <v>Synthèse effraction</v>
      </c>
      <c r="Q674" s="99"/>
      <c r="R674" s="103" t="str">
        <f>Tableau3[[#This Row],[Description]]</f>
        <v>Synthèse effraction</v>
      </c>
      <c r="U674" s="87">
        <v>4</v>
      </c>
      <c r="V674" s="87">
        <v>2</v>
      </c>
      <c r="W674" s="87">
        <v>4</v>
      </c>
      <c r="X674" s="87">
        <v>8</v>
      </c>
      <c r="Y674" s="40"/>
      <c r="Z674" s="165" t="str">
        <f>INDEX(Tableau2[TS],MATCH(Tableau3[[#This Row],[ID-CARTEVOIE]],Tableau2[ID-CARTEVOIE],0))</f>
        <v>ET</v>
      </c>
      <c r="AA674" s="53" t="s">
        <v>213</v>
      </c>
      <c r="AB674" s="223" t="str">
        <f>IFERROR(INDEX(Tableau5[Reserve],MATCH(Tableau3[[#This Row],[ID-SIG]],Tableau5[ID],0))&amp;"","")</f>
        <v/>
      </c>
      <c r="AC674" s="21"/>
      <c r="AD674" s="108" t="str">
        <f>INDEX(Tableau7[Repere],MATCH(Tableau3[[#This Row],[ID-API]],Tableau7[ID-API],0))&amp;""</f>
        <v>A4</v>
      </c>
      <c r="AE674" s="108" t="str">
        <f>INDEX(Tableau1[Repere-Rack],MATCH(Tableau3[[#This Row],[ID-RACK]],Tableau1[ID-RACK],0))&amp;""</f>
        <v>R2</v>
      </c>
      <c r="AF674" s="108" t="str">
        <f>INDEX(Tableau1[Repere-Slot],MATCH(Tableau3[[#This Row],[ID-SLOT]],Tableau1[ID-SLOT],0))&amp;""</f>
        <v>S4</v>
      </c>
      <c r="AG674" s="108" t="str">
        <f>INDEX(Tableau2[Repere-Voie],MATCH(Tableau3[[#This Row],[ID-VOIE]],Tableau2[ID-Voie],0))&amp;""</f>
        <v>v8</v>
      </c>
      <c r="AH674" s="72" t="str">
        <f>Tableau3[[#This Row],[ID-API]]&amp; "." &amp;Tableau3[[#This Row],[ID-RACK]]&amp; "." &amp;Tableau3[[#This Row],[ID-SLOT]]</f>
        <v>4.2.4</v>
      </c>
      <c r="AI674" s="72" t="str">
        <f>INDEX(Tableau1[Ref-Carte],MATCH(Tableau3[[#This Row],[ID-RRS]],Tableau1[ID-RRS],0))</f>
        <v>SDI1602</v>
      </c>
      <c r="AJ674" s="72" t="str">
        <f t="array" ref="AJ674">IFERROR(INDEX(Tableau2[TS],MATCH(1,(Tableau2[Ref-Carte]=Tableau3[[#This Row],[Ref-Carte2]])*(Tableau2[ID-Voie]=Tableau3[[#This Row],[ID-VOIE]]),0)),"")</f>
        <v>ET</v>
      </c>
      <c r="AK674" s="72" t="str">
        <f>IFERROR(INDEX(Tableau2[TS],SUMPRODUCT((Tableau2[Ref-Carte]=Tableau3[[#This Row],[Ref-Carte2]])*(Tableau2[ID-Voie]=Tableau3[[#This Row],[ID-VOIE]])*ROW(Tableau2[TS]))-ROW(Tableau2[#Headers])),"")</f>
        <v>ET</v>
      </c>
      <c r="AL674" s="72" t="str">
        <f>Tableau3[[#This Row],[Ref-Carte2]]&amp;"/"&amp;Tableau3[[#This Row],[ID-VOIE]]</f>
        <v>SDI1602/8</v>
      </c>
      <c r="AM674" s="73" t="str">
        <f>INDEX(Tableau2[Borne],MATCH(Tableau3[[#This Row],[ID-CARTEVOIE]],Tableau2[ID-CARTEVOIE],0))&amp;""</f>
        <v>4B</v>
      </c>
      <c r="AN674" s="74" t="str">
        <f>Tableau3[[#This Row],[ID-API]]&amp;Tableau3[[#This Row],[ID-RACK]]&amp;Tableau3[[#This Row],[ID-SLOT]]&amp;Tableau3[[#This Row],[BORNE]]</f>
        <v>4244B</v>
      </c>
      <c r="AO674" s="1"/>
    </row>
    <row r="675" spans="1:41" ht="20.100000000000001" customHeight="1" thickTop="1" thickBot="1">
      <c r="A675" s="68"/>
      <c r="B675" s="69" t="str">
        <f>IFERROR(INDEX(Tableau4[Date],MATCH($A675,Tableau4[EVO],0)),"")</f>
        <v/>
      </c>
      <c r="C675" s="68" t="str">
        <f>IFERROR(INDEX(Tableau4[Designation],MATCH($A675,Tableau4[EVO],0)),"")</f>
        <v/>
      </c>
      <c r="D675" s="68"/>
      <c r="E675" s="70">
        <v>497</v>
      </c>
      <c r="F675" s="71">
        <v>3</v>
      </c>
      <c r="G675" s="101" t="str">
        <f>INDEX(Tableau8[Att1],MATCH(Tableau3[[#This Row],[ID-INS]],Tableau8[ID],0))&amp;""</f>
        <v>V3</v>
      </c>
      <c r="H675" s="101" t="str">
        <f>INDEX(Tableau8[Att2],MATCH(Tableau3[[#This Row],[ID-INS]],Tableau8[ID],0))&amp;""</f>
        <v>PPH98</v>
      </c>
      <c r="I675" s="101" t="str">
        <f>INDEX(Tableau8[Att3],MATCH(Tableau3[[#This Row],[ID-INS]],Tableau8[ID],0))&amp;""</f>
        <v>Portail P2 ouvert</v>
      </c>
      <c r="J675" s="101"/>
      <c r="K675" s="167" t="str">
        <f>INDEX(Tableau8[Nom du modele],MATCH(Tableau3[[#This Row],[ID-INS]],Tableau8[ID],0))&amp;""</f>
        <v>E_Divers</v>
      </c>
      <c r="L675" s="99" t="str">
        <f>INDEX(Tableau5[Att1],MATCH(Tableau3[[#This Row],[ID-SIG]],Tableau5[ID],0))&amp;""</f>
        <v>C1</v>
      </c>
      <c r="M675" s="99" t="str">
        <f>INDEX(Tableau5[Att2],MATCH(Tableau3[[#This Row],[ID-SIG]],Tableau5[ID],0))&amp;""</f>
        <v/>
      </c>
      <c r="N675" s="99" t="str">
        <f>INDEX(Tableau5[Att3],MATCH(Tableau3[[#This Row],[ID-SIG]],Tableau5[ID],0))&amp;""</f>
        <v/>
      </c>
      <c r="O675" s="99"/>
      <c r="P675" s="99" t="str">
        <f>INDEX(Tableau5[Description],MATCH(Tableau3[[#This Row],[ID-SIG]],Tableau5[ID],0))</f>
        <v>Contact</v>
      </c>
      <c r="Q675" s="99"/>
      <c r="R675" s="103" t="str">
        <f>Tableau3[[#This Row],[Description]]</f>
        <v>Contact</v>
      </c>
      <c r="U675" s="87">
        <v>4</v>
      </c>
      <c r="V675" s="87">
        <v>2</v>
      </c>
      <c r="W675" s="87">
        <v>4</v>
      </c>
      <c r="X675" s="87">
        <v>9</v>
      </c>
      <c r="Y675" s="40"/>
      <c r="Z675" s="165" t="str">
        <f>INDEX(Tableau2[TS],MATCH(Tableau3[[#This Row],[ID-CARTEVOIE]],Tableau2[ID-CARTEVOIE],0))</f>
        <v>ET</v>
      </c>
      <c r="AA675" s="53" t="s">
        <v>213</v>
      </c>
      <c r="AB675" s="223" t="str">
        <f>IFERROR(INDEX(Tableau5[Reserve],MATCH(Tableau3[[#This Row],[ID-SIG]],Tableau5[ID],0))&amp;"","")</f>
        <v/>
      </c>
      <c r="AC675" s="21"/>
      <c r="AD675" s="108" t="str">
        <f>INDEX(Tableau7[Repere],MATCH(Tableau3[[#This Row],[ID-API]],Tableau7[ID-API],0))&amp;""</f>
        <v>A4</v>
      </c>
      <c r="AE675" s="108" t="str">
        <f>INDEX(Tableau1[Repere-Rack],MATCH(Tableau3[[#This Row],[ID-RACK]],Tableau1[ID-RACK],0))&amp;""</f>
        <v>R2</v>
      </c>
      <c r="AF675" s="108" t="str">
        <f>INDEX(Tableau1[Repere-Slot],MATCH(Tableau3[[#This Row],[ID-SLOT]],Tableau1[ID-SLOT],0))&amp;""</f>
        <v>S4</v>
      </c>
      <c r="AG675" s="108" t="str">
        <f>INDEX(Tableau2[Repere-Voie],MATCH(Tableau3[[#This Row],[ID-VOIE]],Tableau2[ID-Voie],0))&amp;""</f>
        <v>v9</v>
      </c>
      <c r="AH675" s="72" t="str">
        <f>Tableau3[[#This Row],[ID-API]]&amp; "." &amp;Tableau3[[#This Row],[ID-RACK]]&amp; "." &amp;Tableau3[[#This Row],[ID-SLOT]]</f>
        <v>4.2.4</v>
      </c>
      <c r="AI675" s="72" t="str">
        <f>INDEX(Tableau1[Ref-Carte],MATCH(Tableau3[[#This Row],[ID-RRS]],Tableau1[ID-RRS],0))</f>
        <v>SDI1602</v>
      </c>
      <c r="AJ675" s="72" t="str">
        <f t="array" ref="AJ675">IFERROR(INDEX(Tableau2[TS],MATCH(1,(Tableau2[Ref-Carte]=Tableau3[[#This Row],[Ref-Carte2]])*(Tableau2[ID-Voie]=Tableau3[[#This Row],[ID-VOIE]]),0)),"")</f>
        <v>ET</v>
      </c>
      <c r="AK675" s="72" t="str">
        <f>IFERROR(INDEX(Tableau2[TS],SUMPRODUCT((Tableau2[Ref-Carte]=Tableau3[[#This Row],[Ref-Carte2]])*(Tableau2[ID-Voie]=Tableau3[[#This Row],[ID-VOIE]])*ROW(Tableau2[TS]))-ROW(Tableau2[#Headers])),"")</f>
        <v>ET</v>
      </c>
      <c r="AL675" s="72" t="str">
        <f>Tableau3[[#This Row],[Ref-Carte2]]&amp;"/"&amp;Tableau3[[#This Row],[ID-VOIE]]</f>
        <v>SDI1602/9</v>
      </c>
      <c r="AM675" s="73" t="str">
        <f>INDEX(Tableau2[Borne],MATCH(Tableau3[[#This Row],[ID-CARTEVOIE]],Tableau2[ID-CARTEVOIE],0))&amp;""</f>
        <v>4A</v>
      </c>
      <c r="AN675" s="74" t="str">
        <f>Tableau3[[#This Row],[ID-API]]&amp;Tableau3[[#This Row],[ID-RACK]]&amp;Tableau3[[#This Row],[ID-SLOT]]&amp;Tableau3[[#This Row],[BORNE]]</f>
        <v>4244A</v>
      </c>
      <c r="AO675" s="1"/>
    </row>
    <row r="676" spans="1:41" ht="20.100000000000001" customHeight="1" thickTop="1" thickBot="1">
      <c r="A676" s="68"/>
      <c r="B676" s="69" t="str">
        <f>IFERROR(INDEX(Tableau4[Date],MATCH($A676,Tableau4[EVO],0)),"")</f>
        <v/>
      </c>
      <c r="C676" s="68" t="str">
        <f>IFERROR(INDEX(Tableau4[Designation],MATCH($A676,Tableau4[EVO],0)),"")</f>
        <v/>
      </c>
      <c r="D676" s="68"/>
      <c r="E676" s="70">
        <v>498</v>
      </c>
      <c r="F676" s="71">
        <v>3</v>
      </c>
      <c r="G676" s="101" t="str">
        <f>INDEX(Tableau8[Att1],MATCH(Tableau3[[#This Row],[ID-INS]],Tableau8[ID],0))&amp;""</f>
        <v>V3</v>
      </c>
      <c r="H676" s="101" t="str">
        <f>INDEX(Tableau8[Att2],MATCH(Tableau3[[#This Row],[ID-INS]],Tableau8[ID],0))&amp;""</f>
        <v>PPH99</v>
      </c>
      <c r="I676" s="101" t="str">
        <f>INDEX(Tableau8[Att3],MATCH(Tableau3[[#This Row],[ID-INS]],Tableau8[ID],0))&amp;""</f>
        <v>Portail P2 non vérrouillé</v>
      </c>
      <c r="J676" s="101"/>
      <c r="K676" s="167" t="str">
        <f>INDEX(Tableau8[Nom du modele],MATCH(Tableau3[[#This Row],[ID-INS]],Tableau8[ID],0))&amp;""</f>
        <v>E_Divers</v>
      </c>
      <c r="L676" s="99" t="str">
        <f>INDEX(Tableau5[Att1],MATCH(Tableau3[[#This Row],[ID-SIG]],Tableau5[ID],0))&amp;""</f>
        <v>C1</v>
      </c>
      <c r="M676" s="99" t="str">
        <f>INDEX(Tableau5[Att2],MATCH(Tableau3[[#This Row],[ID-SIG]],Tableau5[ID],0))&amp;""</f>
        <v/>
      </c>
      <c r="N676" s="99" t="str">
        <f>INDEX(Tableau5[Att3],MATCH(Tableau3[[#This Row],[ID-SIG]],Tableau5[ID],0))&amp;""</f>
        <v/>
      </c>
      <c r="O676" s="99"/>
      <c r="P676" s="99" t="str">
        <f>INDEX(Tableau5[Description],MATCH(Tableau3[[#This Row],[ID-SIG]],Tableau5[ID],0))</f>
        <v>Contact</v>
      </c>
      <c r="Q676" s="99"/>
      <c r="R676" s="103" t="str">
        <f>Tableau3[[#This Row],[Description]]</f>
        <v>Contact</v>
      </c>
      <c r="U676" s="87">
        <v>4</v>
      </c>
      <c r="V676" s="87">
        <v>2</v>
      </c>
      <c r="W676" s="87">
        <v>4</v>
      </c>
      <c r="X676" s="87">
        <v>10</v>
      </c>
      <c r="Y676" s="40"/>
      <c r="Z676" s="165" t="str">
        <f>INDEX(Tableau2[TS],MATCH(Tableau3[[#This Row],[ID-CARTEVOIE]],Tableau2[ID-CARTEVOIE],0))</f>
        <v>ET</v>
      </c>
      <c r="AA676" s="53" t="s">
        <v>213</v>
      </c>
      <c r="AB676" s="223" t="str">
        <f>IFERROR(INDEX(Tableau5[Reserve],MATCH(Tableau3[[#This Row],[ID-SIG]],Tableau5[ID],0))&amp;"","")</f>
        <v/>
      </c>
      <c r="AC676" s="21"/>
      <c r="AD676" s="108" t="str">
        <f>INDEX(Tableau7[Repere],MATCH(Tableau3[[#This Row],[ID-API]],Tableau7[ID-API],0))&amp;""</f>
        <v>A4</v>
      </c>
      <c r="AE676" s="108" t="str">
        <f>INDEX(Tableau1[Repere-Rack],MATCH(Tableau3[[#This Row],[ID-RACK]],Tableau1[ID-RACK],0))&amp;""</f>
        <v>R2</v>
      </c>
      <c r="AF676" s="108" t="str">
        <f>INDEX(Tableau1[Repere-Slot],MATCH(Tableau3[[#This Row],[ID-SLOT]],Tableau1[ID-SLOT],0))&amp;""</f>
        <v>S4</v>
      </c>
      <c r="AG676" s="108" t="str">
        <f>INDEX(Tableau2[Repere-Voie],MATCH(Tableau3[[#This Row],[ID-VOIE]],Tableau2[ID-Voie],0))&amp;""</f>
        <v>v10</v>
      </c>
      <c r="AH676" s="72" t="str">
        <f>Tableau3[[#This Row],[ID-API]]&amp; "." &amp;Tableau3[[#This Row],[ID-RACK]]&amp; "." &amp;Tableau3[[#This Row],[ID-SLOT]]</f>
        <v>4.2.4</v>
      </c>
      <c r="AI676" s="72" t="str">
        <f>INDEX(Tableau1[Ref-Carte],MATCH(Tableau3[[#This Row],[ID-RRS]],Tableau1[ID-RRS],0))</f>
        <v>SDI1602</v>
      </c>
      <c r="AJ676" s="72" t="str">
        <f t="array" ref="AJ676">IFERROR(INDEX(Tableau2[TS],MATCH(1,(Tableau2[Ref-Carte]=Tableau3[[#This Row],[Ref-Carte2]])*(Tableau2[ID-Voie]=Tableau3[[#This Row],[ID-VOIE]]),0)),"")</f>
        <v>ET</v>
      </c>
      <c r="AK676" s="72" t="str">
        <f>IFERROR(INDEX(Tableau2[TS],SUMPRODUCT((Tableau2[Ref-Carte]=Tableau3[[#This Row],[Ref-Carte2]])*(Tableau2[ID-Voie]=Tableau3[[#This Row],[ID-VOIE]])*ROW(Tableau2[TS]))-ROW(Tableau2[#Headers])),"")</f>
        <v>ET</v>
      </c>
      <c r="AL676" s="72" t="str">
        <f>Tableau3[[#This Row],[Ref-Carte2]]&amp;"/"&amp;Tableau3[[#This Row],[ID-VOIE]]</f>
        <v>SDI1602/10</v>
      </c>
      <c r="AM676" s="73" t="str">
        <f>INDEX(Tableau2[Borne],MATCH(Tableau3[[#This Row],[ID-CARTEVOIE]],Tableau2[ID-CARTEVOIE],0))&amp;""</f>
        <v>5B</v>
      </c>
      <c r="AN676" s="74" t="str">
        <f>Tableau3[[#This Row],[ID-API]]&amp;Tableau3[[#This Row],[ID-RACK]]&amp;Tableau3[[#This Row],[ID-SLOT]]&amp;Tableau3[[#This Row],[BORNE]]</f>
        <v>4245B</v>
      </c>
      <c r="AO676" s="1"/>
    </row>
    <row r="677" spans="1:41" ht="20.100000000000001" customHeight="1" thickTop="1" thickBot="1">
      <c r="A677" s="68"/>
      <c r="B677" s="69" t="str">
        <f>IFERROR(INDEX(Tableau4[Date],MATCH($A677,Tableau4[EVO],0)),"")</f>
        <v/>
      </c>
      <c r="C677" s="68" t="str">
        <f>IFERROR(INDEX(Tableau4[Designation],MATCH($A677,Tableau4[EVO],0)),"")</f>
        <v/>
      </c>
      <c r="D677" s="68"/>
      <c r="E677" s="70">
        <v>499</v>
      </c>
      <c r="F677" s="71">
        <v>3</v>
      </c>
      <c r="G677" s="101" t="str">
        <f>INDEX(Tableau8[Att1],MATCH(Tableau3[[#This Row],[ID-INS]],Tableau8[ID],0))&amp;""</f>
        <v>V3</v>
      </c>
      <c r="H677" s="101" t="str">
        <f>INDEX(Tableau8[Att2],MATCH(Tableau3[[#This Row],[ID-INS]],Tableau8[ID],0))&amp;""</f>
        <v>PPH100</v>
      </c>
      <c r="I677" s="101" t="str">
        <f>INDEX(Tableau8[Att3],MATCH(Tableau3[[#This Row],[ID-INS]],Tableau8[ID],0))&amp;""</f>
        <v>Portail P6 ouvert</v>
      </c>
      <c r="J677" s="101"/>
      <c r="K677" s="167" t="str">
        <f>INDEX(Tableau8[Nom du modele],MATCH(Tableau3[[#This Row],[ID-INS]],Tableau8[ID],0))&amp;""</f>
        <v>E_Divers</v>
      </c>
      <c r="L677" s="99" t="str">
        <f>INDEX(Tableau5[Att1],MATCH(Tableau3[[#This Row],[ID-SIG]],Tableau5[ID],0))&amp;""</f>
        <v>C1</v>
      </c>
      <c r="M677" s="99" t="str">
        <f>INDEX(Tableau5[Att2],MATCH(Tableau3[[#This Row],[ID-SIG]],Tableau5[ID],0))&amp;""</f>
        <v/>
      </c>
      <c r="N677" s="99" t="str">
        <f>INDEX(Tableau5[Att3],MATCH(Tableau3[[#This Row],[ID-SIG]],Tableau5[ID],0))&amp;""</f>
        <v/>
      </c>
      <c r="O677" s="99"/>
      <c r="P677" s="99" t="str">
        <f>INDEX(Tableau5[Description],MATCH(Tableau3[[#This Row],[ID-SIG]],Tableau5[ID],0))</f>
        <v>Contact</v>
      </c>
      <c r="Q677" s="99"/>
      <c r="R677" s="103" t="str">
        <f>Tableau3[[#This Row],[Description]]</f>
        <v>Contact</v>
      </c>
      <c r="U677" s="87">
        <v>4</v>
      </c>
      <c r="V677" s="87">
        <v>2</v>
      </c>
      <c r="W677" s="87">
        <v>4</v>
      </c>
      <c r="X677" s="87">
        <v>11</v>
      </c>
      <c r="Y677" s="40"/>
      <c r="Z677" s="165" t="str">
        <f>INDEX(Tableau2[TS],MATCH(Tableau3[[#This Row],[ID-CARTEVOIE]],Tableau2[ID-CARTEVOIE],0))</f>
        <v>ET</v>
      </c>
      <c r="AA677" s="53" t="s">
        <v>213</v>
      </c>
      <c r="AB677" s="223" t="str">
        <f>IFERROR(INDEX(Tableau5[Reserve],MATCH(Tableau3[[#This Row],[ID-SIG]],Tableau5[ID],0))&amp;"","")</f>
        <v/>
      </c>
      <c r="AC677" s="21"/>
      <c r="AD677" s="108" t="str">
        <f>INDEX(Tableau7[Repere],MATCH(Tableau3[[#This Row],[ID-API]],Tableau7[ID-API],0))&amp;""</f>
        <v>A4</v>
      </c>
      <c r="AE677" s="108" t="str">
        <f>INDEX(Tableau1[Repere-Rack],MATCH(Tableau3[[#This Row],[ID-RACK]],Tableau1[ID-RACK],0))&amp;""</f>
        <v>R2</v>
      </c>
      <c r="AF677" s="108" t="str">
        <f>INDEX(Tableau1[Repere-Slot],MATCH(Tableau3[[#This Row],[ID-SLOT]],Tableau1[ID-SLOT],0))&amp;""</f>
        <v>S4</v>
      </c>
      <c r="AG677" s="108" t="str">
        <f>INDEX(Tableau2[Repere-Voie],MATCH(Tableau3[[#This Row],[ID-VOIE]],Tableau2[ID-Voie],0))&amp;""</f>
        <v>v11</v>
      </c>
      <c r="AH677" s="72" t="str">
        <f>Tableau3[[#This Row],[ID-API]]&amp; "." &amp;Tableau3[[#This Row],[ID-RACK]]&amp; "." &amp;Tableau3[[#This Row],[ID-SLOT]]</f>
        <v>4.2.4</v>
      </c>
      <c r="AI677" s="72" t="str">
        <f>INDEX(Tableau1[Ref-Carte],MATCH(Tableau3[[#This Row],[ID-RRS]],Tableau1[ID-RRS],0))</f>
        <v>SDI1602</v>
      </c>
      <c r="AJ677" s="72" t="str">
        <f t="array" ref="AJ677">IFERROR(INDEX(Tableau2[TS],MATCH(1,(Tableau2[Ref-Carte]=Tableau3[[#This Row],[Ref-Carte2]])*(Tableau2[ID-Voie]=Tableau3[[#This Row],[ID-VOIE]]),0)),"")</f>
        <v>ET</v>
      </c>
      <c r="AK677" s="72" t="str">
        <f>IFERROR(INDEX(Tableau2[TS],SUMPRODUCT((Tableau2[Ref-Carte]=Tableau3[[#This Row],[Ref-Carte2]])*(Tableau2[ID-Voie]=Tableau3[[#This Row],[ID-VOIE]])*ROW(Tableau2[TS]))-ROW(Tableau2[#Headers])),"")</f>
        <v>ET</v>
      </c>
      <c r="AL677" s="72" t="str">
        <f>Tableau3[[#This Row],[Ref-Carte2]]&amp;"/"&amp;Tableau3[[#This Row],[ID-VOIE]]</f>
        <v>SDI1602/11</v>
      </c>
      <c r="AM677" s="73" t="str">
        <f>INDEX(Tableau2[Borne],MATCH(Tableau3[[#This Row],[ID-CARTEVOIE]],Tableau2[ID-CARTEVOIE],0))&amp;""</f>
        <v>5A</v>
      </c>
      <c r="AN677" s="74" t="str">
        <f>Tableau3[[#This Row],[ID-API]]&amp;Tableau3[[#This Row],[ID-RACK]]&amp;Tableau3[[#This Row],[ID-SLOT]]&amp;Tableau3[[#This Row],[BORNE]]</f>
        <v>4245A</v>
      </c>
      <c r="AO677" s="1"/>
    </row>
    <row r="678" spans="1:41" ht="20.100000000000001" customHeight="1" thickTop="1" thickBot="1">
      <c r="A678" s="68"/>
      <c r="B678" s="69" t="str">
        <f>IFERROR(INDEX(Tableau4[Date],MATCH($A678,Tableau4[EVO],0)),"")</f>
        <v/>
      </c>
      <c r="C678" s="68" t="str">
        <f>IFERROR(INDEX(Tableau4[Designation],MATCH($A678,Tableau4[EVO],0)),"")</f>
        <v/>
      </c>
      <c r="D678" s="68"/>
      <c r="E678" s="70">
        <v>500</v>
      </c>
      <c r="F678" s="71">
        <v>3</v>
      </c>
      <c r="G678" s="101" t="str">
        <f>INDEX(Tableau8[Att1],MATCH(Tableau3[[#This Row],[ID-INS]],Tableau8[ID],0))&amp;""</f>
        <v>V3</v>
      </c>
      <c r="H678" s="101" t="str">
        <f>INDEX(Tableau8[Att2],MATCH(Tableau3[[#This Row],[ID-INS]],Tableau8[ID],0))&amp;""</f>
        <v>PPH101</v>
      </c>
      <c r="I678" s="101" t="str">
        <f>INDEX(Tableau8[Att3],MATCH(Tableau3[[#This Row],[ID-INS]],Tableau8[ID],0))&amp;""</f>
        <v>Alarme CP20 armoire RIO V3</v>
      </c>
      <c r="J678" s="101"/>
      <c r="K678" s="167" t="str">
        <f>INDEX(Tableau8[Nom du modele],MATCH(Tableau3[[#This Row],[ID-INS]],Tableau8[ID],0))&amp;""</f>
        <v>E_Divers</v>
      </c>
      <c r="L678" s="99" t="str">
        <f>INDEX(Tableau5[Att1],MATCH(Tableau3[[#This Row],[ID-SIG]],Tableau5[ID],0))&amp;""</f>
        <v>C1</v>
      </c>
      <c r="M678" s="99" t="str">
        <f>INDEX(Tableau5[Att2],MATCH(Tableau3[[#This Row],[ID-SIG]],Tableau5[ID],0))&amp;""</f>
        <v/>
      </c>
      <c r="N678" s="99" t="str">
        <f>INDEX(Tableau5[Att3],MATCH(Tableau3[[#This Row],[ID-SIG]],Tableau5[ID],0))&amp;""</f>
        <v/>
      </c>
      <c r="O678" s="99"/>
      <c r="P678" s="99" t="str">
        <f>INDEX(Tableau5[Description],MATCH(Tableau3[[#This Row],[ID-SIG]],Tableau5[ID],0))</f>
        <v>Contact</v>
      </c>
      <c r="Q678" s="99"/>
      <c r="R678" s="103" t="str">
        <f>Tableau3[[#This Row],[Description]]</f>
        <v>Contact</v>
      </c>
      <c r="U678" s="87">
        <v>4</v>
      </c>
      <c r="V678" s="87">
        <v>2</v>
      </c>
      <c r="W678" s="87">
        <v>4</v>
      </c>
      <c r="X678" s="87">
        <v>12</v>
      </c>
      <c r="Y678" s="40"/>
      <c r="Z678" s="165" t="str">
        <f>INDEX(Tableau2[TS],MATCH(Tableau3[[#This Row],[ID-CARTEVOIE]],Tableau2[ID-CARTEVOIE],0))</f>
        <v>ET</v>
      </c>
      <c r="AA678" s="53" t="s">
        <v>213</v>
      </c>
      <c r="AB678" s="223" t="str">
        <f>IFERROR(INDEX(Tableau5[Reserve],MATCH(Tableau3[[#This Row],[ID-SIG]],Tableau5[ID],0))&amp;"","")</f>
        <v/>
      </c>
      <c r="AC678" s="21"/>
      <c r="AD678" s="108" t="str">
        <f>INDEX(Tableau7[Repere],MATCH(Tableau3[[#This Row],[ID-API]],Tableau7[ID-API],0))&amp;""</f>
        <v>A4</v>
      </c>
      <c r="AE678" s="108" t="str">
        <f>INDEX(Tableau1[Repere-Rack],MATCH(Tableau3[[#This Row],[ID-RACK]],Tableau1[ID-RACK],0))&amp;""</f>
        <v>R2</v>
      </c>
      <c r="AF678" s="108" t="str">
        <f>INDEX(Tableau1[Repere-Slot],MATCH(Tableau3[[#This Row],[ID-SLOT]],Tableau1[ID-SLOT],0))&amp;""</f>
        <v>S4</v>
      </c>
      <c r="AG678" s="108" t="str">
        <f>INDEX(Tableau2[Repere-Voie],MATCH(Tableau3[[#This Row],[ID-VOIE]],Tableau2[ID-Voie],0))&amp;""</f>
        <v>v12</v>
      </c>
      <c r="AH678" s="72" t="str">
        <f>Tableau3[[#This Row],[ID-API]]&amp; "." &amp;Tableau3[[#This Row],[ID-RACK]]&amp; "." &amp;Tableau3[[#This Row],[ID-SLOT]]</f>
        <v>4.2.4</v>
      </c>
      <c r="AI678" s="72" t="str">
        <f>INDEX(Tableau1[Ref-Carte],MATCH(Tableau3[[#This Row],[ID-RRS]],Tableau1[ID-RRS],0))</f>
        <v>SDI1602</v>
      </c>
      <c r="AJ678" s="72" t="str">
        <f t="array" ref="AJ678">IFERROR(INDEX(Tableau2[TS],MATCH(1,(Tableau2[Ref-Carte]=Tableau3[[#This Row],[Ref-Carte2]])*(Tableau2[ID-Voie]=Tableau3[[#This Row],[ID-VOIE]]),0)),"")</f>
        <v>ET</v>
      </c>
      <c r="AK678" s="72" t="str">
        <f>IFERROR(INDEX(Tableau2[TS],SUMPRODUCT((Tableau2[Ref-Carte]=Tableau3[[#This Row],[Ref-Carte2]])*(Tableau2[ID-Voie]=Tableau3[[#This Row],[ID-VOIE]])*ROW(Tableau2[TS]))-ROW(Tableau2[#Headers])),"")</f>
        <v>ET</v>
      </c>
      <c r="AL678" s="72" t="str">
        <f>Tableau3[[#This Row],[Ref-Carte2]]&amp;"/"&amp;Tableau3[[#This Row],[ID-VOIE]]</f>
        <v>SDI1602/12</v>
      </c>
      <c r="AM678" s="73" t="str">
        <f>INDEX(Tableau2[Borne],MATCH(Tableau3[[#This Row],[ID-CARTEVOIE]],Tableau2[ID-CARTEVOIE],0))&amp;""</f>
        <v>6B</v>
      </c>
      <c r="AN678" s="74" t="str">
        <f>Tableau3[[#This Row],[ID-API]]&amp;Tableau3[[#This Row],[ID-RACK]]&amp;Tableau3[[#This Row],[ID-SLOT]]&amp;Tableau3[[#This Row],[BORNE]]</f>
        <v>4246B</v>
      </c>
      <c r="AO678" s="1"/>
    </row>
    <row r="679" spans="1:41" ht="20.100000000000001" customHeight="1" thickTop="1" thickBot="1">
      <c r="A679" s="68"/>
      <c r="B679" s="69" t="str">
        <f>IFERROR(INDEX(Tableau4[Date],MATCH($A679,Tableau4[EVO],0)),"")</f>
        <v/>
      </c>
      <c r="C679" s="68" t="str">
        <f>IFERROR(INDEX(Tableau4[Designation],MATCH($A679,Tableau4[EVO],0)),"")</f>
        <v/>
      </c>
      <c r="D679" s="68">
        <v>1</v>
      </c>
      <c r="E679" s="70">
        <v>501</v>
      </c>
      <c r="F679" s="71">
        <v>3</v>
      </c>
      <c r="G679" s="101" t="str">
        <f>INDEX(Tableau8[Att1],MATCH(Tableau3[[#This Row],[ID-INS]],Tableau8[ID],0))&amp;""</f>
        <v>V1/V2</v>
      </c>
      <c r="H679" s="101" t="str">
        <f>INDEX(Tableau8[Att2],MATCH(Tableau3[[#This Row],[ID-INS]],Tableau8[ID],0))&amp;""</f>
        <v>PPH102</v>
      </c>
      <c r="I679" s="101" t="str">
        <f>INDEX(Tableau8[Att3],MATCH(Tableau3[[#This Row],[ID-INS]],Tableau8[ID],0))&amp;""</f>
        <v>Ouverture trappe accès ventail 2 P2 et vantail 1 P3</v>
      </c>
      <c r="J679" s="101"/>
      <c r="K679" s="167" t="str">
        <f>INDEX(Tableau8[Nom du modele],MATCH(Tableau3[[#This Row],[ID-INS]],Tableau8[ID],0))&amp;""</f>
        <v>E_Divers</v>
      </c>
      <c r="L679" s="99" t="str">
        <f>INDEX(Tableau5[Att1],MATCH(Tableau3[[#This Row],[ID-SIG]],Tableau5[ID],0))&amp;""</f>
        <v>C1</v>
      </c>
      <c r="M679" s="99" t="str">
        <f>INDEX(Tableau5[Att2],MATCH(Tableau3[[#This Row],[ID-SIG]],Tableau5[ID],0))&amp;""</f>
        <v/>
      </c>
      <c r="N679" s="99" t="str">
        <f>INDEX(Tableau5[Att3],MATCH(Tableau3[[#This Row],[ID-SIG]],Tableau5[ID],0))&amp;""</f>
        <v/>
      </c>
      <c r="O679" s="99"/>
      <c r="P679" s="99" t="str">
        <f>INDEX(Tableau5[Description],MATCH(Tableau3[[#This Row],[ID-SIG]],Tableau5[ID],0))</f>
        <v>Contact</v>
      </c>
      <c r="Q679" s="99"/>
      <c r="R679" s="103" t="str">
        <f>Tableau3[[#This Row],[Description]]</f>
        <v>Contact</v>
      </c>
      <c r="U679" s="87">
        <v>4</v>
      </c>
      <c r="V679" s="87">
        <v>2</v>
      </c>
      <c r="W679" s="87">
        <v>4</v>
      </c>
      <c r="X679" s="87">
        <v>13</v>
      </c>
      <c r="Y679" s="40"/>
      <c r="Z679" s="165" t="str">
        <f>INDEX(Tableau2[TS],MATCH(Tableau3[[#This Row],[ID-CARTEVOIE]],Tableau2[ID-CARTEVOIE],0))</f>
        <v>ET</v>
      </c>
      <c r="AA679" s="53" t="s">
        <v>213</v>
      </c>
      <c r="AB679" s="223" t="str">
        <f>IFERROR(INDEX(Tableau5[Reserve],MATCH(Tableau3[[#This Row],[ID-SIG]],Tableau5[ID],0))&amp;"","")</f>
        <v/>
      </c>
      <c r="AC679" s="21"/>
      <c r="AD679" s="108" t="str">
        <f>INDEX(Tableau7[Repere],MATCH(Tableau3[[#This Row],[ID-API]],Tableau7[ID-API],0))&amp;""</f>
        <v>A4</v>
      </c>
      <c r="AE679" s="108" t="str">
        <f>INDEX(Tableau1[Repere-Rack],MATCH(Tableau3[[#This Row],[ID-RACK]],Tableau1[ID-RACK],0))&amp;""</f>
        <v>R2</v>
      </c>
      <c r="AF679" s="108" t="str">
        <f>INDEX(Tableau1[Repere-Slot],MATCH(Tableau3[[#This Row],[ID-SLOT]],Tableau1[ID-SLOT],0))&amp;""</f>
        <v>S4</v>
      </c>
      <c r="AG679" s="108" t="str">
        <f>INDEX(Tableau2[Repere-Voie],MATCH(Tableau3[[#This Row],[ID-VOIE]],Tableau2[ID-Voie],0))&amp;""</f>
        <v>v13</v>
      </c>
      <c r="AH679" s="72" t="str">
        <f>Tableau3[[#This Row],[ID-API]]&amp; "." &amp;Tableau3[[#This Row],[ID-RACK]]&amp; "." &amp;Tableau3[[#This Row],[ID-SLOT]]</f>
        <v>4.2.4</v>
      </c>
      <c r="AI679" s="72" t="str">
        <f>INDEX(Tableau1[Ref-Carte],MATCH(Tableau3[[#This Row],[ID-RRS]],Tableau1[ID-RRS],0))</f>
        <v>SDI1602</v>
      </c>
      <c r="AJ679" s="72" t="str">
        <f t="array" ref="AJ679">IFERROR(INDEX(Tableau2[TS],MATCH(1,(Tableau2[Ref-Carte]=Tableau3[[#This Row],[Ref-Carte2]])*(Tableau2[ID-Voie]=Tableau3[[#This Row],[ID-VOIE]]),0)),"")</f>
        <v>ET</v>
      </c>
      <c r="AK679" s="72" t="str">
        <f>IFERROR(INDEX(Tableau2[TS],SUMPRODUCT((Tableau2[Ref-Carte]=Tableau3[[#This Row],[Ref-Carte2]])*(Tableau2[ID-Voie]=Tableau3[[#This Row],[ID-VOIE]])*ROW(Tableau2[TS]))-ROW(Tableau2[#Headers])),"")</f>
        <v>ET</v>
      </c>
      <c r="AL679" s="72" t="str">
        <f>Tableau3[[#This Row],[Ref-Carte2]]&amp;"/"&amp;Tableau3[[#This Row],[ID-VOIE]]</f>
        <v>SDI1602/13</v>
      </c>
      <c r="AM679" s="73" t="str">
        <f>INDEX(Tableau2[Borne],MATCH(Tableau3[[#This Row],[ID-CARTEVOIE]],Tableau2[ID-CARTEVOIE],0))&amp;""</f>
        <v>6A</v>
      </c>
      <c r="AN679" s="74" t="str">
        <f>Tableau3[[#This Row],[ID-API]]&amp;Tableau3[[#This Row],[ID-RACK]]&amp;Tableau3[[#This Row],[ID-SLOT]]&amp;Tableau3[[#This Row],[BORNE]]</f>
        <v>4246A</v>
      </c>
      <c r="AO679" s="1"/>
    </row>
    <row r="680" spans="1:41" ht="20.100000000000001" customHeight="1" thickTop="1" thickBot="1">
      <c r="A680" s="110"/>
      <c r="B680" s="111" t="str">
        <f>IFERROR(INDEX(Tableau4[Date],MATCH($A680,Tableau4[EVO],0)),"")</f>
        <v/>
      </c>
      <c r="C680" s="112" t="str">
        <f>IFERROR(INDEX(Tableau4[Designation],MATCH($A680,Tableau4[EVO],0)),"")</f>
        <v/>
      </c>
      <c r="D680" s="110"/>
      <c r="E680" s="113"/>
      <c r="F680" s="146"/>
      <c r="G680" s="147" t="e">
        <f>INDEX(Tableau8[Att1],MATCH(Tableau3[[#This Row],[ID-INS]],Tableau8[ID],0))&amp;""</f>
        <v>#N/A</v>
      </c>
      <c r="H680" s="147" t="s">
        <v>1708</v>
      </c>
      <c r="I680" s="147" t="e">
        <f>INDEX(Tableau8[Att3],MATCH(Tableau3[[#This Row],[ID-INS]],Tableau8[ID],0))&amp;""</f>
        <v>#N/A</v>
      </c>
      <c r="J680" s="148"/>
      <c r="K680" s="167" t="e">
        <f>INDEX(Tableau8[Nom du modele],MATCH(Tableau3[[#This Row],[ID-INS]],Tableau8[ID],0))&amp;""</f>
        <v>#N/A</v>
      </c>
      <c r="L680" s="149" t="s">
        <v>260</v>
      </c>
      <c r="M680" s="149" t="e">
        <f>INDEX(Tableau5[Att2],MATCH(Tableau3[[#This Row],[ID-SIG]],Tableau5[ID],0))&amp;""</f>
        <v>#N/A</v>
      </c>
      <c r="N680" s="149" t="e">
        <f>INDEX(Tableau5[Att3],MATCH(Tableau3[[#This Row],[ID-SIG]],Tableau5[ID],0))&amp;""</f>
        <v>#N/A</v>
      </c>
      <c r="O680" s="150"/>
      <c r="P680" s="149" t="s">
        <v>1709</v>
      </c>
      <c r="Q680" s="150"/>
      <c r="R680" s="117" t="str">
        <f>Tableau3[[#This Row],[Description]]</f>
        <v>Synthèse Défaut alimentation rack d'extension du RIO 4 - Défaut</v>
      </c>
      <c r="S680" s="75"/>
      <c r="T680" s="75"/>
      <c r="U680" s="151">
        <v>4</v>
      </c>
      <c r="V680" s="151">
        <v>2</v>
      </c>
      <c r="W680" s="151">
        <v>4</v>
      </c>
      <c r="X680" s="151">
        <v>14</v>
      </c>
      <c r="Y680" s="40"/>
      <c r="Z680" s="166" t="str">
        <f>INDEX(Tableau2[TS],MATCH(Tableau3[[#This Row],[ID-CARTEVOIE]],Tableau2[ID-CARTEVOIE],0))</f>
        <v>ET</v>
      </c>
      <c r="AA680" s="81" t="s">
        <v>213</v>
      </c>
      <c r="AB680" s="226" t="str">
        <f>IFERROR(INDEX(Tableau5[Reserve],MATCH(Tableau3[[#This Row],[ID-SIG]],Tableau5[ID],0))&amp;"","")</f>
        <v/>
      </c>
      <c r="AC680" s="119" t="s">
        <v>1456</v>
      </c>
      <c r="AD680" s="120" t="str">
        <f>INDEX(Tableau7[Repere],MATCH(Tableau3[[#This Row],[ID-API]],Tableau7[ID-API],0))&amp;""</f>
        <v>A4</v>
      </c>
      <c r="AE680" s="121" t="str">
        <f>INDEX(Tableau1[Repere-Rack],MATCH(Tableau3[[#This Row],[ID-RACK]],Tableau1[ID-RACK],0))&amp;""</f>
        <v>R2</v>
      </c>
      <c r="AF680" s="121" t="str">
        <f>INDEX(Tableau1[Repere-Slot],MATCH(Tableau3[[#This Row],[ID-SLOT]],Tableau1[ID-SLOT],0))&amp;""</f>
        <v>S4</v>
      </c>
      <c r="AG680" s="121" t="str">
        <f>INDEX(Tableau2[Repere-Voie],MATCH(Tableau3[[#This Row],[ID-VOIE]],Tableau2[ID-Voie],0))&amp;""</f>
        <v>v14</v>
      </c>
      <c r="AH680" s="122" t="str">
        <f>Tableau3[[#This Row],[ID-API]]&amp; "." &amp;Tableau3[[#This Row],[ID-RACK]]&amp; "." &amp;Tableau3[[#This Row],[ID-SLOT]]</f>
        <v>4.2.4</v>
      </c>
      <c r="AI680" s="72" t="str">
        <f>INDEX(Tableau1[Ref-Carte],MATCH(Tableau3[[#This Row],[ID-RRS]],Tableau1[ID-RRS],0))</f>
        <v>SDI1602</v>
      </c>
      <c r="AJ680" s="72" t="str">
        <f t="array" ref="AJ680">IFERROR(INDEX(Tableau2[TS],MATCH(1,(Tableau2[Ref-Carte]=Tableau3[[#This Row],[Ref-Carte2]])*(Tableau2[ID-Voie]=Tableau3[[#This Row],[ID-VOIE]]),0)),"")</f>
        <v>ET</v>
      </c>
      <c r="AK680" s="72" t="str">
        <f>IFERROR(INDEX(Tableau2[TS],SUMPRODUCT((Tableau2[Ref-Carte]=Tableau3[[#This Row],[Ref-Carte2]])*(Tableau2[ID-Voie]=Tableau3[[#This Row],[ID-VOIE]])*ROW(Tableau2[TS]))-ROW(Tableau2[#Headers])),"")</f>
        <v>ET</v>
      </c>
      <c r="AL680" s="122" t="str">
        <f>Tableau3[[#This Row],[Ref-Carte2]]&amp;"/"&amp;Tableau3[[#This Row],[ID-VOIE]]</f>
        <v>SDI1602/14</v>
      </c>
      <c r="AM680" s="123" t="str">
        <f>INDEX(Tableau2[Borne],MATCH(Tableau3[[#This Row],[ID-CARTEVOIE]],Tableau2[ID-CARTEVOIE],0))&amp;""</f>
        <v>7B</v>
      </c>
      <c r="AN680" s="124" t="str">
        <f>Tableau3[[#This Row],[ID-API]]&amp;Tableau3[[#This Row],[ID-RACK]]&amp;Tableau3[[#This Row],[ID-SLOT]]&amp;Tableau3[[#This Row],[BORNE]]</f>
        <v>4247B</v>
      </c>
      <c r="AO680" s="125"/>
    </row>
    <row r="681" spans="1:41" ht="20.100000000000001" customHeight="1" thickTop="1" thickBot="1">
      <c r="A681" s="110"/>
      <c r="B681" s="111" t="str">
        <f>IFERROR(INDEX(Tableau4[Date],MATCH($A681,Tableau4[EVO],0)),"")</f>
        <v/>
      </c>
      <c r="C681" s="112" t="str">
        <f>IFERROR(INDEX(Tableau4[Designation],MATCH($A681,Tableau4[EVO],0)),"")</f>
        <v/>
      </c>
      <c r="D681" s="110"/>
      <c r="E681" s="113"/>
      <c r="F681" s="146"/>
      <c r="G681" s="147" t="e">
        <f>INDEX(Tableau8[Att1],MATCH(Tableau3[[#This Row],[ID-INS]],Tableau8[ID],0))&amp;""</f>
        <v>#N/A</v>
      </c>
      <c r="H681" s="147" t="e">
        <f>INDEX(Tableau8[Att2],MATCH(Tableau3[[#This Row],[ID-INS]],Tableau8[ID],0))&amp;""</f>
        <v>#N/A</v>
      </c>
      <c r="I681" s="147" t="e">
        <f>INDEX(Tableau8[Att3],MATCH(Tableau3[[#This Row],[ID-INS]],Tableau8[ID],0))&amp;""</f>
        <v>#N/A</v>
      </c>
      <c r="J681" s="148"/>
      <c r="K681" s="167" t="e">
        <f>INDEX(Tableau8[Nom du modele],MATCH(Tableau3[[#This Row],[ID-INS]],Tableau8[ID],0))&amp;""</f>
        <v>#N/A</v>
      </c>
      <c r="L681" s="149" t="e">
        <f>INDEX(Tableau5[Att1],MATCH(Tableau3[[#This Row],[ID-SIG]],Tableau5[ID],0))&amp;""</f>
        <v>#N/A</v>
      </c>
      <c r="M681" s="149" t="e">
        <f>INDEX(Tableau5[Att2],MATCH(Tableau3[[#This Row],[ID-SIG]],Tableau5[ID],0))&amp;""</f>
        <v>#N/A</v>
      </c>
      <c r="N681" s="149" t="e">
        <f>INDEX(Tableau5[Att3],MATCH(Tableau3[[#This Row],[ID-SIG]],Tableau5[ID],0))&amp;""</f>
        <v>#N/A</v>
      </c>
      <c r="O681" s="150"/>
      <c r="P681" s="149" t="s">
        <v>748</v>
      </c>
      <c r="Q681" s="150"/>
      <c r="R681" s="117" t="str">
        <f>Tableau3[[#This Row],[Description]]</f>
        <v>Synthèse Alarme ouverture Baies C/C Cellule V3</v>
      </c>
      <c r="S681" s="75"/>
      <c r="T681" s="75"/>
      <c r="U681" s="151">
        <v>4</v>
      </c>
      <c r="V681" s="151">
        <v>2</v>
      </c>
      <c r="W681" s="151">
        <v>4</v>
      </c>
      <c r="X681" s="151">
        <v>15</v>
      </c>
      <c r="Y681" s="40"/>
      <c r="Z681" s="166" t="str">
        <f>INDEX(Tableau2[TS],MATCH(Tableau3[[#This Row],[ID-CARTEVOIE]],Tableau2[ID-CARTEVOIE],0))</f>
        <v>ET</v>
      </c>
      <c r="AA681" s="81" t="s">
        <v>213</v>
      </c>
      <c r="AB681" s="226" t="str">
        <f>IFERROR(INDEX(Tableau5[Reserve],MATCH(Tableau3[[#This Row],[ID-SIG]],Tableau5[ID],0))&amp;"","")</f>
        <v/>
      </c>
      <c r="AC681" s="119" t="s">
        <v>1456</v>
      </c>
      <c r="AD681" s="120" t="str">
        <f>INDEX(Tableau7[Repere],MATCH(Tableau3[[#This Row],[ID-API]],Tableau7[ID-API],0))&amp;""</f>
        <v>A4</v>
      </c>
      <c r="AE681" s="121" t="str">
        <f>INDEX(Tableau1[Repere-Rack],MATCH(Tableau3[[#This Row],[ID-RACK]],Tableau1[ID-RACK],0))&amp;""</f>
        <v>R2</v>
      </c>
      <c r="AF681" s="121" t="str">
        <f>INDEX(Tableau1[Repere-Slot],MATCH(Tableau3[[#This Row],[ID-SLOT]],Tableau1[ID-SLOT],0))&amp;""</f>
        <v>S4</v>
      </c>
      <c r="AG681" s="121" t="str">
        <f>INDEX(Tableau2[Repere-Voie],MATCH(Tableau3[[#This Row],[ID-VOIE]],Tableau2[ID-Voie],0))&amp;""</f>
        <v>v15</v>
      </c>
      <c r="AH681" s="122" t="str">
        <f>Tableau3[[#This Row],[ID-API]]&amp; "." &amp;Tableau3[[#This Row],[ID-RACK]]&amp; "." &amp;Tableau3[[#This Row],[ID-SLOT]]</f>
        <v>4.2.4</v>
      </c>
      <c r="AI681" s="72" t="str">
        <f>INDEX(Tableau1[Ref-Carte],MATCH(Tableau3[[#This Row],[ID-RRS]],Tableau1[ID-RRS],0))</f>
        <v>SDI1602</v>
      </c>
      <c r="AJ681" s="72" t="str">
        <f t="array" ref="AJ681">IFERROR(INDEX(Tableau2[TS],MATCH(1,(Tableau2[Ref-Carte]=Tableau3[[#This Row],[Ref-Carte2]])*(Tableau2[ID-Voie]=Tableau3[[#This Row],[ID-VOIE]]),0)),"")</f>
        <v>ET</v>
      </c>
      <c r="AK681" s="72" t="str">
        <f>IFERROR(INDEX(Tableau2[TS],SUMPRODUCT((Tableau2[Ref-Carte]=Tableau3[[#This Row],[Ref-Carte2]])*(Tableau2[ID-Voie]=Tableau3[[#This Row],[ID-VOIE]])*ROW(Tableau2[TS]))-ROW(Tableau2[#Headers])),"")</f>
        <v>ET</v>
      </c>
      <c r="AL681" s="122" t="str">
        <f>Tableau3[[#This Row],[Ref-Carte2]]&amp;"/"&amp;Tableau3[[#This Row],[ID-VOIE]]</f>
        <v>SDI1602/15</v>
      </c>
      <c r="AM681" s="123" t="str">
        <f>INDEX(Tableau2[Borne],MATCH(Tableau3[[#This Row],[ID-CARTEVOIE]],Tableau2[ID-CARTEVOIE],0))&amp;""</f>
        <v>7A</v>
      </c>
      <c r="AN681" s="124" t="str">
        <f>Tableau3[[#This Row],[ID-API]]&amp;Tableau3[[#This Row],[ID-RACK]]&amp;Tableau3[[#This Row],[ID-SLOT]]&amp;Tableau3[[#This Row],[BORNE]]</f>
        <v>4247A</v>
      </c>
      <c r="AO681" s="125"/>
    </row>
    <row r="682" spans="1:41" ht="20.100000000000001" customHeight="1" thickTop="1" thickBot="1">
      <c r="A682" s="68"/>
      <c r="B682" s="69" t="str">
        <f>IFERROR(INDEX(Tableau4[Date],MATCH($A682,Tableau4[EVO],0)),"")</f>
        <v/>
      </c>
      <c r="C682" s="68" t="str">
        <f>IFERROR(INDEX(Tableau4[Designation],MATCH($A682,Tableau4[EVO],0)),"")</f>
        <v/>
      </c>
      <c r="D682" s="68"/>
      <c r="E682" s="70">
        <v>3</v>
      </c>
      <c r="F682" s="71">
        <v>200</v>
      </c>
      <c r="G682" s="101" t="str">
        <f>INDEX(Tableau8[Att1],MATCH(Tableau3[[#This Row],[ID-INS]],Tableau8[ID],0))&amp;""</f>
        <v>V4</v>
      </c>
      <c r="H682" s="101" t="str">
        <f>INDEX(Tableau8[Att2],MATCH(Tableau3[[#This Row],[ID-INS]],Tableau8[ID],0))&amp;""</f>
        <v>P3</v>
      </c>
      <c r="I682" s="101" t="str">
        <f>INDEX(Tableau8[Att3],MATCH(Tableau3[[#This Row],[ID-INS]],Tableau8[ID],0))&amp;""</f>
        <v>Portail P3</v>
      </c>
      <c r="J682" s="101"/>
      <c r="K682" s="167" t="str">
        <f>INDEX(Tableau8[Nom du modele],MATCH(Tableau3[[#This Row],[ID-INS]],Tableau8[ID],0))&amp;""</f>
        <v>PortailR2V_1</v>
      </c>
      <c r="L682" s="99" t="str">
        <f>INDEX(Tableau5[Att1],MATCH(Tableau3[[#This Row],[ID-SIG]],Tableau5[ID],0))&amp;""</f>
        <v>Vx_OuvGCmd1</v>
      </c>
      <c r="M682" s="99" t="str">
        <f>INDEX(Tableau5[Att2],MATCH(Tableau3[[#This Row],[ID-SIG]],Tableau5[ID],0))&amp;""</f>
        <v/>
      </c>
      <c r="N682" s="99" t="str">
        <f>INDEX(Tableau5[Att3],MATCH(Tableau3[[#This Row],[ID-SIG]],Tableau5[ID],0))&amp;""</f>
        <v/>
      </c>
      <c r="O682" s="99"/>
      <c r="P682" s="99" t="str">
        <f>INDEX(Tableau5[Description],MATCH(Tableau3[[#This Row],[ID-SIG]],Tableau5[ID],0))</f>
        <v>Commande 1 ouverture gâche</v>
      </c>
      <c r="Q682" s="99"/>
      <c r="R682" s="103" t="str">
        <f>Tableau3[[#This Row],[Description]]</f>
        <v>Commande 1 ouverture gâche</v>
      </c>
      <c r="S682" s="52"/>
      <c r="U682" s="87">
        <v>5</v>
      </c>
      <c r="V682" s="87">
        <v>1</v>
      </c>
      <c r="W682" s="87">
        <v>3</v>
      </c>
      <c r="X682" s="87">
        <v>0</v>
      </c>
      <c r="Y682" s="41"/>
      <c r="Z682" s="165" t="str">
        <f>INDEX(Tableau2[TS],MATCH(Tableau3[[#This Row],[ID-CARTEVOIE]],Tableau2[ID-CARTEVOIE],0))</f>
        <v>ST</v>
      </c>
      <c r="AA682" s="53" t="s">
        <v>213</v>
      </c>
      <c r="AB682" s="223" t="str">
        <f>IFERROR(INDEX(Tableau5[Reserve],MATCH(Tableau3[[#This Row],[ID-SIG]],Tableau5[ID],0))&amp;"","")</f>
        <v/>
      </c>
      <c r="AC682" s="21"/>
      <c r="AD682" s="108" t="str">
        <f>INDEX(Tableau7[Repere],MATCH(Tableau3[[#This Row],[ID-API]],Tableau7[ID-API],0))&amp;""</f>
        <v>A5</v>
      </c>
      <c r="AE682" s="108" t="str">
        <f>INDEX(Tableau1[Repere-Rack],MATCH(Tableau3[[#This Row],[ID-RACK]],Tableau1[ID-RACK],0))&amp;""</f>
        <v>R1</v>
      </c>
      <c r="AF682" s="108" t="str">
        <f>INDEX(Tableau1[Repere-Slot],MATCH(Tableau3[[#This Row],[ID-SLOT]],Tableau1[ID-SLOT],0))&amp;""</f>
        <v>S3</v>
      </c>
      <c r="AG682" s="108" t="str">
        <f>INDEX(Tableau2[Repere-Voie],MATCH(Tableau3[[#This Row],[ID-VOIE]],Tableau2[ID-Voie],0))&amp;""</f>
        <v>v0</v>
      </c>
      <c r="AH682" s="72" t="str">
        <f>Tableau3[[#This Row],[ID-API]]&amp; "." &amp;Tableau3[[#This Row],[ID-RACK]]&amp; "." &amp;Tableau3[[#This Row],[ID-SLOT]]</f>
        <v>5.1.3</v>
      </c>
      <c r="AI682" s="72" t="str">
        <f>INDEX(Tableau1[Ref-Carte],MATCH(Tableau3[[#This Row],[ID-RRS]],Tableau1[ID-RRS],0))</f>
        <v>SDO0802</v>
      </c>
      <c r="AJ682" s="72" t="str">
        <f t="array" ref="AJ682">IFERROR(INDEX(Tableau2[TS],MATCH(1,(Tableau2[Ref-Carte]=Tableau3[[#This Row],[Ref-Carte2]])*(Tableau2[ID-Voie]=Tableau3[[#This Row],[ID-VOIE]]),0)),"")</f>
        <v>ST</v>
      </c>
      <c r="AK682" s="72" t="str">
        <f>IFERROR(INDEX(Tableau2[TS],SUMPRODUCT((Tableau2[Ref-Carte]=Tableau3[[#This Row],[Ref-Carte2]])*(Tableau2[ID-Voie]=Tableau3[[#This Row],[ID-VOIE]])*ROW(Tableau2[TS]))-ROW(Tableau2[#Headers])),"")</f>
        <v>ST</v>
      </c>
      <c r="AL682" s="72" t="str">
        <f>Tableau3[[#This Row],[Ref-Carte2]]&amp;"/"&amp;Tableau3[[#This Row],[ID-VOIE]]</f>
        <v>SDO0802/0</v>
      </c>
      <c r="AM682" s="73" t="str">
        <f>INDEX(Tableau2[Borne],MATCH(Tableau3[[#This Row],[ID-CARTEVOIE]],Tableau2[ID-CARTEVOIE],0))&amp;""</f>
        <v>0</v>
      </c>
      <c r="AN682" s="74" t="str">
        <f>Tableau3[[#This Row],[ID-API]]&amp;Tableau3[[#This Row],[ID-RACK]]&amp;Tableau3[[#This Row],[ID-SLOT]]&amp;Tableau3[[#This Row],[BORNE]]</f>
        <v>5130</v>
      </c>
      <c r="AO682" s="1"/>
    </row>
    <row r="683" spans="1:41" ht="20.100000000000001" customHeight="1" thickTop="1" thickBot="1">
      <c r="A683" s="68"/>
      <c r="B683" s="69" t="str">
        <f>IFERROR(INDEX(Tableau4[Date],MATCH($A683,Tableau4[EVO],0)),"")</f>
        <v/>
      </c>
      <c r="C683" s="68" t="str">
        <f>IFERROR(INDEX(Tableau4[Designation],MATCH($A683,Tableau4[EVO],0)),"")</f>
        <v/>
      </c>
      <c r="D683" s="68"/>
      <c r="E683" s="70">
        <v>3</v>
      </c>
      <c r="F683" s="71">
        <v>201</v>
      </c>
      <c r="G683" s="101" t="str">
        <f>INDEX(Tableau8[Att1],MATCH(Tableau3[[#This Row],[ID-INS]],Tableau8[ID],0))&amp;""</f>
        <v>V4</v>
      </c>
      <c r="H683" s="101" t="str">
        <f>INDEX(Tableau8[Att2],MATCH(Tableau3[[#This Row],[ID-INS]],Tableau8[ID],0))&amp;""</f>
        <v>P3</v>
      </c>
      <c r="I683" s="101" t="str">
        <f>INDEX(Tableau8[Att3],MATCH(Tableau3[[#This Row],[ID-INS]],Tableau8[ID],0))&amp;""</f>
        <v>Portail P3</v>
      </c>
      <c r="J683" s="101"/>
      <c r="K683" s="167" t="str">
        <f>INDEX(Tableau8[Nom du modele],MATCH(Tableau3[[#This Row],[ID-INS]],Tableau8[ID],0))&amp;""</f>
        <v>PortailR2V_1</v>
      </c>
      <c r="L683" s="99" t="str">
        <f>INDEX(Tableau5[Att1],MATCH(Tableau3[[#This Row],[ID-SIG]],Tableau5[ID],0))&amp;""</f>
        <v>Vx_FerGCmd</v>
      </c>
      <c r="M683" s="99" t="str">
        <f>INDEX(Tableau5[Att2],MATCH(Tableau3[[#This Row],[ID-SIG]],Tableau5[ID],0))&amp;""</f>
        <v/>
      </c>
      <c r="N683" s="99" t="str">
        <f>INDEX(Tableau5[Att3],MATCH(Tableau3[[#This Row],[ID-SIG]],Tableau5[ID],0))&amp;""</f>
        <v/>
      </c>
      <c r="O683" s="99"/>
      <c r="P683" s="99" t="str">
        <f>INDEX(Tableau5[Description],MATCH(Tableau3[[#This Row],[ID-SIG]],Tableau5[ID],0))</f>
        <v>Commande fermeture gâche</v>
      </c>
      <c r="Q683" s="99"/>
      <c r="R683" s="103" t="str">
        <f>Tableau3[[#This Row],[Description]]</f>
        <v>Commande fermeture gâche</v>
      </c>
      <c r="S683" s="52"/>
      <c r="U683" s="87">
        <v>5</v>
      </c>
      <c r="V683" s="87">
        <v>1</v>
      </c>
      <c r="W683" s="87">
        <v>3</v>
      </c>
      <c r="X683" s="87">
        <v>1</v>
      </c>
      <c r="Y683" s="41"/>
      <c r="Z683" s="165" t="str">
        <f>INDEX(Tableau2[TS],MATCH(Tableau3[[#This Row],[ID-CARTEVOIE]],Tableau2[ID-CARTEVOIE],0))</f>
        <v>ST</v>
      </c>
      <c r="AA683" s="53" t="s">
        <v>213</v>
      </c>
      <c r="AB683" s="223" t="str">
        <f>IFERROR(INDEX(Tableau5[Reserve],MATCH(Tableau3[[#This Row],[ID-SIG]],Tableau5[ID],0))&amp;"","")</f>
        <v/>
      </c>
      <c r="AC683" s="21"/>
      <c r="AD683" s="108" t="str">
        <f>INDEX(Tableau7[Repere],MATCH(Tableau3[[#This Row],[ID-API]],Tableau7[ID-API],0))&amp;""</f>
        <v>A5</v>
      </c>
      <c r="AE683" s="108" t="str">
        <f>INDEX(Tableau1[Repere-Rack],MATCH(Tableau3[[#This Row],[ID-RACK]],Tableau1[ID-RACK],0))&amp;""</f>
        <v>R1</v>
      </c>
      <c r="AF683" s="108" t="str">
        <f>INDEX(Tableau1[Repere-Slot],MATCH(Tableau3[[#This Row],[ID-SLOT]],Tableau1[ID-SLOT],0))&amp;""</f>
        <v>S3</v>
      </c>
      <c r="AG683" s="108" t="str">
        <f>INDEX(Tableau2[Repere-Voie],MATCH(Tableau3[[#This Row],[ID-VOIE]],Tableau2[ID-Voie],0))&amp;""</f>
        <v>v1</v>
      </c>
      <c r="AH683" s="72" t="str">
        <f>Tableau3[[#This Row],[ID-API]]&amp; "." &amp;Tableau3[[#This Row],[ID-RACK]]&amp; "." &amp;Tableau3[[#This Row],[ID-SLOT]]</f>
        <v>5.1.3</v>
      </c>
      <c r="AI683" s="72" t="str">
        <f>INDEX(Tableau1[Ref-Carte],MATCH(Tableau3[[#This Row],[ID-RRS]],Tableau1[ID-RRS],0))</f>
        <v>SDO0802</v>
      </c>
      <c r="AJ683" s="72" t="str">
        <f t="array" ref="AJ683">IFERROR(INDEX(Tableau2[TS],MATCH(1,(Tableau2[Ref-Carte]=Tableau3[[#This Row],[Ref-Carte2]])*(Tableau2[ID-Voie]=Tableau3[[#This Row],[ID-VOIE]]),0)),"")</f>
        <v>ST</v>
      </c>
      <c r="AK683" s="72" t="str">
        <f>IFERROR(INDEX(Tableau2[TS],SUMPRODUCT((Tableau2[Ref-Carte]=Tableau3[[#This Row],[Ref-Carte2]])*(Tableau2[ID-Voie]=Tableau3[[#This Row],[ID-VOIE]])*ROW(Tableau2[TS]))-ROW(Tableau2[#Headers])),"")</f>
        <v>ST</v>
      </c>
      <c r="AL683" s="72" t="str">
        <f>Tableau3[[#This Row],[Ref-Carte2]]&amp;"/"&amp;Tableau3[[#This Row],[ID-VOIE]]</f>
        <v>SDO0802/1</v>
      </c>
      <c r="AM683" s="73" t="str">
        <f>INDEX(Tableau2[Borne],MATCH(Tableau3[[#This Row],[ID-CARTEVOIE]],Tableau2[ID-CARTEVOIE],0))&amp;""</f>
        <v>1</v>
      </c>
      <c r="AN683" s="74" t="str">
        <f>Tableau3[[#This Row],[ID-API]]&amp;Tableau3[[#This Row],[ID-RACK]]&amp;Tableau3[[#This Row],[ID-SLOT]]&amp;Tableau3[[#This Row],[BORNE]]</f>
        <v>5131</v>
      </c>
      <c r="AO683" s="1"/>
    </row>
    <row r="684" spans="1:41" ht="20.100000000000001" customHeight="1" thickTop="1" thickBot="1">
      <c r="A684" s="68"/>
      <c r="B684" s="69" t="str">
        <f>IFERROR(INDEX(Tableau4[Date],MATCH($A684,Tableau4[EVO],0)),"")</f>
        <v/>
      </c>
      <c r="C684" s="68" t="str">
        <f>IFERROR(INDEX(Tableau4[Designation],MATCH($A684,Tableau4[EVO],0)),"")</f>
        <v/>
      </c>
      <c r="D684" s="68"/>
      <c r="E684" s="70">
        <v>3</v>
      </c>
      <c r="F684" s="71">
        <v>202</v>
      </c>
      <c r="G684" s="101" t="str">
        <f>INDEX(Tableau8[Att1],MATCH(Tableau3[[#This Row],[ID-INS]],Tableau8[ID],0))&amp;""</f>
        <v>V4</v>
      </c>
      <c r="H684" s="101" t="str">
        <f>INDEX(Tableau8[Att2],MATCH(Tableau3[[#This Row],[ID-INS]],Tableau8[ID],0))&amp;""</f>
        <v>P3</v>
      </c>
      <c r="I684" s="101" t="str">
        <f>INDEX(Tableau8[Att3],MATCH(Tableau3[[#This Row],[ID-INS]],Tableau8[ID],0))&amp;""</f>
        <v>Portail P3</v>
      </c>
      <c r="J684" s="101"/>
      <c r="K684" s="167" t="str">
        <f>INDEX(Tableau8[Nom du modele],MATCH(Tableau3[[#This Row],[ID-INS]],Tableau8[ID],0))&amp;""</f>
        <v>PortailR2V_1</v>
      </c>
      <c r="L684" s="155" t="s">
        <v>1685</v>
      </c>
      <c r="M684" s="99" t="str">
        <f>INDEX(Tableau5[Att2],MATCH(Tableau3[[#This Row],[ID-SIG]],Tableau5[ID],0))&amp;""</f>
        <v/>
      </c>
      <c r="N684" s="99" t="str">
        <f>INDEX(Tableau5[Att3],MATCH(Tableau3[[#This Row],[ID-SIG]],Tableau5[ID],0))&amp;""</f>
        <v/>
      </c>
      <c r="O684" s="99"/>
      <c r="P684" s="155" t="s">
        <v>1710</v>
      </c>
      <c r="Q684" s="99"/>
      <c r="R684" s="103" t="str">
        <f>Tableau3[[#This Row],[Description]]</f>
        <v>Portail P3 - Sortie Réserve 1</v>
      </c>
      <c r="S684" s="52"/>
      <c r="U684" s="87">
        <v>5</v>
      </c>
      <c r="V684" s="87">
        <v>1</v>
      </c>
      <c r="W684" s="87">
        <v>3</v>
      </c>
      <c r="X684" s="87">
        <v>2</v>
      </c>
      <c r="Y684" s="41"/>
      <c r="Z684" s="165" t="str">
        <f>INDEX(Tableau2[TS],MATCH(Tableau3[[#This Row],[ID-CARTEVOIE]],Tableau2[ID-CARTEVOIE],0))</f>
        <v>ST</v>
      </c>
      <c r="AA684" s="53" t="s">
        <v>213</v>
      </c>
      <c r="AB684" s="223" t="str">
        <f>IFERROR(INDEX(Tableau5[Reserve],MATCH(Tableau3[[#This Row],[ID-SIG]],Tableau5[ID],0))&amp;"","")</f>
        <v/>
      </c>
      <c r="AC684" s="21"/>
      <c r="AD684" s="108" t="str">
        <f>INDEX(Tableau7[Repere],MATCH(Tableau3[[#This Row],[ID-API]],Tableau7[ID-API],0))&amp;""</f>
        <v>A5</v>
      </c>
      <c r="AE684" s="108" t="str">
        <f>INDEX(Tableau1[Repere-Rack],MATCH(Tableau3[[#This Row],[ID-RACK]],Tableau1[ID-RACK],0))&amp;""</f>
        <v>R1</v>
      </c>
      <c r="AF684" s="108" t="str">
        <f>INDEX(Tableau1[Repere-Slot],MATCH(Tableau3[[#This Row],[ID-SLOT]],Tableau1[ID-SLOT],0))&amp;""</f>
        <v>S3</v>
      </c>
      <c r="AG684" s="108" t="str">
        <f>INDEX(Tableau2[Repere-Voie],MATCH(Tableau3[[#This Row],[ID-VOIE]],Tableau2[ID-Voie],0))&amp;""</f>
        <v>v2</v>
      </c>
      <c r="AH684" s="72" t="str">
        <f>Tableau3[[#This Row],[ID-API]]&amp; "." &amp;Tableau3[[#This Row],[ID-RACK]]&amp; "." &amp;Tableau3[[#This Row],[ID-SLOT]]</f>
        <v>5.1.3</v>
      </c>
      <c r="AI684" s="72" t="str">
        <f>INDEX(Tableau1[Ref-Carte],MATCH(Tableau3[[#This Row],[ID-RRS]],Tableau1[ID-RRS],0))</f>
        <v>SDO0802</v>
      </c>
      <c r="AJ684" s="72" t="str">
        <f t="array" ref="AJ684">IFERROR(INDEX(Tableau2[TS],MATCH(1,(Tableau2[Ref-Carte]=Tableau3[[#This Row],[Ref-Carte2]])*(Tableau2[ID-Voie]=Tableau3[[#This Row],[ID-VOIE]]),0)),"")</f>
        <v>ST</v>
      </c>
      <c r="AK684" s="72" t="str">
        <f>IFERROR(INDEX(Tableau2[TS],SUMPRODUCT((Tableau2[Ref-Carte]=Tableau3[[#This Row],[Ref-Carte2]])*(Tableau2[ID-Voie]=Tableau3[[#This Row],[ID-VOIE]])*ROW(Tableau2[TS]))-ROW(Tableau2[#Headers])),"")</f>
        <v>ST</v>
      </c>
      <c r="AL684" s="72" t="str">
        <f>Tableau3[[#This Row],[Ref-Carte2]]&amp;"/"&amp;Tableau3[[#This Row],[ID-VOIE]]</f>
        <v>SDO0802/2</v>
      </c>
      <c r="AM684" s="73" t="str">
        <f>INDEX(Tableau2[Borne],MATCH(Tableau3[[#This Row],[ID-CARTEVOIE]],Tableau2[ID-CARTEVOIE],0))&amp;""</f>
        <v>2</v>
      </c>
      <c r="AN684" s="74" t="str">
        <f>Tableau3[[#This Row],[ID-API]]&amp;Tableau3[[#This Row],[ID-RACK]]&amp;Tableau3[[#This Row],[ID-SLOT]]&amp;Tableau3[[#This Row],[BORNE]]</f>
        <v>5132</v>
      </c>
      <c r="AO684" s="1"/>
    </row>
    <row r="685" spans="1:41" ht="20.100000000000001" customHeight="1" thickTop="1" thickBot="1">
      <c r="A685" s="68"/>
      <c r="B685" s="69" t="str">
        <f>IFERROR(INDEX(Tableau4[Date],MATCH($A685,Tableau4[EVO],0)),"")</f>
        <v/>
      </c>
      <c r="C685" s="68" t="str">
        <f>IFERROR(INDEX(Tableau4[Designation],MATCH($A685,Tableau4[EVO],0)),"")</f>
        <v/>
      </c>
      <c r="D685" s="68">
        <v>1</v>
      </c>
      <c r="E685" s="70">
        <v>3</v>
      </c>
      <c r="F685" s="71">
        <v>212</v>
      </c>
      <c r="G685" s="101" t="str">
        <f>INDEX(Tableau8[Att1],MATCH(Tableau3[[#This Row],[ID-INS]],Tableau8[ID],0))&amp;""</f>
        <v>V4</v>
      </c>
      <c r="H685" s="101" t="str">
        <f>INDEX(Tableau8[Att2],MATCH(Tableau3[[#This Row],[ID-INS]],Tableau8[ID],0))&amp;""</f>
        <v>P3</v>
      </c>
      <c r="I685" s="101" t="str">
        <f>INDEX(Tableau8[Att3],MATCH(Tableau3[[#This Row],[ID-INS]],Tableau8[ID],0))&amp;""</f>
        <v>Portail P3</v>
      </c>
      <c r="J685" s="101"/>
      <c r="K685" s="167" t="str">
        <f>INDEX(Tableau8[Nom du modele],MATCH(Tableau3[[#This Row],[ID-INS]],Tableau8[ID],0))&amp;""</f>
        <v>PortailR2V_1</v>
      </c>
      <c r="L685" s="99" t="str">
        <f>INDEX(Tableau5[Att1],MATCH(Tableau3[[#This Row],[ID-SIG]],Tableau5[ID],0))&amp;""</f>
        <v>V1_SignalCmd</v>
      </c>
      <c r="M685" s="99" t="str">
        <f>INDEX(Tableau5[Att2],MATCH(Tableau3[[#This Row],[ID-SIG]],Tableau5[ID],0))&amp;""</f>
        <v/>
      </c>
      <c r="N685" s="99" t="str">
        <f>INDEX(Tableau5[Att3],MATCH(Tableau3[[#This Row],[ID-SIG]],Tableau5[ID],0))&amp;""</f>
        <v/>
      </c>
      <c r="O685" s="99"/>
      <c r="P685" s="99" t="str">
        <f>INDEX(Tableau5[Description],MATCH(Tableau3[[#This Row],[ID-SIG]],Tableau5[ID],0))</f>
        <v>Commande signalisation vantail 1</v>
      </c>
      <c r="Q685" s="99"/>
      <c r="R685" s="103" t="str">
        <f>Tableau3[[#This Row],[Description]]</f>
        <v>Commande signalisation vantail 1</v>
      </c>
      <c r="S685" s="52"/>
      <c r="U685" s="87">
        <v>5</v>
      </c>
      <c r="V685" s="87">
        <v>1</v>
      </c>
      <c r="W685" s="87">
        <v>3</v>
      </c>
      <c r="X685" s="87">
        <v>3</v>
      </c>
      <c r="Y685" s="41"/>
      <c r="Z685" s="165" t="str">
        <f>INDEX(Tableau2[TS],MATCH(Tableau3[[#This Row],[ID-CARTEVOIE]],Tableau2[ID-CARTEVOIE],0))</f>
        <v>ST</v>
      </c>
      <c r="AA685" s="53" t="s">
        <v>213</v>
      </c>
      <c r="AB685" s="223" t="str">
        <f>IFERROR(INDEX(Tableau5[Reserve],MATCH(Tableau3[[#This Row],[ID-SIG]],Tableau5[ID],0))&amp;"","")</f>
        <v/>
      </c>
      <c r="AC685" s="21"/>
      <c r="AD685" s="108" t="str">
        <f>INDEX(Tableau7[Repere],MATCH(Tableau3[[#This Row],[ID-API]],Tableau7[ID-API],0))&amp;""</f>
        <v>A5</v>
      </c>
      <c r="AE685" s="108" t="str">
        <f>INDEX(Tableau1[Repere-Rack],MATCH(Tableau3[[#This Row],[ID-RACK]],Tableau1[ID-RACK],0))&amp;""</f>
        <v>R1</v>
      </c>
      <c r="AF685" s="108" t="str">
        <f>INDEX(Tableau1[Repere-Slot],MATCH(Tableau3[[#This Row],[ID-SLOT]],Tableau1[ID-SLOT],0))&amp;""</f>
        <v>S3</v>
      </c>
      <c r="AG685" s="108" t="str">
        <f>INDEX(Tableau2[Repere-Voie],MATCH(Tableau3[[#This Row],[ID-VOIE]],Tableau2[ID-Voie],0))&amp;""</f>
        <v>v3</v>
      </c>
      <c r="AH685" s="72" t="str">
        <f>Tableau3[[#This Row],[ID-API]]&amp; "." &amp;Tableau3[[#This Row],[ID-RACK]]&amp; "." &amp;Tableau3[[#This Row],[ID-SLOT]]</f>
        <v>5.1.3</v>
      </c>
      <c r="AI685" s="72" t="str">
        <f>INDEX(Tableau1[Ref-Carte],MATCH(Tableau3[[#This Row],[ID-RRS]],Tableau1[ID-RRS],0))</f>
        <v>SDO0802</v>
      </c>
      <c r="AJ685" s="72" t="str">
        <f t="array" ref="AJ685">IFERROR(INDEX(Tableau2[TS],MATCH(1,(Tableau2[Ref-Carte]=Tableau3[[#This Row],[Ref-Carte2]])*(Tableau2[ID-Voie]=Tableau3[[#This Row],[ID-VOIE]]),0)),"")</f>
        <v>ST</v>
      </c>
      <c r="AK685" s="72" t="str">
        <f>IFERROR(INDEX(Tableau2[TS],SUMPRODUCT((Tableau2[Ref-Carte]=Tableau3[[#This Row],[Ref-Carte2]])*(Tableau2[ID-Voie]=Tableau3[[#This Row],[ID-VOIE]])*ROW(Tableau2[TS]))-ROW(Tableau2[#Headers])),"")</f>
        <v>ST</v>
      </c>
      <c r="AL685" s="72" t="str">
        <f>Tableau3[[#This Row],[Ref-Carte2]]&amp;"/"&amp;Tableau3[[#This Row],[ID-VOIE]]</f>
        <v>SDO0802/3</v>
      </c>
      <c r="AM685" s="73" t="str">
        <f>INDEX(Tableau2[Borne],MATCH(Tableau3[[#This Row],[ID-CARTEVOIE]],Tableau2[ID-CARTEVOIE],0))&amp;""</f>
        <v>3</v>
      </c>
      <c r="AN685" s="74" t="str">
        <f>Tableau3[[#This Row],[ID-API]]&amp;Tableau3[[#This Row],[ID-RACK]]&amp;Tableau3[[#This Row],[ID-SLOT]]&amp;Tableau3[[#This Row],[BORNE]]</f>
        <v>5133</v>
      </c>
      <c r="AO685" s="1"/>
    </row>
    <row r="686" spans="1:41" ht="20.100000000000001" customHeight="1" thickTop="1" thickBot="1">
      <c r="A686" s="68"/>
      <c r="B686" s="69" t="str">
        <f>IFERROR(INDEX(Tableau4[Date],MATCH($A686,Tableau4[EVO],0)),"")</f>
        <v/>
      </c>
      <c r="C686" s="68" t="str">
        <f>IFERROR(INDEX(Tableau4[Designation],MATCH($A686,Tableau4[EVO],0)),"")</f>
        <v/>
      </c>
      <c r="D686" s="68"/>
      <c r="E686" s="70">
        <v>3</v>
      </c>
      <c r="F686" s="71">
        <v>213</v>
      </c>
      <c r="G686" s="101" t="str">
        <f>INDEX(Tableau8[Att1],MATCH(Tableau3[[#This Row],[ID-INS]],Tableau8[ID],0))&amp;""</f>
        <v>V4</v>
      </c>
      <c r="H686" s="101" t="str">
        <f>INDEX(Tableau8[Att2],MATCH(Tableau3[[#This Row],[ID-INS]],Tableau8[ID],0))&amp;""</f>
        <v>P3</v>
      </c>
      <c r="I686" s="101" t="str">
        <f>INDEX(Tableau8[Att3],MATCH(Tableau3[[#This Row],[ID-INS]],Tableau8[ID],0))&amp;""</f>
        <v>Portail P3</v>
      </c>
      <c r="J686" s="101"/>
      <c r="K686" s="167" t="str">
        <f>INDEX(Tableau8[Nom du modele],MATCH(Tableau3[[#This Row],[ID-INS]],Tableau8[ID],0))&amp;""</f>
        <v>PortailR2V_1</v>
      </c>
      <c r="L686" s="99" t="str">
        <f>INDEX(Tableau5[Att1],MATCH(Tableau3[[#This Row],[ID-SIG]],Tableau5[ID],0))&amp;""</f>
        <v>V1_GrpHydCmd1</v>
      </c>
      <c r="M686" s="99" t="str">
        <f>INDEX(Tableau5[Att2],MATCH(Tableau3[[#This Row],[ID-SIG]],Tableau5[ID],0))&amp;""</f>
        <v/>
      </c>
      <c r="N686" s="99" t="str">
        <f>INDEX(Tableau5[Att3],MATCH(Tableau3[[#This Row],[ID-SIG]],Tableau5[ID],0))&amp;""</f>
        <v/>
      </c>
      <c r="O686" s="99"/>
      <c r="P686" s="99" t="str">
        <f>INDEX(Tableau5[Description],MATCH(Tableau3[[#This Row],[ID-SIG]],Tableau5[ID],0))</f>
        <v>Commande 1 marche groupe hydraulique vantail 1</v>
      </c>
      <c r="Q686" s="99"/>
      <c r="R686" s="103" t="str">
        <f>Tableau3[[#This Row],[Description]]</f>
        <v>Commande 1 marche groupe hydraulique vantail 1</v>
      </c>
      <c r="S686" s="52"/>
      <c r="U686" s="87">
        <v>5</v>
      </c>
      <c r="V686" s="87">
        <v>1</v>
      </c>
      <c r="W686" s="87">
        <v>3</v>
      </c>
      <c r="X686" s="87">
        <v>4</v>
      </c>
      <c r="Y686" s="41"/>
      <c r="Z686" s="165" t="str">
        <f>INDEX(Tableau2[TS],MATCH(Tableau3[[#This Row],[ID-CARTEVOIE]],Tableau2[ID-CARTEVOIE],0))</f>
        <v>ST</v>
      </c>
      <c r="AA686" s="53" t="s">
        <v>213</v>
      </c>
      <c r="AB686" s="223" t="str">
        <f>IFERROR(INDEX(Tableau5[Reserve],MATCH(Tableau3[[#This Row],[ID-SIG]],Tableau5[ID],0))&amp;"","")</f>
        <v/>
      </c>
      <c r="AC686" s="21"/>
      <c r="AD686" s="108" t="str">
        <f>INDEX(Tableau7[Repere],MATCH(Tableau3[[#This Row],[ID-API]],Tableau7[ID-API],0))&amp;""</f>
        <v>A5</v>
      </c>
      <c r="AE686" s="108" t="str">
        <f>INDEX(Tableau1[Repere-Rack],MATCH(Tableau3[[#This Row],[ID-RACK]],Tableau1[ID-RACK],0))&amp;""</f>
        <v>R1</v>
      </c>
      <c r="AF686" s="108" t="str">
        <f>INDEX(Tableau1[Repere-Slot],MATCH(Tableau3[[#This Row],[ID-SLOT]],Tableau1[ID-SLOT],0))&amp;""</f>
        <v>S3</v>
      </c>
      <c r="AG686" s="108" t="str">
        <f>INDEX(Tableau2[Repere-Voie],MATCH(Tableau3[[#This Row],[ID-VOIE]],Tableau2[ID-Voie],0))&amp;""</f>
        <v>v4</v>
      </c>
      <c r="AH686" s="72" t="str">
        <f>Tableau3[[#This Row],[ID-API]]&amp; "." &amp;Tableau3[[#This Row],[ID-RACK]]&amp; "." &amp;Tableau3[[#This Row],[ID-SLOT]]</f>
        <v>5.1.3</v>
      </c>
      <c r="AI686" s="72" t="str">
        <f>INDEX(Tableau1[Ref-Carte],MATCH(Tableau3[[#This Row],[ID-RRS]],Tableau1[ID-RRS],0))</f>
        <v>SDO0802</v>
      </c>
      <c r="AJ686" s="72" t="str">
        <f t="array" ref="AJ686">IFERROR(INDEX(Tableau2[TS],MATCH(1,(Tableau2[Ref-Carte]=Tableau3[[#This Row],[Ref-Carte2]])*(Tableau2[ID-Voie]=Tableau3[[#This Row],[ID-VOIE]]),0)),"")</f>
        <v>ST</v>
      </c>
      <c r="AK686" s="72" t="str">
        <f>IFERROR(INDEX(Tableau2[TS],SUMPRODUCT((Tableau2[Ref-Carte]=Tableau3[[#This Row],[Ref-Carte2]])*(Tableau2[ID-Voie]=Tableau3[[#This Row],[ID-VOIE]])*ROW(Tableau2[TS]))-ROW(Tableau2[#Headers])),"")</f>
        <v>ST</v>
      </c>
      <c r="AL686" s="72" t="str">
        <f>Tableau3[[#This Row],[Ref-Carte2]]&amp;"/"&amp;Tableau3[[#This Row],[ID-VOIE]]</f>
        <v>SDO0802/4</v>
      </c>
      <c r="AM686" s="73" t="str">
        <f>INDEX(Tableau2[Borne],MATCH(Tableau3[[#This Row],[ID-CARTEVOIE]],Tableau2[ID-CARTEVOIE],0))&amp;""</f>
        <v>4</v>
      </c>
      <c r="AN686" s="74" t="str">
        <f>Tableau3[[#This Row],[ID-API]]&amp;Tableau3[[#This Row],[ID-RACK]]&amp;Tableau3[[#This Row],[ID-SLOT]]&amp;Tableau3[[#This Row],[BORNE]]</f>
        <v>5134</v>
      </c>
      <c r="AO686" s="1"/>
    </row>
    <row r="687" spans="1:41" ht="20.100000000000001" customHeight="1" thickTop="1" thickBot="1">
      <c r="A687" s="68"/>
      <c r="B687" s="69" t="str">
        <f>IFERROR(INDEX(Tableau4[Date],MATCH($A687,Tableau4[EVO],0)),"")</f>
        <v/>
      </c>
      <c r="C687" s="68" t="str">
        <f>IFERROR(INDEX(Tableau4[Designation],MATCH($A687,Tableau4[EVO],0)),"")</f>
        <v/>
      </c>
      <c r="D687" s="68"/>
      <c r="E687" s="70">
        <v>3</v>
      </c>
      <c r="F687" s="71">
        <v>214</v>
      </c>
      <c r="G687" s="101" t="str">
        <f>INDEX(Tableau8[Att1],MATCH(Tableau3[[#This Row],[ID-INS]],Tableau8[ID],0))&amp;""</f>
        <v>V4</v>
      </c>
      <c r="H687" s="101" t="str">
        <f>INDEX(Tableau8[Att2],MATCH(Tableau3[[#This Row],[ID-INS]],Tableau8[ID],0))&amp;""</f>
        <v>P3</v>
      </c>
      <c r="I687" s="101" t="str">
        <f>INDEX(Tableau8[Att3],MATCH(Tableau3[[#This Row],[ID-INS]],Tableau8[ID],0))&amp;""</f>
        <v>Portail P3</v>
      </c>
      <c r="J687" s="101"/>
      <c r="K687" s="167" t="str">
        <f>INDEX(Tableau8[Nom du modele],MATCH(Tableau3[[#This Row],[ID-INS]],Tableau8[ID],0))&amp;""</f>
        <v>PortailR2V_1</v>
      </c>
      <c r="L687" s="99" t="str">
        <f>INDEX(Tableau5[Att1],MATCH(Tableau3[[#This Row],[ID-SIG]],Tableau5[ID],0))&amp;""</f>
        <v>V1_OuvCmd</v>
      </c>
      <c r="M687" s="99" t="str">
        <f>INDEX(Tableau5[Att2],MATCH(Tableau3[[#This Row],[ID-SIG]],Tableau5[ID],0))&amp;""</f>
        <v/>
      </c>
      <c r="N687" s="99" t="str">
        <f>INDEX(Tableau5[Att3],MATCH(Tableau3[[#This Row],[ID-SIG]],Tableau5[ID],0))&amp;""</f>
        <v/>
      </c>
      <c r="O687" s="99"/>
      <c r="P687" s="99" t="str">
        <f>INDEX(Tableau5[Description],MATCH(Tableau3[[#This Row],[ID-SIG]],Tableau5[ID],0))</f>
        <v>Commande ouverture vantail1</v>
      </c>
      <c r="Q687" s="99"/>
      <c r="R687" s="103" t="str">
        <f>Tableau3[[#This Row],[Description]]</f>
        <v>Commande ouverture vantail1</v>
      </c>
      <c r="S687" s="52"/>
      <c r="U687" s="87">
        <v>5</v>
      </c>
      <c r="V687" s="87">
        <v>1</v>
      </c>
      <c r="W687" s="87">
        <v>3</v>
      </c>
      <c r="X687" s="87">
        <v>5</v>
      </c>
      <c r="Y687" s="41"/>
      <c r="Z687" s="165" t="str">
        <f>INDEX(Tableau2[TS],MATCH(Tableau3[[#This Row],[ID-CARTEVOIE]],Tableau2[ID-CARTEVOIE],0))</f>
        <v>ST</v>
      </c>
      <c r="AA687" s="53" t="s">
        <v>213</v>
      </c>
      <c r="AB687" s="223" t="str">
        <f>IFERROR(INDEX(Tableau5[Reserve],MATCH(Tableau3[[#This Row],[ID-SIG]],Tableau5[ID],0))&amp;"","")</f>
        <v/>
      </c>
      <c r="AC687" s="21"/>
      <c r="AD687" s="108" t="str">
        <f>INDEX(Tableau7[Repere],MATCH(Tableau3[[#This Row],[ID-API]],Tableau7[ID-API],0))&amp;""</f>
        <v>A5</v>
      </c>
      <c r="AE687" s="108" t="str">
        <f>INDEX(Tableau1[Repere-Rack],MATCH(Tableau3[[#This Row],[ID-RACK]],Tableau1[ID-RACK],0))&amp;""</f>
        <v>R1</v>
      </c>
      <c r="AF687" s="108" t="str">
        <f>INDEX(Tableau1[Repere-Slot],MATCH(Tableau3[[#This Row],[ID-SLOT]],Tableau1[ID-SLOT],0))&amp;""</f>
        <v>S3</v>
      </c>
      <c r="AG687" s="108" t="str">
        <f>INDEX(Tableau2[Repere-Voie],MATCH(Tableau3[[#This Row],[ID-VOIE]],Tableau2[ID-Voie],0))&amp;""</f>
        <v>v5</v>
      </c>
      <c r="AH687" s="72" t="str">
        <f>Tableau3[[#This Row],[ID-API]]&amp; "." &amp;Tableau3[[#This Row],[ID-RACK]]&amp; "." &amp;Tableau3[[#This Row],[ID-SLOT]]</f>
        <v>5.1.3</v>
      </c>
      <c r="AI687" s="72" t="str">
        <f>INDEX(Tableau1[Ref-Carte],MATCH(Tableau3[[#This Row],[ID-RRS]],Tableau1[ID-RRS],0))</f>
        <v>SDO0802</v>
      </c>
      <c r="AJ687" s="72" t="str">
        <f t="array" ref="AJ687">IFERROR(INDEX(Tableau2[TS],MATCH(1,(Tableau2[Ref-Carte]=Tableau3[[#This Row],[Ref-Carte2]])*(Tableau2[ID-Voie]=Tableau3[[#This Row],[ID-VOIE]]),0)),"")</f>
        <v>ST</v>
      </c>
      <c r="AK687" s="72" t="str">
        <f>IFERROR(INDEX(Tableau2[TS],SUMPRODUCT((Tableau2[Ref-Carte]=Tableau3[[#This Row],[Ref-Carte2]])*(Tableau2[ID-Voie]=Tableau3[[#This Row],[ID-VOIE]])*ROW(Tableau2[TS]))-ROW(Tableau2[#Headers])),"")</f>
        <v>ST</v>
      </c>
      <c r="AL687" s="72" t="str">
        <f>Tableau3[[#This Row],[Ref-Carte2]]&amp;"/"&amp;Tableau3[[#This Row],[ID-VOIE]]</f>
        <v>SDO0802/5</v>
      </c>
      <c r="AM687" s="73" t="str">
        <f>INDEX(Tableau2[Borne],MATCH(Tableau3[[#This Row],[ID-CARTEVOIE]],Tableau2[ID-CARTEVOIE],0))&amp;""</f>
        <v>5</v>
      </c>
      <c r="AN687" s="74" t="str">
        <f>Tableau3[[#This Row],[ID-API]]&amp;Tableau3[[#This Row],[ID-RACK]]&amp;Tableau3[[#This Row],[ID-SLOT]]&amp;Tableau3[[#This Row],[BORNE]]</f>
        <v>5135</v>
      </c>
      <c r="AO687" s="1"/>
    </row>
    <row r="688" spans="1:41" ht="20.100000000000001" customHeight="1" thickTop="1" thickBot="1">
      <c r="A688" s="68"/>
      <c r="B688" s="69" t="str">
        <f>IFERROR(INDEX(Tableau4[Date],MATCH($A688,Tableau4[EVO],0)),"")</f>
        <v/>
      </c>
      <c r="C688" s="68" t="str">
        <f>IFERROR(INDEX(Tableau4[Designation],MATCH($A688,Tableau4[EVO],0)),"")</f>
        <v/>
      </c>
      <c r="D688" s="68"/>
      <c r="E688" s="70">
        <v>3</v>
      </c>
      <c r="F688" s="71">
        <v>215</v>
      </c>
      <c r="G688" s="101" t="str">
        <f>INDEX(Tableau8[Att1],MATCH(Tableau3[[#This Row],[ID-INS]],Tableau8[ID],0))&amp;""</f>
        <v>V4</v>
      </c>
      <c r="H688" s="101" t="str">
        <f>INDEX(Tableau8[Att2],MATCH(Tableau3[[#This Row],[ID-INS]],Tableau8[ID],0))&amp;""</f>
        <v>P3</v>
      </c>
      <c r="I688" s="101" t="str">
        <f>INDEX(Tableau8[Att3],MATCH(Tableau3[[#This Row],[ID-INS]],Tableau8[ID],0))&amp;""</f>
        <v>Portail P3</v>
      </c>
      <c r="J688" s="101"/>
      <c r="K688" s="167" t="str">
        <f>INDEX(Tableau8[Nom du modele],MATCH(Tableau3[[#This Row],[ID-INS]],Tableau8[ID],0))&amp;""</f>
        <v>PortailR2V_1</v>
      </c>
      <c r="L688" s="155" t="s">
        <v>1699</v>
      </c>
      <c r="M688" s="99" t="str">
        <f>INDEX(Tableau5[Att2],MATCH(Tableau3[[#This Row],[ID-SIG]],Tableau5[ID],0))&amp;""</f>
        <v/>
      </c>
      <c r="N688" s="99" t="str">
        <f>INDEX(Tableau5[Att3],MATCH(Tableau3[[#This Row],[ID-SIG]],Tableau5[ID],0))&amp;""</f>
        <v/>
      </c>
      <c r="O688" s="99"/>
      <c r="P688" s="155" t="s">
        <v>1759</v>
      </c>
      <c r="Q688" s="99"/>
      <c r="R688" s="103" t="str">
        <f>Tableau3[[#This Row],[Description]]</f>
        <v>Portail P3V2 - Verrouillage</v>
      </c>
      <c r="S688" s="52"/>
      <c r="U688" s="87">
        <v>5</v>
      </c>
      <c r="V688" s="87">
        <v>1</v>
      </c>
      <c r="W688" s="87">
        <v>3</v>
      </c>
      <c r="X688" s="87">
        <v>6</v>
      </c>
      <c r="Y688" s="41"/>
      <c r="Z688" s="165" t="str">
        <f>INDEX(Tableau2[TS],MATCH(Tableau3[[#This Row],[ID-CARTEVOIE]],Tableau2[ID-CARTEVOIE],0))</f>
        <v>ST</v>
      </c>
      <c r="AA688" s="53" t="s">
        <v>213</v>
      </c>
      <c r="AB688" s="223" t="str">
        <f>IFERROR(INDEX(Tableau5[Reserve],MATCH(Tableau3[[#This Row],[ID-SIG]],Tableau5[ID],0))&amp;"","")</f>
        <v/>
      </c>
      <c r="AC688" s="21"/>
      <c r="AD688" s="108" t="str">
        <f>INDEX(Tableau7[Repere],MATCH(Tableau3[[#This Row],[ID-API]],Tableau7[ID-API],0))&amp;""</f>
        <v>A5</v>
      </c>
      <c r="AE688" s="108" t="str">
        <f>INDEX(Tableau1[Repere-Rack],MATCH(Tableau3[[#This Row],[ID-RACK]],Tableau1[ID-RACK],0))&amp;""</f>
        <v>R1</v>
      </c>
      <c r="AF688" s="108" t="str">
        <f>INDEX(Tableau1[Repere-Slot],MATCH(Tableau3[[#This Row],[ID-SLOT]],Tableau1[ID-SLOT],0))&amp;""</f>
        <v>S3</v>
      </c>
      <c r="AG688" s="108" t="str">
        <f>INDEX(Tableau2[Repere-Voie],MATCH(Tableau3[[#This Row],[ID-VOIE]],Tableau2[ID-Voie],0))&amp;""</f>
        <v>v6</v>
      </c>
      <c r="AH688" s="72" t="str">
        <f>Tableau3[[#This Row],[ID-API]]&amp; "." &amp;Tableau3[[#This Row],[ID-RACK]]&amp; "." &amp;Tableau3[[#This Row],[ID-SLOT]]</f>
        <v>5.1.3</v>
      </c>
      <c r="AI688" s="72" t="str">
        <f>INDEX(Tableau1[Ref-Carte],MATCH(Tableau3[[#This Row],[ID-RRS]],Tableau1[ID-RRS],0))</f>
        <v>SDO0802</v>
      </c>
      <c r="AJ688" s="72" t="str">
        <f t="array" ref="AJ688">IFERROR(INDEX(Tableau2[TS],MATCH(1,(Tableau2[Ref-Carte]=Tableau3[[#This Row],[Ref-Carte2]])*(Tableau2[ID-Voie]=Tableau3[[#This Row],[ID-VOIE]]),0)),"")</f>
        <v>ST</v>
      </c>
      <c r="AK688" s="72" t="str">
        <f>IFERROR(INDEX(Tableau2[TS],SUMPRODUCT((Tableau2[Ref-Carte]=Tableau3[[#This Row],[Ref-Carte2]])*(Tableau2[ID-Voie]=Tableau3[[#This Row],[ID-VOIE]])*ROW(Tableau2[TS]))-ROW(Tableau2[#Headers])),"")</f>
        <v>ST</v>
      </c>
      <c r="AL688" s="72" t="str">
        <f>Tableau3[[#This Row],[Ref-Carte2]]&amp;"/"&amp;Tableau3[[#This Row],[ID-VOIE]]</f>
        <v>SDO0802/6</v>
      </c>
      <c r="AM688" s="73" t="str">
        <f>INDEX(Tableau2[Borne],MATCH(Tableau3[[#This Row],[ID-CARTEVOIE]],Tableau2[ID-CARTEVOIE],0))&amp;""</f>
        <v>6</v>
      </c>
      <c r="AN688" s="74" t="str">
        <f>Tableau3[[#This Row],[ID-API]]&amp;Tableau3[[#This Row],[ID-RACK]]&amp;Tableau3[[#This Row],[ID-SLOT]]&amp;Tableau3[[#This Row],[BORNE]]</f>
        <v>5136</v>
      </c>
      <c r="AO688" s="1"/>
    </row>
    <row r="689" spans="1:41" ht="20.100000000000001" customHeight="1" thickTop="1" thickBot="1">
      <c r="A689" s="68"/>
      <c r="B689" s="69" t="str">
        <f>IFERROR(INDEX(Tableau4[Date],MATCH($A689,Tableau4[EVO],0)),"")</f>
        <v/>
      </c>
      <c r="C689" s="68" t="str">
        <f>IFERROR(INDEX(Tableau4[Designation],MATCH($A689,Tableau4[EVO],0)),"")</f>
        <v/>
      </c>
      <c r="D689" s="68"/>
      <c r="E689" s="70">
        <v>3</v>
      </c>
      <c r="F689" s="71">
        <v>216</v>
      </c>
      <c r="G689" s="101" t="str">
        <f>INDEX(Tableau8[Att1],MATCH(Tableau3[[#This Row],[ID-INS]],Tableau8[ID],0))&amp;""</f>
        <v>V4</v>
      </c>
      <c r="H689" s="101" t="str">
        <f>INDEX(Tableau8[Att2],MATCH(Tableau3[[#This Row],[ID-INS]],Tableau8[ID],0))&amp;""</f>
        <v>P3</v>
      </c>
      <c r="I689" s="101" t="str">
        <f>INDEX(Tableau8[Att3],MATCH(Tableau3[[#This Row],[ID-INS]],Tableau8[ID],0))&amp;""</f>
        <v>Portail P3</v>
      </c>
      <c r="J689" s="101"/>
      <c r="K689" s="167" t="str">
        <f>INDEX(Tableau8[Nom du modele],MATCH(Tableau3[[#This Row],[ID-INS]],Tableau8[ID],0))&amp;""</f>
        <v>PortailR2V_1</v>
      </c>
      <c r="L689" s="99" t="str">
        <f>INDEX(Tableau5[Att1],MATCH(Tableau3[[#This Row],[ID-SIG]],Tableau5[ID],0))&amp;""</f>
        <v>V1_FerCmd1</v>
      </c>
      <c r="M689" s="99" t="str">
        <f>INDEX(Tableau5[Att2],MATCH(Tableau3[[#This Row],[ID-SIG]],Tableau5[ID],0))&amp;""</f>
        <v/>
      </c>
      <c r="N689" s="99" t="str">
        <f>INDEX(Tableau5[Att3],MATCH(Tableau3[[#This Row],[ID-SIG]],Tableau5[ID],0))&amp;""</f>
        <v/>
      </c>
      <c r="O689" s="99"/>
      <c r="P689" s="99" t="str">
        <f>INDEX(Tableau5[Description],MATCH(Tableau3[[#This Row],[ID-SIG]],Tableau5[ID],0))</f>
        <v>Commande 1 fermeture vantail 1</v>
      </c>
      <c r="Q689" s="99"/>
      <c r="R689" s="103" t="str">
        <f>Tableau3[[#This Row],[Description]]</f>
        <v>Commande 1 fermeture vantail 1</v>
      </c>
      <c r="S689" s="52"/>
      <c r="U689" s="87">
        <v>5</v>
      </c>
      <c r="V689" s="87">
        <v>1</v>
      </c>
      <c r="W689" s="87">
        <v>3</v>
      </c>
      <c r="X689" s="87">
        <v>7</v>
      </c>
      <c r="Y689" s="41"/>
      <c r="Z689" s="165" t="str">
        <f>INDEX(Tableau2[TS],MATCH(Tableau3[[#This Row],[ID-CARTEVOIE]],Tableau2[ID-CARTEVOIE],0))</f>
        <v>ST</v>
      </c>
      <c r="AA689" s="53" t="s">
        <v>213</v>
      </c>
      <c r="AB689" s="223" t="str">
        <f>IFERROR(INDEX(Tableau5[Reserve],MATCH(Tableau3[[#This Row],[ID-SIG]],Tableau5[ID],0))&amp;"","")</f>
        <v/>
      </c>
      <c r="AC689" s="21"/>
      <c r="AD689" s="108" t="str">
        <f>INDEX(Tableau7[Repere],MATCH(Tableau3[[#This Row],[ID-API]],Tableau7[ID-API],0))&amp;""</f>
        <v>A5</v>
      </c>
      <c r="AE689" s="108" t="str">
        <f>INDEX(Tableau1[Repere-Rack],MATCH(Tableau3[[#This Row],[ID-RACK]],Tableau1[ID-RACK],0))&amp;""</f>
        <v>R1</v>
      </c>
      <c r="AF689" s="108" t="str">
        <f>INDEX(Tableau1[Repere-Slot],MATCH(Tableau3[[#This Row],[ID-SLOT]],Tableau1[ID-SLOT],0))&amp;""</f>
        <v>S3</v>
      </c>
      <c r="AG689" s="108" t="str">
        <f>INDEX(Tableau2[Repere-Voie],MATCH(Tableau3[[#This Row],[ID-VOIE]],Tableau2[ID-Voie],0))&amp;""</f>
        <v>v7</v>
      </c>
      <c r="AH689" s="72" t="str">
        <f>Tableau3[[#This Row],[ID-API]]&amp; "." &amp;Tableau3[[#This Row],[ID-RACK]]&amp; "." &amp;Tableau3[[#This Row],[ID-SLOT]]</f>
        <v>5.1.3</v>
      </c>
      <c r="AI689" s="72" t="str">
        <f>INDEX(Tableau1[Ref-Carte],MATCH(Tableau3[[#This Row],[ID-RRS]],Tableau1[ID-RRS],0))</f>
        <v>SDO0802</v>
      </c>
      <c r="AJ689" s="72" t="str">
        <f t="array" ref="AJ689">IFERROR(INDEX(Tableau2[TS],MATCH(1,(Tableau2[Ref-Carte]=Tableau3[[#This Row],[Ref-Carte2]])*(Tableau2[ID-Voie]=Tableau3[[#This Row],[ID-VOIE]]),0)),"")</f>
        <v>ST</v>
      </c>
      <c r="AK689" s="72" t="str">
        <f>IFERROR(INDEX(Tableau2[TS],SUMPRODUCT((Tableau2[Ref-Carte]=Tableau3[[#This Row],[Ref-Carte2]])*(Tableau2[ID-Voie]=Tableau3[[#This Row],[ID-VOIE]])*ROW(Tableau2[TS]))-ROW(Tableau2[#Headers])),"")</f>
        <v>ST</v>
      </c>
      <c r="AL689" s="72" t="str">
        <f>Tableau3[[#This Row],[Ref-Carte2]]&amp;"/"&amp;Tableau3[[#This Row],[ID-VOIE]]</f>
        <v>SDO0802/7</v>
      </c>
      <c r="AM689" s="73" t="str">
        <f>INDEX(Tableau2[Borne],MATCH(Tableau3[[#This Row],[ID-CARTEVOIE]],Tableau2[ID-CARTEVOIE],0))&amp;""</f>
        <v>7</v>
      </c>
      <c r="AN689" s="74" t="str">
        <f>Tableau3[[#This Row],[ID-API]]&amp;Tableau3[[#This Row],[ID-RACK]]&amp;Tableau3[[#This Row],[ID-SLOT]]&amp;Tableau3[[#This Row],[BORNE]]</f>
        <v>5137</v>
      </c>
      <c r="AO689" s="1"/>
    </row>
    <row r="690" spans="1:41" ht="20.100000000000001" customHeight="1" thickTop="1" thickBot="1">
      <c r="A690" s="68"/>
      <c r="B690" s="69" t="str">
        <f>IFERROR(INDEX(Tableau4[Date],MATCH($A690,Tableau4[EVO],0)),"")</f>
        <v/>
      </c>
      <c r="C690" s="68" t="str">
        <f>IFERROR(INDEX(Tableau4[Designation],MATCH($A690,Tableau4[EVO],0)),"")</f>
        <v/>
      </c>
      <c r="D690" s="68"/>
      <c r="E690" s="70">
        <v>3</v>
      </c>
      <c r="F690" s="71">
        <v>224</v>
      </c>
      <c r="G690" s="101" t="str">
        <f>INDEX(Tableau8[Att1],MATCH(Tableau3[[#This Row],[ID-INS]],Tableau8[ID],0))&amp;""</f>
        <v>V4</v>
      </c>
      <c r="H690" s="101" t="str">
        <f>INDEX(Tableau8[Att2],MATCH(Tableau3[[#This Row],[ID-INS]],Tableau8[ID],0))&amp;""</f>
        <v>P3</v>
      </c>
      <c r="I690" s="101" t="str">
        <f>INDEX(Tableau8[Att3],MATCH(Tableau3[[#This Row],[ID-INS]],Tableau8[ID],0))&amp;""</f>
        <v>Portail P3</v>
      </c>
      <c r="J690" s="101"/>
      <c r="K690" s="167" t="str">
        <f>INDEX(Tableau8[Nom du modele],MATCH(Tableau3[[#This Row],[ID-INS]],Tableau8[ID],0))&amp;""</f>
        <v>PortailR2V_1</v>
      </c>
      <c r="L690" s="99" t="str">
        <f>INDEX(Tableau5[Att1],MATCH(Tableau3[[#This Row],[ID-SIG]],Tableau5[ID],0))&amp;""</f>
        <v>V2_GrpHydCmd2</v>
      </c>
      <c r="M690" s="99" t="str">
        <f>INDEX(Tableau5[Att2],MATCH(Tableau3[[#This Row],[ID-SIG]],Tableau5[ID],0))&amp;""</f>
        <v/>
      </c>
      <c r="N690" s="99" t="str">
        <f>INDEX(Tableau5[Att3],MATCH(Tableau3[[#This Row],[ID-SIG]],Tableau5[ID],0))&amp;""</f>
        <v/>
      </c>
      <c r="O690" s="99"/>
      <c r="P690" s="99" t="str">
        <f>INDEX(Tableau5[Description],MATCH(Tableau3[[#This Row],[ID-SIG]],Tableau5[ID],0))</f>
        <v>Commande 2 marche groupe hydraulique vantail 2</v>
      </c>
      <c r="Q690" s="99"/>
      <c r="R690" s="103" t="str">
        <f>Tableau3[[#This Row],[Description]]</f>
        <v>Commande 2 marche groupe hydraulique vantail 2</v>
      </c>
      <c r="S690" s="52"/>
      <c r="U690" s="87">
        <v>5</v>
      </c>
      <c r="V690" s="87">
        <v>1</v>
      </c>
      <c r="W690" s="87">
        <v>4</v>
      </c>
      <c r="X690" s="87">
        <v>0</v>
      </c>
      <c r="Y690" s="41"/>
      <c r="Z690" s="165" t="str">
        <f>INDEX(Tableau2[TS],MATCH(Tableau3[[#This Row],[ID-CARTEVOIE]],Tableau2[ID-CARTEVOIE],0))</f>
        <v>ST</v>
      </c>
      <c r="AA690" s="53" t="s">
        <v>213</v>
      </c>
      <c r="AB690" s="223" t="str">
        <f>IFERROR(INDEX(Tableau5[Reserve],MATCH(Tableau3[[#This Row],[ID-SIG]],Tableau5[ID],0))&amp;"","")</f>
        <v/>
      </c>
      <c r="AC690" s="21"/>
      <c r="AD690" s="108" t="str">
        <f>INDEX(Tableau7[Repere],MATCH(Tableau3[[#This Row],[ID-API]],Tableau7[ID-API],0))&amp;""</f>
        <v>A5</v>
      </c>
      <c r="AE690" s="108" t="str">
        <f>INDEX(Tableau1[Repere-Rack],MATCH(Tableau3[[#This Row],[ID-RACK]],Tableau1[ID-RACK],0))&amp;""</f>
        <v>R1</v>
      </c>
      <c r="AF690" s="108" t="str">
        <f>INDEX(Tableau1[Repere-Slot],MATCH(Tableau3[[#This Row],[ID-SLOT]],Tableau1[ID-SLOT],0))&amp;""</f>
        <v>S4</v>
      </c>
      <c r="AG690" s="108" t="str">
        <f>INDEX(Tableau2[Repere-Voie],MATCH(Tableau3[[#This Row],[ID-VOIE]],Tableau2[ID-Voie],0))&amp;""</f>
        <v>v0</v>
      </c>
      <c r="AH690" s="72" t="str">
        <f>Tableau3[[#This Row],[ID-API]]&amp; "." &amp;Tableau3[[#This Row],[ID-RACK]]&amp; "." &amp;Tableau3[[#This Row],[ID-SLOT]]</f>
        <v>5.1.4</v>
      </c>
      <c r="AI690" s="72" t="str">
        <f>INDEX(Tableau1[Ref-Carte],MATCH(Tableau3[[#This Row],[ID-RRS]],Tableau1[ID-RRS],0))</f>
        <v>SDO0802</v>
      </c>
      <c r="AJ690" s="72" t="str">
        <f t="array" ref="AJ690">IFERROR(INDEX(Tableau2[TS],MATCH(1,(Tableau2[Ref-Carte]=Tableau3[[#This Row],[Ref-Carte2]])*(Tableau2[ID-Voie]=Tableau3[[#This Row],[ID-VOIE]]),0)),"")</f>
        <v>ST</v>
      </c>
      <c r="AK690" s="72" t="str">
        <f>IFERROR(INDEX(Tableau2[TS],SUMPRODUCT((Tableau2[Ref-Carte]=Tableau3[[#This Row],[Ref-Carte2]])*(Tableau2[ID-Voie]=Tableau3[[#This Row],[ID-VOIE]])*ROW(Tableau2[TS]))-ROW(Tableau2[#Headers])),"")</f>
        <v>ST</v>
      </c>
      <c r="AL690" s="72" t="str">
        <f>Tableau3[[#This Row],[Ref-Carte2]]&amp;"/"&amp;Tableau3[[#This Row],[ID-VOIE]]</f>
        <v>SDO0802/0</v>
      </c>
      <c r="AM690" s="73" t="str">
        <f>INDEX(Tableau2[Borne],MATCH(Tableau3[[#This Row],[ID-CARTEVOIE]],Tableau2[ID-CARTEVOIE],0))&amp;""</f>
        <v>0</v>
      </c>
      <c r="AN690" s="74" t="str">
        <f>Tableau3[[#This Row],[ID-API]]&amp;Tableau3[[#This Row],[ID-RACK]]&amp;Tableau3[[#This Row],[ID-SLOT]]&amp;Tableau3[[#This Row],[BORNE]]</f>
        <v>5140</v>
      </c>
      <c r="AO690" s="1"/>
    </row>
    <row r="691" spans="1:41" ht="20.100000000000001" customHeight="1" thickTop="1" thickBot="1">
      <c r="A691" s="68"/>
      <c r="B691" s="69" t="str">
        <f>IFERROR(INDEX(Tableau4[Date],MATCH($A691,Tableau4[EVO],0)),"")</f>
        <v/>
      </c>
      <c r="C691" s="68" t="str">
        <f>IFERROR(INDEX(Tableau4[Designation],MATCH($A691,Tableau4[EVO],0)),"")</f>
        <v/>
      </c>
      <c r="D691" s="68"/>
      <c r="E691" s="70">
        <v>3</v>
      </c>
      <c r="F691" s="71">
        <v>225</v>
      </c>
      <c r="G691" s="101" t="str">
        <f>INDEX(Tableau8[Att1],MATCH(Tableau3[[#This Row],[ID-INS]],Tableau8[ID],0))&amp;""</f>
        <v>V4</v>
      </c>
      <c r="H691" s="101" t="str">
        <f>INDEX(Tableau8[Att2],MATCH(Tableau3[[#This Row],[ID-INS]],Tableau8[ID],0))&amp;""</f>
        <v>P3</v>
      </c>
      <c r="I691" s="101" t="str">
        <f>INDEX(Tableau8[Att3],MATCH(Tableau3[[#This Row],[ID-INS]],Tableau8[ID],0))&amp;""</f>
        <v>Portail P3</v>
      </c>
      <c r="J691" s="101"/>
      <c r="K691" s="167" t="str">
        <f>INDEX(Tableau8[Nom du modele],MATCH(Tableau3[[#This Row],[ID-INS]],Tableau8[ID],0))&amp;""</f>
        <v>PortailR2V_1</v>
      </c>
      <c r="L691" s="99" t="str">
        <f>INDEX(Tableau5[Att1],MATCH(Tableau3[[#This Row],[ID-SIG]],Tableau5[ID],0))&amp;""</f>
        <v>V2_FerCmd2</v>
      </c>
      <c r="M691" s="99" t="str">
        <f>INDEX(Tableau5[Att2],MATCH(Tableau3[[#This Row],[ID-SIG]],Tableau5[ID],0))&amp;""</f>
        <v/>
      </c>
      <c r="N691" s="99" t="str">
        <f>INDEX(Tableau5[Att3],MATCH(Tableau3[[#This Row],[ID-SIG]],Tableau5[ID],0))&amp;""</f>
        <v/>
      </c>
      <c r="O691" s="99"/>
      <c r="P691" s="99" t="str">
        <f>INDEX(Tableau5[Description],MATCH(Tableau3[[#This Row],[ID-SIG]],Tableau5[ID],0))</f>
        <v>Commande 2 fermeture vantail 2</v>
      </c>
      <c r="Q691" s="99"/>
      <c r="R691" s="103" t="str">
        <f>Tableau3[[#This Row],[Description]]</f>
        <v>Commande 2 fermeture vantail 2</v>
      </c>
      <c r="S691" s="52"/>
      <c r="U691" s="87">
        <v>5</v>
      </c>
      <c r="V691" s="87">
        <v>1</v>
      </c>
      <c r="W691" s="87">
        <v>4</v>
      </c>
      <c r="X691" s="87">
        <v>1</v>
      </c>
      <c r="Y691" s="41"/>
      <c r="Z691" s="165" t="str">
        <f>INDEX(Tableau2[TS],MATCH(Tableau3[[#This Row],[ID-CARTEVOIE]],Tableau2[ID-CARTEVOIE],0))</f>
        <v>ST</v>
      </c>
      <c r="AA691" s="53" t="s">
        <v>213</v>
      </c>
      <c r="AB691" s="223" t="str">
        <f>IFERROR(INDEX(Tableau5[Reserve],MATCH(Tableau3[[#This Row],[ID-SIG]],Tableau5[ID],0))&amp;"","")</f>
        <v/>
      </c>
      <c r="AC691" s="21"/>
      <c r="AD691" s="108" t="str">
        <f>INDEX(Tableau7[Repere],MATCH(Tableau3[[#This Row],[ID-API]],Tableau7[ID-API],0))&amp;""</f>
        <v>A5</v>
      </c>
      <c r="AE691" s="108" t="str">
        <f>INDEX(Tableau1[Repere-Rack],MATCH(Tableau3[[#This Row],[ID-RACK]],Tableau1[ID-RACK],0))&amp;""</f>
        <v>R1</v>
      </c>
      <c r="AF691" s="108" t="str">
        <f>INDEX(Tableau1[Repere-Slot],MATCH(Tableau3[[#This Row],[ID-SLOT]],Tableau1[ID-SLOT],0))&amp;""</f>
        <v>S4</v>
      </c>
      <c r="AG691" s="108" t="str">
        <f>INDEX(Tableau2[Repere-Voie],MATCH(Tableau3[[#This Row],[ID-VOIE]],Tableau2[ID-Voie],0))&amp;""</f>
        <v>v1</v>
      </c>
      <c r="AH691" s="72" t="str">
        <f>Tableau3[[#This Row],[ID-API]]&amp; "." &amp;Tableau3[[#This Row],[ID-RACK]]&amp; "." &amp;Tableau3[[#This Row],[ID-SLOT]]</f>
        <v>5.1.4</v>
      </c>
      <c r="AI691" s="72" t="str">
        <f>INDEX(Tableau1[Ref-Carte],MATCH(Tableau3[[#This Row],[ID-RRS]],Tableau1[ID-RRS],0))</f>
        <v>SDO0802</v>
      </c>
      <c r="AJ691" s="72" t="str">
        <f t="array" ref="AJ691">IFERROR(INDEX(Tableau2[TS],MATCH(1,(Tableau2[Ref-Carte]=Tableau3[[#This Row],[Ref-Carte2]])*(Tableau2[ID-Voie]=Tableau3[[#This Row],[ID-VOIE]]),0)),"")</f>
        <v>ST</v>
      </c>
      <c r="AK691" s="72" t="str">
        <f>IFERROR(INDEX(Tableau2[TS],SUMPRODUCT((Tableau2[Ref-Carte]=Tableau3[[#This Row],[Ref-Carte2]])*(Tableau2[ID-Voie]=Tableau3[[#This Row],[ID-VOIE]])*ROW(Tableau2[TS]))-ROW(Tableau2[#Headers])),"")</f>
        <v>ST</v>
      </c>
      <c r="AL691" s="72" t="str">
        <f>Tableau3[[#This Row],[Ref-Carte2]]&amp;"/"&amp;Tableau3[[#This Row],[ID-VOIE]]</f>
        <v>SDO0802/1</v>
      </c>
      <c r="AM691" s="73" t="str">
        <f>INDEX(Tableau2[Borne],MATCH(Tableau3[[#This Row],[ID-CARTEVOIE]],Tableau2[ID-CARTEVOIE],0))&amp;""</f>
        <v>1</v>
      </c>
      <c r="AN691" s="74" t="str">
        <f>Tableau3[[#This Row],[ID-API]]&amp;Tableau3[[#This Row],[ID-RACK]]&amp;Tableau3[[#This Row],[ID-SLOT]]&amp;Tableau3[[#This Row],[BORNE]]</f>
        <v>5141</v>
      </c>
      <c r="AO691" s="1"/>
    </row>
    <row r="692" spans="1:41" ht="20.100000000000001" customHeight="1" thickTop="1" thickBot="1">
      <c r="A692" s="68"/>
      <c r="B692" s="69" t="str">
        <f>IFERROR(INDEX(Tableau4[Date],MATCH($A692,Tableau4[EVO],0)),"")</f>
        <v/>
      </c>
      <c r="C692" s="68" t="str">
        <f>IFERROR(INDEX(Tableau4[Designation],MATCH($A692,Tableau4[EVO],0)),"")</f>
        <v/>
      </c>
      <c r="D692" s="68"/>
      <c r="E692" s="70">
        <v>7</v>
      </c>
      <c r="F692" s="71">
        <v>250</v>
      </c>
      <c r="G692" s="101" t="str">
        <f>INDEX(Tableau8[Att1],MATCH(Tableau3[[#This Row],[ID-INS]],Tableau8[ID],0))&amp;""</f>
        <v>V4</v>
      </c>
      <c r="H692" s="101" t="str">
        <f>INDEX(Tableau8[Att2],MATCH(Tableau3[[#This Row],[ID-INS]],Tableau8[ID],0))&amp;""</f>
        <v>P7</v>
      </c>
      <c r="I692" s="101" t="str">
        <f>INDEX(Tableau8[Att3],MATCH(Tableau3[[#This Row],[ID-INS]],Tableau8[ID],0))&amp;""</f>
        <v>Portail P7</v>
      </c>
      <c r="J692" s="101"/>
      <c r="K692" s="167" t="str">
        <f>INDEX(Tableau8[Nom du modele],MATCH(Tableau3[[#This Row],[ID-INS]],Tableau8[ID],0))&amp;""</f>
        <v>PortailBleuElec_1</v>
      </c>
      <c r="L692" s="99" t="str">
        <f>INDEX(Tableau5[Att1],MATCH(Tableau3[[#This Row],[ID-SIG]],Tableau5[ID],0))&amp;""</f>
        <v>V_OuvCmd</v>
      </c>
      <c r="M692" s="99" t="str">
        <f>INDEX(Tableau5[Att2],MATCH(Tableau3[[#This Row],[ID-SIG]],Tableau5[ID],0))&amp;""</f>
        <v/>
      </c>
      <c r="N692" s="99" t="str">
        <f>INDEX(Tableau5[Att3],MATCH(Tableau3[[#This Row],[ID-SIG]],Tableau5[ID],0))&amp;""</f>
        <v/>
      </c>
      <c r="O692" s="99"/>
      <c r="P692" s="99" t="str">
        <f>INDEX(Tableau5[Description],MATCH(Tableau3[[#This Row],[ID-SIG]],Tableau5[ID],0))</f>
        <v>Commande ouverture</v>
      </c>
      <c r="Q692" s="99"/>
      <c r="R692" s="103" t="str">
        <f>Tableau3[[#This Row],[Description]]</f>
        <v>Commande ouverture</v>
      </c>
      <c r="S692" s="52"/>
      <c r="U692" s="87">
        <v>5</v>
      </c>
      <c r="V692" s="87">
        <v>1</v>
      </c>
      <c r="W692" s="87">
        <v>4</v>
      </c>
      <c r="X692" s="87">
        <v>2</v>
      </c>
      <c r="Y692" s="41"/>
      <c r="Z692" s="165" t="str">
        <f>INDEX(Tableau2[TS],MATCH(Tableau3[[#This Row],[ID-CARTEVOIE]],Tableau2[ID-CARTEVOIE],0))</f>
        <v>ST</v>
      </c>
      <c r="AA692" s="53" t="s">
        <v>213</v>
      </c>
      <c r="AB692" s="223" t="str">
        <f>IFERROR(INDEX(Tableau5[Reserve],MATCH(Tableau3[[#This Row],[ID-SIG]],Tableau5[ID],0))&amp;"","")</f>
        <v/>
      </c>
      <c r="AC692" s="21"/>
      <c r="AD692" s="108" t="str">
        <f>INDEX(Tableau7[Repere],MATCH(Tableau3[[#This Row],[ID-API]],Tableau7[ID-API],0))&amp;""</f>
        <v>A5</v>
      </c>
      <c r="AE692" s="108" t="str">
        <f>INDEX(Tableau1[Repere-Rack],MATCH(Tableau3[[#This Row],[ID-RACK]],Tableau1[ID-RACK],0))&amp;""</f>
        <v>R1</v>
      </c>
      <c r="AF692" s="108" t="str">
        <f>INDEX(Tableau1[Repere-Slot],MATCH(Tableau3[[#This Row],[ID-SLOT]],Tableau1[ID-SLOT],0))&amp;""</f>
        <v>S4</v>
      </c>
      <c r="AG692" s="108" t="str">
        <f>INDEX(Tableau2[Repere-Voie],MATCH(Tableau3[[#This Row],[ID-VOIE]],Tableau2[ID-Voie],0))&amp;""</f>
        <v>v2</v>
      </c>
      <c r="AH692" s="72" t="str">
        <f>Tableau3[[#This Row],[ID-API]]&amp; "." &amp;Tableau3[[#This Row],[ID-RACK]]&amp; "." &amp;Tableau3[[#This Row],[ID-SLOT]]</f>
        <v>5.1.4</v>
      </c>
      <c r="AI692" s="72" t="str">
        <f>INDEX(Tableau1[Ref-Carte],MATCH(Tableau3[[#This Row],[ID-RRS]],Tableau1[ID-RRS],0))</f>
        <v>SDO0802</v>
      </c>
      <c r="AJ692" s="72" t="str">
        <f t="array" ref="AJ692">IFERROR(INDEX(Tableau2[TS],MATCH(1,(Tableau2[Ref-Carte]=Tableau3[[#This Row],[Ref-Carte2]])*(Tableau2[ID-Voie]=Tableau3[[#This Row],[ID-VOIE]]),0)),"")</f>
        <v>ST</v>
      </c>
      <c r="AK692" s="72" t="str">
        <f>IFERROR(INDEX(Tableau2[TS],SUMPRODUCT((Tableau2[Ref-Carte]=Tableau3[[#This Row],[Ref-Carte2]])*(Tableau2[ID-Voie]=Tableau3[[#This Row],[ID-VOIE]])*ROW(Tableau2[TS]))-ROW(Tableau2[#Headers])),"")</f>
        <v>ST</v>
      </c>
      <c r="AL692" s="72" t="str">
        <f>Tableau3[[#This Row],[Ref-Carte2]]&amp;"/"&amp;Tableau3[[#This Row],[ID-VOIE]]</f>
        <v>SDO0802/2</v>
      </c>
      <c r="AM692" s="73" t="str">
        <f>INDEX(Tableau2[Borne],MATCH(Tableau3[[#This Row],[ID-CARTEVOIE]],Tableau2[ID-CARTEVOIE],0))&amp;""</f>
        <v>2</v>
      </c>
      <c r="AN692" s="74" t="str">
        <f>Tableau3[[#This Row],[ID-API]]&amp;Tableau3[[#This Row],[ID-RACK]]&amp;Tableau3[[#This Row],[ID-SLOT]]&amp;Tableau3[[#This Row],[BORNE]]</f>
        <v>5142</v>
      </c>
      <c r="AO692" s="1"/>
    </row>
    <row r="693" spans="1:41" ht="20.100000000000001" customHeight="1" thickTop="1" thickBot="1">
      <c r="A693" s="68"/>
      <c r="B693" s="69" t="str">
        <f>IFERROR(INDEX(Tableau4[Date],MATCH($A693,Tableau4[EVO],0)),"")</f>
        <v/>
      </c>
      <c r="C693" s="68" t="str">
        <f>IFERROR(INDEX(Tableau4[Designation],MATCH($A693,Tableau4[EVO],0)),"")</f>
        <v/>
      </c>
      <c r="D693" s="68"/>
      <c r="E693" s="70">
        <v>7</v>
      </c>
      <c r="F693" s="71">
        <v>251</v>
      </c>
      <c r="G693" s="101" t="str">
        <f>INDEX(Tableau8[Att1],MATCH(Tableau3[[#This Row],[ID-INS]],Tableau8[ID],0))&amp;""</f>
        <v>V4</v>
      </c>
      <c r="H693" s="101" t="str">
        <f>INDEX(Tableau8[Att2],MATCH(Tableau3[[#This Row],[ID-INS]],Tableau8[ID],0))&amp;""</f>
        <v>P7</v>
      </c>
      <c r="I693" s="101" t="str">
        <f>INDEX(Tableau8[Att3],MATCH(Tableau3[[#This Row],[ID-INS]],Tableau8[ID],0))&amp;""</f>
        <v>Portail P7</v>
      </c>
      <c r="J693" s="101"/>
      <c r="K693" s="167" t="str">
        <f>INDEX(Tableau8[Nom du modele],MATCH(Tableau3[[#This Row],[ID-INS]],Tableau8[ID],0))&amp;""</f>
        <v>PortailBleuElec_1</v>
      </c>
      <c r="L693" s="99" t="str">
        <f>INDEX(Tableau5[Att1],MATCH(Tableau3[[#This Row],[ID-SIG]],Tableau5[ID],0))&amp;""</f>
        <v>V_FerCmd1</v>
      </c>
      <c r="M693" s="99" t="str">
        <f>INDEX(Tableau5[Att2],MATCH(Tableau3[[#This Row],[ID-SIG]],Tableau5[ID],0))&amp;""</f>
        <v/>
      </c>
      <c r="N693" s="99" t="str">
        <f>INDEX(Tableau5[Att3],MATCH(Tableau3[[#This Row],[ID-SIG]],Tableau5[ID],0))&amp;""</f>
        <v/>
      </c>
      <c r="O693" s="99"/>
      <c r="P693" s="99" t="str">
        <f>INDEX(Tableau5[Description],MATCH(Tableau3[[#This Row],[ID-SIG]],Tableau5[ID],0))</f>
        <v>Commande 1 fermeture</v>
      </c>
      <c r="Q693" s="99"/>
      <c r="R693" s="103" t="str">
        <f>Tableau3[[#This Row],[Description]]</f>
        <v>Commande 1 fermeture</v>
      </c>
      <c r="S693" s="52"/>
      <c r="U693" s="87">
        <v>5</v>
      </c>
      <c r="V693" s="87">
        <v>1</v>
      </c>
      <c r="W693" s="87">
        <v>4</v>
      </c>
      <c r="X693" s="87">
        <v>3</v>
      </c>
      <c r="Y693" s="41"/>
      <c r="Z693" s="165" t="str">
        <f>INDEX(Tableau2[TS],MATCH(Tableau3[[#This Row],[ID-CARTEVOIE]],Tableau2[ID-CARTEVOIE],0))</f>
        <v>ST</v>
      </c>
      <c r="AA693" s="53" t="s">
        <v>213</v>
      </c>
      <c r="AB693" s="223" t="str">
        <f>IFERROR(INDEX(Tableau5[Reserve],MATCH(Tableau3[[#This Row],[ID-SIG]],Tableau5[ID],0))&amp;"","")</f>
        <v/>
      </c>
      <c r="AC693" s="21"/>
      <c r="AD693" s="108" t="str">
        <f>INDEX(Tableau7[Repere],MATCH(Tableau3[[#This Row],[ID-API]],Tableau7[ID-API],0))&amp;""</f>
        <v>A5</v>
      </c>
      <c r="AE693" s="108" t="str">
        <f>INDEX(Tableau1[Repere-Rack],MATCH(Tableau3[[#This Row],[ID-RACK]],Tableau1[ID-RACK],0))&amp;""</f>
        <v>R1</v>
      </c>
      <c r="AF693" s="108" t="str">
        <f>INDEX(Tableau1[Repere-Slot],MATCH(Tableau3[[#This Row],[ID-SLOT]],Tableau1[ID-SLOT],0))&amp;""</f>
        <v>S4</v>
      </c>
      <c r="AG693" s="108" t="str">
        <f>INDEX(Tableau2[Repere-Voie],MATCH(Tableau3[[#This Row],[ID-VOIE]],Tableau2[ID-Voie],0))&amp;""</f>
        <v>v3</v>
      </c>
      <c r="AH693" s="72" t="str">
        <f>Tableau3[[#This Row],[ID-API]]&amp; "." &amp;Tableau3[[#This Row],[ID-RACK]]&amp; "." &amp;Tableau3[[#This Row],[ID-SLOT]]</f>
        <v>5.1.4</v>
      </c>
      <c r="AI693" s="72" t="str">
        <f>INDEX(Tableau1[Ref-Carte],MATCH(Tableau3[[#This Row],[ID-RRS]],Tableau1[ID-RRS],0))</f>
        <v>SDO0802</v>
      </c>
      <c r="AJ693" s="72" t="str">
        <f t="array" ref="AJ693">IFERROR(INDEX(Tableau2[TS],MATCH(1,(Tableau2[Ref-Carte]=Tableau3[[#This Row],[Ref-Carte2]])*(Tableau2[ID-Voie]=Tableau3[[#This Row],[ID-VOIE]]),0)),"")</f>
        <v>ST</v>
      </c>
      <c r="AK693" s="72" t="str">
        <f>IFERROR(INDEX(Tableau2[TS],SUMPRODUCT((Tableau2[Ref-Carte]=Tableau3[[#This Row],[Ref-Carte2]])*(Tableau2[ID-Voie]=Tableau3[[#This Row],[ID-VOIE]])*ROW(Tableau2[TS]))-ROW(Tableau2[#Headers])),"")</f>
        <v>ST</v>
      </c>
      <c r="AL693" s="72" t="str">
        <f>Tableau3[[#This Row],[Ref-Carte2]]&amp;"/"&amp;Tableau3[[#This Row],[ID-VOIE]]</f>
        <v>SDO0802/3</v>
      </c>
      <c r="AM693" s="73" t="str">
        <f>INDEX(Tableau2[Borne],MATCH(Tableau3[[#This Row],[ID-CARTEVOIE]],Tableau2[ID-CARTEVOIE],0))&amp;""</f>
        <v>3</v>
      </c>
      <c r="AN693" s="74" t="str">
        <f>Tableau3[[#This Row],[ID-API]]&amp;Tableau3[[#This Row],[ID-RACK]]&amp;Tableau3[[#This Row],[ID-SLOT]]&amp;Tableau3[[#This Row],[BORNE]]</f>
        <v>5143</v>
      </c>
      <c r="AO693" s="1"/>
    </row>
    <row r="694" spans="1:41" ht="20.100000000000001" customHeight="1" thickTop="1" thickBot="1">
      <c r="A694" s="68"/>
      <c r="B694" s="69" t="str">
        <f>IFERROR(INDEX(Tableau4[Date],MATCH($A694,Tableau4[EVO],0)),"")</f>
        <v/>
      </c>
      <c r="C694" s="68" t="str">
        <f>IFERROR(INDEX(Tableau4[Designation],MATCH($A694,Tableau4[EVO],0)),"")</f>
        <v/>
      </c>
      <c r="D694" s="68"/>
      <c r="E694" s="70">
        <v>7</v>
      </c>
      <c r="F694" s="71">
        <v>252</v>
      </c>
      <c r="G694" s="101" t="str">
        <f>INDEX(Tableau8[Att1],MATCH(Tableau3[[#This Row],[ID-INS]],Tableau8[ID],0))&amp;""</f>
        <v>V4</v>
      </c>
      <c r="H694" s="101" t="str">
        <f>INDEX(Tableau8[Att2],MATCH(Tableau3[[#This Row],[ID-INS]],Tableau8[ID],0))&amp;""</f>
        <v>P7</v>
      </c>
      <c r="I694" s="101" t="str">
        <f>INDEX(Tableau8[Att3],MATCH(Tableau3[[#This Row],[ID-INS]],Tableau8[ID],0))&amp;""</f>
        <v>Portail P7</v>
      </c>
      <c r="J694" s="101"/>
      <c r="K694" s="167" t="str">
        <f>INDEX(Tableau8[Nom du modele],MATCH(Tableau3[[#This Row],[ID-INS]],Tableau8[ID],0))&amp;""</f>
        <v>PortailBleuElec_1</v>
      </c>
      <c r="L694" s="99" t="str">
        <f>INDEX(Tableau5[Att1],MATCH(Tableau3[[#This Row],[ID-SIG]],Tableau5[ID],0))&amp;""</f>
        <v>Réserve</v>
      </c>
      <c r="M694" s="99" t="str">
        <f>INDEX(Tableau5[Att2],MATCH(Tableau3[[#This Row],[ID-SIG]],Tableau5[ID],0))&amp;""</f>
        <v/>
      </c>
      <c r="N694" s="99" t="str">
        <f>INDEX(Tableau5[Att3],MATCH(Tableau3[[#This Row],[ID-SIG]],Tableau5[ID],0))&amp;""</f>
        <v/>
      </c>
      <c r="O694" s="99"/>
      <c r="P694" s="99" t="str">
        <f>INDEX(Tableau5[Description],MATCH(Tableau3[[#This Row],[ID-SIG]],Tableau5[ID],0))</f>
        <v>Réserve</v>
      </c>
      <c r="Q694" s="99"/>
      <c r="R694" s="103" t="str">
        <f>Tableau3[[#This Row],[Description]]</f>
        <v>Réserve</v>
      </c>
      <c r="S694" s="52"/>
      <c r="U694" s="87">
        <v>5</v>
      </c>
      <c r="V694" s="87">
        <v>1</v>
      </c>
      <c r="W694" s="87">
        <v>4</v>
      </c>
      <c r="X694" s="87">
        <v>4</v>
      </c>
      <c r="Y694" s="41"/>
      <c r="Z694" s="165" t="str">
        <f>INDEX(Tableau2[TS],MATCH(Tableau3[[#This Row],[ID-CARTEVOIE]],Tableau2[ID-CARTEVOIE],0))</f>
        <v>ST</v>
      </c>
      <c r="AA694" s="53" t="s">
        <v>213</v>
      </c>
      <c r="AB694" s="223" t="str">
        <f>IFERROR(INDEX(Tableau5[Reserve],MATCH(Tableau3[[#This Row],[ID-SIG]],Tableau5[ID],0))&amp;"","")</f>
        <v/>
      </c>
      <c r="AC694" s="21"/>
      <c r="AD694" s="108" t="str">
        <f>INDEX(Tableau7[Repere],MATCH(Tableau3[[#This Row],[ID-API]],Tableau7[ID-API],0))&amp;""</f>
        <v>A5</v>
      </c>
      <c r="AE694" s="108" t="str">
        <f>INDEX(Tableau1[Repere-Rack],MATCH(Tableau3[[#This Row],[ID-RACK]],Tableau1[ID-RACK],0))&amp;""</f>
        <v>R1</v>
      </c>
      <c r="AF694" s="108" t="str">
        <f>INDEX(Tableau1[Repere-Slot],MATCH(Tableau3[[#This Row],[ID-SLOT]],Tableau1[ID-SLOT],0))&amp;""</f>
        <v>S4</v>
      </c>
      <c r="AG694" s="108" t="str">
        <f>INDEX(Tableau2[Repere-Voie],MATCH(Tableau3[[#This Row],[ID-VOIE]],Tableau2[ID-Voie],0))&amp;""</f>
        <v>v4</v>
      </c>
      <c r="AH694" s="72" t="str">
        <f>Tableau3[[#This Row],[ID-API]]&amp; "." &amp;Tableau3[[#This Row],[ID-RACK]]&amp; "." &amp;Tableau3[[#This Row],[ID-SLOT]]</f>
        <v>5.1.4</v>
      </c>
      <c r="AI694" s="72" t="str">
        <f>INDEX(Tableau1[Ref-Carte],MATCH(Tableau3[[#This Row],[ID-RRS]],Tableau1[ID-RRS],0))</f>
        <v>SDO0802</v>
      </c>
      <c r="AJ694" s="72" t="str">
        <f t="array" ref="AJ694">IFERROR(INDEX(Tableau2[TS],MATCH(1,(Tableau2[Ref-Carte]=Tableau3[[#This Row],[Ref-Carte2]])*(Tableau2[ID-Voie]=Tableau3[[#This Row],[ID-VOIE]]),0)),"")</f>
        <v>ST</v>
      </c>
      <c r="AK694" s="72" t="str">
        <f>IFERROR(INDEX(Tableau2[TS],SUMPRODUCT((Tableau2[Ref-Carte]=Tableau3[[#This Row],[Ref-Carte2]])*(Tableau2[ID-Voie]=Tableau3[[#This Row],[ID-VOIE]])*ROW(Tableau2[TS]))-ROW(Tableau2[#Headers])),"")</f>
        <v>ST</v>
      </c>
      <c r="AL694" s="72" t="str">
        <f>Tableau3[[#This Row],[Ref-Carte2]]&amp;"/"&amp;Tableau3[[#This Row],[ID-VOIE]]</f>
        <v>SDO0802/4</v>
      </c>
      <c r="AM694" s="73" t="str">
        <f>INDEX(Tableau2[Borne],MATCH(Tableau3[[#This Row],[ID-CARTEVOIE]],Tableau2[ID-CARTEVOIE],0))&amp;""</f>
        <v>4</v>
      </c>
      <c r="AN694" s="74" t="str">
        <f>Tableau3[[#This Row],[ID-API]]&amp;Tableau3[[#This Row],[ID-RACK]]&amp;Tableau3[[#This Row],[ID-SLOT]]&amp;Tableau3[[#This Row],[BORNE]]</f>
        <v>5144</v>
      </c>
      <c r="AO694" s="1"/>
    </row>
    <row r="695" spans="1:41" ht="20.100000000000001" customHeight="1" thickTop="1" thickBot="1">
      <c r="A695" s="68"/>
      <c r="B695" s="69" t="str">
        <f>IFERROR(INDEX(Tableau4[Date],MATCH($A695,Tableau4[EVO],0)),"")</f>
        <v/>
      </c>
      <c r="C695" s="68" t="str">
        <f>IFERROR(INDEX(Tableau4[Designation],MATCH($A695,Tableau4[EVO],0)),"")</f>
        <v/>
      </c>
      <c r="D695" s="68"/>
      <c r="E695" s="70">
        <v>7</v>
      </c>
      <c r="F695" s="71">
        <v>253</v>
      </c>
      <c r="G695" s="101" t="str">
        <f>INDEX(Tableau8[Att1],MATCH(Tableau3[[#This Row],[ID-INS]],Tableau8[ID],0))&amp;""</f>
        <v>V4</v>
      </c>
      <c r="H695" s="101" t="str">
        <f>INDEX(Tableau8[Att2],MATCH(Tableau3[[#This Row],[ID-INS]],Tableau8[ID],0))&amp;""</f>
        <v>P7</v>
      </c>
      <c r="I695" s="101" t="str">
        <f>INDEX(Tableau8[Att3],MATCH(Tableau3[[#This Row],[ID-INS]],Tableau8[ID],0))&amp;""</f>
        <v>Portail P7</v>
      </c>
      <c r="J695" s="101"/>
      <c r="K695" s="167" t="str">
        <f>INDEX(Tableau8[Nom du modele],MATCH(Tableau3[[#This Row],[ID-INS]],Tableau8[ID],0))&amp;""</f>
        <v>PortailBleuElec_1</v>
      </c>
      <c r="L695" s="155" t="s">
        <v>1685</v>
      </c>
      <c r="M695" s="99" t="str">
        <f>INDEX(Tableau5[Att2],MATCH(Tableau3[[#This Row],[ID-SIG]],Tableau5[ID],0))&amp;""</f>
        <v/>
      </c>
      <c r="N695" s="99" t="str">
        <f>INDEX(Tableau5[Att3],MATCH(Tableau3[[#This Row],[ID-SIG]],Tableau5[ID],0))&amp;""</f>
        <v/>
      </c>
      <c r="O695" s="99"/>
      <c r="P695" s="155" t="s">
        <v>1711</v>
      </c>
      <c r="Q695" s="99"/>
      <c r="R695" s="103" t="str">
        <f>Tableau3[[#This Row],[Description]]</f>
        <v>Portail P7 -  Sortie Réserve 1</v>
      </c>
      <c r="S695" s="52"/>
      <c r="U695" s="87">
        <v>5</v>
      </c>
      <c r="V695" s="87">
        <v>1</v>
      </c>
      <c r="W695" s="87">
        <v>4</v>
      </c>
      <c r="X695" s="87">
        <v>5</v>
      </c>
      <c r="Y695" s="41"/>
      <c r="Z695" s="165" t="str">
        <f>INDEX(Tableau2[TS],MATCH(Tableau3[[#This Row],[ID-CARTEVOIE]],Tableau2[ID-CARTEVOIE],0))</f>
        <v>ST</v>
      </c>
      <c r="AA695" s="53" t="s">
        <v>213</v>
      </c>
      <c r="AB695" s="223" t="str">
        <f>IFERROR(INDEX(Tableau5[Reserve],MATCH(Tableau3[[#This Row],[ID-SIG]],Tableau5[ID],0))&amp;"","")</f>
        <v/>
      </c>
      <c r="AC695" s="21"/>
      <c r="AD695" s="108" t="str">
        <f>INDEX(Tableau7[Repere],MATCH(Tableau3[[#This Row],[ID-API]],Tableau7[ID-API],0))&amp;""</f>
        <v>A5</v>
      </c>
      <c r="AE695" s="108" t="str">
        <f>INDEX(Tableau1[Repere-Rack],MATCH(Tableau3[[#This Row],[ID-RACK]],Tableau1[ID-RACK],0))&amp;""</f>
        <v>R1</v>
      </c>
      <c r="AF695" s="108" t="str">
        <f>INDEX(Tableau1[Repere-Slot],MATCH(Tableau3[[#This Row],[ID-SLOT]],Tableau1[ID-SLOT],0))&amp;""</f>
        <v>S4</v>
      </c>
      <c r="AG695" s="108" t="str">
        <f>INDEX(Tableau2[Repere-Voie],MATCH(Tableau3[[#This Row],[ID-VOIE]],Tableau2[ID-Voie],0))&amp;""</f>
        <v>v5</v>
      </c>
      <c r="AH695" s="72" t="str">
        <f>Tableau3[[#This Row],[ID-API]]&amp; "." &amp;Tableau3[[#This Row],[ID-RACK]]&amp; "." &amp;Tableau3[[#This Row],[ID-SLOT]]</f>
        <v>5.1.4</v>
      </c>
      <c r="AI695" s="72" t="str">
        <f>INDEX(Tableau1[Ref-Carte],MATCH(Tableau3[[#This Row],[ID-RRS]],Tableau1[ID-RRS],0))</f>
        <v>SDO0802</v>
      </c>
      <c r="AJ695" s="72" t="str">
        <f t="array" ref="AJ695">IFERROR(INDEX(Tableau2[TS],MATCH(1,(Tableau2[Ref-Carte]=Tableau3[[#This Row],[Ref-Carte2]])*(Tableau2[ID-Voie]=Tableau3[[#This Row],[ID-VOIE]]),0)),"")</f>
        <v>ST</v>
      </c>
      <c r="AK695" s="72" t="str">
        <f>IFERROR(INDEX(Tableau2[TS],SUMPRODUCT((Tableau2[Ref-Carte]=Tableau3[[#This Row],[Ref-Carte2]])*(Tableau2[ID-Voie]=Tableau3[[#This Row],[ID-VOIE]])*ROW(Tableau2[TS]))-ROW(Tableau2[#Headers])),"")</f>
        <v>ST</v>
      </c>
      <c r="AL695" s="72" t="str">
        <f>Tableau3[[#This Row],[Ref-Carte2]]&amp;"/"&amp;Tableau3[[#This Row],[ID-VOIE]]</f>
        <v>SDO0802/5</v>
      </c>
      <c r="AM695" s="73" t="str">
        <f>INDEX(Tableau2[Borne],MATCH(Tableau3[[#This Row],[ID-CARTEVOIE]],Tableau2[ID-CARTEVOIE],0))&amp;""</f>
        <v>5</v>
      </c>
      <c r="AN695" s="74" t="str">
        <f>Tableau3[[#This Row],[ID-API]]&amp;Tableau3[[#This Row],[ID-RACK]]&amp;Tableau3[[#This Row],[ID-SLOT]]&amp;Tableau3[[#This Row],[BORNE]]</f>
        <v>5145</v>
      </c>
      <c r="AO695" s="1"/>
    </row>
    <row r="696" spans="1:41" ht="20.100000000000001" customHeight="1" thickTop="1" thickBot="1">
      <c r="A696" s="68"/>
      <c r="B696" s="69" t="str">
        <f>IFERROR(INDEX(Tableau4[Date],MATCH($A696,Tableau4[EVO],0)),"")</f>
        <v/>
      </c>
      <c r="C696" s="68" t="str">
        <f>IFERROR(INDEX(Tableau4[Designation],MATCH($A696,Tableau4[EVO],0)),"")</f>
        <v/>
      </c>
      <c r="D696" s="68"/>
      <c r="E696" s="70">
        <v>40</v>
      </c>
      <c r="F696" s="71">
        <v>74</v>
      </c>
      <c r="G696" s="101" t="str">
        <f>INDEX(Tableau8[Att1],MATCH(Tableau3[[#This Row],[ID-INS]],Tableau8[ID],0))&amp;""</f>
        <v>V4</v>
      </c>
      <c r="H696" s="101" t="str">
        <f>INDEX(Tableau8[Att2],MATCH(Tableau3[[#This Row],[ID-INS]],Tableau8[ID],0))&amp;""</f>
        <v>BH11</v>
      </c>
      <c r="I696" s="101" t="str">
        <f>INDEX(Tableau8[Att3],MATCH(Tableau3[[#This Row],[ID-INS]],Tableau8[ID],0))&amp;""</f>
        <v>Barrière BH11</v>
      </c>
      <c r="J696" s="101"/>
      <c r="K696" s="167" t="str">
        <f>INDEX(Tableau8[Nom du modele],MATCH(Tableau3[[#This Row],[ID-INS]],Tableau8[ID],0))&amp;""</f>
        <v>BarriereHerse_1</v>
      </c>
      <c r="L696" s="99" t="str">
        <f>INDEX(Tableau5[Att1],MATCH(Tableau3[[#This Row],[ID-SIG]],Tableau5[ID],0))&amp;""</f>
        <v>OuvCmd</v>
      </c>
      <c r="M696" s="99" t="str">
        <f>INDEX(Tableau5[Att2],MATCH(Tableau3[[#This Row],[ID-SIG]],Tableau5[ID],0))&amp;""</f>
        <v/>
      </c>
      <c r="N696" s="99" t="str">
        <f>INDEX(Tableau5[Att3],MATCH(Tableau3[[#This Row],[ID-SIG]],Tableau5[ID],0))&amp;""</f>
        <v/>
      </c>
      <c r="O696" s="99"/>
      <c r="P696" s="99" t="str">
        <f>INDEX(Tableau5[Description],MATCH(Tableau3[[#This Row],[ID-SIG]],Tableau5[ID],0))</f>
        <v>Commande ouverture</v>
      </c>
      <c r="Q696" s="99"/>
      <c r="R696" s="103" t="str">
        <f>Tableau3[[#This Row],[Description]]</f>
        <v>Commande ouverture</v>
      </c>
      <c r="U696" s="87">
        <v>5</v>
      </c>
      <c r="V696" s="87">
        <v>1</v>
      </c>
      <c r="W696" s="87">
        <v>4</v>
      </c>
      <c r="X696" s="87">
        <v>6</v>
      </c>
      <c r="Y696" s="41"/>
      <c r="Z696" s="165" t="str">
        <f>INDEX(Tableau2[TS],MATCH(Tableau3[[#This Row],[ID-CARTEVOIE]],Tableau2[ID-CARTEVOIE],0))</f>
        <v>ST</v>
      </c>
      <c r="AA696" s="53" t="s">
        <v>213</v>
      </c>
      <c r="AB696" s="223" t="str">
        <f>IFERROR(INDEX(Tableau5[Reserve],MATCH(Tableau3[[#This Row],[ID-SIG]],Tableau5[ID],0))&amp;"","")</f>
        <v/>
      </c>
      <c r="AC696" s="21"/>
      <c r="AD696" s="108" t="str">
        <f>INDEX(Tableau7[Repere],MATCH(Tableau3[[#This Row],[ID-API]],Tableau7[ID-API],0))&amp;""</f>
        <v>A5</v>
      </c>
      <c r="AE696" s="108" t="str">
        <f>INDEX(Tableau1[Repere-Rack],MATCH(Tableau3[[#This Row],[ID-RACK]],Tableau1[ID-RACK],0))&amp;""</f>
        <v>R1</v>
      </c>
      <c r="AF696" s="108" t="str">
        <f>INDEX(Tableau1[Repere-Slot],MATCH(Tableau3[[#This Row],[ID-SLOT]],Tableau1[ID-SLOT],0))&amp;""</f>
        <v>S4</v>
      </c>
      <c r="AG696" s="108" t="str">
        <f>INDEX(Tableau2[Repere-Voie],MATCH(Tableau3[[#This Row],[ID-VOIE]],Tableau2[ID-Voie],0))&amp;""</f>
        <v>v6</v>
      </c>
      <c r="AH696" s="72" t="str">
        <f>Tableau3[[#This Row],[ID-API]]&amp; "." &amp;Tableau3[[#This Row],[ID-RACK]]&amp; "." &amp;Tableau3[[#This Row],[ID-SLOT]]</f>
        <v>5.1.4</v>
      </c>
      <c r="AI696" s="72" t="str">
        <f>INDEX(Tableau1[Ref-Carte],MATCH(Tableau3[[#This Row],[ID-RRS]],Tableau1[ID-RRS],0))</f>
        <v>SDO0802</v>
      </c>
      <c r="AJ696" s="72" t="str">
        <f t="array" ref="AJ696">IFERROR(INDEX(Tableau2[TS],MATCH(1,(Tableau2[Ref-Carte]=Tableau3[[#This Row],[Ref-Carte2]])*(Tableau2[ID-Voie]=Tableau3[[#This Row],[ID-VOIE]]),0)),"")</f>
        <v>ST</v>
      </c>
      <c r="AK696" s="72" t="str">
        <f>IFERROR(INDEX(Tableau2[TS],SUMPRODUCT((Tableau2[Ref-Carte]=Tableau3[[#This Row],[Ref-Carte2]])*(Tableau2[ID-Voie]=Tableau3[[#This Row],[ID-VOIE]])*ROW(Tableau2[TS]))-ROW(Tableau2[#Headers])),"")</f>
        <v>ST</v>
      </c>
      <c r="AL696" s="72" t="str">
        <f>Tableau3[[#This Row],[Ref-Carte2]]&amp;"/"&amp;Tableau3[[#This Row],[ID-VOIE]]</f>
        <v>SDO0802/6</v>
      </c>
      <c r="AM696" s="73" t="str">
        <f>INDEX(Tableau2[Borne],MATCH(Tableau3[[#This Row],[ID-CARTEVOIE]],Tableau2[ID-CARTEVOIE],0))&amp;""</f>
        <v>6</v>
      </c>
      <c r="AN696" s="74" t="str">
        <f>Tableau3[[#This Row],[ID-API]]&amp;Tableau3[[#This Row],[ID-RACK]]&amp;Tableau3[[#This Row],[ID-SLOT]]&amp;Tableau3[[#This Row],[BORNE]]</f>
        <v>5146</v>
      </c>
      <c r="AO696" s="1"/>
    </row>
    <row r="697" spans="1:41" ht="20.100000000000001" customHeight="1" thickTop="1" thickBot="1">
      <c r="A697" s="68"/>
      <c r="B697" s="69" t="str">
        <f>IFERROR(INDEX(Tableau4[Date],MATCH($A697,Tableau4[EVO],0)),"")</f>
        <v/>
      </c>
      <c r="C697" s="68" t="str">
        <f>IFERROR(INDEX(Tableau4[Designation],MATCH($A697,Tableau4[EVO],0)),"")</f>
        <v/>
      </c>
      <c r="D697" s="68"/>
      <c r="E697" s="70">
        <v>40</v>
      </c>
      <c r="F697" s="71">
        <v>75</v>
      </c>
      <c r="G697" s="101" t="str">
        <f>INDEX(Tableau8[Att1],MATCH(Tableau3[[#This Row],[ID-INS]],Tableau8[ID],0))&amp;""</f>
        <v>V4</v>
      </c>
      <c r="H697" s="101" t="str">
        <f>INDEX(Tableau8[Att2],MATCH(Tableau3[[#This Row],[ID-INS]],Tableau8[ID],0))&amp;""</f>
        <v>BH11</v>
      </c>
      <c r="I697" s="101" t="str">
        <f>INDEX(Tableau8[Att3],MATCH(Tableau3[[#This Row],[ID-INS]],Tableau8[ID],0))&amp;""</f>
        <v>Barrière BH11</v>
      </c>
      <c r="J697" s="101"/>
      <c r="K697" s="167" t="str">
        <f>INDEX(Tableau8[Nom du modele],MATCH(Tableau3[[#This Row],[ID-INS]],Tableau8[ID],0))&amp;""</f>
        <v>BarriereHerse_1</v>
      </c>
      <c r="L697" s="99" t="str">
        <f>INDEX(Tableau5[Att1],MATCH(Tableau3[[#This Row],[ID-SIG]],Tableau5[ID],0))&amp;""</f>
        <v>Réserve</v>
      </c>
      <c r="M697" s="99" t="str">
        <f>INDEX(Tableau5[Att2],MATCH(Tableau3[[#This Row],[ID-SIG]],Tableau5[ID],0))&amp;""</f>
        <v/>
      </c>
      <c r="N697" s="99" t="str">
        <f>INDEX(Tableau5[Att3],MATCH(Tableau3[[#This Row],[ID-SIG]],Tableau5[ID],0))&amp;""</f>
        <v/>
      </c>
      <c r="O697" s="99"/>
      <c r="P697" s="99" t="str">
        <f>INDEX(Tableau5[Description],MATCH(Tableau3[[#This Row],[ID-SIG]],Tableau5[ID],0))</f>
        <v>Réserve</v>
      </c>
      <c r="Q697" s="99"/>
      <c r="R697" s="103" t="str">
        <f>Tableau3[[#This Row],[Description]]</f>
        <v>Réserve</v>
      </c>
      <c r="U697" s="87">
        <v>5</v>
      </c>
      <c r="V697" s="87">
        <v>1</v>
      </c>
      <c r="W697" s="87">
        <v>4</v>
      </c>
      <c r="X697" s="87">
        <v>7</v>
      </c>
      <c r="Y697" s="41"/>
      <c r="Z697" s="165" t="str">
        <f>INDEX(Tableau2[TS],MATCH(Tableau3[[#This Row],[ID-CARTEVOIE]],Tableau2[ID-CARTEVOIE],0))</f>
        <v>ST</v>
      </c>
      <c r="AA697" s="53" t="s">
        <v>213</v>
      </c>
      <c r="AB697" s="223" t="str">
        <f>IFERROR(INDEX(Tableau5[Reserve],MATCH(Tableau3[[#This Row],[ID-SIG]],Tableau5[ID],0))&amp;"","")</f>
        <v/>
      </c>
      <c r="AC697" s="21"/>
      <c r="AD697" s="108" t="str">
        <f>INDEX(Tableau7[Repere],MATCH(Tableau3[[#This Row],[ID-API]],Tableau7[ID-API],0))&amp;""</f>
        <v>A5</v>
      </c>
      <c r="AE697" s="108" t="str">
        <f>INDEX(Tableau1[Repere-Rack],MATCH(Tableau3[[#This Row],[ID-RACK]],Tableau1[ID-RACK],0))&amp;""</f>
        <v>R1</v>
      </c>
      <c r="AF697" s="108" t="str">
        <f>INDEX(Tableau1[Repere-Slot],MATCH(Tableau3[[#This Row],[ID-SLOT]],Tableau1[ID-SLOT],0))&amp;""</f>
        <v>S4</v>
      </c>
      <c r="AG697" s="108" t="str">
        <f>INDEX(Tableau2[Repere-Voie],MATCH(Tableau3[[#This Row],[ID-VOIE]],Tableau2[ID-Voie],0))&amp;""</f>
        <v>v7</v>
      </c>
      <c r="AH697" s="72" t="str">
        <f>Tableau3[[#This Row],[ID-API]]&amp; "." &amp;Tableau3[[#This Row],[ID-RACK]]&amp; "." &amp;Tableau3[[#This Row],[ID-SLOT]]</f>
        <v>5.1.4</v>
      </c>
      <c r="AI697" s="72" t="str">
        <f>INDEX(Tableau1[Ref-Carte],MATCH(Tableau3[[#This Row],[ID-RRS]],Tableau1[ID-RRS],0))</f>
        <v>SDO0802</v>
      </c>
      <c r="AJ697" s="72" t="str">
        <f t="array" ref="AJ697">IFERROR(INDEX(Tableau2[TS],MATCH(1,(Tableau2[Ref-Carte]=Tableau3[[#This Row],[Ref-Carte2]])*(Tableau2[ID-Voie]=Tableau3[[#This Row],[ID-VOIE]]),0)),"")</f>
        <v>ST</v>
      </c>
      <c r="AK697" s="72" t="str">
        <f>IFERROR(INDEX(Tableau2[TS],SUMPRODUCT((Tableau2[Ref-Carte]=Tableau3[[#This Row],[Ref-Carte2]])*(Tableau2[ID-Voie]=Tableau3[[#This Row],[ID-VOIE]])*ROW(Tableau2[TS]))-ROW(Tableau2[#Headers])),"")</f>
        <v>ST</v>
      </c>
      <c r="AL697" s="72" t="str">
        <f>Tableau3[[#This Row],[Ref-Carte2]]&amp;"/"&amp;Tableau3[[#This Row],[ID-VOIE]]</f>
        <v>SDO0802/7</v>
      </c>
      <c r="AM697" s="73" t="str">
        <f>INDEX(Tableau2[Borne],MATCH(Tableau3[[#This Row],[ID-CARTEVOIE]],Tableau2[ID-CARTEVOIE],0))&amp;""</f>
        <v>7</v>
      </c>
      <c r="AN697" s="74" t="str">
        <f>Tableau3[[#This Row],[ID-API]]&amp;Tableau3[[#This Row],[ID-RACK]]&amp;Tableau3[[#This Row],[ID-SLOT]]&amp;Tableau3[[#This Row],[BORNE]]</f>
        <v>5147</v>
      </c>
      <c r="AO697" s="1"/>
    </row>
    <row r="698" spans="1:41" ht="20.100000000000001" customHeight="1" thickTop="1" thickBot="1">
      <c r="A698" s="68"/>
      <c r="B698" s="69" t="str">
        <f>IFERROR(INDEX(Tableau4[Date],MATCH($A698,Tableau4[EVO],0)),"")</f>
        <v/>
      </c>
      <c r="C698" s="68" t="str">
        <f>IFERROR(INDEX(Tableau4[Designation],MATCH($A698,Tableau4[EVO],0)),"")</f>
        <v/>
      </c>
      <c r="D698" s="68"/>
      <c r="E698" s="70">
        <v>40</v>
      </c>
      <c r="F698" s="71">
        <v>76</v>
      </c>
      <c r="G698" s="101" t="str">
        <f>INDEX(Tableau8[Att1],MATCH(Tableau3[[#This Row],[ID-INS]],Tableau8[ID],0))&amp;""</f>
        <v>V4</v>
      </c>
      <c r="H698" s="101" t="str">
        <f>INDEX(Tableau8[Att2],MATCH(Tableau3[[#This Row],[ID-INS]],Tableau8[ID],0))&amp;""</f>
        <v>BH11</v>
      </c>
      <c r="I698" s="101" t="str">
        <f>INDEX(Tableau8[Att3],MATCH(Tableau3[[#This Row],[ID-INS]],Tableau8[ID],0))&amp;""</f>
        <v>Barrière BH11</v>
      </c>
      <c r="J698" s="101"/>
      <c r="K698" s="167" t="str">
        <f>INDEX(Tableau8[Nom du modele],MATCH(Tableau3[[#This Row],[ID-INS]],Tableau8[ID],0))&amp;""</f>
        <v>BarriereHerse_1</v>
      </c>
      <c r="L698" s="99" t="str">
        <f>INDEX(Tableau5[Att1],MATCH(Tableau3[[#This Row],[ID-SIG]],Tableau5[ID],0))&amp;""</f>
        <v>FerCmd1</v>
      </c>
      <c r="M698" s="99" t="str">
        <f>INDEX(Tableau5[Att2],MATCH(Tableau3[[#This Row],[ID-SIG]],Tableau5[ID],0))&amp;""</f>
        <v/>
      </c>
      <c r="N698" s="99" t="str">
        <f>INDEX(Tableau5[Att3],MATCH(Tableau3[[#This Row],[ID-SIG]],Tableau5[ID],0))&amp;""</f>
        <v/>
      </c>
      <c r="O698" s="99"/>
      <c r="P698" s="99" t="str">
        <f>INDEX(Tableau5[Description],MATCH(Tableau3[[#This Row],[ID-SIG]],Tableau5[ID],0))</f>
        <v>Commande 1 fermeture</v>
      </c>
      <c r="Q698" s="99"/>
      <c r="R698" s="103" t="str">
        <f>Tableau3[[#This Row],[Description]]</f>
        <v>Commande 1 fermeture</v>
      </c>
      <c r="U698" s="87">
        <v>5</v>
      </c>
      <c r="V698" s="87">
        <v>1</v>
      </c>
      <c r="W698" s="87">
        <v>5</v>
      </c>
      <c r="X698" s="87">
        <v>0</v>
      </c>
      <c r="Y698" s="41"/>
      <c r="Z698" s="165" t="str">
        <f>INDEX(Tableau2[TS],MATCH(Tableau3[[#This Row],[ID-CARTEVOIE]],Tableau2[ID-CARTEVOIE],0))</f>
        <v>ST</v>
      </c>
      <c r="AA698" s="53" t="s">
        <v>213</v>
      </c>
      <c r="AB698" s="223" t="str">
        <f>IFERROR(INDEX(Tableau5[Reserve],MATCH(Tableau3[[#This Row],[ID-SIG]],Tableau5[ID],0))&amp;"","")</f>
        <v/>
      </c>
      <c r="AC698" s="21"/>
      <c r="AD698" s="108" t="str">
        <f>INDEX(Tableau7[Repere],MATCH(Tableau3[[#This Row],[ID-API]],Tableau7[ID-API],0))&amp;""</f>
        <v>A5</v>
      </c>
      <c r="AE698" s="108" t="str">
        <f>INDEX(Tableau1[Repere-Rack],MATCH(Tableau3[[#This Row],[ID-RACK]],Tableau1[ID-RACK],0))&amp;""</f>
        <v>R1</v>
      </c>
      <c r="AF698" s="108" t="str">
        <f>INDEX(Tableau1[Repere-Slot],MATCH(Tableau3[[#This Row],[ID-SLOT]],Tableau1[ID-SLOT],0))&amp;""</f>
        <v>S5</v>
      </c>
      <c r="AG698" s="108" t="str">
        <f>INDEX(Tableau2[Repere-Voie],MATCH(Tableau3[[#This Row],[ID-VOIE]],Tableau2[ID-Voie],0))&amp;""</f>
        <v>v0</v>
      </c>
      <c r="AH698" s="72" t="str">
        <f>Tableau3[[#This Row],[ID-API]]&amp; "." &amp;Tableau3[[#This Row],[ID-RACK]]&amp; "." &amp;Tableau3[[#This Row],[ID-SLOT]]</f>
        <v>5.1.5</v>
      </c>
      <c r="AI698" s="72" t="str">
        <f>INDEX(Tableau1[Ref-Carte],MATCH(Tableau3[[#This Row],[ID-RRS]],Tableau1[ID-RRS],0))</f>
        <v>SDO0802</v>
      </c>
      <c r="AJ698" s="72" t="str">
        <f t="array" ref="AJ698">IFERROR(INDEX(Tableau2[TS],MATCH(1,(Tableau2[Ref-Carte]=Tableau3[[#This Row],[Ref-Carte2]])*(Tableau2[ID-Voie]=Tableau3[[#This Row],[ID-VOIE]]),0)),"")</f>
        <v>ST</v>
      </c>
      <c r="AK698" s="72" t="str">
        <f>IFERROR(INDEX(Tableau2[TS],SUMPRODUCT((Tableau2[Ref-Carte]=Tableau3[[#This Row],[Ref-Carte2]])*(Tableau2[ID-Voie]=Tableau3[[#This Row],[ID-VOIE]])*ROW(Tableau2[TS]))-ROW(Tableau2[#Headers])),"")</f>
        <v>ST</v>
      </c>
      <c r="AL698" s="72" t="str">
        <f>Tableau3[[#This Row],[Ref-Carte2]]&amp;"/"&amp;Tableau3[[#This Row],[ID-VOIE]]</f>
        <v>SDO0802/0</v>
      </c>
      <c r="AM698" s="73" t="str">
        <f>INDEX(Tableau2[Borne],MATCH(Tableau3[[#This Row],[ID-CARTEVOIE]],Tableau2[ID-CARTEVOIE],0))&amp;""</f>
        <v>0</v>
      </c>
      <c r="AN698" s="74" t="str">
        <f>Tableau3[[#This Row],[ID-API]]&amp;Tableau3[[#This Row],[ID-RACK]]&amp;Tableau3[[#This Row],[ID-SLOT]]&amp;Tableau3[[#This Row],[BORNE]]</f>
        <v>5150</v>
      </c>
      <c r="AO698" s="1"/>
    </row>
    <row r="699" spans="1:41" ht="20.100000000000001" customHeight="1" thickTop="1" thickBot="1">
      <c r="A699" s="134"/>
      <c r="B699" s="135" t="str">
        <f>IFERROR(INDEX(Tableau4[Date],MATCH($A699,Tableau4[EVO],0)),"")</f>
        <v/>
      </c>
      <c r="C699" s="136" t="str">
        <f>IFERROR(INDEX(Tableau4[Designation],MATCH($A699,Tableau4[EVO],0)),"")</f>
        <v/>
      </c>
      <c r="D699" s="134"/>
      <c r="E699" s="137">
        <v>42</v>
      </c>
      <c r="F699" s="138">
        <v>89</v>
      </c>
      <c r="G699" s="139" t="str">
        <f>INDEX(Tableau8[Att1],MATCH(Tableau3[[#This Row],[ID-INS]],Tableau8[ID],0))&amp;""</f>
        <v>V4</v>
      </c>
      <c r="H699" s="139" t="str">
        <f>INDEX(Tableau8[Att2],MATCH(Tableau3[[#This Row],[ID-INS]],Tableau8[ID],0))&amp;""</f>
        <v>AVB1</v>
      </c>
      <c r="I699" s="139" t="str">
        <f>INDEX(Tableau8[Att3],MATCH(Tableau3[[#This Row],[ID-INS]],Tableau8[ID],0))&amp;""</f>
        <v>Anti-belier AVB1</v>
      </c>
      <c r="J699" s="101"/>
      <c r="K699" s="167" t="str">
        <f>INDEX(Tableau8[Nom du modele],MATCH(Tableau3[[#This Row],[ID-INS]],Tableau8[ID],0))&amp;""</f>
        <v>AVB_1</v>
      </c>
      <c r="L699" s="141" t="str">
        <f>INDEX(Tableau5[Att1],MATCH(Tableau3[[#This Row],[ID-SIG]],Tableau5[ID],0))&amp;""</f>
        <v>DescCmd</v>
      </c>
      <c r="M699" s="141" t="str">
        <f>INDEX(Tableau5[Att2],MATCH(Tableau3[[#This Row],[ID-SIG]],Tableau5[ID],0))&amp;""</f>
        <v/>
      </c>
      <c r="N699" s="141" t="str">
        <f>INDEX(Tableau5[Att3],MATCH(Tableau3[[#This Row],[ID-SIG]],Tableau5[ID],0))&amp;""</f>
        <v/>
      </c>
      <c r="O699" s="99"/>
      <c r="P699" s="141" t="str">
        <f>INDEX(Tableau5[Description],MATCH(Tableau3[[#This Row],[ID-SIG]],Tableau5[ID],0))</f>
        <v>Commande descente</v>
      </c>
      <c r="Q699" s="99"/>
      <c r="R699" s="142" t="str">
        <f>Tableau3[[#This Row],[Description]]</f>
        <v>Commande descente</v>
      </c>
      <c r="U699" s="87">
        <v>5</v>
      </c>
      <c r="V699" s="87">
        <v>1</v>
      </c>
      <c r="W699" s="87">
        <v>5</v>
      </c>
      <c r="X699" s="87">
        <v>1</v>
      </c>
      <c r="Y699" s="41"/>
      <c r="Z699" s="165" t="str">
        <f>INDEX(Tableau2[TS],MATCH(Tableau3[[#This Row],[ID-CARTEVOIE]],Tableau2[ID-CARTEVOIE],0))</f>
        <v>ST</v>
      </c>
      <c r="AA699" s="144" t="s">
        <v>213</v>
      </c>
      <c r="AB699" s="224" t="str">
        <f>IFERROR(INDEX(Tableau5[Reserve],MATCH(Tableau3[[#This Row],[ID-SIG]],Tableau5[ID],0))&amp;"","")</f>
        <v/>
      </c>
      <c r="AC699" s="119"/>
      <c r="AD699" s="120" t="str">
        <f>INDEX(Tableau7[Repere],MATCH(Tableau3[[#This Row],[ID-API]],Tableau7[ID-API],0))&amp;""</f>
        <v>A5</v>
      </c>
      <c r="AE699" s="120" t="str">
        <f>INDEX(Tableau1[Repere-Rack],MATCH(Tableau3[[#This Row],[ID-RACK]],Tableau1[ID-RACK],0))&amp;""</f>
        <v>R1</v>
      </c>
      <c r="AF699" s="120" t="str">
        <f>INDEX(Tableau1[Repere-Slot],MATCH(Tableau3[[#This Row],[ID-SLOT]],Tableau1[ID-SLOT],0))&amp;""</f>
        <v>S5</v>
      </c>
      <c r="AG699" s="120" t="str">
        <f>INDEX(Tableau2[Repere-Voie],MATCH(Tableau3[[#This Row],[ID-VOIE]],Tableau2[ID-Voie],0))&amp;""</f>
        <v>v1</v>
      </c>
      <c r="AH699" s="122" t="str">
        <f>Tableau3[[#This Row],[ID-API]]&amp; "." &amp;Tableau3[[#This Row],[ID-RACK]]&amp; "." &amp;Tableau3[[#This Row],[ID-SLOT]]</f>
        <v>5.1.5</v>
      </c>
      <c r="AI699" s="72" t="str">
        <f>INDEX(Tableau1[Ref-Carte],MATCH(Tableau3[[#This Row],[ID-RRS]],Tableau1[ID-RRS],0))</f>
        <v>SDO0802</v>
      </c>
      <c r="AJ699" s="72" t="str">
        <f t="array" ref="AJ699">IFERROR(INDEX(Tableau2[TS],MATCH(1,(Tableau2[Ref-Carte]=Tableau3[[#This Row],[Ref-Carte2]])*(Tableau2[ID-Voie]=Tableau3[[#This Row],[ID-VOIE]]),0)),"")</f>
        <v>ST</v>
      </c>
      <c r="AK699" s="72" t="str">
        <f>IFERROR(INDEX(Tableau2[TS],SUMPRODUCT((Tableau2[Ref-Carte]=Tableau3[[#This Row],[Ref-Carte2]])*(Tableau2[ID-Voie]=Tableau3[[#This Row],[ID-VOIE]])*ROW(Tableau2[TS]))-ROW(Tableau2[#Headers])),"")</f>
        <v>ST</v>
      </c>
      <c r="AL699" s="122" t="str">
        <f>Tableau3[[#This Row],[Ref-Carte2]]&amp;"/"&amp;Tableau3[[#This Row],[ID-VOIE]]</f>
        <v>SDO0802/1</v>
      </c>
      <c r="AM699" s="145" t="str">
        <f>INDEX(Tableau2[Borne],MATCH(Tableau3[[#This Row],[ID-CARTEVOIE]],Tableau2[ID-CARTEVOIE],0))&amp;""</f>
        <v>1</v>
      </c>
      <c r="AN699" s="124" t="str">
        <f>Tableau3[[#This Row],[ID-API]]&amp;Tableau3[[#This Row],[ID-RACK]]&amp;Tableau3[[#This Row],[ID-SLOT]]&amp;Tableau3[[#This Row],[BORNE]]</f>
        <v>5151</v>
      </c>
      <c r="AO699" s="125"/>
    </row>
    <row r="700" spans="1:41" ht="20.100000000000001" customHeight="1" thickTop="1" thickBot="1">
      <c r="A700" s="68"/>
      <c r="B700" s="69" t="str">
        <f>IFERROR(INDEX(Tableau4[Date],MATCH($A700,Tableau4[EVO],0)),"")</f>
        <v/>
      </c>
      <c r="C700" s="68" t="str">
        <f>IFERROR(INDEX(Tableau4[Designation],MATCH($A700,Tableau4[EVO],0)),"")</f>
        <v/>
      </c>
      <c r="D700" s="68"/>
      <c r="E700" s="70">
        <v>42</v>
      </c>
      <c r="F700" s="71">
        <v>90</v>
      </c>
      <c r="G700" s="101" t="str">
        <f>INDEX(Tableau8[Att1],MATCH(Tableau3[[#This Row],[ID-INS]],Tableau8[ID],0))&amp;""</f>
        <v>V4</v>
      </c>
      <c r="H700" s="101" t="str">
        <f>INDEX(Tableau8[Att2],MATCH(Tableau3[[#This Row],[ID-INS]],Tableau8[ID],0))&amp;""</f>
        <v>AVB1</v>
      </c>
      <c r="I700" s="101" t="str">
        <f>INDEX(Tableau8[Att3],MATCH(Tableau3[[#This Row],[ID-INS]],Tableau8[ID],0))&amp;""</f>
        <v>Anti-belier AVB1</v>
      </c>
      <c r="J700" s="101"/>
      <c r="K700" s="167" t="str">
        <f>INDEX(Tableau8[Nom du modele],MATCH(Tableau3[[#This Row],[ID-INS]],Tableau8[ID],0))&amp;""</f>
        <v>AVB_1</v>
      </c>
      <c r="L700" s="161" t="str">
        <f>INDEX(Tableau5[Att1],MATCH(Tableau3[[#This Row],[ID-SIG]],Tableau5[ID],0))&amp;""</f>
        <v>MontCmd1</v>
      </c>
      <c r="M700" s="99" t="str">
        <f>INDEX(Tableau5[Att2],MATCH(Tableau3[[#This Row],[ID-SIG]],Tableau5[ID],0))&amp;""</f>
        <v/>
      </c>
      <c r="N700" s="99" t="str">
        <f>INDEX(Tableau5[Att3],MATCH(Tableau3[[#This Row],[ID-SIG]],Tableau5[ID],0))&amp;""</f>
        <v/>
      </c>
      <c r="O700" s="99"/>
      <c r="P700" s="161" t="str">
        <f>INDEX(Tableau5[Description],MATCH(Tableau3[[#This Row],[ID-SIG]],Tableau5[ID],0))</f>
        <v>Commande 1 montée</v>
      </c>
      <c r="Q700" s="99"/>
      <c r="R700" s="142" t="str">
        <f>Tableau3[[#This Row],[Description]]</f>
        <v>Commande 1 montée</v>
      </c>
      <c r="U700" s="87">
        <v>5</v>
      </c>
      <c r="V700" s="87">
        <v>1</v>
      </c>
      <c r="W700" s="87">
        <v>5</v>
      </c>
      <c r="X700" s="87">
        <v>2</v>
      </c>
      <c r="Y700" s="41"/>
      <c r="Z700" s="165" t="str">
        <f>INDEX(Tableau2[TS],MATCH(Tableau3[[#This Row],[ID-CARTEVOIE]],Tableau2[ID-CARTEVOIE],0))</f>
        <v>ST</v>
      </c>
      <c r="AA700" s="53" t="s">
        <v>213</v>
      </c>
      <c r="AB700" s="223" t="str">
        <f>IFERROR(INDEX(Tableau5[Reserve],MATCH(Tableau3[[#This Row],[ID-SIG]],Tableau5[ID],0))&amp;"","")</f>
        <v/>
      </c>
      <c r="AC700" s="21"/>
      <c r="AD700" s="108" t="str">
        <f>INDEX(Tableau7[Repere],MATCH(Tableau3[[#This Row],[ID-API]],Tableau7[ID-API],0))&amp;""</f>
        <v>A5</v>
      </c>
      <c r="AE700" s="108" t="str">
        <f>INDEX(Tableau1[Repere-Rack],MATCH(Tableau3[[#This Row],[ID-RACK]],Tableau1[ID-RACK],0))&amp;""</f>
        <v>R1</v>
      </c>
      <c r="AF700" s="108" t="str">
        <f>INDEX(Tableau1[Repere-Slot],MATCH(Tableau3[[#This Row],[ID-SLOT]],Tableau1[ID-SLOT],0))&amp;""</f>
        <v>S5</v>
      </c>
      <c r="AG700" s="108" t="str">
        <f>INDEX(Tableau2[Repere-Voie],MATCH(Tableau3[[#This Row],[ID-VOIE]],Tableau2[ID-Voie],0))&amp;""</f>
        <v>v2</v>
      </c>
      <c r="AH700" s="72" t="str">
        <f>Tableau3[[#This Row],[ID-API]]&amp; "." &amp;Tableau3[[#This Row],[ID-RACK]]&amp; "." &amp;Tableau3[[#This Row],[ID-SLOT]]</f>
        <v>5.1.5</v>
      </c>
      <c r="AI700" s="72" t="str">
        <f>INDEX(Tableau1[Ref-Carte],MATCH(Tableau3[[#This Row],[ID-RRS]],Tableau1[ID-RRS],0))</f>
        <v>SDO0802</v>
      </c>
      <c r="AJ700" s="72" t="str">
        <f t="array" ref="AJ700">IFERROR(INDEX(Tableau2[TS],MATCH(1,(Tableau2[Ref-Carte]=Tableau3[[#This Row],[Ref-Carte2]])*(Tableau2[ID-Voie]=Tableau3[[#This Row],[ID-VOIE]]),0)),"")</f>
        <v>ST</v>
      </c>
      <c r="AK700" s="72" t="str">
        <f>IFERROR(INDEX(Tableau2[TS],SUMPRODUCT((Tableau2[Ref-Carte]=Tableau3[[#This Row],[Ref-Carte2]])*(Tableau2[ID-Voie]=Tableau3[[#This Row],[ID-VOIE]])*ROW(Tableau2[TS]))-ROW(Tableau2[#Headers])),"")</f>
        <v>ST</v>
      </c>
      <c r="AL700" s="72" t="str">
        <f>Tableau3[[#This Row],[Ref-Carte2]]&amp;"/"&amp;Tableau3[[#This Row],[ID-VOIE]]</f>
        <v>SDO0802/2</v>
      </c>
      <c r="AM700" s="73" t="str">
        <f>INDEX(Tableau2[Borne],MATCH(Tableau3[[#This Row],[ID-CARTEVOIE]],Tableau2[ID-CARTEVOIE],0))&amp;""</f>
        <v>2</v>
      </c>
      <c r="AN700" s="74" t="str">
        <f>Tableau3[[#This Row],[ID-API]]&amp;Tableau3[[#This Row],[ID-RACK]]&amp;Tableau3[[#This Row],[ID-SLOT]]&amp;Tableau3[[#This Row],[BORNE]]</f>
        <v>5152</v>
      </c>
      <c r="AO700" s="1"/>
    </row>
    <row r="701" spans="1:41" ht="20.100000000000001" customHeight="1" thickTop="1" thickBot="1">
      <c r="A701" s="68"/>
      <c r="B701" s="69" t="str">
        <f>IFERROR(INDEX(Tableau4[Date],MATCH($A701,Tableau4[EVO],0)),"")</f>
        <v/>
      </c>
      <c r="C701" s="68" t="str">
        <f>IFERROR(INDEX(Tableau4[Designation],MATCH($A701,Tableau4[EVO],0)),"")</f>
        <v/>
      </c>
      <c r="D701" s="68"/>
      <c r="E701" s="70">
        <v>42</v>
      </c>
      <c r="F701" s="71">
        <v>91</v>
      </c>
      <c r="G701" s="101" t="str">
        <f>INDEX(Tableau8[Att1],MATCH(Tableau3[[#This Row],[ID-INS]],Tableau8[ID],0))&amp;""</f>
        <v>V4</v>
      </c>
      <c r="H701" s="101" t="str">
        <f>INDEX(Tableau8[Att2],MATCH(Tableau3[[#This Row],[ID-INS]],Tableau8[ID],0))&amp;""</f>
        <v>AVB1</v>
      </c>
      <c r="I701" s="101" t="str">
        <f>INDEX(Tableau8[Att3],MATCH(Tableau3[[#This Row],[ID-INS]],Tableau8[ID],0))&amp;""</f>
        <v>Anti-belier AVB1</v>
      </c>
      <c r="J701" s="101"/>
      <c r="K701" s="167" t="str">
        <f>INDEX(Tableau8[Nom du modele],MATCH(Tableau3[[#This Row],[ID-INS]],Tableau8[ID],0))&amp;""</f>
        <v>AVB_1</v>
      </c>
      <c r="L701" s="99" t="str">
        <f>INDEX(Tableau5[Att1],MATCH(Tableau3[[#This Row],[ID-SIG]],Tableau5[ID],0))&amp;""</f>
        <v>Réserve</v>
      </c>
      <c r="M701" s="99" t="str">
        <f>INDEX(Tableau5[Att2],MATCH(Tableau3[[#This Row],[ID-SIG]],Tableau5[ID],0))&amp;""</f>
        <v/>
      </c>
      <c r="N701" s="99" t="str">
        <f>INDEX(Tableau5[Att3],MATCH(Tableau3[[#This Row],[ID-SIG]],Tableau5[ID],0))&amp;""</f>
        <v/>
      </c>
      <c r="O701" s="99"/>
      <c r="P701" s="99" t="str">
        <f>INDEX(Tableau5[Description],MATCH(Tableau3[[#This Row],[ID-SIG]],Tableau5[ID],0))</f>
        <v>Réserve</v>
      </c>
      <c r="Q701" s="99"/>
      <c r="R701" s="103" t="str">
        <f>Tableau3[[#This Row],[Description]]</f>
        <v>Réserve</v>
      </c>
      <c r="U701" s="87">
        <v>5</v>
      </c>
      <c r="V701" s="87">
        <v>1</v>
      </c>
      <c r="W701" s="87">
        <v>5</v>
      </c>
      <c r="X701" s="87">
        <v>3</v>
      </c>
      <c r="Y701" s="41"/>
      <c r="Z701" s="165" t="str">
        <f>INDEX(Tableau2[TS],MATCH(Tableau3[[#This Row],[ID-CARTEVOIE]],Tableau2[ID-CARTEVOIE],0))</f>
        <v>ST</v>
      </c>
      <c r="AA701" s="53" t="s">
        <v>213</v>
      </c>
      <c r="AB701" s="223" t="str">
        <f>IFERROR(INDEX(Tableau5[Reserve],MATCH(Tableau3[[#This Row],[ID-SIG]],Tableau5[ID],0))&amp;"","")</f>
        <v/>
      </c>
      <c r="AC701" s="21"/>
      <c r="AD701" s="108" t="str">
        <f>INDEX(Tableau7[Repere],MATCH(Tableau3[[#This Row],[ID-API]],Tableau7[ID-API],0))&amp;""</f>
        <v>A5</v>
      </c>
      <c r="AE701" s="108" t="str">
        <f>INDEX(Tableau1[Repere-Rack],MATCH(Tableau3[[#This Row],[ID-RACK]],Tableau1[ID-RACK],0))&amp;""</f>
        <v>R1</v>
      </c>
      <c r="AF701" s="108" t="str">
        <f>INDEX(Tableau1[Repere-Slot],MATCH(Tableau3[[#This Row],[ID-SLOT]],Tableau1[ID-SLOT],0))&amp;""</f>
        <v>S5</v>
      </c>
      <c r="AG701" s="108" t="str">
        <f>INDEX(Tableau2[Repere-Voie],MATCH(Tableau3[[#This Row],[ID-VOIE]],Tableau2[ID-Voie],0))&amp;""</f>
        <v>v3</v>
      </c>
      <c r="AH701" s="72" t="str">
        <f>Tableau3[[#This Row],[ID-API]]&amp; "." &amp;Tableau3[[#This Row],[ID-RACK]]&amp; "." &amp;Tableau3[[#This Row],[ID-SLOT]]</f>
        <v>5.1.5</v>
      </c>
      <c r="AI701" s="72" t="str">
        <f>INDEX(Tableau1[Ref-Carte],MATCH(Tableau3[[#This Row],[ID-RRS]],Tableau1[ID-RRS],0))</f>
        <v>SDO0802</v>
      </c>
      <c r="AJ701" s="72" t="str">
        <f t="array" ref="AJ701">IFERROR(INDEX(Tableau2[TS],MATCH(1,(Tableau2[Ref-Carte]=Tableau3[[#This Row],[Ref-Carte2]])*(Tableau2[ID-Voie]=Tableau3[[#This Row],[ID-VOIE]]),0)),"")</f>
        <v>ST</v>
      </c>
      <c r="AK701" s="72" t="str">
        <f>IFERROR(INDEX(Tableau2[TS],SUMPRODUCT((Tableau2[Ref-Carte]=Tableau3[[#This Row],[Ref-Carte2]])*(Tableau2[ID-Voie]=Tableau3[[#This Row],[ID-VOIE]])*ROW(Tableau2[TS]))-ROW(Tableau2[#Headers])),"")</f>
        <v>ST</v>
      </c>
      <c r="AL701" s="72" t="str">
        <f>Tableau3[[#This Row],[Ref-Carte2]]&amp;"/"&amp;Tableau3[[#This Row],[ID-VOIE]]</f>
        <v>SDO0802/3</v>
      </c>
      <c r="AM701" s="73" t="str">
        <f>INDEX(Tableau2[Borne],MATCH(Tableau3[[#This Row],[ID-CARTEVOIE]],Tableau2[ID-CARTEVOIE],0))&amp;""</f>
        <v>3</v>
      </c>
      <c r="AN701" s="74" t="str">
        <f>Tableau3[[#This Row],[ID-API]]&amp;Tableau3[[#This Row],[ID-RACK]]&amp;Tableau3[[#This Row],[ID-SLOT]]&amp;Tableau3[[#This Row],[BORNE]]</f>
        <v>5153</v>
      </c>
      <c r="AO701" s="1"/>
    </row>
    <row r="702" spans="1:41" ht="20.100000000000001" customHeight="1" thickTop="1" thickBot="1">
      <c r="A702" s="68"/>
      <c r="B702" s="69" t="str">
        <f>IFERROR(INDEX(Tableau4[Date],MATCH($A702,Tableau4[EVO],0)),"")</f>
        <v/>
      </c>
      <c r="C702" s="68" t="str">
        <f>IFERROR(INDEX(Tableau4[Designation],MATCH($A702,Tableau4[EVO],0)),"")</f>
        <v/>
      </c>
      <c r="D702" s="68"/>
      <c r="E702" s="70">
        <v>44</v>
      </c>
      <c r="F702" s="71">
        <v>52</v>
      </c>
      <c r="G702" s="101" t="str">
        <f>INDEX(Tableau8[Att1],MATCH(Tableau3[[#This Row],[ID-INS]],Tableau8[ID],0))&amp;""</f>
        <v>B21</v>
      </c>
      <c r="H702" s="101" t="str">
        <f>INDEX(Tableau8[Att2],MATCH(Tableau3[[#This Row],[ID-INS]],Tableau8[ID],0))&amp;""</f>
        <v>PMR3</v>
      </c>
      <c r="I702" s="101" t="str">
        <f>INDEX(Tableau8[Att3],MATCH(Tableau3[[#This Row],[ID-INS]],Tableau8[ID],0))&amp;""</f>
        <v>PMR3</v>
      </c>
      <c r="J702" s="101"/>
      <c r="K702" s="167" t="str">
        <f>INDEX(Tableau8[Nom du modele],MATCH(Tableau3[[#This Row],[ID-INS]],Tableau8[ID],0))&amp;""</f>
        <v>PMR_1</v>
      </c>
      <c r="L702" s="99" t="str">
        <f>INDEX(Tableau5[Att1],MATCH(Tableau3[[#This Row],[ID-SIG]],Tableau5[ID],0))&amp;""</f>
        <v>TE_OuvCmd</v>
      </c>
      <c r="M702" s="99" t="str">
        <f>INDEX(Tableau5[Att2],MATCH(Tableau3[[#This Row],[ID-SIG]],Tableau5[ID],0))&amp;""</f>
        <v/>
      </c>
      <c r="N702" s="99" t="str">
        <f>INDEX(Tableau5[Att3],MATCH(Tableau3[[#This Row],[ID-SIG]],Tableau5[ID],0))&amp;""</f>
        <v/>
      </c>
      <c r="O702" s="99"/>
      <c r="P702" s="99" t="str">
        <f>INDEX(Tableau5[Description],MATCH(Tableau3[[#This Row],[ID-SIG]],Tableau5[ID],0))</f>
        <v>Commande ouverture entrée</v>
      </c>
      <c r="Q702" s="99"/>
      <c r="R702" s="103" t="str">
        <f>Tableau3[[#This Row],[Description]]</f>
        <v>Commande ouverture entrée</v>
      </c>
      <c r="U702" s="87">
        <v>5</v>
      </c>
      <c r="V702" s="87">
        <v>1</v>
      </c>
      <c r="W702" s="87">
        <v>5</v>
      </c>
      <c r="X702" s="87">
        <v>4</v>
      </c>
      <c r="Y702" s="41"/>
      <c r="Z702" s="165" t="str">
        <f>INDEX(Tableau2[TS],MATCH(Tableau3[[#This Row],[ID-CARTEVOIE]],Tableau2[ID-CARTEVOIE],0))</f>
        <v>ST</v>
      </c>
      <c r="AA702" s="53" t="s">
        <v>213</v>
      </c>
      <c r="AB702" s="223" t="str">
        <f>IFERROR(INDEX(Tableau5[Reserve],MATCH(Tableau3[[#This Row],[ID-SIG]],Tableau5[ID],0))&amp;"","")</f>
        <v/>
      </c>
      <c r="AC702" s="21"/>
      <c r="AD702" s="108" t="str">
        <f>INDEX(Tableau7[Repere],MATCH(Tableau3[[#This Row],[ID-API]],Tableau7[ID-API],0))&amp;""</f>
        <v>A5</v>
      </c>
      <c r="AE702" s="108" t="str">
        <f>INDEX(Tableau1[Repere-Rack],MATCH(Tableau3[[#This Row],[ID-RACK]],Tableau1[ID-RACK],0))&amp;""</f>
        <v>R1</v>
      </c>
      <c r="AF702" s="108" t="str">
        <f>INDEX(Tableau1[Repere-Slot],MATCH(Tableau3[[#This Row],[ID-SLOT]],Tableau1[ID-SLOT],0))&amp;""</f>
        <v>S5</v>
      </c>
      <c r="AG702" s="108" t="str">
        <f>INDEX(Tableau2[Repere-Voie],MATCH(Tableau3[[#This Row],[ID-VOIE]],Tableau2[ID-Voie],0))&amp;""</f>
        <v>v4</v>
      </c>
      <c r="AH702" s="72" t="str">
        <f>Tableau3[[#This Row],[ID-API]]&amp; "." &amp;Tableau3[[#This Row],[ID-RACK]]&amp; "." &amp;Tableau3[[#This Row],[ID-SLOT]]</f>
        <v>5.1.5</v>
      </c>
      <c r="AI702" s="72" t="str">
        <f>INDEX(Tableau1[Ref-Carte],MATCH(Tableau3[[#This Row],[ID-RRS]],Tableau1[ID-RRS],0))</f>
        <v>SDO0802</v>
      </c>
      <c r="AJ702" s="72" t="str">
        <f t="array" ref="AJ702">IFERROR(INDEX(Tableau2[TS],MATCH(1,(Tableau2[Ref-Carte]=Tableau3[[#This Row],[Ref-Carte2]])*(Tableau2[ID-Voie]=Tableau3[[#This Row],[ID-VOIE]]),0)),"")</f>
        <v>ST</v>
      </c>
      <c r="AK702" s="72" t="str">
        <f>IFERROR(INDEX(Tableau2[TS],SUMPRODUCT((Tableau2[Ref-Carte]=Tableau3[[#This Row],[Ref-Carte2]])*(Tableau2[ID-Voie]=Tableau3[[#This Row],[ID-VOIE]])*ROW(Tableau2[TS]))-ROW(Tableau2[#Headers])),"")</f>
        <v>ST</v>
      </c>
      <c r="AL702" s="72" t="str">
        <f>Tableau3[[#This Row],[Ref-Carte2]]&amp;"/"&amp;Tableau3[[#This Row],[ID-VOIE]]</f>
        <v>SDO0802/4</v>
      </c>
      <c r="AM702" s="73" t="str">
        <f>INDEX(Tableau2[Borne],MATCH(Tableau3[[#This Row],[ID-CARTEVOIE]],Tableau2[ID-CARTEVOIE],0))&amp;""</f>
        <v>4</v>
      </c>
      <c r="AN702" s="74" t="str">
        <f>Tableau3[[#This Row],[ID-API]]&amp;Tableau3[[#This Row],[ID-RACK]]&amp;Tableau3[[#This Row],[ID-SLOT]]&amp;Tableau3[[#This Row],[BORNE]]</f>
        <v>5154</v>
      </c>
      <c r="AO702" s="1"/>
    </row>
    <row r="703" spans="1:41" ht="20.100000000000001" customHeight="1" thickTop="1" thickBot="1">
      <c r="A703" s="68"/>
      <c r="B703" s="69" t="str">
        <f>IFERROR(INDEX(Tableau4[Date],MATCH($A703,Tableau4[EVO],0)),"")</f>
        <v/>
      </c>
      <c r="C703" s="68" t="str">
        <f>IFERROR(INDEX(Tableau4[Designation],MATCH($A703,Tableau4[EVO],0)),"")</f>
        <v/>
      </c>
      <c r="D703" s="68"/>
      <c r="E703" s="70">
        <v>44</v>
      </c>
      <c r="F703" s="71">
        <v>53</v>
      </c>
      <c r="G703" s="101" t="str">
        <f>INDEX(Tableau8[Att1],MATCH(Tableau3[[#This Row],[ID-INS]],Tableau8[ID],0))&amp;""</f>
        <v>B21</v>
      </c>
      <c r="H703" s="101" t="str">
        <f>INDEX(Tableau8[Att2],MATCH(Tableau3[[#This Row],[ID-INS]],Tableau8[ID],0))&amp;""</f>
        <v>PMR3</v>
      </c>
      <c r="I703" s="101" t="str">
        <f>INDEX(Tableau8[Att3],MATCH(Tableau3[[#This Row],[ID-INS]],Tableau8[ID],0))&amp;""</f>
        <v>PMR3</v>
      </c>
      <c r="J703" s="101"/>
      <c r="K703" s="167" t="str">
        <f>INDEX(Tableau8[Nom du modele],MATCH(Tableau3[[#This Row],[ID-INS]],Tableau8[ID],0))&amp;""</f>
        <v>PMR_1</v>
      </c>
      <c r="L703" s="141" t="str">
        <f>INDEX(Tableau5[Att1],MATCH(Tableau3[[#This Row],[ID-SIG]],Tableau5[ID],0))&amp;""</f>
        <v>TS_OuvCmd1</v>
      </c>
      <c r="M703" s="99" t="str">
        <f>INDEX(Tableau5[Att2],MATCH(Tableau3[[#This Row],[ID-SIG]],Tableau5[ID],0))&amp;""</f>
        <v/>
      </c>
      <c r="N703" s="99" t="str">
        <f>INDEX(Tableau5[Att3],MATCH(Tableau3[[#This Row],[ID-SIG]],Tableau5[ID],0))&amp;""</f>
        <v/>
      </c>
      <c r="O703" s="99"/>
      <c r="P703" s="141" t="str">
        <f>INDEX(Tableau5[Description],MATCH(Tableau3[[#This Row],[ID-SIG]],Tableau5[ID],0))</f>
        <v>Commande 1 ouverture sortie</v>
      </c>
      <c r="Q703" s="99"/>
      <c r="R703" s="103" t="str">
        <f>Tableau3[[#This Row],[Description]]</f>
        <v>Commande 1 ouverture sortie</v>
      </c>
      <c r="U703" s="87">
        <v>5</v>
      </c>
      <c r="V703" s="87">
        <v>1</v>
      </c>
      <c r="W703" s="87">
        <v>5</v>
      </c>
      <c r="X703" s="87">
        <v>5</v>
      </c>
      <c r="Y703" s="41"/>
      <c r="Z703" s="165" t="str">
        <f>INDEX(Tableau2[TS],MATCH(Tableau3[[#This Row],[ID-CARTEVOIE]],Tableau2[ID-CARTEVOIE],0))</f>
        <v>ST</v>
      </c>
      <c r="AA703" s="53" t="s">
        <v>213</v>
      </c>
      <c r="AB703" s="223" t="str">
        <f>IFERROR(INDEX(Tableau5[Reserve],MATCH(Tableau3[[#This Row],[ID-SIG]],Tableau5[ID],0))&amp;"","")</f>
        <v/>
      </c>
      <c r="AC703" s="21"/>
      <c r="AD703" s="108" t="str">
        <f>INDEX(Tableau7[Repere],MATCH(Tableau3[[#This Row],[ID-API]],Tableau7[ID-API],0))&amp;""</f>
        <v>A5</v>
      </c>
      <c r="AE703" s="108" t="str">
        <f>INDEX(Tableau1[Repere-Rack],MATCH(Tableau3[[#This Row],[ID-RACK]],Tableau1[ID-RACK],0))&amp;""</f>
        <v>R1</v>
      </c>
      <c r="AF703" s="108" t="str">
        <f>INDEX(Tableau1[Repere-Slot],MATCH(Tableau3[[#This Row],[ID-SLOT]],Tableau1[ID-SLOT],0))&amp;""</f>
        <v>S5</v>
      </c>
      <c r="AG703" s="108" t="str">
        <f>INDEX(Tableau2[Repere-Voie],MATCH(Tableau3[[#This Row],[ID-VOIE]],Tableau2[ID-Voie],0))&amp;""</f>
        <v>v5</v>
      </c>
      <c r="AH703" s="72" t="str">
        <f>Tableau3[[#This Row],[ID-API]]&amp; "." &amp;Tableau3[[#This Row],[ID-RACK]]&amp; "." &amp;Tableau3[[#This Row],[ID-SLOT]]</f>
        <v>5.1.5</v>
      </c>
      <c r="AI703" s="72" t="str">
        <f>INDEX(Tableau1[Ref-Carte],MATCH(Tableau3[[#This Row],[ID-RRS]],Tableau1[ID-RRS],0))</f>
        <v>SDO0802</v>
      </c>
      <c r="AJ703" s="72" t="str">
        <f t="array" ref="AJ703">IFERROR(INDEX(Tableau2[TS],MATCH(1,(Tableau2[Ref-Carte]=Tableau3[[#This Row],[Ref-Carte2]])*(Tableau2[ID-Voie]=Tableau3[[#This Row],[ID-VOIE]]),0)),"")</f>
        <v>ST</v>
      </c>
      <c r="AK703" s="72" t="str">
        <f>IFERROR(INDEX(Tableau2[TS],SUMPRODUCT((Tableau2[Ref-Carte]=Tableau3[[#This Row],[Ref-Carte2]])*(Tableau2[ID-Voie]=Tableau3[[#This Row],[ID-VOIE]])*ROW(Tableau2[TS]))-ROW(Tableau2[#Headers])),"")</f>
        <v>ST</v>
      </c>
      <c r="AL703" s="72" t="str">
        <f>Tableau3[[#This Row],[Ref-Carte2]]&amp;"/"&amp;Tableau3[[#This Row],[ID-VOIE]]</f>
        <v>SDO0802/5</v>
      </c>
      <c r="AM703" s="73" t="str">
        <f>INDEX(Tableau2[Borne],MATCH(Tableau3[[#This Row],[ID-CARTEVOIE]],Tableau2[ID-CARTEVOIE],0))&amp;""</f>
        <v>5</v>
      </c>
      <c r="AN703" s="74" t="str">
        <f>Tableau3[[#This Row],[ID-API]]&amp;Tableau3[[#This Row],[ID-RACK]]&amp;Tableau3[[#This Row],[ID-SLOT]]&amp;Tableau3[[#This Row],[BORNE]]</f>
        <v>5155</v>
      </c>
      <c r="AO703" s="1"/>
    </row>
    <row r="704" spans="1:41" ht="20.100000000000001" customHeight="1" thickTop="1" thickBot="1">
      <c r="A704" s="68"/>
      <c r="B704" s="69" t="str">
        <f>IFERROR(INDEX(Tableau4[Date],MATCH($A704,Tableau4[EVO],0)),"")</f>
        <v/>
      </c>
      <c r="C704" s="68" t="str">
        <f>IFERROR(INDEX(Tableau4[Designation],MATCH($A704,Tableau4[EVO],0)),"")</f>
        <v/>
      </c>
      <c r="D704" s="68"/>
      <c r="E704" s="70">
        <v>44</v>
      </c>
      <c r="F704" s="71">
        <v>54</v>
      </c>
      <c r="G704" s="101" t="str">
        <f>INDEX(Tableau8[Att1],MATCH(Tableau3[[#This Row],[ID-INS]],Tableau8[ID],0))&amp;""</f>
        <v>B21</v>
      </c>
      <c r="H704" s="101" t="str">
        <f>INDEX(Tableau8[Att2],MATCH(Tableau3[[#This Row],[ID-INS]],Tableau8[ID],0))&amp;""</f>
        <v>PMR3</v>
      </c>
      <c r="I704" s="101" t="str">
        <f>INDEX(Tableau8[Att3],MATCH(Tableau3[[#This Row],[ID-INS]],Tableau8[ID],0))&amp;""</f>
        <v>PMR3</v>
      </c>
      <c r="J704" s="101"/>
      <c r="K704" s="167" t="str">
        <f>INDEX(Tableau8[Nom du modele],MATCH(Tableau3[[#This Row],[ID-INS]],Tableau8[ID],0))&amp;""</f>
        <v>PMR_1</v>
      </c>
      <c r="L704" s="99" t="str">
        <f>INDEX(Tableau5[Att1],MATCH(Tableau3[[#This Row],[ID-SIG]],Tableau5[ID],0))&amp;""</f>
        <v>TE_PictoAutor</v>
      </c>
      <c r="M704" s="99" t="str">
        <f>INDEX(Tableau5[Att2],MATCH(Tableau3[[#This Row],[ID-SIG]],Tableau5[ID],0))&amp;""</f>
        <v/>
      </c>
      <c r="N704" s="99" t="str">
        <f>INDEX(Tableau5[Att3],MATCH(Tableau3[[#This Row],[ID-SIG]],Tableau5[ID],0))&amp;""</f>
        <v/>
      </c>
      <c r="O704" s="99"/>
      <c r="P704" s="99" t="str">
        <f>INDEX(Tableau5[Description],MATCH(Tableau3[[#This Row],[ID-SIG]],Tableau5[ID],0))</f>
        <v>Commande Picto entrée</v>
      </c>
      <c r="Q704" s="99"/>
      <c r="R704" s="103" t="str">
        <f>Tableau3[[#This Row],[Description]]</f>
        <v>Commande Picto entrée</v>
      </c>
      <c r="U704" s="87">
        <v>5</v>
      </c>
      <c r="V704" s="87">
        <v>1</v>
      </c>
      <c r="W704" s="87">
        <v>5</v>
      </c>
      <c r="X704" s="87">
        <v>6</v>
      </c>
      <c r="Y704" s="41"/>
      <c r="Z704" s="165" t="str">
        <f>INDEX(Tableau2[TS],MATCH(Tableau3[[#This Row],[ID-CARTEVOIE]],Tableau2[ID-CARTEVOIE],0))</f>
        <v>ST</v>
      </c>
      <c r="AA704" s="53" t="s">
        <v>213</v>
      </c>
      <c r="AB704" s="223" t="str">
        <f>IFERROR(INDEX(Tableau5[Reserve],MATCH(Tableau3[[#This Row],[ID-SIG]],Tableau5[ID],0))&amp;"","")</f>
        <v/>
      </c>
      <c r="AC704" s="21"/>
      <c r="AD704" s="108" t="str">
        <f>INDEX(Tableau7[Repere],MATCH(Tableau3[[#This Row],[ID-API]],Tableau7[ID-API],0))&amp;""</f>
        <v>A5</v>
      </c>
      <c r="AE704" s="108" t="str">
        <f>INDEX(Tableau1[Repere-Rack],MATCH(Tableau3[[#This Row],[ID-RACK]],Tableau1[ID-RACK],0))&amp;""</f>
        <v>R1</v>
      </c>
      <c r="AF704" s="108" t="str">
        <f>INDEX(Tableau1[Repere-Slot],MATCH(Tableau3[[#This Row],[ID-SLOT]],Tableau1[ID-SLOT],0))&amp;""</f>
        <v>S5</v>
      </c>
      <c r="AG704" s="108" t="str">
        <f>INDEX(Tableau2[Repere-Voie],MATCH(Tableau3[[#This Row],[ID-VOIE]],Tableau2[ID-Voie],0))&amp;""</f>
        <v>v6</v>
      </c>
      <c r="AH704" s="72" t="str">
        <f>Tableau3[[#This Row],[ID-API]]&amp; "." &amp;Tableau3[[#This Row],[ID-RACK]]&amp; "." &amp;Tableau3[[#This Row],[ID-SLOT]]</f>
        <v>5.1.5</v>
      </c>
      <c r="AI704" s="72" t="str">
        <f>INDEX(Tableau1[Ref-Carte],MATCH(Tableau3[[#This Row],[ID-RRS]],Tableau1[ID-RRS],0))</f>
        <v>SDO0802</v>
      </c>
      <c r="AJ704" s="72" t="str">
        <f t="array" ref="AJ704">IFERROR(INDEX(Tableau2[TS],MATCH(1,(Tableau2[Ref-Carte]=Tableau3[[#This Row],[Ref-Carte2]])*(Tableau2[ID-Voie]=Tableau3[[#This Row],[ID-VOIE]]),0)),"")</f>
        <v>ST</v>
      </c>
      <c r="AK704" s="72" t="str">
        <f>IFERROR(INDEX(Tableau2[TS],SUMPRODUCT((Tableau2[Ref-Carte]=Tableau3[[#This Row],[Ref-Carte2]])*(Tableau2[ID-Voie]=Tableau3[[#This Row],[ID-VOIE]])*ROW(Tableau2[TS]))-ROW(Tableau2[#Headers])),"")</f>
        <v>ST</v>
      </c>
      <c r="AL704" s="72" t="str">
        <f>Tableau3[[#This Row],[Ref-Carte2]]&amp;"/"&amp;Tableau3[[#This Row],[ID-VOIE]]</f>
        <v>SDO0802/6</v>
      </c>
      <c r="AM704" s="73" t="str">
        <f>INDEX(Tableau2[Borne],MATCH(Tableau3[[#This Row],[ID-CARTEVOIE]],Tableau2[ID-CARTEVOIE],0))&amp;""</f>
        <v>6</v>
      </c>
      <c r="AN704" s="74" t="str">
        <f>Tableau3[[#This Row],[ID-API]]&amp;Tableau3[[#This Row],[ID-RACK]]&amp;Tableau3[[#This Row],[ID-SLOT]]&amp;Tableau3[[#This Row],[BORNE]]</f>
        <v>5156</v>
      </c>
      <c r="AO704" s="1"/>
    </row>
    <row r="705" spans="1:41" ht="20.100000000000001" customHeight="1" thickTop="1" thickBot="1">
      <c r="A705" s="68"/>
      <c r="B705" s="69" t="str">
        <f>IFERROR(INDEX(Tableau4[Date],MATCH($A705,Tableau4[EVO],0)),"")</f>
        <v/>
      </c>
      <c r="C705" s="68" t="str">
        <f>IFERROR(INDEX(Tableau4[Designation],MATCH($A705,Tableau4[EVO],0)),"")</f>
        <v/>
      </c>
      <c r="D705" s="68"/>
      <c r="E705" s="70">
        <v>44</v>
      </c>
      <c r="F705" s="71">
        <v>55</v>
      </c>
      <c r="G705" s="101" t="str">
        <f>INDEX(Tableau8[Att1],MATCH(Tableau3[[#This Row],[ID-INS]],Tableau8[ID],0))&amp;""</f>
        <v>B21</v>
      </c>
      <c r="H705" s="101" t="str">
        <f>INDEX(Tableau8[Att2],MATCH(Tableau3[[#This Row],[ID-INS]],Tableau8[ID],0))&amp;""</f>
        <v>PMR3</v>
      </c>
      <c r="I705" s="101" t="str">
        <f>INDEX(Tableau8[Att3],MATCH(Tableau3[[#This Row],[ID-INS]],Tableau8[ID],0))&amp;""</f>
        <v>PMR3</v>
      </c>
      <c r="J705" s="101"/>
      <c r="K705" s="167" t="str">
        <f>INDEX(Tableau8[Nom du modele],MATCH(Tableau3[[#This Row],[ID-INS]],Tableau8[ID],0))&amp;""</f>
        <v>PMR_1</v>
      </c>
      <c r="L705" s="99" t="str">
        <f>INDEX(Tableau5[Att1],MATCH(Tableau3[[#This Row],[ID-SIG]],Tableau5[ID],0))&amp;""</f>
        <v>TS_PictoAutor</v>
      </c>
      <c r="M705" s="99" t="str">
        <f>INDEX(Tableau5[Att2],MATCH(Tableau3[[#This Row],[ID-SIG]],Tableau5[ID],0))&amp;""</f>
        <v/>
      </c>
      <c r="N705" s="99" t="str">
        <f>INDEX(Tableau5[Att3],MATCH(Tableau3[[#This Row],[ID-SIG]],Tableau5[ID],0))&amp;""</f>
        <v/>
      </c>
      <c r="O705" s="99"/>
      <c r="P705" s="99" t="str">
        <f>INDEX(Tableau5[Description],MATCH(Tableau3[[#This Row],[ID-SIG]],Tableau5[ID],0))</f>
        <v>Commande Picto sortie</v>
      </c>
      <c r="Q705" s="99"/>
      <c r="R705" s="103" t="str">
        <f>Tableau3[[#This Row],[Description]]</f>
        <v>Commande Picto sortie</v>
      </c>
      <c r="U705" s="87">
        <v>5</v>
      </c>
      <c r="V705" s="87">
        <v>1</v>
      </c>
      <c r="W705" s="87">
        <v>5</v>
      </c>
      <c r="X705" s="87">
        <v>7</v>
      </c>
      <c r="Y705" s="41"/>
      <c r="Z705" s="165" t="str">
        <f>INDEX(Tableau2[TS],MATCH(Tableau3[[#This Row],[ID-CARTEVOIE]],Tableau2[ID-CARTEVOIE],0))</f>
        <v>ST</v>
      </c>
      <c r="AA705" s="53" t="s">
        <v>213</v>
      </c>
      <c r="AB705" s="223" t="str">
        <f>IFERROR(INDEX(Tableau5[Reserve],MATCH(Tableau3[[#This Row],[ID-SIG]],Tableau5[ID],0))&amp;"","")</f>
        <v/>
      </c>
      <c r="AC705" s="21"/>
      <c r="AD705" s="108" t="str">
        <f>INDEX(Tableau7[Repere],MATCH(Tableau3[[#This Row],[ID-API]],Tableau7[ID-API],0))&amp;""</f>
        <v>A5</v>
      </c>
      <c r="AE705" s="108" t="str">
        <f>INDEX(Tableau1[Repere-Rack],MATCH(Tableau3[[#This Row],[ID-RACK]],Tableau1[ID-RACK],0))&amp;""</f>
        <v>R1</v>
      </c>
      <c r="AF705" s="108" t="str">
        <f>INDEX(Tableau1[Repere-Slot],MATCH(Tableau3[[#This Row],[ID-SLOT]],Tableau1[ID-SLOT],0))&amp;""</f>
        <v>S5</v>
      </c>
      <c r="AG705" s="108" t="str">
        <f>INDEX(Tableau2[Repere-Voie],MATCH(Tableau3[[#This Row],[ID-VOIE]],Tableau2[ID-Voie],0))&amp;""</f>
        <v>v7</v>
      </c>
      <c r="AH705" s="72" t="str">
        <f>Tableau3[[#This Row],[ID-API]]&amp; "." &amp;Tableau3[[#This Row],[ID-RACK]]&amp; "." &amp;Tableau3[[#This Row],[ID-SLOT]]</f>
        <v>5.1.5</v>
      </c>
      <c r="AI705" s="72" t="str">
        <f>INDEX(Tableau1[Ref-Carte],MATCH(Tableau3[[#This Row],[ID-RRS]],Tableau1[ID-RRS],0))</f>
        <v>SDO0802</v>
      </c>
      <c r="AJ705" s="72" t="str">
        <f t="array" ref="AJ705">IFERROR(INDEX(Tableau2[TS],MATCH(1,(Tableau2[Ref-Carte]=Tableau3[[#This Row],[Ref-Carte2]])*(Tableau2[ID-Voie]=Tableau3[[#This Row],[ID-VOIE]]),0)),"")</f>
        <v>ST</v>
      </c>
      <c r="AK705" s="72" t="str">
        <f>IFERROR(INDEX(Tableau2[TS],SUMPRODUCT((Tableau2[Ref-Carte]=Tableau3[[#This Row],[Ref-Carte2]])*(Tableau2[ID-Voie]=Tableau3[[#This Row],[ID-VOIE]])*ROW(Tableau2[TS]))-ROW(Tableau2[#Headers])),"")</f>
        <v>ST</v>
      </c>
      <c r="AL705" s="72" t="str">
        <f>Tableau3[[#This Row],[Ref-Carte2]]&amp;"/"&amp;Tableau3[[#This Row],[ID-VOIE]]</f>
        <v>SDO0802/7</v>
      </c>
      <c r="AM705" s="73" t="str">
        <f>INDEX(Tableau2[Borne],MATCH(Tableau3[[#This Row],[ID-CARTEVOIE]],Tableau2[ID-CARTEVOIE],0))&amp;""</f>
        <v>7</v>
      </c>
      <c r="AN705" s="74" t="str">
        <f>Tableau3[[#This Row],[ID-API]]&amp;Tableau3[[#This Row],[ID-RACK]]&amp;Tableau3[[#This Row],[ID-SLOT]]&amp;Tableau3[[#This Row],[BORNE]]</f>
        <v>5157</v>
      </c>
      <c r="AO705" s="1"/>
    </row>
    <row r="706" spans="1:41" ht="20.100000000000001" customHeight="1" thickTop="1" thickBot="1">
      <c r="A706" s="68"/>
      <c r="B706" s="69" t="str">
        <f>IFERROR(INDEX(Tableau4[Date],MATCH($A706,Tableau4[EVO],0)),"")</f>
        <v/>
      </c>
      <c r="C706" s="68" t="str">
        <f>IFERROR(INDEX(Tableau4[Designation],MATCH($A706,Tableau4[EVO],0)),"")</f>
        <v/>
      </c>
      <c r="D706" s="68"/>
      <c r="E706" s="70">
        <v>3</v>
      </c>
      <c r="F706" s="71">
        <v>199</v>
      </c>
      <c r="G706" s="101" t="str">
        <f>INDEX(Tableau8[Att1],MATCH(Tableau3[[#This Row],[ID-INS]],Tableau8[ID],0))&amp;""</f>
        <v>V4</v>
      </c>
      <c r="H706" s="101" t="str">
        <f>INDEX(Tableau8[Att2],MATCH(Tableau3[[#This Row],[ID-INS]],Tableau8[ID],0))&amp;""</f>
        <v>P3</v>
      </c>
      <c r="I706" s="101" t="str">
        <f>INDEX(Tableau8[Att3],MATCH(Tableau3[[#This Row],[ID-INS]],Tableau8[ID],0))&amp;""</f>
        <v>Portail P3</v>
      </c>
      <c r="J706" s="101"/>
      <c r="K706" s="167" t="str">
        <f>INDEX(Tableau8[Nom du modele],MATCH(Tableau3[[#This Row],[ID-INS]],Tableau8[ID],0))&amp;""</f>
        <v>PortailR2V_1</v>
      </c>
      <c r="L706" s="155" t="s">
        <v>1712</v>
      </c>
      <c r="M706" s="99" t="str">
        <f>INDEX(Tableau5[Att2],MATCH(Tableau3[[#This Row],[ID-SIG]],Tableau5[ID],0))&amp;""</f>
        <v/>
      </c>
      <c r="N706" s="99" t="str">
        <f>INDEX(Tableau5[Att3],MATCH(Tableau3[[#This Row],[ID-SIG]],Tableau5[ID],0))&amp;""</f>
        <v/>
      </c>
      <c r="O706" s="99"/>
      <c r="P706" s="155" t="s">
        <v>1713</v>
      </c>
      <c r="Q706" s="99"/>
      <c r="R706" s="103" t="str">
        <f>Tableau3[[#This Row],[Description]]</f>
        <v>Bouton poussoir Demande d'ouverture AVB et BH fin de voie 4 (reserve)</v>
      </c>
      <c r="S706" s="52"/>
      <c r="U706" s="87">
        <v>5</v>
      </c>
      <c r="V706" s="87">
        <v>1</v>
      </c>
      <c r="W706" s="87">
        <v>6</v>
      </c>
      <c r="X706" s="87">
        <v>0</v>
      </c>
      <c r="Y706" s="40"/>
      <c r="Z706" s="165" t="str">
        <f>INDEX(Tableau2[TS],MATCH(Tableau3[[#This Row],[ID-CARTEVOIE]],Tableau2[ID-CARTEVOIE],0))</f>
        <v>ET</v>
      </c>
      <c r="AA706" s="53" t="s">
        <v>213</v>
      </c>
      <c r="AB706" s="223" t="str">
        <f>IFERROR(INDEX(Tableau5[Reserve],MATCH(Tableau3[[#This Row],[ID-SIG]],Tableau5[ID],0))&amp;"","")</f>
        <v/>
      </c>
      <c r="AC706" s="21"/>
      <c r="AD706" s="108" t="str">
        <f>INDEX(Tableau7[Repere],MATCH(Tableau3[[#This Row],[ID-API]],Tableau7[ID-API],0))&amp;""</f>
        <v>A5</v>
      </c>
      <c r="AE706" s="108" t="str">
        <f>INDEX(Tableau1[Repere-Rack],MATCH(Tableau3[[#This Row],[ID-RACK]],Tableau1[ID-RACK],0))&amp;""</f>
        <v>R1</v>
      </c>
      <c r="AF706" s="108" t="str">
        <f>INDEX(Tableau1[Repere-Slot],MATCH(Tableau3[[#This Row],[ID-SLOT]],Tableau1[ID-SLOT],0))&amp;""</f>
        <v>S6</v>
      </c>
      <c r="AG706" s="108" t="str">
        <f>INDEX(Tableau2[Repere-Voie],MATCH(Tableau3[[#This Row],[ID-VOIE]],Tableau2[ID-Voie],0))&amp;""</f>
        <v>v0</v>
      </c>
      <c r="AH706" s="72" t="str">
        <f>Tableau3[[#This Row],[ID-API]]&amp; "." &amp;Tableau3[[#This Row],[ID-RACK]]&amp; "." &amp;Tableau3[[#This Row],[ID-SLOT]]</f>
        <v>5.1.6</v>
      </c>
      <c r="AI706" s="72" t="str">
        <f>INDEX(Tableau1[Ref-Carte],MATCH(Tableau3[[#This Row],[ID-RRS]],Tableau1[ID-RRS],0))</f>
        <v>SDI1602</v>
      </c>
      <c r="AJ706" s="72" t="str">
        <f t="array" ref="AJ706">IFERROR(INDEX(Tableau2[TS],MATCH(1,(Tableau2[Ref-Carte]=Tableau3[[#This Row],[Ref-Carte2]])*(Tableau2[ID-Voie]=Tableau3[[#This Row],[ID-VOIE]]),0)),"")</f>
        <v>ET</v>
      </c>
      <c r="AK706" s="72" t="str">
        <f>IFERROR(INDEX(Tableau2[TS],SUMPRODUCT((Tableau2[Ref-Carte]=Tableau3[[#This Row],[Ref-Carte2]])*(Tableau2[ID-Voie]=Tableau3[[#This Row],[ID-VOIE]])*ROW(Tableau2[TS]))-ROW(Tableau2[#Headers])),"")</f>
        <v>ET</v>
      </c>
      <c r="AL706" s="72" t="str">
        <f>Tableau3[[#This Row],[Ref-Carte2]]&amp;"/"&amp;Tableau3[[#This Row],[ID-VOIE]]</f>
        <v>SDI1602/0</v>
      </c>
      <c r="AM706" s="73" t="str">
        <f>INDEX(Tableau2[Borne],MATCH(Tableau3[[#This Row],[ID-CARTEVOIE]],Tableau2[ID-CARTEVOIE],0))&amp;""</f>
        <v>0B</v>
      </c>
      <c r="AN706" s="74" t="str">
        <f>Tableau3[[#This Row],[ID-API]]&amp;Tableau3[[#This Row],[ID-RACK]]&amp;Tableau3[[#This Row],[ID-SLOT]]&amp;Tableau3[[#This Row],[BORNE]]</f>
        <v>5160B</v>
      </c>
      <c r="AO706" s="1"/>
    </row>
    <row r="707" spans="1:41" ht="20.100000000000001" customHeight="1" thickTop="1" thickBot="1">
      <c r="A707" s="68"/>
      <c r="B707" s="69" t="str">
        <f>IFERROR(INDEX(Tableau4[Date],MATCH($A707,Tableau4[EVO],0)),"")</f>
        <v/>
      </c>
      <c r="C707" s="68" t="str">
        <f>IFERROR(INDEX(Tableau4[Designation],MATCH($A707,Tableau4[EVO],0)),"")</f>
        <v/>
      </c>
      <c r="D707" s="68"/>
      <c r="E707" s="70">
        <v>3</v>
      </c>
      <c r="F707" s="71">
        <v>203</v>
      </c>
      <c r="G707" s="101" t="str">
        <f>INDEX(Tableau8[Att1],MATCH(Tableau3[[#This Row],[ID-INS]],Tableau8[ID],0))&amp;""</f>
        <v>V4</v>
      </c>
      <c r="H707" s="101" t="str">
        <f>INDEX(Tableau8[Att2],MATCH(Tableau3[[#This Row],[ID-INS]],Tableau8[ID],0))&amp;""</f>
        <v>P3</v>
      </c>
      <c r="I707" s="101" t="str">
        <f>INDEX(Tableau8[Att3],MATCH(Tableau3[[#This Row],[ID-INS]],Tableau8[ID],0))&amp;""</f>
        <v>Portail P3</v>
      </c>
      <c r="J707" s="101"/>
      <c r="K707" s="167" t="str">
        <f>INDEX(Tableau8[Nom du modele],MATCH(Tableau3[[#This Row],[ID-INS]],Tableau8[ID],0))&amp;""</f>
        <v>PortailR2V_1</v>
      </c>
      <c r="L707" s="99" t="str">
        <f>INDEX(Tableau5[Att1],MATCH(Tableau3[[#This Row],[ID-SIG]],Tableau5[ID],0))&amp;""</f>
        <v>Vx_GacheOuv1</v>
      </c>
      <c r="M707" s="99" t="str">
        <f>INDEX(Tableau5[Att2],MATCH(Tableau3[[#This Row],[ID-SIG]],Tableau5[ID],0))&amp;""</f>
        <v/>
      </c>
      <c r="N707" s="99" t="str">
        <f>INDEX(Tableau5[Att3],MATCH(Tableau3[[#This Row],[ID-SIG]],Tableau5[ID],0))&amp;""</f>
        <v/>
      </c>
      <c r="O707" s="99"/>
      <c r="P707" s="155" t="s">
        <v>1763</v>
      </c>
      <c r="Q707" s="99"/>
      <c r="R707" s="103" t="str">
        <f>Tableau3[[#This Row],[Description]]</f>
        <v>VANTAIL P3V1 - Retour d'état Gâche rentrée</v>
      </c>
      <c r="S707" s="52"/>
      <c r="U707" s="87">
        <v>5</v>
      </c>
      <c r="V707" s="87">
        <v>1</v>
      </c>
      <c r="W707" s="87">
        <v>6</v>
      </c>
      <c r="X707" s="87">
        <v>1</v>
      </c>
      <c r="Y707" s="40"/>
      <c r="Z707" s="165" t="str">
        <f>INDEX(Tableau2[TS],MATCH(Tableau3[[#This Row],[ID-CARTEVOIE]],Tableau2[ID-CARTEVOIE],0))</f>
        <v>ET</v>
      </c>
      <c r="AA707" s="53" t="s">
        <v>213</v>
      </c>
      <c r="AB707" s="223" t="str">
        <f>IFERROR(INDEX(Tableau5[Reserve],MATCH(Tableau3[[#This Row],[ID-SIG]],Tableau5[ID],0))&amp;"","")</f>
        <v/>
      </c>
      <c r="AC707" s="21"/>
      <c r="AD707" s="108" t="str">
        <f>INDEX(Tableau7[Repere],MATCH(Tableau3[[#This Row],[ID-API]],Tableau7[ID-API],0))&amp;""</f>
        <v>A5</v>
      </c>
      <c r="AE707" s="108" t="str">
        <f>INDEX(Tableau1[Repere-Rack],MATCH(Tableau3[[#This Row],[ID-RACK]],Tableau1[ID-RACK],0))&amp;""</f>
        <v>R1</v>
      </c>
      <c r="AF707" s="108" t="str">
        <f>INDEX(Tableau1[Repere-Slot],MATCH(Tableau3[[#This Row],[ID-SLOT]],Tableau1[ID-SLOT],0))&amp;""</f>
        <v>S6</v>
      </c>
      <c r="AG707" s="108" t="str">
        <f>INDEX(Tableau2[Repere-Voie],MATCH(Tableau3[[#This Row],[ID-VOIE]],Tableau2[ID-Voie],0))&amp;""</f>
        <v>v1</v>
      </c>
      <c r="AH707" s="72" t="str">
        <f>Tableau3[[#This Row],[ID-API]]&amp; "." &amp;Tableau3[[#This Row],[ID-RACK]]&amp; "." &amp;Tableau3[[#This Row],[ID-SLOT]]</f>
        <v>5.1.6</v>
      </c>
      <c r="AI707" s="72" t="str">
        <f>INDEX(Tableau1[Ref-Carte],MATCH(Tableau3[[#This Row],[ID-RRS]],Tableau1[ID-RRS],0))</f>
        <v>SDI1602</v>
      </c>
      <c r="AJ707" s="72" t="str">
        <f t="array" ref="AJ707">IFERROR(INDEX(Tableau2[TS],MATCH(1,(Tableau2[Ref-Carte]=Tableau3[[#This Row],[Ref-Carte2]])*(Tableau2[ID-Voie]=Tableau3[[#This Row],[ID-VOIE]]),0)),"")</f>
        <v>ET</v>
      </c>
      <c r="AK707" s="72" t="str">
        <f>IFERROR(INDEX(Tableau2[TS],SUMPRODUCT((Tableau2[Ref-Carte]=Tableau3[[#This Row],[Ref-Carte2]])*(Tableau2[ID-Voie]=Tableau3[[#This Row],[ID-VOIE]])*ROW(Tableau2[TS]))-ROW(Tableau2[#Headers])),"")</f>
        <v>ET</v>
      </c>
      <c r="AL707" s="72" t="str">
        <f>Tableau3[[#This Row],[Ref-Carte2]]&amp;"/"&amp;Tableau3[[#This Row],[ID-VOIE]]</f>
        <v>SDI1602/1</v>
      </c>
      <c r="AM707" s="73" t="str">
        <f>INDEX(Tableau2[Borne],MATCH(Tableau3[[#This Row],[ID-CARTEVOIE]],Tableau2[ID-CARTEVOIE],0))&amp;""</f>
        <v>0A</v>
      </c>
      <c r="AN707" s="74" t="str">
        <f>Tableau3[[#This Row],[ID-API]]&amp;Tableau3[[#This Row],[ID-RACK]]&amp;Tableau3[[#This Row],[ID-SLOT]]&amp;Tableau3[[#This Row],[BORNE]]</f>
        <v>5160A</v>
      </c>
      <c r="AO707" s="1"/>
    </row>
    <row r="708" spans="1:41" ht="20.100000000000001" customHeight="1" thickTop="1" thickBot="1">
      <c r="A708" s="68"/>
      <c r="B708" s="69" t="str">
        <f>IFERROR(INDEX(Tableau4[Date],MATCH($A708,Tableau4[EVO],0)),"")</f>
        <v/>
      </c>
      <c r="C708" s="68" t="str">
        <f>IFERROR(INDEX(Tableau4[Designation],MATCH($A708,Tableau4[EVO],0)),"")</f>
        <v/>
      </c>
      <c r="D708" s="68"/>
      <c r="E708" s="70">
        <v>3</v>
      </c>
      <c r="F708" s="71">
        <v>204</v>
      </c>
      <c r="G708" s="101" t="str">
        <f>INDEX(Tableau8[Att1],MATCH(Tableau3[[#This Row],[ID-INS]],Tableau8[ID],0))&amp;""</f>
        <v>V4</v>
      </c>
      <c r="H708" s="101" t="str">
        <f>INDEX(Tableau8[Att2],MATCH(Tableau3[[#This Row],[ID-INS]],Tableau8[ID],0))&amp;""</f>
        <v>P3</v>
      </c>
      <c r="I708" s="101" t="str">
        <f>INDEX(Tableau8[Att3],MATCH(Tableau3[[#This Row],[ID-INS]],Tableau8[ID],0))&amp;""</f>
        <v>Portail P3</v>
      </c>
      <c r="J708" s="101"/>
      <c r="K708" s="167" t="str">
        <f>INDEX(Tableau8[Nom du modele],MATCH(Tableau3[[#This Row],[ID-INS]],Tableau8[ID],0))&amp;""</f>
        <v>PortailR2V_1</v>
      </c>
      <c r="L708" s="99" t="str">
        <f>INDEX(Tableau5[Att1],MATCH(Tableau3[[#This Row],[ID-SIG]],Tableau5[ID],0))&amp;""</f>
        <v>Vx_GacheFer</v>
      </c>
      <c r="M708" s="99" t="str">
        <f>INDEX(Tableau5[Att2],MATCH(Tableau3[[#This Row],[ID-SIG]],Tableau5[ID],0))&amp;""</f>
        <v/>
      </c>
      <c r="N708" s="99" t="str">
        <f>INDEX(Tableau5[Att3],MATCH(Tableau3[[#This Row],[ID-SIG]],Tableau5[ID],0))&amp;""</f>
        <v/>
      </c>
      <c r="O708" s="99"/>
      <c r="P708" s="155" t="s">
        <v>1762</v>
      </c>
      <c r="Q708" s="99"/>
      <c r="R708" s="103" t="str">
        <f>Tableau3[[#This Row],[Description]]</f>
        <v>VANTAIL P3V1 - Retour d'état Gâche sortie</v>
      </c>
      <c r="S708" s="52"/>
      <c r="U708" s="87">
        <v>5</v>
      </c>
      <c r="V708" s="87">
        <v>1</v>
      </c>
      <c r="W708" s="87">
        <v>6</v>
      </c>
      <c r="X708" s="87">
        <v>2</v>
      </c>
      <c r="Y708" s="40"/>
      <c r="Z708" s="165" t="str">
        <f>INDEX(Tableau2[TS],MATCH(Tableau3[[#This Row],[ID-CARTEVOIE]],Tableau2[ID-CARTEVOIE],0))</f>
        <v>ET</v>
      </c>
      <c r="AA708" s="53" t="s">
        <v>213</v>
      </c>
      <c r="AB708" s="223" t="str">
        <f>IFERROR(INDEX(Tableau5[Reserve],MATCH(Tableau3[[#This Row],[ID-SIG]],Tableau5[ID],0))&amp;"","")</f>
        <v/>
      </c>
      <c r="AC708" s="21"/>
      <c r="AD708" s="108" t="str">
        <f>INDEX(Tableau7[Repere],MATCH(Tableau3[[#This Row],[ID-API]],Tableau7[ID-API],0))&amp;""</f>
        <v>A5</v>
      </c>
      <c r="AE708" s="108" t="str">
        <f>INDEX(Tableau1[Repere-Rack],MATCH(Tableau3[[#This Row],[ID-RACK]],Tableau1[ID-RACK],0))&amp;""</f>
        <v>R1</v>
      </c>
      <c r="AF708" s="108" t="str">
        <f>INDEX(Tableau1[Repere-Slot],MATCH(Tableau3[[#This Row],[ID-SLOT]],Tableau1[ID-SLOT],0))&amp;""</f>
        <v>S6</v>
      </c>
      <c r="AG708" s="108" t="str">
        <f>INDEX(Tableau2[Repere-Voie],MATCH(Tableau3[[#This Row],[ID-VOIE]],Tableau2[ID-Voie],0))&amp;""</f>
        <v>v2</v>
      </c>
      <c r="AH708" s="72" t="str">
        <f>Tableau3[[#This Row],[ID-API]]&amp; "." &amp;Tableau3[[#This Row],[ID-RACK]]&amp; "." &amp;Tableau3[[#This Row],[ID-SLOT]]</f>
        <v>5.1.6</v>
      </c>
      <c r="AI708" s="72" t="str">
        <f>INDEX(Tableau1[Ref-Carte],MATCH(Tableau3[[#This Row],[ID-RRS]],Tableau1[ID-RRS],0))</f>
        <v>SDI1602</v>
      </c>
      <c r="AJ708" s="72" t="str">
        <f t="array" ref="AJ708">IFERROR(INDEX(Tableau2[TS],MATCH(1,(Tableau2[Ref-Carte]=Tableau3[[#This Row],[Ref-Carte2]])*(Tableau2[ID-Voie]=Tableau3[[#This Row],[ID-VOIE]]),0)),"")</f>
        <v>ET</v>
      </c>
      <c r="AK708" s="72" t="str">
        <f>IFERROR(INDEX(Tableau2[TS],SUMPRODUCT((Tableau2[Ref-Carte]=Tableau3[[#This Row],[Ref-Carte2]])*(Tableau2[ID-Voie]=Tableau3[[#This Row],[ID-VOIE]])*ROW(Tableau2[TS]))-ROW(Tableau2[#Headers])),"")</f>
        <v>ET</v>
      </c>
      <c r="AL708" s="72" t="str">
        <f>Tableau3[[#This Row],[Ref-Carte2]]&amp;"/"&amp;Tableau3[[#This Row],[ID-VOIE]]</f>
        <v>SDI1602/2</v>
      </c>
      <c r="AM708" s="73" t="str">
        <f>INDEX(Tableau2[Borne],MATCH(Tableau3[[#This Row],[ID-CARTEVOIE]],Tableau2[ID-CARTEVOIE],0))&amp;""</f>
        <v>1B</v>
      </c>
      <c r="AN708" s="74" t="str">
        <f>Tableau3[[#This Row],[ID-API]]&amp;Tableau3[[#This Row],[ID-RACK]]&amp;Tableau3[[#This Row],[ID-SLOT]]&amp;Tableau3[[#This Row],[BORNE]]</f>
        <v>5161B</v>
      </c>
      <c r="AO708" s="1"/>
    </row>
    <row r="709" spans="1:41" ht="20.100000000000001" customHeight="1" thickTop="1" thickBot="1">
      <c r="A709" s="68"/>
      <c r="B709" s="69" t="str">
        <f>IFERROR(INDEX(Tableau4[Date],MATCH($A709,Tableau4[EVO],0)),"")</f>
        <v/>
      </c>
      <c r="C709" s="68" t="str">
        <f>IFERROR(INDEX(Tableau4[Designation],MATCH($A709,Tableau4[EVO],0)),"")</f>
        <v/>
      </c>
      <c r="D709" s="68"/>
      <c r="E709" s="70">
        <v>3</v>
      </c>
      <c r="F709" s="71">
        <v>205</v>
      </c>
      <c r="G709" s="101" t="str">
        <f>INDEX(Tableau8[Att1],MATCH(Tableau3[[#This Row],[ID-INS]],Tableau8[ID],0))&amp;""</f>
        <v>V4</v>
      </c>
      <c r="H709" s="101" t="str">
        <f>INDEX(Tableau8[Att2],MATCH(Tableau3[[#This Row],[ID-INS]],Tableau8[ID],0))&amp;""</f>
        <v>P3</v>
      </c>
      <c r="I709" s="101" t="str">
        <f>INDEX(Tableau8[Att3],MATCH(Tableau3[[#This Row],[ID-INS]],Tableau8[ID],0))&amp;""</f>
        <v>Portail P3</v>
      </c>
      <c r="J709" s="101"/>
      <c r="K709" s="167" t="str">
        <f>INDEX(Tableau8[Nom du modele],MATCH(Tableau3[[#This Row],[ID-INS]],Tableau8[ID],0))&amp;""</f>
        <v>PortailR2V_1</v>
      </c>
      <c r="L709" s="155" t="s">
        <v>562</v>
      </c>
      <c r="M709" s="99" t="str">
        <f>INDEX(Tableau5[Att2],MATCH(Tableau3[[#This Row],[ID-SIG]],Tableau5[ID],0))&amp;""</f>
        <v/>
      </c>
      <c r="N709" s="99" t="str">
        <f>INDEX(Tableau5[Att3],MATCH(Tableau3[[#This Row],[ID-SIG]],Tableau5[ID],0))&amp;""</f>
        <v/>
      </c>
      <c r="O709" s="99"/>
      <c r="P709" s="155" t="s">
        <v>1760</v>
      </c>
      <c r="Q709" s="99"/>
      <c r="R709" s="103" t="str">
        <f>Tableau3[[#This Row],[Description]]</f>
        <v>VANTAIL P3V2 - Retour d'état Gâche rentrée</v>
      </c>
      <c r="S709" s="52"/>
      <c r="U709" s="87">
        <v>5</v>
      </c>
      <c r="V709" s="87">
        <v>1</v>
      </c>
      <c r="W709" s="87">
        <v>6</v>
      </c>
      <c r="X709" s="87">
        <v>3</v>
      </c>
      <c r="Y709" s="40"/>
      <c r="Z709" s="165" t="str">
        <f>INDEX(Tableau2[TS],MATCH(Tableau3[[#This Row],[ID-CARTEVOIE]],Tableau2[ID-CARTEVOIE],0))</f>
        <v>ET</v>
      </c>
      <c r="AA709" s="53" t="s">
        <v>213</v>
      </c>
      <c r="AB709" s="223" t="str">
        <f>IFERROR(INDEX(Tableau5[Reserve],MATCH(Tableau3[[#This Row],[ID-SIG]],Tableau5[ID],0))&amp;"","")</f>
        <v/>
      </c>
      <c r="AC709" s="21"/>
      <c r="AD709" s="108" t="str">
        <f>INDEX(Tableau7[Repere],MATCH(Tableau3[[#This Row],[ID-API]],Tableau7[ID-API],0))&amp;""</f>
        <v>A5</v>
      </c>
      <c r="AE709" s="108" t="str">
        <f>INDEX(Tableau1[Repere-Rack],MATCH(Tableau3[[#This Row],[ID-RACK]],Tableau1[ID-RACK],0))&amp;""</f>
        <v>R1</v>
      </c>
      <c r="AF709" s="108" t="str">
        <f>INDEX(Tableau1[Repere-Slot],MATCH(Tableau3[[#This Row],[ID-SLOT]],Tableau1[ID-SLOT],0))&amp;""</f>
        <v>S6</v>
      </c>
      <c r="AG709" s="108" t="str">
        <f>INDEX(Tableau2[Repere-Voie],MATCH(Tableau3[[#This Row],[ID-VOIE]],Tableau2[ID-Voie],0))&amp;""</f>
        <v>v3</v>
      </c>
      <c r="AH709" s="72" t="str">
        <f>Tableau3[[#This Row],[ID-API]]&amp; "." &amp;Tableau3[[#This Row],[ID-RACK]]&amp; "." &amp;Tableau3[[#This Row],[ID-SLOT]]</f>
        <v>5.1.6</v>
      </c>
      <c r="AI709" s="72" t="str">
        <f>INDEX(Tableau1[Ref-Carte],MATCH(Tableau3[[#This Row],[ID-RRS]],Tableau1[ID-RRS],0))</f>
        <v>SDI1602</v>
      </c>
      <c r="AJ709" s="72" t="str">
        <f t="array" ref="AJ709">IFERROR(INDEX(Tableau2[TS],MATCH(1,(Tableau2[Ref-Carte]=Tableau3[[#This Row],[Ref-Carte2]])*(Tableau2[ID-Voie]=Tableau3[[#This Row],[ID-VOIE]]),0)),"")</f>
        <v>ET</v>
      </c>
      <c r="AK709" s="72" t="str">
        <f>IFERROR(INDEX(Tableau2[TS],SUMPRODUCT((Tableau2[Ref-Carte]=Tableau3[[#This Row],[Ref-Carte2]])*(Tableau2[ID-Voie]=Tableau3[[#This Row],[ID-VOIE]])*ROW(Tableau2[TS]))-ROW(Tableau2[#Headers])),"")</f>
        <v>ET</v>
      </c>
      <c r="AL709" s="72" t="str">
        <f>Tableau3[[#This Row],[Ref-Carte2]]&amp;"/"&amp;Tableau3[[#This Row],[ID-VOIE]]</f>
        <v>SDI1602/3</v>
      </c>
      <c r="AM709" s="73" t="str">
        <f>INDEX(Tableau2[Borne],MATCH(Tableau3[[#This Row],[ID-CARTEVOIE]],Tableau2[ID-CARTEVOIE],0))&amp;""</f>
        <v>1A</v>
      </c>
      <c r="AN709" s="74" t="str">
        <f>Tableau3[[#This Row],[ID-API]]&amp;Tableau3[[#This Row],[ID-RACK]]&amp;Tableau3[[#This Row],[ID-SLOT]]&amp;Tableau3[[#This Row],[BORNE]]</f>
        <v>5161A</v>
      </c>
      <c r="AO709" s="1"/>
    </row>
    <row r="710" spans="1:41" ht="20.100000000000001" customHeight="1" thickTop="1" thickBot="1">
      <c r="A710" s="68"/>
      <c r="B710" s="69" t="str">
        <f>IFERROR(INDEX(Tableau4[Date],MATCH($A710,Tableau4[EVO],0)),"")</f>
        <v/>
      </c>
      <c r="C710" s="68" t="str">
        <f>IFERROR(INDEX(Tableau4[Designation],MATCH($A710,Tableau4[EVO],0)),"")</f>
        <v/>
      </c>
      <c r="D710" s="68"/>
      <c r="E710" s="70">
        <v>3</v>
      </c>
      <c r="F710" s="71">
        <v>206</v>
      </c>
      <c r="G710" s="101" t="str">
        <f>INDEX(Tableau8[Att1],MATCH(Tableau3[[#This Row],[ID-INS]],Tableau8[ID],0))&amp;""</f>
        <v>V4</v>
      </c>
      <c r="H710" s="101" t="str">
        <f>INDEX(Tableau8[Att2],MATCH(Tableau3[[#This Row],[ID-INS]],Tableau8[ID],0))&amp;""</f>
        <v>P3</v>
      </c>
      <c r="I710" s="101" t="str">
        <f>INDEX(Tableau8[Att3],MATCH(Tableau3[[#This Row],[ID-INS]],Tableau8[ID],0))&amp;""</f>
        <v>Portail P3</v>
      </c>
      <c r="J710" s="101"/>
      <c r="K710" s="167" t="str">
        <f>INDEX(Tableau8[Nom du modele],MATCH(Tableau3[[#This Row],[ID-INS]],Tableau8[ID],0))&amp;""</f>
        <v>PortailR2V_1</v>
      </c>
      <c r="L710" s="155" t="s">
        <v>1692</v>
      </c>
      <c r="M710" s="99" t="str">
        <f>INDEX(Tableau5[Att2],MATCH(Tableau3[[#This Row],[ID-SIG]],Tableau5[ID],0))&amp;""</f>
        <v/>
      </c>
      <c r="N710" s="99" t="str">
        <f>INDEX(Tableau5[Att3],MATCH(Tableau3[[#This Row],[ID-SIG]],Tableau5[ID],0))&amp;""</f>
        <v/>
      </c>
      <c r="O710" s="99"/>
      <c r="P710" s="155" t="s">
        <v>1761</v>
      </c>
      <c r="Q710" s="99"/>
      <c r="R710" s="103" t="str">
        <f>Tableau3[[#This Row],[Description]]</f>
        <v>VANTAIL P3V2 - Retour d'état Gâche sortie</v>
      </c>
      <c r="S710" s="52"/>
      <c r="U710" s="87">
        <v>5</v>
      </c>
      <c r="V710" s="87">
        <v>1</v>
      </c>
      <c r="W710" s="87">
        <v>6</v>
      </c>
      <c r="X710" s="87">
        <v>4</v>
      </c>
      <c r="Y710" s="40"/>
      <c r="Z710" s="165" t="str">
        <f>INDEX(Tableau2[TS],MATCH(Tableau3[[#This Row],[ID-CARTEVOIE]],Tableau2[ID-CARTEVOIE],0))</f>
        <v>ET</v>
      </c>
      <c r="AA710" s="53" t="s">
        <v>213</v>
      </c>
      <c r="AB710" s="223" t="str">
        <f>IFERROR(INDEX(Tableau5[Reserve],MATCH(Tableau3[[#This Row],[ID-SIG]],Tableau5[ID],0))&amp;"","")</f>
        <v/>
      </c>
      <c r="AC710" s="21"/>
      <c r="AD710" s="108" t="str">
        <f>INDEX(Tableau7[Repere],MATCH(Tableau3[[#This Row],[ID-API]],Tableau7[ID-API],0))&amp;""</f>
        <v>A5</v>
      </c>
      <c r="AE710" s="108" t="str">
        <f>INDEX(Tableau1[Repere-Rack],MATCH(Tableau3[[#This Row],[ID-RACK]],Tableau1[ID-RACK],0))&amp;""</f>
        <v>R1</v>
      </c>
      <c r="AF710" s="108" t="str">
        <f>INDEX(Tableau1[Repere-Slot],MATCH(Tableau3[[#This Row],[ID-SLOT]],Tableau1[ID-SLOT],0))&amp;""</f>
        <v>S6</v>
      </c>
      <c r="AG710" s="108" t="str">
        <f>INDEX(Tableau2[Repere-Voie],MATCH(Tableau3[[#This Row],[ID-VOIE]],Tableau2[ID-Voie],0))&amp;""</f>
        <v>v4</v>
      </c>
      <c r="AH710" s="72" t="str">
        <f>Tableau3[[#This Row],[ID-API]]&amp; "." &amp;Tableau3[[#This Row],[ID-RACK]]&amp; "." &amp;Tableau3[[#This Row],[ID-SLOT]]</f>
        <v>5.1.6</v>
      </c>
      <c r="AI710" s="72" t="str">
        <f>INDEX(Tableau1[Ref-Carte],MATCH(Tableau3[[#This Row],[ID-RRS]],Tableau1[ID-RRS],0))</f>
        <v>SDI1602</v>
      </c>
      <c r="AJ710" s="72" t="str">
        <f t="array" ref="AJ710">IFERROR(INDEX(Tableau2[TS],MATCH(1,(Tableau2[Ref-Carte]=Tableau3[[#This Row],[Ref-Carte2]])*(Tableau2[ID-Voie]=Tableau3[[#This Row],[ID-VOIE]]),0)),"")</f>
        <v>ET</v>
      </c>
      <c r="AK710" s="72" t="str">
        <f>IFERROR(INDEX(Tableau2[TS],SUMPRODUCT((Tableau2[Ref-Carte]=Tableau3[[#This Row],[Ref-Carte2]])*(Tableau2[ID-Voie]=Tableau3[[#This Row],[ID-VOIE]])*ROW(Tableau2[TS]))-ROW(Tableau2[#Headers])),"")</f>
        <v>ET</v>
      </c>
      <c r="AL710" s="72" t="str">
        <f>Tableau3[[#This Row],[Ref-Carte2]]&amp;"/"&amp;Tableau3[[#This Row],[ID-VOIE]]</f>
        <v>SDI1602/4</v>
      </c>
      <c r="AM710" s="73" t="str">
        <f>INDEX(Tableau2[Borne],MATCH(Tableau3[[#This Row],[ID-CARTEVOIE]],Tableau2[ID-CARTEVOIE],0))&amp;""</f>
        <v>2B</v>
      </c>
      <c r="AN710" s="74" t="str">
        <f>Tableau3[[#This Row],[ID-API]]&amp;Tableau3[[#This Row],[ID-RACK]]&amp;Tableau3[[#This Row],[ID-SLOT]]&amp;Tableau3[[#This Row],[BORNE]]</f>
        <v>5162B</v>
      </c>
      <c r="AO710" s="1"/>
    </row>
    <row r="711" spans="1:41" ht="20.100000000000001" customHeight="1" thickTop="1" thickBot="1">
      <c r="A711" s="68"/>
      <c r="B711" s="69" t="str">
        <f>IFERROR(INDEX(Tableau4[Date],MATCH($A711,Tableau4[EVO],0)),"")</f>
        <v/>
      </c>
      <c r="C711" s="68" t="str">
        <f>IFERROR(INDEX(Tableau4[Designation],MATCH($A711,Tableau4[EVO],0)),"")</f>
        <v/>
      </c>
      <c r="D711" s="68"/>
      <c r="E711" s="70">
        <v>3</v>
      </c>
      <c r="F711" s="71">
        <v>209</v>
      </c>
      <c r="G711" s="101" t="str">
        <f>INDEX(Tableau8[Att1],MATCH(Tableau3[[#This Row],[ID-INS]],Tableau8[ID],0))&amp;""</f>
        <v>V4</v>
      </c>
      <c r="H711" s="101" t="str">
        <f>INDEX(Tableau8[Att2],MATCH(Tableau3[[#This Row],[ID-INS]],Tableau8[ID],0))&amp;""</f>
        <v>P3</v>
      </c>
      <c r="I711" s="101" t="str">
        <f>INDEX(Tableau8[Att3],MATCH(Tableau3[[#This Row],[ID-INS]],Tableau8[ID],0))&amp;""</f>
        <v>Portail P3</v>
      </c>
      <c r="J711" s="101"/>
      <c r="K711" s="167" t="str">
        <f>INDEX(Tableau8[Nom du modele],MATCH(Tableau3[[#This Row],[ID-INS]],Tableau8[ID],0))&amp;""</f>
        <v>PortailR2V_1</v>
      </c>
      <c r="L711" s="99" t="str">
        <f>INDEX(Tableau5[Att1],MATCH(Tableau3[[#This Row],[ID-SIG]],Tableau5[ID],0))&amp;""</f>
        <v>V2_GrpHydRet2</v>
      </c>
      <c r="M711" s="99" t="str">
        <f>INDEX(Tableau5[Att2],MATCH(Tableau3[[#This Row],[ID-SIG]],Tableau5[ID],0))&amp;""</f>
        <v/>
      </c>
      <c r="N711" s="99" t="str">
        <f>INDEX(Tableau5[Att3],MATCH(Tableau3[[#This Row],[ID-SIG]],Tableau5[ID],0))&amp;""</f>
        <v/>
      </c>
      <c r="O711" s="99"/>
      <c r="P711" s="99" t="str">
        <f>INDEX(Tableau5[Description],MATCH(Tableau3[[#This Row],[ID-SIG]],Tableau5[ID],0))</f>
        <v>Retour Commande 2 marche groupe hydraulique vantail 2</v>
      </c>
      <c r="Q711" s="99"/>
      <c r="R711" s="103" t="str">
        <f>Tableau3[[#This Row],[Description]]</f>
        <v>Retour Commande 2 marche groupe hydraulique vantail 2</v>
      </c>
      <c r="S711" s="52"/>
      <c r="U711" s="87">
        <v>5</v>
      </c>
      <c r="V711" s="87">
        <v>1</v>
      </c>
      <c r="W711" s="87">
        <v>6</v>
      </c>
      <c r="X711" s="87">
        <v>5</v>
      </c>
      <c r="Y711" s="40"/>
      <c r="Z711" s="165" t="str">
        <f>INDEX(Tableau2[TS],MATCH(Tableau3[[#This Row],[ID-CARTEVOIE]],Tableau2[ID-CARTEVOIE],0))</f>
        <v>ET</v>
      </c>
      <c r="AA711" s="53" t="s">
        <v>213</v>
      </c>
      <c r="AB711" s="223" t="str">
        <f>IFERROR(INDEX(Tableau5[Reserve],MATCH(Tableau3[[#This Row],[ID-SIG]],Tableau5[ID],0))&amp;"","")</f>
        <v/>
      </c>
      <c r="AC711" s="21"/>
      <c r="AD711" s="108" t="str">
        <f>INDEX(Tableau7[Repere],MATCH(Tableau3[[#This Row],[ID-API]],Tableau7[ID-API],0))&amp;""</f>
        <v>A5</v>
      </c>
      <c r="AE711" s="108" t="str">
        <f>INDEX(Tableau1[Repere-Rack],MATCH(Tableau3[[#This Row],[ID-RACK]],Tableau1[ID-RACK],0))&amp;""</f>
        <v>R1</v>
      </c>
      <c r="AF711" s="108" t="str">
        <f>INDEX(Tableau1[Repere-Slot],MATCH(Tableau3[[#This Row],[ID-SLOT]],Tableau1[ID-SLOT],0))&amp;""</f>
        <v>S6</v>
      </c>
      <c r="AG711" s="108" t="str">
        <f>INDEX(Tableau2[Repere-Voie],MATCH(Tableau3[[#This Row],[ID-VOIE]],Tableau2[ID-Voie],0))&amp;""</f>
        <v>v5</v>
      </c>
      <c r="AH711" s="72" t="str">
        <f>Tableau3[[#This Row],[ID-API]]&amp; "." &amp;Tableau3[[#This Row],[ID-RACK]]&amp; "." &amp;Tableau3[[#This Row],[ID-SLOT]]</f>
        <v>5.1.6</v>
      </c>
      <c r="AI711" s="72" t="str">
        <f>INDEX(Tableau1[Ref-Carte],MATCH(Tableau3[[#This Row],[ID-RRS]],Tableau1[ID-RRS],0))</f>
        <v>SDI1602</v>
      </c>
      <c r="AJ711" s="72" t="str">
        <f t="array" ref="AJ711">IFERROR(INDEX(Tableau2[TS],MATCH(1,(Tableau2[Ref-Carte]=Tableau3[[#This Row],[Ref-Carte2]])*(Tableau2[ID-Voie]=Tableau3[[#This Row],[ID-VOIE]]),0)),"")</f>
        <v>ET</v>
      </c>
      <c r="AK711" s="72" t="str">
        <f>IFERROR(INDEX(Tableau2[TS],SUMPRODUCT((Tableau2[Ref-Carte]=Tableau3[[#This Row],[Ref-Carte2]])*(Tableau2[ID-Voie]=Tableau3[[#This Row],[ID-VOIE]])*ROW(Tableau2[TS]))-ROW(Tableau2[#Headers])),"")</f>
        <v>ET</v>
      </c>
      <c r="AL711" s="72" t="str">
        <f>Tableau3[[#This Row],[Ref-Carte2]]&amp;"/"&amp;Tableau3[[#This Row],[ID-VOIE]]</f>
        <v>SDI1602/5</v>
      </c>
      <c r="AM711" s="73" t="str">
        <f>INDEX(Tableau2[Borne],MATCH(Tableau3[[#This Row],[ID-CARTEVOIE]],Tableau2[ID-CARTEVOIE],0))&amp;""</f>
        <v>2A</v>
      </c>
      <c r="AN711" s="74" t="str">
        <f>Tableau3[[#This Row],[ID-API]]&amp;Tableau3[[#This Row],[ID-RACK]]&amp;Tableau3[[#This Row],[ID-SLOT]]&amp;Tableau3[[#This Row],[BORNE]]</f>
        <v>5162A</v>
      </c>
      <c r="AO711" s="1"/>
    </row>
    <row r="712" spans="1:41" ht="20.100000000000001" customHeight="1" thickTop="1" thickBot="1">
      <c r="A712" s="68"/>
      <c r="B712" s="69" t="str">
        <f>IFERROR(INDEX(Tableau4[Date],MATCH($A712,Tableau4[EVO],0)),"")</f>
        <v/>
      </c>
      <c r="C712" s="68" t="str">
        <f>IFERROR(INDEX(Tableau4[Designation],MATCH($A712,Tableau4[EVO],0)),"")</f>
        <v/>
      </c>
      <c r="D712" s="68"/>
      <c r="E712" s="70">
        <v>3</v>
      </c>
      <c r="F712" s="71">
        <v>210</v>
      </c>
      <c r="G712" s="101" t="str">
        <f>INDEX(Tableau8[Att1],MATCH(Tableau3[[#This Row],[ID-INS]],Tableau8[ID],0))&amp;""</f>
        <v>V4</v>
      </c>
      <c r="H712" s="101" t="str">
        <f>INDEX(Tableau8[Att2],MATCH(Tableau3[[#This Row],[ID-INS]],Tableau8[ID],0))&amp;""</f>
        <v>P3</v>
      </c>
      <c r="I712" s="101" t="str">
        <f>INDEX(Tableau8[Att3],MATCH(Tableau3[[#This Row],[ID-INS]],Tableau8[ID],0))&amp;""</f>
        <v>Portail P3</v>
      </c>
      <c r="J712" s="101"/>
      <c r="K712" s="167" t="str">
        <f>INDEX(Tableau8[Nom du modele],MATCH(Tableau3[[#This Row],[ID-INS]],Tableau8[ID],0))&amp;""</f>
        <v>PortailR2V_1</v>
      </c>
      <c r="L712" s="99" t="str">
        <f>INDEX(Tableau5[Att1],MATCH(Tableau3[[#This Row],[ID-SIG]],Tableau5[ID],0))&amp;""</f>
        <v>V2_FerRet2</v>
      </c>
      <c r="M712" s="99" t="str">
        <f>INDEX(Tableau5[Att2],MATCH(Tableau3[[#This Row],[ID-SIG]],Tableau5[ID],0))&amp;""</f>
        <v/>
      </c>
      <c r="N712" s="99" t="str">
        <f>INDEX(Tableau5[Att3],MATCH(Tableau3[[#This Row],[ID-SIG]],Tableau5[ID],0))&amp;""</f>
        <v/>
      </c>
      <c r="O712" s="99"/>
      <c r="P712" s="99" t="str">
        <f>INDEX(Tableau5[Description],MATCH(Tableau3[[#This Row],[ID-SIG]],Tableau5[ID],0))</f>
        <v>Retour Commande 2 fermeture vantail 2</v>
      </c>
      <c r="Q712" s="99"/>
      <c r="R712" s="103" t="str">
        <f>Tableau3[[#This Row],[Description]]</f>
        <v>Retour Commande 2 fermeture vantail 2</v>
      </c>
      <c r="S712" s="52"/>
      <c r="U712" s="87">
        <v>5</v>
      </c>
      <c r="V712" s="87">
        <v>1</v>
      </c>
      <c r="W712" s="87">
        <v>6</v>
      </c>
      <c r="X712" s="87">
        <v>6</v>
      </c>
      <c r="Y712" s="40"/>
      <c r="Z712" s="165" t="str">
        <f>INDEX(Tableau2[TS],MATCH(Tableau3[[#This Row],[ID-CARTEVOIE]],Tableau2[ID-CARTEVOIE],0))</f>
        <v>ET</v>
      </c>
      <c r="AA712" s="53" t="s">
        <v>213</v>
      </c>
      <c r="AB712" s="223" t="str">
        <f>IFERROR(INDEX(Tableau5[Reserve],MATCH(Tableau3[[#This Row],[ID-SIG]],Tableau5[ID],0))&amp;"","")</f>
        <v/>
      </c>
      <c r="AC712" s="21"/>
      <c r="AD712" s="108" t="str">
        <f>INDEX(Tableau7[Repere],MATCH(Tableau3[[#This Row],[ID-API]],Tableau7[ID-API],0))&amp;""</f>
        <v>A5</v>
      </c>
      <c r="AE712" s="108" t="str">
        <f>INDEX(Tableau1[Repere-Rack],MATCH(Tableau3[[#This Row],[ID-RACK]],Tableau1[ID-RACK],0))&amp;""</f>
        <v>R1</v>
      </c>
      <c r="AF712" s="108" t="str">
        <f>INDEX(Tableau1[Repere-Slot],MATCH(Tableau3[[#This Row],[ID-SLOT]],Tableau1[ID-SLOT],0))&amp;""</f>
        <v>S6</v>
      </c>
      <c r="AG712" s="108" t="str">
        <f>INDEX(Tableau2[Repere-Voie],MATCH(Tableau3[[#This Row],[ID-VOIE]],Tableau2[ID-Voie],0))&amp;""</f>
        <v>v6</v>
      </c>
      <c r="AH712" s="72" t="str">
        <f>Tableau3[[#This Row],[ID-API]]&amp; "." &amp;Tableau3[[#This Row],[ID-RACK]]&amp; "." &amp;Tableau3[[#This Row],[ID-SLOT]]</f>
        <v>5.1.6</v>
      </c>
      <c r="AI712" s="72" t="str">
        <f>INDEX(Tableau1[Ref-Carte],MATCH(Tableau3[[#This Row],[ID-RRS]],Tableau1[ID-RRS],0))</f>
        <v>SDI1602</v>
      </c>
      <c r="AJ712" s="72" t="str">
        <f t="array" ref="AJ712">IFERROR(INDEX(Tableau2[TS],MATCH(1,(Tableau2[Ref-Carte]=Tableau3[[#This Row],[Ref-Carte2]])*(Tableau2[ID-Voie]=Tableau3[[#This Row],[ID-VOIE]]),0)),"")</f>
        <v>ET</v>
      </c>
      <c r="AK712" s="72" t="str">
        <f>IFERROR(INDEX(Tableau2[TS],SUMPRODUCT((Tableau2[Ref-Carte]=Tableau3[[#This Row],[Ref-Carte2]])*(Tableau2[ID-Voie]=Tableau3[[#This Row],[ID-VOIE]])*ROW(Tableau2[TS]))-ROW(Tableau2[#Headers])),"")</f>
        <v>ET</v>
      </c>
      <c r="AL712" s="72" t="str">
        <f>Tableau3[[#This Row],[Ref-Carte2]]&amp;"/"&amp;Tableau3[[#This Row],[ID-VOIE]]</f>
        <v>SDI1602/6</v>
      </c>
      <c r="AM712" s="73" t="str">
        <f>INDEX(Tableau2[Borne],MATCH(Tableau3[[#This Row],[ID-CARTEVOIE]],Tableau2[ID-CARTEVOIE],0))&amp;""</f>
        <v>3B</v>
      </c>
      <c r="AN712" s="74" t="str">
        <f>Tableau3[[#This Row],[ID-API]]&amp;Tableau3[[#This Row],[ID-RACK]]&amp;Tableau3[[#This Row],[ID-SLOT]]&amp;Tableau3[[#This Row],[BORNE]]</f>
        <v>5163B</v>
      </c>
      <c r="AO712" s="1"/>
    </row>
    <row r="713" spans="1:41" ht="20.100000000000001" customHeight="1" thickTop="1" thickBot="1">
      <c r="A713" s="68"/>
      <c r="B713" s="69" t="str">
        <f>IFERROR(INDEX(Tableau4[Date],MATCH($A713,Tableau4[EVO],0)),"")</f>
        <v/>
      </c>
      <c r="C713" s="68" t="str">
        <f>IFERROR(INDEX(Tableau4[Designation],MATCH($A713,Tableau4[EVO],0)),"")</f>
        <v/>
      </c>
      <c r="D713" s="68"/>
      <c r="E713" s="70">
        <v>3</v>
      </c>
      <c r="F713" s="71">
        <v>211</v>
      </c>
      <c r="G713" s="101" t="str">
        <f>INDEX(Tableau8[Att1],MATCH(Tableau3[[#This Row],[ID-INS]],Tableau8[ID],0))&amp;""</f>
        <v>V4</v>
      </c>
      <c r="H713" s="101" t="str">
        <f>INDEX(Tableau8[Att2],MATCH(Tableau3[[#This Row],[ID-INS]],Tableau8[ID],0))&amp;""</f>
        <v>P3</v>
      </c>
      <c r="I713" s="101" t="str">
        <f>INDEX(Tableau8[Att3],MATCH(Tableau3[[#This Row],[ID-INS]],Tableau8[ID],0))&amp;""</f>
        <v>Portail P3</v>
      </c>
      <c r="J713" s="101"/>
      <c r="K713" s="167" t="str">
        <f>INDEX(Tableau8[Nom du modele],MATCH(Tableau3[[#This Row],[ID-INS]],Tableau8[ID],0))&amp;""</f>
        <v>PortailR2V_1</v>
      </c>
      <c r="L713" s="99" t="str">
        <f>INDEX(Tableau5[Att1],MATCH(Tableau3[[#This Row],[ID-SIG]],Tableau5[ID],0))&amp;""</f>
        <v>V2_Fer2</v>
      </c>
      <c r="M713" s="99" t="str">
        <f>INDEX(Tableau5[Att2],MATCH(Tableau3[[#This Row],[ID-SIG]],Tableau5[ID],0))&amp;""</f>
        <v/>
      </c>
      <c r="N713" s="99" t="str">
        <f>INDEX(Tableau5[Att3],MATCH(Tableau3[[#This Row],[ID-SIG]],Tableau5[ID],0))&amp;""</f>
        <v/>
      </c>
      <c r="O713" s="99"/>
      <c r="P713" s="99" t="str">
        <f>INDEX(Tableau5[Description],MATCH(Tableau3[[#This Row],[ID-SIG]],Tableau5[ID],0))</f>
        <v>Vantail 2 en fdc Fermé 2</v>
      </c>
      <c r="Q713" s="99"/>
      <c r="R713" s="103" t="str">
        <f>Tableau3[[#This Row],[Description]]</f>
        <v>Vantail 2 en fdc Fermé 2</v>
      </c>
      <c r="S713" s="52"/>
      <c r="U713" s="87">
        <v>5</v>
      </c>
      <c r="V713" s="87">
        <v>1</v>
      </c>
      <c r="W713" s="87">
        <v>6</v>
      </c>
      <c r="X713" s="87">
        <v>7</v>
      </c>
      <c r="Y713" s="40"/>
      <c r="Z713" s="165" t="str">
        <f>INDEX(Tableau2[TS],MATCH(Tableau3[[#This Row],[ID-CARTEVOIE]],Tableau2[ID-CARTEVOIE],0))</f>
        <v>ET</v>
      </c>
      <c r="AA713" s="53" t="s">
        <v>213</v>
      </c>
      <c r="AB713" s="223" t="str">
        <f>IFERROR(INDEX(Tableau5[Reserve],MATCH(Tableau3[[#This Row],[ID-SIG]],Tableau5[ID],0))&amp;"","")</f>
        <v/>
      </c>
      <c r="AC713" s="21"/>
      <c r="AD713" s="108" t="str">
        <f>INDEX(Tableau7[Repere],MATCH(Tableau3[[#This Row],[ID-API]],Tableau7[ID-API],0))&amp;""</f>
        <v>A5</v>
      </c>
      <c r="AE713" s="108" t="str">
        <f>INDEX(Tableau1[Repere-Rack],MATCH(Tableau3[[#This Row],[ID-RACK]],Tableau1[ID-RACK],0))&amp;""</f>
        <v>R1</v>
      </c>
      <c r="AF713" s="108" t="str">
        <f>INDEX(Tableau1[Repere-Slot],MATCH(Tableau3[[#This Row],[ID-SLOT]],Tableau1[ID-SLOT],0))&amp;""</f>
        <v>S6</v>
      </c>
      <c r="AG713" s="108" t="str">
        <f>INDEX(Tableau2[Repere-Voie],MATCH(Tableau3[[#This Row],[ID-VOIE]],Tableau2[ID-Voie],0))&amp;""</f>
        <v>v7</v>
      </c>
      <c r="AH713" s="72" t="str">
        <f>Tableau3[[#This Row],[ID-API]]&amp; "." &amp;Tableau3[[#This Row],[ID-RACK]]&amp; "." &amp;Tableau3[[#This Row],[ID-SLOT]]</f>
        <v>5.1.6</v>
      </c>
      <c r="AI713" s="72" t="str">
        <f>INDEX(Tableau1[Ref-Carte],MATCH(Tableau3[[#This Row],[ID-RRS]],Tableau1[ID-RRS],0))</f>
        <v>SDI1602</v>
      </c>
      <c r="AJ713" s="72" t="str">
        <f t="array" ref="AJ713">IFERROR(INDEX(Tableau2[TS],MATCH(1,(Tableau2[Ref-Carte]=Tableau3[[#This Row],[Ref-Carte2]])*(Tableau2[ID-Voie]=Tableau3[[#This Row],[ID-VOIE]]),0)),"")</f>
        <v>ET</v>
      </c>
      <c r="AK713" s="72" t="str">
        <f>IFERROR(INDEX(Tableau2[TS],SUMPRODUCT((Tableau2[Ref-Carte]=Tableau3[[#This Row],[Ref-Carte2]])*(Tableau2[ID-Voie]=Tableau3[[#This Row],[ID-VOIE]])*ROW(Tableau2[TS]))-ROW(Tableau2[#Headers])),"")</f>
        <v>ET</v>
      </c>
      <c r="AL713" s="72" t="str">
        <f>Tableau3[[#This Row],[Ref-Carte2]]&amp;"/"&amp;Tableau3[[#This Row],[ID-VOIE]]</f>
        <v>SDI1602/7</v>
      </c>
      <c r="AM713" s="73" t="str">
        <f>INDEX(Tableau2[Borne],MATCH(Tableau3[[#This Row],[ID-CARTEVOIE]],Tableau2[ID-CARTEVOIE],0))&amp;""</f>
        <v>3A</v>
      </c>
      <c r="AN713" s="74" t="str">
        <f>Tableau3[[#This Row],[ID-API]]&amp;Tableau3[[#This Row],[ID-RACK]]&amp;Tableau3[[#This Row],[ID-SLOT]]&amp;Tableau3[[#This Row],[BORNE]]</f>
        <v>5163A</v>
      </c>
      <c r="AO713" s="1"/>
    </row>
    <row r="714" spans="1:41" ht="20.100000000000001" customHeight="1" thickTop="1" thickBot="1">
      <c r="A714" s="68"/>
      <c r="B714" s="69" t="str">
        <f>IFERROR(INDEX(Tableau4[Date],MATCH($A714,Tableau4[EVO],0)),"")</f>
        <v/>
      </c>
      <c r="C714" s="68" t="str">
        <f>IFERROR(INDEX(Tableau4[Designation],MATCH($A714,Tableau4[EVO],0)),"")</f>
        <v/>
      </c>
      <c r="D714" s="68"/>
      <c r="E714" s="70">
        <v>3</v>
      </c>
      <c r="F714" s="71">
        <v>217</v>
      </c>
      <c r="G714" s="101" t="str">
        <f>INDEX(Tableau8[Att1],MATCH(Tableau3[[#This Row],[ID-INS]],Tableau8[ID],0))&amp;""</f>
        <v>V4</v>
      </c>
      <c r="H714" s="101" t="str">
        <f>INDEX(Tableau8[Att2],MATCH(Tableau3[[#This Row],[ID-INS]],Tableau8[ID],0))&amp;""</f>
        <v>P3</v>
      </c>
      <c r="I714" s="101" t="str">
        <f>INDEX(Tableau8[Att3],MATCH(Tableau3[[#This Row],[ID-INS]],Tableau8[ID],0))&amp;""</f>
        <v>Portail P3</v>
      </c>
      <c r="J714" s="101"/>
      <c r="K714" s="167" t="str">
        <f>INDEX(Tableau8[Nom du modele],MATCH(Tableau3[[#This Row],[ID-INS]],Tableau8[ID],0))&amp;""</f>
        <v>PortailR2V_1</v>
      </c>
      <c r="L714" s="99" t="str">
        <f>INDEX(Tableau5[Att1],MATCH(Tableau3[[#This Row],[ID-SIG]],Tableau5[ID],0))&amp;""</f>
        <v>V1_Ouv</v>
      </c>
      <c r="M714" s="99" t="str">
        <f>INDEX(Tableau5[Att2],MATCH(Tableau3[[#This Row],[ID-SIG]],Tableau5[ID],0))&amp;""</f>
        <v/>
      </c>
      <c r="N714" s="99" t="str">
        <f>INDEX(Tableau5[Att3],MATCH(Tableau3[[#This Row],[ID-SIG]],Tableau5[ID],0))&amp;""</f>
        <v/>
      </c>
      <c r="O714" s="99"/>
      <c r="P714" s="99" t="str">
        <f>INDEX(Tableau5[Description],MATCH(Tableau3[[#This Row],[ID-SIG]],Tableau5[ID],0))</f>
        <v>Vantail 1 en fdc ouvert</v>
      </c>
      <c r="Q714" s="99"/>
      <c r="R714" s="103" t="str">
        <f>Tableau3[[#This Row],[Description]]</f>
        <v>Vantail 1 en fdc ouvert</v>
      </c>
      <c r="S714" s="52"/>
      <c r="U714" s="87">
        <v>5</v>
      </c>
      <c r="V714" s="87">
        <v>1</v>
      </c>
      <c r="W714" s="87">
        <v>6</v>
      </c>
      <c r="X714" s="87">
        <v>8</v>
      </c>
      <c r="Y714" s="40"/>
      <c r="Z714" s="165" t="str">
        <f>INDEX(Tableau2[TS],MATCH(Tableau3[[#This Row],[ID-CARTEVOIE]],Tableau2[ID-CARTEVOIE],0))</f>
        <v>ET</v>
      </c>
      <c r="AA714" s="53" t="s">
        <v>213</v>
      </c>
      <c r="AB714" s="223" t="str">
        <f>IFERROR(INDEX(Tableau5[Reserve],MATCH(Tableau3[[#This Row],[ID-SIG]],Tableau5[ID],0))&amp;"","")</f>
        <v/>
      </c>
      <c r="AC714" s="21"/>
      <c r="AD714" s="108" t="str">
        <f>INDEX(Tableau7[Repere],MATCH(Tableau3[[#This Row],[ID-API]],Tableau7[ID-API],0))&amp;""</f>
        <v>A5</v>
      </c>
      <c r="AE714" s="108" t="str">
        <f>INDEX(Tableau1[Repere-Rack],MATCH(Tableau3[[#This Row],[ID-RACK]],Tableau1[ID-RACK],0))&amp;""</f>
        <v>R1</v>
      </c>
      <c r="AF714" s="108" t="str">
        <f>INDEX(Tableau1[Repere-Slot],MATCH(Tableau3[[#This Row],[ID-SLOT]],Tableau1[ID-SLOT],0))&amp;""</f>
        <v>S6</v>
      </c>
      <c r="AG714" s="108" t="str">
        <f>INDEX(Tableau2[Repere-Voie],MATCH(Tableau3[[#This Row],[ID-VOIE]],Tableau2[ID-Voie],0))&amp;""</f>
        <v>v8</v>
      </c>
      <c r="AH714" s="72" t="str">
        <f>Tableau3[[#This Row],[ID-API]]&amp; "." &amp;Tableau3[[#This Row],[ID-RACK]]&amp; "." &amp;Tableau3[[#This Row],[ID-SLOT]]</f>
        <v>5.1.6</v>
      </c>
      <c r="AI714" s="72" t="str">
        <f>INDEX(Tableau1[Ref-Carte],MATCH(Tableau3[[#This Row],[ID-RRS]],Tableau1[ID-RRS],0))</f>
        <v>SDI1602</v>
      </c>
      <c r="AJ714" s="72" t="str">
        <f t="array" ref="AJ714">IFERROR(INDEX(Tableau2[TS],MATCH(1,(Tableau2[Ref-Carte]=Tableau3[[#This Row],[Ref-Carte2]])*(Tableau2[ID-Voie]=Tableau3[[#This Row],[ID-VOIE]]),0)),"")</f>
        <v>ET</v>
      </c>
      <c r="AK714" s="72" t="str">
        <f>IFERROR(INDEX(Tableau2[TS],SUMPRODUCT((Tableau2[Ref-Carte]=Tableau3[[#This Row],[Ref-Carte2]])*(Tableau2[ID-Voie]=Tableau3[[#This Row],[ID-VOIE]])*ROW(Tableau2[TS]))-ROW(Tableau2[#Headers])),"")</f>
        <v>ET</v>
      </c>
      <c r="AL714" s="72" t="str">
        <f>Tableau3[[#This Row],[Ref-Carte2]]&amp;"/"&amp;Tableau3[[#This Row],[ID-VOIE]]</f>
        <v>SDI1602/8</v>
      </c>
      <c r="AM714" s="73" t="str">
        <f>INDEX(Tableau2[Borne],MATCH(Tableau3[[#This Row],[ID-CARTEVOIE]],Tableau2[ID-CARTEVOIE],0))&amp;""</f>
        <v>4B</v>
      </c>
      <c r="AN714" s="74" t="str">
        <f>Tableau3[[#This Row],[ID-API]]&amp;Tableau3[[#This Row],[ID-RACK]]&amp;Tableau3[[#This Row],[ID-SLOT]]&amp;Tableau3[[#This Row],[BORNE]]</f>
        <v>5164B</v>
      </c>
      <c r="AO714" s="1"/>
    </row>
    <row r="715" spans="1:41" ht="20.100000000000001" customHeight="1" thickTop="1" thickBot="1">
      <c r="A715" s="68"/>
      <c r="B715" s="69" t="str">
        <f>IFERROR(INDEX(Tableau4[Date],MATCH($A715,Tableau4[EVO],0)),"")</f>
        <v/>
      </c>
      <c r="C715" s="68" t="str">
        <f>IFERROR(INDEX(Tableau4[Designation],MATCH($A715,Tableau4[EVO],0)),"")</f>
        <v/>
      </c>
      <c r="D715" s="68"/>
      <c r="E715" s="70">
        <v>3</v>
      </c>
      <c r="F715" s="71">
        <v>218</v>
      </c>
      <c r="G715" s="101" t="str">
        <f>INDEX(Tableau8[Att1],MATCH(Tableau3[[#This Row],[ID-INS]],Tableau8[ID],0))&amp;""</f>
        <v>V4</v>
      </c>
      <c r="H715" s="101" t="str">
        <f>INDEX(Tableau8[Att2],MATCH(Tableau3[[#This Row],[ID-INS]],Tableau8[ID],0))&amp;""</f>
        <v>P3</v>
      </c>
      <c r="I715" s="101" t="str">
        <f>INDEX(Tableau8[Att3],MATCH(Tableau3[[#This Row],[ID-INS]],Tableau8[ID],0))&amp;""</f>
        <v>Portail P3</v>
      </c>
      <c r="J715" s="101"/>
      <c r="K715" s="167" t="str">
        <f>INDEX(Tableau8[Nom du modele],MATCH(Tableau3[[#This Row],[ID-INS]],Tableau8[ID],0))&amp;""</f>
        <v>PortailR2V_1</v>
      </c>
      <c r="L715" s="99" t="str">
        <f>INDEX(Tableau5[Att1],MATCH(Tableau3[[#This Row],[ID-SIG]],Tableau5[ID],0))&amp;""</f>
        <v>V1_Fer1</v>
      </c>
      <c r="M715" s="99" t="str">
        <f>INDEX(Tableau5[Att2],MATCH(Tableau3[[#This Row],[ID-SIG]],Tableau5[ID],0))&amp;""</f>
        <v/>
      </c>
      <c r="N715" s="99" t="str">
        <f>INDEX(Tableau5[Att3],MATCH(Tableau3[[#This Row],[ID-SIG]],Tableau5[ID],0))&amp;""</f>
        <v/>
      </c>
      <c r="O715" s="99"/>
      <c r="P715" s="99" t="str">
        <f>INDEX(Tableau5[Description],MATCH(Tableau3[[#This Row],[ID-SIG]],Tableau5[ID],0))</f>
        <v>Vantail 1 en fdc fermé 1</v>
      </c>
      <c r="Q715" s="99"/>
      <c r="R715" s="103" t="str">
        <f>Tableau3[[#This Row],[Description]]</f>
        <v>Vantail 1 en fdc fermé 1</v>
      </c>
      <c r="S715" s="52"/>
      <c r="U715" s="87">
        <v>5</v>
      </c>
      <c r="V715" s="87">
        <v>1</v>
      </c>
      <c r="W715" s="87">
        <v>6</v>
      </c>
      <c r="X715" s="87">
        <v>9</v>
      </c>
      <c r="Y715" s="40"/>
      <c r="Z715" s="165" t="str">
        <f>INDEX(Tableau2[TS],MATCH(Tableau3[[#This Row],[ID-CARTEVOIE]],Tableau2[ID-CARTEVOIE],0))</f>
        <v>ET</v>
      </c>
      <c r="AA715" s="53" t="s">
        <v>213</v>
      </c>
      <c r="AB715" s="223" t="str">
        <f>IFERROR(INDEX(Tableau5[Reserve],MATCH(Tableau3[[#This Row],[ID-SIG]],Tableau5[ID],0))&amp;"","")</f>
        <v/>
      </c>
      <c r="AC715" s="21"/>
      <c r="AD715" s="108" t="str">
        <f>INDEX(Tableau7[Repere],MATCH(Tableau3[[#This Row],[ID-API]],Tableau7[ID-API],0))&amp;""</f>
        <v>A5</v>
      </c>
      <c r="AE715" s="108" t="str">
        <f>INDEX(Tableau1[Repere-Rack],MATCH(Tableau3[[#This Row],[ID-RACK]],Tableau1[ID-RACK],0))&amp;""</f>
        <v>R1</v>
      </c>
      <c r="AF715" s="108" t="str">
        <f>INDEX(Tableau1[Repere-Slot],MATCH(Tableau3[[#This Row],[ID-SLOT]],Tableau1[ID-SLOT],0))&amp;""</f>
        <v>S6</v>
      </c>
      <c r="AG715" s="108" t="str">
        <f>INDEX(Tableau2[Repere-Voie],MATCH(Tableau3[[#This Row],[ID-VOIE]],Tableau2[ID-Voie],0))&amp;""</f>
        <v>v9</v>
      </c>
      <c r="AH715" s="72" t="str">
        <f>Tableau3[[#This Row],[ID-API]]&amp; "." &amp;Tableau3[[#This Row],[ID-RACK]]&amp; "." &amp;Tableau3[[#This Row],[ID-SLOT]]</f>
        <v>5.1.6</v>
      </c>
      <c r="AI715" s="72" t="str">
        <f>INDEX(Tableau1[Ref-Carte],MATCH(Tableau3[[#This Row],[ID-RRS]],Tableau1[ID-RRS],0))</f>
        <v>SDI1602</v>
      </c>
      <c r="AJ715" s="72" t="str">
        <f t="array" ref="AJ715">IFERROR(INDEX(Tableau2[TS],MATCH(1,(Tableau2[Ref-Carte]=Tableau3[[#This Row],[Ref-Carte2]])*(Tableau2[ID-Voie]=Tableau3[[#This Row],[ID-VOIE]]),0)),"")</f>
        <v>ET</v>
      </c>
      <c r="AK715" s="72" t="str">
        <f>IFERROR(INDEX(Tableau2[TS],SUMPRODUCT((Tableau2[Ref-Carte]=Tableau3[[#This Row],[Ref-Carte2]])*(Tableau2[ID-Voie]=Tableau3[[#This Row],[ID-VOIE]])*ROW(Tableau2[TS]))-ROW(Tableau2[#Headers])),"")</f>
        <v>ET</v>
      </c>
      <c r="AL715" s="72" t="str">
        <f>Tableau3[[#This Row],[Ref-Carte2]]&amp;"/"&amp;Tableau3[[#This Row],[ID-VOIE]]</f>
        <v>SDI1602/9</v>
      </c>
      <c r="AM715" s="73" t="str">
        <f>INDEX(Tableau2[Borne],MATCH(Tableau3[[#This Row],[ID-CARTEVOIE]],Tableau2[ID-CARTEVOIE],0))&amp;""</f>
        <v>4A</v>
      </c>
      <c r="AN715" s="74" t="str">
        <f>Tableau3[[#This Row],[ID-API]]&amp;Tableau3[[#This Row],[ID-RACK]]&amp;Tableau3[[#This Row],[ID-SLOT]]&amp;Tableau3[[#This Row],[BORNE]]</f>
        <v>5164A</v>
      </c>
      <c r="AO715" s="1"/>
    </row>
    <row r="716" spans="1:41" ht="20.100000000000001" customHeight="1" thickTop="1" thickBot="1">
      <c r="A716" s="68"/>
      <c r="B716" s="69" t="str">
        <f>IFERROR(INDEX(Tableau4[Date],MATCH($A716,Tableau4[EVO],0)),"")</f>
        <v/>
      </c>
      <c r="C716" s="68" t="str">
        <f>IFERROR(INDEX(Tableau4[Designation],MATCH($A716,Tableau4[EVO],0)),"")</f>
        <v/>
      </c>
      <c r="D716" s="68"/>
      <c r="E716" s="70">
        <v>3</v>
      </c>
      <c r="F716" s="71">
        <v>219</v>
      </c>
      <c r="G716" s="101" t="str">
        <f>INDEX(Tableau8[Att1],MATCH(Tableau3[[#This Row],[ID-INS]],Tableau8[ID],0))&amp;""</f>
        <v>V4</v>
      </c>
      <c r="H716" s="101" t="str">
        <f>INDEX(Tableau8[Att2],MATCH(Tableau3[[#This Row],[ID-INS]],Tableau8[ID],0))&amp;""</f>
        <v>P3</v>
      </c>
      <c r="I716" s="101" t="str">
        <f>INDEX(Tableau8[Att3],MATCH(Tableau3[[#This Row],[ID-INS]],Tableau8[ID],0))&amp;""</f>
        <v>Portail P3</v>
      </c>
      <c r="J716" s="101"/>
      <c r="K716" s="167" t="str">
        <f>INDEX(Tableau8[Nom du modele],MATCH(Tableau3[[#This Row],[ID-INS]],Tableau8[ID],0))&amp;""</f>
        <v>PortailR2V_1</v>
      </c>
      <c r="L716" s="99" t="str">
        <f>INDEX(Tableau5[Att1],MATCH(Tableau3[[#This Row],[ID-SIG]],Tableau5[ID],0))&amp;""</f>
        <v>V1_OuvProtect</v>
      </c>
      <c r="M716" s="99" t="str">
        <f>INDEX(Tableau5[Att2],MATCH(Tableau3[[#This Row],[ID-SIG]],Tableau5[ID],0))&amp;""</f>
        <v/>
      </c>
      <c r="N716" s="99" t="str">
        <f>INDEX(Tableau5[Att3],MATCH(Tableau3[[#This Row],[ID-SIG]],Tableau5[ID],0))&amp;""</f>
        <v/>
      </c>
      <c r="O716" s="99"/>
      <c r="P716" s="99" t="str">
        <f>INDEX(Tableau5[Description],MATCH(Tableau3[[#This Row],[ID-SIG]],Tableau5[ID],0))</f>
        <v>Vantail 1 Protection à l'ouverture par bande ou lame palpeuse</v>
      </c>
      <c r="Q716" s="99"/>
      <c r="R716" s="103" t="str">
        <f>Tableau3[[#This Row],[Description]]</f>
        <v>Vantail 1 Protection à l'ouverture par bande ou lame palpeuse</v>
      </c>
      <c r="S716" s="52"/>
      <c r="U716" s="87">
        <v>5</v>
      </c>
      <c r="V716" s="87">
        <v>1</v>
      </c>
      <c r="W716" s="87">
        <v>6</v>
      </c>
      <c r="X716" s="87">
        <v>10</v>
      </c>
      <c r="Y716" s="40"/>
      <c r="Z716" s="165" t="str">
        <f>INDEX(Tableau2[TS],MATCH(Tableau3[[#This Row],[ID-CARTEVOIE]],Tableau2[ID-CARTEVOIE],0))</f>
        <v>ET</v>
      </c>
      <c r="AA716" s="53" t="s">
        <v>213</v>
      </c>
      <c r="AB716" s="223" t="str">
        <f>IFERROR(INDEX(Tableau5[Reserve],MATCH(Tableau3[[#This Row],[ID-SIG]],Tableau5[ID],0))&amp;"","")</f>
        <v/>
      </c>
      <c r="AC716" s="21"/>
      <c r="AD716" s="108" t="str">
        <f>INDEX(Tableau7[Repere],MATCH(Tableau3[[#This Row],[ID-API]],Tableau7[ID-API],0))&amp;""</f>
        <v>A5</v>
      </c>
      <c r="AE716" s="108" t="str">
        <f>INDEX(Tableau1[Repere-Rack],MATCH(Tableau3[[#This Row],[ID-RACK]],Tableau1[ID-RACK],0))&amp;""</f>
        <v>R1</v>
      </c>
      <c r="AF716" s="108" t="str">
        <f>INDEX(Tableau1[Repere-Slot],MATCH(Tableau3[[#This Row],[ID-SLOT]],Tableau1[ID-SLOT],0))&amp;""</f>
        <v>S6</v>
      </c>
      <c r="AG716" s="108" t="str">
        <f>INDEX(Tableau2[Repere-Voie],MATCH(Tableau3[[#This Row],[ID-VOIE]],Tableau2[ID-Voie],0))&amp;""</f>
        <v>v10</v>
      </c>
      <c r="AH716" s="72" t="str">
        <f>Tableau3[[#This Row],[ID-API]]&amp; "." &amp;Tableau3[[#This Row],[ID-RACK]]&amp; "." &amp;Tableau3[[#This Row],[ID-SLOT]]</f>
        <v>5.1.6</v>
      </c>
      <c r="AI716" s="72" t="str">
        <f>INDEX(Tableau1[Ref-Carte],MATCH(Tableau3[[#This Row],[ID-RRS]],Tableau1[ID-RRS],0))</f>
        <v>SDI1602</v>
      </c>
      <c r="AJ716" s="72" t="str">
        <f t="array" ref="AJ716">IFERROR(INDEX(Tableau2[TS],MATCH(1,(Tableau2[Ref-Carte]=Tableau3[[#This Row],[Ref-Carte2]])*(Tableau2[ID-Voie]=Tableau3[[#This Row],[ID-VOIE]]),0)),"")</f>
        <v>ET</v>
      </c>
      <c r="AK716" s="72" t="str">
        <f>IFERROR(INDEX(Tableau2[TS],SUMPRODUCT((Tableau2[Ref-Carte]=Tableau3[[#This Row],[Ref-Carte2]])*(Tableau2[ID-Voie]=Tableau3[[#This Row],[ID-VOIE]])*ROW(Tableau2[TS]))-ROW(Tableau2[#Headers])),"")</f>
        <v>ET</v>
      </c>
      <c r="AL716" s="72" t="str">
        <f>Tableau3[[#This Row],[Ref-Carte2]]&amp;"/"&amp;Tableau3[[#This Row],[ID-VOIE]]</f>
        <v>SDI1602/10</v>
      </c>
      <c r="AM716" s="73" t="str">
        <f>INDEX(Tableau2[Borne],MATCH(Tableau3[[#This Row],[ID-CARTEVOIE]],Tableau2[ID-CARTEVOIE],0))&amp;""</f>
        <v>5B</v>
      </c>
      <c r="AN716" s="74" t="str">
        <f>Tableau3[[#This Row],[ID-API]]&amp;Tableau3[[#This Row],[ID-RACK]]&amp;Tableau3[[#This Row],[ID-SLOT]]&amp;Tableau3[[#This Row],[BORNE]]</f>
        <v>5165B</v>
      </c>
      <c r="AO716" s="1"/>
    </row>
    <row r="717" spans="1:41" ht="20.100000000000001" customHeight="1" thickTop="1" thickBot="1">
      <c r="A717" s="68"/>
      <c r="B717" s="69" t="str">
        <f>IFERROR(INDEX(Tableau4[Date],MATCH($A717,Tableau4[EVO],0)),"")</f>
        <v/>
      </c>
      <c r="C717" s="68" t="str">
        <f>IFERROR(INDEX(Tableau4[Designation],MATCH($A717,Tableau4[EVO],0)),"")</f>
        <v/>
      </c>
      <c r="D717" s="68"/>
      <c r="E717" s="70">
        <v>3</v>
      </c>
      <c r="F717" s="71">
        <v>220</v>
      </c>
      <c r="G717" s="101" t="str">
        <f>INDEX(Tableau8[Att1],MATCH(Tableau3[[#This Row],[ID-INS]],Tableau8[ID],0))&amp;""</f>
        <v>V4</v>
      </c>
      <c r="H717" s="101" t="str">
        <f>INDEX(Tableau8[Att2],MATCH(Tableau3[[#This Row],[ID-INS]],Tableau8[ID],0))&amp;""</f>
        <v>P3</v>
      </c>
      <c r="I717" s="101" t="str">
        <f>INDEX(Tableau8[Att3],MATCH(Tableau3[[#This Row],[ID-INS]],Tableau8[ID],0))&amp;""</f>
        <v>Portail P3</v>
      </c>
      <c r="J717" s="101"/>
      <c r="K717" s="167" t="str">
        <f>INDEX(Tableau8[Nom du modele],MATCH(Tableau3[[#This Row],[ID-INS]],Tableau8[ID],0))&amp;""</f>
        <v>PortailR2V_1</v>
      </c>
      <c r="L717" s="99" t="str">
        <f>INDEX(Tableau5[Att1],MATCH(Tableau3[[#This Row],[ID-SIG]],Tableau5[ID],0))&amp;""</f>
        <v>V1_ProtectBarrage</v>
      </c>
      <c r="M717" s="99" t="str">
        <f>INDEX(Tableau5[Att2],MATCH(Tableau3[[#This Row],[ID-SIG]],Tableau5[ID],0))&amp;""</f>
        <v/>
      </c>
      <c r="N717" s="99" t="str">
        <f>INDEX(Tableau5[Att3],MATCH(Tableau3[[#This Row],[ID-SIG]],Tableau5[ID],0))&amp;""</f>
        <v/>
      </c>
      <c r="O717" s="99"/>
      <c r="P717" s="99" t="str">
        <f>INDEX(Tableau5[Description],MATCH(Tableau3[[#This Row],[ID-SIG]],Tableau5[ID],0))</f>
        <v>Vantail 1 Protection à fermeture et ouverture par barrage</v>
      </c>
      <c r="Q717" s="99"/>
      <c r="R717" s="103" t="str">
        <f>Tableau3[[#This Row],[Description]]</f>
        <v>Vantail 1 Protection à fermeture et ouverture par barrage</v>
      </c>
      <c r="S717" s="52"/>
      <c r="U717" s="87">
        <v>5</v>
      </c>
      <c r="V717" s="87">
        <v>1</v>
      </c>
      <c r="W717" s="87">
        <v>6</v>
      </c>
      <c r="X717" s="87">
        <v>11</v>
      </c>
      <c r="Y717" s="40"/>
      <c r="Z717" s="165" t="str">
        <f>INDEX(Tableau2[TS],MATCH(Tableau3[[#This Row],[ID-CARTEVOIE]],Tableau2[ID-CARTEVOIE],0))</f>
        <v>ET</v>
      </c>
      <c r="AA717" s="53" t="s">
        <v>213</v>
      </c>
      <c r="AB717" s="223" t="str">
        <f>IFERROR(INDEX(Tableau5[Reserve],MATCH(Tableau3[[#This Row],[ID-SIG]],Tableau5[ID],0))&amp;"","")</f>
        <v/>
      </c>
      <c r="AC717" s="21"/>
      <c r="AD717" s="108" t="str">
        <f>INDEX(Tableau7[Repere],MATCH(Tableau3[[#This Row],[ID-API]],Tableau7[ID-API],0))&amp;""</f>
        <v>A5</v>
      </c>
      <c r="AE717" s="108" t="str">
        <f>INDEX(Tableau1[Repere-Rack],MATCH(Tableau3[[#This Row],[ID-RACK]],Tableau1[ID-RACK],0))&amp;""</f>
        <v>R1</v>
      </c>
      <c r="AF717" s="108" t="str">
        <f>INDEX(Tableau1[Repere-Slot],MATCH(Tableau3[[#This Row],[ID-SLOT]],Tableau1[ID-SLOT],0))&amp;""</f>
        <v>S6</v>
      </c>
      <c r="AG717" s="108" t="str">
        <f>INDEX(Tableau2[Repere-Voie],MATCH(Tableau3[[#This Row],[ID-VOIE]],Tableau2[ID-Voie],0))&amp;""</f>
        <v>v11</v>
      </c>
      <c r="AH717" s="72" t="str">
        <f>Tableau3[[#This Row],[ID-API]]&amp; "." &amp;Tableau3[[#This Row],[ID-RACK]]&amp; "." &amp;Tableau3[[#This Row],[ID-SLOT]]</f>
        <v>5.1.6</v>
      </c>
      <c r="AI717" s="72" t="str">
        <f>INDEX(Tableau1[Ref-Carte],MATCH(Tableau3[[#This Row],[ID-RRS]],Tableau1[ID-RRS],0))</f>
        <v>SDI1602</v>
      </c>
      <c r="AJ717" s="72" t="str">
        <f t="array" ref="AJ717">IFERROR(INDEX(Tableau2[TS],MATCH(1,(Tableau2[Ref-Carte]=Tableau3[[#This Row],[Ref-Carte2]])*(Tableau2[ID-Voie]=Tableau3[[#This Row],[ID-VOIE]]),0)),"")</f>
        <v>ET</v>
      </c>
      <c r="AK717" s="72" t="str">
        <f>IFERROR(INDEX(Tableau2[TS],SUMPRODUCT((Tableau2[Ref-Carte]=Tableau3[[#This Row],[Ref-Carte2]])*(Tableau2[ID-Voie]=Tableau3[[#This Row],[ID-VOIE]])*ROW(Tableau2[TS]))-ROW(Tableau2[#Headers])),"")</f>
        <v>ET</v>
      </c>
      <c r="AL717" s="72" t="str">
        <f>Tableau3[[#This Row],[Ref-Carte2]]&amp;"/"&amp;Tableau3[[#This Row],[ID-VOIE]]</f>
        <v>SDI1602/11</v>
      </c>
      <c r="AM717" s="73" t="str">
        <f>INDEX(Tableau2[Borne],MATCH(Tableau3[[#This Row],[ID-CARTEVOIE]],Tableau2[ID-CARTEVOIE],0))&amp;""</f>
        <v>5A</v>
      </c>
      <c r="AN717" s="74" t="str">
        <f>Tableau3[[#This Row],[ID-API]]&amp;Tableau3[[#This Row],[ID-RACK]]&amp;Tableau3[[#This Row],[ID-SLOT]]&amp;Tableau3[[#This Row],[BORNE]]</f>
        <v>5165A</v>
      </c>
      <c r="AO717" s="1"/>
    </row>
    <row r="718" spans="1:41" ht="20.100000000000001" customHeight="1" thickTop="1" thickBot="1">
      <c r="A718" s="68"/>
      <c r="B718" s="69" t="str">
        <f>IFERROR(INDEX(Tableau4[Date],MATCH($A718,Tableau4[EVO],0)),"")</f>
        <v/>
      </c>
      <c r="C718" s="68" t="str">
        <f>IFERROR(INDEX(Tableau4[Designation],MATCH($A718,Tableau4[EVO],0)),"")</f>
        <v/>
      </c>
      <c r="D718" s="68"/>
      <c r="E718" s="70">
        <v>3</v>
      </c>
      <c r="F718" s="71">
        <v>221</v>
      </c>
      <c r="G718" s="101" t="str">
        <f>INDEX(Tableau8[Att1],MATCH(Tableau3[[#This Row],[ID-INS]],Tableau8[ID],0))&amp;""</f>
        <v>V4</v>
      </c>
      <c r="H718" s="101" t="str">
        <f>INDEX(Tableau8[Att2],MATCH(Tableau3[[#This Row],[ID-INS]],Tableau8[ID],0))&amp;""</f>
        <v>P3</v>
      </c>
      <c r="I718" s="101" t="str">
        <f>INDEX(Tableau8[Att3],MATCH(Tableau3[[#This Row],[ID-INS]],Tableau8[ID],0))&amp;""</f>
        <v>Portail P3</v>
      </c>
      <c r="J718" s="101"/>
      <c r="K718" s="167" t="str">
        <f>INDEX(Tableau8[Nom du modele],MATCH(Tableau3[[#This Row],[ID-INS]],Tableau8[ID],0))&amp;""</f>
        <v>PortailR2V_1</v>
      </c>
      <c r="L718" s="99" t="str">
        <f>INDEX(Tableau5[Att1],MATCH(Tableau3[[#This Row],[ID-SIG]],Tableau5[ID],0))&amp;""</f>
        <v>V1_FerProtect</v>
      </c>
      <c r="M718" s="99" t="str">
        <f>INDEX(Tableau5[Att2],MATCH(Tableau3[[#This Row],[ID-SIG]],Tableau5[ID],0))&amp;""</f>
        <v/>
      </c>
      <c r="N718" s="99" t="str">
        <f>INDEX(Tableau5[Att3],MATCH(Tableau3[[#This Row],[ID-SIG]],Tableau5[ID],0))&amp;""</f>
        <v/>
      </c>
      <c r="O718" s="99"/>
      <c r="P718" s="99" t="str">
        <f>INDEX(Tableau5[Description],MATCH(Tableau3[[#This Row],[ID-SIG]],Tableau5[ID],0))</f>
        <v>Vantail 1 Protection fermeture par bande palpeuse et barrage</v>
      </c>
      <c r="Q718" s="99"/>
      <c r="R718" s="103" t="str">
        <f>Tableau3[[#This Row],[Description]]</f>
        <v>Vantail 1 Protection fermeture par bande palpeuse et barrage</v>
      </c>
      <c r="S718" s="52"/>
      <c r="U718" s="87">
        <v>5</v>
      </c>
      <c r="V718" s="87">
        <v>1</v>
      </c>
      <c r="W718" s="87">
        <v>6</v>
      </c>
      <c r="X718" s="87">
        <v>12</v>
      </c>
      <c r="Y718" s="40"/>
      <c r="Z718" s="165" t="str">
        <f>INDEX(Tableau2[TS],MATCH(Tableau3[[#This Row],[ID-CARTEVOIE]],Tableau2[ID-CARTEVOIE],0))</f>
        <v>ET</v>
      </c>
      <c r="AA718" s="53" t="s">
        <v>213</v>
      </c>
      <c r="AB718" s="223" t="str">
        <f>IFERROR(INDEX(Tableau5[Reserve],MATCH(Tableau3[[#This Row],[ID-SIG]],Tableau5[ID],0))&amp;"","")</f>
        <v/>
      </c>
      <c r="AC718" s="21"/>
      <c r="AD718" s="108" t="str">
        <f>INDEX(Tableau7[Repere],MATCH(Tableau3[[#This Row],[ID-API]],Tableau7[ID-API],0))&amp;""</f>
        <v>A5</v>
      </c>
      <c r="AE718" s="108" t="str">
        <f>INDEX(Tableau1[Repere-Rack],MATCH(Tableau3[[#This Row],[ID-RACK]],Tableau1[ID-RACK],0))&amp;""</f>
        <v>R1</v>
      </c>
      <c r="AF718" s="108" t="str">
        <f>INDEX(Tableau1[Repere-Slot],MATCH(Tableau3[[#This Row],[ID-SLOT]],Tableau1[ID-SLOT],0))&amp;""</f>
        <v>S6</v>
      </c>
      <c r="AG718" s="108" t="str">
        <f>INDEX(Tableau2[Repere-Voie],MATCH(Tableau3[[#This Row],[ID-VOIE]],Tableau2[ID-Voie],0))&amp;""</f>
        <v>v12</v>
      </c>
      <c r="AH718" s="72" t="str">
        <f>Tableau3[[#This Row],[ID-API]]&amp; "." &amp;Tableau3[[#This Row],[ID-RACK]]&amp; "." &amp;Tableau3[[#This Row],[ID-SLOT]]</f>
        <v>5.1.6</v>
      </c>
      <c r="AI718" s="72" t="str">
        <f>INDEX(Tableau1[Ref-Carte],MATCH(Tableau3[[#This Row],[ID-RRS]],Tableau1[ID-RRS],0))</f>
        <v>SDI1602</v>
      </c>
      <c r="AJ718" s="72" t="str">
        <f t="array" ref="AJ718">IFERROR(INDEX(Tableau2[TS],MATCH(1,(Tableau2[Ref-Carte]=Tableau3[[#This Row],[Ref-Carte2]])*(Tableau2[ID-Voie]=Tableau3[[#This Row],[ID-VOIE]]),0)),"")</f>
        <v>ET</v>
      </c>
      <c r="AK718" s="72" t="str">
        <f>IFERROR(INDEX(Tableau2[TS],SUMPRODUCT((Tableau2[Ref-Carte]=Tableau3[[#This Row],[Ref-Carte2]])*(Tableau2[ID-Voie]=Tableau3[[#This Row],[ID-VOIE]])*ROW(Tableau2[TS]))-ROW(Tableau2[#Headers])),"")</f>
        <v>ET</v>
      </c>
      <c r="AL718" s="72" t="str">
        <f>Tableau3[[#This Row],[Ref-Carte2]]&amp;"/"&amp;Tableau3[[#This Row],[ID-VOIE]]</f>
        <v>SDI1602/12</v>
      </c>
      <c r="AM718" s="73" t="str">
        <f>INDEX(Tableau2[Borne],MATCH(Tableau3[[#This Row],[ID-CARTEVOIE]],Tableau2[ID-CARTEVOIE],0))&amp;""</f>
        <v>6B</v>
      </c>
      <c r="AN718" s="74" t="str">
        <f>Tableau3[[#This Row],[ID-API]]&amp;Tableau3[[#This Row],[ID-RACK]]&amp;Tableau3[[#This Row],[ID-SLOT]]&amp;Tableau3[[#This Row],[BORNE]]</f>
        <v>5166B</v>
      </c>
      <c r="AO718" s="1"/>
    </row>
    <row r="719" spans="1:41" ht="20.100000000000001" customHeight="1" thickTop="1" thickBot="1">
      <c r="A719" s="68"/>
      <c r="B719" s="69" t="str">
        <f>IFERROR(INDEX(Tableau4[Date],MATCH($A719,Tableau4[EVO],0)),"")</f>
        <v/>
      </c>
      <c r="C719" s="68" t="str">
        <f>IFERROR(INDEX(Tableau4[Designation],MATCH($A719,Tableau4[EVO],0)),"")</f>
        <v/>
      </c>
      <c r="D719" s="68"/>
      <c r="E719" s="70">
        <v>3</v>
      </c>
      <c r="F719" s="71">
        <v>222</v>
      </c>
      <c r="G719" s="101" t="str">
        <f>INDEX(Tableau8[Att1],MATCH(Tableau3[[#This Row],[ID-INS]],Tableau8[ID],0))&amp;""</f>
        <v>V4</v>
      </c>
      <c r="H719" s="101" t="str">
        <f>INDEX(Tableau8[Att2],MATCH(Tableau3[[#This Row],[ID-INS]],Tableau8[ID],0))&amp;""</f>
        <v>P3</v>
      </c>
      <c r="I719" s="101" t="str">
        <f>INDEX(Tableau8[Att3],MATCH(Tableau3[[#This Row],[ID-INS]],Tableau8[ID],0))&amp;""</f>
        <v>Portail P3</v>
      </c>
      <c r="J719" s="101"/>
      <c r="K719" s="167" t="str">
        <f>INDEX(Tableau8[Nom du modele],MATCH(Tableau3[[#This Row],[ID-INS]],Tableau8[ID],0))&amp;""</f>
        <v>PortailR2V_1</v>
      </c>
      <c r="L719" s="99" t="str">
        <f>INDEX(Tableau5[Att1],MATCH(Tableau3[[#This Row],[ID-SIG]],Tableau5[ID],0))&amp;""</f>
        <v>Vx_Disj</v>
      </c>
      <c r="M719" s="99" t="str">
        <f>INDEX(Tableau5[Att2],MATCH(Tableau3[[#This Row],[ID-SIG]],Tableau5[ID],0))&amp;""</f>
        <v/>
      </c>
      <c r="N719" s="99" t="str">
        <f>INDEX(Tableau5[Att3],MATCH(Tableau3[[#This Row],[ID-SIG]],Tableau5[ID],0))&amp;""</f>
        <v/>
      </c>
      <c r="O719" s="99"/>
      <c r="P719" s="99" t="str">
        <f>INDEX(Tableau5[Description],MATCH(Tableau3[[#This Row],[ID-SIG]],Tableau5[ID],0))</f>
        <v>Vantail 1 et 2 Disjonction (OF SD)</v>
      </c>
      <c r="Q719" s="99"/>
      <c r="R719" s="103" t="str">
        <f>Tableau3[[#This Row],[Description]]</f>
        <v>Vantail 1 et 2 Disjonction (OF SD)</v>
      </c>
      <c r="S719" s="52"/>
      <c r="U719" s="87">
        <v>5</v>
      </c>
      <c r="V719" s="87">
        <v>1</v>
      </c>
      <c r="W719" s="87">
        <v>6</v>
      </c>
      <c r="X719" s="87">
        <v>13</v>
      </c>
      <c r="Y719" s="40"/>
      <c r="Z719" s="165" t="str">
        <f>INDEX(Tableau2[TS],MATCH(Tableau3[[#This Row],[ID-CARTEVOIE]],Tableau2[ID-CARTEVOIE],0))</f>
        <v>ET</v>
      </c>
      <c r="AA719" s="53" t="s">
        <v>213</v>
      </c>
      <c r="AB719" s="223" t="str">
        <f>IFERROR(INDEX(Tableau5[Reserve],MATCH(Tableau3[[#This Row],[ID-SIG]],Tableau5[ID],0))&amp;"","")</f>
        <v/>
      </c>
      <c r="AC719" s="21"/>
      <c r="AD719" s="108" t="str">
        <f>INDEX(Tableau7[Repere],MATCH(Tableau3[[#This Row],[ID-API]],Tableau7[ID-API],0))&amp;""</f>
        <v>A5</v>
      </c>
      <c r="AE719" s="108" t="str">
        <f>INDEX(Tableau1[Repere-Rack],MATCH(Tableau3[[#This Row],[ID-RACK]],Tableau1[ID-RACK],0))&amp;""</f>
        <v>R1</v>
      </c>
      <c r="AF719" s="108" t="str">
        <f>INDEX(Tableau1[Repere-Slot],MATCH(Tableau3[[#This Row],[ID-SLOT]],Tableau1[ID-SLOT],0))&amp;""</f>
        <v>S6</v>
      </c>
      <c r="AG719" s="108" t="str">
        <f>INDEX(Tableau2[Repere-Voie],MATCH(Tableau3[[#This Row],[ID-VOIE]],Tableau2[ID-Voie],0))&amp;""</f>
        <v>v13</v>
      </c>
      <c r="AH719" s="72" t="str">
        <f>Tableau3[[#This Row],[ID-API]]&amp; "." &amp;Tableau3[[#This Row],[ID-RACK]]&amp; "." &amp;Tableau3[[#This Row],[ID-SLOT]]</f>
        <v>5.1.6</v>
      </c>
      <c r="AI719" s="72" t="str">
        <f>INDEX(Tableau1[Ref-Carte],MATCH(Tableau3[[#This Row],[ID-RRS]],Tableau1[ID-RRS],0))</f>
        <v>SDI1602</v>
      </c>
      <c r="AJ719" s="72" t="str">
        <f t="array" ref="AJ719">IFERROR(INDEX(Tableau2[TS],MATCH(1,(Tableau2[Ref-Carte]=Tableau3[[#This Row],[Ref-Carte2]])*(Tableau2[ID-Voie]=Tableau3[[#This Row],[ID-VOIE]]),0)),"")</f>
        <v>ET</v>
      </c>
      <c r="AK719" s="72" t="str">
        <f>IFERROR(INDEX(Tableau2[TS],SUMPRODUCT((Tableau2[Ref-Carte]=Tableau3[[#This Row],[Ref-Carte2]])*(Tableau2[ID-Voie]=Tableau3[[#This Row],[ID-VOIE]])*ROW(Tableau2[TS]))-ROW(Tableau2[#Headers])),"")</f>
        <v>ET</v>
      </c>
      <c r="AL719" s="72" t="str">
        <f>Tableau3[[#This Row],[Ref-Carte2]]&amp;"/"&amp;Tableau3[[#This Row],[ID-VOIE]]</f>
        <v>SDI1602/13</v>
      </c>
      <c r="AM719" s="73" t="str">
        <f>INDEX(Tableau2[Borne],MATCH(Tableau3[[#This Row],[ID-CARTEVOIE]],Tableau2[ID-CARTEVOIE],0))&amp;""</f>
        <v>6A</v>
      </c>
      <c r="AN719" s="74" t="str">
        <f>Tableau3[[#This Row],[ID-API]]&amp;Tableau3[[#This Row],[ID-RACK]]&amp;Tableau3[[#This Row],[ID-SLOT]]&amp;Tableau3[[#This Row],[BORNE]]</f>
        <v>5166A</v>
      </c>
      <c r="AO719" s="1"/>
    </row>
    <row r="720" spans="1:41" ht="20.100000000000001" customHeight="1" thickTop="1" thickBot="1">
      <c r="A720" s="68"/>
      <c r="B720" s="69" t="str">
        <f>IFERROR(INDEX(Tableau4[Date],MATCH($A720,Tableau4[EVO],0)),"")</f>
        <v/>
      </c>
      <c r="C720" s="68" t="str">
        <f>IFERROR(INDEX(Tableau4[Designation],MATCH($A720,Tableau4[EVO],0)),"")</f>
        <v/>
      </c>
      <c r="D720" s="68"/>
      <c r="E720" s="70">
        <v>3</v>
      </c>
      <c r="F720" s="71">
        <v>223</v>
      </c>
      <c r="G720" s="101" t="str">
        <f>INDEX(Tableau8[Att1],MATCH(Tableau3[[#This Row],[ID-INS]],Tableau8[ID],0))&amp;""</f>
        <v>V4</v>
      </c>
      <c r="H720" s="101" t="str">
        <f>INDEX(Tableau8[Att2],MATCH(Tableau3[[#This Row],[ID-INS]],Tableau8[ID],0))&amp;""</f>
        <v>P3</v>
      </c>
      <c r="I720" s="101" t="str">
        <f>INDEX(Tableau8[Att3],MATCH(Tableau3[[#This Row],[ID-INS]],Tableau8[ID],0))&amp;""</f>
        <v>Portail P3</v>
      </c>
      <c r="J720" s="101"/>
      <c r="K720" s="167" t="str">
        <f>INDEX(Tableau8[Nom du modele],MATCH(Tableau3[[#This Row],[ID-INS]],Tableau8[ID],0))&amp;""</f>
        <v>PortailR2V_1</v>
      </c>
      <c r="L720" s="99" t="str">
        <f>INDEX(Tableau5[Att1],MATCH(Tableau3[[#This Row],[ID-SIG]],Tableau5[ID],0))&amp;""</f>
        <v>V1_GrpHydRet1</v>
      </c>
      <c r="M720" s="99" t="str">
        <f>INDEX(Tableau5[Att2],MATCH(Tableau3[[#This Row],[ID-SIG]],Tableau5[ID],0))&amp;""</f>
        <v/>
      </c>
      <c r="N720" s="99" t="str">
        <f>INDEX(Tableau5[Att3],MATCH(Tableau3[[#This Row],[ID-SIG]],Tableau5[ID],0))&amp;""</f>
        <v/>
      </c>
      <c r="O720" s="99"/>
      <c r="P720" s="99" t="str">
        <f>INDEX(Tableau5[Description],MATCH(Tableau3[[#This Row],[ID-SIG]],Tableau5[ID],0))</f>
        <v>Retour Commande 1 marche groupe hydraulique vantail 1</v>
      </c>
      <c r="Q720" s="99"/>
      <c r="R720" s="103" t="str">
        <f>Tableau3[[#This Row],[Description]]</f>
        <v>Retour Commande 1 marche groupe hydraulique vantail 1</v>
      </c>
      <c r="S720" s="52"/>
      <c r="U720" s="87">
        <v>5</v>
      </c>
      <c r="V720" s="87">
        <v>1</v>
      </c>
      <c r="W720" s="87">
        <v>6</v>
      </c>
      <c r="X720" s="87">
        <v>14</v>
      </c>
      <c r="Y720" s="40"/>
      <c r="Z720" s="165" t="str">
        <f>INDEX(Tableau2[TS],MATCH(Tableau3[[#This Row],[ID-CARTEVOIE]],Tableau2[ID-CARTEVOIE],0))</f>
        <v>ET</v>
      </c>
      <c r="AA720" s="53" t="s">
        <v>213</v>
      </c>
      <c r="AB720" s="223" t="str">
        <f>IFERROR(INDEX(Tableau5[Reserve],MATCH(Tableau3[[#This Row],[ID-SIG]],Tableau5[ID],0))&amp;"","")</f>
        <v/>
      </c>
      <c r="AC720" s="21"/>
      <c r="AD720" s="108" t="str">
        <f>INDEX(Tableau7[Repere],MATCH(Tableau3[[#This Row],[ID-API]],Tableau7[ID-API],0))&amp;""</f>
        <v>A5</v>
      </c>
      <c r="AE720" s="108" t="str">
        <f>INDEX(Tableau1[Repere-Rack],MATCH(Tableau3[[#This Row],[ID-RACK]],Tableau1[ID-RACK],0))&amp;""</f>
        <v>R1</v>
      </c>
      <c r="AF720" s="108" t="str">
        <f>INDEX(Tableau1[Repere-Slot],MATCH(Tableau3[[#This Row],[ID-SLOT]],Tableau1[ID-SLOT],0))&amp;""</f>
        <v>S6</v>
      </c>
      <c r="AG720" s="108" t="str">
        <f>INDEX(Tableau2[Repere-Voie],MATCH(Tableau3[[#This Row],[ID-VOIE]],Tableau2[ID-Voie],0))&amp;""</f>
        <v>v14</v>
      </c>
      <c r="AH720" s="72" t="str">
        <f>Tableau3[[#This Row],[ID-API]]&amp; "." &amp;Tableau3[[#This Row],[ID-RACK]]&amp; "." &amp;Tableau3[[#This Row],[ID-SLOT]]</f>
        <v>5.1.6</v>
      </c>
      <c r="AI720" s="72" t="str">
        <f>INDEX(Tableau1[Ref-Carte],MATCH(Tableau3[[#This Row],[ID-RRS]],Tableau1[ID-RRS],0))</f>
        <v>SDI1602</v>
      </c>
      <c r="AJ720" s="72" t="str">
        <f t="array" ref="AJ720">IFERROR(INDEX(Tableau2[TS],MATCH(1,(Tableau2[Ref-Carte]=Tableau3[[#This Row],[Ref-Carte2]])*(Tableau2[ID-Voie]=Tableau3[[#This Row],[ID-VOIE]]),0)),"")</f>
        <v>ET</v>
      </c>
      <c r="AK720" s="72" t="str">
        <f>IFERROR(INDEX(Tableau2[TS],SUMPRODUCT((Tableau2[Ref-Carte]=Tableau3[[#This Row],[Ref-Carte2]])*(Tableau2[ID-Voie]=Tableau3[[#This Row],[ID-VOIE]])*ROW(Tableau2[TS]))-ROW(Tableau2[#Headers])),"")</f>
        <v>ET</v>
      </c>
      <c r="AL720" s="72" t="str">
        <f>Tableau3[[#This Row],[Ref-Carte2]]&amp;"/"&amp;Tableau3[[#This Row],[ID-VOIE]]</f>
        <v>SDI1602/14</v>
      </c>
      <c r="AM720" s="73" t="str">
        <f>INDEX(Tableau2[Borne],MATCH(Tableau3[[#This Row],[ID-CARTEVOIE]],Tableau2[ID-CARTEVOIE],0))&amp;""</f>
        <v>7B</v>
      </c>
      <c r="AN720" s="74" t="str">
        <f>Tableau3[[#This Row],[ID-API]]&amp;Tableau3[[#This Row],[ID-RACK]]&amp;Tableau3[[#This Row],[ID-SLOT]]&amp;Tableau3[[#This Row],[BORNE]]</f>
        <v>5167B</v>
      </c>
      <c r="AO720" s="1"/>
    </row>
    <row r="721" spans="1:41" ht="20.100000000000001" customHeight="1" thickTop="1" thickBot="1">
      <c r="A721" s="68"/>
      <c r="B721" s="69" t="str">
        <f>IFERROR(INDEX(Tableau4[Date],MATCH($A721,Tableau4[EVO],0)),"")</f>
        <v/>
      </c>
      <c r="C721" s="68" t="str">
        <f>IFERROR(INDEX(Tableau4[Designation],MATCH($A721,Tableau4[EVO],0)),"")</f>
        <v/>
      </c>
      <c r="D721" s="68"/>
      <c r="E721" s="70">
        <v>7</v>
      </c>
      <c r="F721" s="71">
        <v>246</v>
      </c>
      <c r="G721" s="101" t="str">
        <f>INDEX(Tableau8[Att1],MATCH(Tableau3[[#This Row],[ID-INS]],Tableau8[ID],0))&amp;""</f>
        <v>V4</v>
      </c>
      <c r="H721" s="101" t="str">
        <f>INDEX(Tableau8[Att2],MATCH(Tableau3[[#This Row],[ID-INS]],Tableau8[ID],0))&amp;""</f>
        <v>P7</v>
      </c>
      <c r="I721" s="101" t="str">
        <f>INDEX(Tableau8[Att3],MATCH(Tableau3[[#This Row],[ID-INS]],Tableau8[ID],0))&amp;""</f>
        <v>Portail P7</v>
      </c>
      <c r="J721" s="101"/>
      <c r="K721" s="167" t="str">
        <f>INDEX(Tableau8[Nom du modele],MATCH(Tableau3[[#This Row],[ID-INS]],Tableau8[ID],0))&amp;""</f>
        <v>PortailBleuElec_1</v>
      </c>
      <c r="L721" s="99" t="str">
        <f>INDEX(Tableau5[Att1],MATCH(Tableau3[[#This Row],[ID-SIG]],Tableau5[ID],0))&amp;""</f>
        <v>Réserve</v>
      </c>
      <c r="M721" s="99" t="str">
        <f>INDEX(Tableau5[Att2],MATCH(Tableau3[[#This Row],[ID-SIG]],Tableau5[ID],0))&amp;""</f>
        <v/>
      </c>
      <c r="N721" s="99" t="str">
        <f>INDEX(Tableau5[Att3],MATCH(Tableau3[[#This Row],[ID-SIG]],Tableau5[ID],0))&amp;""</f>
        <v/>
      </c>
      <c r="O721" s="99"/>
      <c r="P721" s="99" t="str">
        <f>INDEX(Tableau5[Description],MATCH(Tableau3[[#This Row],[ID-SIG]],Tableau5[ID],0))</f>
        <v>Réserve</v>
      </c>
      <c r="Q721" s="99"/>
      <c r="R721" s="103" t="str">
        <f>Tableau3[[#This Row],[Description]]</f>
        <v>Réserve</v>
      </c>
      <c r="S721" s="52"/>
      <c r="U721" s="87">
        <v>5</v>
      </c>
      <c r="V721" s="87">
        <v>1</v>
      </c>
      <c r="W721" s="87">
        <v>6</v>
      </c>
      <c r="X721" s="87">
        <v>15</v>
      </c>
      <c r="Y721" s="40"/>
      <c r="Z721" s="165" t="str">
        <f>INDEX(Tableau2[TS],MATCH(Tableau3[[#This Row],[ID-CARTEVOIE]],Tableau2[ID-CARTEVOIE],0))</f>
        <v>ET</v>
      </c>
      <c r="AA721" s="53" t="s">
        <v>213</v>
      </c>
      <c r="AB721" s="223" t="str">
        <f>IFERROR(INDEX(Tableau5[Reserve],MATCH(Tableau3[[#This Row],[ID-SIG]],Tableau5[ID],0))&amp;"","")</f>
        <v/>
      </c>
      <c r="AC721" s="21"/>
      <c r="AD721" s="108" t="str">
        <f>INDEX(Tableau7[Repere],MATCH(Tableau3[[#This Row],[ID-API]],Tableau7[ID-API],0))&amp;""</f>
        <v>A5</v>
      </c>
      <c r="AE721" s="108" t="str">
        <f>INDEX(Tableau1[Repere-Rack],MATCH(Tableau3[[#This Row],[ID-RACK]],Tableau1[ID-RACK],0))&amp;""</f>
        <v>R1</v>
      </c>
      <c r="AF721" s="108" t="str">
        <f>INDEX(Tableau1[Repere-Slot],MATCH(Tableau3[[#This Row],[ID-SLOT]],Tableau1[ID-SLOT],0))&amp;""</f>
        <v>S6</v>
      </c>
      <c r="AG721" s="108" t="str">
        <f>INDEX(Tableau2[Repere-Voie],MATCH(Tableau3[[#This Row],[ID-VOIE]],Tableau2[ID-Voie],0))&amp;""</f>
        <v>v15</v>
      </c>
      <c r="AH721" s="72" t="str">
        <f>Tableau3[[#This Row],[ID-API]]&amp; "." &amp;Tableau3[[#This Row],[ID-RACK]]&amp; "." &amp;Tableau3[[#This Row],[ID-SLOT]]</f>
        <v>5.1.6</v>
      </c>
      <c r="AI721" s="72" t="str">
        <f>INDEX(Tableau1[Ref-Carte],MATCH(Tableau3[[#This Row],[ID-RRS]],Tableau1[ID-RRS],0))</f>
        <v>SDI1602</v>
      </c>
      <c r="AJ721" s="72" t="str">
        <f t="array" ref="AJ721">IFERROR(INDEX(Tableau2[TS],MATCH(1,(Tableau2[Ref-Carte]=Tableau3[[#This Row],[Ref-Carte2]])*(Tableau2[ID-Voie]=Tableau3[[#This Row],[ID-VOIE]]),0)),"")</f>
        <v>ET</v>
      </c>
      <c r="AK721" s="72" t="str">
        <f>IFERROR(INDEX(Tableau2[TS],SUMPRODUCT((Tableau2[Ref-Carte]=Tableau3[[#This Row],[Ref-Carte2]])*(Tableau2[ID-Voie]=Tableau3[[#This Row],[ID-VOIE]])*ROW(Tableau2[TS]))-ROW(Tableau2[#Headers])),"")</f>
        <v>ET</v>
      </c>
      <c r="AL721" s="72" t="str">
        <f>Tableau3[[#This Row],[Ref-Carte2]]&amp;"/"&amp;Tableau3[[#This Row],[ID-VOIE]]</f>
        <v>SDI1602/15</v>
      </c>
      <c r="AM721" s="73" t="str">
        <f>INDEX(Tableau2[Borne],MATCH(Tableau3[[#This Row],[ID-CARTEVOIE]],Tableau2[ID-CARTEVOIE],0))&amp;""</f>
        <v>7A</v>
      </c>
      <c r="AN721" s="74" t="str">
        <f>Tableau3[[#This Row],[ID-API]]&amp;Tableau3[[#This Row],[ID-RACK]]&amp;Tableau3[[#This Row],[ID-SLOT]]&amp;Tableau3[[#This Row],[BORNE]]</f>
        <v>5167A</v>
      </c>
      <c r="AO721" s="1"/>
    </row>
    <row r="722" spans="1:41" ht="20.100000000000001" customHeight="1" thickTop="1" thickBot="1">
      <c r="A722" s="68"/>
      <c r="B722" s="69" t="str">
        <f>IFERROR(INDEX(Tableau4[Date],MATCH($A722,Tableau4[EVO],0)),"")</f>
        <v/>
      </c>
      <c r="C722" s="68" t="str">
        <f>IFERROR(INDEX(Tableau4[Designation],MATCH($A722,Tableau4[EVO],0)),"")</f>
        <v/>
      </c>
      <c r="D722" s="68"/>
      <c r="E722" s="70">
        <v>7</v>
      </c>
      <c r="F722" s="71">
        <v>247</v>
      </c>
      <c r="G722" s="101" t="str">
        <f>INDEX(Tableau8[Att1],MATCH(Tableau3[[#This Row],[ID-INS]],Tableau8[ID],0))&amp;""</f>
        <v>V4</v>
      </c>
      <c r="H722" s="101" t="str">
        <f>INDEX(Tableau8[Att2],MATCH(Tableau3[[#This Row],[ID-INS]],Tableau8[ID],0))&amp;""</f>
        <v>P7</v>
      </c>
      <c r="I722" s="101" t="str">
        <f>INDEX(Tableau8[Att3],MATCH(Tableau3[[#This Row],[ID-INS]],Tableau8[ID],0))&amp;""</f>
        <v>Portail P7</v>
      </c>
      <c r="J722" s="101"/>
      <c r="K722" s="167" t="str">
        <f>INDEX(Tableau8[Nom du modele],MATCH(Tableau3[[#This Row],[ID-INS]],Tableau8[ID],0))&amp;""</f>
        <v>PortailBleuElec_1</v>
      </c>
      <c r="L722" s="99" t="str">
        <f>INDEX(Tableau5[Att1],MATCH(Tableau3[[#This Row],[ID-SIG]],Tableau5[ID],0))&amp;""</f>
        <v>Réserve</v>
      </c>
      <c r="M722" s="99" t="str">
        <f>INDEX(Tableau5[Att2],MATCH(Tableau3[[#This Row],[ID-SIG]],Tableau5[ID],0))&amp;""</f>
        <v/>
      </c>
      <c r="N722" s="99" t="str">
        <f>INDEX(Tableau5[Att3],MATCH(Tableau3[[#This Row],[ID-SIG]],Tableau5[ID],0))&amp;""</f>
        <v/>
      </c>
      <c r="O722" s="99"/>
      <c r="P722" s="99" t="str">
        <f>INDEX(Tableau5[Description],MATCH(Tableau3[[#This Row],[ID-SIG]],Tableau5[ID],0))</f>
        <v>Réserve</v>
      </c>
      <c r="Q722" s="99"/>
      <c r="R722" s="103" t="str">
        <f>Tableau3[[#This Row],[Description]]</f>
        <v>Réserve</v>
      </c>
      <c r="S722" s="52"/>
      <c r="U722" s="87">
        <v>5</v>
      </c>
      <c r="V722" s="87">
        <v>1</v>
      </c>
      <c r="W722" s="87">
        <v>7</v>
      </c>
      <c r="X722" s="87">
        <v>0</v>
      </c>
      <c r="Y722" s="40"/>
      <c r="Z722" s="165" t="str">
        <f>INDEX(Tableau2[TS],MATCH(Tableau3[[#This Row],[ID-CARTEVOIE]],Tableau2[ID-CARTEVOIE],0))</f>
        <v>ET</v>
      </c>
      <c r="AA722" s="53" t="s">
        <v>213</v>
      </c>
      <c r="AB722" s="223" t="str">
        <f>IFERROR(INDEX(Tableau5[Reserve],MATCH(Tableau3[[#This Row],[ID-SIG]],Tableau5[ID],0))&amp;"","")</f>
        <v/>
      </c>
      <c r="AC722" s="21"/>
      <c r="AD722" s="108" t="str">
        <f>INDEX(Tableau7[Repere],MATCH(Tableau3[[#This Row],[ID-API]],Tableau7[ID-API],0))&amp;""</f>
        <v>A5</v>
      </c>
      <c r="AE722" s="108" t="str">
        <f>INDEX(Tableau1[Repere-Rack],MATCH(Tableau3[[#This Row],[ID-RACK]],Tableau1[ID-RACK],0))&amp;""</f>
        <v>R1</v>
      </c>
      <c r="AF722" s="108" t="str">
        <f>INDEX(Tableau1[Repere-Slot],MATCH(Tableau3[[#This Row],[ID-SLOT]],Tableau1[ID-SLOT],0))&amp;""</f>
        <v>S7</v>
      </c>
      <c r="AG722" s="108" t="str">
        <f>INDEX(Tableau2[Repere-Voie],MATCH(Tableau3[[#This Row],[ID-VOIE]],Tableau2[ID-Voie],0))&amp;""</f>
        <v>v0</v>
      </c>
      <c r="AH722" s="72" t="str">
        <f>Tableau3[[#This Row],[ID-API]]&amp; "." &amp;Tableau3[[#This Row],[ID-RACK]]&amp; "." &amp;Tableau3[[#This Row],[ID-SLOT]]</f>
        <v>5.1.7</v>
      </c>
      <c r="AI722" s="72" t="str">
        <f>INDEX(Tableau1[Ref-Carte],MATCH(Tableau3[[#This Row],[ID-RRS]],Tableau1[ID-RRS],0))</f>
        <v>SDI1602</v>
      </c>
      <c r="AJ722" s="72" t="str">
        <f t="array" ref="AJ722">IFERROR(INDEX(Tableau2[TS],MATCH(1,(Tableau2[Ref-Carte]=Tableau3[[#This Row],[Ref-Carte2]])*(Tableau2[ID-Voie]=Tableau3[[#This Row],[ID-VOIE]]),0)),"")</f>
        <v>ET</v>
      </c>
      <c r="AK722" s="72" t="str">
        <f>IFERROR(INDEX(Tableau2[TS],SUMPRODUCT((Tableau2[Ref-Carte]=Tableau3[[#This Row],[Ref-Carte2]])*(Tableau2[ID-Voie]=Tableau3[[#This Row],[ID-VOIE]])*ROW(Tableau2[TS]))-ROW(Tableau2[#Headers])),"")</f>
        <v>ET</v>
      </c>
      <c r="AL722" s="72" t="str">
        <f>Tableau3[[#This Row],[Ref-Carte2]]&amp;"/"&amp;Tableau3[[#This Row],[ID-VOIE]]</f>
        <v>SDI1602/0</v>
      </c>
      <c r="AM722" s="73" t="str">
        <f>INDEX(Tableau2[Borne],MATCH(Tableau3[[#This Row],[ID-CARTEVOIE]],Tableau2[ID-CARTEVOIE],0))&amp;""</f>
        <v>0B</v>
      </c>
      <c r="AN722" s="74" t="str">
        <f>Tableau3[[#This Row],[ID-API]]&amp;Tableau3[[#This Row],[ID-RACK]]&amp;Tableau3[[#This Row],[ID-SLOT]]&amp;Tableau3[[#This Row],[BORNE]]</f>
        <v>5170B</v>
      </c>
      <c r="AO722" s="1"/>
    </row>
    <row r="723" spans="1:41" ht="20.100000000000001" customHeight="1" thickTop="1" thickBot="1">
      <c r="A723" s="68"/>
      <c r="B723" s="69" t="str">
        <f>IFERROR(INDEX(Tableau4[Date],MATCH($A723,Tableau4[EVO],0)),"")</f>
        <v/>
      </c>
      <c r="C723" s="68" t="str">
        <f>IFERROR(INDEX(Tableau4[Designation],MATCH($A723,Tableau4[EVO],0)),"")</f>
        <v/>
      </c>
      <c r="D723" s="68"/>
      <c r="E723" s="70">
        <v>7</v>
      </c>
      <c r="F723" s="71">
        <v>248</v>
      </c>
      <c r="G723" s="101" t="str">
        <f>INDEX(Tableau8[Att1],MATCH(Tableau3[[#This Row],[ID-INS]],Tableau8[ID],0))&amp;""</f>
        <v>V4</v>
      </c>
      <c r="H723" s="101" t="str">
        <f>INDEX(Tableau8[Att2],MATCH(Tableau3[[#This Row],[ID-INS]],Tableau8[ID],0))&amp;""</f>
        <v>P7</v>
      </c>
      <c r="I723" s="101" t="str">
        <f>INDEX(Tableau8[Att3],MATCH(Tableau3[[#This Row],[ID-INS]],Tableau8[ID],0))&amp;""</f>
        <v>Portail P7</v>
      </c>
      <c r="J723" s="101"/>
      <c r="K723" s="167" t="str">
        <f>INDEX(Tableau8[Nom du modele],MATCH(Tableau3[[#This Row],[ID-INS]],Tableau8[ID],0))&amp;""</f>
        <v>PortailBleuElec_1</v>
      </c>
      <c r="L723" s="99" t="str">
        <f>INDEX(Tableau5[Att1],MATCH(Tableau3[[#This Row],[ID-SIG]],Tableau5[ID],0))&amp;""</f>
        <v>Réserve</v>
      </c>
      <c r="M723" s="99" t="str">
        <f>INDEX(Tableau5[Att2],MATCH(Tableau3[[#This Row],[ID-SIG]],Tableau5[ID],0))&amp;""</f>
        <v/>
      </c>
      <c r="N723" s="99" t="str">
        <f>INDEX(Tableau5[Att3],MATCH(Tableau3[[#This Row],[ID-SIG]],Tableau5[ID],0))&amp;""</f>
        <v/>
      </c>
      <c r="O723" s="99"/>
      <c r="P723" s="99" t="str">
        <f>INDEX(Tableau5[Description],MATCH(Tableau3[[#This Row],[ID-SIG]],Tableau5[ID],0))</f>
        <v>Réserve</v>
      </c>
      <c r="Q723" s="99"/>
      <c r="R723" s="103" t="str">
        <f>Tableau3[[#This Row],[Description]]</f>
        <v>Réserve</v>
      </c>
      <c r="S723" s="52"/>
      <c r="U723" s="87">
        <v>5</v>
      </c>
      <c r="V723" s="87">
        <v>1</v>
      </c>
      <c r="W723" s="87">
        <v>7</v>
      </c>
      <c r="X723" s="87">
        <v>1</v>
      </c>
      <c r="Y723" s="40"/>
      <c r="Z723" s="165" t="str">
        <f>INDEX(Tableau2[TS],MATCH(Tableau3[[#This Row],[ID-CARTEVOIE]],Tableau2[ID-CARTEVOIE],0))</f>
        <v>ET</v>
      </c>
      <c r="AA723" s="53" t="s">
        <v>213</v>
      </c>
      <c r="AB723" s="223" t="str">
        <f>IFERROR(INDEX(Tableau5[Reserve],MATCH(Tableau3[[#This Row],[ID-SIG]],Tableau5[ID],0))&amp;"","")</f>
        <v/>
      </c>
      <c r="AC723" s="21"/>
      <c r="AD723" s="108" t="str">
        <f>INDEX(Tableau7[Repere],MATCH(Tableau3[[#This Row],[ID-API]],Tableau7[ID-API],0))&amp;""</f>
        <v>A5</v>
      </c>
      <c r="AE723" s="108" t="str">
        <f>INDEX(Tableau1[Repere-Rack],MATCH(Tableau3[[#This Row],[ID-RACK]],Tableau1[ID-RACK],0))&amp;""</f>
        <v>R1</v>
      </c>
      <c r="AF723" s="108" t="str">
        <f>INDEX(Tableau1[Repere-Slot],MATCH(Tableau3[[#This Row],[ID-SLOT]],Tableau1[ID-SLOT],0))&amp;""</f>
        <v>S7</v>
      </c>
      <c r="AG723" s="108" t="str">
        <f>INDEX(Tableau2[Repere-Voie],MATCH(Tableau3[[#This Row],[ID-VOIE]],Tableau2[ID-Voie],0))&amp;""</f>
        <v>v1</v>
      </c>
      <c r="AH723" s="72" t="str">
        <f>Tableau3[[#This Row],[ID-API]]&amp; "." &amp;Tableau3[[#This Row],[ID-RACK]]&amp; "." &amp;Tableau3[[#This Row],[ID-SLOT]]</f>
        <v>5.1.7</v>
      </c>
      <c r="AI723" s="72" t="str">
        <f>INDEX(Tableau1[Ref-Carte],MATCH(Tableau3[[#This Row],[ID-RRS]],Tableau1[ID-RRS],0))</f>
        <v>SDI1602</v>
      </c>
      <c r="AJ723" s="72" t="str">
        <f t="array" ref="AJ723">IFERROR(INDEX(Tableau2[TS],MATCH(1,(Tableau2[Ref-Carte]=Tableau3[[#This Row],[Ref-Carte2]])*(Tableau2[ID-Voie]=Tableau3[[#This Row],[ID-VOIE]]),0)),"")</f>
        <v>ET</v>
      </c>
      <c r="AK723" s="72" t="str">
        <f>IFERROR(INDEX(Tableau2[TS],SUMPRODUCT((Tableau2[Ref-Carte]=Tableau3[[#This Row],[Ref-Carte2]])*(Tableau2[ID-Voie]=Tableau3[[#This Row],[ID-VOIE]])*ROW(Tableau2[TS]))-ROW(Tableau2[#Headers])),"")</f>
        <v>ET</v>
      </c>
      <c r="AL723" s="72" t="str">
        <f>Tableau3[[#This Row],[Ref-Carte2]]&amp;"/"&amp;Tableau3[[#This Row],[ID-VOIE]]</f>
        <v>SDI1602/1</v>
      </c>
      <c r="AM723" s="73" t="str">
        <f>INDEX(Tableau2[Borne],MATCH(Tableau3[[#This Row],[ID-CARTEVOIE]],Tableau2[ID-CARTEVOIE],0))&amp;""</f>
        <v>0A</v>
      </c>
      <c r="AN723" s="74" t="str">
        <f>Tableau3[[#This Row],[ID-API]]&amp;Tableau3[[#This Row],[ID-RACK]]&amp;Tableau3[[#This Row],[ID-SLOT]]&amp;Tableau3[[#This Row],[BORNE]]</f>
        <v>5170A</v>
      </c>
      <c r="AO723" s="1"/>
    </row>
    <row r="724" spans="1:41" ht="20.100000000000001" customHeight="1" thickTop="1" thickBot="1">
      <c r="A724" s="68"/>
      <c r="B724" s="69" t="str">
        <f>IFERROR(INDEX(Tableau4[Date],MATCH($A724,Tableau4[EVO],0)),"")</f>
        <v/>
      </c>
      <c r="C724" s="68" t="str">
        <f>IFERROR(INDEX(Tableau4[Designation],MATCH($A724,Tableau4[EVO],0)),"")</f>
        <v/>
      </c>
      <c r="D724" s="68"/>
      <c r="E724" s="70">
        <v>7</v>
      </c>
      <c r="F724" s="71">
        <v>249</v>
      </c>
      <c r="G724" s="101" t="str">
        <f>INDEX(Tableau8[Att1],MATCH(Tableau3[[#This Row],[ID-INS]],Tableau8[ID],0))&amp;""</f>
        <v>V4</v>
      </c>
      <c r="H724" s="101" t="str">
        <f>INDEX(Tableau8[Att2],MATCH(Tableau3[[#This Row],[ID-INS]],Tableau8[ID],0))&amp;""</f>
        <v>P7</v>
      </c>
      <c r="I724" s="101" t="str">
        <f>INDEX(Tableau8[Att3],MATCH(Tableau3[[#This Row],[ID-INS]],Tableau8[ID],0))&amp;""</f>
        <v>Portail P7</v>
      </c>
      <c r="J724" s="101"/>
      <c r="K724" s="167" t="str">
        <f>INDEX(Tableau8[Nom du modele],MATCH(Tableau3[[#This Row],[ID-INS]],Tableau8[ID],0))&amp;""</f>
        <v>PortailBleuElec_1</v>
      </c>
      <c r="L724" s="99" t="str">
        <f>INDEX(Tableau5[Att1],MATCH(Tableau3[[#This Row],[ID-SIG]],Tableau5[ID],0))&amp;""</f>
        <v>V_FerRet1</v>
      </c>
      <c r="M724" s="99" t="str">
        <f>INDEX(Tableau5[Att2],MATCH(Tableau3[[#This Row],[ID-SIG]],Tableau5[ID],0))&amp;""</f>
        <v/>
      </c>
      <c r="N724" s="99" t="str">
        <f>INDEX(Tableau5[Att3],MATCH(Tableau3[[#This Row],[ID-SIG]],Tableau5[ID],0))&amp;""</f>
        <v/>
      </c>
      <c r="O724" s="99"/>
      <c r="P724" s="99" t="str">
        <f>INDEX(Tableau5[Description],MATCH(Tableau3[[#This Row],[ID-SIG]],Tableau5[ID],0))</f>
        <v>Retour Commande 1 fermeture</v>
      </c>
      <c r="Q724" s="99"/>
      <c r="R724" s="103" t="str">
        <f>Tableau3[[#This Row],[Description]]</f>
        <v>Retour Commande 1 fermeture</v>
      </c>
      <c r="S724" s="52"/>
      <c r="U724" s="87">
        <v>5</v>
      </c>
      <c r="V724" s="87">
        <v>1</v>
      </c>
      <c r="W724" s="87">
        <v>7</v>
      </c>
      <c r="X724" s="87">
        <v>2</v>
      </c>
      <c r="Y724" s="40"/>
      <c r="Z724" s="165" t="str">
        <f>INDEX(Tableau2[TS],MATCH(Tableau3[[#This Row],[ID-CARTEVOIE]],Tableau2[ID-CARTEVOIE],0))</f>
        <v>ET</v>
      </c>
      <c r="AA724" s="53" t="s">
        <v>213</v>
      </c>
      <c r="AB724" s="223" t="str">
        <f>IFERROR(INDEX(Tableau5[Reserve],MATCH(Tableau3[[#This Row],[ID-SIG]],Tableau5[ID],0))&amp;"","")</f>
        <v/>
      </c>
      <c r="AC724" s="21"/>
      <c r="AD724" s="108" t="str">
        <f>INDEX(Tableau7[Repere],MATCH(Tableau3[[#This Row],[ID-API]],Tableau7[ID-API],0))&amp;""</f>
        <v>A5</v>
      </c>
      <c r="AE724" s="108" t="str">
        <f>INDEX(Tableau1[Repere-Rack],MATCH(Tableau3[[#This Row],[ID-RACK]],Tableau1[ID-RACK],0))&amp;""</f>
        <v>R1</v>
      </c>
      <c r="AF724" s="108" t="str">
        <f>INDEX(Tableau1[Repere-Slot],MATCH(Tableau3[[#This Row],[ID-SLOT]],Tableau1[ID-SLOT],0))&amp;""</f>
        <v>S7</v>
      </c>
      <c r="AG724" s="108" t="str">
        <f>INDEX(Tableau2[Repere-Voie],MATCH(Tableau3[[#This Row],[ID-VOIE]],Tableau2[ID-Voie],0))&amp;""</f>
        <v>v2</v>
      </c>
      <c r="AH724" s="72" t="str">
        <f>Tableau3[[#This Row],[ID-API]]&amp; "." &amp;Tableau3[[#This Row],[ID-RACK]]&amp; "." &amp;Tableau3[[#This Row],[ID-SLOT]]</f>
        <v>5.1.7</v>
      </c>
      <c r="AI724" s="72" t="str">
        <f>INDEX(Tableau1[Ref-Carte],MATCH(Tableau3[[#This Row],[ID-RRS]],Tableau1[ID-RRS],0))</f>
        <v>SDI1602</v>
      </c>
      <c r="AJ724" s="72" t="str">
        <f t="array" ref="AJ724">IFERROR(INDEX(Tableau2[TS],MATCH(1,(Tableau2[Ref-Carte]=Tableau3[[#This Row],[Ref-Carte2]])*(Tableau2[ID-Voie]=Tableau3[[#This Row],[ID-VOIE]]),0)),"")</f>
        <v>ET</v>
      </c>
      <c r="AK724" s="72" t="str">
        <f>IFERROR(INDEX(Tableau2[TS],SUMPRODUCT((Tableau2[Ref-Carte]=Tableau3[[#This Row],[Ref-Carte2]])*(Tableau2[ID-Voie]=Tableau3[[#This Row],[ID-VOIE]])*ROW(Tableau2[TS]))-ROW(Tableau2[#Headers])),"")</f>
        <v>ET</v>
      </c>
      <c r="AL724" s="72" t="str">
        <f>Tableau3[[#This Row],[Ref-Carte2]]&amp;"/"&amp;Tableau3[[#This Row],[ID-VOIE]]</f>
        <v>SDI1602/2</v>
      </c>
      <c r="AM724" s="73" t="str">
        <f>INDEX(Tableau2[Borne],MATCH(Tableau3[[#This Row],[ID-CARTEVOIE]],Tableau2[ID-CARTEVOIE],0))&amp;""</f>
        <v>1B</v>
      </c>
      <c r="AN724" s="74" t="str">
        <f>Tableau3[[#This Row],[ID-API]]&amp;Tableau3[[#This Row],[ID-RACK]]&amp;Tableau3[[#This Row],[ID-SLOT]]&amp;Tableau3[[#This Row],[BORNE]]</f>
        <v>5171B</v>
      </c>
      <c r="AO724" s="1"/>
    </row>
    <row r="725" spans="1:41" ht="20.100000000000001" customHeight="1" thickTop="1" thickBot="1">
      <c r="A725" s="68"/>
      <c r="B725" s="69" t="str">
        <f>IFERROR(INDEX(Tableau4[Date],MATCH($A725,Tableau4[EVO],0)),"")</f>
        <v/>
      </c>
      <c r="C725" s="68" t="str">
        <f>IFERROR(INDEX(Tableau4[Designation],MATCH($A725,Tableau4[EVO],0)),"")</f>
        <v/>
      </c>
      <c r="D725" s="68"/>
      <c r="E725" s="70">
        <v>7</v>
      </c>
      <c r="F725" s="71">
        <v>254</v>
      </c>
      <c r="G725" s="101" t="str">
        <f>INDEX(Tableau8[Att1],MATCH(Tableau3[[#This Row],[ID-INS]],Tableau8[ID],0))&amp;""</f>
        <v>V4</v>
      </c>
      <c r="H725" s="101" t="str">
        <f>INDEX(Tableau8[Att2],MATCH(Tableau3[[#This Row],[ID-INS]],Tableau8[ID],0))&amp;""</f>
        <v>P7</v>
      </c>
      <c r="I725" s="101" t="str">
        <f>INDEX(Tableau8[Att3],MATCH(Tableau3[[#This Row],[ID-INS]],Tableau8[ID],0))&amp;""</f>
        <v>Portail P7</v>
      </c>
      <c r="J725" s="101"/>
      <c r="K725" s="167" t="str">
        <f>INDEX(Tableau8[Nom du modele],MATCH(Tableau3[[#This Row],[ID-INS]],Tableau8[ID],0))&amp;""</f>
        <v>PortailBleuElec_1</v>
      </c>
      <c r="L725" s="99" t="str">
        <f>INDEX(Tableau5[Att1],MATCH(Tableau3[[#This Row],[ID-SIG]],Tableau5[ID],0))&amp;""</f>
        <v>V_VentColle</v>
      </c>
      <c r="M725" s="99" t="str">
        <f>INDEX(Tableau5[Att2],MATCH(Tableau3[[#This Row],[ID-SIG]],Tableau5[ID],0))&amp;""</f>
        <v/>
      </c>
      <c r="N725" s="99" t="str">
        <f>INDEX(Tableau5[Att3],MATCH(Tableau3[[#This Row],[ID-SIG]],Tableau5[ID],0))&amp;""</f>
        <v/>
      </c>
      <c r="O725" s="99"/>
      <c r="P725" s="99" t="str">
        <f>INDEX(Tableau5[Description],MATCH(Tableau3[[#This Row],[ID-SIG]],Tableau5[ID],0))</f>
        <v>Report Ventouse collé</v>
      </c>
      <c r="Q725" s="99"/>
      <c r="R725" s="103" t="str">
        <f>Tableau3[[#This Row],[Description]]</f>
        <v>Report Ventouse collé</v>
      </c>
      <c r="S725" s="52"/>
      <c r="U725" s="87">
        <v>5</v>
      </c>
      <c r="V725" s="87">
        <v>1</v>
      </c>
      <c r="W725" s="87">
        <v>7</v>
      </c>
      <c r="X725" s="87">
        <v>3</v>
      </c>
      <c r="Y725" s="40"/>
      <c r="Z725" s="165" t="str">
        <f>INDEX(Tableau2[TS],MATCH(Tableau3[[#This Row],[ID-CARTEVOIE]],Tableau2[ID-CARTEVOIE],0))</f>
        <v>ET</v>
      </c>
      <c r="AA725" s="53" t="s">
        <v>213</v>
      </c>
      <c r="AB725" s="223" t="str">
        <f>IFERROR(INDEX(Tableau5[Reserve],MATCH(Tableau3[[#This Row],[ID-SIG]],Tableau5[ID],0))&amp;"","")</f>
        <v/>
      </c>
      <c r="AC725" s="21"/>
      <c r="AD725" s="108" t="str">
        <f>INDEX(Tableau7[Repere],MATCH(Tableau3[[#This Row],[ID-API]],Tableau7[ID-API],0))&amp;""</f>
        <v>A5</v>
      </c>
      <c r="AE725" s="108" t="str">
        <f>INDEX(Tableau1[Repere-Rack],MATCH(Tableau3[[#This Row],[ID-RACK]],Tableau1[ID-RACK],0))&amp;""</f>
        <v>R1</v>
      </c>
      <c r="AF725" s="108" t="str">
        <f>INDEX(Tableau1[Repere-Slot],MATCH(Tableau3[[#This Row],[ID-SLOT]],Tableau1[ID-SLOT],0))&amp;""</f>
        <v>S7</v>
      </c>
      <c r="AG725" s="108" t="str">
        <f>INDEX(Tableau2[Repere-Voie],MATCH(Tableau3[[#This Row],[ID-VOIE]],Tableau2[ID-Voie],0))&amp;""</f>
        <v>v3</v>
      </c>
      <c r="AH725" s="72" t="str">
        <f>Tableau3[[#This Row],[ID-API]]&amp; "." &amp;Tableau3[[#This Row],[ID-RACK]]&amp; "." &amp;Tableau3[[#This Row],[ID-SLOT]]</f>
        <v>5.1.7</v>
      </c>
      <c r="AI725" s="72" t="str">
        <f>INDEX(Tableau1[Ref-Carte],MATCH(Tableau3[[#This Row],[ID-RRS]],Tableau1[ID-RRS],0))</f>
        <v>SDI1602</v>
      </c>
      <c r="AJ725" s="72" t="str">
        <f t="array" ref="AJ725">IFERROR(INDEX(Tableau2[TS],MATCH(1,(Tableau2[Ref-Carte]=Tableau3[[#This Row],[Ref-Carte2]])*(Tableau2[ID-Voie]=Tableau3[[#This Row],[ID-VOIE]]),0)),"")</f>
        <v>ET</v>
      </c>
      <c r="AK725" s="72" t="str">
        <f>IFERROR(INDEX(Tableau2[TS],SUMPRODUCT((Tableau2[Ref-Carte]=Tableau3[[#This Row],[Ref-Carte2]])*(Tableau2[ID-Voie]=Tableau3[[#This Row],[ID-VOIE]])*ROW(Tableau2[TS]))-ROW(Tableau2[#Headers])),"")</f>
        <v>ET</v>
      </c>
      <c r="AL725" s="72" t="str">
        <f>Tableau3[[#This Row],[Ref-Carte2]]&amp;"/"&amp;Tableau3[[#This Row],[ID-VOIE]]</f>
        <v>SDI1602/3</v>
      </c>
      <c r="AM725" s="73" t="str">
        <f>INDEX(Tableau2[Borne],MATCH(Tableau3[[#This Row],[ID-CARTEVOIE]],Tableau2[ID-CARTEVOIE],0))&amp;""</f>
        <v>1A</v>
      </c>
      <c r="AN725" s="74" t="str">
        <f>Tableau3[[#This Row],[ID-API]]&amp;Tableau3[[#This Row],[ID-RACK]]&amp;Tableau3[[#This Row],[ID-SLOT]]&amp;Tableau3[[#This Row],[BORNE]]</f>
        <v>5171A</v>
      </c>
      <c r="AO725" s="1"/>
    </row>
    <row r="726" spans="1:41" ht="20.100000000000001" customHeight="1" thickTop="1" thickBot="1">
      <c r="A726" s="68"/>
      <c r="B726" s="69" t="str">
        <f>IFERROR(INDEX(Tableau4[Date],MATCH($A726,Tableau4[EVO],0)),"")</f>
        <v/>
      </c>
      <c r="C726" s="68" t="str">
        <f>IFERROR(INDEX(Tableau4[Designation],MATCH($A726,Tableau4[EVO],0)),"")</f>
        <v/>
      </c>
      <c r="D726" s="68"/>
      <c r="E726" s="70">
        <v>7</v>
      </c>
      <c r="F726" s="71">
        <v>255</v>
      </c>
      <c r="G726" s="101" t="str">
        <f>INDEX(Tableau8[Att1],MATCH(Tableau3[[#This Row],[ID-INS]],Tableau8[ID],0))&amp;""</f>
        <v>V4</v>
      </c>
      <c r="H726" s="101" t="str">
        <f>INDEX(Tableau8[Att2],MATCH(Tableau3[[#This Row],[ID-INS]],Tableau8[ID],0))&amp;""</f>
        <v>P7</v>
      </c>
      <c r="I726" s="101" t="str">
        <f>INDEX(Tableau8[Att3],MATCH(Tableau3[[#This Row],[ID-INS]],Tableau8[ID],0))&amp;""</f>
        <v>Portail P7</v>
      </c>
      <c r="J726" s="101"/>
      <c r="K726" s="167" t="str">
        <f>INDEX(Tableau8[Nom du modele],MATCH(Tableau3[[#This Row],[ID-INS]],Tableau8[ID],0))&amp;""</f>
        <v>PortailBleuElec_1</v>
      </c>
      <c r="L726" s="155" t="s">
        <v>1685</v>
      </c>
      <c r="M726" s="99" t="str">
        <f>INDEX(Tableau5[Att2],MATCH(Tableau3[[#This Row],[ID-SIG]],Tableau5[ID],0))&amp;""</f>
        <v/>
      </c>
      <c r="N726" s="99" t="str">
        <f>INDEX(Tableau5[Att3],MATCH(Tableau3[[#This Row],[ID-SIG]],Tableau5[ID],0))&amp;""</f>
        <v/>
      </c>
      <c r="O726" s="99"/>
      <c r="P726" s="155" t="s">
        <v>1714</v>
      </c>
      <c r="Q726" s="99"/>
      <c r="R726" s="103" t="str">
        <f>Tableau3[[#This Row],[Description]]</f>
        <v>Portail P7 - Entrée Réserve 1</v>
      </c>
      <c r="S726" s="52"/>
      <c r="U726" s="87">
        <v>5</v>
      </c>
      <c r="V726" s="87">
        <v>1</v>
      </c>
      <c r="W726" s="87">
        <v>7</v>
      </c>
      <c r="X726" s="87">
        <v>4</v>
      </c>
      <c r="Y726" s="40"/>
      <c r="Z726" s="165" t="str">
        <f>INDEX(Tableau2[TS],MATCH(Tableau3[[#This Row],[ID-CARTEVOIE]],Tableau2[ID-CARTEVOIE],0))</f>
        <v>ET</v>
      </c>
      <c r="AA726" s="53" t="s">
        <v>213</v>
      </c>
      <c r="AB726" s="223" t="str">
        <f>IFERROR(INDEX(Tableau5[Reserve],MATCH(Tableau3[[#This Row],[ID-SIG]],Tableau5[ID],0))&amp;"","")</f>
        <v/>
      </c>
      <c r="AC726" s="21"/>
      <c r="AD726" s="108" t="str">
        <f>INDEX(Tableau7[Repere],MATCH(Tableau3[[#This Row],[ID-API]],Tableau7[ID-API],0))&amp;""</f>
        <v>A5</v>
      </c>
      <c r="AE726" s="108" t="str">
        <f>INDEX(Tableau1[Repere-Rack],MATCH(Tableau3[[#This Row],[ID-RACK]],Tableau1[ID-RACK],0))&amp;""</f>
        <v>R1</v>
      </c>
      <c r="AF726" s="108" t="str">
        <f>INDEX(Tableau1[Repere-Slot],MATCH(Tableau3[[#This Row],[ID-SLOT]],Tableau1[ID-SLOT],0))&amp;""</f>
        <v>S7</v>
      </c>
      <c r="AG726" s="108" t="str">
        <f>INDEX(Tableau2[Repere-Voie],MATCH(Tableau3[[#This Row],[ID-VOIE]],Tableau2[ID-Voie],0))&amp;""</f>
        <v>v4</v>
      </c>
      <c r="AH726" s="72" t="str">
        <f>Tableau3[[#This Row],[ID-API]]&amp; "." &amp;Tableau3[[#This Row],[ID-RACK]]&amp; "." &amp;Tableau3[[#This Row],[ID-SLOT]]</f>
        <v>5.1.7</v>
      </c>
      <c r="AI726" s="72" t="str">
        <f>INDEX(Tableau1[Ref-Carte],MATCH(Tableau3[[#This Row],[ID-RRS]],Tableau1[ID-RRS],0))</f>
        <v>SDI1602</v>
      </c>
      <c r="AJ726" s="72" t="str">
        <f t="array" ref="AJ726">IFERROR(INDEX(Tableau2[TS],MATCH(1,(Tableau2[Ref-Carte]=Tableau3[[#This Row],[Ref-Carte2]])*(Tableau2[ID-Voie]=Tableau3[[#This Row],[ID-VOIE]]),0)),"")</f>
        <v>ET</v>
      </c>
      <c r="AK726" s="72" t="str">
        <f>IFERROR(INDEX(Tableau2[TS],SUMPRODUCT((Tableau2[Ref-Carte]=Tableau3[[#This Row],[Ref-Carte2]])*(Tableau2[ID-Voie]=Tableau3[[#This Row],[ID-VOIE]])*ROW(Tableau2[TS]))-ROW(Tableau2[#Headers])),"")</f>
        <v>ET</v>
      </c>
      <c r="AL726" s="72" t="str">
        <f>Tableau3[[#This Row],[Ref-Carte2]]&amp;"/"&amp;Tableau3[[#This Row],[ID-VOIE]]</f>
        <v>SDI1602/4</v>
      </c>
      <c r="AM726" s="73" t="str">
        <f>INDEX(Tableau2[Borne],MATCH(Tableau3[[#This Row],[ID-CARTEVOIE]],Tableau2[ID-CARTEVOIE],0))&amp;""</f>
        <v>2B</v>
      </c>
      <c r="AN726" s="74" t="str">
        <f>Tableau3[[#This Row],[ID-API]]&amp;Tableau3[[#This Row],[ID-RACK]]&amp;Tableau3[[#This Row],[ID-SLOT]]&amp;Tableau3[[#This Row],[BORNE]]</f>
        <v>5172B</v>
      </c>
      <c r="AO726" s="1"/>
    </row>
    <row r="727" spans="1:41" ht="20.100000000000001" customHeight="1" thickTop="1" thickBot="1">
      <c r="A727" s="68"/>
      <c r="B727" s="69" t="str">
        <f>IFERROR(INDEX(Tableau4[Date],MATCH($A727,Tableau4[EVO],0)),"")</f>
        <v/>
      </c>
      <c r="C727" s="68" t="str">
        <f>IFERROR(INDEX(Tableau4[Designation],MATCH($A727,Tableau4[EVO],0)),"")</f>
        <v/>
      </c>
      <c r="D727" s="68"/>
      <c r="E727" s="70">
        <v>7</v>
      </c>
      <c r="F727" s="71">
        <v>256</v>
      </c>
      <c r="G727" s="101" t="str">
        <f>INDEX(Tableau8[Att1],MATCH(Tableau3[[#This Row],[ID-INS]],Tableau8[ID],0))&amp;""</f>
        <v>V4</v>
      </c>
      <c r="H727" s="101" t="str">
        <f>INDEX(Tableau8[Att2],MATCH(Tableau3[[#This Row],[ID-INS]],Tableau8[ID],0))&amp;""</f>
        <v>P7</v>
      </c>
      <c r="I727" s="101" t="str">
        <f>INDEX(Tableau8[Att3],MATCH(Tableau3[[#This Row],[ID-INS]],Tableau8[ID],0))&amp;""</f>
        <v>Portail P7</v>
      </c>
      <c r="J727" s="101"/>
      <c r="K727" s="167" t="str">
        <f>INDEX(Tableau8[Nom du modele],MATCH(Tableau3[[#This Row],[ID-INS]],Tableau8[ID],0))&amp;""</f>
        <v>PortailBleuElec_1</v>
      </c>
      <c r="L727" s="99" t="str">
        <f>INDEX(Tableau5[Att1],MATCH(Tableau3[[#This Row],[ID-SIG]],Tableau5[ID],0))&amp;""</f>
        <v>V_Ouv</v>
      </c>
      <c r="M727" s="99" t="str">
        <f>INDEX(Tableau5[Att2],MATCH(Tableau3[[#This Row],[ID-SIG]],Tableau5[ID],0))&amp;""</f>
        <v/>
      </c>
      <c r="N727" s="99" t="str">
        <f>INDEX(Tableau5[Att3],MATCH(Tableau3[[#This Row],[ID-SIG]],Tableau5[ID],0))&amp;""</f>
        <v/>
      </c>
      <c r="O727" s="99"/>
      <c r="P727" s="99" t="str">
        <f>INDEX(Tableau5[Description],MATCH(Tableau3[[#This Row],[ID-SIG]],Tableau5[ID],0))</f>
        <v>Vantail en fdc ouvert</v>
      </c>
      <c r="Q727" s="99"/>
      <c r="R727" s="103" t="str">
        <f>Tableau3[[#This Row],[Description]]</f>
        <v>Vantail en fdc ouvert</v>
      </c>
      <c r="S727" s="52"/>
      <c r="U727" s="87">
        <v>5</v>
      </c>
      <c r="V727" s="87">
        <v>1</v>
      </c>
      <c r="W727" s="87">
        <v>7</v>
      </c>
      <c r="X727" s="87">
        <v>5</v>
      </c>
      <c r="Y727" s="40"/>
      <c r="Z727" s="165" t="str">
        <f>INDEX(Tableau2[TS],MATCH(Tableau3[[#This Row],[ID-CARTEVOIE]],Tableau2[ID-CARTEVOIE],0))</f>
        <v>ET</v>
      </c>
      <c r="AA727" s="53" t="s">
        <v>213</v>
      </c>
      <c r="AB727" s="223" t="str">
        <f>IFERROR(INDEX(Tableau5[Reserve],MATCH(Tableau3[[#This Row],[ID-SIG]],Tableau5[ID],0))&amp;"","")</f>
        <v/>
      </c>
      <c r="AC727" s="21"/>
      <c r="AD727" s="108" t="str">
        <f>INDEX(Tableau7[Repere],MATCH(Tableau3[[#This Row],[ID-API]],Tableau7[ID-API],0))&amp;""</f>
        <v>A5</v>
      </c>
      <c r="AE727" s="108" t="str">
        <f>INDEX(Tableau1[Repere-Rack],MATCH(Tableau3[[#This Row],[ID-RACK]],Tableau1[ID-RACK],0))&amp;""</f>
        <v>R1</v>
      </c>
      <c r="AF727" s="108" t="str">
        <f>INDEX(Tableau1[Repere-Slot],MATCH(Tableau3[[#This Row],[ID-SLOT]],Tableau1[ID-SLOT],0))&amp;""</f>
        <v>S7</v>
      </c>
      <c r="AG727" s="108" t="str">
        <f>INDEX(Tableau2[Repere-Voie],MATCH(Tableau3[[#This Row],[ID-VOIE]],Tableau2[ID-Voie],0))&amp;""</f>
        <v>v5</v>
      </c>
      <c r="AH727" s="72" t="str">
        <f>Tableau3[[#This Row],[ID-API]]&amp; "." &amp;Tableau3[[#This Row],[ID-RACK]]&amp; "." &amp;Tableau3[[#This Row],[ID-SLOT]]</f>
        <v>5.1.7</v>
      </c>
      <c r="AI727" s="72" t="str">
        <f>INDEX(Tableau1[Ref-Carte],MATCH(Tableau3[[#This Row],[ID-RRS]],Tableau1[ID-RRS],0))</f>
        <v>SDI1602</v>
      </c>
      <c r="AJ727" s="72" t="str">
        <f t="array" ref="AJ727">IFERROR(INDEX(Tableau2[TS],MATCH(1,(Tableau2[Ref-Carte]=Tableau3[[#This Row],[Ref-Carte2]])*(Tableau2[ID-Voie]=Tableau3[[#This Row],[ID-VOIE]]),0)),"")</f>
        <v>ET</v>
      </c>
      <c r="AK727" s="72" t="str">
        <f>IFERROR(INDEX(Tableau2[TS],SUMPRODUCT((Tableau2[Ref-Carte]=Tableau3[[#This Row],[Ref-Carte2]])*(Tableau2[ID-Voie]=Tableau3[[#This Row],[ID-VOIE]])*ROW(Tableau2[TS]))-ROW(Tableau2[#Headers])),"")</f>
        <v>ET</v>
      </c>
      <c r="AL727" s="72" t="str">
        <f>Tableau3[[#This Row],[Ref-Carte2]]&amp;"/"&amp;Tableau3[[#This Row],[ID-VOIE]]</f>
        <v>SDI1602/5</v>
      </c>
      <c r="AM727" s="73" t="str">
        <f>INDEX(Tableau2[Borne],MATCH(Tableau3[[#This Row],[ID-CARTEVOIE]],Tableau2[ID-CARTEVOIE],0))&amp;""</f>
        <v>2A</v>
      </c>
      <c r="AN727" s="74" t="str">
        <f>Tableau3[[#This Row],[ID-API]]&amp;Tableau3[[#This Row],[ID-RACK]]&amp;Tableau3[[#This Row],[ID-SLOT]]&amp;Tableau3[[#This Row],[BORNE]]</f>
        <v>5172A</v>
      </c>
      <c r="AO727" s="1"/>
    </row>
    <row r="728" spans="1:41" ht="20.100000000000001" customHeight="1" thickTop="1" thickBot="1">
      <c r="A728" s="68"/>
      <c r="B728" s="69" t="str">
        <f>IFERROR(INDEX(Tableau4[Date],MATCH($A728,Tableau4[EVO],0)),"")</f>
        <v/>
      </c>
      <c r="C728" s="68" t="str">
        <f>IFERROR(INDEX(Tableau4[Designation],MATCH($A728,Tableau4[EVO],0)),"")</f>
        <v/>
      </c>
      <c r="D728" s="68"/>
      <c r="E728" s="70">
        <v>7</v>
      </c>
      <c r="F728" s="71">
        <v>257</v>
      </c>
      <c r="G728" s="101" t="str">
        <f>INDEX(Tableau8[Att1],MATCH(Tableau3[[#This Row],[ID-INS]],Tableau8[ID],0))&amp;""</f>
        <v>V4</v>
      </c>
      <c r="H728" s="101" t="str">
        <f>INDEX(Tableau8[Att2],MATCH(Tableau3[[#This Row],[ID-INS]],Tableau8[ID],0))&amp;""</f>
        <v>P7</v>
      </c>
      <c r="I728" s="101" t="str">
        <f>INDEX(Tableau8[Att3],MATCH(Tableau3[[#This Row],[ID-INS]],Tableau8[ID],0))&amp;""</f>
        <v>Portail P7</v>
      </c>
      <c r="J728" s="101"/>
      <c r="K728" s="167" t="str">
        <f>INDEX(Tableau8[Nom du modele],MATCH(Tableau3[[#This Row],[ID-INS]],Tableau8[ID],0))&amp;""</f>
        <v>PortailBleuElec_1</v>
      </c>
      <c r="L728" s="99" t="str">
        <f>INDEX(Tableau5[Att1],MATCH(Tableau3[[#This Row],[ID-SIG]],Tableau5[ID],0))&amp;""</f>
        <v>V_Fer1</v>
      </c>
      <c r="M728" s="99" t="str">
        <f>INDEX(Tableau5[Att2],MATCH(Tableau3[[#This Row],[ID-SIG]],Tableau5[ID],0))&amp;""</f>
        <v/>
      </c>
      <c r="N728" s="99" t="str">
        <f>INDEX(Tableau5[Att3],MATCH(Tableau3[[#This Row],[ID-SIG]],Tableau5[ID],0))&amp;""</f>
        <v/>
      </c>
      <c r="O728" s="99"/>
      <c r="P728" s="99" t="str">
        <f>INDEX(Tableau5[Description],MATCH(Tableau3[[#This Row],[ID-SIG]],Tableau5[ID],0))</f>
        <v>Vantail en fdc fermé 1</v>
      </c>
      <c r="Q728" s="99"/>
      <c r="R728" s="103" t="str">
        <f>Tableau3[[#This Row],[Description]]</f>
        <v>Vantail en fdc fermé 1</v>
      </c>
      <c r="S728" s="52"/>
      <c r="U728" s="87">
        <v>5</v>
      </c>
      <c r="V728" s="87">
        <v>1</v>
      </c>
      <c r="W728" s="87">
        <v>7</v>
      </c>
      <c r="X728" s="87">
        <v>6</v>
      </c>
      <c r="Y728" s="40"/>
      <c r="Z728" s="165" t="str">
        <f>INDEX(Tableau2[TS],MATCH(Tableau3[[#This Row],[ID-CARTEVOIE]],Tableau2[ID-CARTEVOIE],0))</f>
        <v>ET</v>
      </c>
      <c r="AA728" s="53" t="s">
        <v>213</v>
      </c>
      <c r="AB728" s="223" t="str">
        <f>IFERROR(INDEX(Tableau5[Reserve],MATCH(Tableau3[[#This Row],[ID-SIG]],Tableau5[ID],0))&amp;"","")</f>
        <v/>
      </c>
      <c r="AC728" s="21"/>
      <c r="AD728" s="108" t="str">
        <f>INDEX(Tableau7[Repere],MATCH(Tableau3[[#This Row],[ID-API]],Tableau7[ID-API],0))&amp;""</f>
        <v>A5</v>
      </c>
      <c r="AE728" s="108" t="str">
        <f>INDEX(Tableau1[Repere-Rack],MATCH(Tableau3[[#This Row],[ID-RACK]],Tableau1[ID-RACK],0))&amp;""</f>
        <v>R1</v>
      </c>
      <c r="AF728" s="108" t="str">
        <f>INDEX(Tableau1[Repere-Slot],MATCH(Tableau3[[#This Row],[ID-SLOT]],Tableau1[ID-SLOT],0))&amp;""</f>
        <v>S7</v>
      </c>
      <c r="AG728" s="108" t="str">
        <f>INDEX(Tableau2[Repere-Voie],MATCH(Tableau3[[#This Row],[ID-VOIE]],Tableau2[ID-Voie],0))&amp;""</f>
        <v>v6</v>
      </c>
      <c r="AH728" s="72" t="str">
        <f>Tableau3[[#This Row],[ID-API]]&amp; "." &amp;Tableau3[[#This Row],[ID-RACK]]&amp; "." &amp;Tableau3[[#This Row],[ID-SLOT]]</f>
        <v>5.1.7</v>
      </c>
      <c r="AI728" s="72" t="str">
        <f>INDEX(Tableau1[Ref-Carte],MATCH(Tableau3[[#This Row],[ID-RRS]],Tableau1[ID-RRS],0))</f>
        <v>SDI1602</v>
      </c>
      <c r="AJ728" s="72" t="str">
        <f t="array" ref="AJ728">IFERROR(INDEX(Tableau2[TS],MATCH(1,(Tableau2[Ref-Carte]=Tableau3[[#This Row],[Ref-Carte2]])*(Tableau2[ID-Voie]=Tableau3[[#This Row],[ID-VOIE]]),0)),"")</f>
        <v>ET</v>
      </c>
      <c r="AK728" s="72" t="str">
        <f>IFERROR(INDEX(Tableau2[TS],SUMPRODUCT((Tableau2[Ref-Carte]=Tableau3[[#This Row],[Ref-Carte2]])*(Tableau2[ID-Voie]=Tableau3[[#This Row],[ID-VOIE]])*ROW(Tableau2[TS]))-ROW(Tableau2[#Headers])),"")</f>
        <v>ET</v>
      </c>
      <c r="AL728" s="72" t="str">
        <f>Tableau3[[#This Row],[Ref-Carte2]]&amp;"/"&amp;Tableau3[[#This Row],[ID-VOIE]]</f>
        <v>SDI1602/6</v>
      </c>
      <c r="AM728" s="73" t="str">
        <f>INDEX(Tableau2[Borne],MATCH(Tableau3[[#This Row],[ID-CARTEVOIE]],Tableau2[ID-CARTEVOIE],0))&amp;""</f>
        <v>3B</v>
      </c>
      <c r="AN728" s="74" t="str">
        <f>Tableau3[[#This Row],[ID-API]]&amp;Tableau3[[#This Row],[ID-RACK]]&amp;Tableau3[[#This Row],[ID-SLOT]]&amp;Tableau3[[#This Row],[BORNE]]</f>
        <v>5173B</v>
      </c>
      <c r="AO728" s="1"/>
    </row>
    <row r="729" spans="1:41" ht="20.100000000000001" customHeight="1" thickTop="1" thickBot="1">
      <c r="A729" s="75"/>
      <c r="B729" s="76" t="str">
        <f>IFERROR(INDEX(Tableau4[Date],MATCH($A729,Tableau4[EVO],0)),"")</f>
        <v/>
      </c>
      <c r="C729" s="75" t="str">
        <f>IFERROR(INDEX(Tableau4[Designation],MATCH($A729,Tableau4[EVO],0)),"")</f>
        <v/>
      </c>
      <c r="D729" s="75"/>
      <c r="E729" s="79">
        <v>7</v>
      </c>
      <c r="F729" s="80">
        <v>258</v>
      </c>
      <c r="G729" s="102" t="str">
        <f>INDEX(Tableau8[Att1],MATCH(Tableau3[[#This Row],[ID-INS]],Tableau8[ID],0))&amp;""</f>
        <v>V4</v>
      </c>
      <c r="H729" s="102" t="str">
        <f>INDEX(Tableau8[Att2],MATCH(Tableau3[[#This Row],[ID-INS]],Tableau8[ID],0))&amp;""</f>
        <v>P7</v>
      </c>
      <c r="I729" s="102" t="str">
        <f>INDEX(Tableau8[Att3],MATCH(Tableau3[[#This Row],[ID-INS]],Tableau8[ID],0))&amp;""</f>
        <v>Portail P7</v>
      </c>
      <c r="J729" s="102"/>
      <c r="K729" s="167" t="str">
        <f>INDEX(Tableau8[Nom du modele],MATCH(Tableau3[[#This Row],[ID-INS]],Tableau8[ID],0))&amp;""</f>
        <v>PortailBleuElec_1</v>
      </c>
      <c r="L729" s="100" t="str">
        <f>INDEX(Tableau5[Att1],MATCH(Tableau3[[#This Row],[ID-SIG]],Tableau5[ID],0))&amp;""</f>
        <v>V_BandeP</v>
      </c>
      <c r="M729" s="100" t="str">
        <f>INDEX(Tableau5[Att2],MATCH(Tableau3[[#This Row],[ID-SIG]],Tableau5[ID],0))&amp;""</f>
        <v/>
      </c>
      <c r="N729" s="100" t="str">
        <f>INDEX(Tableau5[Att3],MATCH(Tableau3[[#This Row],[ID-SIG]],Tableau5[ID],0))&amp;""</f>
        <v/>
      </c>
      <c r="O729" s="100"/>
      <c r="P729" s="100" t="str">
        <f>INDEX(Tableau5[Description],MATCH(Tableau3[[#This Row],[ID-SIG]],Tableau5[ID],0))</f>
        <v>Bande palpeuse à la fermeture</v>
      </c>
      <c r="Q729" s="100"/>
      <c r="R729" s="104" t="str">
        <f>Tableau3[[#This Row],[Description]]</f>
        <v>Bande palpeuse à la fermeture</v>
      </c>
      <c r="S729" s="52"/>
      <c r="U729" s="88">
        <v>5</v>
      </c>
      <c r="V729" s="88">
        <v>1</v>
      </c>
      <c r="W729" s="88">
        <v>7</v>
      </c>
      <c r="X729" s="88">
        <v>7</v>
      </c>
      <c r="Y729" s="40"/>
      <c r="Z729" s="166" t="str">
        <f>INDEX(Tableau2[TS],MATCH(Tableau3[[#This Row],[ID-CARTEVOIE]],Tableau2[ID-CARTEVOIE],0))</f>
        <v>ET</v>
      </c>
      <c r="AA729" s="81" t="s">
        <v>213</v>
      </c>
      <c r="AB729" s="226" t="str">
        <f>IFERROR(INDEX(Tableau5[Reserve],MATCH(Tableau3[[#This Row],[ID-SIG]],Tableau5[ID],0))&amp;"","")</f>
        <v/>
      </c>
      <c r="AC729" s="21"/>
      <c r="AD729" s="108" t="str">
        <f>INDEX(Tableau7[Repere],MATCH(Tableau3[[#This Row],[ID-API]],Tableau7[ID-API],0))&amp;""</f>
        <v>A5</v>
      </c>
      <c r="AE729" s="109" t="str">
        <f>INDEX(Tableau1[Repere-Rack],MATCH(Tableau3[[#This Row],[ID-RACK]],Tableau1[ID-RACK],0))&amp;""</f>
        <v>R1</v>
      </c>
      <c r="AF729" s="109" t="str">
        <f>INDEX(Tableau1[Repere-Slot],MATCH(Tableau3[[#This Row],[ID-SLOT]],Tableau1[ID-SLOT],0))&amp;""</f>
        <v>S7</v>
      </c>
      <c r="AG729" s="109" t="str">
        <f>INDEX(Tableau2[Repere-Voie],MATCH(Tableau3[[#This Row],[ID-VOIE]],Tableau2[ID-Voie],0))&amp;""</f>
        <v>v7</v>
      </c>
      <c r="AH729" s="72" t="str">
        <f>Tableau3[[#This Row],[ID-API]]&amp; "." &amp;Tableau3[[#This Row],[ID-RACK]]&amp; "." &amp;Tableau3[[#This Row],[ID-SLOT]]</f>
        <v>5.1.7</v>
      </c>
      <c r="AI729" s="72" t="str">
        <f>INDEX(Tableau1[Ref-Carte],MATCH(Tableau3[[#This Row],[ID-RRS]],Tableau1[ID-RRS],0))</f>
        <v>SDI1602</v>
      </c>
      <c r="AJ729" s="72" t="str">
        <f t="array" ref="AJ729">IFERROR(INDEX(Tableau2[TS],MATCH(1,(Tableau2[Ref-Carte]=Tableau3[[#This Row],[Ref-Carte2]])*(Tableau2[ID-Voie]=Tableau3[[#This Row],[ID-VOIE]]),0)),"")</f>
        <v>ET</v>
      </c>
      <c r="AK729" s="72" t="str">
        <f>IFERROR(INDEX(Tableau2[TS],SUMPRODUCT((Tableau2[Ref-Carte]=Tableau3[[#This Row],[Ref-Carte2]])*(Tableau2[ID-Voie]=Tableau3[[#This Row],[ID-VOIE]])*ROW(Tableau2[TS]))-ROW(Tableau2[#Headers])),"")</f>
        <v>ET</v>
      </c>
      <c r="AL729" s="72" t="str">
        <f>Tableau3[[#This Row],[Ref-Carte2]]&amp;"/"&amp;Tableau3[[#This Row],[ID-VOIE]]</f>
        <v>SDI1602/7</v>
      </c>
      <c r="AM729" s="77" t="str">
        <f>INDEX(Tableau2[Borne],MATCH(Tableau3[[#This Row],[ID-CARTEVOIE]],Tableau2[ID-CARTEVOIE],0))&amp;""</f>
        <v>3A</v>
      </c>
      <c r="AN729" s="74" t="str">
        <f>Tableau3[[#This Row],[ID-API]]&amp;Tableau3[[#This Row],[ID-RACK]]&amp;Tableau3[[#This Row],[ID-SLOT]]&amp;Tableau3[[#This Row],[BORNE]]</f>
        <v>5173A</v>
      </c>
      <c r="AO729" s="1"/>
    </row>
    <row r="730" spans="1:41" ht="20.100000000000001" customHeight="1" thickTop="1" thickBot="1">
      <c r="A730" s="75"/>
      <c r="B730" s="76" t="str">
        <f>IFERROR(INDEX(Tableau4[Date],MATCH($A730,Tableau4[EVO],0)),"")</f>
        <v/>
      </c>
      <c r="C730" s="75" t="str">
        <f>IFERROR(INDEX(Tableau4[Designation],MATCH($A730,Tableau4[EVO],0)),"")</f>
        <v/>
      </c>
      <c r="D730" s="75"/>
      <c r="E730" s="79">
        <v>7</v>
      </c>
      <c r="F730" s="80">
        <v>259</v>
      </c>
      <c r="G730" s="102" t="str">
        <f>INDEX(Tableau8[Att1],MATCH(Tableau3[[#This Row],[ID-INS]],Tableau8[ID],0))&amp;""</f>
        <v>V4</v>
      </c>
      <c r="H730" s="102" t="str">
        <f>INDEX(Tableau8[Att2],MATCH(Tableau3[[#This Row],[ID-INS]],Tableau8[ID],0))&amp;""</f>
        <v>P7</v>
      </c>
      <c r="I730" s="102" t="str">
        <f>INDEX(Tableau8[Att3],MATCH(Tableau3[[#This Row],[ID-INS]],Tableau8[ID],0))&amp;""</f>
        <v>Portail P7</v>
      </c>
      <c r="J730" s="102"/>
      <c r="K730" s="167" t="str">
        <f>INDEX(Tableau8[Nom du modele],MATCH(Tableau3[[#This Row],[ID-INS]],Tableau8[ID],0))&amp;""</f>
        <v>PortailBleuElec_1</v>
      </c>
      <c r="L730" s="100" t="str">
        <f>INDEX(Tableau5[Att1],MATCH(Tableau3[[#This Row],[ID-SIG]],Tableau5[ID],0))&amp;""</f>
        <v>Effraction</v>
      </c>
      <c r="M730" s="100" t="str">
        <f>INDEX(Tableau5[Att2],MATCH(Tableau3[[#This Row],[ID-SIG]],Tableau5[ID],0))&amp;""</f>
        <v/>
      </c>
      <c r="N730" s="100" t="str">
        <f>INDEX(Tableau5[Att3],MATCH(Tableau3[[#This Row],[ID-SIG]],Tableau5[ID],0))&amp;""</f>
        <v/>
      </c>
      <c r="O730" s="100"/>
      <c r="P730" s="100" t="str">
        <f>INDEX(Tableau5[Description],MATCH(Tableau3[[#This Row],[ID-SIG]],Tableau5[ID],0))</f>
        <v>Effraction</v>
      </c>
      <c r="Q730" s="100"/>
      <c r="R730" s="104" t="str">
        <f>Tableau3[[#This Row],[Description]]</f>
        <v>Effraction</v>
      </c>
      <c r="S730" s="52"/>
      <c r="U730" s="88">
        <v>5</v>
      </c>
      <c r="V730" s="88">
        <v>1</v>
      </c>
      <c r="W730" s="88">
        <v>7</v>
      </c>
      <c r="X730" s="88">
        <v>8</v>
      </c>
      <c r="Y730" s="40"/>
      <c r="Z730" s="166" t="str">
        <f>INDEX(Tableau2[TS],MATCH(Tableau3[[#This Row],[ID-CARTEVOIE]],Tableau2[ID-CARTEVOIE],0))</f>
        <v>ET</v>
      </c>
      <c r="AA730" s="81" t="s">
        <v>213</v>
      </c>
      <c r="AB730" s="226" t="str">
        <f>IFERROR(INDEX(Tableau5[Reserve],MATCH(Tableau3[[#This Row],[ID-SIG]],Tableau5[ID],0))&amp;"","")</f>
        <v/>
      </c>
      <c r="AC730" s="21"/>
      <c r="AD730" s="108" t="str">
        <f>INDEX(Tableau7[Repere],MATCH(Tableau3[[#This Row],[ID-API]],Tableau7[ID-API],0))&amp;""</f>
        <v>A5</v>
      </c>
      <c r="AE730" s="109" t="str">
        <f>INDEX(Tableau1[Repere-Rack],MATCH(Tableau3[[#This Row],[ID-RACK]],Tableau1[ID-RACK],0))&amp;""</f>
        <v>R1</v>
      </c>
      <c r="AF730" s="109" t="str">
        <f>INDEX(Tableau1[Repere-Slot],MATCH(Tableau3[[#This Row],[ID-SLOT]],Tableau1[ID-SLOT],0))&amp;""</f>
        <v>S7</v>
      </c>
      <c r="AG730" s="109" t="str">
        <f>INDEX(Tableau2[Repere-Voie],MATCH(Tableau3[[#This Row],[ID-VOIE]],Tableau2[ID-Voie],0))&amp;""</f>
        <v>v8</v>
      </c>
      <c r="AH730" s="72" t="str">
        <f>Tableau3[[#This Row],[ID-API]]&amp; "." &amp;Tableau3[[#This Row],[ID-RACK]]&amp; "." &amp;Tableau3[[#This Row],[ID-SLOT]]</f>
        <v>5.1.7</v>
      </c>
      <c r="AI730" s="72" t="str">
        <f>INDEX(Tableau1[Ref-Carte],MATCH(Tableau3[[#This Row],[ID-RRS]],Tableau1[ID-RRS],0))</f>
        <v>SDI1602</v>
      </c>
      <c r="AJ730" s="72" t="str">
        <f t="array" ref="AJ730">IFERROR(INDEX(Tableau2[TS],MATCH(1,(Tableau2[Ref-Carte]=Tableau3[[#This Row],[Ref-Carte2]])*(Tableau2[ID-Voie]=Tableau3[[#This Row],[ID-VOIE]]),0)),"")</f>
        <v>ET</v>
      </c>
      <c r="AK730" s="72" t="str">
        <f>IFERROR(INDEX(Tableau2[TS],SUMPRODUCT((Tableau2[Ref-Carte]=Tableau3[[#This Row],[Ref-Carte2]])*(Tableau2[ID-Voie]=Tableau3[[#This Row],[ID-VOIE]])*ROW(Tableau2[TS]))-ROW(Tableau2[#Headers])),"")</f>
        <v>ET</v>
      </c>
      <c r="AL730" s="72" t="str">
        <f>Tableau3[[#This Row],[Ref-Carte2]]&amp;"/"&amp;Tableau3[[#This Row],[ID-VOIE]]</f>
        <v>SDI1602/8</v>
      </c>
      <c r="AM730" s="77" t="str">
        <f>INDEX(Tableau2[Borne],MATCH(Tableau3[[#This Row],[ID-CARTEVOIE]],Tableau2[ID-CARTEVOIE],0))&amp;""</f>
        <v>4B</v>
      </c>
      <c r="AN730" s="74" t="str">
        <f>Tableau3[[#This Row],[ID-API]]&amp;Tableau3[[#This Row],[ID-RACK]]&amp;Tableau3[[#This Row],[ID-SLOT]]&amp;Tableau3[[#This Row],[BORNE]]</f>
        <v>5174B</v>
      </c>
      <c r="AO730" s="1"/>
    </row>
    <row r="731" spans="1:41" ht="20.100000000000001" customHeight="1" thickTop="1" thickBot="1">
      <c r="A731" s="68"/>
      <c r="B731" s="69" t="str">
        <f>IFERROR(INDEX(Tableau4[Date],MATCH($A731,Tableau4[EVO],0)),"")</f>
        <v/>
      </c>
      <c r="C731" s="68" t="str">
        <f>IFERROR(INDEX(Tableau4[Designation],MATCH($A731,Tableau4[EVO],0)),"")</f>
        <v/>
      </c>
      <c r="D731" s="68"/>
      <c r="E731" s="70">
        <v>7</v>
      </c>
      <c r="F731" s="71">
        <v>260</v>
      </c>
      <c r="G731" s="101" t="str">
        <f>INDEX(Tableau8[Att1],MATCH(Tableau3[[#This Row],[ID-INS]],Tableau8[ID],0))&amp;""</f>
        <v>V4</v>
      </c>
      <c r="H731" s="101" t="str">
        <f>INDEX(Tableau8[Att2],MATCH(Tableau3[[#This Row],[ID-INS]],Tableau8[ID],0))&amp;""</f>
        <v>P7</v>
      </c>
      <c r="I731" s="101" t="str">
        <f>INDEX(Tableau8[Att3],MATCH(Tableau3[[#This Row],[ID-INS]],Tableau8[ID],0))&amp;""</f>
        <v>Portail P7</v>
      </c>
      <c r="J731" s="101"/>
      <c r="K731" s="167" t="str">
        <f>INDEX(Tableau8[Nom du modele],MATCH(Tableau3[[#This Row],[ID-INS]],Tableau8[ID],0))&amp;""</f>
        <v>PortailBleuElec_1</v>
      </c>
      <c r="L731" s="99" t="str">
        <f>INDEX(Tableau5[Att1],MATCH(Tableau3[[#This Row],[ID-SIG]],Tableau5[ID],0))&amp;""</f>
        <v>V_CellInfraInt</v>
      </c>
      <c r="M731" s="99" t="str">
        <f>INDEX(Tableau5[Att2],MATCH(Tableau3[[#This Row],[ID-SIG]],Tableau5[ID],0))&amp;""</f>
        <v/>
      </c>
      <c r="N731" s="99" t="str">
        <f>INDEX(Tableau5[Att3],MATCH(Tableau3[[#This Row],[ID-SIG]],Tableau5[ID],0))&amp;""</f>
        <v/>
      </c>
      <c r="O731" s="99"/>
      <c r="P731" s="99" t="str">
        <f>INDEX(Tableau5[Description],MATCH(Tableau3[[#This Row],[ID-SIG]],Tableau5[ID],0))</f>
        <v>Cellule infrarouge intérieure</v>
      </c>
      <c r="Q731" s="99"/>
      <c r="R731" s="103" t="str">
        <f>Tableau3[[#This Row],[Description]]</f>
        <v>Cellule infrarouge intérieure</v>
      </c>
      <c r="S731" s="52"/>
      <c r="U731" s="87">
        <v>5</v>
      </c>
      <c r="V731" s="87">
        <v>1</v>
      </c>
      <c r="W731" s="87">
        <v>7</v>
      </c>
      <c r="X731" s="87">
        <v>9</v>
      </c>
      <c r="Y731" s="40"/>
      <c r="Z731" s="165" t="str">
        <f>INDEX(Tableau2[TS],MATCH(Tableau3[[#This Row],[ID-CARTEVOIE]],Tableau2[ID-CARTEVOIE],0))</f>
        <v>ET</v>
      </c>
      <c r="AA731" s="53" t="s">
        <v>213</v>
      </c>
      <c r="AB731" s="223" t="str">
        <f>IFERROR(INDEX(Tableau5[Reserve],MATCH(Tableau3[[#This Row],[ID-SIG]],Tableau5[ID],0))&amp;"","")</f>
        <v/>
      </c>
      <c r="AC731" s="21"/>
      <c r="AD731" s="108" t="str">
        <f>INDEX(Tableau7[Repere],MATCH(Tableau3[[#This Row],[ID-API]],Tableau7[ID-API],0))&amp;""</f>
        <v>A5</v>
      </c>
      <c r="AE731" s="108" t="str">
        <f>INDEX(Tableau1[Repere-Rack],MATCH(Tableau3[[#This Row],[ID-RACK]],Tableau1[ID-RACK],0))&amp;""</f>
        <v>R1</v>
      </c>
      <c r="AF731" s="108" t="str">
        <f>INDEX(Tableau1[Repere-Slot],MATCH(Tableau3[[#This Row],[ID-SLOT]],Tableau1[ID-SLOT],0))&amp;""</f>
        <v>S7</v>
      </c>
      <c r="AG731" s="108" t="str">
        <f>INDEX(Tableau2[Repere-Voie],MATCH(Tableau3[[#This Row],[ID-VOIE]],Tableau2[ID-Voie],0))&amp;""</f>
        <v>v9</v>
      </c>
      <c r="AH731" s="72" t="str">
        <f>Tableau3[[#This Row],[ID-API]]&amp; "." &amp;Tableau3[[#This Row],[ID-RACK]]&amp; "." &amp;Tableau3[[#This Row],[ID-SLOT]]</f>
        <v>5.1.7</v>
      </c>
      <c r="AI731" s="72" t="str">
        <f>INDEX(Tableau1[Ref-Carte],MATCH(Tableau3[[#This Row],[ID-RRS]],Tableau1[ID-RRS],0))</f>
        <v>SDI1602</v>
      </c>
      <c r="AJ731" s="72" t="str">
        <f t="array" ref="AJ731">IFERROR(INDEX(Tableau2[TS],MATCH(1,(Tableau2[Ref-Carte]=Tableau3[[#This Row],[Ref-Carte2]])*(Tableau2[ID-Voie]=Tableau3[[#This Row],[ID-VOIE]]),0)),"")</f>
        <v>ET</v>
      </c>
      <c r="AK731" s="72" t="str">
        <f>IFERROR(INDEX(Tableau2[TS],SUMPRODUCT((Tableau2[Ref-Carte]=Tableau3[[#This Row],[Ref-Carte2]])*(Tableau2[ID-Voie]=Tableau3[[#This Row],[ID-VOIE]])*ROW(Tableau2[TS]))-ROW(Tableau2[#Headers])),"")</f>
        <v>ET</v>
      </c>
      <c r="AL731" s="72" t="str">
        <f>Tableau3[[#This Row],[Ref-Carte2]]&amp;"/"&amp;Tableau3[[#This Row],[ID-VOIE]]</f>
        <v>SDI1602/9</v>
      </c>
      <c r="AM731" s="73" t="str">
        <f>INDEX(Tableau2[Borne],MATCH(Tableau3[[#This Row],[ID-CARTEVOIE]],Tableau2[ID-CARTEVOIE],0))&amp;""</f>
        <v>4A</v>
      </c>
      <c r="AN731" s="74" t="str">
        <f>Tableau3[[#This Row],[ID-API]]&amp;Tableau3[[#This Row],[ID-RACK]]&amp;Tableau3[[#This Row],[ID-SLOT]]&amp;Tableau3[[#This Row],[BORNE]]</f>
        <v>5174A</v>
      </c>
      <c r="AO731" s="1"/>
    </row>
    <row r="732" spans="1:41" ht="20.100000000000001" customHeight="1" thickTop="1" thickBot="1">
      <c r="A732" s="134"/>
      <c r="B732" s="135" t="str">
        <f>IFERROR(INDEX(Tableau4[Date],MATCH($A732,Tableau4[EVO],0)),"")</f>
        <v/>
      </c>
      <c r="C732" s="136" t="str">
        <f>IFERROR(INDEX(Tableau4[Designation],MATCH($A732,Tableau4[EVO],0)),"")</f>
        <v/>
      </c>
      <c r="D732" s="134"/>
      <c r="E732" s="137">
        <v>7</v>
      </c>
      <c r="F732" s="138">
        <v>261</v>
      </c>
      <c r="G732" s="139" t="str">
        <f>INDEX(Tableau8[Att1],MATCH(Tableau3[[#This Row],[ID-INS]],Tableau8[ID],0))&amp;""</f>
        <v>V4</v>
      </c>
      <c r="H732" s="139" t="str">
        <f>INDEX(Tableau8[Att2],MATCH(Tableau3[[#This Row],[ID-INS]],Tableau8[ID],0))&amp;""</f>
        <v>P7</v>
      </c>
      <c r="I732" s="139" t="str">
        <f>INDEX(Tableau8[Att3],MATCH(Tableau3[[#This Row],[ID-INS]],Tableau8[ID],0))&amp;""</f>
        <v>Portail P7</v>
      </c>
      <c r="J732" s="101"/>
      <c r="K732" s="167" t="str">
        <f>INDEX(Tableau8[Nom du modele],MATCH(Tableau3[[#This Row],[ID-INS]],Tableau8[ID],0))&amp;""</f>
        <v>PortailBleuElec_1</v>
      </c>
      <c r="L732" s="141" t="str">
        <f>INDEX(Tableau5[Att1],MATCH(Tableau3[[#This Row],[ID-SIG]],Tableau5[ID],0))&amp;""</f>
        <v>V_CellInfraExt</v>
      </c>
      <c r="M732" s="141" t="str">
        <f>INDEX(Tableau5[Att2],MATCH(Tableau3[[#This Row],[ID-SIG]],Tableau5[ID],0))&amp;""</f>
        <v/>
      </c>
      <c r="N732" s="141" t="str">
        <f>INDEX(Tableau5[Att3],MATCH(Tableau3[[#This Row],[ID-SIG]],Tableau5[ID],0))&amp;""</f>
        <v/>
      </c>
      <c r="O732" s="99"/>
      <c r="P732" s="141" t="str">
        <f>INDEX(Tableau5[Description],MATCH(Tableau3[[#This Row],[ID-SIG]],Tableau5[ID],0))</f>
        <v>Cellule infrarouge extérieure</v>
      </c>
      <c r="Q732" s="99"/>
      <c r="R732" s="142" t="str">
        <f>Tableau3[[#This Row],[Description]]</f>
        <v>Cellule infrarouge extérieure</v>
      </c>
      <c r="S732" s="52"/>
      <c r="U732" s="87">
        <v>5</v>
      </c>
      <c r="V732" s="87">
        <v>1</v>
      </c>
      <c r="W732" s="87">
        <v>7</v>
      </c>
      <c r="X732" s="87">
        <v>10</v>
      </c>
      <c r="Y732" s="40"/>
      <c r="Z732" s="165" t="str">
        <f>INDEX(Tableau2[TS],MATCH(Tableau3[[#This Row],[ID-CARTEVOIE]],Tableau2[ID-CARTEVOIE],0))</f>
        <v>ET</v>
      </c>
      <c r="AA732" s="144" t="s">
        <v>213</v>
      </c>
      <c r="AB732" s="224" t="str">
        <f>IFERROR(INDEX(Tableau5[Reserve],MATCH(Tableau3[[#This Row],[ID-SIG]],Tableau5[ID],0))&amp;"","")</f>
        <v/>
      </c>
      <c r="AC732" s="119"/>
      <c r="AD732" s="120" t="str">
        <f>INDEX(Tableau7[Repere],MATCH(Tableau3[[#This Row],[ID-API]],Tableau7[ID-API],0))&amp;""</f>
        <v>A5</v>
      </c>
      <c r="AE732" s="120" t="str">
        <f>INDEX(Tableau1[Repere-Rack],MATCH(Tableau3[[#This Row],[ID-RACK]],Tableau1[ID-RACK],0))&amp;""</f>
        <v>R1</v>
      </c>
      <c r="AF732" s="120" t="str">
        <f>INDEX(Tableau1[Repere-Slot],MATCH(Tableau3[[#This Row],[ID-SLOT]],Tableau1[ID-SLOT],0))&amp;""</f>
        <v>S7</v>
      </c>
      <c r="AG732" s="120" t="str">
        <f>INDEX(Tableau2[Repere-Voie],MATCH(Tableau3[[#This Row],[ID-VOIE]],Tableau2[ID-Voie],0))&amp;""</f>
        <v>v10</v>
      </c>
      <c r="AH732" s="122" t="str">
        <f>Tableau3[[#This Row],[ID-API]]&amp; "." &amp;Tableau3[[#This Row],[ID-RACK]]&amp; "." &amp;Tableau3[[#This Row],[ID-SLOT]]</f>
        <v>5.1.7</v>
      </c>
      <c r="AI732" s="72" t="str">
        <f>INDEX(Tableau1[Ref-Carte],MATCH(Tableau3[[#This Row],[ID-RRS]],Tableau1[ID-RRS],0))</f>
        <v>SDI1602</v>
      </c>
      <c r="AJ732" s="72" t="str">
        <f t="array" ref="AJ732">IFERROR(INDEX(Tableau2[TS],MATCH(1,(Tableau2[Ref-Carte]=Tableau3[[#This Row],[Ref-Carte2]])*(Tableau2[ID-Voie]=Tableau3[[#This Row],[ID-VOIE]]),0)),"")</f>
        <v>ET</v>
      </c>
      <c r="AK732" s="72" t="str">
        <f>IFERROR(INDEX(Tableau2[TS],SUMPRODUCT((Tableau2[Ref-Carte]=Tableau3[[#This Row],[Ref-Carte2]])*(Tableau2[ID-Voie]=Tableau3[[#This Row],[ID-VOIE]])*ROW(Tableau2[TS]))-ROW(Tableau2[#Headers])),"")</f>
        <v>ET</v>
      </c>
      <c r="AL732" s="122" t="str">
        <f>Tableau3[[#This Row],[Ref-Carte2]]&amp;"/"&amp;Tableau3[[#This Row],[ID-VOIE]]</f>
        <v>SDI1602/10</v>
      </c>
      <c r="AM732" s="145" t="str">
        <f>INDEX(Tableau2[Borne],MATCH(Tableau3[[#This Row],[ID-CARTEVOIE]],Tableau2[ID-CARTEVOIE],0))&amp;""</f>
        <v>5B</v>
      </c>
      <c r="AN732" s="124" t="str">
        <f>Tableau3[[#This Row],[ID-API]]&amp;Tableau3[[#This Row],[ID-RACK]]&amp;Tableau3[[#This Row],[ID-SLOT]]&amp;Tableau3[[#This Row],[BORNE]]</f>
        <v>5175B</v>
      </c>
      <c r="AO732" s="125"/>
    </row>
    <row r="733" spans="1:41" ht="20.100000000000001" customHeight="1" thickTop="1" thickBot="1">
      <c r="A733" s="68"/>
      <c r="B733" s="69" t="str">
        <f>IFERROR(INDEX(Tableau4[Date],MATCH($A733,Tableau4[EVO],0)),"")</f>
        <v/>
      </c>
      <c r="C733" s="68" t="str">
        <f>IFERROR(INDEX(Tableau4[Designation],MATCH($A733,Tableau4[EVO],0)),"")</f>
        <v/>
      </c>
      <c r="D733" s="68"/>
      <c r="E733" s="70">
        <v>20</v>
      </c>
      <c r="F733" s="71">
        <v>100</v>
      </c>
      <c r="G733" s="101" t="str">
        <f>INDEX(Tableau8[Att1],MATCH(Tableau3[[#This Row],[ID-INS]],Tableau8[ID],0))&amp;""</f>
        <v>B21</v>
      </c>
      <c r="H733" s="101" t="str">
        <f>INDEX(Tableau8[Att2],MATCH(Tableau3[[#This Row],[ID-INS]],Tableau8[ID],0))&amp;""</f>
        <v>PGA_CDP1</v>
      </c>
      <c r="I733" s="101" t="str">
        <f>INDEX(Tableau8[Att3],MATCH(Tableau3[[#This Row],[ID-INS]],Tableau8[ID],0))&amp;""</f>
        <v>PGA CDP1</v>
      </c>
      <c r="J733" s="101"/>
      <c r="K733" s="167" t="str">
        <f>INDEX(Tableau8[Nom du modele],MATCH(Tableau3[[#This Row],[ID-INS]],Tableau8[ID],0))&amp;""</f>
        <v>ARU</v>
      </c>
      <c r="L733" s="99" t="str">
        <f>INDEX(Tableau5[Att1],MATCH(Tableau3[[#This Row],[ID-SIG]],Tableau5[ID],0))&amp;""</f>
        <v>Decl1</v>
      </c>
      <c r="M733" s="99" t="str">
        <f>INDEX(Tableau5[Att2],MATCH(Tableau3[[#This Row],[ID-SIG]],Tableau5[ID],0))&amp;""</f>
        <v/>
      </c>
      <c r="N733" s="99" t="str">
        <f>INDEX(Tableau5[Att3],MATCH(Tableau3[[#This Row],[ID-SIG]],Tableau5[ID],0))&amp;""</f>
        <v/>
      </c>
      <c r="O733" s="99"/>
      <c r="P733" s="99" t="str">
        <f>INDEX(Tableau5[Description],MATCH(Tableau3[[#This Row],[ID-SIG]],Tableau5[ID],0))</f>
        <v>Déclenchement contact 1</v>
      </c>
      <c r="Q733" s="99"/>
      <c r="R733" s="103" t="str">
        <f>Tableau3[[#This Row],[Description]]</f>
        <v>Déclenchement contact 1</v>
      </c>
      <c r="U733" s="87">
        <v>5</v>
      </c>
      <c r="V733" s="87">
        <v>1</v>
      </c>
      <c r="W733" s="87">
        <v>7</v>
      </c>
      <c r="X733" s="87">
        <v>11</v>
      </c>
      <c r="Y733" s="40"/>
      <c r="Z733" s="165" t="str">
        <f>INDEX(Tableau2[TS],MATCH(Tableau3[[#This Row],[ID-CARTEVOIE]],Tableau2[ID-CARTEVOIE],0))</f>
        <v>ET</v>
      </c>
      <c r="AA733" s="53" t="s">
        <v>213</v>
      </c>
      <c r="AB733" s="223" t="str">
        <f>IFERROR(INDEX(Tableau5[Reserve],MATCH(Tableau3[[#This Row],[ID-SIG]],Tableau5[ID],0))&amp;"","")</f>
        <v/>
      </c>
      <c r="AC733" s="21"/>
      <c r="AD733" s="108" t="str">
        <f>INDEX(Tableau7[Repere],MATCH(Tableau3[[#This Row],[ID-API]],Tableau7[ID-API],0))&amp;""</f>
        <v>A5</v>
      </c>
      <c r="AE733" s="108" t="str">
        <f>INDEX(Tableau1[Repere-Rack],MATCH(Tableau3[[#This Row],[ID-RACK]],Tableau1[ID-RACK],0))&amp;""</f>
        <v>R1</v>
      </c>
      <c r="AF733" s="108" t="str">
        <f>INDEX(Tableau1[Repere-Slot],MATCH(Tableau3[[#This Row],[ID-SLOT]],Tableau1[ID-SLOT],0))&amp;""</f>
        <v>S7</v>
      </c>
      <c r="AG733" s="108" t="str">
        <f>INDEX(Tableau2[Repere-Voie],MATCH(Tableau3[[#This Row],[ID-VOIE]],Tableau2[ID-Voie],0))&amp;""</f>
        <v>v11</v>
      </c>
      <c r="AH733" s="72" t="str">
        <f>Tableau3[[#This Row],[ID-API]]&amp; "." &amp;Tableau3[[#This Row],[ID-RACK]]&amp; "." &amp;Tableau3[[#This Row],[ID-SLOT]]</f>
        <v>5.1.7</v>
      </c>
      <c r="AI733" s="72" t="str">
        <f>INDEX(Tableau1[Ref-Carte],MATCH(Tableau3[[#This Row],[ID-RRS]],Tableau1[ID-RRS],0))</f>
        <v>SDI1602</v>
      </c>
      <c r="AJ733" s="72" t="str">
        <f t="array" ref="AJ733">IFERROR(INDEX(Tableau2[TS],MATCH(1,(Tableau2[Ref-Carte]=Tableau3[[#This Row],[Ref-Carte2]])*(Tableau2[ID-Voie]=Tableau3[[#This Row],[ID-VOIE]]),0)),"")</f>
        <v>ET</v>
      </c>
      <c r="AK733" s="72" t="str">
        <f>IFERROR(INDEX(Tableau2[TS],SUMPRODUCT((Tableau2[Ref-Carte]=Tableau3[[#This Row],[Ref-Carte2]])*(Tableau2[ID-Voie]=Tableau3[[#This Row],[ID-VOIE]])*ROW(Tableau2[TS]))-ROW(Tableau2[#Headers])),"")</f>
        <v>ET</v>
      </c>
      <c r="AL733" s="72" t="str">
        <f>Tableau3[[#This Row],[Ref-Carte2]]&amp;"/"&amp;Tableau3[[#This Row],[ID-VOIE]]</f>
        <v>SDI1602/11</v>
      </c>
      <c r="AM733" s="73" t="str">
        <f>INDEX(Tableau2[Borne],MATCH(Tableau3[[#This Row],[ID-CARTEVOIE]],Tableau2[ID-CARTEVOIE],0))&amp;""</f>
        <v>5A</v>
      </c>
      <c r="AN733" s="74" t="str">
        <f>Tableau3[[#This Row],[ID-API]]&amp;Tableau3[[#This Row],[ID-RACK]]&amp;Tableau3[[#This Row],[ID-SLOT]]&amp;Tableau3[[#This Row],[BORNE]]</f>
        <v>5175A</v>
      </c>
      <c r="AO733" s="1"/>
    </row>
    <row r="734" spans="1:41" ht="20.100000000000001" customHeight="1" thickTop="1" thickBot="1">
      <c r="A734" s="68"/>
      <c r="B734" s="69" t="str">
        <f>IFERROR(INDEX(Tableau4[Date],MATCH($A734,Tableau4[EVO],0)),"")</f>
        <v/>
      </c>
      <c r="C734" s="68" t="str">
        <f>IFERROR(INDEX(Tableau4[Designation],MATCH($A734,Tableau4[EVO],0)),"")</f>
        <v/>
      </c>
      <c r="D734" s="68"/>
      <c r="E734" s="70">
        <v>21</v>
      </c>
      <c r="F734" s="71">
        <v>100</v>
      </c>
      <c r="G734" s="101" t="str">
        <f>INDEX(Tableau8[Att1],MATCH(Tableau3[[#This Row],[ID-INS]],Tableau8[ID],0))&amp;""</f>
        <v>B21</v>
      </c>
      <c r="H734" s="101" t="str">
        <f>INDEX(Tableau8[Att2],MATCH(Tableau3[[#This Row],[ID-INS]],Tableau8[ID],0))&amp;""</f>
        <v>Réserve</v>
      </c>
      <c r="I734" s="101" t="str">
        <f>INDEX(Tableau8[Att3],MATCH(Tableau3[[#This Row],[ID-INS]],Tableau8[ID],0))&amp;""</f>
        <v>Réserve</v>
      </c>
      <c r="J734" s="101"/>
      <c r="K734" s="167" t="str">
        <f>INDEX(Tableau8[Nom du modele],MATCH(Tableau3[[#This Row],[ID-INS]],Tableau8[ID],0))&amp;""</f>
        <v>ARU</v>
      </c>
      <c r="L734" s="99" t="str">
        <f>INDEX(Tableau5[Att1],MATCH(Tableau3[[#This Row],[ID-SIG]],Tableau5[ID],0))&amp;""</f>
        <v>Decl1</v>
      </c>
      <c r="M734" s="99" t="str">
        <f>INDEX(Tableau5[Att2],MATCH(Tableau3[[#This Row],[ID-SIG]],Tableau5[ID],0))&amp;""</f>
        <v/>
      </c>
      <c r="N734" s="99" t="str">
        <f>INDEX(Tableau5[Att3],MATCH(Tableau3[[#This Row],[ID-SIG]],Tableau5[ID],0))&amp;""</f>
        <v/>
      </c>
      <c r="O734" s="99"/>
      <c r="P734" s="99" t="str">
        <f>INDEX(Tableau5[Description],MATCH(Tableau3[[#This Row],[ID-SIG]],Tableau5[ID],0))</f>
        <v>Déclenchement contact 1</v>
      </c>
      <c r="Q734" s="99"/>
      <c r="R734" s="103" t="str">
        <f>Tableau3[[#This Row],[Description]]</f>
        <v>Déclenchement contact 1</v>
      </c>
      <c r="U734" s="87">
        <v>5</v>
      </c>
      <c r="V734" s="87">
        <v>1</v>
      </c>
      <c r="W734" s="87">
        <v>7</v>
      </c>
      <c r="X734" s="87">
        <v>12</v>
      </c>
      <c r="Y734" s="40"/>
      <c r="Z734" s="165" t="str">
        <f>INDEX(Tableau2[TS],MATCH(Tableau3[[#This Row],[ID-CARTEVOIE]],Tableau2[ID-CARTEVOIE],0))</f>
        <v>ET</v>
      </c>
      <c r="AA734" s="53" t="s">
        <v>213</v>
      </c>
      <c r="AB734" s="223" t="str">
        <f>IFERROR(INDEX(Tableau5[Reserve],MATCH(Tableau3[[#This Row],[ID-SIG]],Tableau5[ID],0))&amp;"","")</f>
        <v/>
      </c>
      <c r="AC734" s="21"/>
      <c r="AD734" s="108" t="str">
        <f>INDEX(Tableau7[Repere],MATCH(Tableau3[[#This Row],[ID-API]],Tableau7[ID-API],0))&amp;""</f>
        <v>A5</v>
      </c>
      <c r="AE734" s="108" t="str">
        <f>INDEX(Tableau1[Repere-Rack],MATCH(Tableau3[[#This Row],[ID-RACK]],Tableau1[ID-RACK],0))&amp;""</f>
        <v>R1</v>
      </c>
      <c r="AF734" s="108" t="str">
        <f>INDEX(Tableau1[Repere-Slot],MATCH(Tableau3[[#This Row],[ID-SLOT]],Tableau1[ID-SLOT],0))&amp;""</f>
        <v>S7</v>
      </c>
      <c r="AG734" s="108" t="str">
        <f>INDEX(Tableau2[Repere-Voie],MATCH(Tableau3[[#This Row],[ID-VOIE]],Tableau2[ID-Voie],0))&amp;""</f>
        <v>v12</v>
      </c>
      <c r="AH734" s="72" t="str">
        <f>Tableau3[[#This Row],[ID-API]]&amp; "." &amp;Tableau3[[#This Row],[ID-RACK]]&amp; "." &amp;Tableau3[[#This Row],[ID-SLOT]]</f>
        <v>5.1.7</v>
      </c>
      <c r="AI734" s="72" t="str">
        <f>INDEX(Tableau1[Ref-Carte],MATCH(Tableau3[[#This Row],[ID-RRS]],Tableau1[ID-RRS],0))</f>
        <v>SDI1602</v>
      </c>
      <c r="AJ734" s="72" t="str">
        <f t="array" ref="AJ734">IFERROR(INDEX(Tableau2[TS],MATCH(1,(Tableau2[Ref-Carte]=Tableau3[[#This Row],[Ref-Carte2]])*(Tableau2[ID-Voie]=Tableau3[[#This Row],[ID-VOIE]]),0)),"")</f>
        <v>ET</v>
      </c>
      <c r="AK734" s="72" t="str">
        <f>IFERROR(INDEX(Tableau2[TS],SUMPRODUCT((Tableau2[Ref-Carte]=Tableau3[[#This Row],[Ref-Carte2]])*(Tableau2[ID-Voie]=Tableau3[[#This Row],[ID-VOIE]])*ROW(Tableau2[TS]))-ROW(Tableau2[#Headers])),"")</f>
        <v>ET</v>
      </c>
      <c r="AL734" s="72" t="str">
        <f>Tableau3[[#This Row],[Ref-Carte2]]&amp;"/"&amp;Tableau3[[#This Row],[ID-VOIE]]</f>
        <v>SDI1602/12</v>
      </c>
      <c r="AM734" s="73" t="str">
        <f>INDEX(Tableau2[Borne],MATCH(Tableau3[[#This Row],[ID-CARTEVOIE]],Tableau2[ID-CARTEVOIE],0))&amp;""</f>
        <v>6B</v>
      </c>
      <c r="AN734" s="74" t="str">
        <f>Tableau3[[#This Row],[ID-API]]&amp;Tableau3[[#This Row],[ID-RACK]]&amp;Tableau3[[#This Row],[ID-SLOT]]&amp;Tableau3[[#This Row],[BORNE]]</f>
        <v>5176B</v>
      </c>
      <c r="AO734" s="1"/>
    </row>
    <row r="735" spans="1:41" ht="20.100000000000001" customHeight="1" thickTop="1" thickBot="1">
      <c r="A735" s="68"/>
      <c r="B735" s="69" t="str">
        <f>IFERROR(INDEX(Tableau4[Date],MATCH($A735,Tableau4[EVO],0)),"")</f>
        <v/>
      </c>
      <c r="C735" s="68" t="str">
        <f>IFERROR(INDEX(Tableau4[Designation],MATCH($A735,Tableau4[EVO],0)),"")</f>
        <v/>
      </c>
      <c r="D735" s="68"/>
      <c r="E735" s="70">
        <v>22</v>
      </c>
      <c r="F735" s="71">
        <v>100</v>
      </c>
      <c r="G735" s="101" t="str">
        <f>INDEX(Tableau8[Att1],MATCH(Tableau3[[#This Row],[ID-INS]],Tableau8[ID],0))&amp;""</f>
        <v>B21</v>
      </c>
      <c r="H735" s="101" t="str">
        <f>INDEX(Tableau8[Att2],MATCH(Tableau3[[#This Row],[ID-INS]],Tableau8[ID],0))&amp;""</f>
        <v>Réserve</v>
      </c>
      <c r="I735" s="101" t="str">
        <f>INDEX(Tableau8[Att3],MATCH(Tableau3[[#This Row],[ID-INS]],Tableau8[ID],0))&amp;""</f>
        <v>Réserve</v>
      </c>
      <c r="J735" s="101"/>
      <c r="K735" s="167" t="str">
        <f>INDEX(Tableau8[Nom du modele],MATCH(Tableau3[[#This Row],[ID-INS]],Tableau8[ID],0))&amp;""</f>
        <v>ARU</v>
      </c>
      <c r="L735" s="99" t="str">
        <f>INDEX(Tableau5[Att1],MATCH(Tableau3[[#This Row],[ID-SIG]],Tableau5[ID],0))&amp;""</f>
        <v>Decl1</v>
      </c>
      <c r="M735" s="99" t="str">
        <f>INDEX(Tableau5[Att2],MATCH(Tableau3[[#This Row],[ID-SIG]],Tableau5[ID],0))&amp;""</f>
        <v/>
      </c>
      <c r="N735" s="99" t="str">
        <f>INDEX(Tableau5[Att3],MATCH(Tableau3[[#This Row],[ID-SIG]],Tableau5[ID],0))&amp;""</f>
        <v/>
      </c>
      <c r="O735" s="99"/>
      <c r="P735" s="99" t="str">
        <f>INDEX(Tableau5[Description],MATCH(Tableau3[[#This Row],[ID-SIG]],Tableau5[ID],0))</f>
        <v>Déclenchement contact 1</v>
      </c>
      <c r="Q735" s="99"/>
      <c r="R735" s="103" t="str">
        <f>Tableau3[[#This Row],[Description]]</f>
        <v>Déclenchement contact 1</v>
      </c>
      <c r="U735" s="87">
        <v>5</v>
      </c>
      <c r="V735" s="87">
        <v>1</v>
      </c>
      <c r="W735" s="87">
        <v>7</v>
      </c>
      <c r="X735" s="87">
        <v>13</v>
      </c>
      <c r="Y735" s="40"/>
      <c r="Z735" s="165" t="str">
        <f>INDEX(Tableau2[TS],MATCH(Tableau3[[#This Row],[ID-CARTEVOIE]],Tableau2[ID-CARTEVOIE],0))</f>
        <v>ET</v>
      </c>
      <c r="AA735" s="53" t="s">
        <v>213</v>
      </c>
      <c r="AB735" s="223" t="str">
        <f>IFERROR(INDEX(Tableau5[Reserve],MATCH(Tableau3[[#This Row],[ID-SIG]],Tableau5[ID],0))&amp;"","")</f>
        <v/>
      </c>
      <c r="AC735" s="21"/>
      <c r="AD735" s="108" t="str">
        <f>INDEX(Tableau7[Repere],MATCH(Tableau3[[#This Row],[ID-API]],Tableau7[ID-API],0))&amp;""</f>
        <v>A5</v>
      </c>
      <c r="AE735" s="108" t="str">
        <f>INDEX(Tableau1[Repere-Rack],MATCH(Tableau3[[#This Row],[ID-RACK]],Tableau1[ID-RACK],0))&amp;""</f>
        <v>R1</v>
      </c>
      <c r="AF735" s="108" t="str">
        <f>INDEX(Tableau1[Repere-Slot],MATCH(Tableau3[[#This Row],[ID-SLOT]],Tableau1[ID-SLOT],0))&amp;""</f>
        <v>S7</v>
      </c>
      <c r="AG735" s="108" t="str">
        <f>INDEX(Tableau2[Repere-Voie],MATCH(Tableau3[[#This Row],[ID-VOIE]],Tableau2[ID-Voie],0))&amp;""</f>
        <v>v13</v>
      </c>
      <c r="AH735" s="72" t="str">
        <f>Tableau3[[#This Row],[ID-API]]&amp; "." &amp;Tableau3[[#This Row],[ID-RACK]]&amp; "." &amp;Tableau3[[#This Row],[ID-SLOT]]</f>
        <v>5.1.7</v>
      </c>
      <c r="AI735" s="72" t="str">
        <f>INDEX(Tableau1[Ref-Carte],MATCH(Tableau3[[#This Row],[ID-RRS]],Tableau1[ID-RRS],0))</f>
        <v>SDI1602</v>
      </c>
      <c r="AJ735" s="72" t="str">
        <f t="array" ref="AJ735">IFERROR(INDEX(Tableau2[TS],MATCH(1,(Tableau2[Ref-Carte]=Tableau3[[#This Row],[Ref-Carte2]])*(Tableau2[ID-Voie]=Tableau3[[#This Row],[ID-VOIE]]),0)),"")</f>
        <v>ET</v>
      </c>
      <c r="AK735" s="72" t="str">
        <f>IFERROR(INDEX(Tableau2[TS],SUMPRODUCT((Tableau2[Ref-Carte]=Tableau3[[#This Row],[Ref-Carte2]])*(Tableau2[ID-Voie]=Tableau3[[#This Row],[ID-VOIE]])*ROW(Tableau2[TS]))-ROW(Tableau2[#Headers])),"")</f>
        <v>ET</v>
      </c>
      <c r="AL735" s="72" t="str">
        <f>Tableau3[[#This Row],[Ref-Carte2]]&amp;"/"&amp;Tableau3[[#This Row],[ID-VOIE]]</f>
        <v>SDI1602/13</v>
      </c>
      <c r="AM735" s="73" t="str">
        <f>INDEX(Tableau2[Borne],MATCH(Tableau3[[#This Row],[ID-CARTEVOIE]],Tableau2[ID-CARTEVOIE],0))&amp;""</f>
        <v>6A</v>
      </c>
      <c r="AN735" s="74" t="str">
        <f>Tableau3[[#This Row],[ID-API]]&amp;Tableau3[[#This Row],[ID-RACK]]&amp;Tableau3[[#This Row],[ID-SLOT]]&amp;Tableau3[[#This Row],[BORNE]]</f>
        <v>5176A</v>
      </c>
      <c r="AO735" s="1"/>
    </row>
    <row r="736" spans="1:41" ht="20.100000000000001" customHeight="1" thickTop="1" thickBot="1">
      <c r="A736" s="68"/>
      <c r="B736" s="69" t="str">
        <f>IFERROR(INDEX(Tableau4[Date],MATCH($A736,Tableau4[EVO],0)),"")</f>
        <v/>
      </c>
      <c r="C736" s="68" t="str">
        <f>IFERROR(INDEX(Tableau4[Designation],MATCH($A736,Tableau4[EVO],0)),"")</f>
        <v/>
      </c>
      <c r="D736" s="68"/>
      <c r="E736" s="70">
        <v>23</v>
      </c>
      <c r="F736" s="71">
        <v>100</v>
      </c>
      <c r="G736" s="101" t="str">
        <f>INDEX(Tableau8[Att1],MATCH(Tableau3[[#This Row],[ID-INS]],Tableau8[ID],0))&amp;""</f>
        <v>B21</v>
      </c>
      <c r="H736" s="101" t="str">
        <f>INDEX(Tableau8[Att2],MATCH(Tableau3[[#This Row],[ID-INS]],Tableau8[ID],0))&amp;""</f>
        <v>Réserve</v>
      </c>
      <c r="I736" s="101" t="str">
        <f>INDEX(Tableau8[Att3],MATCH(Tableau3[[#This Row],[ID-INS]],Tableau8[ID],0))&amp;""</f>
        <v>Réserve</v>
      </c>
      <c r="J736" s="101"/>
      <c r="K736" s="167" t="str">
        <f>INDEX(Tableau8[Nom du modele],MATCH(Tableau3[[#This Row],[ID-INS]],Tableau8[ID],0))&amp;""</f>
        <v>ARU</v>
      </c>
      <c r="L736" s="99" t="str">
        <f>INDEX(Tableau5[Att1],MATCH(Tableau3[[#This Row],[ID-SIG]],Tableau5[ID],0))&amp;""</f>
        <v>Decl1</v>
      </c>
      <c r="M736" s="99" t="str">
        <f>INDEX(Tableau5[Att2],MATCH(Tableau3[[#This Row],[ID-SIG]],Tableau5[ID],0))&amp;""</f>
        <v/>
      </c>
      <c r="N736" s="99" t="str">
        <f>INDEX(Tableau5[Att3],MATCH(Tableau3[[#This Row],[ID-SIG]],Tableau5[ID],0))&amp;""</f>
        <v/>
      </c>
      <c r="O736" s="99"/>
      <c r="P736" s="99" t="str">
        <f>INDEX(Tableau5[Description],MATCH(Tableau3[[#This Row],[ID-SIG]],Tableau5[ID],0))</f>
        <v>Déclenchement contact 1</v>
      </c>
      <c r="Q736" s="99"/>
      <c r="R736" s="103" t="str">
        <f>Tableau3[[#This Row],[Description]]</f>
        <v>Déclenchement contact 1</v>
      </c>
      <c r="U736" s="87">
        <v>5</v>
      </c>
      <c r="V736" s="87">
        <v>1</v>
      </c>
      <c r="W736" s="87">
        <v>7</v>
      </c>
      <c r="X736" s="87">
        <v>14</v>
      </c>
      <c r="Y736" s="40"/>
      <c r="Z736" s="165" t="str">
        <f>INDEX(Tableau2[TS],MATCH(Tableau3[[#This Row],[ID-CARTEVOIE]],Tableau2[ID-CARTEVOIE],0))</f>
        <v>ET</v>
      </c>
      <c r="AA736" s="53" t="s">
        <v>213</v>
      </c>
      <c r="AB736" s="223" t="str">
        <f>IFERROR(INDEX(Tableau5[Reserve],MATCH(Tableau3[[#This Row],[ID-SIG]],Tableau5[ID],0))&amp;"","")</f>
        <v/>
      </c>
      <c r="AC736" s="21"/>
      <c r="AD736" s="108" t="str">
        <f>INDEX(Tableau7[Repere],MATCH(Tableau3[[#This Row],[ID-API]],Tableau7[ID-API],0))&amp;""</f>
        <v>A5</v>
      </c>
      <c r="AE736" s="108" t="str">
        <f>INDEX(Tableau1[Repere-Rack],MATCH(Tableau3[[#This Row],[ID-RACK]],Tableau1[ID-RACK],0))&amp;""</f>
        <v>R1</v>
      </c>
      <c r="AF736" s="108" t="str">
        <f>INDEX(Tableau1[Repere-Slot],MATCH(Tableau3[[#This Row],[ID-SLOT]],Tableau1[ID-SLOT],0))&amp;""</f>
        <v>S7</v>
      </c>
      <c r="AG736" s="108" t="str">
        <f>INDEX(Tableau2[Repere-Voie],MATCH(Tableau3[[#This Row],[ID-VOIE]],Tableau2[ID-Voie],0))&amp;""</f>
        <v>v14</v>
      </c>
      <c r="AH736" s="72" t="str">
        <f>Tableau3[[#This Row],[ID-API]]&amp; "." &amp;Tableau3[[#This Row],[ID-RACK]]&amp; "." &amp;Tableau3[[#This Row],[ID-SLOT]]</f>
        <v>5.1.7</v>
      </c>
      <c r="AI736" s="72" t="str">
        <f>INDEX(Tableau1[Ref-Carte],MATCH(Tableau3[[#This Row],[ID-RRS]],Tableau1[ID-RRS],0))</f>
        <v>SDI1602</v>
      </c>
      <c r="AJ736" s="72" t="str">
        <f t="array" ref="AJ736">IFERROR(INDEX(Tableau2[TS],MATCH(1,(Tableau2[Ref-Carte]=Tableau3[[#This Row],[Ref-Carte2]])*(Tableau2[ID-Voie]=Tableau3[[#This Row],[ID-VOIE]]),0)),"")</f>
        <v>ET</v>
      </c>
      <c r="AK736" s="72" t="str">
        <f>IFERROR(INDEX(Tableau2[TS],SUMPRODUCT((Tableau2[Ref-Carte]=Tableau3[[#This Row],[Ref-Carte2]])*(Tableau2[ID-Voie]=Tableau3[[#This Row],[ID-VOIE]])*ROW(Tableau2[TS]))-ROW(Tableau2[#Headers])),"")</f>
        <v>ET</v>
      </c>
      <c r="AL736" s="72" t="str">
        <f>Tableau3[[#This Row],[Ref-Carte2]]&amp;"/"&amp;Tableau3[[#This Row],[ID-VOIE]]</f>
        <v>SDI1602/14</v>
      </c>
      <c r="AM736" s="73" t="str">
        <f>INDEX(Tableau2[Borne],MATCH(Tableau3[[#This Row],[ID-CARTEVOIE]],Tableau2[ID-CARTEVOIE],0))&amp;""</f>
        <v>7B</v>
      </c>
      <c r="AN736" s="74" t="str">
        <f>Tableau3[[#This Row],[ID-API]]&amp;Tableau3[[#This Row],[ID-RACK]]&amp;Tableau3[[#This Row],[ID-SLOT]]&amp;Tableau3[[#This Row],[BORNE]]</f>
        <v>5177B</v>
      </c>
      <c r="AO736" s="1"/>
    </row>
    <row r="737" spans="1:41" ht="20.100000000000001" customHeight="1" thickTop="1" thickBot="1">
      <c r="A737" s="68"/>
      <c r="B737" s="69" t="str">
        <f>IFERROR(INDEX(Tableau4[Date],MATCH($A737,Tableau4[EVO],0)),"")</f>
        <v/>
      </c>
      <c r="C737" s="68" t="str">
        <f>IFERROR(INDEX(Tableau4[Designation],MATCH($A737,Tableau4[EVO],0)),"")</f>
        <v/>
      </c>
      <c r="D737" s="68"/>
      <c r="E737" s="70">
        <v>24</v>
      </c>
      <c r="F737" s="71">
        <v>100</v>
      </c>
      <c r="G737" s="101" t="str">
        <f>INDEX(Tableau8[Att1],MATCH(Tableau3[[#This Row],[ID-INS]],Tableau8[ID],0))&amp;""</f>
        <v>B21</v>
      </c>
      <c r="H737" s="101" t="str">
        <f>INDEX(Tableau8[Att2],MATCH(Tableau3[[#This Row],[ID-INS]],Tableau8[ID],0))&amp;""</f>
        <v>Réserve</v>
      </c>
      <c r="I737" s="101" t="str">
        <f>INDEX(Tableau8[Att3],MATCH(Tableau3[[#This Row],[ID-INS]],Tableau8[ID],0))&amp;""</f>
        <v>Réserve</v>
      </c>
      <c r="J737" s="101"/>
      <c r="K737" s="167" t="str">
        <f>INDEX(Tableau8[Nom du modele],MATCH(Tableau3[[#This Row],[ID-INS]],Tableau8[ID],0))&amp;""</f>
        <v>ARU</v>
      </c>
      <c r="L737" s="99" t="str">
        <f>INDEX(Tableau5[Att1],MATCH(Tableau3[[#This Row],[ID-SIG]],Tableau5[ID],0))&amp;""</f>
        <v>Decl1</v>
      </c>
      <c r="M737" s="99" t="str">
        <f>INDEX(Tableau5[Att2],MATCH(Tableau3[[#This Row],[ID-SIG]],Tableau5[ID],0))&amp;""</f>
        <v/>
      </c>
      <c r="N737" s="99" t="str">
        <f>INDEX(Tableau5[Att3],MATCH(Tableau3[[#This Row],[ID-SIG]],Tableau5[ID],0))&amp;""</f>
        <v/>
      </c>
      <c r="O737" s="99"/>
      <c r="P737" s="99" t="str">
        <f>INDEX(Tableau5[Description],MATCH(Tableau3[[#This Row],[ID-SIG]],Tableau5[ID],0))</f>
        <v>Déclenchement contact 1</v>
      </c>
      <c r="Q737" s="99"/>
      <c r="R737" s="103" t="str">
        <f>Tableau3[[#This Row],[Description]]</f>
        <v>Déclenchement contact 1</v>
      </c>
      <c r="U737" s="87">
        <v>5</v>
      </c>
      <c r="V737" s="87">
        <v>1</v>
      </c>
      <c r="W737" s="87">
        <v>7</v>
      </c>
      <c r="X737" s="87">
        <v>15</v>
      </c>
      <c r="Y737" s="40"/>
      <c r="Z737" s="165" t="str">
        <f>INDEX(Tableau2[TS],MATCH(Tableau3[[#This Row],[ID-CARTEVOIE]],Tableau2[ID-CARTEVOIE],0))</f>
        <v>ET</v>
      </c>
      <c r="AA737" s="53" t="s">
        <v>213</v>
      </c>
      <c r="AB737" s="223" t="str">
        <f>IFERROR(INDEX(Tableau5[Reserve],MATCH(Tableau3[[#This Row],[ID-SIG]],Tableau5[ID],0))&amp;"","")</f>
        <v/>
      </c>
      <c r="AC737" s="21"/>
      <c r="AD737" s="108" t="str">
        <f>INDEX(Tableau7[Repere],MATCH(Tableau3[[#This Row],[ID-API]],Tableau7[ID-API],0))&amp;""</f>
        <v>A5</v>
      </c>
      <c r="AE737" s="108" t="str">
        <f>INDEX(Tableau1[Repere-Rack],MATCH(Tableau3[[#This Row],[ID-RACK]],Tableau1[ID-RACK],0))&amp;""</f>
        <v>R1</v>
      </c>
      <c r="AF737" s="108" t="str">
        <f>INDEX(Tableau1[Repere-Slot],MATCH(Tableau3[[#This Row],[ID-SLOT]],Tableau1[ID-SLOT],0))&amp;""</f>
        <v>S7</v>
      </c>
      <c r="AG737" s="108" t="str">
        <f>INDEX(Tableau2[Repere-Voie],MATCH(Tableau3[[#This Row],[ID-VOIE]],Tableau2[ID-Voie],0))&amp;""</f>
        <v>v15</v>
      </c>
      <c r="AH737" s="72" t="str">
        <f>Tableau3[[#This Row],[ID-API]]&amp; "." &amp;Tableau3[[#This Row],[ID-RACK]]&amp; "." &amp;Tableau3[[#This Row],[ID-SLOT]]</f>
        <v>5.1.7</v>
      </c>
      <c r="AI737" s="72" t="str">
        <f>INDEX(Tableau1[Ref-Carte],MATCH(Tableau3[[#This Row],[ID-RRS]],Tableau1[ID-RRS],0))</f>
        <v>SDI1602</v>
      </c>
      <c r="AJ737" s="72" t="str">
        <f t="array" ref="AJ737">IFERROR(INDEX(Tableau2[TS],MATCH(1,(Tableau2[Ref-Carte]=Tableau3[[#This Row],[Ref-Carte2]])*(Tableau2[ID-Voie]=Tableau3[[#This Row],[ID-VOIE]]),0)),"")</f>
        <v>ET</v>
      </c>
      <c r="AK737" s="72" t="str">
        <f>IFERROR(INDEX(Tableau2[TS],SUMPRODUCT((Tableau2[Ref-Carte]=Tableau3[[#This Row],[Ref-Carte2]])*(Tableau2[ID-Voie]=Tableau3[[#This Row],[ID-VOIE]])*ROW(Tableau2[TS]))-ROW(Tableau2[#Headers])),"")</f>
        <v>ET</v>
      </c>
      <c r="AL737" s="72" t="str">
        <f>Tableau3[[#This Row],[Ref-Carte2]]&amp;"/"&amp;Tableau3[[#This Row],[ID-VOIE]]</f>
        <v>SDI1602/15</v>
      </c>
      <c r="AM737" s="73" t="str">
        <f>INDEX(Tableau2[Borne],MATCH(Tableau3[[#This Row],[ID-CARTEVOIE]],Tableau2[ID-CARTEVOIE],0))&amp;""</f>
        <v>7A</v>
      </c>
      <c r="AN737" s="74" t="str">
        <f>Tableau3[[#This Row],[ID-API]]&amp;Tableau3[[#This Row],[ID-RACK]]&amp;Tableau3[[#This Row],[ID-SLOT]]&amp;Tableau3[[#This Row],[BORNE]]</f>
        <v>5177A</v>
      </c>
      <c r="AO737" s="1"/>
    </row>
    <row r="738" spans="1:41" ht="20.100000000000001" customHeight="1" thickTop="1" thickBot="1">
      <c r="A738" s="68"/>
      <c r="B738" s="69" t="str">
        <f>IFERROR(INDEX(Tableau4[Date],MATCH($A738,Tableau4[EVO],0)),"")</f>
        <v/>
      </c>
      <c r="C738" s="68" t="str">
        <f>IFERROR(INDEX(Tableau4[Designation],MATCH($A738,Tableau4[EVO],0)),"")</f>
        <v/>
      </c>
      <c r="D738" s="68"/>
      <c r="E738" s="70">
        <v>40</v>
      </c>
      <c r="F738" s="71">
        <v>72</v>
      </c>
      <c r="G738" s="101" t="str">
        <f>INDEX(Tableau8[Att1],MATCH(Tableau3[[#This Row],[ID-INS]],Tableau8[ID],0))&amp;""</f>
        <v>V4</v>
      </c>
      <c r="H738" s="101" t="str">
        <f>INDEX(Tableau8[Att2],MATCH(Tableau3[[#This Row],[ID-INS]],Tableau8[ID],0))&amp;""</f>
        <v>BH11</v>
      </c>
      <c r="I738" s="101" t="str">
        <f>INDEX(Tableau8[Att3],MATCH(Tableau3[[#This Row],[ID-INS]],Tableau8[ID],0))&amp;""</f>
        <v>Barrière BH11</v>
      </c>
      <c r="J738" s="101"/>
      <c r="K738" s="167" t="str">
        <f>INDEX(Tableau8[Nom du modele],MATCH(Tableau3[[#This Row],[ID-INS]],Tableau8[ID],0))&amp;""</f>
        <v>BarriereHerse_1</v>
      </c>
      <c r="L738" s="99" t="str">
        <f>INDEX(Tableau5[Att1],MATCH(Tableau3[[#This Row],[ID-SIG]],Tableau5[ID],0))&amp;""</f>
        <v>Réserve</v>
      </c>
      <c r="M738" s="99" t="str">
        <f>INDEX(Tableau5[Att2],MATCH(Tableau3[[#This Row],[ID-SIG]],Tableau5[ID],0))&amp;""</f>
        <v/>
      </c>
      <c r="N738" s="99" t="str">
        <f>INDEX(Tableau5[Att3],MATCH(Tableau3[[#This Row],[ID-SIG]],Tableau5[ID],0))&amp;""</f>
        <v/>
      </c>
      <c r="O738" s="99"/>
      <c r="P738" s="99" t="str">
        <f>INDEX(Tableau5[Description],MATCH(Tableau3[[#This Row],[ID-SIG]],Tableau5[ID],0))</f>
        <v>Réserve</v>
      </c>
      <c r="Q738" s="99"/>
      <c r="R738" s="103" t="str">
        <f>Tableau3[[#This Row],[Description]]</f>
        <v>Réserve</v>
      </c>
      <c r="U738" s="87">
        <v>5</v>
      </c>
      <c r="V738" s="87">
        <v>1</v>
      </c>
      <c r="W738" s="87">
        <v>8</v>
      </c>
      <c r="X738" s="87">
        <v>0</v>
      </c>
      <c r="Y738" s="40"/>
      <c r="Z738" s="165" t="str">
        <f>INDEX(Tableau2[TS],MATCH(Tableau3[[#This Row],[ID-CARTEVOIE]],Tableau2[ID-CARTEVOIE],0))</f>
        <v>ET</v>
      </c>
      <c r="AA738" s="53" t="s">
        <v>213</v>
      </c>
      <c r="AB738" s="223" t="str">
        <f>IFERROR(INDEX(Tableau5[Reserve],MATCH(Tableau3[[#This Row],[ID-SIG]],Tableau5[ID],0))&amp;"","")</f>
        <v/>
      </c>
      <c r="AC738" s="21"/>
      <c r="AD738" s="108" t="str">
        <f>INDEX(Tableau7[Repere],MATCH(Tableau3[[#This Row],[ID-API]],Tableau7[ID-API],0))&amp;""</f>
        <v>A5</v>
      </c>
      <c r="AE738" s="108" t="str">
        <f>INDEX(Tableau1[Repere-Rack],MATCH(Tableau3[[#This Row],[ID-RACK]],Tableau1[ID-RACK],0))&amp;""</f>
        <v>R1</v>
      </c>
      <c r="AF738" s="108" t="str">
        <f>INDEX(Tableau1[Repere-Slot],MATCH(Tableau3[[#This Row],[ID-SLOT]],Tableau1[ID-SLOT],0))&amp;""</f>
        <v>S8</v>
      </c>
      <c r="AG738" s="108" t="str">
        <f>INDEX(Tableau2[Repere-Voie],MATCH(Tableau3[[#This Row],[ID-VOIE]],Tableau2[ID-Voie],0))&amp;""</f>
        <v>v0</v>
      </c>
      <c r="AH738" s="72" t="str">
        <f>Tableau3[[#This Row],[ID-API]]&amp; "." &amp;Tableau3[[#This Row],[ID-RACK]]&amp; "." &amp;Tableau3[[#This Row],[ID-SLOT]]</f>
        <v>5.1.8</v>
      </c>
      <c r="AI738" s="72" t="str">
        <f>INDEX(Tableau1[Ref-Carte],MATCH(Tableau3[[#This Row],[ID-RRS]],Tableau1[ID-RRS],0))</f>
        <v>SDI1602</v>
      </c>
      <c r="AJ738" s="72" t="str">
        <f t="array" ref="AJ738">IFERROR(INDEX(Tableau2[TS],MATCH(1,(Tableau2[Ref-Carte]=Tableau3[[#This Row],[Ref-Carte2]])*(Tableau2[ID-Voie]=Tableau3[[#This Row],[ID-VOIE]]),0)),"")</f>
        <v>ET</v>
      </c>
      <c r="AK738" s="72" t="str">
        <f>IFERROR(INDEX(Tableau2[TS],SUMPRODUCT((Tableau2[Ref-Carte]=Tableau3[[#This Row],[Ref-Carte2]])*(Tableau2[ID-Voie]=Tableau3[[#This Row],[ID-VOIE]])*ROW(Tableau2[TS]))-ROW(Tableau2[#Headers])),"")</f>
        <v>ET</v>
      </c>
      <c r="AL738" s="72" t="str">
        <f>Tableau3[[#This Row],[Ref-Carte2]]&amp;"/"&amp;Tableau3[[#This Row],[ID-VOIE]]</f>
        <v>SDI1602/0</v>
      </c>
      <c r="AM738" s="73" t="str">
        <f>INDEX(Tableau2[Borne],MATCH(Tableau3[[#This Row],[ID-CARTEVOIE]],Tableau2[ID-CARTEVOIE],0))&amp;""</f>
        <v>0B</v>
      </c>
      <c r="AN738" s="74" t="str">
        <f>Tableau3[[#This Row],[ID-API]]&amp;Tableau3[[#This Row],[ID-RACK]]&amp;Tableau3[[#This Row],[ID-SLOT]]&amp;Tableau3[[#This Row],[BORNE]]</f>
        <v>5180B</v>
      </c>
      <c r="AO738" s="1"/>
    </row>
    <row r="739" spans="1:41" ht="20.100000000000001" customHeight="1" thickTop="1" thickBot="1">
      <c r="A739" s="68"/>
      <c r="B739" s="69" t="str">
        <f>IFERROR(INDEX(Tableau4[Date],MATCH($A739,Tableau4[EVO],0)),"")</f>
        <v/>
      </c>
      <c r="C739" s="68" t="str">
        <f>IFERROR(INDEX(Tableau4[Designation],MATCH($A739,Tableau4[EVO],0)),"")</f>
        <v/>
      </c>
      <c r="D739" s="68"/>
      <c r="E739" s="70">
        <v>40</v>
      </c>
      <c r="F739" s="71">
        <v>73</v>
      </c>
      <c r="G739" s="101" t="str">
        <f>INDEX(Tableau8[Att1],MATCH(Tableau3[[#This Row],[ID-INS]],Tableau8[ID],0))&amp;""</f>
        <v>V4</v>
      </c>
      <c r="H739" s="101" t="str">
        <f>INDEX(Tableau8[Att2],MATCH(Tableau3[[#This Row],[ID-INS]],Tableau8[ID],0))&amp;""</f>
        <v>BH11</v>
      </c>
      <c r="I739" s="101" t="str">
        <f>INDEX(Tableau8[Att3],MATCH(Tableau3[[#This Row],[ID-INS]],Tableau8[ID],0))&amp;""</f>
        <v>Barrière BH11</v>
      </c>
      <c r="J739" s="101"/>
      <c r="K739" s="167" t="str">
        <f>INDEX(Tableau8[Nom du modele],MATCH(Tableau3[[#This Row],[ID-INS]],Tableau8[ID],0))&amp;""</f>
        <v>BarriereHerse_1</v>
      </c>
      <c r="L739" s="99" t="str">
        <f>INDEX(Tableau5[Att1],MATCH(Tableau3[[#This Row],[ID-SIG]],Tableau5[ID],0))&amp;""</f>
        <v>Fer2</v>
      </c>
      <c r="M739" s="99" t="str">
        <f>INDEX(Tableau5[Att2],MATCH(Tableau3[[#This Row],[ID-SIG]],Tableau5[ID],0))&amp;""</f>
        <v/>
      </c>
      <c r="N739" s="99" t="str">
        <f>INDEX(Tableau5[Att3],MATCH(Tableau3[[#This Row],[ID-SIG]],Tableau5[ID],0))&amp;""</f>
        <v/>
      </c>
      <c r="O739" s="99"/>
      <c r="P739" s="99" t="str">
        <f>INDEX(Tableau5[Description],MATCH(Tableau3[[#This Row],[ID-SIG]],Tableau5[ID],0))</f>
        <v>Position 2 fermé</v>
      </c>
      <c r="Q739" s="99"/>
      <c r="R739" s="103" t="str">
        <f>Tableau3[[#This Row],[Description]]</f>
        <v>Position 2 fermé</v>
      </c>
      <c r="U739" s="87">
        <v>5</v>
      </c>
      <c r="V739" s="87">
        <v>1</v>
      </c>
      <c r="W739" s="87">
        <v>8</v>
      </c>
      <c r="X739" s="87">
        <v>1</v>
      </c>
      <c r="Y739" s="40"/>
      <c r="Z739" s="165" t="str">
        <f>INDEX(Tableau2[TS],MATCH(Tableau3[[#This Row],[ID-CARTEVOIE]],Tableau2[ID-CARTEVOIE],0))</f>
        <v>ET</v>
      </c>
      <c r="AA739" s="53" t="s">
        <v>213</v>
      </c>
      <c r="AB739" s="223" t="str">
        <f>IFERROR(INDEX(Tableau5[Reserve],MATCH(Tableau3[[#This Row],[ID-SIG]],Tableau5[ID],0))&amp;"","")</f>
        <v/>
      </c>
      <c r="AC739" s="21"/>
      <c r="AD739" s="108" t="str">
        <f>INDEX(Tableau7[Repere],MATCH(Tableau3[[#This Row],[ID-API]],Tableau7[ID-API],0))&amp;""</f>
        <v>A5</v>
      </c>
      <c r="AE739" s="108" t="str">
        <f>INDEX(Tableau1[Repere-Rack],MATCH(Tableau3[[#This Row],[ID-RACK]],Tableau1[ID-RACK],0))&amp;""</f>
        <v>R1</v>
      </c>
      <c r="AF739" s="108" t="str">
        <f>INDEX(Tableau1[Repere-Slot],MATCH(Tableau3[[#This Row],[ID-SLOT]],Tableau1[ID-SLOT],0))&amp;""</f>
        <v>S8</v>
      </c>
      <c r="AG739" s="108" t="str">
        <f>INDEX(Tableau2[Repere-Voie],MATCH(Tableau3[[#This Row],[ID-VOIE]],Tableau2[ID-Voie],0))&amp;""</f>
        <v>v1</v>
      </c>
      <c r="AH739" s="72" t="str">
        <f>Tableau3[[#This Row],[ID-API]]&amp; "." &amp;Tableau3[[#This Row],[ID-RACK]]&amp; "." &amp;Tableau3[[#This Row],[ID-SLOT]]</f>
        <v>5.1.8</v>
      </c>
      <c r="AI739" s="72" t="str">
        <f>INDEX(Tableau1[Ref-Carte],MATCH(Tableau3[[#This Row],[ID-RRS]],Tableau1[ID-RRS],0))</f>
        <v>SDI1602</v>
      </c>
      <c r="AJ739" s="72" t="str">
        <f t="array" ref="AJ739">IFERROR(INDEX(Tableau2[TS],MATCH(1,(Tableau2[Ref-Carte]=Tableau3[[#This Row],[Ref-Carte2]])*(Tableau2[ID-Voie]=Tableau3[[#This Row],[ID-VOIE]]),0)),"")</f>
        <v>ET</v>
      </c>
      <c r="AK739" s="72" t="str">
        <f>IFERROR(INDEX(Tableau2[TS],SUMPRODUCT((Tableau2[Ref-Carte]=Tableau3[[#This Row],[Ref-Carte2]])*(Tableau2[ID-Voie]=Tableau3[[#This Row],[ID-VOIE]])*ROW(Tableau2[TS]))-ROW(Tableau2[#Headers])),"")</f>
        <v>ET</v>
      </c>
      <c r="AL739" s="72" t="str">
        <f>Tableau3[[#This Row],[Ref-Carte2]]&amp;"/"&amp;Tableau3[[#This Row],[ID-VOIE]]</f>
        <v>SDI1602/1</v>
      </c>
      <c r="AM739" s="73" t="str">
        <f>INDEX(Tableau2[Borne],MATCH(Tableau3[[#This Row],[ID-CARTEVOIE]],Tableau2[ID-CARTEVOIE],0))&amp;""</f>
        <v>0A</v>
      </c>
      <c r="AN739" s="74" t="str">
        <f>Tableau3[[#This Row],[ID-API]]&amp;Tableau3[[#This Row],[ID-RACK]]&amp;Tableau3[[#This Row],[ID-SLOT]]&amp;Tableau3[[#This Row],[BORNE]]</f>
        <v>5180A</v>
      </c>
      <c r="AO739" s="1"/>
    </row>
    <row r="740" spans="1:41" ht="20.100000000000001" customHeight="1" thickTop="1" thickBot="1">
      <c r="A740" s="68"/>
      <c r="B740" s="69" t="str">
        <f>IFERROR(INDEX(Tableau4[Date],MATCH($A740,Tableau4[EVO],0)),"")</f>
        <v/>
      </c>
      <c r="C740" s="68" t="str">
        <f>IFERROR(INDEX(Tableau4[Designation],MATCH($A740,Tableau4[EVO],0)),"")</f>
        <v/>
      </c>
      <c r="D740" s="68"/>
      <c r="E740" s="70">
        <v>40</v>
      </c>
      <c r="F740" s="71">
        <v>77</v>
      </c>
      <c r="G740" s="101" t="str">
        <f>INDEX(Tableau8[Att1],MATCH(Tableau3[[#This Row],[ID-INS]],Tableau8[ID],0))&amp;""</f>
        <v>V4</v>
      </c>
      <c r="H740" s="101" t="str">
        <f>INDEX(Tableau8[Att2],MATCH(Tableau3[[#This Row],[ID-INS]],Tableau8[ID],0))&amp;""</f>
        <v>BH11</v>
      </c>
      <c r="I740" s="101" t="str">
        <f>INDEX(Tableau8[Att3],MATCH(Tableau3[[#This Row],[ID-INS]],Tableau8[ID],0))&amp;""</f>
        <v>Barrière BH11</v>
      </c>
      <c r="J740" s="101"/>
      <c r="K740" s="167" t="str">
        <f>INDEX(Tableau8[Nom du modele],MATCH(Tableau3[[#This Row],[ID-INS]],Tableau8[ID],0))&amp;""</f>
        <v>BarriereHerse_1</v>
      </c>
      <c r="L740" s="99" t="str">
        <f>INDEX(Tableau5[Att1],MATCH(Tableau3[[#This Row],[ID-SIG]],Tableau5[ID],0))&amp;""</f>
        <v>Ouv</v>
      </c>
      <c r="M740" s="99" t="str">
        <f>INDEX(Tableau5[Att2],MATCH(Tableau3[[#This Row],[ID-SIG]],Tableau5[ID],0))&amp;""</f>
        <v/>
      </c>
      <c r="N740" s="99" t="str">
        <f>INDEX(Tableau5[Att3],MATCH(Tableau3[[#This Row],[ID-SIG]],Tableau5[ID],0))&amp;""</f>
        <v/>
      </c>
      <c r="O740" s="99"/>
      <c r="P740" s="99" t="str">
        <f>INDEX(Tableau5[Description],MATCH(Tableau3[[#This Row],[ID-SIG]],Tableau5[ID],0))</f>
        <v>Position ouverte</v>
      </c>
      <c r="Q740" s="99"/>
      <c r="R740" s="103" t="str">
        <f>Tableau3[[#This Row],[Description]]</f>
        <v>Position ouverte</v>
      </c>
      <c r="U740" s="87">
        <v>5</v>
      </c>
      <c r="V740" s="87">
        <v>1</v>
      </c>
      <c r="W740" s="87">
        <v>8</v>
      </c>
      <c r="X740" s="87">
        <v>2</v>
      </c>
      <c r="Y740" s="40"/>
      <c r="Z740" s="165" t="str">
        <f>INDEX(Tableau2[TS],MATCH(Tableau3[[#This Row],[ID-CARTEVOIE]],Tableau2[ID-CARTEVOIE],0))</f>
        <v>ET</v>
      </c>
      <c r="AA740" s="53" t="s">
        <v>213</v>
      </c>
      <c r="AB740" s="223" t="str">
        <f>IFERROR(INDEX(Tableau5[Reserve],MATCH(Tableau3[[#This Row],[ID-SIG]],Tableau5[ID],0))&amp;"","")</f>
        <v/>
      </c>
      <c r="AC740" s="21"/>
      <c r="AD740" s="108" t="str">
        <f>INDEX(Tableau7[Repere],MATCH(Tableau3[[#This Row],[ID-API]],Tableau7[ID-API],0))&amp;""</f>
        <v>A5</v>
      </c>
      <c r="AE740" s="108" t="str">
        <f>INDEX(Tableau1[Repere-Rack],MATCH(Tableau3[[#This Row],[ID-RACK]],Tableau1[ID-RACK],0))&amp;""</f>
        <v>R1</v>
      </c>
      <c r="AF740" s="108" t="str">
        <f>INDEX(Tableau1[Repere-Slot],MATCH(Tableau3[[#This Row],[ID-SLOT]],Tableau1[ID-SLOT],0))&amp;""</f>
        <v>S8</v>
      </c>
      <c r="AG740" s="108" t="str">
        <f>INDEX(Tableau2[Repere-Voie],MATCH(Tableau3[[#This Row],[ID-VOIE]],Tableau2[ID-Voie],0))&amp;""</f>
        <v>v2</v>
      </c>
      <c r="AH740" s="72" t="str">
        <f>Tableau3[[#This Row],[ID-API]]&amp; "." &amp;Tableau3[[#This Row],[ID-RACK]]&amp; "." &amp;Tableau3[[#This Row],[ID-SLOT]]</f>
        <v>5.1.8</v>
      </c>
      <c r="AI740" s="72" t="str">
        <f>INDEX(Tableau1[Ref-Carte],MATCH(Tableau3[[#This Row],[ID-RRS]],Tableau1[ID-RRS],0))</f>
        <v>SDI1602</v>
      </c>
      <c r="AJ740" s="72" t="str">
        <f t="array" ref="AJ740">IFERROR(INDEX(Tableau2[TS],MATCH(1,(Tableau2[Ref-Carte]=Tableau3[[#This Row],[Ref-Carte2]])*(Tableau2[ID-Voie]=Tableau3[[#This Row],[ID-VOIE]]),0)),"")</f>
        <v>ET</v>
      </c>
      <c r="AK740" s="72" t="str">
        <f>IFERROR(INDEX(Tableau2[TS],SUMPRODUCT((Tableau2[Ref-Carte]=Tableau3[[#This Row],[Ref-Carte2]])*(Tableau2[ID-Voie]=Tableau3[[#This Row],[ID-VOIE]])*ROW(Tableau2[TS]))-ROW(Tableau2[#Headers])),"")</f>
        <v>ET</v>
      </c>
      <c r="AL740" s="72" t="str">
        <f>Tableau3[[#This Row],[Ref-Carte2]]&amp;"/"&amp;Tableau3[[#This Row],[ID-VOIE]]</f>
        <v>SDI1602/2</v>
      </c>
      <c r="AM740" s="73" t="str">
        <f>INDEX(Tableau2[Borne],MATCH(Tableau3[[#This Row],[ID-CARTEVOIE]],Tableau2[ID-CARTEVOIE],0))&amp;""</f>
        <v>1B</v>
      </c>
      <c r="AN740" s="74" t="str">
        <f>Tableau3[[#This Row],[ID-API]]&amp;Tableau3[[#This Row],[ID-RACK]]&amp;Tableau3[[#This Row],[ID-SLOT]]&amp;Tableau3[[#This Row],[BORNE]]</f>
        <v>5181B</v>
      </c>
      <c r="AO740" s="1"/>
    </row>
    <row r="741" spans="1:41" ht="20.100000000000001" customHeight="1" thickTop="1" thickBot="1">
      <c r="A741" s="68"/>
      <c r="B741" s="69" t="str">
        <f>IFERROR(INDEX(Tableau4[Date],MATCH($A741,Tableau4[EVO],0)),"")</f>
        <v/>
      </c>
      <c r="C741" s="68" t="str">
        <f>IFERROR(INDEX(Tableau4[Designation],MATCH($A741,Tableau4[EVO],0)),"")</f>
        <v/>
      </c>
      <c r="D741" s="68"/>
      <c r="E741" s="70">
        <v>40</v>
      </c>
      <c r="F741" s="71">
        <v>78</v>
      </c>
      <c r="G741" s="101" t="str">
        <f>INDEX(Tableau8[Att1],MATCH(Tableau3[[#This Row],[ID-INS]],Tableau8[ID],0))&amp;""</f>
        <v>V4</v>
      </c>
      <c r="H741" s="101" t="str">
        <f>INDEX(Tableau8[Att2],MATCH(Tableau3[[#This Row],[ID-INS]],Tableau8[ID],0))&amp;""</f>
        <v>BH11</v>
      </c>
      <c r="I741" s="101" t="str">
        <f>INDEX(Tableau8[Att3],MATCH(Tableau3[[#This Row],[ID-INS]],Tableau8[ID],0))&amp;""</f>
        <v>Barrière BH11</v>
      </c>
      <c r="J741" s="101"/>
      <c r="K741" s="167" t="str">
        <f>INDEX(Tableau8[Nom du modele],MATCH(Tableau3[[#This Row],[ID-INS]],Tableau8[ID],0))&amp;""</f>
        <v>BarriereHerse_1</v>
      </c>
      <c r="L741" s="99" t="str">
        <f>INDEX(Tableau5[Att1],MATCH(Tableau3[[#This Row],[ID-SIG]],Tableau5[ID],0))&amp;""</f>
        <v>Effraction</v>
      </c>
      <c r="M741" s="99" t="str">
        <f>INDEX(Tableau5[Att2],MATCH(Tableau3[[#This Row],[ID-SIG]],Tableau5[ID],0))&amp;""</f>
        <v/>
      </c>
      <c r="N741" s="99" t="str">
        <f>INDEX(Tableau5[Att3],MATCH(Tableau3[[#This Row],[ID-SIG]],Tableau5[ID],0))&amp;""</f>
        <v/>
      </c>
      <c r="O741" s="99"/>
      <c r="P741" s="99" t="str">
        <f>INDEX(Tableau5[Description],MATCH(Tableau3[[#This Row],[ID-SIG]],Tableau5[ID],0))</f>
        <v>Effraction</v>
      </c>
      <c r="Q741" s="99"/>
      <c r="R741" s="103" t="str">
        <f>Tableau3[[#This Row],[Description]]</f>
        <v>Effraction</v>
      </c>
      <c r="U741" s="87">
        <v>5</v>
      </c>
      <c r="V741" s="87">
        <v>1</v>
      </c>
      <c r="W741" s="87">
        <v>8</v>
      </c>
      <c r="X741" s="87">
        <v>3</v>
      </c>
      <c r="Y741" s="40"/>
      <c r="Z741" s="165" t="str">
        <f>INDEX(Tableau2[TS],MATCH(Tableau3[[#This Row],[ID-CARTEVOIE]],Tableau2[ID-CARTEVOIE],0))</f>
        <v>ET</v>
      </c>
      <c r="AA741" s="53" t="s">
        <v>213</v>
      </c>
      <c r="AB741" s="223" t="str">
        <f>IFERROR(INDEX(Tableau5[Reserve],MATCH(Tableau3[[#This Row],[ID-SIG]],Tableau5[ID],0))&amp;"","")</f>
        <v/>
      </c>
      <c r="AC741" s="21"/>
      <c r="AD741" s="108" t="str">
        <f>INDEX(Tableau7[Repere],MATCH(Tableau3[[#This Row],[ID-API]],Tableau7[ID-API],0))&amp;""</f>
        <v>A5</v>
      </c>
      <c r="AE741" s="108" t="str">
        <f>INDEX(Tableau1[Repere-Rack],MATCH(Tableau3[[#This Row],[ID-RACK]],Tableau1[ID-RACK],0))&amp;""</f>
        <v>R1</v>
      </c>
      <c r="AF741" s="108" t="str">
        <f>INDEX(Tableau1[Repere-Slot],MATCH(Tableau3[[#This Row],[ID-SLOT]],Tableau1[ID-SLOT],0))&amp;""</f>
        <v>S8</v>
      </c>
      <c r="AG741" s="108" t="str">
        <f>INDEX(Tableau2[Repere-Voie],MATCH(Tableau3[[#This Row],[ID-VOIE]],Tableau2[ID-Voie],0))&amp;""</f>
        <v>v3</v>
      </c>
      <c r="AH741" s="72" t="str">
        <f>Tableau3[[#This Row],[ID-API]]&amp; "." &amp;Tableau3[[#This Row],[ID-RACK]]&amp; "." &amp;Tableau3[[#This Row],[ID-SLOT]]</f>
        <v>5.1.8</v>
      </c>
      <c r="AI741" s="72" t="str">
        <f>INDEX(Tableau1[Ref-Carte],MATCH(Tableau3[[#This Row],[ID-RRS]],Tableau1[ID-RRS],0))</f>
        <v>SDI1602</v>
      </c>
      <c r="AJ741" s="72" t="str">
        <f t="array" ref="AJ741">IFERROR(INDEX(Tableau2[TS],MATCH(1,(Tableau2[Ref-Carte]=Tableau3[[#This Row],[Ref-Carte2]])*(Tableau2[ID-Voie]=Tableau3[[#This Row],[ID-VOIE]]),0)),"")</f>
        <v>ET</v>
      </c>
      <c r="AK741" s="72" t="str">
        <f>IFERROR(INDEX(Tableau2[TS],SUMPRODUCT((Tableau2[Ref-Carte]=Tableau3[[#This Row],[Ref-Carte2]])*(Tableau2[ID-Voie]=Tableau3[[#This Row],[ID-VOIE]])*ROW(Tableau2[TS]))-ROW(Tableau2[#Headers])),"")</f>
        <v>ET</v>
      </c>
      <c r="AL741" s="72" t="str">
        <f>Tableau3[[#This Row],[Ref-Carte2]]&amp;"/"&amp;Tableau3[[#This Row],[ID-VOIE]]</f>
        <v>SDI1602/3</v>
      </c>
      <c r="AM741" s="73" t="str">
        <f>INDEX(Tableau2[Borne],MATCH(Tableau3[[#This Row],[ID-CARTEVOIE]],Tableau2[ID-CARTEVOIE],0))&amp;""</f>
        <v>1A</v>
      </c>
      <c r="AN741" s="74" t="str">
        <f>Tableau3[[#This Row],[ID-API]]&amp;Tableau3[[#This Row],[ID-RACK]]&amp;Tableau3[[#This Row],[ID-SLOT]]&amp;Tableau3[[#This Row],[BORNE]]</f>
        <v>5181A</v>
      </c>
      <c r="AO741" s="1"/>
    </row>
    <row r="742" spans="1:41" ht="20.100000000000001" customHeight="1" thickTop="1" thickBot="1">
      <c r="A742" s="68"/>
      <c r="B742" s="69" t="str">
        <f>IFERROR(INDEX(Tableau4[Date],MATCH($A742,Tableau4[EVO],0)),"")</f>
        <v/>
      </c>
      <c r="C742" s="68" t="str">
        <f>IFERROR(INDEX(Tableau4[Designation],MATCH($A742,Tableau4[EVO],0)),"")</f>
        <v/>
      </c>
      <c r="D742" s="68"/>
      <c r="E742" s="70">
        <v>40</v>
      </c>
      <c r="F742" s="71">
        <v>79</v>
      </c>
      <c r="G742" s="101" t="str">
        <f>INDEX(Tableau8[Att1],MATCH(Tableau3[[#This Row],[ID-INS]],Tableau8[ID],0))&amp;""</f>
        <v>V4</v>
      </c>
      <c r="H742" s="101" t="str">
        <f>INDEX(Tableau8[Att2],MATCH(Tableau3[[#This Row],[ID-INS]],Tableau8[ID],0))&amp;""</f>
        <v>BH11</v>
      </c>
      <c r="I742" s="101" t="str">
        <f>INDEX(Tableau8[Att3],MATCH(Tableau3[[#This Row],[ID-INS]],Tableau8[ID],0))&amp;""</f>
        <v>Barrière BH11</v>
      </c>
      <c r="J742" s="101"/>
      <c r="K742" s="167" t="str">
        <f>INDEX(Tableau8[Nom du modele],MATCH(Tableau3[[#This Row],[ID-INS]],Tableau8[ID],0))&amp;""</f>
        <v>BarriereHerse_1</v>
      </c>
      <c r="L742" s="99" t="str">
        <f>INDEX(Tableau5[Att1],MATCH(Tableau3[[#This Row],[ID-SIG]],Tableau5[ID],0))&amp;""</f>
        <v>SynthDef</v>
      </c>
      <c r="M742" s="99" t="str">
        <f>INDEX(Tableau5[Att2],MATCH(Tableau3[[#This Row],[ID-SIG]],Tableau5[ID],0))&amp;""</f>
        <v/>
      </c>
      <c r="N742" s="99" t="str">
        <f>INDEX(Tableau5[Att3],MATCH(Tableau3[[#This Row],[ID-SIG]],Tableau5[ID],0))&amp;""</f>
        <v/>
      </c>
      <c r="O742" s="99"/>
      <c r="P742" s="99" t="str">
        <f>INDEX(Tableau5[Description],MATCH(Tableau3[[#This Row],[ID-SIG]],Tableau5[ID],0))</f>
        <v>Synthèse défaut</v>
      </c>
      <c r="Q742" s="99"/>
      <c r="R742" s="103" t="str">
        <f>Tableau3[[#This Row],[Description]]</f>
        <v>Synthèse défaut</v>
      </c>
      <c r="U742" s="87">
        <v>5</v>
      </c>
      <c r="V742" s="87">
        <v>1</v>
      </c>
      <c r="W742" s="87">
        <v>8</v>
      </c>
      <c r="X742" s="87">
        <v>4</v>
      </c>
      <c r="Y742" s="40"/>
      <c r="Z742" s="165" t="str">
        <f>INDEX(Tableau2[TS],MATCH(Tableau3[[#This Row],[ID-CARTEVOIE]],Tableau2[ID-CARTEVOIE],0))</f>
        <v>ET</v>
      </c>
      <c r="AA742" s="53" t="s">
        <v>213</v>
      </c>
      <c r="AB742" s="223" t="str">
        <f>IFERROR(INDEX(Tableau5[Reserve],MATCH(Tableau3[[#This Row],[ID-SIG]],Tableau5[ID],0))&amp;"","")</f>
        <v/>
      </c>
      <c r="AC742" s="21"/>
      <c r="AD742" s="108" t="str">
        <f>INDEX(Tableau7[Repere],MATCH(Tableau3[[#This Row],[ID-API]],Tableau7[ID-API],0))&amp;""</f>
        <v>A5</v>
      </c>
      <c r="AE742" s="108" t="str">
        <f>INDEX(Tableau1[Repere-Rack],MATCH(Tableau3[[#This Row],[ID-RACK]],Tableau1[ID-RACK],0))&amp;""</f>
        <v>R1</v>
      </c>
      <c r="AF742" s="108" t="str">
        <f>INDEX(Tableau1[Repere-Slot],MATCH(Tableau3[[#This Row],[ID-SLOT]],Tableau1[ID-SLOT],0))&amp;""</f>
        <v>S8</v>
      </c>
      <c r="AG742" s="108" t="str">
        <f>INDEX(Tableau2[Repere-Voie],MATCH(Tableau3[[#This Row],[ID-VOIE]],Tableau2[ID-Voie],0))&amp;""</f>
        <v>v4</v>
      </c>
      <c r="AH742" s="72" t="str">
        <f>Tableau3[[#This Row],[ID-API]]&amp; "." &amp;Tableau3[[#This Row],[ID-RACK]]&amp; "." &amp;Tableau3[[#This Row],[ID-SLOT]]</f>
        <v>5.1.8</v>
      </c>
      <c r="AI742" s="72" t="str">
        <f>INDEX(Tableau1[Ref-Carte],MATCH(Tableau3[[#This Row],[ID-RRS]],Tableau1[ID-RRS],0))</f>
        <v>SDI1602</v>
      </c>
      <c r="AJ742" s="72" t="str">
        <f t="array" ref="AJ742">IFERROR(INDEX(Tableau2[TS],MATCH(1,(Tableau2[Ref-Carte]=Tableau3[[#This Row],[Ref-Carte2]])*(Tableau2[ID-Voie]=Tableau3[[#This Row],[ID-VOIE]]),0)),"")</f>
        <v>ET</v>
      </c>
      <c r="AK742" s="72" t="str">
        <f>IFERROR(INDEX(Tableau2[TS],SUMPRODUCT((Tableau2[Ref-Carte]=Tableau3[[#This Row],[Ref-Carte2]])*(Tableau2[ID-Voie]=Tableau3[[#This Row],[ID-VOIE]])*ROW(Tableau2[TS]))-ROW(Tableau2[#Headers])),"")</f>
        <v>ET</v>
      </c>
      <c r="AL742" s="72" t="str">
        <f>Tableau3[[#This Row],[Ref-Carte2]]&amp;"/"&amp;Tableau3[[#This Row],[ID-VOIE]]</f>
        <v>SDI1602/4</v>
      </c>
      <c r="AM742" s="73" t="str">
        <f>INDEX(Tableau2[Borne],MATCH(Tableau3[[#This Row],[ID-CARTEVOIE]],Tableau2[ID-CARTEVOIE],0))&amp;""</f>
        <v>2B</v>
      </c>
      <c r="AN742" s="74" t="str">
        <f>Tableau3[[#This Row],[ID-API]]&amp;Tableau3[[#This Row],[ID-RACK]]&amp;Tableau3[[#This Row],[ID-SLOT]]&amp;Tableau3[[#This Row],[BORNE]]</f>
        <v>5182B</v>
      </c>
      <c r="AO742" s="1"/>
    </row>
    <row r="743" spans="1:41" ht="20.100000000000001" customHeight="1" thickTop="1" thickBot="1">
      <c r="A743" s="68"/>
      <c r="B743" s="69" t="str">
        <f>IFERROR(INDEX(Tableau4[Date],MATCH($A743,Tableau4[EVO],0)),"")</f>
        <v/>
      </c>
      <c r="C743" s="68" t="str">
        <f>IFERROR(INDEX(Tableau4[Designation],MATCH($A743,Tableau4[EVO],0)),"")</f>
        <v/>
      </c>
      <c r="D743" s="68"/>
      <c r="E743" s="70">
        <v>40</v>
      </c>
      <c r="F743" s="71">
        <v>80</v>
      </c>
      <c r="G743" s="101" t="str">
        <f>INDEX(Tableau8[Att1],MATCH(Tableau3[[#This Row],[ID-INS]],Tableau8[ID],0))&amp;""</f>
        <v>V4</v>
      </c>
      <c r="H743" s="101" t="str">
        <f>INDEX(Tableau8[Att2],MATCH(Tableau3[[#This Row],[ID-INS]],Tableau8[ID],0))&amp;""</f>
        <v>BH11</v>
      </c>
      <c r="I743" s="101" t="str">
        <f>INDEX(Tableau8[Att3],MATCH(Tableau3[[#This Row],[ID-INS]],Tableau8[ID],0))&amp;""</f>
        <v>Barrière BH11</v>
      </c>
      <c r="J743" s="101"/>
      <c r="K743" s="167" t="str">
        <f>INDEX(Tableau8[Nom du modele],MATCH(Tableau3[[#This Row],[ID-INS]],Tableau8[ID],0))&amp;""</f>
        <v>BarriereHerse_1</v>
      </c>
      <c r="L743" s="99" t="str">
        <f>INDEX(Tableau5[Att1],MATCH(Tableau3[[#This Row],[ID-SIG]],Tableau5[ID],0))&amp;""</f>
        <v>FerRet1</v>
      </c>
      <c r="M743" s="99" t="str">
        <f>INDEX(Tableau5[Att2],MATCH(Tableau3[[#This Row],[ID-SIG]],Tableau5[ID],0))&amp;""</f>
        <v/>
      </c>
      <c r="N743" s="99" t="str">
        <f>INDEX(Tableau5[Att3],MATCH(Tableau3[[#This Row],[ID-SIG]],Tableau5[ID],0))&amp;""</f>
        <v/>
      </c>
      <c r="O743" s="99"/>
      <c r="P743" s="99" t="str">
        <f>INDEX(Tableau5[Description],MATCH(Tableau3[[#This Row],[ID-SIG]],Tableau5[ID],0))</f>
        <v>Retour Commande 1 fermeture</v>
      </c>
      <c r="Q743" s="99"/>
      <c r="R743" s="103" t="str">
        <f>Tableau3[[#This Row],[Description]]</f>
        <v>Retour Commande 1 fermeture</v>
      </c>
      <c r="U743" s="87">
        <v>5</v>
      </c>
      <c r="V743" s="87">
        <v>1</v>
      </c>
      <c r="W743" s="87">
        <v>8</v>
      </c>
      <c r="X743" s="87">
        <v>5</v>
      </c>
      <c r="Y743" s="40"/>
      <c r="Z743" s="165" t="str">
        <f>INDEX(Tableau2[TS],MATCH(Tableau3[[#This Row],[ID-CARTEVOIE]],Tableau2[ID-CARTEVOIE],0))</f>
        <v>ET</v>
      </c>
      <c r="AA743" s="53" t="s">
        <v>213</v>
      </c>
      <c r="AB743" s="223" t="str">
        <f>IFERROR(INDEX(Tableau5[Reserve],MATCH(Tableau3[[#This Row],[ID-SIG]],Tableau5[ID],0))&amp;"","")</f>
        <v/>
      </c>
      <c r="AC743" s="21"/>
      <c r="AD743" s="108" t="str">
        <f>INDEX(Tableau7[Repere],MATCH(Tableau3[[#This Row],[ID-API]],Tableau7[ID-API],0))&amp;""</f>
        <v>A5</v>
      </c>
      <c r="AE743" s="108" t="str">
        <f>INDEX(Tableau1[Repere-Rack],MATCH(Tableau3[[#This Row],[ID-RACK]],Tableau1[ID-RACK],0))&amp;""</f>
        <v>R1</v>
      </c>
      <c r="AF743" s="108" t="str">
        <f>INDEX(Tableau1[Repere-Slot],MATCH(Tableau3[[#This Row],[ID-SLOT]],Tableau1[ID-SLOT],0))&amp;""</f>
        <v>S8</v>
      </c>
      <c r="AG743" s="108" t="str">
        <f>INDEX(Tableau2[Repere-Voie],MATCH(Tableau3[[#This Row],[ID-VOIE]],Tableau2[ID-Voie],0))&amp;""</f>
        <v>v5</v>
      </c>
      <c r="AH743" s="72" t="str">
        <f>Tableau3[[#This Row],[ID-API]]&amp; "." &amp;Tableau3[[#This Row],[ID-RACK]]&amp; "." &amp;Tableau3[[#This Row],[ID-SLOT]]</f>
        <v>5.1.8</v>
      </c>
      <c r="AI743" s="72" t="str">
        <f>INDEX(Tableau1[Ref-Carte],MATCH(Tableau3[[#This Row],[ID-RRS]],Tableau1[ID-RRS],0))</f>
        <v>SDI1602</v>
      </c>
      <c r="AJ743" s="72" t="str">
        <f t="array" ref="AJ743">IFERROR(INDEX(Tableau2[TS],MATCH(1,(Tableau2[Ref-Carte]=Tableau3[[#This Row],[Ref-Carte2]])*(Tableau2[ID-Voie]=Tableau3[[#This Row],[ID-VOIE]]),0)),"")</f>
        <v>ET</v>
      </c>
      <c r="AK743" s="72" t="str">
        <f>IFERROR(INDEX(Tableau2[TS],SUMPRODUCT((Tableau2[Ref-Carte]=Tableau3[[#This Row],[Ref-Carte2]])*(Tableau2[ID-Voie]=Tableau3[[#This Row],[ID-VOIE]])*ROW(Tableau2[TS]))-ROW(Tableau2[#Headers])),"")</f>
        <v>ET</v>
      </c>
      <c r="AL743" s="72" t="str">
        <f>Tableau3[[#This Row],[Ref-Carte2]]&amp;"/"&amp;Tableau3[[#This Row],[ID-VOIE]]</f>
        <v>SDI1602/5</v>
      </c>
      <c r="AM743" s="73" t="str">
        <f>INDEX(Tableau2[Borne],MATCH(Tableau3[[#This Row],[ID-CARTEVOIE]],Tableau2[ID-CARTEVOIE],0))&amp;""</f>
        <v>2A</v>
      </c>
      <c r="AN743" s="74" t="str">
        <f>Tableau3[[#This Row],[ID-API]]&amp;Tableau3[[#This Row],[ID-RACK]]&amp;Tableau3[[#This Row],[ID-SLOT]]&amp;Tableau3[[#This Row],[BORNE]]</f>
        <v>5182A</v>
      </c>
      <c r="AO743" s="1"/>
    </row>
    <row r="744" spans="1:41" ht="20.100000000000001" customHeight="1" thickTop="1" thickBot="1">
      <c r="A744" s="68"/>
      <c r="B744" s="69" t="str">
        <f>IFERROR(INDEX(Tableau4[Date],MATCH($A744,Tableau4[EVO],0)),"")</f>
        <v/>
      </c>
      <c r="C744" s="68" t="str">
        <f>IFERROR(INDEX(Tableau4[Designation],MATCH($A744,Tableau4[EVO],0)),"")</f>
        <v/>
      </c>
      <c r="D744" s="68"/>
      <c r="E744" s="70">
        <v>40</v>
      </c>
      <c r="F744" s="71">
        <v>81</v>
      </c>
      <c r="G744" s="101" t="str">
        <f>INDEX(Tableau8[Att1],MATCH(Tableau3[[#This Row],[ID-INS]],Tableau8[ID],0))&amp;""</f>
        <v>V4</v>
      </c>
      <c r="H744" s="101" t="str">
        <f>INDEX(Tableau8[Att2],MATCH(Tableau3[[#This Row],[ID-INS]],Tableau8[ID],0))&amp;""</f>
        <v>BH11</v>
      </c>
      <c r="I744" s="101" t="str">
        <f>INDEX(Tableau8[Att3],MATCH(Tableau3[[#This Row],[ID-INS]],Tableau8[ID],0))&amp;""</f>
        <v>Barrière BH11</v>
      </c>
      <c r="J744" s="101"/>
      <c r="K744" s="167" t="str">
        <f>INDEX(Tableau8[Nom du modele],MATCH(Tableau3[[#This Row],[ID-INS]],Tableau8[ID],0))&amp;""</f>
        <v>BarriereHerse_1</v>
      </c>
      <c r="L744" s="99" t="str">
        <f>INDEX(Tableau5[Att1],MATCH(Tableau3[[#This Row],[ID-SIG]],Tableau5[ID],0))&amp;""</f>
        <v>Pres</v>
      </c>
      <c r="M744" s="99" t="str">
        <f>INDEX(Tableau5[Att2],MATCH(Tableau3[[#This Row],[ID-SIG]],Tableau5[ID],0))&amp;""</f>
        <v/>
      </c>
      <c r="N744" s="99" t="str">
        <f>INDEX(Tableau5[Att3],MATCH(Tableau3[[#This Row],[ID-SIG]],Tableau5[ID],0))&amp;""</f>
        <v/>
      </c>
      <c r="O744" s="99"/>
      <c r="P744" s="99" t="str">
        <f>INDEX(Tableau5[Description],MATCH(Tableau3[[#This Row],[ID-SIG]],Tableau5[ID],0))</f>
        <v>Présence sous la barrière (Cellule)</v>
      </c>
      <c r="Q744" s="99"/>
      <c r="R744" s="103" t="str">
        <f>Tableau3[[#This Row],[Description]]</f>
        <v>Présence sous la barrière (Cellule)</v>
      </c>
      <c r="U744" s="87">
        <v>5</v>
      </c>
      <c r="V744" s="87">
        <v>1</v>
      </c>
      <c r="W744" s="87">
        <v>8</v>
      </c>
      <c r="X744" s="87">
        <v>6</v>
      </c>
      <c r="Y744" s="40"/>
      <c r="Z744" s="165" t="str">
        <f>INDEX(Tableau2[TS],MATCH(Tableau3[[#This Row],[ID-CARTEVOIE]],Tableau2[ID-CARTEVOIE],0))</f>
        <v>ET</v>
      </c>
      <c r="AA744" s="53" t="s">
        <v>213</v>
      </c>
      <c r="AB744" s="223" t="str">
        <f>IFERROR(INDEX(Tableau5[Reserve],MATCH(Tableau3[[#This Row],[ID-SIG]],Tableau5[ID],0))&amp;"","")</f>
        <v/>
      </c>
      <c r="AC744" s="21"/>
      <c r="AD744" s="108" t="str">
        <f>INDEX(Tableau7[Repere],MATCH(Tableau3[[#This Row],[ID-API]],Tableau7[ID-API],0))&amp;""</f>
        <v>A5</v>
      </c>
      <c r="AE744" s="108" t="str">
        <f>INDEX(Tableau1[Repere-Rack],MATCH(Tableau3[[#This Row],[ID-RACK]],Tableau1[ID-RACK],0))&amp;""</f>
        <v>R1</v>
      </c>
      <c r="AF744" s="108" t="str">
        <f>INDEX(Tableau1[Repere-Slot],MATCH(Tableau3[[#This Row],[ID-SLOT]],Tableau1[ID-SLOT],0))&amp;""</f>
        <v>S8</v>
      </c>
      <c r="AG744" s="108" t="str">
        <f>INDEX(Tableau2[Repere-Voie],MATCH(Tableau3[[#This Row],[ID-VOIE]],Tableau2[ID-Voie],0))&amp;""</f>
        <v>v6</v>
      </c>
      <c r="AH744" s="72" t="str">
        <f>Tableau3[[#This Row],[ID-API]]&amp; "." &amp;Tableau3[[#This Row],[ID-RACK]]&amp; "." &amp;Tableau3[[#This Row],[ID-SLOT]]</f>
        <v>5.1.8</v>
      </c>
      <c r="AI744" s="72" t="str">
        <f>INDEX(Tableau1[Ref-Carte],MATCH(Tableau3[[#This Row],[ID-RRS]],Tableau1[ID-RRS],0))</f>
        <v>SDI1602</v>
      </c>
      <c r="AJ744" s="72" t="str">
        <f t="array" ref="AJ744">IFERROR(INDEX(Tableau2[TS],MATCH(1,(Tableau2[Ref-Carte]=Tableau3[[#This Row],[Ref-Carte2]])*(Tableau2[ID-Voie]=Tableau3[[#This Row],[ID-VOIE]]),0)),"")</f>
        <v>ET</v>
      </c>
      <c r="AK744" s="72" t="str">
        <f>IFERROR(INDEX(Tableau2[TS],SUMPRODUCT((Tableau2[Ref-Carte]=Tableau3[[#This Row],[Ref-Carte2]])*(Tableau2[ID-Voie]=Tableau3[[#This Row],[ID-VOIE]])*ROW(Tableau2[TS]))-ROW(Tableau2[#Headers])),"")</f>
        <v>ET</v>
      </c>
      <c r="AL744" s="72" t="str">
        <f>Tableau3[[#This Row],[Ref-Carte2]]&amp;"/"&amp;Tableau3[[#This Row],[ID-VOIE]]</f>
        <v>SDI1602/6</v>
      </c>
      <c r="AM744" s="73" t="str">
        <f>INDEX(Tableau2[Borne],MATCH(Tableau3[[#This Row],[ID-CARTEVOIE]],Tableau2[ID-CARTEVOIE],0))&amp;""</f>
        <v>3B</v>
      </c>
      <c r="AN744" s="74" t="str">
        <f>Tableau3[[#This Row],[ID-API]]&amp;Tableau3[[#This Row],[ID-RACK]]&amp;Tableau3[[#This Row],[ID-SLOT]]&amp;Tableau3[[#This Row],[BORNE]]</f>
        <v>5183B</v>
      </c>
      <c r="AO744" s="1"/>
    </row>
    <row r="745" spans="1:41" ht="20.100000000000001" customHeight="1" thickTop="1" thickBot="1">
      <c r="A745" s="134"/>
      <c r="B745" s="135" t="str">
        <f>IFERROR(INDEX(Tableau4[Date],MATCH($A745,Tableau4[EVO],0)),"")</f>
        <v/>
      </c>
      <c r="C745" s="136" t="str">
        <f>IFERROR(INDEX(Tableau4[Designation],MATCH($A745,Tableau4[EVO],0)),"")</f>
        <v/>
      </c>
      <c r="D745" s="134"/>
      <c r="E745" s="137">
        <v>42</v>
      </c>
      <c r="F745" s="138">
        <v>87</v>
      </c>
      <c r="G745" s="139" t="str">
        <f>INDEX(Tableau8[Att1],MATCH(Tableau3[[#This Row],[ID-INS]],Tableau8[ID],0))&amp;""</f>
        <v>V4</v>
      </c>
      <c r="H745" s="139" t="str">
        <f>INDEX(Tableau8[Att2],MATCH(Tableau3[[#This Row],[ID-INS]],Tableau8[ID],0))&amp;""</f>
        <v>AVB1</v>
      </c>
      <c r="I745" s="139" t="str">
        <f>INDEX(Tableau8[Att3],MATCH(Tableau3[[#This Row],[ID-INS]],Tableau8[ID],0))&amp;""</f>
        <v>Anti-belier AVB1</v>
      </c>
      <c r="J745" s="101"/>
      <c r="K745" s="167" t="str">
        <f>INDEX(Tableau8[Nom du modele],MATCH(Tableau3[[#This Row],[ID-INS]],Tableau8[ID],0))&amp;""</f>
        <v>AVB_1</v>
      </c>
      <c r="L745" s="141" t="str">
        <f>INDEX(Tableau5[Att1],MATCH(Tableau3[[#This Row],[ID-SIG]],Tableau5[ID],0))&amp;""</f>
        <v>Réserve</v>
      </c>
      <c r="M745" s="141" t="str">
        <f>INDEX(Tableau5[Att2],MATCH(Tableau3[[#This Row],[ID-SIG]],Tableau5[ID],0))&amp;""</f>
        <v/>
      </c>
      <c r="N745" s="141" t="str">
        <f>INDEX(Tableau5[Att3],MATCH(Tableau3[[#This Row],[ID-SIG]],Tableau5[ID],0))&amp;""</f>
        <v/>
      </c>
      <c r="O745" s="99"/>
      <c r="P745" s="141" t="str">
        <f>INDEX(Tableau5[Description],MATCH(Tableau3[[#This Row],[ID-SIG]],Tableau5[ID],0))</f>
        <v>Réserve</v>
      </c>
      <c r="Q745" s="99"/>
      <c r="R745" s="142" t="str">
        <f>Tableau3[[#This Row],[Description]]</f>
        <v>Réserve</v>
      </c>
      <c r="U745" s="87">
        <v>5</v>
      </c>
      <c r="V745" s="87">
        <v>1</v>
      </c>
      <c r="W745" s="87">
        <v>8</v>
      </c>
      <c r="X745" s="87">
        <v>7</v>
      </c>
      <c r="Y745" s="40"/>
      <c r="Z745" s="165" t="str">
        <f>INDEX(Tableau2[TS],MATCH(Tableau3[[#This Row],[ID-CARTEVOIE]],Tableau2[ID-CARTEVOIE],0))</f>
        <v>ET</v>
      </c>
      <c r="AA745" s="144" t="s">
        <v>213</v>
      </c>
      <c r="AB745" s="224" t="str">
        <f>IFERROR(INDEX(Tableau5[Reserve],MATCH(Tableau3[[#This Row],[ID-SIG]],Tableau5[ID],0))&amp;"","")</f>
        <v/>
      </c>
      <c r="AC745" s="119"/>
      <c r="AD745" s="120" t="str">
        <f>INDEX(Tableau7[Repere],MATCH(Tableau3[[#This Row],[ID-API]],Tableau7[ID-API],0))&amp;""</f>
        <v>A5</v>
      </c>
      <c r="AE745" s="120" t="str">
        <f>INDEX(Tableau1[Repere-Rack],MATCH(Tableau3[[#This Row],[ID-RACK]],Tableau1[ID-RACK],0))&amp;""</f>
        <v>R1</v>
      </c>
      <c r="AF745" s="120" t="str">
        <f>INDEX(Tableau1[Repere-Slot],MATCH(Tableau3[[#This Row],[ID-SLOT]],Tableau1[ID-SLOT],0))&amp;""</f>
        <v>S8</v>
      </c>
      <c r="AG745" s="120" t="str">
        <f>INDEX(Tableau2[Repere-Voie],MATCH(Tableau3[[#This Row],[ID-VOIE]],Tableau2[ID-Voie],0))&amp;""</f>
        <v>v7</v>
      </c>
      <c r="AH745" s="122" t="str">
        <f>Tableau3[[#This Row],[ID-API]]&amp; "." &amp;Tableau3[[#This Row],[ID-RACK]]&amp; "." &amp;Tableau3[[#This Row],[ID-SLOT]]</f>
        <v>5.1.8</v>
      </c>
      <c r="AI745" s="72" t="str">
        <f>INDEX(Tableau1[Ref-Carte],MATCH(Tableau3[[#This Row],[ID-RRS]],Tableau1[ID-RRS],0))</f>
        <v>SDI1602</v>
      </c>
      <c r="AJ745" s="72" t="str">
        <f t="array" ref="AJ745">IFERROR(INDEX(Tableau2[TS],MATCH(1,(Tableau2[Ref-Carte]=Tableau3[[#This Row],[Ref-Carte2]])*(Tableau2[ID-Voie]=Tableau3[[#This Row],[ID-VOIE]]),0)),"")</f>
        <v>ET</v>
      </c>
      <c r="AK745" s="72" t="str">
        <f>IFERROR(INDEX(Tableau2[TS],SUMPRODUCT((Tableau2[Ref-Carte]=Tableau3[[#This Row],[Ref-Carte2]])*(Tableau2[ID-Voie]=Tableau3[[#This Row],[ID-VOIE]])*ROW(Tableau2[TS]))-ROW(Tableau2[#Headers])),"")</f>
        <v>ET</v>
      </c>
      <c r="AL745" s="122" t="str">
        <f>Tableau3[[#This Row],[Ref-Carte2]]&amp;"/"&amp;Tableau3[[#This Row],[ID-VOIE]]</f>
        <v>SDI1602/7</v>
      </c>
      <c r="AM745" s="145" t="str">
        <f>INDEX(Tableau2[Borne],MATCH(Tableau3[[#This Row],[ID-CARTEVOIE]],Tableau2[ID-CARTEVOIE],0))&amp;""</f>
        <v>3A</v>
      </c>
      <c r="AN745" s="124" t="str">
        <f>Tableau3[[#This Row],[ID-API]]&amp;Tableau3[[#This Row],[ID-RACK]]&amp;Tableau3[[#This Row],[ID-SLOT]]&amp;Tableau3[[#This Row],[BORNE]]</f>
        <v>5183A</v>
      </c>
      <c r="AO745" s="125"/>
    </row>
    <row r="746" spans="1:41" ht="20.100000000000001" customHeight="1" thickTop="1" thickBot="1">
      <c r="A746" s="134"/>
      <c r="B746" s="135" t="str">
        <f>IFERROR(INDEX(Tableau4[Date],MATCH($A746,Tableau4[EVO],0)),"")</f>
        <v/>
      </c>
      <c r="C746" s="136" t="str">
        <f>IFERROR(INDEX(Tableau4[Designation],MATCH($A746,Tableau4[EVO],0)),"")</f>
        <v/>
      </c>
      <c r="D746" s="134"/>
      <c r="E746" s="137">
        <v>42</v>
      </c>
      <c r="F746" s="138">
        <v>88</v>
      </c>
      <c r="G746" s="139" t="str">
        <f>INDEX(Tableau8[Att1],MATCH(Tableau3[[#This Row],[ID-INS]],Tableau8[ID],0))&amp;""</f>
        <v>V4</v>
      </c>
      <c r="H746" s="139" t="str">
        <f>INDEX(Tableau8[Att2],MATCH(Tableau3[[#This Row],[ID-INS]],Tableau8[ID],0))&amp;""</f>
        <v>AVB1</v>
      </c>
      <c r="I746" s="139" t="str">
        <f>INDEX(Tableau8[Att3],MATCH(Tableau3[[#This Row],[ID-INS]],Tableau8[ID],0))&amp;""</f>
        <v>Anti-belier AVB1</v>
      </c>
      <c r="J746" s="101"/>
      <c r="K746" s="167" t="str">
        <f>INDEX(Tableau8[Nom du modele],MATCH(Tableau3[[#This Row],[ID-INS]],Tableau8[ID],0))&amp;""</f>
        <v>AVB_1</v>
      </c>
      <c r="L746" s="141" t="str">
        <f>INDEX(Tableau5[Att1],MATCH(Tableau3[[#This Row],[ID-SIG]],Tableau5[ID],0))&amp;""</f>
        <v>Montee2</v>
      </c>
      <c r="M746" s="141" t="str">
        <f>INDEX(Tableau5[Att2],MATCH(Tableau3[[#This Row],[ID-SIG]],Tableau5[ID],0))&amp;""</f>
        <v/>
      </c>
      <c r="N746" s="141" t="str">
        <f>INDEX(Tableau5[Att3],MATCH(Tableau3[[#This Row],[ID-SIG]],Tableau5[ID],0))&amp;""</f>
        <v/>
      </c>
      <c r="O746" s="99"/>
      <c r="P746" s="141" t="str">
        <f>INDEX(Tableau5[Description],MATCH(Tableau3[[#This Row],[ID-SIG]],Tableau5[ID],0))</f>
        <v>Position 2 montée</v>
      </c>
      <c r="Q746" s="99"/>
      <c r="R746" s="142" t="str">
        <f>Tableau3[[#This Row],[Description]]</f>
        <v>Position 2 montée</v>
      </c>
      <c r="U746" s="87">
        <v>5</v>
      </c>
      <c r="V746" s="87">
        <v>1</v>
      </c>
      <c r="W746" s="87">
        <v>8</v>
      </c>
      <c r="X746" s="87">
        <v>8</v>
      </c>
      <c r="Y746" s="40"/>
      <c r="Z746" s="165" t="str">
        <f>INDEX(Tableau2[TS],MATCH(Tableau3[[#This Row],[ID-CARTEVOIE]],Tableau2[ID-CARTEVOIE],0))</f>
        <v>ET</v>
      </c>
      <c r="AA746" s="144" t="s">
        <v>213</v>
      </c>
      <c r="AB746" s="224" t="str">
        <f>IFERROR(INDEX(Tableau5[Reserve],MATCH(Tableau3[[#This Row],[ID-SIG]],Tableau5[ID],0))&amp;"","")</f>
        <v/>
      </c>
      <c r="AC746" s="119"/>
      <c r="AD746" s="120" t="str">
        <f>INDEX(Tableau7[Repere],MATCH(Tableau3[[#This Row],[ID-API]],Tableau7[ID-API],0))&amp;""</f>
        <v>A5</v>
      </c>
      <c r="AE746" s="120" t="str">
        <f>INDEX(Tableau1[Repere-Rack],MATCH(Tableau3[[#This Row],[ID-RACK]],Tableau1[ID-RACK],0))&amp;""</f>
        <v>R1</v>
      </c>
      <c r="AF746" s="120" t="str">
        <f>INDEX(Tableau1[Repere-Slot],MATCH(Tableau3[[#This Row],[ID-SLOT]],Tableau1[ID-SLOT],0))&amp;""</f>
        <v>S8</v>
      </c>
      <c r="AG746" s="120" t="str">
        <f>INDEX(Tableau2[Repere-Voie],MATCH(Tableau3[[#This Row],[ID-VOIE]],Tableau2[ID-Voie],0))&amp;""</f>
        <v>v8</v>
      </c>
      <c r="AH746" s="122" t="str">
        <f>Tableau3[[#This Row],[ID-API]]&amp; "." &amp;Tableau3[[#This Row],[ID-RACK]]&amp; "." &amp;Tableau3[[#This Row],[ID-SLOT]]</f>
        <v>5.1.8</v>
      </c>
      <c r="AI746" s="72" t="str">
        <f>INDEX(Tableau1[Ref-Carte],MATCH(Tableau3[[#This Row],[ID-RRS]],Tableau1[ID-RRS],0))</f>
        <v>SDI1602</v>
      </c>
      <c r="AJ746" s="72" t="str">
        <f t="array" ref="AJ746">IFERROR(INDEX(Tableau2[TS],MATCH(1,(Tableau2[Ref-Carte]=Tableau3[[#This Row],[Ref-Carte2]])*(Tableau2[ID-Voie]=Tableau3[[#This Row],[ID-VOIE]]),0)),"")</f>
        <v>ET</v>
      </c>
      <c r="AK746" s="72" t="str">
        <f>IFERROR(INDEX(Tableau2[TS],SUMPRODUCT((Tableau2[Ref-Carte]=Tableau3[[#This Row],[Ref-Carte2]])*(Tableau2[ID-Voie]=Tableau3[[#This Row],[ID-VOIE]])*ROW(Tableau2[TS]))-ROW(Tableau2[#Headers])),"")</f>
        <v>ET</v>
      </c>
      <c r="AL746" s="122" t="str">
        <f>Tableau3[[#This Row],[Ref-Carte2]]&amp;"/"&amp;Tableau3[[#This Row],[ID-VOIE]]</f>
        <v>SDI1602/8</v>
      </c>
      <c r="AM746" s="145" t="str">
        <f>INDEX(Tableau2[Borne],MATCH(Tableau3[[#This Row],[ID-CARTEVOIE]],Tableau2[ID-CARTEVOIE],0))&amp;""</f>
        <v>4B</v>
      </c>
      <c r="AN746" s="124" t="str">
        <f>Tableau3[[#This Row],[ID-API]]&amp;Tableau3[[#This Row],[ID-RACK]]&amp;Tableau3[[#This Row],[ID-SLOT]]&amp;Tableau3[[#This Row],[BORNE]]</f>
        <v>5184B</v>
      </c>
      <c r="AO746" s="125"/>
    </row>
    <row r="747" spans="1:41" ht="20.100000000000001" customHeight="1" thickTop="1" thickBot="1">
      <c r="A747" s="68"/>
      <c r="B747" s="69" t="str">
        <f>IFERROR(INDEX(Tableau4[Date],MATCH($A747,Tableau4[EVO],0)),"")</f>
        <v/>
      </c>
      <c r="C747" s="68" t="str">
        <f>IFERROR(INDEX(Tableau4[Designation],MATCH($A747,Tableau4[EVO],0)),"")</f>
        <v/>
      </c>
      <c r="D747" s="68"/>
      <c r="E747" s="70">
        <v>42</v>
      </c>
      <c r="F747" s="71">
        <v>92</v>
      </c>
      <c r="G747" s="101" t="str">
        <f>INDEX(Tableau8[Att1],MATCH(Tableau3[[#This Row],[ID-INS]],Tableau8[ID],0))&amp;""</f>
        <v>V4</v>
      </c>
      <c r="H747" s="101" t="str">
        <f>INDEX(Tableau8[Att2],MATCH(Tableau3[[#This Row],[ID-INS]],Tableau8[ID],0))&amp;""</f>
        <v>AVB1</v>
      </c>
      <c r="I747" s="101" t="str">
        <f>INDEX(Tableau8[Att3],MATCH(Tableau3[[#This Row],[ID-INS]],Tableau8[ID],0))&amp;""</f>
        <v>Anti-belier AVB1</v>
      </c>
      <c r="J747" s="101"/>
      <c r="K747" s="167" t="str">
        <f>INDEX(Tableau8[Nom du modele],MATCH(Tableau3[[#This Row],[ID-INS]],Tableau8[ID],0))&amp;""</f>
        <v>AVB_1</v>
      </c>
      <c r="L747" s="99" t="str">
        <f>INDEX(Tableau5[Att1],MATCH(Tableau3[[#This Row],[ID-SIG]],Tableau5[ID],0))&amp;""</f>
        <v>Descendu</v>
      </c>
      <c r="M747" s="99" t="str">
        <f>INDEX(Tableau5[Att2],MATCH(Tableau3[[#This Row],[ID-SIG]],Tableau5[ID],0))&amp;""</f>
        <v/>
      </c>
      <c r="N747" s="99" t="str">
        <f>INDEX(Tableau5[Att3],MATCH(Tableau3[[#This Row],[ID-SIG]],Tableau5[ID],0))&amp;""</f>
        <v/>
      </c>
      <c r="O747" s="99"/>
      <c r="P747" s="99" t="str">
        <f>INDEX(Tableau5[Description],MATCH(Tableau3[[#This Row],[ID-SIG]],Tableau5[ID],0))</f>
        <v>Position descendu</v>
      </c>
      <c r="Q747" s="99"/>
      <c r="R747" s="103" t="str">
        <f>Tableau3[[#This Row],[Description]]</f>
        <v>Position descendu</v>
      </c>
      <c r="U747" s="87">
        <v>5</v>
      </c>
      <c r="V747" s="87">
        <v>1</v>
      </c>
      <c r="W747" s="87">
        <v>8</v>
      </c>
      <c r="X747" s="87">
        <v>9</v>
      </c>
      <c r="Y747" s="40"/>
      <c r="Z747" s="165" t="str">
        <f>INDEX(Tableau2[TS],MATCH(Tableau3[[#This Row],[ID-CARTEVOIE]],Tableau2[ID-CARTEVOIE],0))</f>
        <v>ET</v>
      </c>
      <c r="AA747" s="53" t="s">
        <v>213</v>
      </c>
      <c r="AB747" s="223" t="str">
        <f>IFERROR(INDEX(Tableau5[Reserve],MATCH(Tableau3[[#This Row],[ID-SIG]],Tableau5[ID],0))&amp;"","")</f>
        <v/>
      </c>
      <c r="AC747" s="21"/>
      <c r="AD747" s="108" t="str">
        <f>INDEX(Tableau7[Repere],MATCH(Tableau3[[#This Row],[ID-API]],Tableau7[ID-API],0))&amp;""</f>
        <v>A5</v>
      </c>
      <c r="AE747" s="108" t="str">
        <f>INDEX(Tableau1[Repere-Rack],MATCH(Tableau3[[#This Row],[ID-RACK]],Tableau1[ID-RACK],0))&amp;""</f>
        <v>R1</v>
      </c>
      <c r="AF747" s="108" t="str">
        <f>INDEX(Tableau1[Repere-Slot],MATCH(Tableau3[[#This Row],[ID-SLOT]],Tableau1[ID-SLOT],0))&amp;""</f>
        <v>S8</v>
      </c>
      <c r="AG747" s="108" t="str">
        <f>INDEX(Tableau2[Repere-Voie],MATCH(Tableau3[[#This Row],[ID-VOIE]],Tableau2[ID-Voie],0))&amp;""</f>
        <v>v9</v>
      </c>
      <c r="AH747" s="72" t="str">
        <f>Tableau3[[#This Row],[ID-API]]&amp; "." &amp;Tableau3[[#This Row],[ID-RACK]]&amp; "." &amp;Tableau3[[#This Row],[ID-SLOT]]</f>
        <v>5.1.8</v>
      </c>
      <c r="AI747" s="72" t="str">
        <f>INDEX(Tableau1[Ref-Carte],MATCH(Tableau3[[#This Row],[ID-RRS]],Tableau1[ID-RRS],0))</f>
        <v>SDI1602</v>
      </c>
      <c r="AJ747" s="72" t="str">
        <f t="array" ref="AJ747">IFERROR(INDEX(Tableau2[TS],MATCH(1,(Tableau2[Ref-Carte]=Tableau3[[#This Row],[Ref-Carte2]])*(Tableau2[ID-Voie]=Tableau3[[#This Row],[ID-VOIE]]),0)),"")</f>
        <v>ET</v>
      </c>
      <c r="AK747" s="72" t="str">
        <f>IFERROR(INDEX(Tableau2[TS],SUMPRODUCT((Tableau2[Ref-Carte]=Tableau3[[#This Row],[Ref-Carte2]])*(Tableau2[ID-Voie]=Tableau3[[#This Row],[ID-VOIE]])*ROW(Tableau2[TS]))-ROW(Tableau2[#Headers])),"")</f>
        <v>ET</v>
      </c>
      <c r="AL747" s="72" t="str">
        <f>Tableau3[[#This Row],[Ref-Carte2]]&amp;"/"&amp;Tableau3[[#This Row],[ID-VOIE]]</f>
        <v>SDI1602/9</v>
      </c>
      <c r="AM747" s="73" t="str">
        <f>INDEX(Tableau2[Borne],MATCH(Tableau3[[#This Row],[ID-CARTEVOIE]],Tableau2[ID-CARTEVOIE],0))&amp;""</f>
        <v>4A</v>
      </c>
      <c r="AN747" s="74" t="str">
        <f>Tableau3[[#This Row],[ID-API]]&amp;Tableau3[[#This Row],[ID-RACK]]&amp;Tableau3[[#This Row],[ID-SLOT]]&amp;Tableau3[[#This Row],[BORNE]]</f>
        <v>5184A</v>
      </c>
      <c r="AO747" s="1"/>
    </row>
    <row r="748" spans="1:41" ht="20.100000000000001" customHeight="1" thickTop="1" thickBot="1">
      <c r="A748" s="68"/>
      <c r="B748" s="69" t="str">
        <f>IFERROR(INDEX(Tableau4[Date],MATCH($A748,Tableau4[EVO],0)),"")</f>
        <v/>
      </c>
      <c r="C748" s="68" t="str">
        <f>IFERROR(INDEX(Tableau4[Designation],MATCH($A748,Tableau4[EVO],0)),"")</f>
        <v/>
      </c>
      <c r="D748" s="68"/>
      <c r="E748" s="70">
        <v>42</v>
      </c>
      <c r="F748" s="71">
        <v>93</v>
      </c>
      <c r="G748" s="101" t="str">
        <f>INDEX(Tableau8[Att1],MATCH(Tableau3[[#This Row],[ID-INS]],Tableau8[ID],0))&amp;""</f>
        <v>V4</v>
      </c>
      <c r="H748" s="101" t="str">
        <f>INDEX(Tableau8[Att2],MATCH(Tableau3[[#This Row],[ID-INS]],Tableau8[ID],0))&amp;""</f>
        <v>AVB1</v>
      </c>
      <c r="I748" s="101" t="str">
        <f>INDEX(Tableau8[Att3],MATCH(Tableau3[[#This Row],[ID-INS]],Tableau8[ID],0))&amp;""</f>
        <v>Anti-belier AVB1</v>
      </c>
      <c r="J748" s="101"/>
      <c r="K748" s="167" t="str">
        <f>INDEX(Tableau8[Nom du modele],MATCH(Tableau3[[#This Row],[ID-INS]],Tableau8[ID],0))&amp;""</f>
        <v>AVB_1</v>
      </c>
      <c r="L748" s="99" t="str">
        <f>INDEX(Tableau5[Att1],MATCH(Tableau3[[#This Row],[ID-SIG]],Tableau5[ID],0))&amp;""</f>
        <v>Effraction</v>
      </c>
      <c r="M748" s="99" t="str">
        <f>INDEX(Tableau5[Att2],MATCH(Tableau3[[#This Row],[ID-SIG]],Tableau5[ID],0))&amp;""</f>
        <v/>
      </c>
      <c r="N748" s="99" t="str">
        <f>INDEX(Tableau5[Att3],MATCH(Tableau3[[#This Row],[ID-SIG]],Tableau5[ID],0))&amp;""</f>
        <v/>
      </c>
      <c r="O748" s="99"/>
      <c r="P748" s="99" t="str">
        <f>INDEX(Tableau5[Description],MATCH(Tableau3[[#This Row],[ID-SIG]],Tableau5[ID],0))</f>
        <v>Effraction</v>
      </c>
      <c r="Q748" s="99"/>
      <c r="R748" s="103" t="str">
        <f>Tableau3[[#This Row],[Description]]</f>
        <v>Effraction</v>
      </c>
      <c r="U748" s="87">
        <v>5</v>
      </c>
      <c r="V748" s="87">
        <v>1</v>
      </c>
      <c r="W748" s="87">
        <v>8</v>
      </c>
      <c r="X748" s="87">
        <v>10</v>
      </c>
      <c r="Y748" s="40"/>
      <c r="Z748" s="165" t="str">
        <f>INDEX(Tableau2[TS],MATCH(Tableau3[[#This Row],[ID-CARTEVOIE]],Tableau2[ID-CARTEVOIE],0))</f>
        <v>ET</v>
      </c>
      <c r="AA748" s="53" t="s">
        <v>213</v>
      </c>
      <c r="AB748" s="223" t="str">
        <f>IFERROR(INDEX(Tableau5[Reserve],MATCH(Tableau3[[#This Row],[ID-SIG]],Tableau5[ID],0))&amp;"","")</f>
        <v/>
      </c>
      <c r="AC748" s="21"/>
      <c r="AD748" s="108" t="str">
        <f>INDEX(Tableau7[Repere],MATCH(Tableau3[[#This Row],[ID-API]],Tableau7[ID-API],0))&amp;""</f>
        <v>A5</v>
      </c>
      <c r="AE748" s="108" t="str">
        <f>INDEX(Tableau1[Repere-Rack],MATCH(Tableau3[[#This Row],[ID-RACK]],Tableau1[ID-RACK],0))&amp;""</f>
        <v>R1</v>
      </c>
      <c r="AF748" s="108" t="str">
        <f>INDEX(Tableau1[Repere-Slot],MATCH(Tableau3[[#This Row],[ID-SLOT]],Tableau1[ID-SLOT],0))&amp;""</f>
        <v>S8</v>
      </c>
      <c r="AG748" s="108" t="str">
        <f>INDEX(Tableau2[Repere-Voie],MATCH(Tableau3[[#This Row],[ID-VOIE]],Tableau2[ID-Voie],0))&amp;""</f>
        <v>v10</v>
      </c>
      <c r="AH748" s="72" t="str">
        <f>Tableau3[[#This Row],[ID-API]]&amp; "." &amp;Tableau3[[#This Row],[ID-RACK]]&amp; "." &amp;Tableau3[[#This Row],[ID-SLOT]]</f>
        <v>5.1.8</v>
      </c>
      <c r="AI748" s="72" t="str">
        <f>INDEX(Tableau1[Ref-Carte],MATCH(Tableau3[[#This Row],[ID-RRS]],Tableau1[ID-RRS],0))</f>
        <v>SDI1602</v>
      </c>
      <c r="AJ748" s="72" t="str">
        <f t="array" ref="AJ748">IFERROR(INDEX(Tableau2[TS],MATCH(1,(Tableau2[Ref-Carte]=Tableau3[[#This Row],[Ref-Carte2]])*(Tableau2[ID-Voie]=Tableau3[[#This Row],[ID-VOIE]]),0)),"")</f>
        <v>ET</v>
      </c>
      <c r="AK748" s="72" t="str">
        <f>IFERROR(INDEX(Tableau2[TS],SUMPRODUCT((Tableau2[Ref-Carte]=Tableau3[[#This Row],[Ref-Carte2]])*(Tableau2[ID-Voie]=Tableau3[[#This Row],[ID-VOIE]])*ROW(Tableau2[TS]))-ROW(Tableau2[#Headers])),"")</f>
        <v>ET</v>
      </c>
      <c r="AL748" s="72" t="str">
        <f>Tableau3[[#This Row],[Ref-Carte2]]&amp;"/"&amp;Tableau3[[#This Row],[ID-VOIE]]</f>
        <v>SDI1602/10</v>
      </c>
      <c r="AM748" s="73" t="str">
        <f>INDEX(Tableau2[Borne],MATCH(Tableau3[[#This Row],[ID-CARTEVOIE]],Tableau2[ID-CARTEVOIE],0))&amp;""</f>
        <v>5B</v>
      </c>
      <c r="AN748" s="74" t="str">
        <f>Tableau3[[#This Row],[ID-API]]&amp;Tableau3[[#This Row],[ID-RACK]]&amp;Tableau3[[#This Row],[ID-SLOT]]&amp;Tableau3[[#This Row],[BORNE]]</f>
        <v>5185B</v>
      </c>
      <c r="AO748" s="1"/>
    </row>
    <row r="749" spans="1:41" ht="20.100000000000001" customHeight="1" thickTop="1" thickBot="1">
      <c r="A749" s="68"/>
      <c r="B749" s="69" t="str">
        <f>IFERROR(INDEX(Tableau4[Date],MATCH($A749,Tableau4[EVO],0)),"")</f>
        <v/>
      </c>
      <c r="C749" s="68" t="str">
        <f>IFERROR(INDEX(Tableau4[Designation],MATCH($A749,Tableau4[EVO],0)),"")</f>
        <v/>
      </c>
      <c r="D749" s="68"/>
      <c r="E749" s="70">
        <v>42</v>
      </c>
      <c r="F749" s="71">
        <v>94</v>
      </c>
      <c r="G749" s="101" t="str">
        <f>INDEX(Tableau8[Att1],MATCH(Tableau3[[#This Row],[ID-INS]],Tableau8[ID],0))&amp;""</f>
        <v>V4</v>
      </c>
      <c r="H749" s="101" t="str">
        <f>INDEX(Tableau8[Att2],MATCH(Tableau3[[#This Row],[ID-INS]],Tableau8[ID],0))&amp;""</f>
        <v>AVB1</v>
      </c>
      <c r="I749" s="101" t="str">
        <f>INDEX(Tableau8[Att3],MATCH(Tableau3[[#This Row],[ID-INS]],Tableau8[ID],0))&amp;""</f>
        <v>Anti-belier AVB1</v>
      </c>
      <c r="J749" s="101"/>
      <c r="K749" s="167" t="str">
        <f>INDEX(Tableau8[Nom du modele],MATCH(Tableau3[[#This Row],[ID-INS]],Tableau8[ID],0))&amp;""</f>
        <v>AVB_1</v>
      </c>
      <c r="L749" s="99" t="str">
        <f>INDEX(Tableau5[Att1],MATCH(Tableau3[[#This Row],[ID-SIG]],Tableau5[ID],0))&amp;""</f>
        <v>SynthDef</v>
      </c>
      <c r="M749" s="99" t="str">
        <f>INDEX(Tableau5[Att2],MATCH(Tableau3[[#This Row],[ID-SIG]],Tableau5[ID],0))&amp;""</f>
        <v/>
      </c>
      <c r="N749" s="99" t="str">
        <f>INDEX(Tableau5[Att3],MATCH(Tableau3[[#This Row],[ID-SIG]],Tableau5[ID],0))&amp;""</f>
        <v/>
      </c>
      <c r="O749" s="99"/>
      <c r="P749" s="99" t="str">
        <f>INDEX(Tableau5[Description],MATCH(Tableau3[[#This Row],[ID-SIG]],Tableau5[ID],0))</f>
        <v>Synthèse défaut</v>
      </c>
      <c r="Q749" s="99"/>
      <c r="R749" s="103" t="str">
        <f>Tableau3[[#This Row],[Description]]</f>
        <v>Synthèse défaut</v>
      </c>
      <c r="U749" s="87">
        <v>5</v>
      </c>
      <c r="V749" s="87">
        <v>1</v>
      </c>
      <c r="W749" s="87">
        <v>8</v>
      </c>
      <c r="X749" s="87">
        <v>11</v>
      </c>
      <c r="Y749" s="40"/>
      <c r="Z749" s="165" t="str">
        <f>INDEX(Tableau2[TS],MATCH(Tableau3[[#This Row],[ID-CARTEVOIE]],Tableau2[ID-CARTEVOIE],0))</f>
        <v>ET</v>
      </c>
      <c r="AA749" s="53" t="s">
        <v>213</v>
      </c>
      <c r="AB749" s="223" t="str">
        <f>IFERROR(INDEX(Tableau5[Reserve],MATCH(Tableau3[[#This Row],[ID-SIG]],Tableau5[ID],0))&amp;"","")</f>
        <v/>
      </c>
      <c r="AC749" s="21"/>
      <c r="AD749" s="108" t="str">
        <f>INDEX(Tableau7[Repere],MATCH(Tableau3[[#This Row],[ID-API]],Tableau7[ID-API],0))&amp;""</f>
        <v>A5</v>
      </c>
      <c r="AE749" s="108" t="str">
        <f>INDEX(Tableau1[Repere-Rack],MATCH(Tableau3[[#This Row],[ID-RACK]],Tableau1[ID-RACK],0))&amp;""</f>
        <v>R1</v>
      </c>
      <c r="AF749" s="108" t="str">
        <f>INDEX(Tableau1[Repere-Slot],MATCH(Tableau3[[#This Row],[ID-SLOT]],Tableau1[ID-SLOT],0))&amp;""</f>
        <v>S8</v>
      </c>
      <c r="AG749" s="108" t="str">
        <f>INDEX(Tableau2[Repere-Voie],MATCH(Tableau3[[#This Row],[ID-VOIE]],Tableau2[ID-Voie],0))&amp;""</f>
        <v>v11</v>
      </c>
      <c r="AH749" s="72" t="str">
        <f>Tableau3[[#This Row],[ID-API]]&amp; "." &amp;Tableau3[[#This Row],[ID-RACK]]&amp; "." &amp;Tableau3[[#This Row],[ID-SLOT]]</f>
        <v>5.1.8</v>
      </c>
      <c r="AI749" s="72" t="str">
        <f>INDEX(Tableau1[Ref-Carte],MATCH(Tableau3[[#This Row],[ID-RRS]],Tableau1[ID-RRS],0))</f>
        <v>SDI1602</v>
      </c>
      <c r="AJ749" s="72" t="str">
        <f t="array" ref="AJ749">IFERROR(INDEX(Tableau2[TS],MATCH(1,(Tableau2[Ref-Carte]=Tableau3[[#This Row],[Ref-Carte2]])*(Tableau2[ID-Voie]=Tableau3[[#This Row],[ID-VOIE]]),0)),"")</f>
        <v>ET</v>
      </c>
      <c r="AK749" s="72" t="str">
        <f>IFERROR(INDEX(Tableau2[TS],SUMPRODUCT((Tableau2[Ref-Carte]=Tableau3[[#This Row],[Ref-Carte2]])*(Tableau2[ID-Voie]=Tableau3[[#This Row],[ID-VOIE]])*ROW(Tableau2[TS]))-ROW(Tableau2[#Headers])),"")</f>
        <v>ET</v>
      </c>
      <c r="AL749" s="72" t="str">
        <f>Tableau3[[#This Row],[Ref-Carte2]]&amp;"/"&amp;Tableau3[[#This Row],[ID-VOIE]]</f>
        <v>SDI1602/11</v>
      </c>
      <c r="AM749" s="73" t="str">
        <f>INDEX(Tableau2[Borne],MATCH(Tableau3[[#This Row],[ID-CARTEVOIE]],Tableau2[ID-CARTEVOIE],0))&amp;""</f>
        <v>5A</v>
      </c>
      <c r="AN749" s="74" t="str">
        <f>Tableau3[[#This Row],[ID-API]]&amp;Tableau3[[#This Row],[ID-RACK]]&amp;Tableau3[[#This Row],[ID-SLOT]]&amp;Tableau3[[#This Row],[BORNE]]</f>
        <v>5185A</v>
      </c>
      <c r="AO749" s="1"/>
    </row>
    <row r="750" spans="1:41" ht="20.100000000000001" customHeight="1" thickTop="1" thickBot="1">
      <c r="A750" s="78"/>
      <c r="B750" s="69" t="str">
        <f>IFERROR(INDEX(Tableau4[Date],MATCH($A750,Tableau4[EVO],0)),"")</f>
        <v/>
      </c>
      <c r="C750" s="78" t="str">
        <f>IFERROR(INDEX(Tableau4[Designation],MATCH($A750,Tableau4[EVO],0)),"")</f>
        <v/>
      </c>
      <c r="D750" s="78"/>
      <c r="E750" s="70">
        <v>42</v>
      </c>
      <c r="F750" s="71">
        <v>95</v>
      </c>
      <c r="G750" s="101" t="str">
        <f>INDEX(Tableau8[Att1],MATCH(Tableau3[[#This Row],[ID-INS]],Tableau8[ID],0))&amp;""</f>
        <v>V4</v>
      </c>
      <c r="H750" s="101" t="str">
        <f>INDEX(Tableau8[Att2],MATCH(Tableau3[[#This Row],[ID-INS]],Tableau8[ID],0))&amp;""</f>
        <v>AVB1</v>
      </c>
      <c r="I750" s="101" t="str">
        <f>INDEX(Tableau8[Att3],MATCH(Tableau3[[#This Row],[ID-INS]],Tableau8[ID],0))&amp;""</f>
        <v>Anti-belier AVB1</v>
      </c>
      <c r="J750" s="101"/>
      <c r="K750" s="167" t="str">
        <f>INDEX(Tableau8[Nom du modele],MATCH(Tableau3[[#This Row],[ID-INS]],Tableau8[ID],0))&amp;""</f>
        <v>AVB_1</v>
      </c>
      <c r="L750" s="99" t="str">
        <f>INDEX(Tableau5[Att1],MATCH(Tableau3[[#This Row],[ID-SIG]],Tableau5[ID],0))&amp;""</f>
        <v>MontRet1</v>
      </c>
      <c r="M750" s="99" t="str">
        <f>INDEX(Tableau5[Att2],MATCH(Tableau3[[#This Row],[ID-SIG]],Tableau5[ID],0))&amp;""</f>
        <v/>
      </c>
      <c r="N750" s="99" t="str">
        <f>INDEX(Tableau5[Att3],MATCH(Tableau3[[#This Row],[ID-SIG]],Tableau5[ID],0))&amp;""</f>
        <v/>
      </c>
      <c r="O750" s="99"/>
      <c r="P750" s="99" t="str">
        <f>INDEX(Tableau5[Description],MATCH(Tableau3[[#This Row],[ID-SIG]],Tableau5[ID],0))</f>
        <v>Retour Commande 1 monter</v>
      </c>
      <c r="Q750" s="99"/>
      <c r="R750" s="103" t="str">
        <f>Tableau3[[#This Row],[Description]]</f>
        <v>Retour Commande 1 monter</v>
      </c>
      <c r="U750" s="87">
        <v>5</v>
      </c>
      <c r="V750" s="87">
        <v>1</v>
      </c>
      <c r="W750" s="87">
        <v>8</v>
      </c>
      <c r="X750" s="87">
        <v>12</v>
      </c>
      <c r="Y750" s="40"/>
      <c r="Z750" s="165" t="str">
        <f>INDEX(Tableau2[TS],MATCH(Tableau3[[#This Row],[ID-CARTEVOIE]],Tableau2[ID-CARTEVOIE],0))</f>
        <v>ET</v>
      </c>
      <c r="AA750" s="53" t="s">
        <v>213</v>
      </c>
      <c r="AB750" s="223" t="str">
        <f>IFERROR(INDEX(Tableau5[Reserve],MATCH(Tableau3[[#This Row],[ID-SIG]],Tableau5[ID],0))&amp;"","")</f>
        <v/>
      </c>
      <c r="AC750" s="21"/>
      <c r="AD750" s="108" t="str">
        <f>INDEX(Tableau7[Repere],MATCH(Tableau3[[#This Row],[ID-API]],Tableau7[ID-API],0))&amp;""</f>
        <v>A5</v>
      </c>
      <c r="AE750" s="108" t="str">
        <f>INDEX(Tableau1[Repere-Rack],MATCH(Tableau3[[#This Row],[ID-RACK]],Tableau1[ID-RACK],0))&amp;""</f>
        <v>R1</v>
      </c>
      <c r="AF750" s="108" t="str">
        <f>INDEX(Tableau1[Repere-Slot],MATCH(Tableau3[[#This Row],[ID-SLOT]],Tableau1[ID-SLOT],0))&amp;""</f>
        <v>S8</v>
      </c>
      <c r="AG750" s="108" t="str">
        <f>INDEX(Tableau2[Repere-Voie],MATCH(Tableau3[[#This Row],[ID-VOIE]],Tableau2[ID-Voie],0))&amp;""</f>
        <v>v12</v>
      </c>
      <c r="AH750" s="72" t="str">
        <f>Tableau3[[#This Row],[ID-API]]&amp; "." &amp;Tableau3[[#This Row],[ID-RACK]]&amp; "." &amp;Tableau3[[#This Row],[ID-SLOT]]</f>
        <v>5.1.8</v>
      </c>
      <c r="AI750" s="72" t="str">
        <f>INDEX(Tableau1[Ref-Carte],MATCH(Tableau3[[#This Row],[ID-RRS]],Tableau1[ID-RRS],0))</f>
        <v>SDI1602</v>
      </c>
      <c r="AJ750" s="72" t="str">
        <f t="array" ref="AJ750">IFERROR(INDEX(Tableau2[TS],MATCH(1,(Tableau2[Ref-Carte]=Tableau3[[#This Row],[Ref-Carte2]])*(Tableau2[ID-Voie]=Tableau3[[#This Row],[ID-VOIE]]),0)),"")</f>
        <v>ET</v>
      </c>
      <c r="AK750" s="72" t="str">
        <f>IFERROR(INDEX(Tableau2[TS],SUMPRODUCT((Tableau2[Ref-Carte]=Tableau3[[#This Row],[Ref-Carte2]])*(Tableau2[ID-Voie]=Tableau3[[#This Row],[ID-VOIE]])*ROW(Tableau2[TS]))-ROW(Tableau2[#Headers])),"")</f>
        <v>ET</v>
      </c>
      <c r="AL750" s="72" t="str">
        <f>Tableau3[[#This Row],[Ref-Carte2]]&amp;"/"&amp;Tableau3[[#This Row],[ID-VOIE]]</f>
        <v>SDI1602/12</v>
      </c>
      <c r="AM750" s="73" t="str">
        <f>INDEX(Tableau2[Borne],MATCH(Tableau3[[#This Row],[ID-CARTEVOIE]],Tableau2[ID-CARTEVOIE],0))&amp;""</f>
        <v>6B</v>
      </c>
      <c r="AN750" s="74" t="str">
        <f>Tableau3[[#This Row],[ID-API]]&amp;Tableau3[[#This Row],[ID-RACK]]&amp;Tableau3[[#This Row],[ID-SLOT]]&amp;Tableau3[[#This Row],[BORNE]]</f>
        <v>5186B</v>
      </c>
      <c r="AO750" s="1"/>
    </row>
    <row r="751" spans="1:41" ht="20.100000000000001" customHeight="1" thickTop="1" thickBot="1">
      <c r="A751" s="68"/>
      <c r="B751" s="69" t="str">
        <f>IFERROR(INDEX(Tableau4[Date],MATCH($A751,Tableau4[EVO],0)),"")</f>
        <v/>
      </c>
      <c r="C751" s="68" t="str">
        <f>IFERROR(INDEX(Tableau4[Designation],MATCH($A751,Tableau4[EVO],0)),"")</f>
        <v/>
      </c>
      <c r="D751" s="68"/>
      <c r="E751" s="70">
        <v>42</v>
      </c>
      <c r="F751" s="71">
        <v>96</v>
      </c>
      <c r="G751" s="101" t="str">
        <f>INDEX(Tableau8[Att1],MATCH(Tableau3[[#This Row],[ID-INS]],Tableau8[ID],0))&amp;""</f>
        <v>V4</v>
      </c>
      <c r="H751" s="101" t="str">
        <f>INDEX(Tableau8[Att2],MATCH(Tableau3[[#This Row],[ID-INS]],Tableau8[ID],0))&amp;""</f>
        <v>AVB1</v>
      </c>
      <c r="I751" s="101" t="str">
        <f>INDEX(Tableau8[Att3],MATCH(Tableau3[[#This Row],[ID-INS]],Tableau8[ID],0))&amp;""</f>
        <v>Anti-belier AVB1</v>
      </c>
      <c r="J751" s="101"/>
      <c r="K751" s="167" t="str">
        <f>INDEX(Tableau8[Nom du modele],MATCH(Tableau3[[#This Row],[ID-INS]],Tableau8[ID],0))&amp;""</f>
        <v>AVB_1</v>
      </c>
      <c r="L751" s="99" t="str">
        <f>INDEX(Tableau5[Att1],MATCH(Tableau3[[#This Row],[ID-SIG]],Tableau5[ID],0))&amp;""</f>
        <v>Pres</v>
      </c>
      <c r="M751" s="99" t="str">
        <f>INDEX(Tableau5[Att2],MATCH(Tableau3[[#This Row],[ID-SIG]],Tableau5[ID],0))&amp;""</f>
        <v/>
      </c>
      <c r="N751" s="99" t="str">
        <f>INDEX(Tableau5[Att3],MATCH(Tableau3[[#This Row],[ID-SIG]],Tableau5[ID],0))&amp;""</f>
        <v/>
      </c>
      <c r="O751" s="99"/>
      <c r="P751" s="99" t="str">
        <f>INDEX(Tableau5[Description],MATCH(Tableau3[[#This Row],[ID-SIG]],Tableau5[ID],0))</f>
        <v>Présence sur AVB</v>
      </c>
      <c r="Q751" s="99"/>
      <c r="R751" s="103" t="str">
        <f>Tableau3[[#This Row],[Description]]</f>
        <v>Présence sur AVB</v>
      </c>
      <c r="U751" s="87">
        <v>5</v>
      </c>
      <c r="V751" s="87">
        <v>1</v>
      </c>
      <c r="W751" s="87">
        <v>8</v>
      </c>
      <c r="X751" s="87">
        <v>13</v>
      </c>
      <c r="Y751" s="40"/>
      <c r="Z751" s="165" t="str">
        <f>INDEX(Tableau2[TS],MATCH(Tableau3[[#This Row],[ID-CARTEVOIE]],Tableau2[ID-CARTEVOIE],0))</f>
        <v>ET</v>
      </c>
      <c r="AA751" s="53" t="s">
        <v>213</v>
      </c>
      <c r="AB751" s="223" t="str">
        <f>IFERROR(INDEX(Tableau5[Reserve],MATCH(Tableau3[[#This Row],[ID-SIG]],Tableau5[ID],0))&amp;"","")</f>
        <v/>
      </c>
      <c r="AC751" s="21"/>
      <c r="AD751" s="108" t="str">
        <f>INDEX(Tableau7[Repere],MATCH(Tableau3[[#This Row],[ID-API]],Tableau7[ID-API],0))&amp;""</f>
        <v>A5</v>
      </c>
      <c r="AE751" s="108" t="str">
        <f>INDEX(Tableau1[Repere-Rack],MATCH(Tableau3[[#This Row],[ID-RACK]],Tableau1[ID-RACK],0))&amp;""</f>
        <v>R1</v>
      </c>
      <c r="AF751" s="108" t="str">
        <f>INDEX(Tableau1[Repere-Slot],MATCH(Tableau3[[#This Row],[ID-SLOT]],Tableau1[ID-SLOT],0))&amp;""</f>
        <v>S8</v>
      </c>
      <c r="AG751" s="108" t="str">
        <f>INDEX(Tableau2[Repere-Voie],MATCH(Tableau3[[#This Row],[ID-VOIE]],Tableau2[ID-Voie],0))&amp;""</f>
        <v>v13</v>
      </c>
      <c r="AH751" s="72" t="str">
        <f>Tableau3[[#This Row],[ID-API]]&amp; "." &amp;Tableau3[[#This Row],[ID-RACK]]&amp; "." &amp;Tableau3[[#This Row],[ID-SLOT]]</f>
        <v>5.1.8</v>
      </c>
      <c r="AI751" s="72" t="str">
        <f>INDEX(Tableau1[Ref-Carte],MATCH(Tableau3[[#This Row],[ID-RRS]],Tableau1[ID-RRS],0))</f>
        <v>SDI1602</v>
      </c>
      <c r="AJ751" s="72" t="str">
        <f t="array" ref="AJ751">IFERROR(INDEX(Tableau2[TS],MATCH(1,(Tableau2[Ref-Carte]=Tableau3[[#This Row],[Ref-Carte2]])*(Tableau2[ID-Voie]=Tableau3[[#This Row],[ID-VOIE]]),0)),"")</f>
        <v>ET</v>
      </c>
      <c r="AK751" s="72" t="str">
        <f>IFERROR(INDEX(Tableau2[TS],SUMPRODUCT((Tableau2[Ref-Carte]=Tableau3[[#This Row],[Ref-Carte2]])*(Tableau2[ID-Voie]=Tableau3[[#This Row],[ID-VOIE]])*ROW(Tableau2[TS]))-ROW(Tableau2[#Headers])),"")</f>
        <v>ET</v>
      </c>
      <c r="AL751" s="72" t="str">
        <f>Tableau3[[#This Row],[Ref-Carte2]]&amp;"/"&amp;Tableau3[[#This Row],[ID-VOIE]]</f>
        <v>SDI1602/13</v>
      </c>
      <c r="AM751" s="73" t="str">
        <f>INDEX(Tableau2[Borne],MATCH(Tableau3[[#This Row],[ID-CARTEVOIE]],Tableau2[ID-CARTEVOIE],0))&amp;""</f>
        <v>6A</v>
      </c>
      <c r="AN751" s="74" t="str">
        <f>Tableau3[[#This Row],[ID-API]]&amp;Tableau3[[#This Row],[ID-RACK]]&amp;Tableau3[[#This Row],[ID-SLOT]]&amp;Tableau3[[#This Row],[BORNE]]</f>
        <v>5186A</v>
      </c>
      <c r="AO751" s="1"/>
    </row>
    <row r="752" spans="1:41" ht="20.100000000000001" customHeight="1" thickTop="1" thickBot="1">
      <c r="A752" s="68"/>
      <c r="B752" s="69" t="str">
        <f>IFERROR(INDEX(Tableau4[Date],MATCH($A752,Tableau4[EVO],0)),"")</f>
        <v/>
      </c>
      <c r="C752" s="68" t="str">
        <f>IFERROR(INDEX(Tableau4[Designation],MATCH($A752,Tableau4[EVO],0)),"")</f>
        <v/>
      </c>
      <c r="D752" s="68"/>
      <c r="E752" s="70">
        <v>44</v>
      </c>
      <c r="F752" s="71">
        <v>51</v>
      </c>
      <c r="G752" s="101" t="str">
        <f>INDEX(Tableau8[Att1],MATCH(Tableau3[[#This Row],[ID-INS]],Tableau8[ID],0))&amp;""</f>
        <v>B21</v>
      </c>
      <c r="H752" s="101" t="str">
        <f>INDEX(Tableau8[Att2],MATCH(Tableau3[[#This Row],[ID-INS]],Tableau8[ID],0))&amp;""</f>
        <v>PMR3</v>
      </c>
      <c r="I752" s="101" t="str">
        <f>INDEX(Tableau8[Att3],MATCH(Tableau3[[#This Row],[ID-INS]],Tableau8[ID],0))&amp;""</f>
        <v>PMR3</v>
      </c>
      <c r="J752" s="101"/>
      <c r="K752" s="167" t="str">
        <f>INDEX(Tableau8[Nom du modele],MATCH(Tableau3[[#This Row],[ID-INS]],Tableau8[ID],0))&amp;""</f>
        <v>PMR_1</v>
      </c>
      <c r="L752" s="99" t="str">
        <f>INDEX(Tableau5[Att1],MATCH(Tableau3[[#This Row],[ID-SIG]],Tableau5[ID],0))&amp;""</f>
        <v>Réserve</v>
      </c>
      <c r="M752" s="99" t="str">
        <f>INDEX(Tableau5[Att2],MATCH(Tableau3[[#This Row],[ID-SIG]],Tableau5[ID],0))&amp;""</f>
        <v/>
      </c>
      <c r="N752" s="99" t="str">
        <f>INDEX(Tableau5[Att3],MATCH(Tableau3[[#This Row],[ID-SIG]],Tableau5[ID],0))&amp;""</f>
        <v/>
      </c>
      <c r="O752" s="99"/>
      <c r="P752" s="99" t="str">
        <f>INDEX(Tableau5[Description],MATCH(Tableau3[[#This Row],[ID-SIG]],Tableau5[ID],0))</f>
        <v>Réserve</v>
      </c>
      <c r="Q752" s="99"/>
      <c r="R752" s="103" t="str">
        <f>Tableau3[[#This Row],[Description]]</f>
        <v>Réserve</v>
      </c>
      <c r="U752" s="87">
        <v>5</v>
      </c>
      <c r="V752" s="87">
        <v>1</v>
      </c>
      <c r="W752" s="87">
        <v>8</v>
      </c>
      <c r="X752" s="87">
        <v>14</v>
      </c>
      <c r="Y752" s="40"/>
      <c r="Z752" s="165" t="str">
        <f>INDEX(Tableau2[TS],MATCH(Tableau3[[#This Row],[ID-CARTEVOIE]],Tableau2[ID-CARTEVOIE],0))</f>
        <v>ET</v>
      </c>
      <c r="AA752" s="53" t="s">
        <v>213</v>
      </c>
      <c r="AB752" s="223" t="str">
        <f>IFERROR(INDEX(Tableau5[Reserve],MATCH(Tableau3[[#This Row],[ID-SIG]],Tableau5[ID],0))&amp;"","")</f>
        <v/>
      </c>
      <c r="AC752" s="21"/>
      <c r="AD752" s="108" t="str">
        <f>INDEX(Tableau7[Repere],MATCH(Tableau3[[#This Row],[ID-API]],Tableau7[ID-API],0))&amp;""</f>
        <v>A5</v>
      </c>
      <c r="AE752" s="108" t="str">
        <f>INDEX(Tableau1[Repere-Rack],MATCH(Tableau3[[#This Row],[ID-RACK]],Tableau1[ID-RACK],0))&amp;""</f>
        <v>R1</v>
      </c>
      <c r="AF752" s="108" t="str">
        <f>INDEX(Tableau1[Repere-Slot],MATCH(Tableau3[[#This Row],[ID-SLOT]],Tableau1[ID-SLOT],0))&amp;""</f>
        <v>S8</v>
      </c>
      <c r="AG752" s="108" t="str">
        <f>INDEX(Tableau2[Repere-Voie],MATCH(Tableau3[[#This Row],[ID-VOIE]],Tableau2[ID-Voie],0))&amp;""</f>
        <v>v14</v>
      </c>
      <c r="AH752" s="72" t="str">
        <f>Tableau3[[#This Row],[ID-API]]&amp; "." &amp;Tableau3[[#This Row],[ID-RACK]]&amp; "." &amp;Tableau3[[#This Row],[ID-SLOT]]</f>
        <v>5.1.8</v>
      </c>
      <c r="AI752" s="72" t="str">
        <f>INDEX(Tableau1[Ref-Carte],MATCH(Tableau3[[#This Row],[ID-RRS]],Tableau1[ID-RRS],0))</f>
        <v>SDI1602</v>
      </c>
      <c r="AJ752" s="72" t="str">
        <f t="array" ref="AJ752">IFERROR(INDEX(Tableau2[TS],MATCH(1,(Tableau2[Ref-Carte]=Tableau3[[#This Row],[Ref-Carte2]])*(Tableau2[ID-Voie]=Tableau3[[#This Row],[ID-VOIE]]),0)),"")</f>
        <v>ET</v>
      </c>
      <c r="AK752" s="72" t="str">
        <f>IFERROR(INDEX(Tableau2[TS],SUMPRODUCT((Tableau2[Ref-Carte]=Tableau3[[#This Row],[Ref-Carte2]])*(Tableau2[ID-Voie]=Tableau3[[#This Row],[ID-VOIE]])*ROW(Tableau2[TS]))-ROW(Tableau2[#Headers])),"")</f>
        <v>ET</v>
      </c>
      <c r="AL752" s="72" t="str">
        <f>Tableau3[[#This Row],[Ref-Carte2]]&amp;"/"&amp;Tableau3[[#This Row],[ID-VOIE]]</f>
        <v>SDI1602/14</v>
      </c>
      <c r="AM752" s="73" t="str">
        <f>INDEX(Tableau2[Borne],MATCH(Tableau3[[#This Row],[ID-CARTEVOIE]],Tableau2[ID-CARTEVOIE],0))&amp;""</f>
        <v>7B</v>
      </c>
      <c r="AN752" s="74" t="str">
        <f>Tableau3[[#This Row],[ID-API]]&amp;Tableau3[[#This Row],[ID-RACK]]&amp;Tableau3[[#This Row],[ID-SLOT]]&amp;Tableau3[[#This Row],[BORNE]]</f>
        <v>5187B</v>
      </c>
      <c r="AO752" s="1"/>
    </row>
    <row r="753" spans="1:41" ht="20.100000000000001" customHeight="1" thickTop="1" thickBot="1">
      <c r="A753" s="68"/>
      <c r="B753" s="69" t="str">
        <f>IFERROR(INDEX(Tableau4[Date],MATCH($A753,Tableau4[EVO],0)),"")</f>
        <v/>
      </c>
      <c r="C753" s="68" t="str">
        <f>IFERROR(INDEX(Tableau4[Designation],MATCH($A753,Tableau4[EVO],0)),"")</f>
        <v/>
      </c>
      <c r="D753" s="68"/>
      <c r="E753" s="70">
        <v>44</v>
      </c>
      <c r="F753" s="71">
        <v>56</v>
      </c>
      <c r="G753" s="101" t="str">
        <f>INDEX(Tableau8[Att1],MATCH(Tableau3[[#This Row],[ID-INS]],Tableau8[ID],0))&amp;""</f>
        <v>B21</v>
      </c>
      <c r="H753" s="101" t="str">
        <f>INDEX(Tableau8[Att2],MATCH(Tableau3[[#This Row],[ID-INS]],Tableau8[ID],0))&amp;""</f>
        <v>PMR3</v>
      </c>
      <c r="I753" s="101" t="str">
        <f>INDEX(Tableau8[Att3],MATCH(Tableau3[[#This Row],[ID-INS]],Tableau8[ID],0))&amp;""</f>
        <v>PMR3</v>
      </c>
      <c r="J753" s="101"/>
      <c r="K753" s="167" t="str">
        <f>INDEX(Tableau8[Nom du modele],MATCH(Tableau3[[#This Row],[ID-INS]],Tableau8[ID],0))&amp;""</f>
        <v>PMR_1</v>
      </c>
      <c r="L753" s="99" t="str">
        <f>INDEX(Tableau5[Att1],MATCH(Tableau3[[#This Row],[ID-SIG]],Tableau5[ID],0))&amp;""</f>
        <v>Fer2</v>
      </c>
      <c r="M753" s="99" t="str">
        <f>INDEX(Tableau5[Att2],MATCH(Tableau3[[#This Row],[ID-SIG]],Tableau5[ID],0))&amp;""</f>
        <v/>
      </c>
      <c r="N753" s="99" t="str">
        <f>INDEX(Tableau5[Att3],MATCH(Tableau3[[#This Row],[ID-SIG]],Tableau5[ID],0))&amp;""</f>
        <v/>
      </c>
      <c r="O753" s="99"/>
      <c r="P753" s="99" t="str">
        <f>INDEX(Tableau5[Description],MATCH(Tableau3[[#This Row],[ID-SIG]],Tableau5[ID],0))</f>
        <v>Porte fermée 2</v>
      </c>
      <c r="Q753" s="99"/>
      <c r="R753" s="103" t="str">
        <f>Tableau3[[#This Row],[Description]]</f>
        <v>Porte fermée 2</v>
      </c>
      <c r="U753" s="87">
        <v>5</v>
      </c>
      <c r="V753" s="87">
        <v>1</v>
      </c>
      <c r="W753" s="87">
        <v>8</v>
      </c>
      <c r="X753" s="87">
        <v>15</v>
      </c>
      <c r="Y753" s="40"/>
      <c r="Z753" s="165" t="str">
        <f>INDEX(Tableau2[TS],MATCH(Tableau3[[#This Row],[ID-CARTEVOIE]],Tableau2[ID-CARTEVOIE],0))</f>
        <v>ET</v>
      </c>
      <c r="AA753" s="53" t="s">
        <v>213</v>
      </c>
      <c r="AB753" s="223" t="str">
        <f>IFERROR(INDEX(Tableau5[Reserve],MATCH(Tableau3[[#This Row],[ID-SIG]],Tableau5[ID],0))&amp;"","")</f>
        <v/>
      </c>
      <c r="AC753" s="21"/>
      <c r="AD753" s="108" t="str">
        <f>INDEX(Tableau7[Repere],MATCH(Tableau3[[#This Row],[ID-API]],Tableau7[ID-API],0))&amp;""</f>
        <v>A5</v>
      </c>
      <c r="AE753" s="108" t="str">
        <f>INDEX(Tableau1[Repere-Rack],MATCH(Tableau3[[#This Row],[ID-RACK]],Tableau1[ID-RACK],0))&amp;""</f>
        <v>R1</v>
      </c>
      <c r="AF753" s="108" t="str">
        <f>INDEX(Tableau1[Repere-Slot],MATCH(Tableau3[[#This Row],[ID-SLOT]],Tableau1[ID-SLOT],0))&amp;""</f>
        <v>S8</v>
      </c>
      <c r="AG753" s="108" t="str">
        <f>INDEX(Tableau2[Repere-Voie],MATCH(Tableau3[[#This Row],[ID-VOIE]],Tableau2[ID-Voie],0))&amp;""</f>
        <v>v15</v>
      </c>
      <c r="AH753" s="72" t="str">
        <f>Tableau3[[#This Row],[ID-API]]&amp; "." &amp;Tableau3[[#This Row],[ID-RACK]]&amp; "." &amp;Tableau3[[#This Row],[ID-SLOT]]</f>
        <v>5.1.8</v>
      </c>
      <c r="AI753" s="72" t="str">
        <f>INDEX(Tableau1[Ref-Carte],MATCH(Tableau3[[#This Row],[ID-RRS]],Tableau1[ID-RRS],0))</f>
        <v>SDI1602</v>
      </c>
      <c r="AJ753" s="72" t="str">
        <f t="array" ref="AJ753">IFERROR(INDEX(Tableau2[TS],MATCH(1,(Tableau2[Ref-Carte]=Tableau3[[#This Row],[Ref-Carte2]])*(Tableau2[ID-Voie]=Tableau3[[#This Row],[ID-VOIE]]),0)),"")</f>
        <v>ET</v>
      </c>
      <c r="AK753" s="72" t="str">
        <f>IFERROR(INDEX(Tableau2[TS],SUMPRODUCT((Tableau2[Ref-Carte]=Tableau3[[#This Row],[Ref-Carte2]])*(Tableau2[ID-Voie]=Tableau3[[#This Row],[ID-VOIE]])*ROW(Tableau2[TS]))-ROW(Tableau2[#Headers])),"")</f>
        <v>ET</v>
      </c>
      <c r="AL753" s="72" t="str">
        <f>Tableau3[[#This Row],[Ref-Carte2]]&amp;"/"&amp;Tableau3[[#This Row],[ID-VOIE]]</f>
        <v>SDI1602/15</v>
      </c>
      <c r="AM753" s="73" t="str">
        <f>INDEX(Tableau2[Borne],MATCH(Tableau3[[#This Row],[ID-CARTEVOIE]],Tableau2[ID-CARTEVOIE],0))&amp;""</f>
        <v>7A</v>
      </c>
      <c r="AN753" s="74" t="str">
        <f>Tableau3[[#This Row],[ID-API]]&amp;Tableau3[[#This Row],[ID-RACK]]&amp;Tableau3[[#This Row],[ID-SLOT]]&amp;Tableau3[[#This Row],[BORNE]]</f>
        <v>5187A</v>
      </c>
      <c r="AO753" s="1"/>
    </row>
    <row r="754" spans="1:41" ht="20.100000000000001" customHeight="1" thickTop="1" thickBot="1">
      <c r="A754" s="68"/>
      <c r="B754" s="69" t="str">
        <f>IFERROR(INDEX(Tableau4[Date],MATCH($A754,Tableau4[EVO],0)),"")</f>
        <v/>
      </c>
      <c r="C754" s="68" t="str">
        <f>IFERROR(INDEX(Tableau4[Designation],MATCH($A754,Tableau4[EVO],0)),"")</f>
        <v/>
      </c>
      <c r="D754" s="68"/>
      <c r="E754" s="70">
        <v>56</v>
      </c>
      <c r="F754" s="71">
        <v>30</v>
      </c>
      <c r="G754" s="101" t="str">
        <f>INDEX(Tableau8[Att1],MATCH(Tableau3[[#This Row],[ID-INS]],Tableau8[ID],0))&amp;""</f>
        <v>B21</v>
      </c>
      <c r="H754" s="101" t="str">
        <f>INDEX(Tableau8[Att2],MATCH(Tableau3[[#This Row],[ID-INS]],Tableau8[ID],0))&amp;""</f>
        <v>TRSD1</v>
      </c>
      <c r="I754" s="101" t="str">
        <f>INDEX(Tableau8[Att3],MATCH(Tableau3[[#This Row],[ID-INS]],Tableau8[ID],0))&amp;""</f>
        <v>Tourniquet TRSD1</v>
      </c>
      <c r="J754" s="101"/>
      <c r="K754" s="167" t="str">
        <f>INDEX(Tableau8[Nom du modele],MATCH(Tableau3[[#This Row],[ID-INS]],Tableau8[ID],0))&amp;""</f>
        <v>TRSD_1</v>
      </c>
      <c r="L754" s="99" t="str">
        <f>INDEX(Tableau5[Att1],MATCH(Tableau3[[#This Row],[ID-SIG]],Tableau5[ID],0))&amp;""</f>
        <v>T2S_OuvCmd2</v>
      </c>
      <c r="M754" s="99" t="str">
        <f>INDEX(Tableau5[Att2],MATCH(Tableau3[[#This Row],[ID-SIG]],Tableau5[ID],0))&amp;""</f>
        <v/>
      </c>
      <c r="N754" s="99" t="str">
        <f>INDEX(Tableau5[Att3],MATCH(Tableau3[[#This Row],[ID-SIG]],Tableau5[ID],0))&amp;""</f>
        <v/>
      </c>
      <c r="O754" s="99"/>
      <c r="P754" s="99" t="str">
        <f>INDEX(Tableau5[Description],MATCH(Tableau3[[#This Row],[ID-SIG]],Tableau5[ID],0))</f>
        <v>Commande 2 ouverture sortie 2</v>
      </c>
      <c r="Q754" s="99"/>
      <c r="R754" s="103" t="str">
        <f>Tableau3[[#This Row],[Description]]</f>
        <v>Commande 2 ouverture sortie 2</v>
      </c>
      <c r="U754" s="87">
        <v>5</v>
      </c>
      <c r="V754" s="87">
        <v>1</v>
      </c>
      <c r="W754" s="87">
        <v>9</v>
      </c>
      <c r="X754" s="87">
        <v>0</v>
      </c>
      <c r="Y754" s="41"/>
      <c r="Z754" s="165" t="str">
        <f>INDEX(Tableau2[TS],MATCH(Tableau3[[#This Row],[ID-CARTEVOIE]],Tableau2[ID-CARTEVOIE],0))</f>
        <v>ST</v>
      </c>
      <c r="AA754" s="53" t="s">
        <v>213</v>
      </c>
      <c r="AB754" s="223" t="str">
        <f>IFERROR(INDEX(Tableau5[Reserve],MATCH(Tableau3[[#This Row],[ID-SIG]],Tableau5[ID],0))&amp;"","")</f>
        <v/>
      </c>
      <c r="AC754" s="21"/>
      <c r="AD754" s="108" t="str">
        <f>INDEX(Tableau7[Repere],MATCH(Tableau3[[#This Row],[ID-API]],Tableau7[ID-API],0))&amp;""</f>
        <v>A5</v>
      </c>
      <c r="AE754" s="108" t="str">
        <f>INDEX(Tableau1[Repere-Rack],MATCH(Tableau3[[#This Row],[ID-RACK]],Tableau1[ID-RACK],0))&amp;""</f>
        <v>R1</v>
      </c>
      <c r="AF754" s="108" t="str">
        <f>INDEX(Tableau1[Repere-Slot],MATCH(Tableau3[[#This Row],[ID-SLOT]],Tableau1[ID-SLOT],0))&amp;""</f>
        <v>S9</v>
      </c>
      <c r="AG754" s="108" t="str">
        <f>INDEX(Tableau2[Repere-Voie],MATCH(Tableau3[[#This Row],[ID-VOIE]],Tableau2[ID-Voie],0))&amp;""</f>
        <v>v0</v>
      </c>
      <c r="AH754" s="72" t="str">
        <f>Tableau3[[#This Row],[ID-API]]&amp; "." &amp;Tableau3[[#This Row],[ID-RACK]]&amp; "." &amp;Tableau3[[#This Row],[ID-SLOT]]</f>
        <v>5.1.9</v>
      </c>
      <c r="AI754" s="72" t="str">
        <f>INDEX(Tableau1[Ref-Carte],MATCH(Tableau3[[#This Row],[ID-RRS]],Tableau1[ID-RRS],0))</f>
        <v>SDO0802</v>
      </c>
      <c r="AJ754" s="72" t="str">
        <f t="array" ref="AJ754">IFERROR(INDEX(Tableau2[TS],MATCH(1,(Tableau2[Ref-Carte]=Tableau3[[#This Row],[Ref-Carte2]])*(Tableau2[ID-Voie]=Tableau3[[#This Row],[ID-VOIE]]),0)),"")</f>
        <v>ST</v>
      </c>
      <c r="AK754" s="72" t="str">
        <f>IFERROR(INDEX(Tableau2[TS],SUMPRODUCT((Tableau2[Ref-Carte]=Tableau3[[#This Row],[Ref-Carte2]])*(Tableau2[ID-Voie]=Tableau3[[#This Row],[ID-VOIE]])*ROW(Tableau2[TS]))-ROW(Tableau2[#Headers])),"")</f>
        <v>ST</v>
      </c>
      <c r="AL754" s="72" t="str">
        <f>Tableau3[[#This Row],[Ref-Carte2]]&amp;"/"&amp;Tableau3[[#This Row],[ID-VOIE]]</f>
        <v>SDO0802/0</v>
      </c>
      <c r="AM754" s="73" t="str">
        <f>INDEX(Tableau2[Borne],MATCH(Tableau3[[#This Row],[ID-CARTEVOIE]],Tableau2[ID-CARTEVOIE],0))&amp;""</f>
        <v>0</v>
      </c>
      <c r="AN754" s="74" t="str">
        <f>Tableau3[[#This Row],[ID-API]]&amp;Tableau3[[#This Row],[ID-RACK]]&amp;Tableau3[[#This Row],[ID-SLOT]]&amp;Tableau3[[#This Row],[BORNE]]</f>
        <v>5190</v>
      </c>
      <c r="AO754" s="1"/>
    </row>
    <row r="755" spans="1:41" ht="20.100000000000001" customHeight="1" thickTop="1" thickBot="1">
      <c r="A755" s="68"/>
      <c r="B755" s="69" t="str">
        <f>IFERROR(INDEX(Tableau4[Date],MATCH($A755,Tableau4[EVO],0)),"")</f>
        <v/>
      </c>
      <c r="C755" s="68" t="str">
        <f>IFERROR(INDEX(Tableau4[Designation],MATCH($A755,Tableau4[EVO],0)),"")</f>
        <v/>
      </c>
      <c r="D755" s="68"/>
      <c r="E755" s="70">
        <v>56</v>
      </c>
      <c r="F755" s="71">
        <v>32</v>
      </c>
      <c r="G755" s="101" t="str">
        <f>INDEX(Tableau8[Att1],MATCH(Tableau3[[#This Row],[ID-INS]],Tableau8[ID],0))&amp;""</f>
        <v>B21</v>
      </c>
      <c r="H755" s="101" t="str">
        <f>INDEX(Tableau8[Att2],MATCH(Tableau3[[#This Row],[ID-INS]],Tableau8[ID],0))&amp;""</f>
        <v>TRSD1</v>
      </c>
      <c r="I755" s="101" t="str">
        <f>INDEX(Tableau8[Att3],MATCH(Tableau3[[#This Row],[ID-INS]],Tableau8[ID],0))&amp;""</f>
        <v>Tourniquet TRSD1</v>
      </c>
      <c r="J755" s="101"/>
      <c r="K755" s="167" t="str">
        <f>INDEX(Tableau8[Nom du modele],MATCH(Tableau3[[#This Row],[ID-INS]],Tableau8[ID],0))&amp;""</f>
        <v>TRSD_1</v>
      </c>
      <c r="L755" s="99" t="str">
        <f>INDEX(Tableau5[Att1],MATCH(Tableau3[[#This Row],[ID-SIG]],Tableau5[ID],0))&amp;""</f>
        <v>T1E_OuvCmd</v>
      </c>
      <c r="M755" s="99" t="str">
        <f>INDEX(Tableau5[Att2],MATCH(Tableau3[[#This Row],[ID-SIG]],Tableau5[ID],0))&amp;""</f>
        <v/>
      </c>
      <c r="N755" s="99" t="str">
        <f>INDEX(Tableau5[Att3],MATCH(Tableau3[[#This Row],[ID-SIG]],Tableau5[ID],0))&amp;""</f>
        <v/>
      </c>
      <c r="O755" s="99"/>
      <c r="P755" s="99" t="str">
        <f>INDEX(Tableau5[Description],MATCH(Tableau3[[#This Row],[ID-SIG]],Tableau5[ID],0))</f>
        <v>Commande ouverture entrée 1</v>
      </c>
      <c r="Q755" s="99"/>
      <c r="R755" s="103" t="str">
        <f>Tableau3[[#This Row],[Description]]</f>
        <v>Commande ouverture entrée 1</v>
      </c>
      <c r="U755" s="87">
        <v>5</v>
      </c>
      <c r="V755" s="87">
        <v>1</v>
      </c>
      <c r="W755" s="87">
        <v>9</v>
      </c>
      <c r="X755" s="87">
        <v>1</v>
      </c>
      <c r="Y755" s="41"/>
      <c r="Z755" s="165" t="str">
        <f>INDEX(Tableau2[TS],MATCH(Tableau3[[#This Row],[ID-CARTEVOIE]],Tableau2[ID-CARTEVOIE],0))</f>
        <v>ST</v>
      </c>
      <c r="AA755" s="53" t="s">
        <v>213</v>
      </c>
      <c r="AB755" s="223" t="str">
        <f>IFERROR(INDEX(Tableau5[Reserve],MATCH(Tableau3[[#This Row],[ID-SIG]],Tableau5[ID],0))&amp;"","")</f>
        <v/>
      </c>
      <c r="AC755" s="21"/>
      <c r="AD755" s="108" t="str">
        <f>INDEX(Tableau7[Repere],MATCH(Tableau3[[#This Row],[ID-API]],Tableau7[ID-API],0))&amp;""</f>
        <v>A5</v>
      </c>
      <c r="AE755" s="108" t="str">
        <f>INDEX(Tableau1[Repere-Rack],MATCH(Tableau3[[#This Row],[ID-RACK]],Tableau1[ID-RACK],0))&amp;""</f>
        <v>R1</v>
      </c>
      <c r="AF755" s="108" t="str">
        <f>INDEX(Tableau1[Repere-Slot],MATCH(Tableau3[[#This Row],[ID-SLOT]],Tableau1[ID-SLOT],0))&amp;""</f>
        <v>S9</v>
      </c>
      <c r="AG755" s="108" t="str">
        <f>INDEX(Tableau2[Repere-Voie],MATCH(Tableau3[[#This Row],[ID-VOIE]],Tableau2[ID-Voie],0))&amp;""</f>
        <v>v1</v>
      </c>
      <c r="AH755" s="72" t="str">
        <f>Tableau3[[#This Row],[ID-API]]&amp; "." &amp;Tableau3[[#This Row],[ID-RACK]]&amp; "." &amp;Tableau3[[#This Row],[ID-SLOT]]</f>
        <v>5.1.9</v>
      </c>
      <c r="AI755" s="72" t="str">
        <f>INDEX(Tableau1[Ref-Carte],MATCH(Tableau3[[#This Row],[ID-RRS]],Tableau1[ID-RRS],0))</f>
        <v>SDO0802</v>
      </c>
      <c r="AJ755" s="72" t="str">
        <f t="array" ref="AJ755">IFERROR(INDEX(Tableau2[TS],MATCH(1,(Tableau2[Ref-Carte]=Tableau3[[#This Row],[Ref-Carte2]])*(Tableau2[ID-Voie]=Tableau3[[#This Row],[ID-VOIE]]),0)),"")</f>
        <v>ST</v>
      </c>
      <c r="AK755" s="72" t="str">
        <f>IFERROR(INDEX(Tableau2[TS],SUMPRODUCT((Tableau2[Ref-Carte]=Tableau3[[#This Row],[Ref-Carte2]])*(Tableau2[ID-Voie]=Tableau3[[#This Row],[ID-VOIE]])*ROW(Tableau2[TS]))-ROW(Tableau2[#Headers])),"")</f>
        <v>ST</v>
      </c>
      <c r="AL755" s="72" t="str">
        <f>Tableau3[[#This Row],[Ref-Carte2]]&amp;"/"&amp;Tableau3[[#This Row],[ID-VOIE]]</f>
        <v>SDO0802/1</v>
      </c>
      <c r="AM755" s="73" t="str">
        <f>INDEX(Tableau2[Borne],MATCH(Tableau3[[#This Row],[ID-CARTEVOIE]],Tableau2[ID-CARTEVOIE],0))&amp;""</f>
        <v>1</v>
      </c>
      <c r="AN755" s="74" t="str">
        <f>Tableau3[[#This Row],[ID-API]]&amp;Tableau3[[#This Row],[ID-RACK]]&amp;Tableau3[[#This Row],[ID-SLOT]]&amp;Tableau3[[#This Row],[BORNE]]</f>
        <v>5191</v>
      </c>
      <c r="AO755" s="1"/>
    </row>
    <row r="756" spans="1:41" ht="20.100000000000001" customHeight="1" thickTop="1" thickBot="1">
      <c r="A756" s="68"/>
      <c r="B756" s="69" t="str">
        <f>IFERROR(INDEX(Tableau4[Date],MATCH($A756,Tableau4[EVO],0)),"")</f>
        <v/>
      </c>
      <c r="C756" s="68" t="str">
        <f>IFERROR(INDEX(Tableau4[Designation],MATCH($A756,Tableau4[EVO],0)),"")</f>
        <v/>
      </c>
      <c r="D756" s="68"/>
      <c r="E756" s="70">
        <v>56</v>
      </c>
      <c r="F756" s="71">
        <v>33</v>
      </c>
      <c r="G756" s="101" t="str">
        <f>INDEX(Tableau8[Att1],MATCH(Tableau3[[#This Row],[ID-INS]],Tableau8[ID],0))&amp;""</f>
        <v>B21</v>
      </c>
      <c r="H756" s="101" t="str">
        <f>INDEX(Tableau8[Att2],MATCH(Tableau3[[#This Row],[ID-INS]],Tableau8[ID],0))&amp;""</f>
        <v>TRSD1</v>
      </c>
      <c r="I756" s="101" t="str">
        <f>INDEX(Tableau8[Att3],MATCH(Tableau3[[#This Row],[ID-INS]],Tableau8[ID],0))&amp;""</f>
        <v>Tourniquet TRSD1</v>
      </c>
      <c r="J756" s="101"/>
      <c r="K756" s="167" t="str">
        <f>INDEX(Tableau8[Nom du modele],MATCH(Tableau3[[#This Row],[ID-INS]],Tableau8[ID],0))&amp;""</f>
        <v>TRSD_1</v>
      </c>
      <c r="L756" s="99" t="str">
        <f>INDEX(Tableau5[Att1],MATCH(Tableau3[[#This Row],[ID-SIG]],Tableau5[ID],0))&amp;""</f>
        <v>T1S_OuvCmd1</v>
      </c>
      <c r="M756" s="99" t="str">
        <f>INDEX(Tableau5[Att2],MATCH(Tableau3[[#This Row],[ID-SIG]],Tableau5[ID],0))&amp;""</f>
        <v/>
      </c>
      <c r="N756" s="99" t="str">
        <f>INDEX(Tableau5[Att3],MATCH(Tableau3[[#This Row],[ID-SIG]],Tableau5[ID],0))&amp;""</f>
        <v/>
      </c>
      <c r="O756" s="99"/>
      <c r="P756" s="99" t="str">
        <f>INDEX(Tableau5[Description],MATCH(Tableau3[[#This Row],[ID-SIG]],Tableau5[ID],0))</f>
        <v>Commande 1 ouverture sortie 1</v>
      </c>
      <c r="Q756" s="99"/>
      <c r="R756" s="103" t="str">
        <f>Tableau3[[#This Row],[Description]]</f>
        <v>Commande 1 ouverture sortie 1</v>
      </c>
      <c r="U756" s="87">
        <v>5</v>
      </c>
      <c r="V756" s="87">
        <v>1</v>
      </c>
      <c r="W756" s="87">
        <v>9</v>
      </c>
      <c r="X756" s="87">
        <v>2</v>
      </c>
      <c r="Y756" s="41"/>
      <c r="Z756" s="165" t="str">
        <f>INDEX(Tableau2[TS],MATCH(Tableau3[[#This Row],[ID-CARTEVOIE]],Tableau2[ID-CARTEVOIE],0))</f>
        <v>ST</v>
      </c>
      <c r="AA756" s="53" t="s">
        <v>213</v>
      </c>
      <c r="AB756" s="223" t="str">
        <f>IFERROR(INDEX(Tableau5[Reserve],MATCH(Tableau3[[#This Row],[ID-SIG]],Tableau5[ID],0))&amp;"","")</f>
        <v/>
      </c>
      <c r="AC756" s="21"/>
      <c r="AD756" s="108" t="str">
        <f>INDEX(Tableau7[Repere],MATCH(Tableau3[[#This Row],[ID-API]],Tableau7[ID-API],0))&amp;""</f>
        <v>A5</v>
      </c>
      <c r="AE756" s="108" t="str">
        <f>INDEX(Tableau1[Repere-Rack],MATCH(Tableau3[[#This Row],[ID-RACK]],Tableau1[ID-RACK],0))&amp;""</f>
        <v>R1</v>
      </c>
      <c r="AF756" s="108" t="str">
        <f>INDEX(Tableau1[Repere-Slot],MATCH(Tableau3[[#This Row],[ID-SLOT]],Tableau1[ID-SLOT],0))&amp;""</f>
        <v>S9</v>
      </c>
      <c r="AG756" s="108" t="str">
        <f>INDEX(Tableau2[Repere-Voie],MATCH(Tableau3[[#This Row],[ID-VOIE]],Tableau2[ID-Voie],0))&amp;""</f>
        <v>v2</v>
      </c>
      <c r="AH756" s="72" t="str">
        <f>Tableau3[[#This Row],[ID-API]]&amp; "." &amp;Tableau3[[#This Row],[ID-RACK]]&amp; "." &amp;Tableau3[[#This Row],[ID-SLOT]]</f>
        <v>5.1.9</v>
      </c>
      <c r="AI756" s="72" t="str">
        <f>INDEX(Tableau1[Ref-Carte],MATCH(Tableau3[[#This Row],[ID-RRS]],Tableau1[ID-RRS],0))</f>
        <v>SDO0802</v>
      </c>
      <c r="AJ756" s="72" t="str">
        <f t="array" ref="AJ756">IFERROR(INDEX(Tableau2[TS],MATCH(1,(Tableau2[Ref-Carte]=Tableau3[[#This Row],[Ref-Carte2]])*(Tableau2[ID-Voie]=Tableau3[[#This Row],[ID-VOIE]]),0)),"")</f>
        <v>ST</v>
      </c>
      <c r="AK756" s="72" t="str">
        <f>IFERROR(INDEX(Tableau2[TS],SUMPRODUCT((Tableau2[Ref-Carte]=Tableau3[[#This Row],[Ref-Carte2]])*(Tableau2[ID-Voie]=Tableau3[[#This Row],[ID-VOIE]])*ROW(Tableau2[TS]))-ROW(Tableau2[#Headers])),"")</f>
        <v>ST</v>
      </c>
      <c r="AL756" s="72" t="str">
        <f>Tableau3[[#This Row],[Ref-Carte2]]&amp;"/"&amp;Tableau3[[#This Row],[ID-VOIE]]</f>
        <v>SDO0802/2</v>
      </c>
      <c r="AM756" s="73" t="str">
        <f>INDEX(Tableau2[Borne],MATCH(Tableau3[[#This Row],[ID-CARTEVOIE]],Tableau2[ID-CARTEVOIE],0))&amp;""</f>
        <v>2</v>
      </c>
      <c r="AN756" s="74" t="str">
        <f>Tableau3[[#This Row],[ID-API]]&amp;Tableau3[[#This Row],[ID-RACK]]&amp;Tableau3[[#This Row],[ID-SLOT]]&amp;Tableau3[[#This Row],[BORNE]]</f>
        <v>5192</v>
      </c>
      <c r="AO756" s="1"/>
    </row>
    <row r="757" spans="1:41" ht="20.100000000000001" customHeight="1" thickTop="1" thickBot="1">
      <c r="A757" s="68"/>
      <c r="B757" s="69" t="str">
        <f>IFERROR(INDEX(Tableau4[Date],MATCH($A757,Tableau4[EVO],0)),"")</f>
        <v/>
      </c>
      <c r="C757" s="68" t="str">
        <f>IFERROR(INDEX(Tableau4[Designation],MATCH($A757,Tableau4[EVO],0)),"")</f>
        <v/>
      </c>
      <c r="D757" s="68"/>
      <c r="E757" s="70">
        <v>56</v>
      </c>
      <c r="F757" s="71">
        <v>36</v>
      </c>
      <c r="G757" s="101" t="str">
        <f>INDEX(Tableau8[Att1],MATCH(Tableau3[[#This Row],[ID-INS]],Tableau8[ID],0))&amp;""</f>
        <v>B21</v>
      </c>
      <c r="H757" s="101" t="str">
        <f>INDEX(Tableau8[Att2],MATCH(Tableau3[[#This Row],[ID-INS]],Tableau8[ID],0))&amp;""</f>
        <v>TRSD1</v>
      </c>
      <c r="I757" s="101" t="str">
        <f>INDEX(Tableau8[Att3],MATCH(Tableau3[[#This Row],[ID-INS]],Tableau8[ID],0))&amp;""</f>
        <v>Tourniquet TRSD1</v>
      </c>
      <c r="J757" s="101"/>
      <c r="K757" s="167" t="str">
        <f>INDEX(Tableau8[Nom du modele],MATCH(Tableau3[[#This Row],[ID-INS]],Tableau8[ID],0))&amp;""</f>
        <v>TRSD_1</v>
      </c>
      <c r="L757" s="99" t="str">
        <f>INDEX(Tableau5[Att1],MATCH(Tableau3[[#This Row],[ID-SIG]],Tableau5[ID],0))&amp;""</f>
        <v>T1E_PictoAutor</v>
      </c>
      <c r="M757" s="99" t="str">
        <f>INDEX(Tableau5[Att2],MATCH(Tableau3[[#This Row],[ID-SIG]],Tableau5[ID],0))&amp;""</f>
        <v/>
      </c>
      <c r="N757" s="99" t="str">
        <f>INDEX(Tableau5[Att3],MATCH(Tableau3[[#This Row],[ID-SIG]],Tableau5[ID],0))&amp;""</f>
        <v/>
      </c>
      <c r="O757" s="99"/>
      <c r="P757" s="99" t="str">
        <f>INDEX(Tableau5[Description],MATCH(Tableau3[[#This Row],[ID-SIG]],Tableau5[ID],0))</f>
        <v>Commande Picto entrée 1</v>
      </c>
      <c r="Q757" s="99"/>
      <c r="R757" s="103" t="str">
        <f>Tableau3[[#This Row],[Description]]</f>
        <v>Commande Picto entrée 1</v>
      </c>
      <c r="U757" s="87">
        <v>5</v>
      </c>
      <c r="V757" s="87">
        <v>1</v>
      </c>
      <c r="W757" s="87">
        <v>9</v>
      </c>
      <c r="X757" s="87">
        <v>3</v>
      </c>
      <c r="Y757" s="41"/>
      <c r="Z757" s="165" t="str">
        <f>INDEX(Tableau2[TS],MATCH(Tableau3[[#This Row],[ID-CARTEVOIE]],Tableau2[ID-CARTEVOIE],0))</f>
        <v>ST</v>
      </c>
      <c r="AA757" s="53" t="s">
        <v>213</v>
      </c>
      <c r="AB757" s="223" t="str">
        <f>IFERROR(INDEX(Tableau5[Reserve],MATCH(Tableau3[[#This Row],[ID-SIG]],Tableau5[ID],0))&amp;"","")</f>
        <v/>
      </c>
      <c r="AC757" s="21"/>
      <c r="AD757" s="108" t="str">
        <f>INDEX(Tableau7[Repere],MATCH(Tableau3[[#This Row],[ID-API]],Tableau7[ID-API],0))&amp;""</f>
        <v>A5</v>
      </c>
      <c r="AE757" s="108" t="str">
        <f>INDEX(Tableau1[Repere-Rack],MATCH(Tableau3[[#This Row],[ID-RACK]],Tableau1[ID-RACK],0))&amp;""</f>
        <v>R1</v>
      </c>
      <c r="AF757" s="108" t="str">
        <f>INDEX(Tableau1[Repere-Slot],MATCH(Tableau3[[#This Row],[ID-SLOT]],Tableau1[ID-SLOT],0))&amp;""</f>
        <v>S9</v>
      </c>
      <c r="AG757" s="108" t="str">
        <f>INDEX(Tableau2[Repere-Voie],MATCH(Tableau3[[#This Row],[ID-VOIE]],Tableau2[ID-Voie],0))&amp;""</f>
        <v>v3</v>
      </c>
      <c r="AH757" s="72" t="str">
        <f>Tableau3[[#This Row],[ID-API]]&amp; "." &amp;Tableau3[[#This Row],[ID-RACK]]&amp; "." &amp;Tableau3[[#This Row],[ID-SLOT]]</f>
        <v>5.1.9</v>
      </c>
      <c r="AI757" s="72" t="str">
        <f>INDEX(Tableau1[Ref-Carte],MATCH(Tableau3[[#This Row],[ID-RRS]],Tableau1[ID-RRS],0))</f>
        <v>SDO0802</v>
      </c>
      <c r="AJ757" s="72" t="str">
        <f t="array" ref="AJ757">IFERROR(INDEX(Tableau2[TS],MATCH(1,(Tableau2[Ref-Carte]=Tableau3[[#This Row],[Ref-Carte2]])*(Tableau2[ID-Voie]=Tableau3[[#This Row],[ID-VOIE]]),0)),"")</f>
        <v>ST</v>
      </c>
      <c r="AK757" s="72" t="str">
        <f>IFERROR(INDEX(Tableau2[TS],SUMPRODUCT((Tableau2[Ref-Carte]=Tableau3[[#This Row],[Ref-Carte2]])*(Tableau2[ID-Voie]=Tableau3[[#This Row],[ID-VOIE]])*ROW(Tableau2[TS]))-ROW(Tableau2[#Headers])),"")</f>
        <v>ST</v>
      </c>
      <c r="AL757" s="72" t="str">
        <f>Tableau3[[#This Row],[Ref-Carte2]]&amp;"/"&amp;Tableau3[[#This Row],[ID-VOIE]]</f>
        <v>SDO0802/3</v>
      </c>
      <c r="AM757" s="73" t="str">
        <f>INDEX(Tableau2[Borne],MATCH(Tableau3[[#This Row],[ID-CARTEVOIE]],Tableau2[ID-CARTEVOIE],0))&amp;""</f>
        <v>3</v>
      </c>
      <c r="AN757" s="74" t="str">
        <f>Tableau3[[#This Row],[ID-API]]&amp;Tableau3[[#This Row],[ID-RACK]]&amp;Tableau3[[#This Row],[ID-SLOT]]&amp;Tableau3[[#This Row],[BORNE]]</f>
        <v>5193</v>
      </c>
      <c r="AO757" s="1"/>
    </row>
    <row r="758" spans="1:41" ht="20.100000000000001" customHeight="1" thickTop="1" thickBot="1">
      <c r="A758" s="68"/>
      <c r="B758" s="69" t="str">
        <f>IFERROR(INDEX(Tableau4[Date],MATCH($A758,Tableau4[EVO],0)),"")</f>
        <v/>
      </c>
      <c r="C758" s="68" t="str">
        <f>IFERROR(INDEX(Tableau4[Designation],MATCH($A758,Tableau4[EVO],0)),"")</f>
        <v/>
      </c>
      <c r="D758" s="68"/>
      <c r="E758" s="70">
        <v>56</v>
      </c>
      <c r="F758" s="71">
        <v>37</v>
      </c>
      <c r="G758" s="101" t="str">
        <f>INDEX(Tableau8[Att1],MATCH(Tableau3[[#This Row],[ID-INS]],Tableau8[ID],0))&amp;""</f>
        <v>B21</v>
      </c>
      <c r="H758" s="101" t="str">
        <f>INDEX(Tableau8[Att2],MATCH(Tableau3[[#This Row],[ID-INS]],Tableau8[ID],0))&amp;""</f>
        <v>TRSD1</v>
      </c>
      <c r="I758" s="101" t="str">
        <f>INDEX(Tableau8[Att3],MATCH(Tableau3[[#This Row],[ID-INS]],Tableau8[ID],0))&amp;""</f>
        <v>Tourniquet TRSD1</v>
      </c>
      <c r="J758" s="101"/>
      <c r="K758" s="167" t="str">
        <f>INDEX(Tableau8[Nom du modele],MATCH(Tableau3[[#This Row],[ID-INS]],Tableau8[ID],0))&amp;""</f>
        <v>TRSD_1</v>
      </c>
      <c r="L758" s="99" t="str">
        <f>INDEX(Tableau5[Att1],MATCH(Tableau3[[#This Row],[ID-SIG]],Tableau5[ID],0))&amp;""</f>
        <v>T1S_PictoAutor</v>
      </c>
      <c r="M758" s="99" t="str">
        <f>INDEX(Tableau5[Att2],MATCH(Tableau3[[#This Row],[ID-SIG]],Tableau5[ID],0))&amp;""</f>
        <v/>
      </c>
      <c r="N758" s="99" t="str">
        <f>INDEX(Tableau5[Att3],MATCH(Tableau3[[#This Row],[ID-SIG]],Tableau5[ID],0))&amp;""</f>
        <v/>
      </c>
      <c r="O758" s="99"/>
      <c r="P758" s="99" t="str">
        <f>INDEX(Tableau5[Description],MATCH(Tableau3[[#This Row],[ID-SIG]],Tableau5[ID],0))</f>
        <v>Commande Picto sortie 1</v>
      </c>
      <c r="Q758" s="99"/>
      <c r="R758" s="103" t="str">
        <f>Tableau3[[#This Row],[Description]]</f>
        <v>Commande Picto sortie 1</v>
      </c>
      <c r="U758" s="87">
        <v>5</v>
      </c>
      <c r="V758" s="87">
        <v>1</v>
      </c>
      <c r="W758" s="87">
        <v>9</v>
      </c>
      <c r="X758" s="87">
        <v>4</v>
      </c>
      <c r="Y758" s="41"/>
      <c r="Z758" s="165" t="str">
        <f>INDEX(Tableau2[TS],MATCH(Tableau3[[#This Row],[ID-CARTEVOIE]],Tableau2[ID-CARTEVOIE],0))</f>
        <v>ST</v>
      </c>
      <c r="AA758" s="53" t="s">
        <v>213</v>
      </c>
      <c r="AB758" s="223" t="str">
        <f>IFERROR(INDEX(Tableau5[Reserve],MATCH(Tableau3[[#This Row],[ID-SIG]],Tableau5[ID],0))&amp;"","")</f>
        <v/>
      </c>
      <c r="AC758" s="21"/>
      <c r="AD758" s="108" t="str">
        <f>INDEX(Tableau7[Repere],MATCH(Tableau3[[#This Row],[ID-API]],Tableau7[ID-API],0))&amp;""</f>
        <v>A5</v>
      </c>
      <c r="AE758" s="108" t="str">
        <f>INDEX(Tableau1[Repere-Rack],MATCH(Tableau3[[#This Row],[ID-RACK]],Tableau1[ID-RACK],0))&amp;""</f>
        <v>R1</v>
      </c>
      <c r="AF758" s="108" t="str">
        <f>INDEX(Tableau1[Repere-Slot],MATCH(Tableau3[[#This Row],[ID-SLOT]],Tableau1[ID-SLOT],0))&amp;""</f>
        <v>S9</v>
      </c>
      <c r="AG758" s="108" t="str">
        <f>INDEX(Tableau2[Repere-Voie],MATCH(Tableau3[[#This Row],[ID-VOIE]],Tableau2[ID-Voie],0))&amp;""</f>
        <v>v4</v>
      </c>
      <c r="AH758" s="72" t="str">
        <f>Tableau3[[#This Row],[ID-API]]&amp; "." &amp;Tableau3[[#This Row],[ID-RACK]]&amp; "." &amp;Tableau3[[#This Row],[ID-SLOT]]</f>
        <v>5.1.9</v>
      </c>
      <c r="AI758" s="72" t="str">
        <f>INDEX(Tableau1[Ref-Carte],MATCH(Tableau3[[#This Row],[ID-RRS]],Tableau1[ID-RRS],0))</f>
        <v>SDO0802</v>
      </c>
      <c r="AJ758" s="72" t="str">
        <f t="array" ref="AJ758">IFERROR(INDEX(Tableau2[TS],MATCH(1,(Tableau2[Ref-Carte]=Tableau3[[#This Row],[Ref-Carte2]])*(Tableau2[ID-Voie]=Tableau3[[#This Row],[ID-VOIE]]),0)),"")</f>
        <v>ST</v>
      </c>
      <c r="AK758" s="72" t="str">
        <f>IFERROR(INDEX(Tableau2[TS],SUMPRODUCT((Tableau2[Ref-Carte]=Tableau3[[#This Row],[Ref-Carte2]])*(Tableau2[ID-Voie]=Tableau3[[#This Row],[ID-VOIE]])*ROW(Tableau2[TS]))-ROW(Tableau2[#Headers])),"")</f>
        <v>ST</v>
      </c>
      <c r="AL758" s="72" t="str">
        <f>Tableau3[[#This Row],[Ref-Carte2]]&amp;"/"&amp;Tableau3[[#This Row],[ID-VOIE]]</f>
        <v>SDO0802/4</v>
      </c>
      <c r="AM758" s="73" t="str">
        <f>INDEX(Tableau2[Borne],MATCH(Tableau3[[#This Row],[ID-CARTEVOIE]],Tableau2[ID-CARTEVOIE],0))&amp;""</f>
        <v>4</v>
      </c>
      <c r="AN758" s="74" t="str">
        <f>Tableau3[[#This Row],[ID-API]]&amp;Tableau3[[#This Row],[ID-RACK]]&amp;Tableau3[[#This Row],[ID-SLOT]]&amp;Tableau3[[#This Row],[BORNE]]</f>
        <v>5194</v>
      </c>
      <c r="AO758" s="1"/>
    </row>
    <row r="759" spans="1:41" ht="20.100000000000001" customHeight="1" thickTop="1" thickBot="1">
      <c r="A759" s="68"/>
      <c r="B759" s="69" t="str">
        <f>IFERROR(INDEX(Tableau4[Date],MATCH($A759,Tableau4[EVO],0)),"")</f>
        <v/>
      </c>
      <c r="C759" s="68" t="str">
        <f>IFERROR(INDEX(Tableau4[Designation],MATCH($A759,Tableau4[EVO],0)),"")</f>
        <v/>
      </c>
      <c r="D759" s="68"/>
      <c r="E759" s="70">
        <v>70</v>
      </c>
      <c r="F759" s="71">
        <v>63</v>
      </c>
      <c r="G759" s="101" t="str">
        <f>INDEX(Tableau8[Att1],MATCH(Tableau3[[#This Row],[ID-INS]],Tableau8[ID],0))&amp;""</f>
        <v>V4</v>
      </c>
      <c r="H759" s="101" t="str">
        <f>INDEX(Tableau8[Att2],MATCH(Tableau3[[#This Row],[ID-INS]],Tableau8[ID],0))&amp;""</f>
        <v>BH9</v>
      </c>
      <c r="I759" s="101" t="str">
        <f>INDEX(Tableau8[Att3],MATCH(Tableau3[[#This Row],[ID-INS]],Tableau8[ID],0))&amp;""</f>
        <v>Barrière BH9</v>
      </c>
      <c r="J759" s="101"/>
      <c r="K759" s="167" t="str">
        <f>INDEX(Tableau8[Nom du modele],MATCH(Tableau3[[#This Row],[ID-INS]],Tableau8[ID],0))&amp;""</f>
        <v>BarriereLisse</v>
      </c>
      <c r="L759" s="99" t="str">
        <f>INDEX(Tableau5[Att1],MATCH(Tableau3[[#This Row],[ID-SIG]],Tableau5[ID],0))&amp;""</f>
        <v>OuvCmd</v>
      </c>
      <c r="M759" s="99" t="str">
        <f>INDEX(Tableau5[Att2],MATCH(Tableau3[[#This Row],[ID-SIG]],Tableau5[ID],0))&amp;""</f>
        <v/>
      </c>
      <c r="N759" s="99" t="str">
        <f>INDEX(Tableau5[Att3],MATCH(Tableau3[[#This Row],[ID-SIG]],Tableau5[ID],0))&amp;""</f>
        <v/>
      </c>
      <c r="O759" s="99"/>
      <c r="P759" s="99" t="str">
        <f>INDEX(Tableau5[Description],MATCH(Tableau3[[#This Row],[ID-SIG]],Tableau5[ID],0))</f>
        <v>Commande ouverture</v>
      </c>
      <c r="Q759" s="99"/>
      <c r="R759" s="103" t="str">
        <f>Tableau3[[#This Row],[Description]]</f>
        <v>Commande ouverture</v>
      </c>
      <c r="U759" s="87">
        <v>5</v>
      </c>
      <c r="V759" s="87">
        <v>1</v>
      </c>
      <c r="W759" s="87">
        <v>9</v>
      </c>
      <c r="X759" s="87">
        <v>5</v>
      </c>
      <c r="Y759" s="41"/>
      <c r="Z759" s="165" t="str">
        <f>INDEX(Tableau2[TS],MATCH(Tableau3[[#This Row],[ID-CARTEVOIE]],Tableau2[ID-CARTEVOIE],0))</f>
        <v>ST</v>
      </c>
      <c r="AA759" s="53" t="s">
        <v>213</v>
      </c>
      <c r="AB759" s="223" t="str">
        <f>IFERROR(INDEX(Tableau5[Reserve],MATCH(Tableau3[[#This Row],[ID-SIG]],Tableau5[ID],0))&amp;"","")</f>
        <v/>
      </c>
      <c r="AC759" s="21"/>
      <c r="AD759" s="108" t="str">
        <f>INDEX(Tableau7[Repere],MATCH(Tableau3[[#This Row],[ID-API]],Tableau7[ID-API],0))&amp;""</f>
        <v>A5</v>
      </c>
      <c r="AE759" s="108" t="str">
        <f>INDEX(Tableau1[Repere-Rack],MATCH(Tableau3[[#This Row],[ID-RACK]],Tableau1[ID-RACK],0))&amp;""</f>
        <v>R1</v>
      </c>
      <c r="AF759" s="108" t="str">
        <f>INDEX(Tableau1[Repere-Slot],MATCH(Tableau3[[#This Row],[ID-SLOT]],Tableau1[ID-SLOT],0))&amp;""</f>
        <v>S9</v>
      </c>
      <c r="AG759" s="108" t="str">
        <f>INDEX(Tableau2[Repere-Voie],MATCH(Tableau3[[#This Row],[ID-VOIE]],Tableau2[ID-Voie],0))&amp;""</f>
        <v>v5</v>
      </c>
      <c r="AH759" s="72" t="str">
        <f>Tableau3[[#This Row],[ID-API]]&amp; "." &amp;Tableau3[[#This Row],[ID-RACK]]&amp; "." &amp;Tableau3[[#This Row],[ID-SLOT]]</f>
        <v>5.1.9</v>
      </c>
      <c r="AI759" s="72" t="str">
        <f>INDEX(Tableau1[Ref-Carte],MATCH(Tableau3[[#This Row],[ID-RRS]],Tableau1[ID-RRS],0))</f>
        <v>SDO0802</v>
      </c>
      <c r="AJ759" s="72" t="str">
        <f t="array" ref="AJ759">IFERROR(INDEX(Tableau2[TS],MATCH(1,(Tableau2[Ref-Carte]=Tableau3[[#This Row],[Ref-Carte2]])*(Tableau2[ID-Voie]=Tableau3[[#This Row],[ID-VOIE]]),0)),"")</f>
        <v>ST</v>
      </c>
      <c r="AK759" s="72" t="str">
        <f>IFERROR(INDEX(Tableau2[TS],SUMPRODUCT((Tableau2[Ref-Carte]=Tableau3[[#This Row],[Ref-Carte2]])*(Tableau2[ID-Voie]=Tableau3[[#This Row],[ID-VOIE]])*ROW(Tableau2[TS]))-ROW(Tableau2[#Headers])),"")</f>
        <v>ST</v>
      </c>
      <c r="AL759" s="72" t="str">
        <f>Tableau3[[#This Row],[Ref-Carte2]]&amp;"/"&amp;Tableau3[[#This Row],[ID-VOIE]]</f>
        <v>SDO0802/5</v>
      </c>
      <c r="AM759" s="73" t="str">
        <f>INDEX(Tableau2[Borne],MATCH(Tableau3[[#This Row],[ID-CARTEVOIE]],Tableau2[ID-CARTEVOIE],0))&amp;""</f>
        <v>5</v>
      </c>
      <c r="AN759" s="74" t="str">
        <f>Tableau3[[#This Row],[ID-API]]&amp;Tableau3[[#This Row],[ID-RACK]]&amp;Tableau3[[#This Row],[ID-SLOT]]&amp;Tableau3[[#This Row],[BORNE]]</f>
        <v>5195</v>
      </c>
      <c r="AO759" s="1"/>
    </row>
    <row r="760" spans="1:41" ht="20.100000000000001" customHeight="1" thickTop="1" thickBot="1">
      <c r="A760" s="68"/>
      <c r="B760" s="69" t="str">
        <f>IFERROR(INDEX(Tableau4[Date],MATCH($A760,Tableau4[EVO],0)),"")</f>
        <v/>
      </c>
      <c r="C760" s="68" t="str">
        <f>IFERROR(INDEX(Tableau4[Designation],MATCH($A760,Tableau4[EVO],0)),"")</f>
        <v/>
      </c>
      <c r="D760" s="68"/>
      <c r="E760" s="70">
        <v>70</v>
      </c>
      <c r="F760" s="71">
        <v>64</v>
      </c>
      <c r="G760" s="101" t="str">
        <f>INDEX(Tableau8[Att1],MATCH(Tableau3[[#This Row],[ID-INS]],Tableau8[ID],0))&amp;""</f>
        <v>V4</v>
      </c>
      <c r="H760" s="101" t="str">
        <f>INDEX(Tableau8[Att2],MATCH(Tableau3[[#This Row],[ID-INS]],Tableau8[ID],0))&amp;""</f>
        <v>BH9</v>
      </c>
      <c r="I760" s="101" t="str">
        <f>INDEX(Tableau8[Att3],MATCH(Tableau3[[#This Row],[ID-INS]],Tableau8[ID],0))&amp;""</f>
        <v>Barrière BH9</v>
      </c>
      <c r="J760" s="101"/>
      <c r="K760" s="167" t="str">
        <f>INDEX(Tableau8[Nom du modele],MATCH(Tableau3[[#This Row],[ID-INS]],Tableau8[ID],0))&amp;""</f>
        <v>BarriereLisse</v>
      </c>
      <c r="L760" s="99" t="str">
        <f>INDEX(Tableau5[Att1],MATCH(Tableau3[[#This Row],[ID-SIG]],Tableau5[ID],0))&amp;""</f>
        <v>FerCmd</v>
      </c>
      <c r="M760" s="99" t="str">
        <f>INDEX(Tableau5[Att2],MATCH(Tableau3[[#This Row],[ID-SIG]],Tableau5[ID],0))&amp;""</f>
        <v/>
      </c>
      <c r="N760" s="99" t="str">
        <f>INDEX(Tableau5[Att3],MATCH(Tableau3[[#This Row],[ID-SIG]],Tableau5[ID],0))&amp;""</f>
        <v/>
      </c>
      <c r="O760" s="99"/>
      <c r="P760" s="99" t="str">
        <f>INDEX(Tableau5[Description],MATCH(Tableau3[[#This Row],[ID-SIG]],Tableau5[ID],0))</f>
        <v>Commande fermeture</v>
      </c>
      <c r="Q760" s="99"/>
      <c r="R760" s="103" t="str">
        <f>Tableau3[[#This Row],[Description]]</f>
        <v>Commande fermeture</v>
      </c>
      <c r="U760" s="87">
        <v>5</v>
      </c>
      <c r="V760" s="87">
        <v>1</v>
      </c>
      <c r="W760" s="87">
        <v>9</v>
      </c>
      <c r="X760" s="87">
        <v>6</v>
      </c>
      <c r="Y760" s="41"/>
      <c r="Z760" s="165" t="str">
        <f>INDEX(Tableau2[TS],MATCH(Tableau3[[#This Row],[ID-CARTEVOIE]],Tableau2[ID-CARTEVOIE],0))</f>
        <v>ST</v>
      </c>
      <c r="AA760" s="53" t="s">
        <v>213</v>
      </c>
      <c r="AB760" s="223" t="str">
        <f>IFERROR(INDEX(Tableau5[Reserve],MATCH(Tableau3[[#This Row],[ID-SIG]],Tableau5[ID],0))&amp;"","")</f>
        <v/>
      </c>
      <c r="AC760" s="21"/>
      <c r="AD760" s="108" t="str">
        <f>INDEX(Tableau7[Repere],MATCH(Tableau3[[#This Row],[ID-API]],Tableau7[ID-API],0))&amp;""</f>
        <v>A5</v>
      </c>
      <c r="AE760" s="108" t="str">
        <f>INDEX(Tableau1[Repere-Rack],MATCH(Tableau3[[#This Row],[ID-RACK]],Tableau1[ID-RACK],0))&amp;""</f>
        <v>R1</v>
      </c>
      <c r="AF760" s="108" t="str">
        <f>INDEX(Tableau1[Repere-Slot],MATCH(Tableau3[[#This Row],[ID-SLOT]],Tableau1[ID-SLOT],0))&amp;""</f>
        <v>S9</v>
      </c>
      <c r="AG760" s="108" t="str">
        <f>INDEX(Tableau2[Repere-Voie],MATCH(Tableau3[[#This Row],[ID-VOIE]],Tableau2[ID-Voie],0))&amp;""</f>
        <v>v6</v>
      </c>
      <c r="AH760" s="72" t="str">
        <f>Tableau3[[#This Row],[ID-API]]&amp; "." &amp;Tableau3[[#This Row],[ID-RACK]]&amp; "." &amp;Tableau3[[#This Row],[ID-SLOT]]</f>
        <v>5.1.9</v>
      </c>
      <c r="AI760" s="72" t="str">
        <f>INDEX(Tableau1[Ref-Carte],MATCH(Tableau3[[#This Row],[ID-RRS]],Tableau1[ID-RRS],0))</f>
        <v>SDO0802</v>
      </c>
      <c r="AJ760" s="72" t="str">
        <f t="array" ref="AJ760">IFERROR(INDEX(Tableau2[TS],MATCH(1,(Tableau2[Ref-Carte]=Tableau3[[#This Row],[Ref-Carte2]])*(Tableau2[ID-Voie]=Tableau3[[#This Row],[ID-VOIE]]),0)),"")</f>
        <v>ST</v>
      </c>
      <c r="AK760" s="72" t="str">
        <f>IFERROR(INDEX(Tableau2[TS],SUMPRODUCT((Tableau2[Ref-Carte]=Tableau3[[#This Row],[Ref-Carte2]])*(Tableau2[ID-Voie]=Tableau3[[#This Row],[ID-VOIE]])*ROW(Tableau2[TS]))-ROW(Tableau2[#Headers])),"")</f>
        <v>ST</v>
      </c>
      <c r="AL760" s="72" t="str">
        <f>Tableau3[[#This Row],[Ref-Carte2]]&amp;"/"&amp;Tableau3[[#This Row],[ID-VOIE]]</f>
        <v>SDO0802/6</v>
      </c>
      <c r="AM760" s="73" t="str">
        <f>INDEX(Tableau2[Borne],MATCH(Tableau3[[#This Row],[ID-CARTEVOIE]],Tableau2[ID-CARTEVOIE],0))&amp;""</f>
        <v>6</v>
      </c>
      <c r="AN760" s="74" t="str">
        <f>Tableau3[[#This Row],[ID-API]]&amp;Tableau3[[#This Row],[ID-RACK]]&amp;Tableau3[[#This Row],[ID-SLOT]]&amp;Tableau3[[#This Row],[BORNE]]</f>
        <v>5196</v>
      </c>
      <c r="AO760" s="1"/>
    </row>
    <row r="761" spans="1:41" ht="20.100000000000001" customHeight="1" thickTop="1" thickBot="1">
      <c r="A761" s="68"/>
      <c r="B761" s="69" t="str">
        <f>IFERROR(INDEX(Tableau4[Date],MATCH($A761,Tableau4[EVO],0)),"")</f>
        <v/>
      </c>
      <c r="C761" s="68" t="str">
        <f>IFERROR(INDEX(Tableau4[Designation],MATCH($A761,Tableau4[EVO],0)),"")</f>
        <v/>
      </c>
      <c r="D761" s="68"/>
      <c r="E761" s="70">
        <v>70</v>
      </c>
      <c r="F761" s="71">
        <v>65</v>
      </c>
      <c r="G761" s="101" t="str">
        <f>INDEX(Tableau8[Att1],MATCH(Tableau3[[#This Row],[ID-INS]],Tableau8[ID],0))&amp;""</f>
        <v>V4</v>
      </c>
      <c r="H761" s="101" t="str">
        <f>INDEX(Tableau8[Att2],MATCH(Tableau3[[#This Row],[ID-INS]],Tableau8[ID],0))&amp;""</f>
        <v>BH9</v>
      </c>
      <c r="I761" s="101" t="str">
        <f>INDEX(Tableau8[Att3],MATCH(Tableau3[[#This Row],[ID-INS]],Tableau8[ID],0))&amp;""</f>
        <v>Barrière BH9</v>
      </c>
      <c r="J761" s="101"/>
      <c r="K761" s="167" t="str">
        <f>INDEX(Tableau8[Nom du modele],MATCH(Tableau3[[#This Row],[ID-INS]],Tableau8[ID],0))&amp;""</f>
        <v>BarriereLisse</v>
      </c>
      <c r="L761" s="155" t="s">
        <v>1685</v>
      </c>
      <c r="M761" s="99" t="str">
        <f>INDEX(Tableau5[Att2],MATCH(Tableau3[[#This Row],[ID-SIG]],Tableau5[ID],0))&amp;""</f>
        <v/>
      </c>
      <c r="N761" s="99" t="str">
        <f>INDEX(Tableau5[Att3],MATCH(Tableau3[[#This Row],[ID-SIG]],Tableau5[ID],0))&amp;""</f>
        <v/>
      </c>
      <c r="O761" s="99"/>
      <c r="P761" s="155" t="s">
        <v>1764</v>
      </c>
      <c r="Q761" s="99"/>
      <c r="R761" s="103" t="str">
        <f>Tableau3[[#This Row],[Description]]</f>
        <v>Barrière BH9 - Réserve</v>
      </c>
      <c r="U761" s="87">
        <v>5</v>
      </c>
      <c r="V761" s="87">
        <v>1</v>
      </c>
      <c r="W761" s="87">
        <v>9</v>
      </c>
      <c r="X761" s="87">
        <v>7</v>
      </c>
      <c r="Y761" s="41"/>
      <c r="Z761" s="165" t="str">
        <f>INDEX(Tableau2[TS],MATCH(Tableau3[[#This Row],[ID-CARTEVOIE]],Tableau2[ID-CARTEVOIE],0))</f>
        <v>ST</v>
      </c>
      <c r="AA761" s="53" t="s">
        <v>213</v>
      </c>
      <c r="AB761" s="223" t="str">
        <f>IFERROR(INDEX(Tableau5[Reserve],MATCH(Tableau3[[#This Row],[ID-SIG]],Tableau5[ID],0))&amp;"","")</f>
        <v/>
      </c>
      <c r="AC761" s="21"/>
      <c r="AD761" s="108" t="str">
        <f>INDEX(Tableau7[Repere],MATCH(Tableau3[[#This Row],[ID-API]],Tableau7[ID-API],0))&amp;""</f>
        <v>A5</v>
      </c>
      <c r="AE761" s="108" t="str">
        <f>INDEX(Tableau1[Repere-Rack],MATCH(Tableau3[[#This Row],[ID-RACK]],Tableau1[ID-RACK],0))&amp;""</f>
        <v>R1</v>
      </c>
      <c r="AF761" s="108" t="str">
        <f>INDEX(Tableau1[Repere-Slot],MATCH(Tableau3[[#This Row],[ID-SLOT]],Tableau1[ID-SLOT],0))&amp;""</f>
        <v>S9</v>
      </c>
      <c r="AG761" s="108" t="str">
        <f>INDEX(Tableau2[Repere-Voie],MATCH(Tableau3[[#This Row],[ID-VOIE]],Tableau2[ID-Voie],0))&amp;""</f>
        <v>v7</v>
      </c>
      <c r="AH761" s="72" t="str">
        <f>Tableau3[[#This Row],[ID-API]]&amp; "." &amp;Tableau3[[#This Row],[ID-RACK]]&amp; "." &amp;Tableau3[[#This Row],[ID-SLOT]]</f>
        <v>5.1.9</v>
      </c>
      <c r="AI761" s="72" t="str">
        <f>INDEX(Tableau1[Ref-Carte],MATCH(Tableau3[[#This Row],[ID-RRS]],Tableau1[ID-RRS],0))</f>
        <v>SDO0802</v>
      </c>
      <c r="AJ761" s="72" t="str">
        <f t="array" ref="AJ761">IFERROR(INDEX(Tableau2[TS],MATCH(1,(Tableau2[Ref-Carte]=Tableau3[[#This Row],[Ref-Carte2]])*(Tableau2[ID-Voie]=Tableau3[[#This Row],[ID-VOIE]]),0)),"")</f>
        <v>ST</v>
      </c>
      <c r="AK761" s="72" t="str">
        <f>IFERROR(INDEX(Tableau2[TS],SUMPRODUCT((Tableau2[Ref-Carte]=Tableau3[[#This Row],[Ref-Carte2]])*(Tableau2[ID-Voie]=Tableau3[[#This Row],[ID-VOIE]])*ROW(Tableau2[TS]))-ROW(Tableau2[#Headers])),"")</f>
        <v>ST</v>
      </c>
      <c r="AL761" s="72" t="str">
        <f>Tableau3[[#This Row],[Ref-Carte2]]&amp;"/"&amp;Tableau3[[#This Row],[ID-VOIE]]</f>
        <v>SDO0802/7</v>
      </c>
      <c r="AM761" s="73" t="str">
        <f>INDEX(Tableau2[Borne],MATCH(Tableau3[[#This Row],[ID-CARTEVOIE]],Tableau2[ID-CARTEVOIE],0))&amp;""</f>
        <v>7</v>
      </c>
      <c r="AN761" s="74" t="str">
        <f>Tableau3[[#This Row],[ID-API]]&amp;Tableau3[[#This Row],[ID-RACK]]&amp;Tableau3[[#This Row],[ID-SLOT]]&amp;Tableau3[[#This Row],[BORNE]]</f>
        <v>5197</v>
      </c>
      <c r="AO761" s="1"/>
    </row>
    <row r="762" spans="1:41" ht="20.100000000000001" customHeight="1" thickTop="1" thickBot="1">
      <c r="A762" s="68"/>
      <c r="B762" s="69" t="str">
        <f>IFERROR(INDEX(Tableau4[Date],MATCH($A762,Tableau4[EVO],0)),"")</f>
        <v/>
      </c>
      <c r="C762" s="68" t="str">
        <f>IFERROR(INDEX(Tableau4[Designation],MATCH($A762,Tableau4[EVO],0)),"")</f>
        <v/>
      </c>
      <c r="D762" s="68"/>
      <c r="E762" s="70">
        <v>75</v>
      </c>
      <c r="F762" s="71">
        <v>63</v>
      </c>
      <c r="G762" s="101" t="str">
        <f>INDEX(Tableau8[Att1],MATCH(Tableau3[[#This Row],[ID-INS]],Tableau8[ID],0))&amp;""</f>
        <v>V4</v>
      </c>
      <c r="H762" s="101" t="str">
        <f>INDEX(Tableau8[Att2],MATCH(Tableau3[[#This Row],[ID-INS]],Tableau8[ID],0))&amp;""</f>
        <v>BH4</v>
      </c>
      <c r="I762" s="101" t="str">
        <f>INDEX(Tableau8[Att3],MATCH(Tableau3[[#This Row],[ID-INS]],Tableau8[ID],0))&amp;""</f>
        <v>Barrière BH4</v>
      </c>
      <c r="J762" s="101"/>
      <c r="K762" s="167" t="str">
        <f>INDEX(Tableau8[Nom du modele],MATCH(Tableau3[[#This Row],[ID-INS]],Tableau8[ID],0))&amp;""</f>
        <v>BarriereLisse</v>
      </c>
      <c r="L762" s="99" t="str">
        <f>INDEX(Tableau5[Att1],MATCH(Tableau3[[#This Row],[ID-SIG]],Tableau5[ID],0))&amp;""</f>
        <v>OuvCmd</v>
      </c>
      <c r="M762" s="99" t="str">
        <f>INDEX(Tableau5[Att2],MATCH(Tableau3[[#This Row],[ID-SIG]],Tableau5[ID],0))&amp;""</f>
        <v/>
      </c>
      <c r="N762" s="99" t="str">
        <f>INDEX(Tableau5[Att3],MATCH(Tableau3[[#This Row],[ID-SIG]],Tableau5[ID],0))&amp;""</f>
        <v/>
      </c>
      <c r="O762" s="99"/>
      <c r="P762" s="99" t="str">
        <f>INDEX(Tableau5[Description],MATCH(Tableau3[[#This Row],[ID-SIG]],Tableau5[ID],0))</f>
        <v>Commande ouverture</v>
      </c>
      <c r="Q762" s="99"/>
      <c r="R762" s="103" t="str">
        <f>Tableau3[[#This Row],[Description]]</f>
        <v>Commande ouverture</v>
      </c>
      <c r="U762" s="87">
        <v>5</v>
      </c>
      <c r="V762" s="87">
        <v>1</v>
      </c>
      <c r="W762" s="87">
        <v>10</v>
      </c>
      <c r="X762" s="87">
        <v>0</v>
      </c>
      <c r="Y762" s="41"/>
      <c r="Z762" s="165" t="str">
        <f>INDEX(Tableau2[TS],MATCH(Tableau3[[#This Row],[ID-CARTEVOIE]],Tableau2[ID-CARTEVOIE],0))</f>
        <v>ST</v>
      </c>
      <c r="AA762" s="53" t="s">
        <v>213</v>
      </c>
      <c r="AB762" s="223" t="str">
        <f>IFERROR(INDEX(Tableau5[Reserve],MATCH(Tableau3[[#This Row],[ID-SIG]],Tableau5[ID],0))&amp;"","")</f>
        <v/>
      </c>
      <c r="AC762" s="21"/>
      <c r="AD762" s="108" t="str">
        <f>INDEX(Tableau7[Repere],MATCH(Tableau3[[#This Row],[ID-API]],Tableau7[ID-API],0))&amp;""</f>
        <v>A5</v>
      </c>
      <c r="AE762" s="108" t="str">
        <f>INDEX(Tableau1[Repere-Rack],MATCH(Tableau3[[#This Row],[ID-RACK]],Tableau1[ID-RACK],0))&amp;""</f>
        <v>R1</v>
      </c>
      <c r="AF762" s="108" t="str">
        <f>INDEX(Tableau1[Repere-Slot],MATCH(Tableau3[[#This Row],[ID-SLOT]],Tableau1[ID-SLOT],0))&amp;""</f>
        <v>S10</v>
      </c>
      <c r="AG762" s="108" t="str">
        <f>INDEX(Tableau2[Repere-Voie],MATCH(Tableau3[[#This Row],[ID-VOIE]],Tableau2[ID-Voie],0))&amp;""</f>
        <v>v0</v>
      </c>
      <c r="AH762" s="72" t="str">
        <f>Tableau3[[#This Row],[ID-API]]&amp; "." &amp;Tableau3[[#This Row],[ID-RACK]]&amp; "." &amp;Tableau3[[#This Row],[ID-SLOT]]</f>
        <v>5.1.10</v>
      </c>
      <c r="AI762" s="72" t="str">
        <f>INDEX(Tableau1[Ref-Carte],MATCH(Tableau3[[#This Row],[ID-RRS]],Tableau1[ID-RRS],0))</f>
        <v>SDO0802</v>
      </c>
      <c r="AJ762" s="72" t="str">
        <f t="array" ref="AJ762">IFERROR(INDEX(Tableau2[TS],MATCH(1,(Tableau2[Ref-Carte]=Tableau3[[#This Row],[Ref-Carte2]])*(Tableau2[ID-Voie]=Tableau3[[#This Row],[ID-VOIE]]),0)),"")</f>
        <v>ST</v>
      </c>
      <c r="AK762" s="72" t="str">
        <f>IFERROR(INDEX(Tableau2[TS],SUMPRODUCT((Tableau2[Ref-Carte]=Tableau3[[#This Row],[Ref-Carte2]])*(Tableau2[ID-Voie]=Tableau3[[#This Row],[ID-VOIE]])*ROW(Tableau2[TS]))-ROW(Tableau2[#Headers])),"")</f>
        <v>ST</v>
      </c>
      <c r="AL762" s="72" t="str">
        <f>Tableau3[[#This Row],[Ref-Carte2]]&amp;"/"&amp;Tableau3[[#This Row],[ID-VOIE]]</f>
        <v>SDO0802/0</v>
      </c>
      <c r="AM762" s="73" t="str">
        <f>INDEX(Tableau2[Borne],MATCH(Tableau3[[#This Row],[ID-CARTEVOIE]],Tableau2[ID-CARTEVOIE],0))&amp;""</f>
        <v>0</v>
      </c>
      <c r="AN762" s="74" t="str">
        <f>Tableau3[[#This Row],[ID-API]]&amp;Tableau3[[#This Row],[ID-RACK]]&amp;Tableau3[[#This Row],[ID-SLOT]]&amp;Tableau3[[#This Row],[BORNE]]</f>
        <v>51100</v>
      </c>
      <c r="AO762" s="1"/>
    </row>
    <row r="763" spans="1:41" ht="20.100000000000001" customHeight="1" thickTop="1" thickBot="1">
      <c r="A763" s="68"/>
      <c r="B763" s="69" t="str">
        <f>IFERROR(INDEX(Tableau4[Date],MATCH($A763,Tableau4[EVO],0)),"")</f>
        <v/>
      </c>
      <c r="C763" s="68" t="str">
        <f>IFERROR(INDEX(Tableau4[Designation],MATCH($A763,Tableau4[EVO],0)),"")</f>
        <v/>
      </c>
      <c r="D763" s="68"/>
      <c r="E763" s="70">
        <v>75</v>
      </c>
      <c r="F763" s="71">
        <v>64</v>
      </c>
      <c r="G763" s="101" t="str">
        <f>INDEX(Tableau8[Att1],MATCH(Tableau3[[#This Row],[ID-INS]],Tableau8[ID],0))&amp;""</f>
        <v>V4</v>
      </c>
      <c r="H763" s="101" t="str">
        <f>INDEX(Tableau8[Att2],MATCH(Tableau3[[#This Row],[ID-INS]],Tableau8[ID],0))&amp;""</f>
        <v>BH4</v>
      </c>
      <c r="I763" s="101" t="str">
        <f>INDEX(Tableau8[Att3],MATCH(Tableau3[[#This Row],[ID-INS]],Tableau8[ID],0))&amp;""</f>
        <v>Barrière BH4</v>
      </c>
      <c r="J763" s="101"/>
      <c r="K763" s="167" t="str">
        <f>INDEX(Tableau8[Nom du modele],MATCH(Tableau3[[#This Row],[ID-INS]],Tableau8[ID],0))&amp;""</f>
        <v>BarriereLisse</v>
      </c>
      <c r="L763" s="99" t="str">
        <f>INDEX(Tableau5[Att1],MATCH(Tableau3[[#This Row],[ID-SIG]],Tableau5[ID],0))&amp;""</f>
        <v>FerCmd</v>
      </c>
      <c r="M763" s="99" t="str">
        <f>INDEX(Tableau5[Att2],MATCH(Tableau3[[#This Row],[ID-SIG]],Tableau5[ID],0))&amp;""</f>
        <v/>
      </c>
      <c r="N763" s="99" t="str">
        <f>INDEX(Tableau5[Att3],MATCH(Tableau3[[#This Row],[ID-SIG]],Tableau5[ID],0))&amp;""</f>
        <v/>
      </c>
      <c r="O763" s="99"/>
      <c r="P763" s="99" t="str">
        <f>INDEX(Tableau5[Description],MATCH(Tableau3[[#This Row],[ID-SIG]],Tableau5[ID],0))</f>
        <v>Commande fermeture</v>
      </c>
      <c r="Q763" s="99"/>
      <c r="R763" s="103" t="str">
        <f>Tableau3[[#This Row],[Description]]</f>
        <v>Commande fermeture</v>
      </c>
      <c r="U763" s="87">
        <v>5</v>
      </c>
      <c r="V763" s="87">
        <v>1</v>
      </c>
      <c r="W763" s="87">
        <v>10</v>
      </c>
      <c r="X763" s="87">
        <v>1</v>
      </c>
      <c r="Y763" s="41"/>
      <c r="Z763" s="165" t="str">
        <f>INDEX(Tableau2[TS],MATCH(Tableau3[[#This Row],[ID-CARTEVOIE]],Tableau2[ID-CARTEVOIE],0))</f>
        <v>ST</v>
      </c>
      <c r="AA763" s="53" t="s">
        <v>213</v>
      </c>
      <c r="AB763" s="223" t="str">
        <f>IFERROR(INDEX(Tableau5[Reserve],MATCH(Tableau3[[#This Row],[ID-SIG]],Tableau5[ID],0))&amp;"","")</f>
        <v/>
      </c>
      <c r="AC763" s="21"/>
      <c r="AD763" s="108" t="str">
        <f>INDEX(Tableau7[Repere],MATCH(Tableau3[[#This Row],[ID-API]],Tableau7[ID-API],0))&amp;""</f>
        <v>A5</v>
      </c>
      <c r="AE763" s="108" t="str">
        <f>INDEX(Tableau1[Repere-Rack],MATCH(Tableau3[[#This Row],[ID-RACK]],Tableau1[ID-RACK],0))&amp;""</f>
        <v>R1</v>
      </c>
      <c r="AF763" s="108" t="str">
        <f>INDEX(Tableau1[Repere-Slot],MATCH(Tableau3[[#This Row],[ID-SLOT]],Tableau1[ID-SLOT],0))&amp;""</f>
        <v>S10</v>
      </c>
      <c r="AG763" s="108" t="str">
        <f>INDEX(Tableau2[Repere-Voie],MATCH(Tableau3[[#This Row],[ID-VOIE]],Tableau2[ID-Voie],0))&amp;""</f>
        <v>v1</v>
      </c>
      <c r="AH763" s="72" t="str">
        <f>Tableau3[[#This Row],[ID-API]]&amp; "." &amp;Tableau3[[#This Row],[ID-RACK]]&amp; "." &amp;Tableau3[[#This Row],[ID-SLOT]]</f>
        <v>5.1.10</v>
      </c>
      <c r="AI763" s="72" t="str">
        <f>INDEX(Tableau1[Ref-Carte],MATCH(Tableau3[[#This Row],[ID-RRS]],Tableau1[ID-RRS],0))</f>
        <v>SDO0802</v>
      </c>
      <c r="AJ763" s="72" t="str">
        <f t="array" ref="AJ763">IFERROR(INDEX(Tableau2[TS],MATCH(1,(Tableau2[Ref-Carte]=Tableau3[[#This Row],[Ref-Carte2]])*(Tableau2[ID-Voie]=Tableau3[[#This Row],[ID-VOIE]]),0)),"")</f>
        <v>ST</v>
      </c>
      <c r="AK763" s="72" t="str">
        <f>IFERROR(INDEX(Tableau2[TS],SUMPRODUCT((Tableau2[Ref-Carte]=Tableau3[[#This Row],[Ref-Carte2]])*(Tableau2[ID-Voie]=Tableau3[[#This Row],[ID-VOIE]])*ROW(Tableau2[TS]))-ROW(Tableau2[#Headers])),"")</f>
        <v>ST</v>
      </c>
      <c r="AL763" s="72" t="str">
        <f>Tableau3[[#This Row],[Ref-Carte2]]&amp;"/"&amp;Tableau3[[#This Row],[ID-VOIE]]</f>
        <v>SDO0802/1</v>
      </c>
      <c r="AM763" s="73" t="str">
        <f>INDEX(Tableau2[Borne],MATCH(Tableau3[[#This Row],[ID-CARTEVOIE]],Tableau2[ID-CARTEVOIE],0))&amp;""</f>
        <v>1</v>
      </c>
      <c r="AN763" s="74" t="str">
        <f>Tableau3[[#This Row],[ID-API]]&amp;Tableau3[[#This Row],[ID-RACK]]&amp;Tableau3[[#This Row],[ID-SLOT]]&amp;Tableau3[[#This Row],[BORNE]]</f>
        <v>51101</v>
      </c>
      <c r="AO763" s="1"/>
    </row>
    <row r="764" spans="1:41" ht="20.100000000000001" customHeight="1" thickTop="1" thickBot="1">
      <c r="A764" s="68"/>
      <c r="B764" s="69" t="str">
        <f>IFERROR(INDEX(Tableau4[Date],MATCH($A764,Tableau4[EVO],0)),"")</f>
        <v/>
      </c>
      <c r="C764" s="68" t="str">
        <f>IFERROR(INDEX(Tableau4[Designation],MATCH($A764,Tableau4[EVO],0)),"")</f>
        <v/>
      </c>
      <c r="D764" s="68"/>
      <c r="E764" s="70">
        <v>75</v>
      </c>
      <c r="F764" s="71">
        <v>65</v>
      </c>
      <c r="G764" s="101" t="str">
        <f>INDEX(Tableau8[Att1],MATCH(Tableau3[[#This Row],[ID-INS]],Tableau8[ID],0))&amp;""</f>
        <v>V4</v>
      </c>
      <c r="H764" s="101" t="str">
        <f>INDEX(Tableau8[Att2],MATCH(Tableau3[[#This Row],[ID-INS]],Tableau8[ID],0))&amp;""</f>
        <v>BH4</v>
      </c>
      <c r="I764" s="101" t="str">
        <f>INDEX(Tableau8[Att3],MATCH(Tableau3[[#This Row],[ID-INS]],Tableau8[ID],0))&amp;""</f>
        <v>Barrière BH4</v>
      </c>
      <c r="J764" s="101"/>
      <c r="K764" s="167" t="str">
        <f>INDEX(Tableau8[Nom du modele],MATCH(Tableau3[[#This Row],[ID-INS]],Tableau8[ID],0))&amp;""</f>
        <v>BarriereLisse</v>
      </c>
      <c r="L764" s="155" t="s">
        <v>1685</v>
      </c>
      <c r="M764" s="99" t="str">
        <f>INDEX(Tableau5[Att2],MATCH(Tableau3[[#This Row],[ID-SIG]],Tableau5[ID],0))&amp;""</f>
        <v/>
      </c>
      <c r="N764" s="99" t="str">
        <f>INDEX(Tableau5[Att3],MATCH(Tableau3[[#This Row],[ID-SIG]],Tableau5[ID],0))&amp;""</f>
        <v/>
      </c>
      <c r="O764" s="99"/>
      <c r="P764" s="155" t="s">
        <v>1765</v>
      </c>
      <c r="Q764" s="99"/>
      <c r="R764" s="103" t="str">
        <f>Tableau3[[#This Row],[Description]]</f>
        <v>Barrière BH4 - Réserve</v>
      </c>
      <c r="U764" s="87">
        <v>5</v>
      </c>
      <c r="V764" s="87">
        <v>1</v>
      </c>
      <c r="W764" s="87">
        <v>10</v>
      </c>
      <c r="X764" s="87">
        <v>2</v>
      </c>
      <c r="Y764" s="41"/>
      <c r="Z764" s="165" t="str">
        <f>INDEX(Tableau2[TS],MATCH(Tableau3[[#This Row],[ID-CARTEVOIE]],Tableau2[ID-CARTEVOIE],0))</f>
        <v>ST</v>
      </c>
      <c r="AA764" s="53" t="s">
        <v>213</v>
      </c>
      <c r="AB764" s="223" t="str">
        <f>IFERROR(INDEX(Tableau5[Reserve],MATCH(Tableau3[[#This Row],[ID-SIG]],Tableau5[ID],0))&amp;"","")</f>
        <v/>
      </c>
      <c r="AC764" s="21"/>
      <c r="AD764" s="108" t="str">
        <f>INDEX(Tableau7[Repere],MATCH(Tableau3[[#This Row],[ID-API]],Tableau7[ID-API],0))&amp;""</f>
        <v>A5</v>
      </c>
      <c r="AE764" s="108" t="str">
        <f>INDEX(Tableau1[Repere-Rack],MATCH(Tableau3[[#This Row],[ID-RACK]],Tableau1[ID-RACK],0))&amp;""</f>
        <v>R1</v>
      </c>
      <c r="AF764" s="108" t="str">
        <f>INDEX(Tableau1[Repere-Slot],MATCH(Tableau3[[#This Row],[ID-SLOT]],Tableau1[ID-SLOT],0))&amp;""</f>
        <v>S10</v>
      </c>
      <c r="AG764" s="108" t="str">
        <f>INDEX(Tableau2[Repere-Voie],MATCH(Tableau3[[#This Row],[ID-VOIE]],Tableau2[ID-Voie],0))&amp;""</f>
        <v>v2</v>
      </c>
      <c r="AH764" s="72" t="str">
        <f>Tableau3[[#This Row],[ID-API]]&amp; "." &amp;Tableau3[[#This Row],[ID-RACK]]&amp; "." &amp;Tableau3[[#This Row],[ID-SLOT]]</f>
        <v>5.1.10</v>
      </c>
      <c r="AI764" s="72" t="str">
        <f>INDEX(Tableau1[Ref-Carte],MATCH(Tableau3[[#This Row],[ID-RRS]],Tableau1[ID-RRS],0))</f>
        <v>SDO0802</v>
      </c>
      <c r="AJ764" s="72" t="str">
        <f t="array" ref="AJ764">IFERROR(INDEX(Tableau2[TS],MATCH(1,(Tableau2[Ref-Carte]=Tableau3[[#This Row],[Ref-Carte2]])*(Tableau2[ID-Voie]=Tableau3[[#This Row],[ID-VOIE]]),0)),"")</f>
        <v>ST</v>
      </c>
      <c r="AK764" s="72" t="str">
        <f>IFERROR(INDEX(Tableau2[TS],SUMPRODUCT((Tableau2[Ref-Carte]=Tableau3[[#This Row],[Ref-Carte2]])*(Tableau2[ID-Voie]=Tableau3[[#This Row],[ID-VOIE]])*ROW(Tableau2[TS]))-ROW(Tableau2[#Headers])),"")</f>
        <v>ST</v>
      </c>
      <c r="AL764" s="72" t="str">
        <f>Tableau3[[#This Row],[Ref-Carte2]]&amp;"/"&amp;Tableau3[[#This Row],[ID-VOIE]]</f>
        <v>SDO0802/2</v>
      </c>
      <c r="AM764" s="73" t="str">
        <f>INDEX(Tableau2[Borne],MATCH(Tableau3[[#This Row],[ID-CARTEVOIE]],Tableau2[ID-CARTEVOIE],0))&amp;""</f>
        <v>2</v>
      </c>
      <c r="AN764" s="74" t="str">
        <f>Tableau3[[#This Row],[ID-API]]&amp;Tableau3[[#This Row],[ID-RACK]]&amp;Tableau3[[#This Row],[ID-SLOT]]&amp;Tableau3[[#This Row],[BORNE]]</f>
        <v>51102</v>
      </c>
      <c r="AO764" s="1"/>
    </row>
    <row r="765" spans="1:41" ht="20.100000000000001" customHeight="1" thickTop="1" thickBot="1">
      <c r="A765" s="68"/>
      <c r="B765" s="69" t="str">
        <f>IFERROR(INDEX(Tableau4[Date],MATCH($A765,Tableau4[EVO],0)),"")</f>
        <v/>
      </c>
      <c r="C765" s="68" t="str">
        <f>IFERROR(INDEX(Tableau4[Designation],MATCH($A765,Tableau4[EVO],0)),"")</f>
        <v/>
      </c>
      <c r="D765" s="68"/>
      <c r="E765" s="70">
        <v>86</v>
      </c>
      <c r="F765" s="71">
        <v>313</v>
      </c>
      <c r="G765" s="101" t="str">
        <f>INDEX(Tableau8[Att1],MATCH(Tableau3[[#This Row],[ID-INS]],Tableau8[ID],0))&amp;""</f>
        <v>V4</v>
      </c>
      <c r="H765" s="101" t="str">
        <f>INDEX(Tableau8[Att2],MATCH(Tableau3[[#This Row],[ID-INS]],Tableau8[ID],0))&amp;""</f>
        <v>F8</v>
      </c>
      <c r="I765" s="101" t="str">
        <f>INDEX(Tableau8[Att3],MATCH(Tableau3[[#This Row],[ID-INS]],Tableau8[ID],0))&amp;""</f>
        <v>Feu F8</v>
      </c>
      <c r="J765" s="101"/>
      <c r="K765" s="167" t="str">
        <f>INDEX(Tableau8[Nom du modele],MATCH(Tableau3[[#This Row],[ID-INS]],Tableau8[ID],0))&amp;""</f>
        <v>FeuBi_1</v>
      </c>
      <c r="L765" s="99" t="str">
        <f>INDEX(Tableau5[Att1],MATCH(Tableau3[[#This Row],[ID-SIG]],Tableau5[ID],0))&amp;""</f>
        <v>FeuV_Cmd</v>
      </c>
      <c r="M765" s="99" t="str">
        <f>INDEX(Tableau5[Att2],MATCH(Tableau3[[#This Row],[ID-SIG]],Tableau5[ID],0))&amp;""</f>
        <v/>
      </c>
      <c r="N765" s="99" t="str">
        <f>INDEX(Tableau5[Att3],MATCH(Tableau3[[#This Row],[ID-SIG]],Tableau5[ID],0))&amp;""</f>
        <v/>
      </c>
      <c r="O765" s="99"/>
      <c r="P765" s="99" t="str">
        <f>INDEX(Tableau5[Description],MATCH(Tableau3[[#This Row],[ID-SIG]],Tableau5[ID],0))</f>
        <v>Commande Feu Vert</v>
      </c>
      <c r="Q765" s="99"/>
      <c r="R765" s="103" t="str">
        <f>Tableau3[[#This Row],[Description]]</f>
        <v>Commande Feu Vert</v>
      </c>
      <c r="U765" s="87">
        <v>5</v>
      </c>
      <c r="V765" s="87">
        <v>1</v>
      </c>
      <c r="W765" s="87">
        <v>10</v>
      </c>
      <c r="X765" s="87">
        <v>3</v>
      </c>
      <c r="Y765" s="41"/>
      <c r="Z765" s="165" t="str">
        <f>INDEX(Tableau2[TS],MATCH(Tableau3[[#This Row],[ID-CARTEVOIE]],Tableau2[ID-CARTEVOIE],0))</f>
        <v>ST</v>
      </c>
      <c r="AA765" s="53" t="s">
        <v>213</v>
      </c>
      <c r="AB765" s="223" t="str">
        <f>IFERROR(INDEX(Tableau5[Reserve],MATCH(Tableau3[[#This Row],[ID-SIG]],Tableau5[ID],0))&amp;"","")</f>
        <v/>
      </c>
      <c r="AC765" s="21"/>
      <c r="AD765" s="108" t="str">
        <f>INDEX(Tableau7[Repere],MATCH(Tableau3[[#This Row],[ID-API]],Tableau7[ID-API],0))&amp;""</f>
        <v>A5</v>
      </c>
      <c r="AE765" s="108" t="str">
        <f>INDEX(Tableau1[Repere-Rack],MATCH(Tableau3[[#This Row],[ID-RACK]],Tableau1[ID-RACK],0))&amp;""</f>
        <v>R1</v>
      </c>
      <c r="AF765" s="108" t="str">
        <f>INDEX(Tableau1[Repere-Slot],MATCH(Tableau3[[#This Row],[ID-SLOT]],Tableau1[ID-SLOT],0))&amp;""</f>
        <v>S10</v>
      </c>
      <c r="AG765" s="108" t="str">
        <f>INDEX(Tableau2[Repere-Voie],MATCH(Tableau3[[#This Row],[ID-VOIE]],Tableau2[ID-Voie],0))&amp;""</f>
        <v>v3</v>
      </c>
      <c r="AH765" s="72" t="str">
        <f>Tableau3[[#This Row],[ID-API]]&amp; "." &amp;Tableau3[[#This Row],[ID-RACK]]&amp; "." &amp;Tableau3[[#This Row],[ID-SLOT]]</f>
        <v>5.1.10</v>
      </c>
      <c r="AI765" s="72" t="str">
        <f>INDEX(Tableau1[Ref-Carte],MATCH(Tableau3[[#This Row],[ID-RRS]],Tableau1[ID-RRS],0))</f>
        <v>SDO0802</v>
      </c>
      <c r="AJ765" s="72" t="str">
        <f t="array" ref="AJ765">IFERROR(INDEX(Tableau2[TS],MATCH(1,(Tableau2[Ref-Carte]=Tableau3[[#This Row],[Ref-Carte2]])*(Tableau2[ID-Voie]=Tableau3[[#This Row],[ID-VOIE]]),0)),"")</f>
        <v>ST</v>
      </c>
      <c r="AK765" s="72" t="str">
        <f>IFERROR(INDEX(Tableau2[TS],SUMPRODUCT((Tableau2[Ref-Carte]=Tableau3[[#This Row],[Ref-Carte2]])*(Tableau2[ID-Voie]=Tableau3[[#This Row],[ID-VOIE]])*ROW(Tableau2[TS]))-ROW(Tableau2[#Headers])),"")</f>
        <v>ST</v>
      </c>
      <c r="AL765" s="72" t="str">
        <f>Tableau3[[#This Row],[Ref-Carte2]]&amp;"/"&amp;Tableau3[[#This Row],[ID-VOIE]]</f>
        <v>SDO0802/3</v>
      </c>
      <c r="AM765" s="73" t="str">
        <f>INDEX(Tableau2[Borne],MATCH(Tableau3[[#This Row],[ID-CARTEVOIE]],Tableau2[ID-CARTEVOIE],0))&amp;""</f>
        <v>3</v>
      </c>
      <c r="AN765" s="74" t="str">
        <f>Tableau3[[#This Row],[ID-API]]&amp;Tableau3[[#This Row],[ID-RACK]]&amp;Tableau3[[#This Row],[ID-SLOT]]&amp;Tableau3[[#This Row],[BORNE]]</f>
        <v>51103</v>
      </c>
      <c r="AO765" s="1"/>
    </row>
    <row r="766" spans="1:41" ht="20.100000000000001" customHeight="1" thickTop="1" thickBot="1">
      <c r="A766" s="68"/>
      <c r="B766" s="69" t="str">
        <f>IFERROR(INDEX(Tableau4[Date],MATCH($A766,Tableau4[EVO],0)),"")</f>
        <v/>
      </c>
      <c r="C766" s="68" t="str">
        <f>IFERROR(INDEX(Tableau4[Designation],MATCH($A766,Tableau4[EVO],0)),"")</f>
        <v/>
      </c>
      <c r="D766" s="68"/>
      <c r="E766" s="70">
        <v>106</v>
      </c>
      <c r="F766" s="71">
        <v>13</v>
      </c>
      <c r="G766" s="101" t="str">
        <f>INDEX(Tableau8[Att1],MATCH(Tableau3[[#This Row],[ID-INS]],Tableau8[ID],0))&amp;""</f>
        <v>V4</v>
      </c>
      <c r="H766" s="101" t="str">
        <f>INDEX(Tableau8[Att2],MATCH(Tableau3[[#This Row],[ID-INS]],Tableau8[ID],0))&amp;""</f>
        <v>UTLR4</v>
      </c>
      <c r="I766" s="101" t="str">
        <f>INDEX(Tableau8[Att3],MATCH(Tableau3[[#This Row],[ID-INS]],Tableau8[ID],0))&amp;""</f>
        <v>UTL rouge IDVL4/IDPL1/BH4</v>
      </c>
      <c r="J766" s="101"/>
      <c r="K766" s="167" t="str">
        <f>INDEX(Tableau8[Nom du modele],MATCH(Tableau3[[#This Row],[ID-INS]],Tableau8[ID],0))&amp;""</f>
        <v>UTL</v>
      </c>
      <c r="L766" s="99" t="str">
        <f>INDEX(Tableau5[Att1],MATCH(Tableau3[[#This Row],[ID-SIG]],Tableau5[ID],0))&amp;""</f>
        <v>PassEffec</v>
      </c>
      <c r="M766" s="99" t="str">
        <f>INDEX(Tableau5[Att2],MATCH(Tableau3[[#This Row],[ID-SIG]],Tableau5[ID],0))&amp;""</f>
        <v/>
      </c>
      <c r="N766" s="99" t="str">
        <f>INDEX(Tableau5[Att3],MATCH(Tableau3[[#This Row],[ID-SIG]],Tableau5[ID],0))&amp;""</f>
        <v/>
      </c>
      <c r="O766" s="99"/>
      <c r="P766" s="99" t="str">
        <f>INDEX(Tableau5[Description],MATCH(Tableau3[[#This Row],[ID-SIG]],Tableau5[ID],0))</f>
        <v>Commande passage effectué vers UTL</v>
      </c>
      <c r="Q766" s="99"/>
      <c r="R766" s="103" t="str">
        <f>Tableau3[[#This Row],[Description]]</f>
        <v>Commande passage effectué vers UTL</v>
      </c>
      <c r="U766" s="87">
        <v>5</v>
      </c>
      <c r="V766" s="87">
        <v>1</v>
      </c>
      <c r="W766" s="87">
        <v>10</v>
      </c>
      <c r="X766" s="87">
        <v>4</v>
      </c>
      <c r="Y766" s="41"/>
      <c r="Z766" s="165" t="str">
        <f>INDEX(Tableau2[TS],MATCH(Tableau3[[#This Row],[ID-CARTEVOIE]],Tableau2[ID-CARTEVOIE],0))</f>
        <v>ST</v>
      </c>
      <c r="AA766" s="53" t="s">
        <v>213</v>
      </c>
      <c r="AB766" s="223" t="str">
        <f>IFERROR(INDEX(Tableau5[Reserve],MATCH(Tableau3[[#This Row],[ID-SIG]],Tableau5[ID],0))&amp;"","")</f>
        <v/>
      </c>
      <c r="AC766" s="21"/>
      <c r="AD766" s="108" t="str">
        <f>INDEX(Tableau7[Repere],MATCH(Tableau3[[#This Row],[ID-API]],Tableau7[ID-API],0))&amp;""</f>
        <v>A5</v>
      </c>
      <c r="AE766" s="108" t="str">
        <f>INDEX(Tableau1[Repere-Rack],MATCH(Tableau3[[#This Row],[ID-RACK]],Tableau1[ID-RACK],0))&amp;""</f>
        <v>R1</v>
      </c>
      <c r="AF766" s="108" t="str">
        <f>INDEX(Tableau1[Repere-Slot],MATCH(Tableau3[[#This Row],[ID-SLOT]],Tableau1[ID-SLOT],0))&amp;""</f>
        <v>S10</v>
      </c>
      <c r="AG766" s="108" t="str">
        <f>INDEX(Tableau2[Repere-Voie],MATCH(Tableau3[[#This Row],[ID-VOIE]],Tableau2[ID-Voie],0))&amp;""</f>
        <v>v4</v>
      </c>
      <c r="AH766" s="72" t="str">
        <f>Tableau3[[#This Row],[ID-API]]&amp; "." &amp;Tableau3[[#This Row],[ID-RACK]]&amp; "." &amp;Tableau3[[#This Row],[ID-SLOT]]</f>
        <v>5.1.10</v>
      </c>
      <c r="AI766" s="72" t="str">
        <f>INDEX(Tableau1[Ref-Carte],MATCH(Tableau3[[#This Row],[ID-RRS]],Tableau1[ID-RRS],0))</f>
        <v>SDO0802</v>
      </c>
      <c r="AJ766" s="72" t="str">
        <f t="array" ref="AJ766">IFERROR(INDEX(Tableau2[TS],MATCH(1,(Tableau2[Ref-Carte]=Tableau3[[#This Row],[Ref-Carte2]])*(Tableau2[ID-Voie]=Tableau3[[#This Row],[ID-VOIE]]),0)),"")</f>
        <v>ST</v>
      </c>
      <c r="AK766" s="72" t="str">
        <f>IFERROR(INDEX(Tableau2[TS],SUMPRODUCT((Tableau2[Ref-Carte]=Tableau3[[#This Row],[Ref-Carte2]])*(Tableau2[ID-Voie]=Tableau3[[#This Row],[ID-VOIE]])*ROW(Tableau2[TS]))-ROW(Tableau2[#Headers])),"")</f>
        <v>ST</v>
      </c>
      <c r="AL766" s="72" t="str">
        <f>Tableau3[[#This Row],[Ref-Carte2]]&amp;"/"&amp;Tableau3[[#This Row],[ID-VOIE]]</f>
        <v>SDO0802/4</v>
      </c>
      <c r="AM766" s="73" t="str">
        <f>INDEX(Tableau2[Borne],MATCH(Tableau3[[#This Row],[ID-CARTEVOIE]],Tableau2[ID-CARTEVOIE],0))&amp;""</f>
        <v>4</v>
      </c>
      <c r="AN766" s="74" t="str">
        <f>Tableau3[[#This Row],[ID-API]]&amp;Tableau3[[#This Row],[ID-RACK]]&amp;Tableau3[[#This Row],[ID-SLOT]]&amp;Tableau3[[#This Row],[BORNE]]</f>
        <v>51104</v>
      </c>
      <c r="AO766" s="1"/>
    </row>
    <row r="767" spans="1:41" ht="20.100000000000001" customHeight="1" thickTop="1" thickBot="1">
      <c r="A767" s="68"/>
      <c r="B767" s="69" t="str">
        <f>IFERROR(INDEX(Tableau4[Date],MATCH($A767,Tableau4[EVO],0)),"")</f>
        <v/>
      </c>
      <c r="C767" s="68" t="str">
        <f>IFERROR(INDEX(Tableau4[Designation],MATCH($A767,Tableau4[EVO],0)),"")</f>
        <v/>
      </c>
      <c r="D767" s="68"/>
      <c r="E767" s="70">
        <v>106</v>
      </c>
      <c r="F767" s="71">
        <v>14</v>
      </c>
      <c r="G767" s="101" t="str">
        <f>INDEX(Tableau8[Att1],MATCH(Tableau3[[#This Row],[ID-INS]],Tableau8[ID],0))&amp;""</f>
        <v>V4</v>
      </c>
      <c r="H767" s="101" t="str">
        <f>INDEX(Tableau8[Att2],MATCH(Tableau3[[#This Row],[ID-INS]],Tableau8[ID],0))&amp;""</f>
        <v>UTLR4</v>
      </c>
      <c r="I767" s="101" t="str">
        <f>INDEX(Tableau8[Att3],MATCH(Tableau3[[#This Row],[ID-INS]],Tableau8[ID],0))&amp;""</f>
        <v>UTL rouge IDVL4/IDPL1/BH4</v>
      </c>
      <c r="J767" s="101"/>
      <c r="K767" s="167" t="str">
        <f>INDEX(Tableau8[Nom du modele],MATCH(Tableau3[[#This Row],[ID-INS]],Tableau8[ID],0))&amp;""</f>
        <v>UTL</v>
      </c>
      <c r="L767" s="99" t="str">
        <f>INDEX(Tableau5[Att1],MATCH(Tableau3[[#This Row],[ID-SIG]],Tableau5[ID],0))&amp;""</f>
        <v>AutorBadge</v>
      </c>
      <c r="M767" s="99" t="str">
        <f>INDEX(Tableau5[Att2],MATCH(Tableau3[[#This Row],[ID-SIG]],Tableau5[ID],0))&amp;""</f>
        <v/>
      </c>
      <c r="N767" s="99" t="str">
        <f>INDEX(Tableau5[Att3],MATCH(Tableau3[[#This Row],[ID-SIG]],Tableau5[ID],0))&amp;""</f>
        <v/>
      </c>
      <c r="O767" s="99"/>
      <c r="P767" s="99" t="str">
        <f>INDEX(Tableau5[Description],MATCH(Tableau3[[#This Row],[ID-SIG]],Tableau5[ID],0))</f>
        <v>Commande autorisation badgeage vers UTL</v>
      </c>
      <c r="Q767" s="99"/>
      <c r="R767" s="103" t="str">
        <f>Tableau3[[#This Row],[Description]]</f>
        <v>Commande autorisation badgeage vers UTL</v>
      </c>
      <c r="U767" s="87">
        <v>5</v>
      </c>
      <c r="V767" s="87">
        <v>1</v>
      </c>
      <c r="W767" s="87">
        <v>10</v>
      </c>
      <c r="X767" s="87">
        <v>5</v>
      </c>
      <c r="Y767" s="41"/>
      <c r="Z767" s="165" t="str">
        <f>INDEX(Tableau2[TS],MATCH(Tableau3[[#This Row],[ID-CARTEVOIE]],Tableau2[ID-CARTEVOIE],0))</f>
        <v>ST</v>
      </c>
      <c r="AA767" s="53" t="s">
        <v>213</v>
      </c>
      <c r="AB767" s="223" t="str">
        <f>IFERROR(INDEX(Tableau5[Reserve],MATCH(Tableau3[[#This Row],[ID-SIG]],Tableau5[ID],0))&amp;"","")</f>
        <v/>
      </c>
      <c r="AC767" s="21"/>
      <c r="AD767" s="108" t="str">
        <f>INDEX(Tableau7[Repere],MATCH(Tableau3[[#This Row],[ID-API]],Tableau7[ID-API],0))&amp;""</f>
        <v>A5</v>
      </c>
      <c r="AE767" s="108" t="str">
        <f>INDEX(Tableau1[Repere-Rack],MATCH(Tableau3[[#This Row],[ID-RACK]],Tableau1[ID-RACK],0))&amp;""</f>
        <v>R1</v>
      </c>
      <c r="AF767" s="108" t="str">
        <f>INDEX(Tableau1[Repere-Slot],MATCH(Tableau3[[#This Row],[ID-SLOT]],Tableau1[ID-SLOT],0))&amp;""</f>
        <v>S10</v>
      </c>
      <c r="AG767" s="108" t="str">
        <f>INDEX(Tableau2[Repere-Voie],MATCH(Tableau3[[#This Row],[ID-VOIE]],Tableau2[ID-Voie],0))&amp;""</f>
        <v>v5</v>
      </c>
      <c r="AH767" s="72" t="str">
        <f>Tableau3[[#This Row],[ID-API]]&amp; "." &amp;Tableau3[[#This Row],[ID-RACK]]&amp; "." &amp;Tableau3[[#This Row],[ID-SLOT]]</f>
        <v>5.1.10</v>
      </c>
      <c r="AI767" s="72" t="str">
        <f>INDEX(Tableau1[Ref-Carte],MATCH(Tableau3[[#This Row],[ID-RRS]],Tableau1[ID-RRS],0))</f>
        <v>SDO0802</v>
      </c>
      <c r="AJ767" s="72" t="str">
        <f t="array" ref="AJ767">IFERROR(INDEX(Tableau2[TS],MATCH(1,(Tableau2[Ref-Carte]=Tableau3[[#This Row],[Ref-Carte2]])*(Tableau2[ID-Voie]=Tableau3[[#This Row],[ID-VOIE]]),0)),"")</f>
        <v>ST</v>
      </c>
      <c r="AK767" s="72" t="str">
        <f>IFERROR(INDEX(Tableau2[TS],SUMPRODUCT((Tableau2[Ref-Carte]=Tableau3[[#This Row],[Ref-Carte2]])*(Tableau2[ID-Voie]=Tableau3[[#This Row],[ID-VOIE]])*ROW(Tableau2[TS]))-ROW(Tableau2[#Headers])),"")</f>
        <v>ST</v>
      </c>
      <c r="AL767" s="72" t="str">
        <f>Tableau3[[#This Row],[Ref-Carte2]]&amp;"/"&amp;Tableau3[[#This Row],[ID-VOIE]]</f>
        <v>SDO0802/5</v>
      </c>
      <c r="AM767" s="73" t="str">
        <f>INDEX(Tableau2[Borne],MATCH(Tableau3[[#This Row],[ID-CARTEVOIE]],Tableau2[ID-CARTEVOIE],0))&amp;""</f>
        <v>5</v>
      </c>
      <c r="AN767" s="74" t="str">
        <f>Tableau3[[#This Row],[ID-API]]&amp;Tableau3[[#This Row],[ID-RACK]]&amp;Tableau3[[#This Row],[ID-SLOT]]&amp;Tableau3[[#This Row],[BORNE]]</f>
        <v>51105</v>
      </c>
      <c r="AO767" s="1"/>
    </row>
    <row r="768" spans="1:41" ht="20.100000000000001" customHeight="1" thickTop="1" thickBot="1">
      <c r="A768" s="68"/>
      <c r="B768" s="69" t="str">
        <f>IFERROR(INDEX(Tableau4[Date],MATCH($A768,Tableau4[EVO],0)),"")</f>
        <v/>
      </c>
      <c r="C768" s="68" t="str">
        <f>IFERROR(INDEX(Tableau4[Designation],MATCH($A768,Tableau4[EVO],0)),"")</f>
        <v/>
      </c>
      <c r="D768" s="68"/>
      <c r="E768" s="70">
        <v>107</v>
      </c>
      <c r="F768" s="71">
        <v>13</v>
      </c>
      <c r="G768" s="101" t="str">
        <f>INDEX(Tableau8[Att1],MATCH(Tableau3[[#This Row],[ID-INS]],Tableau8[ID],0))&amp;""</f>
        <v>B21</v>
      </c>
      <c r="H768" s="101" t="str">
        <f>INDEX(Tableau8[Att2],MATCH(Tableau3[[#This Row],[ID-INS]],Tableau8[ID],0))&amp;""</f>
        <v>UTLR6</v>
      </c>
      <c r="I768" s="101" t="str">
        <f>INDEX(Tableau8[Att3],MATCH(Tableau3[[#This Row],[ID-INS]],Tableau8[ID],0))&amp;""</f>
        <v>UTL rouge IDP2/PMR3</v>
      </c>
      <c r="J768" s="101"/>
      <c r="K768" s="167" t="str">
        <f>INDEX(Tableau8[Nom du modele],MATCH(Tableau3[[#This Row],[ID-INS]],Tableau8[ID],0))&amp;""</f>
        <v>UTL</v>
      </c>
      <c r="L768" s="99" t="str">
        <f>INDEX(Tableau5[Att1],MATCH(Tableau3[[#This Row],[ID-SIG]],Tableau5[ID],0))&amp;""</f>
        <v>PassEffec</v>
      </c>
      <c r="M768" s="99" t="str">
        <f>INDEX(Tableau5[Att2],MATCH(Tableau3[[#This Row],[ID-SIG]],Tableau5[ID],0))&amp;""</f>
        <v/>
      </c>
      <c r="N768" s="99" t="str">
        <f>INDEX(Tableau5[Att3],MATCH(Tableau3[[#This Row],[ID-SIG]],Tableau5[ID],0))&amp;""</f>
        <v/>
      </c>
      <c r="O768" s="99"/>
      <c r="P768" s="99" t="str">
        <f>INDEX(Tableau5[Description],MATCH(Tableau3[[#This Row],[ID-SIG]],Tableau5[ID],0))</f>
        <v>Commande passage effectué vers UTL</v>
      </c>
      <c r="Q768" s="99"/>
      <c r="R768" s="103" t="str">
        <f>Tableau3[[#This Row],[Description]]</f>
        <v>Commande passage effectué vers UTL</v>
      </c>
      <c r="U768" s="87">
        <v>5</v>
      </c>
      <c r="V768" s="87">
        <v>1</v>
      </c>
      <c r="W768" s="87">
        <v>10</v>
      </c>
      <c r="X768" s="87">
        <v>6</v>
      </c>
      <c r="Y768" s="41"/>
      <c r="Z768" s="165" t="str">
        <f>INDEX(Tableau2[TS],MATCH(Tableau3[[#This Row],[ID-CARTEVOIE]],Tableau2[ID-CARTEVOIE],0))</f>
        <v>ST</v>
      </c>
      <c r="AA768" s="53" t="s">
        <v>213</v>
      </c>
      <c r="AB768" s="223" t="str">
        <f>IFERROR(INDEX(Tableau5[Reserve],MATCH(Tableau3[[#This Row],[ID-SIG]],Tableau5[ID],0))&amp;"","")</f>
        <v/>
      </c>
      <c r="AC768" s="21"/>
      <c r="AD768" s="108" t="str">
        <f>INDEX(Tableau7[Repere],MATCH(Tableau3[[#This Row],[ID-API]],Tableau7[ID-API],0))&amp;""</f>
        <v>A5</v>
      </c>
      <c r="AE768" s="108" t="str">
        <f>INDEX(Tableau1[Repere-Rack],MATCH(Tableau3[[#This Row],[ID-RACK]],Tableau1[ID-RACK],0))&amp;""</f>
        <v>R1</v>
      </c>
      <c r="AF768" s="108" t="str">
        <f>INDEX(Tableau1[Repere-Slot],MATCH(Tableau3[[#This Row],[ID-SLOT]],Tableau1[ID-SLOT],0))&amp;""</f>
        <v>S10</v>
      </c>
      <c r="AG768" s="108" t="str">
        <f>INDEX(Tableau2[Repere-Voie],MATCH(Tableau3[[#This Row],[ID-VOIE]],Tableau2[ID-Voie],0))&amp;""</f>
        <v>v6</v>
      </c>
      <c r="AH768" s="72" t="str">
        <f>Tableau3[[#This Row],[ID-API]]&amp; "." &amp;Tableau3[[#This Row],[ID-RACK]]&amp; "." &amp;Tableau3[[#This Row],[ID-SLOT]]</f>
        <v>5.1.10</v>
      </c>
      <c r="AI768" s="72" t="str">
        <f>INDEX(Tableau1[Ref-Carte],MATCH(Tableau3[[#This Row],[ID-RRS]],Tableau1[ID-RRS],0))</f>
        <v>SDO0802</v>
      </c>
      <c r="AJ768" s="72" t="str">
        <f t="array" ref="AJ768">IFERROR(INDEX(Tableau2[TS],MATCH(1,(Tableau2[Ref-Carte]=Tableau3[[#This Row],[Ref-Carte2]])*(Tableau2[ID-Voie]=Tableau3[[#This Row],[ID-VOIE]]),0)),"")</f>
        <v>ST</v>
      </c>
      <c r="AK768" s="72" t="str">
        <f>IFERROR(INDEX(Tableau2[TS],SUMPRODUCT((Tableau2[Ref-Carte]=Tableau3[[#This Row],[Ref-Carte2]])*(Tableau2[ID-Voie]=Tableau3[[#This Row],[ID-VOIE]])*ROW(Tableau2[TS]))-ROW(Tableau2[#Headers])),"")</f>
        <v>ST</v>
      </c>
      <c r="AL768" s="72" t="str">
        <f>Tableau3[[#This Row],[Ref-Carte2]]&amp;"/"&amp;Tableau3[[#This Row],[ID-VOIE]]</f>
        <v>SDO0802/6</v>
      </c>
      <c r="AM768" s="73" t="str">
        <f>INDEX(Tableau2[Borne],MATCH(Tableau3[[#This Row],[ID-CARTEVOIE]],Tableau2[ID-CARTEVOIE],0))&amp;""</f>
        <v>6</v>
      </c>
      <c r="AN768" s="74" t="str">
        <f>Tableau3[[#This Row],[ID-API]]&amp;Tableau3[[#This Row],[ID-RACK]]&amp;Tableau3[[#This Row],[ID-SLOT]]&amp;Tableau3[[#This Row],[BORNE]]</f>
        <v>51106</v>
      </c>
      <c r="AO768" s="1"/>
    </row>
    <row r="769" spans="1:41" ht="20.100000000000001" customHeight="1" thickTop="1" thickBot="1">
      <c r="A769" s="68"/>
      <c r="B769" s="69" t="str">
        <f>IFERROR(INDEX(Tableau4[Date],MATCH($A769,Tableau4[EVO],0)),"")</f>
        <v/>
      </c>
      <c r="C769" s="68" t="str">
        <f>IFERROR(INDEX(Tableau4[Designation],MATCH($A769,Tableau4[EVO],0)),"")</f>
        <v/>
      </c>
      <c r="D769" s="68"/>
      <c r="E769" s="70">
        <v>107</v>
      </c>
      <c r="F769" s="71">
        <v>14</v>
      </c>
      <c r="G769" s="101" t="str">
        <f>INDEX(Tableau8[Att1],MATCH(Tableau3[[#This Row],[ID-INS]],Tableau8[ID],0))&amp;""</f>
        <v>B21</v>
      </c>
      <c r="H769" s="101" t="str">
        <f>INDEX(Tableau8[Att2],MATCH(Tableau3[[#This Row],[ID-INS]],Tableau8[ID],0))&amp;""</f>
        <v>UTLR6</v>
      </c>
      <c r="I769" s="101" t="str">
        <f>INDEX(Tableau8[Att3],MATCH(Tableau3[[#This Row],[ID-INS]],Tableau8[ID],0))&amp;""</f>
        <v>UTL rouge IDP2/PMR3</v>
      </c>
      <c r="J769" s="101"/>
      <c r="K769" s="167" t="str">
        <f>INDEX(Tableau8[Nom du modele],MATCH(Tableau3[[#This Row],[ID-INS]],Tableau8[ID],0))&amp;""</f>
        <v>UTL</v>
      </c>
      <c r="L769" s="99" t="str">
        <f>INDEX(Tableau5[Att1],MATCH(Tableau3[[#This Row],[ID-SIG]],Tableau5[ID],0))&amp;""</f>
        <v>AutorBadge</v>
      </c>
      <c r="M769" s="99" t="str">
        <f>INDEX(Tableau5[Att2],MATCH(Tableau3[[#This Row],[ID-SIG]],Tableau5[ID],0))&amp;""</f>
        <v/>
      </c>
      <c r="N769" s="99" t="str">
        <f>INDEX(Tableau5[Att3],MATCH(Tableau3[[#This Row],[ID-SIG]],Tableau5[ID],0))&amp;""</f>
        <v/>
      </c>
      <c r="O769" s="99"/>
      <c r="P769" s="99" t="str">
        <f>INDEX(Tableau5[Description],MATCH(Tableau3[[#This Row],[ID-SIG]],Tableau5[ID],0))</f>
        <v>Commande autorisation badgeage vers UTL</v>
      </c>
      <c r="Q769" s="99"/>
      <c r="R769" s="103" t="str">
        <f>Tableau3[[#This Row],[Description]]</f>
        <v>Commande autorisation badgeage vers UTL</v>
      </c>
      <c r="U769" s="87">
        <v>5</v>
      </c>
      <c r="V769" s="87">
        <v>1</v>
      </c>
      <c r="W769" s="87">
        <v>10</v>
      </c>
      <c r="X769" s="87">
        <v>7</v>
      </c>
      <c r="Y769" s="41"/>
      <c r="Z769" s="165" t="str">
        <f>INDEX(Tableau2[TS],MATCH(Tableau3[[#This Row],[ID-CARTEVOIE]],Tableau2[ID-CARTEVOIE],0))</f>
        <v>ST</v>
      </c>
      <c r="AA769" s="53" t="s">
        <v>213</v>
      </c>
      <c r="AB769" s="223" t="str">
        <f>IFERROR(INDEX(Tableau5[Reserve],MATCH(Tableau3[[#This Row],[ID-SIG]],Tableau5[ID],0))&amp;"","")</f>
        <v/>
      </c>
      <c r="AC769" s="21"/>
      <c r="AD769" s="108" t="str">
        <f>INDEX(Tableau7[Repere],MATCH(Tableau3[[#This Row],[ID-API]],Tableau7[ID-API],0))&amp;""</f>
        <v>A5</v>
      </c>
      <c r="AE769" s="108" t="str">
        <f>INDEX(Tableau1[Repere-Rack],MATCH(Tableau3[[#This Row],[ID-RACK]],Tableau1[ID-RACK],0))&amp;""</f>
        <v>R1</v>
      </c>
      <c r="AF769" s="108" t="str">
        <f>INDEX(Tableau1[Repere-Slot],MATCH(Tableau3[[#This Row],[ID-SLOT]],Tableau1[ID-SLOT],0))&amp;""</f>
        <v>S10</v>
      </c>
      <c r="AG769" s="108" t="str">
        <f>INDEX(Tableau2[Repere-Voie],MATCH(Tableau3[[#This Row],[ID-VOIE]],Tableau2[ID-Voie],0))&amp;""</f>
        <v>v7</v>
      </c>
      <c r="AH769" s="72" t="str">
        <f>Tableau3[[#This Row],[ID-API]]&amp; "." &amp;Tableau3[[#This Row],[ID-RACK]]&amp; "." &amp;Tableau3[[#This Row],[ID-SLOT]]</f>
        <v>5.1.10</v>
      </c>
      <c r="AI769" s="72" t="str">
        <f>INDEX(Tableau1[Ref-Carte],MATCH(Tableau3[[#This Row],[ID-RRS]],Tableau1[ID-RRS],0))</f>
        <v>SDO0802</v>
      </c>
      <c r="AJ769" s="72" t="str">
        <f t="array" ref="AJ769">IFERROR(INDEX(Tableau2[TS],MATCH(1,(Tableau2[Ref-Carte]=Tableau3[[#This Row],[Ref-Carte2]])*(Tableau2[ID-Voie]=Tableau3[[#This Row],[ID-VOIE]]),0)),"")</f>
        <v>ST</v>
      </c>
      <c r="AK769" s="72" t="str">
        <f>IFERROR(INDEX(Tableau2[TS],SUMPRODUCT((Tableau2[Ref-Carte]=Tableau3[[#This Row],[Ref-Carte2]])*(Tableau2[ID-Voie]=Tableau3[[#This Row],[ID-VOIE]])*ROW(Tableau2[TS]))-ROW(Tableau2[#Headers])),"")</f>
        <v>ST</v>
      </c>
      <c r="AL769" s="72" t="str">
        <f>Tableau3[[#This Row],[Ref-Carte2]]&amp;"/"&amp;Tableau3[[#This Row],[ID-VOIE]]</f>
        <v>SDO0802/7</v>
      </c>
      <c r="AM769" s="73" t="str">
        <f>INDEX(Tableau2[Borne],MATCH(Tableau3[[#This Row],[ID-CARTEVOIE]],Tableau2[ID-CARTEVOIE],0))&amp;""</f>
        <v>7</v>
      </c>
      <c r="AN769" s="74" t="str">
        <f>Tableau3[[#This Row],[ID-API]]&amp;Tableau3[[#This Row],[ID-RACK]]&amp;Tableau3[[#This Row],[ID-SLOT]]&amp;Tableau3[[#This Row],[BORNE]]</f>
        <v>51107</v>
      </c>
      <c r="AO769" s="1"/>
    </row>
    <row r="770" spans="1:41" ht="20.100000000000001" customHeight="1" thickTop="1" thickBot="1">
      <c r="A770" s="68"/>
      <c r="B770" s="69" t="str">
        <f>IFERROR(INDEX(Tableau4[Date],MATCH($A770,Tableau4[EVO],0)),"")</f>
        <v/>
      </c>
      <c r="C770" s="68" t="str">
        <f>IFERROR(INDEX(Tableau4[Designation],MATCH($A770,Tableau4[EVO],0)),"")</f>
        <v/>
      </c>
      <c r="D770" s="68"/>
      <c r="E770" s="70">
        <v>108</v>
      </c>
      <c r="F770" s="71">
        <v>13</v>
      </c>
      <c r="G770" s="101" t="str">
        <f>INDEX(Tableau8[Att1],MATCH(Tableau3[[#This Row],[ID-INS]],Tableau8[ID],0))&amp;""</f>
        <v>B21</v>
      </c>
      <c r="H770" s="101" t="str">
        <f>INDEX(Tableau8[Att2],MATCH(Tableau3[[#This Row],[ID-INS]],Tableau8[ID],0))&amp;""</f>
        <v>UTLR7</v>
      </c>
      <c r="I770" s="101" t="str">
        <f>INDEX(Tableau8[Att3],MATCH(Tableau3[[#This Row],[ID-INS]],Tableau8[ID],0))&amp;""</f>
        <v>UTL rouge IDP3/TRSD1-1</v>
      </c>
      <c r="J770" s="101"/>
      <c r="K770" s="167" t="str">
        <f>INDEX(Tableau8[Nom du modele],MATCH(Tableau3[[#This Row],[ID-INS]],Tableau8[ID],0))&amp;""</f>
        <v>UTL</v>
      </c>
      <c r="L770" s="99" t="str">
        <f>INDEX(Tableau5[Att1],MATCH(Tableau3[[#This Row],[ID-SIG]],Tableau5[ID],0))&amp;""</f>
        <v>PassEffec</v>
      </c>
      <c r="M770" s="99" t="str">
        <f>INDEX(Tableau5[Att2],MATCH(Tableau3[[#This Row],[ID-SIG]],Tableau5[ID],0))&amp;""</f>
        <v/>
      </c>
      <c r="N770" s="99" t="str">
        <f>INDEX(Tableau5[Att3],MATCH(Tableau3[[#This Row],[ID-SIG]],Tableau5[ID],0))&amp;""</f>
        <v/>
      </c>
      <c r="O770" s="99"/>
      <c r="P770" s="99" t="str">
        <f>INDEX(Tableau5[Description],MATCH(Tableau3[[#This Row],[ID-SIG]],Tableau5[ID],0))</f>
        <v>Commande passage effectué vers UTL</v>
      </c>
      <c r="Q770" s="99"/>
      <c r="R770" s="103" t="str">
        <f>Tableau3[[#This Row],[Description]]</f>
        <v>Commande passage effectué vers UTL</v>
      </c>
      <c r="U770" s="87">
        <v>5</v>
      </c>
      <c r="V770" s="87">
        <v>2</v>
      </c>
      <c r="W770" s="87">
        <v>1</v>
      </c>
      <c r="X770" s="87">
        <v>0</v>
      </c>
      <c r="Y770" s="41"/>
      <c r="Z770" s="165" t="str">
        <f>INDEX(Tableau2[TS],MATCH(Tableau3[[#This Row],[ID-CARTEVOIE]],Tableau2[ID-CARTEVOIE],0))</f>
        <v>ST</v>
      </c>
      <c r="AA770" s="53" t="s">
        <v>213</v>
      </c>
      <c r="AB770" s="223" t="str">
        <f>IFERROR(INDEX(Tableau5[Reserve],MATCH(Tableau3[[#This Row],[ID-SIG]],Tableau5[ID],0))&amp;"","")</f>
        <v/>
      </c>
      <c r="AC770" s="21"/>
      <c r="AD770" s="108" t="str">
        <f>INDEX(Tableau7[Repere],MATCH(Tableau3[[#This Row],[ID-API]],Tableau7[ID-API],0))&amp;""</f>
        <v>A5</v>
      </c>
      <c r="AE770" s="108" t="str">
        <f>INDEX(Tableau1[Repere-Rack],MATCH(Tableau3[[#This Row],[ID-RACK]],Tableau1[ID-RACK],0))&amp;""</f>
        <v>R2</v>
      </c>
      <c r="AF770" s="108" t="str">
        <f>INDEX(Tableau1[Repere-Slot],MATCH(Tableau3[[#This Row],[ID-SLOT]],Tableau1[ID-SLOT],0))&amp;""</f>
        <v>S1</v>
      </c>
      <c r="AG770" s="108" t="str">
        <f>INDEX(Tableau2[Repere-Voie],MATCH(Tableau3[[#This Row],[ID-VOIE]],Tableau2[ID-Voie],0))&amp;""</f>
        <v>v0</v>
      </c>
      <c r="AH770" s="72" t="str">
        <f>Tableau3[[#This Row],[ID-API]]&amp; "." &amp;Tableau3[[#This Row],[ID-RACK]]&amp; "." &amp;Tableau3[[#This Row],[ID-SLOT]]</f>
        <v>5.2.1</v>
      </c>
      <c r="AI770" s="72" t="str">
        <f>INDEX(Tableau1[Ref-Carte],MATCH(Tableau3[[#This Row],[ID-RRS]],Tableau1[ID-RRS],0))</f>
        <v>SDO0802</v>
      </c>
      <c r="AJ770" s="72" t="str">
        <f t="array" ref="AJ770">IFERROR(INDEX(Tableau2[TS],MATCH(1,(Tableau2[Ref-Carte]=Tableau3[[#This Row],[Ref-Carte2]])*(Tableau2[ID-Voie]=Tableau3[[#This Row],[ID-VOIE]]),0)),"")</f>
        <v>ST</v>
      </c>
      <c r="AK770" s="72" t="str">
        <f>IFERROR(INDEX(Tableau2[TS],SUMPRODUCT((Tableau2[Ref-Carte]=Tableau3[[#This Row],[Ref-Carte2]])*(Tableau2[ID-Voie]=Tableau3[[#This Row],[ID-VOIE]])*ROW(Tableau2[TS]))-ROW(Tableau2[#Headers])),"")</f>
        <v>ST</v>
      </c>
      <c r="AL770" s="72" t="str">
        <f>Tableau3[[#This Row],[Ref-Carte2]]&amp;"/"&amp;Tableau3[[#This Row],[ID-VOIE]]</f>
        <v>SDO0802/0</v>
      </c>
      <c r="AM770" s="73" t="str">
        <f>INDEX(Tableau2[Borne],MATCH(Tableau3[[#This Row],[ID-CARTEVOIE]],Tableau2[ID-CARTEVOIE],0))&amp;""</f>
        <v>0</v>
      </c>
      <c r="AN770" s="74" t="str">
        <f>Tableau3[[#This Row],[ID-API]]&amp;Tableau3[[#This Row],[ID-RACK]]&amp;Tableau3[[#This Row],[ID-SLOT]]&amp;Tableau3[[#This Row],[BORNE]]</f>
        <v>5210</v>
      </c>
      <c r="AO770" s="1"/>
    </row>
    <row r="771" spans="1:41" ht="20.100000000000001" customHeight="1" thickTop="1" thickBot="1">
      <c r="A771" s="68"/>
      <c r="B771" s="69" t="str">
        <f>IFERROR(INDEX(Tableau4[Date],MATCH($A771,Tableau4[EVO],0)),"")</f>
        <v/>
      </c>
      <c r="C771" s="68" t="str">
        <f>IFERROR(INDEX(Tableau4[Designation],MATCH($A771,Tableau4[EVO],0)),"")</f>
        <v/>
      </c>
      <c r="D771" s="68"/>
      <c r="E771" s="70">
        <v>108</v>
      </c>
      <c r="F771" s="71">
        <v>14</v>
      </c>
      <c r="G771" s="101" t="str">
        <f>INDEX(Tableau8[Att1],MATCH(Tableau3[[#This Row],[ID-INS]],Tableau8[ID],0))&amp;""</f>
        <v>B21</v>
      </c>
      <c r="H771" s="101" t="str">
        <f>INDEX(Tableau8[Att2],MATCH(Tableau3[[#This Row],[ID-INS]],Tableau8[ID],0))&amp;""</f>
        <v>UTLR7</v>
      </c>
      <c r="I771" s="101" t="str">
        <f>INDEX(Tableau8[Att3],MATCH(Tableau3[[#This Row],[ID-INS]],Tableau8[ID],0))&amp;""</f>
        <v>UTL rouge IDP3/TRSD1-1</v>
      </c>
      <c r="J771" s="101"/>
      <c r="K771" s="167" t="str">
        <f>INDEX(Tableau8[Nom du modele],MATCH(Tableau3[[#This Row],[ID-INS]],Tableau8[ID],0))&amp;""</f>
        <v>UTL</v>
      </c>
      <c r="L771" s="99" t="str">
        <f>INDEX(Tableau5[Att1],MATCH(Tableau3[[#This Row],[ID-SIG]],Tableau5[ID],0))&amp;""</f>
        <v>AutorBadge</v>
      </c>
      <c r="M771" s="99" t="str">
        <f>INDEX(Tableau5[Att2],MATCH(Tableau3[[#This Row],[ID-SIG]],Tableau5[ID],0))&amp;""</f>
        <v/>
      </c>
      <c r="N771" s="99" t="str">
        <f>INDEX(Tableau5[Att3],MATCH(Tableau3[[#This Row],[ID-SIG]],Tableau5[ID],0))&amp;""</f>
        <v/>
      </c>
      <c r="O771" s="99"/>
      <c r="P771" s="99" t="str">
        <f>INDEX(Tableau5[Description],MATCH(Tableau3[[#This Row],[ID-SIG]],Tableau5[ID],0))</f>
        <v>Commande autorisation badgeage vers UTL</v>
      </c>
      <c r="Q771" s="99"/>
      <c r="R771" s="103" t="str">
        <f>Tableau3[[#This Row],[Description]]</f>
        <v>Commande autorisation badgeage vers UTL</v>
      </c>
      <c r="U771" s="87">
        <v>5</v>
      </c>
      <c r="V771" s="87">
        <v>2</v>
      </c>
      <c r="W771" s="87">
        <v>1</v>
      </c>
      <c r="X771" s="87">
        <v>1</v>
      </c>
      <c r="Y771" s="41"/>
      <c r="Z771" s="165" t="str">
        <f>INDEX(Tableau2[TS],MATCH(Tableau3[[#This Row],[ID-CARTEVOIE]],Tableau2[ID-CARTEVOIE],0))</f>
        <v>ST</v>
      </c>
      <c r="AA771" s="53" t="s">
        <v>213</v>
      </c>
      <c r="AB771" s="223" t="str">
        <f>IFERROR(INDEX(Tableau5[Reserve],MATCH(Tableau3[[#This Row],[ID-SIG]],Tableau5[ID],0))&amp;"","")</f>
        <v/>
      </c>
      <c r="AC771" s="21"/>
      <c r="AD771" s="108" t="str">
        <f>INDEX(Tableau7[Repere],MATCH(Tableau3[[#This Row],[ID-API]],Tableau7[ID-API],0))&amp;""</f>
        <v>A5</v>
      </c>
      <c r="AE771" s="108" t="str">
        <f>INDEX(Tableau1[Repere-Rack],MATCH(Tableau3[[#This Row],[ID-RACK]],Tableau1[ID-RACK],0))&amp;""</f>
        <v>R2</v>
      </c>
      <c r="AF771" s="108" t="str">
        <f>INDEX(Tableau1[Repere-Slot],MATCH(Tableau3[[#This Row],[ID-SLOT]],Tableau1[ID-SLOT],0))&amp;""</f>
        <v>S1</v>
      </c>
      <c r="AG771" s="108" t="str">
        <f>INDEX(Tableau2[Repere-Voie],MATCH(Tableau3[[#This Row],[ID-VOIE]],Tableau2[ID-Voie],0))&amp;""</f>
        <v>v1</v>
      </c>
      <c r="AH771" s="72" t="str">
        <f>Tableau3[[#This Row],[ID-API]]&amp; "." &amp;Tableau3[[#This Row],[ID-RACK]]&amp; "." &amp;Tableau3[[#This Row],[ID-SLOT]]</f>
        <v>5.2.1</v>
      </c>
      <c r="AI771" s="72" t="str">
        <f>INDEX(Tableau1[Ref-Carte],MATCH(Tableau3[[#This Row],[ID-RRS]],Tableau1[ID-RRS],0))</f>
        <v>SDO0802</v>
      </c>
      <c r="AJ771" s="72" t="str">
        <f t="array" ref="AJ771">IFERROR(INDEX(Tableau2[TS],MATCH(1,(Tableau2[Ref-Carte]=Tableau3[[#This Row],[Ref-Carte2]])*(Tableau2[ID-Voie]=Tableau3[[#This Row],[ID-VOIE]]),0)),"")</f>
        <v>ST</v>
      </c>
      <c r="AK771" s="72" t="str">
        <f>IFERROR(INDEX(Tableau2[TS],SUMPRODUCT((Tableau2[Ref-Carte]=Tableau3[[#This Row],[Ref-Carte2]])*(Tableau2[ID-Voie]=Tableau3[[#This Row],[ID-VOIE]])*ROW(Tableau2[TS]))-ROW(Tableau2[#Headers])),"")</f>
        <v>ST</v>
      </c>
      <c r="AL771" s="72" t="str">
        <f>Tableau3[[#This Row],[Ref-Carte2]]&amp;"/"&amp;Tableau3[[#This Row],[ID-VOIE]]</f>
        <v>SDO0802/1</v>
      </c>
      <c r="AM771" s="73" t="str">
        <f>INDEX(Tableau2[Borne],MATCH(Tableau3[[#This Row],[ID-CARTEVOIE]],Tableau2[ID-CARTEVOIE],0))&amp;""</f>
        <v>1</v>
      </c>
      <c r="AN771" s="74" t="str">
        <f>Tableau3[[#This Row],[ID-API]]&amp;Tableau3[[#This Row],[ID-RACK]]&amp;Tableau3[[#This Row],[ID-SLOT]]&amp;Tableau3[[#This Row],[BORNE]]</f>
        <v>5211</v>
      </c>
      <c r="AO771" s="1"/>
    </row>
    <row r="772" spans="1:41" ht="20.100000000000001" customHeight="1" thickTop="1" thickBot="1">
      <c r="A772" s="68"/>
      <c r="B772" s="69" t="str">
        <f>IFERROR(INDEX(Tableau4[Date],MATCH($A772,Tableau4[EVO],0)),"")</f>
        <v/>
      </c>
      <c r="C772" s="68" t="str">
        <f>IFERROR(INDEX(Tableau4[Designation],MATCH($A772,Tableau4[EVO],0)),"")</f>
        <v/>
      </c>
      <c r="D772" s="68"/>
      <c r="E772" s="70">
        <v>117</v>
      </c>
      <c r="F772" s="71">
        <v>13</v>
      </c>
      <c r="G772" s="101" t="str">
        <f>INDEX(Tableau8[Att1],MATCH(Tableau3[[#This Row],[ID-INS]],Tableau8[ID],0))&amp;""</f>
        <v>V4</v>
      </c>
      <c r="H772" s="101" t="str">
        <f>INDEX(Tableau8[Att2],MATCH(Tableau3[[#This Row],[ID-INS]],Tableau8[ID],0))&amp;""</f>
        <v>UTLB4</v>
      </c>
      <c r="I772" s="101" t="str">
        <f>INDEX(Tableau8[Att3],MATCH(Tableau3[[#This Row],[ID-INS]],Tableau8[ID],0))&amp;""</f>
        <v>UTL bleue AUTVL4/AUTPL1/BH9</v>
      </c>
      <c r="J772" s="101"/>
      <c r="K772" s="167" t="str">
        <f>INDEX(Tableau8[Nom du modele],MATCH(Tableau3[[#This Row],[ID-INS]],Tableau8[ID],0))&amp;""</f>
        <v>UTL</v>
      </c>
      <c r="L772" s="99" t="str">
        <f>INDEX(Tableau5[Att1],MATCH(Tableau3[[#This Row],[ID-SIG]],Tableau5[ID],0))&amp;""</f>
        <v>PassEffec</v>
      </c>
      <c r="M772" s="99" t="str">
        <f>INDEX(Tableau5[Att2],MATCH(Tableau3[[#This Row],[ID-SIG]],Tableau5[ID],0))&amp;""</f>
        <v/>
      </c>
      <c r="N772" s="99" t="str">
        <f>INDEX(Tableau5[Att3],MATCH(Tableau3[[#This Row],[ID-SIG]],Tableau5[ID],0))&amp;""</f>
        <v/>
      </c>
      <c r="O772" s="99"/>
      <c r="P772" s="99" t="str">
        <f>INDEX(Tableau5[Description],MATCH(Tableau3[[#This Row],[ID-SIG]],Tableau5[ID],0))</f>
        <v>Commande passage effectué vers UTL</v>
      </c>
      <c r="Q772" s="99"/>
      <c r="R772" s="103" t="str">
        <f>Tableau3[[#This Row],[Description]]</f>
        <v>Commande passage effectué vers UTL</v>
      </c>
      <c r="U772" s="87">
        <v>5</v>
      </c>
      <c r="V772" s="87">
        <v>2</v>
      </c>
      <c r="W772" s="87">
        <v>1</v>
      </c>
      <c r="X772" s="87">
        <v>2</v>
      </c>
      <c r="Y772" s="41"/>
      <c r="Z772" s="165" t="str">
        <f>INDEX(Tableau2[TS],MATCH(Tableau3[[#This Row],[ID-CARTEVOIE]],Tableau2[ID-CARTEVOIE],0))</f>
        <v>ST</v>
      </c>
      <c r="AA772" s="53" t="s">
        <v>213</v>
      </c>
      <c r="AB772" s="223" t="str">
        <f>IFERROR(INDEX(Tableau5[Reserve],MATCH(Tableau3[[#This Row],[ID-SIG]],Tableau5[ID],0))&amp;"","")</f>
        <v/>
      </c>
      <c r="AC772" s="21"/>
      <c r="AD772" s="108" t="str">
        <f>INDEX(Tableau7[Repere],MATCH(Tableau3[[#This Row],[ID-API]],Tableau7[ID-API],0))&amp;""</f>
        <v>A5</v>
      </c>
      <c r="AE772" s="108" t="str">
        <f>INDEX(Tableau1[Repere-Rack],MATCH(Tableau3[[#This Row],[ID-RACK]],Tableau1[ID-RACK],0))&amp;""</f>
        <v>R2</v>
      </c>
      <c r="AF772" s="108" t="str">
        <f>INDEX(Tableau1[Repere-Slot],MATCH(Tableau3[[#This Row],[ID-SLOT]],Tableau1[ID-SLOT],0))&amp;""</f>
        <v>S1</v>
      </c>
      <c r="AG772" s="108" t="str">
        <f>INDEX(Tableau2[Repere-Voie],MATCH(Tableau3[[#This Row],[ID-VOIE]],Tableau2[ID-Voie],0))&amp;""</f>
        <v>v2</v>
      </c>
      <c r="AH772" s="72" t="str">
        <f>Tableau3[[#This Row],[ID-API]]&amp; "." &amp;Tableau3[[#This Row],[ID-RACK]]&amp; "." &amp;Tableau3[[#This Row],[ID-SLOT]]</f>
        <v>5.2.1</v>
      </c>
      <c r="AI772" s="72" t="str">
        <f>INDEX(Tableau1[Ref-Carte],MATCH(Tableau3[[#This Row],[ID-RRS]],Tableau1[ID-RRS],0))</f>
        <v>SDO0802</v>
      </c>
      <c r="AJ772" s="72" t="str">
        <f t="array" ref="AJ772">IFERROR(INDEX(Tableau2[TS],MATCH(1,(Tableau2[Ref-Carte]=Tableau3[[#This Row],[Ref-Carte2]])*(Tableau2[ID-Voie]=Tableau3[[#This Row],[ID-VOIE]]),0)),"")</f>
        <v>ST</v>
      </c>
      <c r="AK772" s="72" t="str">
        <f>IFERROR(INDEX(Tableau2[TS],SUMPRODUCT((Tableau2[Ref-Carte]=Tableau3[[#This Row],[Ref-Carte2]])*(Tableau2[ID-Voie]=Tableau3[[#This Row],[ID-VOIE]])*ROW(Tableau2[TS]))-ROW(Tableau2[#Headers])),"")</f>
        <v>ST</v>
      </c>
      <c r="AL772" s="72" t="str">
        <f>Tableau3[[#This Row],[Ref-Carte2]]&amp;"/"&amp;Tableau3[[#This Row],[ID-VOIE]]</f>
        <v>SDO0802/2</v>
      </c>
      <c r="AM772" s="73" t="str">
        <f>INDEX(Tableau2[Borne],MATCH(Tableau3[[#This Row],[ID-CARTEVOIE]],Tableau2[ID-CARTEVOIE],0))&amp;""</f>
        <v>2</v>
      </c>
      <c r="AN772" s="74" t="str">
        <f>Tableau3[[#This Row],[ID-API]]&amp;Tableau3[[#This Row],[ID-RACK]]&amp;Tableau3[[#This Row],[ID-SLOT]]&amp;Tableau3[[#This Row],[BORNE]]</f>
        <v>5212</v>
      </c>
      <c r="AO772" s="1"/>
    </row>
    <row r="773" spans="1:41" ht="20.100000000000001" customHeight="1" thickTop="1" thickBot="1">
      <c r="A773" s="68"/>
      <c r="B773" s="69" t="str">
        <f>IFERROR(INDEX(Tableau4[Date],MATCH($A773,Tableau4[EVO],0)),"")</f>
        <v/>
      </c>
      <c r="C773" s="68" t="str">
        <f>IFERROR(INDEX(Tableau4[Designation],MATCH($A773,Tableau4[EVO],0)),"")</f>
        <v/>
      </c>
      <c r="D773" s="68"/>
      <c r="E773" s="70">
        <v>117</v>
      </c>
      <c r="F773" s="71">
        <v>14</v>
      </c>
      <c r="G773" s="101" t="str">
        <f>INDEX(Tableau8[Att1],MATCH(Tableau3[[#This Row],[ID-INS]],Tableau8[ID],0))&amp;""</f>
        <v>V4</v>
      </c>
      <c r="H773" s="101" t="str">
        <f>INDEX(Tableau8[Att2],MATCH(Tableau3[[#This Row],[ID-INS]],Tableau8[ID],0))&amp;""</f>
        <v>UTLB4</v>
      </c>
      <c r="I773" s="101" t="str">
        <f>INDEX(Tableau8[Att3],MATCH(Tableau3[[#This Row],[ID-INS]],Tableau8[ID],0))&amp;""</f>
        <v>UTL bleue AUTVL4/AUTPL1/BH9</v>
      </c>
      <c r="J773" s="101"/>
      <c r="K773" s="167" t="str">
        <f>INDEX(Tableau8[Nom du modele],MATCH(Tableau3[[#This Row],[ID-INS]],Tableau8[ID],0))&amp;""</f>
        <v>UTL</v>
      </c>
      <c r="L773" s="99" t="str">
        <f>INDEX(Tableau5[Att1],MATCH(Tableau3[[#This Row],[ID-SIG]],Tableau5[ID],0))&amp;""</f>
        <v>AutorBadge</v>
      </c>
      <c r="M773" s="99" t="str">
        <f>INDEX(Tableau5[Att2],MATCH(Tableau3[[#This Row],[ID-SIG]],Tableau5[ID],0))&amp;""</f>
        <v/>
      </c>
      <c r="N773" s="99" t="str">
        <f>INDEX(Tableau5[Att3],MATCH(Tableau3[[#This Row],[ID-SIG]],Tableau5[ID],0))&amp;""</f>
        <v/>
      </c>
      <c r="O773" s="99"/>
      <c r="P773" s="99" t="str">
        <f>INDEX(Tableau5[Description],MATCH(Tableau3[[#This Row],[ID-SIG]],Tableau5[ID],0))</f>
        <v>Commande autorisation badgeage vers UTL</v>
      </c>
      <c r="Q773" s="99"/>
      <c r="R773" s="103" t="str">
        <f>Tableau3[[#This Row],[Description]]</f>
        <v>Commande autorisation badgeage vers UTL</v>
      </c>
      <c r="U773" s="87">
        <v>5</v>
      </c>
      <c r="V773" s="87">
        <v>2</v>
      </c>
      <c r="W773" s="87">
        <v>1</v>
      </c>
      <c r="X773" s="87">
        <v>3</v>
      </c>
      <c r="Y773" s="41"/>
      <c r="Z773" s="165" t="str">
        <f>INDEX(Tableau2[TS],MATCH(Tableau3[[#This Row],[ID-CARTEVOIE]],Tableau2[ID-CARTEVOIE],0))</f>
        <v>ST</v>
      </c>
      <c r="AA773" s="53" t="s">
        <v>213</v>
      </c>
      <c r="AB773" s="223" t="str">
        <f>IFERROR(INDEX(Tableau5[Reserve],MATCH(Tableau3[[#This Row],[ID-SIG]],Tableau5[ID],0))&amp;"","")</f>
        <v/>
      </c>
      <c r="AC773" s="21"/>
      <c r="AD773" s="108" t="str">
        <f>INDEX(Tableau7[Repere],MATCH(Tableau3[[#This Row],[ID-API]],Tableau7[ID-API],0))&amp;""</f>
        <v>A5</v>
      </c>
      <c r="AE773" s="108" t="str">
        <f>INDEX(Tableau1[Repere-Rack],MATCH(Tableau3[[#This Row],[ID-RACK]],Tableau1[ID-RACK],0))&amp;""</f>
        <v>R2</v>
      </c>
      <c r="AF773" s="108" t="str">
        <f>INDEX(Tableau1[Repere-Slot],MATCH(Tableau3[[#This Row],[ID-SLOT]],Tableau1[ID-SLOT],0))&amp;""</f>
        <v>S1</v>
      </c>
      <c r="AG773" s="108" t="str">
        <f>INDEX(Tableau2[Repere-Voie],MATCH(Tableau3[[#This Row],[ID-VOIE]],Tableau2[ID-Voie],0))&amp;""</f>
        <v>v3</v>
      </c>
      <c r="AH773" s="72" t="str">
        <f>Tableau3[[#This Row],[ID-API]]&amp; "." &amp;Tableau3[[#This Row],[ID-RACK]]&amp; "." &amp;Tableau3[[#This Row],[ID-SLOT]]</f>
        <v>5.2.1</v>
      </c>
      <c r="AI773" s="72" t="str">
        <f>INDEX(Tableau1[Ref-Carte],MATCH(Tableau3[[#This Row],[ID-RRS]],Tableau1[ID-RRS],0))</f>
        <v>SDO0802</v>
      </c>
      <c r="AJ773" s="72" t="str">
        <f t="array" ref="AJ773">IFERROR(INDEX(Tableau2[TS],MATCH(1,(Tableau2[Ref-Carte]=Tableau3[[#This Row],[Ref-Carte2]])*(Tableau2[ID-Voie]=Tableau3[[#This Row],[ID-VOIE]]),0)),"")</f>
        <v>ST</v>
      </c>
      <c r="AK773" s="72" t="str">
        <f>IFERROR(INDEX(Tableau2[TS],SUMPRODUCT((Tableau2[Ref-Carte]=Tableau3[[#This Row],[Ref-Carte2]])*(Tableau2[ID-Voie]=Tableau3[[#This Row],[ID-VOIE]])*ROW(Tableau2[TS]))-ROW(Tableau2[#Headers])),"")</f>
        <v>ST</v>
      </c>
      <c r="AL773" s="72" t="str">
        <f>Tableau3[[#This Row],[Ref-Carte2]]&amp;"/"&amp;Tableau3[[#This Row],[ID-VOIE]]</f>
        <v>SDO0802/3</v>
      </c>
      <c r="AM773" s="73" t="str">
        <f>INDEX(Tableau2[Borne],MATCH(Tableau3[[#This Row],[ID-CARTEVOIE]],Tableau2[ID-CARTEVOIE],0))&amp;""</f>
        <v>3</v>
      </c>
      <c r="AN773" s="74" t="str">
        <f>Tableau3[[#This Row],[ID-API]]&amp;Tableau3[[#This Row],[ID-RACK]]&amp;Tableau3[[#This Row],[ID-SLOT]]&amp;Tableau3[[#This Row],[BORNE]]</f>
        <v>5213</v>
      </c>
      <c r="AO773" s="1"/>
    </row>
    <row r="774" spans="1:41" ht="20.100000000000001" customHeight="1" thickTop="1" thickBot="1">
      <c r="A774" s="68"/>
      <c r="B774" s="69" t="str">
        <f>IFERROR(INDEX(Tableau4[Date],MATCH($A774,Tableau4[EVO],0)),"")</f>
        <v/>
      </c>
      <c r="C774" s="68" t="str">
        <f>IFERROR(INDEX(Tableau4[Designation],MATCH($A774,Tableau4[EVO],0)),"")</f>
        <v/>
      </c>
      <c r="D774" s="68"/>
      <c r="E774" s="70">
        <v>276</v>
      </c>
      <c r="F774" s="71">
        <v>316</v>
      </c>
      <c r="G774" s="101" t="str">
        <f>INDEX(Tableau8[Att1],MATCH(Tableau3[[#This Row],[ID-INS]],Tableau8[ID],0))&amp;""</f>
        <v>V4</v>
      </c>
      <c r="H774" s="101" t="str">
        <f>INDEX(Tableau8[Att2],MATCH(Tableau3[[#This Row],[ID-INS]],Tableau8[ID],0))&amp;""</f>
        <v>F8</v>
      </c>
      <c r="I774" s="101" t="str">
        <f>INDEX(Tableau8[Att3],MATCH(Tableau3[[#This Row],[ID-INS]],Tableau8[ID],0))&amp;""</f>
        <v>Feu F8</v>
      </c>
      <c r="J774" s="101"/>
      <c r="K774" s="167" t="str">
        <f>INDEX(Tableau8[Nom du modele],MATCH(Tableau3[[#This Row],[ID-INS]],Tableau8[ID],0))&amp;""</f>
        <v>FeuBi_2</v>
      </c>
      <c r="L774" s="99" t="str">
        <f>INDEX(Tableau5[Att1],MATCH(Tableau3[[#This Row],[ID-SIG]],Tableau5[ID],0))&amp;""</f>
        <v>FeuR_Cmd</v>
      </c>
      <c r="M774" s="99" t="str">
        <f>INDEX(Tableau5[Att2],MATCH(Tableau3[[#This Row],[ID-SIG]],Tableau5[ID],0))&amp;""</f>
        <v/>
      </c>
      <c r="N774" s="99" t="str">
        <f>INDEX(Tableau5[Att3],MATCH(Tableau3[[#This Row],[ID-SIG]],Tableau5[ID],0))&amp;""</f>
        <v/>
      </c>
      <c r="O774" s="99"/>
      <c r="P774" s="99" t="str">
        <f>INDEX(Tableau5[Description],MATCH(Tableau3[[#This Row],[ID-SIG]],Tableau5[ID],0))</f>
        <v>Commande Feu Rouge</v>
      </c>
      <c r="Q774" s="99"/>
      <c r="R774" s="103" t="str">
        <f>Tableau3[[#This Row],[Description]]</f>
        <v>Commande Feu Rouge</v>
      </c>
      <c r="U774" s="87">
        <v>5</v>
      </c>
      <c r="V774" s="87">
        <v>2</v>
      </c>
      <c r="W774" s="87">
        <v>1</v>
      </c>
      <c r="X774" s="87">
        <v>4</v>
      </c>
      <c r="Y774" s="41"/>
      <c r="Z774" s="165" t="str">
        <f>INDEX(Tableau2[TS],MATCH(Tableau3[[#This Row],[ID-CARTEVOIE]],Tableau2[ID-CARTEVOIE],0))</f>
        <v>ST</v>
      </c>
      <c r="AA774" s="53" t="s">
        <v>213</v>
      </c>
      <c r="AB774" s="223" t="str">
        <f>IFERROR(INDEX(Tableau5[Reserve],MATCH(Tableau3[[#This Row],[ID-SIG]],Tableau5[ID],0))&amp;"","")</f>
        <v/>
      </c>
      <c r="AC774" s="21"/>
      <c r="AD774" s="108" t="str">
        <f>INDEX(Tableau7[Repere],MATCH(Tableau3[[#This Row],[ID-API]],Tableau7[ID-API],0))&amp;""</f>
        <v>A5</v>
      </c>
      <c r="AE774" s="108" t="str">
        <f>INDEX(Tableau1[Repere-Rack],MATCH(Tableau3[[#This Row],[ID-RACK]],Tableau1[ID-RACK],0))&amp;""</f>
        <v>R2</v>
      </c>
      <c r="AF774" s="108" t="str">
        <f>INDEX(Tableau1[Repere-Slot],MATCH(Tableau3[[#This Row],[ID-SLOT]],Tableau1[ID-SLOT],0))&amp;""</f>
        <v>S1</v>
      </c>
      <c r="AG774" s="108" t="str">
        <f>INDEX(Tableau2[Repere-Voie],MATCH(Tableau3[[#This Row],[ID-VOIE]],Tableau2[ID-Voie],0))&amp;""</f>
        <v>v4</v>
      </c>
      <c r="AH774" s="72" t="str">
        <f>Tableau3[[#This Row],[ID-API]]&amp; "." &amp;Tableau3[[#This Row],[ID-RACK]]&amp; "." &amp;Tableau3[[#This Row],[ID-SLOT]]</f>
        <v>5.2.1</v>
      </c>
      <c r="AI774" s="72" t="str">
        <f>INDEX(Tableau1[Ref-Carte],MATCH(Tableau3[[#This Row],[ID-RRS]],Tableau1[ID-RRS],0))</f>
        <v>SDO0802</v>
      </c>
      <c r="AJ774" s="72" t="str">
        <f t="array" ref="AJ774">IFERROR(INDEX(Tableau2[TS],MATCH(1,(Tableau2[Ref-Carte]=Tableau3[[#This Row],[Ref-Carte2]])*(Tableau2[ID-Voie]=Tableau3[[#This Row],[ID-VOIE]]),0)),"")</f>
        <v>ST</v>
      </c>
      <c r="AK774" s="72" t="str">
        <f>IFERROR(INDEX(Tableau2[TS],SUMPRODUCT((Tableau2[Ref-Carte]=Tableau3[[#This Row],[Ref-Carte2]])*(Tableau2[ID-Voie]=Tableau3[[#This Row],[ID-VOIE]])*ROW(Tableau2[TS]))-ROW(Tableau2[#Headers])),"")</f>
        <v>ST</v>
      </c>
      <c r="AL774" s="72" t="str">
        <f>Tableau3[[#This Row],[Ref-Carte2]]&amp;"/"&amp;Tableau3[[#This Row],[ID-VOIE]]</f>
        <v>SDO0802/4</v>
      </c>
      <c r="AM774" s="73" t="str">
        <f>INDEX(Tableau2[Borne],MATCH(Tableau3[[#This Row],[ID-CARTEVOIE]],Tableau2[ID-CARTEVOIE],0))&amp;""</f>
        <v>4</v>
      </c>
      <c r="AN774" s="74" t="str">
        <f>Tableau3[[#This Row],[ID-API]]&amp;Tableau3[[#This Row],[ID-RACK]]&amp;Tableau3[[#This Row],[ID-SLOT]]&amp;Tableau3[[#This Row],[BORNE]]</f>
        <v>5214</v>
      </c>
      <c r="AO774" s="1"/>
    </row>
    <row r="775" spans="1:41" ht="20.100000000000001" customHeight="1" thickTop="1" thickBot="1">
      <c r="A775" s="68"/>
      <c r="B775" s="69" t="str">
        <f>IFERROR(INDEX(Tableau4[Date],MATCH($A775,Tableau4[EVO],0)),"")</f>
        <v/>
      </c>
      <c r="C775" s="68" t="str">
        <f>IFERROR(INDEX(Tableau4[Designation],MATCH($A775,Tableau4[EVO],0)),"")</f>
        <v/>
      </c>
      <c r="D775" s="68"/>
      <c r="E775" s="70">
        <v>277</v>
      </c>
      <c r="F775" s="71">
        <v>322</v>
      </c>
      <c r="G775" s="101" t="str">
        <f>INDEX(Tableau8[Att1],MATCH(Tableau3[[#This Row],[ID-INS]],Tableau8[ID],0))&amp;""</f>
        <v>V4</v>
      </c>
      <c r="H775" s="101" t="str">
        <f>INDEX(Tableau8[Att2],MATCH(Tableau3[[#This Row],[ID-INS]],Tableau8[ID],0))&amp;""</f>
        <v>F12</v>
      </c>
      <c r="I775" s="101" t="str">
        <f>INDEX(Tableau8[Att3],MATCH(Tableau3[[#This Row],[ID-INS]],Tableau8[ID],0))&amp;""</f>
        <v>Feu F12</v>
      </c>
      <c r="J775" s="101"/>
      <c r="K775" s="167" t="str">
        <f>INDEX(Tableau8[Nom du modele],MATCH(Tableau3[[#This Row],[ID-INS]],Tableau8[ID],0))&amp;""</f>
        <v>FeuContrAleaVLPL2</v>
      </c>
      <c r="L775" s="99" t="str">
        <f>INDEX(Tableau5[Att1],MATCH(Tableau3[[#This Row],[ID-SIG]],Tableau5[ID],0))&amp;""</f>
        <v>FeuR_Cmd</v>
      </c>
      <c r="M775" s="99" t="str">
        <f>INDEX(Tableau5[Att2],MATCH(Tableau3[[#This Row],[ID-SIG]],Tableau5[ID],0))&amp;""</f>
        <v/>
      </c>
      <c r="N775" s="99" t="str">
        <f>INDEX(Tableau5[Att3],MATCH(Tableau3[[#This Row],[ID-SIG]],Tableau5[ID],0))&amp;""</f>
        <v/>
      </c>
      <c r="O775" s="99"/>
      <c r="P775" s="99" t="str">
        <f>INDEX(Tableau5[Description],MATCH(Tableau3[[#This Row],[ID-SIG]],Tableau5[ID],0))</f>
        <v xml:space="preserve">Commande Feu Rouge </v>
      </c>
      <c r="Q775" s="99"/>
      <c r="R775" s="103" t="str">
        <f>Tableau3[[#This Row],[Description]]</f>
        <v xml:space="preserve">Commande Feu Rouge </v>
      </c>
      <c r="U775" s="87">
        <v>5</v>
      </c>
      <c r="V775" s="87">
        <v>2</v>
      </c>
      <c r="W775" s="87">
        <v>1</v>
      </c>
      <c r="X775" s="87">
        <v>5</v>
      </c>
      <c r="Y775" s="41"/>
      <c r="Z775" s="165" t="str">
        <f>INDEX(Tableau2[TS],MATCH(Tableau3[[#This Row],[ID-CARTEVOIE]],Tableau2[ID-CARTEVOIE],0))</f>
        <v>ST</v>
      </c>
      <c r="AA775" s="53" t="s">
        <v>213</v>
      </c>
      <c r="AB775" s="223" t="str">
        <f>IFERROR(INDEX(Tableau5[Reserve],MATCH(Tableau3[[#This Row],[ID-SIG]],Tableau5[ID],0))&amp;"","")</f>
        <v/>
      </c>
      <c r="AC775" s="21"/>
      <c r="AD775" s="108" t="str">
        <f>INDEX(Tableau7[Repere],MATCH(Tableau3[[#This Row],[ID-API]],Tableau7[ID-API],0))&amp;""</f>
        <v>A5</v>
      </c>
      <c r="AE775" s="108" t="str">
        <f>INDEX(Tableau1[Repere-Rack],MATCH(Tableau3[[#This Row],[ID-RACK]],Tableau1[ID-RACK],0))&amp;""</f>
        <v>R2</v>
      </c>
      <c r="AF775" s="108" t="str">
        <f>INDEX(Tableau1[Repere-Slot],MATCH(Tableau3[[#This Row],[ID-SLOT]],Tableau1[ID-SLOT],0))&amp;""</f>
        <v>S1</v>
      </c>
      <c r="AG775" s="108" t="str">
        <f>INDEX(Tableau2[Repere-Voie],MATCH(Tableau3[[#This Row],[ID-VOIE]],Tableau2[ID-Voie],0))&amp;""</f>
        <v>v5</v>
      </c>
      <c r="AH775" s="72" t="str">
        <f>Tableau3[[#This Row],[ID-API]]&amp; "." &amp;Tableau3[[#This Row],[ID-RACK]]&amp; "." &amp;Tableau3[[#This Row],[ID-SLOT]]</f>
        <v>5.2.1</v>
      </c>
      <c r="AI775" s="72" t="str">
        <f>INDEX(Tableau1[Ref-Carte],MATCH(Tableau3[[#This Row],[ID-RRS]],Tableau1[ID-RRS],0))</f>
        <v>SDO0802</v>
      </c>
      <c r="AJ775" s="72" t="str">
        <f t="array" ref="AJ775">IFERROR(INDEX(Tableau2[TS],MATCH(1,(Tableau2[Ref-Carte]=Tableau3[[#This Row],[Ref-Carte2]])*(Tableau2[ID-Voie]=Tableau3[[#This Row],[ID-VOIE]]),0)),"")</f>
        <v>ST</v>
      </c>
      <c r="AK775" s="72" t="str">
        <f>IFERROR(INDEX(Tableau2[TS],SUMPRODUCT((Tableau2[Ref-Carte]=Tableau3[[#This Row],[Ref-Carte2]])*(Tableau2[ID-Voie]=Tableau3[[#This Row],[ID-VOIE]])*ROW(Tableau2[TS]))-ROW(Tableau2[#Headers])),"")</f>
        <v>ST</v>
      </c>
      <c r="AL775" s="72" t="str">
        <f>Tableau3[[#This Row],[Ref-Carte2]]&amp;"/"&amp;Tableau3[[#This Row],[ID-VOIE]]</f>
        <v>SDO0802/5</v>
      </c>
      <c r="AM775" s="73" t="str">
        <f>INDEX(Tableau2[Borne],MATCH(Tableau3[[#This Row],[ID-CARTEVOIE]],Tableau2[ID-CARTEVOIE],0))&amp;""</f>
        <v>5</v>
      </c>
      <c r="AN775" s="74" t="str">
        <f>Tableau3[[#This Row],[ID-API]]&amp;Tableau3[[#This Row],[ID-RACK]]&amp;Tableau3[[#This Row],[ID-SLOT]]&amp;Tableau3[[#This Row],[BORNE]]</f>
        <v>5215</v>
      </c>
      <c r="AO775" s="1"/>
    </row>
    <row r="776" spans="1:41" ht="20.100000000000001" customHeight="1" thickTop="1" thickBot="1">
      <c r="A776" s="110"/>
      <c r="B776" s="111" t="str">
        <f>IFERROR(INDEX(Tableau4[Date],MATCH($A776,Tableau4[EVO],0)),"")</f>
        <v/>
      </c>
      <c r="C776" s="112" t="str">
        <f>IFERROR(INDEX(Tableau4[Designation],MATCH($A776,Tableau4[EVO],0)),"")</f>
        <v/>
      </c>
      <c r="D776" s="110"/>
      <c r="E776" s="113"/>
      <c r="F776" s="146"/>
      <c r="G776" s="147" t="e">
        <f>INDEX(Tableau8[Att1],MATCH(Tableau3[[#This Row],[ID-INS]],Tableau8[ID],0))&amp;""</f>
        <v>#N/A</v>
      </c>
      <c r="H776" s="147" t="s">
        <v>583</v>
      </c>
      <c r="I776" s="147" t="e">
        <f>INDEX(Tableau8[Att3],MATCH(Tableau3[[#This Row],[ID-INS]],Tableau8[ID],0))&amp;""</f>
        <v>#N/A</v>
      </c>
      <c r="J776" s="148"/>
      <c r="K776" s="167" t="e">
        <f>INDEX(Tableau8[Nom du modele],MATCH(Tableau3[[#This Row],[ID-INS]],Tableau8[ID],0))&amp;""</f>
        <v>#N/A</v>
      </c>
      <c r="L776" s="149" t="s">
        <v>531</v>
      </c>
      <c r="M776" s="149" t="e">
        <f>INDEX(Tableau5[Att2],MATCH(Tableau3[[#This Row],[ID-SIG]],Tableau5[ID],0))&amp;""</f>
        <v>#N/A</v>
      </c>
      <c r="N776" s="149" t="e">
        <f>INDEX(Tableau5[Att3],MATCH(Tableau3[[#This Row],[ID-SIG]],Tableau5[ID],0))&amp;""</f>
        <v>#N/A</v>
      </c>
      <c r="O776" s="150"/>
      <c r="P776" s="149" t="s">
        <v>1715</v>
      </c>
      <c r="Q776" s="150"/>
      <c r="R776" s="117" t="str">
        <f>Tableau3[[#This Row],[Description]]</f>
        <v>Feu F12 - Commande Buzzer</v>
      </c>
      <c r="S776" s="75"/>
      <c r="T776" s="75"/>
      <c r="U776" s="151">
        <v>5</v>
      </c>
      <c r="V776" s="151">
        <v>2</v>
      </c>
      <c r="W776" s="151">
        <v>1</v>
      </c>
      <c r="X776" s="151">
        <v>6</v>
      </c>
      <c r="Y776" s="41"/>
      <c r="Z776" s="166" t="str">
        <f>INDEX(Tableau2[TS],MATCH(Tableau3[[#This Row],[ID-CARTEVOIE]],Tableau2[ID-CARTEVOIE],0))</f>
        <v>ST</v>
      </c>
      <c r="AA776" s="81" t="s">
        <v>213</v>
      </c>
      <c r="AB776" s="226" t="str">
        <f>IFERROR(INDEX(Tableau5[Reserve],MATCH(Tableau3[[#This Row],[ID-SIG]],Tableau5[ID],0))&amp;"","")</f>
        <v/>
      </c>
      <c r="AC776" s="119" t="s">
        <v>1456</v>
      </c>
      <c r="AD776" s="120" t="str">
        <f>INDEX(Tableau7[Repere],MATCH(Tableau3[[#This Row],[ID-API]],Tableau7[ID-API],0))&amp;""</f>
        <v>A5</v>
      </c>
      <c r="AE776" s="121" t="str">
        <f>INDEX(Tableau1[Repere-Rack],MATCH(Tableau3[[#This Row],[ID-RACK]],Tableau1[ID-RACK],0))&amp;""</f>
        <v>R2</v>
      </c>
      <c r="AF776" s="121" t="str">
        <f>INDEX(Tableau1[Repere-Slot],MATCH(Tableau3[[#This Row],[ID-SLOT]],Tableau1[ID-SLOT],0))&amp;""</f>
        <v>S1</v>
      </c>
      <c r="AG776" s="121" t="str">
        <f>INDEX(Tableau2[Repere-Voie],MATCH(Tableau3[[#This Row],[ID-VOIE]],Tableau2[ID-Voie],0))&amp;""</f>
        <v>v6</v>
      </c>
      <c r="AH776" s="122" t="str">
        <f>Tableau3[[#This Row],[ID-API]]&amp; "." &amp;Tableau3[[#This Row],[ID-RACK]]&amp; "." &amp;Tableau3[[#This Row],[ID-SLOT]]</f>
        <v>5.2.1</v>
      </c>
      <c r="AI776" s="72" t="str">
        <f>INDEX(Tableau1[Ref-Carte],MATCH(Tableau3[[#This Row],[ID-RRS]],Tableau1[ID-RRS],0))</f>
        <v>SDO0802</v>
      </c>
      <c r="AJ776" s="72" t="str">
        <f t="array" ref="AJ776">IFERROR(INDEX(Tableau2[TS],MATCH(1,(Tableau2[Ref-Carte]=Tableau3[[#This Row],[Ref-Carte2]])*(Tableau2[ID-Voie]=Tableau3[[#This Row],[ID-VOIE]]),0)),"")</f>
        <v>ST</v>
      </c>
      <c r="AK776" s="72" t="str">
        <f>IFERROR(INDEX(Tableau2[TS],SUMPRODUCT((Tableau2[Ref-Carte]=Tableau3[[#This Row],[Ref-Carte2]])*(Tableau2[ID-Voie]=Tableau3[[#This Row],[ID-VOIE]])*ROW(Tableau2[TS]))-ROW(Tableau2[#Headers])),"")</f>
        <v>ST</v>
      </c>
      <c r="AL776" s="122" t="str">
        <f>Tableau3[[#This Row],[Ref-Carte2]]&amp;"/"&amp;Tableau3[[#This Row],[ID-VOIE]]</f>
        <v>SDO0802/6</v>
      </c>
      <c r="AM776" s="123" t="str">
        <f>INDEX(Tableau2[Borne],MATCH(Tableau3[[#This Row],[ID-CARTEVOIE]],Tableau2[ID-CARTEVOIE],0))&amp;""</f>
        <v>6</v>
      </c>
      <c r="AN776" s="124" t="str">
        <f>Tableau3[[#This Row],[ID-API]]&amp;Tableau3[[#This Row],[ID-RACK]]&amp;Tableau3[[#This Row],[ID-SLOT]]&amp;Tableau3[[#This Row],[BORNE]]</f>
        <v>5216</v>
      </c>
      <c r="AO776" s="125"/>
    </row>
    <row r="777" spans="1:41" ht="20.100000000000001" customHeight="1" thickTop="1" thickBot="1">
      <c r="A777" s="110"/>
      <c r="B777" s="111" t="str">
        <f>IFERROR(INDEX(Tableau4[Date],MATCH($A777,Tableau4[EVO],0)),"")</f>
        <v/>
      </c>
      <c r="C777" s="112" t="str">
        <f>IFERROR(INDEX(Tableau4[Designation],MATCH($A777,Tableau4[EVO],0)),"")</f>
        <v/>
      </c>
      <c r="D777" s="110"/>
      <c r="E777" s="113"/>
      <c r="F777" s="146"/>
      <c r="G777" s="147" t="e">
        <f>INDEX(Tableau8[Att1],MATCH(Tableau3[[#This Row],[ID-INS]],Tableau8[ID],0))&amp;""</f>
        <v>#N/A</v>
      </c>
      <c r="H777" s="147" t="e">
        <f>INDEX(Tableau8[Att2],MATCH(Tableau3[[#This Row],[ID-INS]],Tableau8[ID],0))&amp;""</f>
        <v>#N/A</v>
      </c>
      <c r="I777" s="147" t="e">
        <f>INDEX(Tableau8[Att3],MATCH(Tableau3[[#This Row],[ID-INS]],Tableau8[ID],0))&amp;""</f>
        <v>#N/A</v>
      </c>
      <c r="J777" s="148"/>
      <c r="K777" s="167" t="e">
        <f>INDEX(Tableau8[Nom du modele],MATCH(Tableau3[[#This Row],[ID-INS]],Tableau8[ID],0))&amp;""</f>
        <v>#N/A</v>
      </c>
      <c r="L777" s="149" t="e">
        <f>INDEX(Tableau5[Att1],MATCH(Tableau3[[#This Row],[ID-SIG]],Tableau5[ID],0))&amp;""</f>
        <v>#N/A</v>
      </c>
      <c r="M777" s="149" t="e">
        <f>INDEX(Tableau5[Att2],MATCH(Tableau3[[#This Row],[ID-SIG]],Tableau5[ID],0))&amp;""</f>
        <v>#N/A</v>
      </c>
      <c r="N777" s="149" t="e">
        <f>INDEX(Tableau5[Att3],MATCH(Tableau3[[#This Row],[ID-SIG]],Tableau5[ID],0))&amp;""</f>
        <v>#N/A</v>
      </c>
      <c r="O777" s="150"/>
      <c r="P777" s="149" t="e">
        <f>INDEX(Tableau5[Description],MATCH(Tableau3[[#This Row],[ID-SIG]],Tableau5[ID],0))</f>
        <v>#N/A</v>
      </c>
      <c r="Q777" s="150"/>
      <c r="R777" s="117" t="e">
        <f>Tableau3[[#This Row],[Description]]</f>
        <v>#N/A</v>
      </c>
      <c r="S777" s="75"/>
      <c r="T777" s="75"/>
      <c r="U777" s="151">
        <v>5</v>
      </c>
      <c r="V777" s="151">
        <v>2</v>
      </c>
      <c r="W777" s="151">
        <v>1</v>
      </c>
      <c r="X777" s="151">
        <v>7</v>
      </c>
      <c r="Y777" s="41"/>
      <c r="Z777" s="166" t="str">
        <f>INDEX(Tableau2[TS],MATCH(Tableau3[[#This Row],[ID-CARTEVOIE]],Tableau2[ID-CARTEVOIE],0))</f>
        <v>ST</v>
      </c>
      <c r="AA777" s="81" t="s">
        <v>213</v>
      </c>
      <c r="AB777" s="226" t="str">
        <f>IFERROR(INDEX(Tableau5[Reserve],MATCH(Tableau3[[#This Row],[ID-SIG]],Tableau5[ID],0))&amp;"","")</f>
        <v/>
      </c>
      <c r="AC777" s="119" t="s">
        <v>1456</v>
      </c>
      <c r="AD777" s="120" t="str">
        <f>INDEX(Tableau7[Repere],MATCH(Tableau3[[#This Row],[ID-API]],Tableau7[ID-API],0))&amp;""</f>
        <v>A5</v>
      </c>
      <c r="AE777" s="121" t="str">
        <f>INDEX(Tableau1[Repere-Rack],MATCH(Tableau3[[#This Row],[ID-RACK]],Tableau1[ID-RACK],0))&amp;""</f>
        <v>R2</v>
      </c>
      <c r="AF777" s="121" t="str">
        <f>INDEX(Tableau1[Repere-Slot],MATCH(Tableau3[[#This Row],[ID-SLOT]],Tableau1[ID-SLOT],0))&amp;""</f>
        <v>S1</v>
      </c>
      <c r="AG777" s="121" t="str">
        <f>INDEX(Tableau2[Repere-Voie],MATCH(Tableau3[[#This Row],[ID-VOIE]],Tableau2[ID-Voie],0))&amp;""</f>
        <v>v7</v>
      </c>
      <c r="AH777" s="122" t="str">
        <f>Tableau3[[#This Row],[ID-API]]&amp; "." &amp;Tableau3[[#This Row],[ID-RACK]]&amp; "." &amp;Tableau3[[#This Row],[ID-SLOT]]</f>
        <v>5.2.1</v>
      </c>
      <c r="AI777" s="72" t="str">
        <f>INDEX(Tableau1[Ref-Carte],MATCH(Tableau3[[#This Row],[ID-RRS]],Tableau1[ID-RRS],0))</f>
        <v>SDO0802</v>
      </c>
      <c r="AJ777" s="72" t="str">
        <f t="array" ref="AJ777">IFERROR(INDEX(Tableau2[TS],MATCH(1,(Tableau2[Ref-Carte]=Tableau3[[#This Row],[Ref-Carte2]])*(Tableau2[ID-Voie]=Tableau3[[#This Row],[ID-VOIE]]),0)),"")</f>
        <v>ST</v>
      </c>
      <c r="AK777" s="72" t="str">
        <f>IFERROR(INDEX(Tableau2[TS],SUMPRODUCT((Tableau2[Ref-Carte]=Tableau3[[#This Row],[Ref-Carte2]])*(Tableau2[ID-Voie]=Tableau3[[#This Row],[ID-VOIE]])*ROW(Tableau2[TS]))-ROW(Tableau2[#Headers])),"")</f>
        <v>ST</v>
      </c>
      <c r="AL777" s="122" t="str">
        <f>Tableau3[[#This Row],[Ref-Carte2]]&amp;"/"&amp;Tableau3[[#This Row],[ID-VOIE]]</f>
        <v>SDO0802/7</v>
      </c>
      <c r="AM777" s="123" t="str">
        <f>INDEX(Tableau2[Borne],MATCH(Tableau3[[#This Row],[ID-CARTEVOIE]],Tableau2[ID-CARTEVOIE],0))&amp;""</f>
        <v>7</v>
      </c>
      <c r="AN777" s="124" t="str">
        <f>Tableau3[[#This Row],[ID-API]]&amp;Tableau3[[#This Row],[ID-RACK]]&amp;Tableau3[[#This Row],[ID-SLOT]]&amp;Tableau3[[#This Row],[BORNE]]</f>
        <v>5217</v>
      </c>
      <c r="AO777" s="125"/>
    </row>
    <row r="778" spans="1:41" ht="20.100000000000001" customHeight="1" thickTop="1" thickBot="1">
      <c r="A778" s="68"/>
      <c r="B778" s="69" t="str">
        <f>IFERROR(INDEX(Tableau4[Date],MATCH($A778,Tableau4[EVO],0)),"")</f>
        <v/>
      </c>
      <c r="C778" s="68" t="str">
        <f>IFERROR(INDEX(Tableau4[Designation],MATCH($A778,Tableau4[EVO],0)),"")</f>
        <v/>
      </c>
      <c r="D778" s="68"/>
      <c r="E778" s="70">
        <v>44</v>
      </c>
      <c r="F778" s="71">
        <v>57</v>
      </c>
      <c r="G778" s="101" t="str">
        <f>INDEX(Tableau8[Att1],MATCH(Tableau3[[#This Row],[ID-INS]],Tableau8[ID],0))&amp;""</f>
        <v>B21</v>
      </c>
      <c r="H778" s="101" t="str">
        <f>INDEX(Tableau8[Att2],MATCH(Tableau3[[#This Row],[ID-INS]],Tableau8[ID],0))&amp;""</f>
        <v>PMR3</v>
      </c>
      <c r="I778" s="101" t="str">
        <f>INDEX(Tableau8[Att3],MATCH(Tableau3[[#This Row],[ID-INS]],Tableau8[ID],0))&amp;""</f>
        <v>PMR3</v>
      </c>
      <c r="J778" s="101"/>
      <c r="K778" s="167" t="str">
        <f>INDEX(Tableau8[Nom du modele],MATCH(Tableau3[[#This Row],[ID-INS]],Tableau8[ID],0))&amp;""</f>
        <v>PMR_1</v>
      </c>
      <c r="L778" s="99" t="str">
        <f>INDEX(Tableau5[Att1],MATCH(Tableau3[[#This Row],[ID-SIG]],Tableau5[ID],0))&amp;""</f>
        <v>TS_OuvRet1</v>
      </c>
      <c r="M778" s="99" t="str">
        <f>INDEX(Tableau5[Att2],MATCH(Tableau3[[#This Row],[ID-SIG]],Tableau5[ID],0))&amp;""</f>
        <v/>
      </c>
      <c r="N778" s="99" t="str">
        <f>INDEX(Tableau5[Att3],MATCH(Tableau3[[#This Row],[ID-SIG]],Tableau5[ID],0))&amp;""</f>
        <v/>
      </c>
      <c r="O778" s="99"/>
      <c r="P778" s="99" t="str">
        <f>INDEX(Tableau5[Description],MATCH(Tableau3[[#This Row],[ID-SIG]],Tableau5[ID],0))</f>
        <v>Retour Commande 1 ouverture sortie</v>
      </c>
      <c r="Q778" s="99"/>
      <c r="R778" s="103" t="str">
        <f>Tableau3[[#This Row],[Description]]</f>
        <v>Retour Commande 1 ouverture sortie</v>
      </c>
      <c r="U778" s="87">
        <v>5</v>
      </c>
      <c r="V778" s="87">
        <v>2</v>
      </c>
      <c r="W778" s="87">
        <v>4</v>
      </c>
      <c r="X778" s="87">
        <v>0</v>
      </c>
      <c r="Y778" s="40"/>
      <c r="Z778" s="165" t="str">
        <f>INDEX(Tableau2[TS],MATCH(Tableau3[[#This Row],[ID-CARTEVOIE]],Tableau2[ID-CARTEVOIE],0))</f>
        <v>ET</v>
      </c>
      <c r="AA778" s="53" t="s">
        <v>213</v>
      </c>
      <c r="AB778" s="223" t="str">
        <f>IFERROR(INDEX(Tableau5[Reserve],MATCH(Tableau3[[#This Row],[ID-SIG]],Tableau5[ID],0))&amp;"","")</f>
        <v/>
      </c>
      <c r="AC778" s="21"/>
      <c r="AD778" s="108" t="str">
        <f>INDEX(Tableau7[Repere],MATCH(Tableau3[[#This Row],[ID-API]],Tableau7[ID-API],0))&amp;""</f>
        <v>A5</v>
      </c>
      <c r="AE778" s="108" t="str">
        <f>INDEX(Tableau1[Repere-Rack],MATCH(Tableau3[[#This Row],[ID-RACK]],Tableau1[ID-RACK],0))&amp;""</f>
        <v>R2</v>
      </c>
      <c r="AF778" s="108" t="str">
        <f>INDEX(Tableau1[Repere-Slot],MATCH(Tableau3[[#This Row],[ID-SLOT]],Tableau1[ID-SLOT],0))&amp;""</f>
        <v>S4</v>
      </c>
      <c r="AG778" s="108" t="str">
        <f>INDEX(Tableau2[Repere-Voie],MATCH(Tableau3[[#This Row],[ID-VOIE]],Tableau2[ID-Voie],0))&amp;""</f>
        <v>v0</v>
      </c>
      <c r="AH778" s="72" t="str">
        <f>Tableau3[[#This Row],[ID-API]]&amp; "." &amp;Tableau3[[#This Row],[ID-RACK]]&amp; "." &amp;Tableau3[[#This Row],[ID-SLOT]]</f>
        <v>5.2.4</v>
      </c>
      <c r="AI778" s="72" t="str">
        <f>INDEX(Tableau1[Ref-Carte],MATCH(Tableau3[[#This Row],[ID-RRS]],Tableau1[ID-RRS],0))</f>
        <v>SDI1602</v>
      </c>
      <c r="AJ778" s="72" t="str">
        <f t="array" ref="AJ778">IFERROR(INDEX(Tableau2[TS],MATCH(1,(Tableau2[Ref-Carte]=Tableau3[[#This Row],[Ref-Carte2]])*(Tableau2[ID-Voie]=Tableau3[[#This Row],[ID-VOIE]]),0)),"")</f>
        <v>ET</v>
      </c>
      <c r="AK778" s="72" t="str">
        <f>IFERROR(INDEX(Tableau2[TS],SUMPRODUCT((Tableau2[Ref-Carte]=Tableau3[[#This Row],[Ref-Carte2]])*(Tableau2[ID-Voie]=Tableau3[[#This Row],[ID-VOIE]])*ROW(Tableau2[TS]))-ROW(Tableau2[#Headers])),"")</f>
        <v>ET</v>
      </c>
      <c r="AL778" s="72" t="str">
        <f>Tableau3[[#This Row],[Ref-Carte2]]&amp;"/"&amp;Tableau3[[#This Row],[ID-VOIE]]</f>
        <v>SDI1602/0</v>
      </c>
      <c r="AM778" s="73" t="str">
        <f>INDEX(Tableau2[Borne],MATCH(Tableau3[[#This Row],[ID-CARTEVOIE]],Tableau2[ID-CARTEVOIE],0))&amp;""</f>
        <v>0B</v>
      </c>
      <c r="AN778" s="74" t="str">
        <f>Tableau3[[#This Row],[ID-API]]&amp;Tableau3[[#This Row],[ID-RACK]]&amp;Tableau3[[#This Row],[ID-SLOT]]&amp;Tableau3[[#This Row],[BORNE]]</f>
        <v>5240B</v>
      </c>
      <c r="AO778" s="1"/>
    </row>
    <row r="779" spans="1:41" ht="20.100000000000001" customHeight="1" thickTop="1" thickBot="1">
      <c r="A779" s="68"/>
      <c r="B779" s="69" t="str">
        <f>IFERROR(INDEX(Tableau4[Date],MATCH($A779,Tableau4[EVO],0)),"")</f>
        <v/>
      </c>
      <c r="C779" s="68" t="str">
        <f>IFERROR(INDEX(Tableau4[Designation],MATCH($A779,Tableau4[EVO],0)),"")</f>
        <v/>
      </c>
      <c r="D779" s="68"/>
      <c r="E779" s="70">
        <v>44</v>
      </c>
      <c r="F779" s="71">
        <v>58</v>
      </c>
      <c r="G779" s="101" t="str">
        <f>INDEX(Tableau8[Att1],MATCH(Tableau3[[#This Row],[ID-INS]],Tableau8[ID],0))&amp;""</f>
        <v>B21</v>
      </c>
      <c r="H779" s="101" t="str">
        <f>INDEX(Tableau8[Att2],MATCH(Tableau3[[#This Row],[ID-INS]],Tableau8[ID],0))&amp;""</f>
        <v>PMR3</v>
      </c>
      <c r="I779" s="101" t="str">
        <f>INDEX(Tableau8[Att3],MATCH(Tableau3[[#This Row],[ID-INS]],Tableau8[ID],0))&amp;""</f>
        <v>PMR3</v>
      </c>
      <c r="J779" s="101"/>
      <c r="K779" s="167" t="str">
        <f>INDEX(Tableau8[Nom du modele],MATCH(Tableau3[[#This Row],[ID-INS]],Tableau8[ID],0))&amp;""</f>
        <v>PMR_1</v>
      </c>
      <c r="L779" s="99" t="str">
        <f>INDEX(Tableau5[Att1],MATCH(Tableau3[[#This Row],[ID-SIG]],Tableau5[ID],0))&amp;""</f>
        <v>Réserve</v>
      </c>
      <c r="M779" s="99" t="str">
        <f>INDEX(Tableau5[Att2],MATCH(Tableau3[[#This Row],[ID-SIG]],Tableau5[ID],0))&amp;""</f>
        <v/>
      </c>
      <c r="N779" s="99" t="str">
        <f>INDEX(Tableau5[Att3],MATCH(Tableau3[[#This Row],[ID-SIG]],Tableau5[ID],0))&amp;""</f>
        <v/>
      </c>
      <c r="O779" s="99"/>
      <c r="P779" s="99" t="str">
        <f>INDEX(Tableau5[Description],MATCH(Tableau3[[#This Row],[ID-SIG]],Tableau5[ID],0))</f>
        <v>Réserve</v>
      </c>
      <c r="Q779" s="99"/>
      <c r="R779" s="103" t="str">
        <f>Tableau3[[#This Row],[Description]]</f>
        <v>Réserve</v>
      </c>
      <c r="U779" s="87">
        <v>5</v>
      </c>
      <c r="V779" s="87">
        <v>2</v>
      </c>
      <c r="W779" s="87">
        <v>4</v>
      </c>
      <c r="X779" s="87">
        <v>1</v>
      </c>
      <c r="Y779" s="40"/>
      <c r="Z779" s="165" t="str">
        <f>INDEX(Tableau2[TS],MATCH(Tableau3[[#This Row],[ID-CARTEVOIE]],Tableau2[ID-CARTEVOIE],0))</f>
        <v>ET</v>
      </c>
      <c r="AA779" s="53" t="s">
        <v>213</v>
      </c>
      <c r="AB779" s="223" t="str">
        <f>IFERROR(INDEX(Tableau5[Reserve],MATCH(Tableau3[[#This Row],[ID-SIG]],Tableau5[ID],0))&amp;"","")</f>
        <v/>
      </c>
      <c r="AC779" s="21"/>
      <c r="AD779" s="108" t="str">
        <f>INDEX(Tableau7[Repere],MATCH(Tableau3[[#This Row],[ID-API]],Tableau7[ID-API],0))&amp;""</f>
        <v>A5</v>
      </c>
      <c r="AE779" s="108" t="str">
        <f>INDEX(Tableau1[Repere-Rack],MATCH(Tableau3[[#This Row],[ID-RACK]],Tableau1[ID-RACK],0))&amp;""</f>
        <v>R2</v>
      </c>
      <c r="AF779" s="108" t="str">
        <f>INDEX(Tableau1[Repere-Slot],MATCH(Tableau3[[#This Row],[ID-SLOT]],Tableau1[ID-SLOT],0))&amp;""</f>
        <v>S4</v>
      </c>
      <c r="AG779" s="108" t="str">
        <f>INDEX(Tableau2[Repere-Voie],MATCH(Tableau3[[#This Row],[ID-VOIE]],Tableau2[ID-Voie],0))&amp;""</f>
        <v>v1</v>
      </c>
      <c r="AH779" s="72" t="str">
        <f>Tableau3[[#This Row],[ID-API]]&amp; "." &amp;Tableau3[[#This Row],[ID-RACK]]&amp; "." &amp;Tableau3[[#This Row],[ID-SLOT]]</f>
        <v>5.2.4</v>
      </c>
      <c r="AI779" s="72" t="str">
        <f>INDEX(Tableau1[Ref-Carte],MATCH(Tableau3[[#This Row],[ID-RRS]],Tableau1[ID-RRS],0))</f>
        <v>SDI1602</v>
      </c>
      <c r="AJ779" s="72" t="str">
        <f t="array" ref="AJ779">IFERROR(INDEX(Tableau2[TS],MATCH(1,(Tableau2[Ref-Carte]=Tableau3[[#This Row],[Ref-Carte2]])*(Tableau2[ID-Voie]=Tableau3[[#This Row],[ID-VOIE]]),0)),"")</f>
        <v>ET</v>
      </c>
      <c r="AK779" s="72" t="str">
        <f>IFERROR(INDEX(Tableau2[TS],SUMPRODUCT((Tableau2[Ref-Carte]=Tableau3[[#This Row],[Ref-Carte2]])*(Tableau2[ID-Voie]=Tableau3[[#This Row],[ID-VOIE]])*ROW(Tableau2[TS]))-ROW(Tableau2[#Headers])),"")</f>
        <v>ET</v>
      </c>
      <c r="AL779" s="72" t="str">
        <f>Tableau3[[#This Row],[Ref-Carte2]]&amp;"/"&amp;Tableau3[[#This Row],[ID-VOIE]]</f>
        <v>SDI1602/1</v>
      </c>
      <c r="AM779" s="73" t="str">
        <f>INDEX(Tableau2[Borne],MATCH(Tableau3[[#This Row],[ID-CARTEVOIE]],Tableau2[ID-CARTEVOIE],0))&amp;""</f>
        <v>0A</v>
      </c>
      <c r="AN779" s="74" t="str">
        <f>Tableau3[[#This Row],[ID-API]]&amp;Tableau3[[#This Row],[ID-RACK]]&amp;Tableau3[[#This Row],[ID-SLOT]]&amp;Tableau3[[#This Row],[BORNE]]</f>
        <v>5240A</v>
      </c>
      <c r="AO779" s="1"/>
    </row>
    <row r="780" spans="1:41" ht="20.100000000000001" customHeight="1" thickTop="1" thickBot="1">
      <c r="A780" s="68"/>
      <c r="B780" s="69" t="str">
        <f>IFERROR(INDEX(Tableau4[Date],MATCH($A780,Tableau4[EVO],0)),"")</f>
        <v/>
      </c>
      <c r="C780" s="68" t="str">
        <f>IFERROR(INDEX(Tableau4[Designation],MATCH($A780,Tableau4[EVO],0)),"")</f>
        <v/>
      </c>
      <c r="D780" s="68"/>
      <c r="E780" s="70">
        <v>44</v>
      </c>
      <c r="F780" s="71">
        <v>59</v>
      </c>
      <c r="G780" s="101" t="str">
        <f>INDEX(Tableau8[Att1],MATCH(Tableau3[[#This Row],[ID-INS]],Tableau8[ID],0))&amp;""</f>
        <v>B21</v>
      </c>
      <c r="H780" s="101" t="str">
        <f>INDEX(Tableau8[Att2],MATCH(Tableau3[[#This Row],[ID-INS]],Tableau8[ID],0))&amp;""</f>
        <v>PMR3</v>
      </c>
      <c r="I780" s="101" t="str">
        <f>INDEX(Tableau8[Att3],MATCH(Tableau3[[#This Row],[ID-INS]],Tableau8[ID],0))&amp;""</f>
        <v>PMR3</v>
      </c>
      <c r="J780" s="101"/>
      <c r="K780" s="167" t="str">
        <f>INDEX(Tableau8[Nom du modele],MATCH(Tableau3[[#This Row],[ID-INS]],Tableau8[ID],0))&amp;""</f>
        <v>PMR_1</v>
      </c>
      <c r="L780" s="99" t="str">
        <f>INDEX(Tableau5[Att1],MATCH(Tableau3[[#This Row],[ID-SIG]],Tableau5[ID],0))&amp;""</f>
        <v>T_SynthDef</v>
      </c>
      <c r="M780" s="99" t="str">
        <f>INDEX(Tableau5[Att2],MATCH(Tableau3[[#This Row],[ID-SIG]],Tableau5[ID],0))&amp;""</f>
        <v/>
      </c>
      <c r="N780" s="99" t="str">
        <f>INDEX(Tableau5[Att3],MATCH(Tableau3[[#This Row],[ID-SIG]],Tableau5[ID],0))&amp;""</f>
        <v/>
      </c>
      <c r="O780" s="99"/>
      <c r="P780" s="99" t="str">
        <f>INDEX(Tableau5[Description],MATCH(Tableau3[[#This Row],[ID-SIG]],Tableau5[ID],0))</f>
        <v>Synthèse défaut</v>
      </c>
      <c r="Q780" s="99"/>
      <c r="R780" s="103" t="str">
        <f>Tableau3[[#This Row],[Description]]</f>
        <v>Synthèse défaut</v>
      </c>
      <c r="U780" s="87">
        <v>5</v>
      </c>
      <c r="V780" s="87">
        <v>2</v>
      </c>
      <c r="W780" s="87">
        <v>4</v>
      </c>
      <c r="X780" s="87">
        <v>2</v>
      </c>
      <c r="Y780" s="40"/>
      <c r="Z780" s="165" t="str">
        <f>INDEX(Tableau2[TS],MATCH(Tableau3[[#This Row],[ID-CARTEVOIE]],Tableau2[ID-CARTEVOIE],0))</f>
        <v>ET</v>
      </c>
      <c r="AA780" s="53" t="s">
        <v>213</v>
      </c>
      <c r="AB780" s="223" t="str">
        <f>IFERROR(INDEX(Tableau5[Reserve],MATCH(Tableau3[[#This Row],[ID-SIG]],Tableau5[ID],0))&amp;"","")</f>
        <v/>
      </c>
      <c r="AC780" s="21"/>
      <c r="AD780" s="108" t="str">
        <f>INDEX(Tableau7[Repere],MATCH(Tableau3[[#This Row],[ID-API]],Tableau7[ID-API],0))&amp;""</f>
        <v>A5</v>
      </c>
      <c r="AE780" s="108" t="str">
        <f>INDEX(Tableau1[Repere-Rack],MATCH(Tableau3[[#This Row],[ID-RACK]],Tableau1[ID-RACK],0))&amp;""</f>
        <v>R2</v>
      </c>
      <c r="AF780" s="108" t="str">
        <f>INDEX(Tableau1[Repere-Slot],MATCH(Tableau3[[#This Row],[ID-SLOT]],Tableau1[ID-SLOT],0))&amp;""</f>
        <v>S4</v>
      </c>
      <c r="AG780" s="108" t="str">
        <f>INDEX(Tableau2[Repere-Voie],MATCH(Tableau3[[#This Row],[ID-VOIE]],Tableau2[ID-Voie],0))&amp;""</f>
        <v>v2</v>
      </c>
      <c r="AH780" s="72" t="str">
        <f>Tableau3[[#This Row],[ID-API]]&amp; "." &amp;Tableau3[[#This Row],[ID-RACK]]&amp; "." &amp;Tableau3[[#This Row],[ID-SLOT]]</f>
        <v>5.2.4</v>
      </c>
      <c r="AI780" s="72" t="str">
        <f>INDEX(Tableau1[Ref-Carte],MATCH(Tableau3[[#This Row],[ID-RRS]],Tableau1[ID-RRS],0))</f>
        <v>SDI1602</v>
      </c>
      <c r="AJ780" s="72" t="str">
        <f t="array" ref="AJ780">IFERROR(INDEX(Tableau2[TS],MATCH(1,(Tableau2[Ref-Carte]=Tableau3[[#This Row],[Ref-Carte2]])*(Tableau2[ID-Voie]=Tableau3[[#This Row],[ID-VOIE]]),0)),"")</f>
        <v>ET</v>
      </c>
      <c r="AK780" s="72" t="str">
        <f>IFERROR(INDEX(Tableau2[TS],SUMPRODUCT((Tableau2[Ref-Carte]=Tableau3[[#This Row],[Ref-Carte2]])*(Tableau2[ID-Voie]=Tableau3[[#This Row],[ID-VOIE]])*ROW(Tableau2[TS]))-ROW(Tableau2[#Headers])),"")</f>
        <v>ET</v>
      </c>
      <c r="AL780" s="72" t="str">
        <f>Tableau3[[#This Row],[Ref-Carte2]]&amp;"/"&amp;Tableau3[[#This Row],[ID-VOIE]]</f>
        <v>SDI1602/2</v>
      </c>
      <c r="AM780" s="73" t="str">
        <f>INDEX(Tableau2[Borne],MATCH(Tableau3[[#This Row],[ID-CARTEVOIE]],Tableau2[ID-CARTEVOIE],0))&amp;""</f>
        <v>1B</v>
      </c>
      <c r="AN780" s="74" t="str">
        <f>Tableau3[[#This Row],[ID-API]]&amp;Tableau3[[#This Row],[ID-RACK]]&amp;Tableau3[[#This Row],[ID-SLOT]]&amp;Tableau3[[#This Row],[BORNE]]</f>
        <v>5241B</v>
      </c>
      <c r="AO780" s="1"/>
    </row>
    <row r="781" spans="1:41" ht="20.100000000000001" customHeight="1" thickTop="1" thickBot="1">
      <c r="A781" s="68"/>
      <c r="B781" s="69" t="str">
        <f>IFERROR(INDEX(Tableau4[Date],MATCH($A781,Tableau4[EVO],0)),"")</f>
        <v/>
      </c>
      <c r="C781" s="68" t="str">
        <f>IFERROR(INDEX(Tableau4[Designation],MATCH($A781,Tableau4[EVO],0)),"")</f>
        <v/>
      </c>
      <c r="D781" s="68"/>
      <c r="E781" s="70">
        <v>44</v>
      </c>
      <c r="F781" s="71">
        <v>60</v>
      </c>
      <c r="G781" s="101" t="str">
        <f>INDEX(Tableau8[Att1],MATCH(Tableau3[[#This Row],[ID-INS]],Tableau8[ID],0))&amp;""</f>
        <v>B21</v>
      </c>
      <c r="H781" s="101" t="str">
        <f>INDEX(Tableau8[Att2],MATCH(Tableau3[[#This Row],[ID-INS]],Tableau8[ID],0))&amp;""</f>
        <v>PMR3</v>
      </c>
      <c r="I781" s="101" t="str">
        <f>INDEX(Tableau8[Att3],MATCH(Tableau3[[#This Row],[ID-INS]],Tableau8[ID],0))&amp;""</f>
        <v>PMR3</v>
      </c>
      <c r="J781" s="101"/>
      <c r="K781" s="167" t="str">
        <f>INDEX(Tableau8[Nom du modele],MATCH(Tableau3[[#This Row],[ID-INS]],Tableau8[ID],0))&amp;""</f>
        <v>PMR_1</v>
      </c>
      <c r="L781" s="99" t="str">
        <f>INDEX(Tableau5[Att1],MATCH(Tableau3[[#This Row],[ID-SIG]],Tableau5[ID],0))&amp;""</f>
        <v>Effraction</v>
      </c>
      <c r="M781" s="99" t="str">
        <f>INDEX(Tableau5[Att2],MATCH(Tableau3[[#This Row],[ID-SIG]],Tableau5[ID],0))&amp;""</f>
        <v/>
      </c>
      <c r="N781" s="99" t="str">
        <f>INDEX(Tableau5[Att3],MATCH(Tableau3[[#This Row],[ID-SIG]],Tableau5[ID],0))&amp;""</f>
        <v/>
      </c>
      <c r="O781" s="99"/>
      <c r="P781" s="99" t="str">
        <f>INDEX(Tableau5[Description],MATCH(Tableau3[[#This Row],[ID-SIG]],Tableau5[ID],0))</f>
        <v>Effraction</v>
      </c>
      <c r="Q781" s="99"/>
      <c r="R781" s="103" t="str">
        <f>Tableau3[[#This Row],[Description]]</f>
        <v>Effraction</v>
      </c>
      <c r="U781" s="87">
        <v>5</v>
      </c>
      <c r="V781" s="87">
        <v>2</v>
      </c>
      <c r="W781" s="87">
        <v>4</v>
      </c>
      <c r="X781" s="87">
        <v>3</v>
      </c>
      <c r="Y781" s="40"/>
      <c r="Z781" s="165" t="str">
        <f>INDEX(Tableau2[TS],MATCH(Tableau3[[#This Row],[ID-CARTEVOIE]],Tableau2[ID-CARTEVOIE],0))</f>
        <v>ET</v>
      </c>
      <c r="AA781" s="53" t="s">
        <v>213</v>
      </c>
      <c r="AB781" s="223" t="str">
        <f>IFERROR(INDEX(Tableau5[Reserve],MATCH(Tableau3[[#This Row],[ID-SIG]],Tableau5[ID],0))&amp;"","")</f>
        <v/>
      </c>
      <c r="AC781" s="21"/>
      <c r="AD781" s="108" t="str">
        <f>INDEX(Tableau7[Repere],MATCH(Tableau3[[#This Row],[ID-API]],Tableau7[ID-API],0))&amp;""</f>
        <v>A5</v>
      </c>
      <c r="AE781" s="108" t="str">
        <f>INDEX(Tableau1[Repere-Rack],MATCH(Tableau3[[#This Row],[ID-RACK]],Tableau1[ID-RACK],0))&amp;""</f>
        <v>R2</v>
      </c>
      <c r="AF781" s="108" t="str">
        <f>INDEX(Tableau1[Repere-Slot],MATCH(Tableau3[[#This Row],[ID-SLOT]],Tableau1[ID-SLOT],0))&amp;""</f>
        <v>S4</v>
      </c>
      <c r="AG781" s="108" t="str">
        <f>INDEX(Tableau2[Repere-Voie],MATCH(Tableau3[[#This Row],[ID-VOIE]],Tableau2[ID-Voie],0))&amp;""</f>
        <v>v3</v>
      </c>
      <c r="AH781" s="72" t="str">
        <f>Tableau3[[#This Row],[ID-API]]&amp; "." &amp;Tableau3[[#This Row],[ID-RACK]]&amp; "." &amp;Tableau3[[#This Row],[ID-SLOT]]</f>
        <v>5.2.4</v>
      </c>
      <c r="AI781" s="72" t="str">
        <f>INDEX(Tableau1[Ref-Carte],MATCH(Tableau3[[#This Row],[ID-RRS]],Tableau1[ID-RRS],0))</f>
        <v>SDI1602</v>
      </c>
      <c r="AJ781" s="72" t="str">
        <f t="array" ref="AJ781">IFERROR(INDEX(Tableau2[TS],MATCH(1,(Tableau2[Ref-Carte]=Tableau3[[#This Row],[Ref-Carte2]])*(Tableau2[ID-Voie]=Tableau3[[#This Row],[ID-VOIE]]),0)),"")</f>
        <v>ET</v>
      </c>
      <c r="AK781" s="72" t="str">
        <f>IFERROR(INDEX(Tableau2[TS],SUMPRODUCT((Tableau2[Ref-Carte]=Tableau3[[#This Row],[Ref-Carte2]])*(Tableau2[ID-Voie]=Tableau3[[#This Row],[ID-VOIE]])*ROW(Tableau2[TS]))-ROW(Tableau2[#Headers])),"")</f>
        <v>ET</v>
      </c>
      <c r="AL781" s="72" t="str">
        <f>Tableau3[[#This Row],[Ref-Carte2]]&amp;"/"&amp;Tableau3[[#This Row],[ID-VOIE]]</f>
        <v>SDI1602/3</v>
      </c>
      <c r="AM781" s="73" t="str">
        <f>INDEX(Tableau2[Borne],MATCH(Tableau3[[#This Row],[ID-CARTEVOIE]],Tableau2[ID-CARTEVOIE],0))&amp;""</f>
        <v>1A</v>
      </c>
      <c r="AN781" s="74" t="str">
        <f>Tableau3[[#This Row],[ID-API]]&amp;Tableau3[[#This Row],[ID-RACK]]&amp;Tableau3[[#This Row],[ID-SLOT]]&amp;Tableau3[[#This Row],[BORNE]]</f>
        <v>5241A</v>
      </c>
      <c r="AO781" s="1"/>
    </row>
    <row r="782" spans="1:41" ht="20.100000000000001" customHeight="1" thickTop="1" thickBot="1">
      <c r="A782" s="68"/>
      <c r="B782" s="69" t="str">
        <f>IFERROR(INDEX(Tableau4[Date],MATCH($A782,Tableau4[EVO],0)),"")</f>
        <v/>
      </c>
      <c r="C782" s="68" t="str">
        <f>IFERROR(INDEX(Tableau4[Designation],MATCH($A782,Tableau4[EVO],0)),"")</f>
        <v/>
      </c>
      <c r="D782" s="68"/>
      <c r="E782" s="70">
        <v>56</v>
      </c>
      <c r="F782" s="71">
        <v>29</v>
      </c>
      <c r="G782" s="101" t="str">
        <f>INDEX(Tableau8[Att1],MATCH(Tableau3[[#This Row],[ID-INS]],Tableau8[ID],0))&amp;""</f>
        <v>B21</v>
      </c>
      <c r="H782" s="101" t="str">
        <f>INDEX(Tableau8[Att2],MATCH(Tableau3[[#This Row],[ID-INS]],Tableau8[ID],0))&amp;""</f>
        <v>TRSD1</v>
      </c>
      <c r="I782" s="101" t="str">
        <f>INDEX(Tableau8[Att3],MATCH(Tableau3[[#This Row],[ID-INS]],Tableau8[ID],0))&amp;""</f>
        <v>Tourniquet TRSD1</v>
      </c>
      <c r="J782" s="101"/>
      <c r="K782" s="167" t="str">
        <f>INDEX(Tableau8[Nom du modele],MATCH(Tableau3[[#This Row],[ID-INS]],Tableau8[ID],0))&amp;""</f>
        <v>TRSD_1</v>
      </c>
      <c r="L782" s="99" t="str">
        <f>INDEX(Tableau5[Att1],MATCH(Tableau3[[#This Row],[ID-SIG]],Tableau5[ID],0))&amp;""</f>
        <v>T1S_OuvRet2</v>
      </c>
      <c r="M782" s="99" t="str">
        <f>INDEX(Tableau5[Att2],MATCH(Tableau3[[#This Row],[ID-SIG]],Tableau5[ID],0))&amp;""</f>
        <v/>
      </c>
      <c r="N782" s="99" t="str">
        <f>INDEX(Tableau5[Att3],MATCH(Tableau3[[#This Row],[ID-SIG]],Tableau5[ID],0))&amp;""</f>
        <v/>
      </c>
      <c r="O782" s="99"/>
      <c r="P782" s="99" t="str">
        <f>INDEX(Tableau5[Description],MATCH(Tableau3[[#This Row],[ID-SIG]],Tableau5[ID],0))</f>
        <v>Retour Commande 2 ouverture sortie 1</v>
      </c>
      <c r="Q782" s="99"/>
      <c r="R782" s="103" t="str">
        <f>Tableau3[[#This Row],[Description]]</f>
        <v>Retour Commande 2 ouverture sortie 1</v>
      </c>
      <c r="U782" s="87">
        <v>5</v>
      </c>
      <c r="V782" s="87">
        <v>2</v>
      </c>
      <c r="W782" s="87">
        <v>4</v>
      </c>
      <c r="X782" s="87">
        <v>4</v>
      </c>
      <c r="Y782" s="40"/>
      <c r="Z782" s="165" t="str">
        <f>INDEX(Tableau2[TS],MATCH(Tableau3[[#This Row],[ID-CARTEVOIE]],Tableau2[ID-CARTEVOIE],0))</f>
        <v>ET</v>
      </c>
      <c r="AA782" s="53" t="s">
        <v>213</v>
      </c>
      <c r="AB782" s="223" t="str">
        <f>IFERROR(INDEX(Tableau5[Reserve],MATCH(Tableau3[[#This Row],[ID-SIG]],Tableau5[ID],0))&amp;"","")</f>
        <v/>
      </c>
      <c r="AC782" s="21"/>
      <c r="AD782" s="108" t="str">
        <f>INDEX(Tableau7[Repere],MATCH(Tableau3[[#This Row],[ID-API]],Tableau7[ID-API],0))&amp;""</f>
        <v>A5</v>
      </c>
      <c r="AE782" s="108" t="str">
        <f>INDEX(Tableau1[Repere-Rack],MATCH(Tableau3[[#This Row],[ID-RACK]],Tableau1[ID-RACK],0))&amp;""</f>
        <v>R2</v>
      </c>
      <c r="AF782" s="108" t="str">
        <f>INDEX(Tableau1[Repere-Slot],MATCH(Tableau3[[#This Row],[ID-SLOT]],Tableau1[ID-SLOT],0))&amp;""</f>
        <v>S4</v>
      </c>
      <c r="AG782" s="108" t="str">
        <f>INDEX(Tableau2[Repere-Voie],MATCH(Tableau3[[#This Row],[ID-VOIE]],Tableau2[ID-Voie],0))&amp;""</f>
        <v>v4</v>
      </c>
      <c r="AH782" s="72" t="str">
        <f>Tableau3[[#This Row],[ID-API]]&amp; "." &amp;Tableau3[[#This Row],[ID-RACK]]&amp; "." &amp;Tableau3[[#This Row],[ID-SLOT]]</f>
        <v>5.2.4</v>
      </c>
      <c r="AI782" s="72" t="str">
        <f>INDEX(Tableau1[Ref-Carte],MATCH(Tableau3[[#This Row],[ID-RRS]],Tableau1[ID-RRS],0))</f>
        <v>SDI1602</v>
      </c>
      <c r="AJ782" s="72" t="str">
        <f t="array" ref="AJ782">IFERROR(INDEX(Tableau2[TS],MATCH(1,(Tableau2[Ref-Carte]=Tableau3[[#This Row],[Ref-Carte2]])*(Tableau2[ID-Voie]=Tableau3[[#This Row],[ID-VOIE]]),0)),"")</f>
        <v>ET</v>
      </c>
      <c r="AK782" s="72" t="str">
        <f>IFERROR(INDEX(Tableau2[TS],SUMPRODUCT((Tableau2[Ref-Carte]=Tableau3[[#This Row],[Ref-Carte2]])*(Tableau2[ID-Voie]=Tableau3[[#This Row],[ID-VOIE]])*ROW(Tableau2[TS]))-ROW(Tableau2[#Headers])),"")</f>
        <v>ET</v>
      </c>
      <c r="AL782" s="72" t="str">
        <f>Tableau3[[#This Row],[Ref-Carte2]]&amp;"/"&amp;Tableau3[[#This Row],[ID-VOIE]]</f>
        <v>SDI1602/4</v>
      </c>
      <c r="AM782" s="73" t="str">
        <f>INDEX(Tableau2[Borne],MATCH(Tableau3[[#This Row],[ID-CARTEVOIE]],Tableau2[ID-CARTEVOIE],0))&amp;""</f>
        <v>2B</v>
      </c>
      <c r="AN782" s="74" t="str">
        <f>Tableau3[[#This Row],[ID-API]]&amp;Tableau3[[#This Row],[ID-RACK]]&amp;Tableau3[[#This Row],[ID-SLOT]]&amp;Tableau3[[#This Row],[BORNE]]</f>
        <v>5242B</v>
      </c>
      <c r="AO782" s="1"/>
    </row>
    <row r="783" spans="1:41" ht="20.100000000000001" customHeight="1" thickTop="1" thickBot="1">
      <c r="A783" s="68"/>
      <c r="B783" s="69" t="str">
        <f>IFERROR(INDEX(Tableau4[Date],MATCH($A783,Tableau4[EVO],0)),"")</f>
        <v/>
      </c>
      <c r="C783" s="68" t="str">
        <f>IFERROR(INDEX(Tableau4[Designation],MATCH($A783,Tableau4[EVO],0)),"")</f>
        <v/>
      </c>
      <c r="D783" s="68"/>
      <c r="E783" s="70">
        <v>56</v>
      </c>
      <c r="F783" s="71">
        <v>40</v>
      </c>
      <c r="G783" s="101" t="str">
        <f>INDEX(Tableau8[Att1],MATCH(Tableau3[[#This Row],[ID-INS]],Tableau8[ID],0))&amp;""</f>
        <v>B21</v>
      </c>
      <c r="H783" s="101" t="str">
        <f>INDEX(Tableau8[Att2],MATCH(Tableau3[[#This Row],[ID-INS]],Tableau8[ID],0))&amp;""</f>
        <v>TRSD1</v>
      </c>
      <c r="I783" s="101" t="str">
        <f>INDEX(Tableau8[Att3],MATCH(Tableau3[[#This Row],[ID-INS]],Tableau8[ID],0))&amp;""</f>
        <v>Tourniquet TRSD1</v>
      </c>
      <c r="J783" s="101"/>
      <c r="K783" s="167" t="str">
        <f>INDEX(Tableau8[Nom du modele],MATCH(Tableau3[[#This Row],[ID-INS]],Tableau8[ID],0))&amp;""</f>
        <v>TRSD_1</v>
      </c>
      <c r="L783" s="99" t="str">
        <f>INDEX(Tableau5[Att1],MATCH(Tableau3[[#This Row],[ID-SIG]],Tableau5[ID],0))&amp;""</f>
        <v>T1E_PassageOK</v>
      </c>
      <c r="M783" s="99" t="str">
        <f>INDEX(Tableau5[Att2],MATCH(Tableau3[[#This Row],[ID-SIG]],Tableau5[ID],0))&amp;""</f>
        <v/>
      </c>
      <c r="N783" s="99" t="str">
        <f>INDEX(Tableau5[Att3],MATCH(Tableau3[[#This Row],[ID-SIG]],Tableau5[ID],0))&amp;""</f>
        <v/>
      </c>
      <c r="O783" s="99"/>
      <c r="P783" s="99" t="str">
        <f>INDEX(Tableau5[Description],MATCH(Tableau3[[#This Row],[ID-SIG]],Tableau5[ID],0))</f>
        <v>Passage effectuée entrée 1</v>
      </c>
      <c r="Q783" s="99"/>
      <c r="R783" s="103" t="str">
        <f>Tableau3[[#This Row],[Description]]</f>
        <v>Passage effectuée entrée 1</v>
      </c>
      <c r="U783" s="87">
        <v>5</v>
      </c>
      <c r="V783" s="87">
        <v>2</v>
      </c>
      <c r="W783" s="87">
        <v>4</v>
      </c>
      <c r="X783" s="87">
        <v>5</v>
      </c>
      <c r="Y783" s="40"/>
      <c r="Z783" s="165" t="str">
        <f>INDEX(Tableau2[TS],MATCH(Tableau3[[#This Row],[ID-CARTEVOIE]],Tableau2[ID-CARTEVOIE],0))</f>
        <v>ET</v>
      </c>
      <c r="AA783" s="53" t="s">
        <v>213</v>
      </c>
      <c r="AB783" s="223" t="str">
        <f>IFERROR(INDEX(Tableau5[Reserve],MATCH(Tableau3[[#This Row],[ID-SIG]],Tableau5[ID],0))&amp;"","")</f>
        <v/>
      </c>
      <c r="AC783" s="21"/>
      <c r="AD783" s="108" t="str">
        <f>INDEX(Tableau7[Repere],MATCH(Tableau3[[#This Row],[ID-API]],Tableau7[ID-API],0))&amp;""</f>
        <v>A5</v>
      </c>
      <c r="AE783" s="108" t="str">
        <f>INDEX(Tableau1[Repere-Rack],MATCH(Tableau3[[#This Row],[ID-RACK]],Tableau1[ID-RACK],0))&amp;""</f>
        <v>R2</v>
      </c>
      <c r="AF783" s="108" t="str">
        <f>INDEX(Tableau1[Repere-Slot],MATCH(Tableau3[[#This Row],[ID-SLOT]],Tableau1[ID-SLOT],0))&amp;""</f>
        <v>S4</v>
      </c>
      <c r="AG783" s="108" t="str">
        <f>INDEX(Tableau2[Repere-Voie],MATCH(Tableau3[[#This Row],[ID-VOIE]],Tableau2[ID-Voie],0))&amp;""</f>
        <v>v5</v>
      </c>
      <c r="AH783" s="72" t="str">
        <f>Tableau3[[#This Row],[ID-API]]&amp; "." &amp;Tableau3[[#This Row],[ID-RACK]]&amp; "." &amp;Tableau3[[#This Row],[ID-SLOT]]</f>
        <v>5.2.4</v>
      </c>
      <c r="AI783" s="72" t="str">
        <f>INDEX(Tableau1[Ref-Carte],MATCH(Tableau3[[#This Row],[ID-RRS]],Tableau1[ID-RRS],0))</f>
        <v>SDI1602</v>
      </c>
      <c r="AJ783" s="72" t="str">
        <f t="array" ref="AJ783">IFERROR(INDEX(Tableau2[TS],MATCH(1,(Tableau2[Ref-Carte]=Tableau3[[#This Row],[Ref-Carte2]])*(Tableau2[ID-Voie]=Tableau3[[#This Row],[ID-VOIE]]),0)),"")</f>
        <v>ET</v>
      </c>
      <c r="AK783" s="72" t="str">
        <f>IFERROR(INDEX(Tableau2[TS],SUMPRODUCT((Tableau2[Ref-Carte]=Tableau3[[#This Row],[Ref-Carte2]])*(Tableau2[ID-Voie]=Tableau3[[#This Row],[ID-VOIE]])*ROW(Tableau2[TS]))-ROW(Tableau2[#Headers])),"")</f>
        <v>ET</v>
      </c>
      <c r="AL783" s="72" t="str">
        <f>Tableau3[[#This Row],[Ref-Carte2]]&amp;"/"&amp;Tableau3[[#This Row],[ID-VOIE]]</f>
        <v>SDI1602/5</v>
      </c>
      <c r="AM783" s="73" t="str">
        <f>INDEX(Tableau2[Borne],MATCH(Tableau3[[#This Row],[ID-CARTEVOIE]],Tableau2[ID-CARTEVOIE],0))&amp;""</f>
        <v>2A</v>
      </c>
      <c r="AN783" s="74" t="str">
        <f>Tableau3[[#This Row],[ID-API]]&amp;Tableau3[[#This Row],[ID-RACK]]&amp;Tableau3[[#This Row],[ID-SLOT]]&amp;Tableau3[[#This Row],[BORNE]]</f>
        <v>5242A</v>
      </c>
      <c r="AO783" s="1"/>
    </row>
    <row r="784" spans="1:41" ht="20.100000000000001" customHeight="1" thickTop="1" thickBot="1">
      <c r="A784" s="68"/>
      <c r="B784" s="69" t="str">
        <f>IFERROR(INDEX(Tableau4[Date],MATCH($A784,Tableau4[EVO],0)),"")</f>
        <v/>
      </c>
      <c r="C784" s="68" t="str">
        <f>IFERROR(INDEX(Tableau4[Designation],MATCH($A784,Tableau4[EVO],0)),"")</f>
        <v/>
      </c>
      <c r="D784" s="68"/>
      <c r="E784" s="70">
        <v>56</v>
      </c>
      <c r="F784" s="71">
        <v>41</v>
      </c>
      <c r="G784" s="101" t="str">
        <f>INDEX(Tableau8[Att1],MATCH(Tableau3[[#This Row],[ID-INS]],Tableau8[ID],0))&amp;""</f>
        <v>B21</v>
      </c>
      <c r="H784" s="101" t="str">
        <f>INDEX(Tableau8[Att2],MATCH(Tableau3[[#This Row],[ID-INS]],Tableau8[ID],0))&amp;""</f>
        <v>TRSD1</v>
      </c>
      <c r="I784" s="101" t="str">
        <f>INDEX(Tableau8[Att3],MATCH(Tableau3[[#This Row],[ID-INS]],Tableau8[ID],0))&amp;""</f>
        <v>Tourniquet TRSD1</v>
      </c>
      <c r="J784" s="101"/>
      <c r="K784" s="167" t="str">
        <f>INDEX(Tableau8[Nom du modele],MATCH(Tableau3[[#This Row],[ID-INS]],Tableau8[ID],0))&amp;""</f>
        <v>TRSD_1</v>
      </c>
      <c r="L784" s="99" t="str">
        <f>INDEX(Tableau5[Att1],MATCH(Tableau3[[#This Row],[ID-SIG]],Tableau5[ID],0))&amp;""</f>
        <v>T1S_PassageOK</v>
      </c>
      <c r="M784" s="99" t="str">
        <f>INDEX(Tableau5[Att2],MATCH(Tableau3[[#This Row],[ID-SIG]],Tableau5[ID],0))&amp;""</f>
        <v/>
      </c>
      <c r="N784" s="99" t="str">
        <f>INDEX(Tableau5[Att3],MATCH(Tableau3[[#This Row],[ID-SIG]],Tableau5[ID],0))&amp;""</f>
        <v/>
      </c>
      <c r="O784" s="99"/>
      <c r="P784" s="99" t="str">
        <f>INDEX(Tableau5[Description],MATCH(Tableau3[[#This Row],[ID-SIG]],Tableau5[ID],0))</f>
        <v>Passage effectuée sortie 1</v>
      </c>
      <c r="Q784" s="99"/>
      <c r="R784" s="103" t="str">
        <f>Tableau3[[#This Row],[Description]]</f>
        <v>Passage effectuée sortie 1</v>
      </c>
      <c r="U784" s="87">
        <v>5</v>
      </c>
      <c r="V784" s="87">
        <v>2</v>
      </c>
      <c r="W784" s="87">
        <v>4</v>
      </c>
      <c r="X784" s="87">
        <v>6</v>
      </c>
      <c r="Y784" s="40"/>
      <c r="Z784" s="165" t="str">
        <f>INDEX(Tableau2[TS],MATCH(Tableau3[[#This Row],[ID-CARTEVOIE]],Tableau2[ID-CARTEVOIE],0))</f>
        <v>ET</v>
      </c>
      <c r="AA784" s="53" t="s">
        <v>213</v>
      </c>
      <c r="AB784" s="223" t="str">
        <f>IFERROR(INDEX(Tableau5[Reserve],MATCH(Tableau3[[#This Row],[ID-SIG]],Tableau5[ID],0))&amp;"","")</f>
        <v/>
      </c>
      <c r="AC784" s="21"/>
      <c r="AD784" s="108" t="str">
        <f>INDEX(Tableau7[Repere],MATCH(Tableau3[[#This Row],[ID-API]],Tableau7[ID-API],0))&amp;""</f>
        <v>A5</v>
      </c>
      <c r="AE784" s="108" t="str">
        <f>INDEX(Tableau1[Repere-Rack],MATCH(Tableau3[[#This Row],[ID-RACK]],Tableau1[ID-RACK],0))&amp;""</f>
        <v>R2</v>
      </c>
      <c r="AF784" s="108" t="str">
        <f>INDEX(Tableau1[Repere-Slot],MATCH(Tableau3[[#This Row],[ID-SLOT]],Tableau1[ID-SLOT],0))&amp;""</f>
        <v>S4</v>
      </c>
      <c r="AG784" s="108" t="str">
        <f>INDEX(Tableau2[Repere-Voie],MATCH(Tableau3[[#This Row],[ID-VOIE]],Tableau2[ID-Voie],0))&amp;""</f>
        <v>v6</v>
      </c>
      <c r="AH784" s="72" t="str">
        <f>Tableau3[[#This Row],[ID-API]]&amp; "." &amp;Tableau3[[#This Row],[ID-RACK]]&amp; "." &amp;Tableau3[[#This Row],[ID-SLOT]]</f>
        <v>5.2.4</v>
      </c>
      <c r="AI784" s="72" t="str">
        <f>INDEX(Tableau1[Ref-Carte],MATCH(Tableau3[[#This Row],[ID-RRS]],Tableau1[ID-RRS],0))</f>
        <v>SDI1602</v>
      </c>
      <c r="AJ784" s="72" t="str">
        <f t="array" ref="AJ784">IFERROR(INDEX(Tableau2[TS],MATCH(1,(Tableau2[Ref-Carte]=Tableau3[[#This Row],[Ref-Carte2]])*(Tableau2[ID-Voie]=Tableau3[[#This Row],[ID-VOIE]]),0)),"")</f>
        <v>ET</v>
      </c>
      <c r="AK784" s="72" t="str">
        <f>IFERROR(INDEX(Tableau2[TS],SUMPRODUCT((Tableau2[Ref-Carte]=Tableau3[[#This Row],[Ref-Carte2]])*(Tableau2[ID-Voie]=Tableau3[[#This Row],[ID-VOIE]])*ROW(Tableau2[TS]))-ROW(Tableau2[#Headers])),"")</f>
        <v>ET</v>
      </c>
      <c r="AL784" s="72" t="str">
        <f>Tableau3[[#This Row],[Ref-Carte2]]&amp;"/"&amp;Tableau3[[#This Row],[ID-VOIE]]</f>
        <v>SDI1602/6</v>
      </c>
      <c r="AM784" s="73" t="str">
        <f>INDEX(Tableau2[Borne],MATCH(Tableau3[[#This Row],[ID-CARTEVOIE]],Tableau2[ID-CARTEVOIE],0))&amp;""</f>
        <v>3B</v>
      </c>
      <c r="AN784" s="74" t="str">
        <f>Tableau3[[#This Row],[ID-API]]&amp;Tableau3[[#This Row],[ID-RACK]]&amp;Tableau3[[#This Row],[ID-SLOT]]&amp;Tableau3[[#This Row],[BORNE]]</f>
        <v>5243B</v>
      </c>
      <c r="AO784" s="1"/>
    </row>
    <row r="785" spans="1:41" ht="20.100000000000001" customHeight="1" thickTop="1" thickBot="1">
      <c r="A785" s="68"/>
      <c r="B785" s="69" t="str">
        <f>IFERROR(INDEX(Tableau4[Date],MATCH($A785,Tableau4[EVO],0)),"")</f>
        <v/>
      </c>
      <c r="C785" s="68" t="str">
        <f>IFERROR(INDEX(Tableau4[Designation],MATCH($A785,Tableau4[EVO],0)),"")</f>
        <v/>
      </c>
      <c r="D785" s="68"/>
      <c r="E785" s="70">
        <v>56</v>
      </c>
      <c r="F785" s="71">
        <v>44</v>
      </c>
      <c r="G785" s="101" t="str">
        <f>INDEX(Tableau8[Att1],MATCH(Tableau3[[#This Row],[ID-INS]],Tableau8[ID],0))&amp;""</f>
        <v>B21</v>
      </c>
      <c r="H785" s="101" t="str">
        <f>INDEX(Tableau8[Att2],MATCH(Tableau3[[#This Row],[ID-INS]],Tableau8[ID],0))&amp;""</f>
        <v>TRSD1</v>
      </c>
      <c r="I785" s="101"/>
      <c r="J785" s="101"/>
      <c r="K785" s="167" t="str">
        <f>INDEX(Tableau8[Nom du modele],MATCH(Tableau3[[#This Row],[ID-INS]],Tableau8[ID],0))&amp;""</f>
        <v>TRSD_1</v>
      </c>
      <c r="L785" s="99" t="str">
        <f>INDEX(Tableau5[Att1],MATCH(Tableau3[[#This Row],[ID-SIG]],Tableau5[ID],0))&amp;""</f>
        <v>T1_SynthDef</v>
      </c>
      <c r="M785" s="99" t="str">
        <f>INDEX(Tableau5[Att2],MATCH(Tableau3[[#This Row],[ID-SIG]],Tableau5[ID],0))&amp;""</f>
        <v/>
      </c>
      <c r="N785" s="99" t="str">
        <f>INDEX(Tableau5[Att3],MATCH(Tableau3[[#This Row],[ID-SIG]],Tableau5[ID],0))&amp;""</f>
        <v/>
      </c>
      <c r="O785" s="99"/>
      <c r="P785" s="99" t="str">
        <f>INDEX(Tableau5[Description],MATCH(Tableau3[[#This Row],[ID-SIG]],Tableau5[ID],0))</f>
        <v>Synthèse défaut entrée 1</v>
      </c>
      <c r="Q785" s="99"/>
      <c r="R785" s="103" t="str">
        <f>Tableau3[[#This Row],[Description]]</f>
        <v>Synthèse défaut entrée 1</v>
      </c>
      <c r="U785" s="87">
        <v>5</v>
      </c>
      <c r="V785" s="87">
        <v>2</v>
      </c>
      <c r="W785" s="87">
        <v>4</v>
      </c>
      <c r="X785" s="87">
        <v>7</v>
      </c>
      <c r="Y785" s="40"/>
      <c r="Z785" s="165" t="str">
        <f>INDEX(Tableau2[TS],MATCH(Tableau3[[#This Row],[ID-CARTEVOIE]],Tableau2[ID-CARTEVOIE],0))</f>
        <v>ET</v>
      </c>
      <c r="AA785" s="53" t="s">
        <v>213</v>
      </c>
      <c r="AB785" s="223" t="str">
        <f>IFERROR(INDEX(Tableau5[Reserve],MATCH(Tableau3[[#This Row],[ID-SIG]],Tableau5[ID],0))&amp;"","")</f>
        <v/>
      </c>
      <c r="AC785" s="21"/>
      <c r="AD785" s="108" t="str">
        <f>INDEX(Tableau7[Repere],MATCH(Tableau3[[#This Row],[ID-API]],Tableau7[ID-API],0))&amp;""</f>
        <v>A5</v>
      </c>
      <c r="AE785" s="108" t="str">
        <f>INDEX(Tableau1[Repere-Rack],MATCH(Tableau3[[#This Row],[ID-RACK]],Tableau1[ID-RACK],0))&amp;""</f>
        <v>R2</v>
      </c>
      <c r="AF785" s="108" t="str">
        <f>INDEX(Tableau1[Repere-Slot],MATCH(Tableau3[[#This Row],[ID-SLOT]],Tableau1[ID-SLOT],0))&amp;""</f>
        <v>S4</v>
      </c>
      <c r="AG785" s="108" t="str">
        <f>INDEX(Tableau2[Repere-Voie],MATCH(Tableau3[[#This Row],[ID-VOIE]],Tableau2[ID-Voie],0))&amp;""</f>
        <v>v7</v>
      </c>
      <c r="AH785" s="72" t="str">
        <f>Tableau3[[#This Row],[ID-API]]&amp; "." &amp;Tableau3[[#This Row],[ID-RACK]]&amp; "." &amp;Tableau3[[#This Row],[ID-SLOT]]</f>
        <v>5.2.4</v>
      </c>
      <c r="AI785" s="72" t="str">
        <f>INDEX(Tableau1[Ref-Carte],MATCH(Tableau3[[#This Row],[ID-RRS]],Tableau1[ID-RRS],0))</f>
        <v>SDI1602</v>
      </c>
      <c r="AJ785" s="72" t="str">
        <f t="array" ref="AJ785">IFERROR(INDEX(Tableau2[TS],MATCH(1,(Tableau2[Ref-Carte]=Tableau3[[#This Row],[Ref-Carte2]])*(Tableau2[ID-Voie]=Tableau3[[#This Row],[ID-VOIE]]),0)),"")</f>
        <v>ET</v>
      </c>
      <c r="AK785" s="72" t="str">
        <f>IFERROR(INDEX(Tableau2[TS],SUMPRODUCT((Tableau2[Ref-Carte]=Tableau3[[#This Row],[Ref-Carte2]])*(Tableau2[ID-Voie]=Tableau3[[#This Row],[ID-VOIE]])*ROW(Tableau2[TS]))-ROW(Tableau2[#Headers])),"")</f>
        <v>ET</v>
      </c>
      <c r="AL785" s="72" t="str">
        <f>Tableau3[[#This Row],[Ref-Carte2]]&amp;"/"&amp;Tableau3[[#This Row],[ID-VOIE]]</f>
        <v>SDI1602/7</v>
      </c>
      <c r="AM785" s="73" t="str">
        <f>INDEX(Tableau2[Borne],MATCH(Tableau3[[#This Row],[ID-CARTEVOIE]],Tableau2[ID-CARTEVOIE],0))&amp;""</f>
        <v>3A</v>
      </c>
      <c r="AN785" s="74" t="str">
        <f>Tableau3[[#This Row],[ID-API]]&amp;Tableau3[[#This Row],[ID-RACK]]&amp;Tableau3[[#This Row],[ID-SLOT]]&amp;Tableau3[[#This Row],[BORNE]]</f>
        <v>5243A</v>
      </c>
      <c r="AO785" s="1"/>
    </row>
    <row r="786" spans="1:41" ht="20.100000000000001" customHeight="1" thickTop="1" thickBot="1">
      <c r="A786" s="68"/>
      <c r="B786" s="69" t="str">
        <f>IFERROR(INDEX(Tableau4[Date],MATCH($A786,Tableau4[EVO],0)),"")</f>
        <v/>
      </c>
      <c r="C786" s="68" t="str">
        <f>IFERROR(INDEX(Tableau4[Designation],MATCH($A786,Tableau4[EVO],0)),"")</f>
        <v/>
      </c>
      <c r="D786" s="68"/>
      <c r="E786" s="70">
        <v>56</v>
      </c>
      <c r="F786" s="71">
        <v>46</v>
      </c>
      <c r="G786" s="101" t="str">
        <f>INDEX(Tableau8[Att1],MATCH(Tableau3[[#This Row],[ID-INS]],Tableau8[ID],0))&amp;""</f>
        <v>B21</v>
      </c>
      <c r="H786" s="101" t="str">
        <f>INDEX(Tableau8[Att2],MATCH(Tableau3[[#This Row],[ID-INS]],Tableau8[ID],0))&amp;""</f>
        <v>TRSD1</v>
      </c>
      <c r="I786" s="101" t="str">
        <f>INDEX(Tableau8[Att3],MATCH(Tableau3[[#This Row],[ID-INS]],Tableau8[ID],0))&amp;""</f>
        <v>Tourniquet TRSD1</v>
      </c>
      <c r="J786" s="101"/>
      <c r="K786" s="167" t="str">
        <f>INDEX(Tableau8[Nom du modele],MATCH(Tableau3[[#This Row],[ID-INS]],Tableau8[ID],0))&amp;""</f>
        <v>TRSD_1</v>
      </c>
      <c r="L786" s="99" t="str">
        <f>INDEX(Tableau5[Att1],MATCH(Tableau3[[#This Row],[ID-SIG]],Tableau5[ID],0))&amp;""</f>
        <v>T1S_OuvRet1</v>
      </c>
      <c r="M786" s="99" t="str">
        <f>INDEX(Tableau5[Att2],MATCH(Tableau3[[#This Row],[ID-SIG]],Tableau5[ID],0))&amp;""</f>
        <v/>
      </c>
      <c r="N786" s="99" t="str">
        <f>INDEX(Tableau5[Att3],MATCH(Tableau3[[#This Row],[ID-SIG]],Tableau5[ID],0))&amp;""</f>
        <v/>
      </c>
      <c r="O786" s="99"/>
      <c r="P786" s="99" t="str">
        <f>INDEX(Tableau5[Description],MATCH(Tableau3[[#This Row],[ID-SIG]],Tableau5[ID],0))</f>
        <v>Retour Commande 1 ouverture sortie 1</v>
      </c>
      <c r="Q786" s="99"/>
      <c r="R786" s="103" t="str">
        <f>Tableau3[[#This Row],[Description]]</f>
        <v>Retour Commande 1 ouverture sortie 1</v>
      </c>
      <c r="U786" s="87">
        <v>5</v>
      </c>
      <c r="V786" s="87">
        <v>2</v>
      </c>
      <c r="W786" s="87">
        <v>4</v>
      </c>
      <c r="X786" s="87">
        <v>8</v>
      </c>
      <c r="Y786" s="40"/>
      <c r="Z786" s="165" t="str">
        <f>INDEX(Tableau2[TS],MATCH(Tableau3[[#This Row],[ID-CARTEVOIE]],Tableau2[ID-CARTEVOIE],0))</f>
        <v>ET</v>
      </c>
      <c r="AA786" s="53" t="s">
        <v>213</v>
      </c>
      <c r="AB786" s="223" t="str">
        <f>IFERROR(INDEX(Tableau5[Reserve],MATCH(Tableau3[[#This Row],[ID-SIG]],Tableau5[ID],0))&amp;"","")</f>
        <v/>
      </c>
      <c r="AC786" s="21"/>
      <c r="AD786" s="108" t="str">
        <f>INDEX(Tableau7[Repere],MATCH(Tableau3[[#This Row],[ID-API]],Tableau7[ID-API],0))&amp;""</f>
        <v>A5</v>
      </c>
      <c r="AE786" s="108" t="str">
        <f>INDEX(Tableau1[Repere-Rack],MATCH(Tableau3[[#This Row],[ID-RACK]],Tableau1[ID-RACK],0))&amp;""</f>
        <v>R2</v>
      </c>
      <c r="AF786" s="108" t="str">
        <f>INDEX(Tableau1[Repere-Slot],MATCH(Tableau3[[#This Row],[ID-SLOT]],Tableau1[ID-SLOT],0))&amp;""</f>
        <v>S4</v>
      </c>
      <c r="AG786" s="108" t="str">
        <f>INDEX(Tableau2[Repere-Voie],MATCH(Tableau3[[#This Row],[ID-VOIE]],Tableau2[ID-Voie],0))&amp;""</f>
        <v>v8</v>
      </c>
      <c r="AH786" s="72" t="str">
        <f>Tableau3[[#This Row],[ID-API]]&amp; "." &amp;Tableau3[[#This Row],[ID-RACK]]&amp; "." &amp;Tableau3[[#This Row],[ID-SLOT]]</f>
        <v>5.2.4</v>
      </c>
      <c r="AI786" s="72" t="str">
        <f>INDEX(Tableau1[Ref-Carte],MATCH(Tableau3[[#This Row],[ID-RRS]],Tableau1[ID-RRS],0))</f>
        <v>SDI1602</v>
      </c>
      <c r="AJ786" s="72" t="str">
        <f t="array" ref="AJ786">IFERROR(INDEX(Tableau2[TS],MATCH(1,(Tableau2[Ref-Carte]=Tableau3[[#This Row],[Ref-Carte2]])*(Tableau2[ID-Voie]=Tableau3[[#This Row],[ID-VOIE]]),0)),"")</f>
        <v>ET</v>
      </c>
      <c r="AK786" s="72" t="str">
        <f>IFERROR(INDEX(Tableau2[TS],SUMPRODUCT((Tableau2[Ref-Carte]=Tableau3[[#This Row],[Ref-Carte2]])*(Tableau2[ID-Voie]=Tableau3[[#This Row],[ID-VOIE]])*ROW(Tableau2[TS]))-ROW(Tableau2[#Headers])),"")</f>
        <v>ET</v>
      </c>
      <c r="AL786" s="72" t="str">
        <f>Tableau3[[#This Row],[Ref-Carte2]]&amp;"/"&amp;Tableau3[[#This Row],[ID-VOIE]]</f>
        <v>SDI1602/8</v>
      </c>
      <c r="AM786" s="73" t="str">
        <f>INDEX(Tableau2[Borne],MATCH(Tableau3[[#This Row],[ID-CARTEVOIE]],Tableau2[ID-CARTEVOIE],0))&amp;""</f>
        <v>4B</v>
      </c>
      <c r="AN786" s="74" t="str">
        <f>Tableau3[[#This Row],[ID-API]]&amp;Tableau3[[#This Row],[ID-RACK]]&amp;Tableau3[[#This Row],[ID-SLOT]]&amp;Tableau3[[#This Row],[BORNE]]</f>
        <v>5244B</v>
      </c>
      <c r="AO786" s="1"/>
    </row>
    <row r="787" spans="1:41" ht="20.100000000000001" customHeight="1" thickTop="1" thickBot="1">
      <c r="A787" s="68"/>
      <c r="B787" s="69" t="str">
        <f>IFERROR(INDEX(Tableau4[Date],MATCH($A787,Tableau4[EVO],0)),"")</f>
        <v/>
      </c>
      <c r="C787" s="68" t="str">
        <f>IFERROR(INDEX(Tableau4[Designation],MATCH($A787,Tableau4[EVO],0)),"")</f>
        <v/>
      </c>
      <c r="D787" s="68"/>
      <c r="E787" s="70">
        <v>56</v>
      </c>
      <c r="F787" s="71">
        <v>47</v>
      </c>
      <c r="G787" s="101" t="str">
        <f>INDEX(Tableau8[Att1],MATCH(Tableau3[[#This Row],[ID-INS]],Tableau8[ID],0))&amp;""</f>
        <v>B21</v>
      </c>
      <c r="H787" s="101" t="str">
        <f>INDEX(Tableau8[Att2],MATCH(Tableau3[[#This Row],[ID-INS]],Tableau8[ID],0))&amp;""</f>
        <v>TRSD1</v>
      </c>
      <c r="I787" s="101" t="str">
        <f>INDEX(Tableau8[Att3],MATCH(Tableau3[[#This Row],[ID-INS]],Tableau8[ID],0))&amp;""</f>
        <v>Tourniquet TRSD1</v>
      </c>
      <c r="J787" s="101"/>
      <c r="K787" s="167" t="str">
        <f>INDEX(Tableau8[Nom du modele],MATCH(Tableau3[[#This Row],[ID-INS]],Tableau8[ID],0))&amp;""</f>
        <v>TRSD_1</v>
      </c>
      <c r="L787" s="99" t="str">
        <f>INDEX(Tableau5[Att1],MATCH(Tableau3[[#This Row],[ID-SIG]],Tableau5[ID],0))&amp;""</f>
        <v>T1_Fer</v>
      </c>
      <c r="M787" s="99" t="str">
        <f>INDEX(Tableau5[Att2],MATCH(Tableau3[[#This Row],[ID-SIG]],Tableau5[ID],0))&amp;""</f>
        <v/>
      </c>
      <c r="N787" s="99" t="str">
        <f>INDEX(Tableau5[Att3],MATCH(Tableau3[[#This Row],[ID-SIG]],Tableau5[ID],0))&amp;""</f>
        <v/>
      </c>
      <c r="O787" s="99"/>
      <c r="P787" s="99" t="str">
        <f>INDEX(Tableau5[Description],MATCH(Tableau3[[#This Row],[ID-SIG]],Tableau5[ID],0))</f>
        <v>Position fermée entrée 1</v>
      </c>
      <c r="Q787" s="99"/>
      <c r="R787" s="103" t="str">
        <f>Tableau3[[#This Row],[Description]]</f>
        <v>Position fermée entrée 1</v>
      </c>
      <c r="U787" s="87">
        <v>5</v>
      </c>
      <c r="V787" s="87">
        <v>2</v>
      </c>
      <c r="W787" s="87">
        <v>4</v>
      </c>
      <c r="X787" s="87">
        <v>9</v>
      </c>
      <c r="Y787" s="40"/>
      <c r="Z787" s="165" t="str">
        <f>INDEX(Tableau2[TS],MATCH(Tableau3[[#This Row],[ID-CARTEVOIE]],Tableau2[ID-CARTEVOIE],0))</f>
        <v>ET</v>
      </c>
      <c r="AA787" s="53" t="s">
        <v>213</v>
      </c>
      <c r="AB787" s="223" t="str">
        <f>IFERROR(INDEX(Tableau5[Reserve],MATCH(Tableau3[[#This Row],[ID-SIG]],Tableau5[ID],0))&amp;"","")</f>
        <v/>
      </c>
      <c r="AC787" s="21"/>
      <c r="AD787" s="108" t="str">
        <f>INDEX(Tableau7[Repere],MATCH(Tableau3[[#This Row],[ID-API]],Tableau7[ID-API],0))&amp;""</f>
        <v>A5</v>
      </c>
      <c r="AE787" s="108" t="str">
        <f>INDEX(Tableau1[Repere-Rack],MATCH(Tableau3[[#This Row],[ID-RACK]],Tableau1[ID-RACK],0))&amp;""</f>
        <v>R2</v>
      </c>
      <c r="AF787" s="108" t="str">
        <f>INDEX(Tableau1[Repere-Slot],MATCH(Tableau3[[#This Row],[ID-SLOT]],Tableau1[ID-SLOT],0))&amp;""</f>
        <v>S4</v>
      </c>
      <c r="AG787" s="108" t="str">
        <f>INDEX(Tableau2[Repere-Voie],MATCH(Tableau3[[#This Row],[ID-VOIE]],Tableau2[ID-Voie],0))&amp;""</f>
        <v>v9</v>
      </c>
      <c r="AH787" s="72" t="str">
        <f>Tableau3[[#This Row],[ID-API]]&amp; "." &amp;Tableau3[[#This Row],[ID-RACK]]&amp; "." &amp;Tableau3[[#This Row],[ID-SLOT]]</f>
        <v>5.2.4</v>
      </c>
      <c r="AI787" s="72" t="str">
        <f>INDEX(Tableau1[Ref-Carte],MATCH(Tableau3[[#This Row],[ID-RRS]],Tableau1[ID-RRS],0))</f>
        <v>SDI1602</v>
      </c>
      <c r="AJ787" s="72" t="str">
        <f t="array" ref="AJ787">IFERROR(INDEX(Tableau2[TS],MATCH(1,(Tableau2[Ref-Carte]=Tableau3[[#This Row],[Ref-Carte2]])*(Tableau2[ID-Voie]=Tableau3[[#This Row],[ID-VOIE]]),0)),"")</f>
        <v>ET</v>
      </c>
      <c r="AK787" s="72" t="str">
        <f>IFERROR(INDEX(Tableau2[TS],SUMPRODUCT((Tableau2[Ref-Carte]=Tableau3[[#This Row],[Ref-Carte2]])*(Tableau2[ID-Voie]=Tableau3[[#This Row],[ID-VOIE]])*ROW(Tableau2[TS]))-ROW(Tableau2[#Headers])),"")</f>
        <v>ET</v>
      </c>
      <c r="AL787" s="72" t="str">
        <f>Tableau3[[#This Row],[Ref-Carte2]]&amp;"/"&amp;Tableau3[[#This Row],[ID-VOIE]]</f>
        <v>SDI1602/9</v>
      </c>
      <c r="AM787" s="73" t="str">
        <f>INDEX(Tableau2[Borne],MATCH(Tableau3[[#This Row],[ID-CARTEVOIE]],Tableau2[ID-CARTEVOIE],0))&amp;""</f>
        <v>4A</v>
      </c>
      <c r="AN787" s="74" t="str">
        <f>Tableau3[[#This Row],[ID-API]]&amp;Tableau3[[#This Row],[ID-RACK]]&amp;Tableau3[[#This Row],[ID-SLOT]]&amp;Tableau3[[#This Row],[BORNE]]</f>
        <v>5244A</v>
      </c>
      <c r="AO787" s="1"/>
    </row>
    <row r="788" spans="1:41" ht="20.100000000000001" customHeight="1" thickTop="1" thickBot="1">
      <c r="A788" s="68"/>
      <c r="B788" s="69" t="str">
        <f>IFERROR(INDEX(Tableau4[Date],MATCH($A788,Tableau4[EVO],0)),"")</f>
        <v/>
      </c>
      <c r="C788" s="68" t="str">
        <f>IFERROR(INDEX(Tableau4[Designation],MATCH($A788,Tableau4[EVO],0)),"")</f>
        <v/>
      </c>
      <c r="D788" s="68"/>
      <c r="E788" s="70">
        <v>70</v>
      </c>
      <c r="F788" s="71">
        <v>66</v>
      </c>
      <c r="G788" s="101" t="str">
        <f>INDEX(Tableau8[Att1],MATCH(Tableau3[[#This Row],[ID-INS]],Tableau8[ID],0))&amp;""</f>
        <v>V4</v>
      </c>
      <c r="H788" s="101" t="str">
        <f>INDEX(Tableau8[Att2],MATCH(Tableau3[[#This Row],[ID-INS]],Tableau8[ID],0))&amp;""</f>
        <v>BH9</v>
      </c>
      <c r="I788" s="101" t="str">
        <f>INDEX(Tableau8[Att3],MATCH(Tableau3[[#This Row],[ID-INS]],Tableau8[ID],0))&amp;""</f>
        <v>Barrière BH9</v>
      </c>
      <c r="J788" s="101"/>
      <c r="K788" s="167" t="str">
        <f>INDEX(Tableau8[Nom du modele],MATCH(Tableau3[[#This Row],[ID-INS]],Tableau8[ID],0))&amp;""</f>
        <v>BarriereLisse</v>
      </c>
      <c r="L788" s="141" t="str">
        <f>INDEX(Tableau5[Att1],MATCH(Tableau3[[#This Row],[ID-SIG]],Tableau5[ID],0))&amp;""</f>
        <v>Ouv</v>
      </c>
      <c r="M788" s="99" t="str">
        <f>INDEX(Tableau5[Att2],MATCH(Tableau3[[#This Row],[ID-SIG]],Tableau5[ID],0))&amp;""</f>
        <v/>
      </c>
      <c r="N788" s="99" t="str">
        <f>INDEX(Tableau5[Att3],MATCH(Tableau3[[#This Row],[ID-SIG]],Tableau5[ID],0))&amp;""</f>
        <v/>
      </c>
      <c r="O788" s="99"/>
      <c r="P788" s="141" t="str">
        <f>INDEX(Tableau5[Description],MATCH(Tableau3[[#This Row],[ID-SIG]],Tableau5[ID],0))</f>
        <v>Position ouverte</v>
      </c>
      <c r="Q788" s="99"/>
      <c r="R788" s="103" t="str">
        <f>Tableau3[[#This Row],[Description]]</f>
        <v>Position ouverte</v>
      </c>
      <c r="U788" s="87">
        <v>5</v>
      </c>
      <c r="V788" s="87">
        <v>2</v>
      </c>
      <c r="W788" s="87">
        <v>4</v>
      </c>
      <c r="X788" s="87">
        <v>10</v>
      </c>
      <c r="Y788" s="40"/>
      <c r="Z788" s="165" t="str">
        <f>INDEX(Tableau2[TS],MATCH(Tableau3[[#This Row],[ID-CARTEVOIE]],Tableau2[ID-CARTEVOIE],0))</f>
        <v>ET</v>
      </c>
      <c r="AA788" s="53" t="s">
        <v>213</v>
      </c>
      <c r="AB788" s="223" t="str">
        <f>IFERROR(INDEX(Tableau5[Reserve],MATCH(Tableau3[[#This Row],[ID-SIG]],Tableau5[ID],0))&amp;"","")</f>
        <v/>
      </c>
      <c r="AC788" s="21"/>
      <c r="AD788" s="108" t="str">
        <f>INDEX(Tableau7[Repere],MATCH(Tableau3[[#This Row],[ID-API]],Tableau7[ID-API],0))&amp;""</f>
        <v>A5</v>
      </c>
      <c r="AE788" s="108" t="str">
        <f>INDEX(Tableau1[Repere-Rack],MATCH(Tableau3[[#This Row],[ID-RACK]],Tableau1[ID-RACK],0))&amp;""</f>
        <v>R2</v>
      </c>
      <c r="AF788" s="108" t="str">
        <f>INDEX(Tableau1[Repere-Slot],MATCH(Tableau3[[#This Row],[ID-SLOT]],Tableau1[ID-SLOT],0))&amp;""</f>
        <v>S4</v>
      </c>
      <c r="AG788" s="108" t="str">
        <f>INDEX(Tableau2[Repere-Voie],MATCH(Tableau3[[#This Row],[ID-VOIE]],Tableau2[ID-Voie],0))&amp;""</f>
        <v>v10</v>
      </c>
      <c r="AH788" s="72" t="str">
        <f>Tableau3[[#This Row],[ID-API]]&amp; "." &amp;Tableau3[[#This Row],[ID-RACK]]&amp; "." &amp;Tableau3[[#This Row],[ID-SLOT]]</f>
        <v>5.2.4</v>
      </c>
      <c r="AI788" s="72" t="str">
        <f>INDEX(Tableau1[Ref-Carte],MATCH(Tableau3[[#This Row],[ID-RRS]],Tableau1[ID-RRS],0))</f>
        <v>SDI1602</v>
      </c>
      <c r="AJ788" s="72" t="str">
        <f t="array" ref="AJ788">IFERROR(INDEX(Tableau2[TS],MATCH(1,(Tableau2[Ref-Carte]=Tableau3[[#This Row],[Ref-Carte2]])*(Tableau2[ID-Voie]=Tableau3[[#This Row],[ID-VOIE]]),0)),"")</f>
        <v>ET</v>
      </c>
      <c r="AK788" s="72" t="str">
        <f>IFERROR(INDEX(Tableau2[TS],SUMPRODUCT((Tableau2[Ref-Carte]=Tableau3[[#This Row],[Ref-Carte2]])*(Tableau2[ID-Voie]=Tableau3[[#This Row],[ID-VOIE]])*ROW(Tableau2[TS]))-ROW(Tableau2[#Headers])),"")</f>
        <v>ET</v>
      </c>
      <c r="AL788" s="72" t="str">
        <f>Tableau3[[#This Row],[Ref-Carte2]]&amp;"/"&amp;Tableau3[[#This Row],[ID-VOIE]]</f>
        <v>SDI1602/10</v>
      </c>
      <c r="AM788" s="73" t="str">
        <f>INDEX(Tableau2[Borne],MATCH(Tableau3[[#This Row],[ID-CARTEVOIE]],Tableau2[ID-CARTEVOIE],0))&amp;""</f>
        <v>5B</v>
      </c>
      <c r="AN788" s="74" t="str">
        <f>Tableau3[[#This Row],[ID-API]]&amp;Tableau3[[#This Row],[ID-RACK]]&amp;Tableau3[[#This Row],[ID-SLOT]]&amp;Tableau3[[#This Row],[BORNE]]</f>
        <v>5245B</v>
      </c>
      <c r="AO788" s="1"/>
    </row>
    <row r="789" spans="1:41" ht="20.100000000000001" customHeight="1" thickTop="1" thickBot="1">
      <c r="A789" s="68"/>
      <c r="B789" s="69" t="str">
        <f>IFERROR(INDEX(Tableau4[Date],MATCH($A789,Tableau4[EVO],0)),"")</f>
        <v/>
      </c>
      <c r="C789" s="68" t="str">
        <f>IFERROR(INDEX(Tableau4[Designation],MATCH($A789,Tableau4[EVO],0)),"")</f>
        <v/>
      </c>
      <c r="D789" s="68"/>
      <c r="E789" s="70">
        <v>70</v>
      </c>
      <c r="F789" s="71">
        <v>67</v>
      </c>
      <c r="G789" s="101" t="str">
        <f>INDEX(Tableau8[Att1],MATCH(Tableau3[[#This Row],[ID-INS]],Tableau8[ID],0))&amp;""</f>
        <v>V4</v>
      </c>
      <c r="H789" s="101" t="str">
        <f>INDEX(Tableau8[Att2],MATCH(Tableau3[[#This Row],[ID-INS]],Tableau8[ID],0))&amp;""</f>
        <v>BH9</v>
      </c>
      <c r="I789" s="101" t="str">
        <f>INDEX(Tableau8[Att3],MATCH(Tableau3[[#This Row],[ID-INS]],Tableau8[ID],0))&amp;""</f>
        <v>Barrière BH9</v>
      </c>
      <c r="J789" s="101"/>
      <c r="K789" s="167" t="str">
        <f>INDEX(Tableau8[Nom du modele],MATCH(Tableau3[[#This Row],[ID-INS]],Tableau8[ID],0))&amp;""</f>
        <v>BarriereLisse</v>
      </c>
      <c r="L789" s="99" t="str">
        <f>INDEX(Tableau5[Att1],MATCH(Tableau3[[#This Row],[ID-SIG]],Tableau5[ID],0))&amp;""</f>
        <v>Fer</v>
      </c>
      <c r="M789" s="99" t="str">
        <f>INDEX(Tableau5[Att2],MATCH(Tableau3[[#This Row],[ID-SIG]],Tableau5[ID],0))&amp;""</f>
        <v/>
      </c>
      <c r="N789" s="99" t="str">
        <f>INDEX(Tableau5[Att3],MATCH(Tableau3[[#This Row],[ID-SIG]],Tableau5[ID],0))&amp;""</f>
        <v/>
      </c>
      <c r="O789" s="99"/>
      <c r="P789" s="99" t="str">
        <f>INDEX(Tableau5[Description],MATCH(Tableau3[[#This Row],[ID-SIG]],Tableau5[ID],0))</f>
        <v>Position fermée</v>
      </c>
      <c r="Q789" s="99"/>
      <c r="R789" s="103" t="str">
        <f>Tableau3[[#This Row],[Description]]</f>
        <v>Position fermée</v>
      </c>
      <c r="U789" s="87">
        <v>5</v>
      </c>
      <c r="V789" s="87">
        <v>2</v>
      </c>
      <c r="W789" s="87">
        <v>4</v>
      </c>
      <c r="X789" s="87">
        <v>11</v>
      </c>
      <c r="Y789" s="40"/>
      <c r="Z789" s="165" t="str">
        <f>INDEX(Tableau2[TS],MATCH(Tableau3[[#This Row],[ID-CARTEVOIE]],Tableau2[ID-CARTEVOIE],0))</f>
        <v>ET</v>
      </c>
      <c r="AA789" s="53" t="s">
        <v>213</v>
      </c>
      <c r="AB789" s="223" t="str">
        <f>IFERROR(INDEX(Tableau5[Reserve],MATCH(Tableau3[[#This Row],[ID-SIG]],Tableau5[ID],0))&amp;"","")</f>
        <v/>
      </c>
      <c r="AC789" s="21"/>
      <c r="AD789" s="108" t="str">
        <f>INDEX(Tableau7[Repere],MATCH(Tableau3[[#This Row],[ID-API]],Tableau7[ID-API],0))&amp;""</f>
        <v>A5</v>
      </c>
      <c r="AE789" s="108" t="str">
        <f>INDEX(Tableau1[Repere-Rack],MATCH(Tableau3[[#This Row],[ID-RACK]],Tableau1[ID-RACK],0))&amp;""</f>
        <v>R2</v>
      </c>
      <c r="AF789" s="108" t="str">
        <f>INDEX(Tableau1[Repere-Slot],MATCH(Tableau3[[#This Row],[ID-SLOT]],Tableau1[ID-SLOT],0))&amp;""</f>
        <v>S4</v>
      </c>
      <c r="AG789" s="108" t="str">
        <f>INDEX(Tableau2[Repere-Voie],MATCH(Tableau3[[#This Row],[ID-VOIE]],Tableau2[ID-Voie],0))&amp;""</f>
        <v>v11</v>
      </c>
      <c r="AH789" s="72" t="str">
        <f>Tableau3[[#This Row],[ID-API]]&amp; "." &amp;Tableau3[[#This Row],[ID-RACK]]&amp; "." &amp;Tableau3[[#This Row],[ID-SLOT]]</f>
        <v>5.2.4</v>
      </c>
      <c r="AI789" s="72" t="str">
        <f>INDEX(Tableau1[Ref-Carte],MATCH(Tableau3[[#This Row],[ID-RRS]],Tableau1[ID-RRS],0))</f>
        <v>SDI1602</v>
      </c>
      <c r="AJ789" s="72" t="str">
        <f t="array" ref="AJ789">IFERROR(INDEX(Tableau2[TS],MATCH(1,(Tableau2[Ref-Carte]=Tableau3[[#This Row],[Ref-Carte2]])*(Tableau2[ID-Voie]=Tableau3[[#This Row],[ID-VOIE]]),0)),"")</f>
        <v>ET</v>
      </c>
      <c r="AK789" s="72" t="str">
        <f>IFERROR(INDEX(Tableau2[TS],SUMPRODUCT((Tableau2[Ref-Carte]=Tableau3[[#This Row],[Ref-Carte2]])*(Tableau2[ID-Voie]=Tableau3[[#This Row],[ID-VOIE]])*ROW(Tableau2[TS]))-ROW(Tableau2[#Headers])),"")</f>
        <v>ET</v>
      </c>
      <c r="AL789" s="72" t="str">
        <f>Tableau3[[#This Row],[Ref-Carte2]]&amp;"/"&amp;Tableau3[[#This Row],[ID-VOIE]]</f>
        <v>SDI1602/11</v>
      </c>
      <c r="AM789" s="73" t="str">
        <f>INDEX(Tableau2[Borne],MATCH(Tableau3[[#This Row],[ID-CARTEVOIE]],Tableau2[ID-CARTEVOIE],0))&amp;""</f>
        <v>5A</v>
      </c>
      <c r="AN789" s="74" t="str">
        <f>Tableau3[[#This Row],[ID-API]]&amp;Tableau3[[#This Row],[ID-RACK]]&amp;Tableau3[[#This Row],[ID-SLOT]]&amp;Tableau3[[#This Row],[BORNE]]</f>
        <v>5245A</v>
      </c>
      <c r="AO789" s="1"/>
    </row>
    <row r="790" spans="1:41" ht="20.100000000000001" customHeight="1" thickTop="1" thickBot="1">
      <c r="A790" s="68"/>
      <c r="B790" s="69" t="str">
        <f>IFERROR(INDEX(Tableau4[Date],MATCH($A790,Tableau4[EVO],0)),"")</f>
        <v/>
      </c>
      <c r="C790" s="68" t="str">
        <f>IFERROR(INDEX(Tableau4[Designation],MATCH($A790,Tableau4[EVO],0)),"")</f>
        <v/>
      </c>
      <c r="D790" s="68"/>
      <c r="E790" s="70">
        <v>70</v>
      </c>
      <c r="F790" s="71">
        <v>68</v>
      </c>
      <c r="G790" s="101" t="str">
        <f>INDEX(Tableau8[Att1],MATCH(Tableau3[[#This Row],[ID-INS]],Tableau8[ID],0))&amp;""</f>
        <v>V4</v>
      </c>
      <c r="H790" s="101" t="str">
        <f>INDEX(Tableau8[Att2],MATCH(Tableau3[[#This Row],[ID-INS]],Tableau8[ID],0))&amp;""</f>
        <v>BH9</v>
      </c>
      <c r="I790" s="101" t="str">
        <f>INDEX(Tableau8[Att3],MATCH(Tableau3[[#This Row],[ID-INS]],Tableau8[ID],0))&amp;""</f>
        <v>Barrière BH9</v>
      </c>
      <c r="J790" s="101"/>
      <c r="K790" s="167" t="str">
        <f>INDEX(Tableau8[Nom du modele],MATCH(Tableau3[[#This Row],[ID-INS]],Tableau8[ID],0))&amp;""</f>
        <v>BarriereLisse</v>
      </c>
      <c r="L790" s="141" t="str">
        <f>INDEX(Tableau5[Att1],MATCH(Tableau3[[#This Row],[ID-SIG]],Tableau5[ID],0))&amp;""</f>
        <v>SynthDef</v>
      </c>
      <c r="M790" s="99" t="str">
        <f>INDEX(Tableau5[Att2],MATCH(Tableau3[[#This Row],[ID-SIG]],Tableau5[ID],0))&amp;""</f>
        <v/>
      </c>
      <c r="N790" s="99" t="str">
        <f>INDEX(Tableau5[Att3],MATCH(Tableau3[[#This Row],[ID-SIG]],Tableau5[ID],0))&amp;""</f>
        <v/>
      </c>
      <c r="O790" s="99"/>
      <c r="P790" s="141" t="str">
        <f>INDEX(Tableau5[Description],MATCH(Tableau3[[#This Row],[ID-SIG]],Tableau5[ID],0))</f>
        <v>Synthèse défaut</v>
      </c>
      <c r="Q790" s="99"/>
      <c r="R790" s="103" t="str">
        <f>Tableau3[[#This Row],[Description]]</f>
        <v>Synthèse défaut</v>
      </c>
      <c r="U790" s="87">
        <v>5</v>
      </c>
      <c r="V790" s="87">
        <v>2</v>
      </c>
      <c r="W790" s="87">
        <v>4</v>
      </c>
      <c r="X790" s="87">
        <v>12</v>
      </c>
      <c r="Y790" s="40"/>
      <c r="Z790" s="165" t="str">
        <f>INDEX(Tableau2[TS],MATCH(Tableau3[[#This Row],[ID-CARTEVOIE]],Tableau2[ID-CARTEVOIE],0))</f>
        <v>ET</v>
      </c>
      <c r="AA790" s="53" t="s">
        <v>213</v>
      </c>
      <c r="AB790" s="223" t="str">
        <f>IFERROR(INDEX(Tableau5[Reserve],MATCH(Tableau3[[#This Row],[ID-SIG]],Tableau5[ID],0))&amp;"","")</f>
        <v/>
      </c>
      <c r="AC790" s="21"/>
      <c r="AD790" s="108" t="str">
        <f>INDEX(Tableau7[Repere],MATCH(Tableau3[[#This Row],[ID-API]],Tableau7[ID-API],0))&amp;""</f>
        <v>A5</v>
      </c>
      <c r="AE790" s="108" t="str">
        <f>INDEX(Tableau1[Repere-Rack],MATCH(Tableau3[[#This Row],[ID-RACK]],Tableau1[ID-RACK],0))&amp;""</f>
        <v>R2</v>
      </c>
      <c r="AF790" s="108" t="str">
        <f>INDEX(Tableau1[Repere-Slot],MATCH(Tableau3[[#This Row],[ID-SLOT]],Tableau1[ID-SLOT],0))&amp;""</f>
        <v>S4</v>
      </c>
      <c r="AG790" s="108" t="str">
        <f>INDEX(Tableau2[Repere-Voie],MATCH(Tableau3[[#This Row],[ID-VOIE]],Tableau2[ID-Voie],0))&amp;""</f>
        <v>v12</v>
      </c>
      <c r="AH790" s="72" t="str">
        <f>Tableau3[[#This Row],[ID-API]]&amp; "." &amp;Tableau3[[#This Row],[ID-RACK]]&amp; "." &amp;Tableau3[[#This Row],[ID-SLOT]]</f>
        <v>5.2.4</v>
      </c>
      <c r="AI790" s="72" t="str">
        <f>INDEX(Tableau1[Ref-Carte],MATCH(Tableau3[[#This Row],[ID-RRS]],Tableau1[ID-RRS],0))</f>
        <v>SDI1602</v>
      </c>
      <c r="AJ790" s="72" t="str">
        <f t="array" ref="AJ790">IFERROR(INDEX(Tableau2[TS],MATCH(1,(Tableau2[Ref-Carte]=Tableau3[[#This Row],[Ref-Carte2]])*(Tableau2[ID-Voie]=Tableau3[[#This Row],[ID-VOIE]]),0)),"")</f>
        <v>ET</v>
      </c>
      <c r="AK790" s="72" t="str">
        <f>IFERROR(INDEX(Tableau2[TS],SUMPRODUCT((Tableau2[Ref-Carte]=Tableau3[[#This Row],[Ref-Carte2]])*(Tableau2[ID-Voie]=Tableau3[[#This Row],[ID-VOIE]])*ROW(Tableau2[TS]))-ROW(Tableau2[#Headers])),"")</f>
        <v>ET</v>
      </c>
      <c r="AL790" s="72" t="str">
        <f>Tableau3[[#This Row],[Ref-Carte2]]&amp;"/"&amp;Tableau3[[#This Row],[ID-VOIE]]</f>
        <v>SDI1602/12</v>
      </c>
      <c r="AM790" s="73" t="str">
        <f>INDEX(Tableau2[Borne],MATCH(Tableau3[[#This Row],[ID-CARTEVOIE]],Tableau2[ID-CARTEVOIE],0))&amp;""</f>
        <v>6B</v>
      </c>
      <c r="AN790" s="74" t="str">
        <f>Tableau3[[#This Row],[ID-API]]&amp;Tableau3[[#This Row],[ID-RACK]]&amp;Tableau3[[#This Row],[ID-SLOT]]&amp;Tableau3[[#This Row],[BORNE]]</f>
        <v>5246B</v>
      </c>
      <c r="AO790" s="1"/>
    </row>
    <row r="791" spans="1:41" ht="20.100000000000001" customHeight="1" thickTop="1" thickBot="1">
      <c r="A791" s="68"/>
      <c r="B791" s="69" t="str">
        <f>IFERROR(INDEX(Tableau4[Date],MATCH($A791,Tableau4[EVO],0)),"")</f>
        <v/>
      </c>
      <c r="C791" s="68" t="str">
        <f>IFERROR(INDEX(Tableau4[Designation],MATCH($A791,Tableau4[EVO],0)),"")</f>
        <v/>
      </c>
      <c r="D791" s="68"/>
      <c r="E791" s="70">
        <v>70</v>
      </c>
      <c r="F791" s="71">
        <v>69</v>
      </c>
      <c r="G791" s="101" t="str">
        <f>INDEX(Tableau8[Att1],MATCH(Tableau3[[#This Row],[ID-INS]],Tableau8[ID],0))&amp;""</f>
        <v>V4</v>
      </c>
      <c r="H791" s="101" t="str">
        <f>INDEX(Tableau8[Att2],MATCH(Tableau3[[#This Row],[ID-INS]],Tableau8[ID],0))&amp;""</f>
        <v>BH9</v>
      </c>
      <c r="I791" s="101" t="str">
        <f>INDEX(Tableau8[Att3],MATCH(Tableau3[[#This Row],[ID-INS]],Tableau8[ID],0))&amp;""</f>
        <v>Barrière BH9</v>
      </c>
      <c r="J791" s="101"/>
      <c r="K791" s="167" t="str">
        <f>INDEX(Tableau8[Nom du modele],MATCH(Tableau3[[#This Row],[ID-INS]],Tableau8[ID],0))&amp;""</f>
        <v>BarriereLisse</v>
      </c>
      <c r="L791" s="99" t="str">
        <f>INDEX(Tableau5[Att1],MATCH(Tableau3[[#This Row],[ID-SIG]],Tableau5[ID],0))&amp;""</f>
        <v>Effraction</v>
      </c>
      <c r="M791" s="99" t="str">
        <f>INDEX(Tableau5[Att2],MATCH(Tableau3[[#This Row],[ID-SIG]],Tableau5[ID],0))&amp;""</f>
        <v/>
      </c>
      <c r="N791" s="99" t="str">
        <f>INDEX(Tableau5[Att3],MATCH(Tableau3[[#This Row],[ID-SIG]],Tableau5[ID],0))&amp;""</f>
        <v/>
      </c>
      <c r="O791" s="99"/>
      <c r="P791" s="99" t="str">
        <f>INDEX(Tableau5[Description],MATCH(Tableau3[[#This Row],[ID-SIG]],Tableau5[ID],0))</f>
        <v>Effraction</v>
      </c>
      <c r="Q791" s="99"/>
      <c r="R791" s="103" t="str">
        <f>Tableau3[[#This Row],[Description]]</f>
        <v>Effraction</v>
      </c>
      <c r="U791" s="87">
        <v>5</v>
      </c>
      <c r="V791" s="87">
        <v>2</v>
      </c>
      <c r="W791" s="87">
        <v>4</v>
      </c>
      <c r="X791" s="87">
        <v>13</v>
      </c>
      <c r="Y791" s="40"/>
      <c r="Z791" s="165" t="str">
        <f>INDEX(Tableau2[TS],MATCH(Tableau3[[#This Row],[ID-CARTEVOIE]],Tableau2[ID-CARTEVOIE],0))</f>
        <v>ET</v>
      </c>
      <c r="AA791" s="53" t="s">
        <v>213</v>
      </c>
      <c r="AB791" s="223" t="str">
        <f>IFERROR(INDEX(Tableau5[Reserve],MATCH(Tableau3[[#This Row],[ID-SIG]],Tableau5[ID],0))&amp;"","")</f>
        <v/>
      </c>
      <c r="AC791" s="21"/>
      <c r="AD791" s="108" t="str">
        <f>INDEX(Tableau7[Repere],MATCH(Tableau3[[#This Row],[ID-API]],Tableau7[ID-API],0))&amp;""</f>
        <v>A5</v>
      </c>
      <c r="AE791" s="108" t="str">
        <f>INDEX(Tableau1[Repere-Rack],MATCH(Tableau3[[#This Row],[ID-RACK]],Tableau1[ID-RACK],0))&amp;""</f>
        <v>R2</v>
      </c>
      <c r="AF791" s="108" t="str">
        <f>INDEX(Tableau1[Repere-Slot],MATCH(Tableau3[[#This Row],[ID-SLOT]],Tableau1[ID-SLOT],0))&amp;""</f>
        <v>S4</v>
      </c>
      <c r="AG791" s="108" t="str">
        <f>INDEX(Tableau2[Repere-Voie],MATCH(Tableau3[[#This Row],[ID-VOIE]],Tableau2[ID-Voie],0))&amp;""</f>
        <v>v13</v>
      </c>
      <c r="AH791" s="72" t="str">
        <f>Tableau3[[#This Row],[ID-API]]&amp; "." &amp;Tableau3[[#This Row],[ID-RACK]]&amp; "." &amp;Tableau3[[#This Row],[ID-SLOT]]</f>
        <v>5.2.4</v>
      </c>
      <c r="AI791" s="72" t="str">
        <f>INDEX(Tableau1[Ref-Carte],MATCH(Tableau3[[#This Row],[ID-RRS]],Tableau1[ID-RRS],0))</f>
        <v>SDI1602</v>
      </c>
      <c r="AJ791" s="72" t="str">
        <f t="array" ref="AJ791">IFERROR(INDEX(Tableau2[TS],MATCH(1,(Tableau2[Ref-Carte]=Tableau3[[#This Row],[Ref-Carte2]])*(Tableau2[ID-Voie]=Tableau3[[#This Row],[ID-VOIE]]),0)),"")</f>
        <v>ET</v>
      </c>
      <c r="AK791" s="72" t="str">
        <f>IFERROR(INDEX(Tableau2[TS],SUMPRODUCT((Tableau2[Ref-Carte]=Tableau3[[#This Row],[Ref-Carte2]])*(Tableau2[ID-Voie]=Tableau3[[#This Row],[ID-VOIE]])*ROW(Tableau2[TS]))-ROW(Tableau2[#Headers])),"")</f>
        <v>ET</v>
      </c>
      <c r="AL791" s="72" t="str">
        <f>Tableau3[[#This Row],[Ref-Carte2]]&amp;"/"&amp;Tableau3[[#This Row],[ID-VOIE]]</f>
        <v>SDI1602/13</v>
      </c>
      <c r="AM791" s="73" t="str">
        <f>INDEX(Tableau2[Borne],MATCH(Tableau3[[#This Row],[ID-CARTEVOIE]],Tableau2[ID-CARTEVOIE],0))&amp;""</f>
        <v>6A</v>
      </c>
      <c r="AN791" s="74" t="str">
        <f>Tableau3[[#This Row],[ID-API]]&amp;Tableau3[[#This Row],[ID-RACK]]&amp;Tableau3[[#This Row],[ID-SLOT]]&amp;Tableau3[[#This Row],[BORNE]]</f>
        <v>5246A</v>
      </c>
      <c r="AO791" s="1"/>
    </row>
    <row r="792" spans="1:41" ht="20.100000000000001" customHeight="1" thickTop="1" thickBot="1">
      <c r="A792" s="68"/>
      <c r="B792" s="69" t="str">
        <f>IFERROR(INDEX(Tableau4[Date],MATCH($A792,Tableau4[EVO],0)),"")</f>
        <v/>
      </c>
      <c r="C792" s="68" t="str">
        <f>IFERROR(INDEX(Tableau4[Designation],MATCH($A792,Tableau4[EVO],0)),"")</f>
        <v/>
      </c>
      <c r="D792" s="68"/>
      <c r="E792" s="70">
        <v>70</v>
      </c>
      <c r="F792" s="71">
        <v>70</v>
      </c>
      <c r="G792" s="101" t="str">
        <f>INDEX(Tableau8[Att1],MATCH(Tableau3[[#This Row],[ID-INS]],Tableau8[ID],0))&amp;""</f>
        <v>V4</v>
      </c>
      <c r="H792" s="101" t="str">
        <f>INDEX(Tableau8[Att2],MATCH(Tableau3[[#This Row],[ID-INS]],Tableau8[ID],0))&amp;""</f>
        <v>BH9</v>
      </c>
      <c r="I792" s="101" t="str">
        <f>INDEX(Tableau8[Att3],MATCH(Tableau3[[#This Row],[ID-INS]],Tableau8[ID],0))&amp;""</f>
        <v>Barrière BH9</v>
      </c>
      <c r="J792" s="101"/>
      <c r="K792" s="167" t="str">
        <f>INDEX(Tableau8[Nom du modele],MATCH(Tableau3[[#This Row],[ID-INS]],Tableau8[ID],0))&amp;""</f>
        <v>BarriereLisse</v>
      </c>
      <c r="L792" s="99" t="str">
        <f>INDEX(Tableau5[Att1],MATCH(Tableau3[[#This Row],[ID-SIG]],Tableau5[ID],0))&amp;""</f>
        <v>Pres</v>
      </c>
      <c r="M792" s="99" t="str">
        <f>INDEX(Tableau5[Att2],MATCH(Tableau3[[#This Row],[ID-SIG]],Tableau5[ID],0))&amp;""</f>
        <v/>
      </c>
      <c r="N792" s="99" t="str">
        <f>INDEX(Tableau5[Att3],MATCH(Tableau3[[#This Row],[ID-SIG]],Tableau5[ID],0))&amp;""</f>
        <v/>
      </c>
      <c r="O792" s="99"/>
      <c r="P792" s="99" t="str">
        <f>INDEX(Tableau5[Description],MATCH(Tableau3[[#This Row],[ID-SIG]],Tableau5[ID],0))</f>
        <v>Présence sous la barrière (Cellule)</v>
      </c>
      <c r="Q792" s="99"/>
      <c r="R792" s="103" t="str">
        <f>Tableau3[[#This Row],[Description]]</f>
        <v>Présence sous la barrière (Cellule)</v>
      </c>
      <c r="U792" s="87">
        <v>5</v>
      </c>
      <c r="V792" s="87">
        <v>2</v>
      </c>
      <c r="W792" s="87">
        <v>4</v>
      </c>
      <c r="X792" s="87">
        <v>14</v>
      </c>
      <c r="Y792" s="40"/>
      <c r="Z792" s="165" t="str">
        <f>INDEX(Tableau2[TS],MATCH(Tableau3[[#This Row],[ID-CARTEVOIE]],Tableau2[ID-CARTEVOIE],0))</f>
        <v>ET</v>
      </c>
      <c r="AA792" s="53" t="s">
        <v>213</v>
      </c>
      <c r="AB792" s="223" t="str">
        <f>IFERROR(INDEX(Tableau5[Reserve],MATCH(Tableau3[[#This Row],[ID-SIG]],Tableau5[ID],0))&amp;"","")</f>
        <v/>
      </c>
      <c r="AC792" s="21"/>
      <c r="AD792" s="108" t="str">
        <f>INDEX(Tableau7[Repere],MATCH(Tableau3[[#This Row],[ID-API]],Tableau7[ID-API],0))&amp;""</f>
        <v>A5</v>
      </c>
      <c r="AE792" s="108" t="str">
        <f>INDEX(Tableau1[Repere-Rack],MATCH(Tableau3[[#This Row],[ID-RACK]],Tableau1[ID-RACK],0))&amp;""</f>
        <v>R2</v>
      </c>
      <c r="AF792" s="108" t="str">
        <f>INDEX(Tableau1[Repere-Slot],MATCH(Tableau3[[#This Row],[ID-SLOT]],Tableau1[ID-SLOT],0))&amp;""</f>
        <v>S4</v>
      </c>
      <c r="AG792" s="108" t="str">
        <f>INDEX(Tableau2[Repere-Voie],MATCH(Tableau3[[#This Row],[ID-VOIE]],Tableau2[ID-Voie],0))&amp;""</f>
        <v>v14</v>
      </c>
      <c r="AH792" s="72" t="str">
        <f>Tableau3[[#This Row],[ID-API]]&amp; "." &amp;Tableau3[[#This Row],[ID-RACK]]&amp; "." &amp;Tableau3[[#This Row],[ID-SLOT]]</f>
        <v>5.2.4</v>
      </c>
      <c r="AI792" s="72" t="str">
        <f>INDEX(Tableau1[Ref-Carte],MATCH(Tableau3[[#This Row],[ID-RRS]],Tableau1[ID-RRS],0))</f>
        <v>SDI1602</v>
      </c>
      <c r="AJ792" s="72" t="str">
        <f t="array" ref="AJ792">IFERROR(INDEX(Tableau2[TS],MATCH(1,(Tableau2[Ref-Carte]=Tableau3[[#This Row],[Ref-Carte2]])*(Tableau2[ID-Voie]=Tableau3[[#This Row],[ID-VOIE]]),0)),"")</f>
        <v>ET</v>
      </c>
      <c r="AK792" s="72" t="str">
        <f>IFERROR(INDEX(Tableau2[TS],SUMPRODUCT((Tableau2[Ref-Carte]=Tableau3[[#This Row],[Ref-Carte2]])*(Tableau2[ID-Voie]=Tableau3[[#This Row],[ID-VOIE]])*ROW(Tableau2[TS]))-ROW(Tableau2[#Headers])),"")</f>
        <v>ET</v>
      </c>
      <c r="AL792" s="72" t="str">
        <f>Tableau3[[#This Row],[Ref-Carte2]]&amp;"/"&amp;Tableau3[[#This Row],[ID-VOIE]]</f>
        <v>SDI1602/14</v>
      </c>
      <c r="AM792" s="73" t="str">
        <f>INDEX(Tableau2[Borne],MATCH(Tableau3[[#This Row],[ID-CARTEVOIE]],Tableau2[ID-CARTEVOIE],0))&amp;""</f>
        <v>7B</v>
      </c>
      <c r="AN792" s="74" t="str">
        <f>Tableau3[[#This Row],[ID-API]]&amp;Tableau3[[#This Row],[ID-RACK]]&amp;Tableau3[[#This Row],[ID-SLOT]]&amp;Tableau3[[#This Row],[BORNE]]</f>
        <v>5247B</v>
      </c>
      <c r="AO792" s="1"/>
    </row>
    <row r="793" spans="1:41" ht="20.100000000000001" customHeight="1" thickTop="1" thickBot="1">
      <c r="A793" s="68"/>
      <c r="B793" s="69" t="str">
        <f>IFERROR(INDEX(Tableau4[Date],MATCH($A793,Tableau4[EVO],0)),"")</f>
        <v/>
      </c>
      <c r="C793" s="68" t="str">
        <f>IFERROR(INDEX(Tableau4[Designation],MATCH($A793,Tableau4[EVO],0)),"")</f>
        <v/>
      </c>
      <c r="D793" s="68"/>
      <c r="E793" s="70">
        <v>75</v>
      </c>
      <c r="F793" s="71">
        <v>66</v>
      </c>
      <c r="G793" s="101" t="str">
        <f>INDEX(Tableau8[Att1],MATCH(Tableau3[[#This Row],[ID-INS]],Tableau8[ID],0))&amp;""</f>
        <v>V4</v>
      </c>
      <c r="H793" s="101" t="str">
        <f>INDEX(Tableau8[Att2],MATCH(Tableau3[[#This Row],[ID-INS]],Tableau8[ID],0))&amp;""</f>
        <v>BH4</v>
      </c>
      <c r="I793" s="101" t="str">
        <f>INDEX(Tableau8[Att3],MATCH(Tableau3[[#This Row],[ID-INS]],Tableau8[ID],0))&amp;""</f>
        <v>Barrière BH4</v>
      </c>
      <c r="J793" s="101"/>
      <c r="K793" s="167" t="str">
        <f>INDEX(Tableau8[Nom du modele],MATCH(Tableau3[[#This Row],[ID-INS]],Tableau8[ID],0))&amp;""</f>
        <v>BarriereLisse</v>
      </c>
      <c r="L793" s="99" t="str">
        <f>INDEX(Tableau5[Att1],MATCH(Tableau3[[#This Row],[ID-SIG]],Tableau5[ID],0))&amp;""</f>
        <v>Ouv</v>
      </c>
      <c r="M793" s="99" t="str">
        <f>INDEX(Tableau5[Att2],MATCH(Tableau3[[#This Row],[ID-SIG]],Tableau5[ID],0))&amp;""</f>
        <v/>
      </c>
      <c r="N793" s="99" t="str">
        <f>INDEX(Tableau5[Att3],MATCH(Tableau3[[#This Row],[ID-SIG]],Tableau5[ID],0))&amp;""</f>
        <v/>
      </c>
      <c r="O793" s="99"/>
      <c r="P793" s="99" t="str">
        <f>INDEX(Tableau5[Description],MATCH(Tableau3[[#This Row],[ID-SIG]],Tableau5[ID],0))</f>
        <v>Position ouverte</v>
      </c>
      <c r="Q793" s="99"/>
      <c r="R793" s="103" t="str">
        <f>Tableau3[[#This Row],[Description]]</f>
        <v>Position ouverte</v>
      </c>
      <c r="U793" s="87">
        <v>5</v>
      </c>
      <c r="V793" s="87">
        <v>2</v>
      </c>
      <c r="W793" s="87">
        <v>4</v>
      </c>
      <c r="X793" s="87">
        <v>15</v>
      </c>
      <c r="Y793" s="40"/>
      <c r="Z793" s="165" t="str">
        <f>INDEX(Tableau2[TS],MATCH(Tableau3[[#This Row],[ID-CARTEVOIE]],Tableau2[ID-CARTEVOIE],0))</f>
        <v>ET</v>
      </c>
      <c r="AA793" s="53" t="s">
        <v>213</v>
      </c>
      <c r="AB793" s="223" t="str">
        <f>IFERROR(INDEX(Tableau5[Reserve],MATCH(Tableau3[[#This Row],[ID-SIG]],Tableau5[ID],0))&amp;"","")</f>
        <v/>
      </c>
      <c r="AC793" s="21"/>
      <c r="AD793" s="108" t="str">
        <f>INDEX(Tableau7[Repere],MATCH(Tableau3[[#This Row],[ID-API]],Tableau7[ID-API],0))&amp;""</f>
        <v>A5</v>
      </c>
      <c r="AE793" s="108" t="str">
        <f>INDEX(Tableau1[Repere-Rack],MATCH(Tableau3[[#This Row],[ID-RACK]],Tableau1[ID-RACK],0))&amp;""</f>
        <v>R2</v>
      </c>
      <c r="AF793" s="108" t="str">
        <f>INDEX(Tableau1[Repere-Slot],MATCH(Tableau3[[#This Row],[ID-SLOT]],Tableau1[ID-SLOT],0))&amp;""</f>
        <v>S4</v>
      </c>
      <c r="AG793" s="108" t="str">
        <f>INDEX(Tableau2[Repere-Voie],MATCH(Tableau3[[#This Row],[ID-VOIE]],Tableau2[ID-Voie],0))&amp;""</f>
        <v>v15</v>
      </c>
      <c r="AH793" s="72" t="str">
        <f>Tableau3[[#This Row],[ID-API]]&amp; "." &amp;Tableau3[[#This Row],[ID-RACK]]&amp; "." &amp;Tableau3[[#This Row],[ID-SLOT]]</f>
        <v>5.2.4</v>
      </c>
      <c r="AI793" s="72" t="str">
        <f>INDEX(Tableau1[Ref-Carte],MATCH(Tableau3[[#This Row],[ID-RRS]],Tableau1[ID-RRS],0))</f>
        <v>SDI1602</v>
      </c>
      <c r="AJ793" s="72" t="str">
        <f t="array" ref="AJ793">IFERROR(INDEX(Tableau2[TS],MATCH(1,(Tableau2[Ref-Carte]=Tableau3[[#This Row],[Ref-Carte2]])*(Tableau2[ID-Voie]=Tableau3[[#This Row],[ID-VOIE]]),0)),"")</f>
        <v>ET</v>
      </c>
      <c r="AK793" s="72" t="str">
        <f>IFERROR(INDEX(Tableau2[TS],SUMPRODUCT((Tableau2[Ref-Carte]=Tableau3[[#This Row],[Ref-Carte2]])*(Tableau2[ID-Voie]=Tableau3[[#This Row],[ID-VOIE]])*ROW(Tableau2[TS]))-ROW(Tableau2[#Headers])),"")</f>
        <v>ET</v>
      </c>
      <c r="AL793" s="72" t="str">
        <f>Tableau3[[#This Row],[Ref-Carte2]]&amp;"/"&amp;Tableau3[[#This Row],[ID-VOIE]]</f>
        <v>SDI1602/15</v>
      </c>
      <c r="AM793" s="73" t="str">
        <f>INDEX(Tableau2[Borne],MATCH(Tableau3[[#This Row],[ID-CARTEVOIE]],Tableau2[ID-CARTEVOIE],0))&amp;""</f>
        <v>7A</v>
      </c>
      <c r="AN793" s="74" t="str">
        <f>Tableau3[[#This Row],[ID-API]]&amp;Tableau3[[#This Row],[ID-RACK]]&amp;Tableau3[[#This Row],[ID-SLOT]]&amp;Tableau3[[#This Row],[BORNE]]</f>
        <v>5247A</v>
      </c>
      <c r="AO793" s="1"/>
    </row>
    <row r="794" spans="1:41" ht="20.100000000000001" customHeight="1" thickTop="1" thickBot="1">
      <c r="A794" s="68"/>
      <c r="B794" s="69" t="str">
        <f>IFERROR(INDEX(Tableau4[Date],MATCH($A794,Tableau4[EVO],0)),"")</f>
        <v/>
      </c>
      <c r="C794" s="68" t="str">
        <f>IFERROR(INDEX(Tableau4[Designation],MATCH($A794,Tableau4[EVO],0)),"")</f>
        <v/>
      </c>
      <c r="D794" s="68"/>
      <c r="E794" s="70">
        <v>75</v>
      </c>
      <c r="F794" s="71">
        <v>67</v>
      </c>
      <c r="G794" s="101" t="str">
        <f>INDEX(Tableau8[Att1],MATCH(Tableau3[[#This Row],[ID-INS]],Tableau8[ID],0))&amp;""</f>
        <v>V4</v>
      </c>
      <c r="H794" s="101" t="str">
        <f>INDEX(Tableau8[Att2],MATCH(Tableau3[[#This Row],[ID-INS]],Tableau8[ID],0))&amp;""</f>
        <v>BH4</v>
      </c>
      <c r="I794" s="101" t="str">
        <f>INDEX(Tableau8[Att3],MATCH(Tableau3[[#This Row],[ID-INS]],Tableau8[ID],0))&amp;""</f>
        <v>Barrière BH4</v>
      </c>
      <c r="J794" s="101"/>
      <c r="K794" s="167" t="str">
        <f>INDEX(Tableau8[Nom du modele],MATCH(Tableau3[[#This Row],[ID-INS]],Tableau8[ID],0))&amp;""</f>
        <v>BarriereLisse</v>
      </c>
      <c r="L794" s="99" t="str">
        <f>INDEX(Tableau5[Att1],MATCH(Tableau3[[#This Row],[ID-SIG]],Tableau5[ID],0))&amp;""</f>
        <v>Fer</v>
      </c>
      <c r="M794" s="99" t="str">
        <f>INDEX(Tableau5[Att2],MATCH(Tableau3[[#This Row],[ID-SIG]],Tableau5[ID],0))&amp;""</f>
        <v/>
      </c>
      <c r="N794" s="99" t="str">
        <f>INDEX(Tableau5[Att3],MATCH(Tableau3[[#This Row],[ID-SIG]],Tableau5[ID],0))&amp;""</f>
        <v/>
      </c>
      <c r="O794" s="99"/>
      <c r="P794" s="99" t="str">
        <f>INDEX(Tableau5[Description],MATCH(Tableau3[[#This Row],[ID-SIG]],Tableau5[ID],0))</f>
        <v>Position fermée</v>
      </c>
      <c r="Q794" s="99"/>
      <c r="R794" s="103" t="str">
        <f>Tableau3[[#This Row],[Description]]</f>
        <v>Position fermée</v>
      </c>
      <c r="U794" s="87">
        <v>5</v>
      </c>
      <c r="V794" s="87">
        <v>2</v>
      </c>
      <c r="W794" s="87">
        <v>5</v>
      </c>
      <c r="X794" s="87">
        <v>0</v>
      </c>
      <c r="Y794" s="40"/>
      <c r="Z794" s="165" t="str">
        <f>INDEX(Tableau2[TS],MATCH(Tableau3[[#This Row],[ID-CARTEVOIE]],Tableau2[ID-CARTEVOIE],0))</f>
        <v>ET</v>
      </c>
      <c r="AA794" s="53" t="s">
        <v>213</v>
      </c>
      <c r="AB794" s="223" t="str">
        <f>IFERROR(INDEX(Tableau5[Reserve],MATCH(Tableau3[[#This Row],[ID-SIG]],Tableau5[ID],0))&amp;"","")</f>
        <v/>
      </c>
      <c r="AC794" s="21"/>
      <c r="AD794" s="108" t="str">
        <f>INDEX(Tableau7[Repere],MATCH(Tableau3[[#This Row],[ID-API]],Tableau7[ID-API],0))&amp;""</f>
        <v>A5</v>
      </c>
      <c r="AE794" s="108" t="str">
        <f>INDEX(Tableau1[Repere-Rack],MATCH(Tableau3[[#This Row],[ID-RACK]],Tableau1[ID-RACK],0))&amp;""</f>
        <v>R2</v>
      </c>
      <c r="AF794" s="108" t="str">
        <f>INDEX(Tableau1[Repere-Slot],MATCH(Tableau3[[#This Row],[ID-SLOT]],Tableau1[ID-SLOT],0))&amp;""</f>
        <v>S5</v>
      </c>
      <c r="AG794" s="108" t="str">
        <f>INDEX(Tableau2[Repere-Voie],MATCH(Tableau3[[#This Row],[ID-VOIE]],Tableau2[ID-Voie],0))&amp;""</f>
        <v>v0</v>
      </c>
      <c r="AH794" s="72" t="str">
        <f>Tableau3[[#This Row],[ID-API]]&amp; "." &amp;Tableau3[[#This Row],[ID-RACK]]&amp; "." &amp;Tableau3[[#This Row],[ID-SLOT]]</f>
        <v>5.2.5</v>
      </c>
      <c r="AI794" s="72" t="str">
        <f>INDEX(Tableau1[Ref-Carte],MATCH(Tableau3[[#This Row],[ID-RRS]],Tableau1[ID-RRS],0))</f>
        <v>SDI1602</v>
      </c>
      <c r="AJ794" s="72" t="str">
        <f t="array" ref="AJ794">IFERROR(INDEX(Tableau2[TS],MATCH(1,(Tableau2[Ref-Carte]=Tableau3[[#This Row],[Ref-Carte2]])*(Tableau2[ID-Voie]=Tableau3[[#This Row],[ID-VOIE]]),0)),"")</f>
        <v>ET</v>
      </c>
      <c r="AK794" s="72" t="str">
        <f>IFERROR(INDEX(Tableau2[TS],SUMPRODUCT((Tableau2[Ref-Carte]=Tableau3[[#This Row],[Ref-Carte2]])*(Tableau2[ID-Voie]=Tableau3[[#This Row],[ID-VOIE]])*ROW(Tableau2[TS]))-ROW(Tableau2[#Headers])),"")</f>
        <v>ET</v>
      </c>
      <c r="AL794" s="72" t="str">
        <f>Tableau3[[#This Row],[Ref-Carte2]]&amp;"/"&amp;Tableau3[[#This Row],[ID-VOIE]]</f>
        <v>SDI1602/0</v>
      </c>
      <c r="AM794" s="73" t="str">
        <f>INDEX(Tableau2[Borne],MATCH(Tableau3[[#This Row],[ID-CARTEVOIE]],Tableau2[ID-CARTEVOIE],0))&amp;""</f>
        <v>0B</v>
      </c>
      <c r="AN794" s="74" t="str">
        <f>Tableau3[[#This Row],[ID-API]]&amp;Tableau3[[#This Row],[ID-RACK]]&amp;Tableau3[[#This Row],[ID-SLOT]]&amp;Tableau3[[#This Row],[BORNE]]</f>
        <v>5250B</v>
      </c>
      <c r="AO794" s="1"/>
    </row>
    <row r="795" spans="1:41" ht="20.100000000000001" customHeight="1" thickTop="1" thickBot="1">
      <c r="A795" s="68"/>
      <c r="B795" s="69" t="str">
        <f>IFERROR(INDEX(Tableau4[Date],MATCH($A795,Tableau4[EVO],0)),"")</f>
        <v/>
      </c>
      <c r="C795" s="68" t="str">
        <f>IFERROR(INDEX(Tableau4[Designation],MATCH($A795,Tableau4[EVO],0)),"")</f>
        <v/>
      </c>
      <c r="D795" s="68"/>
      <c r="E795" s="70">
        <v>75</v>
      </c>
      <c r="F795" s="71">
        <v>68</v>
      </c>
      <c r="G795" s="101" t="str">
        <f>INDEX(Tableau8[Att1],MATCH(Tableau3[[#This Row],[ID-INS]],Tableau8[ID],0))&amp;""</f>
        <v>V4</v>
      </c>
      <c r="H795" s="101" t="str">
        <f>INDEX(Tableau8[Att2],MATCH(Tableau3[[#This Row],[ID-INS]],Tableau8[ID],0))&amp;""</f>
        <v>BH4</v>
      </c>
      <c r="I795" s="101" t="str">
        <f>INDEX(Tableau8[Att3],MATCH(Tableau3[[#This Row],[ID-INS]],Tableau8[ID],0))&amp;""</f>
        <v>Barrière BH4</v>
      </c>
      <c r="J795" s="101"/>
      <c r="K795" s="167" t="str">
        <f>INDEX(Tableau8[Nom du modele],MATCH(Tableau3[[#This Row],[ID-INS]],Tableau8[ID],0))&amp;""</f>
        <v>BarriereLisse</v>
      </c>
      <c r="L795" s="99" t="str">
        <f>INDEX(Tableau5[Att1],MATCH(Tableau3[[#This Row],[ID-SIG]],Tableau5[ID],0))&amp;""</f>
        <v>SynthDef</v>
      </c>
      <c r="M795" s="99" t="str">
        <f>INDEX(Tableau5[Att2],MATCH(Tableau3[[#This Row],[ID-SIG]],Tableau5[ID],0))&amp;""</f>
        <v/>
      </c>
      <c r="N795" s="99" t="str">
        <f>INDEX(Tableau5[Att3],MATCH(Tableau3[[#This Row],[ID-SIG]],Tableau5[ID],0))&amp;""</f>
        <v/>
      </c>
      <c r="O795" s="99"/>
      <c r="P795" s="99" t="str">
        <f>INDEX(Tableau5[Description],MATCH(Tableau3[[#This Row],[ID-SIG]],Tableau5[ID],0))</f>
        <v>Synthèse défaut</v>
      </c>
      <c r="Q795" s="99"/>
      <c r="R795" s="103" t="str">
        <f>Tableau3[[#This Row],[Description]]</f>
        <v>Synthèse défaut</v>
      </c>
      <c r="U795" s="87">
        <v>5</v>
      </c>
      <c r="V795" s="87">
        <v>2</v>
      </c>
      <c r="W795" s="87">
        <v>5</v>
      </c>
      <c r="X795" s="87">
        <v>1</v>
      </c>
      <c r="Y795" s="40"/>
      <c r="Z795" s="165" t="str">
        <f>INDEX(Tableau2[TS],MATCH(Tableau3[[#This Row],[ID-CARTEVOIE]],Tableau2[ID-CARTEVOIE],0))</f>
        <v>ET</v>
      </c>
      <c r="AA795" s="53" t="s">
        <v>213</v>
      </c>
      <c r="AB795" s="223" t="str">
        <f>IFERROR(INDEX(Tableau5[Reserve],MATCH(Tableau3[[#This Row],[ID-SIG]],Tableau5[ID],0))&amp;"","")</f>
        <v/>
      </c>
      <c r="AC795" s="21"/>
      <c r="AD795" s="108" t="str">
        <f>INDEX(Tableau7[Repere],MATCH(Tableau3[[#This Row],[ID-API]],Tableau7[ID-API],0))&amp;""</f>
        <v>A5</v>
      </c>
      <c r="AE795" s="108" t="str">
        <f>INDEX(Tableau1[Repere-Rack],MATCH(Tableau3[[#This Row],[ID-RACK]],Tableau1[ID-RACK],0))&amp;""</f>
        <v>R2</v>
      </c>
      <c r="AF795" s="108" t="str">
        <f>INDEX(Tableau1[Repere-Slot],MATCH(Tableau3[[#This Row],[ID-SLOT]],Tableau1[ID-SLOT],0))&amp;""</f>
        <v>S5</v>
      </c>
      <c r="AG795" s="108" t="str">
        <f>INDEX(Tableau2[Repere-Voie],MATCH(Tableau3[[#This Row],[ID-VOIE]],Tableau2[ID-Voie],0))&amp;""</f>
        <v>v1</v>
      </c>
      <c r="AH795" s="72" t="str">
        <f>Tableau3[[#This Row],[ID-API]]&amp; "." &amp;Tableau3[[#This Row],[ID-RACK]]&amp; "." &amp;Tableau3[[#This Row],[ID-SLOT]]</f>
        <v>5.2.5</v>
      </c>
      <c r="AI795" s="72" t="str">
        <f>INDEX(Tableau1[Ref-Carte],MATCH(Tableau3[[#This Row],[ID-RRS]],Tableau1[ID-RRS],0))</f>
        <v>SDI1602</v>
      </c>
      <c r="AJ795" s="72" t="str">
        <f t="array" ref="AJ795">IFERROR(INDEX(Tableau2[TS],MATCH(1,(Tableau2[Ref-Carte]=Tableau3[[#This Row],[Ref-Carte2]])*(Tableau2[ID-Voie]=Tableau3[[#This Row],[ID-VOIE]]),0)),"")</f>
        <v>ET</v>
      </c>
      <c r="AK795" s="72" t="str">
        <f>IFERROR(INDEX(Tableau2[TS],SUMPRODUCT((Tableau2[Ref-Carte]=Tableau3[[#This Row],[Ref-Carte2]])*(Tableau2[ID-Voie]=Tableau3[[#This Row],[ID-VOIE]])*ROW(Tableau2[TS]))-ROW(Tableau2[#Headers])),"")</f>
        <v>ET</v>
      </c>
      <c r="AL795" s="72" t="str">
        <f>Tableau3[[#This Row],[Ref-Carte2]]&amp;"/"&amp;Tableau3[[#This Row],[ID-VOIE]]</f>
        <v>SDI1602/1</v>
      </c>
      <c r="AM795" s="73" t="str">
        <f>INDEX(Tableau2[Borne],MATCH(Tableau3[[#This Row],[ID-CARTEVOIE]],Tableau2[ID-CARTEVOIE],0))&amp;""</f>
        <v>0A</v>
      </c>
      <c r="AN795" s="74" t="str">
        <f>Tableau3[[#This Row],[ID-API]]&amp;Tableau3[[#This Row],[ID-RACK]]&amp;Tableau3[[#This Row],[ID-SLOT]]&amp;Tableau3[[#This Row],[BORNE]]</f>
        <v>5250A</v>
      </c>
      <c r="AO795" s="1"/>
    </row>
    <row r="796" spans="1:41" ht="20.100000000000001" customHeight="1" thickTop="1" thickBot="1">
      <c r="A796" s="68"/>
      <c r="B796" s="69" t="str">
        <f>IFERROR(INDEX(Tableau4[Date],MATCH($A796,Tableau4[EVO],0)),"")</f>
        <v/>
      </c>
      <c r="C796" s="68" t="str">
        <f>IFERROR(INDEX(Tableau4[Designation],MATCH($A796,Tableau4[EVO],0)),"")</f>
        <v/>
      </c>
      <c r="D796" s="68"/>
      <c r="E796" s="70">
        <v>75</v>
      </c>
      <c r="F796" s="71">
        <v>69</v>
      </c>
      <c r="G796" s="101" t="str">
        <f>INDEX(Tableau8[Att1],MATCH(Tableau3[[#This Row],[ID-INS]],Tableau8[ID],0))&amp;""</f>
        <v>V4</v>
      </c>
      <c r="H796" s="101" t="str">
        <f>INDEX(Tableau8[Att2],MATCH(Tableau3[[#This Row],[ID-INS]],Tableau8[ID],0))&amp;""</f>
        <v>BH4</v>
      </c>
      <c r="I796" s="101" t="str">
        <f>INDEX(Tableau8[Att3],MATCH(Tableau3[[#This Row],[ID-INS]],Tableau8[ID],0))&amp;""</f>
        <v>Barrière BH4</v>
      </c>
      <c r="J796" s="101"/>
      <c r="K796" s="167" t="str">
        <f>INDEX(Tableau8[Nom du modele],MATCH(Tableau3[[#This Row],[ID-INS]],Tableau8[ID],0))&amp;""</f>
        <v>BarriereLisse</v>
      </c>
      <c r="L796" s="99" t="str">
        <f>INDEX(Tableau5[Att1],MATCH(Tableau3[[#This Row],[ID-SIG]],Tableau5[ID],0))&amp;""</f>
        <v>Effraction</v>
      </c>
      <c r="M796" s="99" t="str">
        <f>INDEX(Tableau5[Att2],MATCH(Tableau3[[#This Row],[ID-SIG]],Tableau5[ID],0))&amp;""</f>
        <v/>
      </c>
      <c r="N796" s="99" t="str">
        <f>INDEX(Tableau5[Att3],MATCH(Tableau3[[#This Row],[ID-SIG]],Tableau5[ID],0))&amp;""</f>
        <v/>
      </c>
      <c r="O796" s="99"/>
      <c r="P796" s="99" t="str">
        <f>INDEX(Tableau5[Description],MATCH(Tableau3[[#This Row],[ID-SIG]],Tableau5[ID],0))</f>
        <v>Effraction</v>
      </c>
      <c r="Q796" s="99"/>
      <c r="R796" s="103" t="str">
        <f>Tableau3[[#This Row],[Description]]</f>
        <v>Effraction</v>
      </c>
      <c r="U796" s="87">
        <v>5</v>
      </c>
      <c r="V796" s="87">
        <v>2</v>
      </c>
      <c r="W796" s="87">
        <v>5</v>
      </c>
      <c r="X796" s="87">
        <v>2</v>
      </c>
      <c r="Y796" s="40"/>
      <c r="Z796" s="165" t="str">
        <f>INDEX(Tableau2[TS],MATCH(Tableau3[[#This Row],[ID-CARTEVOIE]],Tableau2[ID-CARTEVOIE],0))</f>
        <v>ET</v>
      </c>
      <c r="AA796" s="53" t="s">
        <v>213</v>
      </c>
      <c r="AB796" s="223" t="str">
        <f>IFERROR(INDEX(Tableau5[Reserve],MATCH(Tableau3[[#This Row],[ID-SIG]],Tableau5[ID],0))&amp;"","")</f>
        <v/>
      </c>
      <c r="AC796" s="21"/>
      <c r="AD796" s="108" t="str">
        <f>INDEX(Tableau7[Repere],MATCH(Tableau3[[#This Row],[ID-API]],Tableau7[ID-API],0))&amp;""</f>
        <v>A5</v>
      </c>
      <c r="AE796" s="108" t="str">
        <f>INDEX(Tableau1[Repere-Rack],MATCH(Tableau3[[#This Row],[ID-RACK]],Tableau1[ID-RACK],0))&amp;""</f>
        <v>R2</v>
      </c>
      <c r="AF796" s="108" t="str">
        <f>INDEX(Tableau1[Repere-Slot],MATCH(Tableau3[[#This Row],[ID-SLOT]],Tableau1[ID-SLOT],0))&amp;""</f>
        <v>S5</v>
      </c>
      <c r="AG796" s="108" t="str">
        <f>INDEX(Tableau2[Repere-Voie],MATCH(Tableau3[[#This Row],[ID-VOIE]],Tableau2[ID-Voie],0))&amp;""</f>
        <v>v2</v>
      </c>
      <c r="AH796" s="72" t="str">
        <f>Tableau3[[#This Row],[ID-API]]&amp; "." &amp;Tableau3[[#This Row],[ID-RACK]]&amp; "." &amp;Tableau3[[#This Row],[ID-SLOT]]</f>
        <v>5.2.5</v>
      </c>
      <c r="AI796" s="72" t="str">
        <f>INDEX(Tableau1[Ref-Carte],MATCH(Tableau3[[#This Row],[ID-RRS]],Tableau1[ID-RRS],0))</f>
        <v>SDI1602</v>
      </c>
      <c r="AJ796" s="72" t="str">
        <f t="array" ref="AJ796">IFERROR(INDEX(Tableau2[TS],MATCH(1,(Tableau2[Ref-Carte]=Tableau3[[#This Row],[Ref-Carte2]])*(Tableau2[ID-Voie]=Tableau3[[#This Row],[ID-VOIE]]),0)),"")</f>
        <v>ET</v>
      </c>
      <c r="AK796" s="72" t="str">
        <f>IFERROR(INDEX(Tableau2[TS],SUMPRODUCT((Tableau2[Ref-Carte]=Tableau3[[#This Row],[Ref-Carte2]])*(Tableau2[ID-Voie]=Tableau3[[#This Row],[ID-VOIE]])*ROW(Tableau2[TS]))-ROW(Tableau2[#Headers])),"")</f>
        <v>ET</v>
      </c>
      <c r="AL796" s="72" t="str">
        <f>Tableau3[[#This Row],[Ref-Carte2]]&amp;"/"&amp;Tableau3[[#This Row],[ID-VOIE]]</f>
        <v>SDI1602/2</v>
      </c>
      <c r="AM796" s="73" t="str">
        <f>INDEX(Tableau2[Borne],MATCH(Tableau3[[#This Row],[ID-CARTEVOIE]],Tableau2[ID-CARTEVOIE],0))&amp;""</f>
        <v>1B</v>
      </c>
      <c r="AN796" s="74" t="str">
        <f>Tableau3[[#This Row],[ID-API]]&amp;Tableau3[[#This Row],[ID-RACK]]&amp;Tableau3[[#This Row],[ID-SLOT]]&amp;Tableau3[[#This Row],[BORNE]]</f>
        <v>5251B</v>
      </c>
      <c r="AO796" s="1"/>
    </row>
    <row r="797" spans="1:41" ht="20.100000000000001" customHeight="1" thickTop="1" thickBot="1">
      <c r="A797" s="68"/>
      <c r="B797" s="69" t="str">
        <f>IFERROR(INDEX(Tableau4[Date],MATCH($A797,Tableau4[EVO],0)),"")</f>
        <v/>
      </c>
      <c r="C797" s="68" t="str">
        <f>IFERROR(INDEX(Tableau4[Designation],MATCH($A797,Tableau4[EVO],0)),"")</f>
        <v/>
      </c>
      <c r="D797" s="68"/>
      <c r="E797" s="70">
        <v>75</v>
      </c>
      <c r="F797" s="71">
        <v>70</v>
      </c>
      <c r="G797" s="101" t="str">
        <f>INDEX(Tableau8[Att1],MATCH(Tableau3[[#This Row],[ID-INS]],Tableau8[ID],0))&amp;""</f>
        <v>V4</v>
      </c>
      <c r="H797" s="101" t="str">
        <f>INDEX(Tableau8[Att2],MATCH(Tableau3[[#This Row],[ID-INS]],Tableau8[ID],0))&amp;""</f>
        <v>BH4</v>
      </c>
      <c r="I797" s="101" t="str">
        <f>INDEX(Tableau8[Att3],MATCH(Tableau3[[#This Row],[ID-INS]],Tableau8[ID],0))&amp;""</f>
        <v>Barrière BH4</v>
      </c>
      <c r="J797" s="101"/>
      <c r="K797" s="167" t="str">
        <f>INDEX(Tableau8[Nom du modele],MATCH(Tableau3[[#This Row],[ID-INS]],Tableau8[ID],0))&amp;""</f>
        <v>BarriereLisse</v>
      </c>
      <c r="L797" s="99" t="str">
        <f>INDEX(Tableau5[Att1],MATCH(Tableau3[[#This Row],[ID-SIG]],Tableau5[ID],0))&amp;""</f>
        <v>Pres</v>
      </c>
      <c r="M797" s="99" t="str">
        <f>INDEX(Tableau5[Att2],MATCH(Tableau3[[#This Row],[ID-SIG]],Tableau5[ID],0))&amp;""</f>
        <v/>
      </c>
      <c r="N797" s="99" t="str">
        <f>INDEX(Tableau5[Att3],MATCH(Tableau3[[#This Row],[ID-SIG]],Tableau5[ID],0))&amp;""</f>
        <v/>
      </c>
      <c r="O797" s="99"/>
      <c r="P797" s="99" t="str">
        <f>INDEX(Tableau5[Description],MATCH(Tableau3[[#This Row],[ID-SIG]],Tableau5[ID],0))</f>
        <v>Présence sous la barrière (Cellule)</v>
      </c>
      <c r="Q797" s="99"/>
      <c r="R797" s="103" t="str">
        <f>Tableau3[[#This Row],[Description]]</f>
        <v>Présence sous la barrière (Cellule)</v>
      </c>
      <c r="U797" s="87">
        <v>5</v>
      </c>
      <c r="V797" s="87">
        <v>2</v>
      </c>
      <c r="W797" s="87">
        <v>5</v>
      </c>
      <c r="X797" s="87">
        <v>3</v>
      </c>
      <c r="Y797" s="40"/>
      <c r="Z797" s="165" t="str">
        <f>INDEX(Tableau2[TS],MATCH(Tableau3[[#This Row],[ID-CARTEVOIE]],Tableau2[ID-CARTEVOIE],0))</f>
        <v>ET</v>
      </c>
      <c r="AA797" s="53" t="s">
        <v>213</v>
      </c>
      <c r="AB797" s="223" t="str">
        <f>IFERROR(INDEX(Tableau5[Reserve],MATCH(Tableau3[[#This Row],[ID-SIG]],Tableau5[ID],0))&amp;"","")</f>
        <v/>
      </c>
      <c r="AC797" s="21"/>
      <c r="AD797" s="108" t="str">
        <f>INDEX(Tableau7[Repere],MATCH(Tableau3[[#This Row],[ID-API]],Tableau7[ID-API],0))&amp;""</f>
        <v>A5</v>
      </c>
      <c r="AE797" s="108" t="str">
        <f>INDEX(Tableau1[Repere-Rack],MATCH(Tableau3[[#This Row],[ID-RACK]],Tableau1[ID-RACK],0))&amp;""</f>
        <v>R2</v>
      </c>
      <c r="AF797" s="108" t="str">
        <f>INDEX(Tableau1[Repere-Slot],MATCH(Tableau3[[#This Row],[ID-SLOT]],Tableau1[ID-SLOT],0))&amp;""</f>
        <v>S5</v>
      </c>
      <c r="AG797" s="108" t="str">
        <f>INDEX(Tableau2[Repere-Voie],MATCH(Tableau3[[#This Row],[ID-VOIE]],Tableau2[ID-Voie],0))&amp;""</f>
        <v>v3</v>
      </c>
      <c r="AH797" s="72" t="str">
        <f>Tableau3[[#This Row],[ID-API]]&amp; "." &amp;Tableau3[[#This Row],[ID-RACK]]&amp; "." &amp;Tableau3[[#This Row],[ID-SLOT]]</f>
        <v>5.2.5</v>
      </c>
      <c r="AI797" s="72" t="str">
        <f>INDEX(Tableau1[Ref-Carte],MATCH(Tableau3[[#This Row],[ID-RRS]],Tableau1[ID-RRS],0))</f>
        <v>SDI1602</v>
      </c>
      <c r="AJ797" s="72" t="str">
        <f t="array" ref="AJ797">IFERROR(INDEX(Tableau2[TS],MATCH(1,(Tableau2[Ref-Carte]=Tableau3[[#This Row],[Ref-Carte2]])*(Tableau2[ID-Voie]=Tableau3[[#This Row],[ID-VOIE]]),0)),"")</f>
        <v>ET</v>
      </c>
      <c r="AK797" s="72" t="str">
        <f>IFERROR(INDEX(Tableau2[TS],SUMPRODUCT((Tableau2[Ref-Carte]=Tableau3[[#This Row],[Ref-Carte2]])*(Tableau2[ID-Voie]=Tableau3[[#This Row],[ID-VOIE]])*ROW(Tableau2[TS]))-ROW(Tableau2[#Headers])),"")</f>
        <v>ET</v>
      </c>
      <c r="AL797" s="72" t="str">
        <f>Tableau3[[#This Row],[Ref-Carte2]]&amp;"/"&amp;Tableau3[[#This Row],[ID-VOIE]]</f>
        <v>SDI1602/3</v>
      </c>
      <c r="AM797" s="73" t="str">
        <f>INDEX(Tableau2[Borne],MATCH(Tableau3[[#This Row],[ID-CARTEVOIE]],Tableau2[ID-CARTEVOIE],0))&amp;""</f>
        <v>1A</v>
      </c>
      <c r="AN797" s="74" t="str">
        <f>Tableau3[[#This Row],[ID-API]]&amp;Tableau3[[#This Row],[ID-RACK]]&amp;Tableau3[[#This Row],[ID-SLOT]]&amp;Tableau3[[#This Row],[BORNE]]</f>
        <v>5251A</v>
      </c>
      <c r="AO797" s="1"/>
    </row>
    <row r="798" spans="1:41" ht="20.100000000000001" customHeight="1" thickTop="1" thickBot="1">
      <c r="A798" s="68"/>
      <c r="B798" s="69" t="str">
        <f>IFERROR(INDEX(Tableau4[Date],MATCH($A798,Tableau4[EVO],0)),"")</f>
        <v/>
      </c>
      <c r="C798" s="68" t="str">
        <f>IFERROR(INDEX(Tableau4[Designation],MATCH($A798,Tableau4[EVO],0)),"")</f>
        <v/>
      </c>
      <c r="D798" s="68"/>
      <c r="E798" s="70">
        <v>86</v>
      </c>
      <c r="F798" s="71">
        <v>314</v>
      </c>
      <c r="G798" s="101" t="str">
        <f>INDEX(Tableau8[Att1],MATCH(Tableau3[[#This Row],[ID-INS]],Tableau8[ID],0))&amp;""</f>
        <v>V4</v>
      </c>
      <c r="H798" s="101" t="str">
        <f>INDEX(Tableau8[Att2],MATCH(Tableau3[[#This Row],[ID-INS]],Tableau8[ID],0))&amp;""</f>
        <v>F8</v>
      </c>
      <c r="I798" s="101" t="str">
        <f>INDEX(Tableau8[Att3],MATCH(Tableau3[[#This Row],[ID-INS]],Tableau8[ID],0))&amp;""</f>
        <v>Feu F8</v>
      </c>
      <c r="J798" s="101"/>
      <c r="K798" s="167" t="str">
        <f>INDEX(Tableau8[Nom du modele],MATCH(Tableau3[[#This Row],[ID-INS]],Tableau8[ID],0))&amp;""</f>
        <v>FeuBi_1</v>
      </c>
      <c r="L798" s="99" t="str">
        <f>INDEX(Tableau5[Att1],MATCH(Tableau3[[#This Row],[ID-SIG]],Tableau5[ID],0))&amp;""</f>
        <v>FeuR_RM</v>
      </c>
      <c r="M798" s="99" t="str">
        <f>INDEX(Tableau5[Att2],MATCH(Tableau3[[#This Row],[ID-SIG]],Tableau5[ID],0))&amp;""</f>
        <v/>
      </c>
      <c r="N798" s="99" t="str">
        <f>INDEX(Tableau5[Att3],MATCH(Tableau3[[#This Row],[ID-SIG]],Tableau5[ID],0))&amp;""</f>
        <v/>
      </c>
      <c r="O798" s="99"/>
      <c r="P798" s="99" t="str">
        <f>INDEX(Tableau5[Description],MATCH(Tableau3[[#This Row],[ID-SIG]],Tableau5[ID],0))</f>
        <v xml:space="preserve">Retour de marche Feu rouge </v>
      </c>
      <c r="Q798" s="99"/>
      <c r="R798" s="103" t="str">
        <f>Tableau3[[#This Row],[Description]]</f>
        <v xml:space="preserve">Retour de marche Feu rouge </v>
      </c>
      <c r="U798" s="87">
        <v>5</v>
      </c>
      <c r="V798" s="87">
        <v>2</v>
      </c>
      <c r="W798" s="87">
        <v>5</v>
      </c>
      <c r="X798" s="87">
        <v>4</v>
      </c>
      <c r="Y798" s="40"/>
      <c r="Z798" s="165" t="str">
        <f>INDEX(Tableau2[TS],MATCH(Tableau3[[#This Row],[ID-CARTEVOIE]],Tableau2[ID-CARTEVOIE],0))</f>
        <v>ET</v>
      </c>
      <c r="AA798" s="53" t="s">
        <v>213</v>
      </c>
      <c r="AB798" s="223" t="str">
        <f>IFERROR(INDEX(Tableau5[Reserve],MATCH(Tableau3[[#This Row],[ID-SIG]],Tableau5[ID],0))&amp;"","")</f>
        <v/>
      </c>
      <c r="AC798" s="21"/>
      <c r="AD798" s="108" t="str">
        <f>INDEX(Tableau7[Repere],MATCH(Tableau3[[#This Row],[ID-API]],Tableau7[ID-API],0))&amp;""</f>
        <v>A5</v>
      </c>
      <c r="AE798" s="108" t="str">
        <f>INDEX(Tableau1[Repere-Rack],MATCH(Tableau3[[#This Row],[ID-RACK]],Tableau1[ID-RACK],0))&amp;""</f>
        <v>R2</v>
      </c>
      <c r="AF798" s="108" t="str">
        <f>INDEX(Tableau1[Repere-Slot],MATCH(Tableau3[[#This Row],[ID-SLOT]],Tableau1[ID-SLOT],0))&amp;""</f>
        <v>S5</v>
      </c>
      <c r="AG798" s="108" t="str">
        <f>INDEX(Tableau2[Repere-Voie],MATCH(Tableau3[[#This Row],[ID-VOIE]],Tableau2[ID-Voie],0))&amp;""</f>
        <v>v4</v>
      </c>
      <c r="AH798" s="72" t="str">
        <f>Tableau3[[#This Row],[ID-API]]&amp; "." &amp;Tableau3[[#This Row],[ID-RACK]]&amp; "." &amp;Tableau3[[#This Row],[ID-SLOT]]</f>
        <v>5.2.5</v>
      </c>
      <c r="AI798" s="72" t="str">
        <f>INDEX(Tableau1[Ref-Carte],MATCH(Tableau3[[#This Row],[ID-RRS]],Tableau1[ID-RRS],0))</f>
        <v>SDI1602</v>
      </c>
      <c r="AJ798" s="72" t="str">
        <f t="array" ref="AJ798">IFERROR(INDEX(Tableau2[TS],MATCH(1,(Tableau2[Ref-Carte]=Tableau3[[#This Row],[Ref-Carte2]])*(Tableau2[ID-Voie]=Tableau3[[#This Row],[ID-VOIE]]),0)),"")</f>
        <v>ET</v>
      </c>
      <c r="AK798" s="72" t="str">
        <f>IFERROR(INDEX(Tableau2[TS],SUMPRODUCT((Tableau2[Ref-Carte]=Tableau3[[#This Row],[Ref-Carte2]])*(Tableau2[ID-Voie]=Tableau3[[#This Row],[ID-VOIE]])*ROW(Tableau2[TS]))-ROW(Tableau2[#Headers])),"")</f>
        <v>ET</v>
      </c>
      <c r="AL798" s="72" t="str">
        <f>Tableau3[[#This Row],[Ref-Carte2]]&amp;"/"&amp;Tableau3[[#This Row],[ID-VOIE]]</f>
        <v>SDI1602/4</v>
      </c>
      <c r="AM798" s="73" t="str">
        <f>INDEX(Tableau2[Borne],MATCH(Tableau3[[#This Row],[ID-CARTEVOIE]],Tableau2[ID-CARTEVOIE],0))&amp;""</f>
        <v>2B</v>
      </c>
      <c r="AN798" s="74" t="str">
        <f>Tableau3[[#This Row],[ID-API]]&amp;Tableau3[[#This Row],[ID-RACK]]&amp;Tableau3[[#This Row],[ID-SLOT]]&amp;Tableau3[[#This Row],[BORNE]]</f>
        <v>5252B</v>
      </c>
      <c r="AO798" s="1"/>
    </row>
    <row r="799" spans="1:41" ht="20.100000000000001" customHeight="1" thickTop="1" thickBot="1">
      <c r="A799" s="68"/>
      <c r="B799" s="69" t="str">
        <f>IFERROR(INDEX(Tableau4[Date],MATCH($A799,Tableau4[EVO],0)),"")</f>
        <v/>
      </c>
      <c r="C799" s="68" t="str">
        <f>IFERROR(INDEX(Tableau4[Designation],MATCH($A799,Tableau4[EVO],0)),"")</f>
        <v/>
      </c>
      <c r="D799" s="68"/>
      <c r="E799" s="70">
        <v>86</v>
      </c>
      <c r="F799" s="71">
        <v>315</v>
      </c>
      <c r="G799" s="101" t="str">
        <f>INDEX(Tableau8[Att1],MATCH(Tableau3[[#This Row],[ID-INS]],Tableau8[ID],0))&amp;""</f>
        <v>V4</v>
      </c>
      <c r="H799" s="101" t="str">
        <f>INDEX(Tableau8[Att2],MATCH(Tableau3[[#This Row],[ID-INS]],Tableau8[ID],0))&amp;""</f>
        <v>F8</v>
      </c>
      <c r="I799" s="101" t="str">
        <f>INDEX(Tableau8[Att3],MATCH(Tableau3[[#This Row],[ID-INS]],Tableau8[ID],0))&amp;""</f>
        <v>Feu F8</v>
      </c>
      <c r="J799" s="101"/>
      <c r="K799" s="167" t="str">
        <f>INDEX(Tableau8[Nom du modele],MATCH(Tableau3[[#This Row],[ID-INS]],Tableau8[ID],0))&amp;""</f>
        <v>FeuBi_1</v>
      </c>
      <c r="L799" s="99" t="str">
        <f>INDEX(Tableau5[Att1],MATCH(Tableau3[[#This Row],[ID-SIG]],Tableau5[ID],0))&amp;""</f>
        <v>FeuV_RM</v>
      </c>
      <c r="M799" s="99" t="str">
        <f>INDEX(Tableau5[Att2],MATCH(Tableau3[[#This Row],[ID-SIG]],Tableau5[ID],0))&amp;""</f>
        <v/>
      </c>
      <c r="N799" s="99" t="str">
        <f>INDEX(Tableau5[Att3],MATCH(Tableau3[[#This Row],[ID-SIG]],Tableau5[ID],0))&amp;""</f>
        <v/>
      </c>
      <c r="O799" s="99"/>
      <c r="P799" s="99" t="str">
        <f>INDEX(Tableau5[Description],MATCH(Tableau3[[#This Row],[ID-SIG]],Tableau5[ID],0))</f>
        <v>Retour de marche Feu Vert</v>
      </c>
      <c r="Q799" s="99"/>
      <c r="R799" s="103" t="str">
        <f>Tableau3[[#This Row],[Description]]</f>
        <v>Retour de marche Feu Vert</v>
      </c>
      <c r="U799" s="87">
        <v>5</v>
      </c>
      <c r="V799" s="87">
        <v>2</v>
      </c>
      <c r="W799" s="87">
        <v>5</v>
      </c>
      <c r="X799" s="87">
        <v>5</v>
      </c>
      <c r="Y799" s="40"/>
      <c r="Z799" s="165" t="str">
        <f>INDEX(Tableau2[TS],MATCH(Tableau3[[#This Row],[ID-CARTEVOIE]],Tableau2[ID-CARTEVOIE],0))</f>
        <v>ET</v>
      </c>
      <c r="AA799" s="53" t="s">
        <v>213</v>
      </c>
      <c r="AB799" s="223" t="str">
        <f>IFERROR(INDEX(Tableau5[Reserve],MATCH(Tableau3[[#This Row],[ID-SIG]],Tableau5[ID],0))&amp;"","")</f>
        <v/>
      </c>
      <c r="AC799" s="21"/>
      <c r="AD799" s="108" t="str">
        <f>INDEX(Tableau7[Repere],MATCH(Tableau3[[#This Row],[ID-API]],Tableau7[ID-API],0))&amp;""</f>
        <v>A5</v>
      </c>
      <c r="AE799" s="108" t="str">
        <f>INDEX(Tableau1[Repere-Rack],MATCH(Tableau3[[#This Row],[ID-RACK]],Tableau1[ID-RACK],0))&amp;""</f>
        <v>R2</v>
      </c>
      <c r="AF799" s="108" t="str">
        <f>INDEX(Tableau1[Repere-Slot],MATCH(Tableau3[[#This Row],[ID-SLOT]],Tableau1[ID-SLOT],0))&amp;""</f>
        <v>S5</v>
      </c>
      <c r="AG799" s="108" t="str">
        <f>INDEX(Tableau2[Repere-Voie],MATCH(Tableau3[[#This Row],[ID-VOIE]],Tableau2[ID-Voie],0))&amp;""</f>
        <v>v5</v>
      </c>
      <c r="AH799" s="72" t="str">
        <f>Tableau3[[#This Row],[ID-API]]&amp; "." &amp;Tableau3[[#This Row],[ID-RACK]]&amp; "." &amp;Tableau3[[#This Row],[ID-SLOT]]</f>
        <v>5.2.5</v>
      </c>
      <c r="AI799" s="72" t="str">
        <f>INDEX(Tableau1[Ref-Carte],MATCH(Tableau3[[#This Row],[ID-RRS]],Tableau1[ID-RRS],0))</f>
        <v>SDI1602</v>
      </c>
      <c r="AJ799" s="72" t="str">
        <f t="array" ref="AJ799">IFERROR(INDEX(Tableau2[TS],MATCH(1,(Tableau2[Ref-Carte]=Tableau3[[#This Row],[Ref-Carte2]])*(Tableau2[ID-Voie]=Tableau3[[#This Row],[ID-VOIE]]),0)),"")</f>
        <v>ET</v>
      </c>
      <c r="AK799" s="72" t="str">
        <f>IFERROR(INDEX(Tableau2[TS],SUMPRODUCT((Tableau2[Ref-Carte]=Tableau3[[#This Row],[Ref-Carte2]])*(Tableau2[ID-Voie]=Tableau3[[#This Row],[ID-VOIE]])*ROW(Tableau2[TS]))-ROW(Tableau2[#Headers])),"")</f>
        <v>ET</v>
      </c>
      <c r="AL799" s="72" t="str">
        <f>Tableau3[[#This Row],[Ref-Carte2]]&amp;"/"&amp;Tableau3[[#This Row],[ID-VOIE]]</f>
        <v>SDI1602/5</v>
      </c>
      <c r="AM799" s="73" t="str">
        <f>INDEX(Tableau2[Borne],MATCH(Tableau3[[#This Row],[ID-CARTEVOIE]],Tableau2[ID-CARTEVOIE],0))&amp;""</f>
        <v>2A</v>
      </c>
      <c r="AN799" s="74" t="str">
        <f>Tableau3[[#This Row],[ID-API]]&amp;Tableau3[[#This Row],[ID-RACK]]&amp;Tableau3[[#This Row],[ID-SLOT]]&amp;Tableau3[[#This Row],[BORNE]]</f>
        <v>5252A</v>
      </c>
      <c r="AO799" s="1"/>
    </row>
    <row r="800" spans="1:41" ht="20.100000000000001" customHeight="1" thickTop="1" thickBot="1">
      <c r="A800" s="68"/>
      <c r="B800" s="69" t="str">
        <f>IFERROR(INDEX(Tableau4[Date],MATCH($A800,Tableau4[EVO],0)),"")</f>
        <v/>
      </c>
      <c r="C800" s="68" t="str">
        <f>IFERROR(INDEX(Tableau4[Designation],MATCH($A800,Tableau4[EVO],0)),"")</f>
        <v/>
      </c>
      <c r="D800" s="68"/>
      <c r="E800" s="70">
        <v>106</v>
      </c>
      <c r="F800" s="71">
        <v>15</v>
      </c>
      <c r="G800" s="101" t="str">
        <f>INDEX(Tableau8[Att1],MATCH(Tableau3[[#This Row],[ID-INS]],Tableau8[ID],0))&amp;""</f>
        <v>V4</v>
      </c>
      <c r="H800" s="101" t="str">
        <f>INDEX(Tableau8[Att2],MATCH(Tableau3[[#This Row],[ID-INS]],Tableau8[ID],0))&amp;""</f>
        <v>UTLR4</v>
      </c>
      <c r="I800" s="101" t="str">
        <f>INDEX(Tableau8[Att3],MATCH(Tableau3[[#This Row],[ID-INS]],Tableau8[ID],0))&amp;""</f>
        <v>UTL rouge IDVL4/IDPL1/BH4</v>
      </c>
      <c r="J800" s="101"/>
      <c r="K800" s="167" t="str">
        <f>INDEX(Tableau8[Nom du modele],MATCH(Tableau3[[#This Row],[ID-INS]],Tableau8[ID],0))&amp;""</f>
        <v>UTL</v>
      </c>
      <c r="L800" s="99" t="str">
        <f>INDEX(Tableau5[Att1],MATCH(Tableau3[[#This Row],[ID-SIG]],Tableau5[ID],0))&amp;""</f>
        <v>DmdOuv</v>
      </c>
      <c r="M800" s="99" t="str">
        <f>INDEX(Tableau5[Att2],MATCH(Tableau3[[#This Row],[ID-SIG]],Tableau5[ID],0))&amp;""</f>
        <v/>
      </c>
      <c r="N800" s="99" t="str">
        <f>INDEX(Tableau5[Att3],MATCH(Tableau3[[#This Row],[ID-SIG]],Tableau5[ID],0))&amp;""</f>
        <v/>
      </c>
      <c r="O800" s="99"/>
      <c r="P800" s="99" t="str">
        <f>INDEX(Tableau5[Description],MATCH(Tableau3[[#This Row],[ID-SIG]],Tableau5[ID],0))</f>
        <v>Demande d'ouverture venant UTL</v>
      </c>
      <c r="Q800" s="99"/>
      <c r="R800" s="103" t="str">
        <f>Tableau3[[#This Row],[Description]]</f>
        <v>Demande d'ouverture venant UTL</v>
      </c>
      <c r="U800" s="87">
        <v>5</v>
      </c>
      <c r="V800" s="87">
        <v>2</v>
      </c>
      <c r="W800" s="87">
        <v>5</v>
      </c>
      <c r="X800" s="87">
        <v>6</v>
      </c>
      <c r="Y800" s="40"/>
      <c r="Z800" s="165" t="str">
        <f>INDEX(Tableau2[TS],MATCH(Tableau3[[#This Row],[ID-CARTEVOIE]],Tableau2[ID-CARTEVOIE],0))</f>
        <v>ET</v>
      </c>
      <c r="AA800" s="53" t="s">
        <v>213</v>
      </c>
      <c r="AB800" s="223" t="str">
        <f>IFERROR(INDEX(Tableau5[Reserve],MATCH(Tableau3[[#This Row],[ID-SIG]],Tableau5[ID],0))&amp;"","")</f>
        <v/>
      </c>
      <c r="AC800" s="21"/>
      <c r="AD800" s="108" t="str">
        <f>INDEX(Tableau7[Repere],MATCH(Tableau3[[#This Row],[ID-API]],Tableau7[ID-API],0))&amp;""</f>
        <v>A5</v>
      </c>
      <c r="AE800" s="108" t="str">
        <f>INDEX(Tableau1[Repere-Rack],MATCH(Tableau3[[#This Row],[ID-RACK]],Tableau1[ID-RACK],0))&amp;""</f>
        <v>R2</v>
      </c>
      <c r="AF800" s="108" t="str">
        <f>INDEX(Tableau1[Repere-Slot],MATCH(Tableau3[[#This Row],[ID-SLOT]],Tableau1[ID-SLOT],0))&amp;""</f>
        <v>S5</v>
      </c>
      <c r="AG800" s="108" t="str">
        <f>INDEX(Tableau2[Repere-Voie],MATCH(Tableau3[[#This Row],[ID-VOIE]],Tableau2[ID-Voie],0))&amp;""</f>
        <v>v6</v>
      </c>
      <c r="AH800" s="72" t="str">
        <f>Tableau3[[#This Row],[ID-API]]&amp; "." &amp;Tableau3[[#This Row],[ID-RACK]]&amp; "." &amp;Tableau3[[#This Row],[ID-SLOT]]</f>
        <v>5.2.5</v>
      </c>
      <c r="AI800" s="72" t="str">
        <f>INDEX(Tableau1[Ref-Carte],MATCH(Tableau3[[#This Row],[ID-RRS]],Tableau1[ID-RRS],0))</f>
        <v>SDI1602</v>
      </c>
      <c r="AJ800" s="72" t="str">
        <f t="array" ref="AJ800">IFERROR(INDEX(Tableau2[TS],MATCH(1,(Tableau2[Ref-Carte]=Tableau3[[#This Row],[Ref-Carte2]])*(Tableau2[ID-Voie]=Tableau3[[#This Row],[ID-VOIE]]),0)),"")</f>
        <v>ET</v>
      </c>
      <c r="AK800" s="72" t="str">
        <f>IFERROR(INDEX(Tableau2[TS],SUMPRODUCT((Tableau2[Ref-Carte]=Tableau3[[#This Row],[Ref-Carte2]])*(Tableau2[ID-Voie]=Tableau3[[#This Row],[ID-VOIE]])*ROW(Tableau2[TS]))-ROW(Tableau2[#Headers])),"")</f>
        <v>ET</v>
      </c>
      <c r="AL800" s="72" t="str">
        <f>Tableau3[[#This Row],[Ref-Carte2]]&amp;"/"&amp;Tableau3[[#This Row],[ID-VOIE]]</f>
        <v>SDI1602/6</v>
      </c>
      <c r="AM800" s="73" t="str">
        <f>INDEX(Tableau2[Borne],MATCH(Tableau3[[#This Row],[ID-CARTEVOIE]],Tableau2[ID-CARTEVOIE],0))&amp;""</f>
        <v>3B</v>
      </c>
      <c r="AN800" s="74" t="str">
        <f>Tableau3[[#This Row],[ID-API]]&amp;Tableau3[[#This Row],[ID-RACK]]&amp;Tableau3[[#This Row],[ID-SLOT]]&amp;Tableau3[[#This Row],[BORNE]]</f>
        <v>5253B</v>
      </c>
      <c r="AO800" s="1"/>
    </row>
    <row r="801" spans="1:41" ht="20.100000000000001" customHeight="1" thickTop="1" thickBot="1">
      <c r="A801" s="68"/>
      <c r="B801" s="69" t="str">
        <f>IFERROR(INDEX(Tableau4[Date],MATCH($A801,Tableau4[EVO],0)),"")</f>
        <v/>
      </c>
      <c r="C801" s="68" t="str">
        <f>IFERROR(INDEX(Tableau4[Designation],MATCH($A801,Tableau4[EVO],0)),"")</f>
        <v/>
      </c>
      <c r="D801" s="68"/>
      <c r="E801" s="70">
        <v>107</v>
      </c>
      <c r="F801" s="71">
        <v>15</v>
      </c>
      <c r="G801" s="101" t="str">
        <f>INDEX(Tableau8[Att1],MATCH(Tableau3[[#This Row],[ID-INS]],Tableau8[ID],0))&amp;""</f>
        <v>B21</v>
      </c>
      <c r="H801" s="101" t="str">
        <f>INDEX(Tableau8[Att2],MATCH(Tableau3[[#This Row],[ID-INS]],Tableau8[ID],0))&amp;""</f>
        <v>UTLR6</v>
      </c>
      <c r="I801" s="101" t="str">
        <f>INDEX(Tableau8[Att3],MATCH(Tableau3[[#This Row],[ID-INS]],Tableau8[ID],0))&amp;""</f>
        <v>UTL rouge IDP2/PMR3</v>
      </c>
      <c r="J801" s="101"/>
      <c r="K801" s="167" t="str">
        <f>INDEX(Tableau8[Nom du modele],MATCH(Tableau3[[#This Row],[ID-INS]],Tableau8[ID],0))&amp;""</f>
        <v>UTL</v>
      </c>
      <c r="L801" s="99" t="str">
        <f>INDEX(Tableau5[Att1],MATCH(Tableau3[[#This Row],[ID-SIG]],Tableau5[ID],0))&amp;""</f>
        <v>DmdOuv</v>
      </c>
      <c r="M801" s="99" t="str">
        <f>INDEX(Tableau5[Att2],MATCH(Tableau3[[#This Row],[ID-SIG]],Tableau5[ID],0))&amp;""</f>
        <v/>
      </c>
      <c r="N801" s="99" t="str">
        <f>INDEX(Tableau5[Att3],MATCH(Tableau3[[#This Row],[ID-SIG]],Tableau5[ID],0))&amp;""</f>
        <v/>
      </c>
      <c r="O801" s="99"/>
      <c r="P801" s="99" t="str">
        <f>INDEX(Tableau5[Description],MATCH(Tableau3[[#This Row],[ID-SIG]],Tableau5[ID],0))</f>
        <v>Demande d'ouverture venant UTL</v>
      </c>
      <c r="Q801" s="99"/>
      <c r="R801" s="103" t="str">
        <f>Tableau3[[#This Row],[Description]]</f>
        <v>Demande d'ouverture venant UTL</v>
      </c>
      <c r="U801" s="87">
        <v>5</v>
      </c>
      <c r="V801" s="87">
        <v>2</v>
      </c>
      <c r="W801" s="87">
        <v>5</v>
      </c>
      <c r="X801" s="87">
        <v>7</v>
      </c>
      <c r="Y801" s="40"/>
      <c r="Z801" s="165" t="str">
        <f>INDEX(Tableau2[TS],MATCH(Tableau3[[#This Row],[ID-CARTEVOIE]],Tableau2[ID-CARTEVOIE],0))</f>
        <v>ET</v>
      </c>
      <c r="AA801" s="53" t="s">
        <v>213</v>
      </c>
      <c r="AB801" s="223" t="str">
        <f>IFERROR(INDEX(Tableau5[Reserve],MATCH(Tableau3[[#This Row],[ID-SIG]],Tableau5[ID],0))&amp;"","")</f>
        <v/>
      </c>
      <c r="AC801" s="21"/>
      <c r="AD801" s="108" t="str">
        <f>INDEX(Tableau7[Repere],MATCH(Tableau3[[#This Row],[ID-API]],Tableau7[ID-API],0))&amp;""</f>
        <v>A5</v>
      </c>
      <c r="AE801" s="108" t="str">
        <f>INDEX(Tableau1[Repere-Rack],MATCH(Tableau3[[#This Row],[ID-RACK]],Tableau1[ID-RACK],0))&amp;""</f>
        <v>R2</v>
      </c>
      <c r="AF801" s="108" t="str">
        <f>INDEX(Tableau1[Repere-Slot],MATCH(Tableau3[[#This Row],[ID-SLOT]],Tableau1[ID-SLOT],0))&amp;""</f>
        <v>S5</v>
      </c>
      <c r="AG801" s="108" t="str">
        <f>INDEX(Tableau2[Repere-Voie],MATCH(Tableau3[[#This Row],[ID-VOIE]],Tableau2[ID-Voie],0))&amp;""</f>
        <v>v7</v>
      </c>
      <c r="AH801" s="72" t="str">
        <f>Tableau3[[#This Row],[ID-API]]&amp; "." &amp;Tableau3[[#This Row],[ID-RACK]]&amp; "." &amp;Tableau3[[#This Row],[ID-SLOT]]</f>
        <v>5.2.5</v>
      </c>
      <c r="AI801" s="72" t="str">
        <f>INDEX(Tableau1[Ref-Carte],MATCH(Tableau3[[#This Row],[ID-RRS]],Tableau1[ID-RRS],0))</f>
        <v>SDI1602</v>
      </c>
      <c r="AJ801" s="72" t="str">
        <f t="array" ref="AJ801">IFERROR(INDEX(Tableau2[TS],MATCH(1,(Tableau2[Ref-Carte]=Tableau3[[#This Row],[Ref-Carte2]])*(Tableau2[ID-Voie]=Tableau3[[#This Row],[ID-VOIE]]),0)),"")</f>
        <v>ET</v>
      </c>
      <c r="AK801" s="72" t="str">
        <f>IFERROR(INDEX(Tableau2[TS],SUMPRODUCT((Tableau2[Ref-Carte]=Tableau3[[#This Row],[Ref-Carte2]])*(Tableau2[ID-Voie]=Tableau3[[#This Row],[ID-VOIE]])*ROW(Tableau2[TS]))-ROW(Tableau2[#Headers])),"")</f>
        <v>ET</v>
      </c>
      <c r="AL801" s="72" t="str">
        <f>Tableau3[[#This Row],[Ref-Carte2]]&amp;"/"&amp;Tableau3[[#This Row],[ID-VOIE]]</f>
        <v>SDI1602/7</v>
      </c>
      <c r="AM801" s="73" t="str">
        <f>INDEX(Tableau2[Borne],MATCH(Tableau3[[#This Row],[ID-CARTEVOIE]],Tableau2[ID-CARTEVOIE],0))&amp;""</f>
        <v>3A</v>
      </c>
      <c r="AN801" s="74" t="str">
        <f>Tableau3[[#This Row],[ID-API]]&amp;Tableau3[[#This Row],[ID-RACK]]&amp;Tableau3[[#This Row],[ID-SLOT]]&amp;Tableau3[[#This Row],[BORNE]]</f>
        <v>5253A</v>
      </c>
      <c r="AO801" s="1"/>
    </row>
    <row r="802" spans="1:41" ht="20.100000000000001" customHeight="1" thickTop="1" thickBot="1">
      <c r="A802" s="68"/>
      <c r="B802" s="69" t="str">
        <f>IFERROR(INDEX(Tableau4[Date],MATCH($A802,Tableau4[EVO],0)),"")</f>
        <v/>
      </c>
      <c r="C802" s="68" t="str">
        <f>IFERROR(INDEX(Tableau4[Designation],MATCH($A802,Tableau4[EVO],0)),"")</f>
        <v/>
      </c>
      <c r="D802" s="68"/>
      <c r="E802" s="70">
        <v>108</v>
      </c>
      <c r="F802" s="71">
        <v>15</v>
      </c>
      <c r="G802" s="101" t="str">
        <f>INDEX(Tableau8[Att1],MATCH(Tableau3[[#This Row],[ID-INS]],Tableau8[ID],0))&amp;""</f>
        <v>B21</v>
      </c>
      <c r="H802" s="101" t="str">
        <f>INDEX(Tableau8[Att2],MATCH(Tableau3[[#This Row],[ID-INS]],Tableau8[ID],0))&amp;""</f>
        <v>UTLR7</v>
      </c>
      <c r="I802" s="101" t="str">
        <f>INDEX(Tableau8[Att3],MATCH(Tableau3[[#This Row],[ID-INS]],Tableau8[ID],0))&amp;""</f>
        <v>UTL rouge IDP3/TRSD1-1</v>
      </c>
      <c r="J802" s="101"/>
      <c r="K802" s="167" t="str">
        <f>INDEX(Tableau8[Nom du modele],MATCH(Tableau3[[#This Row],[ID-INS]],Tableau8[ID],0))&amp;""</f>
        <v>UTL</v>
      </c>
      <c r="L802" s="99" t="str">
        <f>INDEX(Tableau5[Att1],MATCH(Tableau3[[#This Row],[ID-SIG]],Tableau5[ID],0))&amp;""</f>
        <v>DmdOuv</v>
      </c>
      <c r="M802" s="99" t="str">
        <f>INDEX(Tableau5[Att2],MATCH(Tableau3[[#This Row],[ID-SIG]],Tableau5[ID],0))&amp;""</f>
        <v/>
      </c>
      <c r="N802" s="99" t="str">
        <f>INDEX(Tableau5[Att3],MATCH(Tableau3[[#This Row],[ID-SIG]],Tableau5[ID],0))&amp;""</f>
        <v/>
      </c>
      <c r="O802" s="99"/>
      <c r="P802" s="99" t="str">
        <f>INDEX(Tableau5[Description],MATCH(Tableau3[[#This Row],[ID-SIG]],Tableau5[ID],0))</f>
        <v>Demande d'ouverture venant UTL</v>
      </c>
      <c r="Q802" s="99"/>
      <c r="R802" s="103" t="str">
        <f>Tableau3[[#This Row],[Description]]</f>
        <v>Demande d'ouverture venant UTL</v>
      </c>
      <c r="U802" s="87">
        <v>5</v>
      </c>
      <c r="V802" s="87">
        <v>2</v>
      </c>
      <c r="W802" s="87">
        <v>5</v>
      </c>
      <c r="X802" s="87">
        <v>8</v>
      </c>
      <c r="Y802" s="40"/>
      <c r="Z802" s="165" t="str">
        <f>INDEX(Tableau2[TS],MATCH(Tableau3[[#This Row],[ID-CARTEVOIE]],Tableau2[ID-CARTEVOIE],0))</f>
        <v>ET</v>
      </c>
      <c r="AA802" s="53" t="s">
        <v>213</v>
      </c>
      <c r="AB802" s="223" t="str">
        <f>IFERROR(INDEX(Tableau5[Reserve],MATCH(Tableau3[[#This Row],[ID-SIG]],Tableau5[ID],0))&amp;"","")</f>
        <v/>
      </c>
      <c r="AC802" s="21"/>
      <c r="AD802" s="108" t="str">
        <f>INDEX(Tableau7[Repere],MATCH(Tableau3[[#This Row],[ID-API]],Tableau7[ID-API],0))&amp;""</f>
        <v>A5</v>
      </c>
      <c r="AE802" s="108" t="str">
        <f>INDEX(Tableau1[Repere-Rack],MATCH(Tableau3[[#This Row],[ID-RACK]],Tableau1[ID-RACK],0))&amp;""</f>
        <v>R2</v>
      </c>
      <c r="AF802" s="108" t="str">
        <f>INDEX(Tableau1[Repere-Slot],MATCH(Tableau3[[#This Row],[ID-SLOT]],Tableau1[ID-SLOT],0))&amp;""</f>
        <v>S5</v>
      </c>
      <c r="AG802" s="108" t="str">
        <f>INDEX(Tableau2[Repere-Voie],MATCH(Tableau3[[#This Row],[ID-VOIE]],Tableau2[ID-Voie],0))&amp;""</f>
        <v>v8</v>
      </c>
      <c r="AH802" s="72" t="str">
        <f>Tableau3[[#This Row],[ID-API]]&amp; "." &amp;Tableau3[[#This Row],[ID-RACK]]&amp; "." &amp;Tableau3[[#This Row],[ID-SLOT]]</f>
        <v>5.2.5</v>
      </c>
      <c r="AI802" s="72" t="str">
        <f>INDEX(Tableau1[Ref-Carte],MATCH(Tableau3[[#This Row],[ID-RRS]],Tableau1[ID-RRS],0))</f>
        <v>SDI1602</v>
      </c>
      <c r="AJ802" s="72" t="str">
        <f t="array" ref="AJ802">IFERROR(INDEX(Tableau2[TS],MATCH(1,(Tableau2[Ref-Carte]=Tableau3[[#This Row],[Ref-Carte2]])*(Tableau2[ID-Voie]=Tableau3[[#This Row],[ID-VOIE]]),0)),"")</f>
        <v>ET</v>
      </c>
      <c r="AK802" s="72" t="str">
        <f>IFERROR(INDEX(Tableau2[TS],SUMPRODUCT((Tableau2[Ref-Carte]=Tableau3[[#This Row],[Ref-Carte2]])*(Tableau2[ID-Voie]=Tableau3[[#This Row],[ID-VOIE]])*ROW(Tableau2[TS]))-ROW(Tableau2[#Headers])),"")</f>
        <v>ET</v>
      </c>
      <c r="AL802" s="72" t="str">
        <f>Tableau3[[#This Row],[Ref-Carte2]]&amp;"/"&amp;Tableau3[[#This Row],[ID-VOIE]]</f>
        <v>SDI1602/8</v>
      </c>
      <c r="AM802" s="73" t="str">
        <f>INDEX(Tableau2[Borne],MATCH(Tableau3[[#This Row],[ID-CARTEVOIE]],Tableau2[ID-CARTEVOIE],0))&amp;""</f>
        <v>4B</v>
      </c>
      <c r="AN802" s="74" t="str">
        <f>Tableau3[[#This Row],[ID-API]]&amp;Tableau3[[#This Row],[ID-RACK]]&amp;Tableau3[[#This Row],[ID-SLOT]]&amp;Tableau3[[#This Row],[BORNE]]</f>
        <v>5254B</v>
      </c>
      <c r="AO802" s="1"/>
    </row>
    <row r="803" spans="1:41" ht="20.100000000000001" customHeight="1" thickTop="1" thickBot="1">
      <c r="A803" s="68"/>
      <c r="B803" s="69" t="str">
        <f>IFERROR(INDEX(Tableau4[Date],MATCH($A803,Tableau4[EVO],0)),"")</f>
        <v/>
      </c>
      <c r="C803" s="68" t="str">
        <f>IFERROR(INDEX(Tableau4[Designation],MATCH($A803,Tableau4[EVO],0)),"")</f>
        <v/>
      </c>
      <c r="D803" s="68"/>
      <c r="E803" s="70">
        <v>117</v>
      </c>
      <c r="F803" s="71">
        <v>15</v>
      </c>
      <c r="G803" s="101" t="str">
        <f>INDEX(Tableau8[Att1],MATCH(Tableau3[[#This Row],[ID-INS]],Tableau8[ID],0))&amp;""</f>
        <v>V4</v>
      </c>
      <c r="H803" s="101" t="str">
        <f>INDEX(Tableau8[Att2],MATCH(Tableau3[[#This Row],[ID-INS]],Tableau8[ID],0))&amp;""</f>
        <v>UTLB4</v>
      </c>
      <c r="I803" s="101" t="str">
        <f>INDEX(Tableau8[Att3],MATCH(Tableau3[[#This Row],[ID-INS]],Tableau8[ID],0))&amp;""</f>
        <v>UTL bleue AUTVL4/AUTPL1/BH9</v>
      </c>
      <c r="J803" s="101"/>
      <c r="K803" s="167" t="str">
        <f>INDEX(Tableau8[Nom du modele],MATCH(Tableau3[[#This Row],[ID-INS]],Tableau8[ID],0))&amp;""</f>
        <v>UTL</v>
      </c>
      <c r="L803" s="99" t="str">
        <f>INDEX(Tableau5[Att1],MATCH(Tableau3[[#This Row],[ID-SIG]],Tableau5[ID],0))&amp;""</f>
        <v>DmdOuv</v>
      </c>
      <c r="M803" s="99" t="str">
        <f>INDEX(Tableau5[Att2],MATCH(Tableau3[[#This Row],[ID-SIG]],Tableau5[ID],0))&amp;""</f>
        <v/>
      </c>
      <c r="N803" s="99" t="str">
        <f>INDEX(Tableau5[Att3],MATCH(Tableau3[[#This Row],[ID-SIG]],Tableau5[ID],0))&amp;""</f>
        <v/>
      </c>
      <c r="O803" s="99"/>
      <c r="P803" s="99" t="str">
        <f>INDEX(Tableau5[Description],MATCH(Tableau3[[#This Row],[ID-SIG]],Tableau5[ID],0))</f>
        <v>Demande d'ouverture venant UTL</v>
      </c>
      <c r="Q803" s="99"/>
      <c r="R803" s="103" t="str">
        <f>Tableau3[[#This Row],[Description]]</f>
        <v>Demande d'ouverture venant UTL</v>
      </c>
      <c r="U803" s="87">
        <v>5</v>
      </c>
      <c r="V803" s="87">
        <v>2</v>
      </c>
      <c r="W803" s="87">
        <v>5</v>
      </c>
      <c r="X803" s="87">
        <v>9</v>
      </c>
      <c r="Y803" s="40"/>
      <c r="Z803" s="165" t="str">
        <f>INDEX(Tableau2[TS],MATCH(Tableau3[[#This Row],[ID-CARTEVOIE]],Tableau2[ID-CARTEVOIE],0))</f>
        <v>ET</v>
      </c>
      <c r="AA803" s="53" t="s">
        <v>213</v>
      </c>
      <c r="AB803" s="223" t="str">
        <f>IFERROR(INDEX(Tableau5[Reserve],MATCH(Tableau3[[#This Row],[ID-SIG]],Tableau5[ID],0))&amp;"","")</f>
        <v/>
      </c>
      <c r="AC803" s="21"/>
      <c r="AD803" s="108" t="str">
        <f>INDEX(Tableau7[Repere],MATCH(Tableau3[[#This Row],[ID-API]],Tableau7[ID-API],0))&amp;""</f>
        <v>A5</v>
      </c>
      <c r="AE803" s="108" t="str">
        <f>INDEX(Tableau1[Repere-Rack],MATCH(Tableau3[[#This Row],[ID-RACK]],Tableau1[ID-RACK],0))&amp;""</f>
        <v>R2</v>
      </c>
      <c r="AF803" s="108" t="str">
        <f>INDEX(Tableau1[Repere-Slot],MATCH(Tableau3[[#This Row],[ID-SLOT]],Tableau1[ID-SLOT],0))&amp;""</f>
        <v>S5</v>
      </c>
      <c r="AG803" s="108" t="str">
        <f>INDEX(Tableau2[Repere-Voie],MATCH(Tableau3[[#This Row],[ID-VOIE]],Tableau2[ID-Voie],0))&amp;""</f>
        <v>v9</v>
      </c>
      <c r="AH803" s="72" t="str">
        <f>Tableau3[[#This Row],[ID-API]]&amp; "." &amp;Tableau3[[#This Row],[ID-RACK]]&amp; "." &amp;Tableau3[[#This Row],[ID-SLOT]]</f>
        <v>5.2.5</v>
      </c>
      <c r="AI803" s="72" t="str">
        <f>INDEX(Tableau1[Ref-Carte],MATCH(Tableau3[[#This Row],[ID-RRS]],Tableau1[ID-RRS],0))</f>
        <v>SDI1602</v>
      </c>
      <c r="AJ803" s="72" t="str">
        <f t="array" ref="AJ803">IFERROR(INDEX(Tableau2[TS],MATCH(1,(Tableau2[Ref-Carte]=Tableau3[[#This Row],[Ref-Carte2]])*(Tableau2[ID-Voie]=Tableau3[[#This Row],[ID-VOIE]]),0)),"")</f>
        <v>ET</v>
      </c>
      <c r="AK803" s="72" t="str">
        <f>IFERROR(INDEX(Tableau2[TS],SUMPRODUCT((Tableau2[Ref-Carte]=Tableau3[[#This Row],[Ref-Carte2]])*(Tableau2[ID-Voie]=Tableau3[[#This Row],[ID-VOIE]])*ROW(Tableau2[TS]))-ROW(Tableau2[#Headers])),"")</f>
        <v>ET</v>
      </c>
      <c r="AL803" s="72" t="str">
        <f>Tableau3[[#This Row],[Ref-Carte2]]&amp;"/"&amp;Tableau3[[#This Row],[ID-VOIE]]</f>
        <v>SDI1602/9</v>
      </c>
      <c r="AM803" s="73" t="str">
        <f>INDEX(Tableau2[Borne],MATCH(Tableau3[[#This Row],[ID-CARTEVOIE]],Tableau2[ID-CARTEVOIE],0))&amp;""</f>
        <v>4A</v>
      </c>
      <c r="AN803" s="74" t="str">
        <f>Tableau3[[#This Row],[ID-API]]&amp;Tableau3[[#This Row],[ID-RACK]]&amp;Tableau3[[#This Row],[ID-SLOT]]&amp;Tableau3[[#This Row],[BORNE]]</f>
        <v>5254A</v>
      </c>
      <c r="AO803" s="1"/>
    </row>
    <row r="804" spans="1:41" ht="20.100000000000001" customHeight="1" thickTop="1" thickBot="1">
      <c r="A804" s="68"/>
      <c r="B804" s="69" t="str">
        <f>IFERROR(INDEX(Tableau4[Date],MATCH($A804,Tableau4[EVO],0)),"")</f>
        <v/>
      </c>
      <c r="C804" s="68" t="str">
        <f>IFERROR(INDEX(Tableau4[Designation],MATCH($A804,Tableau4[EVO],0)),"")</f>
        <v/>
      </c>
      <c r="D804" s="68"/>
      <c r="E804" s="70">
        <v>135</v>
      </c>
      <c r="F804" s="71">
        <v>10</v>
      </c>
      <c r="G804" s="101" t="str">
        <f>INDEX(Tableau8[Att1],MATCH(Tableau3[[#This Row],[ID-INS]],Tableau8[ID],0))&amp;""</f>
        <v>V4</v>
      </c>
      <c r="H804" s="101" t="str">
        <f>INDEX(Tableau8[Att2],MATCH(Tableau3[[#This Row],[ID-INS]],Tableau8[ID],0))&amp;""</f>
        <v>CORA4</v>
      </c>
      <c r="I804" s="101" t="str">
        <f>INDEX(Tableau8[Att3],MATCH(Tableau3[[#This Row],[ID-INS]],Tableau8[ID],0))&amp;""</f>
        <v>CORA Zone 4</v>
      </c>
      <c r="J804" s="101"/>
      <c r="K804" s="167" t="str">
        <f>INDEX(Tableau8[Nom du modele],MATCH(Tableau3[[#This Row],[ID-INS]],Tableau8[ID],0))&amp;""</f>
        <v>CORA</v>
      </c>
      <c r="L804" s="99" t="str">
        <f>INDEX(Tableau5[Att1],MATCH(Tableau3[[#This Row],[ID-SIG]],Tableau5[ID],0))&amp;""</f>
        <v>Detect</v>
      </c>
      <c r="M804" s="99" t="str">
        <f>INDEX(Tableau5[Att2],MATCH(Tableau3[[#This Row],[ID-SIG]],Tableau5[ID],0))&amp;""</f>
        <v/>
      </c>
      <c r="N804" s="99" t="str">
        <f>INDEX(Tableau5[Att3],MATCH(Tableau3[[#This Row],[ID-SIG]],Tableau5[ID],0))&amp;""</f>
        <v/>
      </c>
      <c r="O804" s="99"/>
      <c r="P804" s="99" t="str">
        <f>INDEX(Tableau5[Description],MATCH(Tableau3[[#This Row],[ID-SIG]],Tableau5[ID],0))</f>
        <v>Détection</v>
      </c>
      <c r="Q804" s="99"/>
      <c r="R804" s="103" t="str">
        <f>Tableau3[[#This Row],[Description]]</f>
        <v>Détection</v>
      </c>
      <c r="U804" s="87">
        <v>5</v>
      </c>
      <c r="V804" s="87">
        <v>2</v>
      </c>
      <c r="W804" s="87">
        <v>5</v>
      </c>
      <c r="X804" s="87">
        <v>10</v>
      </c>
      <c r="Y804" s="40"/>
      <c r="Z804" s="165" t="str">
        <f>INDEX(Tableau2[TS],MATCH(Tableau3[[#This Row],[ID-CARTEVOIE]],Tableau2[ID-CARTEVOIE],0))</f>
        <v>ET</v>
      </c>
      <c r="AA804" s="53" t="s">
        <v>213</v>
      </c>
      <c r="AB804" s="223" t="str">
        <f>IFERROR(INDEX(Tableau5[Reserve],MATCH(Tableau3[[#This Row],[ID-SIG]],Tableau5[ID],0))&amp;"","")</f>
        <v/>
      </c>
      <c r="AC804" s="21"/>
      <c r="AD804" s="108" t="str">
        <f>INDEX(Tableau7[Repere],MATCH(Tableau3[[#This Row],[ID-API]],Tableau7[ID-API],0))&amp;""</f>
        <v>A5</v>
      </c>
      <c r="AE804" s="108" t="str">
        <f>INDEX(Tableau1[Repere-Rack],MATCH(Tableau3[[#This Row],[ID-RACK]],Tableau1[ID-RACK],0))&amp;""</f>
        <v>R2</v>
      </c>
      <c r="AF804" s="108" t="str">
        <f>INDEX(Tableau1[Repere-Slot],MATCH(Tableau3[[#This Row],[ID-SLOT]],Tableau1[ID-SLOT],0))&amp;""</f>
        <v>S5</v>
      </c>
      <c r="AG804" s="108" t="str">
        <f>INDEX(Tableau2[Repere-Voie],MATCH(Tableau3[[#This Row],[ID-VOIE]],Tableau2[ID-Voie],0))&amp;""</f>
        <v>v10</v>
      </c>
      <c r="AH804" s="72" t="str">
        <f>Tableau3[[#This Row],[ID-API]]&amp; "." &amp;Tableau3[[#This Row],[ID-RACK]]&amp; "." &amp;Tableau3[[#This Row],[ID-SLOT]]</f>
        <v>5.2.5</v>
      </c>
      <c r="AI804" s="72" t="str">
        <f>INDEX(Tableau1[Ref-Carte],MATCH(Tableau3[[#This Row],[ID-RRS]],Tableau1[ID-RRS],0))</f>
        <v>SDI1602</v>
      </c>
      <c r="AJ804" s="72" t="str">
        <f t="array" ref="AJ804">IFERROR(INDEX(Tableau2[TS],MATCH(1,(Tableau2[Ref-Carte]=Tableau3[[#This Row],[Ref-Carte2]])*(Tableau2[ID-Voie]=Tableau3[[#This Row],[ID-VOIE]]),0)),"")</f>
        <v>ET</v>
      </c>
      <c r="AK804" s="72" t="str">
        <f>IFERROR(INDEX(Tableau2[TS],SUMPRODUCT((Tableau2[Ref-Carte]=Tableau3[[#This Row],[Ref-Carte2]])*(Tableau2[ID-Voie]=Tableau3[[#This Row],[ID-VOIE]])*ROW(Tableau2[TS]))-ROW(Tableau2[#Headers])),"")</f>
        <v>ET</v>
      </c>
      <c r="AL804" s="72" t="str">
        <f>Tableau3[[#This Row],[Ref-Carte2]]&amp;"/"&amp;Tableau3[[#This Row],[ID-VOIE]]</f>
        <v>SDI1602/10</v>
      </c>
      <c r="AM804" s="73" t="str">
        <f>INDEX(Tableau2[Borne],MATCH(Tableau3[[#This Row],[ID-CARTEVOIE]],Tableau2[ID-CARTEVOIE],0))&amp;""</f>
        <v>5B</v>
      </c>
      <c r="AN804" s="74" t="str">
        <f>Tableau3[[#This Row],[ID-API]]&amp;Tableau3[[#This Row],[ID-RACK]]&amp;Tableau3[[#This Row],[ID-SLOT]]&amp;Tableau3[[#This Row],[BORNE]]</f>
        <v>5255B</v>
      </c>
      <c r="AO804" s="1"/>
    </row>
    <row r="805" spans="1:41" ht="20.100000000000001" customHeight="1" thickTop="1" thickBot="1">
      <c r="A805" s="68"/>
      <c r="B805" s="69" t="str">
        <f>IFERROR(INDEX(Tableau4[Date],MATCH($A805,Tableau4[EVO],0)),"")</f>
        <v/>
      </c>
      <c r="C805" s="68" t="str">
        <f>IFERROR(INDEX(Tableau4[Designation],MATCH($A805,Tableau4[EVO],0)),"")</f>
        <v/>
      </c>
      <c r="D805" s="68"/>
      <c r="E805" s="70">
        <v>135</v>
      </c>
      <c r="F805" s="71">
        <v>11</v>
      </c>
      <c r="G805" s="101" t="str">
        <f>INDEX(Tableau8[Att1],MATCH(Tableau3[[#This Row],[ID-INS]],Tableau8[ID],0))&amp;""</f>
        <v>V4</v>
      </c>
      <c r="H805" s="101" t="str">
        <f>INDEX(Tableau8[Att2],MATCH(Tableau3[[#This Row],[ID-INS]],Tableau8[ID],0))&amp;""</f>
        <v>CORA4</v>
      </c>
      <c r="I805" s="101" t="str">
        <f>INDEX(Tableau8[Att3],MATCH(Tableau3[[#This Row],[ID-INS]],Tableau8[ID],0))&amp;""</f>
        <v>CORA Zone 4</v>
      </c>
      <c r="J805" s="101"/>
      <c r="K805" s="167" t="str">
        <f>INDEX(Tableau8[Nom du modele],MATCH(Tableau3[[#This Row],[ID-INS]],Tableau8[ID],0))&amp;""</f>
        <v>CORA</v>
      </c>
      <c r="L805" s="99" t="str">
        <f>INDEX(Tableau5[Att1],MATCH(Tableau3[[#This Row],[ID-SIG]],Tableau5[ID],0))&amp;""</f>
        <v>Def</v>
      </c>
      <c r="M805" s="99" t="str">
        <f>INDEX(Tableau5[Att2],MATCH(Tableau3[[#This Row],[ID-SIG]],Tableau5[ID],0))&amp;""</f>
        <v/>
      </c>
      <c r="N805" s="99" t="str">
        <f>INDEX(Tableau5[Att3],MATCH(Tableau3[[#This Row],[ID-SIG]],Tableau5[ID],0))&amp;""</f>
        <v/>
      </c>
      <c r="O805" s="99"/>
      <c r="P805" s="99" t="str">
        <f>INDEX(Tableau5[Description],MATCH(Tableau3[[#This Row],[ID-SIG]],Tableau5[ID],0))</f>
        <v>Défaut</v>
      </c>
      <c r="Q805" s="99"/>
      <c r="R805" s="103" t="str">
        <f>Tableau3[[#This Row],[Description]]</f>
        <v>Défaut</v>
      </c>
      <c r="U805" s="87">
        <v>5</v>
      </c>
      <c r="V805" s="87">
        <v>2</v>
      </c>
      <c r="W805" s="87">
        <v>5</v>
      </c>
      <c r="X805" s="87">
        <v>11</v>
      </c>
      <c r="Y805" s="40"/>
      <c r="Z805" s="165" t="str">
        <f>INDEX(Tableau2[TS],MATCH(Tableau3[[#This Row],[ID-CARTEVOIE]],Tableau2[ID-CARTEVOIE],0))</f>
        <v>ET</v>
      </c>
      <c r="AA805" s="53" t="s">
        <v>213</v>
      </c>
      <c r="AB805" s="223" t="str">
        <f>IFERROR(INDEX(Tableau5[Reserve],MATCH(Tableau3[[#This Row],[ID-SIG]],Tableau5[ID],0))&amp;"","")</f>
        <v/>
      </c>
      <c r="AC805" s="21"/>
      <c r="AD805" s="108" t="str">
        <f>INDEX(Tableau7[Repere],MATCH(Tableau3[[#This Row],[ID-API]],Tableau7[ID-API],0))&amp;""</f>
        <v>A5</v>
      </c>
      <c r="AE805" s="108" t="str">
        <f>INDEX(Tableau1[Repere-Rack],MATCH(Tableau3[[#This Row],[ID-RACK]],Tableau1[ID-RACK],0))&amp;""</f>
        <v>R2</v>
      </c>
      <c r="AF805" s="108" t="str">
        <f>INDEX(Tableau1[Repere-Slot],MATCH(Tableau3[[#This Row],[ID-SLOT]],Tableau1[ID-SLOT],0))&amp;""</f>
        <v>S5</v>
      </c>
      <c r="AG805" s="108" t="str">
        <f>INDEX(Tableau2[Repere-Voie],MATCH(Tableau3[[#This Row],[ID-VOIE]],Tableau2[ID-Voie],0))&amp;""</f>
        <v>v11</v>
      </c>
      <c r="AH805" s="72" t="str">
        <f>Tableau3[[#This Row],[ID-API]]&amp; "." &amp;Tableau3[[#This Row],[ID-RACK]]&amp; "." &amp;Tableau3[[#This Row],[ID-SLOT]]</f>
        <v>5.2.5</v>
      </c>
      <c r="AI805" s="72" t="str">
        <f>INDEX(Tableau1[Ref-Carte],MATCH(Tableau3[[#This Row],[ID-RRS]],Tableau1[ID-RRS],0))</f>
        <v>SDI1602</v>
      </c>
      <c r="AJ805" s="72" t="str">
        <f t="array" ref="AJ805">IFERROR(INDEX(Tableau2[TS],MATCH(1,(Tableau2[Ref-Carte]=Tableau3[[#This Row],[Ref-Carte2]])*(Tableau2[ID-Voie]=Tableau3[[#This Row],[ID-VOIE]]),0)),"")</f>
        <v>ET</v>
      </c>
      <c r="AK805" s="72" t="str">
        <f>IFERROR(INDEX(Tableau2[TS],SUMPRODUCT((Tableau2[Ref-Carte]=Tableau3[[#This Row],[Ref-Carte2]])*(Tableau2[ID-Voie]=Tableau3[[#This Row],[ID-VOIE]])*ROW(Tableau2[TS]))-ROW(Tableau2[#Headers])),"")</f>
        <v>ET</v>
      </c>
      <c r="AL805" s="72" t="str">
        <f>Tableau3[[#This Row],[Ref-Carte2]]&amp;"/"&amp;Tableau3[[#This Row],[ID-VOIE]]</f>
        <v>SDI1602/11</v>
      </c>
      <c r="AM805" s="73" t="str">
        <f>INDEX(Tableau2[Borne],MATCH(Tableau3[[#This Row],[ID-CARTEVOIE]],Tableau2[ID-CARTEVOIE],0))&amp;""</f>
        <v>5A</v>
      </c>
      <c r="AN805" s="74" t="str">
        <f>Tableau3[[#This Row],[ID-API]]&amp;Tableau3[[#This Row],[ID-RACK]]&amp;Tableau3[[#This Row],[ID-SLOT]]&amp;Tableau3[[#This Row],[BORNE]]</f>
        <v>5255A</v>
      </c>
      <c r="AO805" s="1"/>
    </row>
    <row r="806" spans="1:41" ht="20.100000000000001" customHeight="1" thickTop="1" thickBot="1">
      <c r="A806" s="68"/>
      <c r="B806" s="69" t="str">
        <f>IFERROR(INDEX(Tableau4[Date],MATCH($A806,Tableau4[EVO],0)),"")</f>
        <v/>
      </c>
      <c r="C806" s="68" t="str">
        <f>IFERROR(INDEX(Tableau4[Designation],MATCH($A806,Tableau4[EVO],0)),"")</f>
        <v/>
      </c>
      <c r="D806" s="68"/>
      <c r="E806" s="70">
        <v>135</v>
      </c>
      <c r="F806" s="71">
        <v>12</v>
      </c>
      <c r="G806" s="101" t="str">
        <f>INDEX(Tableau8[Att1],MATCH(Tableau3[[#This Row],[ID-INS]],Tableau8[ID],0))&amp;""</f>
        <v>V4</v>
      </c>
      <c r="H806" s="101" t="str">
        <f>INDEX(Tableau8[Att2],MATCH(Tableau3[[#This Row],[ID-INS]],Tableau8[ID],0))&amp;""</f>
        <v>CORA4</v>
      </c>
      <c r="I806" s="101" t="str">
        <f>INDEX(Tableau8[Att3],MATCH(Tableau3[[#This Row],[ID-INS]],Tableau8[ID],0))&amp;""</f>
        <v>CORA Zone 4</v>
      </c>
      <c r="J806" s="101"/>
      <c r="K806" s="167" t="str">
        <f>INDEX(Tableau8[Nom du modele],MATCH(Tableau3[[#This Row],[ID-INS]],Tableau8[ID],0))&amp;""</f>
        <v>CORA</v>
      </c>
      <c r="L806" s="99" t="str">
        <f>INDEX(Tableau5[Att1],MATCH(Tableau3[[#This Row],[ID-SIG]],Tableau5[ID],0))&amp;""</f>
        <v>E3</v>
      </c>
      <c r="M806" s="99" t="str">
        <f>INDEX(Tableau5[Att2],MATCH(Tableau3[[#This Row],[ID-SIG]],Tableau5[ID],0))&amp;""</f>
        <v/>
      </c>
      <c r="N806" s="99" t="str">
        <f>INDEX(Tableau5[Att3],MATCH(Tableau3[[#This Row],[ID-SIG]],Tableau5[ID],0))&amp;""</f>
        <v/>
      </c>
      <c r="O806" s="99"/>
      <c r="P806" s="99" t="str">
        <f>INDEX(Tableau5[Description],MATCH(Tableau3[[#This Row],[ID-SIG]],Tableau5[ID],0))</f>
        <v>Entrée 3</v>
      </c>
      <c r="Q806" s="99"/>
      <c r="R806" s="103" t="str">
        <f>Tableau3[[#This Row],[Description]]</f>
        <v>Entrée 3</v>
      </c>
      <c r="U806" s="87">
        <v>5</v>
      </c>
      <c r="V806" s="87">
        <v>2</v>
      </c>
      <c r="W806" s="87">
        <v>5</v>
      </c>
      <c r="X806" s="87">
        <v>12</v>
      </c>
      <c r="Y806" s="40"/>
      <c r="Z806" s="165" t="str">
        <f>INDEX(Tableau2[TS],MATCH(Tableau3[[#This Row],[ID-CARTEVOIE]],Tableau2[ID-CARTEVOIE],0))</f>
        <v>ET</v>
      </c>
      <c r="AA806" s="53" t="s">
        <v>213</v>
      </c>
      <c r="AB806" s="223" t="str">
        <f>IFERROR(INDEX(Tableau5[Reserve],MATCH(Tableau3[[#This Row],[ID-SIG]],Tableau5[ID],0))&amp;"","")</f>
        <v/>
      </c>
      <c r="AC806" s="21"/>
      <c r="AD806" s="108" t="str">
        <f>INDEX(Tableau7[Repere],MATCH(Tableau3[[#This Row],[ID-API]],Tableau7[ID-API],0))&amp;""</f>
        <v>A5</v>
      </c>
      <c r="AE806" s="108" t="str">
        <f>INDEX(Tableau1[Repere-Rack],MATCH(Tableau3[[#This Row],[ID-RACK]],Tableau1[ID-RACK],0))&amp;""</f>
        <v>R2</v>
      </c>
      <c r="AF806" s="108" t="str">
        <f>INDEX(Tableau1[Repere-Slot],MATCH(Tableau3[[#This Row],[ID-SLOT]],Tableau1[ID-SLOT],0))&amp;""</f>
        <v>S5</v>
      </c>
      <c r="AG806" s="108" t="str">
        <f>INDEX(Tableau2[Repere-Voie],MATCH(Tableau3[[#This Row],[ID-VOIE]],Tableau2[ID-Voie],0))&amp;""</f>
        <v>v12</v>
      </c>
      <c r="AH806" s="72" t="str">
        <f>Tableau3[[#This Row],[ID-API]]&amp; "." &amp;Tableau3[[#This Row],[ID-RACK]]&amp; "." &amp;Tableau3[[#This Row],[ID-SLOT]]</f>
        <v>5.2.5</v>
      </c>
      <c r="AI806" s="72" t="str">
        <f>INDEX(Tableau1[Ref-Carte],MATCH(Tableau3[[#This Row],[ID-RRS]],Tableau1[ID-RRS],0))</f>
        <v>SDI1602</v>
      </c>
      <c r="AJ806" s="72" t="str">
        <f t="array" ref="AJ806">IFERROR(INDEX(Tableau2[TS],MATCH(1,(Tableau2[Ref-Carte]=Tableau3[[#This Row],[Ref-Carte2]])*(Tableau2[ID-Voie]=Tableau3[[#This Row],[ID-VOIE]]),0)),"")</f>
        <v>ET</v>
      </c>
      <c r="AK806" s="72" t="str">
        <f>IFERROR(INDEX(Tableau2[TS],SUMPRODUCT((Tableau2[Ref-Carte]=Tableau3[[#This Row],[Ref-Carte2]])*(Tableau2[ID-Voie]=Tableau3[[#This Row],[ID-VOIE]])*ROW(Tableau2[TS]))-ROW(Tableau2[#Headers])),"")</f>
        <v>ET</v>
      </c>
      <c r="AL806" s="72" t="str">
        <f>Tableau3[[#This Row],[Ref-Carte2]]&amp;"/"&amp;Tableau3[[#This Row],[ID-VOIE]]</f>
        <v>SDI1602/12</v>
      </c>
      <c r="AM806" s="73" t="str">
        <f>INDEX(Tableau2[Borne],MATCH(Tableau3[[#This Row],[ID-CARTEVOIE]],Tableau2[ID-CARTEVOIE],0))&amp;""</f>
        <v>6B</v>
      </c>
      <c r="AN806" s="74" t="str">
        <f>Tableau3[[#This Row],[ID-API]]&amp;Tableau3[[#This Row],[ID-RACK]]&amp;Tableau3[[#This Row],[ID-SLOT]]&amp;Tableau3[[#This Row],[BORNE]]</f>
        <v>5256B</v>
      </c>
      <c r="AO806" s="1"/>
    </row>
    <row r="807" spans="1:41" ht="20.100000000000001" customHeight="1" thickTop="1" thickBot="1">
      <c r="A807" s="68"/>
      <c r="B807" s="69" t="str">
        <f>IFERROR(INDEX(Tableau4[Date],MATCH($A807,Tableau4[EVO],0)),"")</f>
        <v/>
      </c>
      <c r="C807" s="68" t="str">
        <f>IFERROR(INDEX(Tableau4[Designation],MATCH($A807,Tableau4[EVO],0)),"")</f>
        <v/>
      </c>
      <c r="D807" s="68"/>
      <c r="E807" s="70">
        <v>142</v>
      </c>
      <c r="F807" s="71">
        <v>84</v>
      </c>
      <c r="G807" s="101" t="str">
        <f>INDEX(Tableau8[Att1],MATCH(Tableau3[[#This Row],[ID-INS]],Tableau8[ID],0))&amp;""</f>
        <v>V4</v>
      </c>
      <c r="H807" s="101" t="str">
        <f>INDEX(Tableau8[Att2],MATCH(Tableau3[[#This Row],[ID-INS]],Tableau8[ID],0))&amp;""</f>
        <v>B4</v>
      </c>
      <c r="I807" s="101" t="str">
        <f>INDEX(Tableau8[Att3],MATCH(Tableau3[[#This Row],[ID-INS]],Tableau8[ID],0))&amp;""</f>
        <v>Boucle B4</v>
      </c>
      <c r="J807" s="101"/>
      <c r="K807" s="167" t="str">
        <f>INDEX(Tableau8[Nom du modele],MATCH(Tableau3[[#This Row],[ID-INS]],Tableau8[ID],0))&amp;""</f>
        <v>Boucle</v>
      </c>
      <c r="L807" s="99" t="str">
        <f>INDEX(Tableau5[Att1],MATCH(Tableau3[[#This Row],[ID-SIG]],Tableau5[ID],0))&amp;""</f>
        <v>Def</v>
      </c>
      <c r="M807" s="99" t="str">
        <f>INDEX(Tableau5[Att2],MATCH(Tableau3[[#This Row],[ID-SIG]],Tableau5[ID],0))&amp;""</f>
        <v/>
      </c>
      <c r="N807" s="99" t="str">
        <f>INDEX(Tableau5[Att3],MATCH(Tableau3[[#This Row],[ID-SIG]],Tableau5[ID],0))&amp;""</f>
        <v/>
      </c>
      <c r="O807" s="99"/>
      <c r="P807" s="99" t="str">
        <f>INDEX(Tableau5[Description],MATCH(Tableau3[[#This Row],[ID-SIG]],Tableau5[ID],0))</f>
        <v>Défaut</v>
      </c>
      <c r="Q807" s="99"/>
      <c r="R807" s="103" t="str">
        <f>Tableau3[[#This Row],[Description]]</f>
        <v>Défaut</v>
      </c>
      <c r="U807" s="87">
        <v>5</v>
      </c>
      <c r="V807" s="87">
        <v>2</v>
      </c>
      <c r="W807" s="87">
        <v>5</v>
      </c>
      <c r="X807" s="87">
        <v>13</v>
      </c>
      <c r="Y807" s="40"/>
      <c r="Z807" s="165" t="str">
        <f>INDEX(Tableau2[TS],MATCH(Tableau3[[#This Row],[ID-CARTEVOIE]],Tableau2[ID-CARTEVOIE],0))</f>
        <v>ET</v>
      </c>
      <c r="AA807" s="53" t="s">
        <v>213</v>
      </c>
      <c r="AB807" s="223" t="str">
        <f>IFERROR(INDEX(Tableau5[Reserve],MATCH(Tableau3[[#This Row],[ID-SIG]],Tableau5[ID],0))&amp;"","")</f>
        <v/>
      </c>
      <c r="AC807" s="21"/>
      <c r="AD807" s="108" t="str">
        <f>INDEX(Tableau7[Repere],MATCH(Tableau3[[#This Row],[ID-API]],Tableau7[ID-API],0))&amp;""</f>
        <v>A5</v>
      </c>
      <c r="AE807" s="108" t="str">
        <f>INDEX(Tableau1[Repere-Rack],MATCH(Tableau3[[#This Row],[ID-RACK]],Tableau1[ID-RACK],0))&amp;""</f>
        <v>R2</v>
      </c>
      <c r="AF807" s="108" t="str">
        <f>INDEX(Tableau1[Repere-Slot],MATCH(Tableau3[[#This Row],[ID-SLOT]],Tableau1[ID-SLOT],0))&amp;""</f>
        <v>S5</v>
      </c>
      <c r="AG807" s="108" t="str">
        <f>INDEX(Tableau2[Repere-Voie],MATCH(Tableau3[[#This Row],[ID-VOIE]],Tableau2[ID-Voie],0))&amp;""</f>
        <v>v13</v>
      </c>
      <c r="AH807" s="72" t="str">
        <f>Tableau3[[#This Row],[ID-API]]&amp; "." &amp;Tableau3[[#This Row],[ID-RACK]]&amp; "." &amp;Tableau3[[#This Row],[ID-SLOT]]</f>
        <v>5.2.5</v>
      </c>
      <c r="AI807" s="72" t="str">
        <f>INDEX(Tableau1[Ref-Carte],MATCH(Tableau3[[#This Row],[ID-RRS]],Tableau1[ID-RRS],0))</f>
        <v>SDI1602</v>
      </c>
      <c r="AJ807" s="72" t="str">
        <f t="array" ref="AJ807">IFERROR(INDEX(Tableau2[TS],MATCH(1,(Tableau2[Ref-Carte]=Tableau3[[#This Row],[Ref-Carte2]])*(Tableau2[ID-Voie]=Tableau3[[#This Row],[ID-VOIE]]),0)),"")</f>
        <v>ET</v>
      </c>
      <c r="AK807" s="72" t="str">
        <f>IFERROR(INDEX(Tableau2[TS],SUMPRODUCT((Tableau2[Ref-Carte]=Tableau3[[#This Row],[Ref-Carte2]])*(Tableau2[ID-Voie]=Tableau3[[#This Row],[ID-VOIE]])*ROW(Tableau2[TS]))-ROW(Tableau2[#Headers])),"")</f>
        <v>ET</v>
      </c>
      <c r="AL807" s="72" t="str">
        <f>Tableau3[[#This Row],[Ref-Carte2]]&amp;"/"&amp;Tableau3[[#This Row],[ID-VOIE]]</f>
        <v>SDI1602/13</v>
      </c>
      <c r="AM807" s="73" t="str">
        <f>INDEX(Tableau2[Borne],MATCH(Tableau3[[#This Row],[ID-CARTEVOIE]],Tableau2[ID-CARTEVOIE],0))&amp;""</f>
        <v>6A</v>
      </c>
      <c r="AN807" s="74" t="str">
        <f>Tableau3[[#This Row],[ID-API]]&amp;Tableau3[[#This Row],[ID-RACK]]&amp;Tableau3[[#This Row],[ID-SLOT]]&amp;Tableau3[[#This Row],[BORNE]]</f>
        <v>5256A</v>
      </c>
      <c r="AO807" s="1"/>
    </row>
    <row r="808" spans="1:41" ht="20.100000000000001" customHeight="1" thickTop="1" thickBot="1">
      <c r="A808" s="68"/>
      <c r="B808" s="69" t="str">
        <f>IFERROR(INDEX(Tableau4[Date],MATCH($A808,Tableau4[EVO],0)),"")</f>
        <v/>
      </c>
      <c r="C808" s="68" t="str">
        <f>IFERROR(INDEX(Tableau4[Designation],MATCH($A808,Tableau4[EVO],0)),"")</f>
        <v/>
      </c>
      <c r="D808" s="68"/>
      <c r="E808" s="70">
        <v>142</v>
      </c>
      <c r="F808" s="71">
        <v>85</v>
      </c>
      <c r="G808" s="101" t="str">
        <f>INDEX(Tableau8[Att1],MATCH(Tableau3[[#This Row],[ID-INS]],Tableau8[ID],0))&amp;""</f>
        <v>V4</v>
      </c>
      <c r="H808" s="101" t="str">
        <f>INDEX(Tableau8[Att2],MATCH(Tableau3[[#This Row],[ID-INS]],Tableau8[ID],0))&amp;""</f>
        <v>B4</v>
      </c>
      <c r="I808" s="101" t="str">
        <f>INDEX(Tableau8[Att3],MATCH(Tableau3[[#This Row],[ID-INS]],Tableau8[ID],0))&amp;""</f>
        <v>Boucle B4</v>
      </c>
      <c r="J808" s="101"/>
      <c r="K808" s="167" t="str">
        <f>INDEX(Tableau8[Nom du modele],MATCH(Tableau3[[#This Row],[ID-INS]],Tableau8[ID],0))&amp;""</f>
        <v>Boucle</v>
      </c>
      <c r="L808" s="99" t="str">
        <f>INDEX(Tableau5[Att1],MATCH(Tableau3[[#This Row],[ID-SIG]],Tableau5[ID],0))&amp;""</f>
        <v>Pres</v>
      </c>
      <c r="M808" s="99" t="str">
        <f>INDEX(Tableau5[Att2],MATCH(Tableau3[[#This Row],[ID-SIG]],Tableau5[ID],0))&amp;""</f>
        <v/>
      </c>
      <c r="N808" s="99" t="str">
        <f>INDEX(Tableau5[Att3],MATCH(Tableau3[[#This Row],[ID-SIG]],Tableau5[ID],0))&amp;""</f>
        <v/>
      </c>
      <c r="O808" s="99"/>
      <c r="P808" s="99" t="str">
        <f>INDEX(Tableau5[Description],MATCH(Tableau3[[#This Row],[ID-SIG]],Tableau5[ID],0))</f>
        <v>Présence</v>
      </c>
      <c r="Q808" s="99"/>
      <c r="R808" s="103" t="str">
        <f>Tableau3[[#This Row],[Description]]</f>
        <v>Présence</v>
      </c>
      <c r="U808" s="87">
        <v>5</v>
      </c>
      <c r="V808" s="87">
        <v>2</v>
      </c>
      <c r="W808" s="87">
        <v>5</v>
      </c>
      <c r="X808" s="87">
        <v>14</v>
      </c>
      <c r="Y808" s="40"/>
      <c r="Z808" s="165" t="str">
        <f>INDEX(Tableau2[TS],MATCH(Tableau3[[#This Row],[ID-CARTEVOIE]],Tableau2[ID-CARTEVOIE],0))</f>
        <v>ET</v>
      </c>
      <c r="AA808" s="53" t="s">
        <v>213</v>
      </c>
      <c r="AB808" s="223" t="str">
        <f>IFERROR(INDEX(Tableau5[Reserve],MATCH(Tableau3[[#This Row],[ID-SIG]],Tableau5[ID],0))&amp;"","")</f>
        <v/>
      </c>
      <c r="AC808" s="21"/>
      <c r="AD808" s="108" t="str">
        <f>INDEX(Tableau7[Repere],MATCH(Tableau3[[#This Row],[ID-API]],Tableau7[ID-API],0))&amp;""</f>
        <v>A5</v>
      </c>
      <c r="AE808" s="108" t="str">
        <f>INDEX(Tableau1[Repere-Rack],MATCH(Tableau3[[#This Row],[ID-RACK]],Tableau1[ID-RACK],0))&amp;""</f>
        <v>R2</v>
      </c>
      <c r="AF808" s="108" t="str">
        <f>INDEX(Tableau1[Repere-Slot],MATCH(Tableau3[[#This Row],[ID-SLOT]],Tableau1[ID-SLOT],0))&amp;""</f>
        <v>S5</v>
      </c>
      <c r="AG808" s="108" t="str">
        <f>INDEX(Tableau2[Repere-Voie],MATCH(Tableau3[[#This Row],[ID-VOIE]],Tableau2[ID-Voie],0))&amp;""</f>
        <v>v14</v>
      </c>
      <c r="AH808" s="72" t="str">
        <f>Tableau3[[#This Row],[ID-API]]&amp; "." &amp;Tableau3[[#This Row],[ID-RACK]]&amp; "." &amp;Tableau3[[#This Row],[ID-SLOT]]</f>
        <v>5.2.5</v>
      </c>
      <c r="AI808" s="72" t="str">
        <f>INDEX(Tableau1[Ref-Carte],MATCH(Tableau3[[#This Row],[ID-RRS]],Tableau1[ID-RRS],0))</f>
        <v>SDI1602</v>
      </c>
      <c r="AJ808" s="72" t="str">
        <f t="array" ref="AJ808">IFERROR(INDEX(Tableau2[TS],MATCH(1,(Tableau2[Ref-Carte]=Tableau3[[#This Row],[Ref-Carte2]])*(Tableau2[ID-Voie]=Tableau3[[#This Row],[ID-VOIE]]),0)),"")</f>
        <v>ET</v>
      </c>
      <c r="AK808" s="72" t="str">
        <f>IFERROR(INDEX(Tableau2[TS],SUMPRODUCT((Tableau2[Ref-Carte]=Tableau3[[#This Row],[Ref-Carte2]])*(Tableau2[ID-Voie]=Tableau3[[#This Row],[ID-VOIE]])*ROW(Tableau2[TS]))-ROW(Tableau2[#Headers])),"")</f>
        <v>ET</v>
      </c>
      <c r="AL808" s="72" t="str">
        <f>Tableau3[[#This Row],[Ref-Carte2]]&amp;"/"&amp;Tableau3[[#This Row],[ID-VOIE]]</f>
        <v>SDI1602/14</v>
      </c>
      <c r="AM808" s="73" t="str">
        <f>INDEX(Tableau2[Borne],MATCH(Tableau3[[#This Row],[ID-CARTEVOIE]],Tableau2[ID-CARTEVOIE],0))&amp;""</f>
        <v>7B</v>
      </c>
      <c r="AN808" s="74" t="str">
        <f>Tableau3[[#This Row],[ID-API]]&amp;Tableau3[[#This Row],[ID-RACK]]&amp;Tableau3[[#This Row],[ID-SLOT]]&amp;Tableau3[[#This Row],[BORNE]]</f>
        <v>5257B</v>
      </c>
      <c r="AO808" s="1"/>
    </row>
    <row r="809" spans="1:41" ht="20.100000000000001" customHeight="1" thickTop="1" thickBot="1">
      <c r="A809" s="68"/>
      <c r="B809" s="69" t="str">
        <f>IFERROR(INDEX(Tableau4[Date],MATCH($A809,Tableau4[EVO],0)),"")</f>
        <v/>
      </c>
      <c r="C809" s="68" t="str">
        <f>IFERROR(INDEX(Tableau4[Designation],MATCH($A809,Tableau4[EVO],0)),"")</f>
        <v/>
      </c>
      <c r="D809" s="68"/>
      <c r="E809" s="70">
        <v>146</v>
      </c>
      <c r="F809" s="71">
        <v>84</v>
      </c>
      <c r="G809" s="101" t="str">
        <f>INDEX(Tableau8[Att1],MATCH(Tableau3[[#This Row],[ID-INS]],Tableau8[ID],0))&amp;""</f>
        <v>V4</v>
      </c>
      <c r="H809" s="101" t="str">
        <f>INDEX(Tableau8[Att2],MATCH(Tableau3[[#This Row],[ID-INS]],Tableau8[ID],0))&amp;""</f>
        <v>B9</v>
      </c>
      <c r="I809" s="101" t="str">
        <f>INDEX(Tableau8[Att3],MATCH(Tableau3[[#This Row],[ID-INS]],Tableau8[ID],0))&amp;""</f>
        <v>Boucle B9</v>
      </c>
      <c r="J809" s="101"/>
      <c r="K809" s="167" t="str">
        <f>INDEX(Tableau8[Nom du modele],MATCH(Tableau3[[#This Row],[ID-INS]],Tableau8[ID],0))&amp;""</f>
        <v>Boucle</v>
      </c>
      <c r="L809" s="99" t="str">
        <f>INDEX(Tableau5[Att1],MATCH(Tableau3[[#This Row],[ID-SIG]],Tableau5[ID],0))&amp;""</f>
        <v>Def</v>
      </c>
      <c r="M809" s="99" t="str">
        <f>INDEX(Tableau5[Att2],MATCH(Tableau3[[#This Row],[ID-SIG]],Tableau5[ID],0))&amp;""</f>
        <v/>
      </c>
      <c r="N809" s="99" t="str">
        <f>INDEX(Tableau5[Att3],MATCH(Tableau3[[#This Row],[ID-SIG]],Tableau5[ID],0))&amp;""</f>
        <v/>
      </c>
      <c r="O809" s="99"/>
      <c r="P809" s="99" t="str">
        <f>INDEX(Tableau5[Description],MATCH(Tableau3[[#This Row],[ID-SIG]],Tableau5[ID],0))</f>
        <v>Défaut</v>
      </c>
      <c r="Q809" s="99"/>
      <c r="R809" s="103" t="str">
        <f>Tableau3[[#This Row],[Description]]</f>
        <v>Défaut</v>
      </c>
      <c r="U809" s="87">
        <v>5</v>
      </c>
      <c r="V809" s="87">
        <v>2</v>
      </c>
      <c r="W809" s="87">
        <v>5</v>
      </c>
      <c r="X809" s="87">
        <v>15</v>
      </c>
      <c r="Y809" s="40"/>
      <c r="Z809" s="165" t="str">
        <f>INDEX(Tableau2[TS],MATCH(Tableau3[[#This Row],[ID-CARTEVOIE]],Tableau2[ID-CARTEVOIE],0))</f>
        <v>ET</v>
      </c>
      <c r="AA809" s="53" t="s">
        <v>213</v>
      </c>
      <c r="AB809" s="223" t="str">
        <f>IFERROR(INDEX(Tableau5[Reserve],MATCH(Tableau3[[#This Row],[ID-SIG]],Tableau5[ID],0))&amp;"","")</f>
        <v/>
      </c>
      <c r="AC809" s="21"/>
      <c r="AD809" s="108" t="str">
        <f>INDEX(Tableau7[Repere],MATCH(Tableau3[[#This Row],[ID-API]],Tableau7[ID-API],0))&amp;""</f>
        <v>A5</v>
      </c>
      <c r="AE809" s="108" t="str">
        <f>INDEX(Tableau1[Repere-Rack],MATCH(Tableau3[[#This Row],[ID-RACK]],Tableau1[ID-RACK],0))&amp;""</f>
        <v>R2</v>
      </c>
      <c r="AF809" s="108" t="str">
        <f>INDEX(Tableau1[Repere-Slot],MATCH(Tableau3[[#This Row],[ID-SLOT]],Tableau1[ID-SLOT],0))&amp;""</f>
        <v>S5</v>
      </c>
      <c r="AG809" s="108" t="str">
        <f>INDEX(Tableau2[Repere-Voie],MATCH(Tableau3[[#This Row],[ID-VOIE]],Tableau2[ID-Voie],0))&amp;""</f>
        <v>v15</v>
      </c>
      <c r="AH809" s="72" t="str">
        <f>Tableau3[[#This Row],[ID-API]]&amp; "." &amp;Tableau3[[#This Row],[ID-RACK]]&amp; "." &amp;Tableau3[[#This Row],[ID-SLOT]]</f>
        <v>5.2.5</v>
      </c>
      <c r="AI809" s="72" t="str">
        <f>INDEX(Tableau1[Ref-Carte],MATCH(Tableau3[[#This Row],[ID-RRS]],Tableau1[ID-RRS],0))</f>
        <v>SDI1602</v>
      </c>
      <c r="AJ809" s="72" t="str">
        <f t="array" ref="AJ809">IFERROR(INDEX(Tableau2[TS],MATCH(1,(Tableau2[Ref-Carte]=Tableau3[[#This Row],[Ref-Carte2]])*(Tableau2[ID-Voie]=Tableau3[[#This Row],[ID-VOIE]]),0)),"")</f>
        <v>ET</v>
      </c>
      <c r="AK809" s="72" t="str">
        <f>IFERROR(INDEX(Tableau2[TS],SUMPRODUCT((Tableau2[Ref-Carte]=Tableau3[[#This Row],[Ref-Carte2]])*(Tableau2[ID-Voie]=Tableau3[[#This Row],[ID-VOIE]])*ROW(Tableau2[TS]))-ROW(Tableau2[#Headers])),"")</f>
        <v>ET</v>
      </c>
      <c r="AL809" s="72" t="str">
        <f>Tableau3[[#This Row],[Ref-Carte2]]&amp;"/"&amp;Tableau3[[#This Row],[ID-VOIE]]</f>
        <v>SDI1602/15</v>
      </c>
      <c r="AM809" s="73" t="str">
        <f>INDEX(Tableau2[Borne],MATCH(Tableau3[[#This Row],[ID-CARTEVOIE]],Tableau2[ID-CARTEVOIE],0))&amp;""</f>
        <v>7A</v>
      </c>
      <c r="AN809" s="74" t="str">
        <f>Tableau3[[#This Row],[ID-API]]&amp;Tableau3[[#This Row],[ID-RACK]]&amp;Tableau3[[#This Row],[ID-SLOT]]&amp;Tableau3[[#This Row],[BORNE]]</f>
        <v>5257A</v>
      </c>
      <c r="AO809" s="1"/>
    </row>
    <row r="810" spans="1:41" ht="20.100000000000001" customHeight="1" thickTop="1" thickBot="1">
      <c r="A810" s="68"/>
      <c r="B810" s="69" t="str">
        <f>IFERROR(INDEX(Tableau4[Date],MATCH($A810,Tableau4[EVO],0)),"")</f>
        <v/>
      </c>
      <c r="C810" s="68" t="str">
        <f>IFERROR(INDEX(Tableau4[Designation],MATCH($A810,Tableau4[EVO],0)),"")</f>
        <v/>
      </c>
      <c r="D810" s="68"/>
      <c r="E810" s="70">
        <v>146</v>
      </c>
      <c r="F810" s="71">
        <v>85</v>
      </c>
      <c r="G810" s="101" t="str">
        <f>INDEX(Tableau8[Att1],MATCH(Tableau3[[#This Row],[ID-INS]],Tableau8[ID],0))&amp;""</f>
        <v>V4</v>
      </c>
      <c r="H810" s="101" t="str">
        <f>INDEX(Tableau8[Att2],MATCH(Tableau3[[#This Row],[ID-INS]],Tableau8[ID],0))&amp;""</f>
        <v>B9</v>
      </c>
      <c r="I810" s="101" t="str">
        <f>INDEX(Tableau8[Att3],MATCH(Tableau3[[#This Row],[ID-INS]],Tableau8[ID],0))&amp;""</f>
        <v>Boucle B9</v>
      </c>
      <c r="J810" s="101"/>
      <c r="K810" s="167" t="str">
        <f>INDEX(Tableau8[Nom du modele],MATCH(Tableau3[[#This Row],[ID-INS]],Tableau8[ID],0))&amp;""</f>
        <v>Boucle</v>
      </c>
      <c r="L810" s="99" t="str">
        <f>INDEX(Tableau5[Att1],MATCH(Tableau3[[#This Row],[ID-SIG]],Tableau5[ID],0))&amp;""</f>
        <v>Pres</v>
      </c>
      <c r="M810" s="99" t="str">
        <f>INDEX(Tableau5[Att2],MATCH(Tableau3[[#This Row],[ID-SIG]],Tableau5[ID],0))&amp;""</f>
        <v/>
      </c>
      <c r="N810" s="99" t="str">
        <f>INDEX(Tableau5[Att3],MATCH(Tableau3[[#This Row],[ID-SIG]],Tableau5[ID],0))&amp;""</f>
        <v/>
      </c>
      <c r="O810" s="99"/>
      <c r="P810" s="99" t="str">
        <f>INDEX(Tableau5[Description],MATCH(Tableau3[[#This Row],[ID-SIG]],Tableau5[ID],0))</f>
        <v>Présence</v>
      </c>
      <c r="Q810" s="99"/>
      <c r="R810" s="103" t="str">
        <f>Tableau3[[#This Row],[Description]]</f>
        <v>Présence</v>
      </c>
      <c r="U810" s="87">
        <v>5</v>
      </c>
      <c r="V810" s="87">
        <v>2</v>
      </c>
      <c r="W810" s="87">
        <v>6</v>
      </c>
      <c r="X810" s="87">
        <v>0</v>
      </c>
      <c r="Y810" s="40"/>
      <c r="Z810" s="165" t="str">
        <f>INDEX(Tableau2[TS],MATCH(Tableau3[[#This Row],[ID-CARTEVOIE]],Tableau2[ID-CARTEVOIE],0))</f>
        <v>ET</v>
      </c>
      <c r="AA810" s="53" t="s">
        <v>213</v>
      </c>
      <c r="AB810" s="223" t="str">
        <f>IFERROR(INDEX(Tableau5[Reserve],MATCH(Tableau3[[#This Row],[ID-SIG]],Tableau5[ID],0))&amp;"","")</f>
        <v/>
      </c>
      <c r="AC810" s="21"/>
      <c r="AD810" s="108" t="str">
        <f>INDEX(Tableau7[Repere],MATCH(Tableau3[[#This Row],[ID-API]],Tableau7[ID-API],0))&amp;""</f>
        <v>A5</v>
      </c>
      <c r="AE810" s="108" t="str">
        <f>INDEX(Tableau1[Repere-Rack],MATCH(Tableau3[[#This Row],[ID-RACK]],Tableau1[ID-RACK],0))&amp;""</f>
        <v>R2</v>
      </c>
      <c r="AF810" s="108" t="str">
        <f>INDEX(Tableau1[Repere-Slot],MATCH(Tableau3[[#This Row],[ID-SLOT]],Tableau1[ID-SLOT],0))&amp;""</f>
        <v>S6</v>
      </c>
      <c r="AG810" s="108" t="str">
        <f>INDEX(Tableau2[Repere-Voie],MATCH(Tableau3[[#This Row],[ID-VOIE]],Tableau2[ID-Voie],0))&amp;""</f>
        <v>v0</v>
      </c>
      <c r="AH810" s="72" t="str">
        <f>Tableau3[[#This Row],[ID-API]]&amp; "." &amp;Tableau3[[#This Row],[ID-RACK]]&amp; "." &amp;Tableau3[[#This Row],[ID-SLOT]]</f>
        <v>5.2.6</v>
      </c>
      <c r="AI810" s="72" t="str">
        <f>INDEX(Tableau1[Ref-Carte],MATCH(Tableau3[[#This Row],[ID-RRS]],Tableau1[ID-RRS],0))</f>
        <v>SDI1602</v>
      </c>
      <c r="AJ810" s="72" t="str">
        <f t="array" ref="AJ810">IFERROR(INDEX(Tableau2[TS],MATCH(1,(Tableau2[Ref-Carte]=Tableau3[[#This Row],[Ref-Carte2]])*(Tableau2[ID-Voie]=Tableau3[[#This Row],[ID-VOIE]]),0)),"")</f>
        <v>ET</v>
      </c>
      <c r="AK810" s="72" t="str">
        <f>IFERROR(INDEX(Tableau2[TS],SUMPRODUCT((Tableau2[Ref-Carte]=Tableau3[[#This Row],[Ref-Carte2]])*(Tableau2[ID-Voie]=Tableau3[[#This Row],[ID-VOIE]])*ROW(Tableau2[TS]))-ROW(Tableau2[#Headers])),"")</f>
        <v>ET</v>
      </c>
      <c r="AL810" s="72" t="str">
        <f>Tableau3[[#This Row],[Ref-Carte2]]&amp;"/"&amp;Tableau3[[#This Row],[ID-VOIE]]</f>
        <v>SDI1602/0</v>
      </c>
      <c r="AM810" s="73" t="str">
        <f>INDEX(Tableau2[Borne],MATCH(Tableau3[[#This Row],[ID-CARTEVOIE]],Tableau2[ID-CARTEVOIE],0))&amp;""</f>
        <v>0B</v>
      </c>
      <c r="AN810" s="74" t="str">
        <f>Tableau3[[#This Row],[ID-API]]&amp;Tableau3[[#This Row],[ID-RACK]]&amp;Tableau3[[#This Row],[ID-SLOT]]&amp;Tableau3[[#This Row],[BORNE]]</f>
        <v>5260B</v>
      </c>
      <c r="AO810" s="1"/>
    </row>
    <row r="811" spans="1:41" ht="20.100000000000001" customHeight="1" thickTop="1" thickBot="1">
      <c r="A811" s="68"/>
      <c r="B811" s="69" t="str">
        <f>IFERROR(INDEX(Tableau4[Date],MATCH($A811,Tableau4[EVO],0)),"")</f>
        <v/>
      </c>
      <c r="C811" s="68" t="str">
        <f>IFERROR(INDEX(Tableau4[Designation],MATCH($A811,Tableau4[EVO],0)),"")</f>
        <v/>
      </c>
      <c r="D811" s="68"/>
      <c r="E811" s="70">
        <v>154</v>
      </c>
      <c r="F811" s="71">
        <v>84</v>
      </c>
      <c r="G811" s="101" t="str">
        <f>INDEX(Tableau8[Att1],MATCH(Tableau3[[#This Row],[ID-INS]],Tableau8[ID],0))&amp;""</f>
        <v>V4</v>
      </c>
      <c r="H811" s="101" t="str">
        <f>INDEX(Tableau8[Att2],MATCH(Tableau3[[#This Row],[ID-INS]],Tableau8[ID],0))&amp;""</f>
        <v>B17</v>
      </c>
      <c r="I811" s="101" t="str">
        <f>INDEX(Tableau8[Att3],MATCH(Tableau3[[#This Row],[ID-INS]],Tableau8[ID],0))&amp;""</f>
        <v>Boucle B17</v>
      </c>
      <c r="J811" s="101"/>
      <c r="K811" s="167" t="str">
        <f>INDEX(Tableau8[Nom du modele],MATCH(Tableau3[[#This Row],[ID-INS]],Tableau8[ID],0))&amp;""</f>
        <v>Boucle</v>
      </c>
      <c r="L811" s="99" t="str">
        <f>INDEX(Tableau5[Att1],MATCH(Tableau3[[#This Row],[ID-SIG]],Tableau5[ID],0))&amp;""</f>
        <v>Def</v>
      </c>
      <c r="M811" s="99" t="str">
        <f>INDEX(Tableau5[Att2],MATCH(Tableau3[[#This Row],[ID-SIG]],Tableau5[ID],0))&amp;""</f>
        <v/>
      </c>
      <c r="N811" s="99" t="str">
        <f>INDEX(Tableau5[Att3],MATCH(Tableau3[[#This Row],[ID-SIG]],Tableau5[ID],0))&amp;""</f>
        <v/>
      </c>
      <c r="O811" s="99"/>
      <c r="P811" s="99" t="str">
        <f>INDEX(Tableau5[Description],MATCH(Tableau3[[#This Row],[ID-SIG]],Tableau5[ID],0))</f>
        <v>Défaut</v>
      </c>
      <c r="Q811" s="99"/>
      <c r="R811" s="103" t="str">
        <f>Tableau3[[#This Row],[Description]]</f>
        <v>Défaut</v>
      </c>
      <c r="U811" s="87">
        <v>5</v>
      </c>
      <c r="V811" s="87">
        <v>2</v>
      </c>
      <c r="W811" s="87">
        <v>6</v>
      </c>
      <c r="X811" s="87">
        <v>1</v>
      </c>
      <c r="Y811" s="40"/>
      <c r="Z811" s="165" t="str">
        <f>INDEX(Tableau2[TS],MATCH(Tableau3[[#This Row],[ID-CARTEVOIE]],Tableau2[ID-CARTEVOIE],0))</f>
        <v>ET</v>
      </c>
      <c r="AA811" s="53" t="s">
        <v>213</v>
      </c>
      <c r="AB811" s="223" t="str">
        <f>IFERROR(INDEX(Tableau5[Reserve],MATCH(Tableau3[[#This Row],[ID-SIG]],Tableau5[ID],0))&amp;"","")</f>
        <v/>
      </c>
      <c r="AC811" s="21"/>
      <c r="AD811" s="108" t="str">
        <f>INDEX(Tableau7[Repere],MATCH(Tableau3[[#This Row],[ID-API]],Tableau7[ID-API],0))&amp;""</f>
        <v>A5</v>
      </c>
      <c r="AE811" s="108" t="str">
        <f>INDEX(Tableau1[Repere-Rack],MATCH(Tableau3[[#This Row],[ID-RACK]],Tableau1[ID-RACK],0))&amp;""</f>
        <v>R2</v>
      </c>
      <c r="AF811" s="108" t="str">
        <f>INDEX(Tableau1[Repere-Slot],MATCH(Tableau3[[#This Row],[ID-SLOT]],Tableau1[ID-SLOT],0))&amp;""</f>
        <v>S6</v>
      </c>
      <c r="AG811" s="108" t="str">
        <f>INDEX(Tableau2[Repere-Voie],MATCH(Tableau3[[#This Row],[ID-VOIE]],Tableau2[ID-Voie],0))&amp;""</f>
        <v>v1</v>
      </c>
      <c r="AH811" s="72" t="str">
        <f>Tableau3[[#This Row],[ID-API]]&amp; "." &amp;Tableau3[[#This Row],[ID-RACK]]&amp; "." &amp;Tableau3[[#This Row],[ID-SLOT]]</f>
        <v>5.2.6</v>
      </c>
      <c r="AI811" s="72" t="str">
        <f>INDEX(Tableau1[Ref-Carte],MATCH(Tableau3[[#This Row],[ID-RRS]],Tableau1[ID-RRS],0))</f>
        <v>SDI1602</v>
      </c>
      <c r="AJ811" s="72" t="str">
        <f t="array" ref="AJ811">IFERROR(INDEX(Tableau2[TS],MATCH(1,(Tableau2[Ref-Carte]=Tableau3[[#This Row],[Ref-Carte2]])*(Tableau2[ID-Voie]=Tableau3[[#This Row],[ID-VOIE]]),0)),"")</f>
        <v>ET</v>
      </c>
      <c r="AK811" s="72" t="str">
        <f>IFERROR(INDEX(Tableau2[TS],SUMPRODUCT((Tableau2[Ref-Carte]=Tableau3[[#This Row],[Ref-Carte2]])*(Tableau2[ID-Voie]=Tableau3[[#This Row],[ID-VOIE]])*ROW(Tableau2[TS]))-ROW(Tableau2[#Headers])),"")</f>
        <v>ET</v>
      </c>
      <c r="AL811" s="72" t="str">
        <f>Tableau3[[#This Row],[Ref-Carte2]]&amp;"/"&amp;Tableau3[[#This Row],[ID-VOIE]]</f>
        <v>SDI1602/1</v>
      </c>
      <c r="AM811" s="73" t="str">
        <f>INDEX(Tableau2[Borne],MATCH(Tableau3[[#This Row],[ID-CARTEVOIE]],Tableau2[ID-CARTEVOIE],0))&amp;""</f>
        <v>0A</v>
      </c>
      <c r="AN811" s="74" t="str">
        <f>Tableau3[[#This Row],[ID-API]]&amp;Tableau3[[#This Row],[ID-RACK]]&amp;Tableau3[[#This Row],[ID-SLOT]]&amp;Tableau3[[#This Row],[BORNE]]</f>
        <v>5260A</v>
      </c>
      <c r="AO811" s="1"/>
    </row>
    <row r="812" spans="1:41" ht="20.100000000000001" customHeight="1" thickTop="1" thickBot="1">
      <c r="A812" s="68"/>
      <c r="B812" s="69" t="str">
        <f>IFERROR(INDEX(Tableau4[Date],MATCH($A812,Tableau4[EVO],0)),"")</f>
        <v/>
      </c>
      <c r="C812" s="68" t="str">
        <f>IFERROR(INDEX(Tableau4[Designation],MATCH($A812,Tableau4[EVO],0)),"")</f>
        <v/>
      </c>
      <c r="D812" s="68"/>
      <c r="E812" s="70">
        <v>154</v>
      </c>
      <c r="F812" s="71">
        <v>85</v>
      </c>
      <c r="G812" s="101" t="str">
        <f>INDEX(Tableau8[Att1],MATCH(Tableau3[[#This Row],[ID-INS]],Tableau8[ID],0))&amp;""</f>
        <v>V4</v>
      </c>
      <c r="H812" s="101" t="str">
        <f>INDEX(Tableau8[Att2],MATCH(Tableau3[[#This Row],[ID-INS]],Tableau8[ID],0))&amp;""</f>
        <v>B17</v>
      </c>
      <c r="I812" s="101" t="str">
        <f>INDEX(Tableau8[Att3],MATCH(Tableau3[[#This Row],[ID-INS]],Tableau8[ID],0))&amp;""</f>
        <v>Boucle B17</v>
      </c>
      <c r="J812" s="101"/>
      <c r="K812" s="167" t="str">
        <f>INDEX(Tableau8[Nom du modele],MATCH(Tableau3[[#This Row],[ID-INS]],Tableau8[ID],0))&amp;""</f>
        <v>Boucle</v>
      </c>
      <c r="L812" s="99" t="str">
        <f>INDEX(Tableau5[Att1],MATCH(Tableau3[[#This Row],[ID-SIG]],Tableau5[ID],0))&amp;""</f>
        <v>Pres</v>
      </c>
      <c r="M812" s="99" t="str">
        <f>INDEX(Tableau5[Att2],MATCH(Tableau3[[#This Row],[ID-SIG]],Tableau5[ID],0))&amp;""</f>
        <v/>
      </c>
      <c r="N812" s="99" t="str">
        <f>INDEX(Tableau5[Att3],MATCH(Tableau3[[#This Row],[ID-SIG]],Tableau5[ID],0))&amp;""</f>
        <v/>
      </c>
      <c r="O812" s="99"/>
      <c r="P812" s="99" t="str">
        <f>INDEX(Tableau5[Description],MATCH(Tableau3[[#This Row],[ID-SIG]],Tableau5[ID],0))</f>
        <v>Présence</v>
      </c>
      <c r="Q812" s="99"/>
      <c r="R812" s="103" t="str">
        <f>Tableau3[[#This Row],[Description]]</f>
        <v>Présence</v>
      </c>
      <c r="U812" s="87">
        <v>5</v>
      </c>
      <c r="V812" s="87">
        <v>2</v>
      </c>
      <c r="W812" s="87">
        <v>6</v>
      </c>
      <c r="X812" s="87">
        <v>2</v>
      </c>
      <c r="Y812" s="40"/>
      <c r="Z812" s="165" t="str">
        <f>INDEX(Tableau2[TS],MATCH(Tableau3[[#This Row],[ID-CARTEVOIE]],Tableau2[ID-CARTEVOIE],0))</f>
        <v>ET</v>
      </c>
      <c r="AA812" s="53" t="s">
        <v>213</v>
      </c>
      <c r="AB812" s="223" t="str">
        <f>IFERROR(INDEX(Tableau5[Reserve],MATCH(Tableau3[[#This Row],[ID-SIG]],Tableau5[ID],0))&amp;"","")</f>
        <v/>
      </c>
      <c r="AC812" s="21"/>
      <c r="AD812" s="108" t="str">
        <f>INDEX(Tableau7[Repere],MATCH(Tableau3[[#This Row],[ID-API]],Tableau7[ID-API],0))&amp;""</f>
        <v>A5</v>
      </c>
      <c r="AE812" s="108" t="str">
        <f>INDEX(Tableau1[Repere-Rack],MATCH(Tableau3[[#This Row],[ID-RACK]],Tableau1[ID-RACK],0))&amp;""</f>
        <v>R2</v>
      </c>
      <c r="AF812" s="108" t="str">
        <f>INDEX(Tableau1[Repere-Slot],MATCH(Tableau3[[#This Row],[ID-SLOT]],Tableau1[ID-SLOT],0))&amp;""</f>
        <v>S6</v>
      </c>
      <c r="AG812" s="108" t="str">
        <f>INDEX(Tableau2[Repere-Voie],MATCH(Tableau3[[#This Row],[ID-VOIE]],Tableau2[ID-Voie],0))&amp;""</f>
        <v>v2</v>
      </c>
      <c r="AH812" s="72" t="str">
        <f>Tableau3[[#This Row],[ID-API]]&amp; "." &amp;Tableau3[[#This Row],[ID-RACK]]&amp; "." &amp;Tableau3[[#This Row],[ID-SLOT]]</f>
        <v>5.2.6</v>
      </c>
      <c r="AI812" s="72" t="str">
        <f>INDEX(Tableau1[Ref-Carte],MATCH(Tableau3[[#This Row],[ID-RRS]],Tableau1[ID-RRS],0))</f>
        <v>SDI1602</v>
      </c>
      <c r="AJ812" s="72" t="str">
        <f t="array" ref="AJ812">IFERROR(INDEX(Tableau2[TS],MATCH(1,(Tableau2[Ref-Carte]=Tableau3[[#This Row],[Ref-Carte2]])*(Tableau2[ID-Voie]=Tableau3[[#This Row],[ID-VOIE]]),0)),"")</f>
        <v>ET</v>
      </c>
      <c r="AK812" s="72" t="str">
        <f>IFERROR(INDEX(Tableau2[TS],SUMPRODUCT((Tableau2[Ref-Carte]=Tableau3[[#This Row],[Ref-Carte2]])*(Tableau2[ID-Voie]=Tableau3[[#This Row],[ID-VOIE]])*ROW(Tableau2[TS]))-ROW(Tableau2[#Headers])),"")</f>
        <v>ET</v>
      </c>
      <c r="AL812" s="72" t="str">
        <f>Tableau3[[#This Row],[Ref-Carte2]]&amp;"/"&amp;Tableau3[[#This Row],[ID-VOIE]]</f>
        <v>SDI1602/2</v>
      </c>
      <c r="AM812" s="73" t="str">
        <f>INDEX(Tableau2[Borne],MATCH(Tableau3[[#This Row],[ID-CARTEVOIE]],Tableau2[ID-CARTEVOIE],0))&amp;""</f>
        <v>1B</v>
      </c>
      <c r="AN812" s="74" t="str">
        <f>Tableau3[[#This Row],[ID-API]]&amp;Tableau3[[#This Row],[ID-RACK]]&amp;Tableau3[[#This Row],[ID-SLOT]]&amp;Tableau3[[#This Row],[BORNE]]</f>
        <v>5261B</v>
      </c>
      <c r="AO812" s="1"/>
    </row>
    <row r="813" spans="1:41" ht="20.100000000000001" customHeight="1" thickTop="1" thickBot="1">
      <c r="A813" s="68"/>
      <c r="B813" s="69" t="str">
        <f>IFERROR(INDEX(Tableau4[Date],MATCH($A813,Tableau4[EVO],0)),"")</f>
        <v/>
      </c>
      <c r="C813" s="68" t="str">
        <f>IFERROR(INDEX(Tableau4[Designation],MATCH($A813,Tableau4[EVO],0)),"")</f>
        <v/>
      </c>
      <c r="D813" s="68"/>
      <c r="E813" s="70">
        <v>155</v>
      </c>
      <c r="F813" s="71">
        <v>84</v>
      </c>
      <c r="G813" s="101" t="str">
        <f>INDEX(Tableau8[Att1],MATCH(Tableau3[[#This Row],[ID-INS]],Tableau8[ID],0))&amp;""</f>
        <v>V4</v>
      </c>
      <c r="H813" s="101" t="str">
        <f>INDEX(Tableau8[Att2],MATCH(Tableau3[[#This Row],[ID-INS]],Tableau8[ID],0))&amp;""</f>
        <v>B18</v>
      </c>
      <c r="I813" s="101" t="str">
        <f>INDEX(Tableau8[Att3],MATCH(Tableau3[[#This Row],[ID-INS]],Tableau8[ID],0))&amp;""</f>
        <v>Boucle B18</v>
      </c>
      <c r="J813" s="101"/>
      <c r="K813" s="167" t="str">
        <f>INDEX(Tableau8[Nom du modele],MATCH(Tableau3[[#This Row],[ID-INS]],Tableau8[ID],0))&amp;""</f>
        <v>Boucle</v>
      </c>
      <c r="L813" s="99" t="str">
        <f>INDEX(Tableau5[Att1],MATCH(Tableau3[[#This Row],[ID-SIG]],Tableau5[ID],0))&amp;""</f>
        <v>Def</v>
      </c>
      <c r="M813" s="99" t="str">
        <f>INDEX(Tableau5[Att2],MATCH(Tableau3[[#This Row],[ID-SIG]],Tableau5[ID],0))&amp;""</f>
        <v/>
      </c>
      <c r="N813" s="99" t="str">
        <f>INDEX(Tableau5[Att3],MATCH(Tableau3[[#This Row],[ID-SIG]],Tableau5[ID],0))&amp;""</f>
        <v/>
      </c>
      <c r="O813" s="99"/>
      <c r="P813" s="99" t="str">
        <f>INDEX(Tableau5[Description],MATCH(Tableau3[[#This Row],[ID-SIG]],Tableau5[ID],0))</f>
        <v>Défaut</v>
      </c>
      <c r="Q813" s="99"/>
      <c r="R813" s="103" t="str">
        <f>Tableau3[[#This Row],[Description]]</f>
        <v>Défaut</v>
      </c>
      <c r="U813" s="87">
        <v>5</v>
      </c>
      <c r="V813" s="87">
        <v>2</v>
      </c>
      <c r="W813" s="87">
        <v>6</v>
      </c>
      <c r="X813" s="87">
        <v>3</v>
      </c>
      <c r="Y813" s="40"/>
      <c r="Z813" s="165" t="str">
        <f>INDEX(Tableau2[TS],MATCH(Tableau3[[#This Row],[ID-CARTEVOIE]],Tableau2[ID-CARTEVOIE],0))</f>
        <v>ET</v>
      </c>
      <c r="AA813" s="53" t="s">
        <v>213</v>
      </c>
      <c r="AB813" s="223" t="str">
        <f>IFERROR(INDEX(Tableau5[Reserve],MATCH(Tableau3[[#This Row],[ID-SIG]],Tableau5[ID],0))&amp;"","")</f>
        <v/>
      </c>
      <c r="AC813" s="21"/>
      <c r="AD813" s="108" t="str">
        <f>INDEX(Tableau7[Repere],MATCH(Tableau3[[#This Row],[ID-API]],Tableau7[ID-API],0))&amp;""</f>
        <v>A5</v>
      </c>
      <c r="AE813" s="108" t="str">
        <f>INDEX(Tableau1[Repere-Rack],MATCH(Tableau3[[#This Row],[ID-RACK]],Tableau1[ID-RACK],0))&amp;""</f>
        <v>R2</v>
      </c>
      <c r="AF813" s="108" t="str">
        <f>INDEX(Tableau1[Repere-Slot],MATCH(Tableau3[[#This Row],[ID-SLOT]],Tableau1[ID-SLOT],0))&amp;""</f>
        <v>S6</v>
      </c>
      <c r="AG813" s="108" t="str">
        <f>INDEX(Tableau2[Repere-Voie],MATCH(Tableau3[[#This Row],[ID-VOIE]],Tableau2[ID-Voie],0))&amp;""</f>
        <v>v3</v>
      </c>
      <c r="AH813" s="72" t="str">
        <f>Tableau3[[#This Row],[ID-API]]&amp; "." &amp;Tableau3[[#This Row],[ID-RACK]]&amp; "." &amp;Tableau3[[#This Row],[ID-SLOT]]</f>
        <v>5.2.6</v>
      </c>
      <c r="AI813" s="72" t="str">
        <f>INDEX(Tableau1[Ref-Carte],MATCH(Tableau3[[#This Row],[ID-RRS]],Tableau1[ID-RRS],0))</f>
        <v>SDI1602</v>
      </c>
      <c r="AJ813" s="72" t="str">
        <f t="array" ref="AJ813">IFERROR(INDEX(Tableau2[TS],MATCH(1,(Tableau2[Ref-Carte]=Tableau3[[#This Row],[Ref-Carte2]])*(Tableau2[ID-Voie]=Tableau3[[#This Row],[ID-VOIE]]),0)),"")</f>
        <v>ET</v>
      </c>
      <c r="AK813" s="72" t="str">
        <f>IFERROR(INDEX(Tableau2[TS],SUMPRODUCT((Tableau2[Ref-Carte]=Tableau3[[#This Row],[Ref-Carte2]])*(Tableau2[ID-Voie]=Tableau3[[#This Row],[ID-VOIE]])*ROW(Tableau2[TS]))-ROW(Tableau2[#Headers])),"")</f>
        <v>ET</v>
      </c>
      <c r="AL813" s="72" t="str">
        <f>Tableau3[[#This Row],[Ref-Carte2]]&amp;"/"&amp;Tableau3[[#This Row],[ID-VOIE]]</f>
        <v>SDI1602/3</v>
      </c>
      <c r="AM813" s="73" t="str">
        <f>INDEX(Tableau2[Borne],MATCH(Tableau3[[#This Row],[ID-CARTEVOIE]],Tableau2[ID-CARTEVOIE],0))&amp;""</f>
        <v>1A</v>
      </c>
      <c r="AN813" s="74" t="str">
        <f>Tableau3[[#This Row],[ID-API]]&amp;Tableau3[[#This Row],[ID-RACK]]&amp;Tableau3[[#This Row],[ID-SLOT]]&amp;Tableau3[[#This Row],[BORNE]]</f>
        <v>5261A</v>
      </c>
      <c r="AO813" s="1"/>
    </row>
    <row r="814" spans="1:41" ht="20.100000000000001" customHeight="1" thickTop="1" thickBot="1">
      <c r="A814" s="68"/>
      <c r="B814" s="69" t="str">
        <f>IFERROR(INDEX(Tableau4[Date],MATCH($A814,Tableau4[EVO],0)),"")</f>
        <v/>
      </c>
      <c r="C814" s="68" t="str">
        <f>IFERROR(INDEX(Tableau4[Designation],MATCH($A814,Tableau4[EVO],0)),"")</f>
        <v/>
      </c>
      <c r="D814" s="68"/>
      <c r="E814" s="70">
        <v>155</v>
      </c>
      <c r="F814" s="71">
        <v>85</v>
      </c>
      <c r="G814" s="101" t="str">
        <f>INDEX(Tableau8[Att1],MATCH(Tableau3[[#This Row],[ID-INS]],Tableau8[ID],0))&amp;""</f>
        <v>V4</v>
      </c>
      <c r="H814" s="101" t="str">
        <f>INDEX(Tableau8[Att2],MATCH(Tableau3[[#This Row],[ID-INS]],Tableau8[ID],0))&amp;""</f>
        <v>B18</v>
      </c>
      <c r="I814" s="101" t="str">
        <f>INDEX(Tableau8[Att3],MATCH(Tableau3[[#This Row],[ID-INS]],Tableau8[ID],0))&amp;""</f>
        <v>Boucle B18</v>
      </c>
      <c r="J814" s="101"/>
      <c r="K814" s="167" t="str">
        <f>INDEX(Tableau8[Nom du modele],MATCH(Tableau3[[#This Row],[ID-INS]],Tableau8[ID],0))&amp;""</f>
        <v>Boucle</v>
      </c>
      <c r="L814" s="99" t="str">
        <f>INDEX(Tableau5[Att1],MATCH(Tableau3[[#This Row],[ID-SIG]],Tableau5[ID],0))&amp;""</f>
        <v>Pres</v>
      </c>
      <c r="M814" s="99" t="str">
        <f>INDEX(Tableau5[Att2],MATCH(Tableau3[[#This Row],[ID-SIG]],Tableau5[ID],0))&amp;""</f>
        <v/>
      </c>
      <c r="N814" s="99" t="str">
        <f>INDEX(Tableau5[Att3],MATCH(Tableau3[[#This Row],[ID-SIG]],Tableau5[ID],0))&amp;""</f>
        <v/>
      </c>
      <c r="O814" s="99"/>
      <c r="P814" s="99" t="str">
        <f>INDEX(Tableau5[Description],MATCH(Tableau3[[#This Row],[ID-SIG]],Tableau5[ID],0))</f>
        <v>Présence</v>
      </c>
      <c r="Q814" s="99"/>
      <c r="R814" s="103" t="str">
        <f>Tableau3[[#This Row],[Description]]</f>
        <v>Présence</v>
      </c>
      <c r="U814" s="87">
        <v>5</v>
      </c>
      <c r="V814" s="87">
        <v>2</v>
      </c>
      <c r="W814" s="87">
        <v>6</v>
      </c>
      <c r="X814" s="87">
        <v>4</v>
      </c>
      <c r="Y814" s="40"/>
      <c r="Z814" s="165" t="str">
        <f>INDEX(Tableau2[TS],MATCH(Tableau3[[#This Row],[ID-CARTEVOIE]],Tableau2[ID-CARTEVOIE],0))</f>
        <v>ET</v>
      </c>
      <c r="AA814" s="53" t="s">
        <v>213</v>
      </c>
      <c r="AB814" s="223" t="str">
        <f>IFERROR(INDEX(Tableau5[Reserve],MATCH(Tableau3[[#This Row],[ID-SIG]],Tableau5[ID],0))&amp;"","")</f>
        <v/>
      </c>
      <c r="AC814" s="21"/>
      <c r="AD814" s="108" t="str">
        <f>INDEX(Tableau7[Repere],MATCH(Tableau3[[#This Row],[ID-API]],Tableau7[ID-API],0))&amp;""</f>
        <v>A5</v>
      </c>
      <c r="AE814" s="108" t="str">
        <f>INDEX(Tableau1[Repere-Rack],MATCH(Tableau3[[#This Row],[ID-RACK]],Tableau1[ID-RACK],0))&amp;""</f>
        <v>R2</v>
      </c>
      <c r="AF814" s="108" t="str">
        <f>INDEX(Tableau1[Repere-Slot],MATCH(Tableau3[[#This Row],[ID-SLOT]],Tableau1[ID-SLOT],0))&amp;""</f>
        <v>S6</v>
      </c>
      <c r="AG814" s="108" t="str">
        <f>INDEX(Tableau2[Repere-Voie],MATCH(Tableau3[[#This Row],[ID-VOIE]],Tableau2[ID-Voie],0))&amp;""</f>
        <v>v4</v>
      </c>
      <c r="AH814" s="72" t="str">
        <f>Tableau3[[#This Row],[ID-API]]&amp; "." &amp;Tableau3[[#This Row],[ID-RACK]]&amp; "." &amp;Tableau3[[#This Row],[ID-SLOT]]</f>
        <v>5.2.6</v>
      </c>
      <c r="AI814" s="72" t="str">
        <f>INDEX(Tableau1[Ref-Carte],MATCH(Tableau3[[#This Row],[ID-RRS]],Tableau1[ID-RRS],0))</f>
        <v>SDI1602</v>
      </c>
      <c r="AJ814" s="72" t="str">
        <f t="array" ref="AJ814">IFERROR(INDEX(Tableau2[TS],MATCH(1,(Tableau2[Ref-Carte]=Tableau3[[#This Row],[Ref-Carte2]])*(Tableau2[ID-Voie]=Tableau3[[#This Row],[ID-VOIE]]),0)),"")</f>
        <v>ET</v>
      </c>
      <c r="AK814" s="72" t="str">
        <f>IFERROR(INDEX(Tableau2[TS],SUMPRODUCT((Tableau2[Ref-Carte]=Tableau3[[#This Row],[Ref-Carte2]])*(Tableau2[ID-Voie]=Tableau3[[#This Row],[ID-VOIE]])*ROW(Tableau2[TS]))-ROW(Tableau2[#Headers])),"")</f>
        <v>ET</v>
      </c>
      <c r="AL814" s="72" t="str">
        <f>Tableau3[[#This Row],[Ref-Carte2]]&amp;"/"&amp;Tableau3[[#This Row],[ID-VOIE]]</f>
        <v>SDI1602/4</v>
      </c>
      <c r="AM814" s="73" t="str">
        <f>INDEX(Tableau2[Borne],MATCH(Tableau3[[#This Row],[ID-CARTEVOIE]],Tableau2[ID-CARTEVOIE],0))&amp;""</f>
        <v>2B</v>
      </c>
      <c r="AN814" s="74" t="str">
        <f>Tableau3[[#This Row],[ID-API]]&amp;Tableau3[[#This Row],[ID-RACK]]&amp;Tableau3[[#This Row],[ID-SLOT]]&amp;Tableau3[[#This Row],[BORNE]]</f>
        <v>5262B</v>
      </c>
      <c r="AO814" s="1"/>
    </row>
    <row r="815" spans="1:41" ht="20.100000000000001" customHeight="1" thickTop="1" thickBot="1">
      <c r="A815" s="68"/>
      <c r="B815" s="69" t="str">
        <f>IFERROR(INDEX(Tableau4[Date],MATCH($A815,Tableau4[EVO],0)),"")</f>
        <v/>
      </c>
      <c r="C815" s="68" t="str">
        <f>IFERROR(INDEX(Tableau4[Designation],MATCH($A815,Tableau4[EVO],0)),"")</f>
        <v/>
      </c>
      <c r="D815" s="68"/>
      <c r="E815" s="70">
        <v>160</v>
      </c>
      <c r="F815" s="71">
        <v>84</v>
      </c>
      <c r="G815" s="101" t="str">
        <f>INDEX(Tableau8[Att1],MATCH(Tableau3[[#This Row],[ID-INS]],Tableau8[ID],0))&amp;""</f>
        <v>V4</v>
      </c>
      <c r="H815" s="101" t="str">
        <f>INDEX(Tableau8[Att2],MATCH(Tableau3[[#This Row],[ID-INS]],Tableau8[ID],0))&amp;""</f>
        <v>B24</v>
      </c>
      <c r="I815" s="101" t="str">
        <f>INDEX(Tableau8[Att3],MATCH(Tableau3[[#This Row],[ID-INS]],Tableau8[ID],0))&amp;""</f>
        <v>Boucle B24</v>
      </c>
      <c r="J815" s="101"/>
      <c r="K815" s="167" t="str">
        <f>INDEX(Tableau8[Nom du modele],MATCH(Tableau3[[#This Row],[ID-INS]],Tableau8[ID],0))&amp;""</f>
        <v>Boucle</v>
      </c>
      <c r="L815" s="99" t="str">
        <f>INDEX(Tableau5[Att1],MATCH(Tableau3[[#This Row],[ID-SIG]],Tableau5[ID],0))&amp;""</f>
        <v>Def</v>
      </c>
      <c r="M815" s="99" t="str">
        <f>INDEX(Tableau5[Att2],MATCH(Tableau3[[#This Row],[ID-SIG]],Tableau5[ID],0))&amp;""</f>
        <v/>
      </c>
      <c r="N815" s="99" t="str">
        <f>INDEX(Tableau5[Att3],MATCH(Tableau3[[#This Row],[ID-SIG]],Tableau5[ID],0))&amp;""</f>
        <v/>
      </c>
      <c r="O815" s="99"/>
      <c r="P815" s="99" t="str">
        <f>INDEX(Tableau5[Description],MATCH(Tableau3[[#This Row],[ID-SIG]],Tableau5[ID],0))</f>
        <v>Défaut</v>
      </c>
      <c r="Q815" s="99"/>
      <c r="R815" s="103" t="str">
        <f>Tableau3[[#This Row],[Description]]</f>
        <v>Défaut</v>
      </c>
      <c r="U815" s="87">
        <v>5</v>
      </c>
      <c r="V815" s="87">
        <v>2</v>
      </c>
      <c r="W815" s="87">
        <v>6</v>
      </c>
      <c r="X815" s="87">
        <v>5</v>
      </c>
      <c r="Y815" s="40"/>
      <c r="Z815" s="165" t="str">
        <f>INDEX(Tableau2[TS],MATCH(Tableau3[[#This Row],[ID-CARTEVOIE]],Tableau2[ID-CARTEVOIE],0))</f>
        <v>ET</v>
      </c>
      <c r="AA815" s="53" t="s">
        <v>213</v>
      </c>
      <c r="AB815" s="223" t="str">
        <f>IFERROR(INDEX(Tableau5[Reserve],MATCH(Tableau3[[#This Row],[ID-SIG]],Tableau5[ID],0))&amp;"","")</f>
        <v/>
      </c>
      <c r="AC815" s="21"/>
      <c r="AD815" s="108" t="str">
        <f>INDEX(Tableau7[Repere],MATCH(Tableau3[[#This Row],[ID-API]],Tableau7[ID-API],0))&amp;""</f>
        <v>A5</v>
      </c>
      <c r="AE815" s="108" t="str">
        <f>INDEX(Tableau1[Repere-Rack],MATCH(Tableau3[[#This Row],[ID-RACK]],Tableau1[ID-RACK],0))&amp;""</f>
        <v>R2</v>
      </c>
      <c r="AF815" s="108" t="str">
        <f>INDEX(Tableau1[Repere-Slot],MATCH(Tableau3[[#This Row],[ID-SLOT]],Tableau1[ID-SLOT],0))&amp;""</f>
        <v>S6</v>
      </c>
      <c r="AG815" s="108" t="str">
        <f>INDEX(Tableau2[Repere-Voie],MATCH(Tableau3[[#This Row],[ID-VOIE]],Tableau2[ID-Voie],0))&amp;""</f>
        <v>v5</v>
      </c>
      <c r="AH815" s="72" t="str">
        <f>Tableau3[[#This Row],[ID-API]]&amp; "." &amp;Tableau3[[#This Row],[ID-RACK]]&amp; "." &amp;Tableau3[[#This Row],[ID-SLOT]]</f>
        <v>5.2.6</v>
      </c>
      <c r="AI815" s="72" t="str">
        <f>INDEX(Tableau1[Ref-Carte],MATCH(Tableau3[[#This Row],[ID-RRS]],Tableau1[ID-RRS],0))</f>
        <v>SDI1602</v>
      </c>
      <c r="AJ815" s="72" t="str">
        <f t="array" ref="AJ815">IFERROR(INDEX(Tableau2[TS],MATCH(1,(Tableau2[Ref-Carte]=Tableau3[[#This Row],[Ref-Carte2]])*(Tableau2[ID-Voie]=Tableau3[[#This Row],[ID-VOIE]]),0)),"")</f>
        <v>ET</v>
      </c>
      <c r="AK815" s="72" t="str">
        <f>IFERROR(INDEX(Tableau2[TS],SUMPRODUCT((Tableau2[Ref-Carte]=Tableau3[[#This Row],[Ref-Carte2]])*(Tableau2[ID-Voie]=Tableau3[[#This Row],[ID-VOIE]])*ROW(Tableau2[TS]))-ROW(Tableau2[#Headers])),"")</f>
        <v>ET</v>
      </c>
      <c r="AL815" s="72" t="str">
        <f>Tableau3[[#This Row],[Ref-Carte2]]&amp;"/"&amp;Tableau3[[#This Row],[ID-VOIE]]</f>
        <v>SDI1602/5</v>
      </c>
      <c r="AM815" s="73" t="str">
        <f>INDEX(Tableau2[Borne],MATCH(Tableau3[[#This Row],[ID-CARTEVOIE]],Tableau2[ID-CARTEVOIE],0))&amp;""</f>
        <v>2A</v>
      </c>
      <c r="AN815" s="74" t="str">
        <f>Tableau3[[#This Row],[ID-API]]&amp;Tableau3[[#This Row],[ID-RACK]]&amp;Tableau3[[#This Row],[ID-SLOT]]&amp;Tableau3[[#This Row],[BORNE]]</f>
        <v>5262A</v>
      </c>
      <c r="AO815" s="1"/>
    </row>
    <row r="816" spans="1:41" ht="20.100000000000001" customHeight="1" thickTop="1" thickBot="1">
      <c r="A816" s="68"/>
      <c r="B816" s="69" t="str">
        <f>IFERROR(INDEX(Tableau4[Date],MATCH($A816,Tableau4[EVO],0)),"")</f>
        <v/>
      </c>
      <c r="C816" s="68" t="str">
        <f>IFERROR(INDEX(Tableau4[Designation],MATCH($A816,Tableau4[EVO],0)),"")</f>
        <v/>
      </c>
      <c r="D816" s="68"/>
      <c r="E816" s="70">
        <v>160</v>
      </c>
      <c r="F816" s="71">
        <v>85</v>
      </c>
      <c r="G816" s="101" t="str">
        <f>INDEX(Tableau8[Att1],MATCH(Tableau3[[#This Row],[ID-INS]],Tableau8[ID],0))&amp;""</f>
        <v>V4</v>
      </c>
      <c r="H816" s="101" t="str">
        <f>INDEX(Tableau8[Att2],MATCH(Tableau3[[#This Row],[ID-INS]],Tableau8[ID],0))&amp;""</f>
        <v>B24</v>
      </c>
      <c r="I816" s="101" t="str">
        <f>INDEX(Tableau8[Att3],MATCH(Tableau3[[#This Row],[ID-INS]],Tableau8[ID],0))&amp;""</f>
        <v>Boucle B24</v>
      </c>
      <c r="J816" s="101"/>
      <c r="K816" s="167" t="str">
        <f>INDEX(Tableau8[Nom du modele],MATCH(Tableau3[[#This Row],[ID-INS]],Tableau8[ID],0))&amp;""</f>
        <v>Boucle</v>
      </c>
      <c r="L816" s="99" t="str">
        <f>INDEX(Tableau5[Att1],MATCH(Tableau3[[#This Row],[ID-SIG]],Tableau5[ID],0))&amp;""</f>
        <v>Pres</v>
      </c>
      <c r="M816" s="99" t="str">
        <f>INDEX(Tableau5[Att2],MATCH(Tableau3[[#This Row],[ID-SIG]],Tableau5[ID],0))&amp;""</f>
        <v/>
      </c>
      <c r="N816" s="99" t="str">
        <f>INDEX(Tableau5[Att3],MATCH(Tableau3[[#This Row],[ID-SIG]],Tableau5[ID],0))&amp;""</f>
        <v/>
      </c>
      <c r="O816" s="99"/>
      <c r="P816" s="99" t="str">
        <f>INDEX(Tableau5[Description],MATCH(Tableau3[[#This Row],[ID-SIG]],Tableau5[ID],0))</f>
        <v>Présence</v>
      </c>
      <c r="Q816" s="99"/>
      <c r="R816" s="103" t="str">
        <f>Tableau3[[#This Row],[Description]]</f>
        <v>Présence</v>
      </c>
      <c r="U816" s="87">
        <v>5</v>
      </c>
      <c r="V816" s="87">
        <v>2</v>
      </c>
      <c r="W816" s="87">
        <v>6</v>
      </c>
      <c r="X816" s="87">
        <v>6</v>
      </c>
      <c r="Y816" s="40"/>
      <c r="Z816" s="165" t="str">
        <f>INDEX(Tableau2[TS],MATCH(Tableau3[[#This Row],[ID-CARTEVOIE]],Tableau2[ID-CARTEVOIE],0))</f>
        <v>ET</v>
      </c>
      <c r="AA816" s="53" t="s">
        <v>213</v>
      </c>
      <c r="AB816" s="223" t="str">
        <f>IFERROR(INDEX(Tableau5[Reserve],MATCH(Tableau3[[#This Row],[ID-SIG]],Tableau5[ID],0))&amp;"","")</f>
        <v/>
      </c>
      <c r="AC816" s="21"/>
      <c r="AD816" s="108" t="str">
        <f>INDEX(Tableau7[Repere],MATCH(Tableau3[[#This Row],[ID-API]],Tableau7[ID-API],0))&amp;""</f>
        <v>A5</v>
      </c>
      <c r="AE816" s="108" t="str">
        <f>INDEX(Tableau1[Repere-Rack],MATCH(Tableau3[[#This Row],[ID-RACK]],Tableau1[ID-RACK],0))&amp;""</f>
        <v>R2</v>
      </c>
      <c r="AF816" s="108" t="str">
        <f>INDEX(Tableau1[Repere-Slot],MATCH(Tableau3[[#This Row],[ID-SLOT]],Tableau1[ID-SLOT],0))&amp;""</f>
        <v>S6</v>
      </c>
      <c r="AG816" s="108" t="str">
        <f>INDEX(Tableau2[Repere-Voie],MATCH(Tableau3[[#This Row],[ID-VOIE]],Tableau2[ID-Voie],0))&amp;""</f>
        <v>v6</v>
      </c>
      <c r="AH816" s="72" t="str">
        <f>Tableau3[[#This Row],[ID-API]]&amp; "." &amp;Tableau3[[#This Row],[ID-RACK]]&amp; "." &amp;Tableau3[[#This Row],[ID-SLOT]]</f>
        <v>5.2.6</v>
      </c>
      <c r="AI816" s="72" t="str">
        <f>INDEX(Tableau1[Ref-Carte],MATCH(Tableau3[[#This Row],[ID-RRS]],Tableau1[ID-RRS],0))</f>
        <v>SDI1602</v>
      </c>
      <c r="AJ816" s="72" t="str">
        <f t="array" ref="AJ816">IFERROR(INDEX(Tableau2[TS],MATCH(1,(Tableau2[Ref-Carte]=Tableau3[[#This Row],[Ref-Carte2]])*(Tableau2[ID-Voie]=Tableau3[[#This Row],[ID-VOIE]]),0)),"")</f>
        <v>ET</v>
      </c>
      <c r="AK816" s="72" t="str">
        <f>IFERROR(INDEX(Tableau2[TS],SUMPRODUCT((Tableau2[Ref-Carte]=Tableau3[[#This Row],[Ref-Carte2]])*(Tableau2[ID-Voie]=Tableau3[[#This Row],[ID-VOIE]])*ROW(Tableau2[TS]))-ROW(Tableau2[#Headers])),"")</f>
        <v>ET</v>
      </c>
      <c r="AL816" s="72" t="str">
        <f>Tableau3[[#This Row],[Ref-Carte2]]&amp;"/"&amp;Tableau3[[#This Row],[ID-VOIE]]</f>
        <v>SDI1602/6</v>
      </c>
      <c r="AM816" s="73" t="str">
        <f>INDEX(Tableau2[Borne],MATCH(Tableau3[[#This Row],[ID-CARTEVOIE]],Tableau2[ID-CARTEVOIE],0))&amp;""</f>
        <v>3B</v>
      </c>
      <c r="AN816" s="74" t="str">
        <f>Tableau3[[#This Row],[ID-API]]&amp;Tableau3[[#This Row],[ID-RACK]]&amp;Tableau3[[#This Row],[ID-SLOT]]&amp;Tableau3[[#This Row],[BORNE]]</f>
        <v>5263B</v>
      </c>
      <c r="AO816" s="1"/>
    </row>
    <row r="817" spans="1:41" ht="20.100000000000001" customHeight="1" thickTop="1" thickBot="1">
      <c r="A817" s="134"/>
      <c r="B817" s="135" t="str">
        <f>IFERROR(INDEX(Tableau4[Date],MATCH($A817,Tableau4[EVO],0)),"")</f>
        <v/>
      </c>
      <c r="C817" s="136" t="str">
        <f>IFERROR(INDEX(Tableau4[Designation],MATCH($A817,Tableau4[EVO],0)),"")</f>
        <v/>
      </c>
      <c r="D817" s="134"/>
      <c r="E817" s="137">
        <v>165</v>
      </c>
      <c r="F817" s="138">
        <v>84</v>
      </c>
      <c r="G817" s="139" t="str">
        <f>INDEX(Tableau8[Att1],MATCH(Tableau3[[#This Row],[ID-INS]],Tableau8[ID],0))&amp;""</f>
        <v>V4</v>
      </c>
      <c r="H817" s="139" t="str">
        <f>INDEX(Tableau8[Att2],MATCH(Tableau3[[#This Row],[ID-INS]],Tableau8[ID],0))&amp;""</f>
        <v>B29</v>
      </c>
      <c r="I817" s="139" t="str">
        <f>INDEX(Tableau8[Att3],MATCH(Tableau3[[#This Row],[ID-INS]],Tableau8[ID],0))&amp;""</f>
        <v>Boucle B29</v>
      </c>
      <c r="J817" s="101"/>
      <c r="K817" s="167" t="str">
        <f>INDEX(Tableau8[Nom du modele],MATCH(Tableau3[[#This Row],[ID-INS]],Tableau8[ID],0))&amp;""</f>
        <v>Boucle</v>
      </c>
      <c r="L817" s="141" t="str">
        <f>INDEX(Tableau5[Att1],MATCH(Tableau3[[#This Row],[ID-SIG]],Tableau5[ID],0))&amp;""</f>
        <v>Def</v>
      </c>
      <c r="M817" s="141" t="str">
        <f>INDEX(Tableau5[Att2],MATCH(Tableau3[[#This Row],[ID-SIG]],Tableau5[ID],0))&amp;""</f>
        <v/>
      </c>
      <c r="N817" s="141" t="str">
        <f>INDEX(Tableau5[Att3],MATCH(Tableau3[[#This Row],[ID-SIG]],Tableau5[ID],0))&amp;""</f>
        <v/>
      </c>
      <c r="O817" s="99"/>
      <c r="P817" s="141" t="str">
        <f>INDEX(Tableau5[Description],MATCH(Tableau3[[#This Row],[ID-SIG]],Tableau5[ID],0))</f>
        <v>Défaut</v>
      </c>
      <c r="Q817" s="99"/>
      <c r="R817" s="142" t="str">
        <f>Tableau3[[#This Row],[Description]]</f>
        <v>Défaut</v>
      </c>
      <c r="U817" s="87">
        <v>5</v>
      </c>
      <c r="V817" s="87">
        <v>2</v>
      </c>
      <c r="W817" s="87">
        <v>6</v>
      </c>
      <c r="X817" s="87">
        <v>7</v>
      </c>
      <c r="Y817" s="40"/>
      <c r="Z817" s="165" t="str">
        <f>INDEX(Tableau2[TS],MATCH(Tableau3[[#This Row],[ID-CARTEVOIE]],Tableau2[ID-CARTEVOIE],0))</f>
        <v>ET</v>
      </c>
      <c r="AA817" s="144" t="s">
        <v>213</v>
      </c>
      <c r="AB817" s="224" t="str">
        <f>IFERROR(INDEX(Tableau5[Reserve],MATCH(Tableau3[[#This Row],[ID-SIG]],Tableau5[ID],0))&amp;"","")</f>
        <v/>
      </c>
      <c r="AC817" s="119"/>
      <c r="AD817" s="120" t="str">
        <f>INDEX(Tableau7[Repere],MATCH(Tableau3[[#This Row],[ID-API]],Tableau7[ID-API],0))&amp;""</f>
        <v>A5</v>
      </c>
      <c r="AE817" s="120" t="str">
        <f>INDEX(Tableau1[Repere-Rack],MATCH(Tableau3[[#This Row],[ID-RACK]],Tableau1[ID-RACK],0))&amp;""</f>
        <v>R2</v>
      </c>
      <c r="AF817" s="120" t="str">
        <f>INDEX(Tableau1[Repere-Slot],MATCH(Tableau3[[#This Row],[ID-SLOT]],Tableau1[ID-SLOT],0))&amp;""</f>
        <v>S6</v>
      </c>
      <c r="AG817" s="120" t="str">
        <f>INDEX(Tableau2[Repere-Voie],MATCH(Tableau3[[#This Row],[ID-VOIE]],Tableau2[ID-Voie],0))&amp;""</f>
        <v>v7</v>
      </c>
      <c r="AH817" s="122" t="str">
        <f>Tableau3[[#This Row],[ID-API]]&amp; "." &amp;Tableau3[[#This Row],[ID-RACK]]&amp; "." &amp;Tableau3[[#This Row],[ID-SLOT]]</f>
        <v>5.2.6</v>
      </c>
      <c r="AI817" s="72" t="str">
        <f>INDEX(Tableau1[Ref-Carte],MATCH(Tableau3[[#This Row],[ID-RRS]],Tableau1[ID-RRS],0))</f>
        <v>SDI1602</v>
      </c>
      <c r="AJ817" s="72" t="str">
        <f t="array" ref="AJ817">IFERROR(INDEX(Tableau2[TS],MATCH(1,(Tableau2[Ref-Carte]=Tableau3[[#This Row],[Ref-Carte2]])*(Tableau2[ID-Voie]=Tableau3[[#This Row],[ID-VOIE]]),0)),"")</f>
        <v>ET</v>
      </c>
      <c r="AK817" s="72" t="str">
        <f>IFERROR(INDEX(Tableau2[TS],SUMPRODUCT((Tableau2[Ref-Carte]=Tableau3[[#This Row],[Ref-Carte2]])*(Tableau2[ID-Voie]=Tableau3[[#This Row],[ID-VOIE]])*ROW(Tableau2[TS]))-ROW(Tableau2[#Headers])),"")</f>
        <v>ET</v>
      </c>
      <c r="AL817" s="122" t="str">
        <f>Tableau3[[#This Row],[Ref-Carte2]]&amp;"/"&amp;Tableau3[[#This Row],[ID-VOIE]]</f>
        <v>SDI1602/7</v>
      </c>
      <c r="AM817" s="145" t="str">
        <f>INDEX(Tableau2[Borne],MATCH(Tableau3[[#This Row],[ID-CARTEVOIE]],Tableau2[ID-CARTEVOIE],0))&amp;""</f>
        <v>3A</v>
      </c>
      <c r="AN817" s="124" t="str">
        <f>Tableau3[[#This Row],[ID-API]]&amp;Tableau3[[#This Row],[ID-RACK]]&amp;Tableau3[[#This Row],[ID-SLOT]]&amp;Tableau3[[#This Row],[BORNE]]</f>
        <v>5263A</v>
      </c>
      <c r="AO817" s="125"/>
    </row>
    <row r="818" spans="1:41" ht="20.100000000000001" customHeight="1" thickTop="1" thickBot="1">
      <c r="A818" s="134"/>
      <c r="B818" s="135" t="str">
        <f>IFERROR(INDEX(Tableau4[Date],MATCH($A818,Tableau4[EVO],0)),"")</f>
        <v/>
      </c>
      <c r="C818" s="136" t="str">
        <f>IFERROR(INDEX(Tableau4[Designation],MATCH($A818,Tableau4[EVO],0)),"")</f>
        <v/>
      </c>
      <c r="D818" s="134"/>
      <c r="E818" s="137">
        <v>165</v>
      </c>
      <c r="F818" s="138">
        <v>85</v>
      </c>
      <c r="G818" s="139" t="str">
        <f>INDEX(Tableau8[Att1],MATCH(Tableau3[[#This Row],[ID-INS]],Tableau8[ID],0))&amp;""</f>
        <v>V4</v>
      </c>
      <c r="H818" s="139" t="str">
        <f>INDEX(Tableau8[Att2],MATCH(Tableau3[[#This Row],[ID-INS]],Tableau8[ID],0))&amp;""</f>
        <v>B29</v>
      </c>
      <c r="I818" s="139" t="str">
        <f>INDEX(Tableau8[Att3],MATCH(Tableau3[[#This Row],[ID-INS]],Tableau8[ID],0))&amp;""</f>
        <v>Boucle B29</v>
      </c>
      <c r="J818" s="101"/>
      <c r="K818" s="167" t="str">
        <f>INDEX(Tableau8[Nom du modele],MATCH(Tableau3[[#This Row],[ID-INS]],Tableau8[ID],0))&amp;""</f>
        <v>Boucle</v>
      </c>
      <c r="L818" s="141" t="str">
        <f>INDEX(Tableau5[Att1],MATCH(Tableau3[[#This Row],[ID-SIG]],Tableau5[ID],0))&amp;""</f>
        <v>Pres</v>
      </c>
      <c r="M818" s="141" t="str">
        <f>INDEX(Tableau5[Att2],MATCH(Tableau3[[#This Row],[ID-SIG]],Tableau5[ID],0))&amp;""</f>
        <v/>
      </c>
      <c r="N818" s="141" t="str">
        <f>INDEX(Tableau5[Att3],MATCH(Tableau3[[#This Row],[ID-SIG]],Tableau5[ID],0))&amp;""</f>
        <v/>
      </c>
      <c r="O818" s="99"/>
      <c r="P818" s="141" t="str">
        <f>INDEX(Tableau5[Description],MATCH(Tableau3[[#This Row],[ID-SIG]],Tableau5[ID],0))</f>
        <v>Présence</v>
      </c>
      <c r="Q818" s="99"/>
      <c r="R818" s="142" t="str">
        <f>Tableau3[[#This Row],[Description]]</f>
        <v>Présence</v>
      </c>
      <c r="U818" s="87">
        <v>5</v>
      </c>
      <c r="V818" s="87">
        <v>2</v>
      </c>
      <c r="W818" s="87">
        <v>6</v>
      </c>
      <c r="X818" s="87">
        <v>8</v>
      </c>
      <c r="Y818" s="40"/>
      <c r="Z818" s="165" t="str">
        <f>INDEX(Tableau2[TS],MATCH(Tableau3[[#This Row],[ID-CARTEVOIE]],Tableau2[ID-CARTEVOIE],0))</f>
        <v>ET</v>
      </c>
      <c r="AA818" s="144" t="s">
        <v>213</v>
      </c>
      <c r="AB818" s="224" t="str">
        <f>IFERROR(INDEX(Tableau5[Reserve],MATCH(Tableau3[[#This Row],[ID-SIG]],Tableau5[ID],0))&amp;"","")</f>
        <v/>
      </c>
      <c r="AC818" s="119"/>
      <c r="AD818" s="120" t="str">
        <f>INDEX(Tableau7[Repere],MATCH(Tableau3[[#This Row],[ID-API]],Tableau7[ID-API],0))&amp;""</f>
        <v>A5</v>
      </c>
      <c r="AE818" s="120" t="str">
        <f>INDEX(Tableau1[Repere-Rack],MATCH(Tableau3[[#This Row],[ID-RACK]],Tableau1[ID-RACK],0))&amp;""</f>
        <v>R2</v>
      </c>
      <c r="AF818" s="120" t="str">
        <f>INDEX(Tableau1[Repere-Slot],MATCH(Tableau3[[#This Row],[ID-SLOT]],Tableau1[ID-SLOT],0))&amp;""</f>
        <v>S6</v>
      </c>
      <c r="AG818" s="120" t="str">
        <f>INDEX(Tableau2[Repere-Voie],MATCH(Tableau3[[#This Row],[ID-VOIE]],Tableau2[ID-Voie],0))&amp;""</f>
        <v>v8</v>
      </c>
      <c r="AH818" s="122" t="str">
        <f>Tableau3[[#This Row],[ID-API]]&amp; "." &amp;Tableau3[[#This Row],[ID-RACK]]&amp; "." &amp;Tableau3[[#This Row],[ID-SLOT]]</f>
        <v>5.2.6</v>
      </c>
      <c r="AI818" s="72" t="str">
        <f>INDEX(Tableau1[Ref-Carte],MATCH(Tableau3[[#This Row],[ID-RRS]],Tableau1[ID-RRS],0))</f>
        <v>SDI1602</v>
      </c>
      <c r="AJ818" s="72" t="str">
        <f t="array" ref="AJ818">IFERROR(INDEX(Tableau2[TS],MATCH(1,(Tableau2[Ref-Carte]=Tableau3[[#This Row],[Ref-Carte2]])*(Tableau2[ID-Voie]=Tableau3[[#This Row],[ID-VOIE]]),0)),"")</f>
        <v>ET</v>
      </c>
      <c r="AK818" s="72" t="str">
        <f>IFERROR(INDEX(Tableau2[TS],SUMPRODUCT((Tableau2[Ref-Carte]=Tableau3[[#This Row],[Ref-Carte2]])*(Tableau2[ID-Voie]=Tableau3[[#This Row],[ID-VOIE]])*ROW(Tableau2[TS]))-ROW(Tableau2[#Headers])),"")</f>
        <v>ET</v>
      </c>
      <c r="AL818" s="122" t="str">
        <f>Tableau3[[#This Row],[Ref-Carte2]]&amp;"/"&amp;Tableau3[[#This Row],[ID-VOIE]]</f>
        <v>SDI1602/8</v>
      </c>
      <c r="AM818" s="145" t="str">
        <f>INDEX(Tableau2[Borne],MATCH(Tableau3[[#This Row],[ID-CARTEVOIE]],Tableau2[ID-CARTEVOIE],0))&amp;""</f>
        <v>4B</v>
      </c>
      <c r="AN818" s="124" t="str">
        <f>Tableau3[[#This Row],[ID-API]]&amp;Tableau3[[#This Row],[ID-RACK]]&amp;Tableau3[[#This Row],[ID-SLOT]]&amp;Tableau3[[#This Row],[BORNE]]</f>
        <v>5264B</v>
      </c>
      <c r="AO818" s="125"/>
    </row>
    <row r="819" spans="1:41" ht="20.100000000000001" customHeight="1" thickTop="1" thickBot="1">
      <c r="A819" s="68"/>
      <c r="B819" s="69" t="str">
        <f>IFERROR(INDEX(Tableau4[Date],MATCH($A819,Tableau4[EVO],0)),"")</f>
        <v/>
      </c>
      <c r="C819" s="68" t="str">
        <f>IFERROR(INDEX(Tableau4[Designation],MATCH($A819,Tableau4[EVO],0)),"")</f>
        <v/>
      </c>
      <c r="D819" s="68"/>
      <c r="E819" s="70">
        <v>181</v>
      </c>
      <c r="F819" s="71">
        <v>1</v>
      </c>
      <c r="G819" s="101" t="str">
        <f>INDEX(Tableau8[Att1],MATCH(Tableau3[[#This Row],[ID-INS]],Tableau8[ID],0))&amp;""</f>
        <v>B21</v>
      </c>
      <c r="H819" s="101" t="str">
        <f>INDEX(Tableau8[Att2],MATCH(Tableau3[[#This Row],[ID-INS]],Tableau8[ID],0))&amp;""</f>
        <v>BP1</v>
      </c>
      <c r="I819" s="101" t="str">
        <f>INDEX(Tableau8[Att3],MATCH(Tableau3[[#This Row],[ID-INS]],Tableau8[ID],0))&amp;""</f>
        <v>bouton poussoir Demande d'ouverture accès PMR3 dans le sens sortie</v>
      </c>
      <c r="J819" s="101"/>
      <c r="K819" s="167" t="str">
        <f>INDEX(Tableau8[Nom du modele],MATCH(Tableau3[[#This Row],[ID-INS]],Tableau8[ID],0))&amp;""</f>
        <v>BoutonPoussoir</v>
      </c>
      <c r="L819" s="99" t="str">
        <f>INDEX(Tableau5[Att1],MATCH(Tableau3[[#This Row],[ID-SIG]],Tableau5[ID],0))&amp;""</f>
        <v>Appui</v>
      </c>
      <c r="M819" s="99" t="str">
        <f>INDEX(Tableau5[Att2],MATCH(Tableau3[[#This Row],[ID-SIG]],Tableau5[ID],0))&amp;""</f>
        <v/>
      </c>
      <c r="N819" s="99" t="str">
        <f>INDEX(Tableau5[Att3],MATCH(Tableau3[[#This Row],[ID-SIG]],Tableau5[ID],0))&amp;""</f>
        <v/>
      </c>
      <c r="O819" s="99"/>
      <c r="P819" s="99" t="str">
        <f>INDEX(Tableau5[Description],MATCH(Tableau3[[#This Row],[ID-SIG]],Tableau5[ID],0))</f>
        <v>Appui</v>
      </c>
      <c r="Q819" s="99"/>
      <c r="R819" s="103" t="str">
        <f>Tableau3[[#This Row],[Description]]</f>
        <v>Appui</v>
      </c>
      <c r="T819" s="85"/>
      <c r="U819" s="87">
        <v>5</v>
      </c>
      <c r="V819" s="87">
        <v>2</v>
      </c>
      <c r="W819" s="87">
        <v>6</v>
      </c>
      <c r="X819" s="87">
        <v>9</v>
      </c>
      <c r="Y819" s="40"/>
      <c r="Z819" s="165" t="str">
        <f>INDEX(Tableau2[TS],MATCH(Tableau3[[#This Row],[ID-CARTEVOIE]],Tableau2[ID-CARTEVOIE],0))</f>
        <v>ET</v>
      </c>
      <c r="AA819" s="53" t="s">
        <v>213</v>
      </c>
      <c r="AB819" s="223" t="str">
        <f>IFERROR(INDEX(Tableau5[Reserve],MATCH(Tableau3[[#This Row],[ID-SIG]],Tableau5[ID],0))&amp;"","")</f>
        <v/>
      </c>
      <c r="AC819" s="21"/>
      <c r="AD819" s="108" t="str">
        <f>INDEX(Tableau7[Repere],MATCH(Tableau3[[#This Row],[ID-API]],Tableau7[ID-API],0))&amp;""</f>
        <v>A5</v>
      </c>
      <c r="AE819" s="108" t="str">
        <f>INDEX(Tableau1[Repere-Rack],MATCH(Tableau3[[#This Row],[ID-RACK]],Tableau1[ID-RACK],0))&amp;""</f>
        <v>R2</v>
      </c>
      <c r="AF819" s="108" t="str">
        <f>INDEX(Tableau1[Repere-Slot],MATCH(Tableau3[[#This Row],[ID-SLOT]],Tableau1[ID-SLOT],0))&amp;""</f>
        <v>S6</v>
      </c>
      <c r="AG819" s="108" t="str">
        <f>INDEX(Tableau2[Repere-Voie],MATCH(Tableau3[[#This Row],[ID-VOIE]],Tableau2[ID-Voie],0))&amp;""</f>
        <v>v9</v>
      </c>
      <c r="AH819" s="72" t="str">
        <f>Tableau3[[#This Row],[ID-API]]&amp; "." &amp;Tableau3[[#This Row],[ID-RACK]]&amp; "." &amp;Tableau3[[#This Row],[ID-SLOT]]</f>
        <v>5.2.6</v>
      </c>
      <c r="AI819" s="72" t="str">
        <f>INDEX(Tableau1[Ref-Carte],MATCH(Tableau3[[#This Row],[ID-RRS]],Tableau1[ID-RRS],0))</f>
        <v>SDI1602</v>
      </c>
      <c r="AJ819" s="72" t="str">
        <f t="array" ref="AJ819">IFERROR(INDEX(Tableau2[TS],MATCH(1,(Tableau2[Ref-Carte]=Tableau3[[#This Row],[Ref-Carte2]])*(Tableau2[ID-Voie]=Tableau3[[#This Row],[ID-VOIE]]),0)),"")</f>
        <v>ET</v>
      </c>
      <c r="AK819" s="72" t="str">
        <f>IFERROR(INDEX(Tableau2[TS],SUMPRODUCT((Tableau2[Ref-Carte]=Tableau3[[#This Row],[Ref-Carte2]])*(Tableau2[ID-Voie]=Tableau3[[#This Row],[ID-VOIE]])*ROW(Tableau2[TS]))-ROW(Tableau2[#Headers])),"")</f>
        <v>ET</v>
      </c>
      <c r="AL819" s="72" t="str">
        <f>Tableau3[[#This Row],[Ref-Carte2]]&amp;"/"&amp;Tableau3[[#This Row],[ID-VOIE]]</f>
        <v>SDI1602/9</v>
      </c>
      <c r="AM819" s="73" t="str">
        <f>INDEX(Tableau2[Borne],MATCH(Tableau3[[#This Row],[ID-CARTEVOIE]],Tableau2[ID-CARTEVOIE],0))&amp;""</f>
        <v>4A</v>
      </c>
      <c r="AN819" s="74" t="str">
        <f>Tableau3[[#This Row],[ID-API]]&amp;Tableau3[[#This Row],[ID-RACK]]&amp;Tableau3[[#This Row],[ID-SLOT]]&amp;Tableau3[[#This Row],[BORNE]]</f>
        <v>5264A</v>
      </c>
      <c r="AO819" s="1"/>
    </row>
    <row r="820" spans="1:41" ht="20.100000000000001" customHeight="1" thickTop="1" thickBot="1">
      <c r="A820" s="68"/>
      <c r="B820" s="69" t="str">
        <f>IFERROR(INDEX(Tableau4[Date],MATCH($A820,Tableau4[EVO],0)),"")</f>
        <v/>
      </c>
      <c r="C820" s="68" t="str">
        <f>IFERROR(INDEX(Tableau4[Designation],MATCH($A820,Tableau4[EVO],0)),"")</f>
        <v/>
      </c>
      <c r="D820" s="68"/>
      <c r="E820" s="70">
        <v>229</v>
      </c>
      <c r="F820" s="71">
        <v>84</v>
      </c>
      <c r="G820" s="101" t="str">
        <f>INDEX(Tableau8[Att1],MATCH(Tableau3[[#This Row],[ID-INS]],Tableau8[ID],0))&amp;""</f>
        <v>V4</v>
      </c>
      <c r="H820" s="101" t="str">
        <f>INDEX(Tableau8[Att2],MATCH(Tableau3[[#This Row],[ID-INS]],Tableau8[ID],0))&amp;""</f>
        <v>B38</v>
      </c>
      <c r="I820" s="101" t="str">
        <f>INDEX(Tableau8[Att3],MATCH(Tableau3[[#This Row],[ID-INS]],Tableau8[ID],0))&amp;""</f>
        <v>Boucle B38</v>
      </c>
      <c r="J820" s="101"/>
      <c r="K820" s="167" t="str">
        <f>INDEX(Tableau8[Nom du modele],MATCH(Tableau3[[#This Row],[ID-INS]],Tableau8[ID],0))&amp;""</f>
        <v>Boucle</v>
      </c>
      <c r="L820" s="99" t="str">
        <f>INDEX(Tableau5[Att1],MATCH(Tableau3[[#This Row],[ID-SIG]],Tableau5[ID],0))&amp;""</f>
        <v>Def</v>
      </c>
      <c r="M820" s="99" t="str">
        <f>INDEX(Tableau5[Att2],MATCH(Tableau3[[#This Row],[ID-SIG]],Tableau5[ID],0))&amp;""</f>
        <v/>
      </c>
      <c r="N820" s="99" t="str">
        <f>INDEX(Tableau5[Att3],MATCH(Tableau3[[#This Row],[ID-SIG]],Tableau5[ID],0))&amp;""</f>
        <v/>
      </c>
      <c r="O820" s="99"/>
      <c r="P820" s="99" t="str">
        <f>INDEX(Tableau5[Description],MATCH(Tableau3[[#This Row],[ID-SIG]],Tableau5[ID],0))</f>
        <v>Défaut</v>
      </c>
      <c r="Q820" s="99"/>
      <c r="R820" s="103" t="str">
        <f>Tableau3[[#This Row],[Description]]</f>
        <v>Défaut</v>
      </c>
      <c r="U820" s="87">
        <v>5</v>
      </c>
      <c r="V820" s="87">
        <v>2</v>
      </c>
      <c r="W820" s="87">
        <v>6</v>
      </c>
      <c r="X820" s="87">
        <v>10</v>
      </c>
      <c r="Y820" s="40"/>
      <c r="Z820" s="165" t="str">
        <f>INDEX(Tableau2[TS],MATCH(Tableau3[[#This Row],[ID-CARTEVOIE]],Tableau2[ID-CARTEVOIE],0))</f>
        <v>ET</v>
      </c>
      <c r="AA820" s="53" t="s">
        <v>213</v>
      </c>
      <c r="AB820" s="223" t="str">
        <f>IFERROR(INDEX(Tableau5[Reserve],MATCH(Tableau3[[#This Row],[ID-SIG]],Tableau5[ID],0))&amp;"","")</f>
        <v/>
      </c>
      <c r="AC820" s="21"/>
      <c r="AD820" s="108" t="str">
        <f>INDEX(Tableau7[Repere],MATCH(Tableau3[[#This Row],[ID-API]],Tableau7[ID-API],0))&amp;""</f>
        <v>A5</v>
      </c>
      <c r="AE820" s="108" t="str">
        <f>INDEX(Tableau1[Repere-Rack],MATCH(Tableau3[[#This Row],[ID-RACK]],Tableau1[ID-RACK],0))&amp;""</f>
        <v>R2</v>
      </c>
      <c r="AF820" s="108" t="str">
        <f>INDEX(Tableau1[Repere-Slot],MATCH(Tableau3[[#This Row],[ID-SLOT]],Tableau1[ID-SLOT],0))&amp;""</f>
        <v>S6</v>
      </c>
      <c r="AG820" s="108" t="str">
        <f>INDEX(Tableau2[Repere-Voie],MATCH(Tableau3[[#This Row],[ID-VOIE]],Tableau2[ID-Voie],0))&amp;""</f>
        <v>v10</v>
      </c>
      <c r="AH820" s="72" t="str">
        <f>Tableau3[[#This Row],[ID-API]]&amp; "." &amp;Tableau3[[#This Row],[ID-RACK]]&amp; "." &amp;Tableau3[[#This Row],[ID-SLOT]]</f>
        <v>5.2.6</v>
      </c>
      <c r="AI820" s="72" t="str">
        <f>INDEX(Tableau1[Ref-Carte],MATCH(Tableau3[[#This Row],[ID-RRS]],Tableau1[ID-RRS],0))</f>
        <v>SDI1602</v>
      </c>
      <c r="AJ820" s="72" t="str">
        <f t="array" ref="AJ820">IFERROR(INDEX(Tableau2[TS],MATCH(1,(Tableau2[Ref-Carte]=Tableau3[[#This Row],[Ref-Carte2]])*(Tableau2[ID-Voie]=Tableau3[[#This Row],[ID-VOIE]]),0)),"")</f>
        <v>ET</v>
      </c>
      <c r="AK820" s="72" t="str">
        <f>IFERROR(INDEX(Tableau2[TS],SUMPRODUCT((Tableau2[Ref-Carte]=Tableau3[[#This Row],[Ref-Carte2]])*(Tableau2[ID-Voie]=Tableau3[[#This Row],[ID-VOIE]])*ROW(Tableau2[TS]))-ROW(Tableau2[#Headers])),"")</f>
        <v>ET</v>
      </c>
      <c r="AL820" s="72" t="str">
        <f>Tableau3[[#This Row],[Ref-Carte2]]&amp;"/"&amp;Tableau3[[#This Row],[ID-VOIE]]</f>
        <v>SDI1602/10</v>
      </c>
      <c r="AM820" s="73" t="str">
        <f>INDEX(Tableau2[Borne],MATCH(Tableau3[[#This Row],[ID-CARTEVOIE]],Tableau2[ID-CARTEVOIE],0))&amp;""</f>
        <v>5B</v>
      </c>
      <c r="AN820" s="74" t="str">
        <f>Tableau3[[#This Row],[ID-API]]&amp;Tableau3[[#This Row],[ID-RACK]]&amp;Tableau3[[#This Row],[ID-SLOT]]&amp;Tableau3[[#This Row],[BORNE]]</f>
        <v>5265B</v>
      </c>
      <c r="AO820" s="1"/>
    </row>
    <row r="821" spans="1:41" ht="20.100000000000001" customHeight="1" thickTop="1" thickBot="1">
      <c r="A821" s="68"/>
      <c r="B821" s="69" t="str">
        <f>IFERROR(INDEX(Tableau4[Date],MATCH($A821,Tableau4[EVO],0)),"")</f>
        <v/>
      </c>
      <c r="C821" s="68" t="str">
        <f>IFERROR(INDEX(Tableau4[Designation],MATCH($A821,Tableau4[EVO],0)),"")</f>
        <v/>
      </c>
      <c r="D821" s="68"/>
      <c r="E821" s="70">
        <v>229</v>
      </c>
      <c r="F821" s="71">
        <v>85</v>
      </c>
      <c r="G821" s="101" t="str">
        <f>INDEX(Tableau8[Att1],MATCH(Tableau3[[#This Row],[ID-INS]],Tableau8[ID],0))&amp;""</f>
        <v>V4</v>
      </c>
      <c r="H821" s="101" t="str">
        <f>INDEX(Tableau8[Att2],MATCH(Tableau3[[#This Row],[ID-INS]],Tableau8[ID],0))&amp;""</f>
        <v>B38</v>
      </c>
      <c r="I821" s="101" t="str">
        <f>INDEX(Tableau8[Att3],MATCH(Tableau3[[#This Row],[ID-INS]],Tableau8[ID],0))&amp;""</f>
        <v>Boucle B38</v>
      </c>
      <c r="J821" s="101"/>
      <c r="K821" s="167" t="str">
        <f>INDEX(Tableau8[Nom du modele],MATCH(Tableau3[[#This Row],[ID-INS]],Tableau8[ID],0))&amp;""</f>
        <v>Boucle</v>
      </c>
      <c r="L821" s="99" t="str">
        <f>INDEX(Tableau5[Att1],MATCH(Tableau3[[#This Row],[ID-SIG]],Tableau5[ID],0))&amp;""</f>
        <v>Pres</v>
      </c>
      <c r="M821" s="99" t="str">
        <f>INDEX(Tableau5[Att2],MATCH(Tableau3[[#This Row],[ID-SIG]],Tableau5[ID],0))&amp;""</f>
        <v/>
      </c>
      <c r="N821" s="99" t="str">
        <f>INDEX(Tableau5[Att3],MATCH(Tableau3[[#This Row],[ID-SIG]],Tableau5[ID],0))&amp;""</f>
        <v/>
      </c>
      <c r="O821" s="99"/>
      <c r="P821" s="99" t="str">
        <f>INDEX(Tableau5[Description],MATCH(Tableau3[[#This Row],[ID-SIG]],Tableau5[ID],0))</f>
        <v>Présence</v>
      </c>
      <c r="Q821" s="99"/>
      <c r="R821" s="103" t="str">
        <f>Tableau3[[#This Row],[Description]]</f>
        <v>Présence</v>
      </c>
      <c r="U821" s="87">
        <v>5</v>
      </c>
      <c r="V821" s="87">
        <v>2</v>
      </c>
      <c r="W821" s="87">
        <v>6</v>
      </c>
      <c r="X821" s="87">
        <v>11</v>
      </c>
      <c r="Y821" s="40"/>
      <c r="Z821" s="165" t="str">
        <f>INDEX(Tableau2[TS],MATCH(Tableau3[[#This Row],[ID-CARTEVOIE]],Tableau2[ID-CARTEVOIE],0))</f>
        <v>ET</v>
      </c>
      <c r="AA821" s="53" t="s">
        <v>213</v>
      </c>
      <c r="AB821" s="223" t="str">
        <f>IFERROR(INDEX(Tableau5[Reserve],MATCH(Tableau3[[#This Row],[ID-SIG]],Tableau5[ID],0))&amp;"","")</f>
        <v/>
      </c>
      <c r="AC821" s="21"/>
      <c r="AD821" s="108" t="str">
        <f>INDEX(Tableau7[Repere],MATCH(Tableau3[[#This Row],[ID-API]],Tableau7[ID-API],0))&amp;""</f>
        <v>A5</v>
      </c>
      <c r="AE821" s="108" t="str">
        <f>INDEX(Tableau1[Repere-Rack],MATCH(Tableau3[[#This Row],[ID-RACK]],Tableau1[ID-RACK],0))&amp;""</f>
        <v>R2</v>
      </c>
      <c r="AF821" s="108" t="str">
        <f>INDEX(Tableau1[Repere-Slot],MATCH(Tableau3[[#This Row],[ID-SLOT]],Tableau1[ID-SLOT],0))&amp;""</f>
        <v>S6</v>
      </c>
      <c r="AG821" s="108" t="str">
        <f>INDEX(Tableau2[Repere-Voie],MATCH(Tableau3[[#This Row],[ID-VOIE]],Tableau2[ID-Voie],0))&amp;""</f>
        <v>v11</v>
      </c>
      <c r="AH821" s="72" t="str">
        <f>Tableau3[[#This Row],[ID-API]]&amp; "." &amp;Tableau3[[#This Row],[ID-RACK]]&amp; "." &amp;Tableau3[[#This Row],[ID-SLOT]]</f>
        <v>5.2.6</v>
      </c>
      <c r="AI821" s="72" t="str">
        <f>INDEX(Tableau1[Ref-Carte],MATCH(Tableau3[[#This Row],[ID-RRS]],Tableau1[ID-RRS],0))</f>
        <v>SDI1602</v>
      </c>
      <c r="AJ821" s="72" t="str">
        <f t="array" ref="AJ821">IFERROR(INDEX(Tableau2[TS],MATCH(1,(Tableau2[Ref-Carte]=Tableau3[[#This Row],[Ref-Carte2]])*(Tableau2[ID-Voie]=Tableau3[[#This Row],[ID-VOIE]]),0)),"")</f>
        <v>ET</v>
      </c>
      <c r="AK821" s="72" t="str">
        <f>IFERROR(INDEX(Tableau2[TS],SUMPRODUCT((Tableau2[Ref-Carte]=Tableau3[[#This Row],[Ref-Carte2]])*(Tableau2[ID-Voie]=Tableau3[[#This Row],[ID-VOIE]])*ROW(Tableau2[TS]))-ROW(Tableau2[#Headers])),"")</f>
        <v>ET</v>
      </c>
      <c r="AL821" s="72" t="str">
        <f>Tableau3[[#This Row],[Ref-Carte2]]&amp;"/"&amp;Tableau3[[#This Row],[ID-VOIE]]</f>
        <v>SDI1602/11</v>
      </c>
      <c r="AM821" s="73" t="str">
        <f>INDEX(Tableau2[Borne],MATCH(Tableau3[[#This Row],[ID-CARTEVOIE]],Tableau2[ID-CARTEVOIE],0))&amp;""</f>
        <v>5A</v>
      </c>
      <c r="AN821" s="74" t="str">
        <f>Tableau3[[#This Row],[ID-API]]&amp;Tableau3[[#This Row],[ID-RACK]]&amp;Tableau3[[#This Row],[ID-SLOT]]&amp;Tableau3[[#This Row],[BORNE]]</f>
        <v>5265A</v>
      </c>
      <c r="AO821" s="1"/>
    </row>
    <row r="822" spans="1:41" ht="20.100000000000001" customHeight="1" thickTop="1" thickBot="1">
      <c r="A822" s="68"/>
      <c r="B822" s="69" t="str">
        <f>IFERROR(INDEX(Tableau4[Date],MATCH($A822,Tableau4[EVO],0)),"")</f>
        <v/>
      </c>
      <c r="C822" s="68" t="str">
        <f>IFERROR(INDEX(Tableau4[Designation],MATCH($A822,Tableau4[EVO],0)),"")</f>
        <v/>
      </c>
      <c r="D822" s="68"/>
      <c r="E822" s="70">
        <v>257</v>
      </c>
      <c r="F822" s="71">
        <v>243</v>
      </c>
      <c r="G822" s="101" t="str">
        <f>INDEX(Tableau8[Att1],MATCH(Tableau3[[#This Row],[ID-INS]],Tableau8[ID],0))&amp;""</f>
        <v>V4</v>
      </c>
      <c r="H822" s="101" t="str">
        <f>INDEX(Tableau8[Att2],MATCH(Tableau3[[#This Row],[ID-INS]],Tableau8[ID],0))&amp;""</f>
        <v>P3</v>
      </c>
      <c r="I822" s="101" t="str">
        <f>INDEX(Tableau8[Att3],MATCH(Tableau3[[#This Row],[ID-INS]],Tableau8[ID],0))&amp;""</f>
        <v>Portail P3</v>
      </c>
      <c r="J822" s="101"/>
      <c r="K822" s="167" t="str">
        <f>INDEX(Tableau8[Nom du modele],MATCH(Tableau3[[#This Row],[ID-INS]],Tableau8[ID],0))&amp;""</f>
        <v>PortailR2V_2</v>
      </c>
      <c r="L822" s="99" t="str">
        <f>INDEX(Tableau5[Att1],MATCH(Tableau3[[#This Row],[ID-SIG]],Tableau5[ID],0))&amp;""</f>
        <v>V1_FerRet1</v>
      </c>
      <c r="M822" s="99" t="str">
        <f>INDEX(Tableau5[Att2],MATCH(Tableau3[[#This Row],[ID-SIG]],Tableau5[ID],0))&amp;""</f>
        <v/>
      </c>
      <c r="N822" s="99" t="str">
        <f>INDEX(Tableau5[Att3],MATCH(Tableau3[[#This Row],[ID-SIG]],Tableau5[ID],0))&amp;""</f>
        <v/>
      </c>
      <c r="O822" s="99"/>
      <c r="P822" s="99" t="str">
        <f>INDEX(Tableau5[Description],MATCH(Tableau3[[#This Row],[ID-SIG]],Tableau5[ID],0))</f>
        <v>Retour Commande 1 fermeture vantail 1</v>
      </c>
      <c r="Q822" s="99"/>
      <c r="R822" s="103" t="str">
        <f>Tableau3[[#This Row],[Description]]</f>
        <v>Retour Commande 1 fermeture vantail 1</v>
      </c>
      <c r="U822" s="87">
        <v>5</v>
      </c>
      <c r="V822" s="87">
        <v>2</v>
      </c>
      <c r="W822" s="87">
        <v>6</v>
      </c>
      <c r="X822" s="87">
        <v>12</v>
      </c>
      <c r="Y822" s="40"/>
      <c r="Z822" s="165" t="str">
        <f>INDEX(Tableau2[TS],MATCH(Tableau3[[#This Row],[ID-CARTEVOIE]],Tableau2[ID-CARTEVOIE],0))</f>
        <v>ET</v>
      </c>
      <c r="AA822" s="53" t="s">
        <v>213</v>
      </c>
      <c r="AB822" s="223" t="str">
        <f>IFERROR(INDEX(Tableau5[Reserve],MATCH(Tableau3[[#This Row],[ID-SIG]],Tableau5[ID],0))&amp;"","")</f>
        <v/>
      </c>
      <c r="AC822" s="21"/>
      <c r="AD822" s="108" t="str">
        <f>INDEX(Tableau7[Repere],MATCH(Tableau3[[#This Row],[ID-API]],Tableau7[ID-API],0))&amp;""</f>
        <v>A5</v>
      </c>
      <c r="AE822" s="108" t="str">
        <f>INDEX(Tableau1[Repere-Rack],MATCH(Tableau3[[#This Row],[ID-RACK]],Tableau1[ID-RACK],0))&amp;""</f>
        <v>R2</v>
      </c>
      <c r="AF822" s="108" t="str">
        <f>INDEX(Tableau1[Repere-Slot],MATCH(Tableau3[[#This Row],[ID-SLOT]],Tableau1[ID-SLOT],0))&amp;""</f>
        <v>S6</v>
      </c>
      <c r="AG822" s="108" t="str">
        <f>INDEX(Tableau2[Repere-Voie],MATCH(Tableau3[[#This Row],[ID-VOIE]],Tableau2[ID-Voie],0))&amp;""</f>
        <v>v12</v>
      </c>
      <c r="AH822" s="72" t="str">
        <f>Tableau3[[#This Row],[ID-API]]&amp; "." &amp;Tableau3[[#This Row],[ID-RACK]]&amp; "." &amp;Tableau3[[#This Row],[ID-SLOT]]</f>
        <v>5.2.6</v>
      </c>
      <c r="AI822" s="72" t="str">
        <f>INDEX(Tableau1[Ref-Carte],MATCH(Tableau3[[#This Row],[ID-RRS]],Tableau1[ID-RRS],0))</f>
        <v>SDI1602</v>
      </c>
      <c r="AJ822" s="72" t="str">
        <f t="array" ref="AJ822">IFERROR(INDEX(Tableau2[TS],MATCH(1,(Tableau2[Ref-Carte]=Tableau3[[#This Row],[Ref-Carte2]])*(Tableau2[ID-Voie]=Tableau3[[#This Row],[ID-VOIE]]),0)),"")</f>
        <v>ET</v>
      </c>
      <c r="AK822" s="72" t="str">
        <f>IFERROR(INDEX(Tableau2[TS],SUMPRODUCT((Tableau2[Ref-Carte]=Tableau3[[#This Row],[Ref-Carte2]])*(Tableau2[ID-Voie]=Tableau3[[#This Row],[ID-VOIE]])*ROW(Tableau2[TS]))-ROW(Tableau2[#Headers])),"")</f>
        <v>ET</v>
      </c>
      <c r="AL822" s="72" t="str">
        <f>Tableau3[[#This Row],[Ref-Carte2]]&amp;"/"&amp;Tableau3[[#This Row],[ID-VOIE]]</f>
        <v>SDI1602/12</v>
      </c>
      <c r="AM822" s="73" t="str">
        <f>INDEX(Tableau2[Borne],MATCH(Tableau3[[#This Row],[ID-CARTEVOIE]],Tableau2[ID-CARTEVOIE],0))&amp;""</f>
        <v>6B</v>
      </c>
      <c r="AN822" s="74" t="str">
        <f>Tableau3[[#This Row],[ID-API]]&amp;Tableau3[[#This Row],[ID-RACK]]&amp;Tableau3[[#This Row],[ID-SLOT]]&amp;Tableau3[[#This Row],[BORNE]]</f>
        <v>5266B</v>
      </c>
      <c r="AO822" s="1"/>
    </row>
    <row r="823" spans="1:41" ht="20.100000000000001" customHeight="1" thickTop="1" thickBot="1">
      <c r="A823" s="68"/>
      <c r="B823" s="69" t="str">
        <f>IFERROR(INDEX(Tableau4[Date],MATCH($A823,Tableau4[EVO],0)),"")</f>
        <v/>
      </c>
      <c r="C823" s="68" t="str">
        <f>IFERROR(INDEX(Tableau4[Designation],MATCH($A823,Tableau4[EVO],0)),"")</f>
        <v/>
      </c>
      <c r="D823" s="68"/>
      <c r="E823" s="70">
        <v>266</v>
      </c>
      <c r="F823" s="71">
        <v>6</v>
      </c>
      <c r="G823" s="101" t="str">
        <f>INDEX(Tableau8[Att1],MATCH(Tableau3[[#This Row],[ID-INS]],Tableau8[ID],0))&amp;""</f>
        <v>V4</v>
      </c>
      <c r="H823" s="101" t="str">
        <f>INDEX(Tableau8[Att2],MATCH(Tableau3[[#This Row],[ID-INS]],Tableau8[ID],0))&amp;""</f>
        <v>P2P3</v>
      </c>
      <c r="I823" s="101" t="str">
        <f>INDEX(Tableau8[Att3],MATCH(Tableau3[[#This Row],[ID-INS]],Tableau8[ID],0))&amp;""</f>
        <v>Portail P3</v>
      </c>
      <c r="J823" s="101"/>
      <c r="K823" s="167" t="str">
        <f>INDEX(Tableau8[Nom du modele],MATCH(Tableau3[[#This Row],[ID-INS]],Tableau8[ID],0))&amp;""</f>
        <v>Effraction</v>
      </c>
      <c r="L823" s="99" t="str">
        <f>INDEX(Tableau5[Att1],MATCH(Tableau3[[#This Row],[ID-SIG]],Tableau5[ID],0))&amp;""</f>
        <v>SynthEffr</v>
      </c>
      <c r="M823" s="99" t="str">
        <f>INDEX(Tableau5[Att2],MATCH(Tableau3[[#This Row],[ID-SIG]],Tableau5[ID],0))&amp;""</f>
        <v/>
      </c>
      <c r="N823" s="99" t="str">
        <f>INDEX(Tableau5[Att3],MATCH(Tableau3[[#This Row],[ID-SIG]],Tableau5[ID],0))&amp;""</f>
        <v/>
      </c>
      <c r="O823" s="99"/>
      <c r="P823" s="99" t="str">
        <f>INDEX(Tableau5[Description],MATCH(Tableau3[[#This Row],[ID-SIG]],Tableau5[ID],0))</f>
        <v>Synthèse effraction</v>
      </c>
      <c r="Q823" s="99"/>
      <c r="R823" s="103" t="str">
        <f>Tableau3[[#This Row],[Description]]</f>
        <v>Synthèse effraction</v>
      </c>
      <c r="U823" s="87">
        <v>5</v>
      </c>
      <c r="V823" s="87">
        <v>2</v>
      </c>
      <c r="W823" s="87">
        <v>6</v>
      </c>
      <c r="X823" s="87">
        <v>13</v>
      </c>
      <c r="Y823" s="40"/>
      <c r="Z823" s="165" t="str">
        <f>INDEX(Tableau2[TS],MATCH(Tableau3[[#This Row],[ID-CARTEVOIE]],Tableau2[ID-CARTEVOIE],0))</f>
        <v>ET</v>
      </c>
      <c r="AA823" s="53" t="s">
        <v>213</v>
      </c>
      <c r="AB823" s="223" t="str">
        <f>IFERROR(INDEX(Tableau5[Reserve],MATCH(Tableau3[[#This Row],[ID-SIG]],Tableau5[ID],0))&amp;"","")</f>
        <v/>
      </c>
      <c r="AC823" s="21"/>
      <c r="AD823" s="108" t="str">
        <f>INDEX(Tableau7[Repere],MATCH(Tableau3[[#This Row],[ID-API]],Tableau7[ID-API],0))&amp;""</f>
        <v>A5</v>
      </c>
      <c r="AE823" s="108" t="str">
        <f>INDEX(Tableau1[Repere-Rack],MATCH(Tableau3[[#This Row],[ID-RACK]],Tableau1[ID-RACK],0))&amp;""</f>
        <v>R2</v>
      </c>
      <c r="AF823" s="108" t="str">
        <f>INDEX(Tableau1[Repere-Slot],MATCH(Tableau3[[#This Row],[ID-SLOT]],Tableau1[ID-SLOT],0))&amp;""</f>
        <v>S6</v>
      </c>
      <c r="AG823" s="108" t="str">
        <f>INDEX(Tableau2[Repere-Voie],MATCH(Tableau3[[#This Row],[ID-VOIE]],Tableau2[ID-Voie],0))&amp;""</f>
        <v>v13</v>
      </c>
      <c r="AH823" s="72" t="str">
        <f>Tableau3[[#This Row],[ID-API]]&amp; "." &amp;Tableau3[[#This Row],[ID-RACK]]&amp; "." &amp;Tableau3[[#This Row],[ID-SLOT]]</f>
        <v>5.2.6</v>
      </c>
      <c r="AI823" s="72" t="str">
        <f>INDEX(Tableau1[Ref-Carte],MATCH(Tableau3[[#This Row],[ID-RRS]],Tableau1[ID-RRS],0))</f>
        <v>SDI1602</v>
      </c>
      <c r="AJ823" s="72" t="str">
        <f t="array" ref="AJ823">IFERROR(INDEX(Tableau2[TS],MATCH(1,(Tableau2[Ref-Carte]=Tableau3[[#This Row],[Ref-Carte2]])*(Tableau2[ID-Voie]=Tableau3[[#This Row],[ID-VOIE]]),0)),"")</f>
        <v>ET</v>
      </c>
      <c r="AK823" s="72" t="str">
        <f>IFERROR(INDEX(Tableau2[TS],SUMPRODUCT((Tableau2[Ref-Carte]=Tableau3[[#This Row],[Ref-Carte2]])*(Tableau2[ID-Voie]=Tableau3[[#This Row],[ID-VOIE]])*ROW(Tableau2[TS]))-ROW(Tableau2[#Headers])),"")</f>
        <v>ET</v>
      </c>
      <c r="AL823" s="72" t="str">
        <f>Tableau3[[#This Row],[Ref-Carte2]]&amp;"/"&amp;Tableau3[[#This Row],[ID-VOIE]]</f>
        <v>SDI1602/13</v>
      </c>
      <c r="AM823" s="73" t="str">
        <f>INDEX(Tableau2[Borne],MATCH(Tableau3[[#This Row],[ID-CARTEVOIE]],Tableau2[ID-CARTEVOIE],0))&amp;""</f>
        <v>6A</v>
      </c>
      <c r="AN823" s="74" t="str">
        <f>Tableau3[[#This Row],[ID-API]]&amp;Tableau3[[#This Row],[ID-RACK]]&amp;Tableau3[[#This Row],[ID-SLOT]]&amp;Tableau3[[#This Row],[BORNE]]</f>
        <v>5266A</v>
      </c>
      <c r="AO823" s="1"/>
    </row>
    <row r="824" spans="1:41" ht="20.100000000000001" customHeight="1" thickTop="1" thickBot="1">
      <c r="A824" s="68"/>
      <c r="B824" s="69" t="str">
        <f>IFERROR(INDEX(Tableau4[Date],MATCH($A824,Tableau4[EVO],0)),"")</f>
        <v/>
      </c>
      <c r="C824" s="68" t="str">
        <f>IFERROR(INDEX(Tableau4[Designation],MATCH($A824,Tableau4[EVO],0)),"")</f>
        <v/>
      </c>
      <c r="D824" s="68"/>
      <c r="E824" s="70">
        <v>268</v>
      </c>
      <c r="F824" s="71">
        <v>6</v>
      </c>
      <c r="G824" s="101" t="str">
        <f>INDEX(Tableau8[Att1],MATCH(Tableau3[[#This Row],[ID-INS]],Tableau8[ID],0))&amp;""</f>
        <v>B21</v>
      </c>
      <c r="H824" s="101" t="str">
        <f>INDEX(Tableau8[Att2],MATCH(Tableau3[[#This Row],[ID-INS]],Tableau8[ID],0))&amp;""</f>
        <v>TRSD1</v>
      </c>
      <c r="I824" s="101" t="str">
        <f>INDEX(Tableau8[Att3],MATCH(Tableau3[[#This Row],[ID-INS]],Tableau8[ID],0))&amp;""</f>
        <v>Tourniquet TRSD1</v>
      </c>
      <c r="J824" s="101"/>
      <c r="K824" s="167" t="str">
        <f>INDEX(Tableau8[Nom du modele],MATCH(Tableau3[[#This Row],[ID-INS]],Tableau8[ID],0))&amp;""</f>
        <v>Effraction</v>
      </c>
      <c r="L824" s="99" t="str">
        <f>INDEX(Tableau5[Att1],MATCH(Tableau3[[#This Row],[ID-SIG]],Tableau5[ID],0))&amp;""</f>
        <v>SynthEffr</v>
      </c>
      <c r="M824" s="99" t="str">
        <f>INDEX(Tableau5[Att2],MATCH(Tableau3[[#This Row],[ID-SIG]],Tableau5[ID],0))&amp;""</f>
        <v/>
      </c>
      <c r="N824" s="99" t="str">
        <f>INDEX(Tableau5[Att3],MATCH(Tableau3[[#This Row],[ID-SIG]],Tableau5[ID],0))&amp;""</f>
        <v/>
      </c>
      <c r="O824" s="99"/>
      <c r="P824" s="99" t="str">
        <f>INDEX(Tableau5[Description],MATCH(Tableau3[[#This Row],[ID-SIG]],Tableau5[ID],0))</f>
        <v>Synthèse effraction</v>
      </c>
      <c r="Q824" s="99"/>
      <c r="R824" s="103" t="str">
        <f>Tableau3[[#This Row],[Description]]</f>
        <v>Synthèse effraction</v>
      </c>
      <c r="U824" s="87">
        <v>5</v>
      </c>
      <c r="V824" s="87">
        <v>2</v>
      </c>
      <c r="W824" s="87">
        <v>6</v>
      </c>
      <c r="X824" s="87">
        <v>14</v>
      </c>
      <c r="Y824" s="40"/>
      <c r="Z824" s="165" t="str">
        <f>INDEX(Tableau2[TS],MATCH(Tableau3[[#This Row],[ID-CARTEVOIE]],Tableau2[ID-CARTEVOIE],0))</f>
        <v>ET</v>
      </c>
      <c r="AA824" s="53" t="s">
        <v>213</v>
      </c>
      <c r="AB824" s="223" t="str">
        <f>IFERROR(INDEX(Tableau5[Reserve],MATCH(Tableau3[[#This Row],[ID-SIG]],Tableau5[ID],0))&amp;"","")</f>
        <v/>
      </c>
      <c r="AC824" s="21"/>
      <c r="AD824" s="108" t="str">
        <f>INDEX(Tableau7[Repere],MATCH(Tableau3[[#This Row],[ID-API]],Tableau7[ID-API],0))&amp;""</f>
        <v>A5</v>
      </c>
      <c r="AE824" s="108" t="str">
        <f>INDEX(Tableau1[Repere-Rack],MATCH(Tableau3[[#This Row],[ID-RACK]],Tableau1[ID-RACK],0))&amp;""</f>
        <v>R2</v>
      </c>
      <c r="AF824" s="108" t="str">
        <f>INDEX(Tableau1[Repere-Slot],MATCH(Tableau3[[#This Row],[ID-SLOT]],Tableau1[ID-SLOT],0))&amp;""</f>
        <v>S6</v>
      </c>
      <c r="AG824" s="108" t="str">
        <f>INDEX(Tableau2[Repere-Voie],MATCH(Tableau3[[#This Row],[ID-VOIE]],Tableau2[ID-Voie],0))&amp;""</f>
        <v>v14</v>
      </c>
      <c r="AH824" s="72" t="str">
        <f>Tableau3[[#This Row],[ID-API]]&amp; "." &amp;Tableau3[[#This Row],[ID-RACK]]&amp; "." &amp;Tableau3[[#This Row],[ID-SLOT]]</f>
        <v>5.2.6</v>
      </c>
      <c r="AI824" s="72" t="str">
        <f>INDEX(Tableau1[Ref-Carte],MATCH(Tableau3[[#This Row],[ID-RRS]],Tableau1[ID-RRS],0))</f>
        <v>SDI1602</v>
      </c>
      <c r="AJ824" s="72" t="str">
        <f t="array" ref="AJ824">IFERROR(INDEX(Tableau2[TS],MATCH(1,(Tableau2[Ref-Carte]=Tableau3[[#This Row],[Ref-Carte2]])*(Tableau2[ID-Voie]=Tableau3[[#This Row],[ID-VOIE]]),0)),"")</f>
        <v>ET</v>
      </c>
      <c r="AK824" s="72" t="str">
        <f>IFERROR(INDEX(Tableau2[TS],SUMPRODUCT((Tableau2[Ref-Carte]=Tableau3[[#This Row],[Ref-Carte2]])*(Tableau2[ID-Voie]=Tableau3[[#This Row],[ID-VOIE]])*ROW(Tableau2[TS]))-ROW(Tableau2[#Headers])),"")</f>
        <v>ET</v>
      </c>
      <c r="AL824" s="72" t="str">
        <f>Tableau3[[#This Row],[Ref-Carte2]]&amp;"/"&amp;Tableau3[[#This Row],[ID-VOIE]]</f>
        <v>SDI1602/14</v>
      </c>
      <c r="AM824" s="73" t="str">
        <f>INDEX(Tableau2[Borne],MATCH(Tableau3[[#This Row],[ID-CARTEVOIE]],Tableau2[ID-CARTEVOIE],0))&amp;""</f>
        <v>7B</v>
      </c>
      <c r="AN824" s="74" t="str">
        <f>Tableau3[[#This Row],[ID-API]]&amp;Tableau3[[#This Row],[ID-RACK]]&amp;Tableau3[[#This Row],[ID-SLOT]]&amp;Tableau3[[#This Row],[BORNE]]</f>
        <v>5267B</v>
      </c>
      <c r="AO824" s="1"/>
    </row>
    <row r="825" spans="1:41" ht="20.100000000000001" customHeight="1" thickTop="1" thickBot="1">
      <c r="A825" s="68"/>
      <c r="B825" s="69" t="str">
        <f>IFERROR(INDEX(Tableau4[Date],MATCH($A825,Tableau4[EVO],0)),"")</f>
        <v/>
      </c>
      <c r="C825" s="68" t="str">
        <f>IFERROR(INDEX(Tableau4[Designation],MATCH($A825,Tableau4[EVO],0)),"")</f>
        <v/>
      </c>
      <c r="D825" s="68"/>
      <c r="E825" s="70">
        <v>429</v>
      </c>
      <c r="F825" s="71">
        <v>3</v>
      </c>
      <c r="G825" s="101" t="str">
        <f>INDEX(Tableau8[Att1],MATCH(Tableau3[[#This Row],[ID-INS]],Tableau8[ID],0))&amp;""</f>
        <v>B21</v>
      </c>
      <c r="H825" s="101" t="str">
        <f>INDEX(Tableau8[Att2],MATCH(Tableau3[[#This Row],[ID-INS]],Tableau8[ID],0))&amp;""</f>
        <v>PPH41</v>
      </c>
      <c r="I825" s="101" t="str">
        <f>INDEX(Tableau8[Att3],MATCH(Tableau3[[#This Row],[ID-INS]],Tableau8[ID],0))&amp;""</f>
        <v>Portail P7 ouvert</v>
      </c>
      <c r="J825" s="101"/>
      <c r="K825" s="167" t="str">
        <f>INDEX(Tableau8[Nom du modele],MATCH(Tableau3[[#This Row],[ID-INS]],Tableau8[ID],0))&amp;""</f>
        <v>E_Divers</v>
      </c>
      <c r="L825" s="99" t="str">
        <f>INDEX(Tableau5[Att1],MATCH(Tableau3[[#This Row],[ID-SIG]],Tableau5[ID],0))&amp;""</f>
        <v>C1</v>
      </c>
      <c r="M825" s="99" t="str">
        <f>INDEX(Tableau5[Att2],MATCH(Tableau3[[#This Row],[ID-SIG]],Tableau5[ID],0))&amp;""</f>
        <v/>
      </c>
      <c r="N825" s="99" t="str">
        <f>INDEX(Tableau5[Att3],MATCH(Tableau3[[#This Row],[ID-SIG]],Tableau5[ID],0))&amp;""</f>
        <v/>
      </c>
      <c r="O825" s="99"/>
      <c r="P825" s="99" t="str">
        <f>INDEX(Tableau5[Description],MATCH(Tableau3[[#This Row],[ID-SIG]],Tableau5[ID],0))</f>
        <v>Contact</v>
      </c>
      <c r="Q825" s="99"/>
      <c r="R825" s="103" t="str">
        <f>Tableau3[[#This Row],[Description]]</f>
        <v>Contact</v>
      </c>
      <c r="U825" s="87">
        <v>5</v>
      </c>
      <c r="V825" s="87">
        <v>2</v>
      </c>
      <c r="W825" s="87">
        <v>6</v>
      </c>
      <c r="X825" s="87">
        <v>15</v>
      </c>
      <c r="Y825" s="40"/>
      <c r="Z825" s="165" t="str">
        <f>INDEX(Tableau2[TS],MATCH(Tableau3[[#This Row],[ID-CARTEVOIE]],Tableau2[ID-CARTEVOIE],0))</f>
        <v>ET</v>
      </c>
      <c r="AA825" s="53" t="s">
        <v>213</v>
      </c>
      <c r="AB825" s="223" t="str">
        <f>IFERROR(INDEX(Tableau5[Reserve],MATCH(Tableau3[[#This Row],[ID-SIG]],Tableau5[ID],0))&amp;"","")</f>
        <v/>
      </c>
      <c r="AC825" s="21"/>
      <c r="AD825" s="108" t="str">
        <f>INDEX(Tableau7[Repere],MATCH(Tableau3[[#This Row],[ID-API]],Tableau7[ID-API],0))&amp;""</f>
        <v>A5</v>
      </c>
      <c r="AE825" s="108" t="str">
        <f>INDEX(Tableau1[Repere-Rack],MATCH(Tableau3[[#This Row],[ID-RACK]],Tableau1[ID-RACK],0))&amp;""</f>
        <v>R2</v>
      </c>
      <c r="AF825" s="108" t="str">
        <f>INDEX(Tableau1[Repere-Slot],MATCH(Tableau3[[#This Row],[ID-SLOT]],Tableau1[ID-SLOT],0))&amp;""</f>
        <v>S6</v>
      </c>
      <c r="AG825" s="108" t="str">
        <f>INDEX(Tableau2[Repere-Voie],MATCH(Tableau3[[#This Row],[ID-VOIE]],Tableau2[ID-Voie],0))&amp;""</f>
        <v>v15</v>
      </c>
      <c r="AH825" s="72" t="str">
        <f>Tableau3[[#This Row],[ID-API]]&amp; "." &amp;Tableau3[[#This Row],[ID-RACK]]&amp; "." &amp;Tableau3[[#This Row],[ID-SLOT]]</f>
        <v>5.2.6</v>
      </c>
      <c r="AI825" s="72" t="str">
        <f>INDEX(Tableau1[Ref-Carte],MATCH(Tableau3[[#This Row],[ID-RRS]],Tableau1[ID-RRS],0))</f>
        <v>SDI1602</v>
      </c>
      <c r="AJ825" s="72" t="str">
        <f t="array" ref="AJ825">IFERROR(INDEX(Tableau2[TS],MATCH(1,(Tableau2[Ref-Carte]=Tableau3[[#This Row],[Ref-Carte2]])*(Tableau2[ID-Voie]=Tableau3[[#This Row],[ID-VOIE]]),0)),"")</f>
        <v>ET</v>
      </c>
      <c r="AK825" s="72" t="str">
        <f>IFERROR(INDEX(Tableau2[TS],SUMPRODUCT((Tableau2[Ref-Carte]=Tableau3[[#This Row],[Ref-Carte2]])*(Tableau2[ID-Voie]=Tableau3[[#This Row],[ID-VOIE]])*ROW(Tableau2[TS]))-ROW(Tableau2[#Headers])),"")</f>
        <v>ET</v>
      </c>
      <c r="AL825" s="72" t="str">
        <f>Tableau3[[#This Row],[Ref-Carte2]]&amp;"/"&amp;Tableau3[[#This Row],[ID-VOIE]]</f>
        <v>SDI1602/15</v>
      </c>
      <c r="AM825" s="73" t="str">
        <f>INDEX(Tableau2[Borne],MATCH(Tableau3[[#This Row],[ID-CARTEVOIE]],Tableau2[ID-CARTEVOIE],0))&amp;""</f>
        <v>7A</v>
      </c>
      <c r="AN825" s="74" t="str">
        <f>Tableau3[[#This Row],[ID-API]]&amp;Tableau3[[#This Row],[ID-RACK]]&amp;Tableau3[[#This Row],[ID-SLOT]]&amp;Tableau3[[#This Row],[BORNE]]</f>
        <v>5267A</v>
      </c>
      <c r="AO825" s="1"/>
    </row>
    <row r="826" spans="1:41" ht="20.100000000000001" customHeight="1" thickTop="1" thickBot="1">
      <c r="A826" s="68"/>
      <c r="B826" s="69" t="str">
        <f>IFERROR(INDEX(Tableau4[Date],MATCH($A826,Tableau4[EVO],0)),"")</f>
        <v/>
      </c>
      <c r="C826" s="68" t="str">
        <f>IFERROR(INDEX(Tableau4[Designation],MATCH($A826,Tableau4[EVO],0)),"")</f>
        <v/>
      </c>
      <c r="D826" s="68"/>
      <c r="E826" s="70">
        <v>430</v>
      </c>
      <c r="F826" s="71">
        <v>3</v>
      </c>
      <c r="G826" s="101" t="str">
        <f>INDEX(Tableau8[Att1],MATCH(Tableau3[[#This Row],[ID-INS]],Tableau8[ID],0))&amp;""</f>
        <v>B21</v>
      </c>
      <c r="H826" s="101" t="str">
        <f>INDEX(Tableau8[Att2],MATCH(Tableau3[[#This Row],[ID-INS]],Tableau8[ID],0))&amp;""</f>
        <v>PPH42</v>
      </c>
      <c r="I826" s="101" t="str">
        <f>INDEX(Tableau8[Att3],MATCH(Tableau3[[#This Row],[ID-INS]],Tableau8[ID],0))&amp;""</f>
        <v>Portail P9 ouvert</v>
      </c>
      <c r="J826" s="101"/>
      <c r="K826" s="167" t="str">
        <f>INDEX(Tableau8[Nom du modele],MATCH(Tableau3[[#This Row],[ID-INS]],Tableau8[ID],0))&amp;""</f>
        <v>E_Divers</v>
      </c>
      <c r="L826" s="99" t="str">
        <f>INDEX(Tableau5[Att1],MATCH(Tableau3[[#This Row],[ID-SIG]],Tableau5[ID],0))&amp;""</f>
        <v>C1</v>
      </c>
      <c r="M826" s="99" t="str">
        <f>INDEX(Tableau5[Att2],MATCH(Tableau3[[#This Row],[ID-SIG]],Tableau5[ID],0))&amp;""</f>
        <v/>
      </c>
      <c r="N826" s="99" t="str">
        <f>INDEX(Tableau5[Att3],MATCH(Tableau3[[#This Row],[ID-SIG]],Tableau5[ID],0))&amp;""</f>
        <v/>
      </c>
      <c r="O826" s="99"/>
      <c r="P826" s="99" t="str">
        <f>INDEX(Tableau5[Description],MATCH(Tableau3[[#This Row],[ID-SIG]],Tableau5[ID],0))</f>
        <v>Contact</v>
      </c>
      <c r="Q826" s="99"/>
      <c r="R826" s="103" t="str">
        <f>Tableau3[[#This Row],[Description]]</f>
        <v>Contact</v>
      </c>
      <c r="U826" s="87">
        <v>5</v>
      </c>
      <c r="V826" s="87">
        <v>2</v>
      </c>
      <c r="W826" s="87">
        <v>7</v>
      </c>
      <c r="X826" s="87">
        <v>0</v>
      </c>
      <c r="Y826" s="40"/>
      <c r="Z826" s="165" t="str">
        <f>INDEX(Tableau2[TS],MATCH(Tableau3[[#This Row],[ID-CARTEVOIE]],Tableau2[ID-CARTEVOIE],0))</f>
        <v>ET</v>
      </c>
      <c r="AA826" s="53" t="s">
        <v>213</v>
      </c>
      <c r="AB826" s="223" t="str">
        <f>IFERROR(INDEX(Tableau5[Reserve],MATCH(Tableau3[[#This Row],[ID-SIG]],Tableau5[ID],0))&amp;"","")</f>
        <v/>
      </c>
      <c r="AC826" s="21"/>
      <c r="AD826" s="108" t="str">
        <f>INDEX(Tableau7[Repere],MATCH(Tableau3[[#This Row],[ID-API]],Tableau7[ID-API],0))&amp;""</f>
        <v>A5</v>
      </c>
      <c r="AE826" s="108" t="str">
        <f>INDEX(Tableau1[Repere-Rack],MATCH(Tableau3[[#This Row],[ID-RACK]],Tableau1[ID-RACK],0))&amp;""</f>
        <v>R2</v>
      </c>
      <c r="AF826" s="108" t="str">
        <f>INDEX(Tableau1[Repere-Slot],MATCH(Tableau3[[#This Row],[ID-SLOT]],Tableau1[ID-SLOT],0))&amp;""</f>
        <v>S7</v>
      </c>
      <c r="AG826" s="108" t="str">
        <f>INDEX(Tableau2[Repere-Voie],MATCH(Tableau3[[#This Row],[ID-VOIE]],Tableau2[ID-Voie],0))&amp;""</f>
        <v>v0</v>
      </c>
      <c r="AH826" s="72" t="str">
        <f>Tableau3[[#This Row],[ID-API]]&amp; "." &amp;Tableau3[[#This Row],[ID-RACK]]&amp; "." &amp;Tableau3[[#This Row],[ID-SLOT]]</f>
        <v>5.2.7</v>
      </c>
      <c r="AI826" s="72" t="str">
        <f>INDEX(Tableau1[Ref-Carte],MATCH(Tableau3[[#This Row],[ID-RRS]],Tableau1[ID-RRS],0))</f>
        <v>SDI1602</v>
      </c>
      <c r="AJ826" s="72" t="str">
        <f t="array" ref="AJ826">IFERROR(INDEX(Tableau2[TS],MATCH(1,(Tableau2[Ref-Carte]=Tableau3[[#This Row],[Ref-Carte2]])*(Tableau2[ID-Voie]=Tableau3[[#This Row],[ID-VOIE]]),0)),"")</f>
        <v>ET</v>
      </c>
      <c r="AK826" s="72" t="str">
        <f>IFERROR(INDEX(Tableau2[TS],SUMPRODUCT((Tableau2[Ref-Carte]=Tableau3[[#This Row],[Ref-Carte2]])*(Tableau2[ID-Voie]=Tableau3[[#This Row],[ID-VOIE]])*ROW(Tableau2[TS]))-ROW(Tableau2[#Headers])),"")</f>
        <v>ET</v>
      </c>
      <c r="AL826" s="72" t="str">
        <f>Tableau3[[#This Row],[Ref-Carte2]]&amp;"/"&amp;Tableau3[[#This Row],[ID-VOIE]]</f>
        <v>SDI1602/0</v>
      </c>
      <c r="AM826" s="73" t="str">
        <f>INDEX(Tableau2[Borne],MATCH(Tableau3[[#This Row],[ID-CARTEVOIE]],Tableau2[ID-CARTEVOIE],0))&amp;""</f>
        <v>0B</v>
      </c>
      <c r="AN826" s="74" t="str">
        <f>Tableau3[[#This Row],[ID-API]]&amp;Tableau3[[#This Row],[ID-RACK]]&amp;Tableau3[[#This Row],[ID-SLOT]]&amp;Tableau3[[#This Row],[BORNE]]</f>
        <v>5270B</v>
      </c>
      <c r="AO826" s="1"/>
    </row>
    <row r="827" spans="1:41" ht="20.100000000000001" customHeight="1" thickTop="1" thickBot="1">
      <c r="A827" s="75"/>
      <c r="B827" s="76" t="str">
        <f>IFERROR(INDEX(Tableau4[Date],MATCH($A827,Tableau4[EVO],0)),"")</f>
        <v/>
      </c>
      <c r="C827" s="75" t="str">
        <f>IFERROR(INDEX(Tableau4[Designation],MATCH($A827,Tableau4[EVO],0)),"")</f>
        <v/>
      </c>
      <c r="D827" s="75"/>
      <c r="E827" s="79">
        <v>431</v>
      </c>
      <c r="F827" s="80">
        <v>3</v>
      </c>
      <c r="G827" s="102" t="str">
        <f>INDEX(Tableau8[Att1],MATCH(Tableau3[[#This Row],[ID-INS]],Tableau8[ID],0))&amp;""</f>
        <v>B21</v>
      </c>
      <c r="H827" s="102" t="str">
        <f>INDEX(Tableau8[Att2],MATCH(Tableau3[[#This Row],[ID-INS]],Tableau8[ID],0))&amp;""</f>
        <v>PPH43</v>
      </c>
      <c r="I827" s="102" t="str">
        <f>INDEX(Tableau8[Att3],MATCH(Tableau3[[#This Row],[ID-INS]],Tableau8[ID],0))&amp;""</f>
        <v>Alarme CP8 portillon Gare routière</v>
      </c>
      <c r="J827" s="102"/>
      <c r="K827" s="167" t="str">
        <f>INDEX(Tableau8[Nom du modele],MATCH(Tableau3[[#This Row],[ID-INS]],Tableau8[ID],0))&amp;""</f>
        <v>E_Divers</v>
      </c>
      <c r="L827" s="100" t="str">
        <f>INDEX(Tableau5[Att1],MATCH(Tableau3[[#This Row],[ID-SIG]],Tableau5[ID],0))&amp;""</f>
        <v>C1</v>
      </c>
      <c r="M827" s="100" t="str">
        <f>INDEX(Tableau5[Att2],MATCH(Tableau3[[#This Row],[ID-SIG]],Tableau5[ID],0))&amp;""</f>
        <v/>
      </c>
      <c r="N827" s="100" t="str">
        <f>INDEX(Tableau5[Att3],MATCH(Tableau3[[#This Row],[ID-SIG]],Tableau5[ID],0))&amp;""</f>
        <v/>
      </c>
      <c r="O827" s="100"/>
      <c r="P827" s="100" t="str">
        <f>INDEX(Tableau5[Description],MATCH(Tableau3[[#This Row],[ID-SIG]],Tableau5[ID],0))</f>
        <v>Contact</v>
      </c>
      <c r="Q827" s="100"/>
      <c r="R827" s="104" t="str">
        <f>Tableau3[[#This Row],[Description]]</f>
        <v>Contact</v>
      </c>
      <c r="U827" s="88">
        <v>5</v>
      </c>
      <c r="V827" s="88">
        <v>2</v>
      </c>
      <c r="W827" s="88">
        <v>7</v>
      </c>
      <c r="X827" s="88">
        <v>1</v>
      </c>
      <c r="Y827" s="40"/>
      <c r="Z827" s="166" t="str">
        <f>INDEX(Tableau2[TS],MATCH(Tableau3[[#This Row],[ID-CARTEVOIE]],Tableau2[ID-CARTEVOIE],0))</f>
        <v>ET</v>
      </c>
      <c r="AA827" s="81" t="s">
        <v>213</v>
      </c>
      <c r="AB827" s="226" t="str">
        <f>IFERROR(INDEX(Tableau5[Reserve],MATCH(Tableau3[[#This Row],[ID-SIG]],Tableau5[ID],0))&amp;"","")</f>
        <v/>
      </c>
      <c r="AC827" s="21"/>
      <c r="AD827" s="108" t="str">
        <f>INDEX(Tableau7[Repere],MATCH(Tableau3[[#This Row],[ID-API]],Tableau7[ID-API],0))&amp;""</f>
        <v>A5</v>
      </c>
      <c r="AE827" s="109" t="str">
        <f>INDEX(Tableau1[Repere-Rack],MATCH(Tableau3[[#This Row],[ID-RACK]],Tableau1[ID-RACK],0))&amp;""</f>
        <v>R2</v>
      </c>
      <c r="AF827" s="109" t="str">
        <f>INDEX(Tableau1[Repere-Slot],MATCH(Tableau3[[#This Row],[ID-SLOT]],Tableau1[ID-SLOT],0))&amp;""</f>
        <v>S7</v>
      </c>
      <c r="AG827" s="109" t="str">
        <f>INDEX(Tableau2[Repere-Voie],MATCH(Tableau3[[#This Row],[ID-VOIE]],Tableau2[ID-Voie],0))&amp;""</f>
        <v>v1</v>
      </c>
      <c r="AH827" s="72" t="str">
        <f>Tableau3[[#This Row],[ID-API]]&amp; "." &amp;Tableau3[[#This Row],[ID-RACK]]&amp; "." &amp;Tableau3[[#This Row],[ID-SLOT]]</f>
        <v>5.2.7</v>
      </c>
      <c r="AI827" s="72" t="str">
        <f>INDEX(Tableau1[Ref-Carte],MATCH(Tableau3[[#This Row],[ID-RRS]],Tableau1[ID-RRS],0))</f>
        <v>SDI1602</v>
      </c>
      <c r="AJ827" s="72" t="str">
        <f t="array" ref="AJ827">IFERROR(INDEX(Tableau2[TS],MATCH(1,(Tableau2[Ref-Carte]=Tableau3[[#This Row],[Ref-Carte2]])*(Tableau2[ID-Voie]=Tableau3[[#This Row],[ID-VOIE]]),0)),"")</f>
        <v>ET</v>
      </c>
      <c r="AK827" s="72" t="str">
        <f>IFERROR(INDEX(Tableau2[TS],SUMPRODUCT((Tableau2[Ref-Carte]=Tableau3[[#This Row],[Ref-Carte2]])*(Tableau2[ID-Voie]=Tableau3[[#This Row],[ID-VOIE]])*ROW(Tableau2[TS]))-ROW(Tableau2[#Headers])),"")</f>
        <v>ET</v>
      </c>
      <c r="AL827" s="72" t="str">
        <f>Tableau3[[#This Row],[Ref-Carte2]]&amp;"/"&amp;Tableau3[[#This Row],[ID-VOIE]]</f>
        <v>SDI1602/1</v>
      </c>
      <c r="AM827" s="77" t="str">
        <f>INDEX(Tableau2[Borne],MATCH(Tableau3[[#This Row],[ID-CARTEVOIE]],Tableau2[ID-CARTEVOIE],0))&amp;""</f>
        <v>0A</v>
      </c>
      <c r="AN827" s="74" t="str">
        <f>Tableau3[[#This Row],[ID-API]]&amp;Tableau3[[#This Row],[ID-RACK]]&amp;Tableau3[[#This Row],[ID-SLOT]]&amp;Tableau3[[#This Row],[BORNE]]</f>
        <v>5270A</v>
      </c>
      <c r="AO827" s="1"/>
    </row>
    <row r="828" spans="1:41" ht="20.100000000000001" customHeight="1" thickTop="1" thickBot="1">
      <c r="A828" s="75"/>
      <c r="B828" s="76" t="str">
        <f>IFERROR(INDEX(Tableau4[Date],MATCH($A828,Tableau4[EVO],0)),"")</f>
        <v/>
      </c>
      <c r="C828" s="75" t="str">
        <f>IFERROR(INDEX(Tableau4[Designation],MATCH($A828,Tableau4[EVO],0)),"")</f>
        <v/>
      </c>
      <c r="D828" s="75"/>
      <c r="E828" s="79">
        <v>432</v>
      </c>
      <c r="F828" s="80">
        <v>3</v>
      </c>
      <c r="G828" s="102" t="str">
        <f>INDEX(Tableau8[Att1],MATCH(Tableau3[[#This Row],[ID-INS]],Tableau8[ID],0))&amp;""</f>
        <v>B21</v>
      </c>
      <c r="H828" s="102" t="str">
        <f>INDEX(Tableau8[Att2],MATCH(Tableau3[[#This Row],[ID-INS]],Tableau8[ID],0))&amp;""</f>
        <v>PPH44</v>
      </c>
      <c r="I828" s="102" t="str">
        <f>INDEX(Tableau8[Att3],MATCH(Tableau3[[#This Row],[ID-INS]],Tableau8[ID],0))&amp;""</f>
        <v>Fraude CP8 portillon Gare routière</v>
      </c>
      <c r="J828" s="102"/>
      <c r="K828" s="167" t="str">
        <f>INDEX(Tableau8[Nom du modele],MATCH(Tableau3[[#This Row],[ID-INS]],Tableau8[ID],0))&amp;""</f>
        <v>E_Divers</v>
      </c>
      <c r="L828" s="100" t="str">
        <f>INDEX(Tableau5[Att1],MATCH(Tableau3[[#This Row],[ID-SIG]],Tableau5[ID],0))&amp;""</f>
        <v>C1</v>
      </c>
      <c r="M828" s="100" t="str">
        <f>INDEX(Tableau5[Att2],MATCH(Tableau3[[#This Row],[ID-SIG]],Tableau5[ID],0))&amp;""</f>
        <v/>
      </c>
      <c r="N828" s="100" t="str">
        <f>INDEX(Tableau5[Att3],MATCH(Tableau3[[#This Row],[ID-SIG]],Tableau5[ID],0))&amp;""</f>
        <v/>
      </c>
      <c r="O828" s="100"/>
      <c r="P828" s="100" t="str">
        <f>INDEX(Tableau5[Description],MATCH(Tableau3[[#This Row],[ID-SIG]],Tableau5[ID],0))</f>
        <v>Contact</v>
      </c>
      <c r="Q828" s="100"/>
      <c r="R828" s="104" t="str">
        <f>Tableau3[[#This Row],[Description]]</f>
        <v>Contact</v>
      </c>
      <c r="U828" s="88">
        <v>5</v>
      </c>
      <c r="V828" s="88">
        <v>2</v>
      </c>
      <c r="W828" s="88">
        <v>7</v>
      </c>
      <c r="X828" s="88">
        <v>2</v>
      </c>
      <c r="Y828" s="40"/>
      <c r="Z828" s="166" t="str">
        <f>INDEX(Tableau2[TS],MATCH(Tableau3[[#This Row],[ID-CARTEVOIE]],Tableau2[ID-CARTEVOIE],0))</f>
        <v>ET</v>
      </c>
      <c r="AA828" s="81" t="s">
        <v>213</v>
      </c>
      <c r="AB828" s="226" t="str">
        <f>IFERROR(INDEX(Tableau5[Reserve],MATCH(Tableau3[[#This Row],[ID-SIG]],Tableau5[ID],0))&amp;"","")</f>
        <v/>
      </c>
      <c r="AC828" s="21"/>
      <c r="AD828" s="108" t="str">
        <f>INDEX(Tableau7[Repere],MATCH(Tableau3[[#This Row],[ID-API]],Tableau7[ID-API],0))&amp;""</f>
        <v>A5</v>
      </c>
      <c r="AE828" s="109" t="str">
        <f>INDEX(Tableau1[Repere-Rack],MATCH(Tableau3[[#This Row],[ID-RACK]],Tableau1[ID-RACK],0))&amp;""</f>
        <v>R2</v>
      </c>
      <c r="AF828" s="109" t="str">
        <f>INDEX(Tableau1[Repere-Slot],MATCH(Tableau3[[#This Row],[ID-SLOT]],Tableau1[ID-SLOT],0))&amp;""</f>
        <v>S7</v>
      </c>
      <c r="AG828" s="109" t="str">
        <f>INDEX(Tableau2[Repere-Voie],MATCH(Tableau3[[#This Row],[ID-VOIE]],Tableau2[ID-Voie],0))&amp;""</f>
        <v>v2</v>
      </c>
      <c r="AH828" s="72" t="str">
        <f>Tableau3[[#This Row],[ID-API]]&amp; "." &amp;Tableau3[[#This Row],[ID-RACK]]&amp; "." &amp;Tableau3[[#This Row],[ID-SLOT]]</f>
        <v>5.2.7</v>
      </c>
      <c r="AI828" s="72" t="str">
        <f>INDEX(Tableau1[Ref-Carte],MATCH(Tableau3[[#This Row],[ID-RRS]],Tableau1[ID-RRS],0))</f>
        <v>SDI1602</v>
      </c>
      <c r="AJ828" s="72" t="str">
        <f t="array" ref="AJ828">IFERROR(INDEX(Tableau2[TS],MATCH(1,(Tableau2[Ref-Carte]=Tableau3[[#This Row],[Ref-Carte2]])*(Tableau2[ID-Voie]=Tableau3[[#This Row],[ID-VOIE]]),0)),"")</f>
        <v>ET</v>
      </c>
      <c r="AK828" s="72" t="str">
        <f>IFERROR(INDEX(Tableau2[TS],SUMPRODUCT((Tableau2[Ref-Carte]=Tableau3[[#This Row],[Ref-Carte2]])*(Tableau2[ID-Voie]=Tableau3[[#This Row],[ID-VOIE]])*ROW(Tableau2[TS]))-ROW(Tableau2[#Headers])),"")</f>
        <v>ET</v>
      </c>
      <c r="AL828" s="72" t="str">
        <f>Tableau3[[#This Row],[Ref-Carte2]]&amp;"/"&amp;Tableau3[[#This Row],[ID-VOIE]]</f>
        <v>SDI1602/2</v>
      </c>
      <c r="AM828" s="77" t="str">
        <f>INDEX(Tableau2[Borne],MATCH(Tableau3[[#This Row],[ID-CARTEVOIE]],Tableau2[ID-CARTEVOIE],0))&amp;""</f>
        <v>1B</v>
      </c>
      <c r="AN828" s="74" t="str">
        <f>Tableau3[[#This Row],[ID-API]]&amp;Tableau3[[#This Row],[ID-RACK]]&amp;Tableau3[[#This Row],[ID-SLOT]]&amp;Tableau3[[#This Row],[BORNE]]</f>
        <v>5271B</v>
      </c>
      <c r="AO828" s="1"/>
    </row>
    <row r="829" spans="1:41" ht="20.100000000000001" customHeight="1" thickTop="1" thickBot="1">
      <c r="A829" s="68"/>
      <c r="B829" s="69" t="str">
        <f>IFERROR(INDEX(Tableau4[Date],MATCH($A829,Tableau4[EVO],0)),"")</f>
        <v/>
      </c>
      <c r="C829" s="68" t="str">
        <f>IFERROR(INDEX(Tableau4[Designation],MATCH($A829,Tableau4[EVO],0)),"")</f>
        <v/>
      </c>
      <c r="D829" s="68"/>
      <c r="E829" s="70">
        <v>433</v>
      </c>
      <c r="F829" s="71">
        <v>3</v>
      </c>
      <c r="G829" s="101" t="str">
        <f>INDEX(Tableau8[Att1],MATCH(Tableau3[[#This Row],[ID-INS]],Tableau8[ID],0))&amp;""</f>
        <v>B21</v>
      </c>
      <c r="H829" s="101" t="str">
        <f>INDEX(Tableau8[Att2],MATCH(Tableau3[[#This Row],[ID-INS]],Tableau8[ID],0))&amp;""</f>
        <v>PPH45</v>
      </c>
      <c r="I829" s="101" t="str">
        <f>INDEX(Tableau8[Att3],MATCH(Tableau3[[#This Row],[ID-INS]],Tableau8[ID],0))&amp;""</f>
        <v>Portail P3 ouvert</v>
      </c>
      <c r="J829" s="101"/>
      <c r="K829" s="167" t="str">
        <f>INDEX(Tableau8[Nom du modele],MATCH(Tableau3[[#This Row],[ID-INS]],Tableau8[ID],0))&amp;""</f>
        <v>E_Divers</v>
      </c>
      <c r="L829" s="99" t="str">
        <f>INDEX(Tableau5[Att1],MATCH(Tableau3[[#This Row],[ID-SIG]],Tableau5[ID],0))&amp;""</f>
        <v>C1</v>
      </c>
      <c r="M829" s="99" t="str">
        <f>INDEX(Tableau5[Att2],MATCH(Tableau3[[#This Row],[ID-SIG]],Tableau5[ID],0))&amp;""</f>
        <v/>
      </c>
      <c r="N829" s="99" t="str">
        <f>INDEX(Tableau5[Att3],MATCH(Tableau3[[#This Row],[ID-SIG]],Tableau5[ID],0))&amp;""</f>
        <v/>
      </c>
      <c r="O829" s="99"/>
      <c r="P829" s="99" t="str">
        <f>INDEX(Tableau5[Description],MATCH(Tableau3[[#This Row],[ID-SIG]],Tableau5[ID],0))</f>
        <v>Contact</v>
      </c>
      <c r="Q829" s="99"/>
      <c r="R829" s="103" t="str">
        <f>Tableau3[[#This Row],[Description]]</f>
        <v>Contact</v>
      </c>
      <c r="U829" s="87">
        <v>5</v>
      </c>
      <c r="V829" s="87">
        <v>2</v>
      </c>
      <c r="W829" s="87">
        <v>7</v>
      </c>
      <c r="X829" s="87">
        <v>3</v>
      </c>
      <c r="Y829" s="40"/>
      <c r="Z829" s="165" t="str">
        <f>INDEX(Tableau2[TS],MATCH(Tableau3[[#This Row],[ID-CARTEVOIE]],Tableau2[ID-CARTEVOIE],0))</f>
        <v>ET</v>
      </c>
      <c r="AA829" s="53" t="s">
        <v>213</v>
      </c>
      <c r="AB829" s="223" t="str">
        <f>IFERROR(INDEX(Tableau5[Reserve],MATCH(Tableau3[[#This Row],[ID-SIG]],Tableau5[ID],0))&amp;"","")</f>
        <v/>
      </c>
      <c r="AC829" s="21"/>
      <c r="AD829" s="108" t="str">
        <f>INDEX(Tableau7[Repere],MATCH(Tableau3[[#This Row],[ID-API]],Tableau7[ID-API],0))&amp;""</f>
        <v>A5</v>
      </c>
      <c r="AE829" s="108" t="str">
        <f>INDEX(Tableau1[Repere-Rack],MATCH(Tableau3[[#This Row],[ID-RACK]],Tableau1[ID-RACK],0))&amp;""</f>
        <v>R2</v>
      </c>
      <c r="AF829" s="108" t="str">
        <f>INDEX(Tableau1[Repere-Slot],MATCH(Tableau3[[#This Row],[ID-SLOT]],Tableau1[ID-SLOT],0))&amp;""</f>
        <v>S7</v>
      </c>
      <c r="AG829" s="108" t="str">
        <f>INDEX(Tableau2[Repere-Voie],MATCH(Tableau3[[#This Row],[ID-VOIE]],Tableau2[ID-Voie],0))&amp;""</f>
        <v>v3</v>
      </c>
      <c r="AH829" s="72" t="str">
        <f>Tableau3[[#This Row],[ID-API]]&amp; "." &amp;Tableau3[[#This Row],[ID-RACK]]&amp; "." &amp;Tableau3[[#This Row],[ID-SLOT]]</f>
        <v>5.2.7</v>
      </c>
      <c r="AI829" s="72" t="str">
        <f>INDEX(Tableau1[Ref-Carte],MATCH(Tableau3[[#This Row],[ID-RRS]],Tableau1[ID-RRS],0))</f>
        <v>SDI1602</v>
      </c>
      <c r="AJ829" s="72" t="str">
        <f t="array" ref="AJ829">IFERROR(INDEX(Tableau2[TS],MATCH(1,(Tableau2[Ref-Carte]=Tableau3[[#This Row],[Ref-Carte2]])*(Tableau2[ID-Voie]=Tableau3[[#This Row],[ID-VOIE]]),0)),"")</f>
        <v>ET</v>
      </c>
      <c r="AK829" s="72" t="str">
        <f>IFERROR(INDEX(Tableau2[TS],SUMPRODUCT((Tableau2[Ref-Carte]=Tableau3[[#This Row],[Ref-Carte2]])*(Tableau2[ID-Voie]=Tableau3[[#This Row],[ID-VOIE]])*ROW(Tableau2[TS]))-ROW(Tableau2[#Headers])),"")</f>
        <v>ET</v>
      </c>
      <c r="AL829" s="72" t="str">
        <f>Tableau3[[#This Row],[Ref-Carte2]]&amp;"/"&amp;Tableau3[[#This Row],[ID-VOIE]]</f>
        <v>SDI1602/3</v>
      </c>
      <c r="AM829" s="73" t="str">
        <f>INDEX(Tableau2[Borne],MATCH(Tableau3[[#This Row],[ID-CARTEVOIE]],Tableau2[ID-CARTEVOIE],0))&amp;""</f>
        <v>1A</v>
      </c>
      <c r="AN829" s="74" t="str">
        <f>Tableau3[[#This Row],[ID-API]]&amp;Tableau3[[#This Row],[ID-RACK]]&amp;Tableau3[[#This Row],[ID-SLOT]]&amp;Tableau3[[#This Row],[BORNE]]</f>
        <v>5271A</v>
      </c>
      <c r="AO829" s="1"/>
    </row>
    <row r="830" spans="1:41" ht="20.100000000000001" customHeight="1" thickTop="1" thickBot="1">
      <c r="A830" s="68"/>
      <c r="B830" s="69" t="str">
        <f>IFERROR(INDEX(Tableau4[Date],MATCH($A830,Tableau4[EVO],0)),"")</f>
        <v/>
      </c>
      <c r="C830" s="68" t="str">
        <f>IFERROR(INDEX(Tableau4[Designation],MATCH($A830,Tableau4[EVO],0)),"")</f>
        <v/>
      </c>
      <c r="D830" s="68"/>
      <c r="E830" s="70">
        <v>434</v>
      </c>
      <c r="F830" s="71">
        <v>3</v>
      </c>
      <c r="G830" s="101" t="str">
        <f>INDEX(Tableau8[Att1],MATCH(Tableau3[[#This Row],[ID-INS]],Tableau8[ID],0))&amp;""</f>
        <v>B21</v>
      </c>
      <c r="H830" s="101" t="str">
        <f>INDEX(Tableau8[Att2],MATCH(Tableau3[[#This Row],[ID-INS]],Tableau8[ID],0))&amp;""</f>
        <v>PPH46</v>
      </c>
      <c r="I830" s="101" t="str">
        <f>INDEX(Tableau8[Att3],MATCH(Tableau3[[#This Row],[ID-INS]],Tableau8[ID],0))&amp;""</f>
        <v>Portail P3 non vérrouillé</v>
      </c>
      <c r="J830" s="101"/>
      <c r="K830" s="167" t="str">
        <f>INDEX(Tableau8[Nom du modele],MATCH(Tableau3[[#This Row],[ID-INS]],Tableau8[ID],0))&amp;""</f>
        <v>E_Divers</v>
      </c>
      <c r="L830" s="99" t="str">
        <f>INDEX(Tableau5[Att1],MATCH(Tableau3[[#This Row],[ID-SIG]],Tableau5[ID],0))&amp;""</f>
        <v>C1</v>
      </c>
      <c r="M830" s="99" t="str">
        <f>INDEX(Tableau5[Att2],MATCH(Tableau3[[#This Row],[ID-SIG]],Tableau5[ID],0))&amp;""</f>
        <v/>
      </c>
      <c r="N830" s="99" t="str">
        <f>INDEX(Tableau5[Att3],MATCH(Tableau3[[#This Row],[ID-SIG]],Tableau5[ID],0))&amp;""</f>
        <v/>
      </c>
      <c r="O830" s="99"/>
      <c r="P830" s="99" t="str">
        <f>INDEX(Tableau5[Description],MATCH(Tableau3[[#This Row],[ID-SIG]],Tableau5[ID],0))</f>
        <v>Contact</v>
      </c>
      <c r="Q830" s="99"/>
      <c r="R830" s="103" t="str">
        <f>Tableau3[[#This Row],[Description]]</f>
        <v>Contact</v>
      </c>
      <c r="U830" s="87">
        <v>5</v>
      </c>
      <c r="V830" s="87">
        <v>2</v>
      </c>
      <c r="W830" s="87">
        <v>7</v>
      </c>
      <c r="X830" s="87">
        <v>4</v>
      </c>
      <c r="Y830" s="40"/>
      <c r="Z830" s="165" t="str">
        <f>INDEX(Tableau2[TS],MATCH(Tableau3[[#This Row],[ID-CARTEVOIE]],Tableau2[ID-CARTEVOIE],0))</f>
        <v>ET</v>
      </c>
      <c r="AA830" s="53" t="s">
        <v>213</v>
      </c>
      <c r="AB830" s="223" t="str">
        <f>IFERROR(INDEX(Tableau5[Reserve],MATCH(Tableau3[[#This Row],[ID-SIG]],Tableau5[ID],0))&amp;"","")</f>
        <v/>
      </c>
      <c r="AC830" s="21"/>
      <c r="AD830" s="108" t="str">
        <f>INDEX(Tableau7[Repere],MATCH(Tableau3[[#This Row],[ID-API]],Tableau7[ID-API],0))&amp;""</f>
        <v>A5</v>
      </c>
      <c r="AE830" s="108" t="str">
        <f>INDEX(Tableau1[Repere-Rack],MATCH(Tableau3[[#This Row],[ID-RACK]],Tableau1[ID-RACK],0))&amp;""</f>
        <v>R2</v>
      </c>
      <c r="AF830" s="108" t="str">
        <f>INDEX(Tableau1[Repere-Slot],MATCH(Tableau3[[#This Row],[ID-SLOT]],Tableau1[ID-SLOT],0))&amp;""</f>
        <v>S7</v>
      </c>
      <c r="AG830" s="108" t="str">
        <f>INDEX(Tableau2[Repere-Voie],MATCH(Tableau3[[#This Row],[ID-VOIE]],Tableau2[ID-Voie],0))&amp;""</f>
        <v>v4</v>
      </c>
      <c r="AH830" s="72" t="str">
        <f>Tableau3[[#This Row],[ID-API]]&amp; "." &amp;Tableau3[[#This Row],[ID-RACK]]&amp; "." &amp;Tableau3[[#This Row],[ID-SLOT]]</f>
        <v>5.2.7</v>
      </c>
      <c r="AI830" s="72" t="str">
        <f>INDEX(Tableau1[Ref-Carte],MATCH(Tableau3[[#This Row],[ID-RRS]],Tableau1[ID-RRS],0))</f>
        <v>SDI1602</v>
      </c>
      <c r="AJ830" s="72" t="str">
        <f t="array" ref="AJ830">IFERROR(INDEX(Tableau2[TS],MATCH(1,(Tableau2[Ref-Carte]=Tableau3[[#This Row],[Ref-Carte2]])*(Tableau2[ID-Voie]=Tableau3[[#This Row],[ID-VOIE]]),0)),"")</f>
        <v>ET</v>
      </c>
      <c r="AK830" s="72" t="str">
        <f>IFERROR(INDEX(Tableau2[TS],SUMPRODUCT((Tableau2[Ref-Carte]=Tableau3[[#This Row],[Ref-Carte2]])*(Tableau2[ID-Voie]=Tableau3[[#This Row],[ID-VOIE]])*ROW(Tableau2[TS]))-ROW(Tableau2[#Headers])),"")</f>
        <v>ET</v>
      </c>
      <c r="AL830" s="72" t="str">
        <f>Tableau3[[#This Row],[Ref-Carte2]]&amp;"/"&amp;Tableau3[[#This Row],[ID-VOIE]]</f>
        <v>SDI1602/4</v>
      </c>
      <c r="AM830" s="73" t="str">
        <f>INDEX(Tableau2[Borne],MATCH(Tableau3[[#This Row],[ID-CARTEVOIE]],Tableau2[ID-CARTEVOIE],0))&amp;""</f>
        <v>2B</v>
      </c>
      <c r="AN830" s="74" t="str">
        <f>Tableau3[[#This Row],[ID-API]]&amp;Tableau3[[#This Row],[ID-RACK]]&amp;Tableau3[[#This Row],[ID-SLOT]]&amp;Tableau3[[#This Row],[BORNE]]</f>
        <v>5272B</v>
      </c>
      <c r="AO830" s="1"/>
    </row>
    <row r="831" spans="1:41" ht="20.100000000000001" customHeight="1" thickTop="1" thickBot="1">
      <c r="A831" s="68"/>
      <c r="B831" s="69" t="str">
        <f>IFERROR(INDEX(Tableau4[Date],MATCH($A831,Tableau4[EVO],0)),"")</f>
        <v/>
      </c>
      <c r="C831" s="68" t="str">
        <f>IFERROR(INDEX(Tableau4[Designation],MATCH($A831,Tableau4[EVO],0)),"")</f>
        <v/>
      </c>
      <c r="D831" s="68"/>
      <c r="E831" s="70">
        <v>435</v>
      </c>
      <c r="F831" s="71">
        <v>3</v>
      </c>
      <c r="G831" s="101" t="str">
        <f>INDEX(Tableau8[Att1],MATCH(Tableau3[[#This Row],[ID-INS]],Tableau8[ID],0))&amp;""</f>
        <v>B21</v>
      </c>
      <c r="H831" s="101" t="str">
        <f>INDEX(Tableau8[Att2],MATCH(Tableau3[[#This Row],[ID-INS]],Tableau8[ID],0))&amp;""</f>
        <v>PPH47</v>
      </c>
      <c r="I831" s="101" t="str">
        <f>INDEX(Tableau8[Att3],MATCH(Tableau3[[#This Row],[ID-INS]],Tableau8[ID],0))&amp;""</f>
        <v>Alarme CP1 local CFIS B21</v>
      </c>
      <c r="J831" s="101"/>
      <c r="K831" s="167" t="str">
        <f>INDEX(Tableau8[Nom du modele],MATCH(Tableau3[[#This Row],[ID-INS]],Tableau8[ID],0))&amp;""</f>
        <v>E_Divers</v>
      </c>
      <c r="L831" s="99" t="str">
        <f>INDEX(Tableau5[Att1],MATCH(Tableau3[[#This Row],[ID-SIG]],Tableau5[ID],0))&amp;""</f>
        <v>C1</v>
      </c>
      <c r="M831" s="99" t="str">
        <f>INDEX(Tableau5[Att2],MATCH(Tableau3[[#This Row],[ID-SIG]],Tableau5[ID],0))&amp;""</f>
        <v/>
      </c>
      <c r="N831" s="99" t="str">
        <f>INDEX(Tableau5[Att3],MATCH(Tableau3[[#This Row],[ID-SIG]],Tableau5[ID],0))&amp;""</f>
        <v/>
      </c>
      <c r="O831" s="99"/>
      <c r="P831" s="99" t="str">
        <f>INDEX(Tableau5[Description],MATCH(Tableau3[[#This Row],[ID-SIG]],Tableau5[ID],0))</f>
        <v>Contact</v>
      </c>
      <c r="Q831" s="99"/>
      <c r="R831" s="103" t="str">
        <f>Tableau3[[#This Row],[Description]]</f>
        <v>Contact</v>
      </c>
      <c r="U831" s="87">
        <v>5</v>
      </c>
      <c r="V831" s="87">
        <v>2</v>
      </c>
      <c r="W831" s="87">
        <v>7</v>
      </c>
      <c r="X831" s="87">
        <v>5</v>
      </c>
      <c r="Y831" s="40"/>
      <c r="Z831" s="165" t="str">
        <f>INDEX(Tableau2[TS],MATCH(Tableau3[[#This Row],[ID-CARTEVOIE]],Tableau2[ID-CARTEVOIE],0))</f>
        <v>ET</v>
      </c>
      <c r="AA831" s="53" t="s">
        <v>213</v>
      </c>
      <c r="AB831" s="223" t="str">
        <f>IFERROR(INDEX(Tableau5[Reserve],MATCH(Tableau3[[#This Row],[ID-SIG]],Tableau5[ID],0))&amp;"","")</f>
        <v/>
      </c>
      <c r="AC831" s="21"/>
      <c r="AD831" s="108" t="str">
        <f>INDEX(Tableau7[Repere],MATCH(Tableau3[[#This Row],[ID-API]],Tableau7[ID-API],0))&amp;""</f>
        <v>A5</v>
      </c>
      <c r="AE831" s="108" t="str">
        <f>INDEX(Tableau1[Repere-Rack],MATCH(Tableau3[[#This Row],[ID-RACK]],Tableau1[ID-RACK],0))&amp;""</f>
        <v>R2</v>
      </c>
      <c r="AF831" s="108" t="str">
        <f>INDEX(Tableau1[Repere-Slot],MATCH(Tableau3[[#This Row],[ID-SLOT]],Tableau1[ID-SLOT],0))&amp;""</f>
        <v>S7</v>
      </c>
      <c r="AG831" s="108" t="str">
        <f>INDEX(Tableau2[Repere-Voie],MATCH(Tableau3[[#This Row],[ID-VOIE]],Tableau2[ID-Voie],0))&amp;""</f>
        <v>v5</v>
      </c>
      <c r="AH831" s="72" t="str">
        <f>Tableau3[[#This Row],[ID-API]]&amp; "." &amp;Tableau3[[#This Row],[ID-RACK]]&amp; "." &amp;Tableau3[[#This Row],[ID-SLOT]]</f>
        <v>5.2.7</v>
      </c>
      <c r="AI831" s="72" t="str">
        <f>INDEX(Tableau1[Ref-Carte],MATCH(Tableau3[[#This Row],[ID-RRS]],Tableau1[ID-RRS],0))</f>
        <v>SDI1602</v>
      </c>
      <c r="AJ831" s="72" t="str">
        <f t="array" ref="AJ831">IFERROR(INDEX(Tableau2[TS],MATCH(1,(Tableau2[Ref-Carte]=Tableau3[[#This Row],[Ref-Carte2]])*(Tableau2[ID-Voie]=Tableau3[[#This Row],[ID-VOIE]]),0)),"")</f>
        <v>ET</v>
      </c>
      <c r="AK831" s="72" t="str">
        <f>IFERROR(INDEX(Tableau2[TS],SUMPRODUCT((Tableau2[Ref-Carte]=Tableau3[[#This Row],[Ref-Carte2]])*(Tableau2[ID-Voie]=Tableau3[[#This Row],[ID-VOIE]])*ROW(Tableau2[TS]))-ROW(Tableau2[#Headers])),"")</f>
        <v>ET</v>
      </c>
      <c r="AL831" s="72" t="str">
        <f>Tableau3[[#This Row],[Ref-Carte2]]&amp;"/"&amp;Tableau3[[#This Row],[ID-VOIE]]</f>
        <v>SDI1602/5</v>
      </c>
      <c r="AM831" s="73" t="str">
        <f>INDEX(Tableau2[Borne],MATCH(Tableau3[[#This Row],[ID-CARTEVOIE]],Tableau2[ID-CARTEVOIE],0))&amp;""</f>
        <v>2A</v>
      </c>
      <c r="AN831" s="74" t="str">
        <f>Tableau3[[#This Row],[ID-API]]&amp;Tableau3[[#This Row],[ID-RACK]]&amp;Tableau3[[#This Row],[ID-SLOT]]&amp;Tableau3[[#This Row],[BORNE]]</f>
        <v>5272A</v>
      </c>
      <c r="AO831" s="1"/>
    </row>
    <row r="832" spans="1:41" ht="20.100000000000001" customHeight="1" thickTop="1" thickBot="1">
      <c r="A832" s="68"/>
      <c r="B832" s="69" t="str">
        <f>IFERROR(INDEX(Tableau4[Date],MATCH($A832,Tableau4[EVO],0)),"")</f>
        <v/>
      </c>
      <c r="C832" s="68" t="str">
        <f>IFERROR(INDEX(Tableau4[Designation],MATCH($A832,Tableau4[EVO],0)),"")</f>
        <v/>
      </c>
      <c r="D832" s="68"/>
      <c r="E832" s="70">
        <v>436</v>
      </c>
      <c r="F832" s="71">
        <v>3</v>
      </c>
      <c r="G832" s="101" t="str">
        <f>INDEX(Tableau8[Att1],MATCH(Tableau3[[#This Row],[ID-INS]],Tableau8[ID],0))&amp;""</f>
        <v>B21</v>
      </c>
      <c r="H832" s="101" t="str">
        <f>INDEX(Tableau8[Att2],MATCH(Tableau3[[#This Row],[ID-INS]],Tableau8[ID],0))&amp;""</f>
        <v>PPH48</v>
      </c>
      <c r="I832" s="101" t="str">
        <f>INDEX(Tableau8[Att3],MATCH(Tableau3[[#This Row],[ID-INS]],Tableau8[ID],0))&amp;""</f>
        <v>Fraude CP1 local CFIS B21</v>
      </c>
      <c r="J832" s="101"/>
      <c r="K832" s="167" t="str">
        <f>INDEX(Tableau8[Nom du modele],MATCH(Tableau3[[#This Row],[ID-INS]],Tableau8[ID],0))&amp;""</f>
        <v>E_Divers</v>
      </c>
      <c r="L832" s="99" t="str">
        <f>INDEX(Tableau5[Att1],MATCH(Tableau3[[#This Row],[ID-SIG]],Tableau5[ID],0))&amp;""</f>
        <v>C1</v>
      </c>
      <c r="M832" s="99" t="str">
        <f>INDEX(Tableau5[Att2],MATCH(Tableau3[[#This Row],[ID-SIG]],Tableau5[ID],0))&amp;""</f>
        <v/>
      </c>
      <c r="N832" s="99" t="str">
        <f>INDEX(Tableau5[Att3],MATCH(Tableau3[[#This Row],[ID-SIG]],Tableau5[ID],0))&amp;""</f>
        <v/>
      </c>
      <c r="O832" s="99"/>
      <c r="P832" s="99" t="str">
        <f>INDEX(Tableau5[Description],MATCH(Tableau3[[#This Row],[ID-SIG]],Tableau5[ID],0))</f>
        <v>Contact</v>
      </c>
      <c r="Q832" s="99"/>
      <c r="R832" s="103" t="str">
        <f>Tableau3[[#This Row],[Description]]</f>
        <v>Contact</v>
      </c>
      <c r="U832" s="87">
        <v>5</v>
      </c>
      <c r="V832" s="87">
        <v>2</v>
      </c>
      <c r="W832" s="87">
        <v>7</v>
      </c>
      <c r="X832" s="87">
        <v>6</v>
      </c>
      <c r="Y832" s="40"/>
      <c r="Z832" s="165" t="str">
        <f>INDEX(Tableau2[TS],MATCH(Tableau3[[#This Row],[ID-CARTEVOIE]],Tableau2[ID-CARTEVOIE],0))</f>
        <v>ET</v>
      </c>
      <c r="AA832" s="53" t="s">
        <v>213</v>
      </c>
      <c r="AB832" s="223" t="str">
        <f>IFERROR(INDEX(Tableau5[Reserve],MATCH(Tableau3[[#This Row],[ID-SIG]],Tableau5[ID],0))&amp;"","")</f>
        <v/>
      </c>
      <c r="AC832" s="21"/>
      <c r="AD832" s="108" t="str">
        <f>INDEX(Tableau7[Repere],MATCH(Tableau3[[#This Row],[ID-API]],Tableau7[ID-API],0))&amp;""</f>
        <v>A5</v>
      </c>
      <c r="AE832" s="108" t="str">
        <f>INDEX(Tableau1[Repere-Rack],MATCH(Tableau3[[#This Row],[ID-RACK]],Tableau1[ID-RACK],0))&amp;""</f>
        <v>R2</v>
      </c>
      <c r="AF832" s="108" t="str">
        <f>INDEX(Tableau1[Repere-Slot],MATCH(Tableau3[[#This Row],[ID-SLOT]],Tableau1[ID-SLOT],0))&amp;""</f>
        <v>S7</v>
      </c>
      <c r="AG832" s="108" t="str">
        <f>INDEX(Tableau2[Repere-Voie],MATCH(Tableau3[[#This Row],[ID-VOIE]],Tableau2[ID-Voie],0))&amp;""</f>
        <v>v6</v>
      </c>
      <c r="AH832" s="72" t="str">
        <f>Tableau3[[#This Row],[ID-API]]&amp; "." &amp;Tableau3[[#This Row],[ID-RACK]]&amp; "." &amp;Tableau3[[#This Row],[ID-SLOT]]</f>
        <v>5.2.7</v>
      </c>
      <c r="AI832" s="72" t="str">
        <f>INDEX(Tableau1[Ref-Carte],MATCH(Tableau3[[#This Row],[ID-RRS]],Tableau1[ID-RRS],0))</f>
        <v>SDI1602</v>
      </c>
      <c r="AJ832" s="72" t="str">
        <f t="array" ref="AJ832">IFERROR(INDEX(Tableau2[TS],MATCH(1,(Tableau2[Ref-Carte]=Tableau3[[#This Row],[Ref-Carte2]])*(Tableau2[ID-Voie]=Tableau3[[#This Row],[ID-VOIE]]),0)),"")</f>
        <v>ET</v>
      </c>
      <c r="AK832" s="72" t="str">
        <f>IFERROR(INDEX(Tableau2[TS],SUMPRODUCT((Tableau2[Ref-Carte]=Tableau3[[#This Row],[Ref-Carte2]])*(Tableau2[ID-Voie]=Tableau3[[#This Row],[ID-VOIE]])*ROW(Tableau2[TS]))-ROW(Tableau2[#Headers])),"")</f>
        <v>ET</v>
      </c>
      <c r="AL832" s="72" t="str">
        <f>Tableau3[[#This Row],[Ref-Carte2]]&amp;"/"&amp;Tableau3[[#This Row],[ID-VOIE]]</f>
        <v>SDI1602/6</v>
      </c>
      <c r="AM832" s="73" t="str">
        <f>INDEX(Tableau2[Borne],MATCH(Tableau3[[#This Row],[ID-CARTEVOIE]],Tableau2[ID-CARTEVOIE],0))&amp;""</f>
        <v>3B</v>
      </c>
      <c r="AN832" s="74" t="str">
        <f>Tableau3[[#This Row],[ID-API]]&amp;Tableau3[[#This Row],[ID-RACK]]&amp;Tableau3[[#This Row],[ID-SLOT]]&amp;Tableau3[[#This Row],[BORNE]]</f>
        <v>5273B</v>
      </c>
      <c r="AO832" s="1"/>
    </row>
    <row r="833" spans="1:41" ht="20.100000000000001" customHeight="1" thickTop="1" thickBot="1">
      <c r="A833" s="68"/>
      <c r="B833" s="69" t="str">
        <f>IFERROR(INDEX(Tableau4[Date],MATCH($A833,Tableau4[EVO],0)),"")</f>
        <v/>
      </c>
      <c r="C833" s="68" t="str">
        <f>IFERROR(INDEX(Tableau4[Designation],MATCH($A833,Tableau4[EVO],0)),"")</f>
        <v/>
      </c>
      <c r="D833" s="68"/>
      <c r="E833" s="70">
        <v>437</v>
      </c>
      <c r="F833" s="71">
        <v>3</v>
      </c>
      <c r="G833" s="101" t="str">
        <f>INDEX(Tableau8[Att1],MATCH(Tableau3[[#This Row],[ID-INS]],Tableau8[ID],0))&amp;""</f>
        <v>B21</v>
      </c>
      <c r="H833" s="101" t="str">
        <f>INDEX(Tableau8[Att2],MATCH(Tableau3[[#This Row],[ID-INS]],Tableau8[ID],0))&amp;""</f>
        <v>PPH49</v>
      </c>
      <c r="I833" s="101" t="str">
        <f>INDEX(Tableau8[Att3],MATCH(Tableau3[[#This Row],[ID-INS]],Tableau8[ID],0))&amp;""</f>
        <v>Alarme CP2 local repos B21</v>
      </c>
      <c r="J833" s="101"/>
      <c r="K833" s="167" t="str">
        <f>INDEX(Tableau8[Nom du modele],MATCH(Tableau3[[#This Row],[ID-INS]],Tableau8[ID],0))&amp;""</f>
        <v>E_Divers</v>
      </c>
      <c r="L833" s="99" t="str">
        <f>INDEX(Tableau5[Att1],MATCH(Tableau3[[#This Row],[ID-SIG]],Tableau5[ID],0))&amp;""</f>
        <v>C1</v>
      </c>
      <c r="M833" s="99" t="str">
        <f>INDEX(Tableau5[Att2],MATCH(Tableau3[[#This Row],[ID-SIG]],Tableau5[ID],0))&amp;""</f>
        <v/>
      </c>
      <c r="N833" s="99" t="str">
        <f>INDEX(Tableau5[Att3],MATCH(Tableau3[[#This Row],[ID-SIG]],Tableau5[ID],0))&amp;""</f>
        <v/>
      </c>
      <c r="O833" s="99"/>
      <c r="P833" s="99" t="str">
        <f>INDEX(Tableau5[Description],MATCH(Tableau3[[#This Row],[ID-SIG]],Tableau5[ID],0))</f>
        <v>Contact</v>
      </c>
      <c r="Q833" s="99"/>
      <c r="R833" s="103" t="str">
        <f>Tableau3[[#This Row],[Description]]</f>
        <v>Contact</v>
      </c>
      <c r="U833" s="87">
        <v>5</v>
      </c>
      <c r="V833" s="87">
        <v>2</v>
      </c>
      <c r="W833" s="87">
        <v>7</v>
      </c>
      <c r="X833" s="87">
        <v>7</v>
      </c>
      <c r="Y833" s="40"/>
      <c r="Z833" s="165" t="str">
        <f>INDEX(Tableau2[TS],MATCH(Tableau3[[#This Row],[ID-CARTEVOIE]],Tableau2[ID-CARTEVOIE],0))</f>
        <v>ET</v>
      </c>
      <c r="AA833" s="53" t="s">
        <v>213</v>
      </c>
      <c r="AB833" s="223" t="str">
        <f>IFERROR(INDEX(Tableau5[Reserve],MATCH(Tableau3[[#This Row],[ID-SIG]],Tableau5[ID],0))&amp;"","")</f>
        <v/>
      </c>
      <c r="AC833" s="21"/>
      <c r="AD833" s="108" t="str">
        <f>INDEX(Tableau7[Repere],MATCH(Tableau3[[#This Row],[ID-API]],Tableau7[ID-API],0))&amp;""</f>
        <v>A5</v>
      </c>
      <c r="AE833" s="108" t="str">
        <f>INDEX(Tableau1[Repere-Rack],MATCH(Tableau3[[#This Row],[ID-RACK]],Tableau1[ID-RACK],0))&amp;""</f>
        <v>R2</v>
      </c>
      <c r="AF833" s="108" t="str">
        <f>INDEX(Tableau1[Repere-Slot],MATCH(Tableau3[[#This Row],[ID-SLOT]],Tableau1[ID-SLOT],0))&amp;""</f>
        <v>S7</v>
      </c>
      <c r="AG833" s="108" t="str">
        <f>INDEX(Tableau2[Repere-Voie],MATCH(Tableau3[[#This Row],[ID-VOIE]],Tableau2[ID-Voie],0))&amp;""</f>
        <v>v7</v>
      </c>
      <c r="AH833" s="72" t="str">
        <f>Tableau3[[#This Row],[ID-API]]&amp; "." &amp;Tableau3[[#This Row],[ID-RACK]]&amp; "." &amp;Tableau3[[#This Row],[ID-SLOT]]</f>
        <v>5.2.7</v>
      </c>
      <c r="AI833" s="72" t="str">
        <f>INDEX(Tableau1[Ref-Carte],MATCH(Tableau3[[#This Row],[ID-RRS]],Tableau1[ID-RRS],0))</f>
        <v>SDI1602</v>
      </c>
      <c r="AJ833" s="72" t="str">
        <f t="array" ref="AJ833">IFERROR(INDEX(Tableau2[TS],MATCH(1,(Tableau2[Ref-Carte]=Tableau3[[#This Row],[Ref-Carte2]])*(Tableau2[ID-Voie]=Tableau3[[#This Row],[ID-VOIE]]),0)),"")</f>
        <v>ET</v>
      </c>
      <c r="AK833" s="72" t="str">
        <f>IFERROR(INDEX(Tableau2[TS],SUMPRODUCT((Tableau2[Ref-Carte]=Tableau3[[#This Row],[Ref-Carte2]])*(Tableau2[ID-Voie]=Tableau3[[#This Row],[ID-VOIE]])*ROW(Tableau2[TS]))-ROW(Tableau2[#Headers])),"")</f>
        <v>ET</v>
      </c>
      <c r="AL833" s="72" t="str">
        <f>Tableau3[[#This Row],[Ref-Carte2]]&amp;"/"&amp;Tableau3[[#This Row],[ID-VOIE]]</f>
        <v>SDI1602/7</v>
      </c>
      <c r="AM833" s="73" t="str">
        <f>INDEX(Tableau2[Borne],MATCH(Tableau3[[#This Row],[ID-CARTEVOIE]],Tableau2[ID-CARTEVOIE],0))&amp;""</f>
        <v>3A</v>
      </c>
      <c r="AN833" s="74" t="str">
        <f>Tableau3[[#This Row],[ID-API]]&amp;Tableau3[[#This Row],[ID-RACK]]&amp;Tableau3[[#This Row],[ID-SLOT]]&amp;Tableau3[[#This Row],[BORNE]]</f>
        <v>5273A</v>
      </c>
      <c r="AO833" s="1"/>
    </row>
    <row r="834" spans="1:41" ht="20.100000000000001" customHeight="1" thickTop="1" thickBot="1">
      <c r="A834" s="68"/>
      <c r="B834" s="69" t="str">
        <f>IFERROR(INDEX(Tableau4[Date],MATCH($A834,Tableau4[EVO],0)),"")</f>
        <v/>
      </c>
      <c r="C834" s="68" t="str">
        <f>IFERROR(INDEX(Tableau4[Designation],MATCH($A834,Tableau4[EVO],0)),"")</f>
        <v/>
      </c>
      <c r="D834" s="68"/>
      <c r="E834" s="70">
        <v>438</v>
      </c>
      <c r="F834" s="71">
        <v>3</v>
      </c>
      <c r="G834" s="101" t="str">
        <f>INDEX(Tableau8[Att1],MATCH(Tableau3[[#This Row],[ID-INS]],Tableau8[ID],0))&amp;""</f>
        <v>B21</v>
      </c>
      <c r="H834" s="101" t="str">
        <f>INDEX(Tableau8[Att2],MATCH(Tableau3[[#This Row],[ID-INS]],Tableau8[ID],0))&amp;""</f>
        <v>PPH50</v>
      </c>
      <c r="I834" s="101" t="str">
        <f>INDEX(Tableau8[Att3],MATCH(Tableau3[[#This Row],[ID-INS]],Tableau8[ID],0))&amp;""</f>
        <v>Fraude CP2 local repos B21</v>
      </c>
      <c r="J834" s="101"/>
      <c r="K834" s="167" t="str">
        <f>INDEX(Tableau8[Nom du modele],MATCH(Tableau3[[#This Row],[ID-INS]],Tableau8[ID],0))&amp;""</f>
        <v>E_Divers</v>
      </c>
      <c r="L834" s="99" t="str">
        <f>INDEX(Tableau5[Att1],MATCH(Tableau3[[#This Row],[ID-SIG]],Tableau5[ID],0))&amp;""</f>
        <v>C1</v>
      </c>
      <c r="M834" s="99" t="str">
        <f>INDEX(Tableau5[Att2],MATCH(Tableau3[[#This Row],[ID-SIG]],Tableau5[ID],0))&amp;""</f>
        <v/>
      </c>
      <c r="N834" s="99" t="str">
        <f>INDEX(Tableau5[Att3],MATCH(Tableau3[[#This Row],[ID-SIG]],Tableau5[ID],0))&amp;""</f>
        <v/>
      </c>
      <c r="O834" s="99"/>
      <c r="P834" s="99" t="str">
        <f>INDEX(Tableau5[Description],MATCH(Tableau3[[#This Row],[ID-SIG]],Tableau5[ID],0))</f>
        <v>Contact</v>
      </c>
      <c r="Q834" s="99"/>
      <c r="R834" s="103" t="str">
        <f>Tableau3[[#This Row],[Description]]</f>
        <v>Contact</v>
      </c>
      <c r="U834" s="87">
        <v>5</v>
      </c>
      <c r="V834" s="87">
        <v>2</v>
      </c>
      <c r="W834" s="87">
        <v>7</v>
      </c>
      <c r="X834" s="87">
        <v>8</v>
      </c>
      <c r="Y834" s="40"/>
      <c r="Z834" s="165" t="str">
        <f>INDEX(Tableau2[TS],MATCH(Tableau3[[#This Row],[ID-CARTEVOIE]],Tableau2[ID-CARTEVOIE],0))</f>
        <v>ET</v>
      </c>
      <c r="AA834" s="53" t="s">
        <v>213</v>
      </c>
      <c r="AB834" s="223" t="str">
        <f>IFERROR(INDEX(Tableau5[Reserve],MATCH(Tableau3[[#This Row],[ID-SIG]],Tableau5[ID],0))&amp;"","")</f>
        <v/>
      </c>
      <c r="AC834" s="21"/>
      <c r="AD834" s="108" t="str">
        <f>INDEX(Tableau7[Repere],MATCH(Tableau3[[#This Row],[ID-API]],Tableau7[ID-API],0))&amp;""</f>
        <v>A5</v>
      </c>
      <c r="AE834" s="108" t="str">
        <f>INDEX(Tableau1[Repere-Rack],MATCH(Tableau3[[#This Row],[ID-RACK]],Tableau1[ID-RACK],0))&amp;""</f>
        <v>R2</v>
      </c>
      <c r="AF834" s="108" t="str">
        <f>INDEX(Tableau1[Repere-Slot],MATCH(Tableau3[[#This Row],[ID-SLOT]],Tableau1[ID-SLOT],0))&amp;""</f>
        <v>S7</v>
      </c>
      <c r="AG834" s="108" t="str">
        <f>INDEX(Tableau2[Repere-Voie],MATCH(Tableau3[[#This Row],[ID-VOIE]],Tableau2[ID-Voie],0))&amp;""</f>
        <v>v8</v>
      </c>
      <c r="AH834" s="72" t="str">
        <f>Tableau3[[#This Row],[ID-API]]&amp; "." &amp;Tableau3[[#This Row],[ID-RACK]]&amp; "." &amp;Tableau3[[#This Row],[ID-SLOT]]</f>
        <v>5.2.7</v>
      </c>
      <c r="AI834" s="72" t="str">
        <f>INDEX(Tableau1[Ref-Carte],MATCH(Tableau3[[#This Row],[ID-RRS]],Tableau1[ID-RRS],0))</f>
        <v>SDI1602</v>
      </c>
      <c r="AJ834" s="72" t="str">
        <f t="array" ref="AJ834">IFERROR(INDEX(Tableau2[TS],MATCH(1,(Tableau2[Ref-Carte]=Tableau3[[#This Row],[Ref-Carte2]])*(Tableau2[ID-Voie]=Tableau3[[#This Row],[ID-VOIE]]),0)),"")</f>
        <v>ET</v>
      </c>
      <c r="AK834" s="72" t="str">
        <f>IFERROR(INDEX(Tableau2[TS],SUMPRODUCT((Tableau2[Ref-Carte]=Tableau3[[#This Row],[Ref-Carte2]])*(Tableau2[ID-Voie]=Tableau3[[#This Row],[ID-VOIE]])*ROW(Tableau2[TS]))-ROW(Tableau2[#Headers])),"")</f>
        <v>ET</v>
      </c>
      <c r="AL834" s="72" t="str">
        <f>Tableau3[[#This Row],[Ref-Carte2]]&amp;"/"&amp;Tableau3[[#This Row],[ID-VOIE]]</f>
        <v>SDI1602/8</v>
      </c>
      <c r="AM834" s="73" t="str">
        <f>INDEX(Tableau2[Borne],MATCH(Tableau3[[#This Row],[ID-CARTEVOIE]],Tableau2[ID-CARTEVOIE],0))&amp;""</f>
        <v>4B</v>
      </c>
      <c r="AN834" s="74" t="str">
        <f>Tableau3[[#This Row],[ID-API]]&amp;Tableau3[[#This Row],[ID-RACK]]&amp;Tableau3[[#This Row],[ID-SLOT]]&amp;Tableau3[[#This Row],[BORNE]]</f>
        <v>5274B</v>
      </c>
      <c r="AO834" s="1"/>
    </row>
    <row r="835" spans="1:41" ht="20.100000000000001" customHeight="1" thickTop="1" thickBot="1">
      <c r="A835" s="68"/>
      <c r="B835" s="69" t="str">
        <f>IFERROR(INDEX(Tableau4[Date],MATCH($A835,Tableau4[EVO],0)),"")</f>
        <v/>
      </c>
      <c r="C835" s="68" t="str">
        <f>IFERROR(INDEX(Tableau4[Designation],MATCH($A835,Tableau4[EVO],0)),"")</f>
        <v/>
      </c>
      <c r="D835" s="68"/>
      <c r="E835" s="70">
        <v>439</v>
      </c>
      <c r="F835" s="71">
        <v>3</v>
      </c>
      <c r="G835" s="101" t="str">
        <f>INDEX(Tableau8[Att1],MATCH(Tableau3[[#This Row],[ID-INS]],Tableau8[ID],0))&amp;""</f>
        <v>B21</v>
      </c>
      <c r="H835" s="101" t="str">
        <f>INDEX(Tableau8[Att2],MATCH(Tableau3[[#This Row],[ID-INS]],Tableau8[ID],0))&amp;""</f>
        <v>PPH51</v>
      </c>
      <c r="I835" s="101" t="str">
        <f>INDEX(Tableau8[Att3],MATCH(Tableau3[[#This Row],[ID-INS]],Tableau8[ID],0))&amp;""</f>
        <v>Alarme CP3 local repos B21</v>
      </c>
      <c r="J835" s="101"/>
      <c r="K835" s="167" t="str">
        <f>INDEX(Tableau8[Nom du modele],MATCH(Tableau3[[#This Row],[ID-INS]],Tableau8[ID],0))&amp;""</f>
        <v>E_Divers</v>
      </c>
      <c r="L835" s="99" t="str">
        <f>INDEX(Tableau5[Att1],MATCH(Tableau3[[#This Row],[ID-SIG]],Tableau5[ID],0))&amp;""</f>
        <v>C1</v>
      </c>
      <c r="M835" s="99" t="str">
        <f>INDEX(Tableau5[Att2],MATCH(Tableau3[[#This Row],[ID-SIG]],Tableau5[ID],0))&amp;""</f>
        <v/>
      </c>
      <c r="N835" s="99" t="str">
        <f>INDEX(Tableau5[Att3],MATCH(Tableau3[[#This Row],[ID-SIG]],Tableau5[ID],0))&amp;""</f>
        <v/>
      </c>
      <c r="O835" s="99"/>
      <c r="P835" s="99" t="str">
        <f>INDEX(Tableau5[Description],MATCH(Tableau3[[#This Row],[ID-SIG]],Tableau5[ID],0))</f>
        <v>Contact</v>
      </c>
      <c r="Q835" s="99"/>
      <c r="R835" s="103" t="str">
        <f>Tableau3[[#This Row],[Description]]</f>
        <v>Contact</v>
      </c>
      <c r="U835" s="87">
        <v>5</v>
      </c>
      <c r="V835" s="87">
        <v>2</v>
      </c>
      <c r="W835" s="87">
        <v>7</v>
      </c>
      <c r="X835" s="87">
        <v>9</v>
      </c>
      <c r="Y835" s="40"/>
      <c r="Z835" s="165" t="str">
        <f>INDEX(Tableau2[TS],MATCH(Tableau3[[#This Row],[ID-CARTEVOIE]],Tableau2[ID-CARTEVOIE],0))</f>
        <v>ET</v>
      </c>
      <c r="AA835" s="53" t="s">
        <v>213</v>
      </c>
      <c r="AB835" s="223" t="str">
        <f>IFERROR(INDEX(Tableau5[Reserve],MATCH(Tableau3[[#This Row],[ID-SIG]],Tableau5[ID],0))&amp;"","")</f>
        <v/>
      </c>
      <c r="AC835" s="21"/>
      <c r="AD835" s="108" t="str">
        <f>INDEX(Tableau7[Repere],MATCH(Tableau3[[#This Row],[ID-API]],Tableau7[ID-API],0))&amp;""</f>
        <v>A5</v>
      </c>
      <c r="AE835" s="108" t="str">
        <f>INDEX(Tableau1[Repere-Rack],MATCH(Tableau3[[#This Row],[ID-RACK]],Tableau1[ID-RACK],0))&amp;""</f>
        <v>R2</v>
      </c>
      <c r="AF835" s="108" t="str">
        <f>INDEX(Tableau1[Repere-Slot],MATCH(Tableau3[[#This Row],[ID-SLOT]],Tableau1[ID-SLOT],0))&amp;""</f>
        <v>S7</v>
      </c>
      <c r="AG835" s="108" t="str">
        <f>INDEX(Tableau2[Repere-Voie],MATCH(Tableau3[[#This Row],[ID-VOIE]],Tableau2[ID-Voie],0))&amp;""</f>
        <v>v9</v>
      </c>
      <c r="AH835" s="72" t="str">
        <f>Tableau3[[#This Row],[ID-API]]&amp; "." &amp;Tableau3[[#This Row],[ID-RACK]]&amp; "." &amp;Tableau3[[#This Row],[ID-SLOT]]</f>
        <v>5.2.7</v>
      </c>
      <c r="AI835" s="72" t="str">
        <f>INDEX(Tableau1[Ref-Carte],MATCH(Tableau3[[#This Row],[ID-RRS]],Tableau1[ID-RRS],0))</f>
        <v>SDI1602</v>
      </c>
      <c r="AJ835" s="72" t="str">
        <f t="array" ref="AJ835">IFERROR(INDEX(Tableau2[TS],MATCH(1,(Tableau2[Ref-Carte]=Tableau3[[#This Row],[Ref-Carte2]])*(Tableau2[ID-Voie]=Tableau3[[#This Row],[ID-VOIE]]),0)),"")</f>
        <v>ET</v>
      </c>
      <c r="AK835" s="72" t="str">
        <f>IFERROR(INDEX(Tableau2[TS],SUMPRODUCT((Tableau2[Ref-Carte]=Tableau3[[#This Row],[Ref-Carte2]])*(Tableau2[ID-Voie]=Tableau3[[#This Row],[ID-VOIE]])*ROW(Tableau2[TS]))-ROW(Tableau2[#Headers])),"")</f>
        <v>ET</v>
      </c>
      <c r="AL835" s="72" t="str">
        <f>Tableau3[[#This Row],[Ref-Carte2]]&amp;"/"&amp;Tableau3[[#This Row],[ID-VOIE]]</f>
        <v>SDI1602/9</v>
      </c>
      <c r="AM835" s="73" t="str">
        <f>INDEX(Tableau2[Borne],MATCH(Tableau3[[#This Row],[ID-CARTEVOIE]],Tableau2[ID-CARTEVOIE],0))&amp;""</f>
        <v>4A</v>
      </c>
      <c r="AN835" s="74" t="str">
        <f>Tableau3[[#This Row],[ID-API]]&amp;Tableau3[[#This Row],[ID-RACK]]&amp;Tableau3[[#This Row],[ID-SLOT]]&amp;Tableau3[[#This Row],[BORNE]]</f>
        <v>5274A</v>
      </c>
      <c r="AO835" s="1"/>
    </row>
    <row r="836" spans="1:41" ht="20.100000000000001" customHeight="1" thickTop="1" thickBot="1">
      <c r="A836" s="68"/>
      <c r="B836" s="69" t="str">
        <f>IFERROR(INDEX(Tableau4[Date],MATCH($A836,Tableau4[EVO],0)),"")</f>
        <v/>
      </c>
      <c r="C836" s="68" t="str">
        <f>IFERROR(INDEX(Tableau4[Designation],MATCH($A836,Tableau4[EVO],0)),"")</f>
        <v/>
      </c>
      <c r="D836" s="68"/>
      <c r="E836" s="70">
        <v>440</v>
      </c>
      <c r="F836" s="71">
        <v>3</v>
      </c>
      <c r="G836" s="101" t="str">
        <f>INDEX(Tableau8[Att1],MATCH(Tableau3[[#This Row],[ID-INS]],Tableau8[ID],0))&amp;""</f>
        <v>B21</v>
      </c>
      <c r="H836" s="101" t="str">
        <f>INDEX(Tableau8[Att2],MATCH(Tableau3[[#This Row],[ID-INS]],Tableau8[ID],0))&amp;""</f>
        <v>PPH52</v>
      </c>
      <c r="I836" s="101" t="str">
        <f>INDEX(Tableau8[Att3],MATCH(Tableau3[[#This Row],[ID-INS]],Tableau8[ID],0))&amp;""</f>
        <v>Fraude CP3 local repos B21</v>
      </c>
      <c r="J836" s="101"/>
      <c r="K836" s="167" t="str">
        <f>INDEX(Tableau8[Nom du modele],MATCH(Tableau3[[#This Row],[ID-INS]],Tableau8[ID],0))&amp;""</f>
        <v>E_Divers</v>
      </c>
      <c r="L836" s="99" t="str">
        <f>INDEX(Tableau5[Att1],MATCH(Tableau3[[#This Row],[ID-SIG]],Tableau5[ID],0))&amp;""</f>
        <v>C1</v>
      </c>
      <c r="M836" s="99" t="str">
        <f>INDEX(Tableau5[Att2],MATCH(Tableau3[[#This Row],[ID-SIG]],Tableau5[ID],0))&amp;""</f>
        <v/>
      </c>
      <c r="N836" s="99" t="str">
        <f>INDEX(Tableau5[Att3],MATCH(Tableau3[[#This Row],[ID-SIG]],Tableau5[ID],0))&amp;""</f>
        <v/>
      </c>
      <c r="O836" s="99"/>
      <c r="P836" s="99" t="str">
        <f>INDEX(Tableau5[Description],MATCH(Tableau3[[#This Row],[ID-SIG]],Tableau5[ID],0))</f>
        <v>Contact</v>
      </c>
      <c r="Q836" s="99"/>
      <c r="R836" s="103" t="str">
        <f>Tableau3[[#This Row],[Description]]</f>
        <v>Contact</v>
      </c>
      <c r="U836" s="87">
        <v>5</v>
      </c>
      <c r="V836" s="87">
        <v>2</v>
      </c>
      <c r="W836" s="87">
        <v>7</v>
      </c>
      <c r="X836" s="87">
        <v>10</v>
      </c>
      <c r="Y836" s="40"/>
      <c r="Z836" s="165" t="str">
        <f>INDEX(Tableau2[TS],MATCH(Tableau3[[#This Row],[ID-CARTEVOIE]],Tableau2[ID-CARTEVOIE],0))</f>
        <v>ET</v>
      </c>
      <c r="AA836" s="53" t="s">
        <v>213</v>
      </c>
      <c r="AB836" s="223" t="str">
        <f>IFERROR(INDEX(Tableau5[Reserve],MATCH(Tableau3[[#This Row],[ID-SIG]],Tableau5[ID],0))&amp;"","")</f>
        <v/>
      </c>
      <c r="AC836" s="21"/>
      <c r="AD836" s="108" t="str">
        <f>INDEX(Tableau7[Repere],MATCH(Tableau3[[#This Row],[ID-API]],Tableau7[ID-API],0))&amp;""</f>
        <v>A5</v>
      </c>
      <c r="AE836" s="108" t="str">
        <f>INDEX(Tableau1[Repere-Rack],MATCH(Tableau3[[#This Row],[ID-RACK]],Tableau1[ID-RACK],0))&amp;""</f>
        <v>R2</v>
      </c>
      <c r="AF836" s="108" t="str">
        <f>INDEX(Tableau1[Repere-Slot],MATCH(Tableau3[[#This Row],[ID-SLOT]],Tableau1[ID-SLOT],0))&amp;""</f>
        <v>S7</v>
      </c>
      <c r="AG836" s="108" t="str">
        <f>INDEX(Tableau2[Repere-Voie],MATCH(Tableau3[[#This Row],[ID-VOIE]],Tableau2[ID-Voie],0))&amp;""</f>
        <v>v10</v>
      </c>
      <c r="AH836" s="72" t="str">
        <f>Tableau3[[#This Row],[ID-API]]&amp; "." &amp;Tableau3[[#This Row],[ID-RACK]]&amp; "." &amp;Tableau3[[#This Row],[ID-SLOT]]</f>
        <v>5.2.7</v>
      </c>
      <c r="AI836" s="72" t="str">
        <f>INDEX(Tableau1[Ref-Carte],MATCH(Tableau3[[#This Row],[ID-RRS]],Tableau1[ID-RRS],0))</f>
        <v>SDI1602</v>
      </c>
      <c r="AJ836" s="72" t="str">
        <f t="array" ref="AJ836">IFERROR(INDEX(Tableau2[TS],MATCH(1,(Tableau2[Ref-Carte]=Tableau3[[#This Row],[Ref-Carte2]])*(Tableau2[ID-Voie]=Tableau3[[#This Row],[ID-VOIE]]),0)),"")</f>
        <v>ET</v>
      </c>
      <c r="AK836" s="72" t="str">
        <f>IFERROR(INDEX(Tableau2[TS],SUMPRODUCT((Tableau2[Ref-Carte]=Tableau3[[#This Row],[Ref-Carte2]])*(Tableau2[ID-Voie]=Tableau3[[#This Row],[ID-VOIE]])*ROW(Tableau2[TS]))-ROW(Tableau2[#Headers])),"")</f>
        <v>ET</v>
      </c>
      <c r="AL836" s="72" t="str">
        <f>Tableau3[[#This Row],[Ref-Carte2]]&amp;"/"&amp;Tableau3[[#This Row],[ID-VOIE]]</f>
        <v>SDI1602/10</v>
      </c>
      <c r="AM836" s="73" t="str">
        <f>INDEX(Tableau2[Borne],MATCH(Tableau3[[#This Row],[ID-CARTEVOIE]],Tableau2[ID-CARTEVOIE],0))&amp;""</f>
        <v>5B</v>
      </c>
      <c r="AN836" s="74" t="str">
        <f>Tableau3[[#This Row],[ID-API]]&amp;Tableau3[[#This Row],[ID-RACK]]&amp;Tableau3[[#This Row],[ID-SLOT]]&amp;Tableau3[[#This Row],[BORNE]]</f>
        <v>5275B</v>
      </c>
      <c r="AO836" s="1"/>
    </row>
    <row r="837" spans="1:41" ht="20.100000000000001" customHeight="1" thickTop="1" thickBot="1">
      <c r="A837" s="68"/>
      <c r="B837" s="69" t="str">
        <f>IFERROR(INDEX(Tableau4[Date],MATCH($A837,Tableau4[EVO],0)),"")</f>
        <v/>
      </c>
      <c r="C837" s="68" t="str">
        <f>IFERROR(INDEX(Tableau4[Designation],MATCH($A837,Tableau4[EVO],0)),"")</f>
        <v/>
      </c>
      <c r="D837" s="68"/>
      <c r="E837" s="70">
        <v>441</v>
      </c>
      <c r="F837" s="71">
        <v>3</v>
      </c>
      <c r="G837" s="101" t="str">
        <f>INDEX(Tableau8[Att1],MATCH(Tableau3[[#This Row],[ID-INS]],Tableau8[ID],0))&amp;""</f>
        <v>B21</v>
      </c>
      <c r="H837" s="101" t="str">
        <f>INDEX(Tableau8[Att2],MATCH(Tableau3[[#This Row],[ID-INS]],Tableau8[ID],0))&amp;""</f>
        <v>PPH53</v>
      </c>
      <c r="I837" s="101" t="str">
        <f>INDEX(Tableau8[Att3],MATCH(Tableau3[[#This Row],[ID-INS]],Tableau8[ID],0))&amp;""</f>
        <v>Alarme CP7 local PA B21</v>
      </c>
      <c r="J837" s="101"/>
      <c r="K837" s="167" t="str">
        <f>INDEX(Tableau8[Nom du modele],MATCH(Tableau3[[#This Row],[ID-INS]],Tableau8[ID],0))&amp;""</f>
        <v>E_Divers</v>
      </c>
      <c r="L837" s="99" t="str">
        <f>INDEX(Tableau5[Att1],MATCH(Tableau3[[#This Row],[ID-SIG]],Tableau5[ID],0))&amp;""</f>
        <v>C1</v>
      </c>
      <c r="M837" s="99" t="str">
        <f>INDEX(Tableau5[Att2],MATCH(Tableau3[[#This Row],[ID-SIG]],Tableau5[ID],0))&amp;""</f>
        <v/>
      </c>
      <c r="N837" s="99" t="str">
        <f>INDEX(Tableau5[Att3],MATCH(Tableau3[[#This Row],[ID-SIG]],Tableau5[ID],0))&amp;""</f>
        <v/>
      </c>
      <c r="O837" s="99"/>
      <c r="P837" s="99" t="str">
        <f>INDEX(Tableau5[Description],MATCH(Tableau3[[#This Row],[ID-SIG]],Tableau5[ID],0))</f>
        <v>Contact</v>
      </c>
      <c r="Q837" s="99"/>
      <c r="R837" s="103" t="str">
        <f>Tableau3[[#This Row],[Description]]</f>
        <v>Contact</v>
      </c>
      <c r="U837" s="87">
        <v>5</v>
      </c>
      <c r="V837" s="87">
        <v>2</v>
      </c>
      <c r="W837" s="87">
        <v>7</v>
      </c>
      <c r="X837" s="87">
        <v>11</v>
      </c>
      <c r="Y837" s="40"/>
      <c r="Z837" s="165" t="str">
        <f>INDEX(Tableau2[TS],MATCH(Tableau3[[#This Row],[ID-CARTEVOIE]],Tableau2[ID-CARTEVOIE],0))</f>
        <v>ET</v>
      </c>
      <c r="AA837" s="53" t="s">
        <v>213</v>
      </c>
      <c r="AB837" s="223" t="str">
        <f>IFERROR(INDEX(Tableau5[Reserve],MATCH(Tableau3[[#This Row],[ID-SIG]],Tableau5[ID],0))&amp;"","")</f>
        <v/>
      </c>
      <c r="AC837" s="21"/>
      <c r="AD837" s="108" t="str">
        <f>INDEX(Tableau7[Repere],MATCH(Tableau3[[#This Row],[ID-API]],Tableau7[ID-API],0))&amp;""</f>
        <v>A5</v>
      </c>
      <c r="AE837" s="108" t="str">
        <f>INDEX(Tableau1[Repere-Rack],MATCH(Tableau3[[#This Row],[ID-RACK]],Tableau1[ID-RACK],0))&amp;""</f>
        <v>R2</v>
      </c>
      <c r="AF837" s="108" t="str">
        <f>INDEX(Tableau1[Repere-Slot],MATCH(Tableau3[[#This Row],[ID-SLOT]],Tableau1[ID-SLOT],0))&amp;""</f>
        <v>S7</v>
      </c>
      <c r="AG837" s="108" t="str">
        <f>INDEX(Tableau2[Repere-Voie],MATCH(Tableau3[[#This Row],[ID-VOIE]],Tableau2[ID-Voie],0))&amp;""</f>
        <v>v11</v>
      </c>
      <c r="AH837" s="72" t="str">
        <f>Tableau3[[#This Row],[ID-API]]&amp; "." &amp;Tableau3[[#This Row],[ID-RACK]]&amp; "." &amp;Tableau3[[#This Row],[ID-SLOT]]</f>
        <v>5.2.7</v>
      </c>
      <c r="AI837" s="72" t="str">
        <f>INDEX(Tableau1[Ref-Carte],MATCH(Tableau3[[#This Row],[ID-RRS]],Tableau1[ID-RRS],0))</f>
        <v>SDI1602</v>
      </c>
      <c r="AJ837" s="72" t="str">
        <f t="array" ref="AJ837">IFERROR(INDEX(Tableau2[TS],MATCH(1,(Tableau2[Ref-Carte]=Tableau3[[#This Row],[Ref-Carte2]])*(Tableau2[ID-Voie]=Tableau3[[#This Row],[ID-VOIE]]),0)),"")</f>
        <v>ET</v>
      </c>
      <c r="AK837" s="72" t="str">
        <f>IFERROR(INDEX(Tableau2[TS],SUMPRODUCT((Tableau2[Ref-Carte]=Tableau3[[#This Row],[Ref-Carte2]])*(Tableau2[ID-Voie]=Tableau3[[#This Row],[ID-VOIE]])*ROW(Tableau2[TS]))-ROW(Tableau2[#Headers])),"")</f>
        <v>ET</v>
      </c>
      <c r="AL837" s="72" t="str">
        <f>Tableau3[[#This Row],[Ref-Carte2]]&amp;"/"&amp;Tableau3[[#This Row],[ID-VOIE]]</f>
        <v>SDI1602/11</v>
      </c>
      <c r="AM837" s="73" t="str">
        <f>INDEX(Tableau2[Borne],MATCH(Tableau3[[#This Row],[ID-CARTEVOIE]],Tableau2[ID-CARTEVOIE],0))&amp;""</f>
        <v>5A</v>
      </c>
      <c r="AN837" s="74" t="str">
        <f>Tableau3[[#This Row],[ID-API]]&amp;Tableau3[[#This Row],[ID-RACK]]&amp;Tableau3[[#This Row],[ID-SLOT]]&amp;Tableau3[[#This Row],[BORNE]]</f>
        <v>5275A</v>
      </c>
      <c r="AO837" s="1"/>
    </row>
    <row r="838" spans="1:41" ht="20.100000000000001" customHeight="1" thickTop="1" thickBot="1">
      <c r="A838" s="68"/>
      <c r="B838" s="69" t="str">
        <f>IFERROR(INDEX(Tableau4[Date],MATCH($A838,Tableau4[EVO],0)),"")</f>
        <v/>
      </c>
      <c r="C838" s="68" t="str">
        <f>IFERROR(INDEX(Tableau4[Designation],MATCH($A838,Tableau4[EVO],0)),"")</f>
        <v/>
      </c>
      <c r="D838" s="68"/>
      <c r="E838" s="70">
        <v>442</v>
      </c>
      <c r="F838" s="71">
        <v>3</v>
      </c>
      <c r="G838" s="101" t="str">
        <f>INDEX(Tableau8[Att1],MATCH(Tableau3[[#This Row],[ID-INS]],Tableau8[ID],0))&amp;""</f>
        <v>B21</v>
      </c>
      <c r="H838" s="101" t="str">
        <f>INDEX(Tableau8[Att2],MATCH(Tableau3[[#This Row],[ID-INS]],Tableau8[ID],0))&amp;""</f>
        <v>PPH54</v>
      </c>
      <c r="I838" s="101" t="str">
        <f>INDEX(Tableau8[Att3],MATCH(Tableau3[[#This Row],[ID-INS]],Tableau8[ID],0))&amp;""</f>
        <v>Fraude CP7 local PA B21</v>
      </c>
      <c r="J838" s="101"/>
      <c r="K838" s="167" t="str">
        <f>INDEX(Tableau8[Nom du modele],MATCH(Tableau3[[#This Row],[ID-INS]],Tableau8[ID],0))&amp;""</f>
        <v>E_Divers</v>
      </c>
      <c r="L838" s="99" t="str">
        <f>INDEX(Tableau5[Att1],MATCH(Tableau3[[#This Row],[ID-SIG]],Tableau5[ID],0))&amp;""</f>
        <v>C1</v>
      </c>
      <c r="M838" s="99" t="str">
        <f>INDEX(Tableau5[Att2],MATCH(Tableau3[[#This Row],[ID-SIG]],Tableau5[ID],0))&amp;""</f>
        <v/>
      </c>
      <c r="N838" s="99" t="str">
        <f>INDEX(Tableau5[Att3],MATCH(Tableau3[[#This Row],[ID-SIG]],Tableau5[ID],0))&amp;""</f>
        <v/>
      </c>
      <c r="O838" s="99"/>
      <c r="P838" s="99" t="str">
        <f>INDEX(Tableau5[Description],MATCH(Tableau3[[#This Row],[ID-SIG]],Tableau5[ID],0))</f>
        <v>Contact</v>
      </c>
      <c r="Q838" s="99"/>
      <c r="R838" s="103" t="str">
        <f>Tableau3[[#This Row],[Description]]</f>
        <v>Contact</v>
      </c>
      <c r="U838" s="87">
        <v>5</v>
      </c>
      <c r="V838" s="87">
        <v>2</v>
      </c>
      <c r="W838" s="87">
        <v>7</v>
      </c>
      <c r="X838" s="87">
        <v>12</v>
      </c>
      <c r="Y838" s="40"/>
      <c r="Z838" s="165" t="str">
        <f>INDEX(Tableau2[TS],MATCH(Tableau3[[#This Row],[ID-CARTEVOIE]],Tableau2[ID-CARTEVOIE],0))</f>
        <v>ET</v>
      </c>
      <c r="AA838" s="53" t="s">
        <v>213</v>
      </c>
      <c r="AB838" s="223" t="str">
        <f>IFERROR(INDEX(Tableau5[Reserve],MATCH(Tableau3[[#This Row],[ID-SIG]],Tableau5[ID],0))&amp;"","")</f>
        <v/>
      </c>
      <c r="AC838" s="21"/>
      <c r="AD838" s="108" t="str">
        <f>INDEX(Tableau7[Repere],MATCH(Tableau3[[#This Row],[ID-API]],Tableau7[ID-API],0))&amp;""</f>
        <v>A5</v>
      </c>
      <c r="AE838" s="108" t="str">
        <f>INDEX(Tableau1[Repere-Rack],MATCH(Tableau3[[#This Row],[ID-RACK]],Tableau1[ID-RACK],0))&amp;""</f>
        <v>R2</v>
      </c>
      <c r="AF838" s="108" t="str">
        <f>INDEX(Tableau1[Repere-Slot],MATCH(Tableau3[[#This Row],[ID-SLOT]],Tableau1[ID-SLOT],0))&amp;""</f>
        <v>S7</v>
      </c>
      <c r="AG838" s="108" t="str">
        <f>INDEX(Tableau2[Repere-Voie],MATCH(Tableau3[[#This Row],[ID-VOIE]],Tableau2[ID-Voie],0))&amp;""</f>
        <v>v12</v>
      </c>
      <c r="AH838" s="72" t="str">
        <f>Tableau3[[#This Row],[ID-API]]&amp; "." &amp;Tableau3[[#This Row],[ID-RACK]]&amp; "." &amp;Tableau3[[#This Row],[ID-SLOT]]</f>
        <v>5.2.7</v>
      </c>
      <c r="AI838" s="72" t="str">
        <f>INDEX(Tableau1[Ref-Carte],MATCH(Tableau3[[#This Row],[ID-RRS]],Tableau1[ID-RRS],0))</f>
        <v>SDI1602</v>
      </c>
      <c r="AJ838" s="72" t="str">
        <f t="array" ref="AJ838">IFERROR(INDEX(Tableau2[TS],MATCH(1,(Tableau2[Ref-Carte]=Tableau3[[#This Row],[Ref-Carte2]])*(Tableau2[ID-Voie]=Tableau3[[#This Row],[ID-VOIE]]),0)),"")</f>
        <v>ET</v>
      </c>
      <c r="AK838" s="72" t="str">
        <f>IFERROR(INDEX(Tableau2[TS],SUMPRODUCT((Tableau2[Ref-Carte]=Tableau3[[#This Row],[Ref-Carte2]])*(Tableau2[ID-Voie]=Tableau3[[#This Row],[ID-VOIE]])*ROW(Tableau2[TS]))-ROW(Tableau2[#Headers])),"")</f>
        <v>ET</v>
      </c>
      <c r="AL838" s="72" t="str">
        <f>Tableau3[[#This Row],[Ref-Carte2]]&amp;"/"&amp;Tableau3[[#This Row],[ID-VOIE]]</f>
        <v>SDI1602/12</v>
      </c>
      <c r="AM838" s="73" t="str">
        <f>INDEX(Tableau2[Borne],MATCH(Tableau3[[#This Row],[ID-CARTEVOIE]],Tableau2[ID-CARTEVOIE],0))&amp;""</f>
        <v>6B</v>
      </c>
      <c r="AN838" s="74" t="str">
        <f>Tableau3[[#This Row],[ID-API]]&amp;Tableau3[[#This Row],[ID-RACK]]&amp;Tableau3[[#This Row],[ID-SLOT]]&amp;Tableau3[[#This Row],[BORNE]]</f>
        <v>5276B</v>
      </c>
      <c r="AO838" s="1"/>
    </row>
    <row r="839" spans="1:41" ht="20.100000000000001" customHeight="1" thickTop="1" thickBot="1">
      <c r="A839" s="68"/>
      <c r="B839" s="69" t="str">
        <f>IFERROR(INDEX(Tableau4[Date],MATCH($A839,Tableau4[EVO],0)),"")</f>
        <v/>
      </c>
      <c r="C839" s="68" t="str">
        <f>IFERROR(INDEX(Tableau4[Designation],MATCH($A839,Tableau4[EVO],0)),"")</f>
        <v/>
      </c>
      <c r="D839" s="68"/>
      <c r="E839" s="70">
        <v>443</v>
      </c>
      <c r="F839" s="71">
        <v>3</v>
      </c>
      <c r="G839" s="101" t="str">
        <f>INDEX(Tableau8[Att1],MATCH(Tableau3[[#This Row],[ID-INS]],Tableau8[ID],0))&amp;""</f>
        <v>B21</v>
      </c>
      <c r="H839" s="101" t="str">
        <f>INDEX(Tableau8[Att2],MATCH(Tableau3[[#This Row],[ID-INS]],Tableau8[ID],0))&amp;""</f>
        <v>PPH55</v>
      </c>
      <c r="I839" s="101" t="str">
        <f>INDEX(Tableau8[Att3],MATCH(Tableau3[[#This Row],[ID-INS]],Tableau8[ID],0))&amp;""</f>
        <v>Alarme CP12 local CFO/CFI B22</v>
      </c>
      <c r="J839" s="101"/>
      <c r="K839" s="167" t="str">
        <f>INDEX(Tableau8[Nom du modele],MATCH(Tableau3[[#This Row],[ID-INS]],Tableau8[ID],0))&amp;""</f>
        <v>E_Divers</v>
      </c>
      <c r="L839" s="99" t="str">
        <f>INDEX(Tableau5[Att1],MATCH(Tableau3[[#This Row],[ID-SIG]],Tableau5[ID],0))&amp;""</f>
        <v>C1</v>
      </c>
      <c r="M839" s="99" t="str">
        <f>INDEX(Tableau5[Att2],MATCH(Tableau3[[#This Row],[ID-SIG]],Tableau5[ID],0))&amp;""</f>
        <v/>
      </c>
      <c r="N839" s="99" t="str">
        <f>INDEX(Tableau5[Att3],MATCH(Tableau3[[#This Row],[ID-SIG]],Tableau5[ID],0))&amp;""</f>
        <v/>
      </c>
      <c r="O839" s="99"/>
      <c r="P839" s="99" t="str">
        <f>INDEX(Tableau5[Description],MATCH(Tableau3[[#This Row],[ID-SIG]],Tableau5[ID],0))</f>
        <v>Contact</v>
      </c>
      <c r="Q839" s="99"/>
      <c r="R839" s="103" t="str">
        <f>Tableau3[[#This Row],[Description]]</f>
        <v>Contact</v>
      </c>
      <c r="U839" s="87">
        <v>5</v>
      </c>
      <c r="V839" s="87">
        <v>2</v>
      </c>
      <c r="W839" s="87">
        <v>7</v>
      </c>
      <c r="X839" s="87">
        <v>13</v>
      </c>
      <c r="Y839" s="40"/>
      <c r="Z839" s="165" t="str">
        <f>INDEX(Tableau2[TS],MATCH(Tableau3[[#This Row],[ID-CARTEVOIE]],Tableau2[ID-CARTEVOIE],0))</f>
        <v>ET</v>
      </c>
      <c r="AA839" s="53" t="s">
        <v>213</v>
      </c>
      <c r="AB839" s="223" t="str">
        <f>IFERROR(INDEX(Tableau5[Reserve],MATCH(Tableau3[[#This Row],[ID-SIG]],Tableau5[ID],0))&amp;"","")</f>
        <v/>
      </c>
      <c r="AC839" s="21"/>
      <c r="AD839" s="108" t="str">
        <f>INDEX(Tableau7[Repere],MATCH(Tableau3[[#This Row],[ID-API]],Tableau7[ID-API],0))&amp;""</f>
        <v>A5</v>
      </c>
      <c r="AE839" s="108" t="str">
        <f>INDEX(Tableau1[Repere-Rack],MATCH(Tableau3[[#This Row],[ID-RACK]],Tableau1[ID-RACK],0))&amp;""</f>
        <v>R2</v>
      </c>
      <c r="AF839" s="108" t="str">
        <f>INDEX(Tableau1[Repere-Slot],MATCH(Tableau3[[#This Row],[ID-SLOT]],Tableau1[ID-SLOT],0))&amp;""</f>
        <v>S7</v>
      </c>
      <c r="AG839" s="108" t="str">
        <f>INDEX(Tableau2[Repere-Voie],MATCH(Tableau3[[#This Row],[ID-VOIE]],Tableau2[ID-Voie],0))&amp;""</f>
        <v>v13</v>
      </c>
      <c r="AH839" s="72" t="str">
        <f>Tableau3[[#This Row],[ID-API]]&amp; "." &amp;Tableau3[[#This Row],[ID-RACK]]&amp; "." &amp;Tableau3[[#This Row],[ID-SLOT]]</f>
        <v>5.2.7</v>
      </c>
      <c r="AI839" s="72" t="str">
        <f>INDEX(Tableau1[Ref-Carte],MATCH(Tableau3[[#This Row],[ID-RRS]],Tableau1[ID-RRS],0))</f>
        <v>SDI1602</v>
      </c>
      <c r="AJ839" s="72" t="str">
        <f t="array" ref="AJ839">IFERROR(INDEX(Tableau2[TS],MATCH(1,(Tableau2[Ref-Carte]=Tableau3[[#This Row],[Ref-Carte2]])*(Tableau2[ID-Voie]=Tableau3[[#This Row],[ID-VOIE]]),0)),"")</f>
        <v>ET</v>
      </c>
      <c r="AK839" s="72" t="str">
        <f>IFERROR(INDEX(Tableau2[TS],SUMPRODUCT((Tableau2[Ref-Carte]=Tableau3[[#This Row],[Ref-Carte2]])*(Tableau2[ID-Voie]=Tableau3[[#This Row],[ID-VOIE]])*ROW(Tableau2[TS]))-ROW(Tableau2[#Headers])),"")</f>
        <v>ET</v>
      </c>
      <c r="AL839" s="72" t="str">
        <f>Tableau3[[#This Row],[Ref-Carte2]]&amp;"/"&amp;Tableau3[[#This Row],[ID-VOIE]]</f>
        <v>SDI1602/13</v>
      </c>
      <c r="AM839" s="73" t="str">
        <f>INDEX(Tableau2[Borne],MATCH(Tableau3[[#This Row],[ID-CARTEVOIE]],Tableau2[ID-CARTEVOIE],0))&amp;""</f>
        <v>6A</v>
      </c>
      <c r="AN839" s="74" t="str">
        <f>Tableau3[[#This Row],[ID-API]]&amp;Tableau3[[#This Row],[ID-RACK]]&amp;Tableau3[[#This Row],[ID-SLOT]]&amp;Tableau3[[#This Row],[BORNE]]</f>
        <v>5276A</v>
      </c>
      <c r="AO839" s="1"/>
    </row>
    <row r="840" spans="1:41" ht="20.100000000000001" customHeight="1" thickTop="1" thickBot="1">
      <c r="A840" s="68"/>
      <c r="B840" s="69" t="str">
        <f>IFERROR(INDEX(Tableau4[Date],MATCH($A840,Tableau4[EVO],0)),"")</f>
        <v/>
      </c>
      <c r="C840" s="68" t="str">
        <f>IFERROR(INDEX(Tableau4[Designation],MATCH($A840,Tableau4[EVO],0)),"")</f>
        <v/>
      </c>
      <c r="D840" s="68"/>
      <c r="E840" s="70">
        <v>444</v>
      </c>
      <c r="F840" s="71">
        <v>3</v>
      </c>
      <c r="G840" s="101" t="str">
        <f>INDEX(Tableau8[Att1],MATCH(Tableau3[[#This Row],[ID-INS]],Tableau8[ID],0))&amp;""</f>
        <v>B21</v>
      </c>
      <c r="H840" s="101" t="str">
        <f>INDEX(Tableau8[Att2],MATCH(Tableau3[[#This Row],[ID-INS]],Tableau8[ID],0))&amp;""</f>
        <v>PPH56</v>
      </c>
      <c r="I840" s="101" t="str">
        <f>INDEX(Tableau8[Att3],MATCH(Tableau3[[#This Row],[ID-INS]],Tableau8[ID],0))&amp;""</f>
        <v>Fraude CP12 local CFO/CFI B22</v>
      </c>
      <c r="J840" s="101"/>
      <c r="K840" s="167" t="str">
        <f>INDEX(Tableau8[Nom du modele],MATCH(Tableau3[[#This Row],[ID-INS]],Tableau8[ID],0))&amp;""</f>
        <v>E_Divers</v>
      </c>
      <c r="L840" s="99" t="str">
        <f>INDEX(Tableau5[Att1],MATCH(Tableau3[[#This Row],[ID-SIG]],Tableau5[ID],0))&amp;""</f>
        <v>C1</v>
      </c>
      <c r="M840" s="99" t="str">
        <f>INDEX(Tableau5[Att2],MATCH(Tableau3[[#This Row],[ID-SIG]],Tableau5[ID],0))&amp;""</f>
        <v/>
      </c>
      <c r="N840" s="99" t="str">
        <f>INDEX(Tableau5[Att3],MATCH(Tableau3[[#This Row],[ID-SIG]],Tableau5[ID],0))&amp;""</f>
        <v/>
      </c>
      <c r="O840" s="99"/>
      <c r="P840" s="99" t="str">
        <f>INDEX(Tableau5[Description],MATCH(Tableau3[[#This Row],[ID-SIG]],Tableau5[ID],0))</f>
        <v>Contact</v>
      </c>
      <c r="Q840" s="99"/>
      <c r="R840" s="103" t="str">
        <f>Tableau3[[#This Row],[Description]]</f>
        <v>Contact</v>
      </c>
      <c r="U840" s="87">
        <v>5</v>
      </c>
      <c r="V840" s="87">
        <v>2</v>
      </c>
      <c r="W840" s="87">
        <v>7</v>
      </c>
      <c r="X840" s="87">
        <v>14</v>
      </c>
      <c r="Y840" s="40"/>
      <c r="Z840" s="165" t="str">
        <f>INDEX(Tableau2[TS],MATCH(Tableau3[[#This Row],[ID-CARTEVOIE]],Tableau2[ID-CARTEVOIE],0))</f>
        <v>ET</v>
      </c>
      <c r="AA840" s="53" t="s">
        <v>213</v>
      </c>
      <c r="AB840" s="223" t="str">
        <f>IFERROR(INDEX(Tableau5[Reserve],MATCH(Tableau3[[#This Row],[ID-SIG]],Tableau5[ID],0))&amp;"","")</f>
        <v/>
      </c>
      <c r="AC840" s="21"/>
      <c r="AD840" s="108" t="str">
        <f>INDEX(Tableau7[Repere],MATCH(Tableau3[[#This Row],[ID-API]],Tableau7[ID-API],0))&amp;""</f>
        <v>A5</v>
      </c>
      <c r="AE840" s="108" t="str">
        <f>INDEX(Tableau1[Repere-Rack],MATCH(Tableau3[[#This Row],[ID-RACK]],Tableau1[ID-RACK],0))&amp;""</f>
        <v>R2</v>
      </c>
      <c r="AF840" s="108" t="str">
        <f>INDEX(Tableau1[Repere-Slot],MATCH(Tableau3[[#This Row],[ID-SLOT]],Tableau1[ID-SLOT],0))&amp;""</f>
        <v>S7</v>
      </c>
      <c r="AG840" s="108" t="str">
        <f>INDEX(Tableau2[Repere-Voie],MATCH(Tableau3[[#This Row],[ID-VOIE]],Tableau2[ID-Voie],0))&amp;""</f>
        <v>v14</v>
      </c>
      <c r="AH840" s="72" t="str">
        <f>Tableau3[[#This Row],[ID-API]]&amp; "." &amp;Tableau3[[#This Row],[ID-RACK]]&amp; "." &amp;Tableau3[[#This Row],[ID-SLOT]]</f>
        <v>5.2.7</v>
      </c>
      <c r="AI840" s="72" t="str">
        <f>INDEX(Tableau1[Ref-Carte],MATCH(Tableau3[[#This Row],[ID-RRS]],Tableau1[ID-RRS],0))</f>
        <v>SDI1602</v>
      </c>
      <c r="AJ840" s="72" t="str">
        <f t="array" ref="AJ840">IFERROR(INDEX(Tableau2[TS],MATCH(1,(Tableau2[Ref-Carte]=Tableau3[[#This Row],[Ref-Carte2]])*(Tableau2[ID-Voie]=Tableau3[[#This Row],[ID-VOIE]]),0)),"")</f>
        <v>ET</v>
      </c>
      <c r="AK840" s="72" t="str">
        <f>IFERROR(INDEX(Tableau2[TS],SUMPRODUCT((Tableau2[Ref-Carte]=Tableau3[[#This Row],[Ref-Carte2]])*(Tableau2[ID-Voie]=Tableau3[[#This Row],[ID-VOIE]])*ROW(Tableau2[TS]))-ROW(Tableau2[#Headers])),"")</f>
        <v>ET</v>
      </c>
      <c r="AL840" s="72" t="str">
        <f>Tableau3[[#This Row],[Ref-Carte2]]&amp;"/"&amp;Tableau3[[#This Row],[ID-VOIE]]</f>
        <v>SDI1602/14</v>
      </c>
      <c r="AM840" s="73" t="str">
        <f>INDEX(Tableau2[Borne],MATCH(Tableau3[[#This Row],[ID-CARTEVOIE]],Tableau2[ID-CARTEVOIE],0))&amp;""</f>
        <v>7B</v>
      </c>
      <c r="AN840" s="74" t="str">
        <f>Tableau3[[#This Row],[ID-API]]&amp;Tableau3[[#This Row],[ID-RACK]]&amp;Tableau3[[#This Row],[ID-SLOT]]&amp;Tableau3[[#This Row],[BORNE]]</f>
        <v>5277B</v>
      </c>
      <c r="AO840" s="1"/>
    </row>
    <row r="841" spans="1:41" ht="20.100000000000001" customHeight="1" thickTop="1" thickBot="1">
      <c r="A841" s="68"/>
      <c r="B841" s="69" t="str">
        <f>IFERROR(INDEX(Tableau4[Date],MATCH($A841,Tableau4[EVO],0)),"")</f>
        <v/>
      </c>
      <c r="C841" s="68" t="str">
        <f>IFERROR(INDEX(Tableau4[Designation],MATCH($A841,Tableau4[EVO],0)),"")</f>
        <v/>
      </c>
      <c r="D841" s="68"/>
      <c r="E841" s="70">
        <v>445</v>
      </c>
      <c r="F841" s="71">
        <v>3</v>
      </c>
      <c r="G841" s="101" t="str">
        <f>INDEX(Tableau8[Att1],MATCH(Tableau3[[#This Row],[ID-INS]],Tableau8[ID],0))&amp;""</f>
        <v>B21</v>
      </c>
      <c r="H841" s="101" t="str">
        <f>INDEX(Tableau8[Att2],MATCH(Tableau3[[#This Row],[ID-INS]],Tableau8[ID],0))&amp;""</f>
        <v>PPH57</v>
      </c>
      <c r="I841" s="101" t="str">
        <f>INDEX(Tableau8[Att3],MATCH(Tableau3[[#This Row],[ID-INS]],Tableau8[ID],0))&amp;""</f>
        <v>Alarme SOS1 appel d'urgence hotesse accueil</v>
      </c>
      <c r="J841" s="101"/>
      <c r="K841" s="167" t="str">
        <f>INDEX(Tableau8[Nom du modele],MATCH(Tableau3[[#This Row],[ID-INS]],Tableau8[ID],0))&amp;""</f>
        <v>E_Divers</v>
      </c>
      <c r="L841" s="99" t="str">
        <f>INDEX(Tableau5[Att1],MATCH(Tableau3[[#This Row],[ID-SIG]],Tableau5[ID],0))&amp;""</f>
        <v>C1</v>
      </c>
      <c r="M841" s="99" t="str">
        <f>INDEX(Tableau5[Att2],MATCH(Tableau3[[#This Row],[ID-SIG]],Tableau5[ID],0))&amp;""</f>
        <v/>
      </c>
      <c r="N841" s="99" t="str">
        <f>INDEX(Tableau5[Att3],MATCH(Tableau3[[#This Row],[ID-SIG]],Tableau5[ID],0))&amp;""</f>
        <v/>
      </c>
      <c r="O841" s="99"/>
      <c r="P841" s="99" t="str">
        <f>INDEX(Tableau5[Description],MATCH(Tableau3[[#This Row],[ID-SIG]],Tableau5[ID],0))</f>
        <v>Contact</v>
      </c>
      <c r="Q841" s="99"/>
      <c r="R841" s="103" t="str">
        <f>Tableau3[[#This Row],[Description]]</f>
        <v>Contact</v>
      </c>
      <c r="U841" s="87">
        <v>5</v>
      </c>
      <c r="V841" s="87">
        <v>2</v>
      </c>
      <c r="W841" s="87">
        <v>7</v>
      </c>
      <c r="X841" s="87">
        <v>15</v>
      </c>
      <c r="Y841" s="40"/>
      <c r="Z841" s="165" t="str">
        <f>INDEX(Tableau2[TS],MATCH(Tableau3[[#This Row],[ID-CARTEVOIE]],Tableau2[ID-CARTEVOIE],0))</f>
        <v>ET</v>
      </c>
      <c r="AA841" s="53" t="s">
        <v>213</v>
      </c>
      <c r="AB841" s="223" t="str">
        <f>IFERROR(INDEX(Tableau5[Reserve],MATCH(Tableau3[[#This Row],[ID-SIG]],Tableau5[ID],0))&amp;"","")</f>
        <v/>
      </c>
      <c r="AC841" s="21"/>
      <c r="AD841" s="108" t="str">
        <f>INDEX(Tableau7[Repere],MATCH(Tableau3[[#This Row],[ID-API]],Tableau7[ID-API],0))&amp;""</f>
        <v>A5</v>
      </c>
      <c r="AE841" s="108" t="str">
        <f>INDEX(Tableau1[Repere-Rack],MATCH(Tableau3[[#This Row],[ID-RACK]],Tableau1[ID-RACK],0))&amp;""</f>
        <v>R2</v>
      </c>
      <c r="AF841" s="108" t="str">
        <f>INDEX(Tableau1[Repere-Slot],MATCH(Tableau3[[#This Row],[ID-SLOT]],Tableau1[ID-SLOT],0))&amp;""</f>
        <v>S7</v>
      </c>
      <c r="AG841" s="108" t="str">
        <f>INDEX(Tableau2[Repere-Voie],MATCH(Tableau3[[#This Row],[ID-VOIE]],Tableau2[ID-Voie],0))&amp;""</f>
        <v>v15</v>
      </c>
      <c r="AH841" s="72" t="str">
        <f>Tableau3[[#This Row],[ID-API]]&amp; "." &amp;Tableau3[[#This Row],[ID-RACK]]&amp; "." &amp;Tableau3[[#This Row],[ID-SLOT]]</f>
        <v>5.2.7</v>
      </c>
      <c r="AI841" s="72" t="str">
        <f>INDEX(Tableau1[Ref-Carte],MATCH(Tableau3[[#This Row],[ID-RRS]],Tableau1[ID-RRS],0))</f>
        <v>SDI1602</v>
      </c>
      <c r="AJ841" s="72" t="str">
        <f t="array" ref="AJ841">IFERROR(INDEX(Tableau2[TS],MATCH(1,(Tableau2[Ref-Carte]=Tableau3[[#This Row],[Ref-Carte2]])*(Tableau2[ID-Voie]=Tableau3[[#This Row],[ID-VOIE]]),0)),"")</f>
        <v>ET</v>
      </c>
      <c r="AK841" s="72" t="str">
        <f>IFERROR(INDEX(Tableau2[TS],SUMPRODUCT((Tableau2[Ref-Carte]=Tableau3[[#This Row],[Ref-Carte2]])*(Tableau2[ID-Voie]=Tableau3[[#This Row],[ID-VOIE]])*ROW(Tableau2[TS]))-ROW(Tableau2[#Headers])),"")</f>
        <v>ET</v>
      </c>
      <c r="AL841" s="72" t="str">
        <f>Tableau3[[#This Row],[Ref-Carte2]]&amp;"/"&amp;Tableau3[[#This Row],[ID-VOIE]]</f>
        <v>SDI1602/15</v>
      </c>
      <c r="AM841" s="73" t="str">
        <f>INDEX(Tableau2[Borne],MATCH(Tableau3[[#This Row],[ID-CARTEVOIE]],Tableau2[ID-CARTEVOIE],0))&amp;""</f>
        <v>7A</v>
      </c>
      <c r="AN841" s="74" t="str">
        <f>Tableau3[[#This Row],[ID-API]]&amp;Tableau3[[#This Row],[ID-RACK]]&amp;Tableau3[[#This Row],[ID-SLOT]]&amp;Tableau3[[#This Row],[BORNE]]</f>
        <v>5277A</v>
      </c>
      <c r="AO841" s="1"/>
    </row>
    <row r="842" spans="1:41" ht="20.100000000000001" customHeight="1" thickTop="1" thickBot="1">
      <c r="A842" s="68"/>
      <c r="B842" s="69" t="str">
        <f>IFERROR(INDEX(Tableau4[Date],MATCH($A842,Tableau4[EVO],0)),"")</f>
        <v/>
      </c>
      <c r="C842" s="68" t="str">
        <f>IFERROR(INDEX(Tableau4[Designation],MATCH($A842,Tableau4[EVO],0)),"")</f>
        <v/>
      </c>
      <c r="D842" s="68"/>
      <c r="E842" s="70">
        <v>446</v>
      </c>
      <c r="F842" s="71">
        <v>3</v>
      </c>
      <c r="G842" s="101" t="str">
        <f>INDEX(Tableau8[Att1],MATCH(Tableau3[[#This Row],[ID-INS]],Tableau8[ID],0))&amp;""</f>
        <v>B21</v>
      </c>
      <c r="H842" s="101" t="str">
        <f>INDEX(Tableau8[Att2],MATCH(Tableau3[[#This Row],[ID-INS]],Tableau8[ID],0))&amp;""</f>
        <v>PPH58</v>
      </c>
      <c r="I842" s="101" t="str">
        <f>INDEX(Tableau8[Att3],MATCH(Tableau3[[#This Row],[ID-INS]],Tableau8[ID],0))&amp;""</f>
        <v>Alarme SOS2 appel d'urgence hotesse accueil</v>
      </c>
      <c r="J842" s="101"/>
      <c r="K842" s="167" t="str">
        <f>INDEX(Tableau8[Nom du modele],MATCH(Tableau3[[#This Row],[ID-INS]],Tableau8[ID],0))&amp;""</f>
        <v>E_Divers</v>
      </c>
      <c r="L842" s="99" t="str">
        <f>INDEX(Tableau5[Att1],MATCH(Tableau3[[#This Row],[ID-SIG]],Tableau5[ID],0))&amp;""</f>
        <v>C1</v>
      </c>
      <c r="M842" s="99" t="str">
        <f>INDEX(Tableau5[Att2],MATCH(Tableau3[[#This Row],[ID-SIG]],Tableau5[ID],0))&amp;""</f>
        <v/>
      </c>
      <c r="N842" s="99" t="str">
        <f>INDEX(Tableau5[Att3],MATCH(Tableau3[[#This Row],[ID-SIG]],Tableau5[ID],0))&amp;""</f>
        <v/>
      </c>
      <c r="O842" s="99"/>
      <c r="P842" s="99" t="str">
        <f>INDEX(Tableau5[Description],MATCH(Tableau3[[#This Row],[ID-SIG]],Tableau5[ID],0))</f>
        <v>Contact</v>
      </c>
      <c r="Q842" s="99"/>
      <c r="R842" s="103" t="str">
        <f>Tableau3[[#This Row],[Description]]</f>
        <v>Contact</v>
      </c>
      <c r="U842" s="87">
        <v>5</v>
      </c>
      <c r="V842" s="87">
        <v>2</v>
      </c>
      <c r="W842" s="87">
        <v>8</v>
      </c>
      <c r="X842" s="87">
        <v>0</v>
      </c>
      <c r="Y842" s="40"/>
      <c r="Z842" s="165" t="str">
        <f>INDEX(Tableau2[TS],MATCH(Tableau3[[#This Row],[ID-CARTEVOIE]],Tableau2[ID-CARTEVOIE],0))</f>
        <v>ET</v>
      </c>
      <c r="AA842" s="53" t="s">
        <v>213</v>
      </c>
      <c r="AB842" s="223" t="str">
        <f>IFERROR(INDEX(Tableau5[Reserve],MATCH(Tableau3[[#This Row],[ID-SIG]],Tableau5[ID],0))&amp;"","")</f>
        <v/>
      </c>
      <c r="AC842" s="21"/>
      <c r="AD842" s="108" t="str">
        <f>INDEX(Tableau7[Repere],MATCH(Tableau3[[#This Row],[ID-API]],Tableau7[ID-API],0))&amp;""</f>
        <v>A5</v>
      </c>
      <c r="AE842" s="108" t="str">
        <f>INDEX(Tableau1[Repere-Rack],MATCH(Tableau3[[#This Row],[ID-RACK]],Tableau1[ID-RACK],0))&amp;""</f>
        <v>R2</v>
      </c>
      <c r="AF842" s="108" t="str">
        <f>INDEX(Tableau1[Repere-Slot],MATCH(Tableau3[[#This Row],[ID-SLOT]],Tableau1[ID-SLOT],0))&amp;""</f>
        <v>S8</v>
      </c>
      <c r="AG842" s="108" t="str">
        <f>INDEX(Tableau2[Repere-Voie],MATCH(Tableau3[[#This Row],[ID-VOIE]],Tableau2[ID-Voie],0))&amp;""</f>
        <v>v0</v>
      </c>
      <c r="AH842" s="72" t="str">
        <f>Tableau3[[#This Row],[ID-API]]&amp; "." &amp;Tableau3[[#This Row],[ID-RACK]]&amp; "." &amp;Tableau3[[#This Row],[ID-SLOT]]</f>
        <v>5.2.8</v>
      </c>
      <c r="AI842" s="72" t="str">
        <f>INDEX(Tableau1[Ref-Carte],MATCH(Tableau3[[#This Row],[ID-RRS]],Tableau1[ID-RRS],0))</f>
        <v>SDI1602</v>
      </c>
      <c r="AJ842" s="72" t="str">
        <f t="array" ref="AJ842">IFERROR(INDEX(Tableau2[TS],MATCH(1,(Tableau2[Ref-Carte]=Tableau3[[#This Row],[Ref-Carte2]])*(Tableau2[ID-Voie]=Tableau3[[#This Row],[ID-VOIE]]),0)),"")</f>
        <v>ET</v>
      </c>
      <c r="AK842" s="72" t="str">
        <f>IFERROR(INDEX(Tableau2[TS],SUMPRODUCT((Tableau2[Ref-Carte]=Tableau3[[#This Row],[Ref-Carte2]])*(Tableau2[ID-Voie]=Tableau3[[#This Row],[ID-VOIE]])*ROW(Tableau2[TS]))-ROW(Tableau2[#Headers])),"")</f>
        <v>ET</v>
      </c>
      <c r="AL842" s="72" t="str">
        <f>Tableau3[[#This Row],[Ref-Carte2]]&amp;"/"&amp;Tableau3[[#This Row],[ID-VOIE]]</f>
        <v>SDI1602/0</v>
      </c>
      <c r="AM842" s="73" t="str">
        <f>INDEX(Tableau2[Borne],MATCH(Tableau3[[#This Row],[ID-CARTEVOIE]],Tableau2[ID-CARTEVOIE],0))&amp;""</f>
        <v>0B</v>
      </c>
      <c r="AN842" s="74" t="str">
        <f>Tableau3[[#This Row],[ID-API]]&amp;Tableau3[[#This Row],[ID-RACK]]&amp;Tableau3[[#This Row],[ID-SLOT]]&amp;Tableau3[[#This Row],[BORNE]]</f>
        <v>5280B</v>
      </c>
      <c r="AO842" s="1"/>
    </row>
    <row r="843" spans="1:41" ht="20.100000000000001" customHeight="1" thickTop="1" thickBot="1">
      <c r="A843" s="68"/>
      <c r="B843" s="69" t="str">
        <f>IFERROR(INDEX(Tableau4[Date],MATCH($A843,Tableau4[EVO],0)),"")</f>
        <v/>
      </c>
      <c r="C843" s="68" t="str">
        <f>IFERROR(INDEX(Tableau4[Designation],MATCH($A843,Tableau4[EVO],0)),"")</f>
        <v/>
      </c>
      <c r="D843" s="68"/>
      <c r="E843" s="70">
        <v>447</v>
      </c>
      <c r="F843" s="71">
        <v>3</v>
      </c>
      <c r="G843" s="101" t="str">
        <f>INDEX(Tableau8[Att1],MATCH(Tableau3[[#This Row],[ID-INS]],Tableau8[ID],0))&amp;""</f>
        <v>B21</v>
      </c>
      <c r="H843" s="101" t="str">
        <f>INDEX(Tableau8[Att2],MATCH(Tableau3[[#This Row],[ID-INS]],Tableau8[ID],0))&amp;""</f>
        <v>PPH59</v>
      </c>
      <c r="I843" s="101" t="str">
        <f>INDEX(Tableau8[Att3],MATCH(Tableau3[[#This Row],[ID-INS]],Tableau8[ID],0))&amp;""</f>
        <v>Alarme SOS3 appel d'urgence hotesse accueil</v>
      </c>
      <c r="J843" s="101"/>
      <c r="K843" s="167" t="str">
        <f>INDEX(Tableau8[Nom du modele],MATCH(Tableau3[[#This Row],[ID-INS]],Tableau8[ID],0))&amp;""</f>
        <v>E_Divers</v>
      </c>
      <c r="L843" s="99" t="str">
        <f>INDEX(Tableau5[Att1],MATCH(Tableau3[[#This Row],[ID-SIG]],Tableau5[ID],0))&amp;""</f>
        <v>C1</v>
      </c>
      <c r="M843" s="99" t="str">
        <f>INDEX(Tableau5[Att2],MATCH(Tableau3[[#This Row],[ID-SIG]],Tableau5[ID],0))&amp;""</f>
        <v/>
      </c>
      <c r="N843" s="99" t="str">
        <f>INDEX(Tableau5[Att3],MATCH(Tableau3[[#This Row],[ID-SIG]],Tableau5[ID],0))&amp;""</f>
        <v/>
      </c>
      <c r="O843" s="99"/>
      <c r="P843" s="99" t="str">
        <f>INDEX(Tableau5[Description],MATCH(Tableau3[[#This Row],[ID-SIG]],Tableau5[ID],0))</f>
        <v>Contact</v>
      </c>
      <c r="Q843" s="99"/>
      <c r="R843" s="103" t="str">
        <f>Tableau3[[#This Row],[Description]]</f>
        <v>Contact</v>
      </c>
      <c r="U843" s="87">
        <v>5</v>
      </c>
      <c r="V843" s="87">
        <v>2</v>
      </c>
      <c r="W843" s="87">
        <v>8</v>
      </c>
      <c r="X843" s="87">
        <v>1</v>
      </c>
      <c r="Y843" s="40"/>
      <c r="Z843" s="165" t="str">
        <f>INDEX(Tableau2[TS],MATCH(Tableau3[[#This Row],[ID-CARTEVOIE]],Tableau2[ID-CARTEVOIE],0))</f>
        <v>ET</v>
      </c>
      <c r="AA843" s="53" t="s">
        <v>213</v>
      </c>
      <c r="AB843" s="223" t="str">
        <f>IFERROR(INDEX(Tableau5[Reserve],MATCH(Tableau3[[#This Row],[ID-SIG]],Tableau5[ID],0))&amp;"","")</f>
        <v/>
      </c>
      <c r="AC843" s="21"/>
      <c r="AD843" s="108" t="str">
        <f>INDEX(Tableau7[Repere],MATCH(Tableau3[[#This Row],[ID-API]],Tableau7[ID-API],0))&amp;""</f>
        <v>A5</v>
      </c>
      <c r="AE843" s="108" t="str">
        <f>INDEX(Tableau1[Repere-Rack],MATCH(Tableau3[[#This Row],[ID-RACK]],Tableau1[ID-RACK],0))&amp;""</f>
        <v>R2</v>
      </c>
      <c r="AF843" s="108" t="str">
        <f>INDEX(Tableau1[Repere-Slot],MATCH(Tableau3[[#This Row],[ID-SLOT]],Tableau1[ID-SLOT],0))&amp;""</f>
        <v>S8</v>
      </c>
      <c r="AG843" s="108" t="str">
        <f>INDEX(Tableau2[Repere-Voie],MATCH(Tableau3[[#This Row],[ID-VOIE]],Tableau2[ID-Voie],0))&amp;""</f>
        <v>v1</v>
      </c>
      <c r="AH843" s="72" t="str">
        <f>Tableau3[[#This Row],[ID-API]]&amp; "." &amp;Tableau3[[#This Row],[ID-RACK]]&amp; "." &amp;Tableau3[[#This Row],[ID-SLOT]]</f>
        <v>5.2.8</v>
      </c>
      <c r="AI843" s="72" t="str">
        <f>INDEX(Tableau1[Ref-Carte],MATCH(Tableau3[[#This Row],[ID-RRS]],Tableau1[ID-RRS],0))</f>
        <v>SDI1602</v>
      </c>
      <c r="AJ843" s="72" t="str">
        <f t="array" ref="AJ843">IFERROR(INDEX(Tableau2[TS],MATCH(1,(Tableau2[Ref-Carte]=Tableau3[[#This Row],[Ref-Carte2]])*(Tableau2[ID-Voie]=Tableau3[[#This Row],[ID-VOIE]]),0)),"")</f>
        <v>ET</v>
      </c>
      <c r="AK843" s="72" t="str">
        <f>IFERROR(INDEX(Tableau2[TS],SUMPRODUCT((Tableau2[Ref-Carte]=Tableau3[[#This Row],[Ref-Carte2]])*(Tableau2[ID-Voie]=Tableau3[[#This Row],[ID-VOIE]])*ROW(Tableau2[TS]))-ROW(Tableau2[#Headers])),"")</f>
        <v>ET</v>
      </c>
      <c r="AL843" s="72" t="str">
        <f>Tableau3[[#This Row],[Ref-Carte2]]&amp;"/"&amp;Tableau3[[#This Row],[ID-VOIE]]</f>
        <v>SDI1602/1</v>
      </c>
      <c r="AM843" s="73" t="str">
        <f>INDEX(Tableau2[Borne],MATCH(Tableau3[[#This Row],[ID-CARTEVOIE]],Tableau2[ID-CARTEVOIE],0))&amp;""</f>
        <v>0A</v>
      </c>
      <c r="AN843" s="74" t="str">
        <f>Tableau3[[#This Row],[ID-API]]&amp;Tableau3[[#This Row],[ID-RACK]]&amp;Tableau3[[#This Row],[ID-SLOT]]&amp;Tableau3[[#This Row],[BORNE]]</f>
        <v>5280A</v>
      </c>
      <c r="AO843" s="1"/>
    </row>
    <row r="844" spans="1:41" ht="20.100000000000001" customHeight="1" thickTop="1" thickBot="1">
      <c r="A844" s="68"/>
      <c r="B844" s="69" t="str">
        <f>IFERROR(INDEX(Tableau4[Date],MATCH($A844,Tableau4[EVO],0)),"")</f>
        <v/>
      </c>
      <c r="C844" s="68" t="str">
        <f>IFERROR(INDEX(Tableau4[Designation],MATCH($A844,Tableau4[EVO],0)),"")</f>
        <v/>
      </c>
      <c r="D844" s="68"/>
      <c r="E844" s="70">
        <v>448</v>
      </c>
      <c r="F844" s="71">
        <v>3</v>
      </c>
      <c r="G844" s="101" t="str">
        <f>INDEX(Tableau8[Att1],MATCH(Tableau3[[#This Row],[ID-INS]],Tableau8[ID],0))&amp;""</f>
        <v>B21</v>
      </c>
      <c r="H844" s="101" t="str">
        <f>INDEX(Tableau8[Att2],MATCH(Tableau3[[#This Row],[ID-INS]],Tableau8[ID],0))&amp;""</f>
        <v>PPH60</v>
      </c>
      <c r="I844" s="101" t="str">
        <f>INDEX(Tableau8[Att3],MATCH(Tableau3[[#This Row],[ID-INS]],Tableau8[ID],0))&amp;""</f>
        <v>Alarme SOS4 appel d'urgence hotesse accueil</v>
      </c>
      <c r="J844" s="101"/>
      <c r="K844" s="167" t="str">
        <f>INDEX(Tableau8[Nom du modele],MATCH(Tableau3[[#This Row],[ID-INS]],Tableau8[ID],0))&amp;""</f>
        <v>E_Divers</v>
      </c>
      <c r="L844" s="99" t="str">
        <f>INDEX(Tableau5[Att1],MATCH(Tableau3[[#This Row],[ID-SIG]],Tableau5[ID],0))&amp;""</f>
        <v>C1</v>
      </c>
      <c r="M844" s="99" t="str">
        <f>INDEX(Tableau5[Att2],MATCH(Tableau3[[#This Row],[ID-SIG]],Tableau5[ID],0))&amp;""</f>
        <v/>
      </c>
      <c r="N844" s="99" t="str">
        <f>INDEX(Tableau5[Att3],MATCH(Tableau3[[#This Row],[ID-SIG]],Tableau5[ID],0))&amp;""</f>
        <v/>
      </c>
      <c r="O844" s="99"/>
      <c r="P844" s="99" t="str">
        <f>INDEX(Tableau5[Description],MATCH(Tableau3[[#This Row],[ID-SIG]],Tableau5[ID],0))</f>
        <v>Contact</v>
      </c>
      <c r="Q844" s="99"/>
      <c r="R844" s="103" t="str">
        <f>Tableau3[[#This Row],[Description]]</f>
        <v>Contact</v>
      </c>
      <c r="U844" s="87">
        <v>5</v>
      </c>
      <c r="V844" s="87">
        <v>2</v>
      </c>
      <c r="W844" s="87">
        <v>8</v>
      </c>
      <c r="X844" s="87">
        <v>2</v>
      </c>
      <c r="Y844" s="40"/>
      <c r="Z844" s="165" t="str">
        <f>INDEX(Tableau2[TS],MATCH(Tableau3[[#This Row],[ID-CARTEVOIE]],Tableau2[ID-CARTEVOIE],0))</f>
        <v>ET</v>
      </c>
      <c r="AA844" s="53" t="s">
        <v>213</v>
      </c>
      <c r="AB844" s="223" t="str">
        <f>IFERROR(INDEX(Tableau5[Reserve],MATCH(Tableau3[[#This Row],[ID-SIG]],Tableau5[ID],0))&amp;"","")</f>
        <v/>
      </c>
      <c r="AC844" s="21"/>
      <c r="AD844" s="108" t="str">
        <f>INDEX(Tableau7[Repere],MATCH(Tableau3[[#This Row],[ID-API]],Tableau7[ID-API],0))&amp;""</f>
        <v>A5</v>
      </c>
      <c r="AE844" s="108" t="str">
        <f>INDEX(Tableau1[Repere-Rack],MATCH(Tableau3[[#This Row],[ID-RACK]],Tableau1[ID-RACK],0))&amp;""</f>
        <v>R2</v>
      </c>
      <c r="AF844" s="108" t="str">
        <f>INDEX(Tableau1[Repere-Slot],MATCH(Tableau3[[#This Row],[ID-SLOT]],Tableau1[ID-SLOT],0))&amp;""</f>
        <v>S8</v>
      </c>
      <c r="AG844" s="108" t="str">
        <f>INDEX(Tableau2[Repere-Voie],MATCH(Tableau3[[#This Row],[ID-VOIE]],Tableau2[ID-Voie],0))&amp;""</f>
        <v>v2</v>
      </c>
      <c r="AH844" s="72" t="str">
        <f>Tableau3[[#This Row],[ID-API]]&amp; "." &amp;Tableau3[[#This Row],[ID-RACK]]&amp; "." &amp;Tableau3[[#This Row],[ID-SLOT]]</f>
        <v>5.2.8</v>
      </c>
      <c r="AI844" s="72" t="str">
        <f>INDEX(Tableau1[Ref-Carte],MATCH(Tableau3[[#This Row],[ID-RRS]],Tableau1[ID-RRS],0))</f>
        <v>SDI1602</v>
      </c>
      <c r="AJ844" s="72" t="str">
        <f t="array" ref="AJ844">IFERROR(INDEX(Tableau2[TS],MATCH(1,(Tableau2[Ref-Carte]=Tableau3[[#This Row],[Ref-Carte2]])*(Tableau2[ID-Voie]=Tableau3[[#This Row],[ID-VOIE]]),0)),"")</f>
        <v>ET</v>
      </c>
      <c r="AK844" s="72" t="str">
        <f>IFERROR(INDEX(Tableau2[TS],SUMPRODUCT((Tableau2[Ref-Carte]=Tableau3[[#This Row],[Ref-Carte2]])*(Tableau2[ID-Voie]=Tableau3[[#This Row],[ID-VOIE]])*ROW(Tableau2[TS]))-ROW(Tableau2[#Headers])),"")</f>
        <v>ET</v>
      </c>
      <c r="AL844" s="72" t="str">
        <f>Tableau3[[#This Row],[Ref-Carte2]]&amp;"/"&amp;Tableau3[[#This Row],[ID-VOIE]]</f>
        <v>SDI1602/2</v>
      </c>
      <c r="AM844" s="73" t="str">
        <f>INDEX(Tableau2[Borne],MATCH(Tableau3[[#This Row],[ID-CARTEVOIE]],Tableau2[ID-CARTEVOIE],0))&amp;""</f>
        <v>1B</v>
      </c>
      <c r="AN844" s="74" t="str">
        <f>Tableau3[[#This Row],[ID-API]]&amp;Tableau3[[#This Row],[ID-RACK]]&amp;Tableau3[[#This Row],[ID-SLOT]]&amp;Tableau3[[#This Row],[BORNE]]</f>
        <v>5281B</v>
      </c>
      <c r="AO844" s="1"/>
    </row>
    <row r="845" spans="1:41" ht="20.100000000000001" customHeight="1" thickTop="1" thickBot="1">
      <c r="A845" s="68"/>
      <c r="B845" s="69" t="str">
        <f>IFERROR(INDEX(Tableau4[Date],MATCH($A845,Tableau4[EVO],0)),"")</f>
        <v/>
      </c>
      <c r="C845" s="68" t="str">
        <f>IFERROR(INDEX(Tableau4[Designation],MATCH($A845,Tableau4[EVO],0)),"")</f>
        <v/>
      </c>
      <c r="D845" s="68"/>
      <c r="E845" s="70">
        <v>449</v>
      </c>
      <c r="F845" s="71">
        <v>3</v>
      </c>
      <c r="G845" s="101" t="str">
        <f>INDEX(Tableau8[Att1],MATCH(Tableau3[[#This Row],[ID-INS]],Tableau8[ID],0))&amp;""</f>
        <v>B21</v>
      </c>
      <c r="H845" s="101" t="str">
        <f>INDEX(Tableau8[Att2],MATCH(Tableau3[[#This Row],[ID-INS]],Tableau8[ID],0))&amp;""</f>
        <v>PPH61</v>
      </c>
      <c r="I845" s="101" t="str">
        <f>INDEX(Tableau8[Att3],MATCH(Tableau3[[#This Row],[ID-INS]],Tableau8[ID],0))&amp;""</f>
        <v>Alarme rideau métallique RM1 ouvert</v>
      </c>
      <c r="J845" s="101"/>
      <c r="K845" s="167" t="str">
        <f>INDEX(Tableau8[Nom du modele],MATCH(Tableau3[[#This Row],[ID-INS]],Tableau8[ID],0))&amp;""</f>
        <v>E_Divers</v>
      </c>
      <c r="L845" s="99" t="str">
        <f>INDEX(Tableau5[Att1],MATCH(Tableau3[[#This Row],[ID-SIG]],Tableau5[ID],0))&amp;""</f>
        <v>C1</v>
      </c>
      <c r="M845" s="99" t="str">
        <f>INDEX(Tableau5[Att2],MATCH(Tableau3[[#This Row],[ID-SIG]],Tableau5[ID],0))&amp;""</f>
        <v/>
      </c>
      <c r="N845" s="99" t="str">
        <f>INDEX(Tableau5[Att3],MATCH(Tableau3[[#This Row],[ID-SIG]],Tableau5[ID],0))&amp;""</f>
        <v/>
      </c>
      <c r="O845" s="99"/>
      <c r="P845" s="99" t="str">
        <f>INDEX(Tableau5[Description],MATCH(Tableau3[[#This Row],[ID-SIG]],Tableau5[ID],0))</f>
        <v>Contact</v>
      </c>
      <c r="Q845" s="99"/>
      <c r="R845" s="103" t="str">
        <f>Tableau3[[#This Row],[Description]]</f>
        <v>Contact</v>
      </c>
      <c r="U845" s="87">
        <v>5</v>
      </c>
      <c r="V845" s="87">
        <v>2</v>
      </c>
      <c r="W845" s="87">
        <v>8</v>
      </c>
      <c r="X845" s="87">
        <v>3</v>
      </c>
      <c r="Y845" s="40"/>
      <c r="Z845" s="165" t="str">
        <f>INDEX(Tableau2[TS],MATCH(Tableau3[[#This Row],[ID-CARTEVOIE]],Tableau2[ID-CARTEVOIE],0))</f>
        <v>ET</v>
      </c>
      <c r="AA845" s="53" t="s">
        <v>213</v>
      </c>
      <c r="AB845" s="223" t="str">
        <f>IFERROR(INDEX(Tableau5[Reserve],MATCH(Tableau3[[#This Row],[ID-SIG]],Tableau5[ID],0))&amp;"","")</f>
        <v/>
      </c>
      <c r="AC845" s="21"/>
      <c r="AD845" s="108" t="str">
        <f>INDEX(Tableau7[Repere],MATCH(Tableau3[[#This Row],[ID-API]],Tableau7[ID-API],0))&amp;""</f>
        <v>A5</v>
      </c>
      <c r="AE845" s="108" t="str">
        <f>INDEX(Tableau1[Repere-Rack],MATCH(Tableau3[[#This Row],[ID-RACK]],Tableau1[ID-RACK],0))&amp;""</f>
        <v>R2</v>
      </c>
      <c r="AF845" s="108" t="str">
        <f>INDEX(Tableau1[Repere-Slot],MATCH(Tableau3[[#This Row],[ID-SLOT]],Tableau1[ID-SLOT],0))&amp;""</f>
        <v>S8</v>
      </c>
      <c r="AG845" s="108" t="str">
        <f>INDEX(Tableau2[Repere-Voie],MATCH(Tableau3[[#This Row],[ID-VOIE]],Tableau2[ID-Voie],0))&amp;""</f>
        <v>v3</v>
      </c>
      <c r="AH845" s="72" t="str">
        <f>Tableau3[[#This Row],[ID-API]]&amp; "." &amp;Tableau3[[#This Row],[ID-RACK]]&amp; "." &amp;Tableau3[[#This Row],[ID-SLOT]]</f>
        <v>5.2.8</v>
      </c>
      <c r="AI845" s="72" t="str">
        <f>INDEX(Tableau1[Ref-Carte],MATCH(Tableau3[[#This Row],[ID-RRS]],Tableau1[ID-RRS],0))</f>
        <v>SDI1602</v>
      </c>
      <c r="AJ845" s="72" t="str">
        <f t="array" ref="AJ845">IFERROR(INDEX(Tableau2[TS],MATCH(1,(Tableau2[Ref-Carte]=Tableau3[[#This Row],[Ref-Carte2]])*(Tableau2[ID-Voie]=Tableau3[[#This Row],[ID-VOIE]]),0)),"")</f>
        <v>ET</v>
      </c>
      <c r="AK845" s="72" t="str">
        <f>IFERROR(INDEX(Tableau2[TS],SUMPRODUCT((Tableau2[Ref-Carte]=Tableau3[[#This Row],[Ref-Carte2]])*(Tableau2[ID-Voie]=Tableau3[[#This Row],[ID-VOIE]])*ROW(Tableau2[TS]))-ROW(Tableau2[#Headers])),"")</f>
        <v>ET</v>
      </c>
      <c r="AL845" s="72" t="str">
        <f>Tableau3[[#This Row],[Ref-Carte2]]&amp;"/"&amp;Tableau3[[#This Row],[ID-VOIE]]</f>
        <v>SDI1602/3</v>
      </c>
      <c r="AM845" s="73" t="str">
        <f>INDEX(Tableau2[Borne],MATCH(Tableau3[[#This Row],[ID-CARTEVOIE]],Tableau2[ID-CARTEVOIE],0))&amp;""</f>
        <v>1A</v>
      </c>
      <c r="AN845" s="74" t="str">
        <f>Tableau3[[#This Row],[ID-API]]&amp;Tableau3[[#This Row],[ID-RACK]]&amp;Tableau3[[#This Row],[ID-SLOT]]&amp;Tableau3[[#This Row],[BORNE]]</f>
        <v>5281A</v>
      </c>
      <c r="AO845" s="1"/>
    </row>
    <row r="846" spans="1:41" ht="20.100000000000001" customHeight="1" thickTop="1" thickBot="1">
      <c r="A846" s="68"/>
      <c r="B846" s="69" t="str">
        <f>IFERROR(INDEX(Tableau4[Date],MATCH($A846,Tableau4[EVO],0)),"")</f>
        <v/>
      </c>
      <c r="C846" s="68" t="str">
        <f>IFERROR(INDEX(Tableau4[Designation],MATCH($A846,Tableau4[EVO],0)),"")</f>
        <v/>
      </c>
      <c r="D846" s="68"/>
      <c r="E846" s="70">
        <v>450</v>
      </c>
      <c r="F846" s="71">
        <v>3</v>
      </c>
      <c r="G846" s="101" t="str">
        <f>INDEX(Tableau8[Att1],MATCH(Tableau3[[#This Row],[ID-INS]],Tableau8[ID],0))&amp;""</f>
        <v>B21</v>
      </c>
      <c r="H846" s="101" t="str">
        <f>INDEX(Tableau8[Att2],MATCH(Tableau3[[#This Row],[ID-INS]],Tableau8[ID],0))&amp;""</f>
        <v>PPH62</v>
      </c>
      <c r="I846" s="101" t="str">
        <f>INDEX(Tableau8[Att3],MATCH(Tableau3[[#This Row],[ID-INS]],Tableau8[ID],0))&amp;""</f>
        <v>Fraude rideau métallique RM1</v>
      </c>
      <c r="J846" s="101"/>
      <c r="K846" s="167" t="str">
        <f>INDEX(Tableau8[Nom du modele],MATCH(Tableau3[[#This Row],[ID-INS]],Tableau8[ID],0))&amp;""</f>
        <v>E_Divers</v>
      </c>
      <c r="L846" s="99" t="str">
        <f>INDEX(Tableau5[Att1],MATCH(Tableau3[[#This Row],[ID-SIG]],Tableau5[ID],0))&amp;""</f>
        <v>C1</v>
      </c>
      <c r="M846" s="99" t="str">
        <f>INDEX(Tableau5[Att2],MATCH(Tableau3[[#This Row],[ID-SIG]],Tableau5[ID],0))&amp;""</f>
        <v/>
      </c>
      <c r="N846" s="99" t="str">
        <f>INDEX(Tableau5[Att3],MATCH(Tableau3[[#This Row],[ID-SIG]],Tableau5[ID],0))&amp;""</f>
        <v/>
      </c>
      <c r="O846" s="99"/>
      <c r="P846" s="99" t="str">
        <f>INDEX(Tableau5[Description],MATCH(Tableau3[[#This Row],[ID-SIG]],Tableau5[ID],0))</f>
        <v>Contact</v>
      </c>
      <c r="Q846" s="99"/>
      <c r="R846" s="103" t="str">
        <f>Tableau3[[#This Row],[Description]]</f>
        <v>Contact</v>
      </c>
      <c r="U846" s="87">
        <v>5</v>
      </c>
      <c r="V846" s="87">
        <v>2</v>
      </c>
      <c r="W846" s="87">
        <v>8</v>
      </c>
      <c r="X846" s="87">
        <v>4</v>
      </c>
      <c r="Y846" s="40"/>
      <c r="Z846" s="165" t="str">
        <f>INDEX(Tableau2[TS],MATCH(Tableau3[[#This Row],[ID-CARTEVOIE]],Tableau2[ID-CARTEVOIE],0))</f>
        <v>ET</v>
      </c>
      <c r="AA846" s="53" t="s">
        <v>213</v>
      </c>
      <c r="AB846" s="223" t="str">
        <f>IFERROR(INDEX(Tableau5[Reserve],MATCH(Tableau3[[#This Row],[ID-SIG]],Tableau5[ID],0))&amp;"","")</f>
        <v/>
      </c>
      <c r="AC846" s="21"/>
      <c r="AD846" s="108" t="str">
        <f>INDEX(Tableau7[Repere],MATCH(Tableau3[[#This Row],[ID-API]],Tableau7[ID-API],0))&amp;""</f>
        <v>A5</v>
      </c>
      <c r="AE846" s="108" t="str">
        <f>INDEX(Tableau1[Repere-Rack],MATCH(Tableau3[[#This Row],[ID-RACK]],Tableau1[ID-RACK],0))&amp;""</f>
        <v>R2</v>
      </c>
      <c r="AF846" s="108" t="str">
        <f>INDEX(Tableau1[Repere-Slot],MATCH(Tableau3[[#This Row],[ID-SLOT]],Tableau1[ID-SLOT],0))&amp;""</f>
        <v>S8</v>
      </c>
      <c r="AG846" s="108" t="str">
        <f>INDEX(Tableau2[Repere-Voie],MATCH(Tableau3[[#This Row],[ID-VOIE]],Tableau2[ID-Voie],0))&amp;""</f>
        <v>v4</v>
      </c>
      <c r="AH846" s="72" t="str">
        <f>Tableau3[[#This Row],[ID-API]]&amp; "." &amp;Tableau3[[#This Row],[ID-RACK]]&amp; "." &amp;Tableau3[[#This Row],[ID-SLOT]]</f>
        <v>5.2.8</v>
      </c>
      <c r="AI846" s="72" t="str">
        <f>INDEX(Tableau1[Ref-Carte],MATCH(Tableau3[[#This Row],[ID-RRS]],Tableau1[ID-RRS],0))</f>
        <v>SDI1602</v>
      </c>
      <c r="AJ846" s="72" t="str">
        <f t="array" ref="AJ846">IFERROR(INDEX(Tableau2[TS],MATCH(1,(Tableau2[Ref-Carte]=Tableau3[[#This Row],[Ref-Carte2]])*(Tableau2[ID-Voie]=Tableau3[[#This Row],[ID-VOIE]]),0)),"")</f>
        <v>ET</v>
      </c>
      <c r="AK846" s="72" t="str">
        <f>IFERROR(INDEX(Tableau2[TS],SUMPRODUCT((Tableau2[Ref-Carte]=Tableau3[[#This Row],[Ref-Carte2]])*(Tableau2[ID-Voie]=Tableau3[[#This Row],[ID-VOIE]])*ROW(Tableau2[TS]))-ROW(Tableau2[#Headers])),"")</f>
        <v>ET</v>
      </c>
      <c r="AL846" s="72" t="str">
        <f>Tableau3[[#This Row],[Ref-Carte2]]&amp;"/"&amp;Tableau3[[#This Row],[ID-VOIE]]</f>
        <v>SDI1602/4</v>
      </c>
      <c r="AM846" s="73" t="str">
        <f>INDEX(Tableau2[Borne],MATCH(Tableau3[[#This Row],[ID-CARTEVOIE]],Tableau2[ID-CARTEVOIE],0))&amp;""</f>
        <v>2B</v>
      </c>
      <c r="AN846" s="74" t="str">
        <f>Tableau3[[#This Row],[ID-API]]&amp;Tableau3[[#This Row],[ID-RACK]]&amp;Tableau3[[#This Row],[ID-SLOT]]&amp;Tableau3[[#This Row],[BORNE]]</f>
        <v>5282B</v>
      </c>
      <c r="AO846" s="1"/>
    </row>
    <row r="847" spans="1:41" ht="20.100000000000001" customHeight="1" thickTop="1" thickBot="1">
      <c r="A847" s="68"/>
      <c r="B847" s="69" t="str">
        <f>IFERROR(INDEX(Tableau4[Date],MATCH($A847,Tableau4[EVO],0)),"")</f>
        <v/>
      </c>
      <c r="C847" s="68" t="str">
        <f>IFERROR(INDEX(Tableau4[Designation],MATCH($A847,Tableau4[EVO],0)),"")</f>
        <v/>
      </c>
      <c r="D847" s="68"/>
      <c r="E847" s="70">
        <v>451</v>
      </c>
      <c r="F847" s="71">
        <v>3</v>
      </c>
      <c r="G847" s="101" t="str">
        <f>INDEX(Tableau8[Att1],MATCH(Tableau3[[#This Row],[ID-INS]],Tableau8[ID],0))&amp;""</f>
        <v>B21</v>
      </c>
      <c r="H847" s="101" t="str">
        <f>INDEX(Tableau8[Att2],MATCH(Tableau3[[#This Row],[ID-INS]],Tableau8[ID],0))&amp;""</f>
        <v>TECH13</v>
      </c>
      <c r="I847" s="101" t="str">
        <f>INDEX(Tableau8[Att3],MATCH(Tableau3[[#This Row],[ID-INS]],Tableau8[ID],0))&amp;""</f>
        <v>Alarme température local CFIS B21</v>
      </c>
      <c r="J847" s="101"/>
      <c r="K847" s="167" t="str">
        <f>INDEX(Tableau8[Nom du modele],MATCH(Tableau3[[#This Row],[ID-INS]],Tableau8[ID],0))&amp;""</f>
        <v>E_Divers</v>
      </c>
      <c r="L847" s="99" t="str">
        <f>INDEX(Tableau5[Att1],MATCH(Tableau3[[#This Row],[ID-SIG]],Tableau5[ID],0))&amp;""</f>
        <v>C1</v>
      </c>
      <c r="M847" s="99" t="str">
        <f>INDEX(Tableau5[Att2],MATCH(Tableau3[[#This Row],[ID-SIG]],Tableau5[ID],0))&amp;""</f>
        <v/>
      </c>
      <c r="N847" s="99" t="str">
        <f>INDEX(Tableau5[Att3],MATCH(Tableau3[[#This Row],[ID-SIG]],Tableau5[ID],0))&amp;""</f>
        <v/>
      </c>
      <c r="O847" s="99"/>
      <c r="P847" s="99" t="str">
        <f>INDEX(Tableau5[Description],MATCH(Tableau3[[#This Row],[ID-SIG]],Tableau5[ID],0))</f>
        <v>Contact</v>
      </c>
      <c r="Q847" s="99"/>
      <c r="R847" s="103" t="str">
        <f>Tableau3[[#This Row],[Description]]</f>
        <v>Contact</v>
      </c>
      <c r="U847" s="87">
        <v>5</v>
      </c>
      <c r="V847" s="87">
        <v>2</v>
      </c>
      <c r="W847" s="87">
        <v>8</v>
      </c>
      <c r="X847" s="87">
        <v>5</v>
      </c>
      <c r="Y847" s="40"/>
      <c r="Z847" s="165" t="str">
        <f>INDEX(Tableau2[TS],MATCH(Tableau3[[#This Row],[ID-CARTEVOIE]],Tableau2[ID-CARTEVOIE],0))</f>
        <v>ET</v>
      </c>
      <c r="AA847" s="53" t="s">
        <v>213</v>
      </c>
      <c r="AB847" s="223" t="str">
        <f>IFERROR(INDEX(Tableau5[Reserve],MATCH(Tableau3[[#This Row],[ID-SIG]],Tableau5[ID],0))&amp;"","")</f>
        <v/>
      </c>
      <c r="AC847" s="21"/>
      <c r="AD847" s="108" t="str">
        <f>INDEX(Tableau7[Repere],MATCH(Tableau3[[#This Row],[ID-API]],Tableau7[ID-API],0))&amp;""</f>
        <v>A5</v>
      </c>
      <c r="AE847" s="108" t="str">
        <f>INDEX(Tableau1[Repere-Rack],MATCH(Tableau3[[#This Row],[ID-RACK]],Tableau1[ID-RACK],0))&amp;""</f>
        <v>R2</v>
      </c>
      <c r="AF847" s="108" t="str">
        <f>INDEX(Tableau1[Repere-Slot],MATCH(Tableau3[[#This Row],[ID-SLOT]],Tableau1[ID-SLOT],0))&amp;""</f>
        <v>S8</v>
      </c>
      <c r="AG847" s="108" t="str">
        <f>INDEX(Tableau2[Repere-Voie],MATCH(Tableau3[[#This Row],[ID-VOIE]],Tableau2[ID-Voie],0))&amp;""</f>
        <v>v5</v>
      </c>
      <c r="AH847" s="72" t="str">
        <f>Tableau3[[#This Row],[ID-API]]&amp; "." &amp;Tableau3[[#This Row],[ID-RACK]]&amp; "." &amp;Tableau3[[#This Row],[ID-SLOT]]</f>
        <v>5.2.8</v>
      </c>
      <c r="AI847" s="72" t="str">
        <f>INDEX(Tableau1[Ref-Carte],MATCH(Tableau3[[#This Row],[ID-RRS]],Tableau1[ID-RRS],0))</f>
        <v>SDI1602</v>
      </c>
      <c r="AJ847" s="72" t="str">
        <f t="array" ref="AJ847">IFERROR(INDEX(Tableau2[TS],MATCH(1,(Tableau2[Ref-Carte]=Tableau3[[#This Row],[Ref-Carte2]])*(Tableau2[ID-Voie]=Tableau3[[#This Row],[ID-VOIE]]),0)),"")</f>
        <v>ET</v>
      </c>
      <c r="AK847" s="72" t="str">
        <f>IFERROR(INDEX(Tableau2[TS],SUMPRODUCT((Tableau2[Ref-Carte]=Tableau3[[#This Row],[Ref-Carte2]])*(Tableau2[ID-Voie]=Tableau3[[#This Row],[ID-VOIE]])*ROW(Tableau2[TS]))-ROW(Tableau2[#Headers])),"")</f>
        <v>ET</v>
      </c>
      <c r="AL847" s="72" t="str">
        <f>Tableau3[[#This Row],[Ref-Carte2]]&amp;"/"&amp;Tableau3[[#This Row],[ID-VOIE]]</f>
        <v>SDI1602/5</v>
      </c>
      <c r="AM847" s="73" t="str">
        <f>INDEX(Tableau2[Borne],MATCH(Tableau3[[#This Row],[ID-CARTEVOIE]],Tableau2[ID-CARTEVOIE],0))&amp;""</f>
        <v>2A</v>
      </c>
      <c r="AN847" s="74" t="str">
        <f>Tableau3[[#This Row],[ID-API]]&amp;Tableau3[[#This Row],[ID-RACK]]&amp;Tableau3[[#This Row],[ID-SLOT]]&amp;Tableau3[[#This Row],[BORNE]]</f>
        <v>5282A</v>
      </c>
      <c r="AO847" s="1"/>
    </row>
    <row r="848" spans="1:41" ht="20.100000000000001" customHeight="1" thickTop="1" thickBot="1">
      <c r="A848" s="68"/>
      <c r="B848" s="69" t="str">
        <f>IFERROR(INDEX(Tableau4[Date],MATCH($A848,Tableau4[EVO],0)),"")</f>
        <v/>
      </c>
      <c r="C848" s="68" t="str">
        <f>IFERROR(INDEX(Tableau4[Designation],MATCH($A848,Tableau4[EVO],0)),"")</f>
        <v/>
      </c>
      <c r="D848" s="68"/>
      <c r="E848" s="70">
        <v>452</v>
      </c>
      <c r="F848" s="71">
        <v>3</v>
      </c>
      <c r="G848" s="101" t="str">
        <f>INDEX(Tableau8[Att1],MATCH(Tableau3[[#This Row],[ID-INS]],Tableau8[ID],0))&amp;""</f>
        <v>B21</v>
      </c>
      <c r="H848" s="153" t="s">
        <v>1766</v>
      </c>
      <c r="I848" s="101" t="str">
        <f>INDEX(Tableau8[Att3],MATCH(Tableau3[[#This Row],[ID-INS]],Tableau8[ID],0))&amp;""</f>
        <v>Synthèse défaut technique Ventilation B21</v>
      </c>
      <c r="J848" s="101"/>
      <c r="K848" s="167" t="str">
        <f>INDEX(Tableau8[Nom du modele],MATCH(Tableau3[[#This Row],[ID-INS]],Tableau8[ID],0))&amp;""</f>
        <v>E_Divers</v>
      </c>
      <c r="L848" s="99" t="str">
        <f>INDEX(Tableau5[Att1],MATCH(Tableau3[[#This Row],[ID-SIG]],Tableau5[ID],0))&amp;""</f>
        <v>C1</v>
      </c>
      <c r="M848" s="99" t="str">
        <f>INDEX(Tableau5[Att2],MATCH(Tableau3[[#This Row],[ID-SIG]],Tableau5[ID],0))&amp;""</f>
        <v/>
      </c>
      <c r="N848" s="99" t="str">
        <f>INDEX(Tableau5[Att3],MATCH(Tableau3[[#This Row],[ID-SIG]],Tableau5[ID],0))&amp;""</f>
        <v/>
      </c>
      <c r="O848" s="99"/>
      <c r="P848" s="99" t="str">
        <f>INDEX(Tableau5[Description],MATCH(Tableau3[[#This Row],[ID-SIG]],Tableau5[ID],0))</f>
        <v>Contact</v>
      </c>
      <c r="Q848" s="99"/>
      <c r="R848" s="103" t="str">
        <f>Tableau3[[#This Row],[Description]]</f>
        <v>Contact</v>
      </c>
      <c r="U848" s="87">
        <v>5</v>
      </c>
      <c r="V848" s="87">
        <v>2</v>
      </c>
      <c r="W848" s="87">
        <v>8</v>
      </c>
      <c r="X848" s="87">
        <v>6</v>
      </c>
      <c r="Y848" s="40"/>
      <c r="Z848" s="165" t="str">
        <f>INDEX(Tableau2[TS],MATCH(Tableau3[[#This Row],[ID-CARTEVOIE]],Tableau2[ID-CARTEVOIE],0))</f>
        <v>ET</v>
      </c>
      <c r="AA848" s="53" t="s">
        <v>213</v>
      </c>
      <c r="AB848" s="223" t="str">
        <f>IFERROR(INDEX(Tableau5[Reserve],MATCH(Tableau3[[#This Row],[ID-SIG]],Tableau5[ID],0))&amp;"","")</f>
        <v/>
      </c>
      <c r="AC848" s="21"/>
      <c r="AD848" s="108" t="str">
        <f>INDEX(Tableau7[Repere],MATCH(Tableau3[[#This Row],[ID-API]],Tableau7[ID-API],0))&amp;""</f>
        <v>A5</v>
      </c>
      <c r="AE848" s="108" t="str">
        <f>INDEX(Tableau1[Repere-Rack],MATCH(Tableau3[[#This Row],[ID-RACK]],Tableau1[ID-RACK],0))&amp;""</f>
        <v>R2</v>
      </c>
      <c r="AF848" s="108" t="str">
        <f>INDEX(Tableau1[Repere-Slot],MATCH(Tableau3[[#This Row],[ID-SLOT]],Tableau1[ID-SLOT],0))&amp;""</f>
        <v>S8</v>
      </c>
      <c r="AG848" s="108" t="str">
        <f>INDEX(Tableau2[Repere-Voie],MATCH(Tableau3[[#This Row],[ID-VOIE]],Tableau2[ID-Voie],0))&amp;""</f>
        <v>v6</v>
      </c>
      <c r="AH848" s="72" t="str">
        <f>Tableau3[[#This Row],[ID-API]]&amp; "." &amp;Tableau3[[#This Row],[ID-RACK]]&amp; "." &amp;Tableau3[[#This Row],[ID-SLOT]]</f>
        <v>5.2.8</v>
      </c>
      <c r="AI848" s="72" t="str">
        <f>INDEX(Tableau1[Ref-Carte],MATCH(Tableau3[[#This Row],[ID-RRS]],Tableau1[ID-RRS],0))</f>
        <v>SDI1602</v>
      </c>
      <c r="AJ848" s="72" t="str">
        <f t="array" ref="AJ848">IFERROR(INDEX(Tableau2[TS],MATCH(1,(Tableau2[Ref-Carte]=Tableau3[[#This Row],[Ref-Carte2]])*(Tableau2[ID-Voie]=Tableau3[[#This Row],[ID-VOIE]]),0)),"")</f>
        <v>ET</v>
      </c>
      <c r="AK848" s="72" t="str">
        <f>IFERROR(INDEX(Tableau2[TS],SUMPRODUCT((Tableau2[Ref-Carte]=Tableau3[[#This Row],[Ref-Carte2]])*(Tableau2[ID-Voie]=Tableau3[[#This Row],[ID-VOIE]])*ROW(Tableau2[TS]))-ROW(Tableau2[#Headers])),"")</f>
        <v>ET</v>
      </c>
      <c r="AL848" s="72" t="str">
        <f>Tableau3[[#This Row],[Ref-Carte2]]&amp;"/"&amp;Tableau3[[#This Row],[ID-VOIE]]</f>
        <v>SDI1602/6</v>
      </c>
      <c r="AM848" s="73" t="str">
        <f>INDEX(Tableau2[Borne],MATCH(Tableau3[[#This Row],[ID-CARTEVOIE]],Tableau2[ID-CARTEVOIE],0))&amp;""</f>
        <v>3B</v>
      </c>
      <c r="AN848" s="74" t="str">
        <f>Tableau3[[#This Row],[ID-API]]&amp;Tableau3[[#This Row],[ID-RACK]]&amp;Tableau3[[#This Row],[ID-SLOT]]&amp;Tableau3[[#This Row],[BORNE]]</f>
        <v>5283B</v>
      </c>
      <c r="AO848" s="1"/>
    </row>
    <row r="849" spans="1:41" ht="20.100000000000001" customHeight="1" thickTop="1" thickBot="1">
      <c r="A849" s="68"/>
      <c r="B849" s="69" t="str">
        <f>IFERROR(INDEX(Tableau4[Date],MATCH($A849,Tableau4[EVO],0)),"")</f>
        <v/>
      </c>
      <c r="C849" s="68" t="str">
        <f>IFERROR(INDEX(Tableau4[Designation],MATCH($A849,Tableau4[EVO],0)),"")</f>
        <v/>
      </c>
      <c r="D849" s="68"/>
      <c r="E849" s="70">
        <v>453</v>
      </c>
      <c r="F849" s="71">
        <v>3</v>
      </c>
      <c r="G849" s="101" t="str">
        <f>INDEX(Tableau8[Att1],MATCH(Tableau3[[#This Row],[ID-INS]],Tableau8[ID],0))&amp;""</f>
        <v>B21</v>
      </c>
      <c r="H849" s="153" t="s">
        <v>1767</v>
      </c>
      <c r="I849" s="101" t="str">
        <f>INDEX(Tableau8[Att3],MATCH(Tableau3[[#This Row],[ID-INS]],Tableau8[ID],0))&amp;""</f>
        <v>Synthèse défaut technique Chauffage/Climatisation B21</v>
      </c>
      <c r="J849" s="101"/>
      <c r="K849" s="167" t="str">
        <f>INDEX(Tableau8[Nom du modele],MATCH(Tableau3[[#This Row],[ID-INS]],Tableau8[ID],0))&amp;""</f>
        <v>E_Divers</v>
      </c>
      <c r="L849" s="99" t="str">
        <f>INDEX(Tableau5[Att1],MATCH(Tableau3[[#This Row],[ID-SIG]],Tableau5[ID],0))&amp;""</f>
        <v>C1</v>
      </c>
      <c r="M849" s="99" t="str">
        <f>INDEX(Tableau5[Att2],MATCH(Tableau3[[#This Row],[ID-SIG]],Tableau5[ID],0))&amp;""</f>
        <v/>
      </c>
      <c r="N849" s="99" t="str">
        <f>INDEX(Tableau5[Att3],MATCH(Tableau3[[#This Row],[ID-SIG]],Tableau5[ID],0))&amp;""</f>
        <v/>
      </c>
      <c r="O849" s="99"/>
      <c r="P849" s="99" t="str">
        <f>INDEX(Tableau5[Description],MATCH(Tableau3[[#This Row],[ID-SIG]],Tableau5[ID],0))</f>
        <v>Contact</v>
      </c>
      <c r="Q849" s="99"/>
      <c r="R849" s="103" t="str">
        <f>Tableau3[[#This Row],[Description]]</f>
        <v>Contact</v>
      </c>
      <c r="U849" s="87">
        <v>5</v>
      </c>
      <c r="V849" s="87">
        <v>2</v>
      </c>
      <c r="W849" s="87">
        <v>8</v>
      </c>
      <c r="X849" s="87">
        <v>7</v>
      </c>
      <c r="Y849" s="40"/>
      <c r="Z849" s="165" t="str">
        <f>INDEX(Tableau2[TS],MATCH(Tableau3[[#This Row],[ID-CARTEVOIE]],Tableau2[ID-CARTEVOIE],0))</f>
        <v>ET</v>
      </c>
      <c r="AA849" s="53" t="s">
        <v>213</v>
      </c>
      <c r="AB849" s="223" t="str">
        <f>IFERROR(INDEX(Tableau5[Reserve],MATCH(Tableau3[[#This Row],[ID-SIG]],Tableau5[ID],0))&amp;"","")</f>
        <v/>
      </c>
      <c r="AC849" s="21"/>
      <c r="AD849" s="108" t="str">
        <f>INDEX(Tableau7[Repere],MATCH(Tableau3[[#This Row],[ID-API]],Tableau7[ID-API],0))&amp;""</f>
        <v>A5</v>
      </c>
      <c r="AE849" s="108" t="str">
        <f>INDEX(Tableau1[Repere-Rack],MATCH(Tableau3[[#This Row],[ID-RACK]],Tableau1[ID-RACK],0))&amp;""</f>
        <v>R2</v>
      </c>
      <c r="AF849" s="108" t="str">
        <f>INDEX(Tableau1[Repere-Slot],MATCH(Tableau3[[#This Row],[ID-SLOT]],Tableau1[ID-SLOT],0))&amp;""</f>
        <v>S8</v>
      </c>
      <c r="AG849" s="108" t="str">
        <f>INDEX(Tableau2[Repere-Voie],MATCH(Tableau3[[#This Row],[ID-VOIE]],Tableau2[ID-Voie],0))&amp;""</f>
        <v>v7</v>
      </c>
      <c r="AH849" s="72" t="str">
        <f>Tableau3[[#This Row],[ID-API]]&amp; "." &amp;Tableau3[[#This Row],[ID-RACK]]&amp; "." &amp;Tableau3[[#This Row],[ID-SLOT]]</f>
        <v>5.2.8</v>
      </c>
      <c r="AI849" s="72" t="str">
        <f>INDEX(Tableau1[Ref-Carte],MATCH(Tableau3[[#This Row],[ID-RRS]],Tableau1[ID-RRS],0))</f>
        <v>SDI1602</v>
      </c>
      <c r="AJ849" s="72" t="str">
        <f t="array" ref="AJ849">IFERROR(INDEX(Tableau2[TS],MATCH(1,(Tableau2[Ref-Carte]=Tableau3[[#This Row],[Ref-Carte2]])*(Tableau2[ID-Voie]=Tableau3[[#This Row],[ID-VOIE]]),0)),"")</f>
        <v>ET</v>
      </c>
      <c r="AK849" s="72" t="str">
        <f>IFERROR(INDEX(Tableau2[TS],SUMPRODUCT((Tableau2[Ref-Carte]=Tableau3[[#This Row],[Ref-Carte2]])*(Tableau2[ID-Voie]=Tableau3[[#This Row],[ID-VOIE]])*ROW(Tableau2[TS]))-ROW(Tableau2[#Headers])),"")</f>
        <v>ET</v>
      </c>
      <c r="AL849" s="72" t="str">
        <f>Tableau3[[#This Row],[Ref-Carte2]]&amp;"/"&amp;Tableau3[[#This Row],[ID-VOIE]]</f>
        <v>SDI1602/7</v>
      </c>
      <c r="AM849" s="73" t="str">
        <f>INDEX(Tableau2[Borne],MATCH(Tableau3[[#This Row],[ID-CARTEVOIE]],Tableau2[ID-CARTEVOIE],0))&amp;""</f>
        <v>3A</v>
      </c>
      <c r="AN849" s="74" t="str">
        <f>Tableau3[[#This Row],[ID-API]]&amp;Tableau3[[#This Row],[ID-RACK]]&amp;Tableau3[[#This Row],[ID-SLOT]]&amp;Tableau3[[#This Row],[BORNE]]</f>
        <v>5283A</v>
      </c>
      <c r="AO849" s="1"/>
    </row>
    <row r="850" spans="1:41" ht="20.100000000000001" customHeight="1" thickTop="1" thickBot="1">
      <c r="A850" s="68"/>
      <c r="B850" s="69" t="str">
        <f>IFERROR(INDEX(Tableau4[Date],MATCH($A850,Tableau4[EVO],0)),"")</f>
        <v/>
      </c>
      <c r="C850" s="68" t="str">
        <f>IFERROR(INDEX(Tableau4[Designation],MATCH($A850,Tableau4[EVO],0)),"")</f>
        <v/>
      </c>
      <c r="D850" s="68"/>
      <c r="E850" s="70">
        <v>454</v>
      </c>
      <c r="F850" s="71">
        <v>3</v>
      </c>
      <c r="G850" s="101" t="str">
        <f>INDEX(Tableau8[Att1],MATCH(Tableau3[[#This Row],[ID-INS]],Tableau8[ID],0))&amp;""</f>
        <v>B21</v>
      </c>
      <c r="H850" s="101" t="str">
        <f>INDEX(Tableau8[Att2],MATCH(Tableau3[[#This Row],[ID-INS]],Tableau8[ID],0))&amp;""</f>
        <v>TECH14</v>
      </c>
      <c r="I850" s="101" t="str">
        <f>INDEX(Tableau8[Att3],MATCH(Tableau3[[#This Row],[ID-INS]],Tableau8[ID],0))&amp;""</f>
        <v>Synthèse défaut technique Récupération eau de Pluie B21</v>
      </c>
      <c r="J850" s="101"/>
      <c r="K850" s="167" t="str">
        <f>INDEX(Tableau8[Nom du modele],MATCH(Tableau3[[#This Row],[ID-INS]],Tableau8[ID],0))&amp;""</f>
        <v>E_Divers</v>
      </c>
      <c r="L850" s="99" t="str">
        <f>INDEX(Tableau5[Att1],MATCH(Tableau3[[#This Row],[ID-SIG]],Tableau5[ID],0))&amp;""</f>
        <v>C1</v>
      </c>
      <c r="M850" s="99" t="str">
        <f>INDEX(Tableau5[Att2],MATCH(Tableau3[[#This Row],[ID-SIG]],Tableau5[ID],0))&amp;""</f>
        <v/>
      </c>
      <c r="N850" s="99" t="str">
        <f>INDEX(Tableau5[Att3],MATCH(Tableau3[[#This Row],[ID-SIG]],Tableau5[ID],0))&amp;""</f>
        <v/>
      </c>
      <c r="O850" s="99"/>
      <c r="P850" s="99" t="str">
        <f>INDEX(Tableau5[Description],MATCH(Tableau3[[#This Row],[ID-SIG]],Tableau5[ID],0))</f>
        <v>Contact</v>
      </c>
      <c r="Q850" s="99"/>
      <c r="R850" s="103" t="str">
        <f>Tableau3[[#This Row],[Description]]</f>
        <v>Contact</v>
      </c>
      <c r="U850" s="87">
        <v>5</v>
      </c>
      <c r="V850" s="87">
        <v>2</v>
      </c>
      <c r="W850" s="87">
        <v>8</v>
      </c>
      <c r="X850" s="87">
        <v>8</v>
      </c>
      <c r="Y850" s="40"/>
      <c r="Z850" s="165" t="str">
        <f>INDEX(Tableau2[TS],MATCH(Tableau3[[#This Row],[ID-CARTEVOIE]],Tableau2[ID-CARTEVOIE],0))</f>
        <v>ET</v>
      </c>
      <c r="AA850" s="53" t="s">
        <v>213</v>
      </c>
      <c r="AB850" s="223" t="str">
        <f>IFERROR(INDEX(Tableau5[Reserve],MATCH(Tableau3[[#This Row],[ID-SIG]],Tableau5[ID],0))&amp;"","")</f>
        <v/>
      </c>
      <c r="AC850" s="21"/>
      <c r="AD850" s="108" t="str">
        <f>INDEX(Tableau7[Repere],MATCH(Tableau3[[#This Row],[ID-API]],Tableau7[ID-API],0))&amp;""</f>
        <v>A5</v>
      </c>
      <c r="AE850" s="108" t="str">
        <f>INDEX(Tableau1[Repere-Rack],MATCH(Tableau3[[#This Row],[ID-RACK]],Tableau1[ID-RACK],0))&amp;""</f>
        <v>R2</v>
      </c>
      <c r="AF850" s="108" t="str">
        <f>INDEX(Tableau1[Repere-Slot],MATCH(Tableau3[[#This Row],[ID-SLOT]],Tableau1[ID-SLOT],0))&amp;""</f>
        <v>S8</v>
      </c>
      <c r="AG850" s="108" t="str">
        <f>INDEX(Tableau2[Repere-Voie],MATCH(Tableau3[[#This Row],[ID-VOIE]],Tableau2[ID-Voie],0))&amp;""</f>
        <v>v8</v>
      </c>
      <c r="AH850" s="72" t="str">
        <f>Tableau3[[#This Row],[ID-API]]&amp; "." &amp;Tableau3[[#This Row],[ID-RACK]]&amp; "." &amp;Tableau3[[#This Row],[ID-SLOT]]</f>
        <v>5.2.8</v>
      </c>
      <c r="AI850" s="72" t="str">
        <f>INDEX(Tableau1[Ref-Carte],MATCH(Tableau3[[#This Row],[ID-RRS]],Tableau1[ID-RRS],0))</f>
        <v>SDI1602</v>
      </c>
      <c r="AJ850" s="72" t="str">
        <f t="array" ref="AJ850">IFERROR(INDEX(Tableau2[TS],MATCH(1,(Tableau2[Ref-Carte]=Tableau3[[#This Row],[Ref-Carte2]])*(Tableau2[ID-Voie]=Tableau3[[#This Row],[ID-VOIE]]),0)),"")</f>
        <v>ET</v>
      </c>
      <c r="AK850" s="72" t="str">
        <f>IFERROR(INDEX(Tableau2[TS],SUMPRODUCT((Tableau2[Ref-Carte]=Tableau3[[#This Row],[Ref-Carte2]])*(Tableau2[ID-Voie]=Tableau3[[#This Row],[ID-VOIE]])*ROW(Tableau2[TS]))-ROW(Tableau2[#Headers])),"")</f>
        <v>ET</v>
      </c>
      <c r="AL850" s="72" t="str">
        <f>Tableau3[[#This Row],[Ref-Carte2]]&amp;"/"&amp;Tableau3[[#This Row],[ID-VOIE]]</f>
        <v>SDI1602/8</v>
      </c>
      <c r="AM850" s="73" t="str">
        <f>INDEX(Tableau2[Borne],MATCH(Tableau3[[#This Row],[ID-CARTEVOIE]],Tableau2[ID-CARTEVOIE],0))&amp;""</f>
        <v>4B</v>
      </c>
      <c r="AN850" s="74" t="str">
        <f>Tableau3[[#This Row],[ID-API]]&amp;Tableau3[[#This Row],[ID-RACK]]&amp;Tableau3[[#This Row],[ID-SLOT]]&amp;Tableau3[[#This Row],[BORNE]]</f>
        <v>5284B</v>
      </c>
      <c r="AO850" s="1"/>
    </row>
    <row r="851" spans="1:41" ht="20.100000000000001" customHeight="1" thickTop="1" thickBot="1">
      <c r="A851" s="68"/>
      <c r="B851" s="69" t="str">
        <f>IFERROR(INDEX(Tableau4[Date],MATCH($A851,Tableau4[EVO],0)),"")</f>
        <v/>
      </c>
      <c r="C851" s="68" t="str">
        <f>IFERROR(INDEX(Tableau4[Designation],MATCH($A851,Tableau4[EVO],0)),"")</f>
        <v/>
      </c>
      <c r="D851" s="68"/>
      <c r="E851" s="70">
        <v>455</v>
      </c>
      <c r="F851" s="71">
        <v>3</v>
      </c>
      <c r="G851" s="101" t="str">
        <f>INDEX(Tableau8[Att1],MATCH(Tableau3[[#This Row],[ID-INS]],Tableau8[ID],0))&amp;""</f>
        <v>B21</v>
      </c>
      <c r="H851" s="101" t="str">
        <f>INDEX(Tableau8[Att2],MATCH(Tableau3[[#This Row],[ID-INS]],Tableau8[ID],0))&amp;""</f>
        <v>PPH65</v>
      </c>
      <c r="I851" s="101" t="str">
        <f>INDEX(Tableau8[Att3],MATCH(Tableau3[[#This Row],[ID-INS]],Tableau8[ID],0))&amp;""</f>
        <v>Alarme détecteur volumétrique DVOL1</v>
      </c>
      <c r="J851" s="101"/>
      <c r="K851" s="167" t="str">
        <f>INDEX(Tableau8[Nom du modele],MATCH(Tableau3[[#This Row],[ID-INS]],Tableau8[ID],0))&amp;""</f>
        <v>E_Divers</v>
      </c>
      <c r="L851" s="99" t="str">
        <f>INDEX(Tableau5[Att1],MATCH(Tableau3[[#This Row],[ID-SIG]],Tableau5[ID],0))&amp;""</f>
        <v>C1</v>
      </c>
      <c r="M851" s="99" t="str">
        <f>INDEX(Tableau5[Att2],MATCH(Tableau3[[#This Row],[ID-SIG]],Tableau5[ID],0))&amp;""</f>
        <v/>
      </c>
      <c r="N851" s="99" t="str">
        <f>INDEX(Tableau5[Att3],MATCH(Tableau3[[#This Row],[ID-SIG]],Tableau5[ID],0))&amp;""</f>
        <v/>
      </c>
      <c r="O851" s="99"/>
      <c r="P851" s="99" t="str">
        <f>INDEX(Tableau5[Description],MATCH(Tableau3[[#This Row],[ID-SIG]],Tableau5[ID],0))</f>
        <v>Contact</v>
      </c>
      <c r="Q851" s="99"/>
      <c r="R851" s="103" t="str">
        <f>Tableau3[[#This Row],[Description]]</f>
        <v>Contact</v>
      </c>
      <c r="U851" s="87">
        <v>5</v>
      </c>
      <c r="V851" s="87">
        <v>2</v>
      </c>
      <c r="W851" s="87">
        <v>8</v>
      </c>
      <c r="X851" s="87">
        <v>9</v>
      </c>
      <c r="Y851" s="40"/>
      <c r="Z851" s="165" t="str">
        <f>INDEX(Tableau2[TS],MATCH(Tableau3[[#This Row],[ID-CARTEVOIE]],Tableau2[ID-CARTEVOIE],0))</f>
        <v>ET</v>
      </c>
      <c r="AA851" s="53" t="s">
        <v>213</v>
      </c>
      <c r="AB851" s="223" t="str">
        <f>IFERROR(INDEX(Tableau5[Reserve],MATCH(Tableau3[[#This Row],[ID-SIG]],Tableau5[ID],0))&amp;"","")</f>
        <v/>
      </c>
      <c r="AC851" s="21"/>
      <c r="AD851" s="108" t="str">
        <f>INDEX(Tableau7[Repere],MATCH(Tableau3[[#This Row],[ID-API]],Tableau7[ID-API],0))&amp;""</f>
        <v>A5</v>
      </c>
      <c r="AE851" s="108" t="str">
        <f>INDEX(Tableau1[Repere-Rack],MATCH(Tableau3[[#This Row],[ID-RACK]],Tableau1[ID-RACK],0))&amp;""</f>
        <v>R2</v>
      </c>
      <c r="AF851" s="108" t="str">
        <f>INDEX(Tableau1[Repere-Slot],MATCH(Tableau3[[#This Row],[ID-SLOT]],Tableau1[ID-SLOT],0))&amp;""</f>
        <v>S8</v>
      </c>
      <c r="AG851" s="108" t="str">
        <f>INDEX(Tableau2[Repere-Voie],MATCH(Tableau3[[#This Row],[ID-VOIE]],Tableau2[ID-Voie],0))&amp;""</f>
        <v>v9</v>
      </c>
      <c r="AH851" s="72" t="str">
        <f>Tableau3[[#This Row],[ID-API]]&amp; "." &amp;Tableau3[[#This Row],[ID-RACK]]&amp; "." &amp;Tableau3[[#This Row],[ID-SLOT]]</f>
        <v>5.2.8</v>
      </c>
      <c r="AI851" s="72" t="str">
        <f>INDEX(Tableau1[Ref-Carte],MATCH(Tableau3[[#This Row],[ID-RRS]],Tableau1[ID-RRS],0))</f>
        <v>SDI1602</v>
      </c>
      <c r="AJ851" s="72" t="str">
        <f t="array" ref="AJ851">IFERROR(INDEX(Tableau2[TS],MATCH(1,(Tableau2[Ref-Carte]=Tableau3[[#This Row],[Ref-Carte2]])*(Tableau2[ID-Voie]=Tableau3[[#This Row],[ID-VOIE]]),0)),"")</f>
        <v>ET</v>
      </c>
      <c r="AK851" s="72" t="str">
        <f>IFERROR(INDEX(Tableau2[TS],SUMPRODUCT((Tableau2[Ref-Carte]=Tableau3[[#This Row],[Ref-Carte2]])*(Tableau2[ID-Voie]=Tableau3[[#This Row],[ID-VOIE]])*ROW(Tableau2[TS]))-ROW(Tableau2[#Headers])),"")</f>
        <v>ET</v>
      </c>
      <c r="AL851" s="72" t="str">
        <f>Tableau3[[#This Row],[Ref-Carte2]]&amp;"/"&amp;Tableau3[[#This Row],[ID-VOIE]]</f>
        <v>SDI1602/9</v>
      </c>
      <c r="AM851" s="73" t="str">
        <f>INDEX(Tableau2[Borne],MATCH(Tableau3[[#This Row],[ID-CARTEVOIE]],Tableau2[ID-CARTEVOIE],0))&amp;""</f>
        <v>4A</v>
      </c>
      <c r="AN851" s="74" t="str">
        <f>Tableau3[[#This Row],[ID-API]]&amp;Tableau3[[#This Row],[ID-RACK]]&amp;Tableau3[[#This Row],[ID-SLOT]]&amp;Tableau3[[#This Row],[BORNE]]</f>
        <v>5284A</v>
      </c>
      <c r="AO851" s="1"/>
    </row>
    <row r="852" spans="1:41" ht="20.100000000000001" customHeight="1" thickTop="1" thickBot="1">
      <c r="A852" s="68"/>
      <c r="B852" s="69" t="str">
        <f>IFERROR(INDEX(Tableau4[Date],MATCH($A852,Tableau4[EVO],0)),"")</f>
        <v/>
      </c>
      <c r="C852" s="68" t="str">
        <f>IFERROR(INDEX(Tableau4[Designation],MATCH($A852,Tableau4[EVO],0)),"")</f>
        <v/>
      </c>
      <c r="D852" s="68"/>
      <c r="E852" s="70">
        <v>456</v>
      </c>
      <c r="F852" s="71">
        <v>3</v>
      </c>
      <c r="G852" s="101" t="str">
        <f>INDEX(Tableau8[Att1],MATCH(Tableau3[[#This Row],[ID-INS]],Tableau8[ID],0))&amp;""</f>
        <v>B21</v>
      </c>
      <c r="H852" s="101" t="str">
        <f>INDEX(Tableau8[Att2],MATCH(Tableau3[[#This Row],[ID-INS]],Tableau8[ID],0))&amp;""</f>
        <v>PPH66</v>
      </c>
      <c r="I852" s="101" t="str">
        <f>INDEX(Tableau8[Att3],MATCH(Tableau3[[#This Row],[ID-INS]],Tableau8[ID],0))&amp;""</f>
        <v>Fraude détecteur volumétrique DVOL1</v>
      </c>
      <c r="J852" s="101"/>
      <c r="K852" s="167" t="str">
        <f>INDEX(Tableau8[Nom du modele],MATCH(Tableau3[[#This Row],[ID-INS]],Tableau8[ID],0))&amp;""</f>
        <v>E_Divers</v>
      </c>
      <c r="L852" s="99" t="str">
        <f>INDEX(Tableau5[Att1],MATCH(Tableau3[[#This Row],[ID-SIG]],Tableau5[ID],0))&amp;""</f>
        <v>C1</v>
      </c>
      <c r="M852" s="99" t="str">
        <f>INDEX(Tableau5[Att2],MATCH(Tableau3[[#This Row],[ID-SIG]],Tableau5[ID],0))&amp;""</f>
        <v/>
      </c>
      <c r="N852" s="99" t="str">
        <f>INDEX(Tableau5[Att3],MATCH(Tableau3[[#This Row],[ID-SIG]],Tableau5[ID],0))&amp;""</f>
        <v/>
      </c>
      <c r="O852" s="99"/>
      <c r="P852" s="99" t="str">
        <f>INDEX(Tableau5[Description],MATCH(Tableau3[[#This Row],[ID-SIG]],Tableau5[ID],0))</f>
        <v>Contact</v>
      </c>
      <c r="Q852" s="99"/>
      <c r="R852" s="103" t="str">
        <f>Tableau3[[#This Row],[Description]]</f>
        <v>Contact</v>
      </c>
      <c r="U852" s="87">
        <v>5</v>
      </c>
      <c r="V852" s="87">
        <v>2</v>
      </c>
      <c r="W852" s="87">
        <v>8</v>
      </c>
      <c r="X852" s="87">
        <v>10</v>
      </c>
      <c r="Y852" s="40"/>
      <c r="Z852" s="165" t="str">
        <f>INDEX(Tableau2[TS],MATCH(Tableau3[[#This Row],[ID-CARTEVOIE]],Tableau2[ID-CARTEVOIE],0))</f>
        <v>ET</v>
      </c>
      <c r="AA852" s="53" t="s">
        <v>213</v>
      </c>
      <c r="AB852" s="223" t="str">
        <f>IFERROR(INDEX(Tableau5[Reserve],MATCH(Tableau3[[#This Row],[ID-SIG]],Tableau5[ID],0))&amp;"","")</f>
        <v/>
      </c>
      <c r="AC852" s="21"/>
      <c r="AD852" s="108" t="str">
        <f>INDEX(Tableau7[Repere],MATCH(Tableau3[[#This Row],[ID-API]],Tableau7[ID-API],0))&amp;""</f>
        <v>A5</v>
      </c>
      <c r="AE852" s="108" t="str">
        <f>INDEX(Tableau1[Repere-Rack],MATCH(Tableau3[[#This Row],[ID-RACK]],Tableau1[ID-RACK],0))&amp;""</f>
        <v>R2</v>
      </c>
      <c r="AF852" s="108" t="str">
        <f>INDEX(Tableau1[Repere-Slot],MATCH(Tableau3[[#This Row],[ID-SLOT]],Tableau1[ID-SLOT],0))&amp;""</f>
        <v>S8</v>
      </c>
      <c r="AG852" s="108" t="str">
        <f>INDEX(Tableau2[Repere-Voie],MATCH(Tableau3[[#This Row],[ID-VOIE]],Tableau2[ID-Voie],0))&amp;""</f>
        <v>v10</v>
      </c>
      <c r="AH852" s="72" t="str">
        <f>Tableau3[[#This Row],[ID-API]]&amp; "." &amp;Tableau3[[#This Row],[ID-RACK]]&amp; "." &amp;Tableau3[[#This Row],[ID-SLOT]]</f>
        <v>5.2.8</v>
      </c>
      <c r="AI852" s="72" t="str">
        <f>INDEX(Tableau1[Ref-Carte],MATCH(Tableau3[[#This Row],[ID-RRS]],Tableau1[ID-RRS],0))</f>
        <v>SDI1602</v>
      </c>
      <c r="AJ852" s="72" t="str">
        <f t="array" ref="AJ852">IFERROR(INDEX(Tableau2[TS],MATCH(1,(Tableau2[Ref-Carte]=Tableau3[[#This Row],[Ref-Carte2]])*(Tableau2[ID-Voie]=Tableau3[[#This Row],[ID-VOIE]]),0)),"")</f>
        <v>ET</v>
      </c>
      <c r="AK852" s="72" t="str">
        <f>IFERROR(INDEX(Tableau2[TS],SUMPRODUCT((Tableau2[Ref-Carte]=Tableau3[[#This Row],[Ref-Carte2]])*(Tableau2[ID-Voie]=Tableau3[[#This Row],[ID-VOIE]])*ROW(Tableau2[TS]))-ROW(Tableau2[#Headers])),"")</f>
        <v>ET</v>
      </c>
      <c r="AL852" s="72" t="str">
        <f>Tableau3[[#This Row],[Ref-Carte2]]&amp;"/"&amp;Tableau3[[#This Row],[ID-VOIE]]</f>
        <v>SDI1602/10</v>
      </c>
      <c r="AM852" s="73" t="str">
        <f>INDEX(Tableau2[Borne],MATCH(Tableau3[[#This Row],[ID-CARTEVOIE]],Tableau2[ID-CARTEVOIE],0))&amp;""</f>
        <v>5B</v>
      </c>
      <c r="AN852" s="74" t="str">
        <f>Tableau3[[#This Row],[ID-API]]&amp;Tableau3[[#This Row],[ID-RACK]]&amp;Tableau3[[#This Row],[ID-SLOT]]&amp;Tableau3[[#This Row],[BORNE]]</f>
        <v>5285B</v>
      </c>
      <c r="AO852" s="1"/>
    </row>
    <row r="853" spans="1:41" ht="20.100000000000001" customHeight="1" thickTop="1" thickBot="1">
      <c r="A853" s="68"/>
      <c r="B853" s="69" t="str">
        <f>IFERROR(INDEX(Tableau4[Date],MATCH($A853,Tableau4[EVO],0)),"")</f>
        <v/>
      </c>
      <c r="C853" s="68" t="str">
        <f>IFERROR(INDEX(Tableau4[Designation],MATCH($A853,Tableau4[EVO],0)),"")</f>
        <v/>
      </c>
      <c r="D853" s="68"/>
      <c r="E853" s="70">
        <v>457</v>
      </c>
      <c r="F853" s="71">
        <v>3</v>
      </c>
      <c r="G853" s="101" t="str">
        <f>INDEX(Tableau8[Att1],MATCH(Tableau3[[#This Row],[ID-INS]],Tableau8[ID],0))&amp;""</f>
        <v>B21</v>
      </c>
      <c r="H853" s="101" t="str">
        <f>INDEX(Tableau8[Att2],MATCH(Tableau3[[#This Row],[ID-INS]],Tableau8[ID],0))&amp;""</f>
        <v>TECH15</v>
      </c>
      <c r="I853" s="101" t="str">
        <f>INDEX(Tableau8[Att3],MATCH(Tableau3[[#This Row],[ID-INS]],Tableau8[ID],0))&amp;""</f>
        <v>Dérangement détecteur volumétrique DVOL1</v>
      </c>
      <c r="J853" s="101"/>
      <c r="K853" s="167" t="str">
        <f>INDEX(Tableau8[Nom du modele],MATCH(Tableau3[[#This Row],[ID-INS]],Tableau8[ID],0))&amp;""</f>
        <v>E_Divers</v>
      </c>
      <c r="L853" s="99" t="str">
        <f>INDEX(Tableau5[Att1],MATCH(Tableau3[[#This Row],[ID-SIG]],Tableau5[ID],0))&amp;""</f>
        <v>C1</v>
      </c>
      <c r="M853" s="99" t="str">
        <f>INDEX(Tableau5[Att2],MATCH(Tableau3[[#This Row],[ID-SIG]],Tableau5[ID],0))&amp;""</f>
        <v/>
      </c>
      <c r="N853" s="99" t="str">
        <f>INDEX(Tableau5[Att3],MATCH(Tableau3[[#This Row],[ID-SIG]],Tableau5[ID],0))&amp;""</f>
        <v/>
      </c>
      <c r="O853" s="99"/>
      <c r="P853" s="99" t="str">
        <f>INDEX(Tableau5[Description],MATCH(Tableau3[[#This Row],[ID-SIG]],Tableau5[ID],0))</f>
        <v>Contact</v>
      </c>
      <c r="Q853" s="99"/>
      <c r="R853" s="103" t="str">
        <f>Tableau3[[#This Row],[Description]]</f>
        <v>Contact</v>
      </c>
      <c r="U853" s="87">
        <v>5</v>
      </c>
      <c r="V853" s="87">
        <v>2</v>
      </c>
      <c r="W853" s="87">
        <v>8</v>
      </c>
      <c r="X853" s="87">
        <v>11</v>
      </c>
      <c r="Y853" s="40"/>
      <c r="Z853" s="165" t="str">
        <f>INDEX(Tableau2[TS],MATCH(Tableau3[[#This Row],[ID-CARTEVOIE]],Tableau2[ID-CARTEVOIE],0))</f>
        <v>ET</v>
      </c>
      <c r="AA853" s="53" t="s">
        <v>213</v>
      </c>
      <c r="AB853" s="223" t="str">
        <f>IFERROR(INDEX(Tableau5[Reserve],MATCH(Tableau3[[#This Row],[ID-SIG]],Tableau5[ID],0))&amp;"","")</f>
        <v/>
      </c>
      <c r="AC853" s="21"/>
      <c r="AD853" s="108" t="str">
        <f>INDEX(Tableau7[Repere],MATCH(Tableau3[[#This Row],[ID-API]],Tableau7[ID-API],0))&amp;""</f>
        <v>A5</v>
      </c>
      <c r="AE853" s="108" t="str">
        <f>INDEX(Tableau1[Repere-Rack],MATCH(Tableau3[[#This Row],[ID-RACK]],Tableau1[ID-RACK],0))&amp;""</f>
        <v>R2</v>
      </c>
      <c r="AF853" s="108" t="str">
        <f>INDEX(Tableau1[Repere-Slot],MATCH(Tableau3[[#This Row],[ID-SLOT]],Tableau1[ID-SLOT],0))&amp;""</f>
        <v>S8</v>
      </c>
      <c r="AG853" s="108" t="str">
        <f>INDEX(Tableau2[Repere-Voie],MATCH(Tableau3[[#This Row],[ID-VOIE]],Tableau2[ID-Voie],0))&amp;""</f>
        <v>v11</v>
      </c>
      <c r="AH853" s="72" t="str">
        <f>Tableau3[[#This Row],[ID-API]]&amp; "." &amp;Tableau3[[#This Row],[ID-RACK]]&amp; "." &amp;Tableau3[[#This Row],[ID-SLOT]]</f>
        <v>5.2.8</v>
      </c>
      <c r="AI853" s="72" t="str">
        <f>INDEX(Tableau1[Ref-Carte],MATCH(Tableau3[[#This Row],[ID-RRS]],Tableau1[ID-RRS],0))</f>
        <v>SDI1602</v>
      </c>
      <c r="AJ853" s="72" t="str">
        <f t="array" ref="AJ853">IFERROR(INDEX(Tableau2[TS],MATCH(1,(Tableau2[Ref-Carte]=Tableau3[[#This Row],[Ref-Carte2]])*(Tableau2[ID-Voie]=Tableau3[[#This Row],[ID-VOIE]]),0)),"")</f>
        <v>ET</v>
      </c>
      <c r="AK853" s="72" t="str">
        <f>IFERROR(INDEX(Tableau2[TS],SUMPRODUCT((Tableau2[Ref-Carte]=Tableau3[[#This Row],[Ref-Carte2]])*(Tableau2[ID-Voie]=Tableau3[[#This Row],[ID-VOIE]])*ROW(Tableau2[TS]))-ROW(Tableau2[#Headers])),"")</f>
        <v>ET</v>
      </c>
      <c r="AL853" s="72" t="str">
        <f>Tableau3[[#This Row],[Ref-Carte2]]&amp;"/"&amp;Tableau3[[#This Row],[ID-VOIE]]</f>
        <v>SDI1602/11</v>
      </c>
      <c r="AM853" s="73" t="str">
        <f>INDEX(Tableau2[Borne],MATCH(Tableau3[[#This Row],[ID-CARTEVOIE]],Tableau2[ID-CARTEVOIE],0))&amp;""</f>
        <v>5A</v>
      </c>
      <c r="AN853" s="74" t="str">
        <f>Tableau3[[#This Row],[ID-API]]&amp;Tableau3[[#This Row],[ID-RACK]]&amp;Tableau3[[#This Row],[ID-SLOT]]&amp;Tableau3[[#This Row],[BORNE]]</f>
        <v>5285A</v>
      </c>
      <c r="AO853" s="1"/>
    </row>
    <row r="854" spans="1:41" ht="20.100000000000001" customHeight="1" thickTop="1" thickBot="1">
      <c r="A854" s="68"/>
      <c r="B854" s="69" t="str">
        <f>IFERROR(INDEX(Tableau4[Date],MATCH($A854,Tableau4[EVO],0)),"")</f>
        <v/>
      </c>
      <c r="C854" s="68" t="str">
        <f>IFERROR(INDEX(Tableau4[Designation],MATCH($A854,Tableau4[EVO],0)),"")</f>
        <v/>
      </c>
      <c r="D854" s="68"/>
      <c r="E854" s="70">
        <v>458</v>
      </c>
      <c r="F854" s="71">
        <v>3</v>
      </c>
      <c r="G854" s="101" t="str">
        <f>INDEX(Tableau8[Att1],MATCH(Tableau3[[#This Row],[ID-INS]],Tableau8[ID],0))&amp;""</f>
        <v>B21</v>
      </c>
      <c r="H854" s="101" t="str">
        <f>INDEX(Tableau8[Att2],MATCH(Tableau3[[#This Row],[ID-INS]],Tableau8[ID],0))&amp;""</f>
        <v>PPH67</v>
      </c>
      <c r="I854" s="101" t="str">
        <f>INDEX(Tableau8[Att3],MATCH(Tableau3[[#This Row],[ID-INS]],Tableau8[ID],0))&amp;""</f>
        <v>Alarme détecteur volumétrique DVOL6</v>
      </c>
      <c r="J854" s="101"/>
      <c r="K854" s="167" t="str">
        <f>INDEX(Tableau8[Nom du modele],MATCH(Tableau3[[#This Row],[ID-INS]],Tableau8[ID],0))&amp;""</f>
        <v>E_Divers</v>
      </c>
      <c r="L854" s="99" t="str">
        <f>INDEX(Tableau5[Att1],MATCH(Tableau3[[#This Row],[ID-SIG]],Tableau5[ID],0))&amp;""</f>
        <v>C1</v>
      </c>
      <c r="M854" s="99" t="str">
        <f>INDEX(Tableau5[Att2],MATCH(Tableau3[[#This Row],[ID-SIG]],Tableau5[ID],0))&amp;""</f>
        <v/>
      </c>
      <c r="N854" s="99" t="str">
        <f>INDEX(Tableau5[Att3],MATCH(Tableau3[[#This Row],[ID-SIG]],Tableau5[ID],0))&amp;""</f>
        <v/>
      </c>
      <c r="O854" s="99"/>
      <c r="P854" s="99" t="str">
        <f>INDEX(Tableau5[Description],MATCH(Tableau3[[#This Row],[ID-SIG]],Tableau5[ID],0))</f>
        <v>Contact</v>
      </c>
      <c r="Q854" s="99"/>
      <c r="R854" s="103" t="str">
        <f>Tableau3[[#This Row],[Description]]</f>
        <v>Contact</v>
      </c>
      <c r="U854" s="87">
        <v>5</v>
      </c>
      <c r="V854" s="87">
        <v>2</v>
      </c>
      <c r="W854" s="87">
        <v>8</v>
      </c>
      <c r="X854" s="87">
        <v>12</v>
      </c>
      <c r="Y854" s="40"/>
      <c r="Z854" s="165" t="str">
        <f>INDEX(Tableau2[TS],MATCH(Tableau3[[#This Row],[ID-CARTEVOIE]],Tableau2[ID-CARTEVOIE],0))</f>
        <v>ET</v>
      </c>
      <c r="AA854" s="53" t="s">
        <v>213</v>
      </c>
      <c r="AB854" s="223" t="str">
        <f>IFERROR(INDEX(Tableau5[Reserve],MATCH(Tableau3[[#This Row],[ID-SIG]],Tableau5[ID],0))&amp;"","")</f>
        <v/>
      </c>
      <c r="AC854" s="21"/>
      <c r="AD854" s="108" t="str">
        <f>INDEX(Tableau7[Repere],MATCH(Tableau3[[#This Row],[ID-API]],Tableau7[ID-API],0))&amp;""</f>
        <v>A5</v>
      </c>
      <c r="AE854" s="108" t="str">
        <f>INDEX(Tableau1[Repere-Rack],MATCH(Tableau3[[#This Row],[ID-RACK]],Tableau1[ID-RACK],0))&amp;""</f>
        <v>R2</v>
      </c>
      <c r="AF854" s="108" t="str">
        <f>INDEX(Tableau1[Repere-Slot],MATCH(Tableau3[[#This Row],[ID-SLOT]],Tableau1[ID-SLOT],0))&amp;""</f>
        <v>S8</v>
      </c>
      <c r="AG854" s="108" t="str">
        <f>INDEX(Tableau2[Repere-Voie],MATCH(Tableau3[[#This Row],[ID-VOIE]],Tableau2[ID-Voie],0))&amp;""</f>
        <v>v12</v>
      </c>
      <c r="AH854" s="72" t="str">
        <f>Tableau3[[#This Row],[ID-API]]&amp; "." &amp;Tableau3[[#This Row],[ID-RACK]]&amp; "." &amp;Tableau3[[#This Row],[ID-SLOT]]</f>
        <v>5.2.8</v>
      </c>
      <c r="AI854" s="72" t="str">
        <f>INDEX(Tableau1[Ref-Carte],MATCH(Tableau3[[#This Row],[ID-RRS]],Tableau1[ID-RRS],0))</f>
        <v>SDI1602</v>
      </c>
      <c r="AJ854" s="72" t="str">
        <f t="array" ref="AJ854">IFERROR(INDEX(Tableau2[TS],MATCH(1,(Tableau2[Ref-Carte]=Tableau3[[#This Row],[Ref-Carte2]])*(Tableau2[ID-Voie]=Tableau3[[#This Row],[ID-VOIE]]),0)),"")</f>
        <v>ET</v>
      </c>
      <c r="AK854" s="72" t="str">
        <f>IFERROR(INDEX(Tableau2[TS],SUMPRODUCT((Tableau2[Ref-Carte]=Tableau3[[#This Row],[Ref-Carte2]])*(Tableau2[ID-Voie]=Tableau3[[#This Row],[ID-VOIE]])*ROW(Tableau2[TS]))-ROW(Tableau2[#Headers])),"")</f>
        <v>ET</v>
      </c>
      <c r="AL854" s="72" t="str">
        <f>Tableau3[[#This Row],[Ref-Carte2]]&amp;"/"&amp;Tableau3[[#This Row],[ID-VOIE]]</f>
        <v>SDI1602/12</v>
      </c>
      <c r="AM854" s="73" t="str">
        <f>INDEX(Tableau2[Borne],MATCH(Tableau3[[#This Row],[ID-CARTEVOIE]],Tableau2[ID-CARTEVOIE],0))&amp;""</f>
        <v>6B</v>
      </c>
      <c r="AN854" s="74" t="str">
        <f>Tableau3[[#This Row],[ID-API]]&amp;Tableau3[[#This Row],[ID-RACK]]&amp;Tableau3[[#This Row],[ID-SLOT]]&amp;Tableau3[[#This Row],[BORNE]]</f>
        <v>5286B</v>
      </c>
      <c r="AO854" s="1"/>
    </row>
    <row r="855" spans="1:41" ht="20.100000000000001" customHeight="1" thickTop="1" thickBot="1">
      <c r="A855" s="68"/>
      <c r="B855" s="69" t="str">
        <f>IFERROR(INDEX(Tableau4[Date],MATCH($A855,Tableau4[EVO],0)),"")</f>
        <v/>
      </c>
      <c r="C855" s="68" t="str">
        <f>IFERROR(INDEX(Tableau4[Designation],MATCH($A855,Tableau4[EVO],0)),"")</f>
        <v/>
      </c>
      <c r="D855" s="68"/>
      <c r="E855" s="70">
        <v>459</v>
      </c>
      <c r="F855" s="71">
        <v>3</v>
      </c>
      <c r="G855" s="101" t="str">
        <f>INDEX(Tableau8[Att1],MATCH(Tableau3[[#This Row],[ID-INS]],Tableau8[ID],0))&amp;""</f>
        <v>B21</v>
      </c>
      <c r="H855" s="101" t="str">
        <f>INDEX(Tableau8[Att2],MATCH(Tableau3[[#This Row],[ID-INS]],Tableau8[ID],0))&amp;""</f>
        <v>PPH68</v>
      </c>
      <c r="I855" s="101" t="str">
        <f>INDEX(Tableau8[Att3],MATCH(Tableau3[[#This Row],[ID-INS]],Tableau8[ID],0))&amp;""</f>
        <v>Fraude détecteur volumétrique DVOL6</v>
      </c>
      <c r="J855" s="101"/>
      <c r="K855" s="167" t="str">
        <f>INDEX(Tableau8[Nom du modele],MATCH(Tableau3[[#This Row],[ID-INS]],Tableau8[ID],0))&amp;""</f>
        <v>E_Divers</v>
      </c>
      <c r="L855" s="99" t="str">
        <f>INDEX(Tableau5[Att1],MATCH(Tableau3[[#This Row],[ID-SIG]],Tableau5[ID],0))&amp;""</f>
        <v>C1</v>
      </c>
      <c r="M855" s="99" t="str">
        <f>INDEX(Tableau5[Att2],MATCH(Tableau3[[#This Row],[ID-SIG]],Tableau5[ID],0))&amp;""</f>
        <v/>
      </c>
      <c r="N855" s="99" t="str">
        <f>INDEX(Tableau5[Att3],MATCH(Tableau3[[#This Row],[ID-SIG]],Tableau5[ID],0))&amp;""</f>
        <v/>
      </c>
      <c r="O855" s="99"/>
      <c r="P855" s="99" t="str">
        <f>INDEX(Tableau5[Description],MATCH(Tableau3[[#This Row],[ID-SIG]],Tableau5[ID],0))</f>
        <v>Contact</v>
      </c>
      <c r="Q855" s="99"/>
      <c r="R855" s="103" t="str">
        <f>Tableau3[[#This Row],[Description]]</f>
        <v>Contact</v>
      </c>
      <c r="U855" s="87">
        <v>5</v>
      </c>
      <c r="V855" s="87">
        <v>2</v>
      </c>
      <c r="W855" s="87">
        <v>8</v>
      </c>
      <c r="X855" s="87">
        <v>13</v>
      </c>
      <c r="Y855" s="40"/>
      <c r="Z855" s="165" t="str">
        <f>INDEX(Tableau2[TS],MATCH(Tableau3[[#This Row],[ID-CARTEVOIE]],Tableau2[ID-CARTEVOIE],0))</f>
        <v>ET</v>
      </c>
      <c r="AA855" s="53" t="s">
        <v>213</v>
      </c>
      <c r="AB855" s="223" t="str">
        <f>IFERROR(INDEX(Tableau5[Reserve],MATCH(Tableau3[[#This Row],[ID-SIG]],Tableau5[ID],0))&amp;"","")</f>
        <v/>
      </c>
      <c r="AC855" s="21"/>
      <c r="AD855" s="108" t="str">
        <f>INDEX(Tableau7[Repere],MATCH(Tableau3[[#This Row],[ID-API]],Tableau7[ID-API],0))&amp;""</f>
        <v>A5</v>
      </c>
      <c r="AE855" s="108" t="str">
        <f>INDEX(Tableau1[Repere-Rack],MATCH(Tableau3[[#This Row],[ID-RACK]],Tableau1[ID-RACK],0))&amp;""</f>
        <v>R2</v>
      </c>
      <c r="AF855" s="108" t="str">
        <f>INDEX(Tableau1[Repere-Slot],MATCH(Tableau3[[#This Row],[ID-SLOT]],Tableau1[ID-SLOT],0))&amp;""</f>
        <v>S8</v>
      </c>
      <c r="AG855" s="108" t="str">
        <f>INDEX(Tableau2[Repere-Voie],MATCH(Tableau3[[#This Row],[ID-VOIE]],Tableau2[ID-Voie],0))&amp;""</f>
        <v>v13</v>
      </c>
      <c r="AH855" s="72" t="str">
        <f>Tableau3[[#This Row],[ID-API]]&amp; "." &amp;Tableau3[[#This Row],[ID-RACK]]&amp; "." &amp;Tableau3[[#This Row],[ID-SLOT]]</f>
        <v>5.2.8</v>
      </c>
      <c r="AI855" s="72" t="str">
        <f>INDEX(Tableau1[Ref-Carte],MATCH(Tableau3[[#This Row],[ID-RRS]],Tableau1[ID-RRS],0))</f>
        <v>SDI1602</v>
      </c>
      <c r="AJ855" s="72" t="str">
        <f t="array" ref="AJ855">IFERROR(INDEX(Tableau2[TS],MATCH(1,(Tableau2[Ref-Carte]=Tableau3[[#This Row],[Ref-Carte2]])*(Tableau2[ID-Voie]=Tableau3[[#This Row],[ID-VOIE]]),0)),"")</f>
        <v>ET</v>
      </c>
      <c r="AK855" s="72" t="str">
        <f>IFERROR(INDEX(Tableau2[TS],SUMPRODUCT((Tableau2[Ref-Carte]=Tableau3[[#This Row],[Ref-Carte2]])*(Tableau2[ID-Voie]=Tableau3[[#This Row],[ID-VOIE]])*ROW(Tableau2[TS]))-ROW(Tableau2[#Headers])),"")</f>
        <v>ET</v>
      </c>
      <c r="AL855" s="72" t="str">
        <f>Tableau3[[#This Row],[Ref-Carte2]]&amp;"/"&amp;Tableau3[[#This Row],[ID-VOIE]]</f>
        <v>SDI1602/13</v>
      </c>
      <c r="AM855" s="73" t="str">
        <f>INDEX(Tableau2[Borne],MATCH(Tableau3[[#This Row],[ID-CARTEVOIE]],Tableau2[ID-CARTEVOIE],0))&amp;""</f>
        <v>6A</v>
      </c>
      <c r="AN855" s="74" t="str">
        <f>Tableau3[[#This Row],[ID-API]]&amp;Tableau3[[#This Row],[ID-RACK]]&amp;Tableau3[[#This Row],[ID-SLOT]]&amp;Tableau3[[#This Row],[BORNE]]</f>
        <v>5286A</v>
      </c>
      <c r="AO855" s="1"/>
    </row>
    <row r="856" spans="1:41" ht="20.100000000000001" customHeight="1" thickTop="1" thickBot="1">
      <c r="A856" s="68"/>
      <c r="B856" s="69" t="str">
        <f>IFERROR(INDEX(Tableau4[Date],MATCH($A856,Tableau4[EVO],0)),"")</f>
        <v/>
      </c>
      <c r="C856" s="68" t="str">
        <f>IFERROR(INDEX(Tableau4[Designation],MATCH($A856,Tableau4[EVO],0)),"")</f>
        <v/>
      </c>
      <c r="D856" s="68"/>
      <c r="E856" s="70">
        <v>460</v>
      </c>
      <c r="F856" s="71">
        <v>3</v>
      </c>
      <c r="G856" s="101" t="str">
        <f>INDEX(Tableau8[Att1],MATCH(Tableau3[[#This Row],[ID-INS]],Tableau8[ID],0))&amp;""</f>
        <v>B21</v>
      </c>
      <c r="H856" s="101" t="str">
        <f>INDEX(Tableau8[Att2],MATCH(Tableau3[[#This Row],[ID-INS]],Tableau8[ID],0))&amp;""</f>
        <v>TECH16</v>
      </c>
      <c r="I856" s="101" t="str">
        <f>INDEX(Tableau8[Att3],MATCH(Tableau3[[#This Row],[ID-INS]],Tableau8[ID],0))&amp;""</f>
        <v>Dérangement détecteur volumétrique DVOL6</v>
      </c>
      <c r="J856" s="101"/>
      <c r="K856" s="167" t="str">
        <f>INDEX(Tableau8[Nom du modele],MATCH(Tableau3[[#This Row],[ID-INS]],Tableau8[ID],0))&amp;""</f>
        <v>E_Divers</v>
      </c>
      <c r="L856" s="99" t="str">
        <f>INDEX(Tableau5[Att1],MATCH(Tableau3[[#This Row],[ID-SIG]],Tableau5[ID],0))&amp;""</f>
        <v>C1</v>
      </c>
      <c r="M856" s="99" t="str">
        <f>INDEX(Tableau5[Att2],MATCH(Tableau3[[#This Row],[ID-SIG]],Tableau5[ID],0))&amp;""</f>
        <v/>
      </c>
      <c r="N856" s="99" t="str">
        <f>INDEX(Tableau5[Att3],MATCH(Tableau3[[#This Row],[ID-SIG]],Tableau5[ID],0))&amp;""</f>
        <v/>
      </c>
      <c r="O856" s="99"/>
      <c r="P856" s="99" t="str">
        <f>INDEX(Tableau5[Description],MATCH(Tableau3[[#This Row],[ID-SIG]],Tableau5[ID],0))</f>
        <v>Contact</v>
      </c>
      <c r="Q856" s="99"/>
      <c r="R856" s="103" t="str">
        <f>Tableau3[[#This Row],[Description]]</f>
        <v>Contact</v>
      </c>
      <c r="U856" s="87">
        <v>5</v>
      </c>
      <c r="V856" s="87">
        <v>2</v>
      </c>
      <c r="W856" s="87">
        <v>8</v>
      </c>
      <c r="X856" s="87">
        <v>14</v>
      </c>
      <c r="Y856" s="40"/>
      <c r="Z856" s="165" t="str">
        <f>INDEX(Tableau2[TS],MATCH(Tableau3[[#This Row],[ID-CARTEVOIE]],Tableau2[ID-CARTEVOIE],0))</f>
        <v>ET</v>
      </c>
      <c r="AA856" s="53" t="s">
        <v>213</v>
      </c>
      <c r="AB856" s="223" t="str">
        <f>IFERROR(INDEX(Tableau5[Reserve],MATCH(Tableau3[[#This Row],[ID-SIG]],Tableau5[ID],0))&amp;"","")</f>
        <v/>
      </c>
      <c r="AC856" s="21"/>
      <c r="AD856" s="108" t="str">
        <f>INDEX(Tableau7[Repere],MATCH(Tableau3[[#This Row],[ID-API]],Tableau7[ID-API],0))&amp;""</f>
        <v>A5</v>
      </c>
      <c r="AE856" s="108" t="str">
        <f>INDEX(Tableau1[Repere-Rack],MATCH(Tableau3[[#This Row],[ID-RACK]],Tableau1[ID-RACK],0))&amp;""</f>
        <v>R2</v>
      </c>
      <c r="AF856" s="108" t="str">
        <f>INDEX(Tableau1[Repere-Slot],MATCH(Tableau3[[#This Row],[ID-SLOT]],Tableau1[ID-SLOT],0))&amp;""</f>
        <v>S8</v>
      </c>
      <c r="AG856" s="108" t="str">
        <f>INDEX(Tableau2[Repere-Voie],MATCH(Tableau3[[#This Row],[ID-VOIE]],Tableau2[ID-Voie],0))&amp;""</f>
        <v>v14</v>
      </c>
      <c r="AH856" s="72" t="str">
        <f>Tableau3[[#This Row],[ID-API]]&amp; "." &amp;Tableau3[[#This Row],[ID-RACK]]&amp; "." &amp;Tableau3[[#This Row],[ID-SLOT]]</f>
        <v>5.2.8</v>
      </c>
      <c r="AI856" s="72" t="str">
        <f>INDEX(Tableau1[Ref-Carte],MATCH(Tableau3[[#This Row],[ID-RRS]],Tableau1[ID-RRS],0))</f>
        <v>SDI1602</v>
      </c>
      <c r="AJ856" s="72" t="str">
        <f t="array" ref="AJ856">IFERROR(INDEX(Tableau2[TS],MATCH(1,(Tableau2[Ref-Carte]=Tableau3[[#This Row],[Ref-Carte2]])*(Tableau2[ID-Voie]=Tableau3[[#This Row],[ID-VOIE]]),0)),"")</f>
        <v>ET</v>
      </c>
      <c r="AK856" s="72" t="str">
        <f>IFERROR(INDEX(Tableau2[TS],SUMPRODUCT((Tableau2[Ref-Carte]=Tableau3[[#This Row],[Ref-Carte2]])*(Tableau2[ID-Voie]=Tableau3[[#This Row],[ID-VOIE]])*ROW(Tableau2[TS]))-ROW(Tableau2[#Headers])),"")</f>
        <v>ET</v>
      </c>
      <c r="AL856" s="72" t="str">
        <f>Tableau3[[#This Row],[Ref-Carte2]]&amp;"/"&amp;Tableau3[[#This Row],[ID-VOIE]]</f>
        <v>SDI1602/14</v>
      </c>
      <c r="AM856" s="73" t="str">
        <f>INDEX(Tableau2[Borne],MATCH(Tableau3[[#This Row],[ID-CARTEVOIE]],Tableau2[ID-CARTEVOIE],0))&amp;""</f>
        <v>7B</v>
      </c>
      <c r="AN856" s="74" t="str">
        <f>Tableau3[[#This Row],[ID-API]]&amp;Tableau3[[#This Row],[ID-RACK]]&amp;Tableau3[[#This Row],[ID-SLOT]]&amp;Tableau3[[#This Row],[BORNE]]</f>
        <v>5287B</v>
      </c>
      <c r="AO856" s="1"/>
    </row>
    <row r="857" spans="1:41" ht="20.100000000000001" customHeight="1" thickTop="1" thickBot="1">
      <c r="A857" s="68"/>
      <c r="B857" s="69" t="str">
        <f>IFERROR(INDEX(Tableau4[Date],MATCH($A857,Tableau4[EVO],0)),"")</f>
        <v/>
      </c>
      <c r="C857" s="68" t="str">
        <f>IFERROR(INDEX(Tableau4[Designation],MATCH($A857,Tableau4[EVO],0)),"")</f>
        <v/>
      </c>
      <c r="D857" s="68"/>
      <c r="E857" s="70">
        <v>461</v>
      </c>
      <c r="F857" s="71">
        <v>3</v>
      </c>
      <c r="G857" s="101" t="str">
        <f>INDEX(Tableau8[Att1],MATCH(Tableau3[[#This Row],[ID-INS]],Tableau8[ID],0))&amp;""</f>
        <v>B21</v>
      </c>
      <c r="H857" s="101" t="str">
        <f>INDEX(Tableau8[Att2],MATCH(Tableau3[[#This Row],[ID-INS]],Tableau8[ID],0))&amp;""</f>
        <v>PPH69</v>
      </c>
      <c r="I857" s="101" t="str">
        <f>INDEX(Tableau8[Att3],MATCH(Tableau3[[#This Row],[ID-INS]],Tableau8[ID],0))&amp;""</f>
        <v>Alarme détecteur volumétrique DVOL7</v>
      </c>
      <c r="J857" s="101"/>
      <c r="K857" s="167" t="str">
        <f>INDEX(Tableau8[Nom du modele],MATCH(Tableau3[[#This Row],[ID-INS]],Tableau8[ID],0))&amp;""</f>
        <v>E_Divers</v>
      </c>
      <c r="L857" s="99" t="str">
        <f>INDEX(Tableau5[Att1],MATCH(Tableau3[[#This Row],[ID-SIG]],Tableau5[ID],0))&amp;""</f>
        <v>C1</v>
      </c>
      <c r="M857" s="99" t="str">
        <f>INDEX(Tableau5[Att2],MATCH(Tableau3[[#This Row],[ID-SIG]],Tableau5[ID],0))&amp;""</f>
        <v/>
      </c>
      <c r="N857" s="99" t="str">
        <f>INDEX(Tableau5[Att3],MATCH(Tableau3[[#This Row],[ID-SIG]],Tableau5[ID],0))&amp;""</f>
        <v/>
      </c>
      <c r="O857" s="99"/>
      <c r="P857" s="99" t="str">
        <f>INDEX(Tableau5[Description],MATCH(Tableau3[[#This Row],[ID-SIG]],Tableau5[ID],0))</f>
        <v>Contact</v>
      </c>
      <c r="Q857" s="99"/>
      <c r="R857" s="103" t="str">
        <f>Tableau3[[#This Row],[Description]]</f>
        <v>Contact</v>
      </c>
      <c r="U857" s="87">
        <v>5</v>
      </c>
      <c r="V857" s="87">
        <v>2</v>
      </c>
      <c r="W857" s="87">
        <v>8</v>
      </c>
      <c r="X857" s="87">
        <v>15</v>
      </c>
      <c r="Y857" s="40"/>
      <c r="Z857" s="165" t="str">
        <f>INDEX(Tableau2[TS],MATCH(Tableau3[[#This Row],[ID-CARTEVOIE]],Tableau2[ID-CARTEVOIE],0))</f>
        <v>ET</v>
      </c>
      <c r="AA857" s="53" t="s">
        <v>213</v>
      </c>
      <c r="AB857" s="223" t="str">
        <f>IFERROR(INDEX(Tableau5[Reserve],MATCH(Tableau3[[#This Row],[ID-SIG]],Tableau5[ID],0))&amp;"","")</f>
        <v/>
      </c>
      <c r="AC857" s="21"/>
      <c r="AD857" s="108" t="str">
        <f>INDEX(Tableau7[Repere],MATCH(Tableau3[[#This Row],[ID-API]],Tableau7[ID-API],0))&amp;""</f>
        <v>A5</v>
      </c>
      <c r="AE857" s="108" t="str">
        <f>INDEX(Tableau1[Repere-Rack],MATCH(Tableau3[[#This Row],[ID-RACK]],Tableau1[ID-RACK],0))&amp;""</f>
        <v>R2</v>
      </c>
      <c r="AF857" s="108" t="str">
        <f>INDEX(Tableau1[Repere-Slot],MATCH(Tableau3[[#This Row],[ID-SLOT]],Tableau1[ID-SLOT],0))&amp;""</f>
        <v>S8</v>
      </c>
      <c r="AG857" s="108" t="str">
        <f>INDEX(Tableau2[Repere-Voie],MATCH(Tableau3[[#This Row],[ID-VOIE]],Tableau2[ID-Voie],0))&amp;""</f>
        <v>v15</v>
      </c>
      <c r="AH857" s="72" t="str">
        <f>Tableau3[[#This Row],[ID-API]]&amp; "." &amp;Tableau3[[#This Row],[ID-RACK]]&amp; "." &amp;Tableau3[[#This Row],[ID-SLOT]]</f>
        <v>5.2.8</v>
      </c>
      <c r="AI857" s="72" t="str">
        <f>INDEX(Tableau1[Ref-Carte],MATCH(Tableau3[[#This Row],[ID-RRS]],Tableau1[ID-RRS],0))</f>
        <v>SDI1602</v>
      </c>
      <c r="AJ857" s="72" t="str">
        <f t="array" ref="AJ857">IFERROR(INDEX(Tableau2[TS],MATCH(1,(Tableau2[Ref-Carte]=Tableau3[[#This Row],[Ref-Carte2]])*(Tableau2[ID-Voie]=Tableau3[[#This Row],[ID-VOIE]]),0)),"")</f>
        <v>ET</v>
      </c>
      <c r="AK857" s="72" t="str">
        <f>IFERROR(INDEX(Tableau2[TS],SUMPRODUCT((Tableau2[Ref-Carte]=Tableau3[[#This Row],[Ref-Carte2]])*(Tableau2[ID-Voie]=Tableau3[[#This Row],[ID-VOIE]])*ROW(Tableau2[TS]))-ROW(Tableau2[#Headers])),"")</f>
        <v>ET</v>
      </c>
      <c r="AL857" s="72" t="str">
        <f>Tableau3[[#This Row],[Ref-Carte2]]&amp;"/"&amp;Tableau3[[#This Row],[ID-VOIE]]</f>
        <v>SDI1602/15</v>
      </c>
      <c r="AM857" s="73" t="str">
        <f>INDEX(Tableau2[Borne],MATCH(Tableau3[[#This Row],[ID-CARTEVOIE]],Tableau2[ID-CARTEVOIE],0))&amp;""</f>
        <v>7A</v>
      </c>
      <c r="AN857" s="74" t="str">
        <f>Tableau3[[#This Row],[ID-API]]&amp;Tableau3[[#This Row],[ID-RACK]]&amp;Tableau3[[#This Row],[ID-SLOT]]&amp;Tableau3[[#This Row],[BORNE]]</f>
        <v>5287A</v>
      </c>
      <c r="AO857" s="1"/>
    </row>
    <row r="858" spans="1:41" ht="20.100000000000001" customHeight="1" thickTop="1" thickBot="1">
      <c r="A858" s="68"/>
      <c r="B858" s="69" t="str">
        <f>IFERROR(INDEX(Tableau4[Date],MATCH($A858,Tableau4[EVO],0)),"")</f>
        <v/>
      </c>
      <c r="C858" s="68" t="str">
        <f>IFERROR(INDEX(Tableau4[Designation],MATCH($A858,Tableau4[EVO],0)),"")</f>
        <v/>
      </c>
      <c r="D858" s="68"/>
      <c r="E858" s="70">
        <v>462</v>
      </c>
      <c r="F858" s="71">
        <v>3</v>
      </c>
      <c r="G858" s="101" t="str">
        <f>INDEX(Tableau8[Att1],MATCH(Tableau3[[#This Row],[ID-INS]],Tableau8[ID],0))&amp;""</f>
        <v>B21</v>
      </c>
      <c r="H858" s="101" t="str">
        <f>INDEX(Tableau8[Att2],MATCH(Tableau3[[#This Row],[ID-INS]],Tableau8[ID],0))&amp;""</f>
        <v>PPH70</v>
      </c>
      <c r="I858" s="101" t="str">
        <f>INDEX(Tableau8[Att3],MATCH(Tableau3[[#This Row],[ID-INS]],Tableau8[ID],0))&amp;""</f>
        <v>Fraude détecteur volumétrique DVOL7</v>
      </c>
      <c r="J858" s="101"/>
      <c r="K858" s="167" t="str">
        <f>INDEX(Tableau8[Nom du modele],MATCH(Tableau3[[#This Row],[ID-INS]],Tableau8[ID],0))&amp;""</f>
        <v>E_Divers</v>
      </c>
      <c r="L858" s="99" t="str">
        <f>INDEX(Tableau5[Att1],MATCH(Tableau3[[#This Row],[ID-SIG]],Tableau5[ID],0))&amp;""</f>
        <v>C1</v>
      </c>
      <c r="M858" s="99" t="str">
        <f>INDEX(Tableau5[Att2],MATCH(Tableau3[[#This Row],[ID-SIG]],Tableau5[ID],0))&amp;""</f>
        <v/>
      </c>
      <c r="N858" s="99" t="str">
        <f>INDEX(Tableau5[Att3],MATCH(Tableau3[[#This Row],[ID-SIG]],Tableau5[ID],0))&amp;""</f>
        <v/>
      </c>
      <c r="O858" s="99"/>
      <c r="P858" s="99" t="str">
        <f>INDEX(Tableau5[Description],MATCH(Tableau3[[#This Row],[ID-SIG]],Tableau5[ID],0))</f>
        <v>Contact</v>
      </c>
      <c r="Q858" s="99"/>
      <c r="R858" s="103" t="str">
        <f>Tableau3[[#This Row],[Description]]</f>
        <v>Contact</v>
      </c>
      <c r="U858" s="87">
        <v>5</v>
      </c>
      <c r="V858" s="87">
        <v>2</v>
      </c>
      <c r="W858" s="87">
        <v>9</v>
      </c>
      <c r="X858" s="87">
        <v>0</v>
      </c>
      <c r="Y858" s="40"/>
      <c r="Z858" s="165" t="str">
        <f>INDEX(Tableau2[TS],MATCH(Tableau3[[#This Row],[ID-CARTEVOIE]],Tableau2[ID-CARTEVOIE],0))</f>
        <v>ET</v>
      </c>
      <c r="AA858" s="53" t="s">
        <v>213</v>
      </c>
      <c r="AB858" s="223" t="str">
        <f>IFERROR(INDEX(Tableau5[Reserve],MATCH(Tableau3[[#This Row],[ID-SIG]],Tableau5[ID],0))&amp;"","")</f>
        <v/>
      </c>
      <c r="AC858" s="21"/>
      <c r="AD858" s="108" t="str">
        <f>INDEX(Tableau7[Repere],MATCH(Tableau3[[#This Row],[ID-API]],Tableau7[ID-API],0))&amp;""</f>
        <v>A5</v>
      </c>
      <c r="AE858" s="108" t="str">
        <f>INDEX(Tableau1[Repere-Rack],MATCH(Tableau3[[#This Row],[ID-RACK]],Tableau1[ID-RACK],0))&amp;""</f>
        <v>R2</v>
      </c>
      <c r="AF858" s="108" t="str">
        <f>INDEX(Tableau1[Repere-Slot],MATCH(Tableau3[[#This Row],[ID-SLOT]],Tableau1[ID-SLOT],0))&amp;""</f>
        <v>S9</v>
      </c>
      <c r="AG858" s="108" t="str">
        <f>INDEX(Tableau2[Repere-Voie],MATCH(Tableau3[[#This Row],[ID-VOIE]],Tableau2[ID-Voie],0))&amp;""</f>
        <v>v0</v>
      </c>
      <c r="AH858" s="72" t="str">
        <f>Tableau3[[#This Row],[ID-API]]&amp; "." &amp;Tableau3[[#This Row],[ID-RACK]]&amp; "." &amp;Tableau3[[#This Row],[ID-SLOT]]</f>
        <v>5.2.9</v>
      </c>
      <c r="AI858" s="72" t="str">
        <f>INDEX(Tableau1[Ref-Carte],MATCH(Tableau3[[#This Row],[ID-RRS]],Tableau1[ID-RRS],0))</f>
        <v>SDI1602</v>
      </c>
      <c r="AJ858" s="72" t="str">
        <f t="array" ref="AJ858">IFERROR(INDEX(Tableau2[TS],MATCH(1,(Tableau2[Ref-Carte]=Tableau3[[#This Row],[Ref-Carte2]])*(Tableau2[ID-Voie]=Tableau3[[#This Row],[ID-VOIE]]),0)),"")</f>
        <v>ET</v>
      </c>
      <c r="AK858" s="72" t="str">
        <f>IFERROR(INDEX(Tableau2[TS],SUMPRODUCT((Tableau2[Ref-Carte]=Tableau3[[#This Row],[Ref-Carte2]])*(Tableau2[ID-Voie]=Tableau3[[#This Row],[ID-VOIE]])*ROW(Tableau2[TS]))-ROW(Tableau2[#Headers])),"")</f>
        <v>ET</v>
      </c>
      <c r="AL858" s="72" t="str">
        <f>Tableau3[[#This Row],[Ref-Carte2]]&amp;"/"&amp;Tableau3[[#This Row],[ID-VOIE]]</f>
        <v>SDI1602/0</v>
      </c>
      <c r="AM858" s="73" t="str">
        <f>INDEX(Tableau2[Borne],MATCH(Tableau3[[#This Row],[ID-CARTEVOIE]],Tableau2[ID-CARTEVOIE],0))&amp;""</f>
        <v>0B</v>
      </c>
      <c r="AN858" s="74" t="str">
        <f>Tableau3[[#This Row],[ID-API]]&amp;Tableau3[[#This Row],[ID-RACK]]&amp;Tableau3[[#This Row],[ID-SLOT]]&amp;Tableau3[[#This Row],[BORNE]]</f>
        <v>5290B</v>
      </c>
      <c r="AO858" s="1"/>
    </row>
    <row r="859" spans="1:41" ht="20.100000000000001" customHeight="1" thickTop="1" thickBot="1">
      <c r="A859" s="68"/>
      <c r="B859" s="69" t="str">
        <f>IFERROR(INDEX(Tableau4[Date],MATCH($A859,Tableau4[EVO],0)),"")</f>
        <v/>
      </c>
      <c r="C859" s="68" t="str">
        <f>IFERROR(INDEX(Tableau4[Designation],MATCH($A859,Tableau4[EVO],0)),"")</f>
        <v/>
      </c>
      <c r="D859" s="68"/>
      <c r="E859" s="70">
        <v>463</v>
      </c>
      <c r="F859" s="71">
        <v>3</v>
      </c>
      <c r="G859" s="101" t="str">
        <f>INDEX(Tableau8[Att1],MATCH(Tableau3[[#This Row],[ID-INS]],Tableau8[ID],0))&amp;""</f>
        <v>B21</v>
      </c>
      <c r="H859" s="101" t="str">
        <f>INDEX(Tableau8[Att2],MATCH(Tableau3[[#This Row],[ID-INS]],Tableau8[ID],0))&amp;""</f>
        <v>TECH17</v>
      </c>
      <c r="I859" s="101" t="str">
        <f>INDEX(Tableau8[Att3],MATCH(Tableau3[[#This Row],[ID-INS]],Tableau8[ID],0))&amp;""</f>
        <v>Dérangement détecteur volumétrique DVOL7</v>
      </c>
      <c r="J859" s="101"/>
      <c r="K859" s="167" t="str">
        <f>INDEX(Tableau8[Nom du modele],MATCH(Tableau3[[#This Row],[ID-INS]],Tableau8[ID],0))&amp;""</f>
        <v>E_Divers</v>
      </c>
      <c r="L859" s="99" t="str">
        <f>INDEX(Tableau5[Att1],MATCH(Tableau3[[#This Row],[ID-SIG]],Tableau5[ID],0))&amp;""</f>
        <v>C1</v>
      </c>
      <c r="M859" s="99" t="str">
        <f>INDEX(Tableau5[Att2],MATCH(Tableau3[[#This Row],[ID-SIG]],Tableau5[ID],0))&amp;""</f>
        <v/>
      </c>
      <c r="N859" s="99" t="str">
        <f>INDEX(Tableau5[Att3],MATCH(Tableau3[[#This Row],[ID-SIG]],Tableau5[ID],0))&amp;""</f>
        <v/>
      </c>
      <c r="O859" s="99"/>
      <c r="P859" s="99" t="str">
        <f>INDEX(Tableau5[Description],MATCH(Tableau3[[#This Row],[ID-SIG]],Tableau5[ID],0))</f>
        <v>Contact</v>
      </c>
      <c r="Q859" s="99"/>
      <c r="R859" s="103" t="str">
        <f>Tableau3[[#This Row],[Description]]</f>
        <v>Contact</v>
      </c>
      <c r="U859" s="87">
        <v>5</v>
      </c>
      <c r="V859" s="87">
        <v>2</v>
      </c>
      <c r="W859" s="87">
        <v>9</v>
      </c>
      <c r="X859" s="87">
        <v>1</v>
      </c>
      <c r="Y859" s="40"/>
      <c r="Z859" s="165" t="str">
        <f>INDEX(Tableau2[TS],MATCH(Tableau3[[#This Row],[ID-CARTEVOIE]],Tableau2[ID-CARTEVOIE],0))</f>
        <v>ET</v>
      </c>
      <c r="AA859" s="53" t="s">
        <v>213</v>
      </c>
      <c r="AB859" s="223" t="str">
        <f>IFERROR(INDEX(Tableau5[Reserve],MATCH(Tableau3[[#This Row],[ID-SIG]],Tableau5[ID],0))&amp;"","")</f>
        <v/>
      </c>
      <c r="AC859" s="21"/>
      <c r="AD859" s="108" t="str">
        <f>INDEX(Tableau7[Repere],MATCH(Tableau3[[#This Row],[ID-API]],Tableau7[ID-API],0))&amp;""</f>
        <v>A5</v>
      </c>
      <c r="AE859" s="108" t="str">
        <f>INDEX(Tableau1[Repere-Rack],MATCH(Tableau3[[#This Row],[ID-RACK]],Tableau1[ID-RACK],0))&amp;""</f>
        <v>R2</v>
      </c>
      <c r="AF859" s="108" t="str">
        <f>INDEX(Tableau1[Repere-Slot],MATCH(Tableau3[[#This Row],[ID-SLOT]],Tableau1[ID-SLOT],0))&amp;""</f>
        <v>S9</v>
      </c>
      <c r="AG859" s="108" t="str">
        <f>INDEX(Tableau2[Repere-Voie],MATCH(Tableau3[[#This Row],[ID-VOIE]],Tableau2[ID-Voie],0))&amp;""</f>
        <v>v1</v>
      </c>
      <c r="AH859" s="72" t="str">
        <f>Tableau3[[#This Row],[ID-API]]&amp; "." &amp;Tableau3[[#This Row],[ID-RACK]]&amp; "." &amp;Tableau3[[#This Row],[ID-SLOT]]</f>
        <v>5.2.9</v>
      </c>
      <c r="AI859" s="72" t="str">
        <f>INDEX(Tableau1[Ref-Carte],MATCH(Tableau3[[#This Row],[ID-RRS]],Tableau1[ID-RRS],0))</f>
        <v>SDI1602</v>
      </c>
      <c r="AJ859" s="72" t="str">
        <f t="array" ref="AJ859">IFERROR(INDEX(Tableau2[TS],MATCH(1,(Tableau2[Ref-Carte]=Tableau3[[#This Row],[Ref-Carte2]])*(Tableau2[ID-Voie]=Tableau3[[#This Row],[ID-VOIE]]),0)),"")</f>
        <v>ET</v>
      </c>
      <c r="AK859" s="72" t="str">
        <f>IFERROR(INDEX(Tableau2[TS],SUMPRODUCT((Tableau2[Ref-Carte]=Tableau3[[#This Row],[Ref-Carte2]])*(Tableau2[ID-Voie]=Tableau3[[#This Row],[ID-VOIE]])*ROW(Tableau2[TS]))-ROW(Tableau2[#Headers])),"")</f>
        <v>ET</v>
      </c>
      <c r="AL859" s="72" t="str">
        <f>Tableau3[[#This Row],[Ref-Carte2]]&amp;"/"&amp;Tableau3[[#This Row],[ID-VOIE]]</f>
        <v>SDI1602/1</v>
      </c>
      <c r="AM859" s="73" t="str">
        <f>INDEX(Tableau2[Borne],MATCH(Tableau3[[#This Row],[ID-CARTEVOIE]],Tableau2[ID-CARTEVOIE],0))&amp;""</f>
        <v>0A</v>
      </c>
      <c r="AN859" s="74" t="str">
        <f>Tableau3[[#This Row],[ID-API]]&amp;Tableau3[[#This Row],[ID-RACK]]&amp;Tableau3[[#This Row],[ID-SLOT]]&amp;Tableau3[[#This Row],[BORNE]]</f>
        <v>5290A</v>
      </c>
      <c r="AO859" s="1"/>
    </row>
    <row r="860" spans="1:41" ht="20.100000000000001" customHeight="1" thickTop="1" thickBot="1">
      <c r="A860" s="68"/>
      <c r="B860" s="69" t="str">
        <f>IFERROR(INDEX(Tableau4[Date],MATCH($A860,Tableau4[EVO],0)),"")</f>
        <v/>
      </c>
      <c r="C860" s="68" t="str">
        <f>IFERROR(INDEX(Tableau4[Designation],MATCH($A860,Tableau4[EVO],0)),"")</f>
        <v/>
      </c>
      <c r="D860" s="68"/>
      <c r="E860" s="70">
        <v>464</v>
      </c>
      <c r="F860" s="71">
        <v>3</v>
      </c>
      <c r="G860" s="101" t="str">
        <f>INDEX(Tableau8[Att1],MATCH(Tableau3[[#This Row],[ID-INS]],Tableau8[ID],0))&amp;""</f>
        <v>B21</v>
      </c>
      <c r="H860" s="101" t="str">
        <f>INDEX(Tableau8[Att2],MATCH(Tableau3[[#This Row],[ID-INS]],Tableau8[ID],0))&amp;""</f>
        <v>PPH71</v>
      </c>
      <c r="I860" s="101" t="str">
        <f>INDEX(Tableau8[Att3],MATCH(Tableau3[[#This Row],[ID-INS]],Tableau8[ID],0))&amp;""</f>
        <v>Alarme détecteur volumétrique DVOL8</v>
      </c>
      <c r="J860" s="101"/>
      <c r="K860" s="167" t="str">
        <f>INDEX(Tableau8[Nom du modele],MATCH(Tableau3[[#This Row],[ID-INS]],Tableau8[ID],0))&amp;""</f>
        <v>E_Divers</v>
      </c>
      <c r="L860" s="99" t="str">
        <f>INDEX(Tableau5[Att1],MATCH(Tableau3[[#This Row],[ID-SIG]],Tableau5[ID],0))&amp;""</f>
        <v>C1</v>
      </c>
      <c r="M860" s="99" t="str">
        <f>INDEX(Tableau5[Att2],MATCH(Tableau3[[#This Row],[ID-SIG]],Tableau5[ID],0))&amp;""</f>
        <v/>
      </c>
      <c r="N860" s="99" t="str">
        <f>INDEX(Tableau5[Att3],MATCH(Tableau3[[#This Row],[ID-SIG]],Tableau5[ID],0))&amp;""</f>
        <v/>
      </c>
      <c r="O860" s="99"/>
      <c r="P860" s="99" t="str">
        <f>INDEX(Tableau5[Description],MATCH(Tableau3[[#This Row],[ID-SIG]],Tableau5[ID],0))</f>
        <v>Contact</v>
      </c>
      <c r="Q860" s="99"/>
      <c r="R860" s="103" t="str">
        <f>Tableau3[[#This Row],[Description]]</f>
        <v>Contact</v>
      </c>
      <c r="U860" s="87">
        <v>5</v>
      </c>
      <c r="V860" s="87">
        <v>2</v>
      </c>
      <c r="W860" s="87">
        <v>9</v>
      </c>
      <c r="X860" s="87">
        <v>2</v>
      </c>
      <c r="Y860" s="40"/>
      <c r="Z860" s="165" t="str">
        <f>INDEX(Tableau2[TS],MATCH(Tableau3[[#This Row],[ID-CARTEVOIE]],Tableau2[ID-CARTEVOIE],0))</f>
        <v>ET</v>
      </c>
      <c r="AA860" s="53" t="s">
        <v>213</v>
      </c>
      <c r="AB860" s="223" t="str">
        <f>IFERROR(INDEX(Tableau5[Reserve],MATCH(Tableau3[[#This Row],[ID-SIG]],Tableau5[ID],0))&amp;"","")</f>
        <v/>
      </c>
      <c r="AC860" s="21"/>
      <c r="AD860" s="108" t="str">
        <f>INDEX(Tableau7[Repere],MATCH(Tableau3[[#This Row],[ID-API]],Tableau7[ID-API],0))&amp;""</f>
        <v>A5</v>
      </c>
      <c r="AE860" s="108" t="str">
        <f>INDEX(Tableau1[Repere-Rack],MATCH(Tableau3[[#This Row],[ID-RACK]],Tableau1[ID-RACK],0))&amp;""</f>
        <v>R2</v>
      </c>
      <c r="AF860" s="108" t="str">
        <f>INDEX(Tableau1[Repere-Slot],MATCH(Tableau3[[#This Row],[ID-SLOT]],Tableau1[ID-SLOT],0))&amp;""</f>
        <v>S9</v>
      </c>
      <c r="AG860" s="108" t="str">
        <f>INDEX(Tableau2[Repere-Voie],MATCH(Tableau3[[#This Row],[ID-VOIE]],Tableau2[ID-Voie],0))&amp;""</f>
        <v>v2</v>
      </c>
      <c r="AH860" s="72" t="str">
        <f>Tableau3[[#This Row],[ID-API]]&amp; "." &amp;Tableau3[[#This Row],[ID-RACK]]&amp; "." &amp;Tableau3[[#This Row],[ID-SLOT]]</f>
        <v>5.2.9</v>
      </c>
      <c r="AI860" s="72" t="str">
        <f>INDEX(Tableau1[Ref-Carte],MATCH(Tableau3[[#This Row],[ID-RRS]],Tableau1[ID-RRS],0))</f>
        <v>SDI1602</v>
      </c>
      <c r="AJ860" s="72" t="str">
        <f t="array" ref="AJ860">IFERROR(INDEX(Tableau2[TS],MATCH(1,(Tableau2[Ref-Carte]=Tableau3[[#This Row],[Ref-Carte2]])*(Tableau2[ID-Voie]=Tableau3[[#This Row],[ID-VOIE]]),0)),"")</f>
        <v>ET</v>
      </c>
      <c r="AK860" s="72" t="str">
        <f>IFERROR(INDEX(Tableau2[TS],SUMPRODUCT((Tableau2[Ref-Carte]=Tableau3[[#This Row],[Ref-Carte2]])*(Tableau2[ID-Voie]=Tableau3[[#This Row],[ID-VOIE]])*ROW(Tableau2[TS]))-ROW(Tableau2[#Headers])),"")</f>
        <v>ET</v>
      </c>
      <c r="AL860" s="72" t="str">
        <f>Tableau3[[#This Row],[Ref-Carte2]]&amp;"/"&amp;Tableau3[[#This Row],[ID-VOIE]]</f>
        <v>SDI1602/2</v>
      </c>
      <c r="AM860" s="73" t="str">
        <f>INDEX(Tableau2[Borne],MATCH(Tableau3[[#This Row],[ID-CARTEVOIE]],Tableau2[ID-CARTEVOIE],0))&amp;""</f>
        <v>1B</v>
      </c>
      <c r="AN860" s="74" t="str">
        <f>Tableau3[[#This Row],[ID-API]]&amp;Tableau3[[#This Row],[ID-RACK]]&amp;Tableau3[[#This Row],[ID-SLOT]]&amp;Tableau3[[#This Row],[BORNE]]</f>
        <v>5291B</v>
      </c>
      <c r="AO860" s="1"/>
    </row>
    <row r="861" spans="1:41" ht="20.100000000000001" customHeight="1" thickTop="1" thickBot="1">
      <c r="A861" s="68"/>
      <c r="B861" s="69" t="str">
        <f>IFERROR(INDEX(Tableau4[Date],MATCH($A861,Tableau4[EVO],0)),"")</f>
        <v/>
      </c>
      <c r="C861" s="68" t="str">
        <f>IFERROR(INDEX(Tableau4[Designation],MATCH($A861,Tableau4[EVO],0)),"")</f>
        <v/>
      </c>
      <c r="D861" s="68"/>
      <c r="E861" s="70">
        <v>465</v>
      </c>
      <c r="F861" s="71">
        <v>3</v>
      </c>
      <c r="G861" s="101" t="str">
        <f>INDEX(Tableau8[Att1],MATCH(Tableau3[[#This Row],[ID-INS]],Tableau8[ID],0))&amp;""</f>
        <v>B21</v>
      </c>
      <c r="H861" s="101" t="str">
        <f>INDEX(Tableau8[Att2],MATCH(Tableau3[[#This Row],[ID-INS]],Tableau8[ID],0))&amp;""</f>
        <v>PPH72</v>
      </c>
      <c r="I861" s="101" t="str">
        <f>INDEX(Tableau8[Att3],MATCH(Tableau3[[#This Row],[ID-INS]],Tableau8[ID],0))&amp;""</f>
        <v>Fraude détecteur volumétrique DVOL8</v>
      </c>
      <c r="J861" s="101"/>
      <c r="K861" s="167" t="str">
        <f>INDEX(Tableau8[Nom du modele],MATCH(Tableau3[[#This Row],[ID-INS]],Tableau8[ID],0))&amp;""</f>
        <v>E_Divers</v>
      </c>
      <c r="L861" s="99" t="str">
        <f>INDEX(Tableau5[Att1],MATCH(Tableau3[[#This Row],[ID-SIG]],Tableau5[ID],0))&amp;""</f>
        <v>C1</v>
      </c>
      <c r="M861" s="99" t="str">
        <f>INDEX(Tableau5[Att2],MATCH(Tableau3[[#This Row],[ID-SIG]],Tableau5[ID],0))&amp;""</f>
        <v/>
      </c>
      <c r="N861" s="99" t="str">
        <f>INDEX(Tableau5[Att3],MATCH(Tableau3[[#This Row],[ID-SIG]],Tableau5[ID],0))&amp;""</f>
        <v/>
      </c>
      <c r="O861" s="99"/>
      <c r="P861" s="99" t="str">
        <f>INDEX(Tableau5[Description],MATCH(Tableau3[[#This Row],[ID-SIG]],Tableau5[ID],0))</f>
        <v>Contact</v>
      </c>
      <c r="Q861" s="99"/>
      <c r="R861" s="103" t="str">
        <f>Tableau3[[#This Row],[Description]]</f>
        <v>Contact</v>
      </c>
      <c r="U861" s="87">
        <v>5</v>
      </c>
      <c r="V861" s="87">
        <v>2</v>
      </c>
      <c r="W861" s="87">
        <v>9</v>
      </c>
      <c r="X861" s="87">
        <v>3</v>
      </c>
      <c r="Y861" s="40"/>
      <c r="Z861" s="165" t="str">
        <f>INDEX(Tableau2[TS],MATCH(Tableau3[[#This Row],[ID-CARTEVOIE]],Tableau2[ID-CARTEVOIE],0))</f>
        <v>ET</v>
      </c>
      <c r="AA861" s="53" t="s">
        <v>213</v>
      </c>
      <c r="AB861" s="223" t="str">
        <f>IFERROR(INDEX(Tableau5[Reserve],MATCH(Tableau3[[#This Row],[ID-SIG]],Tableau5[ID],0))&amp;"","")</f>
        <v/>
      </c>
      <c r="AC861" s="21"/>
      <c r="AD861" s="108" t="str">
        <f>INDEX(Tableau7[Repere],MATCH(Tableau3[[#This Row],[ID-API]],Tableau7[ID-API],0))&amp;""</f>
        <v>A5</v>
      </c>
      <c r="AE861" s="108" t="str">
        <f>INDEX(Tableau1[Repere-Rack],MATCH(Tableau3[[#This Row],[ID-RACK]],Tableau1[ID-RACK],0))&amp;""</f>
        <v>R2</v>
      </c>
      <c r="AF861" s="108" t="str">
        <f>INDEX(Tableau1[Repere-Slot],MATCH(Tableau3[[#This Row],[ID-SLOT]],Tableau1[ID-SLOT],0))&amp;""</f>
        <v>S9</v>
      </c>
      <c r="AG861" s="108" t="str">
        <f>INDEX(Tableau2[Repere-Voie],MATCH(Tableau3[[#This Row],[ID-VOIE]],Tableau2[ID-Voie],0))&amp;""</f>
        <v>v3</v>
      </c>
      <c r="AH861" s="72" t="str">
        <f>Tableau3[[#This Row],[ID-API]]&amp; "." &amp;Tableau3[[#This Row],[ID-RACK]]&amp; "." &amp;Tableau3[[#This Row],[ID-SLOT]]</f>
        <v>5.2.9</v>
      </c>
      <c r="AI861" s="72" t="str">
        <f>INDEX(Tableau1[Ref-Carte],MATCH(Tableau3[[#This Row],[ID-RRS]],Tableau1[ID-RRS],0))</f>
        <v>SDI1602</v>
      </c>
      <c r="AJ861" s="72" t="str">
        <f t="array" ref="AJ861">IFERROR(INDEX(Tableau2[TS],MATCH(1,(Tableau2[Ref-Carte]=Tableau3[[#This Row],[Ref-Carte2]])*(Tableau2[ID-Voie]=Tableau3[[#This Row],[ID-VOIE]]),0)),"")</f>
        <v>ET</v>
      </c>
      <c r="AK861" s="72" t="str">
        <f>IFERROR(INDEX(Tableau2[TS],SUMPRODUCT((Tableau2[Ref-Carte]=Tableau3[[#This Row],[Ref-Carte2]])*(Tableau2[ID-Voie]=Tableau3[[#This Row],[ID-VOIE]])*ROW(Tableau2[TS]))-ROW(Tableau2[#Headers])),"")</f>
        <v>ET</v>
      </c>
      <c r="AL861" s="72" t="str">
        <f>Tableau3[[#This Row],[Ref-Carte2]]&amp;"/"&amp;Tableau3[[#This Row],[ID-VOIE]]</f>
        <v>SDI1602/3</v>
      </c>
      <c r="AM861" s="73" t="str">
        <f>INDEX(Tableau2[Borne],MATCH(Tableau3[[#This Row],[ID-CARTEVOIE]],Tableau2[ID-CARTEVOIE],0))&amp;""</f>
        <v>1A</v>
      </c>
      <c r="AN861" s="74" t="str">
        <f>Tableau3[[#This Row],[ID-API]]&amp;Tableau3[[#This Row],[ID-RACK]]&amp;Tableau3[[#This Row],[ID-SLOT]]&amp;Tableau3[[#This Row],[BORNE]]</f>
        <v>5291A</v>
      </c>
      <c r="AO861" s="1"/>
    </row>
    <row r="862" spans="1:41" ht="20.100000000000001" customHeight="1" thickTop="1" thickBot="1">
      <c r="A862" s="68"/>
      <c r="B862" s="69" t="str">
        <f>IFERROR(INDEX(Tableau4[Date],MATCH($A862,Tableau4[EVO],0)),"")</f>
        <v/>
      </c>
      <c r="C862" s="68" t="str">
        <f>IFERROR(INDEX(Tableau4[Designation],MATCH($A862,Tableau4[EVO],0)),"")</f>
        <v/>
      </c>
      <c r="D862" s="68"/>
      <c r="E862" s="70">
        <v>466</v>
      </c>
      <c r="F862" s="71">
        <v>3</v>
      </c>
      <c r="G862" s="101" t="str">
        <f>INDEX(Tableau8[Att1],MATCH(Tableau3[[#This Row],[ID-INS]],Tableau8[ID],0))&amp;""</f>
        <v>B21</v>
      </c>
      <c r="H862" s="101" t="str">
        <f>INDEX(Tableau8[Att2],MATCH(Tableau3[[#This Row],[ID-INS]],Tableau8[ID],0))&amp;""</f>
        <v>TECH18</v>
      </c>
      <c r="I862" s="101" t="str">
        <f>INDEX(Tableau8[Att3],MATCH(Tableau3[[#This Row],[ID-INS]],Tableau8[ID],0))&amp;""</f>
        <v>Dérangement détecteur volumétrique DVOL8</v>
      </c>
      <c r="J862" s="101"/>
      <c r="K862" s="167" t="str">
        <f>INDEX(Tableau8[Nom du modele],MATCH(Tableau3[[#This Row],[ID-INS]],Tableau8[ID],0))&amp;""</f>
        <v>E_Divers</v>
      </c>
      <c r="L862" s="99" t="str">
        <f>INDEX(Tableau5[Att1],MATCH(Tableau3[[#This Row],[ID-SIG]],Tableau5[ID],0))&amp;""</f>
        <v>C1</v>
      </c>
      <c r="M862" s="99" t="str">
        <f>INDEX(Tableau5[Att2],MATCH(Tableau3[[#This Row],[ID-SIG]],Tableau5[ID],0))&amp;""</f>
        <v/>
      </c>
      <c r="N862" s="99" t="str">
        <f>INDEX(Tableau5[Att3],MATCH(Tableau3[[#This Row],[ID-SIG]],Tableau5[ID],0))&amp;""</f>
        <v/>
      </c>
      <c r="O862" s="99"/>
      <c r="P862" s="99" t="str">
        <f>INDEX(Tableau5[Description],MATCH(Tableau3[[#This Row],[ID-SIG]],Tableau5[ID],0))</f>
        <v>Contact</v>
      </c>
      <c r="Q862" s="99"/>
      <c r="R862" s="103" t="str">
        <f>Tableau3[[#This Row],[Description]]</f>
        <v>Contact</v>
      </c>
      <c r="U862" s="87">
        <v>5</v>
      </c>
      <c r="V862" s="87">
        <v>2</v>
      </c>
      <c r="W862" s="87">
        <v>9</v>
      </c>
      <c r="X862" s="87">
        <v>4</v>
      </c>
      <c r="Y862" s="40"/>
      <c r="Z862" s="165" t="str">
        <f>INDEX(Tableau2[TS],MATCH(Tableau3[[#This Row],[ID-CARTEVOIE]],Tableau2[ID-CARTEVOIE],0))</f>
        <v>ET</v>
      </c>
      <c r="AA862" s="53" t="s">
        <v>213</v>
      </c>
      <c r="AB862" s="223" t="str">
        <f>IFERROR(INDEX(Tableau5[Reserve],MATCH(Tableau3[[#This Row],[ID-SIG]],Tableau5[ID],0))&amp;"","")</f>
        <v/>
      </c>
      <c r="AC862" s="21"/>
      <c r="AD862" s="108" t="str">
        <f>INDEX(Tableau7[Repere],MATCH(Tableau3[[#This Row],[ID-API]],Tableau7[ID-API],0))&amp;""</f>
        <v>A5</v>
      </c>
      <c r="AE862" s="108" t="str">
        <f>INDEX(Tableau1[Repere-Rack],MATCH(Tableau3[[#This Row],[ID-RACK]],Tableau1[ID-RACK],0))&amp;""</f>
        <v>R2</v>
      </c>
      <c r="AF862" s="108" t="str">
        <f>INDEX(Tableau1[Repere-Slot],MATCH(Tableau3[[#This Row],[ID-SLOT]],Tableau1[ID-SLOT],0))&amp;""</f>
        <v>S9</v>
      </c>
      <c r="AG862" s="108" t="str">
        <f>INDEX(Tableau2[Repere-Voie],MATCH(Tableau3[[#This Row],[ID-VOIE]],Tableau2[ID-Voie],0))&amp;""</f>
        <v>v4</v>
      </c>
      <c r="AH862" s="72" t="str">
        <f>Tableau3[[#This Row],[ID-API]]&amp; "." &amp;Tableau3[[#This Row],[ID-RACK]]&amp; "." &amp;Tableau3[[#This Row],[ID-SLOT]]</f>
        <v>5.2.9</v>
      </c>
      <c r="AI862" s="72" t="str">
        <f>INDEX(Tableau1[Ref-Carte],MATCH(Tableau3[[#This Row],[ID-RRS]],Tableau1[ID-RRS],0))</f>
        <v>SDI1602</v>
      </c>
      <c r="AJ862" s="72" t="str">
        <f t="array" ref="AJ862">IFERROR(INDEX(Tableau2[TS],MATCH(1,(Tableau2[Ref-Carte]=Tableau3[[#This Row],[Ref-Carte2]])*(Tableau2[ID-Voie]=Tableau3[[#This Row],[ID-VOIE]]),0)),"")</f>
        <v>ET</v>
      </c>
      <c r="AK862" s="72" t="str">
        <f>IFERROR(INDEX(Tableau2[TS],SUMPRODUCT((Tableau2[Ref-Carte]=Tableau3[[#This Row],[Ref-Carte2]])*(Tableau2[ID-Voie]=Tableau3[[#This Row],[ID-VOIE]])*ROW(Tableau2[TS]))-ROW(Tableau2[#Headers])),"")</f>
        <v>ET</v>
      </c>
      <c r="AL862" s="72" t="str">
        <f>Tableau3[[#This Row],[Ref-Carte2]]&amp;"/"&amp;Tableau3[[#This Row],[ID-VOIE]]</f>
        <v>SDI1602/4</v>
      </c>
      <c r="AM862" s="73" t="str">
        <f>INDEX(Tableau2[Borne],MATCH(Tableau3[[#This Row],[ID-CARTEVOIE]],Tableau2[ID-CARTEVOIE],0))&amp;""</f>
        <v>2B</v>
      </c>
      <c r="AN862" s="74" t="str">
        <f>Tableau3[[#This Row],[ID-API]]&amp;Tableau3[[#This Row],[ID-RACK]]&amp;Tableau3[[#This Row],[ID-SLOT]]&amp;Tableau3[[#This Row],[BORNE]]</f>
        <v>5292B</v>
      </c>
      <c r="AO862" s="1"/>
    </row>
    <row r="863" spans="1:41" ht="20.100000000000001" customHeight="1" thickTop="1" thickBot="1">
      <c r="A863" s="68"/>
      <c r="B863" s="69" t="str">
        <f>IFERROR(INDEX(Tableau4[Date],MATCH($A863,Tableau4[EVO],0)),"")</f>
        <v/>
      </c>
      <c r="C863" s="68" t="str">
        <f>IFERROR(INDEX(Tableau4[Designation],MATCH($A863,Tableau4[EVO],0)),"")</f>
        <v/>
      </c>
      <c r="D863" s="68"/>
      <c r="E863" s="70">
        <v>467</v>
      </c>
      <c r="F863" s="71">
        <v>3</v>
      </c>
      <c r="G863" s="101" t="str">
        <f>INDEX(Tableau8[Att1],MATCH(Tableau3[[#This Row],[ID-INS]],Tableau8[ID],0))&amp;""</f>
        <v>B21</v>
      </c>
      <c r="H863" s="101" t="str">
        <f>INDEX(Tableau8[Att2],MATCH(Tableau3[[#This Row],[ID-INS]],Tableau8[ID],0))&amp;""</f>
        <v>PPH73</v>
      </c>
      <c r="I863" s="101" t="str">
        <f>INDEX(Tableau8[Att3],MATCH(Tableau3[[#This Row],[ID-INS]],Tableau8[ID],0))&amp;""</f>
        <v>Alarme détecteur volumétrique DVOL9</v>
      </c>
      <c r="J863" s="101"/>
      <c r="K863" s="167" t="str">
        <f>INDEX(Tableau8[Nom du modele],MATCH(Tableau3[[#This Row],[ID-INS]],Tableau8[ID],0))&amp;""</f>
        <v>E_Divers</v>
      </c>
      <c r="L863" s="99" t="str">
        <f>INDEX(Tableau5[Att1],MATCH(Tableau3[[#This Row],[ID-SIG]],Tableau5[ID],0))&amp;""</f>
        <v>C1</v>
      </c>
      <c r="M863" s="99" t="str">
        <f>INDEX(Tableau5[Att2],MATCH(Tableau3[[#This Row],[ID-SIG]],Tableau5[ID],0))&amp;""</f>
        <v/>
      </c>
      <c r="N863" s="99" t="str">
        <f>INDEX(Tableau5[Att3],MATCH(Tableau3[[#This Row],[ID-SIG]],Tableau5[ID],0))&amp;""</f>
        <v/>
      </c>
      <c r="O863" s="99"/>
      <c r="P863" s="99" t="str">
        <f>INDEX(Tableau5[Description],MATCH(Tableau3[[#This Row],[ID-SIG]],Tableau5[ID],0))</f>
        <v>Contact</v>
      </c>
      <c r="Q863" s="99"/>
      <c r="R863" s="103" t="str">
        <f>Tableau3[[#This Row],[Description]]</f>
        <v>Contact</v>
      </c>
      <c r="U863" s="87">
        <v>5</v>
      </c>
      <c r="V863" s="87">
        <v>2</v>
      </c>
      <c r="W863" s="87">
        <v>9</v>
      </c>
      <c r="X863" s="87">
        <v>5</v>
      </c>
      <c r="Y863" s="40"/>
      <c r="Z863" s="165" t="str">
        <f>INDEX(Tableau2[TS],MATCH(Tableau3[[#This Row],[ID-CARTEVOIE]],Tableau2[ID-CARTEVOIE],0))</f>
        <v>ET</v>
      </c>
      <c r="AA863" s="53" t="s">
        <v>213</v>
      </c>
      <c r="AB863" s="223" t="str">
        <f>IFERROR(INDEX(Tableau5[Reserve],MATCH(Tableau3[[#This Row],[ID-SIG]],Tableau5[ID],0))&amp;"","")</f>
        <v/>
      </c>
      <c r="AC863" s="21"/>
      <c r="AD863" s="108" t="str">
        <f>INDEX(Tableau7[Repere],MATCH(Tableau3[[#This Row],[ID-API]],Tableau7[ID-API],0))&amp;""</f>
        <v>A5</v>
      </c>
      <c r="AE863" s="108" t="str">
        <f>INDEX(Tableau1[Repere-Rack],MATCH(Tableau3[[#This Row],[ID-RACK]],Tableau1[ID-RACK],0))&amp;""</f>
        <v>R2</v>
      </c>
      <c r="AF863" s="108" t="str">
        <f>INDEX(Tableau1[Repere-Slot],MATCH(Tableau3[[#This Row],[ID-SLOT]],Tableau1[ID-SLOT],0))&amp;""</f>
        <v>S9</v>
      </c>
      <c r="AG863" s="108" t="str">
        <f>INDEX(Tableau2[Repere-Voie],MATCH(Tableau3[[#This Row],[ID-VOIE]],Tableau2[ID-Voie],0))&amp;""</f>
        <v>v5</v>
      </c>
      <c r="AH863" s="72" t="str">
        <f>Tableau3[[#This Row],[ID-API]]&amp; "." &amp;Tableau3[[#This Row],[ID-RACK]]&amp; "." &amp;Tableau3[[#This Row],[ID-SLOT]]</f>
        <v>5.2.9</v>
      </c>
      <c r="AI863" s="72" t="str">
        <f>INDEX(Tableau1[Ref-Carte],MATCH(Tableau3[[#This Row],[ID-RRS]],Tableau1[ID-RRS],0))</f>
        <v>SDI1602</v>
      </c>
      <c r="AJ863" s="72" t="str">
        <f t="array" ref="AJ863">IFERROR(INDEX(Tableau2[TS],MATCH(1,(Tableau2[Ref-Carte]=Tableau3[[#This Row],[Ref-Carte2]])*(Tableau2[ID-Voie]=Tableau3[[#This Row],[ID-VOIE]]),0)),"")</f>
        <v>ET</v>
      </c>
      <c r="AK863" s="72" t="str">
        <f>IFERROR(INDEX(Tableau2[TS],SUMPRODUCT((Tableau2[Ref-Carte]=Tableau3[[#This Row],[Ref-Carte2]])*(Tableau2[ID-Voie]=Tableau3[[#This Row],[ID-VOIE]])*ROW(Tableau2[TS]))-ROW(Tableau2[#Headers])),"")</f>
        <v>ET</v>
      </c>
      <c r="AL863" s="72" t="str">
        <f>Tableau3[[#This Row],[Ref-Carte2]]&amp;"/"&amp;Tableau3[[#This Row],[ID-VOIE]]</f>
        <v>SDI1602/5</v>
      </c>
      <c r="AM863" s="73" t="str">
        <f>INDEX(Tableau2[Borne],MATCH(Tableau3[[#This Row],[ID-CARTEVOIE]],Tableau2[ID-CARTEVOIE],0))&amp;""</f>
        <v>2A</v>
      </c>
      <c r="AN863" s="74" t="str">
        <f>Tableau3[[#This Row],[ID-API]]&amp;Tableau3[[#This Row],[ID-RACK]]&amp;Tableau3[[#This Row],[ID-SLOT]]&amp;Tableau3[[#This Row],[BORNE]]</f>
        <v>5292A</v>
      </c>
      <c r="AO863" s="1"/>
    </row>
    <row r="864" spans="1:41" ht="20.100000000000001" customHeight="1" thickTop="1" thickBot="1">
      <c r="A864" s="68"/>
      <c r="B864" s="69" t="str">
        <f>IFERROR(INDEX(Tableau4[Date],MATCH($A864,Tableau4[EVO],0)),"")</f>
        <v/>
      </c>
      <c r="C864" s="68" t="str">
        <f>IFERROR(INDEX(Tableau4[Designation],MATCH($A864,Tableau4[EVO],0)),"")</f>
        <v/>
      </c>
      <c r="D864" s="68"/>
      <c r="E864" s="70">
        <v>468</v>
      </c>
      <c r="F864" s="71">
        <v>3</v>
      </c>
      <c r="G864" s="101" t="str">
        <f>INDEX(Tableau8[Att1],MATCH(Tableau3[[#This Row],[ID-INS]],Tableau8[ID],0))&amp;""</f>
        <v>B21</v>
      </c>
      <c r="H864" s="101" t="str">
        <f>INDEX(Tableau8[Att2],MATCH(Tableau3[[#This Row],[ID-INS]],Tableau8[ID],0))&amp;""</f>
        <v>PPH74</v>
      </c>
      <c r="I864" s="101" t="str">
        <f>INDEX(Tableau8[Att3],MATCH(Tableau3[[#This Row],[ID-INS]],Tableau8[ID],0))&amp;""</f>
        <v>Fraude détecteur volumétrique DVOL9</v>
      </c>
      <c r="J864" s="101"/>
      <c r="K864" s="167" t="str">
        <f>INDEX(Tableau8[Nom du modele],MATCH(Tableau3[[#This Row],[ID-INS]],Tableau8[ID],0))&amp;""</f>
        <v>E_Divers</v>
      </c>
      <c r="L864" s="99" t="str">
        <f>INDEX(Tableau5[Att1],MATCH(Tableau3[[#This Row],[ID-SIG]],Tableau5[ID],0))&amp;""</f>
        <v>C1</v>
      </c>
      <c r="M864" s="99" t="str">
        <f>INDEX(Tableau5[Att2],MATCH(Tableau3[[#This Row],[ID-SIG]],Tableau5[ID],0))&amp;""</f>
        <v/>
      </c>
      <c r="N864" s="99" t="str">
        <f>INDEX(Tableau5[Att3],MATCH(Tableau3[[#This Row],[ID-SIG]],Tableau5[ID],0))&amp;""</f>
        <v/>
      </c>
      <c r="O864" s="99"/>
      <c r="P864" s="99" t="str">
        <f>INDEX(Tableau5[Description],MATCH(Tableau3[[#This Row],[ID-SIG]],Tableau5[ID],0))</f>
        <v>Contact</v>
      </c>
      <c r="Q864" s="99"/>
      <c r="R864" s="103" t="str">
        <f>Tableau3[[#This Row],[Description]]</f>
        <v>Contact</v>
      </c>
      <c r="U864" s="87">
        <v>5</v>
      </c>
      <c r="V864" s="87">
        <v>2</v>
      </c>
      <c r="W864" s="87">
        <v>9</v>
      </c>
      <c r="X864" s="87">
        <v>6</v>
      </c>
      <c r="Y864" s="40"/>
      <c r="Z864" s="165" t="str">
        <f>INDEX(Tableau2[TS],MATCH(Tableau3[[#This Row],[ID-CARTEVOIE]],Tableau2[ID-CARTEVOIE],0))</f>
        <v>ET</v>
      </c>
      <c r="AA864" s="53" t="s">
        <v>213</v>
      </c>
      <c r="AB864" s="223" t="str">
        <f>IFERROR(INDEX(Tableau5[Reserve],MATCH(Tableau3[[#This Row],[ID-SIG]],Tableau5[ID],0))&amp;"","")</f>
        <v/>
      </c>
      <c r="AC864" s="21"/>
      <c r="AD864" s="108" t="str">
        <f>INDEX(Tableau7[Repere],MATCH(Tableau3[[#This Row],[ID-API]],Tableau7[ID-API],0))&amp;""</f>
        <v>A5</v>
      </c>
      <c r="AE864" s="108" t="str">
        <f>INDEX(Tableau1[Repere-Rack],MATCH(Tableau3[[#This Row],[ID-RACK]],Tableau1[ID-RACK],0))&amp;""</f>
        <v>R2</v>
      </c>
      <c r="AF864" s="108" t="str">
        <f>INDEX(Tableau1[Repere-Slot],MATCH(Tableau3[[#This Row],[ID-SLOT]],Tableau1[ID-SLOT],0))&amp;""</f>
        <v>S9</v>
      </c>
      <c r="AG864" s="108" t="str">
        <f>INDEX(Tableau2[Repere-Voie],MATCH(Tableau3[[#This Row],[ID-VOIE]],Tableau2[ID-Voie],0))&amp;""</f>
        <v>v6</v>
      </c>
      <c r="AH864" s="72" t="str">
        <f>Tableau3[[#This Row],[ID-API]]&amp; "." &amp;Tableau3[[#This Row],[ID-RACK]]&amp; "." &amp;Tableau3[[#This Row],[ID-SLOT]]</f>
        <v>5.2.9</v>
      </c>
      <c r="AI864" s="72" t="str">
        <f>INDEX(Tableau1[Ref-Carte],MATCH(Tableau3[[#This Row],[ID-RRS]],Tableau1[ID-RRS],0))</f>
        <v>SDI1602</v>
      </c>
      <c r="AJ864" s="72" t="str">
        <f t="array" ref="AJ864">IFERROR(INDEX(Tableau2[TS],MATCH(1,(Tableau2[Ref-Carte]=Tableau3[[#This Row],[Ref-Carte2]])*(Tableau2[ID-Voie]=Tableau3[[#This Row],[ID-VOIE]]),0)),"")</f>
        <v>ET</v>
      </c>
      <c r="AK864" s="72" t="str">
        <f>IFERROR(INDEX(Tableau2[TS],SUMPRODUCT((Tableau2[Ref-Carte]=Tableau3[[#This Row],[Ref-Carte2]])*(Tableau2[ID-Voie]=Tableau3[[#This Row],[ID-VOIE]])*ROW(Tableau2[TS]))-ROW(Tableau2[#Headers])),"")</f>
        <v>ET</v>
      </c>
      <c r="AL864" s="72" t="str">
        <f>Tableau3[[#This Row],[Ref-Carte2]]&amp;"/"&amp;Tableau3[[#This Row],[ID-VOIE]]</f>
        <v>SDI1602/6</v>
      </c>
      <c r="AM864" s="73" t="str">
        <f>INDEX(Tableau2[Borne],MATCH(Tableau3[[#This Row],[ID-CARTEVOIE]],Tableau2[ID-CARTEVOIE],0))&amp;""</f>
        <v>3B</v>
      </c>
      <c r="AN864" s="74" t="str">
        <f>Tableau3[[#This Row],[ID-API]]&amp;Tableau3[[#This Row],[ID-RACK]]&amp;Tableau3[[#This Row],[ID-SLOT]]&amp;Tableau3[[#This Row],[BORNE]]</f>
        <v>5293B</v>
      </c>
      <c r="AO864" s="1"/>
    </row>
    <row r="865" spans="1:41" ht="20.100000000000001" customHeight="1" thickTop="1" thickBot="1">
      <c r="A865" s="68"/>
      <c r="B865" s="69" t="str">
        <f>IFERROR(INDEX(Tableau4[Date],MATCH($A865,Tableau4[EVO],0)),"")</f>
        <v/>
      </c>
      <c r="C865" s="68" t="str">
        <f>IFERROR(INDEX(Tableau4[Designation],MATCH($A865,Tableau4[EVO],0)),"")</f>
        <v/>
      </c>
      <c r="D865" s="68"/>
      <c r="E865" s="70">
        <v>469</v>
      </c>
      <c r="F865" s="71">
        <v>3</v>
      </c>
      <c r="G865" s="101" t="str">
        <f>INDEX(Tableau8[Att1],MATCH(Tableau3[[#This Row],[ID-INS]],Tableau8[ID],0))&amp;""</f>
        <v>B21</v>
      </c>
      <c r="H865" s="101" t="str">
        <f>INDEX(Tableau8[Att2],MATCH(Tableau3[[#This Row],[ID-INS]],Tableau8[ID],0))&amp;""</f>
        <v>TECH19</v>
      </c>
      <c r="I865" s="101" t="str">
        <f>INDEX(Tableau8[Att3],MATCH(Tableau3[[#This Row],[ID-INS]],Tableau8[ID],0))&amp;""</f>
        <v>Dérangement détecteur volumétrique DVOL9</v>
      </c>
      <c r="J865" s="101"/>
      <c r="K865" s="167" t="str">
        <f>INDEX(Tableau8[Nom du modele],MATCH(Tableau3[[#This Row],[ID-INS]],Tableau8[ID],0))&amp;""</f>
        <v>E_Divers</v>
      </c>
      <c r="L865" s="99" t="str">
        <f>INDEX(Tableau5[Att1],MATCH(Tableau3[[#This Row],[ID-SIG]],Tableau5[ID],0))&amp;""</f>
        <v>C1</v>
      </c>
      <c r="M865" s="99" t="str">
        <f>INDEX(Tableau5[Att2],MATCH(Tableau3[[#This Row],[ID-SIG]],Tableau5[ID],0))&amp;""</f>
        <v/>
      </c>
      <c r="N865" s="99" t="str">
        <f>INDEX(Tableau5[Att3],MATCH(Tableau3[[#This Row],[ID-SIG]],Tableau5[ID],0))&amp;""</f>
        <v/>
      </c>
      <c r="O865" s="99"/>
      <c r="P865" s="99" t="str">
        <f>INDEX(Tableau5[Description],MATCH(Tableau3[[#This Row],[ID-SIG]],Tableau5[ID],0))</f>
        <v>Contact</v>
      </c>
      <c r="Q865" s="99"/>
      <c r="R865" s="103" t="str">
        <f>Tableau3[[#This Row],[Description]]</f>
        <v>Contact</v>
      </c>
      <c r="U865" s="87">
        <v>5</v>
      </c>
      <c r="V865" s="87">
        <v>2</v>
      </c>
      <c r="W865" s="87">
        <v>9</v>
      </c>
      <c r="X865" s="87">
        <v>7</v>
      </c>
      <c r="Y865" s="40"/>
      <c r="Z865" s="165" t="str">
        <f>INDEX(Tableau2[TS],MATCH(Tableau3[[#This Row],[ID-CARTEVOIE]],Tableau2[ID-CARTEVOIE],0))</f>
        <v>ET</v>
      </c>
      <c r="AA865" s="53" t="s">
        <v>213</v>
      </c>
      <c r="AB865" s="223" t="str">
        <f>IFERROR(INDEX(Tableau5[Reserve],MATCH(Tableau3[[#This Row],[ID-SIG]],Tableau5[ID],0))&amp;"","")</f>
        <v/>
      </c>
      <c r="AC865" s="21"/>
      <c r="AD865" s="108" t="str">
        <f>INDEX(Tableau7[Repere],MATCH(Tableau3[[#This Row],[ID-API]],Tableau7[ID-API],0))&amp;""</f>
        <v>A5</v>
      </c>
      <c r="AE865" s="108" t="str">
        <f>INDEX(Tableau1[Repere-Rack],MATCH(Tableau3[[#This Row],[ID-RACK]],Tableau1[ID-RACK],0))&amp;""</f>
        <v>R2</v>
      </c>
      <c r="AF865" s="108" t="str">
        <f>INDEX(Tableau1[Repere-Slot],MATCH(Tableau3[[#This Row],[ID-SLOT]],Tableau1[ID-SLOT],0))&amp;""</f>
        <v>S9</v>
      </c>
      <c r="AG865" s="108" t="str">
        <f>INDEX(Tableau2[Repere-Voie],MATCH(Tableau3[[#This Row],[ID-VOIE]],Tableau2[ID-Voie],0))&amp;""</f>
        <v>v7</v>
      </c>
      <c r="AH865" s="72" t="str">
        <f>Tableau3[[#This Row],[ID-API]]&amp; "." &amp;Tableau3[[#This Row],[ID-RACK]]&amp; "." &amp;Tableau3[[#This Row],[ID-SLOT]]</f>
        <v>5.2.9</v>
      </c>
      <c r="AI865" s="72" t="str">
        <f>INDEX(Tableau1[Ref-Carte],MATCH(Tableau3[[#This Row],[ID-RRS]],Tableau1[ID-RRS],0))</f>
        <v>SDI1602</v>
      </c>
      <c r="AJ865" s="72" t="str">
        <f t="array" ref="AJ865">IFERROR(INDEX(Tableau2[TS],MATCH(1,(Tableau2[Ref-Carte]=Tableau3[[#This Row],[Ref-Carte2]])*(Tableau2[ID-Voie]=Tableau3[[#This Row],[ID-VOIE]]),0)),"")</f>
        <v>ET</v>
      </c>
      <c r="AK865" s="72" t="str">
        <f>IFERROR(INDEX(Tableau2[TS],SUMPRODUCT((Tableau2[Ref-Carte]=Tableau3[[#This Row],[Ref-Carte2]])*(Tableau2[ID-Voie]=Tableau3[[#This Row],[ID-VOIE]])*ROW(Tableau2[TS]))-ROW(Tableau2[#Headers])),"")</f>
        <v>ET</v>
      </c>
      <c r="AL865" s="72" t="str">
        <f>Tableau3[[#This Row],[Ref-Carte2]]&amp;"/"&amp;Tableau3[[#This Row],[ID-VOIE]]</f>
        <v>SDI1602/7</v>
      </c>
      <c r="AM865" s="73" t="str">
        <f>INDEX(Tableau2[Borne],MATCH(Tableau3[[#This Row],[ID-CARTEVOIE]],Tableau2[ID-CARTEVOIE],0))&amp;""</f>
        <v>3A</v>
      </c>
      <c r="AN865" s="74" t="str">
        <f>Tableau3[[#This Row],[ID-API]]&amp;Tableau3[[#This Row],[ID-RACK]]&amp;Tableau3[[#This Row],[ID-SLOT]]&amp;Tableau3[[#This Row],[BORNE]]</f>
        <v>5293A</v>
      </c>
      <c r="AO865" s="1"/>
    </row>
    <row r="866" spans="1:41" ht="20.100000000000001" customHeight="1" thickTop="1" thickBot="1">
      <c r="A866" s="68"/>
      <c r="B866" s="69" t="str">
        <f>IFERROR(INDEX(Tableau4[Date],MATCH($A866,Tableau4[EVO],0)),"")</f>
        <v/>
      </c>
      <c r="C866" s="68" t="str">
        <f>IFERROR(INDEX(Tableau4[Designation],MATCH($A866,Tableau4[EVO],0)),"")</f>
        <v/>
      </c>
      <c r="D866" s="68"/>
      <c r="E866" s="70">
        <v>470</v>
      </c>
      <c r="F866" s="71">
        <v>3</v>
      </c>
      <c r="G866" s="101" t="str">
        <f>INDEX(Tableau8[Att1],MATCH(Tableau3[[#This Row],[ID-INS]],Tableau8[ID],0))&amp;""</f>
        <v>B21</v>
      </c>
      <c r="H866" s="101" t="str">
        <f>INDEX(Tableau8[Att2],MATCH(Tableau3[[#This Row],[ID-INS]],Tableau8[ID],0))&amp;""</f>
        <v>PPH75</v>
      </c>
      <c r="I866" s="101" t="str">
        <f>INDEX(Tableau8[Att3],MATCH(Tableau3[[#This Row],[ID-INS]],Tableau8[ID],0))&amp;""</f>
        <v>Alarme détecteur volumétrique DVOL10</v>
      </c>
      <c r="J866" s="101"/>
      <c r="K866" s="167" t="str">
        <f>INDEX(Tableau8[Nom du modele],MATCH(Tableau3[[#This Row],[ID-INS]],Tableau8[ID],0))&amp;""</f>
        <v>E_Divers</v>
      </c>
      <c r="L866" s="99" t="str">
        <f>INDEX(Tableau5[Att1],MATCH(Tableau3[[#This Row],[ID-SIG]],Tableau5[ID],0))&amp;""</f>
        <v>C1</v>
      </c>
      <c r="M866" s="99" t="str">
        <f>INDEX(Tableau5[Att2],MATCH(Tableau3[[#This Row],[ID-SIG]],Tableau5[ID],0))&amp;""</f>
        <v/>
      </c>
      <c r="N866" s="99" t="str">
        <f>INDEX(Tableau5[Att3],MATCH(Tableau3[[#This Row],[ID-SIG]],Tableau5[ID],0))&amp;""</f>
        <v/>
      </c>
      <c r="O866" s="99"/>
      <c r="P866" s="99" t="str">
        <f>INDEX(Tableau5[Description],MATCH(Tableau3[[#This Row],[ID-SIG]],Tableau5[ID],0))</f>
        <v>Contact</v>
      </c>
      <c r="Q866" s="99"/>
      <c r="R866" s="103" t="str">
        <f>Tableau3[[#This Row],[Description]]</f>
        <v>Contact</v>
      </c>
      <c r="U866" s="87">
        <v>5</v>
      </c>
      <c r="V866" s="87">
        <v>2</v>
      </c>
      <c r="W866" s="87">
        <v>9</v>
      </c>
      <c r="X866" s="87">
        <v>8</v>
      </c>
      <c r="Y866" s="40"/>
      <c r="Z866" s="165" t="str">
        <f>INDEX(Tableau2[TS],MATCH(Tableau3[[#This Row],[ID-CARTEVOIE]],Tableau2[ID-CARTEVOIE],0))</f>
        <v>ET</v>
      </c>
      <c r="AA866" s="53" t="s">
        <v>213</v>
      </c>
      <c r="AB866" s="223" t="str">
        <f>IFERROR(INDEX(Tableau5[Reserve],MATCH(Tableau3[[#This Row],[ID-SIG]],Tableau5[ID],0))&amp;"","")</f>
        <v/>
      </c>
      <c r="AC866" s="21"/>
      <c r="AD866" s="108" t="str">
        <f>INDEX(Tableau7[Repere],MATCH(Tableau3[[#This Row],[ID-API]],Tableau7[ID-API],0))&amp;""</f>
        <v>A5</v>
      </c>
      <c r="AE866" s="108" t="str">
        <f>INDEX(Tableau1[Repere-Rack],MATCH(Tableau3[[#This Row],[ID-RACK]],Tableau1[ID-RACK],0))&amp;""</f>
        <v>R2</v>
      </c>
      <c r="AF866" s="108" t="str">
        <f>INDEX(Tableau1[Repere-Slot],MATCH(Tableau3[[#This Row],[ID-SLOT]],Tableau1[ID-SLOT],0))&amp;""</f>
        <v>S9</v>
      </c>
      <c r="AG866" s="108" t="str">
        <f>INDEX(Tableau2[Repere-Voie],MATCH(Tableau3[[#This Row],[ID-VOIE]],Tableau2[ID-Voie],0))&amp;""</f>
        <v>v8</v>
      </c>
      <c r="AH866" s="72" t="str">
        <f>Tableau3[[#This Row],[ID-API]]&amp; "." &amp;Tableau3[[#This Row],[ID-RACK]]&amp; "." &amp;Tableau3[[#This Row],[ID-SLOT]]</f>
        <v>5.2.9</v>
      </c>
      <c r="AI866" s="72" t="str">
        <f>INDEX(Tableau1[Ref-Carte],MATCH(Tableau3[[#This Row],[ID-RRS]],Tableau1[ID-RRS],0))</f>
        <v>SDI1602</v>
      </c>
      <c r="AJ866" s="72" t="str">
        <f t="array" ref="AJ866">IFERROR(INDEX(Tableau2[TS],MATCH(1,(Tableau2[Ref-Carte]=Tableau3[[#This Row],[Ref-Carte2]])*(Tableau2[ID-Voie]=Tableau3[[#This Row],[ID-VOIE]]),0)),"")</f>
        <v>ET</v>
      </c>
      <c r="AK866" s="72" t="str">
        <f>IFERROR(INDEX(Tableau2[TS],SUMPRODUCT((Tableau2[Ref-Carte]=Tableau3[[#This Row],[Ref-Carte2]])*(Tableau2[ID-Voie]=Tableau3[[#This Row],[ID-VOIE]])*ROW(Tableau2[TS]))-ROW(Tableau2[#Headers])),"")</f>
        <v>ET</v>
      </c>
      <c r="AL866" s="72" t="str">
        <f>Tableau3[[#This Row],[Ref-Carte2]]&amp;"/"&amp;Tableau3[[#This Row],[ID-VOIE]]</f>
        <v>SDI1602/8</v>
      </c>
      <c r="AM866" s="73" t="str">
        <f>INDEX(Tableau2[Borne],MATCH(Tableau3[[#This Row],[ID-CARTEVOIE]],Tableau2[ID-CARTEVOIE],0))&amp;""</f>
        <v>4B</v>
      </c>
      <c r="AN866" s="74" t="str">
        <f>Tableau3[[#This Row],[ID-API]]&amp;Tableau3[[#This Row],[ID-RACK]]&amp;Tableau3[[#This Row],[ID-SLOT]]&amp;Tableau3[[#This Row],[BORNE]]</f>
        <v>5294B</v>
      </c>
      <c r="AO866" s="1"/>
    </row>
    <row r="867" spans="1:41" ht="20.100000000000001" customHeight="1" thickTop="1" thickBot="1">
      <c r="A867" s="68"/>
      <c r="B867" s="69" t="str">
        <f>IFERROR(INDEX(Tableau4[Date],MATCH($A867,Tableau4[EVO],0)),"")</f>
        <v/>
      </c>
      <c r="C867" s="68" t="str">
        <f>IFERROR(INDEX(Tableau4[Designation],MATCH($A867,Tableau4[EVO],0)),"")</f>
        <v/>
      </c>
      <c r="D867" s="68"/>
      <c r="E867" s="70">
        <v>471</v>
      </c>
      <c r="F867" s="71">
        <v>3</v>
      </c>
      <c r="G867" s="101" t="str">
        <f>INDEX(Tableau8[Att1],MATCH(Tableau3[[#This Row],[ID-INS]],Tableau8[ID],0))&amp;""</f>
        <v>B21</v>
      </c>
      <c r="H867" s="101" t="str">
        <f>INDEX(Tableau8[Att2],MATCH(Tableau3[[#This Row],[ID-INS]],Tableau8[ID],0))&amp;""</f>
        <v>PPH76</v>
      </c>
      <c r="I867" s="101" t="str">
        <f>INDEX(Tableau8[Att3],MATCH(Tableau3[[#This Row],[ID-INS]],Tableau8[ID],0))&amp;""</f>
        <v>Fraude détecteur volumétrique DVOL10</v>
      </c>
      <c r="J867" s="101"/>
      <c r="K867" s="167" t="str">
        <f>INDEX(Tableau8[Nom du modele],MATCH(Tableau3[[#This Row],[ID-INS]],Tableau8[ID],0))&amp;""</f>
        <v>E_Divers</v>
      </c>
      <c r="L867" s="99" t="str">
        <f>INDEX(Tableau5[Att1],MATCH(Tableau3[[#This Row],[ID-SIG]],Tableau5[ID],0))&amp;""</f>
        <v>C1</v>
      </c>
      <c r="M867" s="99" t="str">
        <f>INDEX(Tableau5[Att2],MATCH(Tableau3[[#This Row],[ID-SIG]],Tableau5[ID],0))&amp;""</f>
        <v/>
      </c>
      <c r="N867" s="99" t="str">
        <f>INDEX(Tableau5[Att3],MATCH(Tableau3[[#This Row],[ID-SIG]],Tableau5[ID],0))&amp;""</f>
        <v/>
      </c>
      <c r="O867" s="99"/>
      <c r="P867" s="99" t="str">
        <f>INDEX(Tableau5[Description],MATCH(Tableau3[[#This Row],[ID-SIG]],Tableau5[ID],0))</f>
        <v>Contact</v>
      </c>
      <c r="Q867" s="99"/>
      <c r="R867" s="103" t="str">
        <f>Tableau3[[#This Row],[Description]]</f>
        <v>Contact</v>
      </c>
      <c r="U867" s="87">
        <v>5</v>
      </c>
      <c r="V867" s="87">
        <v>2</v>
      </c>
      <c r="W867" s="87">
        <v>9</v>
      </c>
      <c r="X867" s="87">
        <v>9</v>
      </c>
      <c r="Y867" s="40"/>
      <c r="Z867" s="165" t="str">
        <f>INDEX(Tableau2[TS],MATCH(Tableau3[[#This Row],[ID-CARTEVOIE]],Tableau2[ID-CARTEVOIE],0))</f>
        <v>ET</v>
      </c>
      <c r="AA867" s="53" t="s">
        <v>213</v>
      </c>
      <c r="AB867" s="223" t="str">
        <f>IFERROR(INDEX(Tableau5[Reserve],MATCH(Tableau3[[#This Row],[ID-SIG]],Tableau5[ID],0))&amp;"","")</f>
        <v/>
      </c>
      <c r="AC867" s="21"/>
      <c r="AD867" s="108" t="str">
        <f>INDEX(Tableau7[Repere],MATCH(Tableau3[[#This Row],[ID-API]],Tableau7[ID-API],0))&amp;""</f>
        <v>A5</v>
      </c>
      <c r="AE867" s="108" t="str">
        <f>INDEX(Tableau1[Repere-Rack],MATCH(Tableau3[[#This Row],[ID-RACK]],Tableau1[ID-RACK],0))&amp;""</f>
        <v>R2</v>
      </c>
      <c r="AF867" s="108" t="str">
        <f>INDEX(Tableau1[Repere-Slot],MATCH(Tableau3[[#This Row],[ID-SLOT]],Tableau1[ID-SLOT],0))&amp;""</f>
        <v>S9</v>
      </c>
      <c r="AG867" s="108" t="str">
        <f>INDEX(Tableau2[Repere-Voie],MATCH(Tableau3[[#This Row],[ID-VOIE]],Tableau2[ID-Voie],0))&amp;""</f>
        <v>v9</v>
      </c>
      <c r="AH867" s="72" t="str">
        <f>Tableau3[[#This Row],[ID-API]]&amp; "." &amp;Tableau3[[#This Row],[ID-RACK]]&amp; "." &amp;Tableau3[[#This Row],[ID-SLOT]]</f>
        <v>5.2.9</v>
      </c>
      <c r="AI867" s="72" t="str">
        <f>INDEX(Tableau1[Ref-Carte],MATCH(Tableau3[[#This Row],[ID-RRS]],Tableau1[ID-RRS],0))</f>
        <v>SDI1602</v>
      </c>
      <c r="AJ867" s="72" t="str">
        <f t="array" ref="AJ867">IFERROR(INDEX(Tableau2[TS],MATCH(1,(Tableau2[Ref-Carte]=Tableau3[[#This Row],[Ref-Carte2]])*(Tableau2[ID-Voie]=Tableau3[[#This Row],[ID-VOIE]]),0)),"")</f>
        <v>ET</v>
      </c>
      <c r="AK867" s="72" t="str">
        <f>IFERROR(INDEX(Tableau2[TS],SUMPRODUCT((Tableau2[Ref-Carte]=Tableau3[[#This Row],[Ref-Carte2]])*(Tableau2[ID-Voie]=Tableau3[[#This Row],[ID-VOIE]])*ROW(Tableau2[TS]))-ROW(Tableau2[#Headers])),"")</f>
        <v>ET</v>
      </c>
      <c r="AL867" s="72" t="str">
        <f>Tableau3[[#This Row],[Ref-Carte2]]&amp;"/"&amp;Tableau3[[#This Row],[ID-VOIE]]</f>
        <v>SDI1602/9</v>
      </c>
      <c r="AM867" s="73" t="str">
        <f>INDEX(Tableau2[Borne],MATCH(Tableau3[[#This Row],[ID-CARTEVOIE]],Tableau2[ID-CARTEVOIE],0))&amp;""</f>
        <v>4A</v>
      </c>
      <c r="AN867" s="74" t="str">
        <f>Tableau3[[#This Row],[ID-API]]&amp;Tableau3[[#This Row],[ID-RACK]]&amp;Tableau3[[#This Row],[ID-SLOT]]&amp;Tableau3[[#This Row],[BORNE]]</f>
        <v>5294A</v>
      </c>
      <c r="AO867" s="1"/>
    </row>
    <row r="868" spans="1:41" ht="20.100000000000001" customHeight="1" thickTop="1" thickBot="1">
      <c r="A868" s="68"/>
      <c r="B868" s="69" t="str">
        <f>IFERROR(INDEX(Tableau4[Date],MATCH($A868,Tableau4[EVO],0)),"")</f>
        <v/>
      </c>
      <c r="C868" s="68" t="str">
        <f>IFERROR(INDEX(Tableau4[Designation],MATCH($A868,Tableau4[EVO],0)),"")</f>
        <v/>
      </c>
      <c r="D868" s="68"/>
      <c r="E868" s="70">
        <v>472</v>
      </c>
      <c r="F868" s="71">
        <v>3</v>
      </c>
      <c r="G868" s="101" t="str">
        <f>INDEX(Tableau8[Att1],MATCH(Tableau3[[#This Row],[ID-INS]],Tableau8[ID],0))&amp;""</f>
        <v>B21</v>
      </c>
      <c r="H868" s="101" t="str">
        <f>INDEX(Tableau8[Att2],MATCH(Tableau3[[#This Row],[ID-INS]],Tableau8[ID],0))&amp;""</f>
        <v>TECH20</v>
      </c>
      <c r="I868" s="101" t="str">
        <f>INDEX(Tableau8[Att3],MATCH(Tableau3[[#This Row],[ID-INS]],Tableau8[ID],0))&amp;""</f>
        <v>Dérangement détecteur volumétrique DVOL10</v>
      </c>
      <c r="J868" s="101"/>
      <c r="K868" s="167" t="str">
        <f>INDEX(Tableau8[Nom du modele],MATCH(Tableau3[[#This Row],[ID-INS]],Tableau8[ID],0))&amp;""</f>
        <v>E_Divers</v>
      </c>
      <c r="L868" s="99" t="str">
        <f>INDEX(Tableau5[Att1],MATCH(Tableau3[[#This Row],[ID-SIG]],Tableau5[ID],0))&amp;""</f>
        <v>C1</v>
      </c>
      <c r="M868" s="99" t="str">
        <f>INDEX(Tableau5[Att2],MATCH(Tableau3[[#This Row],[ID-SIG]],Tableau5[ID],0))&amp;""</f>
        <v/>
      </c>
      <c r="N868" s="99" t="str">
        <f>INDEX(Tableau5[Att3],MATCH(Tableau3[[#This Row],[ID-SIG]],Tableau5[ID],0))&amp;""</f>
        <v/>
      </c>
      <c r="O868" s="99"/>
      <c r="P868" s="99" t="str">
        <f>INDEX(Tableau5[Description],MATCH(Tableau3[[#This Row],[ID-SIG]],Tableau5[ID],0))</f>
        <v>Contact</v>
      </c>
      <c r="Q868" s="99"/>
      <c r="R868" s="103" t="str">
        <f>Tableau3[[#This Row],[Description]]</f>
        <v>Contact</v>
      </c>
      <c r="U868" s="87">
        <v>5</v>
      </c>
      <c r="V868" s="87">
        <v>2</v>
      </c>
      <c r="W868" s="87">
        <v>9</v>
      </c>
      <c r="X868" s="87">
        <v>10</v>
      </c>
      <c r="Y868" s="40"/>
      <c r="Z868" s="165" t="str">
        <f>INDEX(Tableau2[TS],MATCH(Tableau3[[#This Row],[ID-CARTEVOIE]],Tableau2[ID-CARTEVOIE],0))</f>
        <v>ET</v>
      </c>
      <c r="AA868" s="53" t="s">
        <v>213</v>
      </c>
      <c r="AB868" s="223" t="str">
        <f>IFERROR(INDEX(Tableau5[Reserve],MATCH(Tableau3[[#This Row],[ID-SIG]],Tableau5[ID],0))&amp;"","")</f>
        <v/>
      </c>
      <c r="AC868" s="21"/>
      <c r="AD868" s="108" t="str">
        <f>INDEX(Tableau7[Repere],MATCH(Tableau3[[#This Row],[ID-API]],Tableau7[ID-API],0))&amp;""</f>
        <v>A5</v>
      </c>
      <c r="AE868" s="108" t="str">
        <f>INDEX(Tableau1[Repere-Rack],MATCH(Tableau3[[#This Row],[ID-RACK]],Tableau1[ID-RACK],0))&amp;""</f>
        <v>R2</v>
      </c>
      <c r="AF868" s="108" t="str">
        <f>INDEX(Tableau1[Repere-Slot],MATCH(Tableau3[[#This Row],[ID-SLOT]],Tableau1[ID-SLOT],0))&amp;""</f>
        <v>S9</v>
      </c>
      <c r="AG868" s="108" t="str">
        <f>INDEX(Tableau2[Repere-Voie],MATCH(Tableau3[[#This Row],[ID-VOIE]],Tableau2[ID-Voie],0))&amp;""</f>
        <v>v10</v>
      </c>
      <c r="AH868" s="72" t="str">
        <f>Tableau3[[#This Row],[ID-API]]&amp; "." &amp;Tableau3[[#This Row],[ID-RACK]]&amp; "." &amp;Tableau3[[#This Row],[ID-SLOT]]</f>
        <v>5.2.9</v>
      </c>
      <c r="AI868" s="72" t="str">
        <f>INDEX(Tableau1[Ref-Carte],MATCH(Tableau3[[#This Row],[ID-RRS]],Tableau1[ID-RRS],0))</f>
        <v>SDI1602</v>
      </c>
      <c r="AJ868" s="72" t="str">
        <f t="array" ref="AJ868">IFERROR(INDEX(Tableau2[TS],MATCH(1,(Tableau2[Ref-Carte]=Tableau3[[#This Row],[Ref-Carte2]])*(Tableau2[ID-Voie]=Tableau3[[#This Row],[ID-VOIE]]),0)),"")</f>
        <v>ET</v>
      </c>
      <c r="AK868" s="72" t="str">
        <f>IFERROR(INDEX(Tableau2[TS],SUMPRODUCT((Tableau2[Ref-Carte]=Tableau3[[#This Row],[Ref-Carte2]])*(Tableau2[ID-Voie]=Tableau3[[#This Row],[ID-VOIE]])*ROW(Tableau2[TS]))-ROW(Tableau2[#Headers])),"")</f>
        <v>ET</v>
      </c>
      <c r="AL868" s="72" t="str">
        <f>Tableau3[[#This Row],[Ref-Carte2]]&amp;"/"&amp;Tableau3[[#This Row],[ID-VOIE]]</f>
        <v>SDI1602/10</v>
      </c>
      <c r="AM868" s="73" t="str">
        <f>INDEX(Tableau2[Borne],MATCH(Tableau3[[#This Row],[ID-CARTEVOIE]],Tableau2[ID-CARTEVOIE],0))&amp;""</f>
        <v>5B</v>
      </c>
      <c r="AN868" s="74" t="str">
        <f>Tableau3[[#This Row],[ID-API]]&amp;Tableau3[[#This Row],[ID-RACK]]&amp;Tableau3[[#This Row],[ID-SLOT]]&amp;Tableau3[[#This Row],[BORNE]]</f>
        <v>5295B</v>
      </c>
      <c r="AO868" s="1"/>
    </row>
    <row r="869" spans="1:41" ht="20.100000000000001" customHeight="1" thickTop="1" thickBot="1">
      <c r="A869" s="68"/>
      <c r="B869" s="69" t="str">
        <f>IFERROR(INDEX(Tableau4[Date],MATCH($A869,Tableau4[EVO],0)),"")</f>
        <v/>
      </c>
      <c r="C869" s="68" t="str">
        <f>IFERROR(INDEX(Tableau4[Designation],MATCH($A869,Tableau4[EVO],0)),"")</f>
        <v/>
      </c>
      <c r="D869" s="68"/>
      <c r="E869" s="70">
        <v>473</v>
      </c>
      <c r="F869" s="71">
        <v>3</v>
      </c>
      <c r="G869" s="101" t="str">
        <f>INDEX(Tableau8[Att1],MATCH(Tableau3[[#This Row],[ID-INS]],Tableau8[ID],0))&amp;""</f>
        <v>B21</v>
      </c>
      <c r="H869" s="153" t="s">
        <v>1716</v>
      </c>
      <c r="I869" s="101" t="str">
        <f>INDEX(Tableau8[Att3],MATCH(Tableau3[[#This Row],[ID-INS]],Tableau8[ID],0))&amp;""</f>
        <v>Alarme CP15 armoire RIO B21</v>
      </c>
      <c r="J869" s="101"/>
      <c r="K869" s="167" t="str">
        <f>INDEX(Tableau8[Nom du modele],MATCH(Tableau3[[#This Row],[ID-INS]],Tableau8[ID],0))&amp;""</f>
        <v>E_Divers</v>
      </c>
      <c r="L869" s="99" t="str">
        <f>INDEX(Tableau5[Att1],MATCH(Tableau3[[#This Row],[ID-SIG]],Tableau5[ID],0))&amp;""</f>
        <v>C1</v>
      </c>
      <c r="M869" s="99" t="str">
        <f>INDEX(Tableau5[Att2],MATCH(Tableau3[[#This Row],[ID-SIG]],Tableau5[ID],0))&amp;""</f>
        <v/>
      </c>
      <c r="N869" s="99" t="str">
        <f>INDEX(Tableau5[Att3],MATCH(Tableau3[[#This Row],[ID-SIG]],Tableau5[ID],0))&amp;""</f>
        <v/>
      </c>
      <c r="O869" s="99"/>
      <c r="P869" s="99" t="str">
        <f>INDEX(Tableau5[Description],MATCH(Tableau3[[#This Row],[ID-SIG]],Tableau5[ID],0))</f>
        <v>Contact</v>
      </c>
      <c r="Q869" s="99"/>
      <c r="R869" s="103" t="str">
        <f>Tableau3[[#This Row],[Description]]</f>
        <v>Contact</v>
      </c>
      <c r="U869" s="87">
        <v>5</v>
      </c>
      <c r="V869" s="87">
        <v>2</v>
      </c>
      <c r="W869" s="87">
        <v>9</v>
      </c>
      <c r="X869" s="87">
        <v>11</v>
      </c>
      <c r="Y869" s="40"/>
      <c r="Z869" s="165" t="str">
        <f>INDEX(Tableau2[TS],MATCH(Tableau3[[#This Row],[ID-CARTEVOIE]],Tableau2[ID-CARTEVOIE],0))</f>
        <v>ET</v>
      </c>
      <c r="AA869" s="53" t="s">
        <v>213</v>
      </c>
      <c r="AB869" s="223" t="str">
        <f>IFERROR(INDEX(Tableau5[Reserve],MATCH(Tableau3[[#This Row],[ID-SIG]],Tableau5[ID],0))&amp;"","")</f>
        <v/>
      </c>
      <c r="AC869" s="21"/>
      <c r="AD869" s="108" t="str">
        <f>INDEX(Tableau7[Repere],MATCH(Tableau3[[#This Row],[ID-API]],Tableau7[ID-API],0))&amp;""</f>
        <v>A5</v>
      </c>
      <c r="AE869" s="108" t="str">
        <f>INDEX(Tableau1[Repere-Rack],MATCH(Tableau3[[#This Row],[ID-RACK]],Tableau1[ID-RACK],0))&amp;""</f>
        <v>R2</v>
      </c>
      <c r="AF869" s="108" t="str">
        <f>INDEX(Tableau1[Repere-Slot],MATCH(Tableau3[[#This Row],[ID-SLOT]],Tableau1[ID-SLOT],0))&amp;""</f>
        <v>S9</v>
      </c>
      <c r="AG869" s="108" t="str">
        <f>INDEX(Tableau2[Repere-Voie],MATCH(Tableau3[[#This Row],[ID-VOIE]],Tableau2[ID-Voie],0))&amp;""</f>
        <v>v11</v>
      </c>
      <c r="AH869" s="72" t="str">
        <f>Tableau3[[#This Row],[ID-API]]&amp; "." &amp;Tableau3[[#This Row],[ID-RACK]]&amp; "." &amp;Tableau3[[#This Row],[ID-SLOT]]</f>
        <v>5.2.9</v>
      </c>
      <c r="AI869" s="72" t="str">
        <f>INDEX(Tableau1[Ref-Carte],MATCH(Tableau3[[#This Row],[ID-RRS]],Tableau1[ID-RRS],0))</f>
        <v>SDI1602</v>
      </c>
      <c r="AJ869" s="72" t="str">
        <f t="array" ref="AJ869">IFERROR(INDEX(Tableau2[TS],MATCH(1,(Tableau2[Ref-Carte]=Tableau3[[#This Row],[Ref-Carte2]])*(Tableau2[ID-Voie]=Tableau3[[#This Row],[ID-VOIE]]),0)),"")</f>
        <v>ET</v>
      </c>
      <c r="AK869" s="72" t="str">
        <f>IFERROR(INDEX(Tableau2[TS],SUMPRODUCT((Tableau2[Ref-Carte]=Tableau3[[#This Row],[Ref-Carte2]])*(Tableau2[ID-Voie]=Tableau3[[#This Row],[ID-VOIE]])*ROW(Tableau2[TS]))-ROW(Tableau2[#Headers])),"")</f>
        <v>ET</v>
      </c>
      <c r="AL869" s="72" t="str">
        <f>Tableau3[[#This Row],[Ref-Carte2]]&amp;"/"&amp;Tableau3[[#This Row],[ID-VOIE]]</f>
        <v>SDI1602/11</v>
      </c>
      <c r="AM869" s="73" t="str">
        <f>INDEX(Tableau2[Borne],MATCH(Tableau3[[#This Row],[ID-CARTEVOIE]],Tableau2[ID-CARTEVOIE],0))&amp;""</f>
        <v>5A</v>
      </c>
      <c r="AN869" s="74" t="str">
        <f>Tableau3[[#This Row],[ID-API]]&amp;Tableau3[[#This Row],[ID-RACK]]&amp;Tableau3[[#This Row],[ID-SLOT]]&amp;Tableau3[[#This Row],[BORNE]]</f>
        <v>5295A</v>
      </c>
      <c r="AO869" s="1"/>
    </row>
    <row r="870" spans="1:41" ht="20.100000000000001" customHeight="1" thickTop="1" thickBot="1">
      <c r="A870" s="68"/>
      <c r="B870" s="69" t="str">
        <f>IFERROR(INDEX(Tableau4[Date],MATCH($A870,Tableau4[EVO],0)),"")</f>
        <v/>
      </c>
      <c r="C870" s="68" t="str">
        <f>IFERROR(INDEX(Tableau4[Designation],MATCH($A870,Tableau4[EVO],0)),"")</f>
        <v/>
      </c>
      <c r="D870" s="68"/>
      <c r="E870" s="70">
        <v>474</v>
      </c>
      <c r="F870" s="71">
        <v>3</v>
      </c>
      <c r="G870" s="101" t="str">
        <f>INDEX(Tableau8[Att1],MATCH(Tableau3[[#This Row],[ID-INS]],Tableau8[ID],0))&amp;""</f>
        <v>B21</v>
      </c>
      <c r="H870" s="101" t="str">
        <f>INDEX(Tableau8[Att2],MATCH(Tableau3[[#This Row],[ID-INS]],Tableau8[ID],0))&amp;""</f>
        <v>TECH21</v>
      </c>
      <c r="I870" s="101" t="str">
        <f>INDEX(Tableau8[Att3],MATCH(Tableau3[[#This Row],[ID-INS]],Tableau8[ID],0))&amp;""</f>
        <v>Onduleur CADAM B21 sur batterie</v>
      </c>
      <c r="J870" s="101"/>
      <c r="K870" s="167" t="str">
        <f>INDEX(Tableau8[Nom du modele],MATCH(Tableau3[[#This Row],[ID-INS]],Tableau8[ID],0))&amp;""</f>
        <v>E_Divers</v>
      </c>
      <c r="L870" s="99" t="str">
        <f>INDEX(Tableau5[Att1],MATCH(Tableau3[[#This Row],[ID-SIG]],Tableau5[ID],0))&amp;""</f>
        <v>C1</v>
      </c>
      <c r="M870" s="99" t="str">
        <f>INDEX(Tableau5[Att2],MATCH(Tableau3[[#This Row],[ID-SIG]],Tableau5[ID],0))&amp;""</f>
        <v/>
      </c>
      <c r="N870" s="99" t="str">
        <f>INDEX(Tableau5[Att3],MATCH(Tableau3[[#This Row],[ID-SIG]],Tableau5[ID],0))&amp;""</f>
        <v/>
      </c>
      <c r="O870" s="99"/>
      <c r="P870" s="99" t="str">
        <f>INDEX(Tableau5[Description],MATCH(Tableau3[[#This Row],[ID-SIG]],Tableau5[ID],0))</f>
        <v>Contact</v>
      </c>
      <c r="Q870" s="99"/>
      <c r="R870" s="103" t="str">
        <f>Tableau3[[#This Row],[Description]]</f>
        <v>Contact</v>
      </c>
      <c r="U870" s="87">
        <v>5</v>
      </c>
      <c r="V870" s="87">
        <v>2</v>
      </c>
      <c r="W870" s="87">
        <v>9</v>
      </c>
      <c r="X870" s="87">
        <v>12</v>
      </c>
      <c r="Y870" s="40"/>
      <c r="Z870" s="165" t="str">
        <f>INDEX(Tableau2[TS],MATCH(Tableau3[[#This Row],[ID-CARTEVOIE]],Tableau2[ID-CARTEVOIE],0))</f>
        <v>ET</v>
      </c>
      <c r="AA870" s="53" t="s">
        <v>213</v>
      </c>
      <c r="AB870" s="223" t="str">
        <f>IFERROR(INDEX(Tableau5[Reserve],MATCH(Tableau3[[#This Row],[ID-SIG]],Tableau5[ID],0))&amp;"","")</f>
        <v/>
      </c>
      <c r="AC870" s="21"/>
      <c r="AD870" s="108" t="str">
        <f>INDEX(Tableau7[Repere],MATCH(Tableau3[[#This Row],[ID-API]],Tableau7[ID-API],0))&amp;""</f>
        <v>A5</v>
      </c>
      <c r="AE870" s="108" t="str">
        <f>INDEX(Tableau1[Repere-Rack],MATCH(Tableau3[[#This Row],[ID-RACK]],Tableau1[ID-RACK],0))&amp;""</f>
        <v>R2</v>
      </c>
      <c r="AF870" s="108" t="str">
        <f>INDEX(Tableau1[Repere-Slot],MATCH(Tableau3[[#This Row],[ID-SLOT]],Tableau1[ID-SLOT],0))&amp;""</f>
        <v>S9</v>
      </c>
      <c r="AG870" s="108" t="str">
        <f>INDEX(Tableau2[Repere-Voie],MATCH(Tableau3[[#This Row],[ID-VOIE]],Tableau2[ID-Voie],0))&amp;""</f>
        <v>v12</v>
      </c>
      <c r="AH870" s="72" t="str">
        <f>Tableau3[[#This Row],[ID-API]]&amp; "." &amp;Tableau3[[#This Row],[ID-RACK]]&amp; "." &amp;Tableau3[[#This Row],[ID-SLOT]]</f>
        <v>5.2.9</v>
      </c>
      <c r="AI870" s="72" t="str">
        <f>INDEX(Tableau1[Ref-Carte],MATCH(Tableau3[[#This Row],[ID-RRS]],Tableau1[ID-RRS],0))</f>
        <v>SDI1602</v>
      </c>
      <c r="AJ870" s="72" t="str">
        <f t="array" ref="AJ870">IFERROR(INDEX(Tableau2[TS],MATCH(1,(Tableau2[Ref-Carte]=Tableau3[[#This Row],[Ref-Carte2]])*(Tableau2[ID-Voie]=Tableau3[[#This Row],[ID-VOIE]]),0)),"")</f>
        <v>ET</v>
      </c>
      <c r="AK870" s="72" t="str">
        <f>IFERROR(INDEX(Tableau2[TS],SUMPRODUCT((Tableau2[Ref-Carte]=Tableau3[[#This Row],[Ref-Carte2]])*(Tableau2[ID-Voie]=Tableau3[[#This Row],[ID-VOIE]])*ROW(Tableau2[TS]))-ROW(Tableau2[#Headers])),"")</f>
        <v>ET</v>
      </c>
      <c r="AL870" s="72" t="str">
        <f>Tableau3[[#This Row],[Ref-Carte2]]&amp;"/"&amp;Tableau3[[#This Row],[ID-VOIE]]</f>
        <v>SDI1602/12</v>
      </c>
      <c r="AM870" s="73" t="str">
        <f>INDEX(Tableau2[Borne],MATCH(Tableau3[[#This Row],[ID-CARTEVOIE]],Tableau2[ID-CARTEVOIE],0))&amp;""</f>
        <v>6B</v>
      </c>
      <c r="AN870" s="74" t="str">
        <f>Tableau3[[#This Row],[ID-API]]&amp;Tableau3[[#This Row],[ID-RACK]]&amp;Tableau3[[#This Row],[ID-SLOT]]&amp;Tableau3[[#This Row],[BORNE]]</f>
        <v>5296B</v>
      </c>
      <c r="AO870" s="1"/>
    </row>
    <row r="871" spans="1:41" ht="20.100000000000001" customHeight="1" thickTop="1" thickBot="1">
      <c r="A871" s="68"/>
      <c r="B871" s="69" t="str">
        <f>IFERROR(INDEX(Tableau4[Date],MATCH($A871,Tableau4[EVO],0)),"")</f>
        <v/>
      </c>
      <c r="C871" s="68" t="str">
        <f>IFERROR(INDEX(Tableau4[Designation],MATCH($A871,Tableau4[EVO],0)),"")</f>
        <v/>
      </c>
      <c r="D871" s="68"/>
      <c r="E871" s="70">
        <v>475</v>
      </c>
      <c r="F871" s="71">
        <v>3</v>
      </c>
      <c r="G871" s="101" t="str">
        <f>INDEX(Tableau8[Att1],MATCH(Tableau3[[#This Row],[ID-INS]],Tableau8[ID],0))&amp;""</f>
        <v>B21</v>
      </c>
      <c r="H871" s="101" t="str">
        <f>INDEX(Tableau8[Att2],MATCH(Tableau3[[#This Row],[ID-INS]],Tableau8[ID],0))&amp;""</f>
        <v>TECH22</v>
      </c>
      <c r="I871" s="101" t="str">
        <f>INDEX(Tableau8[Att3],MATCH(Tableau3[[#This Row],[ID-INS]],Tableau8[ID],0))&amp;""</f>
        <v>Défaut onduleur CADAM B21</v>
      </c>
      <c r="J871" s="101"/>
      <c r="K871" s="167" t="str">
        <f>INDEX(Tableau8[Nom du modele],MATCH(Tableau3[[#This Row],[ID-INS]],Tableau8[ID],0))&amp;""</f>
        <v>E_Divers</v>
      </c>
      <c r="L871" s="99" t="str">
        <f>INDEX(Tableau5[Att1],MATCH(Tableau3[[#This Row],[ID-SIG]],Tableau5[ID],0))&amp;""</f>
        <v>C1</v>
      </c>
      <c r="M871" s="99" t="str">
        <f>INDEX(Tableau5[Att2],MATCH(Tableau3[[#This Row],[ID-SIG]],Tableau5[ID],0))&amp;""</f>
        <v/>
      </c>
      <c r="N871" s="99" t="str">
        <f>INDEX(Tableau5[Att3],MATCH(Tableau3[[#This Row],[ID-SIG]],Tableau5[ID],0))&amp;""</f>
        <v/>
      </c>
      <c r="O871" s="99"/>
      <c r="P871" s="99" t="str">
        <f>INDEX(Tableau5[Description],MATCH(Tableau3[[#This Row],[ID-SIG]],Tableau5[ID],0))</f>
        <v>Contact</v>
      </c>
      <c r="Q871" s="99"/>
      <c r="R871" s="103" t="str">
        <f>Tableau3[[#This Row],[Description]]</f>
        <v>Contact</v>
      </c>
      <c r="U871" s="87">
        <v>5</v>
      </c>
      <c r="V871" s="87">
        <v>2</v>
      </c>
      <c r="W871" s="87">
        <v>9</v>
      </c>
      <c r="X871" s="87">
        <v>13</v>
      </c>
      <c r="Y871" s="40"/>
      <c r="Z871" s="165" t="str">
        <f>INDEX(Tableau2[TS],MATCH(Tableau3[[#This Row],[ID-CARTEVOIE]],Tableau2[ID-CARTEVOIE],0))</f>
        <v>ET</v>
      </c>
      <c r="AA871" s="53" t="s">
        <v>213</v>
      </c>
      <c r="AB871" s="223" t="str">
        <f>IFERROR(INDEX(Tableau5[Reserve],MATCH(Tableau3[[#This Row],[ID-SIG]],Tableau5[ID],0))&amp;"","")</f>
        <v/>
      </c>
      <c r="AC871" s="21"/>
      <c r="AD871" s="108" t="str">
        <f>INDEX(Tableau7[Repere],MATCH(Tableau3[[#This Row],[ID-API]],Tableau7[ID-API],0))&amp;""</f>
        <v>A5</v>
      </c>
      <c r="AE871" s="108" t="str">
        <f>INDEX(Tableau1[Repere-Rack],MATCH(Tableau3[[#This Row],[ID-RACK]],Tableau1[ID-RACK],0))&amp;""</f>
        <v>R2</v>
      </c>
      <c r="AF871" s="108" t="str">
        <f>INDEX(Tableau1[Repere-Slot],MATCH(Tableau3[[#This Row],[ID-SLOT]],Tableau1[ID-SLOT],0))&amp;""</f>
        <v>S9</v>
      </c>
      <c r="AG871" s="108" t="str">
        <f>INDEX(Tableau2[Repere-Voie],MATCH(Tableau3[[#This Row],[ID-VOIE]],Tableau2[ID-Voie],0))&amp;""</f>
        <v>v13</v>
      </c>
      <c r="AH871" s="72" t="str">
        <f>Tableau3[[#This Row],[ID-API]]&amp; "." &amp;Tableau3[[#This Row],[ID-RACK]]&amp; "." &amp;Tableau3[[#This Row],[ID-SLOT]]</f>
        <v>5.2.9</v>
      </c>
      <c r="AI871" s="72" t="str">
        <f>INDEX(Tableau1[Ref-Carte],MATCH(Tableau3[[#This Row],[ID-RRS]],Tableau1[ID-RRS],0))</f>
        <v>SDI1602</v>
      </c>
      <c r="AJ871" s="72" t="str">
        <f t="array" ref="AJ871">IFERROR(INDEX(Tableau2[TS],MATCH(1,(Tableau2[Ref-Carte]=Tableau3[[#This Row],[Ref-Carte2]])*(Tableau2[ID-Voie]=Tableau3[[#This Row],[ID-VOIE]]),0)),"")</f>
        <v>ET</v>
      </c>
      <c r="AK871" s="72" t="str">
        <f>IFERROR(INDEX(Tableau2[TS],SUMPRODUCT((Tableau2[Ref-Carte]=Tableau3[[#This Row],[Ref-Carte2]])*(Tableau2[ID-Voie]=Tableau3[[#This Row],[ID-VOIE]])*ROW(Tableau2[TS]))-ROW(Tableau2[#Headers])),"")</f>
        <v>ET</v>
      </c>
      <c r="AL871" s="72" t="str">
        <f>Tableau3[[#This Row],[Ref-Carte2]]&amp;"/"&amp;Tableau3[[#This Row],[ID-VOIE]]</f>
        <v>SDI1602/13</v>
      </c>
      <c r="AM871" s="73" t="str">
        <f>INDEX(Tableau2[Borne],MATCH(Tableau3[[#This Row],[ID-CARTEVOIE]],Tableau2[ID-CARTEVOIE],0))&amp;""</f>
        <v>6A</v>
      </c>
      <c r="AN871" s="74" t="str">
        <f>Tableau3[[#This Row],[ID-API]]&amp;Tableau3[[#This Row],[ID-RACK]]&amp;Tableau3[[#This Row],[ID-SLOT]]&amp;Tableau3[[#This Row],[BORNE]]</f>
        <v>5296A</v>
      </c>
      <c r="AO871" s="1"/>
    </row>
    <row r="872" spans="1:41" ht="20.100000000000001" customHeight="1" thickTop="1" thickBot="1">
      <c r="A872" s="68"/>
      <c r="B872" s="69" t="str">
        <f>IFERROR(INDEX(Tableau4[Date],MATCH($A872,Tableau4[EVO],0)),"")</f>
        <v/>
      </c>
      <c r="C872" s="68" t="str">
        <f>IFERROR(INDEX(Tableau4[Designation],MATCH($A872,Tableau4[EVO],0)),"")</f>
        <v/>
      </c>
      <c r="D872" s="68"/>
      <c r="E872" s="70">
        <v>476</v>
      </c>
      <c r="F872" s="71">
        <v>3</v>
      </c>
      <c r="G872" s="101" t="str">
        <f>INDEX(Tableau8[Att1],MATCH(Tableau3[[#This Row],[ID-INS]],Tableau8[ID],0))&amp;""</f>
        <v>B21</v>
      </c>
      <c r="H872" s="101" t="str">
        <f>INDEX(Tableau8[Att2],MATCH(Tableau3[[#This Row],[ID-INS]],Tableau8[ID],0))&amp;""</f>
        <v>PPH77</v>
      </c>
      <c r="I872" s="101" t="str">
        <f>INDEX(Tableau8[Att3],MATCH(Tableau3[[#This Row],[ID-INS]],Tableau8[ID],0))&amp;""</f>
        <v>Ouverture baie S B21</v>
      </c>
      <c r="J872" s="101"/>
      <c r="K872" s="167" t="str">
        <f>INDEX(Tableau8[Nom du modele],MATCH(Tableau3[[#This Row],[ID-INS]],Tableau8[ID],0))&amp;""</f>
        <v>E_Divers</v>
      </c>
      <c r="L872" s="99" t="str">
        <f>INDEX(Tableau5[Att1],MATCH(Tableau3[[#This Row],[ID-SIG]],Tableau5[ID],0))&amp;""</f>
        <v>C1</v>
      </c>
      <c r="M872" s="99" t="str">
        <f>INDEX(Tableau5[Att2],MATCH(Tableau3[[#This Row],[ID-SIG]],Tableau5[ID],0))&amp;""</f>
        <v/>
      </c>
      <c r="N872" s="99" t="str">
        <f>INDEX(Tableau5[Att3],MATCH(Tableau3[[#This Row],[ID-SIG]],Tableau5[ID],0))&amp;""</f>
        <v/>
      </c>
      <c r="O872" s="99"/>
      <c r="P872" s="99" t="str">
        <f>INDEX(Tableau5[Description],MATCH(Tableau3[[#This Row],[ID-SIG]],Tableau5[ID],0))</f>
        <v>Contact</v>
      </c>
      <c r="Q872" s="99"/>
      <c r="R872" s="103" t="str">
        <f>Tableau3[[#This Row],[Description]]</f>
        <v>Contact</v>
      </c>
      <c r="U872" s="87">
        <v>5</v>
      </c>
      <c r="V872" s="87">
        <v>2</v>
      </c>
      <c r="W872" s="87">
        <v>9</v>
      </c>
      <c r="X872" s="87">
        <v>14</v>
      </c>
      <c r="Y872" s="40"/>
      <c r="Z872" s="165" t="str">
        <f>INDEX(Tableau2[TS],MATCH(Tableau3[[#This Row],[ID-CARTEVOIE]],Tableau2[ID-CARTEVOIE],0))</f>
        <v>ET</v>
      </c>
      <c r="AA872" s="53" t="s">
        <v>213</v>
      </c>
      <c r="AB872" s="223" t="str">
        <f>IFERROR(INDEX(Tableau5[Reserve],MATCH(Tableau3[[#This Row],[ID-SIG]],Tableau5[ID],0))&amp;"","")</f>
        <v/>
      </c>
      <c r="AC872" s="21"/>
      <c r="AD872" s="108" t="str">
        <f>INDEX(Tableau7[Repere],MATCH(Tableau3[[#This Row],[ID-API]],Tableau7[ID-API],0))&amp;""</f>
        <v>A5</v>
      </c>
      <c r="AE872" s="108" t="str">
        <f>INDEX(Tableau1[Repere-Rack],MATCH(Tableau3[[#This Row],[ID-RACK]],Tableau1[ID-RACK],0))&amp;""</f>
        <v>R2</v>
      </c>
      <c r="AF872" s="108" t="str">
        <f>INDEX(Tableau1[Repere-Slot],MATCH(Tableau3[[#This Row],[ID-SLOT]],Tableau1[ID-SLOT],0))&amp;""</f>
        <v>S9</v>
      </c>
      <c r="AG872" s="108" t="str">
        <f>INDEX(Tableau2[Repere-Voie],MATCH(Tableau3[[#This Row],[ID-VOIE]],Tableau2[ID-Voie],0))&amp;""</f>
        <v>v14</v>
      </c>
      <c r="AH872" s="72" t="str">
        <f>Tableau3[[#This Row],[ID-API]]&amp; "." &amp;Tableau3[[#This Row],[ID-RACK]]&amp; "." &amp;Tableau3[[#This Row],[ID-SLOT]]</f>
        <v>5.2.9</v>
      </c>
      <c r="AI872" s="72" t="str">
        <f>INDEX(Tableau1[Ref-Carte],MATCH(Tableau3[[#This Row],[ID-RRS]],Tableau1[ID-RRS],0))</f>
        <v>SDI1602</v>
      </c>
      <c r="AJ872" s="72" t="str">
        <f t="array" ref="AJ872">IFERROR(INDEX(Tableau2[TS],MATCH(1,(Tableau2[Ref-Carte]=Tableau3[[#This Row],[Ref-Carte2]])*(Tableau2[ID-Voie]=Tableau3[[#This Row],[ID-VOIE]]),0)),"")</f>
        <v>ET</v>
      </c>
      <c r="AK872" s="72" t="str">
        <f>IFERROR(INDEX(Tableau2[TS],SUMPRODUCT((Tableau2[Ref-Carte]=Tableau3[[#This Row],[Ref-Carte2]])*(Tableau2[ID-Voie]=Tableau3[[#This Row],[ID-VOIE]])*ROW(Tableau2[TS]))-ROW(Tableau2[#Headers])),"")</f>
        <v>ET</v>
      </c>
      <c r="AL872" s="72" t="str">
        <f>Tableau3[[#This Row],[Ref-Carte2]]&amp;"/"&amp;Tableau3[[#This Row],[ID-VOIE]]</f>
        <v>SDI1602/14</v>
      </c>
      <c r="AM872" s="73" t="str">
        <f>INDEX(Tableau2[Borne],MATCH(Tableau3[[#This Row],[ID-CARTEVOIE]],Tableau2[ID-CARTEVOIE],0))&amp;""</f>
        <v>7B</v>
      </c>
      <c r="AN872" s="74" t="str">
        <f>Tableau3[[#This Row],[ID-API]]&amp;Tableau3[[#This Row],[ID-RACK]]&amp;Tableau3[[#This Row],[ID-SLOT]]&amp;Tableau3[[#This Row],[BORNE]]</f>
        <v>5297B</v>
      </c>
      <c r="AO872" s="1"/>
    </row>
    <row r="873" spans="1:41" ht="20.100000000000001" customHeight="1" thickTop="1" thickBot="1">
      <c r="A873" s="68"/>
      <c r="B873" s="69" t="str">
        <f>IFERROR(INDEX(Tableau4[Date],MATCH($A873,Tableau4[EVO],0)),"")</f>
        <v/>
      </c>
      <c r="C873" s="68" t="str">
        <f>IFERROR(INDEX(Tableau4[Designation],MATCH($A873,Tableau4[EVO],0)),"")</f>
        <v/>
      </c>
      <c r="D873" s="68"/>
      <c r="E873" s="70">
        <v>477</v>
      </c>
      <c r="F873" s="71">
        <v>3</v>
      </c>
      <c r="G873" s="101" t="str">
        <f>INDEX(Tableau8[Att1],MATCH(Tableau3[[#This Row],[ID-INS]],Tableau8[ID],0))&amp;""</f>
        <v>B21</v>
      </c>
      <c r="H873" s="101" t="str">
        <f>INDEX(Tableau8[Att2],MATCH(Tableau3[[#This Row],[ID-INS]],Tableau8[ID],0))&amp;""</f>
        <v>PPH78</v>
      </c>
      <c r="I873" s="101" t="str">
        <f>INDEX(Tableau8[Att3],MATCH(Tableau3[[#This Row],[ID-INS]],Tableau8[ID],0))&amp;""</f>
        <v>Ouverture baie RFSI B21</v>
      </c>
      <c r="J873" s="101"/>
      <c r="K873" s="167" t="str">
        <f>INDEX(Tableau8[Nom du modele],MATCH(Tableau3[[#This Row],[ID-INS]],Tableau8[ID],0))&amp;""</f>
        <v>E_Divers</v>
      </c>
      <c r="L873" s="99" t="str">
        <f>INDEX(Tableau5[Att1],MATCH(Tableau3[[#This Row],[ID-SIG]],Tableau5[ID],0))&amp;""</f>
        <v>C1</v>
      </c>
      <c r="M873" s="99" t="str">
        <f>INDEX(Tableau5[Att2],MATCH(Tableau3[[#This Row],[ID-SIG]],Tableau5[ID],0))&amp;""</f>
        <v/>
      </c>
      <c r="N873" s="99" t="str">
        <f>INDEX(Tableau5[Att3],MATCH(Tableau3[[#This Row],[ID-SIG]],Tableau5[ID],0))&amp;""</f>
        <v/>
      </c>
      <c r="O873" s="99"/>
      <c r="P873" s="99" t="str">
        <f>INDEX(Tableau5[Description],MATCH(Tableau3[[#This Row],[ID-SIG]],Tableau5[ID],0))</f>
        <v>Contact</v>
      </c>
      <c r="Q873" s="99"/>
      <c r="R873" s="103" t="str">
        <f>Tableau3[[#This Row],[Description]]</f>
        <v>Contact</v>
      </c>
      <c r="U873" s="87">
        <v>5</v>
      </c>
      <c r="V873" s="87">
        <v>2</v>
      </c>
      <c r="W873" s="87">
        <v>9</v>
      </c>
      <c r="X873" s="87">
        <v>15</v>
      </c>
      <c r="Y873" s="40"/>
      <c r="Z873" s="165" t="str">
        <f>INDEX(Tableau2[TS],MATCH(Tableau3[[#This Row],[ID-CARTEVOIE]],Tableau2[ID-CARTEVOIE],0))</f>
        <v>ET</v>
      </c>
      <c r="AA873" s="53" t="s">
        <v>213</v>
      </c>
      <c r="AB873" s="223" t="str">
        <f>IFERROR(INDEX(Tableau5[Reserve],MATCH(Tableau3[[#This Row],[ID-SIG]],Tableau5[ID],0))&amp;"","")</f>
        <v/>
      </c>
      <c r="AC873" s="21"/>
      <c r="AD873" s="108" t="str">
        <f>INDEX(Tableau7[Repere],MATCH(Tableau3[[#This Row],[ID-API]],Tableau7[ID-API],0))&amp;""</f>
        <v>A5</v>
      </c>
      <c r="AE873" s="108" t="str">
        <f>INDEX(Tableau1[Repere-Rack],MATCH(Tableau3[[#This Row],[ID-RACK]],Tableau1[ID-RACK],0))&amp;""</f>
        <v>R2</v>
      </c>
      <c r="AF873" s="108" t="str">
        <f>INDEX(Tableau1[Repere-Slot],MATCH(Tableau3[[#This Row],[ID-SLOT]],Tableau1[ID-SLOT],0))&amp;""</f>
        <v>S9</v>
      </c>
      <c r="AG873" s="108" t="str">
        <f>INDEX(Tableau2[Repere-Voie],MATCH(Tableau3[[#This Row],[ID-VOIE]],Tableau2[ID-Voie],0))&amp;""</f>
        <v>v15</v>
      </c>
      <c r="AH873" s="72" t="str">
        <f>Tableau3[[#This Row],[ID-API]]&amp; "." &amp;Tableau3[[#This Row],[ID-RACK]]&amp; "." &amp;Tableau3[[#This Row],[ID-SLOT]]</f>
        <v>5.2.9</v>
      </c>
      <c r="AI873" s="72" t="str">
        <f>INDEX(Tableau1[Ref-Carte],MATCH(Tableau3[[#This Row],[ID-RRS]],Tableau1[ID-RRS],0))</f>
        <v>SDI1602</v>
      </c>
      <c r="AJ873" s="72" t="str">
        <f t="array" ref="AJ873">IFERROR(INDEX(Tableau2[TS],MATCH(1,(Tableau2[Ref-Carte]=Tableau3[[#This Row],[Ref-Carte2]])*(Tableau2[ID-Voie]=Tableau3[[#This Row],[ID-VOIE]]),0)),"")</f>
        <v>ET</v>
      </c>
      <c r="AK873" s="72" t="str">
        <f>IFERROR(INDEX(Tableau2[TS],SUMPRODUCT((Tableau2[Ref-Carte]=Tableau3[[#This Row],[Ref-Carte2]])*(Tableau2[ID-Voie]=Tableau3[[#This Row],[ID-VOIE]])*ROW(Tableau2[TS]))-ROW(Tableau2[#Headers])),"")</f>
        <v>ET</v>
      </c>
      <c r="AL873" s="72" t="str">
        <f>Tableau3[[#This Row],[Ref-Carte2]]&amp;"/"&amp;Tableau3[[#This Row],[ID-VOIE]]</f>
        <v>SDI1602/15</v>
      </c>
      <c r="AM873" s="73" t="str">
        <f>INDEX(Tableau2[Borne],MATCH(Tableau3[[#This Row],[ID-CARTEVOIE]],Tableau2[ID-CARTEVOIE],0))&amp;""</f>
        <v>7A</v>
      </c>
      <c r="AN873" s="74" t="str">
        <f>Tableau3[[#This Row],[ID-API]]&amp;Tableau3[[#This Row],[ID-RACK]]&amp;Tableau3[[#This Row],[ID-SLOT]]&amp;Tableau3[[#This Row],[BORNE]]</f>
        <v>5297A</v>
      </c>
      <c r="AO873" s="1"/>
    </row>
    <row r="874" spans="1:41" ht="20.100000000000001" customHeight="1" thickTop="1" thickBot="1">
      <c r="A874" s="68"/>
      <c r="B874" s="69" t="str">
        <f>IFERROR(INDEX(Tableau4[Date],MATCH($A874,Tableau4[EVO],0)),"")</f>
        <v/>
      </c>
      <c r="C874" s="68" t="str">
        <f>IFERROR(INDEX(Tableau4[Designation],MATCH($A874,Tableau4[EVO],0)),"")</f>
        <v/>
      </c>
      <c r="D874" s="68"/>
      <c r="E874" s="70">
        <v>478</v>
      </c>
      <c r="F874" s="71">
        <v>3</v>
      </c>
      <c r="G874" s="101" t="str">
        <f>INDEX(Tableau8[Att1],MATCH(Tableau3[[#This Row],[ID-INS]],Tableau8[ID],0))&amp;""</f>
        <v>B21</v>
      </c>
      <c r="H874" s="101" t="str">
        <f>INDEX(Tableau8[Att2],MATCH(Tableau3[[#This Row],[ID-INS]],Tableau8[ID],0))&amp;""</f>
        <v>PPH79</v>
      </c>
      <c r="I874" s="101" t="str">
        <f>INDEX(Tableau8[Att3],MATCH(Tableau3[[#This Row],[ID-INS]],Tableau8[ID],0))&amp;""</f>
        <v>Ouverture baie FO B21</v>
      </c>
      <c r="J874" s="101"/>
      <c r="K874" s="167" t="str">
        <f>INDEX(Tableau8[Nom du modele],MATCH(Tableau3[[#This Row],[ID-INS]],Tableau8[ID],0))&amp;""</f>
        <v>E_Divers</v>
      </c>
      <c r="L874" s="99" t="str">
        <f>INDEX(Tableau5[Att1],MATCH(Tableau3[[#This Row],[ID-SIG]],Tableau5[ID],0))&amp;""</f>
        <v>C1</v>
      </c>
      <c r="M874" s="99" t="str">
        <f>INDEX(Tableau5[Att2],MATCH(Tableau3[[#This Row],[ID-SIG]],Tableau5[ID],0))&amp;""</f>
        <v/>
      </c>
      <c r="N874" s="99" t="str">
        <f>INDEX(Tableau5[Att3],MATCH(Tableau3[[#This Row],[ID-SIG]],Tableau5[ID],0))&amp;""</f>
        <v/>
      </c>
      <c r="O874" s="99"/>
      <c r="P874" s="99" t="str">
        <f>INDEX(Tableau5[Description],MATCH(Tableau3[[#This Row],[ID-SIG]],Tableau5[ID],0))</f>
        <v>Contact</v>
      </c>
      <c r="Q874" s="99"/>
      <c r="R874" s="103" t="str">
        <f>Tableau3[[#This Row],[Description]]</f>
        <v>Contact</v>
      </c>
      <c r="U874" s="87">
        <v>5</v>
      </c>
      <c r="V874" s="87">
        <v>2</v>
      </c>
      <c r="W874" s="87">
        <v>10</v>
      </c>
      <c r="X874" s="87">
        <v>0</v>
      </c>
      <c r="Y874" s="40"/>
      <c r="Z874" s="165" t="str">
        <f>INDEX(Tableau2[TS],MATCH(Tableau3[[#This Row],[ID-CARTEVOIE]],Tableau2[ID-CARTEVOIE],0))</f>
        <v>ET</v>
      </c>
      <c r="AA874" s="53" t="s">
        <v>213</v>
      </c>
      <c r="AB874" s="223" t="str">
        <f>IFERROR(INDEX(Tableau5[Reserve],MATCH(Tableau3[[#This Row],[ID-SIG]],Tableau5[ID],0))&amp;"","")</f>
        <v/>
      </c>
      <c r="AC874" s="21"/>
      <c r="AD874" s="108" t="str">
        <f>INDEX(Tableau7[Repere],MATCH(Tableau3[[#This Row],[ID-API]],Tableau7[ID-API],0))&amp;""</f>
        <v>A5</v>
      </c>
      <c r="AE874" s="108" t="str">
        <f>INDEX(Tableau1[Repere-Rack],MATCH(Tableau3[[#This Row],[ID-RACK]],Tableau1[ID-RACK],0))&amp;""</f>
        <v>R2</v>
      </c>
      <c r="AF874" s="108" t="str">
        <f>INDEX(Tableau1[Repere-Slot],MATCH(Tableau3[[#This Row],[ID-SLOT]],Tableau1[ID-SLOT],0))&amp;""</f>
        <v>S10</v>
      </c>
      <c r="AG874" s="108" t="str">
        <f>INDEX(Tableau2[Repere-Voie],MATCH(Tableau3[[#This Row],[ID-VOIE]],Tableau2[ID-Voie],0))&amp;""</f>
        <v>v0</v>
      </c>
      <c r="AH874" s="72" t="str">
        <f>Tableau3[[#This Row],[ID-API]]&amp; "." &amp;Tableau3[[#This Row],[ID-RACK]]&amp; "." &amp;Tableau3[[#This Row],[ID-SLOT]]</f>
        <v>5.2.10</v>
      </c>
      <c r="AI874" s="72" t="str">
        <f>INDEX(Tableau1[Ref-Carte],MATCH(Tableau3[[#This Row],[ID-RRS]],Tableau1[ID-RRS],0))</f>
        <v>SDI1602</v>
      </c>
      <c r="AJ874" s="72" t="str">
        <f t="array" ref="AJ874">IFERROR(INDEX(Tableau2[TS],MATCH(1,(Tableau2[Ref-Carte]=Tableau3[[#This Row],[Ref-Carte2]])*(Tableau2[ID-Voie]=Tableau3[[#This Row],[ID-VOIE]]),0)),"")</f>
        <v>ET</v>
      </c>
      <c r="AK874" s="72" t="str">
        <f>IFERROR(INDEX(Tableau2[TS],SUMPRODUCT((Tableau2[Ref-Carte]=Tableau3[[#This Row],[Ref-Carte2]])*(Tableau2[ID-Voie]=Tableau3[[#This Row],[ID-VOIE]])*ROW(Tableau2[TS]))-ROW(Tableau2[#Headers])),"")</f>
        <v>ET</v>
      </c>
      <c r="AL874" s="72" t="str">
        <f>Tableau3[[#This Row],[Ref-Carte2]]&amp;"/"&amp;Tableau3[[#This Row],[ID-VOIE]]</f>
        <v>SDI1602/0</v>
      </c>
      <c r="AM874" s="73" t="str">
        <f>INDEX(Tableau2[Borne],MATCH(Tableau3[[#This Row],[ID-CARTEVOIE]],Tableau2[ID-CARTEVOIE],0))&amp;""</f>
        <v>0B</v>
      </c>
      <c r="AN874" s="74" t="str">
        <f>Tableau3[[#This Row],[ID-API]]&amp;Tableau3[[#This Row],[ID-RACK]]&amp;Tableau3[[#This Row],[ID-SLOT]]&amp;Tableau3[[#This Row],[BORNE]]</f>
        <v>52100B</v>
      </c>
      <c r="AO874" s="1"/>
    </row>
    <row r="875" spans="1:41" ht="20.100000000000001" customHeight="1" thickTop="1" thickBot="1">
      <c r="A875" s="68"/>
      <c r="B875" s="69" t="str">
        <f>IFERROR(INDEX(Tableau4[Date],MATCH($A875,Tableau4[EVO],0)),"")</f>
        <v/>
      </c>
      <c r="C875" s="68" t="str">
        <f>IFERROR(INDEX(Tableau4[Designation],MATCH($A875,Tableau4[EVO],0)),"")</f>
        <v/>
      </c>
      <c r="D875" s="68"/>
      <c r="E875" s="70">
        <v>479</v>
      </c>
      <c r="F875" s="71">
        <v>3</v>
      </c>
      <c r="G875" s="101" t="str">
        <f>INDEX(Tableau8[Att1],MATCH(Tableau3[[#This Row],[ID-INS]],Tableau8[ID],0))&amp;""</f>
        <v>B21</v>
      </c>
      <c r="H875" s="101" t="str">
        <f>INDEX(Tableau8[Att2],MATCH(Tableau3[[#This Row],[ID-INS]],Tableau8[ID],0))&amp;""</f>
        <v>PPH80</v>
      </c>
      <c r="I875" s="101" t="str">
        <f>INDEX(Tableau8[Att3],MATCH(Tableau3[[#This Row],[ID-INS]],Tableau8[ID],0))&amp;""</f>
        <v>Ouverture baie téléphone B21</v>
      </c>
      <c r="J875" s="101"/>
      <c r="K875" s="167" t="str">
        <f>INDEX(Tableau8[Nom du modele],MATCH(Tableau3[[#This Row],[ID-INS]],Tableau8[ID],0))&amp;""</f>
        <v>E_Divers</v>
      </c>
      <c r="L875" s="99" t="str">
        <f>INDEX(Tableau5[Att1],MATCH(Tableau3[[#This Row],[ID-SIG]],Tableau5[ID],0))&amp;""</f>
        <v>C1</v>
      </c>
      <c r="M875" s="99" t="str">
        <f>INDEX(Tableau5[Att2],MATCH(Tableau3[[#This Row],[ID-SIG]],Tableau5[ID],0))&amp;""</f>
        <v/>
      </c>
      <c r="N875" s="99" t="str">
        <f>INDEX(Tableau5[Att3],MATCH(Tableau3[[#This Row],[ID-SIG]],Tableau5[ID],0))&amp;""</f>
        <v/>
      </c>
      <c r="O875" s="99"/>
      <c r="P875" s="99" t="str">
        <f>INDEX(Tableau5[Description],MATCH(Tableau3[[#This Row],[ID-SIG]],Tableau5[ID],0))</f>
        <v>Contact</v>
      </c>
      <c r="Q875" s="99"/>
      <c r="R875" s="103" t="str">
        <f>Tableau3[[#This Row],[Description]]</f>
        <v>Contact</v>
      </c>
      <c r="U875" s="87">
        <v>5</v>
      </c>
      <c r="V875" s="87">
        <v>2</v>
      </c>
      <c r="W875" s="87">
        <v>10</v>
      </c>
      <c r="X875" s="87">
        <v>1</v>
      </c>
      <c r="Y875" s="40"/>
      <c r="Z875" s="165" t="str">
        <f>INDEX(Tableau2[TS],MATCH(Tableau3[[#This Row],[ID-CARTEVOIE]],Tableau2[ID-CARTEVOIE],0))</f>
        <v>ET</v>
      </c>
      <c r="AA875" s="53" t="s">
        <v>213</v>
      </c>
      <c r="AB875" s="223" t="str">
        <f>IFERROR(INDEX(Tableau5[Reserve],MATCH(Tableau3[[#This Row],[ID-SIG]],Tableau5[ID],0))&amp;"","")</f>
        <v/>
      </c>
      <c r="AC875" s="21"/>
      <c r="AD875" s="108" t="str">
        <f>INDEX(Tableau7[Repere],MATCH(Tableau3[[#This Row],[ID-API]],Tableau7[ID-API],0))&amp;""</f>
        <v>A5</v>
      </c>
      <c r="AE875" s="108" t="str">
        <f>INDEX(Tableau1[Repere-Rack],MATCH(Tableau3[[#This Row],[ID-RACK]],Tableau1[ID-RACK],0))&amp;""</f>
        <v>R2</v>
      </c>
      <c r="AF875" s="108" t="str">
        <f>INDEX(Tableau1[Repere-Slot],MATCH(Tableau3[[#This Row],[ID-SLOT]],Tableau1[ID-SLOT],0))&amp;""</f>
        <v>S10</v>
      </c>
      <c r="AG875" s="108" t="str">
        <f>INDEX(Tableau2[Repere-Voie],MATCH(Tableau3[[#This Row],[ID-VOIE]],Tableau2[ID-Voie],0))&amp;""</f>
        <v>v1</v>
      </c>
      <c r="AH875" s="72" t="str">
        <f>Tableau3[[#This Row],[ID-API]]&amp; "." &amp;Tableau3[[#This Row],[ID-RACK]]&amp; "." &amp;Tableau3[[#This Row],[ID-SLOT]]</f>
        <v>5.2.10</v>
      </c>
      <c r="AI875" s="72" t="str">
        <f>INDEX(Tableau1[Ref-Carte],MATCH(Tableau3[[#This Row],[ID-RRS]],Tableau1[ID-RRS],0))</f>
        <v>SDI1602</v>
      </c>
      <c r="AJ875" s="72" t="str">
        <f t="array" ref="AJ875">IFERROR(INDEX(Tableau2[TS],MATCH(1,(Tableau2[Ref-Carte]=Tableau3[[#This Row],[Ref-Carte2]])*(Tableau2[ID-Voie]=Tableau3[[#This Row],[ID-VOIE]]),0)),"")</f>
        <v>ET</v>
      </c>
      <c r="AK875" s="72" t="str">
        <f>IFERROR(INDEX(Tableau2[TS],SUMPRODUCT((Tableau2[Ref-Carte]=Tableau3[[#This Row],[Ref-Carte2]])*(Tableau2[ID-Voie]=Tableau3[[#This Row],[ID-VOIE]])*ROW(Tableau2[TS]))-ROW(Tableau2[#Headers])),"")</f>
        <v>ET</v>
      </c>
      <c r="AL875" s="72" t="str">
        <f>Tableau3[[#This Row],[Ref-Carte2]]&amp;"/"&amp;Tableau3[[#This Row],[ID-VOIE]]</f>
        <v>SDI1602/1</v>
      </c>
      <c r="AM875" s="73" t="str">
        <f>INDEX(Tableau2[Borne],MATCH(Tableau3[[#This Row],[ID-CARTEVOIE]],Tableau2[ID-CARTEVOIE],0))&amp;""</f>
        <v>0A</v>
      </c>
      <c r="AN875" s="74" t="str">
        <f>Tableau3[[#This Row],[ID-API]]&amp;Tableau3[[#This Row],[ID-RACK]]&amp;Tableau3[[#This Row],[ID-SLOT]]&amp;Tableau3[[#This Row],[BORNE]]</f>
        <v>52100A</v>
      </c>
      <c r="AO875" s="1"/>
    </row>
    <row r="876" spans="1:41" ht="20.100000000000001" customHeight="1" thickTop="1" thickBot="1">
      <c r="A876" s="68"/>
      <c r="B876" s="69" t="str">
        <f>IFERROR(INDEX(Tableau4[Date],MATCH($A876,Tableau4[EVO],0)),"")</f>
        <v/>
      </c>
      <c r="C876" s="68" t="str">
        <f>IFERROR(INDEX(Tableau4[Designation],MATCH($A876,Tableau4[EVO],0)),"")</f>
        <v/>
      </c>
      <c r="D876" s="68"/>
      <c r="E876" s="70">
        <v>480</v>
      </c>
      <c r="F876" s="71">
        <v>3</v>
      </c>
      <c r="G876" s="101" t="str">
        <f>INDEX(Tableau8[Att1],MATCH(Tableau3[[#This Row],[ID-INS]],Tableau8[ID],0))&amp;""</f>
        <v>B21</v>
      </c>
      <c r="H876" s="101" t="str">
        <f>INDEX(Tableau8[Att2],MATCH(Tableau3[[#This Row],[ID-INS]],Tableau8[ID],0))&amp;""</f>
        <v>PPH81</v>
      </c>
      <c r="I876" s="101" t="str">
        <f>INDEX(Tableau8[Att3],MATCH(Tableau3[[#This Row],[ID-INS]],Tableau8[ID],0))&amp;""</f>
        <v>Ouverture trappe accès ventail 2 P3</v>
      </c>
      <c r="J876" s="101"/>
      <c r="K876" s="167" t="str">
        <f>INDEX(Tableau8[Nom du modele],MATCH(Tableau3[[#This Row],[ID-INS]],Tableau8[ID],0))&amp;""</f>
        <v>E_Divers</v>
      </c>
      <c r="L876" s="99" t="str">
        <f>INDEX(Tableau5[Att1],MATCH(Tableau3[[#This Row],[ID-SIG]],Tableau5[ID],0))&amp;""</f>
        <v>C1</v>
      </c>
      <c r="M876" s="99" t="str">
        <f>INDEX(Tableau5[Att2],MATCH(Tableau3[[#This Row],[ID-SIG]],Tableau5[ID],0))&amp;""</f>
        <v/>
      </c>
      <c r="N876" s="99" t="str">
        <f>INDEX(Tableau5[Att3],MATCH(Tableau3[[#This Row],[ID-SIG]],Tableau5[ID],0))&amp;""</f>
        <v/>
      </c>
      <c r="O876" s="99"/>
      <c r="P876" s="99" t="str">
        <f>INDEX(Tableau5[Description],MATCH(Tableau3[[#This Row],[ID-SIG]],Tableau5[ID],0))</f>
        <v>Contact</v>
      </c>
      <c r="Q876" s="99"/>
      <c r="R876" s="103" t="str">
        <f>Tableau3[[#This Row],[Description]]</f>
        <v>Contact</v>
      </c>
      <c r="U876" s="87">
        <v>5</v>
      </c>
      <c r="V876" s="87">
        <v>2</v>
      </c>
      <c r="W876" s="87">
        <v>10</v>
      </c>
      <c r="X876" s="87">
        <v>2</v>
      </c>
      <c r="Y876" s="40"/>
      <c r="Z876" s="165" t="str">
        <f>INDEX(Tableau2[TS],MATCH(Tableau3[[#This Row],[ID-CARTEVOIE]],Tableau2[ID-CARTEVOIE],0))</f>
        <v>ET</v>
      </c>
      <c r="AA876" s="53" t="s">
        <v>213</v>
      </c>
      <c r="AB876" s="223" t="str">
        <f>IFERROR(INDEX(Tableau5[Reserve],MATCH(Tableau3[[#This Row],[ID-SIG]],Tableau5[ID],0))&amp;"","")</f>
        <v/>
      </c>
      <c r="AC876" s="21"/>
      <c r="AD876" s="108" t="str">
        <f>INDEX(Tableau7[Repere],MATCH(Tableau3[[#This Row],[ID-API]],Tableau7[ID-API],0))&amp;""</f>
        <v>A5</v>
      </c>
      <c r="AE876" s="108" t="str">
        <f>INDEX(Tableau1[Repere-Rack],MATCH(Tableau3[[#This Row],[ID-RACK]],Tableau1[ID-RACK],0))&amp;""</f>
        <v>R2</v>
      </c>
      <c r="AF876" s="108" t="str">
        <f>INDEX(Tableau1[Repere-Slot],MATCH(Tableau3[[#This Row],[ID-SLOT]],Tableau1[ID-SLOT],0))&amp;""</f>
        <v>S10</v>
      </c>
      <c r="AG876" s="108" t="str">
        <f>INDEX(Tableau2[Repere-Voie],MATCH(Tableau3[[#This Row],[ID-VOIE]],Tableau2[ID-Voie],0))&amp;""</f>
        <v>v2</v>
      </c>
      <c r="AH876" s="72" t="str">
        <f>Tableau3[[#This Row],[ID-API]]&amp; "." &amp;Tableau3[[#This Row],[ID-RACK]]&amp; "." &amp;Tableau3[[#This Row],[ID-SLOT]]</f>
        <v>5.2.10</v>
      </c>
      <c r="AI876" s="72" t="str">
        <f>INDEX(Tableau1[Ref-Carte],MATCH(Tableau3[[#This Row],[ID-RRS]],Tableau1[ID-RRS],0))</f>
        <v>SDI1602</v>
      </c>
      <c r="AJ876" s="72" t="str">
        <f t="array" ref="AJ876">IFERROR(INDEX(Tableau2[TS],MATCH(1,(Tableau2[Ref-Carte]=Tableau3[[#This Row],[Ref-Carte2]])*(Tableau2[ID-Voie]=Tableau3[[#This Row],[ID-VOIE]]),0)),"")</f>
        <v>ET</v>
      </c>
      <c r="AK876" s="72" t="str">
        <f>IFERROR(INDEX(Tableau2[TS],SUMPRODUCT((Tableau2[Ref-Carte]=Tableau3[[#This Row],[Ref-Carte2]])*(Tableau2[ID-Voie]=Tableau3[[#This Row],[ID-VOIE]])*ROW(Tableau2[TS]))-ROW(Tableau2[#Headers])),"")</f>
        <v>ET</v>
      </c>
      <c r="AL876" s="72" t="str">
        <f>Tableau3[[#This Row],[Ref-Carte2]]&amp;"/"&amp;Tableau3[[#This Row],[ID-VOIE]]</f>
        <v>SDI1602/2</v>
      </c>
      <c r="AM876" s="73" t="str">
        <f>INDEX(Tableau2[Borne],MATCH(Tableau3[[#This Row],[ID-CARTEVOIE]],Tableau2[ID-CARTEVOIE],0))&amp;""</f>
        <v>1B</v>
      </c>
      <c r="AN876" s="74" t="str">
        <f>Tableau3[[#This Row],[ID-API]]&amp;Tableau3[[#This Row],[ID-RACK]]&amp;Tableau3[[#This Row],[ID-SLOT]]&amp;Tableau3[[#This Row],[BORNE]]</f>
        <v>52101B</v>
      </c>
      <c r="AO876" s="1"/>
    </row>
    <row r="877" spans="1:41" ht="20.100000000000001" customHeight="1" thickTop="1" thickBot="1">
      <c r="A877" s="110"/>
      <c r="B877" s="111" t="str">
        <f>IFERROR(INDEX(Tableau4[Date],MATCH($A877,Tableau4[EVO],0)),"")</f>
        <v/>
      </c>
      <c r="C877" s="112" t="str">
        <f>IFERROR(INDEX(Tableau4[Designation],MATCH($A877,Tableau4[EVO],0)),"")</f>
        <v/>
      </c>
      <c r="D877" s="110"/>
      <c r="E877" s="113"/>
      <c r="F877" s="146"/>
      <c r="G877" s="147" t="e">
        <f>INDEX(Tableau8[Att1],MATCH(Tableau3[[#This Row],[ID-INS]],Tableau8[ID],0))&amp;""</f>
        <v>#N/A</v>
      </c>
      <c r="H877" s="147" t="s">
        <v>1717</v>
      </c>
      <c r="I877" s="147" t="e">
        <f>INDEX(Tableau8[Att3],MATCH(Tableau3[[#This Row],[ID-INS]],Tableau8[ID],0))&amp;""</f>
        <v>#N/A</v>
      </c>
      <c r="J877" s="148"/>
      <c r="K877" s="167" t="e">
        <f>INDEX(Tableau8[Nom du modele],MATCH(Tableau3[[#This Row],[ID-INS]],Tableau8[ID],0))&amp;""</f>
        <v>#N/A</v>
      </c>
      <c r="L877" s="149" t="s">
        <v>260</v>
      </c>
      <c r="M877" s="149" t="e">
        <f>INDEX(Tableau5[Att2],MATCH(Tableau3[[#This Row],[ID-SIG]],Tableau5[ID],0))&amp;""</f>
        <v>#N/A</v>
      </c>
      <c r="N877" s="149" t="e">
        <f>INDEX(Tableau5[Att3],MATCH(Tableau3[[#This Row],[ID-SIG]],Tableau5[ID],0))&amp;""</f>
        <v>#N/A</v>
      </c>
      <c r="O877" s="150"/>
      <c r="P877" s="149" t="s">
        <v>1720</v>
      </c>
      <c r="Q877" s="150"/>
      <c r="R877" s="117" t="str">
        <f>Tableau3[[#This Row],[Description]]</f>
        <v>Synthèse Défaut alimentation rack d'extension du RIO 5 - Défaut</v>
      </c>
      <c r="S877" s="75"/>
      <c r="T877" s="75"/>
      <c r="U877" s="151">
        <v>5</v>
      </c>
      <c r="V877" s="151">
        <v>2</v>
      </c>
      <c r="W877" s="151">
        <v>10</v>
      </c>
      <c r="X877" s="151">
        <v>3</v>
      </c>
      <c r="Y877" s="40"/>
      <c r="Z877" s="166" t="str">
        <f>INDEX(Tableau2[TS],MATCH(Tableau3[[#This Row],[ID-CARTEVOIE]],Tableau2[ID-CARTEVOIE],0))</f>
        <v>ET</v>
      </c>
      <c r="AA877" s="81" t="s">
        <v>213</v>
      </c>
      <c r="AB877" s="226" t="str">
        <f>IFERROR(INDEX(Tableau5[Reserve],MATCH(Tableau3[[#This Row],[ID-SIG]],Tableau5[ID],0))&amp;"","")</f>
        <v/>
      </c>
      <c r="AC877" s="119" t="s">
        <v>1456</v>
      </c>
      <c r="AD877" s="120" t="str">
        <f>INDEX(Tableau7[Repere],MATCH(Tableau3[[#This Row],[ID-API]],Tableau7[ID-API],0))&amp;""</f>
        <v>A5</v>
      </c>
      <c r="AE877" s="121" t="str">
        <f>INDEX(Tableau1[Repere-Rack],MATCH(Tableau3[[#This Row],[ID-RACK]],Tableau1[ID-RACK],0))&amp;""</f>
        <v>R2</v>
      </c>
      <c r="AF877" s="121" t="str">
        <f>INDEX(Tableau1[Repere-Slot],MATCH(Tableau3[[#This Row],[ID-SLOT]],Tableau1[ID-SLOT],0))&amp;""</f>
        <v>S10</v>
      </c>
      <c r="AG877" s="121" t="str">
        <f>INDEX(Tableau2[Repere-Voie],MATCH(Tableau3[[#This Row],[ID-VOIE]],Tableau2[ID-Voie],0))&amp;""</f>
        <v>v3</v>
      </c>
      <c r="AH877" s="122" t="str">
        <f>Tableau3[[#This Row],[ID-API]]&amp; "." &amp;Tableau3[[#This Row],[ID-RACK]]&amp; "." &amp;Tableau3[[#This Row],[ID-SLOT]]</f>
        <v>5.2.10</v>
      </c>
      <c r="AI877" s="72" t="str">
        <f>INDEX(Tableau1[Ref-Carte],MATCH(Tableau3[[#This Row],[ID-RRS]],Tableau1[ID-RRS],0))</f>
        <v>SDI1602</v>
      </c>
      <c r="AJ877" s="72" t="str">
        <f t="array" ref="AJ877">IFERROR(INDEX(Tableau2[TS],MATCH(1,(Tableau2[Ref-Carte]=Tableau3[[#This Row],[Ref-Carte2]])*(Tableau2[ID-Voie]=Tableau3[[#This Row],[ID-VOIE]]),0)),"")</f>
        <v>ET</v>
      </c>
      <c r="AK877" s="72" t="str">
        <f>IFERROR(INDEX(Tableau2[TS],SUMPRODUCT((Tableau2[Ref-Carte]=Tableau3[[#This Row],[Ref-Carte2]])*(Tableau2[ID-Voie]=Tableau3[[#This Row],[ID-VOIE]])*ROW(Tableau2[TS]))-ROW(Tableau2[#Headers])),"")</f>
        <v>ET</v>
      </c>
      <c r="AL877" s="122" t="str">
        <f>Tableau3[[#This Row],[Ref-Carte2]]&amp;"/"&amp;Tableau3[[#This Row],[ID-VOIE]]</f>
        <v>SDI1602/3</v>
      </c>
      <c r="AM877" s="123" t="str">
        <f>INDEX(Tableau2[Borne],MATCH(Tableau3[[#This Row],[ID-CARTEVOIE]],Tableau2[ID-CARTEVOIE],0))&amp;""</f>
        <v>1A</v>
      </c>
      <c r="AN877" s="124" t="str">
        <f>Tableau3[[#This Row],[ID-API]]&amp;Tableau3[[#This Row],[ID-RACK]]&amp;Tableau3[[#This Row],[ID-SLOT]]&amp;Tableau3[[#This Row],[BORNE]]</f>
        <v>52101A</v>
      </c>
      <c r="AO877" s="125"/>
    </row>
    <row r="878" spans="1:41" ht="20.100000000000001" customHeight="1" thickTop="1" thickBot="1">
      <c r="A878" s="110"/>
      <c r="B878" s="111" t="str">
        <f>IFERROR(INDEX(Tableau4[Date],MATCH($A878,Tableau4[EVO],0)),"")</f>
        <v/>
      </c>
      <c r="C878" s="112" t="str">
        <f>IFERROR(INDEX(Tableau4[Designation],MATCH($A878,Tableau4[EVO],0)),"")</f>
        <v/>
      </c>
      <c r="D878" s="110"/>
      <c r="E878" s="113"/>
      <c r="F878" s="146"/>
      <c r="G878" s="147" t="e">
        <f>INDEX(Tableau8[Att1],MATCH(Tableau3[[#This Row],[ID-INS]],Tableau8[ID],0))&amp;""</f>
        <v>#N/A</v>
      </c>
      <c r="H878" s="147" t="s">
        <v>1718</v>
      </c>
      <c r="I878" s="147" t="e">
        <f>INDEX(Tableau8[Att3],MATCH(Tableau3[[#This Row],[ID-INS]],Tableau8[ID],0))&amp;""</f>
        <v>#N/A</v>
      </c>
      <c r="J878" s="148"/>
      <c r="K878" s="167" t="e">
        <f>INDEX(Tableau8[Nom du modele],MATCH(Tableau3[[#This Row],[ID-INS]],Tableau8[ID],0))&amp;""</f>
        <v>#N/A</v>
      </c>
      <c r="L878" s="149" t="s">
        <v>260</v>
      </c>
      <c r="M878" s="149" t="e">
        <f>INDEX(Tableau5[Att2],MATCH(Tableau3[[#This Row],[ID-SIG]],Tableau5[ID],0))&amp;""</f>
        <v>#N/A</v>
      </c>
      <c r="N878" s="149" t="e">
        <f>INDEX(Tableau5[Att3],MATCH(Tableau3[[#This Row],[ID-SIG]],Tableau5[ID],0))&amp;""</f>
        <v>#N/A</v>
      </c>
      <c r="O878" s="150"/>
      <c r="P878" s="149" t="s">
        <v>1721</v>
      </c>
      <c r="Q878" s="150"/>
      <c r="R878" s="117" t="str">
        <f>Tableau3[[#This Row],[Description]]</f>
        <v>Défaut alimentation B21</v>
      </c>
      <c r="S878" s="75"/>
      <c r="T878" s="75"/>
      <c r="U878" s="151">
        <v>5</v>
      </c>
      <c r="V878" s="151">
        <v>2</v>
      </c>
      <c r="W878" s="151">
        <v>10</v>
      </c>
      <c r="X878" s="151">
        <v>4</v>
      </c>
      <c r="Y878" s="40"/>
      <c r="Z878" s="166" t="str">
        <f>INDEX(Tableau2[TS],MATCH(Tableau3[[#This Row],[ID-CARTEVOIE]],Tableau2[ID-CARTEVOIE],0))</f>
        <v>ET</v>
      </c>
      <c r="AA878" s="81" t="s">
        <v>213</v>
      </c>
      <c r="AB878" s="226" t="str">
        <f>IFERROR(INDEX(Tableau5[Reserve],MATCH(Tableau3[[#This Row],[ID-SIG]],Tableau5[ID],0))&amp;"","")</f>
        <v/>
      </c>
      <c r="AC878" s="119" t="s">
        <v>1456</v>
      </c>
      <c r="AD878" s="120" t="str">
        <f>INDEX(Tableau7[Repere],MATCH(Tableau3[[#This Row],[ID-API]],Tableau7[ID-API],0))&amp;""</f>
        <v>A5</v>
      </c>
      <c r="AE878" s="121" t="str">
        <f>INDEX(Tableau1[Repere-Rack],MATCH(Tableau3[[#This Row],[ID-RACK]],Tableau1[ID-RACK],0))&amp;""</f>
        <v>R2</v>
      </c>
      <c r="AF878" s="121" t="str">
        <f>INDEX(Tableau1[Repere-Slot],MATCH(Tableau3[[#This Row],[ID-SLOT]],Tableau1[ID-SLOT],0))&amp;""</f>
        <v>S10</v>
      </c>
      <c r="AG878" s="121" t="str">
        <f>INDEX(Tableau2[Repere-Voie],MATCH(Tableau3[[#This Row],[ID-VOIE]],Tableau2[ID-Voie],0))&amp;""</f>
        <v>v4</v>
      </c>
      <c r="AH878" s="122" t="str">
        <f>Tableau3[[#This Row],[ID-API]]&amp; "." &amp;Tableau3[[#This Row],[ID-RACK]]&amp; "." &amp;Tableau3[[#This Row],[ID-SLOT]]</f>
        <v>5.2.10</v>
      </c>
      <c r="AI878" s="72" t="str">
        <f>INDEX(Tableau1[Ref-Carte],MATCH(Tableau3[[#This Row],[ID-RRS]],Tableau1[ID-RRS],0))</f>
        <v>SDI1602</v>
      </c>
      <c r="AJ878" s="72" t="str">
        <f t="array" ref="AJ878">IFERROR(INDEX(Tableau2[TS],MATCH(1,(Tableau2[Ref-Carte]=Tableau3[[#This Row],[Ref-Carte2]])*(Tableau2[ID-Voie]=Tableau3[[#This Row],[ID-VOIE]]),0)),"")</f>
        <v>ET</v>
      </c>
      <c r="AK878" s="72" t="str">
        <f>IFERROR(INDEX(Tableau2[TS],SUMPRODUCT((Tableau2[Ref-Carte]=Tableau3[[#This Row],[Ref-Carte2]])*(Tableau2[ID-Voie]=Tableau3[[#This Row],[ID-VOIE]])*ROW(Tableau2[TS]))-ROW(Tableau2[#Headers])),"")</f>
        <v>ET</v>
      </c>
      <c r="AL878" s="122" t="str">
        <f>Tableau3[[#This Row],[Ref-Carte2]]&amp;"/"&amp;Tableau3[[#This Row],[ID-VOIE]]</f>
        <v>SDI1602/4</v>
      </c>
      <c r="AM878" s="123" t="str">
        <f>INDEX(Tableau2[Borne],MATCH(Tableau3[[#This Row],[ID-CARTEVOIE]],Tableau2[ID-CARTEVOIE],0))&amp;""</f>
        <v>2B</v>
      </c>
      <c r="AN878" s="124" t="str">
        <f>Tableau3[[#This Row],[ID-API]]&amp;Tableau3[[#This Row],[ID-RACK]]&amp;Tableau3[[#This Row],[ID-SLOT]]&amp;Tableau3[[#This Row],[BORNE]]</f>
        <v>52102B</v>
      </c>
      <c r="AO878" s="125"/>
    </row>
    <row r="879" spans="1:41" ht="20.100000000000001" customHeight="1" thickTop="1" thickBot="1">
      <c r="A879" s="110"/>
      <c r="B879" s="111" t="str">
        <f>IFERROR(INDEX(Tableau4[Date],MATCH($A879,Tableau4[EVO],0)),"")</f>
        <v/>
      </c>
      <c r="C879" s="112" t="str">
        <f>IFERROR(INDEX(Tableau4[Designation],MATCH($A879,Tableau4[EVO],0)),"")</f>
        <v/>
      </c>
      <c r="D879" s="110"/>
      <c r="E879" s="113"/>
      <c r="F879" s="146"/>
      <c r="G879" s="147" t="e">
        <f>INDEX(Tableau8[Att1],MATCH(Tableau3[[#This Row],[ID-INS]],Tableau8[ID],0))&amp;""</f>
        <v>#N/A</v>
      </c>
      <c r="H879" s="147" t="s">
        <v>1719</v>
      </c>
      <c r="I879" s="147" t="e">
        <f>INDEX(Tableau8[Att3],MATCH(Tableau3[[#This Row],[ID-INS]],Tableau8[ID],0))&amp;""</f>
        <v>#N/A</v>
      </c>
      <c r="J879" s="148"/>
      <c r="K879" s="167" t="e">
        <f>INDEX(Tableau8[Nom du modele],MATCH(Tableau3[[#This Row],[ID-INS]],Tableau8[ID],0))&amp;""</f>
        <v>#N/A</v>
      </c>
      <c r="L879" s="149" t="e">
        <f>INDEX(Tableau5[Att1],MATCH(Tableau3[[#This Row],[ID-SIG]],Tableau5[ID],0))&amp;""</f>
        <v>#N/A</v>
      </c>
      <c r="M879" s="149" t="e">
        <f>INDEX(Tableau5[Att2],MATCH(Tableau3[[#This Row],[ID-SIG]],Tableau5[ID],0))&amp;""</f>
        <v>#N/A</v>
      </c>
      <c r="N879" s="149" t="e">
        <f>INDEX(Tableau5[Att3],MATCH(Tableau3[[#This Row],[ID-SIG]],Tableau5[ID],0))&amp;""</f>
        <v>#N/A</v>
      </c>
      <c r="O879" s="150"/>
      <c r="P879" s="149" t="s">
        <v>1722</v>
      </c>
      <c r="Q879" s="150"/>
      <c r="R879" s="117" t="str">
        <f>Tableau3[[#This Row],[Description]]</f>
        <v>Défaut presence tension normale TDA1 - B21</v>
      </c>
      <c r="S879" s="75"/>
      <c r="T879" s="75"/>
      <c r="U879" s="151">
        <v>5</v>
      </c>
      <c r="V879" s="151">
        <v>2</v>
      </c>
      <c r="W879" s="151">
        <v>10</v>
      </c>
      <c r="X879" s="151">
        <v>5</v>
      </c>
      <c r="Y879" s="40"/>
      <c r="Z879" s="166" t="str">
        <f>INDEX(Tableau2[TS],MATCH(Tableau3[[#This Row],[ID-CARTEVOIE]],Tableau2[ID-CARTEVOIE],0))</f>
        <v>ET</v>
      </c>
      <c r="AA879" s="81" t="s">
        <v>213</v>
      </c>
      <c r="AB879" s="226" t="str">
        <f>IFERROR(INDEX(Tableau5[Reserve],MATCH(Tableau3[[#This Row],[ID-SIG]],Tableau5[ID],0))&amp;"","")</f>
        <v/>
      </c>
      <c r="AC879" s="119" t="s">
        <v>1456</v>
      </c>
      <c r="AD879" s="120" t="str">
        <f>INDEX(Tableau7[Repere],MATCH(Tableau3[[#This Row],[ID-API]],Tableau7[ID-API],0))&amp;""</f>
        <v>A5</v>
      </c>
      <c r="AE879" s="121" t="str">
        <f>INDEX(Tableau1[Repere-Rack],MATCH(Tableau3[[#This Row],[ID-RACK]],Tableau1[ID-RACK],0))&amp;""</f>
        <v>R2</v>
      </c>
      <c r="AF879" s="121" t="str">
        <f>INDEX(Tableau1[Repere-Slot],MATCH(Tableau3[[#This Row],[ID-SLOT]],Tableau1[ID-SLOT],0))&amp;""</f>
        <v>S10</v>
      </c>
      <c r="AG879" s="121" t="str">
        <f>INDEX(Tableau2[Repere-Voie],MATCH(Tableau3[[#This Row],[ID-VOIE]],Tableau2[ID-Voie],0))&amp;""</f>
        <v>v5</v>
      </c>
      <c r="AH879" s="122" t="str">
        <f>Tableau3[[#This Row],[ID-API]]&amp; "." &amp;Tableau3[[#This Row],[ID-RACK]]&amp; "." &amp;Tableau3[[#This Row],[ID-SLOT]]</f>
        <v>5.2.10</v>
      </c>
      <c r="AI879" s="72" t="str">
        <f>INDEX(Tableau1[Ref-Carte],MATCH(Tableau3[[#This Row],[ID-RRS]],Tableau1[ID-RRS],0))</f>
        <v>SDI1602</v>
      </c>
      <c r="AJ879" s="72" t="str">
        <f t="array" ref="AJ879">IFERROR(INDEX(Tableau2[TS],MATCH(1,(Tableau2[Ref-Carte]=Tableau3[[#This Row],[Ref-Carte2]])*(Tableau2[ID-Voie]=Tableau3[[#This Row],[ID-VOIE]]),0)),"")</f>
        <v>ET</v>
      </c>
      <c r="AK879" s="72" t="str">
        <f>IFERROR(INDEX(Tableau2[TS],SUMPRODUCT((Tableau2[Ref-Carte]=Tableau3[[#This Row],[Ref-Carte2]])*(Tableau2[ID-Voie]=Tableau3[[#This Row],[ID-VOIE]])*ROW(Tableau2[TS]))-ROW(Tableau2[#Headers])),"")</f>
        <v>ET</v>
      </c>
      <c r="AL879" s="122" t="str">
        <f>Tableau3[[#This Row],[Ref-Carte2]]&amp;"/"&amp;Tableau3[[#This Row],[ID-VOIE]]</f>
        <v>SDI1602/5</v>
      </c>
      <c r="AM879" s="123" t="str">
        <f>INDEX(Tableau2[Borne],MATCH(Tableau3[[#This Row],[ID-CARTEVOIE]],Tableau2[ID-CARTEVOIE],0))&amp;""</f>
        <v>2A</v>
      </c>
      <c r="AN879" s="124" t="str">
        <f>Tableau3[[#This Row],[ID-API]]&amp;Tableau3[[#This Row],[ID-RACK]]&amp;Tableau3[[#This Row],[ID-SLOT]]&amp;Tableau3[[#This Row],[BORNE]]</f>
        <v>52102A</v>
      </c>
      <c r="AO879" s="125"/>
    </row>
    <row r="880" spans="1:41" ht="20.100000000000001" customHeight="1" thickTop="1" thickBot="1">
      <c r="A880" s="110"/>
      <c r="B880" s="111" t="str">
        <f>IFERROR(INDEX(Tableau4[Date],MATCH($A880,Tableau4[EVO],0)),"")</f>
        <v/>
      </c>
      <c r="C880" s="112" t="str">
        <f>IFERROR(INDEX(Tableau4[Designation],MATCH($A880,Tableau4[EVO],0)),"")</f>
        <v/>
      </c>
      <c r="D880" s="110"/>
      <c r="E880" s="113"/>
      <c r="F880" s="146"/>
      <c r="G880" s="147" t="e">
        <f>INDEX(Tableau8[Att1],MATCH(Tableau3[[#This Row],[ID-INS]],Tableau8[ID],0))&amp;""</f>
        <v>#N/A</v>
      </c>
      <c r="H880" s="147" t="e">
        <f>INDEX(Tableau8[Att2],MATCH(Tableau3[[#This Row],[ID-INS]],Tableau8[ID],0))&amp;""</f>
        <v>#N/A</v>
      </c>
      <c r="I880" s="147" t="e">
        <f>INDEX(Tableau8[Att3],MATCH(Tableau3[[#This Row],[ID-INS]],Tableau8[ID],0))&amp;""</f>
        <v>#N/A</v>
      </c>
      <c r="J880" s="148"/>
      <c r="K880" s="167" t="e">
        <f>INDEX(Tableau8[Nom du modele],MATCH(Tableau3[[#This Row],[ID-INS]],Tableau8[ID],0))&amp;""</f>
        <v>#N/A</v>
      </c>
      <c r="L880" s="149" t="e">
        <f>INDEX(Tableau5[Att1],MATCH(Tableau3[[#This Row],[ID-SIG]],Tableau5[ID],0))&amp;""</f>
        <v>#N/A</v>
      </c>
      <c r="M880" s="149" t="e">
        <f>INDEX(Tableau5[Att2],MATCH(Tableau3[[#This Row],[ID-SIG]],Tableau5[ID],0))&amp;""</f>
        <v>#N/A</v>
      </c>
      <c r="N880" s="149" t="e">
        <f>INDEX(Tableau5[Att3],MATCH(Tableau3[[#This Row],[ID-SIG]],Tableau5[ID],0))&amp;""</f>
        <v>#N/A</v>
      </c>
      <c r="O880" s="150"/>
      <c r="P880" s="149" t="s">
        <v>1723</v>
      </c>
      <c r="Q880" s="150"/>
      <c r="R880" s="117" t="str">
        <f>Tableau3[[#This Row],[Description]]</f>
        <v>Presence Tension TDOA1 B21</v>
      </c>
      <c r="S880" s="75"/>
      <c r="T880" s="75"/>
      <c r="U880" s="151">
        <v>5</v>
      </c>
      <c r="V880" s="151">
        <v>2</v>
      </c>
      <c r="W880" s="151">
        <v>10</v>
      </c>
      <c r="X880" s="151">
        <v>6</v>
      </c>
      <c r="Y880" s="40"/>
      <c r="Z880" s="166" t="str">
        <f>INDEX(Tableau2[TS],MATCH(Tableau3[[#This Row],[ID-CARTEVOIE]],Tableau2[ID-CARTEVOIE],0))</f>
        <v>ET</v>
      </c>
      <c r="AA880" s="81" t="s">
        <v>213</v>
      </c>
      <c r="AB880" s="226" t="str">
        <f>IFERROR(INDEX(Tableau5[Reserve],MATCH(Tableau3[[#This Row],[ID-SIG]],Tableau5[ID],0))&amp;"","")</f>
        <v/>
      </c>
      <c r="AC880" s="119" t="s">
        <v>1456</v>
      </c>
      <c r="AD880" s="120" t="str">
        <f>INDEX(Tableau7[Repere],MATCH(Tableau3[[#This Row],[ID-API]],Tableau7[ID-API],0))&amp;""</f>
        <v>A5</v>
      </c>
      <c r="AE880" s="121" t="str">
        <f>INDEX(Tableau1[Repere-Rack],MATCH(Tableau3[[#This Row],[ID-RACK]],Tableau1[ID-RACK],0))&amp;""</f>
        <v>R2</v>
      </c>
      <c r="AF880" s="121" t="str">
        <f>INDEX(Tableau1[Repere-Slot],MATCH(Tableau3[[#This Row],[ID-SLOT]],Tableau1[ID-SLOT],0))&amp;""</f>
        <v>S10</v>
      </c>
      <c r="AG880" s="121" t="str">
        <f>INDEX(Tableau2[Repere-Voie],MATCH(Tableau3[[#This Row],[ID-VOIE]],Tableau2[ID-Voie],0))&amp;""</f>
        <v>v6</v>
      </c>
      <c r="AH880" s="122" t="str">
        <f>Tableau3[[#This Row],[ID-API]]&amp; "." &amp;Tableau3[[#This Row],[ID-RACK]]&amp; "." &amp;Tableau3[[#This Row],[ID-SLOT]]</f>
        <v>5.2.10</v>
      </c>
      <c r="AI880" s="72" t="str">
        <f>INDEX(Tableau1[Ref-Carte],MATCH(Tableau3[[#This Row],[ID-RRS]],Tableau1[ID-RRS],0))</f>
        <v>SDI1602</v>
      </c>
      <c r="AJ880" s="72" t="str">
        <f t="array" ref="AJ880">IFERROR(INDEX(Tableau2[TS],MATCH(1,(Tableau2[Ref-Carte]=Tableau3[[#This Row],[Ref-Carte2]])*(Tableau2[ID-Voie]=Tableau3[[#This Row],[ID-VOIE]]),0)),"")</f>
        <v>ET</v>
      </c>
      <c r="AK880" s="72" t="str">
        <f>IFERROR(INDEX(Tableau2[TS],SUMPRODUCT((Tableau2[Ref-Carte]=Tableau3[[#This Row],[Ref-Carte2]])*(Tableau2[ID-Voie]=Tableau3[[#This Row],[ID-VOIE]])*ROW(Tableau2[TS]))-ROW(Tableau2[#Headers])),"")</f>
        <v>ET</v>
      </c>
      <c r="AL880" s="122" t="str">
        <f>Tableau3[[#This Row],[Ref-Carte2]]&amp;"/"&amp;Tableau3[[#This Row],[ID-VOIE]]</f>
        <v>SDI1602/6</v>
      </c>
      <c r="AM880" s="123" t="str">
        <f>INDEX(Tableau2[Borne],MATCH(Tableau3[[#This Row],[ID-CARTEVOIE]],Tableau2[ID-CARTEVOIE],0))&amp;""</f>
        <v>3B</v>
      </c>
      <c r="AN880" s="124" t="str">
        <f>Tableau3[[#This Row],[ID-API]]&amp;Tableau3[[#This Row],[ID-RACK]]&amp;Tableau3[[#This Row],[ID-SLOT]]&amp;Tableau3[[#This Row],[BORNE]]</f>
        <v>52103B</v>
      </c>
      <c r="AO880" s="125"/>
    </row>
    <row r="881" spans="1:41" ht="20.100000000000001" customHeight="1" thickTop="1" thickBot="1">
      <c r="A881" s="110"/>
      <c r="B881" s="111" t="str">
        <f>IFERROR(INDEX(Tableau4[Date],MATCH($A881,Tableau4[EVO],0)),"")</f>
        <v/>
      </c>
      <c r="C881" s="112" t="str">
        <f>IFERROR(INDEX(Tableau4[Designation],MATCH($A881,Tableau4[EVO],0)),"")</f>
        <v/>
      </c>
      <c r="D881" s="110"/>
      <c r="E881" s="113"/>
      <c r="F881" s="146"/>
      <c r="G881" s="147" t="e">
        <f>INDEX(Tableau8[Att1],MATCH(Tableau3[[#This Row],[ID-INS]],Tableau8[ID],0))&amp;""</f>
        <v>#N/A</v>
      </c>
      <c r="H881" s="147" t="e">
        <f>INDEX(Tableau8[Att2],MATCH(Tableau3[[#This Row],[ID-INS]],Tableau8[ID],0))&amp;""</f>
        <v>#N/A</v>
      </c>
      <c r="I881" s="147" t="e">
        <f>INDEX(Tableau8[Att3],MATCH(Tableau3[[#This Row],[ID-INS]],Tableau8[ID],0))&amp;""</f>
        <v>#N/A</v>
      </c>
      <c r="J881" s="148"/>
      <c r="K881" s="167" t="e">
        <f>INDEX(Tableau8[Nom du modele],MATCH(Tableau3[[#This Row],[ID-INS]],Tableau8[ID],0))&amp;""</f>
        <v>#N/A</v>
      </c>
      <c r="L881" s="149" t="e">
        <f>INDEX(Tableau5[Att1],MATCH(Tableau3[[#This Row],[ID-SIG]],Tableau5[ID],0))&amp;""</f>
        <v>#N/A</v>
      </c>
      <c r="M881" s="149" t="e">
        <f>INDEX(Tableau5[Att2],MATCH(Tableau3[[#This Row],[ID-SIG]],Tableau5[ID],0))&amp;""</f>
        <v>#N/A</v>
      </c>
      <c r="N881" s="149" t="e">
        <f>INDEX(Tableau5[Att3],MATCH(Tableau3[[#This Row],[ID-SIG]],Tableau5[ID],0))&amp;""</f>
        <v>#N/A</v>
      </c>
      <c r="O881" s="150"/>
      <c r="P881" s="149" t="e">
        <f>INDEX(Tableau5[Description],MATCH(Tableau3[[#This Row],[ID-SIG]],Tableau5[ID],0))</f>
        <v>#N/A</v>
      </c>
      <c r="Q881" s="150"/>
      <c r="R881" s="117" t="e">
        <f>Tableau3[[#This Row],[Description]]</f>
        <v>#N/A</v>
      </c>
      <c r="S881" s="75"/>
      <c r="T881" s="75"/>
      <c r="U881" s="151">
        <v>5</v>
      </c>
      <c r="V881" s="151">
        <v>2</v>
      </c>
      <c r="W881" s="151">
        <v>10</v>
      </c>
      <c r="X881" s="151">
        <v>7</v>
      </c>
      <c r="Y881" s="40"/>
      <c r="Z881" s="166" t="str">
        <f>INDEX(Tableau2[TS],MATCH(Tableau3[[#This Row],[ID-CARTEVOIE]],Tableau2[ID-CARTEVOIE],0))</f>
        <v>ET</v>
      </c>
      <c r="AA881" s="81" t="s">
        <v>213</v>
      </c>
      <c r="AB881" s="226" t="str">
        <f>IFERROR(INDEX(Tableau5[Reserve],MATCH(Tableau3[[#This Row],[ID-SIG]],Tableau5[ID],0))&amp;"","")</f>
        <v/>
      </c>
      <c r="AC881" s="119" t="s">
        <v>1456</v>
      </c>
      <c r="AD881" s="120" t="str">
        <f>INDEX(Tableau7[Repere],MATCH(Tableau3[[#This Row],[ID-API]],Tableau7[ID-API],0))&amp;""</f>
        <v>A5</v>
      </c>
      <c r="AE881" s="121" t="str">
        <f>INDEX(Tableau1[Repere-Rack],MATCH(Tableau3[[#This Row],[ID-RACK]],Tableau1[ID-RACK],0))&amp;""</f>
        <v>R2</v>
      </c>
      <c r="AF881" s="121" t="str">
        <f>INDEX(Tableau1[Repere-Slot],MATCH(Tableau3[[#This Row],[ID-SLOT]],Tableau1[ID-SLOT],0))&amp;""</f>
        <v>S10</v>
      </c>
      <c r="AG881" s="121" t="str">
        <f>INDEX(Tableau2[Repere-Voie],MATCH(Tableau3[[#This Row],[ID-VOIE]],Tableau2[ID-Voie],0))&amp;""</f>
        <v>v7</v>
      </c>
      <c r="AH881" s="122" t="str">
        <f>Tableau3[[#This Row],[ID-API]]&amp; "." &amp;Tableau3[[#This Row],[ID-RACK]]&amp; "." &amp;Tableau3[[#This Row],[ID-SLOT]]</f>
        <v>5.2.10</v>
      </c>
      <c r="AI881" s="72" t="str">
        <f>INDEX(Tableau1[Ref-Carte],MATCH(Tableau3[[#This Row],[ID-RRS]],Tableau1[ID-RRS],0))</f>
        <v>SDI1602</v>
      </c>
      <c r="AJ881" s="72" t="str">
        <f t="array" ref="AJ881">IFERROR(INDEX(Tableau2[TS],MATCH(1,(Tableau2[Ref-Carte]=Tableau3[[#This Row],[Ref-Carte2]])*(Tableau2[ID-Voie]=Tableau3[[#This Row],[ID-VOIE]]),0)),"")</f>
        <v>ET</v>
      </c>
      <c r="AK881" s="72" t="str">
        <f>IFERROR(INDEX(Tableau2[TS],SUMPRODUCT((Tableau2[Ref-Carte]=Tableau3[[#This Row],[Ref-Carte2]])*(Tableau2[ID-Voie]=Tableau3[[#This Row],[ID-VOIE]])*ROW(Tableau2[TS]))-ROW(Tableau2[#Headers])),"")</f>
        <v>ET</v>
      </c>
      <c r="AL881" s="122" t="str">
        <f>Tableau3[[#This Row],[Ref-Carte2]]&amp;"/"&amp;Tableau3[[#This Row],[ID-VOIE]]</f>
        <v>SDI1602/7</v>
      </c>
      <c r="AM881" s="123" t="str">
        <f>INDEX(Tableau2[Borne],MATCH(Tableau3[[#This Row],[ID-CARTEVOIE]],Tableau2[ID-CARTEVOIE],0))&amp;""</f>
        <v>3A</v>
      </c>
      <c r="AN881" s="124" t="str">
        <f>Tableau3[[#This Row],[ID-API]]&amp;Tableau3[[#This Row],[ID-RACK]]&amp;Tableau3[[#This Row],[ID-SLOT]]&amp;Tableau3[[#This Row],[BORNE]]</f>
        <v>52103A</v>
      </c>
      <c r="AO881" s="125"/>
    </row>
    <row r="882" spans="1:41" ht="20.100000000000001" customHeight="1" thickTop="1" thickBot="1">
      <c r="A882" s="110"/>
      <c r="B882" s="111" t="str">
        <f>IFERROR(INDEX(Tableau4[Date],MATCH($A882,Tableau4[EVO],0)),"")</f>
        <v/>
      </c>
      <c r="C882" s="112" t="str">
        <f>IFERROR(INDEX(Tableau4[Designation],MATCH($A882,Tableau4[EVO],0)),"")</f>
        <v/>
      </c>
      <c r="D882" s="110"/>
      <c r="E882" s="113"/>
      <c r="F882" s="146"/>
      <c r="G882" s="147" t="e">
        <f>INDEX(Tableau8[Att1],MATCH(Tableau3[[#This Row],[ID-INS]],Tableau8[ID],0))&amp;""</f>
        <v>#N/A</v>
      </c>
      <c r="H882" s="147" t="e">
        <f>INDEX(Tableau8[Att2],MATCH(Tableau3[[#This Row],[ID-INS]],Tableau8[ID],0))&amp;""</f>
        <v>#N/A</v>
      </c>
      <c r="I882" s="147" t="e">
        <f>INDEX(Tableau8[Att3],MATCH(Tableau3[[#This Row],[ID-INS]],Tableau8[ID],0))&amp;""</f>
        <v>#N/A</v>
      </c>
      <c r="J882" s="148"/>
      <c r="K882" s="167" t="e">
        <f>INDEX(Tableau8[Nom du modele],MATCH(Tableau3[[#This Row],[ID-INS]],Tableau8[ID],0))&amp;""</f>
        <v>#N/A</v>
      </c>
      <c r="L882" s="149" t="e">
        <f>INDEX(Tableau5[Att1],MATCH(Tableau3[[#This Row],[ID-SIG]],Tableau5[ID],0))&amp;""</f>
        <v>#N/A</v>
      </c>
      <c r="M882" s="149" t="e">
        <f>INDEX(Tableau5[Att2],MATCH(Tableau3[[#This Row],[ID-SIG]],Tableau5[ID],0))&amp;""</f>
        <v>#N/A</v>
      </c>
      <c r="N882" s="149" t="e">
        <f>INDEX(Tableau5[Att3],MATCH(Tableau3[[#This Row],[ID-SIG]],Tableau5[ID],0))&amp;""</f>
        <v>#N/A</v>
      </c>
      <c r="O882" s="150"/>
      <c r="P882" s="149" t="e">
        <f>INDEX(Tableau5[Description],MATCH(Tableau3[[#This Row],[ID-SIG]],Tableau5[ID],0))</f>
        <v>#N/A</v>
      </c>
      <c r="Q882" s="150"/>
      <c r="R882" s="117" t="e">
        <f>Tableau3[[#This Row],[Description]]</f>
        <v>#N/A</v>
      </c>
      <c r="S882" s="75"/>
      <c r="T882" s="75"/>
      <c r="U882" s="151">
        <v>5</v>
      </c>
      <c r="V882" s="151">
        <v>2</v>
      </c>
      <c r="W882" s="151">
        <v>10</v>
      </c>
      <c r="X882" s="151">
        <v>8</v>
      </c>
      <c r="Y882" s="40"/>
      <c r="Z882" s="166" t="str">
        <f>INDEX(Tableau2[TS],MATCH(Tableau3[[#This Row],[ID-CARTEVOIE]],Tableau2[ID-CARTEVOIE],0))</f>
        <v>ET</v>
      </c>
      <c r="AA882" s="81" t="s">
        <v>213</v>
      </c>
      <c r="AB882" s="226" t="str">
        <f>IFERROR(INDEX(Tableau5[Reserve],MATCH(Tableau3[[#This Row],[ID-SIG]],Tableau5[ID],0))&amp;"","")</f>
        <v/>
      </c>
      <c r="AC882" s="119" t="s">
        <v>1456</v>
      </c>
      <c r="AD882" s="120" t="str">
        <f>INDEX(Tableau7[Repere],MATCH(Tableau3[[#This Row],[ID-API]],Tableau7[ID-API],0))&amp;""</f>
        <v>A5</v>
      </c>
      <c r="AE882" s="121" t="str">
        <f>INDEX(Tableau1[Repere-Rack],MATCH(Tableau3[[#This Row],[ID-RACK]],Tableau1[ID-RACK],0))&amp;""</f>
        <v>R2</v>
      </c>
      <c r="AF882" s="121" t="str">
        <f>INDEX(Tableau1[Repere-Slot],MATCH(Tableau3[[#This Row],[ID-SLOT]],Tableau1[ID-SLOT],0))&amp;""</f>
        <v>S10</v>
      </c>
      <c r="AG882" s="121" t="str">
        <f>INDEX(Tableau2[Repere-Voie],MATCH(Tableau3[[#This Row],[ID-VOIE]],Tableau2[ID-Voie],0))&amp;""</f>
        <v>v8</v>
      </c>
      <c r="AH882" s="122" t="str">
        <f>Tableau3[[#This Row],[ID-API]]&amp; "." &amp;Tableau3[[#This Row],[ID-RACK]]&amp; "." &amp;Tableau3[[#This Row],[ID-SLOT]]</f>
        <v>5.2.10</v>
      </c>
      <c r="AI882" s="72" t="str">
        <f>INDEX(Tableau1[Ref-Carte],MATCH(Tableau3[[#This Row],[ID-RRS]],Tableau1[ID-RRS],0))</f>
        <v>SDI1602</v>
      </c>
      <c r="AJ882" s="72" t="str">
        <f t="array" ref="AJ882">IFERROR(INDEX(Tableau2[TS],MATCH(1,(Tableau2[Ref-Carte]=Tableau3[[#This Row],[Ref-Carte2]])*(Tableau2[ID-Voie]=Tableau3[[#This Row],[ID-VOIE]]),0)),"")</f>
        <v>ET</v>
      </c>
      <c r="AK882" s="72" t="str">
        <f>IFERROR(INDEX(Tableau2[TS],SUMPRODUCT((Tableau2[Ref-Carte]=Tableau3[[#This Row],[Ref-Carte2]])*(Tableau2[ID-Voie]=Tableau3[[#This Row],[ID-VOIE]])*ROW(Tableau2[TS]))-ROW(Tableau2[#Headers])),"")</f>
        <v>ET</v>
      </c>
      <c r="AL882" s="122" t="str">
        <f>Tableau3[[#This Row],[Ref-Carte2]]&amp;"/"&amp;Tableau3[[#This Row],[ID-VOIE]]</f>
        <v>SDI1602/8</v>
      </c>
      <c r="AM882" s="123" t="str">
        <f>INDEX(Tableau2[Borne],MATCH(Tableau3[[#This Row],[ID-CARTEVOIE]],Tableau2[ID-CARTEVOIE],0))&amp;""</f>
        <v>4B</v>
      </c>
      <c r="AN882" s="124" t="str">
        <f>Tableau3[[#This Row],[ID-API]]&amp;Tableau3[[#This Row],[ID-RACK]]&amp;Tableau3[[#This Row],[ID-SLOT]]&amp;Tableau3[[#This Row],[BORNE]]</f>
        <v>52104B</v>
      </c>
      <c r="AO882" s="125"/>
    </row>
    <row r="883" spans="1:41" ht="20.100000000000001" customHeight="1" thickTop="1" thickBot="1">
      <c r="A883" s="110"/>
      <c r="B883" s="111" t="str">
        <f>IFERROR(INDEX(Tableau4[Date],MATCH($A883,Tableau4[EVO],0)),"")</f>
        <v/>
      </c>
      <c r="C883" s="112" t="str">
        <f>IFERROR(INDEX(Tableau4[Designation],MATCH($A883,Tableau4[EVO],0)),"")</f>
        <v/>
      </c>
      <c r="D883" s="110"/>
      <c r="E883" s="113"/>
      <c r="F883" s="146"/>
      <c r="G883" s="147" t="e">
        <f>INDEX(Tableau8[Att1],MATCH(Tableau3[[#This Row],[ID-INS]],Tableau8[ID],0))&amp;""</f>
        <v>#N/A</v>
      </c>
      <c r="H883" s="147" t="e">
        <f>INDEX(Tableau8[Att2],MATCH(Tableau3[[#This Row],[ID-INS]],Tableau8[ID],0))&amp;""</f>
        <v>#N/A</v>
      </c>
      <c r="I883" s="147" t="e">
        <f>INDEX(Tableau8[Att3],MATCH(Tableau3[[#This Row],[ID-INS]],Tableau8[ID],0))&amp;""</f>
        <v>#N/A</v>
      </c>
      <c r="J883" s="148"/>
      <c r="K883" s="167" t="e">
        <f>INDEX(Tableau8[Nom du modele],MATCH(Tableau3[[#This Row],[ID-INS]],Tableau8[ID],0))&amp;""</f>
        <v>#N/A</v>
      </c>
      <c r="L883" s="149" t="e">
        <f>INDEX(Tableau5[Att1],MATCH(Tableau3[[#This Row],[ID-SIG]],Tableau5[ID],0))&amp;""</f>
        <v>#N/A</v>
      </c>
      <c r="M883" s="149" t="e">
        <f>INDEX(Tableau5[Att2],MATCH(Tableau3[[#This Row],[ID-SIG]],Tableau5[ID],0))&amp;""</f>
        <v>#N/A</v>
      </c>
      <c r="N883" s="149" t="e">
        <f>INDEX(Tableau5[Att3],MATCH(Tableau3[[#This Row],[ID-SIG]],Tableau5[ID],0))&amp;""</f>
        <v>#N/A</v>
      </c>
      <c r="O883" s="150"/>
      <c r="P883" s="149" t="e">
        <f>INDEX(Tableau5[Description],MATCH(Tableau3[[#This Row],[ID-SIG]],Tableau5[ID],0))</f>
        <v>#N/A</v>
      </c>
      <c r="Q883" s="150"/>
      <c r="R883" s="117" t="e">
        <f>Tableau3[[#This Row],[Description]]</f>
        <v>#N/A</v>
      </c>
      <c r="S883" s="75"/>
      <c r="T883" s="75"/>
      <c r="U883" s="151">
        <v>5</v>
      </c>
      <c r="V883" s="151">
        <v>2</v>
      </c>
      <c r="W883" s="151">
        <v>10</v>
      </c>
      <c r="X883" s="151">
        <v>9</v>
      </c>
      <c r="Y883" s="40"/>
      <c r="Z883" s="166" t="str">
        <f>INDEX(Tableau2[TS],MATCH(Tableau3[[#This Row],[ID-CARTEVOIE]],Tableau2[ID-CARTEVOIE],0))</f>
        <v>ET</v>
      </c>
      <c r="AA883" s="81" t="s">
        <v>213</v>
      </c>
      <c r="AB883" s="226" t="str">
        <f>IFERROR(INDEX(Tableau5[Reserve],MATCH(Tableau3[[#This Row],[ID-SIG]],Tableau5[ID],0))&amp;"","")</f>
        <v/>
      </c>
      <c r="AC883" s="119" t="s">
        <v>1456</v>
      </c>
      <c r="AD883" s="120" t="str">
        <f>INDEX(Tableau7[Repere],MATCH(Tableau3[[#This Row],[ID-API]],Tableau7[ID-API],0))&amp;""</f>
        <v>A5</v>
      </c>
      <c r="AE883" s="121" t="str">
        <f>INDEX(Tableau1[Repere-Rack],MATCH(Tableau3[[#This Row],[ID-RACK]],Tableau1[ID-RACK],0))&amp;""</f>
        <v>R2</v>
      </c>
      <c r="AF883" s="121" t="str">
        <f>INDEX(Tableau1[Repere-Slot],MATCH(Tableau3[[#This Row],[ID-SLOT]],Tableau1[ID-SLOT],0))&amp;""</f>
        <v>S10</v>
      </c>
      <c r="AG883" s="121" t="str">
        <f>INDEX(Tableau2[Repere-Voie],MATCH(Tableau3[[#This Row],[ID-VOIE]],Tableau2[ID-Voie],0))&amp;""</f>
        <v>v9</v>
      </c>
      <c r="AH883" s="122" t="str">
        <f>Tableau3[[#This Row],[ID-API]]&amp; "." &amp;Tableau3[[#This Row],[ID-RACK]]&amp; "." &amp;Tableau3[[#This Row],[ID-SLOT]]</f>
        <v>5.2.10</v>
      </c>
      <c r="AI883" s="72" t="str">
        <f>INDEX(Tableau1[Ref-Carte],MATCH(Tableau3[[#This Row],[ID-RRS]],Tableau1[ID-RRS],0))</f>
        <v>SDI1602</v>
      </c>
      <c r="AJ883" s="72" t="str">
        <f t="array" ref="AJ883">IFERROR(INDEX(Tableau2[TS],MATCH(1,(Tableau2[Ref-Carte]=Tableau3[[#This Row],[Ref-Carte2]])*(Tableau2[ID-Voie]=Tableau3[[#This Row],[ID-VOIE]]),0)),"")</f>
        <v>ET</v>
      </c>
      <c r="AK883" s="72" t="str">
        <f>IFERROR(INDEX(Tableau2[TS],SUMPRODUCT((Tableau2[Ref-Carte]=Tableau3[[#This Row],[Ref-Carte2]])*(Tableau2[ID-Voie]=Tableau3[[#This Row],[ID-VOIE]])*ROW(Tableau2[TS]))-ROW(Tableau2[#Headers])),"")</f>
        <v>ET</v>
      </c>
      <c r="AL883" s="122" t="str">
        <f>Tableau3[[#This Row],[Ref-Carte2]]&amp;"/"&amp;Tableau3[[#This Row],[ID-VOIE]]</f>
        <v>SDI1602/9</v>
      </c>
      <c r="AM883" s="123" t="str">
        <f>INDEX(Tableau2[Borne],MATCH(Tableau3[[#This Row],[ID-CARTEVOIE]],Tableau2[ID-CARTEVOIE],0))&amp;""</f>
        <v>4A</v>
      </c>
      <c r="AN883" s="124" t="str">
        <f>Tableau3[[#This Row],[ID-API]]&amp;Tableau3[[#This Row],[ID-RACK]]&amp;Tableau3[[#This Row],[ID-SLOT]]&amp;Tableau3[[#This Row],[BORNE]]</f>
        <v>52104A</v>
      </c>
      <c r="AO883" s="125"/>
    </row>
    <row r="884" spans="1:41" ht="20.100000000000001" customHeight="1" thickTop="1" thickBot="1">
      <c r="A884" s="110"/>
      <c r="B884" s="111" t="str">
        <f>IFERROR(INDEX(Tableau4[Date],MATCH($A884,Tableau4[EVO],0)),"")</f>
        <v/>
      </c>
      <c r="C884" s="112" t="str">
        <f>IFERROR(INDEX(Tableau4[Designation],MATCH($A884,Tableau4[EVO],0)),"")</f>
        <v/>
      </c>
      <c r="D884" s="110"/>
      <c r="E884" s="113"/>
      <c r="F884" s="146"/>
      <c r="G884" s="147" t="e">
        <f>INDEX(Tableau8[Att1],MATCH(Tableau3[[#This Row],[ID-INS]],Tableau8[ID],0))&amp;""</f>
        <v>#N/A</v>
      </c>
      <c r="H884" s="147" t="e">
        <f>INDEX(Tableau8[Att2],MATCH(Tableau3[[#This Row],[ID-INS]],Tableau8[ID],0))&amp;""</f>
        <v>#N/A</v>
      </c>
      <c r="I884" s="147" t="e">
        <f>INDEX(Tableau8[Att3],MATCH(Tableau3[[#This Row],[ID-INS]],Tableau8[ID],0))&amp;""</f>
        <v>#N/A</v>
      </c>
      <c r="J884" s="148"/>
      <c r="K884" s="167" t="e">
        <f>INDEX(Tableau8[Nom du modele],MATCH(Tableau3[[#This Row],[ID-INS]],Tableau8[ID],0))&amp;""</f>
        <v>#N/A</v>
      </c>
      <c r="L884" s="149" t="e">
        <f>INDEX(Tableau5[Att1],MATCH(Tableau3[[#This Row],[ID-SIG]],Tableau5[ID],0))&amp;""</f>
        <v>#N/A</v>
      </c>
      <c r="M884" s="149" t="e">
        <f>INDEX(Tableau5[Att2],MATCH(Tableau3[[#This Row],[ID-SIG]],Tableau5[ID],0))&amp;""</f>
        <v>#N/A</v>
      </c>
      <c r="N884" s="149" t="e">
        <f>INDEX(Tableau5[Att3],MATCH(Tableau3[[#This Row],[ID-SIG]],Tableau5[ID],0))&amp;""</f>
        <v>#N/A</v>
      </c>
      <c r="O884" s="150"/>
      <c r="P884" s="149" t="e">
        <f>INDEX(Tableau5[Description],MATCH(Tableau3[[#This Row],[ID-SIG]],Tableau5[ID],0))</f>
        <v>#N/A</v>
      </c>
      <c r="Q884" s="150"/>
      <c r="R884" s="117" t="e">
        <f>Tableau3[[#This Row],[Description]]</f>
        <v>#N/A</v>
      </c>
      <c r="S884" s="75"/>
      <c r="T884" s="75"/>
      <c r="U884" s="151">
        <v>5</v>
      </c>
      <c r="V884" s="151">
        <v>2</v>
      </c>
      <c r="W884" s="151">
        <v>10</v>
      </c>
      <c r="X884" s="151">
        <v>10</v>
      </c>
      <c r="Y884" s="40"/>
      <c r="Z884" s="166" t="str">
        <f>INDEX(Tableau2[TS],MATCH(Tableau3[[#This Row],[ID-CARTEVOIE]],Tableau2[ID-CARTEVOIE],0))</f>
        <v>ET</v>
      </c>
      <c r="AA884" s="81" t="s">
        <v>213</v>
      </c>
      <c r="AB884" s="226" t="str">
        <f>IFERROR(INDEX(Tableau5[Reserve],MATCH(Tableau3[[#This Row],[ID-SIG]],Tableau5[ID],0))&amp;"","")</f>
        <v/>
      </c>
      <c r="AC884" s="119" t="s">
        <v>1456</v>
      </c>
      <c r="AD884" s="120" t="str">
        <f>INDEX(Tableau7[Repere],MATCH(Tableau3[[#This Row],[ID-API]],Tableau7[ID-API],0))&amp;""</f>
        <v>A5</v>
      </c>
      <c r="AE884" s="121" t="str">
        <f>INDEX(Tableau1[Repere-Rack],MATCH(Tableau3[[#This Row],[ID-RACK]],Tableau1[ID-RACK],0))&amp;""</f>
        <v>R2</v>
      </c>
      <c r="AF884" s="121" t="str">
        <f>INDEX(Tableau1[Repere-Slot],MATCH(Tableau3[[#This Row],[ID-SLOT]],Tableau1[ID-SLOT],0))&amp;""</f>
        <v>S10</v>
      </c>
      <c r="AG884" s="121" t="str">
        <f>INDEX(Tableau2[Repere-Voie],MATCH(Tableau3[[#This Row],[ID-VOIE]],Tableau2[ID-Voie],0))&amp;""</f>
        <v>v10</v>
      </c>
      <c r="AH884" s="122" t="str">
        <f>Tableau3[[#This Row],[ID-API]]&amp; "." &amp;Tableau3[[#This Row],[ID-RACK]]&amp; "." &amp;Tableau3[[#This Row],[ID-SLOT]]</f>
        <v>5.2.10</v>
      </c>
      <c r="AI884" s="72" t="str">
        <f>INDEX(Tableau1[Ref-Carte],MATCH(Tableau3[[#This Row],[ID-RRS]],Tableau1[ID-RRS],0))</f>
        <v>SDI1602</v>
      </c>
      <c r="AJ884" s="72" t="str">
        <f t="array" ref="AJ884">IFERROR(INDEX(Tableau2[TS],MATCH(1,(Tableau2[Ref-Carte]=Tableau3[[#This Row],[Ref-Carte2]])*(Tableau2[ID-Voie]=Tableau3[[#This Row],[ID-VOIE]]),0)),"")</f>
        <v>ET</v>
      </c>
      <c r="AK884" s="72" t="str">
        <f>IFERROR(INDEX(Tableau2[TS],SUMPRODUCT((Tableau2[Ref-Carte]=Tableau3[[#This Row],[Ref-Carte2]])*(Tableau2[ID-Voie]=Tableau3[[#This Row],[ID-VOIE]])*ROW(Tableau2[TS]))-ROW(Tableau2[#Headers])),"")</f>
        <v>ET</v>
      </c>
      <c r="AL884" s="122" t="str">
        <f>Tableau3[[#This Row],[Ref-Carte2]]&amp;"/"&amp;Tableau3[[#This Row],[ID-VOIE]]</f>
        <v>SDI1602/10</v>
      </c>
      <c r="AM884" s="123" t="str">
        <f>INDEX(Tableau2[Borne],MATCH(Tableau3[[#This Row],[ID-CARTEVOIE]],Tableau2[ID-CARTEVOIE],0))&amp;""</f>
        <v>5B</v>
      </c>
      <c r="AN884" s="124" t="str">
        <f>Tableau3[[#This Row],[ID-API]]&amp;Tableau3[[#This Row],[ID-RACK]]&amp;Tableau3[[#This Row],[ID-SLOT]]&amp;Tableau3[[#This Row],[BORNE]]</f>
        <v>52105B</v>
      </c>
      <c r="AO884" s="125"/>
    </row>
    <row r="885" spans="1:41" ht="20.100000000000001" customHeight="1" thickTop="1" thickBot="1">
      <c r="A885" s="110"/>
      <c r="B885" s="111" t="str">
        <f>IFERROR(INDEX(Tableau4[Date],MATCH($A885,Tableau4[EVO],0)),"")</f>
        <v/>
      </c>
      <c r="C885" s="112" t="str">
        <f>IFERROR(INDEX(Tableau4[Designation],MATCH($A885,Tableau4[EVO],0)),"")</f>
        <v/>
      </c>
      <c r="D885" s="110"/>
      <c r="E885" s="113"/>
      <c r="F885" s="146"/>
      <c r="G885" s="147" t="e">
        <f>INDEX(Tableau8[Att1],MATCH(Tableau3[[#This Row],[ID-INS]],Tableau8[ID],0))&amp;""</f>
        <v>#N/A</v>
      </c>
      <c r="H885" s="147" t="e">
        <f>INDEX(Tableau8[Att2],MATCH(Tableau3[[#This Row],[ID-INS]],Tableau8[ID],0))&amp;""</f>
        <v>#N/A</v>
      </c>
      <c r="I885" s="147" t="e">
        <f>INDEX(Tableau8[Att3],MATCH(Tableau3[[#This Row],[ID-INS]],Tableau8[ID],0))&amp;""</f>
        <v>#N/A</v>
      </c>
      <c r="J885" s="148"/>
      <c r="K885" s="167" t="e">
        <f>INDEX(Tableau8[Nom du modele],MATCH(Tableau3[[#This Row],[ID-INS]],Tableau8[ID],0))&amp;""</f>
        <v>#N/A</v>
      </c>
      <c r="L885" s="149" t="e">
        <f>INDEX(Tableau5[Att1],MATCH(Tableau3[[#This Row],[ID-SIG]],Tableau5[ID],0))&amp;""</f>
        <v>#N/A</v>
      </c>
      <c r="M885" s="149" t="e">
        <f>INDEX(Tableau5[Att2],MATCH(Tableau3[[#This Row],[ID-SIG]],Tableau5[ID],0))&amp;""</f>
        <v>#N/A</v>
      </c>
      <c r="N885" s="149" t="e">
        <f>INDEX(Tableau5[Att3],MATCH(Tableau3[[#This Row],[ID-SIG]],Tableau5[ID],0))&amp;""</f>
        <v>#N/A</v>
      </c>
      <c r="O885" s="150"/>
      <c r="P885" s="149" t="e">
        <f>INDEX(Tableau5[Description],MATCH(Tableau3[[#This Row],[ID-SIG]],Tableau5[ID],0))</f>
        <v>#N/A</v>
      </c>
      <c r="Q885" s="150"/>
      <c r="R885" s="117" t="e">
        <f>Tableau3[[#This Row],[Description]]</f>
        <v>#N/A</v>
      </c>
      <c r="S885" s="75"/>
      <c r="T885" s="75"/>
      <c r="U885" s="151">
        <v>5</v>
      </c>
      <c r="V885" s="151">
        <v>2</v>
      </c>
      <c r="W885" s="151">
        <v>10</v>
      </c>
      <c r="X885" s="151">
        <v>11</v>
      </c>
      <c r="Y885" s="40"/>
      <c r="Z885" s="166" t="str">
        <f>INDEX(Tableau2[TS],MATCH(Tableau3[[#This Row],[ID-CARTEVOIE]],Tableau2[ID-CARTEVOIE],0))</f>
        <v>ET</v>
      </c>
      <c r="AA885" s="81" t="s">
        <v>213</v>
      </c>
      <c r="AB885" s="226" t="str">
        <f>IFERROR(INDEX(Tableau5[Reserve],MATCH(Tableau3[[#This Row],[ID-SIG]],Tableau5[ID],0))&amp;"","")</f>
        <v/>
      </c>
      <c r="AC885" s="119" t="s">
        <v>1456</v>
      </c>
      <c r="AD885" s="120" t="str">
        <f>INDEX(Tableau7[Repere],MATCH(Tableau3[[#This Row],[ID-API]],Tableau7[ID-API],0))&amp;""</f>
        <v>A5</v>
      </c>
      <c r="AE885" s="121" t="str">
        <f>INDEX(Tableau1[Repere-Rack],MATCH(Tableau3[[#This Row],[ID-RACK]],Tableau1[ID-RACK],0))&amp;""</f>
        <v>R2</v>
      </c>
      <c r="AF885" s="121" t="str">
        <f>INDEX(Tableau1[Repere-Slot],MATCH(Tableau3[[#This Row],[ID-SLOT]],Tableau1[ID-SLOT],0))&amp;""</f>
        <v>S10</v>
      </c>
      <c r="AG885" s="121" t="str">
        <f>INDEX(Tableau2[Repere-Voie],MATCH(Tableau3[[#This Row],[ID-VOIE]],Tableau2[ID-Voie],0))&amp;""</f>
        <v>v11</v>
      </c>
      <c r="AH885" s="122" t="str">
        <f>Tableau3[[#This Row],[ID-API]]&amp; "." &amp;Tableau3[[#This Row],[ID-RACK]]&amp; "." &amp;Tableau3[[#This Row],[ID-SLOT]]</f>
        <v>5.2.10</v>
      </c>
      <c r="AI885" s="72" t="str">
        <f>INDEX(Tableau1[Ref-Carte],MATCH(Tableau3[[#This Row],[ID-RRS]],Tableau1[ID-RRS],0))</f>
        <v>SDI1602</v>
      </c>
      <c r="AJ885" s="72" t="str">
        <f t="array" ref="AJ885">IFERROR(INDEX(Tableau2[TS],MATCH(1,(Tableau2[Ref-Carte]=Tableau3[[#This Row],[Ref-Carte2]])*(Tableau2[ID-Voie]=Tableau3[[#This Row],[ID-VOIE]]),0)),"")</f>
        <v>ET</v>
      </c>
      <c r="AK885" s="72" t="str">
        <f>IFERROR(INDEX(Tableau2[TS],SUMPRODUCT((Tableau2[Ref-Carte]=Tableau3[[#This Row],[Ref-Carte2]])*(Tableau2[ID-Voie]=Tableau3[[#This Row],[ID-VOIE]])*ROW(Tableau2[TS]))-ROW(Tableau2[#Headers])),"")</f>
        <v>ET</v>
      </c>
      <c r="AL885" s="122" t="str">
        <f>Tableau3[[#This Row],[Ref-Carte2]]&amp;"/"&amp;Tableau3[[#This Row],[ID-VOIE]]</f>
        <v>SDI1602/11</v>
      </c>
      <c r="AM885" s="123" t="str">
        <f>INDEX(Tableau2[Borne],MATCH(Tableau3[[#This Row],[ID-CARTEVOIE]],Tableau2[ID-CARTEVOIE],0))&amp;""</f>
        <v>5A</v>
      </c>
      <c r="AN885" s="124" t="str">
        <f>Tableau3[[#This Row],[ID-API]]&amp;Tableau3[[#This Row],[ID-RACK]]&amp;Tableau3[[#This Row],[ID-SLOT]]&amp;Tableau3[[#This Row],[BORNE]]</f>
        <v>52105A</v>
      </c>
      <c r="AO885" s="125"/>
    </row>
    <row r="886" spans="1:41" ht="20.100000000000001" customHeight="1" thickTop="1" thickBot="1">
      <c r="A886" s="110"/>
      <c r="B886" s="111" t="str">
        <f>IFERROR(INDEX(Tableau4[Date],MATCH($A886,Tableau4[EVO],0)),"")</f>
        <v/>
      </c>
      <c r="C886" s="112" t="str">
        <f>IFERROR(INDEX(Tableau4[Designation],MATCH($A886,Tableau4[EVO],0)),"")</f>
        <v/>
      </c>
      <c r="D886" s="110"/>
      <c r="E886" s="113"/>
      <c r="F886" s="146"/>
      <c r="G886" s="147" t="e">
        <f>INDEX(Tableau8[Att1],MATCH(Tableau3[[#This Row],[ID-INS]],Tableau8[ID],0))&amp;""</f>
        <v>#N/A</v>
      </c>
      <c r="H886" s="147" t="e">
        <f>INDEX(Tableau8[Att2],MATCH(Tableau3[[#This Row],[ID-INS]],Tableau8[ID],0))&amp;""</f>
        <v>#N/A</v>
      </c>
      <c r="I886" s="147" t="e">
        <f>INDEX(Tableau8[Att3],MATCH(Tableau3[[#This Row],[ID-INS]],Tableau8[ID],0))&amp;""</f>
        <v>#N/A</v>
      </c>
      <c r="J886" s="148"/>
      <c r="K886" s="167" t="e">
        <f>INDEX(Tableau8[Nom du modele],MATCH(Tableau3[[#This Row],[ID-INS]],Tableau8[ID],0))&amp;""</f>
        <v>#N/A</v>
      </c>
      <c r="L886" s="149" t="e">
        <f>INDEX(Tableau5[Att1],MATCH(Tableau3[[#This Row],[ID-SIG]],Tableau5[ID],0))&amp;""</f>
        <v>#N/A</v>
      </c>
      <c r="M886" s="149" t="e">
        <f>INDEX(Tableau5[Att2],MATCH(Tableau3[[#This Row],[ID-SIG]],Tableau5[ID],0))&amp;""</f>
        <v>#N/A</v>
      </c>
      <c r="N886" s="149" t="e">
        <f>INDEX(Tableau5[Att3],MATCH(Tableau3[[#This Row],[ID-SIG]],Tableau5[ID],0))&amp;""</f>
        <v>#N/A</v>
      </c>
      <c r="O886" s="150"/>
      <c r="P886" s="149" t="e">
        <f>INDEX(Tableau5[Description],MATCH(Tableau3[[#This Row],[ID-SIG]],Tableau5[ID],0))</f>
        <v>#N/A</v>
      </c>
      <c r="Q886" s="150"/>
      <c r="R886" s="117" t="e">
        <f>Tableau3[[#This Row],[Description]]</f>
        <v>#N/A</v>
      </c>
      <c r="S886" s="75"/>
      <c r="T886" s="75"/>
      <c r="U886" s="151">
        <v>5</v>
      </c>
      <c r="V886" s="151">
        <v>2</v>
      </c>
      <c r="W886" s="151">
        <v>10</v>
      </c>
      <c r="X886" s="151">
        <v>12</v>
      </c>
      <c r="Y886" s="40"/>
      <c r="Z886" s="166" t="str">
        <f>INDEX(Tableau2[TS],MATCH(Tableau3[[#This Row],[ID-CARTEVOIE]],Tableau2[ID-CARTEVOIE],0))</f>
        <v>ET</v>
      </c>
      <c r="AA886" s="81" t="s">
        <v>213</v>
      </c>
      <c r="AB886" s="226" t="str">
        <f>IFERROR(INDEX(Tableau5[Reserve],MATCH(Tableau3[[#This Row],[ID-SIG]],Tableau5[ID],0))&amp;"","")</f>
        <v/>
      </c>
      <c r="AC886" s="119" t="s">
        <v>1456</v>
      </c>
      <c r="AD886" s="120" t="str">
        <f>INDEX(Tableau7[Repere],MATCH(Tableau3[[#This Row],[ID-API]],Tableau7[ID-API],0))&amp;""</f>
        <v>A5</v>
      </c>
      <c r="AE886" s="121" t="str">
        <f>INDEX(Tableau1[Repere-Rack],MATCH(Tableau3[[#This Row],[ID-RACK]],Tableau1[ID-RACK],0))&amp;""</f>
        <v>R2</v>
      </c>
      <c r="AF886" s="121" t="str">
        <f>INDEX(Tableau1[Repere-Slot],MATCH(Tableau3[[#This Row],[ID-SLOT]],Tableau1[ID-SLOT],0))&amp;""</f>
        <v>S10</v>
      </c>
      <c r="AG886" s="121" t="str">
        <f>INDEX(Tableau2[Repere-Voie],MATCH(Tableau3[[#This Row],[ID-VOIE]],Tableau2[ID-Voie],0))&amp;""</f>
        <v>v12</v>
      </c>
      <c r="AH886" s="122" t="str">
        <f>Tableau3[[#This Row],[ID-API]]&amp; "." &amp;Tableau3[[#This Row],[ID-RACK]]&amp; "." &amp;Tableau3[[#This Row],[ID-SLOT]]</f>
        <v>5.2.10</v>
      </c>
      <c r="AI886" s="72" t="str">
        <f>INDEX(Tableau1[Ref-Carte],MATCH(Tableau3[[#This Row],[ID-RRS]],Tableau1[ID-RRS],0))</f>
        <v>SDI1602</v>
      </c>
      <c r="AJ886" s="72" t="str">
        <f t="array" ref="AJ886">IFERROR(INDEX(Tableau2[TS],MATCH(1,(Tableau2[Ref-Carte]=Tableau3[[#This Row],[Ref-Carte2]])*(Tableau2[ID-Voie]=Tableau3[[#This Row],[ID-VOIE]]),0)),"")</f>
        <v>ET</v>
      </c>
      <c r="AK886" s="72" t="str">
        <f>IFERROR(INDEX(Tableau2[TS],SUMPRODUCT((Tableau2[Ref-Carte]=Tableau3[[#This Row],[Ref-Carte2]])*(Tableau2[ID-Voie]=Tableau3[[#This Row],[ID-VOIE]])*ROW(Tableau2[TS]))-ROW(Tableau2[#Headers])),"")</f>
        <v>ET</v>
      </c>
      <c r="AL886" s="122" t="str">
        <f>Tableau3[[#This Row],[Ref-Carte2]]&amp;"/"&amp;Tableau3[[#This Row],[ID-VOIE]]</f>
        <v>SDI1602/12</v>
      </c>
      <c r="AM886" s="123" t="str">
        <f>INDEX(Tableau2[Borne],MATCH(Tableau3[[#This Row],[ID-CARTEVOIE]],Tableau2[ID-CARTEVOIE],0))&amp;""</f>
        <v>6B</v>
      </c>
      <c r="AN886" s="124" t="str">
        <f>Tableau3[[#This Row],[ID-API]]&amp;Tableau3[[#This Row],[ID-RACK]]&amp;Tableau3[[#This Row],[ID-SLOT]]&amp;Tableau3[[#This Row],[BORNE]]</f>
        <v>52106B</v>
      </c>
      <c r="AO886" s="125"/>
    </row>
    <row r="887" spans="1:41" ht="20.100000000000001" customHeight="1" thickTop="1" thickBot="1">
      <c r="A887" s="110"/>
      <c r="B887" s="111" t="str">
        <f>IFERROR(INDEX(Tableau4[Date],MATCH($A887,Tableau4[EVO],0)),"")</f>
        <v/>
      </c>
      <c r="C887" s="112" t="str">
        <f>IFERROR(INDEX(Tableau4[Designation],MATCH($A887,Tableau4[EVO],0)),"")</f>
        <v/>
      </c>
      <c r="D887" s="110"/>
      <c r="E887" s="113"/>
      <c r="F887" s="146"/>
      <c r="G887" s="147" t="e">
        <f>INDEX(Tableau8[Att1],MATCH(Tableau3[[#This Row],[ID-INS]],Tableau8[ID],0))&amp;""</f>
        <v>#N/A</v>
      </c>
      <c r="H887" s="147" t="e">
        <f>INDEX(Tableau8[Att2],MATCH(Tableau3[[#This Row],[ID-INS]],Tableau8[ID],0))&amp;""</f>
        <v>#N/A</v>
      </c>
      <c r="I887" s="147" t="e">
        <f>INDEX(Tableau8[Att3],MATCH(Tableau3[[#This Row],[ID-INS]],Tableau8[ID],0))&amp;""</f>
        <v>#N/A</v>
      </c>
      <c r="J887" s="148"/>
      <c r="K887" s="167" t="e">
        <f>INDEX(Tableau8[Nom du modele],MATCH(Tableau3[[#This Row],[ID-INS]],Tableau8[ID],0))&amp;""</f>
        <v>#N/A</v>
      </c>
      <c r="L887" s="149" t="e">
        <f>INDEX(Tableau5[Att1],MATCH(Tableau3[[#This Row],[ID-SIG]],Tableau5[ID],0))&amp;""</f>
        <v>#N/A</v>
      </c>
      <c r="M887" s="149" t="e">
        <f>INDEX(Tableau5[Att2],MATCH(Tableau3[[#This Row],[ID-SIG]],Tableau5[ID],0))&amp;""</f>
        <v>#N/A</v>
      </c>
      <c r="N887" s="149" t="e">
        <f>INDEX(Tableau5[Att3],MATCH(Tableau3[[#This Row],[ID-SIG]],Tableau5[ID],0))&amp;""</f>
        <v>#N/A</v>
      </c>
      <c r="O887" s="150"/>
      <c r="P887" s="149" t="e">
        <f>INDEX(Tableau5[Description],MATCH(Tableau3[[#This Row],[ID-SIG]],Tableau5[ID],0))</f>
        <v>#N/A</v>
      </c>
      <c r="Q887" s="150"/>
      <c r="R887" s="117" t="e">
        <f>Tableau3[[#This Row],[Description]]</f>
        <v>#N/A</v>
      </c>
      <c r="S887" s="75"/>
      <c r="T887" s="75"/>
      <c r="U887" s="151">
        <v>5</v>
      </c>
      <c r="V887" s="151">
        <v>2</v>
      </c>
      <c r="W887" s="151">
        <v>10</v>
      </c>
      <c r="X887" s="151">
        <v>13</v>
      </c>
      <c r="Y887" s="40"/>
      <c r="Z887" s="166" t="str">
        <f>INDEX(Tableau2[TS],MATCH(Tableau3[[#This Row],[ID-CARTEVOIE]],Tableau2[ID-CARTEVOIE],0))</f>
        <v>ET</v>
      </c>
      <c r="AA887" s="81" t="s">
        <v>213</v>
      </c>
      <c r="AB887" s="226" t="str">
        <f>IFERROR(INDEX(Tableau5[Reserve],MATCH(Tableau3[[#This Row],[ID-SIG]],Tableau5[ID],0))&amp;"","")</f>
        <v/>
      </c>
      <c r="AC887" s="119" t="s">
        <v>1456</v>
      </c>
      <c r="AD887" s="120" t="str">
        <f>INDEX(Tableau7[Repere],MATCH(Tableau3[[#This Row],[ID-API]],Tableau7[ID-API],0))&amp;""</f>
        <v>A5</v>
      </c>
      <c r="AE887" s="121" t="str">
        <f>INDEX(Tableau1[Repere-Rack],MATCH(Tableau3[[#This Row],[ID-RACK]],Tableau1[ID-RACK],0))&amp;""</f>
        <v>R2</v>
      </c>
      <c r="AF887" s="121" t="str">
        <f>INDEX(Tableau1[Repere-Slot],MATCH(Tableau3[[#This Row],[ID-SLOT]],Tableau1[ID-SLOT],0))&amp;""</f>
        <v>S10</v>
      </c>
      <c r="AG887" s="121" t="str">
        <f>INDEX(Tableau2[Repere-Voie],MATCH(Tableau3[[#This Row],[ID-VOIE]],Tableau2[ID-Voie],0))&amp;""</f>
        <v>v13</v>
      </c>
      <c r="AH887" s="122" t="str">
        <f>Tableau3[[#This Row],[ID-API]]&amp; "." &amp;Tableau3[[#This Row],[ID-RACK]]&amp; "." &amp;Tableau3[[#This Row],[ID-SLOT]]</f>
        <v>5.2.10</v>
      </c>
      <c r="AI887" s="72" t="str">
        <f>INDEX(Tableau1[Ref-Carte],MATCH(Tableau3[[#This Row],[ID-RRS]],Tableau1[ID-RRS],0))</f>
        <v>SDI1602</v>
      </c>
      <c r="AJ887" s="72" t="str">
        <f t="array" ref="AJ887">IFERROR(INDEX(Tableau2[TS],MATCH(1,(Tableau2[Ref-Carte]=Tableau3[[#This Row],[Ref-Carte2]])*(Tableau2[ID-Voie]=Tableau3[[#This Row],[ID-VOIE]]),0)),"")</f>
        <v>ET</v>
      </c>
      <c r="AK887" s="72" t="str">
        <f>IFERROR(INDEX(Tableau2[TS],SUMPRODUCT((Tableau2[Ref-Carte]=Tableau3[[#This Row],[Ref-Carte2]])*(Tableau2[ID-Voie]=Tableau3[[#This Row],[ID-VOIE]])*ROW(Tableau2[TS]))-ROW(Tableau2[#Headers])),"")</f>
        <v>ET</v>
      </c>
      <c r="AL887" s="122" t="str">
        <f>Tableau3[[#This Row],[Ref-Carte2]]&amp;"/"&amp;Tableau3[[#This Row],[ID-VOIE]]</f>
        <v>SDI1602/13</v>
      </c>
      <c r="AM887" s="123" t="str">
        <f>INDEX(Tableau2[Borne],MATCH(Tableau3[[#This Row],[ID-CARTEVOIE]],Tableau2[ID-CARTEVOIE],0))&amp;""</f>
        <v>6A</v>
      </c>
      <c r="AN887" s="124" t="str">
        <f>Tableau3[[#This Row],[ID-API]]&amp;Tableau3[[#This Row],[ID-RACK]]&amp;Tableau3[[#This Row],[ID-SLOT]]&amp;Tableau3[[#This Row],[BORNE]]</f>
        <v>52106A</v>
      </c>
      <c r="AO887" s="125"/>
    </row>
    <row r="888" spans="1:41" ht="20.100000000000001" customHeight="1" thickTop="1" thickBot="1">
      <c r="A888" s="110"/>
      <c r="B888" s="111" t="str">
        <f>IFERROR(INDEX(Tableau4[Date],MATCH($A888,Tableau4[EVO],0)),"")</f>
        <v/>
      </c>
      <c r="C888" s="112" t="str">
        <f>IFERROR(INDEX(Tableau4[Designation],MATCH($A888,Tableau4[EVO],0)),"")</f>
        <v/>
      </c>
      <c r="D888" s="110"/>
      <c r="E888" s="113"/>
      <c r="F888" s="146"/>
      <c r="G888" s="147" t="e">
        <f>INDEX(Tableau8[Att1],MATCH(Tableau3[[#This Row],[ID-INS]],Tableau8[ID],0))&amp;""</f>
        <v>#N/A</v>
      </c>
      <c r="H888" s="147" t="e">
        <f>INDEX(Tableau8[Att2],MATCH(Tableau3[[#This Row],[ID-INS]],Tableau8[ID],0))&amp;""</f>
        <v>#N/A</v>
      </c>
      <c r="I888" s="147" t="e">
        <f>INDEX(Tableau8[Att3],MATCH(Tableau3[[#This Row],[ID-INS]],Tableau8[ID],0))&amp;""</f>
        <v>#N/A</v>
      </c>
      <c r="J888" s="148"/>
      <c r="K888" s="167" t="e">
        <f>INDEX(Tableau8[Nom du modele],MATCH(Tableau3[[#This Row],[ID-INS]],Tableau8[ID],0))&amp;""</f>
        <v>#N/A</v>
      </c>
      <c r="L888" s="149" t="e">
        <f>INDEX(Tableau5[Att1],MATCH(Tableau3[[#This Row],[ID-SIG]],Tableau5[ID],0))&amp;""</f>
        <v>#N/A</v>
      </c>
      <c r="M888" s="149" t="e">
        <f>INDEX(Tableau5[Att2],MATCH(Tableau3[[#This Row],[ID-SIG]],Tableau5[ID],0))&amp;""</f>
        <v>#N/A</v>
      </c>
      <c r="N888" s="149" t="e">
        <f>INDEX(Tableau5[Att3],MATCH(Tableau3[[#This Row],[ID-SIG]],Tableau5[ID],0))&amp;""</f>
        <v>#N/A</v>
      </c>
      <c r="O888" s="150"/>
      <c r="P888" s="149" t="e">
        <f>INDEX(Tableau5[Description],MATCH(Tableau3[[#This Row],[ID-SIG]],Tableau5[ID],0))</f>
        <v>#N/A</v>
      </c>
      <c r="Q888" s="150"/>
      <c r="R888" s="117" t="e">
        <f>Tableau3[[#This Row],[Description]]</f>
        <v>#N/A</v>
      </c>
      <c r="S888" s="75"/>
      <c r="T888" s="75"/>
      <c r="U888" s="151">
        <v>5</v>
      </c>
      <c r="V888" s="151">
        <v>2</v>
      </c>
      <c r="W888" s="151">
        <v>10</v>
      </c>
      <c r="X888" s="151">
        <v>14</v>
      </c>
      <c r="Y888" s="40"/>
      <c r="Z888" s="166" t="str">
        <f>INDEX(Tableau2[TS],MATCH(Tableau3[[#This Row],[ID-CARTEVOIE]],Tableau2[ID-CARTEVOIE],0))</f>
        <v>ET</v>
      </c>
      <c r="AA888" s="81" t="s">
        <v>213</v>
      </c>
      <c r="AB888" s="226" t="str">
        <f>IFERROR(INDEX(Tableau5[Reserve],MATCH(Tableau3[[#This Row],[ID-SIG]],Tableau5[ID],0))&amp;"","")</f>
        <v/>
      </c>
      <c r="AC888" s="119" t="s">
        <v>1456</v>
      </c>
      <c r="AD888" s="120" t="str">
        <f>INDEX(Tableau7[Repere],MATCH(Tableau3[[#This Row],[ID-API]],Tableau7[ID-API],0))&amp;""</f>
        <v>A5</v>
      </c>
      <c r="AE888" s="121" t="str">
        <f>INDEX(Tableau1[Repere-Rack],MATCH(Tableau3[[#This Row],[ID-RACK]],Tableau1[ID-RACK],0))&amp;""</f>
        <v>R2</v>
      </c>
      <c r="AF888" s="121" t="str">
        <f>INDEX(Tableau1[Repere-Slot],MATCH(Tableau3[[#This Row],[ID-SLOT]],Tableau1[ID-SLOT],0))&amp;""</f>
        <v>S10</v>
      </c>
      <c r="AG888" s="121" t="str">
        <f>INDEX(Tableau2[Repere-Voie],MATCH(Tableau3[[#This Row],[ID-VOIE]],Tableau2[ID-Voie],0))&amp;""</f>
        <v>v14</v>
      </c>
      <c r="AH888" s="122" t="str">
        <f>Tableau3[[#This Row],[ID-API]]&amp; "." &amp;Tableau3[[#This Row],[ID-RACK]]&amp; "." &amp;Tableau3[[#This Row],[ID-SLOT]]</f>
        <v>5.2.10</v>
      </c>
      <c r="AI888" s="72" t="str">
        <f>INDEX(Tableau1[Ref-Carte],MATCH(Tableau3[[#This Row],[ID-RRS]],Tableau1[ID-RRS],0))</f>
        <v>SDI1602</v>
      </c>
      <c r="AJ888" s="72" t="str">
        <f t="array" ref="AJ888">IFERROR(INDEX(Tableau2[TS],MATCH(1,(Tableau2[Ref-Carte]=Tableau3[[#This Row],[Ref-Carte2]])*(Tableau2[ID-Voie]=Tableau3[[#This Row],[ID-VOIE]]),0)),"")</f>
        <v>ET</v>
      </c>
      <c r="AK888" s="72" t="str">
        <f>IFERROR(INDEX(Tableau2[TS],SUMPRODUCT((Tableau2[Ref-Carte]=Tableau3[[#This Row],[Ref-Carte2]])*(Tableau2[ID-Voie]=Tableau3[[#This Row],[ID-VOIE]])*ROW(Tableau2[TS]))-ROW(Tableau2[#Headers])),"")</f>
        <v>ET</v>
      </c>
      <c r="AL888" s="122" t="str">
        <f>Tableau3[[#This Row],[Ref-Carte2]]&amp;"/"&amp;Tableau3[[#This Row],[ID-VOIE]]</f>
        <v>SDI1602/14</v>
      </c>
      <c r="AM888" s="123" t="str">
        <f>INDEX(Tableau2[Borne],MATCH(Tableau3[[#This Row],[ID-CARTEVOIE]],Tableau2[ID-CARTEVOIE],0))&amp;""</f>
        <v>7B</v>
      </c>
      <c r="AN888" s="124" t="str">
        <f>Tableau3[[#This Row],[ID-API]]&amp;Tableau3[[#This Row],[ID-RACK]]&amp;Tableau3[[#This Row],[ID-SLOT]]&amp;Tableau3[[#This Row],[BORNE]]</f>
        <v>52107B</v>
      </c>
      <c r="AO888" s="125"/>
    </row>
    <row r="889" spans="1:41" ht="20.100000000000001" customHeight="1" thickTop="1" thickBot="1">
      <c r="A889" s="110"/>
      <c r="B889" s="111" t="str">
        <f>IFERROR(INDEX(Tableau4[Date],MATCH($A889,Tableau4[EVO],0)),"")</f>
        <v/>
      </c>
      <c r="C889" s="112" t="str">
        <f>IFERROR(INDEX(Tableau4[Designation],MATCH($A889,Tableau4[EVO],0)),"")</f>
        <v/>
      </c>
      <c r="D889" s="110"/>
      <c r="E889" s="113"/>
      <c r="F889" s="146"/>
      <c r="G889" s="147" t="e">
        <f>INDEX(Tableau8[Att1],MATCH(Tableau3[[#This Row],[ID-INS]],Tableau8[ID],0))&amp;""</f>
        <v>#N/A</v>
      </c>
      <c r="H889" s="147" t="e">
        <f>INDEX(Tableau8[Att2],MATCH(Tableau3[[#This Row],[ID-INS]],Tableau8[ID],0))&amp;""</f>
        <v>#N/A</v>
      </c>
      <c r="I889" s="147" t="e">
        <f>INDEX(Tableau8[Att3],MATCH(Tableau3[[#This Row],[ID-INS]],Tableau8[ID],0))&amp;""</f>
        <v>#N/A</v>
      </c>
      <c r="J889" s="148"/>
      <c r="K889" s="167" t="e">
        <f>INDEX(Tableau8[Nom du modele],MATCH(Tableau3[[#This Row],[ID-INS]],Tableau8[ID],0))&amp;""</f>
        <v>#N/A</v>
      </c>
      <c r="L889" s="149" t="e">
        <f>INDEX(Tableau5[Att1],MATCH(Tableau3[[#This Row],[ID-SIG]],Tableau5[ID],0))&amp;""</f>
        <v>#N/A</v>
      </c>
      <c r="M889" s="149" t="e">
        <f>INDEX(Tableau5[Att2],MATCH(Tableau3[[#This Row],[ID-SIG]],Tableau5[ID],0))&amp;""</f>
        <v>#N/A</v>
      </c>
      <c r="N889" s="149" t="e">
        <f>INDEX(Tableau5[Att3],MATCH(Tableau3[[#This Row],[ID-SIG]],Tableau5[ID],0))&amp;""</f>
        <v>#N/A</v>
      </c>
      <c r="O889" s="150"/>
      <c r="P889" s="149" t="e">
        <f>INDEX(Tableau5[Description],MATCH(Tableau3[[#This Row],[ID-SIG]],Tableau5[ID],0))</f>
        <v>#N/A</v>
      </c>
      <c r="Q889" s="150"/>
      <c r="R889" s="117" t="e">
        <f>Tableau3[[#This Row],[Description]]</f>
        <v>#N/A</v>
      </c>
      <c r="S889" s="75"/>
      <c r="T889" s="75"/>
      <c r="U889" s="151">
        <v>5</v>
      </c>
      <c r="V889" s="151">
        <v>2</v>
      </c>
      <c r="W889" s="151">
        <v>10</v>
      </c>
      <c r="X889" s="151">
        <v>15</v>
      </c>
      <c r="Y889" s="40"/>
      <c r="Z889" s="166" t="str">
        <f>INDEX(Tableau2[TS],MATCH(Tableau3[[#This Row],[ID-CARTEVOIE]],Tableau2[ID-CARTEVOIE],0))</f>
        <v>ET</v>
      </c>
      <c r="AA889" s="81" t="s">
        <v>213</v>
      </c>
      <c r="AB889" s="226" t="str">
        <f>IFERROR(INDEX(Tableau5[Reserve],MATCH(Tableau3[[#This Row],[ID-SIG]],Tableau5[ID],0))&amp;"","")</f>
        <v/>
      </c>
      <c r="AC889" s="119" t="s">
        <v>1456</v>
      </c>
      <c r="AD889" s="120" t="str">
        <f>INDEX(Tableau7[Repere],MATCH(Tableau3[[#This Row],[ID-API]],Tableau7[ID-API],0))&amp;""</f>
        <v>A5</v>
      </c>
      <c r="AE889" s="121" t="str">
        <f>INDEX(Tableau1[Repere-Rack],MATCH(Tableau3[[#This Row],[ID-RACK]],Tableau1[ID-RACK],0))&amp;""</f>
        <v>R2</v>
      </c>
      <c r="AF889" s="121" t="str">
        <f>INDEX(Tableau1[Repere-Slot],MATCH(Tableau3[[#This Row],[ID-SLOT]],Tableau1[ID-SLOT],0))&amp;""</f>
        <v>S10</v>
      </c>
      <c r="AG889" s="121" t="str">
        <f>INDEX(Tableau2[Repere-Voie],MATCH(Tableau3[[#This Row],[ID-VOIE]],Tableau2[ID-Voie],0))&amp;""</f>
        <v>v15</v>
      </c>
      <c r="AH889" s="122" t="str">
        <f>Tableau3[[#This Row],[ID-API]]&amp; "." &amp;Tableau3[[#This Row],[ID-RACK]]&amp; "." &amp;Tableau3[[#This Row],[ID-SLOT]]</f>
        <v>5.2.10</v>
      </c>
      <c r="AI889" s="72" t="str">
        <f>INDEX(Tableau1[Ref-Carte],MATCH(Tableau3[[#This Row],[ID-RRS]],Tableau1[ID-RRS],0))</f>
        <v>SDI1602</v>
      </c>
      <c r="AJ889" s="72" t="str">
        <f t="array" ref="AJ889">IFERROR(INDEX(Tableau2[TS],MATCH(1,(Tableau2[Ref-Carte]=Tableau3[[#This Row],[Ref-Carte2]])*(Tableau2[ID-Voie]=Tableau3[[#This Row],[ID-VOIE]]),0)),"")</f>
        <v>ET</v>
      </c>
      <c r="AK889" s="72" t="str">
        <f>IFERROR(INDEX(Tableau2[TS],SUMPRODUCT((Tableau2[Ref-Carte]=Tableau3[[#This Row],[Ref-Carte2]])*(Tableau2[ID-Voie]=Tableau3[[#This Row],[ID-VOIE]])*ROW(Tableau2[TS]))-ROW(Tableau2[#Headers])),"")</f>
        <v>ET</v>
      </c>
      <c r="AL889" s="122" t="str">
        <f>Tableau3[[#This Row],[Ref-Carte2]]&amp;"/"&amp;Tableau3[[#This Row],[ID-VOIE]]</f>
        <v>SDI1602/15</v>
      </c>
      <c r="AM889" s="123" t="str">
        <f>INDEX(Tableau2[Borne],MATCH(Tableau3[[#This Row],[ID-CARTEVOIE]],Tableau2[ID-CARTEVOIE],0))&amp;""</f>
        <v>7A</v>
      </c>
      <c r="AN889" s="124" t="str">
        <f>Tableau3[[#This Row],[ID-API]]&amp;Tableau3[[#This Row],[ID-RACK]]&amp;Tableau3[[#This Row],[ID-SLOT]]&amp;Tableau3[[#This Row],[BORNE]]</f>
        <v>52107A</v>
      </c>
      <c r="AO889" s="125"/>
    </row>
    <row r="890" spans="1:41" ht="20.100000000000001" customHeight="1" thickTop="1" thickBot="1">
      <c r="A890" s="68"/>
      <c r="B890" s="69" t="str">
        <f>IFERROR(INDEX(Tableau4[Date],MATCH($A890,Tableau4[EVO],0)),"")</f>
        <v/>
      </c>
      <c r="C890" s="68" t="str">
        <f>IFERROR(INDEX(Tableau4[Designation],MATCH($A890,Tableau4[EVO],0)),"")</f>
        <v/>
      </c>
      <c r="D890" s="68"/>
      <c r="E890" s="70">
        <v>8</v>
      </c>
      <c r="F890" s="71">
        <v>250</v>
      </c>
      <c r="G890" s="101" t="str">
        <f>INDEX(Tableau8[Att1],MATCH(Tableau3[[#This Row],[ID-INS]],Tableau8[ID],0))&amp;""</f>
        <v>V5</v>
      </c>
      <c r="H890" s="101" t="str">
        <f>INDEX(Tableau8[Att2],MATCH(Tableau3[[#This Row],[ID-INS]],Tableau8[ID],0))&amp;""</f>
        <v>P8</v>
      </c>
      <c r="I890" s="101" t="str">
        <f>INDEX(Tableau8[Att3],MATCH(Tableau3[[#This Row],[ID-INS]],Tableau8[ID],0))&amp;""</f>
        <v>Portail P8</v>
      </c>
      <c r="J890" s="101"/>
      <c r="K890" s="167" t="str">
        <f>INDEX(Tableau8[Nom du modele],MATCH(Tableau3[[#This Row],[ID-INS]],Tableau8[ID],0))&amp;""</f>
        <v>PortailBleuElec_1</v>
      </c>
      <c r="L890" s="99" t="str">
        <f>INDEX(Tableau5[Att1],MATCH(Tableau3[[#This Row],[ID-SIG]],Tableau5[ID],0))&amp;""</f>
        <v>V_OuvCmd</v>
      </c>
      <c r="M890" s="99" t="str">
        <f>INDEX(Tableau5[Att2],MATCH(Tableau3[[#This Row],[ID-SIG]],Tableau5[ID],0))&amp;""</f>
        <v/>
      </c>
      <c r="N890" s="99" t="str">
        <f>INDEX(Tableau5[Att3],MATCH(Tableau3[[#This Row],[ID-SIG]],Tableau5[ID],0))&amp;""</f>
        <v/>
      </c>
      <c r="O890" s="99"/>
      <c r="P890" s="99" t="str">
        <f>INDEX(Tableau5[Description],MATCH(Tableau3[[#This Row],[ID-SIG]],Tableau5[ID],0))</f>
        <v>Commande ouverture</v>
      </c>
      <c r="Q890" s="99"/>
      <c r="R890" s="103" t="str">
        <f>Tableau3[[#This Row],[Description]]</f>
        <v>Commande ouverture</v>
      </c>
      <c r="S890" s="52"/>
      <c r="U890" s="87">
        <v>6</v>
      </c>
      <c r="V890" s="87">
        <v>1</v>
      </c>
      <c r="W890" s="87">
        <v>3</v>
      </c>
      <c r="X890" s="87">
        <v>0</v>
      </c>
      <c r="Y890" s="41"/>
      <c r="Z890" s="165" t="str">
        <f>INDEX(Tableau2[TS],MATCH(Tableau3[[#This Row],[ID-CARTEVOIE]],Tableau2[ID-CARTEVOIE],0))</f>
        <v>ST</v>
      </c>
      <c r="AA890" s="53" t="s">
        <v>213</v>
      </c>
      <c r="AB890" s="223" t="str">
        <f>IFERROR(INDEX(Tableau5[Reserve],MATCH(Tableau3[[#This Row],[ID-SIG]],Tableau5[ID],0))&amp;"","")</f>
        <v/>
      </c>
      <c r="AC890" s="21"/>
      <c r="AD890" s="108" t="str">
        <f>INDEX(Tableau7[Repere],MATCH(Tableau3[[#This Row],[ID-API]],Tableau7[ID-API],0))&amp;""</f>
        <v>A6</v>
      </c>
      <c r="AE890" s="108" t="str">
        <f>INDEX(Tableau1[Repere-Rack],MATCH(Tableau3[[#This Row],[ID-RACK]],Tableau1[ID-RACK],0))&amp;""</f>
        <v>R1</v>
      </c>
      <c r="AF890" s="108" t="str">
        <f>INDEX(Tableau1[Repere-Slot],MATCH(Tableau3[[#This Row],[ID-SLOT]],Tableau1[ID-SLOT],0))&amp;""</f>
        <v>S3</v>
      </c>
      <c r="AG890" s="108" t="str">
        <f>INDEX(Tableau2[Repere-Voie],MATCH(Tableau3[[#This Row],[ID-VOIE]],Tableau2[ID-Voie],0))&amp;""</f>
        <v>v0</v>
      </c>
      <c r="AH890" s="72" t="str">
        <f>Tableau3[[#This Row],[ID-API]]&amp; "." &amp;Tableau3[[#This Row],[ID-RACK]]&amp; "." &amp;Tableau3[[#This Row],[ID-SLOT]]</f>
        <v>6.1.3</v>
      </c>
      <c r="AI890" s="72" t="str">
        <f>INDEX(Tableau1[Ref-Carte],MATCH(Tableau3[[#This Row],[ID-RRS]],Tableau1[ID-RRS],0))</f>
        <v>SDO0802</v>
      </c>
      <c r="AJ890" s="72" t="str">
        <f t="array" ref="AJ890">IFERROR(INDEX(Tableau2[TS],MATCH(1,(Tableau2[Ref-Carte]=Tableau3[[#This Row],[Ref-Carte2]])*(Tableau2[ID-Voie]=Tableau3[[#This Row],[ID-VOIE]]),0)),"")</f>
        <v>ST</v>
      </c>
      <c r="AK890" s="72" t="str">
        <f>IFERROR(INDEX(Tableau2[TS],SUMPRODUCT((Tableau2[Ref-Carte]=Tableau3[[#This Row],[Ref-Carte2]])*(Tableau2[ID-Voie]=Tableau3[[#This Row],[ID-VOIE]])*ROW(Tableau2[TS]))-ROW(Tableau2[#Headers])),"")</f>
        <v>ST</v>
      </c>
      <c r="AL890" s="72" t="str">
        <f>Tableau3[[#This Row],[Ref-Carte2]]&amp;"/"&amp;Tableau3[[#This Row],[ID-VOIE]]</f>
        <v>SDO0802/0</v>
      </c>
      <c r="AM890" s="73" t="str">
        <f>INDEX(Tableau2[Borne],MATCH(Tableau3[[#This Row],[ID-CARTEVOIE]],Tableau2[ID-CARTEVOIE],0))&amp;""</f>
        <v>0</v>
      </c>
      <c r="AN890" s="74" t="str">
        <f>Tableau3[[#This Row],[ID-API]]&amp;Tableau3[[#This Row],[ID-RACK]]&amp;Tableau3[[#This Row],[ID-SLOT]]&amp;Tableau3[[#This Row],[BORNE]]</f>
        <v>6130</v>
      </c>
      <c r="AO890" s="1"/>
    </row>
    <row r="891" spans="1:41" ht="20.100000000000001" customHeight="1" thickTop="1" thickBot="1">
      <c r="A891" s="68"/>
      <c r="B891" s="69" t="str">
        <f>IFERROR(INDEX(Tableau4[Date],MATCH($A891,Tableau4[EVO],0)),"")</f>
        <v/>
      </c>
      <c r="C891" s="68" t="str">
        <f>IFERROR(INDEX(Tableau4[Designation],MATCH($A891,Tableau4[EVO],0)),"")</f>
        <v/>
      </c>
      <c r="D891" s="68"/>
      <c r="E891" s="70">
        <v>8</v>
      </c>
      <c r="F891" s="71">
        <v>251</v>
      </c>
      <c r="G891" s="101" t="str">
        <f>INDEX(Tableau8[Att1],MATCH(Tableau3[[#This Row],[ID-INS]],Tableau8[ID],0))&amp;""</f>
        <v>V5</v>
      </c>
      <c r="H891" s="101" t="str">
        <f>INDEX(Tableau8[Att2],MATCH(Tableau3[[#This Row],[ID-INS]],Tableau8[ID],0))&amp;""</f>
        <v>P8</v>
      </c>
      <c r="I891" s="101" t="str">
        <f>INDEX(Tableau8[Att3],MATCH(Tableau3[[#This Row],[ID-INS]],Tableau8[ID],0))&amp;""</f>
        <v>Portail P8</v>
      </c>
      <c r="J891" s="101"/>
      <c r="K891" s="167" t="str">
        <f>INDEX(Tableau8[Nom du modele],MATCH(Tableau3[[#This Row],[ID-INS]],Tableau8[ID],0))&amp;""</f>
        <v>PortailBleuElec_1</v>
      </c>
      <c r="L891" s="99" t="str">
        <f>INDEX(Tableau5[Att1],MATCH(Tableau3[[#This Row],[ID-SIG]],Tableau5[ID],0))&amp;""</f>
        <v>V_FerCmd1</v>
      </c>
      <c r="M891" s="99" t="str">
        <f>INDEX(Tableau5[Att2],MATCH(Tableau3[[#This Row],[ID-SIG]],Tableau5[ID],0))&amp;""</f>
        <v/>
      </c>
      <c r="N891" s="99" t="str">
        <f>INDEX(Tableau5[Att3],MATCH(Tableau3[[#This Row],[ID-SIG]],Tableau5[ID],0))&amp;""</f>
        <v/>
      </c>
      <c r="O891" s="99"/>
      <c r="P891" s="99" t="str">
        <f>INDEX(Tableau5[Description],MATCH(Tableau3[[#This Row],[ID-SIG]],Tableau5[ID],0))</f>
        <v>Commande 1 fermeture</v>
      </c>
      <c r="Q891" s="99"/>
      <c r="R891" s="103" t="str">
        <f>Tableau3[[#This Row],[Description]]</f>
        <v>Commande 1 fermeture</v>
      </c>
      <c r="S891" s="52"/>
      <c r="U891" s="87">
        <v>6</v>
      </c>
      <c r="V891" s="87">
        <v>1</v>
      </c>
      <c r="W891" s="87">
        <v>3</v>
      </c>
      <c r="X891" s="87">
        <v>1</v>
      </c>
      <c r="Y891" s="41"/>
      <c r="Z891" s="165" t="str">
        <f>INDEX(Tableau2[TS],MATCH(Tableau3[[#This Row],[ID-CARTEVOIE]],Tableau2[ID-CARTEVOIE],0))</f>
        <v>ST</v>
      </c>
      <c r="AA891" s="53" t="s">
        <v>213</v>
      </c>
      <c r="AB891" s="223" t="str">
        <f>IFERROR(INDEX(Tableau5[Reserve],MATCH(Tableau3[[#This Row],[ID-SIG]],Tableau5[ID],0))&amp;"","")</f>
        <v/>
      </c>
      <c r="AC891" s="21"/>
      <c r="AD891" s="108" t="str">
        <f>INDEX(Tableau7[Repere],MATCH(Tableau3[[#This Row],[ID-API]],Tableau7[ID-API],0))&amp;""</f>
        <v>A6</v>
      </c>
      <c r="AE891" s="108" t="str">
        <f>INDEX(Tableau1[Repere-Rack],MATCH(Tableau3[[#This Row],[ID-RACK]],Tableau1[ID-RACK],0))&amp;""</f>
        <v>R1</v>
      </c>
      <c r="AF891" s="108" t="str">
        <f>INDEX(Tableau1[Repere-Slot],MATCH(Tableau3[[#This Row],[ID-SLOT]],Tableau1[ID-SLOT],0))&amp;""</f>
        <v>S3</v>
      </c>
      <c r="AG891" s="108" t="str">
        <f>INDEX(Tableau2[Repere-Voie],MATCH(Tableau3[[#This Row],[ID-VOIE]],Tableau2[ID-Voie],0))&amp;""</f>
        <v>v1</v>
      </c>
      <c r="AH891" s="72" t="str">
        <f>Tableau3[[#This Row],[ID-API]]&amp; "." &amp;Tableau3[[#This Row],[ID-RACK]]&amp; "." &amp;Tableau3[[#This Row],[ID-SLOT]]</f>
        <v>6.1.3</v>
      </c>
      <c r="AI891" s="72" t="str">
        <f>INDEX(Tableau1[Ref-Carte],MATCH(Tableau3[[#This Row],[ID-RRS]],Tableau1[ID-RRS],0))</f>
        <v>SDO0802</v>
      </c>
      <c r="AJ891" s="72" t="str">
        <f t="array" ref="AJ891">IFERROR(INDEX(Tableau2[TS],MATCH(1,(Tableau2[Ref-Carte]=Tableau3[[#This Row],[Ref-Carte2]])*(Tableau2[ID-Voie]=Tableau3[[#This Row],[ID-VOIE]]),0)),"")</f>
        <v>ST</v>
      </c>
      <c r="AK891" s="72" t="str">
        <f>IFERROR(INDEX(Tableau2[TS],SUMPRODUCT((Tableau2[Ref-Carte]=Tableau3[[#This Row],[Ref-Carte2]])*(Tableau2[ID-Voie]=Tableau3[[#This Row],[ID-VOIE]])*ROW(Tableau2[TS]))-ROW(Tableau2[#Headers])),"")</f>
        <v>ST</v>
      </c>
      <c r="AL891" s="72" t="str">
        <f>Tableau3[[#This Row],[Ref-Carte2]]&amp;"/"&amp;Tableau3[[#This Row],[ID-VOIE]]</f>
        <v>SDO0802/1</v>
      </c>
      <c r="AM891" s="73" t="str">
        <f>INDEX(Tableau2[Borne],MATCH(Tableau3[[#This Row],[ID-CARTEVOIE]],Tableau2[ID-CARTEVOIE],0))&amp;""</f>
        <v>1</v>
      </c>
      <c r="AN891" s="74" t="str">
        <f>Tableau3[[#This Row],[ID-API]]&amp;Tableau3[[#This Row],[ID-RACK]]&amp;Tableau3[[#This Row],[ID-SLOT]]&amp;Tableau3[[#This Row],[BORNE]]</f>
        <v>6131</v>
      </c>
      <c r="AO891" s="1"/>
    </row>
    <row r="892" spans="1:41" ht="20.100000000000001" customHeight="1" thickTop="1" thickBot="1">
      <c r="A892" s="68"/>
      <c r="B892" s="69" t="str">
        <f>IFERROR(INDEX(Tableau4[Date],MATCH($A892,Tableau4[EVO],0)),"")</f>
        <v/>
      </c>
      <c r="C892" s="68" t="str">
        <f>IFERROR(INDEX(Tableau4[Designation],MATCH($A892,Tableau4[EVO],0)),"")</f>
        <v/>
      </c>
      <c r="D892" s="68"/>
      <c r="E892" s="70">
        <v>8</v>
      </c>
      <c r="F892" s="71">
        <v>252</v>
      </c>
      <c r="G892" s="101" t="str">
        <f>INDEX(Tableau8[Att1],MATCH(Tableau3[[#This Row],[ID-INS]],Tableau8[ID],0))&amp;""</f>
        <v>V5</v>
      </c>
      <c r="H892" s="101" t="str">
        <f>INDEX(Tableau8[Att2],MATCH(Tableau3[[#This Row],[ID-INS]],Tableau8[ID],0))&amp;""</f>
        <v>P8</v>
      </c>
      <c r="I892" s="101" t="str">
        <f>INDEX(Tableau8[Att3],MATCH(Tableau3[[#This Row],[ID-INS]],Tableau8[ID],0))&amp;""</f>
        <v>Portail P8</v>
      </c>
      <c r="J892" s="101"/>
      <c r="K892" s="167" t="str">
        <f>INDEX(Tableau8[Nom du modele],MATCH(Tableau3[[#This Row],[ID-INS]],Tableau8[ID],0))&amp;""</f>
        <v>PortailBleuElec_1</v>
      </c>
      <c r="L892" s="155" t="s">
        <v>255</v>
      </c>
      <c r="M892" s="99" t="str">
        <f>INDEX(Tableau5[Att2],MATCH(Tableau3[[#This Row],[ID-SIG]],Tableau5[ID],0))&amp;""</f>
        <v/>
      </c>
      <c r="N892" s="99" t="str">
        <f>INDEX(Tableau5[Att3],MATCH(Tableau3[[#This Row],[ID-SIG]],Tableau5[ID],0))&amp;""</f>
        <v/>
      </c>
      <c r="O892" s="99"/>
      <c r="P892" s="155" t="s">
        <v>1768</v>
      </c>
      <c r="Q892" s="99"/>
      <c r="R892" s="103" t="str">
        <f>Tableau3[[#This Row],[Description]]</f>
        <v>Barrière BR5 - Commande fermeture</v>
      </c>
      <c r="S892" s="52"/>
      <c r="U892" s="87">
        <v>6</v>
      </c>
      <c r="V892" s="87">
        <v>1</v>
      </c>
      <c r="W892" s="87">
        <v>3</v>
      </c>
      <c r="X892" s="87">
        <v>2</v>
      </c>
      <c r="Y892" s="41"/>
      <c r="Z892" s="165" t="str">
        <f>INDEX(Tableau2[TS],MATCH(Tableau3[[#This Row],[ID-CARTEVOIE]],Tableau2[ID-CARTEVOIE],0))</f>
        <v>ST</v>
      </c>
      <c r="AA892" s="53" t="s">
        <v>213</v>
      </c>
      <c r="AB892" s="223" t="str">
        <f>IFERROR(INDEX(Tableau5[Reserve],MATCH(Tableau3[[#This Row],[ID-SIG]],Tableau5[ID],0))&amp;"","")</f>
        <v/>
      </c>
      <c r="AC892" s="21"/>
      <c r="AD892" s="108" t="str">
        <f>INDEX(Tableau7[Repere],MATCH(Tableau3[[#This Row],[ID-API]],Tableau7[ID-API],0))&amp;""</f>
        <v>A6</v>
      </c>
      <c r="AE892" s="108" t="str">
        <f>INDEX(Tableau1[Repere-Rack],MATCH(Tableau3[[#This Row],[ID-RACK]],Tableau1[ID-RACK],0))&amp;""</f>
        <v>R1</v>
      </c>
      <c r="AF892" s="108" t="str">
        <f>INDEX(Tableau1[Repere-Slot],MATCH(Tableau3[[#This Row],[ID-SLOT]],Tableau1[ID-SLOT],0))&amp;""</f>
        <v>S3</v>
      </c>
      <c r="AG892" s="108" t="str">
        <f>INDEX(Tableau2[Repere-Voie],MATCH(Tableau3[[#This Row],[ID-VOIE]],Tableau2[ID-Voie],0))&amp;""</f>
        <v>v2</v>
      </c>
      <c r="AH892" s="72" t="str">
        <f>Tableau3[[#This Row],[ID-API]]&amp; "." &amp;Tableau3[[#This Row],[ID-RACK]]&amp; "." &amp;Tableau3[[#This Row],[ID-SLOT]]</f>
        <v>6.1.3</v>
      </c>
      <c r="AI892" s="72" t="str">
        <f>INDEX(Tableau1[Ref-Carte],MATCH(Tableau3[[#This Row],[ID-RRS]],Tableau1[ID-RRS],0))</f>
        <v>SDO0802</v>
      </c>
      <c r="AJ892" s="72" t="str">
        <f t="array" ref="AJ892">IFERROR(INDEX(Tableau2[TS],MATCH(1,(Tableau2[Ref-Carte]=Tableau3[[#This Row],[Ref-Carte2]])*(Tableau2[ID-Voie]=Tableau3[[#This Row],[ID-VOIE]]),0)),"")</f>
        <v>ST</v>
      </c>
      <c r="AK892" s="72" t="str">
        <f>IFERROR(INDEX(Tableau2[TS],SUMPRODUCT((Tableau2[Ref-Carte]=Tableau3[[#This Row],[Ref-Carte2]])*(Tableau2[ID-Voie]=Tableau3[[#This Row],[ID-VOIE]])*ROW(Tableau2[TS]))-ROW(Tableau2[#Headers])),"")</f>
        <v>ST</v>
      </c>
      <c r="AL892" s="72" t="str">
        <f>Tableau3[[#This Row],[Ref-Carte2]]&amp;"/"&amp;Tableau3[[#This Row],[ID-VOIE]]</f>
        <v>SDO0802/2</v>
      </c>
      <c r="AM892" s="73" t="str">
        <f>INDEX(Tableau2[Borne],MATCH(Tableau3[[#This Row],[ID-CARTEVOIE]],Tableau2[ID-CARTEVOIE],0))&amp;""</f>
        <v>2</v>
      </c>
      <c r="AN892" s="74" t="str">
        <f>Tableau3[[#This Row],[ID-API]]&amp;Tableau3[[#This Row],[ID-RACK]]&amp;Tableau3[[#This Row],[ID-SLOT]]&amp;Tableau3[[#This Row],[BORNE]]</f>
        <v>6132</v>
      </c>
      <c r="AO892" s="1"/>
    </row>
    <row r="893" spans="1:41" ht="20.100000000000001" customHeight="1" thickTop="1" thickBot="1">
      <c r="A893" s="68"/>
      <c r="B893" s="69" t="str">
        <f>IFERROR(INDEX(Tableau4[Date],MATCH($A893,Tableau4[EVO],0)),"")</f>
        <v/>
      </c>
      <c r="C893" s="68" t="str">
        <f>IFERROR(INDEX(Tableau4[Designation],MATCH($A893,Tableau4[EVO],0)),"")</f>
        <v/>
      </c>
      <c r="D893" s="68"/>
      <c r="E893" s="70">
        <v>8</v>
      </c>
      <c r="F893" s="71">
        <v>253</v>
      </c>
      <c r="G893" s="101" t="str">
        <f>INDEX(Tableau8[Att1],MATCH(Tableau3[[#This Row],[ID-INS]],Tableau8[ID],0))&amp;""</f>
        <v>V5</v>
      </c>
      <c r="H893" s="101" t="str">
        <f>INDEX(Tableau8[Att2],MATCH(Tableau3[[#This Row],[ID-INS]],Tableau8[ID],0))&amp;""</f>
        <v>P8</v>
      </c>
      <c r="I893" s="101" t="str">
        <f>INDEX(Tableau8[Att3],MATCH(Tableau3[[#This Row],[ID-INS]],Tableau8[ID],0))&amp;""</f>
        <v>Portail P8</v>
      </c>
      <c r="J893" s="101"/>
      <c r="K893" s="167" t="str">
        <f>INDEX(Tableau8[Nom du modele],MATCH(Tableau3[[#This Row],[ID-INS]],Tableau8[ID],0))&amp;""</f>
        <v>PortailBleuElec_1</v>
      </c>
      <c r="L893" s="155" t="s">
        <v>1681</v>
      </c>
      <c r="M893" s="99" t="str">
        <f>INDEX(Tableau5[Att2],MATCH(Tableau3[[#This Row],[ID-SIG]],Tableau5[ID],0))&amp;""</f>
        <v/>
      </c>
      <c r="N893" s="99" t="str">
        <f>INDEX(Tableau5[Att3],MATCH(Tableau3[[#This Row],[ID-SIG]],Tableau5[ID],0))&amp;""</f>
        <v/>
      </c>
      <c r="O893" s="99"/>
      <c r="P893" s="155" t="s">
        <v>1724</v>
      </c>
      <c r="Q893" s="99"/>
      <c r="R893" s="103" t="str">
        <f>Tableau3[[#This Row],[Description]]</f>
        <v>Portail P8 - Sortie Réserve 2</v>
      </c>
      <c r="S893" s="52"/>
      <c r="U893" s="87">
        <v>6</v>
      </c>
      <c r="V893" s="87">
        <v>1</v>
      </c>
      <c r="W893" s="87">
        <v>3</v>
      </c>
      <c r="X893" s="87">
        <v>3</v>
      </c>
      <c r="Y893" s="41"/>
      <c r="Z893" s="165" t="str">
        <f>INDEX(Tableau2[TS],MATCH(Tableau3[[#This Row],[ID-CARTEVOIE]],Tableau2[ID-CARTEVOIE],0))</f>
        <v>ST</v>
      </c>
      <c r="AA893" s="53" t="s">
        <v>213</v>
      </c>
      <c r="AB893" s="223" t="str">
        <f>IFERROR(INDEX(Tableau5[Reserve],MATCH(Tableau3[[#This Row],[ID-SIG]],Tableau5[ID],0))&amp;"","")</f>
        <v/>
      </c>
      <c r="AC893" s="21"/>
      <c r="AD893" s="108" t="str">
        <f>INDEX(Tableau7[Repere],MATCH(Tableau3[[#This Row],[ID-API]],Tableau7[ID-API],0))&amp;""</f>
        <v>A6</v>
      </c>
      <c r="AE893" s="108" t="str">
        <f>INDEX(Tableau1[Repere-Rack],MATCH(Tableau3[[#This Row],[ID-RACK]],Tableau1[ID-RACK],0))&amp;""</f>
        <v>R1</v>
      </c>
      <c r="AF893" s="108" t="str">
        <f>INDEX(Tableau1[Repere-Slot],MATCH(Tableau3[[#This Row],[ID-SLOT]],Tableau1[ID-SLOT],0))&amp;""</f>
        <v>S3</v>
      </c>
      <c r="AG893" s="108" t="str">
        <f>INDEX(Tableau2[Repere-Voie],MATCH(Tableau3[[#This Row],[ID-VOIE]],Tableau2[ID-Voie],0))&amp;""</f>
        <v>v3</v>
      </c>
      <c r="AH893" s="72" t="str">
        <f>Tableau3[[#This Row],[ID-API]]&amp; "." &amp;Tableau3[[#This Row],[ID-RACK]]&amp; "." &amp;Tableau3[[#This Row],[ID-SLOT]]</f>
        <v>6.1.3</v>
      </c>
      <c r="AI893" s="72" t="str">
        <f>INDEX(Tableau1[Ref-Carte],MATCH(Tableau3[[#This Row],[ID-RRS]],Tableau1[ID-RRS],0))</f>
        <v>SDO0802</v>
      </c>
      <c r="AJ893" s="72" t="str">
        <f t="array" ref="AJ893">IFERROR(INDEX(Tableau2[TS],MATCH(1,(Tableau2[Ref-Carte]=Tableau3[[#This Row],[Ref-Carte2]])*(Tableau2[ID-Voie]=Tableau3[[#This Row],[ID-VOIE]]),0)),"")</f>
        <v>ST</v>
      </c>
      <c r="AK893" s="72" t="str">
        <f>IFERROR(INDEX(Tableau2[TS],SUMPRODUCT((Tableau2[Ref-Carte]=Tableau3[[#This Row],[Ref-Carte2]])*(Tableau2[ID-Voie]=Tableau3[[#This Row],[ID-VOIE]])*ROW(Tableau2[TS]))-ROW(Tableau2[#Headers])),"")</f>
        <v>ST</v>
      </c>
      <c r="AL893" s="72" t="str">
        <f>Tableau3[[#This Row],[Ref-Carte2]]&amp;"/"&amp;Tableau3[[#This Row],[ID-VOIE]]</f>
        <v>SDO0802/3</v>
      </c>
      <c r="AM893" s="73" t="str">
        <f>INDEX(Tableau2[Borne],MATCH(Tableau3[[#This Row],[ID-CARTEVOIE]],Tableau2[ID-CARTEVOIE],0))&amp;""</f>
        <v>3</v>
      </c>
      <c r="AN893" s="74" t="str">
        <f>Tableau3[[#This Row],[ID-API]]&amp;Tableau3[[#This Row],[ID-RACK]]&amp;Tableau3[[#This Row],[ID-SLOT]]&amp;Tableau3[[#This Row],[BORNE]]</f>
        <v>6133</v>
      </c>
      <c r="AO893" s="1"/>
    </row>
    <row r="894" spans="1:41" ht="20.100000000000001" customHeight="1" thickTop="1" thickBot="1">
      <c r="A894" s="68"/>
      <c r="B894" s="69" t="str">
        <f>IFERROR(INDEX(Tableau4[Date],MATCH($A894,Tableau4[EVO],0)),"")</f>
        <v/>
      </c>
      <c r="C894" s="68" t="str">
        <f>IFERROR(INDEX(Tableau4[Designation],MATCH($A894,Tableau4[EVO],0)),"")</f>
        <v/>
      </c>
      <c r="D894" s="68"/>
      <c r="E894" s="70">
        <v>10</v>
      </c>
      <c r="F894" s="71">
        <v>157</v>
      </c>
      <c r="G894" s="101" t="str">
        <f>INDEX(Tableau8[Att1],MATCH(Tableau3[[#This Row],[ID-INS]],Tableau8[ID],0))&amp;""</f>
        <v>V5</v>
      </c>
      <c r="H894" s="101" t="str">
        <f>INDEX(Tableau8[Att2],MATCH(Tableau3[[#This Row],[ID-INS]],Tableau8[ID],0))&amp;""</f>
        <v>P10</v>
      </c>
      <c r="I894" s="101" t="str">
        <f>INDEX(Tableau8[Att3],MATCH(Tableau3[[#This Row],[ID-INS]],Tableau8[ID],0))&amp;""</f>
        <v>Portail P10</v>
      </c>
      <c r="J894" s="101"/>
      <c r="K894" s="167" t="str">
        <f>INDEX(Tableau8[Nom du modele],MATCH(Tableau3[[#This Row],[ID-INS]],Tableau8[ID],0))&amp;""</f>
        <v>PortailR2VElec</v>
      </c>
      <c r="L894" s="99" t="str">
        <f>INDEX(Tableau5[Att1],MATCH(Tableau3[[#This Row],[ID-SIG]],Tableau5[ID],0))&amp;""</f>
        <v>Vx_OuvGCmd</v>
      </c>
      <c r="M894" s="99" t="str">
        <f>INDEX(Tableau5[Att2],MATCH(Tableau3[[#This Row],[ID-SIG]],Tableau5[ID],0))&amp;""</f>
        <v/>
      </c>
      <c r="N894" s="99" t="str">
        <f>INDEX(Tableau5[Att3],MATCH(Tableau3[[#This Row],[ID-SIG]],Tableau5[ID],0))&amp;""</f>
        <v/>
      </c>
      <c r="O894" s="99"/>
      <c r="P894" s="99" t="str">
        <f>INDEX(Tableau5[Description],MATCH(Tableau3[[#This Row],[ID-SIG]],Tableau5[ID],0))</f>
        <v>Commande d'ouverture gâche</v>
      </c>
      <c r="Q894" s="99"/>
      <c r="R894" s="103" t="str">
        <f>Tableau3[[#This Row],[Description]]</f>
        <v>Commande d'ouverture gâche</v>
      </c>
      <c r="S894" s="83"/>
      <c r="U894" s="87">
        <v>6</v>
      </c>
      <c r="V894" s="87">
        <v>1</v>
      </c>
      <c r="W894" s="87">
        <v>3</v>
      </c>
      <c r="X894" s="87">
        <v>4</v>
      </c>
      <c r="Y894" s="41"/>
      <c r="Z894" s="165" t="str">
        <f>INDEX(Tableau2[TS],MATCH(Tableau3[[#This Row],[ID-CARTEVOIE]],Tableau2[ID-CARTEVOIE],0))</f>
        <v>ST</v>
      </c>
      <c r="AA894" s="53" t="s">
        <v>213</v>
      </c>
      <c r="AB894" s="223" t="str">
        <f>IFERROR(INDEX(Tableau5[Reserve],MATCH(Tableau3[[#This Row],[ID-SIG]],Tableau5[ID],0))&amp;"","")</f>
        <v/>
      </c>
      <c r="AC894" s="21"/>
      <c r="AD894" s="108" t="str">
        <f>INDEX(Tableau7[Repere],MATCH(Tableau3[[#This Row],[ID-API]],Tableau7[ID-API],0))&amp;""</f>
        <v>A6</v>
      </c>
      <c r="AE894" s="108" t="str">
        <f>INDEX(Tableau1[Repere-Rack],MATCH(Tableau3[[#This Row],[ID-RACK]],Tableau1[ID-RACK],0))&amp;""</f>
        <v>R1</v>
      </c>
      <c r="AF894" s="108" t="str">
        <f>INDEX(Tableau1[Repere-Slot],MATCH(Tableau3[[#This Row],[ID-SLOT]],Tableau1[ID-SLOT],0))&amp;""</f>
        <v>S3</v>
      </c>
      <c r="AG894" s="108" t="str">
        <f>INDEX(Tableau2[Repere-Voie],MATCH(Tableau3[[#This Row],[ID-VOIE]],Tableau2[ID-Voie],0))&amp;""</f>
        <v>v4</v>
      </c>
      <c r="AH894" s="72" t="str">
        <f>Tableau3[[#This Row],[ID-API]]&amp; "." &amp;Tableau3[[#This Row],[ID-RACK]]&amp; "." &amp;Tableau3[[#This Row],[ID-SLOT]]</f>
        <v>6.1.3</v>
      </c>
      <c r="AI894" s="72" t="str">
        <f>INDEX(Tableau1[Ref-Carte],MATCH(Tableau3[[#This Row],[ID-RRS]],Tableau1[ID-RRS],0))</f>
        <v>SDO0802</v>
      </c>
      <c r="AJ894" s="72" t="str">
        <f t="array" ref="AJ894">IFERROR(INDEX(Tableau2[TS],MATCH(1,(Tableau2[Ref-Carte]=Tableau3[[#This Row],[Ref-Carte2]])*(Tableau2[ID-Voie]=Tableau3[[#This Row],[ID-VOIE]]),0)),"")</f>
        <v>ST</v>
      </c>
      <c r="AK894" s="72" t="str">
        <f>IFERROR(INDEX(Tableau2[TS],SUMPRODUCT((Tableau2[Ref-Carte]=Tableau3[[#This Row],[Ref-Carte2]])*(Tableau2[ID-Voie]=Tableau3[[#This Row],[ID-VOIE]])*ROW(Tableau2[TS]))-ROW(Tableau2[#Headers])),"")</f>
        <v>ST</v>
      </c>
      <c r="AL894" s="72" t="str">
        <f>Tableau3[[#This Row],[Ref-Carte2]]&amp;"/"&amp;Tableau3[[#This Row],[ID-VOIE]]</f>
        <v>SDO0802/4</v>
      </c>
      <c r="AM894" s="73" t="str">
        <f>INDEX(Tableau2[Borne],MATCH(Tableau3[[#This Row],[ID-CARTEVOIE]],Tableau2[ID-CARTEVOIE],0))&amp;""</f>
        <v>4</v>
      </c>
      <c r="AN894" s="74" t="str">
        <f>Tableau3[[#This Row],[ID-API]]&amp;Tableau3[[#This Row],[ID-RACK]]&amp;Tableau3[[#This Row],[ID-SLOT]]&amp;Tableau3[[#This Row],[BORNE]]</f>
        <v>6134</v>
      </c>
      <c r="AO894" s="1"/>
    </row>
    <row r="895" spans="1:41" ht="20.100000000000001" customHeight="1" thickTop="1" thickBot="1">
      <c r="A895" s="68"/>
      <c r="B895" s="69" t="str">
        <f>IFERROR(INDEX(Tableau4[Date],MATCH($A895,Tableau4[EVO],0)),"")</f>
        <v/>
      </c>
      <c r="C895" s="68" t="str">
        <f>IFERROR(INDEX(Tableau4[Designation],MATCH($A895,Tableau4[EVO],0)),"")</f>
        <v/>
      </c>
      <c r="D895" s="68"/>
      <c r="E895" s="70">
        <v>10</v>
      </c>
      <c r="F895" s="71">
        <v>158</v>
      </c>
      <c r="G895" s="101" t="str">
        <f>INDEX(Tableau8[Att1],MATCH(Tableau3[[#This Row],[ID-INS]],Tableau8[ID],0))&amp;""</f>
        <v>V5</v>
      </c>
      <c r="H895" s="101" t="str">
        <f>INDEX(Tableau8[Att2],MATCH(Tableau3[[#This Row],[ID-INS]],Tableau8[ID],0))&amp;""</f>
        <v>P10</v>
      </c>
      <c r="I895" s="101" t="str">
        <f>INDEX(Tableau8[Att3],MATCH(Tableau3[[#This Row],[ID-INS]],Tableau8[ID],0))&amp;""</f>
        <v>Portail P10</v>
      </c>
      <c r="J895" s="101"/>
      <c r="K895" s="167" t="str">
        <f>INDEX(Tableau8[Nom du modele],MATCH(Tableau3[[#This Row],[ID-INS]],Tableau8[ID],0))&amp;""</f>
        <v>PortailR2VElec</v>
      </c>
      <c r="L895" s="99" t="str">
        <f>INDEX(Tableau5[Att1],MATCH(Tableau3[[#This Row],[ID-SIG]],Tableau5[ID],0))&amp;""</f>
        <v>Vx_FerGCmd</v>
      </c>
      <c r="M895" s="99" t="str">
        <f>INDEX(Tableau5[Att2],MATCH(Tableau3[[#This Row],[ID-SIG]],Tableau5[ID],0))&amp;""</f>
        <v/>
      </c>
      <c r="N895" s="99" t="str">
        <f>INDEX(Tableau5[Att3],MATCH(Tableau3[[#This Row],[ID-SIG]],Tableau5[ID],0))&amp;""</f>
        <v/>
      </c>
      <c r="O895" s="99"/>
      <c r="P895" s="99" t="str">
        <f>INDEX(Tableau5[Description],MATCH(Tableau3[[#This Row],[ID-SIG]],Tableau5[ID],0))</f>
        <v>Commande de fermeture gâche</v>
      </c>
      <c r="Q895" s="99"/>
      <c r="R895" s="103" t="str">
        <f>Tableau3[[#This Row],[Description]]</f>
        <v>Commande de fermeture gâche</v>
      </c>
      <c r="S895" s="83"/>
      <c r="U895" s="87">
        <v>6</v>
      </c>
      <c r="V895" s="87">
        <v>1</v>
      </c>
      <c r="W895" s="87">
        <v>3</v>
      </c>
      <c r="X895" s="87">
        <v>5</v>
      </c>
      <c r="Y895" s="41"/>
      <c r="Z895" s="165" t="str">
        <f>INDEX(Tableau2[TS],MATCH(Tableau3[[#This Row],[ID-CARTEVOIE]],Tableau2[ID-CARTEVOIE],0))</f>
        <v>ST</v>
      </c>
      <c r="AA895" s="53" t="s">
        <v>213</v>
      </c>
      <c r="AB895" s="223" t="str">
        <f>IFERROR(INDEX(Tableau5[Reserve],MATCH(Tableau3[[#This Row],[ID-SIG]],Tableau5[ID],0))&amp;"","")</f>
        <v/>
      </c>
      <c r="AC895" s="21"/>
      <c r="AD895" s="108" t="str">
        <f>INDEX(Tableau7[Repere],MATCH(Tableau3[[#This Row],[ID-API]],Tableau7[ID-API],0))&amp;""</f>
        <v>A6</v>
      </c>
      <c r="AE895" s="108" t="str">
        <f>INDEX(Tableau1[Repere-Rack],MATCH(Tableau3[[#This Row],[ID-RACK]],Tableau1[ID-RACK],0))&amp;""</f>
        <v>R1</v>
      </c>
      <c r="AF895" s="108" t="str">
        <f>INDEX(Tableau1[Repere-Slot],MATCH(Tableau3[[#This Row],[ID-SLOT]],Tableau1[ID-SLOT],0))&amp;""</f>
        <v>S3</v>
      </c>
      <c r="AG895" s="108" t="str">
        <f>INDEX(Tableau2[Repere-Voie],MATCH(Tableau3[[#This Row],[ID-VOIE]],Tableau2[ID-Voie],0))&amp;""</f>
        <v>v5</v>
      </c>
      <c r="AH895" s="72" t="str">
        <f>Tableau3[[#This Row],[ID-API]]&amp; "." &amp;Tableau3[[#This Row],[ID-RACK]]&amp; "." &amp;Tableau3[[#This Row],[ID-SLOT]]</f>
        <v>6.1.3</v>
      </c>
      <c r="AI895" s="72" t="str">
        <f>INDEX(Tableau1[Ref-Carte],MATCH(Tableau3[[#This Row],[ID-RRS]],Tableau1[ID-RRS],0))</f>
        <v>SDO0802</v>
      </c>
      <c r="AJ895" s="72" t="str">
        <f t="array" ref="AJ895">IFERROR(INDEX(Tableau2[TS],MATCH(1,(Tableau2[Ref-Carte]=Tableau3[[#This Row],[Ref-Carte2]])*(Tableau2[ID-Voie]=Tableau3[[#This Row],[ID-VOIE]]),0)),"")</f>
        <v>ST</v>
      </c>
      <c r="AK895" s="72" t="str">
        <f>IFERROR(INDEX(Tableau2[TS],SUMPRODUCT((Tableau2[Ref-Carte]=Tableau3[[#This Row],[Ref-Carte2]])*(Tableau2[ID-Voie]=Tableau3[[#This Row],[ID-VOIE]])*ROW(Tableau2[TS]))-ROW(Tableau2[#Headers])),"")</f>
        <v>ST</v>
      </c>
      <c r="AL895" s="72" t="str">
        <f>Tableau3[[#This Row],[Ref-Carte2]]&amp;"/"&amp;Tableau3[[#This Row],[ID-VOIE]]</f>
        <v>SDO0802/5</v>
      </c>
      <c r="AM895" s="73" t="str">
        <f>INDEX(Tableau2[Borne],MATCH(Tableau3[[#This Row],[ID-CARTEVOIE]],Tableau2[ID-CARTEVOIE],0))&amp;""</f>
        <v>5</v>
      </c>
      <c r="AN895" s="74" t="str">
        <f>Tableau3[[#This Row],[ID-API]]&amp;Tableau3[[#This Row],[ID-RACK]]&amp;Tableau3[[#This Row],[ID-SLOT]]&amp;Tableau3[[#This Row],[BORNE]]</f>
        <v>6135</v>
      </c>
      <c r="AO895" s="1"/>
    </row>
    <row r="896" spans="1:41" ht="20.100000000000001" customHeight="1" thickTop="1" thickBot="1">
      <c r="A896" s="68"/>
      <c r="B896" s="69" t="str">
        <f>IFERROR(INDEX(Tableau4[Date],MATCH($A896,Tableau4[EVO],0)),"")</f>
        <v/>
      </c>
      <c r="C896" s="68" t="str">
        <f>IFERROR(INDEX(Tableau4[Designation],MATCH($A896,Tableau4[EVO],0)),"")</f>
        <v/>
      </c>
      <c r="D896" s="68"/>
      <c r="E896" s="70">
        <v>10</v>
      </c>
      <c r="F896" s="71">
        <v>159</v>
      </c>
      <c r="G896" s="101" t="str">
        <f>INDEX(Tableau8[Att1],MATCH(Tableau3[[#This Row],[ID-INS]],Tableau8[ID],0))&amp;""</f>
        <v>V5</v>
      </c>
      <c r="H896" s="101" t="str">
        <f>INDEX(Tableau8[Att2],MATCH(Tableau3[[#This Row],[ID-INS]],Tableau8[ID],0))&amp;""</f>
        <v>P10</v>
      </c>
      <c r="I896" s="101" t="str">
        <f>INDEX(Tableau8[Att3],MATCH(Tableau3[[#This Row],[ID-INS]],Tableau8[ID],0))&amp;""</f>
        <v>Portail P10</v>
      </c>
      <c r="J896" s="101"/>
      <c r="K896" s="167" t="str">
        <f>INDEX(Tableau8[Nom du modele],MATCH(Tableau3[[#This Row],[ID-INS]],Tableau8[ID],0))&amp;""</f>
        <v>PortailR2VElec</v>
      </c>
      <c r="L896" s="155" t="s">
        <v>1685</v>
      </c>
      <c r="M896" s="99" t="str">
        <f>INDEX(Tableau5[Att2],MATCH(Tableau3[[#This Row],[ID-SIG]],Tableau5[ID],0))&amp;""</f>
        <v/>
      </c>
      <c r="N896" s="99" t="str">
        <f>INDEX(Tableau5[Att3],MATCH(Tableau3[[#This Row],[ID-SIG]],Tableau5[ID],0))&amp;""</f>
        <v/>
      </c>
      <c r="O896" s="99"/>
      <c r="P896" s="155" t="s">
        <v>1725</v>
      </c>
      <c r="Q896" s="99"/>
      <c r="R896" s="103" t="str">
        <f>Tableau3[[#This Row],[Description]]</f>
        <v>Portail P10 - Sortie Réserve 1</v>
      </c>
      <c r="S896" s="83"/>
      <c r="U896" s="87">
        <v>6</v>
      </c>
      <c r="V896" s="87">
        <v>1</v>
      </c>
      <c r="W896" s="87">
        <v>3</v>
      </c>
      <c r="X896" s="87">
        <v>6</v>
      </c>
      <c r="Y896" s="41"/>
      <c r="Z896" s="165" t="str">
        <f>INDEX(Tableau2[TS],MATCH(Tableau3[[#This Row],[ID-CARTEVOIE]],Tableau2[ID-CARTEVOIE],0))</f>
        <v>ST</v>
      </c>
      <c r="AA896" s="53" t="s">
        <v>213</v>
      </c>
      <c r="AB896" s="223" t="str">
        <f>IFERROR(INDEX(Tableau5[Reserve],MATCH(Tableau3[[#This Row],[ID-SIG]],Tableau5[ID],0))&amp;"","")</f>
        <v/>
      </c>
      <c r="AC896" s="21"/>
      <c r="AD896" s="108" t="str">
        <f>INDEX(Tableau7[Repere],MATCH(Tableau3[[#This Row],[ID-API]],Tableau7[ID-API],0))&amp;""</f>
        <v>A6</v>
      </c>
      <c r="AE896" s="108" t="str">
        <f>INDEX(Tableau1[Repere-Rack],MATCH(Tableau3[[#This Row],[ID-RACK]],Tableau1[ID-RACK],0))&amp;""</f>
        <v>R1</v>
      </c>
      <c r="AF896" s="108" t="str">
        <f>INDEX(Tableau1[Repere-Slot],MATCH(Tableau3[[#This Row],[ID-SLOT]],Tableau1[ID-SLOT],0))&amp;""</f>
        <v>S3</v>
      </c>
      <c r="AG896" s="108" t="str">
        <f>INDEX(Tableau2[Repere-Voie],MATCH(Tableau3[[#This Row],[ID-VOIE]],Tableau2[ID-Voie],0))&amp;""</f>
        <v>v6</v>
      </c>
      <c r="AH896" s="72" t="str">
        <f>Tableau3[[#This Row],[ID-API]]&amp; "." &amp;Tableau3[[#This Row],[ID-RACK]]&amp; "." &amp;Tableau3[[#This Row],[ID-SLOT]]</f>
        <v>6.1.3</v>
      </c>
      <c r="AI896" s="72" t="str">
        <f>INDEX(Tableau1[Ref-Carte],MATCH(Tableau3[[#This Row],[ID-RRS]],Tableau1[ID-RRS],0))</f>
        <v>SDO0802</v>
      </c>
      <c r="AJ896" s="72" t="str">
        <f t="array" ref="AJ896">IFERROR(INDEX(Tableau2[TS],MATCH(1,(Tableau2[Ref-Carte]=Tableau3[[#This Row],[Ref-Carte2]])*(Tableau2[ID-Voie]=Tableau3[[#This Row],[ID-VOIE]]),0)),"")</f>
        <v>ST</v>
      </c>
      <c r="AK896" s="72" t="str">
        <f>IFERROR(INDEX(Tableau2[TS],SUMPRODUCT((Tableau2[Ref-Carte]=Tableau3[[#This Row],[Ref-Carte2]])*(Tableau2[ID-Voie]=Tableau3[[#This Row],[ID-VOIE]])*ROW(Tableau2[TS]))-ROW(Tableau2[#Headers])),"")</f>
        <v>ST</v>
      </c>
      <c r="AL896" s="72" t="str">
        <f>Tableau3[[#This Row],[Ref-Carte2]]&amp;"/"&amp;Tableau3[[#This Row],[ID-VOIE]]</f>
        <v>SDO0802/6</v>
      </c>
      <c r="AM896" s="73" t="str">
        <f>INDEX(Tableau2[Borne],MATCH(Tableau3[[#This Row],[ID-CARTEVOIE]],Tableau2[ID-CARTEVOIE],0))&amp;""</f>
        <v>6</v>
      </c>
      <c r="AN896" s="74" t="str">
        <f>Tableau3[[#This Row],[ID-API]]&amp;Tableau3[[#This Row],[ID-RACK]]&amp;Tableau3[[#This Row],[ID-SLOT]]&amp;Tableau3[[#This Row],[BORNE]]</f>
        <v>6136</v>
      </c>
      <c r="AO896" s="1"/>
    </row>
    <row r="897" spans="1:41" ht="20.100000000000001" customHeight="1" thickTop="1" thickBot="1">
      <c r="A897" s="68"/>
      <c r="B897" s="69" t="str">
        <f>IFERROR(INDEX(Tableau4[Date],MATCH($A897,Tableau4[EVO],0)),"")</f>
        <v/>
      </c>
      <c r="C897" s="68" t="str">
        <f>IFERROR(INDEX(Tableau4[Designation],MATCH($A897,Tableau4[EVO],0)),"")</f>
        <v/>
      </c>
      <c r="D897" s="68"/>
      <c r="E897" s="70">
        <v>10</v>
      </c>
      <c r="F897" s="71">
        <v>169</v>
      </c>
      <c r="G897" s="101" t="str">
        <f>INDEX(Tableau8[Att1],MATCH(Tableau3[[#This Row],[ID-INS]],Tableau8[ID],0))&amp;""</f>
        <v>V5</v>
      </c>
      <c r="H897" s="101" t="str">
        <f>INDEX(Tableau8[Att2],MATCH(Tableau3[[#This Row],[ID-INS]],Tableau8[ID],0))&amp;""</f>
        <v>P10</v>
      </c>
      <c r="I897" s="101" t="str">
        <f>INDEX(Tableau8[Att3],MATCH(Tableau3[[#This Row],[ID-INS]],Tableau8[ID],0))&amp;""</f>
        <v>Portail P10</v>
      </c>
      <c r="J897" s="101"/>
      <c r="K897" s="167" t="str">
        <f>INDEX(Tableau8[Nom du modele],MATCH(Tableau3[[#This Row],[ID-INS]],Tableau8[ID],0))&amp;""</f>
        <v>PortailR2VElec</v>
      </c>
      <c r="L897" s="99" t="str">
        <f>INDEX(Tableau5[Att1],MATCH(Tableau3[[#This Row],[ID-SIG]],Tableau5[ID],0))&amp;""</f>
        <v>V1_StopCmd</v>
      </c>
      <c r="M897" s="99" t="str">
        <f>INDEX(Tableau5[Att2],MATCH(Tableau3[[#This Row],[ID-SIG]],Tableau5[ID],0))&amp;""</f>
        <v/>
      </c>
      <c r="N897" s="99" t="str">
        <f>INDEX(Tableau5[Att3],MATCH(Tableau3[[#This Row],[ID-SIG]],Tableau5[ID],0))&amp;""</f>
        <v/>
      </c>
      <c r="O897" s="99"/>
      <c r="P897" s="99" t="str">
        <f>INDEX(Tableau5[Description],MATCH(Tableau3[[#This Row],[ID-SIG]],Tableau5[ID],0))</f>
        <v>Commande stop vantail 1</v>
      </c>
      <c r="Q897" s="99"/>
      <c r="R897" s="103" t="str">
        <f>Tableau3[[#This Row],[Description]]</f>
        <v>Commande stop vantail 1</v>
      </c>
      <c r="S897" s="83"/>
      <c r="U897" s="87">
        <v>6</v>
      </c>
      <c r="V897" s="87">
        <v>1</v>
      </c>
      <c r="W897" s="87">
        <v>3</v>
      </c>
      <c r="X897" s="87">
        <v>7</v>
      </c>
      <c r="Y897" s="41"/>
      <c r="Z897" s="165" t="str">
        <f>INDEX(Tableau2[TS],MATCH(Tableau3[[#This Row],[ID-CARTEVOIE]],Tableau2[ID-CARTEVOIE],0))</f>
        <v>ST</v>
      </c>
      <c r="AA897" s="53" t="s">
        <v>213</v>
      </c>
      <c r="AB897" s="223" t="str">
        <f>IFERROR(INDEX(Tableau5[Reserve],MATCH(Tableau3[[#This Row],[ID-SIG]],Tableau5[ID],0))&amp;"","")</f>
        <v/>
      </c>
      <c r="AC897" s="21"/>
      <c r="AD897" s="108" t="str">
        <f>INDEX(Tableau7[Repere],MATCH(Tableau3[[#This Row],[ID-API]],Tableau7[ID-API],0))&amp;""</f>
        <v>A6</v>
      </c>
      <c r="AE897" s="108" t="str">
        <f>INDEX(Tableau1[Repere-Rack],MATCH(Tableau3[[#This Row],[ID-RACK]],Tableau1[ID-RACK],0))&amp;""</f>
        <v>R1</v>
      </c>
      <c r="AF897" s="108" t="str">
        <f>INDEX(Tableau1[Repere-Slot],MATCH(Tableau3[[#This Row],[ID-SLOT]],Tableau1[ID-SLOT],0))&amp;""</f>
        <v>S3</v>
      </c>
      <c r="AG897" s="108" t="str">
        <f>INDEX(Tableau2[Repere-Voie],MATCH(Tableau3[[#This Row],[ID-VOIE]],Tableau2[ID-Voie],0))&amp;""</f>
        <v>v7</v>
      </c>
      <c r="AH897" s="72" t="str">
        <f>Tableau3[[#This Row],[ID-API]]&amp; "." &amp;Tableau3[[#This Row],[ID-RACK]]&amp; "." &amp;Tableau3[[#This Row],[ID-SLOT]]</f>
        <v>6.1.3</v>
      </c>
      <c r="AI897" s="72" t="str">
        <f>INDEX(Tableau1[Ref-Carte],MATCH(Tableau3[[#This Row],[ID-RRS]],Tableau1[ID-RRS],0))</f>
        <v>SDO0802</v>
      </c>
      <c r="AJ897" s="72" t="str">
        <f t="array" ref="AJ897">IFERROR(INDEX(Tableau2[TS],MATCH(1,(Tableau2[Ref-Carte]=Tableau3[[#This Row],[Ref-Carte2]])*(Tableau2[ID-Voie]=Tableau3[[#This Row],[ID-VOIE]]),0)),"")</f>
        <v>ST</v>
      </c>
      <c r="AK897" s="72" t="str">
        <f>IFERROR(INDEX(Tableau2[TS],SUMPRODUCT((Tableau2[Ref-Carte]=Tableau3[[#This Row],[Ref-Carte2]])*(Tableau2[ID-Voie]=Tableau3[[#This Row],[ID-VOIE]])*ROW(Tableau2[TS]))-ROW(Tableau2[#Headers])),"")</f>
        <v>ST</v>
      </c>
      <c r="AL897" s="72" t="str">
        <f>Tableau3[[#This Row],[Ref-Carte2]]&amp;"/"&amp;Tableau3[[#This Row],[ID-VOIE]]</f>
        <v>SDO0802/7</v>
      </c>
      <c r="AM897" s="73" t="str">
        <f>INDEX(Tableau2[Borne],MATCH(Tableau3[[#This Row],[ID-CARTEVOIE]],Tableau2[ID-CARTEVOIE],0))&amp;""</f>
        <v>7</v>
      </c>
      <c r="AN897" s="74" t="str">
        <f>Tableau3[[#This Row],[ID-API]]&amp;Tableau3[[#This Row],[ID-RACK]]&amp;Tableau3[[#This Row],[ID-SLOT]]&amp;Tableau3[[#This Row],[BORNE]]</f>
        <v>6137</v>
      </c>
      <c r="AO897" s="1"/>
    </row>
    <row r="898" spans="1:41" ht="20.100000000000001" customHeight="1" thickTop="1" thickBot="1">
      <c r="A898" s="68"/>
      <c r="B898" s="69" t="str">
        <f>IFERROR(INDEX(Tableau4[Date],MATCH($A898,Tableau4[EVO],0)),"")</f>
        <v/>
      </c>
      <c r="C898" s="68" t="str">
        <f>IFERROR(INDEX(Tableau4[Designation],MATCH($A898,Tableau4[EVO],0)),"")</f>
        <v/>
      </c>
      <c r="D898" s="68"/>
      <c r="E898" s="70">
        <v>10</v>
      </c>
      <c r="F898" s="71">
        <v>170</v>
      </c>
      <c r="G898" s="101" t="str">
        <f>INDEX(Tableau8[Att1],MATCH(Tableau3[[#This Row],[ID-INS]],Tableau8[ID],0))&amp;""</f>
        <v>V5</v>
      </c>
      <c r="H898" s="101" t="str">
        <f>INDEX(Tableau8[Att2],MATCH(Tableau3[[#This Row],[ID-INS]],Tableau8[ID],0))&amp;""</f>
        <v>P10</v>
      </c>
      <c r="I898" s="101" t="str">
        <f>INDEX(Tableau8[Att3],MATCH(Tableau3[[#This Row],[ID-INS]],Tableau8[ID],0))&amp;""</f>
        <v>Portail P10</v>
      </c>
      <c r="J898" s="101"/>
      <c r="K898" s="167" t="str">
        <f>INDEX(Tableau8[Nom du modele],MATCH(Tableau3[[#This Row],[ID-INS]],Tableau8[ID],0))&amp;""</f>
        <v>PortailR2VElec</v>
      </c>
      <c r="L898" s="99" t="str">
        <f>INDEX(Tableau5[Att1],MATCH(Tableau3[[#This Row],[ID-SIG]],Tableau5[ID],0))&amp;""</f>
        <v>Réserve</v>
      </c>
      <c r="M898" s="99" t="str">
        <f>INDEX(Tableau5[Att2],MATCH(Tableau3[[#This Row],[ID-SIG]],Tableau5[ID],0))&amp;""</f>
        <v/>
      </c>
      <c r="N898" s="99" t="str">
        <f>INDEX(Tableau5[Att3],MATCH(Tableau3[[#This Row],[ID-SIG]],Tableau5[ID],0))&amp;""</f>
        <v/>
      </c>
      <c r="O898" s="99"/>
      <c r="P898" s="99" t="str">
        <f>INDEX(Tableau5[Description],MATCH(Tableau3[[#This Row],[ID-SIG]],Tableau5[ID],0))</f>
        <v>Réserve</v>
      </c>
      <c r="Q898" s="99"/>
      <c r="R898" s="103" t="str">
        <f>Tableau3[[#This Row],[Description]]</f>
        <v>Réserve</v>
      </c>
      <c r="S898" s="83"/>
      <c r="U898" s="87">
        <v>6</v>
      </c>
      <c r="V898" s="87">
        <v>1</v>
      </c>
      <c r="W898" s="87">
        <v>4</v>
      </c>
      <c r="X898" s="87">
        <v>0</v>
      </c>
      <c r="Y898" s="41"/>
      <c r="Z898" s="165" t="str">
        <f>INDEX(Tableau2[TS],MATCH(Tableau3[[#This Row],[ID-CARTEVOIE]],Tableau2[ID-CARTEVOIE],0))</f>
        <v>ST</v>
      </c>
      <c r="AA898" s="53" t="s">
        <v>213</v>
      </c>
      <c r="AB898" s="223" t="str">
        <f>IFERROR(INDEX(Tableau5[Reserve],MATCH(Tableau3[[#This Row],[ID-SIG]],Tableau5[ID],0))&amp;"","")</f>
        <v/>
      </c>
      <c r="AC898" s="21"/>
      <c r="AD898" s="108" t="str">
        <f>INDEX(Tableau7[Repere],MATCH(Tableau3[[#This Row],[ID-API]],Tableau7[ID-API],0))&amp;""</f>
        <v>A6</v>
      </c>
      <c r="AE898" s="108" t="str">
        <f>INDEX(Tableau1[Repere-Rack],MATCH(Tableau3[[#This Row],[ID-RACK]],Tableau1[ID-RACK],0))&amp;""</f>
        <v>R1</v>
      </c>
      <c r="AF898" s="108" t="str">
        <f>INDEX(Tableau1[Repere-Slot],MATCH(Tableau3[[#This Row],[ID-SLOT]],Tableau1[ID-SLOT],0))&amp;""</f>
        <v>S4</v>
      </c>
      <c r="AG898" s="108" t="str">
        <f>INDEX(Tableau2[Repere-Voie],MATCH(Tableau3[[#This Row],[ID-VOIE]],Tableau2[ID-Voie],0))&amp;""</f>
        <v>v0</v>
      </c>
      <c r="AH898" s="72" t="str">
        <f>Tableau3[[#This Row],[ID-API]]&amp; "." &amp;Tableau3[[#This Row],[ID-RACK]]&amp; "." &amp;Tableau3[[#This Row],[ID-SLOT]]</f>
        <v>6.1.4</v>
      </c>
      <c r="AI898" s="72" t="str">
        <f>INDEX(Tableau1[Ref-Carte],MATCH(Tableau3[[#This Row],[ID-RRS]],Tableau1[ID-RRS],0))</f>
        <v>SDO0802</v>
      </c>
      <c r="AJ898" s="72" t="str">
        <f t="array" ref="AJ898">IFERROR(INDEX(Tableau2[TS],MATCH(1,(Tableau2[Ref-Carte]=Tableau3[[#This Row],[Ref-Carte2]])*(Tableau2[ID-Voie]=Tableau3[[#This Row],[ID-VOIE]]),0)),"")</f>
        <v>ST</v>
      </c>
      <c r="AK898" s="72" t="str">
        <f>IFERROR(INDEX(Tableau2[TS],SUMPRODUCT((Tableau2[Ref-Carte]=Tableau3[[#This Row],[Ref-Carte2]])*(Tableau2[ID-Voie]=Tableau3[[#This Row],[ID-VOIE]])*ROW(Tableau2[TS]))-ROW(Tableau2[#Headers])),"")</f>
        <v>ST</v>
      </c>
      <c r="AL898" s="72" t="str">
        <f>Tableau3[[#This Row],[Ref-Carte2]]&amp;"/"&amp;Tableau3[[#This Row],[ID-VOIE]]</f>
        <v>SDO0802/0</v>
      </c>
      <c r="AM898" s="73" t="str">
        <f>INDEX(Tableau2[Borne],MATCH(Tableau3[[#This Row],[ID-CARTEVOIE]],Tableau2[ID-CARTEVOIE],0))&amp;""</f>
        <v>0</v>
      </c>
      <c r="AN898" s="74" t="str">
        <f>Tableau3[[#This Row],[ID-API]]&amp;Tableau3[[#This Row],[ID-RACK]]&amp;Tableau3[[#This Row],[ID-SLOT]]&amp;Tableau3[[#This Row],[BORNE]]</f>
        <v>6140</v>
      </c>
      <c r="AO898" s="1"/>
    </row>
    <row r="899" spans="1:41" ht="20.100000000000001" customHeight="1" thickTop="1" thickBot="1">
      <c r="A899" s="68"/>
      <c r="B899" s="69" t="str">
        <f>IFERROR(INDEX(Tableau4[Date],MATCH($A899,Tableau4[EVO],0)),"")</f>
        <v/>
      </c>
      <c r="C899" s="68" t="str">
        <f>IFERROR(INDEX(Tableau4[Designation],MATCH($A899,Tableau4[EVO],0)),"")</f>
        <v/>
      </c>
      <c r="D899" s="68"/>
      <c r="E899" s="70">
        <v>10</v>
      </c>
      <c r="F899" s="71">
        <v>171</v>
      </c>
      <c r="G899" s="101" t="str">
        <f>INDEX(Tableau8[Att1],MATCH(Tableau3[[#This Row],[ID-INS]],Tableau8[ID],0))&amp;""</f>
        <v>V5</v>
      </c>
      <c r="H899" s="101" t="str">
        <f>INDEX(Tableau8[Att2],MATCH(Tableau3[[#This Row],[ID-INS]],Tableau8[ID],0))&amp;""</f>
        <v>P10</v>
      </c>
      <c r="I899" s="101" t="str">
        <f>INDEX(Tableau8[Att3],MATCH(Tableau3[[#This Row],[ID-INS]],Tableau8[ID],0))&amp;""</f>
        <v>Portail P10</v>
      </c>
      <c r="J899" s="101"/>
      <c r="K899" s="167" t="str">
        <f>INDEX(Tableau8[Nom du modele],MATCH(Tableau3[[#This Row],[ID-INS]],Tableau8[ID],0))&amp;""</f>
        <v>PortailR2VElec</v>
      </c>
      <c r="L899" s="99" t="str">
        <f>INDEX(Tableau5[Att1],MATCH(Tableau3[[#This Row],[ID-SIG]],Tableau5[ID],0))&amp;""</f>
        <v>V1_OuvCmd</v>
      </c>
      <c r="M899" s="99" t="str">
        <f>INDEX(Tableau5[Att2],MATCH(Tableau3[[#This Row],[ID-SIG]],Tableau5[ID],0))&amp;""</f>
        <v/>
      </c>
      <c r="N899" s="99" t="str">
        <f>INDEX(Tableau5[Att3],MATCH(Tableau3[[#This Row],[ID-SIG]],Tableau5[ID],0))&amp;""</f>
        <v/>
      </c>
      <c r="O899" s="99"/>
      <c r="P899" s="99" t="str">
        <f>INDEX(Tableau5[Description],MATCH(Tableau3[[#This Row],[ID-SIG]],Tableau5[ID],0))</f>
        <v>Commande d'ouverture du vantail 1</v>
      </c>
      <c r="Q899" s="99"/>
      <c r="R899" s="103" t="str">
        <f>Tableau3[[#This Row],[Description]]</f>
        <v>Commande d'ouverture du vantail 1</v>
      </c>
      <c r="S899" s="83"/>
      <c r="U899" s="87">
        <v>6</v>
      </c>
      <c r="V899" s="87">
        <v>1</v>
      </c>
      <c r="W899" s="87">
        <v>4</v>
      </c>
      <c r="X899" s="87">
        <v>1</v>
      </c>
      <c r="Y899" s="41"/>
      <c r="Z899" s="165" t="str">
        <f>INDEX(Tableau2[TS],MATCH(Tableau3[[#This Row],[ID-CARTEVOIE]],Tableau2[ID-CARTEVOIE],0))</f>
        <v>ST</v>
      </c>
      <c r="AA899" s="53" t="s">
        <v>213</v>
      </c>
      <c r="AB899" s="223" t="str">
        <f>IFERROR(INDEX(Tableau5[Reserve],MATCH(Tableau3[[#This Row],[ID-SIG]],Tableau5[ID],0))&amp;"","")</f>
        <v/>
      </c>
      <c r="AC899" s="21"/>
      <c r="AD899" s="108" t="str">
        <f>INDEX(Tableau7[Repere],MATCH(Tableau3[[#This Row],[ID-API]],Tableau7[ID-API],0))&amp;""</f>
        <v>A6</v>
      </c>
      <c r="AE899" s="108" t="str">
        <f>INDEX(Tableau1[Repere-Rack],MATCH(Tableau3[[#This Row],[ID-RACK]],Tableau1[ID-RACK],0))&amp;""</f>
        <v>R1</v>
      </c>
      <c r="AF899" s="108" t="str">
        <f>INDEX(Tableau1[Repere-Slot],MATCH(Tableau3[[#This Row],[ID-SLOT]],Tableau1[ID-SLOT],0))&amp;""</f>
        <v>S4</v>
      </c>
      <c r="AG899" s="108" t="str">
        <f>INDEX(Tableau2[Repere-Voie],MATCH(Tableau3[[#This Row],[ID-VOIE]],Tableau2[ID-Voie],0))&amp;""</f>
        <v>v1</v>
      </c>
      <c r="AH899" s="72" t="str">
        <f>Tableau3[[#This Row],[ID-API]]&amp; "." &amp;Tableau3[[#This Row],[ID-RACK]]&amp; "." &amp;Tableau3[[#This Row],[ID-SLOT]]</f>
        <v>6.1.4</v>
      </c>
      <c r="AI899" s="72" t="str">
        <f>INDEX(Tableau1[Ref-Carte],MATCH(Tableau3[[#This Row],[ID-RRS]],Tableau1[ID-RRS],0))</f>
        <v>SDO0802</v>
      </c>
      <c r="AJ899" s="72" t="str">
        <f t="array" ref="AJ899">IFERROR(INDEX(Tableau2[TS],MATCH(1,(Tableau2[Ref-Carte]=Tableau3[[#This Row],[Ref-Carte2]])*(Tableau2[ID-Voie]=Tableau3[[#This Row],[ID-VOIE]]),0)),"")</f>
        <v>ST</v>
      </c>
      <c r="AK899" s="72" t="str">
        <f>IFERROR(INDEX(Tableau2[TS],SUMPRODUCT((Tableau2[Ref-Carte]=Tableau3[[#This Row],[Ref-Carte2]])*(Tableau2[ID-Voie]=Tableau3[[#This Row],[ID-VOIE]])*ROW(Tableau2[TS]))-ROW(Tableau2[#Headers])),"")</f>
        <v>ST</v>
      </c>
      <c r="AL899" s="72" t="str">
        <f>Tableau3[[#This Row],[Ref-Carte2]]&amp;"/"&amp;Tableau3[[#This Row],[ID-VOIE]]</f>
        <v>SDO0802/1</v>
      </c>
      <c r="AM899" s="73" t="str">
        <f>INDEX(Tableau2[Borne],MATCH(Tableau3[[#This Row],[ID-CARTEVOIE]],Tableau2[ID-CARTEVOIE],0))&amp;""</f>
        <v>1</v>
      </c>
      <c r="AN899" s="74" t="str">
        <f>Tableau3[[#This Row],[ID-API]]&amp;Tableau3[[#This Row],[ID-RACK]]&amp;Tableau3[[#This Row],[ID-SLOT]]&amp;Tableau3[[#This Row],[BORNE]]</f>
        <v>6141</v>
      </c>
      <c r="AO899" s="1"/>
    </row>
    <row r="900" spans="1:41" ht="20.100000000000001" customHeight="1" thickTop="1" thickBot="1">
      <c r="A900" s="68"/>
      <c r="B900" s="69" t="str">
        <f>IFERROR(INDEX(Tableau4[Date],MATCH($A900,Tableau4[EVO],0)),"")</f>
        <v/>
      </c>
      <c r="C900" s="68" t="str">
        <f>IFERROR(INDEX(Tableau4[Designation],MATCH($A900,Tableau4[EVO],0)),"")</f>
        <v/>
      </c>
      <c r="D900" s="68"/>
      <c r="E900" s="70">
        <v>10</v>
      </c>
      <c r="F900" s="71">
        <v>172</v>
      </c>
      <c r="G900" s="101" t="str">
        <f>INDEX(Tableau8[Att1],MATCH(Tableau3[[#This Row],[ID-INS]],Tableau8[ID],0))&amp;""</f>
        <v>V5</v>
      </c>
      <c r="H900" s="101" t="str">
        <f>INDEX(Tableau8[Att2],MATCH(Tableau3[[#This Row],[ID-INS]],Tableau8[ID],0))&amp;""</f>
        <v>P10</v>
      </c>
      <c r="I900" s="101" t="str">
        <f>INDEX(Tableau8[Att3],MATCH(Tableau3[[#This Row],[ID-INS]],Tableau8[ID],0))&amp;""</f>
        <v>Portail P10</v>
      </c>
      <c r="J900" s="101"/>
      <c r="K900" s="167" t="str">
        <f>INDEX(Tableau8[Nom du modele],MATCH(Tableau3[[#This Row],[ID-INS]],Tableau8[ID],0))&amp;""</f>
        <v>PortailR2VElec</v>
      </c>
      <c r="L900" s="99" t="str">
        <f>INDEX(Tableau5[Att1],MATCH(Tableau3[[#This Row],[ID-SIG]],Tableau5[ID],0))&amp;""</f>
        <v>Réserve</v>
      </c>
      <c r="M900" s="99" t="str">
        <f>INDEX(Tableau5[Att2],MATCH(Tableau3[[#This Row],[ID-SIG]],Tableau5[ID],0))&amp;""</f>
        <v/>
      </c>
      <c r="N900" s="99" t="str">
        <f>INDEX(Tableau5[Att3],MATCH(Tableau3[[#This Row],[ID-SIG]],Tableau5[ID],0))&amp;""</f>
        <v/>
      </c>
      <c r="O900" s="99"/>
      <c r="P900" s="99" t="str">
        <f>INDEX(Tableau5[Description],MATCH(Tableau3[[#This Row],[ID-SIG]],Tableau5[ID],0))</f>
        <v>Réserve</v>
      </c>
      <c r="Q900" s="99"/>
      <c r="R900" s="103" t="str">
        <f>Tableau3[[#This Row],[Description]]</f>
        <v>Réserve</v>
      </c>
      <c r="S900" s="83"/>
      <c r="U900" s="87">
        <v>6</v>
      </c>
      <c r="V900" s="87">
        <v>1</v>
      </c>
      <c r="W900" s="87">
        <v>4</v>
      </c>
      <c r="X900" s="87">
        <v>2</v>
      </c>
      <c r="Y900" s="41"/>
      <c r="Z900" s="165" t="str">
        <f>INDEX(Tableau2[TS],MATCH(Tableau3[[#This Row],[ID-CARTEVOIE]],Tableau2[ID-CARTEVOIE],0))</f>
        <v>ST</v>
      </c>
      <c r="AA900" s="53" t="s">
        <v>213</v>
      </c>
      <c r="AB900" s="223" t="str">
        <f>IFERROR(INDEX(Tableau5[Reserve],MATCH(Tableau3[[#This Row],[ID-SIG]],Tableau5[ID],0))&amp;"","")</f>
        <v/>
      </c>
      <c r="AC900" s="21"/>
      <c r="AD900" s="108" t="str">
        <f>INDEX(Tableau7[Repere],MATCH(Tableau3[[#This Row],[ID-API]],Tableau7[ID-API],0))&amp;""</f>
        <v>A6</v>
      </c>
      <c r="AE900" s="108" t="str">
        <f>INDEX(Tableau1[Repere-Rack],MATCH(Tableau3[[#This Row],[ID-RACK]],Tableau1[ID-RACK],0))&amp;""</f>
        <v>R1</v>
      </c>
      <c r="AF900" s="108" t="str">
        <f>INDEX(Tableau1[Repere-Slot],MATCH(Tableau3[[#This Row],[ID-SLOT]],Tableau1[ID-SLOT],0))&amp;""</f>
        <v>S4</v>
      </c>
      <c r="AG900" s="108" t="str">
        <f>INDEX(Tableau2[Repere-Voie],MATCH(Tableau3[[#This Row],[ID-VOIE]],Tableau2[ID-Voie],0))&amp;""</f>
        <v>v2</v>
      </c>
      <c r="AH900" s="72" t="str">
        <f>Tableau3[[#This Row],[ID-API]]&amp; "." &amp;Tableau3[[#This Row],[ID-RACK]]&amp; "." &amp;Tableau3[[#This Row],[ID-SLOT]]</f>
        <v>6.1.4</v>
      </c>
      <c r="AI900" s="72" t="str">
        <f>INDEX(Tableau1[Ref-Carte],MATCH(Tableau3[[#This Row],[ID-RRS]],Tableau1[ID-RRS],0))</f>
        <v>SDO0802</v>
      </c>
      <c r="AJ900" s="72" t="str">
        <f t="array" ref="AJ900">IFERROR(INDEX(Tableau2[TS],MATCH(1,(Tableau2[Ref-Carte]=Tableau3[[#This Row],[Ref-Carte2]])*(Tableau2[ID-Voie]=Tableau3[[#This Row],[ID-VOIE]]),0)),"")</f>
        <v>ST</v>
      </c>
      <c r="AK900" s="72" t="str">
        <f>IFERROR(INDEX(Tableau2[TS],SUMPRODUCT((Tableau2[Ref-Carte]=Tableau3[[#This Row],[Ref-Carte2]])*(Tableau2[ID-Voie]=Tableau3[[#This Row],[ID-VOIE]])*ROW(Tableau2[TS]))-ROW(Tableau2[#Headers])),"")</f>
        <v>ST</v>
      </c>
      <c r="AL900" s="72" t="str">
        <f>Tableau3[[#This Row],[Ref-Carte2]]&amp;"/"&amp;Tableau3[[#This Row],[ID-VOIE]]</f>
        <v>SDO0802/2</v>
      </c>
      <c r="AM900" s="73" t="str">
        <f>INDEX(Tableau2[Borne],MATCH(Tableau3[[#This Row],[ID-CARTEVOIE]],Tableau2[ID-CARTEVOIE],0))&amp;""</f>
        <v>2</v>
      </c>
      <c r="AN900" s="74" t="str">
        <f>Tableau3[[#This Row],[ID-API]]&amp;Tableau3[[#This Row],[ID-RACK]]&amp;Tableau3[[#This Row],[ID-SLOT]]&amp;Tableau3[[#This Row],[BORNE]]</f>
        <v>6142</v>
      </c>
      <c r="AO900" s="1"/>
    </row>
    <row r="901" spans="1:41" ht="20.100000000000001" customHeight="1" thickTop="1" thickBot="1">
      <c r="A901" s="68"/>
      <c r="B901" s="69" t="str">
        <f>IFERROR(INDEX(Tableau4[Date],MATCH($A901,Tableau4[EVO],0)),"")</f>
        <v/>
      </c>
      <c r="C901" s="68" t="str">
        <f>IFERROR(INDEX(Tableau4[Designation],MATCH($A901,Tableau4[EVO],0)),"")</f>
        <v/>
      </c>
      <c r="D901" s="68"/>
      <c r="E901" s="70">
        <v>10</v>
      </c>
      <c r="F901" s="71">
        <v>173</v>
      </c>
      <c r="G901" s="101" t="str">
        <f>INDEX(Tableau8[Att1],MATCH(Tableau3[[#This Row],[ID-INS]],Tableau8[ID],0))&amp;""</f>
        <v>V5</v>
      </c>
      <c r="H901" s="101" t="str">
        <f>INDEX(Tableau8[Att2],MATCH(Tableau3[[#This Row],[ID-INS]],Tableau8[ID],0))&amp;""</f>
        <v>P10</v>
      </c>
      <c r="I901" s="101" t="str">
        <f>INDEX(Tableau8[Att3],MATCH(Tableau3[[#This Row],[ID-INS]],Tableau8[ID],0))&amp;""</f>
        <v>Portail P10</v>
      </c>
      <c r="J901" s="101"/>
      <c r="K901" s="167" t="str">
        <f>INDEX(Tableau8[Nom du modele],MATCH(Tableau3[[#This Row],[ID-INS]],Tableau8[ID],0))&amp;""</f>
        <v>PortailR2VElec</v>
      </c>
      <c r="L901" s="99" t="str">
        <f>INDEX(Tableau5[Att1],MATCH(Tableau3[[#This Row],[ID-SIG]],Tableau5[ID],0))&amp;""</f>
        <v>V1_FerCmd1</v>
      </c>
      <c r="M901" s="99" t="str">
        <f>INDEX(Tableau5[Att2],MATCH(Tableau3[[#This Row],[ID-SIG]],Tableau5[ID],0))&amp;""</f>
        <v/>
      </c>
      <c r="N901" s="99" t="str">
        <f>INDEX(Tableau5[Att3],MATCH(Tableau3[[#This Row],[ID-SIG]],Tableau5[ID],0))&amp;""</f>
        <v/>
      </c>
      <c r="O901" s="99"/>
      <c r="P901" s="99" t="str">
        <f>INDEX(Tableau5[Description],MATCH(Tableau3[[#This Row],[ID-SIG]],Tableau5[ID],0))</f>
        <v>Commande de fermeture 1 du vantail 1</v>
      </c>
      <c r="Q901" s="99"/>
      <c r="R901" s="103" t="str">
        <f>Tableau3[[#This Row],[Description]]</f>
        <v>Commande de fermeture 1 du vantail 1</v>
      </c>
      <c r="S901" s="83"/>
      <c r="U901" s="87">
        <v>6</v>
      </c>
      <c r="V901" s="87">
        <v>1</v>
      </c>
      <c r="W901" s="87">
        <v>4</v>
      </c>
      <c r="X901" s="87">
        <v>3</v>
      </c>
      <c r="Y901" s="41"/>
      <c r="Z901" s="165" t="str">
        <f>INDEX(Tableau2[TS],MATCH(Tableau3[[#This Row],[ID-CARTEVOIE]],Tableau2[ID-CARTEVOIE],0))</f>
        <v>ST</v>
      </c>
      <c r="AA901" s="53" t="s">
        <v>213</v>
      </c>
      <c r="AB901" s="223" t="str">
        <f>IFERROR(INDEX(Tableau5[Reserve],MATCH(Tableau3[[#This Row],[ID-SIG]],Tableau5[ID],0))&amp;"","")</f>
        <v/>
      </c>
      <c r="AC901" s="21"/>
      <c r="AD901" s="108" t="str">
        <f>INDEX(Tableau7[Repere],MATCH(Tableau3[[#This Row],[ID-API]],Tableau7[ID-API],0))&amp;""</f>
        <v>A6</v>
      </c>
      <c r="AE901" s="108" t="str">
        <f>INDEX(Tableau1[Repere-Rack],MATCH(Tableau3[[#This Row],[ID-RACK]],Tableau1[ID-RACK],0))&amp;""</f>
        <v>R1</v>
      </c>
      <c r="AF901" s="108" t="str">
        <f>INDEX(Tableau1[Repere-Slot],MATCH(Tableau3[[#This Row],[ID-SLOT]],Tableau1[ID-SLOT],0))&amp;""</f>
        <v>S4</v>
      </c>
      <c r="AG901" s="108" t="str">
        <f>INDEX(Tableau2[Repere-Voie],MATCH(Tableau3[[#This Row],[ID-VOIE]],Tableau2[ID-Voie],0))&amp;""</f>
        <v>v3</v>
      </c>
      <c r="AH901" s="72" t="str">
        <f>Tableau3[[#This Row],[ID-API]]&amp; "." &amp;Tableau3[[#This Row],[ID-RACK]]&amp; "." &amp;Tableau3[[#This Row],[ID-SLOT]]</f>
        <v>6.1.4</v>
      </c>
      <c r="AI901" s="72" t="str">
        <f>INDEX(Tableau1[Ref-Carte],MATCH(Tableau3[[#This Row],[ID-RRS]],Tableau1[ID-RRS],0))</f>
        <v>SDO0802</v>
      </c>
      <c r="AJ901" s="72" t="str">
        <f t="array" ref="AJ901">IFERROR(INDEX(Tableau2[TS],MATCH(1,(Tableau2[Ref-Carte]=Tableau3[[#This Row],[Ref-Carte2]])*(Tableau2[ID-Voie]=Tableau3[[#This Row],[ID-VOIE]]),0)),"")</f>
        <v>ST</v>
      </c>
      <c r="AK901" s="72" t="str">
        <f>IFERROR(INDEX(Tableau2[TS],SUMPRODUCT((Tableau2[Ref-Carte]=Tableau3[[#This Row],[Ref-Carte2]])*(Tableau2[ID-Voie]=Tableau3[[#This Row],[ID-VOIE]])*ROW(Tableau2[TS]))-ROW(Tableau2[#Headers])),"")</f>
        <v>ST</v>
      </c>
      <c r="AL901" s="72" t="str">
        <f>Tableau3[[#This Row],[Ref-Carte2]]&amp;"/"&amp;Tableau3[[#This Row],[ID-VOIE]]</f>
        <v>SDO0802/3</v>
      </c>
      <c r="AM901" s="73" t="str">
        <f>INDEX(Tableau2[Borne],MATCH(Tableau3[[#This Row],[ID-CARTEVOIE]],Tableau2[ID-CARTEVOIE],0))&amp;""</f>
        <v>3</v>
      </c>
      <c r="AN901" s="74" t="str">
        <f>Tableau3[[#This Row],[ID-API]]&amp;Tableau3[[#This Row],[ID-RACK]]&amp;Tableau3[[#This Row],[ID-SLOT]]&amp;Tableau3[[#This Row],[BORNE]]</f>
        <v>6143</v>
      </c>
      <c r="AO901" s="1"/>
    </row>
    <row r="902" spans="1:41" ht="20.100000000000001" customHeight="1" thickTop="1" thickBot="1">
      <c r="A902" s="68"/>
      <c r="B902" s="69" t="str">
        <f>IFERROR(INDEX(Tableau4[Date],MATCH($A902,Tableau4[EVO],0)),"")</f>
        <v/>
      </c>
      <c r="C902" s="68" t="str">
        <f>IFERROR(INDEX(Tableau4[Designation],MATCH($A902,Tableau4[EVO],0)),"")</f>
        <v/>
      </c>
      <c r="D902" s="68"/>
      <c r="E902" s="70">
        <v>10</v>
      </c>
      <c r="F902" s="71">
        <v>181</v>
      </c>
      <c r="G902" s="101" t="str">
        <f>INDEX(Tableau8[Att1],MATCH(Tableau3[[#This Row],[ID-INS]],Tableau8[ID],0))&amp;""</f>
        <v>V5</v>
      </c>
      <c r="H902" s="101" t="str">
        <f>INDEX(Tableau8[Att2],MATCH(Tableau3[[#This Row],[ID-INS]],Tableau8[ID],0))&amp;""</f>
        <v>P10</v>
      </c>
      <c r="I902" s="101" t="str">
        <f>INDEX(Tableau8[Att3],MATCH(Tableau3[[#This Row],[ID-INS]],Tableau8[ID],0))&amp;""</f>
        <v>Portail P10</v>
      </c>
      <c r="J902" s="101"/>
      <c r="K902" s="167" t="str">
        <f>INDEX(Tableau8[Nom du modele],MATCH(Tableau3[[#This Row],[ID-INS]],Tableau8[ID],0))&amp;""</f>
        <v>PortailR2VElec</v>
      </c>
      <c r="L902" s="99" t="str">
        <f>INDEX(Tableau5[Att1],MATCH(Tableau3[[#This Row],[ID-SIG]],Tableau5[ID],0))&amp;""</f>
        <v>Réserve</v>
      </c>
      <c r="M902" s="99" t="str">
        <f>INDEX(Tableau5[Att2],MATCH(Tableau3[[#This Row],[ID-SIG]],Tableau5[ID],0))&amp;""</f>
        <v/>
      </c>
      <c r="N902" s="99" t="str">
        <f>INDEX(Tableau5[Att3],MATCH(Tableau3[[#This Row],[ID-SIG]],Tableau5[ID],0))&amp;""</f>
        <v/>
      </c>
      <c r="O902" s="99"/>
      <c r="P902" s="99" t="str">
        <f>INDEX(Tableau5[Description],MATCH(Tableau3[[#This Row],[ID-SIG]],Tableau5[ID],0))</f>
        <v>Réserve</v>
      </c>
      <c r="Q902" s="99"/>
      <c r="R902" s="103" t="str">
        <f>Tableau3[[#This Row],[Description]]</f>
        <v>Réserve</v>
      </c>
      <c r="S902" s="83"/>
      <c r="U902" s="87">
        <v>6</v>
      </c>
      <c r="V902" s="87">
        <v>1</v>
      </c>
      <c r="W902" s="87">
        <v>4</v>
      </c>
      <c r="X902" s="87">
        <v>4</v>
      </c>
      <c r="Y902" s="41"/>
      <c r="Z902" s="165" t="str">
        <f>INDEX(Tableau2[TS],MATCH(Tableau3[[#This Row],[ID-CARTEVOIE]],Tableau2[ID-CARTEVOIE],0))</f>
        <v>ST</v>
      </c>
      <c r="AA902" s="53" t="s">
        <v>213</v>
      </c>
      <c r="AB902" s="223" t="str">
        <f>IFERROR(INDEX(Tableau5[Reserve],MATCH(Tableau3[[#This Row],[ID-SIG]],Tableau5[ID],0))&amp;"","")</f>
        <v/>
      </c>
      <c r="AC902" s="21"/>
      <c r="AD902" s="108" t="str">
        <f>INDEX(Tableau7[Repere],MATCH(Tableau3[[#This Row],[ID-API]],Tableau7[ID-API],0))&amp;""</f>
        <v>A6</v>
      </c>
      <c r="AE902" s="108" t="str">
        <f>INDEX(Tableau1[Repere-Rack],MATCH(Tableau3[[#This Row],[ID-RACK]],Tableau1[ID-RACK],0))&amp;""</f>
        <v>R1</v>
      </c>
      <c r="AF902" s="108" t="str">
        <f>INDEX(Tableau1[Repere-Slot],MATCH(Tableau3[[#This Row],[ID-SLOT]],Tableau1[ID-SLOT],0))&amp;""</f>
        <v>S4</v>
      </c>
      <c r="AG902" s="108" t="str">
        <f>INDEX(Tableau2[Repere-Voie],MATCH(Tableau3[[#This Row],[ID-VOIE]],Tableau2[ID-Voie],0))&amp;""</f>
        <v>v4</v>
      </c>
      <c r="AH902" s="72" t="str">
        <f>Tableau3[[#This Row],[ID-API]]&amp; "." &amp;Tableau3[[#This Row],[ID-RACK]]&amp; "." &amp;Tableau3[[#This Row],[ID-SLOT]]</f>
        <v>6.1.4</v>
      </c>
      <c r="AI902" s="72" t="str">
        <f>INDEX(Tableau1[Ref-Carte],MATCH(Tableau3[[#This Row],[ID-RRS]],Tableau1[ID-RRS],0))</f>
        <v>SDO0802</v>
      </c>
      <c r="AJ902" s="72" t="str">
        <f t="array" ref="AJ902">IFERROR(INDEX(Tableau2[TS],MATCH(1,(Tableau2[Ref-Carte]=Tableau3[[#This Row],[Ref-Carte2]])*(Tableau2[ID-Voie]=Tableau3[[#This Row],[ID-VOIE]]),0)),"")</f>
        <v>ST</v>
      </c>
      <c r="AK902" s="72" t="str">
        <f>IFERROR(INDEX(Tableau2[TS],SUMPRODUCT((Tableau2[Ref-Carte]=Tableau3[[#This Row],[Ref-Carte2]])*(Tableau2[ID-Voie]=Tableau3[[#This Row],[ID-VOIE]])*ROW(Tableau2[TS]))-ROW(Tableau2[#Headers])),"")</f>
        <v>ST</v>
      </c>
      <c r="AL902" s="72" t="str">
        <f>Tableau3[[#This Row],[Ref-Carte2]]&amp;"/"&amp;Tableau3[[#This Row],[ID-VOIE]]</f>
        <v>SDO0802/4</v>
      </c>
      <c r="AM902" s="73" t="str">
        <f>INDEX(Tableau2[Borne],MATCH(Tableau3[[#This Row],[ID-CARTEVOIE]],Tableau2[ID-CARTEVOIE],0))&amp;""</f>
        <v>4</v>
      </c>
      <c r="AN902" s="74" t="str">
        <f>Tableau3[[#This Row],[ID-API]]&amp;Tableau3[[#This Row],[ID-RACK]]&amp;Tableau3[[#This Row],[ID-SLOT]]&amp;Tableau3[[#This Row],[BORNE]]</f>
        <v>6144</v>
      </c>
      <c r="AO902" s="1"/>
    </row>
    <row r="903" spans="1:41" ht="20.100000000000001" customHeight="1" thickTop="1" thickBot="1">
      <c r="A903" s="68"/>
      <c r="B903" s="69" t="str">
        <f>IFERROR(INDEX(Tableau4[Date],MATCH($A903,Tableau4[EVO],0)),"")</f>
        <v/>
      </c>
      <c r="C903" s="68" t="str">
        <f>IFERROR(INDEX(Tableau4[Designation],MATCH($A903,Tableau4[EVO],0)),"")</f>
        <v/>
      </c>
      <c r="D903" s="68"/>
      <c r="E903" s="70">
        <v>10</v>
      </c>
      <c r="F903" s="71">
        <v>182</v>
      </c>
      <c r="G903" s="101" t="str">
        <f>INDEX(Tableau8[Att1],MATCH(Tableau3[[#This Row],[ID-INS]],Tableau8[ID],0))&amp;""</f>
        <v>V5</v>
      </c>
      <c r="H903" s="101" t="str">
        <f>INDEX(Tableau8[Att2],MATCH(Tableau3[[#This Row],[ID-INS]],Tableau8[ID],0))&amp;""</f>
        <v>P10</v>
      </c>
      <c r="I903" s="101" t="str">
        <f>INDEX(Tableau8[Att3],MATCH(Tableau3[[#This Row],[ID-INS]],Tableau8[ID],0))&amp;""</f>
        <v>Portail P10</v>
      </c>
      <c r="J903" s="101"/>
      <c r="K903" s="167" t="str">
        <f>INDEX(Tableau8[Nom du modele],MATCH(Tableau3[[#This Row],[ID-INS]],Tableau8[ID],0))&amp;""</f>
        <v>PortailR2VElec</v>
      </c>
      <c r="L903" s="99" t="str">
        <f>INDEX(Tableau5[Att1],MATCH(Tableau3[[#This Row],[ID-SIG]],Tableau5[ID],0))&amp;""</f>
        <v>V2_FerCmd2</v>
      </c>
      <c r="M903" s="99" t="str">
        <f>INDEX(Tableau5[Att2],MATCH(Tableau3[[#This Row],[ID-SIG]],Tableau5[ID],0))&amp;""</f>
        <v/>
      </c>
      <c r="N903" s="99" t="str">
        <f>INDEX(Tableau5[Att3],MATCH(Tableau3[[#This Row],[ID-SIG]],Tableau5[ID],0))&amp;""</f>
        <v/>
      </c>
      <c r="O903" s="99"/>
      <c r="P903" s="99" t="str">
        <f>INDEX(Tableau5[Description],MATCH(Tableau3[[#This Row],[ID-SIG]],Tableau5[ID],0))</f>
        <v>Commande de fermeture 2 du vantail 2</v>
      </c>
      <c r="Q903" s="99"/>
      <c r="R903" s="103" t="str">
        <f>Tableau3[[#This Row],[Description]]</f>
        <v>Commande de fermeture 2 du vantail 2</v>
      </c>
      <c r="S903" s="83"/>
      <c r="U903" s="87">
        <v>6</v>
      </c>
      <c r="V903" s="87">
        <v>1</v>
      </c>
      <c r="W903" s="87">
        <v>4</v>
      </c>
      <c r="X903" s="87">
        <v>5</v>
      </c>
      <c r="Y903" s="41"/>
      <c r="Z903" s="165" t="str">
        <f>INDEX(Tableau2[TS],MATCH(Tableau3[[#This Row],[ID-CARTEVOIE]],Tableau2[ID-CARTEVOIE],0))</f>
        <v>ST</v>
      </c>
      <c r="AA903" s="53" t="s">
        <v>213</v>
      </c>
      <c r="AB903" s="223" t="str">
        <f>IFERROR(INDEX(Tableau5[Reserve],MATCH(Tableau3[[#This Row],[ID-SIG]],Tableau5[ID],0))&amp;"","")</f>
        <v/>
      </c>
      <c r="AC903" s="21"/>
      <c r="AD903" s="108" t="str">
        <f>INDEX(Tableau7[Repere],MATCH(Tableau3[[#This Row],[ID-API]],Tableau7[ID-API],0))&amp;""</f>
        <v>A6</v>
      </c>
      <c r="AE903" s="108" t="str">
        <f>INDEX(Tableau1[Repere-Rack],MATCH(Tableau3[[#This Row],[ID-RACK]],Tableau1[ID-RACK],0))&amp;""</f>
        <v>R1</v>
      </c>
      <c r="AF903" s="108" t="str">
        <f>INDEX(Tableau1[Repere-Slot],MATCH(Tableau3[[#This Row],[ID-SLOT]],Tableau1[ID-SLOT],0))&amp;""</f>
        <v>S4</v>
      </c>
      <c r="AG903" s="108" t="str">
        <f>INDEX(Tableau2[Repere-Voie],MATCH(Tableau3[[#This Row],[ID-VOIE]],Tableau2[ID-Voie],0))&amp;""</f>
        <v>v5</v>
      </c>
      <c r="AH903" s="72" t="str">
        <f>Tableau3[[#This Row],[ID-API]]&amp; "." &amp;Tableau3[[#This Row],[ID-RACK]]&amp; "." &amp;Tableau3[[#This Row],[ID-SLOT]]</f>
        <v>6.1.4</v>
      </c>
      <c r="AI903" s="72" t="str">
        <f>INDEX(Tableau1[Ref-Carte],MATCH(Tableau3[[#This Row],[ID-RRS]],Tableau1[ID-RRS],0))</f>
        <v>SDO0802</v>
      </c>
      <c r="AJ903" s="72" t="str">
        <f t="array" ref="AJ903">IFERROR(INDEX(Tableau2[TS],MATCH(1,(Tableau2[Ref-Carte]=Tableau3[[#This Row],[Ref-Carte2]])*(Tableau2[ID-Voie]=Tableau3[[#This Row],[ID-VOIE]]),0)),"")</f>
        <v>ST</v>
      </c>
      <c r="AK903" s="72" t="str">
        <f>IFERROR(INDEX(Tableau2[TS],SUMPRODUCT((Tableau2[Ref-Carte]=Tableau3[[#This Row],[Ref-Carte2]])*(Tableau2[ID-Voie]=Tableau3[[#This Row],[ID-VOIE]])*ROW(Tableau2[TS]))-ROW(Tableau2[#Headers])),"")</f>
        <v>ST</v>
      </c>
      <c r="AL903" s="72" t="str">
        <f>Tableau3[[#This Row],[Ref-Carte2]]&amp;"/"&amp;Tableau3[[#This Row],[ID-VOIE]]</f>
        <v>SDO0802/5</v>
      </c>
      <c r="AM903" s="73" t="str">
        <f>INDEX(Tableau2[Borne],MATCH(Tableau3[[#This Row],[ID-CARTEVOIE]],Tableau2[ID-CARTEVOIE],0))&amp;""</f>
        <v>5</v>
      </c>
      <c r="AN903" s="74" t="str">
        <f>Tableau3[[#This Row],[ID-API]]&amp;Tableau3[[#This Row],[ID-RACK]]&amp;Tableau3[[#This Row],[ID-SLOT]]&amp;Tableau3[[#This Row],[BORNE]]</f>
        <v>6145</v>
      </c>
      <c r="AO903" s="1"/>
    </row>
    <row r="904" spans="1:41" ht="20.100000000000001" customHeight="1" thickTop="1" thickBot="1">
      <c r="A904" s="68"/>
      <c r="B904" s="69" t="str">
        <f>IFERROR(INDEX(Tableau4[Date],MATCH($A904,Tableau4[EVO],0)),"")</f>
        <v/>
      </c>
      <c r="C904" s="68" t="str">
        <f>IFERROR(INDEX(Tableau4[Designation],MATCH($A904,Tableau4[EVO],0)),"")</f>
        <v/>
      </c>
      <c r="D904" s="68"/>
      <c r="E904" s="70">
        <v>41</v>
      </c>
      <c r="F904" s="71">
        <v>74</v>
      </c>
      <c r="G904" s="101" t="str">
        <f>INDEX(Tableau8[Att1],MATCH(Tableau3[[#This Row],[ID-INS]],Tableau8[ID],0))&amp;""</f>
        <v>V5</v>
      </c>
      <c r="H904" s="101" t="str">
        <f>INDEX(Tableau8[Att2],MATCH(Tableau3[[#This Row],[ID-INS]],Tableau8[ID],0))&amp;""</f>
        <v>BH12</v>
      </c>
      <c r="I904" s="101" t="str">
        <f>INDEX(Tableau8[Att3],MATCH(Tableau3[[#This Row],[ID-INS]],Tableau8[ID],0))&amp;""</f>
        <v>Barrière BH12</v>
      </c>
      <c r="J904" s="101"/>
      <c r="K904" s="167" t="str">
        <f>INDEX(Tableau8[Nom du modele],MATCH(Tableau3[[#This Row],[ID-INS]],Tableau8[ID],0))&amp;""</f>
        <v>BarriereHerse_1</v>
      </c>
      <c r="L904" s="99" t="str">
        <f>INDEX(Tableau5[Att1],MATCH(Tableau3[[#This Row],[ID-SIG]],Tableau5[ID],0))&amp;""</f>
        <v>OuvCmd</v>
      </c>
      <c r="M904" s="99" t="str">
        <f>INDEX(Tableau5[Att2],MATCH(Tableau3[[#This Row],[ID-SIG]],Tableau5[ID],0))&amp;""</f>
        <v/>
      </c>
      <c r="N904" s="99" t="str">
        <f>INDEX(Tableau5[Att3],MATCH(Tableau3[[#This Row],[ID-SIG]],Tableau5[ID],0))&amp;""</f>
        <v/>
      </c>
      <c r="O904" s="99"/>
      <c r="P904" s="99" t="str">
        <f>INDEX(Tableau5[Description],MATCH(Tableau3[[#This Row],[ID-SIG]],Tableau5[ID],0))</f>
        <v>Commande ouverture</v>
      </c>
      <c r="Q904" s="99"/>
      <c r="R904" s="103" t="str">
        <f>Tableau3[[#This Row],[Description]]</f>
        <v>Commande ouverture</v>
      </c>
      <c r="U904" s="87">
        <v>6</v>
      </c>
      <c r="V904" s="87">
        <v>1</v>
      </c>
      <c r="W904" s="87">
        <v>4</v>
      </c>
      <c r="X904" s="87">
        <v>6</v>
      </c>
      <c r="Y904" s="41"/>
      <c r="Z904" s="165" t="str">
        <f>INDEX(Tableau2[TS],MATCH(Tableau3[[#This Row],[ID-CARTEVOIE]],Tableau2[ID-CARTEVOIE],0))</f>
        <v>ST</v>
      </c>
      <c r="AA904" s="53" t="s">
        <v>213</v>
      </c>
      <c r="AB904" s="223" t="str">
        <f>IFERROR(INDEX(Tableau5[Reserve],MATCH(Tableau3[[#This Row],[ID-SIG]],Tableau5[ID],0))&amp;"","")</f>
        <v/>
      </c>
      <c r="AC904" s="21"/>
      <c r="AD904" s="108" t="str">
        <f>INDEX(Tableau7[Repere],MATCH(Tableau3[[#This Row],[ID-API]],Tableau7[ID-API],0))&amp;""</f>
        <v>A6</v>
      </c>
      <c r="AE904" s="108" t="str">
        <f>INDEX(Tableau1[Repere-Rack],MATCH(Tableau3[[#This Row],[ID-RACK]],Tableau1[ID-RACK],0))&amp;""</f>
        <v>R1</v>
      </c>
      <c r="AF904" s="108" t="str">
        <f>INDEX(Tableau1[Repere-Slot],MATCH(Tableau3[[#This Row],[ID-SLOT]],Tableau1[ID-SLOT],0))&amp;""</f>
        <v>S4</v>
      </c>
      <c r="AG904" s="108" t="str">
        <f>INDEX(Tableau2[Repere-Voie],MATCH(Tableau3[[#This Row],[ID-VOIE]],Tableau2[ID-Voie],0))&amp;""</f>
        <v>v6</v>
      </c>
      <c r="AH904" s="72" t="str">
        <f>Tableau3[[#This Row],[ID-API]]&amp; "." &amp;Tableau3[[#This Row],[ID-RACK]]&amp; "." &amp;Tableau3[[#This Row],[ID-SLOT]]</f>
        <v>6.1.4</v>
      </c>
      <c r="AI904" s="72" t="str">
        <f>INDEX(Tableau1[Ref-Carte],MATCH(Tableau3[[#This Row],[ID-RRS]],Tableau1[ID-RRS],0))</f>
        <v>SDO0802</v>
      </c>
      <c r="AJ904" s="72" t="str">
        <f t="array" ref="AJ904">IFERROR(INDEX(Tableau2[TS],MATCH(1,(Tableau2[Ref-Carte]=Tableau3[[#This Row],[Ref-Carte2]])*(Tableau2[ID-Voie]=Tableau3[[#This Row],[ID-VOIE]]),0)),"")</f>
        <v>ST</v>
      </c>
      <c r="AK904" s="72" t="str">
        <f>IFERROR(INDEX(Tableau2[TS],SUMPRODUCT((Tableau2[Ref-Carte]=Tableau3[[#This Row],[Ref-Carte2]])*(Tableau2[ID-Voie]=Tableau3[[#This Row],[ID-VOIE]])*ROW(Tableau2[TS]))-ROW(Tableau2[#Headers])),"")</f>
        <v>ST</v>
      </c>
      <c r="AL904" s="72" t="str">
        <f>Tableau3[[#This Row],[Ref-Carte2]]&amp;"/"&amp;Tableau3[[#This Row],[ID-VOIE]]</f>
        <v>SDO0802/6</v>
      </c>
      <c r="AM904" s="73" t="str">
        <f>INDEX(Tableau2[Borne],MATCH(Tableau3[[#This Row],[ID-CARTEVOIE]],Tableau2[ID-CARTEVOIE],0))&amp;""</f>
        <v>6</v>
      </c>
      <c r="AN904" s="74" t="str">
        <f>Tableau3[[#This Row],[ID-API]]&amp;Tableau3[[#This Row],[ID-RACK]]&amp;Tableau3[[#This Row],[ID-SLOT]]&amp;Tableau3[[#This Row],[BORNE]]</f>
        <v>6146</v>
      </c>
      <c r="AO904" s="1"/>
    </row>
    <row r="905" spans="1:41" ht="20.100000000000001" customHeight="1" thickTop="1" thickBot="1">
      <c r="A905" s="68"/>
      <c r="B905" s="69" t="str">
        <f>IFERROR(INDEX(Tableau4[Date],MATCH($A905,Tableau4[EVO],0)),"")</f>
        <v/>
      </c>
      <c r="C905" s="68" t="str">
        <f>IFERROR(INDEX(Tableau4[Designation],MATCH($A905,Tableau4[EVO],0)),"")</f>
        <v/>
      </c>
      <c r="D905" s="68"/>
      <c r="E905" s="70">
        <v>41</v>
      </c>
      <c r="F905" s="71">
        <v>75</v>
      </c>
      <c r="G905" s="101" t="str">
        <f>INDEX(Tableau8[Att1],MATCH(Tableau3[[#This Row],[ID-INS]],Tableau8[ID],0))&amp;""</f>
        <v>V5</v>
      </c>
      <c r="H905" s="101" t="str">
        <f>INDEX(Tableau8[Att2],MATCH(Tableau3[[#This Row],[ID-INS]],Tableau8[ID],0))&amp;""</f>
        <v>BH12</v>
      </c>
      <c r="I905" s="101" t="str">
        <f>INDEX(Tableau8[Att3],MATCH(Tableau3[[#This Row],[ID-INS]],Tableau8[ID],0))&amp;""</f>
        <v>Barrière BH12</v>
      </c>
      <c r="J905" s="101"/>
      <c r="K905" s="167" t="str">
        <f>INDEX(Tableau8[Nom du modele],MATCH(Tableau3[[#This Row],[ID-INS]],Tableau8[ID],0))&amp;""</f>
        <v>BarriereHerse_1</v>
      </c>
      <c r="L905" s="99" t="str">
        <f>INDEX(Tableau5[Att1],MATCH(Tableau3[[#This Row],[ID-SIG]],Tableau5[ID],0))&amp;""</f>
        <v>Réserve</v>
      </c>
      <c r="M905" s="99" t="str">
        <f>INDEX(Tableau5[Att2],MATCH(Tableau3[[#This Row],[ID-SIG]],Tableau5[ID],0))&amp;""</f>
        <v/>
      </c>
      <c r="N905" s="99" t="str">
        <f>INDEX(Tableau5[Att3],MATCH(Tableau3[[#This Row],[ID-SIG]],Tableau5[ID],0))&amp;""</f>
        <v/>
      </c>
      <c r="O905" s="99"/>
      <c r="P905" s="99" t="str">
        <f>INDEX(Tableau5[Description],MATCH(Tableau3[[#This Row],[ID-SIG]],Tableau5[ID],0))</f>
        <v>Réserve</v>
      </c>
      <c r="Q905" s="99"/>
      <c r="R905" s="103" t="str">
        <f>Tableau3[[#This Row],[Description]]</f>
        <v>Réserve</v>
      </c>
      <c r="U905" s="87">
        <v>6</v>
      </c>
      <c r="V905" s="87">
        <v>1</v>
      </c>
      <c r="W905" s="87">
        <v>4</v>
      </c>
      <c r="X905" s="87">
        <v>7</v>
      </c>
      <c r="Y905" s="41"/>
      <c r="Z905" s="165" t="str">
        <f>INDEX(Tableau2[TS],MATCH(Tableau3[[#This Row],[ID-CARTEVOIE]],Tableau2[ID-CARTEVOIE],0))</f>
        <v>ST</v>
      </c>
      <c r="AA905" s="53" t="s">
        <v>213</v>
      </c>
      <c r="AB905" s="223" t="str">
        <f>IFERROR(INDEX(Tableau5[Reserve],MATCH(Tableau3[[#This Row],[ID-SIG]],Tableau5[ID],0))&amp;"","")</f>
        <v/>
      </c>
      <c r="AC905" s="21"/>
      <c r="AD905" s="108" t="str">
        <f>INDEX(Tableau7[Repere],MATCH(Tableau3[[#This Row],[ID-API]],Tableau7[ID-API],0))&amp;""</f>
        <v>A6</v>
      </c>
      <c r="AE905" s="108" t="str">
        <f>INDEX(Tableau1[Repere-Rack],MATCH(Tableau3[[#This Row],[ID-RACK]],Tableau1[ID-RACK],0))&amp;""</f>
        <v>R1</v>
      </c>
      <c r="AF905" s="108" t="str">
        <f>INDEX(Tableau1[Repere-Slot],MATCH(Tableau3[[#This Row],[ID-SLOT]],Tableau1[ID-SLOT],0))&amp;""</f>
        <v>S4</v>
      </c>
      <c r="AG905" s="108" t="str">
        <f>INDEX(Tableau2[Repere-Voie],MATCH(Tableau3[[#This Row],[ID-VOIE]],Tableau2[ID-Voie],0))&amp;""</f>
        <v>v7</v>
      </c>
      <c r="AH905" s="72" t="str">
        <f>Tableau3[[#This Row],[ID-API]]&amp; "." &amp;Tableau3[[#This Row],[ID-RACK]]&amp; "." &amp;Tableau3[[#This Row],[ID-SLOT]]</f>
        <v>6.1.4</v>
      </c>
      <c r="AI905" s="72" t="str">
        <f>INDEX(Tableau1[Ref-Carte],MATCH(Tableau3[[#This Row],[ID-RRS]],Tableau1[ID-RRS],0))</f>
        <v>SDO0802</v>
      </c>
      <c r="AJ905" s="72" t="str">
        <f t="array" ref="AJ905">IFERROR(INDEX(Tableau2[TS],MATCH(1,(Tableau2[Ref-Carte]=Tableau3[[#This Row],[Ref-Carte2]])*(Tableau2[ID-Voie]=Tableau3[[#This Row],[ID-VOIE]]),0)),"")</f>
        <v>ST</v>
      </c>
      <c r="AK905" s="72" t="str">
        <f>IFERROR(INDEX(Tableau2[TS],SUMPRODUCT((Tableau2[Ref-Carte]=Tableau3[[#This Row],[Ref-Carte2]])*(Tableau2[ID-Voie]=Tableau3[[#This Row],[ID-VOIE]])*ROW(Tableau2[TS]))-ROW(Tableau2[#Headers])),"")</f>
        <v>ST</v>
      </c>
      <c r="AL905" s="72" t="str">
        <f>Tableau3[[#This Row],[Ref-Carte2]]&amp;"/"&amp;Tableau3[[#This Row],[ID-VOIE]]</f>
        <v>SDO0802/7</v>
      </c>
      <c r="AM905" s="73" t="str">
        <f>INDEX(Tableau2[Borne],MATCH(Tableau3[[#This Row],[ID-CARTEVOIE]],Tableau2[ID-CARTEVOIE],0))&amp;""</f>
        <v>7</v>
      </c>
      <c r="AN905" s="74" t="str">
        <f>Tableau3[[#This Row],[ID-API]]&amp;Tableau3[[#This Row],[ID-RACK]]&amp;Tableau3[[#This Row],[ID-SLOT]]&amp;Tableau3[[#This Row],[BORNE]]</f>
        <v>6147</v>
      </c>
      <c r="AO905" s="1"/>
    </row>
    <row r="906" spans="1:41" ht="20.100000000000001" customHeight="1" thickTop="1" thickBot="1">
      <c r="A906" s="68"/>
      <c r="B906" s="69" t="str">
        <f>IFERROR(INDEX(Tableau4[Date],MATCH($A906,Tableau4[EVO],0)),"")</f>
        <v/>
      </c>
      <c r="C906" s="68" t="str">
        <f>IFERROR(INDEX(Tableau4[Designation],MATCH($A906,Tableau4[EVO],0)),"")</f>
        <v/>
      </c>
      <c r="D906" s="68"/>
      <c r="E906" s="70">
        <v>41</v>
      </c>
      <c r="F906" s="71">
        <v>76</v>
      </c>
      <c r="G906" s="101" t="str">
        <f>INDEX(Tableau8[Att1],MATCH(Tableau3[[#This Row],[ID-INS]],Tableau8[ID],0))&amp;""</f>
        <v>V5</v>
      </c>
      <c r="H906" s="101" t="str">
        <f>INDEX(Tableau8[Att2],MATCH(Tableau3[[#This Row],[ID-INS]],Tableau8[ID],0))&amp;""</f>
        <v>BH12</v>
      </c>
      <c r="I906" s="101" t="str">
        <f>INDEX(Tableau8[Att3],MATCH(Tableau3[[#This Row],[ID-INS]],Tableau8[ID],0))&amp;""</f>
        <v>Barrière BH12</v>
      </c>
      <c r="J906" s="101"/>
      <c r="K906" s="167" t="str">
        <f>INDEX(Tableau8[Nom du modele],MATCH(Tableau3[[#This Row],[ID-INS]],Tableau8[ID],0))&amp;""</f>
        <v>BarriereHerse_1</v>
      </c>
      <c r="L906" s="99" t="str">
        <f>INDEX(Tableau5[Att1],MATCH(Tableau3[[#This Row],[ID-SIG]],Tableau5[ID],0))&amp;""</f>
        <v>FerCmd1</v>
      </c>
      <c r="M906" s="99" t="str">
        <f>INDEX(Tableau5[Att2],MATCH(Tableau3[[#This Row],[ID-SIG]],Tableau5[ID],0))&amp;""</f>
        <v/>
      </c>
      <c r="N906" s="99" t="str">
        <f>INDEX(Tableau5[Att3],MATCH(Tableau3[[#This Row],[ID-SIG]],Tableau5[ID],0))&amp;""</f>
        <v/>
      </c>
      <c r="O906" s="99"/>
      <c r="P906" s="99" t="str">
        <f>INDEX(Tableau5[Description],MATCH(Tableau3[[#This Row],[ID-SIG]],Tableau5[ID],0))</f>
        <v>Commande 1 fermeture</v>
      </c>
      <c r="Q906" s="99"/>
      <c r="R906" s="103" t="str">
        <f>Tableau3[[#This Row],[Description]]</f>
        <v>Commande 1 fermeture</v>
      </c>
      <c r="U906" s="87">
        <v>6</v>
      </c>
      <c r="V906" s="87">
        <v>1</v>
      </c>
      <c r="W906" s="87">
        <v>5</v>
      </c>
      <c r="X906" s="87">
        <v>0</v>
      </c>
      <c r="Y906" s="41"/>
      <c r="Z906" s="165" t="str">
        <f>INDEX(Tableau2[TS],MATCH(Tableau3[[#This Row],[ID-CARTEVOIE]],Tableau2[ID-CARTEVOIE],0))</f>
        <v>ST</v>
      </c>
      <c r="AA906" s="53" t="s">
        <v>213</v>
      </c>
      <c r="AB906" s="223" t="str">
        <f>IFERROR(INDEX(Tableau5[Reserve],MATCH(Tableau3[[#This Row],[ID-SIG]],Tableau5[ID],0))&amp;"","")</f>
        <v/>
      </c>
      <c r="AC906" s="21"/>
      <c r="AD906" s="108" t="str">
        <f>INDEX(Tableau7[Repere],MATCH(Tableau3[[#This Row],[ID-API]],Tableau7[ID-API],0))&amp;""</f>
        <v>A6</v>
      </c>
      <c r="AE906" s="108" t="str">
        <f>INDEX(Tableau1[Repere-Rack],MATCH(Tableau3[[#This Row],[ID-RACK]],Tableau1[ID-RACK],0))&amp;""</f>
        <v>R1</v>
      </c>
      <c r="AF906" s="108" t="str">
        <f>INDEX(Tableau1[Repere-Slot],MATCH(Tableau3[[#This Row],[ID-SLOT]],Tableau1[ID-SLOT],0))&amp;""</f>
        <v>S5</v>
      </c>
      <c r="AG906" s="108" t="str">
        <f>INDEX(Tableau2[Repere-Voie],MATCH(Tableau3[[#This Row],[ID-VOIE]],Tableau2[ID-Voie],0))&amp;""</f>
        <v>v0</v>
      </c>
      <c r="AH906" s="72" t="str">
        <f>Tableau3[[#This Row],[ID-API]]&amp; "." &amp;Tableau3[[#This Row],[ID-RACK]]&amp; "." &amp;Tableau3[[#This Row],[ID-SLOT]]</f>
        <v>6.1.5</v>
      </c>
      <c r="AI906" s="72" t="str">
        <f>INDEX(Tableau1[Ref-Carte],MATCH(Tableau3[[#This Row],[ID-RRS]],Tableau1[ID-RRS],0))</f>
        <v>SDO0802</v>
      </c>
      <c r="AJ906" s="72" t="str">
        <f t="array" ref="AJ906">IFERROR(INDEX(Tableau2[TS],MATCH(1,(Tableau2[Ref-Carte]=Tableau3[[#This Row],[Ref-Carte2]])*(Tableau2[ID-Voie]=Tableau3[[#This Row],[ID-VOIE]]),0)),"")</f>
        <v>ST</v>
      </c>
      <c r="AK906" s="72" t="str">
        <f>IFERROR(INDEX(Tableau2[TS],SUMPRODUCT((Tableau2[Ref-Carte]=Tableau3[[#This Row],[Ref-Carte2]])*(Tableau2[ID-Voie]=Tableau3[[#This Row],[ID-VOIE]])*ROW(Tableau2[TS]))-ROW(Tableau2[#Headers])),"")</f>
        <v>ST</v>
      </c>
      <c r="AL906" s="72" t="str">
        <f>Tableau3[[#This Row],[Ref-Carte2]]&amp;"/"&amp;Tableau3[[#This Row],[ID-VOIE]]</f>
        <v>SDO0802/0</v>
      </c>
      <c r="AM906" s="73" t="str">
        <f>INDEX(Tableau2[Borne],MATCH(Tableau3[[#This Row],[ID-CARTEVOIE]],Tableau2[ID-CARTEVOIE],0))&amp;""</f>
        <v>0</v>
      </c>
      <c r="AN906" s="74" t="str">
        <f>Tableau3[[#This Row],[ID-API]]&amp;Tableau3[[#This Row],[ID-RACK]]&amp;Tableau3[[#This Row],[ID-SLOT]]&amp;Tableau3[[#This Row],[BORNE]]</f>
        <v>6150</v>
      </c>
      <c r="AO906" s="1"/>
    </row>
    <row r="907" spans="1:41" ht="20.100000000000001" customHeight="1" thickTop="1" thickBot="1">
      <c r="A907" s="68"/>
      <c r="B907" s="69" t="str">
        <f>IFERROR(INDEX(Tableau4[Date],MATCH($A907,Tableau4[EVO],0)),"")</f>
        <v/>
      </c>
      <c r="C907" s="68" t="str">
        <f>IFERROR(INDEX(Tableau4[Designation],MATCH($A907,Tableau4[EVO],0)),"")</f>
        <v/>
      </c>
      <c r="D907" s="68"/>
      <c r="E907" s="70">
        <v>43</v>
      </c>
      <c r="F907" s="71">
        <v>89</v>
      </c>
      <c r="G907" s="101" t="str">
        <f>INDEX(Tableau8[Att1],MATCH(Tableau3[[#This Row],[ID-INS]],Tableau8[ID],0))&amp;""</f>
        <v>V5</v>
      </c>
      <c r="H907" s="101" t="str">
        <f>INDEX(Tableau8[Att2],MATCH(Tableau3[[#This Row],[ID-INS]],Tableau8[ID],0))&amp;""</f>
        <v>AVB2</v>
      </c>
      <c r="I907" s="132" t="s">
        <v>1026</v>
      </c>
      <c r="J907" s="101"/>
      <c r="K907" s="167" t="str">
        <f>INDEX(Tableau8[Nom du modele],MATCH(Tableau3[[#This Row],[ID-INS]],Tableau8[ID],0))&amp;""</f>
        <v>AVB_1</v>
      </c>
      <c r="L907" s="141" t="str">
        <f>INDEX(Tableau5[Att1],MATCH(Tableau3[[#This Row],[ID-SIG]],Tableau5[ID],0))&amp;""</f>
        <v>DescCmd</v>
      </c>
      <c r="M907" s="99" t="str">
        <f>INDEX(Tableau5[Att2],MATCH(Tableau3[[#This Row],[ID-SIG]],Tableau5[ID],0))&amp;""</f>
        <v/>
      </c>
      <c r="N907" s="99" t="str">
        <f>INDEX(Tableau5[Att3],MATCH(Tableau3[[#This Row],[ID-SIG]],Tableau5[ID],0))&amp;""</f>
        <v/>
      </c>
      <c r="O907" s="99"/>
      <c r="P907" s="141" t="str">
        <f>INDEX(Tableau5[Description],MATCH(Tableau3[[#This Row],[ID-SIG]],Tableau5[ID],0))</f>
        <v>Commande descente</v>
      </c>
      <c r="Q907" s="99"/>
      <c r="R907" s="103" t="str">
        <f>Tableau3[[#This Row],[Description]]</f>
        <v>Commande descente</v>
      </c>
      <c r="U907" s="87">
        <v>6</v>
      </c>
      <c r="V907" s="87">
        <v>1</v>
      </c>
      <c r="W907" s="87">
        <v>5</v>
      </c>
      <c r="X907" s="87">
        <v>1</v>
      </c>
      <c r="Y907" s="41"/>
      <c r="Z907" s="165" t="str">
        <f>INDEX(Tableau2[TS],MATCH(Tableau3[[#This Row],[ID-CARTEVOIE]],Tableau2[ID-CARTEVOIE],0))</f>
        <v>ST</v>
      </c>
      <c r="AA907" s="53" t="s">
        <v>213</v>
      </c>
      <c r="AB907" s="223" t="str">
        <f>IFERROR(INDEX(Tableau5[Reserve],MATCH(Tableau3[[#This Row],[ID-SIG]],Tableau5[ID],0))&amp;"","")</f>
        <v/>
      </c>
      <c r="AC907" s="21"/>
      <c r="AD907" s="108" t="str">
        <f>INDEX(Tableau7[Repere],MATCH(Tableau3[[#This Row],[ID-API]],Tableau7[ID-API],0))&amp;""</f>
        <v>A6</v>
      </c>
      <c r="AE907" s="108" t="str">
        <f>INDEX(Tableau1[Repere-Rack],MATCH(Tableau3[[#This Row],[ID-RACK]],Tableau1[ID-RACK],0))&amp;""</f>
        <v>R1</v>
      </c>
      <c r="AF907" s="108" t="str">
        <f>INDEX(Tableau1[Repere-Slot],MATCH(Tableau3[[#This Row],[ID-SLOT]],Tableau1[ID-SLOT],0))&amp;""</f>
        <v>S5</v>
      </c>
      <c r="AG907" s="108" t="str">
        <f>INDEX(Tableau2[Repere-Voie],MATCH(Tableau3[[#This Row],[ID-VOIE]],Tableau2[ID-Voie],0))&amp;""</f>
        <v>v1</v>
      </c>
      <c r="AH907" s="72" t="str">
        <f>Tableau3[[#This Row],[ID-API]]&amp; "." &amp;Tableau3[[#This Row],[ID-RACK]]&amp; "." &amp;Tableau3[[#This Row],[ID-SLOT]]</f>
        <v>6.1.5</v>
      </c>
      <c r="AI907" s="72" t="str">
        <f>INDEX(Tableau1[Ref-Carte],MATCH(Tableau3[[#This Row],[ID-RRS]],Tableau1[ID-RRS],0))</f>
        <v>SDO0802</v>
      </c>
      <c r="AJ907" s="72" t="str">
        <f t="array" ref="AJ907">IFERROR(INDEX(Tableau2[TS],MATCH(1,(Tableau2[Ref-Carte]=Tableau3[[#This Row],[Ref-Carte2]])*(Tableau2[ID-Voie]=Tableau3[[#This Row],[ID-VOIE]]),0)),"")</f>
        <v>ST</v>
      </c>
      <c r="AK907" s="72" t="str">
        <f>IFERROR(INDEX(Tableau2[TS],SUMPRODUCT((Tableau2[Ref-Carte]=Tableau3[[#This Row],[Ref-Carte2]])*(Tableau2[ID-Voie]=Tableau3[[#This Row],[ID-VOIE]])*ROW(Tableau2[TS]))-ROW(Tableau2[#Headers])),"")</f>
        <v>ST</v>
      </c>
      <c r="AL907" s="72" t="str">
        <f>Tableau3[[#This Row],[Ref-Carte2]]&amp;"/"&amp;Tableau3[[#This Row],[ID-VOIE]]</f>
        <v>SDO0802/1</v>
      </c>
      <c r="AM907" s="73" t="str">
        <f>INDEX(Tableau2[Borne],MATCH(Tableau3[[#This Row],[ID-CARTEVOIE]],Tableau2[ID-CARTEVOIE],0))&amp;""</f>
        <v>1</v>
      </c>
      <c r="AN907" s="74" t="str">
        <f>Tableau3[[#This Row],[ID-API]]&amp;Tableau3[[#This Row],[ID-RACK]]&amp;Tableau3[[#This Row],[ID-SLOT]]&amp;Tableau3[[#This Row],[BORNE]]</f>
        <v>6151</v>
      </c>
      <c r="AO907" s="1"/>
    </row>
    <row r="908" spans="1:41" ht="20.100000000000001" customHeight="1" thickTop="1" thickBot="1">
      <c r="A908" s="68"/>
      <c r="B908" s="69" t="str">
        <f>IFERROR(INDEX(Tableau4[Date],MATCH($A908,Tableau4[EVO],0)),"")</f>
        <v/>
      </c>
      <c r="C908" s="68" t="str">
        <f>IFERROR(INDEX(Tableau4[Designation],MATCH($A908,Tableau4[EVO],0)),"")</f>
        <v/>
      </c>
      <c r="D908" s="68"/>
      <c r="E908" s="70">
        <v>43</v>
      </c>
      <c r="F908" s="71">
        <v>90</v>
      </c>
      <c r="G908" s="101" t="str">
        <f>INDEX(Tableau8[Att1],MATCH(Tableau3[[#This Row],[ID-INS]],Tableau8[ID],0))&amp;""</f>
        <v>V5</v>
      </c>
      <c r="H908" s="101" t="str">
        <f>INDEX(Tableau8[Att2],MATCH(Tableau3[[#This Row],[ID-INS]],Tableau8[ID],0))&amp;""</f>
        <v>AVB2</v>
      </c>
      <c r="I908" s="101" t="str">
        <f>INDEX(Tableau8[Att3],MATCH(Tableau3[[#This Row],[ID-INS]],Tableau8[ID],0))&amp;""</f>
        <v>Anti-belier AVB2</v>
      </c>
      <c r="J908" s="101"/>
      <c r="K908" s="167" t="str">
        <f>INDEX(Tableau8[Nom du modele],MATCH(Tableau3[[#This Row],[ID-INS]],Tableau8[ID],0))&amp;""</f>
        <v>AVB_1</v>
      </c>
      <c r="L908" s="99" t="str">
        <f>INDEX(Tableau5[Att1],MATCH(Tableau3[[#This Row],[ID-SIG]],Tableau5[ID],0))&amp;""</f>
        <v>MontCmd1</v>
      </c>
      <c r="M908" s="99" t="str">
        <f>INDEX(Tableau5[Att2],MATCH(Tableau3[[#This Row],[ID-SIG]],Tableau5[ID],0))&amp;""</f>
        <v/>
      </c>
      <c r="N908" s="99" t="str">
        <f>INDEX(Tableau5[Att3],MATCH(Tableau3[[#This Row],[ID-SIG]],Tableau5[ID],0))&amp;""</f>
        <v/>
      </c>
      <c r="O908" s="99"/>
      <c r="P908" s="99" t="str">
        <f>INDEX(Tableau5[Description],MATCH(Tableau3[[#This Row],[ID-SIG]],Tableau5[ID],0))</f>
        <v>Commande 1 montée</v>
      </c>
      <c r="Q908" s="99"/>
      <c r="R908" s="103" t="str">
        <f>Tableau3[[#This Row],[Description]]</f>
        <v>Commande 1 montée</v>
      </c>
      <c r="U908" s="87">
        <v>6</v>
      </c>
      <c r="V908" s="87">
        <v>1</v>
      </c>
      <c r="W908" s="87">
        <v>5</v>
      </c>
      <c r="X908" s="87">
        <v>2</v>
      </c>
      <c r="Y908" s="41"/>
      <c r="Z908" s="165" t="str">
        <f>INDEX(Tableau2[TS],MATCH(Tableau3[[#This Row],[ID-CARTEVOIE]],Tableau2[ID-CARTEVOIE],0))</f>
        <v>ST</v>
      </c>
      <c r="AA908" s="53" t="s">
        <v>213</v>
      </c>
      <c r="AB908" s="223" t="str">
        <f>IFERROR(INDEX(Tableau5[Reserve],MATCH(Tableau3[[#This Row],[ID-SIG]],Tableau5[ID],0))&amp;"","")</f>
        <v/>
      </c>
      <c r="AC908" s="21"/>
      <c r="AD908" s="108" t="str">
        <f>INDEX(Tableau7[Repere],MATCH(Tableau3[[#This Row],[ID-API]],Tableau7[ID-API],0))&amp;""</f>
        <v>A6</v>
      </c>
      <c r="AE908" s="108" t="str">
        <f>INDEX(Tableau1[Repere-Rack],MATCH(Tableau3[[#This Row],[ID-RACK]],Tableau1[ID-RACK],0))&amp;""</f>
        <v>R1</v>
      </c>
      <c r="AF908" s="108" t="str">
        <f>INDEX(Tableau1[Repere-Slot],MATCH(Tableau3[[#This Row],[ID-SLOT]],Tableau1[ID-SLOT],0))&amp;""</f>
        <v>S5</v>
      </c>
      <c r="AG908" s="108" t="str">
        <f>INDEX(Tableau2[Repere-Voie],MATCH(Tableau3[[#This Row],[ID-VOIE]],Tableau2[ID-Voie],0))&amp;""</f>
        <v>v2</v>
      </c>
      <c r="AH908" s="72" t="str">
        <f>Tableau3[[#This Row],[ID-API]]&amp; "." &amp;Tableau3[[#This Row],[ID-RACK]]&amp; "." &amp;Tableau3[[#This Row],[ID-SLOT]]</f>
        <v>6.1.5</v>
      </c>
      <c r="AI908" s="72" t="str">
        <f>INDEX(Tableau1[Ref-Carte],MATCH(Tableau3[[#This Row],[ID-RRS]],Tableau1[ID-RRS],0))</f>
        <v>SDO0802</v>
      </c>
      <c r="AJ908" s="72" t="str">
        <f t="array" ref="AJ908">IFERROR(INDEX(Tableau2[TS],MATCH(1,(Tableau2[Ref-Carte]=Tableau3[[#This Row],[Ref-Carte2]])*(Tableau2[ID-Voie]=Tableau3[[#This Row],[ID-VOIE]]),0)),"")</f>
        <v>ST</v>
      </c>
      <c r="AK908" s="72" t="str">
        <f>IFERROR(INDEX(Tableau2[TS],SUMPRODUCT((Tableau2[Ref-Carte]=Tableau3[[#This Row],[Ref-Carte2]])*(Tableau2[ID-Voie]=Tableau3[[#This Row],[ID-VOIE]])*ROW(Tableau2[TS]))-ROW(Tableau2[#Headers])),"")</f>
        <v>ST</v>
      </c>
      <c r="AL908" s="72" t="str">
        <f>Tableau3[[#This Row],[Ref-Carte2]]&amp;"/"&amp;Tableau3[[#This Row],[ID-VOIE]]</f>
        <v>SDO0802/2</v>
      </c>
      <c r="AM908" s="73" t="str">
        <f>INDEX(Tableau2[Borne],MATCH(Tableau3[[#This Row],[ID-CARTEVOIE]],Tableau2[ID-CARTEVOIE],0))&amp;""</f>
        <v>2</v>
      </c>
      <c r="AN908" s="74" t="str">
        <f>Tableau3[[#This Row],[ID-API]]&amp;Tableau3[[#This Row],[ID-RACK]]&amp;Tableau3[[#This Row],[ID-SLOT]]&amp;Tableau3[[#This Row],[BORNE]]</f>
        <v>6152</v>
      </c>
      <c r="AO908" s="1"/>
    </row>
    <row r="909" spans="1:41" ht="20.100000000000001" customHeight="1" thickTop="1" thickBot="1">
      <c r="A909" s="68"/>
      <c r="B909" s="69" t="str">
        <f>IFERROR(INDEX(Tableau4[Date],MATCH($A909,Tableau4[EVO],0)),"")</f>
        <v/>
      </c>
      <c r="C909" s="68" t="str">
        <f>IFERROR(INDEX(Tableau4[Designation],MATCH($A909,Tableau4[EVO],0)),"")</f>
        <v/>
      </c>
      <c r="D909" s="68"/>
      <c r="E909" s="70">
        <v>43</v>
      </c>
      <c r="F909" s="71">
        <v>91</v>
      </c>
      <c r="G909" s="101" t="str">
        <f>INDEX(Tableau8[Att1],MATCH(Tableau3[[#This Row],[ID-INS]],Tableau8[ID],0))&amp;""</f>
        <v>V5</v>
      </c>
      <c r="H909" s="101" t="str">
        <f>INDEX(Tableau8[Att2],MATCH(Tableau3[[#This Row],[ID-INS]],Tableau8[ID],0))&amp;""</f>
        <v>AVB2</v>
      </c>
      <c r="I909" s="101" t="str">
        <f>INDEX(Tableau8[Att3],MATCH(Tableau3[[#This Row],[ID-INS]],Tableau8[ID],0))&amp;""</f>
        <v>Anti-belier AVB2</v>
      </c>
      <c r="J909" s="101"/>
      <c r="K909" s="167" t="str">
        <f>INDEX(Tableau8[Nom du modele],MATCH(Tableau3[[#This Row],[ID-INS]],Tableau8[ID],0))&amp;""</f>
        <v>AVB_1</v>
      </c>
      <c r="L909" s="99" t="str">
        <f>INDEX(Tableau5[Att1],MATCH(Tableau3[[#This Row],[ID-SIG]],Tableau5[ID],0))&amp;""</f>
        <v>Réserve</v>
      </c>
      <c r="M909" s="99" t="str">
        <f>INDEX(Tableau5[Att2],MATCH(Tableau3[[#This Row],[ID-SIG]],Tableau5[ID],0))&amp;""</f>
        <v/>
      </c>
      <c r="N909" s="99" t="str">
        <f>INDEX(Tableau5[Att3],MATCH(Tableau3[[#This Row],[ID-SIG]],Tableau5[ID],0))&amp;""</f>
        <v/>
      </c>
      <c r="O909" s="99"/>
      <c r="P909" s="99" t="str">
        <f>INDEX(Tableau5[Description],MATCH(Tableau3[[#This Row],[ID-SIG]],Tableau5[ID],0))</f>
        <v>Réserve</v>
      </c>
      <c r="Q909" s="99"/>
      <c r="R909" s="103" t="str">
        <f>Tableau3[[#This Row],[Description]]</f>
        <v>Réserve</v>
      </c>
      <c r="U909" s="87">
        <v>6</v>
      </c>
      <c r="V909" s="87">
        <v>1</v>
      </c>
      <c r="W909" s="87">
        <v>5</v>
      </c>
      <c r="X909" s="87">
        <v>3</v>
      </c>
      <c r="Y909" s="41"/>
      <c r="Z909" s="165" t="str">
        <f>INDEX(Tableau2[TS],MATCH(Tableau3[[#This Row],[ID-CARTEVOIE]],Tableau2[ID-CARTEVOIE],0))</f>
        <v>ST</v>
      </c>
      <c r="AA909" s="53" t="s">
        <v>213</v>
      </c>
      <c r="AB909" s="223" t="str">
        <f>IFERROR(INDEX(Tableau5[Reserve],MATCH(Tableau3[[#This Row],[ID-SIG]],Tableau5[ID],0))&amp;"","")</f>
        <v/>
      </c>
      <c r="AC909" s="21"/>
      <c r="AD909" s="108" t="str">
        <f>INDEX(Tableau7[Repere],MATCH(Tableau3[[#This Row],[ID-API]],Tableau7[ID-API],0))&amp;""</f>
        <v>A6</v>
      </c>
      <c r="AE909" s="108" t="str">
        <f>INDEX(Tableau1[Repere-Rack],MATCH(Tableau3[[#This Row],[ID-RACK]],Tableau1[ID-RACK],0))&amp;""</f>
        <v>R1</v>
      </c>
      <c r="AF909" s="108" t="str">
        <f>INDEX(Tableau1[Repere-Slot],MATCH(Tableau3[[#This Row],[ID-SLOT]],Tableau1[ID-SLOT],0))&amp;""</f>
        <v>S5</v>
      </c>
      <c r="AG909" s="108" t="str">
        <f>INDEX(Tableau2[Repere-Voie],MATCH(Tableau3[[#This Row],[ID-VOIE]],Tableau2[ID-Voie],0))&amp;""</f>
        <v>v3</v>
      </c>
      <c r="AH909" s="72" t="str">
        <f>Tableau3[[#This Row],[ID-API]]&amp; "." &amp;Tableau3[[#This Row],[ID-RACK]]&amp; "." &amp;Tableau3[[#This Row],[ID-SLOT]]</f>
        <v>6.1.5</v>
      </c>
      <c r="AI909" s="72" t="str">
        <f>INDEX(Tableau1[Ref-Carte],MATCH(Tableau3[[#This Row],[ID-RRS]],Tableau1[ID-RRS],0))</f>
        <v>SDO0802</v>
      </c>
      <c r="AJ909" s="72" t="str">
        <f t="array" ref="AJ909">IFERROR(INDEX(Tableau2[TS],MATCH(1,(Tableau2[Ref-Carte]=Tableau3[[#This Row],[Ref-Carte2]])*(Tableau2[ID-Voie]=Tableau3[[#This Row],[ID-VOIE]]),0)),"")</f>
        <v>ST</v>
      </c>
      <c r="AK909" s="72" t="str">
        <f>IFERROR(INDEX(Tableau2[TS],SUMPRODUCT((Tableau2[Ref-Carte]=Tableau3[[#This Row],[Ref-Carte2]])*(Tableau2[ID-Voie]=Tableau3[[#This Row],[ID-VOIE]])*ROW(Tableau2[TS]))-ROW(Tableau2[#Headers])),"")</f>
        <v>ST</v>
      </c>
      <c r="AL909" s="72" t="str">
        <f>Tableau3[[#This Row],[Ref-Carte2]]&amp;"/"&amp;Tableau3[[#This Row],[ID-VOIE]]</f>
        <v>SDO0802/3</v>
      </c>
      <c r="AM909" s="73" t="str">
        <f>INDEX(Tableau2[Borne],MATCH(Tableau3[[#This Row],[ID-CARTEVOIE]],Tableau2[ID-CARTEVOIE],0))&amp;""</f>
        <v>3</v>
      </c>
      <c r="AN909" s="74" t="str">
        <f>Tableau3[[#This Row],[ID-API]]&amp;Tableau3[[#This Row],[ID-RACK]]&amp;Tableau3[[#This Row],[ID-SLOT]]&amp;Tableau3[[#This Row],[BORNE]]</f>
        <v>6153</v>
      </c>
      <c r="AO909" s="1"/>
    </row>
    <row r="910" spans="1:41" ht="20.100000000000001" customHeight="1" thickTop="1" thickBot="1">
      <c r="A910" s="68"/>
      <c r="B910" s="69" t="str">
        <f>IFERROR(INDEX(Tableau4[Date],MATCH($A910,Tableau4[EVO],0)),"")</f>
        <v/>
      </c>
      <c r="C910" s="68" t="str">
        <f>IFERROR(INDEX(Tableau4[Designation],MATCH($A910,Tableau4[EVO],0)),"")</f>
        <v/>
      </c>
      <c r="D910" s="68"/>
      <c r="E910" s="70">
        <v>45</v>
      </c>
      <c r="F910" s="71">
        <v>2</v>
      </c>
      <c r="G910" s="101" t="str">
        <f>INDEX(Tableau8[Att1],MATCH(Tableau3[[#This Row],[ID-INS]],Tableau8[ID],0))&amp;""</f>
        <v>XX</v>
      </c>
      <c r="H910" s="101" t="str">
        <f>INDEX(Tableau8[Att2],MATCH(Tableau3[[#This Row],[ID-INS]],Tableau8[ID],0))&amp;""</f>
        <v>Réserve</v>
      </c>
      <c r="I910" s="101" t="str">
        <f>INDEX(Tableau8[Att3],MATCH(Tableau3[[#This Row],[ID-INS]],Tableau8[ID],0))&amp;""</f>
        <v>Réserve</v>
      </c>
      <c r="J910" s="101"/>
      <c r="K910" s="167" t="str">
        <f>INDEX(Tableau8[Nom du modele],MATCH(Tableau3[[#This Row],[ID-INS]],Tableau8[ID],0))&amp;""</f>
        <v>S_Divers</v>
      </c>
      <c r="L910" s="99" t="str">
        <f>INDEX(Tableau5[Att1],MATCH(Tableau3[[#This Row],[ID-SIG]],Tableau5[ID],0))&amp;""</f>
        <v>S1</v>
      </c>
      <c r="M910" s="99" t="str">
        <f>INDEX(Tableau5[Att2],MATCH(Tableau3[[#This Row],[ID-SIG]],Tableau5[ID],0))&amp;""</f>
        <v/>
      </c>
      <c r="N910" s="99" t="str">
        <f>INDEX(Tableau5[Att3],MATCH(Tableau3[[#This Row],[ID-SIG]],Tableau5[ID],0))&amp;""</f>
        <v/>
      </c>
      <c r="O910" s="99"/>
      <c r="P910" s="155" t="s">
        <v>1726</v>
      </c>
      <c r="Q910" s="99"/>
      <c r="R910" s="103" t="str">
        <f>Tableau3[[#This Row],[Description]]</f>
        <v>Réserve - Sortie 1</v>
      </c>
      <c r="U910" s="87">
        <v>6</v>
      </c>
      <c r="V910" s="87">
        <v>1</v>
      </c>
      <c r="W910" s="87">
        <v>5</v>
      </c>
      <c r="X910" s="87">
        <v>4</v>
      </c>
      <c r="Y910" s="41"/>
      <c r="Z910" s="165" t="str">
        <f>INDEX(Tableau2[TS],MATCH(Tableau3[[#This Row],[ID-CARTEVOIE]],Tableau2[ID-CARTEVOIE],0))</f>
        <v>ST</v>
      </c>
      <c r="AA910" s="53" t="s">
        <v>213</v>
      </c>
      <c r="AB910" s="223" t="str">
        <f>IFERROR(INDEX(Tableau5[Reserve],MATCH(Tableau3[[#This Row],[ID-SIG]],Tableau5[ID],0))&amp;"","")</f>
        <v/>
      </c>
      <c r="AC910" s="21"/>
      <c r="AD910" s="108" t="str">
        <f>INDEX(Tableau7[Repere],MATCH(Tableau3[[#This Row],[ID-API]],Tableau7[ID-API],0))&amp;""</f>
        <v>A6</v>
      </c>
      <c r="AE910" s="108" t="str">
        <f>INDEX(Tableau1[Repere-Rack],MATCH(Tableau3[[#This Row],[ID-RACK]],Tableau1[ID-RACK],0))&amp;""</f>
        <v>R1</v>
      </c>
      <c r="AF910" s="108" t="str">
        <f>INDEX(Tableau1[Repere-Slot],MATCH(Tableau3[[#This Row],[ID-SLOT]],Tableau1[ID-SLOT],0))&amp;""</f>
        <v>S5</v>
      </c>
      <c r="AG910" s="108" t="str">
        <f>INDEX(Tableau2[Repere-Voie],MATCH(Tableau3[[#This Row],[ID-VOIE]],Tableau2[ID-Voie],0))&amp;""</f>
        <v>v4</v>
      </c>
      <c r="AH910" s="72" t="str">
        <f>Tableau3[[#This Row],[ID-API]]&amp; "." &amp;Tableau3[[#This Row],[ID-RACK]]&amp; "." &amp;Tableau3[[#This Row],[ID-SLOT]]</f>
        <v>6.1.5</v>
      </c>
      <c r="AI910" s="72" t="str">
        <f>INDEX(Tableau1[Ref-Carte],MATCH(Tableau3[[#This Row],[ID-RRS]],Tableau1[ID-RRS],0))</f>
        <v>SDO0802</v>
      </c>
      <c r="AJ910" s="72" t="str">
        <f t="array" ref="AJ910">IFERROR(INDEX(Tableau2[TS],MATCH(1,(Tableau2[Ref-Carte]=Tableau3[[#This Row],[Ref-Carte2]])*(Tableau2[ID-Voie]=Tableau3[[#This Row],[ID-VOIE]]),0)),"")</f>
        <v>ST</v>
      </c>
      <c r="AK910" s="72" t="str">
        <f>IFERROR(INDEX(Tableau2[TS],SUMPRODUCT((Tableau2[Ref-Carte]=Tableau3[[#This Row],[Ref-Carte2]])*(Tableau2[ID-Voie]=Tableau3[[#This Row],[ID-VOIE]])*ROW(Tableau2[TS]))-ROW(Tableau2[#Headers])),"")</f>
        <v>ST</v>
      </c>
      <c r="AL910" s="72" t="str">
        <f>Tableau3[[#This Row],[Ref-Carte2]]&amp;"/"&amp;Tableau3[[#This Row],[ID-VOIE]]</f>
        <v>SDO0802/4</v>
      </c>
      <c r="AM910" s="73" t="str">
        <f>INDEX(Tableau2[Borne],MATCH(Tableau3[[#This Row],[ID-CARTEVOIE]],Tableau2[ID-CARTEVOIE],0))&amp;""</f>
        <v>4</v>
      </c>
      <c r="AN910" s="74" t="str">
        <f>Tableau3[[#This Row],[ID-API]]&amp;Tableau3[[#This Row],[ID-RACK]]&amp;Tableau3[[#This Row],[ID-SLOT]]&amp;Tableau3[[#This Row],[BORNE]]</f>
        <v>6154</v>
      </c>
      <c r="AO910" s="1"/>
    </row>
    <row r="911" spans="1:41" ht="20.100000000000001" customHeight="1" thickTop="1" thickBot="1">
      <c r="A911" s="68"/>
      <c r="B911" s="69" t="str">
        <f>IFERROR(INDEX(Tableau4[Date],MATCH($A911,Tableau4[EVO],0)),"")</f>
        <v/>
      </c>
      <c r="C911" s="68" t="str">
        <f>IFERROR(INDEX(Tableau4[Designation],MATCH($A911,Tableau4[EVO],0)),"")</f>
        <v/>
      </c>
      <c r="D911" s="68"/>
      <c r="E911" s="70">
        <v>47</v>
      </c>
      <c r="F911" s="71">
        <v>52</v>
      </c>
      <c r="G911" s="101" t="str">
        <f>INDEX(Tableau8[Att1],MATCH(Tableau3[[#This Row],[ID-INS]],Tableau8[ID],0))&amp;""</f>
        <v>B22</v>
      </c>
      <c r="H911" s="101" t="str">
        <f>INDEX(Tableau8[Att2],MATCH(Tableau3[[#This Row],[ID-INS]],Tableau8[ID],0))&amp;""</f>
        <v>PMR5</v>
      </c>
      <c r="I911" s="101" t="str">
        <f>INDEX(Tableau8[Att3],MATCH(Tableau3[[#This Row],[ID-INS]],Tableau8[ID],0))&amp;""</f>
        <v>PMR5</v>
      </c>
      <c r="J911" s="101"/>
      <c r="K911" s="167" t="str">
        <f>INDEX(Tableau8[Nom du modele],MATCH(Tableau3[[#This Row],[ID-INS]],Tableau8[ID],0))&amp;""</f>
        <v>PMR_1</v>
      </c>
      <c r="L911" s="99" t="str">
        <f>INDEX(Tableau5[Att1],MATCH(Tableau3[[#This Row],[ID-SIG]],Tableau5[ID],0))&amp;""</f>
        <v>TE_OuvCmd</v>
      </c>
      <c r="M911" s="99" t="str">
        <f>INDEX(Tableau5[Att2],MATCH(Tableau3[[#This Row],[ID-SIG]],Tableau5[ID],0))&amp;""</f>
        <v/>
      </c>
      <c r="N911" s="99" t="str">
        <f>INDEX(Tableau5[Att3],MATCH(Tableau3[[#This Row],[ID-SIG]],Tableau5[ID],0))&amp;""</f>
        <v/>
      </c>
      <c r="O911" s="99"/>
      <c r="P911" s="99" t="str">
        <f>INDEX(Tableau5[Description],MATCH(Tableau3[[#This Row],[ID-SIG]],Tableau5[ID],0))</f>
        <v>Commande ouverture entrée</v>
      </c>
      <c r="Q911" s="99"/>
      <c r="R911" s="103" t="str">
        <f>Tableau3[[#This Row],[Description]]</f>
        <v>Commande ouverture entrée</v>
      </c>
      <c r="U911" s="87">
        <v>6</v>
      </c>
      <c r="V911" s="87">
        <v>1</v>
      </c>
      <c r="W911" s="87">
        <v>5</v>
      </c>
      <c r="X911" s="87">
        <v>5</v>
      </c>
      <c r="Y911" s="41"/>
      <c r="Z911" s="165" t="str">
        <f>INDEX(Tableau2[TS],MATCH(Tableau3[[#This Row],[ID-CARTEVOIE]],Tableau2[ID-CARTEVOIE],0))</f>
        <v>ST</v>
      </c>
      <c r="AA911" s="53" t="s">
        <v>213</v>
      </c>
      <c r="AB911" s="223" t="str">
        <f>IFERROR(INDEX(Tableau5[Reserve],MATCH(Tableau3[[#This Row],[ID-SIG]],Tableau5[ID],0))&amp;"","")</f>
        <v/>
      </c>
      <c r="AC911" s="21"/>
      <c r="AD911" s="108" t="str">
        <f>INDEX(Tableau7[Repere],MATCH(Tableau3[[#This Row],[ID-API]],Tableau7[ID-API],0))&amp;""</f>
        <v>A6</v>
      </c>
      <c r="AE911" s="108" t="str">
        <f>INDEX(Tableau1[Repere-Rack],MATCH(Tableau3[[#This Row],[ID-RACK]],Tableau1[ID-RACK],0))&amp;""</f>
        <v>R1</v>
      </c>
      <c r="AF911" s="108" t="str">
        <f>INDEX(Tableau1[Repere-Slot],MATCH(Tableau3[[#This Row],[ID-SLOT]],Tableau1[ID-SLOT],0))&amp;""</f>
        <v>S5</v>
      </c>
      <c r="AG911" s="108" t="str">
        <f>INDEX(Tableau2[Repere-Voie],MATCH(Tableau3[[#This Row],[ID-VOIE]],Tableau2[ID-Voie],0))&amp;""</f>
        <v>v5</v>
      </c>
      <c r="AH911" s="72" t="str">
        <f>Tableau3[[#This Row],[ID-API]]&amp; "." &amp;Tableau3[[#This Row],[ID-RACK]]&amp; "." &amp;Tableau3[[#This Row],[ID-SLOT]]</f>
        <v>6.1.5</v>
      </c>
      <c r="AI911" s="72" t="str">
        <f>INDEX(Tableau1[Ref-Carte],MATCH(Tableau3[[#This Row],[ID-RRS]],Tableau1[ID-RRS],0))</f>
        <v>SDO0802</v>
      </c>
      <c r="AJ911" s="72" t="str">
        <f t="array" ref="AJ911">IFERROR(INDEX(Tableau2[TS],MATCH(1,(Tableau2[Ref-Carte]=Tableau3[[#This Row],[Ref-Carte2]])*(Tableau2[ID-Voie]=Tableau3[[#This Row],[ID-VOIE]]),0)),"")</f>
        <v>ST</v>
      </c>
      <c r="AK911" s="72" t="str">
        <f>IFERROR(INDEX(Tableau2[TS],SUMPRODUCT((Tableau2[Ref-Carte]=Tableau3[[#This Row],[Ref-Carte2]])*(Tableau2[ID-Voie]=Tableau3[[#This Row],[ID-VOIE]])*ROW(Tableau2[TS]))-ROW(Tableau2[#Headers])),"")</f>
        <v>ST</v>
      </c>
      <c r="AL911" s="72" t="str">
        <f>Tableau3[[#This Row],[Ref-Carte2]]&amp;"/"&amp;Tableau3[[#This Row],[ID-VOIE]]</f>
        <v>SDO0802/5</v>
      </c>
      <c r="AM911" s="73" t="str">
        <f>INDEX(Tableau2[Borne],MATCH(Tableau3[[#This Row],[ID-CARTEVOIE]],Tableau2[ID-CARTEVOIE],0))&amp;""</f>
        <v>5</v>
      </c>
      <c r="AN911" s="74" t="str">
        <f>Tableau3[[#This Row],[ID-API]]&amp;Tableau3[[#This Row],[ID-RACK]]&amp;Tableau3[[#This Row],[ID-SLOT]]&amp;Tableau3[[#This Row],[BORNE]]</f>
        <v>6155</v>
      </c>
      <c r="AO911" s="1"/>
    </row>
    <row r="912" spans="1:41" ht="20.100000000000001" customHeight="1" thickTop="1" thickBot="1">
      <c r="A912" s="68"/>
      <c r="B912" s="69" t="str">
        <f>IFERROR(INDEX(Tableau4[Date],MATCH($A912,Tableau4[EVO],0)),"")</f>
        <v/>
      </c>
      <c r="C912" s="68" t="str">
        <f>IFERROR(INDEX(Tableau4[Designation],MATCH($A912,Tableau4[EVO],0)),"")</f>
        <v/>
      </c>
      <c r="D912" s="68"/>
      <c r="E912" s="70">
        <v>47</v>
      </c>
      <c r="F912" s="71">
        <v>53</v>
      </c>
      <c r="G912" s="101" t="str">
        <f>INDEX(Tableau8[Att1],MATCH(Tableau3[[#This Row],[ID-INS]],Tableau8[ID],0))&amp;""</f>
        <v>B22</v>
      </c>
      <c r="H912" s="101" t="str">
        <f>INDEX(Tableau8[Att2],MATCH(Tableau3[[#This Row],[ID-INS]],Tableau8[ID],0))&amp;""</f>
        <v>PMR5</v>
      </c>
      <c r="I912" s="101" t="str">
        <f>INDEX(Tableau8[Att3],MATCH(Tableau3[[#This Row],[ID-INS]],Tableau8[ID],0))&amp;""</f>
        <v>PMR5</v>
      </c>
      <c r="J912" s="101"/>
      <c r="K912" s="167" t="str">
        <f>INDEX(Tableau8[Nom du modele],MATCH(Tableau3[[#This Row],[ID-INS]],Tableau8[ID],0))&amp;""</f>
        <v>PMR_1</v>
      </c>
      <c r="L912" s="99" t="str">
        <f>INDEX(Tableau5[Att1],MATCH(Tableau3[[#This Row],[ID-SIG]],Tableau5[ID],0))&amp;""</f>
        <v>TS_OuvCmd1</v>
      </c>
      <c r="M912" s="99" t="str">
        <f>INDEX(Tableau5[Att2],MATCH(Tableau3[[#This Row],[ID-SIG]],Tableau5[ID],0))&amp;""</f>
        <v/>
      </c>
      <c r="N912" s="99" t="str">
        <f>INDEX(Tableau5[Att3],MATCH(Tableau3[[#This Row],[ID-SIG]],Tableau5[ID],0))&amp;""</f>
        <v/>
      </c>
      <c r="O912" s="99"/>
      <c r="P912" s="99" t="str">
        <f>INDEX(Tableau5[Description],MATCH(Tableau3[[#This Row],[ID-SIG]],Tableau5[ID],0))</f>
        <v>Commande 1 ouverture sortie</v>
      </c>
      <c r="Q912" s="99"/>
      <c r="R912" s="103" t="str">
        <f>Tableau3[[#This Row],[Description]]</f>
        <v>Commande 1 ouverture sortie</v>
      </c>
      <c r="U912" s="87">
        <v>6</v>
      </c>
      <c r="V912" s="87">
        <v>1</v>
      </c>
      <c r="W912" s="87">
        <v>5</v>
      </c>
      <c r="X912" s="87">
        <v>6</v>
      </c>
      <c r="Y912" s="41"/>
      <c r="Z912" s="165" t="str">
        <f>INDEX(Tableau2[TS],MATCH(Tableau3[[#This Row],[ID-CARTEVOIE]],Tableau2[ID-CARTEVOIE],0))</f>
        <v>ST</v>
      </c>
      <c r="AA912" s="53" t="s">
        <v>213</v>
      </c>
      <c r="AB912" s="223" t="str">
        <f>IFERROR(INDEX(Tableau5[Reserve],MATCH(Tableau3[[#This Row],[ID-SIG]],Tableau5[ID],0))&amp;"","")</f>
        <v/>
      </c>
      <c r="AC912" s="21"/>
      <c r="AD912" s="108" t="str">
        <f>INDEX(Tableau7[Repere],MATCH(Tableau3[[#This Row],[ID-API]],Tableau7[ID-API],0))&amp;""</f>
        <v>A6</v>
      </c>
      <c r="AE912" s="108" t="str">
        <f>INDEX(Tableau1[Repere-Rack],MATCH(Tableau3[[#This Row],[ID-RACK]],Tableau1[ID-RACK],0))&amp;""</f>
        <v>R1</v>
      </c>
      <c r="AF912" s="108" t="str">
        <f>INDEX(Tableau1[Repere-Slot],MATCH(Tableau3[[#This Row],[ID-SLOT]],Tableau1[ID-SLOT],0))&amp;""</f>
        <v>S5</v>
      </c>
      <c r="AG912" s="108" t="str">
        <f>INDEX(Tableau2[Repere-Voie],MATCH(Tableau3[[#This Row],[ID-VOIE]],Tableau2[ID-Voie],0))&amp;""</f>
        <v>v6</v>
      </c>
      <c r="AH912" s="72" t="str">
        <f>Tableau3[[#This Row],[ID-API]]&amp; "." &amp;Tableau3[[#This Row],[ID-RACK]]&amp; "." &amp;Tableau3[[#This Row],[ID-SLOT]]</f>
        <v>6.1.5</v>
      </c>
      <c r="AI912" s="72" t="str">
        <f>INDEX(Tableau1[Ref-Carte],MATCH(Tableau3[[#This Row],[ID-RRS]],Tableau1[ID-RRS],0))</f>
        <v>SDO0802</v>
      </c>
      <c r="AJ912" s="72" t="str">
        <f t="array" ref="AJ912">IFERROR(INDEX(Tableau2[TS],MATCH(1,(Tableau2[Ref-Carte]=Tableau3[[#This Row],[Ref-Carte2]])*(Tableau2[ID-Voie]=Tableau3[[#This Row],[ID-VOIE]]),0)),"")</f>
        <v>ST</v>
      </c>
      <c r="AK912" s="72" t="str">
        <f>IFERROR(INDEX(Tableau2[TS],SUMPRODUCT((Tableau2[Ref-Carte]=Tableau3[[#This Row],[Ref-Carte2]])*(Tableau2[ID-Voie]=Tableau3[[#This Row],[ID-VOIE]])*ROW(Tableau2[TS]))-ROW(Tableau2[#Headers])),"")</f>
        <v>ST</v>
      </c>
      <c r="AL912" s="72" t="str">
        <f>Tableau3[[#This Row],[Ref-Carte2]]&amp;"/"&amp;Tableau3[[#This Row],[ID-VOIE]]</f>
        <v>SDO0802/6</v>
      </c>
      <c r="AM912" s="73" t="str">
        <f>INDEX(Tableau2[Borne],MATCH(Tableau3[[#This Row],[ID-CARTEVOIE]],Tableau2[ID-CARTEVOIE],0))&amp;""</f>
        <v>6</v>
      </c>
      <c r="AN912" s="74" t="str">
        <f>Tableau3[[#This Row],[ID-API]]&amp;Tableau3[[#This Row],[ID-RACK]]&amp;Tableau3[[#This Row],[ID-SLOT]]&amp;Tableau3[[#This Row],[BORNE]]</f>
        <v>6156</v>
      </c>
      <c r="AO912" s="1"/>
    </row>
    <row r="913" spans="1:41" ht="20.100000000000001" customHeight="1" thickTop="1" thickBot="1">
      <c r="A913" s="68"/>
      <c r="B913" s="69" t="str">
        <f>IFERROR(INDEX(Tableau4[Date],MATCH($A913,Tableau4[EVO],0)),"")</f>
        <v/>
      </c>
      <c r="C913" s="68" t="str">
        <f>IFERROR(INDEX(Tableau4[Designation],MATCH($A913,Tableau4[EVO],0)),"")</f>
        <v/>
      </c>
      <c r="D913" s="68"/>
      <c r="E913" s="70">
        <v>47</v>
      </c>
      <c r="F913" s="71">
        <v>54</v>
      </c>
      <c r="G913" s="101" t="str">
        <f>INDEX(Tableau8[Att1],MATCH(Tableau3[[#This Row],[ID-INS]],Tableau8[ID],0))&amp;""</f>
        <v>B22</v>
      </c>
      <c r="H913" s="101" t="str">
        <f>INDEX(Tableau8[Att2],MATCH(Tableau3[[#This Row],[ID-INS]],Tableau8[ID],0))&amp;""</f>
        <v>PMR5</v>
      </c>
      <c r="I913" s="101" t="str">
        <f>INDEX(Tableau8[Att3],MATCH(Tableau3[[#This Row],[ID-INS]],Tableau8[ID],0))&amp;""</f>
        <v>PMR5</v>
      </c>
      <c r="J913" s="101"/>
      <c r="K913" s="167" t="str">
        <f>INDEX(Tableau8[Nom du modele],MATCH(Tableau3[[#This Row],[ID-INS]],Tableau8[ID],0))&amp;""</f>
        <v>PMR_1</v>
      </c>
      <c r="L913" s="99" t="str">
        <f>INDEX(Tableau5[Att1],MATCH(Tableau3[[#This Row],[ID-SIG]],Tableau5[ID],0))&amp;""</f>
        <v>TE_PictoAutor</v>
      </c>
      <c r="M913" s="99" t="str">
        <f>INDEX(Tableau5[Att2],MATCH(Tableau3[[#This Row],[ID-SIG]],Tableau5[ID],0))&amp;""</f>
        <v/>
      </c>
      <c r="N913" s="99" t="str">
        <f>INDEX(Tableau5[Att3],MATCH(Tableau3[[#This Row],[ID-SIG]],Tableau5[ID],0))&amp;""</f>
        <v/>
      </c>
      <c r="O913" s="99"/>
      <c r="P913" s="99" t="str">
        <f>INDEX(Tableau5[Description],MATCH(Tableau3[[#This Row],[ID-SIG]],Tableau5[ID],0))</f>
        <v>Commande Picto entrée</v>
      </c>
      <c r="Q913" s="99"/>
      <c r="R913" s="103" t="str">
        <f>Tableau3[[#This Row],[Description]]</f>
        <v>Commande Picto entrée</v>
      </c>
      <c r="U913" s="87">
        <v>6</v>
      </c>
      <c r="V913" s="87">
        <v>1</v>
      </c>
      <c r="W913" s="87">
        <v>5</v>
      </c>
      <c r="X913" s="87">
        <v>7</v>
      </c>
      <c r="Y913" s="41"/>
      <c r="Z913" s="165" t="str">
        <f>INDEX(Tableau2[TS],MATCH(Tableau3[[#This Row],[ID-CARTEVOIE]],Tableau2[ID-CARTEVOIE],0))</f>
        <v>ST</v>
      </c>
      <c r="AA913" s="53" t="s">
        <v>213</v>
      </c>
      <c r="AB913" s="223" t="str">
        <f>IFERROR(INDEX(Tableau5[Reserve],MATCH(Tableau3[[#This Row],[ID-SIG]],Tableau5[ID],0))&amp;"","")</f>
        <v/>
      </c>
      <c r="AC913" s="21"/>
      <c r="AD913" s="108" t="str">
        <f>INDEX(Tableau7[Repere],MATCH(Tableau3[[#This Row],[ID-API]],Tableau7[ID-API],0))&amp;""</f>
        <v>A6</v>
      </c>
      <c r="AE913" s="108" t="str">
        <f>INDEX(Tableau1[Repere-Rack],MATCH(Tableau3[[#This Row],[ID-RACK]],Tableau1[ID-RACK],0))&amp;""</f>
        <v>R1</v>
      </c>
      <c r="AF913" s="108" t="str">
        <f>INDEX(Tableau1[Repere-Slot],MATCH(Tableau3[[#This Row],[ID-SLOT]],Tableau1[ID-SLOT],0))&amp;""</f>
        <v>S5</v>
      </c>
      <c r="AG913" s="108" t="str">
        <f>INDEX(Tableau2[Repere-Voie],MATCH(Tableau3[[#This Row],[ID-VOIE]],Tableau2[ID-Voie],0))&amp;""</f>
        <v>v7</v>
      </c>
      <c r="AH913" s="72" t="str">
        <f>Tableau3[[#This Row],[ID-API]]&amp; "." &amp;Tableau3[[#This Row],[ID-RACK]]&amp; "." &amp;Tableau3[[#This Row],[ID-SLOT]]</f>
        <v>6.1.5</v>
      </c>
      <c r="AI913" s="72" t="str">
        <f>INDEX(Tableau1[Ref-Carte],MATCH(Tableau3[[#This Row],[ID-RRS]],Tableau1[ID-RRS],0))</f>
        <v>SDO0802</v>
      </c>
      <c r="AJ913" s="72" t="str">
        <f t="array" ref="AJ913">IFERROR(INDEX(Tableau2[TS],MATCH(1,(Tableau2[Ref-Carte]=Tableau3[[#This Row],[Ref-Carte2]])*(Tableau2[ID-Voie]=Tableau3[[#This Row],[ID-VOIE]]),0)),"")</f>
        <v>ST</v>
      </c>
      <c r="AK913" s="72" t="str">
        <f>IFERROR(INDEX(Tableau2[TS],SUMPRODUCT((Tableau2[Ref-Carte]=Tableau3[[#This Row],[Ref-Carte2]])*(Tableau2[ID-Voie]=Tableau3[[#This Row],[ID-VOIE]])*ROW(Tableau2[TS]))-ROW(Tableau2[#Headers])),"")</f>
        <v>ST</v>
      </c>
      <c r="AL913" s="72" t="str">
        <f>Tableau3[[#This Row],[Ref-Carte2]]&amp;"/"&amp;Tableau3[[#This Row],[ID-VOIE]]</f>
        <v>SDO0802/7</v>
      </c>
      <c r="AM913" s="73" t="str">
        <f>INDEX(Tableau2[Borne],MATCH(Tableau3[[#This Row],[ID-CARTEVOIE]],Tableau2[ID-CARTEVOIE],0))&amp;""</f>
        <v>7</v>
      </c>
      <c r="AN913" s="74" t="str">
        <f>Tableau3[[#This Row],[ID-API]]&amp;Tableau3[[#This Row],[ID-RACK]]&amp;Tableau3[[#This Row],[ID-SLOT]]&amp;Tableau3[[#This Row],[BORNE]]</f>
        <v>6157</v>
      </c>
      <c r="AO913" s="1"/>
    </row>
    <row r="914" spans="1:41" ht="20.100000000000001" customHeight="1" thickTop="1" thickBot="1">
      <c r="A914" s="68"/>
      <c r="B914" s="69" t="str">
        <f>IFERROR(INDEX(Tableau4[Date],MATCH($A914,Tableau4[EVO],0)),"")</f>
        <v/>
      </c>
      <c r="C914" s="68" t="str">
        <f>IFERROR(INDEX(Tableau4[Designation],MATCH($A914,Tableau4[EVO],0)),"")</f>
        <v/>
      </c>
      <c r="D914" s="68"/>
      <c r="E914" s="70">
        <v>47</v>
      </c>
      <c r="F914" s="71">
        <v>55</v>
      </c>
      <c r="G914" s="101" t="str">
        <f>INDEX(Tableau8[Att1],MATCH(Tableau3[[#This Row],[ID-INS]],Tableau8[ID],0))&amp;""</f>
        <v>B22</v>
      </c>
      <c r="H914" s="101" t="str">
        <f>INDEX(Tableau8[Att2],MATCH(Tableau3[[#This Row],[ID-INS]],Tableau8[ID],0))&amp;""</f>
        <v>PMR5</v>
      </c>
      <c r="I914" s="101" t="str">
        <f>INDEX(Tableau8[Att3],MATCH(Tableau3[[#This Row],[ID-INS]],Tableau8[ID],0))&amp;""</f>
        <v>PMR5</v>
      </c>
      <c r="J914" s="101"/>
      <c r="K914" s="167" t="str">
        <f>INDEX(Tableau8[Nom du modele],MATCH(Tableau3[[#This Row],[ID-INS]],Tableau8[ID],0))&amp;""</f>
        <v>PMR_1</v>
      </c>
      <c r="L914" s="99" t="str">
        <f>INDEX(Tableau5[Att1],MATCH(Tableau3[[#This Row],[ID-SIG]],Tableau5[ID],0))&amp;""</f>
        <v>TS_PictoAutor</v>
      </c>
      <c r="M914" s="99" t="str">
        <f>INDEX(Tableau5[Att2],MATCH(Tableau3[[#This Row],[ID-SIG]],Tableau5[ID],0))&amp;""</f>
        <v/>
      </c>
      <c r="N914" s="99" t="str">
        <f>INDEX(Tableau5[Att3],MATCH(Tableau3[[#This Row],[ID-SIG]],Tableau5[ID],0))&amp;""</f>
        <v/>
      </c>
      <c r="O914" s="99"/>
      <c r="P914" s="99" t="str">
        <f>INDEX(Tableau5[Description],MATCH(Tableau3[[#This Row],[ID-SIG]],Tableau5[ID],0))</f>
        <v>Commande Picto sortie</v>
      </c>
      <c r="Q914" s="99"/>
      <c r="R914" s="103" t="str">
        <f>Tableau3[[#This Row],[Description]]</f>
        <v>Commande Picto sortie</v>
      </c>
      <c r="U914" s="87">
        <v>6</v>
      </c>
      <c r="V914" s="87">
        <v>1</v>
      </c>
      <c r="W914" s="87">
        <v>6</v>
      </c>
      <c r="X914" s="87">
        <v>0</v>
      </c>
      <c r="Y914" s="41"/>
      <c r="Z914" s="165" t="str">
        <f>INDEX(Tableau2[TS],MATCH(Tableau3[[#This Row],[ID-CARTEVOIE]],Tableau2[ID-CARTEVOIE],0))</f>
        <v>ST</v>
      </c>
      <c r="AA914" s="53" t="s">
        <v>213</v>
      </c>
      <c r="AB914" s="223" t="str">
        <f>IFERROR(INDEX(Tableau5[Reserve],MATCH(Tableau3[[#This Row],[ID-SIG]],Tableau5[ID],0))&amp;"","")</f>
        <v/>
      </c>
      <c r="AC914" s="21"/>
      <c r="AD914" s="108" t="str">
        <f>INDEX(Tableau7[Repere],MATCH(Tableau3[[#This Row],[ID-API]],Tableau7[ID-API],0))&amp;""</f>
        <v>A6</v>
      </c>
      <c r="AE914" s="108" t="str">
        <f>INDEX(Tableau1[Repere-Rack],MATCH(Tableau3[[#This Row],[ID-RACK]],Tableau1[ID-RACK],0))&amp;""</f>
        <v>R1</v>
      </c>
      <c r="AF914" s="108" t="str">
        <f>INDEX(Tableau1[Repere-Slot],MATCH(Tableau3[[#This Row],[ID-SLOT]],Tableau1[ID-SLOT],0))&amp;""</f>
        <v>S6</v>
      </c>
      <c r="AG914" s="108" t="str">
        <f>INDEX(Tableau2[Repere-Voie],MATCH(Tableau3[[#This Row],[ID-VOIE]],Tableau2[ID-Voie],0))&amp;""</f>
        <v>v0</v>
      </c>
      <c r="AH914" s="72" t="str">
        <f>Tableau3[[#This Row],[ID-API]]&amp; "." &amp;Tableau3[[#This Row],[ID-RACK]]&amp; "." &amp;Tableau3[[#This Row],[ID-SLOT]]</f>
        <v>6.1.6</v>
      </c>
      <c r="AI914" s="72" t="str">
        <f>INDEX(Tableau1[Ref-Carte],MATCH(Tableau3[[#This Row],[ID-RRS]],Tableau1[ID-RRS],0))</f>
        <v>SDO0802</v>
      </c>
      <c r="AJ914" s="72" t="str">
        <f t="array" ref="AJ914">IFERROR(INDEX(Tableau2[TS],MATCH(1,(Tableau2[Ref-Carte]=Tableau3[[#This Row],[Ref-Carte2]])*(Tableau2[ID-Voie]=Tableau3[[#This Row],[ID-VOIE]]),0)),"")</f>
        <v>ST</v>
      </c>
      <c r="AK914" s="72" t="str">
        <f>IFERROR(INDEX(Tableau2[TS],SUMPRODUCT((Tableau2[Ref-Carte]=Tableau3[[#This Row],[Ref-Carte2]])*(Tableau2[ID-Voie]=Tableau3[[#This Row],[ID-VOIE]])*ROW(Tableau2[TS]))-ROW(Tableau2[#Headers])),"")</f>
        <v>ST</v>
      </c>
      <c r="AL914" s="72" t="str">
        <f>Tableau3[[#This Row],[Ref-Carte2]]&amp;"/"&amp;Tableau3[[#This Row],[ID-VOIE]]</f>
        <v>SDO0802/0</v>
      </c>
      <c r="AM914" s="73" t="str">
        <f>INDEX(Tableau2[Borne],MATCH(Tableau3[[#This Row],[ID-CARTEVOIE]],Tableau2[ID-CARTEVOIE],0))&amp;""</f>
        <v>0</v>
      </c>
      <c r="AN914" s="74" t="str">
        <f>Tableau3[[#This Row],[ID-API]]&amp;Tableau3[[#This Row],[ID-RACK]]&amp;Tableau3[[#This Row],[ID-SLOT]]&amp;Tableau3[[#This Row],[BORNE]]</f>
        <v>6160</v>
      </c>
      <c r="AO914" s="1"/>
    </row>
    <row r="915" spans="1:41" ht="20.100000000000001" customHeight="1" thickTop="1" thickBot="1">
      <c r="A915" s="68"/>
      <c r="B915" s="69" t="str">
        <f>IFERROR(INDEX(Tableau4[Date],MATCH($A915,Tableau4[EVO],0)),"")</f>
        <v/>
      </c>
      <c r="C915" s="68" t="str">
        <f>IFERROR(INDEX(Tableau4[Designation],MATCH($A915,Tableau4[EVO],0)),"")</f>
        <v/>
      </c>
      <c r="D915" s="68"/>
      <c r="E915" s="70">
        <v>48</v>
      </c>
      <c r="F915" s="71">
        <v>52</v>
      </c>
      <c r="G915" s="101" t="str">
        <f>INDEX(Tableau8[Att1],MATCH(Tableau3[[#This Row],[ID-INS]],Tableau8[ID],0))&amp;""</f>
        <v>B22</v>
      </c>
      <c r="H915" s="101" t="str">
        <f>INDEX(Tableau8[Att2],MATCH(Tableau3[[#This Row],[ID-INS]],Tableau8[ID],0))&amp;""</f>
        <v>PMR6</v>
      </c>
      <c r="I915" s="101" t="str">
        <f>INDEX(Tableau8[Att3],MATCH(Tableau3[[#This Row],[ID-INS]],Tableau8[ID],0))&amp;""</f>
        <v>PMR6</v>
      </c>
      <c r="J915" s="101"/>
      <c r="K915" s="167" t="str">
        <f>INDEX(Tableau8[Nom du modele],MATCH(Tableau3[[#This Row],[ID-INS]],Tableau8[ID],0))&amp;""</f>
        <v>PMR_1</v>
      </c>
      <c r="L915" s="99" t="str">
        <f>INDEX(Tableau5[Att1],MATCH(Tableau3[[#This Row],[ID-SIG]],Tableau5[ID],0))&amp;""</f>
        <v>TE_OuvCmd</v>
      </c>
      <c r="M915" s="99" t="str">
        <f>INDEX(Tableau5[Att2],MATCH(Tableau3[[#This Row],[ID-SIG]],Tableau5[ID],0))&amp;""</f>
        <v/>
      </c>
      <c r="N915" s="99" t="str">
        <f>INDEX(Tableau5[Att3],MATCH(Tableau3[[#This Row],[ID-SIG]],Tableau5[ID],0))&amp;""</f>
        <v/>
      </c>
      <c r="O915" s="99"/>
      <c r="P915" s="99" t="str">
        <f>INDEX(Tableau5[Description],MATCH(Tableau3[[#This Row],[ID-SIG]],Tableau5[ID],0))</f>
        <v>Commande ouverture entrée</v>
      </c>
      <c r="Q915" s="99"/>
      <c r="R915" s="103" t="str">
        <f>Tableau3[[#This Row],[Description]]</f>
        <v>Commande ouverture entrée</v>
      </c>
      <c r="U915" s="87">
        <v>6</v>
      </c>
      <c r="V915" s="87">
        <v>1</v>
      </c>
      <c r="W915" s="87">
        <v>6</v>
      </c>
      <c r="X915" s="87">
        <v>1</v>
      </c>
      <c r="Y915" s="41"/>
      <c r="Z915" s="165" t="str">
        <f>INDEX(Tableau2[TS],MATCH(Tableau3[[#This Row],[ID-CARTEVOIE]],Tableau2[ID-CARTEVOIE],0))</f>
        <v>ST</v>
      </c>
      <c r="AA915" s="53" t="s">
        <v>213</v>
      </c>
      <c r="AB915" s="223" t="str">
        <f>IFERROR(INDEX(Tableau5[Reserve],MATCH(Tableau3[[#This Row],[ID-SIG]],Tableau5[ID],0))&amp;"","")</f>
        <v/>
      </c>
      <c r="AC915" s="21"/>
      <c r="AD915" s="108" t="str">
        <f>INDEX(Tableau7[Repere],MATCH(Tableau3[[#This Row],[ID-API]],Tableau7[ID-API],0))&amp;""</f>
        <v>A6</v>
      </c>
      <c r="AE915" s="108" t="str">
        <f>INDEX(Tableau1[Repere-Rack],MATCH(Tableau3[[#This Row],[ID-RACK]],Tableau1[ID-RACK],0))&amp;""</f>
        <v>R1</v>
      </c>
      <c r="AF915" s="108" t="str">
        <f>INDEX(Tableau1[Repere-Slot],MATCH(Tableau3[[#This Row],[ID-SLOT]],Tableau1[ID-SLOT],0))&amp;""</f>
        <v>S6</v>
      </c>
      <c r="AG915" s="108" t="str">
        <f>INDEX(Tableau2[Repere-Voie],MATCH(Tableau3[[#This Row],[ID-VOIE]],Tableau2[ID-Voie],0))&amp;""</f>
        <v>v1</v>
      </c>
      <c r="AH915" s="72" t="str">
        <f>Tableau3[[#This Row],[ID-API]]&amp; "." &amp;Tableau3[[#This Row],[ID-RACK]]&amp; "." &amp;Tableau3[[#This Row],[ID-SLOT]]</f>
        <v>6.1.6</v>
      </c>
      <c r="AI915" s="72" t="str">
        <f>INDEX(Tableau1[Ref-Carte],MATCH(Tableau3[[#This Row],[ID-RRS]],Tableau1[ID-RRS],0))</f>
        <v>SDO0802</v>
      </c>
      <c r="AJ915" s="72" t="str">
        <f t="array" ref="AJ915">IFERROR(INDEX(Tableau2[TS],MATCH(1,(Tableau2[Ref-Carte]=Tableau3[[#This Row],[Ref-Carte2]])*(Tableau2[ID-Voie]=Tableau3[[#This Row],[ID-VOIE]]),0)),"")</f>
        <v>ST</v>
      </c>
      <c r="AK915" s="72" t="str">
        <f>IFERROR(INDEX(Tableau2[TS],SUMPRODUCT((Tableau2[Ref-Carte]=Tableau3[[#This Row],[Ref-Carte2]])*(Tableau2[ID-Voie]=Tableau3[[#This Row],[ID-VOIE]])*ROW(Tableau2[TS]))-ROW(Tableau2[#Headers])),"")</f>
        <v>ST</v>
      </c>
      <c r="AL915" s="72" t="str">
        <f>Tableau3[[#This Row],[Ref-Carte2]]&amp;"/"&amp;Tableau3[[#This Row],[ID-VOIE]]</f>
        <v>SDO0802/1</v>
      </c>
      <c r="AM915" s="73" t="str">
        <f>INDEX(Tableau2[Borne],MATCH(Tableau3[[#This Row],[ID-CARTEVOIE]],Tableau2[ID-CARTEVOIE],0))&amp;""</f>
        <v>1</v>
      </c>
      <c r="AN915" s="74" t="str">
        <f>Tableau3[[#This Row],[ID-API]]&amp;Tableau3[[#This Row],[ID-RACK]]&amp;Tableau3[[#This Row],[ID-SLOT]]&amp;Tableau3[[#This Row],[BORNE]]</f>
        <v>6161</v>
      </c>
      <c r="AO915" s="1"/>
    </row>
    <row r="916" spans="1:41" ht="20.100000000000001" customHeight="1" thickTop="1" thickBot="1">
      <c r="A916" s="68"/>
      <c r="B916" s="69" t="str">
        <f>IFERROR(INDEX(Tableau4[Date],MATCH($A916,Tableau4[EVO],0)),"")</f>
        <v/>
      </c>
      <c r="C916" s="68" t="str">
        <f>IFERROR(INDEX(Tableau4[Designation],MATCH($A916,Tableau4[EVO],0)),"")</f>
        <v/>
      </c>
      <c r="D916" s="68"/>
      <c r="E916" s="70">
        <v>48</v>
      </c>
      <c r="F916" s="71">
        <v>53</v>
      </c>
      <c r="G916" s="101" t="str">
        <f>INDEX(Tableau8[Att1],MATCH(Tableau3[[#This Row],[ID-INS]],Tableau8[ID],0))&amp;""</f>
        <v>B22</v>
      </c>
      <c r="H916" s="101" t="str">
        <f>INDEX(Tableau8[Att2],MATCH(Tableau3[[#This Row],[ID-INS]],Tableau8[ID],0))&amp;""</f>
        <v>PMR6</v>
      </c>
      <c r="I916" s="101" t="str">
        <f>INDEX(Tableau8[Att3],MATCH(Tableau3[[#This Row],[ID-INS]],Tableau8[ID],0))&amp;""</f>
        <v>PMR6</v>
      </c>
      <c r="J916" s="101"/>
      <c r="K916" s="167" t="str">
        <f>INDEX(Tableau8[Nom du modele],MATCH(Tableau3[[#This Row],[ID-INS]],Tableau8[ID],0))&amp;""</f>
        <v>PMR_1</v>
      </c>
      <c r="L916" s="99" t="str">
        <f>INDEX(Tableau5[Att1],MATCH(Tableau3[[#This Row],[ID-SIG]],Tableau5[ID],0))&amp;""</f>
        <v>TS_OuvCmd1</v>
      </c>
      <c r="M916" s="99" t="str">
        <f>INDEX(Tableau5[Att2],MATCH(Tableau3[[#This Row],[ID-SIG]],Tableau5[ID],0))&amp;""</f>
        <v/>
      </c>
      <c r="N916" s="99" t="str">
        <f>INDEX(Tableau5[Att3],MATCH(Tableau3[[#This Row],[ID-SIG]],Tableau5[ID],0))&amp;""</f>
        <v/>
      </c>
      <c r="O916" s="99"/>
      <c r="P916" s="99" t="str">
        <f>INDEX(Tableau5[Description],MATCH(Tableau3[[#This Row],[ID-SIG]],Tableau5[ID],0))</f>
        <v>Commande 1 ouverture sortie</v>
      </c>
      <c r="Q916" s="99"/>
      <c r="R916" s="103" t="str">
        <f>Tableau3[[#This Row],[Description]]</f>
        <v>Commande 1 ouverture sortie</v>
      </c>
      <c r="U916" s="87">
        <v>6</v>
      </c>
      <c r="V916" s="87">
        <v>1</v>
      </c>
      <c r="W916" s="87">
        <v>6</v>
      </c>
      <c r="X916" s="87">
        <v>2</v>
      </c>
      <c r="Y916" s="41"/>
      <c r="Z916" s="165" t="str">
        <f>INDEX(Tableau2[TS],MATCH(Tableau3[[#This Row],[ID-CARTEVOIE]],Tableau2[ID-CARTEVOIE],0))</f>
        <v>ST</v>
      </c>
      <c r="AA916" s="53" t="s">
        <v>213</v>
      </c>
      <c r="AB916" s="223" t="str">
        <f>IFERROR(INDEX(Tableau5[Reserve],MATCH(Tableau3[[#This Row],[ID-SIG]],Tableau5[ID],0))&amp;"","")</f>
        <v/>
      </c>
      <c r="AC916" s="21"/>
      <c r="AD916" s="108" t="str">
        <f>INDEX(Tableau7[Repere],MATCH(Tableau3[[#This Row],[ID-API]],Tableau7[ID-API],0))&amp;""</f>
        <v>A6</v>
      </c>
      <c r="AE916" s="108" t="str">
        <f>INDEX(Tableau1[Repere-Rack],MATCH(Tableau3[[#This Row],[ID-RACK]],Tableau1[ID-RACK],0))&amp;""</f>
        <v>R1</v>
      </c>
      <c r="AF916" s="108" t="str">
        <f>INDEX(Tableau1[Repere-Slot],MATCH(Tableau3[[#This Row],[ID-SLOT]],Tableau1[ID-SLOT],0))&amp;""</f>
        <v>S6</v>
      </c>
      <c r="AG916" s="108" t="str">
        <f>INDEX(Tableau2[Repere-Voie],MATCH(Tableau3[[#This Row],[ID-VOIE]],Tableau2[ID-Voie],0))&amp;""</f>
        <v>v2</v>
      </c>
      <c r="AH916" s="72" t="str">
        <f>Tableau3[[#This Row],[ID-API]]&amp; "." &amp;Tableau3[[#This Row],[ID-RACK]]&amp; "." &amp;Tableau3[[#This Row],[ID-SLOT]]</f>
        <v>6.1.6</v>
      </c>
      <c r="AI916" s="72" t="str">
        <f>INDEX(Tableau1[Ref-Carte],MATCH(Tableau3[[#This Row],[ID-RRS]],Tableau1[ID-RRS],0))</f>
        <v>SDO0802</v>
      </c>
      <c r="AJ916" s="72" t="str">
        <f t="array" ref="AJ916">IFERROR(INDEX(Tableau2[TS],MATCH(1,(Tableau2[Ref-Carte]=Tableau3[[#This Row],[Ref-Carte2]])*(Tableau2[ID-Voie]=Tableau3[[#This Row],[ID-VOIE]]),0)),"")</f>
        <v>ST</v>
      </c>
      <c r="AK916" s="72" t="str">
        <f>IFERROR(INDEX(Tableau2[TS],SUMPRODUCT((Tableau2[Ref-Carte]=Tableau3[[#This Row],[Ref-Carte2]])*(Tableau2[ID-Voie]=Tableau3[[#This Row],[ID-VOIE]])*ROW(Tableau2[TS]))-ROW(Tableau2[#Headers])),"")</f>
        <v>ST</v>
      </c>
      <c r="AL916" s="72" t="str">
        <f>Tableau3[[#This Row],[Ref-Carte2]]&amp;"/"&amp;Tableau3[[#This Row],[ID-VOIE]]</f>
        <v>SDO0802/2</v>
      </c>
      <c r="AM916" s="73" t="str">
        <f>INDEX(Tableau2[Borne],MATCH(Tableau3[[#This Row],[ID-CARTEVOIE]],Tableau2[ID-CARTEVOIE],0))&amp;""</f>
        <v>2</v>
      </c>
      <c r="AN916" s="74" t="str">
        <f>Tableau3[[#This Row],[ID-API]]&amp;Tableau3[[#This Row],[ID-RACK]]&amp;Tableau3[[#This Row],[ID-SLOT]]&amp;Tableau3[[#This Row],[BORNE]]</f>
        <v>6162</v>
      </c>
      <c r="AO916" s="1"/>
    </row>
    <row r="917" spans="1:41" ht="20.100000000000001" customHeight="1" thickTop="1" thickBot="1">
      <c r="A917" s="68"/>
      <c r="B917" s="69" t="str">
        <f>IFERROR(INDEX(Tableau4[Date],MATCH($A917,Tableau4[EVO],0)),"")</f>
        <v/>
      </c>
      <c r="C917" s="68" t="str">
        <f>IFERROR(INDEX(Tableau4[Designation],MATCH($A917,Tableau4[EVO],0)),"")</f>
        <v/>
      </c>
      <c r="D917" s="68"/>
      <c r="E917" s="70">
        <v>48</v>
      </c>
      <c r="F917" s="71">
        <v>54</v>
      </c>
      <c r="G917" s="101" t="str">
        <f>INDEX(Tableau8[Att1],MATCH(Tableau3[[#This Row],[ID-INS]],Tableau8[ID],0))&amp;""</f>
        <v>B22</v>
      </c>
      <c r="H917" s="101" t="str">
        <f>INDEX(Tableau8[Att2],MATCH(Tableau3[[#This Row],[ID-INS]],Tableau8[ID],0))&amp;""</f>
        <v>PMR6</v>
      </c>
      <c r="I917" s="101" t="str">
        <f>INDEX(Tableau8[Att3],MATCH(Tableau3[[#This Row],[ID-INS]],Tableau8[ID],0))&amp;""</f>
        <v>PMR6</v>
      </c>
      <c r="J917" s="101"/>
      <c r="K917" s="167" t="str">
        <f>INDEX(Tableau8[Nom du modele],MATCH(Tableau3[[#This Row],[ID-INS]],Tableau8[ID],0))&amp;""</f>
        <v>PMR_1</v>
      </c>
      <c r="L917" s="99" t="str">
        <f>INDEX(Tableau5[Att1],MATCH(Tableau3[[#This Row],[ID-SIG]],Tableau5[ID],0))&amp;""</f>
        <v>TE_PictoAutor</v>
      </c>
      <c r="M917" s="99" t="str">
        <f>INDEX(Tableau5[Att2],MATCH(Tableau3[[#This Row],[ID-SIG]],Tableau5[ID],0))&amp;""</f>
        <v/>
      </c>
      <c r="N917" s="99" t="str">
        <f>INDEX(Tableau5[Att3],MATCH(Tableau3[[#This Row],[ID-SIG]],Tableau5[ID],0))&amp;""</f>
        <v/>
      </c>
      <c r="O917" s="99"/>
      <c r="P917" s="99" t="str">
        <f>INDEX(Tableau5[Description],MATCH(Tableau3[[#This Row],[ID-SIG]],Tableau5[ID],0))</f>
        <v>Commande Picto entrée</v>
      </c>
      <c r="Q917" s="99"/>
      <c r="R917" s="103" t="str">
        <f>Tableau3[[#This Row],[Description]]</f>
        <v>Commande Picto entrée</v>
      </c>
      <c r="U917" s="87">
        <v>6</v>
      </c>
      <c r="V917" s="87">
        <v>1</v>
      </c>
      <c r="W917" s="87">
        <v>6</v>
      </c>
      <c r="X917" s="87">
        <v>3</v>
      </c>
      <c r="Y917" s="41"/>
      <c r="Z917" s="165" t="str">
        <f>INDEX(Tableau2[TS],MATCH(Tableau3[[#This Row],[ID-CARTEVOIE]],Tableau2[ID-CARTEVOIE],0))</f>
        <v>ST</v>
      </c>
      <c r="AA917" s="53" t="s">
        <v>213</v>
      </c>
      <c r="AB917" s="223" t="str">
        <f>IFERROR(INDEX(Tableau5[Reserve],MATCH(Tableau3[[#This Row],[ID-SIG]],Tableau5[ID],0))&amp;"","")</f>
        <v/>
      </c>
      <c r="AC917" s="21"/>
      <c r="AD917" s="108" t="str">
        <f>INDEX(Tableau7[Repere],MATCH(Tableau3[[#This Row],[ID-API]],Tableau7[ID-API],0))&amp;""</f>
        <v>A6</v>
      </c>
      <c r="AE917" s="108" t="str">
        <f>INDEX(Tableau1[Repere-Rack],MATCH(Tableau3[[#This Row],[ID-RACK]],Tableau1[ID-RACK],0))&amp;""</f>
        <v>R1</v>
      </c>
      <c r="AF917" s="108" t="str">
        <f>INDEX(Tableau1[Repere-Slot],MATCH(Tableau3[[#This Row],[ID-SLOT]],Tableau1[ID-SLOT],0))&amp;""</f>
        <v>S6</v>
      </c>
      <c r="AG917" s="108" t="str">
        <f>INDEX(Tableau2[Repere-Voie],MATCH(Tableau3[[#This Row],[ID-VOIE]],Tableau2[ID-Voie],0))&amp;""</f>
        <v>v3</v>
      </c>
      <c r="AH917" s="72" t="str">
        <f>Tableau3[[#This Row],[ID-API]]&amp; "." &amp;Tableau3[[#This Row],[ID-RACK]]&amp; "." &amp;Tableau3[[#This Row],[ID-SLOT]]</f>
        <v>6.1.6</v>
      </c>
      <c r="AI917" s="72" t="str">
        <f>INDEX(Tableau1[Ref-Carte],MATCH(Tableau3[[#This Row],[ID-RRS]],Tableau1[ID-RRS],0))</f>
        <v>SDO0802</v>
      </c>
      <c r="AJ917" s="72" t="str">
        <f t="array" ref="AJ917">IFERROR(INDEX(Tableau2[TS],MATCH(1,(Tableau2[Ref-Carte]=Tableau3[[#This Row],[Ref-Carte2]])*(Tableau2[ID-Voie]=Tableau3[[#This Row],[ID-VOIE]]),0)),"")</f>
        <v>ST</v>
      </c>
      <c r="AK917" s="72" t="str">
        <f>IFERROR(INDEX(Tableau2[TS],SUMPRODUCT((Tableau2[Ref-Carte]=Tableau3[[#This Row],[Ref-Carte2]])*(Tableau2[ID-Voie]=Tableau3[[#This Row],[ID-VOIE]])*ROW(Tableau2[TS]))-ROW(Tableau2[#Headers])),"")</f>
        <v>ST</v>
      </c>
      <c r="AL917" s="72" t="str">
        <f>Tableau3[[#This Row],[Ref-Carte2]]&amp;"/"&amp;Tableau3[[#This Row],[ID-VOIE]]</f>
        <v>SDO0802/3</v>
      </c>
      <c r="AM917" s="73" t="str">
        <f>INDEX(Tableau2[Borne],MATCH(Tableau3[[#This Row],[ID-CARTEVOIE]],Tableau2[ID-CARTEVOIE],0))&amp;""</f>
        <v>3</v>
      </c>
      <c r="AN917" s="74" t="str">
        <f>Tableau3[[#This Row],[ID-API]]&amp;Tableau3[[#This Row],[ID-RACK]]&amp;Tableau3[[#This Row],[ID-SLOT]]&amp;Tableau3[[#This Row],[BORNE]]</f>
        <v>6163</v>
      </c>
      <c r="AO917" s="1"/>
    </row>
    <row r="918" spans="1:41" ht="20.100000000000001" customHeight="1" thickTop="1" thickBot="1">
      <c r="A918" s="68"/>
      <c r="B918" s="69" t="str">
        <f>IFERROR(INDEX(Tableau4[Date],MATCH($A918,Tableau4[EVO],0)),"")</f>
        <v/>
      </c>
      <c r="C918" s="68" t="str">
        <f>IFERROR(INDEX(Tableau4[Designation],MATCH($A918,Tableau4[EVO],0)),"")</f>
        <v/>
      </c>
      <c r="D918" s="68"/>
      <c r="E918" s="70">
        <v>48</v>
      </c>
      <c r="F918" s="71">
        <v>55</v>
      </c>
      <c r="G918" s="101" t="str">
        <f>INDEX(Tableau8[Att1],MATCH(Tableau3[[#This Row],[ID-INS]],Tableau8[ID],0))&amp;""</f>
        <v>B22</v>
      </c>
      <c r="H918" s="101" t="str">
        <f>INDEX(Tableau8[Att2],MATCH(Tableau3[[#This Row],[ID-INS]],Tableau8[ID],0))&amp;""</f>
        <v>PMR6</v>
      </c>
      <c r="I918" s="101" t="str">
        <f>INDEX(Tableau8[Att3],MATCH(Tableau3[[#This Row],[ID-INS]],Tableau8[ID],0))&amp;""</f>
        <v>PMR6</v>
      </c>
      <c r="J918" s="101"/>
      <c r="K918" s="167" t="str">
        <f>INDEX(Tableau8[Nom du modele],MATCH(Tableau3[[#This Row],[ID-INS]],Tableau8[ID],0))&amp;""</f>
        <v>PMR_1</v>
      </c>
      <c r="L918" s="99" t="str">
        <f>INDEX(Tableau5[Att1],MATCH(Tableau3[[#This Row],[ID-SIG]],Tableau5[ID],0))&amp;""</f>
        <v>TS_PictoAutor</v>
      </c>
      <c r="M918" s="99" t="str">
        <f>INDEX(Tableau5[Att2],MATCH(Tableau3[[#This Row],[ID-SIG]],Tableau5[ID],0))&amp;""</f>
        <v/>
      </c>
      <c r="N918" s="99" t="str">
        <f>INDEX(Tableau5[Att3],MATCH(Tableau3[[#This Row],[ID-SIG]],Tableau5[ID],0))&amp;""</f>
        <v/>
      </c>
      <c r="O918" s="99"/>
      <c r="P918" s="99" t="str">
        <f>INDEX(Tableau5[Description],MATCH(Tableau3[[#This Row],[ID-SIG]],Tableau5[ID],0))</f>
        <v>Commande Picto sortie</v>
      </c>
      <c r="Q918" s="99"/>
      <c r="R918" s="103" t="str">
        <f>Tableau3[[#This Row],[Description]]</f>
        <v>Commande Picto sortie</v>
      </c>
      <c r="U918" s="87">
        <v>6</v>
      </c>
      <c r="V918" s="87">
        <v>1</v>
      </c>
      <c r="W918" s="87">
        <v>6</v>
      </c>
      <c r="X918" s="87">
        <v>4</v>
      </c>
      <c r="Y918" s="41"/>
      <c r="Z918" s="165" t="str">
        <f>INDEX(Tableau2[TS],MATCH(Tableau3[[#This Row],[ID-CARTEVOIE]],Tableau2[ID-CARTEVOIE],0))</f>
        <v>ST</v>
      </c>
      <c r="AA918" s="53" t="s">
        <v>213</v>
      </c>
      <c r="AB918" s="223" t="str">
        <f>IFERROR(INDEX(Tableau5[Reserve],MATCH(Tableau3[[#This Row],[ID-SIG]],Tableau5[ID],0))&amp;"","")</f>
        <v/>
      </c>
      <c r="AC918" s="21"/>
      <c r="AD918" s="108" t="str">
        <f>INDEX(Tableau7[Repere],MATCH(Tableau3[[#This Row],[ID-API]],Tableau7[ID-API],0))&amp;""</f>
        <v>A6</v>
      </c>
      <c r="AE918" s="108" t="str">
        <f>INDEX(Tableau1[Repere-Rack],MATCH(Tableau3[[#This Row],[ID-RACK]],Tableau1[ID-RACK],0))&amp;""</f>
        <v>R1</v>
      </c>
      <c r="AF918" s="108" t="str">
        <f>INDEX(Tableau1[Repere-Slot],MATCH(Tableau3[[#This Row],[ID-SLOT]],Tableau1[ID-SLOT],0))&amp;""</f>
        <v>S6</v>
      </c>
      <c r="AG918" s="108" t="str">
        <f>INDEX(Tableau2[Repere-Voie],MATCH(Tableau3[[#This Row],[ID-VOIE]],Tableau2[ID-Voie],0))&amp;""</f>
        <v>v4</v>
      </c>
      <c r="AH918" s="72" t="str">
        <f>Tableau3[[#This Row],[ID-API]]&amp; "." &amp;Tableau3[[#This Row],[ID-RACK]]&amp; "." &amp;Tableau3[[#This Row],[ID-SLOT]]</f>
        <v>6.1.6</v>
      </c>
      <c r="AI918" s="72" t="str">
        <f>INDEX(Tableau1[Ref-Carte],MATCH(Tableau3[[#This Row],[ID-RRS]],Tableau1[ID-RRS],0))</f>
        <v>SDO0802</v>
      </c>
      <c r="AJ918" s="72" t="str">
        <f t="array" ref="AJ918">IFERROR(INDEX(Tableau2[TS],MATCH(1,(Tableau2[Ref-Carte]=Tableau3[[#This Row],[Ref-Carte2]])*(Tableau2[ID-Voie]=Tableau3[[#This Row],[ID-VOIE]]),0)),"")</f>
        <v>ST</v>
      </c>
      <c r="AK918" s="72" t="str">
        <f>IFERROR(INDEX(Tableau2[TS],SUMPRODUCT((Tableau2[Ref-Carte]=Tableau3[[#This Row],[Ref-Carte2]])*(Tableau2[ID-Voie]=Tableau3[[#This Row],[ID-VOIE]])*ROW(Tableau2[TS]))-ROW(Tableau2[#Headers])),"")</f>
        <v>ST</v>
      </c>
      <c r="AL918" s="72" t="str">
        <f>Tableau3[[#This Row],[Ref-Carte2]]&amp;"/"&amp;Tableau3[[#This Row],[ID-VOIE]]</f>
        <v>SDO0802/4</v>
      </c>
      <c r="AM918" s="73" t="str">
        <f>INDEX(Tableau2[Borne],MATCH(Tableau3[[#This Row],[ID-CARTEVOIE]],Tableau2[ID-CARTEVOIE],0))&amp;""</f>
        <v>4</v>
      </c>
      <c r="AN918" s="74" t="str">
        <f>Tableau3[[#This Row],[ID-API]]&amp;Tableau3[[#This Row],[ID-RACK]]&amp;Tableau3[[#This Row],[ID-SLOT]]&amp;Tableau3[[#This Row],[BORNE]]</f>
        <v>6164</v>
      </c>
      <c r="AO918" s="1"/>
    </row>
    <row r="919" spans="1:41" ht="20.100000000000001" customHeight="1" thickTop="1" thickBot="1">
      <c r="A919" s="68"/>
      <c r="B919" s="69" t="str">
        <f>IFERROR(INDEX(Tableau4[Date],MATCH($A919,Tableau4[EVO],0)),"")</f>
        <v/>
      </c>
      <c r="C919" s="68" t="str">
        <f>IFERROR(INDEX(Tableau4[Designation],MATCH($A919,Tableau4[EVO],0)),"")</f>
        <v/>
      </c>
      <c r="D919" s="68"/>
      <c r="E919" s="70">
        <v>49</v>
      </c>
      <c r="F919" s="71">
        <v>2</v>
      </c>
      <c r="G919" s="101" t="str">
        <f>INDEX(Tableau8[Att1],MATCH(Tableau3[[#This Row],[ID-INS]],Tableau8[ID],0))&amp;""</f>
        <v>XX</v>
      </c>
      <c r="H919" s="101" t="str">
        <f>INDEX(Tableau8[Att2],MATCH(Tableau3[[#This Row],[ID-INS]],Tableau8[ID],0))&amp;""</f>
        <v>Réserve</v>
      </c>
      <c r="I919" s="101" t="str">
        <f>INDEX(Tableau8[Att3],MATCH(Tableau3[[#This Row],[ID-INS]],Tableau8[ID],0))&amp;""</f>
        <v>Réserve</v>
      </c>
      <c r="J919" s="101"/>
      <c r="K919" s="167" t="str">
        <f>INDEX(Tableau8[Nom du modele],MATCH(Tableau3[[#This Row],[ID-INS]],Tableau8[ID],0))&amp;""</f>
        <v>S_Divers</v>
      </c>
      <c r="L919" s="99" t="str">
        <f>INDEX(Tableau5[Att1],MATCH(Tableau3[[#This Row],[ID-SIG]],Tableau5[ID],0))&amp;""</f>
        <v>S1</v>
      </c>
      <c r="M919" s="99" t="str">
        <f>INDEX(Tableau5[Att2],MATCH(Tableau3[[#This Row],[ID-SIG]],Tableau5[ID],0))&amp;""</f>
        <v/>
      </c>
      <c r="N919" s="99" t="str">
        <f>INDEX(Tableau5[Att3],MATCH(Tableau3[[#This Row],[ID-SIG]],Tableau5[ID],0))&amp;""</f>
        <v/>
      </c>
      <c r="O919" s="99"/>
      <c r="P919" s="155" t="s">
        <v>1726</v>
      </c>
      <c r="Q919" s="99"/>
      <c r="R919" s="103" t="str">
        <f>Tableau3[[#This Row],[Description]]</f>
        <v>Réserve - Sortie 1</v>
      </c>
      <c r="U919" s="87">
        <v>6</v>
      </c>
      <c r="V919" s="87">
        <v>1</v>
      </c>
      <c r="W919" s="87">
        <v>6</v>
      </c>
      <c r="X919" s="87">
        <v>5</v>
      </c>
      <c r="Y919" s="41"/>
      <c r="Z919" s="165" t="str">
        <f>INDEX(Tableau2[TS],MATCH(Tableau3[[#This Row],[ID-CARTEVOIE]],Tableau2[ID-CARTEVOIE],0))</f>
        <v>ST</v>
      </c>
      <c r="AA919" s="53" t="s">
        <v>213</v>
      </c>
      <c r="AB919" s="223" t="str">
        <f>IFERROR(INDEX(Tableau5[Reserve],MATCH(Tableau3[[#This Row],[ID-SIG]],Tableau5[ID],0))&amp;"","")</f>
        <v/>
      </c>
      <c r="AC919" s="21"/>
      <c r="AD919" s="108" t="str">
        <f>INDEX(Tableau7[Repere],MATCH(Tableau3[[#This Row],[ID-API]],Tableau7[ID-API],0))&amp;""</f>
        <v>A6</v>
      </c>
      <c r="AE919" s="108" t="str">
        <f>INDEX(Tableau1[Repere-Rack],MATCH(Tableau3[[#This Row],[ID-RACK]],Tableau1[ID-RACK],0))&amp;""</f>
        <v>R1</v>
      </c>
      <c r="AF919" s="108" t="str">
        <f>INDEX(Tableau1[Repere-Slot],MATCH(Tableau3[[#This Row],[ID-SLOT]],Tableau1[ID-SLOT],0))&amp;""</f>
        <v>S6</v>
      </c>
      <c r="AG919" s="108" t="str">
        <f>INDEX(Tableau2[Repere-Voie],MATCH(Tableau3[[#This Row],[ID-VOIE]],Tableau2[ID-Voie],0))&amp;""</f>
        <v>v5</v>
      </c>
      <c r="AH919" s="72" t="str">
        <f>Tableau3[[#This Row],[ID-API]]&amp; "." &amp;Tableau3[[#This Row],[ID-RACK]]&amp; "." &amp;Tableau3[[#This Row],[ID-SLOT]]</f>
        <v>6.1.6</v>
      </c>
      <c r="AI919" s="72" t="str">
        <f>INDEX(Tableau1[Ref-Carte],MATCH(Tableau3[[#This Row],[ID-RRS]],Tableau1[ID-RRS],0))</f>
        <v>SDO0802</v>
      </c>
      <c r="AJ919" s="72" t="str">
        <f t="array" ref="AJ919">IFERROR(INDEX(Tableau2[TS],MATCH(1,(Tableau2[Ref-Carte]=Tableau3[[#This Row],[Ref-Carte2]])*(Tableau2[ID-Voie]=Tableau3[[#This Row],[ID-VOIE]]),0)),"")</f>
        <v>ST</v>
      </c>
      <c r="AK919" s="72" t="str">
        <f>IFERROR(INDEX(Tableau2[TS],SUMPRODUCT((Tableau2[Ref-Carte]=Tableau3[[#This Row],[Ref-Carte2]])*(Tableau2[ID-Voie]=Tableau3[[#This Row],[ID-VOIE]])*ROW(Tableau2[TS]))-ROW(Tableau2[#Headers])),"")</f>
        <v>ST</v>
      </c>
      <c r="AL919" s="72" t="str">
        <f>Tableau3[[#This Row],[Ref-Carte2]]&amp;"/"&amp;Tableau3[[#This Row],[ID-VOIE]]</f>
        <v>SDO0802/5</v>
      </c>
      <c r="AM919" s="73" t="str">
        <f>INDEX(Tableau2[Borne],MATCH(Tableau3[[#This Row],[ID-CARTEVOIE]],Tableau2[ID-CARTEVOIE],0))&amp;""</f>
        <v>5</v>
      </c>
      <c r="AN919" s="74" t="str">
        <f>Tableau3[[#This Row],[ID-API]]&amp;Tableau3[[#This Row],[ID-RACK]]&amp;Tableau3[[#This Row],[ID-SLOT]]&amp;Tableau3[[#This Row],[BORNE]]</f>
        <v>6165</v>
      </c>
      <c r="AO919" s="1"/>
    </row>
    <row r="920" spans="1:41" ht="20.100000000000001" customHeight="1" thickTop="1" thickBot="1">
      <c r="A920" s="68"/>
      <c r="B920" s="69" t="str">
        <f>IFERROR(INDEX(Tableau4[Date],MATCH($A920,Tableau4[EVO],0)),"")</f>
        <v/>
      </c>
      <c r="C920" s="68" t="str">
        <f>IFERROR(INDEX(Tableau4[Designation],MATCH($A920,Tableau4[EVO],0)),"")</f>
        <v/>
      </c>
      <c r="D920" s="68"/>
      <c r="E920" s="70">
        <v>51</v>
      </c>
      <c r="F920" s="71">
        <v>2</v>
      </c>
      <c r="G920" s="101" t="str">
        <f>INDEX(Tableau8[Att1],MATCH(Tableau3[[#This Row],[ID-INS]],Tableau8[ID],0))&amp;""</f>
        <v>XX</v>
      </c>
      <c r="H920" s="101" t="str">
        <f>INDEX(Tableau8[Att2],MATCH(Tableau3[[#This Row],[ID-INS]],Tableau8[ID],0))&amp;""</f>
        <v>Réserve</v>
      </c>
      <c r="I920" s="101" t="str">
        <f>INDEX(Tableau8[Att3],MATCH(Tableau3[[#This Row],[ID-INS]],Tableau8[ID],0))&amp;""</f>
        <v>Réserve</v>
      </c>
      <c r="J920" s="101"/>
      <c r="K920" s="167" t="str">
        <f>INDEX(Tableau8[Nom du modele],MATCH(Tableau3[[#This Row],[ID-INS]],Tableau8[ID],0))&amp;""</f>
        <v>S_Divers</v>
      </c>
      <c r="L920" s="99" t="str">
        <f>INDEX(Tableau5[Att1],MATCH(Tableau3[[#This Row],[ID-SIG]],Tableau5[ID],0))&amp;""</f>
        <v>S1</v>
      </c>
      <c r="M920" s="99" t="str">
        <f>INDEX(Tableau5[Att2],MATCH(Tableau3[[#This Row],[ID-SIG]],Tableau5[ID],0))&amp;""</f>
        <v/>
      </c>
      <c r="N920" s="99" t="str">
        <f>INDEX(Tableau5[Att3],MATCH(Tableau3[[#This Row],[ID-SIG]],Tableau5[ID],0))&amp;""</f>
        <v/>
      </c>
      <c r="O920" s="99"/>
      <c r="P920" s="155" t="s">
        <v>1726</v>
      </c>
      <c r="Q920" s="99"/>
      <c r="R920" s="103" t="str">
        <f>Tableau3[[#This Row],[Description]]</f>
        <v>Réserve - Sortie 1</v>
      </c>
      <c r="U920" s="87">
        <v>6</v>
      </c>
      <c r="V920" s="87">
        <v>1</v>
      </c>
      <c r="W920" s="87">
        <v>6</v>
      </c>
      <c r="X920" s="87">
        <v>6</v>
      </c>
      <c r="Y920" s="41"/>
      <c r="Z920" s="165" t="str">
        <f>INDEX(Tableau2[TS],MATCH(Tableau3[[#This Row],[ID-CARTEVOIE]],Tableau2[ID-CARTEVOIE],0))</f>
        <v>ST</v>
      </c>
      <c r="AA920" s="53" t="s">
        <v>213</v>
      </c>
      <c r="AB920" s="223" t="str">
        <f>IFERROR(INDEX(Tableau5[Reserve],MATCH(Tableau3[[#This Row],[ID-SIG]],Tableau5[ID],0))&amp;"","")</f>
        <v/>
      </c>
      <c r="AC920" s="21"/>
      <c r="AD920" s="108" t="str">
        <f>INDEX(Tableau7[Repere],MATCH(Tableau3[[#This Row],[ID-API]],Tableau7[ID-API],0))&amp;""</f>
        <v>A6</v>
      </c>
      <c r="AE920" s="108" t="str">
        <f>INDEX(Tableau1[Repere-Rack],MATCH(Tableau3[[#This Row],[ID-RACK]],Tableau1[ID-RACK],0))&amp;""</f>
        <v>R1</v>
      </c>
      <c r="AF920" s="108" t="str">
        <f>INDEX(Tableau1[Repere-Slot],MATCH(Tableau3[[#This Row],[ID-SLOT]],Tableau1[ID-SLOT],0))&amp;""</f>
        <v>S6</v>
      </c>
      <c r="AG920" s="108" t="str">
        <f>INDEX(Tableau2[Repere-Voie],MATCH(Tableau3[[#This Row],[ID-VOIE]],Tableau2[ID-Voie],0))&amp;""</f>
        <v>v6</v>
      </c>
      <c r="AH920" s="72" t="str">
        <f>Tableau3[[#This Row],[ID-API]]&amp; "." &amp;Tableau3[[#This Row],[ID-RACK]]&amp; "." &amp;Tableau3[[#This Row],[ID-SLOT]]</f>
        <v>6.1.6</v>
      </c>
      <c r="AI920" s="72" t="str">
        <f>INDEX(Tableau1[Ref-Carte],MATCH(Tableau3[[#This Row],[ID-RRS]],Tableau1[ID-RRS],0))</f>
        <v>SDO0802</v>
      </c>
      <c r="AJ920" s="72" t="str">
        <f t="array" ref="AJ920">IFERROR(INDEX(Tableau2[TS],MATCH(1,(Tableau2[Ref-Carte]=Tableau3[[#This Row],[Ref-Carte2]])*(Tableau2[ID-Voie]=Tableau3[[#This Row],[ID-VOIE]]),0)),"")</f>
        <v>ST</v>
      </c>
      <c r="AK920" s="72" t="str">
        <f>IFERROR(INDEX(Tableau2[TS],SUMPRODUCT((Tableau2[Ref-Carte]=Tableau3[[#This Row],[Ref-Carte2]])*(Tableau2[ID-Voie]=Tableau3[[#This Row],[ID-VOIE]])*ROW(Tableau2[TS]))-ROW(Tableau2[#Headers])),"")</f>
        <v>ST</v>
      </c>
      <c r="AL920" s="72" t="str">
        <f>Tableau3[[#This Row],[Ref-Carte2]]&amp;"/"&amp;Tableau3[[#This Row],[ID-VOIE]]</f>
        <v>SDO0802/6</v>
      </c>
      <c r="AM920" s="73" t="str">
        <f>INDEX(Tableau2[Borne],MATCH(Tableau3[[#This Row],[ID-CARTEVOIE]],Tableau2[ID-CARTEVOIE],0))&amp;""</f>
        <v>6</v>
      </c>
      <c r="AN920" s="74" t="str">
        <f>Tableau3[[#This Row],[ID-API]]&amp;Tableau3[[#This Row],[ID-RACK]]&amp;Tableau3[[#This Row],[ID-SLOT]]&amp;Tableau3[[#This Row],[BORNE]]</f>
        <v>6166</v>
      </c>
      <c r="AO920" s="1"/>
    </row>
    <row r="921" spans="1:41" ht="20.100000000000001" customHeight="1" thickTop="1" thickBot="1">
      <c r="A921" s="68"/>
      <c r="B921" s="69" t="str">
        <f>IFERROR(INDEX(Tableau4[Date],MATCH($A921,Tableau4[EVO],0)),"")</f>
        <v/>
      </c>
      <c r="C921" s="68" t="str">
        <f>IFERROR(INDEX(Tableau4[Designation],MATCH($A921,Tableau4[EVO],0)),"")</f>
        <v/>
      </c>
      <c r="D921" s="68"/>
      <c r="E921" s="70">
        <v>58</v>
      </c>
      <c r="F921" s="71">
        <v>18</v>
      </c>
      <c r="G921" s="101" t="str">
        <f>INDEX(Tableau8[Att1],MATCH(Tableau3[[#This Row],[ID-INS]],Tableau8[ID],0))&amp;""</f>
        <v>GR</v>
      </c>
      <c r="H921" s="101" t="str">
        <f>INDEX(Tableau8[Att2],MATCH(Tableau3[[#This Row],[ID-INS]],Tableau8[ID],0))&amp;""</f>
        <v>TRSS1</v>
      </c>
      <c r="I921" s="101" t="str">
        <f>INDEX(Tableau8[Att3],MATCH(Tableau3[[#This Row],[ID-INS]],Tableau8[ID],0))&amp;""</f>
        <v>Tourniquet TRSS1</v>
      </c>
      <c r="J921" s="101"/>
      <c r="K921" s="167" t="str">
        <f>INDEX(Tableau8[Nom du modele],MATCH(Tableau3[[#This Row],[ID-INS]],Tableau8[ID],0))&amp;""</f>
        <v>TRSS_1</v>
      </c>
      <c r="L921" s="99" t="str">
        <f>INDEX(Tableau5[Att1],MATCH(Tableau3[[#This Row],[ID-SIG]],Tableau5[ID],0))&amp;""</f>
        <v>TE_OuvCmd</v>
      </c>
      <c r="M921" s="99" t="str">
        <f>INDEX(Tableau5[Att2],MATCH(Tableau3[[#This Row],[ID-SIG]],Tableau5[ID],0))&amp;""</f>
        <v/>
      </c>
      <c r="N921" s="99" t="str">
        <f>INDEX(Tableau5[Att3],MATCH(Tableau3[[#This Row],[ID-SIG]],Tableau5[ID],0))&amp;""</f>
        <v/>
      </c>
      <c r="O921" s="99"/>
      <c r="P921" s="99" t="str">
        <f>INDEX(Tableau5[Description],MATCH(Tableau3[[#This Row],[ID-SIG]],Tableau5[ID],0))</f>
        <v>Commande ouverture entrée</v>
      </c>
      <c r="Q921" s="99"/>
      <c r="R921" s="103" t="str">
        <f>Tableau3[[#This Row],[Description]]</f>
        <v>Commande ouverture entrée</v>
      </c>
      <c r="U921" s="87">
        <v>6</v>
      </c>
      <c r="V921" s="87">
        <v>1</v>
      </c>
      <c r="W921" s="87">
        <v>6</v>
      </c>
      <c r="X921" s="87">
        <v>7</v>
      </c>
      <c r="Y921" s="41"/>
      <c r="Z921" s="165" t="str">
        <f>INDEX(Tableau2[TS],MATCH(Tableau3[[#This Row],[ID-CARTEVOIE]],Tableau2[ID-CARTEVOIE],0))</f>
        <v>ST</v>
      </c>
      <c r="AA921" s="53" t="s">
        <v>213</v>
      </c>
      <c r="AB921" s="223" t="str">
        <f>IFERROR(INDEX(Tableau5[Reserve],MATCH(Tableau3[[#This Row],[ID-SIG]],Tableau5[ID],0))&amp;"","")</f>
        <v/>
      </c>
      <c r="AC921" s="21"/>
      <c r="AD921" s="108" t="str">
        <f>INDEX(Tableau7[Repere],MATCH(Tableau3[[#This Row],[ID-API]],Tableau7[ID-API],0))&amp;""</f>
        <v>A6</v>
      </c>
      <c r="AE921" s="108" t="str">
        <f>INDEX(Tableau1[Repere-Rack],MATCH(Tableau3[[#This Row],[ID-RACK]],Tableau1[ID-RACK],0))&amp;""</f>
        <v>R1</v>
      </c>
      <c r="AF921" s="108" t="str">
        <f>INDEX(Tableau1[Repere-Slot],MATCH(Tableau3[[#This Row],[ID-SLOT]],Tableau1[ID-SLOT],0))&amp;""</f>
        <v>S6</v>
      </c>
      <c r="AG921" s="108" t="str">
        <f>INDEX(Tableau2[Repere-Voie],MATCH(Tableau3[[#This Row],[ID-VOIE]],Tableau2[ID-Voie],0))&amp;""</f>
        <v>v7</v>
      </c>
      <c r="AH921" s="72" t="str">
        <f>Tableau3[[#This Row],[ID-API]]&amp; "." &amp;Tableau3[[#This Row],[ID-RACK]]&amp; "." &amp;Tableau3[[#This Row],[ID-SLOT]]</f>
        <v>6.1.6</v>
      </c>
      <c r="AI921" s="72" t="str">
        <f>INDEX(Tableau1[Ref-Carte],MATCH(Tableau3[[#This Row],[ID-RRS]],Tableau1[ID-RRS],0))</f>
        <v>SDO0802</v>
      </c>
      <c r="AJ921" s="72" t="str">
        <f t="array" ref="AJ921">IFERROR(INDEX(Tableau2[TS],MATCH(1,(Tableau2[Ref-Carte]=Tableau3[[#This Row],[Ref-Carte2]])*(Tableau2[ID-Voie]=Tableau3[[#This Row],[ID-VOIE]]),0)),"")</f>
        <v>ST</v>
      </c>
      <c r="AK921" s="72" t="str">
        <f>IFERROR(INDEX(Tableau2[TS],SUMPRODUCT((Tableau2[Ref-Carte]=Tableau3[[#This Row],[Ref-Carte2]])*(Tableau2[ID-Voie]=Tableau3[[#This Row],[ID-VOIE]])*ROW(Tableau2[TS]))-ROW(Tableau2[#Headers])),"")</f>
        <v>ST</v>
      </c>
      <c r="AL921" s="72" t="str">
        <f>Tableau3[[#This Row],[Ref-Carte2]]&amp;"/"&amp;Tableau3[[#This Row],[ID-VOIE]]</f>
        <v>SDO0802/7</v>
      </c>
      <c r="AM921" s="73" t="str">
        <f>INDEX(Tableau2[Borne],MATCH(Tableau3[[#This Row],[ID-CARTEVOIE]],Tableau2[ID-CARTEVOIE],0))&amp;""</f>
        <v>7</v>
      </c>
      <c r="AN921" s="74" t="str">
        <f>Tableau3[[#This Row],[ID-API]]&amp;Tableau3[[#This Row],[ID-RACK]]&amp;Tableau3[[#This Row],[ID-SLOT]]&amp;Tableau3[[#This Row],[BORNE]]</f>
        <v>6167</v>
      </c>
      <c r="AO921" s="1"/>
    </row>
    <row r="922" spans="1:41" ht="20.100000000000001" customHeight="1" thickTop="1" thickBot="1">
      <c r="A922" s="134"/>
      <c r="B922" s="135" t="str">
        <f>IFERROR(INDEX(Tableau4[Date],MATCH($A922,Tableau4[EVO],0)),"")</f>
        <v/>
      </c>
      <c r="C922" s="136" t="str">
        <f>IFERROR(INDEX(Tableau4[Designation],MATCH($A922,Tableau4[EVO],0)),"")</f>
        <v/>
      </c>
      <c r="D922" s="134"/>
      <c r="E922" s="137">
        <v>8</v>
      </c>
      <c r="F922" s="138">
        <v>246</v>
      </c>
      <c r="G922" s="139" t="str">
        <f>INDEX(Tableau8[Att1],MATCH(Tableau3[[#This Row],[ID-INS]],Tableau8[ID],0))&amp;""</f>
        <v>V5</v>
      </c>
      <c r="H922" s="152" t="s">
        <v>1737</v>
      </c>
      <c r="I922" s="139"/>
      <c r="J922" s="101"/>
      <c r="K922" s="167" t="str">
        <f>INDEX(Tableau8[Nom du modele],MATCH(Tableau3[[#This Row],[ID-INS]],Tableau8[ID],0))&amp;""</f>
        <v>PortailBleuElec_1</v>
      </c>
      <c r="L922" s="154" t="s">
        <v>487</v>
      </c>
      <c r="M922" s="141" t="str">
        <f>INDEX(Tableau5[Att2],MATCH(Tableau3[[#This Row],[ID-SIG]],Tableau5[ID],0))&amp;""</f>
        <v/>
      </c>
      <c r="N922" s="141" t="str">
        <f>INDEX(Tableau5[Att3],MATCH(Tableau3[[#This Row],[ID-SIG]],Tableau5[ID],0))&amp;""</f>
        <v/>
      </c>
      <c r="O922" s="99"/>
      <c r="P922" s="154" t="s">
        <v>1769</v>
      </c>
      <c r="Q922" s="99"/>
      <c r="R922" s="142" t="str">
        <f>Tableau3[[#This Row],[Description]]</f>
        <v>Barrière BR5 - Effraction</v>
      </c>
      <c r="S922" s="52"/>
      <c r="U922" s="87">
        <v>6</v>
      </c>
      <c r="V922" s="87">
        <v>1</v>
      </c>
      <c r="W922" s="87">
        <v>7</v>
      </c>
      <c r="X922" s="87">
        <v>0</v>
      </c>
      <c r="Y922" s="40"/>
      <c r="Z922" s="165" t="str">
        <f>INDEX(Tableau2[TS],MATCH(Tableau3[[#This Row],[ID-CARTEVOIE]],Tableau2[ID-CARTEVOIE],0))</f>
        <v>ET</v>
      </c>
      <c r="AA922" s="144" t="s">
        <v>213</v>
      </c>
      <c r="AB922" s="224" t="str">
        <f>IFERROR(INDEX(Tableau5[Reserve],MATCH(Tableau3[[#This Row],[ID-SIG]],Tableau5[ID],0))&amp;"","")</f>
        <v/>
      </c>
      <c r="AC922" s="119"/>
      <c r="AD922" s="120" t="str">
        <f>INDEX(Tableau7[Repere],MATCH(Tableau3[[#This Row],[ID-API]],Tableau7[ID-API],0))&amp;""</f>
        <v>A6</v>
      </c>
      <c r="AE922" s="120" t="str">
        <f>INDEX(Tableau1[Repere-Rack],MATCH(Tableau3[[#This Row],[ID-RACK]],Tableau1[ID-RACK],0))&amp;""</f>
        <v>R1</v>
      </c>
      <c r="AF922" s="120" t="str">
        <f>INDEX(Tableau1[Repere-Slot],MATCH(Tableau3[[#This Row],[ID-SLOT]],Tableau1[ID-SLOT],0))&amp;""</f>
        <v>S7</v>
      </c>
      <c r="AG922" s="120" t="str">
        <f>INDEX(Tableau2[Repere-Voie],MATCH(Tableau3[[#This Row],[ID-VOIE]],Tableau2[ID-Voie],0))&amp;""</f>
        <v>v0</v>
      </c>
      <c r="AH922" s="122" t="str">
        <f>Tableau3[[#This Row],[ID-API]]&amp; "." &amp;Tableau3[[#This Row],[ID-RACK]]&amp; "." &amp;Tableau3[[#This Row],[ID-SLOT]]</f>
        <v>6.1.7</v>
      </c>
      <c r="AI922" s="72" t="str">
        <f>INDEX(Tableau1[Ref-Carte],MATCH(Tableau3[[#This Row],[ID-RRS]],Tableau1[ID-RRS],0))</f>
        <v>SDI1602</v>
      </c>
      <c r="AJ922" s="72" t="str">
        <f t="array" ref="AJ922">IFERROR(INDEX(Tableau2[TS],MATCH(1,(Tableau2[Ref-Carte]=Tableau3[[#This Row],[Ref-Carte2]])*(Tableau2[ID-Voie]=Tableau3[[#This Row],[ID-VOIE]]),0)),"")</f>
        <v>ET</v>
      </c>
      <c r="AK922" s="72" t="str">
        <f>IFERROR(INDEX(Tableau2[TS],SUMPRODUCT((Tableau2[Ref-Carte]=Tableau3[[#This Row],[Ref-Carte2]])*(Tableau2[ID-Voie]=Tableau3[[#This Row],[ID-VOIE]])*ROW(Tableau2[TS]))-ROW(Tableau2[#Headers])),"")</f>
        <v>ET</v>
      </c>
      <c r="AL922" s="122" t="str">
        <f>Tableau3[[#This Row],[Ref-Carte2]]&amp;"/"&amp;Tableau3[[#This Row],[ID-VOIE]]</f>
        <v>SDI1602/0</v>
      </c>
      <c r="AM922" s="145" t="str">
        <f>INDEX(Tableau2[Borne],MATCH(Tableau3[[#This Row],[ID-CARTEVOIE]],Tableau2[ID-CARTEVOIE],0))&amp;""</f>
        <v>0B</v>
      </c>
      <c r="AN922" s="124" t="str">
        <f>Tableau3[[#This Row],[ID-API]]&amp;Tableau3[[#This Row],[ID-RACK]]&amp;Tableau3[[#This Row],[ID-SLOT]]&amp;Tableau3[[#This Row],[BORNE]]</f>
        <v>6170B</v>
      </c>
      <c r="AO922" s="125"/>
    </row>
    <row r="923" spans="1:41" ht="20.100000000000001" customHeight="1" thickTop="1" thickBot="1">
      <c r="A923" s="68"/>
      <c r="B923" s="69" t="str">
        <f>IFERROR(INDEX(Tableau4[Date],MATCH($A923,Tableau4[EVO],0)),"")</f>
        <v/>
      </c>
      <c r="C923" s="68" t="str">
        <f>IFERROR(INDEX(Tableau4[Designation],MATCH($A923,Tableau4[EVO],0)),"")</f>
        <v/>
      </c>
      <c r="D923" s="68"/>
      <c r="E923" s="70">
        <v>8</v>
      </c>
      <c r="F923" s="71">
        <v>247</v>
      </c>
      <c r="G923" s="101" t="str">
        <f>INDEX(Tableau8[Att1],MATCH(Tableau3[[#This Row],[ID-INS]],Tableau8[ID],0))&amp;""</f>
        <v>V5</v>
      </c>
      <c r="H923" s="153" t="s">
        <v>1737</v>
      </c>
      <c r="I923" s="101"/>
      <c r="J923" s="101"/>
      <c r="K923" s="167" t="str">
        <f>INDEX(Tableau8[Nom du modele],MATCH(Tableau3[[#This Row],[ID-INS]],Tableau8[ID],0))&amp;""</f>
        <v>PortailBleuElec_1</v>
      </c>
      <c r="L923" s="155" t="s">
        <v>262</v>
      </c>
      <c r="M923" s="99" t="str">
        <f>INDEX(Tableau5[Att2],MATCH(Tableau3[[#This Row],[ID-SIG]],Tableau5[ID],0))&amp;""</f>
        <v/>
      </c>
      <c r="N923" s="99" t="str">
        <f>INDEX(Tableau5[Att3],MATCH(Tableau3[[#This Row],[ID-SIG]],Tableau5[ID],0))&amp;""</f>
        <v/>
      </c>
      <c r="O923" s="99"/>
      <c r="P923" s="155" t="s">
        <v>1770</v>
      </c>
      <c r="Q923" s="99"/>
      <c r="R923" s="103" t="str">
        <f>Tableau3[[#This Row],[Description]]</f>
        <v>Barrière BR5 - Présence sous la barrière (Cellule)</v>
      </c>
      <c r="S923" s="52"/>
      <c r="U923" s="87">
        <v>6</v>
      </c>
      <c r="V923" s="87">
        <v>1</v>
      </c>
      <c r="W923" s="87">
        <v>7</v>
      </c>
      <c r="X923" s="87">
        <v>1</v>
      </c>
      <c r="Y923" s="40"/>
      <c r="Z923" s="165" t="str">
        <f>INDEX(Tableau2[TS],MATCH(Tableau3[[#This Row],[ID-CARTEVOIE]],Tableau2[ID-CARTEVOIE],0))</f>
        <v>ET</v>
      </c>
      <c r="AA923" s="53" t="s">
        <v>213</v>
      </c>
      <c r="AB923" s="223" t="str">
        <f>IFERROR(INDEX(Tableau5[Reserve],MATCH(Tableau3[[#This Row],[ID-SIG]],Tableau5[ID],0))&amp;"","")</f>
        <v/>
      </c>
      <c r="AC923" s="21"/>
      <c r="AD923" s="108" t="str">
        <f>INDEX(Tableau7[Repere],MATCH(Tableau3[[#This Row],[ID-API]],Tableau7[ID-API],0))&amp;""</f>
        <v>A6</v>
      </c>
      <c r="AE923" s="108" t="str">
        <f>INDEX(Tableau1[Repere-Rack],MATCH(Tableau3[[#This Row],[ID-RACK]],Tableau1[ID-RACK],0))&amp;""</f>
        <v>R1</v>
      </c>
      <c r="AF923" s="108" t="str">
        <f>INDEX(Tableau1[Repere-Slot],MATCH(Tableau3[[#This Row],[ID-SLOT]],Tableau1[ID-SLOT],0))&amp;""</f>
        <v>S7</v>
      </c>
      <c r="AG923" s="108" t="str">
        <f>INDEX(Tableau2[Repere-Voie],MATCH(Tableau3[[#This Row],[ID-VOIE]],Tableau2[ID-Voie],0))&amp;""</f>
        <v>v1</v>
      </c>
      <c r="AH923" s="72" t="str">
        <f>Tableau3[[#This Row],[ID-API]]&amp; "." &amp;Tableau3[[#This Row],[ID-RACK]]&amp; "." &amp;Tableau3[[#This Row],[ID-SLOT]]</f>
        <v>6.1.7</v>
      </c>
      <c r="AI923" s="72" t="str">
        <f>INDEX(Tableau1[Ref-Carte],MATCH(Tableau3[[#This Row],[ID-RRS]],Tableau1[ID-RRS],0))</f>
        <v>SDI1602</v>
      </c>
      <c r="AJ923" s="72" t="str">
        <f t="array" ref="AJ923">IFERROR(INDEX(Tableau2[TS],MATCH(1,(Tableau2[Ref-Carte]=Tableau3[[#This Row],[Ref-Carte2]])*(Tableau2[ID-Voie]=Tableau3[[#This Row],[ID-VOIE]]),0)),"")</f>
        <v>ET</v>
      </c>
      <c r="AK923" s="72" t="str">
        <f>IFERROR(INDEX(Tableau2[TS],SUMPRODUCT((Tableau2[Ref-Carte]=Tableau3[[#This Row],[Ref-Carte2]])*(Tableau2[ID-Voie]=Tableau3[[#This Row],[ID-VOIE]])*ROW(Tableau2[TS]))-ROW(Tableau2[#Headers])),"")</f>
        <v>ET</v>
      </c>
      <c r="AL923" s="72" t="str">
        <f>Tableau3[[#This Row],[Ref-Carte2]]&amp;"/"&amp;Tableau3[[#This Row],[ID-VOIE]]</f>
        <v>SDI1602/1</v>
      </c>
      <c r="AM923" s="73" t="str">
        <f>INDEX(Tableau2[Borne],MATCH(Tableau3[[#This Row],[ID-CARTEVOIE]],Tableau2[ID-CARTEVOIE],0))&amp;""</f>
        <v>0A</v>
      </c>
      <c r="AN923" s="74" t="str">
        <f>Tableau3[[#This Row],[ID-API]]&amp;Tableau3[[#This Row],[ID-RACK]]&amp;Tableau3[[#This Row],[ID-SLOT]]&amp;Tableau3[[#This Row],[BORNE]]</f>
        <v>6170A</v>
      </c>
      <c r="AO923" s="1"/>
    </row>
    <row r="924" spans="1:41" ht="20.100000000000001" customHeight="1" thickTop="1" thickBot="1">
      <c r="A924" s="68"/>
      <c r="B924" s="69" t="str">
        <f>IFERROR(INDEX(Tableau4[Date],MATCH($A924,Tableau4[EVO],0)),"")</f>
        <v/>
      </c>
      <c r="C924" s="68" t="str">
        <f>IFERROR(INDEX(Tableau4[Designation],MATCH($A924,Tableau4[EVO],0)),"")</f>
        <v/>
      </c>
      <c r="D924" s="68"/>
      <c r="E924" s="70">
        <v>8</v>
      </c>
      <c r="F924" s="71">
        <v>248</v>
      </c>
      <c r="G924" s="101" t="str">
        <f>INDEX(Tableau8[Att1],MATCH(Tableau3[[#This Row],[ID-INS]],Tableau8[ID],0))&amp;""</f>
        <v>V5</v>
      </c>
      <c r="H924" s="153" t="s">
        <v>1737</v>
      </c>
      <c r="I924" s="101"/>
      <c r="J924" s="101"/>
      <c r="K924" s="167" t="str">
        <f>INDEX(Tableau8[Nom du modele],MATCH(Tableau3[[#This Row],[ID-INS]],Tableau8[ID],0))&amp;""</f>
        <v>PortailBleuElec_1</v>
      </c>
      <c r="L924" s="155" t="s">
        <v>257</v>
      </c>
      <c r="M924" s="99" t="str">
        <f>INDEX(Tableau5[Att2],MATCH(Tableau3[[#This Row],[ID-SIG]],Tableau5[ID],0))&amp;""</f>
        <v/>
      </c>
      <c r="N924" s="99" t="str">
        <f>INDEX(Tableau5[Att3],MATCH(Tableau3[[#This Row],[ID-SIG]],Tableau5[ID],0))&amp;""</f>
        <v/>
      </c>
      <c r="O924" s="99"/>
      <c r="P924" s="155" t="s">
        <v>1771</v>
      </c>
      <c r="Q924" s="99"/>
      <c r="R924" s="103" t="str">
        <f>Tableau3[[#This Row],[Description]]</f>
        <v>Barrière BR5 - Position ouverte</v>
      </c>
      <c r="S924" s="52"/>
      <c r="U924" s="87">
        <v>6</v>
      </c>
      <c r="V924" s="87">
        <v>1</v>
      </c>
      <c r="W924" s="87">
        <v>7</v>
      </c>
      <c r="X924" s="87">
        <v>2</v>
      </c>
      <c r="Y924" s="40"/>
      <c r="Z924" s="165" t="str">
        <f>INDEX(Tableau2[TS],MATCH(Tableau3[[#This Row],[ID-CARTEVOIE]],Tableau2[ID-CARTEVOIE],0))</f>
        <v>ET</v>
      </c>
      <c r="AA924" s="53" t="s">
        <v>213</v>
      </c>
      <c r="AB924" s="223" t="str">
        <f>IFERROR(INDEX(Tableau5[Reserve],MATCH(Tableau3[[#This Row],[ID-SIG]],Tableau5[ID],0))&amp;"","")</f>
        <v/>
      </c>
      <c r="AC924" s="21"/>
      <c r="AD924" s="108" t="str">
        <f>INDEX(Tableau7[Repere],MATCH(Tableau3[[#This Row],[ID-API]],Tableau7[ID-API],0))&amp;""</f>
        <v>A6</v>
      </c>
      <c r="AE924" s="108" t="str">
        <f>INDEX(Tableau1[Repere-Rack],MATCH(Tableau3[[#This Row],[ID-RACK]],Tableau1[ID-RACK],0))&amp;""</f>
        <v>R1</v>
      </c>
      <c r="AF924" s="108" t="str">
        <f>INDEX(Tableau1[Repere-Slot],MATCH(Tableau3[[#This Row],[ID-SLOT]],Tableau1[ID-SLOT],0))&amp;""</f>
        <v>S7</v>
      </c>
      <c r="AG924" s="108" t="str">
        <f>INDEX(Tableau2[Repere-Voie],MATCH(Tableau3[[#This Row],[ID-VOIE]],Tableau2[ID-Voie],0))&amp;""</f>
        <v>v2</v>
      </c>
      <c r="AH924" s="72" t="str">
        <f>Tableau3[[#This Row],[ID-API]]&amp; "." &amp;Tableau3[[#This Row],[ID-RACK]]&amp; "." &amp;Tableau3[[#This Row],[ID-SLOT]]</f>
        <v>6.1.7</v>
      </c>
      <c r="AI924" s="72" t="str">
        <f>INDEX(Tableau1[Ref-Carte],MATCH(Tableau3[[#This Row],[ID-RRS]],Tableau1[ID-RRS],0))</f>
        <v>SDI1602</v>
      </c>
      <c r="AJ924" s="72" t="str">
        <f t="array" ref="AJ924">IFERROR(INDEX(Tableau2[TS],MATCH(1,(Tableau2[Ref-Carte]=Tableau3[[#This Row],[Ref-Carte2]])*(Tableau2[ID-Voie]=Tableau3[[#This Row],[ID-VOIE]]),0)),"")</f>
        <v>ET</v>
      </c>
      <c r="AK924" s="72" t="str">
        <f>IFERROR(INDEX(Tableau2[TS],SUMPRODUCT((Tableau2[Ref-Carte]=Tableau3[[#This Row],[Ref-Carte2]])*(Tableau2[ID-Voie]=Tableau3[[#This Row],[ID-VOIE]])*ROW(Tableau2[TS]))-ROW(Tableau2[#Headers])),"")</f>
        <v>ET</v>
      </c>
      <c r="AL924" s="72" t="str">
        <f>Tableau3[[#This Row],[Ref-Carte2]]&amp;"/"&amp;Tableau3[[#This Row],[ID-VOIE]]</f>
        <v>SDI1602/2</v>
      </c>
      <c r="AM924" s="73" t="str">
        <f>INDEX(Tableau2[Borne],MATCH(Tableau3[[#This Row],[ID-CARTEVOIE]],Tableau2[ID-CARTEVOIE],0))&amp;""</f>
        <v>1B</v>
      </c>
      <c r="AN924" s="74" t="str">
        <f>Tableau3[[#This Row],[ID-API]]&amp;Tableau3[[#This Row],[ID-RACK]]&amp;Tableau3[[#This Row],[ID-SLOT]]&amp;Tableau3[[#This Row],[BORNE]]</f>
        <v>6171B</v>
      </c>
      <c r="AO924" s="1"/>
    </row>
    <row r="925" spans="1:41" ht="20.100000000000001" customHeight="1" thickTop="1" thickBot="1">
      <c r="A925" s="68"/>
      <c r="B925" s="69" t="str">
        <f>IFERROR(INDEX(Tableau4[Date],MATCH($A925,Tableau4[EVO],0)),"")</f>
        <v/>
      </c>
      <c r="C925" s="68" t="str">
        <f>IFERROR(INDEX(Tableau4[Designation],MATCH($A925,Tableau4[EVO],0)),"")</f>
        <v/>
      </c>
      <c r="D925" s="68"/>
      <c r="E925" s="70">
        <v>8</v>
      </c>
      <c r="F925" s="71">
        <v>249</v>
      </c>
      <c r="G925" s="101" t="str">
        <f>INDEX(Tableau8[Att1],MATCH(Tableau3[[#This Row],[ID-INS]],Tableau8[ID],0))&amp;""</f>
        <v>V5</v>
      </c>
      <c r="H925" s="101" t="str">
        <f>INDEX(Tableau8[Att2],MATCH(Tableau3[[#This Row],[ID-INS]],Tableau8[ID],0))&amp;""</f>
        <v>P8</v>
      </c>
      <c r="I925" s="101" t="str">
        <f>INDEX(Tableau8[Att3],MATCH(Tableau3[[#This Row],[ID-INS]],Tableau8[ID],0))&amp;""</f>
        <v>Portail P8</v>
      </c>
      <c r="J925" s="101"/>
      <c r="K925" s="167" t="str">
        <f>INDEX(Tableau8[Nom du modele],MATCH(Tableau3[[#This Row],[ID-INS]],Tableau8[ID],0))&amp;""</f>
        <v>PortailBleuElec_1</v>
      </c>
      <c r="L925" s="99" t="str">
        <f>INDEX(Tableau5[Att1],MATCH(Tableau3[[#This Row],[ID-SIG]],Tableau5[ID],0))&amp;""</f>
        <v>V_FerRet1</v>
      </c>
      <c r="M925" s="99" t="str">
        <f>INDEX(Tableau5[Att2],MATCH(Tableau3[[#This Row],[ID-SIG]],Tableau5[ID],0))&amp;""</f>
        <v/>
      </c>
      <c r="N925" s="99" t="str">
        <f>INDEX(Tableau5[Att3],MATCH(Tableau3[[#This Row],[ID-SIG]],Tableau5[ID],0))&amp;""</f>
        <v/>
      </c>
      <c r="O925" s="99"/>
      <c r="P925" s="99" t="str">
        <f>INDEX(Tableau5[Description],MATCH(Tableau3[[#This Row],[ID-SIG]],Tableau5[ID],0))</f>
        <v>Retour Commande 1 fermeture</v>
      </c>
      <c r="Q925" s="99"/>
      <c r="R925" s="103" t="str">
        <f>Tableau3[[#This Row],[Description]]</f>
        <v>Retour Commande 1 fermeture</v>
      </c>
      <c r="S925" s="52"/>
      <c r="U925" s="87">
        <v>6</v>
      </c>
      <c r="V925" s="87">
        <v>1</v>
      </c>
      <c r="W925" s="87">
        <v>7</v>
      </c>
      <c r="X925" s="87">
        <v>3</v>
      </c>
      <c r="Y925" s="40"/>
      <c r="Z925" s="165" t="str">
        <f>INDEX(Tableau2[TS],MATCH(Tableau3[[#This Row],[ID-CARTEVOIE]],Tableau2[ID-CARTEVOIE],0))</f>
        <v>ET</v>
      </c>
      <c r="AA925" s="53" t="s">
        <v>213</v>
      </c>
      <c r="AB925" s="223" t="str">
        <f>IFERROR(INDEX(Tableau5[Reserve],MATCH(Tableau3[[#This Row],[ID-SIG]],Tableau5[ID],0))&amp;"","")</f>
        <v/>
      </c>
      <c r="AC925" s="21"/>
      <c r="AD925" s="108" t="str">
        <f>INDEX(Tableau7[Repere],MATCH(Tableau3[[#This Row],[ID-API]],Tableau7[ID-API],0))&amp;""</f>
        <v>A6</v>
      </c>
      <c r="AE925" s="108" t="str">
        <f>INDEX(Tableau1[Repere-Rack],MATCH(Tableau3[[#This Row],[ID-RACK]],Tableau1[ID-RACK],0))&amp;""</f>
        <v>R1</v>
      </c>
      <c r="AF925" s="108" t="str">
        <f>INDEX(Tableau1[Repere-Slot],MATCH(Tableau3[[#This Row],[ID-SLOT]],Tableau1[ID-SLOT],0))&amp;""</f>
        <v>S7</v>
      </c>
      <c r="AG925" s="108" t="str">
        <f>INDEX(Tableau2[Repere-Voie],MATCH(Tableau3[[#This Row],[ID-VOIE]],Tableau2[ID-Voie],0))&amp;""</f>
        <v>v3</v>
      </c>
      <c r="AH925" s="72" t="str">
        <f>Tableau3[[#This Row],[ID-API]]&amp; "." &amp;Tableau3[[#This Row],[ID-RACK]]&amp; "." &amp;Tableau3[[#This Row],[ID-SLOT]]</f>
        <v>6.1.7</v>
      </c>
      <c r="AI925" s="72" t="str">
        <f>INDEX(Tableau1[Ref-Carte],MATCH(Tableau3[[#This Row],[ID-RRS]],Tableau1[ID-RRS],0))</f>
        <v>SDI1602</v>
      </c>
      <c r="AJ925" s="72" t="str">
        <f t="array" ref="AJ925">IFERROR(INDEX(Tableau2[TS],MATCH(1,(Tableau2[Ref-Carte]=Tableau3[[#This Row],[Ref-Carte2]])*(Tableau2[ID-Voie]=Tableau3[[#This Row],[ID-VOIE]]),0)),"")</f>
        <v>ET</v>
      </c>
      <c r="AK925" s="72" t="str">
        <f>IFERROR(INDEX(Tableau2[TS],SUMPRODUCT((Tableau2[Ref-Carte]=Tableau3[[#This Row],[Ref-Carte2]])*(Tableau2[ID-Voie]=Tableau3[[#This Row],[ID-VOIE]])*ROW(Tableau2[TS]))-ROW(Tableau2[#Headers])),"")</f>
        <v>ET</v>
      </c>
      <c r="AL925" s="72" t="str">
        <f>Tableau3[[#This Row],[Ref-Carte2]]&amp;"/"&amp;Tableau3[[#This Row],[ID-VOIE]]</f>
        <v>SDI1602/3</v>
      </c>
      <c r="AM925" s="73" t="str">
        <f>INDEX(Tableau2[Borne],MATCH(Tableau3[[#This Row],[ID-CARTEVOIE]],Tableau2[ID-CARTEVOIE],0))&amp;""</f>
        <v>1A</v>
      </c>
      <c r="AN925" s="74" t="str">
        <f>Tableau3[[#This Row],[ID-API]]&amp;Tableau3[[#This Row],[ID-RACK]]&amp;Tableau3[[#This Row],[ID-SLOT]]&amp;Tableau3[[#This Row],[BORNE]]</f>
        <v>6171A</v>
      </c>
      <c r="AO925" s="1"/>
    </row>
    <row r="926" spans="1:41" ht="20.100000000000001" customHeight="1" thickTop="1" thickBot="1">
      <c r="A926" s="68"/>
      <c r="B926" s="69" t="str">
        <f>IFERROR(INDEX(Tableau4[Date],MATCH($A926,Tableau4[EVO],0)),"")</f>
        <v/>
      </c>
      <c r="C926" s="68" t="str">
        <f>IFERROR(INDEX(Tableau4[Designation],MATCH($A926,Tableau4[EVO],0)),"")</f>
        <v/>
      </c>
      <c r="D926" s="68"/>
      <c r="E926" s="70">
        <v>8</v>
      </c>
      <c r="F926" s="71">
        <v>254</v>
      </c>
      <c r="G926" s="101" t="str">
        <f>INDEX(Tableau8[Att1],MATCH(Tableau3[[#This Row],[ID-INS]],Tableau8[ID],0))&amp;""</f>
        <v>V5</v>
      </c>
      <c r="H926" s="101" t="str">
        <f>INDEX(Tableau8[Att2],MATCH(Tableau3[[#This Row],[ID-INS]],Tableau8[ID],0))&amp;""</f>
        <v>P8</v>
      </c>
      <c r="I926" s="101" t="str">
        <f>INDEX(Tableau8[Att3],MATCH(Tableau3[[#This Row],[ID-INS]],Tableau8[ID],0))&amp;""</f>
        <v>Portail P8</v>
      </c>
      <c r="J926" s="101"/>
      <c r="K926" s="167" t="str">
        <f>INDEX(Tableau8[Nom du modele],MATCH(Tableau3[[#This Row],[ID-INS]],Tableau8[ID],0))&amp;""</f>
        <v>PortailBleuElec_1</v>
      </c>
      <c r="L926" s="99" t="str">
        <f>INDEX(Tableau5[Att1],MATCH(Tableau3[[#This Row],[ID-SIG]],Tableau5[ID],0))&amp;""</f>
        <v>V_VentColle</v>
      </c>
      <c r="M926" s="99" t="str">
        <f>INDEX(Tableau5[Att2],MATCH(Tableau3[[#This Row],[ID-SIG]],Tableau5[ID],0))&amp;""</f>
        <v/>
      </c>
      <c r="N926" s="99" t="str">
        <f>INDEX(Tableau5[Att3],MATCH(Tableau3[[#This Row],[ID-SIG]],Tableau5[ID],0))&amp;""</f>
        <v/>
      </c>
      <c r="O926" s="99"/>
      <c r="P926" s="99" t="str">
        <f>INDEX(Tableau5[Description],MATCH(Tableau3[[#This Row],[ID-SIG]],Tableau5[ID],0))</f>
        <v>Report Ventouse collé</v>
      </c>
      <c r="Q926" s="99"/>
      <c r="R926" s="103" t="str">
        <f>Tableau3[[#This Row],[Description]]</f>
        <v>Report Ventouse collé</v>
      </c>
      <c r="S926" s="52"/>
      <c r="U926" s="87">
        <v>6</v>
      </c>
      <c r="V926" s="87">
        <v>1</v>
      </c>
      <c r="W926" s="87">
        <v>7</v>
      </c>
      <c r="X926" s="87">
        <v>4</v>
      </c>
      <c r="Y926" s="40"/>
      <c r="Z926" s="165" t="str">
        <f>INDEX(Tableau2[TS],MATCH(Tableau3[[#This Row],[ID-CARTEVOIE]],Tableau2[ID-CARTEVOIE],0))</f>
        <v>ET</v>
      </c>
      <c r="AA926" s="53" t="s">
        <v>213</v>
      </c>
      <c r="AB926" s="223" t="str">
        <f>IFERROR(INDEX(Tableau5[Reserve],MATCH(Tableau3[[#This Row],[ID-SIG]],Tableau5[ID],0))&amp;"","")</f>
        <v/>
      </c>
      <c r="AC926" s="21"/>
      <c r="AD926" s="108" t="str">
        <f>INDEX(Tableau7[Repere],MATCH(Tableau3[[#This Row],[ID-API]],Tableau7[ID-API],0))&amp;""</f>
        <v>A6</v>
      </c>
      <c r="AE926" s="108" t="str">
        <f>INDEX(Tableau1[Repere-Rack],MATCH(Tableau3[[#This Row],[ID-RACK]],Tableau1[ID-RACK],0))&amp;""</f>
        <v>R1</v>
      </c>
      <c r="AF926" s="108" t="str">
        <f>INDEX(Tableau1[Repere-Slot],MATCH(Tableau3[[#This Row],[ID-SLOT]],Tableau1[ID-SLOT],0))&amp;""</f>
        <v>S7</v>
      </c>
      <c r="AG926" s="108" t="str">
        <f>INDEX(Tableau2[Repere-Voie],MATCH(Tableau3[[#This Row],[ID-VOIE]],Tableau2[ID-Voie],0))&amp;""</f>
        <v>v4</v>
      </c>
      <c r="AH926" s="72" t="str">
        <f>Tableau3[[#This Row],[ID-API]]&amp; "." &amp;Tableau3[[#This Row],[ID-RACK]]&amp; "." &amp;Tableau3[[#This Row],[ID-SLOT]]</f>
        <v>6.1.7</v>
      </c>
      <c r="AI926" s="72" t="str">
        <f>INDEX(Tableau1[Ref-Carte],MATCH(Tableau3[[#This Row],[ID-RRS]],Tableau1[ID-RRS],0))</f>
        <v>SDI1602</v>
      </c>
      <c r="AJ926" s="72" t="str">
        <f t="array" ref="AJ926">IFERROR(INDEX(Tableau2[TS],MATCH(1,(Tableau2[Ref-Carte]=Tableau3[[#This Row],[Ref-Carte2]])*(Tableau2[ID-Voie]=Tableau3[[#This Row],[ID-VOIE]]),0)),"")</f>
        <v>ET</v>
      </c>
      <c r="AK926" s="72" t="str">
        <f>IFERROR(INDEX(Tableau2[TS],SUMPRODUCT((Tableau2[Ref-Carte]=Tableau3[[#This Row],[Ref-Carte2]])*(Tableau2[ID-Voie]=Tableau3[[#This Row],[ID-VOIE]])*ROW(Tableau2[TS]))-ROW(Tableau2[#Headers])),"")</f>
        <v>ET</v>
      </c>
      <c r="AL926" s="72" t="str">
        <f>Tableau3[[#This Row],[Ref-Carte2]]&amp;"/"&amp;Tableau3[[#This Row],[ID-VOIE]]</f>
        <v>SDI1602/4</v>
      </c>
      <c r="AM926" s="73" t="str">
        <f>INDEX(Tableau2[Borne],MATCH(Tableau3[[#This Row],[ID-CARTEVOIE]],Tableau2[ID-CARTEVOIE],0))&amp;""</f>
        <v>2B</v>
      </c>
      <c r="AN926" s="74" t="str">
        <f>Tableau3[[#This Row],[ID-API]]&amp;Tableau3[[#This Row],[ID-RACK]]&amp;Tableau3[[#This Row],[ID-SLOT]]&amp;Tableau3[[#This Row],[BORNE]]</f>
        <v>6172B</v>
      </c>
      <c r="AO926" s="1"/>
    </row>
    <row r="927" spans="1:41" ht="20.100000000000001" customHeight="1" thickTop="1" thickBot="1">
      <c r="A927" s="68"/>
      <c r="B927" s="69" t="str">
        <f>IFERROR(INDEX(Tableau4[Date],MATCH($A927,Tableau4[EVO],0)),"")</f>
        <v/>
      </c>
      <c r="C927" s="68" t="str">
        <f>IFERROR(INDEX(Tableau4[Designation],MATCH($A927,Tableau4[EVO],0)),"")</f>
        <v/>
      </c>
      <c r="D927" s="68"/>
      <c r="E927" s="70">
        <v>8</v>
      </c>
      <c r="F927" s="71">
        <v>255</v>
      </c>
      <c r="G927" s="101" t="str">
        <f>INDEX(Tableau8[Att1],MATCH(Tableau3[[#This Row],[ID-INS]],Tableau8[ID],0))&amp;""</f>
        <v>V5</v>
      </c>
      <c r="H927" s="153" t="s">
        <v>1737</v>
      </c>
      <c r="I927" s="101"/>
      <c r="J927" s="101"/>
      <c r="K927" s="167" t="str">
        <f>INDEX(Tableau8[Nom du modele],MATCH(Tableau3[[#This Row],[ID-INS]],Tableau8[ID],0))&amp;""</f>
        <v>PortailBleuElec_1</v>
      </c>
      <c r="L927" s="155" t="s">
        <v>258</v>
      </c>
      <c r="M927" s="99" t="str">
        <f>INDEX(Tableau5[Att2],MATCH(Tableau3[[#This Row],[ID-SIG]],Tableau5[ID],0))&amp;""</f>
        <v/>
      </c>
      <c r="N927" s="99" t="str">
        <f>INDEX(Tableau5[Att3],MATCH(Tableau3[[#This Row],[ID-SIG]],Tableau5[ID],0))&amp;""</f>
        <v/>
      </c>
      <c r="O927" s="99"/>
      <c r="P927" s="155" t="s">
        <v>1772</v>
      </c>
      <c r="Q927" s="99"/>
      <c r="R927" s="103" t="str">
        <f>Tableau3[[#This Row],[Description]]</f>
        <v>Barrière BR5 - Position fermée</v>
      </c>
      <c r="S927" s="52"/>
      <c r="U927" s="87">
        <v>6</v>
      </c>
      <c r="V927" s="87">
        <v>1</v>
      </c>
      <c r="W927" s="87">
        <v>7</v>
      </c>
      <c r="X927" s="87">
        <v>5</v>
      </c>
      <c r="Y927" s="40"/>
      <c r="Z927" s="165" t="str">
        <f>INDEX(Tableau2[TS],MATCH(Tableau3[[#This Row],[ID-CARTEVOIE]],Tableau2[ID-CARTEVOIE],0))</f>
        <v>ET</v>
      </c>
      <c r="AA927" s="53" t="s">
        <v>213</v>
      </c>
      <c r="AB927" s="223" t="str">
        <f>IFERROR(INDEX(Tableau5[Reserve],MATCH(Tableau3[[#This Row],[ID-SIG]],Tableau5[ID],0))&amp;"","")</f>
        <v/>
      </c>
      <c r="AC927" s="21"/>
      <c r="AD927" s="108" t="str">
        <f>INDEX(Tableau7[Repere],MATCH(Tableau3[[#This Row],[ID-API]],Tableau7[ID-API],0))&amp;""</f>
        <v>A6</v>
      </c>
      <c r="AE927" s="108" t="str">
        <f>INDEX(Tableau1[Repere-Rack],MATCH(Tableau3[[#This Row],[ID-RACK]],Tableau1[ID-RACK],0))&amp;""</f>
        <v>R1</v>
      </c>
      <c r="AF927" s="108" t="str">
        <f>INDEX(Tableau1[Repere-Slot],MATCH(Tableau3[[#This Row],[ID-SLOT]],Tableau1[ID-SLOT],0))&amp;""</f>
        <v>S7</v>
      </c>
      <c r="AG927" s="108" t="str">
        <f>INDEX(Tableau2[Repere-Voie],MATCH(Tableau3[[#This Row],[ID-VOIE]],Tableau2[ID-Voie],0))&amp;""</f>
        <v>v5</v>
      </c>
      <c r="AH927" s="72" t="str">
        <f>Tableau3[[#This Row],[ID-API]]&amp; "." &amp;Tableau3[[#This Row],[ID-RACK]]&amp; "." &amp;Tableau3[[#This Row],[ID-SLOT]]</f>
        <v>6.1.7</v>
      </c>
      <c r="AI927" s="72" t="str">
        <f>INDEX(Tableau1[Ref-Carte],MATCH(Tableau3[[#This Row],[ID-RRS]],Tableau1[ID-RRS],0))</f>
        <v>SDI1602</v>
      </c>
      <c r="AJ927" s="72" t="str">
        <f t="array" ref="AJ927">IFERROR(INDEX(Tableau2[TS],MATCH(1,(Tableau2[Ref-Carte]=Tableau3[[#This Row],[Ref-Carte2]])*(Tableau2[ID-Voie]=Tableau3[[#This Row],[ID-VOIE]]),0)),"")</f>
        <v>ET</v>
      </c>
      <c r="AK927" s="72" t="str">
        <f>IFERROR(INDEX(Tableau2[TS],SUMPRODUCT((Tableau2[Ref-Carte]=Tableau3[[#This Row],[Ref-Carte2]])*(Tableau2[ID-Voie]=Tableau3[[#This Row],[ID-VOIE]])*ROW(Tableau2[TS]))-ROW(Tableau2[#Headers])),"")</f>
        <v>ET</v>
      </c>
      <c r="AL927" s="72" t="str">
        <f>Tableau3[[#This Row],[Ref-Carte2]]&amp;"/"&amp;Tableau3[[#This Row],[ID-VOIE]]</f>
        <v>SDI1602/5</v>
      </c>
      <c r="AM927" s="73" t="str">
        <f>INDEX(Tableau2[Borne],MATCH(Tableau3[[#This Row],[ID-CARTEVOIE]],Tableau2[ID-CARTEVOIE],0))&amp;""</f>
        <v>2A</v>
      </c>
      <c r="AN927" s="74" t="str">
        <f>Tableau3[[#This Row],[ID-API]]&amp;Tableau3[[#This Row],[ID-RACK]]&amp;Tableau3[[#This Row],[ID-SLOT]]&amp;Tableau3[[#This Row],[BORNE]]</f>
        <v>6172A</v>
      </c>
      <c r="AO927" s="1"/>
    </row>
    <row r="928" spans="1:41" ht="20.100000000000001" customHeight="1" thickTop="1" thickBot="1">
      <c r="A928" s="68"/>
      <c r="B928" s="69" t="str">
        <f>IFERROR(INDEX(Tableau4[Date],MATCH($A928,Tableau4[EVO],0)),"")</f>
        <v/>
      </c>
      <c r="C928" s="68" t="str">
        <f>IFERROR(INDEX(Tableau4[Designation],MATCH($A928,Tableau4[EVO],0)),"")</f>
        <v/>
      </c>
      <c r="D928" s="68"/>
      <c r="E928" s="70">
        <v>8</v>
      </c>
      <c r="F928" s="71">
        <v>256</v>
      </c>
      <c r="G928" s="101" t="str">
        <f>INDEX(Tableau8[Att1],MATCH(Tableau3[[#This Row],[ID-INS]],Tableau8[ID],0))&amp;""</f>
        <v>V5</v>
      </c>
      <c r="H928" s="101" t="str">
        <f>INDEX(Tableau8[Att2],MATCH(Tableau3[[#This Row],[ID-INS]],Tableau8[ID],0))&amp;""</f>
        <v>P8</v>
      </c>
      <c r="I928" s="101" t="str">
        <f>INDEX(Tableau8[Att3],MATCH(Tableau3[[#This Row],[ID-INS]],Tableau8[ID],0))&amp;""</f>
        <v>Portail P8</v>
      </c>
      <c r="J928" s="101"/>
      <c r="K928" s="167" t="str">
        <f>INDEX(Tableau8[Nom du modele],MATCH(Tableau3[[#This Row],[ID-INS]],Tableau8[ID],0))&amp;""</f>
        <v>PortailBleuElec_1</v>
      </c>
      <c r="L928" s="99" t="str">
        <f>INDEX(Tableau5[Att1],MATCH(Tableau3[[#This Row],[ID-SIG]],Tableau5[ID],0))&amp;""</f>
        <v>V_Ouv</v>
      </c>
      <c r="M928" s="99" t="str">
        <f>INDEX(Tableau5[Att2],MATCH(Tableau3[[#This Row],[ID-SIG]],Tableau5[ID],0))&amp;""</f>
        <v/>
      </c>
      <c r="N928" s="99" t="str">
        <f>INDEX(Tableau5[Att3],MATCH(Tableau3[[#This Row],[ID-SIG]],Tableau5[ID],0))&amp;""</f>
        <v/>
      </c>
      <c r="O928" s="99"/>
      <c r="P928" s="99" t="str">
        <f>INDEX(Tableau5[Description],MATCH(Tableau3[[#This Row],[ID-SIG]],Tableau5[ID],0))</f>
        <v>Vantail en fdc ouvert</v>
      </c>
      <c r="Q928" s="99"/>
      <c r="R928" s="103" t="str">
        <f>Tableau3[[#This Row],[Description]]</f>
        <v>Vantail en fdc ouvert</v>
      </c>
      <c r="S928" s="52"/>
      <c r="U928" s="87">
        <v>6</v>
      </c>
      <c r="V928" s="87">
        <v>1</v>
      </c>
      <c r="W928" s="87">
        <v>7</v>
      </c>
      <c r="X928" s="87">
        <v>6</v>
      </c>
      <c r="Y928" s="40"/>
      <c r="Z928" s="165" t="str">
        <f>INDEX(Tableau2[TS],MATCH(Tableau3[[#This Row],[ID-CARTEVOIE]],Tableau2[ID-CARTEVOIE],0))</f>
        <v>ET</v>
      </c>
      <c r="AA928" s="53" t="s">
        <v>213</v>
      </c>
      <c r="AB928" s="223" t="str">
        <f>IFERROR(INDEX(Tableau5[Reserve],MATCH(Tableau3[[#This Row],[ID-SIG]],Tableau5[ID],0))&amp;"","")</f>
        <v/>
      </c>
      <c r="AC928" s="21"/>
      <c r="AD928" s="108" t="str">
        <f>INDEX(Tableau7[Repere],MATCH(Tableau3[[#This Row],[ID-API]],Tableau7[ID-API],0))&amp;""</f>
        <v>A6</v>
      </c>
      <c r="AE928" s="108" t="str">
        <f>INDEX(Tableau1[Repere-Rack],MATCH(Tableau3[[#This Row],[ID-RACK]],Tableau1[ID-RACK],0))&amp;""</f>
        <v>R1</v>
      </c>
      <c r="AF928" s="108" t="str">
        <f>INDEX(Tableau1[Repere-Slot],MATCH(Tableau3[[#This Row],[ID-SLOT]],Tableau1[ID-SLOT],0))&amp;""</f>
        <v>S7</v>
      </c>
      <c r="AG928" s="108" t="str">
        <f>INDEX(Tableau2[Repere-Voie],MATCH(Tableau3[[#This Row],[ID-VOIE]],Tableau2[ID-Voie],0))&amp;""</f>
        <v>v6</v>
      </c>
      <c r="AH928" s="72" t="str">
        <f>Tableau3[[#This Row],[ID-API]]&amp; "." &amp;Tableau3[[#This Row],[ID-RACK]]&amp; "." &amp;Tableau3[[#This Row],[ID-SLOT]]</f>
        <v>6.1.7</v>
      </c>
      <c r="AI928" s="72" t="str">
        <f>INDEX(Tableau1[Ref-Carte],MATCH(Tableau3[[#This Row],[ID-RRS]],Tableau1[ID-RRS],0))</f>
        <v>SDI1602</v>
      </c>
      <c r="AJ928" s="72" t="str">
        <f t="array" ref="AJ928">IFERROR(INDEX(Tableau2[TS],MATCH(1,(Tableau2[Ref-Carte]=Tableau3[[#This Row],[Ref-Carte2]])*(Tableau2[ID-Voie]=Tableau3[[#This Row],[ID-VOIE]]),0)),"")</f>
        <v>ET</v>
      </c>
      <c r="AK928" s="72" t="str">
        <f>IFERROR(INDEX(Tableau2[TS],SUMPRODUCT((Tableau2[Ref-Carte]=Tableau3[[#This Row],[Ref-Carte2]])*(Tableau2[ID-Voie]=Tableau3[[#This Row],[ID-VOIE]])*ROW(Tableau2[TS]))-ROW(Tableau2[#Headers])),"")</f>
        <v>ET</v>
      </c>
      <c r="AL928" s="72" t="str">
        <f>Tableau3[[#This Row],[Ref-Carte2]]&amp;"/"&amp;Tableau3[[#This Row],[ID-VOIE]]</f>
        <v>SDI1602/6</v>
      </c>
      <c r="AM928" s="73" t="str">
        <f>INDEX(Tableau2[Borne],MATCH(Tableau3[[#This Row],[ID-CARTEVOIE]],Tableau2[ID-CARTEVOIE],0))&amp;""</f>
        <v>3B</v>
      </c>
      <c r="AN928" s="74" t="str">
        <f>Tableau3[[#This Row],[ID-API]]&amp;Tableau3[[#This Row],[ID-RACK]]&amp;Tableau3[[#This Row],[ID-SLOT]]&amp;Tableau3[[#This Row],[BORNE]]</f>
        <v>6173B</v>
      </c>
      <c r="AO928" s="1"/>
    </row>
    <row r="929" spans="1:41" ht="20.100000000000001" customHeight="1" thickTop="1" thickBot="1">
      <c r="A929" s="68"/>
      <c r="B929" s="69" t="str">
        <f>IFERROR(INDEX(Tableau4[Date],MATCH($A929,Tableau4[EVO],0)),"")</f>
        <v/>
      </c>
      <c r="C929" s="68" t="str">
        <f>IFERROR(INDEX(Tableau4[Designation],MATCH($A929,Tableau4[EVO],0)),"")</f>
        <v/>
      </c>
      <c r="D929" s="68"/>
      <c r="E929" s="70">
        <v>8</v>
      </c>
      <c r="F929" s="71">
        <v>257</v>
      </c>
      <c r="G929" s="101" t="str">
        <f>INDEX(Tableau8[Att1],MATCH(Tableau3[[#This Row],[ID-INS]],Tableau8[ID],0))&amp;""</f>
        <v>V5</v>
      </c>
      <c r="H929" s="101" t="str">
        <f>INDEX(Tableau8[Att2],MATCH(Tableau3[[#This Row],[ID-INS]],Tableau8[ID],0))&amp;""</f>
        <v>P8</v>
      </c>
      <c r="I929" s="101" t="str">
        <f>INDEX(Tableau8[Att3],MATCH(Tableau3[[#This Row],[ID-INS]],Tableau8[ID],0))&amp;""</f>
        <v>Portail P8</v>
      </c>
      <c r="J929" s="101"/>
      <c r="K929" s="167" t="str">
        <f>INDEX(Tableau8[Nom du modele],MATCH(Tableau3[[#This Row],[ID-INS]],Tableau8[ID],0))&amp;""</f>
        <v>PortailBleuElec_1</v>
      </c>
      <c r="L929" s="99" t="str">
        <f>INDEX(Tableau5[Att1],MATCH(Tableau3[[#This Row],[ID-SIG]],Tableau5[ID],0))&amp;""</f>
        <v>V_Fer1</v>
      </c>
      <c r="M929" s="99" t="str">
        <f>INDEX(Tableau5[Att2],MATCH(Tableau3[[#This Row],[ID-SIG]],Tableau5[ID],0))&amp;""</f>
        <v/>
      </c>
      <c r="N929" s="99" t="str">
        <f>INDEX(Tableau5[Att3],MATCH(Tableau3[[#This Row],[ID-SIG]],Tableau5[ID],0))&amp;""</f>
        <v/>
      </c>
      <c r="O929" s="99"/>
      <c r="P929" s="99" t="str">
        <f>INDEX(Tableau5[Description],MATCH(Tableau3[[#This Row],[ID-SIG]],Tableau5[ID],0))</f>
        <v>Vantail en fdc fermé 1</v>
      </c>
      <c r="Q929" s="99"/>
      <c r="R929" s="103" t="str">
        <f>Tableau3[[#This Row],[Description]]</f>
        <v>Vantail en fdc fermé 1</v>
      </c>
      <c r="S929" s="52"/>
      <c r="U929" s="87">
        <v>6</v>
      </c>
      <c r="V929" s="87">
        <v>1</v>
      </c>
      <c r="W929" s="87">
        <v>7</v>
      </c>
      <c r="X929" s="87">
        <v>7</v>
      </c>
      <c r="Y929" s="40"/>
      <c r="Z929" s="165" t="str">
        <f>INDEX(Tableau2[TS],MATCH(Tableau3[[#This Row],[ID-CARTEVOIE]],Tableau2[ID-CARTEVOIE],0))</f>
        <v>ET</v>
      </c>
      <c r="AA929" s="53" t="s">
        <v>213</v>
      </c>
      <c r="AB929" s="223" t="str">
        <f>IFERROR(INDEX(Tableau5[Reserve],MATCH(Tableau3[[#This Row],[ID-SIG]],Tableau5[ID],0))&amp;"","")</f>
        <v/>
      </c>
      <c r="AC929" s="21"/>
      <c r="AD929" s="108" t="str">
        <f>INDEX(Tableau7[Repere],MATCH(Tableau3[[#This Row],[ID-API]],Tableau7[ID-API],0))&amp;""</f>
        <v>A6</v>
      </c>
      <c r="AE929" s="108" t="str">
        <f>INDEX(Tableau1[Repere-Rack],MATCH(Tableau3[[#This Row],[ID-RACK]],Tableau1[ID-RACK],0))&amp;""</f>
        <v>R1</v>
      </c>
      <c r="AF929" s="108" t="str">
        <f>INDEX(Tableau1[Repere-Slot],MATCH(Tableau3[[#This Row],[ID-SLOT]],Tableau1[ID-SLOT],0))&amp;""</f>
        <v>S7</v>
      </c>
      <c r="AG929" s="108" t="str">
        <f>INDEX(Tableau2[Repere-Voie],MATCH(Tableau3[[#This Row],[ID-VOIE]],Tableau2[ID-Voie],0))&amp;""</f>
        <v>v7</v>
      </c>
      <c r="AH929" s="72" t="str">
        <f>Tableau3[[#This Row],[ID-API]]&amp; "." &amp;Tableau3[[#This Row],[ID-RACK]]&amp; "." &amp;Tableau3[[#This Row],[ID-SLOT]]</f>
        <v>6.1.7</v>
      </c>
      <c r="AI929" s="72" t="str">
        <f>INDEX(Tableau1[Ref-Carte],MATCH(Tableau3[[#This Row],[ID-RRS]],Tableau1[ID-RRS],0))</f>
        <v>SDI1602</v>
      </c>
      <c r="AJ929" s="72" t="str">
        <f t="array" ref="AJ929">IFERROR(INDEX(Tableau2[TS],MATCH(1,(Tableau2[Ref-Carte]=Tableau3[[#This Row],[Ref-Carte2]])*(Tableau2[ID-Voie]=Tableau3[[#This Row],[ID-VOIE]]),0)),"")</f>
        <v>ET</v>
      </c>
      <c r="AK929" s="72" t="str">
        <f>IFERROR(INDEX(Tableau2[TS],SUMPRODUCT((Tableau2[Ref-Carte]=Tableau3[[#This Row],[Ref-Carte2]])*(Tableau2[ID-Voie]=Tableau3[[#This Row],[ID-VOIE]])*ROW(Tableau2[TS]))-ROW(Tableau2[#Headers])),"")</f>
        <v>ET</v>
      </c>
      <c r="AL929" s="72" t="str">
        <f>Tableau3[[#This Row],[Ref-Carte2]]&amp;"/"&amp;Tableau3[[#This Row],[ID-VOIE]]</f>
        <v>SDI1602/7</v>
      </c>
      <c r="AM929" s="73" t="str">
        <f>INDEX(Tableau2[Borne],MATCH(Tableau3[[#This Row],[ID-CARTEVOIE]],Tableau2[ID-CARTEVOIE],0))&amp;""</f>
        <v>3A</v>
      </c>
      <c r="AN929" s="74" t="str">
        <f>Tableau3[[#This Row],[ID-API]]&amp;Tableau3[[#This Row],[ID-RACK]]&amp;Tableau3[[#This Row],[ID-SLOT]]&amp;Tableau3[[#This Row],[BORNE]]</f>
        <v>6173A</v>
      </c>
      <c r="AO929" s="1"/>
    </row>
    <row r="930" spans="1:41" ht="20.100000000000001" customHeight="1" thickTop="1" thickBot="1">
      <c r="A930" s="68"/>
      <c r="B930" s="69" t="str">
        <f>IFERROR(INDEX(Tableau4[Date],MATCH($A930,Tableau4[EVO],0)),"")</f>
        <v/>
      </c>
      <c r="C930" s="68" t="str">
        <f>IFERROR(INDEX(Tableau4[Designation],MATCH($A930,Tableau4[EVO],0)),"")</f>
        <v/>
      </c>
      <c r="D930" s="68"/>
      <c r="E930" s="70">
        <v>8</v>
      </c>
      <c r="F930" s="71">
        <v>258</v>
      </c>
      <c r="G930" s="101" t="str">
        <f>INDEX(Tableau8[Att1],MATCH(Tableau3[[#This Row],[ID-INS]],Tableau8[ID],0))&amp;""</f>
        <v>V5</v>
      </c>
      <c r="H930" s="101" t="str">
        <f>INDEX(Tableau8[Att2],MATCH(Tableau3[[#This Row],[ID-INS]],Tableau8[ID],0))&amp;""</f>
        <v>P8</v>
      </c>
      <c r="I930" s="101" t="str">
        <f>INDEX(Tableau8[Att3],MATCH(Tableau3[[#This Row],[ID-INS]],Tableau8[ID],0))&amp;""</f>
        <v>Portail P8</v>
      </c>
      <c r="J930" s="101"/>
      <c r="K930" s="167" t="str">
        <f>INDEX(Tableau8[Nom du modele],MATCH(Tableau3[[#This Row],[ID-INS]],Tableau8[ID],0))&amp;""</f>
        <v>PortailBleuElec_1</v>
      </c>
      <c r="L930" s="99" t="str">
        <f>INDEX(Tableau5[Att1],MATCH(Tableau3[[#This Row],[ID-SIG]],Tableau5[ID],0))&amp;""</f>
        <v>V_BandeP</v>
      </c>
      <c r="M930" s="99" t="str">
        <f>INDEX(Tableau5[Att2],MATCH(Tableau3[[#This Row],[ID-SIG]],Tableau5[ID],0))&amp;""</f>
        <v/>
      </c>
      <c r="N930" s="99" t="str">
        <f>INDEX(Tableau5[Att3],MATCH(Tableau3[[#This Row],[ID-SIG]],Tableau5[ID],0))&amp;""</f>
        <v/>
      </c>
      <c r="O930" s="99"/>
      <c r="P930" s="99" t="str">
        <f>INDEX(Tableau5[Description],MATCH(Tableau3[[#This Row],[ID-SIG]],Tableau5[ID],0))</f>
        <v>Bande palpeuse à la fermeture</v>
      </c>
      <c r="Q930" s="99"/>
      <c r="R930" s="103" t="str">
        <f>Tableau3[[#This Row],[Description]]</f>
        <v>Bande palpeuse à la fermeture</v>
      </c>
      <c r="S930" s="52"/>
      <c r="U930" s="87">
        <v>6</v>
      </c>
      <c r="V930" s="87">
        <v>1</v>
      </c>
      <c r="W930" s="87">
        <v>7</v>
      </c>
      <c r="X930" s="87">
        <v>8</v>
      </c>
      <c r="Y930" s="40"/>
      <c r="Z930" s="165" t="str">
        <f>INDEX(Tableau2[TS],MATCH(Tableau3[[#This Row],[ID-CARTEVOIE]],Tableau2[ID-CARTEVOIE],0))</f>
        <v>ET</v>
      </c>
      <c r="AA930" s="53" t="s">
        <v>213</v>
      </c>
      <c r="AB930" s="223" t="str">
        <f>IFERROR(INDEX(Tableau5[Reserve],MATCH(Tableau3[[#This Row],[ID-SIG]],Tableau5[ID],0))&amp;"","")</f>
        <v/>
      </c>
      <c r="AC930" s="21"/>
      <c r="AD930" s="108" t="str">
        <f>INDEX(Tableau7[Repere],MATCH(Tableau3[[#This Row],[ID-API]],Tableau7[ID-API],0))&amp;""</f>
        <v>A6</v>
      </c>
      <c r="AE930" s="108" t="str">
        <f>INDEX(Tableau1[Repere-Rack],MATCH(Tableau3[[#This Row],[ID-RACK]],Tableau1[ID-RACK],0))&amp;""</f>
        <v>R1</v>
      </c>
      <c r="AF930" s="108" t="str">
        <f>INDEX(Tableau1[Repere-Slot],MATCH(Tableau3[[#This Row],[ID-SLOT]],Tableau1[ID-SLOT],0))&amp;""</f>
        <v>S7</v>
      </c>
      <c r="AG930" s="108" t="str">
        <f>INDEX(Tableau2[Repere-Voie],MATCH(Tableau3[[#This Row],[ID-VOIE]],Tableau2[ID-Voie],0))&amp;""</f>
        <v>v8</v>
      </c>
      <c r="AH930" s="72" t="str">
        <f>Tableau3[[#This Row],[ID-API]]&amp; "." &amp;Tableau3[[#This Row],[ID-RACK]]&amp; "." &amp;Tableau3[[#This Row],[ID-SLOT]]</f>
        <v>6.1.7</v>
      </c>
      <c r="AI930" s="72" t="str">
        <f>INDEX(Tableau1[Ref-Carte],MATCH(Tableau3[[#This Row],[ID-RRS]],Tableau1[ID-RRS],0))</f>
        <v>SDI1602</v>
      </c>
      <c r="AJ930" s="72" t="str">
        <f t="array" ref="AJ930">IFERROR(INDEX(Tableau2[TS],MATCH(1,(Tableau2[Ref-Carte]=Tableau3[[#This Row],[Ref-Carte2]])*(Tableau2[ID-Voie]=Tableau3[[#This Row],[ID-VOIE]]),0)),"")</f>
        <v>ET</v>
      </c>
      <c r="AK930" s="72" t="str">
        <f>IFERROR(INDEX(Tableau2[TS],SUMPRODUCT((Tableau2[Ref-Carte]=Tableau3[[#This Row],[Ref-Carte2]])*(Tableau2[ID-Voie]=Tableau3[[#This Row],[ID-VOIE]])*ROW(Tableau2[TS]))-ROW(Tableau2[#Headers])),"")</f>
        <v>ET</v>
      </c>
      <c r="AL930" s="72" t="str">
        <f>Tableau3[[#This Row],[Ref-Carte2]]&amp;"/"&amp;Tableau3[[#This Row],[ID-VOIE]]</f>
        <v>SDI1602/8</v>
      </c>
      <c r="AM930" s="73" t="str">
        <f>INDEX(Tableau2[Borne],MATCH(Tableau3[[#This Row],[ID-CARTEVOIE]],Tableau2[ID-CARTEVOIE],0))&amp;""</f>
        <v>4B</v>
      </c>
      <c r="AN930" s="74" t="str">
        <f>Tableau3[[#This Row],[ID-API]]&amp;Tableau3[[#This Row],[ID-RACK]]&amp;Tableau3[[#This Row],[ID-SLOT]]&amp;Tableau3[[#This Row],[BORNE]]</f>
        <v>6174B</v>
      </c>
      <c r="AO930" s="1"/>
    </row>
    <row r="931" spans="1:41" ht="20.100000000000001" customHeight="1" thickTop="1" thickBot="1">
      <c r="A931" s="68"/>
      <c r="B931" s="69" t="str">
        <f>IFERROR(INDEX(Tableau4[Date],MATCH($A931,Tableau4[EVO],0)),"")</f>
        <v/>
      </c>
      <c r="C931" s="68" t="str">
        <f>IFERROR(INDEX(Tableau4[Designation],MATCH($A931,Tableau4[EVO],0)),"")</f>
        <v/>
      </c>
      <c r="D931" s="68"/>
      <c r="E931" s="70">
        <v>8</v>
      </c>
      <c r="F931" s="71">
        <v>259</v>
      </c>
      <c r="G931" s="101" t="str">
        <f>INDEX(Tableau8[Att1],MATCH(Tableau3[[#This Row],[ID-INS]],Tableau8[ID],0))&amp;""</f>
        <v>V5</v>
      </c>
      <c r="H931" s="101" t="str">
        <f>INDEX(Tableau8[Att2],MATCH(Tableau3[[#This Row],[ID-INS]],Tableau8[ID],0))&amp;""</f>
        <v>P8</v>
      </c>
      <c r="I931" s="101" t="str">
        <f>INDEX(Tableau8[Att3],MATCH(Tableau3[[#This Row],[ID-INS]],Tableau8[ID],0))&amp;""</f>
        <v>Portail P8</v>
      </c>
      <c r="J931" s="101"/>
      <c r="K931" s="167" t="str">
        <f>INDEX(Tableau8[Nom du modele],MATCH(Tableau3[[#This Row],[ID-INS]],Tableau8[ID],0))&amp;""</f>
        <v>PortailBleuElec_1</v>
      </c>
      <c r="L931" s="99" t="str">
        <f>INDEX(Tableau5[Att1],MATCH(Tableau3[[#This Row],[ID-SIG]],Tableau5[ID],0))&amp;""</f>
        <v>Effraction</v>
      </c>
      <c r="M931" s="99" t="str">
        <f>INDEX(Tableau5[Att2],MATCH(Tableau3[[#This Row],[ID-SIG]],Tableau5[ID],0))&amp;""</f>
        <v/>
      </c>
      <c r="N931" s="99" t="str">
        <f>INDEX(Tableau5[Att3],MATCH(Tableau3[[#This Row],[ID-SIG]],Tableau5[ID],0))&amp;""</f>
        <v/>
      </c>
      <c r="O931" s="99"/>
      <c r="P931" s="99" t="str">
        <f>INDEX(Tableau5[Description],MATCH(Tableau3[[#This Row],[ID-SIG]],Tableau5[ID],0))</f>
        <v>Effraction</v>
      </c>
      <c r="Q931" s="99"/>
      <c r="R931" s="103" t="str">
        <f>Tableau3[[#This Row],[Description]]</f>
        <v>Effraction</v>
      </c>
      <c r="S931" s="52"/>
      <c r="U931" s="87">
        <v>6</v>
      </c>
      <c r="V931" s="87">
        <v>1</v>
      </c>
      <c r="W931" s="87">
        <v>7</v>
      </c>
      <c r="X931" s="87">
        <v>9</v>
      </c>
      <c r="Y931" s="40"/>
      <c r="Z931" s="165" t="str">
        <f>INDEX(Tableau2[TS],MATCH(Tableau3[[#This Row],[ID-CARTEVOIE]],Tableau2[ID-CARTEVOIE],0))</f>
        <v>ET</v>
      </c>
      <c r="AA931" s="53" t="s">
        <v>213</v>
      </c>
      <c r="AB931" s="223" t="str">
        <f>IFERROR(INDEX(Tableau5[Reserve],MATCH(Tableau3[[#This Row],[ID-SIG]],Tableau5[ID],0))&amp;"","")</f>
        <v/>
      </c>
      <c r="AC931" s="21"/>
      <c r="AD931" s="108" t="str">
        <f>INDEX(Tableau7[Repere],MATCH(Tableau3[[#This Row],[ID-API]],Tableau7[ID-API],0))&amp;""</f>
        <v>A6</v>
      </c>
      <c r="AE931" s="108" t="str">
        <f>INDEX(Tableau1[Repere-Rack],MATCH(Tableau3[[#This Row],[ID-RACK]],Tableau1[ID-RACK],0))&amp;""</f>
        <v>R1</v>
      </c>
      <c r="AF931" s="108" t="str">
        <f>INDEX(Tableau1[Repere-Slot],MATCH(Tableau3[[#This Row],[ID-SLOT]],Tableau1[ID-SLOT],0))&amp;""</f>
        <v>S7</v>
      </c>
      <c r="AG931" s="108" t="str">
        <f>INDEX(Tableau2[Repere-Voie],MATCH(Tableau3[[#This Row],[ID-VOIE]],Tableau2[ID-Voie],0))&amp;""</f>
        <v>v9</v>
      </c>
      <c r="AH931" s="72" t="str">
        <f>Tableau3[[#This Row],[ID-API]]&amp; "." &amp;Tableau3[[#This Row],[ID-RACK]]&amp; "." &amp;Tableau3[[#This Row],[ID-SLOT]]</f>
        <v>6.1.7</v>
      </c>
      <c r="AI931" s="72" t="str">
        <f>INDEX(Tableau1[Ref-Carte],MATCH(Tableau3[[#This Row],[ID-RRS]],Tableau1[ID-RRS],0))</f>
        <v>SDI1602</v>
      </c>
      <c r="AJ931" s="72" t="str">
        <f t="array" ref="AJ931">IFERROR(INDEX(Tableau2[TS],MATCH(1,(Tableau2[Ref-Carte]=Tableau3[[#This Row],[Ref-Carte2]])*(Tableau2[ID-Voie]=Tableau3[[#This Row],[ID-VOIE]]),0)),"")</f>
        <v>ET</v>
      </c>
      <c r="AK931" s="72" t="str">
        <f>IFERROR(INDEX(Tableau2[TS],SUMPRODUCT((Tableau2[Ref-Carte]=Tableau3[[#This Row],[Ref-Carte2]])*(Tableau2[ID-Voie]=Tableau3[[#This Row],[ID-VOIE]])*ROW(Tableau2[TS]))-ROW(Tableau2[#Headers])),"")</f>
        <v>ET</v>
      </c>
      <c r="AL931" s="72" t="str">
        <f>Tableau3[[#This Row],[Ref-Carte2]]&amp;"/"&amp;Tableau3[[#This Row],[ID-VOIE]]</f>
        <v>SDI1602/9</v>
      </c>
      <c r="AM931" s="73" t="str">
        <f>INDEX(Tableau2[Borne],MATCH(Tableau3[[#This Row],[ID-CARTEVOIE]],Tableau2[ID-CARTEVOIE],0))&amp;""</f>
        <v>4A</v>
      </c>
      <c r="AN931" s="74" t="str">
        <f>Tableau3[[#This Row],[ID-API]]&amp;Tableau3[[#This Row],[ID-RACK]]&amp;Tableau3[[#This Row],[ID-SLOT]]&amp;Tableau3[[#This Row],[BORNE]]</f>
        <v>6174A</v>
      </c>
      <c r="AO931" s="1"/>
    </row>
    <row r="932" spans="1:41" ht="20.100000000000001" customHeight="1" thickTop="1" thickBot="1">
      <c r="A932" s="68"/>
      <c r="B932" s="69" t="str">
        <f>IFERROR(INDEX(Tableau4[Date],MATCH($A932,Tableau4[EVO],0)),"")</f>
        <v/>
      </c>
      <c r="C932" s="68" t="str">
        <f>IFERROR(INDEX(Tableau4[Designation],MATCH($A932,Tableau4[EVO],0)),"")</f>
        <v/>
      </c>
      <c r="D932" s="68"/>
      <c r="E932" s="70">
        <v>8</v>
      </c>
      <c r="F932" s="71">
        <v>260</v>
      </c>
      <c r="G932" s="101" t="str">
        <f>INDEX(Tableau8[Att1],MATCH(Tableau3[[#This Row],[ID-INS]],Tableau8[ID],0))&amp;""</f>
        <v>V5</v>
      </c>
      <c r="H932" s="101" t="str">
        <f>INDEX(Tableau8[Att2],MATCH(Tableau3[[#This Row],[ID-INS]],Tableau8[ID],0))&amp;""</f>
        <v>P8</v>
      </c>
      <c r="I932" s="101" t="str">
        <f>INDEX(Tableau8[Att3],MATCH(Tableau3[[#This Row],[ID-INS]],Tableau8[ID],0))&amp;""</f>
        <v>Portail P8</v>
      </c>
      <c r="J932" s="101"/>
      <c r="K932" s="167" t="str">
        <f>INDEX(Tableau8[Nom du modele],MATCH(Tableau3[[#This Row],[ID-INS]],Tableau8[ID],0))&amp;""</f>
        <v>PortailBleuElec_1</v>
      </c>
      <c r="L932" s="99" t="str">
        <f>INDEX(Tableau5[Att1],MATCH(Tableau3[[#This Row],[ID-SIG]],Tableau5[ID],0))&amp;""</f>
        <v>V_CellInfraInt</v>
      </c>
      <c r="M932" s="99" t="str">
        <f>INDEX(Tableau5[Att2],MATCH(Tableau3[[#This Row],[ID-SIG]],Tableau5[ID],0))&amp;""</f>
        <v/>
      </c>
      <c r="N932" s="99" t="str">
        <f>INDEX(Tableau5[Att3],MATCH(Tableau3[[#This Row],[ID-SIG]],Tableau5[ID],0))&amp;""</f>
        <v/>
      </c>
      <c r="O932" s="99"/>
      <c r="P932" s="99" t="str">
        <f>INDEX(Tableau5[Description],MATCH(Tableau3[[#This Row],[ID-SIG]],Tableau5[ID],0))</f>
        <v>Cellule infrarouge intérieure</v>
      </c>
      <c r="Q932" s="99"/>
      <c r="R932" s="103" t="str">
        <f>Tableau3[[#This Row],[Description]]</f>
        <v>Cellule infrarouge intérieure</v>
      </c>
      <c r="S932" s="52"/>
      <c r="U932" s="87">
        <v>6</v>
      </c>
      <c r="V932" s="87">
        <v>1</v>
      </c>
      <c r="W932" s="87">
        <v>7</v>
      </c>
      <c r="X932" s="87">
        <v>10</v>
      </c>
      <c r="Y932" s="40"/>
      <c r="Z932" s="165" t="str">
        <f>INDEX(Tableau2[TS],MATCH(Tableau3[[#This Row],[ID-CARTEVOIE]],Tableau2[ID-CARTEVOIE],0))</f>
        <v>ET</v>
      </c>
      <c r="AA932" s="53" t="s">
        <v>213</v>
      </c>
      <c r="AB932" s="223" t="str">
        <f>IFERROR(INDEX(Tableau5[Reserve],MATCH(Tableau3[[#This Row],[ID-SIG]],Tableau5[ID],0))&amp;"","")</f>
        <v/>
      </c>
      <c r="AC932" s="21"/>
      <c r="AD932" s="108" t="str">
        <f>INDEX(Tableau7[Repere],MATCH(Tableau3[[#This Row],[ID-API]],Tableau7[ID-API],0))&amp;""</f>
        <v>A6</v>
      </c>
      <c r="AE932" s="108" t="str">
        <f>INDEX(Tableau1[Repere-Rack],MATCH(Tableau3[[#This Row],[ID-RACK]],Tableau1[ID-RACK],0))&amp;""</f>
        <v>R1</v>
      </c>
      <c r="AF932" s="108" t="str">
        <f>INDEX(Tableau1[Repere-Slot],MATCH(Tableau3[[#This Row],[ID-SLOT]],Tableau1[ID-SLOT],0))&amp;""</f>
        <v>S7</v>
      </c>
      <c r="AG932" s="108" t="str">
        <f>INDEX(Tableau2[Repere-Voie],MATCH(Tableau3[[#This Row],[ID-VOIE]],Tableau2[ID-Voie],0))&amp;""</f>
        <v>v10</v>
      </c>
      <c r="AH932" s="72" t="str">
        <f>Tableau3[[#This Row],[ID-API]]&amp; "." &amp;Tableau3[[#This Row],[ID-RACK]]&amp; "." &amp;Tableau3[[#This Row],[ID-SLOT]]</f>
        <v>6.1.7</v>
      </c>
      <c r="AI932" s="72" t="str">
        <f>INDEX(Tableau1[Ref-Carte],MATCH(Tableau3[[#This Row],[ID-RRS]],Tableau1[ID-RRS],0))</f>
        <v>SDI1602</v>
      </c>
      <c r="AJ932" s="72" t="str">
        <f t="array" ref="AJ932">IFERROR(INDEX(Tableau2[TS],MATCH(1,(Tableau2[Ref-Carte]=Tableau3[[#This Row],[Ref-Carte2]])*(Tableau2[ID-Voie]=Tableau3[[#This Row],[ID-VOIE]]),0)),"")</f>
        <v>ET</v>
      </c>
      <c r="AK932" s="72" t="str">
        <f>IFERROR(INDEX(Tableau2[TS],SUMPRODUCT((Tableau2[Ref-Carte]=Tableau3[[#This Row],[Ref-Carte2]])*(Tableau2[ID-Voie]=Tableau3[[#This Row],[ID-VOIE]])*ROW(Tableau2[TS]))-ROW(Tableau2[#Headers])),"")</f>
        <v>ET</v>
      </c>
      <c r="AL932" s="72" t="str">
        <f>Tableau3[[#This Row],[Ref-Carte2]]&amp;"/"&amp;Tableau3[[#This Row],[ID-VOIE]]</f>
        <v>SDI1602/10</v>
      </c>
      <c r="AM932" s="73" t="str">
        <f>INDEX(Tableau2[Borne],MATCH(Tableau3[[#This Row],[ID-CARTEVOIE]],Tableau2[ID-CARTEVOIE],0))&amp;""</f>
        <v>5B</v>
      </c>
      <c r="AN932" s="74" t="str">
        <f>Tableau3[[#This Row],[ID-API]]&amp;Tableau3[[#This Row],[ID-RACK]]&amp;Tableau3[[#This Row],[ID-SLOT]]&amp;Tableau3[[#This Row],[BORNE]]</f>
        <v>6175B</v>
      </c>
      <c r="AO932" s="1"/>
    </row>
    <row r="933" spans="1:41" ht="20.100000000000001" customHeight="1" thickTop="1" thickBot="1">
      <c r="A933" s="68"/>
      <c r="B933" s="69" t="str">
        <f>IFERROR(INDEX(Tableau4[Date],MATCH($A933,Tableau4[EVO],0)),"")</f>
        <v/>
      </c>
      <c r="C933" s="68" t="str">
        <f>IFERROR(INDEX(Tableau4[Designation],MATCH($A933,Tableau4[EVO],0)),"")</f>
        <v/>
      </c>
      <c r="D933" s="68"/>
      <c r="E933" s="70">
        <v>8</v>
      </c>
      <c r="F933" s="71">
        <v>261</v>
      </c>
      <c r="G933" s="101" t="str">
        <f>INDEX(Tableau8[Att1],MATCH(Tableau3[[#This Row],[ID-INS]],Tableau8[ID],0))&amp;""</f>
        <v>V5</v>
      </c>
      <c r="H933" s="101" t="str">
        <f>INDEX(Tableau8[Att2],MATCH(Tableau3[[#This Row],[ID-INS]],Tableau8[ID],0))&amp;""</f>
        <v>P8</v>
      </c>
      <c r="I933" s="101" t="str">
        <f>INDEX(Tableau8[Att3],MATCH(Tableau3[[#This Row],[ID-INS]],Tableau8[ID],0))&amp;""</f>
        <v>Portail P8</v>
      </c>
      <c r="J933" s="101"/>
      <c r="K933" s="167" t="str">
        <f>INDEX(Tableau8[Nom du modele],MATCH(Tableau3[[#This Row],[ID-INS]],Tableau8[ID],0))&amp;""</f>
        <v>PortailBleuElec_1</v>
      </c>
      <c r="L933" s="99" t="str">
        <f>INDEX(Tableau5[Att1],MATCH(Tableau3[[#This Row],[ID-SIG]],Tableau5[ID],0))&amp;""</f>
        <v>V_CellInfraExt</v>
      </c>
      <c r="M933" s="99" t="str">
        <f>INDEX(Tableau5[Att2],MATCH(Tableau3[[#This Row],[ID-SIG]],Tableau5[ID],0))&amp;""</f>
        <v/>
      </c>
      <c r="N933" s="99" t="str">
        <f>INDEX(Tableau5[Att3],MATCH(Tableau3[[#This Row],[ID-SIG]],Tableau5[ID],0))&amp;""</f>
        <v/>
      </c>
      <c r="O933" s="99"/>
      <c r="P933" s="99" t="str">
        <f>INDEX(Tableau5[Description],MATCH(Tableau3[[#This Row],[ID-SIG]],Tableau5[ID],0))</f>
        <v>Cellule infrarouge extérieure</v>
      </c>
      <c r="Q933" s="99"/>
      <c r="R933" s="103" t="str">
        <f>Tableau3[[#This Row],[Description]]</f>
        <v>Cellule infrarouge extérieure</v>
      </c>
      <c r="S933" s="52"/>
      <c r="U933" s="87">
        <v>6</v>
      </c>
      <c r="V933" s="87">
        <v>1</v>
      </c>
      <c r="W933" s="87">
        <v>7</v>
      </c>
      <c r="X933" s="87">
        <v>11</v>
      </c>
      <c r="Y933" s="40"/>
      <c r="Z933" s="165" t="str">
        <f>INDEX(Tableau2[TS],MATCH(Tableau3[[#This Row],[ID-CARTEVOIE]],Tableau2[ID-CARTEVOIE],0))</f>
        <v>ET</v>
      </c>
      <c r="AA933" s="53" t="s">
        <v>213</v>
      </c>
      <c r="AB933" s="223" t="str">
        <f>IFERROR(INDEX(Tableau5[Reserve],MATCH(Tableau3[[#This Row],[ID-SIG]],Tableau5[ID],0))&amp;"","")</f>
        <v/>
      </c>
      <c r="AC933" s="21"/>
      <c r="AD933" s="108" t="str">
        <f>INDEX(Tableau7[Repere],MATCH(Tableau3[[#This Row],[ID-API]],Tableau7[ID-API],0))&amp;""</f>
        <v>A6</v>
      </c>
      <c r="AE933" s="108" t="str">
        <f>INDEX(Tableau1[Repere-Rack],MATCH(Tableau3[[#This Row],[ID-RACK]],Tableau1[ID-RACK],0))&amp;""</f>
        <v>R1</v>
      </c>
      <c r="AF933" s="108" t="str">
        <f>INDEX(Tableau1[Repere-Slot],MATCH(Tableau3[[#This Row],[ID-SLOT]],Tableau1[ID-SLOT],0))&amp;""</f>
        <v>S7</v>
      </c>
      <c r="AG933" s="108" t="str">
        <f>INDEX(Tableau2[Repere-Voie],MATCH(Tableau3[[#This Row],[ID-VOIE]],Tableau2[ID-Voie],0))&amp;""</f>
        <v>v11</v>
      </c>
      <c r="AH933" s="72" t="str">
        <f>Tableau3[[#This Row],[ID-API]]&amp; "." &amp;Tableau3[[#This Row],[ID-RACK]]&amp; "." &amp;Tableau3[[#This Row],[ID-SLOT]]</f>
        <v>6.1.7</v>
      </c>
      <c r="AI933" s="72" t="str">
        <f>INDEX(Tableau1[Ref-Carte],MATCH(Tableau3[[#This Row],[ID-RRS]],Tableau1[ID-RRS],0))</f>
        <v>SDI1602</v>
      </c>
      <c r="AJ933" s="72" t="str">
        <f t="array" ref="AJ933">IFERROR(INDEX(Tableau2[TS],MATCH(1,(Tableau2[Ref-Carte]=Tableau3[[#This Row],[Ref-Carte2]])*(Tableau2[ID-Voie]=Tableau3[[#This Row],[ID-VOIE]]),0)),"")</f>
        <v>ET</v>
      </c>
      <c r="AK933" s="72" t="str">
        <f>IFERROR(INDEX(Tableau2[TS],SUMPRODUCT((Tableau2[Ref-Carte]=Tableau3[[#This Row],[Ref-Carte2]])*(Tableau2[ID-Voie]=Tableau3[[#This Row],[ID-VOIE]])*ROW(Tableau2[TS]))-ROW(Tableau2[#Headers])),"")</f>
        <v>ET</v>
      </c>
      <c r="AL933" s="72" t="str">
        <f>Tableau3[[#This Row],[Ref-Carte2]]&amp;"/"&amp;Tableau3[[#This Row],[ID-VOIE]]</f>
        <v>SDI1602/11</v>
      </c>
      <c r="AM933" s="73" t="str">
        <f>INDEX(Tableau2[Borne],MATCH(Tableau3[[#This Row],[ID-CARTEVOIE]],Tableau2[ID-CARTEVOIE],0))&amp;""</f>
        <v>5A</v>
      </c>
      <c r="AN933" s="74" t="str">
        <f>Tableau3[[#This Row],[ID-API]]&amp;Tableau3[[#This Row],[ID-RACK]]&amp;Tableau3[[#This Row],[ID-SLOT]]&amp;Tableau3[[#This Row],[BORNE]]</f>
        <v>6175A</v>
      </c>
      <c r="AO933" s="1"/>
    </row>
    <row r="934" spans="1:41" ht="20.100000000000001" customHeight="1" thickTop="1" thickBot="1">
      <c r="A934" s="68"/>
      <c r="B934" s="69" t="str">
        <f>IFERROR(INDEX(Tableau4[Date],MATCH($A934,Tableau4[EVO],0)),"")</f>
        <v/>
      </c>
      <c r="C934" s="68" t="str">
        <f>IFERROR(INDEX(Tableau4[Designation],MATCH($A934,Tableau4[EVO],0)),"")</f>
        <v/>
      </c>
      <c r="D934" s="68"/>
      <c r="E934" s="70">
        <v>10</v>
      </c>
      <c r="F934" s="71">
        <v>156</v>
      </c>
      <c r="G934" s="101" t="str">
        <f>INDEX(Tableau8[Att1],MATCH(Tableau3[[#This Row],[ID-INS]],Tableau8[ID],0))&amp;""</f>
        <v>V5</v>
      </c>
      <c r="H934" s="153" t="s">
        <v>1773</v>
      </c>
      <c r="I934" s="101"/>
      <c r="J934" s="101"/>
      <c r="K934" s="167" t="str">
        <f>INDEX(Tableau8[Nom du modele],MATCH(Tableau3[[#This Row],[ID-INS]],Tableau8[ID],0))&amp;""</f>
        <v>PortailR2VElec</v>
      </c>
      <c r="L934" s="155" t="s">
        <v>260</v>
      </c>
      <c r="M934" s="99" t="str">
        <f>INDEX(Tableau5[Att2],MATCH(Tableau3[[#This Row],[ID-SIG]],Tableau5[ID],0))&amp;""</f>
        <v/>
      </c>
      <c r="N934" s="99" t="str">
        <f>INDEX(Tableau5[Att3],MATCH(Tableau3[[#This Row],[ID-SIG]],Tableau5[ID],0))&amp;""</f>
        <v/>
      </c>
      <c r="O934" s="99"/>
      <c r="P934" s="155" t="s">
        <v>1774</v>
      </c>
      <c r="Q934" s="99"/>
      <c r="R934" s="103" t="str">
        <f>Tableau3[[#This Row],[Description]]</f>
        <v>Boucle B20 - Défaut</v>
      </c>
      <c r="S934" s="83"/>
      <c r="U934" s="87">
        <v>6</v>
      </c>
      <c r="V934" s="87">
        <v>1</v>
      </c>
      <c r="W934" s="87">
        <v>7</v>
      </c>
      <c r="X934" s="87">
        <v>12</v>
      </c>
      <c r="Y934" s="40"/>
      <c r="Z934" s="165" t="str">
        <f>INDEX(Tableau2[TS],MATCH(Tableau3[[#This Row],[ID-CARTEVOIE]],Tableau2[ID-CARTEVOIE],0))</f>
        <v>ET</v>
      </c>
      <c r="AA934" s="53" t="s">
        <v>213</v>
      </c>
      <c r="AB934" s="223" t="str">
        <f>IFERROR(INDEX(Tableau5[Reserve],MATCH(Tableau3[[#This Row],[ID-SIG]],Tableau5[ID],0))&amp;"","")</f>
        <v/>
      </c>
      <c r="AC934" s="21"/>
      <c r="AD934" s="108" t="str">
        <f>INDEX(Tableau7[Repere],MATCH(Tableau3[[#This Row],[ID-API]],Tableau7[ID-API],0))&amp;""</f>
        <v>A6</v>
      </c>
      <c r="AE934" s="108" t="str">
        <f>INDEX(Tableau1[Repere-Rack],MATCH(Tableau3[[#This Row],[ID-RACK]],Tableau1[ID-RACK],0))&amp;""</f>
        <v>R1</v>
      </c>
      <c r="AF934" s="108" t="str">
        <f>INDEX(Tableau1[Repere-Slot],MATCH(Tableau3[[#This Row],[ID-SLOT]],Tableau1[ID-SLOT],0))&amp;""</f>
        <v>S7</v>
      </c>
      <c r="AG934" s="108" t="str">
        <f>INDEX(Tableau2[Repere-Voie],MATCH(Tableau3[[#This Row],[ID-VOIE]],Tableau2[ID-Voie],0))&amp;""</f>
        <v>v12</v>
      </c>
      <c r="AH934" s="72" t="str">
        <f>Tableau3[[#This Row],[ID-API]]&amp; "." &amp;Tableau3[[#This Row],[ID-RACK]]&amp; "." &amp;Tableau3[[#This Row],[ID-SLOT]]</f>
        <v>6.1.7</v>
      </c>
      <c r="AI934" s="72" t="str">
        <f>INDEX(Tableau1[Ref-Carte],MATCH(Tableau3[[#This Row],[ID-RRS]],Tableau1[ID-RRS],0))</f>
        <v>SDI1602</v>
      </c>
      <c r="AJ934" s="72" t="str">
        <f t="array" ref="AJ934">IFERROR(INDEX(Tableau2[TS],MATCH(1,(Tableau2[Ref-Carte]=Tableau3[[#This Row],[Ref-Carte2]])*(Tableau2[ID-Voie]=Tableau3[[#This Row],[ID-VOIE]]),0)),"")</f>
        <v>ET</v>
      </c>
      <c r="AK934" s="72" t="str">
        <f>IFERROR(INDEX(Tableau2[TS],SUMPRODUCT((Tableau2[Ref-Carte]=Tableau3[[#This Row],[Ref-Carte2]])*(Tableau2[ID-Voie]=Tableau3[[#This Row],[ID-VOIE]])*ROW(Tableau2[TS]))-ROW(Tableau2[#Headers])),"")</f>
        <v>ET</v>
      </c>
      <c r="AL934" s="72" t="str">
        <f>Tableau3[[#This Row],[Ref-Carte2]]&amp;"/"&amp;Tableau3[[#This Row],[ID-VOIE]]</f>
        <v>SDI1602/12</v>
      </c>
      <c r="AM934" s="73" t="str">
        <f>INDEX(Tableau2[Borne],MATCH(Tableau3[[#This Row],[ID-CARTEVOIE]],Tableau2[ID-CARTEVOIE],0))&amp;""</f>
        <v>6B</v>
      </c>
      <c r="AN934" s="74" t="str">
        <f>Tableau3[[#This Row],[ID-API]]&amp;Tableau3[[#This Row],[ID-RACK]]&amp;Tableau3[[#This Row],[ID-SLOT]]&amp;Tableau3[[#This Row],[BORNE]]</f>
        <v>6176B</v>
      </c>
      <c r="AO934" s="1"/>
    </row>
    <row r="935" spans="1:41" ht="20.100000000000001" customHeight="1" thickTop="1" thickBot="1">
      <c r="A935" s="68"/>
      <c r="B935" s="69" t="str">
        <f>IFERROR(INDEX(Tableau4[Date],MATCH($A935,Tableau4[EVO],0)),"")</f>
        <v/>
      </c>
      <c r="C935" s="68" t="str">
        <f>IFERROR(INDEX(Tableau4[Designation],MATCH($A935,Tableau4[EVO],0)),"")</f>
        <v/>
      </c>
      <c r="D935" s="68"/>
      <c r="E935" s="70">
        <v>10</v>
      </c>
      <c r="F935" s="71">
        <v>160</v>
      </c>
      <c r="G935" s="101" t="str">
        <f>INDEX(Tableau8[Att1],MATCH(Tableau3[[#This Row],[ID-INS]],Tableau8[ID],0))&amp;""</f>
        <v>V5</v>
      </c>
      <c r="H935" s="101" t="str">
        <f>INDEX(Tableau8[Att2],MATCH(Tableau3[[#This Row],[ID-INS]],Tableau8[ID],0))&amp;""</f>
        <v>P10</v>
      </c>
      <c r="I935" s="101" t="str">
        <f>INDEX(Tableau8[Att3],MATCH(Tableau3[[#This Row],[ID-INS]],Tableau8[ID],0))&amp;""</f>
        <v>Portail P10</v>
      </c>
      <c r="J935" s="101"/>
      <c r="K935" s="167" t="str">
        <f>INDEX(Tableau8[Nom du modele],MATCH(Tableau3[[#This Row],[ID-INS]],Tableau8[ID],0))&amp;""</f>
        <v>PortailR2VElec</v>
      </c>
      <c r="L935" s="99" t="str">
        <f>INDEX(Tableau5[Att1],MATCH(Tableau3[[#This Row],[ID-SIG]],Tableau5[ID],0))&amp;""</f>
        <v>Vx_GacheOuv1</v>
      </c>
      <c r="M935" s="99" t="str">
        <f>INDEX(Tableau5[Att2],MATCH(Tableau3[[#This Row],[ID-SIG]],Tableau5[ID],0))&amp;""</f>
        <v/>
      </c>
      <c r="N935" s="99" t="str">
        <f>INDEX(Tableau5[Att3],MATCH(Tableau3[[#This Row],[ID-SIG]],Tableau5[ID],0))&amp;""</f>
        <v/>
      </c>
      <c r="O935" s="99"/>
      <c r="P935" s="99" t="str">
        <f>INDEX(Tableau5[Description],MATCH(Tableau3[[#This Row],[ID-SIG]],Tableau5[ID],0))</f>
        <v>Fin de course ouvert 1 gâche</v>
      </c>
      <c r="Q935" s="99"/>
      <c r="R935" s="103" t="str">
        <f>Tableau3[[#This Row],[Description]]</f>
        <v>Fin de course ouvert 1 gâche</v>
      </c>
      <c r="S935" s="83"/>
      <c r="U935" s="87">
        <v>6</v>
      </c>
      <c r="V935" s="87">
        <v>1</v>
      </c>
      <c r="W935" s="87">
        <v>7</v>
      </c>
      <c r="X935" s="87">
        <v>13</v>
      </c>
      <c r="Y935" s="40"/>
      <c r="Z935" s="165" t="str">
        <f>INDEX(Tableau2[TS],MATCH(Tableau3[[#This Row],[ID-CARTEVOIE]],Tableau2[ID-CARTEVOIE],0))</f>
        <v>ET</v>
      </c>
      <c r="AA935" s="53" t="s">
        <v>213</v>
      </c>
      <c r="AB935" s="223" t="str">
        <f>IFERROR(INDEX(Tableau5[Reserve],MATCH(Tableau3[[#This Row],[ID-SIG]],Tableau5[ID],0))&amp;"","")</f>
        <v/>
      </c>
      <c r="AC935" s="21"/>
      <c r="AD935" s="108" t="str">
        <f>INDEX(Tableau7[Repere],MATCH(Tableau3[[#This Row],[ID-API]],Tableau7[ID-API],0))&amp;""</f>
        <v>A6</v>
      </c>
      <c r="AE935" s="108" t="str">
        <f>INDEX(Tableau1[Repere-Rack],MATCH(Tableau3[[#This Row],[ID-RACK]],Tableau1[ID-RACK],0))&amp;""</f>
        <v>R1</v>
      </c>
      <c r="AF935" s="108" t="str">
        <f>INDEX(Tableau1[Repere-Slot],MATCH(Tableau3[[#This Row],[ID-SLOT]],Tableau1[ID-SLOT],0))&amp;""</f>
        <v>S7</v>
      </c>
      <c r="AG935" s="108" t="str">
        <f>INDEX(Tableau2[Repere-Voie],MATCH(Tableau3[[#This Row],[ID-VOIE]],Tableau2[ID-Voie],0))&amp;""</f>
        <v>v13</v>
      </c>
      <c r="AH935" s="72" t="str">
        <f>Tableau3[[#This Row],[ID-API]]&amp; "." &amp;Tableau3[[#This Row],[ID-RACK]]&amp; "." &amp;Tableau3[[#This Row],[ID-SLOT]]</f>
        <v>6.1.7</v>
      </c>
      <c r="AI935" s="72" t="str">
        <f>INDEX(Tableau1[Ref-Carte],MATCH(Tableau3[[#This Row],[ID-RRS]],Tableau1[ID-RRS],0))</f>
        <v>SDI1602</v>
      </c>
      <c r="AJ935" s="72" t="str">
        <f t="array" ref="AJ935">IFERROR(INDEX(Tableau2[TS],MATCH(1,(Tableau2[Ref-Carte]=Tableau3[[#This Row],[Ref-Carte2]])*(Tableau2[ID-Voie]=Tableau3[[#This Row],[ID-VOIE]]),0)),"")</f>
        <v>ET</v>
      </c>
      <c r="AK935" s="72" t="str">
        <f>IFERROR(INDEX(Tableau2[TS],SUMPRODUCT((Tableau2[Ref-Carte]=Tableau3[[#This Row],[Ref-Carte2]])*(Tableau2[ID-Voie]=Tableau3[[#This Row],[ID-VOIE]])*ROW(Tableau2[TS]))-ROW(Tableau2[#Headers])),"")</f>
        <v>ET</v>
      </c>
      <c r="AL935" s="72" t="str">
        <f>Tableau3[[#This Row],[Ref-Carte2]]&amp;"/"&amp;Tableau3[[#This Row],[ID-VOIE]]</f>
        <v>SDI1602/13</v>
      </c>
      <c r="AM935" s="73" t="str">
        <f>INDEX(Tableau2[Borne],MATCH(Tableau3[[#This Row],[ID-CARTEVOIE]],Tableau2[ID-CARTEVOIE],0))&amp;""</f>
        <v>6A</v>
      </c>
      <c r="AN935" s="74" t="str">
        <f>Tableau3[[#This Row],[ID-API]]&amp;Tableau3[[#This Row],[ID-RACK]]&amp;Tableau3[[#This Row],[ID-SLOT]]&amp;Tableau3[[#This Row],[BORNE]]</f>
        <v>6176A</v>
      </c>
      <c r="AO935" s="1"/>
    </row>
    <row r="936" spans="1:41" ht="20.100000000000001" customHeight="1" thickTop="1" thickBot="1">
      <c r="A936" s="68"/>
      <c r="B936" s="69" t="str">
        <f>IFERROR(INDEX(Tableau4[Date],MATCH($A936,Tableau4[EVO],0)),"")</f>
        <v/>
      </c>
      <c r="C936" s="68" t="str">
        <f>IFERROR(INDEX(Tableau4[Designation],MATCH($A936,Tableau4[EVO],0)),"")</f>
        <v/>
      </c>
      <c r="D936" s="68"/>
      <c r="E936" s="70">
        <v>10</v>
      </c>
      <c r="F936" s="71">
        <v>161</v>
      </c>
      <c r="G936" s="101" t="str">
        <f>INDEX(Tableau8[Att1],MATCH(Tableau3[[#This Row],[ID-INS]],Tableau8[ID],0))&amp;""</f>
        <v>V5</v>
      </c>
      <c r="H936" s="101" t="str">
        <f>INDEX(Tableau8[Att2],MATCH(Tableau3[[#This Row],[ID-INS]],Tableau8[ID],0))&amp;""</f>
        <v>P10</v>
      </c>
      <c r="I936" s="101" t="str">
        <f>INDEX(Tableau8[Att3],MATCH(Tableau3[[#This Row],[ID-INS]],Tableau8[ID],0))&amp;""</f>
        <v>Portail P10</v>
      </c>
      <c r="J936" s="101"/>
      <c r="K936" s="167" t="str">
        <f>INDEX(Tableau8[Nom du modele],MATCH(Tableau3[[#This Row],[ID-INS]],Tableau8[ID],0))&amp;""</f>
        <v>PortailR2VElec</v>
      </c>
      <c r="L936" s="99" t="str">
        <f>INDEX(Tableau5[Att1],MATCH(Tableau3[[#This Row],[ID-SIG]],Tableau5[ID],0))&amp;""</f>
        <v>Vx_GacheOuv2</v>
      </c>
      <c r="M936" s="99" t="str">
        <f>INDEX(Tableau5[Att2],MATCH(Tableau3[[#This Row],[ID-SIG]],Tableau5[ID],0))&amp;""</f>
        <v/>
      </c>
      <c r="N936" s="99" t="str">
        <f>INDEX(Tableau5[Att3],MATCH(Tableau3[[#This Row],[ID-SIG]],Tableau5[ID],0))&amp;""</f>
        <v/>
      </c>
      <c r="O936" s="99"/>
      <c r="P936" s="99" t="str">
        <f>INDEX(Tableau5[Description],MATCH(Tableau3[[#This Row],[ID-SIG]],Tableau5[ID],0))</f>
        <v>Fin de course ouvert 2 gâche</v>
      </c>
      <c r="Q936" s="99"/>
      <c r="R936" s="103" t="str">
        <f>Tableau3[[#This Row],[Description]]</f>
        <v>Fin de course ouvert 2 gâche</v>
      </c>
      <c r="S936" s="83"/>
      <c r="U936" s="87">
        <v>6</v>
      </c>
      <c r="V936" s="87">
        <v>1</v>
      </c>
      <c r="W936" s="87">
        <v>7</v>
      </c>
      <c r="X936" s="87">
        <v>14</v>
      </c>
      <c r="Y936" s="40"/>
      <c r="Z936" s="165" t="str">
        <f>INDEX(Tableau2[TS],MATCH(Tableau3[[#This Row],[ID-CARTEVOIE]],Tableau2[ID-CARTEVOIE],0))</f>
        <v>ET</v>
      </c>
      <c r="AA936" s="53" t="s">
        <v>213</v>
      </c>
      <c r="AB936" s="223" t="str">
        <f>IFERROR(INDEX(Tableau5[Reserve],MATCH(Tableau3[[#This Row],[ID-SIG]],Tableau5[ID],0))&amp;"","")</f>
        <v/>
      </c>
      <c r="AC936" s="21"/>
      <c r="AD936" s="108" t="str">
        <f>INDEX(Tableau7[Repere],MATCH(Tableau3[[#This Row],[ID-API]],Tableau7[ID-API],0))&amp;""</f>
        <v>A6</v>
      </c>
      <c r="AE936" s="108" t="str">
        <f>INDEX(Tableau1[Repere-Rack],MATCH(Tableau3[[#This Row],[ID-RACK]],Tableau1[ID-RACK],0))&amp;""</f>
        <v>R1</v>
      </c>
      <c r="AF936" s="108" t="str">
        <f>INDEX(Tableau1[Repere-Slot],MATCH(Tableau3[[#This Row],[ID-SLOT]],Tableau1[ID-SLOT],0))&amp;""</f>
        <v>S7</v>
      </c>
      <c r="AG936" s="108" t="str">
        <f>INDEX(Tableau2[Repere-Voie],MATCH(Tableau3[[#This Row],[ID-VOIE]],Tableau2[ID-Voie],0))&amp;""</f>
        <v>v14</v>
      </c>
      <c r="AH936" s="72" t="str">
        <f>Tableau3[[#This Row],[ID-API]]&amp; "." &amp;Tableau3[[#This Row],[ID-RACK]]&amp; "." &amp;Tableau3[[#This Row],[ID-SLOT]]</f>
        <v>6.1.7</v>
      </c>
      <c r="AI936" s="72" t="str">
        <f>INDEX(Tableau1[Ref-Carte],MATCH(Tableau3[[#This Row],[ID-RRS]],Tableau1[ID-RRS],0))</f>
        <v>SDI1602</v>
      </c>
      <c r="AJ936" s="72" t="str">
        <f t="array" ref="AJ936">IFERROR(INDEX(Tableau2[TS],MATCH(1,(Tableau2[Ref-Carte]=Tableau3[[#This Row],[Ref-Carte2]])*(Tableau2[ID-Voie]=Tableau3[[#This Row],[ID-VOIE]]),0)),"")</f>
        <v>ET</v>
      </c>
      <c r="AK936" s="72" t="str">
        <f>IFERROR(INDEX(Tableau2[TS],SUMPRODUCT((Tableau2[Ref-Carte]=Tableau3[[#This Row],[Ref-Carte2]])*(Tableau2[ID-Voie]=Tableau3[[#This Row],[ID-VOIE]])*ROW(Tableau2[TS]))-ROW(Tableau2[#Headers])),"")</f>
        <v>ET</v>
      </c>
      <c r="AL936" s="72" t="str">
        <f>Tableau3[[#This Row],[Ref-Carte2]]&amp;"/"&amp;Tableau3[[#This Row],[ID-VOIE]]</f>
        <v>SDI1602/14</v>
      </c>
      <c r="AM936" s="73" t="str">
        <f>INDEX(Tableau2[Borne],MATCH(Tableau3[[#This Row],[ID-CARTEVOIE]],Tableau2[ID-CARTEVOIE],0))&amp;""</f>
        <v>7B</v>
      </c>
      <c r="AN936" s="74" t="str">
        <f>Tableau3[[#This Row],[ID-API]]&amp;Tableau3[[#This Row],[ID-RACK]]&amp;Tableau3[[#This Row],[ID-SLOT]]&amp;Tableau3[[#This Row],[BORNE]]</f>
        <v>6177B</v>
      </c>
      <c r="AO936" s="1"/>
    </row>
    <row r="937" spans="1:41" ht="20.100000000000001" customHeight="1" thickTop="1" thickBot="1">
      <c r="A937" s="68"/>
      <c r="B937" s="69" t="str">
        <f>IFERROR(INDEX(Tableau4[Date],MATCH($A937,Tableau4[EVO],0)),"")</f>
        <v/>
      </c>
      <c r="C937" s="68" t="str">
        <f>IFERROR(INDEX(Tableau4[Designation],MATCH($A937,Tableau4[EVO],0)),"")</f>
        <v/>
      </c>
      <c r="D937" s="68"/>
      <c r="E937" s="70">
        <v>10</v>
      </c>
      <c r="F937" s="71">
        <v>162</v>
      </c>
      <c r="G937" s="101" t="str">
        <f>INDEX(Tableau8[Att1],MATCH(Tableau3[[#This Row],[ID-INS]],Tableau8[ID],0))&amp;""</f>
        <v>V5</v>
      </c>
      <c r="H937" s="101" t="str">
        <f>INDEX(Tableau8[Att2],MATCH(Tableau3[[#This Row],[ID-INS]],Tableau8[ID],0))&amp;""</f>
        <v>P10</v>
      </c>
      <c r="I937" s="101" t="str">
        <f>INDEX(Tableau8[Att3],MATCH(Tableau3[[#This Row],[ID-INS]],Tableau8[ID],0))&amp;""</f>
        <v>Portail P10</v>
      </c>
      <c r="J937" s="101"/>
      <c r="K937" s="167" t="str">
        <f>INDEX(Tableau8[Nom du modele],MATCH(Tableau3[[#This Row],[ID-INS]],Tableau8[ID],0))&amp;""</f>
        <v>PortailR2VElec</v>
      </c>
      <c r="L937" s="155" t="s">
        <v>262</v>
      </c>
      <c r="M937" s="99" t="str">
        <f>INDEX(Tableau5[Att2],MATCH(Tableau3[[#This Row],[ID-SIG]],Tableau5[ID],0))&amp;""</f>
        <v/>
      </c>
      <c r="N937" s="99" t="str">
        <f>INDEX(Tableau5[Att3],MATCH(Tableau3[[#This Row],[ID-SIG]],Tableau5[ID],0))&amp;""</f>
        <v/>
      </c>
      <c r="O937" s="99"/>
      <c r="P937" s="155" t="s">
        <v>1775</v>
      </c>
      <c r="Q937" s="99"/>
      <c r="R937" s="103" t="str">
        <f>Tableau3[[#This Row],[Description]]</f>
        <v>Boucle B20 - Présence</v>
      </c>
      <c r="S937" s="83"/>
      <c r="U937" s="87">
        <v>6</v>
      </c>
      <c r="V937" s="87">
        <v>1</v>
      </c>
      <c r="W937" s="87">
        <v>7</v>
      </c>
      <c r="X937" s="87">
        <v>15</v>
      </c>
      <c r="Y937" s="40"/>
      <c r="Z937" s="165" t="str">
        <f>INDEX(Tableau2[TS],MATCH(Tableau3[[#This Row],[ID-CARTEVOIE]],Tableau2[ID-CARTEVOIE],0))</f>
        <v>ET</v>
      </c>
      <c r="AA937" s="53" t="s">
        <v>213</v>
      </c>
      <c r="AB937" s="223" t="str">
        <f>IFERROR(INDEX(Tableau5[Reserve],MATCH(Tableau3[[#This Row],[ID-SIG]],Tableau5[ID],0))&amp;"","")</f>
        <v/>
      </c>
      <c r="AC937" s="21"/>
      <c r="AD937" s="108" t="str">
        <f>INDEX(Tableau7[Repere],MATCH(Tableau3[[#This Row],[ID-API]],Tableau7[ID-API],0))&amp;""</f>
        <v>A6</v>
      </c>
      <c r="AE937" s="108" t="str">
        <f>INDEX(Tableau1[Repere-Rack],MATCH(Tableau3[[#This Row],[ID-RACK]],Tableau1[ID-RACK],0))&amp;""</f>
        <v>R1</v>
      </c>
      <c r="AF937" s="108" t="str">
        <f>INDEX(Tableau1[Repere-Slot],MATCH(Tableau3[[#This Row],[ID-SLOT]],Tableau1[ID-SLOT],0))&amp;""</f>
        <v>S7</v>
      </c>
      <c r="AG937" s="108" t="str">
        <f>INDEX(Tableau2[Repere-Voie],MATCH(Tableau3[[#This Row],[ID-VOIE]],Tableau2[ID-Voie],0))&amp;""</f>
        <v>v15</v>
      </c>
      <c r="AH937" s="72" t="str">
        <f>Tableau3[[#This Row],[ID-API]]&amp; "." &amp;Tableau3[[#This Row],[ID-RACK]]&amp; "." &amp;Tableau3[[#This Row],[ID-SLOT]]</f>
        <v>6.1.7</v>
      </c>
      <c r="AI937" s="72" t="str">
        <f>INDEX(Tableau1[Ref-Carte],MATCH(Tableau3[[#This Row],[ID-RRS]],Tableau1[ID-RRS],0))</f>
        <v>SDI1602</v>
      </c>
      <c r="AJ937" s="72" t="str">
        <f t="array" ref="AJ937">IFERROR(INDEX(Tableau2[TS],MATCH(1,(Tableau2[Ref-Carte]=Tableau3[[#This Row],[Ref-Carte2]])*(Tableau2[ID-Voie]=Tableau3[[#This Row],[ID-VOIE]]),0)),"")</f>
        <v>ET</v>
      </c>
      <c r="AK937" s="72" t="str">
        <f>IFERROR(INDEX(Tableau2[TS],SUMPRODUCT((Tableau2[Ref-Carte]=Tableau3[[#This Row],[Ref-Carte2]])*(Tableau2[ID-Voie]=Tableau3[[#This Row],[ID-VOIE]])*ROW(Tableau2[TS]))-ROW(Tableau2[#Headers])),"")</f>
        <v>ET</v>
      </c>
      <c r="AL937" s="72" t="str">
        <f>Tableau3[[#This Row],[Ref-Carte2]]&amp;"/"&amp;Tableau3[[#This Row],[ID-VOIE]]</f>
        <v>SDI1602/15</v>
      </c>
      <c r="AM937" s="73" t="str">
        <f>INDEX(Tableau2[Borne],MATCH(Tableau3[[#This Row],[ID-CARTEVOIE]],Tableau2[ID-CARTEVOIE],0))&amp;""</f>
        <v>7A</v>
      </c>
      <c r="AN937" s="74" t="str">
        <f>Tableau3[[#This Row],[ID-API]]&amp;Tableau3[[#This Row],[ID-RACK]]&amp;Tableau3[[#This Row],[ID-SLOT]]&amp;Tableau3[[#This Row],[BORNE]]</f>
        <v>6177A</v>
      </c>
      <c r="AO937" s="1"/>
    </row>
    <row r="938" spans="1:41" ht="20.100000000000001" customHeight="1" thickTop="1" thickBot="1">
      <c r="A938" s="68"/>
      <c r="B938" s="69" t="str">
        <f>IFERROR(INDEX(Tableau4[Date],MATCH($A938,Tableau4[EVO],0)),"")</f>
        <v/>
      </c>
      <c r="C938" s="68" t="str">
        <f>IFERROR(INDEX(Tableau4[Designation],MATCH($A938,Tableau4[EVO],0)),"")</f>
        <v/>
      </c>
      <c r="D938" s="68"/>
      <c r="E938" s="70">
        <v>10</v>
      </c>
      <c r="F938" s="71">
        <v>163</v>
      </c>
      <c r="G938" s="101" t="str">
        <f>INDEX(Tableau8[Att1],MATCH(Tableau3[[#This Row],[ID-INS]],Tableau8[ID],0))&amp;""</f>
        <v>V5</v>
      </c>
      <c r="H938" s="101" t="str">
        <f>INDEX(Tableau8[Att2],MATCH(Tableau3[[#This Row],[ID-INS]],Tableau8[ID],0))&amp;""</f>
        <v>P10</v>
      </c>
      <c r="I938" s="101" t="str">
        <f>INDEX(Tableau8[Att3],MATCH(Tableau3[[#This Row],[ID-INS]],Tableau8[ID],0))&amp;""</f>
        <v>Portail P10</v>
      </c>
      <c r="J938" s="101"/>
      <c r="K938" s="167" t="str">
        <f>INDEX(Tableau8[Nom du modele],MATCH(Tableau3[[#This Row],[ID-INS]],Tableau8[ID],0))&amp;""</f>
        <v>PortailR2VElec</v>
      </c>
      <c r="L938" s="99" t="str">
        <f>INDEX(Tableau5[Att1],MATCH(Tableau3[[#This Row],[ID-SIG]],Tableau5[ID],0))&amp;""</f>
        <v>Vx_Verrouil</v>
      </c>
      <c r="M938" s="99" t="str">
        <f>INDEX(Tableau5[Att2],MATCH(Tableau3[[#This Row],[ID-SIG]],Tableau5[ID],0))&amp;""</f>
        <v/>
      </c>
      <c r="N938" s="99" t="str">
        <f>INDEX(Tableau5[Att3],MATCH(Tableau3[[#This Row],[ID-SIG]],Tableau5[ID],0))&amp;""</f>
        <v/>
      </c>
      <c r="O938" s="99"/>
      <c r="P938" s="99" t="str">
        <f>INDEX(Tableau5[Description],MATCH(Tableau3[[#This Row],[ID-SIG]],Tableau5[ID],0))</f>
        <v>Portail verrouillé</v>
      </c>
      <c r="Q938" s="99"/>
      <c r="R938" s="103" t="str">
        <f>Tableau3[[#This Row],[Description]]</f>
        <v>Portail verrouillé</v>
      </c>
      <c r="S938" s="83"/>
      <c r="U938" s="87">
        <v>6</v>
      </c>
      <c r="V938" s="87">
        <v>1</v>
      </c>
      <c r="W938" s="87">
        <v>8</v>
      </c>
      <c r="X938" s="87">
        <v>0</v>
      </c>
      <c r="Y938" s="40"/>
      <c r="Z938" s="165" t="str">
        <f>INDEX(Tableau2[TS],MATCH(Tableau3[[#This Row],[ID-CARTEVOIE]],Tableau2[ID-CARTEVOIE],0))</f>
        <v>ET</v>
      </c>
      <c r="AA938" s="53" t="s">
        <v>213</v>
      </c>
      <c r="AB938" s="223" t="str">
        <f>IFERROR(INDEX(Tableau5[Reserve],MATCH(Tableau3[[#This Row],[ID-SIG]],Tableau5[ID],0))&amp;"","")</f>
        <v/>
      </c>
      <c r="AC938" s="21"/>
      <c r="AD938" s="108" t="str">
        <f>INDEX(Tableau7[Repere],MATCH(Tableau3[[#This Row],[ID-API]],Tableau7[ID-API],0))&amp;""</f>
        <v>A6</v>
      </c>
      <c r="AE938" s="108" t="str">
        <f>INDEX(Tableau1[Repere-Rack],MATCH(Tableau3[[#This Row],[ID-RACK]],Tableau1[ID-RACK],0))&amp;""</f>
        <v>R1</v>
      </c>
      <c r="AF938" s="108" t="str">
        <f>INDEX(Tableau1[Repere-Slot],MATCH(Tableau3[[#This Row],[ID-SLOT]],Tableau1[ID-SLOT],0))&amp;""</f>
        <v>S8</v>
      </c>
      <c r="AG938" s="108" t="str">
        <f>INDEX(Tableau2[Repere-Voie],MATCH(Tableau3[[#This Row],[ID-VOIE]],Tableau2[ID-Voie],0))&amp;""</f>
        <v>v0</v>
      </c>
      <c r="AH938" s="72" t="str">
        <f>Tableau3[[#This Row],[ID-API]]&amp; "." &amp;Tableau3[[#This Row],[ID-RACK]]&amp; "." &amp;Tableau3[[#This Row],[ID-SLOT]]</f>
        <v>6.1.8</v>
      </c>
      <c r="AI938" s="72" t="str">
        <f>INDEX(Tableau1[Ref-Carte],MATCH(Tableau3[[#This Row],[ID-RRS]],Tableau1[ID-RRS],0))</f>
        <v>SDI1602</v>
      </c>
      <c r="AJ938" s="72" t="str">
        <f t="array" ref="AJ938">IFERROR(INDEX(Tableau2[TS],MATCH(1,(Tableau2[Ref-Carte]=Tableau3[[#This Row],[Ref-Carte2]])*(Tableau2[ID-Voie]=Tableau3[[#This Row],[ID-VOIE]]),0)),"")</f>
        <v>ET</v>
      </c>
      <c r="AK938" s="72" t="str">
        <f>IFERROR(INDEX(Tableau2[TS],SUMPRODUCT((Tableau2[Ref-Carte]=Tableau3[[#This Row],[Ref-Carte2]])*(Tableau2[ID-Voie]=Tableau3[[#This Row],[ID-VOIE]])*ROW(Tableau2[TS]))-ROW(Tableau2[#Headers])),"")</f>
        <v>ET</v>
      </c>
      <c r="AL938" s="72" t="str">
        <f>Tableau3[[#This Row],[Ref-Carte2]]&amp;"/"&amp;Tableau3[[#This Row],[ID-VOIE]]</f>
        <v>SDI1602/0</v>
      </c>
      <c r="AM938" s="73" t="str">
        <f>INDEX(Tableau2[Borne],MATCH(Tableau3[[#This Row],[ID-CARTEVOIE]],Tableau2[ID-CARTEVOIE],0))&amp;""</f>
        <v>0B</v>
      </c>
      <c r="AN938" s="74" t="str">
        <f>Tableau3[[#This Row],[ID-API]]&amp;Tableau3[[#This Row],[ID-RACK]]&amp;Tableau3[[#This Row],[ID-SLOT]]&amp;Tableau3[[#This Row],[BORNE]]</f>
        <v>6180B</v>
      </c>
      <c r="AO938" s="1"/>
    </row>
    <row r="939" spans="1:41" ht="20.100000000000001" customHeight="1" thickTop="1" thickBot="1">
      <c r="A939" s="68"/>
      <c r="B939" s="69" t="str">
        <f>IFERROR(INDEX(Tableau4[Date],MATCH($A939,Tableau4[EVO],0)),"")</f>
        <v/>
      </c>
      <c r="C939" s="68" t="str">
        <f>IFERROR(INDEX(Tableau4[Designation],MATCH($A939,Tableau4[EVO],0)),"")</f>
        <v/>
      </c>
      <c r="D939" s="68"/>
      <c r="E939" s="70">
        <v>10</v>
      </c>
      <c r="F939" s="71">
        <v>166</v>
      </c>
      <c r="G939" s="101" t="str">
        <f>INDEX(Tableau8[Att1],MATCH(Tableau3[[#This Row],[ID-INS]],Tableau8[ID],0))&amp;""</f>
        <v>V5</v>
      </c>
      <c r="H939" s="101" t="str">
        <f>INDEX(Tableau8[Att2],MATCH(Tableau3[[#This Row],[ID-INS]],Tableau8[ID],0))&amp;""</f>
        <v>P10</v>
      </c>
      <c r="I939" s="101" t="str">
        <f>INDEX(Tableau8[Att3],MATCH(Tableau3[[#This Row],[ID-INS]],Tableau8[ID],0))&amp;""</f>
        <v>Portail P10</v>
      </c>
      <c r="J939" s="101"/>
      <c r="K939" s="167" t="str">
        <f>INDEX(Tableau8[Nom du modele],MATCH(Tableau3[[#This Row],[ID-INS]],Tableau8[ID],0))&amp;""</f>
        <v>PortailR2VElec</v>
      </c>
      <c r="L939" s="99" t="str">
        <f>INDEX(Tableau5[Att1],MATCH(Tableau3[[#This Row],[ID-SIG]],Tableau5[ID],0))&amp;""</f>
        <v>V2_FerRet2</v>
      </c>
      <c r="M939" s="99" t="str">
        <f>INDEX(Tableau5[Att2],MATCH(Tableau3[[#This Row],[ID-SIG]],Tableau5[ID],0))&amp;""</f>
        <v/>
      </c>
      <c r="N939" s="99" t="str">
        <f>INDEX(Tableau5[Att3],MATCH(Tableau3[[#This Row],[ID-SIG]],Tableau5[ID],0))&amp;""</f>
        <v/>
      </c>
      <c r="O939" s="99"/>
      <c r="P939" s="99" t="str">
        <f>INDEX(Tableau5[Description],MATCH(Tableau3[[#This Row],[ID-SIG]],Tableau5[ID],0))</f>
        <v>Retour de Commande de fermeture 2 du vantail 2</v>
      </c>
      <c r="Q939" s="99"/>
      <c r="R939" s="103" t="str">
        <f>Tableau3[[#This Row],[Description]]</f>
        <v>Retour de Commande de fermeture 2 du vantail 2</v>
      </c>
      <c r="S939" s="83"/>
      <c r="U939" s="87">
        <v>6</v>
      </c>
      <c r="V939" s="87">
        <v>1</v>
      </c>
      <c r="W939" s="87">
        <v>8</v>
      </c>
      <c r="X939" s="87">
        <v>1</v>
      </c>
      <c r="Y939" s="40"/>
      <c r="Z939" s="165" t="str">
        <f>INDEX(Tableau2[TS],MATCH(Tableau3[[#This Row],[ID-CARTEVOIE]],Tableau2[ID-CARTEVOIE],0))</f>
        <v>ET</v>
      </c>
      <c r="AA939" s="53" t="s">
        <v>213</v>
      </c>
      <c r="AB939" s="223" t="str">
        <f>IFERROR(INDEX(Tableau5[Reserve],MATCH(Tableau3[[#This Row],[ID-SIG]],Tableau5[ID],0))&amp;"","")</f>
        <v/>
      </c>
      <c r="AC939" s="21"/>
      <c r="AD939" s="108" t="str">
        <f>INDEX(Tableau7[Repere],MATCH(Tableau3[[#This Row],[ID-API]],Tableau7[ID-API],0))&amp;""</f>
        <v>A6</v>
      </c>
      <c r="AE939" s="108" t="str">
        <f>INDEX(Tableau1[Repere-Rack],MATCH(Tableau3[[#This Row],[ID-RACK]],Tableau1[ID-RACK],0))&amp;""</f>
        <v>R1</v>
      </c>
      <c r="AF939" s="108" t="str">
        <f>INDEX(Tableau1[Repere-Slot],MATCH(Tableau3[[#This Row],[ID-SLOT]],Tableau1[ID-SLOT],0))&amp;""</f>
        <v>S8</v>
      </c>
      <c r="AG939" s="108" t="str">
        <f>INDEX(Tableau2[Repere-Voie],MATCH(Tableau3[[#This Row],[ID-VOIE]],Tableau2[ID-Voie],0))&amp;""</f>
        <v>v1</v>
      </c>
      <c r="AH939" s="72" t="str">
        <f>Tableau3[[#This Row],[ID-API]]&amp; "." &amp;Tableau3[[#This Row],[ID-RACK]]&amp; "." &amp;Tableau3[[#This Row],[ID-SLOT]]</f>
        <v>6.1.8</v>
      </c>
      <c r="AI939" s="72" t="str">
        <f>INDEX(Tableau1[Ref-Carte],MATCH(Tableau3[[#This Row],[ID-RRS]],Tableau1[ID-RRS],0))</f>
        <v>SDI1602</v>
      </c>
      <c r="AJ939" s="72" t="str">
        <f t="array" ref="AJ939">IFERROR(INDEX(Tableau2[TS],MATCH(1,(Tableau2[Ref-Carte]=Tableau3[[#This Row],[Ref-Carte2]])*(Tableau2[ID-Voie]=Tableau3[[#This Row],[ID-VOIE]]),0)),"")</f>
        <v>ET</v>
      </c>
      <c r="AK939" s="72" t="str">
        <f>IFERROR(INDEX(Tableau2[TS],SUMPRODUCT((Tableau2[Ref-Carte]=Tableau3[[#This Row],[Ref-Carte2]])*(Tableau2[ID-Voie]=Tableau3[[#This Row],[ID-VOIE]])*ROW(Tableau2[TS]))-ROW(Tableau2[#Headers])),"")</f>
        <v>ET</v>
      </c>
      <c r="AL939" s="72" t="str">
        <f>Tableau3[[#This Row],[Ref-Carte2]]&amp;"/"&amp;Tableau3[[#This Row],[ID-VOIE]]</f>
        <v>SDI1602/1</v>
      </c>
      <c r="AM939" s="73" t="str">
        <f>INDEX(Tableau2[Borne],MATCH(Tableau3[[#This Row],[ID-CARTEVOIE]],Tableau2[ID-CARTEVOIE],0))&amp;""</f>
        <v>0A</v>
      </c>
      <c r="AN939" s="74" t="str">
        <f>Tableau3[[#This Row],[ID-API]]&amp;Tableau3[[#This Row],[ID-RACK]]&amp;Tableau3[[#This Row],[ID-SLOT]]&amp;Tableau3[[#This Row],[BORNE]]</f>
        <v>6180A</v>
      </c>
      <c r="AO939" s="1"/>
    </row>
    <row r="940" spans="1:41" ht="20.100000000000001" customHeight="1" thickTop="1" thickBot="1">
      <c r="A940" s="68"/>
      <c r="B940" s="69" t="str">
        <f>IFERROR(INDEX(Tableau4[Date],MATCH($A940,Tableau4[EVO],0)),"")</f>
        <v/>
      </c>
      <c r="C940" s="68" t="str">
        <f>IFERROR(INDEX(Tableau4[Designation],MATCH($A940,Tableau4[EVO],0)),"")</f>
        <v/>
      </c>
      <c r="D940" s="68"/>
      <c r="E940" s="70">
        <v>10</v>
      </c>
      <c r="F940" s="71">
        <v>167</v>
      </c>
      <c r="G940" s="101" t="str">
        <f>INDEX(Tableau8[Att1],MATCH(Tableau3[[#This Row],[ID-INS]],Tableau8[ID],0))&amp;""</f>
        <v>V5</v>
      </c>
      <c r="H940" s="101" t="str">
        <f>INDEX(Tableau8[Att2],MATCH(Tableau3[[#This Row],[ID-INS]],Tableau8[ID],0))&amp;""</f>
        <v>P10</v>
      </c>
      <c r="I940" s="101" t="str">
        <f>INDEX(Tableau8[Att3],MATCH(Tableau3[[#This Row],[ID-INS]],Tableau8[ID],0))&amp;""</f>
        <v>Portail P10</v>
      </c>
      <c r="J940" s="101"/>
      <c r="K940" s="167" t="str">
        <f>INDEX(Tableau8[Nom du modele],MATCH(Tableau3[[#This Row],[ID-INS]],Tableau8[ID],0))&amp;""</f>
        <v>PortailR2VElec</v>
      </c>
      <c r="L940" s="99" t="str">
        <f>INDEX(Tableau5[Att1],MATCH(Tableau3[[#This Row],[ID-SIG]],Tableau5[ID],0))&amp;""</f>
        <v>V1_FerRet1</v>
      </c>
      <c r="M940" s="99" t="str">
        <f>INDEX(Tableau5[Att2],MATCH(Tableau3[[#This Row],[ID-SIG]],Tableau5[ID],0))&amp;""</f>
        <v/>
      </c>
      <c r="N940" s="99" t="str">
        <f>INDEX(Tableau5[Att3],MATCH(Tableau3[[#This Row],[ID-SIG]],Tableau5[ID],0))&amp;""</f>
        <v/>
      </c>
      <c r="O940" s="99"/>
      <c r="P940" s="99" t="str">
        <f>INDEX(Tableau5[Description],MATCH(Tableau3[[#This Row],[ID-SIG]],Tableau5[ID],0))</f>
        <v>Retour de commande de fermeture 1 du vantail 1</v>
      </c>
      <c r="Q940" s="99"/>
      <c r="R940" s="103" t="str">
        <f>Tableau3[[#This Row],[Description]]</f>
        <v>Retour de commande de fermeture 1 du vantail 1</v>
      </c>
      <c r="S940" s="83"/>
      <c r="U940" s="87">
        <v>6</v>
      </c>
      <c r="V940" s="87">
        <v>1</v>
      </c>
      <c r="W940" s="87">
        <v>8</v>
      </c>
      <c r="X940" s="87">
        <v>2</v>
      </c>
      <c r="Y940" s="40"/>
      <c r="Z940" s="165" t="str">
        <f>INDEX(Tableau2[TS],MATCH(Tableau3[[#This Row],[ID-CARTEVOIE]],Tableau2[ID-CARTEVOIE],0))</f>
        <v>ET</v>
      </c>
      <c r="AA940" s="53" t="s">
        <v>213</v>
      </c>
      <c r="AB940" s="223" t="str">
        <f>IFERROR(INDEX(Tableau5[Reserve],MATCH(Tableau3[[#This Row],[ID-SIG]],Tableau5[ID],0))&amp;"","")</f>
        <v/>
      </c>
      <c r="AC940" s="21"/>
      <c r="AD940" s="108" t="str">
        <f>INDEX(Tableau7[Repere],MATCH(Tableau3[[#This Row],[ID-API]],Tableau7[ID-API],0))&amp;""</f>
        <v>A6</v>
      </c>
      <c r="AE940" s="108" t="str">
        <f>INDEX(Tableau1[Repere-Rack],MATCH(Tableau3[[#This Row],[ID-RACK]],Tableau1[ID-RACK],0))&amp;""</f>
        <v>R1</v>
      </c>
      <c r="AF940" s="108" t="str">
        <f>INDEX(Tableau1[Repere-Slot],MATCH(Tableau3[[#This Row],[ID-SLOT]],Tableau1[ID-SLOT],0))&amp;""</f>
        <v>S8</v>
      </c>
      <c r="AG940" s="108" t="str">
        <f>INDEX(Tableau2[Repere-Voie],MATCH(Tableau3[[#This Row],[ID-VOIE]],Tableau2[ID-Voie],0))&amp;""</f>
        <v>v2</v>
      </c>
      <c r="AH940" s="72" t="str">
        <f>Tableau3[[#This Row],[ID-API]]&amp; "." &amp;Tableau3[[#This Row],[ID-RACK]]&amp; "." &amp;Tableau3[[#This Row],[ID-SLOT]]</f>
        <v>6.1.8</v>
      </c>
      <c r="AI940" s="72" t="str">
        <f>INDEX(Tableau1[Ref-Carte],MATCH(Tableau3[[#This Row],[ID-RRS]],Tableau1[ID-RRS],0))</f>
        <v>SDI1602</v>
      </c>
      <c r="AJ940" s="72" t="str">
        <f t="array" ref="AJ940">IFERROR(INDEX(Tableau2[TS],MATCH(1,(Tableau2[Ref-Carte]=Tableau3[[#This Row],[Ref-Carte2]])*(Tableau2[ID-Voie]=Tableau3[[#This Row],[ID-VOIE]]),0)),"")</f>
        <v>ET</v>
      </c>
      <c r="AK940" s="72" t="str">
        <f>IFERROR(INDEX(Tableau2[TS],SUMPRODUCT((Tableau2[Ref-Carte]=Tableau3[[#This Row],[Ref-Carte2]])*(Tableau2[ID-Voie]=Tableau3[[#This Row],[ID-VOIE]])*ROW(Tableau2[TS]))-ROW(Tableau2[#Headers])),"")</f>
        <v>ET</v>
      </c>
      <c r="AL940" s="72" t="str">
        <f>Tableau3[[#This Row],[Ref-Carte2]]&amp;"/"&amp;Tableau3[[#This Row],[ID-VOIE]]</f>
        <v>SDI1602/2</v>
      </c>
      <c r="AM940" s="73" t="str">
        <f>INDEX(Tableau2[Borne],MATCH(Tableau3[[#This Row],[ID-CARTEVOIE]],Tableau2[ID-CARTEVOIE],0))&amp;""</f>
        <v>1B</v>
      </c>
      <c r="AN940" s="74" t="str">
        <f>Tableau3[[#This Row],[ID-API]]&amp;Tableau3[[#This Row],[ID-RACK]]&amp;Tableau3[[#This Row],[ID-SLOT]]&amp;Tableau3[[#This Row],[BORNE]]</f>
        <v>6181B</v>
      </c>
      <c r="AO940" s="1"/>
    </row>
    <row r="941" spans="1:41" ht="20.100000000000001" customHeight="1" thickTop="1" thickBot="1">
      <c r="A941" s="75"/>
      <c r="B941" s="76" t="str">
        <f>IFERROR(INDEX(Tableau4[Date],MATCH($A941,Tableau4[EVO],0)),"")</f>
        <v/>
      </c>
      <c r="C941" s="75" t="str">
        <f>IFERROR(INDEX(Tableau4[Designation],MATCH($A941,Tableau4[EVO],0)),"")</f>
        <v/>
      </c>
      <c r="D941" s="75"/>
      <c r="E941" s="79">
        <v>10</v>
      </c>
      <c r="F941" s="80">
        <v>168</v>
      </c>
      <c r="G941" s="102" t="str">
        <f>INDEX(Tableau8[Att1],MATCH(Tableau3[[#This Row],[ID-INS]],Tableau8[ID],0))&amp;""</f>
        <v>V5</v>
      </c>
      <c r="H941" s="102" t="str">
        <f>INDEX(Tableau8[Att2],MATCH(Tableau3[[#This Row],[ID-INS]],Tableau8[ID],0))&amp;""</f>
        <v>P10</v>
      </c>
      <c r="I941" s="102" t="str">
        <f>INDEX(Tableau8[Att3],MATCH(Tableau3[[#This Row],[ID-INS]],Tableau8[ID],0))&amp;""</f>
        <v>Portail P10</v>
      </c>
      <c r="J941" s="102"/>
      <c r="K941" s="167" t="str">
        <f>INDEX(Tableau8[Nom du modele],MATCH(Tableau3[[#This Row],[ID-INS]],Tableau8[ID],0))&amp;""</f>
        <v>PortailR2VElec</v>
      </c>
      <c r="L941" s="100" t="str">
        <f>INDEX(Tableau5[Att1],MATCH(Tableau3[[#This Row],[ID-SIG]],Tableau5[ID],0))&amp;""</f>
        <v>V2_Fer2</v>
      </c>
      <c r="M941" s="100" t="str">
        <f>INDEX(Tableau5[Att2],MATCH(Tableau3[[#This Row],[ID-SIG]],Tableau5[ID],0))&amp;""</f>
        <v/>
      </c>
      <c r="N941" s="100" t="str">
        <f>INDEX(Tableau5[Att3],MATCH(Tableau3[[#This Row],[ID-SIG]],Tableau5[ID],0))&amp;""</f>
        <v/>
      </c>
      <c r="O941" s="100"/>
      <c r="P941" s="100" t="str">
        <f>INDEX(Tableau5[Description],MATCH(Tableau3[[#This Row],[ID-SIG]],Tableau5[ID],0))</f>
        <v>Vantail 2 en fdc Fermé 2</v>
      </c>
      <c r="Q941" s="100"/>
      <c r="R941" s="104" t="str">
        <f>Tableau3[[#This Row],[Description]]</f>
        <v>Vantail 2 en fdc Fermé 2</v>
      </c>
      <c r="S941" s="83"/>
      <c r="U941" s="88">
        <v>6</v>
      </c>
      <c r="V941" s="88">
        <v>1</v>
      </c>
      <c r="W941" s="88">
        <v>8</v>
      </c>
      <c r="X941" s="88">
        <v>3</v>
      </c>
      <c r="Y941" s="40"/>
      <c r="Z941" s="166" t="str">
        <f>INDEX(Tableau2[TS],MATCH(Tableau3[[#This Row],[ID-CARTEVOIE]],Tableau2[ID-CARTEVOIE],0))</f>
        <v>ET</v>
      </c>
      <c r="AA941" s="81" t="s">
        <v>213</v>
      </c>
      <c r="AB941" s="226" t="str">
        <f>IFERROR(INDEX(Tableau5[Reserve],MATCH(Tableau3[[#This Row],[ID-SIG]],Tableau5[ID],0))&amp;"","")</f>
        <v/>
      </c>
      <c r="AC941" s="21"/>
      <c r="AD941" s="108" t="str">
        <f>INDEX(Tableau7[Repere],MATCH(Tableau3[[#This Row],[ID-API]],Tableau7[ID-API],0))&amp;""</f>
        <v>A6</v>
      </c>
      <c r="AE941" s="109" t="str">
        <f>INDEX(Tableau1[Repere-Rack],MATCH(Tableau3[[#This Row],[ID-RACK]],Tableau1[ID-RACK],0))&amp;""</f>
        <v>R1</v>
      </c>
      <c r="AF941" s="109" t="str">
        <f>INDEX(Tableau1[Repere-Slot],MATCH(Tableau3[[#This Row],[ID-SLOT]],Tableau1[ID-SLOT],0))&amp;""</f>
        <v>S8</v>
      </c>
      <c r="AG941" s="109" t="str">
        <f>INDEX(Tableau2[Repere-Voie],MATCH(Tableau3[[#This Row],[ID-VOIE]],Tableau2[ID-Voie],0))&amp;""</f>
        <v>v3</v>
      </c>
      <c r="AH941" s="72" t="str">
        <f>Tableau3[[#This Row],[ID-API]]&amp; "." &amp;Tableau3[[#This Row],[ID-RACK]]&amp; "." &amp;Tableau3[[#This Row],[ID-SLOT]]</f>
        <v>6.1.8</v>
      </c>
      <c r="AI941" s="72" t="str">
        <f>INDEX(Tableau1[Ref-Carte],MATCH(Tableau3[[#This Row],[ID-RRS]],Tableau1[ID-RRS],0))</f>
        <v>SDI1602</v>
      </c>
      <c r="AJ941" s="72" t="str">
        <f t="array" ref="AJ941">IFERROR(INDEX(Tableau2[TS],MATCH(1,(Tableau2[Ref-Carte]=Tableau3[[#This Row],[Ref-Carte2]])*(Tableau2[ID-Voie]=Tableau3[[#This Row],[ID-VOIE]]),0)),"")</f>
        <v>ET</v>
      </c>
      <c r="AK941" s="72" t="str">
        <f>IFERROR(INDEX(Tableau2[TS],SUMPRODUCT((Tableau2[Ref-Carte]=Tableau3[[#This Row],[Ref-Carte2]])*(Tableau2[ID-Voie]=Tableau3[[#This Row],[ID-VOIE]])*ROW(Tableau2[TS]))-ROW(Tableau2[#Headers])),"")</f>
        <v>ET</v>
      </c>
      <c r="AL941" s="72" t="str">
        <f>Tableau3[[#This Row],[Ref-Carte2]]&amp;"/"&amp;Tableau3[[#This Row],[ID-VOIE]]</f>
        <v>SDI1602/3</v>
      </c>
      <c r="AM941" s="77" t="str">
        <f>INDEX(Tableau2[Borne],MATCH(Tableau3[[#This Row],[ID-CARTEVOIE]],Tableau2[ID-CARTEVOIE],0))&amp;""</f>
        <v>1A</v>
      </c>
      <c r="AN941" s="74" t="str">
        <f>Tableau3[[#This Row],[ID-API]]&amp;Tableau3[[#This Row],[ID-RACK]]&amp;Tableau3[[#This Row],[ID-SLOT]]&amp;Tableau3[[#This Row],[BORNE]]</f>
        <v>6181A</v>
      </c>
      <c r="AO941" s="1"/>
    </row>
    <row r="942" spans="1:41" ht="20.100000000000001" customHeight="1" thickTop="1" thickBot="1">
      <c r="A942" s="75"/>
      <c r="B942" s="76" t="str">
        <f>IFERROR(INDEX(Tableau4[Date],MATCH($A942,Tableau4[EVO],0)),"")</f>
        <v/>
      </c>
      <c r="C942" s="75" t="str">
        <f>IFERROR(INDEX(Tableau4[Designation],MATCH($A942,Tableau4[EVO],0)),"")</f>
        <v/>
      </c>
      <c r="D942" s="75"/>
      <c r="E942" s="79">
        <v>10</v>
      </c>
      <c r="F942" s="80">
        <v>174</v>
      </c>
      <c r="G942" s="102" t="str">
        <f>INDEX(Tableau8[Att1],MATCH(Tableau3[[#This Row],[ID-INS]],Tableau8[ID],0))&amp;""</f>
        <v>V5</v>
      </c>
      <c r="H942" s="102" t="str">
        <f>INDEX(Tableau8[Att2],MATCH(Tableau3[[#This Row],[ID-INS]],Tableau8[ID],0))&amp;""</f>
        <v>P10</v>
      </c>
      <c r="I942" s="102" t="str">
        <f>INDEX(Tableau8[Att3],MATCH(Tableau3[[#This Row],[ID-INS]],Tableau8[ID],0))&amp;""</f>
        <v>Portail P10</v>
      </c>
      <c r="J942" s="102"/>
      <c r="K942" s="167" t="str">
        <f>INDEX(Tableau8[Nom du modele],MATCH(Tableau3[[#This Row],[ID-INS]],Tableau8[ID],0))&amp;""</f>
        <v>PortailR2VElec</v>
      </c>
      <c r="L942" s="100" t="str">
        <f>INDEX(Tableau5[Att1],MATCH(Tableau3[[#This Row],[ID-SIG]],Tableau5[ID],0))&amp;""</f>
        <v>V1_Ouv</v>
      </c>
      <c r="M942" s="100" t="str">
        <f>INDEX(Tableau5[Att2],MATCH(Tableau3[[#This Row],[ID-SIG]],Tableau5[ID],0))&amp;""</f>
        <v/>
      </c>
      <c r="N942" s="100" t="str">
        <f>INDEX(Tableau5[Att3],MATCH(Tableau3[[#This Row],[ID-SIG]],Tableau5[ID],0))&amp;""</f>
        <v/>
      </c>
      <c r="O942" s="100"/>
      <c r="P942" s="100" t="str">
        <f>INDEX(Tableau5[Description],MATCH(Tableau3[[#This Row],[ID-SIG]],Tableau5[ID],0))</f>
        <v>Vantail 1 en fdc Ouvert</v>
      </c>
      <c r="Q942" s="100"/>
      <c r="R942" s="104" t="str">
        <f>Tableau3[[#This Row],[Description]]</f>
        <v>Vantail 1 en fdc Ouvert</v>
      </c>
      <c r="S942" s="83"/>
      <c r="U942" s="88">
        <v>6</v>
      </c>
      <c r="V942" s="88">
        <v>1</v>
      </c>
      <c r="W942" s="88">
        <v>8</v>
      </c>
      <c r="X942" s="88">
        <v>4</v>
      </c>
      <c r="Y942" s="40"/>
      <c r="Z942" s="166" t="str">
        <f>INDEX(Tableau2[TS],MATCH(Tableau3[[#This Row],[ID-CARTEVOIE]],Tableau2[ID-CARTEVOIE],0))</f>
        <v>ET</v>
      </c>
      <c r="AA942" s="81" t="s">
        <v>213</v>
      </c>
      <c r="AB942" s="226" t="str">
        <f>IFERROR(INDEX(Tableau5[Reserve],MATCH(Tableau3[[#This Row],[ID-SIG]],Tableau5[ID],0))&amp;"","")</f>
        <v/>
      </c>
      <c r="AC942" s="21"/>
      <c r="AD942" s="108" t="str">
        <f>INDEX(Tableau7[Repere],MATCH(Tableau3[[#This Row],[ID-API]],Tableau7[ID-API],0))&amp;""</f>
        <v>A6</v>
      </c>
      <c r="AE942" s="109" t="str">
        <f>INDEX(Tableau1[Repere-Rack],MATCH(Tableau3[[#This Row],[ID-RACK]],Tableau1[ID-RACK],0))&amp;""</f>
        <v>R1</v>
      </c>
      <c r="AF942" s="109" t="str">
        <f>INDEX(Tableau1[Repere-Slot],MATCH(Tableau3[[#This Row],[ID-SLOT]],Tableau1[ID-SLOT],0))&amp;""</f>
        <v>S8</v>
      </c>
      <c r="AG942" s="109" t="str">
        <f>INDEX(Tableau2[Repere-Voie],MATCH(Tableau3[[#This Row],[ID-VOIE]],Tableau2[ID-Voie],0))&amp;""</f>
        <v>v4</v>
      </c>
      <c r="AH942" s="72" t="str">
        <f>Tableau3[[#This Row],[ID-API]]&amp; "." &amp;Tableau3[[#This Row],[ID-RACK]]&amp; "." &amp;Tableau3[[#This Row],[ID-SLOT]]</f>
        <v>6.1.8</v>
      </c>
      <c r="AI942" s="72" t="str">
        <f>INDEX(Tableau1[Ref-Carte],MATCH(Tableau3[[#This Row],[ID-RRS]],Tableau1[ID-RRS],0))</f>
        <v>SDI1602</v>
      </c>
      <c r="AJ942" s="72" t="str">
        <f t="array" ref="AJ942">IFERROR(INDEX(Tableau2[TS],MATCH(1,(Tableau2[Ref-Carte]=Tableau3[[#This Row],[Ref-Carte2]])*(Tableau2[ID-Voie]=Tableau3[[#This Row],[ID-VOIE]]),0)),"")</f>
        <v>ET</v>
      </c>
      <c r="AK942" s="72" t="str">
        <f>IFERROR(INDEX(Tableau2[TS],SUMPRODUCT((Tableau2[Ref-Carte]=Tableau3[[#This Row],[Ref-Carte2]])*(Tableau2[ID-Voie]=Tableau3[[#This Row],[ID-VOIE]])*ROW(Tableau2[TS]))-ROW(Tableau2[#Headers])),"")</f>
        <v>ET</v>
      </c>
      <c r="AL942" s="72" t="str">
        <f>Tableau3[[#This Row],[Ref-Carte2]]&amp;"/"&amp;Tableau3[[#This Row],[ID-VOIE]]</f>
        <v>SDI1602/4</v>
      </c>
      <c r="AM942" s="77" t="str">
        <f>INDEX(Tableau2[Borne],MATCH(Tableau3[[#This Row],[ID-CARTEVOIE]],Tableau2[ID-CARTEVOIE],0))&amp;""</f>
        <v>2B</v>
      </c>
      <c r="AN942" s="74" t="str">
        <f>Tableau3[[#This Row],[ID-API]]&amp;Tableau3[[#This Row],[ID-RACK]]&amp;Tableau3[[#This Row],[ID-SLOT]]&amp;Tableau3[[#This Row],[BORNE]]</f>
        <v>6182B</v>
      </c>
      <c r="AO942" s="1"/>
    </row>
    <row r="943" spans="1:41" ht="20.100000000000001" customHeight="1" thickTop="1" thickBot="1">
      <c r="A943" s="75"/>
      <c r="B943" s="76" t="str">
        <f>IFERROR(INDEX(Tableau4[Date],MATCH($A943,Tableau4[EVO],0)),"")</f>
        <v/>
      </c>
      <c r="C943" s="75" t="str">
        <f>IFERROR(INDEX(Tableau4[Designation],MATCH($A943,Tableau4[EVO],0)),"")</f>
        <v/>
      </c>
      <c r="D943" s="75"/>
      <c r="E943" s="79">
        <v>10</v>
      </c>
      <c r="F943" s="80">
        <v>175</v>
      </c>
      <c r="G943" s="102" t="str">
        <f>INDEX(Tableau8[Att1],MATCH(Tableau3[[#This Row],[ID-INS]],Tableau8[ID],0))&amp;""</f>
        <v>V5</v>
      </c>
      <c r="H943" s="102" t="str">
        <f>INDEX(Tableau8[Att2],MATCH(Tableau3[[#This Row],[ID-INS]],Tableau8[ID],0))&amp;""</f>
        <v>P10</v>
      </c>
      <c r="I943" s="102" t="str">
        <f>INDEX(Tableau8[Att3],MATCH(Tableau3[[#This Row],[ID-INS]],Tableau8[ID],0))&amp;""</f>
        <v>Portail P10</v>
      </c>
      <c r="J943" s="102"/>
      <c r="K943" s="167" t="str">
        <f>INDEX(Tableau8[Nom du modele],MATCH(Tableau3[[#This Row],[ID-INS]],Tableau8[ID],0))&amp;""</f>
        <v>PortailR2VElec</v>
      </c>
      <c r="L943" s="100" t="str">
        <f>INDEX(Tableau5[Att1],MATCH(Tableau3[[#This Row],[ID-SIG]],Tableau5[ID],0))&amp;""</f>
        <v>V1_Fer1</v>
      </c>
      <c r="M943" s="100" t="str">
        <f>INDEX(Tableau5[Att2],MATCH(Tableau3[[#This Row],[ID-SIG]],Tableau5[ID],0))&amp;""</f>
        <v/>
      </c>
      <c r="N943" s="100" t="str">
        <f>INDEX(Tableau5[Att3],MATCH(Tableau3[[#This Row],[ID-SIG]],Tableau5[ID],0))&amp;""</f>
        <v/>
      </c>
      <c r="O943" s="100"/>
      <c r="P943" s="100" t="str">
        <f>INDEX(Tableau5[Description],MATCH(Tableau3[[#This Row],[ID-SIG]],Tableau5[ID],0))</f>
        <v>Vantail 1 en fdc Fermé 1</v>
      </c>
      <c r="Q943" s="100"/>
      <c r="R943" s="104" t="str">
        <f>Tableau3[[#This Row],[Description]]</f>
        <v>Vantail 1 en fdc Fermé 1</v>
      </c>
      <c r="S943" s="83"/>
      <c r="U943" s="88">
        <v>6</v>
      </c>
      <c r="V943" s="88">
        <v>1</v>
      </c>
      <c r="W943" s="88">
        <v>8</v>
      </c>
      <c r="X943" s="88">
        <v>5</v>
      </c>
      <c r="Y943" s="40"/>
      <c r="Z943" s="166" t="str">
        <f>INDEX(Tableau2[TS],MATCH(Tableau3[[#This Row],[ID-CARTEVOIE]],Tableau2[ID-CARTEVOIE],0))</f>
        <v>ET</v>
      </c>
      <c r="AA943" s="81" t="s">
        <v>213</v>
      </c>
      <c r="AB943" s="226" t="str">
        <f>IFERROR(INDEX(Tableau5[Reserve],MATCH(Tableau3[[#This Row],[ID-SIG]],Tableau5[ID],0))&amp;"","")</f>
        <v/>
      </c>
      <c r="AC943" s="21"/>
      <c r="AD943" s="108" t="str">
        <f>INDEX(Tableau7[Repere],MATCH(Tableau3[[#This Row],[ID-API]],Tableau7[ID-API],0))&amp;""</f>
        <v>A6</v>
      </c>
      <c r="AE943" s="109" t="str">
        <f>INDEX(Tableau1[Repere-Rack],MATCH(Tableau3[[#This Row],[ID-RACK]],Tableau1[ID-RACK],0))&amp;""</f>
        <v>R1</v>
      </c>
      <c r="AF943" s="109" t="str">
        <f>INDEX(Tableau1[Repere-Slot],MATCH(Tableau3[[#This Row],[ID-SLOT]],Tableau1[ID-SLOT],0))&amp;""</f>
        <v>S8</v>
      </c>
      <c r="AG943" s="109" t="str">
        <f>INDEX(Tableau2[Repere-Voie],MATCH(Tableau3[[#This Row],[ID-VOIE]],Tableau2[ID-Voie],0))&amp;""</f>
        <v>v5</v>
      </c>
      <c r="AH943" s="72" t="str">
        <f>Tableau3[[#This Row],[ID-API]]&amp; "." &amp;Tableau3[[#This Row],[ID-RACK]]&amp; "." &amp;Tableau3[[#This Row],[ID-SLOT]]</f>
        <v>6.1.8</v>
      </c>
      <c r="AI943" s="72" t="str">
        <f>INDEX(Tableau1[Ref-Carte],MATCH(Tableau3[[#This Row],[ID-RRS]],Tableau1[ID-RRS],0))</f>
        <v>SDI1602</v>
      </c>
      <c r="AJ943" s="72" t="str">
        <f t="array" ref="AJ943">IFERROR(INDEX(Tableau2[TS],MATCH(1,(Tableau2[Ref-Carte]=Tableau3[[#This Row],[Ref-Carte2]])*(Tableau2[ID-Voie]=Tableau3[[#This Row],[ID-VOIE]]),0)),"")</f>
        <v>ET</v>
      </c>
      <c r="AK943" s="72" t="str">
        <f>IFERROR(INDEX(Tableau2[TS],SUMPRODUCT((Tableau2[Ref-Carte]=Tableau3[[#This Row],[Ref-Carte2]])*(Tableau2[ID-Voie]=Tableau3[[#This Row],[ID-VOIE]])*ROW(Tableau2[TS]))-ROW(Tableau2[#Headers])),"")</f>
        <v>ET</v>
      </c>
      <c r="AL943" s="72" t="str">
        <f>Tableau3[[#This Row],[Ref-Carte2]]&amp;"/"&amp;Tableau3[[#This Row],[ID-VOIE]]</f>
        <v>SDI1602/5</v>
      </c>
      <c r="AM943" s="77" t="str">
        <f>INDEX(Tableau2[Borne],MATCH(Tableau3[[#This Row],[ID-CARTEVOIE]],Tableau2[ID-CARTEVOIE],0))&amp;""</f>
        <v>2A</v>
      </c>
      <c r="AN943" s="74" t="str">
        <f>Tableau3[[#This Row],[ID-API]]&amp;Tableau3[[#This Row],[ID-RACK]]&amp;Tableau3[[#This Row],[ID-SLOT]]&amp;Tableau3[[#This Row],[BORNE]]</f>
        <v>6182A</v>
      </c>
      <c r="AO943" s="1"/>
    </row>
    <row r="944" spans="1:41" ht="20.100000000000001" customHeight="1" thickTop="1" thickBot="1">
      <c r="A944" s="75"/>
      <c r="B944" s="76" t="str">
        <f>IFERROR(INDEX(Tableau4[Date],MATCH($A944,Tableau4[EVO],0)),"")</f>
        <v/>
      </c>
      <c r="C944" s="75" t="str">
        <f>IFERROR(INDEX(Tableau4[Designation],MATCH($A944,Tableau4[EVO],0)),"")</f>
        <v/>
      </c>
      <c r="D944" s="75"/>
      <c r="E944" s="79">
        <v>10</v>
      </c>
      <c r="F944" s="80">
        <v>176</v>
      </c>
      <c r="G944" s="102" t="str">
        <f>INDEX(Tableau8[Att1],MATCH(Tableau3[[#This Row],[ID-INS]],Tableau8[ID],0))&amp;""</f>
        <v>V5</v>
      </c>
      <c r="H944" s="102" t="str">
        <f>INDEX(Tableau8[Att2],MATCH(Tableau3[[#This Row],[ID-INS]],Tableau8[ID],0))&amp;""</f>
        <v>P10</v>
      </c>
      <c r="I944" s="102" t="str">
        <f>INDEX(Tableau8[Att3],MATCH(Tableau3[[#This Row],[ID-INS]],Tableau8[ID],0))&amp;""</f>
        <v>Portail P10</v>
      </c>
      <c r="J944" s="102"/>
      <c r="K944" s="167" t="str">
        <f>INDEX(Tableau8[Nom du modele],MATCH(Tableau3[[#This Row],[ID-INS]],Tableau8[ID],0))&amp;""</f>
        <v>PortailR2VElec</v>
      </c>
      <c r="L944" s="100" t="str">
        <f>INDEX(Tableau5[Att1],MATCH(Tableau3[[#This Row],[ID-SIG]],Tableau5[ID],0))&amp;""</f>
        <v>V1_OuvProtect</v>
      </c>
      <c r="M944" s="100" t="str">
        <f>INDEX(Tableau5[Att2],MATCH(Tableau3[[#This Row],[ID-SIG]],Tableau5[ID],0))&amp;""</f>
        <v/>
      </c>
      <c r="N944" s="100" t="str">
        <f>INDEX(Tableau5[Att3],MATCH(Tableau3[[#This Row],[ID-SIG]],Tableau5[ID],0))&amp;""</f>
        <v/>
      </c>
      <c r="O944" s="100"/>
      <c r="P944" s="100" t="str">
        <f>INDEX(Tableau5[Description],MATCH(Tableau3[[#This Row],[ID-SIG]],Tableau5[ID],0))</f>
        <v>Vantail 1 Protection à l'ouverture par cellule</v>
      </c>
      <c r="Q944" s="100"/>
      <c r="R944" s="104" t="str">
        <f>Tableau3[[#This Row],[Description]]</f>
        <v>Vantail 1 Protection à l'ouverture par cellule</v>
      </c>
      <c r="S944" s="83"/>
      <c r="U944" s="88">
        <v>6</v>
      </c>
      <c r="V944" s="88">
        <v>1</v>
      </c>
      <c r="W944" s="88">
        <v>8</v>
      </c>
      <c r="X944" s="88">
        <v>6</v>
      </c>
      <c r="Y944" s="40"/>
      <c r="Z944" s="166" t="str">
        <f>INDEX(Tableau2[TS],MATCH(Tableau3[[#This Row],[ID-CARTEVOIE]],Tableau2[ID-CARTEVOIE],0))</f>
        <v>ET</v>
      </c>
      <c r="AA944" s="81" t="s">
        <v>213</v>
      </c>
      <c r="AB944" s="226" t="str">
        <f>IFERROR(INDEX(Tableau5[Reserve],MATCH(Tableau3[[#This Row],[ID-SIG]],Tableau5[ID],0))&amp;"","")</f>
        <v/>
      </c>
      <c r="AC944" s="21"/>
      <c r="AD944" s="108" t="str">
        <f>INDEX(Tableau7[Repere],MATCH(Tableau3[[#This Row],[ID-API]],Tableau7[ID-API],0))&amp;""</f>
        <v>A6</v>
      </c>
      <c r="AE944" s="109" t="str">
        <f>INDEX(Tableau1[Repere-Rack],MATCH(Tableau3[[#This Row],[ID-RACK]],Tableau1[ID-RACK],0))&amp;""</f>
        <v>R1</v>
      </c>
      <c r="AF944" s="109" t="str">
        <f>INDEX(Tableau1[Repere-Slot],MATCH(Tableau3[[#This Row],[ID-SLOT]],Tableau1[ID-SLOT],0))&amp;""</f>
        <v>S8</v>
      </c>
      <c r="AG944" s="109" t="str">
        <f>INDEX(Tableau2[Repere-Voie],MATCH(Tableau3[[#This Row],[ID-VOIE]],Tableau2[ID-Voie],0))&amp;""</f>
        <v>v6</v>
      </c>
      <c r="AH944" s="72" t="str">
        <f>Tableau3[[#This Row],[ID-API]]&amp; "." &amp;Tableau3[[#This Row],[ID-RACK]]&amp; "." &amp;Tableau3[[#This Row],[ID-SLOT]]</f>
        <v>6.1.8</v>
      </c>
      <c r="AI944" s="72" t="str">
        <f>INDEX(Tableau1[Ref-Carte],MATCH(Tableau3[[#This Row],[ID-RRS]],Tableau1[ID-RRS],0))</f>
        <v>SDI1602</v>
      </c>
      <c r="AJ944" s="72" t="str">
        <f t="array" ref="AJ944">IFERROR(INDEX(Tableau2[TS],MATCH(1,(Tableau2[Ref-Carte]=Tableau3[[#This Row],[Ref-Carte2]])*(Tableau2[ID-Voie]=Tableau3[[#This Row],[ID-VOIE]]),0)),"")</f>
        <v>ET</v>
      </c>
      <c r="AK944" s="72" t="str">
        <f>IFERROR(INDEX(Tableau2[TS],SUMPRODUCT((Tableau2[Ref-Carte]=Tableau3[[#This Row],[Ref-Carte2]])*(Tableau2[ID-Voie]=Tableau3[[#This Row],[ID-VOIE]])*ROW(Tableau2[TS]))-ROW(Tableau2[#Headers])),"")</f>
        <v>ET</v>
      </c>
      <c r="AL944" s="72" t="str">
        <f>Tableau3[[#This Row],[Ref-Carte2]]&amp;"/"&amp;Tableau3[[#This Row],[ID-VOIE]]</f>
        <v>SDI1602/6</v>
      </c>
      <c r="AM944" s="77" t="str">
        <f>INDEX(Tableau2[Borne],MATCH(Tableau3[[#This Row],[ID-CARTEVOIE]],Tableau2[ID-CARTEVOIE],0))&amp;""</f>
        <v>3B</v>
      </c>
      <c r="AN944" s="74" t="str">
        <f>Tableau3[[#This Row],[ID-API]]&amp;Tableau3[[#This Row],[ID-RACK]]&amp;Tableau3[[#This Row],[ID-SLOT]]&amp;Tableau3[[#This Row],[BORNE]]</f>
        <v>6183B</v>
      </c>
      <c r="AO944" s="1"/>
    </row>
    <row r="945" spans="1:41" ht="20.100000000000001" customHeight="1" thickTop="1" thickBot="1">
      <c r="A945" s="75"/>
      <c r="B945" s="76" t="str">
        <f>IFERROR(INDEX(Tableau4[Date],MATCH($A945,Tableau4[EVO],0)),"")</f>
        <v/>
      </c>
      <c r="C945" s="75" t="str">
        <f>IFERROR(INDEX(Tableau4[Designation],MATCH($A945,Tableau4[EVO],0)),"")</f>
        <v/>
      </c>
      <c r="D945" s="75"/>
      <c r="E945" s="79">
        <v>10</v>
      </c>
      <c r="F945" s="80">
        <v>177</v>
      </c>
      <c r="G945" s="102" t="str">
        <f>INDEX(Tableau8[Att1],MATCH(Tableau3[[#This Row],[ID-INS]],Tableau8[ID],0))&amp;""</f>
        <v>V5</v>
      </c>
      <c r="H945" s="102" t="str">
        <f>INDEX(Tableau8[Att2],MATCH(Tableau3[[#This Row],[ID-INS]],Tableau8[ID],0))&amp;""</f>
        <v>P10</v>
      </c>
      <c r="I945" s="102" t="str">
        <f>INDEX(Tableau8[Att3],MATCH(Tableau3[[#This Row],[ID-INS]],Tableau8[ID],0))&amp;""</f>
        <v>Portail P10</v>
      </c>
      <c r="J945" s="102"/>
      <c r="K945" s="167" t="str">
        <f>INDEX(Tableau8[Nom du modele],MATCH(Tableau3[[#This Row],[ID-INS]],Tableau8[ID],0))&amp;""</f>
        <v>PortailR2VElec</v>
      </c>
      <c r="L945" s="100" t="str">
        <f>INDEX(Tableau5[Att1],MATCH(Tableau3[[#This Row],[ID-SIG]],Tableau5[ID],0))&amp;""</f>
        <v>V1_OuvFerProtectBarrage</v>
      </c>
      <c r="M945" s="100" t="str">
        <f>INDEX(Tableau5[Att2],MATCH(Tableau3[[#This Row],[ID-SIG]],Tableau5[ID],0))&amp;""</f>
        <v/>
      </c>
      <c r="N945" s="100" t="str">
        <f>INDEX(Tableau5[Att3],MATCH(Tableau3[[#This Row],[ID-SIG]],Tableau5[ID],0))&amp;""</f>
        <v/>
      </c>
      <c r="O945" s="100"/>
      <c r="P945" s="100" t="str">
        <f>INDEX(Tableau5[Description],MATCH(Tableau3[[#This Row],[ID-SIG]],Tableau5[ID],0))</f>
        <v>Vantail 1 Protection à fermeture et ouverture par cellule</v>
      </c>
      <c r="Q945" s="100"/>
      <c r="R945" s="104" t="str">
        <f>Tableau3[[#This Row],[Description]]</f>
        <v>Vantail 1 Protection à fermeture et ouverture par cellule</v>
      </c>
      <c r="S945" s="83"/>
      <c r="U945" s="88">
        <v>6</v>
      </c>
      <c r="V945" s="88">
        <v>1</v>
      </c>
      <c r="W945" s="88">
        <v>8</v>
      </c>
      <c r="X945" s="88">
        <v>7</v>
      </c>
      <c r="Y945" s="40"/>
      <c r="Z945" s="166" t="str">
        <f>INDEX(Tableau2[TS],MATCH(Tableau3[[#This Row],[ID-CARTEVOIE]],Tableau2[ID-CARTEVOIE],0))</f>
        <v>ET</v>
      </c>
      <c r="AA945" s="81" t="s">
        <v>213</v>
      </c>
      <c r="AB945" s="226" t="str">
        <f>IFERROR(INDEX(Tableau5[Reserve],MATCH(Tableau3[[#This Row],[ID-SIG]],Tableau5[ID],0))&amp;"","")</f>
        <v/>
      </c>
      <c r="AC945" s="21"/>
      <c r="AD945" s="108" t="str">
        <f>INDEX(Tableau7[Repere],MATCH(Tableau3[[#This Row],[ID-API]],Tableau7[ID-API],0))&amp;""</f>
        <v>A6</v>
      </c>
      <c r="AE945" s="109" t="str">
        <f>INDEX(Tableau1[Repere-Rack],MATCH(Tableau3[[#This Row],[ID-RACK]],Tableau1[ID-RACK],0))&amp;""</f>
        <v>R1</v>
      </c>
      <c r="AF945" s="109" t="str">
        <f>INDEX(Tableau1[Repere-Slot],MATCH(Tableau3[[#This Row],[ID-SLOT]],Tableau1[ID-SLOT],0))&amp;""</f>
        <v>S8</v>
      </c>
      <c r="AG945" s="109" t="str">
        <f>INDEX(Tableau2[Repere-Voie],MATCH(Tableau3[[#This Row],[ID-VOIE]],Tableau2[ID-Voie],0))&amp;""</f>
        <v>v7</v>
      </c>
      <c r="AH945" s="72" t="str">
        <f>Tableau3[[#This Row],[ID-API]]&amp; "." &amp;Tableau3[[#This Row],[ID-RACK]]&amp; "." &amp;Tableau3[[#This Row],[ID-SLOT]]</f>
        <v>6.1.8</v>
      </c>
      <c r="AI945" s="72" t="str">
        <f>INDEX(Tableau1[Ref-Carte],MATCH(Tableau3[[#This Row],[ID-RRS]],Tableau1[ID-RRS],0))</f>
        <v>SDI1602</v>
      </c>
      <c r="AJ945" s="72" t="str">
        <f t="array" ref="AJ945">IFERROR(INDEX(Tableau2[TS],MATCH(1,(Tableau2[Ref-Carte]=Tableau3[[#This Row],[Ref-Carte2]])*(Tableau2[ID-Voie]=Tableau3[[#This Row],[ID-VOIE]]),0)),"")</f>
        <v>ET</v>
      </c>
      <c r="AK945" s="72" t="str">
        <f>IFERROR(INDEX(Tableau2[TS],SUMPRODUCT((Tableau2[Ref-Carte]=Tableau3[[#This Row],[Ref-Carte2]])*(Tableau2[ID-Voie]=Tableau3[[#This Row],[ID-VOIE]])*ROW(Tableau2[TS]))-ROW(Tableau2[#Headers])),"")</f>
        <v>ET</v>
      </c>
      <c r="AL945" s="72" t="str">
        <f>Tableau3[[#This Row],[Ref-Carte2]]&amp;"/"&amp;Tableau3[[#This Row],[ID-VOIE]]</f>
        <v>SDI1602/7</v>
      </c>
      <c r="AM945" s="77" t="str">
        <f>INDEX(Tableau2[Borne],MATCH(Tableau3[[#This Row],[ID-CARTEVOIE]],Tableau2[ID-CARTEVOIE],0))&amp;""</f>
        <v>3A</v>
      </c>
      <c r="AN945" s="74" t="str">
        <f>Tableau3[[#This Row],[ID-API]]&amp;Tableau3[[#This Row],[ID-RACK]]&amp;Tableau3[[#This Row],[ID-SLOT]]&amp;Tableau3[[#This Row],[BORNE]]</f>
        <v>6183A</v>
      </c>
      <c r="AO945" s="1"/>
    </row>
    <row r="946" spans="1:41" ht="20.100000000000001" customHeight="1" thickTop="1" thickBot="1">
      <c r="A946" s="75"/>
      <c r="B946" s="76" t="str">
        <f>IFERROR(INDEX(Tableau4[Date],MATCH($A946,Tableau4[EVO],0)),"")</f>
        <v/>
      </c>
      <c r="C946" s="75" t="str">
        <f>IFERROR(INDEX(Tableau4[Designation],MATCH($A946,Tableau4[EVO],0)),"")</f>
        <v/>
      </c>
      <c r="D946" s="75"/>
      <c r="E946" s="79">
        <v>10</v>
      </c>
      <c r="F946" s="80">
        <v>178</v>
      </c>
      <c r="G946" s="102" t="str">
        <f>INDEX(Tableau8[Att1],MATCH(Tableau3[[#This Row],[ID-INS]],Tableau8[ID],0))&amp;""</f>
        <v>V5</v>
      </c>
      <c r="H946" s="102" t="str">
        <f>INDEX(Tableau8[Att2],MATCH(Tableau3[[#This Row],[ID-INS]],Tableau8[ID],0))&amp;""</f>
        <v>P10</v>
      </c>
      <c r="I946" s="102" t="str">
        <f>INDEX(Tableau8[Att3],MATCH(Tableau3[[#This Row],[ID-INS]],Tableau8[ID],0))&amp;""</f>
        <v>Portail P10</v>
      </c>
      <c r="J946" s="102"/>
      <c r="K946" s="167" t="str">
        <f>INDEX(Tableau8[Nom du modele],MATCH(Tableau3[[#This Row],[ID-INS]],Tableau8[ID],0))&amp;""</f>
        <v>PortailR2VElec</v>
      </c>
      <c r="L946" s="100" t="str">
        <f>INDEX(Tableau5[Att1],MATCH(Tableau3[[#This Row],[ID-SIG]],Tableau5[ID],0))&amp;""</f>
        <v>V1_FerProtect</v>
      </c>
      <c r="M946" s="100" t="str">
        <f>INDEX(Tableau5[Att2],MATCH(Tableau3[[#This Row],[ID-SIG]],Tableau5[ID],0))&amp;""</f>
        <v/>
      </c>
      <c r="N946" s="100" t="str">
        <f>INDEX(Tableau5[Att3],MATCH(Tableau3[[#This Row],[ID-SIG]],Tableau5[ID],0))&amp;""</f>
        <v/>
      </c>
      <c r="O946" s="100"/>
      <c r="P946" s="100" t="str">
        <f>INDEX(Tableau5[Description],MATCH(Tableau3[[#This Row],[ID-SIG]],Tableau5[ID],0))</f>
        <v>Vantail 1 Protection fermeture par bande palpeuse</v>
      </c>
      <c r="Q946" s="100"/>
      <c r="R946" s="104" t="str">
        <f>Tableau3[[#This Row],[Description]]</f>
        <v>Vantail 1 Protection fermeture par bande palpeuse</v>
      </c>
      <c r="S946" s="83"/>
      <c r="U946" s="88">
        <v>6</v>
      </c>
      <c r="V946" s="88">
        <v>1</v>
      </c>
      <c r="W946" s="88">
        <v>8</v>
      </c>
      <c r="X946" s="88">
        <v>8</v>
      </c>
      <c r="Y946" s="40"/>
      <c r="Z946" s="166" t="str">
        <f>INDEX(Tableau2[TS],MATCH(Tableau3[[#This Row],[ID-CARTEVOIE]],Tableau2[ID-CARTEVOIE],0))</f>
        <v>ET</v>
      </c>
      <c r="AA946" s="81" t="s">
        <v>213</v>
      </c>
      <c r="AB946" s="226" t="str">
        <f>IFERROR(INDEX(Tableau5[Reserve],MATCH(Tableau3[[#This Row],[ID-SIG]],Tableau5[ID],0))&amp;"","")</f>
        <v/>
      </c>
      <c r="AC946" s="21"/>
      <c r="AD946" s="108" t="str">
        <f>INDEX(Tableau7[Repere],MATCH(Tableau3[[#This Row],[ID-API]],Tableau7[ID-API],0))&amp;""</f>
        <v>A6</v>
      </c>
      <c r="AE946" s="109" t="str">
        <f>INDEX(Tableau1[Repere-Rack],MATCH(Tableau3[[#This Row],[ID-RACK]],Tableau1[ID-RACK],0))&amp;""</f>
        <v>R1</v>
      </c>
      <c r="AF946" s="109" t="str">
        <f>INDEX(Tableau1[Repere-Slot],MATCH(Tableau3[[#This Row],[ID-SLOT]],Tableau1[ID-SLOT],0))&amp;""</f>
        <v>S8</v>
      </c>
      <c r="AG946" s="109" t="str">
        <f>INDEX(Tableau2[Repere-Voie],MATCH(Tableau3[[#This Row],[ID-VOIE]],Tableau2[ID-Voie],0))&amp;""</f>
        <v>v8</v>
      </c>
      <c r="AH946" s="72" t="str">
        <f>Tableau3[[#This Row],[ID-API]]&amp; "." &amp;Tableau3[[#This Row],[ID-RACK]]&amp; "." &amp;Tableau3[[#This Row],[ID-SLOT]]</f>
        <v>6.1.8</v>
      </c>
      <c r="AI946" s="72" t="str">
        <f>INDEX(Tableau1[Ref-Carte],MATCH(Tableau3[[#This Row],[ID-RRS]],Tableau1[ID-RRS],0))</f>
        <v>SDI1602</v>
      </c>
      <c r="AJ946" s="72" t="str">
        <f t="array" ref="AJ946">IFERROR(INDEX(Tableau2[TS],MATCH(1,(Tableau2[Ref-Carte]=Tableau3[[#This Row],[Ref-Carte2]])*(Tableau2[ID-Voie]=Tableau3[[#This Row],[ID-VOIE]]),0)),"")</f>
        <v>ET</v>
      </c>
      <c r="AK946" s="72" t="str">
        <f>IFERROR(INDEX(Tableau2[TS],SUMPRODUCT((Tableau2[Ref-Carte]=Tableau3[[#This Row],[Ref-Carte2]])*(Tableau2[ID-Voie]=Tableau3[[#This Row],[ID-VOIE]])*ROW(Tableau2[TS]))-ROW(Tableau2[#Headers])),"")</f>
        <v>ET</v>
      </c>
      <c r="AL946" s="72" t="str">
        <f>Tableau3[[#This Row],[Ref-Carte2]]&amp;"/"&amp;Tableau3[[#This Row],[ID-VOIE]]</f>
        <v>SDI1602/8</v>
      </c>
      <c r="AM946" s="77" t="str">
        <f>INDEX(Tableau2[Borne],MATCH(Tableau3[[#This Row],[ID-CARTEVOIE]],Tableau2[ID-CARTEVOIE],0))&amp;""</f>
        <v>4B</v>
      </c>
      <c r="AN946" s="74" t="str">
        <f>Tableau3[[#This Row],[ID-API]]&amp;Tableau3[[#This Row],[ID-RACK]]&amp;Tableau3[[#This Row],[ID-SLOT]]&amp;Tableau3[[#This Row],[BORNE]]</f>
        <v>6184B</v>
      </c>
      <c r="AO946" s="1"/>
    </row>
    <row r="947" spans="1:41" ht="20.100000000000001" customHeight="1" thickTop="1" thickBot="1">
      <c r="A947" s="75"/>
      <c r="B947" s="76" t="str">
        <f>IFERROR(INDEX(Tableau4[Date],MATCH($A947,Tableau4[EVO],0)),"")</f>
        <v/>
      </c>
      <c r="C947" s="75" t="str">
        <f>IFERROR(INDEX(Tableau4[Designation],MATCH($A947,Tableau4[EVO],0)),"")</f>
        <v/>
      </c>
      <c r="D947" s="75"/>
      <c r="E947" s="79">
        <v>10</v>
      </c>
      <c r="F947" s="80">
        <v>179</v>
      </c>
      <c r="G947" s="102" t="str">
        <f>INDEX(Tableau8[Att1],MATCH(Tableau3[[#This Row],[ID-INS]],Tableau8[ID],0))&amp;""</f>
        <v>V5</v>
      </c>
      <c r="H947" s="102" t="str">
        <f>INDEX(Tableau8[Att2],MATCH(Tableau3[[#This Row],[ID-INS]],Tableau8[ID],0))&amp;""</f>
        <v>P10</v>
      </c>
      <c r="I947" s="102" t="str">
        <f>INDEX(Tableau8[Att3],MATCH(Tableau3[[#This Row],[ID-INS]],Tableau8[ID],0))&amp;""</f>
        <v>Portail P10</v>
      </c>
      <c r="J947" s="102"/>
      <c r="K947" s="167" t="str">
        <f>INDEX(Tableau8[Nom du modele],MATCH(Tableau3[[#This Row],[ID-INS]],Tableau8[ID],0))&amp;""</f>
        <v>PortailR2VElec</v>
      </c>
      <c r="L947" s="100" t="str">
        <f>INDEX(Tableau5[Att1],MATCH(Tableau3[[#This Row],[ID-SIG]],Tableau5[ID],0))&amp;""</f>
        <v>Vx_Disj</v>
      </c>
      <c r="M947" s="100" t="str">
        <f>INDEX(Tableau5[Att2],MATCH(Tableau3[[#This Row],[ID-SIG]],Tableau5[ID],0))&amp;""</f>
        <v/>
      </c>
      <c r="N947" s="100" t="str">
        <f>INDEX(Tableau5[Att3],MATCH(Tableau3[[#This Row],[ID-SIG]],Tableau5[ID],0))&amp;""</f>
        <v/>
      </c>
      <c r="O947" s="100"/>
      <c r="P947" s="100" t="str">
        <f>INDEX(Tableau5[Description],MATCH(Tableau3[[#This Row],[ID-SIG]],Tableau5[ID],0))</f>
        <v>Vantail 1 et 2 Disjonction (OF SD)</v>
      </c>
      <c r="Q947" s="100"/>
      <c r="R947" s="104" t="str">
        <f>Tableau3[[#This Row],[Description]]</f>
        <v>Vantail 1 et 2 Disjonction (OF SD)</v>
      </c>
      <c r="S947" s="83"/>
      <c r="U947" s="88">
        <v>6</v>
      </c>
      <c r="V947" s="88">
        <v>1</v>
      </c>
      <c r="W947" s="88">
        <v>8</v>
      </c>
      <c r="X947" s="88">
        <v>9</v>
      </c>
      <c r="Y947" s="40"/>
      <c r="Z947" s="166" t="str">
        <f>INDEX(Tableau2[TS],MATCH(Tableau3[[#This Row],[ID-CARTEVOIE]],Tableau2[ID-CARTEVOIE],0))</f>
        <v>ET</v>
      </c>
      <c r="AA947" s="81" t="s">
        <v>213</v>
      </c>
      <c r="AB947" s="226" t="str">
        <f>IFERROR(INDEX(Tableau5[Reserve],MATCH(Tableau3[[#This Row],[ID-SIG]],Tableau5[ID],0))&amp;"","")</f>
        <v/>
      </c>
      <c r="AC947" s="21"/>
      <c r="AD947" s="108" t="str">
        <f>INDEX(Tableau7[Repere],MATCH(Tableau3[[#This Row],[ID-API]],Tableau7[ID-API],0))&amp;""</f>
        <v>A6</v>
      </c>
      <c r="AE947" s="109" t="str">
        <f>INDEX(Tableau1[Repere-Rack],MATCH(Tableau3[[#This Row],[ID-RACK]],Tableau1[ID-RACK],0))&amp;""</f>
        <v>R1</v>
      </c>
      <c r="AF947" s="109" t="str">
        <f>INDEX(Tableau1[Repere-Slot],MATCH(Tableau3[[#This Row],[ID-SLOT]],Tableau1[ID-SLOT],0))&amp;""</f>
        <v>S8</v>
      </c>
      <c r="AG947" s="109" t="str">
        <f>INDEX(Tableau2[Repere-Voie],MATCH(Tableau3[[#This Row],[ID-VOIE]],Tableau2[ID-Voie],0))&amp;""</f>
        <v>v9</v>
      </c>
      <c r="AH947" s="72" t="str">
        <f>Tableau3[[#This Row],[ID-API]]&amp; "." &amp;Tableau3[[#This Row],[ID-RACK]]&amp; "." &amp;Tableau3[[#This Row],[ID-SLOT]]</f>
        <v>6.1.8</v>
      </c>
      <c r="AI947" s="72" t="str">
        <f>INDEX(Tableau1[Ref-Carte],MATCH(Tableau3[[#This Row],[ID-RRS]],Tableau1[ID-RRS],0))</f>
        <v>SDI1602</v>
      </c>
      <c r="AJ947" s="72" t="str">
        <f t="array" ref="AJ947">IFERROR(INDEX(Tableau2[TS],MATCH(1,(Tableau2[Ref-Carte]=Tableau3[[#This Row],[Ref-Carte2]])*(Tableau2[ID-Voie]=Tableau3[[#This Row],[ID-VOIE]]),0)),"")</f>
        <v>ET</v>
      </c>
      <c r="AK947" s="72" t="str">
        <f>IFERROR(INDEX(Tableau2[TS],SUMPRODUCT((Tableau2[Ref-Carte]=Tableau3[[#This Row],[Ref-Carte2]])*(Tableau2[ID-Voie]=Tableau3[[#This Row],[ID-VOIE]])*ROW(Tableau2[TS]))-ROW(Tableau2[#Headers])),"")</f>
        <v>ET</v>
      </c>
      <c r="AL947" s="72" t="str">
        <f>Tableau3[[#This Row],[Ref-Carte2]]&amp;"/"&amp;Tableau3[[#This Row],[ID-VOIE]]</f>
        <v>SDI1602/9</v>
      </c>
      <c r="AM947" s="77" t="str">
        <f>INDEX(Tableau2[Borne],MATCH(Tableau3[[#This Row],[ID-CARTEVOIE]],Tableau2[ID-CARTEVOIE],0))&amp;""</f>
        <v>4A</v>
      </c>
      <c r="AN947" s="74" t="str">
        <f>Tableau3[[#This Row],[ID-API]]&amp;Tableau3[[#This Row],[ID-RACK]]&amp;Tableau3[[#This Row],[ID-SLOT]]&amp;Tableau3[[#This Row],[BORNE]]</f>
        <v>6184A</v>
      </c>
      <c r="AO947" s="1"/>
    </row>
    <row r="948" spans="1:41" ht="20.100000000000001" customHeight="1" thickTop="1" thickBot="1">
      <c r="A948" s="75"/>
      <c r="B948" s="76" t="str">
        <f>IFERROR(INDEX(Tableau4[Date],MATCH($A948,Tableau4[EVO],0)),"")</f>
        <v/>
      </c>
      <c r="C948" s="75" t="str">
        <f>IFERROR(INDEX(Tableau4[Designation],MATCH($A948,Tableau4[EVO],0)),"")</f>
        <v/>
      </c>
      <c r="D948" s="75"/>
      <c r="E948" s="79">
        <v>10</v>
      </c>
      <c r="F948" s="80">
        <v>180</v>
      </c>
      <c r="G948" s="102" t="str">
        <f>INDEX(Tableau8[Att1],MATCH(Tableau3[[#This Row],[ID-INS]],Tableau8[ID],0))&amp;""</f>
        <v>V5</v>
      </c>
      <c r="H948" s="102" t="str">
        <f>INDEX(Tableau8[Att2],MATCH(Tableau3[[#This Row],[ID-INS]],Tableau8[ID],0))&amp;""</f>
        <v>P10</v>
      </c>
      <c r="I948" s="102" t="str">
        <f>INDEX(Tableau8[Att3],MATCH(Tableau3[[#This Row],[ID-INS]],Tableau8[ID],0))&amp;""</f>
        <v>Portail P10</v>
      </c>
      <c r="J948" s="102"/>
      <c r="K948" s="167" t="str">
        <f>INDEX(Tableau8[Nom du modele],MATCH(Tableau3[[#This Row],[ID-INS]],Tableau8[ID],0))&amp;""</f>
        <v>PortailR2VElec</v>
      </c>
      <c r="L948" s="100" t="str">
        <f>INDEX(Tableau5[Att1],MATCH(Tableau3[[#This Row],[ID-SIG]],Tableau5[ID],0))&amp;""</f>
        <v>Réserve</v>
      </c>
      <c r="M948" s="100" t="str">
        <f>INDEX(Tableau5[Att2],MATCH(Tableau3[[#This Row],[ID-SIG]],Tableau5[ID],0))&amp;""</f>
        <v/>
      </c>
      <c r="N948" s="100" t="str">
        <f>INDEX(Tableau5[Att3],MATCH(Tableau3[[#This Row],[ID-SIG]],Tableau5[ID],0))&amp;""</f>
        <v/>
      </c>
      <c r="O948" s="100"/>
      <c r="P948" s="100" t="str">
        <f>INDEX(Tableau5[Description],MATCH(Tableau3[[#This Row],[ID-SIG]],Tableau5[ID],0))</f>
        <v>Réserve</v>
      </c>
      <c r="Q948" s="100"/>
      <c r="R948" s="104" t="str">
        <f>Tableau3[[#This Row],[Description]]</f>
        <v>Réserve</v>
      </c>
      <c r="S948" s="83"/>
      <c r="U948" s="88">
        <v>6</v>
      </c>
      <c r="V948" s="88">
        <v>1</v>
      </c>
      <c r="W948" s="88">
        <v>8</v>
      </c>
      <c r="X948" s="88">
        <v>10</v>
      </c>
      <c r="Y948" s="40"/>
      <c r="Z948" s="166" t="str">
        <f>INDEX(Tableau2[TS],MATCH(Tableau3[[#This Row],[ID-CARTEVOIE]],Tableau2[ID-CARTEVOIE],0))</f>
        <v>ET</v>
      </c>
      <c r="AA948" s="81" t="s">
        <v>213</v>
      </c>
      <c r="AB948" s="226" t="str">
        <f>IFERROR(INDEX(Tableau5[Reserve],MATCH(Tableau3[[#This Row],[ID-SIG]],Tableau5[ID],0))&amp;"","")</f>
        <v/>
      </c>
      <c r="AC948" s="21"/>
      <c r="AD948" s="108" t="str">
        <f>INDEX(Tableau7[Repere],MATCH(Tableau3[[#This Row],[ID-API]],Tableau7[ID-API],0))&amp;""</f>
        <v>A6</v>
      </c>
      <c r="AE948" s="109" t="str">
        <f>INDEX(Tableau1[Repere-Rack],MATCH(Tableau3[[#This Row],[ID-RACK]],Tableau1[ID-RACK],0))&amp;""</f>
        <v>R1</v>
      </c>
      <c r="AF948" s="109" t="str">
        <f>INDEX(Tableau1[Repere-Slot],MATCH(Tableau3[[#This Row],[ID-SLOT]],Tableau1[ID-SLOT],0))&amp;""</f>
        <v>S8</v>
      </c>
      <c r="AG948" s="109" t="str">
        <f>INDEX(Tableau2[Repere-Voie],MATCH(Tableau3[[#This Row],[ID-VOIE]],Tableau2[ID-Voie],0))&amp;""</f>
        <v>v10</v>
      </c>
      <c r="AH948" s="72" t="str">
        <f>Tableau3[[#This Row],[ID-API]]&amp; "." &amp;Tableau3[[#This Row],[ID-RACK]]&amp; "." &amp;Tableau3[[#This Row],[ID-SLOT]]</f>
        <v>6.1.8</v>
      </c>
      <c r="AI948" s="72" t="str">
        <f>INDEX(Tableau1[Ref-Carte],MATCH(Tableau3[[#This Row],[ID-RRS]],Tableau1[ID-RRS],0))</f>
        <v>SDI1602</v>
      </c>
      <c r="AJ948" s="72" t="str">
        <f t="array" ref="AJ948">IFERROR(INDEX(Tableau2[TS],MATCH(1,(Tableau2[Ref-Carte]=Tableau3[[#This Row],[Ref-Carte2]])*(Tableau2[ID-Voie]=Tableau3[[#This Row],[ID-VOIE]]),0)),"")</f>
        <v>ET</v>
      </c>
      <c r="AK948" s="72" t="str">
        <f>IFERROR(INDEX(Tableau2[TS],SUMPRODUCT((Tableau2[Ref-Carte]=Tableau3[[#This Row],[Ref-Carte2]])*(Tableau2[ID-Voie]=Tableau3[[#This Row],[ID-VOIE]])*ROW(Tableau2[TS]))-ROW(Tableau2[#Headers])),"")</f>
        <v>ET</v>
      </c>
      <c r="AL948" s="72" t="str">
        <f>Tableau3[[#This Row],[Ref-Carte2]]&amp;"/"&amp;Tableau3[[#This Row],[ID-VOIE]]</f>
        <v>SDI1602/10</v>
      </c>
      <c r="AM948" s="77" t="str">
        <f>INDEX(Tableau2[Borne],MATCH(Tableau3[[#This Row],[ID-CARTEVOIE]],Tableau2[ID-CARTEVOIE],0))&amp;""</f>
        <v>5B</v>
      </c>
      <c r="AN948" s="74" t="str">
        <f>Tableau3[[#This Row],[ID-API]]&amp;Tableau3[[#This Row],[ID-RACK]]&amp;Tableau3[[#This Row],[ID-SLOT]]&amp;Tableau3[[#This Row],[BORNE]]</f>
        <v>6185B</v>
      </c>
      <c r="AO948" s="1"/>
    </row>
    <row r="949" spans="1:41" ht="20.100000000000001" customHeight="1" thickTop="1" thickBot="1">
      <c r="A949" s="75"/>
      <c r="B949" s="76" t="str">
        <f>IFERROR(INDEX(Tableau4[Date],MATCH($A949,Tableau4[EVO],0)),"")</f>
        <v/>
      </c>
      <c r="C949" s="75" t="str">
        <f>IFERROR(INDEX(Tableau4[Designation],MATCH($A949,Tableau4[EVO],0)),"")</f>
        <v/>
      </c>
      <c r="D949" s="75"/>
      <c r="E949" s="79">
        <v>25</v>
      </c>
      <c r="F949" s="80">
        <v>101</v>
      </c>
      <c r="G949" s="102" t="str">
        <f>INDEX(Tableau8[Att1],MATCH(Tableau3[[#This Row],[ID-INS]],Tableau8[ID],0))&amp;""</f>
        <v>B22</v>
      </c>
      <c r="H949" s="102" t="str">
        <f>INDEX(Tableau8[Att2],MATCH(Tableau3[[#This Row],[ID-INS]],Tableau8[ID],0))&amp;""</f>
        <v>VIGIE_ARUP1</v>
      </c>
      <c r="I949" s="102" t="str">
        <f>INDEX(Tableau8[Att3],MATCH(Tableau3[[#This Row],[ID-INS]],Tableau8[ID],0))&amp;""</f>
        <v>VIGIE ARUP1</v>
      </c>
      <c r="J949" s="102"/>
      <c r="K949" s="167" t="str">
        <f>INDEX(Tableau8[Nom du modele],MATCH(Tableau3[[#This Row],[ID-INS]],Tableau8[ID],0))&amp;""</f>
        <v>ARU</v>
      </c>
      <c r="L949" s="100" t="str">
        <f>INDEX(Tableau5[Att1],MATCH(Tableau3[[#This Row],[ID-SIG]],Tableau5[ID],0))&amp;""</f>
        <v>Decl2</v>
      </c>
      <c r="M949" s="100" t="str">
        <f>INDEX(Tableau5[Att2],MATCH(Tableau3[[#This Row],[ID-SIG]],Tableau5[ID],0))&amp;""</f>
        <v/>
      </c>
      <c r="N949" s="100" t="str">
        <f>INDEX(Tableau5[Att3],MATCH(Tableau3[[#This Row],[ID-SIG]],Tableau5[ID],0))&amp;""</f>
        <v/>
      </c>
      <c r="O949" s="100"/>
      <c r="P949" s="100" t="str">
        <f>INDEX(Tableau5[Description],MATCH(Tableau3[[#This Row],[ID-SIG]],Tableau5[ID],0))</f>
        <v>Déclenchement contact 2</v>
      </c>
      <c r="Q949" s="100"/>
      <c r="R949" s="104" t="str">
        <f>Tableau3[[#This Row],[Description]]</f>
        <v>Déclenchement contact 2</v>
      </c>
      <c r="U949" s="88">
        <v>6</v>
      </c>
      <c r="V949" s="88">
        <v>1</v>
      </c>
      <c r="W949" s="88">
        <v>8</v>
      </c>
      <c r="X949" s="88">
        <v>11</v>
      </c>
      <c r="Y949" s="40"/>
      <c r="Z949" s="166" t="str">
        <f>INDEX(Tableau2[TS],MATCH(Tableau3[[#This Row],[ID-CARTEVOIE]],Tableau2[ID-CARTEVOIE],0))</f>
        <v>ET</v>
      </c>
      <c r="AA949" s="81" t="s">
        <v>213</v>
      </c>
      <c r="AB949" s="226" t="str">
        <f>IFERROR(INDEX(Tableau5[Reserve],MATCH(Tableau3[[#This Row],[ID-SIG]],Tableau5[ID],0))&amp;"","")</f>
        <v/>
      </c>
      <c r="AC949" s="21"/>
      <c r="AD949" s="108" t="str">
        <f>INDEX(Tableau7[Repere],MATCH(Tableau3[[#This Row],[ID-API]],Tableau7[ID-API],0))&amp;""</f>
        <v>A6</v>
      </c>
      <c r="AE949" s="109" t="str">
        <f>INDEX(Tableau1[Repere-Rack],MATCH(Tableau3[[#This Row],[ID-RACK]],Tableau1[ID-RACK],0))&amp;""</f>
        <v>R1</v>
      </c>
      <c r="AF949" s="109" t="str">
        <f>INDEX(Tableau1[Repere-Slot],MATCH(Tableau3[[#This Row],[ID-SLOT]],Tableau1[ID-SLOT],0))&amp;""</f>
        <v>S8</v>
      </c>
      <c r="AG949" s="109" t="str">
        <f>INDEX(Tableau2[Repere-Voie],MATCH(Tableau3[[#This Row],[ID-VOIE]],Tableau2[ID-Voie],0))&amp;""</f>
        <v>v11</v>
      </c>
      <c r="AH949" s="72" t="str">
        <f>Tableau3[[#This Row],[ID-API]]&amp; "." &amp;Tableau3[[#This Row],[ID-RACK]]&amp; "." &amp;Tableau3[[#This Row],[ID-SLOT]]</f>
        <v>6.1.8</v>
      </c>
      <c r="AI949" s="72" t="str">
        <f>INDEX(Tableau1[Ref-Carte],MATCH(Tableau3[[#This Row],[ID-RRS]],Tableau1[ID-RRS],0))</f>
        <v>SDI1602</v>
      </c>
      <c r="AJ949" s="72" t="str">
        <f t="array" ref="AJ949">IFERROR(INDEX(Tableau2[TS],MATCH(1,(Tableau2[Ref-Carte]=Tableau3[[#This Row],[Ref-Carte2]])*(Tableau2[ID-Voie]=Tableau3[[#This Row],[ID-VOIE]]),0)),"")</f>
        <v>ET</v>
      </c>
      <c r="AK949" s="72" t="str">
        <f>IFERROR(INDEX(Tableau2[TS],SUMPRODUCT((Tableau2[Ref-Carte]=Tableau3[[#This Row],[Ref-Carte2]])*(Tableau2[ID-Voie]=Tableau3[[#This Row],[ID-VOIE]])*ROW(Tableau2[TS]))-ROW(Tableau2[#Headers])),"")</f>
        <v>ET</v>
      </c>
      <c r="AL949" s="72" t="str">
        <f>Tableau3[[#This Row],[Ref-Carte2]]&amp;"/"&amp;Tableau3[[#This Row],[ID-VOIE]]</f>
        <v>SDI1602/11</v>
      </c>
      <c r="AM949" s="77" t="str">
        <f>INDEX(Tableau2[Borne],MATCH(Tableau3[[#This Row],[ID-CARTEVOIE]],Tableau2[ID-CARTEVOIE],0))&amp;""</f>
        <v>5A</v>
      </c>
      <c r="AN949" s="74" t="str">
        <f>Tableau3[[#This Row],[ID-API]]&amp;Tableau3[[#This Row],[ID-RACK]]&amp;Tableau3[[#This Row],[ID-SLOT]]&amp;Tableau3[[#This Row],[BORNE]]</f>
        <v>6185A</v>
      </c>
      <c r="AO949" s="1"/>
    </row>
    <row r="950" spans="1:41" ht="20.100000000000001" customHeight="1" thickTop="1" thickBot="1">
      <c r="A950" s="75"/>
      <c r="B950" s="76" t="str">
        <f>IFERROR(INDEX(Tableau4[Date],MATCH($A950,Tableau4[EVO],0)),"")</f>
        <v/>
      </c>
      <c r="C950" s="75" t="str">
        <f>IFERROR(INDEX(Tableau4[Designation],MATCH($A950,Tableau4[EVO],0)),"")</f>
        <v/>
      </c>
      <c r="D950" s="75"/>
      <c r="E950" s="79">
        <v>26</v>
      </c>
      <c r="F950" s="80">
        <v>101</v>
      </c>
      <c r="G950" s="102" t="str">
        <f>INDEX(Tableau8[Att1],MATCH(Tableau3[[#This Row],[ID-INS]],Tableau8[ID],0))&amp;""</f>
        <v>B22</v>
      </c>
      <c r="H950" s="102" t="str">
        <f>INDEX(Tableau8[Att2],MATCH(Tableau3[[#This Row],[ID-INS]],Tableau8[ID],0))&amp;""</f>
        <v>VIGIE_ARUP2</v>
      </c>
      <c r="I950" s="102" t="str">
        <f>INDEX(Tableau8[Att3],MATCH(Tableau3[[#This Row],[ID-INS]],Tableau8[ID],0))&amp;""</f>
        <v>VIGIE ARUP2</v>
      </c>
      <c r="J950" s="102"/>
      <c r="K950" s="167" t="str">
        <f>INDEX(Tableau8[Nom du modele],MATCH(Tableau3[[#This Row],[ID-INS]],Tableau8[ID],0))&amp;""</f>
        <v>ARU</v>
      </c>
      <c r="L950" s="100" t="str">
        <f>INDEX(Tableau5[Att1],MATCH(Tableau3[[#This Row],[ID-SIG]],Tableau5[ID],0))&amp;""</f>
        <v>Decl2</v>
      </c>
      <c r="M950" s="100" t="str">
        <f>INDEX(Tableau5[Att2],MATCH(Tableau3[[#This Row],[ID-SIG]],Tableau5[ID],0))&amp;""</f>
        <v/>
      </c>
      <c r="N950" s="100" t="str">
        <f>INDEX(Tableau5[Att3],MATCH(Tableau3[[#This Row],[ID-SIG]],Tableau5[ID],0))&amp;""</f>
        <v/>
      </c>
      <c r="O950" s="100"/>
      <c r="P950" s="100" t="str">
        <f>INDEX(Tableau5[Description],MATCH(Tableau3[[#This Row],[ID-SIG]],Tableau5[ID],0))</f>
        <v>Déclenchement contact 2</v>
      </c>
      <c r="Q950" s="100"/>
      <c r="R950" s="104" t="str">
        <f>Tableau3[[#This Row],[Description]]</f>
        <v>Déclenchement contact 2</v>
      </c>
      <c r="U950" s="88">
        <v>6</v>
      </c>
      <c r="V950" s="88">
        <v>1</v>
      </c>
      <c r="W950" s="88">
        <v>8</v>
      </c>
      <c r="X950" s="88">
        <v>12</v>
      </c>
      <c r="Y950" s="40"/>
      <c r="Z950" s="166" t="str">
        <f>INDEX(Tableau2[TS],MATCH(Tableau3[[#This Row],[ID-CARTEVOIE]],Tableau2[ID-CARTEVOIE],0))</f>
        <v>ET</v>
      </c>
      <c r="AA950" s="81" t="s">
        <v>213</v>
      </c>
      <c r="AB950" s="226" t="str">
        <f>IFERROR(INDEX(Tableau5[Reserve],MATCH(Tableau3[[#This Row],[ID-SIG]],Tableau5[ID],0))&amp;"","")</f>
        <v/>
      </c>
      <c r="AC950" s="21"/>
      <c r="AD950" s="108" t="str">
        <f>INDEX(Tableau7[Repere],MATCH(Tableau3[[#This Row],[ID-API]],Tableau7[ID-API],0))&amp;""</f>
        <v>A6</v>
      </c>
      <c r="AE950" s="109" t="str">
        <f>INDEX(Tableau1[Repere-Rack],MATCH(Tableau3[[#This Row],[ID-RACK]],Tableau1[ID-RACK],0))&amp;""</f>
        <v>R1</v>
      </c>
      <c r="AF950" s="109" t="str">
        <f>INDEX(Tableau1[Repere-Slot],MATCH(Tableau3[[#This Row],[ID-SLOT]],Tableau1[ID-SLOT],0))&amp;""</f>
        <v>S8</v>
      </c>
      <c r="AG950" s="109" t="str">
        <f>INDEX(Tableau2[Repere-Voie],MATCH(Tableau3[[#This Row],[ID-VOIE]],Tableau2[ID-Voie],0))&amp;""</f>
        <v>v12</v>
      </c>
      <c r="AH950" s="72" t="str">
        <f>Tableau3[[#This Row],[ID-API]]&amp; "." &amp;Tableau3[[#This Row],[ID-RACK]]&amp; "." &amp;Tableau3[[#This Row],[ID-SLOT]]</f>
        <v>6.1.8</v>
      </c>
      <c r="AI950" s="72" t="str">
        <f>INDEX(Tableau1[Ref-Carte],MATCH(Tableau3[[#This Row],[ID-RRS]],Tableau1[ID-RRS],0))</f>
        <v>SDI1602</v>
      </c>
      <c r="AJ950" s="72" t="str">
        <f t="array" ref="AJ950">IFERROR(INDEX(Tableau2[TS],MATCH(1,(Tableau2[Ref-Carte]=Tableau3[[#This Row],[Ref-Carte2]])*(Tableau2[ID-Voie]=Tableau3[[#This Row],[ID-VOIE]]),0)),"")</f>
        <v>ET</v>
      </c>
      <c r="AK950" s="72" t="str">
        <f>IFERROR(INDEX(Tableau2[TS],SUMPRODUCT((Tableau2[Ref-Carte]=Tableau3[[#This Row],[Ref-Carte2]])*(Tableau2[ID-Voie]=Tableau3[[#This Row],[ID-VOIE]])*ROW(Tableau2[TS]))-ROW(Tableau2[#Headers])),"")</f>
        <v>ET</v>
      </c>
      <c r="AL950" s="72" t="str">
        <f>Tableau3[[#This Row],[Ref-Carte2]]&amp;"/"&amp;Tableau3[[#This Row],[ID-VOIE]]</f>
        <v>SDI1602/12</v>
      </c>
      <c r="AM950" s="77" t="str">
        <f>INDEX(Tableau2[Borne],MATCH(Tableau3[[#This Row],[ID-CARTEVOIE]],Tableau2[ID-CARTEVOIE],0))&amp;""</f>
        <v>6B</v>
      </c>
      <c r="AN950" s="74" t="str">
        <f>Tableau3[[#This Row],[ID-API]]&amp;Tableau3[[#This Row],[ID-RACK]]&amp;Tableau3[[#This Row],[ID-SLOT]]&amp;Tableau3[[#This Row],[BORNE]]</f>
        <v>6186B</v>
      </c>
      <c r="AO950" s="1"/>
    </row>
    <row r="951" spans="1:41" ht="20.100000000000001" customHeight="1" thickTop="1" thickBot="1">
      <c r="A951" s="75"/>
      <c r="B951" s="76" t="str">
        <f>IFERROR(INDEX(Tableau4[Date],MATCH($A951,Tableau4[EVO],0)),"")</f>
        <v/>
      </c>
      <c r="C951" s="75" t="str">
        <f>IFERROR(INDEX(Tableau4[Designation],MATCH($A951,Tableau4[EVO],0)),"")</f>
        <v/>
      </c>
      <c r="D951" s="75"/>
      <c r="E951" s="79">
        <v>27</v>
      </c>
      <c r="F951" s="80">
        <v>101</v>
      </c>
      <c r="G951" s="102" t="str">
        <f>INDEX(Tableau8[Att1],MATCH(Tableau3[[#This Row],[ID-INS]],Tableau8[ID],0))&amp;""</f>
        <v>B22</v>
      </c>
      <c r="H951" s="102" t="str">
        <f>INDEX(Tableau8[Att2],MATCH(Tableau3[[#This Row],[ID-INS]],Tableau8[ID],0))&amp;""</f>
        <v>Réserve</v>
      </c>
      <c r="I951" s="102" t="str">
        <f>INDEX(Tableau8[Att3],MATCH(Tableau3[[#This Row],[ID-INS]],Tableau8[ID],0))&amp;""</f>
        <v>Réserve</v>
      </c>
      <c r="J951" s="102"/>
      <c r="K951" s="167" t="str">
        <f>INDEX(Tableau8[Nom du modele],MATCH(Tableau3[[#This Row],[ID-INS]],Tableau8[ID],0))&amp;""</f>
        <v>ARU</v>
      </c>
      <c r="L951" s="100" t="str">
        <f>INDEX(Tableau5[Att1],MATCH(Tableau3[[#This Row],[ID-SIG]],Tableau5[ID],0))&amp;""</f>
        <v>Decl2</v>
      </c>
      <c r="M951" s="100" t="str">
        <f>INDEX(Tableau5[Att2],MATCH(Tableau3[[#This Row],[ID-SIG]],Tableau5[ID],0))&amp;""</f>
        <v/>
      </c>
      <c r="N951" s="100" t="str">
        <f>INDEX(Tableau5[Att3],MATCH(Tableau3[[#This Row],[ID-SIG]],Tableau5[ID],0))&amp;""</f>
        <v/>
      </c>
      <c r="O951" s="100"/>
      <c r="P951" s="100" t="str">
        <f>INDEX(Tableau5[Description],MATCH(Tableau3[[#This Row],[ID-SIG]],Tableau5[ID],0))</f>
        <v>Déclenchement contact 2</v>
      </c>
      <c r="Q951" s="100"/>
      <c r="R951" s="104" t="str">
        <f>Tableau3[[#This Row],[Description]]</f>
        <v>Déclenchement contact 2</v>
      </c>
      <c r="U951" s="88">
        <v>6</v>
      </c>
      <c r="V951" s="88">
        <v>1</v>
      </c>
      <c r="W951" s="88">
        <v>8</v>
      </c>
      <c r="X951" s="88">
        <v>13</v>
      </c>
      <c r="Y951" s="40"/>
      <c r="Z951" s="166" t="str">
        <f>INDEX(Tableau2[TS],MATCH(Tableau3[[#This Row],[ID-CARTEVOIE]],Tableau2[ID-CARTEVOIE],0))</f>
        <v>ET</v>
      </c>
      <c r="AA951" s="81" t="s">
        <v>213</v>
      </c>
      <c r="AB951" s="226" t="str">
        <f>IFERROR(INDEX(Tableau5[Reserve],MATCH(Tableau3[[#This Row],[ID-SIG]],Tableau5[ID],0))&amp;"","")</f>
        <v/>
      </c>
      <c r="AC951" s="21"/>
      <c r="AD951" s="108" t="str">
        <f>INDEX(Tableau7[Repere],MATCH(Tableau3[[#This Row],[ID-API]],Tableau7[ID-API],0))&amp;""</f>
        <v>A6</v>
      </c>
      <c r="AE951" s="109" t="str">
        <f>INDEX(Tableau1[Repere-Rack],MATCH(Tableau3[[#This Row],[ID-RACK]],Tableau1[ID-RACK],0))&amp;""</f>
        <v>R1</v>
      </c>
      <c r="AF951" s="109" t="str">
        <f>INDEX(Tableau1[Repere-Slot],MATCH(Tableau3[[#This Row],[ID-SLOT]],Tableau1[ID-SLOT],0))&amp;""</f>
        <v>S8</v>
      </c>
      <c r="AG951" s="109" t="str">
        <f>INDEX(Tableau2[Repere-Voie],MATCH(Tableau3[[#This Row],[ID-VOIE]],Tableau2[ID-Voie],0))&amp;""</f>
        <v>v13</v>
      </c>
      <c r="AH951" s="72" t="str">
        <f>Tableau3[[#This Row],[ID-API]]&amp; "." &amp;Tableau3[[#This Row],[ID-RACK]]&amp; "." &amp;Tableau3[[#This Row],[ID-SLOT]]</f>
        <v>6.1.8</v>
      </c>
      <c r="AI951" s="72" t="str">
        <f>INDEX(Tableau1[Ref-Carte],MATCH(Tableau3[[#This Row],[ID-RRS]],Tableau1[ID-RRS],0))</f>
        <v>SDI1602</v>
      </c>
      <c r="AJ951" s="72" t="str">
        <f t="array" ref="AJ951">IFERROR(INDEX(Tableau2[TS],MATCH(1,(Tableau2[Ref-Carte]=Tableau3[[#This Row],[Ref-Carte2]])*(Tableau2[ID-Voie]=Tableau3[[#This Row],[ID-VOIE]]),0)),"")</f>
        <v>ET</v>
      </c>
      <c r="AK951" s="72" t="str">
        <f>IFERROR(INDEX(Tableau2[TS],SUMPRODUCT((Tableau2[Ref-Carte]=Tableau3[[#This Row],[Ref-Carte2]])*(Tableau2[ID-Voie]=Tableau3[[#This Row],[ID-VOIE]])*ROW(Tableau2[TS]))-ROW(Tableau2[#Headers])),"")</f>
        <v>ET</v>
      </c>
      <c r="AL951" s="72" t="str">
        <f>Tableau3[[#This Row],[Ref-Carte2]]&amp;"/"&amp;Tableau3[[#This Row],[ID-VOIE]]</f>
        <v>SDI1602/13</v>
      </c>
      <c r="AM951" s="77" t="str">
        <f>INDEX(Tableau2[Borne],MATCH(Tableau3[[#This Row],[ID-CARTEVOIE]],Tableau2[ID-CARTEVOIE],0))&amp;""</f>
        <v>6A</v>
      </c>
      <c r="AN951" s="74" t="str">
        <f>Tableau3[[#This Row],[ID-API]]&amp;Tableau3[[#This Row],[ID-RACK]]&amp;Tableau3[[#This Row],[ID-SLOT]]&amp;Tableau3[[#This Row],[BORNE]]</f>
        <v>6186A</v>
      </c>
      <c r="AO951" s="1"/>
    </row>
    <row r="952" spans="1:41" ht="20.100000000000001" customHeight="1" thickTop="1" thickBot="1">
      <c r="A952" s="75"/>
      <c r="B952" s="76" t="str">
        <f>IFERROR(INDEX(Tableau4[Date],MATCH($A952,Tableau4[EVO],0)),"")</f>
        <v/>
      </c>
      <c r="C952" s="75" t="str">
        <f>IFERROR(INDEX(Tableau4[Designation],MATCH($A952,Tableau4[EVO],0)),"")</f>
        <v/>
      </c>
      <c r="D952" s="75"/>
      <c r="E952" s="79">
        <v>28</v>
      </c>
      <c r="F952" s="80">
        <v>101</v>
      </c>
      <c r="G952" s="102" t="str">
        <f>INDEX(Tableau8[Att1],MATCH(Tableau3[[#This Row],[ID-INS]],Tableau8[ID],0))&amp;""</f>
        <v>B22</v>
      </c>
      <c r="H952" s="102" t="str">
        <f>INDEX(Tableau8[Att2],MATCH(Tableau3[[#This Row],[ID-INS]],Tableau8[ID],0))&amp;""</f>
        <v>Réserve</v>
      </c>
      <c r="I952" s="102" t="str">
        <f>INDEX(Tableau8[Att3],MATCH(Tableau3[[#This Row],[ID-INS]],Tableau8[ID],0))&amp;""</f>
        <v>Réserve</v>
      </c>
      <c r="J952" s="102"/>
      <c r="K952" s="167" t="str">
        <f>INDEX(Tableau8[Nom du modele],MATCH(Tableau3[[#This Row],[ID-INS]],Tableau8[ID],0))&amp;""</f>
        <v>ARU</v>
      </c>
      <c r="L952" s="100" t="str">
        <f>INDEX(Tableau5[Att1],MATCH(Tableau3[[#This Row],[ID-SIG]],Tableau5[ID],0))&amp;""</f>
        <v>Decl2</v>
      </c>
      <c r="M952" s="100" t="str">
        <f>INDEX(Tableau5[Att2],MATCH(Tableau3[[#This Row],[ID-SIG]],Tableau5[ID],0))&amp;""</f>
        <v/>
      </c>
      <c r="N952" s="100" t="str">
        <f>INDEX(Tableau5[Att3],MATCH(Tableau3[[#This Row],[ID-SIG]],Tableau5[ID],0))&amp;""</f>
        <v/>
      </c>
      <c r="O952" s="100"/>
      <c r="P952" s="100" t="str">
        <f>INDEX(Tableau5[Description],MATCH(Tableau3[[#This Row],[ID-SIG]],Tableau5[ID],0))</f>
        <v>Déclenchement contact 2</v>
      </c>
      <c r="Q952" s="100"/>
      <c r="R952" s="104" t="str">
        <f>Tableau3[[#This Row],[Description]]</f>
        <v>Déclenchement contact 2</v>
      </c>
      <c r="U952" s="88">
        <v>6</v>
      </c>
      <c r="V952" s="88">
        <v>1</v>
      </c>
      <c r="W952" s="88">
        <v>8</v>
      </c>
      <c r="X952" s="88">
        <v>14</v>
      </c>
      <c r="Y952" s="40"/>
      <c r="Z952" s="166" t="str">
        <f>INDEX(Tableau2[TS],MATCH(Tableau3[[#This Row],[ID-CARTEVOIE]],Tableau2[ID-CARTEVOIE],0))</f>
        <v>ET</v>
      </c>
      <c r="AA952" s="81" t="s">
        <v>213</v>
      </c>
      <c r="AB952" s="226" t="str">
        <f>IFERROR(INDEX(Tableau5[Reserve],MATCH(Tableau3[[#This Row],[ID-SIG]],Tableau5[ID],0))&amp;"","")</f>
        <v/>
      </c>
      <c r="AC952" s="21"/>
      <c r="AD952" s="108" t="str">
        <f>INDEX(Tableau7[Repere],MATCH(Tableau3[[#This Row],[ID-API]],Tableau7[ID-API],0))&amp;""</f>
        <v>A6</v>
      </c>
      <c r="AE952" s="109" t="str">
        <f>INDEX(Tableau1[Repere-Rack],MATCH(Tableau3[[#This Row],[ID-RACK]],Tableau1[ID-RACK],0))&amp;""</f>
        <v>R1</v>
      </c>
      <c r="AF952" s="109" t="str">
        <f>INDEX(Tableau1[Repere-Slot],MATCH(Tableau3[[#This Row],[ID-SLOT]],Tableau1[ID-SLOT],0))&amp;""</f>
        <v>S8</v>
      </c>
      <c r="AG952" s="109" t="str">
        <f>INDEX(Tableau2[Repere-Voie],MATCH(Tableau3[[#This Row],[ID-VOIE]],Tableau2[ID-Voie],0))&amp;""</f>
        <v>v14</v>
      </c>
      <c r="AH952" s="72" t="str">
        <f>Tableau3[[#This Row],[ID-API]]&amp; "." &amp;Tableau3[[#This Row],[ID-RACK]]&amp; "." &amp;Tableau3[[#This Row],[ID-SLOT]]</f>
        <v>6.1.8</v>
      </c>
      <c r="AI952" s="72" t="str">
        <f>INDEX(Tableau1[Ref-Carte],MATCH(Tableau3[[#This Row],[ID-RRS]],Tableau1[ID-RRS],0))</f>
        <v>SDI1602</v>
      </c>
      <c r="AJ952" s="72" t="str">
        <f t="array" ref="AJ952">IFERROR(INDEX(Tableau2[TS],MATCH(1,(Tableau2[Ref-Carte]=Tableau3[[#This Row],[Ref-Carte2]])*(Tableau2[ID-Voie]=Tableau3[[#This Row],[ID-VOIE]]),0)),"")</f>
        <v>ET</v>
      </c>
      <c r="AK952" s="72" t="str">
        <f>IFERROR(INDEX(Tableau2[TS],SUMPRODUCT((Tableau2[Ref-Carte]=Tableau3[[#This Row],[Ref-Carte2]])*(Tableau2[ID-Voie]=Tableau3[[#This Row],[ID-VOIE]])*ROW(Tableau2[TS]))-ROW(Tableau2[#Headers])),"")</f>
        <v>ET</v>
      </c>
      <c r="AL952" s="72" t="str">
        <f>Tableau3[[#This Row],[Ref-Carte2]]&amp;"/"&amp;Tableau3[[#This Row],[ID-VOIE]]</f>
        <v>SDI1602/14</v>
      </c>
      <c r="AM952" s="77" t="str">
        <f>INDEX(Tableau2[Borne],MATCH(Tableau3[[#This Row],[ID-CARTEVOIE]],Tableau2[ID-CARTEVOIE],0))&amp;""</f>
        <v>7B</v>
      </c>
      <c r="AN952" s="74" t="str">
        <f>Tableau3[[#This Row],[ID-API]]&amp;Tableau3[[#This Row],[ID-RACK]]&amp;Tableau3[[#This Row],[ID-SLOT]]&amp;Tableau3[[#This Row],[BORNE]]</f>
        <v>6187B</v>
      </c>
      <c r="AO952" s="1"/>
    </row>
    <row r="953" spans="1:41" ht="20.100000000000001" customHeight="1" thickTop="1" thickBot="1">
      <c r="A953" s="75"/>
      <c r="B953" s="76" t="str">
        <f>IFERROR(INDEX(Tableau4[Date],MATCH($A953,Tableau4[EVO],0)),"")</f>
        <v/>
      </c>
      <c r="C953" s="75" t="str">
        <f>IFERROR(INDEX(Tableau4[Designation],MATCH($A953,Tableau4[EVO],0)),"")</f>
        <v/>
      </c>
      <c r="D953" s="75"/>
      <c r="E953" s="79">
        <v>29</v>
      </c>
      <c r="F953" s="80">
        <v>101</v>
      </c>
      <c r="G953" s="102" t="str">
        <f>INDEX(Tableau8[Att1],MATCH(Tableau3[[#This Row],[ID-INS]],Tableau8[ID],0))&amp;""</f>
        <v>B22</v>
      </c>
      <c r="H953" s="102" t="str">
        <f>INDEX(Tableau8[Att2],MATCH(Tableau3[[#This Row],[ID-INS]],Tableau8[ID],0))&amp;""</f>
        <v>VIGIE_CDP2</v>
      </c>
      <c r="I953" s="102" t="str">
        <f>INDEX(Tableau8[Att3],MATCH(Tableau3[[#This Row],[ID-INS]],Tableau8[ID],0))&amp;""</f>
        <v>VIGIE CDP2</v>
      </c>
      <c r="J953" s="102"/>
      <c r="K953" s="167" t="str">
        <f>INDEX(Tableau8[Nom du modele],MATCH(Tableau3[[#This Row],[ID-INS]],Tableau8[ID],0))&amp;""</f>
        <v>ARU</v>
      </c>
      <c r="L953" s="100" t="str">
        <f>INDEX(Tableau5[Att1],MATCH(Tableau3[[#This Row],[ID-SIG]],Tableau5[ID],0))&amp;""</f>
        <v>Decl2</v>
      </c>
      <c r="M953" s="100" t="str">
        <f>INDEX(Tableau5[Att2],MATCH(Tableau3[[#This Row],[ID-SIG]],Tableau5[ID],0))&amp;""</f>
        <v/>
      </c>
      <c r="N953" s="100" t="str">
        <f>INDEX(Tableau5[Att3],MATCH(Tableau3[[#This Row],[ID-SIG]],Tableau5[ID],0))&amp;""</f>
        <v/>
      </c>
      <c r="O953" s="100"/>
      <c r="P953" s="100" t="str">
        <f>INDEX(Tableau5[Description],MATCH(Tableau3[[#This Row],[ID-SIG]],Tableau5[ID],0))</f>
        <v>Déclenchement contact 2</v>
      </c>
      <c r="Q953" s="100"/>
      <c r="R953" s="104" t="str">
        <f>Tableau3[[#This Row],[Description]]</f>
        <v>Déclenchement contact 2</v>
      </c>
      <c r="U953" s="88">
        <v>6</v>
      </c>
      <c r="V953" s="88">
        <v>1</v>
      </c>
      <c r="W953" s="88">
        <v>8</v>
      </c>
      <c r="X953" s="88">
        <v>15</v>
      </c>
      <c r="Y953" s="40"/>
      <c r="Z953" s="166" t="str">
        <f>INDEX(Tableau2[TS],MATCH(Tableau3[[#This Row],[ID-CARTEVOIE]],Tableau2[ID-CARTEVOIE],0))</f>
        <v>ET</v>
      </c>
      <c r="AA953" s="81" t="s">
        <v>213</v>
      </c>
      <c r="AB953" s="226" t="str">
        <f>IFERROR(INDEX(Tableau5[Reserve],MATCH(Tableau3[[#This Row],[ID-SIG]],Tableau5[ID],0))&amp;"","")</f>
        <v/>
      </c>
      <c r="AC953" s="21"/>
      <c r="AD953" s="108" t="str">
        <f>INDEX(Tableau7[Repere],MATCH(Tableau3[[#This Row],[ID-API]],Tableau7[ID-API],0))&amp;""</f>
        <v>A6</v>
      </c>
      <c r="AE953" s="109" t="str">
        <f>INDEX(Tableau1[Repere-Rack],MATCH(Tableau3[[#This Row],[ID-RACK]],Tableau1[ID-RACK],0))&amp;""</f>
        <v>R1</v>
      </c>
      <c r="AF953" s="109" t="str">
        <f>INDEX(Tableau1[Repere-Slot],MATCH(Tableau3[[#This Row],[ID-SLOT]],Tableau1[ID-SLOT],0))&amp;""</f>
        <v>S8</v>
      </c>
      <c r="AG953" s="109" t="str">
        <f>INDEX(Tableau2[Repere-Voie],MATCH(Tableau3[[#This Row],[ID-VOIE]],Tableau2[ID-Voie],0))&amp;""</f>
        <v>v15</v>
      </c>
      <c r="AH953" s="72" t="str">
        <f>Tableau3[[#This Row],[ID-API]]&amp; "." &amp;Tableau3[[#This Row],[ID-RACK]]&amp; "." &amp;Tableau3[[#This Row],[ID-SLOT]]</f>
        <v>6.1.8</v>
      </c>
      <c r="AI953" s="72" t="str">
        <f>INDEX(Tableau1[Ref-Carte],MATCH(Tableau3[[#This Row],[ID-RRS]],Tableau1[ID-RRS],0))</f>
        <v>SDI1602</v>
      </c>
      <c r="AJ953" s="72" t="str">
        <f t="array" ref="AJ953">IFERROR(INDEX(Tableau2[TS],MATCH(1,(Tableau2[Ref-Carte]=Tableau3[[#This Row],[Ref-Carte2]])*(Tableau2[ID-Voie]=Tableau3[[#This Row],[ID-VOIE]]),0)),"")</f>
        <v>ET</v>
      </c>
      <c r="AK953" s="72" t="str">
        <f>IFERROR(INDEX(Tableau2[TS],SUMPRODUCT((Tableau2[Ref-Carte]=Tableau3[[#This Row],[Ref-Carte2]])*(Tableau2[ID-Voie]=Tableau3[[#This Row],[ID-VOIE]])*ROW(Tableau2[TS]))-ROW(Tableau2[#Headers])),"")</f>
        <v>ET</v>
      </c>
      <c r="AL953" s="72" t="str">
        <f>Tableau3[[#This Row],[Ref-Carte2]]&amp;"/"&amp;Tableau3[[#This Row],[ID-VOIE]]</f>
        <v>SDI1602/15</v>
      </c>
      <c r="AM953" s="77" t="str">
        <f>INDEX(Tableau2[Borne],MATCH(Tableau3[[#This Row],[ID-CARTEVOIE]],Tableau2[ID-CARTEVOIE],0))&amp;""</f>
        <v>7A</v>
      </c>
      <c r="AN953" s="74" t="str">
        <f>Tableau3[[#This Row],[ID-API]]&amp;Tableau3[[#This Row],[ID-RACK]]&amp;Tableau3[[#This Row],[ID-SLOT]]&amp;Tableau3[[#This Row],[BORNE]]</f>
        <v>6187A</v>
      </c>
      <c r="AO953" s="1"/>
    </row>
    <row r="954" spans="1:41" ht="20.100000000000001" customHeight="1" thickTop="1" thickBot="1">
      <c r="A954" s="68"/>
      <c r="B954" s="69" t="str">
        <f>IFERROR(INDEX(Tableau4[Date],MATCH($A954,Tableau4[EVO],0)),"")</f>
        <v/>
      </c>
      <c r="C954" s="68" t="str">
        <f>IFERROR(INDEX(Tableau4[Designation],MATCH($A954,Tableau4[EVO],0)),"")</f>
        <v/>
      </c>
      <c r="D954" s="68"/>
      <c r="E954" s="70">
        <v>30</v>
      </c>
      <c r="F954" s="71">
        <v>101</v>
      </c>
      <c r="G954" s="101" t="str">
        <f>INDEX(Tableau8[Att1],MATCH(Tableau3[[#This Row],[ID-INS]],Tableau8[ID],0))&amp;""</f>
        <v>B22</v>
      </c>
      <c r="H954" s="101" t="str">
        <f>INDEX(Tableau8[Att2],MATCH(Tableau3[[#This Row],[ID-INS]],Tableau8[ID],0))&amp;""</f>
        <v>Réserve</v>
      </c>
      <c r="I954" s="101" t="str">
        <f>INDEX(Tableau8[Att3],MATCH(Tableau3[[#This Row],[ID-INS]],Tableau8[ID],0))&amp;""</f>
        <v>Réserve</v>
      </c>
      <c r="J954" s="101"/>
      <c r="K954" s="167" t="str">
        <f>INDEX(Tableau8[Nom du modele],MATCH(Tableau3[[#This Row],[ID-INS]],Tableau8[ID],0))&amp;""</f>
        <v>ARU</v>
      </c>
      <c r="L954" s="99" t="str">
        <f>INDEX(Tableau5[Att1],MATCH(Tableau3[[#This Row],[ID-SIG]],Tableau5[ID],0))&amp;""</f>
        <v>Decl2</v>
      </c>
      <c r="M954" s="99" t="str">
        <f>INDEX(Tableau5[Att2],MATCH(Tableau3[[#This Row],[ID-SIG]],Tableau5[ID],0))&amp;""</f>
        <v/>
      </c>
      <c r="N954" s="99" t="str">
        <f>INDEX(Tableau5[Att3],MATCH(Tableau3[[#This Row],[ID-SIG]],Tableau5[ID],0))&amp;""</f>
        <v/>
      </c>
      <c r="O954" s="99"/>
      <c r="P954" s="99" t="str">
        <f>INDEX(Tableau5[Description],MATCH(Tableau3[[#This Row],[ID-SIG]],Tableau5[ID],0))</f>
        <v>Déclenchement contact 2</v>
      </c>
      <c r="Q954" s="99"/>
      <c r="R954" s="103" t="str">
        <f>Tableau3[[#This Row],[Description]]</f>
        <v>Déclenchement contact 2</v>
      </c>
      <c r="U954" s="87">
        <v>6</v>
      </c>
      <c r="V954" s="87">
        <v>1</v>
      </c>
      <c r="W954" s="87">
        <v>9</v>
      </c>
      <c r="X954" s="87">
        <v>0</v>
      </c>
      <c r="Y954" s="40"/>
      <c r="Z954" s="165" t="str">
        <f>INDEX(Tableau2[TS],MATCH(Tableau3[[#This Row],[ID-CARTEVOIE]],Tableau2[ID-CARTEVOIE],0))</f>
        <v>ET</v>
      </c>
      <c r="AA954" s="53" t="s">
        <v>213</v>
      </c>
      <c r="AB954" s="223" t="str">
        <f>IFERROR(INDEX(Tableau5[Reserve],MATCH(Tableau3[[#This Row],[ID-SIG]],Tableau5[ID],0))&amp;"","")</f>
        <v/>
      </c>
      <c r="AC954" s="21"/>
      <c r="AD954" s="108" t="str">
        <f>INDEX(Tableau7[Repere],MATCH(Tableau3[[#This Row],[ID-API]],Tableau7[ID-API],0))&amp;""</f>
        <v>A6</v>
      </c>
      <c r="AE954" s="108" t="str">
        <f>INDEX(Tableau1[Repere-Rack],MATCH(Tableau3[[#This Row],[ID-RACK]],Tableau1[ID-RACK],0))&amp;""</f>
        <v>R1</v>
      </c>
      <c r="AF954" s="108" t="str">
        <f>INDEX(Tableau1[Repere-Slot],MATCH(Tableau3[[#This Row],[ID-SLOT]],Tableau1[ID-SLOT],0))&amp;""</f>
        <v>S9</v>
      </c>
      <c r="AG954" s="108" t="str">
        <f>INDEX(Tableau2[Repere-Voie],MATCH(Tableau3[[#This Row],[ID-VOIE]],Tableau2[ID-Voie],0))&amp;""</f>
        <v>v0</v>
      </c>
      <c r="AH954" s="72" t="str">
        <f>Tableau3[[#This Row],[ID-API]]&amp; "." &amp;Tableau3[[#This Row],[ID-RACK]]&amp; "." &amp;Tableau3[[#This Row],[ID-SLOT]]</f>
        <v>6.1.9</v>
      </c>
      <c r="AI954" s="72" t="str">
        <f>INDEX(Tableau1[Ref-Carte],MATCH(Tableau3[[#This Row],[ID-RRS]],Tableau1[ID-RRS],0))</f>
        <v>SDI1602</v>
      </c>
      <c r="AJ954" s="72" t="str">
        <f t="array" ref="AJ954">IFERROR(INDEX(Tableau2[TS],MATCH(1,(Tableau2[Ref-Carte]=Tableau3[[#This Row],[Ref-Carte2]])*(Tableau2[ID-Voie]=Tableau3[[#This Row],[ID-VOIE]]),0)),"")</f>
        <v>ET</v>
      </c>
      <c r="AK954" s="72" t="str">
        <f>IFERROR(INDEX(Tableau2[TS],SUMPRODUCT((Tableau2[Ref-Carte]=Tableau3[[#This Row],[Ref-Carte2]])*(Tableau2[ID-Voie]=Tableau3[[#This Row],[ID-VOIE]])*ROW(Tableau2[TS]))-ROW(Tableau2[#Headers])),"")</f>
        <v>ET</v>
      </c>
      <c r="AL954" s="72" t="str">
        <f>Tableau3[[#This Row],[Ref-Carte2]]&amp;"/"&amp;Tableau3[[#This Row],[ID-VOIE]]</f>
        <v>SDI1602/0</v>
      </c>
      <c r="AM954" s="73" t="str">
        <f>INDEX(Tableau2[Borne],MATCH(Tableau3[[#This Row],[ID-CARTEVOIE]],Tableau2[ID-CARTEVOIE],0))&amp;""</f>
        <v>0B</v>
      </c>
      <c r="AN954" s="74" t="str">
        <f>Tableau3[[#This Row],[ID-API]]&amp;Tableau3[[#This Row],[ID-RACK]]&amp;Tableau3[[#This Row],[ID-SLOT]]&amp;Tableau3[[#This Row],[BORNE]]</f>
        <v>6190B</v>
      </c>
      <c r="AO954" s="1"/>
    </row>
    <row r="955" spans="1:41" ht="20.100000000000001" customHeight="1" thickTop="1" thickBot="1">
      <c r="A955" s="68"/>
      <c r="B955" s="69" t="str">
        <f>IFERROR(INDEX(Tableau4[Date],MATCH($A955,Tableau4[EVO],0)),"")</f>
        <v/>
      </c>
      <c r="C955" s="68" t="str">
        <f>IFERROR(INDEX(Tableau4[Designation],MATCH($A955,Tableau4[EVO],0)),"")</f>
        <v/>
      </c>
      <c r="D955" s="68"/>
      <c r="E955" s="70">
        <v>31</v>
      </c>
      <c r="F955" s="71">
        <v>101</v>
      </c>
      <c r="G955" s="101" t="str">
        <f>INDEX(Tableau8[Att1],MATCH(Tableau3[[#This Row],[ID-INS]],Tableau8[ID],0))&amp;""</f>
        <v>B22</v>
      </c>
      <c r="H955" s="101" t="str">
        <f>INDEX(Tableau8[Att2],MATCH(Tableau3[[#This Row],[ID-INS]],Tableau8[ID],0))&amp;""</f>
        <v>Réserve</v>
      </c>
      <c r="I955" s="101" t="str">
        <f>INDEX(Tableau8[Att3],MATCH(Tableau3[[#This Row],[ID-INS]],Tableau8[ID],0))&amp;""</f>
        <v>Réserve</v>
      </c>
      <c r="J955" s="101"/>
      <c r="K955" s="167" t="str">
        <f>INDEX(Tableau8[Nom du modele],MATCH(Tableau3[[#This Row],[ID-INS]],Tableau8[ID],0))&amp;""</f>
        <v>ARU</v>
      </c>
      <c r="L955" s="99" t="str">
        <f>INDEX(Tableau5[Att1],MATCH(Tableau3[[#This Row],[ID-SIG]],Tableau5[ID],0))&amp;""</f>
        <v>Decl2</v>
      </c>
      <c r="M955" s="99" t="str">
        <f>INDEX(Tableau5[Att2],MATCH(Tableau3[[#This Row],[ID-SIG]],Tableau5[ID],0))&amp;""</f>
        <v/>
      </c>
      <c r="N955" s="99" t="str">
        <f>INDEX(Tableau5[Att3],MATCH(Tableau3[[#This Row],[ID-SIG]],Tableau5[ID],0))&amp;""</f>
        <v/>
      </c>
      <c r="O955" s="99"/>
      <c r="P955" s="99" t="str">
        <f>INDEX(Tableau5[Description],MATCH(Tableau3[[#This Row],[ID-SIG]],Tableau5[ID],0))</f>
        <v>Déclenchement contact 2</v>
      </c>
      <c r="Q955" s="99"/>
      <c r="R955" s="103" t="str">
        <f>Tableau3[[#This Row],[Description]]</f>
        <v>Déclenchement contact 2</v>
      </c>
      <c r="U955" s="87">
        <v>6</v>
      </c>
      <c r="V955" s="87">
        <v>1</v>
      </c>
      <c r="W955" s="87">
        <v>9</v>
      </c>
      <c r="X955" s="87">
        <v>1</v>
      </c>
      <c r="Y955" s="40"/>
      <c r="Z955" s="165" t="str">
        <f>INDEX(Tableau2[TS],MATCH(Tableau3[[#This Row],[ID-CARTEVOIE]],Tableau2[ID-CARTEVOIE],0))</f>
        <v>ET</v>
      </c>
      <c r="AA955" s="53" t="s">
        <v>213</v>
      </c>
      <c r="AB955" s="223" t="str">
        <f>IFERROR(INDEX(Tableau5[Reserve],MATCH(Tableau3[[#This Row],[ID-SIG]],Tableau5[ID],0))&amp;"","")</f>
        <v/>
      </c>
      <c r="AC955" s="21"/>
      <c r="AD955" s="108" t="str">
        <f>INDEX(Tableau7[Repere],MATCH(Tableau3[[#This Row],[ID-API]],Tableau7[ID-API],0))&amp;""</f>
        <v>A6</v>
      </c>
      <c r="AE955" s="108" t="str">
        <f>INDEX(Tableau1[Repere-Rack],MATCH(Tableau3[[#This Row],[ID-RACK]],Tableau1[ID-RACK],0))&amp;""</f>
        <v>R1</v>
      </c>
      <c r="AF955" s="108" t="str">
        <f>INDEX(Tableau1[Repere-Slot],MATCH(Tableau3[[#This Row],[ID-SLOT]],Tableau1[ID-SLOT],0))&amp;""</f>
        <v>S9</v>
      </c>
      <c r="AG955" s="108" t="str">
        <f>INDEX(Tableau2[Repere-Voie],MATCH(Tableau3[[#This Row],[ID-VOIE]],Tableau2[ID-Voie],0))&amp;""</f>
        <v>v1</v>
      </c>
      <c r="AH955" s="72" t="str">
        <f>Tableau3[[#This Row],[ID-API]]&amp; "." &amp;Tableau3[[#This Row],[ID-RACK]]&amp; "." &amp;Tableau3[[#This Row],[ID-SLOT]]</f>
        <v>6.1.9</v>
      </c>
      <c r="AI955" s="72" t="str">
        <f>INDEX(Tableau1[Ref-Carte],MATCH(Tableau3[[#This Row],[ID-RRS]],Tableau1[ID-RRS],0))</f>
        <v>SDI1602</v>
      </c>
      <c r="AJ955" s="72" t="str">
        <f t="array" ref="AJ955">IFERROR(INDEX(Tableau2[TS],MATCH(1,(Tableau2[Ref-Carte]=Tableau3[[#This Row],[Ref-Carte2]])*(Tableau2[ID-Voie]=Tableau3[[#This Row],[ID-VOIE]]),0)),"")</f>
        <v>ET</v>
      </c>
      <c r="AK955" s="72" t="str">
        <f>IFERROR(INDEX(Tableau2[TS],SUMPRODUCT((Tableau2[Ref-Carte]=Tableau3[[#This Row],[Ref-Carte2]])*(Tableau2[ID-Voie]=Tableau3[[#This Row],[ID-VOIE]])*ROW(Tableau2[TS]))-ROW(Tableau2[#Headers])),"")</f>
        <v>ET</v>
      </c>
      <c r="AL955" s="72" t="str">
        <f>Tableau3[[#This Row],[Ref-Carte2]]&amp;"/"&amp;Tableau3[[#This Row],[ID-VOIE]]</f>
        <v>SDI1602/1</v>
      </c>
      <c r="AM955" s="73" t="str">
        <f>INDEX(Tableau2[Borne],MATCH(Tableau3[[#This Row],[ID-CARTEVOIE]],Tableau2[ID-CARTEVOIE],0))&amp;""</f>
        <v>0A</v>
      </c>
      <c r="AN955" s="74" t="str">
        <f>Tableau3[[#This Row],[ID-API]]&amp;Tableau3[[#This Row],[ID-RACK]]&amp;Tableau3[[#This Row],[ID-SLOT]]&amp;Tableau3[[#This Row],[BORNE]]</f>
        <v>6190A</v>
      </c>
      <c r="AO955" s="1"/>
    </row>
    <row r="956" spans="1:41" ht="20.100000000000001" customHeight="1" thickTop="1" thickBot="1">
      <c r="A956" s="68"/>
      <c r="B956" s="69" t="str">
        <f>IFERROR(INDEX(Tableau4[Date],MATCH($A956,Tableau4[EVO],0)),"")</f>
        <v/>
      </c>
      <c r="C956" s="68" t="str">
        <f>IFERROR(INDEX(Tableau4[Designation],MATCH($A956,Tableau4[EVO],0)),"")</f>
        <v/>
      </c>
      <c r="D956" s="68"/>
      <c r="E956" s="70">
        <v>32</v>
      </c>
      <c r="F956" s="71">
        <v>101</v>
      </c>
      <c r="G956" s="101" t="str">
        <f>INDEX(Tableau8[Att1],MATCH(Tableau3[[#This Row],[ID-INS]],Tableau8[ID],0))&amp;""</f>
        <v>B22</v>
      </c>
      <c r="H956" s="101" t="str">
        <f>INDEX(Tableau8[Att2],MATCH(Tableau3[[#This Row],[ID-INS]],Tableau8[ID],0))&amp;""</f>
        <v>Réserve</v>
      </c>
      <c r="I956" s="101" t="str">
        <f>INDEX(Tableau8[Att3],MATCH(Tableau3[[#This Row],[ID-INS]],Tableau8[ID],0))&amp;""</f>
        <v>Réserve</v>
      </c>
      <c r="J956" s="101"/>
      <c r="K956" s="167" t="str">
        <f>INDEX(Tableau8[Nom du modele],MATCH(Tableau3[[#This Row],[ID-INS]],Tableau8[ID],0))&amp;""</f>
        <v>ARU</v>
      </c>
      <c r="L956" s="99" t="str">
        <f>INDEX(Tableau5[Att1],MATCH(Tableau3[[#This Row],[ID-SIG]],Tableau5[ID],0))&amp;""</f>
        <v>Decl2</v>
      </c>
      <c r="M956" s="99" t="str">
        <f>INDEX(Tableau5[Att2],MATCH(Tableau3[[#This Row],[ID-SIG]],Tableau5[ID],0))&amp;""</f>
        <v/>
      </c>
      <c r="N956" s="99" t="str">
        <f>INDEX(Tableau5[Att3],MATCH(Tableau3[[#This Row],[ID-SIG]],Tableau5[ID],0))&amp;""</f>
        <v/>
      </c>
      <c r="O956" s="99"/>
      <c r="P956" s="99" t="str">
        <f>INDEX(Tableau5[Description],MATCH(Tableau3[[#This Row],[ID-SIG]],Tableau5[ID],0))</f>
        <v>Déclenchement contact 2</v>
      </c>
      <c r="Q956" s="99"/>
      <c r="R956" s="103" t="str">
        <f>Tableau3[[#This Row],[Description]]</f>
        <v>Déclenchement contact 2</v>
      </c>
      <c r="U956" s="87">
        <v>6</v>
      </c>
      <c r="V956" s="87">
        <v>1</v>
      </c>
      <c r="W956" s="87">
        <v>9</v>
      </c>
      <c r="X956" s="87">
        <v>2</v>
      </c>
      <c r="Y956" s="40"/>
      <c r="Z956" s="165" t="str">
        <f>INDEX(Tableau2[TS],MATCH(Tableau3[[#This Row],[ID-CARTEVOIE]],Tableau2[ID-CARTEVOIE],0))</f>
        <v>ET</v>
      </c>
      <c r="AA956" s="53" t="s">
        <v>213</v>
      </c>
      <c r="AB956" s="223" t="str">
        <f>IFERROR(INDEX(Tableau5[Reserve],MATCH(Tableau3[[#This Row],[ID-SIG]],Tableau5[ID],0))&amp;"","")</f>
        <v/>
      </c>
      <c r="AC956" s="21"/>
      <c r="AD956" s="108" t="str">
        <f>INDEX(Tableau7[Repere],MATCH(Tableau3[[#This Row],[ID-API]],Tableau7[ID-API],0))&amp;""</f>
        <v>A6</v>
      </c>
      <c r="AE956" s="108" t="str">
        <f>INDEX(Tableau1[Repere-Rack],MATCH(Tableau3[[#This Row],[ID-RACK]],Tableau1[ID-RACK],0))&amp;""</f>
        <v>R1</v>
      </c>
      <c r="AF956" s="108" t="str">
        <f>INDEX(Tableau1[Repere-Slot],MATCH(Tableau3[[#This Row],[ID-SLOT]],Tableau1[ID-SLOT],0))&amp;""</f>
        <v>S9</v>
      </c>
      <c r="AG956" s="108" t="str">
        <f>INDEX(Tableau2[Repere-Voie],MATCH(Tableau3[[#This Row],[ID-VOIE]],Tableau2[ID-Voie],0))&amp;""</f>
        <v>v2</v>
      </c>
      <c r="AH956" s="72" t="str">
        <f>Tableau3[[#This Row],[ID-API]]&amp; "." &amp;Tableau3[[#This Row],[ID-RACK]]&amp; "." &amp;Tableau3[[#This Row],[ID-SLOT]]</f>
        <v>6.1.9</v>
      </c>
      <c r="AI956" s="72" t="str">
        <f>INDEX(Tableau1[Ref-Carte],MATCH(Tableau3[[#This Row],[ID-RRS]],Tableau1[ID-RRS],0))</f>
        <v>SDI1602</v>
      </c>
      <c r="AJ956" s="72" t="str">
        <f t="array" ref="AJ956">IFERROR(INDEX(Tableau2[TS],MATCH(1,(Tableau2[Ref-Carte]=Tableau3[[#This Row],[Ref-Carte2]])*(Tableau2[ID-Voie]=Tableau3[[#This Row],[ID-VOIE]]),0)),"")</f>
        <v>ET</v>
      </c>
      <c r="AK956" s="72" t="str">
        <f>IFERROR(INDEX(Tableau2[TS],SUMPRODUCT((Tableau2[Ref-Carte]=Tableau3[[#This Row],[Ref-Carte2]])*(Tableau2[ID-Voie]=Tableau3[[#This Row],[ID-VOIE]])*ROW(Tableau2[TS]))-ROW(Tableau2[#Headers])),"")</f>
        <v>ET</v>
      </c>
      <c r="AL956" s="72" t="str">
        <f>Tableau3[[#This Row],[Ref-Carte2]]&amp;"/"&amp;Tableau3[[#This Row],[ID-VOIE]]</f>
        <v>SDI1602/2</v>
      </c>
      <c r="AM956" s="73" t="str">
        <f>INDEX(Tableau2[Borne],MATCH(Tableau3[[#This Row],[ID-CARTEVOIE]],Tableau2[ID-CARTEVOIE],0))&amp;""</f>
        <v>1B</v>
      </c>
      <c r="AN956" s="74" t="str">
        <f>Tableau3[[#This Row],[ID-API]]&amp;Tableau3[[#This Row],[ID-RACK]]&amp;Tableau3[[#This Row],[ID-SLOT]]&amp;Tableau3[[#This Row],[BORNE]]</f>
        <v>6191B</v>
      </c>
      <c r="AO956" s="1"/>
    </row>
    <row r="957" spans="1:41" ht="20.100000000000001" customHeight="1" thickTop="1" thickBot="1">
      <c r="A957" s="68"/>
      <c r="B957" s="69" t="str">
        <f>IFERROR(INDEX(Tableau4[Date],MATCH($A957,Tableau4[EVO],0)),"")</f>
        <v/>
      </c>
      <c r="C957" s="68" t="str">
        <f>IFERROR(INDEX(Tableau4[Designation],MATCH($A957,Tableau4[EVO],0)),"")</f>
        <v/>
      </c>
      <c r="D957" s="68"/>
      <c r="E957" s="70">
        <v>33</v>
      </c>
      <c r="F957" s="71">
        <v>101</v>
      </c>
      <c r="G957" s="101" t="str">
        <f>INDEX(Tableau8[Att1],MATCH(Tableau3[[#This Row],[ID-INS]],Tableau8[ID],0))&amp;""</f>
        <v>B22</v>
      </c>
      <c r="H957" s="101" t="str">
        <f>INDEX(Tableau8[Att2],MATCH(Tableau3[[#This Row],[ID-INS]],Tableau8[ID],0))&amp;""</f>
        <v>Réserve</v>
      </c>
      <c r="I957" s="101" t="str">
        <f>INDEX(Tableau8[Att3],MATCH(Tableau3[[#This Row],[ID-INS]],Tableau8[ID],0))&amp;""</f>
        <v>Réserve</v>
      </c>
      <c r="J957" s="101"/>
      <c r="K957" s="167" t="str">
        <f>INDEX(Tableau8[Nom du modele],MATCH(Tableau3[[#This Row],[ID-INS]],Tableau8[ID],0))&amp;""</f>
        <v>ARU</v>
      </c>
      <c r="L957" s="99" t="str">
        <f>INDEX(Tableau5[Att1],MATCH(Tableau3[[#This Row],[ID-SIG]],Tableau5[ID],0))&amp;""</f>
        <v>Decl2</v>
      </c>
      <c r="M957" s="99" t="str">
        <f>INDEX(Tableau5[Att2],MATCH(Tableau3[[#This Row],[ID-SIG]],Tableau5[ID],0))&amp;""</f>
        <v/>
      </c>
      <c r="N957" s="99" t="str">
        <f>INDEX(Tableau5[Att3],MATCH(Tableau3[[#This Row],[ID-SIG]],Tableau5[ID],0))&amp;""</f>
        <v/>
      </c>
      <c r="O957" s="99"/>
      <c r="P957" s="99" t="str">
        <f>INDEX(Tableau5[Description],MATCH(Tableau3[[#This Row],[ID-SIG]],Tableau5[ID],0))</f>
        <v>Déclenchement contact 2</v>
      </c>
      <c r="Q957" s="99"/>
      <c r="R957" s="103" t="str">
        <f>Tableau3[[#This Row],[Description]]</f>
        <v>Déclenchement contact 2</v>
      </c>
      <c r="U957" s="87">
        <v>6</v>
      </c>
      <c r="V957" s="87">
        <v>1</v>
      </c>
      <c r="W957" s="87">
        <v>9</v>
      </c>
      <c r="X957" s="87">
        <v>3</v>
      </c>
      <c r="Y957" s="40"/>
      <c r="Z957" s="165" t="str">
        <f>INDEX(Tableau2[TS],MATCH(Tableau3[[#This Row],[ID-CARTEVOIE]],Tableau2[ID-CARTEVOIE],0))</f>
        <v>ET</v>
      </c>
      <c r="AA957" s="53" t="s">
        <v>213</v>
      </c>
      <c r="AB957" s="223" t="str">
        <f>IFERROR(INDEX(Tableau5[Reserve],MATCH(Tableau3[[#This Row],[ID-SIG]],Tableau5[ID],0))&amp;"","")</f>
        <v/>
      </c>
      <c r="AC957" s="21"/>
      <c r="AD957" s="108" t="str">
        <f>INDEX(Tableau7[Repere],MATCH(Tableau3[[#This Row],[ID-API]],Tableau7[ID-API],0))&amp;""</f>
        <v>A6</v>
      </c>
      <c r="AE957" s="108" t="str">
        <f>INDEX(Tableau1[Repere-Rack],MATCH(Tableau3[[#This Row],[ID-RACK]],Tableau1[ID-RACK],0))&amp;""</f>
        <v>R1</v>
      </c>
      <c r="AF957" s="108" t="str">
        <f>INDEX(Tableau1[Repere-Slot],MATCH(Tableau3[[#This Row],[ID-SLOT]],Tableau1[ID-SLOT],0))&amp;""</f>
        <v>S9</v>
      </c>
      <c r="AG957" s="108" t="str">
        <f>INDEX(Tableau2[Repere-Voie],MATCH(Tableau3[[#This Row],[ID-VOIE]],Tableau2[ID-Voie],0))&amp;""</f>
        <v>v3</v>
      </c>
      <c r="AH957" s="72" t="str">
        <f>Tableau3[[#This Row],[ID-API]]&amp; "." &amp;Tableau3[[#This Row],[ID-RACK]]&amp; "." &amp;Tableau3[[#This Row],[ID-SLOT]]</f>
        <v>6.1.9</v>
      </c>
      <c r="AI957" s="72" t="str">
        <f>INDEX(Tableau1[Ref-Carte],MATCH(Tableau3[[#This Row],[ID-RRS]],Tableau1[ID-RRS],0))</f>
        <v>SDI1602</v>
      </c>
      <c r="AJ957" s="72" t="str">
        <f t="array" ref="AJ957">IFERROR(INDEX(Tableau2[TS],MATCH(1,(Tableau2[Ref-Carte]=Tableau3[[#This Row],[Ref-Carte2]])*(Tableau2[ID-Voie]=Tableau3[[#This Row],[ID-VOIE]]),0)),"")</f>
        <v>ET</v>
      </c>
      <c r="AK957" s="72" t="str">
        <f>IFERROR(INDEX(Tableau2[TS],SUMPRODUCT((Tableau2[Ref-Carte]=Tableau3[[#This Row],[Ref-Carte2]])*(Tableau2[ID-Voie]=Tableau3[[#This Row],[ID-VOIE]])*ROW(Tableau2[TS]))-ROW(Tableau2[#Headers])),"")</f>
        <v>ET</v>
      </c>
      <c r="AL957" s="72" t="str">
        <f>Tableau3[[#This Row],[Ref-Carte2]]&amp;"/"&amp;Tableau3[[#This Row],[ID-VOIE]]</f>
        <v>SDI1602/3</v>
      </c>
      <c r="AM957" s="73" t="str">
        <f>INDEX(Tableau2[Borne],MATCH(Tableau3[[#This Row],[ID-CARTEVOIE]],Tableau2[ID-CARTEVOIE],0))&amp;""</f>
        <v>1A</v>
      </c>
      <c r="AN957" s="74" t="str">
        <f>Tableau3[[#This Row],[ID-API]]&amp;Tableau3[[#This Row],[ID-RACK]]&amp;Tableau3[[#This Row],[ID-SLOT]]&amp;Tableau3[[#This Row],[BORNE]]</f>
        <v>6191A</v>
      </c>
      <c r="AO957" s="1"/>
    </row>
    <row r="958" spans="1:41" ht="20.100000000000001" customHeight="1" thickTop="1" thickBot="1">
      <c r="A958" s="68"/>
      <c r="B958" s="69" t="str">
        <f>IFERROR(INDEX(Tableau4[Date],MATCH($A958,Tableau4[EVO],0)),"")</f>
        <v/>
      </c>
      <c r="C958" s="68" t="str">
        <f>IFERROR(INDEX(Tableau4[Designation],MATCH($A958,Tableau4[EVO],0)),"")</f>
        <v/>
      </c>
      <c r="D958" s="68"/>
      <c r="E958" s="70">
        <v>34</v>
      </c>
      <c r="F958" s="71">
        <v>101</v>
      </c>
      <c r="G958" s="101" t="str">
        <f>INDEX(Tableau8[Att1],MATCH(Tableau3[[#This Row],[ID-INS]],Tableau8[ID],0))&amp;""</f>
        <v>B22</v>
      </c>
      <c r="H958" s="101" t="str">
        <f>INDEX(Tableau8[Att2],MATCH(Tableau3[[#This Row],[ID-INS]],Tableau8[ID],0))&amp;""</f>
        <v>Réserve</v>
      </c>
      <c r="I958" s="101" t="str">
        <f>INDEX(Tableau8[Att3],MATCH(Tableau3[[#This Row],[ID-INS]],Tableau8[ID],0))&amp;""</f>
        <v>Réserve</v>
      </c>
      <c r="J958" s="101"/>
      <c r="K958" s="167" t="str">
        <f>INDEX(Tableau8[Nom du modele],MATCH(Tableau3[[#This Row],[ID-INS]],Tableau8[ID],0))&amp;""</f>
        <v>ARU</v>
      </c>
      <c r="L958" s="99" t="str">
        <f>INDEX(Tableau5[Att1],MATCH(Tableau3[[#This Row],[ID-SIG]],Tableau5[ID],0))&amp;""</f>
        <v>Decl2</v>
      </c>
      <c r="M958" s="99" t="str">
        <f>INDEX(Tableau5[Att2],MATCH(Tableau3[[#This Row],[ID-SIG]],Tableau5[ID],0))&amp;""</f>
        <v/>
      </c>
      <c r="N958" s="99" t="str">
        <f>INDEX(Tableau5[Att3],MATCH(Tableau3[[#This Row],[ID-SIG]],Tableau5[ID],0))&amp;""</f>
        <v/>
      </c>
      <c r="O958" s="99"/>
      <c r="P958" s="99" t="str">
        <f>INDEX(Tableau5[Description],MATCH(Tableau3[[#This Row],[ID-SIG]],Tableau5[ID],0))</f>
        <v>Déclenchement contact 2</v>
      </c>
      <c r="Q958" s="99"/>
      <c r="R958" s="103" t="str">
        <f>Tableau3[[#This Row],[Description]]</f>
        <v>Déclenchement contact 2</v>
      </c>
      <c r="U958" s="87">
        <v>6</v>
      </c>
      <c r="V958" s="87">
        <v>1</v>
      </c>
      <c r="W958" s="87">
        <v>9</v>
      </c>
      <c r="X958" s="87">
        <v>4</v>
      </c>
      <c r="Y958" s="40"/>
      <c r="Z958" s="165" t="str">
        <f>INDEX(Tableau2[TS],MATCH(Tableau3[[#This Row],[ID-CARTEVOIE]],Tableau2[ID-CARTEVOIE],0))</f>
        <v>ET</v>
      </c>
      <c r="AA958" s="53" t="s">
        <v>213</v>
      </c>
      <c r="AB958" s="223" t="str">
        <f>IFERROR(INDEX(Tableau5[Reserve],MATCH(Tableau3[[#This Row],[ID-SIG]],Tableau5[ID],0))&amp;"","")</f>
        <v/>
      </c>
      <c r="AC958" s="21"/>
      <c r="AD958" s="108" t="str">
        <f>INDEX(Tableau7[Repere],MATCH(Tableau3[[#This Row],[ID-API]],Tableau7[ID-API],0))&amp;""</f>
        <v>A6</v>
      </c>
      <c r="AE958" s="108" t="str">
        <f>INDEX(Tableau1[Repere-Rack],MATCH(Tableau3[[#This Row],[ID-RACK]],Tableau1[ID-RACK],0))&amp;""</f>
        <v>R1</v>
      </c>
      <c r="AF958" s="108" t="str">
        <f>INDEX(Tableau1[Repere-Slot],MATCH(Tableau3[[#This Row],[ID-SLOT]],Tableau1[ID-SLOT],0))&amp;""</f>
        <v>S9</v>
      </c>
      <c r="AG958" s="108" t="str">
        <f>INDEX(Tableau2[Repere-Voie],MATCH(Tableau3[[#This Row],[ID-VOIE]],Tableau2[ID-Voie],0))&amp;""</f>
        <v>v4</v>
      </c>
      <c r="AH958" s="72" t="str">
        <f>Tableau3[[#This Row],[ID-API]]&amp; "." &amp;Tableau3[[#This Row],[ID-RACK]]&amp; "." &amp;Tableau3[[#This Row],[ID-SLOT]]</f>
        <v>6.1.9</v>
      </c>
      <c r="AI958" s="72" t="str">
        <f>INDEX(Tableau1[Ref-Carte],MATCH(Tableau3[[#This Row],[ID-RRS]],Tableau1[ID-RRS],0))</f>
        <v>SDI1602</v>
      </c>
      <c r="AJ958" s="72" t="str">
        <f t="array" ref="AJ958">IFERROR(INDEX(Tableau2[TS],MATCH(1,(Tableau2[Ref-Carte]=Tableau3[[#This Row],[Ref-Carte2]])*(Tableau2[ID-Voie]=Tableau3[[#This Row],[ID-VOIE]]),0)),"")</f>
        <v>ET</v>
      </c>
      <c r="AK958" s="72" t="str">
        <f>IFERROR(INDEX(Tableau2[TS],SUMPRODUCT((Tableau2[Ref-Carte]=Tableau3[[#This Row],[Ref-Carte2]])*(Tableau2[ID-Voie]=Tableau3[[#This Row],[ID-VOIE]])*ROW(Tableau2[TS]))-ROW(Tableau2[#Headers])),"")</f>
        <v>ET</v>
      </c>
      <c r="AL958" s="72" t="str">
        <f>Tableau3[[#This Row],[Ref-Carte2]]&amp;"/"&amp;Tableau3[[#This Row],[ID-VOIE]]</f>
        <v>SDI1602/4</v>
      </c>
      <c r="AM958" s="73" t="str">
        <f>INDEX(Tableau2[Borne],MATCH(Tableau3[[#This Row],[ID-CARTEVOIE]],Tableau2[ID-CARTEVOIE],0))&amp;""</f>
        <v>2B</v>
      </c>
      <c r="AN958" s="74" t="str">
        <f>Tableau3[[#This Row],[ID-API]]&amp;Tableau3[[#This Row],[ID-RACK]]&amp;Tableau3[[#This Row],[ID-SLOT]]&amp;Tableau3[[#This Row],[BORNE]]</f>
        <v>6192B</v>
      </c>
      <c r="AO958" s="1"/>
    </row>
    <row r="959" spans="1:41" ht="20.100000000000001" customHeight="1" thickTop="1" thickBot="1">
      <c r="A959" s="68"/>
      <c r="B959" s="69" t="str">
        <f>IFERROR(INDEX(Tableau4[Date],MATCH($A959,Tableau4[EVO],0)),"")</f>
        <v/>
      </c>
      <c r="C959" s="68" t="str">
        <f>IFERROR(INDEX(Tableau4[Designation],MATCH($A959,Tableau4[EVO],0)),"")</f>
        <v/>
      </c>
      <c r="D959" s="68"/>
      <c r="E959" s="70">
        <v>41</v>
      </c>
      <c r="F959" s="71">
        <v>72</v>
      </c>
      <c r="G959" s="101" t="str">
        <f>INDEX(Tableau8[Att1],MATCH(Tableau3[[#This Row],[ID-INS]],Tableau8[ID],0))&amp;""</f>
        <v>V5</v>
      </c>
      <c r="H959" s="101" t="str">
        <f>INDEX(Tableau8[Att2],MATCH(Tableau3[[#This Row],[ID-INS]],Tableau8[ID],0))&amp;""</f>
        <v>BH12</v>
      </c>
      <c r="I959" s="101" t="str">
        <f>INDEX(Tableau8[Att3],MATCH(Tableau3[[#This Row],[ID-INS]],Tableau8[ID],0))&amp;""</f>
        <v>Barrière BH12</v>
      </c>
      <c r="J959" s="101"/>
      <c r="K959" s="167" t="str">
        <f>INDEX(Tableau8[Nom du modele],MATCH(Tableau3[[#This Row],[ID-INS]],Tableau8[ID],0))&amp;""</f>
        <v>BarriereHerse_1</v>
      </c>
      <c r="L959" s="99" t="str">
        <f>INDEX(Tableau5[Att1],MATCH(Tableau3[[#This Row],[ID-SIG]],Tableau5[ID],0))&amp;""</f>
        <v>Réserve</v>
      </c>
      <c r="M959" s="99" t="str">
        <f>INDEX(Tableau5[Att2],MATCH(Tableau3[[#This Row],[ID-SIG]],Tableau5[ID],0))&amp;""</f>
        <v/>
      </c>
      <c r="N959" s="99" t="str">
        <f>INDEX(Tableau5[Att3],MATCH(Tableau3[[#This Row],[ID-SIG]],Tableau5[ID],0))&amp;""</f>
        <v/>
      </c>
      <c r="O959" s="99"/>
      <c r="P959" s="99" t="str">
        <f>INDEX(Tableau5[Description],MATCH(Tableau3[[#This Row],[ID-SIG]],Tableau5[ID],0))</f>
        <v>Réserve</v>
      </c>
      <c r="Q959" s="99"/>
      <c r="R959" s="103" t="str">
        <f>Tableau3[[#This Row],[Description]]</f>
        <v>Réserve</v>
      </c>
      <c r="U959" s="87">
        <v>6</v>
      </c>
      <c r="V959" s="87">
        <v>1</v>
      </c>
      <c r="W959" s="87">
        <v>9</v>
      </c>
      <c r="X959" s="87">
        <v>5</v>
      </c>
      <c r="Y959" s="40"/>
      <c r="Z959" s="165" t="str">
        <f>INDEX(Tableau2[TS],MATCH(Tableau3[[#This Row],[ID-CARTEVOIE]],Tableau2[ID-CARTEVOIE],0))</f>
        <v>ET</v>
      </c>
      <c r="AA959" s="53" t="s">
        <v>213</v>
      </c>
      <c r="AB959" s="223" t="str">
        <f>IFERROR(INDEX(Tableau5[Reserve],MATCH(Tableau3[[#This Row],[ID-SIG]],Tableau5[ID],0))&amp;"","")</f>
        <v/>
      </c>
      <c r="AC959" s="21"/>
      <c r="AD959" s="108" t="str">
        <f>INDEX(Tableau7[Repere],MATCH(Tableau3[[#This Row],[ID-API]],Tableau7[ID-API],0))&amp;""</f>
        <v>A6</v>
      </c>
      <c r="AE959" s="108" t="str">
        <f>INDEX(Tableau1[Repere-Rack],MATCH(Tableau3[[#This Row],[ID-RACK]],Tableau1[ID-RACK],0))&amp;""</f>
        <v>R1</v>
      </c>
      <c r="AF959" s="108" t="str">
        <f>INDEX(Tableau1[Repere-Slot],MATCH(Tableau3[[#This Row],[ID-SLOT]],Tableau1[ID-SLOT],0))&amp;""</f>
        <v>S9</v>
      </c>
      <c r="AG959" s="108" t="str">
        <f>INDEX(Tableau2[Repere-Voie],MATCH(Tableau3[[#This Row],[ID-VOIE]],Tableau2[ID-Voie],0))&amp;""</f>
        <v>v5</v>
      </c>
      <c r="AH959" s="72" t="str">
        <f>Tableau3[[#This Row],[ID-API]]&amp; "." &amp;Tableau3[[#This Row],[ID-RACK]]&amp; "." &amp;Tableau3[[#This Row],[ID-SLOT]]</f>
        <v>6.1.9</v>
      </c>
      <c r="AI959" s="72" t="str">
        <f>INDEX(Tableau1[Ref-Carte],MATCH(Tableau3[[#This Row],[ID-RRS]],Tableau1[ID-RRS],0))</f>
        <v>SDI1602</v>
      </c>
      <c r="AJ959" s="72" t="str">
        <f t="array" ref="AJ959">IFERROR(INDEX(Tableau2[TS],MATCH(1,(Tableau2[Ref-Carte]=Tableau3[[#This Row],[Ref-Carte2]])*(Tableau2[ID-Voie]=Tableau3[[#This Row],[ID-VOIE]]),0)),"")</f>
        <v>ET</v>
      </c>
      <c r="AK959" s="72" t="str">
        <f>IFERROR(INDEX(Tableau2[TS],SUMPRODUCT((Tableau2[Ref-Carte]=Tableau3[[#This Row],[Ref-Carte2]])*(Tableau2[ID-Voie]=Tableau3[[#This Row],[ID-VOIE]])*ROW(Tableau2[TS]))-ROW(Tableau2[#Headers])),"")</f>
        <v>ET</v>
      </c>
      <c r="AL959" s="72" t="str">
        <f>Tableau3[[#This Row],[Ref-Carte2]]&amp;"/"&amp;Tableau3[[#This Row],[ID-VOIE]]</f>
        <v>SDI1602/5</v>
      </c>
      <c r="AM959" s="73" t="str">
        <f>INDEX(Tableau2[Borne],MATCH(Tableau3[[#This Row],[ID-CARTEVOIE]],Tableau2[ID-CARTEVOIE],0))&amp;""</f>
        <v>2A</v>
      </c>
      <c r="AN959" s="74" t="str">
        <f>Tableau3[[#This Row],[ID-API]]&amp;Tableau3[[#This Row],[ID-RACK]]&amp;Tableau3[[#This Row],[ID-SLOT]]&amp;Tableau3[[#This Row],[BORNE]]</f>
        <v>6192A</v>
      </c>
      <c r="AO959" s="1"/>
    </row>
    <row r="960" spans="1:41" ht="20.100000000000001" customHeight="1" thickTop="1" thickBot="1">
      <c r="A960" s="68"/>
      <c r="B960" s="69" t="str">
        <f>IFERROR(INDEX(Tableau4[Date],MATCH($A960,Tableau4[EVO],0)),"")</f>
        <v/>
      </c>
      <c r="C960" s="68" t="str">
        <f>IFERROR(INDEX(Tableau4[Designation],MATCH($A960,Tableau4[EVO],0)),"")</f>
        <v/>
      </c>
      <c r="D960" s="68"/>
      <c r="E960" s="70">
        <v>41</v>
      </c>
      <c r="F960" s="71">
        <v>73</v>
      </c>
      <c r="G960" s="101" t="str">
        <f>INDEX(Tableau8[Att1],MATCH(Tableau3[[#This Row],[ID-INS]],Tableau8[ID],0))&amp;""</f>
        <v>V5</v>
      </c>
      <c r="H960" s="101" t="str">
        <f>INDEX(Tableau8[Att2],MATCH(Tableau3[[#This Row],[ID-INS]],Tableau8[ID],0))&amp;""</f>
        <v>BH12</v>
      </c>
      <c r="I960" s="101" t="str">
        <f>INDEX(Tableau8[Att3],MATCH(Tableau3[[#This Row],[ID-INS]],Tableau8[ID],0))&amp;""</f>
        <v>Barrière BH12</v>
      </c>
      <c r="J960" s="101"/>
      <c r="K960" s="167" t="str">
        <f>INDEX(Tableau8[Nom du modele],MATCH(Tableau3[[#This Row],[ID-INS]],Tableau8[ID],0))&amp;""</f>
        <v>BarriereHerse_1</v>
      </c>
      <c r="L960" s="99" t="str">
        <f>INDEX(Tableau5[Att1],MATCH(Tableau3[[#This Row],[ID-SIG]],Tableau5[ID],0))&amp;""</f>
        <v>Fer2</v>
      </c>
      <c r="M960" s="99" t="str">
        <f>INDEX(Tableau5[Att2],MATCH(Tableau3[[#This Row],[ID-SIG]],Tableau5[ID],0))&amp;""</f>
        <v/>
      </c>
      <c r="N960" s="99" t="str">
        <f>INDEX(Tableau5[Att3],MATCH(Tableau3[[#This Row],[ID-SIG]],Tableau5[ID],0))&amp;""</f>
        <v/>
      </c>
      <c r="O960" s="99"/>
      <c r="P960" s="99" t="str">
        <f>INDEX(Tableau5[Description],MATCH(Tableau3[[#This Row],[ID-SIG]],Tableau5[ID],0))</f>
        <v>Position 2 fermé</v>
      </c>
      <c r="Q960" s="99"/>
      <c r="R960" s="103" t="str">
        <f>Tableau3[[#This Row],[Description]]</f>
        <v>Position 2 fermé</v>
      </c>
      <c r="U960" s="87">
        <v>6</v>
      </c>
      <c r="V960" s="87">
        <v>1</v>
      </c>
      <c r="W960" s="87">
        <v>9</v>
      </c>
      <c r="X960" s="87">
        <v>6</v>
      </c>
      <c r="Y960" s="40"/>
      <c r="Z960" s="165" t="str">
        <f>INDEX(Tableau2[TS],MATCH(Tableau3[[#This Row],[ID-CARTEVOIE]],Tableau2[ID-CARTEVOIE],0))</f>
        <v>ET</v>
      </c>
      <c r="AA960" s="53" t="s">
        <v>213</v>
      </c>
      <c r="AB960" s="223" t="str">
        <f>IFERROR(INDEX(Tableau5[Reserve],MATCH(Tableau3[[#This Row],[ID-SIG]],Tableau5[ID],0))&amp;"","")</f>
        <v/>
      </c>
      <c r="AC960" s="21"/>
      <c r="AD960" s="108" t="str">
        <f>INDEX(Tableau7[Repere],MATCH(Tableau3[[#This Row],[ID-API]],Tableau7[ID-API],0))&amp;""</f>
        <v>A6</v>
      </c>
      <c r="AE960" s="108" t="str">
        <f>INDEX(Tableau1[Repere-Rack],MATCH(Tableau3[[#This Row],[ID-RACK]],Tableau1[ID-RACK],0))&amp;""</f>
        <v>R1</v>
      </c>
      <c r="AF960" s="108" t="str">
        <f>INDEX(Tableau1[Repere-Slot],MATCH(Tableau3[[#This Row],[ID-SLOT]],Tableau1[ID-SLOT],0))&amp;""</f>
        <v>S9</v>
      </c>
      <c r="AG960" s="108" t="str">
        <f>INDEX(Tableau2[Repere-Voie],MATCH(Tableau3[[#This Row],[ID-VOIE]],Tableau2[ID-Voie],0))&amp;""</f>
        <v>v6</v>
      </c>
      <c r="AH960" s="72" t="str">
        <f>Tableau3[[#This Row],[ID-API]]&amp; "." &amp;Tableau3[[#This Row],[ID-RACK]]&amp; "." &amp;Tableau3[[#This Row],[ID-SLOT]]</f>
        <v>6.1.9</v>
      </c>
      <c r="AI960" s="72" t="str">
        <f>INDEX(Tableau1[Ref-Carte],MATCH(Tableau3[[#This Row],[ID-RRS]],Tableau1[ID-RRS],0))</f>
        <v>SDI1602</v>
      </c>
      <c r="AJ960" s="72" t="str">
        <f t="array" ref="AJ960">IFERROR(INDEX(Tableau2[TS],MATCH(1,(Tableau2[Ref-Carte]=Tableau3[[#This Row],[Ref-Carte2]])*(Tableau2[ID-Voie]=Tableau3[[#This Row],[ID-VOIE]]),0)),"")</f>
        <v>ET</v>
      </c>
      <c r="AK960" s="72" t="str">
        <f>IFERROR(INDEX(Tableau2[TS],SUMPRODUCT((Tableau2[Ref-Carte]=Tableau3[[#This Row],[Ref-Carte2]])*(Tableau2[ID-Voie]=Tableau3[[#This Row],[ID-VOIE]])*ROW(Tableau2[TS]))-ROW(Tableau2[#Headers])),"")</f>
        <v>ET</v>
      </c>
      <c r="AL960" s="72" t="str">
        <f>Tableau3[[#This Row],[Ref-Carte2]]&amp;"/"&amp;Tableau3[[#This Row],[ID-VOIE]]</f>
        <v>SDI1602/6</v>
      </c>
      <c r="AM960" s="73" t="str">
        <f>INDEX(Tableau2[Borne],MATCH(Tableau3[[#This Row],[ID-CARTEVOIE]],Tableau2[ID-CARTEVOIE],0))&amp;""</f>
        <v>3B</v>
      </c>
      <c r="AN960" s="74" t="str">
        <f>Tableau3[[#This Row],[ID-API]]&amp;Tableau3[[#This Row],[ID-RACK]]&amp;Tableau3[[#This Row],[ID-SLOT]]&amp;Tableau3[[#This Row],[BORNE]]</f>
        <v>6193B</v>
      </c>
      <c r="AO960" s="1"/>
    </row>
    <row r="961" spans="1:41" ht="20.100000000000001" customHeight="1" thickTop="1" thickBot="1">
      <c r="A961" s="68"/>
      <c r="B961" s="69" t="str">
        <f>IFERROR(INDEX(Tableau4[Date],MATCH($A961,Tableau4[EVO],0)),"")</f>
        <v/>
      </c>
      <c r="C961" s="68" t="str">
        <f>IFERROR(INDEX(Tableau4[Designation],MATCH($A961,Tableau4[EVO],0)),"")</f>
        <v/>
      </c>
      <c r="D961" s="68"/>
      <c r="E961" s="70">
        <v>41</v>
      </c>
      <c r="F961" s="71">
        <v>77</v>
      </c>
      <c r="G961" s="101" t="str">
        <f>INDEX(Tableau8[Att1],MATCH(Tableau3[[#This Row],[ID-INS]],Tableau8[ID],0))&amp;""</f>
        <v>V5</v>
      </c>
      <c r="H961" s="101" t="str">
        <f>INDEX(Tableau8[Att2],MATCH(Tableau3[[#This Row],[ID-INS]],Tableau8[ID],0))&amp;""</f>
        <v>BH12</v>
      </c>
      <c r="I961" s="101" t="str">
        <f>INDEX(Tableau8[Att3],MATCH(Tableau3[[#This Row],[ID-INS]],Tableau8[ID],0))&amp;""</f>
        <v>Barrière BH12</v>
      </c>
      <c r="J961" s="101"/>
      <c r="K961" s="167" t="str">
        <f>INDEX(Tableau8[Nom du modele],MATCH(Tableau3[[#This Row],[ID-INS]],Tableau8[ID],0))&amp;""</f>
        <v>BarriereHerse_1</v>
      </c>
      <c r="L961" s="99" t="str">
        <f>INDEX(Tableau5[Att1],MATCH(Tableau3[[#This Row],[ID-SIG]],Tableau5[ID],0))&amp;""</f>
        <v>Ouv</v>
      </c>
      <c r="M961" s="99" t="str">
        <f>INDEX(Tableau5[Att2],MATCH(Tableau3[[#This Row],[ID-SIG]],Tableau5[ID],0))&amp;""</f>
        <v/>
      </c>
      <c r="N961" s="99" t="str">
        <f>INDEX(Tableau5[Att3],MATCH(Tableau3[[#This Row],[ID-SIG]],Tableau5[ID],0))&amp;""</f>
        <v/>
      </c>
      <c r="O961" s="99"/>
      <c r="P961" s="99" t="str">
        <f>INDEX(Tableau5[Description],MATCH(Tableau3[[#This Row],[ID-SIG]],Tableau5[ID],0))</f>
        <v>Position ouverte</v>
      </c>
      <c r="Q961" s="99"/>
      <c r="R961" s="103" t="str">
        <f>Tableau3[[#This Row],[Description]]</f>
        <v>Position ouverte</v>
      </c>
      <c r="U961" s="87">
        <v>6</v>
      </c>
      <c r="V961" s="87">
        <v>1</v>
      </c>
      <c r="W961" s="87">
        <v>9</v>
      </c>
      <c r="X961" s="87">
        <v>7</v>
      </c>
      <c r="Y961" s="40"/>
      <c r="Z961" s="165" t="str">
        <f>INDEX(Tableau2[TS],MATCH(Tableau3[[#This Row],[ID-CARTEVOIE]],Tableau2[ID-CARTEVOIE],0))</f>
        <v>ET</v>
      </c>
      <c r="AA961" s="53" t="s">
        <v>213</v>
      </c>
      <c r="AB961" s="223" t="str">
        <f>IFERROR(INDEX(Tableau5[Reserve],MATCH(Tableau3[[#This Row],[ID-SIG]],Tableau5[ID],0))&amp;"","")</f>
        <v/>
      </c>
      <c r="AC961" s="21"/>
      <c r="AD961" s="108" t="str">
        <f>INDEX(Tableau7[Repere],MATCH(Tableau3[[#This Row],[ID-API]],Tableau7[ID-API],0))&amp;""</f>
        <v>A6</v>
      </c>
      <c r="AE961" s="108" t="str">
        <f>INDEX(Tableau1[Repere-Rack],MATCH(Tableau3[[#This Row],[ID-RACK]],Tableau1[ID-RACK],0))&amp;""</f>
        <v>R1</v>
      </c>
      <c r="AF961" s="108" t="str">
        <f>INDEX(Tableau1[Repere-Slot],MATCH(Tableau3[[#This Row],[ID-SLOT]],Tableau1[ID-SLOT],0))&amp;""</f>
        <v>S9</v>
      </c>
      <c r="AG961" s="108" t="str">
        <f>INDEX(Tableau2[Repere-Voie],MATCH(Tableau3[[#This Row],[ID-VOIE]],Tableau2[ID-Voie],0))&amp;""</f>
        <v>v7</v>
      </c>
      <c r="AH961" s="72" t="str">
        <f>Tableau3[[#This Row],[ID-API]]&amp; "." &amp;Tableau3[[#This Row],[ID-RACK]]&amp; "." &amp;Tableau3[[#This Row],[ID-SLOT]]</f>
        <v>6.1.9</v>
      </c>
      <c r="AI961" s="72" t="str">
        <f>INDEX(Tableau1[Ref-Carte],MATCH(Tableau3[[#This Row],[ID-RRS]],Tableau1[ID-RRS],0))</f>
        <v>SDI1602</v>
      </c>
      <c r="AJ961" s="72" t="str">
        <f t="array" ref="AJ961">IFERROR(INDEX(Tableau2[TS],MATCH(1,(Tableau2[Ref-Carte]=Tableau3[[#This Row],[Ref-Carte2]])*(Tableau2[ID-Voie]=Tableau3[[#This Row],[ID-VOIE]]),0)),"")</f>
        <v>ET</v>
      </c>
      <c r="AK961" s="72" t="str">
        <f>IFERROR(INDEX(Tableau2[TS],SUMPRODUCT((Tableau2[Ref-Carte]=Tableau3[[#This Row],[Ref-Carte2]])*(Tableau2[ID-Voie]=Tableau3[[#This Row],[ID-VOIE]])*ROW(Tableau2[TS]))-ROW(Tableau2[#Headers])),"")</f>
        <v>ET</v>
      </c>
      <c r="AL961" s="72" t="str">
        <f>Tableau3[[#This Row],[Ref-Carte2]]&amp;"/"&amp;Tableau3[[#This Row],[ID-VOIE]]</f>
        <v>SDI1602/7</v>
      </c>
      <c r="AM961" s="73" t="str">
        <f>INDEX(Tableau2[Borne],MATCH(Tableau3[[#This Row],[ID-CARTEVOIE]],Tableau2[ID-CARTEVOIE],0))&amp;""</f>
        <v>3A</v>
      </c>
      <c r="AN961" s="74" t="str">
        <f>Tableau3[[#This Row],[ID-API]]&amp;Tableau3[[#This Row],[ID-RACK]]&amp;Tableau3[[#This Row],[ID-SLOT]]&amp;Tableau3[[#This Row],[BORNE]]</f>
        <v>6193A</v>
      </c>
      <c r="AO961" s="1"/>
    </row>
    <row r="962" spans="1:41" ht="20.100000000000001" customHeight="1" thickTop="1" thickBot="1">
      <c r="A962" s="134"/>
      <c r="B962" s="135" t="str">
        <f>IFERROR(INDEX(Tableau4[Date],MATCH($A962,Tableau4[EVO],0)),"")</f>
        <v/>
      </c>
      <c r="C962" s="136" t="str">
        <f>IFERROR(INDEX(Tableau4[Designation],MATCH($A962,Tableau4[EVO],0)),"")</f>
        <v/>
      </c>
      <c r="D962" s="134"/>
      <c r="E962" s="137">
        <v>41</v>
      </c>
      <c r="F962" s="138">
        <v>78</v>
      </c>
      <c r="G962" s="139" t="str">
        <f>INDEX(Tableau8[Att1],MATCH(Tableau3[[#This Row],[ID-INS]],Tableau8[ID],0))&amp;""</f>
        <v>V5</v>
      </c>
      <c r="H962" s="139" t="str">
        <f>INDEX(Tableau8[Att2],MATCH(Tableau3[[#This Row],[ID-INS]],Tableau8[ID],0))&amp;""</f>
        <v>BH12</v>
      </c>
      <c r="I962" s="139" t="str">
        <f>INDEX(Tableau8[Att3],MATCH(Tableau3[[#This Row],[ID-INS]],Tableau8[ID],0))&amp;""</f>
        <v>Barrière BH12</v>
      </c>
      <c r="J962" s="101"/>
      <c r="K962" s="167" t="str">
        <f>INDEX(Tableau8[Nom du modele],MATCH(Tableau3[[#This Row],[ID-INS]],Tableau8[ID],0))&amp;""</f>
        <v>BarriereHerse_1</v>
      </c>
      <c r="L962" s="141" t="str">
        <f>INDEX(Tableau5[Att1],MATCH(Tableau3[[#This Row],[ID-SIG]],Tableau5[ID],0))&amp;""</f>
        <v>Effraction</v>
      </c>
      <c r="M962" s="141" t="str">
        <f>INDEX(Tableau5[Att2],MATCH(Tableau3[[#This Row],[ID-SIG]],Tableau5[ID],0))&amp;""</f>
        <v/>
      </c>
      <c r="N962" s="141" t="str">
        <f>INDEX(Tableau5[Att3],MATCH(Tableau3[[#This Row],[ID-SIG]],Tableau5[ID],0))&amp;""</f>
        <v/>
      </c>
      <c r="O962" s="99"/>
      <c r="P962" s="141" t="str">
        <f>INDEX(Tableau5[Description],MATCH(Tableau3[[#This Row],[ID-SIG]],Tableau5[ID],0))</f>
        <v>Effraction</v>
      </c>
      <c r="Q962" s="99"/>
      <c r="R962" s="142" t="str">
        <f>Tableau3[[#This Row],[Description]]</f>
        <v>Effraction</v>
      </c>
      <c r="U962" s="87">
        <v>6</v>
      </c>
      <c r="V962" s="87">
        <v>1</v>
      </c>
      <c r="W962" s="87">
        <v>9</v>
      </c>
      <c r="X962" s="87">
        <v>8</v>
      </c>
      <c r="Y962" s="40"/>
      <c r="Z962" s="165" t="str">
        <f>INDEX(Tableau2[TS],MATCH(Tableau3[[#This Row],[ID-CARTEVOIE]],Tableau2[ID-CARTEVOIE],0))</f>
        <v>ET</v>
      </c>
      <c r="AA962" s="144" t="s">
        <v>213</v>
      </c>
      <c r="AB962" s="224" t="str">
        <f>IFERROR(INDEX(Tableau5[Reserve],MATCH(Tableau3[[#This Row],[ID-SIG]],Tableau5[ID],0))&amp;"","")</f>
        <v/>
      </c>
      <c r="AC962" s="119"/>
      <c r="AD962" s="120" t="str">
        <f>INDEX(Tableau7[Repere],MATCH(Tableau3[[#This Row],[ID-API]],Tableau7[ID-API],0))&amp;""</f>
        <v>A6</v>
      </c>
      <c r="AE962" s="120" t="str">
        <f>INDEX(Tableau1[Repere-Rack],MATCH(Tableau3[[#This Row],[ID-RACK]],Tableau1[ID-RACK],0))&amp;""</f>
        <v>R1</v>
      </c>
      <c r="AF962" s="120" t="str">
        <f>INDEX(Tableau1[Repere-Slot],MATCH(Tableau3[[#This Row],[ID-SLOT]],Tableau1[ID-SLOT],0))&amp;""</f>
        <v>S9</v>
      </c>
      <c r="AG962" s="120" t="str">
        <f>INDEX(Tableau2[Repere-Voie],MATCH(Tableau3[[#This Row],[ID-VOIE]],Tableau2[ID-Voie],0))&amp;""</f>
        <v>v8</v>
      </c>
      <c r="AH962" s="122" t="str">
        <f>Tableau3[[#This Row],[ID-API]]&amp; "." &amp;Tableau3[[#This Row],[ID-RACK]]&amp; "." &amp;Tableau3[[#This Row],[ID-SLOT]]</f>
        <v>6.1.9</v>
      </c>
      <c r="AI962" s="72" t="str">
        <f>INDEX(Tableau1[Ref-Carte],MATCH(Tableau3[[#This Row],[ID-RRS]],Tableau1[ID-RRS],0))</f>
        <v>SDI1602</v>
      </c>
      <c r="AJ962" s="72" t="str">
        <f t="array" ref="AJ962">IFERROR(INDEX(Tableau2[TS],MATCH(1,(Tableau2[Ref-Carte]=Tableau3[[#This Row],[Ref-Carte2]])*(Tableau2[ID-Voie]=Tableau3[[#This Row],[ID-VOIE]]),0)),"")</f>
        <v>ET</v>
      </c>
      <c r="AK962" s="72" t="str">
        <f>IFERROR(INDEX(Tableau2[TS],SUMPRODUCT((Tableau2[Ref-Carte]=Tableau3[[#This Row],[Ref-Carte2]])*(Tableau2[ID-Voie]=Tableau3[[#This Row],[ID-VOIE]])*ROW(Tableau2[TS]))-ROW(Tableau2[#Headers])),"")</f>
        <v>ET</v>
      </c>
      <c r="AL962" s="122" t="str">
        <f>Tableau3[[#This Row],[Ref-Carte2]]&amp;"/"&amp;Tableau3[[#This Row],[ID-VOIE]]</f>
        <v>SDI1602/8</v>
      </c>
      <c r="AM962" s="145" t="str">
        <f>INDEX(Tableau2[Borne],MATCH(Tableau3[[#This Row],[ID-CARTEVOIE]],Tableau2[ID-CARTEVOIE],0))&amp;""</f>
        <v>4B</v>
      </c>
      <c r="AN962" s="124" t="str">
        <f>Tableau3[[#This Row],[ID-API]]&amp;Tableau3[[#This Row],[ID-RACK]]&amp;Tableau3[[#This Row],[ID-SLOT]]&amp;Tableau3[[#This Row],[BORNE]]</f>
        <v>6194B</v>
      </c>
      <c r="AO962" s="125"/>
    </row>
    <row r="963" spans="1:41" ht="20.100000000000001" customHeight="1" thickTop="1" thickBot="1">
      <c r="A963" s="134"/>
      <c r="B963" s="135" t="str">
        <f>IFERROR(INDEX(Tableau4[Date],MATCH($A963,Tableau4[EVO],0)),"")</f>
        <v/>
      </c>
      <c r="C963" s="136" t="str">
        <f>IFERROR(INDEX(Tableau4[Designation],MATCH($A963,Tableau4[EVO],0)),"")</f>
        <v/>
      </c>
      <c r="D963" s="134"/>
      <c r="E963" s="137">
        <v>41</v>
      </c>
      <c r="F963" s="138">
        <v>79</v>
      </c>
      <c r="G963" s="139" t="str">
        <f>INDEX(Tableau8[Att1],MATCH(Tableau3[[#This Row],[ID-INS]],Tableau8[ID],0))&amp;""</f>
        <v>V5</v>
      </c>
      <c r="H963" s="139" t="str">
        <f>INDEX(Tableau8[Att2],MATCH(Tableau3[[#This Row],[ID-INS]],Tableau8[ID],0))&amp;""</f>
        <v>BH12</v>
      </c>
      <c r="I963" s="139" t="str">
        <f>INDEX(Tableau8[Att3],MATCH(Tableau3[[#This Row],[ID-INS]],Tableau8[ID],0))&amp;""</f>
        <v>Barrière BH12</v>
      </c>
      <c r="J963" s="101"/>
      <c r="K963" s="167" t="str">
        <f>INDEX(Tableau8[Nom du modele],MATCH(Tableau3[[#This Row],[ID-INS]],Tableau8[ID],0))&amp;""</f>
        <v>BarriereHerse_1</v>
      </c>
      <c r="L963" s="141" t="str">
        <f>INDEX(Tableau5[Att1],MATCH(Tableau3[[#This Row],[ID-SIG]],Tableau5[ID],0))&amp;""</f>
        <v>SynthDef</v>
      </c>
      <c r="M963" s="141" t="str">
        <f>INDEX(Tableau5[Att2],MATCH(Tableau3[[#This Row],[ID-SIG]],Tableau5[ID],0))&amp;""</f>
        <v/>
      </c>
      <c r="N963" s="141" t="str">
        <f>INDEX(Tableau5[Att3],MATCH(Tableau3[[#This Row],[ID-SIG]],Tableau5[ID],0))&amp;""</f>
        <v/>
      </c>
      <c r="O963" s="99"/>
      <c r="P963" s="141" t="str">
        <f>INDEX(Tableau5[Description],MATCH(Tableau3[[#This Row],[ID-SIG]],Tableau5[ID],0))</f>
        <v>Synthèse défaut</v>
      </c>
      <c r="Q963" s="99"/>
      <c r="R963" s="142" t="str">
        <f>Tableau3[[#This Row],[Description]]</f>
        <v>Synthèse défaut</v>
      </c>
      <c r="U963" s="87">
        <v>6</v>
      </c>
      <c r="V963" s="87">
        <v>1</v>
      </c>
      <c r="W963" s="87">
        <v>9</v>
      </c>
      <c r="X963" s="87">
        <v>9</v>
      </c>
      <c r="Y963" s="40"/>
      <c r="Z963" s="165" t="str">
        <f>INDEX(Tableau2[TS],MATCH(Tableau3[[#This Row],[ID-CARTEVOIE]],Tableau2[ID-CARTEVOIE],0))</f>
        <v>ET</v>
      </c>
      <c r="AA963" s="144" t="s">
        <v>213</v>
      </c>
      <c r="AB963" s="224" t="str">
        <f>IFERROR(INDEX(Tableau5[Reserve],MATCH(Tableau3[[#This Row],[ID-SIG]],Tableau5[ID],0))&amp;"","")</f>
        <v/>
      </c>
      <c r="AC963" s="119"/>
      <c r="AD963" s="120" t="str">
        <f>INDEX(Tableau7[Repere],MATCH(Tableau3[[#This Row],[ID-API]],Tableau7[ID-API],0))&amp;""</f>
        <v>A6</v>
      </c>
      <c r="AE963" s="120" t="str">
        <f>INDEX(Tableau1[Repere-Rack],MATCH(Tableau3[[#This Row],[ID-RACK]],Tableau1[ID-RACK],0))&amp;""</f>
        <v>R1</v>
      </c>
      <c r="AF963" s="120" t="str">
        <f>INDEX(Tableau1[Repere-Slot],MATCH(Tableau3[[#This Row],[ID-SLOT]],Tableau1[ID-SLOT],0))&amp;""</f>
        <v>S9</v>
      </c>
      <c r="AG963" s="120" t="str">
        <f>INDEX(Tableau2[Repere-Voie],MATCH(Tableau3[[#This Row],[ID-VOIE]],Tableau2[ID-Voie],0))&amp;""</f>
        <v>v9</v>
      </c>
      <c r="AH963" s="122" t="str">
        <f>Tableau3[[#This Row],[ID-API]]&amp; "." &amp;Tableau3[[#This Row],[ID-RACK]]&amp; "." &amp;Tableau3[[#This Row],[ID-SLOT]]</f>
        <v>6.1.9</v>
      </c>
      <c r="AI963" s="72" t="str">
        <f>INDEX(Tableau1[Ref-Carte],MATCH(Tableau3[[#This Row],[ID-RRS]],Tableau1[ID-RRS],0))</f>
        <v>SDI1602</v>
      </c>
      <c r="AJ963" s="72" t="str">
        <f t="array" ref="AJ963">IFERROR(INDEX(Tableau2[TS],MATCH(1,(Tableau2[Ref-Carte]=Tableau3[[#This Row],[Ref-Carte2]])*(Tableau2[ID-Voie]=Tableau3[[#This Row],[ID-VOIE]]),0)),"")</f>
        <v>ET</v>
      </c>
      <c r="AK963" s="72" t="str">
        <f>IFERROR(INDEX(Tableau2[TS],SUMPRODUCT((Tableau2[Ref-Carte]=Tableau3[[#This Row],[Ref-Carte2]])*(Tableau2[ID-Voie]=Tableau3[[#This Row],[ID-VOIE]])*ROW(Tableau2[TS]))-ROW(Tableau2[#Headers])),"")</f>
        <v>ET</v>
      </c>
      <c r="AL963" s="122" t="str">
        <f>Tableau3[[#This Row],[Ref-Carte2]]&amp;"/"&amp;Tableau3[[#This Row],[ID-VOIE]]</f>
        <v>SDI1602/9</v>
      </c>
      <c r="AM963" s="145" t="str">
        <f>INDEX(Tableau2[Borne],MATCH(Tableau3[[#This Row],[ID-CARTEVOIE]],Tableau2[ID-CARTEVOIE],0))&amp;""</f>
        <v>4A</v>
      </c>
      <c r="AN963" s="124" t="str">
        <f>Tableau3[[#This Row],[ID-API]]&amp;Tableau3[[#This Row],[ID-RACK]]&amp;Tableau3[[#This Row],[ID-SLOT]]&amp;Tableau3[[#This Row],[BORNE]]</f>
        <v>6194A</v>
      </c>
      <c r="AO963" s="125"/>
    </row>
    <row r="964" spans="1:41" ht="20.100000000000001" customHeight="1" thickTop="1" thickBot="1">
      <c r="A964" s="134"/>
      <c r="B964" s="135" t="str">
        <f>IFERROR(INDEX(Tableau4[Date],MATCH($A964,Tableau4[EVO],0)),"")</f>
        <v/>
      </c>
      <c r="C964" s="136" t="str">
        <f>IFERROR(INDEX(Tableau4[Designation],MATCH($A964,Tableau4[EVO],0)),"")</f>
        <v/>
      </c>
      <c r="D964" s="134"/>
      <c r="E964" s="137">
        <v>41</v>
      </c>
      <c r="F964" s="138">
        <v>80</v>
      </c>
      <c r="G964" s="139" t="str">
        <f>INDEX(Tableau8[Att1],MATCH(Tableau3[[#This Row],[ID-INS]],Tableau8[ID],0))&amp;""</f>
        <v>V5</v>
      </c>
      <c r="H964" s="139" t="str">
        <f>INDEX(Tableau8[Att2],MATCH(Tableau3[[#This Row],[ID-INS]],Tableau8[ID],0))&amp;""</f>
        <v>BH12</v>
      </c>
      <c r="I964" s="139" t="str">
        <f>INDEX(Tableau8[Att3],MATCH(Tableau3[[#This Row],[ID-INS]],Tableau8[ID],0))&amp;""</f>
        <v>Barrière BH12</v>
      </c>
      <c r="J964" s="101"/>
      <c r="K964" s="167" t="str">
        <f>INDEX(Tableau8[Nom du modele],MATCH(Tableau3[[#This Row],[ID-INS]],Tableau8[ID],0))&amp;""</f>
        <v>BarriereHerse_1</v>
      </c>
      <c r="L964" s="141" t="str">
        <f>INDEX(Tableau5[Att1],MATCH(Tableau3[[#This Row],[ID-SIG]],Tableau5[ID],0))&amp;""</f>
        <v>FerRet1</v>
      </c>
      <c r="M964" s="141" t="str">
        <f>INDEX(Tableau5[Att2],MATCH(Tableau3[[#This Row],[ID-SIG]],Tableau5[ID],0))&amp;""</f>
        <v/>
      </c>
      <c r="N964" s="141" t="str">
        <f>INDEX(Tableau5[Att3],MATCH(Tableau3[[#This Row],[ID-SIG]],Tableau5[ID],0))&amp;""</f>
        <v/>
      </c>
      <c r="O964" s="99"/>
      <c r="P964" s="141" t="str">
        <f>INDEX(Tableau5[Description],MATCH(Tableau3[[#This Row],[ID-SIG]],Tableau5[ID],0))</f>
        <v>Retour Commande 1 fermeture</v>
      </c>
      <c r="Q964" s="99"/>
      <c r="R964" s="142" t="str">
        <f>Tableau3[[#This Row],[Description]]</f>
        <v>Retour Commande 1 fermeture</v>
      </c>
      <c r="U964" s="87">
        <v>6</v>
      </c>
      <c r="V964" s="87">
        <v>1</v>
      </c>
      <c r="W964" s="87">
        <v>9</v>
      </c>
      <c r="X964" s="87">
        <v>10</v>
      </c>
      <c r="Y964" s="40"/>
      <c r="Z964" s="165" t="str">
        <f>INDEX(Tableau2[TS],MATCH(Tableau3[[#This Row],[ID-CARTEVOIE]],Tableau2[ID-CARTEVOIE],0))</f>
        <v>ET</v>
      </c>
      <c r="AA964" s="144" t="s">
        <v>213</v>
      </c>
      <c r="AB964" s="224" t="str">
        <f>IFERROR(INDEX(Tableau5[Reserve],MATCH(Tableau3[[#This Row],[ID-SIG]],Tableau5[ID],0))&amp;"","")</f>
        <v/>
      </c>
      <c r="AC964" s="119"/>
      <c r="AD964" s="120" t="str">
        <f>INDEX(Tableau7[Repere],MATCH(Tableau3[[#This Row],[ID-API]],Tableau7[ID-API],0))&amp;""</f>
        <v>A6</v>
      </c>
      <c r="AE964" s="120" t="str">
        <f>INDEX(Tableau1[Repere-Rack],MATCH(Tableau3[[#This Row],[ID-RACK]],Tableau1[ID-RACK],0))&amp;""</f>
        <v>R1</v>
      </c>
      <c r="AF964" s="120" t="str">
        <f>INDEX(Tableau1[Repere-Slot],MATCH(Tableau3[[#This Row],[ID-SLOT]],Tableau1[ID-SLOT],0))&amp;""</f>
        <v>S9</v>
      </c>
      <c r="AG964" s="120" t="str">
        <f>INDEX(Tableau2[Repere-Voie],MATCH(Tableau3[[#This Row],[ID-VOIE]],Tableau2[ID-Voie],0))&amp;""</f>
        <v>v10</v>
      </c>
      <c r="AH964" s="122" t="str">
        <f>Tableau3[[#This Row],[ID-API]]&amp; "." &amp;Tableau3[[#This Row],[ID-RACK]]&amp; "." &amp;Tableau3[[#This Row],[ID-SLOT]]</f>
        <v>6.1.9</v>
      </c>
      <c r="AI964" s="72" t="str">
        <f>INDEX(Tableau1[Ref-Carte],MATCH(Tableau3[[#This Row],[ID-RRS]],Tableau1[ID-RRS],0))</f>
        <v>SDI1602</v>
      </c>
      <c r="AJ964" s="72" t="str">
        <f t="array" ref="AJ964">IFERROR(INDEX(Tableau2[TS],MATCH(1,(Tableau2[Ref-Carte]=Tableau3[[#This Row],[Ref-Carte2]])*(Tableau2[ID-Voie]=Tableau3[[#This Row],[ID-VOIE]]),0)),"")</f>
        <v>ET</v>
      </c>
      <c r="AK964" s="72" t="str">
        <f>IFERROR(INDEX(Tableau2[TS],SUMPRODUCT((Tableau2[Ref-Carte]=Tableau3[[#This Row],[Ref-Carte2]])*(Tableau2[ID-Voie]=Tableau3[[#This Row],[ID-VOIE]])*ROW(Tableau2[TS]))-ROW(Tableau2[#Headers])),"")</f>
        <v>ET</v>
      </c>
      <c r="AL964" s="122" t="str">
        <f>Tableau3[[#This Row],[Ref-Carte2]]&amp;"/"&amp;Tableau3[[#This Row],[ID-VOIE]]</f>
        <v>SDI1602/10</v>
      </c>
      <c r="AM964" s="145" t="str">
        <f>INDEX(Tableau2[Borne],MATCH(Tableau3[[#This Row],[ID-CARTEVOIE]],Tableau2[ID-CARTEVOIE],0))&amp;""</f>
        <v>5B</v>
      </c>
      <c r="AN964" s="124" t="str">
        <f>Tableau3[[#This Row],[ID-API]]&amp;Tableau3[[#This Row],[ID-RACK]]&amp;Tableau3[[#This Row],[ID-SLOT]]&amp;Tableau3[[#This Row],[BORNE]]</f>
        <v>6195B</v>
      </c>
      <c r="AO964" s="125"/>
    </row>
    <row r="965" spans="1:41" ht="20.100000000000001" customHeight="1" thickTop="1" thickBot="1">
      <c r="A965" s="134"/>
      <c r="B965" s="135" t="str">
        <f>IFERROR(INDEX(Tableau4[Date],MATCH($A965,Tableau4[EVO],0)),"")</f>
        <v/>
      </c>
      <c r="C965" s="136" t="str">
        <f>IFERROR(INDEX(Tableau4[Designation],MATCH($A965,Tableau4[EVO],0)),"")</f>
        <v/>
      </c>
      <c r="D965" s="134"/>
      <c r="E965" s="137">
        <v>41</v>
      </c>
      <c r="F965" s="138">
        <v>81</v>
      </c>
      <c r="G965" s="139" t="str">
        <f>INDEX(Tableau8[Att1],MATCH(Tableau3[[#This Row],[ID-INS]],Tableau8[ID],0))&amp;""</f>
        <v>V5</v>
      </c>
      <c r="H965" s="139" t="str">
        <f>INDEX(Tableau8[Att2],MATCH(Tableau3[[#This Row],[ID-INS]],Tableau8[ID],0))&amp;""</f>
        <v>BH12</v>
      </c>
      <c r="I965" s="139" t="str">
        <f>INDEX(Tableau8[Att3],MATCH(Tableau3[[#This Row],[ID-INS]],Tableau8[ID],0))&amp;""</f>
        <v>Barrière BH12</v>
      </c>
      <c r="J965" s="101"/>
      <c r="K965" s="167" t="str">
        <f>INDEX(Tableau8[Nom du modele],MATCH(Tableau3[[#This Row],[ID-INS]],Tableau8[ID],0))&amp;""</f>
        <v>BarriereHerse_1</v>
      </c>
      <c r="L965" s="141" t="str">
        <f>INDEX(Tableau5[Att1],MATCH(Tableau3[[#This Row],[ID-SIG]],Tableau5[ID],0))&amp;""</f>
        <v>Pres</v>
      </c>
      <c r="M965" s="141" t="str">
        <f>INDEX(Tableau5[Att2],MATCH(Tableau3[[#This Row],[ID-SIG]],Tableau5[ID],0))&amp;""</f>
        <v/>
      </c>
      <c r="N965" s="141" t="str">
        <f>INDEX(Tableau5[Att3],MATCH(Tableau3[[#This Row],[ID-SIG]],Tableau5[ID],0))&amp;""</f>
        <v/>
      </c>
      <c r="O965" s="99"/>
      <c r="P965" s="141" t="str">
        <f>INDEX(Tableau5[Description],MATCH(Tableau3[[#This Row],[ID-SIG]],Tableau5[ID],0))</f>
        <v>Présence sous la barrière (Cellule)</v>
      </c>
      <c r="Q965" s="99"/>
      <c r="R965" s="142" t="str">
        <f>Tableau3[[#This Row],[Description]]</f>
        <v>Présence sous la barrière (Cellule)</v>
      </c>
      <c r="U965" s="87">
        <v>6</v>
      </c>
      <c r="V965" s="87">
        <v>1</v>
      </c>
      <c r="W965" s="87">
        <v>9</v>
      </c>
      <c r="X965" s="87">
        <v>11</v>
      </c>
      <c r="Y965" s="40"/>
      <c r="Z965" s="165" t="str">
        <f>INDEX(Tableau2[TS],MATCH(Tableau3[[#This Row],[ID-CARTEVOIE]],Tableau2[ID-CARTEVOIE],0))</f>
        <v>ET</v>
      </c>
      <c r="AA965" s="144" t="s">
        <v>213</v>
      </c>
      <c r="AB965" s="224" t="str">
        <f>IFERROR(INDEX(Tableau5[Reserve],MATCH(Tableau3[[#This Row],[ID-SIG]],Tableau5[ID],0))&amp;"","")</f>
        <v/>
      </c>
      <c r="AC965" s="119"/>
      <c r="AD965" s="120" t="str">
        <f>INDEX(Tableau7[Repere],MATCH(Tableau3[[#This Row],[ID-API]],Tableau7[ID-API],0))&amp;""</f>
        <v>A6</v>
      </c>
      <c r="AE965" s="120" t="str">
        <f>INDEX(Tableau1[Repere-Rack],MATCH(Tableau3[[#This Row],[ID-RACK]],Tableau1[ID-RACK],0))&amp;""</f>
        <v>R1</v>
      </c>
      <c r="AF965" s="120" t="str">
        <f>INDEX(Tableau1[Repere-Slot],MATCH(Tableau3[[#This Row],[ID-SLOT]],Tableau1[ID-SLOT],0))&amp;""</f>
        <v>S9</v>
      </c>
      <c r="AG965" s="120" t="str">
        <f>INDEX(Tableau2[Repere-Voie],MATCH(Tableau3[[#This Row],[ID-VOIE]],Tableau2[ID-Voie],0))&amp;""</f>
        <v>v11</v>
      </c>
      <c r="AH965" s="122" t="str">
        <f>Tableau3[[#This Row],[ID-API]]&amp; "." &amp;Tableau3[[#This Row],[ID-RACK]]&amp; "." &amp;Tableau3[[#This Row],[ID-SLOT]]</f>
        <v>6.1.9</v>
      </c>
      <c r="AI965" s="72" t="str">
        <f>INDEX(Tableau1[Ref-Carte],MATCH(Tableau3[[#This Row],[ID-RRS]],Tableau1[ID-RRS],0))</f>
        <v>SDI1602</v>
      </c>
      <c r="AJ965" s="72" t="str">
        <f t="array" ref="AJ965">IFERROR(INDEX(Tableau2[TS],MATCH(1,(Tableau2[Ref-Carte]=Tableau3[[#This Row],[Ref-Carte2]])*(Tableau2[ID-Voie]=Tableau3[[#This Row],[ID-VOIE]]),0)),"")</f>
        <v>ET</v>
      </c>
      <c r="AK965" s="72" t="str">
        <f>IFERROR(INDEX(Tableau2[TS],SUMPRODUCT((Tableau2[Ref-Carte]=Tableau3[[#This Row],[Ref-Carte2]])*(Tableau2[ID-Voie]=Tableau3[[#This Row],[ID-VOIE]])*ROW(Tableau2[TS]))-ROW(Tableau2[#Headers])),"")</f>
        <v>ET</v>
      </c>
      <c r="AL965" s="122" t="str">
        <f>Tableau3[[#This Row],[Ref-Carte2]]&amp;"/"&amp;Tableau3[[#This Row],[ID-VOIE]]</f>
        <v>SDI1602/11</v>
      </c>
      <c r="AM965" s="145" t="str">
        <f>INDEX(Tableau2[Borne],MATCH(Tableau3[[#This Row],[ID-CARTEVOIE]],Tableau2[ID-CARTEVOIE],0))&amp;""</f>
        <v>5A</v>
      </c>
      <c r="AN965" s="124" t="str">
        <f>Tableau3[[#This Row],[ID-API]]&amp;Tableau3[[#This Row],[ID-RACK]]&amp;Tableau3[[#This Row],[ID-SLOT]]&amp;Tableau3[[#This Row],[BORNE]]</f>
        <v>6195A</v>
      </c>
      <c r="AO965" s="125"/>
    </row>
    <row r="966" spans="1:41" ht="20.100000000000001" customHeight="1" thickTop="1" thickBot="1">
      <c r="A966" s="68"/>
      <c r="B966" s="69" t="str">
        <f>IFERROR(INDEX(Tableau4[Date],MATCH($A966,Tableau4[EVO],0)),"")</f>
        <v/>
      </c>
      <c r="C966" s="68" t="str">
        <f>IFERROR(INDEX(Tableau4[Designation],MATCH($A966,Tableau4[EVO],0)),"")</f>
        <v/>
      </c>
      <c r="D966" s="68"/>
      <c r="E966" s="70">
        <v>43</v>
      </c>
      <c r="F966" s="71">
        <v>87</v>
      </c>
      <c r="G966" s="101" t="str">
        <f>INDEX(Tableau8[Att1],MATCH(Tableau3[[#This Row],[ID-INS]],Tableau8[ID],0))&amp;""</f>
        <v>V5</v>
      </c>
      <c r="H966" s="101" t="str">
        <f>INDEX(Tableau8[Att2],MATCH(Tableau3[[#This Row],[ID-INS]],Tableau8[ID],0))&amp;""</f>
        <v>AVB2</v>
      </c>
      <c r="I966" s="101" t="str">
        <f>INDEX(Tableau8[Att3],MATCH(Tableau3[[#This Row],[ID-INS]],Tableau8[ID],0))&amp;""</f>
        <v>Anti-belier AVB2</v>
      </c>
      <c r="J966" s="101"/>
      <c r="K966" s="167" t="str">
        <f>INDEX(Tableau8[Nom du modele],MATCH(Tableau3[[#This Row],[ID-INS]],Tableau8[ID],0))&amp;""</f>
        <v>AVB_1</v>
      </c>
      <c r="L966" s="99" t="str">
        <f>INDEX(Tableau5[Att1],MATCH(Tableau3[[#This Row],[ID-SIG]],Tableau5[ID],0))&amp;""</f>
        <v>Réserve</v>
      </c>
      <c r="M966" s="99" t="str">
        <f>INDEX(Tableau5[Att2],MATCH(Tableau3[[#This Row],[ID-SIG]],Tableau5[ID],0))&amp;""</f>
        <v/>
      </c>
      <c r="N966" s="99" t="str">
        <f>INDEX(Tableau5[Att3],MATCH(Tableau3[[#This Row],[ID-SIG]],Tableau5[ID],0))&amp;""</f>
        <v/>
      </c>
      <c r="O966" s="99"/>
      <c r="P966" s="99" t="str">
        <f>INDEX(Tableau5[Description],MATCH(Tableau3[[#This Row],[ID-SIG]],Tableau5[ID],0))</f>
        <v>Réserve</v>
      </c>
      <c r="Q966" s="99"/>
      <c r="R966" s="103" t="str">
        <f>Tableau3[[#This Row],[Description]]</f>
        <v>Réserve</v>
      </c>
      <c r="U966" s="87">
        <v>6</v>
      </c>
      <c r="V966" s="87">
        <v>1</v>
      </c>
      <c r="W966" s="87">
        <v>9</v>
      </c>
      <c r="X966" s="87">
        <v>12</v>
      </c>
      <c r="Y966" s="40"/>
      <c r="Z966" s="165" t="str">
        <f>INDEX(Tableau2[TS],MATCH(Tableau3[[#This Row],[ID-CARTEVOIE]],Tableau2[ID-CARTEVOIE],0))</f>
        <v>ET</v>
      </c>
      <c r="AA966" s="53" t="s">
        <v>213</v>
      </c>
      <c r="AB966" s="223" t="str">
        <f>IFERROR(INDEX(Tableau5[Reserve],MATCH(Tableau3[[#This Row],[ID-SIG]],Tableau5[ID],0))&amp;"","")</f>
        <v/>
      </c>
      <c r="AC966" s="21"/>
      <c r="AD966" s="108" t="str">
        <f>INDEX(Tableau7[Repere],MATCH(Tableau3[[#This Row],[ID-API]],Tableau7[ID-API],0))&amp;""</f>
        <v>A6</v>
      </c>
      <c r="AE966" s="108" t="str">
        <f>INDEX(Tableau1[Repere-Rack],MATCH(Tableau3[[#This Row],[ID-RACK]],Tableau1[ID-RACK],0))&amp;""</f>
        <v>R1</v>
      </c>
      <c r="AF966" s="108" t="str">
        <f>INDEX(Tableau1[Repere-Slot],MATCH(Tableau3[[#This Row],[ID-SLOT]],Tableau1[ID-SLOT],0))&amp;""</f>
        <v>S9</v>
      </c>
      <c r="AG966" s="108" t="str">
        <f>INDEX(Tableau2[Repere-Voie],MATCH(Tableau3[[#This Row],[ID-VOIE]],Tableau2[ID-Voie],0))&amp;""</f>
        <v>v12</v>
      </c>
      <c r="AH966" s="72" t="str">
        <f>Tableau3[[#This Row],[ID-API]]&amp; "." &amp;Tableau3[[#This Row],[ID-RACK]]&amp; "." &amp;Tableau3[[#This Row],[ID-SLOT]]</f>
        <v>6.1.9</v>
      </c>
      <c r="AI966" s="72" t="str">
        <f>INDEX(Tableau1[Ref-Carte],MATCH(Tableau3[[#This Row],[ID-RRS]],Tableau1[ID-RRS],0))</f>
        <v>SDI1602</v>
      </c>
      <c r="AJ966" s="72" t="str">
        <f t="array" ref="AJ966">IFERROR(INDEX(Tableau2[TS],MATCH(1,(Tableau2[Ref-Carte]=Tableau3[[#This Row],[Ref-Carte2]])*(Tableau2[ID-Voie]=Tableau3[[#This Row],[ID-VOIE]]),0)),"")</f>
        <v>ET</v>
      </c>
      <c r="AK966" s="72" t="str">
        <f>IFERROR(INDEX(Tableau2[TS],SUMPRODUCT((Tableau2[Ref-Carte]=Tableau3[[#This Row],[Ref-Carte2]])*(Tableau2[ID-Voie]=Tableau3[[#This Row],[ID-VOIE]])*ROW(Tableau2[TS]))-ROW(Tableau2[#Headers])),"")</f>
        <v>ET</v>
      </c>
      <c r="AL966" s="72" t="str">
        <f>Tableau3[[#This Row],[Ref-Carte2]]&amp;"/"&amp;Tableau3[[#This Row],[ID-VOIE]]</f>
        <v>SDI1602/12</v>
      </c>
      <c r="AM966" s="73" t="str">
        <f>INDEX(Tableau2[Borne],MATCH(Tableau3[[#This Row],[ID-CARTEVOIE]],Tableau2[ID-CARTEVOIE],0))&amp;""</f>
        <v>6B</v>
      </c>
      <c r="AN966" s="74" t="str">
        <f>Tableau3[[#This Row],[ID-API]]&amp;Tableau3[[#This Row],[ID-RACK]]&amp;Tableau3[[#This Row],[ID-SLOT]]&amp;Tableau3[[#This Row],[BORNE]]</f>
        <v>6196B</v>
      </c>
      <c r="AO966" s="1"/>
    </row>
    <row r="967" spans="1:41" ht="20.100000000000001" customHeight="1" thickTop="1" thickBot="1">
      <c r="A967" s="68"/>
      <c r="B967" s="69" t="str">
        <f>IFERROR(INDEX(Tableau4[Date],MATCH($A967,Tableau4[EVO],0)),"")</f>
        <v/>
      </c>
      <c r="C967" s="68" t="str">
        <f>IFERROR(INDEX(Tableau4[Designation],MATCH($A967,Tableau4[EVO],0)),"")</f>
        <v/>
      </c>
      <c r="D967" s="68"/>
      <c r="E967" s="70">
        <v>43</v>
      </c>
      <c r="F967" s="71">
        <v>88</v>
      </c>
      <c r="G967" s="101" t="str">
        <f>INDEX(Tableau8[Att1],MATCH(Tableau3[[#This Row],[ID-INS]],Tableau8[ID],0))&amp;""</f>
        <v>V5</v>
      </c>
      <c r="H967" s="101" t="str">
        <f>INDEX(Tableau8[Att2],MATCH(Tableau3[[#This Row],[ID-INS]],Tableau8[ID],0))&amp;""</f>
        <v>AVB2</v>
      </c>
      <c r="I967" s="101" t="str">
        <f>INDEX(Tableau8[Att3],MATCH(Tableau3[[#This Row],[ID-INS]],Tableau8[ID],0))&amp;""</f>
        <v>Anti-belier AVB2</v>
      </c>
      <c r="J967" s="101"/>
      <c r="K967" s="167" t="str">
        <f>INDEX(Tableau8[Nom du modele],MATCH(Tableau3[[#This Row],[ID-INS]],Tableau8[ID],0))&amp;""</f>
        <v>AVB_1</v>
      </c>
      <c r="L967" s="99" t="str">
        <f>INDEX(Tableau5[Att1],MATCH(Tableau3[[#This Row],[ID-SIG]],Tableau5[ID],0))&amp;""</f>
        <v>Montee2</v>
      </c>
      <c r="M967" s="99" t="str">
        <f>INDEX(Tableau5[Att2],MATCH(Tableau3[[#This Row],[ID-SIG]],Tableau5[ID],0))&amp;""</f>
        <v/>
      </c>
      <c r="N967" s="99" t="str">
        <f>INDEX(Tableau5[Att3],MATCH(Tableau3[[#This Row],[ID-SIG]],Tableau5[ID],0))&amp;""</f>
        <v/>
      </c>
      <c r="O967" s="99"/>
      <c r="P967" s="99" t="str">
        <f>INDEX(Tableau5[Description],MATCH(Tableau3[[#This Row],[ID-SIG]],Tableau5[ID],0))</f>
        <v>Position 2 montée</v>
      </c>
      <c r="Q967" s="99"/>
      <c r="R967" s="103" t="str">
        <f>Tableau3[[#This Row],[Description]]</f>
        <v>Position 2 montée</v>
      </c>
      <c r="U967" s="87">
        <v>6</v>
      </c>
      <c r="V967" s="87">
        <v>1</v>
      </c>
      <c r="W967" s="87">
        <v>9</v>
      </c>
      <c r="X967" s="87">
        <v>13</v>
      </c>
      <c r="Y967" s="40"/>
      <c r="Z967" s="165" t="str">
        <f>INDEX(Tableau2[TS],MATCH(Tableau3[[#This Row],[ID-CARTEVOIE]],Tableau2[ID-CARTEVOIE],0))</f>
        <v>ET</v>
      </c>
      <c r="AA967" s="53" t="s">
        <v>213</v>
      </c>
      <c r="AB967" s="223" t="str">
        <f>IFERROR(INDEX(Tableau5[Reserve],MATCH(Tableau3[[#This Row],[ID-SIG]],Tableau5[ID],0))&amp;"","")</f>
        <v/>
      </c>
      <c r="AC967" s="21"/>
      <c r="AD967" s="108" t="str">
        <f>INDEX(Tableau7[Repere],MATCH(Tableau3[[#This Row],[ID-API]],Tableau7[ID-API],0))&amp;""</f>
        <v>A6</v>
      </c>
      <c r="AE967" s="108" t="str">
        <f>INDEX(Tableau1[Repere-Rack],MATCH(Tableau3[[#This Row],[ID-RACK]],Tableau1[ID-RACK],0))&amp;""</f>
        <v>R1</v>
      </c>
      <c r="AF967" s="108" t="str">
        <f>INDEX(Tableau1[Repere-Slot],MATCH(Tableau3[[#This Row],[ID-SLOT]],Tableau1[ID-SLOT],0))&amp;""</f>
        <v>S9</v>
      </c>
      <c r="AG967" s="108" t="str">
        <f>INDEX(Tableau2[Repere-Voie],MATCH(Tableau3[[#This Row],[ID-VOIE]],Tableau2[ID-Voie],0))&amp;""</f>
        <v>v13</v>
      </c>
      <c r="AH967" s="72" t="str">
        <f>Tableau3[[#This Row],[ID-API]]&amp; "." &amp;Tableau3[[#This Row],[ID-RACK]]&amp; "." &amp;Tableau3[[#This Row],[ID-SLOT]]</f>
        <v>6.1.9</v>
      </c>
      <c r="AI967" s="72" t="str">
        <f>INDEX(Tableau1[Ref-Carte],MATCH(Tableau3[[#This Row],[ID-RRS]],Tableau1[ID-RRS],0))</f>
        <v>SDI1602</v>
      </c>
      <c r="AJ967" s="72" t="str">
        <f t="array" ref="AJ967">IFERROR(INDEX(Tableau2[TS],MATCH(1,(Tableau2[Ref-Carte]=Tableau3[[#This Row],[Ref-Carte2]])*(Tableau2[ID-Voie]=Tableau3[[#This Row],[ID-VOIE]]),0)),"")</f>
        <v>ET</v>
      </c>
      <c r="AK967" s="72" t="str">
        <f>IFERROR(INDEX(Tableau2[TS],SUMPRODUCT((Tableau2[Ref-Carte]=Tableau3[[#This Row],[Ref-Carte2]])*(Tableau2[ID-Voie]=Tableau3[[#This Row],[ID-VOIE]])*ROW(Tableau2[TS]))-ROW(Tableau2[#Headers])),"")</f>
        <v>ET</v>
      </c>
      <c r="AL967" s="72" t="str">
        <f>Tableau3[[#This Row],[Ref-Carte2]]&amp;"/"&amp;Tableau3[[#This Row],[ID-VOIE]]</f>
        <v>SDI1602/13</v>
      </c>
      <c r="AM967" s="73" t="str">
        <f>INDEX(Tableau2[Borne],MATCH(Tableau3[[#This Row],[ID-CARTEVOIE]],Tableau2[ID-CARTEVOIE],0))&amp;""</f>
        <v>6A</v>
      </c>
      <c r="AN967" s="74" t="str">
        <f>Tableau3[[#This Row],[ID-API]]&amp;Tableau3[[#This Row],[ID-RACK]]&amp;Tableau3[[#This Row],[ID-SLOT]]&amp;Tableau3[[#This Row],[BORNE]]</f>
        <v>6196A</v>
      </c>
      <c r="AO967" s="1"/>
    </row>
    <row r="968" spans="1:41" ht="20.100000000000001" customHeight="1" thickTop="1" thickBot="1">
      <c r="A968" s="68"/>
      <c r="B968" s="69" t="str">
        <f>IFERROR(INDEX(Tableau4[Date],MATCH($A968,Tableau4[EVO],0)),"")</f>
        <v/>
      </c>
      <c r="C968" s="68" t="str">
        <f>IFERROR(INDEX(Tableau4[Designation],MATCH($A968,Tableau4[EVO],0)),"")</f>
        <v/>
      </c>
      <c r="D968" s="68"/>
      <c r="E968" s="70">
        <v>43</v>
      </c>
      <c r="F968" s="71">
        <v>92</v>
      </c>
      <c r="G968" s="101" t="str">
        <f>INDEX(Tableau8[Att1],MATCH(Tableau3[[#This Row],[ID-INS]],Tableau8[ID],0))&amp;""</f>
        <v>V5</v>
      </c>
      <c r="H968" s="101" t="str">
        <f>INDEX(Tableau8[Att2],MATCH(Tableau3[[#This Row],[ID-INS]],Tableau8[ID],0))&amp;""</f>
        <v>AVB2</v>
      </c>
      <c r="I968" s="101" t="str">
        <f>INDEX(Tableau8[Att3],MATCH(Tableau3[[#This Row],[ID-INS]],Tableau8[ID],0))&amp;""</f>
        <v>Anti-belier AVB2</v>
      </c>
      <c r="J968" s="101"/>
      <c r="K968" s="167" t="str">
        <f>INDEX(Tableau8[Nom du modele],MATCH(Tableau3[[#This Row],[ID-INS]],Tableau8[ID],0))&amp;""</f>
        <v>AVB_1</v>
      </c>
      <c r="L968" s="141" t="str">
        <f>INDEX(Tableau5[Att1],MATCH(Tableau3[[#This Row],[ID-SIG]],Tableau5[ID],0))&amp;""</f>
        <v>Descendu</v>
      </c>
      <c r="M968" s="99" t="str">
        <f>INDEX(Tableau5[Att2],MATCH(Tableau3[[#This Row],[ID-SIG]],Tableau5[ID],0))&amp;""</f>
        <v/>
      </c>
      <c r="N968" s="99" t="str">
        <f>INDEX(Tableau5[Att3],MATCH(Tableau3[[#This Row],[ID-SIG]],Tableau5[ID],0))&amp;""</f>
        <v/>
      </c>
      <c r="O968" s="99"/>
      <c r="P968" s="141" t="str">
        <f>INDEX(Tableau5[Description],MATCH(Tableau3[[#This Row],[ID-SIG]],Tableau5[ID],0))</f>
        <v>Position descendu</v>
      </c>
      <c r="Q968" s="99"/>
      <c r="R968" s="103" t="str">
        <f>Tableau3[[#This Row],[Description]]</f>
        <v>Position descendu</v>
      </c>
      <c r="U968" s="87">
        <v>6</v>
      </c>
      <c r="V968" s="87">
        <v>1</v>
      </c>
      <c r="W968" s="87">
        <v>9</v>
      </c>
      <c r="X968" s="87">
        <v>14</v>
      </c>
      <c r="Y968" s="40"/>
      <c r="Z968" s="165" t="str">
        <f>INDEX(Tableau2[TS],MATCH(Tableau3[[#This Row],[ID-CARTEVOIE]],Tableau2[ID-CARTEVOIE],0))</f>
        <v>ET</v>
      </c>
      <c r="AA968" s="53" t="s">
        <v>213</v>
      </c>
      <c r="AB968" s="223" t="str">
        <f>IFERROR(INDEX(Tableau5[Reserve],MATCH(Tableau3[[#This Row],[ID-SIG]],Tableau5[ID],0))&amp;"","")</f>
        <v/>
      </c>
      <c r="AC968" s="21"/>
      <c r="AD968" s="108" t="str">
        <f>INDEX(Tableau7[Repere],MATCH(Tableau3[[#This Row],[ID-API]],Tableau7[ID-API],0))&amp;""</f>
        <v>A6</v>
      </c>
      <c r="AE968" s="108" t="str">
        <f>INDEX(Tableau1[Repere-Rack],MATCH(Tableau3[[#This Row],[ID-RACK]],Tableau1[ID-RACK],0))&amp;""</f>
        <v>R1</v>
      </c>
      <c r="AF968" s="108" t="str">
        <f>INDEX(Tableau1[Repere-Slot],MATCH(Tableau3[[#This Row],[ID-SLOT]],Tableau1[ID-SLOT],0))&amp;""</f>
        <v>S9</v>
      </c>
      <c r="AG968" s="108" t="str">
        <f>INDEX(Tableau2[Repere-Voie],MATCH(Tableau3[[#This Row],[ID-VOIE]],Tableau2[ID-Voie],0))&amp;""</f>
        <v>v14</v>
      </c>
      <c r="AH968" s="72" t="str">
        <f>Tableau3[[#This Row],[ID-API]]&amp; "." &amp;Tableau3[[#This Row],[ID-RACK]]&amp; "." &amp;Tableau3[[#This Row],[ID-SLOT]]</f>
        <v>6.1.9</v>
      </c>
      <c r="AI968" s="72" t="str">
        <f>INDEX(Tableau1[Ref-Carte],MATCH(Tableau3[[#This Row],[ID-RRS]],Tableau1[ID-RRS],0))</f>
        <v>SDI1602</v>
      </c>
      <c r="AJ968" s="72" t="str">
        <f t="array" ref="AJ968">IFERROR(INDEX(Tableau2[TS],MATCH(1,(Tableau2[Ref-Carte]=Tableau3[[#This Row],[Ref-Carte2]])*(Tableau2[ID-Voie]=Tableau3[[#This Row],[ID-VOIE]]),0)),"")</f>
        <v>ET</v>
      </c>
      <c r="AK968" s="72" t="str">
        <f>IFERROR(INDEX(Tableau2[TS],SUMPRODUCT((Tableau2[Ref-Carte]=Tableau3[[#This Row],[Ref-Carte2]])*(Tableau2[ID-Voie]=Tableau3[[#This Row],[ID-VOIE]])*ROW(Tableau2[TS]))-ROW(Tableau2[#Headers])),"")</f>
        <v>ET</v>
      </c>
      <c r="AL968" s="72" t="str">
        <f>Tableau3[[#This Row],[Ref-Carte2]]&amp;"/"&amp;Tableau3[[#This Row],[ID-VOIE]]</f>
        <v>SDI1602/14</v>
      </c>
      <c r="AM968" s="73" t="str">
        <f>INDEX(Tableau2[Borne],MATCH(Tableau3[[#This Row],[ID-CARTEVOIE]],Tableau2[ID-CARTEVOIE],0))&amp;""</f>
        <v>7B</v>
      </c>
      <c r="AN968" s="74" t="str">
        <f>Tableau3[[#This Row],[ID-API]]&amp;Tableau3[[#This Row],[ID-RACK]]&amp;Tableau3[[#This Row],[ID-SLOT]]&amp;Tableau3[[#This Row],[BORNE]]</f>
        <v>6197B</v>
      </c>
      <c r="AO968" s="1"/>
    </row>
    <row r="969" spans="1:41" ht="20.100000000000001" customHeight="1" thickTop="1" thickBot="1">
      <c r="A969" s="68"/>
      <c r="B969" s="69" t="str">
        <f>IFERROR(INDEX(Tableau4[Date],MATCH($A969,Tableau4[EVO],0)),"")</f>
        <v/>
      </c>
      <c r="C969" s="68" t="str">
        <f>IFERROR(INDEX(Tableau4[Designation],MATCH($A969,Tableau4[EVO],0)),"")</f>
        <v/>
      </c>
      <c r="D969" s="68"/>
      <c r="E969" s="70">
        <v>43</v>
      </c>
      <c r="F969" s="71">
        <v>93</v>
      </c>
      <c r="G969" s="101" t="str">
        <f>INDEX(Tableau8[Att1],MATCH(Tableau3[[#This Row],[ID-INS]],Tableau8[ID],0))&amp;""</f>
        <v>V5</v>
      </c>
      <c r="H969" s="101" t="str">
        <f>INDEX(Tableau8[Att2],MATCH(Tableau3[[#This Row],[ID-INS]],Tableau8[ID],0))&amp;""</f>
        <v>AVB2</v>
      </c>
      <c r="I969" s="101" t="str">
        <f>INDEX(Tableau8[Att3],MATCH(Tableau3[[#This Row],[ID-INS]],Tableau8[ID],0))&amp;""</f>
        <v>Anti-belier AVB2</v>
      </c>
      <c r="J969" s="101"/>
      <c r="K969" s="167" t="str">
        <f>INDEX(Tableau8[Nom du modele],MATCH(Tableau3[[#This Row],[ID-INS]],Tableau8[ID],0))&amp;""</f>
        <v>AVB_1</v>
      </c>
      <c r="L969" s="99" t="str">
        <f>INDEX(Tableau5[Att1],MATCH(Tableau3[[#This Row],[ID-SIG]],Tableau5[ID],0))&amp;""</f>
        <v>Effraction</v>
      </c>
      <c r="M969" s="99" t="str">
        <f>INDEX(Tableau5[Att2],MATCH(Tableau3[[#This Row],[ID-SIG]],Tableau5[ID],0))&amp;""</f>
        <v/>
      </c>
      <c r="N969" s="99" t="str">
        <f>INDEX(Tableau5[Att3],MATCH(Tableau3[[#This Row],[ID-SIG]],Tableau5[ID],0))&amp;""</f>
        <v/>
      </c>
      <c r="O969" s="99"/>
      <c r="P969" s="99" t="str">
        <f>INDEX(Tableau5[Description],MATCH(Tableau3[[#This Row],[ID-SIG]],Tableau5[ID],0))</f>
        <v>Effraction</v>
      </c>
      <c r="Q969" s="99"/>
      <c r="R969" s="103" t="str">
        <f>Tableau3[[#This Row],[Description]]</f>
        <v>Effraction</v>
      </c>
      <c r="U969" s="87">
        <v>6</v>
      </c>
      <c r="V969" s="87">
        <v>1</v>
      </c>
      <c r="W969" s="87">
        <v>9</v>
      </c>
      <c r="X969" s="87">
        <v>15</v>
      </c>
      <c r="Y969" s="40"/>
      <c r="Z969" s="165" t="str">
        <f>INDEX(Tableau2[TS],MATCH(Tableau3[[#This Row],[ID-CARTEVOIE]],Tableau2[ID-CARTEVOIE],0))</f>
        <v>ET</v>
      </c>
      <c r="AA969" s="53" t="s">
        <v>213</v>
      </c>
      <c r="AB969" s="223" t="str">
        <f>IFERROR(INDEX(Tableau5[Reserve],MATCH(Tableau3[[#This Row],[ID-SIG]],Tableau5[ID],0))&amp;"","")</f>
        <v/>
      </c>
      <c r="AC969" s="21"/>
      <c r="AD969" s="108" t="str">
        <f>INDEX(Tableau7[Repere],MATCH(Tableau3[[#This Row],[ID-API]],Tableau7[ID-API],0))&amp;""</f>
        <v>A6</v>
      </c>
      <c r="AE969" s="108" t="str">
        <f>INDEX(Tableau1[Repere-Rack],MATCH(Tableau3[[#This Row],[ID-RACK]],Tableau1[ID-RACK],0))&amp;""</f>
        <v>R1</v>
      </c>
      <c r="AF969" s="108" t="str">
        <f>INDEX(Tableau1[Repere-Slot],MATCH(Tableau3[[#This Row],[ID-SLOT]],Tableau1[ID-SLOT],0))&amp;""</f>
        <v>S9</v>
      </c>
      <c r="AG969" s="108" t="str">
        <f>INDEX(Tableau2[Repere-Voie],MATCH(Tableau3[[#This Row],[ID-VOIE]],Tableau2[ID-Voie],0))&amp;""</f>
        <v>v15</v>
      </c>
      <c r="AH969" s="72" t="str">
        <f>Tableau3[[#This Row],[ID-API]]&amp; "." &amp;Tableau3[[#This Row],[ID-RACK]]&amp; "." &amp;Tableau3[[#This Row],[ID-SLOT]]</f>
        <v>6.1.9</v>
      </c>
      <c r="AI969" s="72" t="str">
        <f>INDEX(Tableau1[Ref-Carte],MATCH(Tableau3[[#This Row],[ID-RRS]],Tableau1[ID-RRS],0))</f>
        <v>SDI1602</v>
      </c>
      <c r="AJ969" s="72" t="str">
        <f t="array" ref="AJ969">IFERROR(INDEX(Tableau2[TS],MATCH(1,(Tableau2[Ref-Carte]=Tableau3[[#This Row],[Ref-Carte2]])*(Tableau2[ID-Voie]=Tableau3[[#This Row],[ID-VOIE]]),0)),"")</f>
        <v>ET</v>
      </c>
      <c r="AK969" s="72" t="str">
        <f>IFERROR(INDEX(Tableau2[TS],SUMPRODUCT((Tableau2[Ref-Carte]=Tableau3[[#This Row],[Ref-Carte2]])*(Tableau2[ID-Voie]=Tableau3[[#This Row],[ID-VOIE]])*ROW(Tableau2[TS]))-ROW(Tableau2[#Headers])),"")</f>
        <v>ET</v>
      </c>
      <c r="AL969" s="72" t="str">
        <f>Tableau3[[#This Row],[Ref-Carte2]]&amp;"/"&amp;Tableau3[[#This Row],[ID-VOIE]]</f>
        <v>SDI1602/15</v>
      </c>
      <c r="AM969" s="73" t="str">
        <f>INDEX(Tableau2[Borne],MATCH(Tableau3[[#This Row],[ID-CARTEVOIE]],Tableau2[ID-CARTEVOIE],0))&amp;""</f>
        <v>7A</v>
      </c>
      <c r="AN969" s="74" t="str">
        <f>Tableau3[[#This Row],[ID-API]]&amp;Tableau3[[#This Row],[ID-RACK]]&amp;Tableau3[[#This Row],[ID-SLOT]]&amp;Tableau3[[#This Row],[BORNE]]</f>
        <v>6197A</v>
      </c>
      <c r="AO969" s="1"/>
    </row>
    <row r="970" spans="1:41" ht="20.100000000000001" customHeight="1" thickTop="1" thickBot="1">
      <c r="A970" s="68"/>
      <c r="B970" s="69" t="str">
        <f>IFERROR(INDEX(Tableau4[Date],MATCH($A970,Tableau4[EVO],0)),"")</f>
        <v/>
      </c>
      <c r="C970" s="68" t="str">
        <f>IFERROR(INDEX(Tableau4[Designation],MATCH($A970,Tableau4[EVO],0)),"")</f>
        <v/>
      </c>
      <c r="D970" s="68"/>
      <c r="E970" s="70">
        <v>43</v>
      </c>
      <c r="F970" s="71">
        <v>94</v>
      </c>
      <c r="G970" s="101" t="str">
        <f>INDEX(Tableau8[Att1],MATCH(Tableau3[[#This Row],[ID-INS]],Tableau8[ID],0))&amp;""</f>
        <v>V5</v>
      </c>
      <c r="H970" s="101" t="str">
        <f>INDEX(Tableau8[Att2],MATCH(Tableau3[[#This Row],[ID-INS]],Tableau8[ID],0))&amp;""</f>
        <v>AVB2</v>
      </c>
      <c r="I970" s="101" t="str">
        <f>INDEX(Tableau8[Att3],MATCH(Tableau3[[#This Row],[ID-INS]],Tableau8[ID],0))&amp;""</f>
        <v>Anti-belier AVB2</v>
      </c>
      <c r="J970" s="101"/>
      <c r="K970" s="167" t="str">
        <f>INDEX(Tableau8[Nom du modele],MATCH(Tableau3[[#This Row],[ID-INS]],Tableau8[ID],0))&amp;""</f>
        <v>AVB_1</v>
      </c>
      <c r="L970" s="99" t="str">
        <f>INDEX(Tableau5[Att1],MATCH(Tableau3[[#This Row],[ID-SIG]],Tableau5[ID],0))&amp;""</f>
        <v>SynthDef</v>
      </c>
      <c r="M970" s="99" t="str">
        <f>INDEX(Tableau5[Att2],MATCH(Tableau3[[#This Row],[ID-SIG]],Tableau5[ID],0))&amp;""</f>
        <v/>
      </c>
      <c r="N970" s="99" t="str">
        <f>INDEX(Tableau5[Att3],MATCH(Tableau3[[#This Row],[ID-SIG]],Tableau5[ID],0))&amp;""</f>
        <v/>
      </c>
      <c r="O970" s="99"/>
      <c r="P970" s="99" t="str">
        <f>INDEX(Tableau5[Description],MATCH(Tableau3[[#This Row],[ID-SIG]],Tableau5[ID],0))</f>
        <v>Synthèse défaut</v>
      </c>
      <c r="Q970" s="99"/>
      <c r="R970" s="103" t="str">
        <f>Tableau3[[#This Row],[Description]]</f>
        <v>Synthèse défaut</v>
      </c>
      <c r="U970" s="87">
        <v>6</v>
      </c>
      <c r="V970" s="87">
        <v>1</v>
      </c>
      <c r="W970" s="87">
        <v>10</v>
      </c>
      <c r="X970" s="87">
        <v>0</v>
      </c>
      <c r="Y970" s="40"/>
      <c r="Z970" s="165" t="str">
        <f>INDEX(Tableau2[TS],MATCH(Tableau3[[#This Row],[ID-CARTEVOIE]],Tableau2[ID-CARTEVOIE],0))</f>
        <v>ET</v>
      </c>
      <c r="AA970" s="53" t="s">
        <v>213</v>
      </c>
      <c r="AB970" s="223" t="str">
        <f>IFERROR(INDEX(Tableau5[Reserve],MATCH(Tableau3[[#This Row],[ID-SIG]],Tableau5[ID],0))&amp;"","")</f>
        <v/>
      </c>
      <c r="AC970" s="21"/>
      <c r="AD970" s="108" t="str">
        <f>INDEX(Tableau7[Repere],MATCH(Tableau3[[#This Row],[ID-API]],Tableau7[ID-API],0))&amp;""</f>
        <v>A6</v>
      </c>
      <c r="AE970" s="108" t="str">
        <f>INDEX(Tableau1[Repere-Rack],MATCH(Tableau3[[#This Row],[ID-RACK]],Tableau1[ID-RACK],0))&amp;""</f>
        <v>R1</v>
      </c>
      <c r="AF970" s="108" t="str">
        <f>INDEX(Tableau1[Repere-Slot],MATCH(Tableau3[[#This Row],[ID-SLOT]],Tableau1[ID-SLOT],0))&amp;""</f>
        <v>S10</v>
      </c>
      <c r="AG970" s="108" t="str">
        <f>INDEX(Tableau2[Repere-Voie],MATCH(Tableau3[[#This Row],[ID-VOIE]],Tableau2[ID-Voie],0))&amp;""</f>
        <v>v0</v>
      </c>
      <c r="AH970" s="72" t="str">
        <f>Tableau3[[#This Row],[ID-API]]&amp; "." &amp;Tableau3[[#This Row],[ID-RACK]]&amp; "." &amp;Tableau3[[#This Row],[ID-SLOT]]</f>
        <v>6.1.10</v>
      </c>
      <c r="AI970" s="72" t="str">
        <f>INDEX(Tableau1[Ref-Carte],MATCH(Tableau3[[#This Row],[ID-RRS]],Tableau1[ID-RRS],0))</f>
        <v>SDI1602</v>
      </c>
      <c r="AJ970" s="72" t="str">
        <f t="array" ref="AJ970">IFERROR(INDEX(Tableau2[TS],MATCH(1,(Tableau2[Ref-Carte]=Tableau3[[#This Row],[Ref-Carte2]])*(Tableau2[ID-Voie]=Tableau3[[#This Row],[ID-VOIE]]),0)),"")</f>
        <v>ET</v>
      </c>
      <c r="AK970" s="72" t="str">
        <f>IFERROR(INDEX(Tableau2[TS],SUMPRODUCT((Tableau2[Ref-Carte]=Tableau3[[#This Row],[Ref-Carte2]])*(Tableau2[ID-Voie]=Tableau3[[#This Row],[ID-VOIE]])*ROW(Tableau2[TS]))-ROW(Tableau2[#Headers])),"")</f>
        <v>ET</v>
      </c>
      <c r="AL970" s="72" t="str">
        <f>Tableau3[[#This Row],[Ref-Carte2]]&amp;"/"&amp;Tableau3[[#This Row],[ID-VOIE]]</f>
        <v>SDI1602/0</v>
      </c>
      <c r="AM970" s="73" t="str">
        <f>INDEX(Tableau2[Borne],MATCH(Tableau3[[#This Row],[ID-CARTEVOIE]],Tableau2[ID-CARTEVOIE],0))&amp;""</f>
        <v>0B</v>
      </c>
      <c r="AN970" s="74" t="str">
        <f>Tableau3[[#This Row],[ID-API]]&amp;Tableau3[[#This Row],[ID-RACK]]&amp;Tableau3[[#This Row],[ID-SLOT]]&amp;Tableau3[[#This Row],[BORNE]]</f>
        <v>61100B</v>
      </c>
      <c r="AO970" s="1"/>
    </row>
    <row r="971" spans="1:41" ht="20.100000000000001" customHeight="1" thickTop="1" thickBot="1">
      <c r="A971" s="68"/>
      <c r="B971" s="69" t="str">
        <f>IFERROR(INDEX(Tableau4[Date],MATCH($A971,Tableau4[EVO],0)),"")</f>
        <v/>
      </c>
      <c r="C971" s="68" t="str">
        <f>IFERROR(INDEX(Tableau4[Designation],MATCH($A971,Tableau4[EVO],0)),"")</f>
        <v/>
      </c>
      <c r="D971" s="68"/>
      <c r="E971" s="70">
        <v>43</v>
      </c>
      <c r="F971" s="71">
        <v>95</v>
      </c>
      <c r="G971" s="101" t="str">
        <f>INDEX(Tableau8[Att1],MATCH(Tableau3[[#This Row],[ID-INS]],Tableau8[ID],0))&amp;""</f>
        <v>V5</v>
      </c>
      <c r="H971" s="101" t="str">
        <f>INDEX(Tableau8[Att2],MATCH(Tableau3[[#This Row],[ID-INS]],Tableau8[ID],0))&amp;""</f>
        <v>AVB2</v>
      </c>
      <c r="I971" s="101" t="str">
        <f>INDEX(Tableau8[Att3],MATCH(Tableau3[[#This Row],[ID-INS]],Tableau8[ID],0))&amp;""</f>
        <v>Anti-belier AVB2</v>
      </c>
      <c r="J971" s="101"/>
      <c r="K971" s="167" t="str">
        <f>INDEX(Tableau8[Nom du modele],MATCH(Tableau3[[#This Row],[ID-INS]],Tableau8[ID],0))&amp;""</f>
        <v>AVB_1</v>
      </c>
      <c r="L971" s="99" t="str">
        <f>INDEX(Tableau5[Att1],MATCH(Tableau3[[#This Row],[ID-SIG]],Tableau5[ID],0))&amp;""</f>
        <v>MontRet1</v>
      </c>
      <c r="M971" s="99" t="str">
        <f>INDEX(Tableau5[Att2],MATCH(Tableau3[[#This Row],[ID-SIG]],Tableau5[ID],0))&amp;""</f>
        <v/>
      </c>
      <c r="N971" s="99" t="str">
        <f>INDEX(Tableau5[Att3],MATCH(Tableau3[[#This Row],[ID-SIG]],Tableau5[ID],0))&amp;""</f>
        <v/>
      </c>
      <c r="O971" s="99"/>
      <c r="P971" s="99" t="str">
        <f>INDEX(Tableau5[Description],MATCH(Tableau3[[#This Row],[ID-SIG]],Tableau5[ID],0))</f>
        <v>Retour Commande 1 monter</v>
      </c>
      <c r="Q971" s="99"/>
      <c r="R971" s="103" t="str">
        <f>Tableau3[[#This Row],[Description]]</f>
        <v>Retour Commande 1 monter</v>
      </c>
      <c r="U971" s="87">
        <v>6</v>
      </c>
      <c r="V971" s="87">
        <v>1</v>
      </c>
      <c r="W971" s="87">
        <v>10</v>
      </c>
      <c r="X971" s="87">
        <v>1</v>
      </c>
      <c r="Y971" s="40"/>
      <c r="Z971" s="165" t="str">
        <f>INDEX(Tableau2[TS],MATCH(Tableau3[[#This Row],[ID-CARTEVOIE]],Tableau2[ID-CARTEVOIE],0))</f>
        <v>ET</v>
      </c>
      <c r="AA971" s="53" t="s">
        <v>213</v>
      </c>
      <c r="AB971" s="223" t="str">
        <f>IFERROR(INDEX(Tableau5[Reserve],MATCH(Tableau3[[#This Row],[ID-SIG]],Tableau5[ID],0))&amp;"","")</f>
        <v/>
      </c>
      <c r="AC971" s="21"/>
      <c r="AD971" s="108" t="str">
        <f>INDEX(Tableau7[Repere],MATCH(Tableau3[[#This Row],[ID-API]],Tableau7[ID-API],0))&amp;""</f>
        <v>A6</v>
      </c>
      <c r="AE971" s="108" t="str">
        <f>INDEX(Tableau1[Repere-Rack],MATCH(Tableau3[[#This Row],[ID-RACK]],Tableau1[ID-RACK],0))&amp;""</f>
        <v>R1</v>
      </c>
      <c r="AF971" s="108" t="str">
        <f>INDEX(Tableau1[Repere-Slot],MATCH(Tableau3[[#This Row],[ID-SLOT]],Tableau1[ID-SLOT],0))&amp;""</f>
        <v>S10</v>
      </c>
      <c r="AG971" s="108" t="str">
        <f>INDEX(Tableau2[Repere-Voie],MATCH(Tableau3[[#This Row],[ID-VOIE]],Tableau2[ID-Voie],0))&amp;""</f>
        <v>v1</v>
      </c>
      <c r="AH971" s="72" t="str">
        <f>Tableau3[[#This Row],[ID-API]]&amp; "." &amp;Tableau3[[#This Row],[ID-RACK]]&amp; "." &amp;Tableau3[[#This Row],[ID-SLOT]]</f>
        <v>6.1.10</v>
      </c>
      <c r="AI971" s="72" t="str">
        <f>INDEX(Tableau1[Ref-Carte],MATCH(Tableau3[[#This Row],[ID-RRS]],Tableau1[ID-RRS],0))</f>
        <v>SDI1602</v>
      </c>
      <c r="AJ971" s="72" t="str">
        <f t="array" ref="AJ971">IFERROR(INDEX(Tableau2[TS],MATCH(1,(Tableau2[Ref-Carte]=Tableau3[[#This Row],[Ref-Carte2]])*(Tableau2[ID-Voie]=Tableau3[[#This Row],[ID-VOIE]]),0)),"")</f>
        <v>ET</v>
      </c>
      <c r="AK971" s="72" t="str">
        <f>IFERROR(INDEX(Tableau2[TS],SUMPRODUCT((Tableau2[Ref-Carte]=Tableau3[[#This Row],[Ref-Carte2]])*(Tableau2[ID-Voie]=Tableau3[[#This Row],[ID-VOIE]])*ROW(Tableau2[TS]))-ROW(Tableau2[#Headers])),"")</f>
        <v>ET</v>
      </c>
      <c r="AL971" s="72" t="str">
        <f>Tableau3[[#This Row],[Ref-Carte2]]&amp;"/"&amp;Tableau3[[#This Row],[ID-VOIE]]</f>
        <v>SDI1602/1</v>
      </c>
      <c r="AM971" s="73" t="str">
        <f>INDEX(Tableau2[Borne],MATCH(Tableau3[[#This Row],[ID-CARTEVOIE]],Tableau2[ID-CARTEVOIE],0))&amp;""</f>
        <v>0A</v>
      </c>
      <c r="AN971" s="74" t="str">
        <f>Tableau3[[#This Row],[ID-API]]&amp;Tableau3[[#This Row],[ID-RACK]]&amp;Tableau3[[#This Row],[ID-SLOT]]&amp;Tableau3[[#This Row],[BORNE]]</f>
        <v>61100A</v>
      </c>
      <c r="AO971" s="1"/>
    </row>
    <row r="972" spans="1:41" ht="20.100000000000001" customHeight="1" thickTop="1" thickBot="1">
      <c r="A972" s="68"/>
      <c r="B972" s="69" t="str">
        <f>IFERROR(INDEX(Tableau4[Date],MATCH($A972,Tableau4[EVO],0)),"")</f>
        <v/>
      </c>
      <c r="C972" s="68" t="str">
        <f>IFERROR(INDEX(Tableau4[Designation],MATCH($A972,Tableau4[EVO],0)),"")</f>
        <v/>
      </c>
      <c r="D972" s="68"/>
      <c r="E972" s="70">
        <v>43</v>
      </c>
      <c r="F972" s="71">
        <v>96</v>
      </c>
      <c r="G972" s="101" t="str">
        <f>INDEX(Tableau8[Att1],MATCH(Tableau3[[#This Row],[ID-INS]],Tableau8[ID],0))&amp;""</f>
        <v>V5</v>
      </c>
      <c r="H972" s="101" t="str">
        <f>INDEX(Tableau8[Att2],MATCH(Tableau3[[#This Row],[ID-INS]],Tableau8[ID],0))&amp;""</f>
        <v>AVB2</v>
      </c>
      <c r="I972" s="101" t="str">
        <f>INDEX(Tableau8[Att3],MATCH(Tableau3[[#This Row],[ID-INS]],Tableau8[ID],0))&amp;""</f>
        <v>Anti-belier AVB2</v>
      </c>
      <c r="J972" s="101"/>
      <c r="K972" s="167" t="str">
        <f>INDEX(Tableau8[Nom du modele],MATCH(Tableau3[[#This Row],[ID-INS]],Tableau8[ID],0))&amp;""</f>
        <v>AVB_1</v>
      </c>
      <c r="L972" s="99" t="str">
        <f>INDEX(Tableau5[Att1],MATCH(Tableau3[[#This Row],[ID-SIG]],Tableau5[ID],0))&amp;""</f>
        <v>Pres</v>
      </c>
      <c r="M972" s="99" t="str">
        <f>INDEX(Tableau5[Att2],MATCH(Tableau3[[#This Row],[ID-SIG]],Tableau5[ID],0))&amp;""</f>
        <v/>
      </c>
      <c r="N972" s="99" t="str">
        <f>INDEX(Tableau5[Att3],MATCH(Tableau3[[#This Row],[ID-SIG]],Tableau5[ID],0))&amp;""</f>
        <v/>
      </c>
      <c r="O972" s="99"/>
      <c r="P972" s="99" t="str">
        <f>INDEX(Tableau5[Description],MATCH(Tableau3[[#This Row],[ID-SIG]],Tableau5[ID],0))</f>
        <v>Présence sur AVB</v>
      </c>
      <c r="Q972" s="99"/>
      <c r="R972" s="103" t="str">
        <f>Tableau3[[#This Row],[Description]]</f>
        <v>Présence sur AVB</v>
      </c>
      <c r="U972" s="87">
        <v>6</v>
      </c>
      <c r="V972" s="87">
        <v>1</v>
      </c>
      <c r="W972" s="87">
        <v>10</v>
      </c>
      <c r="X972" s="87">
        <v>2</v>
      </c>
      <c r="Y972" s="40"/>
      <c r="Z972" s="165" t="str">
        <f>INDEX(Tableau2[TS],MATCH(Tableau3[[#This Row],[ID-CARTEVOIE]],Tableau2[ID-CARTEVOIE],0))</f>
        <v>ET</v>
      </c>
      <c r="AA972" s="53" t="s">
        <v>213</v>
      </c>
      <c r="AB972" s="223" t="str">
        <f>IFERROR(INDEX(Tableau5[Reserve],MATCH(Tableau3[[#This Row],[ID-SIG]],Tableau5[ID],0))&amp;"","")</f>
        <v/>
      </c>
      <c r="AC972" s="21"/>
      <c r="AD972" s="108" t="str">
        <f>INDEX(Tableau7[Repere],MATCH(Tableau3[[#This Row],[ID-API]],Tableau7[ID-API],0))&amp;""</f>
        <v>A6</v>
      </c>
      <c r="AE972" s="108" t="str">
        <f>INDEX(Tableau1[Repere-Rack],MATCH(Tableau3[[#This Row],[ID-RACK]],Tableau1[ID-RACK],0))&amp;""</f>
        <v>R1</v>
      </c>
      <c r="AF972" s="108" t="str">
        <f>INDEX(Tableau1[Repere-Slot],MATCH(Tableau3[[#This Row],[ID-SLOT]],Tableau1[ID-SLOT],0))&amp;""</f>
        <v>S10</v>
      </c>
      <c r="AG972" s="108" t="str">
        <f>INDEX(Tableau2[Repere-Voie],MATCH(Tableau3[[#This Row],[ID-VOIE]],Tableau2[ID-Voie],0))&amp;""</f>
        <v>v2</v>
      </c>
      <c r="AH972" s="72" t="str">
        <f>Tableau3[[#This Row],[ID-API]]&amp; "." &amp;Tableau3[[#This Row],[ID-RACK]]&amp; "." &amp;Tableau3[[#This Row],[ID-SLOT]]</f>
        <v>6.1.10</v>
      </c>
      <c r="AI972" s="72" t="str">
        <f>INDEX(Tableau1[Ref-Carte],MATCH(Tableau3[[#This Row],[ID-RRS]],Tableau1[ID-RRS],0))</f>
        <v>SDI1602</v>
      </c>
      <c r="AJ972" s="72" t="str">
        <f t="array" ref="AJ972">IFERROR(INDEX(Tableau2[TS],MATCH(1,(Tableau2[Ref-Carte]=Tableau3[[#This Row],[Ref-Carte2]])*(Tableau2[ID-Voie]=Tableau3[[#This Row],[ID-VOIE]]),0)),"")</f>
        <v>ET</v>
      </c>
      <c r="AK972" s="72" t="str">
        <f>IFERROR(INDEX(Tableau2[TS],SUMPRODUCT((Tableau2[Ref-Carte]=Tableau3[[#This Row],[Ref-Carte2]])*(Tableau2[ID-Voie]=Tableau3[[#This Row],[ID-VOIE]])*ROW(Tableau2[TS]))-ROW(Tableau2[#Headers])),"")</f>
        <v>ET</v>
      </c>
      <c r="AL972" s="72" t="str">
        <f>Tableau3[[#This Row],[Ref-Carte2]]&amp;"/"&amp;Tableau3[[#This Row],[ID-VOIE]]</f>
        <v>SDI1602/2</v>
      </c>
      <c r="AM972" s="73" t="str">
        <f>INDEX(Tableau2[Borne],MATCH(Tableau3[[#This Row],[ID-CARTEVOIE]],Tableau2[ID-CARTEVOIE],0))&amp;""</f>
        <v>1B</v>
      </c>
      <c r="AN972" s="74" t="str">
        <f>Tableau3[[#This Row],[ID-API]]&amp;Tableau3[[#This Row],[ID-RACK]]&amp;Tableau3[[#This Row],[ID-SLOT]]&amp;Tableau3[[#This Row],[BORNE]]</f>
        <v>61101B</v>
      </c>
      <c r="AO972" s="1"/>
    </row>
    <row r="973" spans="1:41" ht="20.100000000000001" customHeight="1" thickTop="1" thickBot="1">
      <c r="A973" s="68"/>
      <c r="B973" s="69" t="str">
        <f>IFERROR(INDEX(Tableau4[Date],MATCH($A973,Tableau4[EVO],0)),"")</f>
        <v/>
      </c>
      <c r="C973" s="68" t="str">
        <f>IFERROR(INDEX(Tableau4[Designation],MATCH($A973,Tableau4[EVO],0)),"")</f>
        <v/>
      </c>
      <c r="D973" s="68"/>
      <c r="E973" s="70">
        <v>47</v>
      </c>
      <c r="F973" s="71">
        <v>51</v>
      </c>
      <c r="G973" s="101" t="str">
        <f>INDEX(Tableau8[Att1],MATCH(Tableau3[[#This Row],[ID-INS]],Tableau8[ID],0))&amp;""</f>
        <v>B22</v>
      </c>
      <c r="H973" s="101" t="str">
        <f>INDEX(Tableau8[Att2],MATCH(Tableau3[[#This Row],[ID-INS]],Tableau8[ID],0))&amp;""</f>
        <v>PMR5</v>
      </c>
      <c r="I973" s="101" t="str">
        <f>INDEX(Tableau8[Att3],MATCH(Tableau3[[#This Row],[ID-INS]],Tableau8[ID],0))&amp;""</f>
        <v>PMR5</v>
      </c>
      <c r="J973" s="101"/>
      <c r="K973" s="167" t="str">
        <f>INDEX(Tableau8[Nom du modele],MATCH(Tableau3[[#This Row],[ID-INS]],Tableau8[ID],0))&amp;""</f>
        <v>PMR_1</v>
      </c>
      <c r="L973" s="99" t="str">
        <f>INDEX(Tableau5[Att1],MATCH(Tableau3[[#This Row],[ID-SIG]],Tableau5[ID],0))&amp;""</f>
        <v>Réserve</v>
      </c>
      <c r="M973" s="99" t="str">
        <f>INDEX(Tableau5[Att2],MATCH(Tableau3[[#This Row],[ID-SIG]],Tableau5[ID],0))&amp;""</f>
        <v/>
      </c>
      <c r="N973" s="99" t="str">
        <f>INDEX(Tableau5[Att3],MATCH(Tableau3[[#This Row],[ID-SIG]],Tableau5[ID],0))&amp;""</f>
        <v/>
      </c>
      <c r="O973" s="99"/>
      <c r="P973" s="99" t="str">
        <f>INDEX(Tableau5[Description],MATCH(Tableau3[[#This Row],[ID-SIG]],Tableau5[ID],0))</f>
        <v>Réserve</v>
      </c>
      <c r="Q973" s="99"/>
      <c r="R973" s="103" t="str">
        <f>Tableau3[[#This Row],[Description]]</f>
        <v>Réserve</v>
      </c>
      <c r="U973" s="87">
        <v>6</v>
      </c>
      <c r="V973" s="87">
        <v>1</v>
      </c>
      <c r="W973" s="87">
        <v>10</v>
      </c>
      <c r="X973" s="87">
        <v>3</v>
      </c>
      <c r="Y973" s="40"/>
      <c r="Z973" s="165" t="str">
        <f>INDEX(Tableau2[TS],MATCH(Tableau3[[#This Row],[ID-CARTEVOIE]],Tableau2[ID-CARTEVOIE],0))</f>
        <v>ET</v>
      </c>
      <c r="AA973" s="53" t="s">
        <v>213</v>
      </c>
      <c r="AB973" s="223" t="str">
        <f>IFERROR(INDEX(Tableau5[Reserve],MATCH(Tableau3[[#This Row],[ID-SIG]],Tableau5[ID],0))&amp;"","")</f>
        <v/>
      </c>
      <c r="AC973" s="21"/>
      <c r="AD973" s="108" t="str">
        <f>INDEX(Tableau7[Repere],MATCH(Tableau3[[#This Row],[ID-API]],Tableau7[ID-API],0))&amp;""</f>
        <v>A6</v>
      </c>
      <c r="AE973" s="108" t="str">
        <f>INDEX(Tableau1[Repere-Rack],MATCH(Tableau3[[#This Row],[ID-RACK]],Tableau1[ID-RACK],0))&amp;""</f>
        <v>R1</v>
      </c>
      <c r="AF973" s="108" t="str">
        <f>INDEX(Tableau1[Repere-Slot],MATCH(Tableau3[[#This Row],[ID-SLOT]],Tableau1[ID-SLOT],0))&amp;""</f>
        <v>S10</v>
      </c>
      <c r="AG973" s="108" t="str">
        <f>INDEX(Tableau2[Repere-Voie],MATCH(Tableau3[[#This Row],[ID-VOIE]],Tableau2[ID-Voie],0))&amp;""</f>
        <v>v3</v>
      </c>
      <c r="AH973" s="72" t="str">
        <f>Tableau3[[#This Row],[ID-API]]&amp; "." &amp;Tableau3[[#This Row],[ID-RACK]]&amp; "." &amp;Tableau3[[#This Row],[ID-SLOT]]</f>
        <v>6.1.10</v>
      </c>
      <c r="AI973" s="72" t="str">
        <f>INDEX(Tableau1[Ref-Carte],MATCH(Tableau3[[#This Row],[ID-RRS]],Tableau1[ID-RRS],0))</f>
        <v>SDI1602</v>
      </c>
      <c r="AJ973" s="72" t="str">
        <f t="array" ref="AJ973">IFERROR(INDEX(Tableau2[TS],MATCH(1,(Tableau2[Ref-Carte]=Tableau3[[#This Row],[Ref-Carte2]])*(Tableau2[ID-Voie]=Tableau3[[#This Row],[ID-VOIE]]),0)),"")</f>
        <v>ET</v>
      </c>
      <c r="AK973" s="72" t="str">
        <f>IFERROR(INDEX(Tableau2[TS],SUMPRODUCT((Tableau2[Ref-Carte]=Tableau3[[#This Row],[Ref-Carte2]])*(Tableau2[ID-Voie]=Tableau3[[#This Row],[ID-VOIE]])*ROW(Tableau2[TS]))-ROW(Tableau2[#Headers])),"")</f>
        <v>ET</v>
      </c>
      <c r="AL973" s="72" t="str">
        <f>Tableau3[[#This Row],[Ref-Carte2]]&amp;"/"&amp;Tableau3[[#This Row],[ID-VOIE]]</f>
        <v>SDI1602/3</v>
      </c>
      <c r="AM973" s="73" t="str">
        <f>INDEX(Tableau2[Borne],MATCH(Tableau3[[#This Row],[ID-CARTEVOIE]],Tableau2[ID-CARTEVOIE],0))&amp;""</f>
        <v>1A</v>
      </c>
      <c r="AN973" s="74" t="str">
        <f>Tableau3[[#This Row],[ID-API]]&amp;Tableau3[[#This Row],[ID-RACK]]&amp;Tableau3[[#This Row],[ID-SLOT]]&amp;Tableau3[[#This Row],[BORNE]]</f>
        <v>61101A</v>
      </c>
      <c r="AO973" s="1"/>
    </row>
    <row r="974" spans="1:41" ht="20.100000000000001" customHeight="1" thickTop="1" thickBot="1">
      <c r="A974" s="68"/>
      <c r="B974" s="69" t="str">
        <f>IFERROR(INDEX(Tableau4[Date],MATCH($A974,Tableau4[EVO],0)),"")</f>
        <v/>
      </c>
      <c r="C974" s="68" t="str">
        <f>IFERROR(INDEX(Tableau4[Designation],MATCH($A974,Tableau4[EVO],0)),"")</f>
        <v/>
      </c>
      <c r="D974" s="68"/>
      <c r="E974" s="70">
        <v>47</v>
      </c>
      <c r="F974" s="71">
        <v>56</v>
      </c>
      <c r="G974" s="101" t="str">
        <f>INDEX(Tableau8[Att1],MATCH(Tableau3[[#This Row],[ID-INS]],Tableau8[ID],0))&amp;""</f>
        <v>B22</v>
      </c>
      <c r="H974" s="101" t="str">
        <f>INDEX(Tableau8[Att2],MATCH(Tableau3[[#This Row],[ID-INS]],Tableau8[ID],0))&amp;""</f>
        <v>PMR5</v>
      </c>
      <c r="I974" s="101" t="str">
        <f>INDEX(Tableau8[Att3],MATCH(Tableau3[[#This Row],[ID-INS]],Tableau8[ID],0))&amp;""</f>
        <v>PMR5</v>
      </c>
      <c r="J974" s="101"/>
      <c r="K974" s="167" t="str">
        <f>INDEX(Tableau8[Nom du modele],MATCH(Tableau3[[#This Row],[ID-INS]],Tableau8[ID],0))&amp;""</f>
        <v>PMR_1</v>
      </c>
      <c r="L974" s="99" t="str">
        <f>INDEX(Tableau5[Att1],MATCH(Tableau3[[#This Row],[ID-SIG]],Tableau5[ID],0))&amp;""</f>
        <v>Fer2</v>
      </c>
      <c r="M974" s="99" t="str">
        <f>INDEX(Tableau5[Att2],MATCH(Tableau3[[#This Row],[ID-SIG]],Tableau5[ID],0))&amp;""</f>
        <v/>
      </c>
      <c r="N974" s="99" t="str">
        <f>INDEX(Tableau5[Att3],MATCH(Tableau3[[#This Row],[ID-SIG]],Tableau5[ID],0))&amp;""</f>
        <v/>
      </c>
      <c r="O974" s="99"/>
      <c r="P974" s="99" t="str">
        <f>INDEX(Tableau5[Description],MATCH(Tableau3[[#This Row],[ID-SIG]],Tableau5[ID],0))</f>
        <v>Porte fermée 2</v>
      </c>
      <c r="Q974" s="99"/>
      <c r="R974" s="103" t="str">
        <f>Tableau3[[#This Row],[Description]]</f>
        <v>Porte fermée 2</v>
      </c>
      <c r="U974" s="87">
        <v>6</v>
      </c>
      <c r="V974" s="87">
        <v>1</v>
      </c>
      <c r="W974" s="87">
        <v>10</v>
      </c>
      <c r="X974" s="87">
        <v>4</v>
      </c>
      <c r="Y974" s="40"/>
      <c r="Z974" s="165" t="str">
        <f>INDEX(Tableau2[TS],MATCH(Tableau3[[#This Row],[ID-CARTEVOIE]],Tableau2[ID-CARTEVOIE],0))</f>
        <v>ET</v>
      </c>
      <c r="AA974" s="53" t="s">
        <v>213</v>
      </c>
      <c r="AB974" s="223" t="str">
        <f>IFERROR(INDEX(Tableau5[Reserve],MATCH(Tableau3[[#This Row],[ID-SIG]],Tableau5[ID],0))&amp;"","")</f>
        <v/>
      </c>
      <c r="AC974" s="21"/>
      <c r="AD974" s="108" t="str">
        <f>INDEX(Tableau7[Repere],MATCH(Tableau3[[#This Row],[ID-API]],Tableau7[ID-API],0))&amp;""</f>
        <v>A6</v>
      </c>
      <c r="AE974" s="108" t="str">
        <f>INDEX(Tableau1[Repere-Rack],MATCH(Tableau3[[#This Row],[ID-RACK]],Tableau1[ID-RACK],0))&amp;""</f>
        <v>R1</v>
      </c>
      <c r="AF974" s="108" t="str">
        <f>INDEX(Tableau1[Repere-Slot],MATCH(Tableau3[[#This Row],[ID-SLOT]],Tableau1[ID-SLOT],0))&amp;""</f>
        <v>S10</v>
      </c>
      <c r="AG974" s="108" t="str">
        <f>INDEX(Tableau2[Repere-Voie],MATCH(Tableau3[[#This Row],[ID-VOIE]],Tableau2[ID-Voie],0))&amp;""</f>
        <v>v4</v>
      </c>
      <c r="AH974" s="72" t="str">
        <f>Tableau3[[#This Row],[ID-API]]&amp; "." &amp;Tableau3[[#This Row],[ID-RACK]]&amp; "." &amp;Tableau3[[#This Row],[ID-SLOT]]</f>
        <v>6.1.10</v>
      </c>
      <c r="AI974" s="72" t="str">
        <f>INDEX(Tableau1[Ref-Carte],MATCH(Tableau3[[#This Row],[ID-RRS]],Tableau1[ID-RRS],0))</f>
        <v>SDI1602</v>
      </c>
      <c r="AJ974" s="72" t="str">
        <f t="array" ref="AJ974">IFERROR(INDEX(Tableau2[TS],MATCH(1,(Tableau2[Ref-Carte]=Tableau3[[#This Row],[Ref-Carte2]])*(Tableau2[ID-Voie]=Tableau3[[#This Row],[ID-VOIE]]),0)),"")</f>
        <v>ET</v>
      </c>
      <c r="AK974" s="72" t="str">
        <f>IFERROR(INDEX(Tableau2[TS],SUMPRODUCT((Tableau2[Ref-Carte]=Tableau3[[#This Row],[Ref-Carte2]])*(Tableau2[ID-Voie]=Tableau3[[#This Row],[ID-VOIE]])*ROW(Tableau2[TS]))-ROW(Tableau2[#Headers])),"")</f>
        <v>ET</v>
      </c>
      <c r="AL974" s="72" t="str">
        <f>Tableau3[[#This Row],[Ref-Carte2]]&amp;"/"&amp;Tableau3[[#This Row],[ID-VOIE]]</f>
        <v>SDI1602/4</v>
      </c>
      <c r="AM974" s="73" t="str">
        <f>INDEX(Tableau2[Borne],MATCH(Tableau3[[#This Row],[ID-CARTEVOIE]],Tableau2[ID-CARTEVOIE],0))&amp;""</f>
        <v>2B</v>
      </c>
      <c r="AN974" s="74" t="str">
        <f>Tableau3[[#This Row],[ID-API]]&amp;Tableau3[[#This Row],[ID-RACK]]&amp;Tableau3[[#This Row],[ID-SLOT]]&amp;Tableau3[[#This Row],[BORNE]]</f>
        <v>61102B</v>
      </c>
      <c r="AO974" s="1"/>
    </row>
    <row r="975" spans="1:41" ht="20.100000000000001" customHeight="1" thickTop="1" thickBot="1">
      <c r="A975" s="68"/>
      <c r="B975" s="69" t="str">
        <f>IFERROR(INDEX(Tableau4[Date],MATCH($A975,Tableau4[EVO],0)),"")</f>
        <v/>
      </c>
      <c r="C975" s="68" t="str">
        <f>IFERROR(INDEX(Tableau4[Designation],MATCH($A975,Tableau4[EVO],0)),"")</f>
        <v/>
      </c>
      <c r="D975" s="68"/>
      <c r="E975" s="70">
        <v>47</v>
      </c>
      <c r="F975" s="71">
        <v>57</v>
      </c>
      <c r="G975" s="101" t="str">
        <f>INDEX(Tableau8[Att1],MATCH(Tableau3[[#This Row],[ID-INS]],Tableau8[ID],0))&amp;""</f>
        <v>B22</v>
      </c>
      <c r="H975" s="101" t="str">
        <f>INDEX(Tableau8[Att2],MATCH(Tableau3[[#This Row],[ID-INS]],Tableau8[ID],0))&amp;""</f>
        <v>PMR5</v>
      </c>
      <c r="I975" s="101" t="str">
        <f>INDEX(Tableau8[Att3],MATCH(Tableau3[[#This Row],[ID-INS]],Tableau8[ID],0))&amp;""</f>
        <v>PMR5</v>
      </c>
      <c r="J975" s="101"/>
      <c r="K975" s="167" t="str">
        <f>INDEX(Tableau8[Nom du modele],MATCH(Tableau3[[#This Row],[ID-INS]],Tableau8[ID],0))&amp;""</f>
        <v>PMR_1</v>
      </c>
      <c r="L975" s="99" t="str">
        <f>INDEX(Tableau5[Att1],MATCH(Tableau3[[#This Row],[ID-SIG]],Tableau5[ID],0))&amp;""</f>
        <v>TS_OuvRet1</v>
      </c>
      <c r="M975" s="99" t="str">
        <f>INDEX(Tableau5[Att2],MATCH(Tableau3[[#This Row],[ID-SIG]],Tableau5[ID],0))&amp;""</f>
        <v/>
      </c>
      <c r="N975" s="99" t="str">
        <f>INDEX(Tableau5[Att3],MATCH(Tableau3[[#This Row],[ID-SIG]],Tableau5[ID],0))&amp;""</f>
        <v/>
      </c>
      <c r="O975" s="99"/>
      <c r="P975" s="99" t="str">
        <f>INDEX(Tableau5[Description],MATCH(Tableau3[[#This Row],[ID-SIG]],Tableau5[ID],0))</f>
        <v>Retour Commande 1 ouverture sortie</v>
      </c>
      <c r="Q975" s="99"/>
      <c r="R975" s="103" t="str">
        <f>Tableau3[[#This Row],[Description]]</f>
        <v>Retour Commande 1 ouverture sortie</v>
      </c>
      <c r="U975" s="87">
        <v>6</v>
      </c>
      <c r="V975" s="87">
        <v>1</v>
      </c>
      <c r="W975" s="87">
        <v>10</v>
      </c>
      <c r="X975" s="87">
        <v>5</v>
      </c>
      <c r="Y975" s="40"/>
      <c r="Z975" s="165" t="str">
        <f>INDEX(Tableau2[TS],MATCH(Tableau3[[#This Row],[ID-CARTEVOIE]],Tableau2[ID-CARTEVOIE],0))</f>
        <v>ET</v>
      </c>
      <c r="AA975" s="53" t="s">
        <v>213</v>
      </c>
      <c r="AB975" s="223" t="str">
        <f>IFERROR(INDEX(Tableau5[Reserve],MATCH(Tableau3[[#This Row],[ID-SIG]],Tableau5[ID],0))&amp;"","")</f>
        <v/>
      </c>
      <c r="AC975" s="21"/>
      <c r="AD975" s="108" t="str">
        <f>INDEX(Tableau7[Repere],MATCH(Tableau3[[#This Row],[ID-API]],Tableau7[ID-API],0))&amp;""</f>
        <v>A6</v>
      </c>
      <c r="AE975" s="108" t="str">
        <f>INDEX(Tableau1[Repere-Rack],MATCH(Tableau3[[#This Row],[ID-RACK]],Tableau1[ID-RACK],0))&amp;""</f>
        <v>R1</v>
      </c>
      <c r="AF975" s="108" t="str">
        <f>INDEX(Tableau1[Repere-Slot],MATCH(Tableau3[[#This Row],[ID-SLOT]],Tableau1[ID-SLOT],0))&amp;""</f>
        <v>S10</v>
      </c>
      <c r="AG975" s="108" t="str">
        <f>INDEX(Tableau2[Repere-Voie],MATCH(Tableau3[[#This Row],[ID-VOIE]],Tableau2[ID-Voie],0))&amp;""</f>
        <v>v5</v>
      </c>
      <c r="AH975" s="72" t="str">
        <f>Tableau3[[#This Row],[ID-API]]&amp; "." &amp;Tableau3[[#This Row],[ID-RACK]]&amp; "." &amp;Tableau3[[#This Row],[ID-SLOT]]</f>
        <v>6.1.10</v>
      </c>
      <c r="AI975" s="72" t="str">
        <f>INDEX(Tableau1[Ref-Carte],MATCH(Tableau3[[#This Row],[ID-RRS]],Tableau1[ID-RRS],0))</f>
        <v>SDI1602</v>
      </c>
      <c r="AJ975" s="72" t="str">
        <f t="array" ref="AJ975">IFERROR(INDEX(Tableau2[TS],MATCH(1,(Tableau2[Ref-Carte]=Tableau3[[#This Row],[Ref-Carte2]])*(Tableau2[ID-Voie]=Tableau3[[#This Row],[ID-VOIE]]),0)),"")</f>
        <v>ET</v>
      </c>
      <c r="AK975" s="72" t="str">
        <f>IFERROR(INDEX(Tableau2[TS],SUMPRODUCT((Tableau2[Ref-Carte]=Tableau3[[#This Row],[Ref-Carte2]])*(Tableau2[ID-Voie]=Tableau3[[#This Row],[ID-VOIE]])*ROW(Tableau2[TS]))-ROW(Tableau2[#Headers])),"")</f>
        <v>ET</v>
      </c>
      <c r="AL975" s="72" t="str">
        <f>Tableau3[[#This Row],[Ref-Carte2]]&amp;"/"&amp;Tableau3[[#This Row],[ID-VOIE]]</f>
        <v>SDI1602/5</v>
      </c>
      <c r="AM975" s="73" t="str">
        <f>INDEX(Tableau2[Borne],MATCH(Tableau3[[#This Row],[ID-CARTEVOIE]],Tableau2[ID-CARTEVOIE],0))&amp;""</f>
        <v>2A</v>
      </c>
      <c r="AN975" s="74" t="str">
        <f>Tableau3[[#This Row],[ID-API]]&amp;Tableau3[[#This Row],[ID-RACK]]&amp;Tableau3[[#This Row],[ID-SLOT]]&amp;Tableau3[[#This Row],[BORNE]]</f>
        <v>61102A</v>
      </c>
      <c r="AO975" s="1"/>
    </row>
    <row r="976" spans="1:41" ht="20.100000000000001" customHeight="1" thickTop="1" thickBot="1">
      <c r="A976" s="68"/>
      <c r="B976" s="69" t="str">
        <f>IFERROR(INDEX(Tableau4[Date],MATCH($A976,Tableau4[EVO],0)),"")</f>
        <v/>
      </c>
      <c r="C976" s="68" t="str">
        <f>IFERROR(INDEX(Tableau4[Designation],MATCH($A976,Tableau4[EVO],0)),"")</f>
        <v/>
      </c>
      <c r="D976" s="68"/>
      <c r="E976" s="70">
        <v>47</v>
      </c>
      <c r="F976" s="71">
        <v>58</v>
      </c>
      <c r="G976" s="101" t="str">
        <f>INDEX(Tableau8[Att1],MATCH(Tableau3[[#This Row],[ID-INS]],Tableau8[ID],0))&amp;""</f>
        <v>B22</v>
      </c>
      <c r="H976" s="101" t="str">
        <f>INDEX(Tableau8[Att2],MATCH(Tableau3[[#This Row],[ID-INS]],Tableau8[ID],0))&amp;""</f>
        <v>PMR5</v>
      </c>
      <c r="I976" s="101" t="str">
        <f>INDEX(Tableau8[Att3],MATCH(Tableau3[[#This Row],[ID-INS]],Tableau8[ID],0))&amp;""</f>
        <v>PMR5</v>
      </c>
      <c r="J976" s="101"/>
      <c r="K976" s="167" t="str">
        <f>INDEX(Tableau8[Nom du modele],MATCH(Tableau3[[#This Row],[ID-INS]],Tableau8[ID],0))&amp;""</f>
        <v>PMR_1</v>
      </c>
      <c r="L976" s="99" t="str">
        <f>INDEX(Tableau5[Att1],MATCH(Tableau3[[#This Row],[ID-SIG]],Tableau5[ID],0))&amp;""</f>
        <v>Réserve</v>
      </c>
      <c r="M976" s="99" t="str">
        <f>INDEX(Tableau5[Att2],MATCH(Tableau3[[#This Row],[ID-SIG]],Tableau5[ID],0))&amp;""</f>
        <v/>
      </c>
      <c r="N976" s="99" t="str">
        <f>INDEX(Tableau5[Att3],MATCH(Tableau3[[#This Row],[ID-SIG]],Tableau5[ID],0))&amp;""</f>
        <v/>
      </c>
      <c r="O976" s="99"/>
      <c r="P976" s="99" t="str">
        <f>INDEX(Tableau5[Description],MATCH(Tableau3[[#This Row],[ID-SIG]],Tableau5[ID],0))</f>
        <v>Réserve</v>
      </c>
      <c r="Q976" s="99"/>
      <c r="R976" s="103" t="str">
        <f>Tableau3[[#This Row],[Description]]</f>
        <v>Réserve</v>
      </c>
      <c r="U976" s="87">
        <v>6</v>
      </c>
      <c r="V976" s="87">
        <v>1</v>
      </c>
      <c r="W976" s="87">
        <v>10</v>
      </c>
      <c r="X976" s="87">
        <v>6</v>
      </c>
      <c r="Y976" s="40"/>
      <c r="Z976" s="165" t="str">
        <f>INDEX(Tableau2[TS],MATCH(Tableau3[[#This Row],[ID-CARTEVOIE]],Tableau2[ID-CARTEVOIE],0))</f>
        <v>ET</v>
      </c>
      <c r="AA976" s="53" t="s">
        <v>213</v>
      </c>
      <c r="AB976" s="223" t="str">
        <f>IFERROR(INDEX(Tableau5[Reserve],MATCH(Tableau3[[#This Row],[ID-SIG]],Tableau5[ID],0))&amp;"","")</f>
        <v/>
      </c>
      <c r="AC976" s="21"/>
      <c r="AD976" s="108" t="str">
        <f>INDEX(Tableau7[Repere],MATCH(Tableau3[[#This Row],[ID-API]],Tableau7[ID-API],0))&amp;""</f>
        <v>A6</v>
      </c>
      <c r="AE976" s="108" t="str">
        <f>INDEX(Tableau1[Repere-Rack],MATCH(Tableau3[[#This Row],[ID-RACK]],Tableau1[ID-RACK],0))&amp;""</f>
        <v>R1</v>
      </c>
      <c r="AF976" s="108" t="str">
        <f>INDEX(Tableau1[Repere-Slot],MATCH(Tableau3[[#This Row],[ID-SLOT]],Tableau1[ID-SLOT],0))&amp;""</f>
        <v>S10</v>
      </c>
      <c r="AG976" s="108" t="str">
        <f>INDEX(Tableau2[Repere-Voie],MATCH(Tableau3[[#This Row],[ID-VOIE]],Tableau2[ID-Voie],0))&amp;""</f>
        <v>v6</v>
      </c>
      <c r="AH976" s="72" t="str">
        <f>Tableau3[[#This Row],[ID-API]]&amp; "." &amp;Tableau3[[#This Row],[ID-RACK]]&amp; "." &amp;Tableau3[[#This Row],[ID-SLOT]]</f>
        <v>6.1.10</v>
      </c>
      <c r="AI976" s="72" t="str">
        <f>INDEX(Tableau1[Ref-Carte],MATCH(Tableau3[[#This Row],[ID-RRS]],Tableau1[ID-RRS],0))</f>
        <v>SDI1602</v>
      </c>
      <c r="AJ976" s="72" t="str">
        <f t="array" ref="AJ976">IFERROR(INDEX(Tableau2[TS],MATCH(1,(Tableau2[Ref-Carte]=Tableau3[[#This Row],[Ref-Carte2]])*(Tableau2[ID-Voie]=Tableau3[[#This Row],[ID-VOIE]]),0)),"")</f>
        <v>ET</v>
      </c>
      <c r="AK976" s="72" t="str">
        <f>IFERROR(INDEX(Tableau2[TS],SUMPRODUCT((Tableau2[Ref-Carte]=Tableau3[[#This Row],[Ref-Carte2]])*(Tableau2[ID-Voie]=Tableau3[[#This Row],[ID-VOIE]])*ROW(Tableau2[TS]))-ROW(Tableau2[#Headers])),"")</f>
        <v>ET</v>
      </c>
      <c r="AL976" s="72" t="str">
        <f>Tableau3[[#This Row],[Ref-Carte2]]&amp;"/"&amp;Tableau3[[#This Row],[ID-VOIE]]</f>
        <v>SDI1602/6</v>
      </c>
      <c r="AM976" s="73" t="str">
        <f>INDEX(Tableau2[Borne],MATCH(Tableau3[[#This Row],[ID-CARTEVOIE]],Tableau2[ID-CARTEVOIE],0))&amp;""</f>
        <v>3B</v>
      </c>
      <c r="AN976" s="74" t="str">
        <f>Tableau3[[#This Row],[ID-API]]&amp;Tableau3[[#This Row],[ID-RACK]]&amp;Tableau3[[#This Row],[ID-SLOT]]&amp;Tableau3[[#This Row],[BORNE]]</f>
        <v>61103B</v>
      </c>
      <c r="AO976" s="1"/>
    </row>
    <row r="977" spans="1:41" ht="20.100000000000001" customHeight="1" thickTop="1" thickBot="1">
      <c r="A977" s="68"/>
      <c r="B977" s="69" t="str">
        <f>IFERROR(INDEX(Tableau4[Date],MATCH($A977,Tableau4[EVO],0)),"")</f>
        <v/>
      </c>
      <c r="C977" s="68" t="str">
        <f>IFERROR(INDEX(Tableau4[Designation],MATCH($A977,Tableau4[EVO],0)),"")</f>
        <v/>
      </c>
      <c r="D977" s="68"/>
      <c r="E977" s="70">
        <v>47</v>
      </c>
      <c r="F977" s="71">
        <v>59</v>
      </c>
      <c r="G977" s="101" t="str">
        <f>INDEX(Tableau8[Att1],MATCH(Tableau3[[#This Row],[ID-INS]],Tableau8[ID],0))&amp;""</f>
        <v>B22</v>
      </c>
      <c r="H977" s="101" t="str">
        <f>INDEX(Tableau8[Att2],MATCH(Tableau3[[#This Row],[ID-INS]],Tableau8[ID],0))&amp;""</f>
        <v>PMR5</v>
      </c>
      <c r="I977" s="101" t="str">
        <f>INDEX(Tableau8[Att3],MATCH(Tableau3[[#This Row],[ID-INS]],Tableau8[ID],0))&amp;""</f>
        <v>PMR5</v>
      </c>
      <c r="J977" s="101"/>
      <c r="K977" s="167" t="str">
        <f>INDEX(Tableau8[Nom du modele],MATCH(Tableau3[[#This Row],[ID-INS]],Tableau8[ID],0))&amp;""</f>
        <v>PMR_1</v>
      </c>
      <c r="L977" s="99" t="str">
        <f>INDEX(Tableau5[Att1],MATCH(Tableau3[[#This Row],[ID-SIG]],Tableau5[ID],0))&amp;""</f>
        <v>T_SynthDef</v>
      </c>
      <c r="M977" s="99" t="str">
        <f>INDEX(Tableau5[Att2],MATCH(Tableau3[[#This Row],[ID-SIG]],Tableau5[ID],0))&amp;""</f>
        <v/>
      </c>
      <c r="N977" s="99" t="str">
        <f>INDEX(Tableau5[Att3],MATCH(Tableau3[[#This Row],[ID-SIG]],Tableau5[ID],0))&amp;""</f>
        <v/>
      </c>
      <c r="O977" s="99"/>
      <c r="P977" s="99" t="str">
        <f>INDEX(Tableau5[Description],MATCH(Tableau3[[#This Row],[ID-SIG]],Tableau5[ID],0))</f>
        <v>Synthèse défaut</v>
      </c>
      <c r="Q977" s="99"/>
      <c r="R977" s="103" t="str">
        <f>Tableau3[[#This Row],[Description]]</f>
        <v>Synthèse défaut</v>
      </c>
      <c r="U977" s="87">
        <v>6</v>
      </c>
      <c r="V977" s="87">
        <v>1</v>
      </c>
      <c r="W977" s="87">
        <v>10</v>
      </c>
      <c r="X977" s="87">
        <v>7</v>
      </c>
      <c r="Y977" s="40"/>
      <c r="Z977" s="165" t="str">
        <f>INDEX(Tableau2[TS],MATCH(Tableau3[[#This Row],[ID-CARTEVOIE]],Tableau2[ID-CARTEVOIE],0))</f>
        <v>ET</v>
      </c>
      <c r="AA977" s="53" t="s">
        <v>213</v>
      </c>
      <c r="AB977" s="223" t="str">
        <f>IFERROR(INDEX(Tableau5[Reserve],MATCH(Tableau3[[#This Row],[ID-SIG]],Tableau5[ID],0))&amp;"","")</f>
        <v/>
      </c>
      <c r="AC977" s="21"/>
      <c r="AD977" s="108" t="str">
        <f>INDEX(Tableau7[Repere],MATCH(Tableau3[[#This Row],[ID-API]],Tableau7[ID-API],0))&amp;""</f>
        <v>A6</v>
      </c>
      <c r="AE977" s="108" t="str">
        <f>INDEX(Tableau1[Repere-Rack],MATCH(Tableau3[[#This Row],[ID-RACK]],Tableau1[ID-RACK],0))&amp;""</f>
        <v>R1</v>
      </c>
      <c r="AF977" s="108" t="str">
        <f>INDEX(Tableau1[Repere-Slot],MATCH(Tableau3[[#This Row],[ID-SLOT]],Tableau1[ID-SLOT],0))&amp;""</f>
        <v>S10</v>
      </c>
      <c r="AG977" s="108" t="str">
        <f>INDEX(Tableau2[Repere-Voie],MATCH(Tableau3[[#This Row],[ID-VOIE]],Tableau2[ID-Voie],0))&amp;""</f>
        <v>v7</v>
      </c>
      <c r="AH977" s="72" t="str">
        <f>Tableau3[[#This Row],[ID-API]]&amp; "." &amp;Tableau3[[#This Row],[ID-RACK]]&amp; "." &amp;Tableau3[[#This Row],[ID-SLOT]]</f>
        <v>6.1.10</v>
      </c>
      <c r="AI977" s="72" t="str">
        <f>INDEX(Tableau1[Ref-Carte],MATCH(Tableau3[[#This Row],[ID-RRS]],Tableau1[ID-RRS],0))</f>
        <v>SDI1602</v>
      </c>
      <c r="AJ977" s="72" t="str">
        <f t="array" ref="AJ977">IFERROR(INDEX(Tableau2[TS],MATCH(1,(Tableau2[Ref-Carte]=Tableau3[[#This Row],[Ref-Carte2]])*(Tableau2[ID-Voie]=Tableau3[[#This Row],[ID-VOIE]]),0)),"")</f>
        <v>ET</v>
      </c>
      <c r="AK977" s="72" t="str">
        <f>IFERROR(INDEX(Tableau2[TS],SUMPRODUCT((Tableau2[Ref-Carte]=Tableau3[[#This Row],[Ref-Carte2]])*(Tableau2[ID-Voie]=Tableau3[[#This Row],[ID-VOIE]])*ROW(Tableau2[TS]))-ROW(Tableau2[#Headers])),"")</f>
        <v>ET</v>
      </c>
      <c r="AL977" s="72" t="str">
        <f>Tableau3[[#This Row],[Ref-Carte2]]&amp;"/"&amp;Tableau3[[#This Row],[ID-VOIE]]</f>
        <v>SDI1602/7</v>
      </c>
      <c r="AM977" s="73" t="str">
        <f>INDEX(Tableau2[Borne],MATCH(Tableau3[[#This Row],[ID-CARTEVOIE]],Tableau2[ID-CARTEVOIE],0))&amp;""</f>
        <v>3A</v>
      </c>
      <c r="AN977" s="74" t="str">
        <f>Tableau3[[#This Row],[ID-API]]&amp;Tableau3[[#This Row],[ID-RACK]]&amp;Tableau3[[#This Row],[ID-SLOT]]&amp;Tableau3[[#This Row],[BORNE]]</f>
        <v>61103A</v>
      </c>
      <c r="AO977" s="1"/>
    </row>
    <row r="978" spans="1:41" ht="20.100000000000001" customHeight="1" thickTop="1" thickBot="1">
      <c r="A978" s="68"/>
      <c r="B978" s="69" t="str">
        <f>IFERROR(INDEX(Tableau4[Date],MATCH($A978,Tableau4[EVO],0)),"")</f>
        <v/>
      </c>
      <c r="C978" s="68" t="str">
        <f>IFERROR(INDEX(Tableau4[Designation],MATCH($A978,Tableau4[EVO],0)),"")</f>
        <v/>
      </c>
      <c r="D978" s="68"/>
      <c r="E978" s="70">
        <v>47</v>
      </c>
      <c r="F978" s="71">
        <v>60</v>
      </c>
      <c r="G978" s="101" t="str">
        <f>INDEX(Tableau8[Att1],MATCH(Tableau3[[#This Row],[ID-INS]],Tableau8[ID],0))&amp;""</f>
        <v>B22</v>
      </c>
      <c r="H978" s="101" t="str">
        <f>INDEX(Tableau8[Att2],MATCH(Tableau3[[#This Row],[ID-INS]],Tableau8[ID],0))&amp;""</f>
        <v>PMR5</v>
      </c>
      <c r="I978" s="101" t="str">
        <f>INDEX(Tableau8[Att3],MATCH(Tableau3[[#This Row],[ID-INS]],Tableau8[ID],0))&amp;""</f>
        <v>PMR5</v>
      </c>
      <c r="J978" s="101"/>
      <c r="K978" s="167" t="str">
        <f>INDEX(Tableau8[Nom du modele],MATCH(Tableau3[[#This Row],[ID-INS]],Tableau8[ID],0))&amp;""</f>
        <v>PMR_1</v>
      </c>
      <c r="L978" s="99" t="str">
        <f>INDEX(Tableau5[Att1],MATCH(Tableau3[[#This Row],[ID-SIG]],Tableau5[ID],0))&amp;""</f>
        <v>Effraction</v>
      </c>
      <c r="M978" s="99" t="str">
        <f>INDEX(Tableau5[Att2],MATCH(Tableau3[[#This Row],[ID-SIG]],Tableau5[ID],0))&amp;""</f>
        <v/>
      </c>
      <c r="N978" s="99" t="str">
        <f>INDEX(Tableau5[Att3],MATCH(Tableau3[[#This Row],[ID-SIG]],Tableau5[ID],0))&amp;""</f>
        <v/>
      </c>
      <c r="O978" s="99"/>
      <c r="P978" s="99" t="str">
        <f>INDEX(Tableau5[Description],MATCH(Tableau3[[#This Row],[ID-SIG]],Tableau5[ID],0))</f>
        <v>Effraction</v>
      </c>
      <c r="Q978" s="99"/>
      <c r="R978" s="103" t="str">
        <f>Tableau3[[#This Row],[Description]]</f>
        <v>Effraction</v>
      </c>
      <c r="U978" s="87">
        <v>6</v>
      </c>
      <c r="V978" s="87">
        <v>1</v>
      </c>
      <c r="W978" s="87">
        <v>10</v>
      </c>
      <c r="X978" s="87">
        <v>8</v>
      </c>
      <c r="Y978" s="40"/>
      <c r="Z978" s="165" t="str">
        <f>INDEX(Tableau2[TS],MATCH(Tableau3[[#This Row],[ID-CARTEVOIE]],Tableau2[ID-CARTEVOIE],0))</f>
        <v>ET</v>
      </c>
      <c r="AA978" s="53" t="s">
        <v>213</v>
      </c>
      <c r="AB978" s="223" t="str">
        <f>IFERROR(INDEX(Tableau5[Reserve],MATCH(Tableau3[[#This Row],[ID-SIG]],Tableau5[ID],0))&amp;"","")</f>
        <v/>
      </c>
      <c r="AC978" s="21"/>
      <c r="AD978" s="108" t="str">
        <f>INDEX(Tableau7[Repere],MATCH(Tableau3[[#This Row],[ID-API]],Tableau7[ID-API],0))&amp;""</f>
        <v>A6</v>
      </c>
      <c r="AE978" s="108" t="str">
        <f>INDEX(Tableau1[Repere-Rack],MATCH(Tableau3[[#This Row],[ID-RACK]],Tableau1[ID-RACK],0))&amp;""</f>
        <v>R1</v>
      </c>
      <c r="AF978" s="108" t="str">
        <f>INDEX(Tableau1[Repere-Slot],MATCH(Tableau3[[#This Row],[ID-SLOT]],Tableau1[ID-SLOT],0))&amp;""</f>
        <v>S10</v>
      </c>
      <c r="AG978" s="108" t="str">
        <f>INDEX(Tableau2[Repere-Voie],MATCH(Tableau3[[#This Row],[ID-VOIE]],Tableau2[ID-Voie],0))&amp;""</f>
        <v>v8</v>
      </c>
      <c r="AH978" s="72" t="str">
        <f>Tableau3[[#This Row],[ID-API]]&amp; "." &amp;Tableau3[[#This Row],[ID-RACK]]&amp; "." &amp;Tableau3[[#This Row],[ID-SLOT]]</f>
        <v>6.1.10</v>
      </c>
      <c r="AI978" s="72" t="str">
        <f>INDEX(Tableau1[Ref-Carte],MATCH(Tableau3[[#This Row],[ID-RRS]],Tableau1[ID-RRS],0))</f>
        <v>SDI1602</v>
      </c>
      <c r="AJ978" s="72" t="str">
        <f t="array" ref="AJ978">IFERROR(INDEX(Tableau2[TS],MATCH(1,(Tableau2[Ref-Carte]=Tableau3[[#This Row],[Ref-Carte2]])*(Tableau2[ID-Voie]=Tableau3[[#This Row],[ID-VOIE]]),0)),"")</f>
        <v>ET</v>
      </c>
      <c r="AK978" s="72" t="str">
        <f>IFERROR(INDEX(Tableau2[TS],SUMPRODUCT((Tableau2[Ref-Carte]=Tableau3[[#This Row],[Ref-Carte2]])*(Tableau2[ID-Voie]=Tableau3[[#This Row],[ID-VOIE]])*ROW(Tableau2[TS]))-ROW(Tableau2[#Headers])),"")</f>
        <v>ET</v>
      </c>
      <c r="AL978" s="72" t="str">
        <f>Tableau3[[#This Row],[Ref-Carte2]]&amp;"/"&amp;Tableau3[[#This Row],[ID-VOIE]]</f>
        <v>SDI1602/8</v>
      </c>
      <c r="AM978" s="73" t="str">
        <f>INDEX(Tableau2[Borne],MATCH(Tableau3[[#This Row],[ID-CARTEVOIE]],Tableau2[ID-CARTEVOIE],0))&amp;""</f>
        <v>4B</v>
      </c>
      <c r="AN978" s="74" t="str">
        <f>Tableau3[[#This Row],[ID-API]]&amp;Tableau3[[#This Row],[ID-RACK]]&amp;Tableau3[[#This Row],[ID-SLOT]]&amp;Tableau3[[#This Row],[BORNE]]</f>
        <v>61104B</v>
      </c>
      <c r="AO978" s="1"/>
    </row>
    <row r="979" spans="1:41" ht="20.100000000000001" customHeight="1" thickTop="1" thickBot="1">
      <c r="A979" s="68"/>
      <c r="B979" s="69" t="str">
        <f>IFERROR(INDEX(Tableau4[Date],MATCH($A979,Tableau4[EVO],0)),"")</f>
        <v/>
      </c>
      <c r="C979" s="68" t="str">
        <f>IFERROR(INDEX(Tableau4[Designation],MATCH($A979,Tableau4[EVO],0)),"")</f>
        <v/>
      </c>
      <c r="D979" s="68"/>
      <c r="E979" s="70">
        <v>48</v>
      </c>
      <c r="F979" s="71">
        <v>51</v>
      </c>
      <c r="G979" s="101" t="str">
        <f>INDEX(Tableau8[Att1],MATCH(Tableau3[[#This Row],[ID-INS]],Tableau8[ID],0))&amp;""</f>
        <v>B22</v>
      </c>
      <c r="H979" s="101" t="str">
        <f>INDEX(Tableau8[Att2],MATCH(Tableau3[[#This Row],[ID-INS]],Tableau8[ID],0))&amp;""</f>
        <v>PMR6</v>
      </c>
      <c r="I979" s="101" t="str">
        <f>INDEX(Tableau8[Att3],MATCH(Tableau3[[#This Row],[ID-INS]],Tableau8[ID],0))&amp;""</f>
        <v>PMR6</v>
      </c>
      <c r="J979" s="101"/>
      <c r="K979" s="167" t="str">
        <f>INDEX(Tableau8[Nom du modele],MATCH(Tableau3[[#This Row],[ID-INS]],Tableau8[ID],0))&amp;""</f>
        <v>PMR_1</v>
      </c>
      <c r="L979" s="99" t="str">
        <f>INDEX(Tableau5[Att1],MATCH(Tableau3[[#This Row],[ID-SIG]],Tableau5[ID],0))&amp;""</f>
        <v>Réserve</v>
      </c>
      <c r="M979" s="99" t="str">
        <f>INDEX(Tableau5[Att2],MATCH(Tableau3[[#This Row],[ID-SIG]],Tableau5[ID],0))&amp;""</f>
        <v/>
      </c>
      <c r="N979" s="99" t="str">
        <f>INDEX(Tableau5[Att3],MATCH(Tableau3[[#This Row],[ID-SIG]],Tableau5[ID],0))&amp;""</f>
        <v/>
      </c>
      <c r="O979" s="99"/>
      <c r="P979" s="99" t="str">
        <f>INDEX(Tableau5[Description],MATCH(Tableau3[[#This Row],[ID-SIG]],Tableau5[ID],0))</f>
        <v>Réserve</v>
      </c>
      <c r="Q979" s="99"/>
      <c r="R979" s="103" t="str">
        <f>Tableau3[[#This Row],[Description]]</f>
        <v>Réserve</v>
      </c>
      <c r="U979" s="87">
        <v>6</v>
      </c>
      <c r="V979" s="87">
        <v>1</v>
      </c>
      <c r="W979" s="87">
        <v>10</v>
      </c>
      <c r="X979" s="87">
        <v>9</v>
      </c>
      <c r="Y979" s="40"/>
      <c r="Z979" s="165" t="str">
        <f>INDEX(Tableau2[TS],MATCH(Tableau3[[#This Row],[ID-CARTEVOIE]],Tableau2[ID-CARTEVOIE],0))</f>
        <v>ET</v>
      </c>
      <c r="AA979" s="53" t="s">
        <v>213</v>
      </c>
      <c r="AB979" s="223" t="str">
        <f>IFERROR(INDEX(Tableau5[Reserve],MATCH(Tableau3[[#This Row],[ID-SIG]],Tableau5[ID],0))&amp;"","")</f>
        <v/>
      </c>
      <c r="AC979" s="21"/>
      <c r="AD979" s="108" t="str">
        <f>INDEX(Tableau7[Repere],MATCH(Tableau3[[#This Row],[ID-API]],Tableau7[ID-API],0))&amp;""</f>
        <v>A6</v>
      </c>
      <c r="AE979" s="108" t="str">
        <f>INDEX(Tableau1[Repere-Rack],MATCH(Tableau3[[#This Row],[ID-RACK]],Tableau1[ID-RACK],0))&amp;""</f>
        <v>R1</v>
      </c>
      <c r="AF979" s="108" t="str">
        <f>INDEX(Tableau1[Repere-Slot],MATCH(Tableau3[[#This Row],[ID-SLOT]],Tableau1[ID-SLOT],0))&amp;""</f>
        <v>S10</v>
      </c>
      <c r="AG979" s="108" t="str">
        <f>INDEX(Tableau2[Repere-Voie],MATCH(Tableau3[[#This Row],[ID-VOIE]],Tableau2[ID-Voie],0))&amp;""</f>
        <v>v9</v>
      </c>
      <c r="AH979" s="72" t="str">
        <f>Tableau3[[#This Row],[ID-API]]&amp; "." &amp;Tableau3[[#This Row],[ID-RACK]]&amp; "." &amp;Tableau3[[#This Row],[ID-SLOT]]</f>
        <v>6.1.10</v>
      </c>
      <c r="AI979" s="72" t="str">
        <f>INDEX(Tableau1[Ref-Carte],MATCH(Tableau3[[#This Row],[ID-RRS]],Tableau1[ID-RRS],0))</f>
        <v>SDI1602</v>
      </c>
      <c r="AJ979" s="72" t="str">
        <f t="array" ref="AJ979">IFERROR(INDEX(Tableau2[TS],MATCH(1,(Tableau2[Ref-Carte]=Tableau3[[#This Row],[Ref-Carte2]])*(Tableau2[ID-Voie]=Tableau3[[#This Row],[ID-VOIE]]),0)),"")</f>
        <v>ET</v>
      </c>
      <c r="AK979" s="72" t="str">
        <f>IFERROR(INDEX(Tableau2[TS],SUMPRODUCT((Tableau2[Ref-Carte]=Tableau3[[#This Row],[Ref-Carte2]])*(Tableau2[ID-Voie]=Tableau3[[#This Row],[ID-VOIE]])*ROW(Tableau2[TS]))-ROW(Tableau2[#Headers])),"")</f>
        <v>ET</v>
      </c>
      <c r="AL979" s="72" t="str">
        <f>Tableau3[[#This Row],[Ref-Carte2]]&amp;"/"&amp;Tableau3[[#This Row],[ID-VOIE]]</f>
        <v>SDI1602/9</v>
      </c>
      <c r="AM979" s="73" t="str">
        <f>INDEX(Tableau2[Borne],MATCH(Tableau3[[#This Row],[ID-CARTEVOIE]],Tableau2[ID-CARTEVOIE],0))&amp;""</f>
        <v>4A</v>
      </c>
      <c r="AN979" s="74" t="str">
        <f>Tableau3[[#This Row],[ID-API]]&amp;Tableau3[[#This Row],[ID-RACK]]&amp;Tableau3[[#This Row],[ID-SLOT]]&amp;Tableau3[[#This Row],[BORNE]]</f>
        <v>61104A</v>
      </c>
      <c r="AO979" s="1"/>
    </row>
    <row r="980" spans="1:41" ht="20.100000000000001" customHeight="1" thickTop="1" thickBot="1">
      <c r="A980" s="68"/>
      <c r="B980" s="69" t="str">
        <f>IFERROR(INDEX(Tableau4[Date],MATCH($A980,Tableau4[EVO],0)),"")</f>
        <v/>
      </c>
      <c r="C980" s="68" t="str">
        <f>IFERROR(INDEX(Tableau4[Designation],MATCH($A980,Tableau4[EVO],0)),"")</f>
        <v/>
      </c>
      <c r="D980" s="68"/>
      <c r="E980" s="70">
        <v>48</v>
      </c>
      <c r="F980" s="71">
        <v>56</v>
      </c>
      <c r="G980" s="101" t="str">
        <f>INDEX(Tableau8[Att1],MATCH(Tableau3[[#This Row],[ID-INS]],Tableau8[ID],0))&amp;""</f>
        <v>B22</v>
      </c>
      <c r="H980" s="101" t="str">
        <f>INDEX(Tableau8[Att2],MATCH(Tableau3[[#This Row],[ID-INS]],Tableau8[ID],0))&amp;""</f>
        <v>PMR6</v>
      </c>
      <c r="I980" s="101" t="str">
        <f>INDEX(Tableau8[Att3],MATCH(Tableau3[[#This Row],[ID-INS]],Tableau8[ID],0))&amp;""</f>
        <v>PMR6</v>
      </c>
      <c r="J980" s="101"/>
      <c r="K980" s="167" t="str">
        <f>INDEX(Tableau8[Nom du modele],MATCH(Tableau3[[#This Row],[ID-INS]],Tableau8[ID],0))&amp;""</f>
        <v>PMR_1</v>
      </c>
      <c r="L980" s="99" t="str">
        <f>INDEX(Tableau5[Att1],MATCH(Tableau3[[#This Row],[ID-SIG]],Tableau5[ID],0))&amp;""</f>
        <v>Fer2</v>
      </c>
      <c r="M980" s="99" t="str">
        <f>INDEX(Tableau5[Att2],MATCH(Tableau3[[#This Row],[ID-SIG]],Tableau5[ID],0))&amp;""</f>
        <v/>
      </c>
      <c r="N980" s="99" t="str">
        <f>INDEX(Tableau5[Att3],MATCH(Tableau3[[#This Row],[ID-SIG]],Tableau5[ID],0))&amp;""</f>
        <v/>
      </c>
      <c r="O980" s="99"/>
      <c r="P980" s="99" t="str">
        <f>INDEX(Tableau5[Description],MATCH(Tableau3[[#This Row],[ID-SIG]],Tableau5[ID],0))</f>
        <v>Porte fermée 2</v>
      </c>
      <c r="Q980" s="99"/>
      <c r="R980" s="103" t="str">
        <f>Tableau3[[#This Row],[Description]]</f>
        <v>Porte fermée 2</v>
      </c>
      <c r="U980" s="87">
        <v>6</v>
      </c>
      <c r="V980" s="87">
        <v>1</v>
      </c>
      <c r="W980" s="87">
        <v>10</v>
      </c>
      <c r="X980" s="87">
        <v>10</v>
      </c>
      <c r="Y980" s="40"/>
      <c r="Z980" s="165" t="str">
        <f>INDEX(Tableau2[TS],MATCH(Tableau3[[#This Row],[ID-CARTEVOIE]],Tableau2[ID-CARTEVOIE],0))</f>
        <v>ET</v>
      </c>
      <c r="AA980" s="53" t="s">
        <v>213</v>
      </c>
      <c r="AB980" s="223" t="str">
        <f>IFERROR(INDEX(Tableau5[Reserve],MATCH(Tableau3[[#This Row],[ID-SIG]],Tableau5[ID],0))&amp;"","")</f>
        <v/>
      </c>
      <c r="AC980" s="21"/>
      <c r="AD980" s="108" t="str">
        <f>INDEX(Tableau7[Repere],MATCH(Tableau3[[#This Row],[ID-API]],Tableau7[ID-API],0))&amp;""</f>
        <v>A6</v>
      </c>
      <c r="AE980" s="108" t="str">
        <f>INDEX(Tableau1[Repere-Rack],MATCH(Tableau3[[#This Row],[ID-RACK]],Tableau1[ID-RACK],0))&amp;""</f>
        <v>R1</v>
      </c>
      <c r="AF980" s="108" t="str">
        <f>INDEX(Tableau1[Repere-Slot],MATCH(Tableau3[[#This Row],[ID-SLOT]],Tableau1[ID-SLOT],0))&amp;""</f>
        <v>S10</v>
      </c>
      <c r="AG980" s="108" t="str">
        <f>INDEX(Tableau2[Repere-Voie],MATCH(Tableau3[[#This Row],[ID-VOIE]],Tableau2[ID-Voie],0))&amp;""</f>
        <v>v10</v>
      </c>
      <c r="AH980" s="72" t="str">
        <f>Tableau3[[#This Row],[ID-API]]&amp; "." &amp;Tableau3[[#This Row],[ID-RACK]]&amp; "." &amp;Tableau3[[#This Row],[ID-SLOT]]</f>
        <v>6.1.10</v>
      </c>
      <c r="AI980" s="72" t="str">
        <f>INDEX(Tableau1[Ref-Carte],MATCH(Tableau3[[#This Row],[ID-RRS]],Tableau1[ID-RRS],0))</f>
        <v>SDI1602</v>
      </c>
      <c r="AJ980" s="72" t="str">
        <f t="array" ref="AJ980">IFERROR(INDEX(Tableau2[TS],MATCH(1,(Tableau2[Ref-Carte]=Tableau3[[#This Row],[Ref-Carte2]])*(Tableau2[ID-Voie]=Tableau3[[#This Row],[ID-VOIE]]),0)),"")</f>
        <v>ET</v>
      </c>
      <c r="AK980" s="72" t="str">
        <f>IFERROR(INDEX(Tableau2[TS],SUMPRODUCT((Tableau2[Ref-Carte]=Tableau3[[#This Row],[Ref-Carte2]])*(Tableau2[ID-Voie]=Tableau3[[#This Row],[ID-VOIE]])*ROW(Tableau2[TS]))-ROW(Tableau2[#Headers])),"")</f>
        <v>ET</v>
      </c>
      <c r="AL980" s="72" t="str">
        <f>Tableau3[[#This Row],[Ref-Carte2]]&amp;"/"&amp;Tableau3[[#This Row],[ID-VOIE]]</f>
        <v>SDI1602/10</v>
      </c>
      <c r="AM980" s="73" t="str">
        <f>INDEX(Tableau2[Borne],MATCH(Tableau3[[#This Row],[ID-CARTEVOIE]],Tableau2[ID-CARTEVOIE],0))&amp;""</f>
        <v>5B</v>
      </c>
      <c r="AN980" s="74" t="str">
        <f>Tableau3[[#This Row],[ID-API]]&amp;Tableau3[[#This Row],[ID-RACK]]&amp;Tableau3[[#This Row],[ID-SLOT]]&amp;Tableau3[[#This Row],[BORNE]]</f>
        <v>61105B</v>
      </c>
      <c r="AO980" s="1"/>
    </row>
    <row r="981" spans="1:41" ht="20.100000000000001" customHeight="1" thickTop="1" thickBot="1">
      <c r="A981" s="68"/>
      <c r="B981" s="69" t="str">
        <f>IFERROR(INDEX(Tableau4[Date],MATCH($A981,Tableau4[EVO],0)),"")</f>
        <v/>
      </c>
      <c r="C981" s="68" t="str">
        <f>IFERROR(INDEX(Tableau4[Designation],MATCH($A981,Tableau4[EVO],0)),"")</f>
        <v/>
      </c>
      <c r="D981" s="68"/>
      <c r="E981" s="70">
        <v>48</v>
      </c>
      <c r="F981" s="71">
        <v>57</v>
      </c>
      <c r="G981" s="101" t="str">
        <f>INDEX(Tableau8[Att1],MATCH(Tableau3[[#This Row],[ID-INS]],Tableau8[ID],0))&amp;""</f>
        <v>B22</v>
      </c>
      <c r="H981" s="101" t="str">
        <f>INDEX(Tableau8[Att2],MATCH(Tableau3[[#This Row],[ID-INS]],Tableau8[ID],0))&amp;""</f>
        <v>PMR6</v>
      </c>
      <c r="I981" s="101" t="str">
        <f>INDEX(Tableau8[Att3],MATCH(Tableau3[[#This Row],[ID-INS]],Tableau8[ID],0))&amp;""</f>
        <v>PMR6</v>
      </c>
      <c r="J981" s="101"/>
      <c r="K981" s="167" t="str">
        <f>INDEX(Tableau8[Nom du modele],MATCH(Tableau3[[#This Row],[ID-INS]],Tableau8[ID],0))&amp;""</f>
        <v>PMR_1</v>
      </c>
      <c r="L981" s="99" t="str">
        <f>INDEX(Tableau5[Att1],MATCH(Tableau3[[#This Row],[ID-SIG]],Tableau5[ID],0))&amp;""</f>
        <v>TS_OuvRet1</v>
      </c>
      <c r="M981" s="99" t="str">
        <f>INDEX(Tableau5[Att2],MATCH(Tableau3[[#This Row],[ID-SIG]],Tableau5[ID],0))&amp;""</f>
        <v/>
      </c>
      <c r="N981" s="99" t="str">
        <f>INDEX(Tableau5[Att3],MATCH(Tableau3[[#This Row],[ID-SIG]],Tableau5[ID],0))&amp;""</f>
        <v/>
      </c>
      <c r="O981" s="99"/>
      <c r="P981" s="99" t="str">
        <f>INDEX(Tableau5[Description],MATCH(Tableau3[[#This Row],[ID-SIG]],Tableau5[ID],0))</f>
        <v>Retour Commande 1 ouverture sortie</v>
      </c>
      <c r="Q981" s="99"/>
      <c r="R981" s="103" t="str">
        <f>Tableau3[[#This Row],[Description]]</f>
        <v>Retour Commande 1 ouverture sortie</v>
      </c>
      <c r="U981" s="87">
        <v>6</v>
      </c>
      <c r="V981" s="87">
        <v>1</v>
      </c>
      <c r="W981" s="87">
        <v>10</v>
      </c>
      <c r="X981" s="87">
        <v>11</v>
      </c>
      <c r="Y981" s="40"/>
      <c r="Z981" s="165" t="str">
        <f>INDEX(Tableau2[TS],MATCH(Tableau3[[#This Row],[ID-CARTEVOIE]],Tableau2[ID-CARTEVOIE],0))</f>
        <v>ET</v>
      </c>
      <c r="AA981" s="53" t="s">
        <v>213</v>
      </c>
      <c r="AB981" s="223" t="str">
        <f>IFERROR(INDEX(Tableau5[Reserve],MATCH(Tableau3[[#This Row],[ID-SIG]],Tableau5[ID],0))&amp;"","")</f>
        <v/>
      </c>
      <c r="AC981" s="21"/>
      <c r="AD981" s="108" t="str">
        <f>INDEX(Tableau7[Repere],MATCH(Tableau3[[#This Row],[ID-API]],Tableau7[ID-API],0))&amp;""</f>
        <v>A6</v>
      </c>
      <c r="AE981" s="108" t="str">
        <f>INDEX(Tableau1[Repere-Rack],MATCH(Tableau3[[#This Row],[ID-RACK]],Tableau1[ID-RACK],0))&amp;""</f>
        <v>R1</v>
      </c>
      <c r="AF981" s="108" t="str">
        <f>INDEX(Tableau1[Repere-Slot],MATCH(Tableau3[[#This Row],[ID-SLOT]],Tableau1[ID-SLOT],0))&amp;""</f>
        <v>S10</v>
      </c>
      <c r="AG981" s="108" t="str">
        <f>INDEX(Tableau2[Repere-Voie],MATCH(Tableau3[[#This Row],[ID-VOIE]],Tableau2[ID-Voie],0))&amp;""</f>
        <v>v11</v>
      </c>
      <c r="AH981" s="72" t="str">
        <f>Tableau3[[#This Row],[ID-API]]&amp; "." &amp;Tableau3[[#This Row],[ID-RACK]]&amp; "." &amp;Tableau3[[#This Row],[ID-SLOT]]</f>
        <v>6.1.10</v>
      </c>
      <c r="AI981" s="72" t="str">
        <f>INDEX(Tableau1[Ref-Carte],MATCH(Tableau3[[#This Row],[ID-RRS]],Tableau1[ID-RRS],0))</f>
        <v>SDI1602</v>
      </c>
      <c r="AJ981" s="72" t="str">
        <f t="array" ref="AJ981">IFERROR(INDEX(Tableau2[TS],MATCH(1,(Tableau2[Ref-Carte]=Tableau3[[#This Row],[Ref-Carte2]])*(Tableau2[ID-Voie]=Tableau3[[#This Row],[ID-VOIE]]),0)),"")</f>
        <v>ET</v>
      </c>
      <c r="AK981" s="72" t="str">
        <f>IFERROR(INDEX(Tableau2[TS],SUMPRODUCT((Tableau2[Ref-Carte]=Tableau3[[#This Row],[Ref-Carte2]])*(Tableau2[ID-Voie]=Tableau3[[#This Row],[ID-VOIE]])*ROW(Tableau2[TS]))-ROW(Tableau2[#Headers])),"")</f>
        <v>ET</v>
      </c>
      <c r="AL981" s="72" t="str">
        <f>Tableau3[[#This Row],[Ref-Carte2]]&amp;"/"&amp;Tableau3[[#This Row],[ID-VOIE]]</f>
        <v>SDI1602/11</v>
      </c>
      <c r="AM981" s="73" t="str">
        <f>INDEX(Tableau2[Borne],MATCH(Tableau3[[#This Row],[ID-CARTEVOIE]],Tableau2[ID-CARTEVOIE],0))&amp;""</f>
        <v>5A</v>
      </c>
      <c r="AN981" s="74" t="str">
        <f>Tableau3[[#This Row],[ID-API]]&amp;Tableau3[[#This Row],[ID-RACK]]&amp;Tableau3[[#This Row],[ID-SLOT]]&amp;Tableau3[[#This Row],[BORNE]]</f>
        <v>61105A</v>
      </c>
      <c r="AO981" s="1"/>
    </row>
    <row r="982" spans="1:41" ht="20.100000000000001" customHeight="1" thickTop="1" thickBot="1">
      <c r="A982" s="68"/>
      <c r="B982" s="69" t="str">
        <f>IFERROR(INDEX(Tableau4[Date],MATCH($A982,Tableau4[EVO],0)),"")</f>
        <v/>
      </c>
      <c r="C982" s="68" t="str">
        <f>IFERROR(INDEX(Tableau4[Designation],MATCH($A982,Tableau4[EVO],0)),"")</f>
        <v/>
      </c>
      <c r="D982" s="68"/>
      <c r="E982" s="70">
        <v>48</v>
      </c>
      <c r="F982" s="71">
        <v>58</v>
      </c>
      <c r="G982" s="101" t="str">
        <f>INDEX(Tableau8[Att1],MATCH(Tableau3[[#This Row],[ID-INS]],Tableau8[ID],0))&amp;""</f>
        <v>B22</v>
      </c>
      <c r="H982" s="101" t="str">
        <f>INDEX(Tableau8[Att2],MATCH(Tableau3[[#This Row],[ID-INS]],Tableau8[ID],0))&amp;""</f>
        <v>PMR6</v>
      </c>
      <c r="I982" s="101" t="str">
        <f>INDEX(Tableau8[Att3],MATCH(Tableau3[[#This Row],[ID-INS]],Tableau8[ID],0))&amp;""</f>
        <v>PMR6</v>
      </c>
      <c r="J982" s="101"/>
      <c r="K982" s="167" t="str">
        <f>INDEX(Tableau8[Nom du modele],MATCH(Tableau3[[#This Row],[ID-INS]],Tableau8[ID],0))&amp;""</f>
        <v>PMR_1</v>
      </c>
      <c r="L982" s="99" t="str">
        <f>INDEX(Tableau5[Att1],MATCH(Tableau3[[#This Row],[ID-SIG]],Tableau5[ID],0))&amp;""</f>
        <v>Réserve</v>
      </c>
      <c r="M982" s="99" t="str">
        <f>INDEX(Tableau5[Att2],MATCH(Tableau3[[#This Row],[ID-SIG]],Tableau5[ID],0))&amp;""</f>
        <v/>
      </c>
      <c r="N982" s="99" t="str">
        <f>INDEX(Tableau5[Att3],MATCH(Tableau3[[#This Row],[ID-SIG]],Tableau5[ID],0))&amp;""</f>
        <v/>
      </c>
      <c r="O982" s="99"/>
      <c r="P982" s="99" t="str">
        <f>INDEX(Tableau5[Description],MATCH(Tableau3[[#This Row],[ID-SIG]],Tableau5[ID],0))</f>
        <v>Réserve</v>
      </c>
      <c r="Q982" s="99"/>
      <c r="R982" s="103" t="str">
        <f>Tableau3[[#This Row],[Description]]</f>
        <v>Réserve</v>
      </c>
      <c r="U982" s="87">
        <v>6</v>
      </c>
      <c r="V982" s="87">
        <v>1</v>
      </c>
      <c r="W982" s="87">
        <v>10</v>
      </c>
      <c r="X982" s="87">
        <v>12</v>
      </c>
      <c r="Y982" s="40"/>
      <c r="Z982" s="165" t="str">
        <f>INDEX(Tableau2[TS],MATCH(Tableau3[[#This Row],[ID-CARTEVOIE]],Tableau2[ID-CARTEVOIE],0))</f>
        <v>ET</v>
      </c>
      <c r="AA982" s="53" t="s">
        <v>213</v>
      </c>
      <c r="AB982" s="223" t="str">
        <f>IFERROR(INDEX(Tableau5[Reserve],MATCH(Tableau3[[#This Row],[ID-SIG]],Tableau5[ID],0))&amp;"","")</f>
        <v/>
      </c>
      <c r="AC982" s="21"/>
      <c r="AD982" s="108" t="str">
        <f>INDEX(Tableau7[Repere],MATCH(Tableau3[[#This Row],[ID-API]],Tableau7[ID-API],0))&amp;""</f>
        <v>A6</v>
      </c>
      <c r="AE982" s="108" t="str">
        <f>INDEX(Tableau1[Repere-Rack],MATCH(Tableau3[[#This Row],[ID-RACK]],Tableau1[ID-RACK],0))&amp;""</f>
        <v>R1</v>
      </c>
      <c r="AF982" s="108" t="str">
        <f>INDEX(Tableau1[Repere-Slot],MATCH(Tableau3[[#This Row],[ID-SLOT]],Tableau1[ID-SLOT],0))&amp;""</f>
        <v>S10</v>
      </c>
      <c r="AG982" s="108" t="str">
        <f>INDEX(Tableau2[Repere-Voie],MATCH(Tableau3[[#This Row],[ID-VOIE]],Tableau2[ID-Voie],0))&amp;""</f>
        <v>v12</v>
      </c>
      <c r="AH982" s="72" t="str">
        <f>Tableau3[[#This Row],[ID-API]]&amp; "." &amp;Tableau3[[#This Row],[ID-RACK]]&amp; "." &amp;Tableau3[[#This Row],[ID-SLOT]]</f>
        <v>6.1.10</v>
      </c>
      <c r="AI982" s="72" t="str">
        <f>INDEX(Tableau1[Ref-Carte],MATCH(Tableau3[[#This Row],[ID-RRS]],Tableau1[ID-RRS],0))</f>
        <v>SDI1602</v>
      </c>
      <c r="AJ982" s="72" t="str">
        <f t="array" ref="AJ982">IFERROR(INDEX(Tableau2[TS],MATCH(1,(Tableau2[Ref-Carte]=Tableau3[[#This Row],[Ref-Carte2]])*(Tableau2[ID-Voie]=Tableau3[[#This Row],[ID-VOIE]]),0)),"")</f>
        <v>ET</v>
      </c>
      <c r="AK982" s="72" t="str">
        <f>IFERROR(INDEX(Tableau2[TS],SUMPRODUCT((Tableau2[Ref-Carte]=Tableau3[[#This Row],[Ref-Carte2]])*(Tableau2[ID-Voie]=Tableau3[[#This Row],[ID-VOIE]])*ROW(Tableau2[TS]))-ROW(Tableau2[#Headers])),"")</f>
        <v>ET</v>
      </c>
      <c r="AL982" s="72" t="str">
        <f>Tableau3[[#This Row],[Ref-Carte2]]&amp;"/"&amp;Tableau3[[#This Row],[ID-VOIE]]</f>
        <v>SDI1602/12</v>
      </c>
      <c r="AM982" s="73" t="str">
        <f>INDEX(Tableau2[Borne],MATCH(Tableau3[[#This Row],[ID-CARTEVOIE]],Tableau2[ID-CARTEVOIE],0))&amp;""</f>
        <v>6B</v>
      </c>
      <c r="AN982" s="74" t="str">
        <f>Tableau3[[#This Row],[ID-API]]&amp;Tableau3[[#This Row],[ID-RACK]]&amp;Tableau3[[#This Row],[ID-SLOT]]&amp;Tableau3[[#This Row],[BORNE]]</f>
        <v>61106B</v>
      </c>
      <c r="AO982" s="1"/>
    </row>
    <row r="983" spans="1:41" ht="20.100000000000001" customHeight="1" thickTop="1" thickBot="1">
      <c r="A983" s="68"/>
      <c r="B983" s="69" t="str">
        <f>IFERROR(INDEX(Tableau4[Date],MATCH($A983,Tableau4[EVO],0)),"")</f>
        <v/>
      </c>
      <c r="C983" s="68" t="str">
        <f>IFERROR(INDEX(Tableau4[Designation],MATCH($A983,Tableau4[EVO],0)),"")</f>
        <v/>
      </c>
      <c r="D983" s="68"/>
      <c r="E983" s="70">
        <v>48</v>
      </c>
      <c r="F983" s="71">
        <v>59</v>
      </c>
      <c r="G983" s="101" t="str">
        <f>INDEX(Tableau8[Att1],MATCH(Tableau3[[#This Row],[ID-INS]],Tableau8[ID],0))&amp;""</f>
        <v>B22</v>
      </c>
      <c r="H983" s="101" t="str">
        <f>INDEX(Tableau8[Att2],MATCH(Tableau3[[#This Row],[ID-INS]],Tableau8[ID],0))&amp;""</f>
        <v>PMR6</v>
      </c>
      <c r="I983" s="101" t="str">
        <f>INDEX(Tableau8[Att3],MATCH(Tableau3[[#This Row],[ID-INS]],Tableau8[ID],0))&amp;""</f>
        <v>PMR6</v>
      </c>
      <c r="J983" s="101"/>
      <c r="K983" s="167" t="str">
        <f>INDEX(Tableau8[Nom du modele],MATCH(Tableau3[[#This Row],[ID-INS]],Tableau8[ID],0))&amp;""</f>
        <v>PMR_1</v>
      </c>
      <c r="L983" s="99" t="str">
        <f>INDEX(Tableau5[Att1],MATCH(Tableau3[[#This Row],[ID-SIG]],Tableau5[ID],0))&amp;""</f>
        <v>T_SynthDef</v>
      </c>
      <c r="M983" s="99" t="str">
        <f>INDEX(Tableau5[Att2],MATCH(Tableau3[[#This Row],[ID-SIG]],Tableau5[ID],0))&amp;""</f>
        <v/>
      </c>
      <c r="N983" s="99" t="str">
        <f>INDEX(Tableau5[Att3],MATCH(Tableau3[[#This Row],[ID-SIG]],Tableau5[ID],0))&amp;""</f>
        <v/>
      </c>
      <c r="O983" s="99"/>
      <c r="P983" s="99" t="str">
        <f>INDEX(Tableau5[Description],MATCH(Tableau3[[#This Row],[ID-SIG]],Tableau5[ID],0))</f>
        <v>Synthèse défaut</v>
      </c>
      <c r="Q983" s="99"/>
      <c r="R983" s="103" t="str">
        <f>Tableau3[[#This Row],[Description]]</f>
        <v>Synthèse défaut</v>
      </c>
      <c r="U983" s="87">
        <v>6</v>
      </c>
      <c r="V983" s="87">
        <v>1</v>
      </c>
      <c r="W983" s="87">
        <v>10</v>
      </c>
      <c r="X983" s="87">
        <v>13</v>
      </c>
      <c r="Y983" s="40"/>
      <c r="Z983" s="165" t="str">
        <f>INDEX(Tableau2[TS],MATCH(Tableau3[[#This Row],[ID-CARTEVOIE]],Tableau2[ID-CARTEVOIE],0))</f>
        <v>ET</v>
      </c>
      <c r="AA983" s="53" t="s">
        <v>213</v>
      </c>
      <c r="AB983" s="223" t="str">
        <f>IFERROR(INDEX(Tableau5[Reserve],MATCH(Tableau3[[#This Row],[ID-SIG]],Tableau5[ID],0))&amp;"","")</f>
        <v/>
      </c>
      <c r="AC983" s="21"/>
      <c r="AD983" s="108" t="str">
        <f>INDEX(Tableau7[Repere],MATCH(Tableau3[[#This Row],[ID-API]],Tableau7[ID-API],0))&amp;""</f>
        <v>A6</v>
      </c>
      <c r="AE983" s="108" t="str">
        <f>INDEX(Tableau1[Repere-Rack],MATCH(Tableau3[[#This Row],[ID-RACK]],Tableau1[ID-RACK],0))&amp;""</f>
        <v>R1</v>
      </c>
      <c r="AF983" s="108" t="str">
        <f>INDEX(Tableau1[Repere-Slot],MATCH(Tableau3[[#This Row],[ID-SLOT]],Tableau1[ID-SLOT],0))&amp;""</f>
        <v>S10</v>
      </c>
      <c r="AG983" s="108" t="str">
        <f>INDEX(Tableau2[Repere-Voie],MATCH(Tableau3[[#This Row],[ID-VOIE]],Tableau2[ID-Voie],0))&amp;""</f>
        <v>v13</v>
      </c>
      <c r="AH983" s="72" t="str">
        <f>Tableau3[[#This Row],[ID-API]]&amp; "." &amp;Tableau3[[#This Row],[ID-RACK]]&amp; "." &amp;Tableau3[[#This Row],[ID-SLOT]]</f>
        <v>6.1.10</v>
      </c>
      <c r="AI983" s="72" t="str">
        <f>INDEX(Tableau1[Ref-Carte],MATCH(Tableau3[[#This Row],[ID-RRS]],Tableau1[ID-RRS],0))</f>
        <v>SDI1602</v>
      </c>
      <c r="AJ983" s="72" t="str">
        <f t="array" ref="AJ983">IFERROR(INDEX(Tableau2[TS],MATCH(1,(Tableau2[Ref-Carte]=Tableau3[[#This Row],[Ref-Carte2]])*(Tableau2[ID-Voie]=Tableau3[[#This Row],[ID-VOIE]]),0)),"")</f>
        <v>ET</v>
      </c>
      <c r="AK983" s="72" t="str">
        <f>IFERROR(INDEX(Tableau2[TS],SUMPRODUCT((Tableau2[Ref-Carte]=Tableau3[[#This Row],[Ref-Carte2]])*(Tableau2[ID-Voie]=Tableau3[[#This Row],[ID-VOIE]])*ROW(Tableau2[TS]))-ROW(Tableau2[#Headers])),"")</f>
        <v>ET</v>
      </c>
      <c r="AL983" s="72" t="str">
        <f>Tableau3[[#This Row],[Ref-Carte2]]&amp;"/"&amp;Tableau3[[#This Row],[ID-VOIE]]</f>
        <v>SDI1602/13</v>
      </c>
      <c r="AM983" s="73" t="str">
        <f>INDEX(Tableau2[Borne],MATCH(Tableau3[[#This Row],[ID-CARTEVOIE]],Tableau2[ID-CARTEVOIE],0))&amp;""</f>
        <v>6A</v>
      </c>
      <c r="AN983" s="74" t="str">
        <f>Tableau3[[#This Row],[ID-API]]&amp;Tableau3[[#This Row],[ID-RACK]]&amp;Tableau3[[#This Row],[ID-SLOT]]&amp;Tableau3[[#This Row],[BORNE]]</f>
        <v>61106A</v>
      </c>
      <c r="AO983" s="1"/>
    </row>
    <row r="984" spans="1:41" ht="20.100000000000001" customHeight="1" thickTop="1" thickBot="1">
      <c r="A984" s="68"/>
      <c r="B984" s="69" t="str">
        <f>IFERROR(INDEX(Tableau4[Date],MATCH($A984,Tableau4[EVO],0)),"")</f>
        <v/>
      </c>
      <c r="C984" s="68" t="str">
        <f>IFERROR(INDEX(Tableau4[Designation],MATCH($A984,Tableau4[EVO],0)),"")</f>
        <v/>
      </c>
      <c r="D984" s="68"/>
      <c r="E984" s="70">
        <v>48</v>
      </c>
      <c r="F984" s="71">
        <v>60</v>
      </c>
      <c r="G984" s="101" t="str">
        <f>INDEX(Tableau8[Att1],MATCH(Tableau3[[#This Row],[ID-INS]],Tableau8[ID],0))&amp;""</f>
        <v>B22</v>
      </c>
      <c r="H984" s="101" t="str">
        <f>INDEX(Tableau8[Att2],MATCH(Tableau3[[#This Row],[ID-INS]],Tableau8[ID],0))&amp;""</f>
        <v>PMR6</v>
      </c>
      <c r="I984" s="101" t="str">
        <f>INDEX(Tableau8[Att3],MATCH(Tableau3[[#This Row],[ID-INS]],Tableau8[ID],0))&amp;""</f>
        <v>PMR6</v>
      </c>
      <c r="J984" s="101"/>
      <c r="K984" s="167" t="str">
        <f>INDEX(Tableau8[Nom du modele],MATCH(Tableau3[[#This Row],[ID-INS]],Tableau8[ID],0))&amp;""</f>
        <v>PMR_1</v>
      </c>
      <c r="L984" s="99" t="str">
        <f>INDEX(Tableau5[Att1],MATCH(Tableau3[[#This Row],[ID-SIG]],Tableau5[ID],0))&amp;""</f>
        <v>Effraction</v>
      </c>
      <c r="M984" s="99" t="str">
        <f>INDEX(Tableau5[Att2],MATCH(Tableau3[[#This Row],[ID-SIG]],Tableau5[ID],0))&amp;""</f>
        <v/>
      </c>
      <c r="N984" s="99" t="str">
        <f>INDEX(Tableau5[Att3],MATCH(Tableau3[[#This Row],[ID-SIG]],Tableau5[ID],0))&amp;""</f>
        <v/>
      </c>
      <c r="O984" s="99"/>
      <c r="P984" s="99" t="str">
        <f>INDEX(Tableau5[Description],MATCH(Tableau3[[#This Row],[ID-SIG]],Tableau5[ID],0))</f>
        <v>Effraction</v>
      </c>
      <c r="Q984" s="99"/>
      <c r="R984" s="103" t="str">
        <f>Tableau3[[#This Row],[Description]]</f>
        <v>Effraction</v>
      </c>
      <c r="U984" s="87">
        <v>6</v>
      </c>
      <c r="V984" s="87">
        <v>1</v>
      </c>
      <c r="W984" s="87">
        <v>10</v>
      </c>
      <c r="X984" s="87">
        <v>14</v>
      </c>
      <c r="Y984" s="40"/>
      <c r="Z984" s="165" t="str">
        <f>INDEX(Tableau2[TS],MATCH(Tableau3[[#This Row],[ID-CARTEVOIE]],Tableau2[ID-CARTEVOIE],0))</f>
        <v>ET</v>
      </c>
      <c r="AA984" s="53" t="s">
        <v>213</v>
      </c>
      <c r="AB984" s="223" t="str">
        <f>IFERROR(INDEX(Tableau5[Reserve],MATCH(Tableau3[[#This Row],[ID-SIG]],Tableau5[ID],0))&amp;"","")</f>
        <v/>
      </c>
      <c r="AC984" s="21"/>
      <c r="AD984" s="108" t="str">
        <f>INDEX(Tableau7[Repere],MATCH(Tableau3[[#This Row],[ID-API]],Tableau7[ID-API],0))&amp;""</f>
        <v>A6</v>
      </c>
      <c r="AE984" s="108" t="str">
        <f>INDEX(Tableau1[Repere-Rack],MATCH(Tableau3[[#This Row],[ID-RACK]],Tableau1[ID-RACK],0))&amp;""</f>
        <v>R1</v>
      </c>
      <c r="AF984" s="108" t="str">
        <f>INDEX(Tableau1[Repere-Slot],MATCH(Tableau3[[#This Row],[ID-SLOT]],Tableau1[ID-SLOT],0))&amp;""</f>
        <v>S10</v>
      </c>
      <c r="AG984" s="108" t="str">
        <f>INDEX(Tableau2[Repere-Voie],MATCH(Tableau3[[#This Row],[ID-VOIE]],Tableau2[ID-Voie],0))&amp;""</f>
        <v>v14</v>
      </c>
      <c r="AH984" s="72" t="str">
        <f>Tableau3[[#This Row],[ID-API]]&amp; "." &amp;Tableau3[[#This Row],[ID-RACK]]&amp; "." &amp;Tableau3[[#This Row],[ID-SLOT]]</f>
        <v>6.1.10</v>
      </c>
      <c r="AI984" s="72" t="str">
        <f>INDEX(Tableau1[Ref-Carte],MATCH(Tableau3[[#This Row],[ID-RRS]],Tableau1[ID-RRS],0))</f>
        <v>SDI1602</v>
      </c>
      <c r="AJ984" s="72" t="str">
        <f t="array" ref="AJ984">IFERROR(INDEX(Tableau2[TS],MATCH(1,(Tableau2[Ref-Carte]=Tableau3[[#This Row],[Ref-Carte2]])*(Tableau2[ID-Voie]=Tableau3[[#This Row],[ID-VOIE]]),0)),"")</f>
        <v>ET</v>
      </c>
      <c r="AK984" s="72" t="str">
        <f>IFERROR(INDEX(Tableau2[TS],SUMPRODUCT((Tableau2[Ref-Carte]=Tableau3[[#This Row],[Ref-Carte2]])*(Tableau2[ID-Voie]=Tableau3[[#This Row],[ID-VOIE]])*ROW(Tableau2[TS]))-ROW(Tableau2[#Headers])),"")</f>
        <v>ET</v>
      </c>
      <c r="AL984" s="72" t="str">
        <f>Tableau3[[#This Row],[Ref-Carte2]]&amp;"/"&amp;Tableau3[[#This Row],[ID-VOIE]]</f>
        <v>SDI1602/14</v>
      </c>
      <c r="AM984" s="73" t="str">
        <f>INDEX(Tableau2[Borne],MATCH(Tableau3[[#This Row],[ID-CARTEVOIE]],Tableau2[ID-CARTEVOIE],0))&amp;""</f>
        <v>7B</v>
      </c>
      <c r="AN984" s="74" t="str">
        <f>Tableau3[[#This Row],[ID-API]]&amp;Tableau3[[#This Row],[ID-RACK]]&amp;Tableau3[[#This Row],[ID-SLOT]]&amp;Tableau3[[#This Row],[BORNE]]</f>
        <v>61107B</v>
      </c>
      <c r="AO984" s="1"/>
    </row>
    <row r="985" spans="1:41" ht="20.100000000000001" customHeight="1" thickTop="1" thickBot="1">
      <c r="A985" s="68"/>
      <c r="B985" s="69" t="str">
        <f>IFERROR(INDEX(Tableau4[Date],MATCH($A985,Tableau4[EVO],0)),"")</f>
        <v/>
      </c>
      <c r="C985" s="68" t="str">
        <f>IFERROR(INDEX(Tableau4[Designation],MATCH($A985,Tableau4[EVO],0)),"")</f>
        <v/>
      </c>
      <c r="D985" s="68"/>
      <c r="E985" s="70">
        <v>58</v>
      </c>
      <c r="F985" s="71">
        <v>17</v>
      </c>
      <c r="G985" s="101" t="str">
        <f>INDEX(Tableau8[Att1],MATCH(Tableau3[[#This Row],[ID-INS]],Tableau8[ID],0))&amp;""</f>
        <v>GR</v>
      </c>
      <c r="H985" s="101" t="str">
        <f>INDEX(Tableau8[Att2],MATCH(Tableau3[[#This Row],[ID-INS]],Tableau8[ID],0))&amp;""</f>
        <v>TRSS1</v>
      </c>
      <c r="I985" s="101" t="str">
        <f>INDEX(Tableau8[Att3],MATCH(Tableau3[[#This Row],[ID-INS]],Tableau8[ID],0))&amp;""</f>
        <v>Tourniquet TRSS1</v>
      </c>
      <c r="J985" s="101"/>
      <c r="K985" s="167" t="str">
        <f>INDEX(Tableau8[Nom du modele],MATCH(Tableau3[[#This Row],[ID-INS]],Tableau8[ID],0))&amp;""</f>
        <v>TRSS_1</v>
      </c>
      <c r="L985" s="99" t="str">
        <f>INDEX(Tableau5[Att1],MATCH(Tableau3[[#This Row],[ID-SIG]],Tableau5[ID],0))&amp;""</f>
        <v>TS_OuvRet2</v>
      </c>
      <c r="M985" s="99" t="str">
        <f>INDEX(Tableau5[Att2],MATCH(Tableau3[[#This Row],[ID-SIG]],Tableau5[ID],0))&amp;""</f>
        <v/>
      </c>
      <c r="N985" s="99" t="str">
        <f>INDEX(Tableau5[Att3],MATCH(Tableau3[[#This Row],[ID-SIG]],Tableau5[ID],0))&amp;""</f>
        <v/>
      </c>
      <c r="O985" s="99"/>
      <c r="P985" s="99" t="str">
        <f>INDEX(Tableau5[Description],MATCH(Tableau3[[#This Row],[ID-SIG]],Tableau5[ID],0))</f>
        <v>Retour Commande 2 ouverture sortie</v>
      </c>
      <c r="Q985" s="99"/>
      <c r="R985" s="103" t="str">
        <f>Tableau3[[#This Row],[Description]]</f>
        <v>Retour Commande 2 ouverture sortie</v>
      </c>
      <c r="U985" s="87">
        <v>6</v>
      </c>
      <c r="V985" s="87">
        <v>1</v>
      </c>
      <c r="W985" s="87">
        <v>10</v>
      </c>
      <c r="X985" s="87">
        <v>15</v>
      </c>
      <c r="Y985" s="40"/>
      <c r="Z985" s="165" t="str">
        <f>INDEX(Tableau2[TS],MATCH(Tableau3[[#This Row],[ID-CARTEVOIE]],Tableau2[ID-CARTEVOIE],0))</f>
        <v>ET</v>
      </c>
      <c r="AA985" s="53" t="s">
        <v>213</v>
      </c>
      <c r="AB985" s="223" t="str">
        <f>IFERROR(INDEX(Tableau5[Reserve],MATCH(Tableau3[[#This Row],[ID-SIG]],Tableau5[ID],0))&amp;"","")</f>
        <v/>
      </c>
      <c r="AC985" s="21"/>
      <c r="AD985" s="108" t="str">
        <f>INDEX(Tableau7[Repere],MATCH(Tableau3[[#This Row],[ID-API]],Tableau7[ID-API],0))&amp;""</f>
        <v>A6</v>
      </c>
      <c r="AE985" s="108" t="str">
        <f>INDEX(Tableau1[Repere-Rack],MATCH(Tableau3[[#This Row],[ID-RACK]],Tableau1[ID-RACK],0))&amp;""</f>
        <v>R1</v>
      </c>
      <c r="AF985" s="108" t="str">
        <f>INDEX(Tableau1[Repere-Slot],MATCH(Tableau3[[#This Row],[ID-SLOT]],Tableau1[ID-SLOT],0))&amp;""</f>
        <v>S10</v>
      </c>
      <c r="AG985" s="108" t="str">
        <f>INDEX(Tableau2[Repere-Voie],MATCH(Tableau3[[#This Row],[ID-VOIE]],Tableau2[ID-Voie],0))&amp;""</f>
        <v>v15</v>
      </c>
      <c r="AH985" s="72" t="str">
        <f>Tableau3[[#This Row],[ID-API]]&amp; "." &amp;Tableau3[[#This Row],[ID-RACK]]&amp; "." &amp;Tableau3[[#This Row],[ID-SLOT]]</f>
        <v>6.1.10</v>
      </c>
      <c r="AI985" s="72" t="str">
        <f>INDEX(Tableau1[Ref-Carte],MATCH(Tableau3[[#This Row],[ID-RRS]],Tableau1[ID-RRS],0))</f>
        <v>SDI1602</v>
      </c>
      <c r="AJ985" s="72" t="str">
        <f t="array" ref="AJ985">IFERROR(INDEX(Tableau2[TS],MATCH(1,(Tableau2[Ref-Carte]=Tableau3[[#This Row],[Ref-Carte2]])*(Tableau2[ID-Voie]=Tableau3[[#This Row],[ID-VOIE]]),0)),"")</f>
        <v>ET</v>
      </c>
      <c r="AK985" s="72" t="str">
        <f>IFERROR(INDEX(Tableau2[TS],SUMPRODUCT((Tableau2[Ref-Carte]=Tableau3[[#This Row],[Ref-Carte2]])*(Tableau2[ID-Voie]=Tableau3[[#This Row],[ID-VOIE]])*ROW(Tableau2[TS]))-ROW(Tableau2[#Headers])),"")</f>
        <v>ET</v>
      </c>
      <c r="AL985" s="72" t="str">
        <f>Tableau3[[#This Row],[Ref-Carte2]]&amp;"/"&amp;Tableau3[[#This Row],[ID-VOIE]]</f>
        <v>SDI1602/15</v>
      </c>
      <c r="AM985" s="73" t="str">
        <f>INDEX(Tableau2[Borne],MATCH(Tableau3[[#This Row],[ID-CARTEVOIE]],Tableau2[ID-CARTEVOIE],0))&amp;""</f>
        <v>7A</v>
      </c>
      <c r="AN985" s="74" t="str">
        <f>Tableau3[[#This Row],[ID-API]]&amp;Tableau3[[#This Row],[ID-RACK]]&amp;Tableau3[[#This Row],[ID-SLOT]]&amp;Tableau3[[#This Row],[BORNE]]</f>
        <v>61107A</v>
      </c>
      <c r="AO985" s="1"/>
    </row>
    <row r="986" spans="1:41" ht="20.100000000000001" customHeight="1" thickTop="1" thickBot="1">
      <c r="A986" s="68"/>
      <c r="B986" s="69" t="str">
        <f>IFERROR(INDEX(Tableau4[Date],MATCH($A986,Tableau4[EVO],0)),"")</f>
        <v/>
      </c>
      <c r="C986" s="68" t="str">
        <f>IFERROR(INDEX(Tableau4[Designation],MATCH($A986,Tableau4[EVO],0)),"")</f>
        <v/>
      </c>
      <c r="D986" s="68"/>
      <c r="E986" s="70">
        <v>58</v>
      </c>
      <c r="F986" s="71">
        <v>19</v>
      </c>
      <c r="G986" s="101" t="str">
        <f>INDEX(Tableau8[Att1],MATCH(Tableau3[[#This Row],[ID-INS]],Tableau8[ID],0))&amp;""</f>
        <v>GR</v>
      </c>
      <c r="H986" s="101" t="str">
        <f>INDEX(Tableau8[Att2],MATCH(Tableau3[[#This Row],[ID-INS]],Tableau8[ID],0))&amp;""</f>
        <v>TRSS1</v>
      </c>
      <c r="I986" s="101" t="str">
        <f>INDEX(Tableau8[Att3],MATCH(Tableau3[[#This Row],[ID-INS]],Tableau8[ID],0))&amp;""</f>
        <v>Tourniquet TRSS1</v>
      </c>
      <c r="J986" s="101"/>
      <c r="K986" s="167" t="str">
        <f>INDEX(Tableau8[Nom du modele],MATCH(Tableau3[[#This Row],[ID-INS]],Tableau8[ID],0))&amp;""</f>
        <v>TRSS_1</v>
      </c>
      <c r="L986" s="99" t="str">
        <f>INDEX(Tableau5[Att1],MATCH(Tableau3[[#This Row],[ID-SIG]],Tableau5[ID],0))&amp;""</f>
        <v>TS_OuvCmd1</v>
      </c>
      <c r="M986" s="99" t="str">
        <f>INDEX(Tableau5[Att2],MATCH(Tableau3[[#This Row],[ID-SIG]],Tableau5[ID],0))&amp;""</f>
        <v/>
      </c>
      <c r="N986" s="99" t="str">
        <f>INDEX(Tableau5[Att3],MATCH(Tableau3[[#This Row],[ID-SIG]],Tableau5[ID],0))&amp;""</f>
        <v/>
      </c>
      <c r="O986" s="99"/>
      <c r="P986" s="99" t="str">
        <f>INDEX(Tableau5[Description],MATCH(Tableau3[[#This Row],[ID-SIG]],Tableau5[ID],0))</f>
        <v>Commande 1 ouverture sortie</v>
      </c>
      <c r="Q986" s="99"/>
      <c r="R986" s="103" t="str">
        <f>Tableau3[[#This Row],[Description]]</f>
        <v>Commande 1 ouverture sortie</v>
      </c>
      <c r="U986" s="87">
        <v>6</v>
      </c>
      <c r="V986" s="87">
        <v>2</v>
      </c>
      <c r="W986" s="87">
        <v>1</v>
      </c>
      <c r="X986" s="87">
        <v>0</v>
      </c>
      <c r="Y986" s="41"/>
      <c r="Z986" s="165" t="str">
        <f>INDEX(Tableau2[TS],MATCH(Tableau3[[#This Row],[ID-CARTEVOIE]],Tableau2[ID-CARTEVOIE],0))</f>
        <v>ST</v>
      </c>
      <c r="AA986" s="53" t="s">
        <v>213</v>
      </c>
      <c r="AB986" s="223" t="str">
        <f>IFERROR(INDEX(Tableau5[Reserve],MATCH(Tableau3[[#This Row],[ID-SIG]],Tableau5[ID],0))&amp;"","")</f>
        <v/>
      </c>
      <c r="AC986" s="21"/>
      <c r="AD986" s="108" t="str">
        <f>INDEX(Tableau7[Repere],MATCH(Tableau3[[#This Row],[ID-API]],Tableau7[ID-API],0))&amp;""</f>
        <v>A6</v>
      </c>
      <c r="AE986" s="108" t="str">
        <f>INDEX(Tableau1[Repere-Rack],MATCH(Tableau3[[#This Row],[ID-RACK]],Tableau1[ID-RACK],0))&amp;""</f>
        <v>R2</v>
      </c>
      <c r="AF986" s="108" t="str">
        <f>INDEX(Tableau1[Repere-Slot],MATCH(Tableau3[[#This Row],[ID-SLOT]],Tableau1[ID-SLOT],0))&amp;""</f>
        <v>S1</v>
      </c>
      <c r="AG986" s="108" t="str">
        <f>INDEX(Tableau2[Repere-Voie],MATCH(Tableau3[[#This Row],[ID-VOIE]],Tableau2[ID-Voie],0))&amp;""</f>
        <v>v0</v>
      </c>
      <c r="AH986" s="72" t="str">
        <f>Tableau3[[#This Row],[ID-API]]&amp; "." &amp;Tableau3[[#This Row],[ID-RACK]]&amp; "." &amp;Tableau3[[#This Row],[ID-SLOT]]</f>
        <v>6.2.1</v>
      </c>
      <c r="AI986" s="72" t="str">
        <f>INDEX(Tableau1[Ref-Carte],MATCH(Tableau3[[#This Row],[ID-RRS]],Tableau1[ID-RRS],0))</f>
        <v>SDO0802</v>
      </c>
      <c r="AJ986" s="72" t="str">
        <f t="array" ref="AJ986">IFERROR(INDEX(Tableau2[TS],MATCH(1,(Tableau2[Ref-Carte]=Tableau3[[#This Row],[Ref-Carte2]])*(Tableau2[ID-Voie]=Tableau3[[#This Row],[ID-VOIE]]),0)),"")</f>
        <v>ST</v>
      </c>
      <c r="AK986" s="72" t="str">
        <f>IFERROR(INDEX(Tableau2[TS],SUMPRODUCT((Tableau2[Ref-Carte]=Tableau3[[#This Row],[Ref-Carte2]])*(Tableau2[ID-Voie]=Tableau3[[#This Row],[ID-VOIE]])*ROW(Tableau2[TS]))-ROW(Tableau2[#Headers])),"")</f>
        <v>ST</v>
      </c>
      <c r="AL986" s="72" t="str">
        <f>Tableau3[[#This Row],[Ref-Carte2]]&amp;"/"&amp;Tableau3[[#This Row],[ID-VOIE]]</f>
        <v>SDO0802/0</v>
      </c>
      <c r="AM986" s="73" t="str">
        <f>INDEX(Tableau2[Borne],MATCH(Tableau3[[#This Row],[ID-CARTEVOIE]],Tableau2[ID-CARTEVOIE],0))&amp;""</f>
        <v>0</v>
      </c>
      <c r="AN986" s="74" t="str">
        <f>Tableau3[[#This Row],[ID-API]]&amp;Tableau3[[#This Row],[ID-RACK]]&amp;Tableau3[[#This Row],[ID-SLOT]]&amp;Tableau3[[#This Row],[BORNE]]</f>
        <v>6210</v>
      </c>
      <c r="AO986" s="1"/>
    </row>
    <row r="987" spans="1:41" ht="20.100000000000001" customHeight="1" thickTop="1" thickBot="1">
      <c r="A987" s="68"/>
      <c r="B987" s="69" t="str">
        <f>IFERROR(INDEX(Tableau4[Date],MATCH($A987,Tableau4[EVO],0)),"")</f>
        <v/>
      </c>
      <c r="C987" s="68" t="str">
        <f>IFERROR(INDEX(Tableau4[Designation],MATCH($A987,Tableau4[EVO],0)),"")</f>
        <v/>
      </c>
      <c r="D987" s="68"/>
      <c r="E987" s="70">
        <v>58</v>
      </c>
      <c r="F987" s="71">
        <v>20</v>
      </c>
      <c r="G987" s="101" t="str">
        <f>INDEX(Tableau8[Att1],MATCH(Tableau3[[#This Row],[ID-INS]],Tableau8[ID],0))&amp;""</f>
        <v>GR</v>
      </c>
      <c r="H987" s="101" t="str">
        <f>INDEX(Tableau8[Att2],MATCH(Tableau3[[#This Row],[ID-INS]],Tableau8[ID],0))&amp;""</f>
        <v>TRSS1</v>
      </c>
      <c r="I987" s="101" t="str">
        <f>INDEX(Tableau8[Att3],MATCH(Tableau3[[#This Row],[ID-INS]],Tableau8[ID],0))&amp;""</f>
        <v>Tourniquet TRSS1</v>
      </c>
      <c r="J987" s="101"/>
      <c r="K987" s="167" t="str">
        <f>INDEX(Tableau8[Nom du modele],MATCH(Tableau3[[#This Row],[ID-INS]],Tableau8[ID],0))&amp;""</f>
        <v>TRSS_1</v>
      </c>
      <c r="L987" s="99" t="str">
        <f>INDEX(Tableau5[Att1],MATCH(Tableau3[[#This Row],[ID-SIG]],Tableau5[ID],0))&amp;""</f>
        <v>TE_PictoAutor</v>
      </c>
      <c r="M987" s="99" t="str">
        <f>INDEX(Tableau5[Att2],MATCH(Tableau3[[#This Row],[ID-SIG]],Tableau5[ID],0))&amp;""</f>
        <v/>
      </c>
      <c r="N987" s="99" t="str">
        <f>INDEX(Tableau5[Att3],MATCH(Tableau3[[#This Row],[ID-SIG]],Tableau5[ID],0))&amp;""</f>
        <v/>
      </c>
      <c r="O987" s="99"/>
      <c r="P987" s="99" t="str">
        <f>INDEX(Tableau5[Description],MATCH(Tableau3[[#This Row],[ID-SIG]],Tableau5[ID],0))</f>
        <v>Commande Picto entrée</v>
      </c>
      <c r="Q987" s="99"/>
      <c r="R987" s="103" t="str">
        <f>Tableau3[[#This Row],[Description]]</f>
        <v>Commande Picto entrée</v>
      </c>
      <c r="U987" s="87">
        <v>6</v>
      </c>
      <c r="V987" s="87">
        <v>2</v>
      </c>
      <c r="W987" s="87">
        <v>1</v>
      </c>
      <c r="X987" s="87">
        <v>1</v>
      </c>
      <c r="Y987" s="41"/>
      <c r="Z987" s="165" t="str">
        <f>INDEX(Tableau2[TS],MATCH(Tableau3[[#This Row],[ID-CARTEVOIE]],Tableau2[ID-CARTEVOIE],0))</f>
        <v>ST</v>
      </c>
      <c r="AA987" s="53" t="s">
        <v>213</v>
      </c>
      <c r="AB987" s="223" t="str">
        <f>IFERROR(INDEX(Tableau5[Reserve],MATCH(Tableau3[[#This Row],[ID-SIG]],Tableau5[ID],0))&amp;"","")</f>
        <v/>
      </c>
      <c r="AC987" s="21"/>
      <c r="AD987" s="108" t="str">
        <f>INDEX(Tableau7[Repere],MATCH(Tableau3[[#This Row],[ID-API]],Tableau7[ID-API],0))&amp;""</f>
        <v>A6</v>
      </c>
      <c r="AE987" s="108" t="str">
        <f>INDEX(Tableau1[Repere-Rack],MATCH(Tableau3[[#This Row],[ID-RACK]],Tableau1[ID-RACK],0))&amp;""</f>
        <v>R2</v>
      </c>
      <c r="AF987" s="108" t="str">
        <f>INDEX(Tableau1[Repere-Slot],MATCH(Tableau3[[#This Row],[ID-SLOT]],Tableau1[ID-SLOT],0))&amp;""</f>
        <v>S1</v>
      </c>
      <c r="AG987" s="108" t="str">
        <f>INDEX(Tableau2[Repere-Voie],MATCH(Tableau3[[#This Row],[ID-VOIE]],Tableau2[ID-Voie],0))&amp;""</f>
        <v>v1</v>
      </c>
      <c r="AH987" s="72" t="str">
        <f>Tableau3[[#This Row],[ID-API]]&amp; "." &amp;Tableau3[[#This Row],[ID-RACK]]&amp; "." &amp;Tableau3[[#This Row],[ID-SLOT]]</f>
        <v>6.2.1</v>
      </c>
      <c r="AI987" s="72" t="str">
        <f>INDEX(Tableau1[Ref-Carte],MATCH(Tableau3[[#This Row],[ID-RRS]],Tableau1[ID-RRS],0))</f>
        <v>SDO0802</v>
      </c>
      <c r="AJ987" s="72" t="str">
        <f t="array" ref="AJ987">IFERROR(INDEX(Tableau2[TS],MATCH(1,(Tableau2[Ref-Carte]=Tableau3[[#This Row],[Ref-Carte2]])*(Tableau2[ID-Voie]=Tableau3[[#This Row],[ID-VOIE]]),0)),"")</f>
        <v>ST</v>
      </c>
      <c r="AK987" s="72" t="str">
        <f>IFERROR(INDEX(Tableau2[TS],SUMPRODUCT((Tableau2[Ref-Carte]=Tableau3[[#This Row],[Ref-Carte2]])*(Tableau2[ID-Voie]=Tableau3[[#This Row],[ID-VOIE]])*ROW(Tableau2[TS]))-ROW(Tableau2[#Headers])),"")</f>
        <v>ST</v>
      </c>
      <c r="AL987" s="72" t="str">
        <f>Tableau3[[#This Row],[Ref-Carte2]]&amp;"/"&amp;Tableau3[[#This Row],[ID-VOIE]]</f>
        <v>SDO0802/1</v>
      </c>
      <c r="AM987" s="73" t="str">
        <f>INDEX(Tableau2[Borne],MATCH(Tableau3[[#This Row],[ID-CARTEVOIE]],Tableau2[ID-CARTEVOIE],0))&amp;""</f>
        <v>1</v>
      </c>
      <c r="AN987" s="74" t="str">
        <f>Tableau3[[#This Row],[ID-API]]&amp;Tableau3[[#This Row],[ID-RACK]]&amp;Tableau3[[#This Row],[ID-SLOT]]&amp;Tableau3[[#This Row],[BORNE]]</f>
        <v>6211</v>
      </c>
      <c r="AO987" s="1"/>
    </row>
    <row r="988" spans="1:41" ht="20.100000000000001" customHeight="1" thickTop="1" thickBot="1">
      <c r="A988" s="68"/>
      <c r="B988" s="69" t="str">
        <f>IFERROR(INDEX(Tableau4[Date],MATCH($A988,Tableau4[EVO],0)),"")</f>
        <v/>
      </c>
      <c r="C988" s="68" t="str">
        <f>IFERROR(INDEX(Tableau4[Designation],MATCH($A988,Tableau4[EVO],0)),"")</f>
        <v/>
      </c>
      <c r="D988" s="68"/>
      <c r="E988" s="70">
        <v>58</v>
      </c>
      <c r="F988" s="71">
        <v>21</v>
      </c>
      <c r="G988" s="101" t="str">
        <f>INDEX(Tableau8[Att1],MATCH(Tableau3[[#This Row],[ID-INS]],Tableau8[ID],0))&amp;""</f>
        <v>GR</v>
      </c>
      <c r="H988" s="101" t="str">
        <f>INDEX(Tableau8[Att2],MATCH(Tableau3[[#This Row],[ID-INS]],Tableau8[ID],0))&amp;""</f>
        <v>TRSS1</v>
      </c>
      <c r="I988" s="101" t="str">
        <f>INDEX(Tableau8[Att3],MATCH(Tableau3[[#This Row],[ID-INS]],Tableau8[ID],0))&amp;""</f>
        <v>Tourniquet TRSS1</v>
      </c>
      <c r="J988" s="101"/>
      <c r="K988" s="167" t="str">
        <f>INDEX(Tableau8[Nom du modele],MATCH(Tableau3[[#This Row],[ID-INS]],Tableau8[ID],0))&amp;""</f>
        <v>TRSS_1</v>
      </c>
      <c r="L988" s="99" t="str">
        <f>INDEX(Tableau5[Att1],MATCH(Tableau3[[#This Row],[ID-SIG]],Tableau5[ID],0))&amp;""</f>
        <v>TS_PictoAutor</v>
      </c>
      <c r="M988" s="99" t="str">
        <f>INDEX(Tableau5[Att2],MATCH(Tableau3[[#This Row],[ID-SIG]],Tableau5[ID],0))&amp;""</f>
        <v/>
      </c>
      <c r="N988" s="99" t="str">
        <f>INDEX(Tableau5[Att3],MATCH(Tableau3[[#This Row],[ID-SIG]],Tableau5[ID],0))&amp;""</f>
        <v/>
      </c>
      <c r="O988" s="99"/>
      <c r="P988" s="99" t="str">
        <f>INDEX(Tableau5[Description],MATCH(Tableau3[[#This Row],[ID-SIG]],Tableau5[ID],0))</f>
        <v>Commande Picto sortie</v>
      </c>
      <c r="Q988" s="99"/>
      <c r="R988" s="103" t="str">
        <f>Tableau3[[#This Row],[Description]]</f>
        <v>Commande Picto sortie</v>
      </c>
      <c r="U988" s="87">
        <v>6</v>
      </c>
      <c r="V988" s="87">
        <v>2</v>
      </c>
      <c r="W988" s="87">
        <v>1</v>
      </c>
      <c r="X988" s="87">
        <v>2</v>
      </c>
      <c r="Y988" s="41"/>
      <c r="Z988" s="165" t="str">
        <f>INDEX(Tableau2[TS],MATCH(Tableau3[[#This Row],[ID-CARTEVOIE]],Tableau2[ID-CARTEVOIE],0))</f>
        <v>ST</v>
      </c>
      <c r="AA988" s="53" t="s">
        <v>213</v>
      </c>
      <c r="AB988" s="223" t="str">
        <f>IFERROR(INDEX(Tableau5[Reserve],MATCH(Tableau3[[#This Row],[ID-SIG]],Tableau5[ID],0))&amp;"","")</f>
        <v/>
      </c>
      <c r="AC988" s="21"/>
      <c r="AD988" s="108" t="str">
        <f>INDEX(Tableau7[Repere],MATCH(Tableau3[[#This Row],[ID-API]],Tableau7[ID-API],0))&amp;""</f>
        <v>A6</v>
      </c>
      <c r="AE988" s="108" t="str">
        <f>INDEX(Tableau1[Repere-Rack],MATCH(Tableau3[[#This Row],[ID-RACK]],Tableau1[ID-RACK],0))&amp;""</f>
        <v>R2</v>
      </c>
      <c r="AF988" s="108" t="str">
        <f>INDEX(Tableau1[Repere-Slot],MATCH(Tableau3[[#This Row],[ID-SLOT]],Tableau1[ID-SLOT],0))&amp;""</f>
        <v>S1</v>
      </c>
      <c r="AG988" s="108" t="str">
        <f>INDEX(Tableau2[Repere-Voie],MATCH(Tableau3[[#This Row],[ID-VOIE]],Tableau2[ID-Voie],0))&amp;""</f>
        <v>v2</v>
      </c>
      <c r="AH988" s="72" t="str">
        <f>Tableau3[[#This Row],[ID-API]]&amp; "." &amp;Tableau3[[#This Row],[ID-RACK]]&amp; "." &amp;Tableau3[[#This Row],[ID-SLOT]]</f>
        <v>6.2.1</v>
      </c>
      <c r="AI988" s="72" t="str">
        <f>INDEX(Tableau1[Ref-Carte],MATCH(Tableau3[[#This Row],[ID-RRS]],Tableau1[ID-RRS],0))</f>
        <v>SDO0802</v>
      </c>
      <c r="AJ988" s="72" t="str">
        <f t="array" ref="AJ988">IFERROR(INDEX(Tableau2[TS],MATCH(1,(Tableau2[Ref-Carte]=Tableau3[[#This Row],[Ref-Carte2]])*(Tableau2[ID-Voie]=Tableau3[[#This Row],[ID-VOIE]]),0)),"")</f>
        <v>ST</v>
      </c>
      <c r="AK988" s="72" t="str">
        <f>IFERROR(INDEX(Tableau2[TS],SUMPRODUCT((Tableau2[Ref-Carte]=Tableau3[[#This Row],[Ref-Carte2]])*(Tableau2[ID-Voie]=Tableau3[[#This Row],[ID-VOIE]])*ROW(Tableau2[TS]))-ROW(Tableau2[#Headers])),"")</f>
        <v>ST</v>
      </c>
      <c r="AL988" s="72" t="str">
        <f>Tableau3[[#This Row],[Ref-Carte2]]&amp;"/"&amp;Tableau3[[#This Row],[ID-VOIE]]</f>
        <v>SDO0802/2</v>
      </c>
      <c r="AM988" s="73" t="str">
        <f>INDEX(Tableau2[Borne],MATCH(Tableau3[[#This Row],[ID-CARTEVOIE]],Tableau2[ID-CARTEVOIE],0))&amp;""</f>
        <v>2</v>
      </c>
      <c r="AN988" s="74" t="str">
        <f>Tableau3[[#This Row],[ID-API]]&amp;Tableau3[[#This Row],[ID-RACK]]&amp;Tableau3[[#This Row],[ID-SLOT]]&amp;Tableau3[[#This Row],[BORNE]]</f>
        <v>6212</v>
      </c>
      <c r="AO988" s="1"/>
    </row>
    <row r="989" spans="1:41" ht="20.100000000000001" customHeight="1" thickTop="1" thickBot="1">
      <c r="A989" s="68"/>
      <c r="B989" s="69" t="str">
        <f>IFERROR(INDEX(Tableau4[Date],MATCH($A989,Tableau4[EVO],0)),"")</f>
        <v/>
      </c>
      <c r="C989" s="68" t="str">
        <f>IFERROR(INDEX(Tableau4[Designation],MATCH($A989,Tableau4[EVO],0)),"")</f>
        <v/>
      </c>
      <c r="D989" s="68"/>
      <c r="E989" s="70">
        <v>63</v>
      </c>
      <c r="F989" s="71">
        <v>2</v>
      </c>
      <c r="G989" s="101" t="str">
        <f>INDEX(Tableau8[Att1],MATCH(Tableau3[[#This Row],[ID-INS]],Tableau8[ID],0))&amp;""</f>
        <v>XX</v>
      </c>
      <c r="H989" s="101" t="str">
        <f>INDEX(Tableau8[Att2],MATCH(Tableau3[[#This Row],[ID-INS]],Tableau8[ID],0))&amp;""</f>
        <v>Réserve</v>
      </c>
      <c r="I989" s="101" t="str">
        <f>INDEX(Tableau8[Att3],MATCH(Tableau3[[#This Row],[ID-INS]],Tableau8[ID],0))&amp;""</f>
        <v>Réserve</v>
      </c>
      <c r="J989" s="101"/>
      <c r="K989" s="167" t="str">
        <f>INDEX(Tableau8[Nom du modele],MATCH(Tableau3[[#This Row],[ID-INS]],Tableau8[ID],0))&amp;""</f>
        <v>S_Divers</v>
      </c>
      <c r="L989" s="99" t="str">
        <f>INDEX(Tableau5[Att1],MATCH(Tableau3[[#This Row],[ID-SIG]],Tableau5[ID],0))&amp;""</f>
        <v>S1</v>
      </c>
      <c r="M989" s="99" t="str">
        <f>INDEX(Tableau5[Att2],MATCH(Tableau3[[#This Row],[ID-SIG]],Tableau5[ID],0))&amp;""</f>
        <v/>
      </c>
      <c r="N989" s="99" t="str">
        <f>INDEX(Tableau5[Att3],MATCH(Tableau3[[#This Row],[ID-SIG]],Tableau5[ID],0))&amp;""</f>
        <v/>
      </c>
      <c r="O989" s="99"/>
      <c r="P989" s="99" t="str">
        <f>INDEX(Tableau5[Description],MATCH(Tableau3[[#This Row],[ID-SIG]],Tableau5[ID],0))</f>
        <v>Sortie 1</v>
      </c>
      <c r="Q989" s="99"/>
      <c r="R989" s="103" t="str">
        <f>Tableau3[[#This Row],[Description]]</f>
        <v>Sortie 1</v>
      </c>
      <c r="U989" s="87">
        <v>6</v>
      </c>
      <c r="V989" s="87">
        <v>2</v>
      </c>
      <c r="W989" s="87">
        <v>1</v>
      </c>
      <c r="X989" s="87">
        <v>3</v>
      </c>
      <c r="Y989" s="41"/>
      <c r="Z989" s="165" t="str">
        <f>INDEX(Tableau2[TS],MATCH(Tableau3[[#This Row],[ID-CARTEVOIE]],Tableau2[ID-CARTEVOIE],0))</f>
        <v>ST</v>
      </c>
      <c r="AA989" s="53" t="s">
        <v>213</v>
      </c>
      <c r="AB989" s="223" t="str">
        <f>IFERROR(INDEX(Tableau5[Reserve],MATCH(Tableau3[[#This Row],[ID-SIG]],Tableau5[ID],0))&amp;"","")</f>
        <v/>
      </c>
      <c r="AC989" s="21"/>
      <c r="AD989" s="108" t="str">
        <f>INDEX(Tableau7[Repere],MATCH(Tableau3[[#This Row],[ID-API]],Tableau7[ID-API],0))&amp;""</f>
        <v>A6</v>
      </c>
      <c r="AE989" s="108" t="str">
        <f>INDEX(Tableau1[Repere-Rack],MATCH(Tableau3[[#This Row],[ID-RACK]],Tableau1[ID-RACK],0))&amp;""</f>
        <v>R2</v>
      </c>
      <c r="AF989" s="108" t="str">
        <f>INDEX(Tableau1[Repere-Slot],MATCH(Tableau3[[#This Row],[ID-SLOT]],Tableau1[ID-SLOT],0))&amp;""</f>
        <v>S1</v>
      </c>
      <c r="AG989" s="108" t="str">
        <f>INDEX(Tableau2[Repere-Voie],MATCH(Tableau3[[#This Row],[ID-VOIE]],Tableau2[ID-Voie],0))&amp;""</f>
        <v>v3</v>
      </c>
      <c r="AH989" s="72" t="str">
        <f>Tableau3[[#This Row],[ID-API]]&amp; "." &amp;Tableau3[[#This Row],[ID-RACK]]&amp; "." &amp;Tableau3[[#This Row],[ID-SLOT]]</f>
        <v>6.2.1</v>
      </c>
      <c r="AI989" s="72" t="str">
        <f>INDEX(Tableau1[Ref-Carte],MATCH(Tableau3[[#This Row],[ID-RRS]],Tableau1[ID-RRS],0))</f>
        <v>SDO0802</v>
      </c>
      <c r="AJ989" s="72" t="str">
        <f t="array" ref="AJ989">IFERROR(INDEX(Tableau2[TS],MATCH(1,(Tableau2[Ref-Carte]=Tableau3[[#This Row],[Ref-Carte2]])*(Tableau2[ID-Voie]=Tableau3[[#This Row],[ID-VOIE]]),0)),"")</f>
        <v>ST</v>
      </c>
      <c r="AK989" s="72" t="str">
        <f>IFERROR(INDEX(Tableau2[TS],SUMPRODUCT((Tableau2[Ref-Carte]=Tableau3[[#This Row],[Ref-Carte2]])*(Tableau2[ID-Voie]=Tableau3[[#This Row],[ID-VOIE]])*ROW(Tableau2[TS]))-ROW(Tableau2[#Headers])),"")</f>
        <v>ST</v>
      </c>
      <c r="AL989" s="72" t="str">
        <f>Tableau3[[#This Row],[Ref-Carte2]]&amp;"/"&amp;Tableau3[[#This Row],[ID-VOIE]]</f>
        <v>SDO0802/3</v>
      </c>
      <c r="AM989" s="73" t="str">
        <f>INDEX(Tableau2[Borne],MATCH(Tableau3[[#This Row],[ID-CARTEVOIE]],Tableau2[ID-CARTEVOIE],0))&amp;""</f>
        <v>3</v>
      </c>
      <c r="AN989" s="74" t="str">
        <f>Tableau3[[#This Row],[ID-API]]&amp;Tableau3[[#This Row],[ID-RACK]]&amp;Tableau3[[#This Row],[ID-SLOT]]&amp;Tableau3[[#This Row],[BORNE]]</f>
        <v>6213</v>
      </c>
      <c r="AO989" s="1"/>
    </row>
    <row r="990" spans="1:41" ht="20.100000000000001" customHeight="1" thickTop="1" thickBot="1">
      <c r="A990" s="68"/>
      <c r="B990" s="69" t="str">
        <f>IFERROR(INDEX(Tableau4[Date],MATCH($A990,Tableau4[EVO],0)),"")</f>
        <v/>
      </c>
      <c r="C990" s="68" t="str">
        <f>IFERROR(INDEX(Tableau4[Designation],MATCH($A990,Tableau4[EVO],0)),"")</f>
        <v/>
      </c>
      <c r="D990" s="68"/>
      <c r="E990" s="70">
        <v>64</v>
      </c>
      <c r="F990" s="71">
        <v>2</v>
      </c>
      <c r="G990" s="101" t="str">
        <f>INDEX(Tableau8[Att1],MATCH(Tableau3[[#This Row],[ID-INS]],Tableau8[ID],0))&amp;""</f>
        <v>XX</v>
      </c>
      <c r="H990" s="101" t="str">
        <f>INDEX(Tableau8[Att2],MATCH(Tableau3[[#This Row],[ID-INS]],Tableau8[ID],0))&amp;""</f>
        <v>Réserve</v>
      </c>
      <c r="I990" s="101" t="str">
        <f>INDEX(Tableau8[Att3],MATCH(Tableau3[[#This Row],[ID-INS]],Tableau8[ID],0))&amp;""</f>
        <v>Réserve</v>
      </c>
      <c r="J990" s="101"/>
      <c r="K990" s="167" t="str">
        <f>INDEX(Tableau8[Nom du modele],MATCH(Tableau3[[#This Row],[ID-INS]],Tableau8[ID],0))&amp;""</f>
        <v>S_Divers</v>
      </c>
      <c r="L990" s="99" t="str">
        <f>INDEX(Tableau5[Att1],MATCH(Tableau3[[#This Row],[ID-SIG]],Tableau5[ID],0))&amp;""</f>
        <v>S1</v>
      </c>
      <c r="M990" s="99" t="str">
        <f>INDEX(Tableau5[Att2],MATCH(Tableau3[[#This Row],[ID-SIG]],Tableau5[ID],0))&amp;""</f>
        <v/>
      </c>
      <c r="N990" s="99" t="str">
        <f>INDEX(Tableau5[Att3],MATCH(Tableau3[[#This Row],[ID-SIG]],Tableau5[ID],0))&amp;""</f>
        <v/>
      </c>
      <c r="O990" s="99"/>
      <c r="P990" s="99" t="str">
        <f>INDEX(Tableau5[Description],MATCH(Tableau3[[#This Row],[ID-SIG]],Tableau5[ID],0))</f>
        <v>Sortie 1</v>
      </c>
      <c r="Q990" s="99"/>
      <c r="R990" s="103" t="str">
        <f>Tableau3[[#This Row],[Description]]</f>
        <v>Sortie 1</v>
      </c>
      <c r="U990" s="87">
        <v>6</v>
      </c>
      <c r="V990" s="87">
        <v>2</v>
      </c>
      <c r="W990" s="87">
        <v>1</v>
      </c>
      <c r="X990" s="87">
        <v>4</v>
      </c>
      <c r="Y990" s="41"/>
      <c r="Z990" s="165" t="str">
        <f>INDEX(Tableau2[TS],MATCH(Tableau3[[#This Row],[ID-CARTEVOIE]],Tableau2[ID-CARTEVOIE],0))</f>
        <v>ST</v>
      </c>
      <c r="AA990" s="53" t="s">
        <v>213</v>
      </c>
      <c r="AB990" s="223" t="str">
        <f>IFERROR(INDEX(Tableau5[Reserve],MATCH(Tableau3[[#This Row],[ID-SIG]],Tableau5[ID],0))&amp;"","")</f>
        <v/>
      </c>
      <c r="AC990" s="21"/>
      <c r="AD990" s="108" t="str">
        <f>INDEX(Tableau7[Repere],MATCH(Tableau3[[#This Row],[ID-API]],Tableau7[ID-API],0))&amp;""</f>
        <v>A6</v>
      </c>
      <c r="AE990" s="108" t="str">
        <f>INDEX(Tableau1[Repere-Rack],MATCH(Tableau3[[#This Row],[ID-RACK]],Tableau1[ID-RACK],0))&amp;""</f>
        <v>R2</v>
      </c>
      <c r="AF990" s="108" t="str">
        <f>INDEX(Tableau1[Repere-Slot],MATCH(Tableau3[[#This Row],[ID-SLOT]],Tableau1[ID-SLOT],0))&amp;""</f>
        <v>S1</v>
      </c>
      <c r="AG990" s="108" t="str">
        <f>INDEX(Tableau2[Repere-Voie],MATCH(Tableau3[[#This Row],[ID-VOIE]],Tableau2[ID-Voie],0))&amp;""</f>
        <v>v4</v>
      </c>
      <c r="AH990" s="72" t="str">
        <f>Tableau3[[#This Row],[ID-API]]&amp; "." &amp;Tableau3[[#This Row],[ID-RACK]]&amp; "." &amp;Tableau3[[#This Row],[ID-SLOT]]</f>
        <v>6.2.1</v>
      </c>
      <c r="AI990" s="72" t="str">
        <f>INDEX(Tableau1[Ref-Carte],MATCH(Tableau3[[#This Row],[ID-RRS]],Tableau1[ID-RRS],0))</f>
        <v>SDO0802</v>
      </c>
      <c r="AJ990" s="72" t="str">
        <f t="array" ref="AJ990">IFERROR(INDEX(Tableau2[TS],MATCH(1,(Tableau2[Ref-Carte]=Tableau3[[#This Row],[Ref-Carte2]])*(Tableau2[ID-Voie]=Tableau3[[#This Row],[ID-VOIE]]),0)),"")</f>
        <v>ST</v>
      </c>
      <c r="AK990" s="72" t="str">
        <f>IFERROR(INDEX(Tableau2[TS],SUMPRODUCT((Tableau2[Ref-Carte]=Tableau3[[#This Row],[Ref-Carte2]])*(Tableau2[ID-Voie]=Tableau3[[#This Row],[ID-VOIE]])*ROW(Tableau2[TS]))-ROW(Tableau2[#Headers])),"")</f>
        <v>ST</v>
      </c>
      <c r="AL990" s="72" t="str">
        <f>Tableau3[[#This Row],[Ref-Carte2]]&amp;"/"&amp;Tableau3[[#This Row],[ID-VOIE]]</f>
        <v>SDO0802/4</v>
      </c>
      <c r="AM990" s="73" t="str">
        <f>INDEX(Tableau2[Borne],MATCH(Tableau3[[#This Row],[ID-CARTEVOIE]],Tableau2[ID-CARTEVOIE],0))&amp;""</f>
        <v>4</v>
      </c>
      <c r="AN990" s="74" t="str">
        <f>Tableau3[[#This Row],[ID-API]]&amp;Tableau3[[#This Row],[ID-RACK]]&amp;Tableau3[[#This Row],[ID-SLOT]]&amp;Tableau3[[#This Row],[BORNE]]</f>
        <v>6214</v>
      </c>
      <c r="AO990" s="1"/>
    </row>
    <row r="991" spans="1:41" ht="20.100000000000001" customHeight="1" thickTop="1" thickBot="1">
      <c r="A991" s="68"/>
      <c r="B991" s="69" t="str">
        <f>IFERROR(INDEX(Tableau4[Date],MATCH($A991,Tableau4[EVO],0)),"")</f>
        <v/>
      </c>
      <c r="C991" s="68" t="str">
        <f>IFERROR(INDEX(Tableau4[Designation],MATCH($A991,Tableau4[EVO],0)),"")</f>
        <v/>
      </c>
      <c r="D991" s="68"/>
      <c r="E991" s="70">
        <v>65</v>
      </c>
      <c r="F991" s="71">
        <v>2</v>
      </c>
      <c r="G991" s="101" t="str">
        <f>INDEX(Tableau8[Att1],MATCH(Tableau3[[#This Row],[ID-INS]],Tableau8[ID],0))&amp;""</f>
        <v>XX</v>
      </c>
      <c r="H991" s="101" t="str">
        <f>INDEX(Tableau8[Att2],MATCH(Tableau3[[#This Row],[ID-INS]],Tableau8[ID],0))&amp;""</f>
        <v>Réserve</v>
      </c>
      <c r="I991" s="101" t="str">
        <f>INDEX(Tableau8[Att3],MATCH(Tableau3[[#This Row],[ID-INS]],Tableau8[ID],0))&amp;""</f>
        <v>Réserve</v>
      </c>
      <c r="J991" s="101"/>
      <c r="K991" s="167" t="str">
        <f>INDEX(Tableau8[Nom du modele],MATCH(Tableau3[[#This Row],[ID-INS]],Tableau8[ID],0))&amp;""</f>
        <v>S_Divers</v>
      </c>
      <c r="L991" s="99" t="str">
        <f>INDEX(Tableau5[Att1],MATCH(Tableau3[[#This Row],[ID-SIG]],Tableau5[ID],0))&amp;""</f>
        <v>S1</v>
      </c>
      <c r="M991" s="99" t="str">
        <f>INDEX(Tableau5[Att2],MATCH(Tableau3[[#This Row],[ID-SIG]],Tableau5[ID],0))&amp;""</f>
        <v/>
      </c>
      <c r="N991" s="99" t="str">
        <f>INDEX(Tableau5[Att3],MATCH(Tableau3[[#This Row],[ID-SIG]],Tableau5[ID],0))&amp;""</f>
        <v/>
      </c>
      <c r="O991" s="99"/>
      <c r="P991" s="99" t="str">
        <f>INDEX(Tableau5[Description],MATCH(Tableau3[[#This Row],[ID-SIG]],Tableau5[ID],0))</f>
        <v>Sortie 1</v>
      </c>
      <c r="Q991" s="99"/>
      <c r="R991" s="103" t="str">
        <f>Tableau3[[#This Row],[Description]]</f>
        <v>Sortie 1</v>
      </c>
      <c r="U991" s="87">
        <v>6</v>
      </c>
      <c r="V991" s="87">
        <v>2</v>
      </c>
      <c r="W991" s="87">
        <v>1</v>
      </c>
      <c r="X991" s="87">
        <v>5</v>
      </c>
      <c r="Y991" s="41"/>
      <c r="Z991" s="165" t="str">
        <f>INDEX(Tableau2[TS],MATCH(Tableau3[[#This Row],[ID-CARTEVOIE]],Tableau2[ID-CARTEVOIE],0))</f>
        <v>ST</v>
      </c>
      <c r="AA991" s="53" t="s">
        <v>213</v>
      </c>
      <c r="AB991" s="223" t="str">
        <f>IFERROR(INDEX(Tableau5[Reserve],MATCH(Tableau3[[#This Row],[ID-SIG]],Tableau5[ID],0))&amp;"","")</f>
        <v/>
      </c>
      <c r="AC991" s="21"/>
      <c r="AD991" s="108" t="str">
        <f>INDEX(Tableau7[Repere],MATCH(Tableau3[[#This Row],[ID-API]],Tableau7[ID-API],0))&amp;""</f>
        <v>A6</v>
      </c>
      <c r="AE991" s="108" t="str">
        <f>INDEX(Tableau1[Repere-Rack],MATCH(Tableau3[[#This Row],[ID-RACK]],Tableau1[ID-RACK],0))&amp;""</f>
        <v>R2</v>
      </c>
      <c r="AF991" s="108" t="str">
        <f>INDEX(Tableau1[Repere-Slot],MATCH(Tableau3[[#This Row],[ID-SLOT]],Tableau1[ID-SLOT],0))&amp;""</f>
        <v>S1</v>
      </c>
      <c r="AG991" s="108" t="str">
        <f>INDEX(Tableau2[Repere-Voie],MATCH(Tableau3[[#This Row],[ID-VOIE]],Tableau2[ID-Voie],0))&amp;""</f>
        <v>v5</v>
      </c>
      <c r="AH991" s="72" t="str">
        <f>Tableau3[[#This Row],[ID-API]]&amp; "." &amp;Tableau3[[#This Row],[ID-RACK]]&amp; "." &amp;Tableau3[[#This Row],[ID-SLOT]]</f>
        <v>6.2.1</v>
      </c>
      <c r="AI991" s="72" t="str">
        <f>INDEX(Tableau1[Ref-Carte],MATCH(Tableau3[[#This Row],[ID-RRS]],Tableau1[ID-RRS],0))</f>
        <v>SDO0802</v>
      </c>
      <c r="AJ991" s="72" t="str">
        <f t="array" ref="AJ991">IFERROR(INDEX(Tableau2[TS],MATCH(1,(Tableau2[Ref-Carte]=Tableau3[[#This Row],[Ref-Carte2]])*(Tableau2[ID-Voie]=Tableau3[[#This Row],[ID-VOIE]]),0)),"")</f>
        <v>ST</v>
      </c>
      <c r="AK991" s="72" t="str">
        <f>IFERROR(INDEX(Tableau2[TS],SUMPRODUCT((Tableau2[Ref-Carte]=Tableau3[[#This Row],[Ref-Carte2]])*(Tableau2[ID-Voie]=Tableau3[[#This Row],[ID-VOIE]])*ROW(Tableau2[TS]))-ROW(Tableau2[#Headers])),"")</f>
        <v>ST</v>
      </c>
      <c r="AL991" s="72" t="str">
        <f>Tableau3[[#This Row],[Ref-Carte2]]&amp;"/"&amp;Tableau3[[#This Row],[ID-VOIE]]</f>
        <v>SDO0802/5</v>
      </c>
      <c r="AM991" s="73" t="str">
        <f>INDEX(Tableau2[Borne],MATCH(Tableau3[[#This Row],[ID-CARTEVOIE]],Tableau2[ID-CARTEVOIE],0))&amp;""</f>
        <v>5</v>
      </c>
      <c r="AN991" s="74" t="str">
        <f>Tableau3[[#This Row],[ID-API]]&amp;Tableau3[[#This Row],[ID-RACK]]&amp;Tableau3[[#This Row],[ID-SLOT]]&amp;Tableau3[[#This Row],[BORNE]]</f>
        <v>6215</v>
      </c>
      <c r="AO991" s="1"/>
    </row>
    <row r="992" spans="1:41" ht="20.100000000000001" customHeight="1" thickTop="1" thickBot="1">
      <c r="A992" s="68"/>
      <c r="B992" s="69" t="str">
        <f>IFERROR(INDEX(Tableau4[Date],MATCH($A992,Tableau4[EVO],0)),"")</f>
        <v/>
      </c>
      <c r="C992" s="68" t="str">
        <f>IFERROR(INDEX(Tableau4[Designation],MATCH($A992,Tableau4[EVO],0)),"")</f>
        <v/>
      </c>
      <c r="D992" s="68"/>
      <c r="E992" s="70">
        <v>66</v>
      </c>
      <c r="F992" s="71">
        <v>2</v>
      </c>
      <c r="G992" s="101" t="str">
        <f>INDEX(Tableau8[Att1],MATCH(Tableau3[[#This Row],[ID-INS]],Tableau8[ID],0))&amp;""</f>
        <v>XX</v>
      </c>
      <c r="H992" s="101" t="str">
        <f>INDEX(Tableau8[Att2],MATCH(Tableau3[[#This Row],[ID-INS]],Tableau8[ID],0))&amp;""</f>
        <v>Réserve</v>
      </c>
      <c r="I992" s="101" t="str">
        <f>INDEX(Tableau8[Att3],MATCH(Tableau3[[#This Row],[ID-INS]],Tableau8[ID],0))&amp;""</f>
        <v>Réserve</v>
      </c>
      <c r="J992" s="101"/>
      <c r="K992" s="167" t="str">
        <f>INDEX(Tableau8[Nom du modele],MATCH(Tableau3[[#This Row],[ID-INS]],Tableau8[ID],0))&amp;""</f>
        <v>S_Divers</v>
      </c>
      <c r="L992" s="99" t="str">
        <f>INDEX(Tableau5[Att1],MATCH(Tableau3[[#This Row],[ID-SIG]],Tableau5[ID],0))&amp;""</f>
        <v>S1</v>
      </c>
      <c r="M992" s="99" t="str">
        <f>INDEX(Tableau5[Att2],MATCH(Tableau3[[#This Row],[ID-SIG]],Tableau5[ID],0))&amp;""</f>
        <v/>
      </c>
      <c r="N992" s="99" t="str">
        <f>INDEX(Tableau5[Att3],MATCH(Tableau3[[#This Row],[ID-SIG]],Tableau5[ID],0))&amp;""</f>
        <v/>
      </c>
      <c r="O992" s="99"/>
      <c r="P992" s="99" t="str">
        <f>INDEX(Tableau5[Description],MATCH(Tableau3[[#This Row],[ID-SIG]],Tableau5[ID],0))</f>
        <v>Sortie 1</v>
      </c>
      <c r="Q992" s="99"/>
      <c r="R992" s="103" t="str">
        <f>Tableau3[[#This Row],[Description]]</f>
        <v>Sortie 1</v>
      </c>
      <c r="U992" s="87">
        <v>6</v>
      </c>
      <c r="V992" s="87">
        <v>2</v>
      </c>
      <c r="W992" s="87">
        <v>1</v>
      </c>
      <c r="X992" s="87">
        <v>6</v>
      </c>
      <c r="Y992" s="41"/>
      <c r="Z992" s="165" t="str">
        <f>INDEX(Tableau2[TS],MATCH(Tableau3[[#This Row],[ID-CARTEVOIE]],Tableau2[ID-CARTEVOIE],0))</f>
        <v>ST</v>
      </c>
      <c r="AA992" s="53" t="s">
        <v>213</v>
      </c>
      <c r="AB992" s="223" t="str">
        <f>IFERROR(INDEX(Tableau5[Reserve],MATCH(Tableau3[[#This Row],[ID-SIG]],Tableau5[ID],0))&amp;"","")</f>
        <v/>
      </c>
      <c r="AC992" s="21"/>
      <c r="AD992" s="108" t="str">
        <f>INDEX(Tableau7[Repere],MATCH(Tableau3[[#This Row],[ID-API]],Tableau7[ID-API],0))&amp;""</f>
        <v>A6</v>
      </c>
      <c r="AE992" s="108" t="str">
        <f>INDEX(Tableau1[Repere-Rack],MATCH(Tableau3[[#This Row],[ID-RACK]],Tableau1[ID-RACK],0))&amp;""</f>
        <v>R2</v>
      </c>
      <c r="AF992" s="108" t="str">
        <f>INDEX(Tableau1[Repere-Slot],MATCH(Tableau3[[#This Row],[ID-SLOT]],Tableau1[ID-SLOT],0))&amp;""</f>
        <v>S1</v>
      </c>
      <c r="AG992" s="108" t="str">
        <f>INDEX(Tableau2[Repere-Voie],MATCH(Tableau3[[#This Row],[ID-VOIE]],Tableau2[ID-Voie],0))&amp;""</f>
        <v>v6</v>
      </c>
      <c r="AH992" s="72" t="str">
        <f>Tableau3[[#This Row],[ID-API]]&amp; "." &amp;Tableau3[[#This Row],[ID-RACK]]&amp; "." &amp;Tableau3[[#This Row],[ID-SLOT]]</f>
        <v>6.2.1</v>
      </c>
      <c r="AI992" s="72" t="str">
        <f>INDEX(Tableau1[Ref-Carte],MATCH(Tableau3[[#This Row],[ID-RRS]],Tableau1[ID-RRS],0))</f>
        <v>SDO0802</v>
      </c>
      <c r="AJ992" s="72" t="str">
        <f t="array" ref="AJ992">IFERROR(INDEX(Tableau2[TS],MATCH(1,(Tableau2[Ref-Carte]=Tableau3[[#This Row],[Ref-Carte2]])*(Tableau2[ID-Voie]=Tableau3[[#This Row],[ID-VOIE]]),0)),"")</f>
        <v>ST</v>
      </c>
      <c r="AK992" s="72" t="str">
        <f>IFERROR(INDEX(Tableau2[TS],SUMPRODUCT((Tableau2[Ref-Carte]=Tableau3[[#This Row],[Ref-Carte2]])*(Tableau2[ID-Voie]=Tableau3[[#This Row],[ID-VOIE]])*ROW(Tableau2[TS]))-ROW(Tableau2[#Headers])),"")</f>
        <v>ST</v>
      </c>
      <c r="AL992" s="72" t="str">
        <f>Tableau3[[#This Row],[Ref-Carte2]]&amp;"/"&amp;Tableau3[[#This Row],[ID-VOIE]]</f>
        <v>SDO0802/6</v>
      </c>
      <c r="AM992" s="73" t="str">
        <f>INDEX(Tableau2[Borne],MATCH(Tableau3[[#This Row],[ID-CARTEVOIE]],Tableau2[ID-CARTEVOIE],0))&amp;""</f>
        <v>6</v>
      </c>
      <c r="AN992" s="74" t="str">
        <f>Tableau3[[#This Row],[ID-API]]&amp;Tableau3[[#This Row],[ID-RACK]]&amp;Tableau3[[#This Row],[ID-SLOT]]&amp;Tableau3[[#This Row],[BORNE]]</f>
        <v>6216</v>
      </c>
      <c r="AO992" s="1"/>
    </row>
    <row r="993" spans="1:41" ht="20.100000000000001" customHeight="1" thickTop="1" thickBot="1">
      <c r="A993" s="68"/>
      <c r="B993" s="69" t="str">
        <f>IFERROR(INDEX(Tableau4[Date],MATCH($A993,Tableau4[EVO],0)),"")</f>
        <v/>
      </c>
      <c r="C993" s="68" t="str">
        <f>IFERROR(INDEX(Tableau4[Designation],MATCH($A993,Tableau4[EVO],0)),"")</f>
        <v/>
      </c>
      <c r="D993" s="68"/>
      <c r="E993" s="70">
        <v>67</v>
      </c>
      <c r="F993" s="71">
        <v>2</v>
      </c>
      <c r="G993" s="101" t="str">
        <f>INDEX(Tableau8[Att1],MATCH(Tableau3[[#This Row],[ID-INS]],Tableau8[ID],0))&amp;""</f>
        <v>XX</v>
      </c>
      <c r="H993" s="101" t="str">
        <f>INDEX(Tableau8[Att2],MATCH(Tableau3[[#This Row],[ID-INS]],Tableau8[ID],0))&amp;""</f>
        <v>Réserve</v>
      </c>
      <c r="I993" s="101" t="str">
        <f>INDEX(Tableau8[Att3],MATCH(Tableau3[[#This Row],[ID-INS]],Tableau8[ID],0))&amp;""</f>
        <v>Réserve</v>
      </c>
      <c r="J993" s="101"/>
      <c r="K993" s="167" t="str">
        <f>INDEX(Tableau8[Nom du modele],MATCH(Tableau3[[#This Row],[ID-INS]],Tableau8[ID],0))&amp;""</f>
        <v>S_Divers</v>
      </c>
      <c r="L993" s="99" t="str">
        <f>INDEX(Tableau5[Att1],MATCH(Tableau3[[#This Row],[ID-SIG]],Tableau5[ID],0))&amp;""</f>
        <v>S1</v>
      </c>
      <c r="M993" s="99" t="str">
        <f>INDEX(Tableau5[Att2],MATCH(Tableau3[[#This Row],[ID-SIG]],Tableau5[ID],0))&amp;""</f>
        <v/>
      </c>
      <c r="N993" s="99" t="str">
        <f>INDEX(Tableau5[Att3],MATCH(Tableau3[[#This Row],[ID-SIG]],Tableau5[ID],0))&amp;""</f>
        <v/>
      </c>
      <c r="O993" s="99"/>
      <c r="P993" s="99" t="str">
        <f>INDEX(Tableau5[Description],MATCH(Tableau3[[#This Row],[ID-SIG]],Tableau5[ID],0))</f>
        <v>Sortie 1</v>
      </c>
      <c r="Q993" s="99"/>
      <c r="R993" s="103" t="str">
        <f>Tableau3[[#This Row],[Description]]</f>
        <v>Sortie 1</v>
      </c>
      <c r="U993" s="87">
        <v>6</v>
      </c>
      <c r="V993" s="87">
        <v>2</v>
      </c>
      <c r="W993" s="87">
        <v>1</v>
      </c>
      <c r="X993" s="87">
        <v>7</v>
      </c>
      <c r="Y993" s="41"/>
      <c r="Z993" s="165" t="str">
        <f>INDEX(Tableau2[TS],MATCH(Tableau3[[#This Row],[ID-CARTEVOIE]],Tableau2[ID-CARTEVOIE],0))</f>
        <v>ST</v>
      </c>
      <c r="AA993" s="53" t="s">
        <v>213</v>
      </c>
      <c r="AB993" s="223" t="str">
        <f>IFERROR(INDEX(Tableau5[Reserve],MATCH(Tableau3[[#This Row],[ID-SIG]],Tableau5[ID],0))&amp;"","")</f>
        <v/>
      </c>
      <c r="AC993" s="21"/>
      <c r="AD993" s="108" t="str">
        <f>INDEX(Tableau7[Repere],MATCH(Tableau3[[#This Row],[ID-API]],Tableau7[ID-API],0))&amp;""</f>
        <v>A6</v>
      </c>
      <c r="AE993" s="108" t="str">
        <f>INDEX(Tableau1[Repere-Rack],MATCH(Tableau3[[#This Row],[ID-RACK]],Tableau1[ID-RACK],0))&amp;""</f>
        <v>R2</v>
      </c>
      <c r="AF993" s="108" t="str">
        <f>INDEX(Tableau1[Repere-Slot],MATCH(Tableau3[[#This Row],[ID-SLOT]],Tableau1[ID-SLOT],0))&amp;""</f>
        <v>S1</v>
      </c>
      <c r="AG993" s="108" t="str">
        <f>INDEX(Tableau2[Repere-Voie],MATCH(Tableau3[[#This Row],[ID-VOIE]],Tableau2[ID-Voie],0))&amp;""</f>
        <v>v7</v>
      </c>
      <c r="AH993" s="72" t="str">
        <f>Tableau3[[#This Row],[ID-API]]&amp; "." &amp;Tableau3[[#This Row],[ID-RACK]]&amp; "." &amp;Tableau3[[#This Row],[ID-SLOT]]</f>
        <v>6.2.1</v>
      </c>
      <c r="AI993" s="72" t="str">
        <f>INDEX(Tableau1[Ref-Carte],MATCH(Tableau3[[#This Row],[ID-RRS]],Tableau1[ID-RRS],0))</f>
        <v>SDO0802</v>
      </c>
      <c r="AJ993" s="72" t="str">
        <f t="array" ref="AJ993">IFERROR(INDEX(Tableau2[TS],MATCH(1,(Tableau2[Ref-Carte]=Tableau3[[#This Row],[Ref-Carte2]])*(Tableau2[ID-Voie]=Tableau3[[#This Row],[ID-VOIE]]),0)),"")</f>
        <v>ST</v>
      </c>
      <c r="AK993" s="72" t="str">
        <f>IFERROR(INDEX(Tableau2[TS],SUMPRODUCT((Tableau2[Ref-Carte]=Tableau3[[#This Row],[Ref-Carte2]])*(Tableau2[ID-Voie]=Tableau3[[#This Row],[ID-VOIE]])*ROW(Tableau2[TS]))-ROW(Tableau2[#Headers])),"")</f>
        <v>ST</v>
      </c>
      <c r="AL993" s="72" t="str">
        <f>Tableau3[[#This Row],[Ref-Carte2]]&amp;"/"&amp;Tableau3[[#This Row],[ID-VOIE]]</f>
        <v>SDO0802/7</v>
      </c>
      <c r="AM993" s="73" t="str">
        <f>INDEX(Tableau2[Borne],MATCH(Tableau3[[#This Row],[ID-CARTEVOIE]],Tableau2[ID-CARTEVOIE],0))&amp;""</f>
        <v>7</v>
      </c>
      <c r="AN993" s="74" t="str">
        <f>Tableau3[[#This Row],[ID-API]]&amp;Tableau3[[#This Row],[ID-RACK]]&amp;Tableau3[[#This Row],[ID-SLOT]]&amp;Tableau3[[#This Row],[BORNE]]</f>
        <v>6217</v>
      </c>
      <c r="AO993" s="1"/>
    </row>
    <row r="994" spans="1:41" ht="20.100000000000001" customHeight="1" thickTop="1" thickBot="1">
      <c r="A994" s="68"/>
      <c r="B994" s="69" t="str">
        <f>IFERROR(INDEX(Tableau4[Date],MATCH($A994,Tableau4[EVO],0)),"")</f>
        <v/>
      </c>
      <c r="C994" s="68" t="str">
        <f>IFERROR(INDEX(Tableau4[Designation],MATCH($A994,Tableau4[EVO],0)),"")</f>
        <v/>
      </c>
      <c r="D994" s="68"/>
      <c r="E994" s="70">
        <v>69</v>
      </c>
      <c r="F994" s="71">
        <v>30</v>
      </c>
      <c r="G994" s="101" t="str">
        <f>INDEX(Tableau8[Att1],MATCH(Tableau3[[#This Row],[ID-INS]],Tableau8[ID],0))&amp;""</f>
        <v>B22</v>
      </c>
      <c r="H994" s="101" t="str">
        <f>INDEX(Tableau8[Att2],MATCH(Tableau3[[#This Row],[ID-INS]],Tableau8[ID],0))&amp;""</f>
        <v>TRSD4</v>
      </c>
      <c r="I994" s="101" t="str">
        <f>INDEX(Tableau8[Att3],MATCH(Tableau3[[#This Row],[ID-INS]],Tableau8[ID],0))&amp;""</f>
        <v>Tourniquet TRSD4</v>
      </c>
      <c r="J994" s="101"/>
      <c r="K994" s="167" t="str">
        <f>INDEX(Tableau8[Nom du modele],MATCH(Tableau3[[#This Row],[ID-INS]],Tableau8[ID],0))&amp;""</f>
        <v>TRSD_1</v>
      </c>
      <c r="L994" s="99" t="str">
        <f>INDEX(Tableau5[Att1],MATCH(Tableau3[[#This Row],[ID-SIG]],Tableau5[ID],0))&amp;""</f>
        <v>T2S_OuvCmd2</v>
      </c>
      <c r="M994" s="99" t="str">
        <f>INDEX(Tableau5[Att2],MATCH(Tableau3[[#This Row],[ID-SIG]],Tableau5[ID],0))&amp;""</f>
        <v/>
      </c>
      <c r="N994" s="99" t="str">
        <f>INDEX(Tableau5[Att3],MATCH(Tableau3[[#This Row],[ID-SIG]],Tableau5[ID],0))&amp;""</f>
        <v/>
      </c>
      <c r="O994" s="99"/>
      <c r="P994" s="99" t="str">
        <f>INDEX(Tableau5[Description],MATCH(Tableau3[[#This Row],[ID-SIG]],Tableau5[ID],0))</f>
        <v>Commande 2 ouverture sortie 2</v>
      </c>
      <c r="Q994" s="99"/>
      <c r="R994" s="103" t="str">
        <f>Tableau3[[#This Row],[Description]]</f>
        <v>Commande 2 ouverture sortie 2</v>
      </c>
      <c r="U994" s="87">
        <v>6</v>
      </c>
      <c r="V994" s="87">
        <v>2</v>
      </c>
      <c r="W994" s="87">
        <v>2</v>
      </c>
      <c r="X994" s="87">
        <v>0</v>
      </c>
      <c r="Y994" s="41"/>
      <c r="Z994" s="165" t="str">
        <f>INDEX(Tableau2[TS],MATCH(Tableau3[[#This Row],[ID-CARTEVOIE]],Tableau2[ID-CARTEVOIE],0))</f>
        <v>ST</v>
      </c>
      <c r="AA994" s="53" t="s">
        <v>213</v>
      </c>
      <c r="AB994" s="223" t="str">
        <f>IFERROR(INDEX(Tableau5[Reserve],MATCH(Tableau3[[#This Row],[ID-SIG]],Tableau5[ID],0))&amp;"","")</f>
        <v/>
      </c>
      <c r="AC994" s="21"/>
      <c r="AD994" s="108" t="str">
        <f>INDEX(Tableau7[Repere],MATCH(Tableau3[[#This Row],[ID-API]],Tableau7[ID-API],0))&amp;""</f>
        <v>A6</v>
      </c>
      <c r="AE994" s="108" t="str">
        <f>INDEX(Tableau1[Repere-Rack],MATCH(Tableau3[[#This Row],[ID-RACK]],Tableau1[ID-RACK],0))&amp;""</f>
        <v>R2</v>
      </c>
      <c r="AF994" s="108" t="str">
        <f>INDEX(Tableau1[Repere-Slot],MATCH(Tableau3[[#This Row],[ID-SLOT]],Tableau1[ID-SLOT],0))&amp;""</f>
        <v>S2</v>
      </c>
      <c r="AG994" s="108" t="str">
        <f>INDEX(Tableau2[Repere-Voie],MATCH(Tableau3[[#This Row],[ID-VOIE]],Tableau2[ID-Voie],0))&amp;""</f>
        <v>v0</v>
      </c>
      <c r="AH994" s="72" t="str">
        <f>Tableau3[[#This Row],[ID-API]]&amp; "." &amp;Tableau3[[#This Row],[ID-RACK]]&amp; "." &amp;Tableau3[[#This Row],[ID-SLOT]]</f>
        <v>6.2.2</v>
      </c>
      <c r="AI994" s="72" t="str">
        <f>INDEX(Tableau1[Ref-Carte],MATCH(Tableau3[[#This Row],[ID-RRS]],Tableau1[ID-RRS],0))</f>
        <v>SDO0802</v>
      </c>
      <c r="AJ994" s="72" t="str">
        <f t="array" ref="AJ994">IFERROR(INDEX(Tableau2[TS],MATCH(1,(Tableau2[Ref-Carte]=Tableau3[[#This Row],[Ref-Carte2]])*(Tableau2[ID-Voie]=Tableau3[[#This Row],[ID-VOIE]]),0)),"")</f>
        <v>ST</v>
      </c>
      <c r="AK994" s="72" t="str">
        <f>IFERROR(INDEX(Tableau2[TS],SUMPRODUCT((Tableau2[Ref-Carte]=Tableau3[[#This Row],[Ref-Carte2]])*(Tableau2[ID-Voie]=Tableau3[[#This Row],[ID-VOIE]])*ROW(Tableau2[TS]))-ROW(Tableau2[#Headers])),"")</f>
        <v>ST</v>
      </c>
      <c r="AL994" s="72" t="str">
        <f>Tableau3[[#This Row],[Ref-Carte2]]&amp;"/"&amp;Tableau3[[#This Row],[ID-VOIE]]</f>
        <v>SDO0802/0</v>
      </c>
      <c r="AM994" s="73" t="str">
        <f>INDEX(Tableau2[Borne],MATCH(Tableau3[[#This Row],[ID-CARTEVOIE]],Tableau2[ID-CARTEVOIE],0))&amp;""</f>
        <v>0</v>
      </c>
      <c r="AN994" s="74" t="str">
        <f>Tableau3[[#This Row],[ID-API]]&amp;Tableau3[[#This Row],[ID-RACK]]&amp;Tableau3[[#This Row],[ID-SLOT]]&amp;Tableau3[[#This Row],[BORNE]]</f>
        <v>6220</v>
      </c>
      <c r="AO994" s="1"/>
    </row>
    <row r="995" spans="1:41" ht="20.100000000000001" customHeight="1" thickTop="1" thickBot="1">
      <c r="A995" s="68"/>
      <c r="B995" s="69" t="str">
        <f>IFERROR(INDEX(Tableau4[Date],MATCH($A995,Tableau4[EVO],0)),"")</f>
        <v/>
      </c>
      <c r="C995" s="68" t="str">
        <f>IFERROR(INDEX(Tableau4[Designation],MATCH($A995,Tableau4[EVO],0)),"")</f>
        <v/>
      </c>
      <c r="D995" s="68"/>
      <c r="E995" s="70">
        <v>69</v>
      </c>
      <c r="F995" s="71">
        <v>32</v>
      </c>
      <c r="G995" s="101" t="str">
        <f>INDEX(Tableau8[Att1],MATCH(Tableau3[[#This Row],[ID-INS]],Tableau8[ID],0))&amp;""</f>
        <v>B22</v>
      </c>
      <c r="H995" s="101" t="str">
        <f>INDEX(Tableau8[Att2],MATCH(Tableau3[[#This Row],[ID-INS]],Tableau8[ID],0))&amp;""</f>
        <v>TRSD4</v>
      </c>
      <c r="I995" s="101" t="str">
        <f>INDEX(Tableau8[Att3],MATCH(Tableau3[[#This Row],[ID-INS]],Tableau8[ID],0))&amp;""</f>
        <v>Tourniquet TRSD4</v>
      </c>
      <c r="J995" s="101"/>
      <c r="K995" s="167" t="str">
        <f>INDEX(Tableau8[Nom du modele],MATCH(Tableau3[[#This Row],[ID-INS]],Tableau8[ID],0))&amp;""</f>
        <v>TRSD_1</v>
      </c>
      <c r="L995" s="141" t="str">
        <f>INDEX(Tableau5[Att1],MATCH(Tableau3[[#This Row],[ID-SIG]],Tableau5[ID],0))&amp;""</f>
        <v>T1E_OuvCmd</v>
      </c>
      <c r="M995" s="99" t="str">
        <f>INDEX(Tableau5[Att2],MATCH(Tableau3[[#This Row],[ID-SIG]],Tableau5[ID],0))&amp;""</f>
        <v/>
      </c>
      <c r="N995" s="99" t="str">
        <f>INDEX(Tableau5[Att3],MATCH(Tableau3[[#This Row],[ID-SIG]],Tableau5[ID],0))&amp;""</f>
        <v/>
      </c>
      <c r="O995" s="99"/>
      <c r="P995" s="141" t="str">
        <f>INDEX(Tableau5[Description],MATCH(Tableau3[[#This Row],[ID-SIG]],Tableau5[ID],0))</f>
        <v>Commande ouverture entrée 1</v>
      </c>
      <c r="Q995" s="99"/>
      <c r="R995" s="103" t="str">
        <f>Tableau3[[#This Row],[Description]]</f>
        <v>Commande ouverture entrée 1</v>
      </c>
      <c r="U995" s="87">
        <v>6</v>
      </c>
      <c r="V995" s="87">
        <v>2</v>
      </c>
      <c r="W995" s="87">
        <v>2</v>
      </c>
      <c r="X995" s="87">
        <v>1</v>
      </c>
      <c r="Y995" s="41"/>
      <c r="Z995" s="165" t="str">
        <f>INDEX(Tableau2[TS],MATCH(Tableau3[[#This Row],[ID-CARTEVOIE]],Tableau2[ID-CARTEVOIE],0))</f>
        <v>ST</v>
      </c>
      <c r="AA995" s="53" t="s">
        <v>213</v>
      </c>
      <c r="AB995" s="223" t="str">
        <f>IFERROR(INDEX(Tableau5[Reserve],MATCH(Tableau3[[#This Row],[ID-SIG]],Tableau5[ID],0))&amp;"","")</f>
        <v/>
      </c>
      <c r="AC995" s="21"/>
      <c r="AD995" s="108" t="str">
        <f>INDEX(Tableau7[Repere],MATCH(Tableau3[[#This Row],[ID-API]],Tableau7[ID-API],0))&amp;""</f>
        <v>A6</v>
      </c>
      <c r="AE995" s="108" t="str">
        <f>INDEX(Tableau1[Repere-Rack],MATCH(Tableau3[[#This Row],[ID-RACK]],Tableau1[ID-RACK],0))&amp;""</f>
        <v>R2</v>
      </c>
      <c r="AF995" s="108" t="str">
        <f>INDEX(Tableau1[Repere-Slot],MATCH(Tableau3[[#This Row],[ID-SLOT]],Tableau1[ID-SLOT],0))&amp;""</f>
        <v>S2</v>
      </c>
      <c r="AG995" s="108" t="str">
        <f>INDEX(Tableau2[Repere-Voie],MATCH(Tableau3[[#This Row],[ID-VOIE]],Tableau2[ID-Voie],0))&amp;""</f>
        <v>v1</v>
      </c>
      <c r="AH995" s="72" t="str">
        <f>Tableau3[[#This Row],[ID-API]]&amp; "." &amp;Tableau3[[#This Row],[ID-RACK]]&amp; "." &amp;Tableau3[[#This Row],[ID-SLOT]]</f>
        <v>6.2.2</v>
      </c>
      <c r="AI995" s="72" t="str">
        <f>INDEX(Tableau1[Ref-Carte],MATCH(Tableau3[[#This Row],[ID-RRS]],Tableau1[ID-RRS],0))</f>
        <v>SDO0802</v>
      </c>
      <c r="AJ995" s="72" t="str">
        <f t="array" ref="AJ995">IFERROR(INDEX(Tableau2[TS],MATCH(1,(Tableau2[Ref-Carte]=Tableau3[[#This Row],[Ref-Carte2]])*(Tableau2[ID-Voie]=Tableau3[[#This Row],[ID-VOIE]]),0)),"")</f>
        <v>ST</v>
      </c>
      <c r="AK995" s="72" t="str">
        <f>IFERROR(INDEX(Tableau2[TS],SUMPRODUCT((Tableau2[Ref-Carte]=Tableau3[[#This Row],[Ref-Carte2]])*(Tableau2[ID-Voie]=Tableau3[[#This Row],[ID-VOIE]])*ROW(Tableau2[TS]))-ROW(Tableau2[#Headers])),"")</f>
        <v>ST</v>
      </c>
      <c r="AL995" s="72" t="str">
        <f>Tableau3[[#This Row],[Ref-Carte2]]&amp;"/"&amp;Tableau3[[#This Row],[ID-VOIE]]</f>
        <v>SDO0802/1</v>
      </c>
      <c r="AM995" s="73" t="str">
        <f>INDEX(Tableau2[Borne],MATCH(Tableau3[[#This Row],[ID-CARTEVOIE]],Tableau2[ID-CARTEVOIE],0))&amp;""</f>
        <v>1</v>
      </c>
      <c r="AN995" s="74" t="str">
        <f>Tableau3[[#This Row],[ID-API]]&amp;Tableau3[[#This Row],[ID-RACK]]&amp;Tableau3[[#This Row],[ID-SLOT]]&amp;Tableau3[[#This Row],[BORNE]]</f>
        <v>6221</v>
      </c>
      <c r="AO995" s="1"/>
    </row>
    <row r="996" spans="1:41" ht="20.100000000000001" customHeight="1" thickTop="1" thickBot="1">
      <c r="A996" s="68"/>
      <c r="B996" s="69" t="str">
        <f>IFERROR(INDEX(Tableau4[Date],MATCH($A996,Tableau4[EVO],0)),"")</f>
        <v/>
      </c>
      <c r="C996" s="68" t="str">
        <f>IFERROR(INDEX(Tableau4[Designation],MATCH($A996,Tableau4[EVO],0)),"")</f>
        <v/>
      </c>
      <c r="D996" s="68"/>
      <c r="E996" s="70">
        <v>69</v>
      </c>
      <c r="F996" s="71">
        <v>33</v>
      </c>
      <c r="G996" s="101" t="str">
        <f>INDEX(Tableau8[Att1],MATCH(Tableau3[[#This Row],[ID-INS]],Tableau8[ID],0))&amp;""</f>
        <v>B22</v>
      </c>
      <c r="H996" s="101" t="str">
        <f>INDEX(Tableau8[Att2],MATCH(Tableau3[[#This Row],[ID-INS]],Tableau8[ID],0))&amp;""</f>
        <v>TRSD4</v>
      </c>
      <c r="I996" s="101" t="str">
        <f>INDEX(Tableau8[Att3],MATCH(Tableau3[[#This Row],[ID-INS]],Tableau8[ID],0))&amp;""</f>
        <v>Tourniquet TRSD4</v>
      </c>
      <c r="J996" s="101"/>
      <c r="K996" s="167" t="str">
        <f>INDEX(Tableau8[Nom du modele],MATCH(Tableau3[[#This Row],[ID-INS]],Tableau8[ID],0))&amp;""</f>
        <v>TRSD_1</v>
      </c>
      <c r="L996" s="99" t="str">
        <f>INDEX(Tableau5[Att1],MATCH(Tableau3[[#This Row],[ID-SIG]],Tableau5[ID],0))&amp;""</f>
        <v>T1S_OuvCmd1</v>
      </c>
      <c r="M996" s="99" t="str">
        <f>INDEX(Tableau5[Att2],MATCH(Tableau3[[#This Row],[ID-SIG]],Tableau5[ID],0))&amp;""</f>
        <v/>
      </c>
      <c r="N996" s="99" t="str">
        <f>INDEX(Tableau5[Att3],MATCH(Tableau3[[#This Row],[ID-SIG]],Tableau5[ID],0))&amp;""</f>
        <v/>
      </c>
      <c r="O996" s="99"/>
      <c r="P996" s="99" t="str">
        <f>INDEX(Tableau5[Description],MATCH(Tableau3[[#This Row],[ID-SIG]],Tableau5[ID],0))</f>
        <v>Commande 1 ouverture sortie 1</v>
      </c>
      <c r="Q996" s="99"/>
      <c r="R996" s="103" t="str">
        <f>Tableau3[[#This Row],[Description]]</f>
        <v>Commande 1 ouverture sortie 1</v>
      </c>
      <c r="U996" s="87">
        <v>6</v>
      </c>
      <c r="V996" s="87">
        <v>2</v>
      </c>
      <c r="W996" s="87">
        <v>2</v>
      </c>
      <c r="X996" s="87">
        <v>2</v>
      </c>
      <c r="Y996" s="41"/>
      <c r="Z996" s="165" t="str">
        <f>INDEX(Tableau2[TS],MATCH(Tableau3[[#This Row],[ID-CARTEVOIE]],Tableau2[ID-CARTEVOIE],0))</f>
        <v>ST</v>
      </c>
      <c r="AA996" s="53" t="s">
        <v>213</v>
      </c>
      <c r="AB996" s="223" t="str">
        <f>IFERROR(INDEX(Tableau5[Reserve],MATCH(Tableau3[[#This Row],[ID-SIG]],Tableau5[ID],0))&amp;"","")</f>
        <v/>
      </c>
      <c r="AC996" s="21"/>
      <c r="AD996" s="108" t="str">
        <f>INDEX(Tableau7[Repere],MATCH(Tableau3[[#This Row],[ID-API]],Tableau7[ID-API],0))&amp;""</f>
        <v>A6</v>
      </c>
      <c r="AE996" s="108" t="str">
        <f>INDEX(Tableau1[Repere-Rack],MATCH(Tableau3[[#This Row],[ID-RACK]],Tableau1[ID-RACK],0))&amp;""</f>
        <v>R2</v>
      </c>
      <c r="AF996" s="108" t="str">
        <f>INDEX(Tableau1[Repere-Slot],MATCH(Tableau3[[#This Row],[ID-SLOT]],Tableau1[ID-SLOT],0))&amp;""</f>
        <v>S2</v>
      </c>
      <c r="AG996" s="108" t="str">
        <f>INDEX(Tableau2[Repere-Voie],MATCH(Tableau3[[#This Row],[ID-VOIE]],Tableau2[ID-Voie],0))&amp;""</f>
        <v>v2</v>
      </c>
      <c r="AH996" s="72" t="str">
        <f>Tableau3[[#This Row],[ID-API]]&amp; "." &amp;Tableau3[[#This Row],[ID-RACK]]&amp; "." &amp;Tableau3[[#This Row],[ID-SLOT]]</f>
        <v>6.2.2</v>
      </c>
      <c r="AI996" s="72" t="str">
        <f>INDEX(Tableau1[Ref-Carte],MATCH(Tableau3[[#This Row],[ID-RRS]],Tableau1[ID-RRS],0))</f>
        <v>SDO0802</v>
      </c>
      <c r="AJ996" s="72" t="str">
        <f t="array" ref="AJ996">IFERROR(INDEX(Tableau2[TS],MATCH(1,(Tableau2[Ref-Carte]=Tableau3[[#This Row],[Ref-Carte2]])*(Tableau2[ID-Voie]=Tableau3[[#This Row],[ID-VOIE]]),0)),"")</f>
        <v>ST</v>
      </c>
      <c r="AK996" s="72" t="str">
        <f>IFERROR(INDEX(Tableau2[TS],SUMPRODUCT((Tableau2[Ref-Carte]=Tableau3[[#This Row],[Ref-Carte2]])*(Tableau2[ID-Voie]=Tableau3[[#This Row],[ID-VOIE]])*ROW(Tableau2[TS]))-ROW(Tableau2[#Headers])),"")</f>
        <v>ST</v>
      </c>
      <c r="AL996" s="72" t="str">
        <f>Tableau3[[#This Row],[Ref-Carte2]]&amp;"/"&amp;Tableau3[[#This Row],[ID-VOIE]]</f>
        <v>SDO0802/2</v>
      </c>
      <c r="AM996" s="73" t="str">
        <f>INDEX(Tableau2[Borne],MATCH(Tableau3[[#This Row],[ID-CARTEVOIE]],Tableau2[ID-CARTEVOIE],0))&amp;""</f>
        <v>2</v>
      </c>
      <c r="AN996" s="74" t="str">
        <f>Tableau3[[#This Row],[ID-API]]&amp;Tableau3[[#This Row],[ID-RACK]]&amp;Tableau3[[#This Row],[ID-SLOT]]&amp;Tableau3[[#This Row],[BORNE]]</f>
        <v>6222</v>
      </c>
      <c r="AO996" s="1"/>
    </row>
    <row r="997" spans="1:41" ht="20.100000000000001" customHeight="1" thickTop="1" thickBot="1">
      <c r="A997" s="68"/>
      <c r="B997" s="69" t="str">
        <f>IFERROR(INDEX(Tableau4[Date],MATCH($A997,Tableau4[EVO],0)),"")</f>
        <v/>
      </c>
      <c r="C997" s="68" t="str">
        <f>IFERROR(INDEX(Tableau4[Designation],MATCH($A997,Tableau4[EVO],0)),"")</f>
        <v/>
      </c>
      <c r="D997" s="68"/>
      <c r="E997" s="70">
        <v>69</v>
      </c>
      <c r="F997" s="71">
        <v>36</v>
      </c>
      <c r="G997" s="101" t="str">
        <f>INDEX(Tableau8[Att1],MATCH(Tableau3[[#This Row],[ID-INS]],Tableau8[ID],0))&amp;""</f>
        <v>B22</v>
      </c>
      <c r="H997" s="101" t="str">
        <f>INDEX(Tableau8[Att2],MATCH(Tableau3[[#This Row],[ID-INS]],Tableau8[ID],0))&amp;""</f>
        <v>TRSD4</v>
      </c>
      <c r="I997" s="101" t="str">
        <f>INDEX(Tableau8[Att3],MATCH(Tableau3[[#This Row],[ID-INS]],Tableau8[ID],0))&amp;""</f>
        <v>Tourniquet TRSD4</v>
      </c>
      <c r="J997" s="101"/>
      <c r="K997" s="167" t="str">
        <f>INDEX(Tableau8[Nom du modele],MATCH(Tableau3[[#This Row],[ID-INS]],Tableau8[ID],0))&amp;""</f>
        <v>TRSD_1</v>
      </c>
      <c r="L997" s="99" t="str">
        <f>INDEX(Tableau5[Att1],MATCH(Tableau3[[#This Row],[ID-SIG]],Tableau5[ID],0))&amp;""</f>
        <v>T1E_PictoAutor</v>
      </c>
      <c r="M997" s="99" t="str">
        <f>INDEX(Tableau5[Att2],MATCH(Tableau3[[#This Row],[ID-SIG]],Tableau5[ID],0))&amp;""</f>
        <v/>
      </c>
      <c r="N997" s="99" t="str">
        <f>INDEX(Tableau5[Att3],MATCH(Tableau3[[#This Row],[ID-SIG]],Tableau5[ID],0))&amp;""</f>
        <v/>
      </c>
      <c r="O997" s="99"/>
      <c r="P997" s="99" t="str">
        <f>INDEX(Tableau5[Description],MATCH(Tableau3[[#This Row],[ID-SIG]],Tableau5[ID],0))</f>
        <v>Commande Picto entrée 1</v>
      </c>
      <c r="Q997" s="99"/>
      <c r="R997" s="103" t="str">
        <f>Tableau3[[#This Row],[Description]]</f>
        <v>Commande Picto entrée 1</v>
      </c>
      <c r="U997" s="87">
        <v>6</v>
      </c>
      <c r="V997" s="87">
        <v>2</v>
      </c>
      <c r="W997" s="87">
        <v>2</v>
      </c>
      <c r="X997" s="87">
        <v>3</v>
      </c>
      <c r="Y997" s="41"/>
      <c r="Z997" s="165" t="str">
        <f>INDEX(Tableau2[TS],MATCH(Tableau3[[#This Row],[ID-CARTEVOIE]],Tableau2[ID-CARTEVOIE],0))</f>
        <v>ST</v>
      </c>
      <c r="AA997" s="53" t="s">
        <v>213</v>
      </c>
      <c r="AB997" s="223" t="str">
        <f>IFERROR(INDEX(Tableau5[Reserve],MATCH(Tableau3[[#This Row],[ID-SIG]],Tableau5[ID],0))&amp;"","")</f>
        <v/>
      </c>
      <c r="AC997" s="21"/>
      <c r="AD997" s="108" t="str">
        <f>INDEX(Tableau7[Repere],MATCH(Tableau3[[#This Row],[ID-API]],Tableau7[ID-API],0))&amp;""</f>
        <v>A6</v>
      </c>
      <c r="AE997" s="108" t="str">
        <f>INDEX(Tableau1[Repere-Rack],MATCH(Tableau3[[#This Row],[ID-RACK]],Tableau1[ID-RACK],0))&amp;""</f>
        <v>R2</v>
      </c>
      <c r="AF997" s="108" t="str">
        <f>INDEX(Tableau1[Repere-Slot],MATCH(Tableau3[[#This Row],[ID-SLOT]],Tableau1[ID-SLOT],0))&amp;""</f>
        <v>S2</v>
      </c>
      <c r="AG997" s="108" t="str">
        <f>INDEX(Tableau2[Repere-Voie],MATCH(Tableau3[[#This Row],[ID-VOIE]],Tableau2[ID-Voie],0))&amp;""</f>
        <v>v3</v>
      </c>
      <c r="AH997" s="72" t="str">
        <f>Tableau3[[#This Row],[ID-API]]&amp; "." &amp;Tableau3[[#This Row],[ID-RACK]]&amp; "." &amp;Tableau3[[#This Row],[ID-SLOT]]</f>
        <v>6.2.2</v>
      </c>
      <c r="AI997" s="72" t="str">
        <f>INDEX(Tableau1[Ref-Carte],MATCH(Tableau3[[#This Row],[ID-RRS]],Tableau1[ID-RRS],0))</f>
        <v>SDO0802</v>
      </c>
      <c r="AJ997" s="72" t="str">
        <f t="array" ref="AJ997">IFERROR(INDEX(Tableau2[TS],MATCH(1,(Tableau2[Ref-Carte]=Tableau3[[#This Row],[Ref-Carte2]])*(Tableau2[ID-Voie]=Tableau3[[#This Row],[ID-VOIE]]),0)),"")</f>
        <v>ST</v>
      </c>
      <c r="AK997" s="72" t="str">
        <f>IFERROR(INDEX(Tableau2[TS],SUMPRODUCT((Tableau2[Ref-Carte]=Tableau3[[#This Row],[Ref-Carte2]])*(Tableau2[ID-Voie]=Tableau3[[#This Row],[ID-VOIE]])*ROW(Tableau2[TS]))-ROW(Tableau2[#Headers])),"")</f>
        <v>ST</v>
      </c>
      <c r="AL997" s="72" t="str">
        <f>Tableau3[[#This Row],[Ref-Carte2]]&amp;"/"&amp;Tableau3[[#This Row],[ID-VOIE]]</f>
        <v>SDO0802/3</v>
      </c>
      <c r="AM997" s="73" t="str">
        <f>INDEX(Tableau2[Borne],MATCH(Tableau3[[#This Row],[ID-CARTEVOIE]],Tableau2[ID-CARTEVOIE],0))&amp;""</f>
        <v>3</v>
      </c>
      <c r="AN997" s="74" t="str">
        <f>Tableau3[[#This Row],[ID-API]]&amp;Tableau3[[#This Row],[ID-RACK]]&amp;Tableau3[[#This Row],[ID-SLOT]]&amp;Tableau3[[#This Row],[BORNE]]</f>
        <v>6223</v>
      </c>
      <c r="AO997" s="1"/>
    </row>
    <row r="998" spans="1:41" ht="20.100000000000001" customHeight="1" thickTop="1" thickBot="1">
      <c r="A998" s="68"/>
      <c r="B998" s="69" t="str">
        <f>IFERROR(INDEX(Tableau4[Date],MATCH($A998,Tableau4[EVO],0)),"")</f>
        <v/>
      </c>
      <c r="C998" s="68" t="str">
        <f>IFERROR(INDEX(Tableau4[Designation],MATCH($A998,Tableau4[EVO],0)),"")</f>
        <v/>
      </c>
      <c r="D998" s="68"/>
      <c r="E998" s="70">
        <v>69</v>
      </c>
      <c r="F998" s="71">
        <v>37</v>
      </c>
      <c r="G998" s="101" t="str">
        <f>INDEX(Tableau8[Att1],MATCH(Tableau3[[#This Row],[ID-INS]],Tableau8[ID],0))&amp;""</f>
        <v>B22</v>
      </c>
      <c r="H998" s="101" t="str">
        <f>INDEX(Tableau8[Att2],MATCH(Tableau3[[#This Row],[ID-INS]],Tableau8[ID],0))&amp;""</f>
        <v>TRSD4</v>
      </c>
      <c r="I998" s="101" t="str">
        <f>INDEX(Tableau8[Att3],MATCH(Tableau3[[#This Row],[ID-INS]],Tableau8[ID],0))&amp;""</f>
        <v>Tourniquet TRSD4</v>
      </c>
      <c r="J998" s="101"/>
      <c r="K998" s="167" t="str">
        <f>INDEX(Tableau8[Nom du modele],MATCH(Tableau3[[#This Row],[ID-INS]],Tableau8[ID],0))&amp;""</f>
        <v>TRSD_1</v>
      </c>
      <c r="L998" s="141" t="str">
        <f>INDEX(Tableau5[Att1],MATCH(Tableau3[[#This Row],[ID-SIG]],Tableau5[ID],0))&amp;""</f>
        <v>T1S_PictoAutor</v>
      </c>
      <c r="M998" s="99" t="str">
        <f>INDEX(Tableau5[Att2],MATCH(Tableau3[[#This Row],[ID-SIG]],Tableau5[ID],0))&amp;""</f>
        <v/>
      </c>
      <c r="N998" s="99" t="str">
        <f>INDEX(Tableau5[Att3],MATCH(Tableau3[[#This Row],[ID-SIG]],Tableau5[ID],0))&amp;""</f>
        <v/>
      </c>
      <c r="O998" s="99"/>
      <c r="P998" s="141" t="str">
        <f>INDEX(Tableau5[Description],MATCH(Tableau3[[#This Row],[ID-SIG]],Tableau5[ID],0))</f>
        <v>Commande Picto sortie 1</v>
      </c>
      <c r="Q998" s="99"/>
      <c r="R998" s="103" t="str">
        <f>Tableau3[[#This Row],[Description]]</f>
        <v>Commande Picto sortie 1</v>
      </c>
      <c r="U998" s="87">
        <v>6</v>
      </c>
      <c r="V998" s="87">
        <v>2</v>
      </c>
      <c r="W998" s="87">
        <v>2</v>
      </c>
      <c r="X998" s="87">
        <v>4</v>
      </c>
      <c r="Y998" s="41"/>
      <c r="Z998" s="165" t="str">
        <f>INDEX(Tableau2[TS],MATCH(Tableau3[[#This Row],[ID-CARTEVOIE]],Tableau2[ID-CARTEVOIE],0))</f>
        <v>ST</v>
      </c>
      <c r="AA998" s="53" t="s">
        <v>213</v>
      </c>
      <c r="AB998" s="223" t="str">
        <f>IFERROR(INDEX(Tableau5[Reserve],MATCH(Tableau3[[#This Row],[ID-SIG]],Tableau5[ID],0))&amp;"","")</f>
        <v/>
      </c>
      <c r="AC998" s="21"/>
      <c r="AD998" s="108" t="str">
        <f>INDEX(Tableau7[Repere],MATCH(Tableau3[[#This Row],[ID-API]],Tableau7[ID-API],0))&amp;""</f>
        <v>A6</v>
      </c>
      <c r="AE998" s="108" t="str">
        <f>INDEX(Tableau1[Repere-Rack],MATCH(Tableau3[[#This Row],[ID-RACK]],Tableau1[ID-RACK],0))&amp;""</f>
        <v>R2</v>
      </c>
      <c r="AF998" s="108" t="str">
        <f>INDEX(Tableau1[Repere-Slot],MATCH(Tableau3[[#This Row],[ID-SLOT]],Tableau1[ID-SLOT],0))&amp;""</f>
        <v>S2</v>
      </c>
      <c r="AG998" s="108" t="str">
        <f>INDEX(Tableau2[Repere-Voie],MATCH(Tableau3[[#This Row],[ID-VOIE]],Tableau2[ID-Voie],0))&amp;""</f>
        <v>v4</v>
      </c>
      <c r="AH998" s="72" t="str">
        <f>Tableau3[[#This Row],[ID-API]]&amp; "." &amp;Tableau3[[#This Row],[ID-RACK]]&amp; "." &amp;Tableau3[[#This Row],[ID-SLOT]]</f>
        <v>6.2.2</v>
      </c>
      <c r="AI998" s="72" t="str">
        <f>INDEX(Tableau1[Ref-Carte],MATCH(Tableau3[[#This Row],[ID-RRS]],Tableau1[ID-RRS],0))</f>
        <v>SDO0802</v>
      </c>
      <c r="AJ998" s="72" t="str">
        <f t="array" ref="AJ998">IFERROR(INDEX(Tableau2[TS],MATCH(1,(Tableau2[Ref-Carte]=Tableau3[[#This Row],[Ref-Carte2]])*(Tableau2[ID-Voie]=Tableau3[[#This Row],[ID-VOIE]]),0)),"")</f>
        <v>ST</v>
      </c>
      <c r="AK998" s="72" t="str">
        <f>IFERROR(INDEX(Tableau2[TS],SUMPRODUCT((Tableau2[Ref-Carte]=Tableau3[[#This Row],[Ref-Carte2]])*(Tableau2[ID-Voie]=Tableau3[[#This Row],[ID-VOIE]])*ROW(Tableau2[TS]))-ROW(Tableau2[#Headers])),"")</f>
        <v>ST</v>
      </c>
      <c r="AL998" s="72" t="str">
        <f>Tableau3[[#This Row],[Ref-Carte2]]&amp;"/"&amp;Tableau3[[#This Row],[ID-VOIE]]</f>
        <v>SDO0802/4</v>
      </c>
      <c r="AM998" s="73" t="str">
        <f>INDEX(Tableau2[Borne],MATCH(Tableau3[[#This Row],[ID-CARTEVOIE]],Tableau2[ID-CARTEVOIE],0))&amp;""</f>
        <v>4</v>
      </c>
      <c r="AN998" s="74" t="str">
        <f>Tableau3[[#This Row],[ID-API]]&amp;Tableau3[[#This Row],[ID-RACK]]&amp;Tableau3[[#This Row],[ID-SLOT]]&amp;Tableau3[[#This Row],[BORNE]]</f>
        <v>6224</v>
      </c>
      <c r="AO998" s="1"/>
    </row>
    <row r="999" spans="1:41" ht="20.100000000000001" customHeight="1" thickTop="1" thickBot="1">
      <c r="A999" s="75"/>
      <c r="B999" s="76" t="str">
        <f>IFERROR(INDEX(Tableau4[Date],MATCH($A999,Tableau4[EVO],0)),"")</f>
        <v/>
      </c>
      <c r="C999" s="75" t="str">
        <f>IFERROR(INDEX(Tableau4[Designation],MATCH($A999,Tableau4[EVO],0)),"")</f>
        <v/>
      </c>
      <c r="D999" s="75"/>
      <c r="E999" s="79">
        <v>57</v>
      </c>
      <c r="F999" s="80">
        <v>28</v>
      </c>
      <c r="G999" s="102" t="str">
        <f>INDEX(Tableau8[Att1],MATCH(Tableau3[[#This Row],[ID-INS]],Tableau8[ID],0))&amp;""</f>
        <v>GR</v>
      </c>
      <c r="H999" s="163" t="str">
        <f>INDEX(Tableau8[Att2],MATCH(Tableau3[[#This Row],[ID-INS]],Tableau8[ID],0))&amp;""</f>
        <v>TRSD2</v>
      </c>
      <c r="I999" s="102" t="str">
        <f>INDEX(Tableau8[Att3],MATCH(Tableau3[[#This Row],[ID-INS]],Tableau8[ID],0))&amp;""</f>
        <v>Tourniquet TRSD2</v>
      </c>
      <c r="J999" s="102"/>
      <c r="K999" s="167" t="str">
        <f>INDEX(Tableau8[Nom du modele],MATCH(Tableau3[[#This Row],[ID-INS]],Tableau8[ID],0))&amp;""</f>
        <v>TRSD_1</v>
      </c>
      <c r="L999" s="100" t="str">
        <f>INDEX(Tableau5[Att1],MATCH(Tableau3[[#This Row],[ID-SIG]],Tableau5[ID],0))&amp;""</f>
        <v>T1S_OuvCmd2</v>
      </c>
      <c r="M999" s="100" t="str">
        <f>INDEX(Tableau5[Att2],MATCH(Tableau3[[#This Row],[ID-SIG]],Tableau5[ID],0))&amp;""</f>
        <v/>
      </c>
      <c r="N999" s="100" t="str">
        <f>INDEX(Tableau5[Att3],MATCH(Tableau3[[#This Row],[ID-SIG]],Tableau5[ID],0))&amp;""</f>
        <v/>
      </c>
      <c r="O999" s="100"/>
      <c r="P999" s="100" t="str">
        <f>INDEX(Tableau5[Description],MATCH(Tableau3[[#This Row],[ID-SIG]],Tableau5[ID],0))</f>
        <v>Commande 2 ouverture sortie 1</v>
      </c>
      <c r="Q999" s="100"/>
      <c r="R999" s="104" t="str">
        <f>Tableau3[[#This Row],[Description]]</f>
        <v>Commande 2 ouverture sortie 1</v>
      </c>
      <c r="U999" s="87">
        <v>6</v>
      </c>
      <c r="V999" s="87">
        <v>2</v>
      </c>
      <c r="W999" s="87">
        <v>2</v>
      </c>
      <c r="X999" s="87">
        <v>5</v>
      </c>
      <c r="Y999" s="41"/>
      <c r="Z999" s="166" t="str">
        <f>INDEX(Tableau2[TS],MATCH(Tableau3[[#This Row],[ID-CARTEVOIE]],Tableau2[ID-CARTEVOIE],0))</f>
        <v>ST</v>
      </c>
      <c r="AA999" s="81" t="s">
        <v>213</v>
      </c>
      <c r="AB999" s="226" t="str">
        <f>IFERROR(INDEX(Tableau5[Reserve],MATCH(Tableau3[[#This Row],[ID-SIG]],Tableau5[ID],0))&amp;"","")</f>
        <v/>
      </c>
      <c r="AC999" s="21" t="s">
        <v>1505</v>
      </c>
      <c r="AD999" s="108" t="str">
        <f>INDEX(Tableau7[Repere],MATCH(Tableau3[[#This Row],[ID-API]],Tableau7[ID-API],0))&amp;""</f>
        <v>A6</v>
      </c>
      <c r="AE999" s="109" t="str">
        <f>INDEX(Tableau1[Repere-Rack],MATCH(Tableau3[[#This Row],[ID-RACK]],Tableau1[ID-RACK],0))&amp;""</f>
        <v>R2</v>
      </c>
      <c r="AF999" s="109" t="str">
        <f>INDEX(Tableau1[Repere-Slot],MATCH(Tableau3[[#This Row],[ID-SLOT]],Tableau1[ID-SLOT],0))&amp;""</f>
        <v>S2</v>
      </c>
      <c r="AG999" s="109" t="str">
        <f>INDEX(Tableau2[Repere-Voie],MATCH(Tableau3[[#This Row],[ID-VOIE]],Tableau2[ID-Voie],0))&amp;""</f>
        <v>v5</v>
      </c>
      <c r="AH999" s="72" t="str">
        <f>Tableau3[[#This Row],[ID-API]]&amp; "." &amp;Tableau3[[#This Row],[ID-RACK]]&amp; "." &amp;Tableau3[[#This Row],[ID-SLOT]]</f>
        <v>6.2.2</v>
      </c>
      <c r="AI999" s="72" t="str">
        <f>INDEX(Tableau1[Ref-Carte],MATCH(Tableau3[[#This Row],[ID-RRS]],Tableau1[ID-RRS],0))</f>
        <v>SDO0802</v>
      </c>
      <c r="AJ999" s="72" t="str">
        <f t="array" ref="AJ999">IFERROR(INDEX(Tableau2[TS],MATCH(1,(Tableau2[Ref-Carte]=Tableau3[[#This Row],[Ref-Carte2]])*(Tableau2[ID-Voie]=Tableau3[[#This Row],[ID-VOIE]]),0)),"")</f>
        <v>ST</v>
      </c>
      <c r="AK999" s="72" t="str">
        <f>IFERROR(INDEX(Tableau2[TS],SUMPRODUCT((Tableau2[Ref-Carte]=Tableau3[[#This Row],[Ref-Carte2]])*(Tableau2[ID-Voie]=Tableau3[[#This Row],[ID-VOIE]])*ROW(Tableau2[TS]))-ROW(Tableau2[#Headers])),"")</f>
        <v>ST</v>
      </c>
      <c r="AL999" s="72" t="str">
        <f>Tableau3[[#This Row],[Ref-Carte2]]&amp;"/"&amp;Tableau3[[#This Row],[ID-VOIE]]</f>
        <v>SDO0802/5</v>
      </c>
      <c r="AM999" s="77" t="str">
        <f>INDEX(Tableau2[Borne],MATCH(Tableau3[[#This Row],[ID-CARTEVOIE]],Tableau2[ID-CARTEVOIE],0))&amp;""</f>
        <v>5</v>
      </c>
      <c r="AN999" s="74" t="str">
        <f>Tableau3[[#This Row],[ID-API]]&amp;Tableau3[[#This Row],[ID-RACK]]&amp;Tableau3[[#This Row],[ID-SLOT]]&amp;Tableau3[[#This Row],[BORNE]]</f>
        <v>6225</v>
      </c>
      <c r="AO999" s="1"/>
    </row>
    <row r="1000" spans="1:41" ht="20.100000000000001" customHeight="1" thickTop="1" thickBot="1">
      <c r="A1000" s="75"/>
      <c r="B1000" s="76" t="str">
        <f>IFERROR(INDEX(Tableau4[Date],MATCH($A1000,Tableau4[EVO],0)),"")</f>
        <v/>
      </c>
      <c r="C1000" s="75" t="str">
        <f>IFERROR(INDEX(Tableau4[Designation],MATCH($A1000,Tableau4[EVO],0)),"")</f>
        <v/>
      </c>
      <c r="D1000" s="75"/>
      <c r="E1000" s="79">
        <v>57</v>
      </c>
      <c r="F1000" s="80">
        <v>34</v>
      </c>
      <c r="G1000" s="102" t="str">
        <f>INDEX(Tableau8[Att1],MATCH(Tableau3[[#This Row],[ID-INS]],Tableau8[ID],0))&amp;""</f>
        <v>GR</v>
      </c>
      <c r="H1000" s="163" t="str">
        <f>INDEX(Tableau8[Att2],MATCH(Tableau3[[#This Row],[ID-INS]],Tableau8[ID],0))&amp;""</f>
        <v>TRSD2</v>
      </c>
      <c r="I1000" s="102" t="str">
        <f>INDEX(Tableau8[Att3],MATCH(Tableau3[[#This Row],[ID-INS]],Tableau8[ID],0))&amp;""</f>
        <v>Tourniquet TRSD2</v>
      </c>
      <c r="J1000" s="102"/>
      <c r="K1000" s="167" t="str">
        <f>INDEX(Tableau8[Nom du modele],MATCH(Tableau3[[#This Row],[ID-INS]],Tableau8[ID],0))&amp;""</f>
        <v>TRSD_1</v>
      </c>
      <c r="L1000" s="100" t="str">
        <f>INDEX(Tableau5[Att1],MATCH(Tableau3[[#This Row],[ID-SIG]],Tableau5[ID],0))&amp;""</f>
        <v>T2E_OuvCmd</v>
      </c>
      <c r="M1000" s="100" t="str">
        <f>INDEX(Tableau5[Att2],MATCH(Tableau3[[#This Row],[ID-SIG]],Tableau5[ID],0))&amp;""</f>
        <v/>
      </c>
      <c r="N1000" s="100" t="str">
        <f>INDEX(Tableau5[Att3],MATCH(Tableau3[[#This Row],[ID-SIG]],Tableau5[ID],0))&amp;""</f>
        <v/>
      </c>
      <c r="O1000" s="100"/>
      <c r="P1000" s="100" t="str">
        <f>INDEX(Tableau5[Description],MATCH(Tableau3[[#This Row],[ID-SIG]],Tableau5[ID],0))</f>
        <v>Commande ouverture entrée 2</v>
      </c>
      <c r="Q1000" s="100"/>
      <c r="R1000" s="104" t="str">
        <f>Tableau3[[#This Row],[Description]]</f>
        <v>Commande ouverture entrée 2</v>
      </c>
      <c r="U1000" s="87">
        <v>6</v>
      </c>
      <c r="V1000" s="87">
        <v>2</v>
      </c>
      <c r="W1000" s="87">
        <v>2</v>
      </c>
      <c r="X1000" s="87">
        <v>6</v>
      </c>
      <c r="Y1000" s="41"/>
      <c r="Z1000" s="166" t="str">
        <f>INDEX(Tableau2[TS],MATCH(Tableau3[[#This Row],[ID-CARTEVOIE]],Tableau2[ID-CARTEVOIE],0))</f>
        <v>ST</v>
      </c>
      <c r="AA1000" s="81" t="s">
        <v>213</v>
      </c>
      <c r="AB1000" s="226" t="str">
        <f>IFERROR(INDEX(Tableau5[Reserve],MATCH(Tableau3[[#This Row],[ID-SIG]],Tableau5[ID],0))&amp;"","")</f>
        <v/>
      </c>
      <c r="AC1000" s="21" t="s">
        <v>1505</v>
      </c>
      <c r="AD1000" s="108" t="str">
        <f>INDEX(Tableau7[Repere],MATCH(Tableau3[[#This Row],[ID-API]],Tableau7[ID-API],0))&amp;""</f>
        <v>A6</v>
      </c>
      <c r="AE1000" s="109" t="str">
        <f>INDEX(Tableau1[Repere-Rack],MATCH(Tableau3[[#This Row],[ID-RACK]],Tableau1[ID-RACK],0))&amp;""</f>
        <v>R2</v>
      </c>
      <c r="AF1000" s="109" t="str">
        <f>INDEX(Tableau1[Repere-Slot],MATCH(Tableau3[[#This Row],[ID-SLOT]],Tableau1[ID-SLOT],0))&amp;""</f>
        <v>S2</v>
      </c>
      <c r="AG1000" s="109" t="str">
        <f>INDEX(Tableau2[Repere-Voie],MATCH(Tableau3[[#This Row],[ID-VOIE]],Tableau2[ID-Voie],0))&amp;""</f>
        <v>v6</v>
      </c>
      <c r="AH1000" s="72" t="str">
        <f>Tableau3[[#This Row],[ID-API]]&amp; "." &amp;Tableau3[[#This Row],[ID-RACK]]&amp; "." &amp;Tableau3[[#This Row],[ID-SLOT]]</f>
        <v>6.2.2</v>
      </c>
      <c r="AI1000" s="72" t="str">
        <f>INDEX(Tableau1[Ref-Carte],MATCH(Tableau3[[#This Row],[ID-RRS]],Tableau1[ID-RRS],0))</f>
        <v>SDO0802</v>
      </c>
      <c r="AJ1000" s="72" t="str">
        <f t="array" ref="AJ1000">IFERROR(INDEX(Tableau2[TS],MATCH(1,(Tableau2[Ref-Carte]=Tableau3[[#This Row],[Ref-Carte2]])*(Tableau2[ID-Voie]=Tableau3[[#This Row],[ID-VOIE]]),0)),"")</f>
        <v>ST</v>
      </c>
      <c r="AK1000" s="72" t="str">
        <f>IFERROR(INDEX(Tableau2[TS],SUMPRODUCT((Tableau2[Ref-Carte]=Tableau3[[#This Row],[Ref-Carte2]])*(Tableau2[ID-Voie]=Tableau3[[#This Row],[ID-VOIE]])*ROW(Tableau2[TS]))-ROW(Tableau2[#Headers])),"")</f>
        <v>ST</v>
      </c>
      <c r="AL1000" s="72" t="str">
        <f>Tableau3[[#This Row],[Ref-Carte2]]&amp;"/"&amp;Tableau3[[#This Row],[ID-VOIE]]</f>
        <v>SDO0802/6</v>
      </c>
      <c r="AM1000" s="77" t="str">
        <f>INDEX(Tableau2[Borne],MATCH(Tableau3[[#This Row],[ID-CARTEVOIE]],Tableau2[ID-CARTEVOIE],0))&amp;""</f>
        <v>6</v>
      </c>
      <c r="AN1000" s="74" t="str">
        <f>Tableau3[[#This Row],[ID-API]]&amp;Tableau3[[#This Row],[ID-RACK]]&amp;Tableau3[[#This Row],[ID-SLOT]]&amp;Tableau3[[#This Row],[BORNE]]</f>
        <v>6226</v>
      </c>
      <c r="AO1000" s="1"/>
    </row>
    <row r="1001" spans="1:41" ht="20.100000000000001" customHeight="1" thickTop="1" thickBot="1">
      <c r="A1001" s="75"/>
      <c r="B1001" s="76" t="str">
        <f>IFERROR(INDEX(Tableau4[Date],MATCH($A1001,Tableau4[EVO],0)),"")</f>
        <v/>
      </c>
      <c r="C1001" s="75" t="str">
        <f>IFERROR(INDEX(Tableau4[Designation],MATCH($A1001,Tableau4[EVO],0)),"")</f>
        <v/>
      </c>
      <c r="D1001" s="75"/>
      <c r="E1001" s="79">
        <v>57</v>
      </c>
      <c r="F1001" s="80">
        <v>35</v>
      </c>
      <c r="G1001" s="102" t="str">
        <f>INDEX(Tableau8[Att1],MATCH(Tableau3[[#This Row],[ID-INS]],Tableau8[ID],0))&amp;""</f>
        <v>GR</v>
      </c>
      <c r="H1001" s="163" t="str">
        <f>INDEX(Tableau8[Att2],MATCH(Tableau3[[#This Row],[ID-INS]],Tableau8[ID],0))&amp;""</f>
        <v>TRSD2</v>
      </c>
      <c r="I1001" s="102" t="str">
        <f>INDEX(Tableau8[Att3],MATCH(Tableau3[[#This Row],[ID-INS]],Tableau8[ID],0))&amp;""</f>
        <v>Tourniquet TRSD2</v>
      </c>
      <c r="J1001" s="102"/>
      <c r="K1001" s="167" t="str">
        <f>INDEX(Tableau8[Nom du modele],MATCH(Tableau3[[#This Row],[ID-INS]],Tableau8[ID],0))&amp;""</f>
        <v>TRSD_1</v>
      </c>
      <c r="L1001" s="100" t="str">
        <f>INDEX(Tableau5[Att1],MATCH(Tableau3[[#This Row],[ID-SIG]],Tableau5[ID],0))&amp;""</f>
        <v>T2S_OuvCmd1</v>
      </c>
      <c r="M1001" s="100" t="str">
        <f>INDEX(Tableau5[Att2],MATCH(Tableau3[[#This Row],[ID-SIG]],Tableau5[ID],0))&amp;""</f>
        <v/>
      </c>
      <c r="N1001" s="100" t="str">
        <f>INDEX(Tableau5[Att3],MATCH(Tableau3[[#This Row],[ID-SIG]],Tableau5[ID],0))&amp;""</f>
        <v/>
      </c>
      <c r="O1001" s="100"/>
      <c r="P1001" s="100" t="str">
        <f>INDEX(Tableau5[Description],MATCH(Tableau3[[#This Row],[ID-SIG]],Tableau5[ID],0))</f>
        <v>Commande 1 ouverture sortie 2</v>
      </c>
      <c r="Q1001" s="100"/>
      <c r="R1001" s="104" t="str">
        <f>Tableau3[[#This Row],[Description]]</f>
        <v>Commande 1 ouverture sortie 2</v>
      </c>
      <c r="U1001" s="87">
        <v>6</v>
      </c>
      <c r="V1001" s="87">
        <v>2</v>
      </c>
      <c r="W1001" s="87">
        <v>2</v>
      </c>
      <c r="X1001" s="87">
        <v>7</v>
      </c>
      <c r="Y1001" s="41"/>
      <c r="Z1001" s="166" t="str">
        <f>INDEX(Tableau2[TS],MATCH(Tableau3[[#This Row],[ID-CARTEVOIE]],Tableau2[ID-CARTEVOIE],0))</f>
        <v>ST</v>
      </c>
      <c r="AA1001" s="81" t="s">
        <v>213</v>
      </c>
      <c r="AB1001" s="226" t="str">
        <f>IFERROR(INDEX(Tableau5[Reserve],MATCH(Tableau3[[#This Row],[ID-SIG]],Tableau5[ID],0))&amp;"","")</f>
        <v/>
      </c>
      <c r="AC1001" s="21" t="s">
        <v>1505</v>
      </c>
      <c r="AD1001" s="108" t="str">
        <f>INDEX(Tableau7[Repere],MATCH(Tableau3[[#This Row],[ID-API]],Tableau7[ID-API],0))&amp;""</f>
        <v>A6</v>
      </c>
      <c r="AE1001" s="109" t="str">
        <f>INDEX(Tableau1[Repere-Rack],MATCH(Tableau3[[#This Row],[ID-RACK]],Tableau1[ID-RACK],0))&amp;""</f>
        <v>R2</v>
      </c>
      <c r="AF1001" s="109" t="str">
        <f>INDEX(Tableau1[Repere-Slot],MATCH(Tableau3[[#This Row],[ID-SLOT]],Tableau1[ID-SLOT],0))&amp;""</f>
        <v>S2</v>
      </c>
      <c r="AG1001" s="109" t="str">
        <f>INDEX(Tableau2[Repere-Voie],MATCH(Tableau3[[#This Row],[ID-VOIE]],Tableau2[ID-Voie],0))&amp;""</f>
        <v>v7</v>
      </c>
      <c r="AH1001" s="72" t="str">
        <f>Tableau3[[#This Row],[ID-API]]&amp; "." &amp;Tableau3[[#This Row],[ID-RACK]]&amp; "." &amp;Tableau3[[#This Row],[ID-SLOT]]</f>
        <v>6.2.2</v>
      </c>
      <c r="AI1001" s="72" t="str">
        <f>INDEX(Tableau1[Ref-Carte],MATCH(Tableau3[[#This Row],[ID-RRS]],Tableau1[ID-RRS],0))</f>
        <v>SDO0802</v>
      </c>
      <c r="AJ1001" s="72" t="str">
        <f t="array" ref="AJ1001">IFERROR(INDEX(Tableau2[TS],MATCH(1,(Tableau2[Ref-Carte]=Tableau3[[#This Row],[Ref-Carte2]])*(Tableau2[ID-Voie]=Tableau3[[#This Row],[ID-VOIE]]),0)),"")</f>
        <v>ST</v>
      </c>
      <c r="AK1001" s="72" t="str">
        <f>IFERROR(INDEX(Tableau2[TS],SUMPRODUCT((Tableau2[Ref-Carte]=Tableau3[[#This Row],[Ref-Carte2]])*(Tableau2[ID-Voie]=Tableau3[[#This Row],[ID-VOIE]])*ROW(Tableau2[TS]))-ROW(Tableau2[#Headers])),"")</f>
        <v>ST</v>
      </c>
      <c r="AL1001" s="72" t="str">
        <f>Tableau3[[#This Row],[Ref-Carte2]]&amp;"/"&amp;Tableau3[[#This Row],[ID-VOIE]]</f>
        <v>SDO0802/7</v>
      </c>
      <c r="AM1001" s="77" t="str">
        <f>INDEX(Tableau2[Borne],MATCH(Tableau3[[#This Row],[ID-CARTEVOIE]],Tableau2[ID-CARTEVOIE],0))&amp;""</f>
        <v>7</v>
      </c>
      <c r="AN1001" s="74" t="str">
        <f>Tableau3[[#This Row],[ID-API]]&amp;Tableau3[[#This Row],[ID-RACK]]&amp;Tableau3[[#This Row],[ID-SLOT]]&amp;Tableau3[[#This Row],[BORNE]]</f>
        <v>6227</v>
      </c>
      <c r="AO1001" s="1"/>
    </row>
    <row r="1002" spans="1:41" ht="20.100000000000001" customHeight="1" thickTop="1" thickBot="1">
      <c r="A1002" s="75"/>
      <c r="B1002" s="76" t="str">
        <f>IFERROR(INDEX(Tableau4[Date],MATCH($A1002,Tableau4[EVO],0)),"")</f>
        <v/>
      </c>
      <c r="C1002" s="75" t="str">
        <f>IFERROR(INDEX(Tableau4[Designation],MATCH($A1002,Tableau4[EVO],0)),"")</f>
        <v/>
      </c>
      <c r="D1002" s="75"/>
      <c r="E1002" s="79">
        <v>57</v>
      </c>
      <c r="F1002" s="80">
        <v>38</v>
      </c>
      <c r="G1002" s="102" t="str">
        <f>INDEX(Tableau8[Att1],MATCH(Tableau3[[#This Row],[ID-INS]],Tableau8[ID],0))&amp;""</f>
        <v>GR</v>
      </c>
      <c r="H1002" s="163" t="str">
        <f>INDEX(Tableau8[Att2],MATCH(Tableau3[[#This Row],[ID-INS]],Tableau8[ID],0))&amp;""</f>
        <v>TRSD2</v>
      </c>
      <c r="I1002" s="102" t="str">
        <f>INDEX(Tableau8[Att3],MATCH(Tableau3[[#This Row],[ID-INS]],Tableau8[ID],0))&amp;""</f>
        <v>Tourniquet TRSD2</v>
      </c>
      <c r="J1002" s="102"/>
      <c r="K1002" s="167" t="str">
        <f>INDEX(Tableau8[Nom du modele],MATCH(Tableau3[[#This Row],[ID-INS]],Tableau8[ID],0))&amp;""</f>
        <v>TRSD_1</v>
      </c>
      <c r="L1002" s="100" t="str">
        <f>INDEX(Tableau5[Att1],MATCH(Tableau3[[#This Row],[ID-SIG]],Tableau5[ID],0))&amp;""</f>
        <v>T2E_PictoAutor</v>
      </c>
      <c r="M1002" s="100" t="str">
        <f>INDEX(Tableau5[Att2],MATCH(Tableau3[[#This Row],[ID-SIG]],Tableau5[ID],0))&amp;""</f>
        <v/>
      </c>
      <c r="N1002" s="100" t="str">
        <f>INDEX(Tableau5[Att3],MATCH(Tableau3[[#This Row],[ID-SIG]],Tableau5[ID],0))&amp;""</f>
        <v/>
      </c>
      <c r="O1002" s="100"/>
      <c r="P1002" s="100" t="str">
        <f>INDEX(Tableau5[Description],MATCH(Tableau3[[#This Row],[ID-SIG]],Tableau5[ID],0))</f>
        <v>Commande Picto entrée 2</v>
      </c>
      <c r="Q1002" s="100"/>
      <c r="R1002" s="104" t="str">
        <f>Tableau3[[#This Row],[Description]]</f>
        <v>Commande Picto entrée 2</v>
      </c>
      <c r="U1002" s="88">
        <v>6</v>
      </c>
      <c r="V1002" s="88">
        <v>2</v>
      </c>
      <c r="W1002" s="88">
        <v>3</v>
      </c>
      <c r="X1002" s="88">
        <v>0</v>
      </c>
      <c r="Y1002" s="41"/>
      <c r="Z1002" s="166" t="str">
        <f>INDEX(Tableau2[TS],MATCH(Tableau3[[#This Row],[ID-CARTEVOIE]],Tableau2[ID-CARTEVOIE],0))</f>
        <v>ST</v>
      </c>
      <c r="AA1002" s="81" t="s">
        <v>213</v>
      </c>
      <c r="AB1002" s="226" t="str">
        <f>IFERROR(INDEX(Tableau5[Reserve],MATCH(Tableau3[[#This Row],[ID-SIG]],Tableau5[ID],0))&amp;"","")</f>
        <v/>
      </c>
      <c r="AC1002" s="21" t="s">
        <v>1505</v>
      </c>
      <c r="AD1002" s="108" t="str">
        <f>INDEX(Tableau7[Repere],MATCH(Tableau3[[#This Row],[ID-API]],Tableau7[ID-API],0))&amp;""</f>
        <v>A6</v>
      </c>
      <c r="AE1002" s="109" t="str">
        <f>INDEX(Tableau1[Repere-Rack],MATCH(Tableau3[[#This Row],[ID-RACK]],Tableau1[ID-RACK],0))&amp;""</f>
        <v>R2</v>
      </c>
      <c r="AF1002" s="109" t="str">
        <f>INDEX(Tableau1[Repere-Slot],MATCH(Tableau3[[#This Row],[ID-SLOT]],Tableau1[ID-SLOT],0))&amp;""</f>
        <v>S3</v>
      </c>
      <c r="AG1002" s="109" t="str">
        <f>INDEX(Tableau2[Repere-Voie],MATCH(Tableau3[[#This Row],[ID-VOIE]],Tableau2[ID-Voie],0))&amp;""</f>
        <v>v0</v>
      </c>
      <c r="AH1002" s="72" t="str">
        <f>Tableau3[[#This Row],[ID-API]]&amp; "." &amp;Tableau3[[#This Row],[ID-RACK]]&amp; "." &amp;Tableau3[[#This Row],[ID-SLOT]]</f>
        <v>6.2.3</v>
      </c>
      <c r="AI1002" s="72" t="str">
        <f>INDEX(Tableau1[Ref-Carte],MATCH(Tableau3[[#This Row],[ID-RRS]],Tableau1[ID-RRS],0))</f>
        <v>SDO0802</v>
      </c>
      <c r="AJ1002" s="72" t="str">
        <f t="array" ref="AJ1002">IFERROR(INDEX(Tableau2[TS],MATCH(1,(Tableau2[Ref-Carte]=Tableau3[[#This Row],[Ref-Carte2]])*(Tableau2[ID-Voie]=Tableau3[[#This Row],[ID-VOIE]]),0)),"")</f>
        <v>ST</v>
      </c>
      <c r="AK1002" s="72" t="str">
        <f>IFERROR(INDEX(Tableau2[TS],SUMPRODUCT((Tableau2[Ref-Carte]=Tableau3[[#This Row],[Ref-Carte2]])*(Tableau2[ID-Voie]=Tableau3[[#This Row],[ID-VOIE]])*ROW(Tableau2[TS]))-ROW(Tableau2[#Headers])),"")</f>
        <v>ST</v>
      </c>
      <c r="AL1002" s="72" t="str">
        <f>Tableau3[[#This Row],[Ref-Carte2]]&amp;"/"&amp;Tableau3[[#This Row],[ID-VOIE]]</f>
        <v>SDO0802/0</v>
      </c>
      <c r="AM1002" s="77" t="str">
        <f>INDEX(Tableau2[Borne],MATCH(Tableau3[[#This Row],[ID-CARTEVOIE]],Tableau2[ID-CARTEVOIE],0))&amp;""</f>
        <v>0</v>
      </c>
      <c r="AN1002" s="74" t="str">
        <f>Tableau3[[#This Row],[ID-API]]&amp;Tableau3[[#This Row],[ID-RACK]]&amp;Tableau3[[#This Row],[ID-SLOT]]&amp;Tableau3[[#This Row],[BORNE]]</f>
        <v>6230</v>
      </c>
      <c r="AO1002" s="1"/>
    </row>
    <row r="1003" spans="1:41" ht="20.100000000000001" customHeight="1" thickTop="1" thickBot="1">
      <c r="A1003" s="75"/>
      <c r="B1003" s="76" t="str">
        <f>IFERROR(INDEX(Tableau4[Date],MATCH($A1003,Tableau4[EVO],0)),"")</f>
        <v/>
      </c>
      <c r="C1003" s="75" t="str">
        <f>IFERROR(INDEX(Tableau4[Designation],MATCH($A1003,Tableau4[EVO],0)),"")</f>
        <v/>
      </c>
      <c r="D1003" s="75"/>
      <c r="E1003" s="79">
        <v>57</v>
      </c>
      <c r="F1003" s="80">
        <v>39</v>
      </c>
      <c r="G1003" s="102" t="str">
        <f>INDEX(Tableau8[Att1],MATCH(Tableau3[[#This Row],[ID-INS]],Tableau8[ID],0))&amp;""</f>
        <v>GR</v>
      </c>
      <c r="H1003" s="163" t="str">
        <f>INDEX(Tableau8[Att2],MATCH(Tableau3[[#This Row],[ID-INS]],Tableau8[ID],0))&amp;""</f>
        <v>TRSD2</v>
      </c>
      <c r="I1003" s="102" t="str">
        <f>INDEX(Tableau8[Att3],MATCH(Tableau3[[#This Row],[ID-INS]],Tableau8[ID],0))&amp;""</f>
        <v>Tourniquet TRSD2</v>
      </c>
      <c r="J1003" s="102"/>
      <c r="K1003" s="167" t="str">
        <f>INDEX(Tableau8[Nom du modele],MATCH(Tableau3[[#This Row],[ID-INS]],Tableau8[ID],0))&amp;""</f>
        <v>TRSD_1</v>
      </c>
      <c r="L1003" s="100" t="str">
        <f>INDEX(Tableau5[Att1],MATCH(Tableau3[[#This Row],[ID-SIG]],Tableau5[ID],0))&amp;""</f>
        <v>T2S_PictoAutor</v>
      </c>
      <c r="M1003" s="100" t="str">
        <f>INDEX(Tableau5[Att2],MATCH(Tableau3[[#This Row],[ID-SIG]],Tableau5[ID],0))&amp;""</f>
        <v/>
      </c>
      <c r="N1003" s="100" t="str">
        <f>INDEX(Tableau5[Att3],MATCH(Tableau3[[#This Row],[ID-SIG]],Tableau5[ID],0))&amp;""</f>
        <v/>
      </c>
      <c r="O1003" s="100"/>
      <c r="P1003" s="100" t="str">
        <f>INDEX(Tableau5[Description],MATCH(Tableau3[[#This Row],[ID-SIG]],Tableau5[ID],0))</f>
        <v>Commande Picto sortie 2</v>
      </c>
      <c r="Q1003" s="100"/>
      <c r="R1003" s="104" t="str">
        <f>Tableau3[[#This Row],[Description]]</f>
        <v>Commande Picto sortie 2</v>
      </c>
      <c r="U1003" s="88">
        <v>6</v>
      </c>
      <c r="V1003" s="88">
        <v>2</v>
      </c>
      <c r="W1003" s="88">
        <v>3</v>
      </c>
      <c r="X1003" s="88">
        <v>1</v>
      </c>
      <c r="Y1003" s="41"/>
      <c r="Z1003" s="166" t="str">
        <f>INDEX(Tableau2[TS],MATCH(Tableau3[[#This Row],[ID-CARTEVOIE]],Tableau2[ID-CARTEVOIE],0))</f>
        <v>ST</v>
      </c>
      <c r="AA1003" s="81" t="s">
        <v>213</v>
      </c>
      <c r="AB1003" s="226" t="str">
        <f>IFERROR(INDEX(Tableau5[Reserve],MATCH(Tableau3[[#This Row],[ID-SIG]],Tableau5[ID],0))&amp;"","")</f>
        <v/>
      </c>
      <c r="AC1003" s="21" t="s">
        <v>1505</v>
      </c>
      <c r="AD1003" s="108" t="str">
        <f>INDEX(Tableau7[Repere],MATCH(Tableau3[[#This Row],[ID-API]],Tableau7[ID-API],0))&amp;""</f>
        <v>A6</v>
      </c>
      <c r="AE1003" s="109" t="str">
        <f>INDEX(Tableau1[Repere-Rack],MATCH(Tableau3[[#This Row],[ID-RACK]],Tableau1[ID-RACK],0))&amp;""</f>
        <v>R2</v>
      </c>
      <c r="AF1003" s="109" t="str">
        <f>INDEX(Tableau1[Repere-Slot],MATCH(Tableau3[[#This Row],[ID-SLOT]],Tableau1[ID-SLOT],0))&amp;""</f>
        <v>S3</v>
      </c>
      <c r="AG1003" s="109" t="str">
        <f>INDEX(Tableau2[Repere-Voie],MATCH(Tableau3[[#This Row],[ID-VOIE]],Tableau2[ID-Voie],0))&amp;""</f>
        <v>v1</v>
      </c>
      <c r="AH1003" s="72" t="str">
        <f>Tableau3[[#This Row],[ID-API]]&amp; "." &amp;Tableau3[[#This Row],[ID-RACK]]&amp; "." &amp;Tableau3[[#This Row],[ID-SLOT]]</f>
        <v>6.2.3</v>
      </c>
      <c r="AI1003" s="72" t="str">
        <f>INDEX(Tableau1[Ref-Carte],MATCH(Tableau3[[#This Row],[ID-RRS]],Tableau1[ID-RRS],0))</f>
        <v>SDO0802</v>
      </c>
      <c r="AJ1003" s="72" t="str">
        <f t="array" ref="AJ1003">IFERROR(INDEX(Tableau2[TS],MATCH(1,(Tableau2[Ref-Carte]=Tableau3[[#This Row],[Ref-Carte2]])*(Tableau2[ID-Voie]=Tableau3[[#This Row],[ID-VOIE]]),0)),"")</f>
        <v>ST</v>
      </c>
      <c r="AK1003" s="72" t="str">
        <f>IFERROR(INDEX(Tableau2[TS],SUMPRODUCT((Tableau2[Ref-Carte]=Tableau3[[#This Row],[Ref-Carte2]])*(Tableau2[ID-Voie]=Tableau3[[#This Row],[ID-VOIE]])*ROW(Tableau2[TS]))-ROW(Tableau2[#Headers])),"")</f>
        <v>ST</v>
      </c>
      <c r="AL1003" s="72" t="str">
        <f>Tableau3[[#This Row],[Ref-Carte2]]&amp;"/"&amp;Tableau3[[#This Row],[ID-VOIE]]</f>
        <v>SDO0802/1</v>
      </c>
      <c r="AM1003" s="77" t="str">
        <f>INDEX(Tableau2[Borne],MATCH(Tableau3[[#This Row],[ID-CARTEVOIE]],Tableau2[ID-CARTEVOIE],0))&amp;""</f>
        <v>1</v>
      </c>
      <c r="AN1003" s="74" t="str">
        <f>Tableau3[[#This Row],[ID-API]]&amp;Tableau3[[#This Row],[ID-RACK]]&amp;Tableau3[[#This Row],[ID-SLOT]]&amp;Tableau3[[#This Row],[BORNE]]</f>
        <v>6231</v>
      </c>
      <c r="AO1003" s="1"/>
    </row>
    <row r="1004" spans="1:41" ht="20.100000000000001" customHeight="1" thickTop="1" thickBot="1">
      <c r="A1004" s="68"/>
      <c r="B1004" s="69" t="str">
        <f>IFERROR(INDEX(Tableau4[Date],MATCH($A1004,Tableau4[EVO],0)),"")</f>
        <v/>
      </c>
      <c r="C1004" s="68" t="str">
        <f>IFERROR(INDEX(Tableau4[Designation],MATCH($A1004,Tableau4[EVO],0)),"")</f>
        <v/>
      </c>
      <c r="D1004" s="68"/>
      <c r="E1004" s="70">
        <v>71</v>
      </c>
      <c r="F1004" s="71">
        <v>63</v>
      </c>
      <c r="G1004" s="101" t="str">
        <f>INDEX(Tableau8[Att1],MATCH(Tableau3[[#This Row],[ID-INS]],Tableau8[ID],0))&amp;""</f>
        <v>V5</v>
      </c>
      <c r="H1004" s="101" t="str">
        <f>INDEX(Tableau8[Att2],MATCH(Tableau3[[#This Row],[ID-INS]],Tableau8[ID],0))&amp;""</f>
        <v>BH10</v>
      </c>
      <c r="I1004" s="101" t="str">
        <f>INDEX(Tableau8[Att3],MATCH(Tableau3[[#This Row],[ID-INS]],Tableau8[ID],0))&amp;""</f>
        <v>Barrière BH10</v>
      </c>
      <c r="J1004" s="101"/>
      <c r="K1004" s="167" t="str">
        <f>INDEX(Tableau8[Nom du modele],MATCH(Tableau3[[#This Row],[ID-INS]],Tableau8[ID],0))&amp;""</f>
        <v>BarriereLisse</v>
      </c>
      <c r="L1004" s="99" t="str">
        <f>INDEX(Tableau5[Att1],MATCH(Tableau3[[#This Row],[ID-SIG]],Tableau5[ID],0))&amp;""</f>
        <v>OuvCmd</v>
      </c>
      <c r="M1004" s="99" t="str">
        <f>INDEX(Tableau5[Att2],MATCH(Tableau3[[#This Row],[ID-SIG]],Tableau5[ID],0))&amp;""</f>
        <v/>
      </c>
      <c r="N1004" s="99" t="str">
        <f>INDEX(Tableau5[Att3],MATCH(Tableau3[[#This Row],[ID-SIG]],Tableau5[ID],0))&amp;""</f>
        <v/>
      </c>
      <c r="O1004" s="99"/>
      <c r="P1004" s="99" t="str">
        <f>INDEX(Tableau5[Description],MATCH(Tableau3[[#This Row],[ID-SIG]],Tableau5[ID],0))</f>
        <v>Commande ouverture</v>
      </c>
      <c r="Q1004" s="99"/>
      <c r="R1004" s="103" t="str">
        <f>Tableau3[[#This Row],[Description]]</f>
        <v>Commande ouverture</v>
      </c>
      <c r="U1004" s="87">
        <v>6</v>
      </c>
      <c r="V1004" s="87">
        <v>2</v>
      </c>
      <c r="W1004" s="87">
        <v>3</v>
      </c>
      <c r="X1004" s="87">
        <v>2</v>
      </c>
      <c r="Y1004" s="41"/>
      <c r="Z1004" s="165" t="str">
        <f>INDEX(Tableau2[TS],MATCH(Tableau3[[#This Row],[ID-CARTEVOIE]],Tableau2[ID-CARTEVOIE],0))</f>
        <v>ST</v>
      </c>
      <c r="AA1004" s="53" t="s">
        <v>213</v>
      </c>
      <c r="AB1004" s="223" t="str">
        <f>IFERROR(INDEX(Tableau5[Reserve],MATCH(Tableau3[[#This Row],[ID-SIG]],Tableau5[ID],0))&amp;"","")</f>
        <v/>
      </c>
      <c r="AC1004" s="21"/>
      <c r="AD1004" s="108" t="str">
        <f>INDEX(Tableau7[Repere],MATCH(Tableau3[[#This Row],[ID-API]],Tableau7[ID-API],0))&amp;""</f>
        <v>A6</v>
      </c>
      <c r="AE1004" s="108" t="str">
        <f>INDEX(Tableau1[Repere-Rack],MATCH(Tableau3[[#This Row],[ID-RACK]],Tableau1[ID-RACK],0))&amp;""</f>
        <v>R2</v>
      </c>
      <c r="AF1004" s="108" t="str">
        <f>INDEX(Tableau1[Repere-Slot],MATCH(Tableau3[[#This Row],[ID-SLOT]],Tableau1[ID-SLOT],0))&amp;""</f>
        <v>S3</v>
      </c>
      <c r="AG1004" s="108" t="str">
        <f>INDEX(Tableau2[Repere-Voie],MATCH(Tableau3[[#This Row],[ID-VOIE]],Tableau2[ID-Voie],0))&amp;""</f>
        <v>v2</v>
      </c>
      <c r="AH1004" s="72" t="str">
        <f>Tableau3[[#This Row],[ID-API]]&amp; "." &amp;Tableau3[[#This Row],[ID-RACK]]&amp; "." &amp;Tableau3[[#This Row],[ID-SLOT]]</f>
        <v>6.2.3</v>
      </c>
      <c r="AI1004" s="72" t="str">
        <f>INDEX(Tableau1[Ref-Carte],MATCH(Tableau3[[#This Row],[ID-RRS]],Tableau1[ID-RRS],0))</f>
        <v>SDO0802</v>
      </c>
      <c r="AJ1004" s="72" t="str">
        <f t="array" ref="AJ1004">IFERROR(INDEX(Tableau2[TS],MATCH(1,(Tableau2[Ref-Carte]=Tableau3[[#This Row],[Ref-Carte2]])*(Tableau2[ID-Voie]=Tableau3[[#This Row],[ID-VOIE]]),0)),"")</f>
        <v>ST</v>
      </c>
      <c r="AK1004" s="72" t="str">
        <f>IFERROR(INDEX(Tableau2[TS],SUMPRODUCT((Tableau2[Ref-Carte]=Tableau3[[#This Row],[Ref-Carte2]])*(Tableau2[ID-Voie]=Tableau3[[#This Row],[ID-VOIE]])*ROW(Tableau2[TS]))-ROW(Tableau2[#Headers])),"")</f>
        <v>ST</v>
      </c>
      <c r="AL1004" s="72" t="str">
        <f>Tableau3[[#This Row],[Ref-Carte2]]&amp;"/"&amp;Tableau3[[#This Row],[ID-VOIE]]</f>
        <v>SDO0802/2</v>
      </c>
      <c r="AM1004" s="73" t="str">
        <f>INDEX(Tableau2[Borne],MATCH(Tableau3[[#This Row],[ID-CARTEVOIE]],Tableau2[ID-CARTEVOIE],0))&amp;""</f>
        <v>2</v>
      </c>
      <c r="AN1004" s="74" t="str">
        <f>Tableau3[[#This Row],[ID-API]]&amp;Tableau3[[#This Row],[ID-RACK]]&amp;Tableau3[[#This Row],[ID-SLOT]]&amp;Tableau3[[#This Row],[BORNE]]</f>
        <v>6232</v>
      </c>
      <c r="AO1004" s="1"/>
    </row>
    <row r="1005" spans="1:41" ht="20.100000000000001" customHeight="1" thickTop="1" thickBot="1">
      <c r="A1005" s="68"/>
      <c r="B1005" s="69" t="str">
        <f>IFERROR(INDEX(Tableau4[Date],MATCH($A1005,Tableau4[EVO],0)),"")</f>
        <v/>
      </c>
      <c r="C1005" s="68" t="str">
        <f>IFERROR(INDEX(Tableau4[Designation],MATCH($A1005,Tableau4[EVO],0)),"")</f>
        <v/>
      </c>
      <c r="D1005" s="68"/>
      <c r="E1005" s="70">
        <v>71</v>
      </c>
      <c r="F1005" s="71">
        <v>64</v>
      </c>
      <c r="G1005" s="101" t="str">
        <f>INDEX(Tableau8[Att1],MATCH(Tableau3[[#This Row],[ID-INS]],Tableau8[ID],0))&amp;""</f>
        <v>V5</v>
      </c>
      <c r="H1005" s="101" t="str">
        <f>INDEX(Tableau8[Att2],MATCH(Tableau3[[#This Row],[ID-INS]],Tableau8[ID],0))&amp;""</f>
        <v>BH10</v>
      </c>
      <c r="I1005" s="101" t="str">
        <f>INDEX(Tableau8[Att3],MATCH(Tableau3[[#This Row],[ID-INS]],Tableau8[ID],0))&amp;""</f>
        <v>Barrière BH10</v>
      </c>
      <c r="J1005" s="101"/>
      <c r="K1005" s="167" t="str">
        <f>INDEX(Tableau8[Nom du modele],MATCH(Tableau3[[#This Row],[ID-INS]],Tableau8[ID],0))&amp;""</f>
        <v>BarriereLisse</v>
      </c>
      <c r="L1005" s="99" t="str">
        <f>INDEX(Tableau5[Att1],MATCH(Tableau3[[#This Row],[ID-SIG]],Tableau5[ID],0))&amp;""</f>
        <v>FerCmd</v>
      </c>
      <c r="M1005" s="99" t="str">
        <f>INDEX(Tableau5[Att2],MATCH(Tableau3[[#This Row],[ID-SIG]],Tableau5[ID],0))&amp;""</f>
        <v/>
      </c>
      <c r="N1005" s="99" t="str">
        <f>INDEX(Tableau5[Att3],MATCH(Tableau3[[#This Row],[ID-SIG]],Tableau5[ID],0))&amp;""</f>
        <v/>
      </c>
      <c r="O1005" s="99"/>
      <c r="P1005" s="99" t="str">
        <f>INDEX(Tableau5[Description],MATCH(Tableau3[[#This Row],[ID-SIG]],Tableau5[ID],0))</f>
        <v>Commande fermeture</v>
      </c>
      <c r="Q1005" s="99"/>
      <c r="R1005" s="103" t="str">
        <f>Tableau3[[#This Row],[Description]]</f>
        <v>Commande fermeture</v>
      </c>
      <c r="U1005" s="87">
        <v>6</v>
      </c>
      <c r="V1005" s="87">
        <v>2</v>
      </c>
      <c r="W1005" s="87">
        <v>3</v>
      </c>
      <c r="X1005" s="87">
        <v>3</v>
      </c>
      <c r="Y1005" s="41"/>
      <c r="Z1005" s="165" t="str">
        <f>INDEX(Tableau2[TS],MATCH(Tableau3[[#This Row],[ID-CARTEVOIE]],Tableau2[ID-CARTEVOIE],0))</f>
        <v>ST</v>
      </c>
      <c r="AA1005" s="53" t="s">
        <v>213</v>
      </c>
      <c r="AB1005" s="223" t="str">
        <f>IFERROR(INDEX(Tableau5[Reserve],MATCH(Tableau3[[#This Row],[ID-SIG]],Tableau5[ID],0))&amp;"","")</f>
        <v/>
      </c>
      <c r="AC1005" s="21"/>
      <c r="AD1005" s="108" t="str">
        <f>INDEX(Tableau7[Repere],MATCH(Tableau3[[#This Row],[ID-API]],Tableau7[ID-API],0))&amp;""</f>
        <v>A6</v>
      </c>
      <c r="AE1005" s="108" t="str">
        <f>INDEX(Tableau1[Repere-Rack],MATCH(Tableau3[[#This Row],[ID-RACK]],Tableau1[ID-RACK],0))&amp;""</f>
        <v>R2</v>
      </c>
      <c r="AF1005" s="108" t="str">
        <f>INDEX(Tableau1[Repere-Slot],MATCH(Tableau3[[#This Row],[ID-SLOT]],Tableau1[ID-SLOT],0))&amp;""</f>
        <v>S3</v>
      </c>
      <c r="AG1005" s="108" t="str">
        <f>INDEX(Tableau2[Repere-Voie],MATCH(Tableau3[[#This Row],[ID-VOIE]],Tableau2[ID-Voie],0))&amp;""</f>
        <v>v3</v>
      </c>
      <c r="AH1005" s="72" t="str">
        <f>Tableau3[[#This Row],[ID-API]]&amp; "." &amp;Tableau3[[#This Row],[ID-RACK]]&amp; "." &amp;Tableau3[[#This Row],[ID-SLOT]]</f>
        <v>6.2.3</v>
      </c>
      <c r="AI1005" s="72" t="str">
        <f>INDEX(Tableau1[Ref-Carte],MATCH(Tableau3[[#This Row],[ID-RRS]],Tableau1[ID-RRS],0))</f>
        <v>SDO0802</v>
      </c>
      <c r="AJ1005" s="72" t="str">
        <f t="array" ref="AJ1005">IFERROR(INDEX(Tableau2[TS],MATCH(1,(Tableau2[Ref-Carte]=Tableau3[[#This Row],[Ref-Carte2]])*(Tableau2[ID-Voie]=Tableau3[[#This Row],[ID-VOIE]]),0)),"")</f>
        <v>ST</v>
      </c>
      <c r="AK1005" s="72" t="str">
        <f>IFERROR(INDEX(Tableau2[TS],SUMPRODUCT((Tableau2[Ref-Carte]=Tableau3[[#This Row],[Ref-Carte2]])*(Tableau2[ID-Voie]=Tableau3[[#This Row],[ID-VOIE]])*ROW(Tableau2[TS]))-ROW(Tableau2[#Headers])),"")</f>
        <v>ST</v>
      </c>
      <c r="AL1005" s="72" t="str">
        <f>Tableau3[[#This Row],[Ref-Carte2]]&amp;"/"&amp;Tableau3[[#This Row],[ID-VOIE]]</f>
        <v>SDO0802/3</v>
      </c>
      <c r="AM1005" s="73" t="str">
        <f>INDEX(Tableau2[Borne],MATCH(Tableau3[[#This Row],[ID-CARTEVOIE]],Tableau2[ID-CARTEVOIE],0))&amp;""</f>
        <v>3</v>
      </c>
      <c r="AN1005" s="74" t="str">
        <f>Tableau3[[#This Row],[ID-API]]&amp;Tableau3[[#This Row],[ID-RACK]]&amp;Tableau3[[#This Row],[ID-SLOT]]&amp;Tableau3[[#This Row],[BORNE]]</f>
        <v>6233</v>
      </c>
      <c r="AO1005" s="1"/>
    </row>
    <row r="1006" spans="1:41" ht="20.100000000000001" customHeight="1" thickTop="1" thickBot="1">
      <c r="A1006" s="68"/>
      <c r="B1006" s="69" t="str">
        <f>IFERROR(INDEX(Tableau4[Date],MATCH($A1006,Tableau4[EVO],0)),"")</f>
        <v/>
      </c>
      <c r="C1006" s="68" t="str">
        <f>IFERROR(INDEX(Tableau4[Designation],MATCH($A1006,Tableau4[EVO],0)),"")</f>
        <v/>
      </c>
      <c r="D1006" s="68"/>
      <c r="E1006" s="70">
        <v>71</v>
      </c>
      <c r="F1006" s="71">
        <v>65</v>
      </c>
      <c r="G1006" s="101" t="str">
        <f>INDEX(Tableau8[Att1],MATCH(Tableau3[[#This Row],[ID-INS]],Tableau8[ID],0))&amp;""</f>
        <v>V5</v>
      </c>
      <c r="H1006" s="101" t="str">
        <f>INDEX(Tableau8[Att2],MATCH(Tableau3[[#This Row],[ID-INS]],Tableau8[ID],0))&amp;""</f>
        <v>BH10</v>
      </c>
      <c r="I1006" s="101" t="str">
        <f>INDEX(Tableau8[Att3],MATCH(Tableau3[[#This Row],[ID-INS]],Tableau8[ID],0))&amp;""</f>
        <v>Barrière BH10</v>
      </c>
      <c r="J1006" s="101"/>
      <c r="K1006" s="167" t="str">
        <f>INDEX(Tableau8[Nom du modele],MATCH(Tableau3[[#This Row],[ID-INS]],Tableau8[ID],0))&amp;""</f>
        <v>BarriereLisse</v>
      </c>
      <c r="L1006" s="99" t="str">
        <f>INDEX(Tableau5[Att1],MATCH(Tableau3[[#This Row],[ID-SIG]],Tableau5[ID],0))&amp;""</f>
        <v>Réserve</v>
      </c>
      <c r="M1006" s="99" t="str">
        <f>INDEX(Tableau5[Att2],MATCH(Tableau3[[#This Row],[ID-SIG]],Tableau5[ID],0))&amp;""</f>
        <v/>
      </c>
      <c r="N1006" s="99" t="str">
        <f>INDEX(Tableau5[Att3],MATCH(Tableau3[[#This Row],[ID-SIG]],Tableau5[ID],0))&amp;""</f>
        <v/>
      </c>
      <c r="O1006" s="99"/>
      <c r="P1006" s="99" t="str">
        <f>INDEX(Tableau5[Description],MATCH(Tableau3[[#This Row],[ID-SIG]],Tableau5[ID],0))</f>
        <v>Réserve</v>
      </c>
      <c r="Q1006" s="99"/>
      <c r="R1006" s="103" t="str">
        <f>Tableau3[[#This Row],[Description]]</f>
        <v>Réserve</v>
      </c>
      <c r="U1006" s="87">
        <v>6</v>
      </c>
      <c r="V1006" s="87">
        <v>2</v>
      </c>
      <c r="W1006" s="87">
        <v>3</v>
      </c>
      <c r="X1006" s="87">
        <v>4</v>
      </c>
      <c r="Y1006" s="41"/>
      <c r="Z1006" s="165" t="str">
        <f>INDEX(Tableau2[TS],MATCH(Tableau3[[#This Row],[ID-CARTEVOIE]],Tableau2[ID-CARTEVOIE],0))</f>
        <v>ST</v>
      </c>
      <c r="AA1006" s="53" t="s">
        <v>213</v>
      </c>
      <c r="AB1006" s="223" t="str">
        <f>IFERROR(INDEX(Tableau5[Reserve],MATCH(Tableau3[[#This Row],[ID-SIG]],Tableau5[ID],0))&amp;"","")</f>
        <v/>
      </c>
      <c r="AC1006" s="21"/>
      <c r="AD1006" s="108" t="str">
        <f>INDEX(Tableau7[Repere],MATCH(Tableau3[[#This Row],[ID-API]],Tableau7[ID-API],0))&amp;""</f>
        <v>A6</v>
      </c>
      <c r="AE1006" s="108" t="str">
        <f>INDEX(Tableau1[Repere-Rack],MATCH(Tableau3[[#This Row],[ID-RACK]],Tableau1[ID-RACK],0))&amp;""</f>
        <v>R2</v>
      </c>
      <c r="AF1006" s="108" t="str">
        <f>INDEX(Tableau1[Repere-Slot],MATCH(Tableau3[[#This Row],[ID-SLOT]],Tableau1[ID-SLOT],0))&amp;""</f>
        <v>S3</v>
      </c>
      <c r="AG1006" s="108" t="str">
        <f>INDEX(Tableau2[Repere-Voie],MATCH(Tableau3[[#This Row],[ID-VOIE]],Tableau2[ID-Voie],0))&amp;""</f>
        <v>v4</v>
      </c>
      <c r="AH1006" s="72" t="str">
        <f>Tableau3[[#This Row],[ID-API]]&amp; "." &amp;Tableau3[[#This Row],[ID-RACK]]&amp; "." &amp;Tableau3[[#This Row],[ID-SLOT]]</f>
        <v>6.2.3</v>
      </c>
      <c r="AI1006" s="72" t="str">
        <f>INDEX(Tableau1[Ref-Carte],MATCH(Tableau3[[#This Row],[ID-RRS]],Tableau1[ID-RRS],0))</f>
        <v>SDO0802</v>
      </c>
      <c r="AJ1006" s="72" t="str">
        <f t="array" ref="AJ1006">IFERROR(INDEX(Tableau2[TS],MATCH(1,(Tableau2[Ref-Carte]=Tableau3[[#This Row],[Ref-Carte2]])*(Tableau2[ID-Voie]=Tableau3[[#This Row],[ID-VOIE]]),0)),"")</f>
        <v>ST</v>
      </c>
      <c r="AK1006" s="72" t="str">
        <f>IFERROR(INDEX(Tableau2[TS],SUMPRODUCT((Tableau2[Ref-Carte]=Tableau3[[#This Row],[Ref-Carte2]])*(Tableau2[ID-Voie]=Tableau3[[#This Row],[ID-VOIE]])*ROW(Tableau2[TS]))-ROW(Tableau2[#Headers])),"")</f>
        <v>ST</v>
      </c>
      <c r="AL1006" s="72" t="str">
        <f>Tableau3[[#This Row],[Ref-Carte2]]&amp;"/"&amp;Tableau3[[#This Row],[ID-VOIE]]</f>
        <v>SDO0802/4</v>
      </c>
      <c r="AM1006" s="73" t="str">
        <f>INDEX(Tableau2[Borne],MATCH(Tableau3[[#This Row],[ID-CARTEVOIE]],Tableau2[ID-CARTEVOIE],0))&amp;""</f>
        <v>4</v>
      </c>
      <c r="AN1006" s="74" t="str">
        <f>Tableau3[[#This Row],[ID-API]]&amp;Tableau3[[#This Row],[ID-RACK]]&amp;Tableau3[[#This Row],[ID-SLOT]]&amp;Tableau3[[#This Row],[BORNE]]</f>
        <v>6234</v>
      </c>
      <c r="AO1006" s="1"/>
    </row>
    <row r="1007" spans="1:41" ht="20.100000000000001" customHeight="1" thickTop="1" thickBot="1">
      <c r="A1007" s="68"/>
      <c r="B1007" s="69" t="str">
        <f>IFERROR(INDEX(Tableau4[Date],MATCH($A1007,Tableau4[EVO],0)),"")</f>
        <v/>
      </c>
      <c r="C1007" s="68" t="str">
        <f>IFERROR(INDEX(Tableau4[Designation],MATCH($A1007,Tableau4[EVO],0)),"")</f>
        <v/>
      </c>
      <c r="D1007" s="68"/>
      <c r="E1007" s="70">
        <v>76</v>
      </c>
      <c r="F1007" s="71">
        <v>63</v>
      </c>
      <c r="G1007" s="101" t="str">
        <f>INDEX(Tableau8[Att1],MATCH(Tableau3[[#This Row],[ID-INS]],Tableau8[ID],0))&amp;""</f>
        <v>V5</v>
      </c>
      <c r="H1007" s="101" t="str">
        <f>INDEX(Tableau8[Att2],MATCH(Tableau3[[#This Row],[ID-INS]],Tableau8[ID],0))&amp;""</f>
        <v>BH5</v>
      </c>
      <c r="I1007" s="101" t="str">
        <f>INDEX(Tableau8[Att3],MATCH(Tableau3[[#This Row],[ID-INS]],Tableau8[ID],0))&amp;""</f>
        <v>Barrière BH5</v>
      </c>
      <c r="J1007" s="101"/>
      <c r="K1007" s="167" t="str">
        <f>INDEX(Tableau8[Nom du modele],MATCH(Tableau3[[#This Row],[ID-INS]],Tableau8[ID],0))&amp;""</f>
        <v>BarriereLisse</v>
      </c>
      <c r="L1007" s="99" t="str">
        <f>INDEX(Tableau5[Att1],MATCH(Tableau3[[#This Row],[ID-SIG]],Tableau5[ID],0))&amp;""</f>
        <v>OuvCmd</v>
      </c>
      <c r="M1007" s="99" t="str">
        <f>INDEX(Tableau5[Att2],MATCH(Tableau3[[#This Row],[ID-SIG]],Tableau5[ID],0))&amp;""</f>
        <v/>
      </c>
      <c r="N1007" s="99" t="str">
        <f>INDEX(Tableau5[Att3],MATCH(Tableau3[[#This Row],[ID-SIG]],Tableau5[ID],0))&amp;""</f>
        <v/>
      </c>
      <c r="O1007" s="99"/>
      <c r="P1007" s="99" t="str">
        <f>INDEX(Tableau5[Description],MATCH(Tableau3[[#This Row],[ID-SIG]],Tableau5[ID],0))</f>
        <v>Commande ouverture</v>
      </c>
      <c r="Q1007" s="99"/>
      <c r="R1007" s="103" t="str">
        <f>Tableau3[[#This Row],[Description]]</f>
        <v>Commande ouverture</v>
      </c>
      <c r="U1007" s="87">
        <v>6</v>
      </c>
      <c r="V1007" s="87">
        <v>2</v>
      </c>
      <c r="W1007" s="87">
        <v>3</v>
      </c>
      <c r="X1007" s="87">
        <v>5</v>
      </c>
      <c r="Y1007" s="41"/>
      <c r="Z1007" s="165" t="str">
        <f>INDEX(Tableau2[TS],MATCH(Tableau3[[#This Row],[ID-CARTEVOIE]],Tableau2[ID-CARTEVOIE],0))</f>
        <v>ST</v>
      </c>
      <c r="AA1007" s="53" t="s">
        <v>213</v>
      </c>
      <c r="AB1007" s="223" t="str">
        <f>IFERROR(INDEX(Tableau5[Reserve],MATCH(Tableau3[[#This Row],[ID-SIG]],Tableau5[ID],0))&amp;"","")</f>
        <v/>
      </c>
      <c r="AC1007" s="21"/>
      <c r="AD1007" s="108" t="str">
        <f>INDEX(Tableau7[Repere],MATCH(Tableau3[[#This Row],[ID-API]],Tableau7[ID-API],0))&amp;""</f>
        <v>A6</v>
      </c>
      <c r="AE1007" s="108" t="str">
        <f>INDEX(Tableau1[Repere-Rack],MATCH(Tableau3[[#This Row],[ID-RACK]],Tableau1[ID-RACK],0))&amp;""</f>
        <v>R2</v>
      </c>
      <c r="AF1007" s="108" t="str">
        <f>INDEX(Tableau1[Repere-Slot],MATCH(Tableau3[[#This Row],[ID-SLOT]],Tableau1[ID-SLOT],0))&amp;""</f>
        <v>S3</v>
      </c>
      <c r="AG1007" s="108" t="str">
        <f>INDEX(Tableau2[Repere-Voie],MATCH(Tableau3[[#This Row],[ID-VOIE]],Tableau2[ID-Voie],0))&amp;""</f>
        <v>v5</v>
      </c>
      <c r="AH1007" s="72" t="str">
        <f>Tableau3[[#This Row],[ID-API]]&amp; "." &amp;Tableau3[[#This Row],[ID-RACK]]&amp; "." &amp;Tableau3[[#This Row],[ID-SLOT]]</f>
        <v>6.2.3</v>
      </c>
      <c r="AI1007" s="72" t="str">
        <f>INDEX(Tableau1[Ref-Carte],MATCH(Tableau3[[#This Row],[ID-RRS]],Tableau1[ID-RRS],0))</f>
        <v>SDO0802</v>
      </c>
      <c r="AJ1007" s="72" t="str">
        <f t="array" ref="AJ1007">IFERROR(INDEX(Tableau2[TS],MATCH(1,(Tableau2[Ref-Carte]=Tableau3[[#This Row],[Ref-Carte2]])*(Tableau2[ID-Voie]=Tableau3[[#This Row],[ID-VOIE]]),0)),"")</f>
        <v>ST</v>
      </c>
      <c r="AK1007" s="72" t="str">
        <f>IFERROR(INDEX(Tableau2[TS],SUMPRODUCT((Tableau2[Ref-Carte]=Tableau3[[#This Row],[Ref-Carte2]])*(Tableau2[ID-Voie]=Tableau3[[#This Row],[ID-VOIE]])*ROW(Tableau2[TS]))-ROW(Tableau2[#Headers])),"")</f>
        <v>ST</v>
      </c>
      <c r="AL1007" s="72" t="str">
        <f>Tableau3[[#This Row],[Ref-Carte2]]&amp;"/"&amp;Tableau3[[#This Row],[ID-VOIE]]</f>
        <v>SDO0802/5</v>
      </c>
      <c r="AM1007" s="73" t="str">
        <f>INDEX(Tableau2[Borne],MATCH(Tableau3[[#This Row],[ID-CARTEVOIE]],Tableau2[ID-CARTEVOIE],0))&amp;""</f>
        <v>5</v>
      </c>
      <c r="AN1007" s="74" t="str">
        <f>Tableau3[[#This Row],[ID-API]]&amp;Tableau3[[#This Row],[ID-RACK]]&amp;Tableau3[[#This Row],[ID-SLOT]]&amp;Tableau3[[#This Row],[BORNE]]</f>
        <v>6235</v>
      </c>
      <c r="AO1007" s="1"/>
    </row>
    <row r="1008" spans="1:41" ht="20.100000000000001" customHeight="1" thickTop="1" thickBot="1">
      <c r="A1008" s="68"/>
      <c r="B1008" s="69" t="str">
        <f>IFERROR(INDEX(Tableau4[Date],MATCH($A1008,Tableau4[EVO],0)),"")</f>
        <v/>
      </c>
      <c r="C1008" s="68" t="str">
        <f>IFERROR(INDEX(Tableau4[Designation],MATCH($A1008,Tableau4[EVO],0)),"")</f>
        <v/>
      </c>
      <c r="D1008" s="68"/>
      <c r="E1008" s="70">
        <v>76</v>
      </c>
      <c r="F1008" s="71">
        <v>64</v>
      </c>
      <c r="G1008" s="101" t="str">
        <f>INDEX(Tableau8[Att1],MATCH(Tableau3[[#This Row],[ID-INS]],Tableau8[ID],0))&amp;""</f>
        <v>V5</v>
      </c>
      <c r="H1008" s="101" t="str">
        <f>INDEX(Tableau8[Att2],MATCH(Tableau3[[#This Row],[ID-INS]],Tableau8[ID],0))&amp;""</f>
        <v>BH5</v>
      </c>
      <c r="I1008" s="101" t="str">
        <f>INDEX(Tableau8[Att3],MATCH(Tableau3[[#This Row],[ID-INS]],Tableau8[ID],0))&amp;""</f>
        <v>Barrière BH5</v>
      </c>
      <c r="J1008" s="101"/>
      <c r="K1008" s="167" t="str">
        <f>INDEX(Tableau8[Nom du modele],MATCH(Tableau3[[#This Row],[ID-INS]],Tableau8[ID],0))&amp;""</f>
        <v>BarriereLisse</v>
      </c>
      <c r="L1008" s="99" t="str">
        <f>INDEX(Tableau5[Att1],MATCH(Tableau3[[#This Row],[ID-SIG]],Tableau5[ID],0))&amp;""</f>
        <v>FerCmd</v>
      </c>
      <c r="M1008" s="99" t="str">
        <f>INDEX(Tableau5[Att2],MATCH(Tableau3[[#This Row],[ID-SIG]],Tableau5[ID],0))&amp;""</f>
        <v/>
      </c>
      <c r="N1008" s="99" t="str">
        <f>INDEX(Tableau5[Att3],MATCH(Tableau3[[#This Row],[ID-SIG]],Tableau5[ID],0))&amp;""</f>
        <v/>
      </c>
      <c r="O1008" s="99"/>
      <c r="P1008" s="99" t="str">
        <f>INDEX(Tableau5[Description],MATCH(Tableau3[[#This Row],[ID-SIG]],Tableau5[ID],0))</f>
        <v>Commande fermeture</v>
      </c>
      <c r="Q1008" s="99"/>
      <c r="R1008" s="103" t="str">
        <f>Tableau3[[#This Row],[Description]]</f>
        <v>Commande fermeture</v>
      </c>
      <c r="U1008" s="87">
        <v>6</v>
      </c>
      <c r="V1008" s="87">
        <v>2</v>
      </c>
      <c r="W1008" s="87">
        <v>3</v>
      </c>
      <c r="X1008" s="87">
        <v>6</v>
      </c>
      <c r="Y1008" s="41"/>
      <c r="Z1008" s="165" t="str">
        <f>INDEX(Tableau2[TS],MATCH(Tableau3[[#This Row],[ID-CARTEVOIE]],Tableau2[ID-CARTEVOIE],0))</f>
        <v>ST</v>
      </c>
      <c r="AA1008" s="53" t="s">
        <v>213</v>
      </c>
      <c r="AB1008" s="223" t="str">
        <f>IFERROR(INDEX(Tableau5[Reserve],MATCH(Tableau3[[#This Row],[ID-SIG]],Tableau5[ID],0))&amp;"","")</f>
        <v/>
      </c>
      <c r="AC1008" s="21"/>
      <c r="AD1008" s="108" t="str">
        <f>INDEX(Tableau7[Repere],MATCH(Tableau3[[#This Row],[ID-API]],Tableau7[ID-API],0))&amp;""</f>
        <v>A6</v>
      </c>
      <c r="AE1008" s="108" t="str">
        <f>INDEX(Tableau1[Repere-Rack],MATCH(Tableau3[[#This Row],[ID-RACK]],Tableau1[ID-RACK],0))&amp;""</f>
        <v>R2</v>
      </c>
      <c r="AF1008" s="108" t="str">
        <f>INDEX(Tableau1[Repere-Slot],MATCH(Tableau3[[#This Row],[ID-SLOT]],Tableau1[ID-SLOT],0))&amp;""</f>
        <v>S3</v>
      </c>
      <c r="AG1008" s="108" t="str">
        <f>INDEX(Tableau2[Repere-Voie],MATCH(Tableau3[[#This Row],[ID-VOIE]],Tableau2[ID-Voie],0))&amp;""</f>
        <v>v6</v>
      </c>
      <c r="AH1008" s="72" t="str">
        <f>Tableau3[[#This Row],[ID-API]]&amp; "." &amp;Tableau3[[#This Row],[ID-RACK]]&amp; "." &amp;Tableau3[[#This Row],[ID-SLOT]]</f>
        <v>6.2.3</v>
      </c>
      <c r="AI1008" s="72" t="str">
        <f>INDEX(Tableau1[Ref-Carte],MATCH(Tableau3[[#This Row],[ID-RRS]],Tableau1[ID-RRS],0))</f>
        <v>SDO0802</v>
      </c>
      <c r="AJ1008" s="72" t="str">
        <f t="array" ref="AJ1008">IFERROR(INDEX(Tableau2[TS],MATCH(1,(Tableau2[Ref-Carte]=Tableau3[[#This Row],[Ref-Carte2]])*(Tableau2[ID-Voie]=Tableau3[[#This Row],[ID-VOIE]]),0)),"")</f>
        <v>ST</v>
      </c>
      <c r="AK1008" s="72" t="str">
        <f>IFERROR(INDEX(Tableau2[TS],SUMPRODUCT((Tableau2[Ref-Carte]=Tableau3[[#This Row],[Ref-Carte2]])*(Tableau2[ID-Voie]=Tableau3[[#This Row],[ID-VOIE]])*ROW(Tableau2[TS]))-ROW(Tableau2[#Headers])),"")</f>
        <v>ST</v>
      </c>
      <c r="AL1008" s="72" t="str">
        <f>Tableau3[[#This Row],[Ref-Carte2]]&amp;"/"&amp;Tableau3[[#This Row],[ID-VOIE]]</f>
        <v>SDO0802/6</v>
      </c>
      <c r="AM1008" s="73" t="str">
        <f>INDEX(Tableau2[Borne],MATCH(Tableau3[[#This Row],[ID-CARTEVOIE]],Tableau2[ID-CARTEVOIE],0))&amp;""</f>
        <v>6</v>
      </c>
      <c r="AN1008" s="74" t="str">
        <f>Tableau3[[#This Row],[ID-API]]&amp;Tableau3[[#This Row],[ID-RACK]]&amp;Tableau3[[#This Row],[ID-SLOT]]&amp;Tableau3[[#This Row],[BORNE]]</f>
        <v>6236</v>
      </c>
      <c r="AO1008" s="1"/>
    </row>
    <row r="1009" spans="1:41" ht="20.100000000000001" customHeight="1" thickTop="1" thickBot="1">
      <c r="A1009" s="68"/>
      <c r="B1009" s="69" t="str">
        <f>IFERROR(INDEX(Tableau4[Date],MATCH($A1009,Tableau4[EVO],0)),"")</f>
        <v/>
      </c>
      <c r="C1009" s="68" t="str">
        <f>IFERROR(INDEX(Tableau4[Designation],MATCH($A1009,Tableau4[EVO],0)),"")</f>
        <v/>
      </c>
      <c r="D1009" s="68"/>
      <c r="E1009" s="70">
        <v>76</v>
      </c>
      <c r="F1009" s="71">
        <v>65</v>
      </c>
      <c r="G1009" s="101" t="str">
        <f>INDEX(Tableau8[Att1],MATCH(Tableau3[[#This Row],[ID-INS]],Tableau8[ID],0))&amp;""</f>
        <v>V5</v>
      </c>
      <c r="H1009" s="101" t="str">
        <f>INDEX(Tableau8[Att2],MATCH(Tableau3[[#This Row],[ID-INS]],Tableau8[ID],0))&amp;""</f>
        <v>BH5</v>
      </c>
      <c r="I1009" s="101" t="str">
        <f>INDEX(Tableau8[Att3],MATCH(Tableau3[[#This Row],[ID-INS]],Tableau8[ID],0))&amp;""</f>
        <v>Barrière BH5</v>
      </c>
      <c r="J1009" s="101"/>
      <c r="K1009" s="167" t="str">
        <f>INDEX(Tableau8[Nom du modele],MATCH(Tableau3[[#This Row],[ID-INS]],Tableau8[ID],0))&amp;""</f>
        <v>BarriereLisse</v>
      </c>
      <c r="L1009" s="99" t="str">
        <f>INDEX(Tableau5[Att1],MATCH(Tableau3[[#This Row],[ID-SIG]],Tableau5[ID],0))&amp;""</f>
        <v>Réserve</v>
      </c>
      <c r="M1009" s="99" t="str">
        <f>INDEX(Tableau5[Att2],MATCH(Tableau3[[#This Row],[ID-SIG]],Tableau5[ID],0))&amp;""</f>
        <v/>
      </c>
      <c r="N1009" s="99" t="str">
        <f>INDEX(Tableau5[Att3],MATCH(Tableau3[[#This Row],[ID-SIG]],Tableau5[ID],0))&amp;""</f>
        <v/>
      </c>
      <c r="O1009" s="99"/>
      <c r="P1009" s="99" t="str">
        <f>INDEX(Tableau5[Description],MATCH(Tableau3[[#This Row],[ID-SIG]],Tableau5[ID],0))</f>
        <v>Réserve</v>
      </c>
      <c r="Q1009" s="99"/>
      <c r="R1009" s="103" t="str">
        <f>Tableau3[[#This Row],[Description]]</f>
        <v>Réserve</v>
      </c>
      <c r="U1009" s="87">
        <v>6</v>
      </c>
      <c r="V1009" s="87">
        <v>2</v>
      </c>
      <c r="W1009" s="87">
        <v>3</v>
      </c>
      <c r="X1009" s="87">
        <v>7</v>
      </c>
      <c r="Y1009" s="41"/>
      <c r="Z1009" s="165" t="str">
        <f>INDEX(Tableau2[TS],MATCH(Tableau3[[#This Row],[ID-CARTEVOIE]],Tableau2[ID-CARTEVOIE],0))</f>
        <v>ST</v>
      </c>
      <c r="AA1009" s="53" t="s">
        <v>213</v>
      </c>
      <c r="AB1009" s="223" t="str">
        <f>IFERROR(INDEX(Tableau5[Reserve],MATCH(Tableau3[[#This Row],[ID-SIG]],Tableau5[ID],0))&amp;"","")</f>
        <v/>
      </c>
      <c r="AC1009" s="21"/>
      <c r="AD1009" s="108" t="str">
        <f>INDEX(Tableau7[Repere],MATCH(Tableau3[[#This Row],[ID-API]],Tableau7[ID-API],0))&amp;""</f>
        <v>A6</v>
      </c>
      <c r="AE1009" s="108" t="str">
        <f>INDEX(Tableau1[Repere-Rack],MATCH(Tableau3[[#This Row],[ID-RACK]],Tableau1[ID-RACK],0))&amp;""</f>
        <v>R2</v>
      </c>
      <c r="AF1009" s="108" t="str">
        <f>INDEX(Tableau1[Repere-Slot],MATCH(Tableau3[[#This Row],[ID-SLOT]],Tableau1[ID-SLOT],0))&amp;""</f>
        <v>S3</v>
      </c>
      <c r="AG1009" s="108" t="str">
        <f>INDEX(Tableau2[Repere-Voie],MATCH(Tableau3[[#This Row],[ID-VOIE]],Tableau2[ID-Voie],0))&amp;""</f>
        <v>v7</v>
      </c>
      <c r="AH1009" s="72" t="str">
        <f>Tableau3[[#This Row],[ID-API]]&amp; "." &amp;Tableau3[[#This Row],[ID-RACK]]&amp; "." &amp;Tableau3[[#This Row],[ID-SLOT]]</f>
        <v>6.2.3</v>
      </c>
      <c r="AI1009" s="72" t="str">
        <f>INDEX(Tableau1[Ref-Carte],MATCH(Tableau3[[#This Row],[ID-RRS]],Tableau1[ID-RRS],0))</f>
        <v>SDO0802</v>
      </c>
      <c r="AJ1009" s="72" t="str">
        <f t="array" ref="AJ1009">IFERROR(INDEX(Tableau2[TS],MATCH(1,(Tableau2[Ref-Carte]=Tableau3[[#This Row],[Ref-Carte2]])*(Tableau2[ID-Voie]=Tableau3[[#This Row],[ID-VOIE]]),0)),"")</f>
        <v>ST</v>
      </c>
      <c r="AK1009" s="72" t="str">
        <f>IFERROR(INDEX(Tableau2[TS],SUMPRODUCT((Tableau2[Ref-Carte]=Tableau3[[#This Row],[Ref-Carte2]])*(Tableau2[ID-Voie]=Tableau3[[#This Row],[ID-VOIE]])*ROW(Tableau2[TS]))-ROW(Tableau2[#Headers])),"")</f>
        <v>ST</v>
      </c>
      <c r="AL1009" s="72" t="str">
        <f>Tableau3[[#This Row],[Ref-Carte2]]&amp;"/"&amp;Tableau3[[#This Row],[ID-VOIE]]</f>
        <v>SDO0802/7</v>
      </c>
      <c r="AM1009" s="73" t="str">
        <f>INDEX(Tableau2[Borne],MATCH(Tableau3[[#This Row],[ID-CARTEVOIE]],Tableau2[ID-CARTEVOIE],0))&amp;""</f>
        <v>7</v>
      </c>
      <c r="AN1009" s="74" t="str">
        <f>Tableau3[[#This Row],[ID-API]]&amp;Tableau3[[#This Row],[ID-RACK]]&amp;Tableau3[[#This Row],[ID-SLOT]]&amp;Tableau3[[#This Row],[BORNE]]</f>
        <v>6237</v>
      </c>
      <c r="AO1009" s="1"/>
    </row>
    <row r="1010" spans="1:41" ht="20.100000000000001" customHeight="1" thickTop="1" thickBot="1">
      <c r="A1010" s="68"/>
      <c r="B1010" s="69" t="str">
        <f>IFERROR(INDEX(Tableau4[Date],MATCH($A1010,Tableau4[EVO],0)),"")</f>
        <v/>
      </c>
      <c r="C1010" s="68" t="str">
        <f>IFERROR(INDEX(Tableau4[Designation],MATCH($A1010,Tableau4[EVO],0)),"")</f>
        <v/>
      </c>
      <c r="D1010" s="68"/>
      <c r="E1010" s="70">
        <v>93</v>
      </c>
      <c r="F1010" s="71">
        <v>317</v>
      </c>
      <c r="G1010" s="101" t="str">
        <f>INDEX(Tableau8[Att1],MATCH(Tableau3[[#This Row],[ID-INS]],Tableau8[ID],0))&amp;""</f>
        <v>V5</v>
      </c>
      <c r="H1010" s="101" t="str">
        <f>INDEX(Tableau8[Att2],MATCH(Tableau3[[#This Row],[ID-INS]],Tableau8[ID],0))&amp;""</f>
        <v>F13</v>
      </c>
      <c r="I1010" s="101" t="str">
        <f>INDEX(Tableau8[Att3],MATCH(Tableau3[[#This Row],[ID-INS]],Tableau8[ID],0))&amp;""</f>
        <v>Feu F13</v>
      </c>
      <c r="J1010" s="101"/>
      <c r="K1010" s="167" t="str">
        <f>INDEX(Tableau8[Nom du modele],MATCH(Tableau3[[#This Row],[ID-INS]],Tableau8[ID],0))&amp;""</f>
        <v>FeuContrAleaVLPL1</v>
      </c>
      <c r="L1010" s="99" t="str">
        <f>INDEX(Tableau5[Att1],MATCH(Tableau3[[#This Row],[ID-SIG]],Tableau5[ID],0))&amp;""</f>
        <v>FeuB_Cmd</v>
      </c>
      <c r="M1010" s="99" t="str">
        <f>INDEX(Tableau5[Att2],MATCH(Tableau3[[#This Row],[ID-SIG]],Tableau5[ID],0))&amp;""</f>
        <v/>
      </c>
      <c r="N1010" s="99" t="str">
        <f>INDEX(Tableau5[Att3],MATCH(Tableau3[[#This Row],[ID-SIG]],Tableau5[ID],0))&amp;""</f>
        <v/>
      </c>
      <c r="O1010" s="99"/>
      <c r="P1010" s="99" t="str">
        <f>INDEX(Tableau5[Description],MATCH(Tableau3[[#This Row],[ID-SIG]],Tableau5[ID],0))</f>
        <v>Commande Feu Blanc</v>
      </c>
      <c r="Q1010" s="99"/>
      <c r="R1010" s="103" t="str">
        <f>Tableau3[[#This Row],[Description]]</f>
        <v>Commande Feu Blanc</v>
      </c>
      <c r="U1010" s="87">
        <v>6</v>
      </c>
      <c r="V1010" s="87">
        <v>2</v>
      </c>
      <c r="W1010" s="87">
        <v>4</v>
      </c>
      <c r="X1010" s="87">
        <v>0</v>
      </c>
      <c r="Y1010" s="41"/>
      <c r="Z1010" s="165" t="str">
        <f>INDEX(Tableau2[TS],MATCH(Tableau3[[#This Row],[ID-CARTEVOIE]],Tableau2[ID-CARTEVOIE],0))</f>
        <v>ST</v>
      </c>
      <c r="AA1010" s="53" t="s">
        <v>213</v>
      </c>
      <c r="AB1010" s="223" t="str">
        <f>IFERROR(INDEX(Tableau5[Reserve],MATCH(Tableau3[[#This Row],[ID-SIG]],Tableau5[ID],0))&amp;"","")</f>
        <v/>
      </c>
      <c r="AC1010" s="21"/>
      <c r="AD1010" s="108" t="str">
        <f>INDEX(Tableau7[Repere],MATCH(Tableau3[[#This Row],[ID-API]],Tableau7[ID-API],0))&amp;""</f>
        <v>A6</v>
      </c>
      <c r="AE1010" s="108" t="str">
        <f>INDEX(Tableau1[Repere-Rack],MATCH(Tableau3[[#This Row],[ID-RACK]],Tableau1[ID-RACK],0))&amp;""</f>
        <v>R2</v>
      </c>
      <c r="AF1010" s="108" t="str">
        <f>INDEX(Tableau1[Repere-Slot],MATCH(Tableau3[[#This Row],[ID-SLOT]],Tableau1[ID-SLOT],0))&amp;""</f>
        <v>S4</v>
      </c>
      <c r="AG1010" s="108" t="str">
        <f>INDEX(Tableau2[Repere-Voie],MATCH(Tableau3[[#This Row],[ID-VOIE]],Tableau2[ID-Voie],0))&amp;""</f>
        <v>v0</v>
      </c>
      <c r="AH1010" s="72" t="str">
        <f>Tableau3[[#This Row],[ID-API]]&amp; "." &amp;Tableau3[[#This Row],[ID-RACK]]&amp; "." &amp;Tableau3[[#This Row],[ID-SLOT]]</f>
        <v>6.2.4</v>
      </c>
      <c r="AI1010" s="72" t="str">
        <f>INDEX(Tableau1[Ref-Carte],MATCH(Tableau3[[#This Row],[ID-RRS]],Tableau1[ID-RRS],0))</f>
        <v>SDO0802</v>
      </c>
      <c r="AJ1010" s="72" t="str">
        <f t="array" ref="AJ1010">IFERROR(INDEX(Tableau2[TS],MATCH(1,(Tableau2[Ref-Carte]=Tableau3[[#This Row],[Ref-Carte2]])*(Tableau2[ID-Voie]=Tableau3[[#This Row],[ID-VOIE]]),0)),"")</f>
        <v>ST</v>
      </c>
      <c r="AK1010" s="72" t="str">
        <f>IFERROR(INDEX(Tableau2[TS],SUMPRODUCT((Tableau2[Ref-Carte]=Tableau3[[#This Row],[Ref-Carte2]])*(Tableau2[ID-Voie]=Tableau3[[#This Row],[ID-VOIE]])*ROW(Tableau2[TS]))-ROW(Tableau2[#Headers])),"")</f>
        <v>ST</v>
      </c>
      <c r="AL1010" s="72" t="str">
        <f>Tableau3[[#This Row],[Ref-Carte2]]&amp;"/"&amp;Tableau3[[#This Row],[ID-VOIE]]</f>
        <v>SDO0802/0</v>
      </c>
      <c r="AM1010" s="73" t="str">
        <f>INDEX(Tableau2[Borne],MATCH(Tableau3[[#This Row],[ID-CARTEVOIE]],Tableau2[ID-CARTEVOIE],0))&amp;""</f>
        <v>0</v>
      </c>
      <c r="AN1010" s="74" t="str">
        <f>Tableau3[[#This Row],[ID-API]]&amp;Tableau3[[#This Row],[ID-RACK]]&amp;Tableau3[[#This Row],[ID-SLOT]]&amp;Tableau3[[#This Row],[BORNE]]</f>
        <v>6240</v>
      </c>
      <c r="AO1010" s="1"/>
    </row>
    <row r="1011" spans="1:41" ht="20.100000000000001" customHeight="1" thickTop="1" thickBot="1">
      <c r="A1011" s="68"/>
      <c r="B1011" s="69" t="str">
        <f>IFERROR(INDEX(Tableau4[Date],MATCH($A1011,Tableau4[EVO],0)),"")</f>
        <v/>
      </c>
      <c r="C1011" s="68" t="str">
        <f>IFERROR(INDEX(Tableau4[Designation],MATCH($A1011,Tableau4[EVO],0)),"")</f>
        <v/>
      </c>
      <c r="D1011" s="68"/>
      <c r="E1011" s="70">
        <v>93</v>
      </c>
      <c r="F1011" s="71">
        <v>318</v>
      </c>
      <c r="G1011" s="101" t="str">
        <f>INDEX(Tableau8[Att1],MATCH(Tableau3[[#This Row],[ID-INS]],Tableau8[ID],0))&amp;""</f>
        <v>V5</v>
      </c>
      <c r="H1011" s="101" t="str">
        <f>INDEX(Tableau8[Att2],MATCH(Tableau3[[#This Row],[ID-INS]],Tableau8[ID],0))&amp;""</f>
        <v>F13</v>
      </c>
      <c r="I1011" s="101" t="str">
        <f>INDEX(Tableau8[Att3],MATCH(Tableau3[[#This Row],[ID-INS]],Tableau8[ID],0))&amp;""</f>
        <v>Feu F13</v>
      </c>
      <c r="J1011" s="101"/>
      <c r="K1011" s="167" t="str">
        <f>INDEX(Tableau8[Nom du modele],MATCH(Tableau3[[#This Row],[ID-INS]],Tableau8[ID],0))&amp;""</f>
        <v>FeuContrAleaVLPL1</v>
      </c>
      <c r="L1011" s="99" t="str">
        <f>INDEX(Tableau5[Att1],MATCH(Tableau3[[#This Row],[ID-SIG]],Tableau5[ID],0))&amp;""</f>
        <v>FeuR_Cmd</v>
      </c>
      <c r="M1011" s="99" t="str">
        <f>INDEX(Tableau5[Att2],MATCH(Tableau3[[#This Row],[ID-SIG]],Tableau5[ID],0))&amp;""</f>
        <v/>
      </c>
      <c r="N1011" s="99" t="str">
        <f>INDEX(Tableau5[Att3],MATCH(Tableau3[[#This Row],[ID-SIG]],Tableau5[ID],0))&amp;""</f>
        <v/>
      </c>
      <c r="O1011" s="99"/>
      <c r="P1011" s="99" t="str">
        <f>INDEX(Tableau5[Description],MATCH(Tableau3[[#This Row],[ID-SIG]],Tableau5[ID],0))</f>
        <v xml:space="preserve">Commande Feu Rouge </v>
      </c>
      <c r="Q1011" s="99"/>
      <c r="R1011" s="103" t="str">
        <f>Tableau3[[#This Row],[Description]]</f>
        <v xml:space="preserve">Commande Feu Rouge </v>
      </c>
      <c r="U1011" s="87">
        <v>6</v>
      </c>
      <c r="V1011" s="87">
        <v>2</v>
      </c>
      <c r="W1011" s="87">
        <v>4</v>
      </c>
      <c r="X1011" s="87">
        <v>1</v>
      </c>
      <c r="Y1011" s="41"/>
      <c r="Z1011" s="165" t="str">
        <f>INDEX(Tableau2[TS],MATCH(Tableau3[[#This Row],[ID-CARTEVOIE]],Tableau2[ID-CARTEVOIE],0))</f>
        <v>ST</v>
      </c>
      <c r="AA1011" s="53" t="s">
        <v>213</v>
      </c>
      <c r="AB1011" s="223" t="str">
        <f>IFERROR(INDEX(Tableau5[Reserve],MATCH(Tableau3[[#This Row],[ID-SIG]],Tableau5[ID],0))&amp;"","")</f>
        <v/>
      </c>
      <c r="AC1011" s="21"/>
      <c r="AD1011" s="108" t="str">
        <f>INDEX(Tableau7[Repere],MATCH(Tableau3[[#This Row],[ID-API]],Tableau7[ID-API],0))&amp;""</f>
        <v>A6</v>
      </c>
      <c r="AE1011" s="108" t="str">
        <f>INDEX(Tableau1[Repere-Rack],MATCH(Tableau3[[#This Row],[ID-RACK]],Tableau1[ID-RACK],0))&amp;""</f>
        <v>R2</v>
      </c>
      <c r="AF1011" s="108" t="str">
        <f>INDEX(Tableau1[Repere-Slot],MATCH(Tableau3[[#This Row],[ID-SLOT]],Tableau1[ID-SLOT],0))&amp;""</f>
        <v>S4</v>
      </c>
      <c r="AG1011" s="108" t="str">
        <f>INDEX(Tableau2[Repere-Voie],MATCH(Tableau3[[#This Row],[ID-VOIE]],Tableau2[ID-Voie],0))&amp;""</f>
        <v>v1</v>
      </c>
      <c r="AH1011" s="72" t="str">
        <f>Tableau3[[#This Row],[ID-API]]&amp; "." &amp;Tableau3[[#This Row],[ID-RACK]]&amp; "." &amp;Tableau3[[#This Row],[ID-SLOT]]</f>
        <v>6.2.4</v>
      </c>
      <c r="AI1011" s="72" t="str">
        <f>INDEX(Tableau1[Ref-Carte],MATCH(Tableau3[[#This Row],[ID-RRS]],Tableau1[ID-RRS],0))</f>
        <v>SDO0802</v>
      </c>
      <c r="AJ1011" s="72" t="str">
        <f t="array" ref="AJ1011">IFERROR(INDEX(Tableau2[TS],MATCH(1,(Tableau2[Ref-Carte]=Tableau3[[#This Row],[Ref-Carte2]])*(Tableau2[ID-Voie]=Tableau3[[#This Row],[ID-VOIE]]),0)),"")</f>
        <v>ST</v>
      </c>
      <c r="AK1011" s="72" t="str">
        <f>IFERROR(INDEX(Tableau2[TS],SUMPRODUCT((Tableau2[Ref-Carte]=Tableau3[[#This Row],[Ref-Carte2]])*(Tableau2[ID-Voie]=Tableau3[[#This Row],[ID-VOIE]])*ROW(Tableau2[TS]))-ROW(Tableau2[#Headers])),"")</f>
        <v>ST</v>
      </c>
      <c r="AL1011" s="72" t="str">
        <f>Tableau3[[#This Row],[Ref-Carte2]]&amp;"/"&amp;Tableau3[[#This Row],[ID-VOIE]]</f>
        <v>SDO0802/1</v>
      </c>
      <c r="AM1011" s="73" t="str">
        <f>INDEX(Tableau2[Borne],MATCH(Tableau3[[#This Row],[ID-CARTEVOIE]],Tableau2[ID-CARTEVOIE],0))&amp;""</f>
        <v>1</v>
      </c>
      <c r="AN1011" s="74" t="str">
        <f>Tableau3[[#This Row],[ID-API]]&amp;Tableau3[[#This Row],[ID-RACK]]&amp;Tableau3[[#This Row],[ID-SLOT]]&amp;Tableau3[[#This Row],[BORNE]]</f>
        <v>6241</v>
      </c>
      <c r="AO1011" s="1"/>
    </row>
    <row r="1012" spans="1:41" ht="20.100000000000001" customHeight="1" thickTop="1" thickBot="1">
      <c r="A1012" s="68"/>
      <c r="B1012" s="69" t="str">
        <f>IFERROR(INDEX(Tableau4[Date],MATCH($A1012,Tableau4[EVO],0)),"")</f>
        <v/>
      </c>
      <c r="C1012" s="68" t="str">
        <f>IFERROR(INDEX(Tableau4[Designation],MATCH($A1012,Tableau4[EVO],0)),"")</f>
        <v/>
      </c>
      <c r="D1012" s="68"/>
      <c r="E1012" s="70">
        <v>111</v>
      </c>
      <c r="F1012" s="71">
        <v>13</v>
      </c>
      <c r="G1012" s="101" t="str">
        <f>INDEX(Tableau8[Att1],MATCH(Tableau3[[#This Row],[ID-INS]],Tableau8[ID],0))&amp;""</f>
        <v>GR</v>
      </c>
      <c r="H1012" s="101" t="str">
        <f>INDEX(Tableau8[Att2],MATCH(Tableau3[[#This Row],[ID-INS]],Tableau8[ID],0))&amp;""</f>
        <v>UTLR10</v>
      </c>
      <c r="I1012" s="101" t="str">
        <f>INDEX(Tableau8[Att3],MATCH(Tableau3[[#This Row],[ID-INS]],Tableau8[ID],0))&amp;""</f>
        <v>UTL rouge IDP8/TRSS1/FRX2</v>
      </c>
      <c r="J1012" s="101"/>
      <c r="K1012" s="167" t="str">
        <f>INDEX(Tableau8[Nom du modele],MATCH(Tableau3[[#This Row],[ID-INS]],Tableau8[ID],0))&amp;""</f>
        <v>UTL</v>
      </c>
      <c r="L1012" s="99" t="str">
        <f>INDEX(Tableau5[Att1],MATCH(Tableau3[[#This Row],[ID-SIG]],Tableau5[ID],0))&amp;""</f>
        <v>PassEffec</v>
      </c>
      <c r="M1012" s="99" t="str">
        <f>INDEX(Tableau5[Att2],MATCH(Tableau3[[#This Row],[ID-SIG]],Tableau5[ID],0))&amp;""</f>
        <v/>
      </c>
      <c r="N1012" s="99" t="str">
        <f>INDEX(Tableau5[Att3],MATCH(Tableau3[[#This Row],[ID-SIG]],Tableau5[ID],0))&amp;""</f>
        <v/>
      </c>
      <c r="O1012" s="99"/>
      <c r="P1012" s="99" t="str">
        <f>INDEX(Tableau5[Description],MATCH(Tableau3[[#This Row],[ID-SIG]],Tableau5[ID],0))</f>
        <v>Commande passage effectué vers UTL</v>
      </c>
      <c r="Q1012" s="99"/>
      <c r="R1012" s="103" t="str">
        <f>Tableau3[[#This Row],[Description]]</f>
        <v>Commande passage effectué vers UTL</v>
      </c>
      <c r="U1012" s="87">
        <v>6</v>
      </c>
      <c r="V1012" s="87">
        <v>2</v>
      </c>
      <c r="W1012" s="87">
        <v>4</v>
      </c>
      <c r="X1012" s="87">
        <v>2</v>
      </c>
      <c r="Y1012" s="41"/>
      <c r="Z1012" s="165" t="str">
        <f>INDEX(Tableau2[TS],MATCH(Tableau3[[#This Row],[ID-CARTEVOIE]],Tableau2[ID-CARTEVOIE],0))</f>
        <v>ST</v>
      </c>
      <c r="AA1012" s="53" t="s">
        <v>213</v>
      </c>
      <c r="AB1012" s="223" t="str">
        <f>IFERROR(INDEX(Tableau5[Reserve],MATCH(Tableau3[[#This Row],[ID-SIG]],Tableau5[ID],0))&amp;"","")</f>
        <v/>
      </c>
      <c r="AC1012" s="21"/>
      <c r="AD1012" s="108" t="str">
        <f>INDEX(Tableau7[Repere],MATCH(Tableau3[[#This Row],[ID-API]],Tableau7[ID-API],0))&amp;""</f>
        <v>A6</v>
      </c>
      <c r="AE1012" s="108" t="str">
        <f>INDEX(Tableau1[Repere-Rack],MATCH(Tableau3[[#This Row],[ID-RACK]],Tableau1[ID-RACK],0))&amp;""</f>
        <v>R2</v>
      </c>
      <c r="AF1012" s="108" t="str">
        <f>INDEX(Tableau1[Repere-Slot],MATCH(Tableau3[[#This Row],[ID-SLOT]],Tableau1[ID-SLOT],0))&amp;""</f>
        <v>S4</v>
      </c>
      <c r="AG1012" s="108" t="str">
        <f>INDEX(Tableau2[Repere-Voie],MATCH(Tableau3[[#This Row],[ID-VOIE]],Tableau2[ID-Voie],0))&amp;""</f>
        <v>v2</v>
      </c>
      <c r="AH1012" s="72" t="str">
        <f>Tableau3[[#This Row],[ID-API]]&amp; "." &amp;Tableau3[[#This Row],[ID-RACK]]&amp; "." &amp;Tableau3[[#This Row],[ID-SLOT]]</f>
        <v>6.2.4</v>
      </c>
      <c r="AI1012" s="72" t="str">
        <f>INDEX(Tableau1[Ref-Carte],MATCH(Tableau3[[#This Row],[ID-RRS]],Tableau1[ID-RRS],0))</f>
        <v>SDO0802</v>
      </c>
      <c r="AJ1012" s="72" t="str">
        <f t="array" ref="AJ1012">IFERROR(INDEX(Tableau2[TS],MATCH(1,(Tableau2[Ref-Carte]=Tableau3[[#This Row],[Ref-Carte2]])*(Tableau2[ID-Voie]=Tableau3[[#This Row],[ID-VOIE]]),0)),"")</f>
        <v>ST</v>
      </c>
      <c r="AK1012" s="72" t="str">
        <f>IFERROR(INDEX(Tableau2[TS],SUMPRODUCT((Tableau2[Ref-Carte]=Tableau3[[#This Row],[Ref-Carte2]])*(Tableau2[ID-Voie]=Tableau3[[#This Row],[ID-VOIE]])*ROW(Tableau2[TS]))-ROW(Tableau2[#Headers])),"")</f>
        <v>ST</v>
      </c>
      <c r="AL1012" s="72" t="str">
        <f>Tableau3[[#This Row],[Ref-Carte2]]&amp;"/"&amp;Tableau3[[#This Row],[ID-VOIE]]</f>
        <v>SDO0802/2</v>
      </c>
      <c r="AM1012" s="73" t="str">
        <f>INDEX(Tableau2[Borne],MATCH(Tableau3[[#This Row],[ID-CARTEVOIE]],Tableau2[ID-CARTEVOIE],0))&amp;""</f>
        <v>2</v>
      </c>
      <c r="AN1012" s="74" t="str">
        <f>Tableau3[[#This Row],[ID-API]]&amp;Tableau3[[#This Row],[ID-RACK]]&amp;Tableau3[[#This Row],[ID-SLOT]]&amp;Tableau3[[#This Row],[BORNE]]</f>
        <v>6242</v>
      </c>
      <c r="AO1012" s="1"/>
    </row>
    <row r="1013" spans="1:41" ht="20.100000000000001" customHeight="1" thickTop="1" thickBot="1">
      <c r="A1013" s="68"/>
      <c r="B1013" s="69" t="str">
        <f>IFERROR(INDEX(Tableau4[Date],MATCH($A1013,Tableau4[EVO],0)),"")</f>
        <v/>
      </c>
      <c r="C1013" s="68" t="str">
        <f>IFERROR(INDEX(Tableau4[Designation],MATCH($A1013,Tableau4[EVO],0)),"")</f>
        <v/>
      </c>
      <c r="D1013" s="68"/>
      <c r="E1013" s="70">
        <v>111</v>
      </c>
      <c r="F1013" s="71">
        <v>14</v>
      </c>
      <c r="G1013" s="101" t="str">
        <f>INDEX(Tableau8[Att1],MATCH(Tableau3[[#This Row],[ID-INS]],Tableau8[ID],0))&amp;""</f>
        <v>GR</v>
      </c>
      <c r="H1013" s="101" t="str">
        <f>INDEX(Tableau8[Att2],MATCH(Tableau3[[#This Row],[ID-INS]],Tableau8[ID],0))&amp;""</f>
        <v>UTLR10</v>
      </c>
      <c r="I1013" s="101" t="str">
        <f>INDEX(Tableau8[Att3],MATCH(Tableau3[[#This Row],[ID-INS]],Tableau8[ID],0))&amp;""</f>
        <v>UTL rouge IDP8/TRSS1/FRX2</v>
      </c>
      <c r="J1013" s="101"/>
      <c r="K1013" s="167" t="str">
        <f>INDEX(Tableau8[Nom du modele],MATCH(Tableau3[[#This Row],[ID-INS]],Tableau8[ID],0))&amp;""</f>
        <v>UTL</v>
      </c>
      <c r="L1013" s="99" t="str">
        <f>INDEX(Tableau5[Att1],MATCH(Tableau3[[#This Row],[ID-SIG]],Tableau5[ID],0))&amp;""</f>
        <v>AutorBadge</v>
      </c>
      <c r="M1013" s="99" t="str">
        <f>INDEX(Tableau5[Att2],MATCH(Tableau3[[#This Row],[ID-SIG]],Tableau5[ID],0))&amp;""</f>
        <v/>
      </c>
      <c r="N1013" s="99" t="str">
        <f>INDEX(Tableau5[Att3],MATCH(Tableau3[[#This Row],[ID-SIG]],Tableau5[ID],0))&amp;""</f>
        <v/>
      </c>
      <c r="O1013" s="99"/>
      <c r="P1013" s="99" t="str">
        <f>INDEX(Tableau5[Description],MATCH(Tableau3[[#This Row],[ID-SIG]],Tableau5[ID],0))</f>
        <v>Commande autorisation badgeage vers UTL</v>
      </c>
      <c r="Q1013" s="99"/>
      <c r="R1013" s="103" t="str">
        <f>Tableau3[[#This Row],[Description]]</f>
        <v>Commande autorisation badgeage vers UTL</v>
      </c>
      <c r="U1013" s="87">
        <v>6</v>
      </c>
      <c r="V1013" s="87">
        <v>2</v>
      </c>
      <c r="W1013" s="87">
        <v>4</v>
      </c>
      <c r="X1013" s="87">
        <v>3</v>
      </c>
      <c r="Y1013" s="41"/>
      <c r="Z1013" s="165" t="str">
        <f>INDEX(Tableau2[TS],MATCH(Tableau3[[#This Row],[ID-CARTEVOIE]],Tableau2[ID-CARTEVOIE],0))</f>
        <v>ST</v>
      </c>
      <c r="AA1013" s="53" t="s">
        <v>213</v>
      </c>
      <c r="AB1013" s="223" t="str">
        <f>IFERROR(INDEX(Tableau5[Reserve],MATCH(Tableau3[[#This Row],[ID-SIG]],Tableau5[ID],0))&amp;"","")</f>
        <v/>
      </c>
      <c r="AC1013" s="21"/>
      <c r="AD1013" s="108" t="str">
        <f>INDEX(Tableau7[Repere],MATCH(Tableau3[[#This Row],[ID-API]],Tableau7[ID-API],0))&amp;""</f>
        <v>A6</v>
      </c>
      <c r="AE1013" s="108" t="str">
        <f>INDEX(Tableau1[Repere-Rack],MATCH(Tableau3[[#This Row],[ID-RACK]],Tableau1[ID-RACK],0))&amp;""</f>
        <v>R2</v>
      </c>
      <c r="AF1013" s="108" t="str">
        <f>INDEX(Tableau1[Repere-Slot],MATCH(Tableau3[[#This Row],[ID-SLOT]],Tableau1[ID-SLOT],0))&amp;""</f>
        <v>S4</v>
      </c>
      <c r="AG1013" s="108" t="str">
        <f>INDEX(Tableau2[Repere-Voie],MATCH(Tableau3[[#This Row],[ID-VOIE]],Tableau2[ID-Voie],0))&amp;""</f>
        <v>v3</v>
      </c>
      <c r="AH1013" s="72" t="str">
        <f>Tableau3[[#This Row],[ID-API]]&amp; "." &amp;Tableau3[[#This Row],[ID-RACK]]&amp; "." &amp;Tableau3[[#This Row],[ID-SLOT]]</f>
        <v>6.2.4</v>
      </c>
      <c r="AI1013" s="72" t="str">
        <f>INDEX(Tableau1[Ref-Carte],MATCH(Tableau3[[#This Row],[ID-RRS]],Tableau1[ID-RRS],0))</f>
        <v>SDO0802</v>
      </c>
      <c r="AJ1013" s="72" t="str">
        <f t="array" ref="AJ1013">IFERROR(INDEX(Tableau2[TS],MATCH(1,(Tableau2[Ref-Carte]=Tableau3[[#This Row],[Ref-Carte2]])*(Tableau2[ID-Voie]=Tableau3[[#This Row],[ID-VOIE]]),0)),"")</f>
        <v>ST</v>
      </c>
      <c r="AK1013" s="72" t="str">
        <f>IFERROR(INDEX(Tableau2[TS],SUMPRODUCT((Tableau2[Ref-Carte]=Tableau3[[#This Row],[Ref-Carte2]])*(Tableau2[ID-Voie]=Tableau3[[#This Row],[ID-VOIE]])*ROW(Tableau2[TS]))-ROW(Tableau2[#Headers])),"")</f>
        <v>ST</v>
      </c>
      <c r="AL1013" s="72" t="str">
        <f>Tableau3[[#This Row],[Ref-Carte2]]&amp;"/"&amp;Tableau3[[#This Row],[ID-VOIE]]</f>
        <v>SDO0802/3</v>
      </c>
      <c r="AM1013" s="73" t="str">
        <f>INDEX(Tableau2[Borne],MATCH(Tableau3[[#This Row],[ID-CARTEVOIE]],Tableau2[ID-CARTEVOIE],0))&amp;""</f>
        <v>3</v>
      </c>
      <c r="AN1013" s="74" t="str">
        <f>Tableau3[[#This Row],[ID-API]]&amp;Tableau3[[#This Row],[ID-RACK]]&amp;Tableau3[[#This Row],[ID-SLOT]]&amp;Tableau3[[#This Row],[BORNE]]</f>
        <v>6243</v>
      </c>
      <c r="AO1013" s="1"/>
    </row>
    <row r="1014" spans="1:41" ht="20.100000000000001" customHeight="1" thickTop="1" thickBot="1">
      <c r="A1014" s="68"/>
      <c r="B1014" s="69" t="str">
        <f>IFERROR(INDEX(Tableau4[Date],MATCH($A1014,Tableau4[EVO],0)),"")</f>
        <v/>
      </c>
      <c r="C1014" s="68" t="str">
        <f>IFERROR(INDEX(Tableau4[Designation],MATCH($A1014,Tableau4[EVO],0)),"")</f>
        <v/>
      </c>
      <c r="D1014" s="68"/>
      <c r="E1014" s="70">
        <v>118</v>
      </c>
      <c r="F1014" s="71">
        <v>13</v>
      </c>
      <c r="G1014" s="101" t="str">
        <f>INDEX(Tableau8[Att1],MATCH(Tableau3[[#This Row],[ID-INS]],Tableau8[ID],0))&amp;""</f>
        <v>V5</v>
      </c>
      <c r="H1014" s="101" t="str">
        <f>INDEX(Tableau8[Att2],MATCH(Tableau3[[#This Row],[ID-INS]],Tableau8[ID],0))&amp;""</f>
        <v>UTLB5</v>
      </c>
      <c r="I1014" s="101" t="str">
        <f>INDEX(Tableau8[Att3],MATCH(Tableau3[[#This Row],[ID-INS]],Tableau8[ID],0))&amp;""</f>
        <v>UTL bleue IDVL8/ IDPL2/BH10</v>
      </c>
      <c r="J1014" s="101"/>
      <c r="K1014" s="167" t="str">
        <f>INDEX(Tableau8[Nom du modele],MATCH(Tableau3[[#This Row],[ID-INS]],Tableau8[ID],0))&amp;""</f>
        <v>UTL</v>
      </c>
      <c r="L1014" s="99" t="str">
        <f>INDEX(Tableau5[Att1],MATCH(Tableau3[[#This Row],[ID-SIG]],Tableau5[ID],0))&amp;""</f>
        <v>PassEffec</v>
      </c>
      <c r="M1014" s="99" t="str">
        <f>INDEX(Tableau5[Att2],MATCH(Tableau3[[#This Row],[ID-SIG]],Tableau5[ID],0))&amp;""</f>
        <v/>
      </c>
      <c r="N1014" s="99" t="str">
        <f>INDEX(Tableau5[Att3],MATCH(Tableau3[[#This Row],[ID-SIG]],Tableau5[ID],0))&amp;""</f>
        <v/>
      </c>
      <c r="O1014" s="99"/>
      <c r="P1014" s="99" t="str">
        <f>INDEX(Tableau5[Description],MATCH(Tableau3[[#This Row],[ID-SIG]],Tableau5[ID],0))</f>
        <v>Commande passage effectué vers UTL</v>
      </c>
      <c r="Q1014" s="99"/>
      <c r="R1014" s="103" t="str">
        <f>Tableau3[[#This Row],[Description]]</f>
        <v>Commande passage effectué vers UTL</v>
      </c>
      <c r="U1014" s="87">
        <v>6</v>
      </c>
      <c r="V1014" s="87">
        <v>2</v>
      </c>
      <c r="W1014" s="87">
        <v>4</v>
      </c>
      <c r="X1014" s="87">
        <v>4</v>
      </c>
      <c r="Y1014" s="41"/>
      <c r="Z1014" s="165" t="str">
        <f>INDEX(Tableau2[TS],MATCH(Tableau3[[#This Row],[ID-CARTEVOIE]],Tableau2[ID-CARTEVOIE],0))</f>
        <v>ST</v>
      </c>
      <c r="AA1014" s="53" t="s">
        <v>213</v>
      </c>
      <c r="AB1014" s="223" t="str">
        <f>IFERROR(INDEX(Tableau5[Reserve],MATCH(Tableau3[[#This Row],[ID-SIG]],Tableau5[ID],0))&amp;"","")</f>
        <v/>
      </c>
      <c r="AC1014" s="21"/>
      <c r="AD1014" s="108" t="str">
        <f>INDEX(Tableau7[Repere],MATCH(Tableau3[[#This Row],[ID-API]],Tableau7[ID-API],0))&amp;""</f>
        <v>A6</v>
      </c>
      <c r="AE1014" s="108" t="str">
        <f>INDEX(Tableau1[Repere-Rack],MATCH(Tableau3[[#This Row],[ID-RACK]],Tableau1[ID-RACK],0))&amp;""</f>
        <v>R2</v>
      </c>
      <c r="AF1014" s="108" t="str">
        <f>INDEX(Tableau1[Repere-Slot],MATCH(Tableau3[[#This Row],[ID-SLOT]],Tableau1[ID-SLOT],0))&amp;""</f>
        <v>S4</v>
      </c>
      <c r="AG1014" s="108" t="str">
        <f>INDEX(Tableau2[Repere-Voie],MATCH(Tableau3[[#This Row],[ID-VOIE]],Tableau2[ID-Voie],0))&amp;""</f>
        <v>v4</v>
      </c>
      <c r="AH1014" s="72" t="str">
        <f>Tableau3[[#This Row],[ID-API]]&amp; "." &amp;Tableau3[[#This Row],[ID-RACK]]&amp; "." &amp;Tableau3[[#This Row],[ID-SLOT]]</f>
        <v>6.2.4</v>
      </c>
      <c r="AI1014" s="72" t="str">
        <f>INDEX(Tableau1[Ref-Carte],MATCH(Tableau3[[#This Row],[ID-RRS]],Tableau1[ID-RRS],0))</f>
        <v>SDO0802</v>
      </c>
      <c r="AJ1014" s="72" t="str">
        <f t="array" ref="AJ1014">IFERROR(INDEX(Tableau2[TS],MATCH(1,(Tableau2[Ref-Carte]=Tableau3[[#This Row],[Ref-Carte2]])*(Tableau2[ID-Voie]=Tableau3[[#This Row],[ID-VOIE]]),0)),"")</f>
        <v>ST</v>
      </c>
      <c r="AK1014" s="72" t="str">
        <f>IFERROR(INDEX(Tableau2[TS],SUMPRODUCT((Tableau2[Ref-Carte]=Tableau3[[#This Row],[Ref-Carte2]])*(Tableau2[ID-Voie]=Tableau3[[#This Row],[ID-VOIE]])*ROW(Tableau2[TS]))-ROW(Tableau2[#Headers])),"")</f>
        <v>ST</v>
      </c>
      <c r="AL1014" s="72" t="str">
        <f>Tableau3[[#This Row],[Ref-Carte2]]&amp;"/"&amp;Tableau3[[#This Row],[ID-VOIE]]</f>
        <v>SDO0802/4</v>
      </c>
      <c r="AM1014" s="73" t="str">
        <f>INDEX(Tableau2[Borne],MATCH(Tableau3[[#This Row],[ID-CARTEVOIE]],Tableau2[ID-CARTEVOIE],0))&amp;""</f>
        <v>4</v>
      </c>
      <c r="AN1014" s="74" t="str">
        <f>Tableau3[[#This Row],[ID-API]]&amp;Tableau3[[#This Row],[ID-RACK]]&amp;Tableau3[[#This Row],[ID-SLOT]]&amp;Tableau3[[#This Row],[BORNE]]</f>
        <v>6244</v>
      </c>
      <c r="AO1014" s="1"/>
    </row>
    <row r="1015" spans="1:41" ht="20.100000000000001" customHeight="1" thickTop="1" thickBot="1">
      <c r="A1015" s="68"/>
      <c r="B1015" s="69" t="str">
        <f>IFERROR(INDEX(Tableau4[Date],MATCH($A1015,Tableau4[EVO],0)),"")</f>
        <v/>
      </c>
      <c r="C1015" s="68" t="str">
        <f>IFERROR(INDEX(Tableau4[Designation],MATCH($A1015,Tableau4[EVO],0)),"")</f>
        <v/>
      </c>
      <c r="D1015" s="68"/>
      <c r="E1015" s="70">
        <v>118</v>
      </c>
      <c r="F1015" s="71">
        <v>14</v>
      </c>
      <c r="G1015" s="101" t="str">
        <f>INDEX(Tableau8[Att1],MATCH(Tableau3[[#This Row],[ID-INS]],Tableau8[ID],0))&amp;""</f>
        <v>V5</v>
      </c>
      <c r="H1015" s="101" t="str">
        <f>INDEX(Tableau8[Att2],MATCH(Tableau3[[#This Row],[ID-INS]],Tableau8[ID],0))&amp;""</f>
        <v>UTLB5</v>
      </c>
      <c r="I1015" s="101" t="str">
        <f>INDEX(Tableau8[Att3],MATCH(Tableau3[[#This Row],[ID-INS]],Tableau8[ID],0))&amp;""</f>
        <v>UTL bleue IDVL8/ IDPL2/BH10</v>
      </c>
      <c r="J1015" s="101"/>
      <c r="K1015" s="167" t="str">
        <f>INDEX(Tableau8[Nom du modele],MATCH(Tableau3[[#This Row],[ID-INS]],Tableau8[ID],0))&amp;""</f>
        <v>UTL</v>
      </c>
      <c r="L1015" s="99" t="str">
        <f>INDEX(Tableau5[Att1],MATCH(Tableau3[[#This Row],[ID-SIG]],Tableau5[ID],0))&amp;""</f>
        <v>AutorBadge</v>
      </c>
      <c r="M1015" s="99" t="str">
        <f>INDEX(Tableau5[Att2],MATCH(Tableau3[[#This Row],[ID-SIG]],Tableau5[ID],0))&amp;""</f>
        <v/>
      </c>
      <c r="N1015" s="99" t="str">
        <f>INDEX(Tableau5[Att3],MATCH(Tableau3[[#This Row],[ID-SIG]],Tableau5[ID],0))&amp;""</f>
        <v/>
      </c>
      <c r="O1015" s="99"/>
      <c r="P1015" s="99" t="str">
        <f>INDEX(Tableau5[Description],MATCH(Tableau3[[#This Row],[ID-SIG]],Tableau5[ID],0))</f>
        <v>Commande autorisation badgeage vers UTL</v>
      </c>
      <c r="Q1015" s="99"/>
      <c r="R1015" s="103" t="str">
        <f>Tableau3[[#This Row],[Description]]</f>
        <v>Commande autorisation badgeage vers UTL</v>
      </c>
      <c r="U1015" s="87">
        <v>6</v>
      </c>
      <c r="V1015" s="87">
        <v>2</v>
      </c>
      <c r="W1015" s="87">
        <v>4</v>
      </c>
      <c r="X1015" s="87">
        <v>5</v>
      </c>
      <c r="Y1015" s="41"/>
      <c r="Z1015" s="165" t="str">
        <f>INDEX(Tableau2[TS],MATCH(Tableau3[[#This Row],[ID-CARTEVOIE]],Tableau2[ID-CARTEVOIE],0))</f>
        <v>ST</v>
      </c>
      <c r="AA1015" s="53" t="s">
        <v>213</v>
      </c>
      <c r="AB1015" s="223" t="str">
        <f>IFERROR(INDEX(Tableau5[Reserve],MATCH(Tableau3[[#This Row],[ID-SIG]],Tableau5[ID],0))&amp;"","")</f>
        <v/>
      </c>
      <c r="AC1015" s="21"/>
      <c r="AD1015" s="108" t="str">
        <f>INDEX(Tableau7[Repere],MATCH(Tableau3[[#This Row],[ID-API]],Tableau7[ID-API],0))&amp;""</f>
        <v>A6</v>
      </c>
      <c r="AE1015" s="108" t="str">
        <f>INDEX(Tableau1[Repere-Rack],MATCH(Tableau3[[#This Row],[ID-RACK]],Tableau1[ID-RACK],0))&amp;""</f>
        <v>R2</v>
      </c>
      <c r="AF1015" s="108" t="str">
        <f>INDEX(Tableau1[Repere-Slot],MATCH(Tableau3[[#This Row],[ID-SLOT]],Tableau1[ID-SLOT],0))&amp;""</f>
        <v>S4</v>
      </c>
      <c r="AG1015" s="108" t="str">
        <f>INDEX(Tableau2[Repere-Voie],MATCH(Tableau3[[#This Row],[ID-VOIE]],Tableau2[ID-Voie],0))&amp;""</f>
        <v>v5</v>
      </c>
      <c r="AH1015" s="72" t="str">
        <f>Tableau3[[#This Row],[ID-API]]&amp; "." &amp;Tableau3[[#This Row],[ID-RACK]]&amp; "." &amp;Tableau3[[#This Row],[ID-SLOT]]</f>
        <v>6.2.4</v>
      </c>
      <c r="AI1015" s="72" t="str">
        <f>INDEX(Tableau1[Ref-Carte],MATCH(Tableau3[[#This Row],[ID-RRS]],Tableau1[ID-RRS],0))</f>
        <v>SDO0802</v>
      </c>
      <c r="AJ1015" s="72" t="str">
        <f t="array" ref="AJ1015">IFERROR(INDEX(Tableau2[TS],MATCH(1,(Tableau2[Ref-Carte]=Tableau3[[#This Row],[Ref-Carte2]])*(Tableau2[ID-Voie]=Tableau3[[#This Row],[ID-VOIE]]),0)),"")</f>
        <v>ST</v>
      </c>
      <c r="AK1015" s="72" t="str">
        <f>IFERROR(INDEX(Tableau2[TS],SUMPRODUCT((Tableau2[Ref-Carte]=Tableau3[[#This Row],[Ref-Carte2]])*(Tableau2[ID-Voie]=Tableau3[[#This Row],[ID-VOIE]])*ROW(Tableau2[TS]))-ROW(Tableau2[#Headers])),"")</f>
        <v>ST</v>
      </c>
      <c r="AL1015" s="72" t="str">
        <f>Tableau3[[#This Row],[Ref-Carte2]]&amp;"/"&amp;Tableau3[[#This Row],[ID-VOIE]]</f>
        <v>SDO0802/5</v>
      </c>
      <c r="AM1015" s="73" t="str">
        <f>INDEX(Tableau2[Borne],MATCH(Tableau3[[#This Row],[ID-CARTEVOIE]],Tableau2[ID-CARTEVOIE],0))&amp;""</f>
        <v>5</v>
      </c>
      <c r="AN1015" s="74" t="str">
        <f>Tableau3[[#This Row],[ID-API]]&amp;Tableau3[[#This Row],[ID-RACK]]&amp;Tableau3[[#This Row],[ID-SLOT]]&amp;Tableau3[[#This Row],[BORNE]]</f>
        <v>6245</v>
      </c>
      <c r="AO1015" s="1"/>
    </row>
    <row r="1016" spans="1:41" ht="20.100000000000001" customHeight="1" thickTop="1" thickBot="1">
      <c r="A1016" s="68"/>
      <c r="B1016" s="69" t="str">
        <f>IFERROR(INDEX(Tableau4[Date],MATCH($A1016,Tableau4[EVO],0)),"")</f>
        <v/>
      </c>
      <c r="C1016" s="68" t="str">
        <f>IFERROR(INDEX(Tableau4[Designation],MATCH($A1016,Tableau4[EVO],0)),"")</f>
        <v/>
      </c>
      <c r="D1016" s="68"/>
      <c r="E1016" s="70">
        <v>123</v>
      </c>
      <c r="F1016" s="71">
        <v>13</v>
      </c>
      <c r="G1016" s="101" t="str">
        <f>INDEX(Tableau8[Att1],MATCH(Tableau3[[#This Row],[ID-INS]],Tableau8[ID],0))&amp;""</f>
        <v>B22</v>
      </c>
      <c r="H1016" s="101" t="str">
        <f>INDEX(Tableau8[Att2],MATCH(Tableau3[[#This Row],[ID-INS]],Tableau8[ID],0))&amp;""</f>
        <v>UTLB9_1</v>
      </c>
      <c r="I1016" s="101" t="str">
        <f>INDEX(Tableau8[Att3],MATCH(Tableau3[[#This Row],[ID-INS]],Tableau8[ID],0))&amp;""</f>
        <v>UTL bleue AUTP3/TRSD3-2/FRX6</v>
      </c>
      <c r="J1016" s="101"/>
      <c r="K1016" s="167" t="str">
        <f>INDEX(Tableau8[Nom du modele],MATCH(Tableau3[[#This Row],[ID-INS]],Tableau8[ID],0))&amp;""</f>
        <v>UTL</v>
      </c>
      <c r="L1016" s="99" t="str">
        <f>INDEX(Tableau5[Att1],MATCH(Tableau3[[#This Row],[ID-SIG]],Tableau5[ID],0))&amp;""</f>
        <v>PassEffec</v>
      </c>
      <c r="M1016" s="99" t="str">
        <f>INDEX(Tableau5[Att2],MATCH(Tableau3[[#This Row],[ID-SIG]],Tableau5[ID],0))&amp;""</f>
        <v/>
      </c>
      <c r="N1016" s="99" t="str">
        <f>INDEX(Tableau5[Att3],MATCH(Tableau3[[#This Row],[ID-SIG]],Tableau5[ID],0))&amp;""</f>
        <v/>
      </c>
      <c r="O1016" s="99"/>
      <c r="P1016" s="99" t="str">
        <f>INDEX(Tableau5[Description],MATCH(Tableau3[[#This Row],[ID-SIG]],Tableau5[ID],0))</f>
        <v>Commande passage effectué vers UTL</v>
      </c>
      <c r="Q1016" s="99"/>
      <c r="R1016" s="103" t="str">
        <f>Tableau3[[#This Row],[Description]]</f>
        <v>Commande passage effectué vers UTL</v>
      </c>
      <c r="U1016" s="87">
        <v>6</v>
      </c>
      <c r="V1016" s="87">
        <v>2</v>
      </c>
      <c r="W1016" s="87">
        <v>4</v>
      </c>
      <c r="X1016" s="87">
        <v>6</v>
      </c>
      <c r="Y1016" s="41"/>
      <c r="Z1016" s="165" t="str">
        <f>INDEX(Tableau2[TS],MATCH(Tableau3[[#This Row],[ID-CARTEVOIE]],Tableau2[ID-CARTEVOIE],0))</f>
        <v>ST</v>
      </c>
      <c r="AA1016" s="53" t="s">
        <v>213</v>
      </c>
      <c r="AB1016" s="223" t="str">
        <f>IFERROR(INDEX(Tableau5[Reserve],MATCH(Tableau3[[#This Row],[ID-SIG]],Tableau5[ID],0))&amp;"","")</f>
        <v/>
      </c>
      <c r="AC1016" s="21"/>
      <c r="AD1016" s="108" t="str">
        <f>INDEX(Tableau7[Repere],MATCH(Tableau3[[#This Row],[ID-API]],Tableau7[ID-API],0))&amp;""</f>
        <v>A6</v>
      </c>
      <c r="AE1016" s="108" t="str">
        <f>INDEX(Tableau1[Repere-Rack],MATCH(Tableau3[[#This Row],[ID-RACK]],Tableau1[ID-RACK],0))&amp;""</f>
        <v>R2</v>
      </c>
      <c r="AF1016" s="108" t="str">
        <f>INDEX(Tableau1[Repere-Slot],MATCH(Tableau3[[#This Row],[ID-SLOT]],Tableau1[ID-SLOT],0))&amp;""</f>
        <v>S4</v>
      </c>
      <c r="AG1016" s="108" t="str">
        <f>INDEX(Tableau2[Repere-Voie],MATCH(Tableau3[[#This Row],[ID-VOIE]],Tableau2[ID-Voie],0))&amp;""</f>
        <v>v6</v>
      </c>
      <c r="AH1016" s="72" t="str">
        <f>Tableau3[[#This Row],[ID-API]]&amp; "." &amp;Tableau3[[#This Row],[ID-RACK]]&amp; "." &amp;Tableau3[[#This Row],[ID-SLOT]]</f>
        <v>6.2.4</v>
      </c>
      <c r="AI1016" s="72" t="str">
        <f>INDEX(Tableau1[Ref-Carte],MATCH(Tableau3[[#This Row],[ID-RRS]],Tableau1[ID-RRS],0))</f>
        <v>SDO0802</v>
      </c>
      <c r="AJ1016" s="72" t="str">
        <f t="array" ref="AJ1016">IFERROR(INDEX(Tableau2[TS],MATCH(1,(Tableau2[Ref-Carte]=Tableau3[[#This Row],[Ref-Carte2]])*(Tableau2[ID-Voie]=Tableau3[[#This Row],[ID-VOIE]]),0)),"")</f>
        <v>ST</v>
      </c>
      <c r="AK1016" s="72" t="str">
        <f>IFERROR(INDEX(Tableau2[TS],SUMPRODUCT((Tableau2[Ref-Carte]=Tableau3[[#This Row],[Ref-Carte2]])*(Tableau2[ID-Voie]=Tableau3[[#This Row],[ID-VOIE]])*ROW(Tableau2[TS]))-ROW(Tableau2[#Headers])),"")</f>
        <v>ST</v>
      </c>
      <c r="AL1016" s="72" t="str">
        <f>Tableau3[[#This Row],[Ref-Carte2]]&amp;"/"&amp;Tableau3[[#This Row],[ID-VOIE]]</f>
        <v>SDO0802/6</v>
      </c>
      <c r="AM1016" s="73" t="str">
        <f>INDEX(Tableau2[Borne],MATCH(Tableau3[[#This Row],[ID-CARTEVOIE]],Tableau2[ID-CARTEVOIE],0))&amp;""</f>
        <v>6</v>
      </c>
      <c r="AN1016" s="74" t="str">
        <f>Tableau3[[#This Row],[ID-API]]&amp;Tableau3[[#This Row],[ID-RACK]]&amp;Tableau3[[#This Row],[ID-SLOT]]&amp;Tableau3[[#This Row],[BORNE]]</f>
        <v>6246</v>
      </c>
      <c r="AO1016" s="1"/>
    </row>
    <row r="1017" spans="1:41" ht="20.100000000000001" customHeight="1" thickTop="1" thickBot="1">
      <c r="A1017" s="68"/>
      <c r="B1017" s="69" t="str">
        <f>IFERROR(INDEX(Tableau4[Date],MATCH($A1017,Tableau4[EVO],0)),"")</f>
        <v/>
      </c>
      <c r="C1017" s="68" t="str">
        <f>IFERROR(INDEX(Tableau4[Designation],MATCH($A1017,Tableau4[EVO],0)),"")</f>
        <v/>
      </c>
      <c r="D1017" s="68"/>
      <c r="E1017" s="70">
        <v>123</v>
      </c>
      <c r="F1017" s="71">
        <v>14</v>
      </c>
      <c r="G1017" s="101" t="str">
        <f>INDEX(Tableau8[Att1],MATCH(Tableau3[[#This Row],[ID-INS]],Tableau8[ID],0))&amp;""</f>
        <v>B22</v>
      </c>
      <c r="H1017" s="101" t="str">
        <f>INDEX(Tableau8[Att2],MATCH(Tableau3[[#This Row],[ID-INS]],Tableau8[ID],0))&amp;""</f>
        <v>UTLB9_1</v>
      </c>
      <c r="I1017" s="101" t="str">
        <f>INDEX(Tableau8[Att3],MATCH(Tableau3[[#This Row],[ID-INS]],Tableau8[ID],0))&amp;""</f>
        <v>UTL bleue AUTP3/TRSD3-2/FRX6</v>
      </c>
      <c r="J1017" s="101"/>
      <c r="K1017" s="167" t="str">
        <f>INDEX(Tableau8[Nom du modele],MATCH(Tableau3[[#This Row],[ID-INS]],Tableau8[ID],0))&amp;""</f>
        <v>UTL</v>
      </c>
      <c r="L1017" s="99" t="str">
        <f>INDEX(Tableau5[Att1],MATCH(Tableau3[[#This Row],[ID-SIG]],Tableau5[ID],0))&amp;""</f>
        <v>AutorBadge</v>
      </c>
      <c r="M1017" s="99" t="str">
        <f>INDEX(Tableau5[Att2],MATCH(Tableau3[[#This Row],[ID-SIG]],Tableau5[ID],0))&amp;""</f>
        <v/>
      </c>
      <c r="N1017" s="99" t="str">
        <f>INDEX(Tableau5[Att3],MATCH(Tableau3[[#This Row],[ID-SIG]],Tableau5[ID],0))&amp;""</f>
        <v/>
      </c>
      <c r="O1017" s="99"/>
      <c r="P1017" s="99" t="str">
        <f>INDEX(Tableau5[Description],MATCH(Tableau3[[#This Row],[ID-SIG]],Tableau5[ID],0))</f>
        <v>Commande autorisation badgeage vers UTL</v>
      </c>
      <c r="Q1017" s="99"/>
      <c r="R1017" s="103" t="str">
        <f>Tableau3[[#This Row],[Description]]</f>
        <v>Commande autorisation badgeage vers UTL</v>
      </c>
      <c r="U1017" s="87">
        <v>6</v>
      </c>
      <c r="V1017" s="87">
        <v>2</v>
      </c>
      <c r="W1017" s="87">
        <v>4</v>
      </c>
      <c r="X1017" s="87">
        <v>7</v>
      </c>
      <c r="Y1017" s="41"/>
      <c r="Z1017" s="165" t="str">
        <f>INDEX(Tableau2[TS],MATCH(Tableau3[[#This Row],[ID-CARTEVOIE]],Tableau2[ID-CARTEVOIE],0))</f>
        <v>ST</v>
      </c>
      <c r="AA1017" s="53" t="s">
        <v>213</v>
      </c>
      <c r="AB1017" s="223" t="str">
        <f>IFERROR(INDEX(Tableau5[Reserve],MATCH(Tableau3[[#This Row],[ID-SIG]],Tableau5[ID],0))&amp;"","")</f>
        <v/>
      </c>
      <c r="AC1017" s="21"/>
      <c r="AD1017" s="108" t="str">
        <f>INDEX(Tableau7[Repere],MATCH(Tableau3[[#This Row],[ID-API]],Tableau7[ID-API],0))&amp;""</f>
        <v>A6</v>
      </c>
      <c r="AE1017" s="108" t="str">
        <f>INDEX(Tableau1[Repere-Rack],MATCH(Tableau3[[#This Row],[ID-RACK]],Tableau1[ID-RACK],0))&amp;""</f>
        <v>R2</v>
      </c>
      <c r="AF1017" s="108" t="str">
        <f>INDEX(Tableau1[Repere-Slot],MATCH(Tableau3[[#This Row],[ID-SLOT]],Tableau1[ID-SLOT],0))&amp;""</f>
        <v>S4</v>
      </c>
      <c r="AG1017" s="108" t="str">
        <f>INDEX(Tableau2[Repere-Voie],MATCH(Tableau3[[#This Row],[ID-VOIE]],Tableau2[ID-Voie],0))&amp;""</f>
        <v>v7</v>
      </c>
      <c r="AH1017" s="72" t="str">
        <f>Tableau3[[#This Row],[ID-API]]&amp; "." &amp;Tableau3[[#This Row],[ID-RACK]]&amp; "." &amp;Tableau3[[#This Row],[ID-SLOT]]</f>
        <v>6.2.4</v>
      </c>
      <c r="AI1017" s="72" t="str">
        <f>INDEX(Tableau1[Ref-Carte],MATCH(Tableau3[[#This Row],[ID-RRS]],Tableau1[ID-RRS],0))</f>
        <v>SDO0802</v>
      </c>
      <c r="AJ1017" s="72" t="str">
        <f t="array" ref="AJ1017">IFERROR(INDEX(Tableau2[TS],MATCH(1,(Tableau2[Ref-Carte]=Tableau3[[#This Row],[Ref-Carte2]])*(Tableau2[ID-Voie]=Tableau3[[#This Row],[ID-VOIE]]),0)),"")</f>
        <v>ST</v>
      </c>
      <c r="AK1017" s="72" t="str">
        <f>IFERROR(INDEX(Tableau2[TS],SUMPRODUCT((Tableau2[Ref-Carte]=Tableau3[[#This Row],[Ref-Carte2]])*(Tableau2[ID-Voie]=Tableau3[[#This Row],[ID-VOIE]])*ROW(Tableau2[TS]))-ROW(Tableau2[#Headers])),"")</f>
        <v>ST</v>
      </c>
      <c r="AL1017" s="72" t="str">
        <f>Tableau3[[#This Row],[Ref-Carte2]]&amp;"/"&amp;Tableau3[[#This Row],[ID-VOIE]]</f>
        <v>SDO0802/7</v>
      </c>
      <c r="AM1017" s="73" t="str">
        <f>INDEX(Tableau2[Borne],MATCH(Tableau3[[#This Row],[ID-CARTEVOIE]],Tableau2[ID-CARTEVOIE],0))&amp;""</f>
        <v>7</v>
      </c>
      <c r="AN1017" s="74" t="str">
        <f>Tableau3[[#This Row],[ID-API]]&amp;Tableau3[[#This Row],[ID-RACK]]&amp;Tableau3[[#This Row],[ID-SLOT]]&amp;Tableau3[[#This Row],[BORNE]]</f>
        <v>6247</v>
      </c>
      <c r="AO1017" s="1"/>
    </row>
    <row r="1018" spans="1:41" ht="20.100000000000001" customHeight="1" thickTop="1" thickBot="1">
      <c r="A1018" s="68"/>
      <c r="B1018" s="69" t="str">
        <f>IFERROR(INDEX(Tableau4[Date],MATCH($A1018,Tableau4[EVO],0)),"")</f>
        <v/>
      </c>
      <c r="C1018" s="68" t="str">
        <f>IFERROR(INDEX(Tableau4[Designation],MATCH($A1018,Tableau4[EVO],0)),"")</f>
        <v/>
      </c>
      <c r="D1018" s="68"/>
      <c r="E1018" s="70">
        <v>124</v>
      </c>
      <c r="F1018" s="71">
        <v>13</v>
      </c>
      <c r="G1018" s="101" t="str">
        <f>INDEX(Tableau8[Att1],MATCH(Tableau3[[#This Row],[ID-INS]],Tableau8[ID],0))&amp;""</f>
        <v>B22</v>
      </c>
      <c r="H1018" s="101" t="str">
        <f>INDEX(Tableau8[Att2],MATCH(Tableau3[[#This Row],[ID-INS]],Tableau8[ID],0))&amp;""</f>
        <v>UTLB9_2</v>
      </c>
      <c r="I1018" s="101" t="str">
        <f>INDEX(Tableau8[Att3],MATCH(Tableau3[[#This Row],[ID-INS]],Tableau8[ID],0))&amp;""</f>
        <v>UTL bleue IDP12/TRSD3-2/FRX6</v>
      </c>
      <c r="J1018" s="101"/>
      <c r="K1018" s="167" t="str">
        <f>INDEX(Tableau8[Nom du modele],MATCH(Tableau3[[#This Row],[ID-INS]],Tableau8[ID],0))&amp;""</f>
        <v>UTL</v>
      </c>
      <c r="L1018" s="99" t="str">
        <f>INDEX(Tableau5[Att1],MATCH(Tableau3[[#This Row],[ID-SIG]],Tableau5[ID],0))&amp;""</f>
        <v>PassEffec</v>
      </c>
      <c r="M1018" s="99" t="str">
        <f>INDEX(Tableau5[Att2],MATCH(Tableau3[[#This Row],[ID-SIG]],Tableau5[ID],0))&amp;""</f>
        <v/>
      </c>
      <c r="N1018" s="99" t="str">
        <f>INDEX(Tableau5[Att3],MATCH(Tableau3[[#This Row],[ID-SIG]],Tableau5[ID],0))&amp;""</f>
        <v/>
      </c>
      <c r="O1018" s="99"/>
      <c r="P1018" s="99" t="str">
        <f>INDEX(Tableau5[Description],MATCH(Tableau3[[#This Row],[ID-SIG]],Tableau5[ID],0))</f>
        <v>Commande passage effectué vers UTL</v>
      </c>
      <c r="Q1018" s="99"/>
      <c r="R1018" s="103" t="str">
        <f>Tableau3[[#This Row],[Description]]</f>
        <v>Commande passage effectué vers UTL</v>
      </c>
      <c r="U1018" s="87">
        <v>6</v>
      </c>
      <c r="V1018" s="87">
        <v>2</v>
      </c>
      <c r="W1018" s="87">
        <v>5</v>
      </c>
      <c r="X1018" s="87">
        <v>0</v>
      </c>
      <c r="Y1018" s="41"/>
      <c r="Z1018" s="165" t="str">
        <f>INDEX(Tableau2[TS],MATCH(Tableau3[[#This Row],[ID-CARTEVOIE]],Tableau2[ID-CARTEVOIE],0))</f>
        <v>ST</v>
      </c>
      <c r="AA1018" s="53" t="s">
        <v>213</v>
      </c>
      <c r="AB1018" s="223" t="str">
        <f>IFERROR(INDEX(Tableau5[Reserve],MATCH(Tableau3[[#This Row],[ID-SIG]],Tableau5[ID],0))&amp;"","")</f>
        <v/>
      </c>
      <c r="AC1018" s="21"/>
      <c r="AD1018" s="108" t="str">
        <f>INDEX(Tableau7[Repere],MATCH(Tableau3[[#This Row],[ID-API]],Tableau7[ID-API],0))&amp;""</f>
        <v>A6</v>
      </c>
      <c r="AE1018" s="108" t="str">
        <f>INDEX(Tableau1[Repere-Rack],MATCH(Tableau3[[#This Row],[ID-RACK]],Tableau1[ID-RACK],0))&amp;""</f>
        <v>R2</v>
      </c>
      <c r="AF1018" s="108" t="str">
        <f>INDEX(Tableau1[Repere-Slot],MATCH(Tableau3[[#This Row],[ID-SLOT]],Tableau1[ID-SLOT],0))&amp;""</f>
        <v>S5</v>
      </c>
      <c r="AG1018" s="108" t="str">
        <f>INDEX(Tableau2[Repere-Voie],MATCH(Tableau3[[#This Row],[ID-VOIE]],Tableau2[ID-Voie],0))&amp;""</f>
        <v>v0</v>
      </c>
      <c r="AH1018" s="72" t="str">
        <f>Tableau3[[#This Row],[ID-API]]&amp; "." &amp;Tableau3[[#This Row],[ID-RACK]]&amp; "." &amp;Tableau3[[#This Row],[ID-SLOT]]</f>
        <v>6.2.5</v>
      </c>
      <c r="AI1018" s="72" t="str">
        <f>INDEX(Tableau1[Ref-Carte],MATCH(Tableau3[[#This Row],[ID-RRS]],Tableau1[ID-RRS],0))</f>
        <v>SDO0802</v>
      </c>
      <c r="AJ1018" s="72" t="str">
        <f t="array" ref="AJ1018">IFERROR(INDEX(Tableau2[TS],MATCH(1,(Tableau2[Ref-Carte]=Tableau3[[#This Row],[Ref-Carte2]])*(Tableau2[ID-Voie]=Tableau3[[#This Row],[ID-VOIE]]),0)),"")</f>
        <v>ST</v>
      </c>
      <c r="AK1018" s="72" t="str">
        <f>IFERROR(INDEX(Tableau2[TS],SUMPRODUCT((Tableau2[Ref-Carte]=Tableau3[[#This Row],[Ref-Carte2]])*(Tableau2[ID-Voie]=Tableau3[[#This Row],[ID-VOIE]])*ROW(Tableau2[TS]))-ROW(Tableau2[#Headers])),"")</f>
        <v>ST</v>
      </c>
      <c r="AL1018" s="72" t="str">
        <f>Tableau3[[#This Row],[Ref-Carte2]]&amp;"/"&amp;Tableau3[[#This Row],[ID-VOIE]]</f>
        <v>SDO0802/0</v>
      </c>
      <c r="AM1018" s="73" t="str">
        <f>INDEX(Tableau2[Borne],MATCH(Tableau3[[#This Row],[ID-CARTEVOIE]],Tableau2[ID-CARTEVOIE],0))&amp;""</f>
        <v>0</v>
      </c>
      <c r="AN1018" s="74" t="str">
        <f>Tableau3[[#This Row],[ID-API]]&amp;Tableau3[[#This Row],[ID-RACK]]&amp;Tableau3[[#This Row],[ID-SLOT]]&amp;Tableau3[[#This Row],[BORNE]]</f>
        <v>6250</v>
      </c>
      <c r="AO1018" s="1"/>
    </row>
    <row r="1019" spans="1:41" ht="20.100000000000001" customHeight="1" thickTop="1" thickBot="1">
      <c r="A1019" s="68"/>
      <c r="B1019" s="69" t="str">
        <f>IFERROR(INDEX(Tableau4[Date],MATCH($A1019,Tableau4[EVO],0)),"")</f>
        <v/>
      </c>
      <c r="C1019" s="68" t="str">
        <f>IFERROR(INDEX(Tableau4[Designation],MATCH($A1019,Tableau4[EVO],0)),"")</f>
        <v/>
      </c>
      <c r="D1019" s="68"/>
      <c r="E1019" s="70">
        <v>124</v>
      </c>
      <c r="F1019" s="71">
        <v>14</v>
      </c>
      <c r="G1019" s="101" t="str">
        <f>INDEX(Tableau8[Att1],MATCH(Tableau3[[#This Row],[ID-INS]],Tableau8[ID],0))&amp;""</f>
        <v>B22</v>
      </c>
      <c r="H1019" s="101" t="str">
        <f>INDEX(Tableau8[Att2],MATCH(Tableau3[[#This Row],[ID-INS]],Tableau8[ID],0))&amp;""</f>
        <v>UTLB9_2</v>
      </c>
      <c r="I1019" s="101" t="str">
        <f>INDEX(Tableau8[Att3],MATCH(Tableau3[[#This Row],[ID-INS]],Tableau8[ID],0))&amp;""</f>
        <v>UTL bleue IDP12/TRSD3-2/FRX6</v>
      </c>
      <c r="J1019" s="101"/>
      <c r="K1019" s="167" t="str">
        <f>INDEX(Tableau8[Nom du modele],MATCH(Tableau3[[#This Row],[ID-INS]],Tableau8[ID],0))&amp;""</f>
        <v>UTL</v>
      </c>
      <c r="L1019" s="99" t="str">
        <f>INDEX(Tableau5[Att1],MATCH(Tableau3[[#This Row],[ID-SIG]],Tableau5[ID],0))&amp;""</f>
        <v>AutorBadge</v>
      </c>
      <c r="M1019" s="99" t="str">
        <f>INDEX(Tableau5[Att2],MATCH(Tableau3[[#This Row],[ID-SIG]],Tableau5[ID],0))&amp;""</f>
        <v/>
      </c>
      <c r="N1019" s="99" t="str">
        <f>INDEX(Tableau5[Att3],MATCH(Tableau3[[#This Row],[ID-SIG]],Tableau5[ID],0))&amp;""</f>
        <v/>
      </c>
      <c r="O1019" s="99"/>
      <c r="P1019" s="99" t="str">
        <f>INDEX(Tableau5[Description],MATCH(Tableau3[[#This Row],[ID-SIG]],Tableau5[ID],0))</f>
        <v>Commande autorisation badgeage vers UTL</v>
      </c>
      <c r="Q1019" s="99"/>
      <c r="R1019" s="103" t="str">
        <f>Tableau3[[#This Row],[Description]]</f>
        <v>Commande autorisation badgeage vers UTL</v>
      </c>
      <c r="U1019" s="87">
        <v>6</v>
      </c>
      <c r="V1019" s="87">
        <v>2</v>
      </c>
      <c r="W1019" s="87">
        <v>5</v>
      </c>
      <c r="X1019" s="87">
        <v>1</v>
      </c>
      <c r="Y1019" s="41"/>
      <c r="Z1019" s="165" t="str">
        <f>INDEX(Tableau2[TS],MATCH(Tableau3[[#This Row],[ID-CARTEVOIE]],Tableau2[ID-CARTEVOIE],0))</f>
        <v>ST</v>
      </c>
      <c r="AA1019" s="53" t="s">
        <v>213</v>
      </c>
      <c r="AB1019" s="223" t="str">
        <f>IFERROR(INDEX(Tableau5[Reserve],MATCH(Tableau3[[#This Row],[ID-SIG]],Tableau5[ID],0))&amp;"","")</f>
        <v/>
      </c>
      <c r="AC1019" s="21"/>
      <c r="AD1019" s="108" t="str">
        <f>INDEX(Tableau7[Repere],MATCH(Tableau3[[#This Row],[ID-API]],Tableau7[ID-API],0))&amp;""</f>
        <v>A6</v>
      </c>
      <c r="AE1019" s="108" t="str">
        <f>INDEX(Tableau1[Repere-Rack],MATCH(Tableau3[[#This Row],[ID-RACK]],Tableau1[ID-RACK],0))&amp;""</f>
        <v>R2</v>
      </c>
      <c r="AF1019" s="108" t="str">
        <f>INDEX(Tableau1[Repere-Slot],MATCH(Tableau3[[#This Row],[ID-SLOT]],Tableau1[ID-SLOT],0))&amp;""</f>
        <v>S5</v>
      </c>
      <c r="AG1019" s="108" t="str">
        <f>INDEX(Tableau2[Repere-Voie],MATCH(Tableau3[[#This Row],[ID-VOIE]],Tableau2[ID-Voie],0))&amp;""</f>
        <v>v1</v>
      </c>
      <c r="AH1019" s="72" t="str">
        <f>Tableau3[[#This Row],[ID-API]]&amp; "." &amp;Tableau3[[#This Row],[ID-RACK]]&amp; "." &amp;Tableau3[[#This Row],[ID-SLOT]]</f>
        <v>6.2.5</v>
      </c>
      <c r="AI1019" s="72" t="str">
        <f>INDEX(Tableau1[Ref-Carte],MATCH(Tableau3[[#This Row],[ID-RRS]],Tableau1[ID-RRS],0))</f>
        <v>SDO0802</v>
      </c>
      <c r="AJ1019" s="72" t="str">
        <f t="array" ref="AJ1019">IFERROR(INDEX(Tableau2[TS],MATCH(1,(Tableau2[Ref-Carte]=Tableau3[[#This Row],[Ref-Carte2]])*(Tableau2[ID-Voie]=Tableau3[[#This Row],[ID-VOIE]]),0)),"")</f>
        <v>ST</v>
      </c>
      <c r="AK1019" s="72" t="str">
        <f>IFERROR(INDEX(Tableau2[TS],SUMPRODUCT((Tableau2[Ref-Carte]=Tableau3[[#This Row],[Ref-Carte2]])*(Tableau2[ID-Voie]=Tableau3[[#This Row],[ID-VOIE]])*ROW(Tableau2[TS]))-ROW(Tableau2[#Headers])),"")</f>
        <v>ST</v>
      </c>
      <c r="AL1019" s="72" t="str">
        <f>Tableau3[[#This Row],[Ref-Carte2]]&amp;"/"&amp;Tableau3[[#This Row],[ID-VOIE]]</f>
        <v>SDO0802/1</v>
      </c>
      <c r="AM1019" s="73" t="str">
        <f>INDEX(Tableau2[Borne],MATCH(Tableau3[[#This Row],[ID-CARTEVOIE]],Tableau2[ID-CARTEVOIE],0))&amp;""</f>
        <v>1</v>
      </c>
      <c r="AN1019" s="74" t="str">
        <f>Tableau3[[#This Row],[ID-API]]&amp;Tableau3[[#This Row],[ID-RACK]]&amp;Tableau3[[#This Row],[ID-SLOT]]&amp;Tableau3[[#This Row],[BORNE]]</f>
        <v>6251</v>
      </c>
      <c r="AO1019" s="1"/>
    </row>
    <row r="1020" spans="1:41" ht="20.100000000000001" customHeight="1" thickTop="1" thickBot="1">
      <c r="A1020" s="68"/>
      <c r="B1020" s="69" t="str">
        <f>IFERROR(INDEX(Tableau4[Date],MATCH($A1020,Tableau4[EVO],0)),"")</f>
        <v/>
      </c>
      <c r="C1020" s="68" t="str">
        <f>IFERROR(INDEX(Tableau4[Designation],MATCH($A1020,Tableau4[EVO],0)),"")</f>
        <v/>
      </c>
      <c r="D1020" s="68"/>
      <c r="E1020" s="70">
        <v>125</v>
      </c>
      <c r="F1020" s="71">
        <v>13</v>
      </c>
      <c r="G1020" s="101" t="str">
        <f>INDEX(Tableau8[Att1],MATCH(Tableau3[[#This Row],[ID-INS]],Tableau8[ID],0))&amp;""</f>
        <v>B22</v>
      </c>
      <c r="H1020" s="101" t="str">
        <f>INDEX(Tableau8[Att2],MATCH(Tableau3[[#This Row],[ID-INS]],Tableau8[ID],0))&amp;""</f>
        <v>UTLB10</v>
      </c>
      <c r="I1020" s="101" t="str">
        <f>INDEX(Tableau8[Att3],MATCH(Tableau3[[#This Row],[ID-INS]],Tableau8[ID],0))&amp;""</f>
        <v>UTL bleue AUTP4/PMR5/FRX7</v>
      </c>
      <c r="J1020" s="101"/>
      <c r="K1020" s="167" t="str">
        <f>INDEX(Tableau8[Nom du modele],MATCH(Tableau3[[#This Row],[ID-INS]],Tableau8[ID],0))&amp;""</f>
        <v>UTL</v>
      </c>
      <c r="L1020" s="99" t="str">
        <f>INDEX(Tableau5[Att1],MATCH(Tableau3[[#This Row],[ID-SIG]],Tableau5[ID],0))&amp;""</f>
        <v>PassEffec</v>
      </c>
      <c r="M1020" s="99" t="str">
        <f>INDEX(Tableau5[Att2],MATCH(Tableau3[[#This Row],[ID-SIG]],Tableau5[ID],0))&amp;""</f>
        <v/>
      </c>
      <c r="N1020" s="99" t="str">
        <f>INDEX(Tableau5[Att3],MATCH(Tableau3[[#This Row],[ID-SIG]],Tableau5[ID],0))&amp;""</f>
        <v/>
      </c>
      <c r="O1020" s="99"/>
      <c r="P1020" s="99" t="str">
        <f>INDEX(Tableau5[Description],MATCH(Tableau3[[#This Row],[ID-SIG]],Tableau5[ID],0))</f>
        <v>Commande passage effectué vers UTL</v>
      </c>
      <c r="Q1020" s="99"/>
      <c r="R1020" s="103" t="str">
        <f>Tableau3[[#This Row],[Description]]</f>
        <v>Commande passage effectué vers UTL</v>
      </c>
      <c r="U1020" s="87">
        <v>6</v>
      </c>
      <c r="V1020" s="87">
        <v>2</v>
      </c>
      <c r="W1020" s="87">
        <v>5</v>
      </c>
      <c r="X1020" s="87">
        <v>2</v>
      </c>
      <c r="Y1020" s="41"/>
      <c r="Z1020" s="165" t="str">
        <f>INDEX(Tableau2[TS],MATCH(Tableau3[[#This Row],[ID-CARTEVOIE]],Tableau2[ID-CARTEVOIE],0))</f>
        <v>ST</v>
      </c>
      <c r="AA1020" s="53" t="s">
        <v>213</v>
      </c>
      <c r="AB1020" s="223" t="str">
        <f>IFERROR(INDEX(Tableau5[Reserve],MATCH(Tableau3[[#This Row],[ID-SIG]],Tableau5[ID],0))&amp;"","")</f>
        <v/>
      </c>
      <c r="AC1020" s="21"/>
      <c r="AD1020" s="108" t="str">
        <f>INDEX(Tableau7[Repere],MATCH(Tableau3[[#This Row],[ID-API]],Tableau7[ID-API],0))&amp;""</f>
        <v>A6</v>
      </c>
      <c r="AE1020" s="108" t="str">
        <f>INDEX(Tableau1[Repere-Rack],MATCH(Tableau3[[#This Row],[ID-RACK]],Tableau1[ID-RACK],0))&amp;""</f>
        <v>R2</v>
      </c>
      <c r="AF1020" s="108" t="str">
        <f>INDEX(Tableau1[Repere-Slot],MATCH(Tableau3[[#This Row],[ID-SLOT]],Tableau1[ID-SLOT],0))&amp;""</f>
        <v>S5</v>
      </c>
      <c r="AG1020" s="108" t="str">
        <f>INDEX(Tableau2[Repere-Voie],MATCH(Tableau3[[#This Row],[ID-VOIE]],Tableau2[ID-Voie],0))&amp;""</f>
        <v>v2</v>
      </c>
      <c r="AH1020" s="72" t="str">
        <f>Tableau3[[#This Row],[ID-API]]&amp; "." &amp;Tableau3[[#This Row],[ID-RACK]]&amp; "." &amp;Tableau3[[#This Row],[ID-SLOT]]</f>
        <v>6.2.5</v>
      </c>
      <c r="AI1020" s="72" t="str">
        <f>INDEX(Tableau1[Ref-Carte],MATCH(Tableau3[[#This Row],[ID-RRS]],Tableau1[ID-RRS],0))</f>
        <v>SDO0802</v>
      </c>
      <c r="AJ1020" s="72" t="str">
        <f t="array" ref="AJ1020">IFERROR(INDEX(Tableau2[TS],MATCH(1,(Tableau2[Ref-Carte]=Tableau3[[#This Row],[Ref-Carte2]])*(Tableau2[ID-Voie]=Tableau3[[#This Row],[ID-VOIE]]),0)),"")</f>
        <v>ST</v>
      </c>
      <c r="AK1020" s="72" t="str">
        <f>IFERROR(INDEX(Tableau2[TS],SUMPRODUCT((Tableau2[Ref-Carte]=Tableau3[[#This Row],[Ref-Carte2]])*(Tableau2[ID-Voie]=Tableau3[[#This Row],[ID-VOIE]])*ROW(Tableau2[TS]))-ROW(Tableau2[#Headers])),"")</f>
        <v>ST</v>
      </c>
      <c r="AL1020" s="72" t="str">
        <f>Tableau3[[#This Row],[Ref-Carte2]]&amp;"/"&amp;Tableau3[[#This Row],[ID-VOIE]]</f>
        <v>SDO0802/2</v>
      </c>
      <c r="AM1020" s="73" t="str">
        <f>INDEX(Tableau2[Borne],MATCH(Tableau3[[#This Row],[ID-CARTEVOIE]],Tableau2[ID-CARTEVOIE],0))&amp;""</f>
        <v>2</v>
      </c>
      <c r="AN1020" s="74" t="str">
        <f>Tableau3[[#This Row],[ID-API]]&amp;Tableau3[[#This Row],[ID-RACK]]&amp;Tableau3[[#This Row],[ID-SLOT]]&amp;Tableau3[[#This Row],[BORNE]]</f>
        <v>6252</v>
      </c>
      <c r="AO1020" s="1"/>
    </row>
    <row r="1021" spans="1:41" ht="20.100000000000001" customHeight="1" thickTop="1" thickBot="1">
      <c r="A1021" s="68"/>
      <c r="B1021" s="69" t="str">
        <f>IFERROR(INDEX(Tableau4[Date],MATCH($A1021,Tableau4[EVO],0)),"")</f>
        <v/>
      </c>
      <c r="C1021" s="68" t="str">
        <f>IFERROR(INDEX(Tableau4[Designation],MATCH($A1021,Tableau4[EVO],0)),"")</f>
        <v/>
      </c>
      <c r="D1021" s="68"/>
      <c r="E1021" s="70">
        <v>125</v>
      </c>
      <c r="F1021" s="71">
        <v>14</v>
      </c>
      <c r="G1021" s="101" t="str">
        <f>INDEX(Tableau8[Att1],MATCH(Tableau3[[#This Row],[ID-INS]],Tableau8[ID],0))&amp;""</f>
        <v>B22</v>
      </c>
      <c r="H1021" s="101" t="str">
        <f>INDEX(Tableau8[Att2],MATCH(Tableau3[[#This Row],[ID-INS]],Tableau8[ID],0))&amp;""</f>
        <v>UTLB10</v>
      </c>
      <c r="I1021" s="101" t="str">
        <f>INDEX(Tableau8[Att3],MATCH(Tableau3[[#This Row],[ID-INS]],Tableau8[ID],0))&amp;""</f>
        <v>UTL bleue AUTP4/PMR5/FRX7</v>
      </c>
      <c r="J1021" s="101"/>
      <c r="K1021" s="167" t="str">
        <f>INDEX(Tableau8[Nom du modele],MATCH(Tableau3[[#This Row],[ID-INS]],Tableau8[ID],0))&amp;""</f>
        <v>UTL</v>
      </c>
      <c r="L1021" s="99" t="str">
        <f>INDEX(Tableau5[Att1],MATCH(Tableau3[[#This Row],[ID-SIG]],Tableau5[ID],0))&amp;""</f>
        <v>AutorBadge</v>
      </c>
      <c r="M1021" s="99" t="str">
        <f>INDEX(Tableau5[Att2],MATCH(Tableau3[[#This Row],[ID-SIG]],Tableau5[ID],0))&amp;""</f>
        <v/>
      </c>
      <c r="N1021" s="99" t="str">
        <f>INDEX(Tableau5[Att3],MATCH(Tableau3[[#This Row],[ID-SIG]],Tableau5[ID],0))&amp;""</f>
        <v/>
      </c>
      <c r="O1021" s="99"/>
      <c r="P1021" s="99" t="str">
        <f>INDEX(Tableau5[Description],MATCH(Tableau3[[#This Row],[ID-SIG]],Tableau5[ID],0))</f>
        <v>Commande autorisation badgeage vers UTL</v>
      </c>
      <c r="Q1021" s="99"/>
      <c r="R1021" s="103" t="str">
        <f>Tableau3[[#This Row],[Description]]</f>
        <v>Commande autorisation badgeage vers UTL</v>
      </c>
      <c r="U1021" s="87">
        <v>6</v>
      </c>
      <c r="V1021" s="87">
        <v>2</v>
      </c>
      <c r="W1021" s="87">
        <v>5</v>
      </c>
      <c r="X1021" s="87">
        <v>3</v>
      </c>
      <c r="Y1021" s="41"/>
      <c r="Z1021" s="165" t="str">
        <f>INDEX(Tableau2[TS],MATCH(Tableau3[[#This Row],[ID-CARTEVOIE]],Tableau2[ID-CARTEVOIE],0))</f>
        <v>ST</v>
      </c>
      <c r="AA1021" s="53" t="s">
        <v>213</v>
      </c>
      <c r="AB1021" s="223" t="str">
        <f>IFERROR(INDEX(Tableau5[Reserve],MATCH(Tableau3[[#This Row],[ID-SIG]],Tableau5[ID],0))&amp;"","")</f>
        <v/>
      </c>
      <c r="AC1021" s="21"/>
      <c r="AD1021" s="108" t="str">
        <f>INDEX(Tableau7[Repere],MATCH(Tableau3[[#This Row],[ID-API]],Tableau7[ID-API],0))&amp;""</f>
        <v>A6</v>
      </c>
      <c r="AE1021" s="108" t="str">
        <f>INDEX(Tableau1[Repere-Rack],MATCH(Tableau3[[#This Row],[ID-RACK]],Tableau1[ID-RACK],0))&amp;""</f>
        <v>R2</v>
      </c>
      <c r="AF1021" s="108" t="str">
        <f>INDEX(Tableau1[Repere-Slot],MATCH(Tableau3[[#This Row],[ID-SLOT]],Tableau1[ID-SLOT],0))&amp;""</f>
        <v>S5</v>
      </c>
      <c r="AG1021" s="108" t="str">
        <f>INDEX(Tableau2[Repere-Voie],MATCH(Tableau3[[#This Row],[ID-VOIE]],Tableau2[ID-Voie],0))&amp;""</f>
        <v>v3</v>
      </c>
      <c r="AH1021" s="72" t="str">
        <f>Tableau3[[#This Row],[ID-API]]&amp; "." &amp;Tableau3[[#This Row],[ID-RACK]]&amp; "." &amp;Tableau3[[#This Row],[ID-SLOT]]</f>
        <v>6.2.5</v>
      </c>
      <c r="AI1021" s="72" t="str">
        <f>INDEX(Tableau1[Ref-Carte],MATCH(Tableau3[[#This Row],[ID-RRS]],Tableau1[ID-RRS],0))</f>
        <v>SDO0802</v>
      </c>
      <c r="AJ1021" s="72" t="str">
        <f t="array" ref="AJ1021">IFERROR(INDEX(Tableau2[TS],MATCH(1,(Tableau2[Ref-Carte]=Tableau3[[#This Row],[Ref-Carte2]])*(Tableau2[ID-Voie]=Tableau3[[#This Row],[ID-VOIE]]),0)),"")</f>
        <v>ST</v>
      </c>
      <c r="AK1021" s="72" t="str">
        <f>IFERROR(INDEX(Tableau2[TS],SUMPRODUCT((Tableau2[Ref-Carte]=Tableau3[[#This Row],[Ref-Carte2]])*(Tableau2[ID-Voie]=Tableau3[[#This Row],[ID-VOIE]])*ROW(Tableau2[TS]))-ROW(Tableau2[#Headers])),"")</f>
        <v>ST</v>
      </c>
      <c r="AL1021" s="72" t="str">
        <f>Tableau3[[#This Row],[Ref-Carte2]]&amp;"/"&amp;Tableau3[[#This Row],[ID-VOIE]]</f>
        <v>SDO0802/3</v>
      </c>
      <c r="AM1021" s="73" t="str">
        <f>INDEX(Tableau2[Borne],MATCH(Tableau3[[#This Row],[ID-CARTEVOIE]],Tableau2[ID-CARTEVOIE],0))&amp;""</f>
        <v>3</v>
      </c>
      <c r="AN1021" s="74" t="str">
        <f>Tableau3[[#This Row],[ID-API]]&amp;Tableau3[[#This Row],[ID-RACK]]&amp;Tableau3[[#This Row],[ID-SLOT]]&amp;Tableau3[[#This Row],[BORNE]]</f>
        <v>6253</v>
      </c>
      <c r="AO1021" s="1"/>
    </row>
    <row r="1022" spans="1:41" ht="20.100000000000001" customHeight="1" thickTop="1" thickBot="1">
      <c r="A1022" s="68"/>
      <c r="B1022" s="69" t="str">
        <f>IFERROR(INDEX(Tableau4[Date],MATCH($A1022,Tableau4[EVO],0)),"")</f>
        <v/>
      </c>
      <c r="C1022" s="68" t="str">
        <f>IFERROR(INDEX(Tableau4[Designation],MATCH($A1022,Tableau4[EVO],0)),"")</f>
        <v/>
      </c>
      <c r="D1022" s="68"/>
      <c r="E1022" s="70">
        <v>126</v>
      </c>
      <c r="F1022" s="71">
        <v>13</v>
      </c>
      <c r="G1022" s="101" t="str">
        <f>INDEX(Tableau8[Att1],MATCH(Tableau3[[#This Row],[ID-INS]],Tableau8[ID],0))&amp;""</f>
        <v>B22</v>
      </c>
      <c r="H1022" s="101" t="str">
        <f>INDEX(Tableau8[Att2],MATCH(Tableau3[[#This Row],[ID-INS]],Tableau8[ID],0))&amp;""</f>
        <v>UTLB11</v>
      </c>
      <c r="I1022" s="101" t="str">
        <f>INDEX(Tableau8[Att3],MATCH(Tableau3[[#This Row],[ID-INS]],Tableau8[ID],0))&amp;""</f>
        <v>UTL bleue IDP13/PMR6</v>
      </c>
      <c r="J1022" s="101"/>
      <c r="K1022" s="167" t="str">
        <f>INDEX(Tableau8[Nom du modele],MATCH(Tableau3[[#This Row],[ID-INS]],Tableau8[ID],0))&amp;""</f>
        <v>UTL</v>
      </c>
      <c r="L1022" s="99" t="str">
        <f>INDEX(Tableau5[Att1],MATCH(Tableau3[[#This Row],[ID-SIG]],Tableau5[ID],0))&amp;""</f>
        <v>PassEffec</v>
      </c>
      <c r="M1022" s="99" t="str">
        <f>INDEX(Tableau5[Att2],MATCH(Tableau3[[#This Row],[ID-SIG]],Tableau5[ID],0))&amp;""</f>
        <v/>
      </c>
      <c r="N1022" s="99" t="str">
        <f>INDEX(Tableau5[Att3],MATCH(Tableau3[[#This Row],[ID-SIG]],Tableau5[ID],0))&amp;""</f>
        <v/>
      </c>
      <c r="O1022" s="99"/>
      <c r="P1022" s="99" t="str">
        <f>INDEX(Tableau5[Description],MATCH(Tableau3[[#This Row],[ID-SIG]],Tableau5[ID],0))</f>
        <v>Commande passage effectué vers UTL</v>
      </c>
      <c r="Q1022" s="99"/>
      <c r="R1022" s="103" t="str">
        <f>Tableau3[[#This Row],[Description]]</f>
        <v>Commande passage effectué vers UTL</v>
      </c>
      <c r="U1022" s="87">
        <v>6</v>
      </c>
      <c r="V1022" s="87">
        <v>2</v>
      </c>
      <c r="W1022" s="87">
        <v>5</v>
      </c>
      <c r="X1022" s="87">
        <v>4</v>
      </c>
      <c r="Y1022" s="41"/>
      <c r="Z1022" s="165" t="str">
        <f>INDEX(Tableau2[TS],MATCH(Tableau3[[#This Row],[ID-CARTEVOIE]],Tableau2[ID-CARTEVOIE],0))</f>
        <v>ST</v>
      </c>
      <c r="AA1022" s="53" t="s">
        <v>213</v>
      </c>
      <c r="AB1022" s="223" t="str">
        <f>IFERROR(INDEX(Tableau5[Reserve],MATCH(Tableau3[[#This Row],[ID-SIG]],Tableau5[ID],0))&amp;"","")</f>
        <v/>
      </c>
      <c r="AC1022" s="21"/>
      <c r="AD1022" s="108" t="str">
        <f>INDEX(Tableau7[Repere],MATCH(Tableau3[[#This Row],[ID-API]],Tableau7[ID-API],0))&amp;""</f>
        <v>A6</v>
      </c>
      <c r="AE1022" s="108" t="str">
        <f>INDEX(Tableau1[Repere-Rack],MATCH(Tableau3[[#This Row],[ID-RACK]],Tableau1[ID-RACK],0))&amp;""</f>
        <v>R2</v>
      </c>
      <c r="AF1022" s="108" t="str">
        <f>INDEX(Tableau1[Repere-Slot],MATCH(Tableau3[[#This Row],[ID-SLOT]],Tableau1[ID-SLOT],0))&amp;""</f>
        <v>S5</v>
      </c>
      <c r="AG1022" s="108" t="str">
        <f>INDEX(Tableau2[Repere-Voie],MATCH(Tableau3[[#This Row],[ID-VOIE]],Tableau2[ID-Voie],0))&amp;""</f>
        <v>v4</v>
      </c>
      <c r="AH1022" s="72" t="str">
        <f>Tableau3[[#This Row],[ID-API]]&amp; "." &amp;Tableau3[[#This Row],[ID-RACK]]&amp; "." &amp;Tableau3[[#This Row],[ID-SLOT]]</f>
        <v>6.2.5</v>
      </c>
      <c r="AI1022" s="72" t="str">
        <f>INDEX(Tableau1[Ref-Carte],MATCH(Tableau3[[#This Row],[ID-RRS]],Tableau1[ID-RRS],0))</f>
        <v>SDO0802</v>
      </c>
      <c r="AJ1022" s="72" t="str">
        <f t="array" ref="AJ1022">IFERROR(INDEX(Tableau2[TS],MATCH(1,(Tableau2[Ref-Carte]=Tableau3[[#This Row],[Ref-Carte2]])*(Tableau2[ID-Voie]=Tableau3[[#This Row],[ID-VOIE]]),0)),"")</f>
        <v>ST</v>
      </c>
      <c r="AK1022" s="72" t="str">
        <f>IFERROR(INDEX(Tableau2[TS],SUMPRODUCT((Tableau2[Ref-Carte]=Tableau3[[#This Row],[Ref-Carte2]])*(Tableau2[ID-Voie]=Tableau3[[#This Row],[ID-VOIE]])*ROW(Tableau2[TS]))-ROW(Tableau2[#Headers])),"")</f>
        <v>ST</v>
      </c>
      <c r="AL1022" s="72" t="str">
        <f>Tableau3[[#This Row],[Ref-Carte2]]&amp;"/"&amp;Tableau3[[#This Row],[ID-VOIE]]</f>
        <v>SDO0802/4</v>
      </c>
      <c r="AM1022" s="73" t="str">
        <f>INDEX(Tableau2[Borne],MATCH(Tableau3[[#This Row],[ID-CARTEVOIE]],Tableau2[ID-CARTEVOIE],0))&amp;""</f>
        <v>4</v>
      </c>
      <c r="AN1022" s="74" t="str">
        <f>Tableau3[[#This Row],[ID-API]]&amp;Tableau3[[#This Row],[ID-RACK]]&amp;Tableau3[[#This Row],[ID-SLOT]]&amp;Tableau3[[#This Row],[BORNE]]</f>
        <v>6254</v>
      </c>
      <c r="AO1022" s="1"/>
    </row>
    <row r="1023" spans="1:41" ht="20.100000000000001" customHeight="1" thickTop="1" thickBot="1">
      <c r="A1023" s="68"/>
      <c r="B1023" s="69" t="str">
        <f>IFERROR(INDEX(Tableau4[Date],MATCH($A1023,Tableau4[EVO],0)),"")</f>
        <v/>
      </c>
      <c r="C1023" s="68" t="str">
        <f>IFERROR(INDEX(Tableau4[Designation],MATCH($A1023,Tableau4[EVO],0)),"")</f>
        <v/>
      </c>
      <c r="D1023" s="68"/>
      <c r="E1023" s="70">
        <v>126</v>
      </c>
      <c r="F1023" s="71">
        <v>14</v>
      </c>
      <c r="G1023" s="101" t="str">
        <f>INDEX(Tableau8[Att1],MATCH(Tableau3[[#This Row],[ID-INS]],Tableau8[ID],0))&amp;""</f>
        <v>B22</v>
      </c>
      <c r="H1023" s="101" t="str">
        <f>INDEX(Tableau8[Att2],MATCH(Tableau3[[#This Row],[ID-INS]],Tableau8[ID],0))&amp;""</f>
        <v>UTLB11</v>
      </c>
      <c r="I1023" s="101" t="str">
        <f>INDEX(Tableau8[Att3],MATCH(Tableau3[[#This Row],[ID-INS]],Tableau8[ID],0))&amp;""</f>
        <v>UTL bleue IDP13/PMR6</v>
      </c>
      <c r="J1023" s="101"/>
      <c r="K1023" s="167" t="str">
        <f>INDEX(Tableau8[Nom du modele],MATCH(Tableau3[[#This Row],[ID-INS]],Tableau8[ID],0))&amp;""</f>
        <v>UTL</v>
      </c>
      <c r="L1023" s="99" t="str">
        <f>INDEX(Tableau5[Att1],MATCH(Tableau3[[#This Row],[ID-SIG]],Tableau5[ID],0))&amp;""</f>
        <v>AutorBadge</v>
      </c>
      <c r="M1023" s="99" t="str">
        <f>INDEX(Tableau5[Att2],MATCH(Tableau3[[#This Row],[ID-SIG]],Tableau5[ID],0))&amp;""</f>
        <v/>
      </c>
      <c r="N1023" s="99" t="str">
        <f>INDEX(Tableau5[Att3],MATCH(Tableau3[[#This Row],[ID-SIG]],Tableau5[ID],0))&amp;""</f>
        <v/>
      </c>
      <c r="O1023" s="99"/>
      <c r="P1023" s="99" t="str">
        <f>INDEX(Tableau5[Description],MATCH(Tableau3[[#This Row],[ID-SIG]],Tableau5[ID],0))</f>
        <v>Commande autorisation badgeage vers UTL</v>
      </c>
      <c r="Q1023" s="99"/>
      <c r="R1023" s="103" t="str">
        <f>Tableau3[[#This Row],[Description]]</f>
        <v>Commande autorisation badgeage vers UTL</v>
      </c>
      <c r="U1023" s="87">
        <v>6</v>
      </c>
      <c r="V1023" s="87">
        <v>2</v>
      </c>
      <c r="W1023" s="87">
        <v>5</v>
      </c>
      <c r="X1023" s="87">
        <v>5</v>
      </c>
      <c r="Y1023" s="41"/>
      <c r="Z1023" s="165" t="str">
        <f>INDEX(Tableau2[TS],MATCH(Tableau3[[#This Row],[ID-CARTEVOIE]],Tableau2[ID-CARTEVOIE],0))</f>
        <v>ST</v>
      </c>
      <c r="AA1023" s="53" t="s">
        <v>213</v>
      </c>
      <c r="AB1023" s="223" t="str">
        <f>IFERROR(INDEX(Tableau5[Reserve],MATCH(Tableau3[[#This Row],[ID-SIG]],Tableau5[ID],0))&amp;"","")</f>
        <v/>
      </c>
      <c r="AC1023" s="21"/>
      <c r="AD1023" s="108" t="str">
        <f>INDEX(Tableau7[Repere],MATCH(Tableau3[[#This Row],[ID-API]],Tableau7[ID-API],0))&amp;""</f>
        <v>A6</v>
      </c>
      <c r="AE1023" s="108" t="str">
        <f>INDEX(Tableau1[Repere-Rack],MATCH(Tableau3[[#This Row],[ID-RACK]],Tableau1[ID-RACK],0))&amp;""</f>
        <v>R2</v>
      </c>
      <c r="AF1023" s="108" t="str">
        <f>INDEX(Tableau1[Repere-Slot],MATCH(Tableau3[[#This Row],[ID-SLOT]],Tableau1[ID-SLOT],0))&amp;""</f>
        <v>S5</v>
      </c>
      <c r="AG1023" s="108" t="str">
        <f>INDEX(Tableau2[Repere-Voie],MATCH(Tableau3[[#This Row],[ID-VOIE]],Tableau2[ID-Voie],0))&amp;""</f>
        <v>v5</v>
      </c>
      <c r="AH1023" s="72" t="str">
        <f>Tableau3[[#This Row],[ID-API]]&amp; "." &amp;Tableau3[[#This Row],[ID-RACK]]&amp; "." &amp;Tableau3[[#This Row],[ID-SLOT]]</f>
        <v>6.2.5</v>
      </c>
      <c r="AI1023" s="72" t="str">
        <f>INDEX(Tableau1[Ref-Carte],MATCH(Tableau3[[#This Row],[ID-RRS]],Tableau1[ID-RRS],0))</f>
        <v>SDO0802</v>
      </c>
      <c r="AJ1023" s="72" t="str">
        <f t="array" ref="AJ1023">IFERROR(INDEX(Tableau2[TS],MATCH(1,(Tableau2[Ref-Carte]=Tableau3[[#This Row],[Ref-Carte2]])*(Tableau2[ID-Voie]=Tableau3[[#This Row],[ID-VOIE]]),0)),"")</f>
        <v>ST</v>
      </c>
      <c r="AK1023" s="72" t="str">
        <f>IFERROR(INDEX(Tableau2[TS],SUMPRODUCT((Tableau2[Ref-Carte]=Tableau3[[#This Row],[Ref-Carte2]])*(Tableau2[ID-Voie]=Tableau3[[#This Row],[ID-VOIE]])*ROW(Tableau2[TS]))-ROW(Tableau2[#Headers])),"")</f>
        <v>ST</v>
      </c>
      <c r="AL1023" s="72" t="str">
        <f>Tableau3[[#This Row],[Ref-Carte2]]&amp;"/"&amp;Tableau3[[#This Row],[ID-VOIE]]</f>
        <v>SDO0802/5</v>
      </c>
      <c r="AM1023" s="73" t="str">
        <f>INDEX(Tableau2[Borne],MATCH(Tableau3[[#This Row],[ID-CARTEVOIE]],Tableau2[ID-CARTEVOIE],0))&amp;""</f>
        <v>5</v>
      </c>
      <c r="AN1023" s="74" t="str">
        <f>Tableau3[[#This Row],[ID-API]]&amp;Tableau3[[#This Row],[ID-RACK]]&amp;Tableau3[[#This Row],[ID-SLOT]]&amp;Tableau3[[#This Row],[BORNE]]</f>
        <v>6255</v>
      </c>
      <c r="AO1023" s="1"/>
    </row>
    <row r="1024" spans="1:41" ht="20.100000000000001" customHeight="1" thickTop="1" thickBot="1">
      <c r="A1024" s="68"/>
      <c r="B1024" s="69" t="str">
        <f>IFERROR(INDEX(Tableau4[Date],MATCH($A1024,Tableau4[EVO],0)),"")</f>
        <v/>
      </c>
      <c r="C1024" s="68" t="str">
        <f>IFERROR(INDEX(Tableau4[Designation],MATCH($A1024,Tableau4[EVO],0)),"")</f>
        <v/>
      </c>
      <c r="D1024" s="68"/>
      <c r="E1024" s="70">
        <v>127</v>
      </c>
      <c r="F1024" s="71">
        <v>13</v>
      </c>
      <c r="G1024" s="101" t="str">
        <f>INDEX(Tableau8[Att1],MATCH(Tableau3[[#This Row],[ID-INS]],Tableau8[ID],0))&amp;""</f>
        <v>B22</v>
      </c>
      <c r="H1024" s="101" t="str">
        <f>INDEX(Tableau8[Att2],MATCH(Tableau3[[#This Row],[ID-INS]],Tableau8[ID],0))&amp;""</f>
        <v>UTLB12_1</v>
      </c>
      <c r="I1024" s="101" t="str">
        <f>INDEX(Tableau8[Att3],MATCH(Tableau3[[#This Row],[ID-INS]],Tableau8[ID],0))&amp;""</f>
        <v>UTL bleue AUTP5/TRSD4-1/FRX8</v>
      </c>
      <c r="J1024" s="101"/>
      <c r="K1024" s="167" t="str">
        <f>INDEX(Tableau8[Nom du modele],MATCH(Tableau3[[#This Row],[ID-INS]],Tableau8[ID],0))&amp;""</f>
        <v>UTL</v>
      </c>
      <c r="L1024" s="99" t="str">
        <f>INDEX(Tableau5[Att1],MATCH(Tableau3[[#This Row],[ID-SIG]],Tableau5[ID],0))&amp;""</f>
        <v>PassEffec</v>
      </c>
      <c r="M1024" s="99" t="str">
        <f>INDEX(Tableau5[Att2],MATCH(Tableau3[[#This Row],[ID-SIG]],Tableau5[ID],0))&amp;""</f>
        <v/>
      </c>
      <c r="N1024" s="99" t="str">
        <f>INDEX(Tableau5[Att3],MATCH(Tableau3[[#This Row],[ID-SIG]],Tableau5[ID],0))&amp;""</f>
        <v/>
      </c>
      <c r="O1024" s="99"/>
      <c r="P1024" s="99" t="str">
        <f>INDEX(Tableau5[Description],MATCH(Tableau3[[#This Row],[ID-SIG]],Tableau5[ID],0))</f>
        <v>Commande passage effectué vers UTL</v>
      </c>
      <c r="Q1024" s="99"/>
      <c r="R1024" s="103" t="str">
        <f>Tableau3[[#This Row],[Description]]</f>
        <v>Commande passage effectué vers UTL</v>
      </c>
      <c r="U1024" s="87">
        <v>6</v>
      </c>
      <c r="V1024" s="87">
        <v>2</v>
      </c>
      <c r="W1024" s="87">
        <v>5</v>
      </c>
      <c r="X1024" s="87">
        <v>6</v>
      </c>
      <c r="Y1024" s="41"/>
      <c r="Z1024" s="165" t="str">
        <f>INDEX(Tableau2[TS],MATCH(Tableau3[[#This Row],[ID-CARTEVOIE]],Tableau2[ID-CARTEVOIE],0))</f>
        <v>ST</v>
      </c>
      <c r="AA1024" s="53" t="s">
        <v>213</v>
      </c>
      <c r="AB1024" s="223" t="str">
        <f>IFERROR(INDEX(Tableau5[Reserve],MATCH(Tableau3[[#This Row],[ID-SIG]],Tableau5[ID],0))&amp;"","")</f>
        <v/>
      </c>
      <c r="AC1024" s="21"/>
      <c r="AD1024" s="108" t="str">
        <f>INDEX(Tableau7[Repere],MATCH(Tableau3[[#This Row],[ID-API]],Tableau7[ID-API],0))&amp;""</f>
        <v>A6</v>
      </c>
      <c r="AE1024" s="108" t="str">
        <f>INDEX(Tableau1[Repere-Rack],MATCH(Tableau3[[#This Row],[ID-RACK]],Tableau1[ID-RACK],0))&amp;""</f>
        <v>R2</v>
      </c>
      <c r="AF1024" s="108" t="str">
        <f>INDEX(Tableau1[Repere-Slot],MATCH(Tableau3[[#This Row],[ID-SLOT]],Tableau1[ID-SLOT],0))&amp;""</f>
        <v>S5</v>
      </c>
      <c r="AG1024" s="108" t="str">
        <f>INDEX(Tableau2[Repere-Voie],MATCH(Tableau3[[#This Row],[ID-VOIE]],Tableau2[ID-Voie],0))&amp;""</f>
        <v>v6</v>
      </c>
      <c r="AH1024" s="72" t="str">
        <f>Tableau3[[#This Row],[ID-API]]&amp; "." &amp;Tableau3[[#This Row],[ID-RACK]]&amp; "." &amp;Tableau3[[#This Row],[ID-SLOT]]</f>
        <v>6.2.5</v>
      </c>
      <c r="AI1024" s="72" t="str">
        <f>INDEX(Tableau1[Ref-Carte],MATCH(Tableau3[[#This Row],[ID-RRS]],Tableau1[ID-RRS],0))</f>
        <v>SDO0802</v>
      </c>
      <c r="AJ1024" s="72" t="str">
        <f t="array" ref="AJ1024">IFERROR(INDEX(Tableau2[TS],MATCH(1,(Tableau2[Ref-Carte]=Tableau3[[#This Row],[Ref-Carte2]])*(Tableau2[ID-Voie]=Tableau3[[#This Row],[ID-VOIE]]),0)),"")</f>
        <v>ST</v>
      </c>
      <c r="AK1024" s="72" t="str">
        <f>IFERROR(INDEX(Tableau2[TS],SUMPRODUCT((Tableau2[Ref-Carte]=Tableau3[[#This Row],[Ref-Carte2]])*(Tableau2[ID-Voie]=Tableau3[[#This Row],[ID-VOIE]])*ROW(Tableau2[TS]))-ROW(Tableau2[#Headers])),"")</f>
        <v>ST</v>
      </c>
      <c r="AL1024" s="72" t="str">
        <f>Tableau3[[#This Row],[Ref-Carte2]]&amp;"/"&amp;Tableau3[[#This Row],[ID-VOIE]]</f>
        <v>SDO0802/6</v>
      </c>
      <c r="AM1024" s="73" t="str">
        <f>INDEX(Tableau2[Borne],MATCH(Tableau3[[#This Row],[ID-CARTEVOIE]],Tableau2[ID-CARTEVOIE],0))&amp;""</f>
        <v>6</v>
      </c>
      <c r="AN1024" s="74" t="str">
        <f>Tableau3[[#This Row],[ID-API]]&amp;Tableau3[[#This Row],[ID-RACK]]&amp;Tableau3[[#This Row],[ID-SLOT]]&amp;Tableau3[[#This Row],[BORNE]]</f>
        <v>6256</v>
      </c>
      <c r="AO1024" s="1"/>
    </row>
    <row r="1025" spans="1:41" ht="20.100000000000001" customHeight="1" thickTop="1" thickBot="1">
      <c r="A1025" s="68"/>
      <c r="B1025" s="69" t="str">
        <f>IFERROR(INDEX(Tableau4[Date],MATCH($A1025,Tableau4[EVO],0)),"")</f>
        <v/>
      </c>
      <c r="C1025" s="68" t="str">
        <f>IFERROR(INDEX(Tableau4[Designation],MATCH($A1025,Tableau4[EVO],0)),"")</f>
        <v/>
      </c>
      <c r="D1025" s="68"/>
      <c r="E1025" s="70">
        <v>127</v>
      </c>
      <c r="F1025" s="71">
        <v>14</v>
      </c>
      <c r="G1025" s="101" t="str">
        <f>INDEX(Tableau8[Att1],MATCH(Tableau3[[#This Row],[ID-INS]],Tableau8[ID],0))&amp;""</f>
        <v>B22</v>
      </c>
      <c r="H1025" s="101" t="str">
        <f>INDEX(Tableau8[Att2],MATCH(Tableau3[[#This Row],[ID-INS]],Tableau8[ID],0))&amp;""</f>
        <v>UTLB12_1</v>
      </c>
      <c r="I1025" s="101" t="str">
        <f>INDEX(Tableau8[Att3],MATCH(Tableau3[[#This Row],[ID-INS]],Tableau8[ID],0))&amp;""</f>
        <v>UTL bleue AUTP5/TRSD4-1/FRX8</v>
      </c>
      <c r="J1025" s="101"/>
      <c r="K1025" s="167" t="str">
        <f>INDEX(Tableau8[Nom du modele],MATCH(Tableau3[[#This Row],[ID-INS]],Tableau8[ID],0))&amp;""</f>
        <v>UTL</v>
      </c>
      <c r="L1025" s="99" t="str">
        <f>INDEX(Tableau5[Att1],MATCH(Tableau3[[#This Row],[ID-SIG]],Tableau5[ID],0))&amp;""</f>
        <v>AutorBadge</v>
      </c>
      <c r="M1025" s="99" t="str">
        <f>INDEX(Tableau5[Att2],MATCH(Tableau3[[#This Row],[ID-SIG]],Tableau5[ID],0))&amp;""</f>
        <v/>
      </c>
      <c r="N1025" s="99" t="str">
        <f>INDEX(Tableau5[Att3],MATCH(Tableau3[[#This Row],[ID-SIG]],Tableau5[ID],0))&amp;""</f>
        <v/>
      </c>
      <c r="O1025" s="99"/>
      <c r="P1025" s="99" t="str">
        <f>INDEX(Tableau5[Description],MATCH(Tableau3[[#This Row],[ID-SIG]],Tableau5[ID],0))</f>
        <v>Commande autorisation badgeage vers UTL</v>
      </c>
      <c r="Q1025" s="99"/>
      <c r="R1025" s="103" t="str">
        <f>Tableau3[[#This Row],[Description]]</f>
        <v>Commande autorisation badgeage vers UTL</v>
      </c>
      <c r="U1025" s="87">
        <v>6</v>
      </c>
      <c r="V1025" s="87">
        <v>2</v>
      </c>
      <c r="W1025" s="87">
        <v>5</v>
      </c>
      <c r="X1025" s="87">
        <v>7</v>
      </c>
      <c r="Y1025" s="41"/>
      <c r="Z1025" s="165" t="str">
        <f>INDEX(Tableau2[TS],MATCH(Tableau3[[#This Row],[ID-CARTEVOIE]],Tableau2[ID-CARTEVOIE],0))</f>
        <v>ST</v>
      </c>
      <c r="AA1025" s="53" t="s">
        <v>213</v>
      </c>
      <c r="AB1025" s="223" t="str">
        <f>IFERROR(INDEX(Tableau5[Reserve],MATCH(Tableau3[[#This Row],[ID-SIG]],Tableau5[ID],0))&amp;"","")</f>
        <v/>
      </c>
      <c r="AC1025" s="21"/>
      <c r="AD1025" s="108" t="str">
        <f>INDEX(Tableau7[Repere],MATCH(Tableau3[[#This Row],[ID-API]],Tableau7[ID-API],0))&amp;""</f>
        <v>A6</v>
      </c>
      <c r="AE1025" s="108" t="str">
        <f>INDEX(Tableau1[Repere-Rack],MATCH(Tableau3[[#This Row],[ID-RACK]],Tableau1[ID-RACK],0))&amp;""</f>
        <v>R2</v>
      </c>
      <c r="AF1025" s="108" t="str">
        <f>INDEX(Tableau1[Repere-Slot],MATCH(Tableau3[[#This Row],[ID-SLOT]],Tableau1[ID-SLOT],0))&amp;""</f>
        <v>S5</v>
      </c>
      <c r="AG1025" s="108" t="str">
        <f>INDEX(Tableau2[Repere-Voie],MATCH(Tableau3[[#This Row],[ID-VOIE]],Tableau2[ID-Voie],0))&amp;""</f>
        <v>v7</v>
      </c>
      <c r="AH1025" s="72" t="str">
        <f>Tableau3[[#This Row],[ID-API]]&amp; "." &amp;Tableau3[[#This Row],[ID-RACK]]&amp; "." &amp;Tableau3[[#This Row],[ID-SLOT]]</f>
        <v>6.2.5</v>
      </c>
      <c r="AI1025" s="72" t="str">
        <f>INDEX(Tableau1[Ref-Carte],MATCH(Tableau3[[#This Row],[ID-RRS]],Tableau1[ID-RRS],0))</f>
        <v>SDO0802</v>
      </c>
      <c r="AJ1025" s="72" t="str">
        <f t="array" ref="AJ1025">IFERROR(INDEX(Tableau2[TS],MATCH(1,(Tableau2[Ref-Carte]=Tableau3[[#This Row],[Ref-Carte2]])*(Tableau2[ID-Voie]=Tableau3[[#This Row],[ID-VOIE]]),0)),"")</f>
        <v>ST</v>
      </c>
      <c r="AK1025" s="72" t="str">
        <f>IFERROR(INDEX(Tableau2[TS],SUMPRODUCT((Tableau2[Ref-Carte]=Tableau3[[#This Row],[Ref-Carte2]])*(Tableau2[ID-Voie]=Tableau3[[#This Row],[ID-VOIE]])*ROW(Tableau2[TS]))-ROW(Tableau2[#Headers])),"")</f>
        <v>ST</v>
      </c>
      <c r="AL1025" s="72" t="str">
        <f>Tableau3[[#This Row],[Ref-Carte2]]&amp;"/"&amp;Tableau3[[#This Row],[ID-VOIE]]</f>
        <v>SDO0802/7</v>
      </c>
      <c r="AM1025" s="73" t="str">
        <f>INDEX(Tableau2[Borne],MATCH(Tableau3[[#This Row],[ID-CARTEVOIE]],Tableau2[ID-CARTEVOIE],0))&amp;""</f>
        <v>7</v>
      </c>
      <c r="AN1025" s="74" t="str">
        <f>Tableau3[[#This Row],[ID-API]]&amp;Tableau3[[#This Row],[ID-RACK]]&amp;Tableau3[[#This Row],[ID-SLOT]]&amp;Tableau3[[#This Row],[BORNE]]</f>
        <v>6257</v>
      </c>
      <c r="AO1025" s="1"/>
    </row>
    <row r="1026" spans="1:41" ht="20.100000000000001" customHeight="1" thickTop="1" thickBot="1">
      <c r="A1026" s="68"/>
      <c r="B1026" s="69" t="str">
        <f>IFERROR(INDEX(Tableau4[Date],MATCH($A1026,Tableau4[EVO],0)),"")</f>
        <v/>
      </c>
      <c r="C1026" s="68" t="str">
        <f>IFERROR(INDEX(Tableau4[Designation],MATCH($A1026,Tableau4[EVO],0)),"")</f>
        <v/>
      </c>
      <c r="D1026" s="68"/>
      <c r="E1026" s="70">
        <v>128</v>
      </c>
      <c r="F1026" s="71">
        <v>13</v>
      </c>
      <c r="G1026" s="101" t="str">
        <f>INDEX(Tableau8[Att1],MATCH(Tableau3[[#This Row],[ID-INS]],Tableau8[ID],0))&amp;""</f>
        <v>B22</v>
      </c>
      <c r="H1026" s="101" t="str">
        <f>INDEX(Tableau8[Att2],MATCH(Tableau3[[#This Row],[ID-INS]],Tableau8[ID],0))&amp;""</f>
        <v>UTLB12_2</v>
      </c>
      <c r="I1026" s="101" t="str">
        <f>INDEX(Tableau8[Att3],MATCH(Tableau3[[#This Row],[ID-INS]],Tableau8[ID],0))&amp;""</f>
        <v>UTL bleue IDP14/TRSD4-1/FRX8</v>
      </c>
      <c r="J1026" s="101"/>
      <c r="K1026" s="167" t="str">
        <f>INDEX(Tableau8[Nom du modele],MATCH(Tableau3[[#This Row],[ID-INS]],Tableau8[ID],0))&amp;""</f>
        <v>UTL</v>
      </c>
      <c r="L1026" s="99" t="str">
        <f>INDEX(Tableau5[Att1],MATCH(Tableau3[[#This Row],[ID-SIG]],Tableau5[ID],0))&amp;""</f>
        <v>PassEffec</v>
      </c>
      <c r="M1026" s="99" t="str">
        <f>INDEX(Tableau5[Att2],MATCH(Tableau3[[#This Row],[ID-SIG]],Tableau5[ID],0))&amp;""</f>
        <v/>
      </c>
      <c r="N1026" s="99" t="str">
        <f>INDEX(Tableau5[Att3],MATCH(Tableau3[[#This Row],[ID-SIG]],Tableau5[ID],0))&amp;""</f>
        <v/>
      </c>
      <c r="O1026" s="99"/>
      <c r="P1026" s="99" t="str">
        <f>INDEX(Tableau5[Description],MATCH(Tableau3[[#This Row],[ID-SIG]],Tableau5[ID],0))</f>
        <v>Commande passage effectué vers UTL</v>
      </c>
      <c r="Q1026" s="99"/>
      <c r="R1026" s="103" t="str">
        <f>Tableau3[[#This Row],[Description]]</f>
        <v>Commande passage effectué vers UTL</v>
      </c>
      <c r="U1026" s="87">
        <v>6</v>
      </c>
      <c r="V1026" s="87">
        <v>2</v>
      </c>
      <c r="W1026" s="87">
        <v>6</v>
      </c>
      <c r="X1026" s="87">
        <v>0</v>
      </c>
      <c r="Y1026" s="41"/>
      <c r="Z1026" s="165" t="str">
        <f>INDEX(Tableau2[TS],MATCH(Tableau3[[#This Row],[ID-CARTEVOIE]],Tableau2[ID-CARTEVOIE],0))</f>
        <v>ST</v>
      </c>
      <c r="AA1026" s="53" t="s">
        <v>213</v>
      </c>
      <c r="AB1026" s="223" t="str">
        <f>IFERROR(INDEX(Tableau5[Reserve],MATCH(Tableau3[[#This Row],[ID-SIG]],Tableau5[ID],0))&amp;"","")</f>
        <v/>
      </c>
      <c r="AC1026" s="21"/>
      <c r="AD1026" s="108" t="str">
        <f>INDEX(Tableau7[Repere],MATCH(Tableau3[[#This Row],[ID-API]],Tableau7[ID-API],0))&amp;""</f>
        <v>A6</v>
      </c>
      <c r="AE1026" s="108" t="str">
        <f>INDEX(Tableau1[Repere-Rack],MATCH(Tableau3[[#This Row],[ID-RACK]],Tableau1[ID-RACK],0))&amp;""</f>
        <v>R2</v>
      </c>
      <c r="AF1026" s="108" t="str">
        <f>INDEX(Tableau1[Repere-Slot],MATCH(Tableau3[[#This Row],[ID-SLOT]],Tableau1[ID-SLOT],0))&amp;""</f>
        <v>S6</v>
      </c>
      <c r="AG1026" s="108" t="str">
        <f>INDEX(Tableau2[Repere-Voie],MATCH(Tableau3[[#This Row],[ID-VOIE]],Tableau2[ID-Voie],0))&amp;""</f>
        <v>v0</v>
      </c>
      <c r="AH1026" s="72" t="str">
        <f>Tableau3[[#This Row],[ID-API]]&amp; "." &amp;Tableau3[[#This Row],[ID-RACK]]&amp; "." &amp;Tableau3[[#This Row],[ID-SLOT]]</f>
        <v>6.2.6</v>
      </c>
      <c r="AI1026" s="72" t="str">
        <f>INDEX(Tableau1[Ref-Carte],MATCH(Tableau3[[#This Row],[ID-RRS]],Tableau1[ID-RRS],0))</f>
        <v>SDO0802</v>
      </c>
      <c r="AJ1026" s="72" t="str">
        <f t="array" ref="AJ1026">IFERROR(INDEX(Tableau2[TS],MATCH(1,(Tableau2[Ref-Carte]=Tableau3[[#This Row],[Ref-Carte2]])*(Tableau2[ID-Voie]=Tableau3[[#This Row],[ID-VOIE]]),0)),"")</f>
        <v>ST</v>
      </c>
      <c r="AK1026" s="72" t="str">
        <f>IFERROR(INDEX(Tableau2[TS],SUMPRODUCT((Tableau2[Ref-Carte]=Tableau3[[#This Row],[Ref-Carte2]])*(Tableau2[ID-Voie]=Tableau3[[#This Row],[ID-VOIE]])*ROW(Tableau2[TS]))-ROW(Tableau2[#Headers])),"")</f>
        <v>ST</v>
      </c>
      <c r="AL1026" s="72" t="str">
        <f>Tableau3[[#This Row],[Ref-Carte2]]&amp;"/"&amp;Tableau3[[#This Row],[ID-VOIE]]</f>
        <v>SDO0802/0</v>
      </c>
      <c r="AM1026" s="73" t="str">
        <f>INDEX(Tableau2[Borne],MATCH(Tableau3[[#This Row],[ID-CARTEVOIE]],Tableau2[ID-CARTEVOIE],0))&amp;""</f>
        <v>0</v>
      </c>
      <c r="AN1026" s="74" t="str">
        <f>Tableau3[[#This Row],[ID-API]]&amp;Tableau3[[#This Row],[ID-RACK]]&amp;Tableau3[[#This Row],[ID-SLOT]]&amp;Tableau3[[#This Row],[BORNE]]</f>
        <v>6260</v>
      </c>
      <c r="AO1026" s="1"/>
    </row>
    <row r="1027" spans="1:41" ht="20.100000000000001" customHeight="1" thickTop="1" thickBot="1">
      <c r="A1027" s="68"/>
      <c r="B1027" s="69" t="str">
        <f>IFERROR(INDEX(Tableau4[Date],MATCH($A1027,Tableau4[EVO],0)),"")</f>
        <v/>
      </c>
      <c r="C1027" s="68" t="str">
        <f>IFERROR(INDEX(Tableau4[Designation],MATCH($A1027,Tableau4[EVO],0)),"")</f>
        <v/>
      </c>
      <c r="D1027" s="68"/>
      <c r="E1027" s="70">
        <v>128</v>
      </c>
      <c r="F1027" s="71">
        <v>14</v>
      </c>
      <c r="G1027" s="101" t="str">
        <f>INDEX(Tableau8[Att1],MATCH(Tableau3[[#This Row],[ID-INS]],Tableau8[ID],0))&amp;""</f>
        <v>B22</v>
      </c>
      <c r="H1027" s="101" t="str">
        <f>INDEX(Tableau8[Att2],MATCH(Tableau3[[#This Row],[ID-INS]],Tableau8[ID],0))&amp;""</f>
        <v>UTLB12_2</v>
      </c>
      <c r="I1027" s="101" t="str">
        <f>INDEX(Tableau8[Att3],MATCH(Tableau3[[#This Row],[ID-INS]],Tableau8[ID],0))&amp;""</f>
        <v>UTL bleue IDP14/TRSD4-1/FRX8</v>
      </c>
      <c r="J1027" s="101"/>
      <c r="K1027" s="167" t="str">
        <f>INDEX(Tableau8[Nom du modele],MATCH(Tableau3[[#This Row],[ID-INS]],Tableau8[ID],0))&amp;""</f>
        <v>UTL</v>
      </c>
      <c r="L1027" s="99" t="str">
        <f>INDEX(Tableau5[Att1],MATCH(Tableau3[[#This Row],[ID-SIG]],Tableau5[ID],0))&amp;""</f>
        <v>AutorBadge</v>
      </c>
      <c r="M1027" s="99" t="str">
        <f>INDEX(Tableau5[Att2],MATCH(Tableau3[[#This Row],[ID-SIG]],Tableau5[ID],0))&amp;""</f>
        <v/>
      </c>
      <c r="N1027" s="99" t="str">
        <f>INDEX(Tableau5[Att3],MATCH(Tableau3[[#This Row],[ID-SIG]],Tableau5[ID],0))&amp;""</f>
        <v/>
      </c>
      <c r="O1027" s="99"/>
      <c r="P1027" s="99" t="str">
        <f>INDEX(Tableau5[Description],MATCH(Tableau3[[#This Row],[ID-SIG]],Tableau5[ID],0))</f>
        <v>Commande autorisation badgeage vers UTL</v>
      </c>
      <c r="Q1027" s="99"/>
      <c r="R1027" s="103" t="str">
        <f>Tableau3[[#This Row],[Description]]</f>
        <v>Commande autorisation badgeage vers UTL</v>
      </c>
      <c r="U1027" s="87">
        <v>6</v>
      </c>
      <c r="V1027" s="87">
        <v>2</v>
      </c>
      <c r="W1027" s="87">
        <v>6</v>
      </c>
      <c r="X1027" s="87">
        <v>1</v>
      </c>
      <c r="Y1027" s="41"/>
      <c r="Z1027" s="165" t="str">
        <f>INDEX(Tableau2[TS],MATCH(Tableau3[[#This Row],[ID-CARTEVOIE]],Tableau2[ID-CARTEVOIE],0))</f>
        <v>ST</v>
      </c>
      <c r="AA1027" s="53" t="s">
        <v>213</v>
      </c>
      <c r="AB1027" s="223" t="str">
        <f>IFERROR(INDEX(Tableau5[Reserve],MATCH(Tableau3[[#This Row],[ID-SIG]],Tableau5[ID],0))&amp;"","")</f>
        <v/>
      </c>
      <c r="AC1027" s="21"/>
      <c r="AD1027" s="108" t="str">
        <f>INDEX(Tableau7[Repere],MATCH(Tableau3[[#This Row],[ID-API]],Tableau7[ID-API],0))&amp;""</f>
        <v>A6</v>
      </c>
      <c r="AE1027" s="108" t="str">
        <f>INDEX(Tableau1[Repere-Rack],MATCH(Tableau3[[#This Row],[ID-RACK]],Tableau1[ID-RACK],0))&amp;""</f>
        <v>R2</v>
      </c>
      <c r="AF1027" s="108" t="str">
        <f>INDEX(Tableau1[Repere-Slot],MATCH(Tableau3[[#This Row],[ID-SLOT]],Tableau1[ID-SLOT],0))&amp;""</f>
        <v>S6</v>
      </c>
      <c r="AG1027" s="108" t="str">
        <f>INDEX(Tableau2[Repere-Voie],MATCH(Tableau3[[#This Row],[ID-VOIE]],Tableau2[ID-Voie],0))&amp;""</f>
        <v>v1</v>
      </c>
      <c r="AH1027" s="72" t="str">
        <f>Tableau3[[#This Row],[ID-API]]&amp; "." &amp;Tableau3[[#This Row],[ID-RACK]]&amp; "." &amp;Tableau3[[#This Row],[ID-SLOT]]</f>
        <v>6.2.6</v>
      </c>
      <c r="AI1027" s="72" t="str">
        <f>INDEX(Tableau1[Ref-Carte],MATCH(Tableau3[[#This Row],[ID-RRS]],Tableau1[ID-RRS],0))</f>
        <v>SDO0802</v>
      </c>
      <c r="AJ1027" s="72" t="str">
        <f t="array" ref="AJ1027">IFERROR(INDEX(Tableau2[TS],MATCH(1,(Tableau2[Ref-Carte]=Tableau3[[#This Row],[Ref-Carte2]])*(Tableau2[ID-Voie]=Tableau3[[#This Row],[ID-VOIE]]),0)),"")</f>
        <v>ST</v>
      </c>
      <c r="AK1027" s="72" t="str">
        <f>IFERROR(INDEX(Tableau2[TS],SUMPRODUCT((Tableau2[Ref-Carte]=Tableau3[[#This Row],[Ref-Carte2]])*(Tableau2[ID-Voie]=Tableau3[[#This Row],[ID-VOIE]])*ROW(Tableau2[TS]))-ROW(Tableau2[#Headers])),"")</f>
        <v>ST</v>
      </c>
      <c r="AL1027" s="72" t="str">
        <f>Tableau3[[#This Row],[Ref-Carte2]]&amp;"/"&amp;Tableau3[[#This Row],[ID-VOIE]]</f>
        <v>SDO0802/1</v>
      </c>
      <c r="AM1027" s="73" t="str">
        <f>INDEX(Tableau2[Borne],MATCH(Tableau3[[#This Row],[ID-CARTEVOIE]],Tableau2[ID-CARTEVOIE],0))&amp;""</f>
        <v>1</v>
      </c>
      <c r="AN1027" s="74" t="str">
        <f>Tableau3[[#This Row],[ID-API]]&amp;Tableau3[[#This Row],[ID-RACK]]&amp;Tableau3[[#This Row],[ID-SLOT]]&amp;Tableau3[[#This Row],[BORNE]]</f>
        <v>6261</v>
      </c>
      <c r="AO1027" s="1"/>
    </row>
    <row r="1028" spans="1:41" ht="20.100000000000001" customHeight="1" thickTop="1" thickBot="1">
      <c r="A1028" s="68"/>
      <c r="B1028" s="69" t="str">
        <f>IFERROR(INDEX(Tableau4[Date],MATCH($A1028,Tableau4[EVO],0)),"")</f>
        <v/>
      </c>
      <c r="C1028" s="68" t="str">
        <f>IFERROR(INDEX(Tableau4[Designation],MATCH($A1028,Tableau4[EVO],0)),"")</f>
        <v/>
      </c>
      <c r="D1028" s="68"/>
      <c r="E1028" s="70">
        <v>129</v>
      </c>
      <c r="F1028" s="71">
        <v>13</v>
      </c>
      <c r="G1028" s="101" t="str">
        <f>INDEX(Tableau8[Att1],MATCH(Tableau3[[#This Row],[ID-INS]],Tableau8[ID],0))&amp;""</f>
        <v>B22</v>
      </c>
      <c r="H1028" s="101" t="str">
        <f>INDEX(Tableau8[Att2],MATCH(Tableau3[[#This Row],[ID-INS]],Tableau8[ID],0))&amp;""</f>
        <v>UTLB13_1</v>
      </c>
      <c r="I1028" s="101" t="str">
        <f>INDEX(Tableau8[Att3],MATCH(Tableau3[[#This Row],[ID-INS]],Tableau8[ID],0))&amp;""</f>
        <v>UTL bleue AUTP6/TRSD4-2/FRX9</v>
      </c>
      <c r="J1028" s="101"/>
      <c r="K1028" s="167" t="str">
        <f>INDEX(Tableau8[Nom du modele],MATCH(Tableau3[[#This Row],[ID-INS]],Tableau8[ID],0))&amp;""</f>
        <v>UTL</v>
      </c>
      <c r="L1028" s="99" t="str">
        <f>INDEX(Tableau5[Att1],MATCH(Tableau3[[#This Row],[ID-SIG]],Tableau5[ID],0))&amp;""</f>
        <v>PassEffec</v>
      </c>
      <c r="M1028" s="99" t="str">
        <f>INDEX(Tableau5[Att2],MATCH(Tableau3[[#This Row],[ID-SIG]],Tableau5[ID],0))&amp;""</f>
        <v/>
      </c>
      <c r="N1028" s="99" t="str">
        <f>INDEX(Tableau5[Att3],MATCH(Tableau3[[#This Row],[ID-SIG]],Tableau5[ID],0))&amp;""</f>
        <v/>
      </c>
      <c r="O1028" s="99"/>
      <c r="P1028" s="99" t="str">
        <f>INDEX(Tableau5[Description],MATCH(Tableau3[[#This Row],[ID-SIG]],Tableau5[ID],0))</f>
        <v>Commande passage effectué vers UTL</v>
      </c>
      <c r="Q1028" s="99"/>
      <c r="R1028" s="103" t="str">
        <f>Tableau3[[#This Row],[Description]]</f>
        <v>Commande passage effectué vers UTL</v>
      </c>
      <c r="U1028" s="87">
        <v>6</v>
      </c>
      <c r="V1028" s="87">
        <v>2</v>
      </c>
      <c r="W1028" s="87">
        <v>6</v>
      </c>
      <c r="X1028" s="87">
        <v>2</v>
      </c>
      <c r="Y1028" s="41"/>
      <c r="Z1028" s="165" t="str">
        <f>INDEX(Tableau2[TS],MATCH(Tableau3[[#This Row],[ID-CARTEVOIE]],Tableau2[ID-CARTEVOIE],0))</f>
        <v>ST</v>
      </c>
      <c r="AA1028" s="53" t="s">
        <v>213</v>
      </c>
      <c r="AB1028" s="223" t="str">
        <f>IFERROR(INDEX(Tableau5[Reserve],MATCH(Tableau3[[#This Row],[ID-SIG]],Tableau5[ID],0))&amp;"","")</f>
        <v/>
      </c>
      <c r="AC1028" s="21"/>
      <c r="AD1028" s="108" t="str">
        <f>INDEX(Tableau7[Repere],MATCH(Tableau3[[#This Row],[ID-API]],Tableau7[ID-API],0))&amp;""</f>
        <v>A6</v>
      </c>
      <c r="AE1028" s="108" t="str">
        <f>INDEX(Tableau1[Repere-Rack],MATCH(Tableau3[[#This Row],[ID-RACK]],Tableau1[ID-RACK],0))&amp;""</f>
        <v>R2</v>
      </c>
      <c r="AF1028" s="108" t="str">
        <f>INDEX(Tableau1[Repere-Slot],MATCH(Tableau3[[#This Row],[ID-SLOT]],Tableau1[ID-SLOT],0))&amp;""</f>
        <v>S6</v>
      </c>
      <c r="AG1028" s="108" t="str">
        <f>INDEX(Tableau2[Repere-Voie],MATCH(Tableau3[[#This Row],[ID-VOIE]],Tableau2[ID-Voie],0))&amp;""</f>
        <v>v2</v>
      </c>
      <c r="AH1028" s="72" t="str">
        <f>Tableau3[[#This Row],[ID-API]]&amp; "." &amp;Tableau3[[#This Row],[ID-RACK]]&amp; "." &amp;Tableau3[[#This Row],[ID-SLOT]]</f>
        <v>6.2.6</v>
      </c>
      <c r="AI1028" s="72" t="str">
        <f>INDEX(Tableau1[Ref-Carte],MATCH(Tableau3[[#This Row],[ID-RRS]],Tableau1[ID-RRS],0))</f>
        <v>SDO0802</v>
      </c>
      <c r="AJ1028" s="72" t="str">
        <f t="array" ref="AJ1028">IFERROR(INDEX(Tableau2[TS],MATCH(1,(Tableau2[Ref-Carte]=Tableau3[[#This Row],[Ref-Carte2]])*(Tableau2[ID-Voie]=Tableau3[[#This Row],[ID-VOIE]]),0)),"")</f>
        <v>ST</v>
      </c>
      <c r="AK1028" s="72" t="str">
        <f>IFERROR(INDEX(Tableau2[TS],SUMPRODUCT((Tableau2[Ref-Carte]=Tableau3[[#This Row],[Ref-Carte2]])*(Tableau2[ID-Voie]=Tableau3[[#This Row],[ID-VOIE]])*ROW(Tableau2[TS]))-ROW(Tableau2[#Headers])),"")</f>
        <v>ST</v>
      </c>
      <c r="AL1028" s="72" t="str">
        <f>Tableau3[[#This Row],[Ref-Carte2]]&amp;"/"&amp;Tableau3[[#This Row],[ID-VOIE]]</f>
        <v>SDO0802/2</v>
      </c>
      <c r="AM1028" s="73" t="str">
        <f>INDEX(Tableau2[Borne],MATCH(Tableau3[[#This Row],[ID-CARTEVOIE]],Tableau2[ID-CARTEVOIE],0))&amp;""</f>
        <v>2</v>
      </c>
      <c r="AN1028" s="74" t="str">
        <f>Tableau3[[#This Row],[ID-API]]&amp;Tableau3[[#This Row],[ID-RACK]]&amp;Tableau3[[#This Row],[ID-SLOT]]&amp;Tableau3[[#This Row],[BORNE]]</f>
        <v>6262</v>
      </c>
      <c r="AO1028" s="1"/>
    </row>
    <row r="1029" spans="1:41" ht="20.100000000000001" customHeight="1" thickTop="1" thickBot="1">
      <c r="A1029" s="68"/>
      <c r="B1029" s="69" t="str">
        <f>IFERROR(INDEX(Tableau4[Date],MATCH($A1029,Tableau4[EVO],0)),"")</f>
        <v/>
      </c>
      <c r="C1029" s="68" t="str">
        <f>IFERROR(INDEX(Tableau4[Designation],MATCH($A1029,Tableau4[EVO],0)),"")</f>
        <v/>
      </c>
      <c r="D1029" s="68"/>
      <c r="E1029" s="70">
        <v>129</v>
      </c>
      <c r="F1029" s="71">
        <v>14</v>
      </c>
      <c r="G1029" s="101" t="str">
        <f>INDEX(Tableau8[Att1],MATCH(Tableau3[[#This Row],[ID-INS]],Tableau8[ID],0))&amp;""</f>
        <v>B22</v>
      </c>
      <c r="H1029" s="101" t="str">
        <f>INDEX(Tableau8[Att2],MATCH(Tableau3[[#This Row],[ID-INS]],Tableau8[ID],0))&amp;""</f>
        <v>UTLB13_1</v>
      </c>
      <c r="I1029" s="101" t="str">
        <f>INDEX(Tableau8[Att3],MATCH(Tableau3[[#This Row],[ID-INS]],Tableau8[ID],0))&amp;""</f>
        <v>UTL bleue AUTP6/TRSD4-2/FRX9</v>
      </c>
      <c r="J1029" s="101"/>
      <c r="K1029" s="167" t="str">
        <f>INDEX(Tableau8[Nom du modele],MATCH(Tableau3[[#This Row],[ID-INS]],Tableau8[ID],0))&amp;""</f>
        <v>UTL</v>
      </c>
      <c r="L1029" s="99" t="str">
        <f>INDEX(Tableau5[Att1],MATCH(Tableau3[[#This Row],[ID-SIG]],Tableau5[ID],0))&amp;""</f>
        <v>AutorBadge</v>
      </c>
      <c r="M1029" s="99" t="str">
        <f>INDEX(Tableau5[Att2],MATCH(Tableau3[[#This Row],[ID-SIG]],Tableau5[ID],0))&amp;""</f>
        <v/>
      </c>
      <c r="N1029" s="99" t="str">
        <f>INDEX(Tableau5[Att3],MATCH(Tableau3[[#This Row],[ID-SIG]],Tableau5[ID],0))&amp;""</f>
        <v/>
      </c>
      <c r="O1029" s="99"/>
      <c r="P1029" s="99" t="str">
        <f>INDEX(Tableau5[Description],MATCH(Tableau3[[#This Row],[ID-SIG]],Tableau5[ID],0))</f>
        <v>Commande autorisation badgeage vers UTL</v>
      </c>
      <c r="Q1029" s="99"/>
      <c r="R1029" s="103" t="str">
        <f>Tableau3[[#This Row],[Description]]</f>
        <v>Commande autorisation badgeage vers UTL</v>
      </c>
      <c r="U1029" s="87">
        <v>6</v>
      </c>
      <c r="V1029" s="87">
        <v>2</v>
      </c>
      <c r="W1029" s="87">
        <v>6</v>
      </c>
      <c r="X1029" s="87">
        <v>3</v>
      </c>
      <c r="Y1029" s="41"/>
      <c r="Z1029" s="165" t="str">
        <f>INDEX(Tableau2[TS],MATCH(Tableau3[[#This Row],[ID-CARTEVOIE]],Tableau2[ID-CARTEVOIE],0))</f>
        <v>ST</v>
      </c>
      <c r="AA1029" s="53" t="s">
        <v>213</v>
      </c>
      <c r="AB1029" s="223" t="str">
        <f>IFERROR(INDEX(Tableau5[Reserve],MATCH(Tableau3[[#This Row],[ID-SIG]],Tableau5[ID],0))&amp;"","")</f>
        <v/>
      </c>
      <c r="AC1029" s="21"/>
      <c r="AD1029" s="108" t="str">
        <f>INDEX(Tableau7[Repere],MATCH(Tableau3[[#This Row],[ID-API]],Tableau7[ID-API],0))&amp;""</f>
        <v>A6</v>
      </c>
      <c r="AE1029" s="108" t="str">
        <f>INDEX(Tableau1[Repere-Rack],MATCH(Tableau3[[#This Row],[ID-RACK]],Tableau1[ID-RACK],0))&amp;""</f>
        <v>R2</v>
      </c>
      <c r="AF1029" s="108" t="str">
        <f>INDEX(Tableau1[Repere-Slot],MATCH(Tableau3[[#This Row],[ID-SLOT]],Tableau1[ID-SLOT],0))&amp;""</f>
        <v>S6</v>
      </c>
      <c r="AG1029" s="108" t="str">
        <f>INDEX(Tableau2[Repere-Voie],MATCH(Tableau3[[#This Row],[ID-VOIE]],Tableau2[ID-Voie],0))&amp;""</f>
        <v>v3</v>
      </c>
      <c r="AH1029" s="72" t="str">
        <f>Tableau3[[#This Row],[ID-API]]&amp; "." &amp;Tableau3[[#This Row],[ID-RACK]]&amp; "." &amp;Tableau3[[#This Row],[ID-SLOT]]</f>
        <v>6.2.6</v>
      </c>
      <c r="AI1029" s="72" t="str">
        <f>INDEX(Tableau1[Ref-Carte],MATCH(Tableau3[[#This Row],[ID-RRS]],Tableau1[ID-RRS],0))</f>
        <v>SDO0802</v>
      </c>
      <c r="AJ1029" s="72" t="str">
        <f t="array" ref="AJ1029">IFERROR(INDEX(Tableau2[TS],MATCH(1,(Tableau2[Ref-Carte]=Tableau3[[#This Row],[Ref-Carte2]])*(Tableau2[ID-Voie]=Tableau3[[#This Row],[ID-VOIE]]),0)),"")</f>
        <v>ST</v>
      </c>
      <c r="AK1029" s="72" t="str">
        <f>IFERROR(INDEX(Tableau2[TS],SUMPRODUCT((Tableau2[Ref-Carte]=Tableau3[[#This Row],[Ref-Carte2]])*(Tableau2[ID-Voie]=Tableau3[[#This Row],[ID-VOIE]])*ROW(Tableau2[TS]))-ROW(Tableau2[#Headers])),"")</f>
        <v>ST</v>
      </c>
      <c r="AL1029" s="72" t="str">
        <f>Tableau3[[#This Row],[Ref-Carte2]]&amp;"/"&amp;Tableau3[[#This Row],[ID-VOIE]]</f>
        <v>SDO0802/3</v>
      </c>
      <c r="AM1029" s="73" t="str">
        <f>INDEX(Tableau2[Borne],MATCH(Tableau3[[#This Row],[ID-CARTEVOIE]],Tableau2[ID-CARTEVOIE],0))&amp;""</f>
        <v>3</v>
      </c>
      <c r="AN1029" s="74" t="str">
        <f>Tableau3[[#This Row],[ID-API]]&amp;Tableau3[[#This Row],[ID-RACK]]&amp;Tableau3[[#This Row],[ID-SLOT]]&amp;Tableau3[[#This Row],[BORNE]]</f>
        <v>6263</v>
      </c>
      <c r="AO1029" s="1"/>
    </row>
    <row r="1030" spans="1:41" ht="20.100000000000001" customHeight="1" thickTop="1" thickBot="1">
      <c r="A1030" s="68"/>
      <c r="B1030" s="69" t="str">
        <f>IFERROR(INDEX(Tableau4[Date],MATCH($A1030,Tableau4[EVO],0)),"")</f>
        <v/>
      </c>
      <c r="C1030" s="68" t="str">
        <f>IFERROR(INDEX(Tableau4[Designation],MATCH($A1030,Tableau4[EVO],0)),"")</f>
        <v/>
      </c>
      <c r="D1030" s="68"/>
      <c r="E1030" s="70">
        <v>130</v>
      </c>
      <c r="F1030" s="71">
        <v>13</v>
      </c>
      <c r="G1030" s="101" t="str">
        <f>INDEX(Tableau8[Att1],MATCH(Tableau3[[#This Row],[ID-INS]],Tableau8[ID],0))&amp;""</f>
        <v>B22</v>
      </c>
      <c r="H1030" s="101" t="str">
        <f>INDEX(Tableau8[Att2],MATCH(Tableau3[[#This Row],[ID-INS]],Tableau8[ID],0))&amp;""</f>
        <v>UTLB13_2</v>
      </c>
      <c r="I1030" s="101" t="str">
        <f>INDEX(Tableau8[Att3],MATCH(Tableau3[[#This Row],[ID-INS]],Tableau8[ID],0))&amp;""</f>
        <v>UTL bleue IDP15/TRSD4-2/FRX9</v>
      </c>
      <c r="J1030" s="101"/>
      <c r="K1030" s="167" t="str">
        <f>INDEX(Tableau8[Nom du modele],MATCH(Tableau3[[#This Row],[ID-INS]],Tableau8[ID],0))&amp;""</f>
        <v>UTL</v>
      </c>
      <c r="L1030" s="99" t="str">
        <f>INDEX(Tableau5[Att1],MATCH(Tableau3[[#This Row],[ID-SIG]],Tableau5[ID],0))&amp;""</f>
        <v>PassEffec</v>
      </c>
      <c r="M1030" s="99" t="str">
        <f>INDEX(Tableau5[Att2],MATCH(Tableau3[[#This Row],[ID-SIG]],Tableau5[ID],0))&amp;""</f>
        <v/>
      </c>
      <c r="N1030" s="99" t="str">
        <f>INDEX(Tableau5[Att3],MATCH(Tableau3[[#This Row],[ID-SIG]],Tableau5[ID],0))&amp;""</f>
        <v/>
      </c>
      <c r="O1030" s="99"/>
      <c r="P1030" s="99" t="str">
        <f>INDEX(Tableau5[Description],MATCH(Tableau3[[#This Row],[ID-SIG]],Tableau5[ID],0))</f>
        <v>Commande passage effectué vers UTL</v>
      </c>
      <c r="Q1030" s="99"/>
      <c r="R1030" s="103" t="str">
        <f>Tableau3[[#This Row],[Description]]</f>
        <v>Commande passage effectué vers UTL</v>
      </c>
      <c r="U1030" s="87">
        <v>6</v>
      </c>
      <c r="V1030" s="87">
        <v>2</v>
      </c>
      <c r="W1030" s="87">
        <v>6</v>
      </c>
      <c r="X1030" s="87">
        <v>4</v>
      </c>
      <c r="Y1030" s="41"/>
      <c r="Z1030" s="165" t="str">
        <f>INDEX(Tableau2[TS],MATCH(Tableau3[[#This Row],[ID-CARTEVOIE]],Tableau2[ID-CARTEVOIE],0))</f>
        <v>ST</v>
      </c>
      <c r="AA1030" s="53" t="s">
        <v>213</v>
      </c>
      <c r="AB1030" s="223" t="str">
        <f>IFERROR(INDEX(Tableau5[Reserve],MATCH(Tableau3[[#This Row],[ID-SIG]],Tableau5[ID],0))&amp;"","")</f>
        <v/>
      </c>
      <c r="AC1030" s="21"/>
      <c r="AD1030" s="108" t="str">
        <f>INDEX(Tableau7[Repere],MATCH(Tableau3[[#This Row],[ID-API]],Tableau7[ID-API],0))&amp;""</f>
        <v>A6</v>
      </c>
      <c r="AE1030" s="108" t="str">
        <f>INDEX(Tableau1[Repere-Rack],MATCH(Tableau3[[#This Row],[ID-RACK]],Tableau1[ID-RACK],0))&amp;""</f>
        <v>R2</v>
      </c>
      <c r="AF1030" s="108" t="str">
        <f>INDEX(Tableau1[Repere-Slot],MATCH(Tableau3[[#This Row],[ID-SLOT]],Tableau1[ID-SLOT],0))&amp;""</f>
        <v>S6</v>
      </c>
      <c r="AG1030" s="108" t="str">
        <f>INDEX(Tableau2[Repere-Voie],MATCH(Tableau3[[#This Row],[ID-VOIE]],Tableau2[ID-Voie],0))&amp;""</f>
        <v>v4</v>
      </c>
      <c r="AH1030" s="72" t="str">
        <f>Tableau3[[#This Row],[ID-API]]&amp; "." &amp;Tableau3[[#This Row],[ID-RACK]]&amp; "." &amp;Tableau3[[#This Row],[ID-SLOT]]</f>
        <v>6.2.6</v>
      </c>
      <c r="AI1030" s="72" t="str">
        <f>INDEX(Tableau1[Ref-Carte],MATCH(Tableau3[[#This Row],[ID-RRS]],Tableau1[ID-RRS],0))</f>
        <v>SDO0802</v>
      </c>
      <c r="AJ1030" s="72" t="str">
        <f t="array" ref="AJ1030">IFERROR(INDEX(Tableau2[TS],MATCH(1,(Tableau2[Ref-Carte]=Tableau3[[#This Row],[Ref-Carte2]])*(Tableau2[ID-Voie]=Tableau3[[#This Row],[ID-VOIE]]),0)),"")</f>
        <v>ST</v>
      </c>
      <c r="AK1030" s="72" t="str">
        <f>IFERROR(INDEX(Tableau2[TS],SUMPRODUCT((Tableau2[Ref-Carte]=Tableau3[[#This Row],[Ref-Carte2]])*(Tableau2[ID-Voie]=Tableau3[[#This Row],[ID-VOIE]])*ROW(Tableau2[TS]))-ROW(Tableau2[#Headers])),"")</f>
        <v>ST</v>
      </c>
      <c r="AL1030" s="72" t="str">
        <f>Tableau3[[#This Row],[Ref-Carte2]]&amp;"/"&amp;Tableau3[[#This Row],[ID-VOIE]]</f>
        <v>SDO0802/4</v>
      </c>
      <c r="AM1030" s="73" t="str">
        <f>INDEX(Tableau2[Borne],MATCH(Tableau3[[#This Row],[ID-CARTEVOIE]],Tableau2[ID-CARTEVOIE],0))&amp;""</f>
        <v>4</v>
      </c>
      <c r="AN1030" s="74" t="str">
        <f>Tableau3[[#This Row],[ID-API]]&amp;Tableau3[[#This Row],[ID-RACK]]&amp;Tableau3[[#This Row],[ID-SLOT]]&amp;Tableau3[[#This Row],[BORNE]]</f>
        <v>6264</v>
      </c>
      <c r="AO1030" s="1"/>
    </row>
    <row r="1031" spans="1:41" ht="20.100000000000001" customHeight="1" thickTop="1" thickBot="1">
      <c r="A1031" s="68"/>
      <c r="B1031" s="69" t="str">
        <f>IFERROR(INDEX(Tableau4[Date],MATCH($A1031,Tableau4[EVO],0)),"")</f>
        <v/>
      </c>
      <c r="C1031" s="68" t="str">
        <f>IFERROR(INDEX(Tableau4[Designation],MATCH($A1031,Tableau4[EVO],0)),"")</f>
        <v/>
      </c>
      <c r="D1031" s="68"/>
      <c r="E1031" s="70">
        <v>130</v>
      </c>
      <c r="F1031" s="71">
        <v>14</v>
      </c>
      <c r="G1031" s="101" t="str">
        <f>INDEX(Tableau8[Att1],MATCH(Tableau3[[#This Row],[ID-INS]],Tableau8[ID],0))&amp;""</f>
        <v>B22</v>
      </c>
      <c r="H1031" s="101" t="str">
        <f>INDEX(Tableau8[Att2],MATCH(Tableau3[[#This Row],[ID-INS]],Tableau8[ID],0))&amp;""</f>
        <v>UTLB13_2</v>
      </c>
      <c r="I1031" s="101" t="str">
        <f>INDEX(Tableau8[Att3],MATCH(Tableau3[[#This Row],[ID-INS]],Tableau8[ID],0))&amp;""</f>
        <v>UTL bleue IDP15/TRSD4-2/FRX9</v>
      </c>
      <c r="J1031" s="101"/>
      <c r="K1031" s="167" t="str">
        <f>INDEX(Tableau8[Nom du modele],MATCH(Tableau3[[#This Row],[ID-INS]],Tableau8[ID],0))&amp;""</f>
        <v>UTL</v>
      </c>
      <c r="L1031" s="99" t="str">
        <f>INDEX(Tableau5[Att1],MATCH(Tableau3[[#This Row],[ID-SIG]],Tableau5[ID],0))&amp;""</f>
        <v>AutorBadge</v>
      </c>
      <c r="M1031" s="99" t="str">
        <f>INDEX(Tableau5[Att2],MATCH(Tableau3[[#This Row],[ID-SIG]],Tableau5[ID],0))&amp;""</f>
        <v/>
      </c>
      <c r="N1031" s="99" t="str">
        <f>INDEX(Tableau5[Att3],MATCH(Tableau3[[#This Row],[ID-SIG]],Tableau5[ID],0))&amp;""</f>
        <v/>
      </c>
      <c r="O1031" s="99"/>
      <c r="P1031" s="99" t="str">
        <f>INDEX(Tableau5[Description],MATCH(Tableau3[[#This Row],[ID-SIG]],Tableau5[ID],0))</f>
        <v>Commande autorisation badgeage vers UTL</v>
      </c>
      <c r="Q1031" s="99"/>
      <c r="R1031" s="103" t="str">
        <f>Tableau3[[#This Row],[Description]]</f>
        <v>Commande autorisation badgeage vers UTL</v>
      </c>
      <c r="U1031" s="87">
        <v>6</v>
      </c>
      <c r="V1031" s="87">
        <v>2</v>
      </c>
      <c r="W1031" s="87">
        <v>6</v>
      </c>
      <c r="X1031" s="87">
        <v>5</v>
      </c>
      <c r="Y1031" s="41"/>
      <c r="Z1031" s="165" t="str">
        <f>INDEX(Tableau2[TS],MATCH(Tableau3[[#This Row],[ID-CARTEVOIE]],Tableau2[ID-CARTEVOIE],0))</f>
        <v>ST</v>
      </c>
      <c r="AA1031" s="53" t="s">
        <v>213</v>
      </c>
      <c r="AB1031" s="223" t="str">
        <f>IFERROR(INDEX(Tableau5[Reserve],MATCH(Tableau3[[#This Row],[ID-SIG]],Tableau5[ID],0))&amp;"","")</f>
        <v/>
      </c>
      <c r="AC1031" s="21"/>
      <c r="AD1031" s="108" t="str">
        <f>INDEX(Tableau7[Repere],MATCH(Tableau3[[#This Row],[ID-API]],Tableau7[ID-API],0))&amp;""</f>
        <v>A6</v>
      </c>
      <c r="AE1031" s="108" t="str">
        <f>INDEX(Tableau1[Repere-Rack],MATCH(Tableau3[[#This Row],[ID-RACK]],Tableau1[ID-RACK],0))&amp;""</f>
        <v>R2</v>
      </c>
      <c r="AF1031" s="108" t="str">
        <f>INDEX(Tableau1[Repere-Slot],MATCH(Tableau3[[#This Row],[ID-SLOT]],Tableau1[ID-SLOT],0))&amp;""</f>
        <v>S6</v>
      </c>
      <c r="AG1031" s="108" t="str">
        <f>INDEX(Tableau2[Repere-Voie],MATCH(Tableau3[[#This Row],[ID-VOIE]],Tableau2[ID-Voie],0))&amp;""</f>
        <v>v5</v>
      </c>
      <c r="AH1031" s="72" t="str">
        <f>Tableau3[[#This Row],[ID-API]]&amp; "." &amp;Tableau3[[#This Row],[ID-RACK]]&amp; "." &amp;Tableau3[[#This Row],[ID-SLOT]]</f>
        <v>6.2.6</v>
      </c>
      <c r="AI1031" s="72" t="str">
        <f>INDEX(Tableau1[Ref-Carte],MATCH(Tableau3[[#This Row],[ID-RRS]],Tableau1[ID-RRS],0))</f>
        <v>SDO0802</v>
      </c>
      <c r="AJ1031" s="72" t="str">
        <f t="array" ref="AJ1031">IFERROR(INDEX(Tableau2[TS],MATCH(1,(Tableau2[Ref-Carte]=Tableau3[[#This Row],[Ref-Carte2]])*(Tableau2[ID-Voie]=Tableau3[[#This Row],[ID-VOIE]]),0)),"")</f>
        <v>ST</v>
      </c>
      <c r="AK1031" s="72" t="str">
        <f>IFERROR(INDEX(Tableau2[TS],SUMPRODUCT((Tableau2[Ref-Carte]=Tableau3[[#This Row],[Ref-Carte2]])*(Tableau2[ID-Voie]=Tableau3[[#This Row],[ID-VOIE]])*ROW(Tableau2[TS]))-ROW(Tableau2[#Headers])),"")</f>
        <v>ST</v>
      </c>
      <c r="AL1031" s="72" t="str">
        <f>Tableau3[[#This Row],[Ref-Carte2]]&amp;"/"&amp;Tableau3[[#This Row],[ID-VOIE]]</f>
        <v>SDO0802/5</v>
      </c>
      <c r="AM1031" s="73" t="str">
        <f>INDEX(Tableau2[Borne],MATCH(Tableau3[[#This Row],[ID-CARTEVOIE]],Tableau2[ID-CARTEVOIE],0))&amp;""</f>
        <v>5</v>
      </c>
      <c r="AN1031" s="74" t="str">
        <f>Tableau3[[#This Row],[ID-API]]&amp;Tableau3[[#This Row],[ID-RACK]]&amp;Tableau3[[#This Row],[ID-SLOT]]&amp;Tableau3[[#This Row],[BORNE]]</f>
        <v>6265</v>
      </c>
      <c r="AO1031" s="1"/>
    </row>
    <row r="1032" spans="1:41" ht="20.100000000000001" customHeight="1" thickTop="1" thickBot="1">
      <c r="A1032" s="68"/>
      <c r="B1032" s="69" t="str">
        <f>IFERROR(INDEX(Tableau4[Date],MATCH($A1032,Tableau4[EVO],0)),"")</f>
        <v/>
      </c>
      <c r="C1032" s="68" t="str">
        <f>IFERROR(INDEX(Tableau4[Designation],MATCH($A1032,Tableau4[EVO],0)),"")</f>
        <v/>
      </c>
      <c r="D1032" s="68"/>
      <c r="E1032" s="70">
        <v>225</v>
      </c>
      <c r="F1032" s="71">
        <v>323</v>
      </c>
      <c r="G1032" s="101" t="str">
        <f>INDEX(Tableau8[Att1],MATCH(Tableau3[[#This Row],[ID-INS]],Tableau8[ID],0))&amp;""</f>
        <v>V5</v>
      </c>
      <c r="H1032" s="101" t="str">
        <f>INDEX(Tableau8[Att2],MATCH(Tableau3[[#This Row],[ID-INS]],Tableau8[ID],0))&amp;""</f>
        <v>F13</v>
      </c>
      <c r="I1032" s="101" t="str">
        <f>INDEX(Tableau8[Att3],MATCH(Tableau3[[#This Row],[ID-INS]],Tableau8[ID],0))&amp;""</f>
        <v>Buzzer contrôle Aleatoire / CORA V5</v>
      </c>
      <c r="J1032" s="101"/>
      <c r="K1032" s="167" t="str">
        <f>INDEX(Tableau8[Nom du modele],MATCH(Tableau3[[#This Row],[ID-INS]],Tableau8[ID],0))&amp;""</f>
        <v>BuzzerContrAleaVLPL</v>
      </c>
      <c r="L1032" s="99" t="str">
        <f>INDEX(Tableau5[Att1],MATCH(Tableau3[[#This Row],[ID-SIG]],Tableau5[ID],0))&amp;""</f>
        <v>Buzzer_Cmd</v>
      </c>
      <c r="M1032" s="99" t="str">
        <f>INDEX(Tableau5[Att2],MATCH(Tableau3[[#This Row],[ID-SIG]],Tableau5[ID],0))&amp;""</f>
        <v/>
      </c>
      <c r="N1032" s="99" t="str">
        <f>INDEX(Tableau5[Att3],MATCH(Tableau3[[#This Row],[ID-SIG]],Tableau5[ID],0))&amp;""</f>
        <v/>
      </c>
      <c r="O1032" s="99"/>
      <c r="P1032" s="99" t="str">
        <f>INDEX(Tableau5[Description],MATCH(Tableau3[[#This Row],[ID-SIG]],Tableau5[ID],0))</f>
        <v>Commande Buzzeur</v>
      </c>
      <c r="Q1032" s="99"/>
      <c r="R1032" s="103" t="str">
        <f>Tableau3[[#This Row],[Description]]</f>
        <v>Commande Buzzeur</v>
      </c>
      <c r="U1032" s="87">
        <v>6</v>
      </c>
      <c r="V1032" s="87">
        <v>2</v>
      </c>
      <c r="W1032" s="87">
        <v>6</v>
      </c>
      <c r="X1032" s="87">
        <v>6</v>
      </c>
      <c r="Y1032" s="41"/>
      <c r="Z1032" s="165" t="str">
        <f>INDEX(Tableau2[TS],MATCH(Tableau3[[#This Row],[ID-CARTEVOIE]],Tableau2[ID-CARTEVOIE],0))</f>
        <v>ST</v>
      </c>
      <c r="AA1032" s="53" t="s">
        <v>213</v>
      </c>
      <c r="AB1032" s="223" t="str">
        <f>IFERROR(INDEX(Tableau5[Reserve],MATCH(Tableau3[[#This Row],[ID-SIG]],Tableau5[ID],0))&amp;"","")</f>
        <v/>
      </c>
      <c r="AC1032" s="21"/>
      <c r="AD1032" s="108" t="str">
        <f>INDEX(Tableau7[Repere],MATCH(Tableau3[[#This Row],[ID-API]],Tableau7[ID-API],0))&amp;""</f>
        <v>A6</v>
      </c>
      <c r="AE1032" s="108" t="str">
        <f>INDEX(Tableau1[Repere-Rack],MATCH(Tableau3[[#This Row],[ID-RACK]],Tableau1[ID-RACK],0))&amp;""</f>
        <v>R2</v>
      </c>
      <c r="AF1032" s="108" t="str">
        <f>INDEX(Tableau1[Repere-Slot],MATCH(Tableau3[[#This Row],[ID-SLOT]],Tableau1[ID-SLOT],0))&amp;""</f>
        <v>S6</v>
      </c>
      <c r="AG1032" s="108" t="str">
        <f>INDEX(Tableau2[Repere-Voie],MATCH(Tableau3[[#This Row],[ID-VOIE]],Tableau2[ID-Voie],0))&amp;""</f>
        <v>v6</v>
      </c>
      <c r="AH1032" s="72" t="str">
        <f>Tableau3[[#This Row],[ID-API]]&amp; "." &amp;Tableau3[[#This Row],[ID-RACK]]&amp; "." &amp;Tableau3[[#This Row],[ID-SLOT]]</f>
        <v>6.2.6</v>
      </c>
      <c r="AI1032" s="72" t="str">
        <f>INDEX(Tableau1[Ref-Carte],MATCH(Tableau3[[#This Row],[ID-RRS]],Tableau1[ID-RRS],0))</f>
        <v>SDO0802</v>
      </c>
      <c r="AJ1032" s="72" t="str">
        <f t="array" ref="AJ1032">IFERROR(INDEX(Tableau2[TS],MATCH(1,(Tableau2[Ref-Carte]=Tableau3[[#This Row],[Ref-Carte2]])*(Tableau2[ID-Voie]=Tableau3[[#This Row],[ID-VOIE]]),0)),"")</f>
        <v>ST</v>
      </c>
      <c r="AK1032" s="72" t="str">
        <f>IFERROR(INDEX(Tableau2[TS],SUMPRODUCT((Tableau2[Ref-Carte]=Tableau3[[#This Row],[Ref-Carte2]])*(Tableau2[ID-Voie]=Tableau3[[#This Row],[ID-VOIE]])*ROW(Tableau2[TS]))-ROW(Tableau2[#Headers])),"")</f>
        <v>ST</v>
      </c>
      <c r="AL1032" s="72" t="str">
        <f>Tableau3[[#This Row],[Ref-Carte2]]&amp;"/"&amp;Tableau3[[#This Row],[ID-VOIE]]</f>
        <v>SDO0802/6</v>
      </c>
      <c r="AM1032" s="73" t="str">
        <f>INDEX(Tableau2[Borne],MATCH(Tableau3[[#This Row],[ID-CARTEVOIE]],Tableau2[ID-CARTEVOIE],0))&amp;""</f>
        <v>6</v>
      </c>
      <c r="AN1032" s="74" t="str">
        <f>Tableau3[[#This Row],[ID-API]]&amp;Tableau3[[#This Row],[ID-RACK]]&amp;Tableau3[[#This Row],[ID-SLOT]]&amp;Tableau3[[#This Row],[BORNE]]</f>
        <v>6266</v>
      </c>
      <c r="AO1032" s="1"/>
    </row>
    <row r="1033" spans="1:41" ht="20.100000000000001" customHeight="1" thickTop="1" thickBot="1">
      <c r="A1033" s="110"/>
      <c r="B1033" s="111" t="str">
        <f>IFERROR(INDEX(Tableau4[Date],MATCH($A1033,Tableau4[EVO],0)),"")</f>
        <v/>
      </c>
      <c r="C1033" s="112" t="str">
        <f>IFERROR(INDEX(Tableau4[Designation],MATCH($A1033,Tableau4[EVO],0)),"")</f>
        <v/>
      </c>
      <c r="D1033" s="110"/>
      <c r="E1033" s="113"/>
      <c r="F1033" s="146"/>
      <c r="G1033" s="147" t="e">
        <f>INDEX(Tableau8[Att1],MATCH(Tableau3[[#This Row],[ID-INS]],Tableau8[ID],0))&amp;""</f>
        <v>#N/A</v>
      </c>
      <c r="H1033" s="147" t="e">
        <f>INDEX(Tableau8[Att2],MATCH(Tableau3[[#This Row],[ID-INS]],Tableau8[ID],0))&amp;""</f>
        <v>#N/A</v>
      </c>
      <c r="I1033" s="147" t="e">
        <f>INDEX(Tableau8[Att3],MATCH(Tableau3[[#This Row],[ID-INS]],Tableau8[ID],0))&amp;""</f>
        <v>#N/A</v>
      </c>
      <c r="J1033" s="148"/>
      <c r="K1033" s="167" t="e">
        <f>INDEX(Tableau8[Nom du modele],MATCH(Tableau3[[#This Row],[ID-INS]],Tableau8[ID],0))&amp;""</f>
        <v>#N/A</v>
      </c>
      <c r="L1033" s="149" t="e">
        <f>INDEX(Tableau5[Att1],MATCH(Tableau3[[#This Row],[ID-SIG]],Tableau5[ID],0))&amp;""</f>
        <v>#N/A</v>
      </c>
      <c r="M1033" s="149" t="e">
        <f>INDEX(Tableau5[Att2],MATCH(Tableau3[[#This Row],[ID-SIG]],Tableau5[ID],0))&amp;""</f>
        <v>#N/A</v>
      </c>
      <c r="N1033" s="149" t="e">
        <f>INDEX(Tableau5[Att3],MATCH(Tableau3[[#This Row],[ID-SIG]],Tableau5[ID],0))&amp;""</f>
        <v>#N/A</v>
      </c>
      <c r="O1033" s="150"/>
      <c r="P1033" s="149" t="e">
        <f>INDEX(Tableau5[Description],MATCH(Tableau3[[#This Row],[ID-SIG]],Tableau5[ID],0))</f>
        <v>#N/A</v>
      </c>
      <c r="Q1033" s="150"/>
      <c r="R1033" s="117" t="e">
        <f>Tableau3[[#This Row],[Description]]</f>
        <v>#N/A</v>
      </c>
      <c r="S1033" s="75"/>
      <c r="T1033" s="75"/>
      <c r="U1033" s="151">
        <v>6</v>
      </c>
      <c r="V1033" s="151">
        <v>2</v>
      </c>
      <c r="W1033" s="151">
        <v>6</v>
      </c>
      <c r="X1033" s="151">
        <v>7</v>
      </c>
      <c r="Y1033" s="41"/>
      <c r="Z1033" s="166" t="str">
        <f>INDEX(Tableau2[TS],MATCH(Tableau3[[#This Row],[ID-CARTEVOIE]],Tableau2[ID-CARTEVOIE],0))</f>
        <v>ST</v>
      </c>
      <c r="AA1033" s="81" t="s">
        <v>213</v>
      </c>
      <c r="AB1033" s="226" t="str">
        <f>IFERROR(INDEX(Tableau5[Reserve],MATCH(Tableau3[[#This Row],[ID-SIG]],Tableau5[ID],0))&amp;"","")</f>
        <v/>
      </c>
      <c r="AC1033" s="119" t="s">
        <v>1456</v>
      </c>
      <c r="AD1033" s="120" t="str">
        <f>INDEX(Tableau7[Repere],MATCH(Tableau3[[#This Row],[ID-API]],Tableau7[ID-API],0))&amp;""</f>
        <v>A6</v>
      </c>
      <c r="AE1033" s="121" t="str">
        <f>INDEX(Tableau1[Repere-Rack],MATCH(Tableau3[[#This Row],[ID-RACK]],Tableau1[ID-RACK],0))&amp;""</f>
        <v>R2</v>
      </c>
      <c r="AF1033" s="121" t="str">
        <f>INDEX(Tableau1[Repere-Slot],MATCH(Tableau3[[#This Row],[ID-SLOT]],Tableau1[ID-SLOT],0))&amp;""</f>
        <v>S6</v>
      </c>
      <c r="AG1033" s="121" t="str">
        <f>INDEX(Tableau2[Repere-Voie],MATCH(Tableau3[[#This Row],[ID-VOIE]],Tableau2[ID-Voie],0))&amp;""</f>
        <v>v7</v>
      </c>
      <c r="AH1033" s="122" t="str">
        <f>Tableau3[[#This Row],[ID-API]]&amp; "." &amp;Tableau3[[#This Row],[ID-RACK]]&amp; "." &amp;Tableau3[[#This Row],[ID-SLOT]]</f>
        <v>6.2.6</v>
      </c>
      <c r="AI1033" s="72" t="str">
        <f>INDEX(Tableau1[Ref-Carte],MATCH(Tableau3[[#This Row],[ID-RRS]],Tableau1[ID-RRS],0))</f>
        <v>SDO0802</v>
      </c>
      <c r="AJ1033" s="72" t="str">
        <f t="array" ref="AJ1033">IFERROR(INDEX(Tableau2[TS],MATCH(1,(Tableau2[Ref-Carte]=Tableau3[[#This Row],[Ref-Carte2]])*(Tableau2[ID-Voie]=Tableau3[[#This Row],[ID-VOIE]]),0)),"")</f>
        <v>ST</v>
      </c>
      <c r="AK1033" s="72" t="str">
        <f>IFERROR(INDEX(Tableau2[TS],SUMPRODUCT((Tableau2[Ref-Carte]=Tableau3[[#This Row],[Ref-Carte2]])*(Tableau2[ID-Voie]=Tableau3[[#This Row],[ID-VOIE]])*ROW(Tableau2[TS]))-ROW(Tableau2[#Headers])),"")</f>
        <v>ST</v>
      </c>
      <c r="AL1033" s="122" t="str">
        <f>Tableau3[[#This Row],[Ref-Carte2]]&amp;"/"&amp;Tableau3[[#This Row],[ID-VOIE]]</f>
        <v>SDO0802/7</v>
      </c>
      <c r="AM1033" s="123" t="str">
        <f>INDEX(Tableau2[Borne],MATCH(Tableau3[[#This Row],[ID-CARTEVOIE]],Tableau2[ID-CARTEVOIE],0))&amp;""</f>
        <v>7</v>
      </c>
      <c r="AN1033" s="124" t="str">
        <f>Tableau3[[#This Row],[ID-API]]&amp;Tableau3[[#This Row],[ID-RACK]]&amp;Tableau3[[#This Row],[ID-SLOT]]&amp;Tableau3[[#This Row],[BORNE]]</f>
        <v>6267</v>
      </c>
      <c r="AO1033" s="125"/>
    </row>
    <row r="1034" spans="1:41" ht="20.100000000000001" customHeight="1" thickTop="1" thickBot="1">
      <c r="A1034" s="68"/>
      <c r="B1034" s="69" t="str">
        <f>IFERROR(INDEX(Tableau4[Date],MATCH($A1034,Tableau4[EVO],0)),"")</f>
        <v/>
      </c>
      <c r="C1034" s="68" t="str">
        <f>IFERROR(INDEX(Tableau4[Designation],MATCH($A1034,Tableau4[EVO],0)),"")</f>
        <v/>
      </c>
      <c r="D1034" s="68"/>
      <c r="E1034" s="70">
        <v>58</v>
      </c>
      <c r="F1034" s="71">
        <v>22</v>
      </c>
      <c r="G1034" s="101" t="str">
        <f>INDEX(Tableau8[Att1],MATCH(Tableau3[[#This Row],[ID-INS]],Tableau8[ID],0))&amp;""</f>
        <v>GR</v>
      </c>
      <c r="H1034" s="101" t="str">
        <f>INDEX(Tableau8[Att2],MATCH(Tableau3[[#This Row],[ID-INS]],Tableau8[ID],0))&amp;""</f>
        <v>TRSS1</v>
      </c>
      <c r="I1034" s="101" t="str">
        <f>INDEX(Tableau8[Att3],MATCH(Tableau3[[#This Row],[ID-INS]],Tableau8[ID],0))&amp;""</f>
        <v>Tourniquet TRSS1</v>
      </c>
      <c r="J1034" s="101"/>
      <c r="K1034" s="167" t="str">
        <f>INDEX(Tableau8[Nom du modele],MATCH(Tableau3[[#This Row],[ID-INS]],Tableau8[ID],0))&amp;""</f>
        <v>TRSS_1</v>
      </c>
      <c r="L1034" s="141" t="str">
        <f>INDEX(Tableau5[Att1],MATCH(Tableau3[[#This Row],[ID-SIG]],Tableau5[ID],0))&amp;""</f>
        <v>TE_PassageOK</v>
      </c>
      <c r="M1034" s="99" t="str">
        <f>INDEX(Tableau5[Att2],MATCH(Tableau3[[#This Row],[ID-SIG]],Tableau5[ID],0))&amp;""</f>
        <v/>
      </c>
      <c r="N1034" s="99" t="str">
        <f>INDEX(Tableau5[Att3],MATCH(Tableau3[[#This Row],[ID-SIG]],Tableau5[ID],0))&amp;""</f>
        <v/>
      </c>
      <c r="O1034" s="99"/>
      <c r="P1034" s="141" t="str">
        <f>INDEX(Tableau5[Description],MATCH(Tableau3[[#This Row],[ID-SIG]],Tableau5[ID],0))</f>
        <v>Passage effectuée entrée</v>
      </c>
      <c r="Q1034" s="99"/>
      <c r="R1034" s="103" t="str">
        <f>Tableau3[[#This Row],[Description]]</f>
        <v>Passage effectuée entrée</v>
      </c>
      <c r="U1034" s="87">
        <v>6</v>
      </c>
      <c r="V1034" s="87">
        <v>2</v>
      </c>
      <c r="W1034" s="87">
        <v>7</v>
      </c>
      <c r="X1034" s="87">
        <v>0</v>
      </c>
      <c r="Y1034" s="40"/>
      <c r="Z1034" s="165" t="str">
        <f>INDEX(Tableau2[TS],MATCH(Tableau3[[#This Row],[ID-CARTEVOIE]],Tableau2[ID-CARTEVOIE],0))</f>
        <v>ET</v>
      </c>
      <c r="AA1034" s="53" t="s">
        <v>213</v>
      </c>
      <c r="AB1034" s="223" t="str">
        <f>IFERROR(INDEX(Tableau5[Reserve],MATCH(Tableau3[[#This Row],[ID-SIG]],Tableau5[ID],0))&amp;"","")</f>
        <v/>
      </c>
      <c r="AC1034" s="21"/>
      <c r="AD1034" s="108" t="str">
        <f>INDEX(Tableau7[Repere],MATCH(Tableau3[[#This Row],[ID-API]],Tableau7[ID-API],0))&amp;""</f>
        <v>A6</v>
      </c>
      <c r="AE1034" s="108" t="str">
        <f>INDEX(Tableau1[Repere-Rack],MATCH(Tableau3[[#This Row],[ID-RACK]],Tableau1[ID-RACK],0))&amp;""</f>
        <v>R2</v>
      </c>
      <c r="AF1034" s="108" t="str">
        <f>INDEX(Tableau1[Repere-Slot],MATCH(Tableau3[[#This Row],[ID-SLOT]],Tableau1[ID-SLOT],0))&amp;""</f>
        <v>S7</v>
      </c>
      <c r="AG1034" s="108" t="str">
        <f>INDEX(Tableau2[Repere-Voie],MATCH(Tableau3[[#This Row],[ID-VOIE]],Tableau2[ID-Voie],0))&amp;""</f>
        <v>v0</v>
      </c>
      <c r="AH1034" s="72" t="str">
        <f>Tableau3[[#This Row],[ID-API]]&amp; "." &amp;Tableau3[[#This Row],[ID-RACK]]&amp; "." &amp;Tableau3[[#This Row],[ID-SLOT]]</f>
        <v>6.2.7</v>
      </c>
      <c r="AI1034" s="72" t="str">
        <f>INDEX(Tableau1[Ref-Carte],MATCH(Tableau3[[#This Row],[ID-RRS]],Tableau1[ID-RRS],0))</f>
        <v>SDI1602</v>
      </c>
      <c r="AJ1034" s="72" t="str">
        <f t="array" ref="AJ1034">IFERROR(INDEX(Tableau2[TS],MATCH(1,(Tableau2[Ref-Carte]=Tableau3[[#This Row],[Ref-Carte2]])*(Tableau2[ID-Voie]=Tableau3[[#This Row],[ID-VOIE]]),0)),"")</f>
        <v>ET</v>
      </c>
      <c r="AK1034" s="72" t="str">
        <f>IFERROR(INDEX(Tableau2[TS],SUMPRODUCT((Tableau2[Ref-Carte]=Tableau3[[#This Row],[Ref-Carte2]])*(Tableau2[ID-Voie]=Tableau3[[#This Row],[ID-VOIE]])*ROW(Tableau2[TS]))-ROW(Tableau2[#Headers])),"")</f>
        <v>ET</v>
      </c>
      <c r="AL1034" s="72" t="str">
        <f>Tableau3[[#This Row],[Ref-Carte2]]&amp;"/"&amp;Tableau3[[#This Row],[ID-VOIE]]</f>
        <v>SDI1602/0</v>
      </c>
      <c r="AM1034" s="73" t="str">
        <f>INDEX(Tableau2[Borne],MATCH(Tableau3[[#This Row],[ID-CARTEVOIE]],Tableau2[ID-CARTEVOIE],0))&amp;""</f>
        <v>0B</v>
      </c>
      <c r="AN1034" s="74" t="str">
        <f>Tableau3[[#This Row],[ID-API]]&amp;Tableau3[[#This Row],[ID-RACK]]&amp;Tableau3[[#This Row],[ID-SLOT]]&amp;Tableau3[[#This Row],[BORNE]]</f>
        <v>6270B</v>
      </c>
      <c r="AO1034" s="1"/>
    </row>
    <row r="1035" spans="1:41" ht="20.100000000000001" customHeight="1" thickTop="1" thickBot="1">
      <c r="A1035" s="68"/>
      <c r="B1035" s="69" t="str">
        <f>IFERROR(INDEX(Tableau4[Date],MATCH($A1035,Tableau4[EVO],0)),"")</f>
        <v/>
      </c>
      <c r="C1035" s="68" t="str">
        <f>IFERROR(INDEX(Tableau4[Designation],MATCH($A1035,Tableau4[EVO],0)),"")</f>
        <v/>
      </c>
      <c r="D1035" s="68"/>
      <c r="E1035" s="70">
        <v>58</v>
      </c>
      <c r="F1035" s="71">
        <v>23</v>
      </c>
      <c r="G1035" s="101" t="str">
        <f>INDEX(Tableau8[Att1],MATCH(Tableau3[[#This Row],[ID-INS]],Tableau8[ID],0))&amp;""</f>
        <v>GR</v>
      </c>
      <c r="H1035" s="101" t="str">
        <f>INDEX(Tableau8[Att2],MATCH(Tableau3[[#This Row],[ID-INS]],Tableau8[ID],0))&amp;""</f>
        <v>TRSS1</v>
      </c>
      <c r="I1035" s="101" t="str">
        <f>INDEX(Tableau8[Att3],MATCH(Tableau3[[#This Row],[ID-INS]],Tableau8[ID],0))&amp;""</f>
        <v>Tourniquet TRSS1</v>
      </c>
      <c r="J1035" s="101"/>
      <c r="K1035" s="167" t="str">
        <f>INDEX(Tableau8[Nom du modele],MATCH(Tableau3[[#This Row],[ID-INS]],Tableau8[ID],0))&amp;""</f>
        <v>TRSS_1</v>
      </c>
      <c r="L1035" s="99" t="str">
        <f>INDEX(Tableau5[Att1],MATCH(Tableau3[[#This Row],[ID-SIG]],Tableau5[ID],0))&amp;""</f>
        <v>TS_PassageOK</v>
      </c>
      <c r="M1035" s="99" t="str">
        <f>INDEX(Tableau5[Att2],MATCH(Tableau3[[#This Row],[ID-SIG]],Tableau5[ID],0))&amp;""</f>
        <v/>
      </c>
      <c r="N1035" s="99" t="str">
        <f>INDEX(Tableau5[Att3],MATCH(Tableau3[[#This Row],[ID-SIG]],Tableau5[ID],0))&amp;""</f>
        <v/>
      </c>
      <c r="O1035" s="99"/>
      <c r="P1035" s="99" t="str">
        <f>INDEX(Tableau5[Description],MATCH(Tableau3[[#This Row],[ID-SIG]],Tableau5[ID],0))</f>
        <v>Passage effectuée sortie</v>
      </c>
      <c r="Q1035" s="99"/>
      <c r="R1035" s="103" t="str">
        <f>Tableau3[[#This Row],[Description]]</f>
        <v>Passage effectuée sortie</v>
      </c>
      <c r="U1035" s="87">
        <v>6</v>
      </c>
      <c r="V1035" s="87">
        <v>2</v>
      </c>
      <c r="W1035" s="87">
        <v>7</v>
      </c>
      <c r="X1035" s="87">
        <v>1</v>
      </c>
      <c r="Y1035" s="40"/>
      <c r="Z1035" s="165" t="str">
        <f>INDEX(Tableau2[TS],MATCH(Tableau3[[#This Row],[ID-CARTEVOIE]],Tableau2[ID-CARTEVOIE],0))</f>
        <v>ET</v>
      </c>
      <c r="AA1035" s="53" t="s">
        <v>213</v>
      </c>
      <c r="AB1035" s="223" t="str">
        <f>IFERROR(INDEX(Tableau5[Reserve],MATCH(Tableau3[[#This Row],[ID-SIG]],Tableau5[ID],0))&amp;"","")</f>
        <v/>
      </c>
      <c r="AC1035" s="21"/>
      <c r="AD1035" s="108" t="str">
        <f>INDEX(Tableau7[Repere],MATCH(Tableau3[[#This Row],[ID-API]],Tableau7[ID-API],0))&amp;""</f>
        <v>A6</v>
      </c>
      <c r="AE1035" s="108" t="str">
        <f>INDEX(Tableau1[Repere-Rack],MATCH(Tableau3[[#This Row],[ID-RACK]],Tableau1[ID-RACK],0))&amp;""</f>
        <v>R2</v>
      </c>
      <c r="AF1035" s="108" t="str">
        <f>INDEX(Tableau1[Repere-Slot],MATCH(Tableau3[[#This Row],[ID-SLOT]],Tableau1[ID-SLOT],0))&amp;""</f>
        <v>S7</v>
      </c>
      <c r="AG1035" s="108" t="str">
        <f>INDEX(Tableau2[Repere-Voie],MATCH(Tableau3[[#This Row],[ID-VOIE]],Tableau2[ID-Voie],0))&amp;""</f>
        <v>v1</v>
      </c>
      <c r="AH1035" s="72" t="str">
        <f>Tableau3[[#This Row],[ID-API]]&amp; "." &amp;Tableau3[[#This Row],[ID-RACK]]&amp; "." &amp;Tableau3[[#This Row],[ID-SLOT]]</f>
        <v>6.2.7</v>
      </c>
      <c r="AI1035" s="72" t="str">
        <f>INDEX(Tableau1[Ref-Carte],MATCH(Tableau3[[#This Row],[ID-RRS]],Tableau1[ID-RRS],0))</f>
        <v>SDI1602</v>
      </c>
      <c r="AJ1035" s="72" t="str">
        <f t="array" ref="AJ1035">IFERROR(INDEX(Tableau2[TS],MATCH(1,(Tableau2[Ref-Carte]=Tableau3[[#This Row],[Ref-Carte2]])*(Tableau2[ID-Voie]=Tableau3[[#This Row],[ID-VOIE]]),0)),"")</f>
        <v>ET</v>
      </c>
      <c r="AK1035" s="72" t="str">
        <f>IFERROR(INDEX(Tableau2[TS],SUMPRODUCT((Tableau2[Ref-Carte]=Tableau3[[#This Row],[Ref-Carte2]])*(Tableau2[ID-Voie]=Tableau3[[#This Row],[ID-VOIE]])*ROW(Tableau2[TS]))-ROW(Tableau2[#Headers])),"")</f>
        <v>ET</v>
      </c>
      <c r="AL1035" s="72" t="str">
        <f>Tableau3[[#This Row],[Ref-Carte2]]&amp;"/"&amp;Tableau3[[#This Row],[ID-VOIE]]</f>
        <v>SDI1602/1</v>
      </c>
      <c r="AM1035" s="73" t="str">
        <f>INDEX(Tableau2[Borne],MATCH(Tableau3[[#This Row],[ID-CARTEVOIE]],Tableau2[ID-CARTEVOIE],0))&amp;""</f>
        <v>0A</v>
      </c>
      <c r="AN1035" s="74" t="str">
        <f>Tableau3[[#This Row],[ID-API]]&amp;Tableau3[[#This Row],[ID-RACK]]&amp;Tableau3[[#This Row],[ID-SLOT]]&amp;Tableau3[[#This Row],[BORNE]]</f>
        <v>6270A</v>
      </c>
      <c r="AO1035" s="1"/>
    </row>
    <row r="1036" spans="1:41" ht="20.100000000000001" customHeight="1" thickTop="1" thickBot="1">
      <c r="A1036" s="68"/>
      <c r="B1036" s="69" t="str">
        <f>IFERROR(INDEX(Tableau4[Date],MATCH($A1036,Tableau4[EVO],0)),"")</f>
        <v/>
      </c>
      <c r="C1036" s="68" t="str">
        <f>IFERROR(INDEX(Tableau4[Designation],MATCH($A1036,Tableau4[EVO],0)),"")</f>
        <v/>
      </c>
      <c r="D1036" s="68"/>
      <c r="E1036" s="70">
        <v>58</v>
      </c>
      <c r="F1036" s="71">
        <v>24</v>
      </c>
      <c r="G1036" s="101" t="str">
        <f>INDEX(Tableau8[Att1],MATCH(Tableau3[[#This Row],[ID-INS]],Tableau8[ID],0))&amp;""</f>
        <v>GR</v>
      </c>
      <c r="H1036" s="101" t="str">
        <f>INDEX(Tableau8[Att2],MATCH(Tableau3[[#This Row],[ID-INS]],Tableau8[ID],0))&amp;""</f>
        <v>TRSS1</v>
      </c>
      <c r="I1036" s="101" t="str">
        <f>INDEX(Tableau8[Att3],MATCH(Tableau3[[#This Row],[ID-INS]],Tableau8[ID],0))&amp;""</f>
        <v>Tourniquet TRSS1</v>
      </c>
      <c r="J1036" s="101"/>
      <c r="K1036" s="167" t="str">
        <f>INDEX(Tableau8[Nom du modele],MATCH(Tableau3[[#This Row],[ID-INS]],Tableau8[ID],0))&amp;""</f>
        <v>TRSS_1</v>
      </c>
      <c r="L1036" s="141" t="str">
        <f>INDEX(Tableau5[Att1],MATCH(Tableau3[[#This Row],[ID-SIG]],Tableau5[ID],0))&amp;""</f>
        <v>T_SynthDef</v>
      </c>
      <c r="M1036" s="99" t="str">
        <f>INDEX(Tableau5[Att2],MATCH(Tableau3[[#This Row],[ID-SIG]],Tableau5[ID],0))&amp;""</f>
        <v/>
      </c>
      <c r="N1036" s="99" t="str">
        <f>INDEX(Tableau5[Att3],MATCH(Tableau3[[#This Row],[ID-SIG]],Tableau5[ID],0))&amp;""</f>
        <v/>
      </c>
      <c r="O1036" s="99"/>
      <c r="P1036" s="141" t="str">
        <f>INDEX(Tableau5[Description],MATCH(Tableau3[[#This Row],[ID-SIG]],Tableau5[ID],0))</f>
        <v>Synthèse défaut</v>
      </c>
      <c r="Q1036" s="99"/>
      <c r="R1036" s="103" t="str">
        <f>Tableau3[[#This Row],[Description]]</f>
        <v>Synthèse défaut</v>
      </c>
      <c r="U1036" s="87">
        <v>6</v>
      </c>
      <c r="V1036" s="87">
        <v>2</v>
      </c>
      <c r="W1036" s="87">
        <v>7</v>
      </c>
      <c r="X1036" s="87">
        <v>2</v>
      </c>
      <c r="Y1036" s="40"/>
      <c r="Z1036" s="165" t="str">
        <f>INDEX(Tableau2[TS],MATCH(Tableau3[[#This Row],[ID-CARTEVOIE]],Tableau2[ID-CARTEVOIE],0))</f>
        <v>ET</v>
      </c>
      <c r="AA1036" s="53" t="s">
        <v>213</v>
      </c>
      <c r="AB1036" s="223" t="str">
        <f>IFERROR(INDEX(Tableau5[Reserve],MATCH(Tableau3[[#This Row],[ID-SIG]],Tableau5[ID],0))&amp;"","")</f>
        <v/>
      </c>
      <c r="AC1036" s="21"/>
      <c r="AD1036" s="108" t="str">
        <f>INDEX(Tableau7[Repere],MATCH(Tableau3[[#This Row],[ID-API]],Tableau7[ID-API],0))&amp;""</f>
        <v>A6</v>
      </c>
      <c r="AE1036" s="108" t="str">
        <f>INDEX(Tableau1[Repere-Rack],MATCH(Tableau3[[#This Row],[ID-RACK]],Tableau1[ID-RACK],0))&amp;""</f>
        <v>R2</v>
      </c>
      <c r="AF1036" s="108" t="str">
        <f>INDEX(Tableau1[Repere-Slot],MATCH(Tableau3[[#This Row],[ID-SLOT]],Tableau1[ID-SLOT],0))&amp;""</f>
        <v>S7</v>
      </c>
      <c r="AG1036" s="108" t="str">
        <f>INDEX(Tableau2[Repere-Voie],MATCH(Tableau3[[#This Row],[ID-VOIE]],Tableau2[ID-Voie],0))&amp;""</f>
        <v>v2</v>
      </c>
      <c r="AH1036" s="72" t="str">
        <f>Tableau3[[#This Row],[ID-API]]&amp; "." &amp;Tableau3[[#This Row],[ID-RACK]]&amp; "." &amp;Tableau3[[#This Row],[ID-SLOT]]</f>
        <v>6.2.7</v>
      </c>
      <c r="AI1036" s="72" t="str">
        <f>INDEX(Tableau1[Ref-Carte],MATCH(Tableau3[[#This Row],[ID-RRS]],Tableau1[ID-RRS],0))</f>
        <v>SDI1602</v>
      </c>
      <c r="AJ1036" s="72" t="str">
        <f t="array" ref="AJ1036">IFERROR(INDEX(Tableau2[TS],MATCH(1,(Tableau2[Ref-Carte]=Tableau3[[#This Row],[Ref-Carte2]])*(Tableau2[ID-Voie]=Tableau3[[#This Row],[ID-VOIE]]),0)),"")</f>
        <v>ET</v>
      </c>
      <c r="AK1036" s="72" t="str">
        <f>IFERROR(INDEX(Tableau2[TS],SUMPRODUCT((Tableau2[Ref-Carte]=Tableau3[[#This Row],[Ref-Carte2]])*(Tableau2[ID-Voie]=Tableau3[[#This Row],[ID-VOIE]])*ROW(Tableau2[TS]))-ROW(Tableau2[#Headers])),"")</f>
        <v>ET</v>
      </c>
      <c r="AL1036" s="72" t="str">
        <f>Tableau3[[#This Row],[Ref-Carte2]]&amp;"/"&amp;Tableau3[[#This Row],[ID-VOIE]]</f>
        <v>SDI1602/2</v>
      </c>
      <c r="AM1036" s="73" t="str">
        <f>INDEX(Tableau2[Borne],MATCH(Tableau3[[#This Row],[ID-CARTEVOIE]],Tableau2[ID-CARTEVOIE],0))&amp;""</f>
        <v>1B</v>
      </c>
      <c r="AN1036" s="74" t="str">
        <f>Tableau3[[#This Row],[ID-API]]&amp;Tableau3[[#This Row],[ID-RACK]]&amp;Tableau3[[#This Row],[ID-SLOT]]&amp;Tableau3[[#This Row],[BORNE]]</f>
        <v>6271B</v>
      </c>
      <c r="AO1036" s="1"/>
    </row>
    <row r="1037" spans="1:41" ht="20.100000000000001" customHeight="1" thickTop="1" thickBot="1">
      <c r="A1037" s="68"/>
      <c r="B1037" s="69" t="str">
        <f>IFERROR(INDEX(Tableau4[Date],MATCH($A1037,Tableau4[EVO],0)),"")</f>
        <v/>
      </c>
      <c r="C1037" s="68" t="str">
        <f>IFERROR(INDEX(Tableau4[Designation],MATCH($A1037,Tableau4[EVO],0)),"")</f>
        <v/>
      </c>
      <c r="D1037" s="68"/>
      <c r="E1037" s="70">
        <v>58</v>
      </c>
      <c r="F1037" s="71">
        <v>25</v>
      </c>
      <c r="G1037" s="101" t="str">
        <f>INDEX(Tableau8[Att1],MATCH(Tableau3[[#This Row],[ID-INS]],Tableau8[ID],0))&amp;""</f>
        <v>GR</v>
      </c>
      <c r="H1037" s="101" t="str">
        <f>INDEX(Tableau8[Att2],MATCH(Tableau3[[#This Row],[ID-INS]],Tableau8[ID],0))&amp;""</f>
        <v>TRSS1</v>
      </c>
      <c r="I1037" s="101" t="str">
        <f>INDEX(Tableau8[Att3],MATCH(Tableau3[[#This Row],[ID-INS]],Tableau8[ID],0))&amp;""</f>
        <v>Tourniquet TRSS1</v>
      </c>
      <c r="J1037" s="101"/>
      <c r="K1037" s="167" t="str">
        <f>INDEX(Tableau8[Nom du modele],MATCH(Tableau3[[#This Row],[ID-INS]],Tableau8[ID],0))&amp;""</f>
        <v>TRSS_1</v>
      </c>
      <c r="L1037" s="99" t="str">
        <f>INDEX(Tableau5[Att1],MATCH(Tableau3[[#This Row],[ID-SIG]],Tableau5[ID],0))&amp;""</f>
        <v>Effraction</v>
      </c>
      <c r="M1037" s="99" t="str">
        <f>INDEX(Tableau5[Att2],MATCH(Tableau3[[#This Row],[ID-SIG]],Tableau5[ID],0))&amp;""</f>
        <v/>
      </c>
      <c r="N1037" s="99" t="str">
        <f>INDEX(Tableau5[Att3],MATCH(Tableau3[[#This Row],[ID-SIG]],Tableau5[ID],0))&amp;""</f>
        <v/>
      </c>
      <c r="O1037" s="99"/>
      <c r="P1037" s="99" t="str">
        <f>INDEX(Tableau5[Description],MATCH(Tableau3[[#This Row],[ID-SIG]],Tableau5[ID],0))</f>
        <v>Effraction</v>
      </c>
      <c r="Q1037" s="99"/>
      <c r="R1037" s="103" t="str">
        <f>Tableau3[[#This Row],[Description]]</f>
        <v>Effraction</v>
      </c>
      <c r="U1037" s="87">
        <v>6</v>
      </c>
      <c r="V1037" s="87">
        <v>2</v>
      </c>
      <c r="W1037" s="87">
        <v>7</v>
      </c>
      <c r="X1037" s="87">
        <v>3</v>
      </c>
      <c r="Y1037" s="40"/>
      <c r="Z1037" s="165" t="str">
        <f>INDEX(Tableau2[TS],MATCH(Tableau3[[#This Row],[ID-CARTEVOIE]],Tableau2[ID-CARTEVOIE],0))</f>
        <v>ET</v>
      </c>
      <c r="AA1037" s="53" t="s">
        <v>213</v>
      </c>
      <c r="AB1037" s="223" t="str">
        <f>IFERROR(INDEX(Tableau5[Reserve],MATCH(Tableau3[[#This Row],[ID-SIG]],Tableau5[ID],0))&amp;"","")</f>
        <v/>
      </c>
      <c r="AC1037" s="21"/>
      <c r="AD1037" s="108" t="str">
        <f>INDEX(Tableau7[Repere],MATCH(Tableau3[[#This Row],[ID-API]],Tableau7[ID-API],0))&amp;""</f>
        <v>A6</v>
      </c>
      <c r="AE1037" s="108" t="str">
        <f>INDEX(Tableau1[Repere-Rack],MATCH(Tableau3[[#This Row],[ID-RACK]],Tableau1[ID-RACK],0))&amp;""</f>
        <v>R2</v>
      </c>
      <c r="AF1037" s="108" t="str">
        <f>INDEX(Tableau1[Repere-Slot],MATCH(Tableau3[[#This Row],[ID-SLOT]],Tableau1[ID-SLOT],0))&amp;""</f>
        <v>S7</v>
      </c>
      <c r="AG1037" s="108" t="str">
        <f>INDEX(Tableau2[Repere-Voie],MATCH(Tableau3[[#This Row],[ID-VOIE]],Tableau2[ID-Voie],0))&amp;""</f>
        <v>v3</v>
      </c>
      <c r="AH1037" s="72" t="str">
        <f>Tableau3[[#This Row],[ID-API]]&amp; "." &amp;Tableau3[[#This Row],[ID-RACK]]&amp; "." &amp;Tableau3[[#This Row],[ID-SLOT]]</f>
        <v>6.2.7</v>
      </c>
      <c r="AI1037" s="72" t="str">
        <f>INDEX(Tableau1[Ref-Carte],MATCH(Tableau3[[#This Row],[ID-RRS]],Tableau1[ID-RRS],0))</f>
        <v>SDI1602</v>
      </c>
      <c r="AJ1037" s="72" t="str">
        <f t="array" ref="AJ1037">IFERROR(INDEX(Tableau2[TS],MATCH(1,(Tableau2[Ref-Carte]=Tableau3[[#This Row],[Ref-Carte2]])*(Tableau2[ID-Voie]=Tableau3[[#This Row],[ID-VOIE]]),0)),"")</f>
        <v>ET</v>
      </c>
      <c r="AK1037" s="72" t="str">
        <f>IFERROR(INDEX(Tableau2[TS],SUMPRODUCT((Tableau2[Ref-Carte]=Tableau3[[#This Row],[Ref-Carte2]])*(Tableau2[ID-Voie]=Tableau3[[#This Row],[ID-VOIE]])*ROW(Tableau2[TS]))-ROW(Tableau2[#Headers])),"")</f>
        <v>ET</v>
      </c>
      <c r="AL1037" s="72" t="str">
        <f>Tableau3[[#This Row],[Ref-Carte2]]&amp;"/"&amp;Tableau3[[#This Row],[ID-VOIE]]</f>
        <v>SDI1602/3</v>
      </c>
      <c r="AM1037" s="73" t="str">
        <f>INDEX(Tableau2[Borne],MATCH(Tableau3[[#This Row],[ID-CARTEVOIE]],Tableau2[ID-CARTEVOIE],0))&amp;""</f>
        <v>1A</v>
      </c>
      <c r="AN1037" s="74" t="str">
        <f>Tableau3[[#This Row],[ID-API]]&amp;Tableau3[[#This Row],[ID-RACK]]&amp;Tableau3[[#This Row],[ID-SLOT]]&amp;Tableau3[[#This Row],[BORNE]]</f>
        <v>6271A</v>
      </c>
      <c r="AO1037" s="1"/>
    </row>
    <row r="1038" spans="1:41" ht="20.100000000000001" customHeight="1" thickTop="1" thickBot="1">
      <c r="A1038" s="68"/>
      <c r="B1038" s="69" t="str">
        <f>IFERROR(INDEX(Tableau4[Date],MATCH($A1038,Tableau4[EVO],0)),"")</f>
        <v/>
      </c>
      <c r="C1038" s="68" t="str">
        <f>IFERROR(INDEX(Tableau4[Designation],MATCH($A1038,Tableau4[EVO],0)),"")</f>
        <v/>
      </c>
      <c r="D1038" s="68"/>
      <c r="E1038" s="70">
        <v>58</v>
      </c>
      <c r="F1038" s="71">
        <v>26</v>
      </c>
      <c r="G1038" s="101" t="str">
        <f>INDEX(Tableau8[Att1],MATCH(Tableau3[[#This Row],[ID-INS]],Tableau8[ID],0))&amp;""</f>
        <v>GR</v>
      </c>
      <c r="H1038" s="101" t="str">
        <f>INDEX(Tableau8[Att2],MATCH(Tableau3[[#This Row],[ID-INS]],Tableau8[ID],0))&amp;""</f>
        <v>TRSS1</v>
      </c>
      <c r="I1038" s="101" t="str">
        <f>INDEX(Tableau8[Att3],MATCH(Tableau3[[#This Row],[ID-INS]],Tableau8[ID],0))&amp;""</f>
        <v>Tourniquet TRSS1</v>
      </c>
      <c r="J1038" s="101"/>
      <c r="K1038" s="167" t="str">
        <f>INDEX(Tableau8[Nom du modele],MATCH(Tableau3[[#This Row],[ID-INS]],Tableau8[ID],0))&amp;""</f>
        <v>TRSS_1</v>
      </c>
      <c r="L1038" s="99" t="str">
        <f>INDEX(Tableau5[Att1],MATCH(Tableau3[[#This Row],[ID-SIG]],Tableau5[ID],0))&amp;""</f>
        <v>Fer</v>
      </c>
      <c r="M1038" s="99" t="str">
        <f>INDEX(Tableau5[Att2],MATCH(Tableau3[[#This Row],[ID-SIG]],Tableau5[ID],0))&amp;""</f>
        <v/>
      </c>
      <c r="N1038" s="99" t="str">
        <f>INDEX(Tableau5[Att3],MATCH(Tableau3[[#This Row],[ID-SIG]],Tableau5[ID],0))&amp;""</f>
        <v/>
      </c>
      <c r="O1038" s="99"/>
      <c r="P1038" s="99" t="str">
        <f>INDEX(Tableau5[Description],MATCH(Tableau3[[#This Row],[ID-SIG]],Tableau5[ID],0))</f>
        <v>Position fermée</v>
      </c>
      <c r="Q1038" s="99"/>
      <c r="R1038" s="103" t="str">
        <f>Tableau3[[#This Row],[Description]]</f>
        <v>Position fermée</v>
      </c>
      <c r="U1038" s="87">
        <v>6</v>
      </c>
      <c r="V1038" s="87">
        <v>2</v>
      </c>
      <c r="W1038" s="87">
        <v>7</v>
      </c>
      <c r="X1038" s="87">
        <v>4</v>
      </c>
      <c r="Y1038" s="40"/>
      <c r="Z1038" s="165" t="str">
        <f>INDEX(Tableau2[TS],MATCH(Tableau3[[#This Row],[ID-CARTEVOIE]],Tableau2[ID-CARTEVOIE],0))</f>
        <v>ET</v>
      </c>
      <c r="AA1038" s="53" t="s">
        <v>213</v>
      </c>
      <c r="AB1038" s="223" t="str">
        <f>IFERROR(INDEX(Tableau5[Reserve],MATCH(Tableau3[[#This Row],[ID-SIG]],Tableau5[ID],0))&amp;"","")</f>
        <v/>
      </c>
      <c r="AC1038" s="21"/>
      <c r="AD1038" s="108" t="str">
        <f>INDEX(Tableau7[Repere],MATCH(Tableau3[[#This Row],[ID-API]],Tableau7[ID-API],0))&amp;""</f>
        <v>A6</v>
      </c>
      <c r="AE1038" s="108" t="str">
        <f>INDEX(Tableau1[Repere-Rack],MATCH(Tableau3[[#This Row],[ID-RACK]],Tableau1[ID-RACK],0))&amp;""</f>
        <v>R2</v>
      </c>
      <c r="AF1038" s="108" t="str">
        <f>INDEX(Tableau1[Repere-Slot],MATCH(Tableau3[[#This Row],[ID-SLOT]],Tableau1[ID-SLOT],0))&amp;""</f>
        <v>S7</v>
      </c>
      <c r="AG1038" s="108" t="str">
        <f>INDEX(Tableau2[Repere-Voie],MATCH(Tableau3[[#This Row],[ID-VOIE]],Tableau2[ID-Voie],0))&amp;""</f>
        <v>v4</v>
      </c>
      <c r="AH1038" s="72" t="str">
        <f>Tableau3[[#This Row],[ID-API]]&amp; "." &amp;Tableau3[[#This Row],[ID-RACK]]&amp; "." &amp;Tableau3[[#This Row],[ID-SLOT]]</f>
        <v>6.2.7</v>
      </c>
      <c r="AI1038" s="72" t="str">
        <f>INDEX(Tableau1[Ref-Carte],MATCH(Tableau3[[#This Row],[ID-RRS]],Tableau1[ID-RRS],0))</f>
        <v>SDI1602</v>
      </c>
      <c r="AJ1038" s="72" t="str">
        <f t="array" ref="AJ1038">IFERROR(INDEX(Tableau2[TS],MATCH(1,(Tableau2[Ref-Carte]=Tableau3[[#This Row],[Ref-Carte2]])*(Tableau2[ID-Voie]=Tableau3[[#This Row],[ID-VOIE]]),0)),"")</f>
        <v>ET</v>
      </c>
      <c r="AK1038" s="72" t="str">
        <f>IFERROR(INDEX(Tableau2[TS],SUMPRODUCT((Tableau2[Ref-Carte]=Tableau3[[#This Row],[Ref-Carte2]])*(Tableau2[ID-Voie]=Tableau3[[#This Row],[ID-VOIE]])*ROW(Tableau2[TS]))-ROW(Tableau2[#Headers])),"")</f>
        <v>ET</v>
      </c>
      <c r="AL1038" s="72" t="str">
        <f>Tableau3[[#This Row],[Ref-Carte2]]&amp;"/"&amp;Tableau3[[#This Row],[ID-VOIE]]</f>
        <v>SDI1602/4</v>
      </c>
      <c r="AM1038" s="73" t="str">
        <f>INDEX(Tableau2[Borne],MATCH(Tableau3[[#This Row],[ID-CARTEVOIE]],Tableau2[ID-CARTEVOIE],0))&amp;""</f>
        <v>2B</v>
      </c>
      <c r="AN1038" s="74" t="str">
        <f>Tableau3[[#This Row],[ID-API]]&amp;Tableau3[[#This Row],[ID-RACK]]&amp;Tableau3[[#This Row],[ID-SLOT]]&amp;Tableau3[[#This Row],[BORNE]]</f>
        <v>6272B</v>
      </c>
      <c r="AO1038" s="1"/>
    </row>
    <row r="1039" spans="1:41" ht="20.100000000000001" customHeight="1" thickTop="1" thickBot="1">
      <c r="A1039" s="68"/>
      <c r="B1039" s="69" t="str">
        <f>IFERROR(INDEX(Tableau4[Date],MATCH($A1039,Tableau4[EVO],0)),"")</f>
        <v/>
      </c>
      <c r="C1039" s="68" t="str">
        <f>IFERROR(INDEX(Tableau4[Designation],MATCH($A1039,Tableau4[EVO],0)),"")</f>
        <v/>
      </c>
      <c r="D1039" s="68"/>
      <c r="E1039" s="70">
        <v>59</v>
      </c>
      <c r="F1039" s="71">
        <v>3</v>
      </c>
      <c r="G1039" s="101" t="str">
        <f>INDEX(Tableau8[Att1],MATCH(Tableau3[[#This Row],[ID-INS]],Tableau8[ID],0))&amp;""</f>
        <v>XX</v>
      </c>
      <c r="H1039" s="101" t="str">
        <f>INDEX(Tableau8[Att2],MATCH(Tableau3[[#This Row],[ID-INS]],Tableau8[ID],0))&amp;""</f>
        <v>Réserve</v>
      </c>
      <c r="I1039" s="101" t="str">
        <f>INDEX(Tableau8[Att3],MATCH(Tableau3[[#This Row],[ID-INS]],Tableau8[ID],0))&amp;""</f>
        <v>Réserve</v>
      </c>
      <c r="J1039" s="101"/>
      <c r="K1039" s="167" t="str">
        <f>INDEX(Tableau8[Nom du modele],MATCH(Tableau3[[#This Row],[ID-INS]],Tableau8[ID],0))&amp;""</f>
        <v>E_Divers</v>
      </c>
      <c r="L1039" s="99" t="str">
        <f>INDEX(Tableau5[Att1],MATCH(Tableau3[[#This Row],[ID-SIG]],Tableau5[ID],0))&amp;""</f>
        <v>C1</v>
      </c>
      <c r="M1039" s="99" t="str">
        <f>INDEX(Tableau5[Att2],MATCH(Tableau3[[#This Row],[ID-SIG]],Tableau5[ID],0))&amp;""</f>
        <v/>
      </c>
      <c r="N1039" s="99" t="str">
        <f>INDEX(Tableau5[Att3],MATCH(Tableau3[[#This Row],[ID-SIG]],Tableau5[ID],0))&amp;""</f>
        <v/>
      </c>
      <c r="O1039" s="99"/>
      <c r="P1039" s="155" t="s">
        <v>1727</v>
      </c>
      <c r="Q1039" s="99"/>
      <c r="R1039" s="103" t="str">
        <f>Tableau3[[#This Row],[Description]]</f>
        <v>Réserve - Contact</v>
      </c>
      <c r="U1039" s="87">
        <v>6</v>
      </c>
      <c r="V1039" s="87">
        <v>2</v>
      </c>
      <c r="W1039" s="87">
        <v>7</v>
      </c>
      <c r="X1039" s="87">
        <v>5</v>
      </c>
      <c r="Y1039" s="40"/>
      <c r="Z1039" s="165" t="str">
        <f>INDEX(Tableau2[TS],MATCH(Tableau3[[#This Row],[ID-CARTEVOIE]],Tableau2[ID-CARTEVOIE],0))</f>
        <v>ET</v>
      </c>
      <c r="AA1039" s="53" t="s">
        <v>213</v>
      </c>
      <c r="AB1039" s="223" t="str">
        <f>IFERROR(INDEX(Tableau5[Reserve],MATCH(Tableau3[[#This Row],[ID-SIG]],Tableau5[ID],0))&amp;"","")</f>
        <v/>
      </c>
      <c r="AC1039" s="21"/>
      <c r="AD1039" s="108" t="str">
        <f>INDEX(Tableau7[Repere],MATCH(Tableau3[[#This Row],[ID-API]],Tableau7[ID-API],0))&amp;""</f>
        <v>A6</v>
      </c>
      <c r="AE1039" s="108" t="str">
        <f>INDEX(Tableau1[Repere-Rack],MATCH(Tableau3[[#This Row],[ID-RACK]],Tableau1[ID-RACK],0))&amp;""</f>
        <v>R2</v>
      </c>
      <c r="AF1039" s="108" t="str">
        <f>INDEX(Tableau1[Repere-Slot],MATCH(Tableau3[[#This Row],[ID-SLOT]],Tableau1[ID-SLOT],0))&amp;""</f>
        <v>S7</v>
      </c>
      <c r="AG1039" s="108" t="str">
        <f>INDEX(Tableau2[Repere-Voie],MATCH(Tableau3[[#This Row],[ID-VOIE]],Tableau2[ID-Voie],0))&amp;""</f>
        <v>v5</v>
      </c>
      <c r="AH1039" s="72" t="str">
        <f>Tableau3[[#This Row],[ID-API]]&amp; "." &amp;Tableau3[[#This Row],[ID-RACK]]&amp; "." &amp;Tableau3[[#This Row],[ID-SLOT]]</f>
        <v>6.2.7</v>
      </c>
      <c r="AI1039" s="72" t="str">
        <f>INDEX(Tableau1[Ref-Carte],MATCH(Tableau3[[#This Row],[ID-RRS]],Tableau1[ID-RRS],0))</f>
        <v>SDI1602</v>
      </c>
      <c r="AJ1039" s="72" t="str">
        <f t="array" ref="AJ1039">IFERROR(INDEX(Tableau2[TS],MATCH(1,(Tableau2[Ref-Carte]=Tableau3[[#This Row],[Ref-Carte2]])*(Tableau2[ID-Voie]=Tableau3[[#This Row],[ID-VOIE]]),0)),"")</f>
        <v>ET</v>
      </c>
      <c r="AK1039" s="72" t="str">
        <f>IFERROR(INDEX(Tableau2[TS],SUMPRODUCT((Tableau2[Ref-Carte]=Tableau3[[#This Row],[Ref-Carte2]])*(Tableau2[ID-Voie]=Tableau3[[#This Row],[ID-VOIE]])*ROW(Tableau2[TS]))-ROW(Tableau2[#Headers])),"")</f>
        <v>ET</v>
      </c>
      <c r="AL1039" s="72" t="str">
        <f>Tableau3[[#This Row],[Ref-Carte2]]&amp;"/"&amp;Tableau3[[#This Row],[ID-VOIE]]</f>
        <v>SDI1602/5</v>
      </c>
      <c r="AM1039" s="73" t="str">
        <f>INDEX(Tableau2[Borne],MATCH(Tableau3[[#This Row],[ID-CARTEVOIE]],Tableau2[ID-CARTEVOIE],0))&amp;""</f>
        <v>2A</v>
      </c>
      <c r="AN1039" s="74" t="str">
        <f>Tableau3[[#This Row],[ID-API]]&amp;Tableau3[[#This Row],[ID-RACK]]&amp;Tableau3[[#This Row],[ID-SLOT]]&amp;Tableau3[[#This Row],[BORNE]]</f>
        <v>6272A</v>
      </c>
      <c r="AO1039" s="1"/>
    </row>
    <row r="1040" spans="1:41" ht="20.100000000000001" customHeight="1" thickTop="1" thickBot="1">
      <c r="A1040" s="68"/>
      <c r="B1040" s="69" t="str">
        <f>IFERROR(INDEX(Tableau4[Date],MATCH($A1040,Tableau4[EVO],0)),"")</f>
        <v/>
      </c>
      <c r="C1040" s="68" t="str">
        <f>IFERROR(INDEX(Tableau4[Designation],MATCH($A1040,Tableau4[EVO],0)),"")</f>
        <v/>
      </c>
      <c r="D1040" s="68"/>
      <c r="E1040" s="70">
        <v>60</v>
      </c>
      <c r="F1040" s="71">
        <v>3</v>
      </c>
      <c r="G1040" s="101" t="str">
        <f>INDEX(Tableau8[Att1],MATCH(Tableau3[[#This Row],[ID-INS]],Tableau8[ID],0))&amp;""</f>
        <v>XX</v>
      </c>
      <c r="H1040" s="101" t="str">
        <f>INDEX(Tableau8[Att2],MATCH(Tableau3[[#This Row],[ID-INS]],Tableau8[ID],0))&amp;""</f>
        <v>Réserve</v>
      </c>
      <c r="I1040" s="101" t="str">
        <f>INDEX(Tableau8[Att3],MATCH(Tableau3[[#This Row],[ID-INS]],Tableau8[ID],0))&amp;""</f>
        <v>Réserve</v>
      </c>
      <c r="J1040" s="101"/>
      <c r="K1040" s="167" t="str">
        <f>INDEX(Tableau8[Nom du modele],MATCH(Tableau3[[#This Row],[ID-INS]],Tableau8[ID],0))&amp;""</f>
        <v>E_Divers</v>
      </c>
      <c r="L1040" s="99" t="str">
        <f>INDEX(Tableau5[Att1],MATCH(Tableau3[[#This Row],[ID-SIG]],Tableau5[ID],0))&amp;""</f>
        <v>C1</v>
      </c>
      <c r="M1040" s="99" t="str">
        <f>INDEX(Tableau5[Att2],MATCH(Tableau3[[#This Row],[ID-SIG]],Tableau5[ID],0))&amp;""</f>
        <v/>
      </c>
      <c r="N1040" s="99" t="str">
        <f>INDEX(Tableau5[Att3],MATCH(Tableau3[[#This Row],[ID-SIG]],Tableau5[ID],0))&amp;""</f>
        <v/>
      </c>
      <c r="O1040" s="99"/>
      <c r="P1040" s="155" t="s">
        <v>1727</v>
      </c>
      <c r="Q1040" s="99"/>
      <c r="R1040" s="103" t="str">
        <f>Tableau3[[#This Row],[Description]]</f>
        <v>Réserve - Contact</v>
      </c>
      <c r="U1040" s="87">
        <v>6</v>
      </c>
      <c r="V1040" s="87">
        <v>2</v>
      </c>
      <c r="W1040" s="87">
        <v>7</v>
      </c>
      <c r="X1040" s="87">
        <v>6</v>
      </c>
      <c r="Y1040" s="40"/>
      <c r="Z1040" s="165" t="str">
        <f>INDEX(Tableau2[TS],MATCH(Tableau3[[#This Row],[ID-CARTEVOIE]],Tableau2[ID-CARTEVOIE],0))</f>
        <v>ET</v>
      </c>
      <c r="AA1040" s="53" t="s">
        <v>213</v>
      </c>
      <c r="AB1040" s="223" t="str">
        <f>IFERROR(INDEX(Tableau5[Reserve],MATCH(Tableau3[[#This Row],[ID-SIG]],Tableau5[ID],0))&amp;"","")</f>
        <v/>
      </c>
      <c r="AC1040" s="21"/>
      <c r="AD1040" s="108" t="str">
        <f>INDEX(Tableau7[Repere],MATCH(Tableau3[[#This Row],[ID-API]],Tableau7[ID-API],0))&amp;""</f>
        <v>A6</v>
      </c>
      <c r="AE1040" s="108" t="str">
        <f>INDEX(Tableau1[Repere-Rack],MATCH(Tableau3[[#This Row],[ID-RACK]],Tableau1[ID-RACK],0))&amp;""</f>
        <v>R2</v>
      </c>
      <c r="AF1040" s="108" t="str">
        <f>INDEX(Tableau1[Repere-Slot],MATCH(Tableau3[[#This Row],[ID-SLOT]],Tableau1[ID-SLOT],0))&amp;""</f>
        <v>S7</v>
      </c>
      <c r="AG1040" s="108" t="str">
        <f>INDEX(Tableau2[Repere-Voie],MATCH(Tableau3[[#This Row],[ID-VOIE]],Tableau2[ID-Voie],0))&amp;""</f>
        <v>v6</v>
      </c>
      <c r="AH1040" s="72" t="str">
        <f>Tableau3[[#This Row],[ID-API]]&amp; "." &amp;Tableau3[[#This Row],[ID-RACK]]&amp; "." &amp;Tableau3[[#This Row],[ID-SLOT]]</f>
        <v>6.2.7</v>
      </c>
      <c r="AI1040" s="72" t="str">
        <f>INDEX(Tableau1[Ref-Carte],MATCH(Tableau3[[#This Row],[ID-RRS]],Tableau1[ID-RRS],0))</f>
        <v>SDI1602</v>
      </c>
      <c r="AJ1040" s="72" t="str">
        <f t="array" ref="AJ1040">IFERROR(INDEX(Tableau2[TS],MATCH(1,(Tableau2[Ref-Carte]=Tableau3[[#This Row],[Ref-Carte2]])*(Tableau2[ID-Voie]=Tableau3[[#This Row],[ID-VOIE]]),0)),"")</f>
        <v>ET</v>
      </c>
      <c r="AK1040" s="72" t="str">
        <f>IFERROR(INDEX(Tableau2[TS],SUMPRODUCT((Tableau2[Ref-Carte]=Tableau3[[#This Row],[Ref-Carte2]])*(Tableau2[ID-Voie]=Tableau3[[#This Row],[ID-VOIE]])*ROW(Tableau2[TS]))-ROW(Tableau2[#Headers])),"")</f>
        <v>ET</v>
      </c>
      <c r="AL1040" s="72" t="str">
        <f>Tableau3[[#This Row],[Ref-Carte2]]&amp;"/"&amp;Tableau3[[#This Row],[ID-VOIE]]</f>
        <v>SDI1602/6</v>
      </c>
      <c r="AM1040" s="73" t="str">
        <f>INDEX(Tableau2[Borne],MATCH(Tableau3[[#This Row],[ID-CARTEVOIE]],Tableau2[ID-CARTEVOIE],0))&amp;""</f>
        <v>3B</v>
      </c>
      <c r="AN1040" s="74" t="str">
        <f>Tableau3[[#This Row],[ID-API]]&amp;Tableau3[[#This Row],[ID-RACK]]&amp;Tableau3[[#This Row],[ID-SLOT]]&amp;Tableau3[[#This Row],[BORNE]]</f>
        <v>6273B</v>
      </c>
      <c r="AO1040" s="1"/>
    </row>
    <row r="1041" spans="1:41" ht="20.100000000000001" customHeight="1" thickTop="1" thickBot="1">
      <c r="A1041" s="68"/>
      <c r="B1041" s="69" t="str">
        <f>IFERROR(INDEX(Tableau4[Date],MATCH($A1041,Tableau4[EVO],0)),"")</f>
        <v/>
      </c>
      <c r="C1041" s="68" t="str">
        <f>IFERROR(INDEX(Tableau4[Designation],MATCH($A1041,Tableau4[EVO],0)),"")</f>
        <v/>
      </c>
      <c r="D1041" s="68"/>
      <c r="E1041" s="70">
        <v>61</v>
      </c>
      <c r="F1041" s="71">
        <v>3</v>
      </c>
      <c r="G1041" s="101" t="str">
        <f>INDEX(Tableau8[Att1],MATCH(Tableau3[[#This Row],[ID-INS]],Tableau8[ID],0))&amp;""</f>
        <v>XX</v>
      </c>
      <c r="H1041" s="101" t="str">
        <f>INDEX(Tableau8[Att2],MATCH(Tableau3[[#This Row],[ID-INS]],Tableau8[ID],0))&amp;""</f>
        <v>Réserve</v>
      </c>
      <c r="I1041" s="101" t="str">
        <f>INDEX(Tableau8[Att3],MATCH(Tableau3[[#This Row],[ID-INS]],Tableau8[ID],0))&amp;""</f>
        <v>Réserve</v>
      </c>
      <c r="J1041" s="101"/>
      <c r="K1041" s="167" t="str">
        <f>INDEX(Tableau8[Nom du modele],MATCH(Tableau3[[#This Row],[ID-INS]],Tableau8[ID],0))&amp;""</f>
        <v>E_Divers</v>
      </c>
      <c r="L1041" s="99" t="str">
        <f>INDEX(Tableau5[Att1],MATCH(Tableau3[[#This Row],[ID-SIG]],Tableau5[ID],0))&amp;""</f>
        <v>C1</v>
      </c>
      <c r="M1041" s="99" t="str">
        <f>INDEX(Tableau5[Att2],MATCH(Tableau3[[#This Row],[ID-SIG]],Tableau5[ID],0))&amp;""</f>
        <v/>
      </c>
      <c r="N1041" s="99" t="str">
        <f>INDEX(Tableau5[Att3],MATCH(Tableau3[[#This Row],[ID-SIG]],Tableau5[ID],0))&amp;""</f>
        <v/>
      </c>
      <c r="O1041" s="99"/>
      <c r="P1041" s="155" t="s">
        <v>1727</v>
      </c>
      <c r="Q1041" s="99"/>
      <c r="R1041" s="103" t="str">
        <f>Tableau3[[#This Row],[Description]]</f>
        <v>Réserve - Contact</v>
      </c>
      <c r="U1041" s="87">
        <v>6</v>
      </c>
      <c r="V1041" s="87">
        <v>2</v>
      </c>
      <c r="W1041" s="87">
        <v>7</v>
      </c>
      <c r="X1041" s="87">
        <v>7</v>
      </c>
      <c r="Y1041" s="40"/>
      <c r="Z1041" s="165" t="str">
        <f>INDEX(Tableau2[TS],MATCH(Tableau3[[#This Row],[ID-CARTEVOIE]],Tableau2[ID-CARTEVOIE],0))</f>
        <v>ET</v>
      </c>
      <c r="AA1041" s="53" t="s">
        <v>213</v>
      </c>
      <c r="AB1041" s="223" t="str">
        <f>IFERROR(INDEX(Tableau5[Reserve],MATCH(Tableau3[[#This Row],[ID-SIG]],Tableau5[ID],0))&amp;"","")</f>
        <v/>
      </c>
      <c r="AC1041" s="21"/>
      <c r="AD1041" s="108" t="str">
        <f>INDEX(Tableau7[Repere],MATCH(Tableau3[[#This Row],[ID-API]],Tableau7[ID-API],0))&amp;""</f>
        <v>A6</v>
      </c>
      <c r="AE1041" s="108" t="str">
        <f>INDEX(Tableau1[Repere-Rack],MATCH(Tableau3[[#This Row],[ID-RACK]],Tableau1[ID-RACK],0))&amp;""</f>
        <v>R2</v>
      </c>
      <c r="AF1041" s="108" t="str">
        <f>INDEX(Tableau1[Repere-Slot],MATCH(Tableau3[[#This Row],[ID-SLOT]],Tableau1[ID-SLOT],0))&amp;""</f>
        <v>S7</v>
      </c>
      <c r="AG1041" s="108" t="str">
        <f>INDEX(Tableau2[Repere-Voie],MATCH(Tableau3[[#This Row],[ID-VOIE]],Tableau2[ID-Voie],0))&amp;""</f>
        <v>v7</v>
      </c>
      <c r="AH1041" s="72" t="str">
        <f>Tableau3[[#This Row],[ID-API]]&amp; "." &amp;Tableau3[[#This Row],[ID-RACK]]&amp; "." &amp;Tableau3[[#This Row],[ID-SLOT]]</f>
        <v>6.2.7</v>
      </c>
      <c r="AI1041" s="72" t="str">
        <f>INDEX(Tableau1[Ref-Carte],MATCH(Tableau3[[#This Row],[ID-RRS]],Tableau1[ID-RRS],0))</f>
        <v>SDI1602</v>
      </c>
      <c r="AJ1041" s="72" t="str">
        <f t="array" ref="AJ1041">IFERROR(INDEX(Tableau2[TS],MATCH(1,(Tableau2[Ref-Carte]=Tableau3[[#This Row],[Ref-Carte2]])*(Tableau2[ID-Voie]=Tableau3[[#This Row],[ID-VOIE]]),0)),"")</f>
        <v>ET</v>
      </c>
      <c r="AK1041" s="72" t="str">
        <f>IFERROR(INDEX(Tableau2[TS],SUMPRODUCT((Tableau2[Ref-Carte]=Tableau3[[#This Row],[Ref-Carte2]])*(Tableau2[ID-Voie]=Tableau3[[#This Row],[ID-VOIE]])*ROW(Tableau2[TS]))-ROW(Tableau2[#Headers])),"")</f>
        <v>ET</v>
      </c>
      <c r="AL1041" s="72" t="str">
        <f>Tableau3[[#This Row],[Ref-Carte2]]&amp;"/"&amp;Tableau3[[#This Row],[ID-VOIE]]</f>
        <v>SDI1602/7</v>
      </c>
      <c r="AM1041" s="73" t="str">
        <f>INDEX(Tableau2[Borne],MATCH(Tableau3[[#This Row],[ID-CARTEVOIE]],Tableau2[ID-CARTEVOIE],0))&amp;""</f>
        <v>3A</v>
      </c>
      <c r="AN1041" s="74" t="str">
        <f>Tableau3[[#This Row],[ID-API]]&amp;Tableau3[[#This Row],[ID-RACK]]&amp;Tableau3[[#This Row],[ID-SLOT]]&amp;Tableau3[[#This Row],[BORNE]]</f>
        <v>6273A</v>
      </c>
      <c r="AO1041" s="1"/>
    </row>
    <row r="1042" spans="1:41" ht="20.100000000000001" customHeight="1" thickTop="1" thickBot="1">
      <c r="A1042" s="68"/>
      <c r="B1042" s="69" t="str">
        <f>IFERROR(INDEX(Tableau4[Date],MATCH($A1042,Tableau4[EVO],0)),"")</f>
        <v/>
      </c>
      <c r="C1042" s="68" t="str">
        <f>IFERROR(INDEX(Tableau4[Designation],MATCH($A1042,Tableau4[EVO],0)),"")</f>
        <v/>
      </c>
      <c r="D1042" s="68"/>
      <c r="E1042" s="70">
        <v>62</v>
      </c>
      <c r="F1042" s="71">
        <v>3</v>
      </c>
      <c r="G1042" s="101" t="str">
        <f>INDEX(Tableau8[Att1],MATCH(Tableau3[[#This Row],[ID-INS]],Tableau8[ID],0))&amp;""</f>
        <v>XX</v>
      </c>
      <c r="H1042" s="101" t="str">
        <f>INDEX(Tableau8[Att2],MATCH(Tableau3[[#This Row],[ID-INS]],Tableau8[ID],0))&amp;""</f>
        <v>Réserve</v>
      </c>
      <c r="I1042" s="101" t="str">
        <f>INDEX(Tableau8[Att3],MATCH(Tableau3[[#This Row],[ID-INS]],Tableau8[ID],0))&amp;""</f>
        <v>Réserve</v>
      </c>
      <c r="J1042" s="101"/>
      <c r="K1042" s="167" t="str">
        <f>INDEX(Tableau8[Nom du modele],MATCH(Tableau3[[#This Row],[ID-INS]],Tableau8[ID],0))&amp;""</f>
        <v>E_Divers</v>
      </c>
      <c r="L1042" s="99" t="str">
        <f>INDEX(Tableau5[Att1],MATCH(Tableau3[[#This Row],[ID-SIG]],Tableau5[ID],0))&amp;""</f>
        <v>C1</v>
      </c>
      <c r="M1042" s="99" t="str">
        <f>INDEX(Tableau5[Att2],MATCH(Tableau3[[#This Row],[ID-SIG]],Tableau5[ID],0))&amp;""</f>
        <v/>
      </c>
      <c r="N1042" s="99" t="str">
        <f>INDEX(Tableau5[Att3],MATCH(Tableau3[[#This Row],[ID-SIG]],Tableau5[ID],0))&amp;""</f>
        <v/>
      </c>
      <c r="O1042" s="99"/>
      <c r="P1042" s="155" t="s">
        <v>1727</v>
      </c>
      <c r="Q1042" s="99"/>
      <c r="R1042" s="103" t="str">
        <f>Tableau3[[#This Row],[Description]]</f>
        <v>Réserve - Contact</v>
      </c>
      <c r="U1042" s="87">
        <v>6</v>
      </c>
      <c r="V1042" s="87">
        <v>2</v>
      </c>
      <c r="W1042" s="87">
        <v>7</v>
      </c>
      <c r="X1042" s="87">
        <v>8</v>
      </c>
      <c r="Y1042" s="40"/>
      <c r="Z1042" s="165" t="str">
        <f>INDEX(Tableau2[TS],MATCH(Tableau3[[#This Row],[ID-CARTEVOIE]],Tableau2[ID-CARTEVOIE],0))</f>
        <v>ET</v>
      </c>
      <c r="AA1042" s="53" t="s">
        <v>213</v>
      </c>
      <c r="AB1042" s="223" t="str">
        <f>IFERROR(INDEX(Tableau5[Reserve],MATCH(Tableau3[[#This Row],[ID-SIG]],Tableau5[ID],0))&amp;"","")</f>
        <v/>
      </c>
      <c r="AC1042" s="21"/>
      <c r="AD1042" s="108" t="str">
        <f>INDEX(Tableau7[Repere],MATCH(Tableau3[[#This Row],[ID-API]],Tableau7[ID-API],0))&amp;""</f>
        <v>A6</v>
      </c>
      <c r="AE1042" s="108" t="str">
        <f>INDEX(Tableau1[Repere-Rack],MATCH(Tableau3[[#This Row],[ID-RACK]],Tableau1[ID-RACK],0))&amp;""</f>
        <v>R2</v>
      </c>
      <c r="AF1042" s="108" t="str">
        <f>INDEX(Tableau1[Repere-Slot],MATCH(Tableau3[[#This Row],[ID-SLOT]],Tableau1[ID-SLOT],0))&amp;""</f>
        <v>S7</v>
      </c>
      <c r="AG1042" s="108" t="str">
        <f>INDEX(Tableau2[Repere-Voie],MATCH(Tableau3[[#This Row],[ID-VOIE]],Tableau2[ID-Voie],0))&amp;""</f>
        <v>v8</v>
      </c>
      <c r="AH1042" s="72" t="str">
        <f>Tableau3[[#This Row],[ID-API]]&amp; "." &amp;Tableau3[[#This Row],[ID-RACK]]&amp; "." &amp;Tableau3[[#This Row],[ID-SLOT]]</f>
        <v>6.2.7</v>
      </c>
      <c r="AI1042" s="72" t="str">
        <f>INDEX(Tableau1[Ref-Carte],MATCH(Tableau3[[#This Row],[ID-RRS]],Tableau1[ID-RRS],0))</f>
        <v>SDI1602</v>
      </c>
      <c r="AJ1042" s="72" t="str">
        <f t="array" ref="AJ1042">IFERROR(INDEX(Tableau2[TS],MATCH(1,(Tableau2[Ref-Carte]=Tableau3[[#This Row],[Ref-Carte2]])*(Tableau2[ID-Voie]=Tableau3[[#This Row],[ID-VOIE]]),0)),"")</f>
        <v>ET</v>
      </c>
      <c r="AK1042" s="72" t="str">
        <f>IFERROR(INDEX(Tableau2[TS],SUMPRODUCT((Tableau2[Ref-Carte]=Tableau3[[#This Row],[Ref-Carte2]])*(Tableau2[ID-Voie]=Tableau3[[#This Row],[ID-VOIE]])*ROW(Tableau2[TS]))-ROW(Tableau2[#Headers])),"")</f>
        <v>ET</v>
      </c>
      <c r="AL1042" s="72" t="str">
        <f>Tableau3[[#This Row],[Ref-Carte2]]&amp;"/"&amp;Tableau3[[#This Row],[ID-VOIE]]</f>
        <v>SDI1602/8</v>
      </c>
      <c r="AM1042" s="73" t="str">
        <f>INDEX(Tableau2[Borne],MATCH(Tableau3[[#This Row],[ID-CARTEVOIE]],Tableau2[ID-CARTEVOIE],0))&amp;""</f>
        <v>4B</v>
      </c>
      <c r="AN1042" s="74" t="str">
        <f>Tableau3[[#This Row],[ID-API]]&amp;Tableau3[[#This Row],[ID-RACK]]&amp;Tableau3[[#This Row],[ID-SLOT]]&amp;Tableau3[[#This Row],[BORNE]]</f>
        <v>6274B</v>
      </c>
      <c r="AO1042" s="1"/>
    </row>
    <row r="1043" spans="1:41" ht="20.100000000000001" customHeight="1" thickTop="1" thickBot="1">
      <c r="A1043" s="68"/>
      <c r="B1043" s="69" t="str">
        <f>IFERROR(INDEX(Tableau4[Date],MATCH($A1043,Tableau4[EVO],0)),"")</f>
        <v/>
      </c>
      <c r="C1043" s="68" t="str">
        <f>IFERROR(INDEX(Tableau4[Designation],MATCH($A1043,Tableau4[EVO],0)),"")</f>
        <v/>
      </c>
      <c r="D1043" s="68"/>
      <c r="E1043" s="70">
        <v>69</v>
      </c>
      <c r="F1043" s="71">
        <v>29</v>
      </c>
      <c r="G1043" s="101" t="str">
        <f>INDEX(Tableau8[Att1],MATCH(Tableau3[[#This Row],[ID-INS]],Tableau8[ID],0))&amp;""</f>
        <v>B22</v>
      </c>
      <c r="H1043" s="101" t="str">
        <f>INDEX(Tableau8[Att2],MATCH(Tableau3[[#This Row],[ID-INS]],Tableau8[ID],0))&amp;""</f>
        <v>TRSD4</v>
      </c>
      <c r="I1043" s="101" t="str">
        <f>INDEX(Tableau8[Att3],MATCH(Tableau3[[#This Row],[ID-INS]],Tableau8[ID],0))&amp;""</f>
        <v>Tourniquet TRSD4</v>
      </c>
      <c r="J1043" s="101"/>
      <c r="K1043" s="167" t="str">
        <f>INDEX(Tableau8[Nom du modele],MATCH(Tableau3[[#This Row],[ID-INS]],Tableau8[ID],0))&amp;""</f>
        <v>TRSD_1</v>
      </c>
      <c r="L1043" s="99" t="str">
        <f>INDEX(Tableau5[Att1],MATCH(Tableau3[[#This Row],[ID-SIG]],Tableau5[ID],0))&amp;""</f>
        <v>T1S_OuvRet2</v>
      </c>
      <c r="M1043" s="99" t="str">
        <f>INDEX(Tableau5[Att2],MATCH(Tableau3[[#This Row],[ID-SIG]],Tableau5[ID],0))&amp;""</f>
        <v/>
      </c>
      <c r="N1043" s="99" t="str">
        <f>INDEX(Tableau5[Att3],MATCH(Tableau3[[#This Row],[ID-SIG]],Tableau5[ID],0))&amp;""</f>
        <v/>
      </c>
      <c r="O1043" s="99"/>
      <c r="P1043" s="99" t="str">
        <f>INDEX(Tableau5[Description],MATCH(Tableau3[[#This Row],[ID-SIG]],Tableau5[ID],0))</f>
        <v>Retour Commande 2 ouverture sortie 1</v>
      </c>
      <c r="Q1043" s="99"/>
      <c r="R1043" s="103" t="str">
        <f>Tableau3[[#This Row],[Description]]</f>
        <v>Retour Commande 2 ouverture sortie 1</v>
      </c>
      <c r="U1043" s="87">
        <v>6</v>
      </c>
      <c r="V1043" s="87">
        <v>2</v>
      </c>
      <c r="W1043" s="87">
        <v>7</v>
      </c>
      <c r="X1043" s="87">
        <v>9</v>
      </c>
      <c r="Y1043" s="40"/>
      <c r="Z1043" s="165" t="str">
        <f>INDEX(Tableau2[TS],MATCH(Tableau3[[#This Row],[ID-CARTEVOIE]],Tableau2[ID-CARTEVOIE],0))</f>
        <v>ET</v>
      </c>
      <c r="AA1043" s="53" t="s">
        <v>213</v>
      </c>
      <c r="AB1043" s="223" t="str">
        <f>IFERROR(INDEX(Tableau5[Reserve],MATCH(Tableau3[[#This Row],[ID-SIG]],Tableau5[ID],0))&amp;"","")</f>
        <v/>
      </c>
      <c r="AC1043" s="21"/>
      <c r="AD1043" s="108" t="str">
        <f>INDEX(Tableau7[Repere],MATCH(Tableau3[[#This Row],[ID-API]],Tableau7[ID-API],0))&amp;""</f>
        <v>A6</v>
      </c>
      <c r="AE1043" s="108" t="str">
        <f>INDEX(Tableau1[Repere-Rack],MATCH(Tableau3[[#This Row],[ID-RACK]],Tableau1[ID-RACK],0))&amp;""</f>
        <v>R2</v>
      </c>
      <c r="AF1043" s="108" t="str">
        <f>INDEX(Tableau1[Repere-Slot],MATCH(Tableau3[[#This Row],[ID-SLOT]],Tableau1[ID-SLOT],0))&amp;""</f>
        <v>S7</v>
      </c>
      <c r="AG1043" s="108" t="str">
        <f>INDEX(Tableau2[Repere-Voie],MATCH(Tableau3[[#This Row],[ID-VOIE]],Tableau2[ID-Voie],0))&amp;""</f>
        <v>v9</v>
      </c>
      <c r="AH1043" s="72" t="str">
        <f>Tableau3[[#This Row],[ID-API]]&amp; "." &amp;Tableau3[[#This Row],[ID-RACK]]&amp; "." &amp;Tableau3[[#This Row],[ID-SLOT]]</f>
        <v>6.2.7</v>
      </c>
      <c r="AI1043" s="72" t="str">
        <f>INDEX(Tableau1[Ref-Carte],MATCH(Tableau3[[#This Row],[ID-RRS]],Tableau1[ID-RRS],0))</f>
        <v>SDI1602</v>
      </c>
      <c r="AJ1043" s="72" t="str">
        <f t="array" ref="AJ1043">IFERROR(INDEX(Tableau2[TS],MATCH(1,(Tableau2[Ref-Carte]=Tableau3[[#This Row],[Ref-Carte2]])*(Tableau2[ID-Voie]=Tableau3[[#This Row],[ID-VOIE]]),0)),"")</f>
        <v>ET</v>
      </c>
      <c r="AK1043" s="72" t="str">
        <f>IFERROR(INDEX(Tableau2[TS],SUMPRODUCT((Tableau2[Ref-Carte]=Tableau3[[#This Row],[Ref-Carte2]])*(Tableau2[ID-Voie]=Tableau3[[#This Row],[ID-VOIE]])*ROW(Tableau2[TS]))-ROW(Tableau2[#Headers])),"")</f>
        <v>ET</v>
      </c>
      <c r="AL1043" s="72" t="str">
        <f>Tableau3[[#This Row],[Ref-Carte2]]&amp;"/"&amp;Tableau3[[#This Row],[ID-VOIE]]</f>
        <v>SDI1602/9</v>
      </c>
      <c r="AM1043" s="73" t="str">
        <f>INDEX(Tableau2[Borne],MATCH(Tableau3[[#This Row],[ID-CARTEVOIE]],Tableau2[ID-CARTEVOIE],0))&amp;""</f>
        <v>4A</v>
      </c>
      <c r="AN1043" s="74" t="str">
        <f>Tableau3[[#This Row],[ID-API]]&amp;Tableau3[[#This Row],[ID-RACK]]&amp;Tableau3[[#This Row],[ID-SLOT]]&amp;Tableau3[[#This Row],[BORNE]]</f>
        <v>6274A</v>
      </c>
      <c r="AO1043" s="1"/>
    </row>
    <row r="1044" spans="1:41" ht="20.100000000000001" customHeight="1" thickTop="1" thickBot="1">
      <c r="A1044" s="68"/>
      <c r="B1044" s="69" t="str">
        <f>IFERROR(INDEX(Tableau4[Date],MATCH($A1044,Tableau4[EVO],0)),"")</f>
        <v/>
      </c>
      <c r="C1044" s="68" t="str">
        <f>IFERROR(INDEX(Tableau4[Designation],MATCH($A1044,Tableau4[EVO],0)),"")</f>
        <v/>
      </c>
      <c r="D1044" s="68"/>
      <c r="E1044" s="70">
        <v>69</v>
      </c>
      <c r="F1044" s="71">
        <v>41</v>
      </c>
      <c r="G1044" s="101" t="str">
        <f>INDEX(Tableau8[Att1],MATCH(Tableau3[[#This Row],[ID-INS]],Tableau8[ID],0))&amp;""</f>
        <v>B22</v>
      </c>
      <c r="H1044" s="101" t="str">
        <f>INDEX(Tableau8[Att2],MATCH(Tableau3[[#This Row],[ID-INS]],Tableau8[ID],0))&amp;""</f>
        <v>TRSD4</v>
      </c>
      <c r="I1044" s="101" t="str">
        <f>INDEX(Tableau8[Att3],MATCH(Tableau3[[#This Row],[ID-INS]],Tableau8[ID],0))&amp;""</f>
        <v>Tourniquet TRSD4</v>
      </c>
      <c r="J1044" s="101"/>
      <c r="K1044" s="167" t="str">
        <f>INDEX(Tableau8[Nom du modele],MATCH(Tableau3[[#This Row],[ID-INS]],Tableau8[ID],0))&amp;""</f>
        <v>TRSD_1</v>
      </c>
      <c r="L1044" s="99" t="str">
        <f>INDEX(Tableau5[Att1],MATCH(Tableau3[[#This Row],[ID-SIG]],Tableau5[ID],0))&amp;""</f>
        <v>T1S_PassageOK</v>
      </c>
      <c r="M1044" s="99" t="str">
        <f>INDEX(Tableau5[Att2],MATCH(Tableau3[[#This Row],[ID-SIG]],Tableau5[ID],0))&amp;""</f>
        <v/>
      </c>
      <c r="N1044" s="99" t="str">
        <f>INDEX(Tableau5[Att3],MATCH(Tableau3[[#This Row],[ID-SIG]],Tableau5[ID],0))&amp;""</f>
        <v/>
      </c>
      <c r="O1044" s="99"/>
      <c r="P1044" s="99" t="str">
        <f>INDEX(Tableau5[Description],MATCH(Tableau3[[#This Row],[ID-SIG]],Tableau5[ID],0))</f>
        <v>Passage effectuée sortie 1</v>
      </c>
      <c r="Q1044" s="99"/>
      <c r="R1044" s="103" t="str">
        <f>Tableau3[[#This Row],[Description]]</f>
        <v>Passage effectuée sortie 1</v>
      </c>
      <c r="U1044" s="87">
        <v>6</v>
      </c>
      <c r="V1044" s="87">
        <v>2</v>
      </c>
      <c r="W1044" s="87">
        <v>7</v>
      </c>
      <c r="X1044" s="87">
        <v>10</v>
      </c>
      <c r="Y1044" s="40"/>
      <c r="Z1044" s="165" t="str">
        <f>INDEX(Tableau2[TS],MATCH(Tableau3[[#This Row],[ID-CARTEVOIE]],Tableau2[ID-CARTEVOIE],0))</f>
        <v>ET</v>
      </c>
      <c r="AA1044" s="53" t="s">
        <v>213</v>
      </c>
      <c r="AB1044" s="223" t="str">
        <f>IFERROR(INDEX(Tableau5[Reserve],MATCH(Tableau3[[#This Row],[ID-SIG]],Tableau5[ID],0))&amp;"","")</f>
        <v/>
      </c>
      <c r="AC1044" s="21"/>
      <c r="AD1044" s="108" t="str">
        <f>INDEX(Tableau7[Repere],MATCH(Tableau3[[#This Row],[ID-API]],Tableau7[ID-API],0))&amp;""</f>
        <v>A6</v>
      </c>
      <c r="AE1044" s="108" t="str">
        <f>INDEX(Tableau1[Repere-Rack],MATCH(Tableau3[[#This Row],[ID-RACK]],Tableau1[ID-RACK],0))&amp;""</f>
        <v>R2</v>
      </c>
      <c r="AF1044" s="108" t="str">
        <f>INDEX(Tableau1[Repere-Slot],MATCH(Tableau3[[#This Row],[ID-SLOT]],Tableau1[ID-SLOT],0))&amp;""</f>
        <v>S7</v>
      </c>
      <c r="AG1044" s="108" t="str">
        <f>INDEX(Tableau2[Repere-Voie],MATCH(Tableau3[[#This Row],[ID-VOIE]],Tableau2[ID-Voie],0))&amp;""</f>
        <v>v10</v>
      </c>
      <c r="AH1044" s="72" t="str">
        <f>Tableau3[[#This Row],[ID-API]]&amp; "." &amp;Tableau3[[#This Row],[ID-RACK]]&amp; "." &amp;Tableau3[[#This Row],[ID-SLOT]]</f>
        <v>6.2.7</v>
      </c>
      <c r="AI1044" s="72" t="str">
        <f>INDEX(Tableau1[Ref-Carte],MATCH(Tableau3[[#This Row],[ID-RRS]],Tableau1[ID-RRS],0))</f>
        <v>SDI1602</v>
      </c>
      <c r="AJ1044" s="72" t="str">
        <f t="array" ref="AJ1044">IFERROR(INDEX(Tableau2[TS],MATCH(1,(Tableau2[Ref-Carte]=Tableau3[[#This Row],[Ref-Carte2]])*(Tableau2[ID-Voie]=Tableau3[[#This Row],[ID-VOIE]]),0)),"")</f>
        <v>ET</v>
      </c>
      <c r="AK1044" s="72" t="str">
        <f>IFERROR(INDEX(Tableau2[TS],SUMPRODUCT((Tableau2[Ref-Carte]=Tableau3[[#This Row],[Ref-Carte2]])*(Tableau2[ID-Voie]=Tableau3[[#This Row],[ID-VOIE]])*ROW(Tableau2[TS]))-ROW(Tableau2[#Headers])),"")</f>
        <v>ET</v>
      </c>
      <c r="AL1044" s="72" t="str">
        <f>Tableau3[[#This Row],[Ref-Carte2]]&amp;"/"&amp;Tableau3[[#This Row],[ID-VOIE]]</f>
        <v>SDI1602/10</v>
      </c>
      <c r="AM1044" s="73" t="str">
        <f>INDEX(Tableau2[Borne],MATCH(Tableau3[[#This Row],[ID-CARTEVOIE]],Tableau2[ID-CARTEVOIE],0))&amp;""</f>
        <v>5B</v>
      </c>
      <c r="AN1044" s="74" t="str">
        <f>Tableau3[[#This Row],[ID-API]]&amp;Tableau3[[#This Row],[ID-RACK]]&amp;Tableau3[[#This Row],[ID-SLOT]]&amp;Tableau3[[#This Row],[BORNE]]</f>
        <v>6275B</v>
      </c>
      <c r="AO1044" s="1"/>
    </row>
    <row r="1045" spans="1:41" ht="20.100000000000001" customHeight="1" thickTop="1" thickBot="1">
      <c r="A1045" s="68"/>
      <c r="B1045" s="69" t="str">
        <f>IFERROR(INDEX(Tableau4[Date],MATCH($A1045,Tableau4[EVO],0)),"")</f>
        <v/>
      </c>
      <c r="C1045" s="68" t="str">
        <f>IFERROR(INDEX(Tableau4[Designation],MATCH($A1045,Tableau4[EVO],0)),"")</f>
        <v/>
      </c>
      <c r="D1045" s="68"/>
      <c r="E1045" s="70">
        <v>69</v>
      </c>
      <c r="F1045" s="71">
        <v>42</v>
      </c>
      <c r="G1045" s="101" t="str">
        <f>INDEX(Tableau8[Att1],MATCH(Tableau3[[#This Row],[ID-INS]],Tableau8[ID],0))&amp;""</f>
        <v>B22</v>
      </c>
      <c r="H1045" s="101" t="str">
        <f>INDEX(Tableau8[Att2],MATCH(Tableau3[[#This Row],[ID-INS]],Tableau8[ID],0))&amp;""</f>
        <v>TRSD4</v>
      </c>
      <c r="I1045" s="101" t="str">
        <f>INDEX(Tableau8[Att3],MATCH(Tableau3[[#This Row],[ID-INS]],Tableau8[ID],0))&amp;""</f>
        <v>Tourniquet TRSD4</v>
      </c>
      <c r="J1045" s="101"/>
      <c r="K1045" s="167" t="str">
        <f>INDEX(Tableau8[Nom du modele],MATCH(Tableau3[[#This Row],[ID-INS]],Tableau8[ID],0))&amp;""</f>
        <v>TRSD_1</v>
      </c>
      <c r="L1045" s="99" t="str">
        <f>INDEX(Tableau5[Att1],MATCH(Tableau3[[#This Row],[ID-SIG]],Tableau5[ID],0))&amp;""</f>
        <v>T2E_PassageOK</v>
      </c>
      <c r="M1045" s="99" t="str">
        <f>INDEX(Tableau5[Att2],MATCH(Tableau3[[#This Row],[ID-SIG]],Tableau5[ID],0))&amp;""</f>
        <v/>
      </c>
      <c r="N1045" s="99" t="str">
        <f>INDEX(Tableau5[Att3],MATCH(Tableau3[[#This Row],[ID-SIG]],Tableau5[ID],0))&amp;""</f>
        <v/>
      </c>
      <c r="O1045" s="99"/>
      <c r="P1045" s="99" t="str">
        <f>INDEX(Tableau5[Description],MATCH(Tableau3[[#This Row],[ID-SIG]],Tableau5[ID],0))</f>
        <v>Passage effectuée entrée 2</v>
      </c>
      <c r="Q1045" s="99"/>
      <c r="R1045" s="103" t="str">
        <f>Tableau3[[#This Row],[Description]]</f>
        <v>Passage effectuée entrée 2</v>
      </c>
      <c r="U1045" s="87">
        <v>6</v>
      </c>
      <c r="V1045" s="87">
        <v>2</v>
      </c>
      <c r="W1045" s="87">
        <v>7</v>
      </c>
      <c r="X1045" s="87">
        <v>11</v>
      </c>
      <c r="Y1045" s="40"/>
      <c r="Z1045" s="165" t="str">
        <f>INDEX(Tableau2[TS],MATCH(Tableau3[[#This Row],[ID-CARTEVOIE]],Tableau2[ID-CARTEVOIE],0))</f>
        <v>ET</v>
      </c>
      <c r="AA1045" s="53" t="s">
        <v>213</v>
      </c>
      <c r="AB1045" s="223" t="str">
        <f>IFERROR(INDEX(Tableau5[Reserve],MATCH(Tableau3[[#This Row],[ID-SIG]],Tableau5[ID],0))&amp;"","")</f>
        <v/>
      </c>
      <c r="AC1045" s="21"/>
      <c r="AD1045" s="108" t="str">
        <f>INDEX(Tableau7[Repere],MATCH(Tableau3[[#This Row],[ID-API]],Tableau7[ID-API],0))&amp;""</f>
        <v>A6</v>
      </c>
      <c r="AE1045" s="108" t="str">
        <f>INDEX(Tableau1[Repere-Rack],MATCH(Tableau3[[#This Row],[ID-RACK]],Tableau1[ID-RACK],0))&amp;""</f>
        <v>R2</v>
      </c>
      <c r="AF1045" s="108" t="str">
        <f>INDEX(Tableau1[Repere-Slot],MATCH(Tableau3[[#This Row],[ID-SLOT]],Tableau1[ID-SLOT],0))&amp;""</f>
        <v>S7</v>
      </c>
      <c r="AG1045" s="108" t="str">
        <f>INDEX(Tableau2[Repere-Voie],MATCH(Tableau3[[#This Row],[ID-VOIE]],Tableau2[ID-Voie],0))&amp;""</f>
        <v>v11</v>
      </c>
      <c r="AH1045" s="72" t="str">
        <f>Tableau3[[#This Row],[ID-API]]&amp; "." &amp;Tableau3[[#This Row],[ID-RACK]]&amp; "." &amp;Tableau3[[#This Row],[ID-SLOT]]</f>
        <v>6.2.7</v>
      </c>
      <c r="AI1045" s="72" t="str">
        <f>INDEX(Tableau1[Ref-Carte],MATCH(Tableau3[[#This Row],[ID-RRS]],Tableau1[ID-RRS],0))</f>
        <v>SDI1602</v>
      </c>
      <c r="AJ1045" s="72" t="str">
        <f t="array" ref="AJ1045">IFERROR(INDEX(Tableau2[TS],MATCH(1,(Tableau2[Ref-Carte]=Tableau3[[#This Row],[Ref-Carte2]])*(Tableau2[ID-Voie]=Tableau3[[#This Row],[ID-VOIE]]),0)),"")</f>
        <v>ET</v>
      </c>
      <c r="AK1045" s="72" t="str">
        <f>IFERROR(INDEX(Tableau2[TS],SUMPRODUCT((Tableau2[Ref-Carte]=Tableau3[[#This Row],[Ref-Carte2]])*(Tableau2[ID-Voie]=Tableau3[[#This Row],[ID-VOIE]])*ROW(Tableau2[TS]))-ROW(Tableau2[#Headers])),"")</f>
        <v>ET</v>
      </c>
      <c r="AL1045" s="72" t="str">
        <f>Tableau3[[#This Row],[Ref-Carte2]]&amp;"/"&amp;Tableau3[[#This Row],[ID-VOIE]]</f>
        <v>SDI1602/11</v>
      </c>
      <c r="AM1045" s="73" t="str">
        <f>INDEX(Tableau2[Borne],MATCH(Tableau3[[#This Row],[ID-CARTEVOIE]],Tableau2[ID-CARTEVOIE],0))&amp;""</f>
        <v>5A</v>
      </c>
      <c r="AN1045" s="74" t="str">
        <f>Tableau3[[#This Row],[ID-API]]&amp;Tableau3[[#This Row],[ID-RACK]]&amp;Tableau3[[#This Row],[ID-SLOT]]&amp;Tableau3[[#This Row],[BORNE]]</f>
        <v>6275A</v>
      </c>
      <c r="AO1045" s="1"/>
    </row>
    <row r="1046" spans="1:41" ht="20.100000000000001" customHeight="1" thickTop="1" thickBot="1">
      <c r="A1046" s="68"/>
      <c r="B1046" s="69" t="str">
        <f>IFERROR(INDEX(Tableau4[Date],MATCH($A1046,Tableau4[EVO],0)),"")</f>
        <v/>
      </c>
      <c r="C1046" s="68" t="str">
        <f>IFERROR(INDEX(Tableau4[Designation],MATCH($A1046,Tableau4[EVO],0)),"")</f>
        <v/>
      </c>
      <c r="D1046" s="68"/>
      <c r="E1046" s="70">
        <v>69</v>
      </c>
      <c r="F1046" s="71">
        <v>44</v>
      </c>
      <c r="G1046" s="101" t="str">
        <f>INDEX(Tableau8[Att1],MATCH(Tableau3[[#This Row],[ID-INS]],Tableau8[ID],0))&amp;""</f>
        <v>B22</v>
      </c>
      <c r="H1046" s="101" t="str">
        <f>INDEX(Tableau8[Att2],MATCH(Tableau3[[#This Row],[ID-INS]],Tableau8[ID],0))&amp;""</f>
        <v>TRSD4</v>
      </c>
      <c r="I1046" s="101" t="str">
        <f>INDEX(Tableau8[Att3],MATCH(Tableau3[[#This Row],[ID-INS]],Tableau8[ID],0))&amp;""</f>
        <v>Tourniquet TRSD4</v>
      </c>
      <c r="J1046" s="101"/>
      <c r="K1046" s="167" t="str">
        <f>INDEX(Tableau8[Nom du modele],MATCH(Tableau3[[#This Row],[ID-INS]],Tableau8[ID],0))&amp;""</f>
        <v>TRSD_1</v>
      </c>
      <c r="L1046" s="99" t="str">
        <f>INDEX(Tableau5[Att1],MATCH(Tableau3[[#This Row],[ID-SIG]],Tableau5[ID],0))&amp;""</f>
        <v>T1_SynthDef</v>
      </c>
      <c r="M1046" s="99" t="str">
        <f>INDEX(Tableau5[Att2],MATCH(Tableau3[[#This Row],[ID-SIG]],Tableau5[ID],0))&amp;""</f>
        <v/>
      </c>
      <c r="N1046" s="99" t="str">
        <f>INDEX(Tableau5[Att3],MATCH(Tableau3[[#This Row],[ID-SIG]],Tableau5[ID],0))&amp;""</f>
        <v/>
      </c>
      <c r="O1046" s="99"/>
      <c r="P1046" s="99" t="str">
        <f>INDEX(Tableau5[Description],MATCH(Tableau3[[#This Row],[ID-SIG]],Tableau5[ID],0))</f>
        <v>Synthèse défaut entrée 1</v>
      </c>
      <c r="Q1046" s="99"/>
      <c r="R1046" s="103" t="str">
        <f>Tableau3[[#This Row],[Description]]</f>
        <v>Synthèse défaut entrée 1</v>
      </c>
      <c r="U1046" s="87">
        <v>6</v>
      </c>
      <c r="V1046" s="87">
        <v>2</v>
      </c>
      <c r="W1046" s="87">
        <v>7</v>
      </c>
      <c r="X1046" s="87">
        <v>12</v>
      </c>
      <c r="Y1046" s="40"/>
      <c r="Z1046" s="165" t="str">
        <f>INDEX(Tableau2[TS],MATCH(Tableau3[[#This Row],[ID-CARTEVOIE]],Tableau2[ID-CARTEVOIE],0))</f>
        <v>ET</v>
      </c>
      <c r="AA1046" s="53" t="s">
        <v>213</v>
      </c>
      <c r="AB1046" s="223" t="str">
        <f>IFERROR(INDEX(Tableau5[Reserve],MATCH(Tableau3[[#This Row],[ID-SIG]],Tableau5[ID],0))&amp;"","")</f>
        <v/>
      </c>
      <c r="AC1046" s="21"/>
      <c r="AD1046" s="108" t="str">
        <f>INDEX(Tableau7[Repere],MATCH(Tableau3[[#This Row],[ID-API]],Tableau7[ID-API],0))&amp;""</f>
        <v>A6</v>
      </c>
      <c r="AE1046" s="108" t="str">
        <f>INDEX(Tableau1[Repere-Rack],MATCH(Tableau3[[#This Row],[ID-RACK]],Tableau1[ID-RACK],0))&amp;""</f>
        <v>R2</v>
      </c>
      <c r="AF1046" s="108" t="str">
        <f>INDEX(Tableau1[Repere-Slot],MATCH(Tableau3[[#This Row],[ID-SLOT]],Tableau1[ID-SLOT],0))&amp;""</f>
        <v>S7</v>
      </c>
      <c r="AG1046" s="108" t="str">
        <f>INDEX(Tableau2[Repere-Voie],MATCH(Tableau3[[#This Row],[ID-VOIE]],Tableau2[ID-Voie],0))&amp;""</f>
        <v>v12</v>
      </c>
      <c r="AH1046" s="72" t="str">
        <f>Tableau3[[#This Row],[ID-API]]&amp; "." &amp;Tableau3[[#This Row],[ID-RACK]]&amp; "." &amp;Tableau3[[#This Row],[ID-SLOT]]</f>
        <v>6.2.7</v>
      </c>
      <c r="AI1046" s="72" t="str">
        <f>INDEX(Tableau1[Ref-Carte],MATCH(Tableau3[[#This Row],[ID-RRS]],Tableau1[ID-RRS],0))</f>
        <v>SDI1602</v>
      </c>
      <c r="AJ1046" s="72" t="str">
        <f t="array" ref="AJ1046">IFERROR(INDEX(Tableau2[TS],MATCH(1,(Tableau2[Ref-Carte]=Tableau3[[#This Row],[Ref-Carte2]])*(Tableau2[ID-Voie]=Tableau3[[#This Row],[ID-VOIE]]),0)),"")</f>
        <v>ET</v>
      </c>
      <c r="AK1046" s="72" t="str">
        <f>IFERROR(INDEX(Tableau2[TS],SUMPRODUCT((Tableau2[Ref-Carte]=Tableau3[[#This Row],[Ref-Carte2]])*(Tableau2[ID-Voie]=Tableau3[[#This Row],[ID-VOIE]])*ROW(Tableau2[TS]))-ROW(Tableau2[#Headers])),"")</f>
        <v>ET</v>
      </c>
      <c r="AL1046" s="72" t="str">
        <f>Tableau3[[#This Row],[Ref-Carte2]]&amp;"/"&amp;Tableau3[[#This Row],[ID-VOIE]]</f>
        <v>SDI1602/12</v>
      </c>
      <c r="AM1046" s="73" t="str">
        <f>INDEX(Tableau2[Borne],MATCH(Tableau3[[#This Row],[ID-CARTEVOIE]],Tableau2[ID-CARTEVOIE],0))&amp;""</f>
        <v>6B</v>
      </c>
      <c r="AN1046" s="74" t="str">
        <f>Tableau3[[#This Row],[ID-API]]&amp;Tableau3[[#This Row],[ID-RACK]]&amp;Tableau3[[#This Row],[ID-SLOT]]&amp;Tableau3[[#This Row],[BORNE]]</f>
        <v>6276B</v>
      </c>
      <c r="AO1046" s="1"/>
    </row>
    <row r="1047" spans="1:41" ht="20.100000000000001" customHeight="1" thickTop="1" thickBot="1">
      <c r="A1047" s="68"/>
      <c r="B1047" s="69" t="str">
        <f>IFERROR(INDEX(Tableau4[Date],MATCH($A1047,Tableau4[EVO],0)),"")</f>
        <v/>
      </c>
      <c r="C1047" s="68" t="str">
        <f>IFERROR(INDEX(Tableau4[Designation],MATCH($A1047,Tableau4[EVO],0)),"")</f>
        <v/>
      </c>
      <c r="D1047" s="68"/>
      <c r="E1047" s="70">
        <v>69</v>
      </c>
      <c r="F1047" s="71">
        <v>46</v>
      </c>
      <c r="G1047" s="101" t="str">
        <f>INDEX(Tableau8[Att1],MATCH(Tableau3[[#This Row],[ID-INS]],Tableau8[ID],0))&amp;""</f>
        <v>B22</v>
      </c>
      <c r="H1047" s="101" t="str">
        <f>INDEX(Tableau8[Att2],MATCH(Tableau3[[#This Row],[ID-INS]],Tableau8[ID],0))&amp;""</f>
        <v>TRSD4</v>
      </c>
      <c r="I1047" s="101" t="str">
        <f>INDEX(Tableau8[Att3],MATCH(Tableau3[[#This Row],[ID-INS]],Tableau8[ID],0))&amp;""</f>
        <v>Tourniquet TRSD4</v>
      </c>
      <c r="J1047" s="101"/>
      <c r="K1047" s="167" t="str">
        <f>INDEX(Tableau8[Nom du modele],MATCH(Tableau3[[#This Row],[ID-INS]],Tableau8[ID],0))&amp;""</f>
        <v>TRSD_1</v>
      </c>
      <c r="L1047" s="99" t="str">
        <f>INDEX(Tableau5[Att1],MATCH(Tableau3[[#This Row],[ID-SIG]],Tableau5[ID],0))&amp;""</f>
        <v>T1S_OuvRet1</v>
      </c>
      <c r="M1047" s="99" t="str">
        <f>INDEX(Tableau5[Att2],MATCH(Tableau3[[#This Row],[ID-SIG]],Tableau5[ID],0))&amp;""</f>
        <v/>
      </c>
      <c r="N1047" s="99" t="str">
        <f>INDEX(Tableau5[Att3],MATCH(Tableau3[[#This Row],[ID-SIG]],Tableau5[ID],0))&amp;""</f>
        <v/>
      </c>
      <c r="O1047" s="99"/>
      <c r="P1047" s="99" t="str">
        <f>INDEX(Tableau5[Description],MATCH(Tableau3[[#This Row],[ID-SIG]],Tableau5[ID],0))</f>
        <v>Retour Commande 1 ouverture sortie 1</v>
      </c>
      <c r="Q1047" s="99"/>
      <c r="R1047" s="103" t="str">
        <f>Tableau3[[#This Row],[Description]]</f>
        <v>Retour Commande 1 ouverture sortie 1</v>
      </c>
      <c r="U1047" s="87">
        <v>6</v>
      </c>
      <c r="V1047" s="87">
        <v>2</v>
      </c>
      <c r="W1047" s="87">
        <v>7</v>
      </c>
      <c r="X1047" s="87">
        <v>13</v>
      </c>
      <c r="Y1047" s="40"/>
      <c r="Z1047" s="165" t="str">
        <f>INDEX(Tableau2[TS],MATCH(Tableau3[[#This Row],[ID-CARTEVOIE]],Tableau2[ID-CARTEVOIE],0))</f>
        <v>ET</v>
      </c>
      <c r="AA1047" s="53" t="s">
        <v>213</v>
      </c>
      <c r="AB1047" s="223" t="str">
        <f>IFERROR(INDEX(Tableau5[Reserve],MATCH(Tableau3[[#This Row],[ID-SIG]],Tableau5[ID],0))&amp;"","")</f>
        <v/>
      </c>
      <c r="AC1047" s="21"/>
      <c r="AD1047" s="108" t="str">
        <f>INDEX(Tableau7[Repere],MATCH(Tableau3[[#This Row],[ID-API]],Tableau7[ID-API],0))&amp;""</f>
        <v>A6</v>
      </c>
      <c r="AE1047" s="108" t="str">
        <f>INDEX(Tableau1[Repere-Rack],MATCH(Tableau3[[#This Row],[ID-RACK]],Tableau1[ID-RACK],0))&amp;""</f>
        <v>R2</v>
      </c>
      <c r="AF1047" s="108" t="str">
        <f>INDEX(Tableau1[Repere-Slot],MATCH(Tableau3[[#This Row],[ID-SLOT]],Tableau1[ID-SLOT],0))&amp;""</f>
        <v>S7</v>
      </c>
      <c r="AG1047" s="108" t="str">
        <f>INDEX(Tableau2[Repere-Voie],MATCH(Tableau3[[#This Row],[ID-VOIE]],Tableau2[ID-Voie],0))&amp;""</f>
        <v>v13</v>
      </c>
      <c r="AH1047" s="72" t="str">
        <f>Tableau3[[#This Row],[ID-API]]&amp; "." &amp;Tableau3[[#This Row],[ID-RACK]]&amp; "." &amp;Tableau3[[#This Row],[ID-SLOT]]</f>
        <v>6.2.7</v>
      </c>
      <c r="AI1047" s="72" t="str">
        <f>INDEX(Tableau1[Ref-Carte],MATCH(Tableau3[[#This Row],[ID-RRS]],Tableau1[ID-RRS],0))</f>
        <v>SDI1602</v>
      </c>
      <c r="AJ1047" s="72" t="str">
        <f t="array" ref="AJ1047">IFERROR(INDEX(Tableau2[TS],MATCH(1,(Tableau2[Ref-Carte]=Tableau3[[#This Row],[Ref-Carte2]])*(Tableau2[ID-Voie]=Tableau3[[#This Row],[ID-VOIE]]),0)),"")</f>
        <v>ET</v>
      </c>
      <c r="AK1047" s="72" t="str">
        <f>IFERROR(INDEX(Tableau2[TS],SUMPRODUCT((Tableau2[Ref-Carte]=Tableau3[[#This Row],[Ref-Carte2]])*(Tableau2[ID-Voie]=Tableau3[[#This Row],[ID-VOIE]])*ROW(Tableau2[TS]))-ROW(Tableau2[#Headers])),"")</f>
        <v>ET</v>
      </c>
      <c r="AL1047" s="72" t="str">
        <f>Tableau3[[#This Row],[Ref-Carte2]]&amp;"/"&amp;Tableau3[[#This Row],[ID-VOIE]]</f>
        <v>SDI1602/13</v>
      </c>
      <c r="AM1047" s="73" t="str">
        <f>INDEX(Tableau2[Borne],MATCH(Tableau3[[#This Row],[ID-CARTEVOIE]],Tableau2[ID-CARTEVOIE],0))&amp;""</f>
        <v>6A</v>
      </c>
      <c r="AN1047" s="74" t="str">
        <f>Tableau3[[#This Row],[ID-API]]&amp;Tableau3[[#This Row],[ID-RACK]]&amp;Tableau3[[#This Row],[ID-SLOT]]&amp;Tableau3[[#This Row],[BORNE]]</f>
        <v>6276A</v>
      </c>
      <c r="AO1047" s="1"/>
    </row>
    <row r="1048" spans="1:41" ht="20.100000000000001" customHeight="1" thickTop="1" thickBot="1">
      <c r="A1048" s="68"/>
      <c r="B1048" s="69" t="str">
        <f>IFERROR(INDEX(Tableau4[Date],MATCH($A1048,Tableau4[EVO],0)),"")</f>
        <v/>
      </c>
      <c r="C1048" s="68" t="str">
        <f>IFERROR(INDEX(Tableau4[Designation],MATCH($A1048,Tableau4[EVO],0)),"")</f>
        <v/>
      </c>
      <c r="D1048" s="68"/>
      <c r="E1048" s="70">
        <v>69</v>
      </c>
      <c r="F1048" s="71">
        <v>47</v>
      </c>
      <c r="G1048" s="101" t="str">
        <f>INDEX(Tableau8[Att1],MATCH(Tableau3[[#This Row],[ID-INS]],Tableau8[ID],0))&amp;""</f>
        <v>B22</v>
      </c>
      <c r="H1048" s="101" t="str">
        <f>INDEX(Tableau8[Att2],MATCH(Tableau3[[#This Row],[ID-INS]],Tableau8[ID],0))&amp;""</f>
        <v>TRSD4</v>
      </c>
      <c r="I1048" s="101" t="str">
        <f>INDEX(Tableau8[Att3],MATCH(Tableau3[[#This Row],[ID-INS]],Tableau8[ID],0))&amp;""</f>
        <v>Tourniquet TRSD4</v>
      </c>
      <c r="J1048" s="101"/>
      <c r="K1048" s="167" t="str">
        <f>INDEX(Tableau8[Nom du modele],MATCH(Tableau3[[#This Row],[ID-INS]],Tableau8[ID],0))&amp;""</f>
        <v>TRSD_1</v>
      </c>
      <c r="L1048" s="99" t="str">
        <f>INDEX(Tableau5[Att1],MATCH(Tableau3[[#This Row],[ID-SIG]],Tableau5[ID],0))&amp;""</f>
        <v>T1_Fer</v>
      </c>
      <c r="M1048" s="99" t="str">
        <f>INDEX(Tableau5[Att2],MATCH(Tableau3[[#This Row],[ID-SIG]],Tableau5[ID],0))&amp;""</f>
        <v/>
      </c>
      <c r="N1048" s="99" t="str">
        <f>INDEX(Tableau5[Att3],MATCH(Tableau3[[#This Row],[ID-SIG]],Tableau5[ID],0))&amp;""</f>
        <v/>
      </c>
      <c r="O1048" s="99"/>
      <c r="P1048" s="99" t="str">
        <f>INDEX(Tableau5[Description],MATCH(Tableau3[[#This Row],[ID-SIG]],Tableau5[ID],0))</f>
        <v>Position fermée entrée 1</v>
      </c>
      <c r="Q1048" s="99"/>
      <c r="R1048" s="103" t="str">
        <f>Tableau3[[#This Row],[Description]]</f>
        <v>Position fermée entrée 1</v>
      </c>
      <c r="U1048" s="87">
        <v>6</v>
      </c>
      <c r="V1048" s="87">
        <v>2</v>
      </c>
      <c r="W1048" s="87">
        <v>7</v>
      </c>
      <c r="X1048" s="87">
        <v>14</v>
      </c>
      <c r="Y1048" s="40"/>
      <c r="Z1048" s="165" t="str">
        <f>INDEX(Tableau2[TS],MATCH(Tableau3[[#This Row],[ID-CARTEVOIE]],Tableau2[ID-CARTEVOIE],0))</f>
        <v>ET</v>
      </c>
      <c r="AA1048" s="53" t="s">
        <v>213</v>
      </c>
      <c r="AB1048" s="223" t="str">
        <f>IFERROR(INDEX(Tableau5[Reserve],MATCH(Tableau3[[#This Row],[ID-SIG]],Tableau5[ID],0))&amp;"","")</f>
        <v/>
      </c>
      <c r="AC1048" s="21"/>
      <c r="AD1048" s="108" t="str">
        <f>INDEX(Tableau7[Repere],MATCH(Tableau3[[#This Row],[ID-API]],Tableau7[ID-API],0))&amp;""</f>
        <v>A6</v>
      </c>
      <c r="AE1048" s="108" t="str">
        <f>INDEX(Tableau1[Repere-Rack],MATCH(Tableau3[[#This Row],[ID-RACK]],Tableau1[ID-RACK],0))&amp;""</f>
        <v>R2</v>
      </c>
      <c r="AF1048" s="108" t="str">
        <f>INDEX(Tableau1[Repere-Slot],MATCH(Tableau3[[#This Row],[ID-SLOT]],Tableau1[ID-SLOT],0))&amp;""</f>
        <v>S7</v>
      </c>
      <c r="AG1048" s="108" t="str">
        <f>INDEX(Tableau2[Repere-Voie],MATCH(Tableau3[[#This Row],[ID-VOIE]],Tableau2[ID-Voie],0))&amp;""</f>
        <v>v14</v>
      </c>
      <c r="AH1048" s="72" t="str">
        <f>Tableau3[[#This Row],[ID-API]]&amp; "." &amp;Tableau3[[#This Row],[ID-RACK]]&amp; "." &amp;Tableau3[[#This Row],[ID-SLOT]]</f>
        <v>6.2.7</v>
      </c>
      <c r="AI1048" s="72" t="str">
        <f>INDEX(Tableau1[Ref-Carte],MATCH(Tableau3[[#This Row],[ID-RRS]],Tableau1[ID-RRS],0))</f>
        <v>SDI1602</v>
      </c>
      <c r="AJ1048" s="72" t="str">
        <f t="array" ref="AJ1048">IFERROR(INDEX(Tableau2[TS],MATCH(1,(Tableau2[Ref-Carte]=Tableau3[[#This Row],[Ref-Carte2]])*(Tableau2[ID-Voie]=Tableau3[[#This Row],[ID-VOIE]]),0)),"")</f>
        <v>ET</v>
      </c>
      <c r="AK1048" s="72" t="str">
        <f>IFERROR(INDEX(Tableau2[TS],SUMPRODUCT((Tableau2[Ref-Carte]=Tableau3[[#This Row],[Ref-Carte2]])*(Tableau2[ID-Voie]=Tableau3[[#This Row],[ID-VOIE]])*ROW(Tableau2[TS]))-ROW(Tableau2[#Headers])),"")</f>
        <v>ET</v>
      </c>
      <c r="AL1048" s="72" t="str">
        <f>Tableau3[[#This Row],[Ref-Carte2]]&amp;"/"&amp;Tableau3[[#This Row],[ID-VOIE]]</f>
        <v>SDI1602/14</v>
      </c>
      <c r="AM1048" s="73" t="str">
        <f>INDEX(Tableau2[Borne],MATCH(Tableau3[[#This Row],[ID-CARTEVOIE]],Tableau2[ID-CARTEVOIE],0))&amp;""</f>
        <v>7B</v>
      </c>
      <c r="AN1048" s="74" t="str">
        <f>Tableau3[[#This Row],[ID-API]]&amp;Tableau3[[#This Row],[ID-RACK]]&amp;Tableau3[[#This Row],[ID-SLOT]]&amp;Tableau3[[#This Row],[BORNE]]</f>
        <v>6277B</v>
      </c>
      <c r="AO1048" s="1"/>
    </row>
    <row r="1049" spans="1:41" ht="20.100000000000001" customHeight="1" thickTop="1" thickBot="1">
      <c r="A1049" s="75"/>
      <c r="B1049" s="76" t="str">
        <f>IFERROR(INDEX(Tableau4[Date],MATCH($A1049,Tableau4[EVO],0)),"")</f>
        <v/>
      </c>
      <c r="C1049" s="75" t="str">
        <f>IFERROR(INDEX(Tableau4[Designation],MATCH($A1049,Tableau4[EVO],0)),"")</f>
        <v/>
      </c>
      <c r="D1049" s="75"/>
      <c r="E1049" s="79">
        <v>57</v>
      </c>
      <c r="F1049" s="80">
        <v>31</v>
      </c>
      <c r="G1049" s="102" t="str">
        <f>INDEX(Tableau8[Att1],MATCH(Tableau3[[#This Row],[ID-INS]],Tableau8[ID],0))&amp;""</f>
        <v>GR</v>
      </c>
      <c r="H1049" s="163" t="str">
        <f>INDEX(Tableau8[Att2],MATCH(Tableau3[[#This Row],[ID-INS]],Tableau8[ID],0))&amp;""</f>
        <v>TRSD2</v>
      </c>
      <c r="I1049" s="102" t="str">
        <f>INDEX(Tableau8[Att3],MATCH(Tableau3[[#This Row],[ID-INS]],Tableau8[ID],0))&amp;""</f>
        <v>Tourniquet TRSD2</v>
      </c>
      <c r="J1049" s="102"/>
      <c r="K1049" s="167" t="str">
        <f>INDEX(Tableau8[Nom du modele],MATCH(Tableau3[[#This Row],[ID-INS]],Tableau8[ID],0))&amp;""</f>
        <v>TRSD_1</v>
      </c>
      <c r="L1049" s="100" t="str">
        <f>INDEX(Tableau5[Att1],MATCH(Tableau3[[#This Row],[ID-SIG]],Tableau5[ID],0))&amp;""</f>
        <v>T2S_OuvRet2</v>
      </c>
      <c r="M1049" s="100" t="str">
        <f>INDEX(Tableau5[Att2],MATCH(Tableau3[[#This Row],[ID-SIG]],Tableau5[ID],0))&amp;""</f>
        <v/>
      </c>
      <c r="N1049" s="100" t="str">
        <f>INDEX(Tableau5[Att3],MATCH(Tableau3[[#This Row],[ID-SIG]],Tableau5[ID],0))&amp;""</f>
        <v/>
      </c>
      <c r="O1049" s="100"/>
      <c r="P1049" s="100" t="str">
        <f>INDEX(Tableau5[Description],MATCH(Tableau3[[#This Row],[ID-SIG]],Tableau5[ID],0))</f>
        <v>Retour Commande 2 ouverture sortie 2</v>
      </c>
      <c r="Q1049" s="100"/>
      <c r="R1049" s="104" t="str">
        <f>Tableau3[[#This Row],[Description]]</f>
        <v>Retour Commande 2 ouverture sortie 2</v>
      </c>
      <c r="U1049" s="88">
        <v>6</v>
      </c>
      <c r="V1049" s="88">
        <v>2</v>
      </c>
      <c r="W1049" s="88">
        <v>7</v>
      </c>
      <c r="X1049" s="88">
        <v>15</v>
      </c>
      <c r="Y1049" s="40"/>
      <c r="Z1049" s="166" t="str">
        <f>INDEX(Tableau2[TS],MATCH(Tableau3[[#This Row],[ID-CARTEVOIE]],Tableau2[ID-CARTEVOIE],0))</f>
        <v>ET</v>
      </c>
      <c r="AA1049" s="81" t="s">
        <v>213</v>
      </c>
      <c r="AB1049" s="226" t="str">
        <f>IFERROR(INDEX(Tableau5[Reserve],MATCH(Tableau3[[#This Row],[ID-SIG]],Tableau5[ID],0))&amp;"","")</f>
        <v/>
      </c>
      <c r="AC1049" s="21" t="s">
        <v>1505</v>
      </c>
      <c r="AD1049" s="108" t="str">
        <f>INDEX(Tableau7[Repere],MATCH(Tableau3[[#This Row],[ID-API]],Tableau7[ID-API],0))&amp;""</f>
        <v>A6</v>
      </c>
      <c r="AE1049" s="109" t="str">
        <f>INDEX(Tableau1[Repere-Rack],MATCH(Tableau3[[#This Row],[ID-RACK]],Tableau1[ID-RACK],0))&amp;""</f>
        <v>R2</v>
      </c>
      <c r="AF1049" s="109" t="str">
        <f>INDEX(Tableau1[Repere-Slot],MATCH(Tableau3[[#This Row],[ID-SLOT]],Tableau1[ID-SLOT],0))&amp;""</f>
        <v>S7</v>
      </c>
      <c r="AG1049" s="109" t="str">
        <f>INDEX(Tableau2[Repere-Voie],MATCH(Tableau3[[#This Row],[ID-VOIE]],Tableau2[ID-Voie],0))&amp;""</f>
        <v>v15</v>
      </c>
      <c r="AH1049" s="72" t="str">
        <f>Tableau3[[#This Row],[ID-API]]&amp; "." &amp;Tableau3[[#This Row],[ID-RACK]]&amp; "." &amp;Tableau3[[#This Row],[ID-SLOT]]</f>
        <v>6.2.7</v>
      </c>
      <c r="AI1049" s="72" t="str">
        <f>INDEX(Tableau1[Ref-Carte],MATCH(Tableau3[[#This Row],[ID-RRS]],Tableau1[ID-RRS],0))</f>
        <v>SDI1602</v>
      </c>
      <c r="AJ1049" s="72" t="str">
        <f t="array" ref="AJ1049">IFERROR(INDEX(Tableau2[TS],MATCH(1,(Tableau2[Ref-Carte]=Tableau3[[#This Row],[Ref-Carte2]])*(Tableau2[ID-Voie]=Tableau3[[#This Row],[ID-VOIE]]),0)),"")</f>
        <v>ET</v>
      </c>
      <c r="AK1049" s="72" t="str">
        <f>IFERROR(INDEX(Tableau2[TS],SUMPRODUCT((Tableau2[Ref-Carte]=Tableau3[[#This Row],[Ref-Carte2]])*(Tableau2[ID-Voie]=Tableau3[[#This Row],[ID-VOIE]])*ROW(Tableau2[TS]))-ROW(Tableau2[#Headers])),"")</f>
        <v>ET</v>
      </c>
      <c r="AL1049" s="72" t="str">
        <f>Tableau3[[#This Row],[Ref-Carte2]]&amp;"/"&amp;Tableau3[[#This Row],[ID-VOIE]]</f>
        <v>SDI1602/15</v>
      </c>
      <c r="AM1049" s="77" t="str">
        <f>INDEX(Tableau2[Borne],MATCH(Tableau3[[#This Row],[ID-CARTEVOIE]],Tableau2[ID-CARTEVOIE],0))&amp;""</f>
        <v>7A</v>
      </c>
      <c r="AN1049" s="74" t="str">
        <f>Tableau3[[#This Row],[ID-API]]&amp;Tableau3[[#This Row],[ID-RACK]]&amp;Tableau3[[#This Row],[ID-SLOT]]&amp;Tableau3[[#This Row],[BORNE]]</f>
        <v>6277A</v>
      </c>
      <c r="AO1049" s="1"/>
    </row>
    <row r="1050" spans="1:41" ht="20.100000000000001" customHeight="1" thickTop="1" thickBot="1">
      <c r="A1050" s="75"/>
      <c r="B1050" s="76" t="str">
        <f>IFERROR(INDEX(Tableau4[Date],MATCH($A1050,Tableau4[EVO],0)),"")</f>
        <v/>
      </c>
      <c r="C1050" s="75" t="str">
        <f>IFERROR(INDEX(Tableau4[Designation],MATCH($A1050,Tableau4[EVO],0)),"")</f>
        <v/>
      </c>
      <c r="D1050" s="75"/>
      <c r="E1050" s="79">
        <v>57</v>
      </c>
      <c r="F1050" s="80">
        <v>42</v>
      </c>
      <c r="G1050" s="102" t="str">
        <f>INDEX(Tableau8[Att1],MATCH(Tableau3[[#This Row],[ID-INS]],Tableau8[ID],0))&amp;""</f>
        <v>GR</v>
      </c>
      <c r="H1050" s="163" t="str">
        <f>INDEX(Tableau8[Att2],MATCH(Tableau3[[#This Row],[ID-INS]],Tableau8[ID],0))&amp;""</f>
        <v>TRSD2</v>
      </c>
      <c r="I1050" s="102" t="str">
        <f>INDEX(Tableau8[Att3],MATCH(Tableau3[[#This Row],[ID-INS]],Tableau8[ID],0))&amp;""</f>
        <v>Tourniquet TRSD2</v>
      </c>
      <c r="J1050" s="102"/>
      <c r="K1050" s="167" t="str">
        <f>INDEX(Tableau8[Nom du modele],MATCH(Tableau3[[#This Row],[ID-INS]],Tableau8[ID],0))&amp;""</f>
        <v>TRSD_1</v>
      </c>
      <c r="L1050" s="100" t="str">
        <f>INDEX(Tableau5[Att1],MATCH(Tableau3[[#This Row],[ID-SIG]],Tableau5[ID],0))&amp;""</f>
        <v>T2E_PassageOK</v>
      </c>
      <c r="M1050" s="100" t="str">
        <f>INDEX(Tableau5[Att2],MATCH(Tableau3[[#This Row],[ID-SIG]],Tableau5[ID],0))&amp;""</f>
        <v/>
      </c>
      <c r="N1050" s="100" t="str">
        <f>INDEX(Tableau5[Att3],MATCH(Tableau3[[#This Row],[ID-SIG]],Tableau5[ID],0))&amp;""</f>
        <v/>
      </c>
      <c r="O1050" s="100"/>
      <c r="P1050" s="100" t="str">
        <f>INDEX(Tableau5[Description],MATCH(Tableau3[[#This Row],[ID-SIG]],Tableau5[ID],0))</f>
        <v>Passage effectuée entrée 2</v>
      </c>
      <c r="Q1050" s="100"/>
      <c r="R1050" s="104" t="str">
        <f>Tableau3[[#This Row],[Description]]</f>
        <v>Passage effectuée entrée 2</v>
      </c>
      <c r="U1050" s="88">
        <v>6</v>
      </c>
      <c r="V1050" s="88">
        <v>2</v>
      </c>
      <c r="W1050" s="88">
        <v>8</v>
      </c>
      <c r="X1050" s="88">
        <v>0</v>
      </c>
      <c r="Y1050" s="40"/>
      <c r="Z1050" s="166" t="str">
        <f>INDEX(Tableau2[TS],MATCH(Tableau3[[#This Row],[ID-CARTEVOIE]],Tableau2[ID-CARTEVOIE],0))</f>
        <v>ET</v>
      </c>
      <c r="AA1050" s="81" t="s">
        <v>213</v>
      </c>
      <c r="AB1050" s="226" t="str">
        <f>IFERROR(INDEX(Tableau5[Reserve],MATCH(Tableau3[[#This Row],[ID-SIG]],Tableau5[ID],0))&amp;"","")</f>
        <v/>
      </c>
      <c r="AC1050" s="21" t="s">
        <v>1505</v>
      </c>
      <c r="AD1050" s="108" t="str">
        <f>INDEX(Tableau7[Repere],MATCH(Tableau3[[#This Row],[ID-API]],Tableau7[ID-API],0))&amp;""</f>
        <v>A6</v>
      </c>
      <c r="AE1050" s="109" t="str">
        <f>INDEX(Tableau1[Repere-Rack],MATCH(Tableau3[[#This Row],[ID-RACK]],Tableau1[ID-RACK],0))&amp;""</f>
        <v>R2</v>
      </c>
      <c r="AF1050" s="109" t="str">
        <f>INDEX(Tableau1[Repere-Slot],MATCH(Tableau3[[#This Row],[ID-SLOT]],Tableau1[ID-SLOT],0))&amp;""</f>
        <v>S8</v>
      </c>
      <c r="AG1050" s="109" t="str">
        <f>INDEX(Tableau2[Repere-Voie],MATCH(Tableau3[[#This Row],[ID-VOIE]],Tableau2[ID-Voie],0))&amp;""</f>
        <v>v0</v>
      </c>
      <c r="AH1050" s="72" t="str">
        <f>Tableau3[[#This Row],[ID-API]]&amp; "." &amp;Tableau3[[#This Row],[ID-RACK]]&amp; "." &amp;Tableau3[[#This Row],[ID-SLOT]]</f>
        <v>6.2.8</v>
      </c>
      <c r="AI1050" s="72" t="str">
        <f>INDEX(Tableau1[Ref-Carte],MATCH(Tableau3[[#This Row],[ID-RRS]],Tableau1[ID-RRS],0))</f>
        <v>SDI1602</v>
      </c>
      <c r="AJ1050" s="72" t="str">
        <f t="array" ref="AJ1050">IFERROR(INDEX(Tableau2[TS],MATCH(1,(Tableau2[Ref-Carte]=Tableau3[[#This Row],[Ref-Carte2]])*(Tableau2[ID-Voie]=Tableau3[[#This Row],[ID-VOIE]]),0)),"")</f>
        <v>ET</v>
      </c>
      <c r="AK1050" s="72" t="str">
        <f>IFERROR(INDEX(Tableau2[TS],SUMPRODUCT((Tableau2[Ref-Carte]=Tableau3[[#This Row],[Ref-Carte2]])*(Tableau2[ID-Voie]=Tableau3[[#This Row],[ID-VOIE]])*ROW(Tableau2[TS]))-ROW(Tableau2[#Headers])),"")</f>
        <v>ET</v>
      </c>
      <c r="AL1050" s="72" t="str">
        <f>Tableau3[[#This Row],[Ref-Carte2]]&amp;"/"&amp;Tableau3[[#This Row],[ID-VOIE]]</f>
        <v>SDI1602/0</v>
      </c>
      <c r="AM1050" s="77" t="str">
        <f>INDEX(Tableau2[Borne],MATCH(Tableau3[[#This Row],[ID-CARTEVOIE]],Tableau2[ID-CARTEVOIE],0))&amp;""</f>
        <v>0B</v>
      </c>
      <c r="AN1050" s="74" t="str">
        <f>Tableau3[[#This Row],[ID-API]]&amp;Tableau3[[#This Row],[ID-RACK]]&amp;Tableau3[[#This Row],[ID-SLOT]]&amp;Tableau3[[#This Row],[BORNE]]</f>
        <v>6280B</v>
      </c>
      <c r="AO1050" s="1"/>
    </row>
    <row r="1051" spans="1:41" ht="20.100000000000001" customHeight="1" thickTop="1" thickBot="1">
      <c r="A1051" s="75"/>
      <c r="B1051" s="76" t="str">
        <f>IFERROR(INDEX(Tableau4[Date],MATCH($A1051,Tableau4[EVO],0)),"")</f>
        <v/>
      </c>
      <c r="C1051" s="75" t="str">
        <f>IFERROR(INDEX(Tableau4[Designation],MATCH($A1051,Tableau4[EVO],0)),"")</f>
        <v/>
      </c>
      <c r="D1051" s="75"/>
      <c r="E1051" s="79">
        <v>57</v>
      </c>
      <c r="F1051" s="80">
        <v>43</v>
      </c>
      <c r="G1051" s="102" t="str">
        <f>INDEX(Tableau8[Att1],MATCH(Tableau3[[#This Row],[ID-INS]],Tableau8[ID],0))&amp;""</f>
        <v>GR</v>
      </c>
      <c r="H1051" s="163" t="str">
        <f>INDEX(Tableau8[Att2],MATCH(Tableau3[[#This Row],[ID-INS]],Tableau8[ID],0))&amp;""</f>
        <v>TRSD2</v>
      </c>
      <c r="I1051" s="102" t="str">
        <f>INDEX(Tableau8[Att3],MATCH(Tableau3[[#This Row],[ID-INS]],Tableau8[ID],0))&amp;""</f>
        <v>Tourniquet TRSD2</v>
      </c>
      <c r="J1051" s="102"/>
      <c r="K1051" s="167" t="str">
        <f>INDEX(Tableau8[Nom du modele],MATCH(Tableau3[[#This Row],[ID-INS]],Tableau8[ID],0))&amp;""</f>
        <v>TRSD_1</v>
      </c>
      <c r="L1051" s="100" t="str">
        <f>INDEX(Tableau5[Att1],MATCH(Tableau3[[#This Row],[ID-SIG]],Tableau5[ID],0))&amp;""</f>
        <v>T2S_PassageOK</v>
      </c>
      <c r="M1051" s="100" t="str">
        <f>INDEX(Tableau5[Att2],MATCH(Tableau3[[#This Row],[ID-SIG]],Tableau5[ID],0))&amp;""</f>
        <v/>
      </c>
      <c r="N1051" s="100" t="str">
        <f>INDEX(Tableau5[Att3],MATCH(Tableau3[[#This Row],[ID-SIG]],Tableau5[ID],0))&amp;""</f>
        <v/>
      </c>
      <c r="O1051" s="100"/>
      <c r="P1051" s="100" t="str">
        <f>INDEX(Tableau5[Description],MATCH(Tableau3[[#This Row],[ID-SIG]],Tableau5[ID],0))</f>
        <v>Passage effectuée sortie 2</v>
      </c>
      <c r="Q1051" s="100"/>
      <c r="R1051" s="104" t="str">
        <f>Tableau3[[#This Row],[Description]]</f>
        <v>Passage effectuée sortie 2</v>
      </c>
      <c r="U1051" s="88">
        <v>6</v>
      </c>
      <c r="V1051" s="88">
        <v>2</v>
      </c>
      <c r="W1051" s="88">
        <v>8</v>
      </c>
      <c r="X1051" s="88">
        <v>1</v>
      </c>
      <c r="Y1051" s="40"/>
      <c r="Z1051" s="166" t="str">
        <f>INDEX(Tableau2[TS],MATCH(Tableau3[[#This Row],[ID-CARTEVOIE]],Tableau2[ID-CARTEVOIE],0))</f>
        <v>ET</v>
      </c>
      <c r="AA1051" s="81" t="s">
        <v>213</v>
      </c>
      <c r="AB1051" s="226" t="str">
        <f>IFERROR(INDEX(Tableau5[Reserve],MATCH(Tableau3[[#This Row],[ID-SIG]],Tableau5[ID],0))&amp;"","")</f>
        <v/>
      </c>
      <c r="AC1051" s="21" t="s">
        <v>1505</v>
      </c>
      <c r="AD1051" s="108" t="str">
        <f>INDEX(Tableau7[Repere],MATCH(Tableau3[[#This Row],[ID-API]],Tableau7[ID-API],0))&amp;""</f>
        <v>A6</v>
      </c>
      <c r="AE1051" s="109" t="str">
        <f>INDEX(Tableau1[Repere-Rack],MATCH(Tableau3[[#This Row],[ID-RACK]],Tableau1[ID-RACK],0))&amp;""</f>
        <v>R2</v>
      </c>
      <c r="AF1051" s="109" t="str">
        <f>INDEX(Tableau1[Repere-Slot],MATCH(Tableau3[[#This Row],[ID-SLOT]],Tableau1[ID-SLOT],0))&amp;""</f>
        <v>S8</v>
      </c>
      <c r="AG1051" s="109" t="str">
        <f>INDEX(Tableau2[Repere-Voie],MATCH(Tableau3[[#This Row],[ID-VOIE]],Tableau2[ID-Voie],0))&amp;""</f>
        <v>v1</v>
      </c>
      <c r="AH1051" s="72" t="str">
        <f>Tableau3[[#This Row],[ID-API]]&amp; "." &amp;Tableau3[[#This Row],[ID-RACK]]&amp; "." &amp;Tableau3[[#This Row],[ID-SLOT]]</f>
        <v>6.2.8</v>
      </c>
      <c r="AI1051" s="72" t="str">
        <f>INDEX(Tableau1[Ref-Carte],MATCH(Tableau3[[#This Row],[ID-RRS]],Tableau1[ID-RRS],0))</f>
        <v>SDI1602</v>
      </c>
      <c r="AJ1051" s="72" t="str">
        <f t="array" ref="AJ1051">IFERROR(INDEX(Tableau2[TS],MATCH(1,(Tableau2[Ref-Carte]=Tableau3[[#This Row],[Ref-Carte2]])*(Tableau2[ID-Voie]=Tableau3[[#This Row],[ID-VOIE]]),0)),"")</f>
        <v>ET</v>
      </c>
      <c r="AK1051" s="72" t="str">
        <f>IFERROR(INDEX(Tableau2[TS],SUMPRODUCT((Tableau2[Ref-Carte]=Tableau3[[#This Row],[Ref-Carte2]])*(Tableau2[ID-Voie]=Tableau3[[#This Row],[ID-VOIE]])*ROW(Tableau2[TS]))-ROW(Tableau2[#Headers])),"")</f>
        <v>ET</v>
      </c>
      <c r="AL1051" s="72" t="str">
        <f>Tableau3[[#This Row],[Ref-Carte2]]&amp;"/"&amp;Tableau3[[#This Row],[ID-VOIE]]</f>
        <v>SDI1602/1</v>
      </c>
      <c r="AM1051" s="77" t="str">
        <f>INDEX(Tableau2[Borne],MATCH(Tableau3[[#This Row],[ID-CARTEVOIE]],Tableau2[ID-CARTEVOIE],0))&amp;""</f>
        <v>0A</v>
      </c>
      <c r="AN1051" s="74" t="str">
        <f>Tableau3[[#This Row],[ID-API]]&amp;Tableau3[[#This Row],[ID-RACK]]&amp;Tableau3[[#This Row],[ID-SLOT]]&amp;Tableau3[[#This Row],[BORNE]]</f>
        <v>6280A</v>
      </c>
      <c r="AO1051" s="1"/>
    </row>
    <row r="1052" spans="1:41" ht="20.100000000000001" customHeight="1" thickTop="1" thickBot="1">
      <c r="A1052" s="68"/>
      <c r="B1052" s="69" t="str">
        <f>IFERROR(INDEX(Tableau4[Date],MATCH($A1052,Tableau4[EVO],0)),"")</f>
        <v/>
      </c>
      <c r="C1052" s="68" t="str">
        <f>IFERROR(INDEX(Tableau4[Designation],MATCH($A1052,Tableau4[EVO],0)),"")</f>
        <v/>
      </c>
      <c r="D1052" s="68"/>
      <c r="E1052" s="70">
        <v>57</v>
      </c>
      <c r="F1052" s="71">
        <v>45</v>
      </c>
      <c r="G1052" s="101" t="str">
        <f>INDEX(Tableau8[Att1],MATCH(Tableau3[[#This Row],[ID-INS]],Tableau8[ID],0))&amp;""</f>
        <v>GR</v>
      </c>
      <c r="H1052" s="101" t="str">
        <f>INDEX(Tableau8[Att2],MATCH(Tableau3[[#This Row],[ID-INS]],Tableau8[ID],0))&amp;""</f>
        <v>TRSD2</v>
      </c>
      <c r="I1052" s="101" t="str">
        <f>INDEX(Tableau8[Att3],MATCH(Tableau3[[#This Row],[ID-INS]],Tableau8[ID],0))&amp;""</f>
        <v>Tourniquet TRSD2</v>
      </c>
      <c r="J1052" s="101"/>
      <c r="K1052" s="167" t="str">
        <f>INDEX(Tableau8[Nom du modele],MATCH(Tableau3[[#This Row],[ID-INS]],Tableau8[ID],0))&amp;""</f>
        <v>TRSD_1</v>
      </c>
      <c r="L1052" s="99" t="str">
        <f>INDEX(Tableau5[Att1],MATCH(Tableau3[[#This Row],[ID-SIG]],Tableau5[ID],0))&amp;""</f>
        <v>T2_SynthDef</v>
      </c>
      <c r="M1052" s="99" t="str">
        <f>INDEX(Tableau5[Att2],MATCH(Tableau3[[#This Row],[ID-SIG]],Tableau5[ID],0))&amp;""</f>
        <v/>
      </c>
      <c r="N1052" s="99" t="str">
        <f>INDEX(Tableau5[Att3],MATCH(Tableau3[[#This Row],[ID-SIG]],Tableau5[ID],0))&amp;""</f>
        <v/>
      </c>
      <c r="O1052" s="99"/>
      <c r="P1052" s="99" t="str">
        <f>INDEX(Tableau5[Description],MATCH(Tableau3[[#This Row],[ID-SIG]],Tableau5[ID],0))</f>
        <v>Synthèse défaut entrée 2</v>
      </c>
      <c r="Q1052" s="99"/>
      <c r="R1052" s="103" t="str">
        <f>Tableau3[[#This Row],[Description]]</f>
        <v>Synthèse défaut entrée 2</v>
      </c>
      <c r="U1052" s="87">
        <v>6</v>
      </c>
      <c r="V1052" s="87">
        <v>2</v>
      </c>
      <c r="W1052" s="87">
        <v>8</v>
      </c>
      <c r="X1052" s="87">
        <v>2</v>
      </c>
      <c r="Y1052" s="40"/>
      <c r="Z1052" s="165" t="str">
        <f>INDEX(Tableau2[TS],MATCH(Tableau3[[#This Row],[ID-CARTEVOIE]],Tableau2[ID-CARTEVOIE],0))</f>
        <v>ET</v>
      </c>
      <c r="AA1052" s="53" t="s">
        <v>213</v>
      </c>
      <c r="AB1052" s="223" t="str">
        <f>IFERROR(INDEX(Tableau5[Reserve],MATCH(Tableau3[[#This Row],[ID-SIG]],Tableau5[ID],0))&amp;"","")</f>
        <v/>
      </c>
      <c r="AC1052" s="21" t="s">
        <v>1505</v>
      </c>
      <c r="AD1052" s="108" t="str">
        <f>INDEX(Tableau7[Repere],MATCH(Tableau3[[#This Row],[ID-API]],Tableau7[ID-API],0))&amp;""</f>
        <v>A6</v>
      </c>
      <c r="AE1052" s="108" t="str">
        <f>INDEX(Tableau1[Repere-Rack],MATCH(Tableau3[[#This Row],[ID-RACK]],Tableau1[ID-RACK],0))&amp;""</f>
        <v>R2</v>
      </c>
      <c r="AF1052" s="108" t="str">
        <f>INDEX(Tableau1[Repere-Slot],MATCH(Tableau3[[#This Row],[ID-SLOT]],Tableau1[ID-SLOT],0))&amp;""</f>
        <v>S8</v>
      </c>
      <c r="AG1052" s="108" t="str">
        <f>INDEX(Tableau2[Repere-Voie],MATCH(Tableau3[[#This Row],[ID-VOIE]],Tableau2[ID-Voie],0))&amp;""</f>
        <v>v2</v>
      </c>
      <c r="AH1052" s="72" t="str">
        <f>Tableau3[[#This Row],[ID-API]]&amp; "." &amp;Tableau3[[#This Row],[ID-RACK]]&amp; "." &amp;Tableau3[[#This Row],[ID-SLOT]]</f>
        <v>6.2.8</v>
      </c>
      <c r="AI1052" s="72" t="str">
        <f>INDEX(Tableau1[Ref-Carte],MATCH(Tableau3[[#This Row],[ID-RRS]],Tableau1[ID-RRS],0))</f>
        <v>SDI1602</v>
      </c>
      <c r="AJ1052" s="72" t="str">
        <f t="array" ref="AJ1052">IFERROR(INDEX(Tableau2[TS],MATCH(1,(Tableau2[Ref-Carte]=Tableau3[[#This Row],[Ref-Carte2]])*(Tableau2[ID-Voie]=Tableau3[[#This Row],[ID-VOIE]]),0)),"")</f>
        <v>ET</v>
      </c>
      <c r="AK1052" s="72" t="str">
        <f>IFERROR(INDEX(Tableau2[TS],SUMPRODUCT((Tableau2[Ref-Carte]=Tableau3[[#This Row],[Ref-Carte2]])*(Tableau2[ID-Voie]=Tableau3[[#This Row],[ID-VOIE]])*ROW(Tableau2[TS]))-ROW(Tableau2[#Headers])),"")</f>
        <v>ET</v>
      </c>
      <c r="AL1052" s="72" t="str">
        <f>Tableau3[[#This Row],[Ref-Carte2]]&amp;"/"&amp;Tableau3[[#This Row],[ID-VOIE]]</f>
        <v>SDI1602/2</v>
      </c>
      <c r="AM1052" s="73" t="str">
        <f>INDEX(Tableau2[Borne],MATCH(Tableau3[[#This Row],[ID-CARTEVOIE]],Tableau2[ID-CARTEVOIE],0))&amp;""</f>
        <v>1B</v>
      </c>
      <c r="AN1052" s="74" t="str">
        <f>Tableau3[[#This Row],[ID-API]]&amp;Tableau3[[#This Row],[ID-RACK]]&amp;Tableau3[[#This Row],[ID-SLOT]]&amp;Tableau3[[#This Row],[BORNE]]</f>
        <v>6281B</v>
      </c>
      <c r="AO1052" s="1"/>
    </row>
    <row r="1053" spans="1:41" ht="20.100000000000001" customHeight="1" thickTop="1" thickBot="1">
      <c r="A1053" s="68"/>
      <c r="B1053" s="69" t="str">
        <f>IFERROR(INDEX(Tableau4[Date],MATCH($A1053,Tableau4[EVO],0)),"")</f>
        <v/>
      </c>
      <c r="C1053" s="68" t="str">
        <f>IFERROR(INDEX(Tableau4[Designation],MATCH($A1053,Tableau4[EVO],0)),"")</f>
        <v/>
      </c>
      <c r="D1053" s="68"/>
      <c r="E1053" s="70">
        <v>71</v>
      </c>
      <c r="F1053" s="71">
        <v>66</v>
      </c>
      <c r="G1053" s="101" t="str">
        <f>INDEX(Tableau8[Att1],MATCH(Tableau3[[#This Row],[ID-INS]],Tableau8[ID],0))&amp;""</f>
        <v>V5</v>
      </c>
      <c r="H1053" s="101" t="str">
        <f>INDEX(Tableau8[Att2],MATCH(Tableau3[[#This Row],[ID-INS]],Tableau8[ID],0))&amp;""</f>
        <v>BH10</v>
      </c>
      <c r="I1053" s="101" t="str">
        <f>INDEX(Tableau8[Att3],MATCH(Tableau3[[#This Row],[ID-INS]],Tableau8[ID],0))&amp;""</f>
        <v>Barrière BH10</v>
      </c>
      <c r="J1053" s="101"/>
      <c r="K1053" s="167" t="str">
        <f>INDEX(Tableau8[Nom du modele],MATCH(Tableau3[[#This Row],[ID-INS]],Tableau8[ID],0))&amp;""</f>
        <v>BarriereLisse</v>
      </c>
      <c r="L1053" s="99" t="str">
        <f>INDEX(Tableau5[Att1],MATCH(Tableau3[[#This Row],[ID-SIG]],Tableau5[ID],0))&amp;""</f>
        <v>Ouv</v>
      </c>
      <c r="M1053" s="99" t="str">
        <f>INDEX(Tableau5[Att2],MATCH(Tableau3[[#This Row],[ID-SIG]],Tableau5[ID],0))&amp;""</f>
        <v/>
      </c>
      <c r="N1053" s="99" t="str">
        <f>INDEX(Tableau5[Att3],MATCH(Tableau3[[#This Row],[ID-SIG]],Tableau5[ID],0))&amp;""</f>
        <v/>
      </c>
      <c r="O1053" s="99"/>
      <c r="P1053" s="99" t="str">
        <f>INDEX(Tableau5[Description],MATCH(Tableau3[[#This Row],[ID-SIG]],Tableau5[ID],0))</f>
        <v>Position ouverte</v>
      </c>
      <c r="Q1053" s="99"/>
      <c r="R1053" s="103" t="str">
        <f>Tableau3[[#This Row],[Description]]</f>
        <v>Position ouverte</v>
      </c>
      <c r="U1053" s="87">
        <v>6</v>
      </c>
      <c r="V1053" s="87">
        <v>2</v>
      </c>
      <c r="W1053" s="87">
        <v>8</v>
      </c>
      <c r="X1053" s="87">
        <v>3</v>
      </c>
      <c r="Y1053" s="40"/>
      <c r="Z1053" s="165" t="str">
        <f>INDEX(Tableau2[TS],MATCH(Tableau3[[#This Row],[ID-CARTEVOIE]],Tableau2[ID-CARTEVOIE],0))</f>
        <v>ET</v>
      </c>
      <c r="AA1053" s="53" t="s">
        <v>213</v>
      </c>
      <c r="AB1053" s="223" t="str">
        <f>IFERROR(INDEX(Tableau5[Reserve],MATCH(Tableau3[[#This Row],[ID-SIG]],Tableau5[ID],0))&amp;"","")</f>
        <v/>
      </c>
      <c r="AC1053" s="21"/>
      <c r="AD1053" s="108" t="str">
        <f>INDEX(Tableau7[Repere],MATCH(Tableau3[[#This Row],[ID-API]],Tableau7[ID-API],0))&amp;""</f>
        <v>A6</v>
      </c>
      <c r="AE1053" s="108" t="str">
        <f>INDEX(Tableau1[Repere-Rack],MATCH(Tableau3[[#This Row],[ID-RACK]],Tableau1[ID-RACK],0))&amp;""</f>
        <v>R2</v>
      </c>
      <c r="AF1053" s="108" t="str">
        <f>INDEX(Tableau1[Repere-Slot],MATCH(Tableau3[[#This Row],[ID-SLOT]],Tableau1[ID-SLOT],0))&amp;""</f>
        <v>S8</v>
      </c>
      <c r="AG1053" s="108" t="str">
        <f>INDEX(Tableau2[Repere-Voie],MATCH(Tableau3[[#This Row],[ID-VOIE]],Tableau2[ID-Voie],0))&amp;""</f>
        <v>v3</v>
      </c>
      <c r="AH1053" s="72" t="str">
        <f>Tableau3[[#This Row],[ID-API]]&amp; "." &amp;Tableau3[[#This Row],[ID-RACK]]&amp; "." &amp;Tableau3[[#This Row],[ID-SLOT]]</f>
        <v>6.2.8</v>
      </c>
      <c r="AI1053" s="72" t="str">
        <f>INDEX(Tableau1[Ref-Carte],MATCH(Tableau3[[#This Row],[ID-RRS]],Tableau1[ID-RRS],0))</f>
        <v>SDI1602</v>
      </c>
      <c r="AJ1053" s="72" t="str">
        <f t="array" ref="AJ1053">IFERROR(INDEX(Tableau2[TS],MATCH(1,(Tableau2[Ref-Carte]=Tableau3[[#This Row],[Ref-Carte2]])*(Tableau2[ID-Voie]=Tableau3[[#This Row],[ID-VOIE]]),0)),"")</f>
        <v>ET</v>
      </c>
      <c r="AK1053" s="72" t="str">
        <f>IFERROR(INDEX(Tableau2[TS],SUMPRODUCT((Tableau2[Ref-Carte]=Tableau3[[#This Row],[Ref-Carte2]])*(Tableau2[ID-Voie]=Tableau3[[#This Row],[ID-VOIE]])*ROW(Tableau2[TS]))-ROW(Tableau2[#Headers])),"")</f>
        <v>ET</v>
      </c>
      <c r="AL1053" s="72" t="str">
        <f>Tableau3[[#This Row],[Ref-Carte2]]&amp;"/"&amp;Tableau3[[#This Row],[ID-VOIE]]</f>
        <v>SDI1602/3</v>
      </c>
      <c r="AM1053" s="73" t="str">
        <f>INDEX(Tableau2[Borne],MATCH(Tableau3[[#This Row],[ID-CARTEVOIE]],Tableau2[ID-CARTEVOIE],0))&amp;""</f>
        <v>1A</v>
      </c>
      <c r="AN1053" s="74" t="str">
        <f>Tableau3[[#This Row],[ID-API]]&amp;Tableau3[[#This Row],[ID-RACK]]&amp;Tableau3[[#This Row],[ID-SLOT]]&amp;Tableau3[[#This Row],[BORNE]]</f>
        <v>6281A</v>
      </c>
      <c r="AO1053" s="1"/>
    </row>
    <row r="1054" spans="1:41" ht="20.100000000000001" customHeight="1" thickTop="1" thickBot="1">
      <c r="A1054" s="68"/>
      <c r="B1054" s="69" t="str">
        <f>IFERROR(INDEX(Tableau4[Date],MATCH($A1054,Tableau4[EVO],0)),"")</f>
        <v/>
      </c>
      <c r="C1054" s="68" t="str">
        <f>IFERROR(INDEX(Tableau4[Designation],MATCH($A1054,Tableau4[EVO],0)),"")</f>
        <v/>
      </c>
      <c r="D1054" s="68"/>
      <c r="E1054" s="70">
        <v>71</v>
      </c>
      <c r="F1054" s="71">
        <v>67</v>
      </c>
      <c r="G1054" s="101" t="str">
        <f>INDEX(Tableau8[Att1],MATCH(Tableau3[[#This Row],[ID-INS]],Tableau8[ID],0))&amp;""</f>
        <v>V5</v>
      </c>
      <c r="H1054" s="101" t="str">
        <f>INDEX(Tableau8[Att2],MATCH(Tableau3[[#This Row],[ID-INS]],Tableau8[ID],0))&amp;""</f>
        <v>BH10</v>
      </c>
      <c r="I1054" s="101" t="str">
        <f>INDEX(Tableau8[Att3],MATCH(Tableau3[[#This Row],[ID-INS]],Tableau8[ID],0))&amp;""</f>
        <v>Barrière BH10</v>
      </c>
      <c r="J1054" s="101"/>
      <c r="K1054" s="167" t="str">
        <f>INDEX(Tableau8[Nom du modele],MATCH(Tableau3[[#This Row],[ID-INS]],Tableau8[ID],0))&amp;""</f>
        <v>BarriereLisse</v>
      </c>
      <c r="L1054" s="99" t="str">
        <f>INDEX(Tableau5[Att1],MATCH(Tableau3[[#This Row],[ID-SIG]],Tableau5[ID],0))&amp;""</f>
        <v>Fer</v>
      </c>
      <c r="M1054" s="99" t="str">
        <f>INDEX(Tableau5[Att2],MATCH(Tableau3[[#This Row],[ID-SIG]],Tableau5[ID],0))&amp;""</f>
        <v/>
      </c>
      <c r="N1054" s="99" t="str">
        <f>INDEX(Tableau5[Att3],MATCH(Tableau3[[#This Row],[ID-SIG]],Tableau5[ID],0))&amp;""</f>
        <v/>
      </c>
      <c r="O1054" s="99"/>
      <c r="P1054" s="99" t="str">
        <f>INDEX(Tableau5[Description],MATCH(Tableau3[[#This Row],[ID-SIG]],Tableau5[ID],0))</f>
        <v>Position fermée</v>
      </c>
      <c r="Q1054" s="99"/>
      <c r="R1054" s="103" t="str">
        <f>Tableau3[[#This Row],[Description]]</f>
        <v>Position fermée</v>
      </c>
      <c r="U1054" s="87">
        <v>6</v>
      </c>
      <c r="V1054" s="87">
        <v>2</v>
      </c>
      <c r="W1054" s="87">
        <v>8</v>
      </c>
      <c r="X1054" s="87">
        <v>4</v>
      </c>
      <c r="Y1054" s="40"/>
      <c r="Z1054" s="165" t="str">
        <f>INDEX(Tableau2[TS],MATCH(Tableau3[[#This Row],[ID-CARTEVOIE]],Tableau2[ID-CARTEVOIE],0))</f>
        <v>ET</v>
      </c>
      <c r="AA1054" s="53" t="s">
        <v>213</v>
      </c>
      <c r="AB1054" s="223" t="str">
        <f>IFERROR(INDEX(Tableau5[Reserve],MATCH(Tableau3[[#This Row],[ID-SIG]],Tableau5[ID],0))&amp;"","")</f>
        <v/>
      </c>
      <c r="AC1054" s="21"/>
      <c r="AD1054" s="108" t="str">
        <f>INDEX(Tableau7[Repere],MATCH(Tableau3[[#This Row],[ID-API]],Tableau7[ID-API],0))&amp;""</f>
        <v>A6</v>
      </c>
      <c r="AE1054" s="108" t="str">
        <f>INDEX(Tableau1[Repere-Rack],MATCH(Tableau3[[#This Row],[ID-RACK]],Tableau1[ID-RACK],0))&amp;""</f>
        <v>R2</v>
      </c>
      <c r="AF1054" s="108" t="str">
        <f>INDEX(Tableau1[Repere-Slot],MATCH(Tableau3[[#This Row],[ID-SLOT]],Tableau1[ID-SLOT],0))&amp;""</f>
        <v>S8</v>
      </c>
      <c r="AG1054" s="108" t="str">
        <f>INDEX(Tableau2[Repere-Voie],MATCH(Tableau3[[#This Row],[ID-VOIE]],Tableau2[ID-Voie],0))&amp;""</f>
        <v>v4</v>
      </c>
      <c r="AH1054" s="72" t="str">
        <f>Tableau3[[#This Row],[ID-API]]&amp; "." &amp;Tableau3[[#This Row],[ID-RACK]]&amp; "." &amp;Tableau3[[#This Row],[ID-SLOT]]</f>
        <v>6.2.8</v>
      </c>
      <c r="AI1054" s="72" t="str">
        <f>INDEX(Tableau1[Ref-Carte],MATCH(Tableau3[[#This Row],[ID-RRS]],Tableau1[ID-RRS],0))</f>
        <v>SDI1602</v>
      </c>
      <c r="AJ1054" s="72" t="str">
        <f t="array" ref="AJ1054">IFERROR(INDEX(Tableau2[TS],MATCH(1,(Tableau2[Ref-Carte]=Tableau3[[#This Row],[Ref-Carte2]])*(Tableau2[ID-Voie]=Tableau3[[#This Row],[ID-VOIE]]),0)),"")</f>
        <v>ET</v>
      </c>
      <c r="AK1054" s="72" t="str">
        <f>IFERROR(INDEX(Tableau2[TS],SUMPRODUCT((Tableau2[Ref-Carte]=Tableau3[[#This Row],[Ref-Carte2]])*(Tableau2[ID-Voie]=Tableau3[[#This Row],[ID-VOIE]])*ROW(Tableau2[TS]))-ROW(Tableau2[#Headers])),"")</f>
        <v>ET</v>
      </c>
      <c r="AL1054" s="72" t="str">
        <f>Tableau3[[#This Row],[Ref-Carte2]]&amp;"/"&amp;Tableau3[[#This Row],[ID-VOIE]]</f>
        <v>SDI1602/4</v>
      </c>
      <c r="AM1054" s="73" t="str">
        <f>INDEX(Tableau2[Borne],MATCH(Tableau3[[#This Row],[ID-CARTEVOIE]],Tableau2[ID-CARTEVOIE],0))&amp;""</f>
        <v>2B</v>
      </c>
      <c r="AN1054" s="74" t="str">
        <f>Tableau3[[#This Row],[ID-API]]&amp;Tableau3[[#This Row],[ID-RACK]]&amp;Tableau3[[#This Row],[ID-SLOT]]&amp;Tableau3[[#This Row],[BORNE]]</f>
        <v>6282B</v>
      </c>
      <c r="AO1054" s="1"/>
    </row>
    <row r="1055" spans="1:41" ht="20.100000000000001" customHeight="1" thickTop="1" thickBot="1">
      <c r="A1055" s="68"/>
      <c r="B1055" s="69" t="str">
        <f>IFERROR(INDEX(Tableau4[Date],MATCH($A1055,Tableau4[EVO],0)),"")</f>
        <v/>
      </c>
      <c r="C1055" s="68" t="str">
        <f>IFERROR(INDEX(Tableau4[Designation],MATCH($A1055,Tableau4[EVO],0)),"")</f>
        <v/>
      </c>
      <c r="D1055" s="68"/>
      <c r="E1055" s="70">
        <v>71</v>
      </c>
      <c r="F1055" s="71">
        <v>68</v>
      </c>
      <c r="G1055" s="101" t="str">
        <f>INDEX(Tableau8[Att1],MATCH(Tableau3[[#This Row],[ID-INS]],Tableau8[ID],0))&amp;""</f>
        <v>V5</v>
      </c>
      <c r="H1055" s="101" t="str">
        <f>INDEX(Tableau8[Att2],MATCH(Tableau3[[#This Row],[ID-INS]],Tableau8[ID],0))&amp;""</f>
        <v>BH10</v>
      </c>
      <c r="I1055" s="101" t="str">
        <f>INDEX(Tableau8[Att3],MATCH(Tableau3[[#This Row],[ID-INS]],Tableau8[ID],0))&amp;""</f>
        <v>Barrière BH10</v>
      </c>
      <c r="J1055" s="101"/>
      <c r="K1055" s="167" t="str">
        <f>INDEX(Tableau8[Nom du modele],MATCH(Tableau3[[#This Row],[ID-INS]],Tableau8[ID],0))&amp;""</f>
        <v>BarriereLisse</v>
      </c>
      <c r="L1055" s="99" t="str">
        <f>INDEX(Tableau5[Att1],MATCH(Tableau3[[#This Row],[ID-SIG]],Tableau5[ID],0))&amp;""</f>
        <v>SynthDef</v>
      </c>
      <c r="M1055" s="99" t="str">
        <f>INDEX(Tableau5[Att2],MATCH(Tableau3[[#This Row],[ID-SIG]],Tableau5[ID],0))&amp;""</f>
        <v/>
      </c>
      <c r="N1055" s="99" t="str">
        <f>INDEX(Tableau5[Att3],MATCH(Tableau3[[#This Row],[ID-SIG]],Tableau5[ID],0))&amp;""</f>
        <v/>
      </c>
      <c r="O1055" s="99"/>
      <c r="P1055" s="99" t="str">
        <f>INDEX(Tableau5[Description],MATCH(Tableau3[[#This Row],[ID-SIG]],Tableau5[ID],0))</f>
        <v>Synthèse défaut</v>
      </c>
      <c r="Q1055" s="99"/>
      <c r="R1055" s="103" t="str">
        <f>Tableau3[[#This Row],[Description]]</f>
        <v>Synthèse défaut</v>
      </c>
      <c r="U1055" s="87">
        <v>6</v>
      </c>
      <c r="V1055" s="87">
        <v>2</v>
      </c>
      <c r="W1055" s="87">
        <v>8</v>
      </c>
      <c r="X1055" s="87">
        <v>5</v>
      </c>
      <c r="Y1055" s="40"/>
      <c r="Z1055" s="165" t="str">
        <f>INDEX(Tableau2[TS],MATCH(Tableau3[[#This Row],[ID-CARTEVOIE]],Tableau2[ID-CARTEVOIE],0))</f>
        <v>ET</v>
      </c>
      <c r="AA1055" s="53" t="s">
        <v>213</v>
      </c>
      <c r="AB1055" s="223" t="str">
        <f>IFERROR(INDEX(Tableau5[Reserve],MATCH(Tableau3[[#This Row],[ID-SIG]],Tableau5[ID],0))&amp;"","")</f>
        <v/>
      </c>
      <c r="AC1055" s="21"/>
      <c r="AD1055" s="108" t="str">
        <f>INDEX(Tableau7[Repere],MATCH(Tableau3[[#This Row],[ID-API]],Tableau7[ID-API],0))&amp;""</f>
        <v>A6</v>
      </c>
      <c r="AE1055" s="108" t="str">
        <f>INDEX(Tableau1[Repere-Rack],MATCH(Tableau3[[#This Row],[ID-RACK]],Tableau1[ID-RACK],0))&amp;""</f>
        <v>R2</v>
      </c>
      <c r="AF1055" s="108" t="str">
        <f>INDEX(Tableau1[Repere-Slot],MATCH(Tableau3[[#This Row],[ID-SLOT]],Tableau1[ID-SLOT],0))&amp;""</f>
        <v>S8</v>
      </c>
      <c r="AG1055" s="108" t="str">
        <f>INDEX(Tableau2[Repere-Voie],MATCH(Tableau3[[#This Row],[ID-VOIE]],Tableau2[ID-Voie],0))&amp;""</f>
        <v>v5</v>
      </c>
      <c r="AH1055" s="72" t="str">
        <f>Tableau3[[#This Row],[ID-API]]&amp; "." &amp;Tableau3[[#This Row],[ID-RACK]]&amp; "." &amp;Tableau3[[#This Row],[ID-SLOT]]</f>
        <v>6.2.8</v>
      </c>
      <c r="AI1055" s="72" t="str">
        <f>INDEX(Tableau1[Ref-Carte],MATCH(Tableau3[[#This Row],[ID-RRS]],Tableau1[ID-RRS],0))</f>
        <v>SDI1602</v>
      </c>
      <c r="AJ1055" s="72" t="str">
        <f t="array" ref="AJ1055">IFERROR(INDEX(Tableau2[TS],MATCH(1,(Tableau2[Ref-Carte]=Tableau3[[#This Row],[Ref-Carte2]])*(Tableau2[ID-Voie]=Tableau3[[#This Row],[ID-VOIE]]),0)),"")</f>
        <v>ET</v>
      </c>
      <c r="AK1055" s="72" t="str">
        <f>IFERROR(INDEX(Tableau2[TS],SUMPRODUCT((Tableau2[Ref-Carte]=Tableau3[[#This Row],[Ref-Carte2]])*(Tableau2[ID-Voie]=Tableau3[[#This Row],[ID-VOIE]])*ROW(Tableau2[TS]))-ROW(Tableau2[#Headers])),"")</f>
        <v>ET</v>
      </c>
      <c r="AL1055" s="72" t="str">
        <f>Tableau3[[#This Row],[Ref-Carte2]]&amp;"/"&amp;Tableau3[[#This Row],[ID-VOIE]]</f>
        <v>SDI1602/5</v>
      </c>
      <c r="AM1055" s="73" t="str">
        <f>INDEX(Tableau2[Borne],MATCH(Tableau3[[#This Row],[ID-CARTEVOIE]],Tableau2[ID-CARTEVOIE],0))&amp;""</f>
        <v>2A</v>
      </c>
      <c r="AN1055" s="74" t="str">
        <f>Tableau3[[#This Row],[ID-API]]&amp;Tableau3[[#This Row],[ID-RACK]]&amp;Tableau3[[#This Row],[ID-SLOT]]&amp;Tableau3[[#This Row],[BORNE]]</f>
        <v>6282A</v>
      </c>
      <c r="AO1055" s="1"/>
    </row>
    <row r="1056" spans="1:41" ht="20.100000000000001" customHeight="1" thickTop="1" thickBot="1">
      <c r="A1056" s="68"/>
      <c r="B1056" s="69" t="str">
        <f>IFERROR(INDEX(Tableau4[Date],MATCH($A1056,Tableau4[EVO],0)),"")</f>
        <v/>
      </c>
      <c r="C1056" s="68" t="str">
        <f>IFERROR(INDEX(Tableau4[Designation],MATCH($A1056,Tableau4[EVO],0)),"")</f>
        <v/>
      </c>
      <c r="D1056" s="68"/>
      <c r="E1056" s="70">
        <v>71</v>
      </c>
      <c r="F1056" s="71">
        <v>69</v>
      </c>
      <c r="G1056" s="101" t="str">
        <f>INDEX(Tableau8[Att1],MATCH(Tableau3[[#This Row],[ID-INS]],Tableau8[ID],0))&amp;""</f>
        <v>V5</v>
      </c>
      <c r="H1056" s="101" t="str">
        <f>INDEX(Tableau8[Att2],MATCH(Tableau3[[#This Row],[ID-INS]],Tableau8[ID],0))&amp;""</f>
        <v>BH10</v>
      </c>
      <c r="I1056" s="101" t="str">
        <f>INDEX(Tableau8[Att3],MATCH(Tableau3[[#This Row],[ID-INS]],Tableau8[ID],0))&amp;""</f>
        <v>Barrière BH10</v>
      </c>
      <c r="J1056" s="101"/>
      <c r="K1056" s="167" t="str">
        <f>INDEX(Tableau8[Nom du modele],MATCH(Tableau3[[#This Row],[ID-INS]],Tableau8[ID],0))&amp;""</f>
        <v>BarriereLisse</v>
      </c>
      <c r="L1056" s="99" t="str">
        <f>INDEX(Tableau5[Att1],MATCH(Tableau3[[#This Row],[ID-SIG]],Tableau5[ID],0))&amp;""</f>
        <v>Effraction</v>
      </c>
      <c r="M1056" s="99" t="str">
        <f>INDEX(Tableau5[Att2],MATCH(Tableau3[[#This Row],[ID-SIG]],Tableau5[ID],0))&amp;""</f>
        <v/>
      </c>
      <c r="N1056" s="99" t="str">
        <f>INDEX(Tableau5[Att3],MATCH(Tableau3[[#This Row],[ID-SIG]],Tableau5[ID],0))&amp;""</f>
        <v/>
      </c>
      <c r="O1056" s="99"/>
      <c r="P1056" s="99" t="str">
        <f>INDEX(Tableau5[Description],MATCH(Tableau3[[#This Row],[ID-SIG]],Tableau5[ID],0))</f>
        <v>Effraction</v>
      </c>
      <c r="Q1056" s="99"/>
      <c r="R1056" s="103" t="str">
        <f>Tableau3[[#This Row],[Description]]</f>
        <v>Effraction</v>
      </c>
      <c r="U1056" s="87">
        <v>6</v>
      </c>
      <c r="V1056" s="87">
        <v>2</v>
      </c>
      <c r="W1056" s="87">
        <v>8</v>
      </c>
      <c r="X1056" s="87">
        <v>6</v>
      </c>
      <c r="Y1056" s="40"/>
      <c r="Z1056" s="165" t="str">
        <f>INDEX(Tableau2[TS],MATCH(Tableau3[[#This Row],[ID-CARTEVOIE]],Tableau2[ID-CARTEVOIE],0))</f>
        <v>ET</v>
      </c>
      <c r="AA1056" s="53" t="s">
        <v>213</v>
      </c>
      <c r="AB1056" s="223" t="str">
        <f>IFERROR(INDEX(Tableau5[Reserve],MATCH(Tableau3[[#This Row],[ID-SIG]],Tableau5[ID],0))&amp;"","")</f>
        <v/>
      </c>
      <c r="AC1056" s="21"/>
      <c r="AD1056" s="108" t="str">
        <f>INDEX(Tableau7[Repere],MATCH(Tableau3[[#This Row],[ID-API]],Tableau7[ID-API],0))&amp;""</f>
        <v>A6</v>
      </c>
      <c r="AE1056" s="108" t="str">
        <f>INDEX(Tableau1[Repere-Rack],MATCH(Tableau3[[#This Row],[ID-RACK]],Tableau1[ID-RACK],0))&amp;""</f>
        <v>R2</v>
      </c>
      <c r="AF1056" s="108" t="str">
        <f>INDEX(Tableau1[Repere-Slot],MATCH(Tableau3[[#This Row],[ID-SLOT]],Tableau1[ID-SLOT],0))&amp;""</f>
        <v>S8</v>
      </c>
      <c r="AG1056" s="108" t="str">
        <f>INDEX(Tableau2[Repere-Voie],MATCH(Tableau3[[#This Row],[ID-VOIE]],Tableau2[ID-Voie],0))&amp;""</f>
        <v>v6</v>
      </c>
      <c r="AH1056" s="72" t="str">
        <f>Tableau3[[#This Row],[ID-API]]&amp; "." &amp;Tableau3[[#This Row],[ID-RACK]]&amp; "." &amp;Tableau3[[#This Row],[ID-SLOT]]</f>
        <v>6.2.8</v>
      </c>
      <c r="AI1056" s="72" t="str">
        <f>INDEX(Tableau1[Ref-Carte],MATCH(Tableau3[[#This Row],[ID-RRS]],Tableau1[ID-RRS],0))</f>
        <v>SDI1602</v>
      </c>
      <c r="AJ1056" s="72" t="str">
        <f t="array" ref="AJ1056">IFERROR(INDEX(Tableau2[TS],MATCH(1,(Tableau2[Ref-Carte]=Tableau3[[#This Row],[Ref-Carte2]])*(Tableau2[ID-Voie]=Tableau3[[#This Row],[ID-VOIE]]),0)),"")</f>
        <v>ET</v>
      </c>
      <c r="AK1056" s="72" t="str">
        <f>IFERROR(INDEX(Tableau2[TS],SUMPRODUCT((Tableau2[Ref-Carte]=Tableau3[[#This Row],[Ref-Carte2]])*(Tableau2[ID-Voie]=Tableau3[[#This Row],[ID-VOIE]])*ROW(Tableau2[TS]))-ROW(Tableau2[#Headers])),"")</f>
        <v>ET</v>
      </c>
      <c r="AL1056" s="72" t="str">
        <f>Tableau3[[#This Row],[Ref-Carte2]]&amp;"/"&amp;Tableau3[[#This Row],[ID-VOIE]]</f>
        <v>SDI1602/6</v>
      </c>
      <c r="AM1056" s="73" t="str">
        <f>INDEX(Tableau2[Borne],MATCH(Tableau3[[#This Row],[ID-CARTEVOIE]],Tableau2[ID-CARTEVOIE],0))&amp;""</f>
        <v>3B</v>
      </c>
      <c r="AN1056" s="74" t="str">
        <f>Tableau3[[#This Row],[ID-API]]&amp;Tableau3[[#This Row],[ID-RACK]]&amp;Tableau3[[#This Row],[ID-SLOT]]&amp;Tableau3[[#This Row],[BORNE]]</f>
        <v>6283B</v>
      </c>
      <c r="AO1056" s="1"/>
    </row>
    <row r="1057" spans="1:41" ht="20.100000000000001" customHeight="1" thickTop="1" thickBot="1">
      <c r="A1057" s="68"/>
      <c r="B1057" s="69" t="str">
        <f>IFERROR(INDEX(Tableau4[Date],MATCH($A1057,Tableau4[EVO],0)),"")</f>
        <v/>
      </c>
      <c r="C1057" s="68" t="str">
        <f>IFERROR(INDEX(Tableau4[Designation],MATCH($A1057,Tableau4[EVO],0)),"")</f>
        <v/>
      </c>
      <c r="D1057" s="68"/>
      <c r="E1057" s="70">
        <v>71</v>
      </c>
      <c r="F1057" s="71">
        <v>70</v>
      </c>
      <c r="G1057" s="101" t="str">
        <f>INDEX(Tableau8[Att1],MATCH(Tableau3[[#This Row],[ID-INS]],Tableau8[ID],0))&amp;""</f>
        <v>V5</v>
      </c>
      <c r="H1057" s="101" t="str">
        <f>INDEX(Tableau8[Att2],MATCH(Tableau3[[#This Row],[ID-INS]],Tableau8[ID],0))&amp;""</f>
        <v>BH10</v>
      </c>
      <c r="I1057" s="101" t="str">
        <f>INDEX(Tableau8[Att3],MATCH(Tableau3[[#This Row],[ID-INS]],Tableau8[ID],0))&amp;""</f>
        <v>Barrière BH10</v>
      </c>
      <c r="J1057" s="101"/>
      <c r="K1057" s="167" t="str">
        <f>INDEX(Tableau8[Nom du modele],MATCH(Tableau3[[#This Row],[ID-INS]],Tableau8[ID],0))&amp;""</f>
        <v>BarriereLisse</v>
      </c>
      <c r="L1057" s="99" t="str">
        <f>INDEX(Tableau5[Att1],MATCH(Tableau3[[#This Row],[ID-SIG]],Tableau5[ID],0))&amp;""</f>
        <v>Pres</v>
      </c>
      <c r="M1057" s="99" t="str">
        <f>INDEX(Tableau5[Att2],MATCH(Tableau3[[#This Row],[ID-SIG]],Tableau5[ID],0))&amp;""</f>
        <v/>
      </c>
      <c r="N1057" s="99" t="str">
        <f>INDEX(Tableau5[Att3],MATCH(Tableau3[[#This Row],[ID-SIG]],Tableau5[ID],0))&amp;""</f>
        <v/>
      </c>
      <c r="O1057" s="99"/>
      <c r="P1057" s="99" t="str">
        <f>INDEX(Tableau5[Description],MATCH(Tableau3[[#This Row],[ID-SIG]],Tableau5[ID],0))</f>
        <v>Présence sous la barrière (Cellule)</v>
      </c>
      <c r="Q1057" s="99"/>
      <c r="R1057" s="103" t="str">
        <f>Tableau3[[#This Row],[Description]]</f>
        <v>Présence sous la barrière (Cellule)</v>
      </c>
      <c r="U1057" s="87">
        <v>6</v>
      </c>
      <c r="V1057" s="87">
        <v>2</v>
      </c>
      <c r="W1057" s="87">
        <v>8</v>
      </c>
      <c r="X1057" s="87">
        <v>7</v>
      </c>
      <c r="Y1057" s="40"/>
      <c r="Z1057" s="165" t="str">
        <f>INDEX(Tableau2[TS],MATCH(Tableau3[[#This Row],[ID-CARTEVOIE]],Tableau2[ID-CARTEVOIE],0))</f>
        <v>ET</v>
      </c>
      <c r="AA1057" s="53" t="s">
        <v>213</v>
      </c>
      <c r="AB1057" s="223" t="str">
        <f>IFERROR(INDEX(Tableau5[Reserve],MATCH(Tableau3[[#This Row],[ID-SIG]],Tableau5[ID],0))&amp;"","")</f>
        <v/>
      </c>
      <c r="AC1057" s="21"/>
      <c r="AD1057" s="108" t="str">
        <f>INDEX(Tableau7[Repere],MATCH(Tableau3[[#This Row],[ID-API]],Tableau7[ID-API],0))&amp;""</f>
        <v>A6</v>
      </c>
      <c r="AE1057" s="108" t="str">
        <f>INDEX(Tableau1[Repere-Rack],MATCH(Tableau3[[#This Row],[ID-RACK]],Tableau1[ID-RACK],0))&amp;""</f>
        <v>R2</v>
      </c>
      <c r="AF1057" s="108" t="str">
        <f>INDEX(Tableau1[Repere-Slot],MATCH(Tableau3[[#This Row],[ID-SLOT]],Tableau1[ID-SLOT],0))&amp;""</f>
        <v>S8</v>
      </c>
      <c r="AG1057" s="108" t="str">
        <f>INDEX(Tableau2[Repere-Voie],MATCH(Tableau3[[#This Row],[ID-VOIE]],Tableau2[ID-Voie],0))&amp;""</f>
        <v>v7</v>
      </c>
      <c r="AH1057" s="72" t="str">
        <f>Tableau3[[#This Row],[ID-API]]&amp; "." &amp;Tableau3[[#This Row],[ID-RACK]]&amp; "." &amp;Tableau3[[#This Row],[ID-SLOT]]</f>
        <v>6.2.8</v>
      </c>
      <c r="AI1057" s="72" t="str">
        <f>INDEX(Tableau1[Ref-Carte],MATCH(Tableau3[[#This Row],[ID-RRS]],Tableau1[ID-RRS],0))</f>
        <v>SDI1602</v>
      </c>
      <c r="AJ1057" s="72" t="str">
        <f t="array" ref="AJ1057">IFERROR(INDEX(Tableau2[TS],MATCH(1,(Tableau2[Ref-Carte]=Tableau3[[#This Row],[Ref-Carte2]])*(Tableau2[ID-Voie]=Tableau3[[#This Row],[ID-VOIE]]),0)),"")</f>
        <v>ET</v>
      </c>
      <c r="AK1057" s="72" t="str">
        <f>IFERROR(INDEX(Tableau2[TS],SUMPRODUCT((Tableau2[Ref-Carte]=Tableau3[[#This Row],[Ref-Carte2]])*(Tableau2[ID-Voie]=Tableau3[[#This Row],[ID-VOIE]])*ROW(Tableau2[TS]))-ROW(Tableau2[#Headers])),"")</f>
        <v>ET</v>
      </c>
      <c r="AL1057" s="72" t="str">
        <f>Tableau3[[#This Row],[Ref-Carte2]]&amp;"/"&amp;Tableau3[[#This Row],[ID-VOIE]]</f>
        <v>SDI1602/7</v>
      </c>
      <c r="AM1057" s="73" t="str">
        <f>INDEX(Tableau2[Borne],MATCH(Tableau3[[#This Row],[ID-CARTEVOIE]],Tableau2[ID-CARTEVOIE],0))&amp;""</f>
        <v>3A</v>
      </c>
      <c r="AN1057" s="74" t="str">
        <f>Tableau3[[#This Row],[ID-API]]&amp;Tableau3[[#This Row],[ID-RACK]]&amp;Tableau3[[#This Row],[ID-SLOT]]&amp;Tableau3[[#This Row],[BORNE]]</f>
        <v>6283A</v>
      </c>
      <c r="AO1057" s="1"/>
    </row>
    <row r="1058" spans="1:41" ht="20.100000000000001" customHeight="1" thickTop="1" thickBot="1">
      <c r="A1058" s="68"/>
      <c r="B1058" s="69" t="str">
        <f>IFERROR(INDEX(Tableau4[Date],MATCH($A1058,Tableau4[EVO],0)),"")</f>
        <v/>
      </c>
      <c r="C1058" s="68" t="str">
        <f>IFERROR(INDEX(Tableau4[Designation],MATCH($A1058,Tableau4[EVO],0)),"")</f>
        <v/>
      </c>
      <c r="D1058" s="68"/>
      <c r="E1058" s="70">
        <v>76</v>
      </c>
      <c r="F1058" s="71">
        <v>66</v>
      </c>
      <c r="G1058" s="101" t="str">
        <f>INDEX(Tableau8[Att1],MATCH(Tableau3[[#This Row],[ID-INS]],Tableau8[ID],0))&amp;""</f>
        <v>V5</v>
      </c>
      <c r="H1058" s="101" t="str">
        <f>INDEX(Tableau8[Att2],MATCH(Tableau3[[#This Row],[ID-INS]],Tableau8[ID],0))&amp;""</f>
        <v>BH5</v>
      </c>
      <c r="I1058" s="101" t="str">
        <f>INDEX(Tableau8[Att3],MATCH(Tableau3[[#This Row],[ID-INS]],Tableau8[ID],0))&amp;""</f>
        <v>Barrière BH5</v>
      </c>
      <c r="J1058" s="101"/>
      <c r="K1058" s="167" t="str">
        <f>INDEX(Tableau8[Nom du modele],MATCH(Tableau3[[#This Row],[ID-INS]],Tableau8[ID],0))&amp;""</f>
        <v>BarriereLisse</v>
      </c>
      <c r="L1058" s="99" t="str">
        <f>INDEX(Tableau5[Att1],MATCH(Tableau3[[#This Row],[ID-SIG]],Tableau5[ID],0))&amp;""</f>
        <v>Ouv</v>
      </c>
      <c r="M1058" s="99" t="str">
        <f>INDEX(Tableau5[Att2],MATCH(Tableau3[[#This Row],[ID-SIG]],Tableau5[ID],0))&amp;""</f>
        <v/>
      </c>
      <c r="N1058" s="99" t="str">
        <f>INDEX(Tableau5[Att3],MATCH(Tableau3[[#This Row],[ID-SIG]],Tableau5[ID],0))&amp;""</f>
        <v/>
      </c>
      <c r="O1058" s="99"/>
      <c r="P1058" s="99" t="str">
        <f>INDEX(Tableau5[Description],MATCH(Tableau3[[#This Row],[ID-SIG]],Tableau5[ID],0))</f>
        <v>Position ouverte</v>
      </c>
      <c r="Q1058" s="99"/>
      <c r="R1058" s="103" t="str">
        <f>Tableau3[[#This Row],[Description]]</f>
        <v>Position ouverte</v>
      </c>
      <c r="U1058" s="87">
        <v>6</v>
      </c>
      <c r="V1058" s="87">
        <v>2</v>
      </c>
      <c r="W1058" s="87">
        <v>8</v>
      </c>
      <c r="X1058" s="87">
        <v>8</v>
      </c>
      <c r="Y1058" s="40"/>
      <c r="Z1058" s="165" t="str">
        <f>INDEX(Tableau2[TS],MATCH(Tableau3[[#This Row],[ID-CARTEVOIE]],Tableau2[ID-CARTEVOIE],0))</f>
        <v>ET</v>
      </c>
      <c r="AA1058" s="53" t="s">
        <v>213</v>
      </c>
      <c r="AB1058" s="223" t="str">
        <f>IFERROR(INDEX(Tableau5[Reserve],MATCH(Tableau3[[#This Row],[ID-SIG]],Tableau5[ID],0))&amp;"","")</f>
        <v/>
      </c>
      <c r="AC1058" s="21"/>
      <c r="AD1058" s="108" t="str">
        <f>INDEX(Tableau7[Repere],MATCH(Tableau3[[#This Row],[ID-API]],Tableau7[ID-API],0))&amp;""</f>
        <v>A6</v>
      </c>
      <c r="AE1058" s="108" t="str">
        <f>INDEX(Tableau1[Repere-Rack],MATCH(Tableau3[[#This Row],[ID-RACK]],Tableau1[ID-RACK],0))&amp;""</f>
        <v>R2</v>
      </c>
      <c r="AF1058" s="108" t="str">
        <f>INDEX(Tableau1[Repere-Slot],MATCH(Tableau3[[#This Row],[ID-SLOT]],Tableau1[ID-SLOT],0))&amp;""</f>
        <v>S8</v>
      </c>
      <c r="AG1058" s="108" t="str">
        <f>INDEX(Tableau2[Repere-Voie],MATCH(Tableau3[[#This Row],[ID-VOIE]],Tableau2[ID-Voie],0))&amp;""</f>
        <v>v8</v>
      </c>
      <c r="AH1058" s="72" t="str">
        <f>Tableau3[[#This Row],[ID-API]]&amp; "." &amp;Tableau3[[#This Row],[ID-RACK]]&amp; "." &amp;Tableau3[[#This Row],[ID-SLOT]]</f>
        <v>6.2.8</v>
      </c>
      <c r="AI1058" s="72" t="str">
        <f>INDEX(Tableau1[Ref-Carte],MATCH(Tableau3[[#This Row],[ID-RRS]],Tableau1[ID-RRS],0))</f>
        <v>SDI1602</v>
      </c>
      <c r="AJ1058" s="72" t="str">
        <f t="array" ref="AJ1058">IFERROR(INDEX(Tableau2[TS],MATCH(1,(Tableau2[Ref-Carte]=Tableau3[[#This Row],[Ref-Carte2]])*(Tableau2[ID-Voie]=Tableau3[[#This Row],[ID-VOIE]]),0)),"")</f>
        <v>ET</v>
      </c>
      <c r="AK1058" s="72" t="str">
        <f>IFERROR(INDEX(Tableau2[TS],SUMPRODUCT((Tableau2[Ref-Carte]=Tableau3[[#This Row],[Ref-Carte2]])*(Tableau2[ID-Voie]=Tableau3[[#This Row],[ID-VOIE]])*ROW(Tableau2[TS]))-ROW(Tableau2[#Headers])),"")</f>
        <v>ET</v>
      </c>
      <c r="AL1058" s="72" t="str">
        <f>Tableau3[[#This Row],[Ref-Carte2]]&amp;"/"&amp;Tableau3[[#This Row],[ID-VOIE]]</f>
        <v>SDI1602/8</v>
      </c>
      <c r="AM1058" s="73" t="str">
        <f>INDEX(Tableau2[Borne],MATCH(Tableau3[[#This Row],[ID-CARTEVOIE]],Tableau2[ID-CARTEVOIE],0))&amp;""</f>
        <v>4B</v>
      </c>
      <c r="AN1058" s="74" t="str">
        <f>Tableau3[[#This Row],[ID-API]]&amp;Tableau3[[#This Row],[ID-RACK]]&amp;Tableau3[[#This Row],[ID-SLOT]]&amp;Tableau3[[#This Row],[BORNE]]</f>
        <v>6284B</v>
      </c>
      <c r="AO1058" s="1"/>
    </row>
    <row r="1059" spans="1:41" ht="20.100000000000001" customHeight="1" thickTop="1" thickBot="1">
      <c r="A1059" s="68"/>
      <c r="B1059" s="69" t="str">
        <f>IFERROR(INDEX(Tableau4[Date],MATCH($A1059,Tableau4[EVO],0)),"")</f>
        <v/>
      </c>
      <c r="C1059" s="68" t="str">
        <f>IFERROR(INDEX(Tableau4[Designation],MATCH($A1059,Tableau4[EVO],0)),"")</f>
        <v/>
      </c>
      <c r="D1059" s="68"/>
      <c r="E1059" s="70">
        <v>76</v>
      </c>
      <c r="F1059" s="71">
        <v>67</v>
      </c>
      <c r="G1059" s="101" t="str">
        <f>INDEX(Tableau8[Att1],MATCH(Tableau3[[#This Row],[ID-INS]],Tableau8[ID],0))&amp;""</f>
        <v>V5</v>
      </c>
      <c r="H1059" s="101" t="str">
        <f>INDEX(Tableau8[Att2],MATCH(Tableau3[[#This Row],[ID-INS]],Tableau8[ID],0))&amp;""</f>
        <v>BH5</v>
      </c>
      <c r="I1059" s="101" t="str">
        <f>INDEX(Tableau8[Att3],MATCH(Tableau3[[#This Row],[ID-INS]],Tableau8[ID],0))&amp;""</f>
        <v>Barrière BH5</v>
      </c>
      <c r="J1059" s="101"/>
      <c r="K1059" s="167" t="str">
        <f>INDEX(Tableau8[Nom du modele],MATCH(Tableau3[[#This Row],[ID-INS]],Tableau8[ID],0))&amp;""</f>
        <v>BarriereLisse</v>
      </c>
      <c r="L1059" s="99" t="str">
        <f>INDEX(Tableau5[Att1],MATCH(Tableau3[[#This Row],[ID-SIG]],Tableau5[ID],0))&amp;""</f>
        <v>Fer</v>
      </c>
      <c r="M1059" s="99" t="str">
        <f>INDEX(Tableau5[Att2],MATCH(Tableau3[[#This Row],[ID-SIG]],Tableau5[ID],0))&amp;""</f>
        <v/>
      </c>
      <c r="N1059" s="99" t="str">
        <f>INDEX(Tableau5[Att3],MATCH(Tableau3[[#This Row],[ID-SIG]],Tableau5[ID],0))&amp;""</f>
        <v/>
      </c>
      <c r="O1059" s="99"/>
      <c r="P1059" s="99" t="str">
        <f>INDEX(Tableau5[Description],MATCH(Tableau3[[#This Row],[ID-SIG]],Tableau5[ID],0))</f>
        <v>Position fermée</v>
      </c>
      <c r="Q1059" s="99"/>
      <c r="R1059" s="103" t="str">
        <f>Tableau3[[#This Row],[Description]]</f>
        <v>Position fermée</v>
      </c>
      <c r="U1059" s="87">
        <v>6</v>
      </c>
      <c r="V1059" s="87">
        <v>2</v>
      </c>
      <c r="W1059" s="87">
        <v>8</v>
      </c>
      <c r="X1059" s="87">
        <v>9</v>
      </c>
      <c r="Y1059" s="40"/>
      <c r="Z1059" s="165" t="str">
        <f>INDEX(Tableau2[TS],MATCH(Tableau3[[#This Row],[ID-CARTEVOIE]],Tableau2[ID-CARTEVOIE],0))</f>
        <v>ET</v>
      </c>
      <c r="AA1059" s="53" t="s">
        <v>213</v>
      </c>
      <c r="AB1059" s="223" t="str">
        <f>IFERROR(INDEX(Tableau5[Reserve],MATCH(Tableau3[[#This Row],[ID-SIG]],Tableau5[ID],0))&amp;"","")</f>
        <v/>
      </c>
      <c r="AC1059" s="21"/>
      <c r="AD1059" s="108" t="str">
        <f>INDEX(Tableau7[Repere],MATCH(Tableau3[[#This Row],[ID-API]],Tableau7[ID-API],0))&amp;""</f>
        <v>A6</v>
      </c>
      <c r="AE1059" s="108" t="str">
        <f>INDEX(Tableau1[Repere-Rack],MATCH(Tableau3[[#This Row],[ID-RACK]],Tableau1[ID-RACK],0))&amp;""</f>
        <v>R2</v>
      </c>
      <c r="AF1059" s="108" t="str">
        <f>INDEX(Tableau1[Repere-Slot],MATCH(Tableau3[[#This Row],[ID-SLOT]],Tableau1[ID-SLOT],0))&amp;""</f>
        <v>S8</v>
      </c>
      <c r="AG1059" s="108" t="str">
        <f>INDEX(Tableau2[Repere-Voie],MATCH(Tableau3[[#This Row],[ID-VOIE]],Tableau2[ID-Voie],0))&amp;""</f>
        <v>v9</v>
      </c>
      <c r="AH1059" s="72" t="str">
        <f>Tableau3[[#This Row],[ID-API]]&amp; "." &amp;Tableau3[[#This Row],[ID-RACK]]&amp; "." &amp;Tableau3[[#This Row],[ID-SLOT]]</f>
        <v>6.2.8</v>
      </c>
      <c r="AI1059" s="72" t="str">
        <f>INDEX(Tableau1[Ref-Carte],MATCH(Tableau3[[#This Row],[ID-RRS]],Tableau1[ID-RRS],0))</f>
        <v>SDI1602</v>
      </c>
      <c r="AJ1059" s="72" t="str">
        <f t="array" ref="AJ1059">IFERROR(INDEX(Tableau2[TS],MATCH(1,(Tableau2[Ref-Carte]=Tableau3[[#This Row],[Ref-Carte2]])*(Tableau2[ID-Voie]=Tableau3[[#This Row],[ID-VOIE]]),0)),"")</f>
        <v>ET</v>
      </c>
      <c r="AK1059" s="72" t="str">
        <f>IFERROR(INDEX(Tableau2[TS],SUMPRODUCT((Tableau2[Ref-Carte]=Tableau3[[#This Row],[Ref-Carte2]])*(Tableau2[ID-Voie]=Tableau3[[#This Row],[ID-VOIE]])*ROW(Tableau2[TS]))-ROW(Tableau2[#Headers])),"")</f>
        <v>ET</v>
      </c>
      <c r="AL1059" s="72" t="str">
        <f>Tableau3[[#This Row],[Ref-Carte2]]&amp;"/"&amp;Tableau3[[#This Row],[ID-VOIE]]</f>
        <v>SDI1602/9</v>
      </c>
      <c r="AM1059" s="73" t="str">
        <f>INDEX(Tableau2[Borne],MATCH(Tableau3[[#This Row],[ID-CARTEVOIE]],Tableau2[ID-CARTEVOIE],0))&amp;""</f>
        <v>4A</v>
      </c>
      <c r="AN1059" s="74" t="str">
        <f>Tableau3[[#This Row],[ID-API]]&amp;Tableau3[[#This Row],[ID-RACK]]&amp;Tableau3[[#This Row],[ID-SLOT]]&amp;Tableau3[[#This Row],[BORNE]]</f>
        <v>6284A</v>
      </c>
      <c r="AO1059" s="1"/>
    </row>
    <row r="1060" spans="1:41" ht="20.100000000000001" customHeight="1" thickTop="1" thickBot="1">
      <c r="A1060" s="68"/>
      <c r="B1060" s="69" t="str">
        <f>IFERROR(INDEX(Tableau4[Date],MATCH($A1060,Tableau4[EVO],0)),"")</f>
        <v/>
      </c>
      <c r="C1060" s="68" t="str">
        <f>IFERROR(INDEX(Tableau4[Designation],MATCH($A1060,Tableau4[EVO],0)),"")</f>
        <v/>
      </c>
      <c r="D1060" s="68"/>
      <c r="E1060" s="70">
        <v>76</v>
      </c>
      <c r="F1060" s="71">
        <v>68</v>
      </c>
      <c r="G1060" s="101" t="str">
        <f>INDEX(Tableau8[Att1],MATCH(Tableau3[[#This Row],[ID-INS]],Tableau8[ID],0))&amp;""</f>
        <v>V5</v>
      </c>
      <c r="H1060" s="101" t="str">
        <f>INDEX(Tableau8[Att2],MATCH(Tableau3[[#This Row],[ID-INS]],Tableau8[ID],0))&amp;""</f>
        <v>BH5</v>
      </c>
      <c r="I1060" s="101" t="str">
        <f>INDEX(Tableau8[Att3],MATCH(Tableau3[[#This Row],[ID-INS]],Tableau8[ID],0))&amp;""</f>
        <v>Barrière BH5</v>
      </c>
      <c r="J1060" s="101"/>
      <c r="K1060" s="167" t="str">
        <f>INDEX(Tableau8[Nom du modele],MATCH(Tableau3[[#This Row],[ID-INS]],Tableau8[ID],0))&amp;""</f>
        <v>BarriereLisse</v>
      </c>
      <c r="L1060" s="99" t="str">
        <f>INDEX(Tableau5[Att1],MATCH(Tableau3[[#This Row],[ID-SIG]],Tableau5[ID],0))&amp;""</f>
        <v>SynthDef</v>
      </c>
      <c r="M1060" s="99" t="str">
        <f>INDEX(Tableau5[Att2],MATCH(Tableau3[[#This Row],[ID-SIG]],Tableau5[ID],0))&amp;""</f>
        <v/>
      </c>
      <c r="N1060" s="99" t="str">
        <f>INDEX(Tableau5[Att3],MATCH(Tableau3[[#This Row],[ID-SIG]],Tableau5[ID],0))&amp;""</f>
        <v/>
      </c>
      <c r="O1060" s="99"/>
      <c r="P1060" s="99" t="str">
        <f>INDEX(Tableau5[Description],MATCH(Tableau3[[#This Row],[ID-SIG]],Tableau5[ID],0))</f>
        <v>Synthèse défaut</v>
      </c>
      <c r="Q1060" s="99"/>
      <c r="R1060" s="103" t="str">
        <f>Tableau3[[#This Row],[Description]]</f>
        <v>Synthèse défaut</v>
      </c>
      <c r="U1060" s="87">
        <v>6</v>
      </c>
      <c r="V1060" s="87">
        <v>2</v>
      </c>
      <c r="W1060" s="87">
        <v>8</v>
      </c>
      <c r="X1060" s="87">
        <v>10</v>
      </c>
      <c r="Y1060" s="40"/>
      <c r="Z1060" s="165" t="str">
        <f>INDEX(Tableau2[TS],MATCH(Tableau3[[#This Row],[ID-CARTEVOIE]],Tableau2[ID-CARTEVOIE],0))</f>
        <v>ET</v>
      </c>
      <c r="AA1060" s="53" t="s">
        <v>213</v>
      </c>
      <c r="AB1060" s="223" t="str">
        <f>IFERROR(INDEX(Tableau5[Reserve],MATCH(Tableau3[[#This Row],[ID-SIG]],Tableau5[ID],0))&amp;"","")</f>
        <v/>
      </c>
      <c r="AC1060" s="21"/>
      <c r="AD1060" s="108" t="str">
        <f>INDEX(Tableau7[Repere],MATCH(Tableau3[[#This Row],[ID-API]],Tableau7[ID-API],0))&amp;""</f>
        <v>A6</v>
      </c>
      <c r="AE1060" s="108" t="str">
        <f>INDEX(Tableau1[Repere-Rack],MATCH(Tableau3[[#This Row],[ID-RACK]],Tableau1[ID-RACK],0))&amp;""</f>
        <v>R2</v>
      </c>
      <c r="AF1060" s="108" t="str">
        <f>INDEX(Tableau1[Repere-Slot],MATCH(Tableau3[[#This Row],[ID-SLOT]],Tableau1[ID-SLOT],0))&amp;""</f>
        <v>S8</v>
      </c>
      <c r="AG1060" s="108" t="str">
        <f>INDEX(Tableau2[Repere-Voie],MATCH(Tableau3[[#This Row],[ID-VOIE]],Tableau2[ID-Voie],0))&amp;""</f>
        <v>v10</v>
      </c>
      <c r="AH1060" s="72" t="str">
        <f>Tableau3[[#This Row],[ID-API]]&amp; "." &amp;Tableau3[[#This Row],[ID-RACK]]&amp; "." &amp;Tableau3[[#This Row],[ID-SLOT]]</f>
        <v>6.2.8</v>
      </c>
      <c r="AI1060" s="72" t="str">
        <f>INDEX(Tableau1[Ref-Carte],MATCH(Tableau3[[#This Row],[ID-RRS]],Tableau1[ID-RRS],0))</f>
        <v>SDI1602</v>
      </c>
      <c r="AJ1060" s="72" t="str">
        <f t="array" ref="AJ1060">IFERROR(INDEX(Tableau2[TS],MATCH(1,(Tableau2[Ref-Carte]=Tableau3[[#This Row],[Ref-Carte2]])*(Tableau2[ID-Voie]=Tableau3[[#This Row],[ID-VOIE]]),0)),"")</f>
        <v>ET</v>
      </c>
      <c r="AK1060" s="72" t="str">
        <f>IFERROR(INDEX(Tableau2[TS],SUMPRODUCT((Tableau2[Ref-Carte]=Tableau3[[#This Row],[Ref-Carte2]])*(Tableau2[ID-Voie]=Tableau3[[#This Row],[ID-VOIE]])*ROW(Tableau2[TS]))-ROW(Tableau2[#Headers])),"")</f>
        <v>ET</v>
      </c>
      <c r="AL1060" s="72" t="str">
        <f>Tableau3[[#This Row],[Ref-Carte2]]&amp;"/"&amp;Tableau3[[#This Row],[ID-VOIE]]</f>
        <v>SDI1602/10</v>
      </c>
      <c r="AM1060" s="73" t="str">
        <f>INDEX(Tableau2[Borne],MATCH(Tableau3[[#This Row],[ID-CARTEVOIE]],Tableau2[ID-CARTEVOIE],0))&amp;""</f>
        <v>5B</v>
      </c>
      <c r="AN1060" s="74" t="str">
        <f>Tableau3[[#This Row],[ID-API]]&amp;Tableau3[[#This Row],[ID-RACK]]&amp;Tableau3[[#This Row],[ID-SLOT]]&amp;Tableau3[[#This Row],[BORNE]]</f>
        <v>6285B</v>
      </c>
      <c r="AO1060" s="1"/>
    </row>
    <row r="1061" spans="1:41" ht="20.100000000000001" customHeight="1" thickTop="1" thickBot="1">
      <c r="A1061" s="68"/>
      <c r="B1061" s="69" t="str">
        <f>IFERROR(INDEX(Tableau4[Date],MATCH($A1061,Tableau4[EVO],0)),"")</f>
        <v/>
      </c>
      <c r="C1061" s="68" t="str">
        <f>IFERROR(INDEX(Tableau4[Designation],MATCH($A1061,Tableau4[EVO],0)),"")</f>
        <v/>
      </c>
      <c r="D1061" s="68"/>
      <c r="E1061" s="70">
        <v>76</v>
      </c>
      <c r="F1061" s="71">
        <v>69</v>
      </c>
      <c r="G1061" s="101" t="str">
        <f>INDEX(Tableau8[Att1],MATCH(Tableau3[[#This Row],[ID-INS]],Tableau8[ID],0))&amp;""</f>
        <v>V5</v>
      </c>
      <c r="H1061" s="101" t="str">
        <f>INDEX(Tableau8[Att2],MATCH(Tableau3[[#This Row],[ID-INS]],Tableau8[ID],0))&amp;""</f>
        <v>BH5</v>
      </c>
      <c r="I1061" s="101" t="str">
        <f>INDEX(Tableau8[Att3],MATCH(Tableau3[[#This Row],[ID-INS]],Tableau8[ID],0))&amp;""</f>
        <v>Barrière BH5</v>
      </c>
      <c r="J1061" s="101"/>
      <c r="K1061" s="167" t="str">
        <f>INDEX(Tableau8[Nom du modele],MATCH(Tableau3[[#This Row],[ID-INS]],Tableau8[ID],0))&amp;""</f>
        <v>BarriereLisse</v>
      </c>
      <c r="L1061" s="99" t="str">
        <f>INDEX(Tableau5[Att1],MATCH(Tableau3[[#This Row],[ID-SIG]],Tableau5[ID],0))&amp;""</f>
        <v>Effraction</v>
      </c>
      <c r="M1061" s="99" t="str">
        <f>INDEX(Tableau5[Att2],MATCH(Tableau3[[#This Row],[ID-SIG]],Tableau5[ID],0))&amp;""</f>
        <v/>
      </c>
      <c r="N1061" s="99" t="str">
        <f>INDEX(Tableau5[Att3],MATCH(Tableau3[[#This Row],[ID-SIG]],Tableau5[ID],0))&amp;""</f>
        <v/>
      </c>
      <c r="O1061" s="99"/>
      <c r="P1061" s="99" t="str">
        <f>INDEX(Tableau5[Description],MATCH(Tableau3[[#This Row],[ID-SIG]],Tableau5[ID],0))</f>
        <v>Effraction</v>
      </c>
      <c r="Q1061" s="99"/>
      <c r="R1061" s="103" t="str">
        <f>Tableau3[[#This Row],[Description]]</f>
        <v>Effraction</v>
      </c>
      <c r="U1061" s="87">
        <v>6</v>
      </c>
      <c r="V1061" s="87">
        <v>2</v>
      </c>
      <c r="W1061" s="87">
        <v>8</v>
      </c>
      <c r="X1061" s="87">
        <v>11</v>
      </c>
      <c r="Y1061" s="40"/>
      <c r="Z1061" s="165" t="str">
        <f>INDEX(Tableau2[TS],MATCH(Tableau3[[#This Row],[ID-CARTEVOIE]],Tableau2[ID-CARTEVOIE],0))</f>
        <v>ET</v>
      </c>
      <c r="AA1061" s="53" t="s">
        <v>213</v>
      </c>
      <c r="AB1061" s="223" t="str">
        <f>IFERROR(INDEX(Tableau5[Reserve],MATCH(Tableau3[[#This Row],[ID-SIG]],Tableau5[ID],0))&amp;"","")</f>
        <v/>
      </c>
      <c r="AC1061" s="21"/>
      <c r="AD1061" s="108" t="str">
        <f>INDEX(Tableau7[Repere],MATCH(Tableau3[[#This Row],[ID-API]],Tableau7[ID-API],0))&amp;""</f>
        <v>A6</v>
      </c>
      <c r="AE1061" s="108" t="str">
        <f>INDEX(Tableau1[Repere-Rack],MATCH(Tableau3[[#This Row],[ID-RACK]],Tableau1[ID-RACK],0))&amp;""</f>
        <v>R2</v>
      </c>
      <c r="AF1061" s="108" t="str">
        <f>INDEX(Tableau1[Repere-Slot],MATCH(Tableau3[[#This Row],[ID-SLOT]],Tableau1[ID-SLOT],0))&amp;""</f>
        <v>S8</v>
      </c>
      <c r="AG1061" s="108" t="str">
        <f>INDEX(Tableau2[Repere-Voie],MATCH(Tableau3[[#This Row],[ID-VOIE]],Tableau2[ID-Voie],0))&amp;""</f>
        <v>v11</v>
      </c>
      <c r="AH1061" s="72" t="str">
        <f>Tableau3[[#This Row],[ID-API]]&amp; "." &amp;Tableau3[[#This Row],[ID-RACK]]&amp; "." &amp;Tableau3[[#This Row],[ID-SLOT]]</f>
        <v>6.2.8</v>
      </c>
      <c r="AI1061" s="72" t="str">
        <f>INDEX(Tableau1[Ref-Carte],MATCH(Tableau3[[#This Row],[ID-RRS]],Tableau1[ID-RRS],0))</f>
        <v>SDI1602</v>
      </c>
      <c r="AJ1061" s="72" t="str">
        <f t="array" ref="AJ1061">IFERROR(INDEX(Tableau2[TS],MATCH(1,(Tableau2[Ref-Carte]=Tableau3[[#This Row],[Ref-Carte2]])*(Tableau2[ID-Voie]=Tableau3[[#This Row],[ID-VOIE]]),0)),"")</f>
        <v>ET</v>
      </c>
      <c r="AK1061" s="72" t="str">
        <f>IFERROR(INDEX(Tableau2[TS],SUMPRODUCT((Tableau2[Ref-Carte]=Tableau3[[#This Row],[Ref-Carte2]])*(Tableau2[ID-Voie]=Tableau3[[#This Row],[ID-VOIE]])*ROW(Tableau2[TS]))-ROW(Tableau2[#Headers])),"")</f>
        <v>ET</v>
      </c>
      <c r="AL1061" s="72" t="str">
        <f>Tableau3[[#This Row],[Ref-Carte2]]&amp;"/"&amp;Tableau3[[#This Row],[ID-VOIE]]</f>
        <v>SDI1602/11</v>
      </c>
      <c r="AM1061" s="73" t="str">
        <f>INDEX(Tableau2[Borne],MATCH(Tableau3[[#This Row],[ID-CARTEVOIE]],Tableau2[ID-CARTEVOIE],0))&amp;""</f>
        <v>5A</v>
      </c>
      <c r="AN1061" s="74" t="str">
        <f>Tableau3[[#This Row],[ID-API]]&amp;Tableau3[[#This Row],[ID-RACK]]&amp;Tableau3[[#This Row],[ID-SLOT]]&amp;Tableau3[[#This Row],[BORNE]]</f>
        <v>6285A</v>
      </c>
      <c r="AO1061" s="1"/>
    </row>
    <row r="1062" spans="1:41" ht="20.100000000000001" customHeight="1" thickTop="1" thickBot="1">
      <c r="A1062" s="68"/>
      <c r="B1062" s="69" t="str">
        <f>IFERROR(INDEX(Tableau4[Date],MATCH($A1062,Tableau4[EVO],0)),"")</f>
        <v/>
      </c>
      <c r="C1062" s="68" t="str">
        <f>IFERROR(INDEX(Tableau4[Designation],MATCH($A1062,Tableau4[EVO],0)),"")</f>
        <v/>
      </c>
      <c r="D1062" s="68"/>
      <c r="E1062" s="70">
        <v>76</v>
      </c>
      <c r="F1062" s="71">
        <v>70</v>
      </c>
      <c r="G1062" s="101" t="str">
        <f>INDEX(Tableau8[Att1],MATCH(Tableau3[[#This Row],[ID-INS]],Tableau8[ID],0))&amp;""</f>
        <v>V5</v>
      </c>
      <c r="H1062" s="101" t="str">
        <f>INDEX(Tableau8[Att2],MATCH(Tableau3[[#This Row],[ID-INS]],Tableau8[ID],0))&amp;""</f>
        <v>BH5</v>
      </c>
      <c r="I1062" s="101" t="str">
        <f>INDEX(Tableau8[Att3],MATCH(Tableau3[[#This Row],[ID-INS]],Tableau8[ID],0))&amp;""</f>
        <v>Barrière BH5</v>
      </c>
      <c r="J1062" s="101"/>
      <c r="K1062" s="167" t="str">
        <f>INDEX(Tableau8[Nom du modele],MATCH(Tableau3[[#This Row],[ID-INS]],Tableau8[ID],0))&amp;""</f>
        <v>BarriereLisse</v>
      </c>
      <c r="L1062" s="99" t="str">
        <f>INDEX(Tableau5[Att1],MATCH(Tableau3[[#This Row],[ID-SIG]],Tableau5[ID],0))&amp;""</f>
        <v>Pres</v>
      </c>
      <c r="M1062" s="99" t="str">
        <f>INDEX(Tableau5[Att2],MATCH(Tableau3[[#This Row],[ID-SIG]],Tableau5[ID],0))&amp;""</f>
        <v/>
      </c>
      <c r="N1062" s="99" t="str">
        <f>INDEX(Tableau5[Att3],MATCH(Tableau3[[#This Row],[ID-SIG]],Tableau5[ID],0))&amp;""</f>
        <v/>
      </c>
      <c r="O1062" s="99"/>
      <c r="P1062" s="99" t="str">
        <f>INDEX(Tableau5[Description],MATCH(Tableau3[[#This Row],[ID-SIG]],Tableau5[ID],0))</f>
        <v>Présence sous la barrière (Cellule)</v>
      </c>
      <c r="Q1062" s="99"/>
      <c r="R1062" s="103" t="str">
        <f>Tableau3[[#This Row],[Description]]</f>
        <v>Présence sous la barrière (Cellule)</v>
      </c>
      <c r="U1062" s="87">
        <v>6</v>
      </c>
      <c r="V1062" s="87">
        <v>2</v>
      </c>
      <c r="W1062" s="87">
        <v>8</v>
      </c>
      <c r="X1062" s="87">
        <v>12</v>
      </c>
      <c r="Y1062" s="40"/>
      <c r="Z1062" s="165" t="str">
        <f>INDEX(Tableau2[TS],MATCH(Tableau3[[#This Row],[ID-CARTEVOIE]],Tableau2[ID-CARTEVOIE],0))</f>
        <v>ET</v>
      </c>
      <c r="AA1062" s="53" t="s">
        <v>213</v>
      </c>
      <c r="AB1062" s="223" t="str">
        <f>IFERROR(INDEX(Tableau5[Reserve],MATCH(Tableau3[[#This Row],[ID-SIG]],Tableau5[ID],0))&amp;"","")</f>
        <v/>
      </c>
      <c r="AC1062" s="21"/>
      <c r="AD1062" s="108" t="str">
        <f>INDEX(Tableau7[Repere],MATCH(Tableau3[[#This Row],[ID-API]],Tableau7[ID-API],0))&amp;""</f>
        <v>A6</v>
      </c>
      <c r="AE1062" s="108" t="str">
        <f>INDEX(Tableau1[Repere-Rack],MATCH(Tableau3[[#This Row],[ID-RACK]],Tableau1[ID-RACK],0))&amp;""</f>
        <v>R2</v>
      </c>
      <c r="AF1062" s="108" t="str">
        <f>INDEX(Tableau1[Repere-Slot],MATCH(Tableau3[[#This Row],[ID-SLOT]],Tableau1[ID-SLOT],0))&amp;""</f>
        <v>S8</v>
      </c>
      <c r="AG1062" s="108" t="str">
        <f>INDEX(Tableau2[Repere-Voie],MATCH(Tableau3[[#This Row],[ID-VOIE]],Tableau2[ID-Voie],0))&amp;""</f>
        <v>v12</v>
      </c>
      <c r="AH1062" s="72" t="str">
        <f>Tableau3[[#This Row],[ID-API]]&amp; "." &amp;Tableau3[[#This Row],[ID-RACK]]&amp; "." &amp;Tableau3[[#This Row],[ID-SLOT]]</f>
        <v>6.2.8</v>
      </c>
      <c r="AI1062" s="72" t="str">
        <f>INDEX(Tableau1[Ref-Carte],MATCH(Tableau3[[#This Row],[ID-RRS]],Tableau1[ID-RRS],0))</f>
        <v>SDI1602</v>
      </c>
      <c r="AJ1062" s="72" t="str">
        <f t="array" ref="AJ1062">IFERROR(INDEX(Tableau2[TS],MATCH(1,(Tableau2[Ref-Carte]=Tableau3[[#This Row],[Ref-Carte2]])*(Tableau2[ID-Voie]=Tableau3[[#This Row],[ID-VOIE]]),0)),"")</f>
        <v>ET</v>
      </c>
      <c r="AK1062" s="72" t="str">
        <f>IFERROR(INDEX(Tableau2[TS],SUMPRODUCT((Tableau2[Ref-Carte]=Tableau3[[#This Row],[Ref-Carte2]])*(Tableau2[ID-Voie]=Tableau3[[#This Row],[ID-VOIE]])*ROW(Tableau2[TS]))-ROW(Tableau2[#Headers])),"")</f>
        <v>ET</v>
      </c>
      <c r="AL1062" s="72" t="str">
        <f>Tableau3[[#This Row],[Ref-Carte2]]&amp;"/"&amp;Tableau3[[#This Row],[ID-VOIE]]</f>
        <v>SDI1602/12</v>
      </c>
      <c r="AM1062" s="73" t="str">
        <f>INDEX(Tableau2[Borne],MATCH(Tableau3[[#This Row],[ID-CARTEVOIE]],Tableau2[ID-CARTEVOIE],0))&amp;""</f>
        <v>6B</v>
      </c>
      <c r="AN1062" s="74" t="str">
        <f>Tableau3[[#This Row],[ID-API]]&amp;Tableau3[[#This Row],[ID-RACK]]&amp;Tableau3[[#This Row],[ID-SLOT]]&amp;Tableau3[[#This Row],[BORNE]]</f>
        <v>6286B</v>
      </c>
      <c r="AO1062" s="1"/>
    </row>
    <row r="1063" spans="1:41" ht="20.100000000000001" customHeight="1" thickTop="1" thickBot="1">
      <c r="A1063" s="68"/>
      <c r="B1063" s="69" t="str">
        <f>IFERROR(INDEX(Tableau4[Date],MATCH($A1063,Tableau4[EVO],0)),"")</f>
        <v/>
      </c>
      <c r="C1063" s="68" t="str">
        <f>IFERROR(INDEX(Tableau4[Designation],MATCH($A1063,Tableau4[EVO],0)),"")</f>
        <v/>
      </c>
      <c r="D1063" s="68"/>
      <c r="E1063" s="70">
        <v>93</v>
      </c>
      <c r="F1063" s="71">
        <v>319</v>
      </c>
      <c r="G1063" s="101" t="str">
        <f>INDEX(Tableau8[Att1],MATCH(Tableau3[[#This Row],[ID-INS]],Tableau8[ID],0))&amp;""</f>
        <v>V5</v>
      </c>
      <c r="H1063" s="101" t="str">
        <f>INDEX(Tableau8[Att2],MATCH(Tableau3[[#This Row],[ID-INS]],Tableau8[ID],0))&amp;""</f>
        <v>F13</v>
      </c>
      <c r="I1063" s="101" t="str">
        <f>INDEX(Tableau8[Att3],MATCH(Tableau3[[#This Row],[ID-INS]],Tableau8[ID],0))&amp;""</f>
        <v>Feu F13</v>
      </c>
      <c r="J1063" s="101"/>
      <c r="K1063" s="167" t="str">
        <f>INDEX(Tableau8[Nom du modele],MATCH(Tableau3[[#This Row],[ID-INS]],Tableau8[ID],0))&amp;""</f>
        <v>FeuContrAleaVLPL1</v>
      </c>
      <c r="L1063" s="155" t="s">
        <v>1685</v>
      </c>
      <c r="M1063" s="99" t="str">
        <f>INDEX(Tableau5[Att2],MATCH(Tableau3[[#This Row],[ID-SIG]],Tableau5[ID],0))&amp;""</f>
        <v/>
      </c>
      <c r="N1063" s="99" t="str">
        <f>INDEX(Tableau5[Att3],MATCH(Tableau3[[#This Row],[ID-SIG]],Tableau5[ID],0))&amp;""</f>
        <v/>
      </c>
      <c r="O1063" s="99"/>
      <c r="P1063" s="155" t="s">
        <v>1776</v>
      </c>
      <c r="Q1063" s="99"/>
      <c r="R1063" s="103" t="str">
        <f>Tableau3[[#This Row],[Description]]</f>
        <v>Feu F13 - Réserve</v>
      </c>
      <c r="U1063" s="87">
        <v>6</v>
      </c>
      <c r="V1063" s="87">
        <v>2</v>
      </c>
      <c r="W1063" s="87">
        <v>8</v>
      </c>
      <c r="X1063" s="87">
        <v>13</v>
      </c>
      <c r="Y1063" s="40"/>
      <c r="Z1063" s="165" t="str">
        <f>INDEX(Tableau2[TS],MATCH(Tableau3[[#This Row],[ID-CARTEVOIE]],Tableau2[ID-CARTEVOIE],0))</f>
        <v>ET</v>
      </c>
      <c r="AA1063" s="53" t="s">
        <v>213</v>
      </c>
      <c r="AB1063" s="223" t="str">
        <f>IFERROR(INDEX(Tableau5[Reserve],MATCH(Tableau3[[#This Row],[ID-SIG]],Tableau5[ID],0))&amp;"","")</f>
        <v/>
      </c>
      <c r="AC1063" s="21"/>
      <c r="AD1063" s="108" t="str">
        <f>INDEX(Tableau7[Repere],MATCH(Tableau3[[#This Row],[ID-API]],Tableau7[ID-API],0))&amp;""</f>
        <v>A6</v>
      </c>
      <c r="AE1063" s="108" t="str">
        <f>INDEX(Tableau1[Repere-Rack],MATCH(Tableau3[[#This Row],[ID-RACK]],Tableau1[ID-RACK],0))&amp;""</f>
        <v>R2</v>
      </c>
      <c r="AF1063" s="108" t="str">
        <f>INDEX(Tableau1[Repere-Slot],MATCH(Tableau3[[#This Row],[ID-SLOT]],Tableau1[ID-SLOT],0))&amp;""</f>
        <v>S8</v>
      </c>
      <c r="AG1063" s="108" t="str">
        <f>INDEX(Tableau2[Repere-Voie],MATCH(Tableau3[[#This Row],[ID-VOIE]],Tableau2[ID-Voie],0))&amp;""</f>
        <v>v13</v>
      </c>
      <c r="AH1063" s="72" t="str">
        <f>Tableau3[[#This Row],[ID-API]]&amp; "." &amp;Tableau3[[#This Row],[ID-RACK]]&amp; "." &amp;Tableau3[[#This Row],[ID-SLOT]]</f>
        <v>6.2.8</v>
      </c>
      <c r="AI1063" s="72" t="str">
        <f>INDEX(Tableau1[Ref-Carte],MATCH(Tableau3[[#This Row],[ID-RRS]],Tableau1[ID-RRS],0))</f>
        <v>SDI1602</v>
      </c>
      <c r="AJ1063" s="72" t="str">
        <f t="array" ref="AJ1063">IFERROR(INDEX(Tableau2[TS],MATCH(1,(Tableau2[Ref-Carte]=Tableau3[[#This Row],[Ref-Carte2]])*(Tableau2[ID-Voie]=Tableau3[[#This Row],[ID-VOIE]]),0)),"")</f>
        <v>ET</v>
      </c>
      <c r="AK1063" s="72" t="str">
        <f>IFERROR(INDEX(Tableau2[TS],SUMPRODUCT((Tableau2[Ref-Carte]=Tableau3[[#This Row],[Ref-Carte2]])*(Tableau2[ID-Voie]=Tableau3[[#This Row],[ID-VOIE]])*ROW(Tableau2[TS]))-ROW(Tableau2[#Headers])),"")</f>
        <v>ET</v>
      </c>
      <c r="AL1063" s="72" t="str">
        <f>Tableau3[[#This Row],[Ref-Carte2]]&amp;"/"&amp;Tableau3[[#This Row],[ID-VOIE]]</f>
        <v>SDI1602/13</v>
      </c>
      <c r="AM1063" s="73" t="str">
        <f>INDEX(Tableau2[Borne],MATCH(Tableau3[[#This Row],[ID-CARTEVOIE]],Tableau2[ID-CARTEVOIE],0))&amp;""</f>
        <v>6A</v>
      </c>
      <c r="AN1063" s="74" t="str">
        <f>Tableau3[[#This Row],[ID-API]]&amp;Tableau3[[#This Row],[ID-RACK]]&amp;Tableau3[[#This Row],[ID-SLOT]]&amp;Tableau3[[#This Row],[BORNE]]</f>
        <v>6286A</v>
      </c>
      <c r="AO1063" s="1"/>
    </row>
    <row r="1064" spans="1:41" ht="20.100000000000001" customHeight="1" thickTop="1" thickBot="1">
      <c r="A1064" s="68"/>
      <c r="B1064" s="69" t="str">
        <f>IFERROR(INDEX(Tableau4[Date],MATCH($A1064,Tableau4[EVO],0)),"")</f>
        <v/>
      </c>
      <c r="C1064" s="68" t="str">
        <f>IFERROR(INDEX(Tableau4[Designation],MATCH($A1064,Tableau4[EVO],0)),"")</f>
        <v/>
      </c>
      <c r="D1064" s="68"/>
      <c r="E1064" s="70">
        <v>93</v>
      </c>
      <c r="F1064" s="71">
        <v>320</v>
      </c>
      <c r="G1064" s="101" t="str">
        <f>INDEX(Tableau8[Att1],MATCH(Tableau3[[#This Row],[ID-INS]],Tableau8[ID],0))&amp;""</f>
        <v>V5</v>
      </c>
      <c r="H1064" s="101" t="str">
        <f>INDEX(Tableau8[Att2],MATCH(Tableau3[[#This Row],[ID-INS]],Tableau8[ID],0))&amp;""</f>
        <v>F13</v>
      </c>
      <c r="I1064" s="101" t="str">
        <f>INDEX(Tableau8[Att3],MATCH(Tableau3[[#This Row],[ID-INS]],Tableau8[ID],0))&amp;""</f>
        <v>Feu F13</v>
      </c>
      <c r="J1064" s="101"/>
      <c r="K1064" s="167" t="str">
        <f>INDEX(Tableau8[Nom du modele],MATCH(Tableau3[[#This Row],[ID-INS]],Tableau8[ID],0))&amp;""</f>
        <v>FeuContrAleaVLPL1</v>
      </c>
      <c r="L1064" s="155" t="s">
        <v>1681</v>
      </c>
      <c r="M1064" s="99" t="str">
        <f>INDEX(Tableau5[Att2],MATCH(Tableau3[[#This Row],[ID-SIG]],Tableau5[ID],0))&amp;""</f>
        <v/>
      </c>
      <c r="N1064" s="99" t="str">
        <f>INDEX(Tableau5[Att3],MATCH(Tableau3[[#This Row],[ID-SIG]],Tableau5[ID],0))&amp;""</f>
        <v/>
      </c>
      <c r="O1064" s="99"/>
      <c r="P1064" s="155" t="s">
        <v>1776</v>
      </c>
      <c r="Q1064" s="99"/>
      <c r="R1064" s="103" t="str">
        <f>Tableau3[[#This Row],[Description]]</f>
        <v>Feu F13 - Réserve</v>
      </c>
      <c r="U1064" s="87">
        <v>6</v>
      </c>
      <c r="V1064" s="87">
        <v>2</v>
      </c>
      <c r="W1064" s="87">
        <v>8</v>
      </c>
      <c r="X1064" s="87">
        <v>14</v>
      </c>
      <c r="Y1064" s="40"/>
      <c r="Z1064" s="165" t="str">
        <f>INDEX(Tableau2[TS],MATCH(Tableau3[[#This Row],[ID-CARTEVOIE]],Tableau2[ID-CARTEVOIE],0))</f>
        <v>ET</v>
      </c>
      <c r="AA1064" s="53" t="s">
        <v>213</v>
      </c>
      <c r="AB1064" s="223" t="str">
        <f>IFERROR(INDEX(Tableau5[Reserve],MATCH(Tableau3[[#This Row],[ID-SIG]],Tableau5[ID],0))&amp;"","")</f>
        <v/>
      </c>
      <c r="AC1064" s="21"/>
      <c r="AD1064" s="108" t="str">
        <f>INDEX(Tableau7[Repere],MATCH(Tableau3[[#This Row],[ID-API]],Tableau7[ID-API],0))&amp;""</f>
        <v>A6</v>
      </c>
      <c r="AE1064" s="108" t="str">
        <f>INDEX(Tableau1[Repere-Rack],MATCH(Tableau3[[#This Row],[ID-RACK]],Tableau1[ID-RACK],0))&amp;""</f>
        <v>R2</v>
      </c>
      <c r="AF1064" s="108" t="str">
        <f>INDEX(Tableau1[Repere-Slot],MATCH(Tableau3[[#This Row],[ID-SLOT]],Tableau1[ID-SLOT],0))&amp;""</f>
        <v>S8</v>
      </c>
      <c r="AG1064" s="108" t="str">
        <f>INDEX(Tableau2[Repere-Voie],MATCH(Tableau3[[#This Row],[ID-VOIE]],Tableau2[ID-Voie],0))&amp;""</f>
        <v>v14</v>
      </c>
      <c r="AH1064" s="72" t="str">
        <f>Tableau3[[#This Row],[ID-API]]&amp; "." &amp;Tableau3[[#This Row],[ID-RACK]]&amp; "." &amp;Tableau3[[#This Row],[ID-SLOT]]</f>
        <v>6.2.8</v>
      </c>
      <c r="AI1064" s="72" t="str">
        <f>INDEX(Tableau1[Ref-Carte],MATCH(Tableau3[[#This Row],[ID-RRS]],Tableau1[ID-RRS],0))</f>
        <v>SDI1602</v>
      </c>
      <c r="AJ1064" s="72" t="str">
        <f t="array" ref="AJ1064">IFERROR(INDEX(Tableau2[TS],MATCH(1,(Tableau2[Ref-Carte]=Tableau3[[#This Row],[Ref-Carte2]])*(Tableau2[ID-Voie]=Tableau3[[#This Row],[ID-VOIE]]),0)),"")</f>
        <v>ET</v>
      </c>
      <c r="AK1064" s="72" t="str">
        <f>IFERROR(INDEX(Tableau2[TS],SUMPRODUCT((Tableau2[Ref-Carte]=Tableau3[[#This Row],[Ref-Carte2]])*(Tableau2[ID-Voie]=Tableau3[[#This Row],[ID-VOIE]])*ROW(Tableau2[TS]))-ROW(Tableau2[#Headers])),"")</f>
        <v>ET</v>
      </c>
      <c r="AL1064" s="72" t="str">
        <f>Tableau3[[#This Row],[Ref-Carte2]]&amp;"/"&amp;Tableau3[[#This Row],[ID-VOIE]]</f>
        <v>SDI1602/14</v>
      </c>
      <c r="AM1064" s="73" t="str">
        <f>INDEX(Tableau2[Borne],MATCH(Tableau3[[#This Row],[ID-CARTEVOIE]],Tableau2[ID-CARTEVOIE],0))&amp;""</f>
        <v>7B</v>
      </c>
      <c r="AN1064" s="74" t="str">
        <f>Tableau3[[#This Row],[ID-API]]&amp;Tableau3[[#This Row],[ID-RACK]]&amp;Tableau3[[#This Row],[ID-SLOT]]&amp;Tableau3[[#This Row],[BORNE]]</f>
        <v>6287B</v>
      </c>
      <c r="AO1064" s="1"/>
    </row>
    <row r="1065" spans="1:41" ht="20.100000000000001" customHeight="1" thickTop="1" thickBot="1">
      <c r="A1065" s="68"/>
      <c r="B1065" s="69" t="str">
        <f>IFERROR(INDEX(Tableau4[Date],MATCH($A1065,Tableau4[EVO],0)),"")</f>
        <v/>
      </c>
      <c r="C1065" s="68" t="str">
        <f>IFERROR(INDEX(Tableau4[Designation],MATCH($A1065,Tableau4[EVO],0)),"")</f>
        <v/>
      </c>
      <c r="D1065" s="68"/>
      <c r="E1065" s="70">
        <v>93</v>
      </c>
      <c r="F1065" s="71">
        <v>321</v>
      </c>
      <c r="G1065" s="101" t="str">
        <f>INDEX(Tableau8[Att1],MATCH(Tableau3[[#This Row],[ID-INS]],Tableau8[ID],0))&amp;""</f>
        <v>V5</v>
      </c>
      <c r="H1065" s="101" t="str">
        <f>INDEX(Tableau8[Att2],MATCH(Tableau3[[#This Row],[ID-INS]],Tableau8[ID],0))&amp;""</f>
        <v>F13</v>
      </c>
      <c r="I1065" s="101" t="str">
        <f>INDEX(Tableau8[Att3],MATCH(Tableau3[[#This Row],[ID-INS]],Tableau8[ID],0))&amp;""</f>
        <v>Feu F13</v>
      </c>
      <c r="J1065" s="101"/>
      <c r="K1065" s="167" t="str">
        <f>INDEX(Tableau8[Nom du modele],MATCH(Tableau3[[#This Row],[ID-INS]],Tableau8[ID],0))&amp;""</f>
        <v>FeuContrAleaVLPL1</v>
      </c>
      <c r="L1065" s="154" t="s">
        <v>1752</v>
      </c>
      <c r="M1065" s="99" t="str">
        <f>INDEX(Tableau5[Att2],MATCH(Tableau3[[#This Row],[ID-SIG]],Tableau5[ID],0))&amp;""</f>
        <v/>
      </c>
      <c r="N1065" s="99" t="str">
        <f>INDEX(Tableau5[Att3],MATCH(Tableau3[[#This Row],[ID-SIG]],Tableau5[ID],0))&amp;""</f>
        <v/>
      </c>
      <c r="O1065" s="99"/>
      <c r="P1065" s="154" t="s">
        <v>1776</v>
      </c>
      <c r="Q1065" s="99"/>
      <c r="R1065" s="103" t="str">
        <f>Tableau3[[#This Row],[Description]]</f>
        <v>Feu F13 - Réserve</v>
      </c>
      <c r="U1065" s="87">
        <v>6</v>
      </c>
      <c r="V1065" s="87">
        <v>2</v>
      </c>
      <c r="W1065" s="87">
        <v>8</v>
      </c>
      <c r="X1065" s="87">
        <v>15</v>
      </c>
      <c r="Y1065" s="40"/>
      <c r="Z1065" s="165" t="str">
        <f>INDEX(Tableau2[TS],MATCH(Tableau3[[#This Row],[ID-CARTEVOIE]],Tableau2[ID-CARTEVOIE],0))</f>
        <v>ET</v>
      </c>
      <c r="AA1065" s="53" t="s">
        <v>213</v>
      </c>
      <c r="AB1065" s="223" t="str">
        <f>IFERROR(INDEX(Tableau5[Reserve],MATCH(Tableau3[[#This Row],[ID-SIG]],Tableau5[ID],0))&amp;"","")</f>
        <v/>
      </c>
      <c r="AC1065" s="21"/>
      <c r="AD1065" s="108" t="str">
        <f>INDEX(Tableau7[Repere],MATCH(Tableau3[[#This Row],[ID-API]],Tableau7[ID-API],0))&amp;""</f>
        <v>A6</v>
      </c>
      <c r="AE1065" s="108" t="str">
        <f>INDEX(Tableau1[Repere-Rack],MATCH(Tableau3[[#This Row],[ID-RACK]],Tableau1[ID-RACK],0))&amp;""</f>
        <v>R2</v>
      </c>
      <c r="AF1065" s="108" t="str">
        <f>INDEX(Tableau1[Repere-Slot],MATCH(Tableau3[[#This Row],[ID-SLOT]],Tableau1[ID-SLOT],0))&amp;""</f>
        <v>S8</v>
      </c>
      <c r="AG1065" s="108" t="str">
        <f>INDEX(Tableau2[Repere-Voie],MATCH(Tableau3[[#This Row],[ID-VOIE]],Tableau2[ID-Voie],0))&amp;""</f>
        <v>v15</v>
      </c>
      <c r="AH1065" s="72" t="str">
        <f>Tableau3[[#This Row],[ID-API]]&amp; "." &amp;Tableau3[[#This Row],[ID-RACK]]&amp; "." &amp;Tableau3[[#This Row],[ID-SLOT]]</f>
        <v>6.2.8</v>
      </c>
      <c r="AI1065" s="72" t="str">
        <f>INDEX(Tableau1[Ref-Carte],MATCH(Tableau3[[#This Row],[ID-RRS]],Tableau1[ID-RRS],0))</f>
        <v>SDI1602</v>
      </c>
      <c r="AJ1065" s="72" t="str">
        <f t="array" ref="AJ1065">IFERROR(INDEX(Tableau2[TS],MATCH(1,(Tableau2[Ref-Carte]=Tableau3[[#This Row],[Ref-Carte2]])*(Tableau2[ID-Voie]=Tableau3[[#This Row],[ID-VOIE]]),0)),"")</f>
        <v>ET</v>
      </c>
      <c r="AK1065" s="72" t="str">
        <f>IFERROR(INDEX(Tableau2[TS],SUMPRODUCT((Tableau2[Ref-Carte]=Tableau3[[#This Row],[Ref-Carte2]])*(Tableau2[ID-Voie]=Tableau3[[#This Row],[ID-VOIE]])*ROW(Tableau2[TS]))-ROW(Tableau2[#Headers])),"")</f>
        <v>ET</v>
      </c>
      <c r="AL1065" s="72" t="str">
        <f>Tableau3[[#This Row],[Ref-Carte2]]&amp;"/"&amp;Tableau3[[#This Row],[ID-VOIE]]</f>
        <v>SDI1602/15</v>
      </c>
      <c r="AM1065" s="73" t="str">
        <f>INDEX(Tableau2[Borne],MATCH(Tableau3[[#This Row],[ID-CARTEVOIE]],Tableau2[ID-CARTEVOIE],0))&amp;""</f>
        <v>7A</v>
      </c>
      <c r="AN1065" s="74" t="str">
        <f>Tableau3[[#This Row],[ID-API]]&amp;Tableau3[[#This Row],[ID-RACK]]&amp;Tableau3[[#This Row],[ID-SLOT]]&amp;Tableau3[[#This Row],[BORNE]]</f>
        <v>6287A</v>
      </c>
      <c r="AO1065" s="1"/>
    </row>
    <row r="1066" spans="1:41" ht="20.100000000000001" customHeight="1" thickTop="1" thickBot="1">
      <c r="A1066" s="68"/>
      <c r="B1066" s="69" t="str">
        <f>IFERROR(INDEX(Tableau4[Date],MATCH($A1066,Tableau4[EVO],0)),"")</f>
        <v/>
      </c>
      <c r="C1066" s="68" t="str">
        <f>IFERROR(INDEX(Tableau4[Designation],MATCH($A1066,Tableau4[EVO],0)),"")</f>
        <v/>
      </c>
      <c r="D1066" s="68"/>
      <c r="E1066" s="70">
        <v>111</v>
      </c>
      <c r="F1066" s="71">
        <v>15</v>
      </c>
      <c r="G1066" s="101" t="str">
        <f>INDEX(Tableau8[Att1],MATCH(Tableau3[[#This Row],[ID-INS]],Tableau8[ID],0))&amp;""</f>
        <v>GR</v>
      </c>
      <c r="H1066" s="101" t="str">
        <f>INDEX(Tableau8[Att2],MATCH(Tableau3[[#This Row],[ID-INS]],Tableau8[ID],0))&amp;""</f>
        <v>UTLR10</v>
      </c>
      <c r="I1066" s="101" t="str">
        <f>INDEX(Tableau8[Att3],MATCH(Tableau3[[#This Row],[ID-INS]],Tableau8[ID],0))&amp;""</f>
        <v>UTL rouge IDP8/TRSS1/FRX2</v>
      </c>
      <c r="J1066" s="101"/>
      <c r="K1066" s="167" t="str">
        <f>INDEX(Tableau8[Nom du modele],MATCH(Tableau3[[#This Row],[ID-INS]],Tableau8[ID],0))&amp;""</f>
        <v>UTL</v>
      </c>
      <c r="L1066" s="99" t="str">
        <f>INDEX(Tableau5[Att1],MATCH(Tableau3[[#This Row],[ID-SIG]],Tableau5[ID],0))&amp;""</f>
        <v>DmdOuv</v>
      </c>
      <c r="M1066" s="99" t="str">
        <f>INDEX(Tableau5[Att2],MATCH(Tableau3[[#This Row],[ID-SIG]],Tableau5[ID],0))&amp;""</f>
        <v/>
      </c>
      <c r="N1066" s="99" t="str">
        <f>INDEX(Tableau5[Att3],MATCH(Tableau3[[#This Row],[ID-SIG]],Tableau5[ID],0))&amp;""</f>
        <v/>
      </c>
      <c r="O1066" s="99"/>
      <c r="P1066" s="99" t="str">
        <f>INDEX(Tableau5[Description],MATCH(Tableau3[[#This Row],[ID-SIG]],Tableau5[ID],0))</f>
        <v>Demande d'ouverture venant UTL</v>
      </c>
      <c r="Q1066" s="99"/>
      <c r="R1066" s="103" t="str">
        <f>Tableau3[[#This Row],[Description]]</f>
        <v>Demande d'ouverture venant UTL</v>
      </c>
      <c r="U1066" s="87">
        <v>6</v>
      </c>
      <c r="V1066" s="87">
        <v>2</v>
      </c>
      <c r="W1066" s="87">
        <v>9</v>
      </c>
      <c r="X1066" s="87">
        <v>0</v>
      </c>
      <c r="Y1066" s="40"/>
      <c r="Z1066" s="165" t="str">
        <f>INDEX(Tableau2[TS],MATCH(Tableau3[[#This Row],[ID-CARTEVOIE]],Tableau2[ID-CARTEVOIE],0))</f>
        <v>ET</v>
      </c>
      <c r="AA1066" s="53" t="s">
        <v>213</v>
      </c>
      <c r="AB1066" s="223" t="str">
        <f>IFERROR(INDEX(Tableau5[Reserve],MATCH(Tableau3[[#This Row],[ID-SIG]],Tableau5[ID],0))&amp;"","")</f>
        <v/>
      </c>
      <c r="AC1066" s="21"/>
      <c r="AD1066" s="108" t="str">
        <f>INDEX(Tableau7[Repere],MATCH(Tableau3[[#This Row],[ID-API]],Tableau7[ID-API],0))&amp;""</f>
        <v>A6</v>
      </c>
      <c r="AE1066" s="108" t="str">
        <f>INDEX(Tableau1[Repere-Rack],MATCH(Tableau3[[#This Row],[ID-RACK]],Tableau1[ID-RACK],0))&amp;""</f>
        <v>R2</v>
      </c>
      <c r="AF1066" s="108" t="str">
        <f>INDEX(Tableau1[Repere-Slot],MATCH(Tableau3[[#This Row],[ID-SLOT]],Tableau1[ID-SLOT],0))&amp;""</f>
        <v>S9</v>
      </c>
      <c r="AG1066" s="108" t="str">
        <f>INDEX(Tableau2[Repere-Voie],MATCH(Tableau3[[#This Row],[ID-VOIE]],Tableau2[ID-Voie],0))&amp;""</f>
        <v>v0</v>
      </c>
      <c r="AH1066" s="72" t="str">
        <f>Tableau3[[#This Row],[ID-API]]&amp; "." &amp;Tableau3[[#This Row],[ID-RACK]]&amp; "." &amp;Tableau3[[#This Row],[ID-SLOT]]</f>
        <v>6.2.9</v>
      </c>
      <c r="AI1066" s="72" t="str">
        <f>INDEX(Tableau1[Ref-Carte],MATCH(Tableau3[[#This Row],[ID-RRS]],Tableau1[ID-RRS],0))</f>
        <v>SDI1602</v>
      </c>
      <c r="AJ1066" s="72" t="str">
        <f t="array" ref="AJ1066">IFERROR(INDEX(Tableau2[TS],MATCH(1,(Tableau2[Ref-Carte]=Tableau3[[#This Row],[Ref-Carte2]])*(Tableau2[ID-Voie]=Tableau3[[#This Row],[ID-VOIE]]),0)),"")</f>
        <v>ET</v>
      </c>
      <c r="AK1066" s="72" t="str">
        <f>IFERROR(INDEX(Tableau2[TS],SUMPRODUCT((Tableau2[Ref-Carte]=Tableau3[[#This Row],[Ref-Carte2]])*(Tableau2[ID-Voie]=Tableau3[[#This Row],[ID-VOIE]])*ROW(Tableau2[TS]))-ROW(Tableau2[#Headers])),"")</f>
        <v>ET</v>
      </c>
      <c r="AL1066" s="72" t="str">
        <f>Tableau3[[#This Row],[Ref-Carte2]]&amp;"/"&amp;Tableau3[[#This Row],[ID-VOIE]]</f>
        <v>SDI1602/0</v>
      </c>
      <c r="AM1066" s="73" t="str">
        <f>INDEX(Tableau2[Borne],MATCH(Tableau3[[#This Row],[ID-CARTEVOIE]],Tableau2[ID-CARTEVOIE],0))&amp;""</f>
        <v>0B</v>
      </c>
      <c r="AN1066" s="74" t="str">
        <f>Tableau3[[#This Row],[ID-API]]&amp;Tableau3[[#This Row],[ID-RACK]]&amp;Tableau3[[#This Row],[ID-SLOT]]&amp;Tableau3[[#This Row],[BORNE]]</f>
        <v>6290B</v>
      </c>
      <c r="AO1066" s="1"/>
    </row>
    <row r="1067" spans="1:41" ht="20.100000000000001" customHeight="1" thickTop="1" thickBot="1">
      <c r="A1067" s="68"/>
      <c r="B1067" s="69" t="str">
        <f>IFERROR(INDEX(Tableau4[Date],MATCH($A1067,Tableau4[EVO],0)),"")</f>
        <v/>
      </c>
      <c r="C1067" s="68" t="str">
        <f>IFERROR(INDEX(Tableau4[Designation],MATCH($A1067,Tableau4[EVO],0)),"")</f>
        <v/>
      </c>
      <c r="D1067" s="68"/>
      <c r="E1067" s="70">
        <v>118</v>
      </c>
      <c r="F1067" s="71">
        <v>15</v>
      </c>
      <c r="G1067" s="101" t="str">
        <f>INDEX(Tableau8[Att1],MATCH(Tableau3[[#This Row],[ID-INS]],Tableau8[ID],0))&amp;""</f>
        <v>V5</v>
      </c>
      <c r="H1067" s="101" t="str">
        <f>INDEX(Tableau8[Att2],MATCH(Tableau3[[#This Row],[ID-INS]],Tableau8[ID],0))&amp;""</f>
        <v>UTLB5</v>
      </c>
      <c r="I1067" s="101" t="str">
        <f>INDEX(Tableau8[Att3],MATCH(Tableau3[[#This Row],[ID-INS]],Tableau8[ID],0))&amp;""</f>
        <v>UTL bleue IDVL8/ IDPL2/BH10</v>
      </c>
      <c r="J1067" s="101"/>
      <c r="K1067" s="167" t="str">
        <f>INDEX(Tableau8[Nom du modele],MATCH(Tableau3[[#This Row],[ID-INS]],Tableau8[ID],0))&amp;""</f>
        <v>UTL</v>
      </c>
      <c r="L1067" s="99" t="str">
        <f>INDEX(Tableau5[Att1],MATCH(Tableau3[[#This Row],[ID-SIG]],Tableau5[ID],0))&amp;""</f>
        <v>DmdOuv</v>
      </c>
      <c r="M1067" s="99" t="str">
        <f>INDEX(Tableau5[Att2],MATCH(Tableau3[[#This Row],[ID-SIG]],Tableau5[ID],0))&amp;""</f>
        <v/>
      </c>
      <c r="N1067" s="99" t="str">
        <f>INDEX(Tableau5[Att3],MATCH(Tableau3[[#This Row],[ID-SIG]],Tableau5[ID],0))&amp;""</f>
        <v/>
      </c>
      <c r="O1067" s="99"/>
      <c r="P1067" s="99" t="str">
        <f>INDEX(Tableau5[Description],MATCH(Tableau3[[#This Row],[ID-SIG]],Tableau5[ID],0))</f>
        <v>Demande d'ouverture venant UTL</v>
      </c>
      <c r="Q1067" s="99"/>
      <c r="R1067" s="103" t="str">
        <f>Tableau3[[#This Row],[Description]]</f>
        <v>Demande d'ouverture venant UTL</v>
      </c>
      <c r="U1067" s="87">
        <v>6</v>
      </c>
      <c r="V1067" s="87">
        <v>2</v>
      </c>
      <c r="W1067" s="87">
        <v>9</v>
      </c>
      <c r="X1067" s="87">
        <v>1</v>
      </c>
      <c r="Y1067" s="40"/>
      <c r="Z1067" s="165" t="str">
        <f>INDEX(Tableau2[TS],MATCH(Tableau3[[#This Row],[ID-CARTEVOIE]],Tableau2[ID-CARTEVOIE],0))</f>
        <v>ET</v>
      </c>
      <c r="AA1067" s="53" t="s">
        <v>213</v>
      </c>
      <c r="AB1067" s="223" t="str">
        <f>IFERROR(INDEX(Tableau5[Reserve],MATCH(Tableau3[[#This Row],[ID-SIG]],Tableau5[ID],0))&amp;"","")</f>
        <v/>
      </c>
      <c r="AC1067" s="21"/>
      <c r="AD1067" s="108" t="str">
        <f>INDEX(Tableau7[Repere],MATCH(Tableau3[[#This Row],[ID-API]],Tableau7[ID-API],0))&amp;""</f>
        <v>A6</v>
      </c>
      <c r="AE1067" s="108" t="str">
        <f>INDEX(Tableau1[Repere-Rack],MATCH(Tableau3[[#This Row],[ID-RACK]],Tableau1[ID-RACK],0))&amp;""</f>
        <v>R2</v>
      </c>
      <c r="AF1067" s="108" t="str">
        <f>INDEX(Tableau1[Repere-Slot],MATCH(Tableau3[[#This Row],[ID-SLOT]],Tableau1[ID-SLOT],0))&amp;""</f>
        <v>S9</v>
      </c>
      <c r="AG1067" s="108" t="str">
        <f>INDEX(Tableau2[Repere-Voie],MATCH(Tableau3[[#This Row],[ID-VOIE]],Tableau2[ID-Voie],0))&amp;""</f>
        <v>v1</v>
      </c>
      <c r="AH1067" s="72" t="str">
        <f>Tableau3[[#This Row],[ID-API]]&amp; "." &amp;Tableau3[[#This Row],[ID-RACK]]&amp; "." &amp;Tableau3[[#This Row],[ID-SLOT]]</f>
        <v>6.2.9</v>
      </c>
      <c r="AI1067" s="72" t="str">
        <f>INDEX(Tableau1[Ref-Carte],MATCH(Tableau3[[#This Row],[ID-RRS]],Tableau1[ID-RRS],0))</f>
        <v>SDI1602</v>
      </c>
      <c r="AJ1067" s="72" t="str">
        <f t="array" ref="AJ1067">IFERROR(INDEX(Tableau2[TS],MATCH(1,(Tableau2[Ref-Carte]=Tableau3[[#This Row],[Ref-Carte2]])*(Tableau2[ID-Voie]=Tableau3[[#This Row],[ID-VOIE]]),0)),"")</f>
        <v>ET</v>
      </c>
      <c r="AK1067" s="72" t="str">
        <f>IFERROR(INDEX(Tableau2[TS],SUMPRODUCT((Tableau2[Ref-Carte]=Tableau3[[#This Row],[Ref-Carte2]])*(Tableau2[ID-Voie]=Tableau3[[#This Row],[ID-VOIE]])*ROW(Tableau2[TS]))-ROW(Tableau2[#Headers])),"")</f>
        <v>ET</v>
      </c>
      <c r="AL1067" s="72" t="str">
        <f>Tableau3[[#This Row],[Ref-Carte2]]&amp;"/"&amp;Tableau3[[#This Row],[ID-VOIE]]</f>
        <v>SDI1602/1</v>
      </c>
      <c r="AM1067" s="73" t="str">
        <f>INDEX(Tableau2[Borne],MATCH(Tableau3[[#This Row],[ID-CARTEVOIE]],Tableau2[ID-CARTEVOIE],0))&amp;""</f>
        <v>0A</v>
      </c>
      <c r="AN1067" s="74" t="str">
        <f>Tableau3[[#This Row],[ID-API]]&amp;Tableau3[[#This Row],[ID-RACK]]&amp;Tableau3[[#This Row],[ID-SLOT]]&amp;Tableau3[[#This Row],[BORNE]]</f>
        <v>6290A</v>
      </c>
      <c r="AO1067" s="1"/>
    </row>
    <row r="1068" spans="1:41" ht="20.100000000000001" customHeight="1" thickTop="1" thickBot="1">
      <c r="A1068" s="68"/>
      <c r="B1068" s="69" t="str">
        <f>IFERROR(INDEX(Tableau4[Date],MATCH($A1068,Tableau4[EVO],0)),"")</f>
        <v/>
      </c>
      <c r="C1068" s="68" t="str">
        <f>IFERROR(INDEX(Tableau4[Designation],MATCH($A1068,Tableau4[EVO],0)),"")</f>
        <v/>
      </c>
      <c r="D1068" s="68"/>
      <c r="E1068" s="70">
        <v>123</v>
      </c>
      <c r="F1068" s="71">
        <v>15</v>
      </c>
      <c r="G1068" s="101" t="str">
        <f>INDEX(Tableau8[Att1],MATCH(Tableau3[[#This Row],[ID-INS]],Tableau8[ID],0))&amp;""</f>
        <v>B22</v>
      </c>
      <c r="H1068" s="101" t="str">
        <f>INDEX(Tableau8[Att2],MATCH(Tableau3[[#This Row],[ID-INS]],Tableau8[ID],0))&amp;""</f>
        <v>UTLB9_1</v>
      </c>
      <c r="I1068" s="101" t="str">
        <f>INDEX(Tableau8[Att3],MATCH(Tableau3[[#This Row],[ID-INS]],Tableau8[ID],0))&amp;""</f>
        <v>UTL bleue AUTP3/TRSD3-2/FRX6</v>
      </c>
      <c r="J1068" s="101"/>
      <c r="K1068" s="167" t="str">
        <f>INDEX(Tableau8[Nom du modele],MATCH(Tableau3[[#This Row],[ID-INS]],Tableau8[ID],0))&amp;""</f>
        <v>UTL</v>
      </c>
      <c r="L1068" s="99" t="str">
        <f>INDEX(Tableau5[Att1],MATCH(Tableau3[[#This Row],[ID-SIG]],Tableau5[ID],0))&amp;""</f>
        <v>DmdOuv</v>
      </c>
      <c r="M1068" s="99" t="str">
        <f>INDEX(Tableau5[Att2],MATCH(Tableau3[[#This Row],[ID-SIG]],Tableau5[ID],0))&amp;""</f>
        <v/>
      </c>
      <c r="N1068" s="99" t="str">
        <f>INDEX(Tableau5[Att3],MATCH(Tableau3[[#This Row],[ID-SIG]],Tableau5[ID],0))&amp;""</f>
        <v/>
      </c>
      <c r="O1068" s="99"/>
      <c r="P1068" s="99" t="str">
        <f>INDEX(Tableau5[Description],MATCH(Tableau3[[#This Row],[ID-SIG]],Tableau5[ID],0))</f>
        <v>Demande d'ouverture venant UTL</v>
      </c>
      <c r="Q1068" s="99"/>
      <c r="R1068" s="103" t="str">
        <f>Tableau3[[#This Row],[Description]]</f>
        <v>Demande d'ouverture venant UTL</v>
      </c>
      <c r="U1068" s="87">
        <v>6</v>
      </c>
      <c r="V1068" s="87">
        <v>2</v>
      </c>
      <c r="W1068" s="87">
        <v>9</v>
      </c>
      <c r="X1068" s="87">
        <v>2</v>
      </c>
      <c r="Y1068" s="40"/>
      <c r="Z1068" s="165" t="str">
        <f>INDEX(Tableau2[TS],MATCH(Tableau3[[#This Row],[ID-CARTEVOIE]],Tableau2[ID-CARTEVOIE],0))</f>
        <v>ET</v>
      </c>
      <c r="AA1068" s="53" t="s">
        <v>213</v>
      </c>
      <c r="AB1068" s="223" t="str">
        <f>IFERROR(INDEX(Tableau5[Reserve],MATCH(Tableau3[[#This Row],[ID-SIG]],Tableau5[ID],0))&amp;"","")</f>
        <v/>
      </c>
      <c r="AC1068" s="21"/>
      <c r="AD1068" s="108" t="str">
        <f>INDEX(Tableau7[Repere],MATCH(Tableau3[[#This Row],[ID-API]],Tableau7[ID-API],0))&amp;""</f>
        <v>A6</v>
      </c>
      <c r="AE1068" s="108" t="str">
        <f>INDEX(Tableau1[Repere-Rack],MATCH(Tableau3[[#This Row],[ID-RACK]],Tableau1[ID-RACK],0))&amp;""</f>
        <v>R2</v>
      </c>
      <c r="AF1068" s="108" t="str">
        <f>INDEX(Tableau1[Repere-Slot],MATCH(Tableau3[[#This Row],[ID-SLOT]],Tableau1[ID-SLOT],0))&amp;""</f>
        <v>S9</v>
      </c>
      <c r="AG1068" s="108" t="str">
        <f>INDEX(Tableau2[Repere-Voie],MATCH(Tableau3[[#This Row],[ID-VOIE]],Tableau2[ID-Voie],0))&amp;""</f>
        <v>v2</v>
      </c>
      <c r="AH1068" s="72" t="str">
        <f>Tableau3[[#This Row],[ID-API]]&amp; "." &amp;Tableau3[[#This Row],[ID-RACK]]&amp; "." &amp;Tableau3[[#This Row],[ID-SLOT]]</f>
        <v>6.2.9</v>
      </c>
      <c r="AI1068" s="72" t="str">
        <f>INDEX(Tableau1[Ref-Carte],MATCH(Tableau3[[#This Row],[ID-RRS]],Tableau1[ID-RRS],0))</f>
        <v>SDI1602</v>
      </c>
      <c r="AJ1068" s="72" t="str">
        <f t="array" ref="AJ1068">IFERROR(INDEX(Tableau2[TS],MATCH(1,(Tableau2[Ref-Carte]=Tableau3[[#This Row],[Ref-Carte2]])*(Tableau2[ID-Voie]=Tableau3[[#This Row],[ID-VOIE]]),0)),"")</f>
        <v>ET</v>
      </c>
      <c r="AK1068" s="72" t="str">
        <f>IFERROR(INDEX(Tableau2[TS],SUMPRODUCT((Tableau2[Ref-Carte]=Tableau3[[#This Row],[Ref-Carte2]])*(Tableau2[ID-Voie]=Tableau3[[#This Row],[ID-VOIE]])*ROW(Tableau2[TS]))-ROW(Tableau2[#Headers])),"")</f>
        <v>ET</v>
      </c>
      <c r="AL1068" s="72" t="str">
        <f>Tableau3[[#This Row],[Ref-Carte2]]&amp;"/"&amp;Tableau3[[#This Row],[ID-VOIE]]</f>
        <v>SDI1602/2</v>
      </c>
      <c r="AM1068" s="73" t="str">
        <f>INDEX(Tableau2[Borne],MATCH(Tableau3[[#This Row],[ID-CARTEVOIE]],Tableau2[ID-CARTEVOIE],0))&amp;""</f>
        <v>1B</v>
      </c>
      <c r="AN1068" s="74" t="str">
        <f>Tableau3[[#This Row],[ID-API]]&amp;Tableau3[[#This Row],[ID-RACK]]&amp;Tableau3[[#This Row],[ID-SLOT]]&amp;Tableau3[[#This Row],[BORNE]]</f>
        <v>6291B</v>
      </c>
      <c r="AO1068" s="1"/>
    </row>
    <row r="1069" spans="1:41" ht="20.100000000000001" customHeight="1" thickTop="1" thickBot="1">
      <c r="A1069" s="68"/>
      <c r="B1069" s="69" t="str">
        <f>IFERROR(INDEX(Tableau4[Date],MATCH($A1069,Tableau4[EVO],0)),"")</f>
        <v/>
      </c>
      <c r="C1069" s="68" t="str">
        <f>IFERROR(INDEX(Tableau4[Designation],MATCH($A1069,Tableau4[EVO],0)),"")</f>
        <v/>
      </c>
      <c r="D1069" s="68"/>
      <c r="E1069" s="70">
        <v>124</v>
      </c>
      <c r="F1069" s="71">
        <v>15</v>
      </c>
      <c r="G1069" s="101" t="str">
        <f>INDEX(Tableau8[Att1],MATCH(Tableau3[[#This Row],[ID-INS]],Tableau8[ID],0))&amp;""</f>
        <v>B22</v>
      </c>
      <c r="H1069" s="101" t="str">
        <f>INDEX(Tableau8[Att2],MATCH(Tableau3[[#This Row],[ID-INS]],Tableau8[ID],0))&amp;""</f>
        <v>UTLB9_2</v>
      </c>
      <c r="I1069" s="101" t="str">
        <f>INDEX(Tableau8[Att3],MATCH(Tableau3[[#This Row],[ID-INS]],Tableau8[ID],0))&amp;""</f>
        <v>UTL bleue IDP12/TRSD3-2/FRX6</v>
      </c>
      <c r="J1069" s="101"/>
      <c r="K1069" s="167" t="str">
        <f>INDEX(Tableau8[Nom du modele],MATCH(Tableau3[[#This Row],[ID-INS]],Tableau8[ID],0))&amp;""</f>
        <v>UTL</v>
      </c>
      <c r="L1069" s="99" t="str">
        <f>INDEX(Tableau5[Att1],MATCH(Tableau3[[#This Row],[ID-SIG]],Tableau5[ID],0))&amp;""</f>
        <v>DmdOuv</v>
      </c>
      <c r="M1069" s="99" t="str">
        <f>INDEX(Tableau5[Att2],MATCH(Tableau3[[#This Row],[ID-SIG]],Tableau5[ID],0))&amp;""</f>
        <v/>
      </c>
      <c r="N1069" s="99" t="str">
        <f>INDEX(Tableau5[Att3],MATCH(Tableau3[[#This Row],[ID-SIG]],Tableau5[ID],0))&amp;""</f>
        <v/>
      </c>
      <c r="O1069" s="99"/>
      <c r="P1069" s="99" t="str">
        <f>INDEX(Tableau5[Description],MATCH(Tableau3[[#This Row],[ID-SIG]],Tableau5[ID],0))</f>
        <v>Demande d'ouverture venant UTL</v>
      </c>
      <c r="Q1069" s="99"/>
      <c r="R1069" s="103" t="str">
        <f>Tableau3[[#This Row],[Description]]</f>
        <v>Demande d'ouverture venant UTL</v>
      </c>
      <c r="U1069" s="87">
        <v>6</v>
      </c>
      <c r="V1069" s="87">
        <v>2</v>
      </c>
      <c r="W1069" s="87">
        <v>9</v>
      </c>
      <c r="X1069" s="87">
        <v>3</v>
      </c>
      <c r="Y1069" s="40"/>
      <c r="Z1069" s="165" t="str">
        <f>INDEX(Tableau2[TS],MATCH(Tableau3[[#This Row],[ID-CARTEVOIE]],Tableau2[ID-CARTEVOIE],0))</f>
        <v>ET</v>
      </c>
      <c r="AA1069" s="53" t="s">
        <v>213</v>
      </c>
      <c r="AB1069" s="223" t="str">
        <f>IFERROR(INDEX(Tableau5[Reserve],MATCH(Tableau3[[#This Row],[ID-SIG]],Tableau5[ID],0))&amp;"","")</f>
        <v/>
      </c>
      <c r="AC1069" s="21"/>
      <c r="AD1069" s="108" t="str">
        <f>INDEX(Tableau7[Repere],MATCH(Tableau3[[#This Row],[ID-API]],Tableau7[ID-API],0))&amp;""</f>
        <v>A6</v>
      </c>
      <c r="AE1069" s="108" t="str">
        <f>INDEX(Tableau1[Repere-Rack],MATCH(Tableau3[[#This Row],[ID-RACK]],Tableau1[ID-RACK],0))&amp;""</f>
        <v>R2</v>
      </c>
      <c r="AF1069" s="108" t="str">
        <f>INDEX(Tableau1[Repere-Slot],MATCH(Tableau3[[#This Row],[ID-SLOT]],Tableau1[ID-SLOT],0))&amp;""</f>
        <v>S9</v>
      </c>
      <c r="AG1069" s="108" t="str">
        <f>INDEX(Tableau2[Repere-Voie],MATCH(Tableau3[[#This Row],[ID-VOIE]],Tableau2[ID-Voie],0))&amp;""</f>
        <v>v3</v>
      </c>
      <c r="AH1069" s="72" t="str">
        <f>Tableau3[[#This Row],[ID-API]]&amp; "." &amp;Tableau3[[#This Row],[ID-RACK]]&amp; "." &amp;Tableau3[[#This Row],[ID-SLOT]]</f>
        <v>6.2.9</v>
      </c>
      <c r="AI1069" s="72" t="str">
        <f>INDEX(Tableau1[Ref-Carte],MATCH(Tableau3[[#This Row],[ID-RRS]],Tableau1[ID-RRS],0))</f>
        <v>SDI1602</v>
      </c>
      <c r="AJ1069" s="72" t="str">
        <f t="array" ref="AJ1069">IFERROR(INDEX(Tableau2[TS],MATCH(1,(Tableau2[Ref-Carte]=Tableau3[[#This Row],[Ref-Carte2]])*(Tableau2[ID-Voie]=Tableau3[[#This Row],[ID-VOIE]]),0)),"")</f>
        <v>ET</v>
      </c>
      <c r="AK1069" s="72" t="str">
        <f>IFERROR(INDEX(Tableau2[TS],SUMPRODUCT((Tableau2[Ref-Carte]=Tableau3[[#This Row],[Ref-Carte2]])*(Tableau2[ID-Voie]=Tableau3[[#This Row],[ID-VOIE]])*ROW(Tableau2[TS]))-ROW(Tableau2[#Headers])),"")</f>
        <v>ET</v>
      </c>
      <c r="AL1069" s="72" t="str">
        <f>Tableau3[[#This Row],[Ref-Carte2]]&amp;"/"&amp;Tableau3[[#This Row],[ID-VOIE]]</f>
        <v>SDI1602/3</v>
      </c>
      <c r="AM1069" s="73" t="str">
        <f>INDEX(Tableau2[Borne],MATCH(Tableau3[[#This Row],[ID-CARTEVOIE]],Tableau2[ID-CARTEVOIE],0))&amp;""</f>
        <v>1A</v>
      </c>
      <c r="AN1069" s="74" t="str">
        <f>Tableau3[[#This Row],[ID-API]]&amp;Tableau3[[#This Row],[ID-RACK]]&amp;Tableau3[[#This Row],[ID-SLOT]]&amp;Tableau3[[#This Row],[BORNE]]</f>
        <v>6291A</v>
      </c>
      <c r="AO1069" s="1"/>
    </row>
    <row r="1070" spans="1:41" ht="20.100000000000001" customHeight="1" thickTop="1" thickBot="1">
      <c r="A1070" s="68"/>
      <c r="B1070" s="69" t="str">
        <f>IFERROR(INDEX(Tableau4[Date],MATCH($A1070,Tableau4[EVO],0)),"")</f>
        <v/>
      </c>
      <c r="C1070" s="68" t="str">
        <f>IFERROR(INDEX(Tableau4[Designation],MATCH($A1070,Tableau4[EVO],0)),"")</f>
        <v/>
      </c>
      <c r="D1070" s="68"/>
      <c r="E1070" s="70">
        <v>125</v>
      </c>
      <c r="F1070" s="71">
        <v>15</v>
      </c>
      <c r="G1070" s="101" t="str">
        <f>INDEX(Tableau8[Att1],MATCH(Tableau3[[#This Row],[ID-INS]],Tableau8[ID],0))&amp;""</f>
        <v>B22</v>
      </c>
      <c r="H1070" s="101" t="str">
        <f>INDEX(Tableau8[Att2],MATCH(Tableau3[[#This Row],[ID-INS]],Tableau8[ID],0))&amp;""</f>
        <v>UTLB10</v>
      </c>
      <c r="I1070" s="101" t="str">
        <f>INDEX(Tableau8[Att3],MATCH(Tableau3[[#This Row],[ID-INS]],Tableau8[ID],0))&amp;""</f>
        <v>UTL bleue AUTP4/PMR5/FRX7</v>
      </c>
      <c r="J1070" s="101"/>
      <c r="K1070" s="167" t="str">
        <f>INDEX(Tableau8[Nom du modele],MATCH(Tableau3[[#This Row],[ID-INS]],Tableau8[ID],0))&amp;""</f>
        <v>UTL</v>
      </c>
      <c r="L1070" s="99" t="str">
        <f>INDEX(Tableau5[Att1],MATCH(Tableau3[[#This Row],[ID-SIG]],Tableau5[ID],0))&amp;""</f>
        <v>DmdOuv</v>
      </c>
      <c r="M1070" s="99" t="str">
        <f>INDEX(Tableau5[Att2],MATCH(Tableau3[[#This Row],[ID-SIG]],Tableau5[ID],0))&amp;""</f>
        <v/>
      </c>
      <c r="N1070" s="99" t="str">
        <f>INDEX(Tableau5[Att3],MATCH(Tableau3[[#This Row],[ID-SIG]],Tableau5[ID],0))&amp;""</f>
        <v/>
      </c>
      <c r="O1070" s="99"/>
      <c r="P1070" s="99" t="str">
        <f>INDEX(Tableau5[Description],MATCH(Tableau3[[#This Row],[ID-SIG]],Tableau5[ID],0))</f>
        <v>Demande d'ouverture venant UTL</v>
      </c>
      <c r="Q1070" s="99"/>
      <c r="R1070" s="103" t="str">
        <f>Tableau3[[#This Row],[Description]]</f>
        <v>Demande d'ouverture venant UTL</v>
      </c>
      <c r="U1070" s="87">
        <v>6</v>
      </c>
      <c r="V1070" s="87">
        <v>2</v>
      </c>
      <c r="W1070" s="87">
        <v>9</v>
      </c>
      <c r="X1070" s="87">
        <v>4</v>
      </c>
      <c r="Y1070" s="40"/>
      <c r="Z1070" s="165" t="str">
        <f>INDEX(Tableau2[TS],MATCH(Tableau3[[#This Row],[ID-CARTEVOIE]],Tableau2[ID-CARTEVOIE],0))</f>
        <v>ET</v>
      </c>
      <c r="AA1070" s="53" t="s">
        <v>213</v>
      </c>
      <c r="AB1070" s="223" t="str">
        <f>IFERROR(INDEX(Tableau5[Reserve],MATCH(Tableau3[[#This Row],[ID-SIG]],Tableau5[ID],0))&amp;"","")</f>
        <v/>
      </c>
      <c r="AC1070" s="21"/>
      <c r="AD1070" s="108" t="str">
        <f>INDEX(Tableau7[Repere],MATCH(Tableau3[[#This Row],[ID-API]],Tableau7[ID-API],0))&amp;""</f>
        <v>A6</v>
      </c>
      <c r="AE1070" s="108" t="str">
        <f>INDEX(Tableau1[Repere-Rack],MATCH(Tableau3[[#This Row],[ID-RACK]],Tableau1[ID-RACK],0))&amp;""</f>
        <v>R2</v>
      </c>
      <c r="AF1070" s="108" t="str">
        <f>INDEX(Tableau1[Repere-Slot],MATCH(Tableau3[[#This Row],[ID-SLOT]],Tableau1[ID-SLOT],0))&amp;""</f>
        <v>S9</v>
      </c>
      <c r="AG1070" s="108" t="str">
        <f>INDEX(Tableau2[Repere-Voie],MATCH(Tableau3[[#This Row],[ID-VOIE]],Tableau2[ID-Voie],0))&amp;""</f>
        <v>v4</v>
      </c>
      <c r="AH1070" s="72" t="str">
        <f>Tableau3[[#This Row],[ID-API]]&amp; "." &amp;Tableau3[[#This Row],[ID-RACK]]&amp; "." &amp;Tableau3[[#This Row],[ID-SLOT]]</f>
        <v>6.2.9</v>
      </c>
      <c r="AI1070" s="72" t="str">
        <f>INDEX(Tableau1[Ref-Carte],MATCH(Tableau3[[#This Row],[ID-RRS]],Tableau1[ID-RRS],0))</f>
        <v>SDI1602</v>
      </c>
      <c r="AJ1070" s="72" t="str">
        <f t="array" ref="AJ1070">IFERROR(INDEX(Tableau2[TS],MATCH(1,(Tableau2[Ref-Carte]=Tableau3[[#This Row],[Ref-Carte2]])*(Tableau2[ID-Voie]=Tableau3[[#This Row],[ID-VOIE]]),0)),"")</f>
        <v>ET</v>
      </c>
      <c r="AK1070" s="72" t="str">
        <f>IFERROR(INDEX(Tableau2[TS],SUMPRODUCT((Tableau2[Ref-Carte]=Tableau3[[#This Row],[Ref-Carte2]])*(Tableau2[ID-Voie]=Tableau3[[#This Row],[ID-VOIE]])*ROW(Tableau2[TS]))-ROW(Tableau2[#Headers])),"")</f>
        <v>ET</v>
      </c>
      <c r="AL1070" s="72" t="str">
        <f>Tableau3[[#This Row],[Ref-Carte2]]&amp;"/"&amp;Tableau3[[#This Row],[ID-VOIE]]</f>
        <v>SDI1602/4</v>
      </c>
      <c r="AM1070" s="73" t="str">
        <f>INDEX(Tableau2[Borne],MATCH(Tableau3[[#This Row],[ID-CARTEVOIE]],Tableau2[ID-CARTEVOIE],0))&amp;""</f>
        <v>2B</v>
      </c>
      <c r="AN1070" s="74" t="str">
        <f>Tableau3[[#This Row],[ID-API]]&amp;Tableau3[[#This Row],[ID-RACK]]&amp;Tableau3[[#This Row],[ID-SLOT]]&amp;Tableau3[[#This Row],[BORNE]]</f>
        <v>6292B</v>
      </c>
      <c r="AO1070" s="1"/>
    </row>
    <row r="1071" spans="1:41" ht="20.100000000000001" customHeight="1" thickTop="1" thickBot="1">
      <c r="A1071" s="68"/>
      <c r="B1071" s="69" t="str">
        <f>IFERROR(INDEX(Tableau4[Date],MATCH($A1071,Tableau4[EVO],0)),"")</f>
        <v/>
      </c>
      <c r="C1071" s="68" t="str">
        <f>IFERROR(INDEX(Tableau4[Designation],MATCH($A1071,Tableau4[EVO],0)),"")</f>
        <v/>
      </c>
      <c r="D1071" s="68"/>
      <c r="E1071" s="70">
        <v>126</v>
      </c>
      <c r="F1071" s="71">
        <v>15</v>
      </c>
      <c r="G1071" s="101" t="str">
        <f>INDEX(Tableau8[Att1],MATCH(Tableau3[[#This Row],[ID-INS]],Tableau8[ID],0))&amp;""</f>
        <v>B22</v>
      </c>
      <c r="H1071" s="101" t="str">
        <f>INDEX(Tableau8[Att2],MATCH(Tableau3[[#This Row],[ID-INS]],Tableau8[ID],0))&amp;""</f>
        <v>UTLB11</v>
      </c>
      <c r="I1071" s="101" t="str">
        <f>INDEX(Tableau8[Att3],MATCH(Tableau3[[#This Row],[ID-INS]],Tableau8[ID],0))&amp;""</f>
        <v>UTL bleue IDP13/PMR6</v>
      </c>
      <c r="J1071" s="101"/>
      <c r="K1071" s="167" t="str">
        <f>INDEX(Tableau8[Nom du modele],MATCH(Tableau3[[#This Row],[ID-INS]],Tableau8[ID],0))&amp;""</f>
        <v>UTL</v>
      </c>
      <c r="L1071" s="99" t="str">
        <f>INDEX(Tableau5[Att1],MATCH(Tableau3[[#This Row],[ID-SIG]],Tableau5[ID],0))&amp;""</f>
        <v>DmdOuv</v>
      </c>
      <c r="M1071" s="99" t="str">
        <f>INDEX(Tableau5[Att2],MATCH(Tableau3[[#This Row],[ID-SIG]],Tableau5[ID],0))&amp;""</f>
        <v/>
      </c>
      <c r="N1071" s="99" t="str">
        <f>INDEX(Tableau5[Att3],MATCH(Tableau3[[#This Row],[ID-SIG]],Tableau5[ID],0))&amp;""</f>
        <v/>
      </c>
      <c r="O1071" s="99"/>
      <c r="P1071" s="99" t="str">
        <f>INDEX(Tableau5[Description],MATCH(Tableau3[[#This Row],[ID-SIG]],Tableau5[ID],0))</f>
        <v>Demande d'ouverture venant UTL</v>
      </c>
      <c r="Q1071" s="99"/>
      <c r="R1071" s="103" t="str">
        <f>Tableau3[[#This Row],[Description]]</f>
        <v>Demande d'ouverture venant UTL</v>
      </c>
      <c r="U1071" s="87">
        <v>6</v>
      </c>
      <c r="V1071" s="87">
        <v>2</v>
      </c>
      <c r="W1071" s="87">
        <v>9</v>
      </c>
      <c r="X1071" s="87">
        <v>5</v>
      </c>
      <c r="Y1071" s="40"/>
      <c r="Z1071" s="165" t="str">
        <f>INDEX(Tableau2[TS],MATCH(Tableau3[[#This Row],[ID-CARTEVOIE]],Tableau2[ID-CARTEVOIE],0))</f>
        <v>ET</v>
      </c>
      <c r="AA1071" s="53" t="s">
        <v>213</v>
      </c>
      <c r="AB1071" s="223" t="str">
        <f>IFERROR(INDEX(Tableau5[Reserve],MATCH(Tableau3[[#This Row],[ID-SIG]],Tableau5[ID],0))&amp;"","")</f>
        <v/>
      </c>
      <c r="AC1071" s="21"/>
      <c r="AD1071" s="108" t="str">
        <f>INDEX(Tableau7[Repere],MATCH(Tableau3[[#This Row],[ID-API]],Tableau7[ID-API],0))&amp;""</f>
        <v>A6</v>
      </c>
      <c r="AE1071" s="108" t="str">
        <f>INDEX(Tableau1[Repere-Rack],MATCH(Tableau3[[#This Row],[ID-RACK]],Tableau1[ID-RACK],0))&amp;""</f>
        <v>R2</v>
      </c>
      <c r="AF1071" s="108" t="str">
        <f>INDEX(Tableau1[Repere-Slot],MATCH(Tableau3[[#This Row],[ID-SLOT]],Tableau1[ID-SLOT],0))&amp;""</f>
        <v>S9</v>
      </c>
      <c r="AG1071" s="108" t="str">
        <f>INDEX(Tableau2[Repere-Voie],MATCH(Tableau3[[#This Row],[ID-VOIE]],Tableau2[ID-Voie],0))&amp;""</f>
        <v>v5</v>
      </c>
      <c r="AH1071" s="72" t="str">
        <f>Tableau3[[#This Row],[ID-API]]&amp; "." &amp;Tableau3[[#This Row],[ID-RACK]]&amp; "." &amp;Tableau3[[#This Row],[ID-SLOT]]</f>
        <v>6.2.9</v>
      </c>
      <c r="AI1071" s="72" t="str">
        <f>INDEX(Tableau1[Ref-Carte],MATCH(Tableau3[[#This Row],[ID-RRS]],Tableau1[ID-RRS],0))</f>
        <v>SDI1602</v>
      </c>
      <c r="AJ1071" s="72" t="str">
        <f t="array" ref="AJ1071">IFERROR(INDEX(Tableau2[TS],MATCH(1,(Tableau2[Ref-Carte]=Tableau3[[#This Row],[Ref-Carte2]])*(Tableau2[ID-Voie]=Tableau3[[#This Row],[ID-VOIE]]),0)),"")</f>
        <v>ET</v>
      </c>
      <c r="AK1071" s="72" t="str">
        <f>IFERROR(INDEX(Tableau2[TS],SUMPRODUCT((Tableau2[Ref-Carte]=Tableau3[[#This Row],[Ref-Carte2]])*(Tableau2[ID-Voie]=Tableau3[[#This Row],[ID-VOIE]])*ROW(Tableau2[TS]))-ROW(Tableau2[#Headers])),"")</f>
        <v>ET</v>
      </c>
      <c r="AL1071" s="72" t="str">
        <f>Tableau3[[#This Row],[Ref-Carte2]]&amp;"/"&amp;Tableau3[[#This Row],[ID-VOIE]]</f>
        <v>SDI1602/5</v>
      </c>
      <c r="AM1071" s="73" t="str">
        <f>INDEX(Tableau2[Borne],MATCH(Tableau3[[#This Row],[ID-CARTEVOIE]],Tableau2[ID-CARTEVOIE],0))&amp;""</f>
        <v>2A</v>
      </c>
      <c r="AN1071" s="74" t="str">
        <f>Tableau3[[#This Row],[ID-API]]&amp;Tableau3[[#This Row],[ID-RACK]]&amp;Tableau3[[#This Row],[ID-SLOT]]&amp;Tableau3[[#This Row],[BORNE]]</f>
        <v>6292A</v>
      </c>
      <c r="AO1071" s="1"/>
    </row>
    <row r="1072" spans="1:41" ht="20.100000000000001" customHeight="1" thickTop="1" thickBot="1">
      <c r="A1072" s="68"/>
      <c r="B1072" s="69" t="str">
        <f>IFERROR(INDEX(Tableau4[Date],MATCH($A1072,Tableau4[EVO],0)),"")</f>
        <v/>
      </c>
      <c r="C1072" s="68" t="str">
        <f>IFERROR(INDEX(Tableau4[Designation],MATCH($A1072,Tableau4[EVO],0)),"")</f>
        <v/>
      </c>
      <c r="D1072" s="68"/>
      <c r="E1072" s="70">
        <v>127</v>
      </c>
      <c r="F1072" s="71">
        <v>15</v>
      </c>
      <c r="G1072" s="101" t="str">
        <f>INDEX(Tableau8[Att1],MATCH(Tableau3[[#This Row],[ID-INS]],Tableau8[ID],0))&amp;""</f>
        <v>B22</v>
      </c>
      <c r="H1072" s="101" t="str">
        <f>INDEX(Tableau8[Att2],MATCH(Tableau3[[#This Row],[ID-INS]],Tableau8[ID],0))&amp;""</f>
        <v>UTLB12_1</v>
      </c>
      <c r="I1072" s="101" t="str">
        <f>INDEX(Tableau8[Att3],MATCH(Tableau3[[#This Row],[ID-INS]],Tableau8[ID],0))&amp;""</f>
        <v>UTL bleue AUTP5/TRSD4-1/FRX8</v>
      </c>
      <c r="J1072" s="101"/>
      <c r="K1072" s="167" t="str">
        <f>INDEX(Tableau8[Nom du modele],MATCH(Tableau3[[#This Row],[ID-INS]],Tableau8[ID],0))&amp;""</f>
        <v>UTL</v>
      </c>
      <c r="L1072" s="99" t="str">
        <f>INDEX(Tableau5[Att1],MATCH(Tableau3[[#This Row],[ID-SIG]],Tableau5[ID],0))&amp;""</f>
        <v>DmdOuv</v>
      </c>
      <c r="M1072" s="99" t="str">
        <f>INDEX(Tableau5[Att2],MATCH(Tableau3[[#This Row],[ID-SIG]],Tableau5[ID],0))&amp;""</f>
        <v/>
      </c>
      <c r="N1072" s="99" t="str">
        <f>INDEX(Tableau5[Att3],MATCH(Tableau3[[#This Row],[ID-SIG]],Tableau5[ID],0))&amp;""</f>
        <v/>
      </c>
      <c r="O1072" s="99"/>
      <c r="P1072" s="99" t="str">
        <f>INDEX(Tableau5[Description],MATCH(Tableau3[[#This Row],[ID-SIG]],Tableau5[ID],0))</f>
        <v>Demande d'ouverture venant UTL</v>
      </c>
      <c r="Q1072" s="99"/>
      <c r="R1072" s="103" t="str">
        <f>Tableau3[[#This Row],[Description]]</f>
        <v>Demande d'ouverture venant UTL</v>
      </c>
      <c r="U1072" s="87">
        <v>6</v>
      </c>
      <c r="V1072" s="87">
        <v>2</v>
      </c>
      <c r="W1072" s="87">
        <v>9</v>
      </c>
      <c r="X1072" s="87">
        <v>6</v>
      </c>
      <c r="Y1072" s="40"/>
      <c r="Z1072" s="165" t="str">
        <f>INDEX(Tableau2[TS],MATCH(Tableau3[[#This Row],[ID-CARTEVOIE]],Tableau2[ID-CARTEVOIE],0))</f>
        <v>ET</v>
      </c>
      <c r="AA1072" s="53" t="s">
        <v>213</v>
      </c>
      <c r="AB1072" s="223" t="str">
        <f>IFERROR(INDEX(Tableau5[Reserve],MATCH(Tableau3[[#This Row],[ID-SIG]],Tableau5[ID],0))&amp;"","")</f>
        <v/>
      </c>
      <c r="AC1072" s="21"/>
      <c r="AD1072" s="108" t="str">
        <f>INDEX(Tableau7[Repere],MATCH(Tableau3[[#This Row],[ID-API]],Tableau7[ID-API],0))&amp;""</f>
        <v>A6</v>
      </c>
      <c r="AE1072" s="108" t="str">
        <f>INDEX(Tableau1[Repere-Rack],MATCH(Tableau3[[#This Row],[ID-RACK]],Tableau1[ID-RACK],0))&amp;""</f>
        <v>R2</v>
      </c>
      <c r="AF1072" s="108" t="str">
        <f>INDEX(Tableau1[Repere-Slot],MATCH(Tableau3[[#This Row],[ID-SLOT]],Tableau1[ID-SLOT],0))&amp;""</f>
        <v>S9</v>
      </c>
      <c r="AG1072" s="108" t="str">
        <f>INDEX(Tableau2[Repere-Voie],MATCH(Tableau3[[#This Row],[ID-VOIE]],Tableau2[ID-Voie],0))&amp;""</f>
        <v>v6</v>
      </c>
      <c r="AH1072" s="72" t="str">
        <f>Tableau3[[#This Row],[ID-API]]&amp; "." &amp;Tableau3[[#This Row],[ID-RACK]]&amp; "." &amp;Tableau3[[#This Row],[ID-SLOT]]</f>
        <v>6.2.9</v>
      </c>
      <c r="AI1072" s="72" t="str">
        <f>INDEX(Tableau1[Ref-Carte],MATCH(Tableau3[[#This Row],[ID-RRS]],Tableau1[ID-RRS],0))</f>
        <v>SDI1602</v>
      </c>
      <c r="AJ1072" s="72" t="str">
        <f t="array" ref="AJ1072">IFERROR(INDEX(Tableau2[TS],MATCH(1,(Tableau2[Ref-Carte]=Tableau3[[#This Row],[Ref-Carte2]])*(Tableau2[ID-Voie]=Tableau3[[#This Row],[ID-VOIE]]),0)),"")</f>
        <v>ET</v>
      </c>
      <c r="AK1072" s="72" t="str">
        <f>IFERROR(INDEX(Tableau2[TS],SUMPRODUCT((Tableau2[Ref-Carte]=Tableau3[[#This Row],[Ref-Carte2]])*(Tableau2[ID-Voie]=Tableau3[[#This Row],[ID-VOIE]])*ROW(Tableau2[TS]))-ROW(Tableau2[#Headers])),"")</f>
        <v>ET</v>
      </c>
      <c r="AL1072" s="72" t="str">
        <f>Tableau3[[#This Row],[Ref-Carte2]]&amp;"/"&amp;Tableau3[[#This Row],[ID-VOIE]]</f>
        <v>SDI1602/6</v>
      </c>
      <c r="AM1072" s="73" t="str">
        <f>INDEX(Tableau2[Borne],MATCH(Tableau3[[#This Row],[ID-CARTEVOIE]],Tableau2[ID-CARTEVOIE],0))&amp;""</f>
        <v>3B</v>
      </c>
      <c r="AN1072" s="74" t="str">
        <f>Tableau3[[#This Row],[ID-API]]&amp;Tableau3[[#This Row],[ID-RACK]]&amp;Tableau3[[#This Row],[ID-SLOT]]&amp;Tableau3[[#This Row],[BORNE]]</f>
        <v>6293B</v>
      </c>
      <c r="AO1072" s="1"/>
    </row>
    <row r="1073" spans="1:41" ht="20.100000000000001" customHeight="1" thickTop="1" thickBot="1">
      <c r="A1073" s="68"/>
      <c r="B1073" s="69" t="str">
        <f>IFERROR(INDEX(Tableau4[Date],MATCH($A1073,Tableau4[EVO],0)),"")</f>
        <v/>
      </c>
      <c r="C1073" s="68" t="str">
        <f>IFERROR(INDEX(Tableau4[Designation],MATCH($A1073,Tableau4[EVO],0)),"")</f>
        <v/>
      </c>
      <c r="D1073" s="68"/>
      <c r="E1073" s="70">
        <v>128</v>
      </c>
      <c r="F1073" s="71">
        <v>15</v>
      </c>
      <c r="G1073" s="101" t="str">
        <f>INDEX(Tableau8[Att1],MATCH(Tableau3[[#This Row],[ID-INS]],Tableau8[ID],0))&amp;""</f>
        <v>B22</v>
      </c>
      <c r="H1073" s="101" t="str">
        <f>INDEX(Tableau8[Att2],MATCH(Tableau3[[#This Row],[ID-INS]],Tableau8[ID],0))&amp;""</f>
        <v>UTLB12_2</v>
      </c>
      <c r="I1073" s="101" t="str">
        <f>INDEX(Tableau8[Att3],MATCH(Tableau3[[#This Row],[ID-INS]],Tableau8[ID],0))&amp;""</f>
        <v>UTL bleue IDP14/TRSD4-1/FRX8</v>
      </c>
      <c r="J1073" s="101"/>
      <c r="K1073" s="167" t="str">
        <f>INDEX(Tableau8[Nom du modele],MATCH(Tableau3[[#This Row],[ID-INS]],Tableau8[ID],0))&amp;""</f>
        <v>UTL</v>
      </c>
      <c r="L1073" s="99" t="str">
        <f>INDEX(Tableau5[Att1],MATCH(Tableau3[[#This Row],[ID-SIG]],Tableau5[ID],0))&amp;""</f>
        <v>DmdOuv</v>
      </c>
      <c r="M1073" s="99" t="str">
        <f>INDEX(Tableau5[Att2],MATCH(Tableau3[[#This Row],[ID-SIG]],Tableau5[ID],0))&amp;""</f>
        <v/>
      </c>
      <c r="N1073" s="99" t="str">
        <f>INDEX(Tableau5[Att3],MATCH(Tableau3[[#This Row],[ID-SIG]],Tableau5[ID],0))&amp;""</f>
        <v/>
      </c>
      <c r="O1073" s="99"/>
      <c r="P1073" s="99" t="str">
        <f>INDEX(Tableau5[Description],MATCH(Tableau3[[#This Row],[ID-SIG]],Tableau5[ID],0))</f>
        <v>Demande d'ouverture venant UTL</v>
      </c>
      <c r="Q1073" s="99"/>
      <c r="R1073" s="103" t="str">
        <f>Tableau3[[#This Row],[Description]]</f>
        <v>Demande d'ouverture venant UTL</v>
      </c>
      <c r="U1073" s="87">
        <v>6</v>
      </c>
      <c r="V1073" s="87">
        <v>2</v>
      </c>
      <c r="W1073" s="87">
        <v>9</v>
      </c>
      <c r="X1073" s="87">
        <v>7</v>
      </c>
      <c r="Y1073" s="40"/>
      <c r="Z1073" s="165" t="str">
        <f>INDEX(Tableau2[TS],MATCH(Tableau3[[#This Row],[ID-CARTEVOIE]],Tableau2[ID-CARTEVOIE],0))</f>
        <v>ET</v>
      </c>
      <c r="AA1073" s="53" t="s">
        <v>213</v>
      </c>
      <c r="AB1073" s="223" t="str">
        <f>IFERROR(INDEX(Tableau5[Reserve],MATCH(Tableau3[[#This Row],[ID-SIG]],Tableau5[ID],0))&amp;"","")</f>
        <v/>
      </c>
      <c r="AC1073" s="21"/>
      <c r="AD1073" s="108" t="str">
        <f>INDEX(Tableau7[Repere],MATCH(Tableau3[[#This Row],[ID-API]],Tableau7[ID-API],0))&amp;""</f>
        <v>A6</v>
      </c>
      <c r="AE1073" s="108" t="str">
        <f>INDEX(Tableau1[Repere-Rack],MATCH(Tableau3[[#This Row],[ID-RACK]],Tableau1[ID-RACK],0))&amp;""</f>
        <v>R2</v>
      </c>
      <c r="AF1073" s="108" t="str">
        <f>INDEX(Tableau1[Repere-Slot],MATCH(Tableau3[[#This Row],[ID-SLOT]],Tableau1[ID-SLOT],0))&amp;""</f>
        <v>S9</v>
      </c>
      <c r="AG1073" s="108" t="str">
        <f>INDEX(Tableau2[Repere-Voie],MATCH(Tableau3[[#This Row],[ID-VOIE]],Tableau2[ID-Voie],0))&amp;""</f>
        <v>v7</v>
      </c>
      <c r="AH1073" s="72" t="str">
        <f>Tableau3[[#This Row],[ID-API]]&amp; "." &amp;Tableau3[[#This Row],[ID-RACK]]&amp; "." &amp;Tableau3[[#This Row],[ID-SLOT]]</f>
        <v>6.2.9</v>
      </c>
      <c r="AI1073" s="72" t="str">
        <f>INDEX(Tableau1[Ref-Carte],MATCH(Tableau3[[#This Row],[ID-RRS]],Tableau1[ID-RRS],0))</f>
        <v>SDI1602</v>
      </c>
      <c r="AJ1073" s="72" t="str">
        <f t="array" ref="AJ1073">IFERROR(INDEX(Tableau2[TS],MATCH(1,(Tableau2[Ref-Carte]=Tableau3[[#This Row],[Ref-Carte2]])*(Tableau2[ID-Voie]=Tableau3[[#This Row],[ID-VOIE]]),0)),"")</f>
        <v>ET</v>
      </c>
      <c r="AK1073" s="72" t="str">
        <f>IFERROR(INDEX(Tableau2[TS],SUMPRODUCT((Tableau2[Ref-Carte]=Tableau3[[#This Row],[Ref-Carte2]])*(Tableau2[ID-Voie]=Tableau3[[#This Row],[ID-VOIE]])*ROW(Tableau2[TS]))-ROW(Tableau2[#Headers])),"")</f>
        <v>ET</v>
      </c>
      <c r="AL1073" s="72" t="str">
        <f>Tableau3[[#This Row],[Ref-Carte2]]&amp;"/"&amp;Tableau3[[#This Row],[ID-VOIE]]</f>
        <v>SDI1602/7</v>
      </c>
      <c r="AM1073" s="73" t="str">
        <f>INDEX(Tableau2[Borne],MATCH(Tableau3[[#This Row],[ID-CARTEVOIE]],Tableau2[ID-CARTEVOIE],0))&amp;""</f>
        <v>3A</v>
      </c>
      <c r="AN1073" s="74" t="str">
        <f>Tableau3[[#This Row],[ID-API]]&amp;Tableau3[[#This Row],[ID-RACK]]&amp;Tableau3[[#This Row],[ID-SLOT]]&amp;Tableau3[[#This Row],[BORNE]]</f>
        <v>6293A</v>
      </c>
      <c r="AO1073" s="1"/>
    </row>
    <row r="1074" spans="1:41" ht="20.100000000000001" customHeight="1" thickTop="1" thickBot="1">
      <c r="A1074" s="68"/>
      <c r="B1074" s="69" t="str">
        <f>IFERROR(INDEX(Tableau4[Date],MATCH($A1074,Tableau4[EVO],0)),"")</f>
        <v/>
      </c>
      <c r="C1074" s="68" t="str">
        <f>IFERROR(INDEX(Tableau4[Designation],MATCH($A1074,Tableau4[EVO],0)),"")</f>
        <v/>
      </c>
      <c r="D1074" s="68"/>
      <c r="E1074" s="70">
        <v>129</v>
      </c>
      <c r="F1074" s="71">
        <v>15</v>
      </c>
      <c r="G1074" s="101" t="str">
        <f>INDEX(Tableau8[Att1],MATCH(Tableau3[[#This Row],[ID-INS]],Tableau8[ID],0))&amp;""</f>
        <v>B22</v>
      </c>
      <c r="H1074" s="101" t="str">
        <f>INDEX(Tableau8[Att2],MATCH(Tableau3[[#This Row],[ID-INS]],Tableau8[ID],0))&amp;""</f>
        <v>UTLB13_1</v>
      </c>
      <c r="I1074" s="101" t="str">
        <f>INDEX(Tableau8[Att3],MATCH(Tableau3[[#This Row],[ID-INS]],Tableau8[ID],0))&amp;""</f>
        <v>UTL bleue AUTP6/TRSD4-2/FRX9</v>
      </c>
      <c r="J1074" s="101"/>
      <c r="K1074" s="167" t="str">
        <f>INDEX(Tableau8[Nom du modele],MATCH(Tableau3[[#This Row],[ID-INS]],Tableau8[ID],0))&amp;""</f>
        <v>UTL</v>
      </c>
      <c r="L1074" s="99" t="str">
        <f>INDEX(Tableau5[Att1],MATCH(Tableau3[[#This Row],[ID-SIG]],Tableau5[ID],0))&amp;""</f>
        <v>DmdOuv</v>
      </c>
      <c r="M1074" s="99" t="str">
        <f>INDEX(Tableau5[Att2],MATCH(Tableau3[[#This Row],[ID-SIG]],Tableau5[ID],0))&amp;""</f>
        <v/>
      </c>
      <c r="N1074" s="99" t="str">
        <f>INDEX(Tableau5[Att3],MATCH(Tableau3[[#This Row],[ID-SIG]],Tableau5[ID],0))&amp;""</f>
        <v/>
      </c>
      <c r="O1074" s="99"/>
      <c r="P1074" s="99" t="str">
        <f>INDEX(Tableau5[Description],MATCH(Tableau3[[#This Row],[ID-SIG]],Tableau5[ID],0))</f>
        <v>Demande d'ouverture venant UTL</v>
      </c>
      <c r="Q1074" s="99"/>
      <c r="R1074" s="103" t="str">
        <f>Tableau3[[#This Row],[Description]]</f>
        <v>Demande d'ouverture venant UTL</v>
      </c>
      <c r="U1074" s="87">
        <v>6</v>
      </c>
      <c r="V1074" s="87">
        <v>2</v>
      </c>
      <c r="W1074" s="87">
        <v>9</v>
      </c>
      <c r="X1074" s="87">
        <v>8</v>
      </c>
      <c r="Y1074" s="40"/>
      <c r="Z1074" s="165" t="str">
        <f>INDEX(Tableau2[TS],MATCH(Tableau3[[#This Row],[ID-CARTEVOIE]],Tableau2[ID-CARTEVOIE],0))</f>
        <v>ET</v>
      </c>
      <c r="AA1074" s="53" t="s">
        <v>213</v>
      </c>
      <c r="AB1074" s="223" t="str">
        <f>IFERROR(INDEX(Tableau5[Reserve],MATCH(Tableau3[[#This Row],[ID-SIG]],Tableau5[ID],0))&amp;"","")</f>
        <v/>
      </c>
      <c r="AC1074" s="21"/>
      <c r="AD1074" s="108" t="str">
        <f>INDEX(Tableau7[Repere],MATCH(Tableau3[[#This Row],[ID-API]],Tableau7[ID-API],0))&amp;""</f>
        <v>A6</v>
      </c>
      <c r="AE1074" s="108" t="str">
        <f>INDEX(Tableau1[Repere-Rack],MATCH(Tableau3[[#This Row],[ID-RACK]],Tableau1[ID-RACK],0))&amp;""</f>
        <v>R2</v>
      </c>
      <c r="AF1074" s="108" t="str">
        <f>INDEX(Tableau1[Repere-Slot],MATCH(Tableau3[[#This Row],[ID-SLOT]],Tableau1[ID-SLOT],0))&amp;""</f>
        <v>S9</v>
      </c>
      <c r="AG1074" s="108" t="str">
        <f>INDEX(Tableau2[Repere-Voie],MATCH(Tableau3[[#This Row],[ID-VOIE]],Tableau2[ID-Voie],0))&amp;""</f>
        <v>v8</v>
      </c>
      <c r="AH1074" s="72" t="str">
        <f>Tableau3[[#This Row],[ID-API]]&amp; "." &amp;Tableau3[[#This Row],[ID-RACK]]&amp; "." &amp;Tableau3[[#This Row],[ID-SLOT]]</f>
        <v>6.2.9</v>
      </c>
      <c r="AI1074" s="72" t="str">
        <f>INDEX(Tableau1[Ref-Carte],MATCH(Tableau3[[#This Row],[ID-RRS]],Tableau1[ID-RRS],0))</f>
        <v>SDI1602</v>
      </c>
      <c r="AJ1074" s="72" t="str">
        <f t="array" ref="AJ1074">IFERROR(INDEX(Tableau2[TS],MATCH(1,(Tableau2[Ref-Carte]=Tableau3[[#This Row],[Ref-Carte2]])*(Tableau2[ID-Voie]=Tableau3[[#This Row],[ID-VOIE]]),0)),"")</f>
        <v>ET</v>
      </c>
      <c r="AK1074" s="72" t="str">
        <f>IFERROR(INDEX(Tableau2[TS],SUMPRODUCT((Tableau2[Ref-Carte]=Tableau3[[#This Row],[Ref-Carte2]])*(Tableau2[ID-Voie]=Tableau3[[#This Row],[ID-VOIE]])*ROW(Tableau2[TS]))-ROW(Tableau2[#Headers])),"")</f>
        <v>ET</v>
      </c>
      <c r="AL1074" s="72" t="str">
        <f>Tableau3[[#This Row],[Ref-Carte2]]&amp;"/"&amp;Tableau3[[#This Row],[ID-VOIE]]</f>
        <v>SDI1602/8</v>
      </c>
      <c r="AM1074" s="73" t="str">
        <f>INDEX(Tableau2[Borne],MATCH(Tableau3[[#This Row],[ID-CARTEVOIE]],Tableau2[ID-CARTEVOIE],0))&amp;""</f>
        <v>4B</v>
      </c>
      <c r="AN1074" s="74" t="str">
        <f>Tableau3[[#This Row],[ID-API]]&amp;Tableau3[[#This Row],[ID-RACK]]&amp;Tableau3[[#This Row],[ID-SLOT]]&amp;Tableau3[[#This Row],[BORNE]]</f>
        <v>6294B</v>
      </c>
      <c r="AO1074" s="1"/>
    </row>
    <row r="1075" spans="1:41" ht="20.100000000000001" customHeight="1" thickTop="1" thickBot="1">
      <c r="A1075" s="68"/>
      <c r="B1075" s="69" t="str">
        <f>IFERROR(INDEX(Tableau4[Date],MATCH($A1075,Tableau4[EVO],0)),"")</f>
        <v/>
      </c>
      <c r="C1075" s="68" t="str">
        <f>IFERROR(INDEX(Tableau4[Designation],MATCH($A1075,Tableau4[EVO],0)),"")</f>
        <v/>
      </c>
      <c r="D1075" s="68"/>
      <c r="E1075" s="70">
        <v>130</v>
      </c>
      <c r="F1075" s="71">
        <v>15</v>
      </c>
      <c r="G1075" s="101" t="str">
        <f>INDEX(Tableau8[Att1],MATCH(Tableau3[[#This Row],[ID-INS]],Tableau8[ID],0))&amp;""</f>
        <v>B22</v>
      </c>
      <c r="H1075" s="101" t="str">
        <f>INDEX(Tableau8[Att2],MATCH(Tableau3[[#This Row],[ID-INS]],Tableau8[ID],0))&amp;""</f>
        <v>UTLB13_2</v>
      </c>
      <c r="I1075" s="101" t="str">
        <f>INDEX(Tableau8[Att3],MATCH(Tableau3[[#This Row],[ID-INS]],Tableau8[ID],0))&amp;""</f>
        <v>UTL bleue IDP15/TRSD4-2/FRX9</v>
      </c>
      <c r="J1075" s="101"/>
      <c r="K1075" s="167" t="str">
        <f>INDEX(Tableau8[Nom du modele],MATCH(Tableau3[[#This Row],[ID-INS]],Tableau8[ID],0))&amp;""</f>
        <v>UTL</v>
      </c>
      <c r="L1075" s="99" t="str">
        <f>INDEX(Tableau5[Att1],MATCH(Tableau3[[#This Row],[ID-SIG]],Tableau5[ID],0))&amp;""</f>
        <v>DmdOuv</v>
      </c>
      <c r="M1075" s="99" t="str">
        <f>INDEX(Tableau5[Att2],MATCH(Tableau3[[#This Row],[ID-SIG]],Tableau5[ID],0))&amp;""</f>
        <v/>
      </c>
      <c r="N1075" s="99" t="str">
        <f>INDEX(Tableau5[Att3],MATCH(Tableau3[[#This Row],[ID-SIG]],Tableau5[ID],0))&amp;""</f>
        <v/>
      </c>
      <c r="O1075" s="99"/>
      <c r="P1075" s="99" t="str">
        <f>INDEX(Tableau5[Description],MATCH(Tableau3[[#This Row],[ID-SIG]],Tableau5[ID],0))</f>
        <v>Demande d'ouverture venant UTL</v>
      </c>
      <c r="Q1075" s="99"/>
      <c r="R1075" s="103" t="str">
        <f>Tableau3[[#This Row],[Description]]</f>
        <v>Demande d'ouverture venant UTL</v>
      </c>
      <c r="U1075" s="87">
        <v>6</v>
      </c>
      <c r="V1075" s="87">
        <v>2</v>
      </c>
      <c r="W1075" s="87">
        <v>9</v>
      </c>
      <c r="X1075" s="87">
        <v>9</v>
      </c>
      <c r="Y1075" s="40"/>
      <c r="Z1075" s="165" t="str">
        <f>INDEX(Tableau2[TS],MATCH(Tableau3[[#This Row],[ID-CARTEVOIE]],Tableau2[ID-CARTEVOIE],0))</f>
        <v>ET</v>
      </c>
      <c r="AA1075" s="53" t="s">
        <v>213</v>
      </c>
      <c r="AB1075" s="223" t="str">
        <f>IFERROR(INDEX(Tableau5[Reserve],MATCH(Tableau3[[#This Row],[ID-SIG]],Tableau5[ID],0))&amp;"","")</f>
        <v/>
      </c>
      <c r="AC1075" s="21"/>
      <c r="AD1075" s="108" t="str">
        <f>INDEX(Tableau7[Repere],MATCH(Tableau3[[#This Row],[ID-API]],Tableau7[ID-API],0))&amp;""</f>
        <v>A6</v>
      </c>
      <c r="AE1075" s="108" t="str">
        <f>INDEX(Tableau1[Repere-Rack],MATCH(Tableau3[[#This Row],[ID-RACK]],Tableau1[ID-RACK],0))&amp;""</f>
        <v>R2</v>
      </c>
      <c r="AF1075" s="108" t="str">
        <f>INDEX(Tableau1[Repere-Slot],MATCH(Tableau3[[#This Row],[ID-SLOT]],Tableau1[ID-SLOT],0))&amp;""</f>
        <v>S9</v>
      </c>
      <c r="AG1075" s="108" t="str">
        <f>INDEX(Tableau2[Repere-Voie],MATCH(Tableau3[[#This Row],[ID-VOIE]],Tableau2[ID-Voie],0))&amp;""</f>
        <v>v9</v>
      </c>
      <c r="AH1075" s="72" t="str">
        <f>Tableau3[[#This Row],[ID-API]]&amp; "." &amp;Tableau3[[#This Row],[ID-RACK]]&amp; "." &amp;Tableau3[[#This Row],[ID-SLOT]]</f>
        <v>6.2.9</v>
      </c>
      <c r="AI1075" s="72" t="str">
        <f>INDEX(Tableau1[Ref-Carte],MATCH(Tableau3[[#This Row],[ID-RRS]],Tableau1[ID-RRS],0))</f>
        <v>SDI1602</v>
      </c>
      <c r="AJ1075" s="72" t="str">
        <f t="array" ref="AJ1075">IFERROR(INDEX(Tableau2[TS],MATCH(1,(Tableau2[Ref-Carte]=Tableau3[[#This Row],[Ref-Carte2]])*(Tableau2[ID-Voie]=Tableau3[[#This Row],[ID-VOIE]]),0)),"")</f>
        <v>ET</v>
      </c>
      <c r="AK1075" s="72" t="str">
        <f>IFERROR(INDEX(Tableau2[TS],SUMPRODUCT((Tableau2[Ref-Carte]=Tableau3[[#This Row],[Ref-Carte2]])*(Tableau2[ID-Voie]=Tableau3[[#This Row],[ID-VOIE]])*ROW(Tableau2[TS]))-ROW(Tableau2[#Headers])),"")</f>
        <v>ET</v>
      </c>
      <c r="AL1075" s="72" t="str">
        <f>Tableau3[[#This Row],[Ref-Carte2]]&amp;"/"&amp;Tableau3[[#This Row],[ID-VOIE]]</f>
        <v>SDI1602/9</v>
      </c>
      <c r="AM1075" s="73" t="str">
        <f>INDEX(Tableau2[Borne],MATCH(Tableau3[[#This Row],[ID-CARTEVOIE]],Tableau2[ID-CARTEVOIE],0))&amp;""</f>
        <v>4A</v>
      </c>
      <c r="AN1075" s="74" t="str">
        <f>Tableau3[[#This Row],[ID-API]]&amp;Tableau3[[#This Row],[ID-RACK]]&amp;Tableau3[[#This Row],[ID-SLOT]]&amp;Tableau3[[#This Row],[BORNE]]</f>
        <v>6294A</v>
      </c>
      <c r="AO1075" s="1"/>
    </row>
    <row r="1076" spans="1:41" ht="20.100000000000001" customHeight="1" thickTop="1" thickBot="1">
      <c r="A1076" s="68"/>
      <c r="B1076" s="69" t="str">
        <f>IFERROR(INDEX(Tableau4[Date],MATCH($A1076,Tableau4[EVO],0)),"")</f>
        <v/>
      </c>
      <c r="C1076" s="68" t="str">
        <f>IFERROR(INDEX(Tableau4[Designation],MATCH($A1076,Tableau4[EVO],0)),"")</f>
        <v/>
      </c>
      <c r="D1076" s="68"/>
      <c r="E1076" s="70">
        <v>136</v>
      </c>
      <c r="F1076" s="71">
        <v>10</v>
      </c>
      <c r="G1076" s="101" t="str">
        <f>INDEX(Tableau8[Att1],MATCH(Tableau3[[#This Row],[ID-INS]],Tableau8[ID],0))&amp;""</f>
        <v>V5</v>
      </c>
      <c r="H1076" s="101" t="str">
        <f>INDEX(Tableau8[Att2],MATCH(Tableau3[[#This Row],[ID-INS]],Tableau8[ID],0))&amp;""</f>
        <v>CORA5</v>
      </c>
      <c r="I1076" s="101" t="str">
        <f>INDEX(Tableau8[Att3],MATCH(Tableau3[[#This Row],[ID-INS]],Tableau8[ID],0))&amp;""</f>
        <v>CORA Zone 5</v>
      </c>
      <c r="J1076" s="101"/>
      <c r="K1076" s="167" t="str">
        <f>INDEX(Tableau8[Nom du modele],MATCH(Tableau3[[#This Row],[ID-INS]],Tableau8[ID],0))&amp;""</f>
        <v>CORA</v>
      </c>
      <c r="L1076" s="99" t="str">
        <f>INDEX(Tableau5[Att1],MATCH(Tableau3[[#This Row],[ID-SIG]],Tableau5[ID],0))&amp;""</f>
        <v>Detect</v>
      </c>
      <c r="M1076" s="99" t="str">
        <f>INDEX(Tableau5[Att2],MATCH(Tableau3[[#This Row],[ID-SIG]],Tableau5[ID],0))&amp;""</f>
        <v/>
      </c>
      <c r="N1076" s="99" t="str">
        <f>INDEX(Tableau5[Att3],MATCH(Tableau3[[#This Row],[ID-SIG]],Tableau5[ID],0))&amp;""</f>
        <v/>
      </c>
      <c r="O1076" s="99"/>
      <c r="P1076" s="99" t="str">
        <f>INDEX(Tableau5[Description],MATCH(Tableau3[[#This Row],[ID-SIG]],Tableau5[ID],0))</f>
        <v>Détection</v>
      </c>
      <c r="Q1076" s="99"/>
      <c r="R1076" s="103" t="str">
        <f>Tableau3[[#This Row],[Description]]</f>
        <v>Détection</v>
      </c>
      <c r="U1076" s="87">
        <v>6</v>
      </c>
      <c r="V1076" s="87">
        <v>2</v>
      </c>
      <c r="W1076" s="87">
        <v>9</v>
      </c>
      <c r="X1076" s="87">
        <v>10</v>
      </c>
      <c r="Y1076" s="40"/>
      <c r="Z1076" s="165" t="str">
        <f>INDEX(Tableau2[TS],MATCH(Tableau3[[#This Row],[ID-CARTEVOIE]],Tableau2[ID-CARTEVOIE],0))</f>
        <v>ET</v>
      </c>
      <c r="AA1076" s="53" t="s">
        <v>213</v>
      </c>
      <c r="AB1076" s="223" t="str">
        <f>IFERROR(INDEX(Tableau5[Reserve],MATCH(Tableau3[[#This Row],[ID-SIG]],Tableau5[ID],0))&amp;"","")</f>
        <v/>
      </c>
      <c r="AC1076" s="21"/>
      <c r="AD1076" s="108" t="str">
        <f>INDEX(Tableau7[Repere],MATCH(Tableau3[[#This Row],[ID-API]],Tableau7[ID-API],0))&amp;""</f>
        <v>A6</v>
      </c>
      <c r="AE1076" s="108" t="str">
        <f>INDEX(Tableau1[Repere-Rack],MATCH(Tableau3[[#This Row],[ID-RACK]],Tableau1[ID-RACK],0))&amp;""</f>
        <v>R2</v>
      </c>
      <c r="AF1076" s="108" t="str">
        <f>INDEX(Tableau1[Repere-Slot],MATCH(Tableau3[[#This Row],[ID-SLOT]],Tableau1[ID-SLOT],0))&amp;""</f>
        <v>S9</v>
      </c>
      <c r="AG1076" s="108" t="str">
        <f>INDEX(Tableau2[Repere-Voie],MATCH(Tableau3[[#This Row],[ID-VOIE]],Tableau2[ID-Voie],0))&amp;""</f>
        <v>v10</v>
      </c>
      <c r="AH1076" s="72" t="str">
        <f>Tableau3[[#This Row],[ID-API]]&amp; "." &amp;Tableau3[[#This Row],[ID-RACK]]&amp; "." &amp;Tableau3[[#This Row],[ID-SLOT]]</f>
        <v>6.2.9</v>
      </c>
      <c r="AI1076" s="72" t="str">
        <f>INDEX(Tableau1[Ref-Carte],MATCH(Tableau3[[#This Row],[ID-RRS]],Tableau1[ID-RRS],0))</f>
        <v>SDI1602</v>
      </c>
      <c r="AJ1076" s="72" t="str">
        <f t="array" ref="AJ1076">IFERROR(INDEX(Tableau2[TS],MATCH(1,(Tableau2[Ref-Carte]=Tableau3[[#This Row],[Ref-Carte2]])*(Tableau2[ID-Voie]=Tableau3[[#This Row],[ID-VOIE]]),0)),"")</f>
        <v>ET</v>
      </c>
      <c r="AK1076" s="72" t="str">
        <f>IFERROR(INDEX(Tableau2[TS],SUMPRODUCT((Tableau2[Ref-Carte]=Tableau3[[#This Row],[Ref-Carte2]])*(Tableau2[ID-Voie]=Tableau3[[#This Row],[ID-VOIE]])*ROW(Tableau2[TS]))-ROW(Tableau2[#Headers])),"")</f>
        <v>ET</v>
      </c>
      <c r="AL1076" s="72" t="str">
        <f>Tableau3[[#This Row],[Ref-Carte2]]&amp;"/"&amp;Tableau3[[#This Row],[ID-VOIE]]</f>
        <v>SDI1602/10</v>
      </c>
      <c r="AM1076" s="73" t="str">
        <f>INDEX(Tableau2[Borne],MATCH(Tableau3[[#This Row],[ID-CARTEVOIE]],Tableau2[ID-CARTEVOIE],0))&amp;""</f>
        <v>5B</v>
      </c>
      <c r="AN1076" s="74" t="str">
        <f>Tableau3[[#This Row],[ID-API]]&amp;Tableau3[[#This Row],[ID-RACK]]&amp;Tableau3[[#This Row],[ID-SLOT]]&amp;Tableau3[[#This Row],[BORNE]]</f>
        <v>6295B</v>
      </c>
      <c r="AO1076" s="1"/>
    </row>
    <row r="1077" spans="1:41" ht="20.100000000000001" customHeight="1" thickTop="1" thickBot="1">
      <c r="A1077" s="68"/>
      <c r="B1077" s="69" t="str">
        <f>IFERROR(INDEX(Tableau4[Date],MATCH($A1077,Tableau4[EVO],0)),"")</f>
        <v/>
      </c>
      <c r="C1077" s="68" t="str">
        <f>IFERROR(INDEX(Tableau4[Designation],MATCH($A1077,Tableau4[EVO],0)),"")</f>
        <v/>
      </c>
      <c r="D1077" s="68"/>
      <c r="E1077" s="70">
        <v>136</v>
      </c>
      <c r="F1077" s="71">
        <v>11</v>
      </c>
      <c r="G1077" s="101" t="str">
        <f>INDEX(Tableau8[Att1],MATCH(Tableau3[[#This Row],[ID-INS]],Tableau8[ID],0))&amp;""</f>
        <v>V5</v>
      </c>
      <c r="H1077" s="101" t="str">
        <f>INDEX(Tableau8[Att2],MATCH(Tableau3[[#This Row],[ID-INS]],Tableau8[ID],0))&amp;""</f>
        <v>CORA5</v>
      </c>
      <c r="I1077" s="101" t="str">
        <f>INDEX(Tableau8[Att3],MATCH(Tableau3[[#This Row],[ID-INS]],Tableau8[ID],0))&amp;""</f>
        <v>CORA Zone 5</v>
      </c>
      <c r="J1077" s="101"/>
      <c r="K1077" s="167" t="str">
        <f>INDEX(Tableau8[Nom du modele],MATCH(Tableau3[[#This Row],[ID-INS]],Tableau8[ID],0))&amp;""</f>
        <v>CORA</v>
      </c>
      <c r="L1077" s="99" t="str">
        <f>INDEX(Tableau5[Att1],MATCH(Tableau3[[#This Row],[ID-SIG]],Tableau5[ID],0))&amp;""</f>
        <v>Def</v>
      </c>
      <c r="M1077" s="99" t="str">
        <f>INDEX(Tableau5[Att2],MATCH(Tableau3[[#This Row],[ID-SIG]],Tableau5[ID],0))&amp;""</f>
        <v/>
      </c>
      <c r="N1077" s="99" t="str">
        <f>INDEX(Tableau5[Att3],MATCH(Tableau3[[#This Row],[ID-SIG]],Tableau5[ID],0))&amp;""</f>
        <v/>
      </c>
      <c r="O1077" s="99"/>
      <c r="P1077" s="99" t="str">
        <f>INDEX(Tableau5[Description],MATCH(Tableau3[[#This Row],[ID-SIG]],Tableau5[ID],0))</f>
        <v>Défaut</v>
      </c>
      <c r="Q1077" s="99"/>
      <c r="R1077" s="103" t="str">
        <f>Tableau3[[#This Row],[Description]]</f>
        <v>Défaut</v>
      </c>
      <c r="U1077" s="87">
        <v>6</v>
      </c>
      <c r="V1077" s="87">
        <v>2</v>
      </c>
      <c r="W1077" s="87">
        <v>9</v>
      </c>
      <c r="X1077" s="87">
        <v>11</v>
      </c>
      <c r="Y1077" s="40"/>
      <c r="Z1077" s="165" t="str">
        <f>INDEX(Tableau2[TS],MATCH(Tableau3[[#This Row],[ID-CARTEVOIE]],Tableau2[ID-CARTEVOIE],0))</f>
        <v>ET</v>
      </c>
      <c r="AA1077" s="53" t="s">
        <v>213</v>
      </c>
      <c r="AB1077" s="223" t="str">
        <f>IFERROR(INDEX(Tableau5[Reserve],MATCH(Tableau3[[#This Row],[ID-SIG]],Tableau5[ID],0))&amp;"","")</f>
        <v/>
      </c>
      <c r="AC1077" s="21"/>
      <c r="AD1077" s="108" t="str">
        <f>INDEX(Tableau7[Repere],MATCH(Tableau3[[#This Row],[ID-API]],Tableau7[ID-API],0))&amp;""</f>
        <v>A6</v>
      </c>
      <c r="AE1077" s="108" t="str">
        <f>INDEX(Tableau1[Repere-Rack],MATCH(Tableau3[[#This Row],[ID-RACK]],Tableau1[ID-RACK],0))&amp;""</f>
        <v>R2</v>
      </c>
      <c r="AF1077" s="108" t="str">
        <f>INDEX(Tableau1[Repere-Slot],MATCH(Tableau3[[#This Row],[ID-SLOT]],Tableau1[ID-SLOT],0))&amp;""</f>
        <v>S9</v>
      </c>
      <c r="AG1077" s="108" t="str">
        <f>INDEX(Tableau2[Repere-Voie],MATCH(Tableau3[[#This Row],[ID-VOIE]],Tableau2[ID-Voie],0))&amp;""</f>
        <v>v11</v>
      </c>
      <c r="AH1077" s="72" t="str">
        <f>Tableau3[[#This Row],[ID-API]]&amp; "." &amp;Tableau3[[#This Row],[ID-RACK]]&amp; "." &amp;Tableau3[[#This Row],[ID-SLOT]]</f>
        <v>6.2.9</v>
      </c>
      <c r="AI1077" s="72" t="str">
        <f>INDEX(Tableau1[Ref-Carte],MATCH(Tableau3[[#This Row],[ID-RRS]],Tableau1[ID-RRS],0))</f>
        <v>SDI1602</v>
      </c>
      <c r="AJ1077" s="72" t="str">
        <f t="array" ref="AJ1077">IFERROR(INDEX(Tableau2[TS],MATCH(1,(Tableau2[Ref-Carte]=Tableau3[[#This Row],[Ref-Carte2]])*(Tableau2[ID-Voie]=Tableau3[[#This Row],[ID-VOIE]]),0)),"")</f>
        <v>ET</v>
      </c>
      <c r="AK1077" s="72" t="str">
        <f>IFERROR(INDEX(Tableau2[TS],SUMPRODUCT((Tableau2[Ref-Carte]=Tableau3[[#This Row],[Ref-Carte2]])*(Tableau2[ID-Voie]=Tableau3[[#This Row],[ID-VOIE]])*ROW(Tableau2[TS]))-ROW(Tableau2[#Headers])),"")</f>
        <v>ET</v>
      </c>
      <c r="AL1077" s="72" t="str">
        <f>Tableau3[[#This Row],[Ref-Carte2]]&amp;"/"&amp;Tableau3[[#This Row],[ID-VOIE]]</f>
        <v>SDI1602/11</v>
      </c>
      <c r="AM1077" s="73" t="str">
        <f>INDEX(Tableau2[Borne],MATCH(Tableau3[[#This Row],[ID-CARTEVOIE]],Tableau2[ID-CARTEVOIE],0))&amp;""</f>
        <v>5A</v>
      </c>
      <c r="AN1077" s="74" t="str">
        <f>Tableau3[[#This Row],[ID-API]]&amp;Tableau3[[#This Row],[ID-RACK]]&amp;Tableau3[[#This Row],[ID-SLOT]]&amp;Tableau3[[#This Row],[BORNE]]</f>
        <v>6295A</v>
      </c>
      <c r="AO1077" s="1"/>
    </row>
    <row r="1078" spans="1:41" ht="20.100000000000001" customHeight="1" thickTop="1" thickBot="1">
      <c r="A1078" s="68"/>
      <c r="B1078" s="69" t="str">
        <f>IFERROR(INDEX(Tableau4[Date],MATCH($A1078,Tableau4[EVO],0)),"")</f>
        <v/>
      </c>
      <c r="C1078" s="68" t="str">
        <f>IFERROR(INDEX(Tableau4[Designation],MATCH($A1078,Tableau4[EVO],0)),"")</f>
        <v/>
      </c>
      <c r="D1078" s="68"/>
      <c r="E1078" s="70">
        <v>136</v>
      </c>
      <c r="F1078" s="71">
        <v>12</v>
      </c>
      <c r="G1078" s="101" t="str">
        <f>INDEX(Tableau8[Att1],MATCH(Tableau3[[#This Row],[ID-INS]],Tableau8[ID],0))&amp;""</f>
        <v>V5</v>
      </c>
      <c r="H1078" s="101" t="str">
        <f>INDEX(Tableau8[Att2],MATCH(Tableau3[[#This Row],[ID-INS]],Tableau8[ID],0))&amp;""</f>
        <v>CORA5</v>
      </c>
      <c r="I1078" s="101" t="str">
        <f>INDEX(Tableau8[Att3],MATCH(Tableau3[[#This Row],[ID-INS]],Tableau8[ID],0))&amp;""</f>
        <v>CORA Zone 5</v>
      </c>
      <c r="J1078" s="101"/>
      <c r="K1078" s="167" t="str">
        <f>INDEX(Tableau8[Nom du modele],MATCH(Tableau3[[#This Row],[ID-INS]],Tableau8[ID],0))&amp;""</f>
        <v>CORA</v>
      </c>
      <c r="L1078" s="99" t="str">
        <f>INDEX(Tableau5[Att1],MATCH(Tableau3[[#This Row],[ID-SIG]],Tableau5[ID],0))&amp;""</f>
        <v>E3</v>
      </c>
      <c r="M1078" s="99" t="str">
        <f>INDEX(Tableau5[Att2],MATCH(Tableau3[[#This Row],[ID-SIG]],Tableau5[ID],0))&amp;""</f>
        <v/>
      </c>
      <c r="N1078" s="99" t="str">
        <f>INDEX(Tableau5[Att3],MATCH(Tableau3[[#This Row],[ID-SIG]],Tableau5[ID],0))&amp;""</f>
        <v/>
      </c>
      <c r="O1078" s="99"/>
      <c r="P1078" s="99" t="str">
        <f>INDEX(Tableau5[Description],MATCH(Tableau3[[#This Row],[ID-SIG]],Tableau5[ID],0))</f>
        <v>Entrée 3</v>
      </c>
      <c r="Q1078" s="99"/>
      <c r="R1078" s="103" t="str">
        <f>Tableau3[[#This Row],[Description]]</f>
        <v>Entrée 3</v>
      </c>
      <c r="U1078" s="87">
        <v>6</v>
      </c>
      <c r="V1078" s="87">
        <v>2</v>
      </c>
      <c r="W1078" s="87">
        <v>9</v>
      </c>
      <c r="X1078" s="87">
        <v>12</v>
      </c>
      <c r="Y1078" s="40"/>
      <c r="Z1078" s="165" t="str">
        <f>INDEX(Tableau2[TS],MATCH(Tableau3[[#This Row],[ID-CARTEVOIE]],Tableau2[ID-CARTEVOIE],0))</f>
        <v>ET</v>
      </c>
      <c r="AA1078" s="53" t="s">
        <v>213</v>
      </c>
      <c r="AB1078" s="223" t="str">
        <f>IFERROR(INDEX(Tableau5[Reserve],MATCH(Tableau3[[#This Row],[ID-SIG]],Tableau5[ID],0))&amp;"","")</f>
        <v/>
      </c>
      <c r="AC1078" s="21"/>
      <c r="AD1078" s="108" t="str">
        <f>INDEX(Tableau7[Repere],MATCH(Tableau3[[#This Row],[ID-API]],Tableau7[ID-API],0))&amp;""</f>
        <v>A6</v>
      </c>
      <c r="AE1078" s="108" t="str">
        <f>INDEX(Tableau1[Repere-Rack],MATCH(Tableau3[[#This Row],[ID-RACK]],Tableau1[ID-RACK],0))&amp;""</f>
        <v>R2</v>
      </c>
      <c r="AF1078" s="108" t="str">
        <f>INDEX(Tableau1[Repere-Slot],MATCH(Tableau3[[#This Row],[ID-SLOT]],Tableau1[ID-SLOT],0))&amp;""</f>
        <v>S9</v>
      </c>
      <c r="AG1078" s="108" t="str">
        <f>INDEX(Tableau2[Repere-Voie],MATCH(Tableau3[[#This Row],[ID-VOIE]],Tableau2[ID-Voie],0))&amp;""</f>
        <v>v12</v>
      </c>
      <c r="AH1078" s="72" t="str">
        <f>Tableau3[[#This Row],[ID-API]]&amp; "." &amp;Tableau3[[#This Row],[ID-RACK]]&amp; "." &amp;Tableau3[[#This Row],[ID-SLOT]]</f>
        <v>6.2.9</v>
      </c>
      <c r="AI1078" s="72" t="str">
        <f>INDEX(Tableau1[Ref-Carte],MATCH(Tableau3[[#This Row],[ID-RRS]],Tableau1[ID-RRS],0))</f>
        <v>SDI1602</v>
      </c>
      <c r="AJ1078" s="72" t="str">
        <f t="array" ref="AJ1078">IFERROR(INDEX(Tableau2[TS],MATCH(1,(Tableau2[Ref-Carte]=Tableau3[[#This Row],[Ref-Carte2]])*(Tableau2[ID-Voie]=Tableau3[[#This Row],[ID-VOIE]]),0)),"")</f>
        <v>ET</v>
      </c>
      <c r="AK1078" s="72" t="str">
        <f>IFERROR(INDEX(Tableau2[TS],SUMPRODUCT((Tableau2[Ref-Carte]=Tableau3[[#This Row],[Ref-Carte2]])*(Tableau2[ID-Voie]=Tableau3[[#This Row],[ID-VOIE]])*ROW(Tableau2[TS]))-ROW(Tableau2[#Headers])),"")</f>
        <v>ET</v>
      </c>
      <c r="AL1078" s="72" t="str">
        <f>Tableau3[[#This Row],[Ref-Carte2]]&amp;"/"&amp;Tableau3[[#This Row],[ID-VOIE]]</f>
        <v>SDI1602/12</v>
      </c>
      <c r="AM1078" s="73" t="str">
        <f>INDEX(Tableau2[Borne],MATCH(Tableau3[[#This Row],[ID-CARTEVOIE]],Tableau2[ID-CARTEVOIE],0))&amp;""</f>
        <v>6B</v>
      </c>
      <c r="AN1078" s="74" t="str">
        <f>Tableau3[[#This Row],[ID-API]]&amp;Tableau3[[#This Row],[ID-RACK]]&amp;Tableau3[[#This Row],[ID-SLOT]]&amp;Tableau3[[#This Row],[BORNE]]</f>
        <v>6296B</v>
      </c>
      <c r="AO1078" s="1"/>
    </row>
    <row r="1079" spans="1:41" ht="20.100000000000001" customHeight="1" thickTop="1" thickBot="1">
      <c r="A1079" s="68"/>
      <c r="B1079" s="69" t="str">
        <f>IFERROR(INDEX(Tableau4[Date],MATCH($A1079,Tableau4[EVO],0)),"")</f>
        <v/>
      </c>
      <c r="C1079" s="68" t="str">
        <f>IFERROR(INDEX(Tableau4[Designation],MATCH($A1079,Tableau4[EVO],0)),"")</f>
        <v/>
      </c>
      <c r="D1079" s="68"/>
      <c r="E1079" s="70">
        <v>150</v>
      </c>
      <c r="F1079" s="71">
        <v>84</v>
      </c>
      <c r="G1079" s="101" t="str">
        <f>INDEX(Tableau8[Att1],MATCH(Tableau3[[#This Row],[ID-INS]],Tableau8[ID],0))&amp;""</f>
        <v>V5</v>
      </c>
      <c r="H1079" s="101" t="str">
        <f>INDEX(Tableau8[Att2],MATCH(Tableau3[[#This Row],[ID-INS]],Tableau8[ID],0))&amp;""</f>
        <v>B13</v>
      </c>
      <c r="I1079" s="101" t="str">
        <f>INDEX(Tableau8[Att3],MATCH(Tableau3[[#This Row],[ID-INS]],Tableau8[ID],0))&amp;""</f>
        <v>Boucle B13</v>
      </c>
      <c r="J1079" s="101"/>
      <c r="K1079" s="167" t="str">
        <f>INDEX(Tableau8[Nom du modele],MATCH(Tableau3[[#This Row],[ID-INS]],Tableau8[ID],0))&amp;""</f>
        <v>Boucle</v>
      </c>
      <c r="L1079" s="99" t="str">
        <f>INDEX(Tableau5[Att1],MATCH(Tableau3[[#This Row],[ID-SIG]],Tableau5[ID],0))&amp;""</f>
        <v>Def</v>
      </c>
      <c r="M1079" s="99" t="str">
        <f>INDEX(Tableau5[Att2],MATCH(Tableau3[[#This Row],[ID-SIG]],Tableau5[ID],0))&amp;""</f>
        <v/>
      </c>
      <c r="N1079" s="99" t="str">
        <f>INDEX(Tableau5[Att3],MATCH(Tableau3[[#This Row],[ID-SIG]],Tableau5[ID],0))&amp;""</f>
        <v/>
      </c>
      <c r="O1079" s="99"/>
      <c r="P1079" s="99" t="str">
        <f>INDEX(Tableau5[Description],MATCH(Tableau3[[#This Row],[ID-SIG]],Tableau5[ID],0))</f>
        <v>Défaut</v>
      </c>
      <c r="Q1079" s="99"/>
      <c r="R1079" s="103" t="str">
        <f>Tableau3[[#This Row],[Description]]</f>
        <v>Défaut</v>
      </c>
      <c r="U1079" s="87">
        <v>6</v>
      </c>
      <c r="V1079" s="87">
        <v>2</v>
      </c>
      <c r="W1079" s="87">
        <v>9</v>
      </c>
      <c r="X1079" s="87">
        <v>13</v>
      </c>
      <c r="Y1079" s="40"/>
      <c r="Z1079" s="165" t="str">
        <f>INDEX(Tableau2[TS],MATCH(Tableau3[[#This Row],[ID-CARTEVOIE]],Tableau2[ID-CARTEVOIE],0))</f>
        <v>ET</v>
      </c>
      <c r="AA1079" s="53" t="s">
        <v>213</v>
      </c>
      <c r="AB1079" s="223" t="str">
        <f>IFERROR(INDEX(Tableau5[Reserve],MATCH(Tableau3[[#This Row],[ID-SIG]],Tableau5[ID],0))&amp;"","")</f>
        <v/>
      </c>
      <c r="AC1079" s="21"/>
      <c r="AD1079" s="108" t="str">
        <f>INDEX(Tableau7[Repere],MATCH(Tableau3[[#This Row],[ID-API]],Tableau7[ID-API],0))&amp;""</f>
        <v>A6</v>
      </c>
      <c r="AE1079" s="108" t="str">
        <f>INDEX(Tableau1[Repere-Rack],MATCH(Tableau3[[#This Row],[ID-RACK]],Tableau1[ID-RACK],0))&amp;""</f>
        <v>R2</v>
      </c>
      <c r="AF1079" s="108" t="str">
        <f>INDEX(Tableau1[Repere-Slot],MATCH(Tableau3[[#This Row],[ID-SLOT]],Tableau1[ID-SLOT],0))&amp;""</f>
        <v>S9</v>
      </c>
      <c r="AG1079" s="108" t="str">
        <f>INDEX(Tableau2[Repere-Voie],MATCH(Tableau3[[#This Row],[ID-VOIE]],Tableau2[ID-Voie],0))&amp;""</f>
        <v>v13</v>
      </c>
      <c r="AH1079" s="72" t="str">
        <f>Tableau3[[#This Row],[ID-API]]&amp; "." &amp;Tableau3[[#This Row],[ID-RACK]]&amp; "." &amp;Tableau3[[#This Row],[ID-SLOT]]</f>
        <v>6.2.9</v>
      </c>
      <c r="AI1079" s="72" t="str">
        <f>INDEX(Tableau1[Ref-Carte],MATCH(Tableau3[[#This Row],[ID-RRS]],Tableau1[ID-RRS],0))</f>
        <v>SDI1602</v>
      </c>
      <c r="AJ1079" s="72" t="str">
        <f t="array" ref="AJ1079">IFERROR(INDEX(Tableau2[TS],MATCH(1,(Tableau2[Ref-Carte]=Tableau3[[#This Row],[Ref-Carte2]])*(Tableau2[ID-Voie]=Tableau3[[#This Row],[ID-VOIE]]),0)),"")</f>
        <v>ET</v>
      </c>
      <c r="AK1079" s="72" t="str">
        <f>IFERROR(INDEX(Tableau2[TS],SUMPRODUCT((Tableau2[Ref-Carte]=Tableau3[[#This Row],[Ref-Carte2]])*(Tableau2[ID-Voie]=Tableau3[[#This Row],[ID-VOIE]])*ROW(Tableau2[TS]))-ROW(Tableau2[#Headers])),"")</f>
        <v>ET</v>
      </c>
      <c r="AL1079" s="72" t="str">
        <f>Tableau3[[#This Row],[Ref-Carte2]]&amp;"/"&amp;Tableau3[[#This Row],[ID-VOIE]]</f>
        <v>SDI1602/13</v>
      </c>
      <c r="AM1079" s="73" t="str">
        <f>INDEX(Tableau2[Borne],MATCH(Tableau3[[#This Row],[ID-CARTEVOIE]],Tableau2[ID-CARTEVOIE],0))&amp;""</f>
        <v>6A</v>
      </c>
      <c r="AN1079" s="74" t="str">
        <f>Tableau3[[#This Row],[ID-API]]&amp;Tableau3[[#This Row],[ID-RACK]]&amp;Tableau3[[#This Row],[ID-SLOT]]&amp;Tableau3[[#This Row],[BORNE]]</f>
        <v>6296A</v>
      </c>
      <c r="AO1079" s="1"/>
    </row>
    <row r="1080" spans="1:41" ht="20.100000000000001" customHeight="1" thickTop="1" thickBot="1">
      <c r="A1080" s="68"/>
      <c r="B1080" s="69" t="str">
        <f>IFERROR(INDEX(Tableau4[Date],MATCH($A1080,Tableau4[EVO],0)),"")</f>
        <v/>
      </c>
      <c r="C1080" s="68" t="str">
        <f>IFERROR(INDEX(Tableau4[Designation],MATCH($A1080,Tableau4[EVO],0)),"")</f>
        <v/>
      </c>
      <c r="D1080" s="68"/>
      <c r="E1080" s="70">
        <v>150</v>
      </c>
      <c r="F1080" s="71">
        <v>85</v>
      </c>
      <c r="G1080" s="101" t="str">
        <f>INDEX(Tableau8[Att1],MATCH(Tableau3[[#This Row],[ID-INS]],Tableau8[ID],0))&amp;""</f>
        <v>V5</v>
      </c>
      <c r="H1080" s="101" t="str">
        <f>INDEX(Tableau8[Att2],MATCH(Tableau3[[#This Row],[ID-INS]],Tableau8[ID],0))&amp;""</f>
        <v>B13</v>
      </c>
      <c r="I1080" s="101" t="str">
        <f>INDEX(Tableau8[Att3],MATCH(Tableau3[[#This Row],[ID-INS]],Tableau8[ID],0))&amp;""</f>
        <v>Boucle B13</v>
      </c>
      <c r="J1080" s="101"/>
      <c r="K1080" s="167" t="str">
        <f>INDEX(Tableau8[Nom du modele],MATCH(Tableau3[[#This Row],[ID-INS]],Tableau8[ID],0))&amp;""</f>
        <v>Boucle</v>
      </c>
      <c r="L1080" s="99" t="str">
        <f>INDEX(Tableau5[Att1],MATCH(Tableau3[[#This Row],[ID-SIG]],Tableau5[ID],0))&amp;""</f>
        <v>Pres</v>
      </c>
      <c r="M1080" s="99" t="str">
        <f>INDEX(Tableau5[Att2],MATCH(Tableau3[[#This Row],[ID-SIG]],Tableau5[ID],0))&amp;""</f>
        <v/>
      </c>
      <c r="N1080" s="99" t="str">
        <f>INDEX(Tableau5[Att3],MATCH(Tableau3[[#This Row],[ID-SIG]],Tableau5[ID],0))&amp;""</f>
        <v/>
      </c>
      <c r="O1080" s="99"/>
      <c r="P1080" s="99" t="str">
        <f>INDEX(Tableau5[Description],MATCH(Tableau3[[#This Row],[ID-SIG]],Tableau5[ID],0))</f>
        <v>Présence</v>
      </c>
      <c r="Q1080" s="99"/>
      <c r="R1080" s="103" t="str">
        <f>Tableau3[[#This Row],[Description]]</f>
        <v>Présence</v>
      </c>
      <c r="U1080" s="87">
        <v>6</v>
      </c>
      <c r="V1080" s="87">
        <v>2</v>
      </c>
      <c r="W1080" s="87">
        <v>9</v>
      </c>
      <c r="X1080" s="87">
        <v>14</v>
      </c>
      <c r="Y1080" s="40"/>
      <c r="Z1080" s="165" t="str">
        <f>INDEX(Tableau2[TS],MATCH(Tableau3[[#This Row],[ID-CARTEVOIE]],Tableau2[ID-CARTEVOIE],0))</f>
        <v>ET</v>
      </c>
      <c r="AA1080" s="53" t="s">
        <v>213</v>
      </c>
      <c r="AB1080" s="223" t="str">
        <f>IFERROR(INDEX(Tableau5[Reserve],MATCH(Tableau3[[#This Row],[ID-SIG]],Tableau5[ID],0))&amp;"","")</f>
        <v/>
      </c>
      <c r="AC1080" s="21"/>
      <c r="AD1080" s="108" t="str">
        <f>INDEX(Tableau7[Repere],MATCH(Tableau3[[#This Row],[ID-API]],Tableau7[ID-API],0))&amp;""</f>
        <v>A6</v>
      </c>
      <c r="AE1080" s="108" t="str">
        <f>INDEX(Tableau1[Repere-Rack],MATCH(Tableau3[[#This Row],[ID-RACK]],Tableau1[ID-RACK],0))&amp;""</f>
        <v>R2</v>
      </c>
      <c r="AF1080" s="108" t="str">
        <f>INDEX(Tableau1[Repere-Slot],MATCH(Tableau3[[#This Row],[ID-SLOT]],Tableau1[ID-SLOT],0))&amp;""</f>
        <v>S9</v>
      </c>
      <c r="AG1080" s="108" t="str">
        <f>INDEX(Tableau2[Repere-Voie],MATCH(Tableau3[[#This Row],[ID-VOIE]],Tableau2[ID-Voie],0))&amp;""</f>
        <v>v14</v>
      </c>
      <c r="AH1080" s="72" t="str">
        <f>Tableau3[[#This Row],[ID-API]]&amp; "." &amp;Tableau3[[#This Row],[ID-RACK]]&amp; "." &amp;Tableau3[[#This Row],[ID-SLOT]]</f>
        <v>6.2.9</v>
      </c>
      <c r="AI1080" s="72" t="str">
        <f>INDEX(Tableau1[Ref-Carte],MATCH(Tableau3[[#This Row],[ID-RRS]],Tableau1[ID-RRS],0))</f>
        <v>SDI1602</v>
      </c>
      <c r="AJ1080" s="72" t="str">
        <f t="array" ref="AJ1080">IFERROR(INDEX(Tableau2[TS],MATCH(1,(Tableau2[Ref-Carte]=Tableau3[[#This Row],[Ref-Carte2]])*(Tableau2[ID-Voie]=Tableau3[[#This Row],[ID-VOIE]]),0)),"")</f>
        <v>ET</v>
      </c>
      <c r="AK1080" s="72" t="str">
        <f>IFERROR(INDEX(Tableau2[TS],SUMPRODUCT((Tableau2[Ref-Carte]=Tableau3[[#This Row],[Ref-Carte2]])*(Tableau2[ID-Voie]=Tableau3[[#This Row],[ID-VOIE]])*ROW(Tableau2[TS]))-ROW(Tableau2[#Headers])),"")</f>
        <v>ET</v>
      </c>
      <c r="AL1080" s="72" t="str">
        <f>Tableau3[[#This Row],[Ref-Carte2]]&amp;"/"&amp;Tableau3[[#This Row],[ID-VOIE]]</f>
        <v>SDI1602/14</v>
      </c>
      <c r="AM1080" s="73" t="str">
        <f>INDEX(Tableau2[Borne],MATCH(Tableau3[[#This Row],[ID-CARTEVOIE]],Tableau2[ID-CARTEVOIE],0))&amp;""</f>
        <v>7B</v>
      </c>
      <c r="AN1080" s="74" t="str">
        <f>Tableau3[[#This Row],[ID-API]]&amp;Tableau3[[#This Row],[ID-RACK]]&amp;Tableau3[[#This Row],[ID-SLOT]]&amp;Tableau3[[#This Row],[BORNE]]</f>
        <v>6297B</v>
      </c>
      <c r="AO1080" s="1"/>
    </row>
    <row r="1081" spans="1:41" ht="20.100000000000001" customHeight="1" thickTop="1" thickBot="1">
      <c r="A1081" s="68"/>
      <c r="B1081" s="69" t="str">
        <f>IFERROR(INDEX(Tableau4[Date],MATCH($A1081,Tableau4[EVO],0)),"")</f>
        <v/>
      </c>
      <c r="C1081" s="68" t="str">
        <f>IFERROR(INDEX(Tableau4[Designation],MATCH($A1081,Tableau4[EVO],0)),"")</f>
        <v/>
      </c>
      <c r="D1081" s="68"/>
      <c r="E1081" s="70">
        <v>156</v>
      </c>
      <c r="F1081" s="71">
        <v>84</v>
      </c>
      <c r="G1081" s="101" t="str">
        <f>INDEX(Tableau8[Att1],MATCH(Tableau3[[#This Row],[ID-INS]],Tableau8[ID],0))&amp;""</f>
        <v>V5</v>
      </c>
      <c r="H1081" s="101" t="str">
        <f>INDEX(Tableau8[Att2],MATCH(Tableau3[[#This Row],[ID-INS]],Tableau8[ID],0))&amp;""</f>
        <v>B19</v>
      </c>
      <c r="I1081" s="101" t="str">
        <f>INDEX(Tableau8[Att3],MATCH(Tableau3[[#This Row],[ID-INS]],Tableau8[ID],0))&amp;""</f>
        <v>Boucle B19</v>
      </c>
      <c r="J1081" s="101"/>
      <c r="K1081" s="167" t="str">
        <f>INDEX(Tableau8[Nom du modele],MATCH(Tableau3[[#This Row],[ID-INS]],Tableau8[ID],0))&amp;""</f>
        <v>Boucle</v>
      </c>
      <c r="L1081" s="99" t="str">
        <f>INDEX(Tableau5[Att1],MATCH(Tableau3[[#This Row],[ID-SIG]],Tableau5[ID],0))&amp;""</f>
        <v>Def</v>
      </c>
      <c r="M1081" s="99" t="str">
        <f>INDEX(Tableau5[Att2],MATCH(Tableau3[[#This Row],[ID-SIG]],Tableau5[ID],0))&amp;""</f>
        <v/>
      </c>
      <c r="N1081" s="99" t="str">
        <f>INDEX(Tableau5[Att3],MATCH(Tableau3[[#This Row],[ID-SIG]],Tableau5[ID],0))&amp;""</f>
        <v/>
      </c>
      <c r="O1081" s="99"/>
      <c r="P1081" s="99" t="str">
        <f>INDEX(Tableau5[Description],MATCH(Tableau3[[#This Row],[ID-SIG]],Tableau5[ID],0))</f>
        <v>Défaut</v>
      </c>
      <c r="Q1081" s="99"/>
      <c r="R1081" s="103" t="str">
        <f>Tableau3[[#This Row],[Description]]</f>
        <v>Défaut</v>
      </c>
      <c r="U1081" s="87">
        <v>6</v>
      </c>
      <c r="V1081" s="87">
        <v>2</v>
      </c>
      <c r="W1081" s="87">
        <v>9</v>
      </c>
      <c r="X1081" s="87">
        <v>15</v>
      </c>
      <c r="Y1081" s="40"/>
      <c r="Z1081" s="165" t="str">
        <f>INDEX(Tableau2[TS],MATCH(Tableau3[[#This Row],[ID-CARTEVOIE]],Tableau2[ID-CARTEVOIE],0))</f>
        <v>ET</v>
      </c>
      <c r="AA1081" s="53" t="s">
        <v>213</v>
      </c>
      <c r="AB1081" s="223" t="str">
        <f>IFERROR(INDEX(Tableau5[Reserve],MATCH(Tableau3[[#This Row],[ID-SIG]],Tableau5[ID],0))&amp;"","")</f>
        <v/>
      </c>
      <c r="AC1081" s="21"/>
      <c r="AD1081" s="108" t="str">
        <f>INDEX(Tableau7[Repere],MATCH(Tableau3[[#This Row],[ID-API]],Tableau7[ID-API],0))&amp;""</f>
        <v>A6</v>
      </c>
      <c r="AE1081" s="108" t="str">
        <f>INDEX(Tableau1[Repere-Rack],MATCH(Tableau3[[#This Row],[ID-RACK]],Tableau1[ID-RACK],0))&amp;""</f>
        <v>R2</v>
      </c>
      <c r="AF1081" s="108" t="str">
        <f>INDEX(Tableau1[Repere-Slot],MATCH(Tableau3[[#This Row],[ID-SLOT]],Tableau1[ID-SLOT],0))&amp;""</f>
        <v>S9</v>
      </c>
      <c r="AG1081" s="108" t="str">
        <f>INDEX(Tableau2[Repere-Voie],MATCH(Tableau3[[#This Row],[ID-VOIE]],Tableau2[ID-Voie],0))&amp;""</f>
        <v>v15</v>
      </c>
      <c r="AH1081" s="72" t="str">
        <f>Tableau3[[#This Row],[ID-API]]&amp; "." &amp;Tableau3[[#This Row],[ID-RACK]]&amp; "." &amp;Tableau3[[#This Row],[ID-SLOT]]</f>
        <v>6.2.9</v>
      </c>
      <c r="AI1081" s="72" t="str">
        <f>INDEX(Tableau1[Ref-Carte],MATCH(Tableau3[[#This Row],[ID-RRS]],Tableau1[ID-RRS],0))</f>
        <v>SDI1602</v>
      </c>
      <c r="AJ1081" s="72" t="str">
        <f t="array" ref="AJ1081">IFERROR(INDEX(Tableau2[TS],MATCH(1,(Tableau2[Ref-Carte]=Tableau3[[#This Row],[Ref-Carte2]])*(Tableau2[ID-Voie]=Tableau3[[#This Row],[ID-VOIE]]),0)),"")</f>
        <v>ET</v>
      </c>
      <c r="AK1081" s="72" t="str">
        <f>IFERROR(INDEX(Tableau2[TS],SUMPRODUCT((Tableau2[Ref-Carte]=Tableau3[[#This Row],[Ref-Carte2]])*(Tableau2[ID-Voie]=Tableau3[[#This Row],[ID-VOIE]])*ROW(Tableau2[TS]))-ROW(Tableau2[#Headers])),"")</f>
        <v>ET</v>
      </c>
      <c r="AL1081" s="72" t="str">
        <f>Tableau3[[#This Row],[Ref-Carte2]]&amp;"/"&amp;Tableau3[[#This Row],[ID-VOIE]]</f>
        <v>SDI1602/15</v>
      </c>
      <c r="AM1081" s="73" t="str">
        <f>INDEX(Tableau2[Borne],MATCH(Tableau3[[#This Row],[ID-CARTEVOIE]],Tableau2[ID-CARTEVOIE],0))&amp;""</f>
        <v>7A</v>
      </c>
      <c r="AN1081" s="74" t="str">
        <f>Tableau3[[#This Row],[ID-API]]&amp;Tableau3[[#This Row],[ID-RACK]]&amp;Tableau3[[#This Row],[ID-SLOT]]&amp;Tableau3[[#This Row],[BORNE]]</f>
        <v>6297A</v>
      </c>
      <c r="AO1081" s="1"/>
    </row>
    <row r="1082" spans="1:41" ht="20.100000000000001" customHeight="1" thickTop="1" thickBot="1">
      <c r="A1082" s="68"/>
      <c r="B1082" s="69" t="str">
        <f>IFERROR(INDEX(Tableau4[Date],MATCH($A1082,Tableau4[EVO],0)),"")</f>
        <v/>
      </c>
      <c r="C1082" s="68" t="str">
        <f>IFERROR(INDEX(Tableau4[Designation],MATCH($A1082,Tableau4[EVO],0)),"")</f>
        <v/>
      </c>
      <c r="D1082" s="68"/>
      <c r="E1082" s="70">
        <v>156</v>
      </c>
      <c r="F1082" s="71">
        <v>85</v>
      </c>
      <c r="G1082" s="101" t="str">
        <f>INDEX(Tableau8[Att1],MATCH(Tableau3[[#This Row],[ID-INS]],Tableau8[ID],0))&amp;""</f>
        <v>V5</v>
      </c>
      <c r="H1082" s="101" t="str">
        <f>INDEX(Tableau8[Att2],MATCH(Tableau3[[#This Row],[ID-INS]],Tableau8[ID],0))&amp;""</f>
        <v>B19</v>
      </c>
      <c r="I1082" s="101" t="str">
        <f>INDEX(Tableau8[Att3],MATCH(Tableau3[[#This Row],[ID-INS]],Tableau8[ID],0))&amp;""</f>
        <v>Boucle B19</v>
      </c>
      <c r="J1082" s="101"/>
      <c r="K1082" s="167" t="str">
        <f>INDEX(Tableau8[Nom du modele],MATCH(Tableau3[[#This Row],[ID-INS]],Tableau8[ID],0))&amp;""</f>
        <v>Boucle</v>
      </c>
      <c r="L1082" s="99" t="str">
        <f>INDEX(Tableau5[Att1],MATCH(Tableau3[[#This Row],[ID-SIG]],Tableau5[ID],0))&amp;""</f>
        <v>Pres</v>
      </c>
      <c r="M1082" s="99" t="str">
        <f>INDEX(Tableau5[Att2],MATCH(Tableau3[[#This Row],[ID-SIG]],Tableau5[ID],0))&amp;""</f>
        <v/>
      </c>
      <c r="N1082" s="99" t="str">
        <f>INDEX(Tableau5[Att3],MATCH(Tableau3[[#This Row],[ID-SIG]],Tableau5[ID],0))&amp;""</f>
        <v/>
      </c>
      <c r="O1082" s="99"/>
      <c r="P1082" s="99" t="str">
        <f>INDEX(Tableau5[Description],MATCH(Tableau3[[#This Row],[ID-SIG]],Tableau5[ID],0))</f>
        <v>Présence</v>
      </c>
      <c r="Q1082" s="99"/>
      <c r="R1082" s="103" t="str">
        <f>Tableau3[[#This Row],[Description]]</f>
        <v>Présence</v>
      </c>
      <c r="U1082" s="87">
        <v>6</v>
      </c>
      <c r="V1082" s="87">
        <v>2</v>
      </c>
      <c r="W1082" s="87">
        <v>10</v>
      </c>
      <c r="X1082" s="87">
        <v>0</v>
      </c>
      <c r="Y1082" s="40"/>
      <c r="Z1082" s="165" t="str">
        <f>INDEX(Tableau2[TS],MATCH(Tableau3[[#This Row],[ID-CARTEVOIE]],Tableau2[ID-CARTEVOIE],0))</f>
        <v>ET</v>
      </c>
      <c r="AA1082" s="53" t="s">
        <v>213</v>
      </c>
      <c r="AB1082" s="223" t="str">
        <f>IFERROR(INDEX(Tableau5[Reserve],MATCH(Tableau3[[#This Row],[ID-SIG]],Tableau5[ID],0))&amp;"","")</f>
        <v/>
      </c>
      <c r="AC1082" s="21"/>
      <c r="AD1082" s="108" t="str">
        <f>INDEX(Tableau7[Repere],MATCH(Tableau3[[#This Row],[ID-API]],Tableau7[ID-API],0))&amp;""</f>
        <v>A6</v>
      </c>
      <c r="AE1082" s="108" t="str">
        <f>INDEX(Tableau1[Repere-Rack],MATCH(Tableau3[[#This Row],[ID-RACK]],Tableau1[ID-RACK],0))&amp;""</f>
        <v>R2</v>
      </c>
      <c r="AF1082" s="108" t="str">
        <f>INDEX(Tableau1[Repere-Slot],MATCH(Tableau3[[#This Row],[ID-SLOT]],Tableau1[ID-SLOT],0))&amp;""</f>
        <v>S10</v>
      </c>
      <c r="AG1082" s="108" t="str">
        <f>INDEX(Tableau2[Repere-Voie],MATCH(Tableau3[[#This Row],[ID-VOIE]],Tableau2[ID-Voie],0))&amp;""</f>
        <v>v0</v>
      </c>
      <c r="AH1082" s="72" t="str">
        <f>Tableau3[[#This Row],[ID-API]]&amp; "." &amp;Tableau3[[#This Row],[ID-RACK]]&amp; "." &amp;Tableau3[[#This Row],[ID-SLOT]]</f>
        <v>6.2.10</v>
      </c>
      <c r="AI1082" s="72" t="str">
        <f>INDEX(Tableau1[Ref-Carte],MATCH(Tableau3[[#This Row],[ID-RRS]],Tableau1[ID-RRS],0))</f>
        <v>SDI1602</v>
      </c>
      <c r="AJ1082" s="72" t="str">
        <f t="array" ref="AJ1082">IFERROR(INDEX(Tableau2[TS],MATCH(1,(Tableau2[Ref-Carte]=Tableau3[[#This Row],[Ref-Carte2]])*(Tableau2[ID-Voie]=Tableau3[[#This Row],[ID-VOIE]]),0)),"")</f>
        <v>ET</v>
      </c>
      <c r="AK1082" s="72" t="str">
        <f>IFERROR(INDEX(Tableau2[TS],SUMPRODUCT((Tableau2[Ref-Carte]=Tableau3[[#This Row],[Ref-Carte2]])*(Tableau2[ID-Voie]=Tableau3[[#This Row],[ID-VOIE]])*ROW(Tableau2[TS]))-ROW(Tableau2[#Headers])),"")</f>
        <v>ET</v>
      </c>
      <c r="AL1082" s="72" t="str">
        <f>Tableau3[[#This Row],[Ref-Carte2]]&amp;"/"&amp;Tableau3[[#This Row],[ID-VOIE]]</f>
        <v>SDI1602/0</v>
      </c>
      <c r="AM1082" s="73" t="str">
        <f>INDEX(Tableau2[Borne],MATCH(Tableau3[[#This Row],[ID-CARTEVOIE]],Tableau2[ID-CARTEVOIE],0))&amp;""</f>
        <v>0B</v>
      </c>
      <c r="AN1082" s="74" t="str">
        <f>Tableau3[[#This Row],[ID-API]]&amp;Tableau3[[#This Row],[ID-RACK]]&amp;Tableau3[[#This Row],[ID-SLOT]]&amp;Tableau3[[#This Row],[BORNE]]</f>
        <v>62100B</v>
      </c>
      <c r="AO1082" s="1"/>
    </row>
    <row r="1083" spans="1:41" ht="20.100000000000001" customHeight="1" thickTop="1" thickBot="1">
      <c r="A1083" s="68"/>
      <c r="B1083" s="69" t="str">
        <f>IFERROR(INDEX(Tableau4[Date],MATCH($A1083,Tableau4[EVO],0)),"")</f>
        <v/>
      </c>
      <c r="C1083" s="68" t="str">
        <f>IFERROR(INDEX(Tableau4[Designation],MATCH($A1083,Tableau4[EVO],0)),"")</f>
        <v/>
      </c>
      <c r="D1083" s="68"/>
      <c r="E1083" s="70">
        <v>161</v>
      </c>
      <c r="F1083" s="71">
        <v>84</v>
      </c>
      <c r="G1083" s="101" t="str">
        <f>INDEX(Tableau8[Att1],MATCH(Tableau3[[#This Row],[ID-INS]],Tableau8[ID],0))&amp;""</f>
        <v>V5</v>
      </c>
      <c r="H1083" s="101" t="str">
        <f>INDEX(Tableau8[Att2],MATCH(Tableau3[[#This Row],[ID-INS]],Tableau8[ID],0))&amp;""</f>
        <v>B25</v>
      </c>
      <c r="I1083" s="101" t="str">
        <f>INDEX(Tableau8[Att3],MATCH(Tableau3[[#This Row],[ID-INS]],Tableau8[ID],0))&amp;""</f>
        <v>Boucle B25</v>
      </c>
      <c r="J1083" s="101"/>
      <c r="K1083" s="167" t="str">
        <f>INDEX(Tableau8[Nom du modele],MATCH(Tableau3[[#This Row],[ID-INS]],Tableau8[ID],0))&amp;""</f>
        <v>Boucle</v>
      </c>
      <c r="L1083" s="99" t="str">
        <f>INDEX(Tableau5[Att1],MATCH(Tableau3[[#This Row],[ID-SIG]],Tableau5[ID],0))&amp;""</f>
        <v>Def</v>
      </c>
      <c r="M1083" s="99" t="str">
        <f>INDEX(Tableau5[Att2],MATCH(Tableau3[[#This Row],[ID-SIG]],Tableau5[ID],0))&amp;""</f>
        <v/>
      </c>
      <c r="N1083" s="99" t="str">
        <f>INDEX(Tableau5[Att3],MATCH(Tableau3[[#This Row],[ID-SIG]],Tableau5[ID],0))&amp;""</f>
        <v/>
      </c>
      <c r="O1083" s="99"/>
      <c r="P1083" s="99" t="str">
        <f>INDEX(Tableau5[Description],MATCH(Tableau3[[#This Row],[ID-SIG]],Tableau5[ID],0))</f>
        <v>Défaut</v>
      </c>
      <c r="Q1083" s="99"/>
      <c r="R1083" s="103" t="str">
        <f>Tableau3[[#This Row],[Description]]</f>
        <v>Défaut</v>
      </c>
      <c r="U1083" s="87">
        <v>6</v>
      </c>
      <c r="V1083" s="87">
        <v>2</v>
      </c>
      <c r="W1083" s="87">
        <v>10</v>
      </c>
      <c r="X1083" s="87">
        <v>1</v>
      </c>
      <c r="Y1083" s="40"/>
      <c r="Z1083" s="165" t="str">
        <f>INDEX(Tableau2[TS],MATCH(Tableau3[[#This Row],[ID-CARTEVOIE]],Tableau2[ID-CARTEVOIE],0))</f>
        <v>ET</v>
      </c>
      <c r="AA1083" s="53" t="s">
        <v>213</v>
      </c>
      <c r="AB1083" s="223" t="str">
        <f>IFERROR(INDEX(Tableau5[Reserve],MATCH(Tableau3[[#This Row],[ID-SIG]],Tableau5[ID],0))&amp;"","")</f>
        <v/>
      </c>
      <c r="AC1083" s="21"/>
      <c r="AD1083" s="108" t="str">
        <f>INDEX(Tableau7[Repere],MATCH(Tableau3[[#This Row],[ID-API]],Tableau7[ID-API],0))&amp;""</f>
        <v>A6</v>
      </c>
      <c r="AE1083" s="108" t="str">
        <f>INDEX(Tableau1[Repere-Rack],MATCH(Tableau3[[#This Row],[ID-RACK]],Tableau1[ID-RACK],0))&amp;""</f>
        <v>R2</v>
      </c>
      <c r="AF1083" s="108" t="str">
        <f>INDEX(Tableau1[Repere-Slot],MATCH(Tableau3[[#This Row],[ID-SLOT]],Tableau1[ID-SLOT],0))&amp;""</f>
        <v>S10</v>
      </c>
      <c r="AG1083" s="108" t="str">
        <f>INDEX(Tableau2[Repere-Voie],MATCH(Tableau3[[#This Row],[ID-VOIE]],Tableau2[ID-Voie],0))&amp;""</f>
        <v>v1</v>
      </c>
      <c r="AH1083" s="72" t="str">
        <f>Tableau3[[#This Row],[ID-API]]&amp; "." &amp;Tableau3[[#This Row],[ID-RACK]]&amp; "." &amp;Tableau3[[#This Row],[ID-SLOT]]</f>
        <v>6.2.10</v>
      </c>
      <c r="AI1083" s="72" t="str">
        <f>INDEX(Tableau1[Ref-Carte],MATCH(Tableau3[[#This Row],[ID-RRS]],Tableau1[ID-RRS],0))</f>
        <v>SDI1602</v>
      </c>
      <c r="AJ1083" s="72" t="str">
        <f t="array" ref="AJ1083">IFERROR(INDEX(Tableau2[TS],MATCH(1,(Tableau2[Ref-Carte]=Tableau3[[#This Row],[Ref-Carte2]])*(Tableau2[ID-Voie]=Tableau3[[#This Row],[ID-VOIE]]),0)),"")</f>
        <v>ET</v>
      </c>
      <c r="AK1083" s="72" t="str">
        <f>IFERROR(INDEX(Tableau2[TS],SUMPRODUCT((Tableau2[Ref-Carte]=Tableau3[[#This Row],[Ref-Carte2]])*(Tableau2[ID-Voie]=Tableau3[[#This Row],[ID-VOIE]])*ROW(Tableau2[TS]))-ROW(Tableau2[#Headers])),"")</f>
        <v>ET</v>
      </c>
      <c r="AL1083" s="72" t="str">
        <f>Tableau3[[#This Row],[Ref-Carte2]]&amp;"/"&amp;Tableau3[[#This Row],[ID-VOIE]]</f>
        <v>SDI1602/1</v>
      </c>
      <c r="AM1083" s="73" t="str">
        <f>INDEX(Tableau2[Borne],MATCH(Tableau3[[#This Row],[ID-CARTEVOIE]],Tableau2[ID-CARTEVOIE],0))&amp;""</f>
        <v>0A</v>
      </c>
      <c r="AN1083" s="74" t="str">
        <f>Tableau3[[#This Row],[ID-API]]&amp;Tableau3[[#This Row],[ID-RACK]]&amp;Tableau3[[#This Row],[ID-SLOT]]&amp;Tableau3[[#This Row],[BORNE]]</f>
        <v>62100A</v>
      </c>
      <c r="AO1083" s="1"/>
    </row>
    <row r="1084" spans="1:41" ht="20.100000000000001" customHeight="1" thickTop="1" thickBot="1">
      <c r="A1084" s="68"/>
      <c r="B1084" s="69" t="str">
        <f>IFERROR(INDEX(Tableau4[Date],MATCH($A1084,Tableau4[EVO],0)),"")</f>
        <v/>
      </c>
      <c r="C1084" s="68" t="str">
        <f>IFERROR(INDEX(Tableau4[Designation],MATCH($A1084,Tableau4[EVO],0)),"")</f>
        <v/>
      </c>
      <c r="D1084" s="68"/>
      <c r="E1084" s="70">
        <v>161</v>
      </c>
      <c r="F1084" s="71">
        <v>85</v>
      </c>
      <c r="G1084" s="101" t="str">
        <f>INDEX(Tableau8[Att1],MATCH(Tableau3[[#This Row],[ID-INS]],Tableau8[ID],0))&amp;""</f>
        <v>V5</v>
      </c>
      <c r="H1084" s="101" t="str">
        <f>INDEX(Tableau8[Att2],MATCH(Tableau3[[#This Row],[ID-INS]],Tableau8[ID],0))&amp;""</f>
        <v>B25</v>
      </c>
      <c r="I1084" s="101" t="str">
        <f>INDEX(Tableau8[Att3],MATCH(Tableau3[[#This Row],[ID-INS]],Tableau8[ID],0))&amp;""</f>
        <v>Boucle B25</v>
      </c>
      <c r="J1084" s="101"/>
      <c r="K1084" s="167" t="str">
        <f>INDEX(Tableau8[Nom du modele],MATCH(Tableau3[[#This Row],[ID-INS]],Tableau8[ID],0))&amp;""</f>
        <v>Boucle</v>
      </c>
      <c r="L1084" s="99" t="str">
        <f>INDEX(Tableau5[Att1],MATCH(Tableau3[[#This Row],[ID-SIG]],Tableau5[ID],0))&amp;""</f>
        <v>Pres</v>
      </c>
      <c r="M1084" s="99" t="str">
        <f>INDEX(Tableau5[Att2],MATCH(Tableau3[[#This Row],[ID-SIG]],Tableau5[ID],0))&amp;""</f>
        <v/>
      </c>
      <c r="N1084" s="99" t="str">
        <f>INDEX(Tableau5[Att3],MATCH(Tableau3[[#This Row],[ID-SIG]],Tableau5[ID],0))&amp;""</f>
        <v/>
      </c>
      <c r="O1084" s="99"/>
      <c r="P1084" s="99" t="str">
        <f>INDEX(Tableau5[Description],MATCH(Tableau3[[#This Row],[ID-SIG]],Tableau5[ID],0))</f>
        <v>Présence</v>
      </c>
      <c r="Q1084" s="99"/>
      <c r="R1084" s="103" t="str">
        <f>Tableau3[[#This Row],[Description]]</f>
        <v>Présence</v>
      </c>
      <c r="U1084" s="87">
        <v>6</v>
      </c>
      <c r="V1084" s="87">
        <v>2</v>
      </c>
      <c r="W1084" s="87">
        <v>10</v>
      </c>
      <c r="X1084" s="87">
        <v>2</v>
      </c>
      <c r="Y1084" s="40"/>
      <c r="Z1084" s="165" t="str">
        <f>INDEX(Tableau2[TS],MATCH(Tableau3[[#This Row],[ID-CARTEVOIE]],Tableau2[ID-CARTEVOIE],0))</f>
        <v>ET</v>
      </c>
      <c r="AA1084" s="53" t="s">
        <v>213</v>
      </c>
      <c r="AB1084" s="223" t="str">
        <f>IFERROR(INDEX(Tableau5[Reserve],MATCH(Tableau3[[#This Row],[ID-SIG]],Tableau5[ID],0))&amp;"","")</f>
        <v/>
      </c>
      <c r="AC1084" s="21"/>
      <c r="AD1084" s="108" t="str">
        <f>INDEX(Tableau7[Repere],MATCH(Tableau3[[#This Row],[ID-API]],Tableau7[ID-API],0))&amp;""</f>
        <v>A6</v>
      </c>
      <c r="AE1084" s="108" t="str">
        <f>INDEX(Tableau1[Repere-Rack],MATCH(Tableau3[[#This Row],[ID-RACK]],Tableau1[ID-RACK],0))&amp;""</f>
        <v>R2</v>
      </c>
      <c r="AF1084" s="108" t="str">
        <f>INDEX(Tableau1[Repere-Slot],MATCH(Tableau3[[#This Row],[ID-SLOT]],Tableau1[ID-SLOT],0))&amp;""</f>
        <v>S10</v>
      </c>
      <c r="AG1084" s="108" t="str">
        <f>INDEX(Tableau2[Repere-Voie],MATCH(Tableau3[[#This Row],[ID-VOIE]],Tableau2[ID-Voie],0))&amp;""</f>
        <v>v2</v>
      </c>
      <c r="AH1084" s="72" t="str">
        <f>Tableau3[[#This Row],[ID-API]]&amp; "." &amp;Tableau3[[#This Row],[ID-RACK]]&amp; "." &amp;Tableau3[[#This Row],[ID-SLOT]]</f>
        <v>6.2.10</v>
      </c>
      <c r="AI1084" s="72" t="str">
        <f>INDEX(Tableau1[Ref-Carte],MATCH(Tableau3[[#This Row],[ID-RRS]],Tableau1[ID-RRS],0))</f>
        <v>SDI1602</v>
      </c>
      <c r="AJ1084" s="72" t="str">
        <f t="array" ref="AJ1084">IFERROR(INDEX(Tableau2[TS],MATCH(1,(Tableau2[Ref-Carte]=Tableau3[[#This Row],[Ref-Carte2]])*(Tableau2[ID-Voie]=Tableau3[[#This Row],[ID-VOIE]]),0)),"")</f>
        <v>ET</v>
      </c>
      <c r="AK1084" s="72" t="str">
        <f>IFERROR(INDEX(Tableau2[TS],SUMPRODUCT((Tableau2[Ref-Carte]=Tableau3[[#This Row],[Ref-Carte2]])*(Tableau2[ID-Voie]=Tableau3[[#This Row],[ID-VOIE]])*ROW(Tableau2[TS]))-ROW(Tableau2[#Headers])),"")</f>
        <v>ET</v>
      </c>
      <c r="AL1084" s="72" t="str">
        <f>Tableau3[[#This Row],[Ref-Carte2]]&amp;"/"&amp;Tableau3[[#This Row],[ID-VOIE]]</f>
        <v>SDI1602/2</v>
      </c>
      <c r="AM1084" s="73" t="str">
        <f>INDEX(Tableau2[Borne],MATCH(Tableau3[[#This Row],[ID-CARTEVOIE]],Tableau2[ID-CARTEVOIE],0))&amp;""</f>
        <v>1B</v>
      </c>
      <c r="AN1084" s="74" t="str">
        <f>Tableau3[[#This Row],[ID-API]]&amp;Tableau3[[#This Row],[ID-RACK]]&amp;Tableau3[[#This Row],[ID-SLOT]]&amp;Tableau3[[#This Row],[BORNE]]</f>
        <v>62101B</v>
      </c>
      <c r="AO1084" s="1"/>
    </row>
    <row r="1085" spans="1:41" ht="20.100000000000001" customHeight="1" thickTop="1" thickBot="1">
      <c r="A1085" s="134"/>
      <c r="B1085" s="135" t="str">
        <f>IFERROR(INDEX(Tableau4[Date],MATCH($A1085,Tableau4[EVO],0)),"")</f>
        <v/>
      </c>
      <c r="C1085" s="136" t="str">
        <f>IFERROR(INDEX(Tableau4[Designation],MATCH($A1085,Tableau4[EVO],0)),"")</f>
        <v/>
      </c>
      <c r="D1085" s="134"/>
      <c r="E1085" s="137">
        <v>166</v>
      </c>
      <c r="F1085" s="138">
        <v>84</v>
      </c>
      <c r="G1085" s="139" t="str">
        <f>INDEX(Tableau8[Att1],MATCH(Tableau3[[#This Row],[ID-INS]],Tableau8[ID],0))&amp;""</f>
        <v>V5</v>
      </c>
      <c r="H1085" s="139" t="str">
        <f>INDEX(Tableau8[Att2],MATCH(Tableau3[[#This Row],[ID-INS]],Tableau8[ID],0))&amp;""</f>
        <v>B30</v>
      </c>
      <c r="I1085" s="139" t="str">
        <f>INDEX(Tableau8[Att3],MATCH(Tableau3[[#This Row],[ID-INS]],Tableau8[ID],0))&amp;""</f>
        <v>Boucle B30</v>
      </c>
      <c r="J1085" s="101"/>
      <c r="K1085" s="167" t="str">
        <f>INDEX(Tableau8[Nom du modele],MATCH(Tableau3[[#This Row],[ID-INS]],Tableau8[ID],0))&amp;""</f>
        <v>Boucle</v>
      </c>
      <c r="L1085" s="141" t="str">
        <f>INDEX(Tableau5[Att1],MATCH(Tableau3[[#This Row],[ID-SIG]],Tableau5[ID],0))&amp;""</f>
        <v>Def</v>
      </c>
      <c r="M1085" s="141" t="str">
        <f>INDEX(Tableau5[Att2],MATCH(Tableau3[[#This Row],[ID-SIG]],Tableau5[ID],0))&amp;""</f>
        <v/>
      </c>
      <c r="N1085" s="141" t="str">
        <f>INDEX(Tableau5[Att3],MATCH(Tableau3[[#This Row],[ID-SIG]],Tableau5[ID],0))&amp;""</f>
        <v/>
      </c>
      <c r="O1085" s="99"/>
      <c r="P1085" s="141" t="str">
        <f>INDEX(Tableau5[Description],MATCH(Tableau3[[#This Row],[ID-SIG]],Tableau5[ID],0))</f>
        <v>Défaut</v>
      </c>
      <c r="Q1085" s="99"/>
      <c r="R1085" s="142" t="str">
        <f>Tableau3[[#This Row],[Description]]</f>
        <v>Défaut</v>
      </c>
      <c r="U1085" s="87">
        <v>6</v>
      </c>
      <c r="V1085" s="87">
        <v>2</v>
      </c>
      <c r="W1085" s="87">
        <v>10</v>
      </c>
      <c r="X1085" s="87">
        <v>3</v>
      </c>
      <c r="Y1085" s="40"/>
      <c r="Z1085" s="165" t="str">
        <f>INDEX(Tableau2[TS],MATCH(Tableau3[[#This Row],[ID-CARTEVOIE]],Tableau2[ID-CARTEVOIE],0))</f>
        <v>ET</v>
      </c>
      <c r="AA1085" s="144" t="s">
        <v>213</v>
      </c>
      <c r="AB1085" s="224" t="str">
        <f>IFERROR(INDEX(Tableau5[Reserve],MATCH(Tableau3[[#This Row],[ID-SIG]],Tableau5[ID],0))&amp;"","")</f>
        <v/>
      </c>
      <c r="AC1085" s="119"/>
      <c r="AD1085" s="120" t="str">
        <f>INDEX(Tableau7[Repere],MATCH(Tableau3[[#This Row],[ID-API]],Tableau7[ID-API],0))&amp;""</f>
        <v>A6</v>
      </c>
      <c r="AE1085" s="120" t="str">
        <f>INDEX(Tableau1[Repere-Rack],MATCH(Tableau3[[#This Row],[ID-RACK]],Tableau1[ID-RACK],0))&amp;""</f>
        <v>R2</v>
      </c>
      <c r="AF1085" s="120" t="str">
        <f>INDEX(Tableau1[Repere-Slot],MATCH(Tableau3[[#This Row],[ID-SLOT]],Tableau1[ID-SLOT],0))&amp;""</f>
        <v>S10</v>
      </c>
      <c r="AG1085" s="120" t="str">
        <f>INDEX(Tableau2[Repere-Voie],MATCH(Tableau3[[#This Row],[ID-VOIE]],Tableau2[ID-Voie],0))&amp;""</f>
        <v>v3</v>
      </c>
      <c r="AH1085" s="122" t="str">
        <f>Tableau3[[#This Row],[ID-API]]&amp; "." &amp;Tableau3[[#This Row],[ID-RACK]]&amp; "." &amp;Tableau3[[#This Row],[ID-SLOT]]</f>
        <v>6.2.10</v>
      </c>
      <c r="AI1085" s="72" t="str">
        <f>INDEX(Tableau1[Ref-Carte],MATCH(Tableau3[[#This Row],[ID-RRS]],Tableau1[ID-RRS],0))</f>
        <v>SDI1602</v>
      </c>
      <c r="AJ1085" s="72" t="str">
        <f t="array" ref="AJ1085">IFERROR(INDEX(Tableau2[TS],MATCH(1,(Tableau2[Ref-Carte]=Tableau3[[#This Row],[Ref-Carte2]])*(Tableau2[ID-Voie]=Tableau3[[#This Row],[ID-VOIE]]),0)),"")</f>
        <v>ET</v>
      </c>
      <c r="AK1085" s="72" t="str">
        <f>IFERROR(INDEX(Tableau2[TS],SUMPRODUCT((Tableau2[Ref-Carte]=Tableau3[[#This Row],[Ref-Carte2]])*(Tableau2[ID-Voie]=Tableau3[[#This Row],[ID-VOIE]])*ROW(Tableau2[TS]))-ROW(Tableau2[#Headers])),"")</f>
        <v>ET</v>
      </c>
      <c r="AL1085" s="122" t="str">
        <f>Tableau3[[#This Row],[Ref-Carte2]]&amp;"/"&amp;Tableau3[[#This Row],[ID-VOIE]]</f>
        <v>SDI1602/3</v>
      </c>
      <c r="AM1085" s="145" t="str">
        <f>INDEX(Tableau2[Borne],MATCH(Tableau3[[#This Row],[ID-CARTEVOIE]],Tableau2[ID-CARTEVOIE],0))&amp;""</f>
        <v>1A</v>
      </c>
      <c r="AN1085" s="124" t="str">
        <f>Tableau3[[#This Row],[ID-API]]&amp;Tableau3[[#This Row],[ID-RACK]]&amp;Tableau3[[#This Row],[ID-SLOT]]&amp;Tableau3[[#This Row],[BORNE]]</f>
        <v>62101A</v>
      </c>
      <c r="AO1085" s="125"/>
    </row>
    <row r="1086" spans="1:41" ht="20.100000000000001" customHeight="1" thickTop="1" thickBot="1">
      <c r="A1086" s="134"/>
      <c r="B1086" s="135" t="str">
        <f>IFERROR(INDEX(Tableau4[Date],MATCH($A1086,Tableau4[EVO],0)),"")</f>
        <v/>
      </c>
      <c r="C1086" s="136" t="str">
        <f>IFERROR(INDEX(Tableau4[Designation],MATCH($A1086,Tableau4[EVO],0)),"")</f>
        <v/>
      </c>
      <c r="D1086" s="134"/>
      <c r="E1086" s="137">
        <v>166</v>
      </c>
      <c r="F1086" s="138">
        <v>85</v>
      </c>
      <c r="G1086" s="139" t="str">
        <f>INDEX(Tableau8[Att1],MATCH(Tableau3[[#This Row],[ID-INS]],Tableau8[ID],0))&amp;""</f>
        <v>V5</v>
      </c>
      <c r="H1086" s="139" t="str">
        <f>INDEX(Tableau8[Att2],MATCH(Tableau3[[#This Row],[ID-INS]],Tableau8[ID],0))&amp;""</f>
        <v>B30</v>
      </c>
      <c r="I1086" s="139" t="str">
        <f>INDEX(Tableau8[Att3],MATCH(Tableau3[[#This Row],[ID-INS]],Tableau8[ID],0))&amp;""</f>
        <v>Boucle B30</v>
      </c>
      <c r="J1086" s="101"/>
      <c r="K1086" s="167" t="str">
        <f>INDEX(Tableau8[Nom du modele],MATCH(Tableau3[[#This Row],[ID-INS]],Tableau8[ID],0))&amp;""</f>
        <v>Boucle</v>
      </c>
      <c r="L1086" s="141" t="str">
        <f>INDEX(Tableau5[Att1],MATCH(Tableau3[[#This Row],[ID-SIG]],Tableau5[ID],0))&amp;""</f>
        <v>Pres</v>
      </c>
      <c r="M1086" s="141" t="str">
        <f>INDEX(Tableau5[Att2],MATCH(Tableau3[[#This Row],[ID-SIG]],Tableau5[ID],0))&amp;""</f>
        <v/>
      </c>
      <c r="N1086" s="141" t="str">
        <f>INDEX(Tableau5[Att3],MATCH(Tableau3[[#This Row],[ID-SIG]],Tableau5[ID],0))&amp;""</f>
        <v/>
      </c>
      <c r="O1086" s="99"/>
      <c r="P1086" s="141" t="str">
        <f>INDEX(Tableau5[Description],MATCH(Tableau3[[#This Row],[ID-SIG]],Tableau5[ID],0))</f>
        <v>Présence</v>
      </c>
      <c r="Q1086" s="99"/>
      <c r="R1086" s="142" t="str">
        <f>Tableau3[[#This Row],[Description]]</f>
        <v>Présence</v>
      </c>
      <c r="U1086" s="87">
        <v>6</v>
      </c>
      <c r="V1086" s="87">
        <v>2</v>
      </c>
      <c r="W1086" s="87">
        <v>10</v>
      </c>
      <c r="X1086" s="87">
        <v>4</v>
      </c>
      <c r="Y1086" s="40"/>
      <c r="Z1086" s="165" t="str">
        <f>INDEX(Tableau2[TS],MATCH(Tableau3[[#This Row],[ID-CARTEVOIE]],Tableau2[ID-CARTEVOIE],0))</f>
        <v>ET</v>
      </c>
      <c r="AA1086" s="144" t="s">
        <v>213</v>
      </c>
      <c r="AB1086" s="224" t="str">
        <f>IFERROR(INDEX(Tableau5[Reserve],MATCH(Tableau3[[#This Row],[ID-SIG]],Tableau5[ID],0))&amp;"","")</f>
        <v/>
      </c>
      <c r="AC1086" s="119"/>
      <c r="AD1086" s="120" t="str">
        <f>INDEX(Tableau7[Repere],MATCH(Tableau3[[#This Row],[ID-API]],Tableau7[ID-API],0))&amp;""</f>
        <v>A6</v>
      </c>
      <c r="AE1086" s="120" t="str">
        <f>INDEX(Tableau1[Repere-Rack],MATCH(Tableau3[[#This Row],[ID-RACK]],Tableau1[ID-RACK],0))&amp;""</f>
        <v>R2</v>
      </c>
      <c r="AF1086" s="120" t="str">
        <f>INDEX(Tableau1[Repere-Slot],MATCH(Tableau3[[#This Row],[ID-SLOT]],Tableau1[ID-SLOT],0))&amp;""</f>
        <v>S10</v>
      </c>
      <c r="AG1086" s="120" t="str">
        <f>INDEX(Tableau2[Repere-Voie],MATCH(Tableau3[[#This Row],[ID-VOIE]],Tableau2[ID-Voie],0))&amp;""</f>
        <v>v4</v>
      </c>
      <c r="AH1086" s="122" t="str">
        <f>Tableau3[[#This Row],[ID-API]]&amp; "." &amp;Tableau3[[#This Row],[ID-RACK]]&amp; "." &amp;Tableau3[[#This Row],[ID-SLOT]]</f>
        <v>6.2.10</v>
      </c>
      <c r="AI1086" s="72" t="str">
        <f>INDEX(Tableau1[Ref-Carte],MATCH(Tableau3[[#This Row],[ID-RRS]],Tableau1[ID-RRS],0))</f>
        <v>SDI1602</v>
      </c>
      <c r="AJ1086" s="72" t="str">
        <f t="array" ref="AJ1086">IFERROR(INDEX(Tableau2[TS],MATCH(1,(Tableau2[Ref-Carte]=Tableau3[[#This Row],[Ref-Carte2]])*(Tableau2[ID-Voie]=Tableau3[[#This Row],[ID-VOIE]]),0)),"")</f>
        <v>ET</v>
      </c>
      <c r="AK1086" s="72" t="str">
        <f>IFERROR(INDEX(Tableau2[TS],SUMPRODUCT((Tableau2[Ref-Carte]=Tableau3[[#This Row],[Ref-Carte2]])*(Tableau2[ID-Voie]=Tableau3[[#This Row],[ID-VOIE]])*ROW(Tableau2[TS]))-ROW(Tableau2[#Headers])),"")</f>
        <v>ET</v>
      </c>
      <c r="AL1086" s="122" t="str">
        <f>Tableau3[[#This Row],[Ref-Carte2]]&amp;"/"&amp;Tableau3[[#This Row],[ID-VOIE]]</f>
        <v>SDI1602/4</v>
      </c>
      <c r="AM1086" s="145" t="str">
        <f>INDEX(Tableau2[Borne],MATCH(Tableau3[[#This Row],[ID-CARTEVOIE]],Tableau2[ID-CARTEVOIE],0))&amp;""</f>
        <v>2B</v>
      </c>
      <c r="AN1086" s="124" t="str">
        <f>Tableau3[[#This Row],[ID-API]]&amp;Tableau3[[#This Row],[ID-RACK]]&amp;Tableau3[[#This Row],[ID-SLOT]]&amp;Tableau3[[#This Row],[BORNE]]</f>
        <v>62102B</v>
      </c>
      <c r="AO1086" s="125"/>
    </row>
    <row r="1087" spans="1:41" ht="20.100000000000001" customHeight="1" thickTop="1" thickBot="1">
      <c r="A1087" s="68"/>
      <c r="B1087" s="69" t="str">
        <f>IFERROR(INDEX(Tableau4[Date],MATCH($A1087,Tableau4[EVO],0)),"")</f>
        <v/>
      </c>
      <c r="C1087" s="68" t="str">
        <f>IFERROR(INDEX(Tableau4[Designation],MATCH($A1087,Tableau4[EVO],0)),"")</f>
        <v/>
      </c>
      <c r="D1087" s="68"/>
      <c r="E1087" s="70">
        <v>173</v>
      </c>
      <c r="F1087" s="71">
        <v>84</v>
      </c>
      <c r="G1087" s="101" t="str">
        <f>INDEX(Tableau8[Att1],MATCH(Tableau3[[#This Row],[ID-INS]],Tableau8[ID],0))&amp;""</f>
        <v>V5</v>
      </c>
      <c r="H1087" s="101" t="str">
        <f>INDEX(Tableau8[Att2],MATCH(Tableau3[[#This Row],[ID-INS]],Tableau8[ID],0))&amp;""</f>
        <v>B37</v>
      </c>
      <c r="I1087" s="101" t="str">
        <f>INDEX(Tableau8[Att3],MATCH(Tableau3[[#This Row],[ID-INS]],Tableau8[ID],0))&amp;""</f>
        <v>Boucle B37</v>
      </c>
      <c r="J1087" s="101"/>
      <c r="K1087" s="167" t="str">
        <f>INDEX(Tableau8[Nom du modele],MATCH(Tableau3[[#This Row],[ID-INS]],Tableau8[ID],0))&amp;""</f>
        <v>Boucle</v>
      </c>
      <c r="L1087" s="99" t="str">
        <f>INDEX(Tableau5[Att1],MATCH(Tableau3[[#This Row],[ID-SIG]],Tableau5[ID],0))&amp;""</f>
        <v>Def</v>
      </c>
      <c r="M1087" s="99" t="str">
        <f>INDEX(Tableau5[Att2],MATCH(Tableau3[[#This Row],[ID-SIG]],Tableau5[ID],0))&amp;""</f>
        <v/>
      </c>
      <c r="N1087" s="99" t="str">
        <f>INDEX(Tableau5[Att3],MATCH(Tableau3[[#This Row],[ID-SIG]],Tableau5[ID],0))&amp;""</f>
        <v/>
      </c>
      <c r="O1087" s="99"/>
      <c r="P1087" s="99" t="str">
        <f>INDEX(Tableau5[Description],MATCH(Tableau3[[#This Row],[ID-SIG]],Tableau5[ID],0))</f>
        <v>Défaut</v>
      </c>
      <c r="Q1087" s="99"/>
      <c r="R1087" s="103" t="str">
        <f>Tableau3[[#This Row],[Description]]</f>
        <v>Défaut</v>
      </c>
      <c r="U1087" s="87">
        <v>6</v>
      </c>
      <c r="V1087" s="87">
        <v>2</v>
      </c>
      <c r="W1087" s="87">
        <v>10</v>
      </c>
      <c r="X1087" s="87">
        <v>5</v>
      </c>
      <c r="Y1087" s="40"/>
      <c r="Z1087" s="165" t="str">
        <f>INDEX(Tableau2[TS],MATCH(Tableau3[[#This Row],[ID-CARTEVOIE]],Tableau2[ID-CARTEVOIE],0))</f>
        <v>ET</v>
      </c>
      <c r="AA1087" s="53" t="s">
        <v>213</v>
      </c>
      <c r="AB1087" s="223" t="str">
        <f>IFERROR(INDEX(Tableau5[Reserve],MATCH(Tableau3[[#This Row],[ID-SIG]],Tableau5[ID],0))&amp;"","")</f>
        <v/>
      </c>
      <c r="AC1087" s="21"/>
      <c r="AD1087" s="108" t="str">
        <f>INDEX(Tableau7[Repere],MATCH(Tableau3[[#This Row],[ID-API]],Tableau7[ID-API],0))&amp;""</f>
        <v>A6</v>
      </c>
      <c r="AE1087" s="108" t="str">
        <f>INDEX(Tableau1[Repere-Rack],MATCH(Tableau3[[#This Row],[ID-RACK]],Tableau1[ID-RACK],0))&amp;""</f>
        <v>R2</v>
      </c>
      <c r="AF1087" s="108" t="str">
        <f>INDEX(Tableau1[Repere-Slot],MATCH(Tableau3[[#This Row],[ID-SLOT]],Tableau1[ID-SLOT],0))&amp;""</f>
        <v>S10</v>
      </c>
      <c r="AG1087" s="108" t="str">
        <f>INDEX(Tableau2[Repere-Voie],MATCH(Tableau3[[#This Row],[ID-VOIE]],Tableau2[ID-Voie],0))&amp;""</f>
        <v>v5</v>
      </c>
      <c r="AH1087" s="72" t="str">
        <f>Tableau3[[#This Row],[ID-API]]&amp; "." &amp;Tableau3[[#This Row],[ID-RACK]]&amp; "." &amp;Tableau3[[#This Row],[ID-SLOT]]</f>
        <v>6.2.10</v>
      </c>
      <c r="AI1087" s="72" t="str">
        <f>INDEX(Tableau1[Ref-Carte],MATCH(Tableau3[[#This Row],[ID-RRS]],Tableau1[ID-RRS],0))</f>
        <v>SDI1602</v>
      </c>
      <c r="AJ1087" s="72" t="str">
        <f t="array" ref="AJ1087">IFERROR(INDEX(Tableau2[TS],MATCH(1,(Tableau2[Ref-Carte]=Tableau3[[#This Row],[Ref-Carte2]])*(Tableau2[ID-Voie]=Tableau3[[#This Row],[ID-VOIE]]),0)),"")</f>
        <v>ET</v>
      </c>
      <c r="AK1087" s="72" t="str">
        <f>IFERROR(INDEX(Tableau2[TS],SUMPRODUCT((Tableau2[Ref-Carte]=Tableau3[[#This Row],[Ref-Carte2]])*(Tableau2[ID-Voie]=Tableau3[[#This Row],[ID-VOIE]])*ROW(Tableau2[TS]))-ROW(Tableau2[#Headers])),"")</f>
        <v>ET</v>
      </c>
      <c r="AL1087" s="72" t="str">
        <f>Tableau3[[#This Row],[Ref-Carte2]]&amp;"/"&amp;Tableau3[[#This Row],[ID-VOIE]]</f>
        <v>SDI1602/5</v>
      </c>
      <c r="AM1087" s="73" t="str">
        <f>INDEX(Tableau2[Borne],MATCH(Tableau3[[#This Row],[ID-CARTEVOIE]],Tableau2[ID-CARTEVOIE],0))&amp;""</f>
        <v>2A</v>
      </c>
      <c r="AN1087" s="74" t="str">
        <f>Tableau3[[#This Row],[ID-API]]&amp;Tableau3[[#This Row],[ID-RACK]]&amp;Tableau3[[#This Row],[ID-SLOT]]&amp;Tableau3[[#This Row],[BORNE]]</f>
        <v>62102A</v>
      </c>
      <c r="AO1087" s="1"/>
    </row>
    <row r="1088" spans="1:41" ht="20.100000000000001" customHeight="1" thickTop="1" thickBot="1">
      <c r="A1088" s="68"/>
      <c r="B1088" s="69" t="str">
        <f>IFERROR(INDEX(Tableau4[Date],MATCH($A1088,Tableau4[EVO],0)),"")</f>
        <v/>
      </c>
      <c r="C1088" s="68" t="str">
        <f>IFERROR(INDEX(Tableau4[Designation],MATCH($A1088,Tableau4[EVO],0)),"")</f>
        <v/>
      </c>
      <c r="D1088" s="68"/>
      <c r="E1088" s="70">
        <v>173</v>
      </c>
      <c r="F1088" s="71">
        <v>85</v>
      </c>
      <c r="G1088" s="101" t="str">
        <f>INDEX(Tableau8[Att1],MATCH(Tableau3[[#This Row],[ID-INS]],Tableau8[ID],0))&amp;""</f>
        <v>V5</v>
      </c>
      <c r="H1088" s="101" t="str">
        <f>INDEX(Tableau8[Att2],MATCH(Tableau3[[#This Row],[ID-INS]],Tableau8[ID],0))&amp;""</f>
        <v>B37</v>
      </c>
      <c r="I1088" s="101" t="str">
        <f>INDEX(Tableau8[Att3],MATCH(Tableau3[[#This Row],[ID-INS]],Tableau8[ID],0))&amp;""</f>
        <v>Boucle B37</v>
      </c>
      <c r="J1088" s="101"/>
      <c r="K1088" s="167" t="str">
        <f>INDEX(Tableau8[Nom du modele],MATCH(Tableau3[[#This Row],[ID-INS]],Tableau8[ID],0))&amp;""</f>
        <v>Boucle</v>
      </c>
      <c r="L1088" s="99" t="str">
        <f>INDEX(Tableau5[Att1],MATCH(Tableau3[[#This Row],[ID-SIG]],Tableau5[ID],0))&amp;""</f>
        <v>Pres</v>
      </c>
      <c r="M1088" s="99" t="str">
        <f>INDEX(Tableau5[Att2],MATCH(Tableau3[[#This Row],[ID-SIG]],Tableau5[ID],0))&amp;""</f>
        <v/>
      </c>
      <c r="N1088" s="99" t="str">
        <f>INDEX(Tableau5[Att3],MATCH(Tableau3[[#This Row],[ID-SIG]],Tableau5[ID],0))&amp;""</f>
        <v/>
      </c>
      <c r="O1088" s="99"/>
      <c r="P1088" s="99" t="str">
        <f>INDEX(Tableau5[Description],MATCH(Tableau3[[#This Row],[ID-SIG]],Tableau5[ID],0))</f>
        <v>Présence</v>
      </c>
      <c r="Q1088" s="99"/>
      <c r="R1088" s="103" t="str">
        <f>Tableau3[[#This Row],[Description]]</f>
        <v>Présence</v>
      </c>
      <c r="U1088" s="87">
        <v>6</v>
      </c>
      <c r="V1088" s="87">
        <v>2</v>
      </c>
      <c r="W1088" s="87">
        <v>10</v>
      </c>
      <c r="X1088" s="87">
        <v>6</v>
      </c>
      <c r="Y1088" s="40"/>
      <c r="Z1088" s="165" t="str">
        <f>INDEX(Tableau2[TS],MATCH(Tableau3[[#This Row],[ID-CARTEVOIE]],Tableau2[ID-CARTEVOIE],0))</f>
        <v>ET</v>
      </c>
      <c r="AA1088" s="53" t="s">
        <v>213</v>
      </c>
      <c r="AB1088" s="223" t="str">
        <f>IFERROR(INDEX(Tableau5[Reserve],MATCH(Tableau3[[#This Row],[ID-SIG]],Tableau5[ID],0))&amp;"","")</f>
        <v/>
      </c>
      <c r="AC1088" s="21"/>
      <c r="AD1088" s="108" t="str">
        <f>INDEX(Tableau7[Repere],MATCH(Tableau3[[#This Row],[ID-API]],Tableau7[ID-API],0))&amp;""</f>
        <v>A6</v>
      </c>
      <c r="AE1088" s="108" t="str">
        <f>INDEX(Tableau1[Repere-Rack],MATCH(Tableau3[[#This Row],[ID-RACK]],Tableau1[ID-RACK],0))&amp;""</f>
        <v>R2</v>
      </c>
      <c r="AF1088" s="108" t="str">
        <f>INDEX(Tableau1[Repere-Slot],MATCH(Tableau3[[#This Row],[ID-SLOT]],Tableau1[ID-SLOT],0))&amp;""</f>
        <v>S10</v>
      </c>
      <c r="AG1088" s="108" t="str">
        <f>INDEX(Tableau2[Repere-Voie],MATCH(Tableau3[[#This Row],[ID-VOIE]],Tableau2[ID-Voie],0))&amp;""</f>
        <v>v6</v>
      </c>
      <c r="AH1088" s="72" t="str">
        <f>Tableau3[[#This Row],[ID-API]]&amp; "." &amp;Tableau3[[#This Row],[ID-RACK]]&amp; "." &amp;Tableau3[[#This Row],[ID-SLOT]]</f>
        <v>6.2.10</v>
      </c>
      <c r="AI1088" s="72" t="str">
        <f>INDEX(Tableau1[Ref-Carte],MATCH(Tableau3[[#This Row],[ID-RRS]],Tableau1[ID-RRS],0))</f>
        <v>SDI1602</v>
      </c>
      <c r="AJ1088" s="72" t="str">
        <f t="array" ref="AJ1088">IFERROR(INDEX(Tableau2[TS],MATCH(1,(Tableau2[Ref-Carte]=Tableau3[[#This Row],[Ref-Carte2]])*(Tableau2[ID-Voie]=Tableau3[[#This Row],[ID-VOIE]]),0)),"")</f>
        <v>ET</v>
      </c>
      <c r="AK1088" s="72" t="str">
        <f>IFERROR(INDEX(Tableau2[TS],SUMPRODUCT((Tableau2[Ref-Carte]=Tableau3[[#This Row],[Ref-Carte2]])*(Tableau2[ID-Voie]=Tableau3[[#This Row],[ID-VOIE]])*ROW(Tableau2[TS]))-ROW(Tableau2[#Headers])),"")</f>
        <v>ET</v>
      </c>
      <c r="AL1088" s="72" t="str">
        <f>Tableau3[[#This Row],[Ref-Carte2]]&amp;"/"&amp;Tableau3[[#This Row],[ID-VOIE]]</f>
        <v>SDI1602/6</v>
      </c>
      <c r="AM1088" s="73" t="str">
        <f>INDEX(Tableau2[Borne],MATCH(Tableau3[[#This Row],[ID-CARTEVOIE]],Tableau2[ID-CARTEVOIE],0))&amp;""</f>
        <v>3B</v>
      </c>
      <c r="AN1088" s="74" t="str">
        <f>Tableau3[[#This Row],[ID-API]]&amp;Tableau3[[#This Row],[ID-RACK]]&amp;Tableau3[[#This Row],[ID-SLOT]]&amp;Tableau3[[#This Row],[BORNE]]</f>
        <v>62103B</v>
      </c>
      <c r="AO1088" s="1"/>
    </row>
    <row r="1089" spans="1:41" ht="20.100000000000001" customHeight="1" thickTop="1" thickBot="1">
      <c r="A1089" s="68"/>
      <c r="B1089" s="69" t="str">
        <f>IFERROR(INDEX(Tableau4[Date],MATCH($A1089,Tableau4[EVO],0)),"")</f>
        <v/>
      </c>
      <c r="C1089" s="68" t="str">
        <f>IFERROR(INDEX(Tableau4[Designation],MATCH($A1089,Tableau4[EVO],0)),"")</f>
        <v/>
      </c>
      <c r="D1089" s="68"/>
      <c r="E1089" s="70">
        <v>180</v>
      </c>
      <c r="F1089" s="71">
        <v>1</v>
      </c>
      <c r="G1089" s="101" t="str">
        <f>INDEX(Tableau8[Att1],MATCH(Tableau3[[#This Row],[ID-INS]],Tableau8[ID],0))&amp;""</f>
        <v>V5</v>
      </c>
      <c r="H1089" s="101" t="str">
        <f>INDEX(Tableau8[Att2],MATCH(Tableau3[[#This Row],[ID-INS]],Tableau8[ID],0))&amp;""</f>
        <v>BP6</v>
      </c>
      <c r="I1089" s="101" t="str">
        <f>INDEX(Tableau8[Att3],MATCH(Tableau3[[#This Row],[ID-INS]],Tableau8[ID],0))&amp;""</f>
        <v>Bouton d'acquittement contrôle aléatoire V5</v>
      </c>
      <c r="J1089" s="101"/>
      <c r="K1089" s="167" t="str">
        <f>INDEX(Tableau8[Nom du modele],MATCH(Tableau3[[#This Row],[ID-INS]],Tableau8[ID],0))&amp;""</f>
        <v>BoutonPoussoir</v>
      </c>
      <c r="L1089" s="99" t="str">
        <f>INDEX(Tableau5[Att1],MATCH(Tableau3[[#This Row],[ID-SIG]],Tableau5[ID],0))&amp;""</f>
        <v>Appui</v>
      </c>
      <c r="M1089" s="99" t="str">
        <f>INDEX(Tableau5[Att2],MATCH(Tableau3[[#This Row],[ID-SIG]],Tableau5[ID],0))&amp;""</f>
        <v/>
      </c>
      <c r="N1089" s="99" t="str">
        <f>INDEX(Tableau5[Att3],MATCH(Tableau3[[#This Row],[ID-SIG]],Tableau5[ID],0))&amp;""</f>
        <v/>
      </c>
      <c r="O1089" s="99"/>
      <c r="P1089" s="99" t="s">
        <v>1726</v>
      </c>
      <c r="Q1089" s="99"/>
      <c r="R1089" s="103" t="str">
        <f>Tableau3[[#This Row],[Description]]</f>
        <v>Réserve - Sortie 1</v>
      </c>
      <c r="T1089" s="85"/>
      <c r="U1089" s="87">
        <v>6</v>
      </c>
      <c r="V1089" s="87">
        <v>2</v>
      </c>
      <c r="W1089" s="87">
        <v>10</v>
      </c>
      <c r="X1089" s="87">
        <v>7</v>
      </c>
      <c r="Y1089" s="40"/>
      <c r="Z1089" s="165" t="str">
        <f>INDEX(Tableau2[TS],MATCH(Tableau3[[#This Row],[ID-CARTEVOIE]],Tableau2[ID-CARTEVOIE],0))</f>
        <v>ET</v>
      </c>
      <c r="AA1089" s="53" t="s">
        <v>213</v>
      </c>
      <c r="AB1089" s="223" t="str">
        <f>IFERROR(INDEX(Tableau5[Reserve],MATCH(Tableau3[[#This Row],[ID-SIG]],Tableau5[ID],0))&amp;"","")</f>
        <v/>
      </c>
      <c r="AC1089" s="21"/>
      <c r="AD1089" s="108" t="str">
        <f>INDEX(Tableau7[Repere],MATCH(Tableau3[[#This Row],[ID-API]],Tableau7[ID-API],0))&amp;""</f>
        <v>A6</v>
      </c>
      <c r="AE1089" s="108" t="str">
        <f>INDEX(Tableau1[Repere-Rack],MATCH(Tableau3[[#This Row],[ID-RACK]],Tableau1[ID-RACK],0))&amp;""</f>
        <v>R2</v>
      </c>
      <c r="AF1089" s="108" t="str">
        <f>INDEX(Tableau1[Repere-Slot],MATCH(Tableau3[[#This Row],[ID-SLOT]],Tableau1[ID-SLOT],0))&amp;""</f>
        <v>S10</v>
      </c>
      <c r="AG1089" s="108" t="str">
        <f>INDEX(Tableau2[Repere-Voie],MATCH(Tableau3[[#This Row],[ID-VOIE]],Tableau2[ID-Voie],0))&amp;""</f>
        <v>v7</v>
      </c>
      <c r="AH1089" s="72" t="str">
        <f>Tableau3[[#This Row],[ID-API]]&amp; "." &amp;Tableau3[[#This Row],[ID-RACK]]&amp; "." &amp;Tableau3[[#This Row],[ID-SLOT]]</f>
        <v>6.2.10</v>
      </c>
      <c r="AI1089" s="72" t="str">
        <f>INDEX(Tableau1[Ref-Carte],MATCH(Tableau3[[#This Row],[ID-RRS]],Tableau1[ID-RRS],0))</f>
        <v>SDI1602</v>
      </c>
      <c r="AJ1089" s="72" t="str">
        <f t="array" ref="AJ1089">IFERROR(INDEX(Tableau2[TS],MATCH(1,(Tableau2[Ref-Carte]=Tableau3[[#This Row],[Ref-Carte2]])*(Tableau2[ID-Voie]=Tableau3[[#This Row],[ID-VOIE]]),0)),"")</f>
        <v>ET</v>
      </c>
      <c r="AK1089" s="72" t="str">
        <f>IFERROR(INDEX(Tableau2[TS],SUMPRODUCT((Tableau2[Ref-Carte]=Tableau3[[#This Row],[Ref-Carte2]])*(Tableau2[ID-Voie]=Tableau3[[#This Row],[ID-VOIE]])*ROW(Tableau2[TS]))-ROW(Tableau2[#Headers])),"")</f>
        <v>ET</v>
      </c>
      <c r="AL1089" s="72" t="str">
        <f>Tableau3[[#This Row],[Ref-Carte2]]&amp;"/"&amp;Tableau3[[#This Row],[ID-VOIE]]</f>
        <v>SDI1602/7</v>
      </c>
      <c r="AM1089" s="73" t="str">
        <f>INDEX(Tableau2[Borne],MATCH(Tableau3[[#This Row],[ID-CARTEVOIE]],Tableau2[ID-CARTEVOIE],0))&amp;""</f>
        <v>3A</v>
      </c>
      <c r="AN1089" s="74" t="str">
        <f>Tableau3[[#This Row],[ID-API]]&amp;Tableau3[[#This Row],[ID-RACK]]&amp;Tableau3[[#This Row],[ID-SLOT]]&amp;Tableau3[[#This Row],[BORNE]]</f>
        <v>62103A</v>
      </c>
      <c r="AO1089" s="1"/>
    </row>
    <row r="1090" spans="1:41" ht="20.100000000000001" customHeight="1" thickTop="1" thickBot="1">
      <c r="A1090" s="68"/>
      <c r="B1090" s="69" t="str">
        <f>IFERROR(INDEX(Tableau4[Date],MATCH($A1090,Tableau4[EVO],0)),"")</f>
        <v/>
      </c>
      <c r="C1090" s="68" t="str">
        <f>IFERROR(INDEX(Tableau4[Designation],MATCH($A1090,Tableau4[EVO],0)),"")</f>
        <v/>
      </c>
      <c r="D1090" s="68"/>
      <c r="E1090" s="70">
        <v>230</v>
      </c>
      <c r="F1090" s="71">
        <v>84</v>
      </c>
      <c r="G1090" s="101" t="str">
        <f>INDEX(Tableau8[Att1],MATCH(Tableau3[[#This Row],[ID-INS]],Tableau8[ID],0))&amp;""</f>
        <v>V5</v>
      </c>
      <c r="H1090" s="101" t="str">
        <f>INDEX(Tableau8[Att2],MATCH(Tableau3[[#This Row],[ID-INS]],Tableau8[ID],0))&amp;""</f>
        <v>B39</v>
      </c>
      <c r="I1090" s="101" t="str">
        <f>INDEX(Tableau8[Att3],MATCH(Tableau3[[#This Row],[ID-INS]],Tableau8[ID],0))&amp;""</f>
        <v>Boucle B39</v>
      </c>
      <c r="J1090" s="101"/>
      <c r="K1090" s="167" t="str">
        <f>INDEX(Tableau8[Nom du modele],MATCH(Tableau3[[#This Row],[ID-INS]],Tableau8[ID],0))&amp;""</f>
        <v>Boucle</v>
      </c>
      <c r="L1090" s="99" t="str">
        <f>INDEX(Tableau5[Att1],MATCH(Tableau3[[#This Row],[ID-SIG]],Tableau5[ID],0))&amp;""</f>
        <v>Def</v>
      </c>
      <c r="M1090" s="99" t="str">
        <f>INDEX(Tableau5[Att2],MATCH(Tableau3[[#This Row],[ID-SIG]],Tableau5[ID],0))&amp;""</f>
        <v/>
      </c>
      <c r="N1090" s="99" t="str">
        <f>INDEX(Tableau5[Att3],MATCH(Tableau3[[#This Row],[ID-SIG]],Tableau5[ID],0))&amp;""</f>
        <v/>
      </c>
      <c r="O1090" s="99"/>
      <c r="P1090" s="99" t="str">
        <f>INDEX(Tableau5[Description],MATCH(Tableau3[[#This Row],[ID-SIG]],Tableau5[ID],0))</f>
        <v>Défaut</v>
      </c>
      <c r="Q1090" s="99"/>
      <c r="R1090" s="103" t="str">
        <f>Tableau3[[#This Row],[Description]]</f>
        <v>Défaut</v>
      </c>
      <c r="U1090" s="87">
        <v>6</v>
      </c>
      <c r="V1090" s="87">
        <v>2</v>
      </c>
      <c r="W1090" s="87">
        <v>10</v>
      </c>
      <c r="X1090" s="87">
        <v>8</v>
      </c>
      <c r="Y1090" s="40"/>
      <c r="Z1090" s="165" t="str">
        <f>INDEX(Tableau2[TS],MATCH(Tableau3[[#This Row],[ID-CARTEVOIE]],Tableau2[ID-CARTEVOIE],0))</f>
        <v>ET</v>
      </c>
      <c r="AA1090" s="53" t="s">
        <v>213</v>
      </c>
      <c r="AB1090" s="223" t="str">
        <f>IFERROR(INDEX(Tableau5[Reserve],MATCH(Tableau3[[#This Row],[ID-SIG]],Tableau5[ID],0))&amp;"","")</f>
        <v/>
      </c>
      <c r="AC1090" s="21"/>
      <c r="AD1090" s="108" t="str">
        <f>INDEX(Tableau7[Repere],MATCH(Tableau3[[#This Row],[ID-API]],Tableau7[ID-API],0))&amp;""</f>
        <v>A6</v>
      </c>
      <c r="AE1090" s="108" t="str">
        <f>INDEX(Tableau1[Repere-Rack],MATCH(Tableau3[[#This Row],[ID-RACK]],Tableau1[ID-RACK],0))&amp;""</f>
        <v>R2</v>
      </c>
      <c r="AF1090" s="108" t="str">
        <f>INDEX(Tableau1[Repere-Slot],MATCH(Tableau3[[#This Row],[ID-SLOT]],Tableau1[ID-SLOT],0))&amp;""</f>
        <v>S10</v>
      </c>
      <c r="AG1090" s="108" t="str">
        <f>INDEX(Tableau2[Repere-Voie],MATCH(Tableau3[[#This Row],[ID-VOIE]],Tableau2[ID-Voie],0))&amp;""</f>
        <v>v8</v>
      </c>
      <c r="AH1090" s="72" t="str">
        <f>Tableau3[[#This Row],[ID-API]]&amp; "." &amp;Tableau3[[#This Row],[ID-RACK]]&amp; "." &amp;Tableau3[[#This Row],[ID-SLOT]]</f>
        <v>6.2.10</v>
      </c>
      <c r="AI1090" s="72" t="str">
        <f>INDEX(Tableau1[Ref-Carte],MATCH(Tableau3[[#This Row],[ID-RRS]],Tableau1[ID-RRS],0))</f>
        <v>SDI1602</v>
      </c>
      <c r="AJ1090" s="72" t="str">
        <f t="array" ref="AJ1090">IFERROR(INDEX(Tableau2[TS],MATCH(1,(Tableau2[Ref-Carte]=Tableau3[[#This Row],[Ref-Carte2]])*(Tableau2[ID-Voie]=Tableau3[[#This Row],[ID-VOIE]]),0)),"")</f>
        <v>ET</v>
      </c>
      <c r="AK1090" s="72" t="str">
        <f>IFERROR(INDEX(Tableau2[TS],SUMPRODUCT((Tableau2[Ref-Carte]=Tableau3[[#This Row],[Ref-Carte2]])*(Tableau2[ID-Voie]=Tableau3[[#This Row],[ID-VOIE]])*ROW(Tableau2[TS]))-ROW(Tableau2[#Headers])),"")</f>
        <v>ET</v>
      </c>
      <c r="AL1090" s="72" t="str">
        <f>Tableau3[[#This Row],[Ref-Carte2]]&amp;"/"&amp;Tableau3[[#This Row],[ID-VOIE]]</f>
        <v>SDI1602/8</v>
      </c>
      <c r="AM1090" s="73" t="str">
        <f>INDEX(Tableau2[Borne],MATCH(Tableau3[[#This Row],[ID-CARTEVOIE]],Tableau2[ID-CARTEVOIE],0))&amp;""</f>
        <v>4B</v>
      </c>
      <c r="AN1090" s="74" t="str">
        <f>Tableau3[[#This Row],[ID-API]]&amp;Tableau3[[#This Row],[ID-RACK]]&amp;Tableau3[[#This Row],[ID-SLOT]]&amp;Tableau3[[#This Row],[BORNE]]</f>
        <v>62104B</v>
      </c>
      <c r="AO1090" s="1"/>
    </row>
    <row r="1091" spans="1:41" ht="20.100000000000001" customHeight="1" thickTop="1" thickBot="1">
      <c r="A1091" s="68"/>
      <c r="B1091" s="69" t="str">
        <f>IFERROR(INDEX(Tableau4[Date],MATCH($A1091,Tableau4[EVO],0)),"")</f>
        <v/>
      </c>
      <c r="C1091" s="68" t="str">
        <f>IFERROR(INDEX(Tableau4[Designation],MATCH($A1091,Tableau4[EVO],0)),"")</f>
        <v/>
      </c>
      <c r="D1091" s="68"/>
      <c r="E1091" s="70">
        <v>230</v>
      </c>
      <c r="F1091" s="71">
        <v>85</v>
      </c>
      <c r="G1091" s="101" t="str">
        <f>INDEX(Tableau8[Att1],MATCH(Tableau3[[#This Row],[ID-INS]],Tableau8[ID],0))&amp;""</f>
        <v>V5</v>
      </c>
      <c r="H1091" s="101" t="str">
        <f>INDEX(Tableau8[Att2],MATCH(Tableau3[[#This Row],[ID-INS]],Tableau8[ID],0))&amp;""</f>
        <v>B39</v>
      </c>
      <c r="I1091" s="101" t="str">
        <f>INDEX(Tableau8[Att3],MATCH(Tableau3[[#This Row],[ID-INS]],Tableau8[ID],0))&amp;""</f>
        <v>Boucle B39</v>
      </c>
      <c r="J1091" s="101"/>
      <c r="K1091" s="167" t="str">
        <f>INDEX(Tableau8[Nom du modele],MATCH(Tableau3[[#This Row],[ID-INS]],Tableau8[ID],0))&amp;""</f>
        <v>Boucle</v>
      </c>
      <c r="L1091" s="99" t="str">
        <f>INDEX(Tableau5[Att1],MATCH(Tableau3[[#This Row],[ID-SIG]],Tableau5[ID],0))&amp;""</f>
        <v>Pres</v>
      </c>
      <c r="M1091" s="99" t="str">
        <f>INDEX(Tableau5[Att2],MATCH(Tableau3[[#This Row],[ID-SIG]],Tableau5[ID],0))&amp;""</f>
        <v/>
      </c>
      <c r="N1091" s="99" t="str">
        <f>INDEX(Tableau5[Att3],MATCH(Tableau3[[#This Row],[ID-SIG]],Tableau5[ID],0))&amp;""</f>
        <v/>
      </c>
      <c r="O1091" s="99"/>
      <c r="P1091" s="99" t="str">
        <f>INDEX(Tableau5[Description],MATCH(Tableau3[[#This Row],[ID-SIG]],Tableau5[ID],0))</f>
        <v>Présence</v>
      </c>
      <c r="Q1091" s="99"/>
      <c r="R1091" s="103" t="str">
        <f>Tableau3[[#This Row],[Description]]</f>
        <v>Présence</v>
      </c>
      <c r="U1091" s="87">
        <v>6</v>
      </c>
      <c r="V1091" s="87">
        <v>2</v>
      </c>
      <c r="W1091" s="87">
        <v>10</v>
      </c>
      <c r="X1091" s="87">
        <v>9</v>
      </c>
      <c r="Y1091" s="40"/>
      <c r="Z1091" s="165" t="str">
        <f>INDEX(Tableau2[TS],MATCH(Tableau3[[#This Row],[ID-CARTEVOIE]],Tableau2[ID-CARTEVOIE],0))</f>
        <v>ET</v>
      </c>
      <c r="AA1091" s="53" t="s">
        <v>213</v>
      </c>
      <c r="AB1091" s="223" t="str">
        <f>IFERROR(INDEX(Tableau5[Reserve],MATCH(Tableau3[[#This Row],[ID-SIG]],Tableau5[ID],0))&amp;"","")</f>
        <v/>
      </c>
      <c r="AC1091" s="21"/>
      <c r="AD1091" s="108" t="str">
        <f>INDEX(Tableau7[Repere],MATCH(Tableau3[[#This Row],[ID-API]],Tableau7[ID-API],0))&amp;""</f>
        <v>A6</v>
      </c>
      <c r="AE1091" s="108" t="str">
        <f>INDEX(Tableau1[Repere-Rack],MATCH(Tableau3[[#This Row],[ID-RACK]],Tableau1[ID-RACK],0))&amp;""</f>
        <v>R2</v>
      </c>
      <c r="AF1091" s="108" t="str">
        <f>INDEX(Tableau1[Repere-Slot],MATCH(Tableau3[[#This Row],[ID-SLOT]],Tableau1[ID-SLOT],0))&amp;""</f>
        <v>S10</v>
      </c>
      <c r="AG1091" s="108" t="str">
        <f>INDEX(Tableau2[Repere-Voie],MATCH(Tableau3[[#This Row],[ID-VOIE]],Tableau2[ID-Voie],0))&amp;""</f>
        <v>v9</v>
      </c>
      <c r="AH1091" s="72" t="str">
        <f>Tableau3[[#This Row],[ID-API]]&amp; "." &amp;Tableau3[[#This Row],[ID-RACK]]&amp; "." &amp;Tableau3[[#This Row],[ID-SLOT]]</f>
        <v>6.2.10</v>
      </c>
      <c r="AI1091" s="72" t="str">
        <f>INDEX(Tableau1[Ref-Carte],MATCH(Tableau3[[#This Row],[ID-RRS]],Tableau1[ID-RRS],0))</f>
        <v>SDI1602</v>
      </c>
      <c r="AJ1091" s="72" t="str">
        <f t="array" ref="AJ1091">IFERROR(INDEX(Tableau2[TS],MATCH(1,(Tableau2[Ref-Carte]=Tableau3[[#This Row],[Ref-Carte2]])*(Tableau2[ID-Voie]=Tableau3[[#This Row],[ID-VOIE]]),0)),"")</f>
        <v>ET</v>
      </c>
      <c r="AK1091" s="72" t="str">
        <f>IFERROR(INDEX(Tableau2[TS],SUMPRODUCT((Tableau2[Ref-Carte]=Tableau3[[#This Row],[Ref-Carte2]])*(Tableau2[ID-Voie]=Tableau3[[#This Row],[ID-VOIE]])*ROW(Tableau2[TS]))-ROW(Tableau2[#Headers])),"")</f>
        <v>ET</v>
      </c>
      <c r="AL1091" s="72" t="str">
        <f>Tableau3[[#This Row],[Ref-Carte2]]&amp;"/"&amp;Tableau3[[#This Row],[ID-VOIE]]</f>
        <v>SDI1602/9</v>
      </c>
      <c r="AM1091" s="73" t="str">
        <f>INDEX(Tableau2[Borne],MATCH(Tableau3[[#This Row],[ID-CARTEVOIE]],Tableau2[ID-CARTEVOIE],0))&amp;""</f>
        <v>4A</v>
      </c>
      <c r="AN1091" s="74" t="str">
        <f>Tableau3[[#This Row],[ID-API]]&amp;Tableau3[[#This Row],[ID-RACK]]&amp;Tableau3[[#This Row],[ID-SLOT]]&amp;Tableau3[[#This Row],[BORNE]]</f>
        <v>62104A</v>
      </c>
      <c r="AO1091" s="1"/>
    </row>
    <row r="1092" spans="1:41" ht="20.100000000000001" customHeight="1" thickTop="1" thickBot="1">
      <c r="A1092" s="68"/>
      <c r="B1092" s="69" t="str">
        <f>IFERROR(INDEX(Tableau4[Date],MATCH($A1092,Tableau4[EVO],0)),"")</f>
        <v/>
      </c>
      <c r="C1092" s="68" t="str">
        <f>IFERROR(INDEX(Tableau4[Designation],MATCH($A1092,Tableau4[EVO],0)),"")</f>
        <v/>
      </c>
      <c r="D1092" s="68"/>
      <c r="E1092" s="70">
        <v>239</v>
      </c>
      <c r="F1092" s="71">
        <v>48</v>
      </c>
      <c r="G1092" s="101" t="str">
        <f>INDEX(Tableau8[Att1],MATCH(Tableau3[[#This Row],[ID-INS]],Tableau8[ID],0))&amp;""</f>
        <v>GR</v>
      </c>
      <c r="H1092" s="101" t="str">
        <f>INDEX(Tableau8[Att2],MATCH(Tableau3[[#This Row],[ID-INS]],Tableau8[ID],0))&amp;""</f>
        <v>TRSD2</v>
      </c>
      <c r="I1092" s="101" t="str">
        <f>INDEX(Tableau8[Att3],MATCH(Tableau3[[#This Row],[ID-INS]],Tableau8[ID],0))&amp;""</f>
        <v>Tourniquet TRSD2</v>
      </c>
      <c r="J1092" s="101"/>
      <c r="K1092" s="167" t="str">
        <f>INDEX(Tableau8[Nom du modele],MATCH(Tableau3[[#This Row],[ID-INS]],Tableau8[ID],0))&amp;""</f>
        <v>TRSD_2</v>
      </c>
      <c r="L1092" s="99" t="str">
        <f>INDEX(Tableau5[Att1],MATCH(Tableau3[[#This Row],[ID-SIG]],Tableau5[ID],0))&amp;""</f>
        <v>T2_Fer</v>
      </c>
      <c r="M1092" s="99" t="str">
        <f>INDEX(Tableau5[Att2],MATCH(Tableau3[[#This Row],[ID-SIG]],Tableau5[ID],0))&amp;""</f>
        <v/>
      </c>
      <c r="N1092" s="99" t="str">
        <f>INDEX(Tableau5[Att3],MATCH(Tableau3[[#This Row],[ID-SIG]],Tableau5[ID],0))&amp;""</f>
        <v/>
      </c>
      <c r="O1092" s="99"/>
      <c r="P1092" s="99" t="str">
        <f>INDEX(Tableau5[Description],MATCH(Tableau3[[#This Row],[ID-SIG]],Tableau5[ID],0))</f>
        <v>Position fermée entrée 2</v>
      </c>
      <c r="Q1092" s="99"/>
      <c r="R1092" s="103" t="str">
        <f>Tableau3[[#This Row],[Description]]</f>
        <v>Position fermée entrée 2</v>
      </c>
      <c r="U1092" s="87">
        <v>6</v>
      </c>
      <c r="V1092" s="87">
        <v>2</v>
      </c>
      <c r="W1092" s="87">
        <v>10</v>
      </c>
      <c r="X1092" s="87">
        <v>10</v>
      </c>
      <c r="Y1092" s="40"/>
      <c r="Z1092" s="165" t="str">
        <f>INDEX(Tableau2[TS],MATCH(Tableau3[[#This Row],[ID-CARTEVOIE]],Tableau2[ID-CARTEVOIE],0))</f>
        <v>ET</v>
      </c>
      <c r="AA1092" s="53" t="s">
        <v>213</v>
      </c>
      <c r="AB1092" s="223" t="str">
        <f>IFERROR(INDEX(Tableau5[Reserve],MATCH(Tableau3[[#This Row],[ID-SIG]],Tableau5[ID],0))&amp;"","")</f>
        <v/>
      </c>
      <c r="AC1092" s="21"/>
      <c r="AD1092" s="108" t="str">
        <f>INDEX(Tableau7[Repere],MATCH(Tableau3[[#This Row],[ID-API]],Tableau7[ID-API],0))&amp;""</f>
        <v>A6</v>
      </c>
      <c r="AE1092" s="108" t="str">
        <f>INDEX(Tableau1[Repere-Rack],MATCH(Tableau3[[#This Row],[ID-RACK]],Tableau1[ID-RACK],0))&amp;""</f>
        <v>R2</v>
      </c>
      <c r="AF1092" s="108" t="str">
        <f>INDEX(Tableau1[Repere-Slot],MATCH(Tableau3[[#This Row],[ID-SLOT]],Tableau1[ID-SLOT],0))&amp;""</f>
        <v>S10</v>
      </c>
      <c r="AG1092" s="108" t="str">
        <f>INDEX(Tableau2[Repere-Voie],MATCH(Tableau3[[#This Row],[ID-VOIE]],Tableau2[ID-Voie],0))&amp;""</f>
        <v>v10</v>
      </c>
      <c r="AH1092" s="72" t="str">
        <f>Tableau3[[#This Row],[ID-API]]&amp; "." &amp;Tableau3[[#This Row],[ID-RACK]]&amp; "." &amp;Tableau3[[#This Row],[ID-SLOT]]</f>
        <v>6.2.10</v>
      </c>
      <c r="AI1092" s="72" t="str">
        <f>INDEX(Tableau1[Ref-Carte],MATCH(Tableau3[[#This Row],[ID-RRS]],Tableau1[ID-RRS],0))</f>
        <v>SDI1602</v>
      </c>
      <c r="AJ1092" s="72" t="str">
        <f t="array" ref="AJ1092">IFERROR(INDEX(Tableau2[TS],MATCH(1,(Tableau2[Ref-Carte]=Tableau3[[#This Row],[Ref-Carte2]])*(Tableau2[ID-Voie]=Tableau3[[#This Row],[ID-VOIE]]),0)),"")</f>
        <v>ET</v>
      </c>
      <c r="AK1092" s="72" t="str">
        <f>IFERROR(INDEX(Tableau2[TS],SUMPRODUCT((Tableau2[Ref-Carte]=Tableau3[[#This Row],[Ref-Carte2]])*(Tableau2[ID-Voie]=Tableau3[[#This Row],[ID-VOIE]])*ROW(Tableau2[TS]))-ROW(Tableau2[#Headers])),"")</f>
        <v>ET</v>
      </c>
      <c r="AL1092" s="72" t="str">
        <f>Tableau3[[#This Row],[Ref-Carte2]]&amp;"/"&amp;Tableau3[[#This Row],[ID-VOIE]]</f>
        <v>SDI1602/10</v>
      </c>
      <c r="AM1092" s="73" t="str">
        <f>INDEX(Tableau2[Borne],MATCH(Tableau3[[#This Row],[ID-CARTEVOIE]],Tableau2[ID-CARTEVOIE],0))&amp;""</f>
        <v>5B</v>
      </c>
      <c r="AN1092" s="74" t="str">
        <f>Tableau3[[#This Row],[ID-API]]&amp;Tableau3[[#This Row],[ID-RACK]]&amp;Tableau3[[#This Row],[ID-SLOT]]&amp;Tableau3[[#This Row],[BORNE]]</f>
        <v>62105B</v>
      </c>
      <c r="AO1092" s="1"/>
    </row>
    <row r="1093" spans="1:41" ht="20.100000000000001" customHeight="1" thickTop="1" thickBot="1">
      <c r="A1093" s="68"/>
      <c r="B1093" s="69" t="str">
        <f>IFERROR(INDEX(Tableau4[Date],MATCH($A1093,Tableau4[EVO],0)),"")</f>
        <v/>
      </c>
      <c r="C1093" s="68" t="str">
        <f>IFERROR(INDEX(Tableau4[Designation],MATCH($A1093,Tableau4[EVO],0)),"")</f>
        <v/>
      </c>
      <c r="D1093" s="68"/>
      <c r="E1093" s="70">
        <v>239</v>
      </c>
      <c r="F1093" s="71">
        <v>49</v>
      </c>
      <c r="G1093" s="101" t="str">
        <f>INDEX(Tableau8[Att1],MATCH(Tableau3[[#This Row],[ID-INS]],Tableau8[ID],0))&amp;""</f>
        <v>GR</v>
      </c>
      <c r="H1093" s="101" t="str">
        <f>INDEX(Tableau8[Att2],MATCH(Tableau3[[#This Row],[ID-INS]],Tableau8[ID],0))&amp;""</f>
        <v>TRSD2</v>
      </c>
      <c r="I1093" s="101" t="str">
        <f>INDEX(Tableau8[Att3],MATCH(Tableau3[[#This Row],[ID-INS]],Tableau8[ID],0))&amp;""</f>
        <v>Tourniquet TRSD2</v>
      </c>
      <c r="J1093" s="101"/>
      <c r="K1093" s="167" t="str">
        <f>INDEX(Tableau8[Nom du modele],MATCH(Tableau3[[#This Row],[ID-INS]],Tableau8[ID],0))&amp;""</f>
        <v>TRSD_2</v>
      </c>
      <c r="L1093" s="99" t="str">
        <f>INDEX(Tableau5[Att1],MATCH(Tableau3[[#This Row],[ID-SIG]],Tableau5[ID],0))&amp;""</f>
        <v>T2S_OuvRet1</v>
      </c>
      <c r="M1093" s="99" t="str">
        <f>INDEX(Tableau5[Att2],MATCH(Tableau3[[#This Row],[ID-SIG]],Tableau5[ID],0))&amp;""</f>
        <v/>
      </c>
      <c r="N1093" s="99" t="str">
        <f>INDEX(Tableau5[Att3],MATCH(Tableau3[[#This Row],[ID-SIG]],Tableau5[ID],0))&amp;""</f>
        <v/>
      </c>
      <c r="O1093" s="99"/>
      <c r="P1093" s="99" t="str">
        <f>INDEX(Tableau5[Description],MATCH(Tableau3[[#This Row],[ID-SIG]],Tableau5[ID],0))</f>
        <v>Retour Commande 1 ouverture sortie 2</v>
      </c>
      <c r="Q1093" s="99"/>
      <c r="R1093" s="103" t="str">
        <f>Tableau3[[#This Row],[Description]]</f>
        <v>Retour Commande 1 ouverture sortie 2</v>
      </c>
      <c r="U1093" s="87">
        <v>6</v>
      </c>
      <c r="V1093" s="87">
        <v>2</v>
      </c>
      <c r="W1093" s="87">
        <v>10</v>
      </c>
      <c r="X1093" s="87">
        <v>11</v>
      </c>
      <c r="Y1093" s="40"/>
      <c r="Z1093" s="165" t="str">
        <f>INDEX(Tableau2[TS],MATCH(Tableau3[[#This Row],[ID-CARTEVOIE]],Tableau2[ID-CARTEVOIE],0))</f>
        <v>ET</v>
      </c>
      <c r="AA1093" s="53" t="s">
        <v>213</v>
      </c>
      <c r="AB1093" s="223" t="str">
        <f>IFERROR(INDEX(Tableau5[Reserve],MATCH(Tableau3[[#This Row],[ID-SIG]],Tableau5[ID],0))&amp;"","")</f>
        <v/>
      </c>
      <c r="AC1093" s="21"/>
      <c r="AD1093" s="108" t="str">
        <f>INDEX(Tableau7[Repere],MATCH(Tableau3[[#This Row],[ID-API]],Tableau7[ID-API],0))&amp;""</f>
        <v>A6</v>
      </c>
      <c r="AE1093" s="108" t="str">
        <f>INDEX(Tableau1[Repere-Rack],MATCH(Tableau3[[#This Row],[ID-RACK]],Tableau1[ID-RACK],0))&amp;""</f>
        <v>R2</v>
      </c>
      <c r="AF1093" s="108" t="str">
        <f>INDEX(Tableau1[Repere-Slot],MATCH(Tableau3[[#This Row],[ID-SLOT]],Tableau1[ID-SLOT],0))&amp;""</f>
        <v>S10</v>
      </c>
      <c r="AG1093" s="108" t="str">
        <f>INDEX(Tableau2[Repere-Voie],MATCH(Tableau3[[#This Row],[ID-VOIE]],Tableau2[ID-Voie],0))&amp;""</f>
        <v>v11</v>
      </c>
      <c r="AH1093" s="72" t="str">
        <f>Tableau3[[#This Row],[ID-API]]&amp; "." &amp;Tableau3[[#This Row],[ID-RACK]]&amp; "." &amp;Tableau3[[#This Row],[ID-SLOT]]</f>
        <v>6.2.10</v>
      </c>
      <c r="AI1093" s="72" t="str">
        <f>INDEX(Tableau1[Ref-Carte],MATCH(Tableau3[[#This Row],[ID-RRS]],Tableau1[ID-RRS],0))</f>
        <v>SDI1602</v>
      </c>
      <c r="AJ1093" s="72" t="str">
        <f t="array" ref="AJ1093">IFERROR(INDEX(Tableau2[TS],MATCH(1,(Tableau2[Ref-Carte]=Tableau3[[#This Row],[Ref-Carte2]])*(Tableau2[ID-Voie]=Tableau3[[#This Row],[ID-VOIE]]),0)),"")</f>
        <v>ET</v>
      </c>
      <c r="AK1093" s="72" t="str">
        <f>IFERROR(INDEX(Tableau2[TS],SUMPRODUCT((Tableau2[Ref-Carte]=Tableau3[[#This Row],[Ref-Carte2]])*(Tableau2[ID-Voie]=Tableau3[[#This Row],[ID-VOIE]])*ROW(Tableau2[TS]))-ROW(Tableau2[#Headers])),"")</f>
        <v>ET</v>
      </c>
      <c r="AL1093" s="72" t="str">
        <f>Tableau3[[#This Row],[Ref-Carte2]]&amp;"/"&amp;Tableau3[[#This Row],[ID-VOIE]]</f>
        <v>SDI1602/11</v>
      </c>
      <c r="AM1093" s="73" t="str">
        <f>INDEX(Tableau2[Borne],MATCH(Tableau3[[#This Row],[ID-CARTEVOIE]],Tableau2[ID-CARTEVOIE],0))&amp;""</f>
        <v>5A</v>
      </c>
      <c r="AN1093" s="74" t="str">
        <f>Tableau3[[#This Row],[ID-API]]&amp;Tableau3[[#This Row],[ID-RACK]]&amp;Tableau3[[#This Row],[ID-SLOT]]&amp;Tableau3[[#This Row],[BORNE]]</f>
        <v>62105A</v>
      </c>
      <c r="AO1093" s="1"/>
    </row>
    <row r="1094" spans="1:41" ht="20.100000000000001" customHeight="1" thickTop="1" thickBot="1">
      <c r="A1094" s="110"/>
      <c r="B1094" s="111" t="str">
        <f>IFERROR(INDEX(Tableau4[Date],MATCH($A1094,Tableau4[EVO],0)),"")</f>
        <v/>
      </c>
      <c r="C1094" s="112" t="str">
        <f>IFERROR(INDEX(Tableau4[Designation],MATCH($A1094,Tableau4[EVO],0)),"")</f>
        <v/>
      </c>
      <c r="D1094" s="110"/>
      <c r="E1094" s="113"/>
      <c r="F1094" s="146"/>
      <c r="G1094" s="147" t="e">
        <f>INDEX(Tableau8[Att1],MATCH(Tableau3[[#This Row],[ID-INS]],Tableau8[ID],0))&amp;""</f>
        <v>#N/A</v>
      </c>
      <c r="H1094" s="147" t="s">
        <v>1728</v>
      </c>
      <c r="I1094" s="147" t="e">
        <f>INDEX(Tableau8[Att3],MATCH(Tableau3[[#This Row],[ID-INS]],Tableau8[ID],0))&amp;""</f>
        <v>#N/A</v>
      </c>
      <c r="J1094" s="148"/>
      <c r="K1094" s="167" t="e">
        <f>INDEX(Tableau8[Nom du modele],MATCH(Tableau3[[#This Row],[ID-INS]],Tableau8[ID],0))&amp;""</f>
        <v>#N/A</v>
      </c>
      <c r="L1094" s="149" t="s">
        <v>260</v>
      </c>
      <c r="M1094" s="149" t="e">
        <f>INDEX(Tableau5[Att2],MATCH(Tableau3[[#This Row],[ID-SIG]],Tableau5[ID],0))&amp;""</f>
        <v>#N/A</v>
      </c>
      <c r="N1094" s="149" t="e">
        <f>INDEX(Tableau5[Att3],MATCH(Tableau3[[#This Row],[ID-SIG]],Tableau5[ID],0))&amp;""</f>
        <v>#N/A</v>
      </c>
      <c r="O1094" s="150"/>
      <c r="P1094" s="149" t="s">
        <v>1729</v>
      </c>
      <c r="Q1094" s="150"/>
      <c r="R1094" s="117" t="str">
        <f>Tableau3[[#This Row],[Description]]</f>
        <v>Synthèse Défaut alimentation rack d'extension du RIO 6 - Défaut</v>
      </c>
      <c r="S1094" s="75"/>
      <c r="T1094" s="75"/>
      <c r="U1094" s="151">
        <v>6</v>
      </c>
      <c r="V1094" s="151">
        <v>2</v>
      </c>
      <c r="W1094" s="151">
        <v>10</v>
      </c>
      <c r="X1094" s="151">
        <v>12</v>
      </c>
      <c r="Y1094" s="40"/>
      <c r="Z1094" s="166" t="str">
        <f>INDEX(Tableau2[TS],MATCH(Tableau3[[#This Row],[ID-CARTEVOIE]],Tableau2[ID-CARTEVOIE],0))</f>
        <v>ET</v>
      </c>
      <c r="AA1094" s="81" t="s">
        <v>213</v>
      </c>
      <c r="AB1094" s="226" t="str">
        <f>IFERROR(INDEX(Tableau5[Reserve],MATCH(Tableau3[[#This Row],[ID-SIG]],Tableau5[ID],0))&amp;"","")</f>
        <v/>
      </c>
      <c r="AC1094" s="119" t="s">
        <v>1456</v>
      </c>
      <c r="AD1094" s="120" t="str">
        <f>INDEX(Tableau7[Repere],MATCH(Tableau3[[#This Row],[ID-API]],Tableau7[ID-API],0))&amp;""</f>
        <v>A6</v>
      </c>
      <c r="AE1094" s="121" t="str">
        <f>INDEX(Tableau1[Repere-Rack],MATCH(Tableau3[[#This Row],[ID-RACK]],Tableau1[ID-RACK],0))&amp;""</f>
        <v>R2</v>
      </c>
      <c r="AF1094" s="121" t="str">
        <f>INDEX(Tableau1[Repere-Slot],MATCH(Tableau3[[#This Row],[ID-SLOT]],Tableau1[ID-SLOT],0))&amp;""</f>
        <v>S10</v>
      </c>
      <c r="AG1094" s="121" t="str">
        <f>INDEX(Tableau2[Repere-Voie],MATCH(Tableau3[[#This Row],[ID-VOIE]],Tableau2[ID-Voie],0))&amp;""</f>
        <v>v12</v>
      </c>
      <c r="AH1094" s="122" t="str">
        <f>Tableau3[[#This Row],[ID-API]]&amp; "." &amp;Tableau3[[#This Row],[ID-RACK]]&amp; "." &amp;Tableau3[[#This Row],[ID-SLOT]]</f>
        <v>6.2.10</v>
      </c>
      <c r="AI1094" s="72" t="str">
        <f>INDEX(Tableau1[Ref-Carte],MATCH(Tableau3[[#This Row],[ID-RRS]],Tableau1[ID-RRS],0))</f>
        <v>SDI1602</v>
      </c>
      <c r="AJ1094" s="72" t="str">
        <f t="array" ref="AJ1094">IFERROR(INDEX(Tableau2[TS],MATCH(1,(Tableau2[Ref-Carte]=Tableau3[[#This Row],[Ref-Carte2]])*(Tableau2[ID-Voie]=Tableau3[[#This Row],[ID-VOIE]]),0)),"")</f>
        <v>ET</v>
      </c>
      <c r="AK1094" s="72" t="str">
        <f>IFERROR(INDEX(Tableau2[TS],SUMPRODUCT((Tableau2[Ref-Carte]=Tableau3[[#This Row],[Ref-Carte2]])*(Tableau2[ID-Voie]=Tableau3[[#This Row],[ID-VOIE]])*ROW(Tableau2[TS]))-ROW(Tableau2[#Headers])),"")</f>
        <v>ET</v>
      </c>
      <c r="AL1094" s="122" t="str">
        <f>Tableau3[[#This Row],[Ref-Carte2]]&amp;"/"&amp;Tableau3[[#This Row],[ID-VOIE]]</f>
        <v>SDI1602/12</v>
      </c>
      <c r="AM1094" s="123" t="str">
        <f>INDEX(Tableau2[Borne],MATCH(Tableau3[[#This Row],[ID-CARTEVOIE]],Tableau2[ID-CARTEVOIE],0))&amp;""</f>
        <v>6B</v>
      </c>
      <c r="AN1094" s="124" t="str">
        <f>Tableau3[[#This Row],[ID-API]]&amp;Tableau3[[#This Row],[ID-RACK]]&amp;Tableau3[[#This Row],[ID-SLOT]]&amp;Tableau3[[#This Row],[BORNE]]</f>
        <v>62106B</v>
      </c>
      <c r="AO1094" s="125"/>
    </row>
    <row r="1095" spans="1:41" ht="20.100000000000001" customHeight="1" thickTop="1" thickBot="1">
      <c r="A1095" s="110"/>
      <c r="B1095" s="111" t="str">
        <f>IFERROR(INDEX(Tableau4[Date],MATCH($A1095,Tableau4[EVO],0)),"")</f>
        <v/>
      </c>
      <c r="C1095" s="112" t="str">
        <f>IFERROR(INDEX(Tableau4[Designation],MATCH($A1095,Tableau4[EVO],0)),"")</f>
        <v/>
      </c>
      <c r="D1095" s="110"/>
      <c r="E1095" s="113"/>
      <c r="F1095" s="146"/>
      <c r="G1095" s="147" t="e">
        <f>INDEX(Tableau8[Att1],MATCH(Tableau3[[#This Row],[ID-INS]],Tableau8[ID],0))&amp;""</f>
        <v>#N/A</v>
      </c>
      <c r="H1095" s="147" t="e">
        <f>INDEX(Tableau8[Att2],MATCH(Tableau3[[#This Row],[ID-INS]],Tableau8[ID],0))&amp;""</f>
        <v>#N/A</v>
      </c>
      <c r="I1095" s="147" t="e">
        <f>INDEX(Tableau8[Att3],MATCH(Tableau3[[#This Row],[ID-INS]],Tableau8[ID],0))&amp;""</f>
        <v>#N/A</v>
      </c>
      <c r="J1095" s="148"/>
      <c r="K1095" s="167" t="e">
        <f>INDEX(Tableau8[Nom du modele],MATCH(Tableau3[[#This Row],[ID-INS]],Tableau8[ID],0))&amp;""</f>
        <v>#N/A</v>
      </c>
      <c r="L1095" s="149" t="e">
        <f>INDEX(Tableau5[Att1],MATCH(Tableau3[[#This Row],[ID-SIG]],Tableau5[ID],0))&amp;""</f>
        <v>#N/A</v>
      </c>
      <c r="M1095" s="149" t="e">
        <f>INDEX(Tableau5[Att2],MATCH(Tableau3[[#This Row],[ID-SIG]],Tableau5[ID],0))&amp;""</f>
        <v>#N/A</v>
      </c>
      <c r="N1095" s="149" t="e">
        <f>INDEX(Tableau5[Att3],MATCH(Tableau3[[#This Row],[ID-SIG]],Tableau5[ID],0))&amp;""</f>
        <v>#N/A</v>
      </c>
      <c r="O1095" s="150"/>
      <c r="P1095" s="149" t="e">
        <f>INDEX(Tableau5[Description],MATCH(Tableau3[[#This Row],[ID-SIG]],Tableau5[ID],0))</f>
        <v>#N/A</v>
      </c>
      <c r="Q1095" s="150"/>
      <c r="R1095" s="117" t="e">
        <f>Tableau3[[#This Row],[Description]]</f>
        <v>#N/A</v>
      </c>
      <c r="S1095" s="75"/>
      <c r="T1095" s="75"/>
      <c r="U1095" s="151">
        <v>6</v>
      </c>
      <c r="V1095" s="151">
        <v>2</v>
      </c>
      <c r="W1095" s="151">
        <v>10</v>
      </c>
      <c r="X1095" s="151">
        <v>13</v>
      </c>
      <c r="Y1095" s="40"/>
      <c r="Z1095" s="166" t="str">
        <f>INDEX(Tableau2[TS],MATCH(Tableau3[[#This Row],[ID-CARTEVOIE]],Tableau2[ID-CARTEVOIE],0))</f>
        <v>ET</v>
      </c>
      <c r="AA1095" s="81" t="s">
        <v>213</v>
      </c>
      <c r="AB1095" s="226" t="str">
        <f>IFERROR(INDEX(Tableau5[Reserve],MATCH(Tableau3[[#This Row],[ID-SIG]],Tableau5[ID],0))&amp;"","")</f>
        <v/>
      </c>
      <c r="AC1095" s="119" t="s">
        <v>1456</v>
      </c>
      <c r="AD1095" s="120" t="str">
        <f>INDEX(Tableau7[Repere],MATCH(Tableau3[[#This Row],[ID-API]],Tableau7[ID-API],0))&amp;""</f>
        <v>A6</v>
      </c>
      <c r="AE1095" s="121" t="str">
        <f>INDEX(Tableau1[Repere-Rack],MATCH(Tableau3[[#This Row],[ID-RACK]],Tableau1[ID-RACK],0))&amp;""</f>
        <v>R2</v>
      </c>
      <c r="AF1095" s="121" t="str">
        <f>INDEX(Tableau1[Repere-Slot],MATCH(Tableau3[[#This Row],[ID-SLOT]],Tableau1[ID-SLOT],0))&amp;""</f>
        <v>S10</v>
      </c>
      <c r="AG1095" s="121" t="str">
        <f>INDEX(Tableau2[Repere-Voie],MATCH(Tableau3[[#This Row],[ID-VOIE]],Tableau2[ID-Voie],0))&amp;""</f>
        <v>v13</v>
      </c>
      <c r="AH1095" s="122" t="str">
        <f>Tableau3[[#This Row],[ID-API]]&amp; "." &amp;Tableau3[[#This Row],[ID-RACK]]&amp; "." &amp;Tableau3[[#This Row],[ID-SLOT]]</f>
        <v>6.2.10</v>
      </c>
      <c r="AI1095" s="72" t="str">
        <f>INDEX(Tableau1[Ref-Carte],MATCH(Tableau3[[#This Row],[ID-RRS]],Tableau1[ID-RRS],0))</f>
        <v>SDI1602</v>
      </c>
      <c r="AJ1095" s="72" t="str">
        <f t="array" ref="AJ1095">IFERROR(INDEX(Tableau2[TS],MATCH(1,(Tableau2[Ref-Carte]=Tableau3[[#This Row],[Ref-Carte2]])*(Tableau2[ID-Voie]=Tableau3[[#This Row],[ID-VOIE]]),0)),"")</f>
        <v>ET</v>
      </c>
      <c r="AK1095" s="72" t="str">
        <f>IFERROR(INDEX(Tableau2[TS],SUMPRODUCT((Tableau2[Ref-Carte]=Tableau3[[#This Row],[Ref-Carte2]])*(Tableau2[ID-Voie]=Tableau3[[#This Row],[ID-VOIE]])*ROW(Tableau2[TS]))-ROW(Tableau2[#Headers])),"")</f>
        <v>ET</v>
      </c>
      <c r="AL1095" s="122" t="str">
        <f>Tableau3[[#This Row],[Ref-Carte2]]&amp;"/"&amp;Tableau3[[#This Row],[ID-VOIE]]</f>
        <v>SDI1602/13</v>
      </c>
      <c r="AM1095" s="123" t="str">
        <f>INDEX(Tableau2[Borne],MATCH(Tableau3[[#This Row],[ID-CARTEVOIE]],Tableau2[ID-CARTEVOIE],0))&amp;""</f>
        <v>6A</v>
      </c>
      <c r="AN1095" s="124" t="str">
        <f>Tableau3[[#This Row],[ID-API]]&amp;Tableau3[[#This Row],[ID-RACK]]&amp;Tableau3[[#This Row],[ID-SLOT]]&amp;Tableau3[[#This Row],[BORNE]]</f>
        <v>62106A</v>
      </c>
      <c r="AO1095" s="125"/>
    </row>
    <row r="1096" spans="1:41" ht="20.100000000000001" customHeight="1" thickTop="1" thickBot="1">
      <c r="A1096" s="110"/>
      <c r="B1096" s="111" t="str">
        <f>IFERROR(INDEX(Tableau4[Date],MATCH($A1096,Tableau4[EVO],0)),"")</f>
        <v/>
      </c>
      <c r="C1096" s="112" t="str">
        <f>IFERROR(INDEX(Tableau4[Designation],MATCH($A1096,Tableau4[EVO],0)),"")</f>
        <v/>
      </c>
      <c r="D1096" s="110"/>
      <c r="E1096" s="113"/>
      <c r="F1096" s="146"/>
      <c r="G1096" s="147" t="e">
        <f>INDEX(Tableau8[Att1],MATCH(Tableau3[[#This Row],[ID-INS]],Tableau8[ID],0))&amp;""</f>
        <v>#N/A</v>
      </c>
      <c r="H1096" s="147" t="e">
        <f>INDEX(Tableau8[Att2],MATCH(Tableau3[[#This Row],[ID-INS]],Tableau8[ID],0))&amp;""</f>
        <v>#N/A</v>
      </c>
      <c r="I1096" s="147" t="e">
        <f>INDEX(Tableau8[Att3],MATCH(Tableau3[[#This Row],[ID-INS]],Tableau8[ID],0))&amp;""</f>
        <v>#N/A</v>
      </c>
      <c r="J1096" s="148"/>
      <c r="K1096" s="167" t="e">
        <f>INDEX(Tableau8[Nom du modele],MATCH(Tableau3[[#This Row],[ID-INS]],Tableau8[ID],0))&amp;""</f>
        <v>#N/A</v>
      </c>
      <c r="L1096" s="149" t="e">
        <f>INDEX(Tableau5[Att1],MATCH(Tableau3[[#This Row],[ID-SIG]],Tableau5[ID],0))&amp;""</f>
        <v>#N/A</v>
      </c>
      <c r="M1096" s="149" t="e">
        <f>INDEX(Tableau5[Att2],MATCH(Tableau3[[#This Row],[ID-SIG]],Tableau5[ID],0))&amp;""</f>
        <v>#N/A</v>
      </c>
      <c r="N1096" s="149" t="e">
        <f>INDEX(Tableau5[Att3],MATCH(Tableau3[[#This Row],[ID-SIG]],Tableau5[ID],0))&amp;""</f>
        <v>#N/A</v>
      </c>
      <c r="O1096" s="150"/>
      <c r="P1096" s="149" t="e">
        <f>INDEX(Tableau5[Description],MATCH(Tableau3[[#This Row],[ID-SIG]],Tableau5[ID],0))</f>
        <v>#N/A</v>
      </c>
      <c r="Q1096" s="150"/>
      <c r="R1096" s="117" t="e">
        <f>Tableau3[[#This Row],[Description]]</f>
        <v>#N/A</v>
      </c>
      <c r="S1096" s="75"/>
      <c r="T1096" s="75"/>
      <c r="U1096" s="151">
        <v>6</v>
      </c>
      <c r="V1096" s="151">
        <v>2</v>
      </c>
      <c r="W1096" s="151">
        <v>10</v>
      </c>
      <c r="X1096" s="151">
        <v>14</v>
      </c>
      <c r="Y1096" s="40"/>
      <c r="Z1096" s="166" t="str">
        <f>INDEX(Tableau2[TS],MATCH(Tableau3[[#This Row],[ID-CARTEVOIE]],Tableau2[ID-CARTEVOIE],0))</f>
        <v>ET</v>
      </c>
      <c r="AA1096" s="81" t="s">
        <v>213</v>
      </c>
      <c r="AB1096" s="226" t="str">
        <f>IFERROR(INDEX(Tableau5[Reserve],MATCH(Tableau3[[#This Row],[ID-SIG]],Tableau5[ID],0))&amp;"","")</f>
        <v/>
      </c>
      <c r="AC1096" s="119" t="s">
        <v>1456</v>
      </c>
      <c r="AD1096" s="120" t="str">
        <f>INDEX(Tableau7[Repere],MATCH(Tableau3[[#This Row],[ID-API]],Tableau7[ID-API],0))&amp;""</f>
        <v>A6</v>
      </c>
      <c r="AE1096" s="121" t="str">
        <f>INDEX(Tableau1[Repere-Rack],MATCH(Tableau3[[#This Row],[ID-RACK]],Tableau1[ID-RACK],0))&amp;""</f>
        <v>R2</v>
      </c>
      <c r="AF1096" s="121" t="str">
        <f>INDEX(Tableau1[Repere-Slot],MATCH(Tableau3[[#This Row],[ID-SLOT]],Tableau1[ID-SLOT],0))&amp;""</f>
        <v>S10</v>
      </c>
      <c r="AG1096" s="121" t="str">
        <f>INDEX(Tableau2[Repere-Voie],MATCH(Tableau3[[#This Row],[ID-VOIE]],Tableau2[ID-Voie],0))&amp;""</f>
        <v>v14</v>
      </c>
      <c r="AH1096" s="122" t="str">
        <f>Tableau3[[#This Row],[ID-API]]&amp; "." &amp;Tableau3[[#This Row],[ID-RACK]]&amp; "." &amp;Tableau3[[#This Row],[ID-SLOT]]</f>
        <v>6.2.10</v>
      </c>
      <c r="AI1096" s="72" t="str">
        <f>INDEX(Tableau1[Ref-Carte],MATCH(Tableau3[[#This Row],[ID-RRS]],Tableau1[ID-RRS],0))</f>
        <v>SDI1602</v>
      </c>
      <c r="AJ1096" s="72" t="str">
        <f t="array" ref="AJ1096">IFERROR(INDEX(Tableau2[TS],MATCH(1,(Tableau2[Ref-Carte]=Tableau3[[#This Row],[Ref-Carte2]])*(Tableau2[ID-Voie]=Tableau3[[#This Row],[ID-VOIE]]),0)),"")</f>
        <v>ET</v>
      </c>
      <c r="AK1096" s="72" t="str">
        <f>IFERROR(INDEX(Tableau2[TS],SUMPRODUCT((Tableau2[Ref-Carte]=Tableau3[[#This Row],[Ref-Carte2]])*(Tableau2[ID-Voie]=Tableau3[[#This Row],[ID-VOIE]])*ROW(Tableau2[TS]))-ROW(Tableau2[#Headers])),"")</f>
        <v>ET</v>
      </c>
      <c r="AL1096" s="122" t="str">
        <f>Tableau3[[#This Row],[Ref-Carte2]]&amp;"/"&amp;Tableau3[[#This Row],[ID-VOIE]]</f>
        <v>SDI1602/14</v>
      </c>
      <c r="AM1096" s="123" t="str">
        <f>INDEX(Tableau2[Borne],MATCH(Tableau3[[#This Row],[ID-CARTEVOIE]],Tableau2[ID-CARTEVOIE],0))&amp;""</f>
        <v>7B</v>
      </c>
      <c r="AN1096" s="124" t="str">
        <f>Tableau3[[#This Row],[ID-API]]&amp;Tableau3[[#This Row],[ID-RACK]]&amp;Tableau3[[#This Row],[ID-SLOT]]&amp;Tableau3[[#This Row],[BORNE]]</f>
        <v>62107B</v>
      </c>
      <c r="AO1096" s="125"/>
    </row>
    <row r="1097" spans="1:41" ht="20.100000000000001" customHeight="1" thickTop="1" thickBot="1">
      <c r="A1097" s="110"/>
      <c r="B1097" s="111" t="str">
        <f>IFERROR(INDEX(Tableau4[Date],MATCH($A1097,Tableau4[EVO],0)),"")</f>
        <v/>
      </c>
      <c r="C1097" s="112" t="str">
        <f>IFERROR(INDEX(Tableau4[Designation],MATCH($A1097,Tableau4[EVO],0)),"")</f>
        <v/>
      </c>
      <c r="D1097" s="110"/>
      <c r="E1097" s="113"/>
      <c r="F1097" s="146"/>
      <c r="G1097" s="147" t="e">
        <f>INDEX(Tableau8[Att1],MATCH(Tableau3[[#This Row],[ID-INS]],Tableau8[ID],0))&amp;""</f>
        <v>#N/A</v>
      </c>
      <c r="H1097" s="147" t="e">
        <f>INDEX(Tableau8[Att2],MATCH(Tableau3[[#This Row],[ID-INS]],Tableau8[ID],0))&amp;""</f>
        <v>#N/A</v>
      </c>
      <c r="I1097" s="147" t="e">
        <f>INDEX(Tableau8[Att3],MATCH(Tableau3[[#This Row],[ID-INS]],Tableau8[ID],0))&amp;""</f>
        <v>#N/A</v>
      </c>
      <c r="J1097" s="148"/>
      <c r="K1097" s="167" t="e">
        <f>INDEX(Tableau8[Nom du modele],MATCH(Tableau3[[#This Row],[ID-INS]],Tableau8[ID],0))&amp;""</f>
        <v>#N/A</v>
      </c>
      <c r="L1097" s="149" t="e">
        <f>INDEX(Tableau5[Att1],MATCH(Tableau3[[#This Row],[ID-SIG]],Tableau5[ID],0))&amp;""</f>
        <v>#N/A</v>
      </c>
      <c r="M1097" s="149" t="e">
        <f>INDEX(Tableau5[Att2],MATCH(Tableau3[[#This Row],[ID-SIG]],Tableau5[ID],0))&amp;""</f>
        <v>#N/A</v>
      </c>
      <c r="N1097" s="149" t="e">
        <f>INDEX(Tableau5[Att3],MATCH(Tableau3[[#This Row],[ID-SIG]],Tableau5[ID],0))&amp;""</f>
        <v>#N/A</v>
      </c>
      <c r="O1097" s="150"/>
      <c r="P1097" s="149" t="e">
        <f>INDEX(Tableau5[Description],MATCH(Tableau3[[#This Row],[ID-SIG]],Tableau5[ID],0))</f>
        <v>#N/A</v>
      </c>
      <c r="Q1097" s="150"/>
      <c r="R1097" s="117" t="e">
        <f>Tableau3[[#This Row],[Description]]</f>
        <v>#N/A</v>
      </c>
      <c r="S1097" s="75"/>
      <c r="T1097" s="75"/>
      <c r="U1097" s="151">
        <v>6</v>
      </c>
      <c r="V1097" s="151">
        <v>2</v>
      </c>
      <c r="W1097" s="151">
        <v>10</v>
      </c>
      <c r="X1097" s="151">
        <v>15</v>
      </c>
      <c r="Y1097" s="40"/>
      <c r="Z1097" s="166" t="str">
        <f>INDEX(Tableau2[TS],MATCH(Tableau3[[#This Row],[ID-CARTEVOIE]],Tableau2[ID-CARTEVOIE],0))</f>
        <v>ET</v>
      </c>
      <c r="AA1097" s="81" t="s">
        <v>213</v>
      </c>
      <c r="AB1097" s="226" t="str">
        <f>IFERROR(INDEX(Tableau5[Reserve],MATCH(Tableau3[[#This Row],[ID-SIG]],Tableau5[ID],0))&amp;"","")</f>
        <v/>
      </c>
      <c r="AC1097" s="119" t="s">
        <v>1456</v>
      </c>
      <c r="AD1097" s="120" t="str">
        <f>INDEX(Tableau7[Repere],MATCH(Tableau3[[#This Row],[ID-API]],Tableau7[ID-API],0))&amp;""</f>
        <v>A6</v>
      </c>
      <c r="AE1097" s="121" t="str">
        <f>INDEX(Tableau1[Repere-Rack],MATCH(Tableau3[[#This Row],[ID-RACK]],Tableau1[ID-RACK],0))&amp;""</f>
        <v>R2</v>
      </c>
      <c r="AF1097" s="121" t="str">
        <f>INDEX(Tableau1[Repere-Slot],MATCH(Tableau3[[#This Row],[ID-SLOT]],Tableau1[ID-SLOT],0))&amp;""</f>
        <v>S10</v>
      </c>
      <c r="AG1097" s="121" t="str">
        <f>INDEX(Tableau2[Repere-Voie],MATCH(Tableau3[[#This Row],[ID-VOIE]],Tableau2[ID-Voie],0))&amp;""</f>
        <v>v15</v>
      </c>
      <c r="AH1097" s="122" t="str">
        <f>Tableau3[[#This Row],[ID-API]]&amp; "." &amp;Tableau3[[#This Row],[ID-RACK]]&amp; "." &amp;Tableau3[[#This Row],[ID-SLOT]]</f>
        <v>6.2.10</v>
      </c>
      <c r="AI1097" s="72" t="str">
        <f>INDEX(Tableau1[Ref-Carte],MATCH(Tableau3[[#This Row],[ID-RRS]],Tableau1[ID-RRS],0))</f>
        <v>SDI1602</v>
      </c>
      <c r="AJ1097" s="72" t="str">
        <f t="array" ref="AJ1097">IFERROR(INDEX(Tableau2[TS],MATCH(1,(Tableau2[Ref-Carte]=Tableau3[[#This Row],[Ref-Carte2]])*(Tableau2[ID-Voie]=Tableau3[[#This Row],[ID-VOIE]]),0)),"")</f>
        <v>ET</v>
      </c>
      <c r="AK1097" s="72" t="str">
        <f>IFERROR(INDEX(Tableau2[TS],SUMPRODUCT((Tableau2[Ref-Carte]=Tableau3[[#This Row],[Ref-Carte2]])*(Tableau2[ID-Voie]=Tableau3[[#This Row],[ID-VOIE]])*ROW(Tableau2[TS]))-ROW(Tableau2[#Headers])),"")</f>
        <v>ET</v>
      </c>
      <c r="AL1097" s="122" t="str">
        <f>Tableau3[[#This Row],[Ref-Carte2]]&amp;"/"&amp;Tableau3[[#This Row],[ID-VOIE]]</f>
        <v>SDI1602/15</v>
      </c>
      <c r="AM1097" s="123" t="str">
        <f>INDEX(Tableau2[Borne],MATCH(Tableau3[[#This Row],[ID-CARTEVOIE]],Tableau2[ID-CARTEVOIE],0))&amp;""</f>
        <v>7A</v>
      </c>
      <c r="AN1097" s="124" t="str">
        <f>Tableau3[[#This Row],[ID-API]]&amp;Tableau3[[#This Row],[ID-RACK]]&amp;Tableau3[[#This Row],[ID-SLOT]]&amp;Tableau3[[#This Row],[BORNE]]</f>
        <v>62107A</v>
      </c>
      <c r="AO1097" s="125"/>
    </row>
    <row r="1098" spans="1:41" ht="20.100000000000001" customHeight="1" thickTop="1" thickBot="1">
      <c r="A1098" s="68"/>
      <c r="B1098" s="69" t="str">
        <f>IFERROR(INDEX(Tableau4[Date],MATCH($A1098,Tableau4[EVO],0)),"")</f>
        <v/>
      </c>
      <c r="C1098" s="68" t="str">
        <f>IFERROR(INDEX(Tableau4[Designation],MATCH($A1098,Tableau4[EVO],0)),"")</f>
        <v/>
      </c>
      <c r="D1098" s="68"/>
      <c r="E1098" s="70">
        <v>3</v>
      </c>
      <c r="F1098" s="71">
        <v>198</v>
      </c>
      <c r="G1098" s="101" t="str">
        <f>INDEX(Tableau8[Att1],MATCH(Tableau3[[#This Row],[ID-INS]],Tableau8[ID],0))&amp;""</f>
        <v>V4</v>
      </c>
      <c r="H1098" s="101" t="str">
        <f>INDEX(Tableau8[Att2],MATCH(Tableau3[[#This Row],[ID-INS]],Tableau8[ID],0))&amp;""</f>
        <v>P3</v>
      </c>
      <c r="I1098" s="101" t="str">
        <f>INDEX(Tableau8[Att3],MATCH(Tableau3[[#This Row],[ID-INS]],Tableau8[ID],0))&amp;""</f>
        <v>Portail P3</v>
      </c>
      <c r="J1098" s="101"/>
      <c r="K1098" s="167" t="str">
        <f>INDEX(Tableau8[Nom du modele],MATCH(Tableau3[[#This Row],[ID-INS]],Tableau8[ID],0))&amp;""</f>
        <v>PortailR2V_1</v>
      </c>
      <c r="L1098" s="155" t="s">
        <v>1683</v>
      </c>
      <c r="M1098" s="99" t="str">
        <f>INDEX(Tableau5[Att2],MATCH(Tableau3[[#This Row],[ID-SIG]],Tableau5[ID],0))&amp;""</f>
        <v/>
      </c>
      <c r="N1098" s="99" t="str">
        <f>INDEX(Tableau5[Att3],MATCH(Tableau3[[#This Row],[ID-SIG]],Tableau5[ID],0))&amp;""</f>
        <v/>
      </c>
      <c r="O1098" s="99"/>
      <c r="P1098" s="155" t="s">
        <v>1777</v>
      </c>
      <c r="Q1098" s="99"/>
      <c r="R1098" s="103" t="str">
        <f>Tableau3[[#This Row],[Description]]</f>
        <v>Portail P3V1 - Verrouillage</v>
      </c>
      <c r="S1098" s="52"/>
      <c r="U1098" s="87">
        <v>7</v>
      </c>
      <c r="V1098" s="87">
        <v>1</v>
      </c>
      <c r="W1098" s="87">
        <v>3</v>
      </c>
      <c r="X1098" s="87">
        <v>0</v>
      </c>
      <c r="Y1098" s="41"/>
      <c r="Z1098" s="165" t="str">
        <f>INDEX(Tableau2[TS],MATCH(Tableau3[[#This Row],[ID-CARTEVOIE]],Tableau2[ID-CARTEVOIE],0))</f>
        <v>ST</v>
      </c>
      <c r="AA1098" s="53" t="s">
        <v>213</v>
      </c>
      <c r="AB1098" s="223" t="str">
        <f>IFERROR(INDEX(Tableau5[Reserve],MATCH(Tableau3[[#This Row],[ID-SIG]],Tableau5[ID],0))&amp;"","")</f>
        <v/>
      </c>
      <c r="AC1098" s="21"/>
      <c r="AD1098" s="108" t="str">
        <f>INDEX(Tableau7[Repere],MATCH(Tableau3[[#This Row],[ID-API]],Tableau7[ID-API],0))&amp;""</f>
        <v>A7</v>
      </c>
      <c r="AE1098" s="108" t="str">
        <f>INDEX(Tableau1[Repere-Rack],MATCH(Tableau3[[#This Row],[ID-RACK]],Tableau1[ID-RACK],0))&amp;""</f>
        <v>R1</v>
      </c>
      <c r="AF1098" s="108" t="str">
        <f>INDEX(Tableau1[Repere-Slot],MATCH(Tableau3[[#This Row],[ID-SLOT]],Tableau1[ID-SLOT],0))&amp;""</f>
        <v>S3</v>
      </c>
      <c r="AG1098" s="108" t="str">
        <f>INDEX(Tableau2[Repere-Voie],MATCH(Tableau3[[#This Row],[ID-VOIE]],Tableau2[ID-Voie],0))&amp;""</f>
        <v>v0</v>
      </c>
      <c r="AH1098" s="72" t="str">
        <f>Tableau3[[#This Row],[ID-API]]&amp; "." &amp;Tableau3[[#This Row],[ID-RACK]]&amp; "." &amp;Tableau3[[#This Row],[ID-SLOT]]</f>
        <v>7.1.3</v>
      </c>
      <c r="AI1098" s="72" t="str">
        <f>INDEX(Tableau1[Ref-Carte],MATCH(Tableau3[[#This Row],[ID-RRS]],Tableau1[ID-RRS],0))</f>
        <v>SDO0802</v>
      </c>
      <c r="AJ1098" s="72" t="str">
        <f t="array" ref="AJ1098">IFERROR(INDEX(Tableau2[TS],MATCH(1,(Tableau2[Ref-Carte]=Tableau3[[#This Row],[Ref-Carte2]])*(Tableau2[ID-Voie]=Tableau3[[#This Row],[ID-VOIE]]),0)),"")</f>
        <v>ST</v>
      </c>
      <c r="AK1098" s="72" t="str">
        <f>IFERROR(INDEX(Tableau2[TS],SUMPRODUCT((Tableau2[Ref-Carte]=Tableau3[[#This Row],[Ref-Carte2]])*(Tableau2[ID-Voie]=Tableau3[[#This Row],[ID-VOIE]])*ROW(Tableau2[TS]))-ROW(Tableau2[#Headers])),"")</f>
        <v>ST</v>
      </c>
      <c r="AL1098" s="72" t="str">
        <f>Tableau3[[#This Row],[Ref-Carte2]]&amp;"/"&amp;Tableau3[[#This Row],[ID-VOIE]]</f>
        <v>SDO0802/0</v>
      </c>
      <c r="AM1098" s="73" t="str">
        <f>INDEX(Tableau2[Borne],MATCH(Tableau3[[#This Row],[ID-CARTEVOIE]],Tableau2[ID-CARTEVOIE],0))&amp;""</f>
        <v>0</v>
      </c>
      <c r="AN1098" s="74" t="str">
        <f>Tableau3[[#This Row],[ID-API]]&amp;Tableau3[[#This Row],[ID-RACK]]&amp;Tableau3[[#This Row],[ID-SLOT]]&amp;Tableau3[[#This Row],[BORNE]]</f>
        <v>7130</v>
      </c>
      <c r="AO1098" s="1"/>
    </row>
    <row r="1099" spans="1:41" ht="20.100000000000001" customHeight="1" thickTop="1" thickBot="1">
      <c r="A1099" s="68"/>
      <c r="B1099" s="69" t="str">
        <f>IFERROR(INDEX(Tableau4[Date],MATCH($A1099,Tableau4[EVO],0)),"")</f>
        <v/>
      </c>
      <c r="C1099" s="68" t="str">
        <f>IFERROR(INDEX(Tableau4[Designation],MATCH($A1099,Tableau4[EVO],0)),"")</f>
        <v/>
      </c>
      <c r="D1099" s="68"/>
      <c r="E1099" s="70">
        <v>3</v>
      </c>
      <c r="F1099" s="71">
        <v>207</v>
      </c>
      <c r="G1099" s="101" t="str">
        <f>INDEX(Tableau8[Att1],MATCH(Tableau3[[#This Row],[ID-INS]],Tableau8[ID],0))&amp;""</f>
        <v>V4</v>
      </c>
      <c r="H1099" s="101" t="str">
        <f>INDEX(Tableau8[Att2],MATCH(Tableau3[[#This Row],[ID-INS]],Tableau8[ID],0))&amp;""</f>
        <v>P3</v>
      </c>
      <c r="I1099" s="101" t="str">
        <f>INDEX(Tableau8[Att3],MATCH(Tableau3[[#This Row],[ID-INS]],Tableau8[ID],0))&amp;""</f>
        <v>Portail P3</v>
      </c>
      <c r="J1099" s="101"/>
      <c r="K1099" s="167" t="str">
        <f>INDEX(Tableau8[Nom du modele],MATCH(Tableau3[[#This Row],[ID-INS]],Tableau8[ID],0))&amp;""</f>
        <v>PortailR2V_1</v>
      </c>
      <c r="L1099" s="99" t="str">
        <f>INDEX(Tableau5[Att1],MATCH(Tableau3[[#This Row],[ID-SIG]],Tableau5[ID],0))&amp;""</f>
        <v>V1_GrpHydCmd2</v>
      </c>
      <c r="M1099" s="99" t="str">
        <f>INDEX(Tableau5[Att2],MATCH(Tableau3[[#This Row],[ID-SIG]],Tableau5[ID],0))&amp;""</f>
        <v/>
      </c>
      <c r="N1099" s="99" t="str">
        <f>INDEX(Tableau5[Att3],MATCH(Tableau3[[#This Row],[ID-SIG]],Tableau5[ID],0))&amp;""</f>
        <v/>
      </c>
      <c r="O1099" s="99"/>
      <c r="P1099" s="99" t="str">
        <f>INDEX(Tableau5[Description],MATCH(Tableau3[[#This Row],[ID-SIG]],Tableau5[ID],0))</f>
        <v>Commande 2 marche groupe hydraulique vantail 1</v>
      </c>
      <c r="Q1099" s="99"/>
      <c r="R1099" s="103" t="str">
        <f>Tableau3[[#This Row],[Description]]</f>
        <v>Commande 2 marche groupe hydraulique vantail 1</v>
      </c>
      <c r="S1099" s="52"/>
      <c r="U1099" s="87">
        <v>7</v>
      </c>
      <c r="V1099" s="87">
        <v>1</v>
      </c>
      <c r="W1099" s="87">
        <v>3</v>
      </c>
      <c r="X1099" s="87">
        <v>1</v>
      </c>
      <c r="Y1099" s="41"/>
      <c r="Z1099" s="165" t="str">
        <f>INDEX(Tableau2[TS],MATCH(Tableau3[[#This Row],[ID-CARTEVOIE]],Tableau2[ID-CARTEVOIE],0))</f>
        <v>ST</v>
      </c>
      <c r="AA1099" s="53" t="s">
        <v>213</v>
      </c>
      <c r="AB1099" s="223" t="str">
        <f>IFERROR(INDEX(Tableau5[Reserve],MATCH(Tableau3[[#This Row],[ID-SIG]],Tableau5[ID],0))&amp;"","")</f>
        <v/>
      </c>
      <c r="AC1099" s="21"/>
      <c r="AD1099" s="108" t="str">
        <f>INDEX(Tableau7[Repere],MATCH(Tableau3[[#This Row],[ID-API]],Tableau7[ID-API],0))&amp;""</f>
        <v>A7</v>
      </c>
      <c r="AE1099" s="108" t="str">
        <f>INDEX(Tableau1[Repere-Rack],MATCH(Tableau3[[#This Row],[ID-RACK]],Tableau1[ID-RACK],0))&amp;""</f>
        <v>R1</v>
      </c>
      <c r="AF1099" s="108" t="str">
        <f>INDEX(Tableau1[Repere-Slot],MATCH(Tableau3[[#This Row],[ID-SLOT]],Tableau1[ID-SLOT],0))&amp;""</f>
        <v>S3</v>
      </c>
      <c r="AG1099" s="108" t="str">
        <f>INDEX(Tableau2[Repere-Voie],MATCH(Tableau3[[#This Row],[ID-VOIE]],Tableau2[ID-Voie],0))&amp;""</f>
        <v>v1</v>
      </c>
      <c r="AH1099" s="72" t="str">
        <f>Tableau3[[#This Row],[ID-API]]&amp; "." &amp;Tableau3[[#This Row],[ID-RACK]]&amp; "." &amp;Tableau3[[#This Row],[ID-SLOT]]</f>
        <v>7.1.3</v>
      </c>
      <c r="AI1099" s="72" t="str">
        <f>INDEX(Tableau1[Ref-Carte],MATCH(Tableau3[[#This Row],[ID-RRS]],Tableau1[ID-RRS],0))</f>
        <v>SDO0802</v>
      </c>
      <c r="AJ1099" s="72" t="str">
        <f t="array" ref="AJ1099">IFERROR(INDEX(Tableau2[TS],MATCH(1,(Tableau2[Ref-Carte]=Tableau3[[#This Row],[Ref-Carte2]])*(Tableau2[ID-Voie]=Tableau3[[#This Row],[ID-VOIE]]),0)),"")</f>
        <v>ST</v>
      </c>
      <c r="AK1099" s="72" t="str">
        <f>IFERROR(INDEX(Tableau2[TS],SUMPRODUCT((Tableau2[Ref-Carte]=Tableau3[[#This Row],[Ref-Carte2]])*(Tableau2[ID-Voie]=Tableau3[[#This Row],[ID-VOIE]])*ROW(Tableau2[TS]))-ROW(Tableau2[#Headers])),"")</f>
        <v>ST</v>
      </c>
      <c r="AL1099" s="72" t="str">
        <f>Tableau3[[#This Row],[Ref-Carte2]]&amp;"/"&amp;Tableau3[[#This Row],[ID-VOIE]]</f>
        <v>SDO0802/1</v>
      </c>
      <c r="AM1099" s="73" t="str">
        <f>INDEX(Tableau2[Borne],MATCH(Tableau3[[#This Row],[ID-CARTEVOIE]],Tableau2[ID-CARTEVOIE],0))&amp;""</f>
        <v>1</v>
      </c>
      <c r="AN1099" s="74" t="str">
        <f>Tableau3[[#This Row],[ID-API]]&amp;Tableau3[[#This Row],[ID-RACK]]&amp;Tableau3[[#This Row],[ID-SLOT]]&amp;Tableau3[[#This Row],[BORNE]]</f>
        <v>7131</v>
      </c>
      <c r="AO1099" s="1"/>
    </row>
    <row r="1100" spans="1:41" ht="20.100000000000001" customHeight="1" thickTop="1" thickBot="1">
      <c r="A1100" s="68"/>
      <c r="B1100" s="69" t="str">
        <f>IFERROR(INDEX(Tableau4[Date],MATCH($A1100,Tableau4[EVO],0)),"")</f>
        <v/>
      </c>
      <c r="C1100" s="68" t="str">
        <f>IFERROR(INDEX(Tableau4[Designation],MATCH($A1100,Tableau4[EVO],0)),"")</f>
        <v/>
      </c>
      <c r="D1100" s="68"/>
      <c r="E1100" s="70">
        <v>3</v>
      </c>
      <c r="F1100" s="71">
        <v>208</v>
      </c>
      <c r="G1100" s="101" t="str">
        <f>INDEX(Tableau8[Att1],MATCH(Tableau3[[#This Row],[ID-INS]],Tableau8[ID],0))&amp;""</f>
        <v>V4</v>
      </c>
      <c r="H1100" s="101" t="str">
        <f>INDEX(Tableau8[Att2],MATCH(Tableau3[[#This Row],[ID-INS]],Tableau8[ID],0))&amp;""</f>
        <v>P3</v>
      </c>
      <c r="I1100" s="101" t="str">
        <f>INDEX(Tableau8[Att3],MATCH(Tableau3[[#This Row],[ID-INS]],Tableau8[ID],0))&amp;""</f>
        <v>Portail P3</v>
      </c>
      <c r="J1100" s="101"/>
      <c r="K1100" s="167" t="str">
        <f>INDEX(Tableau8[Nom du modele],MATCH(Tableau3[[#This Row],[ID-INS]],Tableau8[ID],0))&amp;""</f>
        <v>PortailR2V_1</v>
      </c>
      <c r="L1100" s="99" t="str">
        <f>INDEX(Tableau5[Att1],MATCH(Tableau3[[#This Row],[ID-SIG]],Tableau5[ID],0))&amp;""</f>
        <v>V1_FerCmd2</v>
      </c>
      <c r="M1100" s="99" t="str">
        <f>INDEX(Tableau5[Att2],MATCH(Tableau3[[#This Row],[ID-SIG]],Tableau5[ID],0))&amp;""</f>
        <v/>
      </c>
      <c r="N1100" s="99" t="str">
        <f>INDEX(Tableau5[Att3],MATCH(Tableau3[[#This Row],[ID-SIG]],Tableau5[ID],0))&amp;""</f>
        <v/>
      </c>
      <c r="O1100" s="99"/>
      <c r="P1100" s="99" t="str">
        <f>INDEX(Tableau5[Description],MATCH(Tableau3[[#This Row],[ID-SIG]],Tableau5[ID],0))</f>
        <v>Commande 2 fermeture vantail 1</v>
      </c>
      <c r="Q1100" s="99"/>
      <c r="R1100" s="103" t="str">
        <f>Tableau3[[#This Row],[Description]]</f>
        <v>Commande 2 fermeture vantail 1</v>
      </c>
      <c r="S1100" s="52"/>
      <c r="U1100" s="87">
        <v>7</v>
      </c>
      <c r="V1100" s="87">
        <v>1</v>
      </c>
      <c r="W1100" s="87">
        <v>3</v>
      </c>
      <c r="X1100" s="87">
        <v>2</v>
      </c>
      <c r="Y1100" s="41"/>
      <c r="Z1100" s="165" t="str">
        <f>INDEX(Tableau2[TS],MATCH(Tableau3[[#This Row],[ID-CARTEVOIE]],Tableau2[ID-CARTEVOIE],0))</f>
        <v>ST</v>
      </c>
      <c r="AA1100" s="53" t="s">
        <v>213</v>
      </c>
      <c r="AB1100" s="223" t="str">
        <f>IFERROR(INDEX(Tableau5[Reserve],MATCH(Tableau3[[#This Row],[ID-SIG]],Tableau5[ID],0))&amp;"","")</f>
        <v/>
      </c>
      <c r="AC1100" s="21"/>
      <c r="AD1100" s="108" t="str">
        <f>INDEX(Tableau7[Repere],MATCH(Tableau3[[#This Row],[ID-API]],Tableau7[ID-API],0))&amp;""</f>
        <v>A7</v>
      </c>
      <c r="AE1100" s="108" t="str">
        <f>INDEX(Tableau1[Repere-Rack],MATCH(Tableau3[[#This Row],[ID-RACK]],Tableau1[ID-RACK],0))&amp;""</f>
        <v>R1</v>
      </c>
      <c r="AF1100" s="108" t="str">
        <f>INDEX(Tableau1[Repere-Slot],MATCH(Tableau3[[#This Row],[ID-SLOT]],Tableau1[ID-SLOT],0))&amp;""</f>
        <v>S3</v>
      </c>
      <c r="AG1100" s="108" t="str">
        <f>INDEX(Tableau2[Repere-Voie],MATCH(Tableau3[[#This Row],[ID-VOIE]],Tableau2[ID-Voie],0))&amp;""</f>
        <v>v2</v>
      </c>
      <c r="AH1100" s="72" t="str">
        <f>Tableau3[[#This Row],[ID-API]]&amp; "." &amp;Tableau3[[#This Row],[ID-RACK]]&amp; "." &amp;Tableau3[[#This Row],[ID-SLOT]]</f>
        <v>7.1.3</v>
      </c>
      <c r="AI1100" s="72" t="str">
        <f>INDEX(Tableau1[Ref-Carte],MATCH(Tableau3[[#This Row],[ID-RRS]],Tableau1[ID-RRS],0))</f>
        <v>SDO0802</v>
      </c>
      <c r="AJ1100" s="72" t="str">
        <f t="array" ref="AJ1100">IFERROR(INDEX(Tableau2[TS],MATCH(1,(Tableau2[Ref-Carte]=Tableau3[[#This Row],[Ref-Carte2]])*(Tableau2[ID-Voie]=Tableau3[[#This Row],[ID-VOIE]]),0)),"")</f>
        <v>ST</v>
      </c>
      <c r="AK1100" s="72" t="str">
        <f>IFERROR(INDEX(Tableau2[TS],SUMPRODUCT((Tableau2[Ref-Carte]=Tableau3[[#This Row],[Ref-Carte2]])*(Tableau2[ID-Voie]=Tableau3[[#This Row],[ID-VOIE]])*ROW(Tableau2[TS]))-ROW(Tableau2[#Headers])),"")</f>
        <v>ST</v>
      </c>
      <c r="AL1100" s="72" t="str">
        <f>Tableau3[[#This Row],[Ref-Carte2]]&amp;"/"&amp;Tableau3[[#This Row],[ID-VOIE]]</f>
        <v>SDO0802/2</v>
      </c>
      <c r="AM1100" s="73" t="str">
        <f>INDEX(Tableau2[Borne],MATCH(Tableau3[[#This Row],[ID-CARTEVOIE]],Tableau2[ID-CARTEVOIE],0))&amp;""</f>
        <v>2</v>
      </c>
      <c r="AN1100" s="74" t="str">
        <f>Tableau3[[#This Row],[ID-API]]&amp;Tableau3[[#This Row],[ID-RACK]]&amp;Tableau3[[#This Row],[ID-SLOT]]&amp;Tableau3[[#This Row],[BORNE]]</f>
        <v>7132</v>
      </c>
      <c r="AO1100" s="1"/>
    </row>
    <row r="1101" spans="1:41" ht="20.100000000000001" customHeight="1" thickTop="1" thickBot="1">
      <c r="A1101" s="68"/>
      <c r="B1101" s="69" t="str">
        <f>IFERROR(INDEX(Tableau4[Date],MATCH($A1101,Tableau4[EVO],0)),"")</f>
        <v/>
      </c>
      <c r="C1101" s="68" t="str">
        <f>IFERROR(INDEX(Tableau4[Designation],MATCH($A1101,Tableau4[EVO],0)),"")</f>
        <v/>
      </c>
      <c r="D1101" s="68"/>
      <c r="E1101" s="70">
        <v>3</v>
      </c>
      <c r="F1101" s="71">
        <v>229</v>
      </c>
      <c r="G1101" s="101" t="str">
        <f>INDEX(Tableau8[Att1],MATCH(Tableau3[[#This Row],[ID-INS]],Tableau8[ID],0))&amp;""</f>
        <v>V4</v>
      </c>
      <c r="H1101" s="101" t="str">
        <f>INDEX(Tableau8[Att2],MATCH(Tableau3[[#This Row],[ID-INS]],Tableau8[ID],0))&amp;""</f>
        <v>P3</v>
      </c>
      <c r="I1101" s="101" t="str">
        <f>INDEX(Tableau8[Att3],MATCH(Tableau3[[#This Row],[ID-INS]],Tableau8[ID],0))&amp;""</f>
        <v>Portail P3</v>
      </c>
      <c r="J1101" s="101"/>
      <c r="K1101" s="167" t="str">
        <f>INDEX(Tableau8[Nom du modele],MATCH(Tableau3[[#This Row],[ID-INS]],Tableau8[ID],0))&amp;""</f>
        <v>PortailR2V_1</v>
      </c>
      <c r="L1101" s="99" t="str">
        <f>INDEX(Tableau5[Att1],MATCH(Tableau3[[#This Row],[ID-SIG]],Tableau5[ID],0))&amp;""</f>
        <v>V2_SignalCmd</v>
      </c>
      <c r="M1101" s="99" t="str">
        <f>INDEX(Tableau5[Att2],MATCH(Tableau3[[#This Row],[ID-SIG]],Tableau5[ID],0))&amp;""</f>
        <v/>
      </c>
      <c r="N1101" s="99" t="str">
        <f>INDEX(Tableau5[Att3],MATCH(Tableau3[[#This Row],[ID-SIG]],Tableau5[ID],0))&amp;""</f>
        <v/>
      </c>
      <c r="O1101" s="99"/>
      <c r="P1101" s="99" t="str">
        <f>INDEX(Tableau5[Description],MATCH(Tableau3[[#This Row],[ID-SIG]],Tableau5[ID],0))</f>
        <v>Commande signalisation</v>
      </c>
      <c r="Q1101" s="99"/>
      <c r="R1101" s="103" t="str">
        <f>Tableau3[[#This Row],[Description]]</f>
        <v>Commande signalisation</v>
      </c>
      <c r="S1101" s="52"/>
      <c r="U1101" s="87">
        <v>7</v>
      </c>
      <c r="V1101" s="87">
        <v>1</v>
      </c>
      <c r="W1101" s="87">
        <v>3</v>
      </c>
      <c r="X1101" s="87">
        <v>3</v>
      </c>
      <c r="Y1101" s="41"/>
      <c r="Z1101" s="165" t="str">
        <f>INDEX(Tableau2[TS],MATCH(Tableau3[[#This Row],[ID-CARTEVOIE]],Tableau2[ID-CARTEVOIE],0))</f>
        <v>ST</v>
      </c>
      <c r="AA1101" s="53" t="s">
        <v>213</v>
      </c>
      <c r="AB1101" s="223" t="str">
        <f>IFERROR(INDEX(Tableau5[Reserve],MATCH(Tableau3[[#This Row],[ID-SIG]],Tableau5[ID],0))&amp;"","")</f>
        <v/>
      </c>
      <c r="AC1101" s="21"/>
      <c r="AD1101" s="108" t="str">
        <f>INDEX(Tableau7[Repere],MATCH(Tableau3[[#This Row],[ID-API]],Tableau7[ID-API],0))&amp;""</f>
        <v>A7</v>
      </c>
      <c r="AE1101" s="108" t="str">
        <f>INDEX(Tableau1[Repere-Rack],MATCH(Tableau3[[#This Row],[ID-RACK]],Tableau1[ID-RACK],0))&amp;""</f>
        <v>R1</v>
      </c>
      <c r="AF1101" s="108" t="str">
        <f>INDEX(Tableau1[Repere-Slot],MATCH(Tableau3[[#This Row],[ID-SLOT]],Tableau1[ID-SLOT],0))&amp;""</f>
        <v>S3</v>
      </c>
      <c r="AG1101" s="108" t="str">
        <f>INDEX(Tableau2[Repere-Voie],MATCH(Tableau3[[#This Row],[ID-VOIE]],Tableau2[ID-Voie],0))&amp;""</f>
        <v>v3</v>
      </c>
      <c r="AH1101" s="72" t="str">
        <f>Tableau3[[#This Row],[ID-API]]&amp; "." &amp;Tableau3[[#This Row],[ID-RACK]]&amp; "." &amp;Tableau3[[#This Row],[ID-SLOT]]</f>
        <v>7.1.3</v>
      </c>
      <c r="AI1101" s="72" t="str">
        <f>INDEX(Tableau1[Ref-Carte],MATCH(Tableau3[[#This Row],[ID-RRS]],Tableau1[ID-RRS],0))</f>
        <v>SDO0802</v>
      </c>
      <c r="AJ1101" s="72" t="str">
        <f t="array" ref="AJ1101">IFERROR(INDEX(Tableau2[TS],MATCH(1,(Tableau2[Ref-Carte]=Tableau3[[#This Row],[Ref-Carte2]])*(Tableau2[ID-Voie]=Tableau3[[#This Row],[ID-VOIE]]),0)),"")</f>
        <v>ST</v>
      </c>
      <c r="AK1101" s="72" t="str">
        <f>IFERROR(INDEX(Tableau2[TS],SUMPRODUCT((Tableau2[Ref-Carte]=Tableau3[[#This Row],[Ref-Carte2]])*(Tableau2[ID-Voie]=Tableau3[[#This Row],[ID-VOIE]])*ROW(Tableau2[TS]))-ROW(Tableau2[#Headers])),"")</f>
        <v>ST</v>
      </c>
      <c r="AL1101" s="72" t="str">
        <f>Tableau3[[#This Row],[Ref-Carte2]]&amp;"/"&amp;Tableau3[[#This Row],[ID-VOIE]]</f>
        <v>SDO0802/3</v>
      </c>
      <c r="AM1101" s="73" t="str">
        <f>INDEX(Tableau2[Borne],MATCH(Tableau3[[#This Row],[ID-CARTEVOIE]],Tableau2[ID-CARTEVOIE],0))&amp;""</f>
        <v>3</v>
      </c>
      <c r="AN1101" s="74" t="str">
        <f>Tableau3[[#This Row],[ID-API]]&amp;Tableau3[[#This Row],[ID-RACK]]&amp;Tableau3[[#This Row],[ID-SLOT]]&amp;Tableau3[[#This Row],[BORNE]]</f>
        <v>7133</v>
      </c>
      <c r="AO1101" s="1"/>
    </row>
    <row r="1102" spans="1:41" ht="20.100000000000001" customHeight="1" thickTop="1" thickBot="1">
      <c r="A1102" s="68"/>
      <c r="B1102" s="69" t="str">
        <f>IFERROR(INDEX(Tableau4[Date],MATCH($A1102,Tableau4[EVO],0)),"")</f>
        <v/>
      </c>
      <c r="C1102" s="68" t="str">
        <f>IFERROR(INDEX(Tableau4[Designation],MATCH($A1102,Tableau4[EVO],0)),"")</f>
        <v/>
      </c>
      <c r="D1102" s="68"/>
      <c r="E1102" s="70">
        <v>3</v>
      </c>
      <c r="F1102" s="71">
        <v>230</v>
      </c>
      <c r="G1102" s="101" t="str">
        <f>INDEX(Tableau8[Att1],MATCH(Tableau3[[#This Row],[ID-INS]],Tableau8[ID],0))&amp;""</f>
        <v>V4</v>
      </c>
      <c r="H1102" s="101" t="str">
        <f>INDEX(Tableau8[Att2],MATCH(Tableau3[[#This Row],[ID-INS]],Tableau8[ID],0))&amp;""</f>
        <v>P3</v>
      </c>
      <c r="I1102" s="101" t="str">
        <f>INDEX(Tableau8[Att3],MATCH(Tableau3[[#This Row],[ID-INS]],Tableau8[ID],0))&amp;""</f>
        <v>Portail P3</v>
      </c>
      <c r="J1102" s="101"/>
      <c r="K1102" s="167" t="str">
        <f>INDEX(Tableau8[Nom du modele],MATCH(Tableau3[[#This Row],[ID-INS]],Tableau8[ID],0))&amp;""</f>
        <v>PortailR2V_1</v>
      </c>
      <c r="L1102" s="99" t="str">
        <f>INDEX(Tableau5[Att1],MATCH(Tableau3[[#This Row],[ID-SIG]],Tableau5[ID],0))&amp;""</f>
        <v>V2_GrpHydCmd1</v>
      </c>
      <c r="M1102" s="99" t="str">
        <f>INDEX(Tableau5[Att2],MATCH(Tableau3[[#This Row],[ID-SIG]],Tableau5[ID],0))&amp;""</f>
        <v/>
      </c>
      <c r="N1102" s="99" t="str">
        <f>INDEX(Tableau5[Att3],MATCH(Tableau3[[#This Row],[ID-SIG]],Tableau5[ID],0))&amp;""</f>
        <v/>
      </c>
      <c r="O1102" s="99"/>
      <c r="P1102" s="99" t="str">
        <f>INDEX(Tableau5[Description],MATCH(Tableau3[[#This Row],[ID-SIG]],Tableau5[ID],0))</f>
        <v>Commande 1 marche groupe hydraulique vantail 2</v>
      </c>
      <c r="Q1102" s="99"/>
      <c r="R1102" s="103" t="str">
        <f>Tableau3[[#This Row],[Description]]</f>
        <v>Commande 1 marche groupe hydraulique vantail 2</v>
      </c>
      <c r="S1102" s="52"/>
      <c r="U1102" s="87">
        <v>7</v>
      </c>
      <c r="V1102" s="87">
        <v>1</v>
      </c>
      <c r="W1102" s="87">
        <v>3</v>
      </c>
      <c r="X1102" s="87">
        <v>4</v>
      </c>
      <c r="Y1102" s="41"/>
      <c r="Z1102" s="165" t="str">
        <f>INDEX(Tableau2[TS],MATCH(Tableau3[[#This Row],[ID-CARTEVOIE]],Tableau2[ID-CARTEVOIE],0))</f>
        <v>ST</v>
      </c>
      <c r="AA1102" s="53" t="s">
        <v>213</v>
      </c>
      <c r="AB1102" s="223" t="str">
        <f>IFERROR(INDEX(Tableau5[Reserve],MATCH(Tableau3[[#This Row],[ID-SIG]],Tableau5[ID],0))&amp;"","")</f>
        <v/>
      </c>
      <c r="AC1102" s="21"/>
      <c r="AD1102" s="108" t="str">
        <f>INDEX(Tableau7[Repere],MATCH(Tableau3[[#This Row],[ID-API]],Tableau7[ID-API],0))&amp;""</f>
        <v>A7</v>
      </c>
      <c r="AE1102" s="108" t="str">
        <f>INDEX(Tableau1[Repere-Rack],MATCH(Tableau3[[#This Row],[ID-RACK]],Tableau1[ID-RACK],0))&amp;""</f>
        <v>R1</v>
      </c>
      <c r="AF1102" s="108" t="str">
        <f>INDEX(Tableau1[Repere-Slot],MATCH(Tableau3[[#This Row],[ID-SLOT]],Tableau1[ID-SLOT],0))&amp;""</f>
        <v>S3</v>
      </c>
      <c r="AG1102" s="108" t="str">
        <f>INDEX(Tableau2[Repere-Voie],MATCH(Tableau3[[#This Row],[ID-VOIE]],Tableau2[ID-Voie],0))&amp;""</f>
        <v>v4</v>
      </c>
      <c r="AH1102" s="72" t="str">
        <f>Tableau3[[#This Row],[ID-API]]&amp; "." &amp;Tableau3[[#This Row],[ID-RACK]]&amp; "." &amp;Tableau3[[#This Row],[ID-SLOT]]</f>
        <v>7.1.3</v>
      </c>
      <c r="AI1102" s="72" t="str">
        <f>INDEX(Tableau1[Ref-Carte],MATCH(Tableau3[[#This Row],[ID-RRS]],Tableau1[ID-RRS],0))</f>
        <v>SDO0802</v>
      </c>
      <c r="AJ1102" s="72" t="str">
        <f t="array" ref="AJ1102">IFERROR(INDEX(Tableau2[TS],MATCH(1,(Tableau2[Ref-Carte]=Tableau3[[#This Row],[Ref-Carte2]])*(Tableau2[ID-Voie]=Tableau3[[#This Row],[ID-VOIE]]),0)),"")</f>
        <v>ST</v>
      </c>
      <c r="AK1102" s="72" t="str">
        <f>IFERROR(INDEX(Tableau2[TS],SUMPRODUCT((Tableau2[Ref-Carte]=Tableau3[[#This Row],[Ref-Carte2]])*(Tableau2[ID-Voie]=Tableau3[[#This Row],[ID-VOIE]])*ROW(Tableau2[TS]))-ROW(Tableau2[#Headers])),"")</f>
        <v>ST</v>
      </c>
      <c r="AL1102" s="72" t="str">
        <f>Tableau3[[#This Row],[Ref-Carte2]]&amp;"/"&amp;Tableau3[[#This Row],[ID-VOIE]]</f>
        <v>SDO0802/4</v>
      </c>
      <c r="AM1102" s="73" t="str">
        <f>INDEX(Tableau2[Borne],MATCH(Tableau3[[#This Row],[ID-CARTEVOIE]],Tableau2[ID-CARTEVOIE],0))&amp;""</f>
        <v>4</v>
      </c>
      <c r="AN1102" s="74" t="str">
        <f>Tableau3[[#This Row],[ID-API]]&amp;Tableau3[[#This Row],[ID-RACK]]&amp;Tableau3[[#This Row],[ID-SLOT]]&amp;Tableau3[[#This Row],[BORNE]]</f>
        <v>7134</v>
      </c>
      <c r="AO1102" s="1"/>
    </row>
    <row r="1103" spans="1:41" ht="20.100000000000001" customHeight="1" thickTop="1" thickBot="1">
      <c r="A1103" s="68"/>
      <c r="B1103" s="69" t="str">
        <f>IFERROR(INDEX(Tableau4[Date],MATCH($A1103,Tableau4[EVO],0)),"")</f>
        <v/>
      </c>
      <c r="C1103" s="68" t="str">
        <f>IFERROR(INDEX(Tableau4[Designation],MATCH($A1103,Tableau4[EVO],0)),"")</f>
        <v/>
      </c>
      <c r="D1103" s="68"/>
      <c r="E1103" s="70">
        <v>3</v>
      </c>
      <c r="F1103" s="71">
        <v>231</v>
      </c>
      <c r="G1103" s="101" t="str">
        <f>INDEX(Tableau8[Att1],MATCH(Tableau3[[#This Row],[ID-INS]],Tableau8[ID],0))&amp;""</f>
        <v>V4</v>
      </c>
      <c r="H1103" s="101" t="str">
        <f>INDEX(Tableau8[Att2],MATCH(Tableau3[[#This Row],[ID-INS]],Tableau8[ID],0))&amp;""</f>
        <v>P3</v>
      </c>
      <c r="I1103" s="101" t="str">
        <f>INDEX(Tableau8[Att3],MATCH(Tableau3[[#This Row],[ID-INS]],Tableau8[ID],0))&amp;""</f>
        <v>Portail P3</v>
      </c>
      <c r="J1103" s="101"/>
      <c r="K1103" s="167" t="str">
        <f>INDEX(Tableau8[Nom du modele],MATCH(Tableau3[[#This Row],[ID-INS]],Tableau8[ID],0))&amp;""</f>
        <v>PortailR2V_1</v>
      </c>
      <c r="L1103" s="99" t="str">
        <f>INDEX(Tableau5[Att1],MATCH(Tableau3[[#This Row],[ID-SIG]],Tableau5[ID],0))&amp;""</f>
        <v>V2_OuvCmd</v>
      </c>
      <c r="M1103" s="99" t="str">
        <f>INDEX(Tableau5[Att2],MATCH(Tableau3[[#This Row],[ID-SIG]],Tableau5[ID],0))&amp;""</f>
        <v/>
      </c>
      <c r="N1103" s="99" t="str">
        <f>INDEX(Tableau5[Att3],MATCH(Tableau3[[#This Row],[ID-SIG]],Tableau5[ID],0))&amp;""</f>
        <v/>
      </c>
      <c r="O1103" s="99"/>
      <c r="P1103" s="99" t="str">
        <f>INDEX(Tableau5[Description],MATCH(Tableau3[[#This Row],[ID-SIG]],Tableau5[ID],0))</f>
        <v>Commande ouverture vantail</v>
      </c>
      <c r="Q1103" s="99"/>
      <c r="R1103" s="103" t="str">
        <f>Tableau3[[#This Row],[Description]]</f>
        <v>Commande ouverture vantail</v>
      </c>
      <c r="S1103" s="52"/>
      <c r="U1103" s="87">
        <v>7</v>
      </c>
      <c r="V1103" s="87">
        <v>1</v>
      </c>
      <c r="W1103" s="87">
        <v>3</v>
      </c>
      <c r="X1103" s="87">
        <v>5</v>
      </c>
      <c r="Y1103" s="41"/>
      <c r="Z1103" s="165" t="str">
        <f>INDEX(Tableau2[TS],MATCH(Tableau3[[#This Row],[ID-CARTEVOIE]],Tableau2[ID-CARTEVOIE],0))</f>
        <v>ST</v>
      </c>
      <c r="AA1103" s="53" t="s">
        <v>213</v>
      </c>
      <c r="AB1103" s="223" t="str">
        <f>IFERROR(INDEX(Tableau5[Reserve],MATCH(Tableau3[[#This Row],[ID-SIG]],Tableau5[ID],0))&amp;"","")</f>
        <v/>
      </c>
      <c r="AC1103" s="21"/>
      <c r="AD1103" s="108" t="str">
        <f>INDEX(Tableau7[Repere],MATCH(Tableau3[[#This Row],[ID-API]],Tableau7[ID-API],0))&amp;""</f>
        <v>A7</v>
      </c>
      <c r="AE1103" s="108" t="str">
        <f>INDEX(Tableau1[Repere-Rack],MATCH(Tableau3[[#This Row],[ID-RACK]],Tableau1[ID-RACK],0))&amp;""</f>
        <v>R1</v>
      </c>
      <c r="AF1103" s="108" t="str">
        <f>INDEX(Tableau1[Repere-Slot],MATCH(Tableau3[[#This Row],[ID-SLOT]],Tableau1[ID-SLOT],0))&amp;""</f>
        <v>S3</v>
      </c>
      <c r="AG1103" s="108" t="str">
        <f>INDEX(Tableau2[Repere-Voie],MATCH(Tableau3[[#This Row],[ID-VOIE]],Tableau2[ID-Voie],0))&amp;""</f>
        <v>v5</v>
      </c>
      <c r="AH1103" s="72" t="str">
        <f>Tableau3[[#This Row],[ID-API]]&amp; "." &amp;Tableau3[[#This Row],[ID-RACK]]&amp; "." &amp;Tableau3[[#This Row],[ID-SLOT]]</f>
        <v>7.1.3</v>
      </c>
      <c r="AI1103" s="72" t="str">
        <f>INDEX(Tableau1[Ref-Carte],MATCH(Tableau3[[#This Row],[ID-RRS]],Tableau1[ID-RRS],0))</f>
        <v>SDO0802</v>
      </c>
      <c r="AJ1103" s="72" t="str">
        <f t="array" ref="AJ1103">IFERROR(INDEX(Tableau2[TS],MATCH(1,(Tableau2[Ref-Carte]=Tableau3[[#This Row],[Ref-Carte2]])*(Tableau2[ID-Voie]=Tableau3[[#This Row],[ID-VOIE]]),0)),"")</f>
        <v>ST</v>
      </c>
      <c r="AK1103" s="72" t="str">
        <f>IFERROR(INDEX(Tableau2[TS],SUMPRODUCT((Tableau2[Ref-Carte]=Tableau3[[#This Row],[Ref-Carte2]])*(Tableau2[ID-Voie]=Tableau3[[#This Row],[ID-VOIE]])*ROW(Tableau2[TS]))-ROW(Tableau2[#Headers])),"")</f>
        <v>ST</v>
      </c>
      <c r="AL1103" s="72" t="str">
        <f>Tableau3[[#This Row],[Ref-Carte2]]&amp;"/"&amp;Tableau3[[#This Row],[ID-VOIE]]</f>
        <v>SDO0802/5</v>
      </c>
      <c r="AM1103" s="73" t="str">
        <f>INDEX(Tableau2[Borne],MATCH(Tableau3[[#This Row],[ID-CARTEVOIE]],Tableau2[ID-CARTEVOIE],0))&amp;""</f>
        <v>5</v>
      </c>
      <c r="AN1103" s="74" t="str">
        <f>Tableau3[[#This Row],[ID-API]]&amp;Tableau3[[#This Row],[ID-RACK]]&amp;Tableau3[[#This Row],[ID-SLOT]]&amp;Tableau3[[#This Row],[BORNE]]</f>
        <v>7135</v>
      </c>
      <c r="AO1103" s="1"/>
    </row>
    <row r="1104" spans="1:41" ht="20.100000000000001" customHeight="1" thickTop="1" thickBot="1">
      <c r="A1104" s="68"/>
      <c r="B1104" s="69" t="str">
        <f>IFERROR(INDEX(Tableau4[Date],MATCH($A1104,Tableau4[EVO],0)),"")</f>
        <v/>
      </c>
      <c r="C1104" s="68" t="str">
        <f>IFERROR(INDEX(Tableau4[Designation],MATCH($A1104,Tableau4[EVO],0)),"")</f>
        <v/>
      </c>
      <c r="D1104" s="68"/>
      <c r="E1104" s="70">
        <v>3</v>
      </c>
      <c r="F1104" s="71">
        <v>232</v>
      </c>
      <c r="G1104" s="101" t="str">
        <f>INDEX(Tableau8[Att1],MATCH(Tableau3[[#This Row],[ID-INS]],Tableau8[ID],0))&amp;""</f>
        <v>V4</v>
      </c>
      <c r="H1104" s="101" t="str">
        <f>INDEX(Tableau8[Att2],MATCH(Tableau3[[#This Row],[ID-INS]],Tableau8[ID],0))&amp;""</f>
        <v>P3</v>
      </c>
      <c r="I1104" s="101" t="str">
        <f>INDEX(Tableau8[Att3],MATCH(Tableau3[[#This Row],[ID-INS]],Tableau8[ID],0))&amp;""</f>
        <v>Portail P3</v>
      </c>
      <c r="J1104" s="101"/>
      <c r="K1104" s="167" t="str">
        <f>INDEX(Tableau8[Nom du modele],MATCH(Tableau3[[#This Row],[ID-INS]],Tableau8[ID],0))&amp;""</f>
        <v>PortailR2V_1</v>
      </c>
      <c r="L1104" s="99" t="str">
        <f>INDEX(Tableau5[Att1],MATCH(Tableau3[[#This Row],[ID-SIG]],Tableau5[ID],0))&amp;""</f>
        <v>Réserve</v>
      </c>
      <c r="M1104" s="99" t="str">
        <f>INDEX(Tableau5[Att2],MATCH(Tableau3[[#This Row],[ID-SIG]],Tableau5[ID],0))&amp;""</f>
        <v/>
      </c>
      <c r="N1104" s="99" t="str">
        <f>INDEX(Tableau5[Att3],MATCH(Tableau3[[#This Row],[ID-SIG]],Tableau5[ID],0))&amp;""</f>
        <v/>
      </c>
      <c r="O1104" s="99"/>
      <c r="P1104" s="99" t="str">
        <f>INDEX(Tableau5[Description],MATCH(Tableau3[[#This Row],[ID-SIG]],Tableau5[ID],0))</f>
        <v>Réserve</v>
      </c>
      <c r="Q1104" s="99"/>
      <c r="R1104" s="103" t="str">
        <f>Tableau3[[#This Row],[Description]]</f>
        <v>Réserve</v>
      </c>
      <c r="S1104" s="52"/>
      <c r="U1104" s="87">
        <v>7</v>
      </c>
      <c r="V1104" s="87">
        <v>1</v>
      </c>
      <c r="W1104" s="87">
        <v>3</v>
      </c>
      <c r="X1104" s="87">
        <v>6</v>
      </c>
      <c r="Y1104" s="41"/>
      <c r="Z1104" s="165" t="str">
        <f>INDEX(Tableau2[TS],MATCH(Tableau3[[#This Row],[ID-CARTEVOIE]],Tableau2[ID-CARTEVOIE],0))</f>
        <v>ST</v>
      </c>
      <c r="AA1104" s="53" t="s">
        <v>213</v>
      </c>
      <c r="AB1104" s="223" t="str">
        <f>IFERROR(INDEX(Tableau5[Reserve],MATCH(Tableau3[[#This Row],[ID-SIG]],Tableau5[ID],0))&amp;"","")</f>
        <v/>
      </c>
      <c r="AC1104" s="21"/>
      <c r="AD1104" s="108" t="str">
        <f>INDEX(Tableau7[Repere],MATCH(Tableau3[[#This Row],[ID-API]],Tableau7[ID-API],0))&amp;""</f>
        <v>A7</v>
      </c>
      <c r="AE1104" s="108" t="str">
        <f>INDEX(Tableau1[Repere-Rack],MATCH(Tableau3[[#This Row],[ID-RACK]],Tableau1[ID-RACK],0))&amp;""</f>
        <v>R1</v>
      </c>
      <c r="AF1104" s="108" t="str">
        <f>INDEX(Tableau1[Repere-Slot],MATCH(Tableau3[[#This Row],[ID-SLOT]],Tableau1[ID-SLOT],0))&amp;""</f>
        <v>S3</v>
      </c>
      <c r="AG1104" s="108" t="str">
        <f>INDEX(Tableau2[Repere-Voie],MATCH(Tableau3[[#This Row],[ID-VOIE]],Tableau2[ID-Voie],0))&amp;""</f>
        <v>v6</v>
      </c>
      <c r="AH1104" s="72" t="str">
        <f>Tableau3[[#This Row],[ID-API]]&amp; "." &amp;Tableau3[[#This Row],[ID-RACK]]&amp; "." &amp;Tableau3[[#This Row],[ID-SLOT]]</f>
        <v>7.1.3</v>
      </c>
      <c r="AI1104" s="72" t="str">
        <f>INDEX(Tableau1[Ref-Carte],MATCH(Tableau3[[#This Row],[ID-RRS]],Tableau1[ID-RRS],0))</f>
        <v>SDO0802</v>
      </c>
      <c r="AJ1104" s="72" t="str">
        <f t="array" ref="AJ1104">IFERROR(INDEX(Tableau2[TS],MATCH(1,(Tableau2[Ref-Carte]=Tableau3[[#This Row],[Ref-Carte2]])*(Tableau2[ID-Voie]=Tableau3[[#This Row],[ID-VOIE]]),0)),"")</f>
        <v>ST</v>
      </c>
      <c r="AK1104" s="72" t="str">
        <f>IFERROR(INDEX(Tableau2[TS],SUMPRODUCT((Tableau2[Ref-Carte]=Tableau3[[#This Row],[Ref-Carte2]])*(Tableau2[ID-Voie]=Tableau3[[#This Row],[ID-VOIE]])*ROW(Tableau2[TS]))-ROW(Tableau2[#Headers])),"")</f>
        <v>ST</v>
      </c>
      <c r="AL1104" s="72" t="str">
        <f>Tableau3[[#This Row],[Ref-Carte2]]&amp;"/"&amp;Tableau3[[#This Row],[ID-VOIE]]</f>
        <v>SDO0802/6</v>
      </c>
      <c r="AM1104" s="73" t="str">
        <f>INDEX(Tableau2[Borne],MATCH(Tableau3[[#This Row],[ID-CARTEVOIE]],Tableau2[ID-CARTEVOIE],0))&amp;""</f>
        <v>6</v>
      </c>
      <c r="AN1104" s="74" t="str">
        <f>Tableau3[[#This Row],[ID-API]]&amp;Tableau3[[#This Row],[ID-RACK]]&amp;Tableau3[[#This Row],[ID-SLOT]]&amp;Tableau3[[#This Row],[BORNE]]</f>
        <v>7136</v>
      </c>
      <c r="AO1104" s="1"/>
    </row>
    <row r="1105" spans="1:41" ht="20.100000000000001" customHeight="1" thickTop="1" thickBot="1">
      <c r="A1105" s="68"/>
      <c r="B1105" s="69" t="str">
        <f>IFERROR(INDEX(Tableau4[Date],MATCH($A1105,Tableau4[EVO],0)),"")</f>
        <v/>
      </c>
      <c r="C1105" s="68" t="str">
        <f>IFERROR(INDEX(Tableau4[Designation],MATCH($A1105,Tableau4[EVO],0)),"")</f>
        <v/>
      </c>
      <c r="D1105" s="68"/>
      <c r="E1105" s="70">
        <v>3</v>
      </c>
      <c r="F1105" s="71">
        <v>233</v>
      </c>
      <c r="G1105" s="101" t="str">
        <f>INDEX(Tableau8[Att1],MATCH(Tableau3[[#This Row],[ID-INS]],Tableau8[ID],0))&amp;""</f>
        <v>V4</v>
      </c>
      <c r="H1105" s="101" t="str">
        <f>INDEX(Tableau8[Att2],MATCH(Tableau3[[#This Row],[ID-INS]],Tableau8[ID],0))&amp;""</f>
        <v>P3</v>
      </c>
      <c r="I1105" s="101" t="str">
        <f>INDEX(Tableau8[Att3],MATCH(Tableau3[[#This Row],[ID-INS]],Tableau8[ID],0))&amp;""</f>
        <v>Portail P3</v>
      </c>
      <c r="J1105" s="101"/>
      <c r="K1105" s="167" t="str">
        <f>INDEX(Tableau8[Nom du modele],MATCH(Tableau3[[#This Row],[ID-INS]],Tableau8[ID],0))&amp;""</f>
        <v>PortailR2V_1</v>
      </c>
      <c r="L1105" s="99" t="str">
        <f>INDEX(Tableau5[Att1],MATCH(Tableau3[[#This Row],[ID-SIG]],Tableau5[ID],0))&amp;""</f>
        <v>V2_FerCmd1</v>
      </c>
      <c r="M1105" s="99" t="str">
        <f>INDEX(Tableau5[Att2],MATCH(Tableau3[[#This Row],[ID-SIG]],Tableau5[ID],0))&amp;""</f>
        <v/>
      </c>
      <c r="N1105" s="99" t="str">
        <f>INDEX(Tableau5[Att3],MATCH(Tableau3[[#This Row],[ID-SIG]],Tableau5[ID],0))&amp;""</f>
        <v/>
      </c>
      <c r="O1105" s="99"/>
      <c r="P1105" s="99" t="str">
        <f>INDEX(Tableau5[Description],MATCH(Tableau3[[#This Row],[ID-SIG]],Tableau5[ID],0))</f>
        <v>Commande 1 fermeture vantail 2</v>
      </c>
      <c r="Q1105" s="99"/>
      <c r="R1105" s="103" t="str">
        <f>Tableau3[[#This Row],[Description]]</f>
        <v>Commande 1 fermeture vantail 2</v>
      </c>
      <c r="S1105" s="52"/>
      <c r="U1105" s="87">
        <v>7</v>
      </c>
      <c r="V1105" s="87">
        <v>1</v>
      </c>
      <c r="W1105" s="87">
        <v>3</v>
      </c>
      <c r="X1105" s="87">
        <v>7</v>
      </c>
      <c r="Y1105" s="41"/>
      <c r="Z1105" s="165" t="str">
        <f>INDEX(Tableau2[TS],MATCH(Tableau3[[#This Row],[ID-CARTEVOIE]],Tableau2[ID-CARTEVOIE],0))</f>
        <v>ST</v>
      </c>
      <c r="AA1105" s="53" t="s">
        <v>213</v>
      </c>
      <c r="AB1105" s="223" t="str">
        <f>IFERROR(INDEX(Tableau5[Reserve],MATCH(Tableau3[[#This Row],[ID-SIG]],Tableau5[ID],0))&amp;"","")</f>
        <v/>
      </c>
      <c r="AC1105" s="21"/>
      <c r="AD1105" s="108" t="str">
        <f>INDEX(Tableau7[Repere],MATCH(Tableau3[[#This Row],[ID-API]],Tableau7[ID-API],0))&amp;""</f>
        <v>A7</v>
      </c>
      <c r="AE1105" s="108" t="str">
        <f>INDEX(Tableau1[Repere-Rack],MATCH(Tableau3[[#This Row],[ID-RACK]],Tableau1[ID-RACK],0))&amp;""</f>
        <v>R1</v>
      </c>
      <c r="AF1105" s="108" t="str">
        <f>INDEX(Tableau1[Repere-Slot],MATCH(Tableau3[[#This Row],[ID-SLOT]],Tableau1[ID-SLOT],0))&amp;""</f>
        <v>S3</v>
      </c>
      <c r="AG1105" s="108" t="str">
        <f>INDEX(Tableau2[Repere-Voie],MATCH(Tableau3[[#This Row],[ID-VOIE]],Tableau2[ID-Voie],0))&amp;""</f>
        <v>v7</v>
      </c>
      <c r="AH1105" s="72" t="str">
        <f>Tableau3[[#This Row],[ID-API]]&amp; "." &amp;Tableau3[[#This Row],[ID-RACK]]&amp; "." &amp;Tableau3[[#This Row],[ID-SLOT]]</f>
        <v>7.1.3</v>
      </c>
      <c r="AI1105" s="72" t="str">
        <f>INDEX(Tableau1[Ref-Carte],MATCH(Tableau3[[#This Row],[ID-RRS]],Tableau1[ID-RRS],0))</f>
        <v>SDO0802</v>
      </c>
      <c r="AJ1105" s="72" t="str">
        <f t="array" ref="AJ1105">IFERROR(INDEX(Tableau2[TS],MATCH(1,(Tableau2[Ref-Carte]=Tableau3[[#This Row],[Ref-Carte2]])*(Tableau2[ID-Voie]=Tableau3[[#This Row],[ID-VOIE]]),0)),"")</f>
        <v>ST</v>
      </c>
      <c r="AK1105" s="72" t="str">
        <f>IFERROR(INDEX(Tableau2[TS],SUMPRODUCT((Tableau2[Ref-Carte]=Tableau3[[#This Row],[Ref-Carte2]])*(Tableau2[ID-Voie]=Tableau3[[#This Row],[ID-VOIE]])*ROW(Tableau2[TS]))-ROW(Tableau2[#Headers])),"")</f>
        <v>ST</v>
      </c>
      <c r="AL1105" s="72" t="str">
        <f>Tableau3[[#This Row],[Ref-Carte2]]&amp;"/"&amp;Tableau3[[#This Row],[ID-VOIE]]</f>
        <v>SDO0802/7</v>
      </c>
      <c r="AM1105" s="73" t="str">
        <f>INDEX(Tableau2[Borne],MATCH(Tableau3[[#This Row],[ID-CARTEVOIE]],Tableau2[ID-CARTEVOIE],0))&amp;""</f>
        <v>7</v>
      </c>
      <c r="AN1105" s="74" t="str">
        <f>Tableau3[[#This Row],[ID-API]]&amp;Tableau3[[#This Row],[ID-RACK]]&amp;Tableau3[[#This Row],[ID-SLOT]]&amp;Tableau3[[#This Row],[BORNE]]</f>
        <v>7137</v>
      </c>
      <c r="AO1105" s="1"/>
    </row>
    <row r="1106" spans="1:41" ht="20.100000000000001" customHeight="1" thickTop="1" thickBot="1">
      <c r="A1106" s="68"/>
      <c r="B1106" s="69" t="str">
        <f>IFERROR(INDEX(Tableau4[Date],MATCH($A1106,Tableau4[EVO],0)),"")</f>
        <v/>
      </c>
      <c r="C1106" s="68" t="str">
        <f>IFERROR(INDEX(Tableau4[Designation],MATCH($A1106,Tableau4[EVO],0)),"")</f>
        <v/>
      </c>
      <c r="D1106" s="68"/>
      <c r="E1106" s="70">
        <v>7</v>
      </c>
      <c r="F1106" s="71">
        <v>244</v>
      </c>
      <c r="G1106" s="101" t="str">
        <f>INDEX(Tableau8[Att1],MATCH(Tableau3[[#This Row],[ID-INS]],Tableau8[ID],0))&amp;""</f>
        <v>V4</v>
      </c>
      <c r="H1106" s="101" t="str">
        <f>INDEX(Tableau8[Att2],MATCH(Tableau3[[#This Row],[ID-INS]],Tableau8[ID],0))&amp;""</f>
        <v>P7</v>
      </c>
      <c r="I1106" s="101" t="str">
        <f>INDEX(Tableau8[Att3],MATCH(Tableau3[[#This Row],[ID-INS]],Tableau8[ID],0))&amp;""</f>
        <v>Portail P7</v>
      </c>
      <c r="J1106" s="101"/>
      <c r="K1106" s="167" t="str">
        <f>INDEX(Tableau8[Nom du modele],MATCH(Tableau3[[#This Row],[ID-INS]],Tableau8[ID],0))&amp;""</f>
        <v>PortailBleuElec_1</v>
      </c>
      <c r="L1106" s="99" t="str">
        <f>INDEX(Tableau5[Att1],MATCH(Tableau3[[#This Row],[ID-SIG]],Tableau5[ID],0))&amp;""</f>
        <v>V_FerCmd2</v>
      </c>
      <c r="M1106" s="99" t="str">
        <f>INDEX(Tableau5[Att2],MATCH(Tableau3[[#This Row],[ID-SIG]],Tableau5[ID],0))&amp;""</f>
        <v/>
      </c>
      <c r="N1106" s="99" t="str">
        <f>INDEX(Tableau5[Att3],MATCH(Tableau3[[#This Row],[ID-SIG]],Tableau5[ID],0))&amp;""</f>
        <v/>
      </c>
      <c r="O1106" s="99"/>
      <c r="P1106" s="99" t="str">
        <f>INDEX(Tableau5[Description],MATCH(Tableau3[[#This Row],[ID-SIG]],Tableau5[ID],0))</f>
        <v>Commande 2 fermeture</v>
      </c>
      <c r="Q1106" s="99"/>
      <c r="R1106" s="103" t="str">
        <f>Tableau3[[#This Row],[Description]]</f>
        <v>Commande 2 fermeture</v>
      </c>
      <c r="S1106" s="52"/>
      <c r="U1106" s="87">
        <v>7</v>
      </c>
      <c r="V1106" s="87">
        <v>1</v>
      </c>
      <c r="W1106" s="87">
        <v>4</v>
      </c>
      <c r="X1106" s="87">
        <v>0</v>
      </c>
      <c r="Y1106" s="41"/>
      <c r="Z1106" s="165" t="str">
        <f>INDEX(Tableau2[TS],MATCH(Tableau3[[#This Row],[ID-CARTEVOIE]],Tableau2[ID-CARTEVOIE],0))</f>
        <v>ST</v>
      </c>
      <c r="AA1106" s="53" t="s">
        <v>213</v>
      </c>
      <c r="AB1106" s="223" t="str">
        <f>IFERROR(INDEX(Tableau5[Reserve],MATCH(Tableau3[[#This Row],[ID-SIG]],Tableau5[ID],0))&amp;"","")</f>
        <v/>
      </c>
      <c r="AC1106" s="21"/>
      <c r="AD1106" s="108" t="str">
        <f>INDEX(Tableau7[Repere],MATCH(Tableau3[[#This Row],[ID-API]],Tableau7[ID-API],0))&amp;""</f>
        <v>A7</v>
      </c>
      <c r="AE1106" s="108" t="str">
        <f>INDEX(Tableau1[Repere-Rack],MATCH(Tableau3[[#This Row],[ID-RACK]],Tableau1[ID-RACK],0))&amp;""</f>
        <v>R1</v>
      </c>
      <c r="AF1106" s="108" t="str">
        <f>INDEX(Tableau1[Repere-Slot],MATCH(Tableau3[[#This Row],[ID-SLOT]],Tableau1[ID-SLOT],0))&amp;""</f>
        <v>S4</v>
      </c>
      <c r="AG1106" s="108" t="str">
        <f>INDEX(Tableau2[Repere-Voie],MATCH(Tableau3[[#This Row],[ID-VOIE]],Tableau2[ID-Voie],0))&amp;""</f>
        <v>v0</v>
      </c>
      <c r="AH1106" s="72" t="str">
        <f>Tableau3[[#This Row],[ID-API]]&amp; "." &amp;Tableau3[[#This Row],[ID-RACK]]&amp; "." &amp;Tableau3[[#This Row],[ID-SLOT]]</f>
        <v>7.1.4</v>
      </c>
      <c r="AI1106" s="72" t="str">
        <f>INDEX(Tableau1[Ref-Carte],MATCH(Tableau3[[#This Row],[ID-RRS]],Tableau1[ID-RRS],0))</f>
        <v>SDO0802</v>
      </c>
      <c r="AJ1106" s="72" t="str">
        <f t="array" ref="AJ1106">IFERROR(INDEX(Tableau2[TS],MATCH(1,(Tableau2[Ref-Carte]=Tableau3[[#This Row],[Ref-Carte2]])*(Tableau2[ID-Voie]=Tableau3[[#This Row],[ID-VOIE]]),0)),"")</f>
        <v>ST</v>
      </c>
      <c r="AK1106" s="72" t="str">
        <f>IFERROR(INDEX(Tableau2[TS],SUMPRODUCT((Tableau2[Ref-Carte]=Tableau3[[#This Row],[Ref-Carte2]])*(Tableau2[ID-Voie]=Tableau3[[#This Row],[ID-VOIE]])*ROW(Tableau2[TS]))-ROW(Tableau2[#Headers])),"")</f>
        <v>ST</v>
      </c>
      <c r="AL1106" s="72" t="str">
        <f>Tableau3[[#This Row],[Ref-Carte2]]&amp;"/"&amp;Tableau3[[#This Row],[ID-VOIE]]</f>
        <v>SDO0802/0</v>
      </c>
      <c r="AM1106" s="73" t="str">
        <f>INDEX(Tableau2[Borne],MATCH(Tableau3[[#This Row],[ID-CARTEVOIE]],Tableau2[ID-CARTEVOIE],0))&amp;""</f>
        <v>0</v>
      </c>
      <c r="AN1106" s="74" t="str">
        <f>Tableau3[[#This Row],[ID-API]]&amp;Tableau3[[#This Row],[ID-RACK]]&amp;Tableau3[[#This Row],[ID-SLOT]]&amp;Tableau3[[#This Row],[BORNE]]</f>
        <v>7140</v>
      </c>
      <c r="AO1106" s="1"/>
    </row>
    <row r="1107" spans="1:41" ht="20.100000000000001" customHeight="1" thickTop="1" thickBot="1">
      <c r="A1107" s="68"/>
      <c r="B1107" s="69" t="str">
        <f>IFERROR(INDEX(Tableau4[Date],MATCH($A1107,Tableau4[EVO],0)),"")</f>
        <v/>
      </c>
      <c r="C1107" s="68" t="str">
        <f>IFERROR(INDEX(Tableau4[Designation],MATCH($A1107,Tableau4[EVO],0)),"")</f>
        <v/>
      </c>
      <c r="D1107" s="68"/>
      <c r="E1107" s="70">
        <v>7</v>
      </c>
      <c r="F1107" s="71">
        <v>245</v>
      </c>
      <c r="G1107" s="101" t="str">
        <f>INDEX(Tableau8[Att1],MATCH(Tableau3[[#This Row],[ID-INS]],Tableau8[ID],0))&amp;""</f>
        <v>V4</v>
      </c>
      <c r="H1107" s="153" t="s">
        <v>277</v>
      </c>
      <c r="I1107" s="101" t="str">
        <f>INDEX(Tableau8[Att3],MATCH(Tableau3[[#This Row],[ID-INS]],Tableau8[ID],0))&amp;""</f>
        <v>Portail P7</v>
      </c>
      <c r="J1107" s="101"/>
      <c r="K1107" s="167" t="str">
        <f>INDEX(Tableau8[Nom du modele],MATCH(Tableau3[[#This Row],[ID-INS]],Tableau8[ID],0))&amp;""</f>
        <v>PortailBleuElec_1</v>
      </c>
      <c r="L1107" s="155" t="s">
        <v>1778</v>
      </c>
      <c r="M1107" s="99" t="str">
        <f>INDEX(Tableau5[Att2],MATCH(Tableau3[[#This Row],[ID-SIG]],Tableau5[ID],0))&amp;""</f>
        <v/>
      </c>
      <c r="N1107" s="99" t="str">
        <f>INDEX(Tableau5[Att3],MATCH(Tableau3[[#This Row],[ID-SIG]],Tableau5[ID],0))&amp;""</f>
        <v/>
      </c>
      <c r="O1107" s="99"/>
      <c r="P1107" s="155" t="s">
        <v>1779</v>
      </c>
      <c r="Q1107" s="99"/>
      <c r="R1107" s="103" t="str">
        <f>Tableau3[[#This Row],[Description]]</f>
        <v>Portail P12 - Commande de maintien par ventouse</v>
      </c>
      <c r="S1107" s="52"/>
      <c r="U1107" s="87">
        <v>7</v>
      </c>
      <c r="V1107" s="87">
        <v>1</v>
      </c>
      <c r="W1107" s="87">
        <v>4</v>
      </c>
      <c r="X1107" s="87">
        <v>1</v>
      </c>
      <c r="Y1107" s="41"/>
      <c r="Z1107" s="165" t="str">
        <f>INDEX(Tableau2[TS],MATCH(Tableau3[[#This Row],[ID-CARTEVOIE]],Tableau2[ID-CARTEVOIE],0))</f>
        <v>ST</v>
      </c>
      <c r="AA1107" s="53" t="s">
        <v>213</v>
      </c>
      <c r="AB1107" s="223" t="str">
        <f>IFERROR(INDEX(Tableau5[Reserve],MATCH(Tableau3[[#This Row],[ID-SIG]],Tableau5[ID],0))&amp;"","")</f>
        <v/>
      </c>
      <c r="AC1107" s="21"/>
      <c r="AD1107" s="108" t="str">
        <f>INDEX(Tableau7[Repere],MATCH(Tableau3[[#This Row],[ID-API]],Tableau7[ID-API],0))&amp;""</f>
        <v>A7</v>
      </c>
      <c r="AE1107" s="108" t="str">
        <f>INDEX(Tableau1[Repere-Rack],MATCH(Tableau3[[#This Row],[ID-RACK]],Tableau1[ID-RACK],0))&amp;""</f>
        <v>R1</v>
      </c>
      <c r="AF1107" s="108" t="str">
        <f>INDEX(Tableau1[Repere-Slot],MATCH(Tableau3[[#This Row],[ID-SLOT]],Tableau1[ID-SLOT],0))&amp;""</f>
        <v>S4</v>
      </c>
      <c r="AG1107" s="108" t="str">
        <f>INDEX(Tableau2[Repere-Voie],MATCH(Tableau3[[#This Row],[ID-VOIE]],Tableau2[ID-Voie],0))&amp;""</f>
        <v>v1</v>
      </c>
      <c r="AH1107" s="72" t="str">
        <f>Tableau3[[#This Row],[ID-API]]&amp; "." &amp;Tableau3[[#This Row],[ID-RACK]]&amp; "." &amp;Tableau3[[#This Row],[ID-SLOT]]</f>
        <v>7.1.4</v>
      </c>
      <c r="AI1107" s="72" t="str">
        <f>INDEX(Tableau1[Ref-Carte],MATCH(Tableau3[[#This Row],[ID-RRS]],Tableau1[ID-RRS],0))</f>
        <v>SDO0802</v>
      </c>
      <c r="AJ1107" s="72" t="str">
        <f t="array" ref="AJ1107">IFERROR(INDEX(Tableau2[TS],MATCH(1,(Tableau2[Ref-Carte]=Tableau3[[#This Row],[Ref-Carte2]])*(Tableau2[ID-Voie]=Tableau3[[#This Row],[ID-VOIE]]),0)),"")</f>
        <v>ST</v>
      </c>
      <c r="AK1107" s="72" t="str">
        <f>IFERROR(INDEX(Tableau2[TS],SUMPRODUCT((Tableau2[Ref-Carte]=Tableau3[[#This Row],[Ref-Carte2]])*(Tableau2[ID-Voie]=Tableau3[[#This Row],[ID-VOIE]])*ROW(Tableau2[TS]))-ROW(Tableau2[#Headers])),"")</f>
        <v>ST</v>
      </c>
      <c r="AL1107" s="72" t="str">
        <f>Tableau3[[#This Row],[Ref-Carte2]]&amp;"/"&amp;Tableau3[[#This Row],[ID-VOIE]]</f>
        <v>SDO0802/1</v>
      </c>
      <c r="AM1107" s="73" t="str">
        <f>INDEX(Tableau2[Borne],MATCH(Tableau3[[#This Row],[ID-CARTEVOIE]],Tableau2[ID-CARTEVOIE],0))&amp;""</f>
        <v>1</v>
      </c>
      <c r="AN1107" s="74" t="str">
        <f>Tableau3[[#This Row],[ID-API]]&amp;Tableau3[[#This Row],[ID-RACK]]&amp;Tableau3[[#This Row],[ID-SLOT]]&amp;Tableau3[[#This Row],[BORNE]]</f>
        <v>7141</v>
      </c>
      <c r="AO1107" s="1"/>
    </row>
    <row r="1108" spans="1:41" ht="20.100000000000001" customHeight="1" thickTop="1" thickBot="1">
      <c r="A1108" s="68"/>
      <c r="B1108" s="69" t="str">
        <f>IFERROR(INDEX(Tableau4[Date],MATCH($A1108,Tableau4[EVO],0)),"")</f>
        <v/>
      </c>
      <c r="C1108" s="68" t="str">
        <f>IFERROR(INDEX(Tableau4[Designation],MATCH($A1108,Tableau4[EVO],0)),"")</f>
        <v/>
      </c>
      <c r="D1108" s="68"/>
      <c r="E1108" s="70">
        <v>9</v>
      </c>
      <c r="F1108" s="71">
        <v>294</v>
      </c>
      <c r="G1108" s="101" t="str">
        <f>INDEX(Tableau8[Att1],MATCH(Tableau3[[#This Row],[ID-INS]],Tableau8[ID],0))&amp;""</f>
        <v>GR</v>
      </c>
      <c r="H1108" s="101" t="str">
        <f>INDEX(Tableau8[Att2],MATCH(Tableau3[[#This Row],[ID-INS]],Tableau8[ID],0))&amp;""</f>
        <v>P9</v>
      </c>
      <c r="I1108" s="101" t="str">
        <f>INDEX(Tableau8[Att3],MATCH(Tableau3[[#This Row],[ID-INS]],Tableau8[ID],0))&amp;""</f>
        <v>Portail P9</v>
      </c>
      <c r="J1108" s="101"/>
      <c r="K1108" s="167" t="str">
        <f>INDEX(Tableau8[Nom du modele],MATCH(Tableau3[[#This Row],[ID-INS]],Tableau8[ID],0))&amp;""</f>
        <v>PortailGareR</v>
      </c>
      <c r="L1108" s="99" t="str">
        <f>INDEX(Tableau5[Att1],MATCH(Tableau3[[#This Row],[ID-SIG]],Tableau5[ID],0))&amp;""</f>
        <v>OuvCmd</v>
      </c>
      <c r="M1108" s="99" t="str">
        <f>INDEX(Tableau5[Att2],MATCH(Tableau3[[#This Row],[ID-SIG]],Tableau5[ID],0))&amp;""</f>
        <v/>
      </c>
      <c r="N1108" s="99" t="str">
        <f>INDEX(Tableau5[Att3],MATCH(Tableau3[[#This Row],[ID-SIG]],Tableau5[ID],0))&amp;""</f>
        <v/>
      </c>
      <c r="O1108" s="99"/>
      <c r="P1108" s="99" t="str">
        <f>INDEX(Tableau5[Description],MATCH(Tableau3[[#This Row],[ID-SIG]],Tableau5[ID],0))</f>
        <v>Ouverture portail</v>
      </c>
      <c r="Q1108" s="99"/>
      <c r="R1108" s="103" t="str">
        <f>Tableau3[[#This Row],[Description]]</f>
        <v>Ouverture portail</v>
      </c>
      <c r="S1108" s="52"/>
      <c r="U1108" s="87">
        <v>7</v>
      </c>
      <c r="V1108" s="87">
        <v>1</v>
      </c>
      <c r="W1108" s="87">
        <v>4</v>
      </c>
      <c r="X1108" s="87">
        <v>2</v>
      </c>
      <c r="Y1108" s="41"/>
      <c r="Z1108" s="165" t="str">
        <f>INDEX(Tableau2[TS],MATCH(Tableau3[[#This Row],[ID-CARTEVOIE]],Tableau2[ID-CARTEVOIE],0))</f>
        <v>ST</v>
      </c>
      <c r="AA1108" s="53" t="s">
        <v>213</v>
      </c>
      <c r="AB1108" s="223" t="str">
        <f>IFERROR(INDEX(Tableau5[Reserve],MATCH(Tableau3[[#This Row],[ID-SIG]],Tableau5[ID],0))&amp;"","")</f>
        <v/>
      </c>
      <c r="AC1108" s="21"/>
      <c r="AD1108" s="108" t="str">
        <f>INDEX(Tableau7[Repere],MATCH(Tableau3[[#This Row],[ID-API]],Tableau7[ID-API],0))&amp;""</f>
        <v>A7</v>
      </c>
      <c r="AE1108" s="108" t="str">
        <f>INDEX(Tableau1[Repere-Rack],MATCH(Tableau3[[#This Row],[ID-RACK]],Tableau1[ID-RACK],0))&amp;""</f>
        <v>R1</v>
      </c>
      <c r="AF1108" s="108" t="str">
        <f>INDEX(Tableau1[Repere-Slot],MATCH(Tableau3[[#This Row],[ID-SLOT]],Tableau1[ID-SLOT],0))&amp;""</f>
        <v>S4</v>
      </c>
      <c r="AG1108" s="108" t="str">
        <f>INDEX(Tableau2[Repere-Voie],MATCH(Tableau3[[#This Row],[ID-VOIE]],Tableau2[ID-Voie],0))&amp;""</f>
        <v>v2</v>
      </c>
      <c r="AH1108" s="72" t="str">
        <f>Tableau3[[#This Row],[ID-API]]&amp; "." &amp;Tableau3[[#This Row],[ID-RACK]]&amp; "." &amp;Tableau3[[#This Row],[ID-SLOT]]</f>
        <v>7.1.4</v>
      </c>
      <c r="AI1108" s="72" t="str">
        <f>INDEX(Tableau1[Ref-Carte],MATCH(Tableau3[[#This Row],[ID-RRS]],Tableau1[ID-RRS],0))</f>
        <v>SDO0802</v>
      </c>
      <c r="AJ1108" s="72" t="str">
        <f t="array" ref="AJ1108">IFERROR(INDEX(Tableau2[TS],MATCH(1,(Tableau2[Ref-Carte]=Tableau3[[#This Row],[Ref-Carte2]])*(Tableau2[ID-Voie]=Tableau3[[#This Row],[ID-VOIE]]),0)),"")</f>
        <v>ST</v>
      </c>
      <c r="AK1108" s="72" t="str">
        <f>IFERROR(INDEX(Tableau2[TS],SUMPRODUCT((Tableau2[Ref-Carte]=Tableau3[[#This Row],[Ref-Carte2]])*(Tableau2[ID-Voie]=Tableau3[[#This Row],[ID-VOIE]])*ROW(Tableau2[TS]))-ROW(Tableau2[#Headers])),"")</f>
        <v>ST</v>
      </c>
      <c r="AL1108" s="72" t="str">
        <f>Tableau3[[#This Row],[Ref-Carte2]]&amp;"/"&amp;Tableau3[[#This Row],[ID-VOIE]]</f>
        <v>SDO0802/2</v>
      </c>
      <c r="AM1108" s="73" t="str">
        <f>INDEX(Tableau2[Borne],MATCH(Tableau3[[#This Row],[ID-CARTEVOIE]],Tableau2[ID-CARTEVOIE],0))&amp;""</f>
        <v>2</v>
      </c>
      <c r="AN1108" s="74" t="str">
        <f>Tableau3[[#This Row],[ID-API]]&amp;Tableau3[[#This Row],[ID-RACK]]&amp;Tableau3[[#This Row],[ID-SLOT]]&amp;Tableau3[[#This Row],[BORNE]]</f>
        <v>7142</v>
      </c>
      <c r="AO1108" s="1"/>
    </row>
    <row r="1109" spans="1:41" ht="20.100000000000001" customHeight="1" thickTop="1" thickBot="1">
      <c r="A1109" s="68"/>
      <c r="B1109" s="69" t="str">
        <f>IFERROR(INDEX(Tableau4[Date],MATCH($A1109,Tableau4[EVO],0)),"")</f>
        <v/>
      </c>
      <c r="C1109" s="68" t="str">
        <f>IFERROR(INDEX(Tableau4[Designation],MATCH($A1109,Tableau4[EVO],0)),"")</f>
        <v/>
      </c>
      <c r="D1109" s="68"/>
      <c r="E1109" s="70">
        <v>9</v>
      </c>
      <c r="F1109" s="71">
        <v>295</v>
      </c>
      <c r="G1109" s="101" t="str">
        <f>INDEX(Tableau8[Att1],MATCH(Tableau3[[#This Row],[ID-INS]],Tableau8[ID],0))&amp;""</f>
        <v>GR</v>
      </c>
      <c r="H1109" s="101" t="str">
        <f>INDEX(Tableau8[Att2],MATCH(Tableau3[[#This Row],[ID-INS]],Tableau8[ID],0))&amp;""</f>
        <v>P9</v>
      </c>
      <c r="I1109" s="101" t="str">
        <f>INDEX(Tableau8[Att3],MATCH(Tableau3[[#This Row],[ID-INS]],Tableau8[ID],0))&amp;""</f>
        <v>Portail P9</v>
      </c>
      <c r="J1109" s="101"/>
      <c r="K1109" s="167" t="str">
        <f>INDEX(Tableau8[Nom du modele],MATCH(Tableau3[[#This Row],[ID-INS]],Tableau8[ID],0))&amp;""</f>
        <v>PortailGareR</v>
      </c>
      <c r="L1109" s="99" t="str">
        <f>INDEX(Tableau5[Att1],MATCH(Tableau3[[#This Row],[ID-SIG]],Tableau5[ID],0))&amp;""</f>
        <v>FerCmd</v>
      </c>
      <c r="M1109" s="99" t="str">
        <f>INDEX(Tableau5[Att2],MATCH(Tableau3[[#This Row],[ID-SIG]],Tableau5[ID],0))&amp;""</f>
        <v/>
      </c>
      <c r="N1109" s="99" t="str">
        <f>INDEX(Tableau5[Att3],MATCH(Tableau3[[#This Row],[ID-SIG]],Tableau5[ID],0))&amp;""</f>
        <v/>
      </c>
      <c r="O1109" s="99"/>
      <c r="P1109" s="99" t="str">
        <f>INDEX(Tableau5[Description],MATCH(Tableau3[[#This Row],[ID-SIG]],Tableau5[ID],0))</f>
        <v>Fermeture portail</v>
      </c>
      <c r="Q1109" s="99"/>
      <c r="R1109" s="103" t="str">
        <f>Tableau3[[#This Row],[Description]]</f>
        <v>Fermeture portail</v>
      </c>
      <c r="S1109" s="52"/>
      <c r="U1109" s="87">
        <v>7</v>
      </c>
      <c r="V1109" s="87">
        <v>1</v>
      </c>
      <c r="W1109" s="87">
        <v>4</v>
      </c>
      <c r="X1109" s="87">
        <v>3</v>
      </c>
      <c r="Y1109" s="41"/>
      <c r="Z1109" s="165" t="str">
        <f>INDEX(Tableau2[TS],MATCH(Tableau3[[#This Row],[ID-CARTEVOIE]],Tableau2[ID-CARTEVOIE],0))</f>
        <v>ST</v>
      </c>
      <c r="AA1109" s="53" t="s">
        <v>213</v>
      </c>
      <c r="AB1109" s="223" t="str">
        <f>IFERROR(INDEX(Tableau5[Reserve],MATCH(Tableau3[[#This Row],[ID-SIG]],Tableau5[ID],0))&amp;"","")</f>
        <v/>
      </c>
      <c r="AC1109" s="21"/>
      <c r="AD1109" s="108" t="str">
        <f>INDEX(Tableau7[Repere],MATCH(Tableau3[[#This Row],[ID-API]],Tableau7[ID-API],0))&amp;""</f>
        <v>A7</v>
      </c>
      <c r="AE1109" s="108" t="str">
        <f>INDEX(Tableau1[Repere-Rack],MATCH(Tableau3[[#This Row],[ID-RACK]],Tableau1[ID-RACK],0))&amp;""</f>
        <v>R1</v>
      </c>
      <c r="AF1109" s="108" t="str">
        <f>INDEX(Tableau1[Repere-Slot],MATCH(Tableau3[[#This Row],[ID-SLOT]],Tableau1[ID-SLOT],0))&amp;""</f>
        <v>S4</v>
      </c>
      <c r="AG1109" s="108" t="str">
        <f>INDEX(Tableau2[Repere-Voie],MATCH(Tableau3[[#This Row],[ID-VOIE]],Tableau2[ID-Voie],0))&amp;""</f>
        <v>v3</v>
      </c>
      <c r="AH1109" s="72" t="str">
        <f>Tableau3[[#This Row],[ID-API]]&amp; "." &amp;Tableau3[[#This Row],[ID-RACK]]&amp; "." &amp;Tableau3[[#This Row],[ID-SLOT]]</f>
        <v>7.1.4</v>
      </c>
      <c r="AI1109" s="72" t="str">
        <f>INDEX(Tableau1[Ref-Carte],MATCH(Tableau3[[#This Row],[ID-RRS]],Tableau1[ID-RRS],0))</f>
        <v>SDO0802</v>
      </c>
      <c r="AJ1109" s="72" t="str">
        <f t="array" ref="AJ1109">IFERROR(INDEX(Tableau2[TS],MATCH(1,(Tableau2[Ref-Carte]=Tableau3[[#This Row],[Ref-Carte2]])*(Tableau2[ID-Voie]=Tableau3[[#This Row],[ID-VOIE]]),0)),"")</f>
        <v>ST</v>
      </c>
      <c r="AK1109" s="72" t="str">
        <f>IFERROR(INDEX(Tableau2[TS],SUMPRODUCT((Tableau2[Ref-Carte]=Tableau3[[#This Row],[Ref-Carte2]])*(Tableau2[ID-Voie]=Tableau3[[#This Row],[ID-VOIE]])*ROW(Tableau2[TS]))-ROW(Tableau2[#Headers])),"")</f>
        <v>ST</v>
      </c>
      <c r="AL1109" s="72" t="str">
        <f>Tableau3[[#This Row],[Ref-Carte2]]&amp;"/"&amp;Tableau3[[#This Row],[ID-VOIE]]</f>
        <v>SDO0802/3</v>
      </c>
      <c r="AM1109" s="73" t="str">
        <f>INDEX(Tableau2[Borne],MATCH(Tableau3[[#This Row],[ID-CARTEVOIE]],Tableau2[ID-CARTEVOIE],0))&amp;""</f>
        <v>3</v>
      </c>
      <c r="AN1109" s="74" t="str">
        <f>Tableau3[[#This Row],[ID-API]]&amp;Tableau3[[#This Row],[ID-RACK]]&amp;Tableau3[[#This Row],[ID-SLOT]]&amp;Tableau3[[#This Row],[BORNE]]</f>
        <v>7143</v>
      </c>
      <c r="AO1109" s="1"/>
    </row>
    <row r="1110" spans="1:41" ht="20.100000000000001" customHeight="1" thickTop="1" thickBot="1">
      <c r="A1110" s="75"/>
      <c r="B1110" s="76" t="str">
        <f>IFERROR(INDEX(Tableau4[Date],MATCH($A1110,Tableau4[EVO],0)),"")</f>
        <v/>
      </c>
      <c r="C1110" s="75" t="str">
        <f>IFERROR(INDEX(Tableau4[Designation],MATCH($A1110,Tableau4[EVO],0)),"")</f>
        <v/>
      </c>
      <c r="D1110" s="75"/>
      <c r="E1110" s="79">
        <v>9</v>
      </c>
      <c r="F1110" s="80">
        <v>296</v>
      </c>
      <c r="G1110" s="102" t="str">
        <f>INDEX(Tableau8[Att1],MATCH(Tableau3[[#This Row],[ID-INS]],Tableau8[ID],0))&amp;""</f>
        <v>GR</v>
      </c>
      <c r="H1110" s="102" t="str">
        <f>INDEX(Tableau8[Att2],MATCH(Tableau3[[#This Row],[ID-INS]],Tableau8[ID],0))&amp;""</f>
        <v>P9</v>
      </c>
      <c r="I1110" s="102" t="str">
        <f>INDEX(Tableau8[Att3],MATCH(Tableau3[[#This Row],[ID-INS]],Tableau8[ID],0))&amp;""</f>
        <v>Portail P9</v>
      </c>
      <c r="J1110" s="102"/>
      <c r="K1110" s="167" t="str">
        <f>INDEX(Tableau8[Nom du modele],MATCH(Tableau3[[#This Row],[ID-INS]],Tableau8[ID],0))&amp;""</f>
        <v>PortailGareR</v>
      </c>
      <c r="L1110" s="100" t="str">
        <f>INDEX(Tableau5[Att1],MATCH(Tableau3[[#This Row],[ID-SIG]],Tableau5[ID],0))&amp;""</f>
        <v>StopCmd</v>
      </c>
      <c r="M1110" s="100" t="str">
        <f>INDEX(Tableau5[Att2],MATCH(Tableau3[[#This Row],[ID-SIG]],Tableau5[ID],0))&amp;""</f>
        <v/>
      </c>
      <c r="N1110" s="100" t="str">
        <f>INDEX(Tableau5[Att3],MATCH(Tableau3[[#This Row],[ID-SIG]],Tableau5[ID],0))&amp;""</f>
        <v/>
      </c>
      <c r="O1110" s="100"/>
      <c r="P1110" s="100" t="str">
        <f>INDEX(Tableau5[Description],MATCH(Tableau3[[#This Row],[ID-SIG]],Tableau5[ID],0))</f>
        <v xml:space="preserve">Commande Stop </v>
      </c>
      <c r="Q1110" s="100"/>
      <c r="R1110" s="104" t="str">
        <f>Tableau3[[#This Row],[Description]]</f>
        <v xml:space="preserve">Commande Stop </v>
      </c>
      <c r="S1110" s="52"/>
      <c r="U1110" s="88">
        <v>7</v>
      </c>
      <c r="V1110" s="88">
        <v>1</v>
      </c>
      <c r="W1110" s="88">
        <v>4</v>
      </c>
      <c r="X1110" s="88">
        <v>4</v>
      </c>
      <c r="Y1110" s="41"/>
      <c r="Z1110" s="166" t="str">
        <f>INDEX(Tableau2[TS],MATCH(Tableau3[[#This Row],[ID-CARTEVOIE]],Tableau2[ID-CARTEVOIE],0))</f>
        <v>ST</v>
      </c>
      <c r="AA1110" s="81" t="s">
        <v>213</v>
      </c>
      <c r="AB1110" s="226" t="str">
        <f>IFERROR(INDEX(Tableau5[Reserve],MATCH(Tableau3[[#This Row],[ID-SIG]],Tableau5[ID],0))&amp;"","")</f>
        <v/>
      </c>
      <c r="AC1110" s="21"/>
      <c r="AD1110" s="108" t="str">
        <f>INDEX(Tableau7[Repere],MATCH(Tableau3[[#This Row],[ID-API]],Tableau7[ID-API],0))&amp;""</f>
        <v>A7</v>
      </c>
      <c r="AE1110" s="109" t="str">
        <f>INDEX(Tableau1[Repere-Rack],MATCH(Tableau3[[#This Row],[ID-RACK]],Tableau1[ID-RACK],0))&amp;""</f>
        <v>R1</v>
      </c>
      <c r="AF1110" s="109" t="str">
        <f>INDEX(Tableau1[Repere-Slot],MATCH(Tableau3[[#This Row],[ID-SLOT]],Tableau1[ID-SLOT],0))&amp;""</f>
        <v>S4</v>
      </c>
      <c r="AG1110" s="109" t="str">
        <f>INDEX(Tableau2[Repere-Voie],MATCH(Tableau3[[#This Row],[ID-VOIE]],Tableau2[ID-Voie],0))&amp;""</f>
        <v>v4</v>
      </c>
      <c r="AH1110" s="72" t="str">
        <f>Tableau3[[#This Row],[ID-API]]&amp; "." &amp;Tableau3[[#This Row],[ID-RACK]]&amp; "." &amp;Tableau3[[#This Row],[ID-SLOT]]</f>
        <v>7.1.4</v>
      </c>
      <c r="AI1110" s="72" t="str">
        <f>INDEX(Tableau1[Ref-Carte],MATCH(Tableau3[[#This Row],[ID-RRS]],Tableau1[ID-RRS],0))</f>
        <v>SDO0802</v>
      </c>
      <c r="AJ1110" s="72" t="str">
        <f t="array" ref="AJ1110">IFERROR(INDEX(Tableau2[TS],MATCH(1,(Tableau2[Ref-Carte]=Tableau3[[#This Row],[Ref-Carte2]])*(Tableau2[ID-Voie]=Tableau3[[#This Row],[ID-VOIE]]),0)),"")</f>
        <v>ST</v>
      </c>
      <c r="AK1110" s="72" t="str">
        <f>IFERROR(INDEX(Tableau2[TS],SUMPRODUCT((Tableau2[Ref-Carte]=Tableau3[[#This Row],[Ref-Carte2]])*(Tableau2[ID-Voie]=Tableau3[[#This Row],[ID-VOIE]])*ROW(Tableau2[TS]))-ROW(Tableau2[#Headers])),"")</f>
        <v>ST</v>
      </c>
      <c r="AL1110" s="72" t="str">
        <f>Tableau3[[#This Row],[Ref-Carte2]]&amp;"/"&amp;Tableau3[[#This Row],[ID-VOIE]]</f>
        <v>SDO0802/4</v>
      </c>
      <c r="AM1110" s="77" t="str">
        <f>INDEX(Tableau2[Borne],MATCH(Tableau3[[#This Row],[ID-CARTEVOIE]],Tableau2[ID-CARTEVOIE],0))&amp;""</f>
        <v>4</v>
      </c>
      <c r="AN1110" s="74" t="str">
        <f>Tableau3[[#This Row],[ID-API]]&amp;Tableau3[[#This Row],[ID-RACK]]&amp;Tableau3[[#This Row],[ID-SLOT]]&amp;Tableau3[[#This Row],[BORNE]]</f>
        <v>7144</v>
      </c>
      <c r="AO1110" s="1"/>
    </row>
    <row r="1111" spans="1:41" ht="20.100000000000001" customHeight="1" thickTop="1" thickBot="1">
      <c r="A1111" s="68"/>
      <c r="B1111" s="69" t="str">
        <f>IFERROR(INDEX(Tableau4[Date],MATCH($A1111,Tableau4[EVO],0)),"")</f>
        <v/>
      </c>
      <c r="C1111" s="68" t="str">
        <f>IFERROR(INDEX(Tableau4[Designation],MATCH($A1111,Tableau4[EVO],0)),"")</f>
        <v/>
      </c>
      <c r="D1111" s="68"/>
      <c r="E1111" s="70">
        <v>12</v>
      </c>
      <c r="F1111" s="71">
        <v>107</v>
      </c>
      <c r="G1111" s="101" t="str">
        <f>INDEX(Tableau8[Att1],MATCH(Tableau3[[#This Row],[ID-INS]],Tableau8[ID],0))&amp;""</f>
        <v>GR</v>
      </c>
      <c r="H1111" s="101" t="str">
        <f>INDEX(Tableau8[Att2],MATCH(Tableau3[[#This Row],[ID-INS]],Tableau8[ID],0))&amp;""</f>
        <v>P12</v>
      </c>
      <c r="I1111" s="101" t="str">
        <f>INDEX(Tableau8[Att3],MATCH(Tableau3[[#This Row],[ID-INS]],Tableau8[ID],0))&amp;""</f>
        <v>Portail P12</v>
      </c>
      <c r="J1111" s="101"/>
      <c r="K1111" s="167" t="str">
        <f>INDEX(Tableau8[Nom du modele],MATCH(Tableau3[[#This Row],[ID-INS]],Tableau8[ID],0))&amp;""</f>
        <v>Portillon</v>
      </c>
      <c r="L1111" s="99" t="str">
        <f>INDEX(Tableau5[Att1],MATCH(Tableau3[[#This Row],[ID-SIG]],Tableau5[ID],0))&amp;""</f>
        <v>CmdOuv</v>
      </c>
      <c r="M1111" s="99" t="str">
        <f>INDEX(Tableau5[Att2],MATCH(Tableau3[[#This Row],[ID-SIG]],Tableau5[ID],0))&amp;""</f>
        <v/>
      </c>
      <c r="N1111" s="99" t="str">
        <f>INDEX(Tableau5[Att3],MATCH(Tableau3[[#This Row],[ID-SIG]],Tableau5[ID],0))&amp;""</f>
        <v/>
      </c>
      <c r="O1111" s="99"/>
      <c r="P1111" s="99" t="str">
        <f>INDEX(Tableau5[Description],MATCH(Tableau3[[#This Row],[ID-SIG]],Tableau5[ID],0))</f>
        <v>Commande d'ouverture</v>
      </c>
      <c r="Q1111" s="99"/>
      <c r="R1111" s="103" t="str">
        <f>Tableau3[[#This Row],[Description]]</f>
        <v>Commande d'ouverture</v>
      </c>
      <c r="S1111" s="52"/>
      <c r="U1111" s="87">
        <v>7</v>
      </c>
      <c r="V1111" s="87">
        <v>1</v>
      </c>
      <c r="W1111" s="87">
        <v>4</v>
      </c>
      <c r="X1111" s="87">
        <v>5</v>
      </c>
      <c r="Y1111" s="41"/>
      <c r="Z1111" s="165" t="str">
        <f>INDEX(Tableau2[TS],MATCH(Tableau3[[#This Row],[ID-CARTEVOIE]],Tableau2[ID-CARTEVOIE],0))</f>
        <v>ST</v>
      </c>
      <c r="AA1111" s="53" t="s">
        <v>213</v>
      </c>
      <c r="AB1111" s="223" t="str">
        <f>IFERROR(INDEX(Tableau5[Reserve],MATCH(Tableau3[[#This Row],[ID-SIG]],Tableau5[ID],0))&amp;"","")</f>
        <v/>
      </c>
      <c r="AC1111" s="21"/>
      <c r="AD1111" s="108" t="str">
        <f>INDEX(Tableau7[Repere],MATCH(Tableau3[[#This Row],[ID-API]],Tableau7[ID-API],0))&amp;""</f>
        <v>A7</v>
      </c>
      <c r="AE1111" s="108" t="str">
        <f>INDEX(Tableau1[Repere-Rack],MATCH(Tableau3[[#This Row],[ID-RACK]],Tableau1[ID-RACK],0))&amp;""</f>
        <v>R1</v>
      </c>
      <c r="AF1111" s="108" t="str">
        <f>INDEX(Tableau1[Repere-Slot],MATCH(Tableau3[[#This Row],[ID-SLOT]],Tableau1[ID-SLOT],0))&amp;""</f>
        <v>S4</v>
      </c>
      <c r="AG1111" s="108" t="str">
        <f>INDEX(Tableau2[Repere-Voie],MATCH(Tableau3[[#This Row],[ID-VOIE]],Tableau2[ID-Voie],0))&amp;""</f>
        <v>v5</v>
      </c>
      <c r="AH1111" s="72" t="str">
        <f>Tableau3[[#This Row],[ID-API]]&amp; "." &amp;Tableau3[[#This Row],[ID-RACK]]&amp; "." &amp;Tableau3[[#This Row],[ID-SLOT]]</f>
        <v>7.1.4</v>
      </c>
      <c r="AI1111" s="72" t="str">
        <f>INDEX(Tableau1[Ref-Carte],MATCH(Tableau3[[#This Row],[ID-RRS]],Tableau1[ID-RRS],0))</f>
        <v>SDO0802</v>
      </c>
      <c r="AJ1111" s="72" t="str">
        <f t="array" ref="AJ1111">IFERROR(INDEX(Tableau2[TS],MATCH(1,(Tableau2[Ref-Carte]=Tableau3[[#This Row],[Ref-Carte2]])*(Tableau2[ID-Voie]=Tableau3[[#This Row],[ID-VOIE]]),0)),"")</f>
        <v>ST</v>
      </c>
      <c r="AK1111" s="72" t="str">
        <f>IFERROR(INDEX(Tableau2[TS],SUMPRODUCT((Tableau2[Ref-Carte]=Tableau3[[#This Row],[Ref-Carte2]])*(Tableau2[ID-Voie]=Tableau3[[#This Row],[ID-VOIE]])*ROW(Tableau2[TS]))-ROW(Tableau2[#Headers])),"")</f>
        <v>ST</v>
      </c>
      <c r="AL1111" s="72" t="str">
        <f>Tableau3[[#This Row],[Ref-Carte2]]&amp;"/"&amp;Tableau3[[#This Row],[ID-VOIE]]</f>
        <v>SDO0802/5</v>
      </c>
      <c r="AM1111" s="73" t="str">
        <f>INDEX(Tableau2[Borne],MATCH(Tableau3[[#This Row],[ID-CARTEVOIE]],Tableau2[ID-CARTEVOIE],0))&amp;""</f>
        <v>5</v>
      </c>
      <c r="AN1111" s="74" t="str">
        <f>Tableau3[[#This Row],[ID-API]]&amp;Tableau3[[#This Row],[ID-RACK]]&amp;Tableau3[[#This Row],[ID-SLOT]]&amp;Tableau3[[#This Row],[BORNE]]</f>
        <v>7145</v>
      </c>
      <c r="AO1111" s="1"/>
    </row>
    <row r="1112" spans="1:41" ht="20.100000000000001" customHeight="1" thickTop="1" thickBot="1">
      <c r="A1112" s="68"/>
      <c r="B1112" s="69" t="str">
        <f>IFERROR(INDEX(Tableau4[Date],MATCH($A1112,Tableau4[EVO],0)),"")</f>
        <v/>
      </c>
      <c r="C1112" s="68" t="str">
        <f>IFERROR(INDEX(Tableau4[Designation],MATCH($A1112,Tableau4[EVO],0)),"")</f>
        <v/>
      </c>
      <c r="D1112" s="68"/>
      <c r="E1112" s="70">
        <v>40</v>
      </c>
      <c r="F1112" s="71">
        <v>71</v>
      </c>
      <c r="G1112" s="101" t="str">
        <f>INDEX(Tableau8[Att1],MATCH(Tableau3[[#This Row],[ID-INS]],Tableau8[ID],0))&amp;""</f>
        <v>V4</v>
      </c>
      <c r="H1112" s="101" t="str">
        <f>INDEX(Tableau8[Att2],MATCH(Tableau3[[#This Row],[ID-INS]],Tableau8[ID],0))&amp;""</f>
        <v>BH11</v>
      </c>
      <c r="I1112" s="101" t="str">
        <f>INDEX(Tableau8[Att3],MATCH(Tableau3[[#This Row],[ID-INS]],Tableau8[ID],0))&amp;""</f>
        <v>Barrière BH11</v>
      </c>
      <c r="J1112" s="101"/>
      <c r="K1112" s="167" t="str">
        <f>INDEX(Tableau8[Nom du modele],MATCH(Tableau3[[#This Row],[ID-INS]],Tableau8[ID],0))&amp;""</f>
        <v>BarriereHerse_1</v>
      </c>
      <c r="L1112" s="99" t="str">
        <f>INDEX(Tableau5[Att1],MATCH(Tableau3[[#This Row],[ID-SIG]],Tableau5[ID],0))&amp;""</f>
        <v>FerCmd2</v>
      </c>
      <c r="M1112" s="99" t="str">
        <f>INDEX(Tableau5[Att2],MATCH(Tableau3[[#This Row],[ID-SIG]],Tableau5[ID],0))&amp;""</f>
        <v/>
      </c>
      <c r="N1112" s="99" t="str">
        <f>INDEX(Tableau5[Att3],MATCH(Tableau3[[#This Row],[ID-SIG]],Tableau5[ID],0))&amp;""</f>
        <v/>
      </c>
      <c r="O1112" s="99"/>
      <c r="P1112" s="99" t="str">
        <f>INDEX(Tableau5[Description],MATCH(Tableau3[[#This Row],[ID-SIG]],Tableau5[ID],0))</f>
        <v>Commande 2 fermeture</v>
      </c>
      <c r="Q1112" s="99"/>
      <c r="R1112" s="103" t="str">
        <f>Tableau3[[#This Row],[Description]]</f>
        <v>Commande 2 fermeture</v>
      </c>
      <c r="U1112" s="87">
        <v>7</v>
      </c>
      <c r="V1112" s="87">
        <v>1</v>
      </c>
      <c r="W1112" s="87">
        <v>4</v>
      </c>
      <c r="X1112" s="87">
        <v>6</v>
      </c>
      <c r="Y1112" s="41"/>
      <c r="Z1112" s="165" t="str">
        <f>INDEX(Tableau2[TS],MATCH(Tableau3[[#This Row],[ID-CARTEVOIE]],Tableau2[ID-CARTEVOIE],0))</f>
        <v>ST</v>
      </c>
      <c r="AA1112" s="53" t="s">
        <v>213</v>
      </c>
      <c r="AB1112" s="223" t="str">
        <f>IFERROR(INDEX(Tableau5[Reserve],MATCH(Tableau3[[#This Row],[ID-SIG]],Tableau5[ID],0))&amp;"","")</f>
        <v/>
      </c>
      <c r="AC1112" s="21"/>
      <c r="AD1112" s="108" t="str">
        <f>INDEX(Tableau7[Repere],MATCH(Tableau3[[#This Row],[ID-API]],Tableau7[ID-API],0))&amp;""</f>
        <v>A7</v>
      </c>
      <c r="AE1112" s="108" t="str">
        <f>INDEX(Tableau1[Repere-Rack],MATCH(Tableau3[[#This Row],[ID-RACK]],Tableau1[ID-RACK],0))&amp;""</f>
        <v>R1</v>
      </c>
      <c r="AF1112" s="108" t="str">
        <f>INDEX(Tableau1[Repere-Slot],MATCH(Tableau3[[#This Row],[ID-SLOT]],Tableau1[ID-SLOT],0))&amp;""</f>
        <v>S4</v>
      </c>
      <c r="AG1112" s="108" t="str">
        <f>INDEX(Tableau2[Repere-Voie],MATCH(Tableau3[[#This Row],[ID-VOIE]],Tableau2[ID-Voie],0))&amp;""</f>
        <v>v6</v>
      </c>
      <c r="AH1112" s="72" t="str">
        <f>Tableau3[[#This Row],[ID-API]]&amp; "." &amp;Tableau3[[#This Row],[ID-RACK]]&amp; "." &amp;Tableau3[[#This Row],[ID-SLOT]]</f>
        <v>7.1.4</v>
      </c>
      <c r="AI1112" s="72" t="str">
        <f>INDEX(Tableau1[Ref-Carte],MATCH(Tableau3[[#This Row],[ID-RRS]],Tableau1[ID-RRS],0))</f>
        <v>SDO0802</v>
      </c>
      <c r="AJ1112" s="72" t="str">
        <f t="array" ref="AJ1112">IFERROR(INDEX(Tableau2[TS],MATCH(1,(Tableau2[Ref-Carte]=Tableau3[[#This Row],[Ref-Carte2]])*(Tableau2[ID-Voie]=Tableau3[[#This Row],[ID-VOIE]]),0)),"")</f>
        <v>ST</v>
      </c>
      <c r="AK1112" s="72" t="str">
        <f>IFERROR(INDEX(Tableau2[TS],SUMPRODUCT((Tableau2[Ref-Carte]=Tableau3[[#This Row],[Ref-Carte2]])*(Tableau2[ID-Voie]=Tableau3[[#This Row],[ID-VOIE]])*ROW(Tableau2[TS]))-ROW(Tableau2[#Headers])),"")</f>
        <v>ST</v>
      </c>
      <c r="AL1112" s="72" t="str">
        <f>Tableau3[[#This Row],[Ref-Carte2]]&amp;"/"&amp;Tableau3[[#This Row],[ID-VOIE]]</f>
        <v>SDO0802/6</v>
      </c>
      <c r="AM1112" s="73" t="str">
        <f>INDEX(Tableau2[Borne],MATCH(Tableau3[[#This Row],[ID-CARTEVOIE]],Tableau2[ID-CARTEVOIE],0))&amp;""</f>
        <v>6</v>
      </c>
      <c r="AN1112" s="74" t="str">
        <f>Tableau3[[#This Row],[ID-API]]&amp;Tableau3[[#This Row],[ID-RACK]]&amp;Tableau3[[#This Row],[ID-SLOT]]&amp;Tableau3[[#This Row],[BORNE]]</f>
        <v>7146</v>
      </c>
      <c r="AO1112" s="1"/>
    </row>
    <row r="1113" spans="1:41" ht="20.100000000000001" customHeight="1" thickTop="1" thickBot="1">
      <c r="A1113" s="134"/>
      <c r="B1113" s="135" t="str">
        <f>IFERROR(INDEX(Tableau4[Date],MATCH($A1113,Tableau4[EVO],0)),"")</f>
        <v/>
      </c>
      <c r="C1113" s="136" t="str">
        <f>IFERROR(INDEX(Tableau4[Designation],MATCH($A1113,Tableau4[EVO],0)),"")</f>
        <v/>
      </c>
      <c r="D1113" s="134"/>
      <c r="E1113" s="137">
        <v>42</v>
      </c>
      <c r="F1113" s="138">
        <v>86</v>
      </c>
      <c r="G1113" s="139" t="str">
        <f>INDEX(Tableau8[Att1],MATCH(Tableau3[[#This Row],[ID-INS]],Tableau8[ID],0))&amp;""</f>
        <v>V4</v>
      </c>
      <c r="H1113" s="139" t="str">
        <f>INDEX(Tableau8[Att2],MATCH(Tableau3[[#This Row],[ID-INS]],Tableau8[ID],0))&amp;""</f>
        <v>AVB1</v>
      </c>
      <c r="I1113" s="139" t="str">
        <f>INDEX(Tableau8[Att3],MATCH(Tableau3[[#This Row],[ID-INS]],Tableau8[ID],0))&amp;""</f>
        <v>Anti-belier AVB1</v>
      </c>
      <c r="J1113" s="101"/>
      <c r="K1113" s="167" t="str">
        <f>INDEX(Tableau8[Nom du modele],MATCH(Tableau3[[#This Row],[ID-INS]],Tableau8[ID],0))&amp;""</f>
        <v>AVB_1</v>
      </c>
      <c r="L1113" s="141" t="str">
        <f>INDEX(Tableau5[Att1],MATCH(Tableau3[[#This Row],[ID-SIG]],Tableau5[ID],0))&amp;""</f>
        <v>MontCmd2</v>
      </c>
      <c r="M1113" s="141" t="str">
        <f>INDEX(Tableau5[Att2],MATCH(Tableau3[[#This Row],[ID-SIG]],Tableau5[ID],0))&amp;""</f>
        <v/>
      </c>
      <c r="N1113" s="141" t="str">
        <f>INDEX(Tableau5[Att3],MATCH(Tableau3[[#This Row],[ID-SIG]],Tableau5[ID],0))&amp;""</f>
        <v/>
      </c>
      <c r="O1113" s="99"/>
      <c r="P1113" s="141" t="str">
        <f>INDEX(Tableau5[Description],MATCH(Tableau3[[#This Row],[ID-SIG]],Tableau5[ID],0))</f>
        <v>Commande 2 montée</v>
      </c>
      <c r="Q1113" s="99"/>
      <c r="R1113" s="142" t="str">
        <f>Tableau3[[#This Row],[Description]]</f>
        <v>Commande 2 montée</v>
      </c>
      <c r="U1113" s="87">
        <v>7</v>
      </c>
      <c r="V1113" s="87">
        <v>1</v>
      </c>
      <c r="W1113" s="87">
        <v>4</v>
      </c>
      <c r="X1113" s="87">
        <v>7</v>
      </c>
      <c r="Y1113" s="41"/>
      <c r="Z1113" s="165" t="str">
        <f>INDEX(Tableau2[TS],MATCH(Tableau3[[#This Row],[ID-CARTEVOIE]],Tableau2[ID-CARTEVOIE],0))</f>
        <v>ST</v>
      </c>
      <c r="AA1113" s="144" t="s">
        <v>213</v>
      </c>
      <c r="AB1113" s="224" t="str">
        <f>IFERROR(INDEX(Tableau5[Reserve],MATCH(Tableau3[[#This Row],[ID-SIG]],Tableau5[ID],0))&amp;"","")</f>
        <v/>
      </c>
      <c r="AC1113" s="119"/>
      <c r="AD1113" s="120" t="str">
        <f>INDEX(Tableau7[Repere],MATCH(Tableau3[[#This Row],[ID-API]],Tableau7[ID-API],0))&amp;""</f>
        <v>A7</v>
      </c>
      <c r="AE1113" s="120" t="str">
        <f>INDEX(Tableau1[Repere-Rack],MATCH(Tableau3[[#This Row],[ID-RACK]],Tableau1[ID-RACK],0))&amp;""</f>
        <v>R1</v>
      </c>
      <c r="AF1113" s="120" t="str">
        <f>INDEX(Tableau1[Repere-Slot],MATCH(Tableau3[[#This Row],[ID-SLOT]],Tableau1[ID-SLOT],0))&amp;""</f>
        <v>S4</v>
      </c>
      <c r="AG1113" s="120" t="str">
        <f>INDEX(Tableau2[Repere-Voie],MATCH(Tableau3[[#This Row],[ID-VOIE]],Tableau2[ID-Voie],0))&amp;""</f>
        <v>v7</v>
      </c>
      <c r="AH1113" s="122" t="str">
        <f>Tableau3[[#This Row],[ID-API]]&amp; "." &amp;Tableau3[[#This Row],[ID-RACK]]&amp; "." &amp;Tableau3[[#This Row],[ID-SLOT]]</f>
        <v>7.1.4</v>
      </c>
      <c r="AI1113" s="72" t="str">
        <f>INDEX(Tableau1[Ref-Carte],MATCH(Tableau3[[#This Row],[ID-RRS]],Tableau1[ID-RRS],0))</f>
        <v>SDO0802</v>
      </c>
      <c r="AJ1113" s="72" t="str">
        <f t="array" ref="AJ1113">IFERROR(INDEX(Tableau2[TS],MATCH(1,(Tableau2[Ref-Carte]=Tableau3[[#This Row],[Ref-Carte2]])*(Tableau2[ID-Voie]=Tableau3[[#This Row],[ID-VOIE]]),0)),"")</f>
        <v>ST</v>
      </c>
      <c r="AK1113" s="72" t="str">
        <f>IFERROR(INDEX(Tableau2[TS],SUMPRODUCT((Tableau2[Ref-Carte]=Tableau3[[#This Row],[Ref-Carte2]])*(Tableau2[ID-Voie]=Tableau3[[#This Row],[ID-VOIE]])*ROW(Tableau2[TS]))-ROW(Tableau2[#Headers])),"")</f>
        <v>ST</v>
      </c>
      <c r="AL1113" s="122" t="str">
        <f>Tableau3[[#This Row],[Ref-Carte2]]&amp;"/"&amp;Tableau3[[#This Row],[ID-VOIE]]</f>
        <v>SDO0802/7</v>
      </c>
      <c r="AM1113" s="145" t="str">
        <f>INDEX(Tableau2[Borne],MATCH(Tableau3[[#This Row],[ID-CARTEVOIE]],Tableau2[ID-CARTEVOIE],0))&amp;""</f>
        <v>7</v>
      </c>
      <c r="AN1113" s="124" t="str">
        <f>Tableau3[[#This Row],[ID-API]]&amp;Tableau3[[#This Row],[ID-RACK]]&amp;Tableau3[[#This Row],[ID-SLOT]]&amp;Tableau3[[#This Row],[BORNE]]</f>
        <v>7147</v>
      </c>
      <c r="AO1113" s="125"/>
    </row>
    <row r="1114" spans="1:41" ht="20.100000000000001" customHeight="1" thickTop="1" thickBot="1">
      <c r="A1114" s="68"/>
      <c r="B1114" s="69" t="str">
        <f>IFERROR(INDEX(Tableau4[Date],MATCH($A1114,Tableau4[EVO],0)),"")</f>
        <v/>
      </c>
      <c r="C1114" s="68" t="str">
        <f>IFERROR(INDEX(Tableau4[Designation],MATCH($A1114,Tableau4[EVO],0)),"")</f>
        <v/>
      </c>
      <c r="D1114" s="68"/>
      <c r="E1114" s="70">
        <v>3</v>
      </c>
      <c r="F1114" s="71">
        <v>226</v>
      </c>
      <c r="G1114" s="101" t="str">
        <f>INDEX(Tableau8[Att1],MATCH(Tableau3[[#This Row],[ID-INS]],Tableau8[ID],0))&amp;""</f>
        <v>V4</v>
      </c>
      <c r="H1114" s="101" t="str">
        <f>INDEX(Tableau8[Att2],MATCH(Tableau3[[#This Row],[ID-INS]],Tableau8[ID],0))&amp;""</f>
        <v>P3</v>
      </c>
      <c r="I1114" s="101" t="str">
        <f>INDEX(Tableau8[Att3],MATCH(Tableau3[[#This Row],[ID-INS]],Tableau8[ID],0))&amp;""</f>
        <v>Portail P3</v>
      </c>
      <c r="J1114" s="101"/>
      <c r="K1114" s="167" t="str">
        <f>INDEX(Tableau8[Nom du modele],MATCH(Tableau3[[#This Row],[ID-INS]],Tableau8[ID],0))&amp;""</f>
        <v>PortailR2V_1</v>
      </c>
      <c r="L1114" s="99" t="str">
        <f>INDEX(Tableau5[Att1],MATCH(Tableau3[[#This Row],[ID-SIG]],Tableau5[ID],0))&amp;""</f>
        <v>V1_GrpHydRet2</v>
      </c>
      <c r="M1114" s="99" t="str">
        <f>INDEX(Tableau5[Att2],MATCH(Tableau3[[#This Row],[ID-SIG]],Tableau5[ID],0))&amp;""</f>
        <v/>
      </c>
      <c r="N1114" s="99" t="str">
        <f>INDEX(Tableau5[Att3],MATCH(Tableau3[[#This Row],[ID-SIG]],Tableau5[ID],0))&amp;""</f>
        <v/>
      </c>
      <c r="O1114" s="99"/>
      <c r="P1114" s="99" t="str">
        <f>INDEX(Tableau5[Description],MATCH(Tableau3[[#This Row],[ID-SIG]],Tableau5[ID],0))</f>
        <v>Retour Commande 2 marche groupe hydraulique vantail 1</v>
      </c>
      <c r="Q1114" s="99"/>
      <c r="R1114" s="103" t="str">
        <f>Tableau3[[#This Row],[Description]]</f>
        <v>Retour Commande 2 marche groupe hydraulique vantail 1</v>
      </c>
      <c r="S1114" s="52"/>
      <c r="U1114" s="87">
        <v>7</v>
      </c>
      <c r="V1114" s="87">
        <v>1</v>
      </c>
      <c r="W1114" s="87">
        <v>5</v>
      </c>
      <c r="X1114" s="87">
        <v>0</v>
      </c>
      <c r="Y1114" s="40"/>
      <c r="Z1114" s="165" t="str">
        <f>INDEX(Tableau2[TS],MATCH(Tableau3[[#This Row],[ID-CARTEVOIE]],Tableau2[ID-CARTEVOIE],0))</f>
        <v>ET</v>
      </c>
      <c r="AA1114" s="53" t="s">
        <v>213</v>
      </c>
      <c r="AB1114" s="223" t="str">
        <f>IFERROR(INDEX(Tableau5[Reserve],MATCH(Tableau3[[#This Row],[ID-SIG]],Tableau5[ID],0))&amp;"","")</f>
        <v/>
      </c>
      <c r="AC1114" s="21"/>
      <c r="AD1114" s="108" t="str">
        <f>INDEX(Tableau7[Repere],MATCH(Tableau3[[#This Row],[ID-API]],Tableau7[ID-API],0))&amp;""</f>
        <v>A7</v>
      </c>
      <c r="AE1114" s="108" t="str">
        <f>INDEX(Tableau1[Repere-Rack],MATCH(Tableau3[[#This Row],[ID-RACK]],Tableau1[ID-RACK],0))&amp;""</f>
        <v>R1</v>
      </c>
      <c r="AF1114" s="108" t="str">
        <f>INDEX(Tableau1[Repere-Slot],MATCH(Tableau3[[#This Row],[ID-SLOT]],Tableau1[ID-SLOT],0))&amp;""</f>
        <v>S5</v>
      </c>
      <c r="AG1114" s="108" t="str">
        <f>INDEX(Tableau2[Repere-Voie],MATCH(Tableau3[[#This Row],[ID-VOIE]],Tableau2[ID-Voie],0))&amp;""</f>
        <v>v0</v>
      </c>
      <c r="AH1114" s="72" t="str">
        <f>Tableau3[[#This Row],[ID-API]]&amp; "." &amp;Tableau3[[#This Row],[ID-RACK]]&amp; "." &amp;Tableau3[[#This Row],[ID-SLOT]]</f>
        <v>7.1.5</v>
      </c>
      <c r="AI1114" s="72" t="str">
        <f>INDEX(Tableau1[Ref-Carte],MATCH(Tableau3[[#This Row],[ID-RRS]],Tableau1[ID-RRS],0))</f>
        <v>SDI1602</v>
      </c>
      <c r="AJ1114" s="72" t="str">
        <f t="array" ref="AJ1114">IFERROR(INDEX(Tableau2[TS],MATCH(1,(Tableau2[Ref-Carte]=Tableau3[[#This Row],[Ref-Carte2]])*(Tableau2[ID-Voie]=Tableau3[[#This Row],[ID-VOIE]]),0)),"")</f>
        <v>ET</v>
      </c>
      <c r="AK1114" s="72" t="str">
        <f>IFERROR(INDEX(Tableau2[TS],SUMPRODUCT((Tableau2[Ref-Carte]=Tableau3[[#This Row],[Ref-Carte2]])*(Tableau2[ID-Voie]=Tableau3[[#This Row],[ID-VOIE]])*ROW(Tableau2[TS]))-ROW(Tableau2[#Headers])),"")</f>
        <v>ET</v>
      </c>
      <c r="AL1114" s="72" t="str">
        <f>Tableau3[[#This Row],[Ref-Carte2]]&amp;"/"&amp;Tableau3[[#This Row],[ID-VOIE]]</f>
        <v>SDI1602/0</v>
      </c>
      <c r="AM1114" s="73" t="str">
        <f>INDEX(Tableau2[Borne],MATCH(Tableau3[[#This Row],[ID-CARTEVOIE]],Tableau2[ID-CARTEVOIE],0))&amp;""</f>
        <v>0B</v>
      </c>
      <c r="AN1114" s="74" t="str">
        <f>Tableau3[[#This Row],[ID-API]]&amp;Tableau3[[#This Row],[ID-RACK]]&amp;Tableau3[[#This Row],[ID-SLOT]]&amp;Tableau3[[#This Row],[BORNE]]</f>
        <v>7150B</v>
      </c>
      <c r="AO1114" s="1"/>
    </row>
    <row r="1115" spans="1:41" ht="20.100000000000001" customHeight="1" thickTop="1" thickBot="1">
      <c r="A1115" s="68"/>
      <c r="B1115" s="69" t="str">
        <f>IFERROR(INDEX(Tableau4[Date],MATCH($A1115,Tableau4[EVO],0)),"")</f>
        <v/>
      </c>
      <c r="C1115" s="68" t="str">
        <f>IFERROR(INDEX(Tableau4[Designation],MATCH($A1115,Tableau4[EVO],0)),"")</f>
        <v/>
      </c>
      <c r="D1115" s="68"/>
      <c r="E1115" s="70">
        <v>3</v>
      </c>
      <c r="F1115" s="71">
        <v>227</v>
      </c>
      <c r="G1115" s="101" t="str">
        <f>INDEX(Tableau8[Att1],MATCH(Tableau3[[#This Row],[ID-INS]],Tableau8[ID],0))&amp;""</f>
        <v>V4</v>
      </c>
      <c r="H1115" s="101" t="str">
        <f>INDEX(Tableau8[Att2],MATCH(Tableau3[[#This Row],[ID-INS]],Tableau8[ID],0))&amp;""</f>
        <v>P3</v>
      </c>
      <c r="I1115" s="101" t="str">
        <f>INDEX(Tableau8[Att3],MATCH(Tableau3[[#This Row],[ID-INS]],Tableau8[ID],0))&amp;""</f>
        <v>Portail P3</v>
      </c>
      <c r="J1115" s="101"/>
      <c r="K1115" s="167" t="str">
        <f>INDEX(Tableau8[Nom du modele],MATCH(Tableau3[[#This Row],[ID-INS]],Tableau8[ID],0))&amp;""</f>
        <v>PortailR2V_1</v>
      </c>
      <c r="L1115" s="99" t="str">
        <f>INDEX(Tableau5[Att1],MATCH(Tableau3[[#This Row],[ID-SIG]],Tableau5[ID],0))&amp;""</f>
        <v>V1_FerRet2</v>
      </c>
      <c r="M1115" s="99" t="str">
        <f>INDEX(Tableau5[Att2],MATCH(Tableau3[[#This Row],[ID-SIG]],Tableau5[ID],0))&amp;""</f>
        <v/>
      </c>
      <c r="N1115" s="99" t="str">
        <f>INDEX(Tableau5[Att3],MATCH(Tableau3[[#This Row],[ID-SIG]],Tableau5[ID],0))&amp;""</f>
        <v/>
      </c>
      <c r="O1115" s="99"/>
      <c r="P1115" s="99" t="str">
        <f>INDEX(Tableau5[Description],MATCH(Tableau3[[#This Row],[ID-SIG]],Tableau5[ID],0))</f>
        <v>Retour Commande 2 fermeture vantail 1</v>
      </c>
      <c r="Q1115" s="99"/>
      <c r="R1115" s="103" t="str">
        <f>Tableau3[[#This Row],[Description]]</f>
        <v>Retour Commande 2 fermeture vantail 1</v>
      </c>
      <c r="S1115" s="52"/>
      <c r="U1115" s="87">
        <v>7</v>
      </c>
      <c r="V1115" s="87">
        <v>1</v>
      </c>
      <c r="W1115" s="87">
        <v>5</v>
      </c>
      <c r="X1115" s="87">
        <v>1</v>
      </c>
      <c r="Y1115" s="40"/>
      <c r="Z1115" s="165" t="str">
        <f>INDEX(Tableau2[TS],MATCH(Tableau3[[#This Row],[ID-CARTEVOIE]],Tableau2[ID-CARTEVOIE],0))</f>
        <v>ET</v>
      </c>
      <c r="AA1115" s="53" t="s">
        <v>213</v>
      </c>
      <c r="AB1115" s="223" t="str">
        <f>IFERROR(INDEX(Tableau5[Reserve],MATCH(Tableau3[[#This Row],[ID-SIG]],Tableau5[ID],0))&amp;"","")</f>
        <v/>
      </c>
      <c r="AC1115" s="21"/>
      <c r="AD1115" s="108" t="str">
        <f>INDEX(Tableau7[Repere],MATCH(Tableau3[[#This Row],[ID-API]],Tableau7[ID-API],0))&amp;""</f>
        <v>A7</v>
      </c>
      <c r="AE1115" s="108" t="str">
        <f>INDEX(Tableau1[Repere-Rack],MATCH(Tableau3[[#This Row],[ID-RACK]],Tableau1[ID-RACK],0))&amp;""</f>
        <v>R1</v>
      </c>
      <c r="AF1115" s="108" t="str">
        <f>INDEX(Tableau1[Repere-Slot],MATCH(Tableau3[[#This Row],[ID-SLOT]],Tableau1[ID-SLOT],0))&amp;""</f>
        <v>S5</v>
      </c>
      <c r="AG1115" s="108" t="str">
        <f>INDEX(Tableau2[Repere-Voie],MATCH(Tableau3[[#This Row],[ID-VOIE]],Tableau2[ID-Voie],0))&amp;""</f>
        <v>v1</v>
      </c>
      <c r="AH1115" s="72" t="str">
        <f>Tableau3[[#This Row],[ID-API]]&amp; "." &amp;Tableau3[[#This Row],[ID-RACK]]&amp; "." &amp;Tableau3[[#This Row],[ID-SLOT]]</f>
        <v>7.1.5</v>
      </c>
      <c r="AI1115" s="72" t="str">
        <f>INDEX(Tableau1[Ref-Carte],MATCH(Tableau3[[#This Row],[ID-RRS]],Tableau1[ID-RRS],0))</f>
        <v>SDI1602</v>
      </c>
      <c r="AJ1115" s="72" t="str">
        <f t="array" ref="AJ1115">IFERROR(INDEX(Tableau2[TS],MATCH(1,(Tableau2[Ref-Carte]=Tableau3[[#This Row],[Ref-Carte2]])*(Tableau2[ID-Voie]=Tableau3[[#This Row],[ID-VOIE]]),0)),"")</f>
        <v>ET</v>
      </c>
      <c r="AK1115" s="72" t="str">
        <f>IFERROR(INDEX(Tableau2[TS],SUMPRODUCT((Tableau2[Ref-Carte]=Tableau3[[#This Row],[Ref-Carte2]])*(Tableau2[ID-Voie]=Tableau3[[#This Row],[ID-VOIE]])*ROW(Tableau2[TS]))-ROW(Tableau2[#Headers])),"")</f>
        <v>ET</v>
      </c>
      <c r="AL1115" s="72" t="str">
        <f>Tableau3[[#This Row],[Ref-Carte2]]&amp;"/"&amp;Tableau3[[#This Row],[ID-VOIE]]</f>
        <v>SDI1602/1</v>
      </c>
      <c r="AM1115" s="73" t="str">
        <f>INDEX(Tableau2[Borne],MATCH(Tableau3[[#This Row],[ID-CARTEVOIE]],Tableau2[ID-CARTEVOIE],0))&amp;""</f>
        <v>0A</v>
      </c>
      <c r="AN1115" s="74" t="str">
        <f>Tableau3[[#This Row],[ID-API]]&amp;Tableau3[[#This Row],[ID-RACK]]&amp;Tableau3[[#This Row],[ID-SLOT]]&amp;Tableau3[[#This Row],[BORNE]]</f>
        <v>7150A</v>
      </c>
      <c r="AO1115" s="1"/>
    </row>
    <row r="1116" spans="1:41" ht="20.100000000000001" customHeight="1" thickTop="1" thickBot="1">
      <c r="A1116" s="68"/>
      <c r="B1116" s="69" t="str">
        <f>IFERROR(INDEX(Tableau4[Date],MATCH($A1116,Tableau4[EVO],0)),"")</f>
        <v/>
      </c>
      <c r="C1116" s="68" t="str">
        <f>IFERROR(INDEX(Tableau4[Designation],MATCH($A1116,Tableau4[EVO],0)),"")</f>
        <v/>
      </c>
      <c r="D1116" s="68"/>
      <c r="E1116" s="70">
        <v>3</v>
      </c>
      <c r="F1116" s="71">
        <v>228</v>
      </c>
      <c r="G1116" s="101" t="str">
        <f>INDEX(Tableau8[Att1],MATCH(Tableau3[[#This Row],[ID-INS]],Tableau8[ID],0))&amp;""</f>
        <v>V4</v>
      </c>
      <c r="H1116" s="101" t="str">
        <f>INDEX(Tableau8[Att2],MATCH(Tableau3[[#This Row],[ID-INS]],Tableau8[ID],0))&amp;""</f>
        <v>P3</v>
      </c>
      <c r="I1116" s="101" t="str">
        <f>INDEX(Tableau8[Att3],MATCH(Tableau3[[#This Row],[ID-INS]],Tableau8[ID],0))&amp;""</f>
        <v>Portail P3</v>
      </c>
      <c r="J1116" s="101"/>
      <c r="K1116" s="167" t="str">
        <f>INDEX(Tableau8[Nom du modele],MATCH(Tableau3[[#This Row],[ID-INS]],Tableau8[ID],0))&amp;""</f>
        <v>PortailR2V_1</v>
      </c>
      <c r="L1116" s="99" t="str">
        <f>INDEX(Tableau5[Att1],MATCH(Tableau3[[#This Row],[ID-SIG]],Tableau5[ID],0))&amp;""</f>
        <v>V1_Fer2</v>
      </c>
      <c r="M1116" s="99" t="str">
        <f>INDEX(Tableau5[Att2],MATCH(Tableau3[[#This Row],[ID-SIG]],Tableau5[ID],0))&amp;""</f>
        <v/>
      </c>
      <c r="N1116" s="99" t="str">
        <f>INDEX(Tableau5[Att3],MATCH(Tableau3[[#This Row],[ID-SIG]],Tableau5[ID],0))&amp;""</f>
        <v/>
      </c>
      <c r="O1116" s="99"/>
      <c r="P1116" s="99" t="str">
        <f>INDEX(Tableau5[Description],MATCH(Tableau3[[#This Row],[ID-SIG]],Tableau5[ID],0))</f>
        <v>Vantail 1 en fdc Fermé 2</v>
      </c>
      <c r="Q1116" s="99"/>
      <c r="R1116" s="103" t="str">
        <f>Tableau3[[#This Row],[Description]]</f>
        <v>Vantail 1 en fdc Fermé 2</v>
      </c>
      <c r="S1116" s="52"/>
      <c r="U1116" s="87">
        <v>7</v>
      </c>
      <c r="V1116" s="87">
        <v>1</v>
      </c>
      <c r="W1116" s="87">
        <v>5</v>
      </c>
      <c r="X1116" s="87">
        <v>2</v>
      </c>
      <c r="Y1116" s="40"/>
      <c r="Z1116" s="165" t="str">
        <f>INDEX(Tableau2[TS],MATCH(Tableau3[[#This Row],[ID-CARTEVOIE]],Tableau2[ID-CARTEVOIE],0))</f>
        <v>ET</v>
      </c>
      <c r="AA1116" s="53" t="s">
        <v>213</v>
      </c>
      <c r="AB1116" s="223" t="str">
        <f>IFERROR(INDEX(Tableau5[Reserve],MATCH(Tableau3[[#This Row],[ID-SIG]],Tableau5[ID],0))&amp;"","")</f>
        <v/>
      </c>
      <c r="AC1116" s="21"/>
      <c r="AD1116" s="108" t="str">
        <f>INDEX(Tableau7[Repere],MATCH(Tableau3[[#This Row],[ID-API]],Tableau7[ID-API],0))&amp;""</f>
        <v>A7</v>
      </c>
      <c r="AE1116" s="108" t="str">
        <f>INDEX(Tableau1[Repere-Rack],MATCH(Tableau3[[#This Row],[ID-RACK]],Tableau1[ID-RACK],0))&amp;""</f>
        <v>R1</v>
      </c>
      <c r="AF1116" s="108" t="str">
        <f>INDEX(Tableau1[Repere-Slot],MATCH(Tableau3[[#This Row],[ID-SLOT]],Tableau1[ID-SLOT],0))&amp;""</f>
        <v>S5</v>
      </c>
      <c r="AG1116" s="108" t="str">
        <f>INDEX(Tableau2[Repere-Voie],MATCH(Tableau3[[#This Row],[ID-VOIE]],Tableau2[ID-Voie],0))&amp;""</f>
        <v>v2</v>
      </c>
      <c r="AH1116" s="72" t="str">
        <f>Tableau3[[#This Row],[ID-API]]&amp; "." &amp;Tableau3[[#This Row],[ID-RACK]]&amp; "." &amp;Tableau3[[#This Row],[ID-SLOT]]</f>
        <v>7.1.5</v>
      </c>
      <c r="AI1116" s="72" t="str">
        <f>INDEX(Tableau1[Ref-Carte],MATCH(Tableau3[[#This Row],[ID-RRS]],Tableau1[ID-RRS],0))</f>
        <v>SDI1602</v>
      </c>
      <c r="AJ1116" s="72" t="str">
        <f t="array" ref="AJ1116">IFERROR(INDEX(Tableau2[TS],MATCH(1,(Tableau2[Ref-Carte]=Tableau3[[#This Row],[Ref-Carte2]])*(Tableau2[ID-Voie]=Tableau3[[#This Row],[ID-VOIE]]),0)),"")</f>
        <v>ET</v>
      </c>
      <c r="AK1116" s="72" t="str">
        <f>IFERROR(INDEX(Tableau2[TS],SUMPRODUCT((Tableau2[Ref-Carte]=Tableau3[[#This Row],[Ref-Carte2]])*(Tableau2[ID-Voie]=Tableau3[[#This Row],[ID-VOIE]])*ROW(Tableau2[TS]))-ROW(Tableau2[#Headers])),"")</f>
        <v>ET</v>
      </c>
      <c r="AL1116" s="72" t="str">
        <f>Tableau3[[#This Row],[Ref-Carte2]]&amp;"/"&amp;Tableau3[[#This Row],[ID-VOIE]]</f>
        <v>SDI1602/2</v>
      </c>
      <c r="AM1116" s="73" t="str">
        <f>INDEX(Tableau2[Borne],MATCH(Tableau3[[#This Row],[ID-CARTEVOIE]],Tableau2[ID-CARTEVOIE],0))&amp;""</f>
        <v>1B</v>
      </c>
      <c r="AN1116" s="74" t="str">
        <f>Tableau3[[#This Row],[ID-API]]&amp;Tableau3[[#This Row],[ID-RACK]]&amp;Tableau3[[#This Row],[ID-SLOT]]&amp;Tableau3[[#This Row],[BORNE]]</f>
        <v>7151B</v>
      </c>
      <c r="AO1116" s="1"/>
    </row>
    <row r="1117" spans="1:41" ht="20.100000000000001" customHeight="1" thickTop="1" thickBot="1">
      <c r="A1117" s="68"/>
      <c r="B1117" s="69" t="str">
        <f>IFERROR(INDEX(Tableau4[Date],MATCH($A1117,Tableau4[EVO],0)),"")</f>
        <v/>
      </c>
      <c r="C1117" s="68" t="str">
        <f>IFERROR(INDEX(Tableau4[Designation],MATCH($A1117,Tableau4[EVO],0)),"")</f>
        <v/>
      </c>
      <c r="D1117" s="68"/>
      <c r="E1117" s="70">
        <v>3</v>
      </c>
      <c r="F1117" s="71">
        <v>234</v>
      </c>
      <c r="G1117" s="101" t="str">
        <f>INDEX(Tableau8[Att1],MATCH(Tableau3[[#This Row],[ID-INS]],Tableau8[ID],0))&amp;""</f>
        <v>V4</v>
      </c>
      <c r="H1117" s="101" t="str">
        <f>INDEX(Tableau8[Att2],MATCH(Tableau3[[#This Row],[ID-INS]],Tableau8[ID],0))&amp;""</f>
        <v>P3</v>
      </c>
      <c r="I1117" s="101" t="str">
        <f>INDEX(Tableau8[Att3],MATCH(Tableau3[[#This Row],[ID-INS]],Tableau8[ID],0))&amp;""</f>
        <v>Portail P3</v>
      </c>
      <c r="J1117" s="101"/>
      <c r="K1117" s="167" t="str">
        <f>INDEX(Tableau8[Nom du modele],MATCH(Tableau3[[#This Row],[ID-INS]],Tableau8[ID],0))&amp;""</f>
        <v>PortailR2V_1</v>
      </c>
      <c r="L1117" s="99" t="str">
        <f>INDEX(Tableau5[Att1],MATCH(Tableau3[[#This Row],[ID-SIG]],Tableau5[ID],0))&amp;""</f>
        <v>V2_Ouv</v>
      </c>
      <c r="M1117" s="99" t="str">
        <f>INDEX(Tableau5[Att2],MATCH(Tableau3[[#This Row],[ID-SIG]],Tableau5[ID],0))&amp;""</f>
        <v/>
      </c>
      <c r="N1117" s="99" t="str">
        <f>INDEX(Tableau5[Att3],MATCH(Tableau3[[#This Row],[ID-SIG]],Tableau5[ID],0))&amp;""</f>
        <v/>
      </c>
      <c r="O1117" s="99"/>
      <c r="P1117" s="99" t="str">
        <f>INDEX(Tableau5[Description],MATCH(Tableau3[[#This Row],[ID-SIG]],Tableau5[ID],0))</f>
        <v>Vantail 2 en fdc ouvert</v>
      </c>
      <c r="Q1117" s="99"/>
      <c r="R1117" s="103" t="str">
        <f>Tableau3[[#This Row],[Description]]</f>
        <v>Vantail 2 en fdc ouvert</v>
      </c>
      <c r="S1117" s="52"/>
      <c r="U1117" s="87">
        <v>7</v>
      </c>
      <c r="V1117" s="87">
        <v>1</v>
      </c>
      <c r="W1117" s="87">
        <v>5</v>
      </c>
      <c r="X1117" s="87">
        <v>3</v>
      </c>
      <c r="Y1117" s="40"/>
      <c r="Z1117" s="165" t="str">
        <f>INDEX(Tableau2[TS],MATCH(Tableau3[[#This Row],[ID-CARTEVOIE]],Tableau2[ID-CARTEVOIE],0))</f>
        <v>ET</v>
      </c>
      <c r="AA1117" s="53" t="s">
        <v>213</v>
      </c>
      <c r="AB1117" s="223" t="str">
        <f>IFERROR(INDEX(Tableau5[Reserve],MATCH(Tableau3[[#This Row],[ID-SIG]],Tableau5[ID],0))&amp;"","")</f>
        <v/>
      </c>
      <c r="AC1117" s="21"/>
      <c r="AD1117" s="108" t="str">
        <f>INDEX(Tableau7[Repere],MATCH(Tableau3[[#This Row],[ID-API]],Tableau7[ID-API],0))&amp;""</f>
        <v>A7</v>
      </c>
      <c r="AE1117" s="108" t="str">
        <f>INDEX(Tableau1[Repere-Rack],MATCH(Tableau3[[#This Row],[ID-RACK]],Tableau1[ID-RACK],0))&amp;""</f>
        <v>R1</v>
      </c>
      <c r="AF1117" s="108" t="str">
        <f>INDEX(Tableau1[Repere-Slot],MATCH(Tableau3[[#This Row],[ID-SLOT]],Tableau1[ID-SLOT],0))&amp;""</f>
        <v>S5</v>
      </c>
      <c r="AG1117" s="108" t="str">
        <f>INDEX(Tableau2[Repere-Voie],MATCH(Tableau3[[#This Row],[ID-VOIE]],Tableau2[ID-Voie],0))&amp;""</f>
        <v>v3</v>
      </c>
      <c r="AH1117" s="72" t="str">
        <f>Tableau3[[#This Row],[ID-API]]&amp; "." &amp;Tableau3[[#This Row],[ID-RACK]]&amp; "." &amp;Tableau3[[#This Row],[ID-SLOT]]</f>
        <v>7.1.5</v>
      </c>
      <c r="AI1117" s="72" t="str">
        <f>INDEX(Tableau1[Ref-Carte],MATCH(Tableau3[[#This Row],[ID-RRS]],Tableau1[ID-RRS],0))</f>
        <v>SDI1602</v>
      </c>
      <c r="AJ1117" s="72" t="str">
        <f t="array" ref="AJ1117">IFERROR(INDEX(Tableau2[TS],MATCH(1,(Tableau2[Ref-Carte]=Tableau3[[#This Row],[Ref-Carte2]])*(Tableau2[ID-Voie]=Tableau3[[#This Row],[ID-VOIE]]),0)),"")</f>
        <v>ET</v>
      </c>
      <c r="AK1117" s="72" t="str">
        <f>IFERROR(INDEX(Tableau2[TS],SUMPRODUCT((Tableau2[Ref-Carte]=Tableau3[[#This Row],[Ref-Carte2]])*(Tableau2[ID-Voie]=Tableau3[[#This Row],[ID-VOIE]])*ROW(Tableau2[TS]))-ROW(Tableau2[#Headers])),"")</f>
        <v>ET</v>
      </c>
      <c r="AL1117" s="72" t="str">
        <f>Tableau3[[#This Row],[Ref-Carte2]]&amp;"/"&amp;Tableau3[[#This Row],[ID-VOIE]]</f>
        <v>SDI1602/3</v>
      </c>
      <c r="AM1117" s="73" t="str">
        <f>INDEX(Tableau2[Borne],MATCH(Tableau3[[#This Row],[ID-CARTEVOIE]],Tableau2[ID-CARTEVOIE],0))&amp;""</f>
        <v>1A</v>
      </c>
      <c r="AN1117" s="74" t="str">
        <f>Tableau3[[#This Row],[ID-API]]&amp;Tableau3[[#This Row],[ID-RACK]]&amp;Tableau3[[#This Row],[ID-SLOT]]&amp;Tableau3[[#This Row],[BORNE]]</f>
        <v>7151A</v>
      </c>
      <c r="AO1117" s="1"/>
    </row>
    <row r="1118" spans="1:41" ht="20.100000000000001" customHeight="1" thickTop="1" thickBot="1">
      <c r="A1118" s="68"/>
      <c r="B1118" s="69" t="str">
        <f>IFERROR(INDEX(Tableau4[Date],MATCH($A1118,Tableau4[EVO],0)),"")</f>
        <v/>
      </c>
      <c r="C1118" s="68" t="str">
        <f>IFERROR(INDEX(Tableau4[Designation],MATCH($A1118,Tableau4[EVO],0)),"")</f>
        <v/>
      </c>
      <c r="D1118" s="68"/>
      <c r="E1118" s="70">
        <v>3</v>
      </c>
      <c r="F1118" s="71">
        <v>235</v>
      </c>
      <c r="G1118" s="101" t="str">
        <f>INDEX(Tableau8[Att1],MATCH(Tableau3[[#This Row],[ID-INS]],Tableau8[ID],0))&amp;""</f>
        <v>V4</v>
      </c>
      <c r="H1118" s="101" t="str">
        <f>INDEX(Tableau8[Att2],MATCH(Tableau3[[#This Row],[ID-INS]],Tableau8[ID],0))&amp;""</f>
        <v>P3</v>
      </c>
      <c r="I1118" s="101" t="str">
        <f>INDEX(Tableau8[Att3],MATCH(Tableau3[[#This Row],[ID-INS]],Tableau8[ID],0))&amp;""</f>
        <v>Portail P3</v>
      </c>
      <c r="J1118" s="101"/>
      <c r="K1118" s="167" t="str">
        <f>INDEX(Tableau8[Nom du modele],MATCH(Tableau3[[#This Row],[ID-INS]],Tableau8[ID],0))&amp;""</f>
        <v>PortailR2V_1</v>
      </c>
      <c r="L1118" s="99" t="str">
        <f>INDEX(Tableau5[Att1],MATCH(Tableau3[[#This Row],[ID-SIG]],Tableau5[ID],0))&amp;""</f>
        <v>V2_Fer1</v>
      </c>
      <c r="M1118" s="99" t="str">
        <f>INDEX(Tableau5[Att2],MATCH(Tableau3[[#This Row],[ID-SIG]],Tableau5[ID],0))&amp;""</f>
        <v/>
      </c>
      <c r="N1118" s="99" t="str">
        <f>INDEX(Tableau5[Att3],MATCH(Tableau3[[#This Row],[ID-SIG]],Tableau5[ID],0))&amp;""</f>
        <v/>
      </c>
      <c r="O1118" s="99"/>
      <c r="P1118" s="99" t="str">
        <f>INDEX(Tableau5[Description],MATCH(Tableau3[[#This Row],[ID-SIG]],Tableau5[ID],0))</f>
        <v>Vantail 2 en fdc Fermé 1</v>
      </c>
      <c r="Q1118" s="99"/>
      <c r="R1118" s="103" t="str">
        <f>Tableau3[[#This Row],[Description]]</f>
        <v>Vantail 2 en fdc Fermé 1</v>
      </c>
      <c r="S1118" s="52"/>
      <c r="U1118" s="87">
        <v>7</v>
      </c>
      <c r="V1118" s="87">
        <v>1</v>
      </c>
      <c r="W1118" s="87">
        <v>5</v>
      </c>
      <c r="X1118" s="87">
        <v>4</v>
      </c>
      <c r="Y1118" s="40"/>
      <c r="Z1118" s="165" t="str">
        <f>INDEX(Tableau2[TS],MATCH(Tableau3[[#This Row],[ID-CARTEVOIE]],Tableau2[ID-CARTEVOIE],0))</f>
        <v>ET</v>
      </c>
      <c r="AA1118" s="53" t="s">
        <v>213</v>
      </c>
      <c r="AB1118" s="223" t="str">
        <f>IFERROR(INDEX(Tableau5[Reserve],MATCH(Tableau3[[#This Row],[ID-SIG]],Tableau5[ID],0))&amp;"","")</f>
        <v/>
      </c>
      <c r="AC1118" s="21"/>
      <c r="AD1118" s="108" t="str">
        <f>INDEX(Tableau7[Repere],MATCH(Tableau3[[#This Row],[ID-API]],Tableau7[ID-API],0))&amp;""</f>
        <v>A7</v>
      </c>
      <c r="AE1118" s="108" t="str">
        <f>INDEX(Tableau1[Repere-Rack],MATCH(Tableau3[[#This Row],[ID-RACK]],Tableau1[ID-RACK],0))&amp;""</f>
        <v>R1</v>
      </c>
      <c r="AF1118" s="108" t="str">
        <f>INDEX(Tableau1[Repere-Slot],MATCH(Tableau3[[#This Row],[ID-SLOT]],Tableau1[ID-SLOT],0))&amp;""</f>
        <v>S5</v>
      </c>
      <c r="AG1118" s="108" t="str">
        <f>INDEX(Tableau2[Repere-Voie],MATCH(Tableau3[[#This Row],[ID-VOIE]],Tableau2[ID-Voie],0))&amp;""</f>
        <v>v4</v>
      </c>
      <c r="AH1118" s="72" t="str">
        <f>Tableau3[[#This Row],[ID-API]]&amp; "." &amp;Tableau3[[#This Row],[ID-RACK]]&amp; "." &amp;Tableau3[[#This Row],[ID-SLOT]]</f>
        <v>7.1.5</v>
      </c>
      <c r="AI1118" s="72" t="str">
        <f>INDEX(Tableau1[Ref-Carte],MATCH(Tableau3[[#This Row],[ID-RRS]],Tableau1[ID-RRS],0))</f>
        <v>SDI1602</v>
      </c>
      <c r="AJ1118" s="72" t="str">
        <f t="array" ref="AJ1118">IFERROR(INDEX(Tableau2[TS],MATCH(1,(Tableau2[Ref-Carte]=Tableau3[[#This Row],[Ref-Carte2]])*(Tableau2[ID-Voie]=Tableau3[[#This Row],[ID-VOIE]]),0)),"")</f>
        <v>ET</v>
      </c>
      <c r="AK1118" s="72" t="str">
        <f>IFERROR(INDEX(Tableau2[TS],SUMPRODUCT((Tableau2[Ref-Carte]=Tableau3[[#This Row],[Ref-Carte2]])*(Tableau2[ID-Voie]=Tableau3[[#This Row],[ID-VOIE]])*ROW(Tableau2[TS]))-ROW(Tableau2[#Headers])),"")</f>
        <v>ET</v>
      </c>
      <c r="AL1118" s="72" t="str">
        <f>Tableau3[[#This Row],[Ref-Carte2]]&amp;"/"&amp;Tableau3[[#This Row],[ID-VOIE]]</f>
        <v>SDI1602/4</v>
      </c>
      <c r="AM1118" s="73" t="str">
        <f>INDEX(Tableau2[Borne],MATCH(Tableau3[[#This Row],[ID-CARTEVOIE]],Tableau2[ID-CARTEVOIE],0))&amp;""</f>
        <v>2B</v>
      </c>
      <c r="AN1118" s="74" t="str">
        <f>Tableau3[[#This Row],[ID-API]]&amp;Tableau3[[#This Row],[ID-RACK]]&amp;Tableau3[[#This Row],[ID-SLOT]]&amp;Tableau3[[#This Row],[BORNE]]</f>
        <v>7152B</v>
      </c>
      <c r="AO1118" s="1"/>
    </row>
    <row r="1119" spans="1:41" ht="20.100000000000001" customHeight="1" thickTop="1" thickBot="1">
      <c r="A1119" s="68"/>
      <c r="B1119" s="69" t="str">
        <f>IFERROR(INDEX(Tableau4[Date],MATCH($A1119,Tableau4[EVO],0)),"")</f>
        <v/>
      </c>
      <c r="C1119" s="68" t="str">
        <f>IFERROR(INDEX(Tableau4[Designation],MATCH($A1119,Tableau4[EVO],0)),"")</f>
        <v/>
      </c>
      <c r="D1119" s="68"/>
      <c r="E1119" s="70">
        <v>3</v>
      </c>
      <c r="F1119" s="71">
        <v>236</v>
      </c>
      <c r="G1119" s="101" t="str">
        <f>INDEX(Tableau8[Att1],MATCH(Tableau3[[#This Row],[ID-INS]],Tableau8[ID],0))&amp;""</f>
        <v>V4</v>
      </c>
      <c r="H1119" s="101" t="str">
        <f>INDEX(Tableau8[Att2],MATCH(Tableau3[[#This Row],[ID-INS]],Tableau8[ID],0))&amp;""</f>
        <v>P3</v>
      </c>
      <c r="I1119" s="101" t="str">
        <f>INDEX(Tableau8[Att3],MATCH(Tableau3[[#This Row],[ID-INS]],Tableau8[ID],0))&amp;""</f>
        <v>Portail P3</v>
      </c>
      <c r="J1119" s="101"/>
      <c r="K1119" s="167" t="str">
        <f>INDEX(Tableau8[Nom du modele],MATCH(Tableau3[[#This Row],[ID-INS]],Tableau8[ID],0))&amp;""</f>
        <v>PortailR2V_1</v>
      </c>
      <c r="L1119" s="99" t="str">
        <f>INDEX(Tableau5[Att1],MATCH(Tableau3[[#This Row],[ID-SIG]],Tableau5[ID],0))&amp;""</f>
        <v>V2_OuvProtect</v>
      </c>
      <c r="M1119" s="99" t="str">
        <f>INDEX(Tableau5[Att2],MATCH(Tableau3[[#This Row],[ID-SIG]],Tableau5[ID],0))&amp;""</f>
        <v/>
      </c>
      <c r="N1119" s="99" t="str">
        <f>INDEX(Tableau5[Att3],MATCH(Tableau3[[#This Row],[ID-SIG]],Tableau5[ID],0))&amp;""</f>
        <v/>
      </c>
      <c r="O1119" s="99"/>
      <c r="P1119" s="99" t="str">
        <f>INDEX(Tableau5[Description],MATCH(Tableau3[[#This Row],[ID-SIG]],Tableau5[ID],0))</f>
        <v>Vantail 2 Protection à l'ouverture par bande ou lame palpeuse</v>
      </c>
      <c r="Q1119" s="99"/>
      <c r="R1119" s="103" t="str">
        <f>Tableau3[[#This Row],[Description]]</f>
        <v>Vantail 2 Protection à l'ouverture par bande ou lame palpeuse</v>
      </c>
      <c r="S1119" s="52"/>
      <c r="U1119" s="87">
        <v>7</v>
      </c>
      <c r="V1119" s="87">
        <v>1</v>
      </c>
      <c r="W1119" s="87">
        <v>5</v>
      </c>
      <c r="X1119" s="87">
        <v>5</v>
      </c>
      <c r="Y1119" s="40"/>
      <c r="Z1119" s="165" t="str">
        <f>INDEX(Tableau2[TS],MATCH(Tableau3[[#This Row],[ID-CARTEVOIE]],Tableau2[ID-CARTEVOIE],0))</f>
        <v>ET</v>
      </c>
      <c r="AA1119" s="53" t="s">
        <v>213</v>
      </c>
      <c r="AB1119" s="223" t="str">
        <f>IFERROR(INDEX(Tableau5[Reserve],MATCH(Tableau3[[#This Row],[ID-SIG]],Tableau5[ID],0))&amp;"","")</f>
        <v/>
      </c>
      <c r="AC1119" s="21"/>
      <c r="AD1119" s="108" t="str">
        <f>INDEX(Tableau7[Repere],MATCH(Tableau3[[#This Row],[ID-API]],Tableau7[ID-API],0))&amp;""</f>
        <v>A7</v>
      </c>
      <c r="AE1119" s="108" t="str">
        <f>INDEX(Tableau1[Repere-Rack],MATCH(Tableau3[[#This Row],[ID-RACK]],Tableau1[ID-RACK],0))&amp;""</f>
        <v>R1</v>
      </c>
      <c r="AF1119" s="108" t="str">
        <f>INDEX(Tableau1[Repere-Slot],MATCH(Tableau3[[#This Row],[ID-SLOT]],Tableau1[ID-SLOT],0))&amp;""</f>
        <v>S5</v>
      </c>
      <c r="AG1119" s="108" t="str">
        <f>INDEX(Tableau2[Repere-Voie],MATCH(Tableau3[[#This Row],[ID-VOIE]],Tableau2[ID-Voie],0))&amp;""</f>
        <v>v5</v>
      </c>
      <c r="AH1119" s="72" t="str">
        <f>Tableau3[[#This Row],[ID-API]]&amp; "." &amp;Tableau3[[#This Row],[ID-RACK]]&amp; "." &amp;Tableau3[[#This Row],[ID-SLOT]]</f>
        <v>7.1.5</v>
      </c>
      <c r="AI1119" s="72" t="str">
        <f>INDEX(Tableau1[Ref-Carte],MATCH(Tableau3[[#This Row],[ID-RRS]],Tableau1[ID-RRS],0))</f>
        <v>SDI1602</v>
      </c>
      <c r="AJ1119" s="72" t="str">
        <f t="array" ref="AJ1119">IFERROR(INDEX(Tableau2[TS],MATCH(1,(Tableau2[Ref-Carte]=Tableau3[[#This Row],[Ref-Carte2]])*(Tableau2[ID-Voie]=Tableau3[[#This Row],[ID-VOIE]]),0)),"")</f>
        <v>ET</v>
      </c>
      <c r="AK1119" s="72" t="str">
        <f>IFERROR(INDEX(Tableau2[TS],SUMPRODUCT((Tableau2[Ref-Carte]=Tableau3[[#This Row],[Ref-Carte2]])*(Tableau2[ID-Voie]=Tableau3[[#This Row],[ID-VOIE]])*ROW(Tableau2[TS]))-ROW(Tableau2[#Headers])),"")</f>
        <v>ET</v>
      </c>
      <c r="AL1119" s="72" t="str">
        <f>Tableau3[[#This Row],[Ref-Carte2]]&amp;"/"&amp;Tableau3[[#This Row],[ID-VOIE]]</f>
        <v>SDI1602/5</v>
      </c>
      <c r="AM1119" s="73" t="str">
        <f>INDEX(Tableau2[Borne],MATCH(Tableau3[[#This Row],[ID-CARTEVOIE]],Tableau2[ID-CARTEVOIE],0))&amp;""</f>
        <v>2A</v>
      </c>
      <c r="AN1119" s="74" t="str">
        <f>Tableau3[[#This Row],[ID-API]]&amp;Tableau3[[#This Row],[ID-RACK]]&amp;Tableau3[[#This Row],[ID-SLOT]]&amp;Tableau3[[#This Row],[BORNE]]</f>
        <v>7152A</v>
      </c>
      <c r="AO1119" s="1"/>
    </row>
    <row r="1120" spans="1:41" ht="20.100000000000001" customHeight="1" thickTop="1" thickBot="1">
      <c r="A1120" s="68"/>
      <c r="B1120" s="69" t="str">
        <f>IFERROR(INDEX(Tableau4[Date],MATCH($A1120,Tableau4[EVO],0)),"")</f>
        <v/>
      </c>
      <c r="C1120" s="68" t="str">
        <f>IFERROR(INDEX(Tableau4[Designation],MATCH($A1120,Tableau4[EVO],0)),"")</f>
        <v/>
      </c>
      <c r="D1120" s="68"/>
      <c r="E1120" s="70">
        <v>3</v>
      </c>
      <c r="F1120" s="71">
        <v>237</v>
      </c>
      <c r="G1120" s="101" t="str">
        <f>INDEX(Tableau8[Att1],MATCH(Tableau3[[#This Row],[ID-INS]],Tableau8[ID],0))&amp;""</f>
        <v>V4</v>
      </c>
      <c r="H1120" s="101" t="str">
        <f>INDEX(Tableau8[Att2],MATCH(Tableau3[[#This Row],[ID-INS]],Tableau8[ID],0))&amp;""</f>
        <v>P3</v>
      </c>
      <c r="I1120" s="101" t="str">
        <f>INDEX(Tableau8[Att3],MATCH(Tableau3[[#This Row],[ID-INS]],Tableau8[ID],0))&amp;""</f>
        <v>Portail P3</v>
      </c>
      <c r="J1120" s="101"/>
      <c r="K1120" s="167" t="str">
        <f>INDEX(Tableau8[Nom du modele],MATCH(Tableau3[[#This Row],[ID-INS]],Tableau8[ID],0))&amp;""</f>
        <v>PortailR2V_1</v>
      </c>
      <c r="L1120" s="99" t="str">
        <f>INDEX(Tableau5[Att1],MATCH(Tableau3[[#This Row],[ID-SIG]],Tableau5[ID],0))&amp;""</f>
        <v>V2_ProtectBarrage</v>
      </c>
      <c r="M1120" s="99" t="str">
        <f>INDEX(Tableau5[Att2],MATCH(Tableau3[[#This Row],[ID-SIG]],Tableau5[ID],0))&amp;""</f>
        <v/>
      </c>
      <c r="N1120" s="99" t="str">
        <f>INDEX(Tableau5[Att3],MATCH(Tableau3[[#This Row],[ID-SIG]],Tableau5[ID],0))&amp;""</f>
        <v/>
      </c>
      <c r="O1120" s="99"/>
      <c r="P1120" s="99" t="str">
        <f>INDEX(Tableau5[Description],MATCH(Tableau3[[#This Row],[ID-SIG]],Tableau5[ID],0))</f>
        <v>Vantail 2 Protection à fermeture et ouverture par barrage</v>
      </c>
      <c r="Q1120" s="99"/>
      <c r="R1120" s="103" t="str">
        <f>Tableau3[[#This Row],[Description]]</f>
        <v>Vantail 2 Protection à fermeture et ouverture par barrage</v>
      </c>
      <c r="S1120" s="52"/>
      <c r="U1120" s="87">
        <v>7</v>
      </c>
      <c r="V1120" s="87">
        <v>1</v>
      </c>
      <c r="W1120" s="87">
        <v>5</v>
      </c>
      <c r="X1120" s="87">
        <v>6</v>
      </c>
      <c r="Y1120" s="40"/>
      <c r="Z1120" s="165" t="str">
        <f>INDEX(Tableau2[TS],MATCH(Tableau3[[#This Row],[ID-CARTEVOIE]],Tableau2[ID-CARTEVOIE],0))</f>
        <v>ET</v>
      </c>
      <c r="AA1120" s="53" t="s">
        <v>213</v>
      </c>
      <c r="AB1120" s="223" t="str">
        <f>IFERROR(INDEX(Tableau5[Reserve],MATCH(Tableau3[[#This Row],[ID-SIG]],Tableau5[ID],0))&amp;"","")</f>
        <v/>
      </c>
      <c r="AC1120" s="21"/>
      <c r="AD1120" s="108" t="str">
        <f>INDEX(Tableau7[Repere],MATCH(Tableau3[[#This Row],[ID-API]],Tableau7[ID-API],0))&amp;""</f>
        <v>A7</v>
      </c>
      <c r="AE1120" s="108" t="str">
        <f>INDEX(Tableau1[Repere-Rack],MATCH(Tableau3[[#This Row],[ID-RACK]],Tableau1[ID-RACK],0))&amp;""</f>
        <v>R1</v>
      </c>
      <c r="AF1120" s="108" t="str">
        <f>INDEX(Tableau1[Repere-Slot],MATCH(Tableau3[[#This Row],[ID-SLOT]],Tableau1[ID-SLOT],0))&amp;""</f>
        <v>S5</v>
      </c>
      <c r="AG1120" s="108" t="str">
        <f>INDEX(Tableau2[Repere-Voie],MATCH(Tableau3[[#This Row],[ID-VOIE]],Tableau2[ID-Voie],0))&amp;""</f>
        <v>v6</v>
      </c>
      <c r="AH1120" s="72" t="str">
        <f>Tableau3[[#This Row],[ID-API]]&amp; "." &amp;Tableau3[[#This Row],[ID-RACK]]&amp; "." &amp;Tableau3[[#This Row],[ID-SLOT]]</f>
        <v>7.1.5</v>
      </c>
      <c r="AI1120" s="72" t="str">
        <f>INDEX(Tableau1[Ref-Carte],MATCH(Tableau3[[#This Row],[ID-RRS]],Tableau1[ID-RRS],0))</f>
        <v>SDI1602</v>
      </c>
      <c r="AJ1120" s="72" t="str">
        <f t="array" ref="AJ1120">IFERROR(INDEX(Tableau2[TS],MATCH(1,(Tableau2[Ref-Carte]=Tableau3[[#This Row],[Ref-Carte2]])*(Tableau2[ID-Voie]=Tableau3[[#This Row],[ID-VOIE]]),0)),"")</f>
        <v>ET</v>
      </c>
      <c r="AK1120" s="72" t="str">
        <f>IFERROR(INDEX(Tableau2[TS],SUMPRODUCT((Tableau2[Ref-Carte]=Tableau3[[#This Row],[Ref-Carte2]])*(Tableau2[ID-Voie]=Tableau3[[#This Row],[ID-VOIE]])*ROW(Tableau2[TS]))-ROW(Tableau2[#Headers])),"")</f>
        <v>ET</v>
      </c>
      <c r="AL1120" s="72" t="str">
        <f>Tableau3[[#This Row],[Ref-Carte2]]&amp;"/"&amp;Tableau3[[#This Row],[ID-VOIE]]</f>
        <v>SDI1602/6</v>
      </c>
      <c r="AM1120" s="73" t="str">
        <f>INDEX(Tableau2[Borne],MATCH(Tableau3[[#This Row],[ID-CARTEVOIE]],Tableau2[ID-CARTEVOIE],0))&amp;""</f>
        <v>3B</v>
      </c>
      <c r="AN1120" s="74" t="str">
        <f>Tableau3[[#This Row],[ID-API]]&amp;Tableau3[[#This Row],[ID-RACK]]&amp;Tableau3[[#This Row],[ID-SLOT]]&amp;Tableau3[[#This Row],[BORNE]]</f>
        <v>7153B</v>
      </c>
      <c r="AO1120" s="1"/>
    </row>
    <row r="1121" spans="1:41" ht="20.100000000000001" customHeight="1" thickTop="1" thickBot="1">
      <c r="A1121" s="68"/>
      <c r="B1121" s="69" t="str">
        <f>IFERROR(INDEX(Tableau4[Date],MATCH($A1121,Tableau4[EVO],0)),"")</f>
        <v/>
      </c>
      <c r="C1121" s="68" t="str">
        <f>IFERROR(INDEX(Tableau4[Designation],MATCH($A1121,Tableau4[EVO],0)),"")</f>
        <v/>
      </c>
      <c r="D1121" s="68"/>
      <c r="E1121" s="70">
        <v>3</v>
      </c>
      <c r="F1121" s="71">
        <v>238</v>
      </c>
      <c r="G1121" s="101" t="str">
        <f>INDEX(Tableau8[Att1],MATCH(Tableau3[[#This Row],[ID-INS]],Tableau8[ID],0))&amp;""</f>
        <v>V4</v>
      </c>
      <c r="H1121" s="101" t="str">
        <f>INDEX(Tableau8[Att2],MATCH(Tableau3[[#This Row],[ID-INS]],Tableau8[ID],0))&amp;""</f>
        <v>P3</v>
      </c>
      <c r="I1121" s="101" t="str">
        <f>INDEX(Tableau8[Att3],MATCH(Tableau3[[#This Row],[ID-INS]],Tableau8[ID],0))&amp;""</f>
        <v>Portail P3</v>
      </c>
      <c r="J1121" s="101"/>
      <c r="K1121" s="167" t="str">
        <f>INDEX(Tableau8[Nom du modele],MATCH(Tableau3[[#This Row],[ID-INS]],Tableau8[ID],0))&amp;""</f>
        <v>PortailR2V_1</v>
      </c>
      <c r="L1121" s="99" t="str">
        <f>INDEX(Tableau5[Att1],MATCH(Tableau3[[#This Row],[ID-SIG]],Tableau5[ID],0))&amp;""</f>
        <v>V2_FerProtect</v>
      </c>
      <c r="M1121" s="99" t="str">
        <f>INDEX(Tableau5[Att2],MATCH(Tableau3[[#This Row],[ID-SIG]],Tableau5[ID],0))&amp;""</f>
        <v/>
      </c>
      <c r="N1121" s="99" t="str">
        <f>INDEX(Tableau5[Att3],MATCH(Tableau3[[#This Row],[ID-SIG]],Tableau5[ID],0))&amp;""</f>
        <v/>
      </c>
      <c r="O1121" s="99"/>
      <c r="P1121" s="99" t="str">
        <f>INDEX(Tableau5[Description],MATCH(Tableau3[[#This Row],[ID-SIG]],Tableau5[ID],0))</f>
        <v>Vantail 2 Protection fermeture par bande palpeuse et barrage</v>
      </c>
      <c r="Q1121" s="99"/>
      <c r="R1121" s="103" t="str">
        <f>Tableau3[[#This Row],[Description]]</f>
        <v>Vantail 2 Protection fermeture par bande palpeuse et barrage</v>
      </c>
      <c r="S1121" s="52"/>
      <c r="U1121" s="87">
        <v>7</v>
      </c>
      <c r="V1121" s="87">
        <v>1</v>
      </c>
      <c r="W1121" s="87">
        <v>5</v>
      </c>
      <c r="X1121" s="87">
        <v>7</v>
      </c>
      <c r="Y1121" s="40"/>
      <c r="Z1121" s="165" t="str">
        <f>INDEX(Tableau2[TS],MATCH(Tableau3[[#This Row],[ID-CARTEVOIE]],Tableau2[ID-CARTEVOIE],0))</f>
        <v>ET</v>
      </c>
      <c r="AA1121" s="53" t="s">
        <v>213</v>
      </c>
      <c r="AB1121" s="223" t="str">
        <f>IFERROR(INDEX(Tableau5[Reserve],MATCH(Tableau3[[#This Row],[ID-SIG]],Tableau5[ID],0))&amp;"","")</f>
        <v/>
      </c>
      <c r="AC1121" s="21"/>
      <c r="AD1121" s="108" t="str">
        <f>INDEX(Tableau7[Repere],MATCH(Tableau3[[#This Row],[ID-API]],Tableau7[ID-API],0))&amp;""</f>
        <v>A7</v>
      </c>
      <c r="AE1121" s="108" t="str">
        <f>INDEX(Tableau1[Repere-Rack],MATCH(Tableau3[[#This Row],[ID-RACK]],Tableau1[ID-RACK],0))&amp;""</f>
        <v>R1</v>
      </c>
      <c r="AF1121" s="108" t="str">
        <f>INDEX(Tableau1[Repere-Slot],MATCH(Tableau3[[#This Row],[ID-SLOT]],Tableau1[ID-SLOT],0))&amp;""</f>
        <v>S5</v>
      </c>
      <c r="AG1121" s="108" t="str">
        <f>INDEX(Tableau2[Repere-Voie],MATCH(Tableau3[[#This Row],[ID-VOIE]],Tableau2[ID-Voie],0))&amp;""</f>
        <v>v7</v>
      </c>
      <c r="AH1121" s="72" t="str">
        <f>Tableau3[[#This Row],[ID-API]]&amp; "." &amp;Tableau3[[#This Row],[ID-RACK]]&amp; "." &amp;Tableau3[[#This Row],[ID-SLOT]]</f>
        <v>7.1.5</v>
      </c>
      <c r="AI1121" s="72" t="str">
        <f>INDEX(Tableau1[Ref-Carte],MATCH(Tableau3[[#This Row],[ID-RRS]],Tableau1[ID-RRS],0))</f>
        <v>SDI1602</v>
      </c>
      <c r="AJ1121" s="72" t="str">
        <f t="array" ref="AJ1121">IFERROR(INDEX(Tableau2[TS],MATCH(1,(Tableau2[Ref-Carte]=Tableau3[[#This Row],[Ref-Carte2]])*(Tableau2[ID-Voie]=Tableau3[[#This Row],[ID-VOIE]]),0)),"")</f>
        <v>ET</v>
      </c>
      <c r="AK1121" s="72" t="str">
        <f>IFERROR(INDEX(Tableau2[TS],SUMPRODUCT((Tableau2[Ref-Carte]=Tableau3[[#This Row],[Ref-Carte2]])*(Tableau2[ID-Voie]=Tableau3[[#This Row],[ID-VOIE]])*ROW(Tableau2[TS]))-ROW(Tableau2[#Headers])),"")</f>
        <v>ET</v>
      </c>
      <c r="AL1121" s="72" t="str">
        <f>Tableau3[[#This Row],[Ref-Carte2]]&amp;"/"&amp;Tableau3[[#This Row],[ID-VOIE]]</f>
        <v>SDI1602/7</v>
      </c>
      <c r="AM1121" s="73" t="str">
        <f>INDEX(Tableau2[Borne],MATCH(Tableau3[[#This Row],[ID-CARTEVOIE]],Tableau2[ID-CARTEVOIE],0))&amp;""</f>
        <v>3A</v>
      </c>
      <c r="AN1121" s="74" t="str">
        <f>Tableau3[[#This Row],[ID-API]]&amp;Tableau3[[#This Row],[ID-RACK]]&amp;Tableau3[[#This Row],[ID-SLOT]]&amp;Tableau3[[#This Row],[BORNE]]</f>
        <v>7153A</v>
      </c>
      <c r="AO1121" s="1"/>
    </row>
    <row r="1122" spans="1:41" ht="20.100000000000001" customHeight="1" thickTop="1" thickBot="1">
      <c r="A1122" s="68"/>
      <c r="B1122" s="69" t="str">
        <f>IFERROR(INDEX(Tableau4[Date],MATCH($A1122,Tableau4[EVO],0)),"")</f>
        <v/>
      </c>
      <c r="C1122" s="68" t="str">
        <f>IFERROR(INDEX(Tableau4[Designation],MATCH($A1122,Tableau4[EVO],0)),"")</f>
        <v/>
      </c>
      <c r="D1122" s="68"/>
      <c r="E1122" s="70">
        <v>3</v>
      </c>
      <c r="F1122" s="71">
        <v>239</v>
      </c>
      <c r="G1122" s="101" t="str">
        <f>INDEX(Tableau8[Att1],MATCH(Tableau3[[#This Row],[ID-INS]],Tableau8[ID],0))&amp;""</f>
        <v>V4</v>
      </c>
      <c r="H1122" s="101" t="str">
        <f>INDEX(Tableau8[Att2],MATCH(Tableau3[[#This Row],[ID-INS]],Tableau8[ID],0))&amp;""</f>
        <v>P3</v>
      </c>
      <c r="I1122" s="101" t="str">
        <f>INDEX(Tableau8[Att3],MATCH(Tableau3[[#This Row],[ID-INS]],Tableau8[ID],0))&amp;""</f>
        <v>Portail P3</v>
      </c>
      <c r="J1122" s="101"/>
      <c r="K1122" s="167" t="str">
        <f>INDEX(Tableau8[Nom du modele],MATCH(Tableau3[[#This Row],[ID-INS]],Tableau8[ID],0))&amp;""</f>
        <v>PortailR2V_1</v>
      </c>
      <c r="L1122" s="99" t="str">
        <f>INDEX(Tableau5[Att1],MATCH(Tableau3[[#This Row],[ID-SIG]],Tableau5[ID],0))&amp;""</f>
        <v>V2_FerRet1</v>
      </c>
      <c r="M1122" s="99" t="str">
        <f>INDEX(Tableau5[Att2],MATCH(Tableau3[[#This Row],[ID-SIG]],Tableau5[ID],0))&amp;""</f>
        <v/>
      </c>
      <c r="N1122" s="99" t="str">
        <f>INDEX(Tableau5[Att3],MATCH(Tableau3[[#This Row],[ID-SIG]],Tableau5[ID],0))&amp;""</f>
        <v/>
      </c>
      <c r="O1122" s="99"/>
      <c r="P1122" s="99" t="str">
        <f>INDEX(Tableau5[Description],MATCH(Tableau3[[#This Row],[ID-SIG]],Tableau5[ID],0))</f>
        <v>Retour Commande 1 fermeture vantail 2</v>
      </c>
      <c r="Q1122" s="99"/>
      <c r="R1122" s="103" t="str">
        <f>Tableau3[[#This Row],[Description]]</f>
        <v>Retour Commande 1 fermeture vantail 2</v>
      </c>
      <c r="S1122" s="52"/>
      <c r="U1122" s="87">
        <v>7</v>
      </c>
      <c r="V1122" s="87">
        <v>1</v>
      </c>
      <c r="W1122" s="87">
        <v>5</v>
      </c>
      <c r="X1122" s="87">
        <v>8</v>
      </c>
      <c r="Y1122" s="40"/>
      <c r="Z1122" s="165" t="str">
        <f>INDEX(Tableau2[TS],MATCH(Tableau3[[#This Row],[ID-CARTEVOIE]],Tableau2[ID-CARTEVOIE],0))</f>
        <v>ET</v>
      </c>
      <c r="AA1122" s="53" t="s">
        <v>213</v>
      </c>
      <c r="AB1122" s="223" t="str">
        <f>IFERROR(INDEX(Tableau5[Reserve],MATCH(Tableau3[[#This Row],[ID-SIG]],Tableau5[ID],0))&amp;"","")</f>
        <v/>
      </c>
      <c r="AC1122" s="21"/>
      <c r="AD1122" s="108" t="str">
        <f>INDEX(Tableau7[Repere],MATCH(Tableau3[[#This Row],[ID-API]],Tableau7[ID-API],0))&amp;""</f>
        <v>A7</v>
      </c>
      <c r="AE1122" s="108" t="str">
        <f>INDEX(Tableau1[Repere-Rack],MATCH(Tableau3[[#This Row],[ID-RACK]],Tableau1[ID-RACK],0))&amp;""</f>
        <v>R1</v>
      </c>
      <c r="AF1122" s="108" t="str">
        <f>INDEX(Tableau1[Repere-Slot],MATCH(Tableau3[[#This Row],[ID-SLOT]],Tableau1[ID-SLOT],0))&amp;""</f>
        <v>S5</v>
      </c>
      <c r="AG1122" s="108" t="str">
        <f>INDEX(Tableau2[Repere-Voie],MATCH(Tableau3[[#This Row],[ID-VOIE]],Tableau2[ID-Voie],0))&amp;""</f>
        <v>v8</v>
      </c>
      <c r="AH1122" s="72" t="str">
        <f>Tableau3[[#This Row],[ID-API]]&amp; "." &amp;Tableau3[[#This Row],[ID-RACK]]&amp; "." &amp;Tableau3[[#This Row],[ID-SLOT]]</f>
        <v>7.1.5</v>
      </c>
      <c r="AI1122" s="72" t="str">
        <f>INDEX(Tableau1[Ref-Carte],MATCH(Tableau3[[#This Row],[ID-RRS]],Tableau1[ID-RRS],0))</f>
        <v>SDI1602</v>
      </c>
      <c r="AJ1122" s="72" t="str">
        <f t="array" ref="AJ1122">IFERROR(INDEX(Tableau2[TS],MATCH(1,(Tableau2[Ref-Carte]=Tableau3[[#This Row],[Ref-Carte2]])*(Tableau2[ID-Voie]=Tableau3[[#This Row],[ID-VOIE]]),0)),"")</f>
        <v>ET</v>
      </c>
      <c r="AK1122" s="72" t="str">
        <f>IFERROR(INDEX(Tableau2[TS],SUMPRODUCT((Tableau2[Ref-Carte]=Tableau3[[#This Row],[Ref-Carte2]])*(Tableau2[ID-Voie]=Tableau3[[#This Row],[ID-VOIE]])*ROW(Tableau2[TS]))-ROW(Tableau2[#Headers])),"")</f>
        <v>ET</v>
      </c>
      <c r="AL1122" s="72" t="str">
        <f>Tableau3[[#This Row],[Ref-Carte2]]&amp;"/"&amp;Tableau3[[#This Row],[ID-VOIE]]</f>
        <v>SDI1602/8</v>
      </c>
      <c r="AM1122" s="73" t="str">
        <f>INDEX(Tableau2[Borne],MATCH(Tableau3[[#This Row],[ID-CARTEVOIE]],Tableau2[ID-CARTEVOIE],0))&amp;""</f>
        <v>4B</v>
      </c>
      <c r="AN1122" s="74" t="str">
        <f>Tableau3[[#This Row],[ID-API]]&amp;Tableau3[[#This Row],[ID-RACK]]&amp;Tableau3[[#This Row],[ID-SLOT]]&amp;Tableau3[[#This Row],[BORNE]]</f>
        <v>7154B</v>
      </c>
      <c r="AO1122" s="1"/>
    </row>
    <row r="1123" spans="1:41" ht="20.100000000000001" customHeight="1" thickTop="1" thickBot="1">
      <c r="A1123" s="68"/>
      <c r="B1123" s="69" t="str">
        <f>IFERROR(INDEX(Tableau4[Date],MATCH($A1123,Tableau4[EVO],0)),"")</f>
        <v/>
      </c>
      <c r="C1123" s="68" t="str">
        <f>IFERROR(INDEX(Tableau4[Designation],MATCH($A1123,Tableau4[EVO],0)),"")</f>
        <v/>
      </c>
      <c r="D1123" s="68"/>
      <c r="E1123" s="70">
        <v>3</v>
      </c>
      <c r="F1123" s="71">
        <v>240</v>
      </c>
      <c r="G1123" s="101" t="str">
        <f>INDEX(Tableau8[Att1],MATCH(Tableau3[[#This Row],[ID-INS]],Tableau8[ID],0))&amp;""</f>
        <v>V4</v>
      </c>
      <c r="H1123" s="101" t="str">
        <f>INDEX(Tableau8[Att2],MATCH(Tableau3[[#This Row],[ID-INS]],Tableau8[ID],0))&amp;""</f>
        <v>P3</v>
      </c>
      <c r="I1123" s="101" t="str">
        <f>INDEX(Tableau8[Att3],MATCH(Tableau3[[#This Row],[ID-INS]],Tableau8[ID],0))&amp;""</f>
        <v>Portail P3</v>
      </c>
      <c r="J1123" s="101"/>
      <c r="K1123" s="167" t="str">
        <f>INDEX(Tableau8[Nom du modele],MATCH(Tableau3[[#This Row],[ID-INS]],Tableau8[ID],0))&amp;""</f>
        <v>PortailR2V_1</v>
      </c>
      <c r="L1123" s="99" t="str">
        <f>INDEX(Tableau5[Att1],MATCH(Tableau3[[#This Row],[ID-SIG]],Tableau5[ID],0))&amp;""</f>
        <v>V2_GrpHydRet1</v>
      </c>
      <c r="M1123" s="99" t="str">
        <f>INDEX(Tableau5[Att2],MATCH(Tableau3[[#This Row],[ID-SIG]],Tableau5[ID],0))&amp;""</f>
        <v/>
      </c>
      <c r="N1123" s="99" t="str">
        <f>INDEX(Tableau5[Att3],MATCH(Tableau3[[#This Row],[ID-SIG]],Tableau5[ID],0))&amp;""</f>
        <v/>
      </c>
      <c r="O1123" s="99"/>
      <c r="P1123" s="99" t="str">
        <f>INDEX(Tableau5[Description],MATCH(Tableau3[[#This Row],[ID-SIG]],Tableau5[ID],0))</f>
        <v>Retour Commande 1 marche groupe hydraulique vantail 2</v>
      </c>
      <c r="Q1123" s="99"/>
      <c r="R1123" s="103" t="str">
        <f>Tableau3[[#This Row],[Description]]</f>
        <v>Retour Commande 1 marche groupe hydraulique vantail 2</v>
      </c>
      <c r="S1123" s="52"/>
      <c r="U1123" s="87">
        <v>7</v>
      </c>
      <c r="V1123" s="87">
        <v>1</v>
      </c>
      <c r="W1123" s="87">
        <v>5</v>
      </c>
      <c r="X1123" s="87">
        <v>9</v>
      </c>
      <c r="Y1123" s="40"/>
      <c r="Z1123" s="165" t="str">
        <f>INDEX(Tableau2[TS],MATCH(Tableau3[[#This Row],[ID-CARTEVOIE]],Tableau2[ID-CARTEVOIE],0))</f>
        <v>ET</v>
      </c>
      <c r="AA1123" s="53" t="s">
        <v>213</v>
      </c>
      <c r="AB1123" s="223" t="str">
        <f>IFERROR(INDEX(Tableau5[Reserve],MATCH(Tableau3[[#This Row],[ID-SIG]],Tableau5[ID],0))&amp;"","")</f>
        <v/>
      </c>
      <c r="AC1123" s="21"/>
      <c r="AD1123" s="108" t="str">
        <f>INDEX(Tableau7[Repere],MATCH(Tableau3[[#This Row],[ID-API]],Tableau7[ID-API],0))&amp;""</f>
        <v>A7</v>
      </c>
      <c r="AE1123" s="108" t="str">
        <f>INDEX(Tableau1[Repere-Rack],MATCH(Tableau3[[#This Row],[ID-RACK]],Tableau1[ID-RACK],0))&amp;""</f>
        <v>R1</v>
      </c>
      <c r="AF1123" s="108" t="str">
        <f>INDEX(Tableau1[Repere-Slot],MATCH(Tableau3[[#This Row],[ID-SLOT]],Tableau1[ID-SLOT],0))&amp;""</f>
        <v>S5</v>
      </c>
      <c r="AG1123" s="108" t="str">
        <f>INDEX(Tableau2[Repere-Voie],MATCH(Tableau3[[#This Row],[ID-VOIE]],Tableau2[ID-Voie],0))&amp;""</f>
        <v>v9</v>
      </c>
      <c r="AH1123" s="72" t="str">
        <f>Tableau3[[#This Row],[ID-API]]&amp; "." &amp;Tableau3[[#This Row],[ID-RACK]]&amp; "." &amp;Tableau3[[#This Row],[ID-SLOT]]</f>
        <v>7.1.5</v>
      </c>
      <c r="AI1123" s="72" t="str">
        <f>INDEX(Tableau1[Ref-Carte],MATCH(Tableau3[[#This Row],[ID-RRS]],Tableau1[ID-RRS],0))</f>
        <v>SDI1602</v>
      </c>
      <c r="AJ1123" s="72" t="str">
        <f t="array" ref="AJ1123">IFERROR(INDEX(Tableau2[TS],MATCH(1,(Tableau2[Ref-Carte]=Tableau3[[#This Row],[Ref-Carte2]])*(Tableau2[ID-Voie]=Tableau3[[#This Row],[ID-VOIE]]),0)),"")</f>
        <v>ET</v>
      </c>
      <c r="AK1123" s="72" t="str">
        <f>IFERROR(INDEX(Tableau2[TS],SUMPRODUCT((Tableau2[Ref-Carte]=Tableau3[[#This Row],[Ref-Carte2]])*(Tableau2[ID-Voie]=Tableau3[[#This Row],[ID-VOIE]])*ROW(Tableau2[TS]))-ROW(Tableau2[#Headers])),"")</f>
        <v>ET</v>
      </c>
      <c r="AL1123" s="72" t="str">
        <f>Tableau3[[#This Row],[Ref-Carte2]]&amp;"/"&amp;Tableau3[[#This Row],[ID-VOIE]]</f>
        <v>SDI1602/9</v>
      </c>
      <c r="AM1123" s="73" t="str">
        <f>INDEX(Tableau2[Borne],MATCH(Tableau3[[#This Row],[ID-CARTEVOIE]],Tableau2[ID-CARTEVOIE],0))&amp;""</f>
        <v>4A</v>
      </c>
      <c r="AN1123" s="74" t="str">
        <f>Tableau3[[#This Row],[ID-API]]&amp;Tableau3[[#This Row],[ID-RACK]]&amp;Tableau3[[#This Row],[ID-SLOT]]&amp;Tableau3[[#This Row],[BORNE]]</f>
        <v>7154A</v>
      </c>
      <c r="AO1123" s="1"/>
    </row>
    <row r="1124" spans="1:41" ht="20.100000000000001" customHeight="1" thickTop="1" thickBot="1">
      <c r="A1124" s="68"/>
      <c r="B1124" s="69" t="str">
        <f>IFERROR(INDEX(Tableau4[Date],MATCH($A1124,Tableau4[EVO],0)),"")</f>
        <v/>
      </c>
      <c r="C1124" s="68" t="str">
        <f>IFERROR(INDEX(Tableau4[Designation],MATCH($A1124,Tableau4[EVO],0)),"")</f>
        <v/>
      </c>
      <c r="D1124" s="68"/>
      <c r="E1124" s="70">
        <v>9</v>
      </c>
      <c r="F1124" s="71">
        <v>297</v>
      </c>
      <c r="G1124" s="101" t="str">
        <f>INDEX(Tableau8[Att1],MATCH(Tableau3[[#This Row],[ID-INS]],Tableau8[ID],0))&amp;""</f>
        <v>GR</v>
      </c>
      <c r="H1124" s="101" t="str">
        <f>INDEX(Tableau8[Att2],MATCH(Tableau3[[#This Row],[ID-INS]],Tableau8[ID],0))&amp;""</f>
        <v>P9</v>
      </c>
      <c r="I1124" s="101" t="str">
        <f>INDEX(Tableau8[Att3],MATCH(Tableau3[[#This Row],[ID-INS]],Tableau8[ID],0))&amp;""</f>
        <v>Portail P9</v>
      </c>
      <c r="J1124" s="101"/>
      <c r="K1124" s="167" t="str">
        <f>INDEX(Tableau8[Nom du modele],MATCH(Tableau3[[#This Row],[ID-INS]],Tableau8[ID],0))&amp;""</f>
        <v>PortailGareR</v>
      </c>
      <c r="L1124" s="99" t="str">
        <f>INDEX(Tableau5[Att1],MATCH(Tableau3[[#This Row],[ID-SIG]],Tableau5[ID],0))&amp;""</f>
        <v>Effraction</v>
      </c>
      <c r="M1124" s="99" t="str">
        <f>INDEX(Tableau5[Att2],MATCH(Tableau3[[#This Row],[ID-SIG]],Tableau5[ID],0))&amp;""</f>
        <v/>
      </c>
      <c r="N1124" s="99" t="str">
        <f>INDEX(Tableau5[Att3],MATCH(Tableau3[[#This Row],[ID-SIG]],Tableau5[ID],0))&amp;""</f>
        <v/>
      </c>
      <c r="O1124" s="99"/>
      <c r="P1124" s="99" t="str">
        <f>INDEX(Tableau5[Description],MATCH(Tableau3[[#This Row],[ID-SIG]],Tableau5[ID],0))</f>
        <v>Effraction</v>
      </c>
      <c r="Q1124" s="99"/>
      <c r="R1124" s="103" t="str">
        <f>Tableau3[[#This Row],[Description]]</f>
        <v>Effraction</v>
      </c>
      <c r="S1124" s="52"/>
      <c r="U1124" s="87">
        <v>7</v>
      </c>
      <c r="V1124" s="87">
        <v>1</v>
      </c>
      <c r="W1124" s="87">
        <v>5</v>
      </c>
      <c r="X1124" s="87">
        <v>10</v>
      </c>
      <c r="Y1124" s="40"/>
      <c r="Z1124" s="165" t="str">
        <f>INDEX(Tableau2[TS],MATCH(Tableau3[[#This Row],[ID-CARTEVOIE]],Tableau2[ID-CARTEVOIE],0))</f>
        <v>ET</v>
      </c>
      <c r="AA1124" s="53" t="s">
        <v>213</v>
      </c>
      <c r="AB1124" s="223" t="str">
        <f>IFERROR(INDEX(Tableau5[Reserve],MATCH(Tableau3[[#This Row],[ID-SIG]],Tableau5[ID],0))&amp;"","")</f>
        <v/>
      </c>
      <c r="AC1124" s="21"/>
      <c r="AD1124" s="108" t="str">
        <f>INDEX(Tableau7[Repere],MATCH(Tableau3[[#This Row],[ID-API]],Tableau7[ID-API],0))&amp;""</f>
        <v>A7</v>
      </c>
      <c r="AE1124" s="108" t="str">
        <f>INDEX(Tableau1[Repere-Rack],MATCH(Tableau3[[#This Row],[ID-RACK]],Tableau1[ID-RACK],0))&amp;""</f>
        <v>R1</v>
      </c>
      <c r="AF1124" s="108" t="str">
        <f>INDEX(Tableau1[Repere-Slot],MATCH(Tableau3[[#This Row],[ID-SLOT]],Tableau1[ID-SLOT],0))&amp;""</f>
        <v>S5</v>
      </c>
      <c r="AG1124" s="108" t="str">
        <f>INDEX(Tableau2[Repere-Voie],MATCH(Tableau3[[#This Row],[ID-VOIE]],Tableau2[ID-Voie],0))&amp;""</f>
        <v>v10</v>
      </c>
      <c r="AH1124" s="72" t="str">
        <f>Tableau3[[#This Row],[ID-API]]&amp; "." &amp;Tableau3[[#This Row],[ID-RACK]]&amp; "." &amp;Tableau3[[#This Row],[ID-SLOT]]</f>
        <v>7.1.5</v>
      </c>
      <c r="AI1124" s="72" t="str">
        <f>INDEX(Tableau1[Ref-Carte],MATCH(Tableau3[[#This Row],[ID-RRS]],Tableau1[ID-RRS],0))</f>
        <v>SDI1602</v>
      </c>
      <c r="AJ1124" s="72" t="str">
        <f t="array" ref="AJ1124">IFERROR(INDEX(Tableau2[TS],MATCH(1,(Tableau2[Ref-Carte]=Tableau3[[#This Row],[Ref-Carte2]])*(Tableau2[ID-Voie]=Tableau3[[#This Row],[ID-VOIE]]),0)),"")</f>
        <v>ET</v>
      </c>
      <c r="AK1124" s="72" t="str">
        <f>IFERROR(INDEX(Tableau2[TS],SUMPRODUCT((Tableau2[Ref-Carte]=Tableau3[[#This Row],[Ref-Carte2]])*(Tableau2[ID-Voie]=Tableau3[[#This Row],[ID-VOIE]])*ROW(Tableau2[TS]))-ROW(Tableau2[#Headers])),"")</f>
        <v>ET</v>
      </c>
      <c r="AL1124" s="72" t="str">
        <f>Tableau3[[#This Row],[Ref-Carte2]]&amp;"/"&amp;Tableau3[[#This Row],[ID-VOIE]]</f>
        <v>SDI1602/10</v>
      </c>
      <c r="AM1124" s="73" t="str">
        <f>INDEX(Tableau2[Borne],MATCH(Tableau3[[#This Row],[ID-CARTEVOIE]],Tableau2[ID-CARTEVOIE],0))&amp;""</f>
        <v>5B</v>
      </c>
      <c r="AN1124" s="74" t="str">
        <f>Tableau3[[#This Row],[ID-API]]&amp;Tableau3[[#This Row],[ID-RACK]]&amp;Tableau3[[#This Row],[ID-SLOT]]&amp;Tableau3[[#This Row],[BORNE]]</f>
        <v>7155B</v>
      </c>
      <c r="AO1124" s="1"/>
    </row>
    <row r="1125" spans="1:41" ht="20.100000000000001" customHeight="1" thickTop="1" thickBot="1">
      <c r="A1125" s="68"/>
      <c r="B1125" s="69" t="str">
        <f>IFERROR(INDEX(Tableau4[Date],MATCH($A1125,Tableau4[EVO],0)),"")</f>
        <v/>
      </c>
      <c r="C1125" s="68" t="str">
        <f>IFERROR(INDEX(Tableau4[Designation],MATCH($A1125,Tableau4[EVO],0)),"")</f>
        <v/>
      </c>
      <c r="D1125" s="68"/>
      <c r="E1125" s="70">
        <v>9</v>
      </c>
      <c r="F1125" s="71">
        <v>298</v>
      </c>
      <c r="G1125" s="101" t="str">
        <f>INDEX(Tableau8[Att1],MATCH(Tableau3[[#This Row],[ID-INS]],Tableau8[ID],0))&amp;""</f>
        <v>GR</v>
      </c>
      <c r="H1125" s="101" t="str">
        <f>INDEX(Tableau8[Att2],MATCH(Tableau3[[#This Row],[ID-INS]],Tableau8[ID],0))&amp;""</f>
        <v>P9</v>
      </c>
      <c r="I1125" s="101" t="str">
        <f>INDEX(Tableau8[Att3],MATCH(Tableau3[[#This Row],[ID-INS]],Tableau8[ID],0))&amp;""</f>
        <v>Portail P9</v>
      </c>
      <c r="J1125" s="101"/>
      <c r="K1125" s="167" t="str">
        <f>INDEX(Tableau8[Nom du modele],MATCH(Tableau3[[#This Row],[ID-INS]],Tableau8[ID],0))&amp;""</f>
        <v>PortailGareR</v>
      </c>
      <c r="L1125" s="99" t="str">
        <f>INDEX(Tableau5[Att1],MATCH(Tableau3[[#This Row],[ID-SIG]],Tableau5[ID],0))&amp;""</f>
        <v>Ouv</v>
      </c>
      <c r="M1125" s="99" t="str">
        <f>INDEX(Tableau5[Att2],MATCH(Tableau3[[#This Row],[ID-SIG]],Tableau5[ID],0))&amp;""</f>
        <v/>
      </c>
      <c r="N1125" s="99" t="str">
        <f>INDEX(Tableau5[Att3],MATCH(Tableau3[[#This Row],[ID-SIG]],Tableau5[ID],0))&amp;""</f>
        <v/>
      </c>
      <c r="O1125" s="99"/>
      <c r="P1125" s="99" t="str">
        <f>INDEX(Tableau5[Description],MATCH(Tableau3[[#This Row],[ID-SIG]],Tableau5[ID],0))</f>
        <v>Fdc Ouvert</v>
      </c>
      <c r="Q1125" s="99"/>
      <c r="R1125" s="103" t="str">
        <f>Tableau3[[#This Row],[Description]]</f>
        <v>Fdc Ouvert</v>
      </c>
      <c r="S1125" s="52"/>
      <c r="U1125" s="87">
        <v>7</v>
      </c>
      <c r="V1125" s="87">
        <v>1</v>
      </c>
      <c r="W1125" s="87">
        <v>5</v>
      </c>
      <c r="X1125" s="87">
        <v>11</v>
      </c>
      <c r="Y1125" s="40"/>
      <c r="Z1125" s="165" t="str">
        <f>INDEX(Tableau2[TS],MATCH(Tableau3[[#This Row],[ID-CARTEVOIE]],Tableau2[ID-CARTEVOIE],0))</f>
        <v>ET</v>
      </c>
      <c r="AA1125" s="53" t="s">
        <v>213</v>
      </c>
      <c r="AB1125" s="223" t="str">
        <f>IFERROR(INDEX(Tableau5[Reserve],MATCH(Tableau3[[#This Row],[ID-SIG]],Tableau5[ID],0))&amp;"","")</f>
        <v/>
      </c>
      <c r="AC1125" s="21"/>
      <c r="AD1125" s="108" t="str">
        <f>INDEX(Tableau7[Repere],MATCH(Tableau3[[#This Row],[ID-API]],Tableau7[ID-API],0))&amp;""</f>
        <v>A7</v>
      </c>
      <c r="AE1125" s="108" t="str">
        <f>INDEX(Tableau1[Repere-Rack],MATCH(Tableau3[[#This Row],[ID-RACK]],Tableau1[ID-RACK],0))&amp;""</f>
        <v>R1</v>
      </c>
      <c r="AF1125" s="108" t="str">
        <f>INDEX(Tableau1[Repere-Slot],MATCH(Tableau3[[#This Row],[ID-SLOT]],Tableau1[ID-SLOT],0))&amp;""</f>
        <v>S5</v>
      </c>
      <c r="AG1125" s="108" t="str">
        <f>INDEX(Tableau2[Repere-Voie],MATCH(Tableau3[[#This Row],[ID-VOIE]],Tableau2[ID-Voie],0))&amp;""</f>
        <v>v11</v>
      </c>
      <c r="AH1125" s="72" t="str">
        <f>Tableau3[[#This Row],[ID-API]]&amp; "." &amp;Tableau3[[#This Row],[ID-RACK]]&amp; "." &amp;Tableau3[[#This Row],[ID-SLOT]]</f>
        <v>7.1.5</v>
      </c>
      <c r="AI1125" s="72" t="str">
        <f>INDEX(Tableau1[Ref-Carte],MATCH(Tableau3[[#This Row],[ID-RRS]],Tableau1[ID-RRS],0))</f>
        <v>SDI1602</v>
      </c>
      <c r="AJ1125" s="72" t="str">
        <f t="array" ref="AJ1125">IFERROR(INDEX(Tableau2[TS],MATCH(1,(Tableau2[Ref-Carte]=Tableau3[[#This Row],[Ref-Carte2]])*(Tableau2[ID-Voie]=Tableau3[[#This Row],[ID-VOIE]]),0)),"")</f>
        <v>ET</v>
      </c>
      <c r="AK1125" s="72" t="str">
        <f>IFERROR(INDEX(Tableau2[TS],SUMPRODUCT((Tableau2[Ref-Carte]=Tableau3[[#This Row],[Ref-Carte2]])*(Tableau2[ID-Voie]=Tableau3[[#This Row],[ID-VOIE]])*ROW(Tableau2[TS]))-ROW(Tableau2[#Headers])),"")</f>
        <v>ET</v>
      </c>
      <c r="AL1125" s="72" t="str">
        <f>Tableau3[[#This Row],[Ref-Carte2]]&amp;"/"&amp;Tableau3[[#This Row],[ID-VOIE]]</f>
        <v>SDI1602/11</v>
      </c>
      <c r="AM1125" s="73" t="str">
        <f>INDEX(Tableau2[Borne],MATCH(Tableau3[[#This Row],[ID-CARTEVOIE]],Tableau2[ID-CARTEVOIE],0))&amp;""</f>
        <v>5A</v>
      </c>
      <c r="AN1125" s="74" t="str">
        <f>Tableau3[[#This Row],[ID-API]]&amp;Tableau3[[#This Row],[ID-RACK]]&amp;Tableau3[[#This Row],[ID-SLOT]]&amp;Tableau3[[#This Row],[BORNE]]</f>
        <v>7155A</v>
      </c>
      <c r="AO1125" s="1"/>
    </row>
    <row r="1126" spans="1:41" ht="20.100000000000001" customHeight="1" thickTop="1" thickBot="1">
      <c r="A1126" s="68"/>
      <c r="B1126" s="69" t="str">
        <f>IFERROR(INDEX(Tableau4[Date],MATCH($A1126,Tableau4[EVO],0)),"")</f>
        <v/>
      </c>
      <c r="C1126" s="68" t="str">
        <f>IFERROR(INDEX(Tableau4[Designation],MATCH($A1126,Tableau4[EVO],0)),"")</f>
        <v/>
      </c>
      <c r="D1126" s="68"/>
      <c r="E1126" s="70">
        <v>9</v>
      </c>
      <c r="F1126" s="71">
        <v>299</v>
      </c>
      <c r="G1126" s="101" t="str">
        <f>INDEX(Tableau8[Att1],MATCH(Tableau3[[#This Row],[ID-INS]],Tableau8[ID],0))&amp;""</f>
        <v>GR</v>
      </c>
      <c r="H1126" s="101" t="str">
        <f>INDEX(Tableau8[Att2],MATCH(Tableau3[[#This Row],[ID-INS]],Tableau8[ID],0))&amp;""</f>
        <v>P9</v>
      </c>
      <c r="I1126" s="101" t="str">
        <f>INDEX(Tableau8[Att3],MATCH(Tableau3[[#This Row],[ID-INS]],Tableau8[ID],0))&amp;""</f>
        <v>Portail P9</v>
      </c>
      <c r="J1126" s="101"/>
      <c r="K1126" s="167" t="str">
        <f>INDEX(Tableau8[Nom du modele],MATCH(Tableau3[[#This Row],[ID-INS]],Tableau8[ID],0))&amp;""</f>
        <v>PortailGareR</v>
      </c>
      <c r="L1126" s="99" t="str">
        <f>INDEX(Tableau5[Att1],MATCH(Tableau3[[#This Row],[ID-SIG]],Tableau5[ID],0))&amp;""</f>
        <v>Fer</v>
      </c>
      <c r="M1126" s="99" t="str">
        <f>INDEX(Tableau5[Att2],MATCH(Tableau3[[#This Row],[ID-SIG]],Tableau5[ID],0))&amp;""</f>
        <v/>
      </c>
      <c r="N1126" s="99" t="str">
        <f>INDEX(Tableau5[Att3],MATCH(Tableau3[[#This Row],[ID-SIG]],Tableau5[ID],0))&amp;""</f>
        <v/>
      </c>
      <c r="O1126" s="99"/>
      <c r="P1126" s="99" t="str">
        <f>INDEX(Tableau5[Description],MATCH(Tableau3[[#This Row],[ID-SIG]],Tableau5[ID],0))</f>
        <v>Fdc Fermé</v>
      </c>
      <c r="Q1126" s="99"/>
      <c r="R1126" s="103" t="str">
        <f>Tableau3[[#This Row],[Description]]</f>
        <v>Fdc Fermé</v>
      </c>
      <c r="S1126" s="52"/>
      <c r="U1126" s="87">
        <v>7</v>
      </c>
      <c r="V1126" s="87">
        <v>1</v>
      </c>
      <c r="W1126" s="87">
        <v>5</v>
      </c>
      <c r="X1126" s="87">
        <v>12</v>
      </c>
      <c r="Y1126" s="40"/>
      <c r="Z1126" s="165" t="str">
        <f>INDEX(Tableau2[TS],MATCH(Tableau3[[#This Row],[ID-CARTEVOIE]],Tableau2[ID-CARTEVOIE],0))</f>
        <v>ET</v>
      </c>
      <c r="AA1126" s="53" t="s">
        <v>213</v>
      </c>
      <c r="AB1126" s="223" t="str">
        <f>IFERROR(INDEX(Tableau5[Reserve],MATCH(Tableau3[[#This Row],[ID-SIG]],Tableau5[ID],0))&amp;"","")</f>
        <v/>
      </c>
      <c r="AC1126" s="21"/>
      <c r="AD1126" s="108" t="str">
        <f>INDEX(Tableau7[Repere],MATCH(Tableau3[[#This Row],[ID-API]],Tableau7[ID-API],0))&amp;""</f>
        <v>A7</v>
      </c>
      <c r="AE1126" s="108" t="str">
        <f>INDEX(Tableau1[Repere-Rack],MATCH(Tableau3[[#This Row],[ID-RACK]],Tableau1[ID-RACK],0))&amp;""</f>
        <v>R1</v>
      </c>
      <c r="AF1126" s="108" t="str">
        <f>INDEX(Tableau1[Repere-Slot],MATCH(Tableau3[[#This Row],[ID-SLOT]],Tableau1[ID-SLOT],0))&amp;""</f>
        <v>S5</v>
      </c>
      <c r="AG1126" s="108" t="str">
        <f>INDEX(Tableau2[Repere-Voie],MATCH(Tableau3[[#This Row],[ID-VOIE]],Tableau2[ID-Voie],0))&amp;""</f>
        <v>v12</v>
      </c>
      <c r="AH1126" s="72" t="str">
        <f>Tableau3[[#This Row],[ID-API]]&amp; "." &amp;Tableau3[[#This Row],[ID-RACK]]&amp; "." &amp;Tableau3[[#This Row],[ID-SLOT]]</f>
        <v>7.1.5</v>
      </c>
      <c r="AI1126" s="72" t="str">
        <f>INDEX(Tableau1[Ref-Carte],MATCH(Tableau3[[#This Row],[ID-RRS]],Tableau1[ID-RRS],0))</f>
        <v>SDI1602</v>
      </c>
      <c r="AJ1126" s="72" t="str">
        <f t="array" ref="AJ1126">IFERROR(INDEX(Tableau2[TS],MATCH(1,(Tableau2[Ref-Carte]=Tableau3[[#This Row],[Ref-Carte2]])*(Tableau2[ID-Voie]=Tableau3[[#This Row],[ID-VOIE]]),0)),"")</f>
        <v>ET</v>
      </c>
      <c r="AK1126" s="72" t="str">
        <f>IFERROR(INDEX(Tableau2[TS],SUMPRODUCT((Tableau2[Ref-Carte]=Tableau3[[#This Row],[Ref-Carte2]])*(Tableau2[ID-Voie]=Tableau3[[#This Row],[ID-VOIE]])*ROW(Tableau2[TS]))-ROW(Tableau2[#Headers])),"")</f>
        <v>ET</v>
      </c>
      <c r="AL1126" s="72" t="str">
        <f>Tableau3[[#This Row],[Ref-Carte2]]&amp;"/"&amp;Tableau3[[#This Row],[ID-VOIE]]</f>
        <v>SDI1602/12</v>
      </c>
      <c r="AM1126" s="73" t="str">
        <f>INDEX(Tableau2[Borne],MATCH(Tableau3[[#This Row],[ID-CARTEVOIE]],Tableau2[ID-CARTEVOIE],0))&amp;""</f>
        <v>6B</v>
      </c>
      <c r="AN1126" s="74" t="str">
        <f>Tableau3[[#This Row],[ID-API]]&amp;Tableau3[[#This Row],[ID-RACK]]&amp;Tableau3[[#This Row],[ID-SLOT]]&amp;Tableau3[[#This Row],[BORNE]]</f>
        <v>7156B</v>
      </c>
      <c r="AO1126" s="1"/>
    </row>
    <row r="1127" spans="1:41" ht="20.100000000000001" customHeight="1" thickTop="1" thickBot="1">
      <c r="A1127" s="68"/>
      <c r="B1127" s="69" t="str">
        <f>IFERROR(INDEX(Tableau4[Date],MATCH($A1127,Tableau4[EVO],0)),"")</f>
        <v/>
      </c>
      <c r="C1127" s="68" t="str">
        <f>IFERROR(INDEX(Tableau4[Designation],MATCH($A1127,Tableau4[EVO],0)),"")</f>
        <v/>
      </c>
      <c r="D1127" s="68"/>
      <c r="E1127" s="70">
        <v>9</v>
      </c>
      <c r="F1127" s="71">
        <v>300</v>
      </c>
      <c r="G1127" s="101" t="str">
        <f>INDEX(Tableau8[Att1],MATCH(Tableau3[[#This Row],[ID-INS]],Tableau8[ID],0))&amp;""</f>
        <v>GR</v>
      </c>
      <c r="H1127" s="101" t="str">
        <f>INDEX(Tableau8[Att2],MATCH(Tableau3[[#This Row],[ID-INS]],Tableau8[ID],0))&amp;""</f>
        <v>P9</v>
      </c>
      <c r="I1127" s="101" t="str">
        <f>INDEX(Tableau8[Att3],MATCH(Tableau3[[#This Row],[ID-INS]],Tableau8[ID],0))&amp;""</f>
        <v>Portail P9</v>
      </c>
      <c r="J1127" s="101"/>
      <c r="K1127" s="167" t="str">
        <f>INDEX(Tableau8[Nom du modele],MATCH(Tableau3[[#This Row],[ID-INS]],Tableau8[ID],0))&amp;""</f>
        <v>PortailGareR</v>
      </c>
      <c r="L1127" s="99" t="str">
        <f>INDEX(Tableau5[Att1],MATCH(Tableau3[[#This Row],[ID-SIG]],Tableau5[ID],0))&amp;""</f>
        <v>PresTension</v>
      </c>
      <c r="M1127" s="99" t="str">
        <f>INDEX(Tableau5[Att2],MATCH(Tableau3[[#This Row],[ID-SIG]],Tableau5[ID],0))&amp;""</f>
        <v/>
      </c>
      <c r="N1127" s="99" t="str">
        <f>INDEX(Tableau5[Att3],MATCH(Tableau3[[#This Row],[ID-SIG]],Tableau5[ID],0))&amp;""</f>
        <v/>
      </c>
      <c r="O1127" s="99"/>
      <c r="P1127" s="99" t="str">
        <f>INDEX(Tableau5[Description],MATCH(Tableau3[[#This Row],[ID-SIG]],Tableau5[ID],0))</f>
        <v>Presence tension</v>
      </c>
      <c r="Q1127" s="99"/>
      <c r="R1127" s="103" t="str">
        <f>Tableau3[[#This Row],[Description]]</f>
        <v>Presence tension</v>
      </c>
      <c r="S1127" s="52"/>
      <c r="U1127" s="87">
        <v>7</v>
      </c>
      <c r="V1127" s="87">
        <v>1</v>
      </c>
      <c r="W1127" s="87">
        <v>5</v>
      </c>
      <c r="X1127" s="87">
        <v>13</v>
      </c>
      <c r="Y1127" s="40"/>
      <c r="Z1127" s="165" t="str">
        <f>INDEX(Tableau2[TS],MATCH(Tableau3[[#This Row],[ID-CARTEVOIE]],Tableau2[ID-CARTEVOIE],0))</f>
        <v>ET</v>
      </c>
      <c r="AA1127" s="53" t="s">
        <v>213</v>
      </c>
      <c r="AB1127" s="223" t="str">
        <f>IFERROR(INDEX(Tableau5[Reserve],MATCH(Tableau3[[#This Row],[ID-SIG]],Tableau5[ID],0))&amp;"","")</f>
        <v/>
      </c>
      <c r="AC1127" s="21"/>
      <c r="AD1127" s="108" t="str">
        <f>INDEX(Tableau7[Repere],MATCH(Tableau3[[#This Row],[ID-API]],Tableau7[ID-API],0))&amp;""</f>
        <v>A7</v>
      </c>
      <c r="AE1127" s="108" t="str">
        <f>INDEX(Tableau1[Repere-Rack],MATCH(Tableau3[[#This Row],[ID-RACK]],Tableau1[ID-RACK],0))&amp;""</f>
        <v>R1</v>
      </c>
      <c r="AF1127" s="108" t="str">
        <f>INDEX(Tableau1[Repere-Slot],MATCH(Tableau3[[#This Row],[ID-SLOT]],Tableau1[ID-SLOT],0))&amp;""</f>
        <v>S5</v>
      </c>
      <c r="AG1127" s="108" t="str">
        <f>INDEX(Tableau2[Repere-Voie],MATCH(Tableau3[[#This Row],[ID-VOIE]],Tableau2[ID-Voie],0))&amp;""</f>
        <v>v13</v>
      </c>
      <c r="AH1127" s="72" t="str">
        <f>Tableau3[[#This Row],[ID-API]]&amp; "." &amp;Tableau3[[#This Row],[ID-RACK]]&amp; "." &amp;Tableau3[[#This Row],[ID-SLOT]]</f>
        <v>7.1.5</v>
      </c>
      <c r="AI1127" s="72" t="str">
        <f>INDEX(Tableau1[Ref-Carte],MATCH(Tableau3[[#This Row],[ID-RRS]],Tableau1[ID-RRS],0))</f>
        <v>SDI1602</v>
      </c>
      <c r="AJ1127" s="72" t="str">
        <f t="array" ref="AJ1127">IFERROR(INDEX(Tableau2[TS],MATCH(1,(Tableau2[Ref-Carte]=Tableau3[[#This Row],[Ref-Carte2]])*(Tableau2[ID-Voie]=Tableau3[[#This Row],[ID-VOIE]]),0)),"")</f>
        <v>ET</v>
      </c>
      <c r="AK1127" s="72" t="str">
        <f>IFERROR(INDEX(Tableau2[TS],SUMPRODUCT((Tableau2[Ref-Carte]=Tableau3[[#This Row],[Ref-Carte2]])*(Tableau2[ID-Voie]=Tableau3[[#This Row],[ID-VOIE]])*ROW(Tableau2[TS]))-ROW(Tableau2[#Headers])),"")</f>
        <v>ET</v>
      </c>
      <c r="AL1127" s="72" t="str">
        <f>Tableau3[[#This Row],[Ref-Carte2]]&amp;"/"&amp;Tableau3[[#This Row],[ID-VOIE]]</f>
        <v>SDI1602/13</v>
      </c>
      <c r="AM1127" s="73" t="str">
        <f>INDEX(Tableau2[Borne],MATCH(Tableau3[[#This Row],[ID-CARTEVOIE]],Tableau2[ID-CARTEVOIE],0))&amp;""</f>
        <v>6A</v>
      </c>
      <c r="AN1127" s="74" t="str">
        <f>Tableau3[[#This Row],[ID-API]]&amp;Tableau3[[#This Row],[ID-RACK]]&amp;Tableau3[[#This Row],[ID-SLOT]]&amp;Tableau3[[#This Row],[BORNE]]</f>
        <v>7156A</v>
      </c>
      <c r="AO1127" s="1"/>
    </row>
    <row r="1128" spans="1:41" ht="20.100000000000001" customHeight="1" thickTop="1" thickBot="1">
      <c r="A1128" s="68"/>
      <c r="B1128" s="69" t="str">
        <f>IFERROR(INDEX(Tableau4[Date],MATCH($A1128,Tableau4[EVO],0)),"")</f>
        <v/>
      </c>
      <c r="C1128" s="68" t="str">
        <f>IFERROR(INDEX(Tableau4[Designation],MATCH($A1128,Tableau4[EVO],0)),"")</f>
        <v/>
      </c>
      <c r="D1128" s="68"/>
      <c r="E1128" s="70">
        <v>12</v>
      </c>
      <c r="F1128" s="71">
        <v>108</v>
      </c>
      <c r="G1128" s="101" t="str">
        <f>INDEX(Tableau8[Att1],MATCH(Tableau3[[#This Row],[ID-INS]],Tableau8[ID],0))&amp;""</f>
        <v>GR</v>
      </c>
      <c r="H1128" s="101" t="str">
        <f>INDEX(Tableau8[Att2],MATCH(Tableau3[[#This Row],[ID-INS]],Tableau8[ID],0))&amp;""</f>
        <v>P12</v>
      </c>
      <c r="I1128" s="101" t="str">
        <f>INDEX(Tableau8[Att3],MATCH(Tableau3[[#This Row],[ID-INS]],Tableau8[ID],0))&amp;""</f>
        <v>Portail P12</v>
      </c>
      <c r="J1128" s="101"/>
      <c r="K1128" s="167" t="str">
        <f>INDEX(Tableau8[Nom du modele],MATCH(Tableau3[[#This Row],[ID-INS]],Tableau8[ID],0))&amp;""</f>
        <v>Portillon</v>
      </c>
      <c r="L1128" s="99" t="str">
        <f>INDEX(Tableau5[Att1],MATCH(Tableau3[[#This Row],[ID-SIG]],Tableau5[ID],0))&amp;""</f>
        <v>Fer</v>
      </c>
      <c r="M1128" s="99" t="str">
        <f>INDEX(Tableau5[Att2],MATCH(Tableau3[[#This Row],[ID-SIG]],Tableau5[ID],0))&amp;""</f>
        <v/>
      </c>
      <c r="N1128" s="99" t="str">
        <f>INDEX(Tableau5[Att3],MATCH(Tableau3[[#This Row],[ID-SIG]],Tableau5[ID],0))&amp;""</f>
        <v/>
      </c>
      <c r="O1128" s="99"/>
      <c r="P1128" s="99" t="str">
        <f>INDEX(Tableau5[Description],MATCH(Tableau3[[#This Row],[ID-SIG]],Tableau5[ID],0))</f>
        <v>Retour d'état fermée</v>
      </c>
      <c r="Q1128" s="99"/>
      <c r="R1128" s="103" t="str">
        <f>Tableau3[[#This Row],[Description]]</f>
        <v>Retour d'état fermée</v>
      </c>
      <c r="S1128" s="52"/>
      <c r="U1128" s="87">
        <v>7</v>
      </c>
      <c r="V1128" s="87">
        <v>1</v>
      </c>
      <c r="W1128" s="87">
        <v>5</v>
      </c>
      <c r="X1128" s="87">
        <v>14</v>
      </c>
      <c r="Y1128" s="40"/>
      <c r="Z1128" s="165" t="str">
        <f>INDEX(Tableau2[TS],MATCH(Tableau3[[#This Row],[ID-CARTEVOIE]],Tableau2[ID-CARTEVOIE],0))</f>
        <v>ET</v>
      </c>
      <c r="AA1128" s="53" t="s">
        <v>213</v>
      </c>
      <c r="AB1128" s="223" t="str">
        <f>IFERROR(INDEX(Tableau5[Reserve],MATCH(Tableau3[[#This Row],[ID-SIG]],Tableau5[ID],0))&amp;"","")</f>
        <v/>
      </c>
      <c r="AC1128" s="21"/>
      <c r="AD1128" s="108" t="str">
        <f>INDEX(Tableau7[Repere],MATCH(Tableau3[[#This Row],[ID-API]],Tableau7[ID-API],0))&amp;""</f>
        <v>A7</v>
      </c>
      <c r="AE1128" s="108" t="str">
        <f>INDEX(Tableau1[Repere-Rack],MATCH(Tableau3[[#This Row],[ID-RACK]],Tableau1[ID-RACK],0))&amp;""</f>
        <v>R1</v>
      </c>
      <c r="AF1128" s="108" t="str">
        <f>INDEX(Tableau1[Repere-Slot],MATCH(Tableau3[[#This Row],[ID-SLOT]],Tableau1[ID-SLOT],0))&amp;""</f>
        <v>S5</v>
      </c>
      <c r="AG1128" s="108" t="str">
        <f>INDEX(Tableau2[Repere-Voie],MATCH(Tableau3[[#This Row],[ID-VOIE]],Tableau2[ID-Voie],0))&amp;""</f>
        <v>v14</v>
      </c>
      <c r="AH1128" s="72" t="str">
        <f>Tableau3[[#This Row],[ID-API]]&amp; "." &amp;Tableau3[[#This Row],[ID-RACK]]&amp; "." &amp;Tableau3[[#This Row],[ID-SLOT]]</f>
        <v>7.1.5</v>
      </c>
      <c r="AI1128" s="72" t="str">
        <f>INDEX(Tableau1[Ref-Carte],MATCH(Tableau3[[#This Row],[ID-RRS]],Tableau1[ID-RRS],0))</f>
        <v>SDI1602</v>
      </c>
      <c r="AJ1128" s="72" t="str">
        <f t="array" ref="AJ1128">IFERROR(INDEX(Tableau2[TS],MATCH(1,(Tableau2[Ref-Carte]=Tableau3[[#This Row],[Ref-Carte2]])*(Tableau2[ID-Voie]=Tableau3[[#This Row],[ID-VOIE]]),0)),"")</f>
        <v>ET</v>
      </c>
      <c r="AK1128" s="72" t="str">
        <f>IFERROR(INDEX(Tableau2[TS],SUMPRODUCT((Tableau2[Ref-Carte]=Tableau3[[#This Row],[Ref-Carte2]])*(Tableau2[ID-Voie]=Tableau3[[#This Row],[ID-VOIE]])*ROW(Tableau2[TS]))-ROW(Tableau2[#Headers])),"")</f>
        <v>ET</v>
      </c>
      <c r="AL1128" s="72" t="str">
        <f>Tableau3[[#This Row],[Ref-Carte2]]&amp;"/"&amp;Tableau3[[#This Row],[ID-VOIE]]</f>
        <v>SDI1602/14</v>
      </c>
      <c r="AM1128" s="73" t="str">
        <f>INDEX(Tableau2[Borne],MATCH(Tableau3[[#This Row],[ID-CARTEVOIE]],Tableau2[ID-CARTEVOIE],0))&amp;""</f>
        <v>7B</v>
      </c>
      <c r="AN1128" s="74" t="str">
        <f>Tableau3[[#This Row],[ID-API]]&amp;Tableau3[[#This Row],[ID-RACK]]&amp;Tableau3[[#This Row],[ID-SLOT]]&amp;Tableau3[[#This Row],[BORNE]]</f>
        <v>7157B</v>
      </c>
      <c r="AO1128" s="1"/>
    </row>
    <row r="1129" spans="1:41" ht="20.100000000000001" customHeight="1" thickTop="1" thickBot="1">
      <c r="A1129" s="68"/>
      <c r="B1129" s="69" t="str">
        <f>IFERROR(INDEX(Tableau4[Date],MATCH($A1129,Tableau4[EVO],0)),"")</f>
        <v/>
      </c>
      <c r="C1129" s="68" t="str">
        <f>IFERROR(INDEX(Tableau4[Designation],MATCH($A1129,Tableau4[EVO],0)),"")</f>
        <v/>
      </c>
      <c r="D1129" s="68"/>
      <c r="E1129" s="70">
        <v>20</v>
      </c>
      <c r="F1129" s="71">
        <v>101</v>
      </c>
      <c r="G1129" s="101" t="str">
        <f>INDEX(Tableau8[Att1],MATCH(Tableau3[[#This Row],[ID-INS]],Tableau8[ID],0))&amp;""</f>
        <v>B21</v>
      </c>
      <c r="H1129" s="101" t="str">
        <f>INDEX(Tableau8[Att2],MATCH(Tableau3[[#This Row],[ID-INS]],Tableau8[ID],0))&amp;""</f>
        <v>PGA_CDP1</v>
      </c>
      <c r="I1129" s="101" t="str">
        <f>INDEX(Tableau8[Att3],MATCH(Tableau3[[#This Row],[ID-INS]],Tableau8[ID],0))&amp;""</f>
        <v>PGA CDP1</v>
      </c>
      <c r="J1129" s="101"/>
      <c r="K1129" s="167" t="str">
        <f>INDEX(Tableau8[Nom du modele],MATCH(Tableau3[[#This Row],[ID-INS]],Tableau8[ID],0))&amp;""</f>
        <v>ARU</v>
      </c>
      <c r="L1129" s="99" t="str">
        <f>INDEX(Tableau5[Att1],MATCH(Tableau3[[#This Row],[ID-SIG]],Tableau5[ID],0))&amp;""</f>
        <v>Decl2</v>
      </c>
      <c r="M1129" s="99" t="str">
        <f>INDEX(Tableau5[Att2],MATCH(Tableau3[[#This Row],[ID-SIG]],Tableau5[ID],0))&amp;""</f>
        <v/>
      </c>
      <c r="N1129" s="99" t="str">
        <f>INDEX(Tableau5[Att3],MATCH(Tableau3[[#This Row],[ID-SIG]],Tableau5[ID],0))&amp;""</f>
        <v/>
      </c>
      <c r="O1129" s="99"/>
      <c r="P1129" s="99" t="str">
        <f>INDEX(Tableau5[Description],MATCH(Tableau3[[#This Row],[ID-SIG]],Tableau5[ID],0))</f>
        <v>Déclenchement contact 2</v>
      </c>
      <c r="Q1129" s="99"/>
      <c r="R1129" s="103" t="str">
        <f>Tableau3[[#This Row],[Description]]</f>
        <v>Déclenchement contact 2</v>
      </c>
      <c r="U1129" s="87">
        <v>7</v>
      </c>
      <c r="V1129" s="87">
        <v>1</v>
      </c>
      <c r="W1129" s="87">
        <v>5</v>
      </c>
      <c r="X1129" s="87">
        <v>15</v>
      </c>
      <c r="Y1129" s="40"/>
      <c r="Z1129" s="165" t="str">
        <f>INDEX(Tableau2[TS],MATCH(Tableau3[[#This Row],[ID-CARTEVOIE]],Tableau2[ID-CARTEVOIE],0))</f>
        <v>ET</v>
      </c>
      <c r="AA1129" s="53" t="s">
        <v>213</v>
      </c>
      <c r="AB1129" s="223" t="str">
        <f>IFERROR(INDEX(Tableau5[Reserve],MATCH(Tableau3[[#This Row],[ID-SIG]],Tableau5[ID],0))&amp;"","")</f>
        <v/>
      </c>
      <c r="AC1129" s="21"/>
      <c r="AD1129" s="108" t="str">
        <f>INDEX(Tableau7[Repere],MATCH(Tableau3[[#This Row],[ID-API]],Tableau7[ID-API],0))&amp;""</f>
        <v>A7</v>
      </c>
      <c r="AE1129" s="108" t="str">
        <f>INDEX(Tableau1[Repere-Rack],MATCH(Tableau3[[#This Row],[ID-RACK]],Tableau1[ID-RACK],0))&amp;""</f>
        <v>R1</v>
      </c>
      <c r="AF1129" s="108" t="str">
        <f>INDEX(Tableau1[Repere-Slot],MATCH(Tableau3[[#This Row],[ID-SLOT]],Tableau1[ID-SLOT],0))&amp;""</f>
        <v>S5</v>
      </c>
      <c r="AG1129" s="108" t="str">
        <f>INDEX(Tableau2[Repere-Voie],MATCH(Tableau3[[#This Row],[ID-VOIE]],Tableau2[ID-Voie],0))&amp;""</f>
        <v>v15</v>
      </c>
      <c r="AH1129" s="72" t="str">
        <f>Tableau3[[#This Row],[ID-API]]&amp; "." &amp;Tableau3[[#This Row],[ID-RACK]]&amp; "." &amp;Tableau3[[#This Row],[ID-SLOT]]</f>
        <v>7.1.5</v>
      </c>
      <c r="AI1129" s="72" t="str">
        <f>INDEX(Tableau1[Ref-Carte],MATCH(Tableau3[[#This Row],[ID-RRS]],Tableau1[ID-RRS],0))</f>
        <v>SDI1602</v>
      </c>
      <c r="AJ1129" s="72" t="str">
        <f t="array" ref="AJ1129">IFERROR(INDEX(Tableau2[TS],MATCH(1,(Tableau2[Ref-Carte]=Tableau3[[#This Row],[Ref-Carte2]])*(Tableau2[ID-Voie]=Tableau3[[#This Row],[ID-VOIE]]),0)),"")</f>
        <v>ET</v>
      </c>
      <c r="AK1129" s="72" t="str">
        <f>IFERROR(INDEX(Tableau2[TS],SUMPRODUCT((Tableau2[Ref-Carte]=Tableau3[[#This Row],[Ref-Carte2]])*(Tableau2[ID-Voie]=Tableau3[[#This Row],[ID-VOIE]])*ROW(Tableau2[TS]))-ROW(Tableau2[#Headers])),"")</f>
        <v>ET</v>
      </c>
      <c r="AL1129" s="72" t="str">
        <f>Tableau3[[#This Row],[Ref-Carte2]]&amp;"/"&amp;Tableau3[[#This Row],[ID-VOIE]]</f>
        <v>SDI1602/15</v>
      </c>
      <c r="AM1129" s="73" t="str">
        <f>INDEX(Tableau2[Borne],MATCH(Tableau3[[#This Row],[ID-CARTEVOIE]],Tableau2[ID-CARTEVOIE],0))&amp;""</f>
        <v>7A</v>
      </c>
      <c r="AN1129" s="74" t="str">
        <f>Tableau3[[#This Row],[ID-API]]&amp;Tableau3[[#This Row],[ID-RACK]]&amp;Tableau3[[#This Row],[ID-SLOT]]&amp;Tableau3[[#This Row],[BORNE]]</f>
        <v>7157A</v>
      </c>
      <c r="AO1129" s="1"/>
    </row>
    <row r="1130" spans="1:41" ht="20.100000000000001" customHeight="1" thickTop="1" thickBot="1">
      <c r="A1130" s="78"/>
      <c r="B1130" s="69" t="str">
        <f>IFERROR(INDEX(Tableau4[Date],MATCH($A1130,Tableau4[EVO],0)),"")</f>
        <v/>
      </c>
      <c r="C1130" s="78" t="str">
        <f>IFERROR(INDEX(Tableau4[Designation],MATCH($A1130,Tableau4[EVO],0)),"")</f>
        <v/>
      </c>
      <c r="D1130" s="78"/>
      <c r="E1130" s="70">
        <v>21</v>
      </c>
      <c r="F1130" s="71">
        <v>101</v>
      </c>
      <c r="G1130" s="101" t="str">
        <f>INDEX(Tableau8[Att1],MATCH(Tableau3[[#This Row],[ID-INS]],Tableau8[ID],0))&amp;""</f>
        <v>B21</v>
      </c>
      <c r="H1130" s="101" t="str">
        <f>INDEX(Tableau8[Att2],MATCH(Tableau3[[#This Row],[ID-INS]],Tableau8[ID],0))&amp;""</f>
        <v>Réserve</v>
      </c>
      <c r="I1130" s="101" t="str">
        <f>INDEX(Tableau8[Att3],MATCH(Tableau3[[#This Row],[ID-INS]],Tableau8[ID],0))&amp;""</f>
        <v>Réserve</v>
      </c>
      <c r="J1130" s="101"/>
      <c r="K1130" s="167" t="str">
        <f>INDEX(Tableau8[Nom du modele],MATCH(Tableau3[[#This Row],[ID-INS]],Tableau8[ID],0))&amp;""</f>
        <v>ARU</v>
      </c>
      <c r="L1130" s="99" t="str">
        <f>INDEX(Tableau5[Att1],MATCH(Tableau3[[#This Row],[ID-SIG]],Tableau5[ID],0))&amp;""</f>
        <v>Decl2</v>
      </c>
      <c r="M1130" s="99" t="str">
        <f>INDEX(Tableau5[Att2],MATCH(Tableau3[[#This Row],[ID-SIG]],Tableau5[ID],0))&amp;""</f>
        <v/>
      </c>
      <c r="N1130" s="99" t="str">
        <f>INDEX(Tableau5[Att3],MATCH(Tableau3[[#This Row],[ID-SIG]],Tableau5[ID],0))&amp;""</f>
        <v/>
      </c>
      <c r="O1130" s="99"/>
      <c r="P1130" s="99" t="str">
        <f>INDEX(Tableau5[Description],MATCH(Tableau3[[#This Row],[ID-SIG]],Tableau5[ID],0))</f>
        <v>Déclenchement contact 2</v>
      </c>
      <c r="Q1130" s="99"/>
      <c r="R1130" s="103" t="str">
        <f>Tableau3[[#This Row],[Description]]</f>
        <v>Déclenchement contact 2</v>
      </c>
      <c r="U1130" s="87">
        <v>7</v>
      </c>
      <c r="V1130" s="87">
        <v>1</v>
      </c>
      <c r="W1130" s="87">
        <v>6</v>
      </c>
      <c r="X1130" s="87">
        <v>0</v>
      </c>
      <c r="Y1130" s="40"/>
      <c r="Z1130" s="165" t="str">
        <f>INDEX(Tableau2[TS],MATCH(Tableau3[[#This Row],[ID-CARTEVOIE]],Tableau2[ID-CARTEVOIE],0))</f>
        <v>ET</v>
      </c>
      <c r="AA1130" s="53" t="s">
        <v>213</v>
      </c>
      <c r="AB1130" s="223" t="str">
        <f>IFERROR(INDEX(Tableau5[Reserve],MATCH(Tableau3[[#This Row],[ID-SIG]],Tableau5[ID],0))&amp;"","")</f>
        <v/>
      </c>
      <c r="AC1130" s="21"/>
      <c r="AD1130" s="108" t="str">
        <f>INDEX(Tableau7[Repere],MATCH(Tableau3[[#This Row],[ID-API]],Tableau7[ID-API],0))&amp;""</f>
        <v>A7</v>
      </c>
      <c r="AE1130" s="108" t="str">
        <f>INDEX(Tableau1[Repere-Rack],MATCH(Tableau3[[#This Row],[ID-RACK]],Tableau1[ID-RACK],0))&amp;""</f>
        <v>R1</v>
      </c>
      <c r="AF1130" s="108" t="str">
        <f>INDEX(Tableau1[Repere-Slot],MATCH(Tableau3[[#This Row],[ID-SLOT]],Tableau1[ID-SLOT],0))&amp;""</f>
        <v>S6</v>
      </c>
      <c r="AG1130" s="108" t="str">
        <f>INDEX(Tableau2[Repere-Voie],MATCH(Tableau3[[#This Row],[ID-VOIE]],Tableau2[ID-Voie],0))&amp;""</f>
        <v>v0</v>
      </c>
      <c r="AH1130" s="72" t="str">
        <f>Tableau3[[#This Row],[ID-API]]&amp; "." &amp;Tableau3[[#This Row],[ID-RACK]]&amp; "." &amp;Tableau3[[#This Row],[ID-SLOT]]</f>
        <v>7.1.6</v>
      </c>
      <c r="AI1130" s="72" t="str">
        <f>INDEX(Tableau1[Ref-Carte],MATCH(Tableau3[[#This Row],[ID-RRS]],Tableau1[ID-RRS],0))</f>
        <v>SDI1602</v>
      </c>
      <c r="AJ1130" s="72" t="str">
        <f t="array" ref="AJ1130">IFERROR(INDEX(Tableau2[TS],MATCH(1,(Tableau2[Ref-Carte]=Tableau3[[#This Row],[Ref-Carte2]])*(Tableau2[ID-Voie]=Tableau3[[#This Row],[ID-VOIE]]),0)),"")</f>
        <v>ET</v>
      </c>
      <c r="AK1130" s="72" t="str">
        <f>IFERROR(INDEX(Tableau2[TS],SUMPRODUCT((Tableau2[Ref-Carte]=Tableau3[[#This Row],[Ref-Carte2]])*(Tableau2[ID-Voie]=Tableau3[[#This Row],[ID-VOIE]])*ROW(Tableau2[TS]))-ROW(Tableau2[#Headers])),"")</f>
        <v>ET</v>
      </c>
      <c r="AL1130" s="72" t="str">
        <f>Tableau3[[#This Row],[Ref-Carte2]]&amp;"/"&amp;Tableau3[[#This Row],[ID-VOIE]]</f>
        <v>SDI1602/0</v>
      </c>
      <c r="AM1130" s="73" t="str">
        <f>INDEX(Tableau2[Borne],MATCH(Tableau3[[#This Row],[ID-CARTEVOIE]],Tableau2[ID-CARTEVOIE],0))&amp;""</f>
        <v>0B</v>
      </c>
      <c r="AN1130" s="74" t="str">
        <f>Tableau3[[#This Row],[ID-API]]&amp;Tableau3[[#This Row],[ID-RACK]]&amp;Tableau3[[#This Row],[ID-SLOT]]&amp;Tableau3[[#This Row],[BORNE]]</f>
        <v>7160B</v>
      </c>
      <c r="AO1130" s="1"/>
    </row>
    <row r="1131" spans="1:41" ht="20.100000000000001" customHeight="1" thickTop="1" thickBot="1">
      <c r="A1131" s="68"/>
      <c r="B1131" s="69" t="str">
        <f>IFERROR(INDEX(Tableau4[Date],MATCH($A1131,Tableau4[EVO],0)),"")</f>
        <v/>
      </c>
      <c r="C1131" s="68" t="str">
        <f>IFERROR(INDEX(Tableau4[Designation],MATCH($A1131,Tableau4[EVO],0)),"")</f>
        <v/>
      </c>
      <c r="D1131" s="68"/>
      <c r="E1131" s="70">
        <v>22</v>
      </c>
      <c r="F1131" s="71">
        <v>101</v>
      </c>
      <c r="G1131" s="101" t="str">
        <f>INDEX(Tableau8[Att1],MATCH(Tableau3[[#This Row],[ID-INS]],Tableau8[ID],0))&amp;""</f>
        <v>B21</v>
      </c>
      <c r="H1131" s="101" t="str">
        <f>INDEX(Tableau8[Att2],MATCH(Tableau3[[#This Row],[ID-INS]],Tableau8[ID],0))&amp;""</f>
        <v>Réserve</v>
      </c>
      <c r="I1131" s="101" t="str">
        <f>INDEX(Tableau8[Att3],MATCH(Tableau3[[#This Row],[ID-INS]],Tableau8[ID],0))&amp;""</f>
        <v>Réserve</v>
      </c>
      <c r="J1131" s="101"/>
      <c r="K1131" s="167" t="str">
        <f>INDEX(Tableau8[Nom du modele],MATCH(Tableau3[[#This Row],[ID-INS]],Tableau8[ID],0))&amp;""</f>
        <v>ARU</v>
      </c>
      <c r="L1131" s="99" t="str">
        <f>INDEX(Tableau5[Att1],MATCH(Tableau3[[#This Row],[ID-SIG]],Tableau5[ID],0))&amp;""</f>
        <v>Decl2</v>
      </c>
      <c r="M1131" s="99" t="str">
        <f>INDEX(Tableau5[Att2],MATCH(Tableau3[[#This Row],[ID-SIG]],Tableau5[ID],0))&amp;""</f>
        <v/>
      </c>
      <c r="N1131" s="99" t="str">
        <f>INDEX(Tableau5[Att3],MATCH(Tableau3[[#This Row],[ID-SIG]],Tableau5[ID],0))&amp;""</f>
        <v/>
      </c>
      <c r="O1131" s="99"/>
      <c r="P1131" s="99" t="str">
        <f>INDEX(Tableau5[Description],MATCH(Tableau3[[#This Row],[ID-SIG]],Tableau5[ID],0))</f>
        <v>Déclenchement contact 2</v>
      </c>
      <c r="Q1131" s="99"/>
      <c r="R1131" s="103" t="str">
        <f>Tableau3[[#This Row],[Description]]</f>
        <v>Déclenchement contact 2</v>
      </c>
      <c r="U1131" s="87">
        <v>7</v>
      </c>
      <c r="V1131" s="87">
        <v>1</v>
      </c>
      <c r="W1131" s="87">
        <v>6</v>
      </c>
      <c r="X1131" s="87">
        <v>1</v>
      </c>
      <c r="Y1131" s="40"/>
      <c r="Z1131" s="165" t="str">
        <f>INDEX(Tableau2[TS],MATCH(Tableau3[[#This Row],[ID-CARTEVOIE]],Tableau2[ID-CARTEVOIE],0))</f>
        <v>ET</v>
      </c>
      <c r="AA1131" s="53" t="s">
        <v>213</v>
      </c>
      <c r="AB1131" s="223" t="str">
        <f>IFERROR(INDEX(Tableau5[Reserve],MATCH(Tableau3[[#This Row],[ID-SIG]],Tableau5[ID],0))&amp;"","")</f>
        <v/>
      </c>
      <c r="AC1131" s="21"/>
      <c r="AD1131" s="108" t="str">
        <f>INDEX(Tableau7[Repere],MATCH(Tableau3[[#This Row],[ID-API]],Tableau7[ID-API],0))&amp;""</f>
        <v>A7</v>
      </c>
      <c r="AE1131" s="108" t="str">
        <f>INDEX(Tableau1[Repere-Rack],MATCH(Tableau3[[#This Row],[ID-RACK]],Tableau1[ID-RACK],0))&amp;""</f>
        <v>R1</v>
      </c>
      <c r="AF1131" s="108" t="str">
        <f>INDEX(Tableau1[Repere-Slot],MATCH(Tableau3[[#This Row],[ID-SLOT]],Tableau1[ID-SLOT],0))&amp;""</f>
        <v>S6</v>
      </c>
      <c r="AG1131" s="108" t="str">
        <f>INDEX(Tableau2[Repere-Voie],MATCH(Tableau3[[#This Row],[ID-VOIE]],Tableau2[ID-Voie],0))&amp;""</f>
        <v>v1</v>
      </c>
      <c r="AH1131" s="72" t="str">
        <f>Tableau3[[#This Row],[ID-API]]&amp; "." &amp;Tableau3[[#This Row],[ID-RACK]]&amp; "." &amp;Tableau3[[#This Row],[ID-SLOT]]</f>
        <v>7.1.6</v>
      </c>
      <c r="AI1131" s="72" t="str">
        <f>INDEX(Tableau1[Ref-Carte],MATCH(Tableau3[[#This Row],[ID-RRS]],Tableau1[ID-RRS],0))</f>
        <v>SDI1602</v>
      </c>
      <c r="AJ1131" s="72" t="str">
        <f t="array" ref="AJ1131">IFERROR(INDEX(Tableau2[TS],MATCH(1,(Tableau2[Ref-Carte]=Tableau3[[#This Row],[Ref-Carte2]])*(Tableau2[ID-Voie]=Tableau3[[#This Row],[ID-VOIE]]),0)),"")</f>
        <v>ET</v>
      </c>
      <c r="AK1131" s="72" t="str">
        <f>IFERROR(INDEX(Tableau2[TS],SUMPRODUCT((Tableau2[Ref-Carte]=Tableau3[[#This Row],[Ref-Carte2]])*(Tableau2[ID-Voie]=Tableau3[[#This Row],[ID-VOIE]])*ROW(Tableau2[TS]))-ROW(Tableau2[#Headers])),"")</f>
        <v>ET</v>
      </c>
      <c r="AL1131" s="72" t="str">
        <f>Tableau3[[#This Row],[Ref-Carte2]]&amp;"/"&amp;Tableau3[[#This Row],[ID-VOIE]]</f>
        <v>SDI1602/1</v>
      </c>
      <c r="AM1131" s="73" t="str">
        <f>INDEX(Tableau2[Borne],MATCH(Tableau3[[#This Row],[ID-CARTEVOIE]],Tableau2[ID-CARTEVOIE],0))&amp;""</f>
        <v>0A</v>
      </c>
      <c r="AN1131" s="74" t="str">
        <f>Tableau3[[#This Row],[ID-API]]&amp;Tableau3[[#This Row],[ID-RACK]]&amp;Tableau3[[#This Row],[ID-SLOT]]&amp;Tableau3[[#This Row],[BORNE]]</f>
        <v>7160A</v>
      </c>
      <c r="AO1131" s="1"/>
    </row>
    <row r="1132" spans="1:41" ht="20.100000000000001" customHeight="1" thickTop="1" thickBot="1">
      <c r="A1132" s="68"/>
      <c r="B1132" s="69" t="str">
        <f>IFERROR(INDEX(Tableau4[Date],MATCH($A1132,Tableau4[EVO],0)),"")</f>
        <v/>
      </c>
      <c r="C1132" s="68" t="str">
        <f>IFERROR(INDEX(Tableau4[Designation],MATCH($A1132,Tableau4[EVO],0)),"")</f>
        <v/>
      </c>
      <c r="D1132" s="68"/>
      <c r="E1132" s="70">
        <v>23</v>
      </c>
      <c r="F1132" s="71">
        <v>101</v>
      </c>
      <c r="G1132" s="101" t="str">
        <f>INDEX(Tableau8[Att1],MATCH(Tableau3[[#This Row],[ID-INS]],Tableau8[ID],0))&amp;""</f>
        <v>B21</v>
      </c>
      <c r="H1132" s="101" t="str">
        <f>INDEX(Tableau8[Att2],MATCH(Tableau3[[#This Row],[ID-INS]],Tableau8[ID],0))&amp;""</f>
        <v>Réserve</v>
      </c>
      <c r="I1132" s="101" t="str">
        <f>INDEX(Tableau8[Att3],MATCH(Tableau3[[#This Row],[ID-INS]],Tableau8[ID],0))&amp;""</f>
        <v>Réserve</v>
      </c>
      <c r="J1132" s="101"/>
      <c r="K1132" s="167" t="str">
        <f>INDEX(Tableau8[Nom du modele],MATCH(Tableau3[[#This Row],[ID-INS]],Tableau8[ID],0))&amp;""</f>
        <v>ARU</v>
      </c>
      <c r="L1132" s="99" t="str">
        <f>INDEX(Tableau5[Att1],MATCH(Tableau3[[#This Row],[ID-SIG]],Tableau5[ID],0))&amp;""</f>
        <v>Decl2</v>
      </c>
      <c r="M1132" s="99" t="str">
        <f>INDEX(Tableau5[Att2],MATCH(Tableau3[[#This Row],[ID-SIG]],Tableau5[ID],0))&amp;""</f>
        <v/>
      </c>
      <c r="N1132" s="99" t="str">
        <f>INDEX(Tableau5[Att3],MATCH(Tableau3[[#This Row],[ID-SIG]],Tableau5[ID],0))&amp;""</f>
        <v/>
      </c>
      <c r="O1132" s="99"/>
      <c r="P1132" s="99" t="str">
        <f>INDEX(Tableau5[Description],MATCH(Tableau3[[#This Row],[ID-SIG]],Tableau5[ID],0))</f>
        <v>Déclenchement contact 2</v>
      </c>
      <c r="Q1132" s="99"/>
      <c r="R1132" s="103" t="str">
        <f>Tableau3[[#This Row],[Description]]</f>
        <v>Déclenchement contact 2</v>
      </c>
      <c r="U1132" s="87">
        <v>7</v>
      </c>
      <c r="V1132" s="87">
        <v>1</v>
      </c>
      <c r="W1132" s="87">
        <v>6</v>
      </c>
      <c r="X1132" s="87">
        <v>2</v>
      </c>
      <c r="Y1132" s="40"/>
      <c r="Z1132" s="165" t="str">
        <f>INDEX(Tableau2[TS],MATCH(Tableau3[[#This Row],[ID-CARTEVOIE]],Tableau2[ID-CARTEVOIE],0))</f>
        <v>ET</v>
      </c>
      <c r="AA1132" s="53" t="s">
        <v>213</v>
      </c>
      <c r="AB1132" s="223" t="str">
        <f>IFERROR(INDEX(Tableau5[Reserve],MATCH(Tableau3[[#This Row],[ID-SIG]],Tableau5[ID],0))&amp;"","")</f>
        <v/>
      </c>
      <c r="AC1132" s="21"/>
      <c r="AD1132" s="108" t="str">
        <f>INDEX(Tableau7[Repere],MATCH(Tableau3[[#This Row],[ID-API]],Tableau7[ID-API],0))&amp;""</f>
        <v>A7</v>
      </c>
      <c r="AE1132" s="108" t="str">
        <f>INDEX(Tableau1[Repere-Rack],MATCH(Tableau3[[#This Row],[ID-RACK]],Tableau1[ID-RACK],0))&amp;""</f>
        <v>R1</v>
      </c>
      <c r="AF1132" s="108" t="str">
        <f>INDEX(Tableau1[Repere-Slot],MATCH(Tableau3[[#This Row],[ID-SLOT]],Tableau1[ID-SLOT],0))&amp;""</f>
        <v>S6</v>
      </c>
      <c r="AG1132" s="108" t="str">
        <f>INDEX(Tableau2[Repere-Voie],MATCH(Tableau3[[#This Row],[ID-VOIE]],Tableau2[ID-Voie],0))&amp;""</f>
        <v>v2</v>
      </c>
      <c r="AH1132" s="72" t="str">
        <f>Tableau3[[#This Row],[ID-API]]&amp; "." &amp;Tableau3[[#This Row],[ID-RACK]]&amp; "." &amp;Tableau3[[#This Row],[ID-SLOT]]</f>
        <v>7.1.6</v>
      </c>
      <c r="AI1132" s="72" t="str">
        <f>INDEX(Tableau1[Ref-Carte],MATCH(Tableau3[[#This Row],[ID-RRS]],Tableau1[ID-RRS],0))</f>
        <v>SDI1602</v>
      </c>
      <c r="AJ1132" s="72" t="str">
        <f t="array" ref="AJ1132">IFERROR(INDEX(Tableau2[TS],MATCH(1,(Tableau2[Ref-Carte]=Tableau3[[#This Row],[Ref-Carte2]])*(Tableau2[ID-Voie]=Tableau3[[#This Row],[ID-VOIE]]),0)),"")</f>
        <v>ET</v>
      </c>
      <c r="AK1132" s="72" t="str">
        <f>IFERROR(INDEX(Tableau2[TS],SUMPRODUCT((Tableau2[Ref-Carte]=Tableau3[[#This Row],[Ref-Carte2]])*(Tableau2[ID-Voie]=Tableau3[[#This Row],[ID-VOIE]])*ROW(Tableau2[TS]))-ROW(Tableau2[#Headers])),"")</f>
        <v>ET</v>
      </c>
      <c r="AL1132" s="72" t="str">
        <f>Tableau3[[#This Row],[Ref-Carte2]]&amp;"/"&amp;Tableau3[[#This Row],[ID-VOIE]]</f>
        <v>SDI1602/2</v>
      </c>
      <c r="AM1132" s="73" t="str">
        <f>INDEX(Tableau2[Borne],MATCH(Tableau3[[#This Row],[ID-CARTEVOIE]],Tableau2[ID-CARTEVOIE],0))&amp;""</f>
        <v>1B</v>
      </c>
      <c r="AN1132" s="74" t="str">
        <f>Tableau3[[#This Row],[ID-API]]&amp;Tableau3[[#This Row],[ID-RACK]]&amp;Tableau3[[#This Row],[ID-SLOT]]&amp;Tableau3[[#This Row],[BORNE]]</f>
        <v>7161B</v>
      </c>
      <c r="AO1132" s="1"/>
    </row>
    <row r="1133" spans="1:41" ht="20.100000000000001" customHeight="1" thickTop="1" thickBot="1">
      <c r="A1133" s="68"/>
      <c r="B1133" s="69" t="str">
        <f>IFERROR(INDEX(Tableau4[Date],MATCH($A1133,Tableau4[EVO],0)),"")</f>
        <v/>
      </c>
      <c r="C1133" s="68" t="str">
        <f>IFERROR(INDEX(Tableau4[Designation],MATCH($A1133,Tableau4[EVO],0)),"")</f>
        <v/>
      </c>
      <c r="D1133" s="68"/>
      <c r="E1133" s="70">
        <v>24</v>
      </c>
      <c r="F1133" s="71">
        <v>101</v>
      </c>
      <c r="G1133" s="101" t="str">
        <f>INDEX(Tableau8[Att1],MATCH(Tableau3[[#This Row],[ID-INS]],Tableau8[ID],0))&amp;""</f>
        <v>B21</v>
      </c>
      <c r="H1133" s="101" t="str">
        <f>INDEX(Tableau8[Att2],MATCH(Tableau3[[#This Row],[ID-INS]],Tableau8[ID],0))&amp;""</f>
        <v>Réserve</v>
      </c>
      <c r="I1133" s="101" t="str">
        <f>INDEX(Tableau8[Att3],MATCH(Tableau3[[#This Row],[ID-INS]],Tableau8[ID],0))&amp;""</f>
        <v>Réserve</v>
      </c>
      <c r="J1133" s="101"/>
      <c r="K1133" s="167" t="str">
        <f>INDEX(Tableau8[Nom du modele],MATCH(Tableau3[[#This Row],[ID-INS]],Tableau8[ID],0))&amp;""</f>
        <v>ARU</v>
      </c>
      <c r="L1133" s="99" t="str">
        <f>INDEX(Tableau5[Att1],MATCH(Tableau3[[#This Row],[ID-SIG]],Tableau5[ID],0))&amp;""</f>
        <v>Decl2</v>
      </c>
      <c r="M1133" s="99" t="str">
        <f>INDEX(Tableau5[Att2],MATCH(Tableau3[[#This Row],[ID-SIG]],Tableau5[ID],0))&amp;""</f>
        <v/>
      </c>
      <c r="N1133" s="99" t="str">
        <f>INDEX(Tableau5[Att3],MATCH(Tableau3[[#This Row],[ID-SIG]],Tableau5[ID],0))&amp;""</f>
        <v/>
      </c>
      <c r="O1133" s="99"/>
      <c r="P1133" s="99" t="str">
        <f>INDEX(Tableau5[Description],MATCH(Tableau3[[#This Row],[ID-SIG]],Tableau5[ID],0))</f>
        <v>Déclenchement contact 2</v>
      </c>
      <c r="Q1133" s="99"/>
      <c r="R1133" s="103" t="str">
        <f>Tableau3[[#This Row],[Description]]</f>
        <v>Déclenchement contact 2</v>
      </c>
      <c r="U1133" s="87">
        <v>7</v>
      </c>
      <c r="V1133" s="87">
        <v>1</v>
      </c>
      <c r="W1133" s="87">
        <v>6</v>
      </c>
      <c r="X1133" s="87">
        <v>3</v>
      </c>
      <c r="Y1133" s="40"/>
      <c r="Z1133" s="165" t="str">
        <f>INDEX(Tableau2[TS],MATCH(Tableau3[[#This Row],[ID-CARTEVOIE]],Tableau2[ID-CARTEVOIE],0))</f>
        <v>ET</v>
      </c>
      <c r="AA1133" s="53" t="s">
        <v>213</v>
      </c>
      <c r="AB1133" s="223" t="str">
        <f>IFERROR(INDEX(Tableau5[Reserve],MATCH(Tableau3[[#This Row],[ID-SIG]],Tableau5[ID],0))&amp;"","")</f>
        <v/>
      </c>
      <c r="AC1133" s="21"/>
      <c r="AD1133" s="108" t="str">
        <f>INDEX(Tableau7[Repere],MATCH(Tableau3[[#This Row],[ID-API]],Tableau7[ID-API],0))&amp;""</f>
        <v>A7</v>
      </c>
      <c r="AE1133" s="108" t="str">
        <f>INDEX(Tableau1[Repere-Rack],MATCH(Tableau3[[#This Row],[ID-RACK]],Tableau1[ID-RACK],0))&amp;""</f>
        <v>R1</v>
      </c>
      <c r="AF1133" s="108" t="str">
        <f>INDEX(Tableau1[Repere-Slot],MATCH(Tableau3[[#This Row],[ID-SLOT]],Tableau1[ID-SLOT],0))&amp;""</f>
        <v>S6</v>
      </c>
      <c r="AG1133" s="108" t="str">
        <f>INDEX(Tableau2[Repere-Voie],MATCH(Tableau3[[#This Row],[ID-VOIE]],Tableau2[ID-Voie],0))&amp;""</f>
        <v>v3</v>
      </c>
      <c r="AH1133" s="72" t="str">
        <f>Tableau3[[#This Row],[ID-API]]&amp; "." &amp;Tableau3[[#This Row],[ID-RACK]]&amp; "." &amp;Tableau3[[#This Row],[ID-SLOT]]</f>
        <v>7.1.6</v>
      </c>
      <c r="AI1133" s="72" t="str">
        <f>INDEX(Tableau1[Ref-Carte],MATCH(Tableau3[[#This Row],[ID-RRS]],Tableau1[ID-RRS],0))</f>
        <v>SDI1602</v>
      </c>
      <c r="AJ1133" s="72" t="str">
        <f t="array" ref="AJ1133">IFERROR(INDEX(Tableau2[TS],MATCH(1,(Tableau2[Ref-Carte]=Tableau3[[#This Row],[Ref-Carte2]])*(Tableau2[ID-Voie]=Tableau3[[#This Row],[ID-VOIE]]),0)),"")</f>
        <v>ET</v>
      </c>
      <c r="AK1133" s="72" t="str">
        <f>IFERROR(INDEX(Tableau2[TS],SUMPRODUCT((Tableau2[Ref-Carte]=Tableau3[[#This Row],[Ref-Carte2]])*(Tableau2[ID-Voie]=Tableau3[[#This Row],[ID-VOIE]])*ROW(Tableau2[TS]))-ROW(Tableau2[#Headers])),"")</f>
        <v>ET</v>
      </c>
      <c r="AL1133" s="72" t="str">
        <f>Tableau3[[#This Row],[Ref-Carte2]]&amp;"/"&amp;Tableau3[[#This Row],[ID-VOIE]]</f>
        <v>SDI1602/3</v>
      </c>
      <c r="AM1133" s="73" t="str">
        <f>INDEX(Tableau2[Borne],MATCH(Tableau3[[#This Row],[ID-CARTEVOIE]],Tableau2[ID-CARTEVOIE],0))&amp;""</f>
        <v>1A</v>
      </c>
      <c r="AN1133" s="74" t="str">
        <f>Tableau3[[#This Row],[ID-API]]&amp;Tableau3[[#This Row],[ID-RACK]]&amp;Tableau3[[#This Row],[ID-SLOT]]&amp;Tableau3[[#This Row],[BORNE]]</f>
        <v>7161A</v>
      </c>
      <c r="AO1133" s="1"/>
    </row>
    <row r="1134" spans="1:41" ht="20.100000000000001" customHeight="1" thickTop="1" thickBot="1">
      <c r="A1134" s="68"/>
      <c r="B1134" s="69" t="str">
        <f>IFERROR(INDEX(Tableau4[Date],MATCH($A1134,Tableau4[EVO],0)),"")</f>
        <v/>
      </c>
      <c r="C1134" s="68" t="str">
        <f>IFERROR(INDEX(Tableau4[Designation],MATCH($A1134,Tableau4[EVO],0)),"")</f>
        <v/>
      </c>
      <c r="D1134" s="68"/>
      <c r="E1134" s="70">
        <v>56</v>
      </c>
      <c r="F1134" s="71">
        <v>31</v>
      </c>
      <c r="G1134" s="101" t="str">
        <f>INDEX(Tableau8[Att1],MATCH(Tableau3[[#This Row],[ID-INS]],Tableau8[ID],0))&amp;""</f>
        <v>B21</v>
      </c>
      <c r="H1134" s="101" t="str">
        <f>INDEX(Tableau8[Att2],MATCH(Tableau3[[#This Row],[ID-INS]],Tableau8[ID],0))&amp;""</f>
        <v>TRSD1</v>
      </c>
      <c r="I1134" s="101" t="str">
        <f>INDEX(Tableau8[Att3],MATCH(Tableau3[[#This Row],[ID-INS]],Tableau8[ID],0))&amp;""</f>
        <v>Tourniquet TRSD1</v>
      </c>
      <c r="J1134" s="101"/>
      <c r="K1134" s="167" t="str">
        <f>INDEX(Tableau8[Nom du modele],MATCH(Tableau3[[#This Row],[ID-INS]],Tableau8[ID],0))&amp;""</f>
        <v>TRSD_1</v>
      </c>
      <c r="L1134" s="99" t="str">
        <f>INDEX(Tableau5[Att1],MATCH(Tableau3[[#This Row],[ID-SIG]],Tableau5[ID],0))&amp;""</f>
        <v>T2S_OuvRet2</v>
      </c>
      <c r="M1134" s="99" t="str">
        <f>INDEX(Tableau5[Att2],MATCH(Tableau3[[#This Row],[ID-SIG]],Tableau5[ID],0))&amp;""</f>
        <v/>
      </c>
      <c r="N1134" s="99" t="str">
        <f>INDEX(Tableau5[Att3],MATCH(Tableau3[[#This Row],[ID-SIG]],Tableau5[ID],0))&amp;""</f>
        <v/>
      </c>
      <c r="O1134" s="99"/>
      <c r="P1134" s="99" t="str">
        <f>INDEX(Tableau5[Description],MATCH(Tableau3[[#This Row],[ID-SIG]],Tableau5[ID],0))</f>
        <v>Retour Commande 2 ouverture sortie 2</v>
      </c>
      <c r="Q1134" s="99"/>
      <c r="R1134" s="103" t="str">
        <f>Tableau3[[#This Row],[Description]]</f>
        <v>Retour Commande 2 ouverture sortie 2</v>
      </c>
      <c r="U1134" s="87">
        <v>7</v>
      </c>
      <c r="V1134" s="87">
        <v>1</v>
      </c>
      <c r="W1134" s="87">
        <v>6</v>
      </c>
      <c r="X1134" s="87">
        <v>4</v>
      </c>
      <c r="Y1134" s="40"/>
      <c r="Z1134" s="165" t="str">
        <f>INDEX(Tableau2[TS],MATCH(Tableau3[[#This Row],[ID-CARTEVOIE]],Tableau2[ID-CARTEVOIE],0))</f>
        <v>ET</v>
      </c>
      <c r="AA1134" s="53" t="s">
        <v>213</v>
      </c>
      <c r="AB1134" s="223" t="str">
        <f>IFERROR(INDEX(Tableau5[Reserve],MATCH(Tableau3[[#This Row],[ID-SIG]],Tableau5[ID],0))&amp;"","")</f>
        <v/>
      </c>
      <c r="AC1134" s="21"/>
      <c r="AD1134" s="108" t="str">
        <f>INDEX(Tableau7[Repere],MATCH(Tableau3[[#This Row],[ID-API]],Tableau7[ID-API],0))&amp;""</f>
        <v>A7</v>
      </c>
      <c r="AE1134" s="108" t="str">
        <f>INDEX(Tableau1[Repere-Rack],MATCH(Tableau3[[#This Row],[ID-RACK]],Tableau1[ID-RACK],0))&amp;""</f>
        <v>R1</v>
      </c>
      <c r="AF1134" s="108" t="str">
        <f>INDEX(Tableau1[Repere-Slot],MATCH(Tableau3[[#This Row],[ID-SLOT]],Tableau1[ID-SLOT],0))&amp;""</f>
        <v>S6</v>
      </c>
      <c r="AG1134" s="108" t="str">
        <f>INDEX(Tableau2[Repere-Voie],MATCH(Tableau3[[#This Row],[ID-VOIE]],Tableau2[ID-Voie],0))&amp;""</f>
        <v>v4</v>
      </c>
      <c r="AH1134" s="72" t="str">
        <f>Tableau3[[#This Row],[ID-API]]&amp; "." &amp;Tableau3[[#This Row],[ID-RACK]]&amp; "." &amp;Tableau3[[#This Row],[ID-SLOT]]</f>
        <v>7.1.6</v>
      </c>
      <c r="AI1134" s="72" t="str">
        <f>INDEX(Tableau1[Ref-Carte],MATCH(Tableau3[[#This Row],[ID-RRS]],Tableau1[ID-RRS],0))</f>
        <v>SDI1602</v>
      </c>
      <c r="AJ1134" s="72" t="str">
        <f t="array" ref="AJ1134">IFERROR(INDEX(Tableau2[TS],MATCH(1,(Tableau2[Ref-Carte]=Tableau3[[#This Row],[Ref-Carte2]])*(Tableau2[ID-Voie]=Tableau3[[#This Row],[ID-VOIE]]),0)),"")</f>
        <v>ET</v>
      </c>
      <c r="AK1134" s="72" t="str">
        <f>IFERROR(INDEX(Tableau2[TS],SUMPRODUCT((Tableau2[Ref-Carte]=Tableau3[[#This Row],[Ref-Carte2]])*(Tableau2[ID-Voie]=Tableau3[[#This Row],[ID-VOIE]])*ROW(Tableau2[TS]))-ROW(Tableau2[#Headers])),"")</f>
        <v>ET</v>
      </c>
      <c r="AL1134" s="72" t="str">
        <f>Tableau3[[#This Row],[Ref-Carte2]]&amp;"/"&amp;Tableau3[[#This Row],[ID-VOIE]]</f>
        <v>SDI1602/4</v>
      </c>
      <c r="AM1134" s="73" t="str">
        <f>INDEX(Tableau2[Borne],MATCH(Tableau3[[#This Row],[ID-CARTEVOIE]],Tableau2[ID-CARTEVOIE],0))&amp;""</f>
        <v>2B</v>
      </c>
      <c r="AN1134" s="74" t="str">
        <f>Tableau3[[#This Row],[ID-API]]&amp;Tableau3[[#This Row],[ID-RACK]]&amp;Tableau3[[#This Row],[ID-SLOT]]&amp;Tableau3[[#This Row],[BORNE]]</f>
        <v>7162B</v>
      </c>
      <c r="AO1134" s="1"/>
    </row>
    <row r="1135" spans="1:41" ht="20.100000000000001" customHeight="1" thickTop="1" thickBot="1">
      <c r="A1135" s="68"/>
      <c r="B1135" s="69" t="str">
        <f>IFERROR(INDEX(Tableau4[Date],MATCH($A1135,Tableau4[EVO],0)),"")</f>
        <v/>
      </c>
      <c r="C1135" s="68" t="str">
        <f>IFERROR(INDEX(Tableau4[Designation],MATCH($A1135,Tableau4[EVO],0)),"")</f>
        <v/>
      </c>
      <c r="D1135" s="68"/>
      <c r="E1135" s="70">
        <v>56</v>
      </c>
      <c r="F1135" s="71">
        <v>42</v>
      </c>
      <c r="G1135" s="101" t="str">
        <f>INDEX(Tableau8[Att1],MATCH(Tableau3[[#This Row],[ID-INS]],Tableau8[ID],0))&amp;""</f>
        <v>B21</v>
      </c>
      <c r="H1135" s="101" t="str">
        <f>INDEX(Tableau8[Att2],MATCH(Tableau3[[#This Row],[ID-INS]],Tableau8[ID],0))&amp;""</f>
        <v>TRSD1</v>
      </c>
      <c r="I1135" s="101" t="str">
        <f>INDEX(Tableau8[Att3],MATCH(Tableau3[[#This Row],[ID-INS]],Tableau8[ID],0))&amp;""</f>
        <v>Tourniquet TRSD1</v>
      </c>
      <c r="J1135" s="101"/>
      <c r="K1135" s="167" t="str">
        <f>INDEX(Tableau8[Nom du modele],MATCH(Tableau3[[#This Row],[ID-INS]],Tableau8[ID],0))&amp;""</f>
        <v>TRSD_1</v>
      </c>
      <c r="L1135" s="99" t="str">
        <f>INDEX(Tableau5[Att1],MATCH(Tableau3[[#This Row],[ID-SIG]],Tableau5[ID],0))&amp;""</f>
        <v>T2E_PassageOK</v>
      </c>
      <c r="M1135" s="99" t="str">
        <f>INDEX(Tableau5[Att2],MATCH(Tableau3[[#This Row],[ID-SIG]],Tableau5[ID],0))&amp;""</f>
        <v/>
      </c>
      <c r="N1135" s="99" t="str">
        <f>INDEX(Tableau5[Att3],MATCH(Tableau3[[#This Row],[ID-SIG]],Tableau5[ID],0))&amp;""</f>
        <v/>
      </c>
      <c r="O1135" s="99"/>
      <c r="P1135" s="99" t="str">
        <f>INDEX(Tableau5[Description],MATCH(Tableau3[[#This Row],[ID-SIG]],Tableau5[ID],0))</f>
        <v>Passage effectuée entrée 2</v>
      </c>
      <c r="Q1135" s="99"/>
      <c r="R1135" s="103" t="str">
        <f>Tableau3[[#This Row],[Description]]</f>
        <v>Passage effectuée entrée 2</v>
      </c>
      <c r="U1135" s="87">
        <v>7</v>
      </c>
      <c r="V1135" s="87">
        <v>1</v>
      </c>
      <c r="W1135" s="87">
        <v>6</v>
      </c>
      <c r="X1135" s="87">
        <v>5</v>
      </c>
      <c r="Y1135" s="40"/>
      <c r="Z1135" s="165" t="str">
        <f>INDEX(Tableau2[TS],MATCH(Tableau3[[#This Row],[ID-CARTEVOIE]],Tableau2[ID-CARTEVOIE],0))</f>
        <v>ET</v>
      </c>
      <c r="AA1135" s="53" t="s">
        <v>213</v>
      </c>
      <c r="AB1135" s="223" t="str">
        <f>IFERROR(INDEX(Tableau5[Reserve],MATCH(Tableau3[[#This Row],[ID-SIG]],Tableau5[ID],0))&amp;"","")</f>
        <v/>
      </c>
      <c r="AC1135" s="21"/>
      <c r="AD1135" s="108" t="str">
        <f>INDEX(Tableau7[Repere],MATCH(Tableau3[[#This Row],[ID-API]],Tableau7[ID-API],0))&amp;""</f>
        <v>A7</v>
      </c>
      <c r="AE1135" s="108" t="str">
        <f>INDEX(Tableau1[Repere-Rack],MATCH(Tableau3[[#This Row],[ID-RACK]],Tableau1[ID-RACK],0))&amp;""</f>
        <v>R1</v>
      </c>
      <c r="AF1135" s="108" t="str">
        <f>INDEX(Tableau1[Repere-Slot],MATCH(Tableau3[[#This Row],[ID-SLOT]],Tableau1[ID-SLOT],0))&amp;""</f>
        <v>S6</v>
      </c>
      <c r="AG1135" s="108" t="str">
        <f>INDEX(Tableau2[Repere-Voie],MATCH(Tableau3[[#This Row],[ID-VOIE]],Tableau2[ID-Voie],0))&amp;""</f>
        <v>v5</v>
      </c>
      <c r="AH1135" s="72" t="str">
        <f>Tableau3[[#This Row],[ID-API]]&amp; "." &amp;Tableau3[[#This Row],[ID-RACK]]&amp; "." &amp;Tableau3[[#This Row],[ID-SLOT]]</f>
        <v>7.1.6</v>
      </c>
      <c r="AI1135" s="72" t="str">
        <f>INDEX(Tableau1[Ref-Carte],MATCH(Tableau3[[#This Row],[ID-RRS]],Tableau1[ID-RRS],0))</f>
        <v>SDI1602</v>
      </c>
      <c r="AJ1135" s="72" t="str">
        <f t="array" ref="AJ1135">IFERROR(INDEX(Tableau2[TS],MATCH(1,(Tableau2[Ref-Carte]=Tableau3[[#This Row],[Ref-Carte2]])*(Tableau2[ID-Voie]=Tableau3[[#This Row],[ID-VOIE]]),0)),"")</f>
        <v>ET</v>
      </c>
      <c r="AK1135" s="72" t="str">
        <f>IFERROR(INDEX(Tableau2[TS],SUMPRODUCT((Tableau2[Ref-Carte]=Tableau3[[#This Row],[Ref-Carte2]])*(Tableau2[ID-Voie]=Tableau3[[#This Row],[ID-VOIE]])*ROW(Tableau2[TS]))-ROW(Tableau2[#Headers])),"")</f>
        <v>ET</v>
      </c>
      <c r="AL1135" s="72" t="str">
        <f>Tableau3[[#This Row],[Ref-Carte2]]&amp;"/"&amp;Tableau3[[#This Row],[ID-VOIE]]</f>
        <v>SDI1602/5</v>
      </c>
      <c r="AM1135" s="73" t="str">
        <f>INDEX(Tableau2[Borne],MATCH(Tableau3[[#This Row],[ID-CARTEVOIE]],Tableau2[ID-CARTEVOIE],0))&amp;""</f>
        <v>2A</v>
      </c>
      <c r="AN1135" s="74" t="str">
        <f>Tableau3[[#This Row],[ID-API]]&amp;Tableau3[[#This Row],[ID-RACK]]&amp;Tableau3[[#This Row],[ID-SLOT]]&amp;Tableau3[[#This Row],[BORNE]]</f>
        <v>7162A</v>
      </c>
      <c r="AO1135" s="1"/>
    </row>
    <row r="1136" spans="1:41" ht="20.100000000000001" customHeight="1" thickTop="1" thickBot="1">
      <c r="A1136" s="68"/>
      <c r="B1136" s="69" t="str">
        <f>IFERROR(INDEX(Tableau4[Date],MATCH($A1136,Tableau4[EVO],0)),"")</f>
        <v/>
      </c>
      <c r="C1136" s="68" t="str">
        <f>IFERROR(INDEX(Tableau4[Designation],MATCH($A1136,Tableau4[EVO],0)),"")</f>
        <v/>
      </c>
      <c r="D1136" s="68"/>
      <c r="E1136" s="70">
        <v>56</v>
      </c>
      <c r="F1136" s="71">
        <v>43</v>
      </c>
      <c r="G1136" s="101" t="str">
        <f>INDEX(Tableau8[Att1],MATCH(Tableau3[[#This Row],[ID-INS]],Tableau8[ID],0))&amp;""</f>
        <v>B21</v>
      </c>
      <c r="H1136" s="101" t="str">
        <f>INDEX(Tableau8[Att2],MATCH(Tableau3[[#This Row],[ID-INS]],Tableau8[ID],0))&amp;""</f>
        <v>TRSD1</v>
      </c>
      <c r="I1136" s="101"/>
      <c r="J1136" s="101"/>
      <c r="K1136" s="167" t="str">
        <f>INDEX(Tableau8[Nom du modele],MATCH(Tableau3[[#This Row],[ID-INS]],Tableau8[ID],0))&amp;""</f>
        <v>TRSD_1</v>
      </c>
      <c r="L1136" s="99" t="str">
        <f>INDEX(Tableau5[Att1],MATCH(Tableau3[[#This Row],[ID-SIG]],Tableau5[ID],0))&amp;""</f>
        <v>T2S_PassageOK</v>
      </c>
      <c r="M1136" s="99" t="str">
        <f>INDEX(Tableau5[Att2],MATCH(Tableau3[[#This Row],[ID-SIG]],Tableau5[ID],0))&amp;""</f>
        <v/>
      </c>
      <c r="N1136" s="99" t="str">
        <f>INDEX(Tableau5[Att3],MATCH(Tableau3[[#This Row],[ID-SIG]],Tableau5[ID],0))&amp;""</f>
        <v/>
      </c>
      <c r="O1136" s="99"/>
      <c r="P1136" s="99" t="str">
        <f>INDEX(Tableau5[Description],MATCH(Tableau3[[#This Row],[ID-SIG]],Tableau5[ID],0))</f>
        <v>Passage effectuée sortie 2</v>
      </c>
      <c r="Q1136" s="99"/>
      <c r="R1136" s="103" t="str">
        <f>Tableau3[[#This Row],[Description]]</f>
        <v>Passage effectuée sortie 2</v>
      </c>
      <c r="U1136" s="87">
        <v>7</v>
      </c>
      <c r="V1136" s="87">
        <v>1</v>
      </c>
      <c r="W1136" s="87">
        <v>6</v>
      </c>
      <c r="X1136" s="87">
        <v>6</v>
      </c>
      <c r="Y1136" s="40"/>
      <c r="Z1136" s="165" t="str">
        <f>INDEX(Tableau2[TS],MATCH(Tableau3[[#This Row],[ID-CARTEVOIE]],Tableau2[ID-CARTEVOIE],0))</f>
        <v>ET</v>
      </c>
      <c r="AA1136" s="53" t="s">
        <v>213</v>
      </c>
      <c r="AB1136" s="223" t="str">
        <f>IFERROR(INDEX(Tableau5[Reserve],MATCH(Tableau3[[#This Row],[ID-SIG]],Tableau5[ID],0))&amp;"","")</f>
        <v/>
      </c>
      <c r="AC1136" s="21"/>
      <c r="AD1136" s="108" t="str">
        <f>INDEX(Tableau7[Repere],MATCH(Tableau3[[#This Row],[ID-API]],Tableau7[ID-API],0))&amp;""</f>
        <v>A7</v>
      </c>
      <c r="AE1136" s="108" t="str">
        <f>INDEX(Tableau1[Repere-Rack],MATCH(Tableau3[[#This Row],[ID-RACK]],Tableau1[ID-RACK],0))&amp;""</f>
        <v>R1</v>
      </c>
      <c r="AF1136" s="108" t="str">
        <f>INDEX(Tableau1[Repere-Slot],MATCH(Tableau3[[#This Row],[ID-SLOT]],Tableau1[ID-SLOT],0))&amp;""</f>
        <v>S6</v>
      </c>
      <c r="AG1136" s="108" t="str">
        <f>INDEX(Tableau2[Repere-Voie],MATCH(Tableau3[[#This Row],[ID-VOIE]],Tableau2[ID-Voie],0))&amp;""</f>
        <v>v6</v>
      </c>
      <c r="AH1136" s="72" t="str">
        <f>Tableau3[[#This Row],[ID-API]]&amp; "." &amp;Tableau3[[#This Row],[ID-RACK]]&amp; "." &amp;Tableau3[[#This Row],[ID-SLOT]]</f>
        <v>7.1.6</v>
      </c>
      <c r="AI1136" s="72" t="str">
        <f>INDEX(Tableau1[Ref-Carte],MATCH(Tableau3[[#This Row],[ID-RRS]],Tableau1[ID-RRS],0))</f>
        <v>SDI1602</v>
      </c>
      <c r="AJ1136" s="72" t="str">
        <f t="array" ref="AJ1136">IFERROR(INDEX(Tableau2[TS],MATCH(1,(Tableau2[Ref-Carte]=Tableau3[[#This Row],[Ref-Carte2]])*(Tableau2[ID-Voie]=Tableau3[[#This Row],[ID-VOIE]]),0)),"")</f>
        <v>ET</v>
      </c>
      <c r="AK1136" s="72" t="str">
        <f>IFERROR(INDEX(Tableau2[TS],SUMPRODUCT((Tableau2[Ref-Carte]=Tableau3[[#This Row],[Ref-Carte2]])*(Tableau2[ID-Voie]=Tableau3[[#This Row],[ID-VOIE]])*ROW(Tableau2[TS]))-ROW(Tableau2[#Headers])),"")</f>
        <v>ET</v>
      </c>
      <c r="AL1136" s="72" t="str">
        <f>Tableau3[[#This Row],[Ref-Carte2]]&amp;"/"&amp;Tableau3[[#This Row],[ID-VOIE]]</f>
        <v>SDI1602/6</v>
      </c>
      <c r="AM1136" s="73" t="str">
        <f>INDEX(Tableau2[Borne],MATCH(Tableau3[[#This Row],[ID-CARTEVOIE]],Tableau2[ID-CARTEVOIE],0))&amp;""</f>
        <v>3B</v>
      </c>
      <c r="AN1136" s="74" t="str">
        <f>Tableau3[[#This Row],[ID-API]]&amp;Tableau3[[#This Row],[ID-RACK]]&amp;Tableau3[[#This Row],[ID-SLOT]]&amp;Tableau3[[#This Row],[BORNE]]</f>
        <v>7163B</v>
      </c>
      <c r="AO1136" s="1"/>
    </row>
    <row r="1137" spans="1:41" ht="20.100000000000001" customHeight="1" thickTop="1" thickBot="1">
      <c r="A1137" s="68"/>
      <c r="B1137" s="69" t="str">
        <f>IFERROR(INDEX(Tableau4[Date],MATCH($A1137,Tableau4[EVO],0)),"")</f>
        <v/>
      </c>
      <c r="C1137" s="68" t="str">
        <f>IFERROR(INDEX(Tableau4[Designation],MATCH($A1137,Tableau4[EVO],0)),"")</f>
        <v/>
      </c>
      <c r="D1137" s="68"/>
      <c r="E1137" s="70">
        <v>56</v>
      </c>
      <c r="F1137" s="71">
        <v>45</v>
      </c>
      <c r="G1137" s="101" t="str">
        <f>INDEX(Tableau8[Att1],MATCH(Tableau3[[#This Row],[ID-INS]],Tableau8[ID],0))&amp;""</f>
        <v>B21</v>
      </c>
      <c r="H1137" s="101" t="str">
        <f>INDEX(Tableau8[Att2],MATCH(Tableau3[[#This Row],[ID-INS]],Tableau8[ID],0))&amp;""</f>
        <v>TRSD1</v>
      </c>
      <c r="I1137" s="101"/>
      <c r="J1137" s="101"/>
      <c r="K1137" s="167" t="str">
        <f>INDEX(Tableau8[Nom du modele],MATCH(Tableau3[[#This Row],[ID-INS]],Tableau8[ID],0))&amp;""</f>
        <v>TRSD_1</v>
      </c>
      <c r="L1137" s="99" t="str">
        <f>INDEX(Tableau5[Att1],MATCH(Tableau3[[#This Row],[ID-SIG]],Tableau5[ID],0))&amp;""</f>
        <v>T2_SynthDef</v>
      </c>
      <c r="M1137" s="99" t="str">
        <f>INDEX(Tableau5[Att2],MATCH(Tableau3[[#This Row],[ID-SIG]],Tableau5[ID],0))&amp;""</f>
        <v/>
      </c>
      <c r="N1137" s="99" t="str">
        <f>INDEX(Tableau5[Att3],MATCH(Tableau3[[#This Row],[ID-SIG]],Tableau5[ID],0))&amp;""</f>
        <v/>
      </c>
      <c r="O1137" s="99"/>
      <c r="P1137" s="99" t="str">
        <f>INDEX(Tableau5[Description],MATCH(Tableau3[[#This Row],[ID-SIG]],Tableau5[ID],0))</f>
        <v>Synthèse défaut entrée 2</v>
      </c>
      <c r="Q1137" s="99"/>
      <c r="R1137" s="103" t="str">
        <f>Tableau3[[#This Row],[Description]]</f>
        <v>Synthèse défaut entrée 2</v>
      </c>
      <c r="U1137" s="87">
        <v>7</v>
      </c>
      <c r="V1137" s="87">
        <v>1</v>
      </c>
      <c r="W1137" s="87">
        <v>6</v>
      </c>
      <c r="X1137" s="87">
        <v>7</v>
      </c>
      <c r="Y1137" s="40"/>
      <c r="Z1137" s="165" t="str">
        <f>INDEX(Tableau2[TS],MATCH(Tableau3[[#This Row],[ID-CARTEVOIE]],Tableau2[ID-CARTEVOIE],0))</f>
        <v>ET</v>
      </c>
      <c r="AA1137" s="53" t="s">
        <v>213</v>
      </c>
      <c r="AB1137" s="223" t="str">
        <f>IFERROR(INDEX(Tableau5[Reserve],MATCH(Tableau3[[#This Row],[ID-SIG]],Tableau5[ID],0))&amp;"","")</f>
        <v/>
      </c>
      <c r="AC1137" s="21"/>
      <c r="AD1137" s="108" t="str">
        <f>INDEX(Tableau7[Repere],MATCH(Tableau3[[#This Row],[ID-API]],Tableau7[ID-API],0))&amp;""</f>
        <v>A7</v>
      </c>
      <c r="AE1137" s="108" t="str">
        <f>INDEX(Tableau1[Repere-Rack],MATCH(Tableau3[[#This Row],[ID-RACK]],Tableau1[ID-RACK],0))&amp;""</f>
        <v>R1</v>
      </c>
      <c r="AF1137" s="108" t="str">
        <f>INDEX(Tableau1[Repere-Slot],MATCH(Tableau3[[#This Row],[ID-SLOT]],Tableau1[ID-SLOT],0))&amp;""</f>
        <v>S6</v>
      </c>
      <c r="AG1137" s="108" t="str">
        <f>INDEX(Tableau2[Repere-Voie],MATCH(Tableau3[[#This Row],[ID-VOIE]],Tableau2[ID-Voie],0))&amp;""</f>
        <v>v7</v>
      </c>
      <c r="AH1137" s="72" t="str">
        <f>Tableau3[[#This Row],[ID-API]]&amp; "." &amp;Tableau3[[#This Row],[ID-RACK]]&amp; "." &amp;Tableau3[[#This Row],[ID-SLOT]]</f>
        <v>7.1.6</v>
      </c>
      <c r="AI1137" s="72" t="str">
        <f>INDEX(Tableau1[Ref-Carte],MATCH(Tableau3[[#This Row],[ID-RRS]],Tableau1[ID-RRS],0))</f>
        <v>SDI1602</v>
      </c>
      <c r="AJ1137" s="72" t="str">
        <f t="array" ref="AJ1137">IFERROR(INDEX(Tableau2[TS],MATCH(1,(Tableau2[Ref-Carte]=Tableau3[[#This Row],[Ref-Carte2]])*(Tableau2[ID-Voie]=Tableau3[[#This Row],[ID-VOIE]]),0)),"")</f>
        <v>ET</v>
      </c>
      <c r="AK1137" s="72" t="str">
        <f>IFERROR(INDEX(Tableau2[TS],SUMPRODUCT((Tableau2[Ref-Carte]=Tableau3[[#This Row],[Ref-Carte2]])*(Tableau2[ID-Voie]=Tableau3[[#This Row],[ID-VOIE]])*ROW(Tableau2[TS]))-ROW(Tableau2[#Headers])),"")</f>
        <v>ET</v>
      </c>
      <c r="AL1137" s="72" t="str">
        <f>Tableau3[[#This Row],[Ref-Carte2]]&amp;"/"&amp;Tableau3[[#This Row],[ID-VOIE]]</f>
        <v>SDI1602/7</v>
      </c>
      <c r="AM1137" s="73" t="str">
        <f>INDEX(Tableau2[Borne],MATCH(Tableau3[[#This Row],[ID-CARTEVOIE]],Tableau2[ID-CARTEVOIE],0))&amp;""</f>
        <v>3A</v>
      </c>
      <c r="AN1137" s="74" t="str">
        <f>Tableau3[[#This Row],[ID-API]]&amp;Tableau3[[#This Row],[ID-RACK]]&amp;Tableau3[[#This Row],[ID-SLOT]]&amp;Tableau3[[#This Row],[BORNE]]</f>
        <v>7163A</v>
      </c>
      <c r="AO1137" s="1"/>
    </row>
    <row r="1138" spans="1:41" ht="20.100000000000001" customHeight="1" thickTop="1" thickBot="1">
      <c r="A1138" s="68"/>
      <c r="B1138" s="69" t="str">
        <f>IFERROR(INDEX(Tableau4[Date],MATCH($A1138,Tableau4[EVO],0)),"")</f>
        <v/>
      </c>
      <c r="C1138" s="68" t="str">
        <f>IFERROR(INDEX(Tableau4[Designation],MATCH($A1138,Tableau4[EVO],0)),"")</f>
        <v/>
      </c>
      <c r="D1138" s="68"/>
      <c r="E1138" s="70">
        <v>109</v>
      </c>
      <c r="F1138" s="71">
        <v>15</v>
      </c>
      <c r="G1138" s="101" t="str">
        <f>INDEX(Tableau8[Att1],MATCH(Tableau3[[#This Row],[ID-INS]],Tableau8[ID],0))&amp;""</f>
        <v>B21</v>
      </c>
      <c r="H1138" s="101" t="str">
        <f>INDEX(Tableau8[Att2],MATCH(Tableau3[[#This Row],[ID-INS]],Tableau8[ID],0))&amp;""</f>
        <v>UTLR8</v>
      </c>
      <c r="I1138" s="101" t="str">
        <f>INDEX(Tableau8[Att3],MATCH(Tableau3[[#This Row],[ID-INS]],Tableau8[ID],0))&amp;""</f>
        <v>UTL rouge IDP4/TRSD1-2</v>
      </c>
      <c r="J1138" s="101"/>
      <c r="K1138" s="167" t="str">
        <f>INDEX(Tableau8[Nom du modele],MATCH(Tableau3[[#This Row],[ID-INS]],Tableau8[ID],0))&amp;""</f>
        <v>UTL</v>
      </c>
      <c r="L1138" s="99" t="str">
        <f>INDEX(Tableau5[Att1],MATCH(Tableau3[[#This Row],[ID-SIG]],Tableau5[ID],0))&amp;""</f>
        <v>DmdOuv</v>
      </c>
      <c r="M1138" s="99" t="str">
        <f>INDEX(Tableau5[Att2],MATCH(Tableau3[[#This Row],[ID-SIG]],Tableau5[ID],0))&amp;""</f>
        <v/>
      </c>
      <c r="N1138" s="99" t="str">
        <f>INDEX(Tableau5[Att3],MATCH(Tableau3[[#This Row],[ID-SIG]],Tableau5[ID],0))&amp;""</f>
        <v/>
      </c>
      <c r="O1138" s="99"/>
      <c r="P1138" s="99" t="str">
        <f>INDEX(Tableau5[Description],MATCH(Tableau3[[#This Row],[ID-SIG]],Tableau5[ID],0))</f>
        <v>Demande d'ouverture venant UTL</v>
      </c>
      <c r="Q1138" s="99"/>
      <c r="R1138" s="103" t="str">
        <f>Tableau3[[#This Row],[Description]]</f>
        <v>Demande d'ouverture venant UTL</v>
      </c>
      <c r="U1138" s="87">
        <v>7</v>
      </c>
      <c r="V1138" s="87">
        <v>1</v>
      </c>
      <c r="W1138" s="87">
        <v>6</v>
      </c>
      <c r="X1138" s="87">
        <v>8</v>
      </c>
      <c r="Y1138" s="40"/>
      <c r="Z1138" s="165" t="str">
        <f>INDEX(Tableau2[TS],MATCH(Tableau3[[#This Row],[ID-CARTEVOIE]],Tableau2[ID-CARTEVOIE],0))</f>
        <v>ET</v>
      </c>
      <c r="AA1138" s="53" t="s">
        <v>213</v>
      </c>
      <c r="AB1138" s="223" t="str">
        <f>IFERROR(INDEX(Tableau5[Reserve],MATCH(Tableau3[[#This Row],[ID-SIG]],Tableau5[ID],0))&amp;"","")</f>
        <v/>
      </c>
      <c r="AC1138" s="21"/>
      <c r="AD1138" s="108" t="str">
        <f>INDEX(Tableau7[Repere],MATCH(Tableau3[[#This Row],[ID-API]],Tableau7[ID-API],0))&amp;""</f>
        <v>A7</v>
      </c>
      <c r="AE1138" s="108" t="str">
        <f>INDEX(Tableau1[Repere-Rack],MATCH(Tableau3[[#This Row],[ID-RACK]],Tableau1[ID-RACK],0))&amp;""</f>
        <v>R1</v>
      </c>
      <c r="AF1138" s="108" t="str">
        <f>INDEX(Tableau1[Repere-Slot],MATCH(Tableau3[[#This Row],[ID-SLOT]],Tableau1[ID-SLOT],0))&amp;""</f>
        <v>S6</v>
      </c>
      <c r="AG1138" s="108" t="str">
        <f>INDEX(Tableau2[Repere-Voie],MATCH(Tableau3[[#This Row],[ID-VOIE]],Tableau2[ID-Voie],0))&amp;""</f>
        <v>v8</v>
      </c>
      <c r="AH1138" s="72" t="str">
        <f>Tableau3[[#This Row],[ID-API]]&amp; "." &amp;Tableau3[[#This Row],[ID-RACK]]&amp; "." &amp;Tableau3[[#This Row],[ID-SLOT]]</f>
        <v>7.1.6</v>
      </c>
      <c r="AI1138" s="72" t="str">
        <f>INDEX(Tableau1[Ref-Carte],MATCH(Tableau3[[#This Row],[ID-RRS]],Tableau1[ID-RRS],0))</f>
        <v>SDI1602</v>
      </c>
      <c r="AJ1138" s="72" t="str">
        <f t="array" ref="AJ1138">IFERROR(INDEX(Tableau2[TS],MATCH(1,(Tableau2[Ref-Carte]=Tableau3[[#This Row],[Ref-Carte2]])*(Tableau2[ID-Voie]=Tableau3[[#This Row],[ID-VOIE]]),0)),"")</f>
        <v>ET</v>
      </c>
      <c r="AK1138" s="72" t="str">
        <f>IFERROR(INDEX(Tableau2[TS],SUMPRODUCT((Tableau2[Ref-Carte]=Tableau3[[#This Row],[Ref-Carte2]])*(Tableau2[ID-Voie]=Tableau3[[#This Row],[ID-VOIE]])*ROW(Tableau2[TS]))-ROW(Tableau2[#Headers])),"")</f>
        <v>ET</v>
      </c>
      <c r="AL1138" s="72" t="str">
        <f>Tableau3[[#This Row],[Ref-Carte2]]&amp;"/"&amp;Tableau3[[#This Row],[ID-VOIE]]</f>
        <v>SDI1602/8</v>
      </c>
      <c r="AM1138" s="73" t="str">
        <f>INDEX(Tableau2[Borne],MATCH(Tableau3[[#This Row],[ID-CARTEVOIE]],Tableau2[ID-CARTEVOIE],0))&amp;""</f>
        <v>4B</v>
      </c>
      <c r="AN1138" s="74" t="str">
        <f>Tableau3[[#This Row],[ID-API]]&amp;Tableau3[[#This Row],[ID-RACK]]&amp;Tableau3[[#This Row],[ID-SLOT]]&amp;Tableau3[[#This Row],[BORNE]]</f>
        <v>7164B</v>
      </c>
      <c r="AO1138" s="1"/>
    </row>
    <row r="1139" spans="1:41" ht="20.100000000000001" customHeight="1" thickTop="1" thickBot="1">
      <c r="A1139" s="68"/>
      <c r="B1139" s="69" t="str">
        <f>IFERROR(INDEX(Tableau4[Date],MATCH($A1139,Tableau4[EVO],0)),"")</f>
        <v/>
      </c>
      <c r="C1139" s="68" t="str">
        <f>IFERROR(INDEX(Tableau4[Designation],MATCH($A1139,Tableau4[EVO],0)),"")</f>
        <v/>
      </c>
      <c r="D1139" s="68"/>
      <c r="E1139" s="70">
        <v>209</v>
      </c>
      <c r="F1139" s="71">
        <v>104</v>
      </c>
      <c r="G1139" s="101" t="str">
        <f>INDEX(Tableau8[Att1],MATCH(Tableau3[[#This Row],[ID-INS]],Tableau8[ID],0))&amp;""</f>
        <v>X</v>
      </c>
      <c r="H1139" s="101" t="str">
        <f>INDEX(Tableau8[Att2],MATCH(Tableau3[[#This Row],[ID-INS]],Tableau8[ID],0))&amp;""</f>
        <v>EL27</v>
      </c>
      <c r="I1139" s="101" t="str">
        <f>INDEX(Tableau8[Att3],MATCH(Tableau3[[#This Row],[ID-INS]],Tableau8[ID],0))&amp;""</f>
        <v>Portail P7</v>
      </c>
      <c r="J1139" s="101"/>
      <c r="K1139" s="167" t="str">
        <f>INDEX(Tableau8[Nom du modele],MATCH(Tableau3[[#This Row],[ID-INS]],Tableau8[ID],0))&amp;""</f>
        <v>SurvElec</v>
      </c>
      <c r="L1139" s="99" t="str">
        <f>INDEX(Tableau5[Att1],MATCH(Tableau3[[#This Row],[ID-SIG]],Tableau5[ID],0))&amp;""</f>
        <v>Def</v>
      </c>
      <c r="M1139" s="99" t="str">
        <f>INDEX(Tableau5[Att2],MATCH(Tableau3[[#This Row],[ID-SIG]],Tableau5[ID],0))&amp;""</f>
        <v/>
      </c>
      <c r="N1139" s="99" t="str">
        <f>INDEX(Tableau5[Att3],MATCH(Tableau3[[#This Row],[ID-SIG]],Tableau5[ID],0))&amp;""</f>
        <v/>
      </c>
      <c r="O1139" s="99"/>
      <c r="P1139" s="99" t="str">
        <f>INDEX(Tableau5[Description],MATCH(Tableau3[[#This Row],[ID-SIG]],Tableau5[ID],0))</f>
        <v>Défaut</v>
      </c>
      <c r="Q1139" s="99"/>
      <c r="R1139" s="103" t="str">
        <f>Tableau3[[#This Row],[Description]]</f>
        <v>Défaut</v>
      </c>
      <c r="U1139" s="87">
        <v>7</v>
      </c>
      <c r="V1139" s="87">
        <v>1</v>
      </c>
      <c r="W1139" s="87">
        <v>6</v>
      </c>
      <c r="X1139" s="87">
        <v>9</v>
      </c>
      <c r="Y1139" s="40"/>
      <c r="Z1139" s="165" t="str">
        <f>INDEX(Tableau2[TS],MATCH(Tableau3[[#This Row],[ID-CARTEVOIE]],Tableau2[ID-CARTEVOIE],0))</f>
        <v>ET</v>
      </c>
      <c r="AA1139" s="53" t="s">
        <v>213</v>
      </c>
      <c r="AB1139" s="223" t="str">
        <f>IFERROR(INDEX(Tableau5[Reserve],MATCH(Tableau3[[#This Row],[ID-SIG]],Tableau5[ID],0))&amp;"","")</f>
        <v/>
      </c>
      <c r="AC1139" s="21"/>
      <c r="AD1139" s="108" t="str">
        <f>INDEX(Tableau7[Repere],MATCH(Tableau3[[#This Row],[ID-API]],Tableau7[ID-API],0))&amp;""</f>
        <v>A7</v>
      </c>
      <c r="AE1139" s="108" t="str">
        <f>INDEX(Tableau1[Repere-Rack],MATCH(Tableau3[[#This Row],[ID-RACK]],Tableau1[ID-RACK],0))&amp;""</f>
        <v>R1</v>
      </c>
      <c r="AF1139" s="108" t="str">
        <f>INDEX(Tableau1[Repere-Slot],MATCH(Tableau3[[#This Row],[ID-SLOT]],Tableau1[ID-SLOT],0))&amp;""</f>
        <v>S6</v>
      </c>
      <c r="AG1139" s="108" t="str">
        <f>INDEX(Tableau2[Repere-Voie],MATCH(Tableau3[[#This Row],[ID-VOIE]],Tableau2[ID-Voie],0))&amp;""</f>
        <v>v9</v>
      </c>
      <c r="AH1139" s="72" t="str">
        <f>Tableau3[[#This Row],[ID-API]]&amp; "." &amp;Tableau3[[#This Row],[ID-RACK]]&amp; "." &amp;Tableau3[[#This Row],[ID-SLOT]]</f>
        <v>7.1.6</v>
      </c>
      <c r="AI1139" s="72" t="str">
        <f>INDEX(Tableau1[Ref-Carte],MATCH(Tableau3[[#This Row],[ID-RRS]],Tableau1[ID-RRS],0))</f>
        <v>SDI1602</v>
      </c>
      <c r="AJ1139" s="72" t="str">
        <f t="array" ref="AJ1139">IFERROR(INDEX(Tableau2[TS],MATCH(1,(Tableau2[Ref-Carte]=Tableau3[[#This Row],[Ref-Carte2]])*(Tableau2[ID-Voie]=Tableau3[[#This Row],[ID-VOIE]]),0)),"")</f>
        <v>ET</v>
      </c>
      <c r="AK1139" s="72" t="str">
        <f>IFERROR(INDEX(Tableau2[TS],SUMPRODUCT((Tableau2[Ref-Carte]=Tableau3[[#This Row],[Ref-Carte2]])*(Tableau2[ID-Voie]=Tableau3[[#This Row],[ID-VOIE]])*ROW(Tableau2[TS]))-ROW(Tableau2[#Headers])),"")</f>
        <v>ET</v>
      </c>
      <c r="AL1139" s="72" t="str">
        <f>Tableau3[[#This Row],[Ref-Carte2]]&amp;"/"&amp;Tableau3[[#This Row],[ID-VOIE]]</f>
        <v>SDI1602/9</v>
      </c>
      <c r="AM1139" s="73" t="str">
        <f>INDEX(Tableau2[Borne],MATCH(Tableau3[[#This Row],[ID-CARTEVOIE]],Tableau2[ID-CARTEVOIE],0))&amp;""</f>
        <v>4A</v>
      </c>
      <c r="AN1139" s="74" t="str">
        <f>Tableau3[[#This Row],[ID-API]]&amp;Tableau3[[#This Row],[ID-RACK]]&amp;Tableau3[[#This Row],[ID-SLOT]]&amp;Tableau3[[#This Row],[BORNE]]</f>
        <v>7164A</v>
      </c>
      <c r="AO1139" s="1"/>
    </row>
    <row r="1140" spans="1:41" ht="20.100000000000001" customHeight="1" thickTop="1" thickBot="1">
      <c r="A1140" s="68"/>
      <c r="B1140" s="69" t="str">
        <f>IFERROR(INDEX(Tableau4[Date],MATCH($A1140,Tableau4[EVO],0)),"")</f>
        <v/>
      </c>
      <c r="C1140" s="68" t="str">
        <f>IFERROR(INDEX(Tableau4[Designation],MATCH($A1140,Tableau4[EVO],0)),"")</f>
        <v/>
      </c>
      <c r="D1140" s="68"/>
      <c r="E1140" s="70">
        <v>210</v>
      </c>
      <c r="F1140" s="71">
        <v>104</v>
      </c>
      <c r="G1140" s="101" t="str">
        <f>INDEX(Tableau8[Att1],MATCH(Tableau3[[#This Row],[ID-INS]],Tableau8[ID],0))&amp;""</f>
        <v>X</v>
      </c>
      <c r="H1140" s="101" t="str">
        <f>INDEX(Tableau8[Att2],MATCH(Tableau3[[#This Row],[ID-INS]],Tableau8[ID],0))&amp;""</f>
        <v>EL28</v>
      </c>
      <c r="I1140" s="101" t="str">
        <f>INDEX(Tableau8[Att3],MATCH(Tableau3[[#This Row],[ID-INS]],Tableau8[ID],0))&amp;""</f>
        <v>Portail P9</v>
      </c>
      <c r="J1140" s="101"/>
      <c r="K1140" s="167" t="str">
        <f>INDEX(Tableau8[Nom du modele],MATCH(Tableau3[[#This Row],[ID-INS]],Tableau8[ID],0))&amp;""</f>
        <v>SurvElec</v>
      </c>
      <c r="L1140" s="99" t="str">
        <f>INDEX(Tableau5[Att1],MATCH(Tableau3[[#This Row],[ID-SIG]],Tableau5[ID],0))&amp;""</f>
        <v>Def</v>
      </c>
      <c r="M1140" s="99" t="str">
        <f>INDEX(Tableau5[Att2],MATCH(Tableau3[[#This Row],[ID-SIG]],Tableau5[ID],0))&amp;""</f>
        <v/>
      </c>
      <c r="N1140" s="99" t="str">
        <f>INDEX(Tableau5[Att3],MATCH(Tableau3[[#This Row],[ID-SIG]],Tableau5[ID],0))&amp;""</f>
        <v/>
      </c>
      <c r="O1140" s="99"/>
      <c r="P1140" s="99" t="str">
        <f>INDEX(Tableau5[Description],MATCH(Tableau3[[#This Row],[ID-SIG]],Tableau5[ID],0))</f>
        <v>Défaut</v>
      </c>
      <c r="Q1140" s="99"/>
      <c r="R1140" s="103" t="str">
        <f>Tableau3[[#This Row],[Description]]</f>
        <v>Défaut</v>
      </c>
      <c r="U1140" s="87">
        <v>7</v>
      </c>
      <c r="V1140" s="87">
        <v>1</v>
      </c>
      <c r="W1140" s="87">
        <v>6</v>
      </c>
      <c r="X1140" s="87">
        <v>10</v>
      </c>
      <c r="Y1140" s="40"/>
      <c r="Z1140" s="165" t="str">
        <f>INDEX(Tableau2[TS],MATCH(Tableau3[[#This Row],[ID-CARTEVOIE]],Tableau2[ID-CARTEVOIE],0))</f>
        <v>ET</v>
      </c>
      <c r="AA1140" s="53" t="s">
        <v>213</v>
      </c>
      <c r="AB1140" s="223" t="str">
        <f>IFERROR(INDEX(Tableau5[Reserve],MATCH(Tableau3[[#This Row],[ID-SIG]],Tableau5[ID],0))&amp;"","")</f>
        <v/>
      </c>
      <c r="AC1140" s="21"/>
      <c r="AD1140" s="108" t="str">
        <f>INDEX(Tableau7[Repere],MATCH(Tableau3[[#This Row],[ID-API]],Tableau7[ID-API],0))&amp;""</f>
        <v>A7</v>
      </c>
      <c r="AE1140" s="108" t="str">
        <f>INDEX(Tableau1[Repere-Rack],MATCH(Tableau3[[#This Row],[ID-RACK]],Tableau1[ID-RACK],0))&amp;""</f>
        <v>R1</v>
      </c>
      <c r="AF1140" s="108" t="str">
        <f>INDEX(Tableau1[Repere-Slot],MATCH(Tableau3[[#This Row],[ID-SLOT]],Tableau1[ID-SLOT],0))&amp;""</f>
        <v>S6</v>
      </c>
      <c r="AG1140" s="108" t="str">
        <f>INDEX(Tableau2[Repere-Voie],MATCH(Tableau3[[#This Row],[ID-VOIE]],Tableau2[ID-Voie],0))&amp;""</f>
        <v>v10</v>
      </c>
      <c r="AH1140" s="72" t="str">
        <f>Tableau3[[#This Row],[ID-API]]&amp; "." &amp;Tableau3[[#This Row],[ID-RACK]]&amp; "." &amp;Tableau3[[#This Row],[ID-SLOT]]</f>
        <v>7.1.6</v>
      </c>
      <c r="AI1140" s="72" t="str">
        <f>INDEX(Tableau1[Ref-Carte],MATCH(Tableau3[[#This Row],[ID-RRS]],Tableau1[ID-RRS],0))</f>
        <v>SDI1602</v>
      </c>
      <c r="AJ1140" s="72" t="str">
        <f t="array" ref="AJ1140">IFERROR(INDEX(Tableau2[TS],MATCH(1,(Tableau2[Ref-Carte]=Tableau3[[#This Row],[Ref-Carte2]])*(Tableau2[ID-Voie]=Tableau3[[#This Row],[ID-VOIE]]),0)),"")</f>
        <v>ET</v>
      </c>
      <c r="AK1140" s="72" t="str">
        <f>IFERROR(INDEX(Tableau2[TS],SUMPRODUCT((Tableau2[Ref-Carte]=Tableau3[[#This Row],[Ref-Carte2]])*(Tableau2[ID-Voie]=Tableau3[[#This Row],[ID-VOIE]])*ROW(Tableau2[TS]))-ROW(Tableau2[#Headers])),"")</f>
        <v>ET</v>
      </c>
      <c r="AL1140" s="72" t="str">
        <f>Tableau3[[#This Row],[Ref-Carte2]]&amp;"/"&amp;Tableau3[[#This Row],[ID-VOIE]]</f>
        <v>SDI1602/10</v>
      </c>
      <c r="AM1140" s="73" t="str">
        <f>INDEX(Tableau2[Borne],MATCH(Tableau3[[#This Row],[ID-CARTEVOIE]],Tableau2[ID-CARTEVOIE],0))&amp;""</f>
        <v>5B</v>
      </c>
      <c r="AN1140" s="74" t="str">
        <f>Tableau3[[#This Row],[ID-API]]&amp;Tableau3[[#This Row],[ID-RACK]]&amp;Tableau3[[#This Row],[ID-SLOT]]&amp;Tableau3[[#This Row],[BORNE]]</f>
        <v>7165B</v>
      </c>
      <c r="AO1140" s="1"/>
    </row>
    <row r="1141" spans="1:41" ht="20.100000000000001" customHeight="1" thickTop="1" thickBot="1">
      <c r="A1141" s="68"/>
      <c r="B1141" s="69" t="str">
        <f>IFERROR(INDEX(Tableau4[Date],MATCH($A1141,Tableau4[EVO],0)),"")</f>
        <v/>
      </c>
      <c r="C1141" s="68" t="str">
        <f>IFERROR(INDEX(Tableau4[Designation],MATCH($A1141,Tableau4[EVO],0)),"")</f>
        <v/>
      </c>
      <c r="D1141" s="68"/>
      <c r="E1141" s="70">
        <v>211</v>
      </c>
      <c r="F1141" s="71">
        <v>104</v>
      </c>
      <c r="G1141" s="101" t="str">
        <f>INDEX(Tableau8[Att1],MATCH(Tableau3[[#This Row],[ID-INS]],Tableau8[ID],0))&amp;""</f>
        <v>X</v>
      </c>
      <c r="H1141" s="101" t="str">
        <f>INDEX(Tableau8[Att2],MATCH(Tableau3[[#This Row],[ID-INS]],Tableau8[ID],0))&amp;""</f>
        <v>EL29</v>
      </c>
      <c r="I1141" s="101" t="str">
        <f>INDEX(Tableau8[Att3],MATCH(Tableau3[[#This Row],[ID-INS]],Tableau8[ID],0))&amp;""</f>
        <v>Barrière BH11</v>
      </c>
      <c r="J1141" s="101"/>
      <c r="K1141" s="167" t="str">
        <f>INDEX(Tableau8[Nom du modele],MATCH(Tableau3[[#This Row],[ID-INS]],Tableau8[ID],0))&amp;""</f>
        <v>SurvElec</v>
      </c>
      <c r="L1141" s="99" t="str">
        <f>INDEX(Tableau5[Att1],MATCH(Tableau3[[#This Row],[ID-SIG]],Tableau5[ID],0))&amp;""</f>
        <v>Def</v>
      </c>
      <c r="M1141" s="99" t="str">
        <f>INDEX(Tableau5[Att2],MATCH(Tableau3[[#This Row],[ID-SIG]],Tableau5[ID],0))&amp;""</f>
        <v/>
      </c>
      <c r="N1141" s="99" t="str">
        <f>INDEX(Tableau5[Att3],MATCH(Tableau3[[#This Row],[ID-SIG]],Tableau5[ID],0))&amp;""</f>
        <v/>
      </c>
      <c r="O1141" s="99"/>
      <c r="P1141" s="99" t="str">
        <f>INDEX(Tableau5[Description],MATCH(Tableau3[[#This Row],[ID-SIG]],Tableau5[ID],0))</f>
        <v>Défaut</v>
      </c>
      <c r="Q1141" s="99"/>
      <c r="R1141" s="103" t="str">
        <f>Tableau3[[#This Row],[Description]]</f>
        <v>Défaut</v>
      </c>
      <c r="U1141" s="87">
        <v>7</v>
      </c>
      <c r="V1141" s="87">
        <v>1</v>
      </c>
      <c r="W1141" s="87">
        <v>6</v>
      </c>
      <c r="X1141" s="87">
        <v>11</v>
      </c>
      <c r="Y1141" s="40"/>
      <c r="Z1141" s="165" t="str">
        <f>INDEX(Tableau2[TS],MATCH(Tableau3[[#This Row],[ID-CARTEVOIE]],Tableau2[ID-CARTEVOIE],0))</f>
        <v>ET</v>
      </c>
      <c r="AA1141" s="53" t="s">
        <v>213</v>
      </c>
      <c r="AB1141" s="223" t="str">
        <f>IFERROR(INDEX(Tableau5[Reserve],MATCH(Tableau3[[#This Row],[ID-SIG]],Tableau5[ID],0))&amp;"","")</f>
        <v/>
      </c>
      <c r="AC1141" s="21"/>
      <c r="AD1141" s="108" t="str">
        <f>INDEX(Tableau7[Repere],MATCH(Tableau3[[#This Row],[ID-API]],Tableau7[ID-API],0))&amp;""</f>
        <v>A7</v>
      </c>
      <c r="AE1141" s="108" t="str">
        <f>INDEX(Tableau1[Repere-Rack],MATCH(Tableau3[[#This Row],[ID-RACK]],Tableau1[ID-RACK],0))&amp;""</f>
        <v>R1</v>
      </c>
      <c r="AF1141" s="108" t="str">
        <f>INDEX(Tableau1[Repere-Slot],MATCH(Tableau3[[#This Row],[ID-SLOT]],Tableau1[ID-SLOT],0))&amp;""</f>
        <v>S6</v>
      </c>
      <c r="AG1141" s="108" t="str">
        <f>INDEX(Tableau2[Repere-Voie],MATCH(Tableau3[[#This Row],[ID-VOIE]],Tableau2[ID-Voie],0))&amp;""</f>
        <v>v11</v>
      </c>
      <c r="AH1141" s="72" t="str">
        <f>Tableau3[[#This Row],[ID-API]]&amp; "." &amp;Tableau3[[#This Row],[ID-RACK]]&amp; "." &amp;Tableau3[[#This Row],[ID-SLOT]]</f>
        <v>7.1.6</v>
      </c>
      <c r="AI1141" s="72" t="str">
        <f>INDEX(Tableau1[Ref-Carte],MATCH(Tableau3[[#This Row],[ID-RRS]],Tableau1[ID-RRS],0))</f>
        <v>SDI1602</v>
      </c>
      <c r="AJ1141" s="72" t="str">
        <f t="array" ref="AJ1141">IFERROR(INDEX(Tableau2[TS],MATCH(1,(Tableau2[Ref-Carte]=Tableau3[[#This Row],[Ref-Carte2]])*(Tableau2[ID-Voie]=Tableau3[[#This Row],[ID-VOIE]]),0)),"")</f>
        <v>ET</v>
      </c>
      <c r="AK1141" s="72" t="str">
        <f>IFERROR(INDEX(Tableau2[TS],SUMPRODUCT((Tableau2[Ref-Carte]=Tableau3[[#This Row],[Ref-Carte2]])*(Tableau2[ID-Voie]=Tableau3[[#This Row],[ID-VOIE]])*ROW(Tableau2[TS]))-ROW(Tableau2[#Headers])),"")</f>
        <v>ET</v>
      </c>
      <c r="AL1141" s="72" t="str">
        <f>Tableau3[[#This Row],[Ref-Carte2]]&amp;"/"&amp;Tableau3[[#This Row],[ID-VOIE]]</f>
        <v>SDI1602/11</v>
      </c>
      <c r="AM1141" s="73" t="str">
        <f>INDEX(Tableau2[Borne],MATCH(Tableau3[[#This Row],[ID-CARTEVOIE]],Tableau2[ID-CARTEVOIE],0))&amp;""</f>
        <v>5A</v>
      </c>
      <c r="AN1141" s="74" t="str">
        <f>Tableau3[[#This Row],[ID-API]]&amp;Tableau3[[#This Row],[ID-RACK]]&amp;Tableau3[[#This Row],[ID-SLOT]]&amp;Tableau3[[#This Row],[BORNE]]</f>
        <v>7165A</v>
      </c>
      <c r="AO1141" s="1"/>
    </row>
    <row r="1142" spans="1:41" ht="20.100000000000001" customHeight="1" thickTop="1" thickBot="1">
      <c r="A1142" s="68"/>
      <c r="B1142" s="69" t="str">
        <f>IFERROR(INDEX(Tableau4[Date],MATCH($A1142,Tableau4[EVO],0)),"")</f>
        <v/>
      </c>
      <c r="C1142" s="68" t="str">
        <f>IFERROR(INDEX(Tableau4[Designation],MATCH($A1142,Tableau4[EVO],0)),"")</f>
        <v/>
      </c>
      <c r="D1142" s="68"/>
      <c r="E1142" s="70">
        <v>212</v>
      </c>
      <c r="F1142" s="71">
        <v>104</v>
      </c>
      <c r="G1142" s="101" t="str">
        <f>INDEX(Tableau8[Att1],MATCH(Tableau3[[#This Row],[ID-INS]],Tableau8[ID],0))&amp;""</f>
        <v>X</v>
      </c>
      <c r="H1142" s="101" t="str">
        <f>INDEX(Tableau8[Att2],MATCH(Tableau3[[#This Row],[ID-INS]],Tableau8[ID],0))&amp;""</f>
        <v>EL30</v>
      </c>
      <c r="I1142" s="101" t="str">
        <f>INDEX(Tableau8[Att3],MATCH(Tableau3[[#This Row],[ID-INS]],Tableau8[ID],0))&amp;""</f>
        <v>Anti-belier AVB1</v>
      </c>
      <c r="J1142" s="101"/>
      <c r="K1142" s="167" t="str">
        <f>INDEX(Tableau8[Nom du modele],MATCH(Tableau3[[#This Row],[ID-INS]],Tableau8[ID],0))&amp;""</f>
        <v>SurvElec</v>
      </c>
      <c r="L1142" s="99" t="str">
        <f>INDEX(Tableau5[Att1],MATCH(Tableau3[[#This Row],[ID-SIG]],Tableau5[ID],0))&amp;""</f>
        <v>Def</v>
      </c>
      <c r="M1142" s="99" t="str">
        <f>INDEX(Tableau5[Att2],MATCH(Tableau3[[#This Row],[ID-SIG]],Tableau5[ID],0))&amp;""</f>
        <v/>
      </c>
      <c r="N1142" s="99" t="str">
        <f>INDEX(Tableau5[Att3],MATCH(Tableau3[[#This Row],[ID-SIG]],Tableau5[ID],0))&amp;""</f>
        <v/>
      </c>
      <c r="O1142" s="99"/>
      <c r="P1142" s="99" t="str">
        <f>INDEX(Tableau5[Description],MATCH(Tableau3[[#This Row],[ID-SIG]],Tableau5[ID],0))</f>
        <v>Défaut</v>
      </c>
      <c r="Q1142" s="99"/>
      <c r="R1142" s="103" t="str">
        <f>Tableau3[[#This Row],[Description]]</f>
        <v>Défaut</v>
      </c>
      <c r="U1142" s="87">
        <v>7</v>
      </c>
      <c r="V1142" s="87">
        <v>1</v>
      </c>
      <c r="W1142" s="87">
        <v>6</v>
      </c>
      <c r="X1142" s="87">
        <v>12</v>
      </c>
      <c r="Y1142" s="40"/>
      <c r="Z1142" s="165" t="str">
        <f>INDEX(Tableau2[TS],MATCH(Tableau3[[#This Row],[ID-CARTEVOIE]],Tableau2[ID-CARTEVOIE],0))</f>
        <v>ET</v>
      </c>
      <c r="AA1142" s="53" t="s">
        <v>213</v>
      </c>
      <c r="AB1142" s="223" t="str">
        <f>IFERROR(INDEX(Tableau5[Reserve],MATCH(Tableau3[[#This Row],[ID-SIG]],Tableau5[ID],0))&amp;"","")</f>
        <v/>
      </c>
      <c r="AC1142" s="21"/>
      <c r="AD1142" s="108" t="str">
        <f>INDEX(Tableau7[Repere],MATCH(Tableau3[[#This Row],[ID-API]],Tableau7[ID-API],0))&amp;""</f>
        <v>A7</v>
      </c>
      <c r="AE1142" s="108" t="str">
        <f>INDEX(Tableau1[Repere-Rack],MATCH(Tableau3[[#This Row],[ID-RACK]],Tableau1[ID-RACK],0))&amp;""</f>
        <v>R1</v>
      </c>
      <c r="AF1142" s="108" t="str">
        <f>INDEX(Tableau1[Repere-Slot],MATCH(Tableau3[[#This Row],[ID-SLOT]],Tableau1[ID-SLOT],0))&amp;""</f>
        <v>S6</v>
      </c>
      <c r="AG1142" s="108" t="str">
        <f>INDEX(Tableau2[Repere-Voie],MATCH(Tableau3[[#This Row],[ID-VOIE]],Tableau2[ID-Voie],0))&amp;""</f>
        <v>v12</v>
      </c>
      <c r="AH1142" s="72" t="str">
        <f>Tableau3[[#This Row],[ID-API]]&amp; "." &amp;Tableau3[[#This Row],[ID-RACK]]&amp; "." &amp;Tableau3[[#This Row],[ID-SLOT]]</f>
        <v>7.1.6</v>
      </c>
      <c r="AI1142" s="72" t="str">
        <f>INDEX(Tableau1[Ref-Carte],MATCH(Tableau3[[#This Row],[ID-RRS]],Tableau1[ID-RRS],0))</f>
        <v>SDI1602</v>
      </c>
      <c r="AJ1142" s="72" t="str">
        <f t="array" ref="AJ1142">IFERROR(INDEX(Tableau2[TS],MATCH(1,(Tableau2[Ref-Carte]=Tableau3[[#This Row],[Ref-Carte2]])*(Tableau2[ID-Voie]=Tableau3[[#This Row],[ID-VOIE]]),0)),"")</f>
        <v>ET</v>
      </c>
      <c r="AK1142" s="72" t="str">
        <f>IFERROR(INDEX(Tableau2[TS],SUMPRODUCT((Tableau2[Ref-Carte]=Tableau3[[#This Row],[Ref-Carte2]])*(Tableau2[ID-Voie]=Tableau3[[#This Row],[ID-VOIE]])*ROW(Tableau2[TS]))-ROW(Tableau2[#Headers])),"")</f>
        <v>ET</v>
      </c>
      <c r="AL1142" s="72" t="str">
        <f>Tableau3[[#This Row],[Ref-Carte2]]&amp;"/"&amp;Tableau3[[#This Row],[ID-VOIE]]</f>
        <v>SDI1602/12</v>
      </c>
      <c r="AM1142" s="73" t="str">
        <f>INDEX(Tableau2[Borne],MATCH(Tableau3[[#This Row],[ID-CARTEVOIE]],Tableau2[ID-CARTEVOIE],0))&amp;""</f>
        <v>6B</v>
      </c>
      <c r="AN1142" s="74" t="str">
        <f>Tableau3[[#This Row],[ID-API]]&amp;Tableau3[[#This Row],[ID-RACK]]&amp;Tableau3[[#This Row],[ID-SLOT]]&amp;Tableau3[[#This Row],[BORNE]]</f>
        <v>7166B</v>
      </c>
      <c r="AO1142" s="1"/>
    </row>
    <row r="1143" spans="1:41" ht="20.100000000000001" customHeight="1" thickTop="1" thickBot="1">
      <c r="A1143" s="68"/>
      <c r="B1143" s="69" t="str">
        <f>IFERROR(INDEX(Tableau4[Date],MATCH($A1143,Tableau4[EVO],0)),"")</f>
        <v/>
      </c>
      <c r="C1143" s="68" t="str">
        <f>IFERROR(INDEX(Tableau4[Designation],MATCH($A1143,Tableau4[EVO],0)),"")</f>
        <v/>
      </c>
      <c r="D1143" s="68"/>
      <c r="E1143" s="70">
        <v>213</v>
      </c>
      <c r="F1143" s="71">
        <v>104</v>
      </c>
      <c r="G1143" s="101" t="str">
        <f>INDEX(Tableau8[Att1],MATCH(Tableau3[[#This Row],[ID-INS]],Tableau8[ID],0))&amp;""</f>
        <v>X</v>
      </c>
      <c r="H1143" s="101" t="str">
        <f>INDEX(Tableau8[Att2],MATCH(Tableau3[[#This Row],[ID-INS]],Tableau8[ID],0))&amp;""</f>
        <v>EL31</v>
      </c>
      <c r="I1143" s="101" t="str">
        <f>INDEX(Tableau8[Att3],MATCH(Tableau3[[#This Row],[ID-INS]],Tableau8[ID],0))&amp;""</f>
        <v>Anti-belier AVB2</v>
      </c>
      <c r="J1143" s="101"/>
      <c r="K1143" s="167" t="str">
        <f>INDEX(Tableau8[Nom du modele],MATCH(Tableau3[[#This Row],[ID-INS]],Tableau8[ID],0))&amp;""</f>
        <v>SurvElec</v>
      </c>
      <c r="L1143" s="99" t="str">
        <f>INDEX(Tableau5[Att1],MATCH(Tableau3[[#This Row],[ID-SIG]],Tableau5[ID],0))&amp;""</f>
        <v>Def</v>
      </c>
      <c r="M1143" s="99" t="str">
        <f>INDEX(Tableau5[Att2],MATCH(Tableau3[[#This Row],[ID-SIG]],Tableau5[ID],0))&amp;""</f>
        <v/>
      </c>
      <c r="N1143" s="99" t="str">
        <f>INDEX(Tableau5[Att3],MATCH(Tableau3[[#This Row],[ID-SIG]],Tableau5[ID],0))&amp;""</f>
        <v/>
      </c>
      <c r="O1143" s="99"/>
      <c r="P1143" s="155" t="s">
        <v>1730</v>
      </c>
      <c r="Q1143" s="99"/>
      <c r="R1143" s="103" t="str">
        <f>Tableau3[[#This Row],[Description]]</f>
        <v>Réserve - Défaut</v>
      </c>
      <c r="U1143" s="87">
        <v>7</v>
      </c>
      <c r="V1143" s="87">
        <v>1</v>
      </c>
      <c r="W1143" s="87">
        <v>6</v>
      </c>
      <c r="X1143" s="87">
        <v>13</v>
      </c>
      <c r="Y1143" s="40"/>
      <c r="Z1143" s="165" t="str">
        <f>INDEX(Tableau2[TS],MATCH(Tableau3[[#This Row],[ID-CARTEVOIE]],Tableau2[ID-CARTEVOIE],0))</f>
        <v>ET</v>
      </c>
      <c r="AA1143" s="53" t="s">
        <v>213</v>
      </c>
      <c r="AB1143" s="223" t="str">
        <f>IFERROR(INDEX(Tableau5[Reserve],MATCH(Tableau3[[#This Row],[ID-SIG]],Tableau5[ID],0))&amp;"","")</f>
        <v/>
      </c>
      <c r="AC1143" s="21"/>
      <c r="AD1143" s="108" t="str">
        <f>INDEX(Tableau7[Repere],MATCH(Tableau3[[#This Row],[ID-API]],Tableau7[ID-API],0))&amp;""</f>
        <v>A7</v>
      </c>
      <c r="AE1143" s="108" t="str">
        <f>INDEX(Tableau1[Repere-Rack],MATCH(Tableau3[[#This Row],[ID-RACK]],Tableau1[ID-RACK],0))&amp;""</f>
        <v>R1</v>
      </c>
      <c r="AF1143" s="108" t="str">
        <f>INDEX(Tableau1[Repere-Slot],MATCH(Tableau3[[#This Row],[ID-SLOT]],Tableau1[ID-SLOT],0))&amp;""</f>
        <v>S6</v>
      </c>
      <c r="AG1143" s="108" t="str">
        <f>INDEX(Tableau2[Repere-Voie],MATCH(Tableau3[[#This Row],[ID-VOIE]],Tableau2[ID-Voie],0))&amp;""</f>
        <v>v13</v>
      </c>
      <c r="AH1143" s="72" t="str">
        <f>Tableau3[[#This Row],[ID-API]]&amp; "." &amp;Tableau3[[#This Row],[ID-RACK]]&amp; "." &amp;Tableau3[[#This Row],[ID-SLOT]]</f>
        <v>7.1.6</v>
      </c>
      <c r="AI1143" s="72" t="str">
        <f>INDEX(Tableau1[Ref-Carte],MATCH(Tableau3[[#This Row],[ID-RRS]],Tableau1[ID-RRS],0))</f>
        <v>SDI1602</v>
      </c>
      <c r="AJ1143" s="72" t="str">
        <f t="array" ref="AJ1143">IFERROR(INDEX(Tableau2[TS],MATCH(1,(Tableau2[Ref-Carte]=Tableau3[[#This Row],[Ref-Carte2]])*(Tableau2[ID-Voie]=Tableau3[[#This Row],[ID-VOIE]]),0)),"")</f>
        <v>ET</v>
      </c>
      <c r="AK1143" s="72" t="str">
        <f>IFERROR(INDEX(Tableau2[TS],SUMPRODUCT((Tableau2[Ref-Carte]=Tableau3[[#This Row],[Ref-Carte2]])*(Tableau2[ID-Voie]=Tableau3[[#This Row],[ID-VOIE]])*ROW(Tableau2[TS]))-ROW(Tableau2[#Headers])),"")</f>
        <v>ET</v>
      </c>
      <c r="AL1143" s="72" t="str">
        <f>Tableau3[[#This Row],[Ref-Carte2]]&amp;"/"&amp;Tableau3[[#This Row],[ID-VOIE]]</f>
        <v>SDI1602/13</v>
      </c>
      <c r="AM1143" s="73" t="str">
        <f>INDEX(Tableau2[Borne],MATCH(Tableau3[[#This Row],[ID-CARTEVOIE]],Tableau2[ID-CARTEVOIE],0))&amp;""</f>
        <v>6A</v>
      </c>
      <c r="AN1143" s="74" t="str">
        <f>Tableau3[[#This Row],[ID-API]]&amp;Tableau3[[#This Row],[ID-RACK]]&amp;Tableau3[[#This Row],[ID-SLOT]]&amp;Tableau3[[#This Row],[BORNE]]</f>
        <v>7166A</v>
      </c>
      <c r="AO1143" s="1"/>
    </row>
    <row r="1144" spans="1:41" ht="20.100000000000001" customHeight="1" thickTop="1" thickBot="1">
      <c r="A1144" s="68"/>
      <c r="B1144" s="69" t="str">
        <f>IFERROR(INDEX(Tableau4[Date],MATCH($A1144,Tableau4[EVO],0)),"")</f>
        <v/>
      </c>
      <c r="C1144" s="68" t="str">
        <f>IFERROR(INDEX(Tableau4[Designation],MATCH($A1144,Tableau4[EVO],0)),"")</f>
        <v/>
      </c>
      <c r="D1144" s="68"/>
      <c r="E1144" s="70">
        <v>214</v>
      </c>
      <c r="F1144" s="71">
        <v>104</v>
      </c>
      <c r="G1144" s="101" t="str">
        <f>INDEX(Tableau8[Att1],MATCH(Tableau3[[#This Row],[ID-INS]],Tableau8[ID],0))&amp;""</f>
        <v>X</v>
      </c>
      <c r="H1144" s="101" t="str">
        <f>INDEX(Tableau8[Att2],MATCH(Tableau3[[#This Row],[ID-INS]],Tableau8[ID],0))&amp;""</f>
        <v>EL32</v>
      </c>
      <c r="I1144" s="101" t="str">
        <f>INDEX(Tableau8[Att3],MATCH(Tableau3[[#This Row],[ID-INS]],Tableau8[ID],0))&amp;""</f>
        <v>PMR3</v>
      </c>
      <c r="J1144" s="101"/>
      <c r="K1144" s="167" t="str">
        <f>INDEX(Tableau8[Nom du modele],MATCH(Tableau3[[#This Row],[ID-INS]],Tableau8[ID],0))&amp;""</f>
        <v>SurvElec</v>
      </c>
      <c r="L1144" s="99" t="str">
        <f>INDEX(Tableau5[Att1],MATCH(Tableau3[[#This Row],[ID-SIG]],Tableau5[ID],0))&amp;""</f>
        <v>Def</v>
      </c>
      <c r="M1144" s="99" t="str">
        <f>INDEX(Tableau5[Att2],MATCH(Tableau3[[#This Row],[ID-SIG]],Tableau5[ID],0))&amp;""</f>
        <v/>
      </c>
      <c r="N1144" s="99" t="str">
        <f>INDEX(Tableau5[Att3],MATCH(Tableau3[[#This Row],[ID-SIG]],Tableau5[ID],0))&amp;""</f>
        <v/>
      </c>
      <c r="O1144" s="99"/>
      <c r="P1144" s="99" t="str">
        <f>INDEX(Tableau5[Description],MATCH(Tableau3[[#This Row],[ID-SIG]],Tableau5[ID],0))</f>
        <v>Défaut</v>
      </c>
      <c r="Q1144" s="99"/>
      <c r="R1144" s="103" t="str">
        <f>Tableau3[[#This Row],[Description]]</f>
        <v>Défaut</v>
      </c>
      <c r="U1144" s="87">
        <v>7</v>
      </c>
      <c r="V1144" s="87">
        <v>1</v>
      </c>
      <c r="W1144" s="87">
        <v>6</v>
      </c>
      <c r="X1144" s="87">
        <v>14</v>
      </c>
      <c r="Y1144" s="40"/>
      <c r="Z1144" s="165" t="str">
        <f>INDEX(Tableau2[TS],MATCH(Tableau3[[#This Row],[ID-CARTEVOIE]],Tableau2[ID-CARTEVOIE],0))</f>
        <v>ET</v>
      </c>
      <c r="AA1144" s="53" t="s">
        <v>213</v>
      </c>
      <c r="AB1144" s="223" t="str">
        <f>IFERROR(INDEX(Tableau5[Reserve],MATCH(Tableau3[[#This Row],[ID-SIG]],Tableau5[ID],0))&amp;"","")</f>
        <v/>
      </c>
      <c r="AC1144" s="21"/>
      <c r="AD1144" s="108" t="str">
        <f>INDEX(Tableau7[Repere],MATCH(Tableau3[[#This Row],[ID-API]],Tableau7[ID-API],0))&amp;""</f>
        <v>A7</v>
      </c>
      <c r="AE1144" s="108" t="str">
        <f>INDEX(Tableau1[Repere-Rack],MATCH(Tableau3[[#This Row],[ID-RACK]],Tableau1[ID-RACK],0))&amp;""</f>
        <v>R1</v>
      </c>
      <c r="AF1144" s="108" t="str">
        <f>INDEX(Tableau1[Repere-Slot],MATCH(Tableau3[[#This Row],[ID-SLOT]],Tableau1[ID-SLOT],0))&amp;""</f>
        <v>S6</v>
      </c>
      <c r="AG1144" s="108" t="str">
        <f>INDEX(Tableau2[Repere-Voie],MATCH(Tableau3[[#This Row],[ID-VOIE]],Tableau2[ID-Voie],0))&amp;""</f>
        <v>v14</v>
      </c>
      <c r="AH1144" s="72" t="str">
        <f>Tableau3[[#This Row],[ID-API]]&amp; "." &amp;Tableau3[[#This Row],[ID-RACK]]&amp; "." &amp;Tableau3[[#This Row],[ID-SLOT]]</f>
        <v>7.1.6</v>
      </c>
      <c r="AI1144" s="72" t="str">
        <f>INDEX(Tableau1[Ref-Carte],MATCH(Tableau3[[#This Row],[ID-RRS]],Tableau1[ID-RRS],0))</f>
        <v>SDI1602</v>
      </c>
      <c r="AJ1144" s="72" t="str">
        <f t="array" ref="AJ1144">IFERROR(INDEX(Tableau2[TS],MATCH(1,(Tableau2[Ref-Carte]=Tableau3[[#This Row],[Ref-Carte2]])*(Tableau2[ID-Voie]=Tableau3[[#This Row],[ID-VOIE]]),0)),"")</f>
        <v>ET</v>
      </c>
      <c r="AK1144" s="72" t="str">
        <f>IFERROR(INDEX(Tableau2[TS],SUMPRODUCT((Tableau2[Ref-Carte]=Tableau3[[#This Row],[Ref-Carte2]])*(Tableau2[ID-Voie]=Tableau3[[#This Row],[ID-VOIE]])*ROW(Tableau2[TS]))-ROW(Tableau2[#Headers])),"")</f>
        <v>ET</v>
      </c>
      <c r="AL1144" s="72" t="str">
        <f>Tableau3[[#This Row],[Ref-Carte2]]&amp;"/"&amp;Tableau3[[#This Row],[ID-VOIE]]</f>
        <v>SDI1602/14</v>
      </c>
      <c r="AM1144" s="73" t="str">
        <f>INDEX(Tableau2[Borne],MATCH(Tableau3[[#This Row],[ID-CARTEVOIE]],Tableau2[ID-CARTEVOIE],0))&amp;""</f>
        <v>7B</v>
      </c>
      <c r="AN1144" s="74" t="str">
        <f>Tableau3[[#This Row],[ID-API]]&amp;Tableau3[[#This Row],[ID-RACK]]&amp;Tableau3[[#This Row],[ID-SLOT]]&amp;Tableau3[[#This Row],[BORNE]]</f>
        <v>7167B</v>
      </c>
      <c r="AO1144" s="1"/>
    </row>
    <row r="1145" spans="1:41" ht="20.100000000000001" customHeight="1" thickTop="1" thickBot="1">
      <c r="A1145" s="68"/>
      <c r="B1145" s="69" t="str">
        <f>IFERROR(INDEX(Tableau4[Date],MATCH($A1145,Tableau4[EVO],0)),"")</f>
        <v/>
      </c>
      <c r="C1145" s="68" t="str">
        <f>IFERROR(INDEX(Tableau4[Designation],MATCH($A1145,Tableau4[EVO],0)),"")</f>
        <v/>
      </c>
      <c r="D1145" s="68"/>
      <c r="E1145" s="70">
        <v>215</v>
      </c>
      <c r="F1145" s="71">
        <v>104</v>
      </c>
      <c r="G1145" s="101" t="str">
        <f>INDEX(Tableau8[Att1],MATCH(Tableau3[[#This Row],[ID-INS]],Tableau8[ID],0))&amp;""</f>
        <v>X</v>
      </c>
      <c r="H1145" s="101" t="str">
        <f>INDEX(Tableau8[Att2],MATCH(Tableau3[[#This Row],[ID-INS]],Tableau8[ID],0))&amp;""</f>
        <v>EL33</v>
      </c>
      <c r="I1145" s="101" t="str">
        <f>INDEX(Tableau8[Att3],MATCH(Tableau3[[#This Row],[ID-INS]],Tableau8[ID],0))&amp;""</f>
        <v>Tourniquet TRSD1</v>
      </c>
      <c r="J1145" s="101"/>
      <c r="K1145" s="167" t="str">
        <f>INDEX(Tableau8[Nom du modele],MATCH(Tableau3[[#This Row],[ID-INS]],Tableau8[ID],0))&amp;""</f>
        <v>SurvElec</v>
      </c>
      <c r="L1145" s="99" t="str">
        <f>INDEX(Tableau5[Att1],MATCH(Tableau3[[#This Row],[ID-SIG]],Tableau5[ID],0))&amp;""</f>
        <v>Def</v>
      </c>
      <c r="M1145" s="99" t="str">
        <f>INDEX(Tableau5[Att2],MATCH(Tableau3[[#This Row],[ID-SIG]],Tableau5[ID],0))&amp;""</f>
        <v/>
      </c>
      <c r="N1145" s="99" t="str">
        <f>INDEX(Tableau5[Att3],MATCH(Tableau3[[#This Row],[ID-SIG]],Tableau5[ID],0))&amp;""</f>
        <v/>
      </c>
      <c r="O1145" s="99"/>
      <c r="P1145" s="99" t="str">
        <f>INDEX(Tableau5[Description],MATCH(Tableau3[[#This Row],[ID-SIG]],Tableau5[ID],0))</f>
        <v>Défaut</v>
      </c>
      <c r="Q1145" s="99"/>
      <c r="R1145" s="103" t="str">
        <f>Tableau3[[#This Row],[Description]]</f>
        <v>Défaut</v>
      </c>
      <c r="U1145" s="87">
        <v>7</v>
      </c>
      <c r="V1145" s="87">
        <v>1</v>
      </c>
      <c r="W1145" s="87">
        <v>6</v>
      </c>
      <c r="X1145" s="87">
        <v>15</v>
      </c>
      <c r="Y1145" s="40"/>
      <c r="Z1145" s="165" t="str">
        <f>INDEX(Tableau2[TS],MATCH(Tableau3[[#This Row],[ID-CARTEVOIE]],Tableau2[ID-CARTEVOIE],0))</f>
        <v>ET</v>
      </c>
      <c r="AA1145" s="53" t="s">
        <v>213</v>
      </c>
      <c r="AB1145" s="223" t="str">
        <f>IFERROR(INDEX(Tableau5[Reserve],MATCH(Tableau3[[#This Row],[ID-SIG]],Tableau5[ID],0))&amp;"","")</f>
        <v/>
      </c>
      <c r="AC1145" s="21"/>
      <c r="AD1145" s="108" t="str">
        <f>INDEX(Tableau7[Repere],MATCH(Tableau3[[#This Row],[ID-API]],Tableau7[ID-API],0))&amp;""</f>
        <v>A7</v>
      </c>
      <c r="AE1145" s="108" t="str">
        <f>INDEX(Tableau1[Repere-Rack],MATCH(Tableau3[[#This Row],[ID-RACK]],Tableau1[ID-RACK],0))&amp;""</f>
        <v>R1</v>
      </c>
      <c r="AF1145" s="108" t="str">
        <f>INDEX(Tableau1[Repere-Slot],MATCH(Tableau3[[#This Row],[ID-SLOT]],Tableau1[ID-SLOT],0))&amp;""</f>
        <v>S6</v>
      </c>
      <c r="AG1145" s="108" t="str">
        <f>INDEX(Tableau2[Repere-Voie],MATCH(Tableau3[[#This Row],[ID-VOIE]],Tableau2[ID-Voie],0))&amp;""</f>
        <v>v15</v>
      </c>
      <c r="AH1145" s="72" t="str">
        <f>Tableau3[[#This Row],[ID-API]]&amp; "." &amp;Tableau3[[#This Row],[ID-RACK]]&amp; "." &amp;Tableau3[[#This Row],[ID-SLOT]]</f>
        <v>7.1.6</v>
      </c>
      <c r="AI1145" s="72" t="str">
        <f>INDEX(Tableau1[Ref-Carte],MATCH(Tableau3[[#This Row],[ID-RRS]],Tableau1[ID-RRS],0))</f>
        <v>SDI1602</v>
      </c>
      <c r="AJ1145" s="72" t="str">
        <f t="array" ref="AJ1145">IFERROR(INDEX(Tableau2[TS],MATCH(1,(Tableau2[Ref-Carte]=Tableau3[[#This Row],[Ref-Carte2]])*(Tableau2[ID-Voie]=Tableau3[[#This Row],[ID-VOIE]]),0)),"")</f>
        <v>ET</v>
      </c>
      <c r="AK1145" s="72" t="str">
        <f>IFERROR(INDEX(Tableau2[TS],SUMPRODUCT((Tableau2[Ref-Carte]=Tableau3[[#This Row],[Ref-Carte2]])*(Tableau2[ID-Voie]=Tableau3[[#This Row],[ID-VOIE]])*ROW(Tableau2[TS]))-ROW(Tableau2[#Headers])),"")</f>
        <v>ET</v>
      </c>
      <c r="AL1145" s="72" t="str">
        <f>Tableau3[[#This Row],[Ref-Carte2]]&amp;"/"&amp;Tableau3[[#This Row],[ID-VOIE]]</f>
        <v>SDI1602/15</v>
      </c>
      <c r="AM1145" s="73" t="str">
        <f>INDEX(Tableau2[Borne],MATCH(Tableau3[[#This Row],[ID-CARTEVOIE]],Tableau2[ID-CARTEVOIE],0))&amp;""</f>
        <v>7A</v>
      </c>
      <c r="AN1145" s="74" t="str">
        <f>Tableau3[[#This Row],[ID-API]]&amp;Tableau3[[#This Row],[ID-RACK]]&amp;Tableau3[[#This Row],[ID-SLOT]]&amp;Tableau3[[#This Row],[BORNE]]</f>
        <v>7167A</v>
      </c>
      <c r="AO1145" s="1"/>
    </row>
    <row r="1146" spans="1:41" ht="20.100000000000001" customHeight="1" thickTop="1" thickBot="1">
      <c r="A1146" s="68"/>
      <c r="B1146" s="69" t="str">
        <f>IFERROR(INDEX(Tableau4[Date],MATCH($A1146,Tableau4[EVO],0)),"")</f>
        <v/>
      </c>
      <c r="C1146" s="68" t="str">
        <f>IFERROR(INDEX(Tableau4[Designation],MATCH($A1146,Tableau4[EVO],0)),"")</f>
        <v/>
      </c>
      <c r="D1146" s="68"/>
      <c r="E1146" s="70">
        <v>44</v>
      </c>
      <c r="F1146" s="71">
        <v>50</v>
      </c>
      <c r="G1146" s="101" t="str">
        <f>INDEX(Tableau8[Att1],MATCH(Tableau3[[#This Row],[ID-INS]],Tableau8[ID],0))&amp;""</f>
        <v>B21</v>
      </c>
      <c r="H1146" s="101" t="str">
        <f>INDEX(Tableau8[Att2],MATCH(Tableau3[[#This Row],[ID-INS]],Tableau8[ID],0))&amp;""</f>
        <v>PMR3</v>
      </c>
      <c r="I1146" s="101" t="str">
        <f>INDEX(Tableau8[Att3],MATCH(Tableau3[[#This Row],[ID-INS]],Tableau8[ID],0))&amp;""</f>
        <v>PMR3</v>
      </c>
      <c r="J1146" s="101"/>
      <c r="K1146" s="167" t="str">
        <f>INDEX(Tableau8[Nom du modele],MATCH(Tableau3[[#This Row],[ID-INS]],Tableau8[ID],0))&amp;""</f>
        <v>PMR_1</v>
      </c>
      <c r="L1146" s="141" t="str">
        <f>INDEX(Tableau5[Att1],MATCH(Tableau3[[#This Row],[ID-SIG]],Tableau5[ID],0))&amp;""</f>
        <v>TS_OuvCmd2</v>
      </c>
      <c r="M1146" s="99" t="str">
        <f>INDEX(Tableau5[Att2],MATCH(Tableau3[[#This Row],[ID-SIG]],Tableau5[ID],0))&amp;""</f>
        <v/>
      </c>
      <c r="N1146" s="99" t="str">
        <f>INDEX(Tableau5[Att3],MATCH(Tableau3[[#This Row],[ID-SIG]],Tableau5[ID],0))&amp;""</f>
        <v/>
      </c>
      <c r="O1146" s="99"/>
      <c r="P1146" s="141" t="str">
        <f>INDEX(Tableau5[Description],MATCH(Tableau3[[#This Row],[ID-SIG]],Tableau5[ID],0))</f>
        <v>Commande 2 ouverture sortie</v>
      </c>
      <c r="Q1146" s="99"/>
      <c r="R1146" s="103" t="str">
        <f>Tableau3[[#This Row],[Description]]</f>
        <v>Commande 2 ouverture sortie</v>
      </c>
      <c r="U1146" s="87">
        <v>7</v>
      </c>
      <c r="V1146" s="87">
        <v>1</v>
      </c>
      <c r="W1146" s="87">
        <v>7</v>
      </c>
      <c r="X1146" s="87">
        <v>0</v>
      </c>
      <c r="Y1146" s="41"/>
      <c r="Z1146" s="165" t="str">
        <f>INDEX(Tableau2[TS],MATCH(Tableau3[[#This Row],[ID-CARTEVOIE]],Tableau2[ID-CARTEVOIE],0))</f>
        <v>ST</v>
      </c>
      <c r="AA1146" s="53" t="s">
        <v>213</v>
      </c>
      <c r="AB1146" s="223" t="str">
        <f>IFERROR(INDEX(Tableau5[Reserve],MATCH(Tableau3[[#This Row],[ID-SIG]],Tableau5[ID],0))&amp;"","")</f>
        <v/>
      </c>
      <c r="AC1146" s="21"/>
      <c r="AD1146" s="108" t="str">
        <f>INDEX(Tableau7[Repere],MATCH(Tableau3[[#This Row],[ID-API]],Tableau7[ID-API],0))&amp;""</f>
        <v>A7</v>
      </c>
      <c r="AE1146" s="108" t="str">
        <f>INDEX(Tableau1[Repere-Rack],MATCH(Tableau3[[#This Row],[ID-RACK]],Tableau1[ID-RACK],0))&amp;""</f>
        <v>R1</v>
      </c>
      <c r="AF1146" s="108" t="str">
        <f>INDEX(Tableau1[Repere-Slot],MATCH(Tableau3[[#This Row],[ID-SLOT]],Tableau1[ID-SLOT],0))&amp;""</f>
        <v>S7</v>
      </c>
      <c r="AG1146" s="108" t="str">
        <f>INDEX(Tableau2[Repere-Voie],MATCH(Tableau3[[#This Row],[ID-VOIE]],Tableau2[ID-Voie],0))&amp;""</f>
        <v>v0</v>
      </c>
      <c r="AH1146" s="72" t="str">
        <f>Tableau3[[#This Row],[ID-API]]&amp; "." &amp;Tableau3[[#This Row],[ID-RACK]]&amp; "." &amp;Tableau3[[#This Row],[ID-SLOT]]</f>
        <v>7.1.7</v>
      </c>
      <c r="AI1146" s="72" t="str">
        <f>INDEX(Tableau1[Ref-Carte],MATCH(Tableau3[[#This Row],[ID-RRS]],Tableau1[ID-RRS],0))</f>
        <v>SDO0802</v>
      </c>
      <c r="AJ1146" s="72" t="str">
        <f t="array" ref="AJ1146">IFERROR(INDEX(Tableau2[TS],MATCH(1,(Tableau2[Ref-Carte]=Tableau3[[#This Row],[Ref-Carte2]])*(Tableau2[ID-Voie]=Tableau3[[#This Row],[ID-VOIE]]),0)),"")</f>
        <v>ST</v>
      </c>
      <c r="AK1146" s="72" t="str">
        <f>IFERROR(INDEX(Tableau2[TS],SUMPRODUCT((Tableau2[Ref-Carte]=Tableau3[[#This Row],[Ref-Carte2]])*(Tableau2[ID-Voie]=Tableau3[[#This Row],[ID-VOIE]])*ROW(Tableau2[TS]))-ROW(Tableau2[#Headers])),"")</f>
        <v>ST</v>
      </c>
      <c r="AL1146" s="72" t="str">
        <f>Tableau3[[#This Row],[Ref-Carte2]]&amp;"/"&amp;Tableau3[[#This Row],[ID-VOIE]]</f>
        <v>SDO0802/0</v>
      </c>
      <c r="AM1146" s="73" t="str">
        <f>INDEX(Tableau2[Borne],MATCH(Tableau3[[#This Row],[ID-CARTEVOIE]],Tableau2[ID-CARTEVOIE],0))&amp;""</f>
        <v>0</v>
      </c>
      <c r="AN1146" s="74" t="str">
        <f>Tableau3[[#This Row],[ID-API]]&amp;Tableau3[[#This Row],[ID-RACK]]&amp;Tableau3[[#This Row],[ID-SLOT]]&amp;Tableau3[[#This Row],[BORNE]]</f>
        <v>7170</v>
      </c>
      <c r="AO1146" s="1"/>
    </row>
    <row r="1147" spans="1:41" ht="20.100000000000001" customHeight="1" thickTop="1" thickBot="1">
      <c r="A1147" s="68"/>
      <c r="B1147" s="69" t="str">
        <f>IFERROR(INDEX(Tableau4[Date],MATCH($A1147,Tableau4[EVO],0)),"")</f>
        <v/>
      </c>
      <c r="C1147" s="68" t="str">
        <f>IFERROR(INDEX(Tableau4[Designation],MATCH($A1147,Tableau4[EVO],0)),"")</f>
        <v/>
      </c>
      <c r="D1147" s="68"/>
      <c r="E1147" s="70">
        <v>56</v>
      </c>
      <c r="F1147" s="71">
        <v>28</v>
      </c>
      <c r="G1147" s="101" t="str">
        <f>INDEX(Tableau8[Att1],MATCH(Tableau3[[#This Row],[ID-INS]],Tableau8[ID],0))&amp;""</f>
        <v>B21</v>
      </c>
      <c r="H1147" s="101" t="str">
        <f>INDEX(Tableau8[Att2],MATCH(Tableau3[[#This Row],[ID-INS]],Tableau8[ID],0))&amp;""</f>
        <v>TRSD1</v>
      </c>
      <c r="I1147" s="101" t="str">
        <f>INDEX(Tableau8[Att3],MATCH(Tableau3[[#This Row],[ID-INS]],Tableau8[ID],0))&amp;""</f>
        <v>Tourniquet TRSD1</v>
      </c>
      <c r="J1147" s="101"/>
      <c r="K1147" s="167" t="str">
        <f>INDEX(Tableau8[Nom du modele],MATCH(Tableau3[[#This Row],[ID-INS]],Tableau8[ID],0))&amp;""</f>
        <v>TRSD_1</v>
      </c>
      <c r="L1147" s="99" t="str">
        <f>INDEX(Tableau5[Att1],MATCH(Tableau3[[#This Row],[ID-SIG]],Tableau5[ID],0))&amp;""</f>
        <v>T1S_OuvCmd2</v>
      </c>
      <c r="M1147" s="99" t="str">
        <f>INDEX(Tableau5[Att2],MATCH(Tableau3[[#This Row],[ID-SIG]],Tableau5[ID],0))&amp;""</f>
        <v/>
      </c>
      <c r="N1147" s="99" t="str">
        <f>INDEX(Tableau5[Att3],MATCH(Tableau3[[#This Row],[ID-SIG]],Tableau5[ID],0))&amp;""</f>
        <v/>
      </c>
      <c r="O1147" s="99"/>
      <c r="P1147" s="99" t="str">
        <f>INDEX(Tableau5[Description],MATCH(Tableau3[[#This Row],[ID-SIG]],Tableau5[ID],0))</f>
        <v>Commande 2 ouverture sortie 1</v>
      </c>
      <c r="Q1147" s="99"/>
      <c r="R1147" s="103" t="str">
        <f>Tableau3[[#This Row],[Description]]</f>
        <v>Commande 2 ouverture sortie 1</v>
      </c>
      <c r="U1147" s="87">
        <v>7</v>
      </c>
      <c r="V1147" s="87">
        <v>1</v>
      </c>
      <c r="W1147" s="87">
        <v>7</v>
      </c>
      <c r="X1147" s="87">
        <v>1</v>
      </c>
      <c r="Y1147" s="41"/>
      <c r="Z1147" s="165" t="str">
        <f>INDEX(Tableau2[TS],MATCH(Tableau3[[#This Row],[ID-CARTEVOIE]],Tableau2[ID-CARTEVOIE],0))</f>
        <v>ST</v>
      </c>
      <c r="AA1147" s="53" t="s">
        <v>213</v>
      </c>
      <c r="AB1147" s="223" t="str">
        <f>IFERROR(INDEX(Tableau5[Reserve],MATCH(Tableau3[[#This Row],[ID-SIG]],Tableau5[ID],0))&amp;"","")</f>
        <v/>
      </c>
      <c r="AC1147" s="21"/>
      <c r="AD1147" s="108" t="str">
        <f>INDEX(Tableau7[Repere],MATCH(Tableau3[[#This Row],[ID-API]],Tableau7[ID-API],0))&amp;""</f>
        <v>A7</v>
      </c>
      <c r="AE1147" s="108" t="str">
        <f>INDEX(Tableau1[Repere-Rack],MATCH(Tableau3[[#This Row],[ID-RACK]],Tableau1[ID-RACK],0))&amp;""</f>
        <v>R1</v>
      </c>
      <c r="AF1147" s="108" t="str">
        <f>INDEX(Tableau1[Repere-Slot],MATCH(Tableau3[[#This Row],[ID-SLOT]],Tableau1[ID-SLOT],0))&amp;""</f>
        <v>S7</v>
      </c>
      <c r="AG1147" s="108" t="str">
        <f>INDEX(Tableau2[Repere-Voie],MATCH(Tableau3[[#This Row],[ID-VOIE]],Tableau2[ID-Voie],0))&amp;""</f>
        <v>v1</v>
      </c>
      <c r="AH1147" s="72" t="str">
        <f>Tableau3[[#This Row],[ID-API]]&amp; "." &amp;Tableau3[[#This Row],[ID-RACK]]&amp; "." &amp;Tableau3[[#This Row],[ID-SLOT]]</f>
        <v>7.1.7</v>
      </c>
      <c r="AI1147" s="72" t="str">
        <f>INDEX(Tableau1[Ref-Carte],MATCH(Tableau3[[#This Row],[ID-RRS]],Tableau1[ID-RRS],0))</f>
        <v>SDO0802</v>
      </c>
      <c r="AJ1147" s="72" t="str">
        <f t="array" ref="AJ1147">IFERROR(INDEX(Tableau2[TS],MATCH(1,(Tableau2[Ref-Carte]=Tableau3[[#This Row],[Ref-Carte2]])*(Tableau2[ID-Voie]=Tableau3[[#This Row],[ID-VOIE]]),0)),"")</f>
        <v>ST</v>
      </c>
      <c r="AK1147" s="72" t="str">
        <f>IFERROR(INDEX(Tableau2[TS],SUMPRODUCT((Tableau2[Ref-Carte]=Tableau3[[#This Row],[Ref-Carte2]])*(Tableau2[ID-Voie]=Tableau3[[#This Row],[ID-VOIE]])*ROW(Tableau2[TS]))-ROW(Tableau2[#Headers])),"")</f>
        <v>ST</v>
      </c>
      <c r="AL1147" s="72" t="str">
        <f>Tableau3[[#This Row],[Ref-Carte2]]&amp;"/"&amp;Tableau3[[#This Row],[ID-VOIE]]</f>
        <v>SDO0802/1</v>
      </c>
      <c r="AM1147" s="73" t="str">
        <f>INDEX(Tableau2[Borne],MATCH(Tableau3[[#This Row],[ID-CARTEVOIE]],Tableau2[ID-CARTEVOIE],0))&amp;""</f>
        <v>1</v>
      </c>
      <c r="AN1147" s="74" t="str">
        <f>Tableau3[[#This Row],[ID-API]]&amp;Tableau3[[#This Row],[ID-RACK]]&amp;Tableau3[[#This Row],[ID-SLOT]]&amp;Tableau3[[#This Row],[BORNE]]</f>
        <v>7171</v>
      </c>
      <c r="AO1147" s="1"/>
    </row>
    <row r="1148" spans="1:41" ht="20.100000000000001" customHeight="1" thickTop="1" thickBot="1">
      <c r="A1148" s="68"/>
      <c r="B1148" s="69" t="str">
        <f>IFERROR(INDEX(Tableau4[Date],MATCH($A1148,Tableau4[EVO],0)),"")</f>
        <v/>
      </c>
      <c r="C1148" s="68" t="str">
        <f>IFERROR(INDEX(Tableau4[Designation],MATCH($A1148,Tableau4[EVO],0)),"")</f>
        <v/>
      </c>
      <c r="D1148" s="68"/>
      <c r="E1148" s="70">
        <v>56</v>
      </c>
      <c r="F1148" s="71">
        <v>34</v>
      </c>
      <c r="G1148" s="101" t="str">
        <f>INDEX(Tableau8[Att1],MATCH(Tableau3[[#This Row],[ID-INS]],Tableau8[ID],0))&amp;""</f>
        <v>B21</v>
      </c>
      <c r="H1148" s="101" t="str">
        <f>INDEX(Tableau8[Att2],MATCH(Tableau3[[#This Row],[ID-INS]],Tableau8[ID],0))&amp;""</f>
        <v>TRSD1</v>
      </c>
      <c r="I1148" s="101" t="str">
        <f>INDEX(Tableau8[Att3],MATCH(Tableau3[[#This Row],[ID-INS]],Tableau8[ID],0))&amp;""</f>
        <v>Tourniquet TRSD1</v>
      </c>
      <c r="J1148" s="101"/>
      <c r="K1148" s="167" t="str">
        <f>INDEX(Tableau8[Nom du modele],MATCH(Tableau3[[#This Row],[ID-INS]],Tableau8[ID],0))&amp;""</f>
        <v>TRSD_1</v>
      </c>
      <c r="L1148" s="99" t="str">
        <f>INDEX(Tableau5[Att1],MATCH(Tableau3[[#This Row],[ID-SIG]],Tableau5[ID],0))&amp;""</f>
        <v>T2E_OuvCmd</v>
      </c>
      <c r="M1148" s="99" t="str">
        <f>INDEX(Tableau5[Att2],MATCH(Tableau3[[#This Row],[ID-SIG]],Tableau5[ID],0))&amp;""</f>
        <v/>
      </c>
      <c r="N1148" s="99" t="str">
        <f>INDEX(Tableau5[Att3],MATCH(Tableau3[[#This Row],[ID-SIG]],Tableau5[ID],0))&amp;""</f>
        <v/>
      </c>
      <c r="O1148" s="99"/>
      <c r="P1148" s="99" t="str">
        <f>INDEX(Tableau5[Description],MATCH(Tableau3[[#This Row],[ID-SIG]],Tableau5[ID],0))</f>
        <v>Commande ouverture entrée 2</v>
      </c>
      <c r="Q1148" s="99"/>
      <c r="R1148" s="103" t="str">
        <f>Tableau3[[#This Row],[Description]]</f>
        <v>Commande ouverture entrée 2</v>
      </c>
      <c r="U1148" s="87">
        <v>7</v>
      </c>
      <c r="V1148" s="87">
        <v>1</v>
      </c>
      <c r="W1148" s="87">
        <v>7</v>
      </c>
      <c r="X1148" s="87">
        <v>2</v>
      </c>
      <c r="Y1148" s="41"/>
      <c r="Z1148" s="165" t="str">
        <f>INDEX(Tableau2[TS],MATCH(Tableau3[[#This Row],[ID-CARTEVOIE]],Tableau2[ID-CARTEVOIE],0))</f>
        <v>ST</v>
      </c>
      <c r="AA1148" s="53" t="s">
        <v>213</v>
      </c>
      <c r="AB1148" s="223" t="str">
        <f>IFERROR(INDEX(Tableau5[Reserve],MATCH(Tableau3[[#This Row],[ID-SIG]],Tableau5[ID],0))&amp;"","")</f>
        <v/>
      </c>
      <c r="AC1148" s="21"/>
      <c r="AD1148" s="108" t="str">
        <f>INDEX(Tableau7[Repere],MATCH(Tableau3[[#This Row],[ID-API]],Tableau7[ID-API],0))&amp;""</f>
        <v>A7</v>
      </c>
      <c r="AE1148" s="108" t="str">
        <f>INDEX(Tableau1[Repere-Rack],MATCH(Tableau3[[#This Row],[ID-RACK]],Tableau1[ID-RACK],0))&amp;""</f>
        <v>R1</v>
      </c>
      <c r="AF1148" s="108" t="str">
        <f>INDEX(Tableau1[Repere-Slot],MATCH(Tableau3[[#This Row],[ID-SLOT]],Tableau1[ID-SLOT],0))&amp;""</f>
        <v>S7</v>
      </c>
      <c r="AG1148" s="108" t="str">
        <f>INDEX(Tableau2[Repere-Voie],MATCH(Tableau3[[#This Row],[ID-VOIE]],Tableau2[ID-Voie],0))&amp;""</f>
        <v>v2</v>
      </c>
      <c r="AH1148" s="72" t="str">
        <f>Tableau3[[#This Row],[ID-API]]&amp; "." &amp;Tableau3[[#This Row],[ID-RACK]]&amp; "." &amp;Tableau3[[#This Row],[ID-SLOT]]</f>
        <v>7.1.7</v>
      </c>
      <c r="AI1148" s="72" t="str">
        <f>INDEX(Tableau1[Ref-Carte],MATCH(Tableau3[[#This Row],[ID-RRS]],Tableau1[ID-RRS],0))</f>
        <v>SDO0802</v>
      </c>
      <c r="AJ1148" s="72" t="str">
        <f t="array" ref="AJ1148">IFERROR(INDEX(Tableau2[TS],MATCH(1,(Tableau2[Ref-Carte]=Tableau3[[#This Row],[Ref-Carte2]])*(Tableau2[ID-Voie]=Tableau3[[#This Row],[ID-VOIE]]),0)),"")</f>
        <v>ST</v>
      </c>
      <c r="AK1148" s="72" t="str">
        <f>IFERROR(INDEX(Tableau2[TS],SUMPRODUCT((Tableau2[Ref-Carte]=Tableau3[[#This Row],[Ref-Carte2]])*(Tableau2[ID-Voie]=Tableau3[[#This Row],[ID-VOIE]])*ROW(Tableau2[TS]))-ROW(Tableau2[#Headers])),"")</f>
        <v>ST</v>
      </c>
      <c r="AL1148" s="72" t="str">
        <f>Tableau3[[#This Row],[Ref-Carte2]]&amp;"/"&amp;Tableau3[[#This Row],[ID-VOIE]]</f>
        <v>SDO0802/2</v>
      </c>
      <c r="AM1148" s="73" t="str">
        <f>INDEX(Tableau2[Borne],MATCH(Tableau3[[#This Row],[ID-CARTEVOIE]],Tableau2[ID-CARTEVOIE],0))&amp;""</f>
        <v>2</v>
      </c>
      <c r="AN1148" s="74" t="str">
        <f>Tableau3[[#This Row],[ID-API]]&amp;Tableau3[[#This Row],[ID-RACK]]&amp;Tableau3[[#This Row],[ID-SLOT]]&amp;Tableau3[[#This Row],[BORNE]]</f>
        <v>7172</v>
      </c>
      <c r="AO1148" s="1"/>
    </row>
    <row r="1149" spans="1:41" ht="20.100000000000001" customHeight="1" thickTop="1" thickBot="1">
      <c r="A1149" s="68"/>
      <c r="B1149" s="69" t="str">
        <f>IFERROR(INDEX(Tableau4[Date],MATCH($A1149,Tableau4[EVO],0)),"")</f>
        <v/>
      </c>
      <c r="C1149" s="68" t="str">
        <f>IFERROR(INDEX(Tableau4[Designation],MATCH($A1149,Tableau4[EVO],0)),"")</f>
        <v/>
      </c>
      <c r="D1149" s="68"/>
      <c r="E1149" s="70">
        <v>56</v>
      </c>
      <c r="F1149" s="71">
        <v>35</v>
      </c>
      <c r="G1149" s="101" t="str">
        <f>INDEX(Tableau8[Att1],MATCH(Tableau3[[#This Row],[ID-INS]],Tableau8[ID],0))&amp;""</f>
        <v>B21</v>
      </c>
      <c r="H1149" s="101" t="str">
        <f>INDEX(Tableau8[Att2],MATCH(Tableau3[[#This Row],[ID-INS]],Tableau8[ID],0))&amp;""</f>
        <v>TRSD1</v>
      </c>
      <c r="I1149" s="101" t="str">
        <f>INDEX(Tableau8[Att3],MATCH(Tableau3[[#This Row],[ID-INS]],Tableau8[ID],0))&amp;""</f>
        <v>Tourniquet TRSD1</v>
      </c>
      <c r="J1149" s="101"/>
      <c r="K1149" s="167" t="str">
        <f>INDEX(Tableau8[Nom du modele],MATCH(Tableau3[[#This Row],[ID-INS]],Tableau8[ID],0))&amp;""</f>
        <v>TRSD_1</v>
      </c>
      <c r="L1149" s="99" t="str">
        <f>INDEX(Tableau5[Att1],MATCH(Tableau3[[#This Row],[ID-SIG]],Tableau5[ID],0))&amp;""</f>
        <v>T2S_OuvCmd1</v>
      </c>
      <c r="M1149" s="99" t="str">
        <f>INDEX(Tableau5[Att2],MATCH(Tableau3[[#This Row],[ID-SIG]],Tableau5[ID],0))&amp;""</f>
        <v/>
      </c>
      <c r="N1149" s="99" t="str">
        <f>INDEX(Tableau5[Att3],MATCH(Tableau3[[#This Row],[ID-SIG]],Tableau5[ID],0))&amp;""</f>
        <v/>
      </c>
      <c r="O1149" s="99"/>
      <c r="P1149" s="99" t="str">
        <f>INDEX(Tableau5[Description],MATCH(Tableau3[[#This Row],[ID-SIG]],Tableau5[ID],0))</f>
        <v>Commande 1 ouverture sortie 2</v>
      </c>
      <c r="Q1149" s="99"/>
      <c r="R1149" s="103" t="str">
        <f>Tableau3[[#This Row],[Description]]</f>
        <v>Commande 1 ouverture sortie 2</v>
      </c>
      <c r="U1149" s="87">
        <v>7</v>
      </c>
      <c r="V1149" s="87">
        <v>1</v>
      </c>
      <c r="W1149" s="87">
        <v>7</v>
      </c>
      <c r="X1149" s="87">
        <v>3</v>
      </c>
      <c r="Y1149" s="41"/>
      <c r="Z1149" s="165" t="str">
        <f>INDEX(Tableau2[TS],MATCH(Tableau3[[#This Row],[ID-CARTEVOIE]],Tableau2[ID-CARTEVOIE],0))</f>
        <v>ST</v>
      </c>
      <c r="AA1149" s="53" t="s">
        <v>213</v>
      </c>
      <c r="AB1149" s="223" t="str">
        <f>IFERROR(INDEX(Tableau5[Reserve],MATCH(Tableau3[[#This Row],[ID-SIG]],Tableau5[ID],0))&amp;"","")</f>
        <v/>
      </c>
      <c r="AC1149" s="21"/>
      <c r="AD1149" s="108" t="str">
        <f>INDEX(Tableau7[Repere],MATCH(Tableau3[[#This Row],[ID-API]],Tableau7[ID-API],0))&amp;""</f>
        <v>A7</v>
      </c>
      <c r="AE1149" s="108" t="str">
        <f>INDEX(Tableau1[Repere-Rack],MATCH(Tableau3[[#This Row],[ID-RACK]],Tableau1[ID-RACK],0))&amp;""</f>
        <v>R1</v>
      </c>
      <c r="AF1149" s="108" t="str">
        <f>INDEX(Tableau1[Repere-Slot],MATCH(Tableau3[[#This Row],[ID-SLOT]],Tableau1[ID-SLOT],0))&amp;""</f>
        <v>S7</v>
      </c>
      <c r="AG1149" s="108" t="str">
        <f>INDEX(Tableau2[Repere-Voie],MATCH(Tableau3[[#This Row],[ID-VOIE]],Tableau2[ID-Voie],0))&amp;""</f>
        <v>v3</v>
      </c>
      <c r="AH1149" s="72" t="str">
        <f>Tableau3[[#This Row],[ID-API]]&amp; "." &amp;Tableau3[[#This Row],[ID-RACK]]&amp; "." &amp;Tableau3[[#This Row],[ID-SLOT]]</f>
        <v>7.1.7</v>
      </c>
      <c r="AI1149" s="72" t="str">
        <f>INDEX(Tableau1[Ref-Carte],MATCH(Tableau3[[#This Row],[ID-RRS]],Tableau1[ID-RRS],0))</f>
        <v>SDO0802</v>
      </c>
      <c r="AJ1149" s="72" t="str">
        <f t="array" ref="AJ1149">IFERROR(INDEX(Tableau2[TS],MATCH(1,(Tableau2[Ref-Carte]=Tableau3[[#This Row],[Ref-Carte2]])*(Tableau2[ID-Voie]=Tableau3[[#This Row],[ID-VOIE]]),0)),"")</f>
        <v>ST</v>
      </c>
      <c r="AK1149" s="72" t="str">
        <f>IFERROR(INDEX(Tableau2[TS],SUMPRODUCT((Tableau2[Ref-Carte]=Tableau3[[#This Row],[Ref-Carte2]])*(Tableau2[ID-Voie]=Tableau3[[#This Row],[ID-VOIE]])*ROW(Tableau2[TS]))-ROW(Tableau2[#Headers])),"")</f>
        <v>ST</v>
      </c>
      <c r="AL1149" s="72" t="str">
        <f>Tableau3[[#This Row],[Ref-Carte2]]&amp;"/"&amp;Tableau3[[#This Row],[ID-VOIE]]</f>
        <v>SDO0802/3</v>
      </c>
      <c r="AM1149" s="73" t="str">
        <f>INDEX(Tableau2[Borne],MATCH(Tableau3[[#This Row],[ID-CARTEVOIE]],Tableau2[ID-CARTEVOIE],0))&amp;""</f>
        <v>3</v>
      </c>
      <c r="AN1149" s="74" t="str">
        <f>Tableau3[[#This Row],[ID-API]]&amp;Tableau3[[#This Row],[ID-RACK]]&amp;Tableau3[[#This Row],[ID-SLOT]]&amp;Tableau3[[#This Row],[BORNE]]</f>
        <v>7173</v>
      </c>
      <c r="AO1149" s="1"/>
    </row>
    <row r="1150" spans="1:41" ht="20.100000000000001" customHeight="1" thickTop="1" thickBot="1">
      <c r="A1150" s="68"/>
      <c r="B1150" s="69" t="str">
        <f>IFERROR(INDEX(Tableau4[Date],MATCH($A1150,Tableau4[EVO],0)),"")</f>
        <v/>
      </c>
      <c r="C1150" s="68" t="str">
        <f>IFERROR(INDEX(Tableau4[Designation],MATCH($A1150,Tableau4[EVO],0)),"")</f>
        <v/>
      </c>
      <c r="D1150" s="68"/>
      <c r="E1150" s="70">
        <v>56</v>
      </c>
      <c r="F1150" s="71">
        <v>38</v>
      </c>
      <c r="G1150" s="101" t="str">
        <f>INDEX(Tableau8[Att1],MATCH(Tableau3[[#This Row],[ID-INS]],Tableau8[ID],0))&amp;""</f>
        <v>B21</v>
      </c>
      <c r="H1150" s="101" t="str">
        <f>INDEX(Tableau8[Att2],MATCH(Tableau3[[#This Row],[ID-INS]],Tableau8[ID],0))&amp;""</f>
        <v>TRSD1</v>
      </c>
      <c r="I1150" s="101" t="str">
        <f>INDEX(Tableau8[Att3],MATCH(Tableau3[[#This Row],[ID-INS]],Tableau8[ID],0))&amp;""</f>
        <v>Tourniquet TRSD1</v>
      </c>
      <c r="J1150" s="101"/>
      <c r="K1150" s="167" t="str">
        <f>INDEX(Tableau8[Nom du modele],MATCH(Tableau3[[#This Row],[ID-INS]],Tableau8[ID],0))&amp;""</f>
        <v>TRSD_1</v>
      </c>
      <c r="L1150" s="99" t="str">
        <f>INDEX(Tableau5[Att1],MATCH(Tableau3[[#This Row],[ID-SIG]],Tableau5[ID],0))&amp;""</f>
        <v>T2E_PictoAutor</v>
      </c>
      <c r="M1150" s="99" t="str">
        <f>INDEX(Tableau5[Att2],MATCH(Tableau3[[#This Row],[ID-SIG]],Tableau5[ID],0))&amp;""</f>
        <v/>
      </c>
      <c r="N1150" s="99" t="str">
        <f>INDEX(Tableau5[Att3],MATCH(Tableau3[[#This Row],[ID-SIG]],Tableau5[ID],0))&amp;""</f>
        <v/>
      </c>
      <c r="O1150" s="99"/>
      <c r="P1150" s="99" t="str">
        <f>INDEX(Tableau5[Description],MATCH(Tableau3[[#This Row],[ID-SIG]],Tableau5[ID],0))</f>
        <v>Commande Picto entrée 2</v>
      </c>
      <c r="Q1150" s="99"/>
      <c r="R1150" s="103" t="str">
        <f>Tableau3[[#This Row],[Description]]</f>
        <v>Commande Picto entrée 2</v>
      </c>
      <c r="U1150" s="87">
        <v>7</v>
      </c>
      <c r="V1150" s="87">
        <v>1</v>
      </c>
      <c r="W1150" s="87">
        <v>7</v>
      </c>
      <c r="X1150" s="87">
        <v>4</v>
      </c>
      <c r="Y1150" s="41"/>
      <c r="Z1150" s="165" t="str">
        <f>INDEX(Tableau2[TS],MATCH(Tableau3[[#This Row],[ID-CARTEVOIE]],Tableau2[ID-CARTEVOIE],0))</f>
        <v>ST</v>
      </c>
      <c r="AA1150" s="53" t="s">
        <v>213</v>
      </c>
      <c r="AB1150" s="223" t="str">
        <f>IFERROR(INDEX(Tableau5[Reserve],MATCH(Tableau3[[#This Row],[ID-SIG]],Tableau5[ID],0))&amp;"","")</f>
        <v/>
      </c>
      <c r="AC1150" s="21"/>
      <c r="AD1150" s="108" t="str">
        <f>INDEX(Tableau7[Repere],MATCH(Tableau3[[#This Row],[ID-API]],Tableau7[ID-API],0))&amp;""</f>
        <v>A7</v>
      </c>
      <c r="AE1150" s="108" t="str">
        <f>INDEX(Tableau1[Repere-Rack],MATCH(Tableau3[[#This Row],[ID-RACK]],Tableau1[ID-RACK],0))&amp;""</f>
        <v>R1</v>
      </c>
      <c r="AF1150" s="108" t="str">
        <f>INDEX(Tableau1[Repere-Slot],MATCH(Tableau3[[#This Row],[ID-SLOT]],Tableau1[ID-SLOT],0))&amp;""</f>
        <v>S7</v>
      </c>
      <c r="AG1150" s="108" t="str">
        <f>INDEX(Tableau2[Repere-Voie],MATCH(Tableau3[[#This Row],[ID-VOIE]],Tableau2[ID-Voie],0))&amp;""</f>
        <v>v4</v>
      </c>
      <c r="AH1150" s="72" t="str">
        <f>Tableau3[[#This Row],[ID-API]]&amp; "." &amp;Tableau3[[#This Row],[ID-RACK]]&amp; "." &amp;Tableau3[[#This Row],[ID-SLOT]]</f>
        <v>7.1.7</v>
      </c>
      <c r="AI1150" s="72" t="str">
        <f>INDEX(Tableau1[Ref-Carte],MATCH(Tableau3[[#This Row],[ID-RRS]],Tableau1[ID-RRS],0))</f>
        <v>SDO0802</v>
      </c>
      <c r="AJ1150" s="72" t="str">
        <f t="array" ref="AJ1150">IFERROR(INDEX(Tableau2[TS],MATCH(1,(Tableau2[Ref-Carte]=Tableau3[[#This Row],[Ref-Carte2]])*(Tableau2[ID-Voie]=Tableau3[[#This Row],[ID-VOIE]]),0)),"")</f>
        <v>ST</v>
      </c>
      <c r="AK1150" s="72" t="str">
        <f>IFERROR(INDEX(Tableau2[TS],SUMPRODUCT((Tableau2[Ref-Carte]=Tableau3[[#This Row],[Ref-Carte2]])*(Tableau2[ID-Voie]=Tableau3[[#This Row],[ID-VOIE]])*ROW(Tableau2[TS]))-ROW(Tableau2[#Headers])),"")</f>
        <v>ST</v>
      </c>
      <c r="AL1150" s="72" t="str">
        <f>Tableau3[[#This Row],[Ref-Carte2]]&amp;"/"&amp;Tableau3[[#This Row],[ID-VOIE]]</f>
        <v>SDO0802/4</v>
      </c>
      <c r="AM1150" s="73" t="str">
        <f>INDEX(Tableau2[Borne],MATCH(Tableau3[[#This Row],[ID-CARTEVOIE]],Tableau2[ID-CARTEVOIE],0))&amp;""</f>
        <v>4</v>
      </c>
      <c r="AN1150" s="74" t="str">
        <f>Tableau3[[#This Row],[ID-API]]&amp;Tableau3[[#This Row],[ID-RACK]]&amp;Tableau3[[#This Row],[ID-SLOT]]&amp;Tableau3[[#This Row],[BORNE]]</f>
        <v>7174</v>
      </c>
      <c r="AO1150" s="1"/>
    </row>
    <row r="1151" spans="1:41" ht="20.100000000000001" customHeight="1" thickTop="1" thickBot="1">
      <c r="A1151" s="68"/>
      <c r="B1151" s="69" t="str">
        <f>IFERROR(INDEX(Tableau4[Date],MATCH($A1151,Tableau4[EVO],0)),"")</f>
        <v/>
      </c>
      <c r="C1151" s="68" t="str">
        <f>IFERROR(INDEX(Tableau4[Designation],MATCH($A1151,Tableau4[EVO],0)),"")</f>
        <v/>
      </c>
      <c r="D1151" s="68"/>
      <c r="E1151" s="70">
        <v>56</v>
      </c>
      <c r="F1151" s="71">
        <v>39</v>
      </c>
      <c r="G1151" s="101" t="str">
        <f>INDEX(Tableau8[Att1],MATCH(Tableau3[[#This Row],[ID-INS]],Tableau8[ID],0))&amp;""</f>
        <v>B21</v>
      </c>
      <c r="H1151" s="101" t="str">
        <f>INDEX(Tableau8[Att2],MATCH(Tableau3[[#This Row],[ID-INS]],Tableau8[ID],0))&amp;""</f>
        <v>TRSD1</v>
      </c>
      <c r="I1151" s="101" t="str">
        <f>INDEX(Tableau8[Att3],MATCH(Tableau3[[#This Row],[ID-INS]],Tableau8[ID],0))&amp;""</f>
        <v>Tourniquet TRSD1</v>
      </c>
      <c r="J1151" s="101"/>
      <c r="K1151" s="167" t="str">
        <f>INDEX(Tableau8[Nom du modele],MATCH(Tableau3[[#This Row],[ID-INS]],Tableau8[ID],0))&amp;""</f>
        <v>TRSD_1</v>
      </c>
      <c r="L1151" s="99" t="str">
        <f>INDEX(Tableau5[Att1],MATCH(Tableau3[[#This Row],[ID-SIG]],Tableau5[ID],0))&amp;""</f>
        <v>T2S_PictoAutor</v>
      </c>
      <c r="M1151" s="99" t="str">
        <f>INDEX(Tableau5[Att2],MATCH(Tableau3[[#This Row],[ID-SIG]],Tableau5[ID],0))&amp;""</f>
        <v/>
      </c>
      <c r="N1151" s="99" t="str">
        <f>INDEX(Tableau5[Att3],MATCH(Tableau3[[#This Row],[ID-SIG]],Tableau5[ID],0))&amp;""</f>
        <v/>
      </c>
      <c r="O1151" s="99"/>
      <c r="P1151" s="99" t="str">
        <f>INDEX(Tableau5[Description],MATCH(Tableau3[[#This Row],[ID-SIG]],Tableau5[ID],0))</f>
        <v>Commande Picto sortie 2</v>
      </c>
      <c r="Q1151" s="99"/>
      <c r="R1151" s="103" t="str">
        <f>Tableau3[[#This Row],[Description]]</f>
        <v>Commande Picto sortie 2</v>
      </c>
      <c r="U1151" s="87">
        <v>7</v>
      </c>
      <c r="V1151" s="87">
        <v>1</v>
      </c>
      <c r="W1151" s="87">
        <v>7</v>
      </c>
      <c r="X1151" s="87">
        <v>5</v>
      </c>
      <c r="Y1151" s="41"/>
      <c r="Z1151" s="165" t="str">
        <f>INDEX(Tableau2[TS],MATCH(Tableau3[[#This Row],[ID-CARTEVOIE]],Tableau2[ID-CARTEVOIE],0))</f>
        <v>ST</v>
      </c>
      <c r="AA1151" s="53" t="s">
        <v>213</v>
      </c>
      <c r="AB1151" s="223" t="str">
        <f>IFERROR(INDEX(Tableau5[Reserve],MATCH(Tableau3[[#This Row],[ID-SIG]],Tableau5[ID],0))&amp;"","")</f>
        <v/>
      </c>
      <c r="AC1151" s="21"/>
      <c r="AD1151" s="108" t="str">
        <f>INDEX(Tableau7[Repere],MATCH(Tableau3[[#This Row],[ID-API]],Tableau7[ID-API],0))&amp;""</f>
        <v>A7</v>
      </c>
      <c r="AE1151" s="108" t="str">
        <f>INDEX(Tableau1[Repere-Rack],MATCH(Tableau3[[#This Row],[ID-RACK]],Tableau1[ID-RACK],0))&amp;""</f>
        <v>R1</v>
      </c>
      <c r="AF1151" s="108" t="str">
        <f>INDEX(Tableau1[Repere-Slot],MATCH(Tableau3[[#This Row],[ID-SLOT]],Tableau1[ID-SLOT],0))&amp;""</f>
        <v>S7</v>
      </c>
      <c r="AG1151" s="108" t="str">
        <f>INDEX(Tableau2[Repere-Voie],MATCH(Tableau3[[#This Row],[ID-VOIE]],Tableau2[ID-Voie],0))&amp;""</f>
        <v>v5</v>
      </c>
      <c r="AH1151" s="72" t="str">
        <f>Tableau3[[#This Row],[ID-API]]&amp; "." &amp;Tableau3[[#This Row],[ID-RACK]]&amp; "." &amp;Tableau3[[#This Row],[ID-SLOT]]</f>
        <v>7.1.7</v>
      </c>
      <c r="AI1151" s="72" t="str">
        <f>INDEX(Tableau1[Ref-Carte],MATCH(Tableau3[[#This Row],[ID-RRS]],Tableau1[ID-RRS],0))</f>
        <v>SDO0802</v>
      </c>
      <c r="AJ1151" s="72" t="str">
        <f t="array" ref="AJ1151">IFERROR(INDEX(Tableau2[TS],MATCH(1,(Tableau2[Ref-Carte]=Tableau3[[#This Row],[Ref-Carte2]])*(Tableau2[ID-Voie]=Tableau3[[#This Row],[ID-VOIE]]),0)),"")</f>
        <v>ST</v>
      </c>
      <c r="AK1151" s="72" t="str">
        <f>IFERROR(INDEX(Tableau2[TS],SUMPRODUCT((Tableau2[Ref-Carte]=Tableau3[[#This Row],[Ref-Carte2]])*(Tableau2[ID-Voie]=Tableau3[[#This Row],[ID-VOIE]])*ROW(Tableau2[TS]))-ROW(Tableau2[#Headers])),"")</f>
        <v>ST</v>
      </c>
      <c r="AL1151" s="72" t="str">
        <f>Tableau3[[#This Row],[Ref-Carte2]]&amp;"/"&amp;Tableau3[[#This Row],[ID-VOIE]]</f>
        <v>SDO0802/5</v>
      </c>
      <c r="AM1151" s="73" t="str">
        <f>INDEX(Tableau2[Borne],MATCH(Tableau3[[#This Row],[ID-CARTEVOIE]],Tableau2[ID-CARTEVOIE],0))&amp;""</f>
        <v>5</v>
      </c>
      <c r="AN1151" s="74" t="str">
        <f>Tableau3[[#This Row],[ID-API]]&amp;Tableau3[[#This Row],[ID-RACK]]&amp;Tableau3[[#This Row],[ID-SLOT]]&amp;Tableau3[[#This Row],[BORNE]]</f>
        <v>7175</v>
      </c>
      <c r="AO1151" s="1"/>
    </row>
    <row r="1152" spans="1:41" ht="20.100000000000001" customHeight="1" thickTop="1" thickBot="1">
      <c r="A1152" s="68"/>
      <c r="B1152" s="69" t="str">
        <f>IFERROR(INDEX(Tableau4[Date],MATCH($A1152,Tableau4[EVO],0)),"")</f>
        <v/>
      </c>
      <c r="C1152" s="68" t="str">
        <f>IFERROR(INDEX(Tableau4[Designation],MATCH($A1152,Tableau4[EVO],0)),"")</f>
        <v/>
      </c>
      <c r="D1152" s="68"/>
      <c r="E1152" s="70">
        <v>109</v>
      </c>
      <c r="F1152" s="71">
        <v>13</v>
      </c>
      <c r="G1152" s="101" t="str">
        <f>INDEX(Tableau8[Att1],MATCH(Tableau3[[#This Row],[ID-INS]],Tableau8[ID],0))&amp;""</f>
        <v>B21</v>
      </c>
      <c r="H1152" s="101" t="str">
        <f>INDEX(Tableau8[Att2],MATCH(Tableau3[[#This Row],[ID-INS]],Tableau8[ID],0))&amp;""</f>
        <v>UTLR8</v>
      </c>
      <c r="I1152" s="101" t="str">
        <f>INDEX(Tableau8[Att3],MATCH(Tableau3[[#This Row],[ID-INS]],Tableau8[ID],0))&amp;""</f>
        <v>UTL rouge IDP4/TRSD1-2</v>
      </c>
      <c r="J1152" s="101"/>
      <c r="K1152" s="167" t="str">
        <f>INDEX(Tableau8[Nom du modele],MATCH(Tableau3[[#This Row],[ID-INS]],Tableau8[ID],0))&amp;""</f>
        <v>UTL</v>
      </c>
      <c r="L1152" s="99" t="str">
        <f>INDEX(Tableau5[Att1],MATCH(Tableau3[[#This Row],[ID-SIG]],Tableau5[ID],0))&amp;""</f>
        <v>PassEffec</v>
      </c>
      <c r="M1152" s="99" t="str">
        <f>INDEX(Tableau5[Att2],MATCH(Tableau3[[#This Row],[ID-SIG]],Tableau5[ID],0))&amp;""</f>
        <v/>
      </c>
      <c r="N1152" s="99" t="str">
        <f>INDEX(Tableau5[Att3],MATCH(Tableau3[[#This Row],[ID-SIG]],Tableau5[ID],0))&amp;""</f>
        <v/>
      </c>
      <c r="O1152" s="99"/>
      <c r="P1152" s="99" t="str">
        <f>INDEX(Tableau5[Description],MATCH(Tableau3[[#This Row],[ID-SIG]],Tableau5[ID],0))</f>
        <v>Commande passage effectué vers UTL</v>
      </c>
      <c r="Q1152" s="99"/>
      <c r="R1152" s="103" t="str">
        <f>Tableau3[[#This Row],[Description]]</f>
        <v>Commande passage effectué vers UTL</v>
      </c>
      <c r="U1152" s="87">
        <v>7</v>
      </c>
      <c r="V1152" s="87">
        <v>1</v>
      </c>
      <c r="W1152" s="87">
        <v>7</v>
      </c>
      <c r="X1152" s="87">
        <v>6</v>
      </c>
      <c r="Y1152" s="41"/>
      <c r="Z1152" s="165" t="str">
        <f>INDEX(Tableau2[TS],MATCH(Tableau3[[#This Row],[ID-CARTEVOIE]],Tableau2[ID-CARTEVOIE],0))</f>
        <v>ST</v>
      </c>
      <c r="AA1152" s="53" t="s">
        <v>213</v>
      </c>
      <c r="AB1152" s="223" t="str">
        <f>IFERROR(INDEX(Tableau5[Reserve],MATCH(Tableau3[[#This Row],[ID-SIG]],Tableau5[ID],0))&amp;"","")</f>
        <v/>
      </c>
      <c r="AC1152" s="21"/>
      <c r="AD1152" s="108" t="str">
        <f>INDEX(Tableau7[Repere],MATCH(Tableau3[[#This Row],[ID-API]],Tableau7[ID-API],0))&amp;""</f>
        <v>A7</v>
      </c>
      <c r="AE1152" s="108" t="str">
        <f>INDEX(Tableau1[Repere-Rack],MATCH(Tableau3[[#This Row],[ID-RACK]],Tableau1[ID-RACK],0))&amp;""</f>
        <v>R1</v>
      </c>
      <c r="AF1152" s="108" t="str">
        <f>INDEX(Tableau1[Repere-Slot],MATCH(Tableau3[[#This Row],[ID-SLOT]],Tableau1[ID-SLOT],0))&amp;""</f>
        <v>S7</v>
      </c>
      <c r="AG1152" s="108" t="str">
        <f>INDEX(Tableau2[Repere-Voie],MATCH(Tableau3[[#This Row],[ID-VOIE]],Tableau2[ID-Voie],0))&amp;""</f>
        <v>v6</v>
      </c>
      <c r="AH1152" s="72" t="str">
        <f>Tableau3[[#This Row],[ID-API]]&amp; "." &amp;Tableau3[[#This Row],[ID-RACK]]&amp; "." &amp;Tableau3[[#This Row],[ID-SLOT]]</f>
        <v>7.1.7</v>
      </c>
      <c r="AI1152" s="72" t="str">
        <f>INDEX(Tableau1[Ref-Carte],MATCH(Tableau3[[#This Row],[ID-RRS]],Tableau1[ID-RRS],0))</f>
        <v>SDO0802</v>
      </c>
      <c r="AJ1152" s="72" t="str">
        <f t="array" ref="AJ1152">IFERROR(INDEX(Tableau2[TS],MATCH(1,(Tableau2[Ref-Carte]=Tableau3[[#This Row],[Ref-Carte2]])*(Tableau2[ID-Voie]=Tableau3[[#This Row],[ID-VOIE]]),0)),"")</f>
        <v>ST</v>
      </c>
      <c r="AK1152" s="72" t="str">
        <f>IFERROR(INDEX(Tableau2[TS],SUMPRODUCT((Tableau2[Ref-Carte]=Tableau3[[#This Row],[Ref-Carte2]])*(Tableau2[ID-Voie]=Tableau3[[#This Row],[ID-VOIE]])*ROW(Tableau2[TS]))-ROW(Tableau2[#Headers])),"")</f>
        <v>ST</v>
      </c>
      <c r="AL1152" s="72" t="str">
        <f>Tableau3[[#This Row],[Ref-Carte2]]&amp;"/"&amp;Tableau3[[#This Row],[ID-VOIE]]</f>
        <v>SDO0802/6</v>
      </c>
      <c r="AM1152" s="73" t="str">
        <f>INDEX(Tableau2[Borne],MATCH(Tableau3[[#This Row],[ID-CARTEVOIE]],Tableau2[ID-CARTEVOIE],0))&amp;""</f>
        <v>6</v>
      </c>
      <c r="AN1152" s="74" t="str">
        <f>Tableau3[[#This Row],[ID-API]]&amp;Tableau3[[#This Row],[ID-RACK]]&amp;Tableau3[[#This Row],[ID-SLOT]]&amp;Tableau3[[#This Row],[BORNE]]</f>
        <v>7176</v>
      </c>
      <c r="AO1152" s="1"/>
    </row>
    <row r="1153" spans="1:41" ht="20.100000000000001" customHeight="1" thickTop="1" thickBot="1">
      <c r="A1153" s="68"/>
      <c r="B1153" s="69" t="str">
        <f>IFERROR(INDEX(Tableau4[Date],MATCH($A1153,Tableau4[EVO],0)),"")</f>
        <v/>
      </c>
      <c r="C1153" s="68" t="str">
        <f>IFERROR(INDEX(Tableau4[Designation],MATCH($A1153,Tableau4[EVO],0)),"")</f>
        <v/>
      </c>
      <c r="D1153" s="68"/>
      <c r="E1153" s="70">
        <v>109</v>
      </c>
      <c r="F1153" s="71">
        <v>14</v>
      </c>
      <c r="G1153" s="101" t="str">
        <f>INDEX(Tableau8[Att1],MATCH(Tableau3[[#This Row],[ID-INS]],Tableau8[ID],0))&amp;""</f>
        <v>B21</v>
      </c>
      <c r="H1153" s="101" t="str">
        <f>INDEX(Tableau8[Att2],MATCH(Tableau3[[#This Row],[ID-INS]],Tableau8[ID],0))&amp;""</f>
        <v>UTLR8</v>
      </c>
      <c r="I1153" s="101" t="str">
        <f>INDEX(Tableau8[Att3],MATCH(Tableau3[[#This Row],[ID-INS]],Tableau8[ID],0))&amp;""</f>
        <v>UTL rouge IDP4/TRSD1-2</v>
      </c>
      <c r="J1153" s="101"/>
      <c r="K1153" s="167" t="str">
        <f>INDEX(Tableau8[Nom du modele],MATCH(Tableau3[[#This Row],[ID-INS]],Tableau8[ID],0))&amp;""</f>
        <v>UTL</v>
      </c>
      <c r="L1153" s="99" t="str">
        <f>INDEX(Tableau5[Att1],MATCH(Tableau3[[#This Row],[ID-SIG]],Tableau5[ID],0))&amp;""</f>
        <v>AutorBadge</v>
      </c>
      <c r="M1153" s="99" t="str">
        <f>INDEX(Tableau5[Att2],MATCH(Tableau3[[#This Row],[ID-SIG]],Tableau5[ID],0))&amp;""</f>
        <v/>
      </c>
      <c r="N1153" s="99" t="str">
        <f>INDEX(Tableau5[Att3],MATCH(Tableau3[[#This Row],[ID-SIG]],Tableau5[ID],0))&amp;""</f>
        <v/>
      </c>
      <c r="O1153" s="99"/>
      <c r="P1153" s="99" t="str">
        <f>INDEX(Tableau5[Description],MATCH(Tableau3[[#This Row],[ID-SIG]],Tableau5[ID],0))</f>
        <v>Commande autorisation badgeage vers UTL</v>
      </c>
      <c r="Q1153" s="99"/>
      <c r="R1153" s="103" t="str">
        <f>Tableau3[[#This Row],[Description]]</f>
        <v>Commande autorisation badgeage vers UTL</v>
      </c>
      <c r="U1153" s="87">
        <v>7</v>
      </c>
      <c r="V1153" s="87">
        <v>1</v>
      </c>
      <c r="W1153" s="87">
        <v>7</v>
      </c>
      <c r="X1153" s="87">
        <v>7</v>
      </c>
      <c r="Y1153" s="41"/>
      <c r="Z1153" s="165" t="str">
        <f>INDEX(Tableau2[TS],MATCH(Tableau3[[#This Row],[ID-CARTEVOIE]],Tableau2[ID-CARTEVOIE],0))</f>
        <v>ST</v>
      </c>
      <c r="AA1153" s="53" t="s">
        <v>213</v>
      </c>
      <c r="AB1153" s="223" t="str">
        <f>IFERROR(INDEX(Tableau5[Reserve],MATCH(Tableau3[[#This Row],[ID-SIG]],Tableau5[ID],0))&amp;"","")</f>
        <v/>
      </c>
      <c r="AC1153" s="21"/>
      <c r="AD1153" s="108" t="str">
        <f>INDEX(Tableau7[Repere],MATCH(Tableau3[[#This Row],[ID-API]],Tableau7[ID-API],0))&amp;""</f>
        <v>A7</v>
      </c>
      <c r="AE1153" s="108" t="str">
        <f>INDEX(Tableau1[Repere-Rack],MATCH(Tableau3[[#This Row],[ID-RACK]],Tableau1[ID-RACK],0))&amp;""</f>
        <v>R1</v>
      </c>
      <c r="AF1153" s="108" t="str">
        <f>INDEX(Tableau1[Repere-Slot],MATCH(Tableau3[[#This Row],[ID-SLOT]],Tableau1[ID-SLOT],0))&amp;""</f>
        <v>S7</v>
      </c>
      <c r="AG1153" s="108" t="str">
        <f>INDEX(Tableau2[Repere-Voie],MATCH(Tableau3[[#This Row],[ID-VOIE]],Tableau2[ID-Voie],0))&amp;""</f>
        <v>v7</v>
      </c>
      <c r="AH1153" s="72" t="str">
        <f>Tableau3[[#This Row],[ID-API]]&amp; "." &amp;Tableau3[[#This Row],[ID-RACK]]&amp; "." &amp;Tableau3[[#This Row],[ID-SLOT]]</f>
        <v>7.1.7</v>
      </c>
      <c r="AI1153" s="72" t="str">
        <f>INDEX(Tableau1[Ref-Carte],MATCH(Tableau3[[#This Row],[ID-RRS]],Tableau1[ID-RRS],0))</f>
        <v>SDO0802</v>
      </c>
      <c r="AJ1153" s="72" t="str">
        <f t="array" ref="AJ1153">IFERROR(INDEX(Tableau2[TS],MATCH(1,(Tableau2[Ref-Carte]=Tableau3[[#This Row],[Ref-Carte2]])*(Tableau2[ID-Voie]=Tableau3[[#This Row],[ID-VOIE]]),0)),"")</f>
        <v>ST</v>
      </c>
      <c r="AK1153" s="72" t="str">
        <f>IFERROR(INDEX(Tableau2[TS],SUMPRODUCT((Tableau2[Ref-Carte]=Tableau3[[#This Row],[Ref-Carte2]])*(Tableau2[ID-Voie]=Tableau3[[#This Row],[ID-VOIE]])*ROW(Tableau2[TS]))-ROW(Tableau2[#Headers])),"")</f>
        <v>ST</v>
      </c>
      <c r="AL1153" s="72" t="str">
        <f>Tableau3[[#This Row],[Ref-Carte2]]&amp;"/"&amp;Tableau3[[#This Row],[ID-VOIE]]</f>
        <v>SDO0802/7</v>
      </c>
      <c r="AM1153" s="73" t="str">
        <f>INDEX(Tableau2[Borne],MATCH(Tableau3[[#This Row],[ID-CARTEVOIE]],Tableau2[ID-CARTEVOIE],0))&amp;""</f>
        <v>7</v>
      </c>
      <c r="AN1153" s="74" t="str">
        <f>Tableau3[[#This Row],[ID-API]]&amp;Tableau3[[#This Row],[ID-RACK]]&amp;Tableau3[[#This Row],[ID-SLOT]]&amp;Tableau3[[#This Row],[BORNE]]</f>
        <v>7177</v>
      </c>
      <c r="AO1153" s="1"/>
    </row>
    <row r="1154" spans="1:41" ht="20.100000000000001" customHeight="1" thickTop="1" thickBot="1">
      <c r="A1154" s="68"/>
      <c r="B1154" s="69" t="str">
        <f>IFERROR(INDEX(Tableau4[Date],MATCH($A1154,Tableau4[EVO],0)),"")</f>
        <v/>
      </c>
      <c r="C1154" s="68" t="str">
        <f>IFERROR(INDEX(Tableau4[Designation],MATCH($A1154,Tableau4[EVO],0)),"")</f>
        <v/>
      </c>
      <c r="D1154" s="68"/>
      <c r="E1154" s="70">
        <v>216</v>
      </c>
      <c r="F1154" s="71">
        <v>104</v>
      </c>
      <c r="G1154" s="101" t="str">
        <f>INDEX(Tableau8[Att1],MATCH(Tableau3[[#This Row],[ID-INS]],Tableau8[ID],0))&amp;""</f>
        <v>X</v>
      </c>
      <c r="H1154" s="101" t="str">
        <f>INDEX(Tableau8[Att2],MATCH(Tableau3[[#This Row],[ID-INS]],Tableau8[ID],0))&amp;""</f>
        <v>EL34</v>
      </c>
      <c r="I1154" s="101" t="str">
        <f>INDEX(Tableau8[Att3],MATCH(Tableau3[[#This Row],[ID-INS]],Tableau8[ID],0))&amp;""</f>
        <v>Tourniquet TRSD1</v>
      </c>
      <c r="J1154" s="101"/>
      <c r="K1154" s="167" t="str">
        <f>INDEX(Tableau8[Nom du modele],MATCH(Tableau3[[#This Row],[ID-INS]],Tableau8[ID],0))&amp;""</f>
        <v>SurvElec</v>
      </c>
      <c r="L1154" s="99" t="str">
        <f>INDEX(Tableau5[Att1],MATCH(Tableau3[[#This Row],[ID-SIG]],Tableau5[ID],0))&amp;""</f>
        <v>Def</v>
      </c>
      <c r="M1154" s="99" t="str">
        <f>INDEX(Tableau5[Att2],MATCH(Tableau3[[#This Row],[ID-SIG]],Tableau5[ID],0))&amp;""</f>
        <v/>
      </c>
      <c r="N1154" s="99" t="str">
        <f>INDEX(Tableau5[Att3],MATCH(Tableau3[[#This Row],[ID-SIG]],Tableau5[ID],0))&amp;""</f>
        <v/>
      </c>
      <c r="O1154" s="99"/>
      <c r="P1154" s="155" t="s">
        <v>1731</v>
      </c>
      <c r="Q1154" s="99"/>
      <c r="R1154" s="103" t="str">
        <f>Tableau3[[#This Row],[Description]]</f>
        <v>Tourniquet TRSD1 - Défaut T2</v>
      </c>
      <c r="U1154" s="87">
        <v>7</v>
      </c>
      <c r="V1154" s="87">
        <v>1</v>
      </c>
      <c r="W1154" s="87">
        <v>8</v>
      </c>
      <c r="X1154" s="87">
        <v>0</v>
      </c>
      <c r="Y1154" s="40"/>
      <c r="Z1154" s="165" t="str">
        <f>INDEX(Tableau2[TS],MATCH(Tableau3[[#This Row],[ID-CARTEVOIE]],Tableau2[ID-CARTEVOIE],0))</f>
        <v>ET</v>
      </c>
      <c r="AA1154" s="53" t="s">
        <v>213</v>
      </c>
      <c r="AB1154" s="223" t="str">
        <f>IFERROR(INDEX(Tableau5[Reserve],MATCH(Tableau3[[#This Row],[ID-SIG]],Tableau5[ID],0))&amp;"","")</f>
        <v/>
      </c>
      <c r="AC1154" s="21"/>
      <c r="AD1154" s="108" t="str">
        <f>INDEX(Tableau7[Repere],MATCH(Tableau3[[#This Row],[ID-API]],Tableau7[ID-API],0))&amp;""</f>
        <v>A7</v>
      </c>
      <c r="AE1154" s="108" t="str">
        <f>INDEX(Tableau1[Repere-Rack],MATCH(Tableau3[[#This Row],[ID-RACK]],Tableau1[ID-RACK],0))&amp;""</f>
        <v>R1</v>
      </c>
      <c r="AF1154" s="108" t="str">
        <f>INDEX(Tableau1[Repere-Slot],MATCH(Tableau3[[#This Row],[ID-SLOT]],Tableau1[ID-SLOT],0))&amp;""</f>
        <v>S8</v>
      </c>
      <c r="AG1154" s="108" t="str">
        <f>INDEX(Tableau2[Repere-Voie],MATCH(Tableau3[[#This Row],[ID-VOIE]],Tableau2[ID-Voie],0))&amp;""</f>
        <v>v0</v>
      </c>
      <c r="AH1154" s="72" t="str">
        <f>Tableau3[[#This Row],[ID-API]]&amp; "." &amp;Tableau3[[#This Row],[ID-RACK]]&amp; "." &amp;Tableau3[[#This Row],[ID-SLOT]]</f>
        <v>7.1.8</v>
      </c>
      <c r="AI1154" s="72" t="str">
        <f>INDEX(Tableau1[Ref-Carte],MATCH(Tableau3[[#This Row],[ID-RRS]],Tableau1[ID-RRS],0))</f>
        <v>SDI1602</v>
      </c>
      <c r="AJ1154" s="72" t="str">
        <f t="array" ref="AJ1154">IFERROR(INDEX(Tableau2[TS],MATCH(1,(Tableau2[Ref-Carte]=Tableau3[[#This Row],[Ref-Carte2]])*(Tableau2[ID-Voie]=Tableau3[[#This Row],[ID-VOIE]]),0)),"")</f>
        <v>ET</v>
      </c>
      <c r="AK1154" s="72" t="str">
        <f>IFERROR(INDEX(Tableau2[TS],SUMPRODUCT((Tableau2[Ref-Carte]=Tableau3[[#This Row],[Ref-Carte2]])*(Tableau2[ID-Voie]=Tableau3[[#This Row],[ID-VOIE]])*ROW(Tableau2[TS]))-ROW(Tableau2[#Headers])),"")</f>
        <v>ET</v>
      </c>
      <c r="AL1154" s="72" t="str">
        <f>Tableau3[[#This Row],[Ref-Carte2]]&amp;"/"&amp;Tableau3[[#This Row],[ID-VOIE]]</f>
        <v>SDI1602/0</v>
      </c>
      <c r="AM1154" s="73" t="str">
        <f>INDEX(Tableau2[Borne],MATCH(Tableau3[[#This Row],[ID-CARTEVOIE]],Tableau2[ID-CARTEVOIE],0))&amp;""</f>
        <v>0B</v>
      </c>
      <c r="AN1154" s="74" t="str">
        <f>Tableau3[[#This Row],[ID-API]]&amp;Tableau3[[#This Row],[ID-RACK]]&amp;Tableau3[[#This Row],[ID-SLOT]]&amp;Tableau3[[#This Row],[BORNE]]</f>
        <v>7180B</v>
      </c>
      <c r="AO1154" s="1"/>
    </row>
    <row r="1155" spans="1:41" ht="20.100000000000001" customHeight="1" thickTop="1" thickBot="1">
      <c r="A1155" s="68"/>
      <c r="B1155" s="69" t="str">
        <f>IFERROR(INDEX(Tableau4[Date],MATCH($A1155,Tableau4[EVO],0)),"")</f>
        <v/>
      </c>
      <c r="C1155" s="68" t="str">
        <f>IFERROR(INDEX(Tableau4[Designation],MATCH($A1155,Tableau4[EVO],0)),"")</f>
        <v/>
      </c>
      <c r="D1155" s="68"/>
      <c r="E1155" s="70">
        <v>217</v>
      </c>
      <c r="F1155" s="71">
        <v>104</v>
      </c>
      <c r="G1155" s="101" t="str">
        <f>INDEX(Tableau8[Att1],MATCH(Tableau3[[#This Row],[ID-INS]],Tableau8[ID],0))&amp;""</f>
        <v>X</v>
      </c>
      <c r="H1155" s="101" t="str">
        <f>INDEX(Tableau8[Att2],MATCH(Tableau3[[#This Row],[ID-INS]],Tableau8[ID],0))&amp;""</f>
        <v>EL35</v>
      </c>
      <c r="I1155" s="101" t="str">
        <f>INDEX(Tableau8[Att3],MATCH(Tableau3[[#This Row],[ID-INS]],Tableau8[ID],0))&amp;""</f>
        <v>RIO5/7 Défaut batterie</v>
      </c>
      <c r="J1155" s="101"/>
      <c r="K1155" s="167" t="str">
        <f>INDEX(Tableau8[Nom du modele],MATCH(Tableau3[[#This Row],[ID-INS]],Tableau8[ID],0))&amp;""</f>
        <v>SurvElec</v>
      </c>
      <c r="L1155" s="99" t="str">
        <f>INDEX(Tableau5[Att1],MATCH(Tableau3[[#This Row],[ID-SIG]],Tableau5[ID],0))&amp;""</f>
        <v>Def</v>
      </c>
      <c r="M1155" s="99" t="str">
        <f>INDEX(Tableau5[Att2],MATCH(Tableau3[[#This Row],[ID-SIG]],Tableau5[ID],0))&amp;""</f>
        <v/>
      </c>
      <c r="N1155" s="99" t="str">
        <f>INDEX(Tableau5[Att3],MATCH(Tableau3[[#This Row],[ID-SIG]],Tableau5[ID],0))&amp;""</f>
        <v/>
      </c>
      <c r="O1155" s="99"/>
      <c r="P1155" s="155" t="s">
        <v>1732</v>
      </c>
      <c r="Q1155" s="99"/>
      <c r="R1155" s="103" t="str">
        <f>Tableau3[[#This Row],[Description]]</f>
        <v>RIO5/7 Défaut batterie - Défaut</v>
      </c>
      <c r="U1155" s="87">
        <v>7</v>
      </c>
      <c r="V1155" s="87">
        <v>1</v>
      </c>
      <c r="W1155" s="87">
        <v>8</v>
      </c>
      <c r="X1155" s="87">
        <v>1</v>
      </c>
      <c r="Y1155" s="40"/>
      <c r="Z1155" s="165" t="str">
        <f>INDEX(Tableau2[TS],MATCH(Tableau3[[#This Row],[ID-CARTEVOIE]],Tableau2[ID-CARTEVOIE],0))</f>
        <v>ET</v>
      </c>
      <c r="AA1155" s="53" t="s">
        <v>213</v>
      </c>
      <c r="AB1155" s="223" t="str">
        <f>IFERROR(INDEX(Tableau5[Reserve],MATCH(Tableau3[[#This Row],[ID-SIG]],Tableau5[ID],0))&amp;"","")</f>
        <v/>
      </c>
      <c r="AC1155" s="21"/>
      <c r="AD1155" s="108" t="str">
        <f>INDEX(Tableau7[Repere],MATCH(Tableau3[[#This Row],[ID-API]],Tableau7[ID-API],0))&amp;""</f>
        <v>A7</v>
      </c>
      <c r="AE1155" s="108" t="str">
        <f>INDEX(Tableau1[Repere-Rack],MATCH(Tableau3[[#This Row],[ID-RACK]],Tableau1[ID-RACK],0))&amp;""</f>
        <v>R1</v>
      </c>
      <c r="AF1155" s="108" t="str">
        <f>INDEX(Tableau1[Repere-Slot],MATCH(Tableau3[[#This Row],[ID-SLOT]],Tableau1[ID-SLOT],0))&amp;""</f>
        <v>S8</v>
      </c>
      <c r="AG1155" s="108" t="str">
        <f>INDEX(Tableau2[Repere-Voie],MATCH(Tableau3[[#This Row],[ID-VOIE]],Tableau2[ID-Voie],0))&amp;""</f>
        <v>v1</v>
      </c>
      <c r="AH1155" s="72" t="str">
        <f>Tableau3[[#This Row],[ID-API]]&amp; "." &amp;Tableau3[[#This Row],[ID-RACK]]&amp; "." &amp;Tableau3[[#This Row],[ID-SLOT]]</f>
        <v>7.1.8</v>
      </c>
      <c r="AI1155" s="72" t="str">
        <f>INDEX(Tableau1[Ref-Carte],MATCH(Tableau3[[#This Row],[ID-RRS]],Tableau1[ID-RRS],0))</f>
        <v>SDI1602</v>
      </c>
      <c r="AJ1155" s="72" t="str">
        <f t="array" ref="AJ1155">IFERROR(INDEX(Tableau2[TS],MATCH(1,(Tableau2[Ref-Carte]=Tableau3[[#This Row],[Ref-Carte2]])*(Tableau2[ID-Voie]=Tableau3[[#This Row],[ID-VOIE]]),0)),"")</f>
        <v>ET</v>
      </c>
      <c r="AK1155" s="72" t="str">
        <f>IFERROR(INDEX(Tableau2[TS],SUMPRODUCT((Tableau2[Ref-Carte]=Tableau3[[#This Row],[Ref-Carte2]])*(Tableau2[ID-Voie]=Tableau3[[#This Row],[ID-VOIE]])*ROW(Tableau2[TS]))-ROW(Tableau2[#Headers])),"")</f>
        <v>ET</v>
      </c>
      <c r="AL1155" s="72" t="str">
        <f>Tableau3[[#This Row],[Ref-Carte2]]&amp;"/"&amp;Tableau3[[#This Row],[ID-VOIE]]</f>
        <v>SDI1602/1</v>
      </c>
      <c r="AM1155" s="73" t="str">
        <f>INDEX(Tableau2[Borne],MATCH(Tableau3[[#This Row],[ID-CARTEVOIE]],Tableau2[ID-CARTEVOIE],0))&amp;""</f>
        <v>0A</v>
      </c>
      <c r="AN1155" s="74" t="str">
        <f>Tableau3[[#This Row],[ID-API]]&amp;Tableau3[[#This Row],[ID-RACK]]&amp;Tableau3[[#This Row],[ID-SLOT]]&amp;Tableau3[[#This Row],[BORNE]]</f>
        <v>7180A</v>
      </c>
      <c r="AO1155" s="1"/>
    </row>
    <row r="1156" spans="1:41" ht="20.100000000000001" customHeight="1" thickTop="1" thickBot="1">
      <c r="A1156" s="68"/>
      <c r="B1156" s="69" t="str">
        <f>IFERROR(INDEX(Tableau4[Date],MATCH($A1156,Tableau4[EVO],0)),"")</f>
        <v/>
      </c>
      <c r="C1156" s="68" t="str">
        <f>IFERROR(INDEX(Tableau4[Designation],MATCH($A1156,Tableau4[EVO],0)),"")</f>
        <v/>
      </c>
      <c r="D1156" s="68"/>
      <c r="E1156" s="70">
        <v>218</v>
      </c>
      <c r="F1156" s="71">
        <v>104</v>
      </c>
      <c r="G1156" s="101" t="str">
        <f>INDEX(Tableau8[Att1],MATCH(Tableau3[[#This Row],[ID-INS]],Tableau8[ID],0))&amp;""</f>
        <v>X</v>
      </c>
      <c r="H1156" s="101" t="str">
        <f>INDEX(Tableau8[Att2],MATCH(Tableau3[[#This Row],[ID-INS]],Tableau8[ID],0))&amp;""</f>
        <v>EL36</v>
      </c>
      <c r="I1156" s="101" t="str">
        <f>INDEX(Tableau8[Att3],MATCH(Tableau3[[#This Row],[ID-INS]],Tableau8[ID],0))&amp;""</f>
        <v>RIO5/7 Synthèse disjonction auxiliaire + puissance</v>
      </c>
      <c r="J1156" s="101"/>
      <c r="K1156" s="167" t="str">
        <f>INDEX(Tableau8[Nom du modele],MATCH(Tableau3[[#This Row],[ID-INS]],Tableau8[ID],0))&amp;""</f>
        <v>SurvElec</v>
      </c>
      <c r="L1156" s="99" t="str">
        <f>INDEX(Tableau5[Att1],MATCH(Tableau3[[#This Row],[ID-SIG]],Tableau5[ID],0))&amp;""</f>
        <v>Def</v>
      </c>
      <c r="M1156" s="99" t="str">
        <f>INDEX(Tableau5[Att2],MATCH(Tableau3[[#This Row],[ID-SIG]],Tableau5[ID],0))&amp;""</f>
        <v/>
      </c>
      <c r="N1156" s="99" t="str">
        <f>INDEX(Tableau5[Att3],MATCH(Tableau3[[#This Row],[ID-SIG]],Tableau5[ID],0))&amp;""</f>
        <v/>
      </c>
      <c r="O1156" s="99"/>
      <c r="P1156" s="155" t="s">
        <v>1733</v>
      </c>
      <c r="Q1156" s="99"/>
      <c r="R1156" s="103" t="str">
        <f>Tableau3[[#This Row],[Description]]</f>
        <v>RIO5/7 Synthèse disjonction auxiliaire + puissance - Défaut</v>
      </c>
      <c r="U1156" s="87">
        <v>7</v>
      </c>
      <c r="V1156" s="87">
        <v>1</v>
      </c>
      <c r="W1156" s="87">
        <v>8</v>
      </c>
      <c r="X1156" s="87">
        <v>2</v>
      </c>
      <c r="Y1156" s="40"/>
      <c r="Z1156" s="165" t="str">
        <f>INDEX(Tableau2[TS],MATCH(Tableau3[[#This Row],[ID-CARTEVOIE]],Tableau2[ID-CARTEVOIE],0))</f>
        <v>ET</v>
      </c>
      <c r="AA1156" s="53" t="s">
        <v>213</v>
      </c>
      <c r="AB1156" s="223" t="str">
        <f>IFERROR(INDEX(Tableau5[Reserve],MATCH(Tableau3[[#This Row],[ID-SIG]],Tableau5[ID],0))&amp;"","")</f>
        <v/>
      </c>
      <c r="AC1156" s="21"/>
      <c r="AD1156" s="108" t="str">
        <f>INDEX(Tableau7[Repere],MATCH(Tableau3[[#This Row],[ID-API]],Tableau7[ID-API],0))&amp;""</f>
        <v>A7</v>
      </c>
      <c r="AE1156" s="108" t="str">
        <f>INDEX(Tableau1[Repere-Rack],MATCH(Tableau3[[#This Row],[ID-RACK]],Tableau1[ID-RACK],0))&amp;""</f>
        <v>R1</v>
      </c>
      <c r="AF1156" s="108" t="str">
        <f>INDEX(Tableau1[Repere-Slot],MATCH(Tableau3[[#This Row],[ID-SLOT]],Tableau1[ID-SLOT],0))&amp;""</f>
        <v>S8</v>
      </c>
      <c r="AG1156" s="108" t="str">
        <f>INDEX(Tableau2[Repere-Voie],MATCH(Tableau3[[#This Row],[ID-VOIE]],Tableau2[ID-Voie],0))&amp;""</f>
        <v>v2</v>
      </c>
      <c r="AH1156" s="72" t="str">
        <f>Tableau3[[#This Row],[ID-API]]&amp; "." &amp;Tableau3[[#This Row],[ID-RACK]]&amp; "." &amp;Tableau3[[#This Row],[ID-SLOT]]</f>
        <v>7.1.8</v>
      </c>
      <c r="AI1156" s="72" t="str">
        <f>INDEX(Tableau1[Ref-Carte],MATCH(Tableau3[[#This Row],[ID-RRS]],Tableau1[ID-RRS],0))</f>
        <v>SDI1602</v>
      </c>
      <c r="AJ1156" s="72" t="str">
        <f t="array" ref="AJ1156">IFERROR(INDEX(Tableau2[TS],MATCH(1,(Tableau2[Ref-Carte]=Tableau3[[#This Row],[Ref-Carte2]])*(Tableau2[ID-Voie]=Tableau3[[#This Row],[ID-VOIE]]),0)),"")</f>
        <v>ET</v>
      </c>
      <c r="AK1156" s="72" t="str">
        <f>IFERROR(INDEX(Tableau2[TS],SUMPRODUCT((Tableau2[Ref-Carte]=Tableau3[[#This Row],[Ref-Carte2]])*(Tableau2[ID-Voie]=Tableau3[[#This Row],[ID-VOIE]])*ROW(Tableau2[TS]))-ROW(Tableau2[#Headers])),"")</f>
        <v>ET</v>
      </c>
      <c r="AL1156" s="72" t="str">
        <f>Tableau3[[#This Row],[Ref-Carte2]]&amp;"/"&amp;Tableau3[[#This Row],[ID-VOIE]]</f>
        <v>SDI1602/2</v>
      </c>
      <c r="AM1156" s="73" t="str">
        <f>INDEX(Tableau2[Borne],MATCH(Tableau3[[#This Row],[ID-CARTEVOIE]],Tableau2[ID-CARTEVOIE],0))&amp;""</f>
        <v>1B</v>
      </c>
      <c r="AN1156" s="74" t="str">
        <f>Tableau3[[#This Row],[ID-API]]&amp;Tableau3[[#This Row],[ID-RACK]]&amp;Tableau3[[#This Row],[ID-SLOT]]&amp;Tableau3[[#This Row],[BORNE]]</f>
        <v>7181B</v>
      </c>
      <c r="AO1156" s="1"/>
    </row>
    <row r="1157" spans="1:41" ht="20.100000000000001" customHeight="1" thickTop="1" thickBot="1">
      <c r="A1157" s="68"/>
      <c r="B1157" s="69" t="str">
        <f>IFERROR(INDEX(Tableau4[Date],MATCH($A1157,Tableau4[EVO],0)),"")</f>
        <v/>
      </c>
      <c r="C1157" s="68" t="str">
        <f>IFERROR(INDEX(Tableau4[Designation],MATCH($A1157,Tableau4[EVO],0)),"")</f>
        <v/>
      </c>
      <c r="D1157" s="68"/>
      <c r="E1157" s="70">
        <v>219</v>
      </c>
      <c r="F1157" s="71">
        <v>104</v>
      </c>
      <c r="G1157" s="101" t="str">
        <f>INDEX(Tableau8[Att1],MATCH(Tableau3[[#This Row],[ID-INS]],Tableau8[ID],0))&amp;""</f>
        <v>X</v>
      </c>
      <c r="H1157" s="101" t="str">
        <f>INDEX(Tableau8[Att2],MATCH(Tableau3[[#This Row],[ID-INS]],Tableau8[ID],0))&amp;""</f>
        <v>EL37</v>
      </c>
      <c r="I1157" s="101" t="str">
        <f>INDEX(Tableau8[Att3],MATCH(Tableau3[[#This Row],[ID-INS]],Tableau8[ID],0))&amp;""</f>
        <v>RIO1/6 Défaut batterie</v>
      </c>
      <c r="J1157" s="101"/>
      <c r="K1157" s="167" t="str">
        <f>INDEX(Tableau8[Nom du modele],MATCH(Tableau3[[#This Row],[ID-INS]],Tableau8[ID],0))&amp;""</f>
        <v>SurvElec</v>
      </c>
      <c r="L1157" s="99" t="str">
        <f>INDEX(Tableau5[Att1],MATCH(Tableau3[[#This Row],[ID-SIG]],Tableau5[ID],0))&amp;""</f>
        <v>Def</v>
      </c>
      <c r="M1157" s="99" t="str">
        <f>INDEX(Tableau5[Att2],MATCH(Tableau3[[#This Row],[ID-SIG]],Tableau5[ID],0))&amp;""</f>
        <v/>
      </c>
      <c r="N1157" s="99" t="str">
        <f>INDEX(Tableau5[Att3],MATCH(Tableau3[[#This Row],[ID-SIG]],Tableau5[ID],0))&amp;""</f>
        <v/>
      </c>
      <c r="O1157" s="99"/>
      <c r="P1157" s="155" t="s">
        <v>1734</v>
      </c>
      <c r="Q1157" s="99"/>
      <c r="R1157" s="103" t="str">
        <f>Tableau3[[#This Row],[Description]]</f>
        <v>RIO1/6 Défaut batterie - Défaut</v>
      </c>
      <c r="U1157" s="87">
        <v>7</v>
      </c>
      <c r="V1157" s="87">
        <v>1</v>
      </c>
      <c r="W1157" s="87">
        <v>8</v>
      </c>
      <c r="X1157" s="87">
        <v>3</v>
      </c>
      <c r="Y1157" s="40"/>
      <c r="Z1157" s="165" t="str">
        <f>INDEX(Tableau2[TS],MATCH(Tableau3[[#This Row],[ID-CARTEVOIE]],Tableau2[ID-CARTEVOIE],0))</f>
        <v>ET</v>
      </c>
      <c r="AA1157" s="53" t="s">
        <v>213</v>
      </c>
      <c r="AB1157" s="223" t="str">
        <f>IFERROR(INDEX(Tableau5[Reserve],MATCH(Tableau3[[#This Row],[ID-SIG]],Tableau5[ID],0))&amp;"","")</f>
        <v/>
      </c>
      <c r="AC1157" s="21"/>
      <c r="AD1157" s="108" t="str">
        <f>INDEX(Tableau7[Repere],MATCH(Tableau3[[#This Row],[ID-API]],Tableau7[ID-API],0))&amp;""</f>
        <v>A7</v>
      </c>
      <c r="AE1157" s="108" t="str">
        <f>INDEX(Tableau1[Repere-Rack],MATCH(Tableau3[[#This Row],[ID-RACK]],Tableau1[ID-RACK],0))&amp;""</f>
        <v>R1</v>
      </c>
      <c r="AF1157" s="108" t="str">
        <f>INDEX(Tableau1[Repere-Slot],MATCH(Tableau3[[#This Row],[ID-SLOT]],Tableau1[ID-SLOT],0))&amp;""</f>
        <v>S8</v>
      </c>
      <c r="AG1157" s="108" t="str">
        <f>INDEX(Tableau2[Repere-Voie],MATCH(Tableau3[[#This Row],[ID-VOIE]],Tableau2[ID-Voie],0))&amp;""</f>
        <v>v3</v>
      </c>
      <c r="AH1157" s="72" t="str">
        <f>Tableau3[[#This Row],[ID-API]]&amp; "." &amp;Tableau3[[#This Row],[ID-RACK]]&amp; "." &amp;Tableau3[[#This Row],[ID-SLOT]]</f>
        <v>7.1.8</v>
      </c>
      <c r="AI1157" s="72" t="str">
        <f>INDEX(Tableau1[Ref-Carte],MATCH(Tableau3[[#This Row],[ID-RRS]],Tableau1[ID-RRS],0))</f>
        <v>SDI1602</v>
      </c>
      <c r="AJ1157" s="72" t="str">
        <f t="array" ref="AJ1157">IFERROR(INDEX(Tableau2[TS],MATCH(1,(Tableau2[Ref-Carte]=Tableau3[[#This Row],[Ref-Carte2]])*(Tableau2[ID-Voie]=Tableau3[[#This Row],[ID-VOIE]]),0)),"")</f>
        <v>ET</v>
      </c>
      <c r="AK1157" s="72" t="str">
        <f>IFERROR(INDEX(Tableau2[TS],SUMPRODUCT((Tableau2[Ref-Carte]=Tableau3[[#This Row],[Ref-Carte2]])*(Tableau2[ID-Voie]=Tableau3[[#This Row],[ID-VOIE]])*ROW(Tableau2[TS]))-ROW(Tableau2[#Headers])),"")</f>
        <v>ET</v>
      </c>
      <c r="AL1157" s="72" t="str">
        <f>Tableau3[[#This Row],[Ref-Carte2]]&amp;"/"&amp;Tableau3[[#This Row],[ID-VOIE]]</f>
        <v>SDI1602/3</v>
      </c>
      <c r="AM1157" s="73" t="str">
        <f>INDEX(Tableau2[Borne],MATCH(Tableau3[[#This Row],[ID-CARTEVOIE]],Tableau2[ID-CARTEVOIE],0))&amp;""</f>
        <v>1A</v>
      </c>
      <c r="AN1157" s="74" t="str">
        <f>Tableau3[[#This Row],[ID-API]]&amp;Tableau3[[#This Row],[ID-RACK]]&amp;Tableau3[[#This Row],[ID-SLOT]]&amp;Tableau3[[#This Row],[BORNE]]</f>
        <v>7181A</v>
      </c>
      <c r="AO1157" s="1"/>
    </row>
    <row r="1158" spans="1:41" ht="20.100000000000001" customHeight="1" thickTop="1" thickBot="1">
      <c r="A1158" s="68"/>
      <c r="B1158" s="69" t="str">
        <f>IFERROR(INDEX(Tableau4[Date],MATCH($A1158,Tableau4[EVO],0)),"")</f>
        <v/>
      </c>
      <c r="C1158" s="68" t="str">
        <f>IFERROR(INDEX(Tableau4[Designation],MATCH($A1158,Tableau4[EVO],0)),"")</f>
        <v/>
      </c>
      <c r="D1158" s="68"/>
      <c r="E1158" s="70">
        <v>220</v>
      </c>
      <c r="F1158" s="71">
        <v>104</v>
      </c>
      <c r="G1158" s="101" t="str">
        <f>INDEX(Tableau8[Att1],MATCH(Tableau3[[#This Row],[ID-INS]],Tableau8[ID],0))&amp;""</f>
        <v>X</v>
      </c>
      <c r="H1158" s="101" t="str">
        <f>INDEX(Tableau8[Att2],MATCH(Tableau3[[#This Row],[ID-INS]],Tableau8[ID],0))&amp;""</f>
        <v>EL38</v>
      </c>
      <c r="I1158" s="101" t="str">
        <f>INDEX(Tableau8[Att3],MATCH(Tableau3[[#This Row],[ID-INS]],Tableau8[ID],0))&amp;""</f>
        <v>RIO1/6 Synthèse disjonction auxiliaire + puissance</v>
      </c>
      <c r="J1158" s="101"/>
      <c r="K1158" s="167" t="str">
        <f>INDEX(Tableau8[Nom du modele],MATCH(Tableau3[[#This Row],[ID-INS]],Tableau8[ID],0))&amp;""</f>
        <v>SurvElec</v>
      </c>
      <c r="L1158" s="99" t="str">
        <f>INDEX(Tableau5[Att1],MATCH(Tableau3[[#This Row],[ID-SIG]],Tableau5[ID],0))&amp;""</f>
        <v>Def</v>
      </c>
      <c r="M1158" s="99" t="str">
        <f>INDEX(Tableau5[Att2],MATCH(Tableau3[[#This Row],[ID-SIG]],Tableau5[ID],0))&amp;""</f>
        <v/>
      </c>
      <c r="N1158" s="99" t="str">
        <f>INDEX(Tableau5[Att3],MATCH(Tableau3[[#This Row],[ID-SIG]],Tableau5[ID],0))&amp;""</f>
        <v/>
      </c>
      <c r="O1158" s="99"/>
      <c r="P1158" s="155" t="s">
        <v>1735</v>
      </c>
      <c r="Q1158" s="99"/>
      <c r="R1158" s="103" t="str">
        <f>Tableau3[[#This Row],[Description]]</f>
        <v>RIO1/6 Synthèse disjonction auxiliaire + puissance - Défaut</v>
      </c>
      <c r="U1158" s="87">
        <v>7</v>
      </c>
      <c r="V1158" s="87">
        <v>1</v>
      </c>
      <c r="W1158" s="87">
        <v>8</v>
      </c>
      <c r="X1158" s="87">
        <v>4</v>
      </c>
      <c r="Y1158" s="40"/>
      <c r="Z1158" s="165" t="str">
        <f>INDEX(Tableau2[TS],MATCH(Tableau3[[#This Row],[ID-CARTEVOIE]],Tableau2[ID-CARTEVOIE],0))</f>
        <v>ET</v>
      </c>
      <c r="AA1158" s="53" t="s">
        <v>213</v>
      </c>
      <c r="AB1158" s="223" t="str">
        <f>IFERROR(INDEX(Tableau5[Reserve],MATCH(Tableau3[[#This Row],[ID-SIG]],Tableau5[ID],0))&amp;"","")</f>
        <v/>
      </c>
      <c r="AC1158" s="21"/>
      <c r="AD1158" s="108" t="str">
        <f>INDEX(Tableau7[Repere],MATCH(Tableau3[[#This Row],[ID-API]],Tableau7[ID-API],0))&amp;""</f>
        <v>A7</v>
      </c>
      <c r="AE1158" s="108" t="str">
        <f>INDEX(Tableau1[Repere-Rack],MATCH(Tableau3[[#This Row],[ID-RACK]],Tableau1[ID-RACK],0))&amp;""</f>
        <v>R1</v>
      </c>
      <c r="AF1158" s="108" t="str">
        <f>INDEX(Tableau1[Repere-Slot],MATCH(Tableau3[[#This Row],[ID-SLOT]],Tableau1[ID-SLOT],0))&amp;""</f>
        <v>S8</v>
      </c>
      <c r="AG1158" s="108" t="str">
        <f>INDEX(Tableau2[Repere-Voie],MATCH(Tableau3[[#This Row],[ID-VOIE]],Tableau2[ID-Voie],0))&amp;""</f>
        <v>v4</v>
      </c>
      <c r="AH1158" s="72" t="str">
        <f>Tableau3[[#This Row],[ID-API]]&amp; "." &amp;Tableau3[[#This Row],[ID-RACK]]&amp; "." &amp;Tableau3[[#This Row],[ID-SLOT]]</f>
        <v>7.1.8</v>
      </c>
      <c r="AI1158" s="72" t="str">
        <f>INDEX(Tableau1[Ref-Carte],MATCH(Tableau3[[#This Row],[ID-RRS]],Tableau1[ID-RRS],0))</f>
        <v>SDI1602</v>
      </c>
      <c r="AJ1158" s="72" t="str">
        <f t="array" ref="AJ1158">IFERROR(INDEX(Tableau2[TS],MATCH(1,(Tableau2[Ref-Carte]=Tableau3[[#This Row],[Ref-Carte2]])*(Tableau2[ID-Voie]=Tableau3[[#This Row],[ID-VOIE]]),0)),"")</f>
        <v>ET</v>
      </c>
      <c r="AK1158" s="72" t="str">
        <f>IFERROR(INDEX(Tableau2[TS],SUMPRODUCT((Tableau2[Ref-Carte]=Tableau3[[#This Row],[Ref-Carte2]])*(Tableau2[ID-Voie]=Tableau3[[#This Row],[ID-VOIE]])*ROW(Tableau2[TS]))-ROW(Tableau2[#Headers])),"")</f>
        <v>ET</v>
      </c>
      <c r="AL1158" s="72" t="str">
        <f>Tableau3[[#This Row],[Ref-Carte2]]&amp;"/"&amp;Tableau3[[#This Row],[ID-VOIE]]</f>
        <v>SDI1602/4</v>
      </c>
      <c r="AM1158" s="73" t="str">
        <f>INDEX(Tableau2[Borne],MATCH(Tableau3[[#This Row],[ID-CARTEVOIE]],Tableau2[ID-CARTEVOIE],0))&amp;""</f>
        <v>2B</v>
      </c>
      <c r="AN1158" s="74" t="str">
        <f>Tableau3[[#This Row],[ID-API]]&amp;Tableau3[[#This Row],[ID-RACK]]&amp;Tableau3[[#This Row],[ID-SLOT]]&amp;Tableau3[[#This Row],[BORNE]]</f>
        <v>7182B</v>
      </c>
      <c r="AO1158" s="1"/>
    </row>
    <row r="1159" spans="1:41" ht="20.100000000000001" customHeight="1" thickTop="1" thickBot="1">
      <c r="A1159" s="68"/>
      <c r="B1159" s="69" t="str">
        <f>IFERROR(INDEX(Tableau4[Date],MATCH($A1159,Tableau4[EVO],0)),"")</f>
        <v/>
      </c>
      <c r="C1159" s="68" t="str">
        <f>IFERROR(INDEX(Tableau4[Designation],MATCH($A1159,Tableau4[EVO],0)),"")</f>
        <v/>
      </c>
      <c r="D1159" s="68"/>
      <c r="E1159" s="70">
        <v>221</v>
      </c>
      <c r="F1159" s="71">
        <v>104</v>
      </c>
      <c r="G1159" s="101" t="str">
        <f>INDEX(Tableau8[Att1],MATCH(Tableau3[[#This Row],[ID-INS]],Tableau8[ID],0))&amp;""</f>
        <v>X</v>
      </c>
      <c r="H1159" s="101" t="str">
        <f>INDEX(Tableau8[Att2],MATCH(Tableau3[[#This Row],[ID-INS]],Tableau8[ID],0))&amp;""</f>
        <v>EL39</v>
      </c>
      <c r="I1159" s="101" t="str">
        <f>INDEX(Tableau8[Att3],MATCH(Tableau3[[#This Row],[ID-INS]],Tableau8[ID],0))&amp;""</f>
        <v>Réserve</v>
      </c>
      <c r="J1159" s="101"/>
      <c r="K1159" s="167" t="str">
        <f>INDEX(Tableau8[Nom du modele],MATCH(Tableau3[[#This Row],[ID-INS]],Tableau8[ID],0))&amp;""</f>
        <v>SurvElec</v>
      </c>
      <c r="L1159" s="99" t="str">
        <f>INDEX(Tableau5[Att1],MATCH(Tableau3[[#This Row],[ID-SIG]],Tableau5[ID],0))&amp;""</f>
        <v>Def</v>
      </c>
      <c r="M1159" s="99" t="str">
        <f>INDEX(Tableau5[Att2],MATCH(Tableau3[[#This Row],[ID-SIG]],Tableau5[ID],0))&amp;""</f>
        <v/>
      </c>
      <c r="N1159" s="99" t="str">
        <f>INDEX(Tableau5[Att3],MATCH(Tableau3[[#This Row],[ID-SIG]],Tableau5[ID],0))&amp;""</f>
        <v/>
      </c>
      <c r="O1159" s="99"/>
      <c r="P1159" s="155" t="s">
        <v>1730</v>
      </c>
      <c r="Q1159" s="99"/>
      <c r="R1159" s="103" t="str">
        <f>Tableau3[[#This Row],[Description]]</f>
        <v>Réserve - Défaut</v>
      </c>
      <c r="U1159" s="87">
        <v>7</v>
      </c>
      <c r="V1159" s="87">
        <v>1</v>
      </c>
      <c r="W1159" s="87">
        <v>8</v>
      </c>
      <c r="X1159" s="87">
        <v>5</v>
      </c>
      <c r="Y1159" s="40"/>
      <c r="Z1159" s="165" t="str">
        <f>INDEX(Tableau2[TS],MATCH(Tableau3[[#This Row],[ID-CARTEVOIE]],Tableau2[ID-CARTEVOIE],0))</f>
        <v>ET</v>
      </c>
      <c r="AA1159" s="53" t="s">
        <v>213</v>
      </c>
      <c r="AB1159" s="223" t="str">
        <f>IFERROR(INDEX(Tableau5[Reserve],MATCH(Tableau3[[#This Row],[ID-SIG]],Tableau5[ID],0))&amp;"","")</f>
        <v/>
      </c>
      <c r="AC1159" s="21"/>
      <c r="AD1159" s="108" t="str">
        <f>INDEX(Tableau7[Repere],MATCH(Tableau3[[#This Row],[ID-API]],Tableau7[ID-API],0))&amp;""</f>
        <v>A7</v>
      </c>
      <c r="AE1159" s="108" t="str">
        <f>INDEX(Tableau1[Repere-Rack],MATCH(Tableau3[[#This Row],[ID-RACK]],Tableau1[ID-RACK],0))&amp;""</f>
        <v>R1</v>
      </c>
      <c r="AF1159" s="108" t="str">
        <f>INDEX(Tableau1[Repere-Slot],MATCH(Tableau3[[#This Row],[ID-SLOT]],Tableau1[ID-SLOT],0))&amp;""</f>
        <v>S8</v>
      </c>
      <c r="AG1159" s="108" t="str">
        <f>INDEX(Tableau2[Repere-Voie],MATCH(Tableau3[[#This Row],[ID-VOIE]],Tableau2[ID-Voie],0))&amp;""</f>
        <v>v5</v>
      </c>
      <c r="AH1159" s="72" t="str">
        <f>Tableau3[[#This Row],[ID-API]]&amp; "." &amp;Tableau3[[#This Row],[ID-RACK]]&amp; "." &amp;Tableau3[[#This Row],[ID-SLOT]]</f>
        <v>7.1.8</v>
      </c>
      <c r="AI1159" s="72" t="str">
        <f>INDEX(Tableau1[Ref-Carte],MATCH(Tableau3[[#This Row],[ID-RRS]],Tableau1[ID-RRS],0))</f>
        <v>SDI1602</v>
      </c>
      <c r="AJ1159" s="72" t="str">
        <f t="array" ref="AJ1159">IFERROR(INDEX(Tableau2[TS],MATCH(1,(Tableau2[Ref-Carte]=Tableau3[[#This Row],[Ref-Carte2]])*(Tableau2[ID-Voie]=Tableau3[[#This Row],[ID-VOIE]]),0)),"")</f>
        <v>ET</v>
      </c>
      <c r="AK1159" s="72" t="str">
        <f>IFERROR(INDEX(Tableau2[TS],SUMPRODUCT((Tableau2[Ref-Carte]=Tableau3[[#This Row],[Ref-Carte2]])*(Tableau2[ID-Voie]=Tableau3[[#This Row],[ID-VOIE]])*ROW(Tableau2[TS]))-ROW(Tableau2[#Headers])),"")</f>
        <v>ET</v>
      </c>
      <c r="AL1159" s="72" t="str">
        <f>Tableau3[[#This Row],[Ref-Carte2]]&amp;"/"&amp;Tableau3[[#This Row],[ID-VOIE]]</f>
        <v>SDI1602/5</v>
      </c>
      <c r="AM1159" s="73" t="str">
        <f>INDEX(Tableau2[Borne],MATCH(Tableau3[[#This Row],[ID-CARTEVOIE]],Tableau2[ID-CARTEVOIE],0))&amp;""</f>
        <v>2A</v>
      </c>
      <c r="AN1159" s="74" t="str">
        <f>Tableau3[[#This Row],[ID-API]]&amp;Tableau3[[#This Row],[ID-RACK]]&amp;Tableau3[[#This Row],[ID-SLOT]]&amp;Tableau3[[#This Row],[BORNE]]</f>
        <v>7182A</v>
      </c>
      <c r="AO1159" s="1"/>
    </row>
    <row r="1160" spans="1:41" ht="20.100000000000001" customHeight="1" thickTop="1" thickBot="1">
      <c r="A1160" s="68"/>
      <c r="B1160" s="69" t="str">
        <f>IFERROR(INDEX(Tableau4[Date],MATCH($A1160,Tableau4[EVO],0)),"")</f>
        <v/>
      </c>
      <c r="C1160" s="68" t="str">
        <f>IFERROR(INDEX(Tableau4[Designation],MATCH($A1160,Tableau4[EVO],0)),"")</f>
        <v/>
      </c>
      <c r="D1160" s="68"/>
      <c r="E1160" s="70">
        <v>222</v>
      </c>
      <c r="F1160" s="71">
        <v>104</v>
      </c>
      <c r="G1160" s="101" t="str">
        <f>INDEX(Tableau8[Att1],MATCH(Tableau3[[#This Row],[ID-INS]],Tableau8[ID],0))&amp;""</f>
        <v>X</v>
      </c>
      <c r="H1160" s="101" t="str">
        <f>INDEX(Tableau8[Att2],MATCH(Tableau3[[#This Row],[ID-INS]],Tableau8[ID],0))&amp;""</f>
        <v>EL40</v>
      </c>
      <c r="I1160" s="101" t="str">
        <f>INDEX(Tableau8[Att3],MATCH(Tableau3[[#This Row],[ID-INS]],Tableau8[ID],0))&amp;""</f>
        <v>Réserve</v>
      </c>
      <c r="J1160" s="101"/>
      <c r="K1160" s="167" t="str">
        <f>INDEX(Tableau8[Nom du modele],MATCH(Tableau3[[#This Row],[ID-INS]],Tableau8[ID],0))&amp;""</f>
        <v>SurvElec</v>
      </c>
      <c r="L1160" s="99" t="str">
        <f>INDEX(Tableau5[Att1],MATCH(Tableau3[[#This Row],[ID-SIG]],Tableau5[ID],0))&amp;""</f>
        <v>Def</v>
      </c>
      <c r="M1160" s="99" t="str">
        <f>INDEX(Tableau5[Att2],MATCH(Tableau3[[#This Row],[ID-SIG]],Tableau5[ID],0))&amp;""</f>
        <v/>
      </c>
      <c r="N1160" s="99" t="str">
        <f>INDEX(Tableau5[Att3],MATCH(Tableau3[[#This Row],[ID-SIG]],Tableau5[ID],0))&amp;""</f>
        <v/>
      </c>
      <c r="O1160" s="99"/>
      <c r="P1160" s="155" t="s">
        <v>1730</v>
      </c>
      <c r="Q1160" s="99"/>
      <c r="R1160" s="103" t="str">
        <f>Tableau3[[#This Row],[Description]]</f>
        <v>Réserve - Défaut</v>
      </c>
      <c r="U1160" s="87">
        <v>7</v>
      </c>
      <c r="V1160" s="87">
        <v>1</v>
      </c>
      <c r="W1160" s="87">
        <v>8</v>
      </c>
      <c r="X1160" s="87">
        <v>6</v>
      </c>
      <c r="Y1160" s="40"/>
      <c r="Z1160" s="165" t="str">
        <f>INDEX(Tableau2[TS],MATCH(Tableau3[[#This Row],[ID-CARTEVOIE]],Tableau2[ID-CARTEVOIE],0))</f>
        <v>ET</v>
      </c>
      <c r="AA1160" s="53" t="s">
        <v>213</v>
      </c>
      <c r="AB1160" s="223" t="str">
        <f>IFERROR(INDEX(Tableau5[Reserve],MATCH(Tableau3[[#This Row],[ID-SIG]],Tableau5[ID],0))&amp;"","")</f>
        <v/>
      </c>
      <c r="AC1160" s="21"/>
      <c r="AD1160" s="108" t="str">
        <f>INDEX(Tableau7[Repere],MATCH(Tableau3[[#This Row],[ID-API]],Tableau7[ID-API],0))&amp;""</f>
        <v>A7</v>
      </c>
      <c r="AE1160" s="108" t="str">
        <f>INDEX(Tableau1[Repere-Rack],MATCH(Tableau3[[#This Row],[ID-RACK]],Tableau1[ID-RACK],0))&amp;""</f>
        <v>R1</v>
      </c>
      <c r="AF1160" s="108" t="str">
        <f>INDEX(Tableau1[Repere-Slot],MATCH(Tableau3[[#This Row],[ID-SLOT]],Tableau1[ID-SLOT],0))&amp;""</f>
        <v>S8</v>
      </c>
      <c r="AG1160" s="108" t="str">
        <f>INDEX(Tableau2[Repere-Voie],MATCH(Tableau3[[#This Row],[ID-VOIE]],Tableau2[ID-Voie],0))&amp;""</f>
        <v>v6</v>
      </c>
      <c r="AH1160" s="72" t="str">
        <f>Tableau3[[#This Row],[ID-API]]&amp; "." &amp;Tableau3[[#This Row],[ID-RACK]]&amp; "." &amp;Tableau3[[#This Row],[ID-SLOT]]</f>
        <v>7.1.8</v>
      </c>
      <c r="AI1160" s="72" t="str">
        <f>INDEX(Tableau1[Ref-Carte],MATCH(Tableau3[[#This Row],[ID-RRS]],Tableau1[ID-RRS],0))</f>
        <v>SDI1602</v>
      </c>
      <c r="AJ1160" s="72" t="str">
        <f t="array" ref="AJ1160">IFERROR(INDEX(Tableau2[TS],MATCH(1,(Tableau2[Ref-Carte]=Tableau3[[#This Row],[Ref-Carte2]])*(Tableau2[ID-Voie]=Tableau3[[#This Row],[ID-VOIE]]),0)),"")</f>
        <v>ET</v>
      </c>
      <c r="AK1160" s="72" t="str">
        <f>IFERROR(INDEX(Tableau2[TS],SUMPRODUCT((Tableau2[Ref-Carte]=Tableau3[[#This Row],[Ref-Carte2]])*(Tableau2[ID-Voie]=Tableau3[[#This Row],[ID-VOIE]])*ROW(Tableau2[TS]))-ROW(Tableau2[#Headers])),"")</f>
        <v>ET</v>
      </c>
      <c r="AL1160" s="72" t="str">
        <f>Tableau3[[#This Row],[Ref-Carte2]]&amp;"/"&amp;Tableau3[[#This Row],[ID-VOIE]]</f>
        <v>SDI1602/6</v>
      </c>
      <c r="AM1160" s="73" t="str">
        <f>INDEX(Tableau2[Borne],MATCH(Tableau3[[#This Row],[ID-CARTEVOIE]],Tableau2[ID-CARTEVOIE],0))&amp;""</f>
        <v>3B</v>
      </c>
      <c r="AN1160" s="74" t="str">
        <f>Tableau3[[#This Row],[ID-API]]&amp;Tableau3[[#This Row],[ID-RACK]]&amp;Tableau3[[#This Row],[ID-SLOT]]&amp;Tableau3[[#This Row],[BORNE]]</f>
        <v>7183B</v>
      </c>
      <c r="AO1160" s="1"/>
    </row>
    <row r="1161" spans="1:41" ht="20.100000000000001" customHeight="1" thickTop="1" thickBot="1">
      <c r="A1161" s="68"/>
      <c r="B1161" s="69" t="str">
        <f>IFERROR(INDEX(Tableau4[Date],MATCH($A1161,Tableau4[EVO],0)),"")</f>
        <v/>
      </c>
      <c r="C1161" s="68" t="str">
        <f>IFERROR(INDEX(Tableau4[Designation],MATCH($A1161,Tableau4[EVO],0)),"")</f>
        <v/>
      </c>
      <c r="D1161" s="68"/>
      <c r="E1161" s="70">
        <v>223</v>
      </c>
      <c r="F1161" s="71">
        <v>104</v>
      </c>
      <c r="G1161" s="101" t="str">
        <f>INDEX(Tableau8[Att1],MATCH(Tableau3[[#This Row],[ID-INS]],Tableau8[ID],0))&amp;""</f>
        <v>X</v>
      </c>
      <c r="H1161" s="101" t="str">
        <f>INDEX(Tableau8[Att2],MATCH(Tableau3[[#This Row],[ID-INS]],Tableau8[ID],0))&amp;""</f>
        <v>EL41</v>
      </c>
      <c r="I1161" s="101" t="str">
        <f>INDEX(Tableau8[Att3],MATCH(Tableau3[[#This Row],[ID-INS]],Tableau8[ID],0))&amp;""</f>
        <v>Réserve</v>
      </c>
      <c r="J1161" s="101"/>
      <c r="K1161" s="167" t="str">
        <f>INDEX(Tableau8[Nom du modele],MATCH(Tableau3[[#This Row],[ID-INS]],Tableau8[ID],0))&amp;""</f>
        <v>SurvElec</v>
      </c>
      <c r="L1161" s="99" t="str">
        <f>INDEX(Tableau5[Att1],MATCH(Tableau3[[#This Row],[ID-SIG]],Tableau5[ID],0))&amp;""</f>
        <v>Def</v>
      </c>
      <c r="M1161" s="99" t="str">
        <f>INDEX(Tableau5[Att2],MATCH(Tableau3[[#This Row],[ID-SIG]],Tableau5[ID],0))&amp;""</f>
        <v/>
      </c>
      <c r="N1161" s="99" t="str">
        <f>INDEX(Tableau5[Att3],MATCH(Tableau3[[#This Row],[ID-SIG]],Tableau5[ID],0))&amp;""</f>
        <v/>
      </c>
      <c r="O1161" s="99"/>
      <c r="P1161" s="155" t="s">
        <v>1730</v>
      </c>
      <c r="Q1161" s="99"/>
      <c r="R1161" s="103" t="str">
        <f>Tableau3[[#This Row],[Description]]</f>
        <v>Réserve - Défaut</v>
      </c>
      <c r="U1161" s="87">
        <v>7</v>
      </c>
      <c r="V1161" s="87">
        <v>1</v>
      </c>
      <c r="W1161" s="87">
        <v>8</v>
      </c>
      <c r="X1161" s="87">
        <v>7</v>
      </c>
      <c r="Y1161" s="40"/>
      <c r="Z1161" s="165" t="str">
        <f>INDEX(Tableau2[TS],MATCH(Tableau3[[#This Row],[ID-CARTEVOIE]],Tableau2[ID-CARTEVOIE],0))</f>
        <v>ET</v>
      </c>
      <c r="AA1161" s="53" t="s">
        <v>213</v>
      </c>
      <c r="AB1161" s="223" t="str">
        <f>IFERROR(INDEX(Tableau5[Reserve],MATCH(Tableau3[[#This Row],[ID-SIG]],Tableau5[ID],0))&amp;"","")</f>
        <v/>
      </c>
      <c r="AC1161" s="21"/>
      <c r="AD1161" s="108" t="str">
        <f>INDEX(Tableau7[Repere],MATCH(Tableau3[[#This Row],[ID-API]],Tableau7[ID-API],0))&amp;""</f>
        <v>A7</v>
      </c>
      <c r="AE1161" s="108" t="str">
        <f>INDEX(Tableau1[Repere-Rack],MATCH(Tableau3[[#This Row],[ID-RACK]],Tableau1[ID-RACK],0))&amp;""</f>
        <v>R1</v>
      </c>
      <c r="AF1161" s="108" t="str">
        <f>INDEX(Tableau1[Repere-Slot],MATCH(Tableau3[[#This Row],[ID-SLOT]],Tableau1[ID-SLOT],0))&amp;""</f>
        <v>S8</v>
      </c>
      <c r="AG1161" s="108" t="str">
        <f>INDEX(Tableau2[Repere-Voie],MATCH(Tableau3[[#This Row],[ID-VOIE]],Tableau2[ID-Voie],0))&amp;""</f>
        <v>v7</v>
      </c>
      <c r="AH1161" s="72" t="str">
        <f>Tableau3[[#This Row],[ID-API]]&amp; "." &amp;Tableau3[[#This Row],[ID-RACK]]&amp; "." &amp;Tableau3[[#This Row],[ID-SLOT]]</f>
        <v>7.1.8</v>
      </c>
      <c r="AI1161" s="72" t="str">
        <f>INDEX(Tableau1[Ref-Carte],MATCH(Tableau3[[#This Row],[ID-RRS]],Tableau1[ID-RRS],0))</f>
        <v>SDI1602</v>
      </c>
      <c r="AJ1161" s="72" t="str">
        <f t="array" ref="AJ1161">IFERROR(INDEX(Tableau2[TS],MATCH(1,(Tableau2[Ref-Carte]=Tableau3[[#This Row],[Ref-Carte2]])*(Tableau2[ID-Voie]=Tableau3[[#This Row],[ID-VOIE]]),0)),"")</f>
        <v>ET</v>
      </c>
      <c r="AK1161" s="72" t="str">
        <f>IFERROR(INDEX(Tableau2[TS],SUMPRODUCT((Tableau2[Ref-Carte]=Tableau3[[#This Row],[Ref-Carte2]])*(Tableau2[ID-Voie]=Tableau3[[#This Row],[ID-VOIE]])*ROW(Tableau2[TS]))-ROW(Tableau2[#Headers])),"")</f>
        <v>ET</v>
      </c>
      <c r="AL1161" s="72" t="str">
        <f>Tableau3[[#This Row],[Ref-Carte2]]&amp;"/"&amp;Tableau3[[#This Row],[ID-VOIE]]</f>
        <v>SDI1602/7</v>
      </c>
      <c r="AM1161" s="73" t="str">
        <f>INDEX(Tableau2[Borne],MATCH(Tableau3[[#This Row],[ID-CARTEVOIE]],Tableau2[ID-CARTEVOIE],0))&amp;""</f>
        <v>3A</v>
      </c>
      <c r="AN1161" s="74" t="str">
        <f>Tableau3[[#This Row],[ID-API]]&amp;Tableau3[[#This Row],[ID-RACK]]&amp;Tableau3[[#This Row],[ID-SLOT]]&amp;Tableau3[[#This Row],[BORNE]]</f>
        <v>7183A</v>
      </c>
      <c r="AO1161" s="1"/>
    </row>
    <row r="1162" spans="1:41" ht="20.100000000000001" customHeight="1" thickTop="1" thickBot="1">
      <c r="A1162" s="68"/>
      <c r="B1162" s="69" t="str">
        <f>IFERROR(INDEX(Tableau4[Date],MATCH($A1162,Tableau4[EVO],0)),"")</f>
        <v/>
      </c>
      <c r="C1162" s="68" t="str">
        <f>IFERROR(INDEX(Tableau4[Designation],MATCH($A1162,Tableau4[EVO],0)),"")</f>
        <v/>
      </c>
      <c r="D1162" s="68"/>
      <c r="E1162" s="70">
        <v>224</v>
      </c>
      <c r="F1162" s="71">
        <v>104</v>
      </c>
      <c r="G1162" s="101" t="str">
        <f>INDEX(Tableau8[Att1],MATCH(Tableau3[[#This Row],[ID-INS]],Tableau8[ID],0))&amp;""</f>
        <v>X</v>
      </c>
      <c r="H1162" s="101" t="str">
        <f>INDEX(Tableau8[Att2],MATCH(Tableau3[[#This Row],[ID-INS]],Tableau8[ID],0))&amp;""</f>
        <v>EL42</v>
      </c>
      <c r="I1162" s="101" t="str">
        <f>INDEX(Tableau8[Att3],MATCH(Tableau3[[#This Row],[ID-INS]],Tableau8[ID],0))&amp;""</f>
        <v>Réserve</v>
      </c>
      <c r="J1162" s="101"/>
      <c r="K1162" s="167" t="str">
        <f>INDEX(Tableau8[Nom du modele],MATCH(Tableau3[[#This Row],[ID-INS]],Tableau8[ID],0))&amp;""</f>
        <v>SurvElec</v>
      </c>
      <c r="L1162" s="99" t="str">
        <f>INDEX(Tableau5[Att1],MATCH(Tableau3[[#This Row],[ID-SIG]],Tableau5[ID],0))&amp;""</f>
        <v>Def</v>
      </c>
      <c r="M1162" s="99" t="str">
        <f>INDEX(Tableau5[Att2],MATCH(Tableau3[[#This Row],[ID-SIG]],Tableau5[ID],0))&amp;""</f>
        <v/>
      </c>
      <c r="N1162" s="99" t="str">
        <f>INDEX(Tableau5[Att3],MATCH(Tableau3[[#This Row],[ID-SIG]],Tableau5[ID],0))&amp;""</f>
        <v/>
      </c>
      <c r="O1162" s="99"/>
      <c r="P1162" s="155" t="s">
        <v>1730</v>
      </c>
      <c r="Q1162" s="99"/>
      <c r="R1162" s="103" t="str">
        <f>Tableau3[[#This Row],[Description]]</f>
        <v>Réserve - Défaut</v>
      </c>
      <c r="U1162" s="87">
        <v>7</v>
      </c>
      <c r="V1162" s="87">
        <v>1</v>
      </c>
      <c r="W1162" s="87">
        <v>8</v>
      </c>
      <c r="X1162" s="87">
        <v>8</v>
      </c>
      <c r="Y1162" s="40"/>
      <c r="Z1162" s="165" t="str">
        <f>INDEX(Tableau2[TS],MATCH(Tableau3[[#This Row],[ID-CARTEVOIE]],Tableau2[ID-CARTEVOIE],0))</f>
        <v>ET</v>
      </c>
      <c r="AA1162" s="53" t="s">
        <v>213</v>
      </c>
      <c r="AB1162" s="223" t="str">
        <f>IFERROR(INDEX(Tableau5[Reserve],MATCH(Tableau3[[#This Row],[ID-SIG]],Tableau5[ID],0))&amp;"","")</f>
        <v/>
      </c>
      <c r="AC1162" s="21"/>
      <c r="AD1162" s="108" t="str">
        <f>INDEX(Tableau7[Repere],MATCH(Tableau3[[#This Row],[ID-API]],Tableau7[ID-API],0))&amp;""</f>
        <v>A7</v>
      </c>
      <c r="AE1162" s="108" t="str">
        <f>INDEX(Tableau1[Repere-Rack],MATCH(Tableau3[[#This Row],[ID-RACK]],Tableau1[ID-RACK],0))&amp;""</f>
        <v>R1</v>
      </c>
      <c r="AF1162" s="108" t="str">
        <f>INDEX(Tableau1[Repere-Slot],MATCH(Tableau3[[#This Row],[ID-SLOT]],Tableau1[ID-SLOT],0))&amp;""</f>
        <v>S8</v>
      </c>
      <c r="AG1162" s="108" t="str">
        <f>INDEX(Tableau2[Repere-Voie],MATCH(Tableau3[[#This Row],[ID-VOIE]],Tableau2[ID-Voie],0))&amp;""</f>
        <v>v8</v>
      </c>
      <c r="AH1162" s="72" t="str">
        <f>Tableau3[[#This Row],[ID-API]]&amp; "." &amp;Tableau3[[#This Row],[ID-RACK]]&amp; "." &amp;Tableau3[[#This Row],[ID-SLOT]]</f>
        <v>7.1.8</v>
      </c>
      <c r="AI1162" s="72" t="str">
        <f>INDEX(Tableau1[Ref-Carte],MATCH(Tableau3[[#This Row],[ID-RRS]],Tableau1[ID-RRS],0))</f>
        <v>SDI1602</v>
      </c>
      <c r="AJ1162" s="72" t="str">
        <f t="array" ref="AJ1162">IFERROR(INDEX(Tableau2[TS],MATCH(1,(Tableau2[Ref-Carte]=Tableau3[[#This Row],[Ref-Carte2]])*(Tableau2[ID-Voie]=Tableau3[[#This Row],[ID-VOIE]]),0)),"")</f>
        <v>ET</v>
      </c>
      <c r="AK1162" s="72" t="str">
        <f>IFERROR(INDEX(Tableau2[TS],SUMPRODUCT((Tableau2[Ref-Carte]=Tableau3[[#This Row],[Ref-Carte2]])*(Tableau2[ID-Voie]=Tableau3[[#This Row],[ID-VOIE]])*ROW(Tableau2[TS]))-ROW(Tableau2[#Headers])),"")</f>
        <v>ET</v>
      </c>
      <c r="AL1162" s="72" t="str">
        <f>Tableau3[[#This Row],[Ref-Carte2]]&amp;"/"&amp;Tableau3[[#This Row],[ID-VOIE]]</f>
        <v>SDI1602/8</v>
      </c>
      <c r="AM1162" s="73" t="str">
        <f>INDEX(Tableau2[Borne],MATCH(Tableau3[[#This Row],[ID-CARTEVOIE]],Tableau2[ID-CARTEVOIE],0))&amp;""</f>
        <v>4B</v>
      </c>
      <c r="AN1162" s="74" t="str">
        <f>Tableau3[[#This Row],[ID-API]]&amp;Tableau3[[#This Row],[ID-RACK]]&amp;Tableau3[[#This Row],[ID-SLOT]]&amp;Tableau3[[#This Row],[BORNE]]</f>
        <v>7184B</v>
      </c>
      <c r="AO1162" s="1"/>
    </row>
    <row r="1163" spans="1:41" ht="20.100000000000001" customHeight="1" thickTop="1" thickBot="1">
      <c r="A1163" s="68"/>
      <c r="B1163" s="69" t="str">
        <f>IFERROR(INDEX(Tableau4[Date],MATCH($A1163,Tableau4[EVO],0)),"")</f>
        <v/>
      </c>
      <c r="C1163" s="68" t="str">
        <f>IFERROR(INDEX(Tableau4[Designation],MATCH($A1163,Tableau4[EVO],0)),"")</f>
        <v/>
      </c>
      <c r="D1163" s="68"/>
      <c r="E1163" s="70">
        <v>238</v>
      </c>
      <c r="F1163" s="71">
        <v>48</v>
      </c>
      <c r="G1163" s="101" t="str">
        <f>INDEX(Tableau8[Att1],MATCH(Tableau3[[#This Row],[ID-INS]],Tableau8[ID],0))&amp;""</f>
        <v>B21</v>
      </c>
      <c r="H1163" s="101" t="str">
        <f>INDEX(Tableau8[Att2],MATCH(Tableau3[[#This Row],[ID-INS]],Tableau8[ID],0))&amp;""</f>
        <v>TRSD1</v>
      </c>
      <c r="I1163" s="101" t="str">
        <f>INDEX(Tableau8[Att3],MATCH(Tableau3[[#This Row],[ID-INS]],Tableau8[ID],0))&amp;""</f>
        <v>Tourniquet TRSD1</v>
      </c>
      <c r="J1163" s="101"/>
      <c r="K1163" s="167" t="str">
        <f>INDEX(Tableau8[Nom du modele],MATCH(Tableau3[[#This Row],[ID-INS]],Tableau8[ID],0))&amp;""</f>
        <v>TRSD_2</v>
      </c>
      <c r="L1163" s="99" t="str">
        <f>INDEX(Tableau5[Att1],MATCH(Tableau3[[#This Row],[ID-SIG]],Tableau5[ID],0))&amp;""</f>
        <v>T2_Fer</v>
      </c>
      <c r="M1163" s="99" t="str">
        <f>INDEX(Tableau5[Att2],MATCH(Tableau3[[#This Row],[ID-SIG]],Tableau5[ID],0))&amp;""</f>
        <v/>
      </c>
      <c r="N1163" s="99" t="str">
        <f>INDEX(Tableau5[Att3],MATCH(Tableau3[[#This Row],[ID-SIG]],Tableau5[ID],0))&amp;""</f>
        <v/>
      </c>
      <c r="O1163" s="99"/>
      <c r="P1163" s="99" t="str">
        <f>INDEX(Tableau5[Description],MATCH(Tableau3[[#This Row],[ID-SIG]],Tableau5[ID],0))</f>
        <v>Position fermée entrée 2</v>
      </c>
      <c r="Q1163" s="99"/>
      <c r="R1163" s="103" t="str">
        <f>Tableau3[[#This Row],[Description]]</f>
        <v>Position fermée entrée 2</v>
      </c>
      <c r="U1163" s="87">
        <v>7</v>
      </c>
      <c r="V1163" s="87">
        <v>1</v>
      </c>
      <c r="W1163" s="87">
        <v>8</v>
      </c>
      <c r="X1163" s="87">
        <v>9</v>
      </c>
      <c r="Y1163" s="40"/>
      <c r="Z1163" s="165" t="str">
        <f>INDEX(Tableau2[TS],MATCH(Tableau3[[#This Row],[ID-CARTEVOIE]],Tableau2[ID-CARTEVOIE],0))</f>
        <v>ET</v>
      </c>
      <c r="AA1163" s="53" t="s">
        <v>213</v>
      </c>
      <c r="AB1163" s="223" t="str">
        <f>IFERROR(INDEX(Tableau5[Reserve],MATCH(Tableau3[[#This Row],[ID-SIG]],Tableau5[ID],0))&amp;"","")</f>
        <v/>
      </c>
      <c r="AC1163" s="21"/>
      <c r="AD1163" s="108" t="str">
        <f>INDEX(Tableau7[Repere],MATCH(Tableau3[[#This Row],[ID-API]],Tableau7[ID-API],0))&amp;""</f>
        <v>A7</v>
      </c>
      <c r="AE1163" s="108" t="str">
        <f>INDEX(Tableau1[Repere-Rack],MATCH(Tableau3[[#This Row],[ID-RACK]],Tableau1[ID-RACK],0))&amp;""</f>
        <v>R1</v>
      </c>
      <c r="AF1163" s="108" t="str">
        <f>INDEX(Tableau1[Repere-Slot],MATCH(Tableau3[[#This Row],[ID-SLOT]],Tableau1[ID-SLOT],0))&amp;""</f>
        <v>S8</v>
      </c>
      <c r="AG1163" s="108" t="str">
        <f>INDEX(Tableau2[Repere-Voie],MATCH(Tableau3[[#This Row],[ID-VOIE]],Tableau2[ID-Voie],0))&amp;""</f>
        <v>v9</v>
      </c>
      <c r="AH1163" s="72" t="str">
        <f>Tableau3[[#This Row],[ID-API]]&amp; "." &amp;Tableau3[[#This Row],[ID-RACK]]&amp; "." &amp;Tableau3[[#This Row],[ID-SLOT]]</f>
        <v>7.1.8</v>
      </c>
      <c r="AI1163" s="72" t="str">
        <f>INDEX(Tableau1[Ref-Carte],MATCH(Tableau3[[#This Row],[ID-RRS]],Tableau1[ID-RRS],0))</f>
        <v>SDI1602</v>
      </c>
      <c r="AJ1163" s="72" t="str">
        <f t="array" ref="AJ1163">IFERROR(INDEX(Tableau2[TS],MATCH(1,(Tableau2[Ref-Carte]=Tableau3[[#This Row],[Ref-Carte2]])*(Tableau2[ID-Voie]=Tableau3[[#This Row],[ID-VOIE]]),0)),"")</f>
        <v>ET</v>
      </c>
      <c r="AK1163" s="72" t="str">
        <f>IFERROR(INDEX(Tableau2[TS],SUMPRODUCT((Tableau2[Ref-Carte]=Tableau3[[#This Row],[Ref-Carte2]])*(Tableau2[ID-Voie]=Tableau3[[#This Row],[ID-VOIE]])*ROW(Tableau2[TS]))-ROW(Tableau2[#Headers])),"")</f>
        <v>ET</v>
      </c>
      <c r="AL1163" s="72" t="str">
        <f>Tableau3[[#This Row],[Ref-Carte2]]&amp;"/"&amp;Tableau3[[#This Row],[ID-VOIE]]</f>
        <v>SDI1602/9</v>
      </c>
      <c r="AM1163" s="73" t="str">
        <f>INDEX(Tableau2[Borne],MATCH(Tableau3[[#This Row],[ID-CARTEVOIE]],Tableau2[ID-CARTEVOIE],0))&amp;""</f>
        <v>4A</v>
      </c>
      <c r="AN1163" s="74" t="str">
        <f>Tableau3[[#This Row],[ID-API]]&amp;Tableau3[[#This Row],[ID-RACK]]&amp;Tableau3[[#This Row],[ID-SLOT]]&amp;Tableau3[[#This Row],[BORNE]]</f>
        <v>7184A</v>
      </c>
      <c r="AO1163" s="1"/>
    </row>
    <row r="1164" spans="1:41" ht="20.100000000000001" customHeight="1" thickTop="1" thickBot="1">
      <c r="A1164" s="68"/>
      <c r="B1164" s="69" t="str">
        <f>IFERROR(INDEX(Tableau4[Date],MATCH($A1164,Tableau4[EVO],0)),"")</f>
        <v/>
      </c>
      <c r="C1164" s="68" t="str">
        <f>IFERROR(INDEX(Tableau4[Designation],MATCH($A1164,Tableau4[EVO],0)),"")</f>
        <v/>
      </c>
      <c r="D1164" s="68"/>
      <c r="E1164" s="70">
        <v>238</v>
      </c>
      <c r="F1164" s="71">
        <v>49</v>
      </c>
      <c r="G1164" s="101" t="str">
        <f>INDEX(Tableau8[Att1],MATCH(Tableau3[[#This Row],[ID-INS]],Tableau8[ID],0))&amp;""</f>
        <v>B21</v>
      </c>
      <c r="H1164" s="101" t="str">
        <f>INDEX(Tableau8[Att2],MATCH(Tableau3[[#This Row],[ID-INS]],Tableau8[ID],0))&amp;""</f>
        <v>TRSD1</v>
      </c>
      <c r="I1164" s="101" t="str">
        <f>INDEX(Tableau8[Att3],MATCH(Tableau3[[#This Row],[ID-INS]],Tableau8[ID],0))&amp;""</f>
        <v>Tourniquet TRSD1</v>
      </c>
      <c r="J1164" s="101"/>
      <c r="K1164" s="167" t="str">
        <f>INDEX(Tableau8[Nom du modele],MATCH(Tableau3[[#This Row],[ID-INS]],Tableau8[ID],0))&amp;""</f>
        <v>TRSD_2</v>
      </c>
      <c r="L1164" s="99" t="str">
        <f>INDEX(Tableau5[Att1],MATCH(Tableau3[[#This Row],[ID-SIG]],Tableau5[ID],0))&amp;""</f>
        <v>T2S_OuvRet1</v>
      </c>
      <c r="M1164" s="99" t="str">
        <f>INDEX(Tableau5[Att2],MATCH(Tableau3[[#This Row],[ID-SIG]],Tableau5[ID],0))&amp;""</f>
        <v/>
      </c>
      <c r="N1164" s="99" t="str">
        <f>INDEX(Tableau5[Att3],MATCH(Tableau3[[#This Row],[ID-SIG]],Tableau5[ID],0))&amp;""</f>
        <v/>
      </c>
      <c r="O1164" s="99"/>
      <c r="P1164" s="99" t="str">
        <f>INDEX(Tableau5[Description],MATCH(Tableau3[[#This Row],[ID-SIG]],Tableau5[ID],0))</f>
        <v>Retour Commande 1 ouverture sortie 2</v>
      </c>
      <c r="Q1164" s="99"/>
      <c r="R1164" s="103" t="str">
        <f>Tableau3[[#This Row],[Description]]</f>
        <v>Retour Commande 1 ouverture sortie 2</v>
      </c>
      <c r="U1164" s="87">
        <v>7</v>
      </c>
      <c r="V1164" s="87">
        <v>1</v>
      </c>
      <c r="W1164" s="87">
        <v>8</v>
      </c>
      <c r="X1164" s="87">
        <v>10</v>
      </c>
      <c r="Y1164" s="40"/>
      <c r="Z1164" s="165" t="str">
        <f>INDEX(Tableau2[TS],MATCH(Tableau3[[#This Row],[ID-CARTEVOIE]],Tableau2[ID-CARTEVOIE],0))</f>
        <v>ET</v>
      </c>
      <c r="AA1164" s="53" t="s">
        <v>213</v>
      </c>
      <c r="AB1164" s="223" t="str">
        <f>IFERROR(INDEX(Tableau5[Reserve],MATCH(Tableau3[[#This Row],[ID-SIG]],Tableau5[ID],0))&amp;"","")</f>
        <v/>
      </c>
      <c r="AC1164" s="21"/>
      <c r="AD1164" s="108" t="str">
        <f>INDEX(Tableau7[Repere],MATCH(Tableau3[[#This Row],[ID-API]],Tableau7[ID-API],0))&amp;""</f>
        <v>A7</v>
      </c>
      <c r="AE1164" s="108" t="str">
        <f>INDEX(Tableau1[Repere-Rack],MATCH(Tableau3[[#This Row],[ID-RACK]],Tableau1[ID-RACK],0))&amp;""</f>
        <v>R1</v>
      </c>
      <c r="AF1164" s="108" t="str">
        <f>INDEX(Tableau1[Repere-Slot],MATCH(Tableau3[[#This Row],[ID-SLOT]],Tableau1[ID-SLOT],0))&amp;""</f>
        <v>S8</v>
      </c>
      <c r="AG1164" s="108" t="str">
        <f>INDEX(Tableau2[Repere-Voie],MATCH(Tableau3[[#This Row],[ID-VOIE]],Tableau2[ID-Voie],0))&amp;""</f>
        <v>v10</v>
      </c>
      <c r="AH1164" s="72" t="str">
        <f>Tableau3[[#This Row],[ID-API]]&amp; "." &amp;Tableau3[[#This Row],[ID-RACK]]&amp; "." &amp;Tableau3[[#This Row],[ID-SLOT]]</f>
        <v>7.1.8</v>
      </c>
      <c r="AI1164" s="72" t="str">
        <f>INDEX(Tableau1[Ref-Carte],MATCH(Tableau3[[#This Row],[ID-RRS]],Tableau1[ID-RRS],0))</f>
        <v>SDI1602</v>
      </c>
      <c r="AJ1164" s="72" t="str">
        <f t="array" ref="AJ1164">IFERROR(INDEX(Tableau2[TS],MATCH(1,(Tableau2[Ref-Carte]=Tableau3[[#This Row],[Ref-Carte2]])*(Tableau2[ID-Voie]=Tableau3[[#This Row],[ID-VOIE]]),0)),"")</f>
        <v>ET</v>
      </c>
      <c r="AK1164" s="72" t="str">
        <f>IFERROR(INDEX(Tableau2[TS],SUMPRODUCT((Tableau2[Ref-Carte]=Tableau3[[#This Row],[Ref-Carte2]])*(Tableau2[ID-Voie]=Tableau3[[#This Row],[ID-VOIE]])*ROW(Tableau2[TS]))-ROW(Tableau2[#Headers])),"")</f>
        <v>ET</v>
      </c>
      <c r="AL1164" s="72" t="str">
        <f>Tableau3[[#This Row],[Ref-Carte2]]&amp;"/"&amp;Tableau3[[#This Row],[ID-VOIE]]</f>
        <v>SDI1602/10</v>
      </c>
      <c r="AM1164" s="73" t="str">
        <f>INDEX(Tableau2[Borne],MATCH(Tableau3[[#This Row],[ID-CARTEVOIE]],Tableau2[ID-CARTEVOIE],0))&amp;""</f>
        <v>5B</v>
      </c>
      <c r="AN1164" s="74" t="str">
        <f>Tableau3[[#This Row],[ID-API]]&amp;Tableau3[[#This Row],[ID-RACK]]&amp;Tableau3[[#This Row],[ID-SLOT]]&amp;Tableau3[[#This Row],[BORNE]]</f>
        <v>7185B</v>
      </c>
      <c r="AO1164" s="1"/>
    </row>
    <row r="1165" spans="1:41" ht="20.100000000000001" customHeight="1" thickTop="1" thickBot="1">
      <c r="A1165" s="68"/>
      <c r="B1165" s="69" t="str">
        <f>IFERROR(INDEX(Tableau4[Date],MATCH($A1165,Tableau4[EVO],0)),"")</f>
        <v/>
      </c>
      <c r="C1165" s="68" t="str">
        <f>IFERROR(INDEX(Tableau4[Designation],MATCH($A1165,Tableau4[EVO],0)),"")</f>
        <v/>
      </c>
      <c r="D1165" s="68"/>
      <c r="E1165" s="70">
        <v>242</v>
      </c>
      <c r="F1165" s="71">
        <v>61</v>
      </c>
      <c r="G1165" s="101" t="str">
        <f>INDEX(Tableau8[Att1],MATCH(Tableau3[[#This Row],[ID-INS]],Tableau8[ID],0))&amp;""</f>
        <v>B21</v>
      </c>
      <c r="H1165" s="101" t="str">
        <f>INDEX(Tableau8[Att2],MATCH(Tableau3[[#This Row],[ID-INS]],Tableau8[ID],0))&amp;""</f>
        <v>PMR3</v>
      </c>
      <c r="I1165" s="101" t="str">
        <f>INDEX(Tableau8[Att3],MATCH(Tableau3[[#This Row],[ID-INS]],Tableau8[ID],0))&amp;""</f>
        <v>PMR3</v>
      </c>
      <c r="J1165" s="101"/>
      <c r="K1165" s="167" t="str">
        <f>INDEX(Tableau8[Nom du modele],MATCH(Tableau3[[#This Row],[ID-INS]],Tableau8[ID],0))&amp;""</f>
        <v>PMR_2</v>
      </c>
      <c r="L1165" s="99" t="str">
        <f>INDEX(Tableau5[Att1],MATCH(Tableau3[[#This Row],[ID-SIG]],Tableau5[ID],0))&amp;""</f>
        <v>TS_OuvRet2</v>
      </c>
      <c r="M1165" s="99" t="str">
        <f>INDEX(Tableau5[Att2],MATCH(Tableau3[[#This Row],[ID-SIG]],Tableau5[ID],0))&amp;""</f>
        <v/>
      </c>
      <c r="N1165" s="99" t="str">
        <f>INDEX(Tableau5[Att3],MATCH(Tableau3[[#This Row],[ID-SIG]],Tableau5[ID],0))&amp;""</f>
        <v/>
      </c>
      <c r="O1165" s="99"/>
      <c r="P1165" s="99" t="str">
        <f>INDEX(Tableau5[Description],MATCH(Tableau3[[#This Row],[ID-SIG]],Tableau5[ID],0))</f>
        <v>Retour Commande 2 ouverture sortie</v>
      </c>
      <c r="Q1165" s="99"/>
      <c r="R1165" s="103" t="str">
        <f>Tableau3[[#This Row],[Description]]</f>
        <v>Retour Commande 2 ouverture sortie</v>
      </c>
      <c r="U1165" s="87">
        <v>7</v>
      </c>
      <c r="V1165" s="87">
        <v>1</v>
      </c>
      <c r="W1165" s="87">
        <v>8</v>
      </c>
      <c r="X1165" s="87">
        <v>11</v>
      </c>
      <c r="Y1165" s="40"/>
      <c r="Z1165" s="165" t="str">
        <f>INDEX(Tableau2[TS],MATCH(Tableau3[[#This Row],[ID-CARTEVOIE]],Tableau2[ID-CARTEVOIE],0))</f>
        <v>ET</v>
      </c>
      <c r="AA1165" s="53" t="s">
        <v>213</v>
      </c>
      <c r="AB1165" s="223" t="str">
        <f>IFERROR(INDEX(Tableau5[Reserve],MATCH(Tableau3[[#This Row],[ID-SIG]],Tableau5[ID],0))&amp;"","")</f>
        <v/>
      </c>
      <c r="AC1165" s="21"/>
      <c r="AD1165" s="108" t="str">
        <f>INDEX(Tableau7[Repere],MATCH(Tableau3[[#This Row],[ID-API]],Tableau7[ID-API],0))&amp;""</f>
        <v>A7</v>
      </c>
      <c r="AE1165" s="108" t="str">
        <f>INDEX(Tableau1[Repere-Rack],MATCH(Tableau3[[#This Row],[ID-RACK]],Tableau1[ID-RACK],0))&amp;""</f>
        <v>R1</v>
      </c>
      <c r="AF1165" s="108" t="str">
        <f>INDEX(Tableau1[Repere-Slot],MATCH(Tableau3[[#This Row],[ID-SLOT]],Tableau1[ID-SLOT],0))&amp;""</f>
        <v>S8</v>
      </c>
      <c r="AG1165" s="108" t="str">
        <f>INDEX(Tableau2[Repere-Voie],MATCH(Tableau3[[#This Row],[ID-VOIE]],Tableau2[ID-Voie],0))&amp;""</f>
        <v>v11</v>
      </c>
      <c r="AH1165" s="72" t="str">
        <f>Tableau3[[#This Row],[ID-API]]&amp; "." &amp;Tableau3[[#This Row],[ID-RACK]]&amp; "." &amp;Tableau3[[#This Row],[ID-SLOT]]</f>
        <v>7.1.8</v>
      </c>
      <c r="AI1165" s="72" t="str">
        <f>INDEX(Tableau1[Ref-Carte],MATCH(Tableau3[[#This Row],[ID-RRS]],Tableau1[ID-RRS],0))</f>
        <v>SDI1602</v>
      </c>
      <c r="AJ1165" s="72" t="str">
        <f t="array" ref="AJ1165">IFERROR(INDEX(Tableau2[TS],MATCH(1,(Tableau2[Ref-Carte]=Tableau3[[#This Row],[Ref-Carte2]])*(Tableau2[ID-Voie]=Tableau3[[#This Row],[ID-VOIE]]),0)),"")</f>
        <v>ET</v>
      </c>
      <c r="AK1165" s="72" t="str">
        <f>IFERROR(INDEX(Tableau2[TS],SUMPRODUCT((Tableau2[Ref-Carte]=Tableau3[[#This Row],[Ref-Carte2]])*(Tableau2[ID-Voie]=Tableau3[[#This Row],[ID-VOIE]])*ROW(Tableau2[TS]))-ROW(Tableau2[#Headers])),"")</f>
        <v>ET</v>
      </c>
      <c r="AL1165" s="72" t="str">
        <f>Tableau3[[#This Row],[Ref-Carte2]]&amp;"/"&amp;Tableau3[[#This Row],[ID-VOIE]]</f>
        <v>SDI1602/11</v>
      </c>
      <c r="AM1165" s="73" t="str">
        <f>INDEX(Tableau2[Borne],MATCH(Tableau3[[#This Row],[ID-CARTEVOIE]],Tableau2[ID-CARTEVOIE],0))&amp;""</f>
        <v>5A</v>
      </c>
      <c r="AN1165" s="74" t="str">
        <f>Tableau3[[#This Row],[ID-API]]&amp;Tableau3[[#This Row],[ID-RACK]]&amp;Tableau3[[#This Row],[ID-SLOT]]&amp;Tableau3[[#This Row],[BORNE]]</f>
        <v>7185A</v>
      </c>
      <c r="AO1165" s="1"/>
    </row>
    <row r="1166" spans="1:41" ht="20.100000000000001" customHeight="1" thickTop="1" thickBot="1">
      <c r="A1166" s="68"/>
      <c r="B1166" s="69" t="str">
        <f>IFERROR(INDEX(Tableau4[Date],MATCH($A1166,Tableau4[EVO],0)),"")</f>
        <v/>
      </c>
      <c r="C1166" s="68" t="str">
        <f>IFERROR(INDEX(Tableau4[Designation],MATCH($A1166,Tableau4[EVO],0)),"")</f>
        <v/>
      </c>
      <c r="D1166" s="68"/>
      <c r="E1166" s="70">
        <v>242</v>
      </c>
      <c r="F1166" s="71">
        <v>62</v>
      </c>
      <c r="G1166" s="101" t="str">
        <f>INDEX(Tableau8[Att1],MATCH(Tableau3[[#This Row],[ID-INS]],Tableau8[ID],0))&amp;""</f>
        <v>B21</v>
      </c>
      <c r="H1166" s="101" t="str">
        <f>INDEX(Tableau8[Att2],MATCH(Tableau3[[#This Row],[ID-INS]],Tableau8[ID],0))&amp;""</f>
        <v>PMR3</v>
      </c>
      <c r="I1166" s="101" t="str">
        <f>INDEX(Tableau8[Att3],MATCH(Tableau3[[#This Row],[ID-INS]],Tableau8[ID],0))&amp;""</f>
        <v>PMR3</v>
      </c>
      <c r="J1166" s="101"/>
      <c r="K1166" s="167" t="str">
        <f>INDEX(Tableau8[Nom du modele],MATCH(Tableau3[[#This Row],[ID-INS]],Tableau8[ID],0))&amp;""</f>
        <v>PMR_2</v>
      </c>
      <c r="L1166" s="99" t="str">
        <f>INDEX(Tableau5[Att1],MATCH(Tableau3[[#This Row],[ID-SIG]],Tableau5[ID],0))&amp;""</f>
        <v>Fer1</v>
      </c>
      <c r="M1166" s="99" t="str">
        <f>INDEX(Tableau5[Att2],MATCH(Tableau3[[#This Row],[ID-SIG]],Tableau5[ID],0))&amp;""</f>
        <v/>
      </c>
      <c r="N1166" s="99" t="str">
        <f>INDEX(Tableau5[Att3],MATCH(Tableau3[[#This Row],[ID-SIG]],Tableau5[ID],0))&amp;""</f>
        <v/>
      </c>
      <c r="O1166" s="99"/>
      <c r="P1166" s="99" t="str">
        <f>INDEX(Tableau5[Description],MATCH(Tableau3[[#This Row],[ID-SIG]],Tableau5[ID],0))</f>
        <v>Porte fermée 1</v>
      </c>
      <c r="Q1166" s="99"/>
      <c r="R1166" s="103" t="str">
        <f>Tableau3[[#This Row],[Description]]</f>
        <v>Porte fermée 1</v>
      </c>
      <c r="U1166" s="87">
        <v>7</v>
      </c>
      <c r="V1166" s="87">
        <v>1</v>
      </c>
      <c r="W1166" s="87">
        <v>8</v>
      </c>
      <c r="X1166" s="87">
        <v>12</v>
      </c>
      <c r="Y1166" s="40"/>
      <c r="Z1166" s="165" t="str">
        <f>INDEX(Tableau2[TS],MATCH(Tableau3[[#This Row],[ID-CARTEVOIE]],Tableau2[ID-CARTEVOIE],0))</f>
        <v>ET</v>
      </c>
      <c r="AA1166" s="53" t="s">
        <v>213</v>
      </c>
      <c r="AB1166" s="223" t="str">
        <f>IFERROR(INDEX(Tableau5[Reserve],MATCH(Tableau3[[#This Row],[ID-SIG]],Tableau5[ID],0))&amp;"","")</f>
        <v/>
      </c>
      <c r="AC1166" s="21"/>
      <c r="AD1166" s="108" t="str">
        <f>INDEX(Tableau7[Repere],MATCH(Tableau3[[#This Row],[ID-API]],Tableau7[ID-API],0))&amp;""</f>
        <v>A7</v>
      </c>
      <c r="AE1166" s="108" t="str">
        <f>INDEX(Tableau1[Repere-Rack],MATCH(Tableau3[[#This Row],[ID-RACK]],Tableau1[ID-RACK],0))&amp;""</f>
        <v>R1</v>
      </c>
      <c r="AF1166" s="108" t="str">
        <f>INDEX(Tableau1[Repere-Slot],MATCH(Tableau3[[#This Row],[ID-SLOT]],Tableau1[ID-SLOT],0))&amp;""</f>
        <v>S8</v>
      </c>
      <c r="AG1166" s="108" t="str">
        <f>INDEX(Tableau2[Repere-Voie],MATCH(Tableau3[[#This Row],[ID-VOIE]],Tableau2[ID-Voie],0))&amp;""</f>
        <v>v12</v>
      </c>
      <c r="AH1166" s="72" t="str">
        <f>Tableau3[[#This Row],[ID-API]]&amp; "." &amp;Tableau3[[#This Row],[ID-RACK]]&amp; "." &amp;Tableau3[[#This Row],[ID-SLOT]]</f>
        <v>7.1.8</v>
      </c>
      <c r="AI1166" s="72" t="str">
        <f>INDEX(Tableau1[Ref-Carte],MATCH(Tableau3[[#This Row],[ID-RRS]],Tableau1[ID-RRS],0))</f>
        <v>SDI1602</v>
      </c>
      <c r="AJ1166" s="72" t="str">
        <f t="array" ref="AJ1166">IFERROR(INDEX(Tableau2[TS],MATCH(1,(Tableau2[Ref-Carte]=Tableau3[[#This Row],[Ref-Carte2]])*(Tableau2[ID-Voie]=Tableau3[[#This Row],[ID-VOIE]]),0)),"")</f>
        <v>ET</v>
      </c>
      <c r="AK1166" s="72" t="str">
        <f>IFERROR(INDEX(Tableau2[TS],SUMPRODUCT((Tableau2[Ref-Carte]=Tableau3[[#This Row],[Ref-Carte2]])*(Tableau2[ID-Voie]=Tableau3[[#This Row],[ID-VOIE]])*ROW(Tableau2[TS]))-ROW(Tableau2[#Headers])),"")</f>
        <v>ET</v>
      </c>
      <c r="AL1166" s="72" t="str">
        <f>Tableau3[[#This Row],[Ref-Carte2]]&amp;"/"&amp;Tableau3[[#This Row],[ID-VOIE]]</f>
        <v>SDI1602/12</v>
      </c>
      <c r="AM1166" s="73" t="str">
        <f>INDEX(Tableau2[Borne],MATCH(Tableau3[[#This Row],[ID-CARTEVOIE]],Tableau2[ID-CARTEVOIE],0))&amp;""</f>
        <v>6B</v>
      </c>
      <c r="AN1166" s="74" t="str">
        <f>Tableau3[[#This Row],[ID-API]]&amp;Tableau3[[#This Row],[ID-RACK]]&amp;Tableau3[[#This Row],[ID-SLOT]]&amp;Tableau3[[#This Row],[BORNE]]</f>
        <v>7186B</v>
      </c>
      <c r="AO1166" s="1"/>
    </row>
    <row r="1167" spans="1:41" ht="20.100000000000001" customHeight="1" thickTop="1" thickBot="1">
      <c r="A1167" s="68"/>
      <c r="B1167" s="69" t="str">
        <f>IFERROR(INDEX(Tableau4[Date],MATCH($A1167,Tableau4[EVO],0)),"")</f>
        <v/>
      </c>
      <c r="C1167" s="68" t="str">
        <f>IFERROR(INDEX(Tableau4[Designation],MATCH($A1167,Tableau4[EVO],0)),"")</f>
        <v/>
      </c>
      <c r="D1167" s="68"/>
      <c r="E1167" s="70">
        <v>251</v>
      </c>
      <c r="F1167" s="71">
        <v>82</v>
      </c>
      <c r="G1167" s="101" t="str">
        <f>INDEX(Tableau8[Att1],MATCH(Tableau3[[#This Row],[ID-INS]],Tableau8[ID],0))&amp;""</f>
        <v>V4</v>
      </c>
      <c r="H1167" s="101" t="str">
        <f>INDEX(Tableau8[Att2],MATCH(Tableau3[[#This Row],[ID-INS]],Tableau8[ID],0))&amp;""</f>
        <v>BH11</v>
      </c>
      <c r="I1167" s="101" t="str">
        <f>INDEX(Tableau8[Att3],MATCH(Tableau3[[#This Row],[ID-INS]],Tableau8[ID],0))&amp;""</f>
        <v>Barrière BH11</v>
      </c>
      <c r="J1167" s="101"/>
      <c r="K1167" s="167" t="str">
        <f>INDEX(Tableau8[Nom du modele],MATCH(Tableau3[[#This Row],[ID-INS]],Tableau8[ID],0))&amp;""</f>
        <v>BarriereHerse_2</v>
      </c>
      <c r="L1167" s="99" t="str">
        <f>INDEX(Tableau5[Att1],MATCH(Tableau3[[#This Row],[ID-SIG]],Tableau5[ID],0))&amp;""</f>
        <v>FerRet2</v>
      </c>
      <c r="M1167" s="99" t="str">
        <f>INDEX(Tableau5[Att2],MATCH(Tableau3[[#This Row],[ID-SIG]],Tableau5[ID],0))&amp;""</f>
        <v/>
      </c>
      <c r="N1167" s="99" t="str">
        <f>INDEX(Tableau5[Att3],MATCH(Tableau3[[#This Row],[ID-SIG]],Tableau5[ID],0))&amp;""</f>
        <v/>
      </c>
      <c r="O1167" s="99"/>
      <c r="P1167" s="99" t="str">
        <f>INDEX(Tableau5[Description],MATCH(Tableau3[[#This Row],[ID-SIG]],Tableau5[ID],0))</f>
        <v>Retour Commande 2 fermeture</v>
      </c>
      <c r="Q1167" s="99"/>
      <c r="R1167" s="103" t="str">
        <f>Tableau3[[#This Row],[Description]]</f>
        <v>Retour Commande 2 fermeture</v>
      </c>
      <c r="U1167" s="87">
        <v>7</v>
      </c>
      <c r="V1167" s="87">
        <v>1</v>
      </c>
      <c r="W1167" s="87">
        <v>8</v>
      </c>
      <c r="X1167" s="87">
        <v>13</v>
      </c>
      <c r="Y1167" s="40"/>
      <c r="Z1167" s="165" t="str">
        <f>INDEX(Tableau2[TS],MATCH(Tableau3[[#This Row],[ID-CARTEVOIE]],Tableau2[ID-CARTEVOIE],0))</f>
        <v>ET</v>
      </c>
      <c r="AA1167" s="53" t="s">
        <v>213</v>
      </c>
      <c r="AB1167" s="223" t="str">
        <f>IFERROR(INDEX(Tableau5[Reserve],MATCH(Tableau3[[#This Row],[ID-SIG]],Tableau5[ID],0))&amp;"","")</f>
        <v/>
      </c>
      <c r="AC1167" s="21"/>
      <c r="AD1167" s="108" t="str">
        <f>INDEX(Tableau7[Repere],MATCH(Tableau3[[#This Row],[ID-API]],Tableau7[ID-API],0))&amp;""</f>
        <v>A7</v>
      </c>
      <c r="AE1167" s="108" t="str">
        <f>INDEX(Tableau1[Repere-Rack],MATCH(Tableau3[[#This Row],[ID-RACK]],Tableau1[ID-RACK],0))&amp;""</f>
        <v>R1</v>
      </c>
      <c r="AF1167" s="108" t="str">
        <f>INDEX(Tableau1[Repere-Slot],MATCH(Tableau3[[#This Row],[ID-SLOT]],Tableau1[ID-SLOT],0))&amp;""</f>
        <v>S8</v>
      </c>
      <c r="AG1167" s="108" t="str">
        <f>INDEX(Tableau2[Repere-Voie],MATCH(Tableau3[[#This Row],[ID-VOIE]],Tableau2[ID-Voie],0))&amp;""</f>
        <v>v13</v>
      </c>
      <c r="AH1167" s="72" t="str">
        <f>Tableau3[[#This Row],[ID-API]]&amp; "." &amp;Tableau3[[#This Row],[ID-RACK]]&amp; "." &amp;Tableau3[[#This Row],[ID-SLOT]]</f>
        <v>7.1.8</v>
      </c>
      <c r="AI1167" s="72" t="str">
        <f>INDEX(Tableau1[Ref-Carte],MATCH(Tableau3[[#This Row],[ID-RRS]],Tableau1[ID-RRS],0))</f>
        <v>SDI1602</v>
      </c>
      <c r="AJ1167" s="72" t="str">
        <f t="array" ref="AJ1167">IFERROR(INDEX(Tableau2[TS],MATCH(1,(Tableau2[Ref-Carte]=Tableau3[[#This Row],[Ref-Carte2]])*(Tableau2[ID-Voie]=Tableau3[[#This Row],[ID-VOIE]]),0)),"")</f>
        <v>ET</v>
      </c>
      <c r="AK1167" s="72" t="str">
        <f>IFERROR(INDEX(Tableau2[TS],SUMPRODUCT((Tableau2[Ref-Carte]=Tableau3[[#This Row],[Ref-Carte2]])*(Tableau2[ID-Voie]=Tableau3[[#This Row],[ID-VOIE]])*ROW(Tableau2[TS]))-ROW(Tableau2[#Headers])),"")</f>
        <v>ET</v>
      </c>
      <c r="AL1167" s="72" t="str">
        <f>Tableau3[[#This Row],[Ref-Carte2]]&amp;"/"&amp;Tableau3[[#This Row],[ID-VOIE]]</f>
        <v>SDI1602/13</v>
      </c>
      <c r="AM1167" s="73" t="str">
        <f>INDEX(Tableau2[Borne],MATCH(Tableau3[[#This Row],[ID-CARTEVOIE]],Tableau2[ID-CARTEVOIE],0))&amp;""</f>
        <v>6A</v>
      </c>
      <c r="AN1167" s="74" t="str">
        <f>Tableau3[[#This Row],[ID-API]]&amp;Tableau3[[#This Row],[ID-RACK]]&amp;Tableau3[[#This Row],[ID-SLOT]]&amp;Tableau3[[#This Row],[BORNE]]</f>
        <v>7186A</v>
      </c>
      <c r="AO1167" s="1"/>
    </row>
    <row r="1168" spans="1:41" ht="20.100000000000001" customHeight="1" thickTop="1" thickBot="1">
      <c r="A1168" s="68"/>
      <c r="B1168" s="69" t="str">
        <f>IFERROR(INDEX(Tableau4[Date],MATCH($A1168,Tableau4[EVO],0)),"")</f>
        <v/>
      </c>
      <c r="C1168" s="68" t="str">
        <f>IFERROR(INDEX(Tableau4[Designation],MATCH($A1168,Tableau4[EVO],0)),"")</f>
        <v/>
      </c>
      <c r="D1168" s="68"/>
      <c r="E1168" s="70">
        <v>251</v>
      </c>
      <c r="F1168" s="71">
        <v>83</v>
      </c>
      <c r="G1168" s="101" t="str">
        <f>INDEX(Tableau8[Att1],MATCH(Tableau3[[#This Row],[ID-INS]],Tableau8[ID],0))&amp;""</f>
        <v>V4</v>
      </c>
      <c r="H1168" s="101" t="str">
        <f>INDEX(Tableau8[Att2],MATCH(Tableau3[[#This Row],[ID-INS]],Tableau8[ID],0))&amp;""</f>
        <v>BH11</v>
      </c>
      <c r="I1168" s="101" t="str">
        <f>INDEX(Tableau8[Att3],MATCH(Tableau3[[#This Row],[ID-INS]],Tableau8[ID],0))&amp;""</f>
        <v>Barrière BH11</v>
      </c>
      <c r="J1168" s="101"/>
      <c r="K1168" s="167" t="str">
        <f>INDEX(Tableau8[Nom du modele],MATCH(Tableau3[[#This Row],[ID-INS]],Tableau8[ID],0))&amp;""</f>
        <v>BarriereHerse_2</v>
      </c>
      <c r="L1168" s="99" t="str">
        <f>INDEX(Tableau5[Att1],MATCH(Tableau3[[#This Row],[ID-SIG]],Tableau5[ID],0))&amp;""</f>
        <v>Fer1</v>
      </c>
      <c r="M1168" s="99" t="str">
        <f>INDEX(Tableau5[Att2],MATCH(Tableau3[[#This Row],[ID-SIG]],Tableau5[ID],0))&amp;""</f>
        <v/>
      </c>
      <c r="N1168" s="99" t="str">
        <f>INDEX(Tableau5[Att3],MATCH(Tableau3[[#This Row],[ID-SIG]],Tableau5[ID],0))&amp;""</f>
        <v/>
      </c>
      <c r="O1168" s="99"/>
      <c r="P1168" s="99" t="str">
        <f>INDEX(Tableau5[Description],MATCH(Tableau3[[#This Row],[ID-SIG]],Tableau5[ID],0))</f>
        <v xml:space="preserve">Position 1 fermée </v>
      </c>
      <c r="Q1168" s="99"/>
      <c r="R1168" s="103" t="str">
        <f>Tableau3[[#This Row],[Description]]</f>
        <v xml:space="preserve">Position 1 fermée </v>
      </c>
      <c r="U1168" s="87">
        <v>7</v>
      </c>
      <c r="V1168" s="87">
        <v>1</v>
      </c>
      <c r="W1168" s="87">
        <v>8</v>
      </c>
      <c r="X1168" s="87">
        <v>14</v>
      </c>
      <c r="Y1168" s="40"/>
      <c r="Z1168" s="165" t="str">
        <f>INDEX(Tableau2[TS],MATCH(Tableau3[[#This Row],[ID-CARTEVOIE]],Tableau2[ID-CARTEVOIE],0))</f>
        <v>ET</v>
      </c>
      <c r="AA1168" s="53" t="s">
        <v>213</v>
      </c>
      <c r="AB1168" s="223" t="str">
        <f>IFERROR(INDEX(Tableau5[Reserve],MATCH(Tableau3[[#This Row],[ID-SIG]],Tableau5[ID],0))&amp;"","")</f>
        <v/>
      </c>
      <c r="AC1168" s="21"/>
      <c r="AD1168" s="108" t="str">
        <f>INDEX(Tableau7[Repere],MATCH(Tableau3[[#This Row],[ID-API]],Tableau7[ID-API],0))&amp;""</f>
        <v>A7</v>
      </c>
      <c r="AE1168" s="108" t="str">
        <f>INDEX(Tableau1[Repere-Rack],MATCH(Tableau3[[#This Row],[ID-RACK]],Tableau1[ID-RACK],0))&amp;""</f>
        <v>R1</v>
      </c>
      <c r="AF1168" s="108" t="str">
        <f>INDEX(Tableau1[Repere-Slot],MATCH(Tableau3[[#This Row],[ID-SLOT]],Tableau1[ID-SLOT],0))&amp;""</f>
        <v>S8</v>
      </c>
      <c r="AG1168" s="108" t="str">
        <f>INDEX(Tableau2[Repere-Voie],MATCH(Tableau3[[#This Row],[ID-VOIE]],Tableau2[ID-Voie],0))&amp;""</f>
        <v>v14</v>
      </c>
      <c r="AH1168" s="72" t="str">
        <f>Tableau3[[#This Row],[ID-API]]&amp; "." &amp;Tableau3[[#This Row],[ID-RACK]]&amp; "." &amp;Tableau3[[#This Row],[ID-SLOT]]</f>
        <v>7.1.8</v>
      </c>
      <c r="AI1168" s="72" t="str">
        <f>INDEX(Tableau1[Ref-Carte],MATCH(Tableau3[[#This Row],[ID-RRS]],Tableau1[ID-RRS],0))</f>
        <v>SDI1602</v>
      </c>
      <c r="AJ1168" s="72" t="str">
        <f t="array" ref="AJ1168">IFERROR(INDEX(Tableau2[TS],MATCH(1,(Tableau2[Ref-Carte]=Tableau3[[#This Row],[Ref-Carte2]])*(Tableau2[ID-Voie]=Tableau3[[#This Row],[ID-VOIE]]),0)),"")</f>
        <v>ET</v>
      </c>
      <c r="AK1168" s="72" t="str">
        <f>IFERROR(INDEX(Tableau2[TS],SUMPRODUCT((Tableau2[Ref-Carte]=Tableau3[[#This Row],[Ref-Carte2]])*(Tableau2[ID-Voie]=Tableau3[[#This Row],[ID-VOIE]])*ROW(Tableau2[TS]))-ROW(Tableau2[#Headers])),"")</f>
        <v>ET</v>
      </c>
      <c r="AL1168" s="72" t="str">
        <f>Tableau3[[#This Row],[Ref-Carte2]]&amp;"/"&amp;Tableau3[[#This Row],[ID-VOIE]]</f>
        <v>SDI1602/14</v>
      </c>
      <c r="AM1168" s="73" t="str">
        <f>INDEX(Tableau2[Borne],MATCH(Tableau3[[#This Row],[ID-CARTEVOIE]],Tableau2[ID-CARTEVOIE],0))&amp;""</f>
        <v>7B</v>
      </c>
      <c r="AN1168" s="74" t="str">
        <f>Tableau3[[#This Row],[ID-API]]&amp;Tableau3[[#This Row],[ID-RACK]]&amp;Tableau3[[#This Row],[ID-SLOT]]&amp;Tableau3[[#This Row],[BORNE]]</f>
        <v>7187B</v>
      </c>
      <c r="AO1168" s="1"/>
    </row>
    <row r="1169" spans="1:41" ht="20.100000000000001" customHeight="1" thickTop="1" thickBot="1">
      <c r="A1169" s="68"/>
      <c r="B1169" s="69" t="str">
        <f>IFERROR(INDEX(Tableau4[Date],MATCH($A1169,Tableau4[EVO],0)),"")</f>
        <v/>
      </c>
      <c r="C1169" s="68" t="str">
        <f>IFERROR(INDEX(Tableau4[Designation],MATCH($A1169,Tableau4[EVO],0)),"")</f>
        <v/>
      </c>
      <c r="D1169" s="68"/>
      <c r="E1169" s="70">
        <v>253</v>
      </c>
      <c r="F1169" s="71">
        <v>97</v>
      </c>
      <c r="G1169" s="101" t="str">
        <f>INDEX(Tableau8[Att1],MATCH(Tableau3[[#This Row],[ID-INS]],Tableau8[ID],0))&amp;""</f>
        <v>V4</v>
      </c>
      <c r="H1169" s="101" t="str">
        <f>INDEX(Tableau8[Att2],MATCH(Tableau3[[#This Row],[ID-INS]],Tableau8[ID],0))&amp;""</f>
        <v>AVB1</v>
      </c>
      <c r="I1169" s="101" t="str">
        <f>INDEX(Tableau8[Att3],MATCH(Tableau3[[#This Row],[ID-INS]],Tableau8[ID],0))&amp;""</f>
        <v>Anti-belier AVB1</v>
      </c>
      <c r="J1169" s="101"/>
      <c r="K1169" s="167" t="str">
        <f>INDEX(Tableau8[Nom du modele],MATCH(Tableau3[[#This Row],[ID-INS]],Tableau8[ID],0))&amp;""</f>
        <v>AVB_2</v>
      </c>
      <c r="L1169" s="99" t="str">
        <f>INDEX(Tableau5[Att1],MATCH(Tableau3[[#This Row],[ID-SIG]],Tableau5[ID],0))&amp;""</f>
        <v>MontRet2</v>
      </c>
      <c r="M1169" s="99" t="str">
        <f>INDEX(Tableau5[Att2],MATCH(Tableau3[[#This Row],[ID-SIG]],Tableau5[ID],0))&amp;""</f>
        <v/>
      </c>
      <c r="N1169" s="99" t="str">
        <f>INDEX(Tableau5[Att3],MATCH(Tableau3[[#This Row],[ID-SIG]],Tableau5[ID],0))&amp;""</f>
        <v/>
      </c>
      <c r="O1169" s="99"/>
      <c r="P1169" s="99" t="str">
        <f>INDEX(Tableau5[Description],MATCH(Tableau3[[#This Row],[ID-SIG]],Tableau5[ID],0))</f>
        <v>Retour Commande 2 monter</v>
      </c>
      <c r="Q1169" s="99"/>
      <c r="R1169" s="103" t="str">
        <f>Tableau3[[#This Row],[Description]]</f>
        <v>Retour Commande 2 monter</v>
      </c>
      <c r="U1169" s="87">
        <v>7</v>
      </c>
      <c r="V1169" s="87">
        <v>1</v>
      </c>
      <c r="W1169" s="87">
        <v>8</v>
      </c>
      <c r="X1169" s="87">
        <v>15</v>
      </c>
      <c r="Y1169" s="40"/>
      <c r="Z1169" s="165" t="str">
        <f>INDEX(Tableau2[TS],MATCH(Tableau3[[#This Row],[ID-CARTEVOIE]],Tableau2[ID-CARTEVOIE],0))</f>
        <v>ET</v>
      </c>
      <c r="AA1169" s="53" t="s">
        <v>213</v>
      </c>
      <c r="AB1169" s="223" t="str">
        <f>IFERROR(INDEX(Tableau5[Reserve],MATCH(Tableau3[[#This Row],[ID-SIG]],Tableau5[ID],0))&amp;"","")</f>
        <v/>
      </c>
      <c r="AC1169" s="21"/>
      <c r="AD1169" s="108" t="str">
        <f>INDEX(Tableau7[Repere],MATCH(Tableau3[[#This Row],[ID-API]],Tableau7[ID-API],0))&amp;""</f>
        <v>A7</v>
      </c>
      <c r="AE1169" s="108" t="str">
        <f>INDEX(Tableau1[Repere-Rack],MATCH(Tableau3[[#This Row],[ID-RACK]],Tableau1[ID-RACK],0))&amp;""</f>
        <v>R1</v>
      </c>
      <c r="AF1169" s="108" t="str">
        <f>INDEX(Tableau1[Repere-Slot],MATCH(Tableau3[[#This Row],[ID-SLOT]],Tableau1[ID-SLOT],0))&amp;""</f>
        <v>S8</v>
      </c>
      <c r="AG1169" s="108" t="str">
        <f>INDEX(Tableau2[Repere-Voie],MATCH(Tableau3[[#This Row],[ID-VOIE]],Tableau2[ID-Voie],0))&amp;""</f>
        <v>v15</v>
      </c>
      <c r="AH1169" s="72" t="str">
        <f>Tableau3[[#This Row],[ID-API]]&amp; "." &amp;Tableau3[[#This Row],[ID-RACK]]&amp; "." &amp;Tableau3[[#This Row],[ID-SLOT]]</f>
        <v>7.1.8</v>
      </c>
      <c r="AI1169" s="72" t="str">
        <f>INDEX(Tableau1[Ref-Carte],MATCH(Tableau3[[#This Row],[ID-RRS]],Tableau1[ID-RRS],0))</f>
        <v>SDI1602</v>
      </c>
      <c r="AJ1169" s="72" t="str">
        <f t="array" ref="AJ1169">IFERROR(INDEX(Tableau2[TS],MATCH(1,(Tableau2[Ref-Carte]=Tableau3[[#This Row],[Ref-Carte2]])*(Tableau2[ID-Voie]=Tableau3[[#This Row],[ID-VOIE]]),0)),"")</f>
        <v>ET</v>
      </c>
      <c r="AK1169" s="72" t="str">
        <f>IFERROR(INDEX(Tableau2[TS],SUMPRODUCT((Tableau2[Ref-Carte]=Tableau3[[#This Row],[Ref-Carte2]])*(Tableau2[ID-Voie]=Tableau3[[#This Row],[ID-VOIE]])*ROW(Tableau2[TS]))-ROW(Tableau2[#Headers])),"")</f>
        <v>ET</v>
      </c>
      <c r="AL1169" s="72" t="str">
        <f>Tableau3[[#This Row],[Ref-Carte2]]&amp;"/"&amp;Tableau3[[#This Row],[ID-VOIE]]</f>
        <v>SDI1602/15</v>
      </c>
      <c r="AM1169" s="73" t="str">
        <f>INDEX(Tableau2[Borne],MATCH(Tableau3[[#This Row],[ID-CARTEVOIE]],Tableau2[ID-CARTEVOIE],0))&amp;""</f>
        <v>7A</v>
      </c>
      <c r="AN1169" s="74" t="str">
        <f>Tableau3[[#This Row],[ID-API]]&amp;Tableau3[[#This Row],[ID-RACK]]&amp;Tableau3[[#This Row],[ID-SLOT]]&amp;Tableau3[[#This Row],[BORNE]]</f>
        <v>7187A</v>
      </c>
      <c r="AO1169" s="1"/>
    </row>
    <row r="1170" spans="1:41" ht="20.100000000000001" customHeight="1" thickTop="1" thickBot="1">
      <c r="A1170" s="68"/>
      <c r="B1170" s="69" t="str">
        <f>IFERROR(INDEX(Tableau4[Date],MATCH($A1170,Tableau4[EVO],0)),"")</f>
        <v/>
      </c>
      <c r="C1170" s="68" t="str">
        <f>IFERROR(INDEX(Tableau4[Designation],MATCH($A1170,Tableau4[EVO],0)),"")</f>
        <v/>
      </c>
      <c r="D1170" s="68"/>
      <c r="E1170" s="70">
        <v>253</v>
      </c>
      <c r="F1170" s="71">
        <v>98</v>
      </c>
      <c r="G1170" s="101" t="str">
        <f>INDEX(Tableau8[Att1],MATCH(Tableau3[[#This Row],[ID-INS]],Tableau8[ID],0))&amp;""</f>
        <v>V4</v>
      </c>
      <c r="H1170" s="101" t="str">
        <f>INDEX(Tableau8[Att2],MATCH(Tableau3[[#This Row],[ID-INS]],Tableau8[ID],0))&amp;""</f>
        <v>AVB1</v>
      </c>
      <c r="I1170" s="101" t="str">
        <f>INDEX(Tableau8[Att3],MATCH(Tableau3[[#This Row],[ID-INS]],Tableau8[ID],0))&amp;""</f>
        <v>Anti-belier AVB1</v>
      </c>
      <c r="J1170" s="101"/>
      <c r="K1170" s="167" t="str">
        <f>INDEX(Tableau8[Nom du modele],MATCH(Tableau3[[#This Row],[ID-INS]],Tableau8[ID],0))&amp;""</f>
        <v>AVB_2</v>
      </c>
      <c r="L1170" s="99" t="str">
        <f>INDEX(Tableau5[Att1],MATCH(Tableau3[[#This Row],[ID-SIG]],Tableau5[ID],0))&amp;""</f>
        <v>Montee1</v>
      </c>
      <c r="M1170" s="99" t="str">
        <f>INDEX(Tableau5[Att2],MATCH(Tableau3[[#This Row],[ID-SIG]],Tableau5[ID],0))&amp;""</f>
        <v/>
      </c>
      <c r="N1170" s="99" t="str">
        <f>INDEX(Tableau5[Att3],MATCH(Tableau3[[#This Row],[ID-SIG]],Tableau5[ID],0))&amp;""</f>
        <v/>
      </c>
      <c r="O1170" s="99"/>
      <c r="P1170" s="99" t="str">
        <f>INDEX(Tableau5[Description],MATCH(Tableau3[[#This Row],[ID-SIG]],Tableau5[ID],0))</f>
        <v>Position 1 montée</v>
      </c>
      <c r="Q1170" s="99"/>
      <c r="R1170" s="103" t="str">
        <f>Tableau3[[#This Row],[Description]]</f>
        <v>Position 1 montée</v>
      </c>
      <c r="U1170" s="87">
        <v>7</v>
      </c>
      <c r="V1170" s="87">
        <v>1</v>
      </c>
      <c r="W1170" s="87">
        <v>9</v>
      </c>
      <c r="X1170" s="87">
        <v>0</v>
      </c>
      <c r="Y1170" s="40"/>
      <c r="Z1170" s="165" t="str">
        <f>INDEX(Tableau2[TS],MATCH(Tableau3[[#This Row],[ID-CARTEVOIE]],Tableau2[ID-CARTEVOIE],0))</f>
        <v>ET</v>
      </c>
      <c r="AA1170" s="53" t="s">
        <v>213</v>
      </c>
      <c r="AB1170" s="223" t="str">
        <f>IFERROR(INDEX(Tableau5[Reserve],MATCH(Tableau3[[#This Row],[ID-SIG]],Tableau5[ID],0))&amp;"","")</f>
        <v/>
      </c>
      <c r="AC1170" s="21"/>
      <c r="AD1170" s="108" t="str">
        <f>INDEX(Tableau7[Repere],MATCH(Tableau3[[#This Row],[ID-API]],Tableau7[ID-API],0))&amp;""</f>
        <v>A7</v>
      </c>
      <c r="AE1170" s="108" t="str">
        <f>INDEX(Tableau1[Repere-Rack],MATCH(Tableau3[[#This Row],[ID-RACK]],Tableau1[ID-RACK],0))&amp;""</f>
        <v>R1</v>
      </c>
      <c r="AF1170" s="108" t="str">
        <f>INDEX(Tableau1[Repere-Slot],MATCH(Tableau3[[#This Row],[ID-SLOT]],Tableau1[ID-SLOT],0))&amp;""</f>
        <v>S9</v>
      </c>
      <c r="AG1170" s="108" t="str">
        <f>INDEX(Tableau2[Repere-Voie],MATCH(Tableau3[[#This Row],[ID-VOIE]],Tableau2[ID-Voie],0))&amp;""</f>
        <v>v0</v>
      </c>
      <c r="AH1170" s="72" t="str">
        <f>Tableau3[[#This Row],[ID-API]]&amp; "." &amp;Tableau3[[#This Row],[ID-RACK]]&amp; "." &amp;Tableau3[[#This Row],[ID-SLOT]]</f>
        <v>7.1.9</v>
      </c>
      <c r="AI1170" s="72" t="str">
        <f>INDEX(Tableau1[Ref-Carte],MATCH(Tableau3[[#This Row],[ID-RRS]],Tableau1[ID-RRS],0))</f>
        <v>SDI1602</v>
      </c>
      <c r="AJ1170" s="72" t="str">
        <f t="array" ref="AJ1170">IFERROR(INDEX(Tableau2[TS],MATCH(1,(Tableau2[Ref-Carte]=Tableau3[[#This Row],[Ref-Carte2]])*(Tableau2[ID-Voie]=Tableau3[[#This Row],[ID-VOIE]]),0)),"")</f>
        <v>ET</v>
      </c>
      <c r="AK1170" s="72" t="str">
        <f>IFERROR(INDEX(Tableau2[TS],SUMPRODUCT((Tableau2[Ref-Carte]=Tableau3[[#This Row],[Ref-Carte2]])*(Tableau2[ID-Voie]=Tableau3[[#This Row],[ID-VOIE]])*ROW(Tableau2[TS]))-ROW(Tableau2[#Headers])),"")</f>
        <v>ET</v>
      </c>
      <c r="AL1170" s="72" t="str">
        <f>Tableau3[[#This Row],[Ref-Carte2]]&amp;"/"&amp;Tableau3[[#This Row],[ID-VOIE]]</f>
        <v>SDI1602/0</v>
      </c>
      <c r="AM1170" s="73" t="str">
        <f>INDEX(Tableau2[Borne],MATCH(Tableau3[[#This Row],[ID-CARTEVOIE]],Tableau2[ID-CARTEVOIE],0))&amp;""</f>
        <v>0B</v>
      </c>
      <c r="AN1170" s="74" t="str">
        <f>Tableau3[[#This Row],[ID-API]]&amp;Tableau3[[#This Row],[ID-RACK]]&amp;Tableau3[[#This Row],[ID-SLOT]]&amp;Tableau3[[#This Row],[BORNE]]</f>
        <v>7190B</v>
      </c>
      <c r="AO1170" s="1"/>
    </row>
    <row r="1171" spans="1:41" ht="20.100000000000001" customHeight="1" thickTop="1" thickBot="1">
      <c r="A1171" s="110"/>
      <c r="B1171" s="111" t="str">
        <f>IFERROR(INDEX(Tableau4[Date],MATCH($A1171,Tableau4[EVO],0)),"")</f>
        <v/>
      </c>
      <c r="C1171" s="112" t="str">
        <f>IFERROR(INDEX(Tableau4[Designation],MATCH($A1171,Tableau4[EVO],0)),"")</f>
        <v/>
      </c>
      <c r="D1171" s="110"/>
      <c r="E1171" s="113">
        <v>257</v>
      </c>
      <c r="F1171" s="114">
        <v>242</v>
      </c>
      <c r="G1171" s="115" t="str">
        <f>INDEX(Tableau8[Att1],MATCH(Tableau3[[#This Row],[ID-INS]],Tableau8[ID],0))&amp;""</f>
        <v>V4</v>
      </c>
      <c r="H1171" s="115" t="str">
        <f>INDEX(Tableau8[Att2],MATCH(Tableau3[[#This Row],[ID-INS]],Tableau8[ID],0))&amp;""</f>
        <v>P3</v>
      </c>
      <c r="I1171" s="115" t="str">
        <f>INDEX(Tableau8[Att3],MATCH(Tableau3[[#This Row],[ID-INS]],Tableau8[ID],0))&amp;""</f>
        <v>Portail P3</v>
      </c>
      <c r="J1171" s="102"/>
      <c r="K1171" s="167" t="str">
        <f>INDEX(Tableau8[Nom du modele],MATCH(Tableau3[[#This Row],[ID-INS]],Tableau8[ID],0))&amp;""</f>
        <v>PortailR2V_2</v>
      </c>
      <c r="L1171" s="116" t="str">
        <f>INDEX(Tableau5[Att1],MATCH(Tableau3[[#This Row],[ID-SIG]],Tableau5[ID],0))&amp;""</f>
        <v>Vx_GacheOuv2</v>
      </c>
      <c r="M1171" s="116" t="str">
        <f>INDEX(Tableau5[Att2],MATCH(Tableau3[[#This Row],[ID-SIG]],Tableau5[ID],0))&amp;""</f>
        <v/>
      </c>
      <c r="N1171" s="116" t="str">
        <f>INDEX(Tableau5[Att3],MATCH(Tableau3[[#This Row],[ID-SIG]],Tableau5[ID],0))&amp;""</f>
        <v/>
      </c>
      <c r="O1171" s="100"/>
      <c r="P1171" s="116" t="str">
        <f>INDEX(Tableau5[Description],MATCH(Tableau3[[#This Row],[ID-SIG]],Tableau5[ID],0))</f>
        <v>Fdc ouvert 2 gâche</v>
      </c>
      <c r="Q1171" s="100"/>
      <c r="R1171" s="117" t="str">
        <f>Tableau3[[#This Row],[Description]]</f>
        <v>Fdc ouvert 2 gâche</v>
      </c>
      <c r="U1171" s="88">
        <v>7</v>
      </c>
      <c r="V1171" s="88">
        <v>1</v>
      </c>
      <c r="W1171" s="88">
        <v>9</v>
      </c>
      <c r="X1171" s="88">
        <v>1</v>
      </c>
      <c r="Y1171" s="40"/>
      <c r="Z1171" s="166" t="str">
        <f>INDEX(Tableau2[TS],MATCH(Tableau3[[#This Row],[ID-CARTEVOIE]],Tableau2[ID-CARTEVOIE],0))</f>
        <v>ET</v>
      </c>
      <c r="AA1171" s="118" t="s">
        <v>213</v>
      </c>
      <c r="AB1171" s="225" t="str">
        <f>IFERROR(INDEX(Tableau5[Reserve],MATCH(Tableau3[[#This Row],[ID-SIG]],Tableau5[ID],0))&amp;"","")</f>
        <v/>
      </c>
      <c r="AC1171" s="119"/>
      <c r="AD1171" s="120" t="str">
        <f>INDEX(Tableau7[Repere],MATCH(Tableau3[[#This Row],[ID-API]],Tableau7[ID-API],0))&amp;""</f>
        <v>A7</v>
      </c>
      <c r="AE1171" s="121" t="str">
        <f>INDEX(Tableau1[Repere-Rack],MATCH(Tableau3[[#This Row],[ID-RACK]],Tableau1[ID-RACK],0))&amp;""</f>
        <v>R1</v>
      </c>
      <c r="AF1171" s="121" t="str">
        <f>INDEX(Tableau1[Repere-Slot],MATCH(Tableau3[[#This Row],[ID-SLOT]],Tableau1[ID-SLOT],0))&amp;""</f>
        <v>S9</v>
      </c>
      <c r="AG1171" s="121" t="str">
        <f>INDEX(Tableau2[Repere-Voie],MATCH(Tableau3[[#This Row],[ID-VOIE]],Tableau2[ID-Voie],0))&amp;""</f>
        <v>v1</v>
      </c>
      <c r="AH1171" s="122" t="str">
        <f>Tableau3[[#This Row],[ID-API]]&amp; "." &amp;Tableau3[[#This Row],[ID-RACK]]&amp; "." &amp;Tableau3[[#This Row],[ID-SLOT]]</f>
        <v>7.1.9</v>
      </c>
      <c r="AI1171" s="72" t="str">
        <f>INDEX(Tableau1[Ref-Carte],MATCH(Tableau3[[#This Row],[ID-RRS]],Tableau1[ID-RRS],0))</f>
        <v>SDI1602</v>
      </c>
      <c r="AJ1171" s="72" t="str">
        <f t="array" ref="AJ1171">IFERROR(INDEX(Tableau2[TS],MATCH(1,(Tableau2[Ref-Carte]=Tableau3[[#This Row],[Ref-Carte2]])*(Tableau2[ID-Voie]=Tableau3[[#This Row],[ID-VOIE]]),0)),"")</f>
        <v>ET</v>
      </c>
      <c r="AK1171" s="72" t="str">
        <f>IFERROR(INDEX(Tableau2[TS],SUMPRODUCT((Tableau2[Ref-Carte]=Tableau3[[#This Row],[Ref-Carte2]])*(Tableau2[ID-Voie]=Tableau3[[#This Row],[ID-VOIE]])*ROW(Tableau2[TS]))-ROW(Tableau2[#Headers])),"")</f>
        <v>ET</v>
      </c>
      <c r="AL1171" s="122" t="str">
        <f>Tableau3[[#This Row],[Ref-Carte2]]&amp;"/"&amp;Tableau3[[#This Row],[ID-VOIE]]</f>
        <v>SDI1602/1</v>
      </c>
      <c r="AM1171" s="123" t="str">
        <f>INDEX(Tableau2[Borne],MATCH(Tableau3[[#This Row],[ID-CARTEVOIE]],Tableau2[ID-CARTEVOIE],0))&amp;""</f>
        <v>0A</v>
      </c>
      <c r="AN1171" s="124" t="str">
        <f>Tableau3[[#This Row],[ID-API]]&amp;Tableau3[[#This Row],[ID-RACK]]&amp;Tableau3[[#This Row],[ID-SLOT]]&amp;Tableau3[[#This Row],[BORNE]]</f>
        <v>7190A</v>
      </c>
      <c r="AO1171" s="125"/>
    </row>
    <row r="1172" spans="1:41" ht="20.100000000000001" customHeight="1" thickTop="1" thickBot="1">
      <c r="A1172" s="75"/>
      <c r="B1172" s="76" t="str">
        <f>IFERROR(INDEX(Tableau4[Date],MATCH($A1172,Tableau4[EVO],0)),"")</f>
        <v/>
      </c>
      <c r="C1172" s="75" t="str">
        <f>IFERROR(INDEX(Tableau4[Designation],MATCH($A1172,Tableau4[EVO],0)),"")</f>
        <v/>
      </c>
      <c r="D1172" s="75"/>
      <c r="E1172" s="79">
        <v>261</v>
      </c>
      <c r="F1172" s="80">
        <v>262</v>
      </c>
      <c r="G1172" s="102" t="str">
        <f>INDEX(Tableau8[Att1],MATCH(Tableau3[[#This Row],[ID-INS]],Tableau8[ID],0))&amp;""</f>
        <v>V4</v>
      </c>
      <c r="H1172" s="102" t="str">
        <f>INDEX(Tableau8[Att2],MATCH(Tableau3[[#This Row],[ID-INS]],Tableau8[ID],0))&amp;""</f>
        <v>P7</v>
      </c>
      <c r="I1172" s="102" t="str">
        <f>INDEX(Tableau8[Att3],MATCH(Tableau3[[#This Row],[ID-INS]],Tableau8[ID],0))&amp;""</f>
        <v>Portail P7</v>
      </c>
      <c r="J1172" s="102"/>
      <c r="K1172" s="167" t="str">
        <f>INDEX(Tableau8[Nom du modele],MATCH(Tableau3[[#This Row],[ID-INS]],Tableau8[ID],0))&amp;""</f>
        <v>PortailBleuElec_2</v>
      </c>
      <c r="L1172" s="100" t="str">
        <f>INDEX(Tableau5[Att1],MATCH(Tableau3[[#This Row],[ID-SIG]],Tableau5[ID],0))&amp;""</f>
        <v>V_FerRet2</v>
      </c>
      <c r="M1172" s="100" t="str">
        <f>INDEX(Tableau5[Att2],MATCH(Tableau3[[#This Row],[ID-SIG]],Tableau5[ID],0))&amp;""</f>
        <v/>
      </c>
      <c r="N1172" s="100" t="str">
        <f>INDEX(Tableau5[Att3],MATCH(Tableau3[[#This Row],[ID-SIG]],Tableau5[ID],0))&amp;""</f>
        <v/>
      </c>
      <c r="O1172" s="100"/>
      <c r="P1172" s="100" t="str">
        <f>INDEX(Tableau5[Description],MATCH(Tableau3[[#This Row],[ID-SIG]],Tableau5[ID],0))</f>
        <v>Retour Commande 2 fermeture</v>
      </c>
      <c r="Q1172" s="100"/>
      <c r="R1172" s="104" t="str">
        <f>Tableau3[[#This Row],[Description]]</f>
        <v>Retour Commande 2 fermeture</v>
      </c>
      <c r="U1172" s="88">
        <v>7</v>
      </c>
      <c r="V1172" s="88">
        <v>1</v>
      </c>
      <c r="W1172" s="88">
        <v>9</v>
      </c>
      <c r="X1172" s="88">
        <v>2</v>
      </c>
      <c r="Y1172" s="40"/>
      <c r="Z1172" s="166" t="str">
        <f>INDEX(Tableau2[TS],MATCH(Tableau3[[#This Row],[ID-CARTEVOIE]],Tableau2[ID-CARTEVOIE],0))</f>
        <v>ET</v>
      </c>
      <c r="AA1172" s="81" t="s">
        <v>213</v>
      </c>
      <c r="AB1172" s="226" t="str">
        <f>IFERROR(INDEX(Tableau5[Reserve],MATCH(Tableau3[[#This Row],[ID-SIG]],Tableau5[ID],0))&amp;"","")</f>
        <v/>
      </c>
      <c r="AC1172" s="21"/>
      <c r="AD1172" s="108" t="str">
        <f>INDEX(Tableau7[Repere],MATCH(Tableau3[[#This Row],[ID-API]],Tableau7[ID-API],0))&amp;""</f>
        <v>A7</v>
      </c>
      <c r="AE1172" s="109" t="str">
        <f>INDEX(Tableau1[Repere-Rack],MATCH(Tableau3[[#This Row],[ID-RACK]],Tableau1[ID-RACK],0))&amp;""</f>
        <v>R1</v>
      </c>
      <c r="AF1172" s="109" t="str">
        <f>INDEX(Tableau1[Repere-Slot],MATCH(Tableau3[[#This Row],[ID-SLOT]],Tableau1[ID-SLOT],0))&amp;""</f>
        <v>S9</v>
      </c>
      <c r="AG1172" s="109" t="str">
        <f>INDEX(Tableau2[Repere-Voie],MATCH(Tableau3[[#This Row],[ID-VOIE]],Tableau2[ID-Voie],0))&amp;""</f>
        <v>v2</v>
      </c>
      <c r="AH1172" s="72" t="str">
        <f>Tableau3[[#This Row],[ID-API]]&amp; "." &amp;Tableau3[[#This Row],[ID-RACK]]&amp; "." &amp;Tableau3[[#This Row],[ID-SLOT]]</f>
        <v>7.1.9</v>
      </c>
      <c r="AI1172" s="72" t="str">
        <f>INDEX(Tableau1[Ref-Carte],MATCH(Tableau3[[#This Row],[ID-RRS]],Tableau1[ID-RRS],0))</f>
        <v>SDI1602</v>
      </c>
      <c r="AJ1172" s="72" t="str">
        <f t="array" ref="AJ1172">IFERROR(INDEX(Tableau2[TS],MATCH(1,(Tableau2[Ref-Carte]=Tableau3[[#This Row],[Ref-Carte2]])*(Tableau2[ID-Voie]=Tableau3[[#This Row],[ID-VOIE]]),0)),"")</f>
        <v>ET</v>
      </c>
      <c r="AK1172" s="72" t="str">
        <f>IFERROR(INDEX(Tableau2[TS],SUMPRODUCT((Tableau2[Ref-Carte]=Tableau3[[#This Row],[Ref-Carte2]])*(Tableau2[ID-Voie]=Tableau3[[#This Row],[ID-VOIE]])*ROW(Tableau2[TS]))-ROW(Tableau2[#Headers])),"")</f>
        <v>ET</v>
      </c>
      <c r="AL1172" s="72" t="str">
        <f>Tableau3[[#This Row],[Ref-Carte2]]&amp;"/"&amp;Tableau3[[#This Row],[ID-VOIE]]</f>
        <v>SDI1602/2</v>
      </c>
      <c r="AM1172" s="77" t="str">
        <f>INDEX(Tableau2[Borne],MATCH(Tableau3[[#This Row],[ID-CARTEVOIE]],Tableau2[ID-CARTEVOIE],0))&amp;""</f>
        <v>1B</v>
      </c>
      <c r="AN1172" s="74" t="str">
        <f>Tableau3[[#This Row],[ID-API]]&amp;Tableau3[[#This Row],[ID-RACK]]&amp;Tableau3[[#This Row],[ID-SLOT]]&amp;Tableau3[[#This Row],[BORNE]]</f>
        <v>7191B</v>
      </c>
      <c r="AO1172" s="1"/>
    </row>
    <row r="1173" spans="1:41" ht="20.100000000000001" customHeight="1" thickTop="1" thickBot="1">
      <c r="A1173" s="75"/>
      <c r="B1173" s="76" t="str">
        <f>IFERROR(INDEX(Tableau4[Date],MATCH($A1173,Tableau4[EVO],0)),"")</f>
        <v/>
      </c>
      <c r="C1173" s="75" t="str">
        <f>IFERROR(INDEX(Tableau4[Designation],MATCH($A1173,Tableau4[EVO],0)),"")</f>
        <v/>
      </c>
      <c r="D1173" s="75"/>
      <c r="E1173" s="79">
        <v>261</v>
      </c>
      <c r="F1173" s="80">
        <v>263</v>
      </c>
      <c r="G1173" s="102" t="str">
        <f>INDEX(Tableau8[Att1],MATCH(Tableau3[[#This Row],[ID-INS]],Tableau8[ID],0))&amp;""</f>
        <v>V4</v>
      </c>
      <c r="H1173" s="102" t="str">
        <f>INDEX(Tableau8[Att2],MATCH(Tableau3[[#This Row],[ID-INS]],Tableau8[ID],0))&amp;""</f>
        <v>P7</v>
      </c>
      <c r="I1173" s="102" t="str">
        <f>INDEX(Tableau8[Att3],MATCH(Tableau3[[#This Row],[ID-INS]],Tableau8[ID],0))&amp;""</f>
        <v>Portail P7</v>
      </c>
      <c r="J1173" s="102"/>
      <c r="K1173" s="167" t="str">
        <f>INDEX(Tableau8[Nom du modele],MATCH(Tableau3[[#This Row],[ID-INS]],Tableau8[ID],0))&amp;""</f>
        <v>PortailBleuElec_2</v>
      </c>
      <c r="L1173" s="150" t="s">
        <v>1681</v>
      </c>
      <c r="M1173" s="100" t="str">
        <f>INDEX(Tableau5[Att2],MATCH(Tableau3[[#This Row],[ID-SIG]],Tableau5[ID],0))&amp;""</f>
        <v/>
      </c>
      <c r="N1173" s="100" t="str">
        <f>INDEX(Tableau5[Att3],MATCH(Tableau3[[#This Row],[ID-SIG]],Tableau5[ID],0))&amp;""</f>
        <v/>
      </c>
      <c r="O1173" s="100"/>
      <c r="P1173" s="150" t="s">
        <v>1736</v>
      </c>
      <c r="Q1173" s="100"/>
      <c r="R1173" s="104" t="str">
        <f>Tableau3[[#This Row],[Description]]</f>
        <v>Portail P7 - Entrée Réserve 2</v>
      </c>
      <c r="U1173" s="88">
        <v>7</v>
      </c>
      <c r="V1173" s="88">
        <v>1</v>
      </c>
      <c r="W1173" s="88">
        <v>9</v>
      </c>
      <c r="X1173" s="88">
        <v>3</v>
      </c>
      <c r="Y1173" s="40"/>
      <c r="Z1173" s="166" t="str">
        <f>INDEX(Tableau2[TS],MATCH(Tableau3[[#This Row],[ID-CARTEVOIE]],Tableau2[ID-CARTEVOIE],0))</f>
        <v>ET</v>
      </c>
      <c r="AA1173" s="81" t="s">
        <v>213</v>
      </c>
      <c r="AB1173" s="226" t="str">
        <f>IFERROR(INDEX(Tableau5[Reserve],MATCH(Tableau3[[#This Row],[ID-SIG]],Tableau5[ID],0))&amp;"","")</f>
        <v/>
      </c>
      <c r="AC1173" s="21"/>
      <c r="AD1173" s="108" t="str">
        <f>INDEX(Tableau7[Repere],MATCH(Tableau3[[#This Row],[ID-API]],Tableau7[ID-API],0))&amp;""</f>
        <v>A7</v>
      </c>
      <c r="AE1173" s="109" t="str">
        <f>INDEX(Tableau1[Repere-Rack],MATCH(Tableau3[[#This Row],[ID-RACK]],Tableau1[ID-RACK],0))&amp;""</f>
        <v>R1</v>
      </c>
      <c r="AF1173" s="109" t="str">
        <f>INDEX(Tableau1[Repere-Slot],MATCH(Tableau3[[#This Row],[ID-SLOT]],Tableau1[ID-SLOT],0))&amp;""</f>
        <v>S9</v>
      </c>
      <c r="AG1173" s="109" t="str">
        <f>INDEX(Tableau2[Repere-Voie],MATCH(Tableau3[[#This Row],[ID-VOIE]],Tableau2[ID-Voie],0))&amp;""</f>
        <v>v3</v>
      </c>
      <c r="AH1173" s="72" t="str">
        <f>Tableau3[[#This Row],[ID-API]]&amp; "." &amp;Tableau3[[#This Row],[ID-RACK]]&amp; "." &amp;Tableau3[[#This Row],[ID-SLOT]]</f>
        <v>7.1.9</v>
      </c>
      <c r="AI1173" s="72" t="str">
        <f>INDEX(Tableau1[Ref-Carte],MATCH(Tableau3[[#This Row],[ID-RRS]],Tableau1[ID-RRS],0))</f>
        <v>SDI1602</v>
      </c>
      <c r="AJ1173" s="72" t="str">
        <f t="array" ref="AJ1173">IFERROR(INDEX(Tableau2[TS],MATCH(1,(Tableau2[Ref-Carte]=Tableau3[[#This Row],[Ref-Carte2]])*(Tableau2[ID-Voie]=Tableau3[[#This Row],[ID-VOIE]]),0)),"")</f>
        <v>ET</v>
      </c>
      <c r="AK1173" s="72" t="str">
        <f>IFERROR(INDEX(Tableau2[TS],SUMPRODUCT((Tableau2[Ref-Carte]=Tableau3[[#This Row],[Ref-Carte2]])*(Tableau2[ID-Voie]=Tableau3[[#This Row],[ID-VOIE]])*ROW(Tableau2[TS]))-ROW(Tableau2[#Headers])),"")</f>
        <v>ET</v>
      </c>
      <c r="AL1173" s="72" t="str">
        <f>Tableau3[[#This Row],[Ref-Carte2]]&amp;"/"&amp;Tableau3[[#This Row],[ID-VOIE]]</f>
        <v>SDI1602/3</v>
      </c>
      <c r="AM1173" s="77" t="str">
        <f>INDEX(Tableau2[Borne],MATCH(Tableau3[[#This Row],[ID-CARTEVOIE]],Tableau2[ID-CARTEVOIE],0))&amp;""</f>
        <v>1A</v>
      </c>
      <c r="AN1173" s="74" t="str">
        <f>Tableau3[[#This Row],[ID-API]]&amp;Tableau3[[#This Row],[ID-RACK]]&amp;Tableau3[[#This Row],[ID-SLOT]]&amp;Tableau3[[#This Row],[BORNE]]</f>
        <v>7191A</v>
      </c>
      <c r="AO1173" s="1"/>
    </row>
    <row r="1174" spans="1:41" ht="20.100000000000001" customHeight="1" thickTop="1" thickBot="1">
      <c r="A1174" s="75"/>
      <c r="B1174" s="76" t="str">
        <f>IFERROR(INDEX(Tableau4[Date],MATCH($A1174,Tableau4[EVO],0)),"")</f>
        <v/>
      </c>
      <c r="C1174" s="75" t="str">
        <f>IFERROR(INDEX(Tableau4[Designation],MATCH($A1174,Tableau4[EVO],0)),"")</f>
        <v/>
      </c>
      <c r="D1174" s="75"/>
      <c r="E1174" s="79">
        <v>261</v>
      </c>
      <c r="F1174" s="80">
        <v>264</v>
      </c>
      <c r="G1174" s="102" t="str">
        <f>INDEX(Tableau8[Att1],MATCH(Tableau3[[#This Row],[ID-INS]],Tableau8[ID],0))&amp;""</f>
        <v>V4</v>
      </c>
      <c r="H1174" s="102" t="str">
        <f>INDEX(Tableau8[Att2],MATCH(Tableau3[[#This Row],[ID-INS]],Tableau8[ID],0))&amp;""</f>
        <v>P7</v>
      </c>
      <c r="I1174" s="102" t="str">
        <f>INDEX(Tableau8[Att3],MATCH(Tableau3[[#This Row],[ID-INS]],Tableau8[ID],0))&amp;""</f>
        <v>Portail P7</v>
      </c>
      <c r="J1174" s="102"/>
      <c r="K1174" s="167" t="str">
        <f>INDEX(Tableau8[Nom du modele],MATCH(Tableau3[[#This Row],[ID-INS]],Tableau8[ID],0))&amp;""</f>
        <v>PortailBleuElec_2</v>
      </c>
      <c r="L1174" s="100" t="str">
        <f>INDEX(Tableau5[Att1],MATCH(Tableau3[[#This Row],[ID-SIG]],Tableau5[ID],0))&amp;""</f>
        <v>V_Fer2</v>
      </c>
      <c r="M1174" s="100" t="str">
        <f>INDEX(Tableau5[Att2],MATCH(Tableau3[[#This Row],[ID-SIG]],Tableau5[ID],0))&amp;""</f>
        <v/>
      </c>
      <c r="N1174" s="100" t="str">
        <f>INDEX(Tableau5[Att3],MATCH(Tableau3[[#This Row],[ID-SIG]],Tableau5[ID],0))&amp;""</f>
        <v/>
      </c>
      <c r="O1174" s="100"/>
      <c r="P1174" s="100" t="str">
        <f>INDEX(Tableau5[Description],MATCH(Tableau3[[#This Row],[ID-SIG]],Tableau5[ID],0))</f>
        <v>Vantail en fdc fermé 2</v>
      </c>
      <c r="Q1174" s="100"/>
      <c r="R1174" s="104" t="str">
        <f>Tableau3[[#This Row],[Description]]</f>
        <v>Vantail en fdc fermé 2</v>
      </c>
      <c r="U1174" s="88">
        <v>7</v>
      </c>
      <c r="V1174" s="88">
        <v>1</v>
      </c>
      <c r="W1174" s="88">
        <v>9</v>
      </c>
      <c r="X1174" s="88">
        <v>4</v>
      </c>
      <c r="Y1174" s="40"/>
      <c r="Z1174" s="166" t="str">
        <f>INDEX(Tableau2[TS],MATCH(Tableau3[[#This Row],[ID-CARTEVOIE]],Tableau2[ID-CARTEVOIE],0))</f>
        <v>ET</v>
      </c>
      <c r="AA1174" s="81" t="s">
        <v>213</v>
      </c>
      <c r="AB1174" s="226" t="str">
        <f>IFERROR(INDEX(Tableau5[Reserve],MATCH(Tableau3[[#This Row],[ID-SIG]],Tableau5[ID],0))&amp;"","")</f>
        <v/>
      </c>
      <c r="AC1174" s="21"/>
      <c r="AD1174" s="108" t="str">
        <f>INDEX(Tableau7[Repere],MATCH(Tableau3[[#This Row],[ID-API]],Tableau7[ID-API],0))&amp;""</f>
        <v>A7</v>
      </c>
      <c r="AE1174" s="109" t="str">
        <f>INDEX(Tableau1[Repere-Rack],MATCH(Tableau3[[#This Row],[ID-RACK]],Tableau1[ID-RACK],0))&amp;""</f>
        <v>R1</v>
      </c>
      <c r="AF1174" s="109" t="str">
        <f>INDEX(Tableau1[Repere-Slot],MATCH(Tableau3[[#This Row],[ID-SLOT]],Tableau1[ID-SLOT],0))&amp;""</f>
        <v>S9</v>
      </c>
      <c r="AG1174" s="109" t="str">
        <f>INDEX(Tableau2[Repere-Voie],MATCH(Tableau3[[#This Row],[ID-VOIE]],Tableau2[ID-Voie],0))&amp;""</f>
        <v>v4</v>
      </c>
      <c r="AH1174" s="72" t="str">
        <f>Tableau3[[#This Row],[ID-API]]&amp; "." &amp;Tableau3[[#This Row],[ID-RACK]]&amp; "." &amp;Tableau3[[#This Row],[ID-SLOT]]</f>
        <v>7.1.9</v>
      </c>
      <c r="AI1174" s="72" t="str">
        <f>INDEX(Tableau1[Ref-Carte],MATCH(Tableau3[[#This Row],[ID-RRS]],Tableau1[ID-RRS],0))</f>
        <v>SDI1602</v>
      </c>
      <c r="AJ1174" s="72" t="str">
        <f t="array" ref="AJ1174">IFERROR(INDEX(Tableau2[TS],MATCH(1,(Tableau2[Ref-Carte]=Tableau3[[#This Row],[Ref-Carte2]])*(Tableau2[ID-Voie]=Tableau3[[#This Row],[ID-VOIE]]),0)),"")</f>
        <v>ET</v>
      </c>
      <c r="AK1174" s="72" t="str">
        <f>IFERROR(INDEX(Tableau2[TS],SUMPRODUCT((Tableau2[Ref-Carte]=Tableau3[[#This Row],[Ref-Carte2]])*(Tableau2[ID-Voie]=Tableau3[[#This Row],[ID-VOIE]])*ROW(Tableau2[TS]))-ROW(Tableau2[#Headers])),"")</f>
        <v>ET</v>
      </c>
      <c r="AL1174" s="72" t="str">
        <f>Tableau3[[#This Row],[Ref-Carte2]]&amp;"/"&amp;Tableau3[[#This Row],[ID-VOIE]]</f>
        <v>SDI1602/4</v>
      </c>
      <c r="AM1174" s="77" t="str">
        <f>INDEX(Tableau2[Borne],MATCH(Tableau3[[#This Row],[ID-CARTEVOIE]],Tableau2[ID-CARTEVOIE],0))&amp;""</f>
        <v>2B</v>
      </c>
      <c r="AN1174" s="74" t="str">
        <f>Tableau3[[#This Row],[ID-API]]&amp;Tableau3[[#This Row],[ID-RACK]]&amp;Tableau3[[#This Row],[ID-SLOT]]&amp;Tableau3[[#This Row],[BORNE]]</f>
        <v>7192B</v>
      </c>
      <c r="AO1174" s="1"/>
    </row>
    <row r="1175" spans="1:41" ht="20.100000000000001" customHeight="1" thickTop="1" thickBot="1">
      <c r="A1175" s="110"/>
      <c r="B1175" s="111" t="str">
        <f>IFERROR(INDEX(Tableau4[Date],MATCH($A1175,Tableau4[EVO],0)),"")</f>
        <v/>
      </c>
      <c r="C1175" s="112" t="str">
        <f>IFERROR(INDEX(Tableau4[Designation],MATCH($A1175,Tableau4[EVO],0)),"")</f>
        <v/>
      </c>
      <c r="D1175" s="110"/>
      <c r="E1175" s="113"/>
      <c r="F1175" s="146"/>
      <c r="G1175" s="147" t="e">
        <f>INDEX(Tableau8[Att1],MATCH(Tableau3[[#This Row],[ID-INS]],Tableau8[ID],0))&amp;""</f>
        <v>#N/A</v>
      </c>
      <c r="H1175" s="147" t="e">
        <f>INDEX(Tableau8[Att2],MATCH(Tableau3[[#This Row],[ID-INS]],Tableau8[ID],0))&amp;""</f>
        <v>#N/A</v>
      </c>
      <c r="I1175" s="147" t="e">
        <f>INDEX(Tableau8[Att3],MATCH(Tableau3[[#This Row],[ID-INS]],Tableau8[ID],0))&amp;""</f>
        <v>#N/A</v>
      </c>
      <c r="J1175" s="148"/>
      <c r="K1175" s="167" t="e">
        <f>INDEX(Tableau8[Nom du modele],MATCH(Tableau3[[#This Row],[ID-INS]],Tableau8[ID],0))&amp;""</f>
        <v>#N/A</v>
      </c>
      <c r="L1175" s="149" t="e">
        <f>INDEX(Tableau5[Att1],MATCH(Tableau3[[#This Row],[ID-SIG]],Tableau5[ID],0))&amp;""</f>
        <v>#N/A</v>
      </c>
      <c r="M1175" s="149" t="e">
        <f>INDEX(Tableau5[Att2],MATCH(Tableau3[[#This Row],[ID-SIG]],Tableau5[ID],0))&amp;""</f>
        <v>#N/A</v>
      </c>
      <c r="N1175" s="149" t="e">
        <f>INDEX(Tableau5[Att3],MATCH(Tableau3[[#This Row],[ID-SIG]],Tableau5[ID],0))&amp;""</f>
        <v>#N/A</v>
      </c>
      <c r="O1175" s="150"/>
      <c r="P1175" s="149" t="e">
        <f>INDEX(Tableau5[Description],MATCH(Tableau3[[#This Row],[ID-SIG]],Tableau5[ID],0))</f>
        <v>#N/A</v>
      </c>
      <c r="Q1175" s="150"/>
      <c r="R1175" s="117" t="e">
        <f>Tableau3[[#This Row],[Description]]</f>
        <v>#N/A</v>
      </c>
      <c r="S1175" s="75"/>
      <c r="T1175" s="75"/>
      <c r="U1175" s="88">
        <v>7</v>
      </c>
      <c r="V1175" s="88">
        <v>1</v>
      </c>
      <c r="W1175" s="88">
        <v>9</v>
      </c>
      <c r="X1175" s="88">
        <v>5</v>
      </c>
      <c r="Y1175" s="40"/>
      <c r="Z1175" s="166" t="str">
        <f>INDEX(Tableau2[TS],MATCH(Tableau3[[#This Row],[ID-CARTEVOIE]],Tableau2[ID-CARTEVOIE],0))</f>
        <v>ET</v>
      </c>
      <c r="AA1175" s="81" t="s">
        <v>213</v>
      </c>
      <c r="AB1175" s="226" t="str">
        <f>IFERROR(INDEX(Tableau5[Reserve],MATCH(Tableau3[[#This Row],[ID-SIG]],Tableau5[ID],0))&amp;"","")</f>
        <v/>
      </c>
      <c r="AC1175" s="119" t="s">
        <v>1456</v>
      </c>
      <c r="AD1175" s="120" t="str">
        <f>INDEX(Tableau7[Repere],MATCH(Tableau3[[#This Row],[ID-API]],Tableau7[ID-API],0))&amp;""</f>
        <v>A7</v>
      </c>
      <c r="AE1175" s="121" t="str">
        <f>INDEX(Tableau1[Repere-Rack],MATCH(Tableau3[[#This Row],[ID-RACK]],Tableau1[ID-RACK],0))&amp;""</f>
        <v>R1</v>
      </c>
      <c r="AF1175" s="121" t="str">
        <f>INDEX(Tableau1[Repere-Slot],MATCH(Tableau3[[#This Row],[ID-SLOT]],Tableau1[ID-SLOT],0))&amp;""</f>
        <v>S9</v>
      </c>
      <c r="AG1175" s="121" t="str">
        <f>INDEX(Tableau2[Repere-Voie],MATCH(Tableau3[[#This Row],[ID-VOIE]],Tableau2[ID-Voie],0))&amp;""</f>
        <v>v5</v>
      </c>
      <c r="AH1175" s="122" t="str">
        <f>Tableau3[[#This Row],[ID-API]]&amp; "." &amp;Tableau3[[#This Row],[ID-RACK]]&amp; "." &amp;Tableau3[[#This Row],[ID-SLOT]]</f>
        <v>7.1.9</v>
      </c>
      <c r="AI1175" s="72" t="str">
        <f>INDEX(Tableau1[Ref-Carte],MATCH(Tableau3[[#This Row],[ID-RRS]],Tableau1[ID-RRS],0))</f>
        <v>SDI1602</v>
      </c>
      <c r="AJ1175" s="72" t="str">
        <f t="array" ref="AJ1175">IFERROR(INDEX(Tableau2[TS],MATCH(1,(Tableau2[Ref-Carte]=Tableau3[[#This Row],[Ref-Carte2]])*(Tableau2[ID-Voie]=Tableau3[[#This Row],[ID-VOIE]]),0)),"")</f>
        <v>ET</v>
      </c>
      <c r="AK1175" s="72" t="str">
        <f>IFERROR(INDEX(Tableau2[TS],SUMPRODUCT((Tableau2[Ref-Carte]=Tableau3[[#This Row],[Ref-Carte2]])*(Tableau2[ID-Voie]=Tableau3[[#This Row],[ID-VOIE]])*ROW(Tableau2[TS]))-ROW(Tableau2[#Headers])),"")</f>
        <v>ET</v>
      </c>
      <c r="AL1175" s="122" t="str">
        <f>Tableau3[[#This Row],[Ref-Carte2]]&amp;"/"&amp;Tableau3[[#This Row],[ID-VOIE]]</f>
        <v>SDI1602/5</v>
      </c>
      <c r="AM1175" s="123" t="str">
        <f>INDEX(Tableau2[Borne],MATCH(Tableau3[[#This Row],[ID-CARTEVOIE]],Tableau2[ID-CARTEVOIE],0))&amp;""</f>
        <v>2A</v>
      </c>
      <c r="AN1175" s="124" t="str">
        <f>Tableau3[[#This Row],[ID-API]]&amp;Tableau3[[#This Row],[ID-RACK]]&amp;Tableau3[[#This Row],[ID-SLOT]]&amp;Tableau3[[#This Row],[BORNE]]</f>
        <v>7192A</v>
      </c>
      <c r="AO1175" s="125"/>
    </row>
    <row r="1176" spans="1:41" ht="20.100000000000001" customHeight="1" thickTop="1" thickBot="1">
      <c r="A1176" s="110"/>
      <c r="B1176" s="111" t="str">
        <f>IFERROR(INDEX(Tableau4[Date],MATCH($A1176,Tableau4[EVO],0)),"")</f>
        <v/>
      </c>
      <c r="C1176" s="112" t="str">
        <f>IFERROR(INDEX(Tableau4[Designation],MATCH($A1176,Tableau4[EVO],0)),"")</f>
        <v/>
      </c>
      <c r="D1176" s="110"/>
      <c r="E1176" s="113"/>
      <c r="F1176" s="146"/>
      <c r="G1176" s="147" t="e">
        <f>INDEX(Tableau8[Att1],MATCH(Tableau3[[#This Row],[ID-INS]],Tableau8[ID],0))&amp;""</f>
        <v>#N/A</v>
      </c>
      <c r="H1176" s="147" t="e">
        <f>INDEX(Tableau8[Att2],MATCH(Tableau3[[#This Row],[ID-INS]],Tableau8[ID],0))&amp;""</f>
        <v>#N/A</v>
      </c>
      <c r="I1176" s="147" t="e">
        <f>INDEX(Tableau8[Att3],MATCH(Tableau3[[#This Row],[ID-INS]],Tableau8[ID],0))&amp;""</f>
        <v>#N/A</v>
      </c>
      <c r="J1176" s="148"/>
      <c r="K1176" s="167" t="e">
        <f>INDEX(Tableau8[Nom du modele],MATCH(Tableau3[[#This Row],[ID-INS]],Tableau8[ID],0))&amp;""</f>
        <v>#N/A</v>
      </c>
      <c r="L1176" s="149" t="e">
        <f>INDEX(Tableau5[Att1],MATCH(Tableau3[[#This Row],[ID-SIG]],Tableau5[ID],0))&amp;""</f>
        <v>#N/A</v>
      </c>
      <c r="M1176" s="149" t="e">
        <f>INDEX(Tableau5[Att2],MATCH(Tableau3[[#This Row],[ID-SIG]],Tableau5[ID],0))&amp;""</f>
        <v>#N/A</v>
      </c>
      <c r="N1176" s="149" t="e">
        <f>INDEX(Tableau5[Att3],MATCH(Tableau3[[#This Row],[ID-SIG]],Tableau5[ID],0))&amp;""</f>
        <v>#N/A</v>
      </c>
      <c r="O1176" s="150"/>
      <c r="P1176" s="149" t="e">
        <f>INDEX(Tableau5[Description],MATCH(Tableau3[[#This Row],[ID-SIG]],Tableau5[ID],0))</f>
        <v>#N/A</v>
      </c>
      <c r="Q1176" s="150"/>
      <c r="R1176" s="117" t="e">
        <f>Tableau3[[#This Row],[Description]]</f>
        <v>#N/A</v>
      </c>
      <c r="S1176" s="75"/>
      <c r="T1176" s="75"/>
      <c r="U1176" s="88">
        <v>7</v>
      </c>
      <c r="V1176" s="88">
        <v>1</v>
      </c>
      <c r="W1176" s="88">
        <v>9</v>
      </c>
      <c r="X1176" s="88">
        <v>6</v>
      </c>
      <c r="Y1176" s="40"/>
      <c r="Z1176" s="166" t="str">
        <f>INDEX(Tableau2[TS],MATCH(Tableau3[[#This Row],[ID-CARTEVOIE]],Tableau2[ID-CARTEVOIE],0))</f>
        <v>ET</v>
      </c>
      <c r="AA1176" s="81" t="s">
        <v>213</v>
      </c>
      <c r="AB1176" s="226" t="str">
        <f>IFERROR(INDEX(Tableau5[Reserve],MATCH(Tableau3[[#This Row],[ID-SIG]],Tableau5[ID],0))&amp;"","")</f>
        <v/>
      </c>
      <c r="AC1176" s="119" t="s">
        <v>1456</v>
      </c>
      <c r="AD1176" s="120" t="str">
        <f>INDEX(Tableau7[Repere],MATCH(Tableau3[[#This Row],[ID-API]],Tableau7[ID-API],0))&amp;""</f>
        <v>A7</v>
      </c>
      <c r="AE1176" s="121" t="str">
        <f>INDEX(Tableau1[Repere-Rack],MATCH(Tableau3[[#This Row],[ID-RACK]],Tableau1[ID-RACK],0))&amp;""</f>
        <v>R1</v>
      </c>
      <c r="AF1176" s="121" t="str">
        <f>INDEX(Tableau1[Repere-Slot],MATCH(Tableau3[[#This Row],[ID-SLOT]],Tableau1[ID-SLOT],0))&amp;""</f>
        <v>S9</v>
      </c>
      <c r="AG1176" s="121" t="str">
        <f>INDEX(Tableau2[Repere-Voie],MATCH(Tableau3[[#This Row],[ID-VOIE]],Tableau2[ID-Voie],0))&amp;""</f>
        <v>v6</v>
      </c>
      <c r="AH1176" s="122" t="str">
        <f>Tableau3[[#This Row],[ID-API]]&amp; "." &amp;Tableau3[[#This Row],[ID-RACK]]&amp; "." &amp;Tableau3[[#This Row],[ID-SLOT]]</f>
        <v>7.1.9</v>
      </c>
      <c r="AI1176" s="72" t="str">
        <f>INDEX(Tableau1[Ref-Carte],MATCH(Tableau3[[#This Row],[ID-RRS]],Tableau1[ID-RRS],0))</f>
        <v>SDI1602</v>
      </c>
      <c r="AJ1176" s="72" t="str">
        <f t="array" ref="AJ1176">IFERROR(INDEX(Tableau2[TS],MATCH(1,(Tableau2[Ref-Carte]=Tableau3[[#This Row],[Ref-Carte2]])*(Tableau2[ID-Voie]=Tableau3[[#This Row],[ID-VOIE]]),0)),"")</f>
        <v>ET</v>
      </c>
      <c r="AK1176" s="72" t="str">
        <f>IFERROR(INDEX(Tableau2[TS],SUMPRODUCT((Tableau2[Ref-Carte]=Tableau3[[#This Row],[Ref-Carte2]])*(Tableau2[ID-Voie]=Tableau3[[#This Row],[ID-VOIE]])*ROW(Tableau2[TS]))-ROW(Tableau2[#Headers])),"")</f>
        <v>ET</v>
      </c>
      <c r="AL1176" s="122" t="str">
        <f>Tableau3[[#This Row],[Ref-Carte2]]&amp;"/"&amp;Tableau3[[#This Row],[ID-VOIE]]</f>
        <v>SDI1602/6</v>
      </c>
      <c r="AM1176" s="123" t="str">
        <f>INDEX(Tableau2[Borne],MATCH(Tableau3[[#This Row],[ID-CARTEVOIE]],Tableau2[ID-CARTEVOIE],0))&amp;""</f>
        <v>3B</v>
      </c>
      <c r="AN1176" s="124" t="str">
        <f>Tableau3[[#This Row],[ID-API]]&amp;Tableau3[[#This Row],[ID-RACK]]&amp;Tableau3[[#This Row],[ID-SLOT]]&amp;Tableau3[[#This Row],[BORNE]]</f>
        <v>7193B</v>
      </c>
      <c r="AO1176" s="125"/>
    </row>
    <row r="1177" spans="1:41" ht="20.100000000000001" customHeight="1" thickTop="1" thickBot="1">
      <c r="A1177" s="110"/>
      <c r="B1177" s="111" t="str">
        <f>IFERROR(INDEX(Tableau4[Date],MATCH($A1177,Tableau4[EVO],0)),"")</f>
        <v/>
      </c>
      <c r="C1177" s="112" t="str">
        <f>IFERROR(INDEX(Tableau4[Designation],MATCH($A1177,Tableau4[EVO],0)),"")</f>
        <v/>
      </c>
      <c r="D1177" s="110"/>
      <c r="E1177" s="113"/>
      <c r="F1177" s="146"/>
      <c r="G1177" s="147" t="e">
        <f>INDEX(Tableau8[Att1],MATCH(Tableau3[[#This Row],[ID-INS]],Tableau8[ID],0))&amp;""</f>
        <v>#N/A</v>
      </c>
      <c r="H1177" s="147" t="e">
        <f>INDEX(Tableau8[Att2],MATCH(Tableau3[[#This Row],[ID-INS]],Tableau8[ID],0))&amp;""</f>
        <v>#N/A</v>
      </c>
      <c r="I1177" s="147" t="e">
        <f>INDEX(Tableau8[Att3],MATCH(Tableau3[[#This Row],[ID-INS]],Tableau8[ID],0))&amp;""</f>
        <v>#N/A</v>
      </c>
      <c r="J1177" s="148"/>
      <c r="K1177" s="167" t="e">
        <f>INDEX(Tableau8[Nom du modele],MATCH(Tableau3[[#This Row],[ID-INS]],Tableau8[ID],0))&amp;""</f>
        <v>#N/A</v>
      </c>
      <c r="L1177" s="149" t="e">
        <f>INDEX(Tableau5[Att1],MATCH(Tableau3[[#This Row],[ID-SIG]],Tableau5[ID],0))&amp;""</f>
        <v>#N/A</v>
      </c>
      <c r="M1177" s="149" t="e">
        <f>INDEX(Tableau5[Att2],MATCH(Tableau3[[#This Row],[ID-SIG]],Tableau5[ID],0))&amp;""</f>
        <v>#N/A</v>
      </c>
      <c r="N1177" s="149" t="e">
        <f>INDEX(Tableau5[Att3],MATCH(Tableau3[[#This Row],[ID-SIG]],Tableau5[ID],0))&amp;""</f>
        <v>#N/A</v>
      </c>
      <c r="O1177" s="150"/>
      <c r="P1177" s="149" t="e">
        <f>INDEX(Tableau5[Description],MATCH(Tableau3[[#This Row],[ID-SIG]],Tableau5[ID],0))</f>
        <v>#N/A</v>
      </c>
      <c r="Q1177" s="150"/>
      <c r="R1177" s="117" t="e">
        <f>Tableau3[[#This Row],[Description]]</f>
        <v>#N/A</v>
      </c>
      <c r="S1177" s="75"/>
      <c r="T1177" s="75"/>
      <c r="U1177" s="88">
        <v>7</v>
      </c>
      <c r="V1177" s="88">
        <v>1</v>
      </c>
      <c r="W1177" s="88">
        <v>9</v>
      </c>
      <c r="X1177" s="88">
        <v>7</v>
      </c>
      <c r="Y1177" s="40"/>
      <c r="Z1177" s="166" t="str">
        <f>INDEX(Tableau2[TS],MATCH(Tableau3[[#This Row],[ID-CARTEVOIE]],Tableau2[ID-CARTEVOIE],0))</f>
        <v>ET</v>
      </c>
      <c r="AA1177" s="81" t="s">
        <v>213</v>
      </c>
      <c r="AB1177" s="226" t="str">
        <f>IFERROR(INDEX(Tableau5[Reserve],MATCH(Tableau3[[#This Row],[ID-SIG]],Tableau5[ID],0))&amp;"","")</f>
        <v/>
      </c>
      <c r="AC1177" s="119" t="s">
        <v>1456</v>
      </c>
      <c r="AD1177" s="120" t="str">
        <f>INDEX(Tableau7[Repere],MATCH(Tableau3[[#This Row],[ID-API]],Tableau7[ID-API],0))&amp;""</f>
        <v>A7</v>
      </c>
      <c r="AE1177" s="121" t="str">
        <f>INDEX(Tableau1[Repere-Rack],MATCH(Tableau3[[#This Row],[ID-RACK]],Tableau1[ID-RACK],0))&amp;""</f>
        <v>R1</v>
      </c>
      <c r="AF1177" s="121" t="str">
        <f>INDEX(Tableau1[Repere-Slot],MATCH(Tableau3[[#This Row],[ID-SLOT]],Tableau1[ID-SLOT],0))&amp;""</f>
        <v>S9</v>
      </c>
      <c r="AG1177" s="121" t="str">
        <f>INDEX(Tableau2[Repere-Voie],MATCH(Tableau3[[#This Row],[ID-VOIE]],Tableau2[ID-Voie],0))&amp;""</f>
        <v>v7</v>
      </c>
      <c r="AH1177" s="122" t="str">
        <f>Tableau3[[#This Row],[ID-API]]&amp; "." &amp;Tableau3[[#This Row],[ID-RACK]]&amp; "." &amp;Tableau3[[#This Row],[ID-SLOT]]</f>
        <v>7.1.9</v>
      </c>
      <c r="AI1177" s="72" t="str">
        <f>INDEX(Tableau1[Ref-Carte],MATCH(Tableau3[[#This Row],[ID-RRS]],Tableau1[ID-RRS],0))</f>
        <v>SDI1602</v>
      </c>
      <c r="AJ1177" s="72" t="str">
        <f t="array" ref="AJ1177">IFERROR(INDEX(Tableau2[TS],MATCH(1,(Tableau2[Ref-Carte]=Tableau3[[#This Row],[Ref-Carte2]])*(Tableau2[ID-Voie]=Tableau3[[#This Row],[ID-VOIE]]),0)),"")</f>
        <v>ET</v>
      </c>
      <c r="AK1177" s="72" t="str">
        <f>IFERROR(INDEX(Tableau2[TS],SUMPRODUCT((Tableau2[Ref-Carte]=Tableau3[[#This Row],[Ref-Carte2]])*(Tableau2[ID-Voie]=Tableau3[[#This Row],[ID-VOIE]])*ROW(Tableau2[TS]))-ROW(Tableau2[#Headers])),"")</f>
        <v>ET</v>
      </c>
      <c r="AL1177" s="122" t="str">
        <f>Tableau3[[#This Row],[Ref-Carte2]]&amp;"/"&amp;Tableau3[[#This Row],[ID-VOIE]]</f>
        <v>SDI1602/7</v>
      </c>
      <c r="AM1177" s="123" t="str">
        <f>INDEX(Tableau2[Borne],MATCH(Tableau3[[#This Row],[ID-CARTEVOIE]],Tableau2[ID-CARTEVOIE],0))&amp;""</f>
        <v>3A</v>
      </c>
      <c r="AN1177" s="124" t="str">
        <f>Tableau3[[#This Row],[ID-API]]&amp;Tableau3[[#This Row],[ID-RACK]]&amp;Tableau3[[#This Row],[ID-SLOT]]&amp;Tableau3[[#This Row],[BORNE]]</f>
        <v>7193A</v>
      </c>
      <c r="AO1177" s="125"/>
    </row>
    <row r="1178" spans="1:41" ht="20.100000000000001" customHeight="1" thickTop="1" thickBot="1">
      <c r="A1178" s="110"/>
      <c r="B1178" s="111" t="str">
        <f>IFERROR(INDEX(Tableau4[Date],MATCH($A1178,Tableau4[EVO],0)),"")</f>
        <v/>
      </c>
      <c r="C1178" s="112" t="str">
        <f>IFERROR(INDEX(Tableau4[Designation],MATCH($A1178,Tableau4[EVO],0)),"")</f>
        <v/>
      </c>
      <c r="D1178" s="110"/>
      <c r="E1178" s="113"/>
      <c r="F1178" s="146"/>
      <c r="G1178" s="147" t="e">
        <f>INDEX(Tableau8[Att1],MATCH(Tableau3[[#This Row],[ID-INS]],Tableau8[ID],0))&amp;""</f>
        <v>#N/A</v>
      </c>
      <c r="H1178" s="147" t="e">
        <f>INDEX(Tableau8[Att2],MATCH(Tableau3[[#This Row],[ID-INS]],Tableau8[ID],0))&amp;""</f>
        <v>#N/A</v>
      </c>
      <c r="I1178" s="147" t="e">
        <f>INDEX(Tableau8[Att3],MATCH(Tableau3[[#This Row],[ID-INS]],Tableau8[ID],0))&amp;""</f>
        <v>#N/A</v>
      </c>
      <c r="J1178" s="148"/>
      <c r="K1178" s="167" t="e">
        <f>INDEX(Tableau8[Nom du modele],MATCH(Tableau3[[#This Row],[ID-INS]],Tableau8[ID],0))&amp;""</f>
        <v>#N/A</v>
      </c>
      <c r="L1178" s="149" t="e">
        <f>INDEX(Tableau5[Att1],MATCH(Tableau3[[#This Row],[ID-SIG]],Tableau5[ID],0))&amp;""</f>
        <v>#N/A</v>
      </c>
      <c r="M1178" s="149" t="e">
        <f>INDEX(Tableau5[Att2],MATCH(Tableau3[[#This Row],[ID-SIG]],Tableau5[ID],0))&amp;""</f>
        <v>#N/A</v>
      </c>
      <c r="N1178" s="149" t="e">
        <f>INDEX(Tableau5[Att3],MATCH(Tableau3[[#This Row],[ID-SIG]],Tableau5[ID],0))&amp;""</f>
        <v>#N/A</v>
      </c>
      <c r="O1178" s="150"/>
      <c r="P1178" s="149" t="e">
        <f>INDEX(Tableau5[Description],MATCH(Tableau3[[#This Row],[ID-SIG]],Tableau5[ID],0))</f>
        <v>#N/A</v>
      </c>
      <c r="Q1178" s="150"/>
      <c r="R1178" s="117" t="e">
        <f>Tableau3[[#This Row],[Description]]</f>
        <v>#N/A</v>
      </c>
      <c r="S1178" s="75"/>
      <c r="T1178" s="75"/>
      <c r="U1178" s="88">
        <v>7</v>
      </c>
      <c r="V1178" s="88">
        <v>1</v>
      </c>
      <c r="W1178" s="88">
        <v>9</v>
      </c>
      <c r="X1178" s="88">
        <v>8</v>
      </c>
      <c r="Y1178" s="40"/>
      <c r="Z1178" s="166" t="str">
        <f>INDEX(Tableau2[TS],MATCH(Tableau3[[#This Row],[ID-CARTEVOIE]],Tableau2[ID-CARTEVOIE],0))</f>
        <v>ET</v>
      </c>
      <c r="AA1178" s="81" t="s">
        <v>213</v>
      </c>
      <c r="AB1178" s="226" t="str">
        <f>IFERROR(INDEX(Tableau5[Reserve],MATCH(Tableau3[[#This Row],[ID-SIG]],Tableau5[ID],0))&amp;"","")</f>
        <v/>
      </c>
      <c r="AC1178" s="119" t="s">
        <v>1456</v>
      </c>
      <c r="AD1178" s="120" t="str">
        <f>INDEX(Tableau7[Repere],MATCH(Tableau3[[#This Row],[ID-API]],Tableau7[ID-API],0))&amp;""</f>
        <v>A7</v>
      </c>
      <c r="AE1178" s="121" t="str">
        <f>INDEX(Tableau1[Repere-Rack],MATCH(Tableau3[[#This Row],[ID-RACK]],Tableau1[ID-RACK],0))&amp;""</f>
        <v>R1</v>
      </c>
      <c r="AF1178" s="121" t="str">
        <f>INDEX(Tableau1[Repere-Slot],MATCH(Tableau3[[#This Row],[ID-SLOT]],Tableau1[ID-SLOT],0))&amp;""</f>
        <v>S9</v>
      </c>
      <c r="AG1178" s="121" t="str">
        <f>INDEX(Tableau2[Repere-Voie],MATCH(Tableau3[[#This Row],[ID-VOIE]],Tableau2[ID-Voie],0))&amp;""</f>
        <v>v8</v>
      </c>
      <c r="AH1178" s="122" t="str">
        <f>Tableau3[[#This Row],[ID-API]]&amp; "." &amp;Tableau3[[#This Row],[ID-RACK]]&amp; "." &amp;Tableau3[[#This Row],[ID-SLOT]]</f>
        <v>7.1.9</v>
      </c>
      <c r="AI1178" s="72" t="str">
        <f>INDEX(Tableau1[Ref-Carte],MATCH(Tableau3[[#This Row],[ID-RRS]],Tableau1[ID-RRS],0))</f>
        <v>SDI1602</v>
      </c>
      <c r="AJ1178" s="72" t="str">
        <f t="array" ref="AJ1178">IFERROR(INDEX(Tableau2[TS],MATCH(1,(Tableau2[Ref-Carte]=Tableau3[[#This Row],[Ref-Carte2]])*(Tableau2[ID-Voie]=Tableau3[[#This Row],[ID-VOIE]]),0)),"")</f>
        <v>ET</v>
      </c>
      <c r="AK1178" s="72" t="str">
        <f>IFERROR(INDEX(Tableau2[TS],SUMPRODUCT((Tableau2[Ref-Carte]=Tableau3[[#This Row],[Ref-Carte2]])*(Tableau2[ID-Voie]=Tableau3[[#This Row],[ID-VOIE]])*ROW(Tableau2[TS]))-ROW(Tableau2[#Headers])),"")</f>
        <v>ET</v>
      </c>
      <c r="AL1178" s="122" t="str">
        <f>Tableau3[[#This Row],[Ref-Carte2]]&amp;"/"&amp;Tableau3[[#This Row],[ID-VOIE]]</f>
        <v>SDI1602/8</v>
      </c>
      <c r="AM1178" s="123" t="str">
        <f>INDEX(Tableau2[Borne],MATCH(Tableau3[[#This Row],[ID-CARTEVOIE]],Tableau2[ID-CARTEVOIE],0))&amp;""</f>
        <v>4B</v>
      </c>
      <c r="AN1178" s="124" t="str">
        <f>Tableau3[[#This Row],[ID-API]]&amp;Tableau3[[#This Row],[ID-RACK]]&amp;Tableau3[[#This Row],[ID-SLOT]]&amp;Tableau3[[#This Row],[BORNE]]</f>
        <v>7194B</v>
      </c>
      <c r="AO1178" s="125"/>
    </row>
    <row r="1179" spans="1:41" ht="20.100000000000001" customHeight="1" thickTop="1" thickBot="1">
      <c r="A1179" s="110"/>
      <c r="B1179" s="111" t="str">
        <f>IFERROR(INDEX(Tableau4[Date],MATCH($A1179,Tableau4[EVO],0)),"")</f>
        <v/>
      </c>
      <c r="C1179" s="112" t="str">
        <f>IFERROR(INDEX(Tableau4[Designation],MATCH($A1179,Tableau4[EVO],0)),"")</f>
        <v/>
      </c>
      <c r="D1179" s="110"/>
      <c r="E1179" s="113"/>
      <c r="F1179" s="146"/>
      <c r="G1179" s="147" t="e">
        <f>INDEX(Tableau8[Att1],MATCH(Tableau3[[#This Row],[ID-INS]],Tableau8[ID],0))&amp;""</f>
        <v>#N/A</v>
      </c>
      <c r="H1179" s="147" t="e">
        <f>INDEX(Tableau8[Att2],MATCH(Tableau3[[#This Row],[ID-INS]],Tableau8[ID],0))&amp;""</f>
        <v>#N/A</v>
      </c>
      <c r="I1179" s="147" t="e">
        <f>INDEX(Tableau8[Att3],MATCH(Tableau3[[#This Row],[ID-INS]],Tableau8[ID],0))&amp;""</f>
        <v>#N/A</v>
      </c>
      <c r="J1179" s="148"/>
      <c r="K1179" s="167" t="e">
        <f>INDEX(Tableau8[Nom du modele],MATCH(Tableau3[[#This Row],[ID-INS]],Tableau8[ID],0))&amp;""</f>
        <v>#N/A</v>
      </c>
      <c r="L1179" s="149" t="e">
        <f>INDEX(Tableau5[Att1],MATCH(Tableau3[[#This Row],[ID-SIG]],Tableau5[ID],0))&amp;""</f>
        <v>#N/A</v>
      </c>
      <c r="M1179" s="149" t="e">
        <f>INDEX(Tableau5[Att2],MATCH(Tableau3[[#This Row],[ID-SIG]],Tableau5[ID],0))&amp;""</f>
        <v>#N/A</v>
      </c>
      <c r="N1179" s="149" t="e">
        <f>INDEX(Tableau5[Att3],MATCH(Tableau3[[#This Row],[ID-SIG]],Tableau5[ID],0))&amp;""</f>
        <v>#N/A</v>
      </c>
      <c r="O1179" s="150"/>
      <c r="P1179" s="149" t="e">
        <f>INDEX(Tableau5[Description],MATCH(Tableau3[[#This Row],[ID-SIG]],Tableau5[ID],0))</f>
        <v>#N/A</v>
      </c>
      <c r="Q1179" s="150"/>
      <c r="R1179" s="117" t="e">
        <f>Tableau3[[#This Row],[Description]]</f>
        <v>#N/A</v>
      </c>
      <c r="S1179" s="75"/>
      <c r="T1179" s="75"/>
      <c r="U1179" s="88">
        <v>7</v>
      </c>
      <c r="V1179" s="88">
        <v>1</v>
      </c>
      <c r="W1179" s="88">
        <v>9</v>
      </c>
      <c r="X1179" s="88">
        <v>9</v>
      </c>
      <c r="Y1179" s="40"/>
      <c r="Z1179" s="166" t="str">
        <f>INDEX(Tableau2[TS],MATCH(Tableau3[[#This Row],[ID-CARTEVOIE]],Tableau2[ID-CARTEVOIE],0))</f>
        <v>ET</v>
      </c>
      <c r="AA1179" s="81" t="s">
        <v>213</v>
      </c>
      <c r="AB1179" s="226" t="str">
        <f>IFERROR(INDEX(Tableau5[Reserve],MATCH(Tableau3[[#This Row],[ID-SIG]],Tableau5[ID],0))&amp;"","")</f>
        <v/>
      </c>
      <c r="AC1179" s="119" t="s">
        <v>1456</v>
      </c>
      <c r="AD1179" s="120" t="str">
        <f>INDEX(Tableau7[Repere],MATCH(Tableau3[[#This Row],[ID-API]],Tableau7[ID-API],0))&amp;""</f>
        <v>A7</v>
      </c>
      <c r="AE1179" s="121" t="str">
        <f>INDEX(Tableau1[Repere-Rack],MATCH(Tableau3[[#This Row],[ID-RACK]],Tableau1[ID-RACK],0))&amp;""</f>
        <v>R1</v>
      </c>
      <c r="AF1179" s="121" t="str">
        <f>INDEX(Tableau1[Repere-Slot],MATCH(Tableau3[[#This Row],[ID-SLOT]],Tableau1[ID-SLOT],0))&amp;""</f>
        <v>S9</v>
      </c>
      <c r="AG1179" s="121" t="str">
        <f>INDEX(Tableau2[Repere-Voie],MATCH(Tableau3[[#This Row],[ID-VOIE]],Tableau2[ID-Voie],0))&amp;""</f>
        <v>v9</v>
      </c>
      <c r="AH1179" s="122" t="str">
        <f>Tableau3[[#This Row],[ID-API]]&amp; "." &amp;Tableau3[[#This Row],[ID-RACK]]&amp; "." &amp;Tableau3[[#This Row],[ID-SLOT]]</f>
        <v>7.1.9</v>
      </c>
      <c r="AI1179" s="72" t="str">
        <f>INDEX(Tableau1[Ref-Carte],MATCH(Tableau3[[#This Row],[ID-RRS]],Tableau1[ID-RRS],0))</f>
        <v>SDI1602</v>
      </c>
      <c r="AJ1179" s="72" t="str">
        <f t="array" ref="AJ1179">IFERROR(INDEX(Tableau2[TS],MATCH(1,(Tableau2[Ref-Carte]=Tableau3[[#This Row],[Ref-Carte2]])*(Tableau2[ID-Voie]=Tableau3[[#This Row],[ID-VOIE]]),0)),"")</f>
        <v>ET</v>
      </c>
      <c r="AK1179" s="72" t="str">
        <f>IFERROR(INDEX(Tableau2[TS],SUMPRODUCT((Tableau2[Ref-Carte]=Tableau3[[#This Row],[Ref-Carte2]])*(Tableau2[ID-Voie]=Tableau3[[#This Row],[ID-VOIE]])*ROW(Tableau2[TS]))-ROW(Tableau2[#Headers])),"")</f>
        <v>ET</v>
      </c>
      <c r="AL1179" s="122" t="str">
        <f>Tableau3[[#This Row],[Ref-Carte2]]&amp;"/"&amp;Tableau3[[#This Row],[ID-VOIE]]</f>
        <v>SDI1602/9</v>
      </c>
      <c r="AM1179" s="123" t="str">
        <f>INDEX(Tableau2[Borne],MATCH(Tableau3[[#This Row],[ID-CARTEVOIE]],Tableau2[ID-CARTEVOIE],0))&amp;""</f>
        <v>4A</v>
      </c>
      <c r="AN1179" s="124" t="str">
        <f>Tableau3[[#This Row],[ID-API]]&amp;Tableau3[[#This Row],[ID-RACK]]&amp;Tableau3[[#This Row],[ID-SLOT]]&amp;Tableau3[[#This Row],[BORNE]]</f>
        <v>7194A</v>
      </c>
      <c r="AO1179" s="125"/>
    </row>
    <row r="1180" spans="1:41" ht="20.100000000000001" customHeight="1" thickTop="1" thickBot="1">
      <c r="A1180" s="110"/>
      <c r="B1180" s="111" t="str">
        <f>IFERROR(INDEX(Tableau4[Date],MATCH($A1180,Tableau4[EVO],0)),"")</f>
        <v/>
      </c>
      <c r="C1180" s="112" t="str">
        <f>IFERROR(INDEX(Tableau4[Designation],MATCH($A1180,Tableau4[EVO],0)),"")</f>
        <v/>
      </c>
      <c r="D1180" s="110"/>
      <c r="E1180" s="113"/>
      <c r="F1180" s="146"/>
      <c r="G1180" s="147" t="e">
        <f>INDEX(Tableau8[Att1],MATCH(Tableau3[[#This Row],[ID-INS]],Tableau8[ID],0))&amp;""</f>
        <v>#N/A</v>
      </c>
      <c r="H1180" s="147" t="e">
        <f>INDEX(Tableau8[Att2],MATCH(Tableau3[[#This Row],[ID-INS]],Tableau8[ID],0))&amp;""</f>
        <v>#N/A</v>
      </c>
      <c r="I1180" s="147" t="e">
        <f>INDEX(Tableau8[Att3],MATCH(Tableau3[[#This Row],[ID-INS]],Tableau8[ID],0))&amp;""</f>
        <v>#N/A</v>
      </c>
      <c r="J1180" s="148"/>
      <c r="K1180" s="167" t="e">
        <f>INDEX(Tableau8[Nom du modele],MATCH(Tableau3[[#This Row],[ID-INS]],Tableau8[ID],0))&amp;""</f>
        <v>#N/A</v>
      </c>
      <c r="L1180" s="149" t="e">
        <f>INDEX(Tableau5[Att1],MATCH(Tableau3[[#This Row],[ID-SIG]],Tableau5[ID],0))&amp;""</f>
        <v>#N/A</v>
      </c>
      <c r="M1180" s="149" t="e">
        <f>INDEX(Tableau5[Att2],MATCH(Tableau3[[#This Row],[ID-SIG]],Tableau5[ID],0))&amp;""</f>
        <v>#N/A</v>
      </c>
      <c r="N1180" s="149" t="e">
        <f>INDEX(Tableau5[Att3],MATCH(Tableau3[[#This Row],[ID-SIG]],Tableau5[ID],0))&amp;""</f>
        <v>#N/A</v>
      </c>
      <c r="O1180" s="150"/>
      <c r="P1180" s="149" t="e">
        <f>INDEX(Tableau5[Description],MATCH(Tableau3[[#This Row],[ID-SIG]],Tableau5[ID],0))</f>
        <v>#N/A</v>
      </c>
      <c r="Q1180" s="150"/>
      <c r="R1180" s="117" t="e">
        <f>Tableau3[[#This Row],[Description]]</f>
        <v>#N/A</v>
      </c>
      <c r="S1180" s="75"/>
      <c r="T1180" s="75"/>
      <c r="U1180" s="88">
        <v>7</v>
      </c>
      <c r="V1180" s="88">
        <v>1</v>
      </c>
      <c r="W1180" s="88">
        <v>9</v>
      </c>
      <c r="X1180" s="88">
        <v>10</v>
      </c>
      <c r="Y1180" s="40"/>
      <c r="Z1180" s="166" t="str">
        <f>INDEX(Tableau2[TS],MATCH(Tableau3[[#This Row],[ID-CARTEVOIE]],Tableau2[ID-CARTEVOIE],0))</f>
        <v>ET</v>
      </c>
      <c r="AA1180" s="81" t="s">
        <v>213</v>
      </c>
      <c r="AB1180" s="226" t="str">
        <f>IFERROR(INDEX(Tableau5[Reserve],MATCH(Tableau3[[#This Row],[ID-SIG]],Tableau5[ID],0))&amp;"","")</f>
        <v/>
      </c>
      <c r="AC1180" s="119" t="s">
        <v>1456</v>
      </c>
      <c r="AD1180" s="120" t="str">
        <f>INDEX(Tableau7[Repere],MATCH(Tableau3[[#This Row],[ID-API]],Tableau7[ID-API],0))&amp;""</f>
        <v>A7</v>
      </c>
      <c r="AE1180" s="121" t="str">
        <f>INDEX(Tableau1[Repere-Rack],MATCH(Tableau3[[#This Row],[ID-RACK]],Tableau1[ID-RACK],0))&amp;""</f>
        <v>R1</v>
      </c>
      <c r="AF1180" s="121" t="str">
        <f>INDEX(Tableau1[Repere-Slot],MATCH(Tableau3[[#This Row],[ID-SLOT]],Tableau1[ID-SLOT],0))&amp;""</f>
        <v>S9</v>
      </c>
      <c r="AG1180" s="121" t="str">
        <f>INDEX(Tableau2[Repere-Voie],MATCH(Tableau3[[#This Row],[ID-VOIE]],Tableau2[ID-Voie],0))&amp;""</f>
        <v>v10</v>
      </c>
      <c r="AH1180" s="122" t="str">
        <f>Tableau3[[#This Row],[ID-API]]&amp; "." &amp;Tableau3[[#This Row],[ID-RACK]]&amp; "." &amp;Tableau3[[#This Row],[ID-SLOT]]</f>
        <v>7.1.9</v>
      </c>
      <c r="AI1180" s="72" t="str">
        <f>INDEX(Tableau1[Ref-Carte],MATCH(Tableau3[[#This Row],[ID-RRS]],Tableau1[ID-RRS],0))</f>
        <v>SDI1602</v>
      </c>
      <c r="AJ1180" s="72" t="str">
        <f t="array" ref="AJ1180">IFERROR(INDEX(Tableau2[TS],MATCH(1,(Tableau2[Ref-Carte]=Tableau3[[#This Row],[Ref-Carte2]])*(Tableau2[ID-Voie]=Tableau3[[#This Row],[ID-VOIE]]),0)),"")</f>
        <v>ET</v>
      </c>
      <c r="AK1180" s="72" t="str">
        <f>IFERROR(INDEX(Tableau2[TS],SUMPRODUCT((Tableau2[Ref-Carte]=Tableau3[[#This Row],[Ref-Carte2]])*(Tableau2[ID-Voie]=Tableau3[[#This Row],[ID-VOIE]])*ROW(Tableau2[TS]))-ROW(Tableau2[#Headers])),"")</f>
        <v>ET</v>
      </c>
      <c r="AL1180" s="122" t="str">
        <f>Tableau3[[#This Row],[Ref-Carte2]]&amp;"/"&amp;Tableau3[[#This Row],[ID-VOIE]]</f>
        <v>SDI1602/10</v>
      </c>
      <c r="AM1180" s="123" t="str">
        <f>INDEX(Tableau2[Borne],MATCH(Tableau3[[#This Row],[ID-CARTEVOIE]],Tableau2[ID-CARTEVOIE],0))&amp;""</f>
        <v>5B</v>
      </c>
      <c r="AN1180" s="124" t="str">
        <f>Tableau3[[#This Row],[ID-API]]&amp;Tableau3[[#This Row],[ID-RACK]]&amp;Tableau3[[#This Row],[ID-SLOT]]&amp;Tableau3[[#This Row],[BORNE]]</f>
        <v>7195B</v>
      </c>
      <c r="AO1180" s="125"/>
    </row>
    <row r="1181" spans="1:41" ht="20.100000000000001" customHeight="1" thickTop="1" thickBot="1">
      <c r="A1181" s="110"/>
      <c r="B1181" s="111" t="str">
        <f>IFERROR(INDEX(Tableau4[Date],MATCH($A1181,Tableau4[EVO],0)),"")</f>
        <v/>
      </c>
      <c r="C1181" s="112" t="str">
        <f>IFERROR(INDEX(Tableau4[Designation],MATCH($A1181,Tableau4[EVO],0)),"")</f>
        <v/>
      </c>
      <c r="D1181" s="110"/>
      <c r="E1181" s="113"/>
      <c r="F1181" s="146"/>
      <c r="G1181" s="147" t="e">
        <f>INDEX(Tableau8[Att1],MATCH(Tableau3[[#This Row],[ID-INS]],Tableau8[ID],0))&amp;""</f>
        <v>#N/A</v>
      </c>
      <c r="H1181" s="147" t="e">
        <f>INDEX(Tableau8[Att2],MATCH(Tableau3[[#This Row],[ID-INS]],Tableau8[ID],0))&amp;""</f>
        <v>#N/A</v>
      </c>
      <c r="I1181" s="147" t="e">
        <f>INDEX(Tableau8[Att3],MATCH(Tableau3[[#This Row],[ID-INS]],Tableau8[ID],0))&amp;""</f>
        <v>#N/A</v>
      </c>
      <c r="J1181" s="148"/>
      <c r="K1181" s="167" t="e">
        <f>INDEX(Tableau8[Nom du modele],MATCH(Tableau3[[#This Row],[ID-INS]],Tableau8[ID],0))&amp;""</f>
        <v>#N/A</v>
      </c>
      <c r="L1181" s="149" t="e">
        <f>INDEX(Tableau5[Att1],MATCH(Tableau3[[#This Row],[ID-SIG]],Tableau5[ID],0))&amp;""</f>
        <v>#N/A</v>
      </c>
      <c r="M1181" s="149" t="e">
        <f>INDEX(Tableau5[Att2],MATCH(Tableau3[[#This Row],[ID-SIG]],Tableau5[ID],0))&amp;""</f>
        <v>#N/A</v>
      </c>
      <c r="N1181" s="149" t="e">
        <f>INDEX(Tableau5[Att3],MATCH(Tableau3[[#This Row],[ID-SIG]],Tableau5[ID],0))&amp;""</f>
        <v>#N/A</v>
      </c>
      <c r="O1181" s="150"/>
      <c r="P1181" s="149" t="e">
        <f>INDEX(Tableau5[Description],MATCH(Tableau3[[#This Row],[ID-SIG]],Tableau5[ID],0))</f>
        <v>#N/A</v>
      </c>
      <c r="Q1181" s="150"/>
      <c r="R1181" s="117" t="e">
        <f>Tableau3[[#This Row],[Description]]</f>
        <v>#N/A</v>
      </c>
      <c r="S1181" s="75"/>
      <c r="T1181" s="75"/>
      <c r="U1181" s="88">
        <v>7</v>
      </c>
      <c r="V1181" s="88">
        <v>1</v>
      </c>
      <c r="W1181" s="88">
        <v>9</v>
      </c>
      <c r="X1181" s="88">
        <v>11</v>
      </c>
      <c r="Y1181" s="40"/>
      <c r="Z1181" s="166" t="str">
        <f>INDEX(Tableau2[TS],MATCH(Tableau3[[#This Row],[ID-CARTEVOIE]],Tableau2[ID-CARTEVOIE],0))</f>
        <v>ET</v>
      </c>
      <c r="AA1181" s="81" t="s">
        <v>213</v>
      </c>
      <c r="AB1181" s="226" t="str">
        <f>IFERROR(INDEX(Tableau5[Reserve],MATCH(Tableau3[[#This Row],[ID-SIG]],Tableau5[ID],0))&amp;"","")</f>
        <v/>
      </c>
      <c r="AC1181" s="119" t="s">
        <v>1456</v>
      </c>
      <c r="AD1181" s="120" t="str">
        <f>INDEX(Tableau7[Repere],MATCH(Tableau3[[#This Row],[ID-API]],Tableau7[ID-API],0))&amp;""</f>
        <v>A7</v>
      </c>
      <c r="AE1181" s="121" t="str">
        <f>INDEX(Tableau1[Repere-Rack],MATCH(Tableau3[[#This Row],[ID-RACK]],Tableau1[ID-RACK],0))&amp;""</f>
        <v>R1</v>
      </c>
      <c r="AF1181" s="121" t="str">
        <f>INDEX(Tableau1[Repere-Slot],MATCH(Tableau3[[#This Row],[ID-SLOT]],Tableau1[ID-SLOT],0))&amp;""</f>
        <v>S9</v>
      </c>
      <c r="AG1181" s="121" t="str">
        <f>INDEX(Tableau2[Repere-Voie],MATCH(Tableau3[[#This Row],[ID-VOIE]],Tableau2[ID-Voie],0))&amp;""</f>
        <v>v11</v>
      </c>
      <c r="AH1181" s="122" t="str">
        <f>Tableau3[[#This Row],[ID-API]]&amp; "." &amp;Tableau3[[#This Row],[ID-RACK]]&amp; "." &amp;Tableau3[[#This Row],[ID-SLOT]]</f>
        <v>7.1.9</v>
      </c>
      <c r="AI1181" s="72" t="str">
        <f>INDEX(Tableau1[Ref-Carte],MATCH(Tableau3[[#This Row],[ID-RRS]],Tableau1[ID-RRS],0))</f>
        <v>SDI1602</v>
      </c>
      <c r="AJ1181" s="72" t="str">
        <f t="array" ref="AJ1181">IFERROR(INDEX(Tableau2[TS],MATCH(1,(Tableau2[Ref-Carte]=Tableau3[[#This Row],[Ref-Carte2]])*(Tableau2[ID-Voie]=Tableau3[[#This Row],[ID-VOIE]]),0)),"")</f>
        <v>ET</v>
      </c>
      <c r="AK1181" s="72" t="str">
        <f>IFERROR(INDEX(Tableau2[TS],SUMPRODUCT((Tableau2[Ref-Carte]=Tableau3[[#This Row],[Ref-Carte2]])*(Tableau2[ID-Voie]=Tableau3[[#This Row],[ID-VOIE]])*ROW(Tableau2[TS]))-ROW(Tableau2[#Headers])),"")</f>
        <v>ET</v>
      </c>
      <c r="AL1181" s="122" t="str">
        <f>Tableau3[[#This Row],[Ref-Carte2]]&amp;"/"&amp;Tableau3[[#This Row],[ID-VOIE]]</f>
        <v>SDI1602/11</v>
      </c>
      <c r="AM1181" s="123" t="str">
        <f>INDEX(Tableau2[Borne],MATCH(Tableau3[[#This Row],[ID-CARTEVOIE]],Tableau2[ID-CARTEVOIE],0))&amp;""</f>
        <v>5A</v>
      </c>
      <c r="AN1181" s="124" t="str">
        <f>Tableau3[[#This Row],[ID-API]]&amp;Tableau3[[#This Row],[ID-RACK]]&amp;Tableau3[[#This Row],[ID-SLOT]]&amp;Tableau3[[#This Row],[BORNE]]</f>
        <v>7195A</v>
      </c>
      <c r="AO1181" s="125"/>
    </row>
    <row r="1182" spans="1:41" ht="20.100000000000001" customHeight="1" thickTop="1" thickBot="1">
      <c r="A1182" s="110"/>
      <c r="B1182" s="111" t="str">
        <f>IFERROR(INDEX(Tableau4[Date],MATCH($A1182,Tableau4[EVO],0)),"")</f>
        <v/>
      </c>
      <c r="C1182" s="112" t="str">
        <f>IFERROR(INDEX(Tableau4[Designation],MATCH($A1182,Tableau4[EVO],0)),"")</f>
        <v/>
      </c>
      <c r="D1182" s="110"/>
      <c r="E1182" s="113"/>
      <c r="F1182" s="146"/>
      <c r="G1182" s="147" t="e">
        <f>INDEX(Tableau8[Att1],MATCH(Tableau3[[#This Row],[ID-INS]],Tableau8[ID],0))&amp;""</f>
        <v>#N/A</v>
      </c>
      <c r="H1182" s="147" t="e">
        <f>INDEX(Tableau8[Att2],MATCH(Tableau3[[#This Row],[ID-INS]],Tableau8[ID],0))&amp;""</f>
        <v>#N/A</v>
      </c>
      <c r="I1182" s="147" t="e">
        <f>INDEX(Tableau8[Att3],MATCH(Tableau3[[#This Row],[ID-INS]],Tableau8[ID],0))&amp;""</f>
        <v>#N/A</v>
      </c>
      <c r="J1182" s="148"/>
      <c r="K1182" s="167" t="e">
        <f>INDEX(Tableau8[Nom du modele],MATCH(Tableau3[[#This Row],[ID-INS]],Tableau8[ID],0))&amp;""</f>
        <v>#N/A</v>
      </c>
      <c r="L1182" s="149" t="e">
        <f>INDEX(Tableau5[Att1],MATCH(Tableau3[[#This Row],[ID-SIG]],Tableau5[ID],0))&amp;""</f>
        <v>#N/A</v>
      </c>
      <c r="M1182" s="149" t="e">
        <f>INDEX(Tableau5[Att2],MATCH(Tableau3[[#This Row],[ID-SIG]],Tableau5[ID],0))&amp;""</f>
        <v>#N/A</v>
      </c>
      <c r="N1182" s="149" t="e">
        <f>INDEX(Tableau5[Att3],MATCH(Tableau3[[#This Row],[ID-SIG]],Tableau5[ID],0))&amp;""</f>
        <v>#N/A</v>
      </c>
      <c r="O1182" s="150"/>
      <c r="P1182" s="149" t="e">
        <f>INDEX(Tableau5[Description],MATCH(Tableau3[[#This Row],[ID-SIG]],Tableau5[ID],0))</f>
        <v>#N/A</v>
      </c>
      <c r="Q1182" s="150"/>
      <c r="R1182" s="117" t="e">
        <f>Tableau3[[#This Row],[Description]]</f>
        <v>#N/A</v>
      </c>
      <c r="S1182" s="75"/>
      <c r="T1182" s="75"/>
      <c r="U1182" s="88">
        <v>7</v>
      </c>
      <c r="V1182" s="88">
        <v>1</v>
      </c>
      <c r="W1182" s="88">
        <v>9</v>
      </c>
      <c r="X1182" s="88">
        <v>12</v>
      </c>
      <c r="Y1182" s="40"/>
      <c r="Z1182" s="166" t="str">
        <f>INDEX(Tableau2[TS],MATCH(Tableau3[[#This Row],[ID-CARTEVOIE]],Tableau2[ID-CARTEVOIE],0))</f>
        <v>ET</v>
      </c>
      <c r="AA1182" s="81" t="s">
        <v>213</v>
      </c>
      <c r="AB1182" s="226" t="str">
        <f>IFERROR(INDEX(Tableau5[Reserve],MATCH(Tableau3[[#This Row],[ID-SIG]],Tableau5[ID],0))&amp;"","")</f>
        <v/>
      </c>
      <c r="AC1182" s="119" t="s">
        <v>1456</v>
      </c>
      <c r="AD1182" s="120" t="str">
        <f>INDEX(Tableau7[Repere],MATCH(Tableau3[[#This Row],[ID-API]],Tableau7[ID-API],0))&amp;""</f>
        <v>A7</v>
      </c>
      <c r="AE1182" s="121" t="str">
        <f>INDEX(Tableau1[Repere-Rack],MATCH(Tableau3[[#This Row],[ID-RACK]],Tableau1[ID-RACK],0))&amp;""</f>
        <v>R1</v>
      </c>
      <c r="AF1182" s="121" t="str">
        <f>INDEX(Tableau1[Repere-Slot],MATCH(Tableau3[[#This Row],[ID-SLOT]],Tableau1[ID-SLOT],0))&amp;""</f>
        <v>S9</v>
      </c>
      <c r="AG1182" s="121" t="str">
        <f>INDEX(Tableau2[Repere-Voie],MATCH(Tableau3[[#This Row],[ID-VOIE]],Tableau2[ID-Voie],0))&amp;""</f>
        <v>v12</v>
      </c>
      <c r="AH1182" s="122" t="str">
        <f>Tableau3[[#This Row],[ID-API]]&amp; "." &amp;Tableau3[[#This Row],[ID-RACK]]&amp; "." &amp;Tableau3[[#This Row],[ID-SLOT]]</f>
        <v>7.1.9</v>
      </c>
      <c r="AI1182" s="72" t="str">
        <f>INDEX(Tableau1[Ref-Carte],MATCH(Tableau3[[#This Row],[ID-RRS]],Tableau1[ID-RRS],0))</f>
        <v>SDI1602</v>
      </c>
      <c r="AJ1182" s="72" t="str">
        <f t="array" ref="AJ1182">IFERROR(INDEX(Tableau2[TS],MATCH(1,(Tableau2[Ref-Carte]=Tableau3[[#This Row],[Ref-Carte2]])*(Tableau2[ID-Voie]=Tableau3[[#This Row],[ID-VOIE]]),0)),"")</f>
        <v>ET</v>
      </c>
      <c r="AK1182" s="72" t="str">
        <f>IFERROR(INDEX(Tableau2[TS],SUMPRODUCT((Tableau2[Ref-Carte]=Tableau3[[#This Row],[Ref-Carte2]])*(Tableau2[ID-Voie]=Tableau3[[#This Row],[ID-VOIE]])*ROW(Tableau2[TS]))-ROW(Tableau2[#Headers])),"")</f>
        <v>ET</v>
      </c>
      <c r="AL1182" s="122" t="str">
        <f>Tableau3[[#This Row],[Ref-Carte2]]&amp;"/"&amp;Tableau3[[#This Row],[ID-VOIE]]</f>
        <v>SDI1602/12</v>
      </c>
      <c r="AM1182" s="123" t="str">
        <f>INDEX(Tableau2[Borne],MATCH(Tableau3[[#This Row],[ID-CARTEVOIE]],Tableau2[ID-CARTEVOIE],0))&amp;""</f>
        <v>6B</v>
      </c>
      <c r="AN1182" s="124" t="str">
        <f>Tableau3[[#This Row],[ID-API]]&amp;Tableau3[[#This Row],[ID-RACK]]&amp;Tableau3[[#This Row],[ID-SLOT]]&amp;Tableau3[[#This Row],[BORNE]]</f>
        <v>7196B</v>
      </c>
      <c r="AO1182" s="125"/>
    </row>
    <row r="1183" spans="1:41" ht="20.100000000000001" customHeight="1" thickTop="1" thickBot="1">
      <c r="A1183" s="110"/>
      <c r="B1183" s="111" t="str">
        <f>IFERROR(INDEX(Tableau4[Date],MATCH($A1183,Tableau4[EVO],0)),"")</f>
        <v/>
      </c>
      <c r="C1183" s="112" t="str">
        <f>IFERROR(INDEX(Tableau4[Designation],MATCH($A1183,Tableau4[EVO],0)),"")</f>
        <v/>
      </c>
      <c r="D1183" s="110"/>
      <c r="E1183" s="113"/>
      <c r="F1183" s="146"/>
      <c r="G1183" s="147" t="e">
        <f>INDEX(Tableau8[Att1],MATCH(Tableau3[[#This Row],[ID-INS]],Tableau8[ID],0))&amp;""</f>
        <v>#N/A</v>
      </c>
      <c r="H1183" s="147" t="e">
        <f>INDEX(Tableau8[Att2],MATCH(Tableau3[[#This Row],[ID-INS]],Tableau8[ID],0))&amp;""</f>
        <v>#N/A</v>
      </c>
      <c r="I1183" s="147" t="e">
        <f>INDEX(Tableau8[Att3],MATCH(Tableau3[[#This Row],[ID-INS]],Tableau8[ID],0))&amp;""</f>
        <v>#N/A</v>
      </c>
      <c r="J1183" s="148"/>
      <c r="K1183" s="167" t="e">
        <f>INDEX(Tableau8[Nom du modele],MATCH(Tableau3[[#This Row],[ID-INS]],Tableau8[ID],0))&amp;""</f>
        <v>#N/A</v>
      </c>
      <c r="L1183" s="149" t="e">
        <f>INDEX(Tableau5[Att1],MATCH(Tableau3[[#This Row],[ID-SIG]],Tableau5[ID],0))&amp;""</f>
        <v>#N/A</v>
      </c>
      <c r="M1183" s="149" t="e">
        <f>INDEX(Tableau5[Att2],MATCH(Tableau3[[#This Row],[ID-SIG]],Tableau5[ID],0))&amp;""</f>
        <v>#N/A</v>
      </c>
      <c r="N1183" s="149" t="e">
        <f>INDEX(Tableau5[Att3],MATCH(Tableau3[[#This Row],[ID-SIG]],Tableau5[ID],0))&amp;""</f>
        <v>#N/A</v>
      </c>
      <c r="O1183" s="150"/>
      <c r="P1183" s="149" t="e">
        <f>INDEX(Tableau5[Description],MATCH(Tableau3[[#This Row],[ID-SIG]],Tableau5[ID],0))</f>
        <v>#N/A</v>
      </c>
      <c r="Q1183" s="150"/>
      <c r="R1183" s="117" t="e">
        <f>Tableau3[[#This Row],[Description]]</f>
        <v>#N/A</v>
      </c>
      <c r="S1183" s="75"/>
      <c r="T1183" s="75"/>
      <c r="U1183" s="88">
        <v>7</v>
      </c>
      <c r="V1183" s="88">
        <v>1</v>
      </c>
      <c r="W1183" s="88">
        <v>9</v>
      </c>
      <c r="X1183" s="88">
        <v>13</v>
      </c>
      <c r="Y1183" s="40"/>
      <c r="Z1183" s="166" t="str">
        <f>INDEX(Tableau2[TS],MATCH(Tableau3[[#This Row],[ID-CARTEVOIE]],Tableau2[ID-CARTEVOIE],0))</f>
        <v>ET</v>
      </c>
      <c r="AA1183" s="81" t="s">
        <v>213</v>
      </c>
      <c r="AB1183" s="226" t="str">
        <f>IFERROR(INDEX(Tableau5[Reserve],MATCH(Tableau3[[#This Row],[ID-SIG]],Tableau5[ID],0))&amp;"","")</f>
        <v/>
      </c>
      <c r="AC1183" s="119" t="s">
        <v>1456</v>
      </c>
      <c r="AD1183" s="120" t="str">
        <f>INDEX(Tableau7[Repere],MATCH(Tableau3[[#This Row],[ID-API]],Tableau7[ID-API],0))&amp;""</f>
        <v>A7</v>
      </c>
      <c r="AE1183" s="121" t="str">
        <f>INDEX(Tableau1[Repere-Rack],MATCH(Tableau3[[#This Row],[ID-RACK]],Tableau1[ID-RACK],0))&amp;""</f>
        <v>R1</v>
      </c>
      <c r="AF1183" s="121" t="str">
        <f>INDEX(Tableau1[Repere-Slot],MATCH(Tableau3[[#This Row],[ID-SLOT]],Tableau1[ID-SLOT],0))&amp;""</f>
        <v>S9</v>
      </c>
      <c r="AG1183" s="121" t="str">
        <f>INDEX(Tableau2[Repere-Voie],MATCH(Tableau3[[#This Row],[ID-VOIE]],Tableau2[ID-Voie],0))&amp;""</f>
        <v>v13</v>
      </c>
      <c r="AH1183" s="122" t="str">
        <f>Tableau3[[#This Row],[ID-API]]&amp; "." &amp;Tableau3[[#This Row],[ID-RACK]]&amp; "." &amp;Tableau3[[#This Row],[ID-SLOT]]</f>
        <v>7.1.9</v>
      </c>
      <c r="AI1183" s="72" t="str">
        <f>INDEX(Tableau1[Ref-Carte],MATCH(Tableau3[[#This Row],[ID-RRS]],Tableau1[ID-RRS],0))</f>
        <v>SDI1602</v>
      </c>
      <c r="AJ1183" s="72" t="str">
        <f t="array" ref="AJ1183">IFERROR(INDEX(Tableau2[TS],MATCH(1,(Tableau2[Ref-Carte]=Tableau3[[#This Row],[Ref-Carte2]])*(Tableau2[ID-Voie]=Tableau3[[#This Row],[ID-VOIE]]),0)),"")</f>
        <v>ET</v>
      </c>
      <c r="AK1183" s="72" t="str">
        <f>IFERROR(INDEX(Tableau2[TS],SUMPRODUCT((Tableau2[Ref-Carte]=Tableau3[[#This Row],[Ref-Carte2]])*(Tableau2[ID-Voie]=Tableau3[[#This Row],[ID-VOIE]])*ROW(Tableau2[TS]))-ROW(Tableau2[#Headers])),"")</f>
        <v>ET</v>
      </c>
      <c r="AL1183" s="122" t="str">
        <f>Tableau3[[#This Row],[Ref-Carte2]]&amp;"/"&amp;Tableau3[[#This Row],[ID-VOIE]]</f>
        <v>SDI1602/13</v>
      </c>
      <c r="AM1183" s="123" t="str">
        <f>INDEX(Tableau2[Borne],MATCH(Tableau3[[#This Row],[ID-CARTEVOIE]],Tableau2[ID-CARTEVOIE],0))&amp;""</f>
        <v>6A</v>
      </c>
      <c r="AN1183" s="124" t="str">
        <f>Tableau3[[#This Row],[ID-API]]&amp;Tableau3[[#This Row],[ID-RACK]]&amp;Tableau3[[#This Row],[ID-SLOT]]&amp;Tableau3[[#This Row],[BORNE]]</f>
        <v>7196A</v>
      </c>
      <c r="AO1183" s="125"/>
    </row>
    <row r="1184" spans="1:41" ht="20.100000000000001" customHeight="1" thickTop="1" thickBot="1">
      <c r="A1184" s="110"/>
      <c r="B1184" s="111" t="str">
        <f>IFERROR(INDEX(Tableau4[Date],MATCH($A1184,Tableau4[EVO],0)),"")</f>
        <v/>
      </c>
      <c r="C1184" s="112" t="str">
        <f>IFERROR(INDEX(Tableau4[Designation],MATCH($A1184,Tableau4[EVO],0)),"")</f>
        <v/>
      </c>
      <c r="D1184" s="110"/>
      <c r="E1184" s="113"/>
      <c r="F1184" s="146"/>
      <c r="G1184" s="147" t="e">
        <f>INDEX(Tableau8[Att1],MATCH(Tableau3[[#This Row],[ID-INS]],Tableau8[ID],0))&amp;""</f>
        <v>#N/A</v>
      </c>
      <c r="H1184" s="147" t="e">
        <f>INDEX(Tableau8[Att2],MATCH(Tableau3[[#This Row],[ID-INS]],Tableau8[ID],0))&amp;""</f>
        <v>#N/A</v>
      </c>
      <c r="I1184" s="147" t="e">
        <f>INDEX(Tableau8[Att3],MATCH(Tableau3[[#This Row],[ID-INS]],Tableau8[ID],0))&amp;""</f>
        <v>#N/A</v>
      </c>
      <c r="J1184" s="148"/>
      <c r="K1184" s="167" t="e">
        <f>INDEX(Tableau8[Nom du modele],MATCH(Tableau3[[#This Row],[ID-INS]],Tableau8[ID],0))&amp;""</f>
        <v>#N/A</v>
      </c>
      <c r="L1184" s="149" t="e">
        <f>INDEX(Tableau5[Att1],MATCH(Tableau3[[#This Row],[ID-SIG]],Tableau5[ID],0))&amp;""</f>
        <v>#N/A</v>
      </c>
      <c r="M1184" s="149" t="e">
        <f>INDEX(Tableau5[Att2],MATCH(Tableau3[[#This Row],[ID-SIG]],Tableau5[ID],0))&amp;""</f>
        <v>#N/A</v>
      </c>
      <c r="N1184" s="149" t="e">
        <f>INDEX(Tableau5[Att3],MATCH(Tableau3[[#This Row],[ID-SIG]],Tableau5[ID],0))&amp;""</f>
        <v>#N/A</v>
      </c>
      <c r="O1184" s="150"/>
      <c r="P1184" s="149" t="e">
        <f>INDEX(Tableau5[Description],MATCH(Tableau3[[#This Row],[ID-SIG]],Tableau5[ID],0))</f>
        <v>#N/A</v>
      </c>
      <c r="Q1184" s="150"/>
      <c r="R1184" s="117" t="e">
        <f>Tableau3[[#This Row],[Description]]</f>
        <v>#N/A</v>
      </c>
      <c r="S1184" s="75"/>
      <c r="T1184" s="75"/>
      <c r="U1184" s="88">
        <v>7</v>
      </c>
      <c r="V1184" s="88">
        <v>1</v>
      </c>
      <c r="W1184" s="88">
        <v>9</v>
      </c>
      <c r="X1184" s="88">
        <v>14</v>
      </c>
      <c r="Y1184" s="40"/>
      <c r="Z1184" s="166" t="str">
        <f>INDEX(Tableau2[TS],MATCH(Tableau3[[#This Row],[ID-CARTEVOIE]],Tableau2[ID-CARTEVOIE],0))</f>
        <v>ET</v>
      </c>
      <c r="AA1184" s="81" t="s">
        <v>213</v>
      </c>
      <c r="AB1184" s="226" t="str">
        <f>IFERROR(INDEX(Tableau5[Reserve],MATCH(Tableau3[[#This Row],[ID-SIG]],Tableau5[ID],0))&amp;"","")</f>
        <v/>
      </c>
      <c r="AC1184" s="119" t="s">
        <v>1456</v>
      </c>
      <c r="AD1184" s="120" t="str">
        <f>INDEX(Tableau7[Repere],MATCH(Tableau3[[#This Row],[ID-API]],Tableau7[ID-API],0))&amp;""</f>
        <v>A7</v>
      </c>
      <c r="AE1184" s="121" t="str">
        <f>INDEX(Tableau1[Repere-Rack],MATCH(Tableau3[[#This Row],[ID-RACK]],Tableau1[ID-RACK],0))&amp;""</f>
        <v>R1</v>
      </c>
      <c r="AF1184" s="121" t="str">
        <f>INDEX(Tableau1[Repere-Slot],MATCH(Tableau3[[#This Row],[ID-SLOT]],Tableau1[ID-SLOT],0))&amp;""</f>
        <v>S9</v>
      </c>
      <c r="AG1184" s="121" t="str">
        <f>INDEX(Tableau2[Repere-Voie],MATCH(Tableau3[[#This Row],[ID-VOIE]],Tableau2[ID-Voie],0))&amp;""</f>
        <v>v14</v>
      </c>
      <c r="AH1184" s="122" t="str">
        <f>Tableau3[[#This Row],[ID-API]]&amp; "." &amp;Tableau3[[#This Row],[ID-RACK]]&amp; "." &amp;Tableau3[[#This Row],[ID-SLOT]]</f>
        <v>7.1.9</v>
      </c>
      <c r="AI1184" s="72" t="str">
        <f>INDEX(Tableau1[Ref-Carte],MATCH(Tableau3[[#This Row],[ID-RRS]],Tableau1[ID-RRS],0))</f>
        <v>SDI1602</v>
      </c>
      <c r="AJ1184" s="72" t="str">
        <f t="array" ref="AJ1184">IFERROR(INDEX(Tableau2[TS],MATCH(1,(Tableau2[Ref-Carte]=Tableau3[[#This Row],[Ref-Carte2]])*(Tableau2[ID-Voie]=Tableau3[[#This Row],[ID-VOIE]]),0)),"")</f>
        <v>ET</v>
      </c>
      <c r="AK1184" s="72" t="str">
        <f>IFERROR(INDEX(Tableau2[TS],SUMPRODUCT((Tableau2[Ref-Carte]=Tableau3[[#This Row],[Ref-Carte2]])*(Tableau2[ID-Voie]=Tableau3[[#This Row],[ID-VOIE]])*ROW(Tableau2[TS]))-ROW(Tableau2[#Headers])),"")</f>
        <v>ET</v>
      </c>
      <c r="AL1184" s="122" t="str">
        <f>Tableau3[[#This Row],[Ref-Carte2]]&amp;"/"&amp;Tableau3[[#This Row],[ID-VOIE]]</f>
        <v>SDI1602/14</v>
      </c>
      <c r="AM1184" s="123" t="str">
        <f>INDEX(Tableau2[Borne],MATCH(Tableau3[[#This Row],[ID-CARTEVOIE]],Tableau2[ID-CARTEVOIE],0))&amp;""</f>
        <v>7B</v>
      </c>
      <c r="AN1184" s="124" t="str">
        <f>Tableau3[[#This Row],[ID-API]]&amp;Tableau3[[#This Row],[ID-RACK]]&amp;Tableau3[[#This Row],[ID-SLOT]]&amp;Tableau3[[#This Row],[BORNE]]</f>
        <v>7197B</v>
      </c>
      <c r="AO1184" s="125"/>
    </row>
    <row r="1185" spans="1:41" ht="20.100000000000001" customHeight="1" thickTop="1" thickBot="1">
      <c r="A1185" s="110"/>
      <c r="B1185" s="111" t="str">
        <f>IFERROR(INDEX(Tableau4[Date],MATCH($A1185,Tableau4[EVO],0)),"")</f>
        <v/>
      </c>
      <c r="C1185" s="112" t="str">
        <f>IFERROR(INDEX(Tableau4[Designation],MATCH($A1185,Tableau4[EVO],0)),"")</f>
        <v/>
      </c>
      <c r="D1185" s="110"/>
      <c r="E1185" s="113"/>
      <c r="F1185" s="146"/>
      <c r="G1185" s="147" t="e">
        <f>INDEX(Tableau8[Att1],MATCH(Tableau3[[#This Row],[ID-INS]],Tableau8[ID],0))&amp;""</f>
        <v>#N/A</v>
      </c>
      <c r="H1185" s="147" t="e">
        <f>INDEX(Tableau8[Att2],MATCH(Tableau3[[#This Row],[ID-INS]],Tableau8[ID],0))&amp;""</f>
        <v>#N/A</v>
      </c>
      <c r="I1185" s="147" t="e">
        <f>INDEX(Tableau8[Att3],MATCH(Tableau3[[#This Row],[ID-INS]],Tableau8[ID],0))&amp;""</f>
        <v>#N/A</v>
      </c>
      <c r="J1185" s="148"/>
      <c r="K1185" s="167" t="e">
        <f>INDEX(Tableau8[Nom du modele],MATCH(Tableau3[[#This Row],[ID-INS]],Tableau8[ID],0))&amp;""</f>
        <v>#N/A</v>
      </c>
      <c r="L1185" s="149" t="e">
        <f>INDEX(Tableau5[Att1],MATCH(Tableau3[[#This Row],[ID-SIG]],Tableau5[ID],0))&amp;""</f>
        <v>#N/A</v>
      </c>
      <c r="M1185" s="149" t="e">
        <f>INDEX(Tableau5[Att2],MATCH(Tableau3[[#This Row],[ID-SIG]],Tableau5[ID],0))&amp;""</f>
        <v>#N/A</v>
      </c>
      <c r="N1185" s="149" t="e">
        <f>INDEX(Tableau5[Att3],MATCH(Tableau3[[#This Row],[ID-SIG]],Tableau5[ID],0))&amp;""</f>
        <v>#N/A</v>
      </c>
      <c r="O1185" s="150"/>
      <c r="P1185" s="149" t="e">
        <f>INDEX(Tableau5[Description],MATCH(Tableau3[[#This Row],[ID-SIG]],Tableau5[ID],0))</f>
        <v>#N/A</v>
      </c>
      <c r="Q1185" s="150"/>
      <c r="R1185" s="117" t="e">
        <f>Tableau3[[#This Row],[Description]]</f>
        <v>#N/A</v>
      </c>
      <c r="S1185" s="75"/>
      <c r="T1185" s="75"/>
      <c r="U1185" s="88">
        <v>7</v>
      </c>
      <c r="V1185" s="88">
        <v>1</v>
      </c>
      <c r="W1185" s="88">
        <v>9</v>
      </c>
      <c r="X1185" s="88">
        <v>15</v>
      </c>
      <c r="Y1185" s="40"/>
      <c r="Z1185" s="166" t="str">
        <f>INDEX(Tableau2[TS],MATCH(Tableau3[[#This Row],[ID-CARTEVOIE]],Tableau2[ID-CARTEVOIE],0))</f>
        <v>ET</v>
      </c>
      <c r="AA1185" s="81" t="s">
        <v>213</v>
      </c>
      <c r="AB1185" s="226" t="str">
        <f>IFERROR(INDEX(Tableau5[Reserve],MATCH(Tableau3[[#This Row],[ID-SIG]],Tableau5[ID],0))&amp;"","")</f>
        <v/>
      </c>
      <c r="AC1185" s="119" t="s">
        <v>1456</v>
      </c>
      <c r="AD1185" s="120" t="str">
        <f>INDEX(Tableau7[Repere],MATCH(Tableau3[[#This Row],[ID-API]],Tableau7[ID-API],0))&amp;""</f>
        <v>A7</v>
      </c>
      <c r="AE1185" s="121" t="str">
        <f>INDEX(Tableau1[Repere-Rack],MATCH(Tableau3[[#This Row],[ID-RACK]],Tableau1[ID-RACK],0))&amp;""</f>
        <v>R1</v>
      </c>
      <c r="AF1185" s="121" t="str">
        <f>INDEX(Tableau1[Repere-Slot],MATCH(Tableau3[[#This Row],[ID-SLOT]],Tableau1[ID-SLOT],0))&amp;""</f>
        <v>S9</v>
      </c>
      <c r="AG1185" s="121" t="str">
        <f>INDEX(Tableau2[Repere-Voie],MATCH(Tableau3[[#This Row],[ID-VOIE]],Tableau2[ID-Voie],0))&amp;""</f>
        <v>v15</v>
      </c>
      <c r="AH1185" s="122" t="str">
        <f>Tableau3[[#This Row],[ID-API]]&amp; "." &amp;Tableau3[[#This Row],[ID-RACK]]&amp; "." &amp;Tableau3[[#This Row],[ID-SLOT]]</f>
        <v>7.1.9</v>
      </c>
      <c r="AI1185" s="72" t="str">
        <f>INDEX(Tableau1[Ref-Carte],MATCH(Tableau3[[#This Row],[ID-RRS]],Tableau1[ID-RRS],0))</f>
        <v>SDI1602</v>
      </c>
      <c r="AJ1185" s="72" t="str">
        <f t="array" ref="AJ1185">IFERROR(INDEX(Tableau2[TS],MATCH(1,(Tableau2[Ref-Carte]=Tableau3[[#This Row],[Ref-Carte2]])*(Tableau2[ID-Voie]=Tableau3[[#This Row],[ID-VOIE]]),0)),"")</f>
        <v>ET</v>
      </c>
      <c r="AK1185" s="72" t="str">
        <f>IFERROR(INDEX(Tableau2[TS],SUMPRODUCT((Tableau2[Ref-Carte]=Tableau3[[#This Row],[Ref-Carte2]])*(Tableau2[ID-Voie]=Tableau3[[#This Row],[ID-VOIE]])*ROW(Tableau2[TS]))-ROW(Tableau2[#Headers])),"")</f>
        <v>ET</v>
      </c>
      <c r="AL1185" s="122" t="str">
        <f>Tableau3[[#This Row],[Ref-Carte2]]&amp;"/"&amp;Tableau3[[#This Row],[ID-VOIE]]</f>
        <v>SDI1602/15</v>
      </c>
      <c r="AM1185" s="123" t="str">
        <f>INDEX(Tableau2[Borne],MATCH(Tableau3[[#This Row],[ID-CARTEVOIE]],Tableau2[ID-CARTEVOIE],0))&amp;""</f>
        <v>7A</v>
      </c>
      <c r="AN1185" s="124" t="str">
        <f>Tableau3[[#This Row],[ID-API]]&amp;Tableau3[[#This Row],[ID-RACK]]&amp;Tableau3[[#This Row],[ID-SLOT]]&amp;Tableau3[[#This Row],[BORNE]]</f>
        <v>7197A</v>
      </c>
      <c r="AO1185" s="125"/>
    </row>
    <row r="1186" spans="1:41" ht="20.100000000000001" customHeight="1" thickTop="1" thickBot="1">
      <c r="A1186" s="68"/>
      <c r="B1186" s="69" t="str">
        <f>IFERROR(INDEX(Tableau4[Date],MATCH($A1186,Tableau4[EVO],0)),"")</f>
        <v/>
      </c>
      <c r="C1186" s="68" t="str">
        <f>IFERROR(INDEX(Tableau4[Designation],MATCH($A1186,Tableau4[EVO],0)),"")</f>
        <v/>
      </c>
      <c r="D1186" s="68"/>
      <c r="E1186" s="70">
        <v>257</v>
      </c>
      <c r="F1186" s="71">
        <v>241</v>
      </c>
      <c r="G1186" s="101" t="str">
        <f>INDEX(Tableau8[Att1],MATCH(Tableau3[[#This Row],[ID-INS]],Tableau8[ID],0))&amp;""</f>
        <v>V4</v>
      </c>
      <c r="H1186" s="101" t="str">
        <f>INDEX(Tableau8[Att2],MATCH(Tableau3[[#This Row],[ID-INS]],Tableau8[ID],0))&amp;""</f>
        <v>P3</v>
      </c>
      <c r="I1186" s="101" t="str">
        <f>INDEX(Tableau8[Att3],MATCH(Tableau3[[#This Row],[ID-INS]],Tableau8[ID],0))&amp;""</f>
        <v>Portail P3</v>
      </c>
      <c r="J1186" s="101"/>
      <c r="K1186" s="167" t="str">
        <f>INDEX(Tableau8[Nom du modele],MATCH(Tableau3[[#This Row],[ID-INS]],Tableau8[ID],0))&amp;""</f>
        <v>PortailR2V_2</v>
      </c>
      <c r="L1186" s="99" t="str">
        <f>INDEX(Tableau5[Att1],MATCH(Tableau3[[#This Row],[ID-SIG]],Tableau5[ID],0))&amp;""</f>
        <v>Vx_OuvGCmd2</v>
      </c>
      <c r="M1186" s="99" t="str">
        <f>INDEX(Tableau5[Att2],MATCH(Tableau3[[#This Row],[ID-SIG]],Tableau5[ID],0))&amp;""</f>
        <v/>
      </c>
      <c r="N1186" s="99" t="str">
        <f>INDEX(Tableau5[Att3],MATCH(Tableau3[[#This Row],[ID-SIG]],Tableau5[ID],0))&amp;""</f>
        <v/>
      </c>
      <c r="O1186" s="99"/>
      <c r="P1186" s="99" t="str">
        <f>INDEX(Tableau5[Description],MATCH(Tableau3[[#This Row],[ID-SIG]],Tableau5[ID],0))</f>
        <v>Commande 2 ouverture gâche</v>
      </c>
      <c r="Q1186" s="99"/>
      <c r="R1186" s="103" t="str">
        <f>Tableau3[[#This Row],[Description]]</f>
        <v>Commande 2 ouverture gâche</v>
      </c>
      <c r="U1186" s="87">
        <v>7</v>
      </c>
      <c r="V1186" s="87">
        <v>1</v>
      </c>
      <c r="W1186" s="87">
        <v>10</v>
      </c>
      <c r="X1186" s="87">
        <v>0</v>
      </c>
      <c r="Y1186" s="41"/>
      <c r="Z1186" s="165" t="str">
        <f>INDEX(Tableau2[TS],MATCH(Tableau3[[#This Row],[ID-CARTEVOIE]],Tableau2[ID-CARTEVOIE],0))</f>
        <v>ST</v>
      </c>
      <c r="AA1186" s="53" t="s">
        <v>213</v>
      </c>
      <c r="AB1186" s="223" t="str">
        <f>IFERROR(INDEX(Tableau5[Reserve],MATCH(Tableau3[[#This Row],[ID-SIG]],Tableau5[ID],0))&amp;"","")</f>
        <v/>
      </c>
      <c r="AC1186" s="21"/>
      <c r="AD1186" s="108" t="str">
        <f>INDEX(Tableau7[Repere],MATCH(Tableau3[[#This Row],[ID-API]],Tableau7[ID-API],0))&amp;""</f>
        <v>A7</v>
      </c>
      <c r="AE1186" s="108" t="str">
        <f>INDEX(Tableau1[Repere-Rack],MATCH(Tableau3[[#This Row],[ID-RACK]],Tableau1[ID-RACK],0))&amp;""</f>
        <v>R1</v>
      </c>
      <c r="AF1186" s="108" t="str">
        <f>INDEX(Tableau1[Repere-Slot],MATCH(Tableau3[[#This Row],[ID-SLOT]],Tableau1[ID-SLOT],0))&amp;""</f>
        <v>S10</v>
      </c>
      <c r="AG1186" s="108" t="str">
        <f>INDEX(Tableau2[Repere-Voie],MATCH(Tableau3[[#This Row],[ID-VOIE]],Tableau2[ID-Voie],0))&amp;""</f>
        <v>v0</v>
      </c>
      <c r="AH1186" s="72" t="str">
        <f>Tableau3[[#This Row],[ID-API]]&amp; "." &amp;Tableau3[[#This Row],[ID-RACK]]&amp; "." &amp;Tableau3[[#This Row],[ID-SLOT]]</f>
        <v>7.1.10</v>
      </c>
      <c r="AI1186" s="72" t="str">
        <f>INDEX(Tableau1[Ref-Carte],MATCH(Tableau3[[#This Row],[ID-RRS]],Tableau1[ID-RRS],0))</f>
        <v>SDO0802</v>
      </c>
      <c r="AJ1186" s="72" t="str">
        <f t="array" ref="AJ1186">IFERROR(INDEX(Tableau2[TS],MATCH(1,(Tableau2[Ref-Carte]=Tableau3[[#This Row],[Ref-Carte2]])*(Tableau2[ID-Voie]=Tableau3[[#This Row],[ID-VOIE]]),0)),"")</f>
        <v>ST</v>
      </c>
      <c r="AK1186" s="72" t="str">
        <f>IFERROR(INDEX(Tableau2[TS],SUMPRODUCT((Tableau2[Ref-Carte]=Tableau3[[#This Row],[Ref-Carte2]])*(Tableau2[ID-Voie]=Tableau3[[#This Row],[ID-VOIE]])*ROW(Tableau2[TS]))-ROW(Tableau2[#Headers])),"")</f>
        <v>ST</v>
      </c>
      <c r="AL1186" s="72" t="str">
        <f>Tableau3[[#This Row],[Ref-Carte2]]&amp;"/"&amp;Tableau3[[#This Row],[ID-VOIE]]</f>
        <v>SDO0802/0</v>
      </c>
      <c r="AM1186" s="73" t="str">
        <f>INDEX(Tableau2[Borne],MATCH(Tableau3[[#This Row],[ID-CARTEVOIE]],Tableau2[ID-CARTEVOIE],0))&amp;""</f>
        <v>0</v>
      </c>
      <c r="AN1186" s="74" t="str">
        <f>Tableau3[[#This Row],[ID-API]]&amp;Tableau3[[#This Row],[ID-RACK]]&amp;Tableau3[[#This Row],[ID-SLOT]]&amp;Tableau3[[#This Row],[BORNE]]</f>
        <v>71100</v>
      </c>
      <c r="AO1186" s="1"/>
    </row>
    <row r="1187" spans="1:41" ht="20.100000000000001" customHeight="1" thickTop="1" thickBot="1">
      <c r="A1187" s="110"/>
      <c r="B1187" s="111" t="str">
        <f>IFERROR(INDEX(Tableau4[Date],MATCH($A1187,Tableau4[EVO],0)),"")</f>
        <v/>
      </c>
      <c r="C1187" s="112" t="str">
        <f>IFERROR(INDEX(Tableau4[Designation],MATCH($A1187,Tableau4[EVO],0)),"")</f>
        <v/>
      </c>
      <c r="D1187" s="110"/>
      <c r="E1187" s="113"/>
      <c r="F1187" s="146"/>
      <c r="G1187" s="147" t="e">
        <f>INDEX(Tableau8[Att1],MATCH(Tableau3[[#This Row],[ID-INS]],Tableau8[ID],0))&amp;""</f>
        <v>#N/A</v>
      </c>
      <c r="H1187" s="147" t="e">
        <f>INDEX(Tableau8[Att2],MATCH(Tableau3[[#This Row],[ID-INS]],Tableau8[ID],0))&amp;""</f>
        <v>#N/A</v>
      </c>
      <c r="I1187" s="147" t="e">
        <f>INDEX(Tableau8[Att3],MATCH(Tableau3[[#This Row],[ID-INS]],Tableau8[ID],0))&amp;""</f>
        <v>#N/A</v>
      </c>
      <c r="J1187" s="148"/>
      <c r="K1187" s="167" t="e">
        <f>INDEX(Tableau8[Nom du modele],MATCH(Tableau3[[#This Row],[ID-INS]],Tableau8[ID],0))&amp;""</f>
        <v>#N/A</v>
      </c>
      <c r="L1187" s="149" t="e">
        <f>INDEX(Tableau5[Att1],MATCH(Tableau3[[#This Row],[ID-SIG]],Tableau5[ID],0))&amp;""</f>
        <v>#N/A</v>
      </c>
      <c r="M1187" s="149" t="e">
        <f>INDEX(Tableau5[Att2],MATCH(Tableau3[[#This Row],[ID-SIG]],Tableau5[ID],0))&amp;""</f>
        <v>#N/A</v>
      </c>
      <c r="N1187" s="149" t="e">
        <f>INDEX(Tableau5[Att3],MATCH(Tableau3[[#This Row],[ID-SIG]],Tableau5[ID],0))&amp;""</f>
        <v>#N/A</v>
      </c>
      <c r="O1187" s="150"/>
      <c r="P1187" s="149" t="e">
        <f>INDEX(Tableau5[Description],MATCH(Tableau3[[#This Row],[ID-SIG]],Tableau5[ID],0))</f>
        <v>#N/A</v>
      </c>
      <c r="Q1187" s="150"/>
      <c r="R1187" s="117" t="e">
        <f>Tableau3[[#This Row],[Description]]</f>
        <v>#N/A</v>
      </c>
      <c r="S1187" s="75"/>
      <c r="T1187" s="75"/>
      <c r="U1187" s="151">
        <v>7</v>
      </c>
      <c r="V1187" s="151">
        <v>1</v>
      </c>
      <c r="W1187" s="151">
        <v>10</v>
      </c>
      <c r="X1187" s="151">
        <v>1</v>
      </c>
      <c r="Y1187" s="41"/>
      <c r="Z1187" s="166" t="str">
        <f>INDEX(Tableau2[TS],MATCH(Tableau3[[#This Row],[ID-CARTEVOIE]],Tableau2[ID-CARTEVOIE],0))</f>
        <v>ST</v>
      </c>
      <c r="AA1187" s="81" t="s">
        <v>213</v>
      </c>
      <c r="AB1187" s="226" t="str">
        <f>IFERROR(INDEX(Tableau5[Reserve],MATCH(Tableau3[[#This Row],[ID-SIG]],Tableau5[ID],0))&amp;"","")</f>
        <v/>
      </c>
      <c r="AC1187" s="119" t="s">
        <v>1456</v>
      </c>
      <c r="AD1187" s="120" t="str">
        <f>INDEX(Tableau7[Repere],MATCH(Tableau3[[#This Row],[ID-API]],Tableau7[ID-API],0))&amp;""</f>
        <v>A7</v>
      </c>
      <c r="AE1187" s="121" t="str">
        <f>INDEX(Tableau1[Repere-Rack],MATCH(Tableau3[[#This Row],[ID-RACK]],Tableau1[ID-RACK],0))&amp;""</f>
        <v>R1</v>
      </c>
      <c r="AF1187" s="121" t="str">
        <f>INDEX(Tableau1[Repere-Slot],MATCH(Tableau3[[#This Row],[ID-SLOT]],Tableau1[ID-SLOT],0))&amp;""</f>
        <v>S10</v>
      </c>
      <c r="AG1187" s="121" t="str">
        <f>INDEX(Tableau2[Repere-Voie],MATCH(Tableau3[[#This Row],[ID-VOIE]],Tableau2[ID-Voie],0))&amp;""</f>
        <v>v1</v>
      </c>
      <c r="AH1187" s="122" t="str">
        <f>Tableau3[[#This Row],[ID-API]]&amp; "." &amp;Tableau3[[#This Row],[ID-RACK]]&amp; "." &amp;Tableau3[[#This Row],[ID-SLOT]]</f>
        <v>7.1.10</v>
      </c>
      <c r="AI1187" s="72" t="str">
        <f>INDEX(Tableau1[Ref-Carte],MATCH(Tableau3[[#This Row],[ID-RRS]],Tableau1[ID-RRS],0))</f>
        <v>SDO0802</v>
      </c>
      <c r="AJ1187" s="72" t="str">
        <f t="array" ref="AJ1187">IFERROR(INDEX(Tableau2[TS],MATCH(1,(Tableau2[Ref-Carte]=Tableau3[[#This Row],[Ref-Carte2]])*(Tableau2[ID-Voie]=Tableau3[[#This Row],[ID-VOIE]]),0)),"")</f>
        <v>ST</v>
      </c>
      <c r="AK1187" s="72" t="str">
        <f>IFERROR(INDEX(Tableau2[TS],SUMPRODUCT((Tableau2[Ref-Carte]=Tableau3[[#This Row],[Ref-Carte2]])*(Tableau2[ID-Voie]=Tableau3[[#This Row],[ID-VOIE]])*ROW(Tableau2[TS]))-ROW(Tableau2[#Headers])),"")</f>
        <v>ST</v>
      </c>
      <c r="AL1187" s="122" t="str">
        <f>Tableau3[[#This Row],[Ref-Carte2]]&amp;"/"&amp;Tableau3[[#This Row],[ID-VOIE]]</f>
        <v>SDO0802/1</v>
      </c>
      <c r="AM1187" s="123" t="str">
        <f>INDEX(Tableau2[Borne],MATCH(Tableau3[[#This Row],[ID-CARTEVOIE]],Tableau2[ID-CARTEVOIE],0))&amp;""</f>
        <v>1</v>
      </c>
      <c r="AN1187" s="124" t="str">
        <f>Tableau3[[#This Row],[ID-API]]&amp;Tableau3[[#This Row],[ID-RACK]]&amp;Tableau3[[#This Row],[ID-SLOT]]&amp;Tableau3[[#This Row],[BORNE]]</f>
        <v>71101</v>
      </c>
      <c r="AO1187" s="125"/>
    </row>
    <row r="1188" spans="1:41" ht="20.100000000000001" customHeight="1" thickTop="1" thickBot="1">
      <c r="A1188" s="110"/>
      <c r="B1188" s="111" t="str">
        <f>IFERROR(INDEX(Tableau4[Date],MATCH($A1188,Tableau4[EVO],0)),"")</f>
        <v/>
      </c>
      <c r="C1188" s="112" t="str">
        <f>IFERROR(INDEX(Tableau4[Designation],MATCH($A1188,Tableau4[EVO],0)),"")</f>
        <v/>
      </c>
      <c r="D1188" s="110"/>
      <c r="E1188" s="113"/>
      <c r="F1188" s="146"/>
      <c r="G1188" s="156" t="e">
        <f>INDEX(Tableau8[Att1],MATCH(Tableau3[[#This Row],[ID-INS]],Tableau8[ID],0))&amp;""</f>
        <v>#N/A</v>
      </c>
      <c r="H1188" s="156" t="e">
        <f>INDEX(Tableau8[Att2],MATCH(Tableau3[[#This Row],[ID-INS]],Tableau8[ID],0))&amp;""</f>
        <v>#N/A</v>
      </c>
      <c r="I1188" s="156" t="e">
        <f>INDEX(Tableau8[Att3],MATCH(Tableau3[[#This Row],[ID-INS]],Tableau8[ID],0))&amp;""</f>
        <v>#N/A</v>
      </c>
      <c r="J1188" s="157"/>
      <c r="K1188" s="167" t="e">
        <f>INDEX(Tableau8[Nom du modele],MATCH(Tableau3[[#This Row],[ID-INS]],Tableau8[ID],0))&amp;""</f>
        <v>#N/A</v>
      </c>
      <c r="L1188" s="158" t="e">
        <f>INDEX(Tableau5[Att1],MATCH(Tableau3[[#This Row],[ID-SIG]],Tableau5[ID],0))&amp;""</f>
        <v>#N/A</v>
      </c>
      <c r="M1188" s="158" t="e">
        <f>INDEX(Tableau5[Att2],MATCH(Tableau3[[#This Row],[ID-SIG]],Tableau5[ID],0))&amp;""</f>
        <v>#N/A</v>
      </c>
      <c r="N1188" s="158" t="e">
        <f>INDEX(Tableau5[Att3],MATCH(Tableau3[[#This Row],[ID-SIG]],Tableau5[ID],0))&amp;""</f>
        <v>#N/A</v>
      </c>
      <c r="O1188" s="159"/>
      <c r="P1188" s="158" t="e">
        <f>INDEX(Tableau5[Description],MATCH(Tableau3[[#This Row],[ID-SIG]],Tableau5[ID],0))</f>
        <v>#N/A</v>
      </c>
      <c r="Q1188" s="159"/>
      <c r="R1188" s="128" t="e">
        <f>Tableau3[[#This Row],[Description]]</f>
        <v>#N/A</v>
      </c>
      <c r="S1188" s="129"/>
      <c r="T1188" s="129"/>
      <c r="U1188" s="160">
        <v>7</v>
      </c>
      <c r="V1188" s="160">
        <v>1</v>
      </c>
      <c r="W1188" s="160">
        <v>10</v>
      </c>
      <c r="X1188" s="160">
        <v>2</v>
      </c>
      <c r="Y1188" s="41"/>
      <c r="Z1188" s="166" t="str">
        <f>INDEX(Tableau2[TS],MATCH(Tableau3[[#This Row],[ID-CARTEVOIE]],Tableau2[ID-CARTEVOIE],0))</f>
        <v>ST</v>
      </c>
      <c r="AA1188" s="81" t="s">
        <v>213</v>
      </c>
      <c r="AB1188" s="226" t="str">
        <f>IFERROR(INDEX(Tableau5[Reserve],MATCH(Tableau3[[#This Row],[ID-SIG]],Tableau5[ID],0))&amp;"","")</f>
        <v/>
      </c>
      <c r="AC1188" s="119" t="s">
        <v>1456</v>
      </c>
      <c r="AD1188" s="120" t="str">
        <f>INDEX(Tableau7[Repere],MATCH(Tableau3[[#This Row],[ID-API]],Tableau7[ID-API],0))&amp;""</f>
        <v>A7</v>
      </c>
      <c r="AE1188" s="121" t="str">
        <f>INDEX(Tableau1[Repere-Rack],MATCH(Tableau3[[#This Row],[ID-RACK]],Tableau1[ID-RACK],0))&amp;""</f>
        <v>R1</v>
      </c>
      <c r="AF1188" s="121" t="str">
        <f>INDEX(Tableau1[Repere-Slot],MATCH(Tableau3[[#This Row],[ID-SLOT]],Tableau1[ID-SLOT],0))&amp;""</f>
        <v>S10</v>
      </c>
      <c r="AG1188" s="121" t="str">
        <f>INDEX(Tableau2[Repere-Voie],MATCH(Tableau3[[#This Row],[ID-VOIE]],Tableau2[ID-Voie],0))&amp;""</f>
        <v>v2</v>
      </c>
      <c r="AH1188" s="122" t="str">
        <f>Tableau3[[#This Row],[ID-API]]&amp; "." &amp;Tableau3[[#This Row],[ID-RACK]]&amp; "." &amp;Tableau3[[#This Row],[ID-SLOT]]</f>
        <v>7.1.10</v>
      </c>
      <c r="AI1188" s="72" t="str">
        <f>INDEX(Tableau1[Ref-Carte],MATCH(Tableau3[[#This Row],[ID-RRS]],Tableau1[ID-RRS],0))</f>
        <v>SDO0802</v>
      </c>
      <c r="AJ1188" s="72" t="str">
        <f t="array" ref="AJ1188">IFERROR(INDEX(Tableau2[TS],MATCH(1,(Tableau2[Ref-Carte]=Tableau3[[#This Row],[Ref-Carte2]])*(Tableau2[ID-Voie]=Tableau3[[#This Row],[ID-VOIE]]),0)),"")</f>
        <v>ST</v>
      </c>
      <c r="AK1188" s="72" t="str">
        <f>IFERROR(INDEX(Tableau2[TS],SUMPRODUCT((Tableau2[Ref-Carte]=Tableau3[[#This Row],[Ref-Carte2]])*(Tableau2[ID-Voie]=Tableau3[[#This Row],[ID-VOIE]])*ROW(Tableau2[TS]))-ROW(Tableau2[#Headers])),"")</f>
        <v>ST</v>
      </c>
      <c r="AL1188" s="122" t="str">
        <f>Tableau3[[#This Row],[Ref-Carte2]]&amp;"/"&amp;Tableau3[[#This Row],[ID-VOIE]]</f>
        <v>SDO0802/2</v>
      </c>
      <c r="AM1188" s="123" t="str">
        <f>INDEX(Tableau2[Borne],MATCH(Tableau3[[#This Row],[ID-CARTEVOIE]],Tableau2[ID-CARTEVOIE],0))&amp;""</f>
        <v>2</v>
      </c>
      <c r="AN1188" s="124" t="str">
        <f>Tableau3[[#This Row],[ID-API]]&amp;Tableau3[[#This Row],[ID-RACK]]&amp;Tableau3[[#This Row],[ID-SLOT]]&amp;Tableau3[[#This Row],[BORNE]]</f>
        <v>71102</v>
      </c>
      <c r="AO1188" s="125"/>
    </row>
    <row r="1189" spans="1:41" ht="20.100000000000001" customHeight="1" thickTop="1" thickBot="1">
      <c r="A1189" s="110"/>
      <c r="B1189" s="111" t="str">
        <f>IFERROR(INDEX(Tableau4[Date],MATCH($A1189,Tableau4[EVO],0)),"")</f>
        <v/>
      </c>
      <c r="C1189" s="112" t="str">
        <f>IFERROR(INDEX(Tableau4[Designation],MATCH($A1189,Tableau4[EVO],0)),"")</f>
        <v/>
      </c>
      <c r="D1189" s="110"/>
      <c r="E1189" s="113"/>
      <c r="F1189" s="146"/>
      <c r="G1189" s="156" t="e">
        <f>INDEX(Tableau8[Att1],MATCH(Tableau3[[#This Row],[ID-INS]],Tableau8[ID],0))&amp;""</f>
        <v>#N/A</v>
      </c>
      <c r="H1189" s="156" t="e">
        <f>INDEX(Tableau8[Att2],MATCH(Tableau3[[#This Row],[ID-INS]],Tableau8[ID],0))&amp;""</f>
        <v>#N/A</v>
      </c>
      <c r="I1189" s="156" t="e">
        <f>INDEX(Tableau8[Att3],MATCH(Tableau3[[#This Row],[ID-INS]],Tableau8[ID],0))&amp;""</f>
        <v>#N/A</v>
      </c>
      <c r="J1189" s="157"/>
      <c r="K1189" s="167" t="e">
        <f>INDEX(Tableau8[Nom du modele],MATCH(Tableau3[[#This Row],[ID-INS]],Tableau8[ID],0))&amp;""</f>
        <v>#N/A</v>
      </c>
      <c r="L1189" s="158" t="e">
        <f>INDEX(Tableau5[Att1],MATCH(Tableau3[[#This Row],[ID-SIG]],Tableau5[ID],0))&amp;""</f>
        <v>#N/A</v>
      </c>
      <c r="M1189" s="158" t="e">
        <f>INDEX(Tableau5[Att2],MATCH(Tableau3[[#This Row],[ID-SIG]],Tableau5[ID],0))&amp;""</f>
        <v>#N/A</v>
      </c>
      <c r="N1189" s="158" t="e">
        <f>INDEX(Tableau5[Att3],MATCH(Tableau3[[#This Row],[ID-SIG]],Tableau5[ID],0))&amp;""</f>
        <v>#N/A</v>
      </c>
      <c r="O1189" s="159"/>
      <c r="P1189" s="158" t="e">
        <f>INDEX(Tableau5[Description],MATCH(Tableau3[[#This Row],[ID-SIG]],Tableau5[ID],0))</f>
        <v>#N/A</v>
      </c>
      <c r="Q1189" s="159"/>
      <c r="R1189" s="128" t="e">
        <f>Tableau3[[#This Row],[Description]]</f>
        <v>#N/A</v>
      </c>
      <c r="S1189" s="129"/>
      <c r="T1189" s="129"/>
      <c r="U1189" s="151">
        <v>7</v>
      </c>
      <c r="V1189" s="151">
        <v>1</v>
      </c>
      <c r="W1189" s="151">
        <v>10</v>
      </c>
      <c r="X1189" s="151">
        <v>3</v>
      </c>
      <c r="Y1189" s="41"/>
      <c r="Z1189" s="166" t="str">
        <f>INDEX(Tableau2[TS],MATCH(Tableau3[[#This Row],[ID-CARTEVOIE]],Tableau2[ID-CARTEVOIE],0))</f>
        <v>ST</v>
      </c>
      <c r="AA1189" s="81" t="s">
        <v>213</v>
      </c>
      <c r="AB1189" s="226" t="str">
        <f>IFERROR(INDEX(Tableau5[Reserve],MATCH(Tableau3[[#This Row],[ID-SIG]],Tableau5[ID],0))&amp;"","")</f>
        <v/>
      </c>
      <c r="AC1189" s="119" t="s">
        <v>1456</v>
      </c>
      <c r="AD1189" s="120" t="str">
        <f>INDEX(Tableau7[Repere],MATCH(Tableau3[[#This Row],[ID-API]],Tableau7[ID-API],0))&amp;""</f>
        <v>A7</v>
      </c>
      <c r="AE1189" s="121" t="str">
        <f>INDEX(Tableau1[Repere-Rack],MATCH(Tableau3[[#This Row],[ID-RACK]],Tableau1[ID-RACK],0))&amp;""</f>
        <v>R1</v>
      </c>
      <c r="AF1189" s="121" t="str">
        <f>INDEX(Tableau1[Repere-Slot],MATCH(Tableau3[[#This Row],[ID-SLOT]],Tableau1[ID-SLOT],0))&amp;""</f>
        <v>S10</v>
      </c>
      <c r="AG1189" s="121" t="str">
        <f>INDEX(Tableau2[Repere-Voie],MATCH(Tableau3[[#This Row],[ID-VOIE]],Tableau2[ID-Voie],0))&amp;""</f>
        <v>v3</v>
      </c>
      <c r="AH1189" s="122" t="str">
        <f>Tableau3[[#This Row],[ID-API]]&amp; "." &amp;Tableau3[[#This Row],[ID-RACK]]&amp; "." &amp;Tableau3[[#This Row],[ID-SLOT]]</f>
        <v>7.1.10</v>
      </c>
      <c r="AI1189" s="72" t="str">
        <f>INDEX(Tableau1[Ref-Carte],MATCH(Tableau3[[#This Row],[ID-RRS]],Tableau1[ID-RRS],0))</f>
        <v>SDO0802</v>
      </c>
      <c r="AJ1189" s="72" t="str">
        <f t="array" ref="AJ1189">IFERROR(INDEX(Tableau2[TS],MATCH(1,(Tableau2[Ref-Carte]=Tableau3[[#This Row],[Ref-Carte2]])*(Tableau2[ID-Voie]=Tableau3[[#This Row],[ID-VOIE]]),0)),"")</f>
        <v>ST</v>
      </c>
      <c r="AK1189" s="72" t="str">
        <f>IFERROR(INDEX(Tableau2[TS],SUMPRODUCT((Tableau2[Ref-Carte]=Tableau3[[#This Row],[Ref-Carte2]])*(Tableau2[ID-Voie]=Tableau3[[#This Row],[ID-VOIE]])*ROW(Tableau2[TS]))-ROW(Tableau2[#Headers])),"")</f>
        <v>ST</v>
      </c>
      <c r="AL1189" s="122" t="str">
        <f>Tableau3[[#This Row],[Ref-Carte2]]&amp;"/"&amp;Tableau3[[#This Row],[ID-VOIE]]</f>
        <v>SDO0802/3</v>
      </c>
      <c r="AM1189" s="123" t="str">
        <f>INDEX(Tableau2[Borne],MATCH(Tableau3[[#This Row],[ID-CARTEVOIE]],Tableau2[ID-CARTEVOIE],0))&amp;""</f>
        <v>3</v>
      </c>
      <c r="AN1189" s="124" t="str">
        <f>Tableau3[[#This Row],[ID-API]]&amp;Tableau3[[#This Row],[ID-RACK]]&amp;Tableau3[[#This Row],[ID-SLOT]]&amp;Tableau3[[#This Row],[BORNE]]</f>
        <v>71103</v>
      </c>
      <c r="AO1189" s="125"/>
    </row>
    <row r="1190" spans="1:41" ht="20.100000000000001" customHeight="1" thickTop="1" thickBot="1">
      <c r="A1190" s="110"/>
      <c r="B1190" s="111" t="str">
        <f>IFERROR(INDEX(Tableau4[Date],MATCH($A1190,Tableau4[EVO],0)),"")</f>
        <v/>
      </c>
      <c r="C1190" s="112" t="str">
        <f>IFERROR(INDEX(Tableau4[Designation],MATCH($A1190,Tableau4[EVO],0)),"")</f>
        <v/>
      </c>
      <c r="D1190" s="110"/>
      <c r="E1190" s="113"/>
      <c r="F1190" s="146"/>
      <c r="G1190" s="156" t="e">
        <f>INDEX(Tableau8[Att1],MATCH(Tableau3[[#This Row],[ID-INS]],Tableau8[ID],0))&amp;""</f>
        <v>#N/A</v>
      </c>
      <c r="H1190" s="156" t="e">
        <f>INDEX(Tableau8[Att2],MATCH(Tableau3[[#This Row],[ID-INS]],Tableau8[ID],0))&amp;""</f>
        <v>#N/A</v>
      </c>
      <c r="I1190" s="156" t="e">
        <f>INDEX(Tableau8[Att3],MATCH(Tableau3[[#This Row],[ID-INS]],Tableau8[ID],0))&amp;""</f>
        <v>#N/A</v>
      </c>
      <c r="J1190" s="157"/>
      <c r="K1190" s="167" t="e">
        <f>INDEX(Tableau8[Nom du modele],MATCH(Tableau3[[#This Row],[ID-INS]],Tableau8[ID],0))&amp;""</f>
        <v>#N/A</v>
      </c>
      <c r="L1190" s="158" t="e">
        <f>INDEX(Tableau5[Att1],MATCH(Tableau3[[#This Row],[ID-SIG]],Tableau5[ID],0))&amp;""</f>
        <v>#N/A</v>
      </c>
      <c r="M1190" s="158" t="e">
        <f>INDEX(Tableau5[Att2],MATCH(Tableau3[[#This Row],[ID-SIG]],Tableau5[ID],0))&amp;""</f>
        <v>#N/A</v>
      </c>
      <c r="N1190" s="158" t="e">
        <f>INDEX(Tableau5[Att3],MATCH(Tableau3[[#This Row],[ID-SIG]],Tableau5[ID],0))&amp;""</f>
        <v>#N/A</v>
      </c>
      <c r="O1190" s="159"/>
      <c r="P1190" s="158" t="e">
        <f>INDEX(Tableau5[Description],MATCH(Tableau3[[#This Row],[ID-SIG]],Tableau5[ID],0))</f>
        <v>#N/A</v>
      </c>
      <c r="Q1190" s="159"/>
      <c r="R1190" s="128" t="e">
        <f>Tableau3[[#This Row],[Description]]</f>
        <v>#N/A</v>
      </c>
      <c r="S1190" s="129"/>
      <c r="T1190" s="129"/>
      <c r="U1190" s="160">
        <v>7</v>
      </c>
      <c r="V1190" s="160">
        <v>1</v>
      </c>
      <c r="W1190" s="160">
        <v>10</v>
      </c>
      <c r="X1190" s="160">
        <v>4</v>
      </c>
      <c r="Y1190" s="41"/>
      <c r="Z1190" s="166" t="str">
        <f>INDEX(Tableau2[TS],MATCH(Tableau3[[#This Row],[ID-CARTEVOIE]],Tableau2[ID-CARTEVOIE],0))</f>
        <v>ST</v>
      </c>
      <c r="AA1190" s="81" t="s">
        <v>213</v>
      </c>
      <c r="AB1190" s="226" t="str">
        <f>IFERROR(INDEX(Tableau5[Reserve],MATCH(Tableau3[[#This Row],[ID-SIG]],Tableau5[ID],0))&amp;"","")</f>
        <v/>
      </c>
      <c r="AC1190" s="119" t="s">
        <v>1456</v>
      </c>
      <c r="AD1190" s="120" t="str">
        <f>INDEX(Tableau7[Repere],MATCH(Tableau3[[#This Row],[ID-API]],Tableau7[ID-API],0))&amp;""</f>
        <v>A7</v>
      </c>
      <c r="AE1190" s="121" t="str">
        <f>INDEX(Tableau1[Repere-Rack],MATCH(Tableau3[[#This Row],[ID-RACK]],Tableau1[ID-RACK],0))&amp;""</f>
        <v>R1</v>
      </c>
      <c r="AF1190" s="121" t="str">
        <f>INDEX(Tableau1[Repere-Slot],MATCH(Tableau3[[#This Row],[ID-SLOT]],Tableau1[ID-SLOT],0))&amp;""</f>
        <v>S10</v>
      </c>
      <c r="AG1190" s="121" t="str">
        <f>INDEX(Tableau2[Repere-Voie],MATCH(Tableau3[[#This Row],[ID-VOIE]],Tableau2[ID-Voie],0))&amp;""</f>
        <v>v4</v>
      </c>
      <c r="AH1190" s="122" t="str">
        <f>Tableau3[[#This Row],[ID-API]]&amp; "." &amp;Tableau3[[#This Row],[ID-RACK]]&amp; "." &amp;Tableau3[[#This Row],[ID-SLOT]]</f>
        <v>7.1.10</v>
      </c>
      <c r="AI1190" s="72" t="str">
        <f>INDEX(Tableau1[Ref-Carte],MATCH(Tableau3[[#This Row],[ID-RRS]],Tableau1[ID-RRS],0))</f>
        <v>SDO0802</v>
      </c>
      <c r="AJ1190" s="72" t="str">
        <f t="array" ref="AJ1190">IFERROR(INDEX(Tableau2[TS],MATCH(1,(Tableau2[Ref-Carte]=Tableau3[[#This Row],[Ref-Carte2]])*(Tableau2[ID-Voie]=Tableau3[[#This Row],[ID-VOIE]]),0)),"")</f>
        <v>ST</v>
      </c>
      <c r="AK1190" s="72" t="str">
        <f>IFERROR(INDEX(Tableau2[TS],SUMPRODUCT((Tableau2[Ref-Carte]=Tableau3[[#This Row],[Ref-Carte2]])*(Tableau2[ID-Voie]=Tableau3[[#This Row],[ID-VOIE]])*ROW(Tableau2[TS]))-ROW(Tableau2[#Headers])),"")</f>
        <v>ST</v>
      </c>
      <c r="AL1190" s="122" t="str">
        <f>Tableau3[[#This Row],[Ref-Carte2]]&amp;"/"&amp;Tableau3[[#This Row],[ID-VOIE]]</f>
        <v>SDO0802/4</v>
      </c>
      <c r="AM1190" s="123" t="str">
        <f>INDEX(Tableau2[Borne],MATCH(Tableau3[[#This Row],[ID-CARTEVOIE]],Tableau2[ID-CARTEVOIE],0))&amp;""</f>
        <v>4</v>
      </c>
      <c r="AN1190" s="124" t="str">
        <f>Tableau3[[#This Row],[ID-API]]&amp;Tableau3[[#This Row],[ID-RACK]]&amp;Tableau3[[#This Row],[ID-SLOT]]&amp;Tableau3[[#This Row],[BORNE]]</f>
        <v>71104</v>
      </c>
      <c r="AO1190" s="125"/>
    </row>
    <row r="1191" spans="1:41" ht="20.100000000000001" customHeight="1" thickTop="1" thickBot="1">
      <c r="A1191" s="110"/>
      <c r="B1191" s="111" t="str">
        <f>IFERROR(INDEX(Tableau4[Date],MATCH($A1191,Tableau4[EVO],0)),"")</f>
        <v/>
      </c>
      <c r="C1191" s="112" t="str">
        <f>IFERROR(INDEX(Tableau4[Designation],MATCH($A1191,Tableau4[EVO],0)),"")</f>
        <v/>
      </c>
      <c r="D1191" s="110"/>
      <c r="E1191" s="113"/>
      <c r="F1191" s="146"/>
      <c r="G1191" s="156" t="e">
        <f>INDEX(Tableau8[Att1],MATCH(Tableau3[[#This Row],[ID-INS]],Tableau8[ID],0))&amp;""</f>
        <v>#N/A</v>
      </c>
      <c r="H1191" s="156" t="e">
        <f>INDEX(Tableau8[Att2],MATCH(Tableau3[[#This Row],[ID-INS]],Tableau8[ID],0))&amp;""</f>
        <v>#N/A</v>
      </c>
      <c r="I1191" s="156" t="e">
        <f>INDEX(Tableau8[Att3],MATCH(Tableau3[[#This Row],[ID-INS]],Tableau8[ID],0))&amp;""</f>
        <v>#N/A</v>
      </c>
      <c r="J1191" s="157"/>
      <c r="K1191" s="167" t="e">
        <f>INDEX(Tableau8[Nom du modele],MATCH(Tableau3[[#This Row],[ID-INS]],Tableau8[ID],0))&amp;""</f>
        <v>#N/A</v>
      </c>
      <c r="L1191" s="158" t="e">
        <f>INDEX(Tableau5[Att1],MATCH(Tableau3[[#This Row],[ID-SIG]],Tableau5[ID],0))&amp;""</f>
        <v>#N/A</v>
      </c>
      <c r="M1191" s="158" t="e">
        <f>INDEX(Tableau5[Att2],MATCH(Tableau3[[#This Row],[ID-SIG]],Tableau5[ID],0))&amp;""</f>
        <v>#N/A</v>
      </c>
      <c r="N1191" s="158" t="e">
        <f>INDEX(Tableau5[Att3],MATCH(Tableau3[[#This Row],[ID-SIG]],Tableau5[ID],0))&amp;""</f>
        <v>#N/A</v>
      </c>
      <c r="O1191" s="159"/>
      <c r="P1191" s="158" t="e">
        <f>INDEX(Tableau5[Description],MATCH(Tableau3[[#This Row],[ID-SIG]],Tableau5[ID],0))</f>
        <v>#N/A</v>
      </c>
      <c r="Q1191" s="159"/>
      <c r="R1191" s="128" t="e">
        <f>Tableau3[[#This Row],[Description]]</f>
        <v>#N/A</v>
      </c>
      <c r="S1191" s="129"/>
      <c r="T1191" s="129"/>
      <c r="U1191" s="151">
        <v>7</v>
      </c>
      <c r="V1191" s="151">
        <v>1</v>
      </c>
      <c r="W1191" s="151">
        <v>10</v>
      </c>
      <c r="X1191" s="151">
        <v>5</v>
      </c>
      <c r="Y1191" s="41"/>
      <c r="Z1191" s="166" t="str">
        <f>INDEX(Tableau2[TS],MATCH(Tableau3[[#This Row],[ID-CARTEVOIE]],Tableau2[ID-CARTEVOIE],0))</f>
        <v>ST</v>
      </c>
      <c r="AA1191" s="81" t="s">
        <v>213</v>
      </c>
      <c r="AB1191" s="226" t="str">
        <f>IFERROR(INDEX(Tableau5[Reserve],MATCH(Tableau3[[#This Row],[ID-SIG]],Tableau5[ID],0))&amp;"","")</f>
        <v/>
      </c>
      <c r="AC1191" s="119" t="s">
        <v>1456</v>
      </c>
      <c r="AD1191" s="120" t="str">
        <f>INDEX(Tableau7[Repere],MATCH(Tableau3[[#This Row],[ID-API]],Tableau7[ID-API],0))&amp;""</f>
        <v>A7</v>
      </c>
      <c r="AE1191" s="121" t="str">
        <f>INDEX(Tableau1[Repere-Rack],MATCH(Tableau3[[#This Row],[ID-RACK]],Tableau1[ID-RACK],0))&amp;""</f>
        <v>R1</v>
      </c>
      <c r="AF1191" s="121" t="str">
        <f>INDEX(Tableau1[Repere-Slot],MATCH(Tableau3[[#This Row],[ID-SLOT]],Tableau1[ID-SLOT],0))&amp;""</f>
        <v>S10</v>
      </c>
      <c r="AG1191" s="121" t="str">
        <f>INDEX(Tableau2[Repere-Voie],MATCH(Tableau3[[#This Row],[ID-VOIE]],Tableau2[ID-Voie],0))&amp;""</f>
        <v>v5</v>
      </c>
      <c r="AH1191" s="122" t="str">
        <f>Tableau3[[#This Row],[ID-API]]&amp; "." &amp;Tableau3[[#This Row],[ID-RACK]]&amp; "." &amp;Tableau3[[#This Row],[ID-SLOT]]</f>
        <v>7.1.10</v>
      </c>
      <c r="AI1191" s="72" t="str">
        <f>INDEX(Tableau1[Ref-Carte],MATCH(Tableau3[[#This Row],[ID-RRS]],Tableau1[ID-RRS],0))</f>
        <v>SDO0802</v>
      </c>
      <c r="AJ1191" s="72" t="str">
        <f t="array" ref="AJ1191">IFERROR(INDEX(Tableau2[TS],MATCH(1,(Tableau2[Ref-Carte]=Tableau3[[#This Row],[Ref-Carte2]])*(Tableau2[ID-Voie]=Tableau3[[#This Row],[ID-VOIE]]),0)),"")</f>
        <v>ST</v>
      </c>
      <c r="AK1191" s="72" t="str">
        <f>IFERROR(INDEX(Tableau2[TS],SUMPRODUCT((Tableau2[Ref-Carte]=Tableau3[[#This Row],[Ref-Carte2]])*(Tableau2[ID-Voie]=Tableau3[[#This Row],[ID-VOIE]])*ROW(Tableau2[TS]))-ROW(Tableau2[#Headers])),"")</f>
        <v>ST</v>
      </c>
      <c r="AL1191" s="122" t="str">
        <f>Tableau3[[#This Row],[Ref-Carte2]]&amp;"/"&amp;Tableau3[[#This Row],[ID-VOIE]]</f>
        <v>SDO0802/5</v>
      </c>
      <c r="AM1191" s="123" t="str">
        <f>INDEX(Tableau2[Borne],MATCH(Tableau3[[#This Row],[ID-CARTEVOIE]],Tableau2[ID-CARTEVOIE],0))&amp;""</f>
        <v>5</v>
      </c>
      <c r="AN1191" s="124" t="str">
        <f>Tableau3[[#This Row],[ID-API]]&amp;Tableau3[[#This Row],[ID-RACK]]&amp;Tableau3[[#This Row],[ID-SLOT]]&amp;Tableau3[[#This Row],[BORNE]]</f>
        <v>71105</v>
      </c>
      <c r="AO1191" s="125"/>
    </row>
    <row r="1192" spans="1:41" ht="20.100000000000001" customHeight="1" thickTop="1" thickBot="1">
      <c r="A1192" s="110"/>
      <c r="B1192" s="111" t="str">
        <f>IFERROR(INDEX(Tableau4[Date],MATCH($A1192,Tableau4[EVO],0)),"")</f>
        <v/>
      </c>
      <c r="C1192" s="112" t="str">
        <f>IFERROR(INDEX(Tableau4[Designation],MATCH($A1192,Tableau4[EVO],0)),"")</f>
        <v/>
      </c>
      <c r="D1192" s="110"/>
      <c r="E1192" s="113"/>
      <c r="F1192" s="146"/>
      <c r="G1192" s="147" t="e">
        <f>INDEX(Tableau8[Att1],MATCH(Tableau3[[#This Row],[ID-INS]],Tableau8[ID],0))&amp;""</f>
        <v>#N/A</v>
      </c>
      <c r="H1192" s="147" t="e">
        <f>INDEX(Tableau8[Att2],MATCH(Tableau3[[#This Row],[ID-INS]],Tableau8[ID],0))&amp;""</f>
        <v>#N/A</v>
      </c>
      <c r="I1192" s="147" t="e">
        <f>INDEX(Tableau8[Att3],MATCH(Tableau3[[#This Row],[ID-INS]],Tableau8[ID],0))&amp;""</f>
        <v>#N/A</v>
      </c>
      <c r="J1192" s="148"/>
      <c r="K1192" s="167" t="e">
        <f>INDEX(Tableau8[Nom du modele],MATCH(Tableau3[[#This Row],[ID-INS]],Tableau8[ID],0))&amp;""</f>
        <v>#N/A</v>
      </c>
      <c r="L1192" s="149" t="e">
        <f>INDEX(Tableau5[Att1],MATCH(Tableau3[[#This Row],[ID-SIG]],Tableau5[ID],0))&amp;""</f>
        <v>#N/A</v>
      </c>
      <c r="M1192" s="149" t="e">
        <f>INDEX(Tableau5[Att2],MATCH(Tableau3[[#This Row],[ID-SIG]],Tableau5[ID],0))&amp;""</f>
        <v>#N/A</v>
      </c>
      <c r="N1192" s="149" t="e">
        <f>INDEX(Tableau5[Att3],MATCH(Tableau3[[#This Row],[ID-SIG]],Tableau5[ID],0))&amp;""</f>
        <v>#N/A</v>
      </c>
      <c r="O1192" s="150"/>
      <c r="P1192" s="149" t="e">
        <f>INDEX(Tableau5[Description],MATCH(Tableau3[[#This Row],[ID-SIG]],Tableau5[ID],0))</f>
        <v>#N/A</v>
      </c>
      <c r="Q1192" s="150"/>
      <c r="R1192" s="117" t="e">
        <f>Tableau3[[#This Row],[Description]]</f>
        <v>#N/A</v>
      </c>
      <c r="S1192" s="75"/>
      <c r="T1192" s="75"/>
      <c r="U1192" s="160">
        <v>7</v>
      </c>
      <c r="V1192" s="160">
        <v>1</v>
      </c>
      <c r="W1192" s="160">
        <v>10</v>
      </c>
      <c r="X1192" s="160">
        <v>6</v>
      </c>
      <c r="Y1192" s="41"/>
      <c r="Z1192" s="166" t="str">
        <f>INDEX(Tableau2[TS],MATCH(Tableau3[[#This Row],[ID-CARTEVOIE]],Tableau2[ID-CARTEVOIE],0))</f>
        <v>ST</v>
      </c>
      <c r="AA1192" s="81" t="s">
        <v>213</v>
      </c>
      <c r="AB1192" s="226" t="str">
        <f>IFERROR(INDEX(Tableau5[Reserve],MATCH(Tableau3[[#This Row],[ID-SIG]],Tableau5[ID],0))&amp;"","")</f>
        <v/>
      </c>
      <c r="AC1192" s="119" t="s">
        <v>1456</v>
      </c>
      <c r="AD1192" s="120" t="str">
        <f>INDEX(Tableau7[Repere],MATCH(Tableau3[[#This Row],[ID-API]],Tableau7[ID-API],0))&amp;""</f>
        <v>A7</v>
      </c>
      <c r="AE1192" s="121" t="str">
        <f>INDEX(Tableau1[Repere-Rack],MATCH(Tableau3[[#This Row],[ID-RACK]],Tableau1[ID-RACK],0))&amp;""</f>
        <v>R1</v>
      </c>
      <c r="AF1192" s="121" t="str">
        <f>INDEX(Tableau1[Repere-Slot],MATCH(Tableau3[[#This Row],[ID-SLOT]],Tableau1[ID-SLOT],0))&amp;""</f>
        <v>S10</v>
      </c>
      <c r="AG1192" s="121" t="str">
        <f>INDEX(Tableau2[Repere-Voie],MATCH(Tableau3[[#This Row],[ID-VOIE]],Tableau2[ID-Voie],0))&amp;""</f>
        <v>v6</v>
      </c>
      <c r="AH1192" s="122" t="str">
        <f>Tableau3[[#This Row],[ID-API]]&amp; "." &amp;Tableau3[[#This Row],[ID-RACK]]&amp; "." &amp;Tableau3[[#This Row],[ID-SLOT]]</f>
        <v>7.1.10</v>
      </c>
      <c r="AI1192" s="72" t="str">
        <f>INDEX(Tableau1[Ref-Carte],MATCH(Tableau3[[#This Row],[ID-RRS]],Tableau1[ID-RRS],0))</f>
        <v>SDO0802</v>
      </c>
      <c r="AJ1192" s="72" t="str">
        <f t="array" ref="AJ1192">IFERROR(INDEX(Tableau2[TS],MATCH(1,(Tableau2[Ref-Carte]=Tableau3[[#This Row],[Ref-Carte2]])*(Tableau2[ID-Voie]=Tableau3[[#This Row],[ID-VOIE]]),0)),"")</f>
        <v>ST</v>
      </c>
      <c r="AK1192" s="72" t="str">
        <f>IFERROR(INDEX(Tableau2[TS],SUMPRODUCT((Tableau2[Ref-Carte]=Tableau3[[#This Row],[Ref-Carte2]])*(Tableau2[ID-Voie]=Tableau3[[#This Row],[ID-VOIE]])*ROW(Tableau2[TS]))-ROW(Tableau2[#Headers])),"")</f>
        <v>ST</v>
      </c>
      <c r="AL1192" s="122" t="str">
        <f>Tableau3[[#This Row],[Ref-Carte2]]&amp;"/"&amp;Tableau3[[#This Row],[ID-VOIE]]</f>
        <v>SDO0802/6</v>
      </c>
      <c r="AM1192" s="123" t="str">
        <f>INDEX(Tableau2[Borne],MATCH(Tableau3[[#This Row],[ID-CARTEVOIE]],Tableau2[ID-CARTEVOIE],0))&amp;""</f>
        <v>6</v>
      </c>
      <c r="AN1192" s="124" t="str">
        <f>Tableau3[[#This Row],[ID-API]]&amp;Tableau3[[#This Row],[ID-RACK]]&amp;Tableau3[[#This Row],[ID-SLOT]]&amp;Tableau3[[#This Row],[BORNE]]</f>
        <v>71106</v>
      </c>
      <c r="AO1192" s="125"/>
    </row>
    <row r="1193" spans="1:41" ht="20.100000000000001" customHeight="1" thickTop="1" thickBot="1">
      <c r="A1193" s="110"/>
      <c r="B1193" s="111" t="str">
        <f>IFERROR(INDEX(Tableau4[Date],MATCH($A1193,Tableau4[EVO],0)),"")</f>
        <v/>
      </c>
      <c r="C1193" s="112" t="str">
        <f>IFERROR(INDEX(Tableau4[Designation],MATCH($A1193,Tableau4[EVO],0)),"")</f>
        <v/>
      </c>
      <c r="D1193" s="110"/>
      <c r="E1193" s="113"/>
      <c r="F1193" s="146"/>
      <c r="G1193" s="156" t="e">
        <f>INDEX(Tableau8[Att1],MATCH(Tableau3[[#This Row],[ID-INS]],Tableau8[ID],0))&amp;""</f>
        <v>#N/A</v>
      </c>
      <c r="H1193" s="156" t="e">
        <f>INDEX(Tableau8[Att2],MATCH(Tableau3[[#This Row],[ID-INS]],Tableau8[ID],0))&amp;""</f>
        <v>#N/A</v>
      </c>
      <c r="I1193" s="156" t="e">
        <f>INDEX(Tableau8[Att3],MATCH(Tableau3[[#This Row],[ID-INS]],Tableau8[ID],0))&amp;""</f>
        <v>#N/A</v>
      </c>
      <c r="J1193" s="157"/>
      <c r="K1193" s="167" t="e">
        <f>INDEX(Tableau8[Nom du modele],MATCH(Tableau3[[#This Row],[ID-INS]],Tableau8[ID],0))&amp;""</f>
        <v>#N/A</v>
      </c>
      <c r="L1193" s="158" t="e">
        <f>INDEX(Tableau5[Att1],MATCH(Tableau3[[#This Row],[ID-SIG]],Tableau5[ID],0))&amp;""</f>
        <v>#N/A</v>
      </c>
      <c r="M1193" s="158" t="e">
        <f>INDEX(Tableau5[Att2],MATCH(Tableau3[[#This Row],[ID-SIG]],Tableau5[ID],0))&amp;""</f>
        <v>#N/A</v>
      </c>
      <c r="N1193" s="158" t="e">
        <f>INDEX(Tableau5[Att3],MATCH(Tableau3[[#This Row],[ID-SIG]],Tableau5[ID],0))&amp;""</f>
        <v>#N/A</v>
      </c>
      <c r="O1193" s="159"/>
      <c r="P1193" s="158" t="e">
        <f>INDEX(Tableau5[Description],MATCH(Tableau3[[#This Row],[ID-SIG]],Tableau5[ID],0))</f>
        <v>#N/A</v>
      </c>
      <c r="Q1193" s="159"/>
      <c r="R1193" s="128" t="e">
        <f>Tableau3[[#This Row],[Description]]</f>
        <v>#N/A</v>
      </c>
      <c r="S1193" s="129"/>
      <c r="T1193" s="129"/>
      <c r="U1193" s="151">
        <v>7</v>
      </c>
      <c r="V1193" s="151">
        <v>1</v>
      </c>
      <c r="W1193" s="151">
        <v>10</v>
      </c>
      <c r="X1193" s="151">
        <v>7</v>
      </c>
      <c r="Y1193" s="41"/>
      <c r="Z1193" s="166" t="str">
        <f>INDEX(Tableau2[TS],MATCH(Tableau3[[#This Row],[ID-CARTEVOIE]],Tableau2[ID-CARTEVOIE],0))</f>
        <v>ST</v>
      </c>
      <c r="AA1193" s="81" t="s">
        <v>213</v>
      </c>
      <c r="AB1193" s="226" t="str">
        <f>IFERROR(INDEX(Tableau5[Reserve],MATCH(Tableau3[[#This Row],[ID-SIG]],Tableau5[ID],0))&amp;"","")</f>
        <v/>
      </c>
      <c r="AC1193" s="119" t="s">
        <v>1456</v>
      </c>
      <c r="AD1193" s="120" t="str">
        <f>INDEX(Tableau7[Repere],MATCH(Tableau3[[#This Row],[ID-API]],Tableau7[ID-API],0))&amp;""</f>
        <v>A7</v>
      </c>
      <c r="AE1193" s="121" t="str">
        <f>INDEX(Tableau1[Repere-Rack],MATCH(Tableau3[[#This Row],[ID-RACK]],Tableau1[ID-RACK],0))&amp;""</f>
        <v>R1</v>
      </c>
      <c r="AF1193" s="121" t="str">
        <f>INDEX(Tableau1[Repere-Slot],MATCH(Tableau3[[#This Row],[ID-SLOT]],Tableau1[ID-SLOT],0))&amp;""</f>
        <v>S10</v>
      </c>
      <c r="AG1193" s="121" t="str">
        <f>INDEX(Tableau2[Repere-Voie],MATCH(Tableau3[[#This Row],[ID-VOIE]],Tableau2[ID-Voie],0))&amp;""</f>
        <v>v7</v>
      </c>
      <c r="AH1193" s="122" t="str">
        <f>Tableau3[[#This Row],[ID-API]]&amp; "." &amp;Tableau3[[#This Row],[ID-RACK]]&amp; "." &amp;Tableau3[[#This Row],[ID-SLOT]]</f>
        <v>7.1.10</v>
      </c>
      <c r="AI1193" s="72" t="str">
        <f>INDEX(Tableau1[Ref-Carte],MATCH(Tableau3[[#This Row],[ID-RRS]],Tableau1[ID-RRS],0))</f>
        <v>SDO0802</v>
      </c>
      <c r="AJ1193" s="72" t="str">
        <f t="array" ref="AJ1193">IFERROR(INDEX(Tableau2[TS],MATCH(1,(Tableau2[Ref-Carte]=Tableau3[[#This Row],[Ref-Carte2]])*(Tableau2[ID-Voie]=Tableau3[[#This Row],[ID-VOIE]]),0)),"")</f>
        <v>ST</v>
      </c>
      <c r="AK1193" s="72" t="str">
        <f>IFERROR(INDEX(Tableau2[TS],SUMPRODUCT((Tableau2[Ref-Carte]=Tableau3[[#This Row],[Ref-Carte2]])*(Tableau2[ID-Voie]=Tableau3[[#This Row],[ID-VOIE]])*ROW(Tableau2[TS]))-ROW(Tableau2[#Headers])),"")</f>
        <v>ST</v>
      </c>
      <c r="AL1193" s="122" t="str">
        <f>Tableau3[[#This Row],[Ref-Carte2]]&amp;"/"&amp;Tableau3[[#This Row],[ID-VOIE]]</f>
        <v>SDO0802/7</v>
      </c>
      <c r="AM1193" s="123" t="str">
        <f>INDEX(Tableau2[Borne],MATCH(Tableau3[[#This Row],[ID-CARTEVOIE]],Tableau2[ID-CARTEVOIE],0))&amp;""</f>
        <v>7</v>
      </c>
      <c r="AN1193" s="124" t="str">
        <f>Tableau3[[#This Row],[ID-API]]&amp;Tableau3[[#This Row],[ID-RACK]]&amp;Tableau3[[#This Row],[ID-SLOT]]&amp;Tableau3[[#This Row],[BORNE]]</f>
        <v>71107</v>
      </c>
      <c r="AO1193" s="125"/>
    </row>
    <row r="1194" spans="1:41" ht="20.100000000000001" customHeight="1" thickTop="1" thickBot="1">
      <c r="A1194" s="68"/>
      <c r="B1194" s="69" t="str">
        <f>IFERROR(INDEX(Tableau4[Date],MATCH($A1194,Tableau4[EVO],0)),"")</f>
        <v/>
      </c>
      <c r="C1194" s="68" t="str">
        <f>IFERROR(INDEX(Tableau4[Designation],MATCH($A1194,Tableau4[EVO],0)),"")</f>
        <v/>
      </c>
      <c r="D1194" s="68"/>
      <c r="E1194" s="70">
        <v>174</v>
      </c>
      <c r="F1194" s="71">
        <v>325</v>
      </c>
      <c r="G1194" s="101" t="str">
        <f>INDEX(Tableau8[Att1],MATCH(Tableau3[[#This Row],[ID-INS]],Tableau8[ID],0))&amp;""</f>
        <v>Ext</v>
      </c>
      <c r="H1194" s="101"/>
      <c r="I1194" s="101"/>
      <c r="J1194" s="101"/>
      <c r="K1194" s="167" t="str">
        <f>INDEX(Tableau8[Nom du modele],MATCH(Tableau3[[#This Row],[ID-INS]],Tableau8[ID],0))&amp;""</f>
        <v>Ecl</v>
      </c>
      <c r="L1194" s="155" t="s">
        <v>732</v>
      </c>
      <c r="M1194" s="99" t="str">
        <f>INDEX(Tableau5[Att2],MATCH(Tableau3[[#This Row],[ID-SIG]],Tableau5[ID],0))&amp;""</f>
        <v/>
      </c>
      <c r="N1194" s="99" t="str">
        <f>INDEX(Tableau5[Att3],MATCH(Tableau3[[#This Row],[ID-SIG]],Tableau5[ID],0))&amp;""</f>
        <v/>
      </c>
      <c r="O1194" s="99"/>
      <c r="P1194" s="155" t="s">
        <v>1780</v>
      </c>
      <c r="Q1194" s="99"/>
      <c r="R1194" s="103" t="str">
        <f>Tableau3[[#This Row],[Description]]</f>
        <v>Reserv</v>
      </c>
      <c r="U1194" s="87">
        <v>8</v>
      </c>
      <c r="V1194" s="87">
        <v>1</v>
      </c>
      <c r="W1194" s="87">
        <v>3</v>
      </c>
      <c r="X1194" s="87">
        <v>0</v>
      </c>
      <c r="Y1194" s="41"/>
      <c r="Z1194" s="165" t="str">
        <f>INDEX(Tableau2[TS],MATCH(Tableau3[[#This Row],[ID-CARTEVOIE]],Tableau2[ID-CARTEVOIE],0))</f>
        <v>ST</v>
      </c>
      <c r="AA1194" s="53" t="s">
        <v>213</v>
      </c>
      <c r="AB1194" s="223" t="str">
        <f>IFERROR(INDEX(Tableau5[Reserve],MATCH(Tableau3[[#This Row],[ID-SIG]],Tableau5[ID],0))&amp;"","")</f>
        <v/>
      </c>
      <c r="AC1194" s="21"/>
      <c r="AD1194" s="108" t="str">
        <f>INDEX(Tableau7[Repere],MATCH(Tableau3[[#This Row],[ID-API]],Tableau7[ID-API],0))&amp;""</f>
        <v>A8</v>
      </c>
      <c r="AE1194" s="108" t="str">
        <f>INDEX(Tableau1[Repere-Rack],MATCH(Tableau3[[#This Row],[ID-RACK]],Tableau1[ID-RACK],0))&amp;""</f>
        <v>R1</v>
      </c>
      <c r="AF1194" s="108" t="str">
        <f>INDEX(Tableau1[Repere-Slot],MATCH(Tableau3[[#This Row],[ID-SLOT]],Tableau1[ID-SLOT],0))&amp;""</f>
        <v>S3</v>
      </c>
      <c r="AG1194" s="108" t="str">
        <f>INDEX(Tableau2[Repere-Voie],MATCH(Tableau3[[#This Row],[ID-VOIE]],Tableau2[ID-Voie],0))&amp;""</f>
        <v>v0</v>
      </c>
      <c r="AH1194" s="72" t="str">
        <f>Tableau3[[#This Row],[ID-API]]&amp; "." &amp;Tableau3[[#This Row],[ID-RACK]]&amp; "." &amp;Tableau3[[#This Row],[ID-SLOT]]</f>
        <v>8.1.3</v>
      </c>
      <c r="AI1194" s="72" t="str">
        <f>INDEX(Tableau1[Ref-Carte],MATCH(Tableau3[[#This Row],[ID-RRS]],Tableau1[ID-RRS],0))</f>
        <v>SDO0802</v>
      </c>
      <c r="AJ1194" s="72" t="str">
        <f t="array" ref="AJ1194">IFERROR(INDEX(Tableau2[TS],MATCH(1,(Tableau2[Ref-Carte]=Tableau3[[#This Row],[Ref-Carte2]])*(Tableau2[ID-Voie]=Tableau3[[#This Row],[ID-VOIE]]),0)),"")</f>
        <v>ST</v>
      </c>
      <c r="AK1194" s="72" t="str">
        <f>IFERROR(INDEX(Tableau2[TS],SUMPRODUCT((Tableau2[Ref-Carte]=Tableau3[[#This Row],[Ref-Carte2]])*(Tableau2[ID-Voie]=Tableau3[[#This Row],[ID-VOIE]])*ROW(Tableau2[TS]))-ROW(Tableau2[#Headers])),"")</f>
        <v>ST</v>
      </c>
      <c r="AL1194" s="72" t="str">
        <f>Tableau3[[#This Row],[Ref-Carte2]]&amp;"/"&amp;Tableau3[[#This Row],[ID-VOIE]]</f>
        <v>SDO0802/0</v>
      </c>
      <c r="AM1194" s="73" t="str">
        <f>INDEX(Tableau2[Borne],MATCH(Tableau3[[#This Row],[ID-CARTEVOIE]],Tableau2[ID-CARTEVOIE],0))&amp;""</f>
        <v>0</v>
      </c>
      <c r="AN1194" s="74" t="str">
        <f>Tableau3[[#This Row],[ID-API]]&amp;Tableau3[[#This Row],[ID-RACK]]&amp;Tableau3[[#This Row],[ID-SLOT]]&amp;Tableau3[[#This Row],[BORNE]]</f>
        <v>8130</v>
      </c>
      <c r="AO1194" s="1"/>
    </row>
    <row r="1195" spans="1:41" ht="20.100000000000001" customHeight="1" thickTop="1" thickBot="1">
      <c r="A1195" s="68"/>
      <c r="B1195" s="69" t="str">
        <f>IFERROR(INDEX(Tableau4[Date],MATCH($A1195,Tableau4[EVO],0)),"")</f>
        <v/>
      </c>
      <c r="C1195" s="68" t="str">
        <f>IFERROR(INDEX(Tableau4[Designation],MATCH($A1195,Tableau4[EVO],0)),"")</f>
        <v/>
      </c>
      <c r="D1195" s="68"/>
      <c r="E1195" s="70">
        <v>175</v>
      </c>
      <c r="F1195" s="71">
        <v>325</v>
      </c>
      <c r="G1195" s="101" t="str">
        <f>INDEX(Tableau8[Att1],MATCH(Tableau3[[#This Row],[ID-INS]],Tableau8[ID],0))&amp;""</f>
        <v>Ext</v>
      </c>
      <c r="H1195" s="101"/>
      <c r="I1195" s="101"/>
      <c r="J1195" s="101"/>
      <c r="K1195" s="167" t="str">
        <f>INDEX(Tableau8[Nom du modele],MATCH(Tableau3[[#This Row],[ID-INS]],Tableau8[ID],0))&amp;""</f>
        <v>Ecl</v>
      </c>
      <c r="L1195" s="155" t="s">
        <v>732</v>
      </c>
      <c r="M1195" s="99" t="str">
        <f>INDEX(Tableau5[Att2],MATCH(Tableau3[[#This Row],[ID-SIG]],Tableau5[ID],0))&amp;""</f>
        <v/>
      </c>
      <c r="N1195" s="99" t="str">
        <f>INDEX(Tableau5[Att3],MATCH(Tableau3[[#This Row],[ID-SIG]],Tableau5[ID],0))&amp;""</f>
        <v/>
      </c>
      <c r="O1195" s="99"/>
      <c r="P1195" s="155" t="s">
        <v>732</v>
      </c>
      <c r="Q1195" s="99"/>
      <c r="R1195" s="103" t="str">
        <f>Tableau3[[#This Row],[Description]]</f>
        <v>Reserve</v>
      </c>
      <c r="U1195" s="87">
        <v>8</v>
      </c>
      <c r="V1195" s="87">
        <v>1</v>
      </c>
      <c r="W1195" s="87">
        <v>3</v>
      </c>
      <c r="X1195" s="87">
        <v>1</v>
      </c>
      <c r="Y1195" s="41"/>
      <c r="Z1195" s="165" t="str">
        <f>INDEX(Tableau2[TS],MATCH(Tableau3[[#This Row],[ID-CARTEVOIE]],Tableau2[ID-CARTEVOIE],0))</f>
        <v>ST</v>
      </c>
      <c r="AA1195" s="53" t="s">
        <v>213</v>
      </c>
      <c r="AB1195" s="223" t="str">
        <f>IFERROR(INDEX(Tableau5[Reserve],MATCH(Tableau3[[#This Row],[ID-SIG]],Tableau5[ID],0))&amp;"","")</f>
        <v/>
      </c>
      <c r="AC1195" s="21"/>
      <c r="AD1195" s="108" t="str">
        <f>INDEX(Tableau7[Repere],MATCH(Tableau3[[#This Row],[ID-API]],Tableau7[ID-API],0))&amp;""</f>
        <v>A8</v>
      </c>
      <c r="AE1195" s="108" t="str">
        <f>INDEX(Tableau1[Repere-Rack],MATCH(Tableau3[[#This Row],[ID-RACK]],Tableau1[ID-RACK],0))&amp;""</f>
        <v>R1</v>
      </c>
      <c r="AF1195" s="108" t="str">
        <f>INDEX(Tableau1[Repere-Slot],MATCH(Tableau3[[#This Row],[ID-SLOT]],Tableau1[ID-SLOT],0))&amp;""</f>
        <v>S3</v>
      </c>
      <c r="AG1195" s="108" t="str">
        <f>INDEX(Tableau2[Repere-Voie],MATCH(Tableau3[[#This Row],[ID-VOIE]],Tableau2[ID-Voie],0))&amp;""</f>
        <v>v1</v>
      </c>
      <c r="AH1195" s="72" t="str">
        <f>Tableau3[[#This Row],[ID-API]]&amp; "." &amp;Tableau3[[#This Row],[ID-RACK]]&amp; "." &amp;Tableau3[[#This Row],[ID-SLOT]]</f>
        <v>8.1.3</v>
      </c>
      <c r="AI1195" s="72" t="str">
        <f>INDEX(Tableau1[Ref-Carte],MATCH(Tableau3[[#This Row],[ID-RRS]],Tableau1[ID-RRS],0))</f>
        <v>SDO0802</v>
      </c>
      <c r="AJ1195" s="72" t="str">
        <f t="array" ref="AJ1195">IFERROR(INDEX(Tableau2[TS],MATCH(1,(Tableau2[Ref-Carte]=Tableau3[[#This Row],[Ref-Carte2]])*(Tableau2[ID-Voie]=Tableau3[[#This Row],[ID-VOIE]]),0)),"")</f>
        <v>ST</v>
      </c>
      <c r="AK1195" s="72" t="str">
        <f>IFERROR(INDEX(Tableau2[TS],SUMPRODUCT((Tableau2[Ref-Carte]=Tableau3[[#This Row],[Ref-Carte2]])*(Tableau2[ID-Voie]=Tableau3[[#This Row],[ID-VOIE]])*ROW(Tableau2[TS]))-ROW(Tableau2[#Headers])),"")</f>
        <v>ST</v>
      </c>
      <c r="AL1195" s="72" t="str">
        <f>Tableau3[[#This Row],[Ref-Carte2]]&amp;"/"&amp;Tableau3[[#This Row],[ID-VOIE]]</f>
        <v>SDO0802/1</v>
      </c>
      <c r="AM1195" s="73" t="str">
        <f>INDEX(Tableau2[Borne],MATCH(Tableau3[[#This Row],[ID-CARTEVOIE]],Tableau2[ID-CARTEVOIE],0))&amp;""</f>
        <v>1</v>
      </c>
      <c r="AN1195" s="74" t="str">
        <f>Tableau3[[#This Row],[ID-API]]&amp;Tableau3[[#This Row],[ID-RACK]]&amp;Tableau3[[#This Row],[ID-SLOT]]&amp;Tableau3[[#This Row],[BORNE]]</f>
        <v>8131</v>
      </c>
      <c r="AO1195" s="1"/>
    </row>
    <row r="1196" spans="1:41" ht="20.100000000000001" customHeight="1" thickTop="1" thickBot="1">
      <c r="A1196" s="68"/>
      <c r="B1196" s="69" t="str">
        <f>IFERROR(INDEX(Tableau4[Date],MATCH($A1196,Tableau4[EVO],0)),"")</f>
        <v/>
      </c>
      <c r="C1196" s="68" t="str">
        <f>IFERROR(INDEX(Tableau4[Designation],MATCH($A1196,Tableau4[EVO],0)),"")</f>
        <v/>
      </c>
      <c r="D1196" s="68"/>
      <c r="E1196" s="70">
        <v>176</v>
      </c>
      <c r="F1196" s="71">
        <v>325</v>
      </c>
      <c r="G1196" s="101" t="str">
        <f>INDEX(Tableau8[Att1],MATCH(Tableau3[[#This Row],[ID-INS]],Tableau8[ID],0))&amp;""</f>
        <v>Ext</v>
      </c>
      <c r="H1196" s="101"/>
      <c r="I1196" s="101"/>
      <c r="J1196" s="101"/>
      <c r="K1196" s="167" t="str">
        <f>INDEX(Tableau8[Nom du modele],MATCH(Tableau3[[#This Row],[ID-INS]],Tableau8[ID],0))&amp;""</f>
        <v>Ecl</v>
      </c>
      <c r="L1196" s="155" t="s">
        <v>732</v>
      </c>
      <c r="M1196" s="99" t="str">
        <f>INDEX(Tableau5[Att2],MATCH(Tableau3[[#This Row],[ID-SIG]],Tableau5[ID],0))&amp;""</f>
        <v/>
      </c>
      <c r="N1196" s="99" t="str">
        <f>INDEX(Tableau5[Att3],MATCH(Tableau3[[#This Row],[ID-SIG]],Tableau5[ID],0))&amp;""</f>
        <v/>
      </c>
      <c r="O1196" s="99"/>
      <c r="P1196" s="155" t="s">
        <v>732</v>
      </c>
      <c r="Q1196" s="99"/>
      <c r="R1196" s="103" t="str">
        <f>Tableau3[[#This Row],[Description]]</f>
        <v>Reserve</v>
      </c>
      <c r="U1196" s="87">
        <v>8</v>
      </c>
      <c r="V1196" s="87">
        <v>1</v>
      </c>
      <c r="W1196" s="87">
        <v>3</v>
      </c>
      <c r="X1196" s="87">
        <v>2</v>
      </c>
      <c r="Y1196" s="41"/>
      <c r="Z1196" s="165" t="str">
        <f>INDEX(Tableau2[TS],MATCH(Tableau3[[#This Row],[ID-CARTEVOIE]],Tableau2[ID-CARTEVOIE],0))</f>
        <v>ST</v>
      </c>
      <c r="AA1196" s="53" t="s">
        <v>213</v>
      </c>
      <c r="AB1196" s="223" t="str">
        <f>IFERROR(INDEX(Tableau5[Reserve],MATCH(Tableau3[[#This Row],[ID-SIG]],Tableau5[ID],0))&amp;"","")</f>
        <v/>
      </c>
      <c r="AC1196" s="21"/>
      <c r="AD1196" s="108" t="str">
        <f>INDEX(Tableau7[Repere],MATCH(Tableau3[[#This Row],[ID-API]],Tableau7[ID-API],0))&amp;""</f>
        <v>A8</v>
      </c>
      <c r="AE1196" s="108" t="str">
        <f>INDEX(Tableau1[Repere-Rack],MATCH(Tableau3[[#This Row],[ID-RACK]],Tableau1[ID-RACK],0))&amp;""</f>
        <v>R1</v>
      </c>
      <c r="AF1196" s="108" t="str">
        <f>INDEX(Tableau1[Repere-Slot],MATCH(Tableau3[[#This Row],[ID-SLOT]],Tableau1[ID-SLOT],0))&amp;""</f>
        <v>S3</v>
      </c>
      <c r="AG1196" s="108" t="str">
        <f>INDEX(Tableau2[Repere-Voie],MATCH(Tableau3[[#This Row],[ID-VOIE]],Tableau2[ID-Voie],0))&amp;""</f>
        <v>v2</v>
      </c>
      <c r="AH1196" s="72" t="str">
        <f>Tableau3[[#This Row],[ID-API]]&amp; "." &amp;Tableau3[[#This Row],[ID-RACK]]&amp; "." &amp;Tableau3[[#This Row],[ID-SLOT]]</f>
        <v>8.1.3</v>
      </c>
      <c r="AI1196" s="72" t="str">
        <f>INDEX(Tableau1[Ref-Carte],MATCH(Tableau3[[#This Row],[ID-RRS]],Tableau1[ID-RRS],0))</f>
        <v>SDO0802</v>
      </c>
      <c r="AJ1196" s="72" t="str">
        <f t="array" ref="AJ1196">IFERROR(INDEX(Tableau2[TS],MATCH(1,(Tableau2[Ref-Carte]=Tableau3[[#This Row],[Ref-Carte2]])*(Tableau2[ID-Voie]=Tableau3[[#This Row],[ID-VOIE]]),0)),"")</f>
        <v>ST</v>
      </c>
      <c r="AK1196" s="72" t="str">
        <f>IFERROR(INDEX(Tableau2[TS],SUMPRODUCT((Tableau2[Ref-Carte]=Tableau3[[#This Row],[Ref-Carte2]])*(Tableau2[ID-Voie]=Tableau3[[#This Row],[ID-VOIE]])*ROW(Tableau2[TS]))-ROW(Tableau2[#Headers])),"")</f>
        <v>ST</v>
      </c>
      <c r="AL1196" s="72" t="str">
        <f>Tableau3[[#This Row],[Ref-Carte2]]&amp;"/"&amp;Tableau3[[#This Row],[ID-VOIE]]</f>
        <v>SDO0802/2</v>
      </c>
      <c r="AM1196" s="73" t="str">
        <f>INDEX(Tableau2[Borne],MATCH(Tableau3[[#This Row],[ID-CARTEVOIE]],Tableau2[ID-CARTEVOIE],0))&amp;""</f>
        <v>2</v>
      </c>
      <c r="AN1196" s="74" t="str">
        <f>Tableau3[[#This Row],[ID-API]]&amp;Tableau3[[#This Row],[ID-RACK]]&amp;Tableau3[[#This Row],[ID-SLOT]]&amp;Tableau3[[#This Row],[BORNE]]</f>
        <v>8132</v>
      </c>
      <c r="AO1196" s="1"/>
    </row>
    <row r="1197" spans="1:41" ht="20.100000000000001" customHeight="1" thickTop="1" thickBot="1">
      <c r="A1197" s="110"/>
      <c r="B1197" s="111" t="str">
        <f>IFERROR(INDEX(Tableau4[Date],MATCH($A1197,Tableau4[EVO],0)),"")</f>
        <v/>
      </c>
      <c r="C1197" s="112" t="str">
        <f>IFERROR(INDEX(Tableau4[Designation],MATCH($A1197,Tableau4[EVO],0)),"")</f>
        <v/>
      </c>
      <c r="D1197" s="110"/>
      <c r="E1197" s="113"/>
      <c r="F1197" s="146"/>
      <c r="G1197" s="147" t="e">
        <f>INDEX(Tableau8[Att1],MATCH(Tableau3[[#This Row],[ID-INS]],Tableau8[ID],0))&amp;""</f>
        <v>#N/A</v>
      </c>
      <c r="H1197" s="147" t="e">
        <f>INDEX(Tableau8[Att2],MATCH(Tableau3[[#This Row],[ID-INS]],Tableau8[ID],0))&amp;""</f>
        <v>#N/A</v>
      </c>
      <c r="I1197" s="147" t="e">
        <f>INDEX(Tableau8[Att3],MATCH(Tableau3[[#This Row],[ID-INS]],Tableau8[ID],0))&amp;""</f>
        <v>#N/A</v>
      </c>
      <c r="J1197" s="148"/>
      <c r="K1197" s="167" t="e">
        <f>INDEX(Tableau8[Nom du modele],MATCH(Tableau3[[#This Row],[ID-INS]],Tableau8[ID],0))&amp;""</f>
        <v>#N/A</v>
      </c>
      <c r="L1197" s="149" t="e">
        <f>INDEX(Tableau5[Att1],MATCH(Tableau3[[#This Row],[ID-SIG]],Tableau5[ID],0))&amp;""</f>
        <v>#N/A</v>
      </c>
      <c r="M1197" s="149" t="e">
        <f>INDEX(Tableau5[Att2],MATCH(Tableau3[[#This Row],[ID-SIG]],Tableau5[ID],0))&amp;""</f>
        <v>#N/A</v>
      </c>
      <c r="N1197" s="149" t="e">
        <f>INDEX(Tableau5[Att3],MATCH(Tableau3[[#This Row],[ID-SIG]],Tableau5[ID],0))&amp;""</f>
        <v>#N/A</v>
      </c>
      <c r="O1197" s="150"/>
      <c r="P1197" s="149" t="e">
        <f>INDEX(Tableau5[Description],MATCH(Tableau3[[#This Row],[ID-SIG]],Tableau5[ID],0))</f>
        <v>#N/A</v>
      </c>
      <c r="Q1197" s="150"/>
      <c r="R1197" s="117" t="e">
        <f>Tableau3[[#This Row],[Description]]</f>
        <v>#N/A</v>
      </c>
      <c r="S1197" s="75"/>
      <c r="T1197" s="75"/>
      <c r="U1197" s="151">
        <v>8</v>
      </c>
      <c r="V1197" s="151">
        <v>1</v>
      </c>
      <c r="W1197" s="151">
        <v>3</v>
      </c>
      <c r="X1197" s="151">
        <v>3</v>
      </c>
      <c r="Y1197" s="41"/>
      <c r="Z1197" s="166" t="str">
        <f>INDEX(Tableau2[TS],MATCH(Tableau3[[#This Row],[ID-CARTEVOIE]],Tableau2[ID-CARTEVOIE],0))</f>
        <v>ST</v>
      </c>
      <c r="AA1197" s="81" t="s">
        <v>213</v>
      </c>
      <c r="AB1197" s="226" t="str">
        <f>IFERROR(INDEX(Tableau5[Reserve],MATCH(Tableau3[[#This Row],[ID-SIG]],Tableau5[ID],0))&amp;"","")</f>
        <v/>
      </c>
      <c r="AC1197" s="119" t="s">
        <v>1456</v>
      </c>
      <c r="AD1197" s="120" t="str">
        <f>INDEX(Tableau7[Repere],MATCH(Tableau3[[#This Row],[ID-API]],Tableau7[ID-API],0))&amp;""</f>
        <v>A8</v>
      </c>
      <c r="AE1197" s="121" t="str">
        <f>INDEX(Tableau1[Repere-Rack],MATCH(Tableau3[[#This Row],[ID-RACK]],Tableau1[ID-RACK],0))&amp;""</f>
        <v>R1</v>
      </c>
      <c r="AF1197" s="121" t="str">
        <f>INDEX(Tableau1[Repere-Slot],MATCH(Tableau3[[#This Row],[ID-SLOT]],Tableau1[ID-SLOT],0))&amp;""</f>
        <v>S3</v>
      </c>
      <c r="AG1197" s="121" t="str">
        <f>INDEX(Tableau2[Repere-Voie],MATCH(Tableau3[[#This Row],[ID-VOIE]],Tableau2[ID-Voie],0))&amp;""</f>
        <v>v3</v>
      </c>
      <c r="AH1197" s="122" t="str">
        <f>Tableau3[[#This Row],[ID-API]]&amp; "." &amp;Tableau3[[#This Row],[ID-RACK]]&amp; "." &amp;Tableau3[[#This Row],[ID-SLOT]]</f>
        <v>8.1.3</v>
      </c>
      <c r="AI1197" s="72" t="str">
        <f>INDEX(Tableau1[Ref-Carte],MATCH(Tableau3[[#This Row],[ID-RRS]],Tableau1[ID-RRS],0))</f>
        <v>SDO0802</v>
      </c>
      <c r="AJ1197" s="72" t="str">
        <f t="array" ref="AJ1197">IFERROR(INDEX(Tableau2[TS],MATCH(1,(Tableau2[Ref-Carte]=Tableau3[[#This Row],[Ref-Carte2]])*(Tableau2[ID-Voie]=Tableau3[[#This Row],[ID-VOIE]]),0)),"")</f>
        <v>ST</v>
      </c>
      <c r="AK1197" s="72" t="str">
        <f>IFERROR(INDEX(Tableau2[TS],SUMPRODUCT((Tableau2[Ref-Carte]=Tableau3[[#This Row],[Ref-Carte2]])*(Tableau2[ID-Voie]=Tableau3[[#This Row],[ID-VOIE]])*ROW(Tableau2[TS]))-ROW(Tableau2[#Headers])),"")</f>
        <v>ST</v>
      </c>
      <c r="AL1197" s="122" t="str">
        <f>Tableau3[[#This Row],[Ref-Carte2]]&amp;"/"&amp;Tableau3[[#This Row],[ID-VOIE]]</f>
        <v>SDO0802/3</v>
      </c>
      <c r="AM1197" s="123" t="str">
        <f>INDEX(Tableau2[Borne],MATCH(Tableau3[[#This Row],[ID-CARTEVOIE]],Tableau2[ID-CARTEVOIE],0))&amp;""</f>
        <v>3</v>
      </c>
      <c r="AN1197" s="124" t="str">
        <f>Tableau3[[#This Row],[ID-API]]&amp;Tableau3[[#This Row],[ID-RACK]]&amp;Tableau3[[#This Row],[ID-SLOT]]&amp;Tableau3[[#This Row],[BORNE]]</f>
        <v>8133</v>
      </c>
      <c r="AO1197" s="125"/>
    </row>
    <row r="1198" spans="1:41" ht="20.100000000000001" customHeight="1" thickTop="1" thickBot="1">
      <c r="A1198" s="110"/>
      <c r="B1198" s="111" t="str">
        <f>IFERROR(INDEX(Tableau4[Date],MATCH($A1198,Tableau4[EVO],0)),"")</f>
        <v/>
      </c>
      <c r="C1198" s="112" t="str">
        <f>IFERROR(INDEX(Tableau4[Designation],MATCH($A1198,Tableau4[EVO],0)),"")</f>
        <v/>
      </c>
      <c r="D1198" s="110"/>
      <c r="E1198" s="113"/>
      <c r="F1198" s="146"/>
      <c r="G1198" s="147" t="e">
        <f>INDEX(Tableau8[Att1],MATCH(Tableau3[[#This Row],[ID-INS]],Tableau8[ID],0))&amp;""</f>
        <v>#N/A</v>
      </c>
      <c r="H1198" s="147" t="e">
        <f>INDEX(Tableau8[Att2],MATCH(Tableau3[[#This Row],[ID-INS]],Tableau8[ID],0))&amp;""</f>
        <v>#N/A</v>
      </c>
      <c r="I1198" s="147" t="e">
        <f>INDEX(Tableau8[Att3],MATCH(Tableau3[[#This Row],[ID-INS]],Tableau8[ID],0))&amp;""</f>
        <v>#N/A</v>
      </c>
      <c r="J1198" s="148"/>
      <c r="K1198" s="167" t="e">
        <f>INDEX(Tableau8[Nom du modele],MATCH(Tableau3[[#This Row],[ID-INS]],Tableau8[ID],0))&amp;""</f>
        <v>#N/A</v>
      </c>
      <c r="L1198" s="149" t="e">
        <f>INDEX(Tableau5[Att1],MATCH(Tableau3[[#This Row],[ID-SIG]],Tableau5[ID],0))&amp;""</f>
        <v>#N/A</v>
      </c>
      <c r="M1198" s="149" t="e">
        <f>INDEX(Tableau5[Att2],MATCH(Tableau3[[#This Row],[ID-SIG]],Tableau5[ID],0))&amp;""</f>
        <v>#N/A</v>
      </c>
      <c r="N1198" s="149" t="e">
        <f>INDEX(Tableau5[Att3],MATCH(Tableau3[[#This Row],[ID-SIG]],Tableau5[ID],0))&amp;""</f>
        <v>#N/A</v>
      </c>
      <c r="O1198" s="150"/>
      <c r="P1198" s="149" t="e">
        <f>INDEX(Tableau5[Description],MATCH(Tableau3[[#This Row],[ID-SIG]],Tableau5[ID],0))</f>
        <v>#N/A</v>
      </c>
      <c r="Q1198" s="150"/>
      <c r="R1198" s="117" t="e">
        <f>Tableau3[[#This Row],[Description]]</f>
        <v>#N/A</v>
      </c>
      <c r="S1198" s="75"/>
      <c r="T1198" s="75"/>
      <c r="U1198" s="160">
        <v>8</v>
      </c>
      <c r="V1198" s="160">
        <v>1</v>
      </c>
      <c r="W1198" s="160">
        <v>3</v>
      </c>
      <c r="X1198" s="160">
        <v>4</v>
      </c>
      <c r="Y1198" s="41"/>
      <c r="Z1198" s="166" t="str">
        <f>INDEX(Tableau2[TS],MATCH(Tableau3[[#This Row],[ID-CARTEVOIE]],Tableau2[ID-CARTEVOIE],0))</f>
        <v>ST</v>
      </c>
      <c r="AA1198" s="81" t="s">
        <v>213</v>
      </c>
      <c r="AB1198" s="226" t="str">
        <f>IFERROR(INDEX(Tableau5[Reserve],MATCH(Tableau3[[#This Row],[ID-SIG]],Tableau5[ID],0))&amp;"","")</f>
        <v/>
      </c>
      <c r="AC1198" s="119" t="s">
        <v>1456</v>
      </c>
      <c r="AD1198" s="120" t="str">
        <f>INDEX(Tableau7[Repere],MATCH(Tableau3[[#This Row],[ID-API]],Tableau7[ID-API],0))&amp;""</f>
        <v>A8</v>
      </c>
      <c r="AE1198" s="121" t="str">
        <f>INDEX(Tableau1[Repere-Rack],MATCH(Tableau3[[#This Row],[ID-RACK]],Tableau1[ID-RACK],0))&amp;""</f>
        <v>R1</v>
      </c>
      <c r="AF1198" s="121" t="str">
        <f>INDEX(Tableau1[Repere-Slot],MATCH(Tableau3[[#This Row],[ID-SLOT]],Tableau1[ID-SLOT],0))&amp;""</f>
        <v>S3</v>
      </c>
      <c r="AG1198" s="121" t="str">
        <f>INDEX(Tableau2[Repere-Voie],MATCH(Tableau3[[#This Row],[ID-VOIE]],Tableau2[ID-Voie],0))&amp;""</f>
        <v>v4</v>
      </c>
      <c r="AH1198" s="122" t="str">
        <f>Tableau3[[#This Row],[ID-API]]&amp; "." &amp;Tableau3[[#This Row],[ID-RACK]]&amp; "." &amp;Tableau3[[#This Row],[ID-SLOT]]</f>
        <v>8.1.3</v>
      </c>
      <c r="AI1198" s="72" t="str">
        <f>INDEX(Tableau1[Ref-Carte],MATCH(Tableau3[[#This Row],[ID-RRS]],Tableau1[ID-RRS],0))</f>
        <v>SDO0802</v>
      </c>
      <c r="AJ1198" s="72" t="str">
        <f t="array" ref="AJ1198">IFERROR(INDEX(Tableau2[TS],MATCH(1,(Tableau2[Ref-Carte]=Tableau3[[#This Row],[Ref-Carte2]])*(Tableau2[ID-Voie]=Tableau3[[#This Row],[ID-VOIE]]),0)),"")</f>
        <v>ST</v>
      </c>
      <c r="AK1198" s="72" t="str">
        <f>IFERROR(INDEX(Tableau2[TS],SUMPRODUCT((Tableau2[Ref-Carte]=Tableau3[[#This Row],[Ref-Carte2]])*(Tableau2[ID-Voie]=Tableau3[[#This Row],[ID-VOIE]])*ROW(Tableau2[TS]))-ROW(Tableau2[#Headers])),"")</f>
        <v>ST</v>
      </c>
      <c r="AL1198" s="122" t="str">
        <f>Tableau3[[#This Row],[Ref-Carte2]]&amp;"/"&amp;Tableau3[[#This Row],[ID-VOIE]]</f>
        <v>SDO0802/4</v>
      </c>
      <c r="AM1198" s="123" t="str">
        <f>INDEX(Tableau2[Borne],MATCH(Tableau3[[#This Row],[ID-CARTEVOIE]],Tableau2[ID-CARTEVOIE],0))&amp;""</f>
        <v>4</v>
      </c>
      <c r="AN1198" s="124" t="str">
        <f>Tableau3[[#This Row],[ID-API]]&amp;Tableau3[[#This Row],[ID-RACK]]&amp;Tableau3[[#This Row],[ID-SLOT]]&amp;Tableau3[[#This Row],[BORNE]]</f>
        <v>8134</v>
      </c>
      <c r="AO1198" s="125"/>
    </row>
    <row r="1199" spans="1:41" ht="20.100000000000001" customHeight="1" thickTop="1" thickBot="1">
      <c r="A1199" s="110"/>
      <c r="B1199" s="111" t="str">
        <f>IFERROR(INDEX(Tableau4[Date],MATCH($A1199,Tableau4[EVO],0)),"")</f>
        <v/>
      </c>
      <c r="C1199" s="112" t="str">
        <f>IFERROR(INDEX(Tableau4[Designation],MATCH($A1199,Tableau4[EVO],0)),"")</f>
        <v/>
      </c>
      <c r="D1199" s="110"/>
      <c r="E1199" s="113"/>
      <c r="F1199" s="146"/>
      <c r="G1199" s="147" t="e">
        <f>INDEX(Tableau8[Att1],MATCH(Tableau3[[#This Row],[ID-INS]],Tableau8[ID],0))&amp;""</f>
        <v>#N/A</v>
      </c>
      <c r="H1199" s="147" t="e">
        <f>INDEX(Tableau8[Att2],MATCH(Tableau3[[#This Row],[ID-INS]],Tableau8[ID],0))&amp;""</f>
        <v>#N/A</v>
      </c>
      <c r="I1199" s="147" t="e">
        <f>INDEX(Tableau8[Att3],MATCH(Tableau3[[#This Row],[ID-INS]],Tableau8[ID],0))&amp;""</f>
        <v>#N/A</v>
      </c>
      <c r="J1199" s="148"/>
      <c r="K1199" s="167" t="e">
        <f>INDEX(Tableau8[Nom du modele],MATCH(Tableau3[[#This Row],[ID-INS]],Tableau8[ID],0))&amp;""</f>
        <v>#N/A</v>
      </c>
      <c r="L1199" s="149" t="e">
        <f>INDEX(Tableau5[Att1],MATCH(Tableau3[[#This Row],[ID-SIG]],Tableau5[ID],0))&amp;""</f>
        <v>#N/A</v>
      </c>
      <c r="M1199" s="149" t="e">
        <f>INDEX(Tableau5[Att2],MATCH(Tableau3[[#This Row],[ID-SIG]],Tableau5[ID],0))&amp;""</f>
        <v>#N/A</v>
      </c>
      <c r="N1199" s="149" t="e">
        <f>INDEX(Tableau5[Att3],MATCH(Tableau3[[#This Row],[ID-SIG]],Tableau5[ID],0))&amp;""</f>
        <v>#N/A</v>
      </c>
      <c r="O1199" s="150"/>
      <c r="P1199" s="149" t="e">
        <f>INDEX(Tableau5[Description],MATCH(Tableau3[[#This Row],[ID-SIG]],Tableau5[ID],0))</f>
        <v>#N/A</v>
      </c>
      <c r="Q1199" s="150"/>
      <c r="R1199" s="117" t="e">
        <f>Tableau3[[#This Row],[Description]]</f>
        <v>#N/A</v>
      </c>
      <c r="S1199" s="75"/>
      <c r="T1199" s="75"/>
      <c r="U1199" s="151">
        <v>8</v>
      </c>
      <c r="V1199" s="151">
        <v>1</v>
      </c>
      <c r="W1199" s="151">
        <v>3</v>
      </c>
      <c r="X1199" s="151">
        <v>5</v>
      </c>
      <c r="Y1199" s="41"/>
      <c r="Z1199" s="166" t="str">
        <f>INDEX(Tableau2[TS],MATCH(Tableau3[[#This Row],[ID-CARTEVOIE]],Tableau2[ID-CARTEVOIE],0))</f>
        <v>ST</v>
      </c>
      <c r="AA1199" s="81" t="s">
        <v>213</v>
      </c>
      <c r="AB1199" s="226" t="str">
        <f>IFERROR(INDEX(Tableau5[Reserve],MATCH(Tableau3[[#This Row],[ID-SIG]],Tableau5[ID],0))&amp;"","")</f>
        <v/>
      </c>
      <c r="AC1199" s="119" t="s">
        <v>1456</v>
      </c>
      <c r="AD1199" s="120" t="str">
        <f>INDEX(Tableau7[Repere],MATCH(Tableau3[[#This Row],[ID-API]],Tableau7[ID-API],0))&amp;""</f>
        <v>A8</v>
      </c>
      <c r="AE1199" s="121" t="str">
        <f>INDEX(Tableau1[Repere-Rack],MATCH(Tableau3[[#This Row],[ID-RACK]],Tableau1[ID-RACK],0))&amp;""</f>
        <v>R1</v>
      </c>
      <c r="AF1199" s="121" t="str">
        <f>INDEX(Tableau1[Repere-Slot],MATCH(Tableau3[[#This Row],[ID-SLOT]],Tableau1[ID-SLOT],0))&amp;""</f>
        <v>S3</v>
      </c>
      <c r="AG1199" s="121" t="str">
        <f>INDEX(Tableau2[Repere-Voie],MATCH(Tableau3[[#This Row],[ID-VOIE]],Tableau2[ID-Voie],0))&amp;""</f>
        <v>v5</v>
      </c>
      <c r="AH1199" s="122" t="str">
        <f>Tableau3[[#This Row],[ID-API]]&amp; "." &amp;Tableau3[[#This Row],[ID-RACK]]&amp; "." &amp;Tableau3[[#This Row],[ID-SLOT]]</f>
        <v>8.1.3</v>
      </c>
      <c r="AI1199" s="72" t="str">
        <f>INDEX(Tableau1[Ref-Carte],MATCH(Tableau3[[#This Row],[ID-RRS]],Tableau1[ID-RRS],0))</f>
        <v>SDO0802</v>
      </c>
      <c r="AJ1199" s="72" t="str">
        <f t="array" ref="AJ1199">IFERROR(INDEX(Tableau2[TS],MATCH(1,(Tableau2[Ref-Carte]=Tableau3[[#This Row],[Ref-Carte2]])*(Tableau2[ID-Voie]=Tableau3[[#This Row],[ID-VOIE]]),0)),"")</f>
        <v>ST</v>
      </c>
      <c r="AK1199" s="72" t="str">
        <f>IFERROR(INDEX(Tableau2[TS],SUMPRODUCT((Tableau2[Ref-Carte]=Tableau3[[#This Row],[Ref-Carte2]])*(Tableau2[ID-Voie]=Tableau3[[#This Row],[ID-VOIE]])*ROW(Tableau2[TS]))-ROW(Tableau2[#Headers])),"")</f>
        <v>ST</v>
      </c>
      <c r="AL1199" s="122" t="str">
        <f>Tableau3[[#This Row],[Ref-Carte2]]&amp;"/"&amp;Tableau3[[#This Row],[ID-VOIE]]</f>
        <v>SDO0802/5</v>
      </c>
      <c r="AM1199" s="123" t="str">
        <f>INDEX(Tableau2[Borne],MATCH(Tableau3[[#This Row],[ID-CARTEVOIE]],Tableau2[ID-CARTEVOIE],0))&amp;""</f>
        <v>5</v>
      </c>
      <c r="AN1199" s="124" t="str">
        <f>Tableau3[[#This Row],[ID-API]]&amp;Tableau3[[#This Row],[ID-RACK]]&amp;Tableau3[[#This Row],[ID-SLOT]]&amp;Tableau3[[#This Row],[BORNE]]</f>
        <v>8135</v>
      </c>
      <c r="AO1199" s="125"/>
    </row>
    <row r="1200" spans="1:41" ht="20.100000000000001" customHeight="1" thickTop="1" thickBot="1">
      <c r="A1200" s="110"/>
      <c r="B1200" s="111" t="str">
        <f>IFERROR(INDEX(Tableau4[Date],MATCH($A1200,Tableau4[EVO],0)),"")</f>
        <v/>
      </c>
      <c r="C1200" s="112" t="str">
        <f>IFERROR(INDEX(Tableau4[Designation],MATCH($A1200,Tableau4[EVO],0)),"")</f>
        <v/>
      </c>
      <c r="D1200" s="110"/>
      <c r="E1200" s="113"/>
      <c r="F1200" s="146"/>
      <c r="G1200" s="147" t="e">
        <f>INDEX(Tableau8[Att1],MATCH(Tableau3[[#This Row],[ID-INS]],Tableau8[ID],0))&amp;""</f>
        <v>#N/A</v>
      </c>
      <c r="H1200" s="147" t="e">
        <f>INDEX(Tableau8[Att2],MATCH(Tableau3[[#This Row],[ID-INS]],Tableau8[ID],0))&amp;""</f>
        <v>#N/A</v>
      </c>
      <c r="I1200" s="147" t="e">
        <f>INDEX(Tableau8[Att3],MATCH(Tableau3[[#This Row],[ID-INS]],Tableau8[ID],0))&amp;""</f>
        <v>#N/A</v>
      </c>
      <c r="J1200" s="148"/>
      <c r="K1200" s="167" t="e">
        <f>INDEX(Tableau8[Nom du modele],MATCH(Tableau3[[#This Row],[ID-INS]],Tableau8[ID],0))&amp;""</f>
        <v>#N/A</v>
      </c>
      <c r="L1200" s="149" t="e">
        <f>INDEX(Tableau5[Att1],MATCH(Tableau3[[#This Row],[ID-SIG]],Tableau5[ID],0))&amp;""</f>
        <v>#N/A</v>
      </c>
      <c r="M1200" s="149" t="e">
        <f>INDEX(Tableau5[Att2],MATCH(Tableau3[[#This Row],[ID-SIG]],Tableau5[ID],0))&amp;""</f>
        <v>#N/A</v>
      </c>
      <c r="N1200" s="149" t="e">
        <f>INDEX(Tableau5[Att3],MATCH(Tableau3[[#This Row],[ID-SIG]],Tableau5[ID],0))&amp;""</f>
        <v>#N/A</v>
      </c>
      <c r="O1200" s="150"/>
      <c r="P1200" s="149" t="e">
        <f>INDEX(Tableau5[Description],MATCH(Tableau3[[#This Row],[ID-SIG]],Tableau5[ID],0))</f>
        <v>#N/A</v>
      </c>
      <c r="Q1200" s="150"/>
      <c r="R1200" s="117" t="e">
        <f>Tableau3[[#This Row],[Description]]</f>
        <v>#N/A</v>
      </c>
      <c r="S1200" s="75"/>
      <c r="T1200" s="75"/>
      <c r="U1200" s="160">
        <v>8</v>
      </c>
      <c r="V1200" s="160">
        <v>1</v>
      </c>
      <c r="W1200" s="160">
        <v>3</v>
      </c>
      <c r="X1200" s="160">
        <v>6</v>
      </c>
      <c r="Y1200" s="41"/>
      <c r="Z1200" s="166" t="str">
        <f>INDEX(Tableau2[TS],MATCH(Tableau3[[#This Row],[ID-CARTEVOIE]],Tableau2[ID-CARTEVOIE],0))</f>
        <v>ST</v>
      </c>
      <c r="AA1200" s="81" t="s">
        <v>213</v>
      </c>
      <c r="AB1200" s="226" t="str">
        <f>IFERROR(INDEX(Tableau5[Reserve],MATCH(Tableau3[[#This Row],[ID-SIG]],Tableau5[ID],0))&amp;"","")</f>
        <v/>
      </c>
      <c r="AC1200" s="119" t="s">
        <v>1456</v>
      </c>
      <c r="AD1200" s="120" t="str">
        <f>INDEX(Tableau7[Repere],MATCH(Tableau3[[#This Row],[ID-API]],Tableau7[ID-API],0))&amp;""</f>
        <v>A8</v>
      </c>
      <c r="AE1200" s="121" t="str">
        <f>INDEX(Tableau1[Repere-Rack],MATCH(Tableau3[[#This Row],[ID-RACK]],Tableau1[ID-RACK],0))&amp;""</f>
        <v>R1</v>
      </c>
      <c r="AF1200" s="121" t="str">
        <f>INDEX(Tableau1[Repere-Slot],MATCH(Tableau3[[#This Row],[ID-SLOT]],Tableau1[ID-SLOT],0))&amp;""</f>
        <v>S3</v>
      </c>
      <c r="AG1200" s="121" t="str">
        <f>INDEX(Tableau2[Repere-Voie],MATCH(Tableau3[[#This Row],[ID-VOIE]],Tableau2[ID-Voie],0))&amp;""</f>
        <v>v6</v>
      </c>
      <c r="AH1200" s="122" t="str">
        <f>Tableau3[[#This Row],[ID-API]]&amp; "." &amp;Tableau3[[#This Row],[ID-RACK]]&amp; "." &amp;Tableau3[[#This Row],[ID-SLOT]]</f>
        <v>8.1.3</v>
      </c>
      <c r="AI1200" s="72" t="str">
        <f>INDEX(Tableau1[Ref-Carte],MATCH(Tableau3[[#This Row],[ID-RRS]],Tableau1[ID-RRS],0))</f>
        <v>SDO0802</v>
      </c>
      <c r="AJ1200" s="72" t="str">
        <f t="array" ref="AJ1200">IFERROR(INDEX(Tableau2[TS],MATCH(1,(Tableau2[Ref-Carte]=Tableau3[[#This Row],[Ref-Carte2]])*(Tableau2[ID-Voie]=Tableau3[[#This Row],[ID-VOIE]]),0)),"")</f>
        <v>ST</v>
      </c>
      <c r="AK1200" s="72" t="str">
        <f>IFERROR(INDEX(Tableau2[TS],SUMPRODUCT((Tableau2[Ref-Carte]=Tableau3[[#This Row],[Ref-Carte2]])*(Tableau2[ID-Voie]=Tableau3[[#This Row],[ID-VOIE]])*ROW(Tableau2[TS]))-ROW(Tableau2[#Headers])),"")</f>
        <v>ST</v>
      </c>
      <c r="AL1200" s="122" t="str">
        <f>Tableau3[[#This Row],[Ref-Carte2]]&amp;"/"&amp;Tableau3[[#This Row],[ID-VOIE]]</f>
        <v>SDO0802/6</v>
      </c>
      <c r="AM1200" s="123" t="str">
        <f>INDEX(Tableau2[Borne],MATCH(Tableau3[[#This Row],[ID-CARTEVOIE]],Tableau2[ID-CARTEVOIE],0))&amp;""</f>
        <v>6</v>
      </c>
      <c r="AN1200" s="124" t="str">
        <f>Tableau3[[#This Row],[ID-API]]&amp;Tableau3[[#This Row],[ID-RACK]]&amp;Tableau3[[#This Row],[ID-SLOT]]&amp;Tableau3[[#This Row],[BORNE]]</f>
        <v>8136</v>
      </c>
      <c r="AO1200" s="125"/>
    </row>
    <row r="1201" spans="1:41" ht="20.100000000000001" customHeight="1" thickTop="1" thickBot="1">
      <c r="A1201" s="110"/>
      <c r="B1201" s="111" t="str">
        <f>IFERROR(INDEX(Tableau4[Date],MATCH($A1201,Tableau4[EVO],0)),"")</f>
        <v/>
      </c>
      <c r="C1201" s="112" t="str">
        <f>IFERROR(INDEX(Tableau4[Designation],MATCH($A1201,Tableau4[EVO],0)),"")</f>
        <v/>
      </c>
      <c r="D1201" s="110"/>
      <c r="E1201" s="113"/>
      <c r="F1201" s="146"/>
      <c r="G1201" s="147" t="e">
        <f>INDEX(Tableau8[Att1],MATCH(Tableau3[[#This Row],[ID-INS]],Tableau8[ID],0))&amp;""</f>
        <v>#N/A</v>
      </c>
      <c r="H1201" s="147" t="e">
        <f>INDEX(Tableau8[Att2],MATCH(Tableau3[[#This Row],[ID-INS]],Tableau8[ID],0))&amp;""</f>
        <v>#N/A</v>
      </c>
      <c r="I1201" s="147" t="e">
        <f>INDEX(Tableau8[Att3],MATCH(Tableau3[[#This Row],[ID-INS]],Tableau8[ID],0))&amp;""</f>
        <v>#N/A</v>
      </c>
      <c r="J1201" s="148"/>
      <c r="K1201" s="167" t="e">
        <f>INDEX(Tableau8[Nom du modele],MATCH(Tableau3[[#This Row],[ID-INS]],Tableau8[ID],0))&amp;""</f>
        <v>#N/A</v>
      </c>
      <c r="L1201" s="149" t="e">
        <f>INDEX(Tableau5[Att1],MATCH(Tableau3[[#This Row],[ID-SIG]],Tableau5[ID],0))&amp;""</f>
        <v>#N/A</v>
      </c>
      <c r="M1201" s="149" t="e">
        <f>INDEX(Tableau5[Att2],MATCH(Tableau3[[#This Row],[ID-SIG]],Tableau5[ID],0))&amp;""</f>
        <v>#N/A</v>
      </c>
      <c r="N1201" s="149" t="e">
        <f>INDEX(Tableau5[Att3],MATCH(Tableau3[[#This Row],[ID-SIG]],Tableau5[ID],0))&amp;""</f>
        <v>#N/A</v>
      </c>
      <c r="O1201" s="150"/>
      <c r="P1201" s="149" t="e">
        <f>INDEX(Tableau5[Description],MATCH(Tableau3[[#This Row],[ID-SIG]],Tableau5[ID],0))</f>
        <v>#N/A</v>
      </c>
      <c r="Q1201" s="150"/>
      <c r="R1201" s="117" t="e">
        <f>Tableau3[[#This Row],[Description]]</f>
        <v>#N/A</v>
      </c>
      <c r="S1201" s="75"/>
      <c r="T1201" s="75"/>
      <c r="U1201" s="151">
        <v>8</v>
      </c>
      <c r="V1201" s="151">
        <v>1</v>
      </c>
      <c r="W1201" s="151">
        <v>3</v>
      </c>
      <c r="X1201" s="151">
        <v>7</v>
      </c>
      <c r="Y1201" s="41"/>
      <c r="Z1201" s="166" t="str">
        <f>INDEX(Tableau2[TS],MATCH(Tableau3[[#This Row],[ID-CARTEVOIE]],Tableau2[ID-CARTEVOIE],0))</f>
        <v>ST</v>
      </c>
      <c r="AA1201" s="81" t="s">
        <v>213</v>
      </c>
      <c r="AB1201" s="226" t="str">
        <f>IFERROR(INDEX(Tableau5[Reserve],MATCH(Tableau3[[#This Row],[ID-SIG]],Tableau5[ID],0))&amp;"","")</f>
        <v/>
      </c>
      <c r="AC1201" s="119" t="s">
        <v>1456</v>
      </c>
      <c r="AD1201" s="120" t="str">
        <f>INDEX(Tableau7[Repere],MATCH(Tableau3[[#This Row],[ID-API]],Tableau7[ID-API],0))&amp;""</f>
        <v>A8</v>
      </c>
      <c r="AE1201" s="121" t="str">
        <f>INDEX(Tableau1[Repere-Rack],MATCH(Tableau3[[#This Row],[ID-RACK]],Tableau1[ID-RACK],0))&amp;""</f>
        <v>R1</v>
      </c>
      <c r="AF1201" s="121" t="str">
        <f>INDEX(Tableau1[Repere-Slot],MATCH(Tableau3[[#This Row],[ID-SLOT]],Tableau1[ID-SLOT],0))&amp;""</f>
        <v>S3</v>
      </c>
      <c r="AG1201" s="121" t="str">
        <f>INDEX(Tableau2[Repere-Voie],MATCH(Tableau3[[#This Row],[ID-VOIE]],Tableau2[ID-Voie],0))&amp;""</f>
        <v>v7</v>
      </c>
      <c r="AH1201" s="122" t="str">
        <f>Tableau3[[#This Row],[ID-API]]&amp; "." &amp;Tableau3[[#This Row],[ID-RACK]]&amp; "." &amp;Tableau3[[#This Row],[ID-SLOT]]</f>
        <v>8.1.3</v>
      </c>
      <c r="AI1201" s="72" t="str">
        <f>INDEX(Tableau1[Ref-Carte],MATCH(Tableau3[[#This Row],[ID-RRS]],Tableau1[ID-RRS],0))</f>
        <v>SDO0802</v>
      </c>
      <c r="AJ1201" s="72" t="str">
        <f t="array" ref="AJ1201">IFERROR(INDEX(Tableau2[TS],MATCH(1,(Tableau2[Ref-Carte]=Tableau3[[#This Row],[Ref-Carte2]])*(Tableau2[ID-Voie]=Tableau3[[#This Row],[ID-VOIE]]),0)),"")</f>
        <v>ST</v>
      </c>
      <c r="AK1201" s="72" t="str">
        <f>IFERROR(INDEX(Tableau2[TS],SUMPRODUCT((Tableau2[Ref-Carte]=Tableau3[[#This Row],[Ref-Carte2]])*(Tableau2[ID-Voie]=Tableau3[[#This Row],[ID-VOIE]])*ROW(Tableau2[TS]))-ROW(Tableau2[#Headers])),"")</f>
        <v>ST</v>
      </c>
      <c r="AL1201" s="122" t="str">
        <f>Tableau3[[#This Row],[Ref-Carte2]]&amp;"/"&amp;Tableau3[[#This Row],[ID-VOIE]]</f>
        <v>SDO0802/7</v>
      </c>
      <c r="AM1201" s="123" t="str">
        <f>INDEX(Tableau2[Borne],MATCH(Tableau3[[#This Row],[ID-CARTEVOIE]],Tableau2[ID-CARTEVOIE],0))&amp;""</f>
        <v>7</v>
      </c>
      <c r="AN1201" s="124" t="str">
        <f>Tableau3[[#This Row],[ID-API]]&amp;Tableau3[[#This Row],[ID-RACK]]&amp;Tableau3[[#This Row],[ID-SLOT]]&amp;Tableau3[[#This Row],[BORNE]]</f>
        <v>8137</v>
      </c>
      <c r="AO1201" s="125"/>
    </row>
    <row r="1202" spans="1:41" ht="20.100000000000001" customHeight="1" thickTop="1" thickBot="1">
      <c r="A1202" s="68"/>
      <c r="B1202" s="69" t="str">
        <f>IFERROR(INDEX(Tableau4[Date],MATCH($A1202,Tableau4[EVO],0)),"")</f>
        <v/>
      </c>
      <c r="C1202" s="68" t="str">
        <f>IFERROR(INDEX(Tableau4[Designation],MATCH($A1202,Tableau4[EVO],0)),"")</f>
        <v/>
      </c>
      <c r="D1202" s="68"/>
      <c r="E1202" s="70">
        <v>17</v>
      </c>
      <c r="F1202" s="71">
        <v>100</v>
      </c>
      <c r="G1202" s="101" t="str">
        <f>INDEX(Tableau8[Att1],MATCH(Tableau3[[#This Row],[ID-INS]],Tableau8[ID],0))&amp;""</f>
        <v>B11</v>
      </c>
      <c r="H1202" s="101" t="str">
        <f>INDEX(Tableau8[Att2],MATCH(Tableau3[[#This Row],[ID-INS]],Tableau8[ID],0))&amp;""</f>
        <v>PCS_CDP3</v>
      </c>
      <c r="I1202" s="101" t="str">
        <f>INDEX(Tableau8[Att3],MATCH(Tableau3[[#This Row],[ID-INS]],Tableau8[ID],0))&amp;""</f>
        <v>PCS CDP3</v>
      </c>
      <c r="J1202" s="101"/>
      <c r="K1202" s="167" t="str">
        <f>INDEX(Tableau8[Nom du modele],MATCH(Tableau3[[#This Row],[ID-INS]],Tableau8[ID],0))&amp;""</f>
        <v>ARU</v>
      </c>
      <c r="L1202" s="99" t="str">
        <f>INDEX(Tableau5[Att1],MATCH(Tableau3[[#This Row],[ID-SIG]],Tableau5[ID],0))&amp;""</f>
        <v>Decl1</v>
      </c>
      <c r="M1202" s="99" t="str">
        <f>INDEX(Tableau5[Att2],MATCH(Tableau3[[#This Row],[ID-SIG]],Tableau5[ID],0))&amp;""</f>
        <v/>
      </c>
      <c r="N1202" s="99" t="str">
        <f>INDEX(Tableau5[Att3],MATCH(Tableau3[[#This Row],[ID-SIG]],Tableau5[ID],0))&amp;""</f>
        <v/>
      </c>
      <c r="O1202" s="99"/>
      <c r="P1202" s="99" t="str">
        <f>INDEX(Tableau5[Description],MATCH(Tableau3[[#This Row],[ID-SIG]],Tableau5[ID],0))</f>
        <v>Déclenchement contact 1</v>
      </c>
      <c r="Q1202" s="99"/>
      <c r="R1202" s="103" t="str">
        <f>Tableau3[[#This Row],[Description]]</f>
        <v>Déclenchement contact 1</v>
      </c>
      <c r="U1202" s="87">
        <v>8</v>
      </c>
      <c r="V1202" s="87">
        <v>1</v>
      </c>
      <c r="W1202" s="87">
        <v>5</v>
      </c>
      <c r="X1202" s="87">
        <v>0</v>
      </c>
      <c r="Y1202" s="40"/>
      <c r="Z1202" s="165" t="str">
        <f>INDEX(Tableau2[TS],MATCH(Tableau3[[#This Row],[ID-CARTEVOIE]],Tableau2[ID-CARTEVOIE],0))</f>
        <v>ET</v>
      </c>
      <c r="AA1202" s="53" t="s">
        <v>213</v>
      </c>
      <c r="AB1202" s="223" t="str">
        <f>IFERROR(INDEX(Tableau5[Reserve],MATCH(Tableau3[[#This Row],[ID-SIG]],Tableau5[ID],0))&amp;"","")</f>
        <v/>
      </c>
      <c r="AC1202" s="21"/>
      <c r="AD1202" s="108" t="str">
        <f>INDEX(Tableau7[Repere],MATCH(Tableau3[[#This Row],[ID-API]],Tableau7[ID-API],0))&amp;""</f>
        <v>A8</v>
      </c>
      <c r="AE1202" s="108" t="str">
        <f>INDEX(Tableau1[Repere-Rack],MATCH(Tableau3[[#This Row],[ID-RACK]],Tableau1[ID-RACK],0))&amp;""</f>
        <v>R1</v>
      </c>
      <c r="AF1202" s="108" t="str">
        <f>INDEX(Tableau1[Repere-Slot],MATCH(Tableau3[[#This Row],[ID-SLOT]],Tableau1[ID-SLOT],0))&amp;""</f>
        <v>S5</v>
      </c>
      <c r="AG1202" s="108" t="str">
        <f>INDEX(Tableau2[Repere-Voie],MATCH(Tableau3[[#This Row],[ID-VOIE]],Tableau2[ID-Voie],0))&amp;""</f>
        <v>v0</v>
      </c>
      <c r="AH1202" s="72" t="str">
        <f>Tableau3[[#This Row],[ID-API]]&amp; "." &amp;Tableau3[[#This Row],[ID-RACK]]&amp; "." &amp;Tableau3[[#This Row],[ID-SLOT]]</f>
        <v>8.1.5</v>
      </c>
      <c r="AI1202" s="72" t="str">
        <f>INDEX(Tableau1[Ref-Carte],MATCH(Tableau3[[#This Row],[ID-RRS]],Tableau1[ID-RRS],0))</f>
        <v>SDI1602</v>
      </c>
      <c r="AJ1202" s="72" t="str">
        <f t="array" ref="AJ1202">IFERROR(INDEX(Tableau2[TS],MATCH(1,(Tableau2[Ref-Carte]=Tableau3[[#This Row],[Ref-Carte2]])*(Tableau2[ID-Voie]=Tableau3[[#This Row],[ID-VOIE]]),0)),"")</f>
        <v>ET</v>
      </c>
      <c r="AK1202" s="72" t="str">
        <f>IFERROR(INDEX(Tableau2[TS],SUMPRODUCT((Tableau2[Ref-Carte]=Tableau3[[#This Row],[Ref-Carte2]])*(Tableau2[ID-Voie]=Tableau3[[#This Row],[ID-VOIE]])*ROW(Tableau2[TS]))-ROW(Tableau2[#Headers])),"")</f>
        <v>ET</v>
      </c>
      <c r="AL1202" s="72" t="str">
        <f>Tableau3[[#This Row],[Ref-Carte2]]&amp;"/"&amp;Tableau3[[#This Row],[ID-VOIE]]</f>
        <v>SDI1602/0</v>
      </c>
      <c r="AM1202" s="73" t="str">
        <f>INDEX(Tableau2[Borne],MATCH(Tableau3[[#This Row],[ID-CARTEVOIE]],Tableau2[ID-CARTEVOIE],0))&amp;""</f>
        <v>0B</v>
      </c>
      <c r="AN1202" s="74" t="str">
        <f>Tableau3[[#This Row],[ID-API]]&amp;Tableau3[[#This Row],[ID-RACK]]&amp;Tableau3[[#This Row],[ID-SLOT]]&amp;Tableau3[[#This Row],[BORNE]]</f>
        <v>8150B</v>
      </c>
      <c r="AO1202" s="1"/>
    </row>
    <row r="1203" spans="1:41" ht="20.100000000000001" customHeight="1" thickTop="1" thickBot="1">
      <c r="A1203" s="68"/>
      <c r="B1203" s="69" t="str">
        <f>IFERROR(INDEX(Tableau4[Date],MATCH($A1203,Tableau4[EVO],0)),"")</f>
        <v/>
      </c>
      <c r="C1203" s="68" t="str">
        <f>IFERROR(INDEX(Tableau4[Designation],MATCH($A1203,Tableau4[EVO],0)),"")</f>
        <v/>
      </c>
      <c r="D1203" s="68"/>
      <c r="E1203" s="70">
        <v>18</v>
      </c>
      <c r="F1203" s="71">
        <v>100</v>
      </c>
      <c r="G1203" s="101" t="str">
        <f>INDEX(Tableau8[Att1],MATCH(Tableau3[[#This Row],[ID-INS]],Tableau8[ID],0))&amp;""</f>
        <v>B11</v>
      </c>
      <c r="H1203" s="101" t="str">
        <f>INDEX(Tableau8[Att2],MATCH(Tableau3[[#This Row],[ID-INS]],Tableau8[ID],0))&amp;""</f>
        <v>PCS_ARUMONU</v>
      </c>
      <c r="I1203" s="101" t="str">
        <f>INDEX(Tableau8[Att3],MATCH(Tableau3[[#This Row],[ID-INS]],Tableau8[ID],0))&amp;""</f>
        <v>PCS ARUMONU</v>
      </c>
      <c r="J1203" s="101"/>
      <c r="K1203" s="167" t="str">
        <f>INDEX(Tableau8[Nom du modele],MATCH(Tableau3[[#This Row],[ID-INS]],Tableau8[ID],0))&amp;""</f>
        <v>ARU</v>
      </c>
      <c r="L1203" s="99" t="str">
        <f>INDEX(Tableau5[Att1],MATCH(Tableau3[[#This Row],[ID-SIG]],Tableau5[ID],0))&amp;""</f>
        <v>Decl1</v>
      </c>
      <c r="M1203" s="99" t="str">
        <f>INDEX(Tableau5[Att2],MATCH(Tableau3[[#This Row],[ID-SIG]],Tableau5[ID],0))&amp;""</f>
        <v/>
      </c>
      <c r="N1203" s="99" t="str">
        <f>INDEX(Tableau5[Att3],MATCH(Tableau3[[#This Row],[ID-SIG]],Tableau5[ID],0))&amp;""</f>
        <v/>
      </c>
      <c r="O1203" s="99"/>
      <c r="P1203" s="99" t="str">
        <f>INDEX(Tableau5[Description],MATCH(Tableau3[[#This Row],[ID-SIG]],Tableau5[ID],0))</f>
        <v>Déclenchement contact 1</v>
      </c>
      <c r="Q1203" s="99"/>
      <c r="R1203" s="103" t="str">
        <f>Tableau3[[#This Row],[Description]]</f>
        <v>Déclenchement contact 1</v>
      </c>
      <c r="U1203" s="87">
        <v>8</v>
      </c>
      <c r="V1203" s="87">
        <v>1</v>
      </c>
      <c r="W1203" s="87">
        <v>5</v>
      </c>
      <c r="X1203" s="87">
        <v>1</v>
      </c>
      <c r="Y1203" s="40"/>
      <c r="Z1203" s="165" t="str">
        <f>INDEX(Tableau2[TS],MATCH(Tableau3[[#This Row],[ID-CARTEVOIE]],Tableau2[ID-CARTEVOIE],0))</f>
        <v>ET</v>
      </c>
      <c r="AA1203" s="53" t="s">
        <v>213</v>
      </c>
      <c r="AB1203" s="223" t="str">
        <f>IFERROR(INDEX(Tableau5[Reserve],MATCH(Tableau3[[#This Row],[ID-SIG]],Tableau5[ID],0))&amp;"","")</f>
        <v/>
      </c>
      <c r="AC1203" s="21"/>
      <c r="AD1203" s="108" t="str">
        <f>INDEX(Tableau7[Repere],MATCH(Tableau3[[#This Row],[ID-API]],Tableau7[ID-API],0))&amp;""</f>
        <v>A8</v>
      </c>
      <c r="AE1203" s="108" t="str">
        <f>INDEX(Tableau1[Repere-Rack],MATCH(Tableau3[[#This Row],[ID-RACK]],Tableau1[ID-RACK],0))&amp;""</f>
        <v>R1</v>
      </c>
      <c r="AF1203" s="108" t="str">
        <f>INDEX(Tableau1[Repere-Slot],MATCH(Tableau3[[#This Row],[ID-SLOT]],Tableau1[ID-SLOT],0))&amp;""</f>
        <v>S5</v>
      </c>
      <c r="AG1203" s="108" t="str">
        <f>INDEX(Tableau2[Repere-Voie],MATCH(Tableau3[[#This Row],[ID-VOIE]],Tableau2[ID-Voie],0))&amp;""</f>
        <v>v1</v>
      </c>
      <c r="AH1203" s="72" t="str">
        <f>Tableau3[[#This Row],[ID-API]]&amp; "." &amp;Tableau3[[#This Row],[ID-RACK]]&amp; "." &amp;Tableau3[[#This Row],[ID-SLOT]]</f>
        <v>8.1.5</v>
      </c>
      <c r="AI1203" s="72" t="str">
        <f>INDEX(Tableau1[Ref-Carte],MATCH(Tableau3[[#This Row],[ID-RRS]],Tableau1[ID-RRS],0))</f>
        <v>SDI1602</v>
      </c>
      <c r="AJ1203" s="72" t="str">
        <f t="array" ref="AJ1203">IFERROR(INDEX(Tableau2[TS],MATCH(1,(Tableau2[Ref-Carte]=Tableau3[[#This Row],[Ref-Carte2]])*(Tableau2[ID-Voie]=Tableau3[[#This Row],[ID-VOIE]]),0)),"")</f>
        <v>ET</v>
      </c>
      <c r="AK1203" s="72" t="str">
        <f>IFERROR(INDEX(Tableau2[TS],SUMPRODUCT((Tableau2[Ref-Carte]=Tableau3[[#This Row],[Ref-Carte2]])*(Tableau2[ID-Voie]=Tableau3[[#This Row],[ID-VOIE]])*ROW(Tableau2[TS]))-ROW(Tableau2[#Headers])),"")</f>
        <v>ET</v>
      </c>
      <c r="AL1203" s="72" t="str">
        <f>Tableau3[[#This Row],[Ref-Carte2]]&amp;"/"&amp;Tableau3[[#This Row],[ID-VOIE]]</f>
        <v>SDI1602/1</v>
      </c>
      <c r="AM1203" s="73" t="str">
        <f>INDEX(Tableau2[Borne],MATCH(Tableau3[[#This Row],[ID-CARTEVOIE]],Tableau2[ID-CARTEVOIE],0))&amp;""</f>
        <v>0A</v>
      </c>
      <c r="AN1203" s="74" t="str">
        <f>Tableau3[[#This Row],[ID-API]]&amp;Tableau3[[#This Row],[ID-RACK]]&amp;Tableau3[[#This Row],[ID-SLOT]]&amp;Tableau3[[#This Row],[BORNE]]</f>
        <v>8150A</v>
      </c>
      <c r="AO1203" s="1"/>
    </row>
    <row r="1204" spans="1:41" ht="20.100000000000001" customHeight="1" thickTop="1" thickBot="1">
      <c r="A1204" s="68"/>
      <c r="B1204" s="69" t="str">
        <f>IFERROR(INDEX(Tableau4[Date],MATCH($A1204,Tableau4[EVO],0)),"")</f>
        <v/>
      </c>
      <c r="C1204" s="68" t="str">
        <f>IFERROR(INDEX(Tableau4[Designation],MATCH($A1204,Tableau4[EVO],0)),"")</f>
        <v/>
      </c>
      <c r="D1204" s="68"/>
      <c r="E1204" s="70">
        <v>19</v>
      </c>
      <c r="F1204" s="71">
        <v>5</v>
      </c>
      <c r="G1204" s="101" t="str">
        <f>INDEX(Tableau8[Att1],MATCH(Tableau3[[#This Row],[ID-INS]],Tableau8[ID],0))&amp;""</f>
        <v>B11</v>
      </c>
      <c r="H1204" s="101" t="str">
        <f>INDEX(Tableau8[Att2],MATCH(Tableau3[[#This Row],[ID-INS]],Tableau8[ID],0))&amp;""</f>
        <v>Comut_PCSVIGIE</v>
      </c>
      <c r="I1204" s="101" t="str">
        <f>INDEX(Tableau8[Att3],MATCH(Tableau3[[#This Row],[ID-INS]],Tableau8[ID],0))&amp;""</f>
        <v>Commutateur PCS/VIGIE</v>
      </c>
      <c r="J1204" s="101"/>
      <c r="K1204" s="167" t="str">
        <f>INDEX(Tableau8[Nom du modele],MATCH(Tableau3[[#This Row],[ID-INS]],Tableau8[ID],0))&amp;""</f>
        <v>E_DiversSIL3</v>
      </c>
      <c r="L1204" s="99" t="str">
        <f>INDEX(Tableau5[Att1],MATCH(Tableau3[[#This Row],[ID-SIG]],Tableau5[ID],0))&amp;""</f>
        <v>C2</v>
      </c>
      <c r="M1204" s="99" t="str">
        <f>INDEX(Tableau5[Att2],MATCH(Tableau3[[#This Row],[ID-SIG]],Tableau5[ID],0))&amp;""</f>
        <v/>
      </c>
      <c r="N1204" s="99" t="str">
        <f>INDEX(Tableau5[Att3],MATCH(Tableau3[[#This Row],[ID-SIG]],Tableau5[ID],0))&amp;""</f>
        <v/>
      </c>
      <c r="O1204" s="99"/>
      <c r="P1204" s="99" t="str">
        <f>INDEX(Tableau5[Description],MATCH(Tableau3[[#This Row],[ID-SIG]],Tableau5[ID],0))</f>
        <v>Contact 2</v>
      </c>
      <c r="Q1204" s="99"/>
      <c r="R1204" s="103" t="str">
        <f>Tableau3[[#This Row],[Description]]</f>
        <v>Contact 2</v>
      </c>
      <c r="U1204" s="87">
        <v>8</v>
      </c>
      <c r="V1204" s="87">
        <v>1</v>
      </c>
      <c r="W1204" s="87">
        <v>5</v>
      </c>
      <c r="X1204" s="87">
        <v>2</v>
      </c>
      <c r="Y1204" s="40"/>
      <c r="Z1204" s="165" t="str">
        <f>INDEX(Tableau2[TS],MATCH(Tableau3[[#This Row],[ID-CARTEVOIE]],Tableau2[ID-CARTEVOIE],0))</f>
        <v>ET</v>
      </c>
      <c r="AA1204" s="53" t="s">
        <v>213</v>
      </c>
      <c r="AB1204" s="223" t="str">
        <f>IFERROR(INDEX(Tableau5[Reserve],MATCH(Tableau3[[#This Row],[ID-SIG]],Tableau5[ID],0))&amp;"","")</f>
        <v/>
      </c>
      <c r="AC1204" s="21"/>
      <c r="AD1204" s="108" t="str">
        <f>INDEX(Tableau7[Repere],MATCH(Tableau3[[#This Row],[ID-API]],Tableau7[ID-API],0))&amp;""</f>
        <v>A8</v>
      </c>
      <c r="AE1204" s="108" t="str">
        <f>INDEX(Tableau1[Repere-Rack],MATCH(Tableau3[[#This Row],[ID-RACK]],Tableau1[ID-RACK],0))&amp;""</f>
        <v>R1</v>
      </c>
      <c r="AF1204" s="108" t="str">
        <f>INDEX(Tableau1[Repere-Slot],MATCH(Tableau3[[#This Row],[ID-SLOT]],Tableau1[ID-SLOT],0))&amp;""</f>
        <v>S5</v>
      </c>
      <c r="AG1204" s="108" t="str">
        <f>INDEX(Tableau2[Repere-Voie],MATCH(Tableau3[[#This Row],[ID-VOIE]],Tableau2[ID-Voie],0))&amp;""</f>
        <v>v2</v>
      </c>
      <c r="AH1204" s="72" t="str">
        <f>Tableau3[[#This Row],[ID-API]]&amp; "." &amp;Tableau3[[#This Row],[ID-RACK]]&amp; "." &amp;Tableau3[[#This Row],[ID-SLOT]]</f>
        <v>8.1.5</v>
      </c>
      <c r="AI1204" s="72" t="str">
        <f>INDEX(Tableau1[Ref-Carte],MATCH(Tableau3[[#This Row],[ID-RRS]],Tableau1[ID-RRS],0))</f>
        <v>SDI1602</v>
      </c>
      <c r="AJ1204" s="72" t="str">
        <f t="array" ref="AJ1204">IFERROR(INDEX(Tableau2[TS],MATCH(1,(Tableau2[Ref-Carte]=Tableau3[[#This Row],[Ref-Carte2]])*(Tableau2[ID-Voie]=Tableau3[[#This Row],[ID-VOIE]]),0)),"")</f>
        <v>ET</v>
      </c>
      <c r="AK1204" s="72" t="str">
        <f>IFERROR(INDEX(Tableau2[TS],SUMPRODUCT((Tableau2[Ref-Carte]=Tableau3[[#This Row],[Ref-Carte2]])*(Tableau2[ID-Voie]=Tableau3[[#This Row],[ID-VOIE]])*ROW(Tableau2[TS]))-ROW(Tableau2[#Headers])),"")</f>
        <v>ET</v>
      </c>
      <c r="AL1204" s="72" t="str">
        <f>Tableau3[[#This Row],[Ref-Carte2]]&amp;"/"&amp;Tableau3[[#This Row],[ID-VOIE]]</f>
        <v>SDI1602/2</v>
      </c>
      <c r="AM1204" s="73" t="str">
        <f>INDEX(Tableau2[Borne],MATCH(Tableau3[[#This Row],[ID-CARTEVOIE]],Tableau2[ID-CARTEVOIE],0))&amp;""</f>
        <v>1B</v>
      </c>
      <c r="AN1204" s="74" t="str">
        <f>Tableau3[[#This Row],[ID-API]]&amp;Tableau3[[#This Row],[ID-RACK]]&amp;Tableau3[[#This Row],[ID-SLOT]]&amp;Tableau3[[#This Row],[BORNE]]</f>
        <v>8151B</v>
      </c>
      <c r="AO1204" s="1"/>
    </row>
    <row r="1205" spans="1:41" ht="20.100000000000001" customHeight="1" thickTop="1" thickBot="1">
      <c r="A1205" s="68"/>
      <c r="B1205" s="69" t="str">
        <f>IFERROR(INDEX(Tableau4[Date],MATCH($A1205,Tableau4[EVO],0)),"")</f>
        <v/>
      </c>
      <c r="C1205" s="68" t="str">
        <f>IFERROR(INDEX(Tableau4[Designation],MATCH($A1205,Tableau4[EVO],0)),"")</f>
        <v/>
      </c>
      <c r="D1205" s="68"/>
      <c r="E1205" s="70">
        <v>53</v>
      </c>
      <c r="F1205" s="71">
        <v>9</v>
      </c>
      <c r="G1205" s="101" t="str">
        <f>INDEX(Tableau8[Att1],MATCH(Tableau3[[#This Row],[ID-INS]],Tableau8[ID],0))&amp;""</f>
        <v>B11</v>
      </c>
      <c r="H1205" s="101" t="str">
        <f>INDEX(Tableau8[Att2],MATCH(Tableau3[[#This Row],[ID-INS]],Tableau8[ID],0))&amp;""</f>
        <v>DEVR1</v>
      </c>
      <c r="I1205" s="101" t="str">
        <f>INDEX(Tableau8[Att3],MATCH(Tableau3[[#This Row],[ID-INS]],Tableau8[ID],0))&amp;""</f>
        <v>Déverrouillage urgence PCS</v>
      </c>
      <c r="J1205" s="101"/>
      <c r="K1205" s="167" t="str">
        <f>INDEX(Tableau8[Nom du modele],MATCH(Tableau3[[#This Row],[ID-INS]],Tableau8[ID],0))&amp;""</f>
        <v>DeverrouillageSIL3</v>
      </c>
      <c r="L1205" s="99" t="str">
        <f>INDEX(Tableau5[Att1],MATCH(Tableau3[[#This Row],[ID-SIG]],Tableau5[ID],0))&amp;""</f>
        <v>Deverrouillage2</v>
      </c>
      <c r="M1205" s="99" t="str">
        <f>INDEX(Tableau5[Att2],MATCH(Tableau3[[#This Row],[ID-SIG]],Tableau5[ID],0))&amp;""</f>
        <v/>
      </c>
      <c r="N1205" s="99" t="str">
        <f>INDEX(Tableau5[Att3],MATCH(Tableau3[[#This Row],[ID-SIG]],Tableau5[ID],0))&amp;""</f>
        <v/>
      </c>
      <c r="O1205" s="99"/>
      <c r="P1205" s="99" t="str">
        <f>INDEX(Tableau5[Description],MATCH(Tableau3[[#This Row],[ID-SIG]],Tableau5[ID],0))</f>
        <v>Deverrouillage2</v>
      </c>
      <c r="Q1205" s="99"/>
      <c r="R1205" s="103" t="str">
        <f>Tableau3[[#This Row],[Description]]</f>
        <v>Deverrouillage2</v>
      </c>
      <c r="U1205" s="87">
        <v>8</v>
      </c>
      <c r="V1205" s="87">
        <v>1</v>
      </c>
      <c r="W1205" s="87">
        <v>5</v>
      </c>
      <c r="X1205" s="87">
        <v>3</v>
      </c>
      <c r="Y1205" s="40"/>
      <c r="Z1205" s="165" t="str">
        <f>INDEX(Tableau2[TS],MATCH(Tableau3[[#This Row],[ID-CARTEVOIE]],Tableau2[ID-CARTEVOIE],0))</f>
        <v>ET</v>
      </c>
      <c r="AA1205" s="53" t="s">
        <v>213</v>
      </c>
      <c r="AB1205" s="223" t="str">
        <f>IFERROR(INDEX(Tableau5[Reserve],MATCH(Tableau3[[#This Row],[ID-SIG]],Tableau5[ID],0))&amp;"","")</f>
        <v/>
      </c>
      <c r="AC1205" s="21"/>
      <c r="AD1205" s="108" t="str">
        <f>INDEX(Tableau7[Repere],MATCH(Tableau3[[#This Row],[ID-API]],Tableau7[ID-API],0))&amp;""</f>
        <v>A8</v>
      </c>
      <c r="AE1205" s="108" t="str">
        <f>INDEX(Tableau1[Repere-Rack],MATCH(Tableau3[[#This Row],[ID-RACK]],Tableau1[ID-RACK],0))&amp;""</f>
        <v>R1</v>
      </c>
      <c r="AF1205" s="108" t="str">
        <f>INDEX(Tableau1[Repere-Slot],MATCH(Tableau3[[#This Row],[ID-SLOT]],Tableau1[ID-SLOT],0))&amp;""</f>
        <v>S5</v>
      </c>
      <c r="AG1205" s="108" t="str">
        <f>INDEX(Tableau2[Repere-Voie],MATCH(Tableau3[[#This Row],[ID-VOIE]],Tableau2[ID-Voie],0))&amp;""</f>
        <v>v3</v>
      </c>
      <c r="AH1205" s="72" t="str">
        <f>Tableau3[[#This Row],[ID-API]]&amp; "." &amp;Tableau3[[#This Row],[ID-RACK]]&amp; "." &amp;Tableau3[[#This Row],[ID-SLOT]]</f>
        <v>8.1.5</v>
      </c>
      <c r="AI1205" s="72" t="str">
        <f>INDEX(Tableau1[Ref-Carte],MATCH(Tableau3[[#This Row],[ID-RRS]],Tableau1[ID-RRS],0))</f>
        <v>SDI1602</v>
      </c>
      <c r="AJ1205" s="72" t="str">
        <f t="array" ref="AJ1205">IFERROR(INDEX(Tableau2[TS],MATCH(1,(Tableau2[Ref-Carte]=Tableau3[[#This Row],[Ref-Carte2]])*(Tableau2[ID-Voie]=Tableau3[[#This Row],[ID-VOIE]]),0)),"")</f>
        <v>ET</v>
      </c>
      <c r="AK1205" s="72" t="str">
        <f>IFERROR(INDEX(Tableau2[TS],SUMPRODUCT((Tableau2[Ref-Carte]=Tableau3[[#This Row],[Ref-Carte2]])*(Tableau2[ID-Voie]=Tableau3[[#This Row],[ID-VOIE]])*ROW(Tableau2[TS]))-ROW(Tableau2[#Headers])),"")</f>
        <v>ET</v>
      </c>
      <c r="AL1205" s="72" t="str">
        <f>Tableau3[[#This Row],[Ref-Carte2]]&amp;"/"&amp;Tableau3[[#This Row],[ID-VOIE]]</f>
        <v>SDI1602/3</v>
      </c>
      <c r="AM1205" s="73" t="str">
        <f>INDEX(Tableau2[Borne],MATCH(Tableau3[[#This Row],[ID-CARTEVOIE]],Tableau2[ID-CARTEVOIE],0))&amp;""</f>
        <v>1A</v>
      </c>
      <c r="AN1205" s="74" t="str">
        <f>Tableau3[[#This Row],[ID-API]]&amp;Tableau3[[#This Row],[ID-RACK]]&amp;Tableau3[[#This Row],[ID-SLOT]]&amp;Tableau3[[#This Row],[BORNE]]</f>
        <v>8151A</v>
      </c>
      <c r="AO1205" s="1"/>
    </row>
    <row r="1206" spans="1:41" ht="20.100000000000001" customHeight="1" thickTop="1" thickBot="1">
      <c r="A1206" s="110"/>
      <c r="B1206" s="111" t="str">
        <f>IFERROR(INDEX(Tableau4[Date],MATCH($A1206,Tableau4[EVO],0)),"")</f>
        <v/>
      </c>
      <c r="C1206" s="112" t="str">
        <f>IFERROR(INDEX(Tableau4[Designation],MATCH($A1206,Tableau4[EVO],0)),"")</f>
        <v/>
      </c>
      <c r="D1206" s="110"/>
      <c r="E1206" s="113"/>
      <c r="F1206" s="146"/>
      <c r="G1206" s="147" t="e">
        <f>INDEX(Tableau8[Att1],MATCH(Tableau3[[#This Row],[ID-INS]],Tableau8[ID],0))&amp;""</f>
        <v>#N/A</v>
      </c>
      <c r="H1206" s="147" t="e">
        <f>INDEX(Tableau8[Att2],MATCH(Tableau3[[#This Row],[ID-INS]],Tableau8[ID],0))&amp;""</f>
        <v>#N/A</v>
      </c>
      <c r="I1206" s="147" t="e">
        <f>INDEX(Tableau8[Att3],MATCH(Tableau3[[#This Row],[ID-INS]],Tableau8[ID],0))&amp;""</f>
        <v>#N/A</v>
      </c>
      <c r="J1206" s="148"/>
      <c r="K1206" s="167" t="e">
        <f>INDEX(Tableau8[Nom du modele],MATCH(Tableau3[[#This Row],[ID-INS]],Tableau8[ID],0))&amp;""</f>
        <v>#N/A</v>
      </c>
      <c r="L1206" s="149" t="e">
        <f>INDEX(Tableau5[Att1],MATCH(Tableau3[[#This Row],[ID-SIG]],Tableau5[ID],0))&amp;""</f>
        <v>#N/A</v>
      </c>
      <c r="M1206" s="149" t="e">
        <f>INDEX(Tableau5[Att2],MATCH(Tableau3[[#This Row],[ID-SIG]],Tableau5[ID],0))&amp;""</f>
        <v>#N/A</v>
      </c>
      <c r="N1206" s="149" t="e">
        <f>INDEX(Tableau5[Att3],MATCH(Tableau3[[#This Row],[ID-SIG]],Tableau5[ID],0))&amp;""</f>
        <v>#N/A</v>
      </c>
      <c r="O1206" s="150"/>
      <c r="P1206" s="149" t="e">
        <f>INDEX(Tableau5[Description],MATCH(Tableau3[[#This Row],[ID-SIG]],Tableau5[ID],0))</f>
        <v>#N/A</v>
      </c>
      <c r="Q1206" s="150"/>
      <c r="R1206" s="117" t="e">
        <f>Tableau3[[#This Row],[Description]]</f>
        <v>#N/A</v>
      </c>
      <c r="S1206" s="75"/>
      <c r="T1206" s="75"/>
      <c r="U1206" s="151">
        <v>8</v>
      </c>
      <c r="V1206" s="151">
        <v>1</v>
      </c>
      <c r="W1206" s="151">
        <v>5</v>
      </c>
      <c r="X1206" s="151">
        <v>4</v>
      </c>
      <c r="Y1206" s="40"/>
      <c r="Z1206" s="166" t="str">
        <f>INDEX(Tableau2[TS],MATCH(Tableau3[[#This Row],[ID-CARTEVOIE]],Tableau2[ID-CARTEVOIE],0))</f>
        <v>ET</v>
      </c>
      <c r="AA1206" s="81" t="s">
        <v>213</v>
      </c>
      <c r="AB1206" s="226" t="str">
        <f>IFERROR(INDEX(Tableau5[Reserve],MATCH(Tableau3[[#This Row],[ID-SIG]],Tableau5[ID],0))&amp;"","")</f>
        <v/>
      </c>
      <c r="AC1206" s="119" t="s">
        <v>1456</v>
      </c>
      <c r="AD1206" s="120" t="str">
        <f>INDEX(Tableau7[Repere],MATCH(Tableau3[[#This Row],[ID-API]],Tableau7[ID-API],0))&amp;""</f>
        <v>A8</v>
      </c>
      <c r="AE1206" s="121" t="str">
        <f>INDEX(Tableau1[Repere-Rack],MATCH(Tableau3[[#This Row],[ID-RACK]],Tableau1[ID-RACK],0))&amp;""</f>
        <v>R1</v>
      </c>
      <c r="AF1206" s="121" t="str">
        <f>INDEX(Tableau1[Repere-Slot],MATCH(Tableau3[[#This Row],[ID-SLOT]],Tableau1[ID-SLOT],0))&amp;""</f>
        <v>S5</v>
      </c>
      <c r="AG1206" s="121" t="str">
        <f>INDEX(Tableau2[Repere-Voie],MATCH(Tableau3[[#This Row],[ID-VOIE]],Tableau2[ID-Voie],0))&amp;""</f>
        <v>v4</v>
      </c>
      <c r="AH1206" s="122" t="str">
        <f>Tableau3[[#This Row],[ID-API]]&amp; "." &amp;Tableau3[[#This Row],[ID-RACK]]&amp; "." &amp;Tableau3[[#This Row],[ID-SLOT]]</f>
        <v>8.1.5</v>
      </c>
      <c r="AI1206" s="72" t="str">
        <f>INDEX(Tableau1[Ref-Carte],MATCH(Tableau3[[#This Row],[ID-RRS]],Tableau1[ID-RRS],0))</f>
        <v>SDI1602</v>
      </c>
      <c r="AJ1206" s="72" t="str">
        <f t="array" ref="AJ1206">IFERROR(INDEX(Tableau2[TS],MATCH(1,(Tableau2[Ref-Carte]=Tableau3[[#This Row],[Ref-Carte2]])*(Tableau2[ID-Voie]=Tableau3[[#This Row],[ID-VOIE]]),0)),"")</f>
        <v>ET</v>
      </c>
      <c r="AK1206" s="72" t="str">
        <f>IFERROR(INDEX(Tableau2[TS],SUMPRODUCT((Tableau2[Ref-Carte]=Tableau3[[#This Row],[Ref-Carte2]])*(Tableau2[ID-Voie]=Tableau3[[#This Row],[ID-VOIE]])*ROW(Tableau2[TS]))-ROW(Tableau2[#Headers])),"")</f>
        <v>ET</v>
      </c>
      <c r="AL1206" s="122" t="str">
        <f>Tableau3[[#This Row],[Ref-Carte2]]&amp;"/"&amp;Tableau3[[#This Row],[ID-VOIE]]</f>
        <v>SDI1602/4</v>
      </c>
      <c r="AM1206" s="123" t="str">
        <f>INDEX(Tableau2[Borne],MATCH(Tableau3[[#This Row],[ID-CARTEVOIE]],Tableau2[ID-CARTEVOIE],0))&amp;""</f>
        <v>2B</v>
      </c>
      <c r="AN1206" s="124" t="str">
        <f>Tableau3[[#This Row],[ID-API]]&amp;Tableau3[[#This Row],[ID-RACK]]&amp;Tableau3[[#This Row],[ID-SLOT]]&amp;Tableau3[[#This Row],[BORNE]]</f>
        <v>8152B</v>
      </c>
      <c r="AO1206" s="125"/>
    </row>
    <row r="1207" spans="1:41" ht="20.100000000000001" customHeight="1" thickTop="1" thickBot="1">
      <c r="A1207" s="110"/>
      <c r="B1207" s="111" t="str">
        <f>IFERROR(INDEX(Tableau4[Date],MATCH($A1207,Tableau4[EVO],0)),"")</f>
        <v/>
      </c>
      <c r="C1207" s="112" t="str">
        <f>IFERROR(INDEX(Tableau4[Designation],MATCH($A1207,Tableau4[EVO],0)),"")</f>
        <v/>
      </c>
      <c r="D1207" s="110"/>
      <c r="E1207" s="113"/>
      <c r="F1207" s="146"/>
      <c r="G1207" s="147" t="e">
        <f>INDEX(Tableau8[Att1],MATCH(Tableau3[[#This Row],[ID-INS]],Tableau8[ID],0))&amp;""</f>
        <v>#N/A</v>
      </c>
      <c r="H1207" s="147" t="e">
        <f>INDEX(Tableau8[Att2],MATCH(Tableau3[[#This Row],[ID-INS]],Tableau8[ID],0))&amp;""</f>
        <v>#N/A</v>
      </c>
      <c r="I1207" s="147" t="e">
        <f>INDEX(Tableau8[Att3],MATCH(Tableau3[[#This Row],[ID-INS]],Tableau8[ID],0))&amp;""</f>
        <v>#N/A</v>
      </c>
      <c r="J1207" s="148"/>
      <c r="K1207" s="167" t="e">
        <f>INDEX(Tableau8[Nom du modele],MATCH(Tableau3[[#This Row],[ID-INS]],Tableau8[ID],0))&amp;""</f>
        <v>#N/A</v>
      </c>
      <c r="L1207" s="149" t="e">
        <f>INDEX(Tableau5[Att1],MATCH(Tableau3[[#This Row],[ID-SIG]],Tableau5[ID],0))&amp;""</f>
        <v>#N/A</v>
      </c>
      <c r="M1207" s="149" t="e">
        <f>INDEX(Tableau5[Att2],MATCH(Tableau3[[#This Row],[ID-SIG]],Tableau5[ID],0))&amp;""</f>
        <v>#N/A</v>
      </c>
      <c r="N1207" s="149" t="e">
        <f>INDEX(Tableau5[Att3],MATCH(Tableau3[[#This Row],[ID-SIG]],Tableau5[ID],0))&amp;""</f>
        <v>#N/A</v>
      </c>
      <c r="O1207" s="150"/>
      <c r="P1207" s="149" t="e">
        <f>INDEX(Tableau5[Description],MATCH(Tableau3[[#This Row],[ID-SIG]],Tableau5[ID],0))</f>
        <v>#N/A</v>
      </c>
      <c r="Q1207" s="150"/>
      <c r="R1207" s="117" t="e">
        <f>Tableau3[[#This Row],[Description]]</f>
        <v>#N/A</v>
      </c>
      <c r="S1207" s="75"/>
      <c r="T1207" s="75"/>
      <c r="U1207" s="151">
        <v>8</v>
      </c>
      <c r="V1207" s="151">
        <v>1</v>
      </c>
      <c r="W1207" s="151">
        <v>5</v>
      </c>
      <c r="X1207" s="151">
        <v>5</v>
      </c>
      <c r="Y1207" s="40"/>
      <c r="Z1207" s="166" t="str">
        <f>INDEX(Tableau2[TS],MATCH(Tableau3[[#This Row],[ID-CARTEVOIE]],Tableau2[ID-CARTEVOIE],0))</f>
        <v>ET</v>
      </c>
      <c r="AA1207" s="81" t="s">
        <v>213</v>
      </c>
      <c r="AB1207" s="226" t="str">
        <f>IFERROR(INDEX(Tableau5[Reserve],MATCH(Tableau3[[#This Row],[ID-SIG]],Tableau5[ID],0))&amp;"","")</f>
        <v/>
      </c>
      <c r="AC1207" s="119" t="s">
        <v>1456</v>
      </c>
      <c r="AD1207" s="120" t="str">
        <f>INDEX(Tableau7[Repere],MATCH(Tableau3[[#This Row],[ID-API]],Tableau7[ID-API],0))&amp;""</f>
        <v>A8</v>
      </c>
      <c r="AE1207" s="121" t="str">
        <f>INDEX(Tableau1[Repere-Rack],MATCH(Tableau3[[#This Row],[ID-RACK]],Tableau1[ID-RACK],0))&amp;""</f>
        <v>R1</v>
      </c>
      <c r="AF1207" s="121" t="str">
        <f>INDEX(Tableau1[Repere-Slot],MATCH(Tableau3[[#This Row],[ID-SLOT]],Tableau1[ID-SLOT],0))&amp;""</f>
        <v>S5</v>
      </c>
      <c r="AG1207" s="121" t="str">
        <f>INDEX(Tableau2[Repere-Voie],MATCH(Tableau3[[#This Row],[ID-VOIE]],Tableau2[ID-Voie],0))&amp;""</f>
        <v>v5</v>
      </c>
      <c r="AH1207" s="122" t="str">
        <f>Tableau3[[#This Row],[ID-API]]&amp; "." &amp;Tableau3[[#This Row],[ID-RACK]]&amp; "." &amp;Tableau3[[#This Row],[ID-SLOT]]</f>
        <v>8.1.5</v>
      </c>
      <c r="AI1207" s="72" t="str">
        <f>INDEX(Tableau1[Ref-Carte],MATCH(Tableau3[[#This Row],[ID-RRS]],Tableau1[ID-RRS],0))</f>
        <v>SDI1602</v>
      </c>
      <c r="AJ1207" s="72" t="str">
        <f t="array" ref="AJ1207">IFERROR(INDEX(Tableau2[TS],MATCH(1,(Tableau2[Ref-Carte]=Tableau3[[#This Row],[Ref-Carte2]])*(Tableau2[ID-Voie]=Tableau3[[#This Row],[ID-VOIE]]),0)),"")</f>
        <v>ET</v>
      </c>
      <c r="AK1207" s="72" t="str">
        <f>IFERROR(INDEX(Tableau2[TS],SUMPRODUCT((Tableau2[Ref-Carte]=Tableau3[[#This Row],[Ref-Carte2]])*(Tableau2[ID-Voie]=Tableau3[[#This Row],[ID-VOIE]])*ROW(Tableau2[TS]))-ROW(Tableau2[#Headers])),"")</f>
        <v>ET</v>
      </c>
      <c r="AL1207" s="122" t="str">
        <f>Tableau3[[#This Row],[Ref-Carte2]]&amp;"/"&amp;Tableau3[[#This Row],[ID-VOIE]]</f>
        <v>SDI1602/5</v>
      </c>
      <c r="AM1207" s="123" t="str">
        <f>INDEX(Tableau2[Borne],MATCH(Tableau3[[#This Row],[ID-CARTEVOIE]],Tableau2[ID-CARTEVOIE],0))&amp;""</f>
        <v>2A</v>
      </c>
      <c r="AN1207" s="124" t="str">
        <f>Tableau3[[#This Row],[ID-API]]&amp;Tableau3[[#This Row],[ID-RACK]]&amp;Tableau3[[#This Row],[ID-SLOT]]&amp;Tableau3[[#This Row],[BORNE]]</f>
        <v>8152A</v>
      </c>
      <c r="AO1207" s="125"/>
    </row>
    <row r="1208" spans="1:41" ht="20.100000000000001" customHeight="1" thickTop="1" thickBot="1">
      <c r="A1208" s="110"/>
      <c r="B1208" s="111" t="str">
        <f>IFERROR(INDEX(Tableau4[Date],MATCH($A1208,Tableau4[EVO],0)),"")</f>
        <v/>
      </c>
      <c r="C1208" s="112" t="str">
        <f>IFERROR(INDEX(Tableau4[Designation],MATCH($A1208,Tableau4[EVO],0)),"")</f>
        <v/>
      </c>
      <c r="D1208" s="110"/>
      <c r="E1208" s="113"/>
      <c r="F1208" s="146"/>
      <c r="G1208" s="147" t="e">
        <f>INDEX(Tableau8[Att1],MATCH(Tableau3[[#This Row],[ID-INS]],Tableau8[ID],0))&amp;""</f>
        <v>#N/A</v>
      </c>
      <c r="H1208" s="147" t="e">
        <f>INDEX(Tableau8[Att2],MATCH(Tableau3[[#This Row],[ID-INS]],Tableau8[ID],0))&amp;""</f>
        <v>#N/A</v>
      </c>
      <c r="I1208" s="147" t="e">
        <f>INDEX(Tableau8[Att3],MATCH(Tableau3[[#This Row],[ID-INS]],Tableau8[ID],0))&amp;""</f>
        <v>#N/A</v>
      </c>
      <c r="J1208" s="148"/>
      <c r="K1208" s="167" t="e">
        <f>INDEX(Tableau8[Nom du modele],MATCH(Tableau3[[#This Row],[ID-INS]],Tableau8[ID],0))&amp;""</f>
        <v>#N/A</v>
      </c>
      <c r="L1208" s="149" t="e">
        <f>INDEX(Tableau5[Att1],MATCH(Tableau3[[#This Row],[ID-SIG]],Tableau5[ID],0))&amp;""</f>
        <v>#N/A</v>
      </c>
      <c r="M1208" s="149" t="e">
        <f>INDEX(Tableau5[Att2],MATCH(Tableau3[[#This Row],[ID-SIG]],Tableau5[ID],0))&amp;""</f>
        <v>#N/A</v>
      </c>
      <c r="N1208" s="149" t="e">
        <f>INDEX(Tableau5[Att3],MATCH(Tableau3[[#This Row],[ID-SIG]],Tableau5[ID],0))&amp;""</f>
        <v>#N/A</v>
      </c>
      <c r="O1208" s="150"/>
      <c r="P1208" s="149" t="e">
        <f>INDEX(Tableau5[Description],MATCH(Tableau3[[#This Row],[ID-SIG]],Tableau5[ID],0))</f>
        <v>#N/A</v>
      </c>
      <c r="Q1208" s="150"/>
      <c r="R1208" s="117" t="e">
        <f>Tableau3[[#This Row],[Description]]</f>
        <v>#N/A</v>
      </c>
      <c r="S1208" s="75"/>
      <c r="T1208" s="75"/>
      <c r="U1208" s="151">
        <v>8</v>
      </c>
      <c r="V1208" s="151">
        <v>1</v>
      </c>
      <c r="W1208" s="151">
        <v>5</v>
      </c>
      <c r="X1208" s="151">
        <v>6</v>
      </c>
      <c r="Y1208" s="40"/>
      <c r="Z1208" s="166" t="str">
        <f>INDEX(Tableau2[TS],MATCH(Tableau3[[#This Row],[ID-CARTEVOIE]],Tableau2[ID-CARTEVOIE],0))</f>
        <v>ET</v>
      </c>
      <c r="AA1208" s="81" t="s">
        <v>213</v>
      </c>
      <c r="AB1208" s="226" t="str">
        <f>IFERROR(INDEX(Tableau5[Reserve],MATCH(Tableau3[[#This Row],[ID-SIG]],Tableau5[ID],0))&amp;"","")</f>
        <v/>
      </c>
      <c r="AC1208" s="119" t="s">
        <v>1456</v>
      </c>
      <c r="AD1208" s="120" t="str">
        <f>INDEX(Tableau7[Repere],MATCH(Tableau3[[#This Row],[ID-API]],Tableau7[ID-API],0))&amp;""</f>
        <v>A8</v>
      </c>
      <c r="AE1208" s="121" t="str">
        <f>INDEX(Tableau1[Repere-Rack],MATCH(Tableau3[[#This Row],[ID-RACK]],Tableau1[ID-RACK],0))&amp;""</f>
        <v>R1</v>
      </c>
      <c r="AF1208" s="121" t="str">
        <f>INDEX(Tableau1[Repere-Slot],MATCH(Tableau3[[#This Row],[ID-SLOT]],Tableau1[ID-SLOT],0))&amp;""</f>
        <v>S5</v>
      </c>
      <c r="AG1208" s="121" t="str">
        <f>INDEX(Tableau2[Repere-Voie],MATCH(Tableau3[[#This Row],[ID-VOIE]],Tableau2[ID-Voie],0))&amp;""</f>
        <v>v6</v>
      </c>
      <c r="AH1208" s="122" t="str">
        <f>Tableau3[[#This Row],[ID-API]]&amp; "." &amp;Tableau3[[#This Row],[ID-RACK]]&amp; "." &amp;Tableau3[[#This Row],[ID-SLOT]]</f>
        <v>8.1.5</v>
      </c>
      <c r="AI1208" s="72" t="str">
        <f>INDEX(Tableau1[Ref-Carte],MATCH(Tableau3[[#This Row],[ID-RRS]],Tableau1[ID-RRS],0))</f>
        <v>SDI1602</v>
      </c>
      <c r="AJ1208" s="72" t="str">
        <f t="array" ref="AJ1208">IFERROR(INDEX(Tableau2[TS],MATCH(1,(Tableau2[Ref-Carte]=Tableau3[[#This Row],[Ref-Carte2]])*(Tableau2[ID-Voie]=Tableau3[[#This Row],[ID-VOIE]]),0)),"")</f>
        <v>ET</v>
      </c>
      <c r="AK1208" s="72" t="str">
        <f>IFERROR(INDEX(Tableau2[TS],SUMPRODUCT((Tableau2[Ref-Carte]=Tableau3[[#This Row],[Ref-Carte2]])*(Tableau2[ID-Voie]=Tableau3[[#This Row],[ID-VOIE]])*ROW(Tableau2[TS]))-ROW(Tableau2[#Headers])),"")</f>
        <v>ET</v>
      </c>
      <c r="AL1208" s="122" t="str">
        <f>Tableau3[[#This Row],[Ref-Carte2]]&amp;"/"&amp;Tableau3[[#This Row],[ID-VOIE]]</f>
        <v>SDI1602/6</v>
      </c>
      <c r="AM1208" s="123" t="str">
        <f>INDEX(Tableau2[Borne],MATCH(Tableau3[[#This Row],[ID-CARTEVOIE]],Tableau2[ID-CARTEVOIE],0))&amp;""</f>
        <v>3B</v>
      </c>
      <c r="AN1208" s="124" t="str">
        <f>Tableau3[[#This Row],[ID-API]]&amp;Tableau3[[#This Row],[ID-RACK]]&amp;Tableau3[[#This Row],[ID-SLOT]]&amp;Tableau3[[#This Row],[BORNE]]</f>
        <v>8153B</v>
      </c>
      <c r="AO1208" s="125"/>
    </row>
    <row r="1209" spans="1:41" ht="20.100000000000001" customHeight="1" thickTop="1" thickBot="1">
      <c r="A1209" s="68"/>
      <c r="B1209" s="69" t="str">
        <f>IFERROR(INDEX(Tableau4[Date],MATCH($A1209,Tableau4[EVO],0)),"")</f>
        <v/>
      </c>
      <c r="C1209" s="68" t="str">
        <f>IFERROR(INDEX(Tableau4[Designation],MATCH($A1209,Tableau4[EVO],0)),"")</f>
        <v/>
      </c>
      <c r="D1209" s="68"/>
      <c r="E1209" s="70">
        <v>207</v>
      </c>
      <c r="F1209" s="71">
        <v>104</v>
      </c>
      <c r="G1209" s="101" t="str">
        <f>INDEX(Tableau8[Att1],MATCH(Tableau3[[#This Row],[ID-INS]],Tableau8[ID],0))&amp;""</f>
        <v>X</v>
      </c>
      <c r="H1209" s="101" t="str">
        <f>INDEX(Tableau8[Att2],MATCH(Tableau3[[#This Row],[ID-INS]],Tableau8[ID],0))&amp;""</f>
        <v>EL25</v>
      </c>
      <c r="I1209" s="101" t="str">
        <f>INDEX(Tableau8[Att3],MATCH(Tableau3[[#This Row],[ID-INS]],Tableau8[ID],0))&amp;""</f>
        <v>RIO8 Défaut batterie</v>
      </c>
      <c r="J1209" s="101"/>
      <c r="K1209" s="167" t="str">
        <f>INDEX(Tableau8[Nom du modele],MATCH(Tableau3[[#This Row],[ID-INS]],Tableau8[ID],0))&amp;""</f>
        <v>SurvElec</v>
      </c>
      <c r="L1209" s="99" t="str">
        <f>INDEX(Tableau5[Att1],MATCH(Tableau3[[#This Row],[ID-SIG]],Tableau5[ID],0))&amp;""</f>
        <v>Def</v>
      </c>
      <c r="M1209" s="99" t="str">
        <f>INDEX(Tableau5[Att2],MATCH(Tableau3[[#This Row],[ID-SIG]],Tableau5[ID],0))&amp;""</f>
        <v/>
      </c>
      <c r="N1209" s="99" t="str">
        <f>INDEX(Tableau5[Att3],MATCH(Tableau3[[#This Row],[ID-SIG]],Tableau5[ID],0))&amp;""</f>
        <v/>
      </c>
      <c r="O1209" s="99"/>
      <c r="P1209" s="99" t="str">
        <f>INDEX(Tableau5[Description],MATCH(Tableau3[[#This Row],[ID-SIG]],Tableau5[ID],0))</f>
        <v>Défaut</v>
      </c>
      <c r="Q1209" s="99"/>
      <c r="R1209" s="103" t="str">
        <f>Tableau3[[#This Row],[Description]]</f>
        <v>Défaut</v>
      </c>
      <c r="U1209" s="87">
        <v>8</v>
      </c>
      <c r="V1209" s="87">
        <v>1</v>
      </c>
      <c r="W1209" s="87">
        <v>5</v>
      </c>
      <c r="X1209" s="87">
        <v>7</v>
      </c>
      <c r="Y1209" s="40"/>
      <c r="Z1209" s="165" t="str">
        <f>INDEX(Tableau2[TS],MATCH(Tableau3[[#This Row],[ID-CARTEVOIE]],Tableau2[ID-CARTEVOIE],0))</f>
        <v>ET</v>
      </c>
      <c r="AA1209" s="53" t="s">
        <v>213</v>
      </c>
      <c r="AB1209" s="223" t="str">
        <f>IFERROR(INDEX(Tableau5[Reserve],MATCH(Tableau3[[#This Row],[ID-SIG]],Tableau5[ID],0))&amp;"","")</f>
        <v/>
      </c>
      <c r="AC1209" s="21"/>
      <c r="AD1209" s="108" t="str">
        <f>INDEX(Tableau7[Repere],MATCH(Tableau3[[#This Row],[ID-API]],Tableau7[ID-API],0))&amp;""</f>
        <v>A8</v>
      </c>
      <c r="AE1209" s="108" t="str">
        <f>INDEX(Tableau1[Repere-Rack],MATCH(Tableau3[[#This Row],[ID-RACK]],Tableau1[ID-RACK],0))&amp;""</f>
        <v>R1</v>
      </c>
      <c r="AF1209" s="108" t="str">
        <f>INDEX(Tableau1[Repere-Slot],MATCH(Tableau3[[#This Row],[ID-SLOT]],Tableau1[ID-SLOT],0))&amp;""</f>
        <v>S5</v>
      </c>
      <c r="AG1209" s="108" t="str">
        <f>INDEX(Tableau2[Repere-Voie],MATCH(Tableau3[[#This Row],[ID-VOIE]],Tableau2[ID-Voie],0))&amp;""</f>
        <v>v7</v>
      </c>
      <c r="AH1209" s="72" t="str">
        <f>Tableau3[[#This Row],[ID-API]]&amp; "." &amp;Tableau3[[#This Row],[ID-RACK]]&amp; "." &amp;Tableau3[[#This Row],[ID-SLOT]]</f>
        <v>8.1.5</v>
      </c>
      <c r="AI1209" s="72" t="str">
        <f>INDEX(Tableau1[Ref-Carte],MATCH(Tableau3[[#This Row],[ID-RRS]],Tableau1[ID-RRS],0))</f>
        <v>SDI1602</v>
      </c>
      <c r="AJ1209" s="72" t="str">
        <f t="array" ref="AJ1209">IFERROR(INDEX(Tableau2[TS],MATCH(1,(Tableau2[Ref-Carte]=Tableau3[[#This Row],[Ref-Carte2]])*(Tableau2[ID-Voie]=Tableau3[[#This Row],[ID-VOIE]]),0)),"")</f>
        <v>ET</v>
      </c>
      <c r="AK1209" s="72" t="str">
        <f>IFERROR(INDEX(Tableau2[TS],SUMPRODUCT((Tableau2[Ref-Carte]=Tableau3[[#This Row],[Ref-Carte2]])*(Tableau2[ID-Voie]=Tableau3[[#This Row],[ID-VOIE]])*ROW(Tableau2[TS]))-ROW(Tableau2[#Headers])),"")</f>
        <v>ET</v>
      </c>
      <c r="AL1209" s="72" t="str">
        <f>Tableau3[[#This Row],[Ref-Carte2]]&amp;"/"&amp;Tableau3[[#This Row],[ID-VOIE]]</f>
        <v>SDI1602/7</v>
      </c>
      <c r="AM1209" s="73" t="str">
        <f>INDEX(Tableau2[Borne],MATCH(Tableau3[[#This Row],[ID-CARTEVOIE]],Tableau2[ID-CARTEVOIE],0))&amp;""</f>
        <v>3A</v>
      </c>
      <c r="AN1209" s="74" t="str">
        <f>Tableau3[[#This Row],[ID-API]]&amp;Tableau3[[#This Row],[ID-RACK]]&amp;Tableau3[[#This Row],[ID-SLOT]]&amp;Tableau3[[#This Row],[BORNE]]</f>
        <v>8153A</v>
      </c>
      <c r="AO1209" s="1"/>
    </row>
    <row r="1210" spans="1:41" ht="20.100000000000001" customHeight="1" thickTop="1" thickBot="1">
      <c r="A1210" s="68"/>
      <c r="B1210" s="69" t="str">
        <f>IFERROR(INDEX(Tableau4[Date],MATCH($A1210,Tableau4[EVO],0)),"")</f>
        <v/>
      </c>
      <c r="C1210" s="68" t="str">
        <f>IFERROR(INDEX(Tableau4[Designation],MATCH($A1210,Tableau4[EVO],0)),"")</f>
        <v/>
      </c>
      <c r="D1210" s="68"/>
      <c r="E1210" s="70">
        <v>208</v>
      </c>
      <c r="F1210" s="71">
        <v>104</v>
      </c>
      <c r="G1210" s="101" t="str">
        <f>INDEX(Tableau8[Att1],MATCH(Tableau3[[#This Row],[ID-INS]],Tableau8[ID],0))&amp;""</f>
        <v>X</v>
      </c>
      <c r="H1210" s="101" t="str">
        <f>INDEX(Tableau8[Att2],MATCH(Tableau3[[#This Row],[ID-INS]],Tableau8[ID],0))&amp;""</f>
        <v>EL26</v>
      </c>
      <c r="I1210" s="101" t="str">
        <f>INDEX(Tableau8[Att3],MATCH(Tableau3[[#This Row],[ID-INS]],Tableau8[ID],0))&amp;""</f>
        <v>RIO8 Synthèse disjonction auxiliaire + puissance</v>
      </c>
      <c r="J1210" s="101"/>
      <c r="K1210" s="167" t="str">
        <f>INDEX(Tableau8[Nom du modele],MATCH(Tableau3[[#This Row],[ID-INS]],Tableau8[ID],0))&amp;""</f>
        <v>SurvElec</v>
      </c>
      <c r="L1210" s="99" t="str">
        <f>INDEX(Tableau5[Att1],MATCH(Tableau3[[#This Row],[ID-SIG]],Tableau5[ID],0))&amp;""</f>
        <v>Def</v>
      </c>
      <c r="M1210" s="99" t="str">
        <f>INDEX(Tableau5[Att2],MATCH(Tableau3[[#This Row],[ID-SIG]],Tableau5[ID],0))&amp;""</f>
        <v/>
      </c>
      <c r="N1210" s="99" t="str">
        <f>INDEX(Tableau5[Att3],MATCH(Tableau3[[#This Row],[ID-SIG]],Tableau5[ID],0))&amp;""</f>
        <v/>
      </c>
      <c r="O1210" s="99"/>
      <c r="P1210" s="99" t="str">
        <f>INDEX(Tableau5[Description],MATCH(Tableau3[[#This Row],[ID-SIG]],Tableau5[ID],0))</f>
        <v>Défaut</v>
      </c>
      <c r="Q1210" s="99"/>
      <c r="R1210" s="103" t="str">
        <f>Tableau3[[#This Row],[Description]]</f>
        <v>Défaut</v>
      </c>
      <c r="U1210" s="87">
        <v>8</v>
      </c>
      <c r="V1210" s="87">
        <v>1</v>
      </c>
      <c r="W1210" s="87">
        <v>5</v>
      </c>
      <c r="X1210" s="87">
        <v>8</v>
      </c>
      <c r="Y1210" s="40"/>
      <c r="Z1210" s="165" t="str">
        <f>INDEX(Tableau2[TS],MATCH(Tableau3[[#This Row],[ID-CARTEVOIE]],Tableau2[ID-CARTEVOIE],0))</f>
        <v>ET</v>
      </c>
      <c r="AA1210" s="53" t="s">
        <v>213</v>
      </c>
      <c r="AB1210" s="223" t="str">
        <f>IFERROR(INDEX(Tableau5[Reserve],MATCH(Tableau3[[#This Row],[ID-SIG]],Tableau5[ID],0))&amp;"","")</f>
        <v/>
      </c>
      <c r="AC1210" s="21"/>
      <c r="AD1210" s="108" t="str">
        <f>INDEX(Tableau7[Repere],MATCH(Tableau3[[#This Row],[ID-API]],Tableau7[ID-API],0))&amp;""</f>
        <v>A8</v>
      </c>
      <c r="AE1210" s="108" t="str">
        <f>INDEX(Tableau1[Repere-Rack],MATCH(Tableau3[[#This Row],[ID-RACK]],Tableau1[ID-RACK],0))&amp;""</f>
        <v>R1</v>
      </c>
      <c r="AF1210" s="108" t="str">
        <f>INDEX(Tableau1[Repere-Slot],MATCH(Tableau3[[#This Row],[ID-SLOT]],Tableau1[ID-SLOT],0))&amp;""</f>
        <v>S5</v>
      </c>
      <c r="AG1210" s="108" t="str">
        <f>INDEX(Tableau2[Repere-Voie],MATCH(Tableau3[[#This Row],[ID-VOIE]],Tableau2[ID-Voie],0))&amp;""</f>
        <v>v8</v>
      </c>
      <c r="AH1210" s="72" t="str">
        <f>Tableau3[[#This Row],[ID-API]]&amp; "." &amp;Tableau3[[#This Row],[ID-RACK]]&amp; "." &amp;Tableau3[[#This Row],[ID-SLOT]]</f>
        <v>8.1.5</v>
      </c>
      <c r="AI1210" s="72" t="str">
        <f>INDEX(Tableau1[Ref-Carte],MATCH(Tableau3[[#This Row],[ID-RRS]],Tableau1[ID-RRS],0))</f>
        <v>SDI1602</v>
      </c>
      <c r="AJ1210" s="72" t="str">
        <f t="array" ref="AJ1210">IFERROR(INDEX(Tableau2[TS],MATCH(1,(Tableau2[Ref-Carte]=Tableau3[[#This Row],[Ref-Carte2]])*(Tableau2[ID-Voie]=Tableau3[[#This Row],[ID-VOIE]]),0)),"")</f>
        <v>ET</v>
      </c>
      <c r="AK1210" s="72" t="str">
        <f>IFERROR(INDEX(Tableau2[TS],SUMPRODUCT((Tableau2[Ref-Carte]=Tableau3[[#This Row],[Ref-Carte2]])*(Tableau2[ID-Voie]=Tableau3[[#This Row],[ID-VOIE]])*ROW(Tableau2[TS]))-ROW(Tableau2[#Headers])),"")</f>
        <v>ET</v>
      </c>
      <c r="AL1210" s="72" t="str">
        <f>Tableau3[[#This Row],[Ref-Carte2]]&amp;"/"&amp;Tableau3[[#This Row],[ID-VOIE]]</f>
        <v>SDI1602/8</v>
      </c>
      <c r="AM1210" s="73" t="str">
        <f>INDEX(Tableau2[Borne],MATCH(Tableau3[[#This Row],[ID-CARTEVOIE]],Tableau2[ID-CARTEVOIE],0))&amp;""</f>
        <v>4B</v>
      </c>
      <c r="AN1210" s="74" t="str">
        <f>Tableau3[[#This Row],[ID-API]]&amp;Tableau3[[#This Row],[ID-RACK]]&amp;Tableau3[[#This Row],[ID-SLOT]]&amp;Tableau3[[#This Row],[BORNE]]</f>
        <v>8154B</v>
      </c>
      <c r="AO1210" s="1"/>
    </row>
    <row r="1211" spans="1:41" ht="20.100000000000001" customHeight="1" thickTop="1" thickBot="1">
      <c r="A1211" s="68"/>
      <c r="B1211" s="69" t="str">
        <f>IFERROR(INDEX(Tableau4[Date],MATCH($A1211,Tableau4[EVO],0)),"")</f>
        <v/>
      </c>
      <c r="C1211" s="68" t="str">
        <f>IFERROR(INDEX(Tableau4[Designation],MATCH($A1211,Tableau4[EVO],0)),"")</f>
        <v/>
      </c>
      <c r="D1211" s="68"/>
      <c r="E1211" s="70">
        <v>263</v>
      </c>
      <c r="F1211" s="71">
        <v>100</v>
      </c>
      <c r="G1211" s="101" t="str">
        <f>INDEX(Tableau8[Att1],MATCH(Tableau3[[#This Row],[ID-INS]],Tableau8[ID],0))&amp;""</f>
        <v>B11</v>
      </c>
      <c r="H1211" s="101" t="str">
        <f>INDEX(Tableau8[Att2],MATCH(Tableau3[[#This Row],[ID-INS]],Tableau8[ID],0))&amp;""</f>
        <v>PCS_ARUBLEU</v>
      </c>
      <c r="I1211" s="101" t="str">
        <f>INDEX(Tableau8[Att3],MATCH(Tableau3[[#This Row],[ID-INS]],Tableau8[ID],0))&amp;""</f>
        <v>PCS ARUMONU</v>
      </c>
      <c r="J1211" s="101"/>
      <c r="K1211" s="167" t="str">
        <f>INDEX(Tableau8[Nom du modele],MATCH(Tableau3[[#This Row],[ID-INS]],Tableau8[ID],0))&amp;""</f>
        <v>ARU</v>
      </c>
      <c r="L1211" s="99" t="str">
        <f>INDEX(Tableau5[Att1],MATCH(Tableau3[[#This Row],[ID-SIG]],Tableau5[ID],0))&amp;""</f>
        <v>Decl1</v>
      </c>
      <c r="M1211" s="99" t="str">
        <f>INDEX(Tableau5[Att2],MATCH(Tableau3[[#This Row],[ID-SIG]],Tableau5[ID],0))&amp;""</f>
        <v/>
      </c>
      <c r="N1211" s="99" t="str">
        <f>INDEX(Tableau5[Att3],MATCH(Tableau3[[#This Row],[ID-SIG]],Tableau5[ID],0))&amp;""</f>
        <v/>
      </c>
      <c r="O1211" s="99"/>
      <c r="P1211" s="99" t="str">
        <f>INDEX(Tableau5[Description],MATCH(Tableau3[[#This Row],[ID-SIG]],Tableau5[ID],0))</f>
        <v>Déclenchement contact 1</v>
      </c>
      <c r="Q1211" s="99"/>
      <c r="R1211" s="103" t="str">
        <f>Tableau3[[#This Row],[Description]]</f>
        <v>Déclenchement contact 1</v>
      </c>
      <c r="U1211" s="87">
        <v>8</v>
      </c>
      <c r="V1211" s="87">
        <v>1</v>
      </c>
      <c r="W1211" s="87">
        <v>5</v>
      </c>
      <c r="X1211" s="87">
        <v>9</v>
      </c>
      <c r="Y1211" s="40"/>
      <c r="Z1211" s="165" t="str">
        <f>INDEX(Tableau2[TS],MATCH(Tableau3[[#This Row],[ID-CARTEVOIE]],Tableau2[ID-CARTEVOIE],0))</f>
        <v>ET</v>
      </c>
      <c r="AA1211" s="53" t="s">
        <v>213</v>
      </c>
      <c r="AB1211" s="223" t="str">
        <f>IFERROR(INDEX(Tableau5[Reserve],MATCH(Tableau3[[#This Row],[ID-SIG]],Tableau5[ID],0))&amp;"","")</f>
        <v/>
      </c>
      <c r="AC1211" s="21"/>
      <c r="AD1211" s="108" t="str">
        <f>INDEX(Tableau7[Repere],MATCH(Tableau3[[#This Row],[ID-API]],Tableau7[ID-API],0))&amp;""</f>
        <v>A8</v>
      </c>
      <c r="AE1211" s="108" t="str">
        <f>INDEX(Tableau1[Repere-Rack],MATCH(Tableau3[[#This Row],[ID-RACK]],Tableau1[ID-RACK],0))&amp;""</f>
        <v>R1</v>
      </c>
      <c r="AF1211" s="108" t="str">
        <f>INDEX(Tableau1[Repere-Slot],MATCH(Tableau3[[#This Row],[ID-SLOT]],Tableau1[ID-SLOT],0))&amp;""</f>
        <v>S5</v>
      </c>
      <c r="AG1211" s="108" t="str">
        <f>INDEX(Tableau2[Repere-Voie],MATCH(Tableau3[[#This Row],[ID-VOIE]],Tableau2[ID-Voie],0))&amp;""</f>
        <v>v9</v>
      </c>
      <c r="AH1211" s="72" t="str">
        <f>Tableau3[[#This Row],[ID-API]]&amp; "." &amp;Tableau3[[#This Row],[ID-RACK]]&amp; "." &amp;Tableau3[[#This Row],[ID-SLOT]]</f>
        <v>8.1.5</v>
      </c>
      <c r="AI1211" s="72" t="str">
        <f>INDEX(Tableau1[Ref-Carte],MATCH(Tableau3[[#This Row],[ID-RRS]],Tableau1[ID-RRS],0))</f>
        <v>SDI1602</v>
      </c>
      <c r="AJ1211" s="72" t="str">
        <f t="array" ref="AJ1211">IFERROR(INDEX(Tableau2[TS],MATCH(1,(Tableau2[Ref-Carte]=Tableau3[[#This Row],[Ref-Carte2]])*(Tableau2[ID-Voie]=Tableau3[[#This Row],[ID-VOIE]]),0)),"")</f>
        <v>ET</v>
      </c>
      <c r="AK1211" s="72" t="str">
        <f>IFERROR(INDEX(Tableau2[TS],SUMPRODUCT((Tableau2[Ref-Carte]=Tableau3[[#This Row],[Ref-Carte2]])*(Tableau2[ID-Voie]=Tableau3[[#This Row],[ID-VOIE]])*ROW(Tableau2[TS]))-ROW(Tableau2[#Headers])),"")</f>
        <v>ET</v>
      </c>
      <c r="AL1211" s="72" t="str">
        <f>Tableau3[[#This Row],[Ref-Carte2]]&amp;"/"&amp;Tableau3[[#This Row],[ID-VOIE]]</f>
        <v>SDI1602/9</v>
      </c>
      <c r="AM1211" s="73" t="str">
        <f>INDEX(Tableau2[Borne],MATCH(Tableau3[[#This Row],[ID-CARTEVOIE]],Tableau2[ID-CARTEVOIE],0))&amp;""</f>
        <v>4A</v>
      </c>
      <c r="AN1211" s="74" t="str">
        <f>Tableau3[[#This Row],[ID-API]]&amp;Tableau3[[#This Row],[ID-RACK]]&amp;Tableau3[[#This Row],[ID-SLOT]]&amp;Tableau3[[#This Row],[BORNE]]</f>
        <v>8154A</v>
      </c>
      <c r="AO1211" s="1"/>
    </row>
    <row r="1212" spans="1:41" ht="20.100000000000001" customHeight="1" thickTop="1" thickBot="1">
      <c r="A1212" s="110"/>
      <c r="B1212" s="111" t="str">
        <f>IFERROR(INDEX(Tableau4[Date],MATCH($A1212,Tableau4[EVO],0)),"")</f>
        <v/>
      </c>
      <c r="C1212" s="112" t="str">
        <f>IFERROR(INDEX(Tableau4[Designation],MATCH($A1212,Tableau4[EVO],0)),"")</f>
        <v/>
      </c>
      <c r="D1212" s="110"/>
      <c r="E1212" s="113"/>
      <c r="F1212" s="146"/>
      <c r="G1212" s="147" t="e">
        <f>INDEX(Tableau8[Att1],MATCH(Tableau3[[#This Row],[ID-INS]],Tableau8[ID],0))&amp;""</f>
        <v>#N/A</v>
      </c>
      <c r="H1212" s="147" t="s">
        <v>1781</v>
      </c>
      <c r="I1212" s="147" t="e">
        <f>INDEX(Tableau8[Att3],MATCH(Tableau3[[#This Row],[ID-INS]],Tableau8[ID],0))&amp;""</f>
        <v>#N/A</v>
      </c>
      <c r="J1212" s="148"/>
      <c r="K1212" s="167" t="e">
        <f>INDEX(Tableau8[Nom du modele],MATCH(Tableau3[[#This Row],[ID-INS]],Tableau8[ID],0))&amp;""</f>
        <v>#N/A</v>
      </c>
      <c r="L1212" s="149" t="s">
        <v>1783</v>
      </c>
      <c r="M1212" s="149" t="e">
        <f>INDEX(Tableau5[Att2],MATCH(Tableau3[[#This Row],[ID-SIG]],Tableau5[ID],0))&amp;""</f>
        <v>#N/A</v>
      </c>
      <c r="N1212" s="149" t="e">
        <f>INDEX(Tableau5[Att3],MATCH(Tableau3[[#This Row],[ID-SIG]],Tableau5[ID],0))&amp;""</f>
        <v>#N/A</v>
      </c>
      <c r="O1212" s="150"/>
      <c r="P1212" s="149" t="s">
        <v>1782</v>
      </c>
      <c r="Q1212" s="150"/>
      <c r="R1212" s="117" t="str">
        <f>Tableau3[[#This Row],[Description]]</f>
        <v>Bouton tournant à clé pour réarmement CDP Nasse (NO)</v>
      </c>
      <c r="S1212" s="75"/>
      <c r="T1212" s="75"/>
      <c r="U1212" s="151">
        <v>8</v>
      </c>
      <c r="V1212" s="151">
        <v>1</v>
      </c>
      <c r="W1212" s="151">
        <v>5</v>
      </c>
      <c r="X1212" s="151">
        <v>10</v>
      </c>
      <c r="Y1212" s="40"/>
      <c r="Z1212" s="166" t="str">
        <f>INDEX(Tableau2[TS],MATCH(Tableau3[[#This Row],[ID-CARTEVOIE]],Tableau2[ID-CARTEVOIE],0))</f>
        <v>ET</v>
      </c>
      <c r="AA1212" s="81" t="s">
        <v>213</v>
      </c>
      <c r="AB1212" s="226" t="str">
        <f>IFERROR(INDEX(Tableau5[Reserve],MATCH(Tableau3[[#This Row],[ID-SIG]],Tableau5[ID],0))&amp;"","")</f>
        <v/>
      </c>
      <c r="AC1212" s="119" t="s">
        <v>1456</v>
      </c>
      <c r="AD1212" s="120" t="str">
        <f>INDEX(Tableau7[Repere],MATCH(Tableau3[[#This Row],[ID-API]],Tableau7[ID-API],0))&amp;""</f>
        <v>A8</v>
      </c>
      <c r="AE1212" s="121" t="str">
        <f>INDEX(Tableau1[Repere-Rack],MATCH(Tableau3[[#This Row],[ID-RACK]],Tableau1[ID-RACK],0))&amp;""</f>
        <v>R1</v>
      </c>
      <c r="AF1212" s="121" t="str">
        <f>INDEX(Tableau1[Repere-Slot],MATCH(Tableau3[[#This Row],[ID-SLOT]],Tableau1[ID-SLOT],0))&amp;""</f>
        <v>S5</v>
      </c>
      <c r="AG1212" s="121" t="str">
        <f>INDEX(Tableau2[Repere-Voie],MATCH(Tableau3[[#This Row],[ID-VOIE]],Tableau2[ID-Voie],0))&amp;""</f>
        <v>v10</v>
      </c>
      <c r="AH1212" s="122" t="str">
        <f>Tableau3[[#This Row],[ID-API]]&amp; "." &amp;Tableau3[[#This Row],[ID-RACK]]&amp; "." &amp;Tableau3[[#This Row],[ID-SLOT]]</f>
        <v>8.1.5</v>
      </c>
      <c r="AI1212" s="72" t="str">
        <f>INDEX(Tableau1[Ref-Carte],MATCH(Tableau3[[#This Row],[ID-RRS]],Tableau1[ID-RRS],0))</f>
        <v>SDI1602</v>
      </c>
      <c r="AJ1212" s="72" t="str">
        <f t="array" ref="AJ1212">IFERROR(INDEX(Tableau2[TS],MATCH(1,(Tableau2[Ref-Carte]=Tableau3[[#This Row],[Ref-Carte2]])*(Tableau2[ID-Voie]=Tableau3[[#This Row],[ID-VOIE]]),0)),"")</f>
        <v>ET</v>
      </c>
      <c r="AK1212" s="72" t="str">
        <f>IFERROR(INDEX(Tableau2[TS],SUMPRODUCT((Tableau2[Ref-Carte]=Tableau3[[#This Row],[Ref-Carte2]])*(Tableau2[ID-Voie]=Tableau3[[#This Row],[ID-VOIE]])*ROW(Tableau2[TS]))-ROW(Tableau2[#Headers])),"")</f>
        <v>ET</v>
      </c>
      <c r="AL1212" s="122" t="str">
        <f>Tableau3[[#This Row],[Ref-Carte2]]&amp;"/"&amp;Tableau3[[#This Row],[ID-VOIE]]</f>
        <v>SDI1602/10</v>
      </c>
      <c r="AM1212" s="123" t="str">
        <f>INDEX(Tableau2[Borne],MATCH(Tableau3[[#This Row],[ID-CARTEVOIE]],Tableau2[ID-CARTEVOIE],0))&amp;""</f>
        <v>5B</v>
      </c>
      <c r="AN1212" s="124" t="str">
        <f>Tableau3[[#This Row],[ID-API]]&amp;Tableau3[[#This Row],[ID-RACK]]&amp;Tableau3[[#This Row],[ID-SLOT]]&amp;Tableau3[[#This Row],[BORNE]]</f>
        <v>8155B</v>
      </c>
      <c r="AO1212" s="125"/>
    </row>
    <row r="1213" spans="1:41" ht="20.100000000000001" customHeight="1" thickTop="1" thickBot="1">
      <c r="A1213" s="110"/>
      <c r="B1213" s="111" t="str">
        <f>IFERROR(INDEX(Tableau4[Date],MATCH($A1213,Tableau4[EVO],0)),"")</f>
        <v/>
      </c>
      <c r="C1213" s="112" t="str">
        <f>IFERROR(INDEX(Tableau4[Designation],MATCH($A1213,Tableau4[EVO],0)),"")</f>
        <v/>
      </c>
      <c r="D1213" s="110"/>
      <c r="E1213" s="113"/>
      <c r="F1213" s="146"/>
      <c r="G1213" s="147" t="e">
        <f>INDEX(Tableau8[Att1],MATCH(Tableau3[[#This Row],[ID-INS]],Tableau8[ID],0))&amp;""</f>
        <v>#N/A</v>
      </c>
      <c r="H1213" s="147" t="e">
        <f>INDEX(Tableau8[Att2],MATCH(Tableau3[[#This Row],[ID-INS]],Tableau8[ID],0))&amp;""</f>
        <v>#N/A</v>
      </c>
      <c r="I1213" s="147" t="e">
        <f>INDEX(Tableau8[Att3],MATCH(Tableau3[[#This Row],[ID-INS]],Tableau8[ID],0))&amp;""</f>
        <v>#N/A</v>
      </c>
      <c r="J1213" s="148"/>
      <c r="K1213" s="167" t="e">
        <f>INDEX(Tableau8[Nom du modele],MATCH(Tableau3[[#This Row],[ID-INS]],Tableau8[ID],0))&amp;""</f>
        <v>#N/A</v>
      </c>
      <c r="L1213" s="149" t="e">
        <f>INDEX(Tableau5[Att1],MATCH(Tableau3[[#This Row],[ID-SIG]],Tableau5[ID],0))&amp;""</f>
        <v>#N/A</v>
      </c>
      <c r="M1213" s="149" t="e">
        <f>INDEX(Tableau5[Att2],MATCH(Tableau3[[#This Row],[ID-SIG]],Tableau5[ID],0))&amp;""</f>
        <v>#N/A</v>
      </c>
      <c r="N1213" s="149" t="e">
        <f>INDEX(Tableau5[Att3],MATCH(Tableau3[[#This Row],[ID-SIG]],Tableau5[ID],0))&amp;""</f>
        <v>#N/A</v>
      </c>
      <c r="O1213" s="150"/>
      <c r="P1213" s="149" t="e">
        <f>INDEX(Tableau5[Description],MATCH(Tableau3[[#This Row],[ID-SIG]],Tableau5[ID],0))</f>
        <v>#N/A</v>
      </c>
      <c r="Q1213" s="150"/>
      <c r="R1213" s="117" t="e">
        <f>Tableau3[[#This Row],[Description]]</f>
        <v>#N/A</v>
      </c>
      <c r="S1213" s="75"/>
      <c r="T1213" s="75"/>
      <c r="U1213" s="151">
        <v>8</v>
      </c>
      <c r="V1213" s="151">
        <v>1</v>
      </c>
      <c r="W1213" s="151">
        <v>5</v>
      </c>
      <c r="X1213" s="151">
        <v>11</v>
      </c>
      <c r="Y1213" s="40"/>
      <c r="Z1213" s="166" t="str">
        <f>INDEX(Tableau2[TS],MATCH(Tableau3[[#This Row],[ID-CARTEVOIE]],Tableau2[ID-CARTEVOIE],0))</f>
        <v>ET</v>
      </c>
      <c r="AA1213" s="81" t="s">
        <v>213</v>
      </c>
      <c r="AB1213" s="226" t="str">
        <f>IFERROR(INDEX(Tableau5[Reserve],MATCH(Tableau3[[#This Row],[ID-SIG]],Tableau5[ID],0))&amp;"","")</f>
        <v/>
      </c>
      <c r="AC1213" s="119" t="s">
        <v>1456</v>
      </c>
      <c r="AD1213" s="120" t="str">
        <f>INDEX(Tableau7[Repere],MATCH(Tableau3[[#This Row],[ID-API]],Tableau7[ID-API],0))&amp;""</f>
        <v>A8</v>
      </c>
      <c r="AE1213" s="121" t="str">
        <f>INDEX(Tableau1[Repere-Rack],MATCH(Tableau3[[#This Row],[ID-RACK]],Tableau1[ID-RACK],0))&amp;""</f>
        <v>R1</v>
      </c>
      <c r="AF1213" s="121" t="str">
        <f>INDEX(Tableau1[Repere-Slot],MATCH(Tableau3[[#This Row],[ID-SLOT]],Tableau1[ID-SLOT],0))&amp;""</f>
        <v>S5</v>
      </c>
      <c r="AG1213" s="121" t="str">
        <f>INDEX(Tableau2[Repere-Voie],MATCH(Tableau3[[#This Row],[ID-VOIE]],Tableau2[ID-Voie],0))&amp;""</f>
        <v>v11</v>
      </c>
      <c r="AH1213" s="122" t="str">
        <f>Tableau3[[#This Row],[ID-API]]&amp; "." &amp;Tableau3[[#This Row],[ID-RACK]]&amp; "." &amp;Tableau3[[#This Row],[ID-SLOT]]</f>
        <v>8.1.5</v>
      </c>
      <c r="AI1213" s="72" t="str">
        <f>INDEX(Tableau1[Ref-Carte],MATCH(Tableau3[[#This Row],[ID-RRS]],Tableau1[ID-RRS],0))</f>
        <v>SDI1602</v>
      </c>
      <c r="AJ1213" s="72" t="str">
        <f t="array" ref="AJ1213">IFERROR(INDEX(Tableau2[TS],MATCH(1,(Tableau2[Ref-Carte]=Tableau3[[#This Row],[Ref-Carte2]])*(Tableau2[ID-Voie]=Tableau3[[#This Row],[ID-VOIE]]),0)),"")</f>
        <v>ET</v>
      </c>
      <c r="AK1213" s="72" t="str">
        <f>IFERROR(INDEX(Tableau2[TS],SUMPRODUCT((Tableau2[Ref-Carte]=Tableau3[[#This Row],[Ref-Carte2]])*(Tableau2[ID-Voie]=Tableau3[[#This Row],[ID-VOIE]])*ROW(Tableau2[TS]))-ROW(Tableau2[#Headers])),"")</f>
        <v>ET</v>
      </c>
      <c r="AL1213" s="122" t="str">
        <f>Tableau3[[#This Row],[Ref-Carte2]]&amp;"/"&amp;Tableau3[[#This Row],[ID-VOIE]]</f>
        <v>SDI1602/11</v>
      </c>
      <c r="AM1213" s="123" t="str">
        <f>INDEX(Tableau2[Borne],MATCH(Tableau3[[#This Row],[ID-CARTEVOIE]],Tableau2[ID-CARTEVOIE],0))&amp;""</f>
        <v>5A</v>
      </c>
      <c r="AN1213" s="124" t="str">
        <f>Tableau3[[#This Row],[ID-API]]&amp;Tableau3[[#This Row],[ID-RACK]]&amp;Tableau3[[#This Row],[ID-SLOT]]&amp;Tableau3[[#This Row],[BORNE]]</f>
        <v>8155A</v>
      </c>
      <c r="AO1213" s="125"/>
    </row>
    <row r="1214" spans="1:41" ht="20.100000000000001" customHeight="1" thickTop="1" thickBot="1">
      <c r="A1214" s="110"/>
      <c r="B1214" s="111" t="str">
        <f>IFERROR(INDEX(Tableau4[Date],MATCH($A1214,Tableau4[EVO],0)),"")</f>
        <v/>
      </c>
      <c r="C1214" s="112" t="str">
        <f>IFERROR(INDEX(Tableau4[Designation],MATCH($A1214,Tableau4[EVO],0)),"")</f>
        <v/>
      </c>
      <c r="D1214" s="110"/>
      <c r="E1214" s="113"/>
      <c r="F1214" s="146"/>
      <c r="G1214" s="147" t="e">
        <f>INDEX(Tableau8[Att1],MATCH(Tableau3[[#This Row],[ID-INS]],Tableau8[ID],0))&amp;""</f>
        <v>#N/A</v>
      </c>
      <c r="H1214" s="147" t="e">
        <f>INDEX(Tableau8[Att2],MATCH(Tableau3[[#This Row],[ID-INS]],Tableau8[ID],0))&amp;""</f>
        <v>#N/A</v>
      </c>
      <c r="I1214" s="147" t="e">
        <f>INDEX(Tableau8[Att3],MATCH(Tableau3[[#This Row],[ID-INS]],Tableau8[ID],0))&amp;""</f>
        <v>#N/A</v>
      </c>
      <c r="J1214" s="148"/>
      <c r="K1214" s="167" t="e">
        <f>INDEX(Tableau8[Nom du modele],MATCH(Tableau3[[#This Row],[ID-INS]],Tableau8[ID],0))&amp;""</f>
        <v>#N/A</v>
      </c>
      <c r="L1214" s="149" t="e">
        <f>INDEX(Tableau5[Att1],MATCH(Tableau3[[#This Row],[ID-SIG]],Tableau5[ID],0))&amp;""</f>
        <v>#N/A</v>
      </c>
      <c r="M1214" s="149" t="e">
        <f>INDEX(Tableau5[Att2],MATCH(Tableau3[[#This Row],[ID-SIG]],Tableau5[ID],0))&amp;""</f>
        <v>#N/A</v>
      </c>
      <c r="N1214" s="149" t="e">
        <f>INDEX(Tableau5[Att3],MATCH(Tableau3[[#This Row],[ID-SIG]],Tableau5[ID],0))&amp;""</f>
        <v>#N/A</v>
      </c>
      <c r="O1214" s="150"/>
      <c r="P1214" s="149" t="e">
        <f>INDEX(Tableau5[Description],MATCH(Tableau3[[#This Row],[ID-SIG]],Tableau5[ID],0))</f>
        <v>#N/A</v>
      </c>
      <c r="Q1214" s="150"/>
      <c r="R1214" s="117" t="e">
        <f>Tableau3[[#This Row],[Description]]</f>
        <v>#N/A</v>
      </c>
      <c r="S1214" s="75"/>
      <c r="T1214" s="75"/>
      <c r="U1214" s="151">
        <v>8</v>
      </c>
      <c r="V1214" s="151">
        <v>1</v>
      </c>
      <c r="W1214" s="151">
        <v>5</v>
      </c>
      <c r="X1214" s="151">
        <v>12</v>
      </c>
      <c r="Y1214" s="40"/>
      <c r="Z1214" s="166" t="str">
        <f>INDEX(Tableau2[TS],MATCH(Tableau3[[#This Row],[ID-CARTEVOIE]],Tableau2[ID-CARTEVOIE],0))</f>
        <v>ET</v>
      </c>
      <c r="AA1214" s="81" t="s">
        <v>213</v>
      </c>
      <c r="AB1214" s="226" t="str">
        <f>IFERROR(INDEX(Tableau5[Reserve],MATCH(Tableau3[[#This Row],[ID-SIG]],Tableau5[ID],0))&amp;"","")</f>
        <v/>
      </c>
      <c r="AC1214" s="119" t="s">
        <v>1456</v>
      </c>
      <c r="AD1214" s="120" t="str">
        <f>INDEX(Tableau7[Repere],MATCH(Tableau3[[#This Row],[ID-API]],Tableau7[ID-API],0))&amp;""</f>
        <v>A8</v>
      </c>
      <c r="AE1214" s="121" t="str">
        <f>INDEX(Tableau1[Repere-Rack],MATCH(Tableau3[[#This Row],[ID-RACK]],Tableau1[ID-RACK],0))&amp;""</f>
        <v>R1</v>
      </c>
      <c r="AF1214" s="121" t="str">
        <f>INDEX(Tableau1[Repere-Slot],MATCH(Tableau3[[#This Row],[ID-SLOT]],Tableau1[ID-SLOT],0))&amp;""</f>
        <v>S5</v>
      </c>
      <c r="AG1214" s="121" t="str">
        <f>INDEX(Tableau2[Repere-Voie],MATCH(Tableau3[[#This Row],[ID-VOIE]],Tableau2[ID-Voie],0))&amp;""</f>
        <v>v12</v>
      </c>
      <c r="AH1214" s="122" t="str">
        <f>Tableau3[[#This Row],[ID-API]]&amp; "." &amp;Tableau3[[#This Row],[ID-RACK]]&amp; "." &amp;Tableau3[[#This Row],[ID-SLOT]]</f>
        <v>8.1.5</v>
      </c>
      <c r="AI1214" s="72" t="str">
        <f>INDEX(Tableau1[Ref-Carte],MATCH(Tableau3[[#This Row],[ID-RRS]],Tableau1[ID-RRS],0))</f>
        <v>SDI1602</v>
      </c>
      <c r="AJ1214" s="72" t="str">
        <f t="array" ref="AJ1214">IFERROR(INDEX(Tableau2[TS],MATCH(1,(Tableau2[Ref-Carte]=Tableau3[[#This Row],[Ref-Carte2]])*(Tableau2[ID-Voie]=Tableau3[[#This Row],[ID-VOIE]]),0)),"")</f>
        <v>ET</v>
      </c>
      <c r="AK1214" s="72" t="str">
        <f>IFERROR(INDEX(Tableau2[TS],SUMPRODUCT((Tableau2[Ref-Carte]=Tableau3[[#This Row],[Ref-Carte2]])*(Tableau2[ID-Voie]=Tableau3[[#This Row],[ID-VOIE]])*ROW(Tableau2[TS]))-ROW(Tableau2[#Headers])),"")</f>
        <v>ET</v>
      </c>
      <c r="AL1214" s="122" t="str">
        <f>Tableau3[[#This Row],[Ref-Carte2]]&amp;"/"&amp;Tableau3[[#This Row],[ID-VOIE]]</f>
        <v>SDI1602/12</v>
      </c>
      <c r="AM1214" s="123" t="str">
        <f>INDEX(Tableau2[Borne],MATCH(Tableau3[[#This Row],[ID-CARTEVOIE]],Tableau2[ID-CARTEVOIE],0))&amp;""</f>
        <v>6B</v>
      </c>
      <c r="AN1214" s="124" t="str">
        <f>Tableau3[[#This Row],[ID-API]]&amp;Tableau3[[#This Row],[ID-RACK]]&amp;Tableau3[[#This Row],[ID-SLOT]]&amp;Tableau3[[#This Row],[BORNE]]</f>
        <v>8156B</v>
      </c>
      <c r="AO1214" s="125"/>
    </row>
    <row r="1215" spans="1:41" ht="20.100000000000001" customHeight="1" thickTop="1" thickBot="1">
      <c r="A1215" s="110"/>
      <c r="B1215" s="111" t="str">
        <f>IFERROR(INDEX(Tableau4[Date],MATCH($A1215,Tableau4[EVO],0)),"")</f>
        <v/>
      </c>
      <c r="C1215" s="112" t="str">
        <f>IFERROR(INDEX(Tableau4[Designation],MATCH($A1215,Tableau4[EVO],0)),"")</f>
        <v/>
      </c>
      <c r="D1215" s="110"/>
      <c r="E1215" s="113"/>
      <c r="F1215" s="146"/>
      <c r="G1215" s="147" t="e">
        <f>INDEX(Tableau8[Att1],MATCH(Tableau3[[#This Row],[ID-INS]],Tableau8[ID],0))&amp;""</f>
        <v>#N/A</v>
      </c>
      <c r="H1215" s="147" t="e">
        <f>INDEX(Tableau8[Att2],MATCH(Tableau3[[#This Row],[ID-INS]],Tableau8[ID],0))&amp;""</f>
        <v>#N/A</v>
      </c>
      <c r="I1215" s="147" t="e">
        <f>INDEX(Tableau8[Att3],MATCH(Tableau3[[#This Row],[ID-INS]],Tableau8[ID],0))&amp;""</f>
        <v>#N/A</v>
      </c>
      <c r="J1215" s="148"/>
      <c r="K1215" s="167" t="e">
        <f>INDEX(Tableau8[Nom du modele],MATCH(Tableau3[[#This Row],[ID-INS]],Tableau8[ID],0))&amp;""</f>
        <v>#N/A</v>
      </c>
      <c r="L1215" s="149" t="e">
        <f>INDEX(Tableau5[Att1],MATCH(Tableau3[[#This Row],[ID-SIG]],Tableau5[ID],0))&amp;""</f>
        <v>#N/A</v>
      </c>
      <c r="M1215" s="149" t="e">
        <f>INDEX(Tableau5[Att2],MATCH(Tableau3[[#This Row],[ID-SIG]],Tableau5[ID],0))&amp;""</f>
        <v>#N/A</v>
      </c>
      <c r="N1215" s="149" t="e">
        <f>INDEX(Tableau5[Att3],MATCH(Tableau3[[#This Row],[ID-SIG]],Tableau5[ID],0))&amp;""</f>
        <v>#N/A</v>
      </c>
      <c r="O1215" s="150"/>
      <c r="P1215" s="149" t="e">
        <f>INDEX(Tableau5[Description],MATCH(Tableau3[[#This Row],[ID-SIG]],Tableau5[ID],0))</f>
        <v>#N/A</v>
      </c>
      <c r="Q1215" s="150"/>
      <c r="R1215" s="117" t="e">
        <f>Tableau3[[#This Row],[Description]]</f>
        <v>#N/A</v>
      </c>
      <c r="S1215" s="75"/>
      <c r="T1215" s="75"/>
      <c r="U1215" s="151">
        <v>8</v>
      </c>
      <c r="V1215" s="151">
        <v>1</v>
      </c>
      <c r="W1215" s="151">
        <v>5</v>
      </c>
      <c r="X1215" s="151">
        <v>13</v>
      </c>
      <c r="Y1215" s="40"/>
      <c r="Z1215" s="166" t="str">
        <f>INDEX(Tableau2[TS],MATCH(Tableau3[[#This Row],[ID-CARTEVOIE]],Tableau2[ID-CARTEVOIE],0))</f>
        <v>ET</v>
      </c>
      <c r="AA1215" s="81" t="s">
        <v>213</v>
      </c>
      <c r="AB1215" s="226" t="str">
        <f>IFERROR(INDEX(Tableau5[Reserve],MATCH(Tableau3[[#This Row],[ID-SIG]],Tableau5[ID],0))&amp;"","")</f>
        <v/>
      </c>
      <c r="AC1215" s="119" t="s">
        <v>1456</v>
      </c>
      <c r="AD1215" s="120" t="str">
        <f>INDEX(Tableau7[Repere],MATCH(Tableau3[[#This Row],[ID-API]],Tableau7[ID-API],0))&amp;""</f>
        <v>A8</v>
      </c>
      <c r="AE1215" s="121" t="str">
        <f>INDEX(Tableau1[Repere-Rack],MATCH(Tableau3[[#This Row],[ID-RACK]],Tableau1[ID-RACK],0))&amp;""</f>
        <v>R1</v>
      </c>
      <c r="AF1215" s="121" t="str">
        <f>INDEX(Tableau1[Repere-Slot],MATCH(Tableau3[[#This Row],[ID-SLOT]],Tableau1[ID-SLOT],0))&amp;""</f>
        <v>S5</v>
      </c>
      <c r="AG1215" s="121" t="str">
        <f>INDEX(Tableau2[Repere-Voie],MATCH(Tableau3[[#This Row],[ID-VOIE]],Tableau2[ID-Voie],0))&amp;""</f>
        <v>v13</v>
      </c>
      <c r="AH1215" s="122" t="str">
        <f>Tableau3[[#This Row],[ID-API]]&amp; "." &amp;Tableau3[[#This Row],[ID-RACK]]&amp; "." &amp;Tableau3[[#This Row],[ID-SLOT]]</f>
        <v>8.1.5</v>
      </c>
      <c r="AI1215" s="72" t="str">
        <f>INDEX(Tableau1[Ref-Carte],MATCH(Tableau3[[#This Row],[ID-RRS]],Tableau1[ID-RRS],0))</f>
        <v>SDI1602</v>
      </c>
      <c r="AJ1215" s="72" t="str">
        <f t="array" ref="AJ1215">IFERROR(INDEX(Tableau2[TS],MATCH(1,(Tableau2[Ref-Carte]=Tableau3[[#This Row],[Ref-Carte2]])*(Tableau2[ID-Voie]=Tableau3[[#This Row],[ID-VOIE]]),0)),"")</f>
        <v>ET</v>
      </c>
      <c r="AK1215" s="72" t="str">
        <f>IFERROR(INDEX(Tableau2[TS],SUMPRODUCT((Tableau2[Ref-Carte]=Tableau3[[#This Row],[Ref-Carte2]])*(Tableau2[ID-Voie]=Tableau3[[#This Row],[ID-VOIE]])*ROW(Tableau2[TS]))-ROW(Tableau2[#Headers])),"")</f>
        <v>ET</v>
      </c>
      <c r="AL1215" s="122" t="str">
        <f>Tableau3[[#This Row],[Ref-Carte2]]&amp;"/"&amp;Tableau3[[#This Row],[ID-VOIE]]</f>
        <v>SDI1602/13</v>
      </c>
      <c r="AM1215" s="123" t="str">
        <f>INDEX(Tableau2[Borne],MATCH(Tableau3[[#This Row],[ID-CARTEVOIE]],Tableau2[ID-CARTEVOIE],0))&amp;""</f>
        <v>6A</v>
      </c>
      <c r="AN1215" s="124" t="str">
        <f>Tableau3[[#This Row],[ID-API]]&amp;Tableau3[[#This Row],[ID-RACK]]&amp;Tableau3[[#This Row],[ID-SLOT]]&amp;Tableau3[[#This Row],[BORNE]]</f>
        <v>8156A</v>
      </c>
      <c r="AO1215" s="125"/>
    </row>
    <row r="1216" spans="1:41" ht="20.100000000000001" customHeight="1" thickTop="1" thickBot="1">
      <c r="A1216" s="110"/>
      <c r="B1216" s="111" t="str">
        <f>IFERROR(INDEX(Tableau4[Date],MATCH($A1216,Tableau4[EVO],0)),"")</f>
        <v/>
      </c>
      <c r="C1216" s="112" t="str">
        <f>IFERROR(INDEX(Tableau4[Designation],MATCH($A1216,Tableau4[EVO],0)),"")</f>
        <v/>
      </c>
      <c r="D1216" s="110"/>
      <c r="E1216" s="113"/>
      <c r="F1216" s="146"/>
      <c r="G1216" s="147" t="e">
        <f>INDEX(Tableau8[Att1],MATCH(Tableau3[[#This Row],[ID-INS]],Tableau8[ID],0))&amp;""</f>
        <v>#N/A</v>
      </c>
      <c r="H1216" s="147" t="e">
        <f>INDEX(Tableau8[Att2],MATCH(Tableau3[[#This Row],[ID-INS]],Tableau8[ID],0))&amp;""</f>
        <v>#N/A</v>
      </c>
      <c r="I1216" s="147" t="e">
        <f>INDEX(Tableau8[Att3],MATCH(Tableau3[[#This Row],[ID-INS]],Tableau8[ID],0))&amp;""</f>
        <v>#N/A</v>
      </c>
      <c r="J1216" s="148"/>
      <c r="K1216" s="167" t="e">
        <f>INDEX(Tableau8[Nom du modele],MATCH(Tableau3[[#This Row],[ID-INS]],Tableau8[ID],0))&amp;""</f>
        <v>#N/A</v>
      </c>
      <c r="L1216" s="149" t="e">
        <f>INDEX(Tableau5[Att1],MATCH(Tableau3[[#This Row],[ID-SIG]],Tableau5[ID],0))&amp;""</f>
        <v>#N/A</v>
      </c>
      <c r="M1216" s="149" t="e">
        <f>INDEX(Tableau5[Att2],MATCH(Tableau3[[#This Row],[ID-SIG]],Tableau5[ID],0))&amp;""</f>
        <v>#N/A</v>
      </c>
      <c r="N1216" s="149" t="e">
        <f>INDEX(Tableau5[Att3],MATCH(Tableau3[[#This Row],[ID-SIG]],Tableau5[ID],0))&amp;""</f>
        <v>#N/A</v>
      </c>
      <c r="O1216" s="150"/>
      <c r="P1216" s="149" t="e">
        <f>INDEX(Tableau5[Description],MATCH(Tableau3[[#This Row],[ID-SIG]],Tableau5[ID],0))</f>
        <v>#N/A</v>
      </c>
      <c r="Q1216" s="150"/>
      <c r="R1216" s="117" t="e">
        <f>Tableau3[[#This Row],[Description]]</f>
        <v>#N/A</v>
      </c>
      <c r="S1216" s="75"/>
      <c r="T1216" s="75"/>
      <c r="U1216" s="151">
        <v>8</v>
      </c>
      <c r="V1216" s="151">
        <v>1</v>
      </c>
      <c r="W1216" s="151">
        <v>5</v>
      </c>
      <c r="X1216" s="151">
        <v>14</v>
      </c>
      <c r="Y1216" s="40"/>
      <c r="Z1216" s="166" t="str">
        <f>INDEX(Tableau2[TS],MATCH(Tableau3[[#This Row],[ID-CARTEVOIE]],Tableau2[ID-CARTEVOIE],0))</f>
        <v>ET</v>
      </c>
      <c r="AA1216" s="81" t="s">
        <v>213</v>
      </c>
      <c r="AB1216" s="226" t="str">
        <f>IFERROR(INDEX(Tableau5[Reserve],MATCH(Tableau3[[#This Row],[ID-SIG]],Tableau5[ID],0))&amp;"","")</f>
        <v/>
      </c>
      <c r="AC1216" s="119" t="s">
        <v>1456</v>
      </c>
      <c r="AD1216" s="120" t="str">
        <f>INDEX(Tableau7[Repere],MATCH(Tableau3[[#This Row],[ID-API]],Tableau7[ID-API],0))&amp;""</f>
        <v>A8</v>
      </c>
      <c r="AE1216" s="121" t="str">
        <f>INDEX(Tableau1[Repere-Rack],MATCH(Tableau3[[#This Row],[ID-RACK]],Tableau1[ID-RACK],0))&amp;""</f>
        <v>R1</v>
      </c>
      <c r="AF1216" s="121" t="str">
        <f>INDEX(Tableau1[Repere-Slot],MATCH(Tableau3[[#This Row],[ID-SLOT]],Tableau1[ID-SLOT],0))&amp;""</f>
        <v>S5</v>
      </c>
      <c r="AG1216" s="121" t="str">
        <f>INDEX(Tableau2[Repere-Voie],MATCH(Tableau3[[#This Row],[ID-VOIE]],Tableau2[ID-Voie],0))&amp;""</f>
        <v>v14</v>
      </c>
      <c r="AH1216" s="122" t="str">
        <f>Tableau3[[#This Row],[ID-API]]&amp; "." &amp;Tableau3[[#This Row],[ID-RACK]]&amp; "." &amp;Tableau3[[#This Row],[ID-SLOT]]</f>
        <v>8.1.5</v>
      </c>
      <c r="AI1216" s="72" t="str">
        <f>INDEX(Tableau1[Ref-Carte],MATCH(Tableau3[[#This Row],[ID-RRS]],Tableau1[ID-RRS],0))</f>
        <v>SDI1602</v>
      </c>
      <c r="AJ1216" s="72" t="str">
        <f t="array" ref="AJ1216">IFERROR(INDEX(Tableau2[TS],MATCH(1,(Tableau2[Ref-Carte]=Tableau3[[#This Row],[Ref-Carte2]])*(Tableau2[ID-Voie]=Tableau3[[#This Row],[ID-VOIE]]),0)),"")</f>
        <v>ET</v>
      </c>
      <c r="AK1216" s="72" t="str">
        <f>IFERROR(INDEX(Tableau2[TS],SUMPRODUCT((Tableau2[Ref-Carte]=Tableau3[[#This Row],[Ref-Carte2]])*(Tableau2[ID-Voie]=Tableau3[[#This Row],[ID-VOIE]])*ROW(Tableau2[TS]))-ROW(Tableau2[#Headers])),"")</f>
        <v>ET</v>
      </c>
      <c r="AL1216" s="122" t="str">
        <f>Tableau3[[#This Row],[Ref-Carte2]]&amp;"/"&amp;Tableau3[[#This Row],[ID-VOIE]]</f>
        <v>SDI1602/14</v>
      </c>
      <c r="AM1216" s="123" t="str">
        <f>INDEX(Tableau2[Borne],MATCH(Tableau3[[#This Row],[ID-CARTEVOIE]],Tableau2[ID-CARTEVOIE],0))&amp;""</f>
        <v>7B</v>
      </c>
      <c r="AN1216" s="124" t="str">
        <f>Tableau3[[#This Row],[ID-API]]&amp;Tableau3[[#This Row],[ID-RACK]]&amp;Tableau3[[#This Row],[ID-SLOT]]&amp;Tableau3[[#This Row],[BORNE]]</f>
        <v>8157B</v>
      </c>
      <c r="AO1216" s="125"/>
    </row>
    <row r="1217" spans="1:41" ht="20.100000000000001" customHeight="1" thickTop="1" thickBot="1">
      <c r="A1217" s="110"/>
      <c r="B1217" s="111" t="str">
        <f>IFERROR(INDEX(Tableau4[Date],MATCH($A1217,Tableau4[EVO],0)),"")</f>
        <v/>
      </c>
      <c r="C1217" s="112" t="str">
        <f>IFERROR(INDEX(Tableau4[Designation],MATCH($A1217,Tableau4[EVO],0)),"")</f>
        <v/>
      </c>
      <c r="D1217" s="110"/>
      <c r="E1217" s="113"/>
      <c r="F1217" s="146"/>
      <c r="G1217" s="147" t="e">
        <f>INDEX(Tableau8[Att1],MATCH(Tableau3[[#This Row],[ID-INS]],Tableau8[ID],0))&amp;""</f>
        <v>#N/A</v>
      </c>
      <c r="H1217" s="147" t="e">
        <f>INDEX(Tableau8[Att2],MATCH(Tableau3[[#This Row],[ID-INS]],Tableau8[ID],0))&amp;""</f>
        <v>#N/A</v>
      </c>
      <c r="I1217" s="147" t="e">
        <f>INDEX(Tableau8[Att3],MATCH(Tableau3[[#This Row],[ID-INS]],Tableau8[ID],0))&amp;""</f>
        <v>#N/A</v>
      </c>
      <c r="J1217" s="148"/>
      <c r="K1217" s="167" t="e">
        <f>INDEX(Tableau8[Nom du modele],MATCH(Tableau3[[#This Row],[ID-INS]],Tableau8[ID],0))&amp;""</f>
        <v>#N/A</v>
      </c>
      <c r="L1217" s="149" t="e">
        <f>INDEX(Tableau5[Att1],MATCH(Tableau3[[#This Row],[ID-SIG]],Tableau5[ID],0))&amp;""</f>
        <v>#N/A</v>
      </c>
      <c r="M1217" s="149" t="e">
        <f>INDEX(Tableau5[Att2],MATCH(Tableau3[[#This Row],[ID-SIG]],Tableau5[ID],0))&amp;""</f>
        <v>#N/A</v>
      </c>
      <c r="N1217" s="149" t="e">
        <f>INDEX(Tableau5[Att3],MATCH(Tableau3[[#This Row],[ID-SIG]],Tableau5[ID],0))&amp;""</f>
        <v>#N/A</v>
      </c>
      <c r="O1217" s="150"/>
      <c r="P1217" s="149" t="e">
        <f>INDEX(Tableau5[Description],MATCH(Tableau3[[#This Row],[ID-SIG]],Tableau5[ID],0))</f>
        <v>#N/A</v>
      </c>
      <c r="Q1217" s="150"/>
      <c r="R1217" s="117" t="e">
        <f>Tableau3[[#This Row],[Description]]</f>
        <v>#N/A</v>
      </c>
      <c r="S1217" s="75"/>
      <c r="T1217" s="75"/>
      <c r="U1217" s="151">
        <v>8</v>
      </c>
      <c r="V1217" s="151">
        <v>1</v>
      </c>
      <c r="W1217" s="151">
        <v>5</v>
      </c>
      <c r="X1217" s="151">
        <v>15</v>
      </c>
      <c r="Y1217" s="40"/>
      <c r="Z1217" s="166" t="str">
        <f>INDEX(Tableau2[TS],MATCH(Tableau3[[#This Row],[ID-CARTEVOIE]],Tableau2[ID-CARTEVOIE],0))</f>
        <v>ET</v>
      </c>
      <c r="AA1217" s="81" t="s">
        <v>213</v>
      </c>
      <c r="AB1217" s="226" t="str">
        <f>IFERROR(INDEX(Tableau5[Reserve],MATCH(Tableau3[[#This Row],[ID-SIG]],Tableau5[ID],0))&amp;"","")</f>
        <v/>
      </c>
      <c r="AC1217" s="119" t="s">
        <v>1456</v>
      </c>
      <c r="AD1217" s="120" t="str">
        <f>INDEX(Tableau7[Repere],MATCH(Tableau3[[#This Row],[ID-API]],Tableau7[ID-API],0))&amp;""</f>
        <v>A8</v>
      </c>
      <c r="AE1217" s="121" t="str">
        <f>INDEX(Tableau1[Repere-Rack],MATCH(Tableau3[[#This Row],[ID-RACK]],Tableau1[ID-RACK],0))&amp;""</f>
        <v>R1</v>
      </c>
      <c r="AF1217" s="121" t="str">
        <f>INDEX(Tableau1[Repere-Slot],MATCH(Tableau3[[#This Row],[ID-SLOT]],Tableau1[ID-SLOT],0))&amp;""</f>
        <v>S5</v>
      </c>
      <c r="AG1217" s="121" t="str">
        <f>INDEX(Tableau2[Repere-Voie],MATCH(Tableau3[[#This Row],[ID-VOIE]],Tableau2[ID-Voie],0))&amp;""</f>
        <v>v15</v>
      </c>
      <c r="AH1217" s="122" t="str">
        <f>Tableau3[[#This Row],[ID-API]]&amp; "." &amp;Tableau3[[#This Row],[ID-RACK]]&amp; "." &amp;Tableau3[[#This Row],[ID-SLOT]]</f>
        <v>8.1.5</v>
      </c>
      <c r="AI1217" s="72" t="str">
        <f>INDEX(Tableau1[Ref-Carte],MATCH(Tableau3[[#This Row],[ID-RRS]],Tableau1[ID-RRS],0))</f>
        <v>SDI1602</v>
      </c>
      <c r="AJ1217" s="72" t="str">
        <f t="array" ref="AJ1217">IFERROR(INDEX(Tableau2[TS],MATCH(1,(Tableau2[Ref-Carte]=Tableau3[[#This Row],[Ref-Carte2]])*(Tableau2[ID-Voie]=Tableau3[[#This Row],[ID-VOIE]]),0)),"")</f>
        <v>ET</v>
      </c>
      <c r="AK1217" s="72" t="str">
        <f>IFERROR(INDEX(Tableau2[TS],SUMPRODUCT((Tableau2[Ref-Carte]=Tableau3[[#This Row],[Ref-Carte2]])*(Tableau2[ID-Voie]=Tableau3[[#This Row],[ID-VOIE]])*ROW(Tableau2[TS]))-ROW(Tableau2[#Headers])),"")</f>
        <v>ET</v>
      </c>
      <c r="AL1217" s="122" t="str">
        <f>Tableau3[[#This Row],[Ref-Carte2]]&amp;"/"&amp;Tableau3[[#This Row],[ID-VOIE]]</f>
        <v>SDI1602/15</v>
      </c>
      <c r="AM1217" s="123" t="str">
        <f>INDEX(Tableau2[Borne],MATCH(Tableau3[[#This Row],[ID-CARTEVOIE]],Tableau2[ID-CARTEVOIE],0))&amp;""</f>
        <v>7A</v>
      </c>
      <c r="AN1217" s="124" t="str">
        <f>Tableau3[[#This Row],[ID-API]]&amp;Tableau3[[#This Row],[ID-RACK]]&amp;Tableau3[[#This Row],[ID-SLOT]]&amp;Tableau3[[#This Row],[BORNE]]</f>
        <v>8157A</v>
      </c>
      <c r="AO1217" s="125"/>
    </row>
    <row r="1218" spans="1:41" ht="20.100000000000001" customHeight="1" thickTop="1" thickBot="1">
      <c r="A1218" s="68"/>
      <c r="B1218" s="69" t="str">
        <f>IFERROR(INDEX(Tableau4[Date],MATCH($A1218,Tableau4[EVO],0)),"")</f>
        <v/>
      </c>
      <c r="C1218" s="68" t="str">
        <f>IFERROR(INDEX(Tableau4[Designation],MATCH($A1218,Tableau4[EVO],0)),"")</f>
        <v/>
      </c>
      <c r="D1218" s="68"/>
      <c r="E1218" s="70">
        <v>17</v>
      </c>
      <c r="F1218" s="71">
        <v>101</v>
      </c>
      <c r="G1218" s="101" t="str">
        <f>INDEX(Tableau8[Att1],MATCH(Tableau3[[#This Row],[ID-INS]],Tableau8[ID],0))&amp;""</f>
        <v>B11</v>
      </c>
      <c r="H1218" s="101" t="str">
        <f>INDEX(Tableau8[Att2],MATCH(Tableau3[[#This Row],[ID-INS]],Tableau8[ID],0))&amp;""</f>
        <v>PCS_CDP3</v>
      </c>
      <c r="I1218" s="101" t="str">
        <f>INDEX(Tableau8[Att3],MATCH(Tableau3[[#This Row],[ID-INS]],Tableau8[ID],0))&amp;""</f>
        <v>PCS CDP3</v>
      </c>
      <c r="J1218" s="101"/>
      <c r="K1218" s="167" t="str">
        <f>INDEX(Tableau8[Nom du modele],MATCH(Tableau3[[#This Row],[ID-INS]],Tableau8[ID],0))&amp;""</f>
        <v>ARU</v>
      </c>
      <c r="L1218" s="99" t="str">
        <f>INDEX(Tableau5[Att1],MATCH(Tableau3[[#This Row],[ID-SIG]],Tableau5[ID],0))&amp;""</f>
        <v>Decl2</v>
      </c>
      <c r="M1218" s="99" t="str">
        <f>INDEX(Tableau5[Att2],MATCH(Tableau3[[#This Row],[ID-SIG]],Tableau5[ID],0))&amp;""</f>
        <v/>
      </c>
      <c r="N1218" s="99" t="str">
        <f>INDEX(Tableau5[Att3],MATCH(Tableau3[[#This Row],[ID-SIG]],Tableau5[ID],0))&amp;""</f>
        <v/>
      </c>
      <c r="O1218" s="99"/>
      <c r="P1218" s="99" t="str">
        <f>INDEX(Tableau5[Description],MATCH(Tableau3[[#This Row],[ID-SIG]],Tableau5[ID],0))</f>
        <v>Déclenchement contact 2</v>
      </c>
      <c r="Q1218" s="99"/>
      <c r="R1218" s="103" t="str">
        <f>Tableau3[[#This Row],[Description]]</f>
        <v>Déclenchement contact 2</v>
      </c>
      <c r="U1218" s="87">
        <v>8</v>
      </c>
      <c r="V1218" s="87">
        <v>1</v>
      </c>
      <c r="W1218" s="87">
        <v>6</v>
      </c>
      <c r="X1218" s="87">
        <v>0</v>
      </c>
      <c r="Y1218" s="40"/>
      <c r="Z1218" s="165" t="str">
        <f>INDEX(Tableau2[TS],MATCH(Tableau3[[#This Row],[ID-CARTEVOIE]],Tableau2[ID-CARTEVOIE],0))</f>
        <v>ET</v>
      </c>
      <c r="AA1218" s="53" t="s">
        <v>213</v>
      </c>
      <c r="AB1218" s="223" t="str">
        <f>IFERROR(INDEX(Tableau5[Reserve],MATCH(Tableau3[[#This Row],[ID-SIG]],Tableau5[ID],0))&amp;"","")</f>
        <v/>
      </c>
      <c r="AC1218" s="21"/>
      <c r="AD1218" s="108" t="str">
        <f>INDEX(Tableau7[Repere],MATCH(Tableau3[[#This Row],[ID-API]],Tableau7[ID-API],0))&amp;""</f>
        <v>A8</v>
      </c>
      <c r="AE1218" s="108" t="str">
        <f>INDEX(Tableau1[Repere-Rack],MATCH(Tableau3[[#This Row],[ID-RACK]],Tableau1[ID-RACK],0))&amp;""</f>
        <v>R1</v>
      </c>
      <c r="AF1218" s="108" t="str">
        <f>INDEX(Tableau1[Repere-Slot],MATCH(Tableau3[[#This Row],[ID-SLOT]],Tableau1[ID-SLOT],0))&amp;""</f>
        <v>S6</v>
      </c>
      <c r="AG1218" s="108" t="str">
        <f>INDEX(Tableau2[Repere-Voie],MATCH(Tableau3[[#This Row],[ID-VOIE]],Tableau2[ID-Voie],0))&amp;""</f>
        <v>v0</v>
      </c>
      <c r="AH1218" s="72" t="str">
        <f>Tableau3[[#This Row],[ID-API]]&amp; "." &amp;Tableau3[[#This Row],[ID-RACK]]&amp; "." &amp;Tableau3[[#This Row],[ID-SLOT]]</f>
        <v>8.1.6</v>
      </c>
      <c r="AI1218" s="72" t="str">
        <f>INDEX(Tableau1[Ref-Carte],MATCH(Tableau3[[#This Row],[ID-RRS]],Tableau1[ID-RRS],0))</f>
        <v>SDI1602</v>
      </c>
      <c r="AJ1218" s="72" t="str">
        <f t="array" ref="AJ1218">IFERROR(INDEX(Tableau2[TS],MATCH(1,(Tableau2[Ref-Carte]=Tableau3[[#This Row],[Ref-Carte2]])*(Tableau2[ID-Voie]=Tableau3[[#This Row],[ID-VOIE]]),0)),"")</f>
        <v>ET</v>
      </c>
      <c r="AK1218" s="72" t="str">
        <f>IFERROR(INDEX(Tableau2[TS],SUMPRODUCT((Tableau2[Ref-Carte]=Tableau3[[#This Row],[Ref-Carte2]])*(Tableau2[ID-Voie]=Tableau3[[#This Row],[ID-VOIE]])*ROW(Tableau2[TS]))-ROW(Tableau2[#Headers])),"")</f>
        <v>ET</v>
      </c>
      <c r="AL1218" s="72" t="str">
        <f>Tableau3[[#This Row],[Ref-Carte2]]&amp;"/"&amp;Tableau3[[#This Row],[ID-VOIE]]</f>
        <v>SDI1602/0</v>
      </c>
      <c r="AM1218" s="73" t="str">
        <f>INDEX(Tableau2[Borne],MATCH(Tableau3[[#This Row],[ID-CARTEVOIE]],Tableau2[ID-CARTEVOIE],0))&amp;""</f>
        <v>0B</v>
      </c>
      <c r="AN1218" s="74" t="str">
        <f>Tableau3[[#This Row],[ID-API]]&amp;Tableau3[[#This Row],[ID-RACK]]&amp;Tableau3[[#This Row],[ID-SLOT]]&amp;Tableau3[[#This Row],[BORNE]]</f>
        <v>8160B</v>
      </c>
      <c r="AO1218" s="1"/>
    </row>
    <row r="1219" spans="1:41" ht="20.100000000000001" customHeight="1" thickTop="1" thickBot="1">
      <c r="A1219" s="68"/>
      <c r="B1219" s="69" t="str">
        <f>IFERROR(INDEX(Tableau4[Date],MATCH($A1219,Tableau4[EVO],0)),"")</f>
        <v/>
      </c>
      <c r="C1219" s="68" t="str">
        <f>IFERROR(INDEX(Tableau4[Designation],MATCH($A1219,Tableau4[EVO],0)),"")</f>
        <v/>
      </c>
      <c r="D1219" s="68"/>
      <c r="E1219" s="70">
        <v>18</v>
      </c>
      <c r="F1219" s="71">
        <v>101</v>
      </c>
      <c r="G1219" s="101" t="str">
        <f>INDEX(Tableau8[Att1],MATCH(Tableau3[[#This Row],[ID-INS]],Tableau8[ID],0))&amp;""</f>
        <v>B11</v>
      </c>
      <c r="H1219" s="101" t="str">
        <f>INDEX(Tableau8[Att2],MATCH(Tableau3[[#This Row],[ID-INS]],Tableau8[ID],0))&amp;""</f>
        <v>PCS_ARUMONU</v>
      </c>
      <c r="I1219" s="101" t="str">
        <f>INDEX(Tableau8[Att3],MATCH(Tableau3[[#This Row],[ID-INS]],Tableau8[ID],0))&amp;""</f>
        <v>PCS ARUMONU</v>
      </c>
      <c r="J1219" s="101"/>
      <c r="K1219" s="167" t="str">
        <f>INDEX(Tableau8[Nom du modele],MATCH(Tableau3[[#This Row],[ID-INS]],Tableau8[ID],0))&amp;""</f>
        <v>ARU</v>
      </c>
      <c r="L1219" s="99" t="str">
        <f>INDEX(Tableau5[Att1],MATCH(Tableau3[[#This Row],[ID-SIG]],Tableau5[ID],0))&amp;""</f>
        <v>Decl2</v>
      </c>
      <c r="M1219" s="99" t="str">
        <f>INDEX(Tableau5[Att2],MATCH(Tableau3[[#This Row],[ID-SIG]],Tableau5[ID],0))&amp;""</f>
        <v/>
      </c>
      <c r="N1219" s="99" t="str">
        <f>INDEX(Tableau5[Att3],MATCH(Tableau3[[#This Row],[ID-SIG]],Tableau5[ID],0))&amp;""</f>
        <v/>
      </c>
      <c r="O1219" s="99"/>
      <c r="P1219" s="99" t="str">
        <f>INDEX(Tableau5[Description],MATCH(Tableau3[[#This Row],[ID-SIG]],Tableau5[ID],0))</f>
        <v>Déclenchement contact 2</v>
      </c>
      <c r="Q1219" s="99"/>
      <c r="R1219" s="103" t="str">
        <f>Tableau3[[#This Row],[Description]]</f>
        <v>Déclenchement contact 2</v>
      </c>
      <c r="U1219" s="87">
        <v>8</v>
      </c>
      <c r="V1219" s="87">
        <v>1</v>
      </c>
      <c r="W1219" s="87">
        <v>6</v>
      </c>
      <c r="X1219" s="87">
        <v>1</v>
      </c>
      <c r="Y1219" s="40"/>
      <c r="Z1219" s="165" t="str">
        <f>INDEX(Tableau2[TS],MATCH(Tableau3[[#This Row],[ID-CARTEVOIE]],Tableau2[ID-CARTEVOIE],0))</f>
        <v>ET</v>
      </c>
      <c r="AA1219" s="53" t="s">
        <v>213</v>
      </c>
      <c r="AB1219" s="223" t="str">
        <f>IFERROR(INDEX(Tableau5[Reserve],MATCH(Tableau3[[#This Row],[ID-SIG]],Tableau5[ID],0))&amp;"","")</f>
        <v/>
      </c>
      <c r="AC1219" s="21"/>
      <c r="AD1219" s="108" t="str">
        <f>INDEX(Tableau7[Repere],MATCH(Tableau3[[#This Row],[ID-API]],Tableau7[ID-API],0))&amp;""</f>
        <v>A8</v>
      </c>
      <c r="AE1219" s="108" t="str">
        <f>INDEX(Tableau1[Repere-Rack],MATCH(Tableau3[[#This Row],[ID-RACK]],Tableau1[ID-RACK],0))&amp;""</f>
        <v>R1</v>
      </c>
      <c r="AF1219" s="108" t="str">
        <f>INDEX(Tableau1[Repere-Slot],MATCH(Tableau3[[#This Row],[ID-SLOT]],Tableau1[ID-SLOT],0))&amp;""</f>
        <v>S6</v>
      </c>
      <c r="AG1219" s="108" t="str">
        <f>INDEX(Tableau2[Repere-Voie],MATCH(Tableau3[[#This Row],[ID-VOIE]],Tableau2[ID-Voie],0))&amp;""</f>
        <v>v1</v>
      </c>
      <c r="AH1219" s="72" t="str">
        <f>Tableau3[[#This Row],[ID-API]]&amp; "." &amp;Tableau3[[#This Row],[ID-RACK]]&amp; "." &amp;Tableau3[[#This Row],[ID-SLOT]]</f>
        <v>8.1.6</v>
      </c>
      <c r="AI1219" s="72" t="str">
        <f>INDEX(Tableau1[Ref-Carte],MATCH(Tableau3[[#This Row],[ID-RRS]],Tableau1[ID-RRS],0))</f>
        <v>SDI1602</v>
      </c>
      <c r="AJ1219" s="72" t="str">
        <f t="array" ref="AJ1219">IFERROR(INDEX(Tableau2[TS],MATCH(1,(Tableau2[Ref-Carte]=Tableau3[[#This Row],[Ref-Carte2]])*(Tableau2[ID-Voie]=Tableau3[[#This Row],[ID-VOIE]]),0)),"")</f>
        <v>ET</v>
      </c>
      <c r="AK1219" s="72" t="str">
        <f>IFERROR(INDEX(Tableau2[TS],SUMPRODUCT((Tableau2[Ref-Carte]=Tableau3[[#This Row],[Ref-Carte2]])*(Tableau2[ID-Voie]=Tableau3[[#This Row],[ID-VOIE]])*ROW(Tableau2[TS]))-ROW(Tableau2[#Headers])),"")</f>
        <v>ET</v>
      </c>
      <c r="AL1219" s="72" t="str">
        <f>Tableau3[[#This Row],[Ref-Carte2]]&amp;"/"&amp;Tableau3[[#This Row],[ID-VOIE]]</f>
        <v>SDI1602/1</v>
      </c>
      <c r="AM1219" s="73" t="str">
        <f>INDEX(Tableau2[Borne],MATCH(Tableau3[[#This Row],[ID-CARTEVOIE]],Tableau2[ID-CARTEVOIE],0))&amp;""</f>
        <v>0A</v>
      </c>
      <c r="AN1219" s="74" t="str">
        <f>Tableau3[[#This Row],[ID-API]]&amp;Tableau3[[#This Row],[ID-RACK]]&amp;Tableau3[[#This Row],[ID-SLOT]]&amp;Tableau3[[#This Row],[BORNE]]</f>
        <v>8160A</v>
      </c>
      <c r="AO1219" s="1"/>
    </row>
    <row r="1220" spans="1:41" ht="20.100000000000001" customHeight="1" thickTop="1" thickBot="1">
      <c r="A1220" s="68"/>
      <c r="B1220" s="69" t="str">
        <f>IFERROR(INDEX(Tableau4[Date],MATCH($A1220,Tableau4[EVO],0)),"")</f>
        <v/>
      </c>
      <c r="C1220" s="68" t="str">
        <f>IFERROR(INDEX(Tableau4[Designation],MATCH($A1220,Tableau4[EVO],0)),"")</f>
        <v/>
      </c>
      <c r="D1220" s="68"/>
      <c r="E1220" s="70">
        <v>19</v>
      </c>
      <c r="F1220" s="71">
        <v>4</v>
      </c>
      <c r="G1220" s="101" t="str">
        <f>INDEX(Tableau8[Att1],MATCH(Tableau3[[#This Row],[ID-INS]],Tableau8[ID],0))&amp;""</f>
        <v>B11</v>
      </c>
      <c r="H1220" s="101" t="str">
        <f>INDEX(Tableau8[Att2],MATCH(Tableau3[[#This Row],[ID-INS]],Tableau8[ID],0))&amp;""</f>
        <v>Comut_PCSVIGIE</v>
      </c>
      <c r="I1220" s="101" t="str">
        <f>INDEX(Tableau8[Att3],MATCH(Tableau3[[#This Row],[ID-INS]],Tableau8[ID],0))&amp;""</f>
        <v>Commutateur PCS/VIGIE</v>
      </c>
      <c r="J1220" s="101"/>
      <c r="K1220" s="167" t="str">
        <f>INDEX(Tableau8[Nom du modele],MATCH(Tableau3[[#This Row],[ID-INS]],Tableau8[ID],0))&amp;""</f>
        <v>E_DiversSIL3</v>
      </c>
      <c r="L1220" s="99" t="str">
        <f>INDEX(Tableau5[Att1],MATCH(Tableau3[[#This Row],[ID-SIG]],Tableau5[ID],0))&amp;""</f>
        <v>C1</v>
      </c>
      <c r="M1220" s="99" t="str">
        <f>INDEX(Tableau5[Att2],MATCH(Tableau3[[#This Row],[ID-SIG]],Tableau5[ID],0))&amp;""</f>
        <v/>
      </c>
      <c r="N1220" s="99" t="str">
        <f>INDEX(Tableau5[Att3],MATCH(Tableau3[[#This Row],[ID-SIG]],Tableau5[ID],0))&amp;""</f>
        <v/>
      </c>
      <c r="O1220" s="99"/>
      <c r="P1220" s="99" t="str">
        <f>INDEX(Tableau5[Description],MATCH(Tableau3[[#This Row],[ID-SIG]],Tableau5[ID],0))</f>
        <v>Contact 1</v>
      </c>
      <c r="Q1220" s="99"/>
      <c r="R1220" s="103" t="str">
        <f>Tableau3[[#This Row],[Description]]</f>
        <v>Contact 1</v>
      </c>
      <c r="U1220" s="87">
        <v>8</v>
      </c>
      <c r="V1220" s="87">
        <v>1</v>
      </c>
      <c r="W1220" s="87">
        <v>6</v>
      </c>
      <c r="X1220" s="87">
        <v>2</v>
      </c>
      <c r="Y1220" s="40"/>
      <c r="Z1220" s="165" t="str">
        <f>INDEX(Tableau2[TS],MATCH(Tableau3[[#This Row],[ID-CARTEVOIE]],Tableau2[ID-CARTEVOIE],0))</f>
        <v>ET</v>
      </c>
      <c r="AA1220" s="53" t="s">
        <v>213</v>
      </c>
      <c r="AB1220" s="223" t="str">
        <f>IFERROR(INDEX(Tableau5[Reserve],MATCH(Tableau3[[#This Row],[ID-SIG]],Tableau5[ID],0))&amp;"","")</f>
        <v/>
      </c>
      <c r="AC1220" s="21"/>
      <c r="AD1220" s="108" t="str">
        <f>INDEX(Tableau7[Repere],MATCH(Tableau3[[#This Row],[ID-API]],Tableau7[ID-API],0))&amp;""</f>
        <v>A8</v>
      </c>
      <c r="AE1220" s="108" t="str">
        <f>INDEX(Tableau1[Repere-Rack],MATCH(Tableau3[[#This Row],[ID-RACK]],Tableau1[ID-RACK],0))&amp;""</f>
        <v>R1</v>
      </c>
      <c r="AF1220" s="108" t="str">
        <f>INDEX(Tableau1[Repere-Slot],MATCH(Tableau3[[#This Row],[ID-SLOT]],Tableau1[ID-SLOT],0))&amp;""</f>
        <v>S6</v>
      </c>
      <c r="AG1220" s="108" t="str">
        <f>INDEX(Tableau2[Repere-Voie],MATCH(Tableau3[[#This Row],[ID-VOIE]],Tableau2[ID-Voie],0))&amp;""</f>
        <v>v2</v>
      </c>
      <c r="AH1220" s="72" t="str">
        <f>Tableau3[[#This Row],[ID-API]]&amp; "." &amp;Tableau3[[#This Row],[ID-RACK]]&amp; "." &amp;Tableau3[[#This Row],[ID-SLOT]]</f>
        <v>8.1.6</v>
      </c>
      <c r="AI1220" s="72" t="str">
        <f>INDEX(Tableau1[Ref-Carte],MATCH(Tableau3[[#This Row],[ID-RRS]],Tableau1[ID-RRS],0))</f>
        <v>SDI1602</v>
      </c>
      <c r="AJ1220" s="72" t="str">
        <f t="array" ref="AJ1220">IFERROR(INDEX(Tableau2[TS],MATCH(1,(Tableau2[Ref-Carte]=Tableau3[[#This Row],[Ref-Carte2]])*(Tableau2[ID-Voie]=Tableau3[[#This Row],[ID-VOIE]]),0)),"")</f>
        <v>ET</v>
      </c>
      <c r="AK1220" s="72" t="str">
        <f>IFERROR(INDEX(Tableau2[TS],SUMPRODUCT((Tableau2[Ref-Carte]=Tableau3[[#This Row],[Ref-Carte2]])*(Tableau2[ID-Voie]=Tableau3[[#This Row],[ID-VOIE]])*ROW(Tableau2[TS]))-ROW(Tableau2[#Headers])),"")</f>
        <v>ET</v>
      </c>
      <c r="AL1220" s="72" t="str">
        <f>Tableau3[[#This Row],[Ref-Carte2]]&amp;"/"&amp;Tableau3[[#This Row],[ID-VOIE]]</f>
        <v>SDI1602/2</v>
      </c>
      <c r="AM1220" s="73" t="str">
        <f>INDEX(Tableau2[Borne],MATCH(Tableau3[[#This Row],[ID-CARTEVOIE]],Tableau2[ID-CARTEVOIE],0))&amp;""</f>
        <v>1B</v>
      </c>
      <c r="AN1220" s="74" t="str">
        <f>Tableau3[[#This Row],[ID-API]]&amp;Tableau3[[#This Row],[ID-RACK]]&amp;Tableau3[[#This Row],[ID-SLOT]]&amp;Tableau3[[#This Row],[BORNE]]</f>
        <v>8161B</v>
      </c>
      <c r="AO1220" s="1"/>
    </row>
    <row r="1221" spans="1:41" ht="20.100000000000001" customHeight="1" thickTop="1" thickBot="1">
      <c r="A1221" s="134"/>
      <c r="B1221" s="135" t="str">
        <f>IFERROR(INDEX(Tableau4[Date],MATCH($A1221,Tableau4[EVO],0)),"")</f>
        <v/>
      </c>
      <c r="C1221" s="136" t="str">
        <f>IFERROR(INDEX(Tableau4[Designation],MATCH($A1221,Tableau4[EVO],0)),"")</f>
        <v/>
      </c>
      <c r="D1221" s="134"/>
      <c r="E1221" s="137">
        <v>53</v>
      </c>
      <c r="F1221" s="138">
        <v>8</v>
      </c>
      <c r="G1221" s="139" t="str">
        <f>INDEX(Tableau8[Att1],MATCH(Tableau3[[#This Row],[ID-INS]],Tableau8[ID],0))&amp;""</f>
        <v>B11</v>
      </c>
      <c r="H1221" s="139" t="str">
        <f>INDEX(Tableau8[Att2],MATCH(Tableau3[[#This Row],[ID-INS]],Tableau8[ID],0))&amp;""</f>
        <v>DEVR1</v>
      </c>
      <c r="I1221" s="139" t="str">
        <f>INDEX(Tableau8[Att3],MATCH(Tableau3[[#This Row],[ID-INS]],Tableau8[ID],0))&amp;""</f>
        <v>Déverrouillage urgence PCS</v>
      </c>
      <c r="J1221" s="101"/>
      <c r="K1221" s="167" t="str">
        <f>INDEX(Tableau8[Nom du modele],MATCH(Tableau3[[#This Row],[ID-INS]],Tableau8[ID],0))&amp;""</f>
        <v>DeverrouillageSIL3</v>
      </c>
      <c r="L1221" s="141" t="str">
        <f>INDEX(Tableau5[Att1],MATCH(Tableau3[[#This Row],[ID-SIG]],Tableau5[ID],0))&amp;""</f>
        <v>Deverrouillage1</v>
      </c>
      <c r="M1221" s="141" t="str">
        <f>INDEX(Tableau5[Att2],MATCH(Tableau3[[#This Row],[ID-SIG]],Tableau5[ID],0))&amp;""</f>
        <v/>
      </c>
      <c r="N1221" s="141" t="str">
        <f>INDEX(Tableau5[Att3],MATCH(Tableau3[[#This Row],[ID-SIG]],Tableau5[ID],0))&amp;""</f>
        <v/>
      </c>
      <c r="O1221" s="99"/>
      <c r="P1221" s="141" t="str">
        <f>INDEX(Tableau5[Description],MATCH(Tableau3[[#This Row],[ID-SIG]],Tableau5[ID],0))</f>
        <v>Deverrouillage1</v>
      </c>
      <c r="Q1221" s="99"/>
      <c r="R1221" s="142" t="str">
        <f>Tableau3[[#This Row],[Description]]</f>
        <v>Deverrouillage1</v>
      </c>
      <c r="U1221" s="87">
        <v>8</v>
      </c>
      <c r="V1221" s="87">
        <v>1</v>
      </c>
      <c r="W1221" s="87">
        <v>6</v>
      </c>
      <c r="X1221" s="87">
        <v>3</v>
      </c>
      <c r="Y1221" s="40"/>
      <c r="Z1221" s="165" t="str">
        <f>INDEX(Tableau2[TS],MATCH(Tableau3[[#This Row],[ID-CARTEVOIE]],Tableau2[ID-CARTEVOIE],0))</f>
        <v>ET</v>
      </c>
      <c r="AA1221" s="144" t="s">
        <v>213</v>
      </c>
      <c r="AB1221" s="224" t="str">
        <f>IFERROR(INDEX(Tableau5[Reserve],MATCH(Tableau3[[#This Row],[ID-SIG]],Tableau5[ID],0))&amp;"","")</f>
        <v/>
      </c>
      <c r="AC1221" s="119"/>
      <c r="AD1221" s="120" t="str">
        <f>INDEX(Tableau7[Repere],MATCH(Tableau3[[#This Row],[ID-API]],Tableau7[ID-API],0))&amp;""</f>
        <v>A8</v>
      </c>
      <c r="AE1221" s="120" t="str">
        <f>INDEX(Tableau1[Repere-Rack],MATCH(Tableau3[[#This Row],[ID-RACK]],Tableau1[ID-RACK],0))&amp;""</f>
        <v>R1</v>
      </c>
      <c r="AF1221" s="120" t="str">
        <f>INDEX(Tableau1[Repere-Slot],MATCH(Tableau3[[#This Row],[ID-SLOT]],Tableau1[ID-SLOT],0))&amp;""</f>
        <v>S6</v>
      </c>
      <c r="AG1221" s="120" t="str">
        <f>INDEX(Tableau2[Repere-Voie],MATCH(Tableau3[[#This Row],[ID-VOIE]],Tableau2[ID-Voie],0))&amp;""</f>
        <v>v3</v>
      </c>
      <c r="AH1221" s="122" t="str">
        <f>Tableau3[[#This Row],[ID-API]]&amp; "." &amp;Tableau3[[#This Row],[ID-RACK]]&amp; "." &amp;Tableau3[[#This Row],[ID-SLOT]]</f>
        <v>8.1.6</v>
      </c>
      <c r="AI1221" s="72" t="str">
        <f>INDEX(Tableau1[Ref-Carte],MATCH(Tableau3[[#This Row],[ID-RRS]],Tableau1[ID-RRS],0))</f>
        <v>SDI1602</v>
      </c>
      <c r="AJ1221" s="72" t="str">
        <f t="array" ref="AJ1221">IFERROR(INDEX(Tableau2[TS],MATCH(1,(Tableau2[Ref-Carte]=Tableau3[[#This Row],[Ref-Carte2]])*(Tableau2[ID-Voie]=Tableau3[[#This Row],[ID-VOIE]]),0)),"")</f>
        <v>ET</v>
      </c>
      <c r="AK1221" s="72" t="str">
        <f>IFERROR(INDEX(Tableau2[TS],SUMPRODUCT((Tableau2[Ref-Carte]=Tableau3[[#This Row],[Ref-Carte2]])*(Tableau2[ID-Voie]=Tableau3[[#This Row],[ID-VOIE]])*ROW(Tableau2[TS]))-ROW(Tableau2[#Headers])),"")</f>
        <v>ET</v>
      </c>
      <c r="AL1221" s="122" t="str">
        <f>Tableau3[[#This Row],[Ref-Carte2]]&amp;"/"&amp;Tableau3[[#This Row],[ID-VOIE]]</f>
        <v>SDI1602/3</v>
      </c>
      <c r="AM1221" s="145" t="str">
        <f>INDEX(Tableau2[Borne],MATCH(Tableau3[[#This Row],[ID-CARTEVOIE]],Tableau2[ID-CARTEVOIE],0))&amp;""</f>
        <v>1A</v>
      </c>
      <c r="AN1221" s="124" t="str">
        <f>Tableau3[[#This Row],[ID-API]]&amp;Tableau3[[#This Row],[ID-RACK]]&amp;Tableau3[[#This Row],[ID-SLOT]]&amp;Tableau3[[#This Row],[BORNE]]</f>
        <v>8161A</v>
      </c>
      <c r="AO1221" s="125"/>
    </row>
    <row r="1222" spans="1:41" ht="20.100000000000001" customHeight="1" thickTop="1" thickBot="1">
      <c r="A1222" s="68"/>
      <c r="B1222" s="69" t="str">
        <f>IFERROR(INDEX(Tableau4[Date],MATCH($A1222,Tableau4[EVO],0)),"")</f>
        <v/>
      </c>
      <c r="C1222" s="68" t="str">
        <f>IFERROR(INDEX(Tableau4[Designation],MATCH($A1222,Tableau4[EVO],0)),"")</f>
        <v/>
      </c>
      <c r="D1222" s="68"/>
      <c r="E1222" s="70">
        <v>263</v>
      </c>
      <c r="F1222" s="71">
        <v>101</v>
      </c>
      <c r="G1222" s="101" t="str">
        <f>INDEX(Tableau8[Att1],MATCH(Tableau3[[#This Row],[ID-INS]],Tableau8[ID],0))&amp;""</f>
        <v>B11</v>
      </c>
      <c r="H1222" s="101" t="str">
        <f>INDEX(Tableau8[Att2],MATCH(Tableau3[[#This Row],[ID-INS]],Tableau8[ID],0))&amp;""</f>
        <v>PCS_ARUBLEU</v>
      </c>
      <c r="I1222" s="101" t="str">
        <f>INDEX(Tableau8[Att3],MATCH(Tableau3[[#This Row],[ID-INS]],Tableau8[ID],0))&amp;""</f>
        <v>PCS ARUMONU</v>
      </c>
      <c r="J1222" s="101"/>
      <c r="K1222" s="167" t="str">
        <f>INDEX(Tableau8[Nom du modele],MATCH(Tableau3[[#This Row],[ID-INS]],Tableau8[ID],0))&amp;""</f>
        <v>ARU</v>
      </c>
      <c r="L1222" s="99" t="str">
        <f>INDEX(Tableau5[Att1],MATCH(Tableau3[[#This Row],[ID-SIG]],Tableau5[ID],0))&amp;""</f>
        <v>Decl2</v>
      </c>
      <c r="M1222" s="99" t="str">
        <f>INDEX(Tableau5[Att2],MATCH(Tableau3[[#This Row],[ID-SIG]],Tableau5[ID],0))&amp;""</f>
        <v/>
      </c>
      <c r="N1222" s="99" t="str">
        <f>INDEX(Tableau5[Att3],MATCH(Tableau3[[#This Row],[ID-SIG]],Tableau5[ID],0))&amp;""</f>
        <v/>
      </c>
      <c r="O1222" s="99"/>
      <c r="P1222" s="99" t="str">
        <f>INDEX(Tableau5[Description],MATCH(Tableau3[[#This Row],[ID-SIG]],Tableau5[ID],0))</f>
        <v>Déclenchement contact 2</v>
      </c>
      <c r="Q1222" s="99"/>
      <c r="R1222" s="103" t="str">
        <f>Tableau3[[#This Row],[Description]]</f>
        <v>Déclenchement contact 2</v>
      </c>
      <c r="U1222" s="87">
        <v>8</v>
      </c>
      <c r="V1222" s="87">
        <v>1</v>
      </c>
      <c r="W1222" s="87">
        <v>6</v>
      </c>
      <c r="X1222" s="87">
        <v>4</v>
      </c>
      <c r="Y1222" s="40"/>
      <c r="Z1222" s="165" t="str">
        <f>INDEX(Tableau2[TS],MATCH(Tableau3[[#This Row],[ID-CARTEVOIE]],Tableau2[ID-CARTEVOIE],0))</f>
        <v>ET</v>
      </c>
      <c r="AA1222" s="53" t="s">
        <v>213</v>
      </c>
      <c r="AB1222" s="223" t="str">
        <f>IFERROR(INDEX(Tableau5[Reserve],MATCH(Tableau3[[#This Row],[ID-SIG]],Tableau5[ID],0))&amp;"","")</f>
        <v/>
      </c>
      <c r="AC1222" s="21"/>
      <c r="AD1222" s="108" t="str">
        <f>INDEX(Tableau7[Repere],MATCH(Tableau3[[#This Row],[ID-API]],Tableau7[ID-API],0))&amp;""</f>
        <v>A8</v>
      </c>
      <c r="AE1222" s="108" t="str">
        <f>INDEX(Tableau1[Repere-Rack],MATCH(Tableau3[[#This Row],[ID-RACK]],Tableau1[ID-RACK],0))&amp;""</f>
        <v>R1</v>
      </c>
      <c r="AF1222" s="108" t="str">
        <f>INDEX(Tableau1[Repere-Slot],MATCH(Tableau3[[#This Row],[ID-SLOT]],Tableau1[ID-SLOT],0))&amp;""</f>
        <v>S6</v>
      </c>
      <c r="AG1222" s="108" t="str">
        <f>INDEX(Tableau2[Repere-Voie],MATCH(Tableau3[[#This Row],[ID-VOIE]],Tableau2[ID-Voie],0))&amp;""</f>
        <v>v4</v>
      </c>
      <c r="AH1222" s="72" t="str">
        <f>Tableau3[[#This Row],[ID-API]]&amp; "." &amp;Tableau3[[#This Row],[ID-RACK]]&amp; "." &amp;Tableau3[[#This Row],[ID-SLOT]]</f>
        <v>8.1.6</v>
      </c>
      <c r="AI1222" s="72" t="str">
        <f>INDEX(Tableau1[Ref-Carte],MATCH(Tableau3[[#This Row],[ID-RRS]],Tableau1[ID-RRS],0))</f>
        <v>SDI1602</v>
      </c>
      <c r="AJ1222" s="72" t="str">
        <f t="array" ref="AJ1222">IFERROR(INDEX(Tableau2[TS],MATCH(1,(Tableau2[Ref-Carte]=Tableau3[[#This Row],[Ref-Carte2]])*(Tableau2[ID-Voie]=Tableau3[[#This Row],[ID-VOIE]]),0)),"")</f>
        <v>ET</v>
      </c>
      <c r="AK1222" s="72" t="str">
        <f>IFERROR(INDEX(Tableau2[TS],SUMPRODUCT((Tableau2[Ref-Carte]=Tableau3[[#This Row],[Ref-Carte2]])*(Tableau2[ID-Voie]=Tableau3[[#This Row],[ID-VOIE]])*ROW(Tableau2[TS]))-ROW(Tableau2[#Headers])),"")</f>
        <v>ET</v>
      </c>
      <c r="AL1222" s="72" t="str">
        <f>Tableau3[[#This Row],[Ref-Carte2]]&amp;"/"&amp;Tableau3[[#This Row],[ID-VOIE]]</f>
        <v>SDI1602/4</v>
      </c>
      <c r="AM1222" s="73" t="str">
        <f>INDEX(Tableau2[Borne],MATCH(Tableau3[[#This Row],[ID-CARTEVOIE]],Tableau2[ID-CARTEVOIE],0))&amp;""</f>
        <v>2B</v>
      </c>
      <c r="AN1222" s="74" t="str">
        <f>Tableau3[[#This Row],[ID-API]]&amp;Tableau3[[#This Row],[ID-RACK]]&amp;Tableau3[[#This Row],[ID-SLOT]]&amp;Tableau3[[#This Row],[BORNE]]</f>
        <v>8162B</v>
      </c>
      <c r="AO1222" s="1"/>
    </row>
    <row r="1223" spans="1:41" ht="20.100000000000001" customHeight="1" thickTop="1" thickBot="1">
      <c r="A1223" s="110"/>
      <c r="B1223" s="111" t="str">
        <f>IFERROR(INDEX(Tableau4[Date],MATCH($A1223,Tableau4[EVO],0)),"")</f>
        <v/>
      </c>
      <c r="C1223" s="112" t="str">
        <f>IFERROR(INDEX(Tableau4[Designation],MATCH($A1223,Tableau4[EVO],0)),"")</f>
        <v/>
      </c>
      <c r="D1223" s="110"/>
      <c r="E1223" s="113"/>
      <c r="F1223" s="146"/>
      <c r="G1223" s="147" t="e">
        <f>INDEX(Tableau8[Att1],MATCH(Tableau3[[#This Row],[ID-INS]],Tableau8[ID],0))&amp;""</f>
        <v>#N/A</v>
      </c>
      <c r="H1223" s="147" t="s">
        <v>1781</v>
      </c>
      <c r="I1223" s="147" t="e">
        <f>INDEX(Tableau8[Att3],MATCH(Tableau3[[#This Row],[ID-INS]],Tableau8[ID],0))&amp;""</f>
        <v>#N/A</v>
      </c>
      <c r="J1223" s="148"/>
      <c r="K1223" s="167" t="e">
        <f>INDEX(Tableau8[Nom du modele],MATCH(Tableau3[[#This Row],[ID-INS]],Tableau8[ID],0))&amp;""</f>
        <v>#N/A</v>
      </c>
      <c r="L1223" s="149" t="s">
        <v>1784</v>
      </c>
      <c r="M1223" s="149" t="e">
        <f>INDEX(Tableau5[Att2],MATCH(Tableau3[[#This Row],[ID-SIG]],Tableau5[ID],0))&amp;""</f>
        <v>#N/A</v>
      </c>
      <c r="N1223" s="149" t="e">
        <f>INDEX(Tableau5[Att3],MATCH(Tableau3[[#This Row],[ID-SIG]],Tableau5[ID],0))&amp;""</f>
        <v>#N/A</v>
      </c>
      <c r="O1223" s="150"/>
      <c r="P1223" s="149" t="s">
        <v>1785</v>
      </c>
      <c r="Q1223" s="150"/>
      <c r="R1223" s="117" t="str">
        <f>Tableau3[[#This Row],[Description]]</f>
        <v>Bouton tournant à clé pour réarmement CDP Nasse (NC)</v>
      </c>
      <c r="S1223" s="75"/>
      <c r="T1223" s="75"/>
      <c r="U1223" s="151">
        <v>8</v>
      </c>
      <c r="V1223" s="151">
        <v>1</v>
      </c>
      <c r="W1223" s="151">
        <v>6</v>
      </c>
      <c r="X1223" s="151">
        <v>5</v>
      </c>
      <c r="Y1223" s="40"/>
      <c r="Z1223" s="166" t="str">
        <f>INDEX(Tableau2[TS],MATCH(Tableau3[[#This Row],[ID-CARTEVOIE]],Tableau2[ID-CARTEVOIE],0))</f>
        <v>ET</v>
      </c>
      <c r="AA1223" s="81" t="s">
        <v>213</v>
      </c>
      <c r="AB1223" s="226" t="str">
        <f>IFERROR(INDEX(Tableau5[Reserve],MATCH(Tableau3[[#This Row],[ID-SIG]],Tableau5[ID],0))&amp;"","")</f>
        <v/>
      </c>
      <c r="AC1223" s="119" t="s">
        <v>1456</v>
      </c>
      <c r="AD1223" s="120" t="str">
        <f>INDEX(Tableau7[Repere],MATCH(Tableau3[[#This Row],[ID-API]],Tableau7[ID-API],0))&amp;""</f>
        <v>A8</v>
      </c>
      <c r="AE1223" s="121" t="str">
        <f>INDEX(Tableau1[Repere-Rack],MATCH(Tableau3[[#This Row],[ID-RACK]],Tableau1[ID-RACK],0))&amp;""</f>
        <v>R1</v>
      </c>
      <c r="AF1223" s="121" t="str">
        <f>INDEX(Tableau1[Repere-Slot],MATCH(Tableau3[[#This Row],[ID-SLOT]],Tableau1[ID-SLOT],0))&amp;""</f>
        <v>S6</v>
      </c>
      <c r="AG1223" s="121" t="str">
        <f>INDEX(Tableau2[Repere-Voie],MATCH(Tableau3[[#This Row],[ID-VOIE]],Tableau2[ID-Voie],0))&amp;""</f>
        <v>v5</v>
      </c>
      <c r="AH1223" s="122" t="str">
        <f>Tableau3[[#This Row],[ID-API]]&amp; "." &amp;Tableau3[[#This Row],[ID-RACK]]&amp; "." &amp;Tableau3[[#This Row],[ID-SLOT]]</f>
        <v>8.1.6</v>
      </c>
      <c r="AI1223" s="72" t="str">
        <f>INDEX(Tableau1[Ref-Carte],MATCH(Tableau3[[#This Row],[ID-RRS]],Tableau1[ID-RRS],0))</f>
        <v>SDI1602</v>
      </c>
      <c r="AJ1223" s="72" t="str">
        <f t="array" ref="AJ1223">IFERROR(INDEX(Tableau2[TS],MATCH(1,(Tableau2[Ref-Carte]=Tableau3[[#This Row],[Ref-Carte2]])*(Tableau2[ID-Voie]=Tableau3[[#This Row],[ID-VOIE]]),0)),"")</f>
        <v>ET</v>
      </c>
      <c r="AK1223" s="72" t="str">
        <f>IFERROR(INDEX(Tableau2[TS],SUMPRODUCT((Tableau2[Ref-Carte]=Tableau3[[#This Row],[Ref-Carte2]])*(Tableau2[ID-Voie]=Tableau3[[#This Row],[ID-VOIE]])*ROW(Tableau2[TS]))-ROW(Tableau2[#Headers])),"")</f>
        <v>ET</v>
      </c>
      <c r="AL1223" s="122" t="str">
        <f>Tableau3[[#This Row],[Ref-Carte2]]&amp;"/"&amp;Tableau3[[#This Row],[ID-VOIE]]</f>
        <v>SDI1602/5</v>
      </c>
      <c r="AM1223" s="123" t="str">
        <f>INDEX(Tableau2[Borne],MATCH(Tableau3[[#This Row],[ID-CARTEVOIE]],Tableau2[ID-CARTEVOIE],0))&amp;""</f>
        <v>2A</v>
      </c>
      <c r="AN1223" s="124" t="str">
        <f>Tableau3[[#This Row],[ID-API]]&amp;Tableau3[[#This Row],[ID-RACK]]&amp;Tableau3[[#This Row],[ID-SLOT]]&amp;Tableau3[[#This Row],[BORNE]]</f>
        <v>8162A</v>
      </c>
      <c r="AO1223" s="125"/>
    </row>
    <row r="1224" spans="1:41" ht="20.100000000000001" customHeight="1" thickTop="1" thickBot="1">
      <c r="A1224" s="110"/>
      <c r="B1224" s="111" t="str">
        <f>IFERROR(INDEX(Tableau4[Date],MATCH($A1224,Tableau4[EVO],0)),"")</f>
        <v/>
      </c>
      <c r="C1224" s="112" t="str">
        <f>IFERROR(INDEX(Tableau4[Designation],MATCH($A1224,Tableau4[EVO],0)),"")</f>
        <v/>
      </c>
      <c r="D1224" s="110"/>
      <c r="E1224" s="113"/>
      <c r="F1224" s="146"/>
      <c r="G1224" s="147" t="e">
        <f>INDEX(Tableau8[Att1],MATCH(Tableau3[[#This Row],[ID-INS]],Tableau8[ID],0))&amp;""</f>
        <v>#N/A</v>
      </c>
      <c r="H1224" s="147" t="e">
        <f>INDEX(Tableau8[Att2],MATCH(Tableau3[[#This Row],[ID-INS]],Tableau8[ID],0))&amp;""</f>
        <v>#N/A</v>
      </c>
      <c r="I1224" s="147" t="e">
        <f>INDEX(Tableau8[Att3],MATCH(Tableau3[[#This Row],[ID-INS]],Tableau8[ID],0))&amp;""</f>
        <v>#N/A</v>
      </c>
      <c r="J1224" s="148"/>
      <c r="K1224" s="167" t="e">
        <f>INDEX(Tableau8[Nom du modele],MATCH(Tableau3[[#This Row],[ID-INS]],Tableau8[ID],0))&amp;""</f>
        <v>#N/A</v>
      </c>
      <c r="L1224" s="149" t="e">
        <f>INDEX(Tableau5[Att1],MATCH(Tableau3[[#This Row],[ID-SIG]],Tableau5[ID],0))&amp;""</f>
        <v>#N/A</v>
      </c>
      <c r="M1224" s="149" t="e">
        <f>INDEX(Tableau5[Att2],MATCH(Tableau3[[#This Row],[ID-SIG]],Tableau5[ID],0))&amp;""</f>
        <v>#N/A</v>
      </c>
      <c r="N1224" s="149" t="e">
        <f>INDEX(Tableau5[Att3],MATCH(Tableau3[[#This Row],[ID-SIG]],Tableau5[ID],0))&amp;""</f>
        <v>#N/A</v>
      </c>
      <c r="O1224" s="150"/>
      <c r="P1224" s="149" t="e">
        <f>INDEX(Tableau5[Description],MATCH(Tableau3[[#This Row],[ID-SIG]],Tableau5[ID],0))</f>
        <v>#N/A</v>
      </c>
      <c r="Q1224" s="150"/>
      <c r="R1224" s="117" t="e">
        <f>Tableau3[[#This Row],[Description]]</f>
        <v>#N/A</v>
      </c>
      <c r="S1224" s="75"/>
      <c r="T1224" s="75"/>
      <c r="U1224" s="151">
        <v>8</v>
      </c>
      <c r="V1224" s="151">
        <v>1</v>
      </c>
      <c r="W1224" s="151">
        <v>6</v>
      </c>
      <c r="X1224" s="151">
        <v>6</v>
      </c>
      <c r="Y1224" s="40"/>
      <c r="Z1224" s="166" t="str">
        <f>INDEX(Tableau2[TS],MATCH(Tableau3[[#This Row],[ID-CARTEVOIE]],Tableau2[ID-CARTEVOIE],0))</f>
        <v>ET</v>
      </c>
      <c r="AA1224" s="81" t="s">
        <v>213</v>
      </c>
      <c r="AB1224" s="226" t="str">
        <f>IFERROR(INDEX(Tableau5[Reserve],MATCH(Tableau3[[#This Row],[ID-SIG]],Tableau5[ID],0))&amp;"","")</f>
        <v/>
      </c>
      <c r="AC1224" s="119" t="s">
        <v>1456</v>
      </c>
      <c r="AD1224" s="120" t="str">
        <f>INDEX(Tableau7[Repere],MATCH(Tableau3[[#This Row],[ID-API]],Tableau7[ID-API],0))&amp;""</f>
        <v>A8</v>
      </c>
      <c r="AE1224" s="121" t="str">
        <f>INDEX(Tableau1[Repere-Rack],MATCH(Tableau3[[#This Row],[ID-RACK]],Tableau1[ID-RACK],0))&amp;""</f>
        <v>R1</v>
      </c>
      <c r="AF1224" s="121" t="str">
        <f>INDEX(Tableau1[Repere-Slot],MATCH(Tableau3[[#This Row],[ID-SLOT]],Tableau1[ID-SLOT],0))&amp;""</f>
        <v>S6</v>
      </c>
      <c r="AG1224" s="121" t="str">
        <f>INDEX(Tableau2[Repere-Voie],MATCH(Tableau3[[#This Row],[ID-VOIE]],Tableau2[ID-Voie],0))&amp;""</f>
        <v>v6</v>
      </c>
      <c r="AH1224" s="122" t="str">
        <f>Tableau3[[#This Row],[ID-API]]&amp; "." &amp;Tableau3[[#This Row],[ID-RACK]]&amp; "." &amp;Tableau3[[#This Row],[ID-SLOT]]</f>
        <v>8.1.6</v>
      </c>
      <c r="AI1224" s="72" t="str">
        <f>INDEX(Tableau1[Ref-Carte],MATCH(Tableau3[[#This Row],[ID-RRS]],Tableau1[ID-RRS],0))</f>
        <v>SDI1602</v>
      </c>
      <c r="AJ1224" s="72" t="str">
        <f t="array" ref="AJ1224">IFERROR(INDEX(Tableau2[TS],MATCH(1,(Tableau2[Ref-Carte]=Tableau3[[#This Row],[Ref-Carte2]])*(Tableau2[ID-Voie]=Tableau3[[#This Row],[ID-VOIE]]),0)),"")</f>
        <v>ET</v>
      </c>
      <c r="AK1224" s="72" t="str">
        <f>IFERROR(INDEX(Tableau2[TS],SUMPRODUCT((Tableau2[Ref-Carte]=Tableau3[[#This Row],[Ref-Carte2]])*(Tableau2[ID-Voie]=Tableau3[[#This Row],[ID-VOIE]])*ROW(Tableau2[TS]))-ROW(Tableau2[#Headers])),"")</f>
        <v>ET</v>
      </c>
      <c r="AL1224" s="122" t="str">
        <f>Tableau3[[#This Row],[Ref-Carte2]]&amp;"/"&amp;Tableau3[[#This Row],[ID-VOIE]]</f>
        <v>SDI1602/6</v>
      </c>
      <c r="AM1224" s="123" t="str">
        <f>INDEX(Tableau2[Borne],MATCH(Tableau3[[#This Row],[ID-CARTEVOIE]],Tableau2[ID-CARTEVOIE],0))&amp;""</f>
        <v>3B</v>
      </c>
      <c r="AN1224" s="124" t="str">
        <f>Tableau3[[#This Row],[ID-API]]&amp;Tableau3[[#This Row],[ID-RACK]]&amp;Tableau3[[#This Row],[ID-SLOT]]&amp;Tableau3[[#This Row],[BORNE]]</f>
        <v>8163B</v>
      </c>
      <c r="AO1224" s="125"/>
    </row>
    <row r="1225" spans="1:41" ht="20.100000000000001" customHeight="1" thickTop="1" thickBot="1">
      <c r="A1225" s="110"/>
      <c r="B1225" s="111" t="str">
        <f>IFERROR(INDEX(Tableau4[Date],MATCH($A1225,Tableau4[EVO],0)),"")</f>
        <v/>
      </c>
      <c r="C1225" s="112" t="str">
        <f>IFERROR(INDEX(Tableau4[Designation],MATCH($A1225,Tableau4[EVO],0)),"")</f>
        <v/>
      </c>
      <c r="D1225" s="110"/>
      <c r="E1225" s="113"/>
      <c r="F1225" s="146"/>
      <c r="G1225" s="147" t="e">
        <f>INDEX(Tableau8[Att1],MATCH(Tableau3[[#This Row],[ID-INS]],Tableau8[ID],0))&amp;""</f>
        <v>#N/A</v>
      </c>
      <c r="H1225" s="147" t="e">
        <f>INDEX(Tableau8[Att2],MATCH(Tableau3[[#This Row],[ID-INS]],Tableau8[ID],0))&amp;""</f>
        <v>#N/A</v>
      </c>
      <c r="I1225" s="147" t="e">
        <f>INDEX(Tableau8[Att3],MATCH(Tableau3[[#This Row],[ID-INS]],Tableau8[ID],0))&amp;""</f>
        <v>#N/A</v>
      </c>
      <c r="J1225" s="148"/>
      <c r="K1225" s="167" t="e">
        <f>INDEX(Tableau8[Nom du modele],MATCH(Tableau3[[#This Row],[ID-INS]],Tableau8[ID],0))&amp;""</f>
        <v>#N/A</v>
      </c>
      <c r="L1225" s="149" t="e">
        <f>INDEX(Tableau5[Att1],MATCH(Tableau3[[#This Row],[ID-SIG]],Tableau5[ID],0))&amp;""</f>
        <v>#N/A</v>
      </c>
      <c r="M1225" s="149" t="e">
        <f>INDEX(Tableau5[Att2],MATCH(Tableau3[[#This Row],[ID-SIG]],Tableau5[ID],0))&amp;""</f>
        <v>#N/A</v>
      </c>
      <c r="N1225" s="149" t="e">
        <f>INDEX(Tableau5[Att3],MATCH(Tableau3[[#This Row],[ID-SIG]],Tableau5[ID],0))&amp;""</f>
        <v>#N/A</v>
      </c>
      <c r="O1225" s="150"/>
      <c r="P1225" s="149" t="e">
        <f>INDEX(Tableau5[Description],MATCH(Tableau3[[#This Row],[ID-SIG]],Tableau5[ID],0))</f>
        <v>#N/A</v>
      </c>
      <c r="Q1225" s="150"/>
      <c r="R1225" s="117" t="e">
        <f>Tableau3[[#This Row],[Description]]</f>
        <v>#N/A</v>
      </c>
      <c r="S1225" s="75"/>
      <c r="T1225" s="75"/>
      <c r="U1225" s="151">
        <v>8</v>
      </c>
      <c r="V1225" s="151">
        <v>1</v>
      </c>
      <c r="W1225" s="151">
        <v>6</v>
      </c>
      <c r="X1225" s="151">
        <v>7</v>
      </c>
      <c r="Y1225" s="40"/>
      <c r="Z1225" s="166" t="str">
        <f>INDEX(Tableau2[TS],MATCH(Tableau3[[#This Row],[ID-CARTEVOIE]],Tableau2[ID-CARTEVOIE],0))</f>
        <v>ET</v>
      </c>
      <c r="AA1225" s="81" t="s">
        <v>213</v>
      </c>
      <c r="AB1225" s="226" t="str">
        <f>IFERROR(INDEX(Tableau5[Reserve],MATCH(Tableau3[[#This Row],[ID-SIG]],Tableau5[ID],0))&amp;"","")</f>
        <v/>
      </c>
      <c r="AC1225" s="119" t="s">
        <v>1456</v>
      </c>
      <c r="AD1225" s="120" t="str">
        <f>INDEX(Tableau7[Repere],MATCH(Tableau3[[#This Row],[ID-API]],Tableau7[ID-API],0))&amp;""</f>
        <v>A8</v>
      </c>
      <c r="AE1225" s="121" t="str">
        <f>INDEX(Tableau1[Repere-Rack],MATCH(Tableau3[[#This Row],[ID-RACK]],Tableau1[ID-RACK],0))&amp;""</f>
        <v>R1</v>
      </c>
      <c r="AF1225" s="121" t="str">
        <f>INDEX(Tableau1[Repere-Slot],MATCH(Tableau3[[#This Row],[ID-SLOT]],Tableau1[ID-SLOT],0))&amp;""</f>
        <v>S6</v>
      </c>
      <c r="AG1225" s="121" t="str">
        <f>INDEX(Tableau2[Repere-Voie],MATCH(Tableau3[[#This Row],[ID-VOIE]],Tableau2[ID-Voie],0))&amp;""</f>
        <v>v7</v>
      </c>
      <c r="AH1225" s="122" t="str">
        <f>Tableau3[[#This Row],[ID-API]]&amp; "." &amp;Tableau3[[#This Row],[ID-RACK]]&amp; "." &amp;Tableau3[[#This Row],[ID-SLOT]]</f>
        <v>8.1.6</v>
      </c>
      <c r="AI1225" s="72" t="str">
        <f>INDEX(Tableau1[Ref-Carte],MATCH(Tableau3[[#This Row],[ID-RRS]],Tableau1[ID-RRS],0))</f>
        <v>SDI1602</v>
      </c>
      <c r="AJ1225" s="72" t="str">
        <f t="array" ref="AJ1225">IFERROR(INDEX(Tableau2[TS],MATCH(1,(Tableau2[Ref-Carte]=Tableau3[[#This Row],[Ref-Carte2]])*(Tableau2[ID-Voie]=Tableau3[[#This Row],[ID-VOIE]]),0)),"")</f>
        <v>ET</v>
      </c>
      <c r="AK1225" s="72" t="str">
        <f>IFERROR(INDEX(Tableau2[TS],SUMPRODUCT((Tableau2[Ref-Carte]=Tableau3[[#This Row],[Ref-Carte2]])*(Tableau2[ID-Voie]=Tableau3[[#This Row],[ID-VOIE]])*ROW(Tableau2[TS]))-ROW(Tableau2[#Headers])),"")</f>
        <v>ET</v>
      </c>
      <c r="AL1225" s="122" t="str">
        <f>Tableau3[[#This Row],[Ref-Carte2]]&amp;"/"&amp;Tableau3[[#This Row],[ID-VOIE]]</f>
        <v>SDI1602/7</v>
      </c>
      <c r="AM1225" s="123" t="str">
        <f>INDEX(Tableau2[Borne],MATCH(Tableau3[[#This Row],[ID-CARTEVOIE]],Tableau2[ID-CARTEVOIE],0))&amp;""</f>
        <v>3A</v>
      </c>
      <c r="AN1225" s="124" t="str">
        <f>Tableau3[[#This Row],[ID-API]]&amp;Tableau3[[#This Row],[ID-RACK]]&amp;Tableau3[[#This Row],[ID-SLOT]]&amp;Tableau3[[#This Row],[BORNE]]</f>
        <v>8163A</v>
      </c>
      <c r="AO1225" s="125"/>
    </row>
    <row r="1226" spans="1:41" ht="20.100000000000001" customHeight="1" thickTop="1" thickBot="1">
      <c r="A1226" s="110"/>
      <c r="B1226" s="111" t="str">
        <f>IFERROR(INDEX(Tableau4[Date],MATCH($A1226,Tableau4[EVO],0)),"")</f>
        <v/>
      </c>
      <c r="C1226" s="112" t="str">
        <f>IFERROR(INDEX(Tableau4[Designation],MATCH($A1226,Tableau4[EVO],0)),"")</f>
        <v/>
      </c>
      <c r="D1226" s="110"/>
      <c r="E1226" s="113"/>
      <c r="F1226" s="146"/>
      <c r="G1226" s="147" t="e">
        <f>INDEX(Tableau8[Att1],MATCH(Tableau3[[#This Row],[ID-INS]],Tableau8[ID],0))&amp;""</f>
        <v>#N/A</v>
      </c>
      <c r="H1226" s="147" t="e">
        <f>INDEX(Tableau8[Att2],MATCH(Tableau3[[#This Row],[ID-INS]],Tableau8[ID],0))&amp;""</f>
        <v>#N/A</v>
      </c>
      <c r="I1226" s="147" t="e">
        <f>INDEX(Tableau8[Att3],MATCH(Tableau3[[#This Row],[ID-INS]],Tableau8[ID],0))&amp;""</f>
        <v>#N/A</v>
      </c>
      <c r="J1226" s="148"/>
      <c r="K1226" s="167" t="e">
        <f>INDEX(Tableau8[Nom du modele],MATCH(Tableau3[[#This Row],[ID-INS]],Tableau8[ID],0))&amp;""</f>
        <v>#N/A</v>
      </c>
      <c r="L1226" s="149" t="e">
        <f>INDEX(Tableau5[Att1],MATCH(Tableau3[[#This Row],[ID-SIG]],Tableau5[ID],0))&amp;""</f>
        <v>#N/A</v>
      </c>
      <c r="M1226" s="149" t="e">
        <f>INDEX(Tableau5[Att2],MATCH(Tableau3[[#This Row],[ID-SIG]],Tableau5[ID],0))&amp;""</f>
        <v>#N/A</v>
      </c>
      <c r="N1226" s="149" t="e">
        <f>INDEX(Tableau5[Att3],MATCH(Tableau3[[#This Row],[ID-SIG]],Tableau5[ID],0))&amp;""</f>
        <v>#N/A</v>
      </c>
      <c r="O1226" s="150"/>
      <c r="P1226" s="149" t="e">
        <f>INDEX(Tableau5[Description],MATCH(Tableau3[[#This Row],[ID-SIG]],Tableau5[ID],0))</f>
        <v>#N/A</v>
      </c>
      <c r="Q1226" s="150"/>
      <c r="R1226" s="117" t="e">
        <f>Tableau3[[#This Row],[Description]]</f>
        <v>#N/A</v>
      </c>
      <c r="S1226" s="75"/>
      <c r="T1226" s="75"/>
      <c r="U1226" s="151">
        <v>8</v>
      </c>
      <c r="V1226" s="151">
        <v>1</v>
      </c>
      <c r="W1226" s="151">
        <v>6</v>
      </c>
      <c r="X1226" s="151">
        <v>8</v>
      </c>
      <c r="Y1226" s="40"/>
      <c r="Z1226" s="166" t="str">
        <f>INDEX(Tableau2[TS],MATCH(Tableau3[[#This Row],[ID-CARTEVOIE]],Tableau2[ID-CARTEVOIE],0))</f>
        <v>ET</v>
      </c>
      <c r="AA1226" s="81" t="s">
        <v>213</v>
      </c>
      <c r="AB1226" s="226" t="str">
        <f>IFERROR(INDEX(Tableau5[Reserve],MATCH(Tableau3[[#This Row],[ID-SIG]],Tableau5[ID],0))&amp;"","")</f>
        <v/>
      </c>
      <c r="AC1226" s="119" t="s">
        <v>1456</v>
      </c>
      <c r="AD1226" s="120" t="str">
        <f>INDEX(Tableau7[Repere],MATCH(Tableau3[[#This Row],[ID-API]],Tableau7[ID-API],0))&amp;""</f>
        <v>A8</v>
      </c>
      <c r="AE1226" s="121" t="str">
        <f>INDEX(Tableau1[Repere-Rack],MATCH(Tableau3[[#This Row],[ID-RACK]],Tableau1[ID-RACK],0))&amp;""</f>
        <v>R1</v>
      </c>
      <c r="AF1226" s="121" t="str">
        <f>INDEX(Tableau1[Repere-Slot],MATCH(Tableau3[[#This Row],[ID-SLOT]],Tableau1[ID-SLOT],0))&amp;""</f>
        <v>S6</v>
      </c>
      <c r="AG1226" s="121" t="str">
        <f>INDEX(Tableau2[Repere-Voie],MATCH(Tableau3[[#This Row],[ID-VOIE]],Tableau2[ID-Voie],0))&amp;""</f>
        <v>v8</v>
      </c>
      <c r="AH1226" s="122" t="str">
        <f>Tableau3[[#This Row],[ID-API]]&amp; "." &amp;Tableau3[[#This Row],[ID-RACK]]&amp; "." &amp;Tableau3[[#This Row],[ID-SLOT]]</f>
        <v>8.1.6</v>
      </c>
      <c r="AI1226" s="72" t="str">
        <f>INDEX(Tableau1[Ref-Carte],MATCH(Tableau3[[#This Row],[ID-RRS]],Tableau1[ID-RRS],0))</f>
        <v>SDI1602</v>
      </c>
      <c r="AJ1226" s="72" t="str">
        <f t="array" ref="AJ1226">IFERROR(INDEX(Tableau2[TS],MATCH(1,(Tableau2[Ref-Carte]=Tableau3[[#This Row],[Ref-Carte2]])*(Tableau2[ID-Voie]=Tableau3[[#This Row],[ID-VOIE]]),0)),"")</f>
        <v>ET</v>
      </c>
      <c r="AK1226" s="72" t="str">
        <f>IFERROR(INDEX(Tableau2[TS],SUMPRODUCT((Tableau2[Ref-Carte]=Tableau3[[#This Row],[Ref-Carte2]])*(Tableau2[ID-Voie]=Tableau3[[#This Row],[ID-VOIE]])*ROW(Tableau2[TS]))-ROW(Tableau2[#Headers])),"")</f>
        <v>ET</v>
      </c>
      <c r="AL1226" s="122" t="str">
        <f>Tableau3[[#This Row],[Ref-Carte2]]&amp;"/"&amp;Tableau3[[#This Row],[ID-VOIE]]</f>
        <v>SDI1602/8</v>
      </c>
      <c r="AM1226" s="123" t="str">
        <f>INDEX(Tableau2[Borne],MATCH(Tableau3[[#This Row],[ID-CARTEVOIE]],Tableau2[ID-CARTEVOIE],0))&amp;""</f>
        <v>4B</v>
      </c>
      <c r="AN1226" s="124" t="str">
        <f>Tableau3[[#This Row],[ID-API]]&amp;Tableau3[[#This Row],[ID-RACK]]&amp;Tableau3[[#This Row],[ID-SLOT]]&amp;Tableau3[[#This Row],[BORNE]]</f>
        <v>8164B</v>
      </c>
      <c r="AO1226" s="125"/>
    </row>
    <row r="1227" spans="1:41" ht="20.100000000000001" customHeight="1" thickTop="1" thickBot="1">
      <c r="A1227" s="110"/>
      <c r="B1227" s="111" t="str">
        <f>IFERROR(INDEX(Tableau4[Date],MATCH($A1227,Tableau4[EVO],0)),"")</f>
        <v/>
      </c>
      <c r="C1227" s="112" t="str">
        <f>IFERROR(INDEX(Tableau4[Designation],MATCH($A1227,Tableau4[EVO],0)),"")</f>
        <v/>
      </c>
      <c r="D1227" s="110"/>
      <c r="E1227" s="113"/>
      <c r="F1227" s="146"/>
      <c r="G1227" s="147" t="e">
        <f>INDEX(Tableau8[Att1],MATCH(Tableau3[[#This Row],[ID-INS]],Tableau8[ID],0))&amp;""</f>
        <v>#N/A</v>
      </c>
      <c r="H1227" s="147" t="e">
        <f>INDEX(Tableau8[Att2],MATCH(Tableau3[[#This Row],[ID-INS]],Tableau8[ID],0))&amp;""</f>
        <v>#N/A</v>
      </c>
      <c r="I1227" s="147" t="e">
        <f>INDEX(Tableau8[Att3],MATCH(Tableau3[[#This Row],[ID-INS]],Tableau8[ID],0))&amp;""</f>
        <v>#N/A</v>
      </c>
      <c r="J1227" s="148"/>
      <c r="K1227" s="167" t="e">
        <f>INDEX(Tableau8[Nom du modele],MATCH(Tableau3[[#This Row],[ID-INS]],Tableau8[ID],0))&amp;""</f>
        <v>#N/A</v>
      </c>
      <c r="L1227" s="149" t="e">
        <f>INDEX(Tableau5[Att1],MATCH(Tableau3[[#This Row],[ID-SIG]],Tableau5[ID],0))&amp;""</f>
        <v>#N/A</v>
      </c>
      <c r="M1227" s="149" t="e">
        <f>INDEX(Tableau5[Att2],MATCH(Tableau3[[#This Row],[ID-SIG]],Tableau5[ID],0))&amp;""</f>
        <v>#N/A</v>
      </c>
      <c r="N1227" s="149" t="e">
        <f>INDEX(Tableau5[Att3],MATCH(Tableau3[[#This Row],[ID-SIG]],Tableau5[ID],0))&amp;""</f>
        <v>#N/A</v>
      </c>
      <c r="O1227" s="150"/>
      <c r="P1227" s="149" t="e">
        <f>INDEX(Tableau5[Description],MATCH(Tableau3[[#This Row],[ID-SIG]],Tableau5[ID],0))</f>
        <v>#N/A</v>
      </c>
      <c r="Q1227" s="150"/>
      <c r="R1227" s="117" t="e">
        <f>Tableau3[[#This Row],[Description]]</f>
        <v>#N/A</v>
      </c>
      <c r="S1227" s="75"/>
      <c r="T1227" s="75"/>
      <c r="U1227" s="151">
        <v>8</v>
      </c>
      <c r="V1227" s="151">
        <v>1</v>
      </c>
      <c r="W1227" s="151">
        <v>6</v>
      </c>
      <c r="X1227" s="151">
        <v>9</v>
      </c>
      <c r="Y1227" s="40"/>
      <c r="Z1227" s="166" t="str">
        <f>INDEX(Tableau2[TS],MATCH(Tableau3[[#This Row],[ID-CARTEVOIE]],Tableau2[ID-CARTEVOIE],0))</f>
        <v>ET</v>
      </c>
      <c r="AA1227" s="81" t="s">
        <v>213</v>
      </c>
      <c r="AB1227" s="226" t="str">
        <f>IFERROR(INDEX(Tableau5[Reserve],MATCH(Tableau3[[#This Row],[ID-SIG]],Tableau5[ID],0))&amp;"","")</f>
        <v/>
      </c>
      <c r="AC1227" s="119" t="s">
        <v>1456</v>
      </c>
      <c r="AD1227" s="120" t="str">
        <f>INDEX(Tableau7[Repere],MATCH(Tableau3[[#This Row],[ID-API]],Tableau7[ID-API],0))&amp;""</f>
        <v>A8</v>
      </c>
      <c r="AE1227" s="121" t="str">
        <f>INDEX(Tableau1[Repere-Rack],MATCH(Tableau3[[#This Row],[ID-RACK]],Tableau1[ID-RACK],0))&amp;""</f>
        <v>R1</v>
      </c>
      <c r="AF1227" s="121" t="str">
        <f>INDEX(Tableau1[Repere-Slot],MATCH(Tableau3[[#This Row],[ID-SLOT]],Tableau1[ID-SLOT],0))&amp;""</f>
        <v>S6</v>
      </c>
      <c r="AG1227" s="121" t="str">
        <f>INDEX(Tableau2[Repere-Voie],MATCH(Tableau3[[#This Row],[ID-VOIE]],Tableau2[ID-Voie],0))&amp;""</f>
        <v>v9</v>
      </c>
      <c r="AH1227" s="122" t="str">
        <f>Tableau3[[#This Row],[ID-API]]&amp; "." &amp;Tableau3[[#This Row],[ID-RACK]]&amp; "." &amp;Tableau3[[#This Row],[ID-SLOT]]</f>
        <v>8.1.6</v>
      </c>
      <c r="AI1227" s="72" t="str">
        <f>INDEX(Tableau1[Ref-Carte],MATCH(Tableau3[[#This Row],[ID-RRS]],Tableau1[ID-RRS],0))</f>
        <v>SDI1602</v>
      </c>
      <c r="AJ1227" s="72" t="str">
        <f t="array" ref="AJ1227">IFERROR(INDEX(Tableau2[TS],MATCH(1,(Tableau2[Ref-Carte]=Tableau3[[#This Row],[Ref-Carte2]])*(Tableau2[ID-Voie]=Tableau3[[#This Row],[ID-VOIE]]),0)),"")</f>
        <v>ET</v>
      </c>
      <c r="AK1227" s="72" t="str">
        <f>IFERROR(INDEX(Tableau2[TS],SUMPRODUCT((Tableau2[Ref-Carte]=Tableau3[[#This Row],[Ref-Carte2]])*(Tableau2[ID-Voie]=Tableau3[[#This Row],[ID-VOIE]])*ROW(Tableau2[TS]))-ROW(Tableau2[#Headers])),"")</f>
        <v>ET</v>
      </c>
      <c r="AL1227" s="122" t="str">
        <f>Tableau3[[#This Row],[Ref-Carte2]]&amp;"/"&amp;Tableau3[[#This Row],[ID-VOIE]]</f>
        <v>SDI1602/9</v>
      </c>
      <c r="AM1227" s="123" t="str">
        <f>INDEX(Tableau2[Borne],MATCH(Tableau3[[#This Row],[ID-CARTEVOIE]],Tableau2[ID-CARTEVOIE],0))&amp;""</f>
        <v>4A</v>
      </c>
      <c r="AN1227" s="124" t="str">
        <f>Tableau3[[#This Row],[ID-API]]&amp;Tableau3[[#This Row],[ID-RACK]]&amp;Tableau3[[#This Row],[ID-SLOT]]&amp;Tableau3[[#This Row],[BORNE]]</f>
        <v>8164A</v>
      </c>
      <c r="AO1227" s="125"/>
    </row>
    <row r="1228" spans="1:41" ht="20.100000000000001" customHeight="1" thickTop="1" thickBot="1">
      <c r="A1228" s="110"/>
      <c r="B1228" s="111" t="str">
        <f>IFERROR(INDEX(Tableau4[Date],MATCH($A1228,Tableau4[EVO],0)),"")</f>
        <v/>
      </c>
      <c r="C1228" s="112" t="str">
        <f>IFERROR(INDEX(Tableau4[Designation],MATCH($A1228,Tableau4[EVO],0)),"")</f>
        <v/>
      </c>
      <c r="D1228" s="110"/>
      <c r="E1228" s="113"/>
      <c r="F1228" s="146"/>
      <c r="G1228" s="147" t="e">
        <f>INDEX(Tableau8[Att1],MATCH(Tableau3[[#This Row],[ID-INS]],Tableau8[ID],0))&amp;""</f>
        <v>#N/A</v>
      </c>
      <c r="H1228" s="147" t="e">
        <f>INDEX(Tableau8[Att2],MATCH(Tableau3[[#This Row],[ID-INS]],Tableau8[ID],0))&amp;""</f>
        <v>#N/A</v>
      </c>
      <c r="I1228" s="147" t="e">
        <f>INDEX(Tableau8[Att3],MATCH(Tableau3[[#This Row],[ID-INS]],Tableau8[ID],0))&amp;""</f>
        <v>#N/A</v>
      </c>
      <c r="J1228" s="148"/>
      <c r="K1228" s="167" t="e">
        <f>INDEX(Tableau8[Nom du modele],MATCH(Tableau3[[#This Row],[ID-INS]],Tableau8[ID],0))&amp;""</f>
        <v>#N/A</v>
      </c>
      <c r="L1228" s="149" t="e">
        <f>INDEX(Tableau5[Att1],MATCH(Tableau3[[#This Row],[ID-SIG]],Tableau5[ID],0))&amp;""</f>
        <v>#N/A</v>
      </c>
      <c r="M1228" s="149" t="e">
        <f>INDEX(Tableau5[Att2],MATCH(Tableau3[[#This Row],[ID-SIG]],Tableau5[ID],0))&amp;""</f>
        <v>#N/A</v>
      </c>
      <c r="N1228" s="149" t="e">
        <f>INDEX(Tableau5[Att3],MATCH(Tableau3[[#This Row],[ID-SIG]],Tableau5[ID],0))&amp;""</f>
        <v>#N/A</v>
      </c>
      <c r="O1228" s="150"/>
      <c r="P1228" s="149" t="e">
        <f>INDEX(Tableau5[Description],MATCH(Tableau3[[#This Row],[ID-SIG]],Tableau5[ID],0))</f>
        <v>#N/A</v>
      </c>
      <c r="Q1228" s="150"/>
      <c r="R1228" s="117" t="e">
        <f>Tableau3[[#This Row],[Description]]</f>
        <v>#N/A</v>
      </c>
      <c r="S1228" s="75"/>
      <c r="T1228" s="75"/>
      <c r="U1228" s="151">
        <v>8</v>
      </c>
      <c r="V1228" s="151">
        <v>1</v>
      </c>
      <c r="W1228" s="151">
        <v>6</v>
      </c>
      <c r="X1228" s="151">
        <v>10</v>
      </c>
      <c r="Y1228" s="40"/>
      <c r="Z1228" s="166" t="str">
        <f>INDEX(Tableau2[TS],MATCH(Tableau3[[#This Row],[ID-CARTEVOIE]],Tableau2[ID-CARTEVOIE],0))</f>
        <v>ET</v>
      </c>
      <c r="AA1228" s="81" t="s">
        <v>213</v>
      </c>
      <c r="AB1228" s="226" t="str">
        <f>IFERROR(INDEX(Tableau5[Reserve],MATCH(Tableau3[[#This Row],[ID-SIG]],Tableau5[ID],0))&amp;"","")</f>
        <v/>
      </c>
      <c r="AC1228" s="119" t="s">
        <v>1456</v>
      </c>
      <c r="AD1228" s="120" t="str">
        <f>INDEX(Tableau7[Repere],MATCH(Tableau3[[#This Row],[ID-API]],Tableau7[ID-API],0))&amp;""</f>
        <v>A8</v>
      </c>
      <c r="AE1228" s="121" t="str">
        <f>INDEX(Tableau1[Repere-Rack],MATCH(Tableau3[[#This Row],[ID-RACK]],Tableau1[ID-RACK],0))&amp;""</f>
        <v>R1</v>
      </c>
      <c r="AF1228" s="121" t="str">
        <f>INDEX(Tableau1[Repere-Slot],MATCH(Tableau3[[#This Row],[ID-SLOT]],Tableau1[ID-SLOT],0))&amp;""</f>
        <v>S6</v>
      </c>
      <c r="AG1228" s="121" t="str">
        <f>INDEX(Tableau2[Repere-Voie],MATCH(Tableau3[[#This Row],[ID-VOIE]],Tableau2[ID-Voie],0))&amp;""</f>
        <v>v10</v>
      </c>
      <c r="AH1228" s="122" t="str">
        <f>Tableau3[[#This Row],[ID-API]]&amp; "." &amp;Tableau3[[#This Row],[ID-RACK]]&amp; "." &amp;Tableau3[[#This Row],[ID-SLOT]]</f>
        <v>8.1.6</v>
      </c>
      <c r="AI1228" s="72" t="str">
        <f>INDEX(Tableau1[Ref-Carte],MATCH(Tableau3[[#This Row],[ID-RRS]],Tableau1[ID-RRS],0))</f>
        <v>SDI1602</v>
      </c>
      <c r="AJ1228" s="72" t="str">
        <f t="array" ref="AJ1228">IFERROR(INDEX(Tableau2[TS],MATCH(1,(Tableau2[Ref-Carte]=Tableau3[[#This Row],[Ref-Carte2]])*(Tableau2[ID-Voie]=Tableau3[[#This Row],[ID-VOIE]]),0)),"")</f>
        <v>ET</v>
      </c>
      <c r="AK1228" s="72" t="str">
        <f>IFERROR(INDEX(Tableau2[TS],SUMPRODUCT((Tableau2[Ref-Carte]=Tableau3[[#This Row],[Ref-Carte2]])*(Tableau2[ID-Voie]=Tableau3[[#This Row],[ID-VOIE]])*ROW(Tableau2[TS]))-ROW(Tableau2[#Headers])),"")</f>
        <v>ET</v>
      </c>
      <c r="AL1228" s="122" t="str">
        <f>Tableau3[[#This Row],[Ref-Carte2]]&amp;"/"&amp;Tableau3[[#This Row],[ID-VOIE]]</f>
        <v>SDI1602/10</v>
      </c>
      <c r="AM1228" s="123" t="str">
        <f>INDEX(Tableau2[Borne],MATCH(Tableau3[[#This Row],[ID-CARTEVOIE]],Tableau2[ID-CARTEVOIE],0))&amp;""</f>
        <v>5B</v>
      </c>
      <c r="AN1228" s="124" t="str">
        <f>Tableau3[[#This Row],[ID-API]]&amp;Tableau3[[#This Row],[ID-RACK]]&amp;Tableau3[[#This Row],[ID-SLOT]]&amp;Tableau3[[#This Row],[BORNE]]</f>
        <v>8165B</v>
      </c>
      <c r="AO1228" s="125"/>
    </row>
    <row r="1229" spans="1:41" ht="20.100000000000001" customHeight="1" thickTop="1" thickBot="1">
      <c r="A1229" s="110"/>
      <c r="B1229" s="111" t="str">
        <f>IFERROR(INDEX(Tableau4[Date],MATCH($A1229,Tableau4[EVO],0)),"")</f>
        <v/>
      </c>
      <c r="C1229" s="112" t="str">
        <f>IFERROR(INDEX(Tableau4[Designation],MATCH($A1229,Tableau4[EVO],0)),"")</f>
        <v/>
      </c>
      <c r="D1229" s="110"/>
      <c r="E1229" s="113"/>
      <c r="F1229" s="146"/>
      <c r="G1229" s="147" t="e">
        <f>INDEX(Tableau8[Att1],MATCH(Tableau3[[#This Row],[ID-INS]],Tableau8[ID],0))&amp;""</f>
        <v>#N/A</v>
      </c>
      <c r="H1229" s="147" t="e">
        <f>INDEX(Tableau8[Att2],MATCH(Tableau3[[#This Row],[ID-INS]],Tableau8[ID],0))&amp;""</f>
        <v>#N/A</v>
      </c>
      <c r="I1229" s="147" t="e">
        <f>INDEX(Tableau8[Att3],MATCH(Tableau3[[#This Row],[ID-INS]],Tableau8[ID],0))&amp;""</f>
        <v>#N/A</v>
      </c>
      <c r="J1229" s="148"/>
      <c r="K1229" s="167" t="e">
        <f>INDEX(Tableau8[Nom du modele],MATCH(Tableau3[[#This Row],[ID-INS]],Tableau8[ID],0))&amp;""</f>
        <v>#N/A</v>
      </c>
      <c r="L1229" s="149" t="e">
        <f>INDEX(Tableau5[Att1],MATCH(Tableau3[[#This Row],[ID-SIG]],Tableau5[ID],0))&amp;""</f>
        <v>#N/A</v>
      </c>
      <c r="M1229" s="149" t="e">
        <f>INDEX(Tableau5[Att2],MATCH(Tableau3[[#This Row],[ID-SIG]],Tableau5[ID],0))&amp;""</f>
        <v>#N/A</v>
      </c>
      <c r="N1229" s="149" t="e">
        <f>INDEX(Tableau5[Att3],MATCH(Tableau3[[#This Row],[ID-SIG]],Tableau5[ID],0))&amp;""</f>
        <v>#N/A</v>
      </c>
      <c r="O1229" s="150"/>
      <c r="P1229" s="149" t="e">
        <f>INDEX(Tableau5[Description],MATCH(Tableau3[[#This Row],[ID-SIG]],Tableau5[ID],0))</f>
        <v>#N/A</v>
      </c>
      <c r="Q1229" s="150"/>
      <c r="R1229" s="117" t="e">
        <f>Tableau3[[#This Row],[Description]]</f>
        <v>#N/A</v>
      </c>
      <c r="S1229" s="75"/>
      <c r="T1229" s="75"/>
      <c r="U1229" s="151">
        <v>8</v>
      </c>
      <c r="V1229" s="151">
        <v>1</v>
      </c>
      <c r="W1229" s="151">
        <v>6</v>
      </c>
      <c r="X1229" s="151">
        <v>11</v>
      </c>
      <c r="Y1229" s="40"/>
      <c r="Z1229" s="166" t="str">
        <f>INDEX(Tableau2[TS],MATCH(Tableau3[[#This Row],[ID-CARTEVOIE]],Tableau2[ID-CARTEVOIE],0))</f>
        <v>ET</v>
      </c>
      <c r="AA1229" s="81" t="s">
        <v>213</v>
      </c>
      <c r="AB1229" s="226" t="str">
        <f>IFERROR(INDEX(Tableau5[Reserve],MATCH(Tableau3[[#This Row],[ID-SIG]],Tableau5[ID],0))&amp;"","")</f>
        <v/>
      </c>
      <c r="AC1229" s="119" t="s">
        <v>1456</v>
      </c>
      <c r="AD1229" s="120" t="str">
        <f>INDEX(Tableau7[Repere],MATCH(Tableau3[[#This Row],[ID-API]],Tableau7[ID-API],0))&amp;""</f>
        <v>A8</v>
      </c>
      <c r="AE1229" s="121" t="str">
        <f>INDEX(Tableau1[Repere-Rack],MATCH(Tableau3[[#This Row],[ID-RACK]],Tableau1[ID-RACK],0))&amp;""</f>
        <v>R1</v>
      </c>
      <c r="AF1229" s="121" t="str">
        <f>INDEX(Tableau1[Repere-Slot],MATCH(Tableau3[[#This Row],[ID-SLOT]],Tableau1[ID-SLOT],0))&amp;""</f>
        <v>S6</v>
      </c>
      <c r="AG1229" s="121" t="str">
        <f>INDEX(Tableau2[Repere-Voie],MATCH(Tableau3[[#This Row],[ID-VOIE]],Tableau2[ID-Voie],0))&amp;""</f>
        <v>v11</v>
      </c>
      <c r="AH1229" s="122" t="str">
        <f>Tableau3[[#This Row],[ID-API]]&amp; "." &amp;Tableau3[[#This Row],[ID-RACK]]&amp; "." &amp;Tableau3[[#This Row],[ID-SLOT]]</f>
        <v>8.1.6</v>
      </c>
      <c r="AI1229" s="72" t="str">
        <f>INDEX(Tableau1[Ref-Carte],MATCH(Tableau3[[#This Row],[ID-RRS]],Tableau1[ID-RRS],0))</f>
        <v>SDI1602</v>
      </c>
      <c r="AJ1229" s="72" t="str">
        <f t="array" ref="AJ1229">IFERROR(INDEX(Tableau2[TS],MATCH(1,(Tableau2[Ref-Carte]=Tableau3[[#This Row],[Ref-Carte2]])*(Tableau2[ID-Voie]=Tableau3[[#This Row],[ID-VOIE]]),0)),"")</f>
        <v>ET</v>
      </c>
      <c r="AK1229" s="72" t="str">
        <f>IFERROR(INDEX(Tableau2[TS],SUMPRODUCT((Tableau2[Ref-Carte]=Tableau3[[#This Row],[Ref-Carte2]])*(Tableau2[ID-Voie]=Tableau3[[#This Row],[ID-VOIE]])*ROW(Tableau2[TS]))-ROW(Tableau2[#Headers])),"")</f>
        <v>ET</v>
      </c>
      <c r="AL1229" s="122" t="str">
        <f>Tableau3[[#This Row],[Ref-Carte2]]&amp;"/"&amp;Tableau3[[#This Row],[ID-VOIE]]</f>
        <v>SDI1602/11</v>
      </c>
      <c r="AM1229" s="123" t="str">
        <f>INDEX(Tableau2[Borne],MATCH(Tableau3[[#This Row],[ID-CARTEVOIE]],Tableau2[ID-CARTEVOIE],0))&amp;""</f>
        <v>5A</v>
      </c>
      <c r="AN1229" s="124" t="str">
        <f>Tableau3[[#This Row],[ID-API]]&amp;Tableau3[[#This Row],[ID-RACK]]&amp;Tableau3[[#This Row],[ID-SLOT]]&amp;Tableau3[[#This Row],[BORNE]]</f>
        <v>8165A</v>
      </c>
      <c r="AO1229" s="125"/>
    </row>
    <row r="1230" spans="1:41" ht="20.100000000000001" customHeight="1" thickTop="1" thickBot="1">
      <c r="A1230" s="110"/>
      <c r="B1230" s="111" t="str">
        <f>IFERROR(INDEX(Tableau4[Date],MATCH($A1230,Tableau4[EVO],0)),"")</f>
        <v/>
      </c>
      <c r="C1230" s="112" t="str">
        <f>IFERROR(INDEX(Tableau4[Designation],MATCH($A1230,Tableau4[EVO],0)),"")</f>
        <v/>
      </c>
      <c r="D1230" s="110"/>
      <c r="E1230" s="113"/>
      <c r="F1230" s="146"/>
      <c r="G1230" s="147" t="e">
        <f>INDEX(Tableau8[Att1],MATCH(Tableau3[[#This Row],[ID-INS]],Tableau8[ID],0))&amp;""</f>
        <v>#N/A</v>
      </c>
      <c r="H1230" s="147" t="e">
        <f>INDEX(Tableau8[Att2],MATCH(Tableau3[[#This Row],[ID-INS]],Tableau8[ID],0))&amp;""</f>
        <v>#N/A</v>
      </c>
      <c r="I1230" s="147" t="e">
        <f>INDEX(Tableau8[Att3],MATCH(Tableau3[[#This Row],[ID-INS]],Tableau8[ID],0))&amp;""</f>
        <v>#N/A</v>
      </c>
      <c r="J1230" s="148"/>
      <c r="K1230" s="167" t="e">
        <f>INDEX(Tableau8[Nom du modele],MATCH(Tableau3[[#This Row],[ID-INS]],Tableau8[ID],0))&amp;""</f>
        <v>#N/A</v>
      </c>
      <c r="L1230" s="149" t="e">
        <f>INDEX(Tableau5[Att1],MATCH(Tableau3[[#This Row],[ID-SIG]],Tableau5[ID],0))&amp;""</f>
        <v>#N/A</v>
      </c>
      <c r="M1230" s="149" t="e">
        <f>INDEX(Tableau5[Att2],MATCH(Tableau3[[#This Row],[ID-SIG]],Tableau5[ID],0))&amp;""</f>
        <v>#N/A</v>
      </c>
      <c r="N1230" s="149" t="e">
        <f>INDEX(Tableau5[Att3],MATCH(Tableau3[[#This Row],[ID-SIG]],Tableau5[ID],0))&amp;""</f>
        <v>#N/A</v>
      </c>
      <c r="O1230" s="150"/>
      <c r="P1230" s="149" t="e">
        <f>INDEX(Tableau5[Description],MATCH(Tableau3[[#This Row],[ID-SIG]],Tableau5[ID],0))</f>
        <v>#N/A</v>
      </c>
      <c r="Q1230" s="150"/>
      <c r="R1230" s="117" t="e">
        <f>Tableau3[[#This Row],[Description]]</f>
        <v>#N/A</v>
      </c>
      <c r="S1230" s="75"/>
      <c r="T1230" s="75"/>
      <c r="U1230" s="151">
        <v>8</v>
      </c>
      <c r="V1230" s="151">
        <v>1</v>
      </c>
      <c r="W1230" s="151">
        <v>6</v>
      </c>
      <c r="X1230" s="151">
        <v>12</v>
      </c>
      <c r="Y1230" s="40"/>
      <c r="Z1230" s="166" t="str">
        <f>INDEX(Tableau2[TS],MATCH(Tableau3[[#This Row],[ID-CARTEVOIE]],Tableau2[ID-CARTEVOIE],0))</f>
        <v>ET</v>
      </c>
      <c r="AA1230" s="81" t="s">
        <v>213</v>
      </c>
      <c r="AB1230" s="226" t="str">
        <f>IFERROR(INDEX(Tableau5[Reserve],MATCH(Tableau3[[#This Row],[ID-SIG]],Tableau5[ID],0))&amp;"","")</f>
        <v/>
      </c>
      <c r="AC1230" s="119" t="s">
        <v>1456</v>
      </c>
      <c r="AD1230" s="120" t="str">
        <f>INDEX(Tableau7[Repere],MATCH(Tableau3[[#This Row],[ID-API]],Tableau7[ID-API],0))&amp;""</f>
        <v>A8</v>
      </c>
      <c r="AE1230" s="121" t="str">
        <f>INDEX(Tableau1[Repere-Rack],MATCH(Tableau3[[#This Row],[ID-RACK]],Tableau1[ID-RACK],0))&amp;""</f>
        <v>R1</v>
      </c>
      <c r="AF1230" s="121" t="str">
        <f>INDEX(Tableau1[Repere-Slot],MATCH(Tableau3[[#This Row],[ID-SLOT]],Tableau1[ID-SLOT],0))&amp;""</f>
        <v>S6</v>
      </c>
      <c r="AG1230" s="121" t="str">
        <f>INDEX(Tableau2[Repere-Voie],MATCH(Tableau3[[#This Row],[ID-VOIE]],Tableau2[ID-Voie],0))&amp;""</f>
        <v>v12</v>
      </c>
      <c r="AH1230" s="122" t="str">
        <f>Tableau3[[#This Row],[ID-API]]&amp; "." &amp;Tableau3[[#This Row],[ID-RACK]]&amp; "." &amp;Tableau3[[#This Row],[ID-SLOT]]</f>
        <v>8.1.6</v>
      </c>
      <c r="AI1230" s="72" t="str">
        <f>INDEX(Tableau1[Ref-Carte],MATCH(Tableau3[[#This Row],[ID-RRS]],Tableau1[ID-RRS],0))</f>
        <v>SDI1602</v>
      </c>
      <c r="AJ1230" s="72" t="str">
        <f t="array" ref="AJ1230">IFERROR(INDEX(Tableau2[TS],MATCH(1,(Tableau2[Ref-Carte]=Tableau3[[#This Row],[Ref-Carte2]])*(Tableau2[ID-Voie]=Tableau3[[#This Row],[ID-VOIE]]),0)),"")</f>
        <v>ET</v>
      </c>
      <c r="AK1230" s="72" t="str">
        <f>IFERROR(INDEX(Tableau2[TS],SUMPRODUCT((Tableau2[Ref-Carte]=Tableau3[[#This Row],[Ref-Carte2]])*(Tableau2[ID-Voie]=Tableau3[[#This Row],[ID-VOIE]])*ROW(Tableau2[TS]))-ROW(Tableau2[#Headers])),"")</f>
        <v>ET</v>
      </c>
      <c r="AL1230" s="122" t="str">
        <f>Tableau3[[#This Row],[Ref-Carte2]]&amp;"/"&amp;Tableau3[[#This Row],[ID-VOIE]]</f>
        <v>SDI1602/12</v>
      </c>
      <c r="AM1230" s="123" t="str">
        <f>INDEX(Tableau2[Borne],MATCH(Tableau3[[#This Row],[ID-CARTEVOIE]],Tableau2[ID-CARTEVOIE],0))&amp;""</f>
        <v>6B</v>
      </c>
      <c r="AN1230" s="124" t="str">
        <f>Tableau3[[#This Row],[ID-API]]&amp;Tableau3[[#This Row],[ID-RACK]]&amp;Tableau3[[#This Row],[ID-SLOT]]&amp;Tableau3[[#This Row],[BORNE]]</f>
        <v>8166B</v>
      </c>
      <c r="AO1230" s="125"/>
    </row>
    <row r="1231" spans="1:41" ht="20.100000000000001" customHeight="1" thickTop="1" thickBot="1">
      <c r="A1231" s="110"/>
      <c r="B1231" s="111" t="str">
        <f>IFERROR(INDEX(Tableau4[Date],MATCH($A1231,Tableau4[EVO],0)),"")</f>
        <v/>
      </c>
      <c r="C1231" s="112" t="str">
        <f>IFERROR(INDEX(Tableau4[Designation],MATCH($A1231,Tableau4[EVO],0)),"")</f>
        <v/>
      </c>
      <c r="D1231" s="110"/>
      <c r="E1231" s="113"/>
      <c r="F1231" s="146"/>
      <c r="G1231" s="147" t="e">
        <f>INDEX(Tableau8[Att1],MATCH(Tableau3[[#This Row],[ID-INS]],Tableau8[ID],0))&amp;""</f>
        <v>#N/A</v>
      </c>
      <c r="H1231" s="147" t="e">
        <f>INDEX(Tableau8[Att2],MATCH(Tableau3[[#This Row],[ID-INS]],Tableau8[ID],0))&amp;""</f>
        <v>#N/A</v>
      </c>
      <c r="I1231" s="147" t="e">
        <f>INDEX(Tableau8[Att3],MATCH(Tableau3[[#This Row],[ID-INS]],Tableau8[ID],0))&amp;""</f>
        <v>#N/A</v>
      </c>
      <c r="J1231" s="148"/>
      <c r="K1231" s="167" t="e">
        <f>INDEX(Tableau8[Nom du modele],MATCH(Tableau3[[#This Row],[ID-INS]],Tableau8[ID],0))&amp;""</f>
        <v>#N/A</v>
      </c>
      <c r="L1231" s="149" t="e">
        <f>INDEX(Tableau5[Att1],MATCH(Tableau3[[#This Row],[ID-SIG]],Tableau5[ID],0))&amp;""</f>
        <v>#N/A</v>
      </c>
      <c r="M1231" s="149" t="e">
        <f>INDEX(Tableau5[Att2],MATCH(Tableau3[[#This Row],[ID-SIG]],Tableau5[ID],0))&amp;""</f>
        <v>#N/A</v>
      </c>
      <c r="N1231" s="149" t="e">
        <f>INDEX(Tableau5[Att3],MATCH(Tableau3[[#This Row],[ID-SIG]],Tableau5[ID],0))&amp;""</f>
        <v>#N/A</v>
      </c>
      <c r="O1231" s="150"/>
      <c r="P1231" s="149" t="e">
        <f>INDEX(Tableau5[Description],MATCH(Tableau3[[#This Row],[ID-SIG]],Tableau5[ID],0))</f>
        <v>#N/A</v>
      </c>
      <c r="Q1231" s="150"/>
      <c r="R1231" s="117" t="e">
        <f>Tableau3[[#This Row],[Description]]</f>
        <v>#N/A</v>
      </c>
      <c r="S1231" s="75"/>
      <c r="T1231" s="75"/>
      <c r="U1231" s="151">
        <v>8</v>
      </c>
      <c r="V1231" s="151">
        <v>1</v>
      </c>
      <c r="W1231" s="151">
        <v>6</v>
      </c>
      <c r="X1231" s="151">
        <v>13</v>
      </c>
      <c r="Y1231" s="40"/>
      <c r="Z1231" s="166" t="str">
        <f>INDEX(Tableau2[TS],MATCH(Tableau3[[#This Row],[ID-CARTEVOIE]],Tableau2[ID-CARTEVOIE],0))</f>
        <v>ET</v>
      </c>
      <c r="AA1231" s="81" t="s">
        <v>213</v>
      </c>
      <c r="AB1231" s="226" t="str">
        <f>IFERROR(INDEX(Tableau5[Reserve],MATCH(Tableau3[[#This Row],[ID-SIG]],Tableau5[ID],0))&amp;"","")</f>
        <v/>
      </c>
      <c r="AC1231" s="119" t="s">
        <v>1456</v>
      </c>
      <c r="AD1231" s="120" t="str">
        <f>INDEX(Tableau7[Repere],MATCH(Tableau3[[#This Row],[ID-API]],Tableau7[ID-API],0))&amp;""</f>
        <v>A8</v>
      </c>
      <c r="AE1231" s="121" t="str">
        <f>INDEX(Tableau1[Repere-Rack],MATCH(Tableau3[[#This Row],[ID-RACK]],Tableau1[ID-RACK],0))&amp;""</f>
        <v>R1</v>
      </c>
      <c r="AF1231" s="121" t="str">
        <f>INDEX(Tableau1[Repere-Slot],MATCH(Tableau3[[#This Row],[ID-SLOT]],Tableau1[ID-SLOT],0))&amp;""</f>
        <v>S6</v>
      </c>
      <c r="AG1231" s="121" t="str">
        <f>INDEX(Tableau2[Repere-Voie],MATCH(Tableau3[[#This Row],[ID-VOIE]],Tableau2[ID-Voie],0))&amp;""</f>
        <v>v13</v>
      </c>
      <c r="AH1231" s="122" t="str">
        <f>Tableau3[[#This Row],[ID-API]]&amp; "." &amp;Tableau3[[#This Row],[ID-RACK]]&amp; "." &amp;Tableau3[[#This Row],[ID-SLOT]]</f>
        <v>8.1.6</v>
      </c>
      <c r="AI1231" s="72" t="str">
        <f>INDEX(Tableau1[Ref-Carte],MATCH(Tableau3[[#This Row],[ID-RRS]],Tableau1[ID-RRS],0))</f>
        <v>SDI1602</v>
      </c>
      <c r="AJ1231" s="72" t="str">
        <f t="array" ref="AJ1231">IFERROR(INDEX(Tableau2[TS],MATCH(1,(Tableau2[Ref-Carte]=Tableau3[[#This Row],[Ref-Carte2]])*(Tableau2[ID-Voie]=Tableau3[[#This Row],[ID-VOIE]]),0)),"")</f>
        <v>ET</v>
      </c>
      <c r="AK1231" s="72" t="str">
        <f>IFERROR(INDEX(Tableau2[TS],SUMPRODUCT((Tableau2[Ref-Carte]=Tableau3[[#This Row],[Ref-Carte2]])*(Tableau2[ID-Voie]=Tableau3[[#This Row],[ID-VOIE]])*ROW(Tableau2[TS]))-ROW(Tableau2[#Headers])),"")</f>
        <v>ET</v>
      </c>
      <c r="AL1231" s="122" t="str">
        <f>Tableau3[[#This Row],[Ref-Carte2]]&amp;"/"&amp;Tableau3[[#This Row],[ID-VOIE]]</f>
        <v>SDI1602/13</v>
      </c>
      <c r="AM1231" s="123" t="str">
        <f>INDEX(Tableau2[Borne],MATCH(Tableau3[[#This Row],[ID-CARTEVOIE]],Tableau2[ID-CARTEVOIE],0))&amp;""</f>
        <v>6A</v>
      </c>
      <c r="AN1231" s="124" t="str">
        <f>Tableau3[[#This Row],[ID-API]]&amp;Tableau3[[#This Row],[ID-RACK]]&amp;Tableau3[[#This Row],[ID-SLOT]]&amp;Tableau3[[#This Row],[BORNE]]</f>
        <v>8166A</v>
      </c>
      <c r="AO1231" s="125"/>
    </row>
    <row r="1232" spans="1:41" ht="20.100000000000001" customHeight="1" thickTop="1" thickBot="1">
      <c r="A1232" s="110"/>
      <c r="B1232" s="111" t="str">
        <f>IFERROR(INDEX(Tableau4[Date],MATCH($A1232,Tableau4[EVO],0)),"")</f>
        <v/>
      </c>
      <c r="C1232" s="112" t="str">
        <f>IFERROR(INDEX(Tableau4[Designation],MATCH($A1232,Tableau4[EVO],0)),"")</f>
        <v/>
      </c>
      <c r="D1232" s="110"/>
      <c r="E1232" s="113"/>
      <c r="F1232" s="146"/>
      <c r="G1232" s="147" t="e">
        <f>INDEX(Tableau8[Att1],MATCH(Tableau3[[#This Row],[ID-INS]],Tableau8[ID],0))&amp;""</f>
        <v>#N/A</v>
      </c>
      <c r="H1232" s="147" t="e">
        <f>INDEX(Tableau8[Att2],MATCH(Tableau3[[#This Row],[ID-INS]],Tableau8[ID],0))&amp;""</f>
        <v>#N/A</v>
      </c>
      <c r="I1232" s="147" t="e">
        <f>INDEX(Tableau8[Att3],MATCH(Tableau3[[#This Row],[ID-INS]],Tableau8[ID],0))&amp;""</f>
        <v>#N/A</v>
      </c>
      <c r="J1232" s="148"/>
      <c r="K1232" s="167" t="e">
        <f>INDEX(Tableau8[Nom du modele],MATCH(Tableau3[[#This Row],[ID-INS]],Tableau8[ID],0))&amp;""</f>
        <v>#N/A</v>
      </c>
      <c r="L1232" s="149" t="e">
        <f>INDEX(Tableau5[Att1],MATCH(Tableau3[[#This Row],[ID-SIG]],Tableau5[ID],0))&amp;""</f>
        <v>#N/A</v>
      </c>
      <c r="M1232" s="149" t="e">
        <f>INDEX(Tableau5[Att2],MATCH(Tableau3[[#This Row],[ID-SIG]],Tableau5[ID],0))&amp;""</f>
        <v>#N/A</v>
      </c>
      <c r="N1232" s="149" t="e">
        <f>INDEX(Tableau5[Att3],MATCH(Tableau3[[#This Row],[ID-SIG]],Tableau5[ID],0))&amp;""</f>
        <v>#N/A</v>
      </c>
      <c r="O1232" s="150"/>
      <c r="P1232" s="149" t="e">
        <f>INDEX(Tableau5[Description],MATCH(Tableau3[[#This Row],[ID-SIG]],Tableau5[ID],0))</f>
        <v>#N/A</v>
      </c>
      <c r="Q1232" s="150"/>
      <c r="R1232" s="117" t="e">
        <f>Tableau3[[#This Row],[Description]]</f>
        <v>#N/A</v>
      </c>
      <c r="S1232" s="75"/>
      <c r="T1232" s="75"/>
      <c r="U1232" s="151">
        <v>8</v>
      </c>
      <c r="V1232" s="151">
        <v>1</v>
      </c>
      <c r="W1232" s="151">
        <v>6</v>
      </c>
      <c r="X1232" s="151">
        <v>14</v>
      </c>
      <c r="Y1232" s="40"/>
      <c r="Z1232" s="166" t="str">
        <f>INDEX(Tableau2[TS],MATCH(Tableau3[[#This Row],[ID-CARTEVOIE]],Tableau2[ID-CARTEVOIE],0))</f>
        <v>ET</v>
      </c>
      <c r="AA1232" s="81" t="s">
        <v>213</v>
      </c>
      <c r="AB1232" s="226" t="str">
        <f>IFERROR(INDEX(Tableau5[Reserve],MATCH(Tableau3[[#This Row],[ID-SIG]],Tableau5[ID],0))&amp;"","")</f>
        <v/>
      </c>
      <c r="AC1232" s="119" t="s">
        <v>1456</v>
      </c>
      <c r="AD1232" s="120" t="str">
        <f>INDEX(Tableau7[Repere],MATCH(Tableau3[[#This Row],[ID-API]],Tableau7[ID-API],0))&amp;""</f>
        <v>A8</v>
      </c>
      <c r="AE1232" s="121" t="str">
        <f>INDEX(Tableau1[Repere-Rack],MATCH(Tableau3[[#This Row],[ID-RACK]],Tableau1[ID-RACK],0))&amp;""</f>
        <v>R1</v>
      </c>
      <c r="AF1232" s="121" t="str">
        <f>INDEX(Tableau1[Repere-Slot],MATCH(Tableau3[[#This Row],[ID-SLOT]],Tableau1[ID-SLOT],0))&amp;""</f>
        <v>S6</v>
      </c>
      <c r="AG1232" s="121" t="str">
        <f>INDEX(Tableau2[Repere-Voie],MATCH(Tableau3[[#This Row],[ID-VOIE]],Tableau2[ID-Voie],0))&amp;""</f>
        <v>v14</v>
      </c>
      <c r="AH1232" s="122" t="str">
        <f>Tableau3[[#This Row],[ID-API]]&amp; "." &amp;Tableau3[[#This Row],[ID-RACK]]&amp; "." &amp;Tableau3[[#This Row],[ID-SLOT]]</f>
        <v>8.1.6</v>
      </c>
      <c r="AI1232" s="72" t="str">
        <f>INDEX(Tableau1[Ref-Carte],MATCH(Tableau3[[#This Row],[ID-RRS]],Tableau1[ID-RRS],0))</f>
        <v>SDI1602</v>
      </c>
      <c r="AJ1232" s="72" t="str">
        <f t="array" ref="AJ1232">IFERROR(INDEX(Tableau2[TS],MATCH(1,(Tableau2[Ref-Carte]=Tableau3[[#This Row],[Ref-Carte2]])*(Tableau2[ID-Voie]=Tableau3[[#This Row],[ID-VOIE]]),0)),"")</f>
        <v>ET</v>
      </c>
      <c r="AK1232" s="72" t="str">
        <f>IFERROR(INDEX(Tableau2[TS],SUMPRODUCT((Tableau2[Ref-Carte]=Tableau3[[#This Row],[Ref-Carte2]])*(Tableau2[ID-Voie]=Tableau3[[#This Row],[ID-VOIE]])*ROW(Tableau2[TS]))-ROW(Tableau2[#Headers])),"")</f>
        <v>ET</v>
      </c>
      <c r="AL1232" s="122" t="str">
        <f>Tableau3[[#This Row],[Ref-Carte2]]&amp;"/"&amp;Tableau3[[#This Row],[ID-VOIE]]</f>
        <v>SDI1602/14</v>
      </c>
      <c r="AM1232" s="123" t="str">
        <f>INDEX(Tableau2[Borne],MATCH(Tableau3[[#This Row],[ID-CARTEVOIE]],Tableau2[ID-CARTEVOIE],0))&amp;""</f>
        <v>7B</v>
      </c>
      <c r="AN1232" s="124" t="str">
        <f>Tableau3[[#This Row],[ID-API]]&amp;Tableau3[[#This Row],[ID-RACK]]&amp;Tableau3[[#This Row],[ID-SLOT]]&amp;Tableau3[[#This Row],[BORNE]]</f>
        <v>8167B</v>
      </c>
      <c r="AO1232" s="125"/>
    </row>
    <row r="1233" spans="1:41" ht="20.100000000000001" customHeight="1" thickTop="1" thickBot="1">
      <c r="A1233" s="110"/>
      <c r="B1233" s="111" t="str">
        <f>IFERROR(INDEX(Tableau4[Date],MATCH($A1233,Tableau4[EVO],0)),"")</f>
        <v/>
      </c>
      <c r="C1233" s="112" t="str">
        <f>IFERROR(INDEX(Tableau4[Designation],MATCH($A1233,Tableau4[EVO],0)),"")</f>
        <v/>
      </c>
      <c r="D1233" s="110"/>
      <c r="E1233" s="113"/>
      <c r="F1233" s="146"/>
      <c r="G1233" s="147" t="e">
        <f>INDEX(Tableau8[Att1],MATCH(Tableau3[[#This Row],[ID-INS]],Tableau8[ID],0))&amp;""</f>
        <v>#N/A</v>
      </c>
      <c r="H1233" s="147" t="e">
        <f>INDEX(Tableau8[Att2],MATCH(Tableau3[[#This Row],[ID-INS]],Tableau8[ID],0))&amp;""</f>
        <v>#N/A</v>
      </c>
      <c r="I1233" s="147" t="e">
        <f>INDEX(Tableau8[Att3],MATCH(Tableau3[[#This Row],[ID-INS]],Tableau8[ID],0))&amp;""</f>
        <v>#N/A</v>
      </c>
      <c r="J1233" s="148"/>
      <c r="K1233" s="167" t="e">
        <f>INDEX(Tableau8[Nom du modele],MATCH(Tableau3[[#This Row],[ID-INS]],Tableau8[ID],0))&amp;""</f>
        <v>#N/A</v>
      </c>
      <c r="L1233" s="149" t="e">
        <f>INDEX(Tableau5[Att1],MATCH(Tableau3[[#This Row],[ID-SIG]],Tableau5[ID],0))&amp;""</f>
        <v>#N/A</v>
      </c>
      <c r="M1233" s="149" t="e">
        <f>INDEX(Tableau5[Att2],MATCH(Tableau3[[#This Row],[ID-SIG]],Tableau5[ID],0))&amp;""</f>
        <v>#N/A</v>
      </c>
      <c r="N1233" s="149" t="e">
        <f>INDEX(Tableau5[Att3],MATCH(Tableau3[[#This Row],[ID-SIG]],Tableau5[ID],0))&amp;""</f>
        <v>#N/A</v>
      </c>
      <c r="O1233" s="150"/>
      <c r="P1233" s="149" t="e">
        <f>INDEX(Tableau5[Description],MATCH(Tableau3[[#This Row],[ID-SIG]],Tableau5[ID],0))</f>
        <v>#N/A</v>
      </c>
      <c r="Q1233" s="150"/>
      <c r="R1233" s="117" t="e">
        <f>Tableau3[[#This Row],[Description]]</f>
        <v>#N/A</v>
      </c>
      <c r="S1233" s="75"/>
      <c r="T1233" s="75"/>
      <c r="U1233" s="151">
        <v>8</v>
      </c>
      <c r="V1233" s="151">
        <v>1</v>
      </c>
      <c r="W1233" s="151">
        <v>6</v>
      </c>
      <c r="X1233" s="151">
        <v>15</v>
      </c>
      <c r="Y1233" s="40"/>
      <c r="Z1233" s="166" t="str">
        <f>INDEX(Tableau2[TS],MATCH(Tableau3[[#This Row],[ID-CARTEVOIE]],Tableau2[ID-CARTEVOIE],0))</f>
        <v>ET</v>
      </c>
      <c r="AA1233" s="81" t="s">
        <v>213</v>
      </c>
      <c r="AB1233" s="226" t="str">
        <f>IFERROR(INDEX(Tableau5[Reserve],MATCH(Tableau3[[#This Row],[ID-SIG]],Tableau5[ID],0))&amp;"","")</f>
        <v/>
      </c>
      <c r="AC1233" s="119" t="s">
        <v>1456</v>
      </c>
      <c r="AD1233" s="120" t="str">
        <f>INDEX(Tableau7[Repere],MATCH(Tableau3[[#This Row],[ID-API]],Tableau7[ID-API],0))&amp;""</f>
        <v>A8</v>
      </c>
      <c r="AE1233" s="121" t="str">
        <f>INDEX(Tableau1[Repere-Rack],MATCH(Tableau3[[#This Row],[ID-RACK]],Tableau1[ID-RACK],0))&amp;""</f>
        <v>R1</v>
      </c>
      <c r="AF1233" s="121" t="str">
        <f>INDEX(Tableau1[Repere-Slot],MATCH(Tableau3[[#This Row],[ID-SLOT]],Tableau1[ID-SLOT],0))&amp;""</f>
        <v>S6</v>
      </c>
      <c r="AG1233" s="121" t="str">
        <f>INDEX(Tableau2[Repere-Voie],MATCH(Tableau3[[#This Row],[ID-VOIE]],Tableau2[ID-Voie],0))&amp;""</f>
        <v>v15</v>
      </c>
      <c r="AH1233" s="122" t="str">
        <f>Tableau3[[#This Row],[ID-API]]&amp; "." &amp;Tableau3[[#This Row],[ID-RACK]]&amp; "." &amp;Tableau3[[#This Row],[ID-SLOT]]</f>
        <v>8.1.6</v>
      </c>
      <c r="AI1233" s="72" t="str">
        <f>INDEX(Tableau1[Ref-Carte],MATCH(Tableau3[[#This Row],[ID-RRS]],Tableau1[ID-RRS],0))</f>
        <v>SDI1602</v>
      </c>
      <c r="AJ1233" s="72" t="str">
        <f t="array" ref="AJ1233">IFERROR(INDEX(Tableau2[TS],MATCH(1,(Tableau2[Ref-Carte]=Tableau3[[#This Row],[Ref-Carte2]])*(Tableau2[ID-Voie]=Tableau3[[#This Row],[ID-VOIE]]),0)),"")</f>
        <v>ET</v>
      </c>
      <c r="AK1233" s="72" t="str">
        <f>IFERROR(INDEX(Tableau2[TS],SUMPRODUCT((Tableau2[Ref-Carte]=Tableau3[[#This Row],[Ref-Carte2]])*(Tableau2[ID-Voie]=Tableau3[[#This Row],[ID-VOIE]])*ROW(Tableau2[TS]))-ROW(Tableau2[#Headers])),"")</f>
        <v>ET</v>
      </c>
      <c r="AL1233" s="122" t="str">
        <f>Tableau3[[#This Row],[Ref-Carte2]]&amp;"/"&amp;Tableau3[[#This Row],[ID-VOIE]]</f>
        <v>SDI1602/15</v>
      </c>
      <c r="AM1233" s="123" t="str">
        <f>INDEX(Tableau2[Borne],MATCH(Tableau3[[#This Row],[ID-CARTEVOIE]],Tableau2[ID-CARTEVOIE],0))&amp;""</f>
        <v>7A</v>
      </c>
      <c r="AN1233" s="124" t="str">
        <f>Tableau3[[#This Row],[ID-API]]&amp;Tableau3[[#This Row],[ID-RACK]]&amp;Tableau3[[#This Row],[ID-SLOT]]&amp;Tableau3[[#This Row],[BORNE]]</f>
        <v>8167A</v>
      </c>
      <c r="AO1233" s="125"/>
    </row>
    <row r="1234" spans="1:41" ht="20.100000000000001" customHeight="1" thickTop="1" thickBot="1">
      <c r="A1234" s="68"/>
      <c r="B1234" s="69" t="str">
        <f>IFERROR(INDEX(Tableau4[Date],MATCH($A1234,Tableau4[EVO],0)),"")</f>
        <v/>
      </c>
      <c r="C1234" s="68" t="str">
        <f>IFERROR(INDEX(Tableau4[Designation],MATCH($A1234,Tableau4[EVO],0)),"")</f>
        <v/>
      </c>
      <c r="D1234" s="68"/>
      <c r="E1234" s="70">
        <v>280</v>
      </c>
      <c r="F1234" s="71">
        <v>99</v>
      </c>
      <c r="G1234" s="101" t="str">
        <f>INDEX(Tableau8[Att1],MATCH(Tableau3[[#This Row],[ID-INS]],Tableau8[ID],0))&amp;""</f>
        <v/>
      </c>
      <c r="H1234" s="101" t="str">
        <f>INDEX(Tableau8[Att2],MATCH(Tableau3[[#This Row],[ID-INS]],Tableau8[ID],0))&amp;""</f>
        <v>TEA1</v>
      </c>
      <c r="I1234" s="101" t="str">
        <f>INDEX(Tableau8[Att3],MATCH(Tableau3[[#This Row],[ID-INS]],Tableau8[ID],0))&amp;""</f>
        <v>Synthèse alarme CORA</v>
      </c>
      <c r="J1234" s="101"/>
      <c r="K1234" s="167" t="str">
        <f>INDEX(Tableau8[Nom du modele],MATCH(Tableau3[[#This Row],[ID-INS]],Tableau8[ID],0))&amp;""</f>
        <v>TEA</v>
      </c>
      <c r="L1234" s="99" t="str">
        <f>INDEX(Tableau5[Att1],MATCH(Tableau3[[#This Row],[ID-SIG]],Tableau5[ID],0))&amp;""</f>
        <v>Info</v>
      </c>
      <c r="M1234" s="99" t="str">
        <f>INDEX(Tableau5[Att2],MATCH(Tableau3[[#This Row],[ID-SIG]],Tableau5[ID],0))&amp;""</f>
        <v/>
      </c>
      <c r="N1234" s="99" t="str">
        <f>INDEX(Tableau5[Att3],MATCH(Tableau3[[#This Row],[ID-SIG]],Tableau5[ID],0))&amp;""</f>
        <v/>
      </c>
      <c r="O1234" s="99"/>
      <c r="P1234" s="99" t="str">
        <f>INDEX(Tableau5[Description],MATCH(Tableau3[[#This Row],[ID-SIG]],Tableau5[ID],0))</f>
        <v>Commande</v>
      </c>
      <c r="Q1234" s="99"/>
      <c r="R1234" s="103" t="str">
        <f>Tableau3[[#This Row],[Description]]</f>
        <v>Commande</v>
      </c>
      <c r="U1234" s="87">
        <v>9</v>
      </c>
      <c r="V1234" s="87">
        <v>1</v>
      </c>
      <c r="W1234" s="87">
        <v>2</v>
      </c>
      <c r="X1234" s="87">
        <v>0</v>
      </c>
      <c r="Y1234" s="41"/>
      <c r="Z1234" s="165" t="str">
        <f>INDEX(Tableau2[TS],MATCH(Tableau3[[#This Row],[ID-CARTEVOIE]],Tableau2[ID-CARTEVOIE],0))</f>
        <v>ST</v>
      </c>
      <c r="AA1234" s="53" t="s">
        <v>213</v>
      </c>
      <c r="AB1234" s="223" t="str">
        <f>IFERROR(INDEX(Tableau5[Reserve],MATCH(Tableau3[[#This Row],[ID-SIG]],Tableau5[ID],0))&amp;"","")</f>
        <v/>
      </c>
      <c r="AC1234" s="21"/>
      <c r="AD1234" s="108" t="str">
        <f>INDEX(Tableau7[Repere],MATCH(Tableau3[[#This Row],[ID-API]],Tableau7[ID-API],0))&amp;""</f>
        <v>A9</v>
      </c>
      <c r="AE1234" s="108" t="str">
        <f>INDEX(Tableau1[Repere-Rack],MATCH(Tableau3[[#This Row],[ID-RACK]],Tableau1[ID-RACK],0))&amp;""</f>
        <v>R1</v>
      </c>
      <c r="AF1234" s="108" t="str">
        <f>INDEX(Tableau1[Repere-Slot],MATCH(Tableau3[[#This Row],[ID-SLOT]],Tableau1[ID-SLOT],0))&amp;""</f>
        <v>S2</v>
      </c>
      <c r="AG1234" s="108" t="str">
        <f>INDEX(Tableau2[Repere-Voie],MATCH(Tableau3[[#This Row],[ID-VOIE]],Tableau2[ID-Voie],0))&amp;""</f>
        <v>v0</v>
      </c>
      <c r="AH1234" s="72" t="str">
        <f>Tableau3[[#This Row],[ID-API]]&amp; "." &amp;Tableau3[[#This Row],[ID-RACK]]&amp; "." &amp;Tableau3[[#This Row],[ID-SLOT]]</f>
        <v>9.1.2</v>
      </c>
      <c r="AI1234" s="72" t="str">
        <f>INDEX(Tableau1[Ref-Carte],MATCH(Tableau3[[#This Row],[ID-RRS]],Tableau1[ID-RRS],0))</f>
        <v>DRA0815</v>
      </c>
      <c r="AJ1234" s="72" t="str">
        <f t="array" ref="AJ1234">IFERROR(INDEX(Tableau2[TS],MATCH(1,(Tableau2[Ref-Carte]=Tableau3[[#This Row],[Ref-Carte2]])*(Tableau2[ID-Voie]=Tableau3[[#This Row],[ID-VOIE]]),0)),"")</f>
        <v>ST</v>
      </c>
      <c r="AK1234" s="72" t="str">
        <f>IFERROR(INDEX(Tableau2[TS],SUMPRODUCT((Tableau2[Ref-Carte]=Tableau3[[#This Row],[Ref-Carte2]])*(Tableau2[ID-Voie]=Tableau3[[#This Row],[ID-VOIE]])*ROW(Tableau2[TS]))-ROW(Tableau2[#Headers])),"")</f>
        <v>ST</v>
      </c>
      <c r="AL1234" s="72" t="str">
        <f>Tableau3[[#This Row],[Ref-Carte2]]&amp;"/"&amp;Tableau3[[#This Row],[ID-VOIE]]</f>
        <v>DRA0815/0</v>
      </c>
      <c r="AM1234" s="73" t="str">
        <f>INDEX(Tableau2[Borne],MATCH(Tableau3[[#This Row],[ID-CARTEVOIE]],Tableau2[ID-CARTEVOIE],0))&amp;""</f>
        <v>0</v>
      </c>
      <c r="AN1234" s="74" t="str">
        <f>Tableau3[[#This Row],[ID-API]]&amp;Tableau3[[#This Row],[ID-RACK]]&amp;Tableau3[[#This Row],[ID-SLOT]]&amp;Tableau3[[#This Row],[BORNE]]</f>
        <v>9120</v>
      </c>
      <c r="AO1234" s="1"/>
    </row>
    <row r="1235" spans="1:41" ht="20.100000000000001" customHeight="1" thickTop="1" thickBot="1">
      <c r="A1235" s="68"/>
      <c r="B1235" s="69" t="str">
        <f>IFERROR(INDEX(Tableau4[Date],MATCH($A1235,Tableau4[EVO],0)),"")</f>
        <v/>
      </c>
      <c r="C1235" s="68" t="str">
        <f>IFERROR(INDEX(Tableau4[Designation],MATCH($A1235,Tableau4[EVO],0)),"")</f>
        <v/>
      </c>
      <c r="D1235" s="68"/>
      <c r="E1235" s="70">
        <v>281</v>
      </c>
      <c r="F1235" s="71">
        <v>99</v>
      </c>
      <c r="G1235" s="101" t="str">
        <f>INDEX(Tableau8[Att1],MATCH(Tableau3[[#This Row],[ID-INS]],Tableau8[ID],0))&amp;""</f>
        <v/>
      </c>
      <c r="H1235" s="101" t="str">
        <f>INDEX(Tableau8[Att2],MATCH(Tableau3[[#This Row],[ID-INS]],Tableau8[ID],0))&amp;""</f>
        <v>TEA2</v>
      </c>
      <c r="I1235" s="101" t="str">
        <f>INDEX(Tableau8[Att3],MATCH(Tableau3[[#This Row],[ID-INS]],Tableau8[ID],0))&amp;""</f>
        <v>Synthèse défaut technique CORA</v>
      </c>
      <c r="J1235" s="101"/>
      <c r="K1235" s="167" t="str">
        <f>INDEX(Tableau8[Nom du modele],MATCH(Tableau3[[#This Row],[ID-INS]],Tableau8[ID],0))&amp;""</f>
        <v>TEA</v>
      </c>
      <c r="L1235" s="99" t="str">
        <f>INDEX(Tableau5[Att1],MATCH(Tableau3[[#This Row],[ID-SIG]],Tableau5[ID],0))&amp;""</f>
        <v>Info</v>
      </c>
      <c r="M1235" s="99" t="str">
        <f>INDEX(Tableau5[Att2],MATCH(Tableau3[[#This Row],[ID-SIG]],Tableau5[ID],0))&amp;""</f>
        <v/>
      </c>
      <c r="N1235" s="99" t="str">
        <f>INDEX(Tableau5[Att3],MATCH(Tableau3[[#This Row],[ID-SIG]],Tableau5[ID],0))&amp;""</f>
        <v/>
      </c>
      <c r="O1235" s="99"/>
      <c r="P1235" s="99" t="str">
        <f>INDEX(Tableau5[Description],MATCH(Tableau3[[#This Row],[ID-SIG]],Tableau5[ID],0))</f>
        <v>Commande</v>
      </c>
      <c r="Q1235" s="99"/>
      <c r="R1235" s="103" t="str">
        <f>Tableau3[[#This Row],[Description]]</f>
        <v>Commande</v>
      </c>
      <c r="U1235" s="87">
        <v>9</v>
      </c>
      <c r="V1235" s="87">
        <v>1</v>
      </c>
      <c r="W1235" s="87">
        <v>2</v>
      </c>
      <c r="X1235" s="87">
        <v>1</v>
      </c>
      <c r="Y1235" s="41"/>
      <c r="Z1235" s="165" t="str">
        <f>INDEX(Tableau2[TS],MATCH(Tableau3[[#This Row],[ID-CARTEVOIE]],Tableau2[ID-CARTEVOIE],0))</f>
        <v>ST</v>
      </c>
      <c r="AA1235" s="53" t="s">
        <v>213</v>
      </c>
      <c r="AB1235" s="223" t="str">
        <f>IFERROR(INDEX(Tableau5[Reserve],MATCH(Tableau3[[#This Row],[ID-SIG]],Tableau5[ID],0))&amp;"","")</f>
        <v/>
      </c>
      <c r="AC1235" s="21"/>
      <c r="AD1235" s="108" t="str">
        <f>INDEX(Tableau7[Repere],MATCH(Tableau3[[#This Row],[ID-API]],Tableau7[ID-API],0))&amp;""</f>
        <v>A9</v>
      </c>
      <c r="AE1235" s="108" t="str">
        <f>INDEX(Tableau1[Repere-Rack],MATCH(Tableau3[[#This Row],[ID-RACK]],Tableau1[ID-RACK],0))&amp;""</f>
        <v>R1</v>
      </c>
      <c r="AF1235" s="108" t="str">
        <f>INDEX(Tableau1[Repere-Slot],MATCH(Tableau3[[#This Row],[ID-SLOT]],Tableau1[ID-SLOT],0))&amp;""</f>
        <v>S2</v>
      </c>
      <c r="AG1235" s="108" t="str">
        <f>INDEX(Tableau2[Repere-Voie],MATCH(Tableau3[[#This Row],[ID-VOIE]],Tableau2[ID-Voie],0))&amp;""</f>
        <v>v1</v>
      </c>
      <c r="AH1235" s="72" t="str">
        <f>Tableau3[[#This Row],[ID-API]]&amp; "." &amp;Tableau3[[#This Row],[ID-RACK]]&amp; "." &amp;Tableau3[[#This Row],[ID-SLOT]]</f>
        <v>9.1.2</v>
      </c>
      <c r="AI1235" s="72" t="str">
        <f>INDEX(Tableau1[Ref-Carte],MATCH(Tableau3[[#This Row],[ID-RRS]],Tableau1[ID-RRS],0))</f>
        <v>DRA0815</v>
      </c>
      <c r="AJ1235" s="72" t="str">
        <f t="array" ref="AJ1235">IFERROR(INDEX(Tableau2[TS],MATCH(1,(Tableau2[Ref-Carte]=Tableau3[[#This Row],[Ref-Carte2]])*(Tableau2[ID-Voie]=Tableau3[[#This Row],[ID-VOIE]]),0)),"")</f>
        <v>ST</v>
      </c>
      <c r="AK1235" s="72" t="str">
        <f>IFERROR(INDEX(Tableau2[TS],SUMPRODUCT((Tableau2[Ref-Carte]=Tableau3[[#This Row],[Ref-Carte2]])*(Tableau2[ID-Voie]=Tableau3[[#This Row],[ID-VOIE]])*ROW(Tableau2[TS]))-ROW(Tableau2[#Headers])),"")</f>
        <v>ST</v>
      </c>
      <c r="AL1235" s="72" t="str">
        <f>Tableau3[[#This Row],[Ref-Carte2]]&amp;"/"&amp;Tableau3[[#This Row],[ID-VOIE]]</f>
        <v>DRA0815/1</v>
      </c>
      <c r="AM1235" s="73" t="str">
        <f>INDEX(Tableau2[Borne],MATCH(Tableau3[[#This Row],[ID-CARTEVOIE]],Tableau2[ID-CARTEVOIE],0))&amp;""</f>
        <v>1</v>
      </c>
      <c r="AN1235" s="74" t="str">
        <f>Tableau3[[#This Row],[ID-API]]&amp;Tableau3[[#This Row],[ID-RACK]]&amp;Tableau3[[#This Row],[ID-SLOT]]&amp;Tableau3[[#This Row],[BORNE]]</f>
        <v>9121</v>
      </c>
      <c r="AO1235" s="1"/>
    </row>
    <row r="1236" spans="1:41" ht="20.100000000000001" customHeight="1" thickTop="1" thickBot="1">
      <c r="A1236" s="68"/>
      <c r="B1236" s="69" t="str">
        <f>IFERROR(INDEX(Tableau4[Date],MATCH($A1236,Tableau4[EVO],0)),"")</f>
        <v/>
      </c>
      <c r="C1236" s="68" t="str">
        <f>IFERROR(INDEX(Tableau4[Designation],MATCH($A1236,Tableau4[EVO],0)),"")</f>
        <v/>
      </c>
      <c r="D1236" s="68"/>
      <c r="E1236" s="70">
        <v>282</v>
      </c>
      <c r="F1236" s="71">
        <v>99</v>
      </c>
      <c r="G1236" s="101" t="str">
        <f>INDEX(Tableau8[Att1],MATCH(Tableau3[[#This Row],[ID-INS]],Tableau8[ID],0))&amp;""</f>
        <v/>
      </c>
      <c r="H1236" s="101" t="str">
        <f>INDEX(Tableau8[Att2],MATCH(Tableau3[[#This Row],[ID-INS]],Tableau8[ID],0))&amp;""</f>
        <v>TEA3</v>
      </c>
      <c r="I1236" s="101" t="str">
        <f>INDEX(Tableau8[Att3],MATCH(Tableau3[[#This Row],[ID-INS]],Tableau8[ID],0))&amp;""</f>
        <v>Fermeture urgence sécurité nasse gobale</v>
      </c>
      <c r="J1236" s="101"/>
      <c r="K1236" s="167" t="str">
        <f>INDEX(Tableau8[Nom du modele],MATCH(Tableau3[[#This Row],[ID-INS]],Tableau8[ID],0))&amp;""</f>
        <v>TEA</v>
      </c>
      <c r="L1236" s="99" t="str">
        <f>INDEX(Tableau5[Att1],MATCH(Tableau3[[#This Row],[ID-SIG]],Tableau5[ID],0))&amp;""</f>
        <v>Info</v>
      </c>
      <c r="M1236" s="99" t="str">
        <f>INDEX(Tableau5[Att2],MATCH(Tableau3[[#This Row],[ID-SIG]],Tableau5[ID],0))&amp;""</f>
        <v/>
      </c>
      <c r="N1236" s="99" t="str">
        <f>INDEX(Tableau5[Att3],MATCH(Tableau3[[#This Row],[ID-SIG]],Tableau5[ID],0))&amp;""</f>
        <v/>
      </c>
      <c r="O1236" s="99"/>
      <c r="P1236" s="99" t="str">
        <f>INDEX(Tableau5[Description],MATCH(Tableau3[[#This Row],[ID-SIG]],Tableau5[ID],0))</f>
        <v>Commande</v>
      </c>
      <c r="Q1236" s="99"/>
      <c r="R1236" s="103" t="str">
        <f>Tableau3[[#This Row],[Description]]</f>
        <v>Commande</v>
      </c>
      <c r="U1236" s="87">
        <v>9</v>
      </c>
      <c r="V1236" s="87">
        <v>1</v>
      </c>
      <c r="W1236" s="87">
        <v>2</v>
      </c>
      <c r="X1236" s="87">
        <v>2</v>
      </c>
      <c r="Y1236" s="41"/>
      <c r="Z1236" s="165" t="str">
        <f>INDEX(Tableau2[TS],MATCH(Tableau3[[#This Row],[ID-CARTEVOIE]],Tableau2[ID-CARTEVOIE],0))</f>
        <v>ST</v>
      </c>
      <c r="AA1236" s="53" t="s">
        <v>213</v>
      </c>
      <c r="AB1236" s="223" t="str">
        <f>IFERROR(INDEX(Tableau5[Reserve],MATCH(Tableau3[[#This Row],[ID-SIG]],Tableau5[ID],0))&amp;"","")</f>
        <v/>
      </c>
      <c r="AC1236" s="21"/>
      <c r="AD1236" s="108" t="str">
        <f>INDEX(Tableau7[Repere],MATCH(Tableau3[[#This Row],[ID-API]],Tableau7[ID-API],0))&amp;""</f>
        <v>A9</v>
      </c>
      <c r="AE1236" s="108" t="str">
        <f>INDEX(Tableau1[Repere-Rack],MATCH(Tableau3[[#This Row],[ID-RACK]],Tableau1[ID-RACK],0))&amp;""</f>
        <v>R1</v>
      </c>
      <c r="AF1236" s="108" t="str">
        <f>INDEX(Tableau1[Repere-Slot],MATCH(Tableau3[[#This Row],[ID-SLOT]],Tableau1[ID-SLOT],0))&amp;""</f>
        <v>S2</v>
      </c>
      <c r="AG1236" s="108" t="str">
        <f>INDEX(Tableau2[Repere-Voie],MATCH(Tableau3[[#This Row],[ID-VOIE]],Tableau2[ID-Voie],0))&amp;""</f>
        <v>v2</v>
      </c>
      <c r="AH1236" s="72" t="str">
        <f>Tableau3[[#This Row],[ID-API]]&amp; "." &amp;Tableau3[[#This Row],[ID-RACK]]&amp; "." &amp;Tableau3[[#This Row],[ID-SLOT]]</f>
        <v>9.1.2</v>
      </c>
      <c r="AI1236" s="72" t="str">
        <f>INDEX(Tableau1[Ref-Carte],MATCH(Tableau3[[#This Row],[ID-RRS]],Tableau1[ID-RRS],0))</f>
        <v>DRA0815</v>
      </c>
      <c r="AJ1236" s="72" t="str">
        <f t="array" ref="AJ1236">IFERROR(INDEX(Tableau2[TS],MATCH(1,(Tableau2[Ref-Carte]=Tableau3[[#This Row],[Ref-Carte2]])*(Tableau2[ID-Voie]=Tableau3[[#This Row],[ID-VOIE]]),0)),"")</f>
        <v>ST</v>
      </c>
      <c r="AK1236" s="72" t="str">
        <f>IFERROR(INDEX(Tableau2[TS],SUMPRODUCT((Tableau2[Ref-Carte]=Tableau3[[#This Row],[Ref-Carte2]])*(Tableau2[ID-Voie]=Tableau3[[#This Row],[ID-VOIE]])*ROW(Tableau2[TS]))-ROW(Tableau2[#Headers])),"")</f>
        <v>ST</v>
      </c>
      <c r="AL1236" s="72" t="str">
        <f>Tableau3[[#This Row],[Ref-Carte2]]&amp;"/"&amp;Tableau3[[#This Row],[ID-VOIE]]</f>
        <v>DRA0815/2</v>
      </c>
      <c r="AM1236" s="73" t="str">
        <f>INDEX(Tableau2[Borne],MATCH(Tableau3[[#This Row],[ID-CARTEVOIE]],Tableau2[ID-CARTEVOIE],0))&amp;""</f>
        <v>2</v>
      </c>
      <c r="AN1236" s="74" t="str">
        <f>Tableau3[[#This Row],[ID-API]]&amp;Tableau3[[#This Row],[ID-RACK]]&amp;Tableau3[[#This Row],[ID-SLOT]]&amp;Tableau3[[#This Row],[BORNE]]</f>
        <v>9122</v>
      </c>
      <c r="AO1236" s="1"/>
    </row>
    <row r="1237" spans="1:41" ht="20.100000000000001" customHeight="1" thickTop="1" thickBot="1">
      <c r="A1237" s="68"/>
      <c r="B1237" s="69" t="str">
        <f>IFERROR(INDEX(Tableau4[Date],MATCH($A1237,Tableau4[EVO],0)),"")</f>
        <v/>
      </c>
      <c r="C1237" s="68" t="str">
        <f>IFERROR(INDEX(Tableau4[Designation],MATCH($A1237,Tableau4[EVO],0)),"")</f>
        <v/>
      </c>
      <c r="D1237" s="68"/>
      <c r="E1237" s="70">
        <v>283</v>
      </c>
      <c r="F1237" s="71">
        <v>99</v>
      </c>
      <c r="G1237" s="101" t="str">
        <f>INDEX(Tableau8[Att1],MATCH(Tableau3[[#This Row],[ID-INS]],Tableau8[ID],0))&amp;""</f>
        <v/>
      </c>
      <c r="H1237" s="101" t="str">
        <f>INDEX(Tableau8[Att2],MATCH(Tableau3[[#This Row],[ID-INS]],Tableau8[ID],0))&amp;""</f>
        <v>TEA4</v>
      </c>
      <c r="I1237" s="101" t="str">
        <f>INDEX(Tableau8[Att3],MATCH(Tableau3[[#This Row],[ID-INS]],Tableau8[ID],0))&amp;""</f>
        <v>Fermeture urgence sécurité nasse ligne rouge</v>
      </c>
      <c r="J1237" s="101"/>
      <c r="K1237" s="167" t="str">
        <f>INDEX(Tableau8[Nom du modele],MATCH(Tableau3[[#This Row],[ID-INS]],Tableau8[ID],0))&amp;""</f>
        <v>TEA</v>
      </c>
      <c r="L1237" s="99" t="str">
        <f>INDEX(Tableau5[Att1],MATCH(Tableau3[[#This Row],[ID-SIG]],Tableau5[ID],0))&amp;""</f>
        <v>Info</v>
      </c>
      <c r="M1237" s="99" t="str">
        <f>INDEX(Tableau5[Att2],MATCH(Tableau3[[#This Row],[ID-SIG]],Tableau5[ID],0))&amp;""</f>
        <v/>
      </c>
      <c r="N1237" s="99" t="str">
        <f>INDEX(Tableau5[Att3],MATCH(Tableau3[[#This Row],[ID-SIG]],Tableau5[ID],0))&amp;""</f>
        <v/>
      </c>
      <c r="O1237" s="99"/>
      <c r="P1237" s="99" t="str">
        <f>INDEX(Tableau5[Description],MATCH(Tableau3[[#This Row],[ID-SIG]],Tableau5[ID],0))</f>
        <v>Commande</v>
      </c>
      <c r="Q1237" s="99"/>
      <c r="R1237" s="103" t="str">
        <f>Tableau3[[#This Row],[Description]]</f>
        <v>Commande</v>
      </c>
      <c r="U1237" s="87">
        <v>9</v>
      </c>
      <c r="V1237" s="87">
        <v>1</v>
      </c>
      <c r="W1237" s="87">
        <v>2</v>
      </c>
      <c r="X1237" s="87">
        <v>3</v>
      </c>
      <c r="Y1237" s="41"/>
      <c r="Z1237" s="165" t="str">
        <f>INDEX(Tableau2[TS],MATCH(Tableau3[[#This Row],[ID-CARTEVOIE]],Tableau2[ID-CARTEVOIE],0))</f>
        <v>ST</v>
      </c>
      <c r="AA1237" s="53" t="s">
        <v>213</v>
      </c>
      <c r="AB1237" s="223" t="str">
        <f>IFERROR(INDEX(Tableau5[Reserve],MATCH(Tableau3[[#This Row],[ID-SIG]],Tableau5[ID],0))&amp;"","")</f>
        <v/>
      </c>
      <c r="AC1237" s="21"/>
      <c r="AD1237" s="108" t="str">
        <f>INDEX(Tableau7[Repere],MATCH(Tableau3[[#This Row],[ID-API]],Tableau7[ID-API],0))&amp;""</f>
        <v>A9</v>
      </c>
      <c r="AE1237" s="108" t="str">
        <f>INDEX(Tableau1[Repere-Rack],MATCH(Tableau3[[#This Row],[ID-RACK]],Tableau1[ID-RACK],0))&amp;""</f>
        <v>R1</v>
      </c>
      <c r="AF1237" s="108" t="str">
        <f>INDEX(Tableau1[Repere-Slot],MATCH(Tableau3[[#This Row],[ID-SLOT]],Tableau1[ID-SLOT],0))&amp;""</f>
        <v>S2</v>
      </c>
      <c r="AG1237" s="108" t="str">
        <f>INDEX(Tableau2[Repere-Voie],MATCH(Tableau3[[#This Row],[ID-VOIE]],Tableau2[ID-Voie],0))&amp;""</f>
        <v>v3</v>
      </c>
      <c r="AH1237" s="72" t="str">
        <f>Tableau3[[#This Row],[ID-API]]&amp; "." &amp;Tableau3[[#This Row],[ID-RACK]]&amp; "." &amp;Tableau3[[#This Row],[ID-SLOT]]</f>
        <v>9.1.2</v>
      </c>
      <c r="AI1237" s="72" t="str">
        <f>INDEX(Tableau1[Ref-Carte],MATCH(Tableau3[[#This Row],[ID-RRS]],Tableau1[ID-RRS],0))</f>
        <v>DRA0815</v>
      </c>
      <c r="AJ1237" s="72" t="str">
        <f t="array" ref="AJ1237">IFERROR(INDEX(Tableau2[TS],MATCH(1,(Tableau2[Ref-Carte]=Tableau3[[#This Row],[Ref-Carte2]])*(Tableau2[ID-Voie]=Tableau3[[#This Row],[ID-VOIE]]),0)),"")</f>
        <v>ST</v>
      </c>
      <c r="AK1237" s="72" t="str">
        <f>IFERROR(INDEX(Tableau2[TS],SUMPRODUCT((Tableau2[Ref-Carte]=Tableau3[[#This Row],[Ref-Carte2]])*(Tableau2[ID-Voie]=Tableau3[[#This Row],[ID-VOIE]])*ROW(Tableau2[TS]))-ROW(Tableau2[#Headers])),"")</f>
        <v>ST</v>
      </c>
      <c r="AL1237" s="72" t="str">
        <f>Tableau3[[#This Row],[Ref-Carte2]]&amp;"/"&amp;Tableau3[[#This Row],[ID-VOIE]]</f>
        <v>DRA0815/3</v>
      </c>
      <c r="AM1237" s="73" t="str">
        <f>INDEX(Tableau2[Borne],MATCH(Tableau3[[#This Row],[ID-CARTEVOIE]],Tableau2[ID-CARTEVOIE],0))&amp;""</f>
        <v>3</v>
      </c>
      <c r="AN1237" s="74" t="str">
        <f>Tableau3[[#This Row],[ID-API]]&amp;Tableau3[[#This Row],[ID-RACK]]&amp;Tableau3[[#This Row],[ID-SLOT]]&amp;Tableau3[[#This Row],[BORNE]]</f>
        <v>9123</v>
      </c>
      <c r="AO1237" s="1"/>
    </row>
    <row r="1238" spans="1:41" ht="20.100000000000001" customHeight="1" thickTop="1" thickBot="1">
      <c r="A1238" s="68"/>
      <c r="B1238" s="69" t="str">
        <f>IFERROR(INDEX(Tableau4[Date],MATCH($A1238,Tableau4[EVO],0)),"")</f>
        <v/>
      </c>
      <c r="C1238" s="68" t="str">
        <f>IFERROR(INDEX(Tableau4[Designation],MATCH($A1238,Tableau4[EVO],0)),"")</f>
        <v/>
      </c>
      <c r="D1238" s="68"/>
      <c r="E1238" s="70">
        <v>284</v>
      </c>
      <c r="F1238" s="71">
        <v>99</v>
      </c>
      <c r="G1238" s="101" t="str">
        <f>INDEX(Tableau8[Att1],MATCH(Tableau3[[#This Row],[ID-INS]],Tableau8[ID],0))&amp;""</f>
        <v/>
      </c>
      <c r="H1238" s="101" t="str">
        <f>INDEX(Tableau8[Att2],MATCH(Tableau3[[#This Row],[ID-INS]],Tableau8[ID],0))&amp;""</f>
        <v>TEA5</v>
      </c>
      <c r="I1238" s="101" t="str">
        <f>INDEX(Tableau8[Att3],MATCH(Tableau3[[#This Row],[ID-INS]],Tableau8[ID],0))&amp;""</f>
        <v>Alarme hôtesse d’accueil B21</v>
      </c>
      <c r="J1238" s="101"/>
      <c r="K1238" s="167" t="str">
        <f>INDEX(Tableau8[Nom du modele],MATCH(Tableau3[[#This Row],[ID-INS]],Tableau8[ID],0))&amp;""</f>
        <v>TEA</v>
      </c>
      <c r="L1238" s="99" t="str">
        <f>INDEX(Tableau5[Att1],MATCH(Tableau3[[#This Row],[ID-SIG]],Tableau5[ID],0))&amp;""</f>
        <v>Info</v>
      </c>
      <c r="M1238" s="99" t="str">
        <f>INDEX(Tableau5[Att2],MATCH(Tableau3[[#This Row],[ID-SIG]],Tableau5[ID],0))&amp;""</f>
        <v/>
      </c>
      <c r="N1238" s="99" t="str">
        <f>INDEX(Tableau5[Att3],MATCH(Tableau3[[#This Row],[ID-SIG]],Tableau5[ID],0))&amp;""</f>
        <v/>
      </c>
      <c r="O1238" s="99"/>
      <c r="P1238" s="99" t="str">
        <f>INDEX(Tableau5[Description],MATCH(Tableau3[[#This Row],[ID-SIG]],Tableau5[ID],0))</f>
        <v>Commande</v>
      </c>
      <c r="Q1238" s="99"/>
      <c r="R1238" s="103" t="str">
        <f>Tableau3[[#This Row],[Description]]</f>
        <v>Commande</v>
      </c>
      <c r="U1238" s="87">
        <v>9</v>
      </c>
      <c r="V1238" s="87">
        <v>1</v>
      </c>
      <c r="W1238" s="87">
        <v>2</v>
      </c>
      <c r="X1238" s="87">
        <v>4</v>
      </c>
      <c r="Y1238" s="41"/>
      <c r="Z1238" s="165" t="str">
        <f>INDEX(Tableau2[TS],MATCH(Tableau3[[#This Row],[ID-CARTEVOIE]],Tableau2[ID-CARTEVOIE],0))</f>
        <v>ST</v>
      </c>
      <c r="AA1238" s="53" t="s">
        <v>213</v>
      </c>
      <c r="AB1238" s="223" t="str">
        <f>IFERROR(INDEX(Tableau5[Reserve],MATCH(Tableau3[[#This Row],[ID-SIG]],Tableau5[ID],0))&amp;"","")</f>
        <v/>
      </c>
      <c r="AC1238" s="21"/>
      <c r="AD1238" s="108" t="str">
        <f>INDEX(Tableau7[Repere],MATCH(Tableau3[[#This Row],[ID-API]],Tableau7[ID-API],0))&amp;""</f>
        <v>A9</v>
      </c>
      <c r="AE1238" s="108" t="str">
        <f>INDEX(Tableau1[Repere-Rack],MATCH(Tableau3[[#This Row],[ID-RACK]],Tableau1[ID-RACK],0))&amp;""</f>
        <v>R1</v>
      </c>
      <c r="AF1238" s="108" t="str">
        <f>INDEX(Tableau1[Repere-Slot],MATCH(Tableau3[[#This Row],[ID-SLOT]],Tableau1[ID-SLOT],0))&amp;""</f>
        <v>S2</v>
      </c>
      <c r="AG1238" s="108" t="str">
        <f>INDEX(Tableau2[Repere-Voie],MATCH(Tableau3[[#This Row],[ID-VOIE]],Tableau2[ID-Voie],0))&amp;""</f>
        <v>v4</v>
      </c>
      <c r="AH1238" s="72" t="str">
        <f>Tableau3[[#This Row],[ID-API]]&amp; "." &amp;Tableau3[[#This Row],[ID-RACK]]&amp; "." &amp;Tableau3[[#This Row],[ID-SLOT]]</f>
        <v>9.1.2</v>
      </c>
      <c r="AI1238" s="72" t="str">
        <f>INDEX(Tableau1[Ref-Carte],MATCH(Tableau3[[#This Row],[ID-RRS]],Tableau1[ID-RRS],0))</f>
        <v>DRA0815</v>
      </c>
      <c r="AJ1238" s="72" t="str">
        <f t="array" ref="AJ1238">IFERROR(INDEX(Tableau2[TS],MATCH(1,(Tableau2[Ref-Carte]=Tableau3[[#This Row],[Ref-Carte2]])*(Tableau2[ID-Voie]=Tableau3[[#This Row],[ID-VOIE]]),0)),"")</f>
        <v>ST</v>
      </c>
      <c r="AK1238" s="72" t="str">
        <f>IFERROR(INDEX(Tableau2[TS],SUMPRODUCT((Tableau2[Ref-Carte]=Tableau3[[#This Row],[Ref-Carte2]])*(Tableau2[ID-Voie]=Tableau3[[#This Row],[ID-VOIE]])*ROW(Tableau2[TS]))-ROW(Tableau2[#Headers])),"")</f>
        <v>ST</v>
      </c>
      <c r="AL1238" s="72" t="str">
        <f>Tableau3[[#This Row],[Ref-Carte2]]&amp;"/"&amp;Tableau3[[#This Row],[ID-VOIE]]</f>
        <v>DRA0815/4</v>
      </c>
      <c r="AM1238" s="73" t="str">
        <f>INDEX(Tableau2[Borne],MATCH(Tableau3[[#This Row],[ID-CARTEVOIE]],Tableau2[ID-CARTEVOIE],0))&amp;""</f>
        <v>4</v>
      </c>
      <c r="AN1238" s="74" t="str">
        <f>Tableau3[[#This Row],[ID-API]]&amp;Tableau3[[#This Row],[ID-RACK]]&amp;Tableau3[[#This Row],[ID-SLOT]]&amp;Tableau3[[#This Row],[BORNE]]</f>
        <v>9124</v>
      </c>
      <c r="AO1238" s="1"/>
    </row>
    <row r="1239" spans="1:41" ht="20.100000000000001" customHeight="1" thickTop="1" thickBot="1">
      <c r="A1239" s="68"/>
      <c r="B1239" s="69" t="str">
        <f>IFERROR(INDEX(Tableau4[Date],MATCH($A1239,Tableau4[EVO],0)),"")</f>
        <v/>
      </c>
      <c r="C1239" s="68" t="str">
        <f>IFERROR(INDEX(Tableau4[Designation],MATCH($A1239,Tableau4[EVO],0)),"")</f>
        <v/>
      </c>
      <c r="D1239" s="68"/>
      <c r="E1239" s="70">
        <v>285</v>
      </c>
      <c r="F1239" s="71">
        <v>99</v>
      </c>
      <c r="G1239" s="101" t="str">
        <f>INDEX(Tableau8[Att1],MATCH(Tableau3[[#This Row],[ID-INS]],Tableau8[ID],0))&amp;""</f>
        <v/>
      </c>
      <c r="H1239" s="101" t="str">
        <f>INDEX(Tableau8[Att2],MATCH(Tableau3[[#This Row],[ID-INS]],Tableau8[ID],0))&amp;""</f>
        <v>TEA6</v>
      </c>
      <c r="I1239" s="101" t="str">
        <f>INDEX(Tableau8[Att3],MATCH(Tableau3[[#This Row],[ID-INS]],Tableau8[ID],0))&amp;""</f>
        <v>Alarme appel urgence contrôleur Rayon X B22</v>
      </c>
      <c r="J1239" s="101"/>
      <c r="K1239" s="167" t="str">
        <f>INDEX(Tableau8[Nom du modele],MATCH(Tableau3[[#This Row],[ID-INS]],Tableau8[ID],0))&amp;""</f>
        <v>TEA</v>
      </c>
      <c r="L1239" s="99" t="str">
        <f>INDEX(Tableau5[Att1],MATCH(Tableau3[[#This Row],[ID-SIG]],Tableau5[ID],0))&amp;""</f>
        <v>Info</v>
      </c>
      <c r="M1239" s="99" t="str">
        <f>INDEX(Tableau5[Att2],MATCH(Tableau3[[#This Row],[ID-SIG]],Tableau5[ID],0))&amp;""</f>
        <v/>
      </c>
      <c r="N1239" s="99" t="str">
        <f>INDEX(Tableau5[Att3],MATCH(Tableau3[[#This Row],[ID-SIG]],Tableau5[ID],0))&amp;""</f>
        <v/>
      </c>
      <c r="O1239" s="99"/>
      <c r="P1239" s="99" t="str">
        <f>INDEX(Tableau5[Description],MATCH(Tableau3[[#This Row],[ID-SIG]],Tableau5[ID],0))</f>
        <v>Commande</v>
      </c>
      <c r="Q1239" s="99"/>
      <c r="R1239" s="103" t="str">
        <f>Tableau3[[#This Row],[Description]]</f>
        <v>Commande</v>
      </c>
      <c r="U1239" s="87">
        <v>9</v>
      </c>
      <c r="V1239" s="87">
        <v>1</v>
      </c>
      <c r="W1239" s="87">
        <v>2</v>
      </c>
      <c r="X1239" s="87">
        <v>5</v>
      </c>
      <c r="Y1239" s="41"/>
      <c r="Z1239" s="165" t="str">
        <f>INDEX(Tableau2[TS],MATCH(Tableau3[[#This Row],[ID-CARTEVOIE]],Tableau2[ID-CARTEVOIE],0))</f>
        <v>ST</v>
      </c>
      <c r="AA1239" s="53" t="s">
        <v>213</v>
      </c>
      <c r="AB1239" s="223" t="str">
        <f>IFERROR(INDEX(Tableau5[Reserve],MATCH(Tableau3[[#This Row],[ID-SIG]],Tableau5[ID],0))&amp;"","")</f>
        <v/>
      </c>
      <c r="AC1239" s="21"/>
      <c r="AD1239" s="108" t="str">
        <f>INDEX(Tableau7[Repere],MATCH(Tableau3[[#This Row],[ID-API]],Tableau7[ID-API],0))&amp;""</f>
        <v>A9</v>
      </c>
      <c r="AE1239" s="108" t="str">
        <f>INDEX(Tableau1[Repere-Rack],MATCH(Tableau3[[#This Row],[ID-RACK]],Tableau1[ID-RACK],0))&amp;""</f>
        <v>R1</v>
      </c>
      <c r="AF1239" s="108" t="str">
        <f>INDEX(Tableau1[Repere-Slot],MATCH(Tableau3[[#This Row],[ID-SLOT]],Tableau1[ID-SLOT],0))&amp;""</f>
        <v>S2</v>
      </c>
      <c r="AG1239" s="108" t="str">
        <f>INDEX(Tableau2[Repere-Voie],MATCH(Tableau3[[#This Row],[ID-VOIE]],Tableau2[ID-Voie],0))&amp;""</f>
        <v>v5</v>
      </c>
      <c r="AH1239" s="72" t="str">
        <f>Tableau3[[#This Row],[ID-API]]&amp; "." &amp;Tableau3[[#This Row],[ID-RACK]]&amp; "." &amp;Tableau3[[#This Row],[ID-SLOT]]</f>
        <v>9.1.2</v>
      </c>
      <c r="AI1239" s="72" t="str">
        <f>INDEX(Tableau1[Ref-Carte],MATCH(Tableau3[[#This Row],[ID-RRS]],Tableau1[ID-RRS],0))</f>
        <v>DRA0815</v>
      </c>
      <c r="AJ1239" s="72" t="str">
        <f t="array" ref="AJ1239">IFERROR(INDEX(Tableau2[TS],MATCH(1,(Tableau2[Ref-Carte]=Tableau3[[#This Row],[Ref-Carte2]])*(Tableau2[ID-Voie]=Tableau3[[#This Row],[ID-VOIE]]),0)),"")</f>
        <v>ST</v>
      </c>
      <c r="AK1239" s="72" t="str">
        <f>IFERROR(INDEX(Tableau2[TS],SUMPRODUCT((Tableau2[Ref-Carte]=Tableau3[[#This Row],[Ref-Carte2]])*(Tableau2[ID-Voie]=Tableau3[[#This Row],[ID-VOIE]])*ROW(Tableau2[TS]))-ROW(Tableau2[#Headers])),"")</f>
        <v>ST</v>
      </c>
      <c r="AL1239" s="72" t="str">
        <f>Tableau3[[#This Row],[Ref-Carte2]]&amp;"/"&amp;Tableau3[[#This Row],[ID-VOIE]]</f>
        <v>DRA0815/5</v>
      </c>
      <c r="AM1239" s="73" t="str">
        <f>INDEX(Tableau2[Borne],MATCH(Tableau3[[#This Row],[ID-CARTEVOIE]],Tableau2[ID-CARTEVOIE],0))&amp;""</f>
        <v>5</v>
      </c>
      <c r="AN1239" s="74" t="str">
        <f>Tableau3[[#This Row],[ID-API]]&amp;Tableau3[[#This Row],[ID-RACK]]&amp;Tableau3[[#This Row],[ID-SLOT]]&amp;Tableau3[[#This Row],[BORNE]]</f>
        <v>9125</v>
      </c>
      <c r="AO1239" s="1"/>
    </row>
    <row r="1240" spans="1:41" ht="20.100000000000001" customHeight="1" thickTop="1" thickBot="1">
      <c r="A1240" s="68"/>
      <c r="B1240" s="69" t="str">
        <f>IFERROR(INDEX(Tableau4[Date],MATCH($A1240,Tableau4[EVO],0)),"")</f>
        <v/>
      </c>
      <c r="C1240" s="68" t="str">
        <f>IFERROR(INDEX(Tableau4[Designation],MATCH($A1240,Tableau4[EVO],0)),"")</f>
        <v/>
      </c>
      <c r="D1240" s="68"/>
      <c r="E1240" s="70">
        <v>286</v>
      </c>
      <c r="F1240" s="71">
        <v>99</v>
      </c>
      <c r="G1240" s="101" t="str">
        <f>INDEX(Tableau8[Att1],MATCH(Tableau3[[#This Row],[ID-INS]],Tableau8[ID],0))&amp;""</f>
        <v/>
      </c>
      <c r="H1240" s="101" t="str">
        <f>INDEX(Tableau8[Att2],MATCH(Tableau3[[#This Row],[ID-INS]],Tableau8[ID],0))&amp;""</f>
        <v>TEA7</v>
      </c>
      <c r="I1240" s="101" t="str">
        <f>INDEX(Tableau8[Att3],MATCH(Tableau3[[#This Row],[ID-INS]],Tableau8[ID],0))&amp;""</f>
        <v>Effraction TRS/PMR rouge Accueil B21 (Fraude)</v>
      </c>
      <c r="J1240" s="101"/>
      <c r="K1240" s="167" t="str">
        <f>INDEX(Tableau8[Nom du modele],MATCH(Tableau3[[#This Row],[ID-INS]],Tableau8[ID],0))&amp;""</f>
        <v>TEA</v>
      </c>
      <c r="L1240" s="99" t="str">
        <f>INDEX(Tableau5[Att1],MATCH(Tableau3[[#This Row],[ID-SIG]],Tableau5[ID],0))&amp;""</f>
        <v>Info</v>
      </c>
      <c r="M1240" s="99" t="str">
        <f>INDEX(Tableau5[Att2],MATCH(Tableau3[[#This Row],[ID-SIG]],Tableau5[ID],0))&amp;""</f>
        <v/>
      </c>
      <c r="N1240" s="99" t="str">
        <f>INDEX(Tableau5[Att3],MATCH(Tableau3[[#This Row],[ID-SIG]],Tableau5[ID],0))&amp;""</f>
        <v/>
      </c>
      <c r="O1240" s="99"/>
      <c r="P1240" s="99" t="str">
        <f>INDEX(Tableau5[Description],MATCH(Tableau3[[#This Row],[ID-SIG]],Tableau5[ID],0))</f>
        <v>Commande</v>
      </c>
      <c r="Q1240" s="99"/>
      <c r="R1240" s="103" t="str">
        <f>Tableau3[[#This Row],[Description]]</f>
        <v>Commande</v>
      </c>
      <c r="U1240" s="87">
        <v>9</v>
      </c>
      <c r="V1240" s="87">
        <v>1</v>
      </c>
      <c r="W1240" s="87">
        <v>2</v>
      </c>
      <c r="X1240" s="87">
        <v>6</v>
      </c>
      <c r="Y1240" s="41"/>
      <c r="Z1240" s="165" t="str">
        <f>INDEX(Tableau2[TS],MATCH(Tableau3[[#This Row],[ID-CARTEVOIE]],Tableau2[ID-CARTEVOIE],0))</f>
        <v>ST</v>
      </c>
      <c r="AA1240" s="53" t="s">
        <v>213</v>
      </c>
      <c r="AB1240" s="223" t="str">
        <f>IFERROR(INDEX(Tableau5[Reserve],MATCH(Tableau3[[#This Row],[ID-SIG]],Tableau5[ID],0))&amp;"","")</f>
        <v/>
      </c>
      <c r="AC1240" s="21"/>
      <c r="AD1240" s="108" t="str">
        <f>INDEX(Tableau7[Repere],MATCH(Tableau3[[#This Row],[ID-API]],Tableau7[ID-API],0))&amp;""</f>
        <v>A9</v>
      </c>
      <c r="AE1240" s="108" t="str">
        <f>INDEX(Tableau1[Repere-Rack],MATCH(Tableau3[[#This Row],[ID-RACK]],Tableau1[ID-RACK],0))&amp;""</f>
        <v>R1</v>
      </c>
      <c r="AF1240" s="108" t="str">
        <f>INDEX(Tableau1[Repere-Slot],MATCH(Tableau3[[#This Row],[ID-SLOT]],Tableau1[ID-SLOT],0))&amp;""</f>
        <v>S2</v>
      </c>
      <c r="AG1240" s="108" t="str">
        <f>INDEX(Tableau2[Repere-Voie],MATCH(Tableau3[[#This Row],[ID-VOIE]],Tableau2[ID-Voie],0))&amp;""</f>
        <v>v6</v>
      </c>
      <c r="AH1240" s="72" t="str">
        <f>Tableau3[[#This Row],[ID-API]]&amp; "." &amp;Tableau3[[#This Row],[ID-RACK]]&amp; "." &amp;Tableau3[[#This Row],[ID-SLOT]]</f>
        <v>9.1.2</v>
      </c>
      <c r="AI1240" s="72" t="str">
        <f>INDEX(Tableau1[Ref-Carte],MATCH(Tableau3[[#This Row],[ID-RRS]],Tableau1[ID-RRS],0))</f>
        <v>DRA0815</v>
      </c>
      <c r="AJ1240" s="72" t="str">
        <f t="array" ref="AJ1240">IFERROR(INDEX(Tableau2[TS],MATCH(1,(Tableau2[Ref-Carte]=Tableau3[[#This Row],[Ref-Carte2]])*(Tableau2[ID-Voie]=Tableau3[[#This Row],[ID-VOIE]]),0)),"")</f>
        <v>ST</v>
      </c>
      <c r="AK1240" s="72" t="str">
        <f>IFERROR(INDEX(Tableau2[TS],SUMPRODUCT((Tableau2[Ref-Carte]=Tableau3[[#This Row],[Ref-Carte2]])*(Tableau2[ID-Voie]=Tableau3[[#This Row],[ID-VOIE]])*ROW(Tableau2[TS]))-ROW(Tableau2[#Headers])),"")</f>
        <v>ST</v>
      </c>
      <c r="AL1240" s="72" t="str">
        <f>Tableau3[[#This Row],[Ref-Carte2]]&amp;"/"&amp;Tableau3[[#This Row],[ID-VOIE]]</f>
        <v>DRA0815/6</v>
      </c>
      <c r="AM1240" s="73" t="str">
        <f>INDEX(Tableau2[Borne],MATCH(Tableau3[[#This Row],[ID-CARTEVOIE]],Tableau2[ID-CARTEVOIE],0))&amp;""</f>
        <v>6</v>
      </c>
      <c r="AN1240" s="74" t="str">
        <f>Tableau3[[#This Row],[ID-API]]&amp;Tableau3[[#This Row],[ID-RACK]]&amp;Tableau3[[#This Row],[ID-SLOT]]&amp;Tableau3[[#This Row],[BORNE]]</f>
        <v>9126</v>
      </c>
      <c r="AO1240" s="1"/>
    </row>
    <row r="1241" spans="1:41" ht="20.100000000000001" customHeight="1" thickTop="1" thickBot="1">
      <c r="A1241" s="68"/>
      <c r="B1241" s="69" t="str">
        <f>IFERROR(INDEX(Tableau4[Date],MATCH($A1241,Tableau4[EVO],0)),"")</f>
        <v/>
      </c>
      <c r="C1241" s="68" t="str">
        <f>IFERROR(INDEX(Tableau4[Designation],MATCH($A1241,Tableau4[EVO],0)),"")</f>
        <v/>
      </c>
      <c r="D1241" s="68"/>
      <c r="E1241" s="70">
        <v>287</v>
      </c>
      <c r="F1241" s="71">
        <v>99</v>
      </c>
      <c r="G1241" s="101" t="str">
        <f>INDEX(Tableau8[Att1],MATCH(Tableau3[[#This Row],[ID-INS]],Tableau8[ID],0))&amp;""</f>
        <v/>
      </c>
      <c r="H1241" s="101" t="str">
        <f>INDEX(Tableau8[Att2],MATCH(Tableau3[[#This Row],[ID-INS]],Tableau8[ID],0))&amp;""</f>
        <v>TEA8</v>
      </c>
      <c r="I1241" s="101" t="str">
        <f>INDEX(Tableau8[Att3],MATCH(Tableau3[[#This Row],[ID-INS]],Tableau8[ID],0))&amp;""</f>
        <v>Effraction TRS/PMR rouge Gare routière</v>
      </c>
      <c r="J1241" s="101"/>
      <c r="K1241" s="167" t="str">
        <f>INDEX(Tableau8[Nom du modele],MATCH(Tableau3[[#This Row],[ID-INS]],Tableau8[ID],0))&amp;""</f>
        <v>TEA</v>
      </c>
      <c r="L1241" s="99" t="str">
        <f>INDEX(Tableau5[Att1],MATCH(Tableau3[[#This Row],[ID-SIG]],Tableau5[ID],0))&amp;""</f>
        <v>Info</v>
      </c>
      <c r="M1241" s="99" t="str">
        <f>INDEX(Tableau5[Att2],MATCH(Tableau3[[#This Row],[ID-SIG]],Tableau5[ID],0))&amp;""</f>
        <v/>
      </c>
      <c r="N1241" s="99" t="str">
        <f>INDEX(Tableau5[Att3],MATCH(Tableau3[[#This Row],[ID-SIG]],Tableau5[ID],0))&amp;""</f>
        <v/>
      </c>
      <c r="O1241" s="99"/>
      <c r="P1241" s="99" t="str">
        <f>INDEX(Tableau5[Description],MATCH(Tableau3[[#This Row],[ID-SIG]],Tableau5[ID],0))</f>
        <v>Commande</v>
      </c>
      <c r="Q1241" s="99"/>
      <c r="R1241" s="103" t="str">
        <f>Tableau3[[#This Row],[Description]]</f>
        <v>Commande</v>
      </c>
      <c r="U1241" s="87">
        <v>9</v>
      </c>
      <c r="V1241" s="87">
        <v>1</v>
      </c>
      <c r="W1241" s="87">
        <v>2</v>
      </c>
      <c r="X1241" s="87">
        <v>7</v>
      </c>
      <c r="Y1241" s="41"/>
      <c r="Z1241" s="165" t="str">
        <f>INDEX(Tableau2[TS],MATCH(Tableau3[[#This Row],[ID-CARTEVOIE]],Tableau2[ID-CARTEVOIE],0))</f>
        <v>ST</v>
      </c>
      <c r="AA1241" s="53" t="s">
        <v>213</v>
      </c>
      <c r="AB1241" s="223" t="str">
        <f>IFERROR(INDEX(Tableau5[Reserve],MATCH(Tableau3[[#This Row],[ID-SIG]],Tableau5[ID],0))&amp;"","")</f>
        <v/>
      </c>
      <c r="AC1241" s="21"/>
      <c r="AD1241" s="108" t="str">
        <f>INDEX(Tableau7[Repere],MATCH(Tableau3[[#This Row],[ID-API]],Tableau7[ID-API],0))&amp;""</f>
        <v>A9</v>
      </c>
      <c r="AE1241" s="108" t="str">
        <f>INDEX(Tableau1[Repere-Rack],MATCH(Tableau3[[#This Row],[ID-RACK]],Tableau1[ID-RACK],0))&amp;""</f>
        <v>R1</v>
      </c>
      <c r="AF1241" s="108" t="str">
        <f>INDEX(Tableau1[Repere-Slot],MATCH(Tableau3[[#This Row],[ID-SLOT]],Tableau1[ID-SLOT],0))&amp;""</f>
        <v>S2</v>
      </c>
      <c r="AG1241" s="108" t="str">
        <f>INDEX(Tableau2[Repere-Voie],MATCH(Tableau3[[#This Row],[ID-VOIE]],Tableau2[ID-Voie],0))&amp;""</f>
        <v>v7</v>
      </c>
      <c r="AH1241" s="72" t="str">
        <f>Tableau3[[#This Row],[ID-API]]&amp; "." &amp;Tableau3[[#This Row],[ID-RACK]]&amp; "." &amp;Tableau3[[#This Row],[ID-SLOT]]</f>
        <v>9.1.2</v>
      </c>
      <c r="AI1241" s="72" t="str">
        <f>INDEX(Tableau1[Ref-Carte],MATCH(Tableau3[[#This Row],[ID-RRS]],Tableau1[ID-RRS],0))</f>
        <v>DRA0815</v>
      </c>
      <c r="AJ1241" s="72" t="str">
        <f t="array" ref="AJ1241">IFERROR(INDEX(Tableau2[TS],MATCH(1,(Tableau2[Ref-Carte]=Tableau3[[#This Row],[Ref-Carte2]])*(Tableau2[ID-Voie]=Tableau3[[#This Row],[ID-VOIE]]),0)),"")</f>
        <v>ST</v>
      </c>
      <c r="AK1241" s="72" t="str">
        <f>IFERROR(INDEX(Tableau2[TS],SUMPRODUCT((Tableau2[Ref-Carte]=Tableau3[[#This Row],[Ref-Carte2]])*(Tableau2[ID-Voie]=Tableau3[[#This Row],[ID-VOIE]])*ROW(Tableau2[TS]))-ROW(Tableau2[#Headers])),"")</f>
        <v>ST</v>
      </c>
      <c r="AL1241" s="72" t="str">
        <f>Tableau3[[#This Row],[Ref-Carte2]]&amp;"/"&amp;Tableau3[[#This Row],[ID-VOIE]]</f>
        <v>DRA0815/7</v>
      </c>
      <c r="AM1241" s="73" t="str">
        <f>INDEX(Tableau2[Borne],MATCH(Tableau3[[#This Row],[ID-CARTEVOIE]],Tableau2[ID-CARTEVOIE],0))&amp;""</f>
        <v>7</v>
      </c>
      <c r="AN1241" s="74" t="str">
        <f>Tableau3[[#This Row],[ID-API]]&amp;Tableau3[[#This Row],[ID-RACK]]&amp;Tableau3[[#This Row],[ID-SLOT]]&amp;Tableau3[[#This Row],[BORNE]]</f>
        <v>9127</v>
      </c>
      <c r="AO1241" s="1"/>
    </row>
    <row r="1242" spans="1:41" ht="20.100000000000001" customHeight="1" thickTop="1" thickBot="1">
      <c r="A1242" s="68"/>
      <c r="B1242" s="69" t="str">
        <f>IFERROR(INDEX(Tableau4[Date],MATCH($A1242,Tableau4[EVO],0)),"")</f>
        <v/>
      </c>
      <c r="C1242" s="68" t="str">
        <f>IFERROR(INDEX(Tableau4[Designation],MATCH($A1242,Tableau4[EVO],0)),"")</f>
        <v/>
      </c>
      <c r="D1242" s="68"/>
      <c r="E1242" s="70">
        <v>288</v>
      </c>
      <c r="F1242" s="71">
        <v>99</v>
      </c>
      <c r="G1242" s="101" t="str">
        <f>INDEX(Tableau8[Att1],MATCH(Tableau3[[#This Row],[ID-INS]],Tableau8[ID],0))&amp;""</f>
        <v/>
      </c>
      <c r="H1242" s="101" t="str">
        <f>INDEX(Tableau8[Att2],MATCH(Tableau3[[#This Row],[ID-INS]],Tableau8[ID],0))&amp;""</f>
        <v>TEA9</v>
      </c>
      <c r="I1242" s="101" t="str">
        <f>INDEX(Tableau8[Att3],MATCH(Tableau3[[#This Row],[ID-INS]],Tableau8[ID],0))&amp;""</f>
        <v>Effraction TRS/PMR bleus Contrôle B22</v>
      </c>
      <c r="J1242" s="101"/>
      <c r="K1242" s="167" t="str">
        <f>INDEX(Tableau8[Nom du modele],MATCH(Tableau3[[#This Row],[ID-INS]],Tableau8[ID],0))&amp;""</f>
        <v>TEA</v>
      </c>
      <c r="L1242" s="99" t="str">
        <f>INDEX(Tableau5[Att1],MATCH(Tableau3[[#This Row],[ID-SIG]],Tableau5[ID],0))&amp;""</f>
        <v>Info</v>
      </c>
      <c r="M1242" s="99" t="str">
        <f>INDEX(Tableau5[Att2],MATCH(Tableau3[[#This Row],[ID-SIG]],Tableau5[ID],0))&amp;""</f>
        <v/>
      </c>
      <c r="N1242" s="99" t="str">
        <f>INDEX(Tableau5[Att3],MATCH(Tableau3[[#This Row],[ID-SIG]],Tableau5[ID],0))&amp;""</f>
        <v/>
      </c>
      <c r="O1242" s="99"/>
      <c r="P1242" s="99" t="str">
        <f>INDEX(Tableau5[Description],MATCH(Tableau3[[#This Row],[ID-SIG]],Tableau5[ID],0))</f>
        <v>Commande</v>
      </c>
      <c r="Q1242" s="99"/>
      <c r="R1242" s="103" t="str">
        <f>Tableau3[[#This Row],[Description]]</f>
        <v>Commande</v>
      </c>
      <c r="U1242" s="87">
        <v>9</v>
      </c>
      <c r="V1242" s="87">
        <v>1</v>
      </c>
      <c r="W1242" s="87">
        <v>3</v>
      </c>
      <c r="X1242" s="87">
        <v>0</v>
      </c>
      <c r="Y1242" s="41"/>
      <c r="Z1242" s="165" t="str">
        <f>INDEX(Tableau2[TS],MATCH(Tableau3[[#This Row],[ID-CARTEVOIE]],Tableau2[ID-CARTEVOIE],0))</f>
        <v>ST</v>
      </c>
      <c r="AA1242" s="53" t="s">
        <v>213</v>
      </c>
      <c r="AB1242" s="223" t="str">
        <f>IFERROR(INDEX(Tableau5[Reserve],MATCH(Tableau3[[#This Row],[ID-SIG]],Tableau5[ID],0))&amp;"","")</f>
        <v/>
      </c>
      <c r="AC1242" s="21"/>
      <c r="AD1242" s="108" t="str">
        <f>INDEX(Tableau7[Repere],MATCH(Tableau3[[#This Row],[ID-API]],Tableau7[ID-API],0))&amp;""</f>
        <v>A9</v>
      </c>
      <c r="AE1242" s="108" t="str">
        <f>INDEX(Tableau1[Repere-Rack],MATCH(Tableau3[[#This Row],[ID-RACK]],Tableau1[ID-RACK],0))&amp;""</f>
        <v>R1</v>
      </c>
      <c r="AF1242" s="108" t="str">
        <f>INDEX(Tableau1[Repere-Slot],MATCH(Tableau3[[#This Row],[ID-SLOT]],Tableau1[ID-SLOT],0))&amp;""</f>
        <v>S3</v>
      </c>
      <c r="AG1242" s="108" t="str">
        <f>INDEX(Tableau2[Repere-Voie],MATCH(Tableau3[[#This Row],[ID-VOIE]],Tableau2[ID-Voie],0))&amp;""</f>
        <v>v0</v>
      </c>
      <c r="AH1242" s="72" t="str">
        <f>Tableau3[[#This Row],[ID-API]]&amp; "." &amp;Tableau3[[#This Row],[ID-RACK]]&amp; "." &amp;Tableau3[[#This Row],[ID-SLOT]]</f>
        <v>9.1.3</v>
      </c>
      <c r="AI1242" s="72" t="str">
        <f>INDEX(Tableau1[Ref-Carte],MATCH(Tableau3[[#This Row],[ID-RRS]],Tableau1[ID-RRS],0))</f>
        <v>DRA0815</v>
      </c>
      <c r="AJ1242" s="72" t="str">
        <f t="array" ref="AJ1242">IFERROR(INDEX(Tableau2[TS],MATCH(1,(Tableau2[Ref-Carte]=Tableau3[[#This Row],[Ref-Carte2]])*(Tableau2[ID-Voie]=Tableau3[[#This Row],[ID-VOIE]]),0)),"")</f>
        <v>ST</v>
      </c>
      <c r="AK1242" s="72" t="str">
        <f>IFERROR(INDEX(Tableau2[TS],SUMPRODUCT((Tableau2[Ref-Carte]=Tableau3[[#This Row],[Ref-Carte2]])*(Tableau2[ID-Voie]=Tableau3[[#This Row],[ID-VOIE]])*ROW(Tableau2[TS]))-ROW(Tableau2[#Headers])),"")</f>
        <v>ST</v>
      </c>
      <c r="AL1242" s="72" t="str">
        <f>Tableau3[[#This Row],[Ref-Carte2]]&amp;"/"&amp;Tableau3[[#This Row],[ID-VOIE]]</f>
        <v>DRA0815/0</v>
      </c>
      <c r="AM1242" s="73" t="str">
        <f>INDEX(Tableau2[Borne],MATCH(Tableau3[[#This Row],[ID-CARTEVOIE]],Tableau2[ID-CARTEVOIE],0))&amp;""</f>
        <v>0</v>
      </c>
      <c r="AN1242" s="74" t="str">
        <f>Tableau3[[#This Row],[ID-API]]&amp;Tableau3[[#This Row],[ID-RACK]]&amp;Tableau3[[#This Row],[ID-SLOT]]&amp;Tableau3[[#This Row],[BORNE]]</f>
        <v>9130</v>
      </c>
      <c r="AO1242" s="1"/>
    </row>
    <row r="1243" spans="1:41" ht="20.100000000000001" customHeight="1" thickTop="1" thickBot="1">
      <c r="A1243" s="68"/>
      <c r="B1243" s="69" t="str">
        <f>IFERROR(INDEX(Tableau4[Date],MATCH($A1243,Tableau4[EVO],0)),"")</f>
        <v/>
      </c>
      <c r="C1243" s="68" t="str">
        <f>IFERROR(INDEX(Tableau4[Designation],MATCH($A1243,Tableau4[EVO],0)),"")</f>
        <v/>
      </c>
      <c r="D1243" s="68"/>
      <c r="E1243" s="70">
        <v>289</v>
      </c>
      <c r="F1243" s="71">
        <v>99</v>
      </c>
      <c r="G1243" s="101" t="str">
        <f>INDEX(Tableau8[Att1],MATCH(Tableau3[[#This Row],[ID-INS]],Tableau8[ID],0))&amp;""</f>
        <v/>
      </c>
      <c r="H1243" s="101" t="str">
        <f>INDEX(Tableau8[Att2],MATCH(Tableau3[[#This Row],[ID-INS]],Tableau8[ID],0))&amp;""</f>
        <v>TEA10</v>
      </c>
      <c r="I1243" s="101" t="str">
        <f>INDEX(Tableau8[Att3],MATCH(Tableau3[[#This Row],[ID-INS]],Tableau8[ID],0))&amp;""</f>
        <v>Mouvement TRS/PMR bleus Contrôle B22</v>
      </c>
      <c r="J1243" s="101"/>
      <c r="K1243" s="167" t="str">
        <f>INDEX(Tableau8[Nom du modele],MATCH(Tableau3[[#This Row],[ID-INS]],Tableau8[ID],0))&amp;""</f>
        <v>TEA</v>
      </c>
      <c r="L1243" s="99" t="str">
        <f>INDEX(Tableau5[Att1],MATCH(Tableau3[[#This Row],[ID-SIG]],Tableau5[ID],0))&amp;""</f>
        <v>Info</v>
      </c>
      <c r="M1243" s="99" t="str">
        <f>INDEX(Tableau5[Att2],MATCH(Tableau3[[#This Row],[ID-SIG]],Tableau5[ID],0))&amp;""</f>
        <v/>
      </c>
      <c r="N1243" s="99" t="str">
        <f>INDEX(Tableau5[Att3],MATCH(Tableau3[[#This Row],[ID-SIG]],Tableau5[ID],0))&amp;""</f>
        <v/>
      </c>
      <c r="O1243" s="99"/>
      <c r="P1243" s="99" t="str">
        <f>INDEX(Tableau5[Description],MATCH(Tableau3[[#This Row],[ID-SIG]],Tableau5[ID],0))</f>
        <v>Commande</v>
      </c>
      <c r="Q1243" s="99"/>
      <c r="R1243" s="103" t="str">
        <f>Tableau3[[#This Row],[Description]]</f>
        <v>Commande</v>
      </c>
      <c r="U1243" s="87">
        <v>9</v>
      </c>
      <c r="V1243" s="87">
        <v>1</v>
      </c>
      <c r="W1243" s="87">
        <v>3</v>
      </c>
      <c r="X1243" s="87">
        <v>1</v>
      </c>
      <c r="Y1243" s="41"/>
      <c r="Z1243" s="165" t="str">
        <f>INDEX(Tableau2[TS],MATCH(Tableau3[[#This Row],[ID-CARTEVOIE]],Tableau2[ID-CARTEVOIE],0))</f>
        <v>ST</v>
      </c>
      <c r="AA1243" s="53" t="s">
        <v>213</v>
      </c>
      <c r="AB1243" s="223" t="str">
        <f>IFERROR(INDEX(Tableau5[Reserve],MATCH(Tableau3[[#This Row],[ID-SIG]],Tableau5[ID],0))&amp;"","")</f>
        <v/>
      </c>
      <c r="AC1243" s="21"/>
      <c r="AD1243" s="108" t="str">
        <f>INDEX(Tableau7[Repere],MATCH(Tableau3[[#This Row],[ID-API]],Tableau7[ID-API],0))&amp;""</f>
        <v>A9</v>
      </c>
      <c r="AE1243" s="108" t="str">
        <f>INDEX(Tableau1[Repere-Rack],MATCH(Tableau3[[#This Row],[ID-RACK]],Tableau1[ID-RACK],0))&amp;""</f>
        <v>R1</v>
      </c>
      <c r="AF1243" s="108" t="str">
        <f>INDEX(Tableau1[Repere-Slot],MATCH(Tableau3[[#This Row],[ID-SLOT]],Tableau1[ID-SLOT],0))&amp;""</f>
        <v>S3</v>
      </c>
      <c r="AG1243" s="108" t="str">
        <f>INDEX(Tableau2[Repere-Voie],MATCH(Tableau3[[#This Row],[ID-VOIE]],Tableau2[ID-Voie],0))&amp;""</f>
        <v>v1</v>
      </c>
      <c r="AH1243" s="72" t="str">
        <f>Tableau3[[#This Row],[ID-API]]&amp; "." &amp;Tableau3[[#This Row],[ID-RACK]]&amp; "." &amp;Tableau3[[#This Row],[ID-SLOT]]</f>
        <v>9.1.3</v>
      </c>
      <c r="AI1243" s="72" t="str">
        <f>INDEX(Tableau1[Ref-Carte],MATCH(Tableau3[[#This Row],[ID-RRS]],Tableau1[ID-RRS],0))</f>
        <v>DRA0815</v>
      </c>
      <c r="AJ1243" s="72" t="str">
        <f t="array" ref="AJ1243">IFERROR(INDEX(Tableau2[TS],MATCH(1,(Tableau2[Ref-Carte]=Tableau3[[#This Row],[Ref-Carte2]])*(Tableau2[ID-Voie]=Tableau3[[#This Row],[ID-VOIE]]),0)),"")</f>
        <v>ST</v>
      </c>
      <c r="AK1243" s="72" t="str">
        <f>IFERROR(INDEX(Tableau2[TS],SUMPRODUCT((Tableau2[Ref-Carte]=Tableau3[[#This Row],[Ref-Carte2]])*(Tableau2[ID-Voie]=Tableau3[[#This Row],[ID-VOIE]])*ROW(Tableau2[TS]))-ROW(Tableau2[#Headers])),"")</f>
        <v>ST</v>
      </c>
      <c r="AL1243" s="72" t="str">
        <f>Tableau3[[#This Row],[Ref-Carte2]]&amp;"/"&amp;Tableau3[[#This Row],[ID-VOIE]]</f>
        <v>DRA0815/1</v>
      </c>
      <c r="AM1243" s="73" t="str">
        <f>INDEX(Tableau2[Borne],MATCH(Tableau3[[#This Row],[ID-CARTEVOIE]],Tableau2[ID-CARTEVOIE],0))&amp;""</f>
        <v>1</v>
      </c>
      <c r="AN1243" s="74" t="str">
        <f>Tableau3[[#This Row],[ID-API]]&amp;Tableau3[[#This Row],[ID-RACK]]&amp;Tableau3[[#This Row],[ID-SLOT]]&amp;Tableau3[[#This Row],[BORNE]]</f>
        <v>9131</v>
      </c>
      <c r="AO1243" s="1"/>
    </row>
    <row r="1244" spans="1:41" ht="20.100000000000001" customHeight="1" thickTop="1" thickBot="1">
      <c r="A1244" s="68"/>
      <c r="B1244" s="69" t="str">
        <f>IFERROR(INDEX(Tableau4[Date],MATCH($A1244,Tableau4[EVO],0)),"")</f>
        <v/>
      </c>
      <c r="C1244" s="68" t="str">
        <f>IFERROR(INDEX(Tableau4[Designation],MATCH($A1244,Tableau4[EVO],0)),"")</f>
        <v/>
      </c>
      <c r="D1244" s="68"/>
      <c r="E1244" s="70">
        <v>290</v>
      </c>
      <c r="F1244" s="71">
        <v>99</v>
      </c>
      <c r="G1244" s="101" t="str">
        <f>INDEX(Tableau8[Att1],MATCH(Tableau3[[#This Row],[ID-INS]],Tableau8[ID],0))&amp;""</f>
        <v/>
      </c>
      <c r="H1244" s="101" t="str">
        <f>INDEX(Tableau8[Att2],MATCH(Tableau3[[#This Row],[ID-INS]],Tableau8[ID],0))&amp;""</f>
        <v>TEA11</v>
      </c>
      <c r="I1244" s="101" t="str">
        <f>INDEX(Tableau8[Att3],MATCH(Tableau3[[#This Row],[ID-INS]],Tableau8[ID],0))&amp;""</f>
        <v>Synthèse action Déverrouillage sortie TRS/PMR bleus (hors sas vélo)</v>
      </c>
      <c r="J1244" s="101"/>
      <c r="K1244" s="167" t="str">
        <f>INDEX(Tableau8[Nom du modele],MATCH(Tableau3[[#This Row],[ID-INS]],Tableau8[ID],0))&amp;""</f>
        <v>TEA</v>
      </c>
      <c r="L1244" s="99" t="str">
        <f>INDEX(Tableau5[Att1],MATCH(Tableau3[[#This Row],[ID-SIG]],Tableau5[ID],0))&amp;""</f>
        <v>Info</v>
      </c>
      <c r="M1244" s="99" t="str">
        <f>INDEX(Tableau5[Att2],MATCH(Tableau3[[#This Row],[ID-SIG]],Tableau5[ID],0))&amp;""</f>
        <v/>
      </c>
      <c r="N1244" s="99" t="str">
        <f>INDEX(Tableau5[Att3],MATCH(Tableau3[[#This Row],[ID-SIG]],Tableau5[ID],0))&amp;""</f>
        <v/>
      </c>
      <c r="O1244" s="99"/>
      <c r="P1244" s="99" t="str">
        <f>INDEX(Tableau5[Description],MATCH(Tableau3[[#This Row],[ID-SIG]],Tableau5[ID],0))</f>
        <v>Commande</v>
      </c>
      <c r="Q1244" s="99"/>
      <c r="R1244" s="103" t="str">
        <f>Tableau3[[#This Row],[Description]]</f>
        <v>Commande</v>
      </c>
      <c r="U1244" s="87">
        <v>9</v>
      </c>
      <c r="V1244" s="87">
        <v>1</v>
      </c>
      <c r="W1244" s="87">
        <v>3</v>
      </c>
      <c r="X1244" s="87">
        <v>2</v>
      </c>
      <c r="Y1244" s="41"/>
      <c r="Z1244" s="165" t="str">
        <f>INDEX(Tableau2[TS],MATCH(Tableau3[[#This Row],[ID-CARTEVOIE]],Tableau2[ID-CARTEVOIE],0))</f>
        <v>ST</v>
      </c>
      <c r="AA1244" s="53" t="s">
        <v>213</v>
      </c>
      <c r="AB1244" s="223" t="str">
        <f>IFERROR(INDEX(Tableau5[Reserve],MATCH(Tableau3[[#This Row],[ID-SIG]],Tableau5[ID],0))&amp;"","")</f>
        <v/>
      </c>
      <c r="AC1244" s="21"/>
      <c r="AD1244" s="108" t="str">
        <f>INDEX(Tableau7[Repere],MATCH(Tableau3[[#This Row],[ID-API]],Tableau7[ID-API],0))&amp;""</f>
        <v>A9</v>
      </c>
      <c r="AE1244" s="108" t="str">
        <f>INDEX(Tableau1[Repere-Rack],MATCH(Tableau3[[#This Row],[ID-RACK]],Tableau1[ID-RACK],0))&amp;""</f>
        <v>R1</v>
      </c>
      <c r="AF1244" s="108" t="str">
        <f>INDEX(Tableau1[Repere-Slot],MATCH(Tableau3[[#This Row],[ID-SLOT]],Tableau1[ID-SLOT],0))&amp;""</f>
        <v>S3</v>
      </c>
      <c r="AG1244" s="108" t="str">
        <f>INDEX(Tableau2[Repere-Voie],MATCH(Tableau3[[#This Row],[ID-VOIE]],Tableau2[ID-Voie],0))&amp;""</f>
        <v>v2</v>
      </c>
      <c r="AH1244" s="72" t="str">
        <f>Tableau3[[#This Row],[ID-API]]&amp; "." &amp;Tableau3[[#This Row],[ID-RACK]]&amp; "." &amp;Tableau3[[#This Row],[ID-SLOT]]</f>
        <v>9.1.3</v>
      </c>
      <c r="AI1244" s="72" t="str">
        <f>INDEX(Tableau1[Ref-Carte],MATCH(Tableau3[[#This Row],[ID-RRS]],Tableau1[ID-RRS],0))</f>
        <v>DRA0815</v>
      </c>
      <c r="AJ1244" s="72" t="str">
        <f t="array" ref="AJ1244">IFERROR(INDEX(Tableau2[TS],MATCH(1,(Tableau2[Ref-Carte]=Tableau3[[#This Row],[Ref-Carte2]])*(Tableau2[ID-Voie]=Tableau3[[#This Row],[ID-VOIE]]),0)),"")</f>
        <v>ST</v>
      </c>
      <c r="AK1244" s="72" t="str">
        <f>IFERROR(INDEX(Tableau2[TS],SUMPRODUCT((Tableau2[Ref-Carte]=Tableau3[[#This Row],[Ref-Carte2]])*(Tableau2[ID-Voie]=Tableau3[[#This Row],[ID-VOIE]])*ROW(Tableau2[TS]))-ROW(Tableau2[#Headers])),"")</f>
        <v>ST</v>
      </c>
      <c r="AL1244" s="72" t="str">
        <f>Tableau3[[#This Row],[Ref-Carte2]]&amp;"/"&amp;Tableau3[[#This Row],[ID-VOIE]]</f>
        <v>DRA0815/2</v>
      </c>
      <c r="AM1244" s="73" t="str">
        <f>INDEX(Tableau2[Borne],MATCH(Tableau3[[#This Row],[ID-CARTEVOIE]],Tableau2[ID-CARTEVOIE],0))&amp;""</f>
        <v>2</v>
      </c>
      <c r="AN1244" s="74" t="str">
        <f>Tableau3[[#This Row],[ID-API]]&amp;Tableau3[[#This Row],[ID-RACK]]&amp;Tableau3[[#This Row],[ID-SLOT]]&amp;Tableau3[[#This Row],[BORNE]]</f>
        <v>9132</v>
      </c>
      <c r="AO1244" s="1"/>
    </row>
    <row r="1245" spans="1:41" ht="20.100000000000001" customHeight="1" thickTop="1" thickBot="1">
      <c r="A1245" s="68"/>
      <c r="B1245" s="69" t="str">
        <f>IFERROR(INDEX(Tableau4[Date],MATCH($A1245,Tableau4[EVO],0)),"")</f>
        <v/>
      </c>
      <c r="C1245" s="68" t="str">
        <f>IFERROR(INDEX(Tableau4[Designation],MATCH($A1245,Tableau4[EVO],0)),"")</f>
        <v/>
      </c>
      <c r="D1245" s="68"/>
      <c r="E1245" s="70">
        <v>291</v>
      </c>
      <c r="F1245" s="71">
        <v>99</v>
      </c>
      <c r="G1245" s="101" t="str">
        <f>INDEX(Tableau8[Att1],MATCH(Tableau3[[#This Row],[ID-INS]],Tableau8[ID],0))&amp;""</f>
        <v/>
      </c>
      <c r="H1245" s="101" t="str">
        <f>INDEX(Tableau8[Att2],MATCH(Tableau3[[#This Row],[ID-INS]],Tableau8[ID],0))&amp;""</f>
        <v>TEA12</v>
      </c>
      <c r="I1245" s="101" t="str">
        <f>INDEX(Tableau8[Att3],MATCH(Tableau3[[#This Row],[ID-INS]],Tableau8[ID],0))&amp;""</f>
        <v>Effraction Sas vélo bleu</v>
      </c>
      <c r="J1245" s="101"/>
      <c r="K1245" s="167" t="str">
        <f>INDEX(Tableau8[Nom du modele],MATCH(Tableau3[[#This Row],[ID-INS]],Tableau8[ID],0))&amp;""</f>
        <v>TEA</v>
      </c>
      <c r="L1245" s="99" t="str">
        <f>INDEX(Tableau5[Att1],MATCH(Tableau3[[#This Row],[ID-SIG]],Tableau5[ID],0))&amp;""</f>
        <v>Info</v>
      </c>
      <c r="M1245" s="99" t="str">
        <f>INDEX(Tableau5[Att2],MATCH(Tableau3[[#This Row],[ID-SIG]],Tableau5[ID],0))&amp;""</f>
        <v/>
      </c>
      <c r="N1245" s="99" t="str">
        <f>INDEX(Tableau5[Att3],MATCH(Tableau3[[#This Row],[ID-SIG]],Tableau5[ID],0))&amp;""</f>
        <v/>
      </c>
      <c r="O1245" s="99"/>
      <c r="P1245" s="99" t="str">
        <f>INDEX(Tableau5[Description],MATCH(Tableau3[[#This Row],[ID-SIG]],Tableau5[ID],0))</f>
        <v>Commande</v>
      </c>
      <c r="Q1245" s="99"/>
      <c r="R1245" s="103" t="str">
        <f>Tableau3[[#This Row],[Description]]</f>
        <v>Commande</v>
      </c>
      <c r="U1245" s="87">
        <v>9</v>
      </c>
      <c r="V1245" s="87">
        <v>1</v>
      </c>
      <c r="W1245" s="87">
        <v>3</v>
      </c>
      <c r="X1245" s="87">
        <v>3</v>
      </c>
      <c r="Y1245" s="41"/>
      <c r="Z1245" s="165" t="str">
        <f>INDEX(Tableau2[TS],MATCH(Tableau3[[#This Row],[ID-CARTEVOIE]],Tableau2[ID-CARTEVOIE],0))</f>
        <v>ST</v>
      </c>
      <c r="AA1245" s="53" t="s">
        <v>213</v>
      </c>
      <c r="AB1245" s="223" t="str">
        <f>IFERROR(INDEX(Tableau5[Reserve],MATCH(Tableau3[[#This Row],[ID-SIG]],Tableau5[ID],0))&amp;"","")</f>
        <v/>
      </c>
      <c r="AC1245" s="21"/>
      <c r="AD1245" s="108" t="str">
        <f>INDEX(Tableau7[Repere],MATCH(Tableau3[[#This Row],[ID-API]],Tableau7[ID-API],0))&amp;""</f>
        <v>A9</v>
      </c>
      <c r="AE1245" s="108" t="str">
        <f>INDEX(Tableau1[Repere-Rack],MATCH(Tableau3[[#This Row],[ID-RACK]],Tableau1[ID-RACK],0))&amp;""</f>
        <v>R1</v>
      </c>
      <c r="AF1245" s="108" t="str">
        <f>INDEX(Tableau1[Repere-Slot],MATCH(Tableau3[[#This Row],[ID-SLOT]],Tableau1[ID-SLOT],0))&amp;""</f>
        <v>S3</v>
      </c>
      <c r="AG1245" s="108" t="str">
        <f>INDEX(Tableau2[Repere-Voie],MATCH(Tableau3[[#This Row],[ID-VOIE]],Tableau2[ID-Voie],0))&amp;""</f>
        <v>v3</v>
      </c>
      <c r="AH1245" s="72" t="str">
        <f>Tableau3[[#This Row],[ID-API]]&amp; "." &amp;Tableau3[[#This Row],[ID-RACK]]&amp; "." &amp;Tableau3[[#This Row],[ID-SLOT]]</f>
        <v>9.1.3</v>
      </c>
      <c r="AI1245" s="72" t="str">
        <f>INDEX(Tableau1[Ref-Carte],MATCH(Tableau3[[#This Row],[ID-RRS]],Tableau1[ID-RRS],0))</f>
        <v>DRA0815</v>
      </c>
      <c r="AJ1245" s="72" t="str">
        <f t="array" ref="AJ1245">IFERROR(INDEX(Tableau2[TS],MATCH(1,(Tableau2[Ref-Carte]=Tableau3[[#This Row],[Ref-Carte2]])*(Tableau2[ID-Voie]=Tableau3[[#This Row],[ID-VOIE]]),0)),"")</f>
        <v>ST</v>
      </c>
      <c r="AK1245" s="72" t="str">
        <f>IFERROR(INDEX(Tableau2[TS],SUMPRODUCT((Tableau2[Ref-Carte]=Tableau3[[#This Row],[Ref-Carte2]])*(Tableau2[ID-Voie]=Tableau3[[#This Row],[ID-VOIE]])*ROW(Tableau2[TS]))-ROW(Tableau2[#Headers])),"")</f>
        <v>ST</v>
      </c>
      <c r="AL1245" s="72" t="str">
        <f>Tableau3[[#This Row],[Ref-Carte2]]&amp;"/"&amp;Tableau3[[#This Row],[ID-VOIE]]</f>
        <v>DRA0815/3</v>
      </c>
      <c r="AM1245" s="73" t="str">
        <f>INDEX(Tableau2[Borne],MATCH(Tableau3[[#This Row],[ID-CARTEVOIE]],Tableau2[ID-CARTEVOIE],0))&amp;""</f>
        <v>3</v>
      </c>
      <c r="AN1245" s="74" t="str">
        <f>Tableau3[[#This Row],[ID-API]]&amp;Tableau3[[#This Row],[ID-RACK]]&amp;Tableau3[[#This Row],[ID-SLOT]]&amp;Tableau3[[#This Row],[BORNE]]</f>
        <v>9133</v>
      </c>
      <c r="AO1245" s="1"/>
    </row>
    <row r="1246" spans="1:41" ht="20.100000000000001" customHeight="1" thickTop="1" thickBot="1">
      <c r="A1246" s="68"/>
      <c r="B1246" s="69" t="str">
        <f>IFERROR(INDEX(Tableau4[Date],MATCH($A1246,Tableau4[EVO],0)),"")</f>
        <v/>
      </c>
      <c r="C1246" s="68" t="str">
        <f>IFERROR(INDEX(Tableau4[Designation],MATCH($A1246,Tableau4[EVO],0)),"")</f>
        <v/>
      </c>
      <c r="D1246" s="68"/>
      <c r="E1246" s="70">
        <v>292</v>
      </c>
      <c r="F1246" s="71">
        <v>99</v>
      </c>
      <c r="G1246" s="101" t="str">
        <f>INDEX(Tableau8[Att1],MATCH(Tableau3[[#This Row],[ID-INS]],Tableau8[ID],0))&amp;""</f>
        <v/>
      </c>
      <c r="H1246" s="101" t="str">
        <f>INDEX(Tableau8[Att2],MATCH(Tableau3[[#This Row],[ID-INS]],Tableau8[ID],0))&amp;""</f>
        <v>TEA13</v>
      </c>
      <c r="I1246" s="101" t="str">
        <f>INDEX(Tableau8[Att3],MATCH(Tableau3[[#This Row],[ID-INS]],Tableau8[ID],0))&amp;""</f>
        <v>Mouvement Sas vélo bleu</v>
      </c>
      <c r="J1246" s="101"/>
      <c r="K1246" s="167" t="str">
        <f>INDEX(Tableau8[Nom du modele],MATCH(Tableau3[[#This Row],[ID-INS]],Tableau8[ID],0))&amp;""</f>
        <v>TEA</v>
      </c>
      <c r="L1246" s="99" t="str">
        <f>INDEX(Tableau5[Att1],MATCH(Tableau3[[#This Row],[ID-SIG]],Tableau5[ID],0))&amp;""</f>
        <v>Info</v>
      </c>
      <c r="M1246" s="99" t="str">
        <f>INDEX(Tableau5[Att2],MATCH(Tableau3[[#This Row],[ID-SIG]],Tableau5[ID],0))&amp;""</f>
        <v/>
      </c>
      <c r="N1246" s="99" t="str">
        <f>INDEX(Tableau5[Att3],MATCH(Tableau3[[#This Row],[ID-SIG]],Tableau5[ID],0))&amp;""</f>
        <v/>
      </c>
      <c r="O1246" s="99"/>
      <c r="P1246" s="99" t="str">
        <f>INDEX(Tableau5[Description],MATCH(Tableau3[[#This Row],[ID-SIG]],Tableau5[ID],0))</f>
        <v>Commande</v>
      </c>
      <c r="Q1246" s="99"/>
      <c r="R1246" s="103" t="str">
        <f>Tableau3[[#This Row],[Description]]</f>
        <v>Commande</v>
      </c>
      <c r="U1246" s="87">
        <v>9</v>
      </c>
      <c r="V1246" s="87">
        <v>1</v>
      </c>
      <c r="W1246" s="87">
        <v>3</v>
      </c>
      <c r="X1246" s="87">
        <v>4</v>
      </c>
      <c r="Y1246" s="41"/>
      <c r="Z1246" s="165" t="str">
        <f>INDEX(Tableau2[TS],MATCH(Tableau3[[#This Row],[ID-CARTEVOIE]],Tableau2[ID-CARTEVOIE],0))</f>
        <v>ST</v>
      </c>
      <c r="AA1246" s="53" t="s">
        <v>213</v>
      </c>
      <c r="AB1246" s="223" t="str">
        <f>IFERROR(INDEX(Tableau5[Reserve],MATCH(Tableau3[[#This Row],[ID-SIG]],Tableau5[ID],0))&amp;"","")</f>
        <v/>
      </c>
      <c r="AC1246" s="21"/>
      <c r="AD1246" s="108" t="str">
        <f>INDEX(Tableau7[Repere],MATCH(Tableau3[[#This Row],[ID-API]],Tableau7[ID-API],0))&amp;""</f>
        <v>A9</v>
      </c>
      <c r="AE1246" s="108" t="str">
        <f>INDEX(Tableau1[Repere-Rack],MATCH(Tableau3[[#This Row],[ID-RACK]],Tableau1[ID-RACK],0))&amp;""</f>
        <v>R1</v>
      </c>
      <c r="AF1246" s="108" t="str">
        <f>INDEX(Tableau1[Repere-Slot],MATCH(Tableau3[[#This Row],[ID-SLOT]],Tableau1[ID-SLOT],0))&amp;""</f>
        <v>S3</v>
      </c>
      <c r="AG1246" s="108" t="str">
        <f>INDEX(Tableau2[Repere-Voie],MATCH(Tableau3[[#This Row],[ID-VOIE]],Tableau2[ID-Voie],0))&amp;""</f>
        <v>v4</v>
      </c>
      <c r="AH1246" s="72" t="str">
        <f>Tableau3[[#This Row],[ID-API]]&amp; "." &amp;Tableau3[[#This Row],[ID-RACK]]&amp; "." &amp;Tableau3[[#This Row],[ID-SLOT]]</f>
        <v>9.1.3</v>
      </c>
      <c r="AI1246" s="72" t="str">
        <f>INDEX(Tableau1[Ref-Carte],MATCH(Tableau3[[#This Row],[ID-RRS]],Tableau1[ID-RRS],0))</f>
        <v>DRA0815</v>
      </c>
      <c r="AJ1246" s="72" t="str">
        <f t="array" ref="AJ1246">IFERROR(INDEX(Tableau2[TS],MATCH(1,(Tableau2[Ref-Carte]=Tableau3[[#This Row],[Ref-Carte2]])*(Tableau2[ID-Voie]=Tableau3[[#This Row],[ID-VOIE]]),0)),"")</f>
        <v>ST</v>
      </c>
      <c r="AK1246" s="72" t="str">
        <f>IFERROR(INDEX(Tableau2[TS],SUMPRODUCT((Tableau2[Ref-Carte]=Tableau3[[#This Row],[Ref-Carte2]])*(Tableau2[ID-Voie]=Tableau3[[#This Row],[ID-VOIE]])*ROW(Tableau2[TS]))-ROW(Tableau2[#Headers])),"")</f>
        <v>ST</v>
      </c>
      <c r="AL1246" s="72" t="str">
        <f>Tableau3[[#This Row],[Ref-Carte2]]&amp;"/"&amp;Tableau3[[#This Row],[ID-VOIE]]</f>
        <v>DRA0815/4</v>
      </c>
      <c r="AM1246" s="73" t="str">
        <f>INDEX(Tableau2[Borne],MATCH(Tableau3[[#This Row],[ID-CARTEVOIE]],Tableau2[ID-CARTEVOIE],0))&amp;""</f>
        <v>4</v>
      </c>
      <c r="AN1246" s="74" t="str">
        <f>Tableau3[[#This Row],[ID-API]]&amp;Tableau3[[#This Row],[ID-RACK]]&amp;Tableau3[[#This Row],[ID-SLOT]]&amp;Tableau3[[#This Row],[BORNE]]</f>
        <v>9134</v>
      </c>
      <c r="AO1246" s="1"/>
    </row>
    <row r="1247" spans="1:41" ht="20.100000000000001" customHeight="1" thickTop="1" thickBot="1">
      <c r="A1247" s="68"/>
      <c r="B1247" s="69" t="str">
        <f>IFERROR(INDEX(Tableau4[Date],MATCH($A1247,Tableau4[EVO],0)),"")</f>
        <v/>
      </c>
      <c r="C1247" s="68" t="str">
        <f>IFERROR(INDEX(Tableau4[Designation],MATCH($A1247,Tableau4[EVO],0)),"")</f>
        <v/>
      </c>
      <c r="D1247" s="68"/>
      <c r="E1247" s="70">
        <v>293</v>
      </c>
      <c r="F1247" s="71">
        <v>99</v>
      </c>
      <c r="G1247" s="101" t="str">
        <f>INDEX(Tableau8[Att1],MATCH(Tableau3[[#This Row],[ID-INS]],Tableau8[ID],0))&amp;""</f>
        <v/>
      </c>
      <c r="H1247" s="101" t="str">
        <f>INDEX(Tableau8[Att2],MATCH(Tableau3[[#This Row],[ID-INS]],Tableau8[ID],0))&amp;""</f>
        <v>TEA14</v>
      </c>
      <c r="I1247" s="101" t="str">
        <f>INDEX(Tableau8[Att3],MATCH(Tableau3[[#This Row],[ID-INS]],Tableau8[ID],0))&amp;""</f>
        <v>P1 non fermé ou non verrouillé</v>
      </c>
      <c r="J1247" s="101"/>
      <c r="K1247" s="167" t="str">
        <f>INDEX(Tableau8[Nom du modele],MATCH(Tableau3[[#This Row],[ID-INS]],Tableau8[ID],0))&amp;""</f>
        <v>TEA</v>
      </c>
      <c r="L1247" s="99" t="str">
        <f>INDEX(Tableau5[Att1],MATCH(Tableau3[[#This Row],[ID-SIG]],Tableau5[ID],0))&amp;""</f>
        <v>Info</v>
      </c>
      <c r="M1247" s="99" t="str">
        <f>INDEX(Tableau5[Att2],MATCH(Tableau3[[#This Row],[ID-SIG]],Tableau5[ID],0))&amp;""</f>
        <v/>
      </c>
      <c r="N1247" s="99" t="str">
        <f>INDEX(Tableau5[Att3],MATCH(Tableau3[[#This Row],[ID-SIG]],Tableau5[ID],0))&amp;""</f>
        <v/>
      </c>
      <c r="O1247" s="99"/>
      <c r="P1247" s="99" t="str">
        <f>INDEX(Tableau5[Description],MATCH(Tableau3[[#This Row],[ID-SIG]],Tableau5[ID],0))</f>
        <v>Commande</v>
      </c>
      <c r="Q1247" s="99"/>
      <c r="R1247" s="103" t="str">
        <f>Tableau3[[#This Row],[Description]]</f>
        <v>Commande</v>
      </c>
      <c r="U1247" s="87">
        <v>9</v>
      </c>
      <c r="V1247" s="87">
        <v>1</v>
      </c>
      <c r="W1247" s="87">
        <v>3</v>
      </c>
      <c r="X1247" s="87">
        <v>5</v>
      </c>
      <c r="Y1247" s="41"/>
      <c r="Z1247" s="165" t="str">
        <f>INDEX(Tableau2[TS],MATCH(Tableau3[[#This Row],[ID-CARTEVOIE]],Tableau2[ID-CARTEVOIE],0))</f>
        <v>ST</v>
      </c>
      <c r="AA1247" s="53" t="s">
        <v>213</v>
      </c>
      <c r="AB1247" s="223" t="str">
        <f>IFERROR(INDEX(Tableau5[Reserve],MATCH(Tableau3[[#This Row],[ID-SIG]],Tableau5[ID],0))&amp;"","")</f>
        <v/>
      </c>
      <c r="AC1247" s="21"/>
      <c r="AD1247" s="108" t="str">
        <f>INDEX(Tableau7[Repere],MATCH(Tableau3[[#This Row],[ID-API]],Tableau7[ID-API],0))&amp;""</f>
        <v>A9</v>
      </c>
      <c r="AE1247" s="108" t="str">
        <f>INDEX(Tableau1[Repere-Rack],MATCH(Tableau3[[#This Row],[ID-RACK]],Tableau1[ID-RACK],0))&amp;""</f>
        <v>R1</v>
      </c>
      <c r="AF1247" s="108" t="str">
        <f>INDEX(Tableau1[Repere-Slot],MATCH(Tableau3[[#This Row],[ID-SLOT]],Tableau1[ID-SLOT],0))&amp;""</f>
        <v>S3</v>
      </c>
      <c r="AG1247" s="108" t="str">
        <f>INDEX(Tableau2[Repere-Voie],MATCH(Tableau3[[#This Row],[ID-VOIE]],Tableau2[ID-Voie],0))&amp;""</f>
        <v>v5</v>
      </c>
      <c r="AH1247" s="72" t="str">
        <f>Tableau3[[#This Row],[ID-API]]&amp; "." &amp;Tableau3[[#This Row],[ID-RACK]]&amp; "." &amp;Tableau3[[#This Row],[ID-SLOT]]</f>
        <v>9.1.3</v>
      </c>
      <c r="AI1247" s="72" t="str">
        <f>INDEX(Tableau1[Ref-Carte],MATCH(Tableau3[[#This Row],[ID-RRS]],Tableau1[ID-RRS],0))</f>
        <v>DRA0815</v>
      </c>
      <c r="AJ1247" s="72" t="str">
        <f t="array" ref="AJ1247">IFERROR(INDEX(Tableau2[TS],MATCH(1,(Tableau2[Ref-Carte]=Tableau3[[#This Row],[Ref-Carte2]])*(Tableau2[ID-Voie]=Tableau3[[#This Row],[ID-VOIE]]),0)),"")</f>
        <v>ST</v>
      </c>
      <c r="AK1247" s="72" t="str">
        <f>IFERROR(INDEX(Tableau2[TS],SUMPRODUCT((Tableau2[Ref-Carte]=Tableau3[[#This Row],[Ref-Carte2]])*(Tableau2[ID-Voie]=Tableau3[[#This Row],[ID-VOIE]])*ROW(Tableau2[TS]))-ROW(Tableau2[#Headers])),"")</f>
        <v>ST</v>
      </c>
      <c r="AL1247" s="72" t="str">
        <f>Tableau3[[#This Row],[Ref-Carte2]]&amp;"/"&amp;Tableau3[[#This Row],[ID-VOIE]]</f>
        <v>DRA0815/5</v>
      </c>
      <c r="AM1247" s="73" t="str">
        <f>INDEX(Tableau2[Borne],MATCH(Tableau3[[#This Row],[ID-CARTEVOIE]],Tableau2[ID-CARTEVOIE],0))&amp;""</f>
        <v>5</v>
      </c>
      <c r="AN1247" s="74" t="str">
        <f>Tableau3[[#This Row],[ID-API]]&amp;Tableau3[[#This Row],[ID-RACK]]&amp;Tableau3[[#This Row],[ID-SLOT]]&amp;Tableau3[[#This Row],[BORNE]]</f>
        <v>9135</v>
      </c>
      <c r="AO1247" s="1"/>
    </row>
    <row r="1248" spans="1:41" ht="20.100000000000001" customHeight="1" thickTop="1" thickBot="1">
      <c r="A1248" s="68"/>
      <c r="B1248" s="69" t="str">
        <f>IFERROR(INDEX(Tableau4[Date],MATCH($A1248,Tableau4[EVO],0)),"")</f>
        <v/>
      </c>
      <c r="C1248" s="68" t="str">
        <f>IFERROR(INDEX(Tableau4[Designation],MATCH($A1248,Tableau4[EVO],0)),"")</f>
        <v/>
      </c>
      <c r="D1248" s="68"/>
      <c r="E1248" s="70">
        <v>294</v>
      </c>
      <c r="F1248" s="71">
        <v>99</v>
      </c>
      <c r="G1248" s="101" t="str">
        <f>INDEX(Tableau8[Att1],MATCH(Tableau3[[#This Row],[ID-INS]],Tableau8[ID],0))&amp;""</f>
        <v/>
      </c>
      <c r="H1248" s="101" t="str">
        <f>INDEX(Tableau8[Att2],MATCH(Tableau3[[#This Row],[ID-INS]],Tableau8[ID],0))&amp;""</f>
        <v>TEA15</v>
      </c>
      <c r="I1248" s="101" t="str">
        <f>INDEX(Tableau8[Att3],MATCH(Tableau3[[#This Row],[ID-INS]],Tableau8[ID],0))&amp;""</f>
        <v>Ouverture coffret P1</v>
      </c>
      <c r="J1248" s="101"/>
      <c r="K1248" s="167" t="str">
        <f>INDEX(Tableau8[Nom du modele],MATCH(Tableau3[[#This Row],[ID-INS]],Tableau8[ID],0))&amp;""</f>
        <v>TEA</v>
      </c>
      <c r="L1248" s="99" t="str">
        <f>INDEX(Tableau5[Att1],MATCH(Tableau3[[#This Row],[ID-SIG]],Tableau5[ID],0))&amp;""</f>
        <v>Info</v>
      </c>
      <c r="M1248" s="99" t="str">
        <f>INDEX(Tableau5[Att2],MATCH(Tableau3[[#This Row],[ID-SIG]],Tableau5[ID],0))&amp;""</f>
        <v/>
      </c>
      <c r="N1248" s="99" t="str">
        <f>INDEX(Tableau5[Att3],MATCH(Tableau3[[#This Row],[ID-SIG]],Tableau5[ID],0))&amp;""</f>
        <v/>
      </c>
      <c r="O1248" s="99"/>
      <c r="P1248" s="99" t="str">
        <f>INDEX(Tableau5[Description],MATCH(Tableau3[[#This Row],[ID-SIG]],Tableau5[ID],0))</f>
        <v>Commande</v>
      </c>
      <c r="Q1248" s="99"/>
      <c r="R1248" s="103" t="str">
        <f>Tableau3[[#This Row],[Description]]</f>
        <v>Commande</v>
      </c>
      <c r="U1248" s="87">
        <v>9</v>
      </c>
      <c r="V1248" s="87">
        <v>1</v>
      </c>
      <c r="W1248" s="87">
        <v>3</v>
      </c>
      <c r="X1248" s="87">
        <v>6</v>
      </c>
      <c r="Y1248" s="41"/>
      <c r="Z1248" s="165" t="str">
        <f>INDEX(Tableau2[TS],MATCH(Tableau3[[#This Row],[ID-CARTEVOIE]],Tableau2[ID-CARTEVOIE],0))</f>
        <v>ST</v>
      </c>
      <c r="AA1248" s="53" t="s">
        <v>213</v>
      </c>
      <c r="AB1248" s="223" t="str">
        <f>IFERROR(INDEX(Tableau5[Reserve],MATCH(Tableau3[[#This Row],[ID-SIG]],Tableau5[ID],0))&amp;"","")</f>
        <v/>
      </c>
      <c r="AC1248" s="21"/>
      <c r="AD1248" s="108" t="str">
        <f>INDEX(Tableau7[Repere],MATCH(Tableau3[[#This Row],[ID-API]],Tableau7[ID-API],0))&amp;""</f>
        <v>A9</v>
      </c>
      <c r="AE1248" s="108" t="str">
        <f>INDEX(Tableau1[Repere-Rack],MATCH(Tableau3[[#This Row],[ID-RACK]],Tableau1[ID-RACK],0))&amp;""</f>
        <v>R1</v>
      </c>
      <c r="AF1248" s="108" t="str">
        <f>INDEX(Tableau1[Repere-Slot],MATCH(Tableau3[[#This Row],[ID-SLOT]],Tableau1[ID-SLOT],0))&amp;""</f>
        <v>S3</v>
      </c>
      <c r="AG1248" s="108" t="str">
        <f>INDEX(Tableau2[Repere-Voie],MATCH(Tableau3[[#This Row],[ID-VOIE]],Tableau2[ID-Voie],0))&amp;""</f>
        <v>v6</v>
      </c>
      <c r="AH1248" s="72" t="str">
        <f>Tableau3[[#This Row],[ID-API]]&amp; "." &amp;Tableau3[[#This Row],[ID-RACK]]&amp; "." &amp;Tableau3[[#This Row],[ID-SLOT]]</f>
        <v>9.1.3</v>
      </c>
      <c r="AI1248" s="72" t="str">
        <f>INDEX(Tableau1[Ref-Carte],MATCH(Tableau3[[#This Row],[ID-RRS]],Tableau1[ID-RRS],0))</f>
        <v>DRA0815</v>
      </c>
      <c r="AJ1248" s="72" t="str">
        <f t="array" ref="AJ1248">IFERROR(INDEX(Tableau2[TS],MATCH(1,(Tableau2[Ref-Carte]=Tableau3[[#This Row],[Ref-Carte2]])*(Tableau2[ID-Voie]=Tableau3[[#This Row],[ID-VOIE]]),0)),"")</f>
        <v>ST</v>
      </c>
      <c r="AK1248" s="72" t="str">
        <f>IFERROR(INDEX(Tableau2[TS],SUMPRODUCT((Tableau2[Ref-Carte]=Tableau3[[#This Row],[Ref-Carte2]])*(Tableau2[ID-Voie]=Tableau3[[#This Row],[ID-VOIE]])*ROW(Tableau2[TS]))-ROW(Tableau2[#Headers])),"")</f>
        <v>ST</v>
      </c>
      <c r="AL1248" s="72" t="str">
        <f>Tableau3[[#This Row],[Ref-Carte2]]&amp;"/"&amp;Tableau3[[#This Row],[ID-VOIE]]</f>
        <v>DRA0815/6</v>
      </c>
      <c r="AM1248" s="73" t="str">
        <f>INDEX(Tableau2[Borne],MATCH(Tableau3[[#This Row],[ID-CARTEVOIE]],Tableau2[ID-CARTEVOIE],0))&amp;""</f>
        <v>6</v>
      </c>
      <c r="AN1248" s="74" t="str">
        <f>Tableau3[[#This Row],[ID-API]]&amp;Tableau3[[#This Row],[ID-RACK]]&amp;Tableau3[[#This Row],[ID-SLOT]]&amp;Tableau3[[#This Row],[BORNE]]</f>
        <v>9136</v>
      </c>
      <c r="AO1248" s="1"/>
    </row>
    <row r="1249" spans="1:41" ht="20.100000000000001" customHeight="1" thickTop="1" thickBot="1">
      <c r="A1249" s="68"/>
      <c r="B1249" s="69" t="str">
        <f>IFERROR(INDEX(Tableau4[Date],MATCH($A1249,Tableau4[EVO],0)),"")</f>
        <v/>
      </c>
      <c r="C1249" s="68" t="str">
        <f>IFERROR(INDEX(Tableau4[Designation],MATCH($A1249,Tableau4[EVO],0)),"")</f>
        <v/>
      </c>
      <c r="D1249" s="68"/>
      <c r="E1249" s="70">
        <v>295</v>
      </c>
      <c r="F1249" s="71">
        <v>99</v>
      </c>
      <c r="G1249" s="101" t="str">
        <f>INDEX(Tableau8[Att1],MATCH(Tableau3[[#This Row],[ID-INS]],Tableau8[ID],0))&amp;""</f>
        <v/>
      </c>
      <c r="H1249" s="101" t="str">
        <f>INDEX(Tableau8[Att2],MATCH(Tableau3[[#This Row],[ID-INS]],Tableau8[ID],0))&amp;""</f>
        <v>TEA16</v>
      </c>
      <c r="I1249" s="101" t="str">
        <f>INDEX(Tableau8[Att3],MATCH(Tableau3[[#This Row],[ID-INS]],Tableau8[ID],0))&amp;""</f>
        <v>P2 non fermé ou non verrouillé</v>
      </c>
      <c r="J1249" s="101"/>
      <c r="K1249" s="167" t="str">
        <f>INDEX(Tableau8[Nom du modele],MATCH(Tableau3[[#This Row],[ID-INS]],Tableau8[ID],0))&amp;""</f>
        <v>TEA</v>
      </c>
      <c r="L1249" s="99" t="str">
        <f>INDEX(Tableau5[Att1],MATCH(Tableau3[[#This Row],[ID-SIG]],Tableau5[ID],0))&amp;""</f>
        <v>Info</v>
      </c>
      <c r="M1249" s="99" t="str">
        <f>INDEX(Tableau5[Att2],MATCH(Tableau3[[#This Row],[ID-SIG]],Tableau5[ID],0))&amp;""</f>
        <v/>
      </c>
      <c r="N1249" s="99" t="str">
        <f>INDEX(Tableau5[Att3],MATCH(Tableau3[[#This Row],[ID-SIG]],Tableau5[ID],0))&amp;""</f>
        <v/>
      </c>
      <c r="O1249" s="99"/>
      <c r="P1249" s="99" t="str">
        <f>INDEX(Tableau5[Description],MATCH(Tableau3[[#This Row],[ID-SIG]],Tableau5[ID],0))</f>
        <v>Commande</v>
      </c>
      <c r="Q1249" s="99"/>
      <c r="R1249" s="103" t="str">
        <f>Tableau3[[#This Row],[Description]]</f>
        <v>Commande</v>
      </c>
      <c r="U1249" s="87">
        <v>9</v>
      </c>
      <c r="V1249" s="87">
        <v>1</v>
      </c>
      <c r="W1249" s="87">
        <v>3</v>
      </c>
      <c r="X1249" s="87">
        <v>7</v>
      </c>
      <c r="Y1249" s="41"/>
      <c r="Z1249" s="165" t="str">
        <f>INDEX(Tableau2[TS],MATCH(Tableau3[[#This Row],[ID-CARTEVOIE]],Tableau2[ID-CARTEVOIE],0))</f>
        <v>ST</v>
      </c>
      <c r="AA1249" s="53" t="s">
        <v>213</v>
      </c>
      <c r="AB1249" s="223" t="str">
        <f>IFERROR(INDEX(Tableau5[Reserve],MATCH(Tableau3[[#This Row],[ID-SIG]],Tableau5[ID],0))&amp;"","")</f>
        <v/>
      </c>
      <c r="AC1249" s="21"/>
      <c r="AD1249" s="108" t="str">
        <f>INDEX(Tableau7[Repere],MATCH(Tableau3[[#This Row],[ID-API]],Tableau7[ID-API],0))&amp;""</f>
        <v>A9</v>
      </c>
      <c r="AE1249" s="108" t="str">
        <f>INDEX(Tableau1[Repere-Rack],MATCH(Tableau3[[#This Row],[ID-RACK]],Tableau1[ID-RACK],0))&amp;""</f>
        <v>R1</v>
      </c>
      <c r="AF1249" s="108" t="str">
        <f>INDEX(Tableau1[Repere-Slot],MATCH(Tableau3[[#This Row],[ID-SLOT]],Tableau1[ID-SLOT],0))&amp;""</f>
        <v>S3</v>
      </c>
      <c r="AG1249" s="108" t="str">
        <f>INDEX(Tableau2[Repere-Voie],MATCH(Tableau3[[#This Row],[ID-VOIE]],Tableau2[ID-Voie],0))&amp;""</f>
        <v>v7</v>
      </c>
      <c r="AH1249" s="72" t="str">
        <f>Tableau3[[#This Row],[ID-API]]&amp; "." &amp;Tableau3[[#This Row],[ID-RACK]]&amp; "." &amp;Tableau3[[#This Row],[ID-SLOT]]</f>
        <v>9.1.3</v>
      </c>
      <c r="AI1249" s="72" t="str">
        <f>INDEX(Tableau1[Ref-Carte],MATCH(Tableau3[[#This Row],[ID-RRS]],Tableau1[ID-RRS],0))</f>
        <v>DRA0815</v>
      </c>
      <c r="AJ1249" s="72" t="str">
        <f t="array" ref="AJ1249">IFERROR(INDEX(Tableau2[TS],MATCH(1,(Tableau2[Ref-Carte]=Tableau3[[#This Row],[Ref-Carte2]])*(Tableau2[ID-Voie]=Tableau3[[#This Row],[ID-VOIE]]),0)),"")</f>
        <v>ST</v>
      </c>
      <c r="AK1249" s="72" t="str">
        <f>IFERROR(INDEX(Tableau2[TS],SUMPRODUCT((Tableau2[Ref-Carte]=Tableau3[[#This Row],[Ref-Carte2]])*(Tableau2[ID-Voie]=Tableau3[[#This Row],[ID-VOIE]])*ROW(Tableau2[TS]))-ROW(Tableau2[#Headers])),"")</f>
        <v>ST</v>
      </c>
      <c r="AL1249" s="72" t="str">
        <f>Tableau3[[#This Row],[Ref-Carte2]]&amp;"/"&amp;Tableau3[[#This Row],[ID-VOIE]]</f>
        <v>DRA0815/7</v>
      </c>
      <c r="AM1249" s="73" t="str">
        <f>INDEX(Tableau2[Borne],MATCH(Tableau3[[#This Row],[ID-CARTEVOIE]],Tableau2[ID-CARTEVOIE],0))&amp;""</f>
        <v>7</v>
      </c>
      <c r="AN1249" s="74" t="str">
        <f>Tableau3[[#This Row],[ID-API]]&amp;Tableau3[[#This Row],[ID-RACK]]&amp;Tableau3[[#This Row],[ID-SLOT]]&amp;Tableau3[[#This Row],[BORNE]]</f>
        <v>9137</v>
      </c>
      <c r="AO1249" s="1"/>
    </row>
    <row r="1250" spans="1:41" ht="20.100000000000001" customHeight="1" thickTop="1" thickBot="1">
      <c r="A1250" s="68"/>
      <c r="B1250" s="69" t="str">
        <f>IFERROR(INDEX(Tableau4[Date],MATCH($A1250,Tableau4[EVO],0)),"")</f>
        <v/>
      </c>
      <c r="C1250" s="68" t="str">
        <f>IFERROR(INDEX(Tableau4[Designation],MATCH($A1250,Tableau4[EVO],0)),"")</f>
        <v/>
      </c>
      <c r="D1250" s="68"/>
      <c r="E1250" s="70">
        <v>296</v>
      </c>
      <c r="F1250" s="71">
        <v>99</v>
      </c>
      <c r="G1250" s="101" t="str">
        <f>INDEX(Tableau8[Att1],MATCH(Tableau3[[#This Row],[ID-INS]],Tableau8[ID],0))&amp;""</f>
        <v/>
      </c>
      <c r="H1250" s="101" t="str">
        <f>INDEX(Tableau8[Att2],MATCH(Tableau3[[#This Row],[ID-INS]],Tableau8[ID],0))&amp;""</f>
        <v>TEA17</v>
      </c>
      <c r="I1250" s="101" t="str">
        <f>INDEX(Tableau8[Att3],MATCH(Tableau3[[#This Row],[ID-INS]],Tableau8[ID],0))&amp;""</f>
        <v>Ouverture coffret P2</v>
      </c>
      <c r="J1250" s="101"/>
      <c r="K1250" s="167" t="str">
        <f>INDEX(Tableau8[Nom du modele],MATCH(Tableau3[[#This Row],[ID-INS]],Tableau8[ID],0))&amp;""</f>
        <v>TEA</v>
      </c>
      <c r="L1250" s="99" t="str">
        <f>INDEX(Tableau5[Att1],MATCH(Tableau3[[#This Row],[ID-SIG]],Tableau5[ID],0))&amp;""</f>
        <v>Info</v>
      </c>
      <c r="M1250" s="99" t="str">
        <f>INDEX(Tableau5[Att2],MATCH(Tableau3[[#This Row],[ID-SIG]],Tableau5[ID],0))&amp;""</f>
        <v/>
      </c>
      <c r="N1250" s="99" t="str">
        <f>INDEX(Tableau5[Att3],MATCH(Tableau3[[#This Row],[ID-SIG]],Tableau5[ID],0))&amp;""</f>
        <v/>
      </c>
      <c r="O1250" s="99"/>
      <c r="P1250" s="99" t="str">
        <f>INDEX(Tableau5[Description],MATCH(Tableau3[[#This Row],[ID-SIG]],Tableau5[ID],0))</f>
        <v>Commande</v>
      </c>
      <c r="Q1250" s="99"/>
      <c r="R1250" s="103" t="str">
        <f>Tableau3[[#This Row],[Description]]</f>
        <v>Commande</v>
      </c>
      <c r="U1250" s="87">
        <v>9</v>
      </c>
      <c r="V1250" s="87">
        <v>1</v>
      </c>
      <c r="W1250" s="87">
        <v>4</v>
      </c>
      <c r="X1250" s="87">
        <v>0</v>
      </c>
      <c r="Y1250" s="41"/>
      <c r="Z1250" s="165" t="str">
        <f>INDEX(Tableau2[TS],MATCH(Tableau3[[#This Row],[ID-CARTEVOIE]],Tableau2[ID-CARTEVOIE],0))</f>
        <v>ST</v>
      </c>
      <c r="AA1250" s="53" t="s">
        <v>213</v>
      </c>
      <c r="AB1250" s="223" t="str">
        <f>IFERROR(INDEX(Tableau5[Reserve],MATCH(Tableau3[[#This Row],[ID-SIG]],Tableau5[ID],0))&amp;"","")</f>
        <v/>
      </c>
      <c r="AC1250" s="21"/>
      <c r="AD1250" s="108" t="str">
        <f>INDEX(Tableau7[Repere],MATCH(Tableau3[[#This Row],[ID-API]],Tableau7[ID-API],0))&amp;""</f>
        <v>A9</v>
      </c>
      <c r="AE1250" s="108" t="str">
        <f>INDEX(Tableau1[Repere-Rack],MATCH(Tableau3[[#This Row],[ID-RACK]],Tableau1[ID-RACK],0))&amp;""</f>
        <v>R1</v>
      </c>
      <c r="AF1250" s="108" t="str">
        <f>INDEX(Tableau1[Repere-Slot],MATCH(Tableau3[[#This Row],[ID-SLOT]],Tableau1[ID-SLOT],0))&amp;""</f>
        <v>S4</v>
      </c>
      <c r="AG1250" s="108" t="str">
        <f>INDEX(Tableau2[Repere-Voie],MATCH(Tableau3[[#This Row],[ID-VOIE]],Tableau2[ID-Voie],0))&amp;""</f>
        <v>v0</v>
      </c>
      <c r="AH1250" s="72" t="str">
        <f>Tableau3[[#This Row],[ID-API]]&amp; "." &amp;Tableau3[[#This Row],[ID-RACK]]&amp; "." &amp;Tableau3[[#This Row],[ID-SLOT]]</f>
        <v>9.1.4</v>
      </c>
      <c r="AI1250" s="72" t="str">
        <f>INDEX(Tableau1[Ref-Carte],MATCH(Tableau3[[#This Row],[ID-RRS]],Tableau1[ID-RRS],0))</f>
        <v>DRA0815</v>
      </c>
      <c r="AJ1250" s="72" t="str">
        <f t="array" ref="AJ1250">IFERROR(INDEX(Tableau2[TS],MATCH(1,(Tableau2[Ref-Carte]=Tableau3[[#This Row],[Ref-Carte2]])*(Tableau2[ID-Voie]=Tableau3[[#This Row],[ID-VOIE]]),0)),"")</f>
        <v>ST</v>
      </c>
      <c r="AK1250" s="72" t="str">
        <f>IFERROR(INDEX(Tableau2[TS],SUMPRODUCT((Tableau2[Ref-Carte]=Tableau3[[#This Row],[Ref-Carte2]])*(Tableau2[ID-Voie]=Tableau3[[#This Row],[ID-VOIE]])*ROW(Tableau2[TS]))-ROW(Tableau2[#Headers])),"")</f>
        <v>ST</v>
      </c>
      <c r="AL1250" s="72" t="str">
        <f>Tableau3[[#This Row],[Ref-Carte2]]&amp;"/"&amp;Tableau3[[#This Row],[ID-VOIE]]</f>
        <v>DRA0815/0</v>
      </c>
      <c r="AM1250" s="73" t="str">
        <f>INDEX(Tableau2[Borne],MATCH(Tableau3[[#This Row],[ID-CARTEVOIE]],Tableau2[ID-CARTEVOIE],0))&amp;""</f>
        <v>0</v>
      </c>
      <c r="AN1250" s="74" t="str">
        <f>Tableau3[[#This Row],[ID-API]]&amp;Tableau3[[#This Row],[ID-RACK]]&amp;Tableau3[[#This Row],[ID-SLOT]]&amp;Tableau3[[#This Row],[BORNE]]</f>
        <v>9140</v>
      </c>
      <c r="AO1250" s="1"/>
    </row>
    <row r="1251" spans="1:41" ht="20.100000000000001" customHeight="1" thickTop="1" thickBot="1">
      <c r="A1251" s="68"/>
      <c r="B1251" s="69" t="str">
        <f>IFERROR(INDEX(Tableau4[Date],MATCH($A1251,Tableau4[EVO],0)),"")</f>
        <v/>
      </c>
      <c r="C1251" s="68" t="str">
        <f>IFERROR(INDEX(Tableau4[Designation],MATCH($A1251,Tableau4[EVO],0)),"")</f>
        <v/>
      </c>
      <c r="D1251" s="68"/>
      <c r="E1251" s="70">
        <v>297</v>
      </c>
      <c r="F1251" s="71">
        <v>99</v>
      </c>
      <c r="G1251" s="101" t="str">
        <f>INDEX(Tableau8[Att1],MATCH(Tableau3[[#This Row],[ID-INS]],Tableau8[ID],0))&amp;""</f>
        <v/>
      </c>
      <c r="H1251" s="101" t="str">
        <f>INDEX(Tableau8[Att2],MATCH(Tableau3[[#This Row],[ID-INS]],Tableau8[ID],0))&amp;""</f>
        <v>TEA18</v>
      </c>
      <c r="I1251" s="101" t="str">
        <f>INDEX(Tableau8[Att3],MATCH(Tableau3[[#This Row],[ID-INS]],Tableau8[ID],0))&amp;""</f>
        <v>P3 non fermé ou non verrouillé</v>
      </c>
      <c r="J1251" s="101"/>
      <c r="K1251" s="167" t="str">
        <f>INDEX(Tableau8[Nom du modele],MATCH(Tableau3[[#This Row],[ID-INS]],Tableau8[ID],0))&amp;""</f>
        <v>TEA</v>
      </c>
      <c r="L1251" s="99" t="str">
        <f>INDEX(Tableau5[Att1],MATCH(Tableau3[[#This Row],[ID-SIG]],Tableau5[ID],0))&amp;""</f>
        <v>Info</v>
      </c>
      <c r="M1251" s="99" t="str">
        <f>INDEX(Tableau5[Att2],MATCH(Tableau3[[#This Row],[ID-SIG]],Tableau5[ID],0))&amp;""</f>
        <v/>
      </c>
      <c r="N1251" s="99" t="str">
        <f>INDEX(Tableau5[Att3],MATCH(Tableau3[[#This Row],[ID-SIG]],Tableau5[ID],0))&amp;""</f>
        <v/>
      </c>
      <c r="O1251" s="99"/>
      <c r="P1251" s="99" t="str">
        <f>INDEX(Tableau5[Description],MATCH(Tableau3[[#This Row],[ID-SIG]],Tableau5[ID],0))</f>
        <v>Commande</v>
      </c>
      <c r="Q1251" s="99"/>
      <c r="R1251" s="103" t="str">
        <f>Tableau3[[#This Row],[Description]]</f>
        <v>Commande</v>
      </c>
      <c r="U1251" s="87">
        <v>9</v>
      </c>
      <c r="V1251" s="87">
        <v>1</v>
      </c>
      <c r="W1251" s="87">
        <v>4</v>
      </c>
      <c r="X1251" s="87">
        <v>1</v>
      </c>
      <c r="Y1251" s="41"/>
      <c r="Z1251" s="165" t="str">
        <f>INDEX(Tableau2[TS],MATCH(Tableau3[[#This Row],[ID-CARTEVOIE]],Tableau2[ID-CARTEVOIE],0))</f>
        <v>ST</v>
      </c>
      <c r="AA1251" s="53" t="s">
        <v>213</v>
      </c>
      <c r="AB1251" s="223" t="str">
        <f>IFERROR(INDEX(Tableau5[Reserve],MATCH(Tableau3[[#This Row],[ID-SIG]],Tableau5[ID],0))&amp;"","")</f>
        <v/>
      </c>
      <c r="AC1251" s="21"/>
      <c r="AD1251" s="108" t="str">
        <f>INDEX(Tableau7[Repere],MATCH(Tableau3[[#This Row],[ID-API]],Tableau7[ID-API],0))&amp;""</f>
        <v>A9</v>
      </c>
      <c r="AE1251" s="108" t="str">
        <f>INDEX(Tableau1[Repere-Rack],MATCH(Tableau3[[#This Row],[ID-RACK]],Tableau1[ID-RACK],0))&amp;""</f>
        <v>R1</v>
      </c>
      <c r="AF1251" s="108" t="str">
        <f>INDEX(Tableau1[Repere-Slot],MATCH(Tableau3[[#This Row],[ID-SLOT]],Tableau1[ID-SLOT],0))&amp;""</f>
        <v>S4</v>
      </c>
      <c r="AG1251" s="108" t="str">
        <f>INDEX(Tableau2[Repere-Voie],MATCH(Tableau3[[#This Row],[ID-VOIE]],Tableau2[ID-Voie],0))&amp;""</f>
        <v>v1</v>
      </c>
      <c r="AH1251" s="72" t="str">
        <f>Tableau3[[#This Row],[ID-API]]&amp; "." &amp;Tableau3[[#This Row],[ID-RACK]]&amp; "." &amp;Tableau3[[#This Row],[ID-SLOT]]</f>
        <v>9.1.4</v>
      </c>
      <c r="AI1251" s="72" t="str">
        <f>INDEX(Tableau1[Ref-Carte],MATCH(Tableau3[[#This Row],[ID-RRS]],Tableau1[ID-RRS],0))</f>
        <v>DRA0815</v>
      </c>
      <c r="AJ1251" s="72" t="str">
        <f t="array" ref="AJ1251">IFERROR(INDEX(Tableau2[TS],MATCH(1,(Tableau2[Ref-Carte]=Tableau3[[#This Row],[Ref-Carte2]])*(Tableau2[ID-Voie]=Tableau3[[#This Row],[ID-VOIE]]),0)),"")</f>
        <v>ST</v>
      </c>
      <c r="AK1251" s="72" t="str">
        <f>IFERROR(INDEX(Tableau2[TS],SUMPRODUCT((Tableau2[Ref-Carte]=Tableau3[[#This Row],[Ref-Carte2]])*(Tableau2[ID-Voie]=Tableau3[[#This Row],[ID-VOIE]])*ROW(Tableau2[TS]))-ROW(Tableau2[#Headers])),"")</f>
        <v>ST</v>
      </c>
      <c r="AL1251" s="72" t="str">
        <f>Tableau3[[#This Row],[Ref-Carte2]]&amp;"/"&amp;Tableau3[[#This Row],[ID-VOIE]]</f>
        <v>DRA0815/1</v>
      </c>
      <c r="AM1251" s="73" t="str">
        <f>INDEX(Tableau2[Borne],MATCH(Tableau3[[#This Row],[ID-CARTEVOIE]],Tableau2[ID-CARTEVOIE],0))&amp;""</f>
        <v>1</v>
      </c>
      <c r="AN1251" s="74" t="str">
        <f>Tableau3[[#This Row],[ID-API]]&amp;Tableau3[[#This Row],[ID-RACK]]&amp;Tableau3[[#This Row],[ID-SLOT]]&amp;Tableau3[[#This Row],[BORNE]]</f>
        <v>9141</v>
      </c>
      <c r="AO1251" s="1"/>
    </row>
    <row r="1252" spans="1:41" ht="20.100000000000001" customHeight="1" thickTop="1" thickBot="1">
      <c r="A1252" s="134"/>
      <c r="B1252" s="135" t="str">
        <f>IFERROR(INDEX(Tableau4[Date],MATCH($A1252,Tableau4[EVO],0)),"")</f>
        <v/>
      </c>
      <c r="C1252" s="136" t="str">
        <f>IFERROR(INDEX(Tableau4[Designation],MATCH($A1252,Tableau4[EVO],0)),"")</f>
        <v/>
      </c>
      <c r="D1252" s="134"/>
      <c r="E1252" s="137">
        <v>298</v>
      </c>
      <c r="F1252" s="138">
        <v>99</v>
      </c>
      <c r="G1252" s="139" t="str">
        <f>INDEX(Tableau8[Att1],MATCH(Tableau3[[#This Row],[ID-INS]],Tableau8[ID],0))&amp;""</f>
        <v/>
      </c>
      <c r="H1252" s="140" t="str">
        <f>INDEX(Tableau8[Att2],MATCH(Tableau3[[#This Row],[ID-INS]],Tableau8[ID],0))&amp;""</f>
        <v>TEA19</v>
      </c>
      <c r="I1252" s="139" t="str">
        <f>INDEX(Tableau8[Att3],MATCH(Tableau3[[#This Row],[ID-INS]],Tableau8[ID],0))&amp;""</f>
        <v>Ouverture coffret P3</v>
      </c>
      <c r="J1252" s="101"/>
      <c r="K1252" s="167" t="str">
        <f>INDEX(Tableau8[Nom du modele],MATCH(Tableau3[[#This Row],[ID-INS]],Tableau8[ID],0))&amp;""</f>
        <v>TEA</v>
      </c>
      <c r="L1252" s="141" t="str">
        <f>INDEX(Tableau5[Att1],MATCH(Tableau3[[#This Row],[ID-SIG]],Tableau5[ID],0))&amp;""</f>
        <v>Info</v>
      </c>
      <c r="M1252" s="141" t="str">
        <f>INDEX(Tableau5[Att2],MATCH(Tableau3[[#This Row],[ID-SIG]],Tableau5[ID],0))&amp;""</f>
        <v/>
      </c>
      <c r="N1252" s="141" t="str">
        <f>INDEX(Tableau5[Att3],MATCH(Tableau3[[#This Row],[ID-SIG]],Tableau5[ID],0))&amp;""</f>
        <v/>
      </c>
      <c r="O1252" s="99"/>
      <c r="P1252" s="141" t="str">
        <f>INDEX(Tableau5[Description],MATCH(Tableau3[[#This Row],[ID-SIG]],Tableau5[ID],0))</f>
        <v>Commande</v>
      </c>
      <c r="Q1252" s="99"/>
      <c r="R1252" s="142" t="str">
        <f>Tableau3[[#This Row],[Description]]</f>
        <v>Commande</v>
      </c>
      <c r="U1252" s="87">
        <v>9</v>
      </c>
      <c r="V1252" s="87">
        <v>1</v>
      </c>
      <c r="W1252" s="87">
        <v>4</v>
      </c>
      <c r="X1252" s="87">
        <v>2</v>
      </c>
      <c r="Y1252" s="41"/>
      <c r="Z1252" s="165" t="str">
        <f>INDEX(Tableau2[TS],MATCH(Tableau3[[#This Row],[ID-CARTEVOIE]],Tableau2[ID-CARTEVOIE],0))</f>
        <v>ST</v>
      </c>
      <c r="AA1252" s="144" t="s">
        <v>213</v>
      </c>
      <c r="AB1252" s="224" t="str">
        <f>IFERROR(INDEX(Tableau5[Reserve],MATCH(Tableau3[[#This Row],[ID-SIG]],Tableau5[ID],0))&amp;"","")</f>
        <v/>
      </c>
      <c r="AC1252" s="119"/>
      <c r="AD1252" s="120" t="str">
        <f>INDEX(Tableau7[Repere],MATCH(Tableau3[[#This Row],[ID-API]],Tableau7[ID-API],0))&amp;""</f>
        <v>A9</v>
      </c>
      <c r="AE1252" s="120" t="str">
        <f>INDEX(Tableau1[Repere-Rack],MATCH(Tableau3[[#This Row],[ID-RACK]],Tableau1[ID-RACK],0))&amp;""</f>
        <v>R1</v>
      </c>
      <c r="AF1252" s="120" t="str">
        <f>INDEX(Tableau1[Repere-Slot],MATCH(Tableau3[[#This Row],[ID-SLOT]],Tableau1[ID-SLOT],0))&amp;""</f>
        <v>S4</v>
      </c>
      <c r="AG1252" s="120" t="str">
        <f>INDEX(Tableau2[Repere-Voie],MATCH(Tableau3[[#This Row],[ID-VOIE]],Tableau2[ID-Voie],0))&amp;""</f>
        <v>v2</v>
      </c>
      <c r="AH1252" s="122" t="str">
        <f>Tableau3[[#This Row],[ID-API]]&amp; "." &amp;Tableau3[[#This Row],[ID-RACK]]&amp; "." &amp;Tableau3[[#This Row],[ID-SLOT]]</f>
        <v>9.1.4</v>
      </c>
      <c r="AI1252" s="72" t="str">
        <f>INDEX(Tableau1[Ref-Carte],MATCH(Tableau3[[#This Row],[ID-RRS]],Tableau1[ID-RRS],0))</f>
        <v>DRA0815</v>
      </c>
      <c r="AJ1252" s="72" t="str">
        <f t="array" ref="AJ1252">IFERROR(INDEX(Tableau2[TS],MATCH(1,(Tableau2[Ref-Carte]=Tableau3[[#This Row],[Ref-Carte2]])*(Tableau2[ID-Voie]=Tableau3[[#This Row],[ID-VOIE]]),0)),"")</f>
        <v>ST</v>
      </c>
      <c r="AK1252" s="72" t="str">
        <f>IFERROR(INDEX(Tableau2[TS],SUMPRODUCT((Tableau2[Ref-Carte]=Tableau3[[#This Row],[Ref-Carte2]])*(Tableau2[ID-Voie]=Tableau3[[#This Row],[ID-VOIE]])*ROW(Tableau2[TS]))-ROW(Tableau2[#Headers])),"")</f>
        <v>ST</v>
      </c>
      <c r="AL1252" s="122" t="str">
        <f>Tableau3[[#This Row],[Ref-Carte2]]&amp;"/"&amp;Tableau3[[#This Row],[ID-VOIE]]</f>
        <v>DRA0815/2</v>
      </c>
      <c r="AM1252" s="145" t="str">
        <f>INDEX(Tableau2[Borne],MATCH(Tableau3[[#This Row],[ID-CARTEVOIE]],Tableau2[ID-CARTEVOIE],0))&amp;""</f>
        <v>2</v>
      </c>
      <c r="AN1252" s="124" t="str">
        <f>Tableau3[[#This Row],[ID-API]]&amp;Tableau3[[#This Row],[ID-RACK]]&amp;Tableau3[[#This Row],[ID-SLOT]]&amp;Tableau3[[#This Row],[BORNE]]</f>
        <v>9142</v>
      </c>
      <c r="AO1252" s="125"/>
    </row>
    <row r="1253" spans="1:41" ht="20.100000000000001" customHeight="1" thickTop="1" thickBot="1">
      <c r="A1253" s="134"/>
      <c r="B1253" s="135" t="str">
        <f>IFERROR(INDEX(Tableau4[Date],MATCH($A1253,Tableau4[EVO],0)),"")</f>
        <v/>
      </c>
      <c r="C1253" s="136" t="str">
        <f>IFERROR(INDEX(Tableau4[Designation],MATCH($A1253,Tableau4[EVO],0)),"")</f>
        <v/>
      </c>
      <c r="D1253" s="134"/>
      <c r="E1253" s="137">
        <v>299</v>
      </c>
      <c r="F1253" s="138">
        <v>99</v>
      </c>
      <c r="G1253" s="139" t="str">
        <f>INDEX(Tableau8[Att1],MATCH(Tableau3[[#This Row],[ID-INS]],Tableau8[ID],0))&amp;""</f>
        <v/>
      </c>
      <c r="H1253" s="139" t="str">
        <f>INDEX(Tableau8[Att2],MATCH(Tableau3[[#This Row],[ID-INS]],Tableau8[ID],0))&amp;""</f>
        <v>TEA20</v>
      </c>
      <c r="I1253" s="139" t="str">
        <f>INDEX(Tableau8[Att3],MATCH(Tableau3[[#This Row],[ID-INS]],Tableau8[ID],0))&amp;""</f>
        <v>P10 non fermé ou non verrouillé</v>
      </c>
      <c r="J1253" s="101"/>
      <c r="K1253" s="167" t="str">
        <f>INDEX(Tableau8[Nom du modele],MATCH(Tableau3[[#This Row],[ID-INS]],Tableau8[ID],0))&amp;""</f>
        <v>TEA</v>
      </c>
      <c r="L1253" s="141" t="str">
        <f>INDEX(Tableau5[Att1],MATCH(Tableau3[[#This Row],[ID-SIG]],Tableau5[ID],0))&amp;""</f>
        <v>Info</v>
      </c>
      <c r="M1253" s="141" t="str">
        <f>INDEX(Tableau5[Att2],MATCH(Tableau3[[#This Row],[ID-SIG]],Tableau5[ID],0))&amp;""</f>
        <v/>
      </c>
      <c r="N1253" s="141" t="str">
        <f>INDEX(Tableau5[Att3],MATCH(Tableau3[[#This Row],[ID-SIG]],Tableau5[ID],0))&amp;""</f>
        <v/>
      </c>
      <c r="O1253" s="99"/>
      <c r="P1253" s="141" t="str">
        <f>INDEX(Tableau5[Description],MATCH(Tableau3[[#This Row],[ID-SIG]],Tableau5[ID],0))</f>
        <v>Commande</v>
      </c>
      <c r="Q1253" s="99"/>
      <c r="R1253" s="142" t="str">
        <f>Tableau3[[#This Row],[Description]]</f>
        <v>Commande</v>
      </c>
      <c r="U1253" s="87">
        <v>9</v>
      </c>
      <c r="V1253" s="87">
        <v>1</v>
      </c>
      <c r="W1253" s="87">
        <v>4</v>
      </c>
      <c r="X1253" s="87">
        <v>3</v>
      </c>
      <c r="Y1253" s="41"/>
      <c r="Z1253" s="165" t="str">
        <f>INDEX(Tableau2[TS],MATCH(Tableau3[[#This Row],[ID-CARTEVOIE]],Tableau2[ID-CARTEVOIE],0))</f>
        <v>ST</v>
      </c>
      <c r="AA1253" s="144" t="s">
        <v>213</v>
      </c>
      <c r="AB1253" s="224" t="str">
        <f>IFERROR(INDEX(Tableau5[Reserve],MATCH(Tableau3[[#This Row],[ID-SIG]],Tableau5[ID],0))&amp;"","")</f>
        <v/>
      </c>
      <c r="AC1253" s="119"/>
      <c r="AD1253" s="120" t="str">
        <f>INDEX(Tableau7[Repere],MATCH(Tableau3[[#This Row],[ID-API]],Tableau7[ID-API],0))&amp;""</f>
        <v>A9</v>
      </c>
      <c r="AE1253" s="120" t="str">
        <f>INDEX(Tableau1[Repere-Rack],MATCH(Tableau3[[#This Row],[ID-RACK]],Tableau1[ID-RACK],0))&amp;""</f>
        <v>R1</v>
      </c>
      <c r="AF1253" s="120" t="str">
        <f>INDEX(Tableau1[Repere-Slot],MATCH(Tableau3[[#This Row],[ID-SLOT]],Tableau1[ID-SLOT],0))&amp;""</f>
        <v>S4</v>
      </c>
      <c r="AG1253" s="120" t="str">
        <f>INDEX(Tableau2[Repere-Voie],MATCH(Tableau3[[#This Row],[ID-VOIE]],Tableau2[ID-Voie],0))&amp;""</f>
        <v>v3</v>
      </c>
      <c r="AH1253" s="122" t="str">
        <f>Tableau3[[#This Row],[ID-API]]&amp; "." &amp;Tableau3[[#This Row],[ID-RACK]]&amp; "." &amp;Tableau3[[#This Row],[ID-SLOT]]</f>
        <v>9.1.4</v>
      </c>
      <c r="AI1253" s="72" t="str">
        <f>INDEX(Tableau1[Ref-Carte],MATCH(Tableau3[[#This Row],[ID-RRS]],Tableau1[ID-RRS],0))</f>
        <v>DRA0815</v>
      </c>
      <c r="AJ1253" s="72" t="str">
        <f t="array" ref="AJ1253">IFERROR(INDEX(Tableau2[TS],MATCH(1,(Tableau2[Ref-Carte]=Tableau3[[#This Row],[Ref-Carte2]])*(Tableau2[ID-Voie]=Tableau3[[#This Row],[ID-VOIE]]),0)),"")</f>
        <v>ST</v>
      </c>
      <c r="AK1253" s="72" t="str">
        <f>IFERROR(INDEX(Tableau2[TS],SUMPRODUCT((Tableau2[Ref-Carte]=Tableau3[[#This Row],[Ref-Carte2]])*(Tableau2[ID-Voie]=Tableau3[[#This Row],[ID-VOIE]])*ROW(Tableau2[TS]))-ROW(Tableau2[#Headers])),"")</f>
        <v>ST</v>
      </c>
      <c r="AL1253" s="122" t="str">
        <f>Tableau3[[#This Row],[Ref-Carte2]]&amp;"/"&amp;Tableau3[[#This Row],[ID-VOIE]]</f>
        <v>DRA0815/3</v>
      </c>
      <c r="AM1253" s="145" t="str">
        <f>INDEX(Tableau2[Borne],MATCH(Tableau3[[#This Row],[ID-CARTEVOIE]],Tableau2[ID-CARTEVOIE],0))&amp;""</f>
        <v>3</v>
      </c>
      <c r="AN1253" s="124" t="str">
        <f>Tableau3[[#This Row],[ID-API]]&amp;Tableau3[[#This Row],[ID-RACK]]&amp;Tableau3[[#This Row],[ID-SLOT]]&amp;Tableau3[[#This Row],[BORNE]]</f>
        <v>9143</v>
      </c>
      <c r="AO1253" s="125"/>
    </row>
    <row r="1254" spans="1:41" ht="20.100000000000001" customHeight="1" thickTop="1" thickBot="1">
      <c r="A1254" s="134"/>
      <c r="B1254" s="135" t="str">
        <f>IFERROR(INDEX(Tableau4[Date],MATCH($A1254,Tableau4[EVO],0)),"")</f>
        <v/>
      </c>
      <c r="C1254" s="136" t="str">
        <f>IFERROR(INDEX(Tableau4[Designation],MATCH($A1254,Tableau4[EVO],0)),"")</f>
        <v/>
      </c>
      <c r="D1254" s="134"/>
      <c r="E1254" s="137">
        <v>300</v>
      </c>
      <c r="F1254" s="138">
        <v>99</v>
      </c>
      <c r="G1254" s="139" t="str">
        <f>INDEX(Tableau8[Att1],MATCH(Tableau3[[#This Row],[ID-INS]],Tableau8[ID],0))&amp;""</f>
        <v/>
      </c>
      <c r="H1254" s="139" t="str">
        <f>INDEX(Tableau8[Att2],MATCH(Tableau3[[#This Row],[ID-INS]],Tableau8[ID],0))&amp;""</f>
        <v>TEA21</v>
      </c>
      <c r="I1254" s="139" t="str">
        <f>INDEX(Tableau8[Att3],MATCH(Tableau3[[#This Row],[ID-INS]],Tableau8[ID],0))&amp;""</f>
        <v>Ouverture coffret P10</v>
      </c>
      <c r="J1254" s="101"/>
      <c r="K1254" s="167" t="str">
        <f>INDEX(Tableau8[Nom du modele],MATCH(Tableau3[[#This Row],[ID-INS]],Tableau8[ID],0))&amp;""</f>
        <v>TEA</v>
      </c>
      <c r="L1254" s="141" t="str">
        <f>INDEX(Tableau5[Att1],MATCH(Tableau3[[#This Row],[ID-SIG]],Tableau5[ID],0))&amp;""</f>
        <v>Info</v>
      </c>
      <c r="M1254" s="141" t="str">
        <f>INDEX(Tableau5[Att2],MATCH(Tableau3[[#This Row],[ID-SIG]],Tableau5[ID],0))&amp;""</f>
        <v/>
      </c>
      <c r="N1254" s="141" t="str">
        <f>INDEX(Tableau5[Att3],MATCH(Tableau3[[#This Row],[ID-SIG]],Tableau5[ID],0))&amp;""</f>
        <v/>
      </c>
      <c r="O1254" s="99"/>
      <c r="P1254" s="141" t="str">
        <f>INDEX(Tableau5[Description],MATCH(Tableau3[[#This Row],[ID-SIG]],Tableau5[ID],0))</f>
        <v>Commande</v>
      </c>
      <c r="Q1254" s="99"/>
      <c r="R1254" s="142" t="str">
        <f>Tableau3[[#This Row],[Description]]</f>
        <v>Commande</v>
      </c>
      <c r="U1254" s="87">
        <v>9</v>
      </c>
      <c r="V1254" s="87">
        <v>1</v>
      </c>
      <c r="W1254" s="87">
        <v>4</v>
      </c>
      <c r="X1254" s="87">
        <v>4</v>
      </c>
      <c r="Y1254" s="41"/>
      <c r="Z1254" s="165" t="str">
        <f>INDEX(Tableau2[TS],MATCH(Tableau3[[#This Row],[ID-CARTEVOIE]],Tableau2[ID-CARTEVOIE],0))</f>
        <v>ST</v>
      </c>
      <c r="AA1254" s="144" t="s">
        <v>213</v>
      </c>
      <c r="AB1254" s="224" t="str">
        <f>IFERROR(INDEX(Tableau5[Reserve],MATCH(Tableau3[[#This Row],[ID-SIG]],Tableau5[ID],0))&amp;"","")</f>
        <v/>
      </c>
      <c r="AC1254" s="119"/>
      <c r="AD1254" s="120" t="str">
        <f>INDEX(Tableau7[Repere],MATCH(Tableau3[[#This Row],[ID-API]],Tableau7[ID-API],0))&amp;""</f>
        <v>A9</v>
      </c>
      <c r="AE1254" s="120" t="str">
        <f>INDEX(Tableau1[Repere-Rack],MATCH(Tableau3[[#This Row],[ID-RACK]],Tableau1[ID-RACK],0))&amp;""</f>
        <v>R1</v>
      </c>
      <c r="AF1254" s="120" t="str">
        <f>INDEX(Tableau1[Repere-Slot],MATCH(Tableau3[[#This Row],[ID-SLOT]],Tableau1[ID-SLOT],0))&amp;""</f>
        <v>S4</v>
      </c>
      <c r="AG1254" s="120" t="str">
        <f>INDEX(Tableau2[Repere-Voie],MATCH(Tableau3[[#This Row],[ID-VOIE]],Tableau2[ID-Voie],0))&amp;""</f>
        <v>v4</v>
      </c>
      <c r="AH1254" s="122" t="str">
        <f>Tableau3[[#This Row],[ID-API]]&amp; "." &amp;Tableau3[[#This Row],[ID-RACK]]&amp; "." &amp;Tableau3[[#This Row],[ID-SLOT]]</f>
        <v>9.1.4</v>
      </c>
      <c r="AI1254" s="72" t="str">
        <f>INDEX(Tableau1[Ref-Carte],MATCH(Tableau3[[#This Row],[ID-RRS]],Tableau1[ID-RRS],0))</f>
        <v>DRA0815</v>
      </c>
      <c r="AJ1254" s="72" t="str">
        <f t="array" ref="AJ1254">IFERROR(INDEX(Tableau2[TS],MATCH(1,(Tableau2[Ref-Carte]=Tableau3[[#This Row],[Ref-Carte2]])*(Tableau2[ID-Voie]=Tableau3[[#This Row],[ID-VOIE]]),0)),"")</f>
        <v>ST</v>
      </c>
      <c r="AK1254" s="72" t="str">
        <f>IFERROR(INDEX(Tableau2[TS],SUMPRODUCT((Tableau2[Ref-Carte]=Tableau3[[#This Row],[Ref-Carte2]])*(Tableau2[ID-Voie]=Tableau3[[#This Row],[ID-VOIE]])*ROW(Tableau2[TS]))-ROW(Tableau2[#Headers])),"")</f>
        <v>ST</v>
      </c>
      <c r="AL1254" s="122" t="str">
        <f>Tableau3[[#This Row],[Ref-Carte2]]&amp;"/"&amp;Tableau3[[#This Row],[ID-VOIE]]</f>
        <v>DRA0815/4</v>
      </c>
      <c r="AM1254" s="145" t="str">
        <f>INDEX(Tableau2[Borne],MATCH(Tableau3[[#This Row],[ID-CARTEVOIE]],Tableau2[ID-CARTEVOIE],0))&amp;""</f>
        <v>4</v>
      </c>
      <c r="AN1254" s="124" t="str">
        <f>Tableau3[[#This Row],[ID-API]]&amp;Tableau3[[#This Row],[ID-RACK]]&amp;Tableau3[[#This Row],[ID-SLOT]]&amp;Tableau3[[#This Row],[BORNE]]</f>
        <v>9144</v>
      </c>
      <c r="AO1254" s="125"/>
    </row>
    <row r="1255" spans="1:41" ht="20.100000000000001" customHeight="1" thickTop="1" thickBot="1">
      <c r="A1255" s="134"/>
      <c r="B1255" s="135" t="str">
        <f>IFERROR(INDEX(Tableau4[Date],MATCH($A1255,Tableau4[EVO],0)),"")</f>
        <v/>
      </c>
      <c r="C1255" s="136" t="str">
        <f>IFERROR(INDEX(Tableau4[Designation],MATCH($A1255,Tableau4[EVO],0)),"")</f>
        <v/>
      </c>
      <c r="D1255" s="134"/>
      <c r="E1255" s="137">
        <v>301</v>
      </c>
      <c r="F1255" s="138">
        <v>99</v>
      </c>
      <c r="G1255" s="139" t="str">
        <f>INDEX(Tableau8[Att1],MATCH(Tableau3[[#This Row],[ID-INS]],Tableau8[ID],0))&amp;""</f>
        <v/>
      </c>
      <c r="H1255" s="139" t="str">
        <f>INDEX(Tableau8[Att2],MATCH(Tableau3[[#This Row],[ID-INS]],Tableau8[ID],0))&amp;""</f>
        <v>TEA22</v>
      </c>
      <c r="I1255" s="139" t="str">
        <f>INDEX(Tableau8[Att3],MATCH(Tableau3[[#This Row],[ID-INS]],Tableau8[ID],0))&amp;""</f>
        <v>P4 non fermé</v>
      </c>
      <c r="J1255" s="101"/>
      <c r="K1255" s="167" t="str">
        <f>INDEX(Tableau8[Nom du modele],MATCH(Tableau3[[#This Row],[ID-INS]],Tableau8[ID],0))&amp;""</f>
        <v>TEA</v>
      </c>
      <c r="L1255" s="141" t="str">
        <f>INDEX(Tableau5[Att1],MATCH(Tableau3[[#This Row],[ID-SIG]],Tableau5[ID],0))&amp;""</f>
        <v>Info</v>
      </c>
      <c r="M1255" s="141" t="str">
        <f>INDEX(Tableau5[Att2],MATCH(Tableau3[[#This Row],[ID-SIG]],Tableau5[ID],0))&amp;""</f>
        <v/>
      </c>
      <c r="N1255" s="141" t="str">
        <f>INDEX(Tableau5[Att3],MATCH(Tableau3[[#This Row],[ID-SIG]],Tableau5[ID],0))&amp;""</f>
        <v/>
      </c>
      <c r="O1255" s="99"/>
      <c r="P1255" s="141" t="str">
        <f>INDEX(Tableau5[Description],MATCH(Tableau3[[#This Row],[ID-SIG]],Tableau5[ID],0))</f>
        <v>Commande</v>
      </c>
      <c r="Q1255" s="99"/>
      <c r="R1255" s="142" t="str">
        <f>Tableau3[[#This Row],[Description]]</f>
        <v>Commande</v>
      </c>
      <c r="U1255" s="87">
        <v>9</v>
      </c>
      <c r="V1255" s="87">
        <v>1</v>
      </c>
      <c r="W1255" s="87">
        <v>4</v>
      </c>
      <c r="X1255" s="87">
        <v>5</v>
      </c>
      <c r="Y1255" s="41"/>
      <c r="Z1255" s="165" t="str">
        <f>INDEX(Tableau2[TS],MATCH(Tableau3[[#This Row],[ID-CARTEVOIE]],Tableau2[ID-CARTEVOIE],0))</f>
        <v>ST</v>
      </c>
      <c r="AA1255" s="144" t="s">
        <v>213</v>
      </c>
      <c r="AB1255" s="224" t="str">
        <f>IFERROR(INDEX(Tableau5[Reserve],MATCH(Tableau3[[#This Row],[ID-SIG]],Tableau5[ID],0))&amp;"","")</f>
        <v/>
      </c>
      <c r="AC1255" s="119"/>
      <c r="AD1255" s="120" t="str">
        <f>INDEX(Tableau7[Repere],MATCH(Tableau3[[#This Row],[ID-API]],Tableau7[ID-API],0))&amp;""</f>
        <v>A9</v>
      </c>
      <c r="AE1255" s="120" t="str">
        <f>INDEX(Tableau1[Repere-Rack],MATCH(Tableau3[[#This Row],[ID-RACK]],Tableau1[ID-RACK],0))&amp;""</f>
        <v>R1</v>
      </c>
      <c r="AF1255" s="120" t="str">
        <f>INDEX(Tableau1[Repere-Slot],MATCH(Tableau3[[#This Row],[ID-SLOT]],Tableau1[ID-SLOT],0))&amp;""</f>
        <v>S4</v>
      </c>
      <c r="AG1255" s="120" t="str">
        <f>INDEX(Tableau2[Repere-Voie],MATCH(Tableau3[[#This Row],[ID-VOIE]],Tableau2[ID-Voie],0))&amp;""</f>
        <v>v5</v>
      </c>
      <c r="AH1255" s="122" t="str">
        <f>Tableau3[[#This Row],[ID-API]]&amp; "." &amp;Tableau3[[#This Row],[ID-RACK]]&amp; "." &amp;Tableau3[[#This Row],[ID-SLOT]]</f>
        <v>9.1.4</v>
      </c>
      <c r="AI1255" s="72" t="str">
        <f>INDEX(Tableau1[Ref-Carte],MATCH(Tableau3[[#This Row],[ID-RRS]],Tableau1[ID-RRS],0))</f>
        <v>DRA0815</v>
      </c>
      <c r="AJ1255" s="72" t="str">
        <f t="array" ref="AJ1255">IFERROR(INDEX(Tableau2[TS],MATCH(1,(Tableau2[Ref-Carte]=Tableau3[[#This Row],[Ref-Carte2]])*(Tableau2[ID-Voie]=Tableau3[[#This Row],[ID-VOIE]]),0)),"")</f>
        <v>ST</v>
      </c>
      <c r="AK1255" s="72" t="str">
        <f>IFERROR(INDEX(Tableau2[TS],SUMPRODUCT((Tableau2[Ref-Carte]=Tableau3[[#This Row],[Ref-Carte2]])*(Tableau2[ID-Voie]=Tableau3[[#This Row],[ID-VOIE]])*ROW(Tableau2[TS]))-ROW(Tableau2[#Headers])),"")</f>
        <v>ST</v>
      </c>
      <c r="AL1255" s="122" t="str">
        <f>Tableau3[[#This Row],[Ref-Carte2]]&amp;"/"&amp;Tableau3[[#This Row],[ID-VOIE]]</f>
        <v>DRA0815/5</v>
      </c>
      <c r="AM1255" s="145" t="str">
        <f>INDEX(Tableau2[Borne],MATCH(Tableau3[[#This Row],[ID-CARTEVOIE]],Tableau2[ID-CARTEVOIE],0))&amp;""</f>
        <v>5</v>
      </c>
      <c r="AN1255" s="124" t="str">
        <f>Tableau3[[#This Row],[ID-API]]&amp;Tableau3[[#This Row],[ID-RACK]]&amp;Tableau3[[#This Row],[ID-SLOT]]&amp;Tableau3[[#This Row],[BORNE]]</f>
        <v>9145</v>
      </c>
      <c r="AO1255" s="125"/>
    </row>
    <row r="1256" spans="1:41" ht="20.100000000000001" customHeight="1" thickTop="1" thickBot="1">
      <c r="A1256" s="68"/>
      <c r="B1256" s="69" t="str">
        <f>IFERROR(INDEX(Tableau4[Date],MATCH($A1256,Tableau4[EVO],0)),"")</f>
        <v/>
      </c>
      <c r="C1256" s="68" t="str">
        <f>IFERROR(INDEX(Tableau4[Designation],MATCH($A1256,Tableau4[EVO],0)),"")</f>
        <v/>
      </c>
      <c r="D1256" s="68"/>
      <c r="E1256" s="70">
        <v>302</v>
      </c>
      <c r="F1256" s="71">
        <v>99</v>
      </c>
      <c r="G1256" s="101" t="str">
        <f>INDEX(Tableau8[Att1],MATCH(Tableau3[[#This Row],[ID-INS]],Tableau8[ID],0))&amp;""</f>
        <v/>
      </c>
      <c r="H1256" s="101" t="str">
        <f>INDEX(Tableau8[Att2],MATCH(Tableau3[[#This Row],[ID-INS]],Tableau8[ID],0))&amp;""</f>
        <v>TEA23</v>
      </c>
      <c r="I1256" s="101" t="str">
        <f>INDEX(Tableau8[Att3],MATCH(Tableau3[[#This Row],[ID-INS]],Tableau8[ID],0))&amp;""</f>
        <v>Ouverture coffret P4</v>
      </c>
      <c r="J1256" s="101"/>
      <c r="K1256" s="167" t="str">
        <f>INDEX(Tableau8[Nom du modele],MATCH(Tableau3[[#This Row],[ID-INS]],Tableau8[ID],0))&amp;""</f>
        <v>TEA</v>
      </c>
      <c r="L1256" s="99" t="str">
        <f>INDEX(Tableau5[Att1],MATCH(Tableau3[[#This Row],[ID-SIG]],Tableau5[ID],0))&amp;""</f>
        <v>Info</v>
      </c>
      <c r="M1256" s="99" t="str">
        <f>INDEX(Tableau5[Att2],MATCH(Tableau3[[#This Row],[ID-SIG]],Tableau5[ID],0))&amp;""</f>
        <v/>
      </c>
      <c r="N1256" s="99" t="str">
        <f>INDEX(Tableau5[Att3],MATCH(Tableau3[[#This Row],[ID-SIG]],Tableau5[ID],0))&amp;""</f>
        <v/>
      </c>
      <c r="O1256" s="99"/>
      <c r="P1256" s="99" t="str">
        <f>INDEX(Tableau5[Description],MATCH(Tableau3[[#This Row],[ID-SIG]],Tableau5[ID],0))</f>
        <v>Commande</v>
      </c>
      <c r="Q1256" s="99"/>
      <c r="R1256" s="103" t="str">
        <f>Tableau3[[#This Row],[Description]]</f>
        <v>Commande</v>
      </c>
      <c r="U1256" s="87">
        <v>9</v>
      </c>
      <c r="V1256" s="87">
        <v>1</v>
      </c>
      <c r="W1256" s="87">
        <v>4</v>
      </c>
      <c r="X1256" s="87">
        <v>6</v>
      </c>
      <c r="Y1256" s="41"/>
      <c r="Z1256" s="165" t="str">
        <f>INDEX(Tableau2[TS],MATCH(Tableau3[[#This Row],[ID-CARTEVOIE]],Tableau2[ID-CARTEVOIE],0))</f>
        <v>ST</v>
      </c>
      <c r="AA1256" s="53" t="s">
        <v>213</v>
      </c>
      <c r="AB1256" s="223" t="str">
        <f>IFERROR(INDEX(Tableau5[Reserve],MATCH(Tableau3[[#This Row],[ID-SIG]],Tableau5[ID],0))&amp;"","")</f>
        <v/>
      </c>
      <c r="AC1256" s="21"/>
      <c r="AD1256" s="108" t="str">
        <f>INDEX(Tableau7[Repere],MATCH(Tableau3[[#This Row],[ID-API]],Tableau7[ID-API],0))&amp;""</f>
        <v>A9</v>
      </c>
      <c r="AE1256" s="108" t="str">
        <f>INDEX(Tableau1[Repere-Rack],MATCH(Tableau3[[#This Row],[ID-RACK]],Tableau1[ID-RACK],0))&amp;""</f>
        <v>R1</v>
      </c>
      <c r="AF1256" s="108" t="str">
        <f>INDEX(Tableau1[Repere-Slot],MATCH(Tableau3[[#This Row],[ID-SLOT]],Tableau1[ID-SLOT],0))&amp;""</f>
        <v>S4</v>
      </c>
      <c r="AG1256" s="108" t="str">
        <f>INDEX(Tableau2[Repere-Voie],MATCH(Tableau3[[#This Row],[ID-VOIE]],Tableau2[ID-Voie],0))&amp;""</f>
        <v>v6</v>
      </c>
      <c r="AH1256" s="72" t="str">
        <f>Tableau3[[#This Row],[ID-API]]&amp; "." &amp;Tableau3[[#This Row],[ID-RACK]]&amp; "." &amp;Tableau3[[#This Row],[ID-SLOT]]</f>
        <v>9.1.4</v>
      </c>
      <c r="AI1256" s="72" t="str">
        <f>INDEX(Tableau1[Ref-Carte],MATCH(Tableau3[[#This Row],[ID-RRS]],Tableau1[ID-RRS],0))</f>
        <v>DRA0815</v>
      </c>
      <c r="AJ1256" s="72" t="str">
        <f t="array" ref="AJ1256">IFERROR(INDEX(Tableau2[TS],MATCH(1,(Tableau2[Ref-Carte]=Tableau3[[#This Row],[Ref-Carte2]])*(Tableau2[ID-Voie]=Tableau3[[#This Row],[ID-VOIE]]),0)),"")</f>
        <v>ST</v>
      </c>
      <c r="AK1256" s="72" t="str">
        <f>IFERROR(INDEX(Tableau2[TS],SUMPRODUCT((Tableau2[Ref-Carte]=Tableau3[[#This Row],[Ref-Carte2]])*(Tableau2[ID-Voie]=Tableau3[[#This Row],[ID-VOIE]])*ROW(Tableau2[TS]))-ROW(Tableau2[#Headers])),"")</f>
        <v>ST</v>
      </c>
      <c r="AL1256" s="72" t="str">
        <f>Tableau3[[#This Row],[Ref-Carte2]]&amp;"/"&amp;Tableau3[[#This Row],[ID-VOIE]]</f>
        <v>DRA0815/6</v>
      </c>
      <c r="AM1256" s="73" t="str">
        <f>INDEX(Tableau2[Borne],MATCH(Tableau3[[#This Row],[ID-CARTEVOIE]],Tableau2[ID-CARTEVOIE],0))&amp;""</f>
        <v>6</v>
      </c>
      <c r="AN1256" s="74" t="str">
        <f>Tableau3[[#This Row],[ID-API]]&amp;Tableau3[[#This Row],[ID-RACK]]&amp;Tableau3[[#This Row],[ID-SLOT]]&amp;Tableau3[[#This Row],[BORNE]]</f>
        <v>9146</v>
      </c>
      <c r="AO1256" s="1"/>
    </row>
    <row r="1257" spans="1:41" ht="20.100000000000001" customHeight="1" thickTop="1" thickBot="1">
      <c r="A1257" s="68"/>
      <c r="B1257" s="69" t="str">
        <f>IFERROR(INDEX(Tableau4[Date],MATCH($A1257,Tableau4[EVO],0)),"")</f>
        <v/>
      </c>
      <c r="C1257" s="68" t="str">
        <f>IFERROR(INDEX(Tableau4[Designation],MATCH($A1257,Tableau4[EVO],0)),"")</f>
        <v/>
      </c>
      <c r="D1257" s="68"/>
      <c r="E1257" s="70">
        <v>303</v>
      </c>
      <c r="F1257" s="71">
        <v>99</v>
      </c>
      <c r="G1257" s="101" t="str">
        <f>INDEX(Tableau8[Att1],MATCH(Tableau3[[#This Row],[ID-INS]],Tableau8[ID],0))&amp;""</f>
        <v/>
      </c>
      <c r="H1257" s="101" t="str">
        <f>INDEX(Tableau8[Att2],MATCH(Tableau3[[#This Row],[ID-INS]],Tableau8[ID],0))&amp;""</f>
        <v>TEA24</v>
      </c>
      <c r="I1257" s="101" t="str">
        <f>INDEX(Tableau8[Att3],MATCH(Tableau3[[#This Row],[ID-INS]],Tableau8[ID],0))&amp;""</f>
        <v>P5 non fermé</v>
      </c>
      <c r="J1257" s="101"/>
      <c r="K1257" s="167" t="str">
        <f>INDEX(Tableau8[Nom du modele],MATCH(Tableau3[[#This Row],[ID-INS]],Tableau8[ID],0))&amp;""</f>
        <v>TEA</v>
      </c>
      <c r="L1257" s="99" t="str">
        <f>INDEX(Tableau5[Att1],MATCH(Tableau3[[#This Row],[ID-SIG]],Tableau5[ID],0))&amp;""</f>
        <v>Info</v>
      </c>
      <c r="M1257" s="99" t="str">
        <f>INDEX(Tableau5[Att2],MATCH(Tableau3[[#This Row],[ID-SIG]],Tableau5[ID],0))&amp;""</f>
        <v/>
      </c>
      <c r="N1257" s="99" t="str">
        <f>INDEX(Tableau5[Att3],MATCH(Tableau3[[#This Row],[ID-SIG]],Tableau5[ID],0))&amp;""</f>
        <v/>
      </c>
      <c r="O1257" s="99"/>
      <c r="P1257" s="99" t="str">
        <f>INDEX(Tableau5[Description],MATCH(Tableau3[[#This Row],[ID-SIG]],Tableau5[ID],0))</f>
        <v>Commande</v>
      </c>
      <c r="Q1257" s="99"/>
      <c r="R1257" s="103" t="str">
        <f>Tableau3[[#This Row],[Description]]</f>
        <v>Commande</v>
      </c>
      <c r="U1257" s="87">
        <v>9</v>
      </c>
      <c r="V1257" s="87">
        <v>1</v>
      </c>
      <c r="W1257" s="87">
        <v>4</v>
      </c>
      <c r="X1257" s="87">
        <v>7</v>
      </c>
      <c r="Y1257" s="41"/>
      <c r="Z1257" s="165" t="str">
        <f>INDEX(Tableau2[TS],MATCH(Tableau3[[#This Row],[ID-CARTEVOIE]],Tableau2[ID-CARTEVOIE],0))</f>
        <v>ST</v>
      </c>
      <c r="AA1257" s="53" t="s">
        <v>213</v>
      </c>
      <c r="AB1257" s="223" t="str">
        <f>IFERROR(INDEX(Tableau5[Reserve],MATCH(Tableau3[[#This Row],[ID-SIG]],Tableau5[ID],0))&amp;"","")</f>
        <v/>
      </c>
      <c r="AC1257" s="21"/>
      <c r="AD1257" s="108" t="str">
        <f>INDEX(Tableau7[Repere],MATCH(Tableau3[[#This Row],[ID-API]],Tableau7[ID-API],0))&amp;""</f>
        <v>A9</v>
      </c>
      <c r="AE1257" s="108" t="str">
        <f>INDEX(Tableau1[Repere-Rack],MATCH(Tableau3[[#This Row],[ID-RACK]],Tableau1[ID-RACK],0))&amp;""</f>
        <v>R1</v>
      </c>
      <c r="AF1257" s="108" t="str">
        <f>INDEX(Tableau1[Repere-Slot],MATCH(Tableau3[[#This Row],[ID-SLOT]],Tableau1[ID-SLOT],0))&amp;""</f>
        <v>S4</v>
      </c>
      <c r="AG1257" s="108" t="str">
        <f>INDEX(Tableau2[Repere-Voie],MATCH(Tableau3[[#This Row],[ID-VOIE]],Tableau2[ID-Voie],0))&amp;""</f>
        <v>v7</v>
      </c>
      <c r="AH1257" s="72" t="str">
        <f>Tableau3[[#This Row],[ID-API]]&amp; "." &amp;Tableau3[[#This Row],[ID-RACK]]&amp; "." &amp;Tableau3[[#This Row],[ID-SLOT]]</f>
        <v>9.1.4</v>
      </c>
      <c r="AI1257" s="72" t="str">
        <f>INDEX(Tableau1[Ref-Carte],MATCH(Tableau3[[#This Row],[ID-RRS]],Tableau1[ID-RRS],0))</f>
        <v>DRA0815</v>
      </c>
      <c r="AJ1257" s="72" t="str">
        <f t="array" ref="AJ1257">IFERROR(INDEX(Tableau2[TS],MATCH(1,(Tableau2[Ref-Carte]=Tableau3[[#This Row],[Ref-Carte2]])*(Tableau2[ID-Voie]=Tableau3[[#This Row],[ID-VOIE]]),0)),"")</f>
        <v>ST</v>
      </c>
      <c r="AK1257" s="72" t="str">
        <f>IFERROR(INDEX(Tableau2[TS],SUMPRODUCT((Tableau2[Ref-Carte]=Tableau3[[#This Row],[Ref-Carte2]])*(Tableau2[ID-Voie]=Tableau3[[#This Row],[ID-VOIE]])*ROW(Tableau2[TS]))-ROW(Tableau2[#Headers])),"")</f>
        <v>ST</v>
      </c>
      <c r="AL1257" s="72" t="str">
        <f>Tableau3[[#This Row],[Ref-Carte2]]&amp;"/"&amp;Tableau3[[#This Row],[ID-VOIE]]</f>
        <v>DRA0815/7</v>
      </c>
      <c r="AM1257" s="73" t="str">
        <f>INDEX(Tableau2[Borne],MATCH(Tableau3[[#This Row],[ID-CARTEVOIE]],Tableau2[ID-CARTEVOIE],0))&amp;""</f>
        <v>7</v>
      </c>
      <c r="AN1257" s="74" t="str">
        <f>Tableau3[[#This Row],[ID-API]]&amp;Tableau3[[#This Row],[ID-RACK]]&amp;Tableau3[[#This Row],[ID-SLOT]]&amp;Tableau3[[#This Row],[BORNE]]</f>
        <v>9147</v>
      </c>
      <c r="AO1257" s="1"/>
    </row>
    <row r="1258" spans="1:41" ht="20.100000000000001" customHeight="1" thickTop="1" thickBot="1">
      <c r="A1258" s="68"/>
      <c r="B1258" s="69" t="str">
        <f>IFERROR(INDEX(Tableau4[Date],MATCH($A1258,Tableau4[EVO],0)),"")</f>
        <v/>
      </c>
      <c r="C1258" s="68" t="str">
        <f>IFERROR(INDEX(Tableau4[Designation],MATCH($A1258,Tableau4[EVO],0)),"")</f>
        <v/>
      </c>
      <c r="D1258" s="68"/>
      <c r="E1258" s="70">
        <v>304</v>
      </c>
      <c r="F1258" s="71">
        <v>99</v>
      </c>
      <c r="G1258" s="101" t="str">
        <f>INDEX(Tableau8[Att1],MATCH(Tableau3[[#This Row],[ID-INS]],Tableau8[ID],0))&amp;""</f>
        <v/>
      </c>
      <c r="H1258" s="101" t="str">
        <f>INDEX(Tableau8[Att2],MATCH(Tableau3[[#This Row],[ID-INS]],Tableau8[ID],0))&amp;""</f>
        <v>TEA25</v>
      </c>
      <c r="I1258" s="101" t="str">
        <f>INDEX(Tableau8[Att3],MATCH(Tableau3[[#This Row],[ID-INS]],Tableau8[ID],0))&amp;""</f>
        <v>Ouverture coffret P5</v>
      </c>
      <c r="J1258" s="101"/>
      <c r="K1258" s="167" t="str">
        <f>INDEX(Tableau8[Nom du modele],MATCH(Tableau3[[#This Row],[ID-INS]],Tableau8[ID],0))&amp;""</f>
        <v>TEA</v>
      </c>
      <c r="L1258" s="99" t="str">
        <f>INDEX(Tableau5[Att1],MATCH(Tableau3[[#This Row],[ID-SIG]],Tableau5[ID],0))&amp;""</f>
        <v>Info</v>
      </c>
      <c r="M1258" s="99" t="str">
        <f>INDEX(Tableau5[Att2],MATCH(Tableau3[[#This Row],[ID-SIG]],Tableau5[ID],0))&amp;""</f>
        <v/>
      </c>
      <c r="N1258" s="99" t="str">
        <f>INDEX(Tableau5[Att3],MATCH(Tableau3[[#This Row],[ID-SIG]],Tableau5[ID],0))&amp;""</f>
        <v/>
      </c>
      <c r="O1258" s="99"/>
      <c r="P1258" s="99" t="str">
        <f>INDEX(Tableau5[Description],MATCH(Tableau3[[#This Row],[ID-SIG]],Tableau5[ID],0))</f>
        <v>Commande</v>
      </c>
      <c r="Q1258" s="99"/>
      <c r="R1258" s="103" t="str">
        <f>Tableau3[[#This Row],[Description]]</f>
        <v>Commande</v>
      </c>
      <c r="U1258" s="87">
        <v>9</v>
      </c>
      <c r="V1258" s="87">
        <v>1</v>
      </c>
      <c r="W1258" s="87">
        <v>5</v>
      </c>
      <c r="X1258" s="87">
        <v>0</v>
      </c>
      <c r="Y1258" s="41"/>
      <c r="Z1258" s="165" t="str">
        <f>INDEX(Tableau2[TS],MATCH(Tableau3[[#This Row],[ID-CARTEVOIE]],Tableau2[ID-CARTEVOIE],0))</f>
        <v>ST</v>
      </c>
      <c r="AA1258" s="53" t="s">
        <v>213</v>
      </c>
      <c r="AB1258" s="223" t="str">
        <f>IFERROR(INDEX(Tableau5[Reserve],MATCH(Tableau3[[#This Row],[ID-SIG]],Tableau5[ID],0))&amp;"","")</f>
        <v/>
      </c>
      <c r="AC1258" s="21"/>
      <c r="AD1258" s="108" t="str">
        <f>INDEX(Tableau7[Repere],MATCH(Tableau3[[#This Row],[ID-API]],Tableau7[ID-API],0))&amp;""</f>
        <v>A9</v>
      </c>
      <c r="AE1258" s="108" t="str">
        <f>INDEX(Tableau1[Repere-Rack],MATCH(Tableau3[[#This Row],[ID-RACK]],Tableau1[ID-RACK],0))&amp;""</f>
        <v>R1</v>
      </c>
      <c r="AF1258" s="108" t="str">
        <f>INDEX(Tableau1[Repere-Slot],MATCH(Tableau3[[#This Row],[ID-SLOT]],Tableau1[ID-SLOT],0))&amp;""</f>
        <v>S5</v>
      </c>
      <c r="AG1258" s="108" t="str">
        <f>INDEX(Tableau2[Repere-Voie],MATCH(Tableau3[[#This Row],[ID-VOIE]],Tableau2[ID-Voie],0))&amp;""</f>
        <v>v0</v>
      </c>
      <c r="AH1258" s="72" t="str">
        <f>Tableau3[[#This Row],[ID-API]]&amp; "." &amp;Tableau3[[#This Row],[ID-RACK]]&amp; "." &amp;Tableau3[[#This Row],[ID-SLOT]]</f>
        <v>9.1.5</v>
      </c>
      <c r="AI1258" s="72" t="str">
        <f>INDEX(Tableau1[Ref-Carte],MATCH(Tableau3[[#This Row],[ID-RRS]],Tableau1[ID-RRS],0))</f>
        <v>DRA0815</v>
      </c>
      <c r="AJ1258" s="72" t="str">
        <f t="array" ref="AJ1258">IFERROR(INDEX(Tableau2[TS],MATCH(1,(Tableau2[Ref-Carte]=Tableau3[[#This Row],[Ref-Carte2]])*(Tableau2[ID-Voie]=Tableau3[[#This Row],[ID-VOIE]]),0)),"")</f>
        <v>ST</v>
      </c>
      <c r="AK1258" s="72" t="str">
        <f>IFERROR(INDEX(Tableau2[TS],SUMPRODUCT((Tableau2[Ref-Carte]=Tableau3[[#This Row],[Ref-Carte2]])*(Tableau2[ID-Voie]=Tableau3[[#This Row],[ID-VOIE]])*ROW(Tableau2[TS]))-ROW(Tableau2[#Headers])),"")</f>
        <v>ST</v>
      </c>
      <c r="AL1258" s="72" t="str">
        <f>Tableau3[[#This Row],[Ref-Carte2]]&amp;"/"&amp;Tableau3[[#This Row],[ID-VOIE]]</f>
        <v>DRA0815/0</v>
      </c>
      <c r="AM1258" s="73" t="str">
        <f>INDEX(Tableau2[Borne],MATCH(Tableau3[[#This Row],[ID-CARTEVOIE]],Tableau2[ID-CARTEVOIE],0))&amp;""</f>
        <v>0</v>
      </c>
      <c r="AN1258" s="74" t="str">
        <f>Tableau3[[#This Row],[ID-API]]&amp;Tableau3[[#This Row],[ID-RACK]]&amp;Tableau3[[#This Row],[ID-SLOT]]&amp;Tableau3[[#This Row],[BORNE]]</f>
        <v>9150</v>
      </c>
      <c r="AO1258" s="1"/>
    </row>
    <row r="1259" spans="1:41" ht="20.100000000000001" customHeight="1" thickTop="1" thickBot="1">
      <c r="A1259" s="68"/>
      <c r="B1259" s="69" t="str">
        <f>IFERROR(INDEX(Tableau4[Date],MATCH($A1259,Tableau4[EVO],0)),"")</f>
        <v/>
      </c>
      <c r="C1259" s="68" t="str">
        <f>IFERROR(INDEX(Tableau4[Designation],MATCH($A1259,Tableau4[EVO],0)),"")</f>
        <v/>
      </c>
      <c r="D1259" s="68"/>
      <c r="E1259" s="70">
        <v>305</v>
      </c>
      <c r="F1259" s="71">
        <v>99</v>
      </c>
      <c r="G1259" s="101" t="str">
        <f>INDEX(Tableau8[Att1],MATCH(Tableau3[[#This Row],[ID-INS]],Tableau8[ID],0))&amp;""</f>
        <v/>
      </c>
      <c r="H1259" s="101" t="str">
        <f>INDEX(Tableau8[Att2],MATCH(Tableau3[[#This Row],[ID-INS]],Tableau8[ID],0))&amp;""</f>
        <v>TEA26</v>
      </c>
      <c r="I1259" s="101" t="str">
        <f>INDEX(Tableau8[Att3],MATCH(Tableau3[[#This Row],[ID-INS]],Tableau8[ID],0))&amp;""</f>
        <v>P6 non fermé</v>
      </c>
      <c r="J1259" s="101"/>
      <c r="K1259" s="167" t="str">
        <f>INDEX(Tableau8[Nom du modele],MATCH(Tableau3[[#This Row],[ID-INS]],Tableau8[ID],0))&amp;""</f>
        <v>TEA</v>
      </c>
      <c r="L1259" s="99" t="str">
        <f>INDEX(Tableau5[Att1],MATCH(Tableau3[[#This Row],[ID-SIG]],Tableau5[ID],0))&amp;""</f>
        <v>Info</v>
      </c>
      <c r="M1259" s="99" t="str">
        <f>INDEX(Tableau5[Att2],MATCH(Tableau3[[#This Row],[ID-SIG]],Tableau5[ID],0))&amp;""</f>
        <v/>
      </c>
      <c r="N1259" s="99" t="str">
        <f>INDEX(Tableau5[Att3],MATCH(Tableau3[[#This Row],[ID-SIG]],Tableau5[ID],0))&amp;""</f>
        <v/>
      </c>
      <c r="O1259" s="99"/>
      <c r="P1259" s="99" t="str">
        <f>INDEX(Tableau5[Description],MATCH(Tableau3[[#This Row],[ID-SIG]],Tableau5[ID],0))</f>
        <v>Commande</v>
      </c>
      <c r="Q1259" s="99"/>
      <c r="R1259" s="103" t="str">
        <f>Tableau3[[#This Row],[Description]]</f>
        <v>Commande</v>
      </c>
      <c r="U1259" s="87">
        <v>9</v>
      </c>
      <c r="V1259" s="87">
        <v>1</v>
      </c>
      <c r="W1259" s="87">
        <v>5</v>
      </c>
      <c r="X1259" s="87">
        <v>1</v>
      </c>
      <c r="Y1259" s="41"/>
      <c r="Z1259" s="165" t="str">
        <f>INDEX(Tableau2[TS],MATCH(Tableau3[[#This Row],[ID-CARTEVOIE]],Tableau2[ID-CARTEVOIE],0))</f>
        <v>ST</v>
      </c>
      <c r="AA1259" s="53" t="s">
        <v>213</v>
      </c>
      <c r="AB1259" s="223" t="str">
        <f>IFERROR(INDEX(Tableau5[Reserve],MATCH(Tableau3[[#This Row],[ID-SIG]],Tableau5[ID],0))&amp;"","")</f>
        <v/>
      </c>
      <c r="AC1259" s="21"/>
      <c r="AD1259" s="108" t="str">
        <f>INDEX(Tableau7[Repere],MATCH(Tableau3[[#This Row],[ID-API]],Tableau7[ID-API],0))&amp;""</f>
        <v>A9</v>
      </c>
      <c r="AE1259" s="108" t="str">
        <f>INDEX(Tableau1[Repere-Rack],MATCH(Tableau3[[#This Row],[ID-RACK]],Tableau1[ID-RACK],0))&amp;""</f>
        <v>R1</v>
      </c>
      <c r="AF1259" s="108" t="str">
        <f>INDEX(Tableau1[Repere-Slot],MATCH(Tableau3[[#This Row],[ID-SLOT]],Tableau1[ID-SLOT],0))&amp;""</f>
        <v>S5</v>
      </c>
      <c r="AG1259" s="108" t="str">
        <f>INDEX(Tableau2[Repere-Voie],MATCH(Tableau3[[#This Row],[ID-VOIE]],Tableau2[ID-Voie],0))&amp;""</f>
        <v>v1</v>
      </c>
      <c r="AH1259" s="72" t="str">
        <f>Tableau3[[#This Row],[ID-API]]&amp; "." &amp;Tableau3[[#This Row],[ID-RACK]]&amp; "." &amp;Tableau3[[#This Row],[ID-SLOT]]</f>
        <v>9.1.5</v>
      </c>
      <c r="AI1259" s="72" t="str">
        <f>INDEX(Tableau1[Ref-Carte],MATCH(Tableau3[[#This Row],[ID-RRS]],Tableau1[ID-RRS],0))</f>
        <v>DRA0815</v>
      </c>
      <c r="AJ1259" s="72" t="str">
        <f t="array" ref="AJ1259">IFERROR(INDEX(Tableau2[TS],MATCH(1,(Tableau2[Ref-Carte]=Tableau3[[#This Row],[Ref-Carte2]])*(Tableau2[ID-Voie]=Tableau3[[#This Row],[ID-VOIE]]),0)),"")</f>
        <v>ST</v>
      </c>
      <c r="AK1259" s="72" t="str">
        <f>IFERROR(INDEX(Tableau2[TS],SUMPRODUCT((Tableau2[Ref-Carte]=Tableau3[[#This Row],[Ref-Carte2]])*(Tableau2[ID-Voie]=Tableau3[[#This Row],[ID-VOIE]])*ROW(Tableau2[TS]))-ROW(Tableau2[#Headers])),"")</f>
        <v>ST</v>
      </c>
      <c r="AL1259" s="72" t="str">
        <f>Tableau3[[#This Row],[Ref-Carte2]]&amp;"/"&amp;Tableau3[[#This Row],[ID-VOIE]]</f>
        <v>DRA0815/1</v>
      </c>
      <c r="AM1259" s="73" t="str">
        <f>INDEX(Tableau2[Borne],MATCH(Tableau3[[#This Row],[ID-CARTEVOIE]],Tableau2[ID-CARTEVOIE],0))&amp;""</f>
        <v>1</v>
      </c>
      <c r="AN1259" s="74" t="str">
        <f>Tableau3[[#This Row],[ID-API]]&amp;Tableau3[[#This Row],[ID-RACK]]&amp;Tableau3[[#This Row],[ID-SLOT]]&amp;Tableau3[[#This Row],[BORNE]]</f>
        <v>9151</v>
      </c>
      <c r="AO1259" s="1"/>
    </row>
    <row r="1260" spans="1:41" ht="20.100000000000001" customHeight="1" thickTop="1" thickBot="1">
      <c r="A1260" s="68"/>
      <c r="B1260" s="69" t="str">
        <f>IFERROR(INDEX(Tableau4[Date],MATCH($A1260,Tableau4[EVO],0)),"")</f>
        <v/>
      </c>
      <c r="C1260" s="68" t="str">
        <f>IFERROR(INDEX(Tableau4[Designation],MATCH($A1260,Tableau4[EVO],0)),"")</f>
        <v/>
      </c>
      <c r="D1260" s="68"/>
      <c r="E1260" s="70">
        <v>306</v>
      </c>
      <c r="F1260" s="71">
        <v>99</v>
      </c>
      <c r="G1260" s="101" t="str">
        <f>INDEX(Tableau8[Att1],MATCH(Tableau3[[#This Row],[ID-INS]],Tableau8[ID],0))&amp;""</f>
        <v/>
      </c>
      <c r="H1260" s="101" t="str">
        <f>INDEX(Tableau8[Att2],MATCH(Tableau3[[#This Row],[ID-INS]],Tableau8[ID],0))&amp;""</f>
        <v>TEA27</v>
      </c>
      <c r="I1260" s="101" t="str">
        <f>INDEX(Tableau8[Att3],MATCH(Tableau3[[#This Row],[ID-INS]],Tableau8[ID],0))&amp;""</f>
        <v>Ouverture coffret P6</v>
      </c>
      <c r="J1260" s="101"/>
      <c r="K1260" s="167" t="str">
        <f>INDEX(Tableau8[Nom du modele],MATCH(Tableau3[[#This Row],[ID-INS]],Tableau8[ID],0))&amp;""</f>
        <v>TEA</v>
      </c>
      <c r="L1260" s="99" t="str">
        <f>INDEX(Tableau5[Att1],MATCH(Tableau3[[#This Row],[ID-SIG]],Tableau5[ID],0))&amp;""</f>
        <v>Info</v>
      </c>
      <c r="M1260" s="99" t="str">
        <f>INDEX(Tableau5[Att2],MATCH(Tableau3[[#This Row],[ID-SIG]],Tableau5[ID],0))&amp;""</f>
        <v/>
      </c>
      <c r="N1260" s="99" t="str">
        <f>INDEX(Tableau5[Att3],MATCH(Tableau3[[#This Row],[ID-SIG]],Tableau5[ID],0))&amp;""</f>
        <v/>
      </c>
      <c r="O1260" s="99"/>
      <c r="P1260" s="99" t="str">
        <f>INDEX(Tableau5[Description],MATCH(Tableau3[[#This Row],[ID-SIG]],Tableau5[ID],0))</f>
        <v>Commande</v>
      </c>
      <c r="Q1260" s="99"/>
      <c r="R1260" s="103" t="str">
        <f>Tableau3[[#This Row],[Description]]</f>
        <v>Commande</v>
      </c>
      <c r="U1260" s="87">
        <v>9</v>
      </c>
      <c r="V1260" s="87">
        <v>1</v>
      </c>
      <c r="W1260" s="87">
        <v>5</v>
      </c>
      <c r="X1260" s="87">
        <v>2</v>
      </c>
      <c r="Y1260" s="41"/>
      <c r="Z1260" s="165" t="str">
        <f>INDEX(Tableau2[TS],MATCH(Tableau3[[#This Row],[ID-CARTEVOIE]],Tableau2[ID-CARTEVOIE],0))</f>
        <v>ST</v>
      </c>
      <c r="AA1260" s="53" t="s">
        <v>213</v>
      </c>
      <c r="AB1260" s="223" t="str">
        <f>IFERROR(INDEX(Tableau5[Reserve],MATCH(Tableau3[[#This Row],[ID-SIG]],Tableau5[ID],0))&amp;"","")</f>
        <v/>
      </c>
      <c r="AC1260" s="21"/>
      <c r="AD1260" s="108" t="str">
        <f>INDEX(Tableau7[Repere],MATCH(Tableau3[[#This Row],[ID-API]],Tableau7[ID-API],0))&amp;""</f>
        <v>A9</v>
      </c>
      <c r="AE1260" s="108" t="str">
        <f>INDEX(Tableau1[Repere-Rack],MATCH(Tableau3[[#This Row],[ID-RACK]],Tableau1[ID-RACK],0))&amp;""</f>
        <v>R1</v>
      </c>
      <c r="AF1260" s="108" t="str">
        <f>INDEX(Tableau1[Repere-Slot],MATCH(Tableau3[[#This Row],[ID-SLOT]],Tableau1[ID-SLOT],0))&amp;""</f>
        <v>S5</v>
      </c>
      <c r="AG1260" s="108" t="str">
        <f>INDEX(Tableau2[Repere-Voie],MATCH(Tableau3[[#This Row],[ID-VOIE]],Tableau2[ID-Voie],0))&amp;""</f>
        <v>v2</v>
      </c>
      <c r="AH1260" s="72" t="str">
        <f>Tableau3[[#This Row],[ID-API]]&amp; "." &amp;Tableau3[[#This Row],[ID-RACK]]&amp; "." &amp;Tableau3[[#This Row],[ID-SLOT]]</f>
        <v>9.1.5</v>
      </c>
      <c r="AI1260" s="72" t="str">
        <f>INDEX(Tableau1[Ref-Carte],MATCH(Tableau3[[#This Row],[ID-RRS]],Tableau1[ID-RRS],0))</f>
        <v>DRA0815</v>
      </c>
      <c r="AJ1260" s="72" t="str">
        <f t="array" ref="AJ1260">IFERROR(INDEX(Tableau2[TS],MATCH(1,(Tableau2[Ref-Carte]=Tableau3[[#This Row],[Ref-Carte2]])*(Tableau2[ID-Voie]=Tableau3[[#This Row],[ID-VOIE]]),0)),"")</f>
        <v>ST</v>
      </c>
      <c r="AK1260" s="72" t="str">
        <f>IFERROR(INDEX(Tableau2[TS],SUMPRODUCT((Tableau2[Ref-Carte]=Tableau3[[#This Row],[Ref-Carte2]])*(Tableau2[ID-Voie]=Tableau3[[#This Row],[ID-VOIE]])*ROW(Tableau2[TS]))-ROW(Tableau2[#Headers])),"")</f>
        <v>ST</v>
      </c>
      <c r="AL1260" s="72" t="str">
        <f>Tableau3[[#This Row],[Ref-Carte2]]&amp;"/"&amp;Tableau3[[#This Row],[ID-VOIE]]</f>
        <v>DRA0815/2</v>
      </c>
      <c r="AM1260" s="73" t="str">
        <f>INDEX(Tableau2[Borne],MATCH(Tableau3[[#This Row],[ID-CARTEVOIE]],Tableau2[ID-CARTEVOIE],0))&amp;""</f>
        <v>2</v>
      </c>
      <c r="AN1260" s="74" t="str">
        <f>Tableau3[[#This Row],[ID-API]]&amp;Tableau3[[#This Row],[ID-RACK]]&amp;Tableau3[[#This Row],[ID-SLOT]]&amp;Tableau3[[#This Row],[BORNE]]</f>
        <v>9152</v>
      </c>
      <c r="AO1260" s="1"/>
    </row>
    <row r="1261" spans="1:41" ht="20.100000000000001" customHeight="1" thickTop="1" thickBot="1">
      <c r="A1261" s="68"/>
      <c r="B1261" s="69" t="str">
        <f>IFERROR(INDEX(Tableau4[Date],MATCH($A1261,Tableau4[EVO],0)),"")</f>
        <v/>
      </c>
      <c r="C1261" s="68" t="str">
        <f>IFERROR(INDEX(Tableau4[Designation],MATCH($A1261,Tableau4[EVO],0)),"")</f>
        <v/>
      </c>
      <c r="D1261" s="68"/>
      <c r="E1261" s="70">
        <v>307</v>
      </c>
      <c r="F1261" s="71">
        <v>99</v>
      </c>
      <c r="G1261" s="101" t="str">
        <f>INDEX(Tableau8[Att1],MATCH(Tableau3[[#This Row],[ID-INS]],Tableau8[ID],0))&amp;""</f>
        <v/>
      </c>
      <c r="H1261" s="101" t="str">
        <f>INDEX(Tableau8[Att2],MATCH(Tableau3[[#This Row],[ID-INS]],Tableau8[ID],0))&amp;""</f>
        <v>TEA28</v>
      </c>
      <c r="I1261" s="101" t="str">
        <f>INDEX(Tableau8[Att3],MATCH(Tableau3[[#This Row],[ID-INS]],Tableau8[ID],0))&amp;""</f>
        <v>P7 non fermé</v>
      </c>
      <c r="J1261" s="101"/>
      <c r="K1261" s="167" t="str">
        <f>INDEX(Tableau8[Nom du modele],MATCH(Tableau3[[#This Row],[ID-INS]],Tableau8[ID],0))&amp;""</f>
        <v>TEA</v>
      </c>
      <c r="L1261" s="99" t="str">
        <f>INDEX(Tableau5[Att1],MATCH(Tableau3[[#This Row],[ID-SIG]],Tableau5[ID],0))&amp;""</f>
        <v>Info</v>
      </c>
      <c r="M1261" s="99" t="str">
        <f>INDEX(Tableau5[Att2],MATCH(Tableau3[[#This Row],[ID-SIG]],Tableau5[ID],0))&amp;""</f>
        <v/>
      </c>
      <c r="N1261" s="99" t="str">
        <f>INDEX(Tableau5[Att3],MATCH(Tableau3[[#This Row],[ID-SIG]],Tableau5[ID],0))&amp;""</f>
        <v/>
      </c>
      <c r="O1261" s="99"/>
      <c r="P1261" s="99" t="str">
        <f>INDEX(Tableau5[Description],MATCH(Tableau3[[#This Row],[ID-SIG]],Tableau5[ID],0))</f>
        <v>Commande</v>
      </c>
      <c r="Q1261" s="99"/>
      <c r="R1261" s="103" t="str">
        <f>Tableau3[[#This Row],[Description]]</f>
        <v>Commande</v>
      </c>
      <c r="U1261" s="87">
        <v>9</v>
      </c>
      <c r="V1261" s="87">
        <v>1</v>
      </c>
      <c r="W1261" s="87">
        <v>5</v>
      </c>
      <c r="X1261" s="87">
        <v>3</v>
      </c>
      <c r="Y1261" s="41"/>
      <c r="Z1261" s="165" t="str">
        <f>INDEX(Tableau2[TS],MATCH(Tableau3[[#This Row],[ID-CARTEVOIE]],Tableau2[ID-CARTEVOIE],0))</f>
        <v>ST</v>
      </c>
      <c r="AA1261" s="53" t="s">
        <v>213</v>
      </c>
      <c r="AB1261" s="223" t="str">
        <f>IFERROR(INDEX(Tableau5[Reserve],MATCH(Tableau3[[#This Row],[ID-SIG]],Tableau5[ID],0))&amp;"","")</f>
        <v/>
      </c>
      <c r="AC1261" s="21"/>
      <c r="AD1261" s="108" t="str">
        <f>INDEX(Tableau7[Repere],MATCH(Tableau3[[#This Row],[ID-API]],Tableau7[ID-API],0))&amp;""</f>
        <v>A9</v>
      </c>
      <c r="AE1261" s="108" t="str">
        <f>INDEX(Tableau1[Repere-Rack],MATCH(Tableau3[[#This Row],[ID-RACK]],Tableau1[ID-RACK],0))&amp;""</f>
        <v>R1</v>
      </c>
      <c r="AF1261" s="108" t="str">
        <f>INDEX(Tableau1[Repere-Slot],MATCH(Tableau3[[#This Row],[ID-SLOT]],Tableau1[ID-SLOT],0))&amp;""</f>
        <v>S5</v>
      </c>
      <c r="AG1261" s="108" t="str">
        <f>INDEX(Tableau2[Repere-Voie],MATCH(Tableau3[[#This Row],[ID-VOIE]],Tableau2[ID-Voie],0))&amp;""</f>
        <v>v3</v>
      </c>
      <c r="AH1261" s="72" t="str">
        <f>Tableau3[[#This Row],[ID-API]]&amp; "." &amp;Tableau3[[#This Row],[ID-RACK]]&amp; "." &amp;Tableau3[[#This Row],[ID-SLOT]]</f>
        <v>9.1.5</v>
      </c>
      <c r="AI1261" s="72" t="str">
        <f>INDEX(Tableau1[Ref-Carte],MATCH(Tableau3[[#This Row],[ID-RRS]],Tableau1[ID-RRS],0))</f>
        <v>DRA0815</v>
      </c>
      <c r="AJ1261" s="72" t="str">
        <f t="array" ref="AJ1261">IFERROR(INDEX(Tableau2[TS],MATCH(1,(Tableau2[Ref-Carte]=Tableau3[[#This Row],[Ref-Carte2]])*(Tableau2[ID-Voie]=Tableau3[[#This Row],[ID-VOIE]]),0)),"")</f>
        <v>ST</v>
      </c>
      <c r="AK1261" s="72" t="str">
        <f>IFERROR(INDEX(Tableau2[TS],SUMPRODUCT((Tableau2[Ref-Carte]=Tableau3[[#This Row],[Ref-Carte2]])*(Tableau2[ID-Voie]=Tableau3[[#This Row],[ID-VOIE]])*ROW(Tableau2[TS]))-ROW(Tableau2[#Headers])),"")</f>
        <v>ST</v>
      </c>
      <c r="AL1261" s="72" t="str">
        <f>Tableau3[[#This Row],[Ref-Carte2]]&amp;"/"&amp;Tableau3[[#This Row],[ID-VOIE]]</f>
        <v>DRA0815/3</v>
      </c>
      <c r="AM1261" s="73" t="str">
        <f>INDEX(Tableau2[Borne],MATCH(Tableau3[[#This Row],[ID-CARTEVOIE]],Tableau2[ID-CARTEVOIE],0))&amp;""</f>
        <v>3</v>
      </c>
      <c r="AN1261" s="74" t="str">
        <f>Tableau3[[#This Row],[ID-API]]&amp;Tableau3[[#This Row],[ID-RACK]]&amp;Tableau3[[#This Row],[ID-SLOT]]&amp;Tableau3[[#This Row],[BORNE]]</f>
        <v>9153</v>
      </c>
      <c r="AO1261" s="1"/>
    </row>
    <row r="1262" spans="1:41" ht="20.100000000000001" customHeight="1" thickTop="1" thickBot="1">
      <c r="A1262" s="68"/>
      <c r="B1262" s="69" t="str">
        <f>IFERROR(INDEX(Tableau4[Date],MATCH($A1262,Tableau4[EVO],0)),"")</f>
        <v/>
      </c>
      <c r="C1262" s="68" t="str">
        <f>IFERROR(INDEX(Tableau4[Designation],MATCH($A1262,Tableau4[EVO],0)),"")</f>
        <v/>
      </c>
      <c r="D1262" s="68"/>
      <c r="E1262" s="70">
        <v>308</v>
      </c>
      <c r="F1262" s="71">
        <v>99</v>
      </c>
      <c r="G1262" s="101" t="str">
        <f>INDEX(Tableau8[Att1],MATCH(Tableau3[[#This Row],[ID-INS]],Tableau8[ID],0))&amp;""</f>
        <v/>
      </c>
      <c r="H1262" s="101" t="str">
        <f>INDEX(Tableau8[Att2],MATCH(Tableau3[[#This Row],[ID-INS]],Tableau8[ID],0))&amp;""</f>
        <v>TEA29</v>
      </c>
      <c r="I1262" s="101" t="str">
        <f>INDEX(Tableau8[Att3],MATCH(Tableau3[[#This Row],[ID-INS]],Tableau8[ID],0))&amp;""</f>
        <v>Ouverture coffret P7</v>
      </c>
      <c r="J1262" s="101"/>
      <c r="K1262" s="167" t="str">
        <f>INDEX(Tableau8[Nom du modele],MATCH(Tableau3[[#This Row],[ID-INS]],Tableau8[ID],0))&amp;""</f>
        <v>TEA</v>
      </c>
      <c r="L1262" s="99" t="str">
        <f>INDEX(Tableau5[Att1],MATCH(Tableau3[[#This Row],[ID-SIG]],Tableau5[ID],0))&amp;""</f>
        <v>Info</v>
      </c>
      <c r="M1262" s="99" t="str">
        <f>INDEX(Tableau5[Att2],MATCH(Tableau3[[#This Row],[ID-SIG]],Tableau5[ID],0))&amp;""</f>
        <v/>
      </c>
      <c r="N1262" s="99" t="str">
        <f>INDEX(Tableau5[Att3],MATCH(Tableau3[[#This Row],[ID-SIG]],Tableau5[ID],0))&amp;""</f>
        <v/>
      </c>
      <c r="O1262" s="99"/>
      <c r="P1262" s="99" t="str">
        <f>INDEX(Tableau5[Description],MATCH(Tableau3[[#This Row],[ID-SIG]],Tableau5[ID],0))</f>
        <v>Commande</v>
      </c>
      <c r="Q1262" s="99"/>
      <c r="R1262" s="103" t="str">
        <f>Tableau3[[#This Row],[Description]]</f>
        <v>Commande</v>
      </c>
      <c r="U1262" s="87">
        <v>9</v>
      </c>
      <c r="V1262" s="87">
        <v>1</v>
      </c>
      <c r="W1262" s="87">
        <v>5</v>
      </c>
      <c r="X1262" s="87">
        <v>4</v>
      </c>
      <c r="Y1262" s="41"/>
      <c r="Z1262" s="165" t="str">
        <f>INDEX(Tableau2[TS],MATCH(Tableau3[[#This Row],[ID-CARTEVOIE]],Tableau2[ID-CARTEVOIE],0))</f>
        <v>ST</v>
      </c>
      <c r="AA1262" s="53" t="s">
        <v>213</v>
      </c>
      <c r="AB1262" s="223" t="str">
        <f>IFERROR(INDEX(Tableau5[Reserve],MATCH(Tableau3[[#This Row],[ID-SIG]],Tableau5[ID],0))&amp;"","")</f>
        <v/>
      </c>
      <c r="AC1262" s="21"/>
      <c r="AD1262" s="108" t="str">
        <f>INDEX(Tableau7[Repere],MATCH(Tableau3[[#This Row],[ID-API]],Tableau7[ID-API],0))&amp;""</f>
        <v>A9</v>
      </c>
      <c r="AE1262" s="108" t="str">
        <f>INDEX(Tableau1[Repere-Rack],MATCH(Tableau3[[#This Row],[ID-RACK]],Tableau1[ID-RACK],0))&amp;""</f>
        <v>R1</v>
      </c>
      <c r="AF1262" s="108" t="str">
        <f>INDEX(Tableau1[Repere-Slot],MATCH(Tableau3[[#This Row],[ID-SLOT]],Tableau1[ID-SLOT],0))&amp;""</f>
        <v>S5</v>
      </c>
      <c r="AG1262" s="108" t="str">
        <f>INDEX(Tableau2[Repere-Voie],MATCH(Tableau3[[#This Row],[ID-VOIE]],Tableau2[ID-Voie],0))&amp;""</f>
        <v>v4</v>
      </c>
      <c r="AH1262" s="72" t="str">
        <f>Tableau3[[#This Row],[ID-API]]&amp; "." &amp;Tableau3[[#This Row],[ID-RACK]]&amp; "." &amp;Tableau3[[#This Row],[ID-SLOT]]</f>
        <v>9.1.5</v>
      </c>
      <c r="AI1262" s="72" t="str">
        <f>INDEX(Tableau1[Ref-Carte],MATCH(Tableau3[[#This Row],[ID-RRS]],Tableau1[ID-RRS],0))</f>
        <v>DRA0815</v>
      </c>
      <c r="AJ1262" s="72" t="str">
        <f t="array" ref="AJ1262">IFERROR(INDEX(Tableau2[TS],MATCH(1,(Tableau2[Ref-Carte]=Tableau3[[#This Row],[Ref-Carte2]])*(Tableau2[ID-Voie]=Tableau3[[#This Row],[ID-VOIE]]),0)),"")</f>
        <v>ST</v>
      </c>
      <c r="AK1262" s="72" t="str">
        <f>IFERROR(INDEX(Tableau2[TS],SUMPRODUCT((Tableau2[Ref-Carte]=Tableau3[[#This Row],[Ref-Carte2]])*(Tableau2[ID-Voie]=Tableau3[[#This Row],[ID-VOIE]])*ROW(Tableau2[TS]))-ROW(Tableau2[#Headers])),"")</f>
        <v>ST</v>
      </c>
      <c r="AL1262" s="72" t="str">
        <f>Tableau3[[#This Row],[Ref-Carte2]]&amp;"/"&amp;Tableau3[[#This Row],[ID-VOIE]]</f>
        <v>DRA0815/4</v>
      </c>
      <c r="AM1262" s="73" t="str">
        <f>INDEX(Tableau2[Borne],MATCH(Tableau3[[#This Row],[ID-CARTEVOIE]],Tableau2[ID-CARTEVOIE],0))&amp;""</f>
        <v>4</v>
      </c>
      <c r="AN1262" s="74" t="str">
        <f>Tableau3[[#This Row],[ID-API]]&amp;Tableau3[[#This Row],[ID-RACK]]&amp;Tableau3[[#This Row],[ID-SLOT]]&amp;Tableau3[[#This Row],[BORNE]]</f>
        <v>9154</v>
      </c>
      <c r="AO1262" s="1"/>
    </row>
    <row r="1263" spans="1:41" ht="20.100000000000001" customHeight="1" thickTop="1" thickBot="1">
      <c r="A1263" s="68"/>
      <c r="B1263" s="69" t="str">
        <f>IFERROR(INDEX(Tableau4[Date],MATCH($A1263,Tableau4[EVO],0)),"")</f>
        <v/>
      </c>
      <c r="C1263" s="68" t="str">
        <f>IFERROR(INDEX(Tableau4[Designation],MATCH($A1263,Tableau4[EVO],0)),"")</f>
        <v/>
      </c>
      <c r="D1263" s="68"/>
      <c r="E1263" s="70">
        <v>309</v>
      </c>
      <c r="F1263" s="71">
        <v>99</v>
      </c>
      <c r="G1263" s="101" t="str">
        <f>INDEX(Tableau8[Att1],MATCH(Tableau3[[#This Row],[ID-INS]],Tableau8[ID],0))&amp;""</f>
        <v/>
      </c>
      <c r="H1263" s="101" t="str">
        <f>INDEX(Tableau8[Att2],MATCH(Tableau3[[#This Row],[ID-INS]],Tableau8[ID],0))&amp;""</f>
        <v>TEA30</v>
      </c>
      <c r="I1263" s="101" t="str">
        <f>INDEX(Tableau8[Att3],MATCH(Tableau3[[#This Row],[ID-INS]],Tableau8[ID],0))&amp;""</f>
        <v>P8 non fermé</v>
      </c>
      <c r="J1263" s="101"/>
      <c r="K1263" s="167" t="str">
        <f>INDEX(Tableau8[Nom du modele],MATCH(Tableau3[[#This Row],[ID-INS]],Tableau8[ID],0))&amp;""</f>
        <v>TEA</v>
      </c>
      <c r="L1263" s="99" t="str">
        <f>INDEX(Tableau5[Att1],MATCH(Tableau3[[#This Row],[ID-SIG]],Tableau5[ID],0))&amp;""</f>
        <v>Info</v>
      </c>
      <c r="M1263" s="99" t="str">
        <f>INDEX(Tableau5[Att2],MATCH(Tableau3[[#This Row],[ID-SIG]],Tableau5[ID],0))&amp;""</f>
        <v/>
      </c>
      <c r="N1263" s="99" t="str">
        <f>INDEX(Tableau5[Att3],MATCH(Tableau3[[#This Row],[ID-SIG]],Tableau5[ID],0))&amp;""</f>
        <v/>
      </c>
      <c r="O1263" s="99"/>
      <c r="P1263" s="99" t="str">
        <f>INDEX(Tableau5[Description],MATCH(Tableau3[[#This Row],[ID-SIG]],Tableau5[ID],0))</f>
        <v>Commande</v>
      </c>
      <c r="Q1263" s="99"/>
      <c r="R1263" s="103" t="str">
        <f>Tableau3[[#This Row],[Description]]</f>
        <v>Commande</v>
      </c>
      <c r="U1263" s="87">
        <v>9</v>
      </c>
      <c r="V1263" s="87">
        <v>1</v>
      </c>
      <c r="W1263" s="87">
        <v>5</v>
      </c>
      <c r="X1263" s="87">
        <v>5</v>
      </c>
      <c r="Y1263" s="41"/>
      <c r="Z1263" s="165" t="str">
        <f>INDEX(Tableau2[TS],MATCH(Tableau3[[#This Row],[ID-CARTEVOIE]],Tableau2[ID-CARTEVOIE],0))</f>
        <v>ST</v>
      </c>
      <c r="AA1263" s="53" t="s">
        <v>213</v>
      </c>
      <c r="AB1263" s="223" t="str">
        <f>IFERROR(INDEX(Tableau5[Reserve],MATCH(Tableau3[[#This Row],[ID-SIG]],Tableau5[ID],0))&amp;"","")</f>
        <v/>
      </c>
      <c r="AC1263" s="21"/>
      <c r="AD1263" s="108" t="str">
        <f>INDEX(Tableau7[Repere],MATCH(Tableau3[[#This Row],[ID-API]],Tableau7[ID-API],0))&amp;""</f>
        <v>A9</v>
      </c>
      <c r="AE1263" s="108" t="str">
        <f>INDEX(Tableau1[Repere-Rack],MATCH(Tableau3[[#This Row],[ID-RACK]],Tableau1[ID-RACK],0))&amp;""</f>
        <v>R1</v>
      </c>
      <c r="AF1263" s="108" t="str">
        <f>INDEX(Tableau1[Repere-Slot],MATCH(Tableau3[[#This Row],[ID-SLOT]],Tableau1[ID-SLOT],0))&amp;""</f>
        <v>S5</v>
      </c>
      <c r="AG1263" s="108" t="str">
        <f>INDEX(Tableau2[Repere-Voie],MATCH(Tableau3[[#This Row],[ID-VOIE]],Tableau2[ID-Voie],0))&amp;""</f>
        <v>v5</v>
      </c>
      <c r="AH1263" s="72" t="str">
        <f>Tableau3[[#This Row],[ID-API]]&amp; "." &amp;Tableau3[[#This Row],[ID-RACK]]&amp; "." &amp;Tableau3[[#This Row],[ID-SLOT]]</f>
        <v>9.1.5</v>
      </c>
      <c r="AI1263" s="72" t="str">
        <f>INDEX(Tableau1[Ref-Carte],MATCH(Tableau3[[#This Row],[ID-RRS]],Tableau1[ID-RRS],0))</f>
        <v>DRA0815</v>
      </c>
      <c r="AJ1263" s="72" t="str">
        <f t="array" ref="AJ1263">IFERROR(INDEX(Tableau2[TS],MATCH(1,(Tableau2[Ref-Carte]=Tableau3[[#This Row],[Ref-Carte2]])*(Tableau2[ID-Voie]=Tableau3[[#This Row],[ID-VOIE]]),0)),"")</f>
        <v>ST</v>
      </c>
      <c r="AK1263" s="72" t="str">
        <f>IFERROR(INDEX(Tableau2[TS],SUMPRODUCT((Tableau2[Ref-Carte]=Tableau3[[#This Row],[Ref-Carte2]])*(Tableau2[ID-Voie]=Tableau3[[#This Row],[ID-VOIE]])*ROW(Tableau2[TS]))-ROW(Tableau2[#Headers])),"")</f>
        <v>ST</v>
      </c>
      <c r="AL1263" s="72" t="str">
        <f>Tableau3[[#This Row],[Ref-Carte2]]&amp;"/"&amp;Tableau3[[#This Row],[ID-VOIE]]</f>
        <v>DRA0815/5</v>
      </c>
      <c r="AM1263" s="73" t="str">
        <f>INDEX(Tableau2[Borne],MATCH(Tableau3[[#This Row],[ID-CARTEVOIE]],Tableau2[ID-CARTEVOIE],0))&amp;""</f>
        <v>5</v>
      </c>
      <c r="AN1263" s="74" t="str">
        <f>Tableau3[[#This Row],[ID-API]]&amp;Tableau3[[#This Row],[ID-RACK]]&amp;Tableau3[[#This Row],[ID-SLOT]]&amp;Tableau3[[#This Row],[BORNE]]</f>
        <v>9155</v>
      </c>
      <c r="AO1263" s="1"/>
    </row>
    <row r="1264" spans="1:41" ht="20.100000000000001" customHeight="1" thickTop="1" thickBot="1">
      <c r="A1264" s="68"/>
      <c r="B1264" s="69" t="str">
        <f>IFERROR(INDEX(Tableau4[Date],MATCH($A1264,Tableau4[EVO],0)),"")</f>
        <v/>
      </c>
      <c r="C1264" s="68" t="str">
        <f>IFERROR(INDEX(Tableau4[Designation],MATCH($A1264,Tableau4[EVO],0)),"")</f>
        <v/>
      </c>
      <c r="D1264" s="68"/>
      <c r="E1264" s="70">
        <v>310</v>
      </c>
      <c r="F1264" s="71">
        <v>99</v>
      </c>
      <c r="G1264" s="101" t="str">
        <f>INDEX(Tableau8[Att1],MATCH(Tableau3[[#This Row],[ID-INS]],Tableau8[ID],0))&amp;""</f>
        <v/>
      </c>
      <c r="H1264" s="101" t="str">
        <f>INDEX(Tableau8[Att2],MATCH(Tableau3[[#This Row],[ID-INS]],Tableau8[ID],0))&amp;""</f>
        <v>TEA31</v>
      </c>
      <c r="I1264" s="101" t="str">
        <f>INDEX(Tableau8[Att3],MATCH(Tableau3[[#This Row],[ID-INS]],Tableau8[ID],0))&amp;""</f>
        <v>Ouverture coffret P8</v>
      </c>
      <c r="J1264" s="101"/>
      <c r="K1264" s="167" t="str">
        <f>INDEX(Tableau8[Nom du modele],MATCH(Tableau3[[#This Row],[ID-INS]],Tableau8[ID],0))&amp;""</f>
        <v>TEA</v>
      </c>
      <c r="L1264" s="99" t="str">
        <f>INDEX(Tableau5[Att1],MATCH(Tableau3[[#This Row],[ID-SIG]],Tableau5[ID],0))&amp;""</f>
        <v>Info</v>
      </c>
      <c r="M1264" s="99" t="str">
        <f>INDEX(Tableau5[Att2],MATCH(Tableau3[[#This Row],[ID-SIG]],Tableau5[ID],0))&amp;""</f>
        <v/>
      </c>
      <c r="N1264" s="99" t="str">
        <f>INDEX(Tableau5[Att3],MATCH(Tableau3[[#This Row],[ID-SIG]],Tableau5[ID],0))&amp;""</f>
        <v/>
      </c>
      <c r="O1264" s="99"/>
      <c r="P1264" s="99" t="str">
        <f>INDEX(Tableau5[Description],MATCH(Tableau3[[#This Row],[ID-SIG]],Tableau5[ID],0))</f>
        <v>Commande</v>
      </c>
      <c r="Q1264" s="99"/>
      <c r="R1264" s="103" t="str">
        <f>Tableau3[[#This Row],[Description]]</f>
        <v>Commande</v>
      </c>
      <c r="U1264" s="87">
        <v>9</v>
      </c>
      <c r="V1264" s="87">
        <v>1</v>
      </c>
      <c r="W1264" s="87">
        <v>5</v>
      </c>
      <c r="X1264" s="87">
        <v>6</v>
      </c>
      <c r="Y1264" s="41"/>
      <c r="Z1264" s="165" t="str">
        <f>INDEX(Tableau2[TS],MATCH(Tableau3[[#This Row],[ID-CARTEVOIE]],Tableau2[ID-CARTEVOIE],0))</f>
        <v>ST</v>
      </c>
      <c r="AA1264" s="53" t="s">
        <v>213</v>
      </c>
      <c r="AB1264" s="223" t="str">
        <f>IFERROR(INDEX(Tableau5[Reserve],MATCH(Tableau3[[#This Row],[ID-SIG]],Tableau5[ID],0))&amp;"","")</f>
        <v/>
      </c>
      <c r="AC1264" s="21"/>
      <c r="AD1264" s="108" t="str">
        <f>INDEX(Tableau7[Repere],MATCH(Tableau3[[#This Row],[ID-API]],Tableau7[ID-API],0))&amp;""</f>
        <v>A9</v>
      </c>
      <c r="AE1264" s="108" t="str">
        <f>INDEX(Tableau1[Repere-Rack],MATCH(Tableau3[[#This Row],[ID-RACK]],Tableau1[ID-RACK],0))&amp;""</f>
        <v>R1</v>
      </c>
      <c r="AF1264" s="108" t="str">
        <f>INDEX(Tableau1[Repere-Slot],MATCH(Tableau3[[#This Row],[ID-SLOT]],Tableau1[ID-SLOT],0))&amp;""</f>
        <v>S5</v>
      </c>
      <c r="AG1264" s="108" t="str">
        <f>INDEX(Tableau2[Repere-Voie],MATCH(Tableau3[[#This Row],[ID-VOIE]],Tableau2[ID-Voie],0))&amp;""</f>
        <v>v6</v>
      </c>
      <c r="AH1264" s="72" t="str">
        <f>Tableau3[[#This Row],[ID-API]]&amp; "." &amp;Tableau3[[#This Row],[ID-RACK]]&amp; "." &amp;Tableau3[[#This Row],[ID-SLOT]]</f>
        <v>9.1.5</v>
      </c>
      <c r="AI1264" s="72" t="str">
        <f>INDEX(Tableau1[Ref-Carte],MATCH(Tableau3[[#This Row],[ID-RRS]],Tableau1[ID-RRS],0))</f>
        <v>DRA0815</v>
      </c>
      <c r="AJ1264" s="72" t="str">
        <f t="array" ref="AJ1264">IFERROR(INDEX(Tableau2[TS],MATCH(1,(Tableau2[Ref-Carte]=Tableau3[[#This Row],[Ref-Carte2]])*(Tableau2[ID-Voie]=Tableau3[[#This Row],[ID-VOIE]]),0)),"")</f>
        <v>ST</v>
      </c>
      <c r="AK1264" s="72" t="str">
        <f>IFERROR(INDEX(Tableau2[TS],SUMPRODUCT((Tableau2[Ref-Carte]=Tableau3[[#This Row],[Ref-Carte2]])*(Tableau2[ID-Voie]=Tableau3[[#This Row],[ID-VOIE]])*ROW(Tableau2[TS]))-ROW(Tableau2[#Headers])),"")</f>
        <v>ST</v>
      </c>
      <c r="AL1264" s="72" t="str">
        <f>Tableau3[[#This Row],[Ref-Carte2]]&amp;"/"&amp;Tableau3[[#This Row],[ID-VOIE]]</f>
        <v>DRA0815/6</v>
      </c>
      <c r="AM1264" s="73" t="str">
        <f>INDEX(Tableau2[Borne],MATCH(Tableau3[[#This Row],[ID-CARTEVOIE]],Tableau2[ID-CARTEVOIE],0))&amp;""</f>
        <v>6</v>
      </c>
      <c r="AN1264" s="74" t="str">
        <f>Tableau3[[#This Row],[ID-API]]&amp;Tableau3[[#This Row],[ID-RACK]]&amp;Tableau3[[#This Row],[ID-SLOT]]&amp;Tableau3[[#This Row],[BORNE]]</f>
        <v>9156</v>
      </c>
      <c r="AO1264" s="1"/>
    </row>
    <row r="1265" spans="1:41" ht="20.100000000000001" customHeight="1" thickTop="1" thickBot="1">
      <c r="A1265" s="68"/>
      <c r="B1265" s="69" t="str">
        <f>IFERROR(INDEX(Tableau4[Date],MATCH($A1265,Tableau4[EVO],0)),"")</f>
        <v/>
      </c>
      <c r="C1265" s="68" t="str">
        <f>IFERROR(INDEX(Tableau4[Designation],MATCH($A1265,Tableau4[EVO],0)),"")</f>
        <v/>
      </c>
      <c r="D1265" s="68"/>
      <c r="E1265" s="70">
        <v>311</v>
      </c>
      <c r="F1265" s="71">
        <v>99</v>
      </c>
      <c r="G1265" s="101" t="str">
        <f>INDEX(Tableau8[Att1],MATCH(Tableau3[[#This Row],[ID-INS]],Tableau8[ID],0))&amp;""</f>
        <v/>
      </c>
      <c r="H1265" s="101" t="str">
        <f>INDEX(Tableau8[Att2],MATCH(Tableau3[[#This Row],[ID-INS]],Tableau8[ID],0))&amp;""</f>
        <v>TEA32</v>
      </c>
      <c r="I1265" s="101" t="str">
        <f>INDEX(Tableau8[Att3],MATCH(Tableau3[[#This Row],[ID-INS]],Tableau8[ID],0))&amp;""</f>
        <v>Alarme Intrusion Local CFIS B21</v>
      </c>
      <c r="J1265" s="101"/>
      <c r="K1265" s="167" t="str">
        <f>INDEX(Tableau8[Nom du modele],MATCH(Tableau3[[#This Row],[ID-INS]],Tableau8[ID],0))&amp;""</f>
        <v>TEA</v>
      </c>
      <c r="L1265" s="99" t="str">
        <f>INDEX(Tableau5[Att1],MATCH(Tableau3[[#This Row],[ID-SIG]],Tableau5[ID],0))&amp;""</f>
        <v>Info</v>
      </c>
      <c r="M1265" s="99" t="str">
        <f>INDEX(Tableau5[Att2],MATCH(Tableau3[[#This Row],[ID-SIG]],Tableau5[ID],0))&amp;""</f>
        <v/>
      </c>
      <c r="N1265" s="99" t="str">
        <f>INDEX(Tableau5[Att3],MATCH(Tableau3[[#This Row],[ID-SIG]],Tableau5[ID],0))&amp;""</f>
        <v/>
      </c>
      <c r="O1265" s="99"/>
      <c r="P1265" s="99" t="str">
        <f>INDEX(Tableau5[Description],MATCH(Tableau3[[#This Row],[ID-SIG]],Tableau5[ID],0))</f>
        <v>Commande</v>
      </c>
      <c r="Q1265" s="99"/>
      <c r="R1265" s="103" t="str">
        <f>Tableau3[[#This Row],[Description]]</f>
        <v>Commande</v>
      </c>
      <c r="U1265" s="87">
        <v>9</v>
      </c>
      <c r="V1265" s="87">
        <v>1</v>
      </c>
      <c r="W1265" s="87">
        <v>5</v>
      </c>
      <c r="X1265" s="87">
        <v>7</v>
      </c>
      <c r="Y1265" s="41"/>
      <c r="Z1265" s="165" t="str">
        <f>INDEX(Tableau2[TS],MATCH(Tableau3[[#This Row],[ID-CARTEVOIE]],Tableau2[ID-CARTEVOIE],0))</f>
        <v>ST</v>
      </c>
      <c r="AA1265" s="53" t="s">
        <v>213</v>
      </c>
      <c r="AB1265" s="223" t="str">
        <f>IFERROR(INDEX(Tableau5[Reserve],MATCH(Tableau3[[#This Row],[ID-SIG]],Tableau5[ID],0))&amp;"","")</f>
        <v/>
      </c>
      <c r="AC1265" s="21"/>
      <c r="AD1265" s="108" t="str">
        <f>INDEX(Tableau7[Repere],MATCH(Tableau3[[#This Row],[ID-API]],Tableau7[ID-API],0))&amp;""</f>
        <v>A9</v>
      </c>
      <c r="AE1265" s="108" t="str">
        <f>INDEX(Tableau1[Repere-Rack],MATCH(Tableau3[[#This Row],[ID-RACK]],Tableau1[ID-RACK],0))&amp;""</f>
        <v>R1</v>
      </c>
      <c r="AF1265" s="108" t="str">
        <f>INDEX(Tableau1[Repere-Slot],MATCH(Tableau3[[#This Row],[ID-SLOT]],Tableau1[ID-SLOT],0))&amp;""</f>
        <v>S5</v>
      </c>
      <c r="AG1265" s="108" t="str">
        <f>INDEX(Tableau2[Repere-Voie],MATCH(Tableau3[[#This Row],[ID-VOIE]],Tableau2[ID-Voie],0))&amp;""</f>
        <v>v7</v>
      </c>
      <c r="AH1265" s="72" t="str">
        <f>Tableau3[[#This Row],[ID-API]]&amp; "." &amp;Tableau3[[#This Row],[ID-RACK]]&amp; "." &amp;Tableau3[[#This Row],[ID-SLOT]]</f>
        <v>9.1.5</v>
      </c>
      <c r="AI1265" s="72" t="str">
        <f>INDEX(Tableau1[Ref-Carte],MATCH(Tableau3[[#This Row],[ID-RRS]],Tableau1[ID-RRS],0))</f>
        <v>DRA0815</v>
      </c>
      <c r="AJ1265" s="72" t="str">
        <f t="array" ref="AJ1265">IFERROR(INDEX(Tableau2[TS],MATCH(1,(Tableau2[Ref-Carte]=Tableau3[[#This Row],[Ref-Carte2]])*(Tableau2[ID-Voie]=Tableau3[[#This Row],[ID-VOIE]]),0)),"")</f>
        <v>ST</v>
      </c>
      <c r="AK1265" s="72" t="str">
        <f>IFERROR(INDEX(Tableau2[TS],SUMPRODUCT((Tableau2[Ref-Carte]=Tableau3[[#This Row],[Ref-Carte2]])*(Tableau2[ID-Voie]=Tableau3[[#This Row],[ID-VOIE]])*ROW(Tableau2[TS]))-ROW(Tableau2[#Headers])),"")</f>
        <v>ST</v>
      </c>
      <c r="AL1265" s="72" t="str">
        <f>Tableau3[[#This Row],[Ref-Carte2]]&amp;"/"&amp;Tableau3[[#This Row],[ID-VOIE]]</f>
        <v>DRA0815/7</v>
      </c>
      <c r="AM1265" s="73" t="str">
        <f>INDEX(Tableau2[Borne],MATCH(Tableau3[[#This Row],[ID-CARTEVOIE]],Tableau2[ID-CARTEVOIE],0))&amp;""</f>
        <v>7</v>
      </c>
      <c r="AN1265" s="74" t="str">
        <f>Tableau3[[#This Row],[ID-API]]&amp;Tableau3[[#This Row],[ID-RACK]]&amp;Tableau3[[#This Row],[ID-SLOT]]&amp;Tableau3[[#This Row],[BORNE]]</f>
        <v>9157</v>
      </c>
      <c r="AO1265" s="1"/>
    </row>
    <row r="1266" spans="1:41" ht="20.100000000000001" customHeight="1" thickTop="1" thickBot="1">
      <c r="A1266" s="68"/>
      <c r="B1266" s="69" t="str">
        <f>IFERROR(INDEX(Tableau4[Date],MATCH($A1266,Tableau4[EVO],0)),"")</f>
        <v/>
      </c>
      <c r="C1266" s="68" t="str">
        <f>IFERROR(INDEX(Tableau4[Designation],MATCH($A1266,Tableau4[EVO],0)),"")</f>
        <v/>
      </c>
      <c r="D1266" s="68"/>
      <c r="E1266" s="70">
        <v>312</v>
      </c>
      <c r="F1266" s="71">
        <v>99</v>
      </c>
      <c r="G1266" s="101" t="str">
        <f>INDEX(Tableau8[Att1],MATCH(Tableau3[[#This Row],[ID-INS]],Tableau8[ID],0))&amp;""</f>
        <v/>
      </c>
      <c r="H1266" s="101" t="str">
        <f>INDEX(Tableau8[Att2],MATCH(Tableau3[[#This Row],[ID-INS]],Tableau8[ID],0))&amp;""</f>
        <v>TEA33</v>
      </c>
      <c r="I1266" s="101" t="str">
        <f>INDEX(Tableau8[Att3],MATCH(Tableau3[[#This Row],[ID-INS]],Tableau8[ID],0))&amp;""</f>
        <v>Fraude Intrusion Local CFIS B21</v>
      </c>
      <c r="J1266" s="101"/>
      <c r="K1266" s="167" t="str">
        <f>INDEX(Tableau8[Nom du modele],MATCH(Tableau3[[#This Row],[ID-INS]],Tableau8[ID],0))&amp;""</f>
        <v>TEA</v>
      </c>
      <c r="L1266" s="99" t="str">
        <f>INDEX(Tableau5[Att1],MATCH(Tableau3[[#This Row],[ID-SIG]],Tableau5[ID],0))&amp;""</f>
        <v>Info</v>
      </c>
      <c r="M1266" s="99" t="str">
        <f>INDEX(Tableau5[Att2],MATCH(Tableau3[[#This Row],[ID-SIG]],Tableau5[ID],0))&amp;""</f>
        <v/>
      </c>
      <c r="N1266" s="99" t="str">
        <f>INDEX(Tableau5[Att3],MATCH(Tableau3[[#This Row],[ID-SIG]],Tableau5[ID],0))&amp;""</f>
        <v/>
      </c>
      <c r="O1266" s="99"/>
      <c r="P1266" s="99" t="str">
        <f>INDEX(Tableau5[Description],MATCH(Tableau3[[#This Row],[ID-SIG]],Tableau5[ID],0))</f>
        <v>Commande</v>
      </c>
      <c r="Q1266" s="99"/>
      <c r="R1266" s="103" t="str">
        <f>Tableau3[[#This Row],[Description]]</f>
        <v>Commande</v>
      </c>
      <c r="U1266" s="87">
        <v>9</v>
      </c>
      <c r="V1266" s="87">
        <v>1</v>
      </c>
      <c r="W1266" s="87">
        <v>6</v>
      </c>
      <c r="X1266" s="87">
        <v>0</v>
      </c>
      <c r="Y1266" s="41"/>
      <c r="Z1266" s="165" t="str">
        <f>INDEX(Tableau2[TS],MATCH(Tableau3[[#This Row],[ID-CARTEVOIE]],Tableau2[ID-CARTEVOIE],0))</f>
        <v>ST</v>
      </c>
      <c r="AA1266" s="53" t="s">
        <v>213</v>
      </c>
      <c r="AB1266" s="223" t="str">
        <f>IFERROR(INDEX(Tableau5[Reserve],MATCH(Tableau3[[#This Row],[ID-SIG]],Tableau5[ID],0))&amp;"","")</f>
        <v/>
      </c>
      <c r="AC1266" s="21"/>
      <c r="AD1266" s="108" t="str">
        <f>INDEX(Tableau7[Repere],MATCH(Tableau3[[#This Row],[ID-API]],Tableau7[ID-API],0))&amp;""</f>
        <v>A9</v>
      </c>
      <c r="AE1266" s="108" t="str">
        <f>INDEX(Tableau1[Repere-Rack],MATCH(Tableau3[[#This Row],[ID-RACK]],Tableau1[ID-RACK],0))&amp;""</f>
        <v>R1</v>
      </c>
      <c r="AF1266" s="108" t="str">
        <f>INDEX(Tableau1[Repere-Slot],MATCH(Tableau3[[#This Row],[ID-SLOT]],Tableau1[ID-SLOT],0))&amp;""</f>
        <v>S6</v>
      </c>
      <c r="AG1266" s="108" t="str">
        <f>INDEX(Tableau2[Repere-Voie],MATCH(Tableau3[[#This Row],[ID-VOIE]],Tableau2[ID-Voie],0))&amp;""</f>
        <v>v0</v>
      </c>
      <c r="AH1266" s="72" t="str">
        <f>Tableau3[[#This Row],[ID-API]]&amp; "." &amp;Tableau3[[#This Row],[ID-RACK]]&amp; "." &amp;Tableau3[[#This Row],[ID-SLOT]]</f>
        <v>9.1.6</v>
      </c>
      <c r="AI1266" s="72" t="str">
        <f>INDEX(Tableau1[Ref-Carte],MATCH(Tableau3[[#This Row],[ID-RRS]],Tableau1[ID-RRS],0))</f>
        <v>DRA0815</v>
      </c>
      <c r="AJ1266" s="72" t="str">
        <f t="array" ref="AJ1266">IFERROR(INDEX(Tableau2[TS],MATCH(1,(Tableau2[Ref-Carte]=Tableau3[[#This Row],[Ref-Carte2]])*(Tableau2[ID-Voie]=Tableau3[[#This Row],[ID-VOIE]]),0)),"")</f>
        <v>ST</v>
      </c>
      <c r="AK1266" s="72" t="str">
        <f>IFERROR(INDEX(Tableau2[TS],SUMPRODUCT((Tableau2[Ref-Carte]=Tableau3[[#This Row],[Ref-Carte2]])*(Tableau2[ID-Voie]=Tableau3[[#This Row],[ID-VOIE]])*ROW(Tableau2[TS]))-ROW(Tableau2[#Headers])),"")</f>
        <v>ST</v>
      </c>
      <c r="AL1266" s="72" t="str">
        <f>Tableau3[[#This Row],[Ref-Carte2]]&amp;"/"&amp;Tableau3[[#This Row],[ID-VOIE]]</f>
        <v>DRA0815/0</v>
      </c>
      <c r="AM1266" s="73" t="str">
        <f>INDEX(Tableau2[Borne],MATCH(Tableau3[[#This Row],[ID-CARTEVOIE]],Tableau2[ID-CARTEVOIE],0))&amp;""</f>
        <v>0</v>
      </c>
      <c r="AN1266" s="74" t="str">
        <f>Tableau3[[#This Row],[ID-API]]&amp;Tableau3[[#This Row],[ID-RACK]]&amp;Tableau3[[#This Row],[ID-SLOT]]&amp;Tableau3[[#This Row],[BORNE]]</f>
        <v>9160</v>
      </c>
      <c r="AO1266" s="1"/>
    </row>
    <row r="1267" spans="1:41" ht="20.100000000000001" customHeight="1" thickTop="1" thickBot="1">
      <c r="A1267" s="68"/>
      <c r="B1267" s="69" t="str">
        <f>IFERROR(INDEX(Tableau4[Date],MATCH($A1267,Tableau4[EVO],0)),"")</f>
        <v/>
      </c>
      <c r="C1267" s="68" t="str">
        <f>IFERROR(INDEX(Tableau4[Designation],MATCH($A1267,Tableau4[EVO],0)),"")</f>
        <v/>
      </c>
      <c r="D1267" s="68"/>
      <c r="E1267" s="70">
        <v>313</v>
      </c>
      <c r="F1267" s="71">
        <v>99</v>
      </c>
      <c r="G1267" s="101" t="str">
        <f>INDEX(Tableau8[Att1],MATCH(Tableau3[[#This Row],[ID-INS]],Tableau8[ID],0))&amp;""</f>
        <v/>
      </c>
      <c r="H1267" s="101" t="str">
        <f>INDEX(Tableau8[Att2],MATCH(Tableau3[[#This Row],[ID-INS]],Tableau8[ID],0))&amp;""</f>
        <v>TEA34</v>
      </c>
      <c r="I1267" s="101" t="str">
        <f>INDEX(Tableau8[Att3],MATCH(Tableau3[[#This Row],[ID-INS]],Tableau8[ID],0))&amp;""</f>
        <v>Alarme effraction Local CFIS B21</v>
      </c>
      <c r="J1267" s="101"/>
      <c r="K1267" s="167" t="str">
        <f>INDEX(Tableau8[Nom du modele],MATCH(Tableau3[[#This Row],[ID-INS]],Tableau8[ID],0))&amp;""</f>
        <v>TEA</v>
      </c>
      <c r="L1267" s="99" t="str">
        <f>INDEX(Tableau5[Att1],MATCH(Tableau3[[#This Row],[ID-SIG]],Tableau5[ID],0))&amp;""</f>
        <v>Info</v>
      </c>
      <c r="M1267" s="99" t="str">
        <f>INDEX(Tableau5[Att2],MATCH(Tableau3[[#This Row],[ID-SIG]],Tableau5[ID],0))&amp;""</f>
        <v/>
      </c>
      <c r="N1267" s="99" t="str">
        <f>INDEX(Tableau5[Att3],MATCH(Tableau3[[#This Row],[ID-SIG]],Tableau5[ID],0))&amp;""</f>
        <v/>
      </c>
      <c r="O1267" s="99"/>
      <c r="P1267" s="99" t="str">
        <f>INDEX(Tableau5[Description],MATCH(Tableau3[[#This Row],[ID-SIG]],Tableau5[ID],0))</f>
        <v>Commande</v>
      </c>
      <c r="Q1267" s="99"/>
      <c r="R1267" s="103" t="str">
        <f>Tableau3[[#This Row],[Description]]</f>
        <v>Commande</v>
      </c>
      <c r="U1267" s="87">
        <v>9</v>
      </c>
      <c r="V1267" s="87">
        <v>1</v>
      </c>
      <c r="W1267" s="87">
        <v>6</v>
      </c>
      <c r="X1267" s="87">
        <v>1</v>
      </c>
      <c r="Y1267" s="41"/>
      <c r="Z1267" s="165" t="str">
        <f>INDEX(Tableau2[TS],MATCH(Tableau3[[#This Row],[ID-CARTEVOIE]],Tableau2[ID-CARTEVOIE],0))</f>
        <v>ST</v>
      </c>
      <c r="AA1267" s="53" t="s">
        <v>213</v>
      </c>
      <c r="AB1267" s="223" t="str">
        <f>IFERROR(INDEX(Tableau5[Reserve],MATCH(Tableau3[[#This Row],[ID-SIG]],Tableau5[ID],0))&amp;"","")</f>
        <v/>
      </c>
      <c r="AC1267" s="21"/>
      <c r="AD1267" s="108" t="str">
        <f>INDEX(Tableau7[Repere],MATCH(Tableau3[[#This Row],[ID-API]],Tableau7[ID-API],0))&amp;""</f>
        <v>A9</v>
      </c>
      <c r="AE1267" s="108" t="str">
        <f>INDEX(Tableau1[Repere-Rack],MATCH(Tableau3[[#This Row],[ID-RACK]],Tableau1[ID-RACK],0))&amp;""</f>
        <v>R1</v>
      </c>
      <c r="AF1267" s="108" t="str">
        <f>INDEX(Tableau1[Repere-Slot],MATCH(Tableau3[[#This Row],[ID-SLOT]],Tableau1[ID-SLOT],0))&amp;""</f>
        <v>S6</v>
      </c>
      <c r="AG1267" s="108" t="str">
        <f>INDEX(Tableau2[Repere-Voie],MATCH(Tableau3[[#This Row],[ID-VOIE]],Tableau2[ID-Voie],0))&amp;""</f>
        <v>v1</v>
      </c>
      <c r="AH1267" s="72" t="str">
        <f>Tableau3[[#This Row],[ID-API]]&amp; "." &amp;Tableau3[[#This Row],[ID-RACK]]&amp; "." &amp;Tableau3[[#This Row],[ID-SLOT]]</f>
        <v>9.1.6</v>
      </c>
      <c r="AI1267" s="72" t="str">
        <f>INDEX(Tableau1[Ref-Carte],MATCH(Tableau3[[#This Row],[ID-RRS]],Tableau1[ID-RRS],0))</f>
        <v>DRA0815</v>
      </c>
      <c r="AJ1267" s="72" t="str">
        <f t="array" ref="AJ1267">IFERROR(INDEX(Tableau2[TS],MATCH(1,(Tableau2[Ref-Carte]=Tableau3[[#This Row],[Ref-Carte2]])*(Tableau2[ID-Voie]=Tableau3[[#This Row],[ID-VOIE]]),0)),"")</f>
        <v>ST</v>
      </c>
      <c r="AK1267" s="72" t="str">
        <f>IFERROR(INDEX(Tableau2[TS],SUMPRODUCT((Tableau2[Ref-Carte]=Tableau3[[#This Row],[Ref-Carte2]])*(Tableau2[ID-Voie]=Tableau3[[#This Row],[ID-VOIE]])*ROW(Tableau2[TS]))-ROW(Tableau2[#Headers])),"")</f>
        <v>ST</v>
      </c>
      <c r="AL1267" s="72" t="str">
        <f>Tableau3[[#This Row],[Ref-Carte2]]&amp;"/"&amp;Tableau3[[#This Row],[ID-VOIE]]</f>
        <v>DRA0815/1</v>
      </c>
      <c r="AM1267" s="73" t="str">
        <f>INDEX(Tableau2[Borne],MATCH(Tableau3[[#This Row],[ID-CARTEVOIE]],Tableau2[ID-CARTEVOIE],0))&amp;""</f>
        <v>1</v>
      </c>
      <c r="AN1267" s="74" t="str">
        <f>Tableau3[[#This Row],[ID-API]]&amp;Tableau3[[#This Row],[ID-RACK]]&amp;Tableau3[[#This Row],[ID-SLOT]]&amp;Tableau3[[#This Row],[BORNE]]</f>
        <v>9161</v>
      </c>
      <c r="AO1267" s="1"/>
    </row>
    <row r="1268" spans="1:41" ht="20.100000000000001" customHeight="1" thickTop="1" thickBot="1">
      <c r="A1268" s="68"/>
      <c r="B1268" s="69" t="str">
        <f>IFERROR(INDEX(Tableau4[Date],MATCH($A1268,Tableau4[EVO],0)),"")</f>
        <v/>
      </c>
      <c r="C1268" s="68" t="str">
        <f>IFERROR(INDEX(Tableau4[Designation],MATCH($A1268,Tableau4[EVO],0)),"")</f>
        <v/>
      </c>
      <c r="D1268" s="68"/>
      <c r="E1268" s="70">
        <v>314</v>
      </c>
      <c r="F1268" s="71">
        <v>99</v>
      </c>
      <c r="G1268" s="101" t="str">
        <f>INDEX(Tableau8[Att1],MATCH(Tableau3[[#This Row],[ID-INS]],Tableau8[ID],0))&amp;""</f>
        <v/>
      </c>
      <c r="H1268" s="101" t="str">
        <f>INDEX(Tableau8[Att2],MATCH(Tableau3[[#This Row],[ID-INS]],Tableau8[ID],0))&amp;""</f>
        <v>TEA35</v>
      </c>
      <c r="I1268" s="101" t="str">
        <f>INDEX(Tableau8[Att3],MATCH(Tableau3[[#This Row],[ID-INS]],Tableau8[ID],0))&amp;""</f>
        <v>Alarme Intrusion Hall d’accueil</v>
      </c>
      <c r="J1268" s="101"/>
      <c r="K1268" s="167" t="str">
        <f>INDEX(Tableau8[Nom du modele],MATCH(Tableau3[[#This Row],[ID-INS]],Tableau8[ID],0))&amp;""</f>
        <v>TEA</v>
      </c>
      <c r="L1268" s="99" t="str">
        <f>INDEX(Tableau5[Att1],MATCH(Tableau3[[#This Row],[ID-SIG]],Tableau5[ID],0))&amp;""</f>
        <v>Info</v>
      </c>
      <c r="M1268" s="99" t="str">
        <f>INDEX(Tableau5[Att2],MATCH(Tableau3[[#This Row],[ID-SIG]],Tableau5[ID],0))&amp;""</f>
        <v/>
      </c>
      <c r="N1268" s="99" t="str">
        <f>INDEX(Tableau5[Att3],MATCH(Tableau3[[#This Row],[ID-SIG]],Tableau5[ID],0))&amp;""</f>
        <v/>
      </c>
      <c r="O1268" s="99"/>
      <c r="P1268" s="99" t="str">
        <f>INDEX(Tableau5[Description],MATCH(Tableau3[[#This Row],[ID-SIG]],Tableau5[ID],0))</f>
        <v>Commande</v>
      </c>
      <c r="Q1268" s="99"/>
      <c r="R1268" s="103" t="str">
        <f>Tableau3[[#This Row],[Description]]</f>
        <v>Commande</v>
      </c>
      <c r="U1268" s="87">
        <v>9</v>
      </c>
      <c r="V1268" s="87">
        <v>1</v>
      </c>
      <c r="W1268" s="87">
        <v>6</v>
      </c>
      <c r="X1268" s="87">
        <v>2</v>
      </c>
      <c r="Y1268" s="41"/>
      <c r="Z1268" s="165" t="str">
        <f>INDEX(Tableau2[TS],MATCH(Tableau3[[#This Row],[ID-CARTEVOIE]],Tableau2[ID-CARTEVOIE],0))</f>
        <v>ST</v>
      </c>
      <c r="AA1268" s="53" t="s">
        <v>213</v>
      </c>
      <c r="AB1268" s="223" t="str">
        <f>IFERROR(INDEX(Tableau5[Reserve],MATCH(Tableau3[[#This Row],[ID-SIG]],Tableau5[ID],0))&amp;"","")</f>
        <v/>
      </c>
      <c r="AC1268" s="21"/>
      <c r="AD1268" s="108" t="str">
        <f>INDEX(Tableau7[Repere],MATCH(Tableau3[[#This Row],[ID-API]],Tableau7[ID-API],0))&amp;""</f>
        <v>A9</v>
      </c>
      <c r="AE1268" s="108" t="str">
        <f>INDEX(Tableau1[Repere-Rack],MATCH(Tableau3[[#This Row],[ID-RACK]],Tableau1[ID-RACK],0))&amp;""</f>
        <v>R1</v>
      </c>
      <c r="AF1268" s="108" t="str">
        <f>INDEX(Tableau1[Repere-Slot],MATCH(Tableau3[[#This Row],[ID-SLOT]],Tableau1[ID-SLOT],0))&amp;""</f>
        <v>S6</v>
      </c>
      <c r="AG1268" s="108" t="str">
        <f>INDEX(Tableau2[Repere-Voie],MATCH(Tableau3[[#This Row],[ID-VOIE]],Tableau2[ID-Voie],0))&amp;""</f>
        <v>v2</v>
      </c>
      <c r="AH1268" s="72" t="str">
        <f>Tableau3[[#This Row],[ID-API]]&amp; "." &amp;Tableau3[[#This Row],[ID-RACK]]&amp; "." &amp;Tableau3[[#This Row],[ID-SLOT]]</f>
        <v>9.1.6</v>
      </c>
      <c r="AI1268" s="72" t="str">
        <f>INDEX(Tableau1[Ref-Carte],MATCH(Tableau3[[#This Row],[ID-RRS]],Tableau1[ID-RRS],0))</f>
        <v>DRA0815</v>
      </c>
      <c r="AJ1268" s="72" t="str">
        <f t="array" ref="AJ1268">IFERROR(INDEX(Tableau2[TS],MATCH(1,(Tableau2[Ref-Carte]=Tableau3[[#This Row],[Ref-Carte2]])*(Tableau2[ID-Voie]=Tableau3[[#This Row],[ID-VOIE]]),0)),"")</f>
        <v>ST</v>
      </c>
      <c r="AK1268" s="72" t="str">
        <f>IFERROR(INDEX(Tableau2[TS],SUMPRODUCT((Tableau2[Ref-Carte]=Tableau3[[#This Row],[Ref-Carte2]])*(Tableau2[ID-Voie]=Tableau3[[#This Row],[ID-VOIE]])*ROW(Tableau2[TS]))-ROW(Tableau2[#Headers])),"")</f>
        <v>ST</v>
      </c>
      <c r="AL1268" s="72" t="str">
        <f>Tableau3[[#This Row],[Ref-Carte2]]&amp;"/"&amp;Tableau3[[#This Row],[ID-VOIE]]</f>
        <v>DRA0815/2</v>
      </c>
      <c r="AM1268" s="73" t="str">
        <f>INDEX(Tableau2[Borne],MATCH(Tableau3[[#This Row],[ID-CARTEVOIE]],Tableau2[ID-CARTEVOIE],0))&amp;""</f>
        <v>2</v>
      </c>
      <c r="AN1268" s="74" t="str">
        <f>Tableau3[[#This Row],[ID-API]]&amp;Tableau3[[#This Row],[ID-RACK]]&amp;Tableau3[[#This Row],[ID-SLOT]]&amp;Tableau3[[#This Row],[BORNE]]</f>
        <v>9162</v>
      </c>
      <c r="AO1268" s="1"/>
    </row>
    <row r="1269" spans="1:41" ht="20.100000000000001" customHeight="1" thickTop="1" thickBot="1">
      <c r="A1269" s="68"/>
      <c r="B1269" s="69" t="str">
        <f>IFERROR(INDEX(Tableau4[Date],MATCH($A1269,Tableau4[EVO],0)),"")</f>
        <v/>
      </c>
      <c r="C1269" s="68" t="str">
        <f>IFERROR(INDEX(Tableau4[Designation],MATCH($A1269,Tableau4[EVO],0)),"")</f>
        <v/>
      </c>
      <c r="D1269" s="68"/>
      <c r="E1269" s="70">
        <v>315</v>
      </c>
      <c r="F1269" s="71">
        <v>99</v>
      </c>
      <c r="G1269" s="101" t="str">
        <f>INDEX(Tableau8[Att1],MATCH(Tableau3[[#This Row],[ID-INS]],Tableau8[ID],0))&amp;""</f>
        <v/>
      </c>
      <c r="H1269" s="101" t="str">
        <f>INDEX(Tableau8[Att2],MATCH(Tableau3[[#This Row],[ID-INS]],Tableau8[ID],0))&amp;""</f>
        <v>TEA36</v>
      </c>
      <c r="I1269" s="101" t="str">
        <f>INDEX(Tableau8[Att3],MATCH(Tableau3[[#This Row],[ID-INS]],Tableau8[ID],0))&amp;""</f>
        <v>Fraude Intrusion Hall d’accueil</v>
      </c>
      <c r="J1269" s="101"/>
      <c r="K1269" s="167" t="str">
        <f>INDEX(Tableau8[Nom du modele],MATCH(Tableau3[[#This Row],[ID-INS]],Tableau8[ID],0))&amp;""</f>
        <v>TEA</v>
      </c>
      <c r="L1269" s="99" t="str">
        <f>INDEX(Tableau5[Att1],MATCH(Tableau3[[#This Row],[ID-SIG]],Tableau5[ID],0))&amp;""</f>
        <v>Info</v>
      </c>
      <c r="M1269" s="99" t="str">
        <f>INDEX(Tableau5[Att2],MATCH(Tableau3[[#This Row],[ID-SIG]],Tableau5[ID],0))&amp;""</f>
        <v/>
      </c>
      <c r="N1269" s="99" t="str">
        <f>INDEX(Tableau5[Att3],MATCH(Tableau3[[#This Row],[ID-SIG]],Tableau5[ID],0))&amp;""</f>
        <v/>
      </c>
      <c r="O1269" s="99"/>
      <c r="P1269" s="99" t="str">
        <f>INDEX(Tableau5[Description],MATCH(Tableau3[[#This Row],[ID-SIG]],Tableau5[ID],0))</f>
        <v>Commande</v>
      </c>
      <c r="Q1269" s="99"/>
      <c r="R1269" s="103" t="str">
        <f>Tableau3[[#This Row],[Description]]</f>
        <v>Commande</v>
      </c>
      <c r="U1269" s="87">
        <v>9</v>
      </c>
      <c r="V1269" s="87">
        <v>1</v>
      </c>
      <c r="W1269" s="87">
        <v>6</v>
      </c>
      <c r="X1269" s="87">
        <v>3</v>
      </c>
      <c r="Y1269" s="41"/>
      <c r="Z1269" s="165" t="str">
        <f>INDEX(Tableau2[TS],MATCH(Tableau3[[#This Row],[ID-CARTEVOIE]],Tableau2[ID-CARTEVOIE],0))</f>
        <v>ST</v>
      </c>
      <c r="AA1269" s="53" t="s">
        <v>213</v>
      </c>
      <c r="AB1269" s="223" t="str">
        <f>IFERROR(INDEX(Tableau5[Reserve],MATCH(Tableau3[[#This Row],[ID-SIG]],Tableau5[ID],0))&amp;"","")</f>
        <v/>
      </c>
      <c r="AC1269" s="21"/>
      <c r="AD1269" s="108" t="str">
        <f>INDEX(Tableau7[Repere],MATCH(Tableau3[[#This Row],[ID-API]],Tableau7[ID-API],0))&amp;""</f>
        <v>A9</v>
      </c>
      <c r="AE1269" s="108" t="str">
        <f>INDEX(Tableau1[Repere-Rack],MATCH(Tableau3[[#This Row],[ID-RACK]],Tableau1[ID-RACK],0))&amp;""</f>
        <v>R1</v>
      </c>
      <c r="AF1269" s="108" t="str">
        <f>INDEX(Tableau1[Repere-Slot],MATCH(Tableau3[[#This Row],[ID-SLOT]],Tableau1[ID-SLOT],0))&amp;""</f>
        <v>S6</v>
      </c>
      <c r="AG1269" s="108" t="str">
        <f>INDEX(Tableau2[Repere-Voie],MATCH(Tableau3[[#This Row],[ID-VOIE]],Tableau2[ID-Voie],0))&amp;""</f>
        <v>v3</v>
      </c>
      <c r="AH1269" s="72" t="str">
        <f>Tableau3[[#This Row],[ID-API]]&amp; "." &amp;Tableau3[[#This Row],[ID-RACK]]&amp; "." &amp;Tableau3[[#This Row],[ID-SLOT]]</f>
        <v>9.1.6</v>
      </c>
      <c r="AI1269" s="72" t="str">
        <f>INDEX(Tableau1[Ref-Carte],MATCH(Tableau3[[#This Row],[ID-RRS]],Tableau1[ID-RRS],0))</f>
        <v>DRA0815</v>
      </c>
      <c r="AJ1269" s="72" t="str">
        <f t="array" ref="AJ1269">IFERROR(INDEX(Tableau2[TS],MATCH(1,(Tableau2[Ref-Carte]=Tableau3[[#This Row],[Ref-Carte2]])*(Tableau2[ID-Voie]=Tableau3[[#This Row],[ID-VOIE]]),0)),"")</f>
        <v>ST</v>
      </c>
      <c r="AK1269" s="72" t="str">
        <f>IFERROR(INDEX(Tableau2[TS],SUMPRODUCT((Tableau2[Ref-Carte]=Tableau3[[#This Row],[Ref-Carte2]])*(Tableau2[ID-Voie]=Tableau3[[#This Row],[ID-VOIE]])*ROW(Tableau2[TS]))-ROW(Tableau2[#Headers])),"")</f>
        <v>ST</v>
      </c>
      <c r="AL1269" s="72" t="str">
        <f>Tableau3[[#This Row],[Ref-Carte2]]&amp;"/"&amp;Tableau3[[#This Row],[ID-VOIE]]</f>
        <v>DRA0815/3</v>
      </c>
      <c r="AM1269" s="73" t="str">
        <f>INDEX(Tableau2[Borne],MATCH(Tableau3[[#This Row],[ID-CARTEVOIE]],Tableau2[ID-CARTEVOIE],0))&amp;""</f>
        <v>3</v>
      </c>
      <c r="AN1269" s="74" t="str">
        <f>Tableau3[[#This Row],[ID-API]]&amp;Tableau3[[#This Row],[ID-RACK]]&amp;Tableau3[[#This Row],[ID-SLOT]]&amp;Tableau3[[#This Row],[BORNE]]</f>
        <v>9163</v>
      </c>
      <c r="AO1269" s="1"/>
    </row>
    <row r="1270" spans="1:41" ht="20.100000000000001" customHeight="1" thickTop="1" thickBot="1">
      <c r="A1270" s="68"/>
      <c r="B1270" s="69" t="str">
        <f>IFERROR(INDEX(Tableau4[Date],MATCH($A1270,Tableau4[EVO],0)),"")</f>
        <v/>
      </c>
      <c r="C1270" s="68" t="str">
        <f>IFERROR(INDEX(Tableau4[Designation],MATCH($A1270,Tableau4[EVO],0)),"")</f>
        <v/>
      </c>
      <c r="D1270" s="68"/>
      <c r="E1270" s="70">
        <v>316</v>
      </c>
      <c r="F1270" s="71">
        <v>99</v>
      </c>
      <c r="G1270" s="101" t="str">
        <f>INDEX(Tableau8[Att1],MATCH(Tableau3[[#This Row],[ID-INS]],Tableau8[ID],0))&amp;""</f>
        <v/>
      </c>
      <c r="H1270" s="101" t="str">
        <f>INDEX(Tableau8[Att2],MATCH(Tableau3[[#This Row],[ID-INS]],Tableau8[ID],0))&amp;""</f>
        <v>TEA37</v>
      </c>
      <c r="I1270" s="101" t="str">
        <f>INDEX(Tableau8[Att3],MATCH(Tableau3[[#This Row],[ID-INS]],Tableau8[ID],0))&amp;""</f>
        <v>Alarme Intrusion local CFIS B22</v>
      </c>
      <c r="J1270" s="101"/>
      <c r="K1270" s="167" t="str">
        <f>INDEX(Tableau8[Nom du modele],MATCH(Tableau3[[#This Row],[ID-INS]],Tableau8[ID],0))&amp;""</f>
        <v>TEA</v>
      </c>
      <c r="L1270" s="99" t="str">
        <f>INDEX(Tableau5[Att1],MATCH(Tableau3[[#This Row],[ID-SIG]],Tableau5[ID],0))&amp;""</f>
        <v>Info</v>
      </c>
      <c r="M1270" s="99" t="str">
        <f>INDEX(Tableau5[Att2],MATCH(Tableau3[[#This Row],[ID-SIG]],Tableau5[ID],0))&amp;""</f>
        <v/>
      </c>
      <c r="N1270" s="99" t="str">
        <f>INDEX(Tableau5[Att3],MATCH(Tableau3[[#This Row],[ID-SIG]],Tableau5[ID],0))&amp;""</f>
        <v/>
      </c>
      <c r="O1270" s="99"/>
      <c r="P1270" s="99" t="str">
        <f>INDEX(Tableau5[Description],MATCH(Tableau3[[#This Row],[ID-SIG]],Tableau5[ID],0))</f>
        <v>Commande</v>
      </c>
      <c r="Q1270" s="99"/>
      <c r="R1270" s="103" t="str">
        <f>Tableau3[[#This Row],[Description]]</f>
        <v>Commande</v>
      </c>
      <c r="U1270" s="87">
        <v>9</v>
      </c>
      <c r="V1270" s="87">
        <v>1</v>
      </c>
      <c r="W1270" s="87">
        <v>6</v>
      </c>
      <c r="X1270" s="87">
        <v>4</v>
      </c>
      <c r="Y1270" s="41"/>
      <c r="Z1270" s="165" t="str">
        <f>INDEX(Tableau2[TS],MATCH(Tableau3[[#This Row],[ID-CARTEVOIE]],Tableau2[ID-CARTEVOIE],0))</f>
        <v>ST</v>
      </c>
      <c r="AA1270" s="53" t="s">
        <v>213</v>
      </c>
      <c r="AB1270" s="223" t="str">
        <f>IFERROR(INDEX(Tableau5[Reserve],MATCH(Tableau3[[#This Row],[ID-SIG]],Tableau5[ID],0))&amp;"","")</f>
        <v/>
      </c>
      <c r="AC1270" s="21"/>
      <c r="AD1270" s="108" t="str">
        <f>INDEX(Tableau7[Repere],MATCH(Tableau3[[#This Row],[ID-API]],Tableau7[ID-API],0))&amp;""</f>
        <v>A9</v>
      </c>
      <c r="AE1270" s="108" t="str">
        <f>INDEX(Tableau1[Repere-Rack],MATCH(Tableau3[[#This Row],[ID-RACK]],Tableau1[ID-RACK],0))&amp;""</f>
        <v>R1</v>
      </c>
      <c r="AF1270" s="108" t="str">
        <f>INDEX(Tableau1[Repere-Slot],MATCH(Tableau3[[#This Row],[ID-SLOT]],Tableau1[ID-SLOT],0))&amp;""</f>
        <v>S6</v>
      </c>
      <c r="AG1270" s="108" t="str">
        <f>INDEX(Tableau2[Repere-Voie],MATCH(Tableau3[[#This Row],[ID-VOIE]],Tableau2[ID-Voie],0))&amp;""</f>
        <v>v4</v>
      </c>
      <c r="AH1270" s="72" t="str">
        <f>Tableau3[[#This Row],[ID-API]]&amp; "." &amp;Tableau3[[#This Row],[ID-RACK]]&amp; "." &amp;Tableau3[[#This Row],[ID-SLOT]]</f>
        <v>9.1.6</v>
      </c>
      <c r="AI1270" s="72" t="str">
        <f>INDEX(Tableau1[Ref-Carte],MATCH(Tableau3[[#This Row],[ID-RRS]],Tableau1[ID-RRS],0))</f>
        <v>DRA0815</v>
      </c>
      <c r="AJ1270" s="72" t="str">
        <f t="array" ref="AJ1270">IFERROR(INDEX(Tableau2[TS],MATCH(1,(Tableau2[Ref-Carte]=Tableau3[[#This Row],[Ref-Carte2]])*(Tableau2[ID-Voie]=Tableau3[[#This Row],[ID-VOIE]]),0)),"")</f>
        <v>ST</v>
      </c>
      <c r="AK1270" s="72" t="str">
        <f>IFERROR(INDEX(Tableau2[TS],SUMPRODUCT((Tableau2[Ref-Carte]=Tableau3[[#This Row],[Ref-Carte2]])*(Tableau2[ID-Voie]=Tableau3[[#This Row],[ID-VOIE]])*ROW(Tableau2[TS]))-ROW(Tableau2[#Headers])),"")</f>
        <v>ST</v>
      </c>
      <c r="AL1270" s="72" t="str">
        <f>Tableau3[[#This Row],[Ref-Carte2]]&amp;"/"&amp;Tableau3[[#This Row],[ID-VOIE]]</f>
        <v>DRA0815/4</v>
      </c>
      <c r="AM1270" s="73" t="str">
        <f>INDEX(Tableau2[Borne],MATCH(Tableau3[[#This Row],[ID-CARTEVOIE]],Tableau2[ID-CARTEVOIE],0))&amp;""</f>
        <v>4</v>
      </c>
      <c r="AN1270" s="74" t="str">
        <f>Tableau3[[#This Row],[ID-API]]&amp;Tableau3[[#This Row],[ID-RACK]]&amp;Tableau3[[#This Row],[ID-SLOT]]&amp;Tableau3[[#This Row],[BORNE]]</f>
        <v>9164</v>
      </c>
      <c r="AO1270" s="1"/>
    </row>
    <row r="1271" spans="1:41" ht="20.100000000000001" customHeight="1" thickTop="1" thickBot="1">
      <c r="A1271" s="68"/>
      <c r="B1271" s="69" t="str">
        <f>IFERROR(INDEX(Tableau4[Date],MATCH($A1271,Tableau4[EVO],0)),"")</f>
        <v/>
      </c>
      <c r="C1271" s="68" t="str">
        <f>IFERROR(INDEX(Tableau4[Designation],MATCH($A1271,Tableau4[EVO],0)),"")</f>
        <v/>
      </c>
      <c r="D1271" s="68"/>
      <c r="E1271" s="70">
        <v>317</v>
      </c>
      <c r="F1271" s="71">
        <v>99</v>
      </c>
      <c r="G1271" s="101" t="str">
        <f>INDEX(Tableau8[Att1],MATCH(Tableau3[[#This Row],[ID-INS]],Tableau8[ID],0))&amp;""</f>
        <v/>
      </c>
      <c r="H1271" s="101" t="str">
        <f>INDEX(Tableau8[Att2],MATCH(Tableau3[[#This Row],[ID-INS]],Tableau8[ID],0))&amp;""</f>
        <v>TEA38</v>
      </c>
      <c r="I1271" s="101" t="str">
        <f>INDEX(Tableau8[Att3],MATCH(Tableau3[[#This Row],[ID-INS]],Tableau8[ID],0))&amp;""</f>
        <v>Fraude Intrusion local CFIS B22</v>
      </c>
      <c r="J1271" s="101"/>
      <c r="K1271" s="167" t="str">
        <f>INDEX(Tableau8[Nom du modele],MATCH(Tableau3[[#This Row],[ID-INS]],Tableau8[ID],0))&amp;""</f>
        <v>TEA</v>
      </c>
      <c r="L1271" s="99" t="str">
        <f>INDEX(Tableau5[Att1],MATCH(Tableau3[[#This Row],[ID-SIG]],Tableau5[ID],0))&amp;""</f>
        <v>Info</v>
      </c>
      <c r="M1271" s="99" t="str">
        <f>INDEX(Tableau5[Att2],MATCH(Tableau3[[#This Row],[ID-SIG]],Tableau5[ID],0))&amp;""</f>
        <v/>
      </c>
      <c r="N1271" s="99" t="str">
        <f>INDEX(Tableau5[Att3],MATCH(Tableau3[[#This Row],[ID-SIG]],Tableau5[ID],0))&amp;""</f>
        <v/>
      </c>
      <c r="O1271" s="99"/>
      <c r="P1271" s="99" t="str">
        <f>INDEX(Tableau5[Description],MATCH(Tableau3[[#This Row],[ID-SIG]],Tableau5[ID],0))</f>
        <v>Commande</v>
      </c>
      <c r="Q1271" s="99"/>
      <c r="R1271" s="103" t="str">
        <f>Tableau3[[#This Row],[Description]]</f>
        <v>Commande</v>
      </c>
      <c r="U1271" s="87">
        <v>9</v>
      </c>
      <c r="V1271" s="87">
        <v>1</v>
      </c>
      <c r="W1271" s="87">
        <v>6</v>
      </c>
      <c r="X1271" s="87">
        <v>5</v>
      </c>
      <c r="Y1271" s="41"/>
      <c r="Z1271" s="165" t="str">
        <f>INDEX(Tableau2[TS],MATCH(Tableau3[[#This Row],[ID-CARTEVOIE]],Tableau2[ID-CARTEVOIE],0))</f>
        <v>ST</v>
      </c>
      <c r="AA1271" s="53" t="s">
        <v>213</v>
      </c>
      <c r="AB1271" s="223" t="str">
        <f>IFERROR(INDEX(Tableau5[Reserve],MATCH(Tableau3[[#This Row],[ID-SIG]],Tableau5[ID],0))&amp;"","")</f>
        <v/>
      </c>
      <c r="AC1271" s="21"/>
      <c r="AD1271" s="108" t="str">
        <f>INDEX(Tableau7[Repere],MATCH(Tableau3[[#This Row],[ID-API]],Tableau7[ID-API],0))&amp;""</f>
        <v>A9</v>
      </c>
      <c r="AE1271" s="108" t="str">
        <f>INDEX(Tableau1[Repere-Rack],MATCH(Tableau3[[#This Row],[ID-RACK]],Tableau1[ID-RACK],0))&amp;""</f>
        <v>R1</v>
      </c>
      <c r="AF1271" s="108" t="str">
        <f>INDEX(Tableau1[Repere-Slot],MATCH(Tableau3[[#This Row],[ID-SLOT]],Tableau1[ID-SLOT],0))&amp;""</f>
        <v>S6</v>
      </c>
      <c r="AG1271" s="108" t="str">
        <f>INDEX(Tableau2[Repere-Voie],MATCH(Tableau3[[#This Row],[ID-VOIE]],Tableau2[ID-Voie],0))&amp;""</f>
        <v>v5</v>
      </c>
      <c r="AH1271" s="72" t="str">
        <f>Tableau3[[#This Row],[ID-API]]&amp; "." &amp;Tableau3[[#This Row],[ID-RACK]]&amp; "." &amp;Tableau3[[#This Row],[ID-SLOT]]</f>
        <v>9.1.6</v>
      </c>
      <c r="AI1271" s="72" t="str">
        <f>INDEX(Tableau1[Ref-Carte],MATCH(Tableau3[[#This Row],[ID-RRS]],Tableau1[ID-RRS],0))</f>
        <v>DRA0815</v>
      </c>
      <c r="AJ1271" s="72" t="str">
        <f t="array" ref="AJ1271">IFERROR(INDEX(Tableau2[TS],MATCH(1,(Tableau2[Ref-Carte]=Tableau3[[#This Row],[Ref-Carte2]])*(Tableau2[ID-Voie]=Tableau3[[#This Row],[ID-VOIE]]),0)),"")</f>
        <v>ST</v>
      </c>
      <c r="AK1271" s="72" t="str">
        <f>IFERROR(INDEX(Tableau2[TS],SUMPRODUCT((Tableau2[Ref-Carte]=Tableau3[[#This Row],[Ref-Carte2]])*(Tableau2[ID-Voie]=Tableau3[[#This Row],[ID-VOIE]])*ROW(Tableau2[TS]))-ROW(Tableau2[#Headers])),"")</f>
        <v>ST</v>
      </c>
      <c r="AL1271" s="72" t="str">
        <f>Tableau3[[#This Row],[Ref-Carte2]]&amp;"/"&amp;Tableau3[[#This Row],[ID-VOIE]]</f>
        <v>DRA0815/5</v>
      </c>
      <c r="AM1271" s="73" t="str">
        <f>INDEX(Tableau2[Borne],MATCH(Tableau3[[#This Row],[ID-CARTEVOIE]],Tableau2[ID-CARTEVOIE],0))&amp;""</f>
        <v>5</v>
      </c>
      <c r="AN1271" s="74" t="str">
        <f>Tableau3[[#This Row],[ID-API]]&amp;Tableau3[[#This Row],[ID-RACK]]&amp;Tableau3[[#This Row],[ID-SLOT]]&amp;Tableau3[[#This Row],[BORNE]]</f>
        <v>9165</v>
      </c>
      <c r="AO1271" s="1"/>
    </row>
    <row r="1272" spans="1:41" ht="20.100000000000001" customHeight="1" thickTop="1" thickBot="1">
      <c r="A1272" s="68"/>
      <c r="B1272" s="69" t="str">
        <f>IFERROR(INDEX(Tableau4[Date],MATCH($A1272,Tableau4[EVO],0)),"")</f>
        <v/>
      </c>
      <c r="C1272" s="68" t="str">
        <f>IFERROR(INDEX(Tableau4[Designation],MATCH($A1272,Tableau4[EVO],0)),"")</f>
        <v/>
      </c>
      <c r="D1272" s="68"/>
      <c r="E1272" s="70">
        <v>318</v>
      </c>
      <c r="F1272" s="71">
        <v>99</v>
      </c>
      <c r="G1272" s="101" t="str">
        <f>INDEX(Tableau8[Att1],MATCH(Tableau3[[#This Row],[ID-INS]],Tableau8[ID],0))&amp;""</f>
        <v/>
      </c>
      <c r="H1272" s="101" t="str">
        <f>INDEX(Tableau8[Att2],MATCH(Tableau3[[#This Row],[ID-INS]],Tableau8[ID],0))&amp;""</f>
        <v>TEA39</v>
      </c>
      <c r="I1272" s="101" t="str">
        <f>INDEX(Tableau8[Att3],MATCH(Tableau3[[#This Row],[ID-INS]],Tableau8[ID],0))&amp;""</f>
        <v>Alarme effraction Local CFIS B22</v>
      </c>
      <c r="J1272" s="101"/>
      <c r="K1272" s="167" t="str">
        <f>INDEX(Tableau8[Nom du modele],MATCH(Tableau3[[#This Row],[ID-INS]],Tableau8[ID],0))&amp;""</f>
        <v>TEA</v>
      </c>
      <c r="L1272" s="99" t="str">
        <f>INDEX(Tableau5[Att1],MATCH(Tableau3[[#This Row],[ID-SIG]],Tableau5[ID],0))&amp;""</f>
        <v>Info</v>
      </c>
      <c r="M1272" s="99" t="str">
        <f>INDEX(Tableau5[Att2],MATCH(Tableau3[[#This Row],[ID-SIG]],Tableau5[ID],0))&amp;""</f>
        <v/>
      </c>
      <c r="N1272" s="99" t="str">
        <f>INDEX(Tableau5[Att3],MATCH(Tableau3[[#This Row],[ID-SIG]],Tableau5[ID],0))&amp;""</f>
        <v/>
      </c>
      <c r="O1272" s="99"/>
      <c r="P1272" s="99" t="str">
        <f>INDEX(Tableau5[Description],MATCH(Tableau3[[#This Row],[ID-SIG]],Tableau5[ID],0))</f>
        <v>Commande</v>
      </c>
      <c r="Q1272" s="99"/>
      <c r="R1272" s="103" t="str">
        <f>Tableau3[[#This Row],[Description]]</f>
        <v>Commande</v>
      </c>
      <c r="U1272" s="87">
        <v>9</v>
      </c>
      <c r="V1272" s="87">
        <v>1</v>
      </c>
      <c r="W1272" s="87">
        <v>6</v>
      </c>
      <c r="X1272" s="87">
        <v>6</v>
      </c>
      <c r="Y1272" s="41"/>
      <c r="Z1272" s="165" t="str">
        <f>INDEX(Tableau2[TS],MATCH(Tableau3[[#This Row],[ID-CARTEVOIE]],Tableau2[ID-CARTEVOIE],0))</f>
        <v>ST</v>
      </c>
      <c r="AA1272" s="53" t="s">
        <v>213</v>
      </c>
      <c r="AB1272" s="223" t="str">
        <f>IFERROR(INDEX(Tableau5[Reserve],MATCH(Tableau3[[#This Row],[ID-SIG]],Tableau5[ID],0))&amp;"","")</f>
        <v/>
      </c>
      <c r="AC1272" s="21"/>
      <c r="AD1272" s="108" t="str">
        <f>INDEX(Tableau7[Repere],MATCH(Tableau3[[#This Row],[ID-API]],Tableau7[ID-API],0))&amp;""</f>
        <v>A9</v>
      </c>
      <c r="AE1272" s="108" t="str">
        <f>INDEX(Tableau1[Repere-Rack],MATCH(Tableau3[[#This Row],[ID-RACK]],Tableau1[ID-RACK],0))&amp;""</f>
        <v>R1</v>
      </c>
      <c r="AF1272" s="108" t="str">
        <f>INDEX(Tableau1[Repere-Slot],MATCH(Tableau3[[#This Row],[ID-SLOT]],Tableau1[ID-SLOT],0))&amp;""</f>
        <v>S6</v>
      </c>
      <c r="AG1272" s="108" t="str">
        <f>INDEX(Tableau2[Repere-Voie],MATCH(Tableau3[[#This Row],[ID-VOIE]],Tableau2[ID-Voie],0))&amp;""</f>
        <v>v6</v>
      </c>
      <c r="AH1272" s="72" t="str">
        <f>Tableau3[[#This Row],[ID-API]]&amp; "." &amp;Tableau3[[#This Row],[ID-RACK]]&amp; "." &amp;Tableau3[[#This Row],[ID-SLOT]]</f>
        <v>9.1.6</v>
      </c>
      <c r="AI1272" s="72" t="str">
        <f>INDEX(Tableau1[Ref-Carte],MATCH(Tableau3[[#This Row],[ID-RRS]],Tableau1[ID-RRS],0))</f>
        <v>DRA0815</v>
      </c>
      <c r="AJ1272" s="72" t="str">
        <f t="array" ref="AJ1272">IFERROR(INDEX(Tableau2[TS],MATCH(1,(Tableau2[Ref-Carte]=Tableau3[[#This Row],[Ref-Carte2]])*(Tableau2[ID-Voie]=Tableau3[[#This Row],[ID-VOIE]]),0)),"")</f>
        <v>ST</v>
      </c>
      <c r="AK1272" s="72" t="str">
        <f>IFERROR(INDEX(Tableau2[TS],SUMPRODUCT((Tableau2[Ref-Carte]=Tableau3[[#This Row],[Ref-Carte2]])*(Tableau2[ID-Voie]=Tableau3[[#This Row],[ID-VOIE]])*ROW(Tableau2[TS]))-ROW(Tableau2[#Headers])),"")</f>
        <v>ST</v>
      </c>
      <c r="AL1272" s="72" t="str">
        <f>Tableau3[[#This Row],[Ref-Carte2]]&amp;"/"&amp;Tableau3[[#This Row],[ID-VOIE]]</f>
        <v>DRA0815/6</v>
      </c>
      <c r="AM1272" s="73" t="str">
        <f>INDEX(Tableau2[Borne],MATCH(Tableau3[[#This Row],[ID-CARTEVOIE]],Tableau2[ID-CARTEVOIE],0))&amp;""</f>
        <v>6</v>
      </c>
      <c r="AN1272" s="74" t="str">
        <f>Tableau3[[#This Row],[ID-API]]&amp;Tableau3[[#This Row],[ID-RACK]]&amp;Tableau3[[#This Row],[ID-SLOT]]&amp;Tableau3[[#This Row],[BORNE]]</f>
        <v>9166</v>
      </c>
      <c r="AO1272" s="1"/>
    </row>
    <row r="1273" spans="1:41" ht="20.100000000000001" customHeight="1" thickTop="1" thickBot="1">
      <c r="A1273" s="68"/>
      <c r="B1273" s="69" t="str">
        <f>IFERROR(INDEX(Tableau4[Date],MATCH($A1273,Tableau4[EVO],0)),"")</f>
        <v/>
      </c>
      <c r="C1273" s="68" t="str">
        <f>IFERROR(INDEX(Tableau4[Designation],MATCH($A1273,Tableau4[EVO],0)),"")</f>
        <v/>
      </c>
      <c r="D1273" s="68"/>
      <c r="E1273" s="70">
        <v>319</v>
      </c>
      <c r="F1273" s="71">
        <v>99</v>
      </c>
      <c r="G1273" s="101" t="str">
        <f>INDEX(Tableau8[Att1],MATCH(Tableau3[[#This Row],[ID-INS]],Tableau8[ID],0))&amp;""</f>
        <v/>
      </c>
      <c r="H1273" s="101" t="str">
        <f>INDEX(Tableau8[Att2],MATCH(Tableau3[[#This Row],[ID-INS]],Tableau8[ID],0))&amp;""</f>
        <v>TEA40</v>
      </c>
      <c r="I1273" s="101" t="str">
        <f>INDEX(Tableau8[Att3],MATCH(Tableau3[[#This Row],[ID-INS]],Tableau8[ID],0))&amp;""</f>
        <v xml:space="preserve"> Alarme Intrusion Hall de contrôle bagage</v>
      </c>
      <c r="J1273" s="101"/>
      <c r="K1273" s="167" t="str">
        <f>INDEX(Tableau8[Nom du modele],MATCH(Tableau3[[#This Row],[ID-INS]],Tableau8[ID],0))&amp;""</f>
        <v>TEA</v>
      </c>
      <c r="L1273" s="99" t="str">
        <f>INDEX(Tableau5[Att1],MATCH(Tableau3[[#This Row],[ID-SIG]],Tableau5[ID],0))&amp;""</f>
        <v>Info</v>
      </c>
      <c r="M1273" s="99" t="str">
        <f>INDEX(Tableau5[Att2],MATCH(Tableau3[[#This Row],[ID-SIG]],Tableau5[ID],0))&amp;""</f>
        <v/>
      </c>
      <c r="N1273" s="99" t="str">
        <f>INDEX(Tableau5[Att3],MATCH(Tableau3[[#This Row],[ID-SIG]],Tableau5[ID],0))&amp;""</f>
        <v/>
      </c>
      <c r="O1273" s="99"/>
      <c r="P1273" s="99" t="str">
        <f>INDEX(Tableau5[Description],MATCH(Tableau3[[#This Row],[ID-SIG]],Tableau5[ID],0))</f>
        <v>Commande</v>
      </c>
      <c r="Q1273" s="99"/>
      <c r="R1273" s="103" t="str">
        <f>Tableau3[[#This Row],[Description]]</f>
        <v>Commande</v>
      </c>
      <c r="U1273" s="87">
        <v>9</v>
      </c>
      <c r="V1273" s="87">
        <v>1</v>
      </c>
      <c r="W1273" s="87">
        <v>6</v>
      </c>
      <c r="X1273" s="87">
        <v>7</v>
      </c>
      <c r="Y1273" s="41"/>
      <c r="Z1273" s="165" t="str">
        <f>INDEX(Tableau2[TS],MATCH(Tableau3[[#This Row],[ID-CARTEVOIE]],Tableau2[ID-CARTEVOIE],0))</f>
        <v>ST</v>
      </c>
      <c r="AA1273" s="53" t="s">
        <v>213</v>
      </c>
      <c r="AB1273" s="223" t="str">
        <f>IFERROR(INDEX(Tableau5[Reserve],MATCH(Tableau3[[#This Row],[ID-SIG]],Tableau5[ID],0))&amp;"","")</f>
        <v/>
      </c>
      <c r="AC1273" s="21"/>
      <c r="AD1273" s="108" t="str">
        <f>INDEX(Tableau7[Repere],MATCH(Tableau3[[#This Row],[ID-API]],Tableau7[ID-API],0))&amp;""</f>
        <v>A9</v>
      </c>
      <c r="AE1273" s="108" t="str">
        <f>INDEX(Tableau1[Repere-Rack],MATCH(Tableau3[[#This Row],[ID-RACK]],Tableau1[ID-RACK],0))&amp;""</f>
        <v>R1</v>
      </c>
      <c r="AF1273" s="108" t="str">
        <f>INDEX(Tableau1[Repere-Slot],MATCH(Tableau3[[#This Row],[ID-SLOT]],Tableau1[ID-SLOT],0))&amp;""</f>
        <v>S6</v>
      </c>
      <c r="AG1273" s="108" t="str">
        <f>INDEX(Tableau2[Repere-Voie],MATCH(Tableau3[[#This Row],[ID-VOIE]],Tableau2[ID-Voie],0))&amp;""</f>
        <v>v7</v>
      </c>
      <c r="AH1273" s="72" t="str">
        <f>Tableau3[[#This Row],[ID-API]]&amp; "." &amp;Tableau3[[#This Row],[ID-RACK]]&amp; "." &amp;Tableau3[[#This Row],[ID-SLOT]]</f>
        <v>9.1.6</v>
      </c>
      <c r="AI1273" s="72" t="str">
        <f>INDEX(Tableau1[Ref-Carte],MATCH(Tableau3[[#This Row],[ID-RRS]],Tableau1[ID-RRS],0))</f>
        <v>DRA0815</v>
      </c>
      <c r="AJ1273" s="72" t="str">
        <f t="array" ref="AJ1273">IFERROR(INDEX(Tableau2[TS],MATCH(1,(Tableau2[Ref-Carte]=Tableau3[[#This Row],[Ref-Carte2]])*(Tableau2[ID-Voie]=Tableau3[[#This Row],[ID-VOIE]]),0)),"")</f>
        <v>ST</v>
      </c>
      <c r="AK1273" s="72" t="str">
        <f>IFERROR(INDEX(Tableau2[TS],SUMPRODUCT((Tableau2[Ref-Carte]=Tableau3[[#This Row],[Ref-Carte2]])*(Tableau2[ID-Voie]=Tableau3[[#This Row],[ID-VOIE]])*ROW(Tableau2[TS]))-ROW(Tableau2[#Headers])),"")</f>
        <v>ST</v>
      </c>
      <c r="AL1273" s="72" t="str">
        <f>Tableau3[[#This Row],[Ref-Carte2]]&amp;"/"&amp;Tableau3[[#This Row],[ID-VOIE]]</f>
        <v>DRA0815/7</v>
      </c>
      <c r="AM1273" s="73" t="str">
        <f>INDEX(Tableau2[Borne],MATCH(Tableau3[[#This Row],[ID-CARTEVOIE]],Tableau2[ID-CARTEVOIE],0))&amp;""</f>
        <v>7</v>
      </c>
      <c r="AN1273" s="74" t="str">
        <f>Tableau3[[#This Row],[ID-API]]&amp;Tableau3[[#This Row],[ID-RACK]]&amp;Tableau3[[#This Row],[ID-SLOT]]&amp;Tableau3[[#This Row],[BORNE]]</f>
        <v>9167</v>
      </c>
      <c r="AO1273" s="1"/>
    </row>
    <row r="1274" spans="1:41" ht="20.100000000000001" customHeight="1" thickTop="1" thickBot="1">
      <c r="A1274" s="68"/>
      <c r="B1274" s="69" t="str">
        <f>IFERROR(INDEX(Tableau4[Date],MATCH($A1274,Tableau4[EVO],0)),"")</f>
        <v/>
      </c>
      <c r="C1274" s="68" t="str">
        <f>IFERROR(INDEX(Tableau4[Designation],MATCH($A1274,Tableau4[EVO],0)),"")</f>
        <v/>
      </c>
      <c r="D1274" s="68"/>
      <c r="E1274" s="70">
        <v>320</v>
      </c>
      <c r="F1274" s="71">
        <v>99</v>
      </c>
      <c r="G1274" s="101" t="str">
        <f>INDEX(Tableau8[Att1],MATCH(Tableau3[[#This Row],[ID-INS]],Tableau8[ID],0))&amp;""</f>
        <v/>
      </c>
      <c r="H1274" s="101" t="str">
        <f>INDEX(Tableau8[Att2],MATCH(Tableau3[[#This Row],[ID-INS]],Tableau8[ID],0))&amp;""</f>
        <v>TEA41</v>
      </c>
      <c r="I1274" s="101" t="str">
        <f>INDEX(Tableau8[Att3],MATCH(Tableau3[[#This Row],[ID-INS]],Tableau8[ID],0))&amp;""</f>
        <v xml:space="preserve"> Fraude Intrusion Hall de contrôle bagage</v>
      </c>
      <c r="J1274" s="101"/>
      <c r="K1274" s="167" t="str">
        <f>INDEX(Tableau8[Nom du modele],MATCH(Tableau3[[#This Row],[ID-INS]],Tableau8[ID],0))&amp;""</f>
        <v>TEA</v>
      </c>
      <c r="L1274" s="99" t="str">
        <f>INDEX(Tableau5[Att1],MATCH(Tableau3[[#This Row],[ID-SIG]],Tableau5[ID],0))&amp;""</f>
        <v>Info</v>
      </c>
      <c r="M1274" s="99" t="str">
        <f>INDEX(Tableau5[Att2],MATCH(Tableau3[[#This Row],[ID-SIG]],Tableau5[ID],0))&amp;""</f>
        <v/>
      </c>
      <c r="N1274" s="99" t="str">
        <f>INDEX(Tableau5[Att3],MATCH(Tableau3[[#This Row],[ID-SIG]],Tableau5[ID],0))&amp;""</f>
        <v/>
      </c>
      <c r="O1274" s="99"/>
      <c r="P1274" s="99" t="str">
        <f>INDEX(Tableau5[Description],MATCH(Tableau3[[#This Row],[ID-SIG]],Tableau5[ID],0))</f>
        <v>Commande</v>
      </c>
      <c r="Q1274" s="99"/>
      <c r="R1274" s="103" t="str">
        <f>Tableau3[[#This Row],[Description]]</f>
        <v>Commande</v>
      </c>
      <c r="U1274" s="87">
        <v>9</v>
      </c>
      <c r="V1274" s="87">
        <v>1</v>
      </c>
      <c r="W1274" s="87">
        <v>7</v>
      </c>
      <c r="X1274" s="87">
        <v>0</v>
      </c>
      <c r="Y1274" s="41"/>
      <c r="Z1274" s="165" t="str">
        <f>INDEX(Tableau2[TS],MATCH(Tableau3[[#This Row],[ID-CARTEVOIE]],Tableau2[ID-CARTEVOIE],0))</f>
        <v>ST</v>
      </c>
      <c r="AA1274" s="53" t="s">
        <v>213</v>
      </c>
      <c r="AB1274" s="223" t="str">
        <f>IFERROR(INDEX(Tableau5[Reserve],MATCH(Tableau3[[#This Row],[ID-SIG]],Tableau5[ID],0))&amp;"","")</f>
        <v/>
      </c>
      <c r="AC1274" s="21"/>
      <c r="AD1274" s="108" t="str">
        <f>INDEX(Tableau7[Repere],MATCH(Tableau3[[#This Row],[ID-API]],Tableau7[ID-API],0))&amp;""</f>
        <v>A9</v>
      </c>
      <c r="AE1274" s="108" t="str">
        <f>INDEX(Tableau1[Repere-Rack],MATCH(Tableau3[[#This Row],[ID-RACK]],Tableau1[ID-RACK],0))&amp;""</f>
        <v>R1</v>
      </c>
      <c r="AF1274" s="108" t="str">
        <f>INDEX(Tableau1[Repere-Slot],MATCH(Tableau3[[#This Row],[ID-SLOT]],Tableau1[ID-SLOT],0))&amp;""</f>
        <v>S7</v>
      </c>
      <c r="AG1274" s="108" t="str">
        <f>INDEX(Tableau2[Repere-Voie],MATCH(Tableau3[[#This Row],[ID-VOIE]],Tableau2[ID-Voie],0))&amp;""</f>
        <v>v0</v>
      </c>
      <c r="AH1274" s="72" t="str">
        <f>Tableau3[[#This Row],[ID-API]]&amp; "." &amp;Tableau3[[#This Row],[ID-RACK]]&amp; "." &amp;Tableau3[[#This Row],[ID-SLOT]]</f>
        <v>9.1.7</v>
      </c>
      <c r="AI1274" s="72" t="str">
        <f>INDEX(Tableau1[Ref-Carte],MATCH(Tableau3[[#This Row],[ID-RRS]],Tableau1[ID-RRS],0))</f>
        <v>DRA0815</v>
      </c>
      <c r="AJ1274" s="72" t="str">
        <f t="array" ref="AJ1274">IFERROR(INDEX(Tableau2[TS],MATCH(1,(Tableau2[Ref-Carte]=Tableau3[[#This Row],[Ref-Carte2]])*(Tableau2[ID-Voie]=Tableau3[[#This Row],[ID-VOIE]]),0)),"")</f>
        <v>ST</v>
      </c>
      <c r="AK1274" s="72" t="str">
        <f>IFERROR(INDEX(Tableau2[TS],SUMPRODUCT((Tableau2[Ref-Carte]=Tableau3[[#This Row],[Ref-Carte2]])*(Tableau2[ID-Voie]=Tableau3[[#This Row],[ID-VOIE]])*ROW(Tableau2[TS]))-ROW(Tableau2[#Headers])),"")</f>
        <v>ST</v>
      </c>
      <c r="AL1274" s="72" t="str">
        <f>Tableau3[[#This Row],[Ref-Carte2]]&amp;"/"&amp;Tableau3[[#This Row],[ID-VOIE]]</f>
        <v>DRA0815/0</v>
      </c>
      <c r="AM1274" s="73" t="str">
        <f>INDEX(Tableau2[Borne],MATCH(Tableau3[[#This Row],[ID-CARTEVOIE]],Tableau2[ID-CARTEVOIE],0))&amp;""</f>
        <v>0</v>
      </c>
      <c r="AN1274" s="74" t="str">
        <f>Tableau3[[#This Row],[ID-API]]&amp;Tableau3[[#This Row],[ID-RACK]]&amp;Tableau3[[#This Row],[ID-SLOT]]&amp;Tableau3[[#This Row],[BORNE]]</f>
        <v>9170</v>
      </c>
      <c r="AO1274" s="1"/>
    </row>
    <row r="1275" spans="1:41" ht="20.100000000000001" customHeight="1" thickTop="1" thickBot="1">
      <c r="A1275" s="68"/>
      <c r="B1275" s="69" t="str">
        <f>IFERROR(INDEX(Tableau4[Date],MATCH($A1275,Tableau4[EVO],0)),"")</f>
        <v/>
      </c>
      <c r="C1275" s="68" t="str">
        <f>IFERROR(INDEX(Tableau4[Designation],MATCH($A1275,Tableau4[EVO],0)),"")</f>
        <v/>
      </c>
      <c r="D1275" s="68"/>
      <c r="E1275" s="70">
        <v>321</v>
      </c>
      <c r="F1275" s="71">
        <v>99</v>
      </c>
      <c r="G1275" s="101" t="str">
        <f>INDEX(Tableau8[Att1],MATCH(Tableau3[[#This Row],[ID-INS]],Tableau8[ID],0))&amp;""</f>
        <v/>
      </c>
      <c r="H1275" s="101" t="str">
        <f>INDEX(Tableau8[Att2],MATCH(Tableau3[[#This Row],[ID-INS]],Tableau8[ID],0))&amp;""</f>
        <v>TEA42</v>
      </c>
      <c r="I1275" s="101" t="str">
        <f>INDEX(Tableau8[Att3],MATCH(Tableau3[[#This Row],[ID-INS]],Tableau8[ID],0))&amp;""</f>
        <v>Alarme Intrusion PA</v>
      </c>
      <c r="J1275" s="101"/>
      <c r="K1275" s="167" t="str">
        <f>INDEX(Tableau8[Nom du modele],MATCH(Tableau3[[#This Row],[ID-INS]],Tableau8[ID],0))&amp;""</f>
        <v>TEA</v>
      </c>
      <c r="L1275" s="99" t="str">
        <f>INDEX(Tableau5[Att1],MATCH(Tableau3[[#This Row],[ID-SIG]],Tableau5[ID],0))&amp;""</f>
        <v>Info</v>
      </c>
      <c r="M1275" s="99" t="str">
        <f>INDEX(Tableau5[Att2],MATCH(Tableau3[[#This Row],[ID-SIG]],Tableau5[ID],0))&amp;""</f>
        <v/>
      </c>
      <c r="N1275" s="99" t="str">
        <f>INDEX(Tableau5[Att3],MATCH(Tableau3[[#This Row],[ID-SIG]],Tableau5[ID],0))&amp;""</f>
        <v/>
      </c>
      <c r="O1275" s="99"/>
      <c r="P1275" s="99" t="str">
        <f>INDEX(Tableau5[Description],MATCH(Tableau3[[#This Row],[ID-SIG]],Tableau5[ID],0))</f>
        <v>Commande</v>
      </c>
      <c r="Q1275" s="99"/>
      <c r="R1275" s="103" t="str">
        <f>Tableau3[[#This Row],[Description]]</f>
        <v>Commande</v>
      </c>
      <c r="U1275" s="87">
        <v>9</v>
      </c>
      <c r="V1275" s="87">
        <v>1</v>
      </c>
      <c r="W1275" s="87">
        <v>7</v>
      </c>
      <c r="X1275" s="87">
        <v>1</v>
      </c>
      <c r="Y1275" s="41"/>
      <c r="Z1275" s="165" t="str">
        <f>INDEX(Tableau2[TS],MATCH(Tableau3[[#This Row],[ID-CARTEVOIE]],Tableau2[ID-CARTEVOIE],0))</f>
        <v>ST</v>
      </c>
      <c r="AA1275" s="53" t="s">
        <v>213</v>
      </c>
      <c r="AB1275" s="223" t="str">
        <f>IFERROR(INDEX(Tableau5[Reserve],MATCH(Tableau3[[#This Row],[ID-SIG]],Tableau5[ID],0))&amp;"","")</f>
        <v/>
      </c>
      <c r="AC1275" s="21"/>
      <c r="AD1275" s="108" t="str">
        <f>INDEX(Tableau7[Repere],MATCH(Tableau3[[#This Row],[ID-API]],Tableau7[ID-API],0))&amp;""</f>
        <v>A9</v>
      </c>
      <c r="AE1275" s="108" t="str">
        <f>INDEX(Tableau1[Repere-Rack],MATCH(Tableau3[[#This Row],[ID-RACK]],Tableau1[ID-RACK],0))&amp;""</f>
        <v>R1</v>
      </c>
      <c r="AF1275" s="108" t="str">
        <f>INDEX(Tableau1[Repere-Slot],MATCH(Tableau3[[#This Row],[ID-SLOT]],Tableau1[ID-SLOT],0))&amp;""</f>
        <v>S7</v>
      </c>
      <c r="AG1275" s="108" t="str">
        <f>INDEX(Tableau2[Repere-Voie],MATCH(Tableau3[[#This Row],[ID-VOIE]],Tableau2[ID-Voie],0))&amp;""</f>
        <v>v1</v>
      </c>
      <c r="AH1275" s="72" t="str">
        <f>Tableau3[[#This Row],[ID-API]]&amp; "." &amp;Tableau3[[#This Row],[ID-RACK]]&amp; "." &amp;Tableau3[[#This Row],[ID-SLOT]]</f>
        <v>9.1.7</v>
      </c>
      <c r="AI1275" s="72" t="str">
        <f>INDEX(Tableau1[Ref-Carte],MATCH(Tableau3[[#This Row],[ID-RRS]],Tableau1[ID-RRS],0))</f>
        <v>DRA0815</v>
      </c>
      <c r="AJ1275" s="72" t="str">
        <f t="array" ref="AJ1275">IFERROR(INDEX(Tableau2[TS],MATCH(1,(Tableau2[Ref-Carte]=Tableau3[[#This Row],[Ref-Carte2]])*(Tableau2[ID-Voie]=Tableau3[[#This Row],[ID-VOIE]]),0)),"")</f>
        <v>ST</v>
      </c>
      <c r="AK1275" s="72" t="str">
        <f>IFERROR(INDEX(Tableau2[TS],SUMPRODUCT((Tableau2[Ref-Carte]=Tableau3[[#This Row],[Ref-Carte2]])*(Tableau2[ID-Voie]=Tableau3[[#This Row],[ID-VOIE]])*ROW(Tableau2[TS]))-ROW(Tableau2[#Headers])),"")</f>
        <v>ST</v>
      </c>
      <c r="AL1275" s="72" t="str">
        <f>Tableau3[[#This Row],[Ref-Carte2]]&amp;"/"&amp;Tableau3[[#This Row],[ID-VOIE]]</f>
        <v>DRA0815/1</v>
      </c>
      <c r="AM1275" s="73" t="str">
        <f>INDEX(Tableau2[Borne],MATCH(Tableau3[[#This Row],[ID-CARTEVOIE]],Tableau2[ID-CARTEVOIE],0))&amp;""</f>
        <v>1</v>
      </c>
      <c r="AN1275" s="74" t="str">
        <f>Tableau3[[#This Row],[ID-API]]&amp;Tableau3[[#This Row],[ID-RACK]]&amp;Tableau3[[#This Row],[ID-SLOT]]&amp;Tableau3[[#This Row],[BORNE]]</f>
        <v>9171</v>
      </c>
      <c r="AO1275" s="1"/>
    </row>
    <row r="1276" spans="1:41" ht="20.100000000000001" customHeight="1" thickTop="1" thickBot="1">
      <c r="A1276" s="68"/>
      <c r="B1276" s="69" t="str">
        <f>IFERROR(INDEX(Tableau4[Date],MATCH($A1276,Tableau4[EVO],0)),"")</f>
        <v/>
      </c>
      <c r="C1276" s="68" t="str">
        <f>IFERROR(INDEX(Tableau4[Designation],MATCH($A1276,Tableau4[EVO],0)),"")</f>
        <v/>
      </c>
      <c r="D1276" s="68"/>
      <c r="E1276" s="70">
        <v>322</v>
      </c>
      <c r="F1276" s="71">
        <v>99</v>
      </c>
      <c r="G1276" s="101" t="str">
        <f>INDEX(Tableau8[Att1],MATCH(Tableau3[[#This Row],[ID-INS]],Tableau8[ID],0))&amp;""</f>
        <v/>
      </c>
      <c r="H1276" s="101" t="str">
        <f>INDEX(Tableau8[Att2],MATCH(Tableau3[[#This Row],[ID-INS]],Tableau8[ID],0))&amp;""</f>
        <v>TEA43</v>
      </c>
      <c r="I1276" s="101" t="str">
        <f>INDEX(Tableau8[Att3],MATCH(Tableau3[[#This Row],[ID-INS]],Tableau8[ID],0))&amp;""</f>
        <v>Fraude Intrusion PA</v>
      </c>
      <c r="J1276" s="101"/>
      <c r="K1276" s="167" t="str">
        <f>INDEX(Tableau8[Nom du modele],MATCH(Tableau3[[#This Row],[ID-INS]],Tableau8[ID],0))&amp;""</f>
        <v>TEA</v>
      </c>
      <c r="L1276" s="99" t="str">
        <f>INDEX(Tableau5[Att1],MATCH(Tableau3[[#This Row],[ID-SIG]],Tableau5[ID],0))&amp;""</f>
        <v>Info</v>
      </c>
      <c r="M1276" s="99" t="str">
        <f>INDEX(Tableau5[Att2],MATCH(Tableau3[[#This Row],[ID-SIG]],Tableau5[ID],0))&amp;""</f>
        <v/>
      </c>
      <c r="N1276" s="99" t="str">
        <f>INDEX(Tableau5[Att3],MATCH(Tableau3[[#This Row],[ID-SIG]],Tableau5[ID],0))&amp;""</f>
        <v/>
      </c>
      <c r="O1276" s="99"/>
      <c r="P1276" s="99" t="str">
        <f>INDEX(Tableau5[Description],MATCH(Tableau3[[#This Row],[ID-SIG]],Tableau5[ID],0))</f>
        <v>Commande</v>
      </c>
      <c r="Q1276" s="99"/>
      <c r="R1276" s="103" t="str">
        <f>Tableau3[[#This Row],[Description]]</f>
        <v>Commande</v>
      </c>
      <c r="U1276" s="87">
        <v>9</v>
      </c>
      <c r="V1276" s="87">
        <v>1</v>
      </c>
      <c r="W1276" s="87">
        <v>7</v>
      </c>
      <c r="X1276" s="87">
        <v>2</v>
      </c>
      <c r="Y1276" s="41"/>
      <c r="Z1276" s="165" t="str">
        <f>INDEX(Tableau2[TS],MATCH(Tableau3[[#This Row],[ID-CARTEVOIE]],Tableau2[ID-CARTEVOIE],0))</f>
        <v>ST</v>
      </c>
      <c r="AA1276" s="53" t="s">
        <v>213</v>
      </c>
      <c r="AB1276" s="223" t="str">
        <f>IFERROR(INDEX(Tableau5[Reserve],MATCH(Tableau3[[#This Row],[ID-SIG]],Tableau5[ID],0))&amp;"","")</f>
        <v/>
      </c>
      <c r="AC1276" s="21"/>
      <c r="AD1276" s="108" t="str">
        <f>INDEX(Tableau7[Repere],MATCH(Tableau3[[#This Row],[ID-API]],Tableau7[ID-API],0))&amp;""</f>
        <v>A9</v>
      </c>
      <c r="AE1276" s="108" t="str">
        <f>INDEX(Tableau1[Repere-Rack],MATCH(Tableau3[[#This Row],[ID-RACK]],Tableau1[ID-RACK],0))&amp;""</f>
        <v>R1</v>
      </c>
      <c r="AF1276" s="108" t="str">
        <f>INDEX(Tableau1[Repere-Slot],MATCH(Tableau3[[#This Row],[ID-SLOT]],Tableau1[ID-SLOT],0))&amp;""</f>
        <v>S7</v>
      </c>
      <c r="AG1276" s="108" t="str">
        <f>INDEX(Tableau2[Repere-Voie],MATCH(Tableau3[[#This Row],[ID-VOIE]],Tableau2[ID-Voie],0))&amp;""</f>
        <v>v2</v>
      </c>
      <c r="AH1276" s="72" t="str">
        <f>Tableau3[[#This Row],[ID-API]]&amp; "." &amp;Tableau3[[#This Row],[ID-RACK]]&amp; "." &amp;Tableau3[[#This Row],[ID-SLOT]]</f>
        <v>9.1.7</v>
      </c>
      <c r="AI1276" s="72" t="str">
        <f>INDEX(Tableau1[Ref-Carte],MATCH(Tableau3[[#This Row],[ID-RRS]],Tableau1[ID-RRS],0))</f>
        <v>DRA0815</v>
      </c>
      <c r="AJ1276" s="72" t="str">
        <f t="array" ref="AJ1276">IFERROR(INDEX(Tableau2[TS],MATCH(1,(Tableau2[Ref-Carte]=Tableau3[[#This Row],[Ref-Carte2]])*(Tableau2[ID-Voie]=Tableau3[[#This Row],[ID-VOIE]]),0)),"")</f>
        <v>ST</v>
      </c>
      <c r="AK1276" s="72" t="str">
        <f>IFERROR(INDEX(Tableau2[TS],SUMPRODUCT((Tableau2[Ref-Carte]=Tableau3[[#This Row],[Ref-Carte2]])*(Tableau2[ID-Voie]=Tableau3[[#This Row],[ID-VOIE]])*ROW(Tableau2[TS]))-ROW(Tableau2[#Headers])),"")</f>
        <v>ST</v>
      </c>
      <c r="AL1276" s="72" t="str">
        <f>Tableau3[[#This Row],[Ref-Carte2]]&amp;"/"&amp;Tableau3[[#This Row],[ID-VOIE]]</f>
        <v>DRA0815/2</v>
      </c>
      <c r="AM1276" s="73" t="str">
        <f>INDEX(Tableau2[Borne],MATCH(Tableau3[[#This Row],[ID-CARTEVOIE]],Tableau2[ID-CARTEVOIE],0))&amp;""</f>
        <v>2</v>
      </c>
      <c r="AN1276" s="74" t="str">
        <f>Tableau3[[#This Row],[ID-API]]&amp;Tableau3[[#This Row],[ID-RACK]]&amp;Tableau3[[#This Row],[ID-SLOT]]&amp;Tableau3[[#This Row],[BORNE]]</f>
        <v>9172</v>
      </c>
      <c r="AO1276" s="1"/>
    </row>
    <row r="1277" spans="1:41" ht="20.100000000000001" customHeight="1" thickTop="1" thickBot="1">
      <c r="A1277" s="68"/>
      <c r="B1277" s="69" t="str">
        <f>IFERROR(INDEX(Tableau4[Date],MATCH($A1277,Tableau4[EVO],0)),"")</f>
        <v/>
      </c>
      <c r="C1277" s="68" t="str">
        <f>IFERROR(INDEX(Tableau4[Designation],MATCH($A1277,Tableau4[EVO],0)),"")</f>
        <v/>
      </c>
      <c r="D1277" s="68"/>
      <c r="E1277" s="70">
        <v>323</v>
      </c>
      <c r="F1277" s="71">
        <v>99</v>
      </c>
      <c r="G1277" s="101" t="str">
        <f>INDEX(Tableau8[Att1],MATCH(Tableau3[[#This Row],[ID-INS]],Tableau8[ID],0))&amp;""</f>
        <v/>
      </c>
      <c r="H1277" s="101" t="str">
        <f>INDEX(Tableau8[Att2],MATCH(Tableau3[[#This Row],[ID-INS]],Tableau8[ID],0))&amp;""</f>
        <v>TEA44</v>
      </c>
      <c r="I1277" s="101" t="str">
        <f>INDEX(Tableau8[Att3],MATCH(Tableau3[[#This Row],[ID-INS]],Tableau8[ID],0))&amp;""</f>
        <v>Alarme effraction PA</v>
      </c>
      <c r="J1277" s="101"/>
      <c r="K1277" s="167" t="str">
        <f>INDEX(Tableau8[Nom du modele],MATCH(Tableau3[[#This Row],[ID-INS]],Tableau8[ID],0))&amp;""</f>
        <v>TEA</v>
      </c>
      <c r="L1277" s="99" t="str">
        <f>INDEX(Tableau5[Att1],MATCH(Tableau3[[#This Row],[ID-SIG]],Tableau5[ID],0))&amp;""</f>
        <v>Info</v>
      </c>
      <c r="M1277" s="99" t="str">
        <f>INDEX(Tableau5[Att2],MATCH(Tableau3[[#This Row],[ID-SIG]],Tableau5[ID],0))&amp;""</f>
        <v/>
      </c>
      <c r="N1277" s="99" t="str">
        <f>INDEX(Tableau5[Att3],MATCH(Tableau3[[#This Row],[ID-SIG]],Tableau5[ID],0))&amp;""</f>
        <v/>
      </c>
      <c r="O1277" s="99"/>
      <c r="P1277" s="99" t="str">
        <f>INDEX(Tableau5[Description],MATCH(Tableau3[[#This Row],[ID-SIG]],Tableau5[ID],0))</f>
        <v>Commande</v>
      </c>
      <c r="Q1277" s="99"/>
      <c r="R1277" s="103" t="str">
        <f>Tableau3[[#This Row],[Description]]</f>
        <v>Commande</v>
      </c>
      <c r="U1277" s="87">
        <v>9</v>
      </c>
      <c r="V1277" s="87">
        <v>1</v>
      </c>
      <c r="W1277" s="87">
        <v>7</v>
      </c>
      <c r="X1277" s="87">
        <v>3</v>
      </c>
      <c r="Y1277" s="41"/>
      <c r="Z1277" s="165" t="str">
        <f>INDEX(Tableau2[TS],MATCH(Tableau3[[#This Row],[ID-CARTEVOIE]],Tableau2[ID-CARTEVOIE],0))</f>
        <v>ST</v>
      </c>
      <c r="AA1277" s="53" t="s">
        <v>213</v>
      </c>
      <c r="AB1277" s="223" t="str">
        <f>IFERROR(INDEX(Tableau5[Reserve],MATCH(Tableau3[[#This Row],[ID-SIG]],Tableau5[ID],0))&amp;"","")</f>
        <v/>
      </c>
      <c r="AC1277" s="21"/>
      <c r="AD1277" s="108" t="str">
        <f>INDEX(Tableau7[Repere],MATCH(Tableau3[[#This Row],[ID-API]],Tableau7[ID-API],0))&amp;""</f>
        <v>A9</v>
      </c>
      <c r="AE1277" s="108" t="str">
        <f>INDEX(Tableau1[Repere-Rack],MATCH(Tableau3[[#This Row],[ID-RACK]],Tableau1[ID-RACK],0))&amp;""</f>
        <v>R1</v>
      </c>
      <c r="AF1277" s="108" t="str">
        <f>INDEX(Tableau1[Repere-Slot],MATCH(Tableau3[[#This Row],[ID-SLOT]],Tableau1[ID-SLOT],0))&amp;""</f>
        <v>S7</v>
      </c>
      <c r="AG1277" s="108" t="str">
        <f>INDEX(Tableau2[Repere-Voie],MATCH(Tableau3[[#This Row],[ID-VOIE]],Tableau2[ID-Voie],0))&amp;""</f>
        <v>v3</v>
      </c>
      <c r="AH1277" s="72" t="str">
        <f>Tableau3[[#This Row],[ID-API]]&amp; "." &amp;Tableau3[[#This Row],[ID-RACK]]&amp; "." &amp;Tableau3[[#This Row],[ID-SLOT]]</f>
        <v>9.1.7</v>
      </c>
      <c r="AI1277" s="72" t="str">
        <f>INDEX(Tableau1[Ref-Carte],MATCH(Tableau3[[#This Row],[ID-RRS]],Tableau1[ID-RRS],0))</f>
        <v>DRA0815</v>
      </c>
      <c r="AJ1277" s="72" t="str">
        <f t="array" ref="AJ1277">IFERROR(INDEX(Tableau2[TS],MATCH(1,(Tableau2[Ref-Carte]=Tableau3[[#This Row],[Ref-Carte2]])*(Tableau2[ID-Voie]=Tableau3[[#This Row],[ID-VOIE]]),0)),"")</f>
        <v>ST</v>
      </c>
      <c r="AK1277" s="72" t="str">
        <f>IFERROR(INDEX(Tableau2[TS],SUMPRODUCT((Tableau2[Ref-Carte]=Tableau3[[#This Row],[Ref-Carte2]])*(Tableau2[ID-Voie]=Tableau3[[#This Row],[ID-VOIE]])*ROW(Tableau2[TS]))-ROW(Tableau2[#Headers])),"")</f>
        <v>ST</v>
      </c>
      <c r="AL1277" s="72" t="str">
        <f>Tableau3[[#This Row],[Ref-Carte2]]&amp;"/"&amp;Tableau3[[#This Row],[ID-VOIE]]</f>
        <v>DRA0815/3</v>
      </c>
      <c r="AM1277" s="73" t="str">
        <f>INDEX(Tableau2[Borne],MATCH(Tableau3[[#This Row],[ID-CARTEVOIE]],Tableau2[ID-CARTEVOIE],0))&amp;""</f>
        <v>3</v>
      </c>
      <c r="AN1277" s="74" t="str">
        <f>Tableau3[[#This Row],[ID-API]]&amp;Tableau3[[#This Row],[ID-RACK]]&amp;Tableau3[[#This Row],[ID-SLOT]]&amp;Tableau3[[#This Row],[BORNE]]</f>
        <v>9173</v>
      </c>
      <c r="AO1277" s="1"/>
    </row>
    <row r="1278" spans="1:41" ht="20.100000000000001" customHeight="1" thickTop="1" thickBot="1">
      <c r="A1278" s="68"/>
      <c r="B1278" s="69" t="str">
        <f>IFERROR(INDEX(Tableau4[Date],MATCH($A1278,Tableau4[EVO],0)),"")</f>
        <v/>
      </c>
      <c r="C1278" s="68" t="str">
        <f>IFERROR(INDEX(Tableau4[Designation],MATCH($A1278,Tableau4[EVO],0)),"")</f>
        <v/>
      </c>
      <c r="D1278" s="68"/>
      <c r="E1278" s="70">
        <v>324</v>
      </c>
      <c r="F1278" s="71">
        <v>99</v>
      </c>
      <c r="G1278" s="101" t="str">
        <f>INDEX(Tableau8[Att1],MATCH(Tableau3[[#This Row],[ID-INS]],Tableau8[ID],0))&amp;""</f>
        <v/>
      </c>
      <c r="H1278" s="101" t="str">
        <f>INDEX(Tableau8[Att2],MATCH(Tableau3[[#This Row],[ID-INS]],Tableau8[ID],0))&amp;""</f>
        <v>TEA45</v>
      </c>
      <c r="I1278" s="101" t="str">
        <f>INDEX(Tableau8[Att3],MATCH(Tableau3[[#This Row],[ID-INS]],Tableau8[ID],0))&amp;""</f>
        <v>Alarme effraction Salle repos/bureau hôtesses Bât Accueil</v>
      </c>
      <c r="J1278" s="101"/>
      <c r="K1278" s="167" t="str">
        <f>INDEX(Tableau8[Nom du modele],MATCH(Tableau3[[#This Row],[ID-INS]],Tableau8[ID],0))&amp;""</f>
        <v>TEA</v>
      </c>
      <c r="L1278" s="99" t="str">
        <f>INDEX(Tableau5[Att1],MATCH(Tableau3[[#This Row],[ID-SIG]],Tableau5[ID],0))&amp;""</f>
        <v>Info</v>
      </c>
      <c r="M1278" s="99" t="str">
        <f>INDEX(Tableau5[Att2],MATCH(Tableau3[[#This Row],[ID-SIG]],Tableau5[ID],0))&amp;""</f>
        <v/>
      </c>
      <c r="N1278" s="99" t="str">
        <f>INDEX(Tableau5[Att3],MATCH(Tableau3[[#This Row],[ID-SIG]],Tableau5[ID],0))&amp;""</f>
        <v/>
      </c>
      <c r="O1278" s="99"/>
      <c r="P1278" s="99" t="str">
        <f>INDEX(Tableau5[Description],MATCH(Tableau3[[#This Row],[ID-SIG]],Tableau5[ID],0))</f>
        <v>Commande</v>
      </c>
      <c r="Q1278" s="99"/>
      <c r="R1278" s="103" t="str">
        <f>Tableau3[[#This Row],[Description]]</f>
        <v>Commande</v>
      </c>
      <c r="U1278" s="87">
        <v>9</v>
      </c>
      <c r="V1278" s="87">
        <v>1</v>
      </c>
      <c r="W1278" s="87">
        <v>7</v>
      </c>
      <c r="X1278" s="87">
        <v>4</v>
      </c>
      <c r="Y1278" s="41"/>
      <c r="Z1278" s="165" t="str">
        <f>INDEX(Tableau2[TS],MATCH(Tableau3[[#This Row],[ID-CARTEVOIE]],Tableau2[ID-CARTEVOIE],0))</f>
        <v>ST</v>
      </c>
      <c r="AA1278" s="53" t="s">
        <v>213</v>
      </c>
      <c r="AB1278" s="223" t="str">
        <f>IFERROR(INDEX(Tableau5[Reserve],MATCH(Tableau3[[#This Row],[ID-SIG]],Tableau5[ID],0))&amp;"","")</f>
        <v/>
      </c>
      <c r="AC1278" s="21"/>
      <c r="AD1278" s="108" t="str">
        <f>INDEX(Tableau7[Repere],MATCH(Tableau3[[#This Row],[ID-API]],Tableau7[ID-API],0))&amp;""</f>
        <v>A9</v>
      </c>
      <c r="AE1278" s="108" t="str">
        <f>INDEX(Tableau1[Repere-Rack],MATCH(Tableau3[[#This Row],[ID-RACK]],Tableau1[ID-RACK],0))&amp;""</f>
        <v>R1</v>
      </c>
      <c r="AF1278" s="108" t="str">
        <f>INDEX(Tableau1[Repere-Slot],MATCH(Tableau3[[#This Row],[ID-SLOT]],Tableau1[ID-SLOT],0))&amp;""</f>
        <v>S7</v>
      </c>
      <c r="AG1278" s="108" t="str">
        <f>INDEX(Tableau2[Repere-Voie],MATCH(Tableau3[[#This Row],[ID-VOIE]],Tableau2[ID-Voie],0))&amp;""</f>
        <v>v4</v>
      </c>
      <c r="AH1278" s="72" t="str">
        <f>Tableau3[[#This Row],[ID-API]]&amp; "." &amp;Tableau3[[#This Row],[ID-RACK]]&amp; "." &amp;Tableau3[[#This Row],[ID-SLOT]]</f>
        <v>9.1.7</v>
      </c>
      <c r="AI1278" s="72" t="str">
        <f>INDEX(Tableau1[Ref-Carte],MATCH(Tableau3[[#This Row],[ID-RRS]],Tableau1[ID-RRS],0))</f>
        <v>DRA0815</v>
      </c>
      <c r="AJ1278" s="72" t="str">
        <f t="array" ref="AJ1278">IFERROR(INDEX(Tableau2[TS],MATCH(1,(Tableau2[Ref-Carte]=Tableau3[[#This Row],[Ref-Carte2]])*(Tableau2[ID-Voie]=Tableau3[[#This Row],[ID-VOIE]]),0)),"")</f>
        <v>ST</v>
      </c>
      <c r="AK1278" s="72" t="str">
        <f>IFERROR(INDEX(Tableau2[TS],SUMPRODUCT((Tableau2[Ref-Carte]=Tableau3[[#This Row],[Ref-Carte2]])*(Tableau2[ID-Voie]=Tableau3[[#This Row],[ID-VOIE]])*ROW(Tableau2[TS]))-ROW(Tableau2[#Headers])),"")</f>
        <v>ST</v>
      </c>
      <c r="AL1278" s="72" t="str">
        <f>Tableau3[[#This Row],[Ref-Carte2]]&amp;"/"&amp;Tableau3[[#This Row],[ID-VOIE]]</f>
        <v>DRA0815/4</v>
      </c>
      <c r="AM1278" s="73" t="str">
        <f>INDEX(Tableau2[Borne],MATCH(Tableau3[[#This Row],[ID-CARTEVOIE]],Tableau2[ID-CARTEVOIE],0))&amp;""</f>
        <v>4</v>
      </c>
      <c r="AN1278" s="74" t="str">
        <f>Tableau3[[#This Row],[ID-API]]&amp;Tableau3[[#This Row],[ID-RACK]]&amp;Tableau3[[#This Row],[ID-SLOT]]&amp;Tableau3[[#This Row],[BORNE]]</f>
        <v>9174</v>
      </c>
      <c r="AO1278" s="1"/>
    </row>
    <row r="1279" spans="1:41" ht="20.100000000000001" customHeight="1" thickTop="1" thickBot="1">
      <c r="A1279" s="68"/>
      <c r="B1279" s="69" t="str">
        <f>IFERROR(INDEX(Tableau4[Date],MATCH($A1279,Tableau4[EVO],0)),"")</f>
        <v/>
      </c>
      <c r="C1279" s="68" t="str">
        <f>IFERROR(INDEX(Tableau4[Designation],MATCH($A1279,Tableau4[EVO],0)),"")</f>
        <v/>
      </c>
      <c r="D1279" s="68"/>
      <c r="E1279" s="70">
        <v>325</v>
      </c>
      <c r="F1279" s="71">
        <v>99</v>
      </c>
      <c r="G1279" s="101" t="str">
        <f>INDEX(Tableau8[Att1],MATCH(Tableau3[[#This Row],[ID-INS]],Tableau8[ID],0))&amp;""</f>
        <v/>
      </c>
      <c r="H1279" s="101" t="str">
        <f>INDEX(Tableau8[Att2],MATCH(Tableau3[[#This Row],[ID-INS]],Tableau8[ID],0))&amp;""</f>
        <v>TEA46</v>
      </c>
      <c r="I1279" s="101" t="str">
        <f>INDEX(Tableau8[Att3],MATCH(Tableau3[[#This Row],[ID-INS]],Tableau8[ID],0))&amp;""</f>
        <v>Alarme effraction vigie FLS</v>
      </c>
      <c r="J1279" s="101"/>
      <c r="K1279" s="167" t="str">
        <f>INDEX(Tableau8[Nom du modele],MATCH(Tableau3[[#This Row],[ID-INS]],Tableau8[ID],0))&amp;""</f>
        <v>TEA</v>
      </c>
      <c r="L1279" s="99" t="str">
        <f>INDEX(Tableau5[Att1],MATCH(Tableau3[[#This Row],[ID-SIG]],Tableau5[ID],0))&amp;""</f>
        <v>Info</v>
      </c>
      <c r="M1279" s="99" t="str">
        <f>INDEX(Tableau5[Att2],MATCH(Tableau3[[#This Row],[ID-SIG]],Tableau5[ID],0))&amp;""</f>
        <v/>
      </c>
      <c r="N1279" s="99" t="str">
        <f>INDEX(Tableau5[Att3],MATCH(Tableau3[[#This Row],[ID-SIG]],Tableau5[ID],0))&amp;""</f>
        <v/>
      </c>
      <c r="O1279" s="99"/>
      <c r="P1279" s="99" t="str">
        <f>INDEX(Tableau5[Description],MATCH(Tableau3[[#This Row],[ID-SIG]],Tableau5[ID],0))</f>
        <v>Commande</v>
      </c>
      <c r="Q1279" s="99"/>
      <c r="R1279" s="103" t="str">
        <f>Tableau3[[#This Row],[Description]]</f>
        <v>Commande</v>
      </c>
      <c r="U1279" s="87">
        <v>9</v>
      </c>
      <c r="V1279" s="87">
        <v>1</v>
      </c>
      <c r="W1279" s="87">
        <v>7</v>
      </c>
      <c r="X1279" s="87">
        <v>5</v>
      </c>
      <c r="Y1279" s="41"/>
      <c r="Z1279" s="165" t="str">
        <f>INDEX(Tableau2[TS],MATCH(Tableau3[[#This Row],[ID-CARTEVOIE]],Tableau2[ID-CARTEVOIE],0))</f>
        <v>ST</v>
      </c>
      <c r="AA1279" s="53" t="s">
        <v>213</v>
      </c>
      <c r="AB1279" s="223" t="str">
        <f>IFERROR(INDEX(Tableau5[Reserve],MATCH(Tableau3[[#This Row],[ID-SIG]],Tableau5[ID],0))&amp;"","")</f>
        <v/>
      </c>
      <c r="AC1279" s="21"/>
      <c r="AD1279" s="108" t="str">
        <f>INDEX(Tableau7[Repere],MATCH(Tableau3[[#This Row],[ID-API]],Tableau7[ID-API],0))&amp;""</f>
        <v>A9</v>
      </c>
      <c r="AE1279" s="108" t="str">
        <f>INDEX(Tableau1[Repere-Rack],MATCH(Tableau3[[#This Row],[ID-RACK]],Tableau1[ID-RACK],0))&amp;""</f>
        <v>R1</v>
      </c>
      <c r="AF1279" s="108" t="str">
        <f>INDEX(Tableau1[Repere-Slot],MATCH(Tableau3[[#This Row],[ID-SLOT]],Tableau1[ID-SLOT],0))&amp;""</f>
        <v>S7</v>
      </c>
      <c r="AG1279" s="108" t="str">
        <f>INDEX(Tableau2[Repere-Voie],MATCH(Tableau3[[#This Row],[ID-VOIE]],Tableau2[ID-Voie],0))&amp;""</f>
        <v>v5</v>
      </c>
      <c r="AH1279" s="72" t="str">
        <f>Tableau3[[#This Row],[ID-API]]&amp; "." &amp;Tableau3[[#This Row],[ID-RACK]]&amp; "." &amp;Tableau3[[#This Row],[ID-SLOT]]</f>
        <v>9.1.7</v>
      </c>
      <c r="AI1279" s="72" t="str">
        <f>INDEX(Tableau1[Ref-Carte],MATCH(Tableau3[[#This Row],[ID-RRS]],Tableau1[ID-RRS],0))</f>
        <v>DRA0815</v>
      </c>
      <c r="AJ1279" s="72" t="str">
        <f t="array" ref="AJ1279">IFERROR(INDEX(Tableau2[TS],MATCH(1,(Tableau2[Ref-Carte]=Tableau3[[#This Row],[Ref-Carte2]])*(Tableau2[ID-Voie]=Tableau3[[#This Row],[ID-VOIE]]),0)),"")</f>
        <v>ST</v>
      </c>
      <c r="AK1279" s="72" t="str">
        <f>IFERROR(INDEX(Tableau2[TS],SUMPRODUCT((Tableau2[Ref-Carte]=Tableau3[[#This Row],[Ref-Carte2]])*(Tableau2[ID-Voie]=Tableau3[[#This Row],[ID-VOIE]])*ROW(Tableau2[TS]))-ROW(Tableau2[#Headers])),"")</f>
        <v>ST</v>
      </c>
      <c r="AL1279" s="72" t="str">
        <f>Tableau3[[#This Row],[Ref-Carte2]]&amp;"/"&amp;Tableau3[[#This Row],[ID-VOIE]]</f>
        <v>DRA0815/5</v>
      </c>
      <c r="AM1279" s="73" t="str">
        <f>INDEX(Tableau2[Borne],MATCH(Tableau3[[#This Row],[ID-CARTEVOIE]],Tableau2[ID-CARTEVOIE],0))&amp;""</f>
        <v>5</v>
      </c>
      <c r="AN1279" s="74" t="str">
        <f>Tableau3[[#This Row],[ID-API]]&amp;Tableau3[[#This Row],[ID-RACK]]&amp;Tableau3[[#This Row],[ID-SLOT]]&amp;Tableau3[[#This Row],[BORNE]]</f>
        <v>9175</v>
      </c>
      <c r="AO1279" s="1"/>
    </row>
    <row r="1280" spans="1:41" ht="20.100000000000001" customHeight="1" thickTop="1" thickBot="1">
      <c r="A1280" s="68"/>
      <c r="B1280" s="69" t="str">
        <f>IFERROR(INDEX(Tableau4[Date],MATCH($A1280,Tableau4[EVO],0)),"")</f>
        <v/>
      </c>
      <c r="C1280" s="68" t="str">
        <f>IFERROR(INDEX(Tableau4[Designation],MATCH($A1280,Tableau4[EVO],0)),"")</f>
        <v/>
      </c>
      <c r="D1280" s="68"/>
      <c r="E1280" s="70">
        <v>326</v>
      </c>
      <c r="F1280" s="71">
        <v>99</v>
      </c>
      <c r="G1280" s="101" t="str">
        <f>INDEX(Tableau8[Att1],MATCH(Tableau3[[#This Row],[ID-INS]],Tableau8[ID],0))&amp;""</f>
        <v/>
      </c>
      <c r="H1280" s="101" t="str">
        <f>INDEX(Tableau8[Att2],MATCH(Tableau3[[#This Row],[ID-INS]],Tableau8[ID],0))&amp;""</f>
        <v>TEA47</v>
      </c>
      <c r="I1280" s="101" t="str">
        <f>INDEX(Tableau8[Att3],MATCH(Tableau3[[#This Row],[ID-INS]],Tableau8[ID],0))&amp;""</f>
        <v>Alarme effraction local SPR</v>
      </c>
      <c r="J1280" s="101"/>
      <c r="K1280" s="167" t="str">
        <f>INDEX(Tableau8[Nom du modele],MATCH(Tableau3[[#This Row],[ID-INS]],Tableau8[ID],0))&amp;""</f>
        <v>TEA</v>
      </c>
      <c r="L1280" s="99" t="str">
        <f>INDEX(Tableau5[Att1],MATCH(Tableau3[[#This Row],[ID-SIG]],Tableau5[ID],0))&amp;""</f>
        <v>Info</v>
      </c>
      <c r="M1280" s="99" t="str">
        <f>INDEX(Tableau5[Att2],MATCH(Tableau3[[#This Row],[ID-SIG]],Tableau5[ID],0))&amp;""</f>
        <v/>
      </c>
      <c r="N1280" s="99" t="str">
        <f>INDEX(Tableau5[Att3],MATCH(Tableau3[[#This Row],[ID-SIG]],Tableau5[ID],0))&amp;""</f>
        <v/>
      </c>
      <c r="O1280" s="99"/>
      <c r="P1280" s="99" t="str">
        <f>INDEX(Tableau5[Description],MATCH(Tableau3[[#This Row],[ID-SIG]],Tableau5[ID],0))</f>
        <v>Commande</v>
      </c>
      <c r="Q1280" s="99"/>
      <c r="R1280" s="103" t="str">
        <f>Tableau3[[#This Row],[Description]]</f>
        <v>Commande</v>
      </c>
      <c r="U1280" s="87">
        <v>9</v>
      </c>
      <c r="V1280" s="87">
        <v>1</v>
      </c>
      <c r="W1280" s="87">
        <v>7</v>
      </c>
      <c r="X1280" s="87">
        <v>6</v>
      </c>
      <c r="Y1280" s="41"/>
      <c r="Z1280" s="165" t="str">
        <f>INDEX(Tableau2[TS],MATCH(Tableau3[[#This Row],[ID-CARTEVOIE]],Tableau2[ID-CARTEVOIE],0))</f>
        <v>ST</v>
      </c>
      <c r="AA1280" s="53" t="s">
        <v>213</v>
      </c>
      <c r="AB1280" s="223" t="str">
        <f>IFERROR(INDEX(Tableau5[Reserve],MATCH(Tableau3[[#This Row],[ID-SIG]],Tableau5[ID],0))&amp;"","")</f>
        <v/>
      </c>
      <c r="AC1280" s="21"/>
      <c r="AD1280" s="108" t="str">
        <f>INDEX(Tableau7[Repere],MATCH(Tableau3[[#This Row],[ID-API]],Tableau7[ID-API],0))&amp;""</f>
        <v>A9</v>
      </c>
      <c r="AE1280" s="108" t="str">
        <f>INDEX(Tableau1[Repere-Rack],MATCH(Tableau3[[#This Row],[ID-RACK]],Tableau1[ID-RACK],0))&amp;""</f>
        <v>R1</v>
      </c>
      <c r="AF1280" s="108" t="str">
        <f>INDEX(Tableau1[Repere-Slot],MATCH(Tableau3[[#This Row],[ID-SLOT]],Tableau1[ID-SLOT],0))&amp;""</f>
        <v>S7</v>
      </c>
      <c r="AG1280" s="108" t="str">
        <f>INDEX(Tableau2[Repere-Voie],MATCH(Tableau3[[#This Row],[ID-VOIE]],Tableau2[ID-Voie],0))&amp;""</f>
        <v>v6</v>
      </c>
      <c r="AH1280" s="72" t="str">
        <f>Tableau3[[#This Row],[ID-API]]&amp; "." &amp;Tableau3[[#This Row],[ID-RACK]]&amp; "." &amp;Tableau3[[#This Row],[ID-SLOT]]</f>
        <v>9.1.7</v>
      </c>
      <c r="AI1280" s="72" t="str">
        <f>INDEX(Tableau1[Ref-Carte],MATCH(Tableau3[[#This Row],[ID-RRS]],Tableau1[ID-RRS],0))</f>
        <v>DRA0815</v>
      </c>
      <c r="AJ1280" s="72" t="str">
        <f t="array" ref="AJ1280">IFERROR(INDEX(Tableau2[TS],MATCH(1,(Tableau2[Ref-Carte]=Tableau3[[#This Row],[Ref-Carte2]])*(Tableau2[ID-Voie]=Tableau3[[#This Row],[ID-VOIE]]),0)),"")</f>
        <v>ST</v>
      </c>
      <c r="AK1280" s="72" t="str">
        <f>IFERROR(INDEX(Tableau2[TS],SUMPRODUCT((Tableau2[Ref-Carte]=Tableau3[[#This Row],[Ref-Carte2]])*(Tableau2[ID-Voie]=Tableau3[[#This Row],[ID-VOIE]])*ROW(Tableau2[TS]))-ROW(Tableau2[#Headers])),"")</f>
        <v>ST</v>
      </c>
      <c r="AL1280" s="72" t="str">
        <f>Tableau3[[#This Row],[Ref-Carte2]]&amp;"/"&amp;Tableau3[[#This Row],[ID-VOIE]]</f>
        <v>DRA0815/6</v>
      </c>
      <c r="AM1280" s="73" t="str">
        <f>INDEX(Tableau2[Borne],MATCH(Tableau3[[#This Row],[ID-CARTEVOIE]],Tableau2[ID-CARTEVOIE],0))&amp;""</f>
        <v>6</v>
      </c>
      <c r="AN1280" s="74" t="str">
        <f>Tableau3[[#This Row],[ID-API]]&amp;Tableau3[[#This Row],[ID-RACK]]&amp;Tableau3[[#This Row],[ID-SLOT]]&amp;Tableau3[[#This Row],[BORNE]]</f>
        <v>9176</v>
      </c>
      <c r="AO1280" s="1"/>
    </row>
    <row r="1281" spans="1:41" ht="20.100000000000001" customHeight="1" thickTop="1" thickBot="1">
      <c r="A1281" s="68"/>
      <c r="B1281" s="69" t="str">
        <f>IFERROR(INDEX(Tableau4[Date],MATCH($A1281,Tableau4[EVO],0)),"")</f>
        <v/>
      </c>
      <c r="C1281" s="68" t="str">
        <f>IFERROR(INDEX(Tableau4[Designation],MATCH($A1281,Tableau4[EVO],0)),"")</f>
        <v/>
      </c>
      <c r="D1281" s="68"/>
      <c r="E1281" s="70">
        <v>327</v>
      </c>
      <c r="F1281" s="71">
        <v>99</v>
      </c>
      <c r="G1281" s="101" t="str">
        <f>INDEX(Tableau8[Att1],MATCH(Tableau3[[#This Row],[ID-INS]],Tableau8[ID],0))&amp;""</f>
        <v/>
      </c>
      <c r="H1281" s="101" t="str">
        <f>INDEX(Tableau8[Att2],MATCH(Tableau3[[#This Row],[ID-INS]],Tableau8[ID],0))&amp;""</f>
        <v>TEA48</v>
      </c>
      <c r="I1281" s="101" t="str">
        <f>INDEX(Tableau8[Att3],MATCH(Tableau3[[#This Row],[ID-INS]],Tableau8[ID],0))&amp;""</f>
        <v>Alarme Intrusion Bureau Hôtesses</v>
      </c>
      <c r="J1281" s="101"/>
      <c r="K1281" s="167" t="str">
        <f>INDEX(Tableau8[Nom du modele],MATCH(Tableau3[[#This Row],[ID-INS]],Tableau8[ID],0))&amp;""</f>
        <v>TEA</v>
      </c>
      <c r="L1281" s="99" t="str">
        <f>INDEX(Tableau5[Att1],MATCH(Tableau3[[#This Row],[ID-SIG]],Tableau5[ID],0))&amp;""</f>
        <v>Info</v>
      </c>
      <c r="M1281" s="99" t="str">
        <f>INDEX(Tableau5[Att2],MATCH(Tableau3[[#This Row],[ID-SIG]],Tableau5[ID],0))&amp;""</f>
        <v/>
      </c>
      <c r="N1281" s="99" t="str">
        <f>INDEX(Tableau5[Att3],MATCH(Tableau3[[#This Row],[ID-SIG]],Tableau5[ID],0))&amp;""</f>
        <v/>
      </c>
      <c r="O1281" s="99"/>
      <c r="P1281" s="99" t="str">
        <f>INDEX(Tableau5[Description],MATCH(Tableau3[[#This Row],[ID-SIG]],Tableau5[ID],0))</f>
        <v>Commande</v>
      </c>
      <c r="Q1281" s="99"/>
      <c r="R1281" s="103" t="str">
        <f>Tableau3[[#This Row],[Description]]</f>
        <v>Commande</v>
      </c>
      <c r="U1281" s="87">
        <v>9</v>
      </c>
      <c r="V1281" s="87">
        <v>1</v>
      </c>
      <c r="W1281" s="87">
        <v>7</v>
      </c>
      <c r="X1281" s="87">
        <v>7</v>
      </c>
      <c r="Y1281" s="41"/>
      <c r="Z1281" s="165" t="str">
        <f>INDEX(Tableau2[TS],MATCH(Tableau3[[#This Row],[ID-CARTEVOIE]],Tableau2[ID-CARTEVOIE],0))</f>
        <v>ST</v>
      </c>
      <c r="AA1281" s="53" t="s">
        <v>213</v>
      </c>
      <c r="AB1281" s="223" t="str">
        <f>IFERROR(INDEX(Tableau5[Reserve],MATCH(Tableau3[[#This Row],[ID-SIG]],Tableau5[ID],0))&amp;"","")</f>
        <v/>
      </c>
      <c r="AC1281" s="21"/>
      <c r="AD1281" s="108" t="str">
        <f>INDEX(Tableau7[Repere],MATCH(Tableau3[[#This Row],[ID-API]],Tableau7[ID-API],0))&amp;""</f>
        <v>A9</v>
      </c>
      <c r="AE1281" s="108" t="str">
        <f>INDEX(Tableau1[Repere-Rack],MATCH(Tableau3[[#This Row],[ID-RACK]],Tableau1[ID-RACK],0))&amp;""</f>
        <v>R1</v>
      </c>
      <c r="AF1281" s="108" t="str">
        <f>INDEX(Tableau1[Repere-Slot],MATCH(Tableau3[[#This Row],[ID-SLOT]],Tableau1[ID-SLOT],0))&amp;""</f>
        <v>S7</v>
      </c>
      <c r="AG1281" s="108" t="str">
        <f>INDEX(Tableau2[Repere-Voie],MATCH(Tableau3[[#This Row],[ID-VOIE]],Tableau2[ID-Voie],0))&amp;""</f>
        <v>v7</v>
      </c>
      <c r="AH1281" s="72" t="str">
        <f>Tableau3[[#This Row],[ID-API]]&amp; "." &amp;Tableau3[[#This Row],[ID-RACK]]&amp; "." &amp;Tableau3[[#This Row],[ID-SLOT]]</f>
        <v>9.1.7</v>
      </c>
      <c r="AI1281" s="72" t="str">
        <f>INDEX(Tableau1[Ref-Carte],MATCH(Tableau3[[#This Row],[ID-RRS]],Tableau1[ID-RRS],0))</f>
        <v>DRA0815</v>
      </c>
      <c r="AJ1281" s="72" t="str">
        <f t="array" ref="AJ1281">IFERROR(INDEX(Tableau2[TS],MATCH(1,(Tableau2[Ref-Carte]=Tableau3[[#This Row],[Ref-Carte2]])*(Tableau2[ID-Voie]=Tableau3[[#This Row],[ID-VOIE]]),0)),"")</f>
        <v>ST</v>
      </c>
      <c r="AK1281" s="72" t="str">
        <f>IFERROR(INDEX(Tableau2[TS],SUMPRODUCT((Tableau2[Ref-Carte]=Tableau3[[#This Row],[Ref-Carte2]])*(Tableau2[ID-Voie]=Tableau3[[#This Row],[ID-VOIE]])*ROW(Tableau2[TS]))-ROW(Tableau2[#Headers])),"")</f>
        <v>ST</v>
      </c>
      <c r="AL1281" s="72" t="str">
        <f>Tableau3[[#This Row],[Ref-Carte2]]&amp;"/"&amp;Tableau3[[#This Row],[ID-VOIE]]</f>
        <v>DRA0815/7</v>
      </c>
      <c r="AM1281" s="73" t="str">
        <f>INDEX(Tableau2[Borne],MATCH(Tableau3[[#This Row],[ID-CARTEVOIE]],Tableau2[ID-CARTEVOIE],0))&amp;""</f>
        <v>7</v>
      </c>
      <c r="AN1281" s="74" t="str">
        <f>Tableau3[[#This Row],[ID-API]]&amp;Tableau3[[#This Row],[ID-RACK]]&amp;Tableau3[[#This Row],[ID-SLOT]]&amp;Tableau3[[#This Row],[BORNE]]</f>
        <v>9177</v>
      </c>
      <c r="AO1281" s="1"/>
    </row>
    <row r="1282" spans="1:41" ht="20.100000000000001" customHeight="1" thickTop="1" thickBot="1">
      <c r="A1282" s="68"/>
      <c r="B1282" s="69" t="str">
        <f>IFERROR(INDEX(Tableau4[Date],MATCH($A1282,Tableau4[EVO],0)),"")</f>
        <v/>
      </c>
      <c r="C1282" s="68" t="str">
        <f>IFERROR(INDEX(Tableau4[Designation],MATCH($A1282,Tableau4[EVO],0)),"")</f>
        <v/>
      </c>
      <c r="D1282" s="68"/>
      <c r="E1282" s="70">
        <v>328</v>
      </c>
      <c r="F1282" s="71">
        <v>99</v>
      </c>
      <c r="G1282" s="101" t="str">
        <f>INDEX(Tableau8[Att1],MATCH(Tableau3[[#This Row],[ID-INS]],Tableau8[ID],0))&amp;""</f>
        <v/>
      </c>
      <c r="H1282" s="101" t="str">
        <f>INDEX(Tableau8[Att2],MATCH(Tableau3[[#This Row],[ID-INS]],Tableau8[ID],0))&amp;""</f>
        <v>TEA49</v>
      </c>
      <c r="I1282" s="101" t="str">
        <f>INDEX(Tableau8[Att3],MATCH(Tableau3[[#This Row],[ID-INS]],Tableau8[ID],0))&amp;""</f>
        <v>Fraude Intrusion Bureau Hôtesses</v>
      </c>
      <c r="J1282" s="101"/>
      <c r="K1282" s="167" t="str">
        <f>INDEX(Tableau8[Nom du modele],MATCH(Tableau3[[#This Row],[ID-INS]],Tableau8[ID],0))&amp;""</f>
        <v>TEA</v>
      </c>
      <c r="L1282" s="99" t="str">
        <f>INDEX(Tableau5[Att1],MATCH(Tableau3[[#This Row],[ID-SIG]],Tableau5[ID],0))&amp;""</f>
        <v>Info</v>
      </c>
      <c r="M1282" s="99" t="str">
        <f>INDEX(Tableau5[Att2],MATCH(Tableau3[[#This Row],[ID-SIG]],Tableau5[ID],0))&amp;""</f>
        <v/>
      </c>
      <c r="N1282" s="99" t="str">
        <f>INDEX(Tableau5[Att3],MATCH(Tableau3[[#This Row],[ID-SIG]],Tableau5[ID],0))&amp;""</f>
        <v/>
      </c>
      <c r="O1282" s="99"/>
      <c r="P1282" s="99" t="str">
        <f>INDEX(Tableau5[Description],MATCH(Tableau3[[#This Row],[ID-SIG]],Tableau5[ID],0))</f>
        <v>Commande</v>
      </c>
      <c r="Q1282" s="99"/>
      <c r="R1282" s="103" t="str">
        <f>Tableau3[[#This Row],[Description]]</f>
        <v>Commande</v>
      </c>
      <c r="U1282" s="87">
        <v>9</v>
      </c>
      <c r="V1282" s="87">
        <v>1</v>
      </c>
      <c r="W1282" s="87">
        <v>8</v>
      </c>
      <c r="X1282" s="87">
        <v>0</v>
      </c>
      <c r="Y1282" s="41"/>
      <c r="Z1282" s="165" t="str">
        <f>INDEX(Tableau2[TS],MATCH(Tableau3[[#This Row],[ID-CARTEVOIE]],Tableau2[ID-CARTEVOIE],0))</f>
        <v>ST</v>
      </c>
      <c r="AA1282" s="53" t="s">
        <v>213</v>
      </c>
      <c r="AB1282" s="223" t="str">
        <f>IFERROR(INDEX(Tableau5[Reserve],MATCH(Tableau3[[#This Row],[ID-SIG]],Tableau5[ID],0))&amp;"","")</f>
        <v/>
      </c>
      <c r="AC1282" s="21"/>
      <c r="AD1282" s="108" t="str">
        <f>INDEX(Tableau7[Repere],MATCH(Tableau3[[#This Row],[ID-API]],Tableau7[ID-API],0))&amp;""</f>
        <v>A9</v>
      </c>
      <c r="AE1282" s="108" t="str">
        <f>INDEX(Tableau1[Repere-Rack],MATCH(Tableau3[[#This Row],[ID-RACK]],Tableau1[ID-RACK],0))&amp;""</f>
        <v>R1</v>
      </c>
      <c r="AF1282" s="108" t="str">
        <f>INDEX(Tableau1[Repere-Slot],MATCH(Tableau3[[#This Row],[ID-SLOT]],Tableau1[ID-SLOT],0))&amp;""</f>
        <v>S8</v>
      </c>
      <c r="AG1282" s="108" t="str">
        <f>INDEX(Tableau2[Repere-Voie],MATCH(Tableau3[[#This Row],[ID-VOIE]],Tableau2[ID-Voie],0))&amp;""</f>
        <v>v0</v>
      </c>
      <c r="AH1282" s="72" t="str">
        <f>Tableau3[[#This Row],[ID-API]]&amp; "." &amp;Tableau3[[#This Row],[ID-RACK]]&amp; "." &amp;Tableau3[[#This Row],[ID-SLOT]]</f>
        <v>9.1.8</v>
      </c>
      <c r="AI1282" s="72" t="str">
        <f>INDEX(Tableau1[Ref-Carte],MATCH(Tableau3[[#This Row],[ID-RRS]],Tableau1[ID-RRS],0))</f>
        <v>DRA0815</v>
      </c>
      <c r="AJ1282" s="72" t="str">
        <f t="array" ref="AJ1282">IFERROR(INDEX(Tableau2[TS],MATCH(1,(Tableau2[Ref-Carte]=Tableau3[[#This Row],[Ref-Carte2]])*(Tableau2[ID-Voie]=Tableau3[[#This Row],[ID-VOIE]]),0)),"")</f>
        <v>ST</v>
      </c>
      <c r="AK1282" s="72" t="str">
        <f>IFERROR(INDEX(Tableau2[TS],SUMPRODUCT((Tableau2[Ref-Carte]=Tableau3[[#This Row],[Ref-Carte2]])*(Tableau2[ID-Voie]=Tableau3[[#This Row],[ID-VOIE]])*ROW(Tableau2[TS]))-ROW(Tableau2[#Headers])),"")</f>
        <v>ST</v>
      </c>
      <c r="AL1282" s="72" t="str">
        <f>Tableau3[[#This Row],[Ref-Carte2]]&amp;"/"&amp;Tableau3[[#This Row],[ID-VOIE]]</f>
        <v>DRA0815/0</v>
      </c>
      <c r="AM1282" s="73" t="str">
        <f>INDEX(Tableau2[Borne],MATCH(Tableau3[[#This Row],[ID-CARTEVOIE]],Tableau2[ID-CARTEVOIE],0))&amp;""</f>
        <v>0</v>
      </c>
      <c r="AN1282" s="74" t="str">
        <f>Tableau3[[#This Row],[ID-API]]&amp;Tableau3[[#This Row],[ID-RACK]]&amp;Tableau3[[#This Row],[ID-SLOT]]&amp;Tableau3[[#This Row],[BORNE]]</f>
        <v>9180</v>
      </c>
      <c r="AO1282" s="1"/>
    </row>
    <row r="1283" spans="1:41" ht="20.100000000000001" customHeight="1" thickTop="1" thickBot="1">
      <c r="A1283" s="68"/>
      <c r="B1283" s="69" t="str">
        <f>IFERROR(INDEX(Tableau4[Date],MATCH($A1283,Tableau4[EVO],0)),"")</f>
        <v/>
      </c>
      <c r="C1283" s="68" t="str">
        <f>IFERROR(INDEX(Tableau4[Designation],MATCH($A1283,Tableau4[EVO],0)),"")</f>
        <v/>
      </c>
      <c r="D1283" s="68"/>
      <c r="E1283" s="70">
        <v>329</v>
      </c>
      <c r="F1283" s="71">
        <v>99</v>
      </c>
      <c r="G1283" s="101" t="str">
        <f>INDEX(Tableau8[Att1],MATCH(Tableau3[[#This Row],[ID-INS]],Tableau8[ID],0))&amp;""</f>
        <v/>
      </c>
      <c r="H1283" s="101" t="str">
        <f>INDEX(Tableau8[Att2],MATCH(Tableau3[[#This Row],[ID-INS]],Tableau8[ID],0))&amp;""</f>
        <v>TEA50</v>
      </c>
      <c r="I1283" s="101" t="str">
        <f>INDEX(Tableau8[Att3],MATCH(Tableau3[[#This Row],[ID-INS]],Tableau8[ID],0))&amp;""</f>
        <v>Alarme effraction FLS Contrôle</v>
      </c>
      <c r="J1283" s="101"/>
      <c r="K1283" s="167" t="str">
        <f>INDEX(Tableau8[Nom du modele],MATCH(Tableau3[[#This Row],[ID-INS]],Tableau8[ID],0))&amp;""</f>
        <v>TEA</v>
      </c>
      <c r="L1283" s="99" t="str">
        <f>INDEX(Tableau5[Att1],MATCH(Tableau3[[#This Row],[ID-SIG]],Tableau5[ID],0))&amp;""</f>
        <v>Info</v>
      </c>
      <c r="M1283" s="99" t="str">
        <f>INDEX(Tableau5[Att2],MATCH(Tableau3[[#This Row],[ID-SIG]],Tableau5[ID],0))&amp;""</f>
        <v/>
      </c>
      <c r="N1283" s="99" t="str">
        <f>INDEX(Tableau5[Att3],MATCH(Tableau3[[#This Row],[ID-SIG]],Tableau5[ID],0))&amp;""</f>
        <v/>
      </c>
      <c r="O1283" s="99"/>
      <c r="P1283" s="99" t="str">
        <f>INDEX(Tableau5[Description],MATCH(Tableau3[[#This Row],[ID-SIG]],Tableau5[ID],0))</f>
        <v>Commande</v>
      </c>
      <c r="Q1283" s="99"/>
      <c r="R1283" s="103" t="str">
        <f>Tableau3[[#This Row],[Description]]</f>
        <v>Commande</v>
      </c>
      <c r="U1283" s="87">
        <v>9</v>
      </c>
      <c r="V1283" s="87">
        <v>1</v>
      </c>
      <c r="W1283" s="87">
        <v>8</v>
      </c>
      <c r="X1283" s="87">
        <v>1</v>
      </c>
      <c r="Y1283" s="41"/>
      <c r="Z1283" s="165" t="str">
        <f>INDEX(Tableau2[TS],MATCH(Tableau3[[#This Row],[ID-CARTEVOIE]],Tableau2[ID-CARTEVOIE],0))</f>
        <v>ST</v>
      </c>
      <c r="AA1283" s="53" t="s">
        <v>213</v>
      </c>
      <c r="AB1283" s="223" t="str">
        <f>IFERROR(INDEX(Tableau5[Reserve],MATCH(Tableau3[[#This Row],[ID-SIG]],Tableau5[ID],0))&amp;"","")</f>
        <v/>
      </c>
      <c r="AC1283" s="21"/>
      <c r="AD1283" s="108" t="str">
        <f>INDEX(Tableau7[Repere],MATCH(Tableau3[[#This Row],[ID-API]],Tableau7[ID-API],0))&amp;""</f>
        <v>A9</v>
      </c>
      <c r="AE1283" s="108" t="str">
        <f>INDEX(Tableau1[Repere-Rack],MATCH(Tableau3[[#This Row],[ID-RACK]],Tableau1[ID-RACK],0))&amp;""</f>
        <v>R1</v>
      </c>
      <c r="AF1283" s="108" t="str">
        <f>INDEX(Tableau1[Repere-Slot],MATCH(Tableau3[[#This Row],[ID-SLOT]],Tableau1[ID-SLOT],0))&amp;""</f>
        <v>S8</v>
      </c>
      <c r="AG1283" s="108" t="str">
        <f>INDEX(Tableau2[Repere-Voie],MATCH(Tableau3[[#This Row],[ID-VOIE]],Tableau2[ID-Voie],0))&amp;""</f>
        <v>v1</v>
      </c>
      <c r="AH1283" s="72" t="str">
        <f>Tableau3[[#This Row],[ID-API]]&amp; "." &amp;Tableau3[[#This Row],[ID-RACK]]&amp; "." &amp;Tableau3[[#This Row],[ID-SLOT]]</f>
        <v>9.1.8</v>
      </c>
      <c r="AI1283" s="72" t="str">
        <f>INDEX(Tableau1[Ref-Carte],MATCH(Tableau3[[#This Row],[ID-RRS]],Tableau1[ID-RRS],0))</f>
        <v>DRA0815</v>
      </c>
      <c r="AJ1283" s="72" t="str">
        <f t="array" ref="AJ1283">IFERROR(INDEX(Tableau2[TS],MATCH(1,(Tableau2[Ref-Carte]=Tableau3[[#This Row],[Ref-Carte2]])*(Tableau2[ID-Voie]=Tableau3[[#This Row],[ID-VOIE]]),0)),"")</f>
        <v>ST</v>
      </c>
      <c r="AK1283" s="72" t="str">
        <f>IFERROR(INDEX(Tableau2[TS],SUMPRODUCT((Tableau2[Ref-Carte]=Tableau3[[#This Row],[Ref-Carte2]])*(Tableau2[ID-Voie]=Tableau3[[#This Row],[ID-VOIE]])*ROW(Tableau2[TS]))-ROW(Tableau2[#Headers])),"")</f>
        <v>ST</v>
      </c>
      <c r="AL1283" s="72" t="str">
        <f>Tableau3[[#This Row],[Ref-Carte2]]&amp;"/"&amp;Tableau3[[#This Row],[ID-VOIE]]</f>
        <v>DRA0815/1</v>
      </c>
      <c r="AM1283" s="73" t="str">
        <f>INDEX(Tableau2[Borne],MATCH(Tableau3[[#This Row],[ID-CARTEVOIE]],Tableau2[ID-CARTEVOIE],0))&amp;""</f>
        <v>1</v>
      </c>
      <c r="AN1283" s="74" t="str">
        <f>Tableau3[[#This Row],[ID-API]]&amp;Tableau3[[#This Row],[ID-RACK]]&amp;Tableau3[[#This Row],[ID-SLOT]]&amp;Tableau3[[#This Row],[BORNE]]</f>
        <v>9181</v>
      </c>
      <c r="AO1283" s="1"/>
    </row>
    <row r="1284" spans="1:41" ht="20.100000000000001" customHeight="1" thickTop="1" thickBot="1">
      <c r="A1284" s="68"/>
      <c r="B1284" s="69" t="str">
        <f>IFERROR(INDEX(Tableau4[Date],MATCH($A1284,Tableau4[EVO],0)),"")</f>
        <v/>
      </c>
      <c r="C1284" s="68" t="str">
        <f>IFERROR(INDEX(Tableau4[Designation],MATCH($A1284,Tableau4[EVO],0)),"")</f>
        <v/>
      </c>
      <c r="D1284" s="68"/>
      <c r="E1284" s="70">
        <v>330</v>
      </c>
      <c r="F1284" s="71">
        <v>99</v>
      </c>
      <c r="G1284" s="101" t="str">
        <f>INDEX(Tableau8[Att1],MATCH(Tableau3[[#This Row],[ID-INS]],Tableau8[ID],0))&amp;""</f>
        <v/>
      </c>
      <c r="H1284" s="101" t="str">
        <f>INDEX(Tableau8[Att2],MATCH(Tableau3[[#This Row],[ID-INS]],Tableau8[ID],0))&amp;""</f>
        <v>TEA51</v>
      </c>
      <c r="I1284" s="101" t="str">
        <f>INDEX(Tableau8[Att3],MATCH(Tableau3[[#This Row],[ID-INS]],Tableau8[ID],0))&amp;""</f>
        <v>Alarme effraction Voie VL/PL</v>
      </c>
      <c r="J1284" s="101"/>
      <c r="K1284" s="167" t="str">
        <f>INDEX(Tableau8[Nom du modele],MATCH(Tableau3[[#This Row],[ID-INS]],Tableau8[ID],0))&amp;""</f>
        <v>TEA</v>
      </c>
      <c r="L1284" s="99" t="str">
        <f>INDEX(Tableau5[Att1],MATCH(Tableau3[[#This Row],[ID-SIG]],Tableau5[ID],0))&amp;""</f>
        <v>Info</v>
      </c>
      <c r="M1284" s="99" t="str">
        <f>INDEX(Tableau5[Att2],MATCH(Tableau3[[#This Row],[ID-SIG]],Tableau5[ID],0))&amp;""</f>
        <v/>
      </c>
      <c r="N1284" s="99" t="str">
        <f>INDEX(Tableau5[Att3],MATCH(Tableau3[[#This Row],[ID-SIG]],Tableau5[ID],0))&amp;""</f>
        <v/>
      </c>
      <c r="O1284" s="99"/>
      <c r="P1284" s="99" t="str">
        <f>INDEX(Tableau5[Description],MATCH(Tableau3[[#This Row],[ID-SIG]],Tableau5[ID],0))</f>
        <v>Commande</v>
      </c>
      <c r="Q1284" s="99"/>
      <c r="R1284" s="103" t="str">
        <f>Tableau3[[#This Row],[Description]]</f>
        <v>Commande</v>
      </c>
      <c r="U1284" s="87">
        <v>9</v>
      </c>
      <c r="V1284" s="87">
        <v>1</v>
      </c>
      <c r="W1284" s="87">
        <v>8</v>
      </c>
      <c r="X1284" s="87">
        <v>2</v>
      </c>
      <c r="Y1284" s="41"/>
      <c r="Z1284" s="165" t="str">
        <f>INDEX(Tableau2[TS],MATCH(Tableau3[[#This Row],[ID-CARTEVOIE]],Tableau2[ID-CARTEVOIE],0))</f>
        <v>ST</v>
      </c>
      <c r="AA1284" s="53" t="s">
        <v>213</v>
      </c>
      <c r="AB1284" s="223" t="str">
        <f>IFERROR(INDEX(Tableau5[Reserve],MATCH(Tableau3[[#This Row],[ID-SIG]],Tableau5[ID],0))&amp;"","")</f>
        <v/>
      </c>
      <c r="AC1284" s="21"/>
      <c r="AD1284" s="108" t="str">
        <f>INDEX(Tableau7[Repere],MATCH(Tableau3[[#This Row],[ID-API]],Tableau7[ID-API],0))&amp;""</f>
        <v>A9</v>
      </c>
      <c r="AE1284" s="108" t="str">
        <f>INDEX(Tableau1[Repere-Rack],MATCH(Tableau3[[#This Row],[ID-RACK]],Tableau1[ID-RACK],0))&amp;""</f>
        <v>R1</v>
      </c>
      <c r="AF1284" s="108" t="str">
        <f>INDEX(Tableau1[Repere-Slot],MATCH(Tableau3[[#This Row],[ID-SLOT]],Tableau1[ID-SLOT],0))&amp;""</f>
        <v>S8</v>
      </c>
      <c r="AG1284" s="108" t="str">
        <f>INDEX(Tableau2[Repere-Voie],MATCH(Tableau3[[#This Row],[ID-VOIE]],Tableau2[ID-Voie],0))&amp;""</f>
        <v>v2</v>
      </c>
      <c r="AH1284" s="72" t="str">
        <f>Tableau3[[#This Row],[ID-API]]&amp; "." &amp;Tableau3[[#This Row],[ID-RACK]]&amp; "." &amp;Tableau3[[#This Row],[ID-SLOT]]</f>
        <v>9.1.8</v>
      </c>
      <c r="AI1284" s="72" t="str">
        <f>INDEX(Tableau1[Ref-Carte],MATCH(Tableau3[[#This Row],[ID-RRS]],Tableau1[ID-RRS],0))</f>
        <v>DRA0815</v>
      </c>
      <c r="AJ1284" s="72" t="str">
        <f t="array" ref="AJ1284">IFERROR(INDEX(Tableau2[TS],MATCH(1,(Tableau2[Ref-Carte]=Tableau3[[#This Row],[Ref-Carte2]])*(Tableau2[ID-Voie]=Tableau3[[#This Row],[ID-VOIE]]),0)),"")</f>
        <v>ST</v>
      </c>
      <c r="AK1284" s="72" t="str">
        <f>IFERROR(INDEX(Tableau2[TS],SUMPRODUCT((Tableau2[Ref-Carte]=Tableau3[[#This Row],[Ref-Carte2]])*(Tableau2[ID-Voie]=Tableau3[[#This Row],[ID-VOIE]])*ROW(Tableau2[TS]))-ROW(Tableau2[#Headers])),"")</f>
        <v>ST</v>
      </c>
      <c r="AL1284" s="72" t="str">
        <f>Tableau3[[#This Row],[Ref-Carte2]]&amp;"/"&amp;Tableau3[[#This Row],[ID-VOIE]]</f>
        <v>DRA0815/2</v>
      </c>
      <c r="AM1284" s="73" t="str">
        <f>INDEX(Tableau2[Borne],MATCH(Tableau3[[#This Row],[ID-CARTEVOIE]],Tableau2[ID-CARTEVOIE],0))&amp;""</f>
        <v>2</v>
      </c>
      <c r="AN1284" s="74" t="str">
        <f>Tableau3[[#This Row],[ID-API]]&amp;Tableau3[[#This Row],[ID-RACK]]&amp;Tableau3[[#This Row],[ID-SLOT]]&amp;Tableau3[[#This Row],[BORNE]]</f>
        <v>9182</v>
      </c>
      <c r="AO1284" s="1"/>
    </row>
    <row r="1285" spans="1:41" ht="20.100000000000001" customHeight="1" thickTop="1" thickBot="1">
      <c r="A1285" s="68"/>
      <c r="B1285" s="69" t="str">
        <f>IFERROR(INDEX(Tableau4[Date],MATCH($A1285,Tableau4[EVO],0)),"")</f>
        <v/>
      </c>
      <c r="C1285" s="68" t="str">
        <f>IFERROR(INDEX(Tableau4[Designation],MATCH($A1285,Tableau4[EVO],0)),"")</f>
        <v/>
      </c>
      <c r="D1285" s="68"/>
      <c r="E1285" s="70">
        <v>331</v>
      </c>
      <c r="F1285" s="71">
        <v>99</v>
      </c>
      <c r="G1285" s="101" t="str">
        <f>INDEX(Tableau8[Att1],MATCH(Tableau3[[#This Row],[ID-INS]],Tableau8[ID],0))&amp;""</f>
        <v/>
      </c>
      <c r="H1285" s="101" t="str">
        <f>INDEX(Tableau8[Att2],MATCH(Tableau3[[#This Row],[ID-INS]],Tableau8[ID],0))&amp;""</f>
        <v>TEA52</v>
      </c>
      <c r="I1285" s="101" t="str">
        <f>INDEX(Tableau8[Att3],MATCH(Tableau3[[#This Row],[ID-INS]],Tableau8[ID],0))&amp;""</f>
        <v>Alarme effraction local CFO B21</v>
      </c>
      <c r="J1285" s="101"/>
      <c r="K1285" s="167" t="str">
        <f>INDEX(Tableau8[Nom du modele],MATCH(Tableau3[[#This Row],[ID-INS]],Tableau8[ID],0))&amp;""</f>
        <v>TEA</v>
      </c>
      <c r="L1285" s="99" t="str">
        <f>INDEX(Tableau5[Att1],MATCH(Tableau3[[#This Row],[ID-SIG]],Tableau5[ID],0))&amp;""</f>
        <v>Info</v>
      </c>
      <c r="M1285" s="99" t="str">
        <f>INDEX(Tableau5[Att2],MATCH(Tableau3[[#This Row],[ID-SIG]],Tableau5[ID],0))&amp;""</f>
        <v/>
      </c>
      <c r="N1285" s="99" t="str">
        <f>INDEX(Tableau5[Att3],MATCH(Tableau3[[#This Row],[ID-SIG]],Tableau5[ID],0))&amp;""</f>
        <v/>
      </c>
      <c r="O1285" s="99"/>
      <c r="P1285" s="99" t="str">
        <f>INDEX(Tableau5[Description],MATCH(Tableau3[[#This Row],[ID-SIG]],Tableau5[ID],0))</f>
        <v>Commande</v>
      </c>
      <c r="Q1285" s="99"/>
      <c r="R1285" s="103" t="str">
        <f>Tableau3[[#This Row],[Description]]</f>
        <v>Commande</v>
      </c>
      <c r="U1285" s="87">
        <v>9</v>
      </c>
      <c r="V1285" s="87">
        <v>1</v>
      </c>
      <c r="W1285" s="87">
        <v>8</v>
      </c>
      <c r="X1285" s="87">
        <v>3</v>
      </c>
      <c r="Y1285" s="41"/>
      <c r="Z1285" s="165" t="str">
        <f>INDEX(Tableau2[TS],MATCH(Tableau3[[#This Row],[ID-CARTEVOIE]],Tableau2[ID-CARTEVOIE],0))</f>
        <v>ST</v>
      </c>
      <c r="AA1285" s="53" t="s">
        <v>213</v>
      </c>
      <c r="AB1285" s="223" t="str">
        <f>IFERROR(INDEX(Tableau5[Reserve],MATCH(Tableau3[[#This Row],[ID-SIG]],Tableau5[ID],0))&amp;"","")</f>
        <v/>
      </c>
      <c r="AC1285" s="21"/>
      <c r="AD1285" s="108" t="str">
        <f>INDEX(Tableau7[Repere],MATCH(Tableau3[[#This Row],[ID-API]],Tableau7[ID-API],0))&amp;""</f>
        <v>A9</v>
      </c>
      <c r="AE1285" s="108" t="str">
        <f>INDEX(Tableau1[Repere-Rack],MATCH(Tableau3[[#This Row],[ID-RACK]],Tableau1[ID-RACK],0))&amp;""</f>
        <v>R1</v>
      </c>
      <c r="AF1285" s="108" t="str">
        <f>INDEX(Tableau1[Repere-Slot],MATCH(Tableau3[[#This Row],[ID-SLOT]],Tableau1[ID-SLOT],0))&amp;""</f>
        <v>S8</v>
      </c>
      <c r="AG1285" s="108" t="str">
        <f>INDEX(Tableau2[Repere-Voie],MATCH(Tableau3[[#This Row],[ID-VOIE]],Tableau2[ID-Voie],0))&amp;""</f>
        <v>v3</v>
      </c>
      <c r="AH1285" s="72" t="str">
        <f>Tableau3[[#This Row],[ID-API]]&amp; "." &amp;Tableau3[[#This Row],[ID-RACK]]&amp; "." &amp;Tableau3[[#This Row],[ID-SLOT]]</f>
        <v>9.1.8</v>
      </c>
      <c r="AI1285" s="72" t="str">
        <f>INDEX(Tableau1[Ref-Carte],MATCH(Tableau3[[#This Row],[ID-RRS]],Tableau1[ID-RRS],0))</f>
        <v>DRA0815</v>
      </c>
      <c r="AJ1285" s="72" t="str">
        <f t="array" ref="AJ1285">IFERROR(INDEX(Tableau2[TS],MATCH(1,(Tableau2[Ref-Carte]=Tableau3[[#This Row],[Ref-Carte2]])*(Tableau2[ID-Voie]=Tableau3[[#This Row],[ID-VOIE]]),0)),"")</f>
        <v>ST</v>
      </c>
      <c r="AK1285" s="72" t="str">
        <f>IFERROR(INDEX(Tableau2[TS],SUMPRODUCT((Tableau2[Ref-Carte]=Tableau3[[#This Row],[Ref-Carte2]])*(Tableau2[ID-Voie]=Tableau3[[#This Row],[ID-VOIE]])*ROW(Tableau2[TS]))-ROW(Tableau2[#Headers])),"")</f>
        <v>ST</v>
      </c>
      <c r="AL1285" s="72" t="str">
        <f>Tableau3[[#This Row],[Ref-Carte2]]&amp;"/"&amp;Tableau3[[#This Row],[ID-VOIE]]</f>
        <v>DRA0815/3</v>
      </c>
      <c r="AM1285" s="73" t="str">
        <f>INDEX(Tableau2[Borne],MATCH(Tableau3[[#This Row],[ID-CARTEVOIE]],Tableau2[ID-CARTEVOIE],0))&amp;""</f>
        <v>3</v>
      </c>
      <c r="AN1285" s="74" t="str">
        <f>Tableau3[[#This Row],[ID-API]]&amp;Tableau3[[#This Row],[ID-RACK]]&amp;Tableau3[[#This Row],[ID-SLOT]]&amp;Tableau3[[#This Row],[BORNE]]</f>
        <v>9183</v>
      </c>
      <c r="AO1285" s="1"/>
    </row>
    <row r="1286" spans="1:41" ht="20.100000000000001" customHeight="1" thickTop="1" thickBot="1">
      <c r="A1286" s="68"/>
      <c r="B1286" s="69" t="str">
        <f>IFERROR(INDEX(Tableau4[Date],MATCH($A1286,Tableau4[EVO],0)),"")</f>
        <v/>
      </c>
      <c r="C1286" s="68" t="str">
        <f>IFERROR(INDEX(Tableau4[Designation],MATCH($A1286,Tableau4[EVO],0)),"")</f>
        <v/>
      </c>
      <c r="D1286" s="68"/>
      <c r="E1286" s="70">
        <v>332</v>
      </c>
      <c r="F1286" s="71">
        <v>99</v>
      </c>
      <c r="G1286" s="101" t="str">
        <f>INDEX(Tableau8[Att1],MATCH(Tableau3[[#This Row],[ID-INS]],Tableau8[ID],0))&amp;""</f>
        <v/>
      </c>
      <c r="H1286" s="101" t="str">
        <f>INDEX(Tableau8[Att2],MATCH(Tableau3[[#This Row],[ID-INS]],Tableau8[ID],0))&amp;""</f>
        <v>TEA53</v>
      </c>
      <c r="I1286" s="101" t="str">
        <f>INDEX(Tableau8[Att3],MATCH(Tableau3[[#This Row],[ID-INS]],Tableau8[ID],0))&amp;""</f>
        <v>Alarme effraction local CFI B22</v>
      </c>
      <c r="J1286" s="101"/>
      <c r="K1286" s="167" t="str">
        <f>INDEX(Tableau8[Nom du modele],MATCH(Tableau3[[#This Row],[ID-INS]],Tableau8[ID],0))&amp;""</f>
        <v>TEA</v>
      </c>
      <c r="L1286" s="99" t="str">
        <f>INDEX(Tableau5[Att1],MATCH(Tableau3[[#This Row],[ID-SIG]],Tableau5[ID],0))&amp;""</f>
        <v>Info</v>
      </c>
      <c r="M1286" s="99" t="str">
        <f>INDEX(Tableau5[Att2],MATCH(Tableau3[[#This Row],[ID-SIG]],Tableau5[ID],0))&amp;""</f>
        <v/>
      </c>
      <c r="N1286" s="99" t="str">
        <f>INDEX(Tableau5[Att3],MATCH(Tableau3[[#This Row],[ID-SIG]],Tableau5[ID],0))&amp;""</f>
        <v/>
      </c>
      <c r="O1286" s="99"/>
      <c r="P1286" s="99" t="str">
        <f>INDEX(Tableau5[Description],MATCH(Tableau3[[#This Row],[ID-SIG]],Tableau5[ID],0))</f>
        <v>Commande</v>
      </c>
      <c r="Q1286" s="99"/>
      <c r="R1286" s="103" t="str">
        <f>Tableau3[[#This Row],[Description]]</f>
        <v>Commande</v>
      </c>
      <c r="U1286" s="87">
        <v>9</v>
      </c>
      <c r="V1286" s="87">
        <v>1</v>
      </c>
      <c r="W1286" s="87">
        <v>8</v>
      </c>
      <c r="X1286" s="87">
        <v>4</v>
      </c>
      <c r="Y1286" s="41"/>
      <c r="Z1286" s="165" t="str">
        <f>INDEX(Tableau2[TS],MATCH(Tableau3[[#This Row],[ID-CARTEVOIE]],Tableau2[ID-CARTEVOIE],0))</f>
        <v>ST</v>
      </c>
      <c r="AA1286" s="53" t="s">
        <v>213</v>
      </c>
      <c r="AB1286" s="223" t="str">
        <f>IFERROR(INDEX(Tableau5[Reserve],MATCH(Tableau3[[#This Row],[ID-SIG]],Tableau5[ID],0))&amp;"","")</f>
        <v/>
      </c>
      <c r="AC1286" s="21"/>
      <c r="AD1286" s="108" t="str">
        <f>INDEX(Tableau7[Repere],MATCH(Tableau3[[#This Row],[ID-API]],Tableau7[ID-API],0))&amp;""</f>
        <v>A9</v>
      </c>
      <c r="AE1286" s="108" t="str">
        <f>INDEX(Tableau1[Repere-Rack],MATCH(Tableau3[[#This Row],[ID-RACK]],Tableau1[ID-RACK],0))&amp;""</f>
        <v>R1</v>
      </c>
      <c r="AF1286" s="108" t="str">
        <f>INDEX(Tableau1[Repere-Slot],MATCH(Tableau3[[#This Row],[ID-SLOT]],Tableau1[ID-SLOT],0))&amp;""</f>
        <v>S8</v>
      </c>
      <c r="AG1286" s="108" t="str">
        <f>INDEX(Tableau2[Repere-Voie],MATCH(Tableau3[[#This Row],[ID-VOIE]],Tableau2[ID-Voie],0))&amp;""</f>
        <v>v4</v>
      </c>
      <c r="AH1286" s="72" t="str">
        <f>Tableau3[[#This Row],[ID-API]]&amp; "." &amp;Tableau3[[#This Row],[ID-RACK]]&amp; "." &amp;Tableau3[[#This Row],[ID-SLOT]]</f>
        <v>9.1.8</v>
      </c>
      <c r="AI1286" s="72" t="str">
        <f>INDEX(Tableau1[Ref-Carte],MATCH(Tableau3[[#This Row],[ID-RRS]],Tableau1[ID-RRS],0))</f>
        <v>DRA0815</v>
      </c>
      <c r="AJ1286" s="72" t="str">
        <f t="array" ref="AJ1286">IFERROR(INDEX(Tableau2[TS],MATCH(1,(Tableau2[Ref-Carte]=Tableau3[[#This Row],[Ref-Carte2]])*(Tableau2[ID-Voie]=Tableau3[[#This Row],[ID-VOIE]]),0)),"")</f>
        <v>ST</v>
      </c>
      <c r="AK1286" s="72" t="str">
        <f>IFERROR(INDEX(Tableau2[TS],SUMPRODUCT((Tableau2[Ref-Carte]=Tableau3[[#This Row],[Ref-Carte2]])*(Tableau2[ID-Voie]=Tableau3[[#This Row],[ID-VOIE]])*ROW(Tableau2[TS]))-ROW(Tableau2[#Headers])),"")</f>
        <v>ST</v>
      </c>
      <c r="AL1286" s="72" t="str">
        <f>Tableau3[[#This Row],[Ref-Carte2]]&amp;"/"&amp;Tableau3[[#This Row],[ID-VOIE]]</f>
        <v>DRA0815/4</v>
      </c>
      <c r="AM1286" s="73" t="str">
        <f>INDEX(Tableau2[Borne],MATCH(Tableau3[[#This Row],[ID-CARTEVOIE]],Tableau2[ID-CARTEVOIE],0))&amp;""</f>
        <v>4</v>
      </c>
      <c r="AN1286" s="74" t="str">
        <f>Tableau3[[#This Row],[ID-API]]&amp;Tableau3[[#This Row],[ID-RACK]]&amp;Tableau3[[#This Row],[ID-SLOT]]&amp;Tableau3[[#This Row],[BORNE]]</f>
        <v>9184</v>
      </c>
      <c r="AO1286" s="1"/>
    </row>
    <row r="1287" spans="1:41" ht="20.100000000000001" customHeight="1" thickTop="1" thickBot="1">
      <c r="A1287" s="68"/>
      <c r="B1287" s="69" t="str">
        <f>IFERROR(INDEX(Tableau4[Date],MATCH($A1287,Tableau4[EVO],0)),"")</f>
        <v/>
      </c>
      <c r="C1287" s="68" t="str">
        <f>IFERROR(INDEX(Tableau4[Designation],MATCH($A1287,Tableau4[EVO],0)),"")</f>
        <v/>
      </c>
      <c r="D1287" s="68"/>
      <c r="E1287" s="70">
        <v>333</v>
      </c>
      <c r="F1287" s="71">
        <v>99</v>
      </c>
      <c r="G1287" s="101" t="str">
        <f>INDEX(Tableau8[Att1],MATCH(Tableau3[[#This Row],[ID-INS]],Tableau8[ID],0))&amp;""</f>
        <v/>
      </c>
      <c r="H1287" s="101" t="str">
        <f>INDEX(Tableau8[Att2],MATCH(Tableau3[[#This Row],[ID-INS]],Tableau8[ID],0))&amp;""</f>
        <v>TEA54</v>
      </c>
      <c r="I1287" s="101" t="str">
        <f>INDEX(Tableau8[Att3],MATCH(Tableau3[[#This Row],[ID-INS]],Tableau8[ID],0))&amp;""</f>
        <v>Rideau métallique Bât accueil non fermé</v>
      </c>
      <c r="J1287" s="101"/>
      <c r="K1287" s="167" t="str">
        <f>INDEX(Tableau8[Nom du modele],MATCH(Tableau3[[#This Row],[ID-INS]],Tableau8[ID],0))&amp;""</f>
        <v>TEA</v>
      </c>
      <c r="L1287" s="99" t="str">
        <f>INDEX(Tableau5[Att1],MATCH(Tableau3[[#This Row],[ID-SIG]],Tableau5[ID],0))&amp;""</f>
        <v>Info</v>
      </c>
      <c r="M1287" s="99" t="str">
        <f>INDEX(Tableau5[Att2],MATCH(Tableau3[[#This Row],[ID-SIG]],Tableau5[ID],0))&amp;""</f>
        <v/>
      </c>
      <c r="N1287" s="99" t="str">
        <f>INDEX(Tableau5[Att3],MATCH(Tableau3[[#This Row],[ID-SIG]],Tableau5[ID],0))&amp;""</f>
        <v/>
      </c>
      <c r="O1287" s="99"/>
      <c r="P1287" s="99" t="str">
        <f>INDEX(Tableau5[Description],MATCH(Tableau3[[#This Row],[ID-SIG]],Tableau5[ID],0))</f>
        <v>Commande</v>
      </c>
      <c r="Q1287" s="99"/>
      <c r="R1287" s="103" t="str">
        <f>Tableau3[[#This Row],[Description]]</f>
        <v>Commande</v>
      </c>
      <c r="U1287" s="87">
        <v>9</v>
      </c>
      <c r="V1287" s="87">
        <v>1</v>
      </c>
      <c r="W1287" s="87">
        <v>8</v>
      </c>
      <c r="X1287" s="87">
        <v>5</v>
      </c>
      <c r="Y1287" s="41"/>
      <c r="Z1287" s="165" t="str">
        <f>INDEX(Tableau2[TS],MATCH(Tableau3[[#This Row],[ID-CARTEVOIE]],Tableau2[ID-CARTEVOIE],0))</f>
        <v>ST</v>
      </c>
      <c r="AA1287" s="53" t="s">
        <v>213</v>
      </c>
      <c r="AB1287" s="223" t="str">
        <f>IFERROR(INDEX(Tableau5[Reserve],MATCH(Tableau3[[#This Row],[ID-SIG]],Tableau5[ID],0))&amp;"","")</f>
        <v/>
      </c>
      <c r="AC1287" s="21"/>
      <c r="AD1287" s="108" t="str">
        <f>INDEX(Tableau7[Repere],MATCH(Tableau3[[#This Row],[ID-API]],Tableau7[ID-API],0))&amp;""</f>
        <v>A9</v>
      </c>
      <c r="AE1287" s="108" t="str">
        <f>INDEX(Tableau1[Repere-Rack],MATCH(Tableau3[[#This Row],[ID-RACK]],Tableau1[ID-RACK],0))&amp;""</f>
        <v>R1</v>
      </c>
      <c r="AF1287" s="108" t="str">
        <f>INDEX(Tableau1[Repere-Slot],MATCH(Tableau3[[#This Row],[ID-SLOT]],Tableau1[ID-SLOT],0))&amp;""</f>
        <v>S8</v>
      </c>
      <c r="AG1287" s="108" t="str">
        <f>INDEX(Tableau2[Repere-Voie],MATCH(Tableau3[[#This Row],[ID-VOIE]],Tableau2[ID-Voie],0))&amp;""</f>
        <v>v5</v>
      </c>
      <c r="AH1287" s="72" t="str">
        <f>Tableau3[[#This Row],[ID-API]]&amp; "." &amp;Tableau3[[#This Row],[ID-RACK]]&amp; "." &amp;Tableau3[[#This Row],[ID-SLOT]]</f>
        <v>9.1.8</v>
      </c>
      <c r="AI1287" s="72" t="str">
        <f>INDEX(Tableau1[Ref-Carte],MATCH(Tableau3[[#This Row],[ID-RRS]],Tableau1[ID-RRS],0))</f>
        <v>DRA0815</v>
      </c>
      <c r="AJ1287" s="72" t="str">
        <f t="array" ref="AJ1287">IFERROR(INDEX(Tableau2[TS],MATCH(1,(Tableau2[Ref-Carte]=Tableau3[[#This Row],[Ref-Carte2]])*(Tableau2[ID-Voie]=Tableau3[[#This Row],[ID-VOIE]]),0)),"")</f>
        <v>ST</v>
      </c>
      <c r="AK1287" s="72" t="str">
        <f>IFERROR(INDEX(Tableau2[TS],SUMPRODUCT((Tableau2[Ref-Carte]=Tableau3[[#This Row],[Ref-Carte2]])*(Tableau2[ID-Voie]=Tableau3[[#This Row],[ID-VOIE]])*ROW(Tableau2[TS]))-ROW(Tableau2[#Headers])),"")</f>
        <v>ST</v>
      </c>
      <c r="AL1287" s="72" t="str">
        <f>Tableau3[[#This Row],[Ref-Carte2]]&amp;"/"&amp;Tableau3[[#This Row],[ID-VOIE]]</f>
        <v>DRA0815/5</v>
      </c>
      <c r="AM1287" s="73" t="str">
        <f>INDEX(Tableau2[Borne],MATCH(Tableau3[[#This Row],[ID-CARTEVOIE]],Tableau2[ID-CARTEVOIE],0))&amp;""</f>
        <v>5</v>
      </c>
      <c r="AN1287" s="74" t="str">
        <f>Tableau3[[#This Row],[ID-API]]&amp;Tableau3[[#This Row],[ID-RACK]]&amp;Tableau3[[#This Row],[ID-SLOT]]&amp;Tableau3[[#This Row],[BORNE]]</f>
        <v>9185</v>
      </c>
      <c r="AO1287" s="1"/>
    </row>
    <row r="1288" spans="1:41" ht="20.100000000000001" customHeight="1" thickTop="1" thickBot="1">
      <c r="A1288" s="68"/>
      <c r="B1288" s="69" t="str">
        <f>IFERROR(INDEX(Tableau4[Date],MATCH($A1288,Tableau4[EVO],0)),"")</f>
        <v/>
      </c>
      <c r="C1288" s="68" t="str">
        <f>IFERROR(INDEX(Tableau4[Designation],MATCH($A1288,Tableau4[EVO],0)),"")</f>
        <v/>
      </c>
      <c r="D1288" s="68"/>
      <c r="E1288" s="70">
        <v>334</v>
      </c>
      <c r="F1288" s="71">
        <v>99</v>
      </c>
      <c r="G1288" s="101" t="str">
        <f>INDEX(Tableau8[Att1],MATCH(Tableau3[[#This Row],[ID-INS]],Tableau8[ID],0))&amp;""</f>
        <v/>
      </c>
      <c r="H1288" s="101" t="str">
        <f>INDEX(Tableau8[Att2],MATCH(Tableau3[[#This Row],[ID-INS]],Tableau8[ID],0))&amp;""</f>
        <v>TEA55</v>
      </c>
      <c r="I1288" s="101" t="str">
        <f>INDEX(Tableau8[Att3],MATCH(Tableau3[[#This Row],[ID-INS]],Tableau8[ID],0))&amp;""</f>
        <v>Rideau métallique Bât contrôle non fermé</v>
      </c>
      <c r="J1288" s="101"/>
      <c r="K1288" s="167" t="str">
        <f>INDEX(Tableau8[Nom du modele],MATCH(Tableau3[[#This Row],[ID-INS]],Tableau8[ID],0))&amp;""</f>
        <v>TEA</v>
      </c>
      <c r="L1288" s="99" t="str">
        <f>INDEX(Tableau5[Att1],MATCH(Tableau3[[#This Row],[ID-SIG]],Tableau5[ID],0))&amp;""</f>
        <v>Info</v>
      </c>
      <c r="M1288" s="99" t="str">
        <f>INDEX(Tableau5[Att2],MATCH(Tableau3[[#This Row],[ID-SIG]],Tableau5[ID],0))&amp;""</f>
        <v/>
      </c>
      <c r="N1288" s="99" t="str">
        <f>INDEX(Tableau5[Att3],MATCH(Tableau3[[#This Row],[ID-SIG]],Tableau5[ID],0))&amp;""</f>
        <v/>
      </c>
      <c r="O1288" s="99"/>
      <c r="P1288" s="99" t="str">
        <f>INDEX(Tableau5[Description],MATCH(Tableau3[[#This Row],[ID-SIG]],Tableau5[ID],0))</f>
        <v>Commande</v>
      </c>
      <c r="Q1288" s="99"/>
      <c r="R1288" s="103" t="str">
        <f>Tableau3[[#This Row],[Description]]</f>
        <v>Commande</v>
      </c>
      <c r="U1288" s="87">
        <v>9</v>
      </c>
      <c r="V1288" s="87">
        <v>1</v>
      </c>
      <c r="W1288" s="87">
        <v>8</v>
      </c>
      <c r="X1288" s="87">
        <v>6</v>
      </c>
      <c r="Y1288" s="41"/>
      <c r="Z1288" s="165" t="str">
        <f>INDEX(Tableau2[TS],MATCH(Tableau3[[#This Row],[ID-CARTEVOIE]],Tableau2[ID-CARTEVOIE],0))</f>
        <v>ST</v>
      </c>
      <c r="AA1288" s="53" t="s">
        <v>213</v>
      </c>
      <c r="AB1288" s="223" t="str">
        <f>IFERROR(INDEX(Tableau5[Reserve],MATCH(Tableau3[[#This Row],[ID-SIG]],Tableau5[ID],0))&amp;"","")</f>
        <v/>
      </c>
      <c r="AC1288" s="21"/>
      <c r="AD1288" s="108" t="str">
        <f>INDEX(Tableau7[Repere],MATCH(Tableau3[[#This Row],[ID-API]],Tableau7[ID-API],0))&amp;""</f>
        <v>A9</v>
      </c>
      <c r="AE1288" s="108" t="str">
        <f>INDEX(Tableau1[Repere-Rack],MATCH(Tableau3[[#This Row],[ID-RACK]],Tableau1[ID-RACK],0))&amp;""</f>
        <v>R1</v>
      </c>
      <c r="AF1288" s="108" t="str">
        <f>INDEX(Tableau1[Repere-Slot],MATCH(Tableau3[[#This Row],[ID-SLOT]],Tableau1[ID-SLOT],0))&amp;""</f>
        <v>S8</v>
      </c>
      <c r="AG1288" s="108" t="str">
        <f>INDEX(Tableau2[Repere-Voie],MATCH(Tableau3[[#This Row],[ID-VOIE]],Tableau2[ID-Voie],0))&amp;""</f>
        <v>v6</v>
      </c>
      <c r="AH1288" s="72" t="str">
        <f>Tableau3[[#This Row],[ID-API]]&amp; "." &amp;Tableau3[[#This Row],[ID-RACK]]&amp; "." &amp;Tableau3[[#This Row],[ID-SLOT]]</f>
        <v>9.1.8</v>
      </c>
      <c r="AI1288" s="72" t="str">
        <f>INDEX(Tableau1[Ref-Carte],MATCH(Tableau3[[#This Row],[ID-RRS]],Tableau1[ID-RRS],0))</f>
        <v>DRA0815</v>
      </c>
      <c r="AJ1288" s="72" t="str">
        <f t="array" ref="AJ1288">IFERROR(INDEX(Tableau2[TS],MATCH(1,(Tableau2[Ref-Carte]=Tableau3[[#This Row],[Ref-Carte2]])*(Tableau2[ID-Voie]=Tableau3[[#This Row],[ID-VOIE]]),0)),"")</f>
        <v>ST</v>
      </c>
      <c r="AK1288" s="72" t="str">
        <f>IFERROR(INDEX(Tableau2[TS],SUMPRODUCT((Tableau2[Ref-Carte]=Tableau3[[#This Row],[Ref-Carte2]])*(Tableau2[ID-Voie]=Tableau3[[#This Row],[ID-VOIE]])*ROW(Tableau2[TS]))-ROW(Tableau2[#Headers])),"")</f>
        <v>ST</v>
      </c>
      <c r="AL1288" s="72" t="str">
        <f>Tableau3[[#This Row],[Ref-Carte2]]&amp;"/"&amp;Tableau3[[#This Row],[ID-VOIE]]</f>
        <v>DRA0815/6</v>
      </c>
      <c r="AM1288" s="73" t="str">
        <f>INDEX(Tableau2[Borne],MATCH(Tableau3[[#This Row],[ID-CARTEVOIE]],Tableau2[ID-CARTEVOIE],0))&amp;""</f>
        <v>6</v>
      </c>
      <c r="AN1288" s="74" t="str">
        <f>Tableau3[[#This Row],[ID-API]]&amp;Tableau3[[#This Row],[ID-RACK]]&amp;Tableau3[[#This Row],[ID-SLOT]]&amp;Tableau3[[#This Row],[BORNE]]</f>
        <v>9186</v>
      </c>
      <c r="AO1288" s="1"/>
    </row>
    <row r="1289" spans="1:41" ht="20.100000000000001" customHeight="1" thickTop="1" thickBot="1">
      <c r="A1289" s="68"/>
      <c r="B1289" s="69" t="str">
        <f>IFERROR(INDEX(Tableau4[Date],MATCH($A1289,Tableau4[EVO],0)),"")</f>
        <v/>
      </c>
      <c r="C1289" s="68" t="str">
        <f>IFERROR(INDEX(Tableau4[Designation],MATCH($A1289,Tableau4[EVO],0)),"")</f>
        <v/>
      </c>
      <c r="D1289" s="68"/>
      <c r="E1289" s="70">
        <v>335</v>
      </c>
      <c r="F1289" s="71">
        <v>99</v>
      </c>
      <c r="G1289" s="101" t="str">
        <f>INDEX(Tableau8[Att1],MATCH(Tableau3[[#This Row],[ID-INS]],Tableau8[ID],0))&amp;""</f>
        <v/>
      </c>
      <c r="H1289" s="101" t="str">
        <f>INDEX(Tableau8[Att2],MATCH(Tableau3[[#This Row],[ID-INS]],Tableau8[ID],0))&amp;""</f>
        <v>TEA56</v>
      </c>
      <c r="I1289" s="101" t="str">
        <f>INDEX(Tableau8[Att3],MATCH(Tableau3[[#This Row],[ID-INS]],Tableau8[ID],0))&amp;""</f>
        <v>Défaut bloquant entrée Centre</v>
      </c>
      <c r="J1289" s="101"/>
      <c r="K1289" s="167" t="str">
        <f>INDEX(Tableau8[Nom du modele],MATCH(Tableau3[[#This Row],[ID-INS]],Tableau8[ID],0))&amp;""</f>
        <v>TEA</v>
      </c>
      <c r="L1289" s="99" t="str">
        <f>INDEX(Tableau5[Att1],MATCH(Tableau3[[#This Row],[ID-SIG]],Tableau5[ID],0))&amp;""</f>
        <v>Info</v>
      </c>
      <c r="M1289" s="99" t="str">
        <f>INDEX(Tableau5[Att2],MATCH(Tableau3[[#This Row],[ID-SIG]],Tableau5[ID],0))&amp;""</f>
        <v/>
      </c>
      <c r="N1289" s="99" t="str">
        <f>INDEX(Tableau5[Att3],MATCH(Tableau3[[#This Row],[ID-SIG]],Tableau5[ID],0))&amp;""</f>
        <v/>
      </c>
      <c r="O1289" s="99"/>
      <c r="P1289" s="99" t="str">
        <f>INDEX(Tableau5[Description],MATCH(Tableau3[[#This Row],[ID-SIG]],Tableau5[ID],0))</f>
        <v>Commande</v>
      </c>
      <c r="Q1289" s="99"/>
      <c r="R1289" s="103" t="str">
        <f>Tableau3[[#This Row],[Description]]</f>
        <v>Commande</v>
      </c>
      <c r="U1289" s="87">
        <v>9</v>
      </c>
      <c r="V1289" s="87">
        <v>1</v>
      </c>
      <c r="W1289" s="87">
        <v>8</v>
      </c>
      <c r="X1289" s="87">
        <v>7</v>
      </c>
      <c r="Y1289" s="41"/>
      <c r="Z1289" s="165" t="str">
        <f>INDEX(Tableau2[TS],MATCH(Tableau3[[#This Row],[ID-CARTEVOIE]],Tableau2[ID-CARTEVOIE],0))</f>
        <v>ST</v>
      </c>
      <c r="AA1289" s="53" t="s">
        <v>213</v>
      </c>
      <c r="AB1289" s="223" t="str">
        <f>IFERROR(INDEX(Tableau5[Reserve],MATCH(Tableau3[[#This Row],[ID-SIG]],Tableau5[ID],0))&amp;"","")</f>
        <v/>
      </c>
      <c r="AC1289" s="21"/>
      <c r="AD1289" s="108" t="str">
        <f>INDEX(Tableau7[Repere],MATCH(Tableau3[[#This Row],[ID-API]],Tableau7[ID-API],0))&amp;""</f>
        <v>A9</v>
      </c>
      <c r="AE1289" s="108" t="str">
        <f>INDEX(Tableau1[Repere-Rack],MATCH(Tableau3[[#This Row],[ID-RACK]],Tableau1[ID-RACK],0))&amp;""</f>
        <v>R1</v>
      </c>
      <c r="AF1289" s="108" t="str">
        <f>INDEX(Tableau1[Repere-Slot],MATCH(Tableau3[[#This Row],[ID-SLOT]],Tableau1[ID-SLOT],0))&amp;""</f>
        <v>S8</v>
      </c>
      <c r="AG1289" s="108" t="str">
        <f>INDEX(Tableau2[Repere-Voie],MATCH(Tableau3[[#This Row],[ID-VOIE]],Tableau2[ID-Voie],0))&amp;""</f>
        <v>v7</v>
      </c>
      <c r="AH1289" s="72" t="str">
        <f>Tableau3[[#This Row],[ID-API]]&amp; "." &amp;Tableau3[[#This Row],[ID-RACK]]&amp; "." &amp;Tableau3[[#This Row],[ID-SLOT]]</f>
        <v>9.1.8</v>
      </c>
      <c r="AI1289" s="72" t="str">
        <f>INDEX(Tableau1[Ref-Carte],MATCH(Tableau3[[#This Row],[ID-RRS]],Tableau1[ID-RRS],0))</f>
        <v>DRA0815</v>
      </c>
      <c r="AJ1289" s="72" t="str">
        <f t="array" ref="AJ1289">IFERROR(INDEX(Tableau2[TS],MATCH(1,(Tableau2[Ref-Carte]=Tableau3[[#This Row],[Ref-Carte2]])*(Tableau2[ID-Voie]=Tableau3[[#This Row],[ID-VOIE]]),0)),"")</f>
        <v>ST</v>
      </c>
      <c r="AK1289" s="72" t="str">
        <f>IFERROR(INDEX(Tableau2[TS],SUMPRODUCT((Tableau2[Ref-Carte]=Tableau3[[#This Row],[Ref-Carte2]])*(Tableau2[ID-Voie]=Tableau3[[#This Row],[ID-VOIE]])*ROW(Tableau2[TS]))-ROW(Tableau2[#Headers])),"")</f>
        <v>ST</v>
      </c>
      <c r="AL1289" s="72" t="str">
        <f>Tableau3[[#This Row],[Ref-Carte2]]&amp;"/"&amp;Tableau3[[#This Row],[ID-VOIE]]</f>
        <v>DRA0815/7</v>
      </c>
      <c r="AM1289" s="73" t="str">
        <f>INDEX(Tableau2[Borne],MATCH(Tableau3[[#This Row],[ID-CARTEVOIE]],Tableau2[ID-CARTEVOIE],0))&amp;""</f>
        <v>7</v>
      </c>
      <c r="AN1289" s="74" t="str">
        <f>Tableau3[[#This Row],[ID-API]]&amp;Tableau3[[#This Row],[ID-RACK]]&amp;Tableau3[[#This Row],[ID-SLOT]]&amp;Tableau3[[#This Row],[BORNE]]</f>
        <v>9187</v>
      </c>
      <c r="AO1289" s="1"/>
    </row>
    <row r="1290" spans="1:41" ht="20.100000000000001" customHeight="1" thickTop="1" thickBot="1">
      <c r="A1290" s="68"/>
      <c r="B1290" s="69" t="str">
        <f>IFERROR(INDEX(Tableau4[Date],MATCH($A1290,Tableau4[EVO],0)),"")</f>
        <v/>
      </c>
      <c r="C1290" s="68" t="str">
        <f>IFERROR(INDEX(Tableau4[Designation],MATCH($A1290,Tableau4[EVO],0)),"")</f>
        <v/>
      </c>
      <c r="D1290" s="68"/>
      <c r="E1290" s="70">
        <v>336</v>
      </c>
      <c r="F1290" s="71">
        <v>99</v>
      </c>
      <c r="G1290" s="101" t="str">
        <f>INDEX(Tableau8[Att1],MATCH(Tableau3[[#This Row],[ID-INS]],Tableau8[ID],0))&amp;""</f>
        <v/>
      </c>
      <c r="H1290" s="101" t="str">
        <f>INDEX(Tableau8[Att2],MATCH(Tableau3[[#This Row],[ID-INS]],Tableau8[ID],0))&amp;""</f>
        <v>TEA57</v>
      </c>
      <c r="I1290" s="101" t="str">
        <f>INDEX(Tableau8[Att3],MATCH(Tableau3[[#This Row],[ID-INS]],Tableau8[ID],0))&amp;""</f>
        <v>Synthèse Dérangement câble à choc entrée centre</v>
      </c>
      <c r="J1290" s="101"/>
      <c r="K1290" s="167" t="str">
        <f>INDEX(Tableau8[Nom du modele],MATCH(Tableau3[[#This Row],[ID-INS]],Tableau8[ID],0))&amp;""</f>
        <v>TEA</v>
      </c>
      <c r="L1290" s="99" t="str">
        <f>INDEX(Tableau5[Att1],MATCH(Tableau3[[#This Row],[ID-SIG]],Tableau5[ID],0))&amp;""</f>
        <v>Info</v>
      </c>
      <c r="M1290" s="99" t="str">
        <f>INDEX(Tableau5[Att2],MATCH(Tableau3[[#This Row],[ID-SIG]],Tableau5[ID],0))&amp;""</f>
        <v/>
      </c>
      <c r="N1290" s="99" t="str">
        <f>INDEX(Tableau5[Att3],MATCH(Tableau3[[#This Row],[ID-SIG]],Tableau5[ID],0))&amp;""</f>
        <v/>
      </c>
      <c r="O1290" s="99"/>
      <c r="P1290" s="99" t="str">
        <f>INDEX(Tableau5[Description],MATCH(Tableau3[[#This Row],[ID-SIG]],Tableau5[ID],0))</f>
        <v>Commande</v>
      </c>
      <c r="Q1290" s="99"/>
      <c r="R1290" s="103" t="str">
        <f>Tableau3[[#This Row],[Description]]</f>
        <v>Commande</v>
      </c>
      <c r="U1290" s="87">
        <v>9</v>
      </c>
      <c r="V1290" s="87">
        <v>1</v>
      </c>
      <c r="W1290" s="87">
        <v>9</v>
      </c>
      <c r="X1290" s="87">
        <v>0</v>
      </c>
      <c r="Y1290" s="41"/>
      <c r="Z1290" s="165" t="str">
        <f>INDEX(Tableau2[TS],MATCH(Tableau3[[#This Row],[ID-CARTEVOIE]],Tableau2[ID-CARTEVOIE],0))</f>
        <v>ST</v>
      </c>
      <c r="AA1290" s="53" t="s">
        <v>213</v>
      </c>
      <c r="AB1290" s="223" t="str">
        <f>IFERROR(INDEX(Tableau5[Reserve],MATCH(Tableau3[[#This Row],[ID-SIG]],Tableau5[ID],0))&amp;"","")</f>
        <v/>
      </c>
      <c r="AC1290" s="21"/>
      <c r="AD1290" s="108" t="str">
        <f>INDEX(Tableau7[Repere],MATCH(Tableau3[[#This Row],[ID-API]],Tableau7[ID-API],0))&amp;""</f>
        <v>A9</v>
      </c>
      <c r="AE1290" s="108" t="str">
        <f>INDEX(Tableau1[Repere-Rack],MATCH(Tableau3[[#This Row],[ID-RACK]],Tableau1[ID-RACK],0))&amp;""</f>
        <v>R1</v>
      </c>
      <c r="AF1290" s="108" t="str">
        <f>INDEX(Tableau1[Repere-Slot],MATCH(Tableau3[[#This Row],[ID-SLOT]],Tableau1[ID-SLOT],0))&amp;""</f>
        <v>S9</v>
      </c>
      <c r="AG1290" s="108" t="str">
        <f>INDEX(Tableau2[Repere-Voie],MATCH(Tableau3[[#This Row],[ID-VOIE]],Tableau2[ID-Voie],0))&amp;""</f>
        <v>v0</v>
      </c>
      <c r="AH1290" s="72" t="str">
        <f>Tableau3[[#This Row],[ID-API]]&amp; "." &amp;Tableau3[[#This Row],[ID-RACK]]&amp; "." &amp;Tableau3[[#This Row],[ID-SLOT]]</f>
        <v>9.1.9</v>
      </c>
      <c r="AI1290" s="72" t="str">
        <f>INDEX(Tableau1[Ref-Carte],MATCH(Tableau3[[#This Row],[ID-RRS]],Tableau1[ID-RRS],0))</f>
        <v>DRA0815</v>
      </c>
      <c r="AJ1290" s="72" t="str">
        <f t="array" ref="AJ1290">IFERROR(INDEX(Tableau2[TS],MATCH(1,(Tableau2[Ref-Carte]=Tableau3[[#This Row],[Ref-Carte2]])*(Tableau2[ID-Voie]=Tableau3[[#This Row],[ID-VOIE]]),0)),"")</f>
        <v>ST</v>
      </c>
      <c r="AK1290" s="72" t="str">
        <f>IFERROR(INDEX(Tableau2[TS],SUMPRODUCT((Tableau2[Ref-Carte]=Tableau3[[#This Row],[Ref-Carte2]])*(Tableau2[ID-Voie]=Tableau3[[#This Row],[ID-VOIE]])*ROW(Tableau2[TS]))-ROW(Tableau2[#Headers])),"")</f>
        <v>ST</v>
      </c>
      <c r="AL1290" s="72" t="str">
        <f>Tableau3[[#This Row],[Ref-Carte2]]&amp;"/"&amp;Tableau3[[#This Row],[ID-VOIE]]</f>
        <v>DRA0815/0</v>
      </c>
      <c r="AM1290" s="73" t="str">
        <f>INDEX(Tableau2[Borne],MATCH(Tableau3[[#This Row],[ID-CARTEVOIE]],Tableau2[ID-CARTEVOIE],0))&amp;""</f>
        <v>0</v>
      </c>
      <c r="AN1290" s="74" t="str">
        <f>Tableau3[[#This Row],[ID-API]]&amp;Tableau3[[#This Row],[ID-RACK]]&amp;Tableau3[[#This Row],[ID-SLOT]]&amp;Tableau3[[#This Row],[BORNE]]</f>
        <v>9190</v>
      </c>
      <c r="AO1290" s="1"/>
    </row>
    <row r="1291" spans="1:41" ht="20.100000000000001" customHeight="1" thickTop="1" thickBot="1">
      <c r="A1291" s="68"/>
      <c r="B1291" s="69" t="str">
        <f>IFERROR(INDEX(Tableau4[Date],MATCH($A1291,Tableau4[EVO],0)),"")</f>
        <v/>
      </c>
      <c r="C1291" s="68" t="str">
        <f>IFERROR(INDEX(Tableau4[Designation],MATCH($A1291,Tableau4[EVO],0)),"")</f>
        <v/>
      </c>
      <c r="D1291" s="68"/>
      <c r="E1291" s="70">
        <v>337</v>
      </c>
      <c r="F1291" s="71">
        <v>99</v>
      </c>
      <c r="G1291" s="101" t="str">
        <f>INDEX(Tableau8[Att1],MATCH(Tableau3[[#This Row],[ID-INS]],Tableau8[ID],0))&amp;""</f>
        <v/>
      </c>
      <c r="H1291" s="101" t="str">
        <f>INDEX(Tableau8[Att2],MATCH(Tableau3[[#This Row],[ID-INS]],Tableau8[ID],0))&amp;""</f>
        <v>TEA58</v>
      </c>
      <c r="I1291" s="101" t="str">
        <f>INDEX(Tableau8[Att3],MATCH(Tableau3[[#This Row],[ID-INS]],Tableau8[ID],0))&amp;""</f>
        <v>Synthèse Alarme Câble à choc clôture entrée centre</v>
      </c>
      <c r="J1291" s="101"/>
      <c r="K1291" s="167" t="str">
        <f>INDEX(Tableau8[Nom du modele],MATCH(Tableau3[[#This Row],[ID-INS]],Tableau8[ID],0))&amp;""</f>
        <v>TEA</v>
      </c>
      <c r="L1291" s="99" t="str">
        <f>INDEX(Tableau5[Att1],MATCH(Tableau3[[#This Row],[ID-SIG]],Tableau5[ID],0))&amp;""</f>
        <v>Info</v>
      </c>
      <c r="M1291" s="99" t="str">
        <f>INDEX(Tableau5[Att2],MATCH(Tableau3[[#This Row],[ID-SIG]],Tableau5[ID],0))&amp;""</f>
        <v/>
      </c>
      <c r="N1291" s="99" t="str">
        <f>INDEX(Tableau5[Att3],MATCH(Tableau3[[#This Row],[ID-SIG]],Tableau5[ID],0))&amp;""</f>
        <v/>
      </c>
      <c r="O1291" s="99"/>
      <c r="P1291" s="99" t="str">
        <f>INDEX(Tableau5[Description],MATCH(Tableau3[[#This Row],[ID-SIG]],Tableau5[ID],0))</f>
        <v>Commande</v>
      </c>
      <c r="Q1291" s="99"/>
      <c r="R1291" s="103" t="str">
        <f>Tableau3[[#This Row],[Description]]</f>
        <v>Commande</v>
      </c>
      <c r="U1291" s="87">
        <v>9</v>
      </c>
      <c r="V1291" s="87">
        <v>1</v>
      </c>
      <c r="W1291" s="87">
        <v>9</v>
      </c>
      <c r="X1291" s="87">
        <v>1</v>
      </c>
      <c r="Y1291" s="41"/>
      <c r="Z1291" s="165" t="str">
        <f>INDEX(Tableau2[TS],MATCH(Tableau3[[#This Row],[ID-CARTEVOIE]],Tableau2[ID-CARTEVOIE],0))</f>
        <v>ST</v>
      </c>
      <c r="AA1291" s="53" t="s">
        <v>213</v>
      </c>
      <c r="AB1291" s="223" t="str">
        <f>IFERROR(INDEX(Tableau5[Reserve],MATCH(Tableau3[[#This Row],[ID-SIG]],Tableau5[ID],0))&amp;"","")</f>
        <v/>
      </c>
      <c r="AC1291" s="21"/>
      <c r="AD1291" s="108" t="str">
        <f>INDEX(Tableau7[Repere],MATCH(Tableau3[[#This Row],[ID-API]],Tableau7[ID-API],0))&amp;""</f>
        <v>A9</v>
      </c>
      <c r="AE1291" s="108" t="str">
        <f>INDEX(Tableau1[Repere-Rack],MATCH(Tableau3[[#This Row],[ID-RACK]],Tableau1[ID-RACK],0))&amp;""</f>
        <v>R1</v>
      </c>
      <c r="AF1291" s="108" t="str">
        <f>INDEX(Tableau1[Repere-Slot],MATCH(Tableau3[[#This Row],[ID-SLOT]],Tableau1[ID-SLOT],0))&amp;""</f>
        <v>S9</v>
      </c>
      <c r="AG1291" s="108" t="str">
        <f>INDEX(Tableau2[Repere-Voie],MATCH(Tableau3[[#This Row],[ID-VOIE]],Tableau2[ID-Voie],0))&amp;""</f>
        <v>v1</v>
      </c>
      <c r="AH1291" s="72" t="str">
        <f>Tableau3[[#This Row],[ID-API]]&amp; "." &amp;Tableau3[[#This Row],[ID-RACK]]&amp; "." &amp;Tableau3[[#This Row],[ID-SLOT]]</f>
        <v>9.1.9</v>
      </c>
      <c r="AI1291" s="72" t="str">
        <f>INDEX(Tableau1[Ref-Carte],MATCH(Tableau3[[#This Row],[ID-RRS]],Tableau1[ID-RRS],0))</f>
        <v>DRA0815</v>
      </c>
      <c r="AJ1291" s="72" t="str">
        <f t="array" ref="AJ1291">IFERROR(INDEX(Tableau2[TS],MATCH(1,(Tableau2[Ref-Carte]=Tableau3[[#This Row],[Ref-Carte2]])*(Tableau2[ID-Voie]=Tableau3[[#This Row],[ID-VOIE]]),0)),"")</f>
        <v>ST</v>
      </c>
      <c r="AK1291" s="72" t="str">
        <f>IFERROR(INDEX(Tableau2[TS],SUMPRODUCT((Tableau2[Ref-Carte]=Tableau3[[#This Row],[Ref-Carte2]])*(Tableau2[ID-Voie]=Tableau3[[#This Row],[ID-VOIE]])*ROW(Tableau2[TS]))-ROW(Tableau2[#Headers])),"")</f>
        <v>ST</v>
      </c>
      <c r="AL1291" s="72" t="str">
        <f>Tableau3[[#This Row],[Ref-Carte2]]&amp;"/"&amp;Tableau3[[#This Row],[ID-VOIE]]</f>
        <v>DRA0815/1</v>
      </c>
      <c r="AM1291" s="73" t="str">
        <f>INDEX(Tableau2[Borne],MATCH(Tableau3[[#This Row],[ID-CARTEVOIE]],Tableau2[ID-CARTEVOIE],0))&amp;""</f>
        <v>1</v>
      </c>
      <c r="AN1291" s="74" t="str">
        <f>Tableau3[[#This Row],[ID-API]]&amp;Tableau3[[#This Row],[ID-RACK]]&amp;Tableau3[[#This Row],[ID-SLOT]]&amp;Tableau3[[#This Row],[BORNE]]</f>
        <v>9191</v>
      </c>
      <c r="AO1291" s="1"/>
    </row>
    <row r="1292" spans="1:41" ht="20.100000000000001" customHeight="1" thickTop="1" thickBot="1">
      <c r="A1292" s="68"/>
      <c r="B1292" s="69" t="str">
        <f>IFERROR(INDEX(Tableau4[Date],MATCH($A1292,Tableau4[EVO],0)),"")</f>
        <v/>
      </c>
      <c r="C1292" s="68" t="str">
        <f>IFERROR(INDEX(Tableau4[Designation],MATCH($A1292,Tableau4[EVO],0)),"")</f>
        <v/>
      </c>
      <c r="D1292" s="68"/>
      <c r="E1292" s="70">
        <v>338</v>
      </c>
      <c r="F1292" s="71">
        <v>99</v>
      </c>
      <c r="G1292" s="101" t="str">
        <f>INDEX(Tableau8[Att1],MATCH(Tableau3[[#This Row],[ID-INS]],Tableau8[ID],0))&amp;""</f>
        <v/>
      </c>
      <c r="H1292" s="101" t="str">
        <f>INDEX(Tableau8[Att2],MATCH(Tableau3[[#This Row],[ID-INS]],Tableau8[ID],0))&amp;""</f>
        <v>TEA59</v>
      </c>
      <c r="I1292" s="101" t="str">
        <f>INDEX(Tableau8[Att3],MATCH(Tableau3[[#This Row],[ID-INS]],Tableau8[ID],0))&amp;""</f>
        <v>Synthèse Alarme Câble à choc Portail entrée centre</v>
      </c>
      <c r="J1292" s="101"/>
      <c r="K1292" s="167" t="str">
        <f>INDEX(Tableau8[Nom du modele],MATCH(Tableau3[[#This Row],[ID-INS]],Tableau8[ID],0))&amp;""</f>
        <v>TEA</v>
      </c>
      <c r="L1292" s="99" t="str">
        <f>INDEX(Tableau5[Att1],MATCH(Tableau3[[#This Row],[ID-SIG]],Tableau5[ID],0))&amp;""</f>
        <v>Info</v>
      </c>
      <c r="M1292" s="99" t="str">
        <f>INDEX(Tableau5[Att2],MATCH(Tableau3[[#This Row],[ID-SIG]],Tableau5[ID],0))&amp;""</f>
        <v/>
      </c>
      <c r="N1292" s="99" t="str">
        <f>INDEX(Tableau5[Att3],MATCH(Tableau3[[#This Row],[ID-SIG]],Tableau5[ID],0))&amp;""</f>
        <v/>
      </c>
      <c r="O1292" s="99"/>
      <c r="P1292" s="99" t="str">
        <f>INDEX(Tableau5[Description],MATCH(Tableau3[[#This Row],[ID-SIG]],Tableau5[ID],0))</f>
        <v>Commande</v>
      </c>
      <c r="Q1292" s="99"/>
      <c r="R1292" s="103" t="str">
        <f>Tableau3[[#This Row],[Description]]</f>
        <v>Commande</v>
      </c>
      <c r="U1292" s="87">
        <v>9</v>
      </c>
      <c r="V1292" s="87">
        <v>1</v>
      </c>
      <c r="W1292" s="87">
        <v>9</v>
      </c>
      <c r="X1292" s="87">
        <v>2</v>
      </c>
      <c r="Y1292" s="41"/>
      <c r="Z1292" s="165" t="str">
        <f>INDEX(Tableau2[TS],MATCH(Tableau3[[#This Row],[ID-CARTEVOIE]],Tableau2[ID-CARTEVOIE],0))</f>
        <v>ST</v>
      </c>
      <c r="AA1292" s="53" t="s">
        <v>213</v>
      </c>
      <c r="AB1292" s="223" t="str">
        <f>IFERROR(INDEX(Tableau5[Reserve],MATCH(Tableau3[[#This Row],[ID-SIG]],Tableau5[ID],0))&amp;"","")</f>
        <v/>
      </c>
      <c r="AC1292" s="21"/>
      <c r="AD1292" s="108" t="str">
        <f>INDEX(Tableau7[Repere],MATCH(Tableau3[[#This Row],[ID-API]],Tableau7[ID-API],0))&amp;""</f>
        <v>A9</v>
      </c>
      <c r="AE1292" s="108" t="str">
        <f>INDEX(Tableau1[Repere-Rack],MATCH(Tableau3[[#This Row],[ID-RACK]],Tableau1[ID-RACK],0))&amp;""</f>
        <v>R1</v>
      </c>
      <c r="AF1292" s="108" t="str">
        <f>INDEX(Tableau1[Repere-Slot],MATCH(Tableau3[[#This Row],[ID-SLOT]],Tableau1[ID-SLOT],0))&amp;""</f>
        <v>S9</v>
      </c>
      <c r="AG1292" s="108" t="str">
        <f>INDEX(Tableau2[Repere-Voie],MATCH(Tableau3[[#This Row],[ID-VOIE]],Tableau2[ID-Voie],0))&amp;""</f>
        <v>v2</v>
      </c>
      <c r="AH1292" s="72" t="str">
        <f>Tableau3[[#This Row],[ID-API]]&amp; "." &amp;Tableau3[[#This Row],[ID-RACK]]&amp; "." &amp;Tableau3[[#This Row],[ID-SLOT]]</f>
        <v>9.1.9</v>
      </c>
      <c r="AI1292" s="72" t="str">
        <f>INDEX(Tableau1[Ref-Carte],MATCH(Tableau3[[#This Row],[ID-RRS]],Tableau1[ID-RRS],0))</f>
        <v>DRA0815</v>
      </c>
      <c r="AJ1292" s="72" t="str">
        <f t="array" ref="AJ1292">IFERROR(INDEX(Tableau2[TS],MATCH(1,(Tableau2[Ref-Carte]=Tableau3[[#This Row],[Ref-Carte2]])*(Tableau2[ID-Voie]=Tableau3[[#This Row],[ID-VOIE]]),0)),"")</f>
        <v>ST</v>
      </c>
      <c r="AK1292" s="72" t="str">
        <f>IFERROR(INDEX(Tableau2[TS],SUMPRODUCT((Tableau2[Ref-Carte]=Tableau3[[#This Row],[Ref-Carte2]])*(Tableau2[ID-Voie]=Tableau3[[#This Row],[ID-VOIE]])*ROW(Tableau2[TS]))-ROW(Tableau2[#Headers])),"")</f>
        <v>ST</v>
      </c>
      <c r="AL1292" s="72" t="str">
        <f>Tableau3[[#This Row],[Ref-Carte2]]&amp;"/"&amp;Tableau3[[#This Row],[ID-VOIE]]</f>
        <v>DRA0815/2</v>
      </c>
      <c r="AM1292" s="73" t="str">
        <f>INDEX(Tableau2[Borne],MATCH(Tableau3[[#This Row],[ID-CARTEVOIE]],Tableau2[ID-CARTEVOIE],0))&amp;""</f>
        <v>2</v>
      </c>
      <c r="AN1292" s="74" t="str">
        <f>Tableau3[[#This Row],[ID-API]]&amp;Tableau3[[#This Row],[ID-RACK]]&amp;Tableau3[[#This Row],[ID-SLOT]]&amp;Tableau3[[#This Row],[BORNE]]</f>
        <v>9192</v>
      </c>
      <c r="AO1292" s="1"/>
    </row>
    <row r="1293" spans="1:41" ht="20.100000000000001" customHeight="1" thickTop="1" thickBot="1">
      <c r="A1293" s="68"/>
      <c r="B1293" s="69" t="str">
        <f>IFERROR(INDEX(Tableau4[Date],MATCH($A1293,Tableau4[EVO],0)),"")</f>
        <v/>
      </c>
      <c r="C1293" s="68" t="str">
        <f>IFERROR(INDEX(Tableau4[Designation],MATCH($A1293,Tableau4[EVO],0)),"")</f>
        <v/>
      </c>
      <c r="D1293" s="68"/>
      <c r="E1293" s="70">
        <v>339</v>
      </c>
      <c r="F1293" s="71">
        <v>99</v>
      </c>
      <c r="G1293" s="101" t="str">
        <f>INDEX(Tableau8[Att1],MATCH(Tableau3[[#This Row],[ID-INS]],Tableau8[ID],0))&amp;""</f>
        <v/>
      </c>
      <c r="H1293" s="101" t="str">
        <f>INDEX(Tableau8[Att2],MATCH(Tableau3[[#This Row],[ID-INS]],Tableau8[ID],0))&amp;""</f>
        <v>TEA60</v>
      </c>
      <c r="I1293" s="101" t="str">
        <f>INDEX(Tableau8[Att3],MATCH(Tableau3[[#This Row],[ID-INS]],Tableau8[ID],0))&amp;""</f>
        <v>Alarme Capteur Sismique(perçage) mur B22</v>
      </c>
      <c r="J1293" s="101"/>
      <c r="K1293" s="167" t="str">
        <f>INDEX(Tableau8[Nom du modele],MATCH(Tableau3[[#This Row],[ID-INS]],Tableau8[ID],0))&amp;""</f>
        <v>TEA</v>
      </c>
      <c r="L1293" s="99" t="str">
        <f>INDEX(Tableau5[Att1],MATCH(Tableau3[[#This Row],[ID-SIG]],Tableau5[ID],0))&amp;""</f>
        <v>Info</v>
      </c>
      <c r="M1293" s="99" t="str">
        <f>INDEX(Tableau5[Att2],MATCH(Tableau3[[#This Row],[ID-SIG]],Tableau5[ID],0))&amp;""</f>
        <v/>
      </c>
      <c r="N1293" s="99" t="str">
        <f>INDEX(Tableau5[Att3],MATCH(Tableau3[[#This Row],[ID-SIG]],Tableau5[ID],0))&amp;""</f>
        <v/>
      </c>
      <c r="O1293" s="99"/>
      <c r="P1293" s="99" t="str">
        <f>INDEX(Tableau5[Description],MATCH(Tableau3[[#This Row],[ID-SIG]],Tableau5[ID],0))</f>
        <v>Commande</v>
      </c>
      <c r="Q1293" s="99"/>
      <c r="R1293" s="103" t="str">
        <f>Tableau3[[#This Row],[Description]]</f>
        <v>Commande</v>
      </c>
      <c r="U1293" s="87">
        <v>9</v>
      </c>
      <c r="V1293" s="87">
        <v>1</v>
      </c>
      <c r="W1293" s="87">
        <v>9</v>
      </c>
      <c r="X1293" s="87">
        <v>3</v>
      </c>
      <c r="Y1293" s="41"/>
      <c r="Z1293" s="165" t="str">
        <f>INDEX(Tableau2[TS],MATCH(Tableau3[[#This Row],[ID-CARTEVOIE]],Tableau2[ID-CARTEVOIE],0))</f>
        <v>ST</v>
      </c>
      <c r="AA1293" s="53" t="s">
        <v>213</v>
      </c>
      <c r="AB1293" s="223" t="str">
        <f>IFERROR(INDEX(Tableau5[Reserve],MATCH(Tableau3[[#This Row],[ID-SIG]],Tableau5[ID],0))&amp;"","")</f>
        <v/>
      </c>
      <c r="AC1293" s="21"/>
      <c r="AD1293" s="108" t="str">
        <f>INDEX(Tableau7[Repere],MATCH(Tableau3[[#This Row],[ID-API]],Tableau7[ID-API],0))&amp;""</f>
        <v>A9</v>
      </c>
      <c r="AE1293" s="108" t="str">
        <f>INDEX(Tableau1[Repere-Rack],MATCH(Tableau3[[#This Row],[ID-RACK]],Tableau1[ID-RACK],0))&amp;""</f>
        <v>R1</v>
      </c>
      <c r="AF1293" s="108" t="str">
        <f>INDEX(Tableau1[Repere-Slot],MATCH(Tableau3[[#This Row],[ID-SLOT]],Tableau1[ID-SLOT],0))&amp;""</f>
        <v>S9</v>
      </c>
      <c r="AG1293" s="108" t="str">
        <f>INDEX(Tableau2[Repere-Voie],MATCH(Tableau3[[#This Row],[ID-VOIE]],Tableau2[ID-Voie],0))&amp;""</f>
        <v>v3</v>
      </c>
      <c r="AH1293" s="72" t="str">
        <f>Tableau3[[#This Row],[ID-API]]&amp; "." &amp;Tableau3[[#This Row],[ID-RACK]]&amp; "." &amp;Tableau3[[#This Row],[ID-SLOT]]</f>
        <v>9.1.9</v>
      </c>
      <c r="AI1293" s="72" t="str">
        <f>INDEX(Tableau1[Ref-Carte],MATCH(Tableau3[[#This Row],[ID-RRS]],Tableau1[ID-RRS],0))</f>
        <v>DRA0815</v>
      </c>
      <c r="AJ1293" s="72" t="str">
        <f t="array" ref="AJ1293">IFERROR(INDEX(Tableau2[TS],MATCH(1,(Tableau2[Ref-Carte]=Tableau3[[#This Row],[Ref-Carte2]])*(Tableau2[ID-Voie]=Tableau3[[#This Row],[ID-VOIE]]),0)),"")</f>
        <v>ST</v>
      </c>
      <c r="AK1293" s="72" t="str">
        <f>IFERROR(INDEX(Tableau2[TS],SUMPRODUCT((Tableau2[Ref-Carte]=Tableau3[[#This Row],[Ref-Carte2]])*(Tableau2[ID-Voie]=Tableau3[[#This Row],[ID-VOIE]])*ROW(Tableau2[TS]))-ROW(Tableau2[#Headers])),"")</f>
        <v>ST</v>
      </c>
      <c r="AL1293" s="72" t="str">
        <f>Tableau3[[#This Row],[Ref-Carte2]]&amp;"/"&amp;Tableau3[[#This Row],[ID-VOIE]]</f>
        <v>DRA0815/3</v>
      </c>
      <c r="AM1293" s="73" t="str">
        <f>INDEX(Tableau2[Borne],MATCH(Tableau3[[#This Row],[ID-CARTEVOIE]],Tableau2[ID-CARTEVOIE],0))&amp;""</f>
        <v>3</v>
      </c>
      <c r="AN1293" s="74" t="str">
        <f>Tableau3[[#This Row],[ID-API]]&amp;Tableau3[[#This Row],[ID-RACK]]&amp;Tableau3[[#This Row],[ID-SLOT]]&amp;Tableau3[[#This Row],[BORNE]]</f>
        <v>9193</v>
      </c>
      <c r="AO1293" s="1"/>
    </row>
    <row r="1294" spans="1:41" ht="20.100000000000001" customHeight="1" thickTop="1" thickBot="1">
      <c r="A1294" s="68"/>
      <c r="B1294" s="69" t="str">
        <f>IFERROR(INDEX(Tableau4[Date],MATCH($A1294,Tableau4[EVO],0)),"")</f>
        <v/>
      </c>
      <c r="C1294" s="68" t="str">
        <f>IFERROR(INDEX(Tableau4[Designation],MATCH($A1294,Tableau4[EVO],0)),"")</f>
        <v/>
      </c>
      <c r="D1294" s="68"/>
      <c r="E1294" s="70">
        <v>340</v>
      </c>
      <c r="F1294" s="71">
        <v>99</v>
      </c>
      <c r="G1294" s="101" t="str">
        <f>INDEX(Tableau8[Att1],MATCH(Tableau3[[#This Row],[ID-INS]],Tableau8[ID],0))&amp;""</f>
        <v/>
      </c>
      <c r="H1294" s="101" t="str">
        <f>INDEX(Tableau8[Att2],MATCH(Tableau3[[#This Row],[ID-INS]],Tableau8[ID],0))&amp;""</f>
        <v>TEA61</v>
      </c>
      <c r="I1294" s="101" t="str">
        <f>INDEX(Tableau8[Att3],MATCH(Tableau3[[#This Row],[ID-INS]],Tableau8[ID],0))&amp;""</f>
        <v>Fraude Capteur Sismique(perçage) mur B22</v>
      </c>
      <c r="J1294" s="101"/>
      <c r="K1294" s="167" t="str">
        <f>INDEX(Tableau8[Nom du modele],MATCH(Tableau3[[#This Row],[ID-INS]],Tableau8[ID],0))&amp;""</f>
        <v>TEA</v>
      </c>
      <c r="L1294" s="99" t="str">
        <f>INDEX(Tableau5[Att1],MATCH(Tableau3[[#This Row],[ID-SIG]],Tableau5[ID],0))&amp;""</f>
        <v>Info</v>
      </c>
      <c r="M1294" s="99" t="str">
        <f>INDEX(Tableau5[Att2],MATCH(Tableau3[[#This Row],[ID-SIG]],Tableau5[ID],0))&amp;""</f>
        <v/>
      </c>
      <c r="N1294" s="99" t="str">
        <f>INDEX(Tableau5[Att3],MATCH(Tableau3[[#This Row],[ID-SIG]],Tableau5[ID],0))&amp;""</f>
        <v/>
      </c>
      <c r="O1294" s="99"/>
      <c r="P1294" s="99" t="str">
        <f>INDEX(Tableau5[Description],MATCH(Tableau3[[#This Row],[ID-SIG]],Tableau5[ID],0))</f>
        <v>Commande</v>
      </c>
      <c r="Q1294" s="99"/>
      <c r="R1294" s="103" t="str">
        <f>Tableau3[[#This Row],[Description]]</f>
        <v>Commande</v>
      </c>
      <c r="U1294" s="87">
        <v>9</v>
      </c>
      <c r="V1294" s="87">
        <v>1</v>
      </c>
      <c r="W1294" s="87">
        <v>9</v>
      </c>
      <c r="X1294" s="87">
        <v>4</v>
      </c>
      <c r="Y1294" s="41"/>
      <c r="Z1294" s="165" t="str">
        <f>INDEX(Tableau2[TS],MATCH(Tableau3[[#This Row],[ID-CARTEVOIE]],Tableau2[ID-CARTEVOIE],0))</f>
        <v>ST</v>
      </c>
      <c r="AA1294" s="53" t="s">
        <v>213</v>
      </c>
      <c r="AB1294" s="223" t="str">
        <f>IFERROR(INDEX(Tableau5[Reserve],MATCH(Tableau3[[#This Row],[ID-SIG]],Tableau5[ID],0))&amp;"","")</f>
        <v/>
      </c>
      <c r="AC1294" s="21"/>
      <c r="AD1294" s="108" t="str">
        <f>INDEX(Tableau7[Repere],MATCH(Tableau3[[#This Row],[ID-API]],Tableau7[ID-API],0))&amp;""</f>
        <v>A9</v>
      </c>
      <c r="AE1294" s="108" t="str">
        <f>INDEX(Tableau1[Repere-Rack],MATCH(Tableau3[[#This Row],[ID-RACK]],Tableau1[ID-RACK],0))&amp;""</f>
        <v>R1</v>
      </c>
      <c r="AF1294" s="108" t="str">
        <f>INDEX(Tableau1[Repere-Slot],MATCH(Tableau3[[#This Row],[ID-SLOT]],Tableau1[ID-SLOT],0))&amp;""</f>
        <v>S9</v>
      </c>
      <c r="AG1294" s="108" t="str">
        <f>INDEX(Tableau2[Repere-Voie],MATCH(Tableau3[[#This Row],[ID-VOIE]],Tableau2[ID-Voie],0))&amp;""</f>
        <v>v4</v>
      </c>
      <c r="AH1294" s="72" t="str">
        <f>Tableau3[[#This Row],[ID-API]]&amp; "." &amp;Tableau3[[#This Row],[ID-RACK]]&amp; "." &amp;Tableau3[[#This Row],[ID-SLOT]]</f>
        <v>9.1.9</v>
      </c>
      <c r="AI1294" s="72" t="str">
        <f>INDEX(Tableau1[Ref-Carte],MATCH(Tableau3[[#This Row],[ID-RRS]],Tableau1[ID-RRS],0))</f>
        <v>DRA0815</v>
      </c>
      <c r="AJ1294" s="72" t="str">
        <f t="array" ref="AJ1294">IFERROR(INDEX(Tableau2[TS],MATCH(1,(Tableau2[Ref-Carte]=Tableau3[[#This Row],[Ref-Carte2]])*(Tableau2[ID-Voie]=Tableau3[[#This Row],[ID-VOIE]]),0)),"")</f>
        <v>ST</v>
      </c>
      <c r="AK1294" s="72" t="str">
        <f>IFERROR(INDEX(Tableau2[TS],SUMPRODUCT((Tableau2[Ref-Carte]=Tableau3[[#This Row],[Ref-Carte2]])*(Tableau2[ID-Voie]=Tableau3[[#This Row],[ID-VOIE]])*ROW(Tableau2[TS]))-ROW(Tableau2[#Headers])),"")</f>
        <v>ST</v>
      </c>
      <c r="AL1294" s="72" t="str">
        <f>Tableau3[[#This Row],[Ref-Carte2]]&amp;"/"&amp;Tableau3[[#This Row],[ID-VOIE]]</f>
        <v>DRA0815/4</v>
      </c>
      <c r="AM1294" s="73" t="str">
        <f>INDEX(Tableau2[Borne],MATCH(Tableau3[[#This Row],[ID-CARTEVOIE]],Tableau2[ID-CARTEVOIE],0))&amp;""</f>
        <v>4</v>
      </c>
      <c r="AN1294" s="74" t="str">
        <f>Tableau3[[#This Row],[ID-API]]&amp;Tableau3[[#This Row],[ID-RACK]]&amp;Tableau3[[#This Row],[ID-SLOT]]&amp;Tableau3[[#This Row],[BORNE]]</f>
        <v>9194</v>
      </c>
      <c r="AO1294" s="1"/>
    </row>
    <row r="1295" spans="1:41" ht="20.100000000000001" customHeight="1" thickTop="1" thickBot="1">
      <c r="A1295" s="75"/>
      <c r="B1295" s="76" t="str">
        <f>IFERROR(INDEX(Tableau4[Date],MATCH($A1295,Tableau4[EVO],0)),"")</f>
        <v/>
      </c>
      <c r="C1295" s="75" t="str">
        <f>IFERROR(INDEX(Tableau4[Designation],MATCH($A1295,Tableau4[EVO],0)),"")</f>
        <v/>
      </c>
      <c r="D1295" s="75"/>
      <c r="E1295" s="79">
        <v>341</v>
      </c>
      <c r="F1295" s="80">
        <v>99</v>
      </c>
      <c r="G1295" s="102" t="str">
        <f>INDEX(Tableau8[Att1],MATCH(Tableau3[[#This Row],[ID-INS]],Tableau8[ID],0))&amp;""</f>
        <v/>
      </c>
      <c r="H1295" s="102" t="str">
        <f>INDEX(Tableau8[Att2],MATCH(Tableau3[[#This Row],[ID-INS]],Tableau8[ID],0))&amp;""</f>
        <v>TEA62</v>
      </c>
      <c r="I1295" s="102" t="str">
        <f>INDEX(Tableau8[Att3],MATCH(Tableau3[[#This Row],[ID-INS]],Tableau8[ID],0))&amp;""</f>
        <v>Alarme déclenchement DM B21</v>
      </c>
      <c r="J1295" s="102"/>
      <c r="K1295" s="167" t="str">
        <f>INDEX(Tableau8[Nom du modele],MATCH(Tableau3[[#This Row],[ID-INS]],Tableau8[ID],0))&amp;""</f>
        <v>TEA</v>
      </c>
      <c r="L1295" s="100" t="str">
        <f>INDEX(Tableau5[Att1],MATCH(Tableau3[[#This Row],[ID-SIG]],Tableau5[ID],0))&amp;""</f>
        <v>Info</v>
      </c>
      <c r="M1295" s="100" t="str">
        <f>INDEX(Tableau5[Att2],MATCH(Tableau3[[#This Row],[ID-SIG]],Tableau5[ID],0))&amp;""</f>
        <v/>
      </c>
      <c r="N1295" s="100" t="str">
        <f>INDEX(Tableau5[Att3],MATCH(Tableau3[[#This Row],[ID-SIG]],Tableau5[ID],0))&amp;""</f>
        <v/>
      </c>
      <c r="O1295" s="100"/>
      <c r="P1295" s="100" t="str">
        <f>INDEX(Tableau5[Description],MATCH(Tableau3[[#This Row],[ID-SIG]],Tableau5[ID],0))</f>
        <v>Commande</v>
      </c>
      <c r="Q1295" s="100"/>
      <c r="R1295" s="104" t="str">
        <f>Tableau3[[#This Row],[Description]]</f>
        <v>Commande</v>
      </c>
      <c r="U1295" s="88">
        <v>9</v>
      </c>
      <c r="V1295" s="88">
        <v>1</v>
      </c>
      <c r="W1295" s="88">
        <v>9</v>
      </c>
      <c r="X1295" s="88">
        <v>5</v>
      </c>
      <c r="Y1295" s="41"/>
      <c r="Z1295" s="166" t="str">
        <f>INDEX(Tableau2[TS],MATCH(Tableau3[[#This Row],[ID-CARTEVOIE]],Tableau2[ID-CARTEVOIE],0))</f>
        <v>ST</v>
      </c>
      <c r="AA1295" s="81" t="s">
        <v>213</v>
      </c>
      <c r="AB1295" s="226" t="str">
        <f>IFERROR(INDEX(Tableau5[Reserve],MATCH(Tableau3[[#This Row],[ID-SIG]],Tableau5[ID],0))&amp;"","")</f>
        <v/>
      </c>
      <c r="AC1295" s="21"/>
      <c r="AD1295" s="108" t="str">
        <f>INDEX(Tableau7[Repere],MATCH(Tableau3[[#This Row],[ID-API]],Tableau7[ID-API],0))&amp;""</f>
        <v>A9</v>
      </c>
      <c r="AE1295" s="109" t="str">
        <f>INDEX(Tableau1[Repere-Rack],MATCH(Tableau3[[#This Row],[ID-RACK]],Tableau1[ID-RACK],0))&amp;""</f>
        <v>R1</v>
      </c>
      <c r="AF1295" s="109" t="str">
        <f>INDEX(Tableau1[Repere-Slot],MATCH(Tableau3[[#This Row],[ID-SLOT]],Tableau1[ID-SLOT],0))&amp;""</f>
        <v>S9</v>
      </c>
      <c r="AG1295" s="109" t="str">
        <f>INDEX(Tableau2[Repere-Voie],MATCH(Tableau3[[#This Row],[ID-VOIE]],Tableau2[ID-Voie],0))&amp;""</f>
        <v>v5</v>
      </c>
      <c r="AH1295" s="72" t="str">
        <f>Tableau3[[#This Row],[ID-API]]&amp; "." &amp;Tableau3[[#This Row],[ID-RACK]]&amp; "." &amp;Tableau3[[#This Row],[ID-SLOT]]</f>
        <v>9.1.9</v>
      </c>
      <c r="AI1295" s="72" t="str">
        <f>INDEX(Tableau1[Ref-Carte],MATCH(Tableau3[[#This Row],[ID-RRS]],Tableau1[ID-RRS],0))</f>
        <v>DRA0815</v>
      </c>
      <c r="AJ1295" s="72" t="str">
        <f t="array" ref="AJ1295">IFERROR(INDEX(Tableau2[TS],MATCH(1,(Tableau2[Ref-Carte]=Tableau3[[#This Row],[Ref-Carte2]])*(Tableau2[ID-Voie]=Tableau3[[#This Row],[ID-VOIE]]),0)),"")</f>
        <v>ST</v>
      </c>
      <c r="AK1295" s="72" t="str">
        <f>IFERROR(INDEX(Tableau2[TS],SUMPRODUCT((Tableau2[Ref-Carte]=Tableau3[[#This Row],[Ref-Carte2]])*(Tableau2[ID-Voie]=Tableau3[[#This Row],[ID-VOIE]])*ROW(Tableau2[TS]))-ROW(Tableau2[#Headers])),"")</f>
        <v>ST</v>
      </c>
      <c r="AL1295" s="72" t="str">
        <f>Tableau3[[#This Row],[Ref-Carte2]]&amp;"/"&amp;Tableau3[[#This Row],[ID-VOIE]]</f>
        <v>DRA0815/5</v>
      </c>
      <c r="AM1295" s="77" t="str">
        <f>INDEX(Tableau2[Borne],MATCH(Tableau3[[#This Row],[ID-CARTEVOIE]],Tableau2[ID-CARTEVOIE],0))&amp;""</f>
        <v>5</v>
      </c>
      <c r="AN1295" s="74" t="str">
        <f>Tableau3[[#This Row],[ID-API]]&amp;Tableau3[[#This Row],[ID-RACK]]&amp;Tableau3[[#This Row],[ID-SLOT]]&amp;Tableau3[[#This Row],[BORNE]]</f>
        <v>9195</v>
      </c>
      <c r="AO1295" s="1"/>
    </row>
    <row r="1296" spans="1:41" ht="20.100000000000001" customHeight="1" thickTop="1" thickBot="1">
      <c r="A1296" s="75"/>
      <c r="B1296" s="76" t="str">
        <f>IFERROR(INDEX(Tableau4[Date],MATCH($A1296,Tableau4[EVO],0)),"")</f>
        <v/>
      </c>
      <c r="C1296" s="75" t="str">
        <f>IFERROR(INDEX(Tableau4[Designation],MATCH($A1296,Tableau4[EVO],0)),"")</f>
        <v/>
      </c>
      <c r="D1296" s="75"/>
      <c r="E1296" s="79">
        <v>342</v>
      </c>
      <c r="F1296" s="80">
        <v>99</v>
      </c>
      <c r="G1296" s="102" t="str">
        <f>INDEX(Tableau8[Att1],MATCH(Tableau3[[#This Row],[ID-INS]],Tableau8[ID],0))&amp;""</f>
        <v/>
      </c>
      <c r="H1296" s="102" t="str">
        <f>INDEX(Tableau8[Att2],MATCH(Tableau3[[#This Row],[ID-INS]],Tableau8[ID],0))&amp;""</f>
        <v>TEA63</v>
      </c>
      <c r="I1296" s="102" t="str">
        <f>INDEX(Tableau8[Att3],MATCH(Tableau3[[#This Row],[ID-INS]],Tableau8[ID],0))&amp;""</f>
        <v>Alarme détection incendie B21</v>
      </c>
      <c r="J1296" s="102"/>
      <c r="K1296" s="167" t="str">
        <f>INDEX(Tableau8[Nom du modele],MATCH(Tableau3[[#This Row],[ID-INS]],Tableau8[ID],0))&amp;""</f>
        <v>TEA</v>
      </c>
      <c r="L1296" s="100" t="str">
        <f>INDEX(Tableau5[Att1],MATCH(Tableau3[[#This Row],[ID-SIG]],Tableau5[ID],0))&amp;""</f>
        <v>Info</v>
      </c>
      <c r="M1296" s="100" t="str">
        <f>INDEX(Tableau5[Att2],MATCH(Tableau3[[#This Row],[ID-SIG]],Tableau5[ID],0))&amp;""</f>
        <v/>
      </c>
      <c r="N1296" s="100" t="str">
        <f>INDEX(Tableau5[Att3],MATCH(Tableau3[[#This Row],[ID-SIG]],Tableau5[ID],0))&amp;""</f>
        <v/>
      </c>
      <c r="O1296" s="100"/>
      <c r="P1296" s="100" t="str">
        <f>INDEX(Tableau5[Description],MATCH(Tableau3[[#This Row],[ID-SIG]],Tableau5[ID],0))</f>
        <v>Commande</v>
      </c>
      <c r="Q1296" s="100"/>
      <c r="R1296" s="104" t="str">
        <f>Tableau3[[#This Row],[Description]]</f>
        <v>Commande</v>
      </c>
      <c r="U1296" s="88">
        <v>9</v>
      </c>
      <c r="V1296" s="88">
        <v>1</v>
      </c>
      <c r="W1296" s="88">
        <v>9</v>
      </c>
      <c r="X1296" s="88">
        <v>6</v>
      </c>
      <c r="Y1296" s="41"/>
      <c r="Z1296" s="166" t="str">
        <f>INDEX(Tableau2[TS],MATCH(Tableau3[[#This Row],[ID-CARTEVOIE]],Tableau2[ID-CARTEVOIE],0))</f>
        <v>ST</v>
      </c>
      <c r="AA1296" s="81" t="s">
        <v>213</v>
      </c>
      <c r="AB1296" s="226" t="str">
        <f>IFERROR(INDEX(Tableau5[Reserve],MATCH(Tableau3[[#This Row],[ID-SIG]],Tableau5[ID],0))&amp;"","")</f>
        <v/>
      </c>
      <c r="AC1296" s="21"/>
      <c r="AD1296" s="108" t="str">
        <f>INDEX(Tableau7[Repere],MATCH(Tableau3[[#This Row],[ID-API]],Tableau7[ID-API],0))&amp;""</f>
        <v>A9</v>
      </c>
      <c r="AE1296" s="109" t="str">
        <f>INDEX(Tableau1[Repere-Rack],MATCH(Tableau3[[#This Row],[ID-RACK]],Tableau1[ID-RACK],0))&amp;""</f>
        <v>R1</v>
      </c>
      <c r="AF1296" s="109" t="str">
        <f>INDEX(Tableau1[Repere-Slot],MATCH(Tableau3[[#This Row],[ID-SLOT]],Tableau1[ID-SLOT],0))&amp;""</f>
        <v>S9</v>
      </c>
      <c r="AG1296" s="109" t="str">
        <f>INDEX(Tableau2[Repere-Voie],MATCH(Tableau3[[#This Row],[ID-VOIE]],Tableau2[ID-Voie],0))&amp;""</f>
        <v>v6</v>
      </c>
      <c r="AH1296" s="72" t="str">
        <f>Tableau3[[#This Row],[ID-API]]&amp; "." &amp;Tableau3[[#This Row],[ID-RACK]]&amp; "." &amp;Tableau3[[#This Row],[ID-SLOT]]</f>
        <v>9.1.9</v>
      </c>
      <c r="AI1296" s="72" t="str">
        <f>INDEX(Tableau1[Ref-Carte],MATCH(Tableau3[[#This Row],[ID-RRS]],Tableau1[ID-RRS],0))</f>
        <v>DRA0815</v>
      </c>
      <c r="AJ1296" s="72" t="str">
        <f t="array" ref="AJ1296">IFERROR(INDEX(Tableau2[TS],MATCH(1,(Tableau2[Ref-Carte]=Tableau3[[#This Row],[Ref-Carte2]])*(Tableau2[ID-Voie]=Tableau3[[#This Row],[ID-VOIE]]),0)),"")</f>
        <v>ST</v>
      </c>
      <c r="AK1296" s="72" t="str">
        <f>IFERROR(INDEX(Tableau2[TS],SUMPRODUCT((Tableau2[Ref-Carte]=Tableau3[[#This Row],[Ref-Carte2]])*(Tableau2[ID-Voie]=Tableau3[[#This Row],[ID-VOIE]])*ROW(Tableau2[TS]))-ROW(Tableau2[#Headers])),"")</f>
        <v>ST</v>
      </c>
      <c r="AL1296" s="72" t="str">
        <f>Tableau3[[#This Row],[Ref-Carte2]]&amp;"/"&amp;Tableau3[[#This Row],[ID-VOIE]]</f>
        <v>DRA0815/6</v>
      </c>
      <c r="AM1296" s="77" t="str">
        <f>INDEX(Tableau2[Borne],MATCH(Tableau3[[#This Row],[ID-CARTEVOIE]],Tableau2[ID-CARTEVOIE],0))&amp;""</f>
        <v>6</v>
      </c>
      <c r="AN1296" s="74" t="str">
        <f>Tableau3[[#This Row],[ID-API]]&amp;Tableau3[[#This Row],[ID-RACK]]&amp;Tableau3[[#This Row],[ID-SLOT]]&amp;Tableau3[[#This Row],[BORNE]]</f>
        <v>9196</v>
      </c>
      <c r="AO1296" s="1"/>
    </row>
    <row r="1297" spans="1:41" ht="20.100000000000001" customHeight="1" thickTop="1" thickBot="1">
      <c r="A1297" s="75"/>
      <c r="B1297" s="76" t="str">
        <f>IFERROR(INDEX(Tableau4[Date],MATCH($A1297,Tableau4[EVO],0)),"")</f>
        <v/>
      </c>
      <c r="C1297" s="75" t="str">
        <f>IFERROR(INDEX(Tableau4[Designation],MATCH($A1297,Tableau4[EVO],0)),"")</f>
        <v/>
      </c>
      <c r="D1297" s="75"/>
      <c r="E1297" s="79">
        <v>343</v>
      </c>
      <c r="F1297" s="80">
        <v>99</v>
      </c>
      <c r="G1297" s="102" t="str">
        <f>INDEX(Tableau8[Att1],MATCH(Tableau3[[#This Row],[ID-INS]],Tableau8[ID],0))&amp;""</f>
        <v/>
      </c>
      <c r="H1297" s="102" t="str">
        <f>INDEX(Tableau8[Att2],MATCH(Tableau3[[#This Row],[ID-INS]],Tableau8[ID],0))&amp;""</f>
        <v>TEA64</v>
      </c>
      <c r="I1297" s="102" t="str">
        <f>INDEX(Tableau8[Att3],MATCH(Tableau3[[#This Row],[ID-INS]],Tableau8[ID],0))&amp;""</f>
        <v>Alarme déclenchement DM B22</v>
      </c>
      <c r="J1297" s="102"/>
      <c r="K1297" s="167" t="str">
        <f>INDEX(Tableau8[Nom du modele],MATCH(Tableau3[[#This Row],[ID-INS]],Tableau8[ID],0))&amp;""</f>
        <v>TEA</v>
      </c>
      <c r="L1297" s="100" t="str">
        <f>INDEX(Tableau5[Att1],MATCH(Tableau3[[#This Row],[ID-SIG]],Tableau5[ID],0))&amp;""</f>
        <v>Info</v>
      </c>
      <c r="M1297" s="100" t="str">
        <f>INDEX(Tableau5[Att2],MATCH(Tableau3[[#This Row],[ID-SIG]],Tableau5[ID],0))&amp;""</f>
        <v/>
      </c>
      <c r="N1297" s="100" t="str">
        <f>INDEX(Tableau5[Att3],MATCH(Tableau3[[#This Row],[ID-SIG]],Tableau5[ID],0))&amp;""</f>
        <v/>
      </c>
      <c r="O1297" s="100"/>
      <c r="P1297" s="100" t="str">
        <f>INDEX(Tableau5[Description],MATCH(Tableau3[[#This Row],[ID-SIG]],Tableau5[ID],0))</f>
        <v>Commande</v>
      </c>
      <c r="Q1297" s="100"/>
      <c r="R1297" s="104" t="str">
        <f>Tableau3[[#This Row],[Description]]</f>
        <v>Commande</v>
      </c>
      <c r="U1297" s="88">
        <v>9</v>
      </c>
      <c r="V1297" s="88">
        <v>1</v>
      </c>
      <c r="W1297" s="88">
        <v>9</v>
      </c>
      <c r="X1297" s="88">
        <v>7</v>
      </c>
      <c r="Y1297" s="41"/>
      <c r="Z1297" s="166" t="str">
        <f>INDEX(Tableau2[TS],MATCH(Tableau3[[#This Row],[ID-CARTEVOIE]],Tableau2[ID-CARTEVOIE],0))</f>
        <v>ST</v>
      </c>
      <c r="AA1297" s="81" t="s">
        <v>213</v>
      </c>
      <c r="AB1297" s="226" t="str">
        <f>IFERROR(INDEX(Tableau5[Reserve],MATCH(Tableau3[[#This Row],[ID-SIG]],Tableau5[ID],0))&amp;"","")</f>
        <v/>
      </c>
      <c r="AC1297" s="21"/>
      <c r="AD1297" s="108" t="str">
        <f>INDEX(Tableau7[Repere],MATCH(Tableau3[[#This Row],[ID-API]],Tableau7[ID-API],0))&amp;""</f>
        <v>A9</v>
      </c>
      <c r="AE1297" s="109" t="str">
        <f>INDEX(Tableau1[Repere-Rack],MATCH(Tableau3[[#This Row],[ID-RACK]],Tableau1[ID-RACK],0))&amp;""</f>
        <v>R1</v>
      </c>
      <c r="AF1297" s="109" t="str">
        <f>INDEX(Tableau1[Repere-Slot],MATCH(Tableau3[[#This Row],[ID-SLOT]],Tableau1[ID-SLOT],0))&amp;""</f>
        <v>S9</v>
      </c>
      <c r="AG1297" s="109" t="str">
        <f>INDEX(Tableau2[Repere-Voie],MATCH(Tableau3[[#This Row],[ID-VOIE]],Tableau2[ID-Voie],0))&amp;""</f>
        <v>v7</v>
      </c>
      <c r="AH1297" s="72" t="str">
        <f>Tableau3[[#This Row],[ID-API]]&amp; "." &amp;Tableau3[[#This Row],[ID-RACK]]&amp; "." &amp;Tableau3[[#This Row],[ID-SLOT]]</f>
        <v>9.1.9</v>
      </c>
      <c r="AI1297" s="72" t="str">
        <f>INDEX(Tableau1[Ref-Carte],MATCH(Tableau3[[#This Row],[ID-RRS]],Tableau1[ID-RRS],0))</f>
        <v>DRA0815</v>
      </c>
      <c r="AJ1297" s="72" t="str">
        <f t="array" ref="AJ1297">IFERROR(INDEX(Tableau2[TS],MATCH(1,(Tableau2[Ref-Carte]=Tableau3[[#This Row],[Ref-Carte2]])*(Tableau2[ID-Voie]=Tableau3[[#This Row],[ID-VOIE]]),0)),"")</f>
        <v>ST</v>
      </c>
      <c r="AK1297" s="72" t="str">
        <f>IFERROR(INDEX(Tableau2[TS],SUMPRODUCT((Tableau2[Ref-Carte]=Tableau3[[#This Row],[Ref-Carte2]])*(Tableau2[ID-Voie]=Tableau3[[#This Row],[ID-VOIE]])*ROW(Tableau2[TS]))-ROW(Tableau2[#Headers])),"")</f>
        <v>ST</v>
      </c>
      <c r="AL1297" s="72" t="str">
        <f>Tableau3[[#This Row],[Ref-Carte2]]&amp;"/"&amp;Tableau3[[#This Row],[ID-VOIE]]</f>
        <v>DRA0815/7</v>
      </c>
      <c r="AM1297" s="77" t="str">
        <f>INDEX(Tableau2[Borne],MATCH(Tableau3[[#This Row],[ID-CARTEVOIE]],Tableau2[ID-CARTEVOIE],0))&amp;""</f>
        <v>7</v>
      </c>
      <c r="AN1297" s="74" t="str">
        <f>Tableau3[[#This Row],[ID-API]]&amp;Tableau3[[#This Row],[ID-RACK]]&amp;Tableau3[[#This Row],[ID-SLOT]]&amp;Tableau3[[#This Row],[BORNE]]</f>
        <v>9197</v>
      </c>
      <c r="AO1297" s="1"/>
    </row>
    <row r="1298" spans="1:41" ht="20.100000000000001" customHeight="1" thickTop="1" thickBot="1">
      <c r="A1298" s="75"/>
      <c r="B1298" s="76" t="str">
        <f>IFERROR(INDEX(Tableau4[Date],MATCH($A1298,Tableau4[EVO],0)),"")</f>
        <v/>
      </c>
      <c r="C1298" s="75" t="str">
        <f>IFERROR(INDEX(Tableau4[Designation],MATCH($A1298,Tableau4[EVO],0)),"")</f>
        <v/>
      </c>
      <c r="D1298" s="75"/>
      <c r="E1298" s="79">
        <v>344</v>
      </c>
      <c r="F1298" s="80">
        <v>99</v>
      </c>
      <c r="G1298" s="102" t="str">
        <f>INDEX(Tableau8[Att1],MATCH(Tableau3[[#This Row],[ID-INS]],Tableau8[ID],0))&amp;""</f>
        <v/>
      </c>
      <c r="H1298" s="102" t="str">
        <f>INDEX(Tableau8[Att2],MATCH(Tableau3[[#This Row],[ID-INS]],Tableau8[ID],0))&amp;""</f>
        <v>TEA65</v>
      </c>
      <c r="I1298" s="102" t="str">
        <f>INDEX(Tableau8[Att3],MATCH(Tableau3[[#This Row],[ID-INS]],Tableau8[ID],0))&amp;""</f>
        <v>Alarme détection incendie B22</v>
      </c>
      <c r="J1298" s="102"/>
      <c r="K1298" s="167" t="str">
        <f>INDEX(Tableau8[Nom du modele],MATCH(Tableau3[[#This Row],[ID-INS]],Tableau8[ID],0))&amp;""</f>
        <v>TEA</v>
      </c>
      <c r="L1298" s="100" t="str">
        <f>INDEX(Tableau5[Att1],MATCH(Tableau3[[#This Row],[ID-SIG]],Tableau5[ID],0))&amp;""</f>
        <v>Info</v>
      </c>
      <c r="M1298" s="100" t="str">
        <f>INDEX(Tableau5[Att2],MATCH(Tableau3[[#This Row],[ID-SIG]],Tableau5[ID],0))&amp;""</f>
        <v/>
      </c>
      <c r="N1298" s="100" t="str">
        <f>INDEX(Tableau5[Att3],MATCH(Tableau3[[#This Row],[ID-SIG]],Tableau5[ID],0))&amp;""</f>
        <v/>
      </c>
      <c r="O1298" s="100"/>
      <c r="P1298" s="100" t="str">
        <f>INDEX(Tableau5[Description],MATCH(Tableau3[[#This Row],[ID-SIG]],Tableau5[ID],0))</f>
        <v>Commande</v>
      </c>
      <c r="Q1298" s="100"/>
      <c r="R1298" s="104" t="str">
        <f>Tableau3[[#This Row],[Description]]</f>
        <v>Commande</v>
      </c>
      <c r="U1298" s="88">
        <v>9</v>
      </c>
      <c r="V1298" s="88">
        <v>1</v>
      </c>
      <c r="W1298" s="88">
        <v>10</v>
      </c>
      <c r="X1298" s="88">
        <v>0</v>
      </c>
      <c r="Y1298" s="41"/>
      <c r="Z1298" s="166" t="str">
        <f>INDEX(Tableau2[TS],MATCH(Tableau3[[#This Row],[ID-CARTEVOIE]],Tableau2[ID-CARTEVOIE],0))</f>
        <v>ST</v>
      </c>
      <c r="AA1298" s="81" t="s">
        <v>213</v>
      </c>
      <c r="AB1298" s="226" t="str">
        <f>IFERROR(INDEX(Tableau5[Reserve],MATCH(Tableau3[[#This Row],[ID-SIG]],Tableau5[ID],0))&amp;"","")</f>
        <v/>
      </c>
      <c r="AC1298" s="21"/>
      <c r="AD1298" s="108" t="str">
        <f>INDEX(Tableau7[Repere],MATCH(Tableau3[[#This Row],[ID-API]],Tableau7[ID-API],0))&amp;""</f>
        <v>A9</v>
      </c>
      <c r="AE1298" s="109" t="str">
        <f>INDEX(Tableau1[Repere-Rack],MATCH(Tableau3[[#This Row],[ID-RACK]],Tableau1[ID-RACK],0))&amp;""</f>
        <v>R1</v>
      </c>
      <c r="AF1298" s="109" t="str">
        <f>INDEX(Tableau1[Repere-Slot],MATCH(Tableau3[[#This Row],[ID-SLOT]],Tableau1[ID-SLOT],0))&amp;""</f>
        <v>S10</v>
      </c>
      <c r="AG1298" s="109" t="str">
        <f>INDEX(Tableau2[Repere-Voie],MATCH(Tableau3[[#This Row],[ID-VOIE]],Tableau2[ID-Voie],0))&amp;""</f>
        <v>v0</v>
      </c>
      <c r="AH1298" s="72" t="str">
        <f>Tableau3[[#This Row],[ID-API]]&amp; "." &amp;Tableau3[[#This Row],[ID-RACK]]&amp; "." &amp;Tableau3[[#This Row],[ID-SLOT]]</f>
        <v>9.1.10</v>
      </c>
      <c r="AI1298" s="72" t="str">
        <f>INDEX(Tableau1[Ref-Carte],MATCH(Tableau3[[#This Row],[ID-RRS]],Tableau1[ID-RRS],0))</f>
        <v>DRA0815</v>
      </c>
      <c r="AJ1298" s="72" t="str">
        <f t="array" ref="AJ1298">IFERROR(INDEX(Tableau2[TS],MATCH(1,(Tableau2[Ref-Carte]=Tableau3[[#This Row],[Ref-Carte2]])*(Tableau2[ID-Voie]=Tableau3[[#This Row],[ID-VOIE]]),0)),"")</f>
        <v>ST</v>
      </c>
      <c r="AK1298" s="72" t="str">
        <f>IFERROR(INDEX(Tableau2[TS],SUMPRODUCT((Tableau2[Ref-Carte]=Tableau3[[#This Row],[Ref-Carte2]])*(Tableau2[ID-Voie]=Tableau3[[#This Row],[ID-VOIE]])*ROW(Tableau2[TS]))-ROW(Tableau2[#Headers])),"")</f>
        <v>ST</v>
      </c>
      <c r="AL1298" s="72" t="str">
        <f>Tableau3[[#This Row],[Ref-Carte2]]&amp;"/"&amp;Tableau3[[#This Row],[ID-VOIE]]</f>
        <v>DRA0815/0</v>
      </c>
      <c r="AM1298" s="77" t="str">
        <f>INDEX(Tableau2[Borne],MATCH(Tableau3[[#This Row],[ID-CARTEVOIE]],Tableau2[ID-CARTEVOIE],0))&amp;""</f>
        <v>0</v>
      </c>
      <c r="AN1298" s="74" t="str">
        <f>Tableau3[[#This Row],[ID-API]]&amp;Tableau3[[#This Row],[ID-RACK]]&amp;Tableau3[[#This Row],[ID-SLOT]]&amp;Tableau3[[#This Row],[BORNE]]</f>
        <v>91100</v>
      </c>
      <c r="AO1298" s="1"/>
    </row>
    <row r="1299" spans="1:41" ht="20.100000000000001" customHeight="1" thickTop="1" thickBot="1">
      <c r="A1299" s="75"/>
      <c r="B1299" s="76" t="str">
        <f>IFERROR(INDEX(Tableau4[Date],MATCH($A1299,Tableau4[EVO],0)),"")</f>
        <v/>
      </c>
      <c r="C1299" s="75" t="str">
        <f>IFERROR(INDEX(Tableau4[Designation],MATCH($A1299,Tableau4[EVO],0)),"")</f>
        <v/>
      </c>
      <c r="D1299" s="75"/>
      <c r="E1299" s="79">
        <v>345</v>
      </c>
      <c r="F1299" s="80">
        <v>99</v>
      </c>
      <c r="G1299" s="102" t="str">
        <f>INDEX(Tableau8[Att1],MATCH(Tableau3[[#This Row],[ID-INS]],Tableau8[ID],0))&amp;""</f>
        <v/>
      </c>
      <c r="H1299" s="102" t="str">
        <f>INDEX(Tableau8[Att2],MATCH(Tableau3[[#This Row],[ID-INS]],Tableau8[ID],0))&amp;""</f>
        <v>TEA66</v>
      </c>
      <c r="I1299" s="102" t="str">
        <f>INDEX(Tableau8[Att3],MATCH(Tableau3[[#This Row],[ID-INS]],Tableau8[ID],0))&amp;""</f>
        <v>Dérangement centrale entrée centre B22</v>
      </c>
      <c r="J1299" s="102"/>
      <c r="K1299" s="167" t="str">
        <f>INDEX(Tableau8[Nom du modele],MATCH(Tableau3[[#This Row],[ID-INS]],Tableau8[ID],0))&amp;""</f>
        <v>TEA</v>
      </c>
      <c r="L1299" s="100" t="str">
        <f>INDEX(Tableau5[Att1],MATCH(Tableau3[[#This Row],[ID-SIG]],Tableau5[ID],0))&amp;""</f>
        <v>Info</v>
      </c>
      <c r="M1299" s="100" t="str">
        <f>INDEX(Tableau5[Att2],MATCH(Tableau3[[#This Row],[ID-SIG]],Tableau5[ID],0))&amp;""</f>
        <v/>
      </c>
      <c r="N1299" s="100" t="str">
        <f>INDEX(Tableau5[Att3],MATCH(Tableau3[[#This Row],[ID-SIG]],Tableau5[ID],0))&amp;""</f>
        <v/>
      </c>
      <c r="O1299" s="100"/>
      <c r="P1299" s="100" t="str">
        <f>INDEX(Tableau5[Description],MATCH(Tableau3[[#This Row],[ID-SIG]],Tableau5[ID],0))</f>
        <v>Commande</v>
      </c>
      <c r="Q1299" s="100"/>
      <c r="R1299" s="104" t="str">
        <f>Tableau3[[#This Row],[Description]]</f>
        <v>Commande</v>
      </c>
      <c r="U1299" s="88">
        <v>9</v>
      </c>
      <c r="V1299" s="88">
        <v>1</v>
      </c>
      <c r="W1299" s="88">
        <v>10</v>
      </c>
      <c r="X1299" s="88">
        <v>1</v>
      </c>
      <c r="Y1299" s="41"/>
      <c r="Z1299" s="166" t="str">
        <f>INDEX(Tableau2[TS],MATCH(Tableau3[[#This Row],[ID-CARTEVOIE]],Tableau2[ID-CARTEVOIE],0))</f>
        <v>ST</v>
      </c>
      <c r="AA1299" s="81" t="s">
        <v>213</v>
      </c>
      <c r="AB1299" s="226" t="str">
        <f>IFERROR(INDEX(Tableau5[Reserve],MATCH(Tableau3[[#This Row],[ID-SIG]],Tableau5[ID],0))&amp;"","")</f>
        <v/>
      </c>
      <c r="AC1299" s="21"/>
      <c r="AD1299" s="108" t="str">
        <f>INDEX(Tableau7[Repere],MATCH(Tableau3[[#This Row],[ID-API]],Tableau7[ID-API],0))&amp;""</f>
        <v>A9</v>
      </c>
      <c r="AE1299" s="109" t="str">
        <f>INDEX(Tableau1[Repere-Rack],MATCH(Tableau3[[#This Row],[ID-RACK]],Tableau1[ID-RACK],0))&amp;""</f>
        <v>R1</v>
      </c>
      <c r="AF1299" s="109" t="str">
        <f>INDEX(Tableau1[Repere-Slot],MATCH(Tableau3[[#This Row],[ID-SLOT]],Tableau1[ID-SLOT],0))&amp;""</f>
        <v>S10</v>
      </c>
      <c r="AG1299" s="109" t="str">
        <f>INDEX(Tableau2[Repere-Voie],MATCH(Tableau3[[#This Row],[ID-VOIE]],Tableau2[ID-Voie],0))&amp;""</f>
        <v>v1</v>
      </c>
      <c r="AH1299" s="72" t="str">
        <f>Tableau3[[#This Row],[ID-API]]&amp; "." &amp;Tableau3[[#This Row],[ID-RACK]]&amp; "." &amp;Tableau3[[#This Row],[ID-SLOT]]</f>
        <v>9.1.10</v>
      </c>
      <c r="AI1299" s="72" t="str">
        <f>INDEX(Tableau1[Ref-Carte],MATCH(Tableau3[[#This Row],[ID-RRS]],Tableau1[ID-RRS],0))</f>
        <v>DRA0815</v>
      </c>
      <c r="AJ1299" s="72" t="str">
        <f t="array" ref="AJ1299">IFERROR(INDEX(Tableau2[TS],MATCH(1,(Tableau2[Ref-Carte]=Tableau3[[#This Row],[Ref-Carte2]])*(Tableau2[ID-Voie]=Tableau3[[#This Row],[ID-VOIE]]),0)),"")</f>
        <v>ST</v>
      </c>
      <c r="AK1299" s="72" t="str">
        <f>IFERROR(INDEX(Tableau2[TS],SUMPRODUCT((Tableau2[Ref-Carte]=Tableau3[[#This Row],[Ref-Carte2]])*(Tableau2[ID-Voie]=Tableau3[[#This Row],[ID-VOIE]])*ROW(Tableau2[TS]))-ROW(Tableau2[#Headers])),"")</f>
        <v>ST</v>
      </c>
      <c r="AL1299" s="72" t="str">
        <f>Tableau3[[#This Row],[Ref-Carte2]]&amp;"/"&amp;Tableau3[[#This Row],[ID-VOIE]]</f>
        <v>DRA0815/1</v>
      </c>
      <c r="AM1299" s="77" t="str">
        <f>INDEX(Tableau2[Borne],MATCH(Tableau3[[#This Row],[ID-CARTEVOIE]],Tableau2[ID-CARTEVOIE],0))&amp;""</f>
        <v>1</v>
      </c>
      <c r="AN1299" s="74" t="str">
        <f>Tableau3[[#This Row],[ID-API]]&amp;Tableau3[[#This Row],[ID-RACK]]&amp;Tableau3[[#This Row],[ID-SLOT]]&amp;Tableau3[[#This Row],[BORNE]]</f>
        <v>91101</v>
      </c>
      <c r="AO1299" s="1"/>
    </row>
    <row r="1300" spans="1:41" ht="20.100000000000001" customHeight="1" thickTop="1" thickBot="1">
      <c r="A1300" s="75"/>
      <c r="B1300" s="76" t="str">
        <f>IFERROR(INDEX(Tableau4[Date],MATCH($A1300,Tableau4[EVO],0)),"")</f>
        <v/>
      </c>
      <c r="C1300" s="75" t="str">
        <f>IFERROR(INDEX(Tableau4[Designation],MATCH($A1300,Tableau4[EVO],0)),"")</f>
        <v/>
      </c>
      <c r="D1300" s="75"/>
      <c r="E1300" s="79">
        <v>346</v>
      </c>
      <c r="F1300" s="80">
        <v>99</v>
      </c>
      <c r="G1300" s="102" t="str">
        <f>INDEX(Tableau8[Att1],MATCH(Tableau3[[#This Row],[ID-INS]],Tableau8[ID],0))&amp;""</f>
        <v/>
      </c>
      <c r="H1300" s="102" t="str">
        <f>INDEX(Tableau8[Att2],MATCH(Tableau3[[#This Row],[ID-INS]],Tableau8[ID],0))&amp;""</f>
        <v>TEA67</v>
      </c>
      <c r="I1300" s="102" t="str">
        <f>INDEX(Tableau8[Att3],MATCH(Tableau3[[#This Row],[ID-INS]],Tableau8[ID],0))&amp;""</f>
        <v>Veille restreinte centrale entrée centre B22</v>
      </c>
      <c r="J1300" s="102"/>
      <c r="K1300" s="167" t="str">
        <f>INDEX(Tableau8[Nom du modele],MATCH(Tableau3[[#This Row],[ID-INS]],Tableau8[ID],0))&amp;""</f>
        <v>TEA</v>
      </c>
      <c r="L1300" s="100" t="str">
        <f>INDEX(Tableau5[Att1],MATCH(Tableau3[[#This Row],[ID-SIG]],Tableau5[ID],0))&amp;""</f>
        <v>Info</v>
      </c>
      <c r="M1300" s="100" t="str">
        <f>INDEX(Tableau5[Att2],MATCH(Tableau3[[#This Row],[ID-SIG]],Tableau5[ID],0))&amp;""</f>
        <v/>
      </c>
      <c r="N1300" s="100" t="str">
        <f>INDEX(Tableau5[Att3],MATCH(Tableau3[[#This Row],[ID-SIG]],Tableau5[ID],0))&amp;""</f>
        <v/>
      </c>
      <c r="O1300" s="100"/>
      <c r="P1300" s="100" t="str">
        <f>INDEX(Tableau5[Description],MATCH(Tableau3[[#This Row],[ID-SIG]],Tableau5[ID],0))</f>
        <v>Commande</v>
      </c>
      <c r="Q1300" s="100"/>
      <c r="R1300" s="104" t="str">
        <f>Tableau3[[#This Row],[Description]]</f>
        <v>Commande</v>
      </c>
      <c r="U1300" s="88">
        <v>9</v>
      </c>
      <c r="V1300" s="88">
        <v>1</v>
      </c>
      <c r="W1300" s="88">
        <v>10</v>
      </c>
      <c r="X1300" s="88">
        <v>2</v>
      </c>
      <c r="Y1300" s="41"/>
      <c r="Z1300" s="166" t="str">
        <f>INDEX(Tableau2[TS],MATCH(Tableau3[[#This Row],[ID-CARTEVOIE]],Tableau2[ID-CARTEVOIE],0))</f>
        <v>ST</v>
      </c>
      <c r="AA1300" s="81" t="s">
        <v>213</v>
      </c>
      <c r="AB1300" s="226" t="str">
        <f>IFERROR(INDEX(Tableau5[Reserve],MATCH(Tableau3[[#This Row],[ID-SIG]],Tableau5[ID],0))&amp;"","")</f>
        <v/>
      </c>
      <c r="AC1300" s="21"/>
      <c r="AD1300" s="108" t="str">
        <f>INDEX(Tableau7[Repere],MATCH(Tableau3[[#This Row],[ID-API]],Tableau7[ID-API],0))&amp;""</f>
        <v>A9</v>
      </c>
      <c r="AE1300" s="109" t="str">
        <f>INDEX(Tableau1[Repere-Rack],MATCH(Tableau3[[#This Row],[ID-RACK]],Tableau1[ID-RACK],0))&amp;""</f>
        <v>R1</v>
      </c>
      <c r="AF1300" s="109" t="str">
        <f>INDEX(Tableau1[Repere-Slot],MATCH(Tableau3[[#This Row],[ID-SLOT]],Tableau1[ID-SLOT],0))&amp;""</f>
        <v>S10</v>
      </c>
      <c r="AG1300" s="109" t="str">
        <f>INDEX(Tableau2[Repere-Voie],MATCH(Tableau3[[#This Row],[ID-VOIE]],Tableau2[ID-Voie],0))&amp;""</f>
        <v>v2</v>
      </c>
      <c r="AH1300" s="72" t="str">
        <f>Tableau3[[#This Row],[ID-API]]&amp; "." &amp;Tableau3[[#This Row],[ID-RACK]]&amp; "." &amp;Tableau3[[#This Row],[ID-SLOT]]</f>
        <v>9.1.10</v>
      </c>
      <c r="AI1300" s="72" t="str">
        <f>INDEX(Tableau1[Ref-Carte],MATCH(Tableau3[[#This Row],[ID-RRS]],Tableau1[ID-RRS],0))</f>
        <v>DRA0815</v>
      </c>
      <c r="AJ1300" s="72" t="str">
        <f t="array" ref="AJ1300">IFERROR(INDEX(Tableau2[TS],MATCH(1,(Tableau2[Ref-Carte]=Tableau3[[#This Row],[Ref-Carte2]])*(Tableau2[ID-Voie]=Tableau3[[#This Row],[ID-VOIE]]),0)),"")</f>
        <v>ST</v>
      </c>
      <c r="AK1300" s="72" t="str">
        <f>IFERROR(INDEX(Tableau2[TS],SUMPRODUCT((Tableau2[Ref-Carte]=Tableau3[[#This Row],[Ref-Carte2]])*(Tableau2[ID-Voie]=Tableau3[[#This Row],[ID-VOIE]])*ROW(Tableau2[TS]))-ROW(Tableau2[#Headers])),"")</f>
        <v>ST</v>
      </c>
      <c r="AL1300" s="72" t="str">
        <f>Tableau3[[#This Row],[Ref-Carte2]]&amp;"/"&amp;Tableau3[[#This Row],[ID-VOIE]]</f>
        <v>DRA0815/2</v>
      </c>
      <c r="AM1300" s="77" t="str">
        <f>INDEX(Tableau2[Borne],MATCH(Tableau3[[#This Row],[ID-CARTEVOIE]],Tableau2[ID-CARTEVOIE],0))&amp;""</f>
        <v>2</v>
      </c>
      <c r="AN1300" s="74" t="str">
        <f>Tableau3[[#This Row],[ID-API]]&amp;Tableau3[[#This Row],[ID-RACK]]&amp;Tableau3[[#This Row],[ID-SLOT]]&amp;Tableau3[[#This Row],[BORNE]]</f>
        <v>91102</v>
      </c>
      <c r="AO1300" s="1"/>
    </row>
    <row r="1301" spans="1:41" ht="20.100000000000001" customHeight="1" thickTop="1" thickBot="1">
      <c r="A1301" s="75"/>
      <c r="B1301" s="76" t="str">
        <f>IFERROR(INDEX(Tableau4[Date],MATCH($A1301,Tableau4[EVO],0)),"")</f>
        <v/>
      </c>
      <c r="C1301" s="75" t="str">
        <f>IFERROR(INDEX(Tableau4[Designation],MATCH($A1301,Tableau4[EVO],0)),"")</f>
        <v/>
      </c>
      <c r="D1301" s="75"/>
      <c r="E1301" s="79">
        <v>347</v>
      </c>
      <c r="F1301" s="80">
        <v>99</v>
      </c>
      <c r="G1301" s="102" t="str">
        <f>INDEX(Tableau8[Att1],MATCH(Tableau3[[#This Row],[ID-INS]],Tableau8[ID],0))&amp;""</f>
        <v/>
      </c>
      <c r="H1301" s="102" t="str">
        <f>INDEX(Tableau8[Att2],MATCH(Tableau3[[#This Row],[ID-INS]],Tableau8[ID],0))&amp;""</f>
        <v>TEA68</v>
      </c>
      <c r="I1301" s="102" t="str">
        <f>INDEX(Tableau8[Att3],MATCH(Tableau3[[#This Row],[ID-INS]],Tableau8[ID],0))&amp;""</f>
        <v>Synthèse inhibition centrale</v>
      </c>
      <c r="J1301" s="102"/>
      <c r="K1301" s="167" t="str">
        <f>INDEX(Tableau8[Nom du modele],MATCH(Tableau3[[#This Row],[ID-INS]],Tableau8[ID],0))&amp;""</f>
        <v>TEA</v>
      </c>
      <c r="L1301" s="100" t="str">
        <f>INDEX(Tableau5[Att1],MATCH(Tableau3[[#This Row],[ID-SIG]],Tableau5[ID],0))&amp;""</f>
        <v>Info</v>
      </c>
      <c r="M1301" s="100" t="str">
        <f>INDEX(Tableau5[Att2],MATCH(Tableau3[[#This Row],[ID-SIG]],Tableau5[ID],0))&amp;""</f>
        <v/>
      </c>
      <c r="N1301" s="100" t="str">
        <f>INDEX(Tableau5[Att3],MATCH(Tableau3[[#This Row],[ID-SIG]],Tableau5[ID],0))&amp;""</f>
        <v/>
      </c>
      <c r="O1301" s="100"/>
      <c r="P1301" s="116" t="str">
        <f>INDEX(Tableau5[Description],MATCH(Tableau3[[#This Row],[ID-SIG]],Tableau5[ID],0))</f>
        <v>Commande</v>
      </c>
      <c r="Q1301" s="100"/>
      <c r="R1301" s="104" t="str">
        <f>Tableau3[[#This Row],[Description]]</f>
        <v>Commande</v>
      </c>
      <c r="U1301" s="88">
        <v>9</v>
      </c>
      <c r="V1301" s="88">
        <v>1</v>
      </c>
      <c r="W1301" s="88">
        <v>10</v>
      </c>
      <c r="X1301" s="88">
        <v>3</v>
      </c>
      <c r="Y1301" s="41"/>
      <c r="Z1301" s="166" t="str">
        <f>INDEX(Tableau2[TS],MATCH(Tableau3[[#This Row],[ID-CARTEVOIE]],Tableau2[ID-CARTEVOIE],0))</f>
        <v>ST</v>
      </c>
      <c r="AA1301" s="81" t="s">
        <v>213</v>
      </c>
      <c r="AB1301" s="226" t="str">
        <f>IFERROR(INDEX(Tableau5[Reserve],MATCH(Tableau3[[#This Row],[ID-SIG]],Tableau5[ID],0))&amp;"","")</f>
        <v/>
      </c>
      <c r="AC1301" s="21"/>
      <c r="AD1301" s="108" t="str">
        <f>INDEX(Tableau7[Repere],MATCH(Tableau3[[#This Row],[ID-API]],Tableau7[ID-API],0))&amp;""</f>
        <v>A9</v>
      </c>
      <c r="AE1301" s="109" t="str">
        <f>INDEX(Tableau1[Repere-Rack],MATCH(Tableau3[[#This Row],[ID-RACK]],Tableau1[ID-RACK],0))&amp;""</f>
        <v>R1</v>
      </c>
      <c r="AF1301" s="109" t="str">
        <f>INDEX(Tableau1[Repere-Slot],MATCH(Tableau3[[#This Row],[ID-SLOT]],Tableau1[ID-SLOT],0))&amp;""</f>
        <v>S10</v>
      </c>
      <c r="AG1301" s="109" t="str">
        <f>INDEX(Tableau2[Repere-Voie],MATCH(Tableau3[[#This Row],[ID-VOIE]],Tableau2[ID-Voie],0))&amp;""</f>
        <v>v3</v>
      </c>
      <c r="AH1301" s="72" t="str">
        <f>Tableau3[[#This Row],[ID-API]]&amp; "." &amp;Tableau3[[#This Row],[ID-RACK]]&amp; "." &amp;Tableau3[[#This Row],[ID-SLOT]]</f>
        <v>9.1.10</v>
      </c>
      <c r="AI1301" s="72" t="str">
        <f>INDEX(Tableau1[Ref-Carte],MATCH(Tableau3[[#This Row],[ID-RRS]],Tableau1[ID-RRS],0))</f>
        <v>DRA0815</v>
      </c>
      <c r="AJ1301" s="72" t="str">
        <f t="array" ref="AJ1301">IFERROR(INDEX(Tableau2[TS],MATCH(1,(Tableau2[Ref-Carte]=Tableau3[[#This Row],[Ref-Carte2]])*(Tableau2[ID-Voie]=Tableau3[[#This Row],[ID-VOIE]]),0)),"")</f>
        <v>ST</v>
      </c>
      <c r="AK1301" s="72" t="str">
        <f>IFERROR(INDEX(Tableau2[TS],SUMPRODUCT((Tableau2[Ref-Carte]=Tableau3[[#This Row],[Ref-Carte2]])*(Tableau2[ID-Voie]=Tableau3[[#This Row],[ID-VOIE]])*ROW(Tableau2[TS]))-ROW(Tableau2[#Headers])),"")</f>
        <v>ST</v>
      </c>
      <c r="AL1301" s="72" t="str">
        <f>Tableau3[[#This Row],[Ref-Carte2]]&amp;"/"&amp;Tableau3[[#This Row],[ID-VOIE]]</f>
        <v>DRA0815/3</v>
      </c>
      <c r="AM1301" s="77" t="str">
        <f>INDEX(Tableau2[Borne],MATCH(Tableau3[[#This Row],[ID-CARTEVOIE]],Tableau2[ID-CARTEVOIE],0))&amp;""</f>
        <v>3</v>
      </c>
      <c r="AN1301" s="74" t="str">
        <f>Tableau3[[#This Row],[ID-API]]&amp;Tableau3[[#This Row],[ID-RACK]]&amp;Tableau3[[#This Row],[ID-SLOT]]&amp;Tableau3[[#This Row],[BORNE]]</f>
        <v>91103</v>
      </c>
      <c r="AO1301" s="1"/>
    </row>
    <row r="1302" spans="1:41" ht="20.100000000000001" customHeight="1" thickTop="1" thickBot="1">
      <c r="A1302" s="75"/>
      <c r="B1302" s="76" t="str">
        <f>IFERROR(INDEX(Tableau4[Date],MATCH($A1302,Tableau4[EVO],0)),"")</f>
        <v/>
      </c>
      <c r="C1302" s="75" t="str">
        <f>IFERROR(INDEX(Tableau4[Designation],MATCH($A1302,Tableau4[EVO],0)),"")</f>
        <v/>
      </c>
      <c r="D1302" s="75"/>
      <c r="E1302" s="79">
        <v>348</v>
      </c>
      <c r="F1302" s="80">
        <v>99</v>
      </c>
      <c r="G1302" s="102" t="str">
        <f>INDEX(Tableau8[Att1],MATCH(Tableau3[[#This Row],[ID-INS]],Tableau8[ID],0))&amp;""</f>
        <v/>
      </c>
      <c r="H1302" s="102" t="str">
        <f>INDEX(Tableau8[Att2],MATCH(Tableau3[[#This Row],[ID-INS]],Tableau8[ID],0))&amp;""</f>
        <v>TEA69</v>
      </c>
      <c r="I1302" s="102" t="str">
        <f>INDEX(Tableau8[Att3],MATCH(Tableau3[[#This Row],[ID-INS]],Tableau8[ID],0))&amp;""</f>
        <v>Synthèse Alarme ouverture Baies C/C Cellule V1/V2</v>
      </c>
      <c r="J1302" s="102"/>
      <c r="K1302" s="167" t="str">
        <f>INDEX(Tableau8[Nom du modele],MATCH(Tableau3[[#This Row],[ID-INS]],Tableau8[ID],0))&amp;""</f>
        <v>TEA</v>
      </c>
      <c r="L1302" s="100" t="str">
        <f>INDEX(Tableau5[Att1],MATCH(Tableau3[[#This Row],[ID-SIG]],Tableau5[ID],0))&amp;""</f>
        <v>Info</v>
      </c>
      <c r="M1302" s="100" t="str">
        <f>INDEX(Tableau5[Att2],MATCH(Tableau3[[#This Row],[ID-SIG]],Tableau5[ID],0))&amp;""</f>
        <v/>
      </c>
      <c r="N1302" s="100" t="str">
        <f>INDEX(Tableau5[Att3],MATCH(Tableau3[[#This Row],[ID-SIG]],Tableau5[ID],0))&amp;""</f>
        <v/>
      </c>
      <c r="O1302" s="100"/>
      <c r="P1302" s="100" t="str">
        <f>INDEX(Tableau5[Description],MATCH(Tableau3[[#This Row],[ID-SIG]],Tableau5[ID],0))</f>
        <v>Commande</v>
      </c>
      <c r="Q1302" s="100"/>
      <c r="R1302" s="104" t="str">
        <f>Tableau3[[#This Row],[Description]]</f>
        <v>Commande</v>
      </c>
      <c r="U1302" s="88">
        <v>9</v>
      </c>
      <c r="V1302" s="88">
        <v>1</v>
      </c>
      <c r="W1302" s="88">
        <v>10</v>
      </c>
      <c r="X1302" s="88">
        <v>4</v>
      </c>
      <c r="Y1302" s="41"/>
      <c r="Z1302" s="166" t="str">
        <f>INDEX(Tableau2[TS],MATCH(Tableau3[[#This Row],[ID-CARTEVOIE]],Tableau2[ID-CARTEVOIE],0))</f>
        <v>ST</v>
      </c>
      <c r="AA1302" s="81" t="s">
        <v>213</v>
      </c>
      <c r="AB1302" s="226" t="str">
        <f>IFERROR(INDEX(Tableau5[Reserve],MATCH(Tableau3[[#This Row],[ID-SIG]],Tableau5[ID],0))&amp;"","")</f>
        <v/>
      </c>
      <c r="AC1302" s="21"/>
      <c r="AD1302" s="108" t="str">
        <f>INDEX(Tableau7[Repere],MATCH(Tableau3[[#This Row],[ID-API]],Tableau7[ID-API],0))&amp;""</f>
        <v>A9</v>
      </c>
      <c r="AE1302" s="109" t="str">
        <f>INDEX(Tableau1[Repere-Rack],MATCH(Tableau3[[#This Row],[ID-RACK]],Tableau1[ID-RACK],0))&amp;""</f>
        <v>R1</v>
      </c>
      <c r="AF1302" s="109" t="str">
        <f>INDEX(Tableau1[Repere-Slot],MATCH(Tableau3[[#This Row],[ID-SLOT]],Tableau1[ID-SLOT],0))&amp;""</f>
        <v>S10</v>
      </c>
      <c r="AG1302" s="109" t="str">
        <f>INDEX(Tableau2[Repere-Voie],MATCH(Tableau3[[#This Row],[ID-VOIE]],Tableau2[ID-Voie],0))&amp;""</f>
        <v>v4</v>
      </c>
      <c r="AH1302" s="72" t="str">
        <f>Tableau3[[#This Row],[ID-API]]&amp; "." &amp;Tableau3[[#This Row],[ID-RACK]]&amp; "." &amp;Tableau3[[#This Row],[ID-SLOT]]</f>
        <v>9.1.10</v>
      </c>
      <c r="AI1302" s="72" t="str">
        <f>INDEX(Tableau1[Ref-Carte],MATCH(Tableau3[[#This Row],[ID-RRS]],Tableau1[ID-RRS],0))</f>
        <v>DRA0815</v>
      </c>
      <c r="AJ1302" s="72" t="str">
        <f t="array" ref="AJ1302">IFERROR(INDEX(Tableau2[TS],MATCH(1,(Tableau2[Ref-Carte]=Tableau3[[#This Row],[Ref-Carte2]])*(Tableau2[ID-Voie]=Tableau3[[#This Row],[ID-VOIE]]),0)),"")</f>
        <v>ST</v>
      </c>
      <c r="AK1302" s="72" t="str">
        <f>IFERROR(INDEX(Tableau2[TS],SUMPRODUCT((Tableau2[Ref-Carte]=Tableau3[[#This Row],[Ref-Carte2]])*(Tableau2[ID-Voie]=Tableau3[[#This Row],[ID-VOIE]])*ROW(Tableau2[TS]))-ROW(Tableau2[#Headers])),"")</f>
        <v>ST</v>
      </c>
      <c r="AL1302" s="72" t="str">
        <f>Tableau3[[#This Row],[Ref-Carte2]]&amp;"/"&amp;Tableau3[[#This Row],[ID-VOIE]]</f>
        <v>DRA0815/4</v>
      </c>
      <c r="AM1302" s="77" t="str">
        <f>INDEX(Tableau2[Borne],MATCH(Tableau3[[#This Row],[ID-CARTEVOIE]],Tableau2[ID-CARTEVOIE],0))&amp;""</f>
        <v>4</v>
      </c>
      <c r="AN1302" s="74" t="str">
        <f>Tableau3[[#This Row],[ID-API]]&amp;Tableau3[[#This Row],[ID-RACK]]&amp;Tableau3[[#This Row],[ID-SLOT]]&amp;Tableau3[[#This Row],[BORNE]]</f>
        <v>91104</v>
      </c>
      <c r="AO1302" s="1"/>
    </row>
    <row r="1303" spans="1:41" ht="20.100000000000001" customHeight="1" thickTop="1" thickBot="1">
      <c r="A1303" s="75"/>
      <c r="B1303" s="76" t="str">
        <f>IFERROR(INDEX(Tableau4[Date],MATCH($A1303,Tableau4[EVO],0)),"")</f>
        <v/>
      </c>
      <c r="C1303" s="75" t="str">
        <f>IFERROR(INDEX(Tableau4[Designation],MATCH($A1303,Tableau4[EVO],0)),"")</f>
        <v/>
      </c>
      <c r="D1303" s="75"/>
      <c r="E1303" s="79">
        <v>349</v>
      </c>
      <c r="F1303" s="80">
        <v>99</v>
      </c>
      <c r="G1303" s="102" t="str">
        <f>INDEX(Tableau8[Att1],MATCH(Tableau3[[#This Row],[ID-INS]],Tableau8[ID],0))&amp;""</f>
        <v/>
      </c>
      <c r="H1303" s="102" t="str">
        <f>INDEX(Tableau8[Att2],MATCH(Tableau3[[#This Row],[ID-INS]],Tableau8[ID],0))&amp;""</f>
        <v>TEA70</v>
      </c>
      <c r="I1303" s="102" t="str">
        <f>INDEX(Tableau8[Att3],MATCH(Tableau3[[#This Row],[ID-INS]],Tableau8[ID],0))&amp;""</f>
        <v>Synthèse Alarme ouverture Baies C/C Cellule V3</v>
      </c>
      <c r="J1303" s="102"/>
      <c r="K1303" s="167" t="str">
        <f>INDEX(Tableau8[Nom du modele],MATCH(Tableau3[[#This Row],[ID-INS]],Tableau8[ID],0))&amp;""</f>
        <v>TEA</v>
      </c>
      <c r="L1303" s="100" t="str">
        <f>INDEX(Tableau5[Att1],MATCH(Tableau3[[#This Row],[ID-SIG]],Tableau5[ID],0))&amp;""</f>
        <v>Info</v>
      </c>
      <c r="M1303" s="100" t="str">
        <f>INDEX(Tableau5[Att2],MATCH(Tableau3[[#This Row],[ID-SIG]],Tableau5[ID],0))&amp;""</f>
        <v/>
      </c>
      <c r="N1303" s="100" t="str">
        <f>INDEX(Tableau5[Att3],MATCH(Tableau3[[#This Row],[ID-SIG]],Tableau5[ID],0))&amp;""</f>
        <v/>
      </c>
      <c r="O1303" s="100"/>
      <c r="P1303" s="100" t="str">
        <f>INDEX(Tableau5[Description],MATCH(Tableau3[[#This Row],[ID-SIG]],Tableau5[ID],0))</f>
        <v>Commande</v>
      </c>
      <c r="Q1303" s="100"/>
      <c r="R1303" s="104" t="str">
        <f>Tableau3[[#This Row],[Description]]</f>
        <v>Commande</v>
      </c>
      <c r="U1303" s="88">
        <v>9</v>
      </c>
      <c r="V1303" s="88">
        <v>1</v>
      </c>
      <c r="W1303" s="88">
        <v>10</v>
      </c>
      <c r="X1303" s="88">
        <v>5</v>
      </c>
      <c r="Y1303" s="41"/>
      <c r="Z1303" s="166" t="str">
        <f>INDEX(Tableau2[TS],MATCH(Tableau3[[#This Row],[ID-CARTEVOIE]],Tableau2[ID-CARTEVOIE],0))</f>
        <v>ST</v>
      </c>
      <c r="AA1303" s="81" t="s">
        <v>213</v>
      </c>
      <c r="AB1303" s="226" t="str">
        <f>IFERROR(INDEX(Tableau5[Reserve],MATCH(Tableau3[[#This Row],[ID-SIG]],Tableau5[ID],0))&amp;"","")</f>
        <v/>
      </c>
      <c r="AC1303" s="21"/>
      <c r="AD1303" s="108" t="str">
        <f>INDEX(Tableau7[Repere],MATCH(Tableau3[[#This Row],[ID-API]],Tableau7[ID-API],0))&amp;""</f>
        <v>A9</v>
      </c>
      <c r="AE1303" s="109" t="str">
        <f>INDEX(Tableau1[Repere-Rack],MATCH(Tableau3[[#This Row],[ID-RACK]],Tableau1[ID-RACK],0))&amp;""</f>
        <v>R1</v>
      </c>
      <c r="AF1303" s="109" t="str">
        <f>INDEX(Tableau1[Repere-Slot],MATCH(Tableau3[[#This Row],[ID-SLOT]],Tableau1[ID-SLOT],0))&amp;""</f>
        <v>S10</v>
      </c>
      <c r="AG1303" s="109" t="str">
        <f>INDEX(Tableau2[Repere-Voie],MATCH(Tableau3[[#This Row],[ID-VOIE]],Tableau2[ID-Voie],0))&amp;""</f>
        <v>v5</v>
      </c>
      <c r="AH1303" s="72" t="str">
        <f>Tableau3[[#This Row],[ID-API]]&amp; "." &amp;Tableau3[[#This Row],[ID-RACK]]&amp; "." &amp;Tableau3[[#This Row],[ID-SLOT]]</f>
        <v>9.1.10</v>
      </c>
      <c r="AI1303" s="72" t="str">
        <f>INDEX(Tableau1[Ref-Carte],MATCH(Tableau3[[#This Row],[ID-RRS]],Tableau1[ID-RRS],0))</f>
        <v>DRA0815</v>
      </c>
      <c r="AJ1303" s="72" t="str">
        <f t="array" ref="AJ1303">IFERROR(INDEX(Tableau2[TS],MATCH(1,(Tableau2[Ref-Carte]=Tableau3[[#This Row],[Ref-Carte2]])*(Tableau2[ID-Voie]=Tableau3[[#This Row],[ID-VOIE]]),0)),"")</f>
        <v>ST</v>
      </c>
      <c r="AK1303" s="72" t="str">
        <f>IFERROR(INDEX(Tableau2[TS],SUMPRODUCT((Tableau2[Ref-Carte]=Tableau3[[#This Row],[Ref-Carte2]])*(Tableau2[ID-Voie]=Tableau3[[#This Row],[ID-VOIE]])*ROW(Tableau2[TS]))-ROW(Tableau2[#Headers])),"")</f>
        <v>ST</v>
      </c>
      <c r="AL1303" s="72" t="str">
        <f>Tableau3[[#This Row],[Ref-Carte2]]&amp;"/"&amp;Tableau3[[#This Row],[ID-VOIE]]</f>
        <v>DRA0815/5</v>
      </c>
      <c r="AM1303" s="77" t="str">
        <f>INDEX(Tableau2[Borne],MATCH(Tableau3[[#This Row],[ID-CARTEVOIE]],Tableau2[ID-CARTEVOIE],0))&amp;""</f>
        <v>5</v>
      </c>
      <c r="AN1303" s="74" t="str">
        <f>Tableau3[[#This Row],[ID-API]]&amp;Tableau3[[#This Row],[ID-RACK]]&amp;Tableau3[[#This Row],[ID-SLOT]]&amp;Tableau3[[#This Row],[BORNE]]</f>
        <v>91105</v>
      </c>
      <c r="AO1303" s="1"/>
    </row>
    <row r="1304" spans="1:41" ht="20.100000000000001" customHeight="1" thickTop="1" thickBot="1">
      <c r="A1304" s="75"/>
      <c r="B1304" s="76" t="str">
        <f>IFERROR(INDEX(Tableau4[Date],MATCH($A1304,Tableau4[EVO],0)),"")</f>
        <v/>
      </c>
      <c r="C1304" s="75" t="str">
        <f>IFERROR(INDEX(Tableau4[Designation],MATCH($A1304,Tableau4[EVO],0)),"")</f>
        <v/>
      </c>
      <c r="D1304" s="75"/>
      <c r="E1304" s="79">
        <v>350</v>
      </c>
      <c r="F1304" s="80">
        <v>99</v>
      </c>
      <c r="G1304" s="102" t="str">
        <f>INDEX(Tableau8[Att1],MATCH(Tableau3[[#This Row],[ID-INS]],Tableau8[ID],0))&amp;""</f>
        <v/>
      </c>
      <c r="H1304" s="102" t="str">
        <f>INDEX(Tableau8[Att2],MATCH(Tableau3[[#This Row],[ID-INS]],Tableau8[ID],0))&amp;""</f>
        <v>TEA71</v>
      </c>
      <c r="I1304" s="102" t="str">
        <f>INDEX(Tableau8[Att3],MATCH(Tableau3[[#This Row],[ID-INS]],Tableau8[ID],0))&amp;""</f>
        <v>Synthèse Dérangement intrusion toiture cellules entrée</v>
      </c>
      <c r="J1304" s="102"/>
      <c r="K1304" s="167" t="str">
        <f>INDEX(Tableau8[Nom du modele],MATCH(Tableau3[[#This Row],[ID-INS]],Tableau8[ID],0))&amp;""</f>
        <v>TEA</v>
      </c>
      <c r="L1304" s="100" t="str">
        <f>INDEX(Tableau5[Att1],MATCH(Tableau3[[#This Row],[ID-SIG]],Tableau5[ID],0))&amp;""</f>
        <v>Info</v>
      </c>
      <c r="M1304" s="100" t="str">
        <f>INDEX(Tableau5[Att2],MATCH(Tableau3[[#This Row],[ID-SIG]],Tableau5[ID],0))&amp;""</f>
        <v/>
      </c>
      <c r="N1304" s="100" t="str">
        <f>INDEX(Tableau5[Att3],MATCH(Tableau3[[#This Row],[ID-SIG]],Tableau5[ID],0))&amp;""</f>
        <v/>
      </c>
      <c r="O1304" s="100"/>
      <c r="P1304" s="100" t="str">
        <f>INDEX(Tableau5[Description],MATCH(Tableau3[[#This Row],[ID-SIG]],Tableau5[ID],0))</f>
        <v>Commande</v>
      </c>
      <c r="Q1304" s="100"/>
      <c r="R1304" s="104" t="str">
        <f>Tableau3[[#This Row],[Description]]</f>
        <v>Commande</v>
      </c>
      <c r="U1304" s="88">
        <v>9</v>
      </c>
      <c r="V1304" s="88">
        <v>1</v>
      </c>
      <c r="W1304" s="88">
        <v>10</v>
      </c>
      <c r="X1304" s="88">
        <v>6</v>
      </c>
      <c r="Y1304" s="41"/>
      <c r="Z1304" s="166" t="str">
        <f>INDEX(Tableau2[TS],MATCH(Tableau3[[#This Row],[ID-CARTEVOIE]],Tableau2[ID-CARTEVOIE],0))</f>
        <v>ST</v>
      </c>
      <c r="AA1304" s="81" t="s">
        <v>213</v>
      </c>
      <c r="AB1304" s="226" t="str">
        <f>IFERROR(INDEX(Tableau5[Reserve],MATCH(Tableau3[[#This Row],[ID-SIG]],Tableau5[ID],0))&amp;"","")</f>
        <v/>
      </c>
      <c r="AC1304" s="21"/>
      <c r="AD1304" s="108" t="str">
        <f>INDEX(Tableau7[Repere],MATCH(Tableau3[[#This Row],[ID-API]],Tableau7[ID-API],0))&amp;""</f>
        <v>A9</v>
      </c>
      <c r="AE1304" s="109" t="str">
        <f>INDEX(Tableau1[Repere-Rack],MATCH(Tableau3[[#This Row],[ID-RACK]],Tableau1[ID-RACK],0))&amp;""</f>
        <v>R1</v>
      </c>
      <c r="AF1304" s="109" t="str">
        <f>INDEX(Tableau1[Repere-Slot],MATCH(Tableau3[[#This Row],[ID-SLOT]],Tableau1[ID-SLOT],0))&amp;""</f>
        <v>S10</v>
      </c>
      <c r="AG1304" s="109" t="str">
        <f>INDEX(Tableau2[Repere-Voie],MATCH(Tableau3[[#This Row],[ID-VOIE]],Tableau2[ID-Voie],0))&amp;""</f>
        <v>v6</v>
      </c>
      <c r="AH1304" s="72" t="str">
        <f>Tableau3[[#This Row],[ID-API]]&amp; "." &amp;Tableau3[[#This Row],[ID-RACK]]&amp; "." &amp;Tableau3[[#This Row],[ID-SLOT]]</f>
        <v>9.1.10</v>
      </c>
      <c r="AI1304" s="72" t="str">
        <f>INDEX(Tableau1[Ref-Carte],MATCH(Tableau3[[#This Row],[ID-RRS]],Tableau1[ID-RRS],0))</f>
        <v>DRA0815</v>
      </c>
      <c r="AJ1304" s="72" t="str">
        <f t="array" ref="AJ1304">IFERROR(INDEX(Tableau2[TS],MATCH(1,(Tableau2[Ref-Carte]=Tableau3[[#This Row],[Ref-Carte2]])*(Tableau2[ID-Voie]=Tableau3[[#This Row],[ID-VOIE]]),0)),"")</f>
        <v>ST</v>
      </c>
      <c r="AK1304" s="72" t="str">
        <f>IFERROR(INDEX(Tableau2[TS],SUMPRODUCT((Tableau2[Ref-Carte]=Tableau3[[#This Row],[Ref-Carte2]])*(Tableau2[ID-Voie]=Tableau3[[#This Row],[ID-VOIE]])*ROW(Tableau2[TS]))-ROW(Tableau2[#Headers])),"")</f>
        <v>ST</v>
      </c>
      <c r="AL1304" s="72" t="str">
        <f>Tableau3[[#This Row],[Ref-Carte2]]&amp;"/"&amp;Tableau3[[#This Row],[ID-VOIE]]</f>
        <v>DRA0815/6</v>
      </c>
      <c r="AM1304" s="77" t="str">
        <f>INDEX(Tableau2[Borne],MATCH(Tableau3[[#This Row],[ID-CARTEVOIE]],Tableau2[ID-CARTEVOIE],0))&amp;""</f>
        <v>6</v>
      </c>
      <c r="AN1304" s="74" t="str">
        <f>Tableau3[[#This Row],[ID-API]]&amp;Tableau3[[#This Row],[ID-RACK]]&amp;Tableau3[[#This Row],[ID-SLOT]]&amp;Tableau3[[#This Row],[BORNE]]</f>
        <v>91106</v>
      </c>
      <c r="AO1304" s="1"/>
    </row>
    <row r="1305" spans="1:41" ht="20.100000000000001" customHeight="1" thickTop="1" thickBot="1">
      <c r="A1305" s="75"/>
      <c r="B1305" s="76" t="str">
        <f>IFERROR(INDEX(Tableau4[Date],MATCH($A1305,Tableau4[EVO],0)),"")</f>
        <v/>
      </c>
      <c r="C1305" s="75" t="str">
        <f>IFERROR(INDEX(Tableau4[Designation],MATCH($A1305,Tableau4[EVO],0)),"")</f>
        <v/>
      </c>
      <c r="D1305" s="75"/>
      <c r="E1305" s="79">
        <v>351</v>
      </c>
      <c r="F1305" s="80">
        <v>99</v>
      </c>
      <c r="G1305" s="102" t="str">
        <f>INDEX(Tableau8[Att1],MATCH(Tableau3[[#This Row],[ID-INS]],Tableau8[ID],0))&amp;""</f>
        <v/>
      </c>
      <c r="H1305" s="102" t="str">
        <f>INDEX(Tableau8[Att2],MATCH(Tableau3[[#This Row],[ID-INS]],Tableau8[ID],0))&amp;""</f>
        <v>TEA72</v>
      </c>
      <c r="I1305" s="102" t="str">
        <f>INDEX(Tableau8[Att3],MATCH(Tableau3[[#This Row],[ID-INS]],Tableau8[ID],0))&amp;""</f>
        <v>Synthèse Alarme intrusion toiture cellules entrée</v>
      </c>
      <c r="J1305" s="102"/>
      <c r="K1305" s="167" t="str">
        <f>INDEX(Tableau8[Nom du modele],MATCH(Tableau3[[#This Row],[ID-INS]],Tableau8[ID],0))&amp;""</f>
        <v>TEA</v>
      </c>
      <c r="L1305" s="100" t="str">
        <f>INDEX(Tableau5[Att1],MATCH(Tableau3[[#This Row],[ID-SIG]],Tableau5[ID],0))&amp;""</f>
        <v>Info</v>
      </c>
      <c r="M1305" s="100" t="str">
        <f>INDEX(Tableau5[Att2],MATCH(Tableau3[[#This Row],[ID-SIG]],Tableau5[ID],0))&amp;""</f>
        <v/>
      </c>
      <c r="N1305" s="100" t="str">
        <f>INDEX(Tableau5[Att3],MATCH(Tableau3[[#This Row],[ID-SIG]],Tableau5[ID],0))&amp;""</f>
        <v/>
      </c>
      <c r="O1305" s="100"/>
      <c r="P1305" s="100" t="str">
        <f>INDEX(Tableau5[Description],MATCH(Tableau3[[#This Row],[ID-SIG]],Tableau5[ID],0))</f>
        <v>Commande</v>
      </c>
      <c r="Q1305" s="100"/>
      <c r="R1305" s="104" t="str">
        <f>Tableau3[[#This Row],[Description]]</f>
        <v>Commande</v>
      </c>
      <c r="U1305" s="88">
        <v>9</v>
      </c>
      <c r="V1305" s="88">
        <v>1</v>
      </c>
      <c r="W1305" s="88">
        <v>10</v>
      </c>
      <c r="X1305" s="88">
        <v>7</v>
      </c>
      <c r="Y1305" s="41"/>
      <c r="Z1305" s="166" t="str">
        <f>INDEX(Tableau2[TS],MATCH(Tableau3[[#This Row],[ID-CARTEVOIE]],Tableau2[ID-CARTEVOIE],0))</f>
        <v>ST</v>
      </c>
      <c r="AA1305" s="81" t="s">
        <v>213</v>
      </c>
      <c r="AB1305" s="226" t="str">
        <f>IFERROR(INDEX(Tableau5[Reserve],MATCH(Tableau3[[#This Row],[ID-SIG]],Tableau5[ID],0))&amp;"","")</f>
        <v/>
      </c>
      <c r="AC1305" s="21"/>
      <c r="AD1305" s="108" t="str">
        <f>INDEX(Tableau7[Repere],MATCH(Tableau3[[#This Row],[ID-API]],Tableau7[ID-API],0))&amp;""</f>
        <v>A9</v>
      </c>
      <c r="AE1305" s="109" t="str">
        <f>INDEX(Tableau1[Repere-Rack],MATCH(Tableau3[[#This Row],[ID-RACK]],Tableau1[ID-RACK],0))&amp;""</f>
        <v>R1</v>
      </c>
      <c r="AF1305" s="109" t="str">
        <f>INDEX(Tableau1[Repere-Slot],MATCH(Tableau3[[#This Row],[ID-SLOT]],Tableau1[ID-SLOT],0))&amp;""</f>
        <v>S10</v>
      </c>
      <c r="AG1305" s="109" t="str">
        <f>INDEX(Tableau2[Repere-Voie],MATCH(Tableau3[[#This Row],[ID-VOIE]],Tableau2[ID-Voie],0))&amp;""</f>
        <v>v7</v>
      </c>
      <c r="AH1305" s="72" t="str">
        <f>Tableau3[[#This Row],[ID-API]]&amp; "." &amp;Tableau3[[#This Row],[ID-RACK]]&amp; "." &amp;Tableau3[[#This Row],[ID-SLOT]]</f>
        <v>9.1.10</v>
      </c>
      <c r="AI1305" s="72" t="str">
        <f>INDEX(Tableau1[Ref-Carte],MATCH(Tableau3[[#This Row],[ID-RRS]],Tableau1[ID-RRS],0))</f>
        <v>DRA0815</v>
      </c>
      <c r="AJ1305" s="72" t="str">
        <f t="array" ref="AJ1305">IFERROR(INDEX(Tableau2[TS],MATCH(1,(Tableau2[Ref-Carte]=Tableau3[[#This Row],[Ref-Carte2]])*(Tableau2[ID-Voie]=Tableau3[[#This Row],[ID-VOIE]]),0)),"")</f>
        <v>ST</v>
      </c>
      <c r="AK1305" s="72" t="str">
        <f>IFERROR(INDEX(Tableau2[TS],SUMPRODUCT((Tableau2[Ref-Carte]=Tableau3[[#This Row],[Ref-Carte2]])*(Tableau2[ID-Voie]=Tableau3[[#This Row],[ID-VOIE]])*ROW(Tableau2[TS]))-ROW(Tableau2[#Headers])),"")</f>
        <v>ST</v>
      </c>
      <c r="AL1305" s="72" t="str">
        <f>Tableau3[[#This Row],[Ref-Carte2]]&amp;"/"&amp;Tableau3[[#This Row],[ID-VOIE]]</f>
        <v>DRA0815/7</v>
      </c>
      <c r="AM1305" s="77" t="str">
        <f>INDEX(Tableau2[Borne],MATCH(Tableau3[[#This Row],[ID-CARTEVOIE]],Tableau2[ID-CARTEVOIE],0))&amp;""</f>
        <v>7</v>
      </c>
      <c r="AN1305" s="74" t="str">
        <f>Tableau3[[#This Row],[ID-API]]&amp;Tableau3[[#This Row],[ID-RACK]]&amp;Tableau3[[#This Row],[ID-SLOT]]&amp;Tableau3[[#This Row],[BORNE]]</f>
        <v>91107</v>
      </c>
      <c r="AO1305" s="1"/>
    </row>
    <row r="1306" spans="1:41" ht="20.100000000000001" customHeight="1" thickTop="1" thickBot="1">
      <c r="A1306" s="68"/>
      <c r="B1306" s="69" t="str">
        <f>IFERROR(INDEX(Tableau4[Date],MATCH($A1306,Tableau4[EVO],0)),"")</f>
        <v/>
      </c>
      <c r="C1306" s="68" t="str">
        <f>IFERROR(INDEX(Tableau4[Designation],MATCH($A1306,Tableau4[EVO],0)),"")</f>
        <v/>
      </c>
      <c r="D1306" s="68"/>
      <c r="E1306" s="70">
        <v>352</v>
      </c>
      <c r="F1306" s="71">
        <v>99</v>
      </c>
      <c r="G1306" s="101" t="str">
        <f>INDEX(Tableau8[Att1],MATCH(Tableau3[[#This Row],[ID-INS]],Tableau8[ID],0))&amp;""</f>
        <v/>
      </c>
      <c r="H1306" s="101" t="str">
        <f>INDEX(Tableau8[Att2],MATCH(Tableau3[[#This Row],[ID-INS]],Tableau8[ID],0))&amp;""</f>
        <v>TEA73</v>
      </c>
      <c r="I1306" s="101" t="str">
        <f>INDEX(Tableau8[Att3],MATCH(Tableau3[[#This Row],[ID-INS]],Tableau8[ID],0))&amp;""</f>
        <v>Synthèse fraude intrusion toiture cellules entrée</v>
      </c>
      <c r="J1306" s="101"/>
      <c r="K1306" s="167" t="str">
        <f>INDEX(Tableau8[Nom du modele],MATCH(Tableau3[[#This Row],[ID-INS]],Tableau8[ID],0))&amp;""</f>
        <v>TEA</v>
      </c>
      <c r="L1306" s="99" t="str">
        <f>INDEX(Tableau5[Att1],MATCH(Tableau3[[#This Row],[ID-SIG]],Tableau5[ID],0))&amp;""</f>
        <v>Info</v>
      </c>
      <c r="M1306" s="99" t="str">
        <f>INDEX(Tableau5[Att2],MATCH(Tableau3[[#This Row],[ID-SIG]],Tableau5[ID],0))&amp;""</f>
        <v/>
      </c>
      <c r="N1306" s="99" t="str">
        <f>INDEX(Tableau5[Att3],MATCH(Tableau3[[#This Row],[ID-SIG]],Tableau5[ID],0))&amp;""</f>
        <v/>
      </c>
      <c r="O1306" s="99"/>
      <c r="P1306" s="99" t="str">
        <f>INDEX(Tableau5[Description],MATCH(Tableau3[[#This Row],[ID-SIG]],Tableau5[ID],0))</f>
        <v>Commande</v>
      </c>
      <c r="Q1306" s="99"/>
      <c r="R1306" s="103" t="str">
        <f>Tableau3[[#This Row],[Description]]</f>
        <v>Commande</v>
      </c>
      <c r="U1306" s="87">
        <v>9</v>
      </c>
      <c r="V1306" s="87">
        <v>2</v>
      </c>
      <c r="W1306" s="87">
        <v>1</v>
      </c>
      <c r="X1306" s="87">
        <v>0</v>
      </c>
      <c r="Y1306" s="41"/>
      <c r="Z1306" s="165" t="str">
        <f>INDEX(Tableau2[TS],MATCH(Tableau3[[#This Row],[ID-CARTEVOIE]],Tableau2[ID-CARTEVOIE],0))</f>
        <v>ST</v>
      </c>
      <c r="AA1306" s="53" t="s">
        <v>213</v>
      </c>
      <c r="AB1306" s="223" t="str">
        <f>IFERROR(INDEX(Tableau5[Reserve],MATCH(Tableau3[[#This Row],[ID-SIG]],Tableau5[ID],0))&amp;"","")</f>
        <v/>
      </c>
      <c r="AC1306" s="21"/>
      <c r="AD1306" s="108" t="str">
        <f>INDEX(Tableau7[Repere],MATCH(Tableau3[[#This Row],[ID-API]],Tableau7[ID-API],0))&amp;""</f>
        <v>A9</v>
      </c>
      <c r="AE1306" s="108" t="str">
        <f>INDEX(Tableau1[Repere-Rack],MATCH(Tableau3[[#This Row],[ID-RACK]],Tableau1[ID-RACK],0))&amp;""</f>
        <v>R2</v>
      </c>
      <c r="AF1306" s="108" t="str">
        <f>INDEX(Tableau1[Repere-Slot],MATCH(Tableau3[[#This Row],[ID-SLOT]],Tableau1[ID-SLOT],0))&amp;""</f>
        <v>S1</v>
      </c>
      <c r="AG1306" s="108" t="str">
        <f>INDEX(Tableau2[Repere-Voie],MATCH(Tableau3[[#This Row],[ID-VOIE]],Tableau2[ID-Voie],0))&amp;""</f>
        <v>v0</v>
      </c>
      <c r="AH1306" s="72" t="str">
        <f>Tableau3[[#This Row],[ID-API]]&amp; "." &amp;Tableau3[[#This Row],[ID-RACK]]&amp; "." &amp;Tableau3[[#This Row],[ID-SLOT]]</f>
        <v>9.2.1</v>
      </c>
      <c r="AI1306" s="72" t="str">
        <f>INDEX(Tableau1[Ref-Carte],MATCH(Tableau3[[#This Row],[ID-RRS]],Tableau1[ID-RRS],0))</f>
        <v>DRA0815</v>
      </c>
      <c r="AJ1306" s="72" t="str">
        <f t="array" ref="AJ1306">IFERROR(INDEX(Tableau2[TS],MATCH(1,(Tableau2[Ref-Carte]=Tableau3[[#This Row],[Ref-Carte2]])*(Tableau2[ID-Voie]=Tableau3[[#This Row],[ID-VOIE]]),0)),"")</f>
        <v>ST</v>
      </c>
      <c r="AK1306" s="72" t="str">
        <f>IFERROR(INDEX(Tableau2[TS],SUMPRODUCT((Tableau2[Ref-Carte]=Tableau3[[#This Row],[Ref-Carte2]])*(Tableau2[ID-Voie]=Tableau3[[#This Row],[ID-VOIE]])*ROW(Tableau2[TS]))-ROW(Tableau2[#Headers])),"")</f>
        <v>ST</v>
      </c>
      <c r="AL1306" s="72" t="str">
        <f>Tableau3[[#This Row],[Ref-Carte2]]&amp;"/"&amp;Tableau3[[#This Row],[ID-VOIE]]</f>
        <v>DRA0815/0</v>
      </c>
      <c r="AM1306" s="73" t="str">
        <f>INDEX(Tableau2[Borne],MATCH(Tableau3[[#This Row],[ID-CARTEVOIE]],Tableau2[ID-CARTEVOIE],0))&amp;""</f>
        <v>0</v>
      </c>
      <c r="AN1306" s="74" t="str">
        <f>Tableau3[[#This Row],[ID-API]]&amp;Tableau3[[#This Row],[ID-RACK]]&amp;Tableau3[[#This Row],[ID-SLOT]]&amp;Tableau3[[#This Row],[BORNE]]</f>
        <v>9210</v>
      </c>
      <c r="AO1306" s="1"/>
    </row>
    <row r="1307" spans="1:41" ht="20.100000000000001" customHeight="1" thickTop="1" thickBot="1">
      <c r="A1307" s="68"/>
      <c r="B1307" s="69" t="str">
        <f>IFERROR(INDEX(Tableau4[Date],MATCH($A1307,Tableau4[EVO],0)),"")</f>
        <v/>
      </c>
      <c r="C1307" s="68" t="str">
        <f>IFERROR(INDEX(Tableau4[Designation],MATCH($A1307,Tableau4[EVO],0)),"")</f>
        <v/>
      </c>
      <c r="D1307" s="68"/>
      <c r="E1307" s="70">
        <v>353</v>
      </c>
      <c r="F1307" s="71">
        <v>99</v>
      </c>
      <c r="G1307" s="101" t="str">
        <f>INDEX(Tableau8[Att1],MATCH(Tableau3[[#This Row],[ID-INS]],Tableau8[ID],0))&amp;""</f>
        <v/>
      </c>
      <c r="H1307" s="101" t="str">
        <f>INDEX(Tableau8[Att2],MATCH(Tableau3[[#This Row],[ID-INS]],Tableau8[ID],0))&amp;""</f>
        <v>TEA74</v>
      </c>
      <c r="I1307" s="101" t="str">
        <f>INDEX(Tableau8[Att3],MATCH(Tableau3[[#This Row],[ID-INS]],Tableau8[ID],0))&amp;""</f>
        <v>Synthèse Mouvement TRS/PMR rouge Accueil B21 et Gare routière</v>
      </c>
      <c r="J1307" s="101"/>
      <c r="K1307" s="167" t="str">
        <f>INDEX(Tableau8[Nom du modele],MATCH(Tableau3[[#This Row],[ID-INS]],Tableau8[ID],0))&amp;""</f>
        <v>TEA</v>
      </c>
      <c r="L1307" s="99" t="str">
        <f>INDEX(Tableau5[Att1],MATCH(Tableau3[[#This Row],[ID-SIG]],Tableau5[ID],0))&amp;""</f>
        <v>Info</v>
      </c>
      <c r="M1307" s="99" t="str">
        <f>INDEX(Tableau5[Att2],MATCH(Tableau3[[#This Row],[ID-SIG]],Tableau5[ID],0))&amp;""</f>
        <v/>
      </c>
      <c r="N1307" s="99" t="str">
        <f>INDEX(Tableau5[Att3],MATCH(Tableau3[[#This Row],[ID-SIG]],Tableau5[ID],0))&amp;""</f>
        <v/>
      </c>
      <c r="O1307" s="99"/>
      <c r="P1307" s="99" t="str">
        <f>INDEX(Tableau5[Description],MATCH(Tableau3[[#This Row],[ID-SIG]],Tableau5[ID],0))</f>
        <v>Commande</v>
      </c>
      <c r="Q1307" s="99"/>
      <c r="R1307" s="103" t="str">
        <f>Tableau3[[#This Row],[Description]]</f>
        <v>Commande</v>
      </c>
      <c r="U1307" s="87">
        <v>9</v>
      </c>
      <c r="V1307" s="87">
        <v>2</v>
      </c>
      <c r="W1307" s="87">
        <v>1</v>
      </c>
      <c r="X1307" s="87">
        <v>1</v>
      </c>
      <c r="Y1307" s="41"/>
      <c r="Z1307" s="165" t="str">
        <f>INDEX(Tableau2[TS],MATCH(Tableau3[[#This Row],[ID-CARTEVOIE]],Tableau2[ID-CARTEVOIE],0))</f>
        <v>ST</v>
      </c>
      <c r="AA1307" s="53" t="s">
        <v>213</v>
      </c>
      <c r="AB1307" s="223" t="str">
        <f>IFERROR(INDEX(Tableau5[Reserve],MATCH(Tableau3[[#This Row],[ID-SIG]],Tableau5[ID],0))&amp;"","")</f>
        <v/>
      </c>
      <c r="AC1307" s="21"/>
      <c r="AD1307" s="108" t="str">
        <f>INDEX(Tableau7[Repere],MATCH(Tableau3[[#This Row],[ID-API]],Tableau7[ID-API],0))&amp;""</f>
        <v>A9</v>
      </c>
      <c r="AE1307" s="108" t="str">
        <f>INDEX(Tableau1[Repere-Rack],MATCH(Tableau3[[#This Row],[ID-RACK]],Tableau1[ID-RACK],0))&amp;""</f>
        <v>R2</v>
      </c>
      <c r="AF1307" s="108" t="str">
        <f>INDEX(Tableau1[Repere-Slot],MATCH(Tableau3[[#This Row],[ID-SLOT]],Tableau1[ID-SLOT],0))&amp;""</f>
        <v>S1</v>
      </c>
      <c r="AG1307" s="108" t="str">
        <f>INDEX(Tableau2[Repere-Voie],MATCH(Tableau3[[#This Row],[ID-VOIE]],Tableau2[ID-Voie],0))&amp;""</f>
        <v>v1</v>
      </c>
      <c r="AH1307" s="72" t="str">
        <f>Tableau3[[#This Row],[ID-API]]&amp; "." &amp;Tableau3[[#This Row],[ID-RACK]]&amp; "." &amp;Tableau3[[#This Row],[ID-SLOT]]</f>
        <v>9.2.1</v>
      </c>
      <c r="AI1307" s="72" t="str">
        <f>INDEX(Tableau1[Ref-Carte],MATCH(Tableau3[[#This Row],[ID-RRS]],Tableau1[ID-RRS],0))</f>
        <v>DRA0815</v>
      </c>
      <c r="AJ1307" s="72" t="str">
        <f t="array" ref="AJ1307">IFERROR(INDEX(Tableau2[TS],MATCH(1,(Tableau2[Ref-Carte]=Tableau3[[#This Row],[Ref-Carte2]])*(Tableau2[ID-Voie]=Tableau3[[#This Row],[ID-VOIE]]),0)),"")</f>
        <v>ST</v>
      </c>
      <c r="AK1307" s="72" t="str">
        <f>IFERROR(INDEX(Tableau2[TS],SUMPRODUCT((Tableau2[Ref-Carte]=Tableau3[[#This Row],[Ref-Carte2]])*(Tableau2[ID-Voie]=Tableau3[[#This Row],[ID-VOIE]])*ROW(Tableau2[TS]))-ROW(Tableau2[#Headers])),"")</f>
        <v>ST</v>
      </c>
      <c r="AL1307" s="72" t="str">
        <f>Tableau3[[#This Row],[Ref-Carte2]]&amp;"/"&amp;Tableau3[[#This Row],[ID-VOIE]]</f>
        <v>DRA0815/1</v>
      </c>
      <c r="AM1307" s="73" t="str">
        <f>INDEX(Tableau2[Borne],MATCH(Tableau3[[#This Row],[ID-CARTEVOIE]],Tableau2[ID-CARTEVOIE],0))&amp;""</f>
        <v>1</v>
      </c>
      <c r="AN1307" s="74" t="str">
        <f>Tableau3[[#This Row],[ID-API]]&amp;Tableau3[[#This Row],[ID-RACK]]&amp;Tableau3[[#This Row],[ID-SLOT]]&amp;Tableau3[[#This Row],[BORNE]]</f>
        <v>9211</v>
      </c>
      <c r="AO1307" s="1"/>
    </row>
    <row r="1308" spans="1:41" ht="20.100000000000001" customHeight="1" thickTop="1" thickBot="1">
      <c r="A1308" s="68"/>
      <c r="B1308" s="69" t="str">
        <f>IFERROR(INDEX(Tableau4[Date],MATCH($A1308,Tableau4[EVO],0)),"")</f>
        <v/>
      </c>
      <c r="C1308" s="68" t="str">
        <f>IFERROR(INDEX(Tableau4[Designation],MATCH($A1308,Tableau4[EVO],0)),"")</f>
        <v/>
      </c>
      <c r="D1308" s="68"/>
      <c r="E1308" s="70">
        <v>354</v>
      </c>
      <c r="F1308" s="71">
        <v>99</v>
      </c>
      <c r="G1308" s="101" t="str">
        <f>INDEX(Tableau8[Att1],MATCH(Tableau3[[#This Row],[ID-INS]],Tableau8[ID],0))&amp;""</f>
        <v/>
      </c>
      <c r="H1308" s="101" t="str">
        <f>INDEX(Tableau8[Att2],MATCH(Tableau3[[#This Row],[ID-INS]],Tableau8[ID],0))&amp;""</f>
        <v>TEA75</v>
      </c>
      <c r="I1308" s="101" t="str">
        <f>INDEX(Tableau8[Att3],MATCH(Tableau3[[#This Row],[ID-INS]],Tableau8[ID],0))&amp;""</f>
        <v>Synthèse défaut  technique TRS/PMR rouge Accueil B21 et gare routière + TRS/PMR bleus contrôle B22 + SAS VELO</v>
      </c>
      <c r="J1308" s="101"/>
      <c r="K1308" s="167" t="str">
        <f>INDEX(Tableau8[Nom du modele],MATCH(Tableau3[[#This Row],[ID-INS]],Tableau8[ID],0))&amp;""</f>
        <v>TEA</v>
      </c>
      <c r="L1308" s="99" t="str">
        <f>INDEX(Tableau5[Att1],MATCH(Tableau3[[#This Row],[ID-SIG]],Tableau5[ID],0))&amp;""</f>
        <v>Info</v>
      </c>
      <c r="M1308" s="99" t="str">
        <f>INDEX(Tableau5[Att2],MATCH(Tableau3[[#This Row],[ID-SIG]],Tableau5[ID],0))&amp;""</f>
        <v/>
      </c>
      <c r="N1308" s="99" t="str">
        <f>INDEX(Tableau5[Att3],MATCH(Tableau3[[#This Row],[ID-SIG]],Tableau5[ID],0))&amp;""</f>
        <v/>
      </c>
      <c r="O1308" s="99"/>
      <c r="P1308" s="99" t="str">
        <f>INDEX(Tableau5[Description],MATCH(Tableau3[[#This Row],[ID-SIG]],Tableau5[ID],0))</f>
        <v>Commande</v>
      </c>
      <c r="Q1308" s="99"/>
      <c r="R1308" s="103" t="str">
        <f>Tableau3[[#This Row],[Description]]</f>
        <v>Commande</v>
      </c>
      <c r="U1308" s="87">
        <v>9</v>
      </c>
      <c r="V1308" s="87">
        <v>2</v>
      </c>
      <c r="W1308" s="87">
        <v>1</v>
      </c>
      <c r="X1308" s="87">
        <v>2</v>
      </c>
      <c r="Y1308" s="41"/>
      <c r="Z1308" s="165" t="str">
        <f>INDEX(Tableau2[TS],MATCH(Tableau3[[#This Row],[ID-CARTEVOIE]],Tableau2[ID-CARTEVOIE],0))</f>
        <v>ST</v>
      </c>
      <c r="AA1308" s="53" t="s">
        <v>213</v>
      </c>
      <c r="AB1308" s="223" t="str">
        <f>IFERROR(INDEX(Tableau5[Reserve],MATCH(Tableau3[[#This Row],[ID-SIG]],Tableau5[ID],0))&amp;"","")</f>
        <v/>
      </c>
      <c r="AC1308" s="21"/>
      <c r="AD1308" s="108" t="str">
        <f>INDEX(Tableau7[Repere],MATCH(Tableau3[[#This Row],[ID-API]],Tableau7[ID-API],0))&amp;""</f>
        <v>A9</v>
      </c>
      <c r="AE1308" s="108" t="str">
        <f>INDEX(Tableau1[Repere-Rack],MATCH(Tableau3[[#This Row],[ID-RACK]],Tableau1[ID-RACK],0))&amp;""</f>
        <v>R2</v>
      </c>
      <c r="AF1308" s="108" t="str">
        <f>INDEX(Tableau1[Repere-Slot],MATCH(Tableau3[[#This Row],[ID-SLOT]],Tableau1[ID-SLOT],0))&amp;""</f>
        <v>S1</v>
      </c>
      <c r="AG1308" s="108" t="str">
        <f>INDEX(Tableau2[Repere-Voie],MATCH(Tableau3[[#This Row],[ID-VOIE]],Tableau2[ID-Voie],0))&amp;""</f>
        <v>v2</v>
      </c>
      <c r="AH1308" s="72" t="str">
        <f>Tableau3[[#This Row],[ID-API]]&amp; "." &amp;Tableau3[[#This Row],[ID-RACK]]&amp; "." &amp;Tableau3[[#This Row],[ID-SLOT]]</f>
        <v>9.2.1</v>
      </c>
      <c r="AI1308" s="72" t="str">
        <f>INDEX(Tableau1[Ref-Carte],MATCH(Tableau3[[#This Row],[ID-RRS]],Tableau1[ID-RRS],0))</f>
        <v>DRA0815</v>
      </c>
      <c r="AJ1308" s="72" t="str">
        <f t="array" ref="AJ1308">IFERROR(INDEX(Tableau2[TS],MATCH(1,(Tableau2[Ref-Carte]=Tableau3[[#This Row],[Ref-Carte2]])*(Tableau2[ID-Voie]=Tableau3[[#This Row],[ID-VOIE]]),0)),"")</f>
        <v>ST</v>
      </c>
      <c r="AK1308" s="72" t="str">
        <f>IFERROR(INDEX(Tableau2[TS],SUMPRODUCT((Tableau2[Ref-Carte]=Tableau3[[#This Row],[Ref-Carte2]])*(Tableau2[ID-Voie]=Tableau3[[#This Row],[ID-VOIE]])*ROW(Tableau2[TS]))-ROW(Tableau2[#Headers])),"")</f>
        <v>ST</v>
      </c>
      <c r="AL1308" s="72" t="str">
        <f>Tableau3[[#This Row],[Ref-Carte2]]&amp;"/"&amp;Tableau3[[#This Row],[ID-VOIE]]</f>
        <v>DRA0815/2</v>
      </c>
      <c r="AM1308" s="73" t="str">
        <f>INDEX(Tableau2[Borne],MATCH(Tableau3[[#This Row],[ID-CARTEVOIE]],Tableau2[ID-CARTEVOIE],0))&amp;""</f>
        <v>2</v>
      </c>
      <c r="AN1308" s="74" t="str">
        <f>Tableau3[[#This Row],[ID-API]]&amp;Tableau3[[#This Row],[ID-RACK]]&amp;Tableau3[[#This Row],[ID-SLOT]]&amp;Tableau3[[#This Row],[BORNE]]</f>
        <v>9212</v>
      </c>
      <c r="AO1308" s="1"/>
    </row>
    <row r="1309" spans="1:41" ht="20.100000000000001" customHeight="1" thickTop="1" thickBot="1">
      <c r="A1309" s="68"/>
      <c r="B1309" s="69" t="str">
        <f>IFERROR(INDEX(Tableau4[Date],MATCH($A1309,Tableau4[EVO],0)),"")</f>
        <v/>
      </c>
      <c r="C1309" s="68" t="str">
        <f>IFERROR(INDEX(Tableau4[Designation],MATCH($A1309,Tableau4[EVO],0)),"")</f>
        <v/>
      </c>
      <c r="D1309" s="68"/>
      <c r="E1309" s="70">
        <v>355</v>
      </c>
      <c r="F1309" s="71">
        <v>99</v>
      </c>
      <c r="G1309" s="101" t="str">
        <f>INDEX(Tableau8[Att1],MATCH(Tableau3[[#This Row],[ID-INS]],Tableau8[ID],0))&amp;""</f>
        <v/>
      </c>
      <c r="H1309" s="101" t="str">
        <f>INDEX(Tableau8[Att2],MATCH(Tableau3[[#This Row],[ID-INS]],Tableau8[ID],0))&amp;""</f>
        <v>TEA76</v>
      </c>
      <c r="I1309" s="101" t="str">
        <f>INDEX(Tableau8[Att3],MATCH(Tableau3[[#This Row],[ID-INS]],Tableau8[ID],0))&amp;""</f>
        <v>Synthèse Déverrouillage Sas Vélo Bleu ou Sas PMR Bleu</v>
      </c>
      <c r="J1309" s="101"/>
      <c r="K1309" s="167" t="str">
        <f>INDEX(Tableau8[Nom du modele],MATCH(Tableau3[[#This Row],[ID-INS]],Tableau8[ID],0))&amp;""</f>
        <v>TEA</v>
      </c>
      <c r="L1309" s="99" t="str">
        <f>INDEX(Tableau5[Att1],MATCH(Tableau3[[#This Row],[ID-SIG]],Tableau5[ID],0))&amp;""</f>
        <v>Info</v>
      </c>
      <c r="M1309" s="99" t="str">
        <f>INDEX(Tableau5[Att2],MATCH(Tableau3[[#This Row],[ID-SIG]],Tableau5[ID],0))&amp;""</f>
        <v/>
      </c>
      <c r="N1309" s="99" t="str">
        <f>INDEX(Tableau5[Att3],MATCH(Tableau3[[#This Row],[ID-SIG]],Tableau5[ID],0))&amp;""</f>
        <v/>
      </c>
      <c r="O1309" s="99"/>
      <c r="P1309" s="99" t="str">
        <f>INDEX(Tableau5[Description],MATCH(Tableau3[[#This Row],[ID-SIG]],Tableau5[ID],0))</f>
        <v>Commande</v>
      </c>
      <c r="Q1309" s="99"/>
      <c r="R1309" s="103" t="str">
        <f>Tableau3[[#This Row],[Description]]</f>
        <v>Commande</v>
      </c>
      <c r="U1309" s="87">
        <v>9</v>
      </c>
      <c r="V1309" s="87">
        <v>2</v>
      </c>
      <c r="W1309" s="87">
        <v>1</v>
      </c>
      <c r="X1309" s="87">
        <v>3</v>
      </c>
      <c r="Y1309" s="41"/>
      <c r="Z1309" s="165" t="str">
        <f>INDEX(Tableau2[TS],MATCH(Tableau3[[#This Row],[ID-CARTEVOIE]],Tableau2[ID-CARTEVOIE],0))</f>
        <v>ST</v>
      </c>
      <c r="AA1309" s="53" t="s">
        <v>213</v>
      </c>
      <c r="AB1309" s="223" t="str">
        <f>IFERROR(INDEX(Tableau5[Reserve],MATCH(Tableau3[[#This Row],[ID-SIG]],Tableau5[ID],0))&amp;"","")</f>
        <v/>
      </c>
      <c r="AC1309" s="21"/>
      <c r="AD1309" s="108" t="str">
        <f>INDEX(Tableau7[Repere],MATCH(Tableau3[[#This Row],[ID-API]],Tableau7[ID-API],0))&amp;""</f>
        <v>A9</v>
      </c>
      <c r="AE1309" s="108" t="str">
        <f>INDEX(Tableau1[Repere-Rack],MATCH(Tableau3[[#This Row],[ID-RACK]],Tableau1[ID-RACK],0))&amp;""</f>
        <v>R2</v>
      </c>
      <c r="AF1309" s="108" t="str">
        <f>INDEX(Tableau1[Repere-Slot],MATCH(Tableau3[[#This Row],[ID-SLOT]],Tableau1[ID-SLOT],0))&amp;""</f>
        <v>S1</v>
      </c>
      <c r="AG1309" s="108" t="str">
        <f>INDEX(Tableau2[Repere-Voie],MATCH(Tableau3[[#This Row],[ID-VOIE]],Tableau2[ID-Voie],0))&amp;""</f>
        <v>v3</v>
      </c>
      <c r="AH1309" s="72" t="str">
        <f>Tableau3[[#This Row],[ID-API]]&amp; "." &amp;Tableau3[[#This Row],[ID-RACK]]&amp; "." &amp;Tableau3[[#This Row],[ID-SLOT]]</f>
        <v>9.2.1</v>
      </c>
      <c r="AI1309" s="72" t="str">
        <f>INDEX(Tableau1[Ref-Carte],MATCH(Tableau3[[#This Row],[ID-RRS]],Tableau1[ID-RRS],0))</f>
        <v>DRA0815</v>
      </c>
      <c r="AJ1309" s="72" t="str">
        <f t="array" ref="AJ1309">IFERROR(INDEX(Tableau2[TS],MATCH(1,(Tableau2[Ref-Carte]=Tableau3[[#This Row],[Ref-Carte2]])*(Tableau2[ID-Voie]=Tableau3[[#This Row],[ID-VOIE]]),0)),"")</f>
        <v>ST</v>
      </c>
      <c r="AK1309" s="72" t="str">
        <f>IFERROR(INDEX(Tableau2[TS],SUMPRODUCT((Tableau2[Ref-Carte]=Tableau3[[#This Row],[Ref-Carte2]])*(Tableau2[ID-Voie]=Tableau3[[#This Row],[ID-VOIE]])*ROW(Tableau2[TS]))-ROW(Tableau2[#Headers])),"")</f>
        <v>ST</v>
      </c>
      <c r="AL1309" s="72" t="str">
        <f>Tableau3[[#This Row],[Ref-Carte2]]&amp;"/"&amp;Tableau3[[#This Row],[ID-VOIE]]</f>
        <v>DRA0815/3</v>
      </c>
      <c r="AM1309" s="73" t="str">
        <f>INDEX(Tableau2[Borne],MATCH(Tableau3[[#This Row],[ID-CARTEVOIE]],Tableau2[ID-CARTEVOIE],0))&amp;""</f>
        <v>3</v>
      </c>
      <c r="AN1309" s="74" t="str">
        <f>Tableau3[[#This Row],[ID-API]]&amp;Tableau3[[#This Row],[ID-RACK]]&amp;Tableau3[[#This Row],[ID-SLOT]]&amp;Tableau3[[#This Row],[BORNE]]</f>
        <v>9213</v>
      </c>
      <c r="AO1309" s="1"/>
    </row>
    <row r="1310" spans="1:41" ht="20.100000000000001" customHeight="1" thickTop="1" thickBot="1">
      <c r="A1310" s="68"/>
      <c r="B1310" s="69" t="str">
        <f>IFERROR(INDEX(Tableau4[Date],MATCH($A1310,Tableau4[EVO],0)),"")</f>
        <v/>
      </c>
      <c r="C1310" s="68" t="str">
        <f>IFERROR(INDEX(Tableau4[Designation],MATCH($A1310,Tableau4[EVO],0)),"")</f>
        <v/>
      </c>
      <c r="D1310" s="68"/>
      <c r="E1310" s="70">
        <v>356</v>
      </c>
      <c r="F1310" s="71">
        <v>99</v>
      </c>
      <c r="G1310" s="101" t="str">
        <f>INDEX(Tableau8[Att1],MATCH(Tableau3[[#This Row],[ID-INS]],Tableau8[ID],0))&amp;""</f>
        <v/>
      </c>
      <c r="H1310" s="101" t="str">
        <f>INDEX(Tableau8[Att2],MATCH(Tableau3[[#This Row],[ID-INS]],Tableau8[ID],0))&amp;""</f>
        <v>TEA77</v>
      </c>
      <c r="I1310" s="101" t="str">
        <f>INDEX(Tableau8[Att3],MATCH(Tableau3[[#This Row],[ID-INS]],Tableau8[ID],0))&amp;""</f>
        <v>Synthèse défaut technique P1 ou P2 ou P3 ou P10  ou barrières rouges</v>
      </c>
      <c r="J1310" s="101"/>
      <c r="K1310" s="167" t="str">
        <f>INDEX(Tableau8[Nom du modele],MATCH(Tableau3[[#This Row],[ID-INS]],Tableau8[ID],0))&amp;""</f>
        <v>TEA</v>
      </c>
      <c r="L1310" s="99" t="str">
        <f>INDEX(Tableau5[Att1],MATCH(Tableau3[[#This Row],[ID-SIG]],Tableau5[ID],0))&amp;""</f>
        <v>Info</v>
      </c>
      <c r="M1310" s="99" t="str">
        <f>INDEX(Tableau5[Att2],MATCH(Tableau3[[#This Row],[ID-SIG]],Tableau5[ID],0))&amp;""</f>
        <v/>
      </c>
      <c r="N1310" s="99" t="str">
        <f>INDEX(Tableau5[Att3],MATCH(Tableau3[[#This Row],[ID-SIG]],Tableau5[ID],0))&amp;""</f>
        <v/>
      </c>
      <c r="O1310" s="99"/>
      <c r="P1310" s="99" t="str">
        <f>INDEX(Tableau5[Description],MATCH(Tableau3[[#This Row],[ID-SIG]],Tableau5[ID],0))</f>
        <v>Commande</v>
      </c>
      <c r="Q1310" s="99"/>
      <c r="R1310" s="103" t="str">
        <f>Tableau3[[#This Row],[Description]]</f>
        <v>Commande</v>
      </c>
      <c r="U1310" s="87">
        <v>9</v>
      </c>
      <c r="V1310" s="87">
        <v>2</v>
      </c>
      <c r="W1310" s="87">
        <v>1</v>
      </c>
      <c r="X1310" s="87">
        <v>4</v>
      </c>
      <c r="Y1310" s="41"/>
      <c r="Z1310" s="165" t="str">
        <f>INDEX(Tableau2[TS],MATCH(Tableau3[[#This Row],[ID-CARTEVOIE]],Tableau2[ID-CARTEVOIE],0))</f>
        <v>ST</v>
      </c>
      <c r="AA1310" s="53" t="s">
        <v>213</v>
      </c>
      <c r="AB1310" s="223" t="str">
        <f>IFERROR(INDEX(Tableau5[Reserve],MATCH(Tableau3[[#This Row],[ID-SIG]],Tableau5[ID],0))&amp;"","")</f>
        <v/>
      </c>
      <c r="AC1310" s="21"/>
      <c r="AD1310" s="108" t="str">
        <f>INDEX(Tableau7[Repere],MATCH(Tableau3[[#This Row],[ID-API]],Tableau7[ID-API],0))&amp;""</f>
        <v>A9</v>
      </c>
      <c r="AE1310" s="108" t="str">
        <f>INDEX(Tableau1[Repere-Rack],MATCH(Tableau3[[#This Row],[ID-RACK]],Tableau1[ID-RACK],0))&amp;""</f>
        <v>R2</v>
      </c>
      <c r="AF1310" s="108" t="str">
        <f>INDEX(Tableau1[Repere-Slot],MATCH(Tableau3[[#This Row],[ID-SLOT]],Tableau1[ID-SLOT],0))&amp;""</f>
        <v>S1</v>
      </c>
      <c r="AG1310" s="108" t="str">
        <f>INDEX(Tableau2[Repere-Voie],MATCH(Tableau3[[#This Row],[ID-VOIE]],Tableau2[ID-Voie],0))&amp;""</f>
        <v>v4</v>
      </c>
      <c r="AH1310" s="72" t="str">
        <f>Tableau3[[#This Row],[ID-API]]&amp; "." &amp;Tableau3[[#This Row],[ID-RACK]]&amp; "." &amp;Tableau3[[#This Row],[ID-SLOT]]</f>
        <v>9.2.1</v>
      </c>
      <c r="AI1310" s="72" t="str">
        <f>INDEX(Tableau1[Ref-Carte],MATCH(Tableau3[[#This Row],[ID-RRS]],Tableau1[ID-RRS],0))</f>
        <v>DRA0815</v>
      </c>
      <c r="AJ1310" s="72" t="str">
        <f t="array" ref="AJ1310">IFERROR(INDEX(Tableau2[TS],MATCH(1,(Tableau2[Ref-Carte]=Tableau3[[#This Row],[Ref-Carte2]])*(Tableau2[ID-Voie]=Tableau3[[#This Row],[ID-VOIE]]),0)),"")</f>
        <v>ST</v>
      </c>
      <c r="AK1310" s="72" t="str">
        <f>IFERROR(INDEX(Tableau2[TS],SUMPRODUCT((Tableau2[Ref-Carte]=Tableau3[[#This Row],[Ref-Carte2]])*(Tableau2[ID-Voie]=Tableau3[[#This Row],[ID-VOIE]])*ROW(Tableau2[TS]))-ROW(Tableau2[#Headers])),"")</f>
        <v>ST</v>
      </c>
      <c r="AL1310" s="72" t="str">
        <f>Tableau3[[#This Row],[Ref-Carte2]]&amp;"/"&amp;Tableau3[[#This Row],[ID-VOIE]]</f>
        <v>DRA0815/4</v>
      </c>
      <c r="AM1310" s="73" t="str">
        <f>INDEX(Tableau2[Borne],MATCH(Tableau3[[#This Row],[ID-CARTEVOIE]],Tableau2[ID-CARTEVOIE],0))&amp;""</f>
        <v>4</v>
      </c>
      <c r="AN1310" s="74" t="str">
        <f>Tableau3[[#This Row],[ID-API]]&amp;Tableau3[[#This Row],[ID-RACK]]&amp;Tableau3[[#This Row],[ID-SLOT]]&amp;Tableau3[[#This Row],[BORNE]]</f>
        <v>9214</v>
      </c>
      <c r="AO1310" s="1"/>
    </row>
    <row r="1311" spans="1:41" ht="20.100000000000001" customHeight="1" thickTop="1" thickBot="1">
      <c r="A1311" s="68"/>
      <c r="B1311" s="69" t="str">
        <f>IFERROR(INDEX(Tableau4[Date],MATCH($A1311,Tableau4[EVO],0)),"")</f>
        <v/>
      </c>
      <c r="C1311" s="68" t="str">
        <f>IFERROR(INDEX(Tableau4[Designation],MATCH($A1311,Tableau4[EVO],0)),"")</f>
        <v/>
      </c>
      <c r="D1311" s="68"/>
      <c r="E1311" s="70">
        <v>357</v>
      </c>
      <c r="F1311" s="71">
        <v>99</v>
      </c>
      <c r="G1311" s="101" t="str">
        <f>INDEX(Tableau8[Att1],MATCH(Tableau3[[#This Row],[ID-INS]],Tableau8[ID],0))&amp;""</f>
        <v/>
      </c>
      <c r="H1311" s="101" t="str">
        <f>INDEX(Tableau8[Att2],MATCH(Tableau3[[#This Row],[ID-INS]],Tableau8[ID],0))&amp;""</f>
        <v>TEA78</v>
      </c>
      <c r="I1311" s="101" t="str">
        <f>INDEX(Tableau8[Att3],MATCH(Tableau3[[#This Row],[ID-INS]],Tableau8[ID],0))&amp;""</f>
        <v>Synthèse défaut technique P4 ou P5 ou P6 ou P7 ou P8 ou barrières bleues ou AVB1 ou AVB2</v>
      </c>
      <c r="J1311" s="101"/>
      <c r="K1311" s="167" t="str">
        <f>INDEX(Tableau8[Nom du modele],MATCH(Tableau3[[#This Row],[ID-INS]],Tableau8[ID],0))&amp;""</f>
        <v>TEA</v>
      </c>
      <c r="L1311" s="99" t="str">
        <f>INDEX(Tableau5[Att1],MATCH(Tableau3[[#This Row],[ID-SIG]],Tableau5[ID],0))&amp;""</f>
        <v>Info</v>
      </c>
      <c r="M1311" s="99" t="str">
        <f>INDEX(Tableau5[Att2],MATCH(Tableau3[[#This Row],[ID-SIG]],Tableau5[ID],0))&amp;""</f>
        <v/>
      </c>
      <c r="N1311" s="99" t="str">
        <f>INDEX(Tableau5[Att3],MATCH(Tableau3[[#This Row],[ID-SIG]],Tableau5[ID],0))&amp;""</f>
        <v/>
      </c>
      <c r="O1311" s="99"/>
      <c r="P1311" s="99" t="str">
        <f>INDEX(Tableau5[Description],MATCH(Tableau3[[#This Row],[ID-SIG]],Tableau5[ID],0))</f>
        <v>Commande</v>
      </c>
      <c r="Q1311" s="99"/>
      <c r="R1311" s="103" t="str">
        <f>Tableau3[[#This Row],[Description]]</f>
        <v>Commande</v>
      </c>
      <c r="U1311" s="87">
        <v>9</v>
      </c>
      <c r="V1311" s="87">
        <v>2</v>
      </c>
      <c r="W1311" s="87">
        <v>1</v>
      </c>
      <c r="X1311" s="87">
        <v>5</v>
      </c>
      <c r="Y1311" s="41"/>
      <c r="Z1311" s="165" t="str">
        <f>INDEX(Tableau2[TS],MATCH(Tableau3[[#This Row],[ID-CARTEVOIE]],Tableau2[ID-CARTEVOIE],0))</f>
        <v>ST</v>
      </c>
      <c r="AA1311" s="53" t="s">
        <v>213</v>
      </c>
      <c r="AB1311" s="223" t="str">
        <f>IFERROR(INDEX(Tableau5[Reserve],MATCH(Tableau3[[#This Row],[ID-SIG]],Tableau5[ID],0))&amp;"","")</f>
        <v/>
      </c>
      <c r="AC1311" s="21"/>
      <c r="AD1311" s="108" t="str">
        <f>INDEX(Tableau7[Repere],MATCH(Tableau3[[#This Row],[ID-API]],Tableau7[ID-API],0))&amp;""</f>
        <v>A9</v>
      </c>
      <c r="AE1311" s="108" t="str">
        <f>INDEX(Tableau1[Repere-Rack],MATCH(Tableau3[[#This Row],[ID-RACK]],Tableau1[ID-RACK],0))&amp;""</f>
        <v>R2</v>
      </c>
      <c r="AF1311" s="108" t="str">
        <f>INDEX(Tableau1[Repere-Slot],MATCH(Tableau3[[#This Row],[ID-SLOT]],Tableau1[ID-SLOT],0))&amp;""</f>
        <v>S1</v>
      </c>
      <c r="AG1311" s="108" t="str">
        <f>INDEX(Tableau2[Repere-Voie],MATCH(Tableau3[[#This Row],[ID-VOIE]],Tableau2[ID-Voie],0))&amp;""</f>
        <v>v5</v>
      </c>
      <c r="AH1311" s="72" t="str">
        <f>Tableau3[[#This Row],[ID-API]]&amp; "." &amp;Tableau3[[#This Row],[ID-RACK]]&amp; "." &amp;Tableau3[[#This Row],[ID-SLOT]]</f>
        <v>9.2.1</v>
      </c>
      <c r="AI1311" s="72" t="str">
        <f>INDEX(Tableau1[Ref-Carte],MATCH(Tableau3[[#This Row],[ID-RRS]],Tableau1[ID-RRS],0))</f>
        <v>DRA0815</v>
      </c>
      <c r="AJ1311" s="72" t="str">
        <f t="array" ref="AJ1311">IFERROR(INDEX(Tableau2[TS],MATCH(1,(Tableau2[Ref-Carte]=Tableau3[[#This Row],[Ref-Carte2]])*(Tableau2[ID-Voie]=Tableau3[[#This Row],[ID-VOIE]]),0)),"")</f>
        <v>ST</v>
      </c>
      <c r="AK1311" s="72" t="str">
        <f>IFERROR(INDEX(Tableau2[TS],SUMPRODUCT((Tableau2[Ref-Carte]=Tableau3[[#This Row],[Ref-Carte2]])*(Tableau2[ID-Voie]=Tableau3[[#This Row],[ID-VOIE]])*ROW(Tableau2[TS]))-ROW(Tableau2[#Headers])),"")</f>
        <v>ST</v>
      </c>
      <c r="AL1311" s="72" t="str">
        <f>Tableau3[[#This Row],[Ref-Carte2]]&amp;"/"&amp;Tableau3[[#This Row],[ID-VOIE]]</f>
        <v>DRA0815/5</v>
      </c>
      <c r="AM1311" s="73" t="str">
        <f>INDEX(Tableau2[Borne],MATCH(Tableau3[[#This Row],[ID-CARTEVOIE]],Tableau2[ID-CARTEVOIE],0))&amp;""</f>
        <v>5</v>
      </c>
      <c r="AN1311" s="74" t="str">
        <f>Tableau3[[#This Row],[ID-API]]&amp;Tableau3[[#This Row],[ID-RACK]]&amp;Tableau3[[#This Row],[ID-SLOT]]&amp;Tableau3[[#This Row],[BORNE]]</f>
        <v>9215</v>
      </c>
      <c r="AO1311" s="1"/>
    </row>
    <row r="1312" spans="1:41" ht="20.100000000000001" customHeight="1" thickTop="1" thickBot="1">
      <c r="A1312" s="68"/>
      <c r="B1312" s="69" t="str">
        <f>IFERROR(INDEX(Tableau4[Date],MATCH($A1312,Tableau4[EVO],0)),"")</f>
        <v/>
      </c>
      <c r="C1312" s="68" t="str">
        <f>IFERROR(INDEX(Tableau4[Designation],MATCH($A1312,Tableau4[EVO],0)),"")</f>
        <v/>
      </c>
      <c r="D1312" s="68"/>
      <c r="E1312" s="70">
        <v>358</v>
      </c>
      <c r="F1312" s="71">
        <v>99</v>
      </c>
      <c r="G1312" s="101" t="str">
        <f>INDEX(Tableau8[Att1],MATCH(Tableau3[[#This Row],[ID-INS]],Tableau8[ID],0))&amp;""</f>
        <v/>
      </c>
      <c r="H1312" s="101" t="str">
        <f>INDEX(Tableau8[Att2],MATCH(Tableau3[[#This Row],[ID-INS]],Tableau8[ID],0))&amp;""</f>
        <v>TEA79</v>
      </c>
      <c r="I1312" s="101" t="str">
        <f>INDEX(Tableau8[Att3],MATCH(Tableau3[[#This Row],[ID-INS]],Tableau8[ID],0))&amp;""</f>
        <v>Synthèse défaut technique P9 ou P11</v>
      </c>
      <c r="J1312" s="101"/>
      <c r="K1312" s="167" t="str">
        <f>INDEX(Tableau8[Nom du modele],MATCH(Tableau3[[#This Row],[ID-INS]],Tableau8[ID],0))&amp;""</f>
        <v>TEA</v>
      </c>
      <c r="L1312" s="99" t="str">
        <f>INDEX(Tableau5[Att1],MATCH(Tableau3[[#This Row],[ID-SIG]],Tableau5[ID],0))&amp;""</f>
        <v>Info</v>
      </c>
      <c r="M1312" s="99" t="str">
        <f>INDEX(Tableau5[Att2],MATCH(Tableau3[[#This Row],[ID-SIG]],Tableau5[ID],0))&amp;""</f>
        <v/>
      </c>
      <c r="N1312" s="99" t="str">
        <f>INDEX(Tableau5[Att3],MATCH(Tableau3[[#This Row],[ID-SIG]],Tableau5[ID],0))&amp;""</f>
        <v/>
      </c>
      <c r="O1312" s="99"/>
      <c r="P1312" s="141" t="str">
        <f>INDEX(Tableau5[Description],MATCH(Tableau3[[#This Row],[ID-SIG]],Tableau5[ID],0))</f>
        <v>Commande</v>
      </c>
      <c r="Q1312" s="99"/>
      <c r="R1312" s="103" t="str">
        <f>Tableau3[[#This Row],[Description]]</f>
        <v>Commande</v>
      </c>
      <c r="U1312" s="87">
        <v>9</v>
      </c>
      <c r="V1312" s="87">
        <v>2</v>
      </c>
      <c r="W1312" s="87">
        <v>1</v>
      </c>
      <c r="X1312" s="87">
        <v>6</v>
      </c>
      <c r="Y1312" s="41"/>
      <c r="Z1312" s="165" t="str">
        <f>INDEX(Tableau2[TS],MATCH(Tableau3[[#This Row],[ID-CARTEVOIE]],Tableau2[ID-CARTEVOIE],0))</f>
        <v>ST</v>
      </c>
      <c r="AA1312" s="53" t="s">
        <v>213</v>
      </c>
      <c r="AB1312" s="223" t="str">
        <f>IFERROR(INDEX(Tableau5[Reserve],MATCH(Tableau3[[#This Row],[ID-SIG]],Tableau5[ID],0))&amp;"","")</f>
        <v/>
      </c>
      <c r="AC1312" s="21"/>
      <c r="AD1312" s="108" t="str">
        <f>INDEX(Tableau7[Repere],MATCH(Tableau3[[#This Row],[ID-API]],Tableau7[ID-API],0))&amp;""</f>
        <v>A9</v>
      </c>
      <c r="AE1312" s="108" t="str">
        <f>INDEX(Tableau1[Repere-Rack],MATCH(Tableau3[[#This Row],[ID-RACK]],Tableau1[ID-RACK],0))&amp;""</f>
        <v>R2</v>
      </c>
      <c r="AF1312" s="108" t="str">
        <f>INDEX(Tableau1[Repere-Slot],MATCH(Tableau3[[#This Row],[ID-SLOT]],Tableau1[ID-SLOT],0))&amp;""</f>
        <v>S1</v>
      </c>
      <c r="AG1312" s="108" t="str">
        <f>INDEX(Tableau2[Repere-Voie],MATCH(Tableau3[[#This Row],[ID-VOIE]],Tableau2[ID-Voie],0))&amp;""</f>
        <v>v6</v>
      </c>
      <c r="AH1312" s="72" t="str">
        <f>Tableau3[[#This Row],[ID-API]]&amp; "." &amp;Tableau3[[#This Row],[ID-RACK]]&amp; "." &amp;Tableau3[[#This Row],[ID-SLOT]]</f>
        <v>9.2.1</v>
      </c>
      <c r="AI1312" s="72" t="str">
        <f>INDEX(Tableau1[Ref-Carte],MATCH(Tableau3[[#This Row],[ID-RRS]],Tableau1[ID-RRS],0))</f>
        <v>DRA0815</v>
      </c>
      <c r="AJ1312" s="72" t="str">
        <f t="array" ref="AJ1312">IFERROR(INDEX(Tableau2[TS],MATCH(1,(Tableau2[Ref-Carte]=Tableau3[[#This Row],[Ref-Carte2]])*(Tableau2[ID-Voie]=Tableau3[[#This Row],[ID-VOIE]]),0)),"")</f>
        <v>ST</v>
      </c>
      <c r="AK1312" s="72" t="str">
        <f>IFERROR(INDEX(Tableau2[TS],SUMPRODUCT((Tableau2[Ref-Carte]=Tableau3[[#This Row],[Ref-Carte2]])*(Tableau2[ID-Voie]=Tableau3[[#This Row],[ID-VOIE]])*ROW(Tableau2[TS]))-ROW(Tableau2[#Headers])),"")</f>
        <v>ST</v>
      </c>
      <c r="AL1312" s="72" t="str">
        <f>Tableau3[[#This Row],[Ref-Carte2]]&amp;"/"&amp;Tableau3[[#This Row],[ID-VOIE]]</f>
        <v>DRA0815/6</v>
      </c>
      <c r="AM1312" s="73" t="str">
        <f>INDEX(Tableau2[Borne],MATCH(Tableau3[[#This Row],[ID-CARTEVOIE]],Tableau2[ID-CARTEVOIE],0))&amp;""</f>
        <v>6</v>
      </c>
      <c r="AN1312" s="74" t="str">
        <f>Tableau3[[#This Row],[ID-API]]&amp;Tableau3[[#This Row],[ID-RACK]]&amp;Tableau3[[#This Row],[ID-SLOT]]&amp;Tableau3[[#This Row],[BORNE]]</f>
        <v>9216</v>
      </c>
      <c r="AO1312" s="1"/>
    </row>
    <row r="1313" spans="1:41" ht="20.100000000000001" customHeight="1" thickTop="1" thickBot="1">
      <c r="A1313" s="68"/>
      <c r="B1313" s="69" t="str">
        <f>IFERROR(INDEX(Tableau4[Date],MATCH($A1313,Tableau4[EVO],0)),"")</f>
        <v/>
      </c>
      <c r="C1313" s="68" t="str">
        <f>IFERROR(INDEX(Tableau4[Designation],MATCH($A1313,Tableau4[EVO],0)),"")</f>
        <v/>
      </c>
      <c r="D1313" s="68"/>
      <c r="E1313" s="70">
        <v>359</v>
      </c>
      <c r="F1313" s="71">
        <v>99</v>
      </c>
      <c r="G1313" s="101" t="str">
        <f>INDEX(Tableau8[Att1],MATCH(Tableau3[[#This Row],[ID-INS]],Tableau8[ID],0))&amp;""</f>
        <v/>
      </c>
      <c r="H1313" s="101" t="str">
        <f>INDEX(Tableau8[Att2],MATCH(Tableau3[[#This Row],[ID-INS]],Tableau8[ID],0))&amp;""</f>
        <v>TEA80</v>
      </c>
      <c r="I1313" s="101" t="str">
        <f>INDEX(Tableau8[Att3],MATCH(Tableau3[[#This Row],[ID-INS]],Tableau8[ID],0))&amp;""</f>
        <v xml:space="preserve"> Synthèse Portillon ALAS non fermé ou non verrouillé ou P11 non fermé</v>
      </c>
      <c r="J1313" s="101"/>
      <c r="K1313" s="167" t="str">
        <f>INDEX(Tableau8[Nom du modele],MATCH(Tableau3[[#This Row],[ID-INS]],Tableau8[ID],0))&amp;""</f>
        <v>TEA</v>
      </c>
      <c r="L1313" s="99" t="str">
        <f>INDEX(Tableau5[Att1],MATCH(Tableau3[[#This Row],[ID-SIG]],Tableau5[ID],0))&amp;""</f>
        <v>Info</v>
      </c>
      <c r="M1313" s="99" t="str">
        <f>INDEX(Tableau5[Att2],MATCH(Tableau3[[#This Row],[ID-SIG]],Tableau5[ID],0))&amp;""</f>
        <v/>
      </c>
      <c r="N1313" s="99" t="str">
        <f>INDEX(Tableau5[Att3],MATCH(Tableau3[[#This Row],[ID-SIG]],Tableau5[ID],0))&amp;""</f>
        <v/>
      </c>
      <c r="O1313" s="99"/>
      <c r="P1313" s="141" t="str">
        <f>INDEX(Tableau5[Description],MATCH(Tableau3[[#This Row],[ID-SIG]],Tableau5[ID],0))</f>
        <v>Commande</v>
      </c>
      <c r="Q1313" s="99"/>
      <c r="R1313" s="103" t="str">
        <f>Tableau3[[#This Row],[Description]]</f>
        <v>Commande</v>
      </c>
      <c r="U1313" s="87">
        <v>9</v>
      </c>
      <c r="V1313" s="87">
        <v>2</v>
      </c>
      <c r="W1313" s="87">
        <v>1</v>
      </c>
      <c r="X1313" s="87">
        <v>7</v>
      </c>
      <c r="Y1313" s="41"/>
      <c r="Z1313" s="165" t="str">
        <f>INDEX(Tableau2[TS],MATCH(Tableau3[[#This Row],[ID-CARTEVOIE]],Tableau2[ID-CARTEVOIE],0))</f>
        <v>ST</v>
      </c>
      <c r="AA1313" s="53" t="s">
        <v>213</v>
      </c>
      <c r="AB1313" s="223" t="str">
        <f>IFERROR(INDEX(Tableau5[Reserve],MATCH(Tableau3[[#This Row],[ID-SIG]],Tableau5[ID],0))&amp;"","")</f>
        <v/>
      </c>
      <c r="AC1313" s="21"/>
      <c r="AD1313" s="108" t="str">
        <f>INDEX(Tableau7[Repere],MATCH(Tableau3[[#This Row],[ID-API]],Tableau7[ID-API],0))&amp;""</f>
        <v>A9</v>
      </c>
      <c r="AE1313" s="108" t="str">
        <f>INDEX(Tableau1[Repere-Rack],MATCH(Tableau3[[#This Row],[ID-RACK]],Tableau1[ID-RACK],0))&amp;""</f>
        <v>R2</v>
      </c>
      <c r="AF1313" s="108" t="str">
        <f>INDEX(Tableau1[Repere-Slot],MATCH(Tableau3[[#This Row],[ID-SLOT]],Tableau1[ID-SLOT],0))&amp;""</f>
        <v>S1</v>
      </c>
      <c r="AG1313" s="108" t="str">
        <f>INDEX(Tableau2[Repere-Voie],MATCH(Tableau3[[#This Row],[ID-VOIE]],Tableau2[ID-Voie],0))&amp;""</f>
        <v>v7</v>
      </c>
      <c r="AH1313" s="72" t="str">
        <f>Tableau3[[#This Row],[ID-API]]&amp; "." &amp;Tableau3[[#This Row],[ID-RACK]]&amp; "." &amp;Tableau3[[#This Row],[ID-SLOT]]</f>
        <v>9.2.1</v>
      </c>
      <c r="AI1313" s="72" t="str">
        <f>INDEX(Tableau1[Ref-Carte],MATCH(Tableau3[[#This Row],[ID-RRS]],Tableau1[ID-RRS],0))</f>
        <v>DRA0815</v>
      </c>
      <c r="AJ1313" s="72" t="str">
        <f t="array" ref="AJ1313">IFERROR(INDEX(Tableau2[TS],MATCH(1,(Tableau2[Ref-Carte]=Tableau3[[#This Row],[Ref-Carte2]])*(Tableau2[ID-Voie]=Tableau3[[#This Row],[ID-VOIE]]),0)),"")</f>
        <v>ST</v>
      </c>
      <c r="AK1313" s="72" t="str">
        <f>IFERROR(INDEX(Tableau2[TS],SUMPRODUCT((Tableau2[Ref-Carte]=Tableau3[[#This Row],[Ref-Carte2]])*(Tableau2[ID-Voie]=Tableau3[[#This Row],[ID-VOIE]])*ROW(Tableau2[TS]))-ROW(Tableau2[#Headers])),"")</f>
        <v>ST</v>
      </c>
      <c r="AL1313" s="72" t="str">
        <f>Tableau3[[#This Row],[Ref-Carte2]]&amp;"/"&amp;Tableau3[[#This Row],[ID-VOIE]]</f>
        <v>DRA0815/7</v>
      </c>
      <c r="AM1313" s="73" t="str">
        <f>INDEX(Tableau2[Borne],MATCH(Tableau3[[#This Row],[ID-CARTEVOIE]],Tableau2[ID-CARTEVOIE],0))&amp;""</f>
        <v>7</v>
      </c>
      <c r="AN1313" s="74" t="str">
        <f>Tableau3[[#This Row],[ID-API]]&amp;Tableau3[[#This Row],[ID-RACK]]&amp;Tableau3[[#This Row],[ID-SLOT]]&amp;Tableau3[[#This Row],[BORNE]]</f>
        <v>9217</v>
      </c>
      <c r="AO1313" s="1"/>
    </row>
    <row r="1314" spans="1:41" ht="20.100000000000001" customHeight="1" thickTop="1" thickBot="1">
      <c r="A1314" s="68"/>
      <c r="B1314" s="69" t="str">
        <f>IFERROR(INDEX(Tableau4[Date],MATCH($A1314,Tableau4[EVO],0)),"")</f>
        <v/>
      </c>
      <c r="C1314" s="68" t="str">
        <f>IFERROR(INDEX(Tableau4[Designation],MATCH($A1314,Tableau4[EVO],0)),"")</f>
        <v/>
      </c>
      <c r="D1314" s="68"/>
      <c r="E1314" s="70">
        <v>360</v>
      </c>
      <c r="F1314" s="71">
        <v>99</v>
      </c>
      <c r="G1314" s="101" t="str">
        <f>INDEX(Tableau8[Att1],MATCH(Tableau3[[#This Row],[ID-INS]],Tableau8[ID],0))&amp;""</f>
        <v/>
      </c>
      <c r="H1314" s="101" t="str">
        <f>INDEX(Tableau8[Att2],MATCH(Tableau3[[#This Row],[ID-INS]],Tableau8[ID],0))&amp;""</f>
        <v>TEA81</v>
      </c>
      <c r="I1314" s="101" t="str">
        <f>INDEX(Tableau8[Att3],MATCH(Tableau3[[#This Row],[ID-INS]],Tableau8[ID],0))&amp;""</f>
        <v xml:space="preserve"> Synthèse Portillon piéton gare routière non fermé ou non verrouillé ou P9 non fermé</v>
      </c>
      <c r="J1314" s="101"/>
      <c r="K1314" s="167" t="str">
        <f>INDEX(Tableau8[Nom du modele],MATCH(Tableau3[[#This Row],[ID-INS]],Tableau8[ID],0))&amp;""</f>
        <v>TEA</v>
      </c>
      <c r="L1314" s="99" t="str">
        <f>INDEX(Tableau5[Att1],MATCH(Tableau3[[#This Row],[ID-SIG]],Tableau5[ID],0))&amp;""</f>
        <v>Info</v>
      </c>
      <c r="M1314" s="99" t="str">
        <f>INDEX(Tableau5[Att2],MATCH(Tableau3[[#This Row],[ID-SIG]],Tableau5[ID],0))&amp;""</f>
        <v/>
      </c>
      <c r="N1314" s="99" t="str">
        <f>INDEX(Tableau5[Att3],MATCH(Tableau3[[#This Row],[ID-SIG]],Tableau5[ID],0))&amp;""</f>
        <v/>
      </c>
      <c r="O1314" s="99"/>
      <c r="P1314" s="141" t="str">
        <f>INDEX(Tableau5[Description],MATCH(Tableau3[[#This Row],[ID-SIG]],Tableau5[ID],0))</f>
        <v>Commande</v>
      </c>
      <c r="Q1314" s="99"/>
      <c r="R1314" s="103" t="str">
        <f>Tableau3[[#This Row],[Description]]</f>
        <v>Commande</v>
      </c>
      <c r="U1314" s="87">
        <v>9</v>
      </c>
      <c r="V1314" s="87">
        <v>2</v>
      </c>
      <c r="W1314" s="87">
        <v>2</v>
      </c>
      <c r="X1314" s="87">
        <v>0</v>
      </c>
      <c r="Y1314" s="41"/>
      <c r="Z1314" s="165" t="str">
        <f>INDEX(Tableau2[TS],MATCH(Tableau3[[#This Row],[ID-CARTEVOIE]],Tableau2[ID-CARTEVOIE],0))</f>
        <v>ST</v>
      </c>
      <c r="AA1314" s="53" t="s">
        <v>213</v>
      </c>
      <c r="AB1314" s="223" t="str">
        <f>IFERROR(INDEX(Tableau5[Reserve],MATCH(Tableau3[[#This Row],[ID-SIG]],Tableau5[ID],0))&amp;"","")</f>
        <v/>
      </c>
      <c r="AC1314" s="21"/>
      <c r="AD1314" s="108" t="str">
        <f>INDEX(Tableau7[Repere],MATCH(Tableau3[[#This Row],[ID-API]],Tableau7[ID-API],0))&amp;""</f>
        <v>A9</v>
      </c>
      <c r="AE1314" s="108" t="str">
        <f>INDEX(Tableau1[Repere-Rack],MATCH(Tableau3[[#This Row],[ID-RACK]],Tableau1[ID-RACK],0))&amp;""</f>
        <v>R2</v>
      </c>
      <c r="AF1314" s="108" t="str">
        <f>INDEX(Tableau1[Repere-Slot],MATCH(Tableau3[[#This Row],[ID-SLOT]],Tableau1[ID-SLOT],0))&amp;""</f>
        <v>S2</v>
      </c>
      <c r="AG1314" s="108" t="str">
        <f>INDEX(Tableau2[Repere-Voie],MATCH(Tableau3[[#This Row],[ID-VOIE]],Tableau2[ID-Voie],0))&amp;""</f>
        <v>v0</v>
      </c>
      <c r="AH1314" s="72" t="str">
        <f>Tableau3[[#This Row],[ID-API]]&amp; "." &amp;Tableau3[[#This Row],[ID-RACK]]&amp; "." &amp;Tableau3[[#This Row],[ID-SLOT]]</f>
        <v>9.2.2</v>
      </c>
      <c r="AI1314" s="72" t="str">
        <f>INDEX(Tableau1[Ref-Carte],MATCH(Tableau3[[#This Row],[ID-RRS]],Tableau1[ID-RRS],0))</f>
        <v>DRA0815</v>
      </c>
      <c r="AJ1314" s="72" t="str">
        <f t="array" ref="AJ1314">IFERROR(INDEX(Tableau2[TS],MATCH(1,(Tableau2[Ref-Carte]=Tableau3[[#This Row],[Ref-Carte2]])*(Tableau2[ID-Voie]=Tableau3[[#This Row],[ID-VOIE]]),0)),"")</f>
        <v>ST</v>
      </c>
      <c r="AK1314" s="72" t="str">
        <f>IFERROR(INDEX(Tableau2[TS],SUMPRODUCT((Tableau2[Ref-Carte]=Tableau3[[#This Row],[Ref-Carte2]])*(Tableau2[ID-Voie]=Tableau3[[#This Row],[ID-VOIE]])*ROW(Tableau2[TS]))-ROW(Tableau2[#Headers])),"")</f>
        <v>ST</v>
      </c>
      <c r="AL1314" s="72" t="str">
        <f>Tableau3[[#This Row],[Ref-Carte2]]&amp;"/"&amp;Tableau3[[#This Row],[ID-VOIE]]</f>
        <v>DRA0815/0</v>
      </c>
      <c r="AM1314" s="73" t="str">
        <f>INDEX(Tableau2[Borne],MATCH(Tableau3[[#This Row],[ID-CARTEVOIE]],Tableau2[ID-CARTEVOIE],0))&amp;""</f>
        <v>0</v>
      </c>
      <c r="AN1314" s="74" t="str">
        <f>Tableau3[[#This Row],[ID-API]]&amp;Tableau3[[#This Row],[ID-RACK]]&amp;Tableau3[[#This Row],[ID-SLOT]]&amp;Tableau3[[#This Row],[BORNE]]</f>
        <v>9220</v>
      </c>
      <c r="AO1314" s="1"/>
    </row>
    <row r="1315" spans="1:41" ht="20.100000000000001" customHeight="1" thickTop="1" thickBot="1">
      <c r="A1315" s="68"/>
      <c r="B1315" s="69" t="str">
        <f>IFERROR(INDEX(Tableau4[Date],MATCH($A1315,Tableau4[EVO],0)),"")</f>
        <v/>
      </c>
      <c r="C1315" s="68" t="str">
        <f>IFERROR(INDEX(Tableau4[Designation],MATCH($A1315,Tableau4[EVO],0)),"")</f>
        <v/>
      </c>
      <c r="D1315" s="68"/>
      <c r="E1315" s="70">
        <v>361</v>
      </c>
      <c r="F1315" s="71">
        <v>99</v>
      </c>
      <c r="G1315" s="101" t="str">
        <f>INDEX(Tableau8[Att1],MATCH(Tableau3[[#This Row],[ID-INS]],Tableau8[ID],0))&amp;""</f>
        <v/>
      </c>
      <c r="H1315" s="101" t="str">
        <f>INDEX(Tableau8[Att2],MATCH(Tableau3[[#This Row],[ID-INS]],Tableau8[ID],0))&amp;""</f>
        <v>TEA82</v>
      </c>
      <c r="I1315" s="101" t="str">
        <f>INDEX(Tableau8[Att3],MATCH(Tableau3[[#This Row],[ID-INS]],Tableau8[ID],0))&amp;""</f>
        <v>Synthèse Dérangement Intrusion Local CFIS B21 ou Dérangement Intrusion Hall d’accueil ou  Dérangement Intrusion PA ou Dérangement Intrusion Bureau Hôtesses</v>
      </c>
      <c r="J1315" s="101"/>
      <c r="K1315" s="167" t="str">
        <f>INDEX(Tableau8[Nom du modele],MATCH(Tableau3[[#This Row],[ID-INS]],Tableau8[ID],0))&amp;""</f>
        <v>TEA</v>
      </c>
      <c r="L1315" s="99" t="str">
        <f>INDEX(Tableau5[Att1],MATCH(Tableau3[[#This Row],[ID-SIG]],Tableau5[ID],0))&amp;""</f>
        <v>Info</v>
      </c>
      <c r="M1315" s="99" t="str">
        <f>INDEX(Tableau5[Att2],MATCH(Tableau3[[#This Row],[ID-SIG]],Tableau5[ID],0))&amp;""</f>
        <v/>
      </c>
      <c r="N1315" s="99" t="str">
        <f>INDEX(Tableau5[Att3],MATCH(Tableau3[[#This Row],[ID-SIG]],Tableau5[ID],0))&amp;""</f>
        <v/>
      </c>
      <c r="O1315" s="99"/>
      <c r="P1315" s="141" t="str">
        <f>INDEX(Tableau5[Description],MATCH(Tableau3[[#This Row],[ID-SIG]],Tableau5[ID],0))</f>
        <v>Commande</v>
      </c>
      <c r="Q1315" s="99"/>
      <c r="R1315" s="103" t="str">
        <f>Tableau3[[#This Row],[Description]]</f>
        <v>Commande</v>
      </c>
      <c r="U1315" s="87">
        <v>9</v>
      </c>
      <c r="V1315" s="87">
        <v>2</v>
      </c>
      <c r="W1315" s="87">
        <v>2</v>
      </c>
      <c r="X1315" s="87">
        <v>1</v>
      </c>
      <c r="Y1315" s="41"/>
      <c r="Z1315" s="165" t="str">
        <f>INDEX(Tableau2[TS],MATCH(Tableau3[[#This Row],[ID-CARTEVOIE]],Tableau2[ID-CARTEVOIE],0))</f>
        <v>ST</v>
      </c>
      <c r="AA1315" s="53" t="s">
        <v>213</v>
      </c>
      <c r="AB1315" s="223" t="str">
        <f>IFERROR(INDEX(Tableau5[Reserve],MATCH(Tableau3[[#This Row],[ID-SIG]],Tableau5[ID],0))&amp;"","")</f>
        <v/>
      </c>
      <c r="AC1315" s="21"/>
      <c r="AD1315" s="108" t="str">
        <f>INDEX(Tableau7[Repere],MATCH(Tableau3[[#This Row],[ID-API]],Tableau7[ID-API],0))&amp;""</f>
        <v>A9</v>
      </c>
      <c r="AE1315" s="108" t="str">
        <f>INDEX(Tableau1[Repere-Rack],MATCH(Tableau3[[#This Row],[ID-RACK]],Tableau1[ID-RACK],0))&amp;""</f>
        <v>R2</v>
      </c>
      <c r="AF1315" s="108" t="str">
        <f>INDEX(Tableau1[Repere-Slot],MATCH(Tableau3[[#This Row],[ID-SLOT]],Tableau1[ID-SLOT],0))&amp;""</f>
        <v>S2</v>
      </c>
      <c r="AG1315" s="108" t="str">
        <f>INDEX(Tableau2[Repere-Voie],MATCH(Tableau3[[#This Row],[ID-VOIE]],Tableau2[ID-Voie],0))&amp;""</f>
        <v>v1</v>
      </c>
      <c r="AH1315" s="72" t="str">
        <f>Tableau3[[#This Row],[ID-API]]&amp; "." &amp;Tableau3[[#This Row],[ID-RACK]]&amp; "." &amp;Tableau3[[#This Row],[ID-SLOT]]</f>
        <v>9.2.2</v>
      </c>
      <c r="AI1315" s="72" t="str">
        <f>INDEX(Tableau1[Ref-Carte],MATCH(Tableau3[[#This Row],[ID-RRS]],Tableau1[ID-RRS],0))</f>
        <v>DRA0815</v>
      </c>
      <c r="AJ1315" s="72" t="str">
        <f t="array" ref="AJ1315">IFERROR(INDEX(Tableau2[TS],MATCH(1,(Tableau2[Ref-Carte]=Tableau3[[#This Row],[Ref-Carte2]])*(Tableau2[ID-Voie]=Tableau3[[#This Row],[ID-VOIE]]),0)),"")</f>
        <v>ST</v>
      </c>
      <c r="AK1315" s="72" t="str">
        <f>IFERROR(INDEX(Tableau2[TS],SUMPRODUCT((Tableau2[Ref-Carte]=Tableau3[[#This Row],[Ref-Carte2]])*(Tableau2[ID-Voie]=Tableau3[[#This Row],[ID-VOIE]])*ROW(Tableau2[TS]))-ROW(Tableau2[#Headers])),"")</f>
        <v>ST</v>
      </c>
      <c r="AL1315" s="72" t="str">
        <f>Tableau3[[#This Row],[Ref-Carte2]]&amp;"/"&amp;Tableau3[[#This Row],[ID-VOIE]]</f>
        <v>DRA0815/1</v>
      </c>
      <c r="AM1315" s="73" t="str">
        <f>INDEX(Tableau2[Borne],MATCH(Tableau3[[#This Row],[ID-CARTEVOIE]],Tableau2[ID-CARTEVOIE],0))&amp;""</f>
        <v>1</v>
      </c>
      <c r="AN1315" s="74" t="str">
        <f>Tableau3[[#This Row],[ID-API]]&amp;Tableau3[[#This Row],[ID-RACK]]&amp;Tableau3[[#This Row],[ID-SLOT]]&amp;Tableau3[[#This Row],[BORNE]]</f>
        <v>9221</v>
      </c>
      <c r="AO1315" s="1"/>
    </row>
    <row r="1316" spans="1:41" ht="20.100000000000001" customHeight="1" thickTop="1" thickBot="1">
      <c r="A1316" s="68"/>
      <c r="B1316" s="69" t="str">
        <f>IFERROR(INDEX(Tableau4[Date],MATCH($A1316,Tableau4[EVO],0)),"")</f>
        <v/>
      </c>
      <c r="C1316" s="68" t="str">
        <f>IFERROR(INDEX(Tableau4[Designation],MATCH($A1316,Tableau4[EVO],0)),"")</f>
        <v/>
      </c>
      <c r="D1316" s="68"/>
      <c r="E1316" s="70">
        <v>362</v>
      </c>
      <c r="F1316" s="71">
        <v>99</v>
      </c>
      <c r="G1316" s="101" t="str">
        <f>INDEX(Tableau8[Att1],MATCH(Tableau3[[#This Row],[ID-INS]],Tableau8[ID],0))&amp;""</f>
        <v/>
      </c>
      <c r="H1316" s="101" t="str">
        <f>INDEX(Tableau8[Att2],MATCH(Tableau3[[#This Row],[ID-INS]],Tableau8[ID],0))&amp;""</f>
        <v>TEA83</v>
      </c>
      <c r="I1316" s="101" t="str">
        <f>INDEX(Tableau8[Att3],MATCH(Tableau3[[#This Row],[ID-INS]],Tableau8[ID],0))&amp;""</f>
        <v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v>
      </c>
      <c r="J1316" s="101"/>
      <c r="K1316" s="167" t="str">
        <f>INDEX(Tableau8[Nom du modele],MATCH(Tableau3[[#This Row],[ID-INS]],Tableau8[ID],0))&amp;""</f>
        <v>TEA</v>
      </c>
      <c r="L1316" s="99" t="str">
        <f>INDEX(Tableau5[Att1],MATCH(Tableau3[[#This Row],[ID-SIG]],Tableau5[ID],0))&amp;""</f>
        <v>Info</v>
      </c>
      <c r="M1316" s="99" t="str">
        <f>INDEX(Tableau5[Att2],MATCH(Tableau3[[#This Row],[ID-SIG]],Tableau5[ID],0))&amp;""</f>
        <v/>
      </c>
      <c r="N1316" s="99" t="str">
        <f>INDEX(Tableau5[Att3],MATCH(Tableau3[[#This Row],[ID-SIG]],Tableau5[ID],0))&amp;""</f>
        <v/>
      </c>
      <c r="O1316" s="99"/>
      <c r="P1316" s="141" t="str">
        <f>INDEX(Tableau5[Description],MATCH(Tableau3[[#This Row],[ID-SIG]],Tableau5[ID],0))</f>
        <v>Commande</v>
      </c>
      <c r="Q1316" s="99"/>
      <c r="R1316" s="103" t="str">
        <f>Tableau3[[#This Row],[Description]]</f>
        <v>Commande</v>
      </c>
      <c r="U1316" s="87">
        <v>9</v>
      </c>
      <c r="V1316" s="87">
        <v>2</v>
      </c>
      <c r="W1316" s="87">
        <v>2</v>
      </c>
      <c r="X1316" s="87">
        <v>2</v>
      </c>
      <c r="Y1316" s="41"/>
      <c r="Z1316" s="165" t="str">
        <f>INDEX(Tableau2[TS],MATCH(Tableau3[[#This Row],[ID-CARTEVOIE]],Tableau2[ID-CARTEVOIE],0))</f>
        <v>ST</v>
      </c>
      <c r="AA1316" s="53" t="s">
        <v>213</v>
      </c>
      <c r="AB1316" s="223" t="str">
        <f>IFERROR(INDEX(Tableau5[Reserve],MATCH(Tableau3[[#This Row],[ID-SIG]],Tableau5[ID],0))&amp;"","")</f>
        <v/>
      </c>
      <c r="AC1316" s="21"/>
      <c r="AD1316" s="108" t="str">
        <f>INDEX(Tableau7[Repere],MATCH(Tableau3[[#This Row],[ID-API]],Tableau7[ID-API],0))&amp;""</f>
        <v>A9</v>
      </c>
      <c r="AE1316" s="108" t="str">
        <f>INDEX(Tableau1[Repere-Rack],MATCH(Tableau3[[#This Row],[ID-RACK]],Tableau1[ID-RACK],0))&amp;""</f>
        <v>R2</v>
      </c>
      <c r="AF1316" s="108" t="str">
        <f>INDEX(Tableau1[Repere-Slot],MATCH(Tableau3[[#This Row],[ID-SLOT]],Tableau1[ID-SLOT],0))&amp;""</f>
        <v>S2</v>
      </c>
      <c r="AG1316" s="108" t="str">
        <f>INDEX(Tableau2[Repere-Voie],MATCH(Tableau3[[#This Row],[ID-VOIE]],Tableau2[ID-Voie],0))&amp;""</f>
        <v>v2</v>
      </c>
      <c r="AH1316" s="72" t="str">
        <f>Tableau3[[#This Row],[ID-API]]&amp; "." &amp;Tableau3[[#This Row],[ID-RACK]]&amp; "." &amp;Tableau3[[#This Row],[ID-SLOT]]</f>
        <v>9.2.2</v>
      </c>
      <c r="AI1316" s="72" t="str">
        <f>INDEX(Tableau1[Ref-Carte],MATCH(Tableau3[[#This Row],[ID-RRS]],Tableau1[ID-RRS],0))</f>
        <v>DRA0815</v>
      </c>
      <c r="AJ1316" s="72" t="str">
        <f t="array" ref="AJ1316">IFERROR(INDEX(Tableau2[TS],MATCH(1,(Tableau2[Ref-Carte]=Tableau3[[#This Row],[Ref-Carte2]])*(Tableau2[ID-Voie]=Tableau3[[#This Row],[ID-VOIE]]),0)),"")</f>
        <v>ST</v>
      </c>
      <c r="AK1316" s="72" t="str">
        <f>IFERROR(INDEX(Tableau2[TS],SUMPRODUCT((Tableau2[Ref-Carte]=Tableau3[[#This Row],[Ref-Carte2]])*(Tableau2[ID-Voie]=Tableau3[[#This Row],[ID-VOIE]])*ROW(Tableau2[TS]))-ROW(Tableau2[#Headers])),"")</f>
        <v>ST</v>
      </c>
      <c r="AL1316" s="72" t="str">
        <f>Tableau3[[#This Row],[Ref-Carte2]]&amp;"/"&amp;Tableau3[[#This Row],[ID-VOIE]]</f>
        <v>DRA0815/2</v>
      </c>
      <c r="AM1316" s="73" t="str">
        <f>INDEX(Tableau2[Borne],MATCH(Tableau3[[#This Row],[ID-CARTEVOIE]],Tableau2[ID-CARTEVOIE],0))&amp;""</f>
        <v>2</v>
      </c>
      <c r="AN1316" s="74" t="str">
        <f>Tableau3[[#This Row],[ID-API]]&amp;Tableau3[[#This Row],[ID-RACK]]&amp;Tableau3[[#This Row],[ID-SLOT]]&amp;Tableau3[[#This Row],[BORNE]]</f>
        <v>9222</v>
      </c>
      <c r="AO1316" s="1"/>
    </row>
    <row r="1317" spans="1:41" ht="20.100000000000001" customHeight="1" thickTop="1" thickBot="1">
      <c r="A1317" s="68"/>
      <c r="B1317" s="69" t="str">
        <f>IFERROR(INDEX(Tableau4[Date],MATCH($A1317,Tableau4[EVO],0)),"")</f>
        <v/>
      </c>
      <c r="C1317" s="68" t="str">
        <f>IFERROR(INDEX(Tableau4[Designation],MATCH($A1317,Tableau4[EVO],0)),"")</f>
        <v/>
      </c>
      <c r="D1317" s="68"/>
      <c r="E1317" s="70">
        <v>363</v>
      </c>
      <c r="F1317" s="71">
        <v>99</v>
      </c>
      <c r="G1317" s="101" t="str">
        <f>INDEX(Tableau8[Att1],MATCH(Tableau3[[#This Row],[ID-INS]],Tableau8[ID],0))&amp;""</f>
        <v/>
      </c>
      <c r="H1317" s="101" t="str">
        <f>INDEX(Tableau8[Att2],MATCH(Tableau3[[#This Row],[ID-INS]],Tableau8[ID],0))&amp;""</f>
        <v>TEA84</v>
      </c>
      <c r="I1317" s="101" t="str">
        <f>INDEX(Tableau8[Att3],MATCH(Tableau3[[#This Row],[ID-INS]],Tableau8[ID],0))&amp;""</f>
        <v>Synthèse Alarme ouverture Baies C/C local CFIS B21 ou Synthèse Alarme ouverture Baies informatiques local CFIS B21</v>
      </c>
      <c r="J1317" s="101"/>
      <c r="K1317" s="167" t="str">
        <f>INDEX(Tableau8[Nom du modele],MATCH(Tableau3[[#This Row],[ID-INS]],Tableau8[ID],0))&amp;""</f>
        <v>TEA</v>
      </c>
      <c r="L1317" s="99" t="str">
        <f>INDEX(Tableau5[Att1],MATCH(Tableau3[[#This Row],[ID-SIG]],Tableau5[ID],0))&amp;""</f>
        <v>Info</v>
      </c>
      <c r="M1317" s="99" t="str">
        <f>INDEX(Tableau5[Att2],MATCH(Tableau3[[#This Row],[ID-SIG]],Tableau5[ID],0))&amp;""</f>
        <v/>
      </c>
      <c r="N1317" s="99" t="str">
        <f>INDEX(Tableau5[Att3],MATCH(Tableau3[[#This Row],[ID-SIG]],Tableau5[ID],0))&amp;""</f>
        <v/>
      </c>
      <c r="O1317" s="99"/>
      <c r="P1317" s="141" t="str">
        <f>INDEX(Tableau5[Description],MATCH(Tableau3[[#This Row],[ID-SIG]],Tableau5[ID],0))</f>
        <v>Commande</v>
      </c>
      <c r="Q1317" s="99"/>
      <c r="R1317" s="103" t="str">
        <f>Tableau3[[#This Row],[Description]]</f>
        <v>Commande</v>
      </c>
      <c r="U1317" s="87">
        <v>9</v>
      </c>
      <c r="V1317" s="87">
        <v>2</v>
      </c>
      <c r="W1317" s="87">
        <v>2</v>
      </c>
      <c r="X1317" s="87">
        <v>3</v>
      </c>
      <c r="Y1317" s="41"/>
      <c r="Z1317" s="165" t="str">
        <f>INDEX(Tableau2[TS],MATCH(Tableau3[[#This Row],[ID-CARTEVOIE]],Tableau2[ID-CARTEVOIE],0))</f>
        <v>ST</v>
      </c>
      <c r="AA1317" s="53" t="s">
        <v>213</v>
      </c>
      <c r="AB1317" s="223" t="str">
        <f>IFERROR(INDEX(Tableau5[Reserve],MATCH(Tableau3[[#This Row],[ID-SIG]],Tableau5[ID],0))&amp;"","")</f>
        <v/>
      </c>
      <c r="AC1317" s="21"/>
      <c r="AD1317" s="108" t="str">
        <f>INDEX(Tableau7[Repere],MATCH(Tableau3[[#This Row],[ID-API]],Tableau7[ID-API],0))&amp;""</f>
        <v>A9</v>
      </c>
      <c r="AE1317" s="108" t="str">
        <f>INDEX(Tableau1[Repere-Rack],MATCH(Tableau3[[#This Row],[ID-RACK]],Tableau1[ID-RACK],0))&amp;""</f>
        <v>R2</v>
      </c>
      <c r="AF1317" s="108" t="str">
        <f>INDEX(Tableau1[Repere-Slot],MATCH(Tableau3[[#This Row],[ID-SLOT]],Tableau1[ID-SLOT],0))&amp;""</f>
        <v>S2</v>
      </c>
      <c r="AG1317" s="108" t="str">
        <f>INDEX(Tableau2[Repere-Voie],MATCH(Tableau3[[#This Row],[ID-VOIE]],Tableau2[ID-Voie],0))&amp;""</f>
        <v>v3</v>
      </c>
      <c r="AH1317" s="72" t="str">
        <f>Tableau3[[#This Row],[ID-API]]&amp; "." &amp;Tableau3[[#This Row],[ID-RACK]]&amp; "." &amp;Tableau3[[#This Row],[ID-SLOT]]</f>
        <v>9.2.2</v>
      </c>
      <c r="AI1317" s="72" t="str">
        <f>INDEX(Tableau1[Ref-Carte],MATCH(Tableau3[[#This Row],[ID-RRS]],Tableau1[ID-RRS],0))</f>
        <v>DRA0815</v>
      </c>
      <c r="AJ1317" s="72" t="str">
        <f t="array" ref="AJ1317">IFERROR(INDEX(Tableau2[TS],MATCH(1,(Tableau2[Ref-Carte]=Tableau3[[#This Row],[Ref-Carte2]])*(Tableau2[ID-Voie]=Tableau3[[#This Row],[ID-VOIE]]),0)),"")</f>
        <v>ST</v>
      </c>
      <c r="AK1317" s="72" t="str">
        <f>IFERROR(INDEX(Tableau2[TS],SUMPRODUCT((Tableau2[Ref-Carte]=Tableau3[[#This Row],[Ref-Carte2]])*(Tableau2[ID-Voie]=Tableau3[[#This Row],[ID-VOIE]])*ROW(Tableau2[TS]))-ROW(Tableau2[#Headers])),"")</f>
        <v>ST</v>
      </c>
      <c r="AL1317" s="72" t="str">
        <f>Tableau3[[#This Row],[Ref-Carte2]]&amp;"/"&amp;Tableau3[[#This Row],[ID-VOIE]]</f>
        <v>DRA0815/3</v>
      </c>
      <c r="AM1317" s="73" t="str">
        <f>INDEX(Tableau2[Borne],MATCH(Tableau3[[#This Row],[ID-CARTEVOIE]],Tableau2[ID-CARTEVOIE],0))&amp;""</f>
        <v>3</v>
      </c>
      <c r="AN1317" s="74" t="str">
        <f>Tableau3[[#This Row],[ID-API]]&amp;Tableau3[[#This Row],[ID-RACK]]&amp;Tableau3[[#This Row],[ID-SLOT]]&amp;Tableau3[[#This Row],[BORNE]]</f>
        <v>9223</v>
      </c>
      <c r="AO1317" s="1"/>
    </row>
    <row r="1318" spans="1:41" ht="20.100000000000001" customHeight="1" thickTop="1" thickBot="1">
      <c r="A1318" s="68"/>
      <c r="B1318" s="69" t="str">
        <f>IFERROR(INDEX(Tableau4[Date],MATCH($A1318,Tableau4[EVO],0)),"")</f>
        <v/>
      </c>
      <c r="C1318" s="68" t="str">
        <f>IFERROR(INDEX(Tableau4[Designation],MATCH($A1318,Tableau4[EVO],0)),"")</f>
        <v/>
      </c>
      <c r="D1318" s="68"/>
      <c r="E1318" s="70">
        <v>364</v>
      </c>
      <c r="F1318" s="71">
        <v>99</v>
      </c>
      <c r="G1318" s="101" t="str">
        <f>INDEX(Tableau8[Att1],MATCH(Tableau3[[#This Row],[ID-INS]],Tableau8[ID],0))&amp;""</f>
        <v/>
      </c>
      <c r="H1318" s="101" t="str">
        <f>INDEX(Tableau8[Att2],MATCH(Tableau3[[#This Row],[ID-INS]],Tableau8[ID],0))&amp;""</f>
        <v>TEA85</v>
      </c>
      <c r="I1318" s="101" t="str">
        <f>INDEX(Tableau8[Att3],MATCH(Tableau3[[#This Row],[ID-INS]],Tableau8[ID],0))&amp;""</f>
        <v>Synthèse Alarme ouverture répartireur TEA local CFIS B22 ou Synthèse Alarme ouverture Baies C/C local CFIS B22 ou Synthèse Alarme ouverture Baies informatiques local CFIS B22</v>
      </c>
      <c r="J1318" s="101"/>
      <c r="K1318" s="167" t="str">
        <f>INDEX(Tableau8[Nom du modele],MATCH(Tableau3[[#This Row],[ID-INS]],Tableau8[ID],0))&amp;""</f>
        <v>TEA</v>
      </c>
      <c r="L1318" s="99" t="str">
        <f>INDEX(Tableau5[Att1],MATCH(Tableau3[[#This Row],[ID-SIG]],Tableau5[ID],0))&amp;""</f>
        <v>Info</v>
      </c>
      <c r="M1318" s="99" t="str">
        <f>INDEX(Tableau5[Att2],MATCH(Tableau3[[#This Row],[ID-SIG]],Tableau5[ID],0))&amp;""</f>
        <v/>
      </c>
      <c r="N1318" s="99" t="str">
        <f>INDEX(Tableau5[Att3],MATCH(Tableau3[[#This Row],[ID-SIG]],Tableau5[ID],0))&amp;""</f>
        <v/>
      </c>
      <c r="O1318" s="99"/>
      <c r="P1318" s="141" t="str">
        <f>INDEX(Tableau5[Description],MATCH(Tableau3[[#This Row],[ID-SIG]],Tableau5[ID],0))</f>
        <v>Commande</v>
      </c>
      <c r="Q1318" s="99"/>
      <c r="R1318" s="103" t="str">
        <f>Tableau3[[#This Row],[Description]]</f>
        <v>Commande</v>
      </c>
      <c r="U1318" s="87">
        <v>9</v>
      </c>
      <c r="V1318" s="87">
        <v>2</v>
      </c>
      <c r="W1318" s="87">
        <v>2</v>
      </c>
      <c r="X1318" s="87">
        <v>4</v>
      </c>
      <c r="Y1318" s="41"/>
      <c r="Z1318" s="165" t="str">
        <f>INDEX(Tableau2[TS],MATCH(Tableau3[[#This Row],[ID-CARTEVOIE]],Tableau2[ID-CARTEVOIE],0))</f>
        <v>ST</v>
      </c>
      <c r="AA1318" s="53" t="s">
        <v>213</v>
      </c>
      <c r="AB1318" s="223" t="str">
        <f>IFERROR(INDEX(Tableau5[Reserve],MATCH(Tableau3[[#This Row],[ID-SIG]],Tableau5[ID],0))&amp;"","")</f>
        <v/>
      </c>
      <c r="AC1318" s="21"/>
      <c r="AD1318" s="108" t="str">
        <f>INDEX(Tableau7[Repere],MATCH(Tableau3[[#This Row],[ID-API]],Tableau7[ID-API],0))&amp;""</f>
        <v>A9</v>
      </c>
      <c r="AE1318" s="108" t="str">
        <f>INDEX(Tableau1[Repere-Rack],MATCH(Tableau3[[#This Row],[ID-RACK]],Tableau1[ID-RACK],0))&amp;""</f>
        <v>R2</v>
      </c>
      <c r="AF1318" s="108" t="str">
        <f>INDEX(Tableau1[Repere-Slot],MATCH(Tableau3[[#This Row],[ID-SLOT]],Tableau1[ID-SLOT],0))&amp;""</f>
        <v>S2</v>
      </c>
      <c r="AG1318" s="108" t="str">
        <f>INDEX(Tableau2[Repere-Voie],MATCH(Tableau3[[#This Row],[ID-VOIE]],Tableau2[ID-Voie],0))&amp;""</f>
        <v>v4</v>
      </c>
      <c r="AH1318" s="72" t="str">
        <f>Tableau3[[#This Row],[ID-API]]&amp; "." &amp;Tableau3[[#This Row],[ID-RACK]]&amp; "." &amp;Tableau3[[#This Row],[ID-SLOT]]</f>
        <v>9.2.2</v>
      </c>
      <c r="AI1318" s="72" t="str">
        <f>INDEX(Tableau1[Ref-Carte],MATCH(Tableau3[[#This Row],[ID-RRS]],Tableau1[ID-RRS],0))</f>
        <v>DRA0815</v>
      </c>
      <c r="AJ1318" s="72" t="str">
        <f t="array" ref="AJ1318">IFERROR(INDEX(Tableau2[TS],MATCH(1,(Tableau2[Ref-Carte]=Tableau3[[#This Row],[Ref-Carte2]])*(Tableau2[ID-Voie]=Tableau3[[#This Row],[ID-VOIE]]),0)),"")</f>
        <v>ST</v>
      </c>
      <c r="AK1318" s="72" t="str">
        <f>IFERROR(INDEX(Tableau2[TS],SUMPRODUCT((Tableau2[Ref-Carte]=Tableau3[[#This Row],[Ref-Carte2]])*(Tableau2[ID-Voie]=Tableau3[[#This Row],[ID-VOIE]])*ROW(Tableau2[TS]))-ROW(Tableau2[#Headers])),"")</f>
        <v>ST</v>
      </c>
      <c r="AL1318" s="72" t="str">
        <f>Tableau3[[#This Row],[Ref-Carte2]]&amp;"/"&amp;Tableau3[[#This Row],[ID-VOIE]]</f>
        <v>DRA0815/4</v>
      </c>
      <c r="AM1318" s="73" t="str">
        <f>INDEX(Tableau2[Borne],MATCH(Tableau3[[#This Row],[ID-CARTEVOIE]],Tableau2[ID-CARTEVOIE],0))&amp;""</f>
        <v>4</v>
      </c>
      <c r="AN1318" s="74" t="str">
        <f>Tableau3[[#This Row],[ID-API]]&amp;Tableau3[[#This Row],[ID-RACK]]&amp;Tableau3[[#This Row],[ID-SLOT]]&amp;Tableau3[[#This Row],[BORNE]]</f>
        <v>9224</v>
      </c>
      <c r="AO1318" s="1"/>
    </row>
    <row r="1319" spans="1:41" ht="20.100000000000001" customHeight="1" thickTop="1" thickBot="1">
      <c r="A1319" s="68"/>
      <c r="B1319" s="69" t="str">
        <f>IFERROR(INDEX(Tableau4[Date],MATCH($A1319,Tableau4[EVO],0)),"")</f>
        <v/>
      </c>
      <c r="C1319" s="68" t="str">
        <f>IFERROR(INDEX(Tableau4[Designation],MATCH($A1319,Tableau4[EVO],0)),"")</f>
        <v/>
      </c>
      <c r="D1319" s="68"/>
      <c r="E1319" s="70">
        <v>365</v>
      </c>
      <c r="F1319" s="71">
        <v>99</v>
      </c>
      <c r="G1319" s="101" t="str">
        <f>INDEX(Tableau8[Att1],MATCH(Tableau3[[#This Row],[ID-INS]],Tableau8[ID],0))&amp;""</f>
        <v/>
      </c>
      <c r="H1319" s="101" t="str">
        <f>INDEX(Tableau8[Att2],MATCH(Tableau3[[#This Row],[ID-INS]],Tableau8[ID],0))&amp;""</f>
        <v>TEA86</v>
      </c>
      <c r="I1319" s="101" t="str">
        <f>INDEX(Tableau8[Att3],MATCH(Tableau3[[#This Row],[ID-INS]],Tableau8[ID],0))&amp;""</f>
        <v xml:space="preserve">Synthèse Barrières rouges non fermées ou Barrières bleues non fermées  ou AVB non fermées </v>
      </c>
      <c r="J1319" s="101"/>
      <c r="K1319" s="167" t="str">
        <f>INDEX(Tableau8[Nom du modele],MATCH(Tableau3[[#This Row],[ID-INS]],Tableau8[ID],0))&amp;""</f>
        <v>TEA</v>
      </c>
      <c r="L1319" s="99" t="str">
        <f>INDEX(Tableau5[Att1],MATCH(Tableau3[[#This Row],[ID-SIG]],Tableau5[ID],0))&amp;""</f>
        <v>Info</v>
      </c>
      <c r="M1319" s="99" t="str">
        <f>INDEX(Tableau5[Att2],MATCH(Tableau3[[#This Row],[ID-SIG]],Tableau5[ID],0))&amp;""</f>
        <v/>
      </c>
      <c r="N1319" s="99" t="str">
        <f>INDEX(Tableau5[Att3],MATCH(Tableau3[[#This Row],[ID-SIG]],Tableau5[ID],0))&amp;""</f>
        <v/>
      </c>
      <c r="O1319" s="99"/>
      <c r="P1319" s="141" t="str">
        <f>INDEX(Tableau5[Description],MATCH(Tableau3[[#This Row],[ID-SIG]],Tableau5[ID],0))</f>
        <v>Commande</v>
      </c>
      <c r="Q1319" s="99"/>
      <c r="R1319" s="103" t="str">
        <f>Tableau3[[#This Row],[Description]]</f>
        <v>Commande</v>
      </c>
      <c r="U1319" s="87">
        <v>9</v>
      </c>
      <c r="V1319" s="87">
        <v>2</v>
      </c>
      <c r="W1319" s="87">
        <v>2</v>
      </c>
      <c r="X1319" s="87">
        <v>5</v>
      </c>
      <c r="Y1319" s="41"/>
      <c r="Z1319" s="165" t="str">
        <f>INDEX(Tableau2[TS],MATCH(Tableau3[[#This Row],[ID-CARTEVOIE]],Tableau2[ID-CARTEVOIE],0))</f>
        <v>ST</v>
      </c>
      <c r="AA1319" s="53" t="s">
        <v>213</v>
      </c>
      <c r="AB1319" s="223" t="str">
        <f>IFERROR(INDEX(Tableau5[Reserve],MATCH(Tableau3[[#This Row],[ID-SIG]],Tableau5[ID],0))&amp;"","")</f>
        <v/>
      </c>
      <c r="AC1319" s="21"/>
      <c r="AD1319" s="108" t="str">
        <f>INDEX(Tableau7[Repere],MATCH(Tableau3[[#This Row],[ID-API]],Tableau7[ID-API],0))&amp;""</f>
        <v>A9</v>
      </c>
      <c r="AE1319" s="108" t="str">
        <f>INDEX(Tableau1[Repere-Rack],MATCH(Tableau3[[#This Row],[ID-RACK]],Tableau1[ID-RACK],0))&amp;""</f>
        <v>R2</v>
      </c>
      <c r="AF1319" s="108" t="str">
        <f>INDEX(Tableau1[Repere-Slot],MATCH(Tableau3[[#This Row],[ID-SLOT]],Tableau1[ID-SLOT],0))&amp;""</f>
        <v>S2</v>
      </c>
      <c r="AG1319" s="108" t="str">
        <f>INDEX(Tableau2[Repere-Voie],MATCH(Tableau3[[#This Row],[ID-VOIE]],Tableau2[ID-Voie],0))&amp;""</f>
        <v>v5</v>
      </c>
      <c r="AH1319" s="72" t="str">
        <f>Tableau3[[#This Row],[ID-API]]&amp; "." &amp;Tableau3[[#This Row],[ID-RACK]]&amp; "." &amp;Tableau3[[#This Row],[ID-SLOT]]</f>
        <v>9.2.2</v>
      </c>
      <c r="AI1319" s="72" t="str">
        <f>INDEX(Tableau1[Ref-Carte],MATCH(Tableau3[[#This Row],[ID-RRS]],Tableau1[ID-RRS],0))</f>
        <v>DRA0815</v>
      </c>
      <c r="AJ1319" s="72" t="str">
        <f t="array" ref="AJ1319">IFERROR(INDEX(Tableau2[TS],MATCH(1,(Tableau2[Ref-Carte]=Tableau3[[#This Row],[Ref-Carte2]])*(Tableau2[ID-Voie]=Tableau3[[#This Row],[ID-VOIE]]),0)),"")</f>
        <v>ST</v>
      </c>
      <c r="AK1319" s="72" t="str">
        <f>IFERROR(INDEX(Tableau2[TS],SUMPRODUCT((Tableau2[Ref-Carte]=Tableau3[[#This Row],[Ref-Carte2]])*(Tableau2[ID-Voie]=Tableau3[[#This Row],[ID-VOIE]])*ROW(Tableau2[TS]))-ROW(Tableau2[#Headers])),"")</f>
        <v>ST</v>
      </c>
      <c r="AL1319" s="72" t="str">
        <f>Tableau3[[#This Row],[Ref-Carte2]]&amp;"/"&amp;Tableau3[[#This Row],[ID-VOIE]]</f>
        <v>DRA0815/5</v>
      </c>
      <c r="AM1319" s="73" t="str">
        <f>INDEX(Tableau2[Borne],MATCH(Tableau3[[#This Row],[ID-CARTEVOIE]],Tableau2[ID-CARTEVOIE],0))&amp;""</f>
        <v>5</v>
      </c>
      <c r="AN1319" s="74" t="str">
        <f>Tableau3[[#This Row],[ID-API]]&amp;Tableau3[[#This Row],[ID-RACK]]&amp;Tableau3[[#This Row],[ID-SLOT]]&amp;Tableau3[[#This Row],[BORNE]]</f>
        <v>9225</v>
      </c>
      <c r="AO1319" s="1"/>
    </row>
    <row r="1320" spans="1:41" ht="20.100000000000001" customHeight="1" thickTop="1" thickBot="1">
      <c r="A1320" s="68"/>
      <c r="B1320" s="69" t="str">
        <f>IFERROR(INDEX(Tableau4[Date],MATCH($A1320,Tableau4[EVO],0)),"")</f>
        <v/>
      </c>
      <c r="C1320" s="68" t="str">
        <f>IFERROR(INDEX(Tableau4[Designation],MATCH($A1320,Tableau4[EVO],0)),"")</f>
        <v/>
      </c>
      <c r="D1320" s="68"/>
      <c r="E1320" s="70">
        <v>366</v>
      </c>
      <c r="F1320" s="71">
        <v>99</v>
      </c>
      <c r="G1320" s="101" t="str">
        <f>INDEX(Tableau8[Att1],MATCH(Tableau3[[#This Row],[ID-INS]],Tableau8[ID],0))&amp;""</f>
        <v/>
      </c>
      <c r="H1320" s="101" t="str">
        <f>INDEX(Tableau8[Att2],MATCH(Tableau3[[#This Row],[ID-INS]],Tableau8[ID],0))&amp;""</f>
        <v>TEA87</v>
      </c>
      <c r="I1320" s="101" t="str">
        <f>INDEX(Tableau8[Att3],MATCH(Tableau3[[#This Row],[ID-INS]],Tableau8[ID],0))&amp;""</f>
        <v xml:space="preserve">Synthèse Ouverture coffret barrières rouges </v>
      </c>
      <c r="J1320" s="101"/>
      <c r="K1320" s="167" t="str">
        <f>INDEX(Tableau8[Nom du modele],MATCH(Tableau3[[#This Row],[ID-INS]],Tableau8[ID],0))&amp;""</f>
        <v>TEA</v>
      </c>
      <c r="L1320" s="99" t="str">
        <f>INDEX(Tableau5[Att1],MATCH(Tableau3[[#This Row],[ID-SIG]],Tableau5[ID],0))&amp;""</f>
        <v>Info</v>
      </c>
      <c r="M1320" s="99" t="str">
        <f>INDEX(Tableau5[Att2],MATCH(Tableau3[[#This Row],[ID-SIG]],Tableau5[ID],0))&amp;""</f>
        <v/>
      </c>
      <c r="N1320" s="99" t="str">
        <f>INDEX(Tableau5[Att3],MATCH(Tableau3[[#This Row],[ID-SIG]],Tableau5[ID],0))&amp;""</f>
        <v/>
      </c>
      <c r="O1320" s="99"/>
      <c r="P1320" s="141" t="str">
        <f>INDEX(Tableau5[Description],MATCH(Tableau3[[#This Row],[ID-SIG]],Tableau5[ID],0))</f>
        <v>Commande</v>
      </c>
      <c r="Q1320" s="99"/>
      <c r="R1320" s="103" t="str">
        <f>Tableau3[[#This Row],[Description]]</f>
        <v>Commande</v>
      </c>
      <c r="U1320" s="87">
        <v>9</v>
      </c>
      <c r="V1320" s="87">
        <v>2</v>
      </c>
      <c r="W1320" s="87">
        <v>2</v>
      </c>
      <c r="X1320" s="87">
        <v>6</v>
      </c>
      <c r="Y1320" s="41"/>
      <c r="Z1320" s="165" t="str">
        <f>INDEX(Tableau2[TS],MATCH(Tableau3[[#This Row],[ID-CARTEVOIE]],Tableau2[ID-CARTEVOIE],0))</f>
        <v>ST</v>
      </c>
      <c r="AA1320" s="53" t="s">
        <v>213</v>
      </c>
      <c r="AB1320" s="223" t="str">
        <f>IFERROR(INDEX(Tableau5[Reserve],MATCH(Tableau3[[#This Row],[ID-SIG]],Tableau5[ID],0))&amp;"","")</f>
        <v/>
      </c>
      <c r="AC1320" s="21"/>
      <c r="AD1320" s="108" t="str">
        <f>INDEX(Tableau7[Repere],MATCH(Tableau3[[#This Row],[ID-API]],Tableau7[ID-API],0))&amp;""</f>
        <v>A9</v>
      </c>
      <c r="AE1320" s="108" t="str">
        <f>INDEX(Tableau1[Repere-Rack],MATCH(Tableau3[[#This Row],[ID-RACK]],Tableau1[ID-RACK],0))&amp;""</f>
        <v>R2</v>
      </c>
      <c r="AF1320" s="108" t="str">
        <f>INDEX(Tableau1[Repere-Slot],MATCH(Tableau3[[#This Row],[ID-SLOT]],Tableau1[ID-SLOT],0))&amp;""</f>
        <v>S2</v>
      </c>
      <c r="AG1320" s="108" t="str">
        <f>INDEX(Tableau2[Repere-Voie],MATCH(Tableau3[[#This Row],[ID-VOIE]],Tableau2[ID-Voie],0))&amp;""</f>
        <v>v6</v>
      </c>
      <c r="AH1320" s="72" t="str">
        <f>Tableau3[[#This Row],[ID-API]]&amp; "." &amp;Tableau3[[#This Row],[ID-RACK]]&amp; "." &amp;Tableau3[[#This Row],[ID-SLOT]]</f>
        <v>9.2.2</v>
      </c>
      <c r="AI1320" s="72" t="str">
        <f>INDEX(Tableau1[Ref-Carte],MATCH(Tableau3[[#This Row],[ID-RRS]],Tableau1[ID-RRS],0))</f>
        <v>DRA0815</v>
      </c>
      <c r="AJ1320" s="72" t="str">
        <f t="array" ref="AJ1320">IFERROR(INDEX(Tableau2[TS],MATCH(1,(Tableau2[Ref-Carte]=Tableau3[[#This Row],[Ref-Carte2]])*(Tableau2[ID-Voie]=Tableau3[[#This Row],[ID-VOIE]]),0)),"")</f>
        <v>ST</v>
      </c>
      <c r="AK1320" s="72" t="str">
        <f>IFERROR(INDEX(Tableau2[TS],SUMPRODUCT((Tableau2[Ref-Carte]=Tableau3[[#This Row],[Ref-Carte2]])*(Tableau2[ID-Voie]=Tableau3[[#This Row],[ID-VOIE]])*ROW(Tableau2[TS]))-ROW(Tableau2[#Headers])),"")</f>
        <v>ST</v>
      </c>
      <c r="AL1320" s="72" t="str">
        <f>Tableau3[[#This Row],[Ref-Carte2]]&amp;"/"&amp;Tableau3[[#This Row],[ID-VOIE]]</f>
        <v>DRA0815/6</v>
      </c>
      <c r="AM1320" s="73" t="str">
        <f>INDEX(Tableau2[Borne],MATCH(Tableau3[[#This Row],[ID-CARTEVOIE]],Tableau2[ID-CARTEVOIE],0))&amp;""</f>
        <v>6</v>
      </c>
      <c r="AN1320" s="74" t="str">
        <f>Tableau3[[#This Row],[ID-API]]&amp;Tableau3[[#This Row],[ID-RACK]]&amp;Tableau3[[#This Row],[ID-SLOT]]&amp;Tableau3[[#This Row],[BORNE]]</f>
        <v>9226</v>
      </c>
      <c r="AO1320" s="1"/>
    </row>
    <row r="1321" spans="1:41" ht="20.100000000000001" customHeight="1" thickTop="1" thickBot="1">
      <c r="A1321" s="68"/>
      <c r="B1321" s="69" t="str">
        <f>IFERROR(INDEX(Tableau4[Date],MATCH($A1321,Tableau4[EVO],0)),"")</f>
        <v/>
      </c>
      <c r="C1321" s="68" t="str">
        <f>IFERROR(INDEX(Tableau4[Designation],MATCH($A1321,Tableau4[EVO],0)),"")</f>
        <v/>
      </c>
      <c r="D1321" s="68"/>
      <c r="E1321" s="70">
        <v>367</v>
      </c>
      <c r="F1321" s="71">
        <v>99</v>
      </c>
      <c r="G1321" s="101" t="str">
        <f>INDEX(Tableau8[Att1],MATCH(Tableau3[[#This Row],[ID-INS]],Tableau8[ID],0))&amp;""</f>
        <v/>
      </c>
      <c r="H1321" s="101" t="str">
        <f>INDEX(Tableau8[Att2],MATCH(Tableau3[[#This Row],[ID-INS]],Tableau8[ID],0))&amp;""</f>
        <v>TEA88</v>
      </c>
      <c r="I1321" s="101" t="str">
        <f>INDEX(Tableau8[Att3],MATCH(Tableau3[[#This Row],[ID-INS]],Tableau8[ID],0))&amp;""</f>
        <v>Synthèse Ouverture coffret barrières bleues ou Ouverture coffret AVB1/AVB2</v>
      </c>
      <c r="J1321" s="101"/>
      <c r="K1321" s="167" t="str">
        <f>INDEX(Tableau8[Nom du modele],MATCH(Tableau3[[#This Row],[ID-INS]],Tableau8[ID],0))&amp;""</f>
        <v>TEA</v>
      </c>
      <c r="L1321" s="99" t="str">
        <f>INDEX(Tableau5[Att1],MATCH(Tableau3[[#This Row],[ID-SIG]],Tableau5[ID],0))&amp;""</f>
        <v>Info</v>
      </c>
      <c r="M1321" s="99" t="str">
        <f>INDEX(Tableau5[Att2],MATCH(Tableau3[[#This Row],[ID-SIG]],Tableau5[ID],0))&amp;""</f>
        <v/>
      </c>
      <c r="N1321" s="99" t="str">
        <f>INDEX(Tableau5[Att3],MATCH(Tableau3[[#This Row],[ID-SIG]],Tableau5[ID],0))&amp;""</f>
        <v/>
      </c>
      <c r="O1321" s="99"/>
      <c r="P1321" s="99" t="str">
        <f>INDEX(Tableau5[Description],MATCH(Tableau3[[#This Row],[ID-SIG]],Tableau5[ID],0))</f>
        <v>Commande</v>
      </c>
      <c r="Q1321" s="99"/>
      <c r="R1321" s="103" t="str">
        <f>Tableau3[[#This Row],[Description]]</f>
        <v>Commande</v>
      </c>
      <c r="U1321" s="87">
        <v>9</v>
      </c>
      <c r="V1321" s="87">
        <v>2</v>
      </c>
      <c r="W1321" s="87">
        <v>2</v>
      </c>
      <c r="X1321" s="87">
        <v>7</v>
      </c>
      <c r="Y1321" s="41"/>
      <c r="Z1321" s="165" t="str">
        <f>INDEX(Tableau2[TS],MATCH(Tableau3[[#This Row],[ID-CARTEVOIE]],Tableau2[ID-CARTEVOIE],0))</f>
        <v>ST</v>
      </c>
      <c r="AA1321" s="53" t="s">
        <v>213</v>
      </c>
      <c r="AB1321" s="223" t="str">
        <f>IFERROR(INDEX(Tableau5[Reserve],MATCH(Tableau3[[#This Row],[ID-SIG]],Tableau5[ID],0))&amp;"","")</f>
        <v/>
      </c>
      <c r="AC1321" s="21"/>
      <c r="AD1321" s="108" t="str">
        <f>INDEX(Tableau7[Repere],MATCH(Tableau3[[#This Row],[ID-API]],Tableau7[ID-API],0))&amp;""</f>
        <v>A9</v>
      </c>
      <c r="AE1321" s="108" t="str">
        <f>INDEX(Tableau1[Repere-Rack],MATCH(Tableau3[[#This Row],[ID-RACK]],Tableau1[ID-RACK],0))&amp;""</f>
        <v>R2</v>
      </c>
      <c r="AF1321" s="108" t="str">
        <f>INDEX(Tableau1[Repere-Slot],MATCH(Tableau3[[#This Row],[ID-SLOT]],Tableau1[ID-SLOT],0))&amp;""</f>
        <v>S2</v>
      </c>
      <c r="AG1321" s="108" t="str">
        <f>INDEX(Tableau2[Repere-Voie],MATCH(Tableau3[[#This Row],[ID-VOIE]],Tableau2[ID-Voie],0))&amp;""</f>
        <v>v7</v>
      </c>
      <c r="AH1321" s="72" t="str">
        <f>Tableau3[[#This Row],[ID-API]]&amp; "." &amp;Tableau3[[#This Row],[ID-RACK]]&amp; "." &amp;Tableau3[[#This Row],[ID-SLOT]]</f>
        <v>9.2.2</v>
      </c>
      <c r="AI1321" s="72" t="str">
        <f>INDEX(Tableau1[Ref-Carte],MATCH(Tableau3[[#This Row],[ID-RRS]],Tableau1[ID-RRS],0))</f>
        <v>DRA0815</v>
      </c>
      <c r="AJ1321" s="72" t="str">
        <f t="array" ref="AJ1321">IFERROR(INDEX(Tableau2[TS],MATCH(1,(Tableau2[Ref-Carte]=Tableau3[[#This Row],[Ref-Carte2]])*(Tableau2[ID-Voie]=Tableau3[[#This Row],[ID-VOIE]]),0)),"")</f>
        <v>ST</v>
      </c>
      <c r="AK1321" s="72" t="str">
        <f>IFERROR(INDEX(Tableau2[TS],SUMPRODUCT((Tableau2[Ref-Carte]=Tableau3[[#This Row],[Ref-Carte2]])*(Tableau2[ID-Voie]=Tableau3[[#This Row],[ID-VOIE]])*ROW(Tableau2[TS]))-ROW(Tableau2[#Headers])),"")</f>
        <v>ST</v>
      </c>
      <c r="AL1321" s="72" t="str">
        <f>Tableau3[[#This Row],[Ref-Carte2]]&amp;"/"&amp;Tableau3[[#This Row],[ID-VOIE]]</f>
        <v>DRA0815/7</v>
      </c>
      <c r="AM1321" s="73" t="str">
        <f>INDEX(Tableau2[Borne],MATCH(Tableau3[[#This Row],[ID-CARTEVOIE]],Tableau2[ID-CARTEVOIE],0))&amp;""</f>
        <v>7</v>
      </c>
      <c r="AN1321" s="74" t="str">
        <f>Tableau3[[#This Row],[ID-API]]&amp;Tableau3[[#This Row],[ID-RACK]]&amp;Tableau3[[#This Row],[ID-SLOT]]&amp;Tableau3[[#This Row],[BORNE]]</f>
        <v>9227</v>
      </c>
      <c r="AO1321" s="1"/>
    </row>
    <row r="1322" spans="1:41" ht="20.100000000000001" customHeight="1" thickTop="1" thickBot="1">
      <c r="A1322" s="68"/>
      <c r="B1322" s="69" t="str">
        <f>IFERROR(INDEX(Tableau4[Date],MATCH($A1322,Tableau4[EVO],0)),"")</f>
        <v/>
      </c>
      <c r="C1322" s="68" t="str">
        <f>IFERROR(INDEX(Tableau4[Designation],MATCH($A1322,Tableau4[EVO],0)),"")</f>
        <v/>
      </c>
      <c r="D1322" s="68"/>
      <c r="E1322" s="70">
        <v>368</v>
      </c>
      <c r="F1322" s="71">
        <v>99</v>
      </c>
      <c r="G1322" s="101" t="str">
        <f>INDEX(Tableau8[Att1],MATCH(Tableau3[[#This Row],[ID-INS]],Tableau8[ID],0))&amp;""</f>
        <v/>
      </c>
      <c r="H1322" s="101" t="str">
        <f>INDEX(Tableau8[Att2],MATCH(Tableau3[[#This Row],[ID-INS]],Tableau8[ID],0))&amp;""</f>
        <v>TEA89</v>
      </c>
      <c r="I1322" s="101" t="str">
        <f>INDEX(Tableau8[Att3],MATCH(Tableau3[[#This Row],[ID-INS]],Tableau8[ID],0))&amp;""</f>
        <v>Synthèse Défaut Ondulé B22 ou Défaut ondulé B21 ou Défaut alimentation B22 ou Défaut alimentation B21 ou Défaut ondulé CADAM/RDO B21 ou Défaut ondulé CADAM/RDO B22</v>
      </c>
      <c r="J1322" s="101"/>
      <c r="K1322" s="167" t="str">
        <f>INDEX(Tableau8[Nom du modele],MATCH(Tableau3[[#This Row],[ID-INS]],Tableau8[ID],0))&amp;""</f>
        <v>TEA</v>
      </c>
      <c r="L1322" s="99" t="str">
        <f>INDEX(Tableau5[Att1],MATCH(Tableau3[[#This Row],[ID-SIG]],Tableau5[ID],0))&amp;""</f>
        <v>Info</v>
      </c>
      <c r="M1322" s="99" t="str">
        <f>INDEX(Tableau5[Att2],MATCH(Tableau3[[#This Row],[ID-SIG]],Tableau5[ID],0))&amp;""</f>
        <v/>
      </c>
      <c r="N1322" s="99" t="str">
        <f>INDEX(Tableau5[Att3],MATCH(Tableau3[[#This Row],[ID-SIG]],Tableau5[ID],0))&amp;""</f>
        <v/>
      </c>
      <c r="O1322" s="99"/>
      <c r="P1322" s="99" t="str">
        <f>INDEX(Tableau5[Description],MATCH(Tableau3[[#This Row],[ID-SIG]],Tableau5[ID],0))</f>
        <v>Commande</v>
      </c>
      <c r="Q1322" s="99"/>
      <c r="R1322" s="103" t="str">
        <f>Tableau3[[#This Row],[Description]]</f>
        <v>Commande</v>
      </c>
      <c r="U1322" s="87">
        <v>9</v>
      </c>
      <c r="V1322" s="87">
        <v>2</v>
      </c>
      <c r="W1322" s="87">
        <v>3</v>
      </c>
      <c r="X1322" s="87">
        <v>0</v>
      </c>
      <c r="Y1322" s="41"/>
      <c r="Z1322" s="165" t="str">
        <f>INDEX(Tableau2[TS],MATCH(Tableau3[[#This Row],[ID-CARTEVOIE]],Tableau2[ID-CARTEVOIE],0))</f>
        <v>ST</v>
      </c>
      <c r="AA1322" s="53" t="s">
        <v>213</v>
      </c>
      <c r="AB1322" s="223" t="str">
        <f>IFERROR(INDEX(Tableau5[Reserve],MATCH(Tableau3[[#This Row],[ID-SIG]],Tableau5[ID],0))&amp;"","")</f>
        <v/>
      </c>
      <c r="AC1322" s="21"/>
      <c r="AD1322" s="108" t="str">
        <f>INDEX(Tableau7[Repere],MATCH(Tableau3[[#This Row],[ID-API]],Tableau7[ID-API],0))&amp;""</f>
        <v>A9</v>
      </c>
      <c r="AE1322" s="108" t="str">
        <f>INDEX(Tableau1[Repere-Rack],MATCH(Tableau3[[#This Row],[ID-RACK]],Tableau1[ID-RACK],0))&amp;""</f>
        <v>R2</v>
      </c>
      <c r="AF1322" s="108" t="str">
        <f>INDEX(Tableau1[Repere-Slot],MATCH(Tableau3[[#This Row],[ID-SLOT]],Tableau1[ID-SLOT],0))&amp;""</f>
        <v>S3</v>
      </c>
      <c r="AG1322" s="108" t="str">
        <f>INDEX(Tableau2[Repere-Voie],MATCH(Tableau3[[#This Row],[ID-VOIE]],Tableau2[ID-Voie],0))&amp;""</f>
        <v>v0</v>
      </c>
      <c r="AH1322" s="72" t="str">
        <f>Tableau3[[#This Row],[ID-API]]&amp; "." &amp;Tableau3[[#This Row],[ID-RACK]]&amp; "." &amp;Tableau3[[#This Row],[ID-SLOT]]</f>
        <v>9.2.3</v>
      </c>
      <c r="AI1322" s="72" t="str">
        <f>INDEX(Tableau1[Ref-Carte],MATCH(Tableau3[[#This Row],[ID-RRS]],Tableau1[ID-RRS],0))</f>
        <v>DRA0815</v>
      </c>
      <c r="AJ1322" s="72" t="str">
        <f t="array" ref="AJ1322">IFERROR(INDEX(Tableau2[TS],MATCH(1,(Tableau2[Ref-Carte]=Tableau3[[#This Row],[Ref-Carte2]])*(Tableau2[ID-Voie]=Tableau3[[#This Row],[ID-VOIE]]),0)),"")</f>
        <v>ST</v>
      </c>
      <c r="AK1322" s="72" t="str">
        <f>IFERROR(INDEX(Tableau2[TS],SUMPRODUCT((Tableau2[Ref-Carte]=Tableau3[[#This Row],[Ref-Carte2]])*(Tableau2[ID-Voie]=Tableau3[[#This Row],[ID-VOIE]])*ROW(Tableau2[TS]))-ROW(Tableau2[#Headers])),"")</f>
        <v>ST</v>
      </c>
      <c r="AL1322" s="72" t="str">
        <f>Tableau3[[#This Row],[Ref-Carte2]]&amp;"/"&amp;Tableau3[[#This Row],[ID-VOIE]]</f>
        <v>DRA0815/0</v>
      </c>
      <c r="AM1322" s="73" t="str">
        <f>INDEX(Tableau2[Borne],MATCH(Tableau3[[#This Row],[ID-CARTEVOIE]],Tableau2[ID-CARTEVOIE],0))&amp;""</f>
        <v>0</v>
      </c>
      <c r="AN1322" s="74" t="str">
        <f>Tableau3[[#This Row],[ID-API]]&amp;Tableau3[[#This Row],[ID-RACK]]&amp;Tableau3[[#This Row],[ID-SLOT]]&amp;Tableau3[[#This Row],[BORNE]]</f>
        <v>9230</v>
      </c>
      <c r="AO1322" s="1"/>
    </row>
    <row r="1323" spans="1:41" ht="20.100000000000001" customHeight="1" thickTop="1" thickBot="1">
      <c r="A1323" s="68"/>
      <c r="B1323" s="69" t="str">
        <f>IFERROR(INDEX(Tableau4[Date],MATCH($A1323,Tableau4[EVO],0)),"")</f>
        <v/>
      </c>
      <c r="C1323" s="68" t="str">
        <f>IFERROR(INDEX(Tableau4[Designation],MATCH($A1323,Tableau4[EVO],0)),"")</f>
        <v/>
      </c>
      <c r="D1323" s="68"/>
      <c r="E1323" s="70">
        <v>369</v>
      </c>
      <c r="F1323" s="71">
        <v>99</v>
      </c>
      <c r="G1323" s="101" t="str">
        <f>INDEX(Tableau8[Att1],MATCH(Tableau3[[#This Row],[ID-INS]],Tableau8[ID],0))&amp;""</f>
        <v/>
      </c>
      <c r="H1323" s="101" t="str">
        <f>INDEX(Tableau8[Att2],MATCH(Tableau3[[#This Row],[ID-INS]],Tableau8[ID],0))&amp;""</f>
        <v>TEA90</v>
      </c>
      <c r="I1323" s="101" t="str">
        <f>INDEX(Tableau8[Att3],MATCH(Tableau3[[#This Row],[ID-INS]],Tableau8[ID],0))&amp;""</f>
        <v>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v>
      </c>
      <c r="J1323" s="101"/>
      <c r="K1323" s="167" t="str">
        <f>INDEX(Tableau8[Nom du modele],MATCH(Tableau3[[#This Row],[ID-INS]],Tableau8[ID],0))&amp;""</f>
        <v>TEA</v>
      </c>
      <c r="L1323" s="99" t="str">
        <f>INDEX(Tableau5[Att1],MATCH(Tableau3[[#This Row],[ID-SIG]],Tableau5[ID],0))&amp;""</f>
        <v>Info</v>
      </c>
      <c r="M1323" s="99" t="str">
        <f>INDEX(Tableau5[Att2],MATCH(Tableau3[[#This Row],[ID-SIG]],Tableau5[ID],0))&amp;""</f>
        <v/>
      </c>
      <c r="N1323" s="99" t="str">
        <f>INDEX(Tableau5[Att3],MATCH(Tableau3[[#This Row],[ID-SIG]],Tableau5[ID],0))&amp;""</f>
        <v/>
      </c>
      <c r="O1323" s="99"/>
      <c r="P1323" s="99" t="str">
        <f>INDEX(Tableau5[Description],MATCH(Tableau3[[#This Row],[ID-SIG]],Tableau5[ID],0))</f>
        <v>Commande</v>
      </c>
      <c r="Q1323" s="99"/>
      <c r="R1323" s="103" t="str">
        <f>Tableau3[[#This Row],[Description]]</f>
        <v>Commande</v>
      </c>
      <c r="U1323" s="87">
        <v>9</v>
      </c>
      <c r="V1323" s="87">
        <v>2</v>
      </c>
      <c r="W1323" s="87">
        <v>3</v>
      </c>
      <c r="X1323" s="87">
        <v>1</v>
      </c>
      <c r="Y1323" s="41"/>
      <c r="Z1323" s="165" t="str">
        <f>INDEX(Tableau2[TS],MATCH(Tableau3[[#This Row],[ID-CARTEVOIE]],Tableau2[ID-CARTEVOIE],0))</f>
        <v>ST</v>
      </c>
      <c r="AA1323" s="53" t="s">
        <v>213</v>
      </c>
      <c r="AB1323" s="223" t="str">
        <f>IFERROR(INDEX(Tableau5[Reserve],MATCH(Tableau3[[#This Row],[ID-SIG]],Tableau5[ID],0))&amp;"","")</f>
        <v/>
      </c>
      <c r="AC1323" s="21"/>
      <c r="AD1323" s="108" t="str">
        <f>INDEX(Tableau7[Repere],MATCH(Tableau3[[#This Row],[ID-API]],Tableau7[ID-API],0))&amp;""</f>
        <v>A9</v>
      </c>
      <c r="AE1323" s="108" t="str">
        <f>INDEX(Tableau1[Repere-Rack],MATCH(Tableau3[[#This Row],[ID-RACK]],Tableau1[ID-RACK],0))&amp;""</f>
        <v>R2</v>
      </c>
      <c r="AF1323" s="108" t="str">
        <f>INDEX(Tableau1[Repere-Slot],MATCH(Tableau3[[#This Row],[ID-SLOT]],Tableau1[ID-SLOT],0))&amp;""</f>
        <v>S3</v>
      </c>
      <c r="AG1323" s="108" t="str">
        <f>INDEX(Tableau2[Repere-Voie],MATCH(Tableau3[[#This Row],[ID-VOIE]],Tableau2[ID-Voie],0))&amp;""</f>
        <v>v1</v>
      </c>
      <c r="AH1323" s="72" t="str">
        <f>Tableau3[[#This Row],[ID-API]]&amp; "." &amp;Tableau3[[#This Row],[ID-RACK]]&amp; "." &amp;Tableau3[[#This Row],[ID-SLOT]]</f>
        <v>9.2.3</v>
      </c>
      <c r="AI1323" s="72" t="str">
        <f>INDEX(Tableau1[Ref-Carte],MATCH(Tableau3[[#This Row],[ID-RRS]],Tableau1[ID-RRS],0))</f>
        <v>DRA0815</v>
      </c>
      <c r="AJ1323" s="72" t="str">
        <f t="array" ref="AJ1323">IFERROR(INDEX(Tableau2[TS],MATCH(1,(Tableau2[Ref-Carte]=Tableau3[[#This Row],[Ref-Carte2]])*(Tableau2[ID-Voie]=Tableau3[[#This Row],[ID-VOIE]]),0)),"")</f>
        <v>ST</v>
      </c>
      <c r="AK1323" s="72" t="str">
        <f>IFERROR(INDEX(Tableau2[TS],SUMPRODUCT((Tableau2[Ref-Carte]=Tableau3[[#This Row],[Ref-Carte2]])*(Tableau2[ID-Voie]=Tableau3[[#This Row],[ID-VOIE]])*ROW(Tableau2[TS]))-ROW(Tableau2[#Headers])),"")</f>
        <v>ST</v>
      </c>
      <c r="AL1323" s="72" t="str">
        <f>Tableau3[[#This Row],[Ref-Carte2]]&amp;"/"&amp;Tableau3[[#This Row],[ID-VOIE]]</f>
        <v>DRA0815/1</v>
      </c>
      <c r="AM1323" s="73" t="str">
        <f>INDEX(Tableau2[Borne],MATCH(Tableau3[[#This Row],[ID-CARTEVOIE]],Tableau2[ID-CARTEVOIE],0))&amp;""</f>
        <v>1</v>
      </c>
      <c r="AN1323" s="74" t="str">
        <f>Tableau3[[#This Row],[ID-API]]&amp;Tableau3[[#This Row],[ID-RACK]]&amp;Tableau3[[#This Row],[ID-SLOT]]&amp;Tableau3[[#This Row],[BORNE]]</f>
        <v>9231</v>
      </c>
      <c r="AO1323" s="1"/>
    </row>
    <row r="1324" spans="1:41" ht="20.100000000000001" customHeight="1" thickTop="1" thickBot="1">
      <c r="A1324" s="110"/>
      <c r="B1324" s="111" t="str">
        <f>IFERROR(INDEX(Tableau4[Date],MATCH($A1324,Tableau4[EVO],0)),"")</f>
        <v/>
      </c>
      <c r="C1324" s="112" t="str">
        <f>IFERROR(INDEX(Tableau4[Designation],MATCH($A1324,Tableau4[EVO],0)),"")</f>
        <v/>
      </c>
      <c r="D1324" s="110"/>
      <c r="E1324" s="113"/>
      <c r="F1324" s="146"/>
      <c r="G1324" s="147" t="e">
        <f>INDEX(Tableau8[Att1],MATCH(Tableau3[[#This Row],[ID-INS]],Tableau8[ID],0))&amp;""</f>
        <v>#N/A</v>
      </c>
      <c r="H1324" s="147" t="s">
        <v>1786</v>
      </c>
      <c r="I1324" s="147" t="e">
        <f>INDEX(Tableau8[Att3],MATCH(Tableau3[[#This Row],[ID-INS]],Tableau8[ID],0))&amp;""</f>
        <v>#N/A</v>
      </c>
      <c r="J1324" s="148"/>
      <c r="K1324" s="167" t="e">
        <f>INDEX(Tableau8[Nom du modele],MATCH(Tableau3[[#This Row],[ID-INS]],Tableau8[ID],0))&amp;""</f>
        <v>#N/A</v>
      </c>
      <c r="L1324" s="149" t="s">
        <v>261</v>
      </c>
      <c r="M1324" s="149" t="e">
        <f>INDEX(Tableau5[Att2],MATCH(Tableau3[[#This Row],[ID-SIG]],Tableau5[ID],0))&amp;""</f>
        <v>#N/A</v>
      </c>
      <c r="N1324" s="149" t="e">
        <f>INDEX(Tableau5[Att3],MATCH(Tableau3[[#This Row],[ID-SIG]],Tableau5[ID],0))&amp;""</f>
        <v>#N/A</v>
      </c>
      <c r="O1324" s="150"/>
      <c r="P1324" s="149" t="s">
        <v>1787</v>
      </c>
      <c r="Q1324" s="150"/>
      <c r="R1324" s="117" t="str">
        <f>Tableau3[[#This Row],[Description]]</f>
        <v>Voie sortie VL/PL V5 ouverte</v>
      </c>
      <c r="S1324" s="75"/>
      <c r="T1324" s="75"/>
      <c r="U1324" s="151">
        <v>9</v>
      </c>
      <c r="V1324" s="151">
        <v>2</v>
      </c>
      <c r="W1324" s="151">
        <v>3</v>
      </c>
      <c r="X1324" s="151">
        <v>2</v>
      </c>
      <c r="Y1324" s="41"/>
      <c r="Z1324" s="166" t="str">
        <f>INDEX(Tableau2[TS],MATCH(Tableau3[[#This Row],[ID-CARTEVOIE]],Tableau2[ID-CARTEVOIE],0))</f>
        <v>ST</v>
      </c>
      <c r="AA1324" s="81" t="s">
        <v>213</v>
      </c>
      <c r="AB1324" s="226" t="str">
        <f>IFERROR(INDEX(Tableau5[Reserve],MATCH(Tableau3[[#This Row],[ID-SIG]],Tableau5[ID],0))&amp;"","")</f>
        <v/>
      </c>
      <c r="AC1324" s="119" t="s">
        <v>1456</v>
      </c>
      <c r="AD1324" s="120" t="str">
        <f>INDEX(Tableau7[Repere],MATCH(Tableau3[[#This Row],[ID-API]],Tableau7[ID-API],0))&amp;""</f>
        <v>A9</v>
      </c>
      <c r="AE1324" s="121" t="str">
        <f>INDEX(Tableau1[Repere-Rack],MATCH(Tableau3[[#This Row],[ID-RACK]],Tableau1[ID-RACK],0))&amp;""</f>
        <v>R2</v>
      </c>
      <c r="AF1324" s="121" t="str">
        <f>INDEX(Tableau1[Repere-Slot],MATCH(Tableau3[[#This Row],[ID-SLOT]],Tableau1[ID-SLOT],0))&amp;""</f>
        <v>S3</v>
      </c>
      <c r="AG1324" s="121" t="str">
        <f>INDEX(Tableau2[Repere-Voie],MATCH(Tableau3[[#This Row],[ID-VOIE]],Tableau2[ID-Voie],0))&amp;""</f>
        <v>v2</v>
      </c>
      <c r="AH1324" s="122" t="str">
        <f>Tableau3[[#This Row],[ID-API]]&amp; "." &amp;Tableau3[[#This Row],[ID-RACK]]&amp; "." &amp;Tableau3[[#This Row],[ID-SLOT]]</f>
        <v>9.2.3</v>
      </c>
      <c r="AI1324" s="72" t="str">
        <f>INDEX(Tableau1[Ref-Carte],MATCH(Tableau3[[#This Row],[ID-RRS]],Tableau1[ID-RRS],0))</f>
        <v>DRA0815</v>
      </c>
      <c r="AJ1324" s="72" t="str">
        <f t="array" ref="AJ1324">IFERROR(INDEX(Tableau2[TS],MATCH(1,(Tableau2[Ref-Carte]=Tableau3[[#This Row],[Ref-Carte2]])*(Tableau2[ID-Voie]=Tableau3[[#This Row],[ID-VOIE]]),0)),"")</f>
        <v>ST</v>
      </c>
      <c r="AK1324" s="72" t="str">
        <f>IFERROR(INDEX(Tableau2[TS],SUMPRODUCT((Tableau2[Ref-Carte]=Tableau3[[#This Row],[Ref-Carte2]])*(Tableau2[ID-Voie]=Tableau3[[#This Row],[ID-VOIE]])*ROW(Tableau2[TS]))-ROW(Tableau2[#Headers])),"")</f>
        <v>ST</v>
      </c>
      <c r="AL1324" s="122" t="str">
        <f>Tableau3[[#This Row],[Ref-Carte2]]&amp;"/"&amp;Tableau3[[#This Row],[ID-VOIE]]</f>
        <v>DRA0815/2</v>
      </c>
      <c r="AM1324" s="123" t="str">
        <f>INDEX(Tableau2[Borne],MATCH(Tableau3[[#This Row],[ID-CARTEVOIE]],Tableau2[ID-CARTEVOIE],0))&amp;""</f>
        <v>2</v>
      </c>
      <c r="AN1324" s="124" t="str">
        <f>Tableau3[[#This Row],[ID-API]]&amp;Tableau3[[#This Row],[ID-RACK]]&amp;Tableau3[[#This Row],[ID-SLOT]]&amp;Tableau3[[#This Row],[BORNE]]</f>
        <v>9232</v>
      </c>
      <c r="AO1324" s="125"/>
    </row>
    <row r="1325" spans="1:41" ht="20.100000000000001" customHeight="1" thickTop="1" thickBot="1">
      <c r="A1325" s="110"/>
      <c r="B1325" s="111" t="str">
        <f>IFERROR(INDEX(Tableau4[Date],MATCH($A1325,Tableau4[EVO],0)),"")</f>
        <v/>
      </c>
      <c r="C1325" s="112" t="str">
        <f>IFERROR(INDEX(Tableau4[Designation],MATCH($A1325,Tableau4[EVO],0)),"")</f>
        <v/>
      </c>
      <c r="D1325" s="110"/>
      <c r="E1325" s="113"/>
      <c r="F1325" s="146"/>
      <c r="G1325" s="147" t="e">
        <f>INDEX(Tableau8[Att1],MATCH(Tableau3[[#This Row],[ID-INS]],Tableau8[ID],0))&amp;""</f>
        <v>#N/A</v>
      </c>
      <c r="H1325" s="147" t="s">
        <v>309</v>
      </c>
      <c r="I1325" s="147" t="e">
        <f>INDEX(Tableau8[Att3],MATCH(Tableau3[[#This Row],[ID-INS]],Tableau8[ID],0))&amp;""</f>
        <v>#N/A</v>
      </c>
      <c r="J1325" s="148"/>
      <c r="K1325" s="167" t="e">
        <f>INDEX(Tableau8[Nom du modele],MATCH(Tableau3[[#This Row],[ID-INS]],Tableau8[ID],0))&amp;""</f>
        <v>#N/A</v>
      </c>
      <c r="L1325" s="149" t="s">
        <v>32</v>
      </c>
      <c r="M1325" s="149" t="e">
        <f>INDEX(Tableau5[Att2],MATCH(Tableau3[[#This Row],[ID-SIG]],Tableau5[ID],0))&amp;""</f>
        <v>#N/A</v>
      </c>
      <c r="N1325" s="149" t="e">
        <f>INDEX(Tableau5[Att3],MATCH(Tableau3[[#This Row],[ID-SIG]],Tableau5[ID],0))&amp;""</f>
        <v>#N/A</v>
      </c>
      <c r="O1325" s="150"/>
      <c r="P1325" s="149" t="s">
        <v>1789</v>
      </c>
      <c r="Q1325" s="150"/>
      <c r="R1325" s="117" t="str">
        <f>Tableau3[[#This Row],[Description]]</f>
        <v>ECLAIRAGE EXTERIEUR NASSE + ENTREE - Commande de Forçage</v>
      </c>
      <c r="S1325" s="75"/>
      <c r="T1325" s="75"/>
      <c r="U1325" s="151">
        <v>9</v>
      </c>
      <c r="V1325" s="151">
        <v>2</v>
      </c>
      <c r="W1325" s="151">
        <v>3</v>
      </c>
      <c r="X1325" s="151">
        <v>3</v>
      </c>
      <c r="Y1325" s="41"/>
      <c r="Z1325" s="166" t="str">
        <f>INDEX(Tableau2[TS],MATCH(Tableau3[[#This Row],[ID-CARTEVOIE]],Tableau2[ID-CARTEVOIE],0))</f>
        <v>ST</v>
      </c>
      <c r="AA1325" s="81" t="s">
        <v>213</v>
      </c>
      <c r="AB1325" s="226" t="str">
        <f>IFERROR(INDEX(Tableau5[Reserve],MATCH(Tableau3[[#This Row],[ID-SIG]],Tableau5[ID],0))&amp;"","")</f>
        <v/>
      </c>
      <c r="AC1325" s="119" t="s">
        <v>1456</v>
      </c>
      <c r="AD1325" s="120" t="str">
        <f>INDEX(Tableau7[Repere],MATCH(Tableau3[[#This Row],[ID-API]],Tableau7[ID-API],0))&amp;""</f>
        <v>A9</v>
      </c>
      <c r="AE1325" s="121" t="str">
        <f>INDEX(Tableau1[Repere-Rack],MATCH(Tableau3[[#This Row],[ID-RACK]],Tableau1[ID-RACK],0))&amp;""</f>
        <v>R2</v>
      </c>
      <c r="AF1325" s="121" t="str">
        <f>INDEX(Tableau1[Repere-Slot],MATCH(Tableau3[[#This Row],[ID-SLOT]],Tableau1[ID-SLOT],0))&amp;""</f>
        <v>S3</v>
      </c>
      <c r="AG1325" s="121" t="str">
        <f>INDEX(Tableau2[Repere-Voie],MATCH(Tableau3[[#This Row],[ID-VOIE]],Tableau2[ID-Voie],0))&amp;""</f>
        <v>v3</v>
      </c>
      <c r="AH1325" s="122" t="str">
        <f>Tableau3[[#This Row],[ID-API]]&amp; "." &amp;Tableau3[[#This Row],[ID-RACK]]&amp; "." &amp;Tableau3[[#This Row],[ID-SLOT]]</f>
        <v>9.2.3</v>
      </c>
      <c r="AI1325" s="72" t="str">
        <f>INDEX(Tableau1[Ref-Carte],MATCH(Tableau3[[#This Row],[ID-RRS]],Tableau1[ID-RRS],0))</f>
        <v>DRA0815</v>
      </c>
      <c r="AJ1325" s="72" t="str">
        <f t="array" ref="AJ1325">IFERROR(INDEX(Tableau2[TS],MATCH(1,(Tableau2[Ref-Carte]=Tableau3[[#This Row],[Ref-Carte2]])*(Tableau2[ID-Voie]=Tableau3[[#This Row],[ID-VOIE]]),0)),"")</f>
        <v>ST</v>
      </c>
      <c r="AK1325" s="72" t="str">
        <f>IFERROR(INDEX(Tableau2[TS],SUMPRODUCT((Tableau2[Ref-Carte]=Tableau3[[#This Row],[Ref-Carte2]])*(Tableau2[ID-Voie]=Tableau3[[#This Row],[ID-VOIE]])*ROW(Tableau2[TS]))-ROW(Tableau2[#Headers])),"")</f>
        <v>ST</v>
      </c>
      <c r="AL1325" s="122" t="str">
        <f>Tableau3[[#This Row],[Ref-Carte2]]&amp;"/"&amp;Tableau3[[#This Row],[ID-VOIE]]</f>
        <v>DRA0815/3</v>
      </c>
      <c r="AM1325" s="123" t="str">
        <f>INDEX(Tableau2[Borne],MATCH(Tableau3[[#This Row],[ID-CARTEVOIE]],Tableau2[ID-CARTEVOIE],0))&amp;""</f>
        <v>3</v>
      </c>
      <c r="AN1325" s="124" t="str">
        <f>Tableau3[[#This Row],[ID-API]]&amp;Tableau3[[#This Row],[ID-RACK]]&amp;Tableau3[[#This Row],[ID-SLOT]]&amp;Tableau3[[#This Row],[BORNE]]</f>
        <v>9233</v>
      </c>
      <c r="AO1325" s="125"/>
    </row>
    <row r="1326" spans="1:41" ht="20.100000000000001" customHeight="1" thickTop="1" thickBot="1">
      <c r="A1326" s="110"/>
      <c r="B1326" s="111" t="str">
        <f>IFERROR(INDEX(Tableau4[Date],MATCH($A1326,Tableau4[EVO],0)),"")</f>
        <v/>
      </c>
      <c r="C1326" s="112" t="str">
        <f>IFERROR(INDEX(Tableau4[Designation],MATCH($A1326,Tableau4[EVO],0)),"")</f>
        <v/>
      </c>
      <c r="D1326" s="110"/>
      <c r="E1326" s="113"/>
      <c r="F1326" s="146"/>
      <c r="G1326" s="147" t="e">
        <f>INDEX(Tableau8[Att1],MATCH(Tableau3[[#This Row],[ID-INS]],Tableau8[ID],0))&amp;""</f>
        <v>#N/A</v>
      </c>
      <c r="H1326" s="147" t="s">
        <v>310</v>
      </c>
      <c r="I1326" s="147" t="e">
        <f>INDEX(Tableau8[Att3],MATCH(Tableau3[[#This Row],[ID-INS]],Tableau8[ID],0))&amp;""</f>
        <v>#N/A</v>
      </c>
      <c r="J1326" s="148"/>
      <c r="K1326" s="167" t="e">
        <f>INDEX(Tableau8[Nom du modele],MATCH(Tableau3[[#This Row],[ID-INS]],Tableau8[ID],0))&amp;""</f>
        <v>#N/A</v>
      </c>
      <c r="L1326" s="149" t="s">
        <v>32</v>
      </c>
      <c r="M1326" s="149" t="e">
        <f>INDEX(Tableau5[Att2],MATCH(Tableau3[[#This Row],[ID-SIG]],Tableau5[ID],0))&amp;""</f>
        <v>#N/A</v>
      </c>
      <c r="N1326" s="149" t="e">
        <f>INDEX(Tableau5[Att3],MATCH(Tableau3[[#This Row],[ID-SIG]],Tableau5[ID],0))&amp;""</f>
        <v>#N/A</v>
      </c>
      <c r="O1326" s="150"/>
      <c r="P1326" s="149" t="s">
        <v>1790</v>
      </c>
      <c r="Q1326" s="150"/>
      <c r="R1326" s="117" t="str">
        <f>Tableau3[[#This Row],[Description]]</f>
        <v>ECLAIRAGE EXTERIEUR PARKING EXTERIEUR - Commande de Forçage</v>
      </c>
      <c r="S1326" s="75"/>
      <c r="T1326" s="75"/>
      <c r="U1326" s="151">
        <v>9</v>
      </c>
      <c r="V1326" s="151">
        <v>2</v>
      </c>
      <c r="W1326" s="151">
        <v>3</v>
      </c>
      <c r="X1326" s="151">
        <v>4</v>
      </c>
      <c r="Y1326" s="41"/>
      <c r="Z1326" s="166" t="str">
        <f>INDEX(Tableau2[TS],MATCH(Tableau3[[#This Row],[ID-CARTEVOIE]],Tableau2[ID-CARTEVOIE],0))</f>
        <v>ST</v>
      </c>
      <c r="AA1326" s="81" t="s">
        <v>213</v>
      </c>
      <c r="AB1326" s="226" t="str">
        <f>IFERROR(INDEX(Tableau5[Reserve],MATCH(Tableau3[[#This Row],[ID-SIG]],Tableau5[ID],0))&amp;"","")</f>
        <v/>
      </c>
      <c r="AC1326" s="119" t="s">
        <v>1456</v>
      </c>
      <c r="AD1326" s="120" t="str">
        <f>INDEX(Tableau7[Repere],MATCH(Tableau3[[#This Row],[ID-API]],Tableau7[ID-API],0))&amp;""</f>
        <v>A9</v>
      </c>
      <c r="AE1326" s="121" t="str">
        <f>INDEX(Tableau1[Repere-Rack],MATCH(Tableau3[[#This Row],[ID-RACK]],Tableau1[ID-RACK],0))&amp;""</f>
        <v>R2</v>
      </c>
      <c r="AF1326" s="121" t="str">
        <f>INDEX(Tableau1[Repere-Slot],MATCH(Tableau3[[#This Row],[ID-SLOT]],Tableau1[ID-SLOT],0))&amp;""</f>
        <v>S3</v>
      </c>
      <c r="AG1326" s="121" t="str">
        <f>INDEX(Tableau2[Repere-Voie],MATCH(Tableau3[[#This Row],[ID-VOIE]],Tableau2[ID-Voie],0))&amp;""</f>
        <v>v4</v>
      </c>
      <c r="AH1326" s="122" t="str">
        <f>Tableau3[[#This Row],[ID-API]]&amp; "." &amp;Tableau3[[#This Row],[ID-RACK]]&amp; "." &amp;Tableau3[[#This Row],[ID-SLOT]]</f>
        <v>9.2.3</v>
      </c>
      <c r="AI1326" s="72" t="str">
        <f>INDEX(Tableau1[Ref-Carte],MATCH(Tableau3[[#This Row],[ID-RRS]],Tableau1[ID-RRS],0))</f>
        <v>DRA0815</v>
      </c>
      <c r="AJ1326" s="72" t="str">
        <f t="array" ref="AJ1326">IFERROR(INDEX(Tableau2[TS],MATCH(1,(Tableau2[Ref-Carte]=Tableau3[[#This Row],[Ref-Carte2]])*(Tableau2[ID-Voie]=Tableau3[[#This Row],[ID-VOIE]]),0)),"")</f>
        <v>ST</v>
      </c>
      <c r="AK1326" s="72" t="str">
        <f>IFERROR(INDEX(Tableau2[TS],SUMPRODUCT((Tableau2[Ref-Carte]=Tableau3[[#This Row],[Ref-Carte2]])*(Tableau2[ID-Voie]=Tableau3[[#This Row],[ID-VOIE]])*ROW(Tableau2[TS]))-ROW(Tableau2[#Headers])),"")</f>
        <v>ST</v>
      </c>
      <c r="AL1326" s="122" t="str">
        <f>Tableau3[[#This Row],[Ref-Carte2]]&amp;"/"&amp;Tableau3[[#This Row],[ID-VOIE]]</f>
        <v>DRA0815/4</v>
      </c>
      <c r="AM1326" s="123" t="str">
        <f>INDEX(Tableau2[Borne],MATCH(Tableau3[[#This Row],[ID-CARTEVOIE]],Tableau2[ID-CARTEVOIE],0))&amp;""</f>
        <v>4</v>
      </c>
      <c r="AN1326" s="124" t="str">
        <f>Tableau3[[#This Row],[ID-API]]&amp;Tableau3[[#This Row],[ID-RACK]]&amp;Tableau3[[#This Row],[ID-SLOT]]&amp;Tableau3[[#This Row],[BORNE]]</f>
        <v>9234</v>
      </c>
      <c r="AO1326" s="125"/>
    </row>
    <row r="1327" spans="1:41" ht="20.100000000000001" customHeight="1" thickTop="1" thickBot="1">
      <c r="A1327" s="110"/>
      <c r="B1327" s="111" t="str">
        <f>IFERROR(INDEX(Tableau4[Date],MATCH($A1327,Tableau4[EVO],0)),"")</f>
        <v/>
      </c>
      <c r="C1327" s="112" t="str">
        <f>IFERROR(INDEX(Tableau4[Designation],MATCH($A1327,Tableau4[EVO],0)),"")</f>
        <v/>
      </c>
      <c r="D1327" s="110"/>
      <c r="E1327" s="113"/>
      <c r="F1327" s="146"/>
      <c r="G1327" s="147" t="e">
        <f>INDEX(Tableau8[Att1],MATCH(Tableau3[[#This Row],[ID-INS]],Tableau8[ID],0))&amp;""</f>
        <v>#N/A</v>
      </c>
      <c r="H1327" s="147" t="s">
        <v>311</v>
      </c>
      <c r="I1327" s="147" t="e">
        <f>INDEX(Tableau8[Att3],MATCH(Tableau3[[#This Row],[ID-INS]],Tableau8[ID],0))&amp;""</f>
        <v>#N/A</v>
      </c>
      <c r="J1327" s="148"/>
      <c r="K1327" s="167" t="e">
        <f>INDEX(Tableau8[Nom du modele],MATCH(Tableau3[[#This Row],[ID-INS]],Tableau8[ID],0))&amp;""</f>
        <v>#N/A</v>
      </c>
      <c r="L1327" s="149" t="s">
        <v>32</v>
      </c>
      <c r="M1327" s="149" t="e">
        <f>INDEX(Tableau5[Att2],MATCH(Tableau3[[#This Row],[ID-SIG]],Tableau5[ID],0))&amp;""</f>
        <v>#N/A</v>
      </c>
      <c r="N1327" s="149" t="e">
        <f>INDEX(Tableau5[Att3],MATCH(Tableau3[[#This Row],[ID-SIG]],Tableau5[ID],0))&amp;""</f>
        <v>#N/A</v>
      </c>
      <c r="O1327" s="150"/>
      <c r="P1327" s="149" t="s">
        <v>1791</v>
      </c>
      <c r="Q1327" s="150"/>
      <c r="R1327" s="117" t="str">
        <f>Tableau3[[#This Row],[Description]]</f>
        <v>ECLAIRAGE EXTERIEUR GARE ROUTIERE - Commande de Forçage</v>
      </c>
      <c r="S1327" s="75"/>
      <c r="T1327" s="75"/>
      <c r="U1327" s="151">
        <v>9</v>
      </c>
      <c r="V1327" s="151">
        <v>2</v>
      </c>
      <c r="W1327" s="151">
        <v>3</v>
      </c>
      <c r="X1327" s="151">
        <v>5</v>
      </c>
      <c r="Y1327" s="41"/>
      <c r="Z1327" s="166" t="str">
        <f>INDEX(Tableau2[TS],MATCH(Tableau3[[#This Row],[ID-CARTEVOIE]],Tableau2[ID-CARTEVOIE],0))</f>
        <v>ST</v>
      </c>
      <c r="AA1327" s="81" t="s">
        <v>213</v>
      </c>
      <c r="AB1327" s="226" t="str">
        <f>IFERROR(INDEX(Tableau5[Reserve],MATCH(Tableau3[[#This Row],[ID-SIG]],Tableau5[ID],0))&amp;"","")</f>
        <v/>
      </c>
      <c r="AC1327" s="119" t="s">
        <v>1456</v>
      </c>
      <c r="AD1327" s="120" t="str">
        <f>INDEX(Tableau7[Repere],MATCH(Tableau3[[#This Row],[ID-API]],Tableau7[ID-API],0))&amp;""</f>
        <v>A9</v>
      </c>
      <c r="AE1327" s="121" t="str">
        <f>INDEX(Tableau1[Repere-Rack],MATCH(Tableau3[[#This Row],[ID-RACK]],Tableau1[ID-RACK],0))&amp;""</f>
        <v>R2</v>
      </c>
      <c r="AF1327" s="121" t="str">
        <f>INDEX(Tableau1[Repere-Slot],MATCH(Tableau3[[#This Row],[ID-SLOT]],Tableau1[ID-SLOT],0))&amp;""</f>
        <v>S3</v>
      </c>
      <c r="AG1327" s="121" t="str">
        <f>INDEX(Tableau2[Repere-Voie],MATCH(Tableau3[[#This Row],[ID-VOIE]],Tableau2[ID-Voie],0))&amp;""</f>
        <v>v5</v>
      </c>
      <c r="AH1327" s="122" t="str">
        <f>Tableau3[[#This Row],[ID-API]]&amp; "." &amp;Tableau3[[#This Row],[ID-RACK]]&amp; "." &amp;Tableau3[[#This Row],[ID-SLOT]]</f>
        <v>9.2.3</v>
      </c>
      <c r="AI1327" s="72" t="str">
        <f>INDEX(Tableau1[Ref-Carte],MATCH(Tableau3[[#This Row],[ID-RRS]],Tableau1[ID-RRS],0))</f>
        <v>DRA0815</v>
      </c>
      <c r="AJ1327" s="72" t="str">
        <f t="array" ref="AJ1327">IFERROR(INDEX(Tableau2[TS],MATCH(1,(Tableau2[Ref-Carte]=Tableau3[[#This Row],[Ref-Carte2]])*(Tableau2[ID-Voie]=Tableau3[[#This Row],[ID-VOIE]]),0)),"")</f>
        <v>ST</v>
      </c>
      <c r="AK1327" s="72" t="str">
        <f>IFERROR(INDEX(Tableau2[TS],SUMPRODUCT((Tableau2[Ref-Carte]=Tableau3[[#This Row],[Ref-Carte2]])*(Tableau2[ID-Voie]=Tableau3[[#This Row],[ID-VOIE]])*ROW(Tableau2[TS]))-ROW(Tableau2[#Headers])),"")</f>
        <v>ST</v>
      </c>
      <c r="AL1327" s="122" t="str">
        <f>Tableau3[[#This Row],[Ref-Carte2]]&amp;"/"&amp;Tableau3[[#This Row],[ID-VOIE]]</f>
        <v>DRA0815/5</v>
      </c>
      <c r="AM1327" s="123" t="str">
        <f>INDEX(Tableau2[Borne],MATCH(Tableau3[[#This Row],[ID-CARTEVOIE]],Tableau2[ID-CARTEVOIE],0))&amp;""</f>
        <v>5</v>
      </c>
      <c r="AN1327" s="124" t="str">
        <f>Tableau3[[#This Row],[ID-API]]&amp;Tableau3[[#This Row],[ID-RACK]]&amp;Tableau3[[#This Row],[ID-SLOT]]&amp;Tableau3[[#This Row],[BORNE]]</f>
        <v>9235</v>
      </c>
      <c r="AO1327" s="125"/>
    </row>
    <row r="1328" spans="1:41" ht="20.100000000000001" customHeight="1" thickTop="1" thickBot="1">
      <c r="A1328" s="110"/>
      <c r="B1328" s="111" t="str">
        <f>IFERROR(INDEX(Tableau4[Date],MATCH($A1328,Tableau4[EVO],0)),"")</f>
        <v/>
      </c>
      <c r="C1328" s="112" t="str">
        <f>IFERROR(INDEX(Tableau4[Designation],MATCH($A1328,Tableau4[EVO],0)),"")</f>
        <v/>
      </c>
      <c r="D1328" s="110"/>
      <c r="E1328" s="113"/>
      <c r="F1328" s="146"/>
      <c r="G1328" s="147" t="e">
        <f>INDEX(Tableau8[Att1],MATCH(Tableau3[[#This Row],[ID-INS]],Tableau8[ID],0))&amp;""</f>
        <v>#N/A</v>
      </c>
      <c r="H1328" s="147" t="s">
        <v>1662</v>
      </c>
      <c r="I1328" s="147" t="e">
        <f>INDEX(Tableau8[Att3],MATCH(Tableau3[[#This Row],[ID-INS]],Tableau8[ID],0))&amp;""</f>
        <v>#N/A</v>
      </c>
      <c r="J1328" s="148"/>
      <c r="K1328" s="167" t="e">
        <f>INDEX(Tableau8[Nom du modele],MATCH(Tableau3[[#This Row],[ID-INS]],Tableau8[ID],0))&amp;""</f>
        <v>#N/A</v>
      </c>
      <c r="L1328" s="149" t="s">
        <v>32</v>
      </c>
      <c r="M1328" s="149" t="e">
        <f>INDEX(Tableau5[Att2],MATCH(Tableau3[[#This Row],[ID-SIG]],Tableau5[ID],0))&amp;""</f>
        <v>#N/A</v>
      </c>
      <c r="N1328" s="149" t="e">
        <f>INDEX(Tableau5[Att3],MATCH(Tableau3[[#This Row],[ID-SIG]],Tableau5[ID],0))&amp;""</f>
        <v>#N/A</v>
      </c>
      <c r="O1328" s="150"/>
      <c r="P1328" s="149" t="s">
        <v>1792</v>
      </c>
      <c r="Q1328" s="150"/>
      <c r="R1328" s="117" t="str">
        <f>Tableau3[[#This Row],[Description]]</f>
        <v>ECLAIRAGE EXTERIEUR PARKING B22 - Commande de Forçage</v>
      </c>
      <c r="S1328" s="75"/>
      <c r="T1328" s="75"/>
      <c r="U1328" s="151">
        <v>9</v>
      </c>
      <c r="V1328" s="151">
        <v>2</v>
      </c>
      <c r="W1328" s="151">
        <v>3</v>
      </c>
      <c r="X1328" s="151">
        <v>6</v>
      </c>
      <c r="Y1328" s="41"/>
      <c r="Z1328" s="166" t="str">
        <f>INDEX(Tableau2[TS],MATCH(Tableau3[[#This Row],[ID-CARTEVOIE]],Tableau2[ID-CARTEVOIE],0))</f>
        <v>ST</v>
      </c>
      <c r="AA1328" s="81" t="s">
        <v>213</v>
      </c>
      <c r="AB1328" s="226" t="str">
        <f>IFERROR(INDEX(Tableau5[Reserve],MATCH(Tableau3[[#This Row],[ID-SIG]],Tableau5[ID],0))&amp;"","")</f>
        <v/>
      </c>
      <c r="AC1328" s="119" t="s">
        <v>1456</v>
      </c>
      <c r="AD1328" s="120" t="str">
        <f>INDEX(Tableau7[Repere],MATCH(Tableau3[[#This Row],[ID-API]],Tableau7[ID-API],0))&amp;""</f>
        <v>A9</v>
      </c>
      <c r="AE1328" s="121" t="str">
        <f>INDEX(Tableau1[Repere-Rack],MATCH(Tableau3[[#This Row],[ID-RACK]],Tableau1[ID-RACK],0))&amp;""</f>
        <v>R2</v>
      </c>
      <c r="AF1328" s="121" t="str">
        <f>INDEX(Tableau1[Repere-Slot],MATCH(Tableau3[[#This Row],[ID-SLOT]],Tableau1[ID-SLOT],0))&amp;""</f>
        <v>S3</v>
      </c>
      <c r="AG1328" s="121" t="str">
        <f>INDEX(Tableau2[Repere-Voie],MATCH(Tableau3[[#This Row],[ID-VOIE]],Tableau2[ID-Voie],0))&amp;""</f>
        <v>v6</v>
      </c>
      <c r="AH1328" s="122" t="str">
        <f>Tableau3[[#This Row],[ID-API]]&amp; "." &amp;Tableau3[[#This Row],[ID-RACK]]&amp; "." &amp;Tableau3[[#This Row],[ID-SLOT]]</f>
        <v>9.2.3</v>
      </c>
      <c r="AI1328" s="72" t="str">
        <f>INDEX(Tableau1[Ref-Carte],MATCH(Tableau3[[#This Row],[ID-RRS]],Tableau1[ID-RRS],0))</f>
        <v>DRA0815</v>
      </c>
      <c r="AJ1328" s="72" t="str">
        <f t="array" ref="AJ1328">IFERROR(INDEX(Tableau2[TS],MATCH(1,(Tableau2[Ref-Carte]=Tableau3[[#This Row],[Ref-Carte2]])*(Tableau2[ID-Voie]=Tableau3[[#This Row],[ID-VOIE]]),0)),"")</f>
        <v>ST</v>
      </c>
      <c r="AK1328" s="72" t="str">
        <f>IFERROR(INDEX(Tableau2[TS],SUMPRODUCT((Tableau2[Ref-Carte]=Tableau3[[#This Row],[Ref-Carte2]])*(Tableau2[ID-Voie]=Tableau3[[#This Row],[ID-VOIE]])*ROW(Tableau2[TS]))-ROW(Tableau2[#Headers])),"")</f>
        <v>ST</v>
      </c>
      <c r="AL1328" s="122" t="str">
        <f>Tableau3[[#This Row],[Ref-Carte2]]&amp;"/"&amp;Tableau3[[#This Row],[ID-VOIE]]</f>
        <v>DRA0815/6</v>
      </c>
      <c r="AM1328" s="123" t="str">
        <f>INDEX(Tableau2[Borne],MATCH(Tableau3[[#This Row],[ID-CARTEVOIE]],Tableau2[ID-CARTEVOIE],0))&amp;""</f>
        <v>6</v>
      </c>
      <c r="AN1328" s="124" t="str">
        <f>Tableau3[[#This Row],[ID-API]]&amp;Tableau3[[#This Row],[ID-RACK]]&amp;Tableau3[[#This Row],[ID-SLOT]]&amp;Tableau3[[#This Row],[BORNE]]</f>
        <v>9236</v>
      </c>
      <c r="AO1328" s="125"/>
    </row>
    <row r="1329" spans="1:41" ht="20.100000000000001" customHeight="1" thickTop="1" thickBot="1">
      <c r="A1329" s="110"/>
      <c r="B1329" s="111" t="str">
        <f>IFERROR(INDEX(Tableau4[Date],MATCH($A1329,Tableau4[EVO],0)),"")</f>
        <v/>
      </c>
      <c r="C1329" s="112" t="str">
        <f>IFERROR(INDEX(Tableau4[Designation],MATCH($A1329,Tableau4[EVO],0)),"")</f>
        <v/>
      </c>
      <c r="D1329" s="110"/>
      <c r="E1329" s="113"/>
      <c r="F1329" s="146"/>
      <c r="G1329" s="147" t="e">
        <f>INDEX(Tableau8[Att1],MATCH(Tableau3[[#This Row],[ID-INS]],Tableau8[ID],0))&amp;""</f>
        <v>#N/A</v>
      </c>
      <c r="H1329" s="147" t="s">
        <v>1788</v>
      </c>
      <c r="I1329" s="147" t="e">
        <f>INDEX(Tableau8[Att3],MATCH(Tableau3[[#This Row],[ID-INS]],Tableau8[ID],0))&amp;""</f>
        <v>#N/A</v>
      </c>
      <c r="J1329" s="148"/>
      <c r="K1329" s="167" t="e">
        <f>INDEX(Tableau8[Nom du modele],MATCH(Tableau3[[#This Row],[ID-INS]],Tableau8[ID],0))&amp;""</f>
        <v>#N/A</v>
      </c>
      <c r="L1329" s="149" t="s">
        <v>1788</v>
      </c>
      <c r="M1329" s="149" t="e">
        <f>INDEX(Tableau5[Att2],MATCH(Tableau3[[#This Row],[ID-SIG]],Tableau5[ID],0))&amp;""</f>
        <v>#N/A</v>
      </c>
      <c r="N1329" s="149" t="e">
        <f>INDEX(Tableau5[Att3],MATCH(Tableau3[[#This Row],[ID-SIG]],Tableau5[ID],0))&amp;""</f>
        <v>#N/A</v>
      </c>
      <c r="O1329" s="150"/>
      <c r="P1329" s="149" t="s">
        <v>1793</v>
      </c>
      <c r="Q1329" s="150"/>
      <c r="R1329" s="117" t="str">
        <f>Tableau3[[#This Row],[Description]]</f>
        <v>Défaut CORA BIP SPR</v>
      </c>
      <c r="S1329" s="75"/>
      <c r="T1329" s="75"/>
      <c r="U1329" s="151">
        <v>9</v>
      </c>
      <c r="V1329" s="151">
        <v>2</v>
      </c>
      <c r="W1329" s="151">
        <v>3</v>
      </c>
      <c r="X1329" s="151">
        <v>7</v>
      </c>
      <c r="Y1329" s="41"/>
      <c r="Z1329" s="166" t="str">
        <f>INDEX(Tableau2[TS],MATCH(Tableau3[[#This Row],[ID-CARTEVOIE]],Tableau2[ID-CARTEVOIE],0))</f>
        <v>ST</v>
      </c>
      <c r="AA1329" s="81" t="s">
        <v>213</v>
      </c>
      <c r="AB1329" s="226" t="str">
        <f>IFERROR(INDEX(Tableau5[Reserve],MATCH(Tableau3[[#This Row],[ID-SIG]],Tableau5[ID],0))&amp;"","")</f>
        <v/>
      </c>
      <c r="AC1329" s="119" t="s">
        <v>1456</v>
      </c>
      <c r="AD1329" s="120" t="str">
        <f>INDEX(Tableau7[Repere],MATCH(Tableau3[[#This Row],[ID-API]],Tableau7[ID-API],0))&amp;""</f>
        <v>A9</v>
      </c>
      <c r="AE1329" s="121" t="str">
        <f>INDEX(Tableau1[Repere-Rack],MATCH(Tableau3[[#This Row],[ID-RACK]],Tableau1[ID-RACK],0))&amp;""</f>
        <v>R2</v>
      </c>
      <c r="AF1329" s="121" t="str">
        <f>INDEX(Tableau1[Repere-Slot],MATCH(Tableau3[[#This Row],[ID-SLOT]],Tableau1[ID-SLOT],0))&amp;""</f>
        <v>S3</v>
      </c>
      <c r="AG1329" s="121" t="str">
        <f>INDEX(Tableau2[Repere-Voie],MATCH(Tableau3[[#This Row],[ID-VOIE]],Tableau2[ID-Voie],0))&amp;""</f>
        <v>v7</v>
      </c>
      <c r="AH1329" s="122" t="str">
        <f>Tableau3[[#This Row],[ID-API]]&amp; "." &amp;Tableau3[[#This Row],[ID-RACK]]&amp; "." &amp;Tableau3[[#This Row],[ID-SLOT]]</f>
        <v>9.2.3</v>
      </c>
      <c r="AI1329" s="72" t="str">
        <f>INDEX(Tableau1[Ref-Carte],MATCH(Tableau3[[#This Row],[ID-RRS]],Tableau1[ID-RRS],0))</f>
        <v>DRA0815</v>
      </c>
      <c r="AJ1329" s="72" t="str">
        <f t="array" ref="AJ1329">IFERROR(INDEX(Tableau2[TS],MATCH(1,(Tableau2[Ref-Carte]=Tableau3[[#This Row],[Ref-Carte2]])*(Tableau2[ID-Voie]=Tableau3[[#This Row],[ID-VOIE]]),0)),"")</f>
        <v>ST</v>
      </c>
      <c r="AK1329" s="72" t="str">
        <f>IFERROR(INDEX(Tableau2[TS],SUMPRODUCT((Tableau2[Ref-Carte]=Tableau3[[#This Row],[Ref-Carte2]])*(Tableau2[ID-Voie]=Tableau3[[#This Row],[ID-VOIE]])*ROW(Tableau2[TS]))-ROW(Tableau2[#Headers])),"")</f>
        <v>ST</v>
      </c>
      <c r="AL1329" s="122" t="str">
        <f>Tableau3[[#This Row],[Ref-Carte2]]&amp;"/"&amp;Tableau3[[#This Row],[ID-VOIE]]</f>
        <v>DRA0815/7</v>
      </c>
      <c r="AM1329" s="123" t="str">
        <f>INDEX(Tableau2[Borne],MATCH(Tableau3[[#This Row],[ID-CARTEVOIE]],Tableau2[ID-CARTEVOIE],0))&amp;""</f>
        <v>7</v>
      </c>
      <c r="AN1329" s="124" t="str">
        <f>Tableau3[[#This Row],[ID-API]]&amp;Tableau3[[#This Row],[ID-RACK]]&amp;Tableau3[[#This Row],[ID-SLOT]]&amp;Tableau3[[#This Row],[BORNE]]</f>
        <v>9237</v>
      </c>
      <c r="AO1329" s="125"/>
    </row>
    <row r="1330" spans="1:41" ht="20.100000000000001" customHeight="1" thickTop="1" thickBot="1">
      <c r="A1330" s="68"/>
      <c r="B1330" s="69" t="str">
        <f>IFERROR(INDEX(Tableau4[Date],MATCH($A1330,Tableau4[EVO],0)),"")</f>
        <v/>
      </c>
      <c r="C1330" s="68" t="str">
        <f>IFERROR(INDEX(Tableau4[Designation],MATCH($A1330,Tableau4[EVO],0)),"")</f>
        <v/>
      </c>
      <c r="D1330" s="68"/>
      <c r="E1330" s="70">
        <v>370</v>
      </c>
      <c r="F1330" s="71">
        <v>3</v>
      </c>
      <c r="G1330" s="101" t="str">
        <f>INDEX(Tableau8[Att1],MATCH(Tableau3[[#This Row],[ID-INS]],Tableau8[ID],0))&amp;""</f>
        <v>B22</v>
      </c>
      <c r="H1330" s="101" t="str">
        <f>INDEX(Tableau8[Att2],MATCH(Tableau3[[#This Row],[ID-INS]],Tableau8[ID],0))&amp;""</f>
        <v>PPH1</v>
      </c>
      <c r="I1330" s="101" t="str">
        <f>INDEX(Tableau8[Att3],MATCH(Tableau3[[#This Row],[ID-INS]],Tableau8[ID],0))&amp;""</f>
        <v>Portail P8 ouvert</v>
      </c>
      <c r="J1330" s="101"/>
      <c r="K1330" s="167" t="str">
        <f>INDEX(Tableau8[Nom du modele],MATCH(Tableau3[[#This Row],[ID-INS]],Tableau8[ID],0))&amp;""</f>
        <v>E_Divers</v>
      </c>
      <c r="L1330" s="99" t="str">
        <f>INDEX(Tableau5[Att1],MATCH(Tableau3[[#This Row],[ID-SIG]],Tableau5[ID],0))&amp;""</f>
        <v>C1</v>
      </c>
      <c r="M1330" s="99" t="str">
        <f>INDEX(Tableau5[Att2],MATCH(Tableau3[[#This Row],[ID-SIG]],Tableau5[ID],0))&amp;""</f>
        <v/>
      </c>
      <c r="N1330" s="99" t="str">
        <f>INDEX(Tableau5[Att3],MATCH(Tableau3[[#This Row],[ID-SIG]],Tableau5[ID],0))&amp;""</f>
        <v/>
      </c>
      <c r="O1330" s="99"/>
      <c r="P1330" s="99" t="str">
        <f>INDEX(Tableau5[Description],MATCH(Tableau3[[#This Row],[ID-SIG]],Tableau5[ID],0))</f>
        <v>Contact</v>
      </c>
      <c r="Q1330" s="99"/>
      <c r="R1330" s="103" t="str">
        <f>Tableau3[[#This Row],[Description]]</f>
        <v>Contact</v>
      </c>
      <c r="U1330" s="87">
        <v>9</v>
      </c>
      <c r="V1330" s="87">
        <v>2</v>
      </c>
      <c r="W1330" s="87">
        <v>4</v>
      </c>
      <c r="X1330" s="87">
        <v>0</v>
      </c>
      <c r="Y1330" s="40"/>
      <c r="Z1330" s="165" t="str">
        <f>INDEX(Tableau2[TS],MATCH(Tableau3[[#This Row],[ID-CARTEVOIE]],Tableau2[ID-CARTEVOIE],0))</f>
        <v>ET</v>
      </c>
      <c r="AA1330" s="53" t="s">
        <v>213</v>
      </c>
      <c r="AB1330" s="223" t="str">
        <f>IFERROR(INDEX(Tableau5[Reserve],MATCH(Tableau3[[#This Row],[ID-SIG]],Tableau5[ID],0))&amp;"","")</f>
        <v/>
      </c>
      <c r="AC1330" s="21"/>
      <c r="AD1330" s="108" t="str">
        <f>INDEX(Tableau7[Repere],MATCH(Tableau3[[#This Row],[ID-API]],Tableau7[ID-API],0))&amp;""</f>
        <v>A9</v>
      </c>
      <c r="AE1330" s="108" t="str">
        <f>INDEX(Tableau1[Repere-Rack],MATCH(Tableau3[[#This Row],[ID-RACK]],Tableau1[ID-RACK],0))&amp;""</f>
        <v>R2</v>
      </c>
      <c r="AF1330" s="108" t="str">
        <f>INDEX(Tableau1[Repere-Slot],MATCH(Tableau3[[#This Row],[ID-SLOT]],Tableau1[ID-SLOT],0))&amp;""</f>
        <v>S4</v>
      </c>
      <c r="AG1330" s="108" t="str">
        <f>INDEX(Tableau2[Repere-Voie],MATCH(Tableau3[[#This Row],[ID-VOIE]],Tableau2[ID-Voie],0))&amp;""</f>
        <v>v0</v>
      </c>
      <c r="AH1330" s="72" t="str">
        <f>Tableau3[[#This Row],[ID-API]]&amp; "." &amp;Tableau3[[#This Row],[ID-RACK]]&amp; "." &amp;Tableau3[[#This Row],[ID-SLOT]]</f>
        <v>9.2.4</v>
      </c>
      <c r="AI1330" s="72" t="str">
        <f>INDEX(Tableau1[Ref-Carte],MATCH(Tableau3[[#This Row],[ID-RRS]],Tableau1[ID-RRS],0))</f>
        <v>SDI1602</v>
      </c>
      <c r="AJ1330" s="72" t="str">
        <f t="array" ref="AJ1330">IFERROR(INDEX(Tableau2[TS],MATCH(1,(Tableau2[Ref-Carte]=Tableau3[[#This Row],[Ref-Carte2]])*(Tableau2[ID-Voie]=Tableau3[[#This Row],[ID-VOIE]]),0)),"")</f>
        <v>ET</v>
      </c>
      <c r="AK1330" s="72" t="str">
        <f>IFERROR(INDEX(Tableau2[TS],SUMPRODUCT((Tableau2[Ref-Carte]=Tableau3[[#This Row],[Ref-Carte2]])*(Tableau2[ID-Voie]=Tableau3[[#This Row],[ID-VOIE]])*ROW(Tableau2[TS]))-ROW(Tableau2[#Headers])),"")</f>
        <v>ET</v>
      </c>
      <c r="AL1330" s="72" t="str">
        <f>Tableau3[[#This Row],[Ref-Carte2]]&amp;"/"&amp;Tableau3[[#This Row],[ID-VOIE]]</f>
        <v>SDI1602/0</v>
      </c>
      <c r="AM1330" s="73" t="str">
        <f>INDEX(Tableau2[Borne],MATCH(Tableau3[[#This Row],[ID-CARTEVOIE]],Tableau2[ID-CARTEVOIE],0))&amp;""</f>
        <v>0B</v>
      </c>
      <c r="AN1330" s="74" t="str">
        <f>Tableau3[[#This Row],[ID-API]]&amp;Tableau3[[#This Row],[ID-RACK]]&amp;Tableau3[[#This Row],[ID-SLOT]]&amp;Tableau3[[#This Row],[BORNE]]</f>
        <v>9240B</v>
      </c>
      <c r="AO1330" s="1"/>
    </row>
    <row r="1331" spans="1:41" ht="20.100000000000001" customHeight="1" thickTop="1" thickBot="1">
      <c r="A1331" s="68"/>
      <c r="B1331" s="69" t="str">
        <f>IFERROR(INDEX(Tableau4[Date],MATCH($A1331,Tableau4[EVO],0)),"")</f>
        <v/>
      </c>
      <c r="C1331" s="68" t="str">
        <f>IFERROR(INDEX(Tableau4[Designation],MATCH($A1331,Tableau4[EVO],0)),"")</f>
        <v/>
      </c>
      <c r="D1331" s="68"/>
      <c r="E1331" s="70">
        <v>371</v>
      </c>
      <c r="F1331" s="71">
        <v>3</v>
      </c>
      <c r="G1331" s="101" t="str">
        <f>INDEX(Tableau8[Att1],MATCH(Tableau3[[#This Row],[ID-INS]],Tableau8[ID],0))&amp;""</f>
        <v>B22</v>
      </c>
      <c r="H1331" s="101" t="str">
        <f>INDEX(Tableau8[Att2],MATCH(Tableau3[[#This Row],[ID-INS]],Tableau8[ID],0))&amp;""</f>
        <v>PPH2</v>
      </c>
      <c r="I1331" s="101" t="str">
        <f>INDEX(Tableau8[Att3],MATCH(Tableau3[[#This Row],[ID-INS]],Tableau8[ID],0))&amp;""</f>
        <v>Portail P10 ouvert</v>
      </c>
      <c r="J1331" s="101"/>
      <c r="K1331" s="167" t="str">
        <f>INDEX(Tableau8[Nom du modele],MATCH(Tableau3[[#This Row],[ID-INS]],Tableau8[ID],0))&amp;""</f>
        <v>E_Divers</v>
      </c>
      <c r="L1331" s="99" t="str">
        <f>INDEX(Tableau5[Att1],MATCH(Tableau3[[#This Row],[ID-SIG]],Tableau5[ID],0))&amp;""</f>
        <v>C1</v>
      </c>
      <c r="M1331" s="99" t="str">
        <f>INDEX(Tableau5[Att2],MATCH(Tableau3[[#This Row],[ID-SIG]],Tableau5[ID],0))&amp;""</f>
        <v/>
      </c>
      <c r="N1331" s="99" t="str">
        <f>INDEX(Tableau5[Att3],MATCH(Tableau3[[#This Row],[ID-SIG]],Tableau5[ID],0))&amp;""</f>
        <v/>
      </c>
      <c r="O1331" s="99"/>
      <c r="P1331" s="99" t="str">
        <f>INDEX(Tableau5[Description],MATCH(Tableau3[[#This Row],[ID-SIG]],Tableau5[ID],0))</f>
        <v>Contact</v>
      </c>
      <c r="Q1331" s="99"/>
      <c r="R1331" s="103" t="str">
        <f>Tableau3[[#This Row],[Description]]</f>
        <v>Contact</v>
      </c>
      <c r="U1331" s="87">
        <v>9</v>
      </c>
      <c r="V1331" s="87">
        <v>2</v>
      </c>
      <c r="W1331" s="87">
        <v>4</v>
      </c>
      <c r="X1331" s="87">
        <v>1</v>
      </c>
      <c r="Y1331" s="40"/>
      <c r="Z1331" s="165" t="str">
        <f>INDEX(Tableau2[TS],MATCH(Tableau3[[#This Row],[ID-CARTEVOIE]],Tableau2[ID-CARTEVOIE],0))</f>
        <v>ET</v>
      </c>
      <c r="AA1331" s="53" t="s">
        <v>213</v>
      </c>
      <c r="AB1331" s="223" t="str">
        <f>IFERROR(INDEX(Tableau5[Reserve],MATCH(Tableau3[[#This Row],[ID-SIG]],Tableau5[ID],0))&amp;"","")</f>
        <v/>
      </c>
      <c r="AC1331" s="21"/>
      <c r="AD1331" s="108" t="str">
        <f>INDEX(Tableau7[Repere],MATCH(Tableau3[[#This Row],[ID-API]],Tableau7[ID-API],0))&amp;""</f>
        <v>A9</v>
      </c>
      <c r="AE1331" s="108" t="str">
        <f>INDEX(Tableau1[Repere-Rack],MATCH(Tableau3[[#This Row],[ID-RACK]],Tableau1[ID-RACK],0))&amp;""</f>
        <v>R2</v>
      </c>
      <c r="AF1331" s="108" t="str">
        <f>INDEX(Tableau1[Repere-Slot],MATCH(Tableau3[[#This Row],[ID-SLOT]],Tableau1[ID-SLOT],0))&amp;""</f>
        <v>S4</v>
      </c>
      <c r="AG1331" s="108" t="str">
        <f>INDEX(Tableau2[Repere-Voie],MATCH(Tableau3[[#This Row],[ID-VOIE]],Tableau2[ID-Voie],0))&amp;""</f>
        <v>v1</v>
      </c>
      <c r="AH1331" s="72" t="str">
        <f>Tableau3[[#This Row],[ID-API]]&amp; "." &amp;Tableau3[[#This Row],[ID-RACK]]&amp; "." &amp;Tableau3[[#This Row],[ID-SLOT]]</f>
        <v>9.2.4</v>
      </c>
      <c r="AI1331" s="72" t="str">
        <f>INDEX(Tableau1[Ref-Carte],MATCH(Tableau3[[#This Row],[ID-RRS]],Tableau1[ID-RRS],0))</f>
        <v>SDI1602</v>
      </c>
      <c r="AJ1331" s="72" t="str">
        <f t="array" ref="AJ1331">IFERROR(INDEX(Tableau2[TS],MATCH(1,(Tableau2[Ref-Carte]=Tableau3[[#This Row],[Ref-Carte2]])*(Tableau2[ID-Voie]=Tableau3[[#This Row],[ID-VOIE]]),0)),"")</f>
        <v>ET</v>
      </c>
      <c r="AK1331" s="72" t="str">
        <f>IFERROR(INDEX(Tableau2[TS],SUMPRODUCT((Tableau2[Ref-Carte]=Tableau3[[#This Row],[Ref-Carte2]])*(Tableau2[ID-Voie]=Tableau3[[#This Row],[ID-VOIE]])*ROW(Tableau2[TS]))-ROW(Tableau2[#Headers])),"")</f>
        <v>ET</v>
      </c>
      <c r="AL1331" s="72" t="str">
        <f>Tableau3[[#This Row],[Ref-Carte2]]&amp;"/"&amp;Tableau3[[#This Row],[ID-VOIE]]</f>
        <v>SDI1602/1</v>
      </c>
      <c r="AM1331" s="73" t="str">
        <f>INDEX(Tableau2[Borne],MATCH(Tableau3[[#This Row],[ID-CARTEVOIE]],Tableau2[ID-CARTEVOIE],0))&amp;""</f>
        <v>0A</v>
      </c>
      <c r="AN1331" s="74" t="str">
        <f>Tableau3[[#This Row],[ID-API]]&amp;Tableau3[[#This Row],[ID-RACK]]&amp;Tableau3[[#This Row],[ID-SLOT]]&amp;Tableau3[[#This Row],[BORNE]]</f>
        <v>9240A</v>
      </c>
      <c r="AO1331" s="1"/>
    </row>
    <row r="1332" spans="1:41" ht="20.100000000000001" customHeight="1" thickTop="1" thickBot="1">
      <c r="A1332" s="68"/>
      <c r="B1332" s="69" t="str">
        <f>IFERROR(INDEX(Tableau4[Date],MATCH($A1332,Tableau4[EVO],0)),"")</f>
        <v/>
      </c>
      <c r="C1332" s="68" t="str">
        <f>IFERROR(INDEX(Tableau4[Designation],MATCH($A1332,Tableau4[EVO],0)),"")</f>
        <v/>
      </c>
      <c r="D1332" s="68"/>
      <c r="E1332" s="70">
        <v>372</v>
      </c>
      <c r="F1332" s="71">
        <v>3</v>
      </c>
      <c r="G1332" s="101" t="str">
        <f>INDEX(Tableau8[Att1],MATCH(Tableau3[[#This Row],[ID-INS]],Tableau8[ID],0))&amp;""</f>
        <v>B22</v>
      </c>
      <c r="H1332" s="101" t="str">
        <f>INDEX(Tableau8[Att2],MATCH(Tableau3[[#This Row],[ID-INS]],Tableau8[ID],0))&amp;""</f>
        <v>PPH3</v>
      </c>
      <c r="I1332" s="101" t="str">
        <f>INDEX(Tableau8[Att3],MATCH(Tableau3[[#This Row],[ID-INS]],Tableau8[ID],0))&amp;""</f>
        <v>Portail P10 non vérrouillé</v>
      </c>
      <c r="J1332" s="101"/>
      <c r="K1332" s="167" t="str">
        <f>INDEX(Tableau8[Nom du modele],MATCH(Tableau3[[#This Row],[ID-INS]],Tableau8[ID],0))&amp;""</f>
        <v>E_Divers</v>
      </c>
      <c r="L1332" s="99" t="str">
        <f>INDEX(Tableau5[Att1],MATCH(Tableau3[[#This Row],[ID-SIG]],Tableau5[ID],0))&amp;""</f>
        <v>C1</v>
      </c>
      <c r="M1332" s="99" t="str">
        <f>INDEX(Tableau5[Att2],MATCH(Tableau3[[#This Row],[ID-SIG]],Tableau5[ID],0))&amp;""</f>
        <v/>
      </c>
      <c r="N1332" s="99" t="str">
        <f>INDEX(Tableau5[Att3],MATCH(Tableau3[[#This Row],[ID-SIG]],Tableau5[ID],0))&amp;""</f>
        <v/>
      </c>
      <c r="O1332" s="99"/>
      <c r="P1332" s="99" t="str">
        <f>INDEX(Tableau5[Description],MATCH(Tableau3[[#This Row],[ID-SIG]],Tableau5[ID],0))</f>
        <v>Contact</v>
      </c>
      <c r="Q1332" s="99"/>
      <c r="R1332" s="103" t="str">
        <f>Tableau3[[#This Row],[Description]]</f>
        <v>Contact</v>
      </c>
      <c r="U1332" s="87">
        <v>9</v>
      </c>
      <c r="V1332" s="87">
        <v>2</v>
      </c>
      <c r="W1332" s="87">
        <v>4</v>
      </c>
      <c r="X1332" s="87">
        <v>2</v>
      </c>
      <c r="Y1332" s="40"/>
      <c r="Z1332" s="165" t="str">
        <f>INDEX(Tableau2[TS],MATCH(Tableau3[[#This Row],[ID-CARTEVOIE]],Tableau2[ID-CARTEVOIE],0))</f>
        <v>ET</v>
      </c>
      <c r="AA1332" s="53" t="s">
        <v>213</v>
      </c>
      <c r="AB1332" s="223" t="str">
        <f>IFERROR(INDEX(Tableau5[Reserve],MATCH(Tableau3[[#This Row],[ID-SIG]],Tableau5[ID],0))&amp;"","")</f>
        <v/>
      </c>
      <c r="AC1332" s="21"/>
      <c r="AD1332" s="108" t="str">
        <f>INDEX(Tableau7[Repere],MATCH(Tableau3[[#This Row],[ID-API]],Tableau7[ID-API],0))&amp;""</f>
        <v>A9</v>
      </c>
      <c r="AE1332" s="108" t="str">
        <f>INDEX(Tableau1[Repere-Rack],MATCH(Tableau3[[#This Row],[ID-RACK]],Tableau1[ID-RACK],0))&amp;""</f>
        <v>R2</v>
      </c>
      <c r="AF1332" s="108" t="str">
        <f>INDEX(Tableau1[Repere-Slot],MATCH(Tableau3[[#This Row],[ID-SLOT]],Tableau1[ID-SLOT],0))&amp;""</f>
        <v>S4</v>
      </c>
      <c r="AG1332" s="108" t="str">
        <f>INDEX(Tableau2[Repere-Voie],MATCH(Tableau3[[#This Row],[ID-VOIE]],Tableau2[ID-Voie],0))&amp;""</f>
        <v>v2</v>
      </c>
      <c r="AH1332" s="72" t="str">
        <f>Tableau3[[#This Row],[ID-API]]&amp; "." &amp;Tableau3[[#This Row],[ID-RACK]]&amp; "." &amp;Tableau3[[#This Row],[ID-SLOT]]</f>
        <v>9.2.4</v>
      </c>
      <c r="AI1332" s="72" t="str">
        <f>INDEX(Tableau1[Ref-Carte],MATCH(Tableau3[[#This Row],[ID-RRS]],Tableau1[ID-RRS],0))</f>
        <v>SDI1602</v>
      </c>
      <c r="AJ1332" s="72" t="str">
        <f t="array" ref="AJ1332">IFERROR(INDEX(Tableau2[TS],MATCH(1,(Tableau2[Ref-Carte]=Tableau3[[#This Row],[Ref-Carte2]])*(Tableau2[ID-Voie]=Tableau3[[#This Row],[ID-VOIE]]),0)),"")</f>
        <v>ET</v>
      </c>
      <c r="AK1332" s="72" t="str">
        <f>IFERROR(INDEX(Tableau2[TS],SUMPRODUCT((Tableau2[Ref-Carte]=Tableau3[[#This Row],[Ref-Carte2]])*(Tableau2[ID-Voie]=Tableau3[[#This Row],[ID-VOIE]])*ROW(Tableau2[TS]))-ROW(Tableau2[#Headers])),"")</f>
        <v>ET</v>
      </c>
      <c r="AL1332" s="72" t="str">
        <f>Tableau3[[#This Row],[Ref-Carte2]]&amp;"/"&amp;Tableau3[[#This Row],[ID-VOIE]]</f>
        <v>SDI1602/2</v>
      </c>
      <c r="AM1332" s="73" t="str">
        <f>INDEX(Tableau2[Borne],MATCH(Tableau3[[#This Row],[ID-CARTEVOIE]],Tableau2[ID-CARTEVOIE],0))&amp;""</f>
        <v>1B</v>
      </c>
      <c r="AN1332" s="74" t="str">
        <f>Tableau3[[#This Row],[ID-API]]&amp;Tableau3[[#This Row],[ID-RACK]]&amp;Tableau3[[#This Row],[ID-SLOT]]&amp;Tableau3[[#This Row],[BORNE]]</f>
        <v>9241B</v>
      </c>
      <c r="AO1332" s="1"/>
    </row>
    <row r="1333" spans="1:41" ht="20.100000000000001" customHeight="1" thickTop="1" thickBot="1">
      <c r="A1333" s="68"/>
      <c r="B1333" s="69" t="str">
        <f>IFERROR(INDEX(Tableau4[Date],MATCH($A1333,Tableau4[EVO],0)),"")</f>
        <v/>
      </c>
      <c r="C1333" s="68" t="str">
        <f>IFERROR(INDEX(Tableau4[Designation],MATCH($A1333,Tableau4[EVO],0)),"")</f>
        <v/>
      </c>
      <c r="D1333" s="68"/>
      <c r="E1333" s="70">
        <v>373</v>
      </c>
      <c r="F1333" s="71">
        <v>3</v>
      </c>
      <c r="G1333" s="101" t="str">
        <f>INDEX(Tableau8[Att1],MATCH(Tableau3[[#This Row],[ID-INS]],Tableau8[ID],0))&amp;""</f>
        <v>B22</v>
      </c>
      <c r="H1333" s="101" t="str">
        <f>INDEX(Tableau8[Att2],MATCH(Tableau3[[#This Row],[ID-INS]],Tableau8[ID],0))&amp;""</f>
        <v>PPH4</v>
      </c>
      <c r="I1333" s="101" t="str">
        <f>INDEX(Tableau8[Att3],MATCH(Tableau3[[#This Row],[ID-INS]],Tableau8[ID],0))&amp;""</f>
        <v>Alarme CP4 local CFIS</v>
      </c>
      <c r="J1333" s="101"/>
      <c r="K1333" s="167" t="str">
        <f>INDEX(Tableau8[Nom du modele],MATCH(Tableau3[[#This Row],[ID-INS]],Tableau8[ID],0))&amp;""</f>
        <v>E_Divers</v>
      </c>
      <c r="L1333" s="99" t="str">
        <f>INDEX(Tableau5[Att1],MATCH(Tableau3[[#This Row],[ID-SIG]],Tableau5[ID],0))&amp;""</f>
        <v>C1</v>
      </c>
      <c r="M1333" s="99" t="str">
        <f>INDEX(Tableau5[Att2],MATCH(Tableau3[[#This Row],[ID-SIG]],Tableau5[ID],0))&amp;""</f>
        <v/>
      </c>
      <c r="N1333" s="99" t="str">
        <f>INDEX(Tableau5[Att3],MATCH(Tableau3[[#This Row],[ID-SIG]],Tableau5[ID],0))&amp;""</f>
        <v/>
      </c>
      <c r="O1333" s="99"/>
      <c r="P1333" s="99" t="str">
        <f>INDEX(Tableau5[Description],MATCH(Tableau3[[#This Row],[ID-SIG]],Tableau5[ID],0))</f>
        <v>Contact</v>
      </c>
      <c r="Q1333" s="99"/>
      <c r="R1333" s="103" t="str">
        <f>Tableau3[[#This Row],[Description]]</f>
        <v>Contact</v>
      </c>
      <c r="U1333" s="87">
        <v>9</v>
      </c>
      <c r="V1333" s="87">
        <v>2</v>
      </c>
      <c r="W1333" s="87">
        <v>4</v>
      </c>
      <c r="X1333" s="87">
        <v>3</v>
      </c>
      <c r="Y1333" s="40"/>
      <c r="Z1333" s="165" t="str">
        <f>INDEX(Tableau2[TS],MATCH(Tableau3[[#This Row],[ID-CARTEVOIE]],Tableau2[ID-CARTEVOIE],0))</f>
        <v>ET</v>
      </c>
      <c r="AA1333" s="53" t="s">
        <v>213</v>
      </c>
      <c r="AB1333" s="223" t="str">
        <f>IFERROR(INDEX(Tableau5[Reserve],MATCH(Tableau3[[#This Row],[ID-SIG]],Tableau5[ID],0))&amp;"","")</f>
        <v/>
      </c>
      <c r="AC1333" s="21"/>
      <c r="AD1333" s="108" t="str">
        <f>INDEX(Tableau7[Repere],MATCH(Tableau3[[#This Row],[ID-API]],Tableau7[ID-API],0))&amp;""</f>
        <v>A9</v>
      </c>
      <c r="AE1333" s="108" t="str">
        <f>INDEX(Tableau1[Repere-Rack],MATCH(Tableau3[[#This Row],[ID-RACK]],Tableau1[ID-RACK],0))&amp;""</f>
        <v>R2</v>
      </c>
      <c r="AF1333" s="108" t="str">
        <f>INDEX(Tableau1[Repere-Slot],MATCH(Tableau3[[#This Row],[ID-SLOT]],Tableau1[ID-SLOT],0))&amp;""</f>
        <v>S4</v>
      </c>
      <c r="AG1333" s="108" t="str">
        <f>INDEX(Tableau2[Repere-Voie],MATCH(Tableau3[[#This Row],[ID-VOIE]],Tableau2[ID-Voie],0))&amp;""</f>
        <v>v3</v>
      </c>
      <c r="AH1333" s="72" t="str">
        <f>Tableau3[[#This Row],[ID-API]]&amp; "." &amp;Tableau3[[#This Row],[ID-RACK]]&amp; "." &amp;Tableau3[[#This Row],[ID-SLOT]]</f>
        <v>9.2.4</v>
      </c>
      <c r="AI1333" s="72" t="str">
        <f>INDEX(Tableau1[Ref-Carte],MATCH(Tableau3[[#This Row],[ID-RRS]],Tableau1[ID-RRS],0))</f>
        <v>SDI1602</v>
      </c>
      <c r="AJ1333" s="72" t="str">
        <f t="array" ref="AJ1333">IFERROR(INDEX(Tableau2[TS],MATCH(1,(Tableau2[Ref-Carte]=Tableau3[[#This Row],[Ref-Carte2]])*(Tableau2[ID-Voie]=Tableau3[[#This Row],[ID-VOIE]]),0)),"")</f>
        <v>ET</v>
      </c>
      <c r="AK1333" s="72" t="str">
        <f>IFERROR(INDEX(Tableau2[TS],SUMPRODUCT((Tableau2[Ref-Carte]=Tableau3[[#This Row],[Ref-Carte2]])*(Tableau2[ID-Voie]=Tableau3[[#This Row],[ID-VOIE]])*ROW(Tableau2[TS]))-ROW(Tableau2[#Headers])),"")</f>
        <v>ET</v>
      </c>
      <c r="AL1333" s="72" t="str">
        <f>Tableau3[[#This Row],[Ref-Carte2]]&amp;"/"&amp;Tableau3[[#This Row],[ID-VOIE]]</f>
        <v>SDI1602/3</v>
      </c>
      <c r="AM1333" s="73" t="str">
        <f>INDEX(Tableau2[Borne],MATCH(Tableau3[[#This Row],[ID-CARTEVOIE]],Tableau2[ID-CARTEVOIE],0))&amp;""</f>
        <v>1A</v>
      </c>
      <c r="AN1333" s="74" t="str">
        <f>Tableau3[[#This Row],[ID-API]]&amp;Tableau3[[#This Row],[ID-RACK]]&amp;Tableau3[[#This Row],[ID-SLOT]]&amp;Tableau3[[#This Row],[BORNE]]</f>
        <v>9241A</v>
      </c>
      <c r="AO1333" s="1"/>
    </row>
    <row r="1334" spans="1:41" ht="20.100000000000001" customHeight="1" thickTop="1" thickBot="1">
      <c r="A1334" s="68"/>
      <c r="B1334" s="69" t="str">
        <f>IFERROR(INDEX(Tableau4[Date],MATCH($A1334,Tableau4[EVO],0)),"")</f>
        <v/>
      </c>
      <c r="C1334" s="68" t="str">
        <f>IFERROR(INDEX(Tableau4[Designation],MATCH($A1334,Tableau4[EVO],0)),"")</f>
        <v/>
      </c>
      <c r="D1334" s="68"/>
      <c r="E1334" s="70">
        <v>374</v>
      </c>
      <c r="F1334" s="71">
        <v>3</v>
      </c>
      <c r="G1334" s="101" t="str">
        <f>INDEX(Tableau8[Att1],MATCH(Tableau3[[#This Row],[ID-INS]],Tableau8[ID],0))&amp;""</f>
        <v>B22</v>
      </c>
      <c r="H1334" s="101" t="str">
        <f>INDEX(Tableau8[Att2],MATCH(Tableau3[[#This Row],[ID-INS]],Tableau8[ID],0))&amp;""</f>
        <v>PPH5</v>
      </c>
      <c r="I1334" s="101" t="str">
        <f>INDEX(Tableau8[Att3],MATCH(Tableau3[[#This Row],[ID-INS]],Tableau8[ID],0))&amp;""</f>
        <v>Fraude CP4 local CFIS</v>
      </c>
      <c r="J1334" s="101"/>
      <c r="K1334" s="167" t="str">
        <f>INDEX(Tableau8[Nom du modele],MATCH(Tableau3[[#This Row],[ID-INS]],Tableau8[ID],0))&amp;""</f>
        <v>E_Divers</v>
      </c>
      <c r="L1334" s="99" t="str">
        <f>INDEX(Tableau5[Att1],MATCH(Tableau3[[#This Row],[ID-SIG]],Tableau5[ID],0))&amp;""</f>
        <v>C1</v>
      </c>
      <c r="M1334" s="99" t="str">
        <f>INDEX(Tableau5[Att2],MATCH(Tableau3[[#This Row],[ID-SIG]],Tableau5[ID],0))&amp;""</f>
        <v/>
      </c>
      <c r="N1334" s="99" t="str">
        <f>INDEX(Tableau5[Att3],MATCH(Tableau3[[#This Row],[ID-SIG]],Tableau5[ID],0))&amp;""</f>
        <v/>
      </c>
      <c r="O1334" s="99"/>
      <c r="P1334" s="99" t="str">
        <f>INDEX(Tableau5[Description],MATCH(Tableau3[[#This Row],[ID-SIG]],Tableau5[ID],0))</f>
        <v>Contact</v>
      </c>
      <c r="Q1334" s="99"/>
      <c r="R1334" s="103" t="str">
        <f>Tableau3[[#This Row],[Description]]</f>
        <v>Contact</v>
      </c>
      <c r="U1334" s="87">
        <v>9</v>
      </c>
      <c r="V1334" s="87">
        <v>2</v>
      </c>
      <c r="W1334" s="87">
        <v>4</v>
      </c>
      <c r="X1334" s="87">
        <v>4</v>
      </c>
      <c r="Y1334" s="40"/>
      <c r="Z1334" s="165" t="str">
        <f>INDEX(Tableau2[TS],MATCH(Tableau3[[#This Row],[ID-CARTEVOIE]],Tableau2[ID-CARTEVOIE],0))</f>
        <v>ET</v>
      </c>
      <c r="AA1334" s="53" t="s">
        <v>213</v>
      </c>
      <c r="AB1334" s="223" t="str">
        <f>IFERROR(INDEX(Tableau5[Reserve],MATCH(Tableau3[[#This Row],[ID-SIG]],Tableau5[ID],0))&amp;"","")</f>
        <v/>
      </c>
      <c r="AC1334" s="21"/>
      <c r="AD1334" s="108" t="str">
        <f>INDEX(Tableau7[Repere],MATCH(Tableau3[[#This Row],[ID-API]],Tableau7[ID-API],0))&amp;""</f>
        <v>A9</v>
      </c>
      <c r="AE1334" s="108" t="str">
        <f>INDEX(Tableau1[Repere-Rack],MATCH(Tableau3[[#This Row],[ID-RACK]],Tableau1[ID-RACK],0))&amp;""</f>
        <v>R2</v>
      </c>
      <c r="AF1334" s="108" t="str">
        <f>INDEX(Tableau1[Repere-Slot],MATCH(Tableau3[[#This Row],[ID-SLOT]],Tableau1[ID-SLOT],0))&amp;""</f>
        <v>S4</v>
      </c>
      <c r="AG1334" s="108" t="str">
        <f>INDEX(Tableau2[Repere-Voie],MATCH(Tableau3[[#This Row],[ID-VOIE]],Tableau2[ID-Voie],0))&amp;""</f>
        <v>v4</v>
      </c>
      <c r="AH1334" s="72" t="str">
        <f>Tableau3[[#This Row],[ID-API]]&amp; "." &amp;Tableau3[[#This Row],[ID-RACK]]&amp; "." &amp;Tableau3[[#This Row],[ID-SLOT]]</f>
        <v>9.2.4</v>
      </c>
      <c r="AI1334" s="72" t="str">
        <f>INDEX(Tableau1[Ref-Carte],MATCH(Tableau3[[#This Row],[ID-RRS]],Tableau1[ID-RRS],0))</f>
        <v>SDI1602</v>
      </c>
      <c r="AJ1334" s="72" t="str">
        <f t="array" ref="AJ1334">IFERROR(INDEX(Tableau2[TS],MATCH(1,(Tableau2[Ref-Carte]=Tableau3[[#This Row],[Ref-Carte2]])*(Tableau2[ID-Voie]=Tableau3[[#This Row],[ID-VOIE]]),0)),"")</f>
        <v>ET</v>
      </c>
      <c r="AK1334" s="72" t="str">
        <f>IFERROR(INDEX(Tableau2[TS],SUMPRODUCT((Tableau2[Ref-Carte]=Tableau3[[#This Row],[Ref-Carte2]])*(Tableau2[ID-Voie]=Tableau3[[#This Row],[ID-VOIE]])*ROW(Tableau2[TS]))-ROW(Tableau2[#Headers])),"")</f>
        <v>ET</v>
      </c>
      <c r="AL1334" s="72" t="str">
        <f>Tableau3[[#This Row],[Ref-Carte2]]&amp;"/"&amp;Tableau3[[#This Row],[ID-VOIE]]</f>
        <v>SDI1602/4</v>
      </c>
      <c r="AM1334" s="73" t="str">
        <f>INDEX(Tableau2[Borne],MATCH(Tableau3[[#This Row],[ID-CARTEVOIE]],Tableau2[ID-CARTEVOIE],0))&amp;""</f>
        <v>2B</v>
      </c>
      <c r="AN1334" s="74" t="str">
        <f>Tableau3[[#This Row],[ID-API]]&amp;Tableau3[[#This Row],[ID-RACK]]&amp;Tableau3[[#This Row],[ID-SLOT]]&amp;Tableau3[[#This Row],[BORNE]]</f>
        <v>9242B</v>
      </c>
      <c r="AO1334" s="1"/>
    </row>
    <row r="1335" spans="1:41" ht="20.100000000000001" customHeight="1" thickTop="1" thickBot="1">
      <c r="A1335" s="68"/>
      <c r="B1335" s="69" t="str">
        <f>IFERROR(INDEX(Tableau4[Date],MATCH($A1335,Tableau4[EVO],0)),"")</f>
        <v/>
      </c>
      <c r="C1335" s="68" t="str">
        <f>IFERROR(INDEX(Tableau4[Designation],MATCH($A1335,Tableau4[EVO],0)),"")</f>
        <v/>
      </c>
      <c r="D1335" s="68"/>
      <c r="E1335" s="70">
        <v>375</v>
      </c>
      <c r="F1335" s="71">
        <v>3</v>
      </c>
      <c r="G1335" s="101" t="str">
        <f>INDEX(Tableau8[Att1],MATCH(Tableau3[[#This Row],[ID-INS]],Tableau8[ID],0))&amp;""</f>
        <v>B22</v>
      </c>
      <c r="H1335" s="101" t="str">
        <f>INDEX(Tableau8[Att2],MATCH(Tableau3[[#This Row],[ID-INS]],Tableau8[ID],0))&amp;""</f>
        <v>PPH6</v>
      </c>
      <c r="I1335" s="101" t="str">
        <f>INDEX(Tableau8[Att3],MATCH(Tableau3[[#This Row],[ID-INS]],Tableau8[ID],0))&amp;""</f>
        <v>Alarme CP5 locaux SPR/CFO</v>
      </c>
      <c r="J1335" s="101"/>
      <c r="K1335" s="167" t="str">
        <f>INDEX(Tableau8[Nom du modele],MATCH(Tableau3[[#This Row],[ID-INS]],Tableau8[ID],0))&amp;""</f>
        <v>E_Divers</v>
      </c>
      <c r="L1335" s="99" t="str">
        <f>INDEX(Tableau5[Att1],MATCH(Tableau3[[#This Row],[ID-SIG]],Tableau5[ID],0))&amp;""</f>
        <v>C1</v>
      </c>
      <c r="M1335" s="99" t="str">
        <f>INDEX(Tableau5[Att2],MATCH(Tableau3[[#This Row],[ID-SIG]],Tableau5[ID],0))&amp;""</f>
        <v/>
      </c>
      <c r="N1335" s="99" t="str">
        <f>INDEX(Tableau5[Att3],MATCH(Tableau3[[#This Row],[ID-SIG]],Tableau5[ID],0))&amp;""</f>
        <v/>
      </c>
      <c r="O1335" s="99"/>
      <c r="P1335" s="99" t="str">
        <f>INDEX(Tableau5[Description],MATCH(Tableau3[[#This Row],[ID-SIG]],Tableau5[ID],0))</f>
        <v>Contact</v>
      </c>
      <c r="Q1335" s="99"/>
      <c r="R1335" s="103" t="str">
        <f>Tableau3[[#This Row],[Description]]</f>
        <v>Contact</v>
      </c>
      <c r="U1335" s="87">
        <v>9</v>
      </c>
      <c r="V1335" s="87">
        <v>2</v>
      </c>
      <c r="W1335" s="87">
        <v>4</v>
      </c>
      <c r="X1335" s="87">
        <v>5</v>
      </c>
      <c r="Y1335" s="40"/>
      <c r="Z1335" s="165" t="str">
        <f>INDEX(Tableau2[TS],MATCH(Tableau3[[#This Row],[ID-CARTEVOIE]],Tableau2[ID-CARTEVOIE],0))</f>
        <v>ET</v>
      </c>
      <c r="AA1335" s="53" t="s">
        <v>213</v>
      </c>
      <c r="AB1335" s="223" t="str">
        <f>IFERROR(INDEX(Tableau5[Reserve],MATCH(Tableau3[[#This Row],[ID-SIG]],Tableau5[ID],0))&amp;"","")</f>
        <v/>
      </c>
      <c r="AC1335" s="21"/>
      <c r="AD1335" s="108" t="str">
        <f>INDEX(Tableau7[Repere],MATCH(Tableau3[[#This Row],[ID-API]],Tableau7[ID-API],0))&amp;""</f>
        <v>A9</v>
      </c>
      <c r="AE1335" s="108" t="str">
        <f>INDEX(Tableau1[Repere-Rack],MATCH(Tableau3[[#This Row],[ID-RACK]],Tableau1[ID-RACK],0))&amp;""</f>
        <v>R2</v>
      </c>
      <c r="AF1335" s="108" t="str">
        <f>INDEX(Tableau1[Repere-Slot],MATCH(Tableau3[[#This Row],[ID-SLOT]],Tableau1[ID-SLOT],0))&amp;""</f>
        <v>S4</v>
      </c>
      <c r="AG1335" s="108" t="str">
        <f>INDEX(Tableau2[Repere-Voie],MATCH(Tableau3[[#This Row],[ID-VOIE]],Tableau2[ID-Voie],0))&amp;""</f>
        <v>v5</v>
      </c>
      <c r="AH1335" s="72" t="str">
        <f>Tableau3[[#This Row],[ID-API]]&amp; "." &amp;Tableau3[[#This Row],[ID-RACK]]&amp; "." &amp;Tableau3[[#This Row],[ID-SLOT]]</f>
        <v>9.2.4</v>
      </c>
      <c r="AI1335" s="72" t="str">
        <f>INDEX(Tableau1[Ref-Carte],MATCH(Tableau3[[#This Row],[ID-RRS]],Tableau1[ID-RRS],0))</f>
        <v>SDI1602</v>
      </c>
      <c r="AJ1335" s="72" t="str">
        <f t="array" ref="AJ1335">IFERROR(INDEX(Tableau2[TS],MATCH(1,(Tableau2[Ref-Carte]=Tableau3[[#This Row],[Ref-Carte2]])*(Tableau2[ID-Voie]=Tableau3[[#This Row],[ID-VOIE]]),0)),"")</f>
        <v>ET</v>
      </c>
      <c r="AK1335" s="72" t="str">
        <f>IFERROR(INDEX(Tableau2[TS],SUMPRODUCT((Tableau2[Ref-Carte]=Tableau3[[#This Row],[Ref-Carte2]])*(Tableau2[ID-Voie]=Tableau3[[#This Row],[ID-VOIE]])*ROW(Tableau2[TS]))-ROW(Tableau2[#Headers])),"")</f>
        <v>ET</v>
      </c>
      <c r="AL1335" s="72" t="str">
        <f>Tableau3[[#This Row],[Ref-Carte2]]&amp;"/"&amp;Tableau3[[#This Row],[ID-VOIE]]</f>
        <v>SDI1602/5</v>
      </c>
      <c r="AM1335" s="73" t="str">
        <f>INDEX(Tableau2[Borne],MATCH(Tableau3[[#This Row],[ID-CARTEVOIE]],Tableau2[ID-CARTEVOIE],0))&amp;""</f>
        <v>2A</v>
      </c>
      <c r="AN1335" s="74" t="str">
        <f>Tableau3[[#This Row],[ID-API]]&amp;Tableau3[[#This Row],[ID-RACK]]&amp;Tableau3[[#This Row],[ID-SLOT]]&amp;Tableau3[[#This Row],[BORNE]]</f>
        <v>9242A</v>
      </c>
      <c r="AO1335" s="1"/>
    </row>
    <row r="1336" spans="1:41" ht="20.100000000000001" customHeight="1" thickTop="1" thickBot="1">
      <c r="A1336" s="68"/>
      <c r="B1336" s="69" t="str">
        <f>IFERROR(INDEX(Tableau4[Date],MATCH($A1336,Tableau4[EVO],0)),"")</f>
        <v/>
      </c>
      <c r="C1336" s="68" t="str">
        <f>IFERROR(INDEX(Tableau4[Designation],MATCH($A1336,Tableau4[EVO],0)),"")</f>
        <v/>
      </c>
      <c r="D1336" s="68"/>
      <c r="E1336" s="70">
        <v>376</v>
      </c>
      <c r="F1336" s="71">
        <v>3</v>
      </c>
      <c r="G1336" s="101" t="str">
        <f>INDEX(Tableau8[Att1],MATCH(Tableau3[[#This Row],[ID-INS]],Tableau8[ID],0))&amp;""</f>
        <v>B22</v>
      </c>
      <c r="H1336" s="101" t="str">
        <f>INDEX(Tableau8[Att2],MATCH(Tableau3[[#This Row],[ID-INS]],Tableau8[ID],0))&amp;""</f>
        <v>PPH7</v>
      </c>
      <c r="I1336" s="101" t="str">
        <f>INDEX(Tableau8[Att3],MATCH(Tableau3[[#This Row],[ID-INS]],Tableau8[ID],0))&amp;""</f>
        <v>Fraude CP5 locaux SPR/CFO</v>
      </c>
      <c r="J1336" s="101"/>
      <c r="K1336" s="167" t="str">
        <f>INDEX(Tableau8[Nom du modele],MATCH(Tableau3[[#This Row],[ID-INS]],Tableau8[ID],0))&amp;""</f>
        <v>E_Divers</v>
      </c>
      <c r="L1336" s="99" t="str">
        <f>INDEX(Tableau5[Att1],MATCH(Tableau3[[#This Row],[ID-SIG]],Tableau5[ID],0))&amp;""</f>
        <v>C1</v>
      </c>
      <c r="M1336" s="99" t="str">
        <f>INDEX(Tableau5[Att2],MATCH(Tableau3[[#This Row],[ID-SIG]],Tableau5[ID],0))&amp;""</f>
        <v/>
      </c>
      <c r="N1336" s="99" t="str">
        <f>INDEX(Tableau5[Att3],MATCH(Tableau3[[#This Row],[ID-SIG]],Tableau5[ID],0))&amp;""</f>
        <v/>
      </c>
      <c r="O1336" s="99"/>
      <c r="P1336" s="99" t="str">
        <f>INDEX(Tableau5[Description],MATCH(Tableau3[[#This Row],[ID-SIG]],Tableau5[ID],0))</f>
        <v>Contact</v>
      </c>
      <c r="Q1336" s="99"/>
      <c r="R1336" s="103" t="str">
        <f>Tableau3[[#This Row],[Description]]</f>
        <v>Contact</v>
      </c>
      <c r="U1336" s="87">
        <v>9</v>
      </c>
      <c r="V1336" s="87">
        <v>2</v>
      </c>
      <c r="W1336" s="87">
        <v>4</v>
      </c>
      <c r="X1336" s="87">
        <v>6</v>
      </c>
      <c r="Y1336" s="40"/>
      <c r="Z1336" s="165" t="str">
        <f>INDEX(Tableau2[TS],MATCH(Tableau3[[#This Row],[ID-CARTEVOIE]],Tableau2[ID-CARTEVOIE],0))</f>
        <v>ET</v>
      </c>
      <c r="AA1336" s="53" t="s">
        <v>213</v>
      </c>
      <c r="AB1336" s="223" t="str">
        <f>IFERROR(INDEX(Tableau5[Reserve],MATCH(Tableau3[[#This Row],[ID-SIG]],Tableau5[ID],0))&amp;"","")</f>
        <v/>
      </c>
      <c r="AC1336" s="21"/>
      <c r="AD1336" s="108" t="str">
        <f>INDEX(Tableau7[Repere],MATCH(Tableau3[[#This Row],[ID-API]],Tableau7[ID-API],0))&amp;""</f>
        <v>A9</v>
      </c>
      <c r="AE1336" s="108" t="str">
        <f>INDEX(Tableau1[Repere-Rack],MATCH(Tableau3[[#This Row],[ID-RACK]],Tableau1[ID-RACK],0))&amp;""</f>
        <v>R2</v>
      </c>
      <c r="AF1336" s="108" t="str">
        <f>INDEX(Tableau1[Repere-Slot],MATCH(Tableau3[[#This Row],[ID-SLOT]],Tableau1[ID-SLOT],0))&amp;""</f>
        <v>S4</v>
      </c>
      <c r="AG1336" s="108" t="str">
        <f>INDEX(Tableau2[Repere-Voie],MATCH(Tableau3[[#This Row],[ID-VOIE]],Tableau2[ID-Voie],0))&amp;""</f>
        <v>v6</v>
      </c>
      <c r="AH1336" s="72" t="str">
        <f>Tableau3[[#This Row],[ID-API]]&amp; "." &amp;Tableau3[[#This Row],[ID-RACK]]&amp; "." &amp;Tableau3[[#This Row],[ID-SLOT]]</f>
        <v>9.2.4</v>
      </c>
      <c r="AI1336" s="72" t="str">
        <f>INDEX(Tableau1[Ref-Carte],MATCH(Tableau3[[#This Row],[ID-RRS]],Tableau1[ID-RRS],0))</f>
        <v>SDI1602</v>
      </c>
      <c r="AJ1336" s="72" t="str">
        <f t="array" ref="AJ1336">IFERROR(INDEX(Tableau2[TS],MATCH(1,(Tableau2[Ref-Carte]=Tableau3[[#This Row],[Ref-Carte2]])*(Tableau2[ID-Voie]=Tableau3[[#This Row],[ID-VOIE]]),0)),"")</f>
        <v>ET</v>
      </c>
      <c r="AK1336" s="72" t="str">
        <f>IFERROR(INDEX(Tableau2[TS],SUMPRODUCT((Tableau2[Ref-Carte]=Tableau3[[#This Row],[Ref-Carte2]])*(Tableau2[ID-Voie]=Tableau3[[#This Row],[ID-VOIE]])*ROW(Tableau2[TS]))-ROW(Tableau2[#Headers])),"")</f>
        <v>ET</v>
      </c>
      <c r="AL1336" s="72" t="str">
        <f>Tableau3[[#This Row],[Ref-Carte2]]&amp;"/"&amp;Tableau3[[#This Row],[ID-VOIE]]</f>
        <v>SDI1602/6</v>
      </c>
      <c r="AM1336" s="73" t="str">
        <f>INDEX(Tableau2[Borne],MATCH(Tableau3[[#This Row],[ID-CARTEVOIE]],Tableau2[ID-CARTEVOIE],0))&amp;""</f>
        <v>3B</v>
      </c>
      <c r="AN1336" s="74" t="str">
        <f>Tableau3[[#This Row],[ID-API]]&amp;Tableau3[[#This Row],[ID-RACK]]&amp;Tableau3[[#This Row],[ID-SLOT]]&amp;Tableau3[[#This Row],[BORNE]]</f>
        <v>9243B</v>
      </c>
      <c r="AO1336" s="1"/>
    </row>
    <row r="1337" spans="1:41" ht="20.100000000000001" customHeight="1" thickTop="1" thickBot="1">
      <c r="A1337" s="68"/>
      <c r="B1337" s="69" t="str">
        <f>IFERROR(INDEX(Tableau4[Date],MATCH($A1337,Tableau4[EVO],0)),"")</f>
        <v/>
      </c>
      <c r="C1337" s="68" t="str">
        <f>IFERROR(INDEX(Tableau4[Designation],MATCH($A1337,Tableau4[EVO],0)),"")</f>
        <v/>
      </c>
      <c r="D1337" s="68"/>
      <c r="E1337" s="70">
        <v>377</v>
      </c>
      <c r="F1337" s="71">
        <v>3</v>
      </c>
      <c r="G1337" s="101" t="str">
        <f>INDEX(Tableau8[Att1],MATCH(Tableau3[[#This Row],[ID-INS]],Tableau8[ID],0))&amp;""</f>
        <v>B22</v>
      </c>
      <c r="H1337" s="101" t="str">
        <f>INDEX(Tableau8[Att2],MATCH(Tableau3[[#This Row],[ID-INS]],Tableau8[ID],0))&amp;""</f>
        <v>PPH8</v>
      </c>
      <c r="I1337" s="101" t="str">
        <f>INDEX(Tableau8[Att3],MATCH(Tableau3[[#This Row],[ID-INS]],Tableau8[ID],0))&amp;""</f>
        <v>Alarme CP6 local VIGIE</v>
      </c>
      <c r="J1337" s="101"/>
      <c r="K1337" s="167" t="str">
        <f>INDEX(Tableau8[Nom du modele],MATCH(Tableau3[[#This Row],[ID-INS]],Tableau8[ID],0))&amp;""</f>
        <v>E_Divers</v>
      </c>
      <c r="L1337" s="141" t="str">
        <f>INDEX(Tableau5[Att1],MATCH(Tableau3[[#This Row],[ID-SIG]],Tableau5[ID],0))&amp;""</f>
        <v>C1</v>
      </c>
      <c r="M1337" s="99" t="str">
        <f>INDEX(Tableau5[Att2],MATCH(Tableau3[[#This Row],[ID-SIG]],Tableau5[ID],0))&amp;""</f>
        <v/>
      </c>
      <c r="N1337" s="99" t="str">
        <f>INDEX(Tableau5[Att3],MATCH(Tableau3[[#This Row],[ID-SIG]],Tableau5[ID],0))&amp;""</f>
        <v/>
      </c>
      <c r="O1337" s="99"/>
      <c r="P1337" s="141" t="str">
        <f>INDEX(Tableau5[Description],MATCH(Tableau3[[#This Row],[ID-SIG]],Tableau5[ID],0))</f>
        <v>Contact</v>
      </c>
      <c r="Q1337" s="99"/>
      <c r="R1337" s="103" t="str">
        <f>Tableau3[[#This Row],[Description]]</f>
        <v>Contact</v>
      </c>
      <c r="U1337" s="87">
        <v>9</v>
      </c>
      <c r="V1337" s="87">
        <v>2</v>
      </c>
      <c r="W1337" s="87">
        <v>4</v>
      </c>
      <c r="X1337" s="87">
        <v>7</v>
      </c>
      <c r="Y1337" s="40"/>
      <c r="Z1337" s="165" t="str">
        <f>INDEX(Tableau2[TS],MATCH(Tableau3[[#This Row],[ID-CARTEVOIE]],Tableau2[ID-CARTEVOIE],0))</f>
        <v>ET</v>
      </c>
      <c r="AA1337" s="53" t="s">
        <v>213</v>
      </c>
      <c r="AB1337" s="223" t="str">
        <f>IFERROR(INDEX(Tableau5[Reserve],MATCH(Tableau3[[#This Row],[ID-SIG]],Tableau5[ID],0))&amp;"","")</f>
        <v/>
      </c>
      <c r="AC1337" s="21"/>
      <c r="AD1337" s="108" t="str">
        <f>INDEX(Tableau7[Repere],MATCH(Tableau3[[#This Row],[ID-API]],Tableau7[ID-API],0))&amp;""</f>
        <v>A9</v>
      </c>
      <c r="AE1337" s="108" t="str">
        <f>INDEX(Tableau1[Repere-Rack],MATCH(Tableau3[[#This Row],[ID-RACK]],Tableau1[ID-RACK],0))&amp;""</f>
        <v>R2</v>
      </c>
      <c r="AF1337" s="108" t="str">
        <f>INDEX(Tableau1[Repere-Slot],MATCH(Tableau3[[#This Row],[ID-SLOT]],Tableau1[ID-SLOT],0))&amp;""</f>
        <v>S4</v>
      </c>
      <c r="AG1337" s="108" t="str">
        <f>INDEX(Tableau2[Repere-Voie],MATCH(Tableau3[[#This Row],[ID-VOIE]],Tableau2[ID-Voie],0))&amp;""</f>
        <v>v7</v>
      </c>
      <c r="AH1337" s="72" t="str">
        <f>Tableau3[[#This Row],[ID-API]]&amp; "." &amp;Tableau3[[#This Row],[ID-RACK]]&amp; "." &amp;Tableau3[[#This Row],[ID-SLOT]]</f>
        <v>9.2.4</v>
      </c>
      <c r="AI1337" s="72" t="str">
        <f>INDEX(Tableau1[Ref-Carte],MATCH(Tableau3[[#This Row],[ID-RRS]],Tableau1[ID-RRS],0))</f>
        <v>SDI1602</v>
      </c>
      <c r="AJ1337" s="72" t="str">
        <f t="array" ref="AJ1337">IFERROR(INDEX(Tableau2[TS],MATCH(1,(Tableau2[Ref-Carte]=Tableau3[[#This Row],[Ref-Carte2]])*(Tableau2[ID-Voie]=Tableau3[[#This Row],[ID-VOIE]]),0)),"")</f>
        <v>ET</v>
      </c>
      <c r="AK1337" s="72" t="str">
        <f>IFERROR(INDEX(Tableau2[TS],SUMPRODUCT((Tableau2[Ref-Carte]=Tableau3[[#This Row],[Ref-Carte2]])*(Tableau2[ID-Voie]=Tableau3[[#This Row],[ID-VOIE]])*ROW(Tableau2[TS]))-ROW(Tableau2[#Headers])),"")</f>
        <v>ET</v>
      </c>
      <c r="AL1337" s="72" t="str">
        <f>Tableau3[[#This Row],[Ref-Carte2]]&amp;"/"&amp;Tableau3[[#This Row],[ID-VOIE]]</f>
        <v>SDI1602/7</v>
      </c>
      <c r="AM1337" s="73" t="str">
        <f>INDEX(Tableau2[Borne],MATCH(Tableau3[[#This Row],[ID-CARTEVOIE]],Tableau2[ID-CARTEVOIE],0))&amp;""</f>
        <v>3A</v>
      </c>
      <c r="AN1337" s="74" t="str">
        <f>Tableau3[[#This Row],[ID-API]]&amp;Tableau3[[#This Row],[ID-RACK]]&amp;Tableau3[[#This Row],[ID-SLOT]]&amp;Tableau3[[#This Row],[BORNE]]</f>
        <v>9243A</v>
      </c>
      <c r="AO1337" s="1"/>
    </row>
    <row r="1338" spans="1:41" ht="20.100000000000001" customHeight="1" thickTop="1" thickBot="1">
      <c r="A1338" s="68"/>
      <c r="B1338" s="69" t="str">
        <f>IFERROR(INDEX(Tableau4[Date],MATCH($A1338,Tableau4[EVO],0)),"")</f>
        <v/>
      </c>
      <c r="C1338" s="68" t="str">
        <f>IFERROR(INDEX(Tableau4[Designation],MATCH($A1338,Tableau4[EVO],0)),"")</f>
        <v/>
      </c>
      <c r="D1338" s="68"/>
      <c r="E1338" s="70">
        <v>378</v>
      </c>
      <c r="F1338" s="71">
        <v>3</v>
      </c>
      <c r="G1338" s="101" t="str">
        <f>INDEX(Tableau8[Att1],MATCH(Tableau3[[#This Row],[ID-INS]],Tableau8[ID],0))&amp;""</f>
        <v>B22</v>
      </c>
      <c r="H1338" s="101" t="str">
        <f>INDEX(Tableau8[Att2],MATCH(Tableau3[[#This Row],[ID-INS]],Tableau8[ID],0))&amp;""</f>
        <v>PPH9</v>
      </c>
      <c r="I1338" s="101" t="str">
        <f>INDEX(Tableau8[Att3],MATCH(Tableau3[[#This Row],[ID-INS]],Tableau8[ID],0))&amp;""</f>
        <v>Fraude CP6 local VIGIE</v>
      </c>
      <c r="J1338" s="101"/>
      <c r="K1338" s="167" t="str">
        <f>INDEX(Tableau8[Nom du modele],MATCH(Tableau3[[#This Row],[ID-INS]],Tableau8[ID],0))&amp;""</f>
        <v>E_Divers</v>
      </c>
      <c r="L1338" s="99" t="str">
        <f>INDEX(Tableau5[Att1],MATCH(Tableau3[[#This Row],[ID-SIG]],Tableau5[ID],0))&amp;""</f>
        <v>C1</v>
      </c>
      <c r="M1338" s="99" t="str">
        <f>INDEX(Tableau5[Att2],MATCH(Tableau3[[#This Row],[ID-SIG]],Tableau5[ID],0))&amp;""</f>
        <v/>
      </c>
      <c r="N1338" s="99" t="str">
        <f>INDEX(Tableau5[Att3],MATCH(Tableau3[[#This Row],[ID-SIG]],Tableau5[ID],0))&amp;""</f>
        <v/>
      </c>
      <c r="O1338" s="99"/>
      <c r="P1338" s="99" t="str">
        <f>INDEX(Tableau5[Description],MATCH(Tableau3[[#This Row],[ID-SIG]],Tableau5[ID],0))</f>
        <v>Contact</v>
      </c>
      <c r="Q1338" s="99"/>
      <c r="R1338" s="103" t="str">
        <f>Tableau3[[#This Row],[Description]]</f>
        <v>Contact</v>
      </c>
      <c r="U1338" s="87">
        <v>9</v>
      </c>
      <c r="V1338" s="87">
        <v>2</v>
      </c>
      <c r="W1338" s="87">
        <v>4</v>
      </c>
      <c r="X1338" s="87">
        <v>8</v>
      </c>
      <c r="Y1338" s="40"/>
      <c r="Z1338" s="165" t="str">
        <f>INDEX(Tableau2[TS],MATCH(Tableau3[[#This Row],[ID-CARTEVOIE]],Tableau2[ID-CARTEVOIE],0))</f>
        <v>ET</v>
      </c>
      <c r="AA1338" s="53" t="s">
        <v>213</v>
      </c>
      <c r="AB1338" s="223" t="str">
        <f>IFERROR(INDEX(Tableau5[Reserve],MATCH(Tableau3[[#This Row],[ID-SIG]],Tableau5[ID],0))&amp;"","")</f>
        <v/>
      </c>
      <c r="AC1338" s="21"/>
      <c r="AD1338" s="108" t="str">
        <f>INDEX(Tableau7[Repere],MATCH(Tableau3[[#This Row],[ID-API]],Tableau7[ID-API],0))&amp;""</f>
        <v>A9</v>
      </c>
      <c r="AE1338" s="108" t="str">
        <f>INDEX(Tableau1[Repere-Rack],MATCH(Tableau3[[#This Row],[ID-RACK]],Tableau1[ID-RACK],0))&amp;""</f>
        <v>R2</v>
      </c>
      <c r="AF1338" s="108" t="str">
        <f>INDEX(Tableau1[Repere-Slot],MATCH(Tableau3[[#This Row],[ID-SLOT]],Tableau1[ID-SLOT],0))&amp;""</f>
        <v>S4</v>
      </c>
      <c r="AG1338" s="108" t="str">
        <f>INDEX(Tableau2[Repere-Voie],MATCH(Tableau3[[#This Row],[ID-VOIE]],Tableau2[ID-Voie],0))&amp;""</f>
        <v>v8</v>
      </c>
      <c r="AH1338" s="72" t="str">
        <f>Tableau3[[#This Row],[ID-API]]&amp; "." &amp;Tableau3[[#This Row],[ID-RACK]]&amp; "." &amp;Tableau3[[#This Row],[ID-SLOT]]</f>
        <v>9.2.4</v>
      </c>
      <c r="AI1338" s="72" t="str">
        <f>INDEX(Tableau1[Ref-Carte],MATCH(Tableau3[[#This Row],[ID-RRS]],Tableau1[ID-RRS],0))</f>
        <v>SDI1602</v>
      </c>
      <c r="AJ1338" s="72" t="str">
        <f t="array" ref="AJ1338">IFERROR(INDEX(Tableau2[TS],MATCH(1,(Tableau2[Ref-Carte]=Tableau3[[#This Row],[Ref-Carte2]])*(Tableau2[ID-Voie]=Tableau3[[#This Row],[ID-VOIE]]),0)),"")</f>
        <v>ET</v>
      </c>
      <c r="AK1338" s="72" t="str">
        <f>IFERROR(INDEX(Tableau2[TS],SUMPRODUCT((Tableau2[Ref-Carte]=Tableau3[[#This Row],[Ref-Carte2]])*(Tableau2[ID-Voie]=Tableau3[[#This Row],[ID-VOIE]])*ROW(Tableau2[TS]))-ROW(Tableau2[#Headers])),"")</f>
        <v>ET</v>
      </c>
      <c r="AL1338" s="72" t="str">
        <f>Tableau3[[#This Row],[Ref-Carte2]]&amp;"/"&amp;Tableau3[[#This Row],[ID-VOIE]]</f>
        <v>SDI1602/8</v>
      </c>
      <c r="AM1338" s="73" t="str">
        <f>INDEX(Tableau2[Borne],MATCH(Tableau3[[#This Row],[ID-CARTEVOIE]],Tableau2[ID-CARTEVOIE],0))&amp;""</f>
        <v>4B</v>
      </c>
      <c r="AN1338" s="74" t="str">
        <f>Tableau3[[#This Row],[ID-API]]&amp;Tableau3[[#This Row],[ID-RACK]]&amp;Tableau3[[#This Row],[ID-SLOT]]&amp;Tableau3[[#This Row],[BORNE]]</f>
        <v>9244B</v>
      </c>
      <c r="AO1338" s="1"/>
    </row>
    <row r="1339" spans="1:41" ht="20.100000000000001" customHeight="1" thickTop="1" thickBot="1">
      <c r="A1339" s="134"/>
      <c r="B1339" s="135" t="str">
        <f>IFERROR(INDEX(Tableau4[Date],MATCH($A1339,Tableau4[EVO],0)),"")</f>
        <v/>
      </c>
      <c r="C1339" s="136" t="str">
        <f>IFERROR(INDEX(Tableau4[Designation],MATCH($A1339,Tableau4[EVO],0)),"")</f>
        <v/>
      </c>
      <c r="D1339" s="134"/>
      <c r="E1339" s="137">
        <v>379</v>
      </c>
      <c r="F1339" s="138">
        <v>3</v>
      </c>
      <c r="G1339" s="139" t="str">
        <f>INDEX(Tableau8[Att1],MATCH(Tableau3[[#This Row],[ID-INS]],Tableau8[ID],0))&amp;""</f>
        <v>B22</v>
      </c>
      <c r="H1339" s="139" t="str">
        <f>INDEX(Tableau8[Att2],MATCH(Tableau3[[#This Row],[ID-INS]],Tableau8[ID],0))&amp;""</f>
        <v>PPH10</v>
      </c>
      <c r="I1339" s="139" t="str">
        <f>INDEX(Tableau8[Att3],MATCH(Tableau3[[#This Row],[ID-INS]],Tableau8[ID],0))&amp;""</f>
        <v>Alarme CP9 portillon voie PL</v>
      </c>
      <c r="J1339" s="101"/>
      <c r="K1339" s="167" t="str">
        <f>INDEX(Tableau8[Nom du modele],MATCH(Tableau3[[#This Row],[ID-INS]],Tableau8[ID],0))&amp;""</f>
        <v>E_Divers</v>
      </c>
      <c r="L1339" s="141" t="str">
        <f>INDEX(Tableau5[Att1],MATCH(Tableau3[[#This Row],[ID-SIG]],Tableau5[ID],0))&amp;""</f>
        <v>C1</v>
      </c>
      <c r="M1339" s="141" t="str">
        <f>INDEX(Tableau5[Att2],MATCH(Tableau3[[#This Row],[ID-SIG]],Tableau5[ID],0))&amp;""</f>
        <v/>
      </c>
      <c r="N1339" s="141" t="str">
        <f>INDEX(Tableau5[Att3],MATCH(Tableau3[[#This Row],[ID-SIG]],Tableau5[ID],0))&amp;""</f>
        <v/>
      </c>
      <c r="O1339" s="99"/>
      <c r="P1339" s="141" t="str">
        <f>INDEX(Tableau5[Description],MATCH(Tableau3[[#This Row],[ID-SIG]],Tableau5[ID],0))</f>
        <v>Contact</v>
      </c>
      <c r="Q1339" s="99"/>
      <c r="R1339" s="142" t="str">
        <f>Tableau3[[#This Row],[Description]]</f>
        <v>Contact</v>
      </c>
      <c r="U1339" s="87">
        <v>9</v>
      </c>
      <c r="V1339" s="87">
        <v>2</v>
      </c>
      <c r="W1339" s="87">
        <v>4</v>
      </c>
      <c r="X1339" s="87">
        <v>9</v>
      </c>
      <c r="Y1339" s="40"/>
      <c r="Z1339" s="165" t="str">
        <f>INDEX(Tableau2[TS],MATCH(Tableau3[[#This Row],[ID-CARTEVOIE]],Tableau2[ID-CARTEVOIE],0))</f>
        <v>ET</v>
      </c>
      <c r="AA1339" s="53" t="s">
        <v>213</v>
      </c>
      <c r="AB1339" s="223" t="str">
        <f>IFERROR(INDEX(Tableau5[Reserve],MATCH(Tableau3[[#This Row],[ID-SIG]],Tableau5[ID],0))&amp;"","")</f>
        <v/>
      </c>
      <c r="AC1339" s="119"/>
      <c r="AD1339" s="120" t="str">
        <f>INDEX(Tableau7[Repere],MATCH(Tableau3[[#This Row],[ID-API]],Tableau7[ID-API],0))&amp;""</f>
        <v>A9</v>
      </c>
      <c r="AE1339" s="120" t="str">
        <f>INDEX(Tableau1[Repere-Rack],MATCH(Tableau3[[#This Row],[ID-RACK]],Tableau1[ID-RACK],0))&amp;""</f>
        <v>R2</v>
      </c>
      <c r="AF1339" s="120" t="str">
        <f>INDEX(Tableau1[Repere-Slot],MATCH(Tableau3[[#This Row],[ID-SLOT]],Tableau1[ID-SLOT],0))&amp;""</f>
        <v>S4</v>
      </c>
      <c r="AG1339" s="120" t="str">
        <f>INDEX(Tableau2[Repere-Voie],MATCH(Tableau3[[#This Row],[ID-VOIE]],Tableau2[ID-Voie],0))&amp;""</f>
        <v>v9</v>
      </c>
      <c r="AH1339" s="122" t="str">
        <f>Tableau3[[#This Row],[ID-API]]&amp; "." &amp;Tableau3[[#This Row],[ID-RACK]]&amp; "." &amp;Tableau3[[#This Row],[ID-SLOT]]</f>
        <v>9.2.4</v>
      </c>
      <c r="AI1339" s="72" t="str">
        <f>INDEX(Tableau1[Ref-Carte],MATCH(Tableau3[[#This Row],[ID-RRS]],Tableau1[ID-RRS],0))</f>
        <v>SDI1602</v>
      </c>
      <c r="AJ1339" s="72" t="str">
        <f t="array" ref="AJ1339">IFERROR(INDEX(Tableau2[TS],MATCH(1,(Tableau2[Ref-Carte]=Tableau3[[#This Row],[Ref-Carte2]])*(Tableau2[ID-Voie]=Tableau3[[#This Row],[ID-VOIE]]),0)),"")</f>
        <v>ET</v>
      </c>
      <c r="AK1339" s="72" t="str">
        <f>IFERROR(INDEX(Tableau2[TS],SUMPRODUCT((Tableau2[Ref-Carte]=Tableau3[[#This Row],[Ref-Carte2]])*(Tableau2[ID-Voie]=Tableau3[[#This Row],[ID-VOIE]])*ROW(Tableau2[TS]))-ROW(Tableau2[#Headers])),"")</f>
        <v>ET</v>
      </c>
      <c r="AL1339" s="122" t="str">
        <f>Tableau3[[#This Row],[Ref-Carte2]]&amp;"/"&amp;Tableau3[[#This Row],[ID-VOIE]]</f>
        <v>SDI1602/9</v>
      </c>
      <c r="AM1339" s="145" t="str">
        <f>INDEX(Tableau2[Borne],MATCH(Tableau3[[#This Row],[ID-CARTEVOIE]],Tableau2[ID-CARTEVOIE],0))&amp;""</f>
        <v>4A</v>
      </c>
      <c r="AN1339" s="124" t="str">
        <f>Tableau3[[#This Row],[ID-API]]&amp;Tableau3[[#This Row],[ID-RACK]]&amp;Tableau3[[#This Row],[ID-SLOT]]&amp;Tableau3[[#This Row],[BORNE]]</f>
        <v>9244A</v>
      </c>
      <c r="AO1339" s="125"/>
    </row>
    <row r="1340" spans="1:41" ht="20.100000000000001" customHeight="1" thickTop="1" thickBot="1">
      <c r="A1340" s="134"/>
      <c r="B1340" s="135" t="str">
        <f>IFERROR(INDEX(Tableau4[Date],MATCH($A1340,Tableau4[EVO],0)),"")</f>
        <v/>
      </c>
      <c r="C1340" s="136" t="str">
        <f>IFERROR(INDEX(Tableau4[Designation],MATCH($A1340,Tableau4[EVO],0)),"")</f>
        <v/>
      </c>
      <c r="D1340" s="134"/>
      <c r="E1340" s="137">
        <v>380</v>
      </c>
      <c r="F1340" s="138">
        <v>3</v>
      </c>
      <c r="G1340" s="139" t="str">
        <f>INDEX(Tableau8[Att1],MATCH(Tableau3[[#This Row],[ID-INS]],Tableau8[ID],0))&amp;""</f>
        <v>B22</v>
      </c>
      <c r="H1340" s="139" t="str">
        <f>INDEX(Tableau8[Att2],MATCH(Tableau3[[#This Row],[ID-INS]],Tableau8[ID],0))&amp;""</f>
        <v>PPH11</v>
      </c>
      <c r="I1340" s="139" t="str">
        <f>INDEX(Tableau8[Att3],MATCH(Tableau3[[#This Row],[ID-INS]],Tableau8[ID],0))&amp;""</f>
        <v>Fraude CP9 portillon voie PL</v>
      </c>
      <c r="J1340" s="101"/>
      <c r="K1340" s="167" t="str">
        <f>INDEX(Tableau8[Nom du modele],MATCH(Tableau3[[#This Row],[ID-INS]],Tableau8[ID],0))&amp;""</f>
        <v>E_Divers</v>
      </c>
      <c r="L1340" s="141" t="str">
        <f>INDEX(Tableau5[Att1],MATCH(Tableau3[[#This Row],[ID-SIG]],Tableau5[ID],0))&amp;""</f>
        <v>C1</v>
      </c>
      <c r="M1340" s="141" t="str">
        <f>INDEX(Tableau5[Att2],MATCH(Tableau3[[#This Row],[ID-SIG]],Tableau5[ID],0))&amp;""</f>
        <v/>
      </c>
      <c r="N1340" s="141" t="str">
        <f>INDEX(Tableau5[Att3],MATCH(Tableau3[[#This Row],[ID-SIG]],Tableau5[ID],0))&amp;""</f>
        <v/>
      </c>
      <c r="O1340" s="99"/>
      <c r="P1340" s="141" t="str">
        <f>INDEX(Tableau5[Description],MATCH(Tableau3[[#This Row],[ID-SIG]],Tableau5[ID],0))</f>
        <v>Contact</v>
      </c>
      <c r="Q1340" s="99"/>
      <c r="R1340" s="142" t="str">
        <f>Tableau3[[#This Row],[Description]]</f>
        <v>Contact</v>
      </c>
      <c r="U1340" s="87">
        <v>9</v>
      </c>
      <c r="V1340" s="87">
        <v>2</v>
      </c>
      <c r="W1340" s="87">
        <v>4</v>
      </c>
      <c r="X1340" s="87">
        <v>10</v>
      </c>
      <c r="Y1340" s="40"/>
      <c r="Z1340" s="165" t="str">
        <f>INDEX(Tableau2[TS],MATCH(Tableau3[[#This Row],[ID-CARTEVOIE]],Tableau2[ID-CARTEVOIE],0))</f>
        <v>ET</v>
      </c>
      <c r="AA1340" s="53" t="s">
        <v>213</v>
      </c>
      <c r="AB1340" s="223" t="str">
        <f>IFERROR(INDEX(Tableau5[Reserve],MATCH(Tableau3[[#This Row],[ID-SIG]],Tableau5[ID],0))&amp;"","")</f>
        <v/>
      </c>
      <c r="AC1340" s="119"/>
      <c r="AD1340" s="120" t="str">
        <f>INDEX(Tableau7[Repere],MATCH(Tableau3[[#This Row],[ID-API]],Tableau7[ID-API],0))&amp;""</f>
        <v>A9</v>
      </c>
      <c r="AE1340" s="120" t="str">
        <f>INDEX(Tableau1[Repere-Rack],MATCH(Tableau3[[#This Row],[ID-RACK]],Tableau1[ID-RACK],0))&amp;""</f>
        <v>R2</v>
      </c>
      <c r="AF1340" s="120" t="str">
        <f>INDEX(Tableau1[Repere-Slot],MATCH(Tableau3[[#This Row],[ID-SLOT]],Tableau1[ID-SLOT],0))&amp;""</f>
        <v>S4</v>
      </c>
      <c r="AG1340" s="120" t="str">
        <f>INDEX(Tableau2[Repere-Voie],MATCH(Tableau3[[#This Row],[ID-VOIE]],Tableau2[ID-Voie],0))&amp;""</f>
        <v>v10</v>
      </c>
      <c r="AH1340" s="122" t="str">
        <f>Tableau3[[#This Row],[ID-API]]&amp; "." &amp;Tableau3[[#This Row],[ID-RACK]]&amp; "." &amp;Tableau3[[#This Row],[ID-SLOT]]</f>
        <v>9.2.4</v>
      </c>
      <c r="AI1340" s="72" t="str">
        <f>INDEX(Tableau1[Ref-Carte],MATCH(Tableau3[[#This Row],[ID-RRS]],Tableau1[ID-RRS],0))</f>
        <v>SDI1602</v>
      </c>
      <c r="AJ1340" s="72" t="str">
        <f t="array" ref="AJ1340">IFERROR(INDEX(Tableau2[TS],MATCH(1,(Tableau2[Ref-Carte]=Tableau3[[#This Row],[Ref-Carte2]])*(Tableau2[ID-Voie]=Tableau3[[#This Row],[ID-VOIE]]),0)),"")</f>
        <v>ET</v>
      </c>
      <c r="AK1340" s="72" t="str">
        <f>IFERROR(INDEX(Tableau2[TS],SUMPRODUCT((Tableau2[Ref-Carte]=Tableau3[[#This Row],[Ref-Carte2]])*(Tableau2[ID-Voie]=Tableau3[[#This Row],[ID-VOIE]])*ROW(Tableau2[TS]))-ROW(Tableau2[#Headers])),"")</f>
        <v>ET</v>
      </c>
      <c r="AL1340" s="122" t="str">
        <f>Tableau3[[#This Row],[Ref-Carte2]]&amp;"/"&amp;Tableau3[[#This Row],[ID-VOIE]]</f>
        <v>SDI1602/10</v>
      </c>
      <c r="AM1340" s="145" t="str">
        <f>INDEX(Tableau2[Borne],MATCH(Tableau3[[#This Row],[ID-CARTEVOIE]],Tableau2[ID-CARTEVOIE],0))&amp;""</f>
        <v>5B</v>
      </c>
      <c r="AN1340" s="124" t="str">
        <f>Tableau3[[#This Row],[ID-API]]&amp;Tableau3[[#This Row],[ID-RACK]]&amp;Tableau3[[#This Row],[ID-SLOT]]&amp;Tableau3[[#This Row],[BORNE]]</f>
        <v>9245B</v>
      </c>
      <c r="AO1340" s="125"/>
    </row>
    <row r="1341" spans="1:41" ht="20.100000000000001" customHeight="1" thickTop="1" thickBot="1">
      <c r="A1341" s="134"/>
      <c r="B1341" s="135" t="str">
        <f>IFERROR(INDEX(Tableau4[Date],MATCH($A1341,Tableau4[EVO],0)),"")</f>
        <v/>
      </c>
      <c r="C1341" s="136" t="str">
        <f>IFERROR(INDEX(Tableau4[Designation],MATCH($A1341,Tableau4[EVO],0)),"")</f>
        <v/>
      </c>
      <c r="D1341" s="134"/>
      <c r="E1341" s="137">
        <v>381</v>
      </c>
      <c r="F1341" s="138">
        <v>3</v>
      </c>
      <c r="G1341" s="139" t="str">
        <f>INDEX(Tableau8[Att1],MATCH(Tableau3[[#This Row],[ID-INS]],Tableau8[ID],0))&amp;""</f>
        <v>B22</v>
      </c>
      <c r="H1341" s="139" t="str">
        <f>INDEX(Tableau8[Att2],MATCH(Tableau3[[#This Row],[ID-INS]],Tableau8[ID],0))&amp;""</f>
        <v>PPH12</v>
      </c>
      <c r="I1341" s="139" t="str">
        <f>INDEX(Tableau8[Att3],MATCH(Tableau3[[#This Row],[ID-INS]],Tableau8[ID],0))&amp;""</f>
        <v>Alarme CP10 porte sortie FLS CTRL</v>
      </c>
      <c r="J1341" s="101"/>
      <c r="K1341" s="167" t="str">
        <f>INDEX(Tableau8[Nom du modele],MATCH(Tableau3[[#This Row],[ID-INS]],Tableau8[ID],0))&amp;""</f>
        <v>E_Divers</v>
      </c>
      <c r="L1341" s="141" t="str">
        <f>INDEX(Tableau5[Att1],MATCH(Tableau3[[#This Row],[ID-SIG]],Tableau5[ID],0))&amp;""</f>
        <v>C1</v>
      </c>
      <c r="M1341" s="141" t="str">
        <f>INDEX(Tableau5[Att2],MATCH(Tableau3[[#This Row],[ID-SIG]],Tableau5[ID],0))&amp;""</f>
        <v/>
      </c>
      <c r="N1341" s="141" t="str">
        <f>INDEX(Tableau5[Att3],MATCH(Tableau3[[#This Row],[ID-SIG]],Tableau5[ID],0))&amp;""</f>
        <v/>
      </c>
      <c r="O1341" s="99"/>
      <c r="P1341" s="141" t="str">
        <f>INDEX(Tableau5[Description],MATCH(Tableau3[[#This Row],[ID-SIG]],Tableau5[ID],0))</f>
        <v>Contact</v>
      </c>
      <c r="Q1341" s="99"/>
      <c r="R1341" s="142" t="str">
        <f>Tableau3[[#This Row],[Description]]</f>
        <v>Contact</v>
      </c>
      <c r="U1341" s="87">
        <v>9</v>
      </c>
      <c r="V1341" s="87">
        <v>2</v>
      </c>
      <c r="W1341" s="87">
        <v>4</v>
      </c>
      <c r="X1341" s="87">
        <v>11</v>
      </c>
      <c r="Y1341" s="40"/>
      <c r="Z1341" s="165" t="str">
        <f>INDEX(Tableau2[TS],MATCH(Tableau3[[#This Row],[ID-CARTEVOIE]],Tableau2[ID-CARTEVOIE],0))</f>
        <v>ET</v>
      </c>
      <c r="AA1341" s="53" t="s">
        <v>213</v>
      </c>
      <c r="AB1341" s="223" t="str">
        <f>IFERROR(INDEX(Tableau5[Reserve],MATCH(Tableau3[[#This Row],[ID-SIG]],Tableau5[ID],0))&amp;"","")</f>
        <v/>
      </c>
      <c r="AC1341" s="119"/>
      <c r="AD1341" s="120" t="str">
        <f>INDEX(Tableau7[Repere],MATCH(Tableau3[[#This Row],[ID-API]],Tableau7[ID-API],0))&amp;""</f>
        <v>A9</v>
      </c>
      <c r="AE1341" s="120" t="str">
        <f>INDEX(Tableau1[Repere-Rack],MATCH(Tableau3[[#This Row],[ID-RACK]],Tableau1[ID-RACK],0))&amp;""</f>
        <v>R2</v>
      </c>
      <c r="AF1341" s="120" t="str">
        <f>INDEX(Tableau1[Repere-Slot],MATCH(Tableau3[[#This Row],[ID-SLOT]],Tableau1[ID-SLOT],0))&amp;""</f>
        <v>S4</v>
      </c>
      <c r="AG1341" s="120" t="str">
        <f>INDEX(Tableau2[Repere-Voie],MATCH(Tableau3[[#This Row],[ID-VOIE]],Tableau2[ID-Voie],0))&amp;""</f>
        <v>v11</v>
      </c>
      <c r="AH1341" s="122" t="str">
        <f>Tableau3[[#This Row],[ID-API]]&amp; "." &amp;Tableau3[[#This Row],[ID-RACK]]&amp; "." &amp;Tableau3[[#This Row],[ID-SLOT]]</f>
        <v>9.2.4</v>
      </c>
      <c r="AI1341" s="72" t="str">
        <f>INDEX(Tableau1[Ref-Carte],MATCH(Tableau3[[#This Row],[ID-RRS]],Tableau1[ID-RRS],0))</f>
        <v>SDI1602</v>
      </c>
      <c r="AJ1341" s="72" t="str">
        <f t="array" ref="AJ1341">IFERROR(INDEX(Tableau2[TS],MATCH(1,(Tableau2[Ref-Carte]=Tableau3[[#This Row],[Ref-Carte2]])*(Tableau2[ID-Voie]=Tableau3[[#This Row],[ID-VOIE]]),0)),"")</f>
        <v>ET</v>
      </c>
      <c r="AK1341" s="72" t="str">
        <f>IFERROR(INDEX(Tableau2[TS],SUMPRODUCT((Tableau2[Ref-Carte]=Tableau3[[#This Row],[Ref-Carte2]])*(Tableau2[ID-Voie]=Tableau3[[#This Row],[ID-VOIE]])*ROW(Tableau2[TS]))-ROW(Tableau2[#Headers])),"")</f>
        <v>ET</v>
      </c>
      <c r="AL1341" s="122" t="str">
        <f>Tableau3[[#This Row],[Ref-Carte2]]&amp;"/"&amp;Tableau3[[#This Row],[ID-VOIE]]</f>
        <v>SDI1602/11</v>
      </c>
      <c r="AM1341" s="145" t="str">
        <f>INDEX(Tableau2[Borne],MATCH(Tableau3[[#This Row],[ID-CARTEVOIE]],Tableau2[ID-CARTEVOIE],0))&amp;""</f>
        <v>5A</v>
      </c>
      <c r="AN1341" s="124" t="str">
        <f>Tableau3[[#This Row],[ID-API]]&amp;Tableau3[[#This Row],[ID-RACK]]&amp;Tableau3[[#This Row],[ID-SLOT]]&amp;Tableau3[[#This Row],[BORNE]]</f>
        <v>9245A</v>
      </c>
      <c r="AO1341" s="125"/>
    </row>
    <row r="1342" spans="1:41" ht="20.100000000000001" customHeight="1" thickTop="1" thickBot="1">
      <c r="A1342" s="134"/>
      <c r="B1342" s="135" t="str">
        <f>IFERROR(INDEX(Tableau4[Date],MATCH($A1342,Tableau4[EVO],0)),"")</f>
        <v/>
      </c>
      <c r="C1342" s="136" t="str">
        <f>IFERROR(INDEX(Tableau4[Designation],MATCH($A1342,Tableau4[EVO],0)),"")</f>
        <v/>
      </c>
      <c r="D1342" s="134"/>
      <c r="E1342" s="137">
        <v>382</v>
      </c>
      <c r="F1342" s="138">
        <v>3</v>
      </c>
      <c r="G1342" s="139" t="str">
        <f>INDEX(Tableau8[Att1],MATCH(Tableau3[[#This Row],[ID-INS]],Tableau8[ID],0))&amp;""</f>
        <v>B22</v>
      </c>
      <c r="H1342" s="139" t="str">
        <f>INDEX(Tableau8[Att2],MATCH(Tableau3[[#This Row],[ID-INS]],Tableau8[ID],0))&amp;""</f>
        <v>PPH13</v>
      </c>
      <c r="I1342" s="139" t="str">
        <f>INDEX(Tableau8[Att3],MATCH(Tableau3[[#This Row],[ID-INS]],Tableau8[ID],0))&amp;""</f>
        <v>Fraude CP10 porte sortie FLS CTRL</v>
      </c>
      <c r="J1342" s="101"/>
      <c r="K1342" s="167" t="str">
        <f>INDEX(Tableau8[Nom du modele],MATCH(Tableau3[[#This Row],[ID-INS]],Tableau8[ID],0))&amp;""</f>
        <v>E_Divers</v>
      </c>
      <c r="L1342" s="141" t="str">
        <f>INDEX(Tableau5[Att1],MATCH(Tableau3[[#This Row],[ID-SIG]],Tableau5[ID],0))&amp;""</f>
        <v>C1</v>
      </c>
      <c r="M1342" s="141" t="str">
        <f>INDEX(Tableau5[Att2],MATCH(Tableau3[[#This Row],[ID-SIG]],Tableau5[ID],0))&amp;""</f>
        <v/>
      </c>
      <c r="N1342" s="141" t="str">
        <f>INDEX(Tableau5[Att3],MATCH(Tableau3[[#This Row],[ID-SIG]],Tableau5[ID],0))&amp;""</f>
        <v/>
      </c>
      <c r="O1342" s="99"/>
      <c r="P1342" s="141" t="str">
        <f>INDEX(Tableau5[Description],MATCH(Tableau3[[#This Row],[ID-SIG]],Tableau5[ID],0))</f>
        <v>Contact</v>
      </c>
      <c r="Q1342" s="99"/>
      <c r="R1342" s="142" t="str">
        <f>Tableau3[[#This Row],[Description]]</f>
        <v>Contact</v>
      </c>
      <c r="U1342" s="87">
        <v>9</v>
      </c>
      <c r="V1342" s="87">
        <v>2</v>
      </c>
      <c r="W1342" s="87">
        <v>4</v>
      </c>
      <c r="X1342" s="87">
        <v>12</v>
      </c>
      <c r="Y1342" s="40"/>
      <c r="Z1342" s="165" t="str">
        <f>INDEX(Tableau2[TS],MATCH(Tableau3[[#This Row],[ID-CARTEVOIE]],Tableau2[ID-CARTEVOIE],0))</f>
        <v>ET</v>
      </c>
      <c r="AA1342" s="53" t="s">
        <v>213</v>
      </c>
      <c r="AB1342" s="223" t="str">
        <f>IFERROR(INDEX(Tableau5[Reserve],MATCH(Tableau3[[#This Row],[ID-SIG]],Tableau5[ID],0))&amp;"","")</f>
        <v/>
      </c>
      <c r="AC1342" s="119"/>
      <c r="AD1342" s="120" t="str">
        <f>INDEX(Tableau7[Repere],MATCH(Tableau3[[#This Row],[ID-API]],Tableau7[ID-API],0))&amp;""</f>
        <v>A9</v>
      </c>
      <c r="AE1342" s="120" t="str">
        <f>INDEX(Tableau1[Repere-Rack],MATCH(Tableau3[[#This Row],[ID-RACK]],Tableau1[ID-RACK],0))&amp;""</f>
        <v>R2</v>
      </c>
      <c r="AF1342" s="120" t="str">
        <f>INDEX(Tableau1[Repere-Slot],MATCH(Tableau3[[#This Row],[ID-SLOT]],Tableau1[ID-SLOT],0))&amp;""</f>
        <v>S4</v>
      </c>
      <c r="AG1342" s="120" t="str">
        <f>INDEX(Tableau2[Repere-Voie],MATCH(Tableau3[[#This Row],[ID-VOIE]],Tableau2[ID-Voie],0))&amp;""</f>
        <v>v12</v>
      </c>
      <c r="AH1342" s="122" t="str">
        <f>Tableau3[[#This Row],[ID-API]]&amp; "." &amp;Tableau3[[#This Row],[ID-RACK]]&amp; "." &amp;Tableau3[[#This Row],[ID-SLOT]]</f>
        <v>9.2.4</v>
      </c>
      <c r="AI1342" s="72" t="str">
        <f>INDEX(Tableau1[Ref-Carte],MATCH(Tableau3[[#This Row],[ID-RRS]],Tableau1[ID-RRS],0))</f>
        <v>SDI1602</v>
      </c>
      <c r="AJ1342" s="72" t="str">
        <f t="array" ref="AJ1342">IFERROR(INDEX(Tableau2[TS],MATCH(1,(Tableau2[Ref-Carte]=Tableau3[[#This Row],[Ref-Carte2]])*(Tableau2[ID-Voie]=Tableau3[[#This Row],[ID-VOIE]]),0)),"")</f>
        <v>ET</v>
      </c>
      <c r="AK1342" s="72" t="str">
        <f>IFERROR(INDEX(Tableau2[TS],SUMPRODUCT((Tableau2[Ref-Carte]=Tableau3[[#This Row],[Ref-Carte2]])*(Tableau2[ID-Voie]=Tableau3[[#This Row],[ID-VOIE]])*ROW(Tableau2[TS]))-ROW(Tableau2[#Headers])),"")</f>
        <v>ET</v>
      </c>
      <c r="AL1342" s="122" t="str">
        <f>Tableau3[[#This Row],[Ref-Carte2]]&amp;"/"&amp;Tableau3[[#This Row],[ID-VOIE]]</f>
        <v>SDI1602/12</v>
      </c>
      <c r="AM1342" s="145" t="str">
        <f>INDEX(Tableau2[Borne],MATCH(Tableau3[[#This Row],[ID-CARTEVOIE]],Tableau2[ID-CARTEVOIE],0))&amp;""</f>
        <v>6B</v>
      </c>
      <c r="AN1342" s="124" t="str">
        <f>Tableau3[[#This Row],[ID-API]]&amp;Tableau3[[#This Row],[ID-RACK]]&amp;Tableau3[[#This Row],[ID-SLOT]]&amp;Tableau3[[#This Row],[BORNE]]</f>
        <v>9246B</v>
      </c>
      <c r="AO1342" s="125"/>
    </row>
    <row r="1343" spans="1:41" ht="20.100000000000001" customHeight="1" thickTop="1" thickBot="1">
      <c r="A1343" s="134"/>
      <c r="B1343" s="135" t="str">
        <f>IFERROR(INDEX(Tableau4[Date],MATCH($A1343,Tableau4[EVO],0)),"")</f>
        <v/>
      </c>
      <c r="C1343" s="136" t="str">
        <f>IFERROR(INDEX(Tableau4[Designation],MATCH($A1343,Tableau4[EVO],0)),"")</f>
        <v/>
      </c>
      <c r="D1343" s="134"/>
      <c r="E1343" s="137">
        <v>383</v>
      </c>
      <c r="F1343" s="138">
        <v>3</v>
      </c>
      <c r="G1343" s="139" t="str">
        <f>INDEX(Tableau8[Att1],MATCH(Tableau3[[#This Row],[ID-INS]],Tableau8[ID],0))&amp;""</f>
        <v>B22</v>
      </c>
      <c r="H1343" s="139" t="str">
        <f>INDEX(Tableau8[Att2],MATCH(Tableau3[[#This Row],[ID-INS]],Tableau8[ID],0))&amp;""</f>
        <v>PPH14</v>
      </c>
      <c r="I1343" s="139" t="str">
        <f>INDEX(Tableau8[Att3],MATCH(Tableau3[[#This Row],[ID-INS]],Tableau8[ID],0))&amp;""</f>
        <v>Alarme CP13 local CFI</v>
      </c>
      <c r="J1343" s="101"/>
      <c r="K1343" s="167" t="str">
        <f>INDEX(Tableau8[Nom du modele],MATCH(Tableau3[[#This Row],[ID-INS]],Tableau8[ID],0))&amp;""</f>
        <v>E_Divers</v>
      </c>
      <c r="L1343" s="141" t="str">
        <f>INDEX(Tableau5[Att1],MATCH(Tableau3[[#This Row],[ID-SIG]],Tableau5[ID],0))&amp;""</f>
        <v>C1</v>
      </c>
      <c r="M1343" s="141" t="str">
        <f>INDEX(Tableau5[Att2],MATCH(Tableau3[[#This Row],[ID-SIG]],Tableau5[ID],0))&amp;""</f>
        <v/>
      </c>
      <c r="N1343" s="141" t="str">
        <f>INDEX(Tableau5[Att3],MATCH(Tableau3[[#This Row],[ID-SIG]],Tableau5[ID],0))&amp;""</f>
        <v/>
      </c>
      <c r="O1343" s="99"/>
      <c r="P1343" s="141" t="str">
        <f>INDEX(Tableau5[Description],MATCH(Tableau3[[#This Row],[ID-SIG]],Tableau5[ID],0))</f>
        <v>Contact</v>
      </c>
      <c r="Q1343" s="99"/>
      <c r="R1343" s="142" t="str">
        <f>Tableau3[[#This Row],[Description]]</f>
        <v>Contact</v>
      </c>
      <c r="U1343" s="87">
        <v>9</v>
      </c>
      <c r="V1343" s="87">
        <v>2</v>
      </c>
      <c r="W1343" s="87">
        <v>4</v>
      </c>
      <c r="X1343" s="87">
        <v>13</v>
      </c>
      <c r="Y1343" s="40"/>
      <c r="Z1343" s="165" t="str">
        <f>INDEX(Tableau2[TS],MATCH(Tableau3[[#This Row],[ID-CARTEVOIE]],Tableau2[ID-CARTEVOIE],0))</f>
        <v>ET</v>
      </c>
      <c r="AA1343" s="53" t="s">
        <v>213</v>
      </c>
      <c r="AB1343" s="223" t="str">
        <f>IFERROR(INDEX(Tableau5[Reserve],MATCH(Tableau3[[#This Row],[ID-SIG]],Tableau5[ID],0))&amp;"","")</f>
        <v/>
      </c>
      <c r="AC1343" s="119"/>
      <c r="AD1343" s="120" t="str">
        <f>INDEX(Tableau7[Repere],MATCH(Tableau3[[#This Row],[ID-API]],Tableau7[ID-API],0))&amp;""</f>
        <v>A9</v>
      </c>
      <c r="AE1343" s="120" t="str">
        <f>INDEX(Tableau1[Repere-Rack],MATCH(Tableau3[[#This Row],[ID-RACK]],Tableau1[ID-RACK],0))&amp;""</f>
        <v>R2</v>
      </c>
      <c r="AF1343" s="120" t="str">
        <f>INDEX(Tableau1[Repere-Slot],MATCH(Tableau3[[#This Row],[ID-SLOT]],Tableau1[ID-SLOT],0))&amp;""</f>
        <v>S4</v>
      </c>
      <c r="AG1343" s="120" t="str">
        <f>INDEX(Tableau2[Repere-Voie],MATCH(Tableau3[[#This Row],[ID-VOIE]],Tableau2[ID-Voie],0))&amp;""</f>
        <v>v13</v>
      </c>
      <c r="AH1343" s="122" t="str">
        <f>Tableau3[[#This Row],[ID-API]]&amp; "." &amp;Tableau3[[#This Row],[ID-RACK]]&amp; "." &amp;Tableau3[[#This Row],[ID-SLOT]]</f>
        <v>9.2.4</v>
      </c>
      <c r="AI1343" s="72" t="str">
        <f>INDEX(Tableau1[Ref-Carte],MATCH(Tableau3[[#This Row],[ID-RRS]],Tableau1[ID-RRS],0))</f>
        <v>SDI1602</v>
      </c>
      <c r="AJ1343" s="72" t="str">
        <f t="array" ref="AJ1343">IFERROR(INDEX(Tableau2[TS],MATCH(1,(Tableau2[Ref-Carte]=Tableau3[[#This Row],[Ref-Carte2]])*(Tableau2[ID-Voie]=Tableau3[[#This Row],[ID-VOIE]]),0)),"")</f>
        <v>ET</v>
      </c>
      <c r="AK1343" s="72" t="str">
        <f>IFERROR(INDEX(Tableau2[TS],SUMPRODUCT((Tableau2[Ref-Carte]=Tableau3[[#This Row],[Ref-Carte2]])*(Tableau2[ID-Voie]=Tableau3[[#This Row],[ID-VOIE]])*ROW(Tableau2[TS]))-ROW(Tableau2[#Headers])),"")</f>
        <v>ET</v>
      </c>
      <c r="AL1343" s="122" t="str">
        <f>Tableau3[[#This Row],[Ref-Carte2]]&amp;"/"&amp;Tableau3[[#This Row],[ID-VOIE]]</f>
        <v>SDI1602/13</v>
      </c>
      <c r="AM1343" s="145" t="str">
        <f>INDEX(Tableau2[Borne],MATCH(Tableau3[[#This Row],[ID-CARTEVOIE]],Tableau2[ID-CARTEVOIE],0))&amp;""</f>
        <v>6A</v>
      </c>
      <c r="AN1343" s="124" t="str">
        <f>Tableau3[[#This Row],[ID-API]]&amp;Tableau3[[#This Row],[ID-RACK]]&amp;Tableau3[[#This Row],[ID-SLOT]]&amp;Tableau3[[#This Row],[BORNE]]</f>
        <v>9246A</v>
      </c>
      <c r="AO1343" s="125"/>
    </row>
    <row r="1344" spans="1:41" ht="20.100000000000001" customHeight="1" thickTop="1" thickBot="1">
      <c r="A1344" s="134"/>
      <c r="B1344" s="135" t="str">
        <f>IFERROR(INDEX(Tableau4[Date],MATCH($A1344,Tableau4[EVO],0)),"")</f>
        <v/>
      </c>
      <c r="C1344" s="136" t="str">
        <f>IFERROR(INDEX(Tableau4[Designation],MATCH($A1344,Tableau4[EVO],0)),"")</f>
        <v/>
      </c>
      <c r="D1344" s="134"/>
      <c r="E1344" s="137">
        <v>384</v>
      </c>
      <c r="F1344" s="138">
        <v>3</v>
      </c>
      <c r="G1344" s="139" t="str">
        <f>INDEX(Tableau8[Att1],MATCH(Tableau3[[#This Row],[ID-INS]],Tableau8[ID],0))&amp;""</f>
        <v>B22</v>
      </c>
      <c r="H1344" s="139" t="str">
        <f>INDEX(Tableau8[Att2],MATCH(Tableau3[[#This Row],[ID-INS]],Tableau8[ID],0))&amp;""</f>
        <v>PPH15</v>
      </c>
      <c r="I1344" s="139" t="str">
        <f>INDEX(Tableau8[Att3],MATCH(Tableau3[[#This Row],[ID-INS]],Tableau8[ID],0))&amp;""</f>
        <v>Fraude CP13 local CFI</v>
      </c>
      <c r="J1344" s="101"/>
      <c r="K1344" s="167" t="str">
        <f>INDEX(Tableau8[Nom du modele],MATCH(Tableau3[[#This Row],[ID-INS]],Tableau8[ID],0))&amp;""</f>
        <v>E_Divers</v>
      </c>
      <c r="L1344" s="141" t="str">
        <f>INDEX(Tableau5[Att1],MATCH(Tableau3[[#This Row],[ID-SIG]],Tableau5[ID],0))&amp;""</f>
        <v>C1</v>
      </c>
      <c r="M1344" s="141" t="str">
        <f>INDEX(Tableau5[Att2],MATCH(Tableau3[[#This Row],[ID-SIG]],Tableau5[ID],0))&amp;""</f>
        <v/>
      </c>
      <c r="N1344" s="141" t="str">
        <f>INDEX(Tableau5[Att3],MATCH(Tableau3[[#This Row],[ID-SIG]],Tableau5[ID],0))&amp;""</f>
        <v/>
      </c>
      <c r="O1344" s="99"/>
      <c r="P1344" s="141" t="str">
        <f>INDEX(Tableau5[Description],MATCH(Tableau3[[#This Row],[ID-SIG]],Tableau5[ID],0))</f>
        <v>Contact</v>
      </c>
      <c r="Q1344" s="99"/>
      <c r="R1344" s="142" t="str">
        <f>Tableau3[[#This Row],[Description]]</f>
        <v>Contact</v>
      </c>
      <c r="U1344" s="87">
        <v>9</v>
      </c>
      <c r="V1344" s="87">
        <v>2</v>
      </c>
      <c r="W1344" s="87">
        <v>4</v>
      </c>
      <c r="X1344" s="87">
        <v>14</v>
      </c>
      <c r="Y1344" s="40"/>
      <c r="Z1344" s="165" t="str">
        <f>INDEX(Tableau2[TS],MATCH(Tableau3[[#This Row],[ID-CARTEVOIE]],Tableau2[ID-CARTEVOIE],0))</f>
        <v>ET</v>
      </c>
      <c r="AA1344" s="53" t="s">
        <v>213</v>
      </c>
      <c r="AB1344" s="223" t="str">
        <f>IFERROR(INDEX(Tableau5[Reserve],MATCH(Tableau3[[#This Row],[ID-SIG]],Tableau5[ID],0))&amp;"","")</f>
        <v/>
      </c>
      <c r="AC1344" s="119"/>
      <c r="AD1344" s="120" t="str">
        <f>INDEX(Tableau7[Repere],MATCH(Tableau3[[#This Row],[ID-API]],Tableau7[ID-API],0))&amp;""</f>
        <v>A9</v>
      </c>
      <c r="AE1344" s="120" t="str">
        <f>INDEX(Tableau1[Repere-Rack],MATCH(Tableau3[[#This Row],[ID-RACK]],Tableau1[ID-RACK],0))&amp;""</f>
        <v>R2</v>
      </c>
      <c r="AF1344" s="120" t="str">
        <f>INDEX(Tableau1[Repere-Slot],MATCH(Tableau3[[#This Row],[ID-SLOT]],Tableau1[ID-SLOT],0))&amp;""</f>
        <v>S4</v>
      </c>
      <c r="AG1344" s="120" t="str">
        <f>INDEX(Tableau2[Repere-Voie],MATCH(Tableau3[[#This Row],[ID-VOIE]],Tableau2[ID-Voie],0))&amp;""</f>
        <v>v14</v>
      </c>
      <c r="AH1344" s="122" t="str">
        <f>Tableau3[[#This Row],[ID-API]]&amp; "." &amp;Tableau3[[#This Row],[ID-RACK]]&amp; "." &amp;Tableau3[[#This Row],[ID-SLOT]]</f>
        <v>9.2.4</v>
      </c>
      <c r="AI1344" s="72" t="str">
        <f>INDEX(Tableau1[Ref-Carte],MATCH(Tableau3[[#This Row],[ID-RRS]],Tableau1[ID-RRS],0))</f>
        <v>SDI1602</v>
      </c>
      <c r="AJ1344" s="72" t="str">
        <f t="array" ref="AJ1344">IFERROR(INDEX(Tableau2[TS],MATCH(1,(Tableau2[Ref-Carte]=Tableau3[[#This Row],[Ref-Carte2]])*(Tableau2[ID-Voie]=Tableau3[[#This Row],[ID-VOIE]]),0)),"")</f>
        <v>ET</v>
      </c>
      <c r="AK1344" s="72" t="str">
        <f>IFERROR(INDEX(Tableau2[TS],SUMPRODUCT((Tableau2[Ref-Carte]=Tableau3[[#This Row],[Ref-Carte2]])*(Tableau2[ID-Voie]=Tableau3[[#This Row],[ID-VOIE]])*ROW(Tableau2[TS]))-ROW(Tableau2[#Headers])),"")</f>
        <v>ET</v>
      </c>
      <c r="AL1344" s="122" t="str">
        <f>Tableau3[[#This Row],[Ref-Carte2]]&amp;"/"&amp;Tableau3[[#This Row],[ID-VOIE]]</f>
        <v>SDI1602/14</v>
      </c>
      <c r="AM1344" s="145" t="str">
        <f>INDEX(Tableau2[Borne],MATCH(Tableau3[[#This Row],[ID-CARTEVOIE]],Tableau2[ID-CARTEVOIE],0))&amp;""</f>
        <v>7B</v>
      </c>
      <c r="AN1344" s="124" t="str">
        <f>Tableau3[[#This Row],[ID-API]]&amp;Tableau3[[#This Row],[ID-RACK]]&amp;Tableau3[[#This Row],[ID-SLOT]]&amp;Tableau3[[#This Row],[BORNE]]</f>
        <v>9247B</v>
      </c>
      <c r="AO1344" s="125"/>
    </row>
    <row r="1345" spans="1:41" ht="20.100000000000001" customHeight="1" thickTop="1" thickBot="1">
      <c r="A1345" s="134"/>
      <c r="B1345" s="135" t="str">
        <f>IFERROR(INDEX(Tableau4[Date],MATCH($A1345,Tableau4[EVO],0)),"")</f>
        <v/>
      </c>
      <c r="C1345" s="136" t="str">
        <f>IFERROR(INDEX(Tableau4[Designation],MATCH($A1345,Tableau4[EVO],0)),"")</f>
        <v/>
      </c>
      <c r="D1345" s="134"/>
      <c r="E1345" s="137">
        <v>385</v>
      </c>
      <c r="F1345" s="138">
        <v>3</v>
      </c>
      <c r="G1345" s="139" t="str">
        <f>INDEX(Tableau8[Att1],MATCH(Tableau3[[#This Row],[ID-INS]],Tableau8[ID],0))&amp;""</f>
        <v>B22</v>
      </c>
      <c r="H1345" s="139" t="str">
        <f>INDEX(Tableau8[Att2],MATCH(Tableau3[[#This Row],[ID-INS]],Tableau8[ID],0))&amp;""</f>
        <v>PPH16</v>
      </c>
      <c r="I1345" s="139" t="str">
        <f>INDEX(Tableau8[Att3],MATCH(Tableau3[[#This Row],[ID-INS]],Tableau8[ID],0))&amp;""</f>
        <v>Alarme SOS5 appel d'urgence contrôleur rayon X</v>
      </c>
      <c r="J1345" s="101"/>
      <c r="K1345" s="167" t="str">
        <f>INDEX(Tableau8[Nom du modele],MATCH(Tableau3[[#This Row],[ID-INS]],Tableau8[ID],0))&amp;""</f>
        <v>E_Divers</v>
      </c>
      <c r="L1345" s="141" t="str">
        <f>INDEX(Tableau5[Att1],MATCH(Tableau3[[#This Row],[ID-SIG]],Tableau5[ID],0))&amp;""</f>
        <v>C1</v>
      </c>
      <c r="M1345" s="141" t="str">
        <f>INDEX(Tableau5[Att2],MATCH(Tableau3[[#This Row],[ID-SIG]],Tableau5[ID],0))&amp;""</f>
        <v/>
      </c>
      <c r="N1345" s="141" t="str">
        <f>INDEX(Tableau5[Att3],MATCH(Tableau3[[#This Row],[ID-SIG]],Tableau5[ID],0))&amp;""</f>
        <v/>
      </c>
      <c r="O1345" s="99"/>
      <c r="P1345" s="141" t="str">
        <f>INDEX(Tableau5[Description],MATCH(Tableau3[[#This Row],[ID-SIG]],Tableau5[ID],0))</f>
        <v>Contact</v>
      </c>
      <c r="Q1345" s="99"/>
      <c r="R1345" s="142" t="str">
        <f>Tableau3[[#This Row],[Description]]</f>
        <v>Contact</v>
      </c>
      <c r="U1345" s="87">
        <v>9</v>
      </c>
      <c r="V1345" s="87">
        <v>2</v>
      </c>
      <c r="W1345" s="87">
        <v>4</v>
      </c>
      <c r="X1345" s="87">
        <v>15</v>
      </c>
      <c r="Y1345" s="40"/>
      <c r="Z1345" s="165" t="str">
        <f>INDEX(Tableau2[TS],MATCH(Tableau3[[#This Row],[ID-CARTEVOIE]],Tableau2[ID-CARTEVOIE],0))</f>
        <v>ET</v>
      </c>
      <c r="AA1345" s="53" t="s">
        <v>213</v>
      </c>
      <c r="AB1345" s="223" t="str">
        <f>IFERROR(INDEX(Tableau5[Reserve],MATCH(Tableau3[[#This Row],[ID-SIG]],Tableau5[ID],0))&amp;"","")</f>
        <v/>
      </c>
      <c r="AC1345" s="119"/>
      <c r="AD1345" s="120" t="str">
        <f>INDEX(Tableau7[Repere],MATCH(Tableau3[[#This Row],[ID-API]],Tableau7[ID-API],0))&amp;""</f>
        <v>A9</v>
      </c>
      <c r="AE1345" s="120" t="str">
        <f>INDEX(Tableau1[Repere-Rack],MATCH(Tableau3[[#This Row],[ID-RACK]],Tableau1[ID-RACK],0))&amp;""</f>
        <v>R2</v>
      </c>
      <c r="AF1345" s="120" t="str">
        <f>INDEX(Tableau1[Repere-Slot],MATCH(Tableau3[[#This Row],[ID-SLOT]],Tableau1[ID-SLOT],0))&amp;""</f>
        <v>S4</v>
      </c>
      <c r="AG1345" s="120" t="str">
        <f>INDEX(Tableau2[Repere-Voie],MATCH(Tableau3[[#This Row],[ID-VOIE]],Tableau2[ID-Voie],0))&amp;""</f>
        <v>v15</v>
      </c>
      <c r="AH1345" s="122" t="str">
        <f>Tableau3[[#This Row],[ID-API]]&amp; "." &amp;Tableau3[[#This Row],[ID-RACK]]&amp; "." &amp;Tableau3[[#This Row],[ID-SLOT]]</f>
        <v>9.2.4</v>
      </c>
      <c r="AI1345" s="72" t="str">
        <f>INDEX(Tableau1[Ref-Carte],MATCH(Tableau3[[#This Row],[ID-RRS]],Tableau1[ID-RRS],0))</f>
        <v>SDI1602</v>
      </c>
      <c r="AJ1345" s="72" t="str">
        <f t="array" ref="AJ1345">IFERROR(INDEX(Tableau2[TS],MATCH(1,(Tableau2[Ref-Carte]=Tableau3[[#This Row],[Ref-Carte2]])*(Tableau2[ID-Voie]=Tableau3[[#This Row],[ID-VOIE]]),0)),"")</f>
        <v>ET</v>
      </c>
      <c r="AK1345" s="72" t="str">
        <f>IFERROR(INDEX(Tableau2[TS],SUMPRODUCT((Tableau2[Ref-Carte]=Tableau3[[#This Row],[Ref-Carte2]])*(Tableau2[ID-Voie]=Tableau3[[#This Row],[ID-VOIE]])*ROW(Tableau2[TS]))-ROW(Tableau2[#Headers])),"")</f>
        <v>ET</v>
      </c>
      <c r="AL1345" s="122" t="str">
        <f>Tableau3[[#This Row],[Ref-Carte2]]&amp;"/"&amp;Tableau3[[#This Row],[ID-VOIE]]</f>
        <v>SDI1602/15</v>
      </c>
      <c r="AM1345" s="145" t="str">
        <f>INDEX(Tableau2[Borne],MATCH(Tableau3[[#This Row],[ID-CARTEVOIE]],Tableau2[ID-CARTEVOIE],0))&amp;""</f>
        <v>7A</v>
      </c>
      <c r="AN1345" s="124" t="str">
        <f>Tableau3[[#This Row],[ID-API]]&amp;Tableau3[[#This Row],[ID-RACK]]&amp;Tableau3[[#This Row],[ID-SLOT]]&amp;Tableau3[[#This Row],[BORNE]]</f>
        <v>9247A</v>
      </c>
      <c r="AO1345" s="125"/>
    </row>
    <row r="1346" spans="1:41" ht="20.100000000000001" customHeight="1" thickTop="1" thickBot="1">
      <c r="A1346" s="134"/>
      <c r="B1346" s="135" t="str">
        <f>IFERROR(INDEX(Tableau4[Date],MATCH($A1346,Tableau4[EVO],0)),"")</f>
        <v/>
      </c>
      <c r="C1346" s="136" t="str">
        <f>IFERROR(INDEX(Tableau4[Designation],MATCH($A1346,Tableau4[EVO],0)),"")</f>
        <v/>
      </c>
      <c r="D1346" s="134"/>
      <c r="E1346" s="137">
        <v>386</v>
      </c>
      <c r="F1346" s="138">
        <v>3</v>
      </c>
      <c r="G1346" s="139" t="str">
        <f>INDEX(Tableau8[Att1],MATCH(Tableau3[[#This Row],[ID-INS]],Tableau8[ID],0))&amp;""</f>
        <v>B22</v>
      </c>
      <c r="H1346" s="139" t="str">
        <f>INDEX(Tableau8[Att2],MATCH(Tableau3[[#This Row],[ID-INS]],Tableau8[ID],0))&amp;""</f>
        <v>TECH1</v>
      </c>
      <c r="I1346" s="139" t="str">
        <f>INDEX(Tableau8[Att3],MATCH(Tableau3[[#This Row],[ID-INS]],Tableau8[ID],0))&amp;""</f>
        <v>Alarme température local CFIS B22</v>
      </c>
      <c r="J1346" s="101"/>
      <c r="K1346" s="167" t="str">
        <f>INDEX(Tableau8[Nom du modele],MATCH(Tableau3[[#This Row],[ID-INS]],Tableau8[ID],0))&amp;""</f>
        <v>E_Divers</v>
      </c>
      <c r="L1346" s="141" t="str">
        <f>INDEX(Tableau5[Att1],MATCH(Tableau3[[#This Row],[ID-SIG]],Tableau5[ID],0))&amp;""</f>
        <v>C1</v>
      </c>
      <c r="M1346" s="141" t="str">
        <f>INDEX(Tableau5[Att2],MATCH(Tableau3[[#This Row],[ID-SIG]],Tableau5[ID],0))&amp;""</f>
        <v/>
      </c>
      <c r="N1346" s="141" t="str">
        <f>INDEX(Tableau5[Att3],MATCH(Tableau3[[#This Row],[ID-SIG]],Tableau5[ID],0))&amp;""</f>
        <v/>
      </c>
      <c r="O1346" s="99"/>
      <c r="P1346" s="141" t="str">
        <f>INDEX(Tableau5[Description],MATCH(Tableau3[[#This Row],[ID-SIG]],Tableau5[ID],0))</f>
        <v>Contact</v>
      </c>
      <c r="Q1346" s="99"/>
      <c r="R1346" s="142" t="str">
        <f>Tableau3[[#This Row],[Description]]</f>
        <v>Contact</v>
      </c>
      <c r="U1346" s="87">
        <v>9</v>
      </c>
      <c r="V1346" s="87">
        <v>2</v>
      </c>
      <c r="W1346" s="87">
        <v>5</v>
      </c>
      <c r="X1346" s="87">
        <v>0</v>
      </c>
      <c r="Y1346" s="40"/>
      <c r="Z1346" s="165" t="str">
        <f>INDEX(Tableau2[TS],MATCH(Tableau3[[#This Row],[ID-CARTEVOIE]],Tableau2[ID-CARTEVOIE],0))</f>
        <v>ET</v>
      </c>
      <c r="AA1346" s="53" t="s">
        <v>213</v>
      </c>
      <c r="AB1346" s="223" t="str">
        <f>IFERROR(INDEX(Tableau5[Reserve],MATCH(Tableau3[[#This Row],[ID-SIG]],Tableau5[ID],0))&amp;"","")</f>
        <v/>
      </c>
      <c r="AC1346" s="119"/>
      <c r="AD1346" s="120" t="str">
        <f>INDEX(Tableau7[Repere],MATCH(Tableau3[[#This Row],[ID-API]],Tableau7[ID-API],0))&amp;""</f>
        <v>A9</v>
      </c>
      <c r="AE1346" s="120" t="str">
        <f>INDEX(Tableau1[Repere-Rack],MATCH(Tableau3[[#This Row],[ID-RACK]],Tableau1[ID-RACK],0))&amp;""</f>
        <v>R2</v>
      </c>
      <c r="AF1346" s="120" t="str">
        <f>INDEX(Tableau1[Repere-Slot],MATCH(Tableau3[[#This Row],[ID-SLOT]],Tableau1[ID-SLOT],0))&amp;""</f>
        <v>S5</v>
      </c>
      <c r="AG1346" s="120" t="str">
        <f>INDEX(Tableau2[Repere-Voie],MATCH(Tableau3[[#This Row],[ID-VOIE]],Tableau2[ID-Voie],0))&amp;""</f>
        <v>v0</v>
      </c>
      <c r="AH1346" s="122" t="str">
        <f>Tableau3[[#This Row],[ID-API]]&amp; "." &amp;Tableau3[[#This Row],[ID-RACK]]&amp; "." &amp;Tableau3[[#This Row],[ID-SLOT]]</f>
        <v>9.2.5</v>
      </c>
      <c r="AI1346" s="72" t="str">
        <f>INDEX(Tableau1[Ref-Carte],MATCH(Tableau3[[#This Row],[ID-RRS]],Tableau1[ID-RRS],0))</f>
        <v>SDI1602</v>
      </c>
      <c r="AJ1346" s="72" t="str">
        <f t="array" ref="AJ1346">IFERROR(INDEX(Tableau2[TS],MATCH(1,(Tableau2[Ref-Carte]=Tableau3[[#This Row],[Ref-Carte2]])*(Tableau2[ID-Voie]=Tableau3[[#This Row],[ID-VOIE]]),0)),"")</f>
        <v>ET</v>
      </c>
      <c r="AK1346" s="72" t="str">
        <f>IFERROR(INDEX(Tableau2[TS],SUMPRODUCT((Tableau2[Ref-Carte]=Tableau3[[#This Row],[Ref-Carte2]])*(Tableau2[ID-Voie]=Tableau3[[#This Row],[ID-VOIE]])*ROW(Tableau2[TS]))-ROW(Tableau2[#Headers])),"")</f>
        <v>ET</v>
      </c>
      <c r="AL1346" s="122" t="str">
        <f>Tableau3[[#This Row],[Ref-Carte2]]&amp;"/"&amp;Tableau3[[#This Row],[ID-VOIE]]</f>
        <v>SDI1602/0</v>
      </c>
      <c r="AM1346" s="145" t="str">
        <f>INDEX(Tableau2[Borne],MATCH(Tableau3[[#This Row],[ID-CARTEVOIE]],Tableau2[ID-CARTEVOIE],0))&amp;""</f>
        <v>0B</v>
      </c>
      <c r="AN1346" s="124" t="str">
        <f>Tableau3[[#This Row],[ID-API]]&amp;Tableau3[[#This Row],[ID-RACK]]&amp;Tableau3[[#This Row],[ID-SLOT]]&amp;Tableau3[[#This Row],[BORNE]]</f>
        <v>9250B</v>
      </c>
      <c r="AO1346" s="125"/>
    </row>
    <row r="1347" spans="1:41" ht="20.100000000000001" customHeight="1" thickTop="1" thickBot="1">
      <c r="A1347" s="134"/>
      <c r="B1347" s="135" t="str">
        <f>IFERROR(INDEX(Tableau4[Date],MATCH($A1347,Tableau4[EVO],0)),"")</f>
        <v/>
      </c>
      <c r="C1347" s="136" t="str">
        <f>IFERROR(INDEX(Tableau4[Designation],MATCH($A1347,Tableau4[EVO],0)),"")</f>
        <v/>
      </c>
      <c r="D1347" s="134"/>
      <c r="E1347" s="137">
        <v>387</v>
      </c>
      <c r="F1347" s="138">
        <v>3</v>
      </c>
      <c r="G1347" s="139" t="str">
        <f>INDEX(Tableau8[Att1],MATCH(Tableau3[[#This Row],[ID-INS]],Tableau8[ID],0))&amp;""</f>
        <v>B22</v>
      </c>
      <c r="H1347" s="139" t="str">
        <f>INDEX(Tableau8[Att2],MATCH(Tableau3[[#This Row],[ID-INS]],Tableau8[ID],0))&amp;""</f>
        <v>TECH2</v>
      </c>
      <c r="I1347" s="139" t="str">
        <f>INDEX(Tableau8[Att3],MATCH(Tableau3[[#This Row],[ID-INS]],Tableau8[ID],0))&amp;""</f>
        <v>Synthèse défaut technique Ventilation B22</v>
      </c>
      <c r="J1347" s="101"/>
      <c r="K1347" s="167" t="str">
        <f>INDEX(Tableau8[Nom du modele],MATCH(Tableau3[[#This Row],[ID-INS]],Tableau8[ID],0))&amp;""</f>
        <v>E_Divers</v>
      </c>
      <c r="L1347" s="141" t="str">
        <f>INDEX(Tableau5[Att1],MATCH(Tableau3[[#This Row],[ID-SIG]],Tableau5[ID],0))&amp;""</f>
        <v>C1</v>
      </c>
      <c r="M1347" s="141" t="str">
        <f>INDEX(Tableau5[Att2],MATCH(Tableau3[[#This Row],[ID-SIG]],Tableau5[ID],0))&amp;""</f>
        <v/>
      </c>
      <c r="N1347" s="141" t="str">
        <f>INDEX(Tableau5[Att3],MATCH(Tableau3[[#This Row],[ID-SIG]],Tableau5[ID],0))&amp;""</f>
        <v/>
      </c>
      <c r="O1347" s="99"/>
      <c r="P1347" s="141" t="str">
        <f>INDEX(Tableau5[Description],MATCH(Tableau3[[#This Row],[ID-SIG]],Tableau5[ID],0))</f>
        <v>Contact</v>
      </c>
      <c r="Q1347" s="99"/>
      <c r="R1347" s="142" t="str">
        <f>Tableau3[[#This Row],[Description]]</f>
        <v>Contact</v>
      </c>
      <c r="U1347" s="87">
        <v>9</v>
      </c>
      <c r="V1347" s="87">
        <v>2</v>
      </c>
      <c r="W1347" s="87">
        <v>5</v>
      </c>
      <c r="X1347" s="87">
        <v>1</v>
      </c>
      <c r="Y1347" s="40"/>
      <c r="Z1347" s="165" t="str">
        <f>INDEX(Tableau2[TS],MATCH(Tableau3[[#This Row],[ID-CARTEVOIE]],Tableau2[ID-CARTEVOIE],0))</f>
        <v>ET</v>
      </c>
      <c r="AA1347" s="53" t="s">
        <v>213</v>
      </c>
      <c r="AB1347" s="223" t="str">
        <f>IFERROR(INDEX(Tableau5[Reserve],MATCH(Tableau3[[#This Row],[ID-SIG]],Tableau5[ID],0))&amp;"","")</f>
        <v/>
      </c>
      <c r="AC1347" s="119"/>
      <c r="AD1347" s="120" t="str">
        <f>INDEX(Tableau7[Repere],MATCH(Tableau3[[#This Row],[ID-API]],Tableau7[ID-API],0))&amp;""</f>
        <v>A9</v>
      </c>
      <c r="AE1347" s="120" t="str">
        <f>INDEX(Tableau1[Repere-Rack],MATCH(Tableau3[[#This Row],[ID-RACK]],Tableau1[ID-RACK],0))&amp;""</f>
        <v>R2</v>
      </c>
      <c r="AF1347" s="120" t="str">
        <f>INDEX(Tableau1[Repere-Slot],MATCH(Tableau3[[#This Row],[ID-SLOT]],Tableau1[ID-SLOT],0))&amp;""</f>
        <v>S5</v>
      </c>
      <c r="AG1347" s="120" t="str">
        <f>INDEX(Tableau2[Repere-Voie],MATCH(Tableau3[[#This Row],[ID-VOIE]],Tableau2[ID-Voie],0))&amp;""</f>
        <v>v1</v>
      </c>
      <c r="AH1347" s="122" t="str">
        <f>Tableau3[[#This Row],[ID-API]]&amp; "." &amp;Tableau3[[#This Row],[ID-RACK]]&amp; "." &amp;Tableau3[[#This Row],[ID-SLOT]]</f>
        <v>9.2.5</v>
      </c>
      <c r="AI1347" s="72" t="str">
        <f>INDEX(Tableau1[Ref-Carte],MATCH(Tableau3[[#This Row],[ID-RRS]],Tableau1[ID-RRS],0))</f>
        <v>SDI1602</v>
      </c>
      <c r="AJ1347" s="72" t="str">
        <f t="array" ref="AJ1347">IFERROR(INDEX(Tableau2[TS],MATCH(1,(Tableau2[Ref-Carte]=Tableau3[[#This Row],[Ref-Carte2]])*(Tableau2[ID-Voie]=Tableau3[[#This Row],[ID-VOIE]]),0)),"")</f>
        <v>ET</v>
      </c>
      <c r="AK1347" s="72" t="str">
        <f>IFERROR(INDEX(Tableau2[TS],SUMPRODUCT((Tableau2[Ref-Carte]=Tableau3[[#This Row],[Ref-Carte2]])*(Tableau2[ID-Voie]=Tableau3[[#This Row],[ID-VOIE]])*ROW(Tableau2[TS]))-ROW(Tableau2[#Headers])),"")</f>
        <v>ET</v>
      </c>
      <c r="AL1347" s="122" t="str">
        <f>Tableau3[[#This Row],[Ref-Carte2]]&amp;"/"&amp;Tableau3[[#This Row],[ID-VOIE]]</f>
        <v>SDI1602/1</v>
      </c>
      <c r="AM1347" s="145" t="str">
        <f>INDEX(Tableau2[Borne],MATCH(Tableau3[[#This Row],[ID-CARTEVOIE]],Tableau2[ID-CARTEVOIE],0))&amp;""</f>
        <v>0A</v>
      </c>
      <c r="AN1347" s="124" t="str">
        <f>Tableau3[[#This Row],[ID-API]]&amp;Tableau3[[#This Row],[ID-RACK]]&amp;Tableau3[[#This Row],[ID-SLOT]]&amp;Tableau3[[#This Row],[BORNE]]</f>
        <v>9250A</v>
      </c>
      <c r="AO1347" s="125"/>
    </row>
    <row r="1348" spans="1:41" ht="20.100000000000001" customHeight="1" thickTop="1" thickBot="1">
      <c r="A1348" s="134"/>
      <c r="B1348" s="135" t="str">
        <f>IFERROR(INDEX(Tableau4[Date],MATCH($A1348,Tableau4[EVO],0)),"")</f>
        <v/>
      </c>
      <c r="C1348" s="136" t="str">
        <f>IFERROR(INDEX(Tableau4[Designation],MATCH($A1348,Tableau4[EVO],0)),"")</f>
        <v/>
      </c>
      <c r="D1348" s="134"/>
      <c r="E1348" s="137">
        <v>388</v>
      </c>
      <c r="F1348" s="138">
        <v>3</v>
      </c>
      <c r="G1348" s="139" t="str">
        <f>INDEX(Tableau8[Att1],MATCH(Tableau3[[#This Row],[ID-INS]],Tableau8[ID],0))&amp;""</f>
        <v>B22</v>
      </c>
      <c r="H1348" s="139" t="str">
        <f>INDEX(Tableau8[Att2],MATCH(Tableau3[[#This Row],[ID-INS]],Tableau8[ID],0))&amp;""</f>
        <v>TECH3</v>
      </c>
      <c r="I1348" s="139" t="str">
        <f>INDEX(Tableau8[Att3],MATCH(Tableau3[[#This Row],[ID-INS]],Tableau8[ID],0))&amp;""</f>
        <v>Synthèse défaut technique Chauffage/Climatisation B22</v>
      </c>
      <c r="J1348" s="101"/>
      <c r="K1348" s="167" t="str">
        <f>INDEX(Tableau8[Nom du modele],MATCH(Tableau3[[#This Row],[ID-INS]],Tableau8[ID],0))&amp;""</f>
        <v>E_Divers</v>
      </c>
      <c r="L1348" s="141" t="str">
        <f>INDEX(Tableau5[Att1],MATCH(Tableau3[[#This Row],[ID-SIG]],Tableau5[ID],0))&amp;""</f>
        <v>C1</v>
      </c>
      <c r="M1348" s="141" t="str">
        <f>INDEX(Tableau5[Att2],MATCH(Tableau3[[#This Row],[ID-SIG]],Tableau5[ID],0))&amp;""</f>
        <v/>
      </c>
      <c r="N1348" s="141" t="str">
        <f>INDEX(Tableau5[Att3],MATCH(Tableau3[[#This Row],[ID-SIG]],Tableau5[ID],0))&amp;""</f>
        <v/>
      </c>
      <c r="O1348" s="99"/>
      <c r="P1348" s="141" t="str">
        <f>INDEX(Tableau5[Description],MATCH(Tableau3[[#This Row],[ID-SIG]],Tableau5[ID],0))</f>
        <v>Contact</v>
      </c>
      <c r="Q1348" s="99"/>
      <c r="R1348" s="142" t="str">
        <f>Tableau3[[#This Row],[Description]]</f>
        <v>Contact</v>
      </c>
      <c r="U1348" s="87">
        <v>9</v>
      </c>
      <c r="V1348" s="87">
        <v>2</v>
      </c>
      <c r="W1348" s="87">
        <v>5</v>
      </c>
      <c r="X1348" s="87">
        <v>2</v>
      </c>
      <c r="Y1348" s="40"/>
      <c r="Z1348" s="165" t="str">
        <f>INDEX(Tableau2[TS],MATCH(Tableau3[[#This Row],[ID-CARTEVOIE]],Tableau2[ID-CARTEVOIE],0))</f>
        <v>ET</v>
      </c>
      <c r="AA1348" s="53" t="s">
        <v>213</v>
      </c>
      <c r="AB1348" s="223" t="str">
        <f>IFERROR(INDEX(Tableau5[Reserve],MATCH(Tableau3[[#This Row],[ID-SIG]],Tableau5[ID],0))&amp;"","")</f>
        <v/>
      </c>
      <c r="AC1348" s="119"/>
      <c r="AD1348" s="120" t="str">
        <f>INDEX(Tableau7[Repere],MATCH(Tableau3[[#This Row],[ID-API]],Tableau7[ID-API],0))&amp;""</f>
        <v>A9</v>
      </c>
      <c r="AE1348" s="120" t="str">
        <f>INDEX(Tableau1[Repere-Rack],MATCH(Tableau3[[#This Row],[ID-RACK]],Tableau1[ID-RACK],0))&amp;""</f>
        <v>R2</v>
      </c>
      <c r="AF1348" s="120" t="str">
        <f>INDEX(Tableau1[Repere-Slot],MATCH(Tableau3[[#This Row],[ID-SLOT]],Tableau1[ID-SLOT],0))&amp;""</f>
        <v>S5</v>
      </c>
      <c r="AG1348" s="120" t="str">
        <f>INDEX(Tableau2[Repere-Voie],MATCH(Tableau3[[#This Row],[ID-VOIE]],Tableau2[ID-Voie],0))&amp;""</f>
        <v>v2</v>
      </c>
      <c r="AH1348" s="122" t="str">
        <f>Tableau3[[#This Row],[ID-API]]&amp; "." &amp;Tableau3[[#This Row],[ID-RACK]]&amp; "." &amp;Tableau3[[#This Row],[ID-SLOT]]</f>
        <v>9.2.5</v>
      </c>
      <c r="AI1348" s="72" t="str">
        <f>INDEX(Tableau1[Ref-Carte],MATCH(Tableau3[[#This Row],[ID-RRS]],Tableau1[ID-RRS],0))</f>
        <v>SDI1602</v>
      </c>
      <c r="AJ1348" s="72" t="str">
        <f t="array" ref="AJ1348">IFERROR(INDEX(Tableau2[TS],MATCH(1,(Tableau2[Ref-Carte]=Tableau3[[#This Row],[Ref-Carte2]])*(Tableau2[ID-Voie]=Tableau3[[#This Row],[ID-VOIE]]),0)),"")</f>
        <v>ET</v>
      </c>
      <c r="AK1348" s="72" t="str">
        <f>IFERROR(INDEX(Tableau2[TS],SUMPRODUCT((Tableau2[Ref-Carte]=Tableau3[[#This Row],[Ref-Carte2]])*(Tableau2[ID-Voie]=Tableau3[[#This Row],[ID-VOIE]])*ROW(Tableau2[TS]))-ROW(Tableau2[#Headers])),"")</f>
        <v>ET</v>
      </c>
      <c r="AL1348" s="122" t="str">
        <f>Tableau3[[#This Row],[Ref-Carte2]]&amp;"/"&amp;Tableau3[[#This Row],[ID-VOIE]]</f>
        <v>SDI1602/2</v>
      </c>
      <c r="AM1348" s="145" t="str">
        <f>INDEX(Tableau2[Borne],MATCH(Tableau3[[#This Row],[ID-CARTEVOIE]],Tableau2[ID-CARTEVOIE],0))&amp;""</f>
        <v>1B</v>
      </c>
      <c r="AN1348" s="124" t="str">
        <f>Tableau3[[#This Row],[ID-API]]&amp;Tableau3[[#This Row],[ID-RACK]]&amp;Tableau3[[#This Row],[ID-SLOT]]&amp;Tableau3[[#This Row],[BORNE]]</f>
        <v>9251B</v>
      </c>
      <c r="AO1348" s="125"/>
    </row>
    <row r="1349" spans="1:41" ht="20.100000000000001" customHeight="1" thickTop="1" thickBot="1">
      <c r="A1349" s="134"/>
      <c r="B1349" s="135" t="str">
        <f>IFERROR(INDEX(Tableau4[Date],MATCH($A1349,Tableau4[EVO],0)),"")</f>
        <v/>
      </c>
      <c r="C1349" s="136" t="str">
        <f>IFERROR(INDEX(Tableau4[Designation],MATCH($A1349,Tableau4[EVO],0)),"")</f>
        <v/>
      </c>
      <c r="D1349" s="134"/>
      <c r="E1349" s="137">
        <v>389</v>
      </c>
      <c r="F1349" s="138">
        <v>3</v>
      </c>
      <c r="G1349" s="139" t="str">
        <f>INDEX(Tableau8[Att1],MATCH(Tableau3[[#This Row],[ID-INS]],Tableau8[ID],0))&amp;""</f>
        <v>B22</v>
      </c>
      <c r="H1349" s="139" t="str">
        <f>INDEX(Tableau8[Att2],MATCH(Tableau3[[#This Row],[ID-INS]],Tableau8[ID],0))&amp;""</f>
        <v>SSI1</v>
      </c>
      <c r="I1349" s="139" t="str">
        <f>INDEX(Tableau8[Att3],MATCH(Tableau3[[#This Row],[ID-INS]],Tableau8[ID],0))&amp;""</f>
        <v>Alarme déclenchement DM B21</v>
      </c>
      <c r="J1349" s="101"/>
      <c r="K1349" s="167" t="str">
        <f>INDEX(Tableau8[Nom du modele],MATCH(Tableau3[[#This Row],[ID-INS]],Tableau8[ID],0))&amp;""</f>
        <v>E_Divers</v>
      </c>
      <c r="L1349" s="141" t="str">
        <f>INDEX(Tableau5[Att1],MATCH(Tableau3[[#This Row],[ID-SIG]],Tableau5[ID],0))&amp;""</f>
        <v>C1</v>
      </c>
      <c r="M1349" s="141" t="str">
        <f>INDEX(Tableau5[Att2],MATCH(Tableau3[[#This Row],[ID-SIG]],Tableau5[ID],0))&amp;""</f>
        <v/>
      </c>
      <c r="N1349" s="141" t="str">
        <f>INDEX(Tableau5[Att3],MATCH(Tableau3[[#This Row],[ID-SIG]],Tableau5[ID],0))&amp;""</f>
        <v/>
      </c>
      <c r="O1349" s="99"/>
      <c r="P1349" s="141" t="str">
        <f>INDEX(Tableau5[Description],MATCH(Tableau3[[#This Row],[ID-SIG]],Tableau5[ID],0))</f>
        <v>Contact</v>
      </c>
      <c r="Q1349" s="99"/>
      <c r="R1349" s="142" t="str">
        <f>Tableau3[[#This Row],[Description]]</f>
        <v>Contact</v>
      </c>
      <c r="U1349" s="87">
        <v>9</v>
      </c>
      <c r="V1349" s="87">
        <v>2</v>
      </c>
      <c r="W1349" s="87">
        <v>5</v>
      </c>
      <c r="X1349" s="87">
        <v>3</v>
      </c>
      <c r="Y1349" s="40"/>
      <c r="Z1349" s="165" t="str">
        <f>INDEX(Tableau2[TS],MATCH(Tableau3[[#This Row],[ID-CARTEVOIE]],Tableau2[ID-CARTEVOIE],0))</f>
        <v>ET</v>
      </c>
      <c r="AA1349" s="53" t="s">
        <v>213</v>
      </c>
      <c r="AB1349" s="223" t="str">
        <f>IFERROR(INDEX(Tableau5[Reserve],MATCH(Tableau3[[#This Row],[ID-SIG]],Tableau5[ID],0))&amp;"","")</f>
        <v/>
      </c>
      <c r="AC1349" s="119"/>
      <c r="AD1349" s="120" t="str">
        <f>INDEX(Tableau7[Repere],MATCH(Tableau3[[#This Row],[ID-API]],Tableau7[ID-API],0))&amp;""</f>
        <v>A9</v>
      </c>
      <c r="AE1349" s="120" t="str">
        <f>INDEX(Tableau1[Repere-Rack],MATCH(Tableau3[[#This Row],[ID-RACK]],Tableau1[ID-RACK],0))&amp;""</f>
        <v>R2</v>
      </c>
      <c r="AF1349" s="120" t="str">
        <f>INDEX(Tableau1[Repere-Slot],MATCH(Tableau3[[#This Row],[ID-SLOT]],Tableau1[ID-SLOT],0))&amp;""</f>
        <v>S5</v>
      </c>
      <c r="AG1349" s="120" t="str">
        <f>INDEX(Tableau2[Repere-Voie],MATCH(Tableau3[[#This Row],[ID-VOIE]],Tableau2[ID-Voie],0))&amp;""</f>
        <v>v3</v>
      </c>
      <c r="AH1349" s="122" t="str">
        <f>Tableau3[[#This Row],[ID-API]]&amp; "." &amp;Tableau3[[#This Row],[ID-RACK]]&amp; "." &amp;Tableau3[[#This Row],[ID-SLOT]]</f>
        <v>9.2.5</v>
      </c>
      <c r="AI1349" s="72" t="str">
        <f>INDEX(Tableau1[Ref-Carte],MATCH(Tableau3[[#This Row],[ID-RRS]],Tableau1[ID-RRS],0))</f>
        <v>SDI1602</v>
      </c>
      <c r="AJ1349" s="72" t="str">
        <f t="array" ref="AJ1349">IFERROR(INDEX(Tableau2[TS],MATCH(1,(Tableau2[Ref-Carte]=Tableau3[[#This Row],[Ref-Carte2]])*(Tableau2[ID-Voie]=Tableau3[[#This Row],[ID-VOIE]]),0)),"")</f>
        <v>ET</v>
      </c>
      <c r="AK1349" s="72" t="str">
        <f>IFERROR(INDEX(Tableau2[TS],SUMPRODUCT((Tableau2[Ref-Carte]=Tableau3[[#This Row],[Ref-Carte2]])*(Tableau2[ID-Voie]=Tableau3[[#This Row],[ID-VOIE]])*ROW(Tableau2[TS]))-ROW(Tableau2[#Headers])),"")</f>
        <v>ET</v>
      </c>
      <c r="AL1349" s="122" t="str">
        <f>Tableau3[[#This Row],[Ref-Carte2]]&amp;"/"&amp;Tableau3[[#This Row],[ID-VOIE]]</f>
        <v>SDI1602/3</v>
      </c>
      <c r="AM1349" s="145" t="str">
        <f>INDEX(Tableau2[Borne],MATCH(Tableau3[[#This Row],[ID-CARTEVOIE]],Tableau2[ID-CARTEVOIE],0))&amp;""</f>
        <v>1A</v>
      </c>
      <c r="AN1349" s="124" t="str">
        <f>Tableau3[[#This Row],[ID-API]]&amp;Tableau3[[#This Row],[ID-RACK]]&amp;Tableau3[[#This Row],[ID-SLOT]]&amp;Tableau3[[#This Row],[BORNE]]</f>
        <v>9251A</v>
      </c>
      <c r="AO1349" s="125"/>
    </row>
    <row r="1350" spans="1:41" ht="20.100000000000001" customHeight="1" thickTop="1" thickBot="1">
      <c r="A1350" s="68"/>
      <c r="B1350" s="69" t="str">
        <f>IFERROR(INDEX(Tableau4[Date],MATCH($A1350,Tableau4[EVO],0)),"")</f>
        <v/>
      </c>
      <c r="C1350" s="68" t="str">
        <f>IFERROR(INDEX(Tableau4[Designation],MATCH($A1350,Tableau4[EVO],0)),"")</f>
        <v/>
      </c>
      <c r="D1350" s="68"/>
      <c r="E1350" s="70">
        <v>390</v>
      </c>
      <c r="F1350" s="71">
        <v>3</v>
      </c>
      <c r="G1350" s="101" t="str">
        <f>INDEX(Tableau8[Att1],MATCH(Tableau3[[#This Row],[ID-INS]],Tableau8[ID],0))&amp;""</f>
        <v>B22</v>
      </c>
      <c r="H1350" s="101" t="str">
        <f>INDEX(Tableau8[Att2],MATCH(Tableau3[[#This Row],[ID-INS]],Tableau8[ID],0))&amp;""</f>
        <v>SSI2</v>
      </c>
      <c r="I1350" s="101" t="str">
        <f>INDEX(Tableau8[Att3],MATCH(Tableau3[[#This Row],[ID-INS]],Tableau8[ID],0))&amp;""</f>
        <v>Alarme détection incendie B21</v>
      </c>
      <c r="J1350" s="101"/>
      <c r="K1350" s="167" t="str">
        <f>INDEX(Tableau8[Nom du modele],MATCH(Tableau3[[#This Row],[ID-INS]],Tableau8[ID],0))&amp;""</f>
        <v>E_Divers</v>
      </c>
      <c r="L1350" s="99" t="str">
        <f>INDEX(Tableau5[Att1],MATCH(Tableau3[[#This Row],[ID-SIG]],Tableau5[ID],0))&amp;""</f>
        <v>C1</v>
      </c>
      <c r="M1350" s="99" t="str">
        <f>INDEX(Tableau5[Att2],MATCH(Tableau3[[#This Row],[ID-SIG]],Tableau5[ID],0))&amp;""</f>
        <v/>
      </c>
      <c r="N1350" s="99" t="str">
        <f>INDEX(Tableau5[Att3],MATCH(Tableau3[[#This Row],[ID-SIG]],Tableau5[ID],0))&amp;""</f>
        <v/>
      </c>
      <c r="O1350" s="99"/>
      <c r="P1350" s="99" t="str">
        <f>INDEX(Tableau5[Description],MATCH(Tableau3[[#This Row],[ID-SIG]],Tableau5[ID],0))</f>
        <v>Contact</v>
      </c>
      <c r="Q1350" s="99"/>
      <c r="R1350" s="103" t="str">
        <f>Tableau3[[#This Row],[Description]]</f>
        <v>Contact</v>
      </c>
      <c r="U1350" s="87">
        <v>9</v>
      </c>
      <c r="V1350" s="87">
        <v>2</v>
      </c>
      <c r="W1350" s="87">
        <v>5</v>
      </c>
      <c r="X1350" s="87">
        <v>4</v>
      </c>
      <c r="Y1350" s="40"/>
      <c r="Z1350" s="165" t="str">
        <f>INDEX(Tableau2[TS],MATCH(Tableau3[[#This Row],[ID-CARTEVOIE]],Tableau2[ID-CARTEVOIE],0))</f>
        <v>ET</v>
      </c>
      <c r="AA1350" s="53" t="s">
        <v>213</v>
      </c>
      <c r="AB1350" s="223" t="str">
        <f>IFERROR(INDEX(Tableau5[Reserve],MATCH(Tableau3[[#This Row],[ID-SIG]],Tableau5[ID],0))&amp;"","")</f>
        <v/>
      </c>
      <c r="AC1350" s="21"/>
      <c r="AD1350" s="108" t="str">
        <f>INDEX(Tableau7[Repere],MATCH(Tableau3[[#This Row],[ID-API]],Tableau7[ID-API],0))&amp;""</f>
        <v>A9</v>
      </c>
      <c r="AE1350" s="108" t="str">
        <f>INDEX(Tableau1[Repere-Rack],MATCH(Tableau3[[#This Row],[ID-RACK]],Tableau1[ID-RACK],0))&amp;""</f>
        <v>R2</v>
      </c>
      <c r="AF1350" s="108" t="str">
        <f>INDEX(Tableau1[Repere-Slot],MATCH(Tableau3[[#This Row],[ID-SLOT]],Tableau1[ID-SLOT],0))&amp;""</f>
        <v>S5</v>
      </c>
      <c r="AG1350" s="108" t="str">
        <f>INDEX(Tableau2[Repere-Voie],MATCH(Tableau3[[#This Row],[ID-VOIE]],Tableau2[ID-Voie],0))&amp;""</f>
        <v>v4</v>
      </c>
      <c r="AH1350" s="72" t="str">
        <f>Tableau3[[#This Row],[ID-API]]&amp; "." &amp;Tableau3[[#This Row],[ID-RACK]]&amp; "." &amp;Tableau3[[#This Row],[ID-SLOT]]</f>
        <v>9.2.5</v>
      </c>
      <c r="AI1350" s="72" t="str">
        <f>INDEX(Tableau1[Ref-Carte],MATCH(Tableau3[[#This Row],[ID-RRS]],Tableau1[ID-RRS],0))</f>
        <v>SDI1602</v>
      </c>
      <c r="AJ1350" s="72" t="str">
        <f t="array" ref="AJ1350">IFERROR(INDEX(Tableau2[TS],MATCH(1,(Tableau2[Ref-Carte]=Tableau3[[#This Row],[Ref-Carte2]])*(Tableau2[ID-Voie]=Tableau3[[#This Row],[ID-VOIE]]),0)),"")</f>
        <v>ET</v>
      </c>
      <c r="AK1350" s="72" t="str">
        <f>IFERROR(INDEX(Tableau2[TS],SUMPRODUCT((Tableau2[Ref-Carte]=Tableau3[[#This Row],[Ref-Carte2]])*(Tableau2[ID-Voie]=Tableau3[[#This Row],[ID-VOIE]])*ROW(Tableau2[TS]))-ROW(Tableau2[#Headers])),"")</f>
        <v>ET</v>
      </c>
      <c r="AL1350" s="72" t="str">
        <f>Tableau3[[#This Row],[Ref-Carte2]]&amp;"/"&amp;Tableau3[[#This Row],[ID-VOIE]]</f>
        <v>SDI1602/4</v>
      </c>
      <c r="AM1350" s="73" t="str">
        <f>INDEX(Tableau2[Borne],MATCH(Tableau3[[#This Row],[ID-CARTEVOIE]],Tableau2[ID-CARTEVOIE],0))&amp;""</f>
        <v>2B</v>
      </c>
      <c r="AN1350" s="74" t="str">
        <f>Tableau3[[#This Row],[ID-API]]&amp;Tableau3[[#This Row],[ID-RACK]]&amp;Tableau3[[#This Row],[ID-SLOT]]&amp;Tableau3[[#This Row],[BORNE]]</f>
        <v>9252B</v>
      </c>
      <c r="AO1350" s="1"/>
    </row>
    <row r="1351" spans="1:41" ht="20.100000000000001" customHeight="1" thickTop="1" thickBot="1">
      <c r="A1351" s="68"/>
      <c r="B1351" s="69" t="str">
        <f>IFERROR(INDEX(Tableau4[Date],MATCH($A1351,Tableau4[EVO],0)),"")</f>
        <v/>
      </c>
      <c r="C1351" s="68" t="str">
        <f>IFERROR(INDEX(Tableau4[Designation],MATCH($A1351,Tableau4[EVO],0)),"")</f>
        <v/>
      </c>
      <c r="D1351" s="68"/>
      <c r="E1351" s="70">
        <v>391</v>
      </c>
      <c r="F1351" s="71">
        <v>3</v>
      </c>
      <c r="G1351" s="101" t="str">
        <f>INDEX(Tableau8[Att1],MATCH(Tableau3[[#This Row],[ID-INS]],Tableau8[ID],0))&amp;""</f>
        <v>B22</v>
      </c>
      <c r="H1351" s="101" t="str">
        <f>INDEX(Tableau8[Att2],MATCH(Tableau3[[#This Row],[ID-INS]],Tableau8[ID],0))&amp;""</f>
        <v>SSI3</v>
      </c>
      <c r="I1351" s="101" t="str">
        <f>INDEX(Tableau8[Att3],MATCH(Tableau3[[#This Row],[ID-INS]],Tableau8[ID],0))&amp;""</f>
        <v>Alarme déclenchement DM B22</v>
      </c>
      <c r="J1351" s="101"/>
      <c r="K1351" s="167" t="str">
        <f>INDEX(Tableau8[Nom du modele],MATCH(Tableau3[[#This Row],[ID-INS]],Tableau8[ID],0))&amp;""</f>
        <v>E_Divers</v>
      </c>
      <c r="L1351" s="99" t="str">
        <f>INDEX(Tableau5[Att1],MATCH(Tableau3[[#This Row],[ID-SIG]],Tableau5[ID],0))&amp;""</f>
        <v>C1</v>
      </c>
      <c r="M1351" s="99" t="str">
        <f>INDEX(Tableau5[Att2],MATCH(Tableau3[[#This Row],[ID-SIG]],Tableau5[ID],0))&amp;""</f>
        <v/>
      </c>
      <c r="N1351" s="99" t="str">
        <f>INDEX(Tableau5[Att3],MATCH(Tableau3[[#This Row],[ID-SIG]],Tableau5[ID],0))&amp;""</f>
        <v/>
      </c>
      <c r="O1351" s="99"/>
      <c r="P1351" s="99" t="str">
        <f>INDEX(Tableau5[Description],MATCH(Tableau3[[#This Row],[ID-SIG]],Tableau5[ID],0))</f>
        <v>Contact</v>
      </c>
      <c r="Q1351" s="99"/>
      <c r="R1351" s="103" t="str">
        <f>Tableau3[[#This Row],[Description]]</f>
        <v>Contact</v>
      </c>
      <c r="U1351" s="87">
        <v>9</v>
      </c>
      <c r="V1351" s="87">
        <v>2</v>
      </c>
      <c r="W1351" s="87">
        <v>5</v>
      </c>
      <c r="X1351" s="87">
        <v>5</v>
      </c>
      <c r="Y1351" s="40"/>
      <c r="Z1351" s="165" t="str">
        <f>INDEX(Tableau2[TS],MATCH(Tableau3[[#This Row],[ID-CARTEVOIE]],Tableau2[ID-CARTEVOIE],0))</f>
        <v>ET</v>
      </c>
      <c r="AA1351" s="53" t="s">
        <v>213</v>
      </c>
      <c r="AB1351" s="223" t="str">
        <f>IFERROR(INDEX(Tableau5[Reserve],MATCH(Tableau3[[#This Row],[ID-SIG]],Tableau5[ID],0))&amp;"","")</f>
        <v/>
      </c>
      <c r="AC1351" s="21"/>
      <c r="AD1351" s="108" t="str">
        <f>INDEX(Tableau7[Repere],MATCH(Tableau3[[#This Row],[ID-API]],Tableau7[ID-API],0))&amp;""</f>
        <v>A9</v>
      </c>
      <c r="AE1351" s="108" t="str">
        <f>INDEX(Tableau1[Repere-Rack],MATCH(Tableau3[[#This Row],[ID-RACK]],Tableau1[ID-RACK],0))&amp;""</f>
        <v>R2</v>
      </c>
      <c r="AF1351" s="108" t="str">
        <f>INDEX(Tableau1[Repere-Slot],MATCH(Tableau3[[#This Row],[ID-SLOT]],Tableau1[ID-SLOT],0))&amp;""</f>
        <v>S5</v>
      </c>
      <c r="AG1351" s="108" t="str">
        <f>INDEX(Tableau2[Repere-Voie],MATCH(Tableau3[[#This Row],[ID-VOIE]],Tableau2[ID-Voie],0))&amp;""</f>
        <v>v5</v>
      </c>
      <c r="AH1351" s="72" t="str">
        <f>Tableau3[[#This Row],[ID-API]]&amp; "." &amp;Tableau3[[#This Row],[ID-RACK]]&amp; "." &amp;Tableau3[[#This Row],[ID-SLOT]]</f>
        <v>9.2.5</v>
      </c>
      <c r="AI1351" s="72" t="str">
        <f>INDEX(Tableau1[Ref-Carte],MATCH(Tableau3[[#This Row],[ID-RRS]],Tableau1[ID-RRS],0))</f>
        <v>SDI1602</v>
      </c>
      <c r="AJ1351" s="72" t="str">
        <f t="array" ref="AJ1351">IFERROR(INDEX(Tableau2[TS],MATCH(1,(Tableau2[Ref-Carte]=Tableau3[[#This Row],[Ref-Carte2]])*(Tableau2[ID-Voie]=Tableau3[[#This Row],[ID-VOIE]]),0)),"")</f>
        <v>ET</v>
      </c>
      <c r="AK1351" s="72" t="str">
        <f>IFERROR(INDEX(Tableau2[TS],SUMPRODUCT((Tableau2[Ref-Carte]=Tableau3[[#This Row],[Ref-Carte2]])*(Tableau2[ID-Voie]=Tableau3[[#This Row],[ID-VOIE]])*ROW(Tableau2[TS]))-ROW(Tableau2[#Headers])),"")</f>
        <v>ET</v>
      </c>
      <c r="AL1351" s="72" t="str">
        <f>Tableau3[[#This Row],[Ref-Carte2]]&amp;"/"&amp;Tableau3[[#This Row],[ID-VOIE]]</f>
        <v>SDI1602/5</v>
      </c>
      <c r="AM1351" s="73" t="str">
        <f>INDEX(Tableau2[Borne],MATCH(Tableau3[[#This Row],[ID-CARTEVOIE]],Tableau2[ID-CARTEVOIE],0))&amp;""</f>
        <v>2A</v>
      </c>
      <c r="AN1351" s="74" t="str">
        <f>Tableau3[[#This Row],[ID-API]]&amp;Tableau3[[#This Row],[ID-RACK]]&amp;Tableau3[[#This Row],[ID-SLOT]]&amp;Tableau3[[#This Row],[BORNE]]</f>
        <v>9252A</v>
      </c>
      <c r="AO1351" s="1"/>
    </row>
    <row r="1352" spans="1:41" ht="20.100000000000001" customHeight="1" thickTop="1" thickBot="1">
      <c r="A1352" s="68"/>
      <c r="B1352" s="69" t="str">
        <f>IFERROR(INDEX(Tableau4[Date],MATCH($A1352,Tableau4[EVO],0)),"")</f>
        <v/>
      </c>
      <c r="C1352" s="68" t="str">
        <f>IFERROR(INDEX(Tableau4[Designation],MATCH($A1352,Tableau4[EVO],0)),"")</f>
        <v/>
      </c>
      <c r="D1352" s="68"/>
      <c r="E1352" s="70">
        <v>392</v>
      </c>
      <c r="F1352" s="71">
        <v>3</v>
      </c>
      <c r="G1352" s="101" t="str">
        <f>INDEX(Tableau8[Att1],MATCH(Tableau3[[#This Row],[ID-INS]],Tableau8[ID],0))&amp;""</f>
        <v>B22</v>
      </c>
      <c r="H1352" s="101" t="str">
        <f>INDEX(Tableau8[Att2],MATCH(Tableau3[[#This Row],[ID-INS]],Tableau8[ID],0))&amp;""</f>
        <v>SSI4</v>
      </c>
      <c r="I1352" s="101" t="str">
        <f>INDEX(Tableau8[Att3],MATCH(Tableau3[[#This Row],[ID-INS]],Tableau8[ID],0))&amp;""</f>
        <v>Alarme détection incendie B22</v>
      </c>
      <c r="J1352" s="101"/>
      <c r="K1352" s="167" t="str">
        <f>INDEX(Tableau8[Nom du modele],MATCH(Tableau3[[#This Row],[ID-INS]],Tableau8[ID],0))&amp;""</f>
        <v>E_Divers</v>
      </c>
      <c r="L1352" s="99" t="str">
        <f>INDEX(Tableau5[Att1],MATCH(Tableau3[[#This Row],[ID-SIG]],Tableau5[ID],0))&amp;""</f>
        <v>C1</v>
      </c>
      <c r="M1352" s="99" t="str">
        <f>INDEX(Tableau5[Att2],MATCH(Tableau3[[#This Row],[ID-SIG]],Tableau5[ID],0))&amp;""</f>
        <v/>
      </c>
      <c r="N1352" s="99" t="str">
        <f>INDEX(Tableau5[Att3],MATCH(Tableau3[[#This Row],[ID-SIG]],Tableau5[ID],0))&amp;""</f>
        <v/>
      </c>
      <c r="O1352" s="99"/>
      <c r="P1352" s="99" t="str">
        <f>INDEX(Tableau5[Description],MATCH(Tableau3[[#This Row],[ID-SIG]],Tableau5[ID],0))</f>
        <v>Contact</v>
      </c>
      <c r="Q1352" s="99"/>
      <c r="R1352" s="103" t="str">
        <f>Tableau3[[#This Row],[Description]]</f>
        <v>Contact</v>
      </c>
      <c r="U1352" s="87">
        <v>9</v>
      </c>
      <c r="V1352" s="87">
        <v>2</v>
      </c>
      <c r="W1352" s="87">
        <v>5</v>
      </c>
      <c r="X1352" s="87">
        <v>6</v>
      </c>
      <c r="Y1352" s="40"/>
      <c r="Z1352" s="165" t="str">
        <f>INDEX(Tableau2[TS],MATCH(Tableau3[[#This Row],[ID-CARTEVOIE]],Tableau2[ID-CARTEVOIE],0))</f>
        <v>ET</v>
      </c>
      <c r="AA1352" s="53" t="s">
        <v>213</v>
      </c>
      <c r="AB1352" s="223" t="str">
        <f>IFERROR(INDEX(Tableau5[Reserve],MATCH(Tableau3[[#This Row],[ID-SIG]],Tableau5[ID],0))&amp;"","")</f>
        <v/>
      </c>
      <c r="AC1352" s="21"/>
      <c r="AD1352" s="108" t="str">
        <f>INDEX(Tableau7[Repere],MATCH(Tableau3[[#This Row],[ID-API]],Tableau7[ID-API],0))&amp;""</f>
        <v>A9</v>
      </c>
      <c r="AE1352" s="108" t="str">
        <f>INDEX(Tableau1[Repere-Rack],MATCH(Tableau3[[#This Row],[ID-RACK]],Tableau1[ID-RACK],0))&amp;""</f>
        <v>R2</v>
      </c>
      <c r="AF1352" s="108" t="str">
        <f>INDEX(Tableau1[Repere-Slot],MATCH(Tableau3[[#This Row],[ID-SLOT]],Tableau1[ID-SLOT],0))&amp;""</f>
        <v>S5</v>
      </c>
      <c r="AG1352" s="108" t="str">
        <f>INDEX(Tableau2[Repere-Voie],MATCH(Tableau3[[#This Row],[ID-VOIE]],Tableau2[ID-Voie],0))&amp;""</f>
        <v>v6</v>
      </c>
      <c r="AH1352" s="72" t="str">
        <f>Tableau3[[#This Row],[ID-API]]&amp; "." &amp;Tableau3[[#This Row],[ID-RACK]]&amp; "." &amp;Tableau3[[#This Row],[ID-SLOT]]</f>
        <v>9.2.5</v>
      </c>
      <c r="AI1352" s="72" t="str">
        <f>INDEX(Tableau1[Ref-Carte],MATCH(Tableau3[[#This Row],[ID-RRS]],Tableau1[ID-RRS],0))</f>
        <v>SDI1602</v>
      </c>
      <c r="AJ1352" s="72" t="str">
        <f t="array" ref="AJ1352">IFERROR(INDEX(Tableau2[TS],MATCH(1,(Tableau2[Ref-Carte]=Tableau3[[#This Row],[Ref-Carte2]])*(Tableau2[ID-Voie]=Tableau3[[#This Row],[ID-VOIE]]),0)),"")</f>
        <v>ET</v>
      </c>
      <c r="AK1352" s="72" t="str">
        <f>IFERROR(INDEX(Tableau2[TS],SUMPRODUCT((Tableau2[Ref-Carte]=Tableau3[[#This Row],[Ref-Carte2]])*(Tableau2[ID-Voie]=Tableau3[[#This Row],[ID-VOIE]])*ROW(Tableau2[TS]))-ROW(Tableau2[#Headers])),"")</f>
        <v>ET</v>
      </c>
      <c r="AL1352" s="72" t="str">
        <f>Tableau3[[#This Row],[Ref-Carte2]]&amp;"/"&amp;Tableau3[[#This Row],[ID-VOIE]]</f>
        <v>SDI1602/6</v>
      </c>
      <c r="AM1352" s="73" t="str">
        <f>INDEX(Tableau2[Borne],MATCH(Tableau3[[#This Row],[ID-CARTEVOIE]],Tableau2[ID-CARTEVOIE],0))&amp;""</f>
        <v>3B</v>
      </c>
      <c r="AN1352" s="74" t="str">
        <f>Tableau3[[#This Row],[ID-API]]&amp;Tableau3[[#This Row],[ID-RACK]]&amp;Tableau3[[#This Row],[ID-SLOT]]&amp;Tableau3[[#This Row],[BORNE]]</f>
        <v>9253B</v>
      </c>
      <c r="AO1352" s="1"/>
    </row>
    <row r="1353" spans="1:41" ht="20.100000000000001" customHeight="1" thickTop="1" thickBot="1">
      <c r="A1353" s="68"/>
      <c r="B1353" s="69" t="str">
        <f>IFERROR(INDEX(Tableau4[Date],MATCH($A1353,Tableau4[EVO],0)),"")</f>
        <v/>
      </c>
      <c r="C1353" s="68" t="str">
        <f>IFERROR(INDEX(Tableau4[Designation],MATCH($A1353,Tableau4[EVO],0)),"")</f>
        <v/>
      </c>
      <c r="D1353" s="68"/>
      <c r="E1353" s="70">
        <v>393</v>
      </c>
      <c r="F1353" s="71">
        <v>3</v>
      </c>
      <c r="G1353" s="101" t="str">
        <f>INDEX(Tableau8[Att1],MATCH(Tableau3[[#This Row],[ID-INS]],Tableau8[ID],0))&amp;""</f>
        <v>B22</v>
      </c>
      <c r="H1353" s="101" t="str">
        <f>INDEX(Tableau8[Att2],MATCH(Tableau3[[#This Row],[ID-INS]],Tableau8[ID],0))&amp;""</f>
        <v>SSI5</v>
      </c>
      <c r="I1353" s="101" t="str">
        <f>INDEX(Tableau8[Att3],MATCH(Tableau3[[#This Row],[ID-INS]],Tableau8[ID],0))&amp;""</f>
        <v>Dérangement centrale entrée centre B22</v>
      </c>
      <c r="J1353" s="101"/>
      <c r="K1353" s="167" t="str">
        <f>INDEX(Tableau8[Nom du modele],MATCH(Tableau3[[#This Row],[ID-INS]],Tableau8[ID],0))&amp;""</f>
        <v>E_Divers</v>
      </c>
      <c r="L1353" s="99" t="str">
        <f>INDEX(Tableau5[Att1],MATCH(Tableau3[[#This Row],[ID-SIG]],Tableau5[ID],0))&amp;""</f>
        <v>C1</v>
      </c>
      <c r="M1353" s="99" t="str">
        <f>INDEX(Tableau5[Att2],MATCH(Tableau3[[#This Row],[ID-SIG]],Tableau5[ID],0))&amp;""</f>
        <v/>
      </c>
      <c r="N1353" s="99" t="str">
        <f>INDEX(Tableau5[Att3],MATCH(Tableau3[[#This Row],[ID-SIG]],Tableau5[ID],0))&amp;""</f>
        <v/>
      </c>
      <c r="O1353" s="99"/>
      <c r="P1353" s="99" t="str">
        <f>INDEX(Tableau5[Description],MATCH(Tableau3[[#This Row],[ID-SIG]],Tableau5[ID],0))</f>
        <v>Contact</v>
      </c>
      <c r="Q1353" s="99"/>
      <c r="R1353" s="103" t="str">
        <f>Tableau3[[#This Row],[Description]]</f>
        <v>Contact</v>
      </c>
      <c r="U1353" s="87">
        <v>9</v>
      </c>
      <c r="V1353" s="87">
        <v>2</v>
      </c>
      <c r="W1353" s="87">
        <v>5</v>
      </c>
      <c r="X1353" s="87">
        <v>7</v>
      </c>
      <c r="Y1353" s="40"/>
      <c r="Z1353" s="165" t="str">
        <f>INDEX(Tableau2[TS],MATCH(Tableau3[[#This Row],[ID-CARTEVOIE]],Tableau2[ID-CARTEVOIE],0))</f>
        <v>ET</v>
      </c>
      <c r="AA1353" s="53" t="s">
        <v>213</v>
      </c>
      <c r="AB1353" s="223" t="str">
        <f>IFERROR(INDEX(Tableau5[Reserve],MATCH(Tableau3[[#This Row],[ID-SIG]],Tableau5[ID],0))&amp;"","")</f>
        <v/>
      </c>
      <c r="AC1353" s="21"/>
      <c r="AD1353" s="108" t="str">
        <f>INDEX(Tableau7[Repere],MATCH(Tableau3[[#This Row],[ID-API]],Tableau7[ID-API],0))&amp;""</f>
        <v>A9</v>
      </c>
      <c r="AE1353" s="108" t="str">
        <f>INDEX(Tableau1[Repere-Rack],MATCH(Tableau3[[#This Row],[ID-RACK]],Tableau1[ID-RACK],0))&amp;""</f>
        <v>R2</v>
      </c>
      <c r="AF1353" s="108" t="str">
        <f>INDEX(Tableau1[Repere-Slot],MATCH(Tableau3[[#This Row],[ID-SLOT]],Tableau1[ID-SLOT],0))&amp;""</f>
        <v>S5</v>
      </c>
      <c r="AG1353" s="108" t="str">
        <f>INDEX(Tableau2[Repere-Voie],MATCH(Tableau3[[#This Row],[ID-VOIE]],Tableau2[ID-Voie],0))&amp;""</f>
        <v>v7</v>
      </c>
      <c r="AH1353" s="72" t="str">
        <f>Tableau3[[#This Row],[ID-API]]&amp; "." &amp;Tableau3[[#This Row],[ID-RACK]]&amp; "." &amp;Tableau3[[#This Row],[ID-SLOT]]</f>
        <v>9.2.5</v>
      </c>
      <c r="AI1353" s="72" t="str">
        <f>INDEX(Tableau1[Ref-Carte],MATCH(Tableau3[[#This Row],[ID-RRS]],Tableau1[ID-RRS],0))</f>
        <v>SDI1602</v>
      </c>
      <c r="AJ1353" s="72" t="str">
        <f t="array" ref="AJ1353">IFERROR(INDEX(Tableau2[TS],MATCH(1,(Tableau2[Ref-Carte]=Tableau3[[#This Row],[Ref-Carte2]])*(Tableau2[ID-Voie]=Tableau3[[#This Row],[ID-VOIE]]),0)),"")</f>
        <v>ET</v>
      </c>
      <c r="AK1353" s="72" t="str">
        <f>IFERROR(INDEX(Tableau2[TS],SUMPRODUCT((Tableau2[Ref-Carte]=Tableau3[[#This Row],[Ref-Carte2]])*(Tableau2[ID-Voie]=Tableau3[[#This Row],[ID-VOIE]])*ROW(Tableau2[TS]))-ROW(Tableau2[#Headers])),"")</f>
        <v>ET</v>
      </c>
      <c r="AL1353" s="72" t="str">
        <f>Tableau3[[#This Row],[Ref-Carte2]]&amp;"/"&amp;Tableau3[[#This Row],[ID-VOIE]]</f>
        <v>SDI1602/7</v>
      </c>
      <c r="AM1353" s="73" t="str">
        <f>INDEX(Tableau2[Borne],MATCH(Tableau3[[#This Row],[ID-CARTEVOIE]],Tableau2[ID-CARTEVOIE],0))&amp;""</f>
        <v>3A</v>
      </c>
      <c r="AN1353" s="74" t="str">
        <f>Tableau3[[#This Row],[ID-API]]&amp;Tableau3[[#This Row],[ID-RACK]]&amp;Tableau3[[#This Row],[ID-SLOT]]&amp;Tableau3[[#This Row],[BORNE]]</f>
        <v>9253A</v>
      </c>
      <c r="AO1353" s="1"/>
    </row>
    <row r="1354" spans="1:41" ht="20.100000000000001" customHeight="1" thickTop="1" thickBot="1">
      <c r="A1354" s="68"/>
      <c r="B1354" s="69" t="str">
        <f>IFERROR(INDEX(Tableau4[Date],MATCH($A1354,Tableau4[EVO],0)),"")</f>
        <v/>
      </c>
      <c r="C1354" s="68" t="str">
        <f>IFERROR(INDEX(Tableau4[Designation],MATCH($A1354,Tableau4[EVO],0)),"")</f>
        <v/>
      </c>
      <c r="D1354" s="68"/>
      <c r="E1354" s="70">
        <v>394</v>
      </c>
      <c r="F1354" s="71">
        <v>3</v>
      </c>
      <c r="G1354" s="101" t="str">
        <f>INDEX(Tableau8[Att1],MATCH(Tableau3[[#This Row],[ID-INS]],Tableau8[ID],0))&amp;""</f>
        <v>B22</v>
      </c>
      <c r="H1354" s="101" t="str">
        <f>INDEX(Tableau8[Att2],MATCH(Tableau3[[#This Row],[ID-INS]],Tableau8[ID],0))&amp;""</f>
        <v>SSI6</v>
      </c>
      <c r="I1354" s="101" t="str">
        <f>INDEX(Tableau8[Att3],MATCH(Tableau3[[#This Row],[ID-INS]],Tableau8[ID],0))&amp;""</f>
        <v>Veille restreinte centrale entrée centre B22</v>
      </c>
      <c r="J1354" s="101"/>
      <c r="K1354" s="167" t="str">
        <f>INDEX(Tableau8[Nom du modele],MATCH(Tableau3[[#This Row],[ID-INS]],Tableau8[ID],0))&amp;""</f>
        <v>E_Divers</v>
      </c>
      <c r="L1354" s="99" t="str">
        <f>INDEX(Tableau5[Att1],MATCH(Tableau3[[#This Row],[ID-SIG]],Tableau5[ID],0))&amp;""</f>
        <v>C1</v>
      </c>
      <c r="M1354" s="99" t="str">
        <f>INDEX(Tableau5[Att2],MATCH(Tableau3[[#This Row],[ID-SIG]],Tableau5[ID],0))&amp;""</f>
        <v/>
      </c>
      <c r="N1354" s="99" t="str">
        <f>INDEX(Tableau5[Att3],MATCH(Tableau3[[#This Row],[ID-SIG]],Tableau5[ID],0))&amp;""</f>
        <v/>
      </c>
      <c r="O1354" s="99"/>
      <c r="P1354" s="99" t="str">
        <f>INDEX(Tableau5[Description],MATCH(Tableau3[[#This Row],[ID-SIG]],Tableau5[ID],0))</f>
        <v>Contact</v>
      </c>
      <c r="Q1354" s="99"/>
      <c r="R1354" s="103" t="str">
        <f>Tableau3[[#This Row],[Description]]</f>
        <v>Contact</v>
      </c>
      <c r="U1354" s="87">
        <v>9</v>
      </c>
      <c r="V1354" s="87">
        <v>2</v>
      </c>
      <c r="W1354" s="87">
        <v>5</v>
      </c>
      <c r="X1354" s="87">
        <v>8</v>
      </c>
      <c r="Y1354" s="40"/>
      <c r="Z1354" s="165" t="str">
        <f>INDEX(Tableau2[TS],MATCH(Tableau3[[#This Row],[ID-CARTEVOIE]],Tableau2[ID-CARTEVOIE],0))</f>
        <v>ET</v>
      </c>
      <c r="AA1354" s="53" t="s">
        <v>213</v>
      </c>
      <c r="AB1354" s="223" t="str">
        <f>IFERROR(INDEX(Tableau5[Reserve],MATCH(Tableau3[[#This Row],[ID-SIG]],Tableau5[ID],0))&amp;"","")</f>
        <v/>
      </c>
      <c r="AC1354" s="21"/>
      <c r="AD1354" s="108" t="str">
        <f>INDEX(Tableau7[Repere],MATCH(Tableau3[[#This Row],[ID-API]],Tableau7[ID-API],0))&amp;""</f>
        <v>A9</v>
      </c>
      <c r="AE1354" s="108" t="str">
        <f>INDEX(Tableau1[Repere-Rack],MATCH(Tableau3[[#This Row],[ID-RACK]],Tableau1[ID-RACK],0))&amp;""</f>
        <v>R2</v>
      </c>
      <c r="AF1354" s="108" t="str">
        <f>INDEX(Tableau1[Repere-Slot],MATCH(Tableau3[[#This Row],[ID-SLOT]],Tableau1[ID-SLOT],0))&amp;""</f>
        <v>S5</v>
      </c>
      <c r="AG1354" s="108" t="str">
        <f>INDEX(Tableau2[Repere-Voie],MATCH(Tableau3[[#This Row],[ID-VOIE]],Tableau2[ID-Voie],0))&amp;""</f>
        <v>v8</v>
      </c>
      <c r="AH1354" s="72" t="str">
        <f>Tableau3[[#This Row],[ID-API]]&amp; "." &amp;Tableau3[[#This Row],[ID-RACK]]&amp; "." &amp;Tableau3[[#This Row],[ID-SLOT]]</f>
        <v>9.2.5</v>
      </c>
      <c r="AI1354" s="72" t="str">
        <f>INDEX(Tableau1[Ref-Carte],MATCH(Tableau3[[#This Row],[ID-RRS]],Tableau1[ID-RRS],0))</f>
        <v>SDI1602</v>
      </c>
      <c r="AJ1354" s="72" t="str">
        <f t="array" ref="AJ1354">IFERROR(INDEX(Tableau2[TS],MATCH(1,(Tableau2[Ref-Carte]=Tableau3[[#This Row],[Ref-Carte2]])*(Tableau2[ID-Voie]=Tableau3[[#This Row],[ID-VOIE]]),0)),"")</f>
        <v>ET</v>
      </c>
      <c r="AK1354" s="72" t="str">
        <f>IFERROR(INDEX(Tableau2[TS],SUMPRODUCT((Tableau2[Ref-Carte]=Tableau3[[#This Row],[Ref-Carte2]])*(Tableau2[ID-Voie]=Tableau3[[#This Row],[ID-VOIE]])*ROW(Tableau2[TS]))-ROW(Tableau2[#Headers])),"")</f>
        <v>ET</v>
      </c>
      <c r="AL1354" s="72" t="str">
        <f>Tableau3[[#This Row],[Ref-Carte2]]&amp;"/"&amp;Tableau3[[#This Row],[ID-VOIE]]</f>
        <v>SDI1602/8</v>
      </c>
      <c r="AM1354" s="73" t="str">
        <f>INDEX(Tableau2[Borne],MATCH(Tableau3[[#This Row],[ID-CARTEVOIE]],Tableau2[ID-CARTEVOIE],0))&amp;""</f>
        <v>4B</v>
      </c>
      <c r="AN1354" s="74" t="str">
        <f>Tableau3[[#This Row],[ID-API]]&amp;Tableau3[[#This Row],[ID-RACK]]&amp;Tableau3[[#This Row],[ID-SLOT]]&amp;Tableau3[[#This Row],[BORNE]]</f>
        <v>9254B</v>
      </c>
      <c r="AO1354" s="1"/>
    </row>
    <row r="1355" spans="1:41" ht="20.100000000000001" customHeight="1" thickTop="1" thickBot="1">
      <c r="A1355" s="68"/>
      <c r="B1355" s="69" t="str">
        <f>IFERROR(INDEX(Tableau4[Date],MATCH($A1355,Tableau4[EVO],0)),"")</f>
        <v/>
      </c>
      <c r="C1355" s="68" t="str">
        <f>IFERROR(INDEX(Tableau4[Designation],MATCH($A1355,Tableau4[EVO],0)),"")</f>
        <v/>
      </c>
      <c r="D1355" s="68"/>
      <c r="E1355" s="70">
        <v>395</v>
      </c>
      <c r="F1355" s="71">
        <v>3</v>
      </c>
      <c r="G1355" s="101" t="str">
        <f>INDEX(Tableau8[Att1],MATCH(Tableau3[[#This Row],[ID-INS]],Tableau8[ID],0))&amp;""</f>
        <v>B22</v>
      </c>
      <c r="H1355" s="101" t="str">
        <f>INDEX(Tableau8[Att2],MATCH(Tableau3[[#This Row],[ID-INS]],Tableau8[ID],0))&amp;""</f>
        <v>SSI7</v>
      </c>
      <c r="I1355" s="101" t="str">
        <f>INDEX(Tableau8[Att3],MATCH(Tableau3[[#This Row],[ID-INS]],Tableau8[ID],0))&amp;""</f>
        <v>Synthèse inhibition centrale</v>
      </c>
      <c r="J1355" s="101"/>
      <c r="K1355" s="167" t="str">
        <f>INDEX(Tableau8[Nom du modele],MATCH(Tableau3[[#This Row],[ID-INS]],Tableau8[ID],0))&amp;""</f>
        <v>E_Divers</v>
      </c>
      <c r="L1355" s="99" t="str">
        <f>INDEX(Tableau5[Att1],MATCH(Tableau3[[#This Row],[ID-SIG]],Tableau5[ID],0))&amp;""</f>
        <v>C1</v>
      </c>
      <c r="M1355" s="99" t="str">
        <f>INDEX(Tableau5[Att2],MATCH(Tableau3[[#This Row],[ID-SIG]],Tableau5[ID],0))&amp;""</f>
        <v/>
      </c>
      <c r="N1355" s="99" t="str">
        <f>INDEX(Tableau5[Att3],MATCH(Tableau3[[#This Row],[ID-SIG]],Tableau5[ID],0))&amp;""</f>
        <v/>
      </c>
      <c r="O1355" s="99"/>
      <c r="P1355" s="99" t="str">
        <f>INDEX(Tableau5[Description],MATCH(Tableau3[[#This Row],[ID-SIG]],Tableau5[ID],0))</f>
        <v>Contact</v>
      </c>
      <c r="Q1355" s="99"/>
      <c r="R1355" s="103" t="str">
        <f>Tableau3[[#This Row],[Description]]</f>
        <v>Contact</v>
      </c>
      <c r="U1355" s="87">
        <v>9</v>
      </c>
      <c r="V1355" s="87">
        <v>2</v>
      </c>
      <c r="W1355" s="87">
        <v>5</v>
      </c>
      <c r="X1355" s="87">
        <v>9</v>
      </c>
      <c r="Y1355" s="40"/>
      <c r="Z1355" s="165" t="str">
        <f>INDEX(Tableau2[TS],MATCH(Tableau3[[#This Row],[ID-CARTEVOIE]],Tableau2[ID-CARTEVOIE],0))</f>
        <v>ET</v>
      </c>
      <c r="AA1355" s="53" t="s">
        <v>213</v>
      </c>
      <c r="AB1355" s="223" t="str">
        <f>IFERROR(INDEX(Tableau5[Reserve],MATCH(Tableau3[[#This Row],[ID-SIG]],Tableau5[ID],0))&amp;"","")</f>
        <v/>
      </c>
      <c r="AC1355" s="21"/>
      <c r="AD1355" s="108" t="str">
        <f>INDEX(Tableau7[Repere],MATCH(Tableau3[[#This Row],[ID-API]],Tableau7[ID-API],0))&amp;""</f>
        <v>A9</v>
      </c>
      <c r="AE1355" s="108" t="str">
        <f>INDEX(Tableau1[Repere-Rack],MATCH(Tableau3[[#This Row],[ID-RACK]],Tableau1[ID-RACK],0))&amp;""</f>
        <v>R2</v>
      </c>
      <c r="AF1355" s="108" t="str">
        <f>INDEX(Tableau1[Repere-Slot],MATCH(Tableau3[[#This Row],[ID-SLOT]],Tableau1[ID-SLOT],0))&amp;""</f>
        <v>S5</v>
      </c>
      <c r="AG1355" s="108" t="str">
        <f>INDEX(Tableau2[Repere-Voie],MATCH(Tableau3[[#This Row],[ID-VOIE]],Tableau2[ID-Voie],0))&amp;""</f>
        <v>v9</v>
      </c>
      <c r="AH1355" s="72" t="str">
        <f>Tableau3[[#This Row],[ID-API]]&amp; "." &amp;Tableau3[[#This Row],[ID-RACK]]&amp; "." &amp;Tableau3[[#This Row],[ID-SLOT]]</f>
        <v>9.2.5</v>
      </c>
      <c r="AI1355" s="72" t="str">
        <f>INDEX(Tableau1[Ref-Carte],MATCH(Tableau3[[#This Row],[ID-RRS]],Tableau1[ID-RRS],0))</f>
        <v>SDI1602</v>
      </c>
      <c r="AJ1355" s="72" t="str">
        <f t="array" ref="AJ1355">IFERROR(INDEX(Tableau2[TS],MATCH(1,(Tableau2[Ref-Carte]=Tableau3[[#This Row],[Ref-Carte2]])*(Tableau2[ID-Voie]=Tableau3[[#This Row],[ID-VOIE]]),0)),"")</f>
        <v>ET</v>
      </c>
      <c r="AK1355" s="72" t="str">
        <f>IFERROR(INDEX(Tableau2[TS],SUMPRODUCT((Tableau2[Ref-Carte]=Tableau3[[#This Row],[Ref-Carte2]])*(Tableau2[ID-Voie]=Tableau3[[#This Row],[ID-VOIE]])*ROW(Tableau2[TS]))-ROW(Tableau2[#Headers])),"")</f>
        <v>ET</v>
      </c>
      <c r="AL1355" s="72" t="str">
        <f>Tableau3[[#This Row],[Ref-Carte2]]&amp;"/"&amp;Tableau3[[#This Row],[ID-VOIE]]</f>
        <v>SDI1602/9</v>
      </c>
      <c r="AM1355" s="73" t="str">
        <f>INDEX(Tableau2[Borne],MATCH(Tableau3[[#This Row],[ID-CARTEVOIE]],Tableau2[ID-CARTEVOIE],0))&amp;""</f>
        <v>4A</v>
      </c>
      <c r="AN1355" s="74" t="str">
        <f>Tableau3[[#This Row],[ID-API]]&amp;Tableau3[[#This Row],[ID-RACK]]&amp;Tableau3[[#This Row],[ID-SLOT]]&amp;Tableau3[[#This Row],[BORNE]]</f>
        <v>9254A</v>
      </c>
      <c r="AO1355" s="1"/>
    </row>
    <row r="1356" spans="1:41" ht="20.100000000000001" customHeight="1" thickTop="1" thickBot="1">
      <c r="A1356" s="68"/>
      <c r="B1356" s="69" t="str">
        <f>IFERROR(INDEX(Tableau4[Date],MATCH($A1356,Tableau4[EVO],0)),"")</f>
        <v/>
      </c>
      <c r="C1356" s="68" t="str">
        <f>IFERROR(INDEX(Tableau4[Designation],MATCH($A1356,Tableau4[EVO],0)),"")</f>
        <v/>
      </c>
      <c r="D1356" s="68"/>
      <c r="E1356" s="70">
        <v>396</v>
      </c>
      <c r="F1356" s="71">
        <v>3</v>
      </c>
      <c r="G1356" s="101" t="str">
        <f>INDEX(Tableau8[Att1],MATCH(Tableau3[[#This Row],[ID-INS]],Tableau8[ID],0))&amp;""</f>
        <v>B22</v>
      </c>
      <c r="H1356" s="101" t="str">
        <f>INDEX(Tableau8[Att2],MATCH(Tableau3[[#This Row],[ID-INS]],Tableau8[ID],0))&amp;""</f>
        <v>PPH17</v>
      </c>
      <c r="I1356" s="101" t="str">
        <f>INDEX(Tableau8[Att3],MATCH(Tableau3[[#This Row],[ID-INS]],Tableau8[ID],0))&amp;""</f>
        <v>Alarme détecteur volumétrique DVOL2</v>
      </c>
      <c r="J1356" s="101"/>
      <c r="K1356" s="167" t="str">
        <f>INDEX(Tableau8[Nom du modele],MATCH(Tableau3[[#This Row],[ID-INS]],Tableau8[ID],0))&amp;""</f>
        <v>E_Divers</v>
      </c>
      <c r="L1356" s="99" t="str">
        <f>INDEX(Tableau5[Att1],MATCH(Tableau3[[#This Row],[ID-SIG]],Tableau5[ID],0))&amp;""</f>
        <v>C1</v>
      </c>
      <c r="M1356" s="99" t="str">
        <f>INDEX(Tableau5[Att2],MATCH(Tableau3[[#This Row],[ID-SIG]],Tableau5[ID],0))&amp;""</f>
        <v/>
      </c>
      <c r="N1356" s="99" t="str">
        <f>INDEX(Tableau5[Att3],MATCH(Tableau3[[#This Row],[ID-SIG]],Tableau5[ID],0))&amp;""</f>
        <v/>
      </c>
      <c r="O1356" s="99"/>
      <c r="P1356" s="99" t="str">
        <f>INDEX(Tableau5[Description],MATCH(Tableau3[[#This Row],[ID-SIG]],Tableau5[ID],0))</f>
        <v>Contact</v>
      </c>
      <c r="Q1356" s="99"/>
      <c r="R1356" s="103" t="str">
        <f>Tableau3[[#This Row],[Description]]</f>
        <v>Contact</v>
      </c>
      <c r="U1356" s="87">
        <v>9</v>
      </c>
      <c r="V1356" s="87">
        <v>2</v>
      </c>
      <c r="W1356" s="87">
        <v>5</v>
      </c>
      <c r="X1356" s="87">
        <v>10</v>
      </c>
      <c r="Y1356" s="40"/>
      <c r="Z1356" s="165" t="str">
        <f>INDEX(Tableau2[TS],MATCH(Tableau3[[#This Row],[ID-CARTEVOIE]],Tableau2[ID-CARTEVOIE],0))</f>
        <v>ET</v>
      </c>
      <c r="AA1356" s="53" t="s">
        <v>213</v>
      </c>
      <c r="AB1356" s="223" t="str">
        <f>IFERROR(INDEX(Tableau5[Reserve],MATCH(Tableau3[[#This Row],[ID-SIG]],Tableau5[ID],0))&amp;"","")</f>
        <v/>
      </c>
      <c r="AC1356" s="21"/>
      <c r="AD1356" s="108" t="str">
        <f>INDEX(Tableau7[Repere],MATCH(Tableau3[[#This Row],[ID-API]],Tableau7[ID-API],0))&amp;""</f>
        <v>A9</v>
      </c>
      <c r="AE1356" s="108" t="str">
        <f>INDEX(Tableau1[Repere-Rack],MATCH(Tableau3[[#This Row],[ID-RACK]],Tableau1[ID-RACK],0))&amp;""</f>
        <v>R2</v>
      </c>
      <c r="AF1356" s="108" t="str">
        <f>INDEX(Tableau1[Repere-Slot],MATCH(Tableau3[[#This Row],[ID-SLOT]],Tableau1[ID-SLOT],0))&amp;""</f>
        <v>S5</v>
      </c>
      <c r="AG1356" s="108" t="str">
        <f>INDEX(Tableau2[Repere-Voie],MATCH(Tableau3[[#This Row],[ID-VOIE]],Tableau2[ID-Voie],0))&amp;""</f>
        <v>v10</v>
      </c>
      <c r="AH1356" s="72" t="str">
        <f>Tableau3[[#This Row],[ID-API]]&amp; "." &amp;Tableau3[[#This Row],[ID-RACK]]&amp; "." &amp;Tableau3[[#This Row],[ID-SLOT]]</f>
        <v>9.2.5</v>
      </c>
      <c r="AI1356" s="72" t="str">
        <f>INDEX(Tableau1[Ref-Carte],MATCH(Tableau3[[#This Row],[ID-RRS]],Tableau1[ID-RRS],0))</f>
        <v>SDI1602</v>
      </c>
      <c r="AJ1356" s="72" t="str">
        <f t="array" ref="AJ1356">IFERROR(INDEX(Tableau2[TS],MATCH(1,(Tableau2[Ref-Carte]=Tableau3[[#This Row],[Ref-Carte2]])*(Tableau2[ID-Voie]=Tableau3[[#This Row],[ID-VOIE]]),0)),"")</f>
        <v>ET</v>
      </c>
      <c r="AK1356" s="72" t="str">
        <f>IFERROR(INDEX(Tableau2[TS],SUMPRODUCT((Tableau2[Ref-Carte]=Tableau3[[#This Row],[Ref-Carte2]])*(Tableau2[ID-Voie]=Tableau3[[#This Row],[ID-VOIE]])*ROW(Tableau2[TS]))-ROW(Tableau2[#Headers])),"")</f>
        <v>ET</v>
      </c>
      <c r="AL1356" s="72" t="str">
        <f>Tableau3[[#This Row],[Ref-Carte2]]&amp;"/"&amp;Tableau3[[#This Row],[ID-VOIE]]</f>
        <v>SDI1602/10</v>
      </c>
      <c r="AM1356" s="73" t="str">
        <f>INDEX(Tableau2[Borne],MATCH(Tableau3[[#This Row],[ID-CARTEVOIE]],Tableau2[ID-CARTEVOIE],0))&amp;""</f>
        <v>5B</v>
      </c>
      <c r="AN1356" s="74" t="str">
        <f>Tableau3[[#This Row],[ID-API]]&amp;Tableau3[[#This Row],[ID-RACK]]&amp;Tableau3[[#This Row],[ID-SLOT]]&amp;Tableau3[[#This Row],[BORNE]]</f>
        <v>9255B</v>
      </c>
      <c r="AO1356" s="1"/>
    </row>
    <row r="1357" spans="1:41" ht="20.100000000000001" customHeight="1" thickTop="1" thickBot="1">
      <c r="A1357" s="68"/>
      <c r="B1357" s="69" t="str">
        <f>IFERROR(INDEX(Tableau4[Date],MATCH($A1357,Tableau4[EVO],0)),"")</f>
        <v/>
      </c>
      <c r="C1357" s="68" t="str">
        <f>IFERROR(INDEX(Tableau4[Designation],MATCH($A1357,Tableau4[EVO],0)),"")</f>
        <v/>
      </c>
      <c r="D1357" s="68"/>
      <c r="E1357" s="70">
        <v>397</v>
      </c>
      <c r="F1357" s="71">
        <v>3</v>
      </c>
      <c r="G1357" s="101" t="str">
        <f>INDEX(Tableau8[Att1],MATCH(Tableau3[[#This Row],[ID-INS]],Tableau8[ID],0))&amp;""</f>
        <v>B22</v>
      </c>
      <c r="H1357" s="101" t="str">
        <f>INDEX(Tableau8[Att2],MATCH(Tableau3[[#This Row],[ID-INS]],Tableau8[ID],0))&amp;""</f>
        <v>PPH18</v>
      </c>
      <c r="I1357" s="101" t="str">
        <f>INDEX(Tableau8[Att3],MATCH(Tableau3[[#This Row],[ID-INS]],Tableau8[ID],0))&amp;""</f>
        <v>Fraude détecteur volumétrique DVOL2</v>
      </c>
      <c r="J1357" s="101"/>
      <c r="K1357" s="167" t="str">
        <f>INDEX(Tableau8[Nom du modele],MATCH(Tableau3[[#This Row],[ID-INS]],Tableau8[ID],0))&amp;""</f>
        <v>E_Divers</v>
      </c>
      <c r="L1357" s="99" t="str">
        <f>INDEX(Tableau5[Att1],MATCH(Tableau3[[#This Row],[ID-SIG]],Tableau5[ID],0))&amp;""</f>
        <v>C1</v>
      </c>
      <c r="M1357" s="99" t="str">
        <f>INDEX(Tableau5[Att2],MATCH(Tableau3[[#This Row],[ID-SIG]],Tableau5[ID],0))&amp;""</f>
        <v/>
      </c>
      <c r="N1357" s="99" t="str">
        <f>INDEX(Tableau5[Att3],MATCH(Tableau3[[#This Row],[ID-SIG]],Tableau5[ID],0))&amp;""</f>
        <v/>
      </c>
      <c r="O1357" s="99"/>
      <c r="P1357" s="99" t="str">
        <f>INDEX(Tableau5[Description],MATCH(Tableau3[[#This Row],[ID-SIG]],Tableau5[ID],0))</f>
        <v>Contact</v>
      </c>
      <c r="Q1357" s="99"/>
      <c r="R1357" s="103" t="str">
        <f>Tableau3[[#This Row],[Description]]</f>
        <v>Contact</v>
      </c>
      <c r="U1357" s="87">
        <v>9</v>
      </c>
      <c r="V1357" s="87">
        <v>2</v>
      </c>
      <c r="W1357" s="87">
        <v>5</v>
      </c>
      <c r="X1357" s="87">
        <v>11</v>
      </c>
      <c r="Y1357" s="40"/>
      <c r="Z1357" s="165" t="str">
        <f>INDEX(Tableau2[TS],MATCH(Tableau3[[#This Row],[ID-CARTEVOIE]],Tableau2[ID-CARTEVOIE],0))</f>
        <v>ET</v>
      </c>
      <c r="AA1357" s="53" t="s">
        <v>213</v>
      </c>
      <c r="AB1357" s="223" t="str">
        <f>IFERROR(INDEX(Tableau5[Reserve],MATCH(Tableau3[[#This Row],[ID-SIG]],Tableau5[ID],0))&amp;"","")</f>
        <v/>
      </c>
      <c r="AC1357" s="21"/>
      <c r="AD1357" s="108" t="str">
        <f>INDEX(Tableau7[Repere],MATCH(Tableau3[[#This Row],[ID-API]],Tableau7[ID-API],0))&amp;""</f>
        <v>A9</v>
      </c>
      <c r="AE1357" s="108" t="str">
        <f>INDEX(Tableau1[Repere-Rack],MATCH(Tableau3[[#This Row],[ID-RACK]],Tableau1[ID-RACK],0))&amp;""</f>
        <v>R2</v>
      </c>
      <c r="AF1357" s="108" t="str">
        <f>INDEX(Tableau1[Repere-Slot],MATCH(Tableau3[[#This Row],[ID-SLOT]],Tableau1[ID-SLOT],0))&amp;""</f>
        <v>S5</v>
      </c>
      <c r="AG1357" s="108" t="str">
        <f>INDEX(Tableau2[Repere-Voie],MATCH(Tableau3[[#This Row],[ID-VOIE]],Tableau2[ID-Voie],0))&amp;""</f>
        <v>v11</v>
      </c>
      <c r="AH1357" s="72" t="str">
        <f>Tableau3[[#This Row],[ID-API]]&amp; "." &amp;Tableau3[[#This Row],[ID-RACK]]&amp; "." &amp;Tableau3[[#This Row],[ID-SLOT]]</f>
        <v>9.2.5</v>
      </c>
      <c r="AI1357" s="72" t="str">
        <f>INDEX(Tableau1[Ref-Carte],MATCH(Tableau3[[#This Row],[ID-RRS]],Tableau1[ID-RRS],0))</f>
        <v>SDI1602</v>
      </c>
      <c r="AJ1357" s="72" t="str">
        <f t="array" ref="AJ1357">IFERROR(INDEX(Tableau2[TS],MATCH(1,(Tableau2[Ref-Carte]=Tableau3[[#This Row],[Ref-Carte2]])*(Tableau2[ID-Voie]=Tableau3[[#This Row],[ID-VOIE]]),0)),"")</f>
        <v>ET</v>
      </c>
      <c r="AK1357" s="72" t="str">
        <f>IFERROR(INDEX(Tableau2[TS],SUMPRODUCT((Tableau2[Ref-Carte]=Tableau3[[#This Row],[Ref-Carte2]])*(Tableau2[ID-Voie]=Tableau3[[#This Row],[ID-VOIE]])*ROW(Tableau2[TS]))-ROW(Tableau2[#Headers])),"")</f>
        <v>ET</v>
      </c>
      <c r="AL1357" s="72" t="str">
        <f>Tableau3[[#This Row],[Ref-Carte2]]&amp;"/"&amp;Tableau3[[#This Row],[ID-VOIE]]</f>
        <v>SDI1602/11</v>
      </c>
      <c r="AM1357" s="73" t="str">
        <f>INDEX(Tableau2[Borne],MATCH(Tableau3[[#This Row],[ID-CARTEVOIE]],Tableau2[ID-CARTEVOIE],0))&amp;""</f>
        <v>5A</v>
      </c>
      <c r="AN1357" s="74" t="str">
        <f>Tableau3[[#This Row],[ID-API]]&amp;Tableau3[[#This Row],[ID-RACK]]&amp;Tableau3[[#This Row],[ID-SLOT]]&amp;Tableau3[[#This Row],[BORNE]]</f>
        <v>9255A</v>
      </c>
      <c r="AO1357" s="1"/>
    </row>
    <row r="1358" spans="1:41" ht="20.100000000000001" customHeight="1" thickTop="1" thickBot="1">
      <c r="A1358" s="68"/>
      <c r="B1358" s="69" t="str">
        <f>IFERROR(INDEX(Tableau4[Date],MATCH($A1358,Tableau4[EVO],0)),"")</f>
        <v/>
      </c>
      <c r="C1358" s="68" t="str">
        <f>IFERROR(INDEX(Tableau4[Designation],MATCH($A1358,Tableau4[EVO],0)),"")</f>
        <v/>
      </c>
      <c r="D1358" s="68"/>
      <c r="E1358" s="70">
        <v>398</v>
      </c>
      <c r="F1358" s="71">
        <v>3</v>
      </c>
      <c r="G1358" s="101" t="str">
        <f>INDEX(Tableau8[Att1],MATCH(Tableau3[[#This Row],[ID-INS]],Tableau8[ID],0))&amp;""</f>
        <v>B22</v>
      </c>
      <c r="H1358" s="101" t="str">
        <f>INDEX(Tableau8[Att2],MATCH(Tableau3[[#This Row],[ID-INS]],Tableau8[ID],0))&amp;""</f>
        <v>TECH4</v>
      </c>
      <c r="I1358" s="101" t="str">
        <f>INDEX(Tableau8[Att3],MATCH(Tableau3[[#This Row],[ID-INS]],Tableau8[ID],0))&amp;""</f>
        <v>Dérangement détecteur volumétrique DVOL2</v>
      </c>
      <c r="J1358" s="101"/>
      <c r="K1358" s="167" t="str">
        <f>INDEX(Tableau8[Nom du modele],MATCH(Tableau3[[#This Row],[ID-INS]],Tableau8[ID],0))&amp;""</f>
        <v>E_Divers</v>
      </c>
      <c r="L1358" s="99" t="str">
        <f>INDEX(Tableau5[Att1],MATCH(Tableau3[[#This Row],[ID-SIG]],Tableau5[ID],0))&amp;""</f>
        <v>C1</v>
      </c>
      <c r="M1358" s="99" t="str">
        <f>INDEX(Tableau5[Att2],MATCH(Tableau3[[#This Row],[ID-SIG]],Tableau5[ID],0))&amp;""</f>
        <v/>
      </c>
      <c r="N1358" s="99" t="str">
        <f>INDEX(Tableau5[Att3],MATCH(Tableau3[[#This Row],[ID-SIG]],Tableau5[ID],0))&amp;""</f>
        <v/>
      </c>
      <c r="O1358" s="99"/>
      <c r="P1358" s="99" t="str">
        <f>INDEX(Tableau5[Description],MATCH(Tableau3[[#This Row],[ID-SIG]],Tableau5[ID],0))</f>
        <v>Contact</v>
      </c>
      <c r="Q1358" s="99"/>
      <c r="R1358" s="103" t="str">
        <f>Tableau3[[#This Row],[Description]]</f>
        <v>Contact</v>
      </c>
      <c r="U1358" s="87">
        <v>9</v>
      </c>
      <c r="V1358" s="87">
        <v>2</v>
      </c>
      <c r="W1358" s="87">
        <v>5</v>
      </c>
      <c r="X1358" s="87">
        <v>12</v>
      </c>
      <c r="Y1358" s="40"/>
      <c r="Z1358" s="165" t="str">
        <f>INDEX(Tableau2[TS],MATCH(Tableau3[[#This Row],[ID-CARTEVOIE]],Tableau2[ID-CARTEVOIE],0))</f>
        <v>ET</v>
      </c>
      <c r="AA1358" s="53" t="s">
        <v>213</v>
      </c>
      <c r="AB1358" s="223" t="str">
        <f>IFERROR(INDEX(Tableau5[Reserve],MATCH(Tableau3[[#This Row],[ID-SIG]],Tableau5[ID],0))&amp;"","")</f>
        <v/>
      </c>
      <c r="AC1358" s="21"/>
      <c r="AD1358" s="108" t="str">
        <f>INDEX(Tableau7[Repere],MATCH(Tableau3[[#This Row],[ID-API]],Tableau7[ID-API],0))&amp;""</f>
        <v>A9</v>
      </c>
      <c r="AE1358" s="108" t="str">
        <f>INDEX(Tableau1[Repere-Rack],MATCH(Tableau3[[#This Row],[ID-RACK]],Tableau1[ID-RACK],0))&amp;""</f>
        <v>R2</v>
      </c>
      <c r="AF1358" s="108" t="str">
        <f>INDEX(Tableau1[Repere-Slot],MATCH(Tableau3[[#This Row],[ID-SLOT]],Tableau1[ID-SLOT],0))&amp;""</f>
        <v>S5</v>
      </c>
      <c r="AG1358" s="108" t="str">
        <f>INDEX(Tableau2[Repere-Voie],MATCH(Tableau3[[#This Row],[ID-VOIE]],Tableau2[ID-Voie],0))&amp;""</f>
        <v>v12</v>
      </c>
      <c r="AH1358" s="72" t="str">
        <f>Tableau3[[#This Row],[ID-API]]&amp; "." &amp;Tableau3[[#This Row],[ID-RACK]]&amp; "." &amp;Tableau3[[#This Row],[ID-SLOT]]</f>
        <v>9.2.5</v>
      </c>
      <c r="AI1358" s="72" t="str">
        <f>INDEX(Tableau1[Ref-Carte],MATCH(Tableau3[[#This Row],[ID-RRS]],Tableau1[ID-RRS],0))</f>
        <v>SDI1602</v>
      </c>
      <c r="AJ1358" s="72" t="str">
        <f t="array" ref="AJ1358">IFERROR(INDEX(Tableau2[TS],MATCH(1,(Tableau2[Ref-Carte]=Tableau3[[#This Row],[Ref-Carte2]])*(Tableau2[ID-Voie]=Tableau3[[#This Row],[ID-VOIE]]),0)),"")</f>
        <v>ET</v>
      </c>
      <c r="AK1358" s="72" t="str">
        <f>IFERROR(INDEX(Tableau2[TS],SUMPRODUCT((Tableau2[Ref-Carte]=Tableau3[[#This Row],[Ref-Carte2]])*(Tableau2[ID-Voie]=Tableau3[[#This Row],[ID-VOIE]])*ROW(Tableau2[TS]))-ROW(Tableau2[#Headers])),"")</f>
        <v>ET</v>
      </c>
      <c r="AL1358" s="72" t="str">
        <f>Tableau3[[#This Row],[Ref-Carte2]]&amp;"/"&amp;Tableau3[[#This Row],[ID-VOIE]]</f>
        <v>SDI1602/12</v>
      </c>
      <c r="AM1358" s="73" t="str">
        <f>INDEX(Tableau2[Borne],MATCH(Tableau3[[#This Row],[ID-CARTEVOIE]],Tableau2[ID-CARTEVOIE],0))&amp;""</f>
        <v>6B</v>
      </c>
      <c r="AN1358" s="74" t="str">
        <f>Tableau3[[#This Row],[ID-API]]&amp;Tableau3[[#This Row],[ID-RACK]]&amp;Tableau3[[#This Row],[ID-SLOT]]&amp;Tableau3[[#This Row],[BORNE]]</f>
        <v>9256B</v>
      </c>
      <c r="AO1358" s="1"/>
    </row>
    <row r="1359" spans="1:41" ht="20.100000000000001" customHeight="1" thickTop="1" thickBot="1">
      <c r="A1359" s="68"/>
      <c r="B1359" s="69" t="str">
        <f>IFERROR(INDEX(Tableau4[Date],MATCH($A1359,Tableau4[EVO],0)),"")</f>
        <v/>
      </c>
      <c r="C1359" s="68" t="str">
        <f>IFERROR(INDEX(Tableau4[Designation],MATCH($A1359,Tableau4[EVO],0)),"")</f>
        <v/>
      </c>
      <c r="D1359" s="68"/>
      <c r="E1359" s="70">
        <v>399</v>
      </c>
      <c r="F1359" s="71">
        <v>3</v>
      </c>
      <c r="G1359" s="101" t="str">
        <f>INDEX(Tableau8[Att1],MATCH(Tableau3[[#This Row],[ID-INS]],Tableau8[ID],0))&amp;""</f>
        <v>B22</v>
      </c>
      <c r="H1359" s="101" t="str">
        <f>INDEX(Tableau8[Att2],MATCH(Tableau3[[#This Row],[ID-INS]],Tableau8[ID],0))&amp;""</f>
        <v>PPH19</v>
      </c>
      <c r="I1359" s="101" t="str">
        <f>INDEX(Tableau8[Att3],MATCH(Tableau3[[#This Row],[ID-INS]],Tableau8[ID],0))&amp;""</f>
        <v>Alarme détecteur volumétrique DVOL3</v>
      </c>
      <c r="J1359" s="101"/>
      <c r="K1359" s="167" t="str">
        <f>INDEX(Tableau8[Nom du modele],MATCH(Tableau3[[#This Row],[ID-INS]],Tableau8[ID],0))&amp;""</f>
        <v>E_Divers</v>
      </c>
      <c r="L1359" s="99" t="str">
        <f>INDEX(Tableau5[Att1],MATCH(Tableau3[[#This Row],[ID-SIG]],Tableau5[ID],0))&amp;""</f>
        <v>C1</v>
      </c>
      <c r="M1359" s="99" t="str">
        <f>INDEX(Tableau5[Att2],MATCH(Tableau3[[#This Row],[ID-SIG]],Tableau5[ID],0))&amp;""</f>
        <v/>
      </c>
      <c r="N1359" s="99" t="str">
        <f>INDEX(Tableau5[Att3],MATCH(Tableau3[[#This Row],[ID-SIG]],Tableau5[ID],0))&amp;""</f>
        <v/>
      </c>
      <c r="O1359" s="99"/>
      <c r="P1359" s="99" t="str">
        <f>INDEX(Tableau5[Description],MATCH(Tableau3[[#This Row],[ID-SIG]],Tableau5[ID],0))</f>
        <v>Contact</v>
      </c>
      <c r="Q1359" s="99"/>
      <c r="R1359" s="103" t="str">
        <f>Tableau3[[#This Row],[Description]]</f>
        <v>Contact</v>
      </c>
      <c r="U1359" s="87">
        <v>9</v>
      </c>
      <c r="V1359" s="87">
        <v>2</v>
      </c>
      <c r="W1359" s="87">
        <v>5</v>
      </c>
      <c r="X1359" s="87">
        <v>13</v>
      </c>
      <c r="Y1359" s="40"/>
      <c r="Z1359" s="165" t="str">
        <f>INDEX(Tableau2[TS],MATCH(Tableau3[[#This Row],[ID-CARTEVOIE]],Tableau2[ID-CARTEVOIE],0))</f>
        <v>ET</v>
      </c>
      <c r="AA1359" s="53" t="s">
        <v>213</v>
      </c>
      <c r="AB1359" s="223" t="str">
        <f>IFERROR(INDEX(Tableau5[Reserve],MATCH(Tableau3[[#This Row],[ID-SIG]],Tableau5[ID],0))&amp;"","")</f>
        <v/>
      </c>
      <c r="AC1359" s="21"/>
      <c r="AD1359" s="108" t="str">
        <f>INDEX(Tableau7[Repere],MATCH(Tableau3[[#This Row],[ID-API]],Tableau7[ID-API],0))&amp;""</f>
        <v>A9</v>
      </c>
      <c r="AE1359" s="108" t="str">
        <f>INDEX(Tableau1[Repere-Rack],MATCH(Tableau3[[#This Row],[ID-RACK]],Tableau1[ID-RACK],0))&amp;""</f>
        <v>R2</v>
      </c>
      <c r="AF1359" s="108" t="str">
        <f>INDEX(Tableau1[Repere-Slot],MATCH(Tableau3[[#This Row],[ID-SLOT]],Tableau1[ID-SLOT],0))&amp;""</f>
        <v>S5</v>
      </c>
      <c r="AG1359" s="108" t="str">
        <f>INDEX(Tableau2[Repere-Voie],MATCH(Tableau3[[#This Row],[ID-VOIE]],Tableau2[ID-Voie],0))&amp;""</f>
        <v>v13</v>
      </c>
      <c r="AH1359" s="72" t="str">
        <f>Tableau3[[#This Row],[ID-API]]&amp; "." &amp;Tableau3[[#This Row],[ID-RACK]]&amp; "." &amp;Tableau3[[#This Row],[ID-SLOT]]</f>
        <v>9.2.5</v>
      </c>
      <c r="AI1359" s="72" t="str">
        <f>INDEX(Tableau1[Ref-Carte],MATCH(Tableau3[[#This Row],[ID-RRS]],Tableau1[ID-RRS],0))</f>
        <v>SDI1602</v>
      </c>
      <c r="AJ1359" s="72" t="str">
        <f t="array" ref="AJ1359">IFERROR(INDEX(Tableau2[TS],MATCH(1,(Tableau2[Ref-Carte]=Tableau3[[#This Row],[Ref-Carte2]])*(Tableau2[ID-Voie]=Tableau3[[#This Row],[ID-VOIE]]),0)),"")</f>
        <v>ET</v>
      </c>
      <c r="AK1359" s="72" t="str">
        <f>IFERROR(INDEX(Tableau2[TS],SUMPRODUCT((Tableau2[Ref-Carte]=Tableau3[[#This Row],[Ref-Carte2]])*(Tableau2[ID-Voie]=Tableau3[[#This Row],[ID-VOIE]])*ROW(Tableau2[TS]))-ROW(Tableau2[#Headers])),"")</f>
        <v>ET</v>
      </c>
      <c r="AL1359" s="72" t="str">
        <f>Tableau3[[#This Row],[Ref-Carte2]]&amp;"/"&amp;Tableau3[[#This Row],[ID-VOIE]]</f>
        <v>SDI1602/13</v>
      </c>
      <c r="AM1359" s="73" t="str">
        <f>INDEX(Tableau2[Borne],MATCH(Tableau3[[#This Row],[ID-CARTEVOIE]],Tableau2[ID-CARTEVOIE],0))&amp;""</f>
        <v>6A</v>
      </c>
      <c r="AN1359" s="74" t="str">
        <f>Tableau3[[#This Row],[ID-API]]&amp;Tableau3[[#This Row],[ID-RACK]]&amp;Tableau3[[#This Row],[ID-SLOT]]&amp;Tableau3[[#This Row],[BORNE]]</f>
        <v>9256A</v>
      </c>
      <c r="AO1359" s="1"/>
    </row>
    <row r="1360" spans="1:41" ht="20.100000000000001" customHeight="1" thickTop="1" thickBot="1">
      <c r="A1360" s="68"/>
      <c r="B1360" s="69" t="str">
        <f>IFERROR(INDEX(Tableau4[Date],MATCH($A1360,Tableau4[EVO],0)),"")</f>
        <v/>
      </c>
      <c r="C1360" s="68" t="str">
        <f>IFERROR(INDEX(Tableau4[Designation],MATCH($A1360,Tableau4[EVO],0)),"")</f>
        <v/>
      </c>
      <c r="D1360" s="68"/>
      <c r="E1360" s="70">
        <v>400</v>
      </c>
      <c r="F1360" s="71">
        <v>3</v>
      </c>
      <c r="G1360" s="101" t="str">
        <f>INDEX(Tableau8[Att1],MATCH(Tableau3[[#This Row],[ID-INS]],Tableau8[ID],0))&amp;""</f>
        <v>B22</v>
      </c>
      <c r="H1360" s="101" t="str">
        <f>INDEX(Tableau8[Att2],MATCH(Tableau3[[#This Row],[ID-INS]],Tableau8[ID],0))&amp;""</f>
        <v>PPH20</v>
      </c>
      <c r="I1360" s="101" t="str">
        <f>INDEX(Tableau8[Att3],MATCH(Tableau3[[#This Row],[ID-INS]],Tableau8[ID],0))&amp;""</f>
        <v>Fraude détecteur volumétrique DVOL3</v>
      </c>
      <c r="J1360" s="101"/>
      <c r="K1360" s="167" t="str">
        <f>INDEX(Tableau8[Nom du modele],MATCH(Tableau3[[#This Row],[ID-INS]],Tableau8[ID],0))&amp;""</f>
        <v>E_Divers</v>
      </c>
      <c r="L1360" s="99" t="str">
        <f>INDEX(Tableau5[Att1],MATCH(Tableau3[[#This Row],[ID-SIG]],Tableau5[ID],0))&amp;""</f>
        <v>C1</v>
      </c>
      <c r="M1360" s="99" t="str">
        <f>INDEX(Tableau5[Att2],MATCH(Tableau3[[#This Row],[ID-SIG]],Tableau5[ID],0))&amp;""</f>
        <v/>
      </c>
      <c r="N1360" s="99" t="str">
        <f>INDEX(Tableau5[Att3],MATCH(Tableau3[[#This Row],[ID-SIG]],Tableau5[ID],0))&amp;""</f>
        <v/>
      </c>
      <c r="O1360" s="99"/>
      <c r="P1360" s="99" t="str">
        <f>INDEX(Tableau5[Description],MATCH(Tableau3[[#This Row],[ID-SIG]],Tableau5[ID],0))</f>
        <v>Contact</v>
      </c>
      <c r="Q1360" s="99"/>
      <c r="R1360" s="103" t="str">
        <f>Tableau3[[#This Row],[Description]]</f>
        <v>Contact</v>
      </c>
      <c r="U1360" s="87">
        <v>9</v>
      </c>
      <c r="V1360" s="87">
        <v>2</v>
      </c>
      <c r="W1360" s="87">
        <v>5</v>
      </c>
      <c r="X1360" s="87">
        <v>14</v>
      </c>
      <c r="Y1360" s="40"/>
      <c r="Z1360" s="165" t="str">
        <f>INDEX(Tableau2[TS],MATCH(Tableau3[[#This Row],[ID-CARTEVOIE]],Tableau2[ID-CARTEVOIE],0))</f>
        <v>ET</v>
      </c>
      <c r="AA1360" s="53" t="s">
        <v>213</v>
      </c>
      <c r="AB1360" s="223" t="str">
        <f>IFERROR(INDEX(Tableau5[Reserve],MATCH(Tableau3[[#This Row],[ID-SIG]],Tableau5[ID],0))&amp;"","")</f>
        <v/>
      </c>
      <c r="AC1360" s="21"/>
      <c r="AD1360" s="108" t="str">
        <f>INDEX(Tableau7[Repere],MATCH(Tableau3[[#This Row],[ID-API]],Tableau7[ID-API],0))&amp;""</f>
        <v>A9</v>
      </c>
      <c r="AE1360" s="108" t="str">
        <f>INDEX(Tableau1[Repere-Rack],MATCH(Tableau3[[#This Row],[ID-RACK]],Tableau1[ID-RACK],0))&amp;""</f>
        <v>R2</v>
      </c>
      <c r="AF1360" s="108" t="str">
        <f>INDEX(Tableau1[Repere-Slot],MATCH(Tableau3[[#This Row],[ID-SLOT]],Tableau1[ID-SLOT],0))&amp;""</f>
        <v>S5</v>
      </c>
      <c r="AG1360" s="108" t="str">
        <f>INDEX(Tableau2[Repere-Voie],MATCH(Tableau3[[#This Row],[ID-VOIE]],Tableau2[ID-Voie],0))&amp;""</f>
        <v>v14</v>
      </c>
      <c r="AH1360" s="72" t="str">
        <f>Tableau3[[#This Row],[ID-API]]&amp; "." &amp;Tableau3[[#This Row],[ID-RACK]]&amp; "." &amp;Tableau3[[#This Row],[ID-SLOT]]</f>
        <v>9.2.5</v>
      </c>
      <c r="AI1360" s="72" t="str">
        <f>INDEX(Tableau1[Ref-Carte],MATCH(Tableau3[[#This Row],[ID-RRS]],Tableau1[ID-RRS],0))</f>
        <v>SDI1602</v>
      </c>
      <c r="AJ1360" s="72" t="str">
        <f t="array" ref="AJ1360">IFERROR(INDEX(Tableau2[TS],MATCH(1,(Tableau2[Ref-Carte]=Tableau3[[#This Row],[Ref-Carte2]])*(Tableau2[ID-Voie]=Tableau3[[#This Row],[ID-VOIE]]),0)),"")</f>
        <v>ET</v>
      </c>
      <c r="AK1360" s="72" t="str">
        <f>IFERROR(INDEX(Tableau2[TS],SUMPRODUCT((Tableau2[Ref-Carte]=Tableau3[[#This Row],[Ref-Carte2]])*(Tableau2[ID-Voie]=Tableau3[[#This Row],[ID-VOIE]])*ROW(Tableau2[TS]))-ROW(Tableau2[#Headers])),"")</f>
        <v>ET</v>
      </c>
      <c r="AL1360" s="72" t="str">
        <f>Tableau3[[#This Row],[Ref-Carte2]]&amp;"/"&amp;Tableau3[[#This Row],[ID-VOIE]]</f>
        <v>SDI1602/14</v>
      </c>
      <c r="AM1360" s="73" t="str">
        <f>INDEX(Tableau2[Borne],MATCH(Tableau3[[#This Row],[ID-CARTEVOIE]],Tableau2[ID-CARTEVOIE],0))&amp;""</f>
        <v>7B</v>
      </c>
      <c r="AN1360" s="74" t="str">
        <f>Tableau3[[#This Row],[ID-API]]&amp;Tableau3[[#This Row],[ID-RACK]]&amp;Tableau3[[#This Row],[ID-SLOT]]&amp;Tableau3[[#This Row],[BORNE]]</f>
        <v>9257B</v>
      </c>
      <c r="AO1360" s="1"/>
    </row>
    <row r="1361" spans="1:41" ht="20.100000000000001" customHeight="1" thickTop="1" thickBot="1">
      <c r="A1361" s="68"/>
      <c r="B1361" s="69" t="str">
        <f>IFERROR(INDEX(Tableau4[Date],MATCH($A1361,Tableau4[EVO],0)),"")</f>
        <v/>
      </c>
      <c r="C1361" s="68" t="str">
        <f>IFERROR(INDEX(Tableau4[Designation],MATCH($A1361,Tableau4[EVO],0)),"")</f>
        <v/>
      </c>
      <c r="D1361" s="68"/>
      <c r="E1361" s="70">
        <v>401</v>
      </c>
      <c r="F1361" s="71">
        <v>3</v>
      </c>
      <c r="G1361" s="101" t="str">
        <f>INDEX(Tableau8[Att1],MATCH(Tableau3[[#This Row],[ID-INS]],Tableau8[ID],0))&amp;""</f>
        <v>B22</v>
      </c>
      <c r="H1361" s="101" t="str">
        <f>INDEX(Tableau8[Att2],MATCH(Tableau3[[#This Row],[ID-INS]],Tableau8[ID],0))&amp;""</f>
        <v>TECH5</v>
      </c>
      <c r="I1361" s="101" t="str">
        <f>INDEX(Tableau8[Att3],MATCH(Tableau3[[#This Row],[ID-INS]],Tableau8[ID],0))&amp;""</f>
        <v>Dérangement détecteur volumétrique DVOL3</v>
      </c>
      <c r="J1361" s="101"/>
      <c r="K1361" s="167" t="str">
        <f>INDEX(Tableau8[Nom du modele],MATCH(Tableau3[[#This Row],[ID-INS]],Tableau8[ID],0))&amp;""</f>
        <v>E_Divers</v>
      </c>
      <c r="L1361" s="99" t="str">
        <f>INDEX(Tableau5[Att1],MATCH(Tableau3[[#This Row],[ID-SIG]],Tableau5[ID],0))&amp;""</f>
        <v>C1</v>
      </c>
      <c r="M1361" s="99" t="str">
        <f>INDEX(Tableau5[Att2],MATCH(Tableau3[[#This Row],[ID-SIG]],Tableau5[ID],0))&amp;""</f>
        <v/>
      </c>
      <c r="N1361" s="99" t="str">
        <f>INDEX(Tableau5[Att3],MATCH(Tableau3[[#This Row],[ID-SIG]],Tableau5[ID],0))&amp;""</f>
        <v/>
      </c>
      <c r="O1361" s="99"/>
      <c r="P1361" s="99" t="str">
        <f>INDEX(Tableau5[Description],MATCH(Tableau3[[#This Row],[ID-SIG]],Tableau5[ID],0))</f>
        <v>Contact</v>
      </c>
      <c r="Q1361" s="99"/>
      <c r="R1361" s="103" t="str">
        <f>Tableau3[[#This Row],[Description]]</f>
        <v>Contact</v>
      </c>
      <c r="U1361" s="87">
        <v>9</v>
      </c>
      <c r="V1361" s="87">
        <v>2</v>
      </c>
      <c r="W1361" s="87">
        <v>5</v>
      </c>
      <c r="X1361" s="87">
        <v>15</v>
      </c>
      <c r="Y1361" s="40"/>
      <c r="Z1361" s="165" t="str">
        <f>INDEX(Tableau2[TS],MATCH(Tableau3[[#This Row],[ID-CARTEVOIE]],Tableau2[ID-CARTEVOIE],0))</f>
        <v>ET</v>
      </c>
      <c r="AA1361" s="53" t="s">
        <v>213</v>
      </c>
      <c r="AB1361" s="223" t="str">
        <f>IFERROR(INDEX(Tableau5[Reserve],MATCH(Tableau3[[#This Row],[ID-SIG]],Tableau5[ID],0))&amp;"","")</f>
        <v/>
      </c>
      <c r="AC1361" s="21"/>
      <c r="AD1361" s="108" t="str">
        <f>INDEX(Tableau7[Repere],MATCH(Tableau3[[#This Row],[ID-API]],Tableau7[ID-API],0))&amp;""</f>
        <v>A9</v>
      </c>
      <c r="AE1361" s="108" t="str">
        <f>INDEX(Tableau1[Repere-Rack],MATCH(Tableau3[[#This Row],[ID-RACK]],Tableau1[ID-RACK],0))&amp;""</f>
        <v>R2</v>
      </c>
      <c r="AF1361" s="108" t="str">
        <f>INDEX(Tableau1[Repere-Slot],MATCH(Tableau3[[#This Row],[ID-SLOT]],Tableau1[ID-SLOT],0))&amp;""</f>
        <v>S5</v>
      </c>
      <c r="AG1361" s="108" t="str">
        <f>INDEX(Tableau2[Repere-Voie],MATCH(Tableau3[[#This Row],[ID-VOIE]],Tableau2[ID-Voie],0))&amp;""</f>
        <v>v15</v>
      </c>
      <c r="AH1361" s="72" t="str">
        <f>Tableau3[[#This Row],[ID-API]]&amp; "." &amp;Tableau3[[#This Row],[ID-RACK]]&amp; "." &amp;Tableau3[[#This Row],[ID-SLOT]]</f>
        <v>9.2.5</v>
      </c>
      <c r="AI1361" s="72" t="str">
        <f>INDEX(Tableau1[Ref-Carte],MATCH(Tableau3[[#This Row],[ID-RRS]],Tableau1[ID-RRS],0))</f>
        <v>SDI1602</v>
      </c>
      <c r="AJ1361" s="72" t="str">
        <f t="array" ref="AJ1361">IFERROR(INDEX(Tableau2[TS],MATCH(1,(Tableau2[Ref-Carte]=Tableau3[[#This Row],[Ref-Carte2]])*(Tableau2[ID-Voie]=Tableau3[[#This Row],[ID-VOIE]]),0)),"")</f>
        <v>ET</v>
      </c>
      <c r="AK1361" s="72" t="str">
        <f>IFERROR(INDEX(Tableau2[TS],SUMPRODUCT((Tableau2[Ref-Carte]=Tableau3[[#This Row],[Ref-Carte2]])*(Tableau2[ID-Voie]=Tableau3[[#This Row],[ID-VOIE]])*ROW(Tableau2[TS]))-ROW(Tableau2[#Headers])),"")</f>
        <v>ET</v>
      </c>
      <c r="AL1361" s="72" t="str">
        <f>Tableau3[[#This Row],[Ref-Carte2]]&amp;"/"&amp;Tableau3[[#This Row],[ID-VOIE]]</f>
        <v>SDI1602/15</v>
      </c>
      <c r="AM1361" s="73" t="str">
        <f>INDEX(Tableau2[Borne],MATCH(Tableau3[[#This Row],[ID-CARTEVOIE]],Tableau2[ID-CARTEVOIE],0))&amp;""</f>
        <v>7A</v>
      </c>
      <c r="AN1361" s="74" t="str">
        <f>Tableau3[[#This Row],[ID-API]]&amp;Tableau3[[#This Row],[ID-RACK]]&amp;Tableau3[[#This Row],[ID-SLOT]]&amp;Tableau3[[#This Row],[BORNE]]</f>
        <v>9257A</v>
      </c>
      <c r="AO1361" s="1"/>
    </row>
    <row r="1362" spans="1:41" ht="20.100000000000001" customHeight="1" thickTop="1" thickBot="1">
      <c r="A1362" s="68"/>
      <c r="B1362" s="69" t="str">
        <f>IFERROR(INDEX(Tableau4[Date],MATCH($A1362,Tableau4[EVO],0)),"")</f>
        <v/>
      </c>
      <c r="C1362" s="68" t="str">
        <f>IFERROR(INDEX(Tableau4[Designation],MATCH($A1362,Tableau4[EVO],0)),"")</f>
        <v/>
      </c>
      <c r="D1362" s="68"/>
      <c r="E1362" s="70">
        <v>402</v>
      </c>
      <c r="F1362" s="71">
        <v>3</v>
      </c>
      <c r="G1362" s="101" t="str">
        <f>INDEX(Tableau8[Att1],MATCH(Tableau3[[#This Row],[ID-INS]],Tableau8[ID],0))&amp;""</f>
        <v>B22</v>
      </c>
      <c r="H1362" s="101" t="str">
        <f>INDEX(Tableau8[Att2],MATCH(Tableau3[[#This Row],[ID-INS]],Tableau8[ID],0))&amp;""</f>
        <v>PPH21</v>
      </c>
      <c r="I1362" s="101" t="str">
        <f>INDEX(Tableau8[Att3],MATCH(Tableau3[[#This Row],[ID-INS]],Tableau8[ID],0))&amp;""</f>
        <v>Alarme détecteur volumétrique DVOL4</v>
      </c>
      <c r="J1362" s="101"/>
      <c r="K1362" s="167" t="str">
        <f>INDEX(Tableau8[Nom du modele],MATCH(Tableau3[[#This Row],[ID-INS]],Tableau8[ID],0))&amp;""</f>
        <v>E_Divers</v>
      </c>
      <c r="L1362" s="99" t="str">
        <f>INDEX(Tableau5[Att1],MATCH(Tableau3[[#This Row],[ID-SIG]],Tableau5[ID],0))&amp;""</f>
        <v>C1</v>
      </c>
      <c r="M1362" s="99" t="str">
        <f>INDEX(Tableau5[Att2],MATCH(Tableau3[[#This Row],[ID-SIG]],Tableau5[ID],0))&amp;""</f>
        <v/>
      </c>
      <c r="N1362" s="99" t="str">
        <f>INDEX(Tableau5[Att3],MATCH(Tableau3[[#This Row],[ID-SIG]],Tableau5[ID],0))&amp;""</f>
        <v/>
      </c>
      <c r="O1362" s="99"/>
      <c r="P1362" s="99" t="str">
        <f>INDEX(Tableau5[Description],MATCH(Tableau3[[#This Row],[ID-SIG]],Tableau5[ID],0))</f>
        <v>Contact</v>
      </c>
      <c r="Q1362" s="99"/>
      <c r="R1362" s="103" t="str">
        <f>Tableau3[[#This Row],[Description]]</f>
        <v>Contact</v>
      </c>
      <c r="U1362" s="87">
        <v>9</v>
      </c>
      <c r="V1362" s="87">
        <v>2</v>
      </c>
      <c r="W1362" s="87">
        <v>6</v>
      </c>
      <c r="X1362" s="87">
        <v>0</v>
      </c>
      <c r="Y1362" s="40"/>
      <c r="Z1362" s="165" t="str">
        <f>INDEX(Tableau2[TS],MATCH(Tableau3[[#This Row],[ID-CARTEVOIE]],Tableau2[ID-CARTEVOIE],0))</f>
        <v>ET</v>
      </c>
      <c r="AA1362" s="53" t="s">
        <v>213</v>
      </c>
      <c r="AB1362" s="223" t="str">
        <f>IFERROR(INDEX(Tableau5[Reserve],MATCH(Tableau3[[#This Row],[ID-SIG]],Tableau5[ID],0))&amp;"","")</f>
        <v/>
      </c>
      <c r="AC1362" s="21"/>
      <c r="AD1362" s="108" t="str">
        <f>INDEX(Tableau7[Repere],MATCH(Tableau3[[#This Row],[ID-API]],Tableau7[ID-API],0))&amp;""</f>
        <v>A9</v>
      </c>
      <c r="AE1362" s="108" t="str">
        <f>INDEX(Tableau1[Repere-Rack],MATCH(Tableau3[[#This Row],[ID-RACK]],Tableau1[ID-RACK],0))&amp;""</f>
        <v>R2</v>
      </c>
      <c r="AF1362" s="108" t="str">
        <f>INDEX(Tableau1[Repere-Slot],MATCH(Tableau3[[#This Row],[ID-SLOT]],Tableau1[ID-SLOT],0))&amp;""</f>
        <v>S6</v>
      </c>
      <c r="AG1362" s="108" t="str">
        <f>INDEX(Tableau2[Repere-Voie],MATCH(Tableau3[[#This Row],[ID-VOIE]],Tableau2[ID-Voie],0))&amp;""</f>
        <v>v0</v>
      </c>
      <c r="AH1362" s="72" t="str">
        <f>Tableau3[[#This Row],[ID-API]]&amp; "." &amp;Tableau3[[#This Row],[ID-RACK]]&amp; "." &amp;Tableau3[[#This Row],[ID-SLOT]]</f>
        <v>9.2.6</v>
      </c>
      <c r="AI1362" s="72" t="str">
        <f>INDEX(Tableau1[Ref-Carte],MATCH(Tableau3[[#This Row],[ID-RRS]],Tableau1[ID-RRS],0))</f>
        <v>SDI1602</v>
      </c>
      <c r="AJ1362" s="72" t="str">
        <f t="array" ref="AJ1362">IFERROR(INDEX(Tableau2[TS],MATCH(1,(Tableau2[Ref-Carte]=Tableau3[[#This Row],[Ref-Carte2]])*(Tableau2[ID-Voie]=Tableau3[[#This Row],[ID-VOIE]]),0)),"")</f>
        <v>ET</v>
      </c>
      <c r="AK1362" s="72" t="str">
        <f>IFERROR(INDEX(Tableau2[TS],SUMPRODUCT((Tableau2[Ref-Carte]=Tableau3[[#This Row],[Ref-Carte2]])*(Tableau2[ID-Voie]=Tableau3[[#This Row],[ID-VOIE]])*ROW(Tableau2[TS]))-ROW(Tableau2[#Headers])),"")</f>
        <v>ET</v>
      </c>
      <c r="AL1362" s="72" t="str">
        <f>Tableau3[[#This Row],[Ref-Carte2]]&amp;"/"&amp;Tableau3[[#This Row],[ID-VOIE]]</f>
        <v>SDI1602/0</v>
      </c>
      <c r="AM1362" s="73" t="str">
        <f>INDEX(Tableau2[Borne],MATCH(Tableau3[[#This Row],[ID-CARTEVOIE]],Tableau2[ID-CARTEVOIE],0))&amp;""</f>
        <v>0B</v>
      </c>
      <c r="AN1362" s="74" t="str">
        <f>Tableau3[[#This Row],[ID-API]]&amp;Tableau3[[#This Row],[ID-RACK]]&amp;Tableau3[[#This Row],[ID-SLOT]]&amp;Tableau3[[#This Row],[BORNE]]</f>
        <v>9260B</v>
      </c>
      <c r="AO1362" s="1"/>
    </row>
    <row r="1363" spans="1:41" ht="20.100000000000001" customHeight="1" thickTop="1" thickBot="1">
      <c r="A1363" s="68"/>
      <c r="B1363" s="69" t="str">
        <f>IFERROR(INDEX(Tableau4[Date],MATCH($A1363,Tableau4[EVO],0)),"")</f>
        <v/>
      </c>
      <c r="C1363" s="68" t="str">
        <f>IFERROR(INDEX(Tableau4[Designation],MATCH($A1363,Tableau4[EVO],0)),"")</f>
        <v/>
      </c>
      <c r="D1363" s="68"/>
      <c r="E1363" s="70">
        <v>403</v>
      </c>
      <c r="F1363" s="71">
        <v>3</v>
      </c>
      <c r="G1363" s="101" t="str">
        <f>INDEX(Tableau8[Att1],MATCH(Tableau3[[#This Row],[ID-INS]],Tableau8[ID],0))&amp;""</f>
        <v>B22</v>
      </c>
      <c r="H1363" s="101" t="str">
        <f>INDEX(Tableau8[Att2],MATCH(Tableau3[[#This Row],[ID-INS]],Tableau8[ID],0))&amp;""</f>
        <v>PPH22</v>
      </c>
      <c r="I1363" s="101" t="str">
        <f>INDEX(Tableau8[Att3],MATCH(Tableau3[[#This Row],[ID-INS]],Tableau8[ID],0))&amp;""</f>
        <v>Fraude détecteur volumétrique DVOL4</v>
      </c>
      <c r="J1363" s="101"/>
      <c r="K1363" s="167" t="str">
        <f>INDEX(Tableau8[Nom du modele],MATCH(Tableau3[[#This Row],[ID-INS]],Tableau8[ID],0))&amp;""</f>
        <v>E_Divers</v>
      </c>
      <c r="L1363" s="99" t="str">
        <f>INDEX(Tableau5[Att1],MATCH(Tableau3[[#This Row],[ID-SIG]],Tableau5[ID],0))&amp;""</f>
        <v>C1</v>
      </c>
      <c r="M1363" s="99" t="str">
        <f>INDEX(Tableau5[Att2],MATCH(Tableau3[[#This Row],[ID-SIG]],Tableau5[ID],0))&amp;""</f>
        <v/>
      </c>
      <c r="N1363" s="99" t="str">
        <f>INDEX(Tableau5[Att3],MATCH(Tableau3[[#This Row],[ID-SIG]],Tableau5[ID],0))&amp;""</f>
        <v/>
      </c>
      <c r="O1363" s="99"/>
      <c r="P1363" s="99" t="str">
        <f>INDEX(Tableau5[Description],MATCH(Tableau3[[#This Row],[ID-SIG]],Tableau5[ID],0))</f>
        <v>Contact</v>
      </c>
      <c r="Q1363" s="99"/>
      <c r="R1363" s="103" t="str">
        <f>Tableau3[[#This Row],[Description]]</f>
        <v>Contact</v>
      </c>
      <c r="U1363" s="87">
        <v>9</v>
      </c>
      <c r="V1363" s="87">
        <v>2</v>
      </c>
      <c r="W1363" s="87">
        <v>6</v>
      </c>
      <c r="X1363" s="87">
        <v>1</v>
      </c>
      <c r="Y1363" s="40"/>
      <c r="Z1363" s="165" t="str">
        <f>INDEX(Tableau2[TS],MATCH(Tableau3[[#This Row],[ID-CARTEVOIE]],Tableau2[ID-CARTEVOIE],0))</f>
        <v>ET</v>
      </c>
      <c r="AA1363" s="53" t="s">
        <v>213</v>
      </c>
      <c r="AB1363" s="223" t="str">
        <f>IFERROR(INDEX(Tableau5[Reserve],MATCH(Tableau3[[#This Row],[ID-SIG]],Tableau5[ID],0))&amp;"","")</f>
        <v/>
      </c>
      <c r="AC1363" s="21"/>
      <c r="AD1363" s="108" t="str">
        <f>INDEX(Tableau7[Repere],MATCH(Tableau3[[#This Row],[ID-API]],Tableau7[ID-API],0))&amp;""</f>
        <v>A9</v>
      </c>
      <c r="AE1363" s="108" t="str">
        <f>INDEX(Tableau1[Repere-Rack],MATCH(Tableau3[[#This Row],[ID-RACK]],Tableau1[ID-RACK],0))&amp;""</f>
        <v>R2</v>
      </c>
      <c r="AF1363" s="108" t="str">
        <f>INDEX(Tableau1[Repere-Slot],MATCH(Tableau3[[#This Row],[ID-SLOT]],Tableau1[ID-SLOT],0))&amp;""</f>
        <v>S6</v>
      </c>
      <c r="AG1363" s="108" t="str">
        <f>INDEX(Tableau2[Repere-Voie],MATCH(Tableau3[[#This Row],[ID-VOIE]],Tableau2[ID-Voie],0))&amp;""</f>
        <v>v1</v>
      </c>
      <c r="AH1363" s="72" t="str">
        <f>Tableau3[[#This Row],[ID-API]]&amp; "." &amp;Tableau3[[#This Row],[ID-RACK]]&amp; "." &amp;Tableau3[[#This Row],[ID-SLOT]]</f>
        <v>9.2.6</v>
      </c>
      <c r="AI1363" s="72" t="str">
        <f>INDEX(Tableau1[Ref-Carte],MATCH(Tableau3[[#This Row],[ID-RRS]],Tableau1[ID-RRS],0))</f>
        <v>SDI1602</v>
      </c>
      <c r="AJ1363" s="72" t="str">
        <f t="array" ref="AJ1363">IFERROR(INDEX(Tableau2[TS],MATCH(1,(Tableau2[Ref-Carte]=Tableau3[[#This Row],[Ref-Carte2]])*(Tableau2[ID-Voie]=Tableau3[[#This Row],[ID-VOIE]]),0)),"")</f>
        <v>ET</v>
      </c>
      <c r="AK1363" s="72" t="str">
        <f>IFERROR(INDEX(Tableau2[TS],SUMPRODUCT((Tableau2[Ref-Carte]=Tableau3[[#This Row],[Ref-Carte2]])*(Tableau2[ID-Voie]=Tableau3[[#This Row],[ID-VOIE]])*ROW(Tableau2[TS]))-ROW(Tableau2[#Headers])),"")</f>
        <v>ET</v>
      </c>
      <c r="AL1363" s="72" t="str">
        <f>Tableau3[[#This Row],[Ref-Carte2]]&amp;"/"&amp;Tableau3[[#This Row],[ID-VOIE]]</f>
        <v>SDI1602/1</v>
      </c>
      <c r="AM1363" s="73" t="str">
        <f>INDEX(Tableau2[Borne],MATCH(Tableau3[[#This Row],[ID-CARTEVOIE]],Tableau2[ID-CARTEVOIE],0))&amp;""</f>
        <v>0A</v>
      </c>
      <c r="AN1363" s="74" t="str">
        <f>Tableau3[[#This Row],[ID-API]]&amp;Tableau3[[#This Row],[ID-RACK]]&amp;Tableau3[[#This Row],[ID-SLOT]]&amp;Tableau3[[#This Row],[BORNE]]</f>
        <v>9260A</v>
      </c>
      <c r="AO1363" s="1"/>
    </row>
    <row r="1364" spans="1:41" ht="20.100000000000001" customHeight="1" thickTop="1" thickBot="1">
      <c r="A1364" s="68"/>
      <c r="B1364" s="69" t="str">
        <f>IFERROR(INDEX(Tableau4[Date],MATCH($A1364,Tableau4[EVO],0)),"")</f>
        <v/>
      </c>
      <c r="C1364" s="68" t="str">
        <f>IFERROR(INDEX(Tableau4[Designation],MATCH($A1364,Tableau4[EVO],0)),"")</f>
        <v/>
      </c>
      <c r="D1364" s="68"/>
      <c r="E1364" s="70">
        <v>404</v>
      </c>
      <c r="F1364" s="71">
        <v>3</v>
      </c>
      <c r="G1364" s="101" t="str">
        <f>INDEX(Tableau8[Att1],MATCH(Tableau3[[#This Row],[ID-INS]],Tableau8[ID],0))&amp;""</f>
        <v>B22</v>
      </c>
      <c r="H1364" s="101" t="str">
        <f>INDEX(Tableau8[Att2],MATCH(Tableau3[[#This Row],[ID-INS]],Tableau8[ID],0))&amp;""</f>
        <v>TECH6</v>
      </c>
      <c r="I1364" s="101" t="str">
        <f>INDEX(Tableau8[Att3],MATCH(Tableau3[[#This Row],[ID-INS]],Tableau8[ID],0))&amp;""</f>
        <v>Dérangement détecteur volumétrique DVOL4</v>
      </c>
      <c r="J1364" s="101"/>
      <c r="K1364" s="167" t="str">
        <f>INDEX(Tableau8[Nom du modele],MATCH(Tableau3[[#This Row],[ID-INS]],Tableau8[ID],0))&amp;""</f>
        <v>E_Divers</v>
      </c>
      <c r="L1364" s="99" t="str">
        <f>INDEX(Tableau5[Att1],MATCH(Tableau3[[#This Row],[ID-SIG]],Tableau5[ID],0))&amp;""</f>
        <v>C1</v>
      </c>
      <c r="M1364" s="99" t="str">
        <f>INDEX(Tableau5[Att2],MATCH(Tableau3[[#This Row],[ID-SIG]],Tableau5[ID],0))&amp;""</f>
        <v/>
      </c>
      <c r="N1364" s="99" t="str">
        <f>INDEX(Tableau5[Att3],MATCH(Tableau3[[#This Row],[ID-SIG]],Tableau5[ID],0))&amp;""</f>
        <v/>
      </c>
      <c r="O1364" s="99"/>
      <c r="P1364" s="99" t="str">
        <f>INDEX(Tableau5[Description],MATCH(Tableau3[[#This Row],[ID-SIG]],Tableau5[ID],0))</f>
        <v>Contact</v>
      </c>
      <c r="Q1364" s="99"/>
      <c r="R1364" s="103" t="str">
        <f>Tableau3[[#This Row],[Description]]</f>
        <v>Contact</v>
      </c>
      <c r="U1364" s="87">
        <v>9</v>
      </c>
      <c r="V1364" s="87">
        <v>2</v>
      </c>
      <c r="W1364" s="87">
        <v>6</v>
      </c>
      <c r="X1364" s="87">
        <v>2</v>
      </c>
      <c r="Y1364" s="40"/>
      <c r="Z1364" s="165" t="str">
        <f>INDEX(Tableau2[TS],MATCH(Tableau3[[#This Row],[ID-CARTEVOIE]],Tableau2[ID-CARTEVOIE],0))</f>
        <v>ET</v>
      </c>
      <c r="AA1364" s="53" t="s">
        <v>213</v>
      </c>
      <c r="AB1364" s="223" t="str">
        <f>IFERROR(INDEX(Tableau5[Reserve],MATCH(Tableau3[[#This Row],[ID-SIG]],Tableau5[ID],0))&amp;"","")</f>
        <v/>
      </c>
      <c r="AC1364" s="21"/>
      <c r="AD1364" s="108" t="str">
        <f>INDEX(Tableau7[Repere],MATCH(Tableau3[[#This Row],[ID-API]],Tableau7[ID-API],0))&amp;""</f>
        <v>A9</v>
      </c>
      <c r="AE1364" s="108" t="str">
        <f>INDEX(Tableau1[Repere-Rack],MATCH(Tableau3[[#This Row],[ID-RACK]],Tableau1[ID-RACK],0))&amp;""</f>
        <v>R2</v>
      </c>
      <c r="AF1364" s="108" t="str">
        <f>INDEX(Tableau1[Repere-Slot],MATCH(Tableau3[[#This Row],[ID-SLOT]],Tableau1[ID-SLOT],0))&amp;""</f>
        <v>S6</v>
      </c>
      <c r="AG1364" s="108" t="str">
        <f>INDEX(Tableau2[Repere-Voie],MATCH(Tableau3[[#This Row],[ID-VOIE]],Tableau2[ID-Voie],0))&amp;""</f>
        <v>v2</v>
      </c>
      <c r="AH1364" s="72" t="str">
        <f>Tableau3[[#This Row],[ID-API]]&amp; "." &amp;Tableau3[[#This Row],[ID-RACK]]&amp; "." &amp;Tableau3[[#This Row],[ID-SLOT]]</f>
        <v>9.2.6</v>
      </c>
      <c r="AI1364" s="72" t="str">
        <f>INDEX(Tableau1[Ref-Carte],MATCH(Tableau3[[#This Row],[ID-RRS]],Tableau1[ID-RRS],0))</f>
        <v>SDI1602</v>
      </c>
      <c r="AJ1364" s="72" t="str">
        <f t="array" ref="AJ1364">IFERROR(INDEX(Tableau2[TS],MATCH(1,(Tableau2[Ref-Carte]=Tableau3[[#This Row],[Ref-Carte2]])*(Tableau2[ID-Voie]=Tableau3[[#This Row],[ID-VOIE]]),0)),"")</f>
        <v>ET</v>
      </c>
      <c r="AK1364" s="72" t="str">
        <f>IFERROR(INDEX(Tableau2[TS],SUMPRODUCT((Tableau2[Ref-Carte]=Tableau3[[#This Row],[Ref-Carte2]])*(Tableau2[ID-Voie]=Tableau3[[#This Row],[ID-VOIE]])*ROW(Tableau2[TS]))-ROW(Tableau2[#Headers])),"")</f>
        <v>ET</v>
      </c>
      <c r="AL1364" s="72" t="str">
        <f>Tableau3[[#This Row],[Ref-Carte2]]&amp;"/"&amp;Tableau3[[#This Row],[ID-VOIE]]</f>
        <v>SDI1602/2</v>
      </c>
      <c r="AM1364" s="73" t="str">
        <f>INDEX(Tableau2[Borne],MATCH(Tableau3[[#This Row],[ID-CARTEVOIE]],Tableau2[ID-CARTEVOIE],0))&amp;""</f>
        <v>1B</v>
      </c>
      <c r="AN1364" s="74" t="str">
        <f>Tableau3[[#This Row],[ID-API]]&amp;Tableau3[[#This Row],[ID-RACK]]&amp;Tableau3[[#This Row],[ID-SLOT]]&amp;Tableau3[[#This Row],[BORNE]]</f>
        <v>9261B</v>
      </c>
      <c r="AO1364" s="1"/>
    </row>
    <row r="1365" spans="1:41" ht="20.100000000000001" customHeight="1" thickTop="1" thickBot="1">
      <c r="A1365" s="68"/>
      <c r="B1365" s="69" t="str">
        <f>IFERROR(INDEX(Tableau4[Date],MATCH($A1365,Tableau4[EVO],0)),"")</f>
        <v/>
      </c>
      <c r="C1365" s="68" t="str">
        <f>IFERROR(INDEX(Tableau4[Designation],MATCH($A1365,Tableau4[EVO],0)),"")</f>
        <v/>
      </c>
      <c r="D1365" s="68"/>
      <c r="E1365" s="70">
        <v>405</v>
      </c>
      <c r="F1365" s="71">
        <v>3</v>
      </c>
      <c r="G1365" s="101" t="str">
        <f>INDEX(Tableau8[Att1],MATCH(Tableau3[[#This Row],[ID-INS]],Tableau8[ID],0))&amp;""</f>
        <v>B22</v>
      </c>
      <c r="H1365" s="101" t="str">
        <f>INDEX(Tableau8[Att2],MATCH(Tableau3[[#This Row],[ID-INS]],Tableau8[ID],0))&amp;""</f>
        <v>PPH23</v>
      </c>
      <c r="I1365" s="101" t="str">
        <f>INDEX(Tableau8[Att3],MATCH(Tableau3[[#This Row],[ID-INS]],Tableau8[ID],0))&amp;""</f>
        <v>Alarme détecteur volumétrique DVOL5</v>
      </c>
      <c r="J1365" s="101"/>
      <c r="K1365" s="167" t="str">
        <f>INDEX(Tableau8[Nom du modele],MATCH(Tableau3[[#This Row],[ID-INS]],Tableau8[ID],0))&amp;""</f>
        <v>E_Divers</v>
      </c>
      <c r="L1365" s="99" t="str">
        <f>INDEX(Tableau5[Att1],MATCH(Tableau3[[#This Row],[ID-SIG]],Tableau5[ID],0))&amp;""</f>
        <v>C1</v>
      </c>
      <c r="M1365" s="99" t="str">
        <f>INDEX(Tableau5[Att2],MATCH(Tableau3[[#This Row],[ID-SIG]],Tableau5[ID],0))&amp;""</f>
        <v/>
      </c>
      <c r="N1365" s="99" t="str">
        <f>INDEX(Tableau5[Att3],MATCH(Tableau3[[#This Row],[ID-SIG]],Tableau5[ID],0))&amp;""</f>
        <v/>
      </c>
      <c r="O1365" s="99"/>
      <c r="P1365" s="99" t="str">
        <f>INDEX(Tableau5[Description],MATCH(Tableau3[[#This Row],[ID-SIG]],Tableau5[ID],0))</f>
        <v>Contact</v>
      </c>
      <c r="Q1365" s="99"/>
      <c r="R1365" s="103" t="str">
        <f>Tableau3[[#This Row],[Description]]</f>
        <v>Contact</v>
      </c>
      <c r="U1365" s="87">
        <v>9</v>
      </c>
      <c r="V1365" s="87">
        <v>2</v>
      </c>
      <c r="W1365" s="87">
        <v>6</v>
      </c>
      <c r="X1365" s="87">
        <v>3</v>
      </c>
      <c r="Y1365" s="40"/>
      <c r="Z1365" s="165" t="str">
        <f>INDEX(Tableau2[TS],MATCH(Tableau3[[#This Row],[ID-CARTEVOIE]],Tableau2[ID-CARTEVOIE],0))</f>
        <v>ET</v>
      </c>
      <c r="AA1365" s="53" t="s">
        <v>213</v>
      </c>
      <c r="AB1365" s="223" t="str">
        <f>IFERROR(INDEX(Tableau5[Reserve],MATCH(Tableau3[[#This Row],[ID-SIG]],Tableau5[ID],0))&amp;"","")</f>
        <v/>
      </c>
      <c r="AC1365" s="21"/>
      <c r="AD1365" s="108" t="str">
        <f>INDEX(Tableau7[Repere],MATCH(Tableau3[[#This Row],[ID-API]],Tableau7[ID-API],0))&amp;""</f>
        <v>A9</v>
      </c>
      <c r="AE1365" s="108" t="str">
        <f>INDEX(Tableau1[Repere-Rack],MATCH(Tableau3[[#This Row],[ID-RACK]],Tableau1[ID-RACK],0))&amp;""</f>
        <v>R2</v>
      </c>
      <c r="AF1365" s="108" t="str">
        <f>INDEX(Tableau1[Repere-Slot],MATCH(Tableau3[[#This Row],[ID-SLOT]],Tableau1[ID-SLOT],0))&amp;""</f>
        <v>S6</v>
      </c>
      <c r="AG1365" s="108" t="str">
        <f>INDEX(Tableau2[Repere-Voie],MATCH(Tableau3[[#This Row],[ID-VOIE]],Tableau2[ID-Voie],0))&amp;""</f>
        <v>v3</v>
      </c>
      <c r="AH1365" s="72" t="str">
        <f>Tableau3[[#This Row],[ID-API]]&amp; "." &amp;Tableau3[[#This Row],[ID-RACK]]&amp; "." &amp;Tableau3[[#This Row],[ID-SLOT]]</f>
        <v>9.2.6</v>
      </c>
      <c r="AI1365" s="72" t="str">
        <f>INDEX(Tableau1[Ref-Carte],MATCH(Tableau3[[#This Row],[ID-RRS]],Tableau1[ID-RRS],0))</f>
        <v>SDI1602</v>
      </c>
      <c r="AJ1365" s="72" t="str">
        <f t="array" ref="AJ1365">IFERROR(INDEX(Tableau2[TS],MATCH(1,(Tableau2[Ref-Carte]=Tableau3[[#This Row],[Ref-Carte2]])*(Tableau2[ID-Voie]=Tableau3[[#This Row],[ID-VOIE]]),0)),"")</f>
        <v>ET</v>
      </c>
      <c r="AK1365" s="72" t="str">
        <f>IFERROR(INDEX(Tableau2[TS],SUMPRODUCT((Tableau2[Ref-Carte]=Tableau3[[#This Row],[Ref-Carte2]])*(Tableau2[ID-Voie]=Tableau3[[#This Row],[ID-VOIE]])*ROW(Tableau2[TS]))-ROW(Tableau2[#Headers])),"")</f>
        <v>ET</v>
      </c>
      <c r="AL1365" s="72" t="str">
        <f>Tableau3[[#This Row],[Ref-Carte2]]&amp;"/"&amp;Tableau3[[#This Row],[ID-VOIE]]</f>
        <v>SDI1602/3</v>
      </c>
      <c r="AM1365" s="73" t="str">
        <f>INDEX(Tableau2[Borne],MATCH(Tableau3[[#This Row],[ID-CARTEVOIE]],Tableau2[ID-CARTEVOIE],0))&amp;""</f>
        <v>1A</v>
      </c>
      <c r="AN1365" s="74" t="str">
        <f>Tableau3[[#This Row],[ID-API]]&amp;Tableau3[[#This Row],[ID-RACK]]&amp;Tableau3[[#This Row],[ID-SLOT]]&amp;Tableau3[[#This Row],[BORNE]]</f>
        <v>9261A</v>
      </c>
      <c r="AO1365" s="1"/>
    </row>
    <row r="1366" spans="1:41" ht="20.100000000000001" customHeight="1" thickTop="1" thickBot="1">
      <c r="A1366" s="68"/>
      <c r="B1366" s="69" t="str">
        <f>IFERROR(INDEX(Tableau4[Date],MATCH($A1366,Tableau4[EVO],0)),"")</f>
        <v/>
      </c>
      <c r="C1366" s="68" t="str">
        <f>IFERROR(INDEX(Tableau4[Designation],MATCH($A1366,Tableau4[EVO],0)),"")</f>
        <v/>
      </c>
      <c r="D1366" s="68"/>
      <c r="E1366" s="70">
        <v>406</v>
      </c>
      <c r="F1366" s="71">
        <v>3</v>
      </c>
      <c r="G1366" s="101" t="str">
        <f>INDEX(Tableau8[Att1],MATCH(Tableau3[[#This Row],[ID-INS]],Tableau8[ID],0))&amp;""</f>
        <v>B22</v>
      </c>
      <c r="H1366" s="101" t="str">
        <f>INDEX(Tableau8[Att2],MATCH(Tableau3[[#This Row],[ID-INS]],Tableau8[ID],0))&amp;""</f>
        <v>PPH24</v>
      </c>
      <c r="I1366" s="101" t="str">
        <f>INDEX(Tableau8[Att3],MATCH(Tableau3[[#This Row],[ID-INS]],Tableau8[ID],0))&amp;""</f>
        <v>Fraude détecteur volumétrique DVOL5</v>
      </c>
      <c r="J1366" s="101"/>
      <c r="K1366" s="167" t="str">
        <f>INDEX(Tableau8[Nom du modele],MATCH(Tableau3[[#This Row],[ID-INS]],Tableau8[ID],0))&amp;""</f>
        <v>E_Divers</v>
      </c>
      <c r="L1366" s="99" t="str">
        <f>INDEX(Tableau5[Att1],MATCH(Tableau3[[#This Row],[ID-SIG]],Tableau5[ID],0))&amp;""</f>
        <v>C1</v>
      </c>
      <c r="M1366" s="99" t="str">
        <f>INDEX(Tableau5[Att2],MATCH(Tableau3[[#This Row],[ID-SIG]],Tableau5[ID],0))&amp;""</f>
        <v/>
      </c>
      <c r="N1366" s="99" t="str">
        <f>INDEX(Tableau5[Att3],MATCH(Tableau3[[#This Row],[ID-SIG]],Tableau5[ID],0))&amp;""</f>
        <v/>
      </c>
      <c r="O1366" s="99"/>
      <c r="P1366" s="99" t="str">
        <f>INDEX(Tableau5[Description],MATCH(Tableau3[[#This Row],[ID-SIG]],Tableau5[ID],0))</f>
        <v>Contact</v>
      </c>
      <c r="Q1366" s="99"/>
      <c r="R1366" s="103" t="str">
        <f>Tableau3[[#This Row],[Description]]</f>
        <v>Contact</v>
      </c>
      <c r="U1366" s="87">
        <v>9</v>
      </c>
      <c r="V1366" s="87">
        <v>2</v>
      </c>
      <c r="W1366" s="87">
        <v>6</v>
      </c>
      <c r="X1366" s="87">
        <v>4</v>
      </c>
      <c r="Y1366" s="40"/>
      <c r="Z1366" s="165" t="str">
        <f>INDEX(Tableau2[TS],MATCH(Tableau3[[#This Row],[ID-CARTEVOIE]],Tableau2[ID-CARTEVOIE],0))</f>
        <v>ET</v>
      </c>
      <c r="AA1366" s="53" t="s">
        <v>213</v>
      </c>
      <c r="AB1366" s="223" t="str">
        <f>IFERROR(INDEX(Tableau5[Reserve],MATCH(Tableau3[[#This Row],[ID-SIG]],Tableau5[ID],0))&amp;"","")</f>
        <v/>
      </c>
      <c r="AC1366" s="21"/>
      <c r="AD1366" s="108" t="str">
        <f>INDEX(Tableau7[Repere],MATCH(Tableau3[[#This Row],[ID-API]],Tableau7[ID-API],0))&amp;""</f>
        <v>A9</v>
      </c>
      <c r="AE1366" s="108" t="str">
        <f>INDEX(Tableau1[Repere-Rack],MATCH(Tableau3[[#This Row],[ID-RACK]],Tableau1[ID-RACK],0))&amp;""</f>
        <v>R2</v>
      </c>
      <c r="AF1366" s="108" t="str">
        <f>INDEX(Tableau1[Repere-Slot],MATCH(Tableau3[[#This Row],[ID-SLOT]],Tableau1[ID-SLOT],0))&amp;""</f>
        <v>S6</v>
      </c>
      <c r="AG1366" s="108" t="str">
        <f>INDEX(Tableau2[Repere-Voie],MATCH(Tableau3[[#This Row],[ID-VOIE]],Tableau2[ID-Voie],0))&amp;""</f>
        <v>v4</v>
      </c>
      <c r="AH1366" s="72" t="str">
        <f>Tableau3[[#This Row],[ID-API]]&amp; "." &amp;Tableau3[[#This Row],[ID-RACK]]&amp; "." &amp;Tableau3[[#This Row],[ID-SLOT]]</f>
        <v>9.2.6</v>
      </c>
      <c r="AI1366" s="72" t="str">
        <f>INDEX(Tableau1[Ref-Carte],MATCH(Tableau3[[#This Row],[ID-RRS]],Tableau1[ID-RRS],0))</f>
        <v>SDI1602</v>
      </c>
      <c r="AJ1366" s="72" t="str">
        <f t="array" ref="AJ1366">IFERROR(INDEX(Tableau2[TS],MATCH(1,(Tableau2[Ref-Carte]=Tableau3[[#This Row],[Ref-Carte2]])*(Tableau2[ID-Voie]=Tableau3[[#This Row],[ID-VOIE]]),0)),"")</f>
        <v>ET</v>
      </c>
      <c r="AK1366" s="72" t="str">
        <f>IFERROR(INDEX(Tableau2[TS],SUMPRODUCT((Tableau2[Ref-Carte]=Tableau3[[#This Row],[Ref-Carte2]])*(Tableau2[ID-Voie]=Tableau3[[#This Row],[ID-VOIE]])*ROW(Tableau2[TS]))-ROW(Tableau2[#Headers])),"")</f>
        <v>ET</v>
      </c>
      <c r="AL1366" s="72" t="str">
        <f>Tableau3[[#This Row],[Ref-Carte2]]&amp;"/"&amp;Tableau3[[#This Row],[ID-VOIE]]</f>
        <v>SDI1602/4</v>
      </c>
      <c r="AM1366" s="73" t="str">
        <f>INDEX(Tableau2[Borne],MATCH(Tableau3[[#This Row],[ID-CARTEVOIE]],Tableau2[ID-CARTEVOIE],0))&amp;""</f>
        <v>2B</v>
      </c>
      <c r="AN1366" s="74" t="str">
        <f>Tableau3[[#This Row],[ID-API]]&amp;Tableau3[[#This Row],[ID-RACK]]&amp;Tableau3[[#This Row],[ID-SLOT]]&amp;Tableau3[[#This Row],[BORNE]]</f>
        <v>9262B</v>
      </c>
      <c r="AO1366" s="1"/>
    </row>
    <row r="1367" spans="1:41" ht="20.100000000000001" customHeight="1" thickTop="1" thickBot="1">
      <c r="A1367" s="68"/>
      <c r="B1367" s="69" t="str">
        <f>IFERROR(INDEX(Tableau4[Date],MATCH($A1367,Tableau4[EVO],0)),"")</f>
        <v/>
      </c>
      <c r="C1367" s="68" t="str">
        <f>IFERROR(INDEX(Tableau4[Designation],MATCH($A1367,Tableau4[EVO],0)),"")</f>
        <v/>
      </c>
      <c r="D1367" s="68"/>
      <c r="E1367" s="70">
        <v>407</v>
      </c>
      <c r="F1367" s="71">
        <v>3</v>
      </c>
      <c r="G1367" s="101" t="str">
        <f>INDEX(Tableau8[Att1],MATCH(Tableau3[[#This Row],[ID-INS]],Tableau8[ID],0))&amp;""</f>
        <v>B22</v>
      </c>
      <c r="H1367" s="101" t="str">
        <f>INDEX(Tableau8[Att2],MATCH(Tableau3[[#This Row],[ID-INS]],Tableau8[ID],0))&amp;""</f>
        <v>TECH7</v>
      </c>
      <c r="I1367" s="101" t="str">
        <f>INDEX(Tableau8[Att3],MATCH(Tableau3[[#This Row],[ID-INS]],Tableau8[ID],0))&amp;""</f>
        <v>Dérangement détecteur volumétrique DVOL5</v>
      </c>
      <c r="J1367" s="101"/>
      <c r="K1367" s="167" t="str">
        <f>INDEX(Tableau8[Nom du modele],MATCH(Tableau3[[#This Row],[ID-INS]],Tableau8[ID],0))&amp;""</f>
        <v>E_Divers</v>
      </c>
      <c r="L1367" s="99" t="str">
        <f>INDEX(Tableau5[Att1],MATCH(Tableau3[[#This Row],[ID-SIG]],Tableau5[ID],0))&amp;""</f>
        <v>C1</v>
      </c>
      <c r="M1367" s="99" t="str">
        <f>INDEX(Tableau5[Att2],MATCH(Tableau3[[#This Row],[ID-SIG]],Tableau5[ID],0))&amp;""</f>
        <v/>
      </c>
      <c r="N1367" s="99" t="str">
        <f>INDEX(Tableau5[Att3],MATCH(Tableau3[[#This Row],[ID-SIG]],Tableau5[ID],0))&amp;""</f>
        <v/>
      </c>
      <c r="O1367" s="99"/>
      <c r="P1367" s="99" t="str">
        <f>INDEX(Tableau5[Description],MATCH(Tableau3[[#This Row],[ID-SIG]],Tableau5[ID],0))</f>
        <v>Contact</v>
      </c>
      <c r="Q1367" s="99"/>
      <c r="R1367" s="103" t="str">
        <f>Tableau3[[#This Row],[Description]]</f>
        <v>Contact</v>
      </c>
      <c r="U1367" s="87">
        <v>9</v>
      </c>
      <c r="V1367" s="87">
        <v>2</v>
      </c>
      <c r="W1367" s="87">
        <v>6</v>
      </c>
      <c r="X1367" s="87">
        <v>5</v>
      </c>
      <c r="Y1367" s="40"/>
      <c r="Z1367" s="165" t="str">
        <f>INDEX(Tableau2[TS],MATCH(Tableau3[[#This Row],[ID-CARTEVOIE]],Tableau2[ID-CARTEVOIE],0))</f>
        <v>ET</v>
      </c>
      <c r="AA1367" s="53" t="s">
        <v>213</v>
      </c>
      <c r="AB1367" s="223" t="str">
        <f>IFERROR(INDEX(Tableau5[Reserve],MATCH(Tableau3[[#This Row],[ID-SIG]],Tableau5[ID],0))&amp;"","")</f>
        <v/>
      </c>
      <c r="AC1367" s="21"/>
      <c r="AD1367" s="108" t="str">
        <f>INDEX(Tableau7[Repere],MATCH(Tableau3[[#This Row],[ID-API]],Tableau7[ID-API],0))&amp;""</f>
        <v>A9</v>
      </c>
      <c r="AE1367" s="108" t="str">
        <f>INDEX(Tableau1[Repere-Rack],MATCH(Tableau3[[#This Row],[ID-RACK]],Tableau1[ID-RACK],0))&amp;""</f>
        <v>R2</v>
      </c>
      <c r="AF1367" s="108" t="str">
        <f>INDEX(Tableau1[Repere-Slot],MATCH(Tableau3[[#This Row],[ID-SLOT]],Tableau1[ID-SLOT],0))&amp;""</f>
        <v>S6</v>
      </c>
      <c r="AG1367" s="108" t="str">
        <f>INDEX(Tableau2[Repere-Voie],MATCH(Tableau3[[#This Row],[ID-VOIE]],Tableau2[ID-Voie],0))&amp;""</f>
        <v>v5</v>
      </c>
      <c r="AH1367" s="72" t="str">
        <f>Tableau3[[#This Row],[ID-API]]&amp; "." &amp;Tableau3[[#This Row],[ID-RACK]]&amp; "." &amp;Tableau3[[#This Row],[ID-SLOT]]</f>
        <v>9.2.6</v>
      </c>
      <c r="AI1367" s="72" t="str">
        <f>INDEX(Tableau1[Ref-Carte],MATCH(Tableau3[[#This Row],[ID-RRS]],Tableau1[ID-RRS],0))</f>
        <v>SDI1602</v>
      </c>
      <c r="AJ1367" s="72" t="str">
        <f t="array" ref="AJ1367">IFERROR(INDEX(Tableau2[TS],MATCH(1,(Tableau2[Ref-Carte]=Tableau3[[#This Row],[Ref-Carte2]])*(Tableau2[ID-Voie]=Tableau3[[#This Row],[ID-VOIE]]),0)),"")</f>
        <v>ET</v>
      </c>
      <c r="AK1367" s="72" t="str">
        <f>IFERROR(INDEX(Tableau2[TS],SUMPRODUCT((Tableau2[Ref-Carte]=Tableau3[[#This Row],[Ref-Carte2]])*(Tableau2[ID-Voie]=Tableau3[[#This Row],[ID-VOIE]])*ROW(Tableau2[TS]))-ROW(Tableau2[#Headers])),"")</f>
        <v>ET</v>
      </c>
      <c r="AL1367" s="72" t="str">
        <f>Tableau3[[#This Row],[Ref-Carte2]]&amp;"/"&amp;Tableau3[[#This Row],[ID-VOIE]]</f>
        <v>SDI1602/5</v>
      </c>
      <c r="AM1367" s="73" t="str">
        <f>INDEX(Tableau2[Borne],MATCH(Tableau3[[#This Row],[ID-CARTEVOIE]],Tableau2[ID-CARTEVOIE],0))&amp;""</f>
        <v>2A</v>
      </c>
      <c r="AN1367" s="74" t="str">
        <f>Tableau3[[#This Row],[ID-API]]&amp;Tableau3[[#This Row],[ID-RACK]]&amp;Tableau3[[#This Row],[ID-SLOT]]&amp;Tableau3[[#This Row],[BORNE]]</f>
        <v>9262A</v>
      </c>
      <c r="AO1367" s="1"/>
    </row>
    <row r="1368" spans="1:41" ht="20.100000000000001" customHeight="1" thickTop="1" thickBot="1">
      <c r="A1368" s="68"/>
      <c r="B1368" s="69" t="str">
        <f>IFERROR(INDEX(Tableau4[Date],MATCH($A1368,Tableau4[EVO],0)),"")</f>
        <v/>
      </c>
      <c r="C1368" s="68" t="str">
        <f>IFERROR(INDEX(Tableau4[Designation],MATCH($A1368,Tableau4[EVO],0)),"")</f>
        <v/>
      </c>
      <c r="D1368" s="68"/>
      <c r="E1368" s="70">
        <v>408</v>
      </c>
      <c r="F1368" s="71">
        <v>3</v>
      </c>
      <c r="G1368" s="101" t="str">
        <f>INDEX(Tableau8[Att1],MATCH(Tableau3[[#This Row],[ID-INS]],Tableau8[ID],0))&amp;""</f>
        <v>B22</v>
      </c>
      <c r="H1368" s="101" t="str">
        <f>INDEX(Tableau8[Att2],MATCH(Tableau3[[#This Row],[ID-INS]],Tableau8[ID],0))&amp;""</f>
        <v>PPH25</v>
      </c>
      <c r="I1368" s="101" t="str">
        <f>INDEX(Tableau8[Att3],MATCH(Tableau3[[#This Row],[ID-INS]],Tableau8[ID],0))&amp;""</f>
        <v>Alarme détecteur sismique SYS1</v>
      </c>
      <c r="J1368" s="101"/>
      <c r="K1368" s="167" t="str">
        <f>INDEX(Tableau8[Nom du modele],MATCH(Tableau3[[#This Row],[ID-INS]],Tableau8[ID],0))&amp;""</f>
        <v>E_Divers</v>
      </c>
      <c r="L1368" s="99" t="str">
        <f>INDEX(Tableau5[Att1],MATCH(Tableau3[[#This Row],[ID-SIG]],Tableau5[ID],0))&amp;""</f>
        <v>C1</v>
      </c>
      <c r="M1368" s="99" t="str">
        <f>INDEX(Tableau5[Att2],MATCH(Tableau3[[#This Row],[ID-SIG]],Tableau5[ID],0))&amp;""</f>
        <v/>
      </c>
      <c r="N1368" s="99" t="str">
        <f>INDEX(Tableau5[Att3],MATCH(Tableau3[[#This Row],[ID-SIG]],Tableau5[ID],0))&amp;""</f>
        <v/>
      </c>
      <c r="O1368" s="99"/>
      <c r="P1368" s="99" t="str">
        <f>INDEX(Tableau5[Description],MATCH(Tableau3[[#This Row],[ID-SIG]],Tableau5[ID],0))</f>
        <v>Contact</v>
      </c>
      <c r="Q1368" s="99"/>
      <c r="R1368" s="103" t="str">
        <f>Tableau3[[#This Row],[Description]]</f>
        <v>Contact</v>
      </c>
      <c r="U1368" s="87">
        <v>9</v>
      </c>
      <c r="V1368" s="87">
        <v>2</v>
      </c>
      <c r="W1368" s="87">
        <v>6</v>
      </c>
      <c r="X1368" s="87">
        <v>6</v>
      </c>
      <c r="Y1368" s="40"/>
      <c r="Z1368" s="165" t="str">
        <f>INDEX(Tableau2[TS],MATCH(Tableau3[[#This Row],[ID-CARTEVOIE]],Tableau2[ID-CARTEVOIE],0))</f>
        <v>ET</v>
      </c>
      <c r="AA1368" s="53" t="s">
        <v>213</v>
      </c>
      <c r="AB1368" s="223" t="str">
        <f>IFERROR(INDEX(Tableau5[Reserve],MATCH(Tableau3[[#This Row],[ID-SIG]],Tableau5[ID],0))&amp;"","")</f>
        <v/>
      </c>
      <c r="AC1368" s="21"/>
      <c r="AD1368" s="108" t="str">
        <f>INDEX(Tableau7[Repere],MATCH(Tableau3[[#This Row],[ID-API]],Tableau7[ID-API],0))&amp;""</f>
        <v>A9</v>
      </c>
      <c r="AE1368" s="108" t="str">
        <f>INDEX(Tableau1[Repere-Rack],MATCH(Tableau3[[#This Row],[ID-RACK]],Tableau1[ID-RACK],0))&amp;""</f>
        <v>R2</v>
      </c>
      <c r="AF1368" s="108" t="str">
        <f>INDEX(Tableau1[Repere-Slot],MATCH(Tableau3[[#This Row],[ID-SLOT]],Tableau1[ID-SLOT],0))&amp;""</f>
        <v>S6</v>
      </c>
      <c r="AG1368" s="108" t="str">
        <f>INDEX(Tableau2[Repere-Voie],MATCH(Tableau3[[#This Row],[ID-VOIE]],Tableau2[ID-Voie],0))&amp;""</f>
        <v>v6</v>
      </c>
      <c r="AH1368" s="72" t="str">
        <f>Tableau3[[#This Row],[ID-API]]&amp; "." &amp;Tableau3[[#This Row],[ID-RACK]]&amp; "." &amp;Tableau3[[#This Row],[ID-SLOT]]</f>
        <v>9.2.6</v>
      </c>
      <c r="AI1368" s="72" t="str">
        <f>INDEX(Tableau1[Ref-Carte],MATCH(Tableau3[[#This Row],[ID-RRS]],Tableau1[ID-RRS],0))</f>
        <v>SDI1602</v>
      </c>
      <c r="AJ1368" s="72" t="str">
        <f t="array" ref="AJ1368">IFERROR(INDEX(Tableau2[TS],MATCH(1,(Tableau2[Ref-Carte]=Tableau3[[#This Row],[Ref-Carte2]])*(Tableau2[ID-Voie]=Tableau3[[#This Row],[ID-VOIE]]),0)),"")</f>
        <v>ET</v>
      </c>
      <c r="AK1368" s="72" t="str">
        <f>IFERROR(INDEX(Tableau2[TS],SUMPRODUCT((Tableau2[Ref-Carte]=Tableau3[[#This Row],[Ref-Carte2]])*(Tableau2[ID-Voie]=Tableau3[[#This Row],[ID-VOIE]])*ROW(Tableau2[TS]))-ROW(Tableau2[#Headers])),"")</f>
        <v>ET</v>
      </c>
      <c r="AL1368" s="72" t="str">
        <f>Tableau3[[#This Row],[Ref-Carte2]]&amp;"/"&amp;Tableau3[[#This Row],[ID-VOIE]]</f>
        <v>SDI1602/6</v>
      </c>
      <c r="AM1368" s="73" t="str">
        <f>INDEX(Tableau2[Borne],MATCH(Tableau3[[#This Row],[ID-CARTEVOIE]],Tableau2[ID-CARTEVOIE],0))&amp;""</f>
        <v>3B</v>
      </c>
      <c r="AN1368" s="74" t="str">
        <f>Tableau3[[#This Row],[ID-API]]&amp;Tableau3[[#This Row],[ID-RACK]]&amp;Tableau3[[#This Row],[ID-SLOT]]&amp;Tableau3[[#This Row],[BORNE]]</f>
        <v>9263B</v>
      </c>
      <c r="AO1368" s="1"/>
    </row>
    <row r="1369" spans="1:41" ht="20.100000000000001" customHeight="1" thickTop="1" thickBot="1">
      <c r="A1369" s="68"/>
      <c r="B1369" s="69" t="str">
        <f>IFERROR(INDEX(Tableau4[Date],MATCH($A1369,Tableau4[EVO],0)),"")</f>
        <v/>
      </c>
      <c r="C1369" s="68" t="str">
        <f>IFERROR(INDEX(Tableau4[Designation],MATCH($A1369,Tableau4[EVO],0)),"")</f>
        <v/>
      </c>
      <c r="D1369" s="68"/>
      <c r="E1369" s="70">
        <v>409</v>
      </c>
      <c r="F1369" s="71">
        <v>3</v>
      </c>
      <c r="G1369" s="101" t="str">
        <f>INDEX(Tableau8[Att1],MATCH(Tableau3[[#This Row],[ID-INS]],Tableau8[ID],0))&amp;""</f>
        <v>B22</v>
      </c>
      <c r="H1369" s="101" t="str">
        <f>INDEX(Tableau8[Att2],MATCH(Tableau3[[#This Row],[ID-INS]],Tableau8[ID],0))&amp;""</f>
        <v>PPH26</v>
      </c>
      <c r="I1369" s="101" t="str">
        <f>INDEX(Tableau8[Att3],MATCH(Tableau3[[#This Row],[ID-INS]],Tableau8[ID],0))&amp;""</f>
        <v>Fraude détecteur sismique SYS1</v>
      </c>
      <c r="J1369" s="101"/>
      <c r="K1369" s="167" t="str">
        <f>INDEX(Tableau8[Nom du modele],MATCH(Tableau3[[#This Row],[ID-INS]],Tableau8[ID],0))&amp;""</f>
        <v>E_Divers</v>
      </c>
      <c r="L1369" s="99" t="str">
        <f>INDEX(Tableau5[Att1],MATCH(Tableau3[[#This Row],[ID-SIG]],Tableau5[ID],0))&amp;""</f>
        <v>C1</v>
      </c>
      <c r="M1369" s="99" t="str">
        <f>INDEX(Tableau5[Att2],MATCH(Tableau3[[#This Row],[ID-SIG]],Tableau5[ID],0))&amp;""</f>
        <v/>
      </c>
      <c r="N1369" s="99" t="str">
        <f>INDEX(Tableau5[Att3],MATCH(Tableau3[[#This Row],[ID-SIG]],Tableau5[ID],0))&amp;""</f>
        <v/>
      </c>
      <c r="O1369" s="99"/>
      <c r="P1369" s="99" t="str">
        <f>INDEX(Tableau5[Description],MATCH(Tableau3[[#This Row],[ID-SIG]],Tableau5[ID],0))</f>
        <v>Contact</v>
      </c>
      <c r="Q1369" s="99"/>
      <c r="R1369" s="103" t="str">
        <f>Tableau3[[#This Row],[Description]]</f>
        <v>Contact</v>
      </c>
      <c r="U1369" s="87">
        <v>9</v>
      </c>
      <c r="V1369" s="87">
        <v>2</v>
      </c>
      <c r="W1369" s="87">
        <v>6</v>
      </c>
      <c r="X1369" s="87">
        <v>7</v>
      </c>
      <c r="Y1369" s="40"/>
      <c r="Z1369" s="165" t="str">
        <f>INDEX(Tableau2[TS],MATCH(Tableau3[[#This Row],[ID-CARTEVOIE]],Tableau2[ID-CARTEVOIE],0))</f>
        <v>ET</v>
      </c>
      <c r="AA1369" s="53" t="s">
        <v>213</v>
      </c>
      <c r="AB1369" s="223" t="str">
        <f>IFERROR(INDEX(Tableau5[Reserve],MATCH(Tableau3[[#This Row],[ID-SIG]],Tableau5[ID],0))&amp;"","")</f>
        <v/>
      </c>
      <c r="AC1369" s="21"/>
      <c r="AD1369" s="108" t="str">
        <f>INDEX(Tableau7[Repere],MATCH(Tableau3[[#This Row],[ID-API]],Tableau7[ID-API],0))&amp;""</f>
        <v>A9</v>
      </c>
      <c r="AE1369" s="108" t="str">
        <f>INDEX(Tableau1[Repere-Rack],MATCH(Tableau3[[#This Row],[ID-RACK]],Tableau1[ID-RACK],0))&amp;""</f>
        <v>R2</v>
      </c>
      <c r="AF1369" s="108" t="str">
        <f>INDEX(Tableau1[Repere-Slot],MATCH(Tableau3[[#This Row],[ID-SLOT]],Tableau1[ID-SLOT],0))&amp;""</f>
        <v>S6</v>
      </c>
      <c r="AG1369" s="108" t="str">
        <f>INDEX(Tableau2[Repere-Voie],MATCH(Tableau3[[#This Row],[ID-VOIE]],Tableau2[ID-Voie],0))&amp;""</f>
        <v>v7</v>
      </c>
      <c r="AH1369" s="72" t="str">
        <f>Tableau3[[#This Row],[ID-API]]&amp; "." &amp;Tableau3[[#This Row],[ID-RACK]]&amp; "." &amp;Tableau3[[#This Row],[ID-SLOT]]</f>
        <v>9.2.6</v>
      </c>
      <c r="AI1369" s="72" t="str">
        <f>INDEX(Tableau1[Ref-Carte],MATCH(Tableau3[[#This Row],[ID-RRS]],Tableau1[ID-RRS],0))</f>
        <v>SDI1602</v>
      </c>
      <c r="AJ1369" s="72" t="str">
        <f t="array" ref="AJ1369">IFERROR(INDEX(Tableau2[TS],MATCH(1,(Tableau2[Ref-Carte]=Tableau3[[#This Row],[Ref-Carte2]])*(Tableau2[ID-Voie]=Tableau3[[#This Row],[ID-VOIE]]),0)),"")</f>
        <v>ET</v>
      </c>
      <c r="AK1369" s="72" t="str">
        <f>IFERROR(INDEX(Tableau2[TS],SUMPRODUCT((Tableau2[Ref-Carte]=Tableau3[[#This Row],[Ref-Carte2]])*(Tableau2[ID-Voie]=Tableau3[[#This Row],[ID-VOIE]])*ROW(Tableau2[TS]))-ROW(Tableau2[#Headers])),"")</f>
        <v>ET</v>
      </c>
      <c r="AL1369" s="72" t="str">
        <f>Tableau3[[#This Row],[Ref-Carte2]]&amp;"/"&amp;Tableau3[[#This Row],[ID-VOIE]]</f>
        <v>SDI1602/7</v>
      </c>
      <c r="AM1369" s="73" t="str">
        <f>INDEX(Tableau2[Borne],MATCH(Tableau3[[#This Row],[ID-CARTEVOIE]],Tableau2[ID-CARTEVOIE],0))&amp;""</f>
        <v>3A</v>
      </c>
      <c r="AN1369" s="74" t="str">
        <f>Tableau3[[#This Row],[ID-API]]&amp;Tableau3[[#This Row],[ID-RACK]]&amp;Tableau3[[#This Row],[ID-SLOT]]&amp;Tableau3[[#This Row],[BORNE]]</f>
        <v>9263A</v>
      </c>
      <c r="AO1369" s="1"/>
    </row>
    <row r="1370" spans="1:41" ht="20.100000000000001" customHeight="1" thickTop="1" thickBot="1">
      <c r="A1370" s="68"/>
      <c r="B1370" s="69" t="str">
        <f>IFERROR(INDEX(Tableau4[Date],MATCH($A1370,Tableau4[EVO],0)),"")</f>
        <v/>
      </c>
      <c r="C1370" s="68" t="str">
        <f>IFERROR(INDEX(Tableau4[Designation],MATCH($A1370,Tableau4[EVO],0)),"")</f>
        <v/>
      </c>
      <c r="D1370" s="68"/>
      <c r="E1370" s="70">
        <v>410</v>
      </c>
      <c r="F1370" s="71">
        <v>3</v>
      </c>
      <c r="G1370" s="101" t="str">
        <f>INDEX(Tableau8[Att1],MATCH(Tableau3[[#This Row],[ID-INS]],Tableau8[ID],0))&amp;""</f>
        <v>B22</v>
      </c>
      <c r="H1370" s="101" t="str">
        <f>INDEX(Tableau8[Att2],MATCH(Tableau3[[#This Row],[ID-INS]],Tableau8[ID],0))&amp;""</f>
        <v>TECH8</v>
      </c>
      <c r="I1370" s="101" t="str">
        <f>INDEX(Tableau8[Att3],MATCH(Tableau3[[#This Row],[ID-INS]],Tableau8[ID],0))&amp;""</f>
        <v>Dérangement détecteur sismique SYS1</v>
      </c>
      <c r="J1370" s="101"/>
      <c r="K1370" s="167" t="str">
        <f>INDEX(Tableau8[Nom du modele],MATCH(Tableau3[[#This Row],[ID-INS]],Tableau8[ID],0))&amp;""</f>
        <v>E_Divers</v>
      </c>
      <c r="L1370" s="99" t="str">
        <f>INDEX(Tableau5[Att1],MATCH(Tableau3[[#This Row],[ID-SIG]],Tableau5[ID],0))&amp;""</f>
        <v>C1</v>
      </c>
      <c r="M1370" s="99" t="str">
        <f>INDEX(Tableau5[Att2],MATCH(Tableau3[[#This Row],[ID-SIG]],Tableau5[ID],0))&amp;""</f>
        <v/>
      </c>
      <c r="N1370" s="99" t="str">
        <f>INDEX(Tableau5[Att3],MATCH(Tableau3[[#This Row],[ID-SIG]],Tableau5[ID],0))&amp;""</f>
        <v/>
      </c>
      <c r="O1370" s="99"/>
      <c r="P1370" s="99" t="str">
        <f>INDEX(Tableau5[Description],MATCH(Tableau3[[#This Row],[ID-SIG]],Tableau5[ID],0))</f>
        <v>Contact</v>
      </c>
      <c r="Q1370" s="99"/>
      <c r="R1370" s="103" t="str">
        <f>Tableau3[[#This Row],[Description]]</f>
        <v>Contact</v>
      </c>
      <c r="U1370" s="87">
        <v>9</v>
      </c>
      <c r="V1370" s="87">
        <v>2</v>
      </c>
      <c r="W1370" s="87">
        <v>6</v>
      </c>
      <c r="X1370" s="87">
        <v>8</v>
      </c>
      <c r="Y1370" s="40"/>
      <c r="Z1370" s="165" t="str">
        <f>INDEX(Tableau2[TS],MATCH(Tableau3[[#This Row],[ID-CARTEVOIE]],Tableau2[ID-CARTEVOIE],0))</f>
        <v>ET</v>
      </c>
      <c r="AA1370" s="53" t="s">
        <v>213</v>
      </c>
      <c r="AB1370" s="223" t="str">
        <f>IFERROR(INDEX(Tableau5[Reserve],MATCH(Tableau3[[#This Row],[ID-SIG]],Tableau5[ID],0))&amp;"","")</f>
        <v/>
      </c>
      <c r="AC1370" s="21"/>
      <c r="AD1370" s="108" t="str">
        <f>INDEX(Tableau7[Repere],MATCH(Tableau3[[#This Row],[ID-API]],Tableau7[ID-API],0))&amp;""</f>
        <v>A9</v>
      </c>
      <c r="AE1370" s="108" t="str">
        <f>INDEX(Tableau1[Repere-Rack],MATCH(Tableau3[[#This Row],[ID-RACK]],Tableau1[ID-RACK],0))&amp;""</f>
        <v>R2</v>
      </c>
      <c r="AF1370" s="108" t="str">
        <f>INDEX(Tableau1[Repere-Slot],MATCH(Tableau3[[#This Row],[ID-SLOT]],Tableau1[ID-SLOT],0))&amp;""</f>
        <v>S6</v>
      </c>
      <c r="AG1370" s="108" t="str">
        <f>INDEX(Tableau2[Repere-Voie],MATCH(Tableau3[[#This Row],[ID-VOIE]],Tableau2[ID-Voie],0))&amp;""</f>
        <v>v8</v>
      </c>
      <c r="AH1370" s="72" t="str">
        <f>Tableau3[[#This Row],[ID-API]]&amp; "." &amp;Tableau3[[#This Row],[ID-RACK]]&amp; "." &amp;Tableau3[[#This Row],[ID-SLOT]]</f>
        <v>9.2.6</v>
      </c>
      <c r="AI1370" s="72" t="str">
        <f>INDEX(Tableau1[Ref-Carte],MATCH(Tableau3[[#This Row],[ID-RRS]],Tableau1[ID-RRS],0))</f>
        <v>SDI1602</v>
      </c>
      <c r="AJ1370" s="72" t="str">
        <f t="array" ref="AJ1370">IFERROR(INDEX(Tableau2[TS],MATCH(1,(Tableau2[Ref-Carte]=Tableau3[[#This Row],[Ref-Carte2]])*(Tableau2[ID-Voie]=Tableau3[[#This Row],[ID-VOIE]]),0)),"")</f>
        <v>ET</v>
      </c>
      <c r="AK1370" s="72" t="str">
        <f>IFERROR(INDEX(Tableau2[TS],SUMPRODUCT((Tableau2[Ref-Carte]=Tableau3[[#This Row],[Ref-Carte2]])*(Tableau2[ID-Voie]=Tableau3[[#This Row],[ID-VOIE]])*ROW(Tableau2[TS]))-ROW(Tableau2[#Headers])),"")</f>
        <v>ET</v>
      </c>
      <c r="AL1370" s="72" t="str">
        <f>Tableau3[[#This Row],[Ref-Carte2]]&amp;"/"&amp;Tableau3[[#This Row],[ID-VOIE]]</f>
        <v>SDI1602/8</v>
      </c>
      <c r="AM1370" s="73" t="str">
        <f>INDEX(Tableau2[Borne],MATCH(Tableau3[[#This Row],[ID-CARTEVOIE]],Tableau2[ID-CARTEVOIE],0))&amp;""</f>
        <v>4B</v>
      </c>
      <c r="AN1370" s="74" t="str">
        <f>Tableau3[[#This Row],[ID-API]]&amp;Tableau3[[#This Row],[ID-RACK]]&amp;Tableau3[[#This Row],[ID-SLOT]]&amp;Tableau3[[#This Row],[BORNE]]</f>
        <v>9264B</v>
      </c>
      <c r="AO1370" s="1"/>
    </row>
    <row r="1371" spans="1:41" ht="20.100000000000001" customHeight="1" thickTop="1" thickBot="1">
      <c r="A1371" s="68"/>
      <c r="B1371" s="69" t="str">
        <f>IFERROR(INDEX(Tableau4[Date],MATCH($A1371,Tableau4[EVO],0)),"")</f>
        <v/>
      </c>
      <c r="C1371" s="68" t="str">
        <f>IFERROR(INDEX(Tableau4[Designation],MATCH($A1371,Tableau4[EVO],0)),"")</f>
        <v/>
      </c>
      <c r="D1371" s="68"/>
      <c r="E1371" s="70">
        <v>411</v>
      </c>
      <c r="F1371" s="71">
        <v>3</v>
      </c>
      <c r="G1371" s="101" t="str">
        <f>INDEX(Tableau8[Att1],MATCH(Tableau3[[#This Row],[ID-INS]],Tableau8[ID],0))&amp;""</f>
        <v>B22</v>
      </c>
      <c r="H1371" s="101" t="str">
        <f>INDEX(Tableau8[Att2],MATCH(Tableau3[[#This Row],[ID-INS]],Tableau8[ID],0))&amp;""</f>
        <v>TECH9</v>
      </c>
      <c r="I1371" s="101" t="str">
        <f>INDEX(Tableau8[Att3],MATCH(Tableau3[[#This Row],[ID-INS]],Tableau8[ID],0))&amp;""</f>
        <v>Dérangement centrale câble à choc sur cloture bleu</v>
      </c>
      <c r="J1371" s="101"/>
      <c r="K1371" s="167" t="str">
        <f>INDEX(Tableau8[Nom du modele],MATCH(Tableau3[[#This Row],[ID-INS]],Tableau8[ID],0))&amp;""</f>
        <v>E_Divers</v>
      </c>
      <c r="L1371" s="99" t="str">
        <f>INDEX(Tableau5[Att1],MATCH(Tableau3[[#This Row],[ID-SIG]],Tableau5[ID],0))&amp;""</f>
        <v>C1</v>
      </c>
      <c r="M1371" s="99" t="str">
        <f>INDEX(Tableau5[Att2],MATCH(Tableau3[[#This Row],[ID-SIG]],Tableau5[ID],0))&amp;""</f>
        <v/>
      </c>
      <c r="N1371" s="99" t="str">
        <f>INDEX(Tableau5[Att3],MATCH(Tableau3[[#This Row],[ID-SIG]],Tableau5[ID],0))&amp;""</f>
        <v/>
      </c>
      <c r="O1371" s="99"/>
      <c r="P1371" s="99" t="str">
        <f>INDEX(Tableau5[Description],MATCH(Tableau3[[#This Row],[ID-SIG]],Tableau5[ID],0))</f>
        <v>Contact</v>
      </c>
      <c r="Q1371" s="99"/>
      <c r="R1371" s="103" t="str">
        <f>Tableau3[[#This Row],[Description]]</f>
        <v>Contact</v>
      </c>
      <c r="U1371" s="87">
        <v>9</v>
      </c>
      <c r="V1371" s="87">
        <v>2</v>
      </c>
      <c r="W1371" s="87">
        <v>6</v>
      </c>
      <c r="X1371" s="87">
        <v>9</v>
      </c>
      <c r="Y1371" s="40"/>
      <c r="Z1371" s="165" t="str">
        <f>INDEX(Tableau2[TS],MATCH(Tableau3[[#This Row],[ID-CARTEVOIE]],Tableau2[ID-CARTEVOIE],0))</f>
        <v>ET</v>
      </c>
      <c r="AA1371" s="53" t="s">
        <v>213</v>
      </c>
      <c r="AB1371" s="223" t="str">
        <f>IFERROR(INDEX(Tableau5[Reserve],MATCH(Tableau3[[#This Row],[ID-SIG]],Tableau5[ID],0))&amp;"","")</f>
        <v/>
      </c>
      <c r="AC1371" s="21"/>
      <c r="AD1371" s="108" t="str">
        <f>INDEX(Tableau7[Repere],MATCH(Tableau3[[#This Row],[ID-API]],Tableau7[ID-API],0))&amp;""</f>
        <v>A9</v>
      </c>
      <c r="AE1371" s="108" t="str">
        <f>INDEX(Tableau1[Repere-Rack],MATCH(Tableau3[[#This Row],[ID-RACK]],Tableau1[ID-RACK],0))&amp;""</f>
        <v>R2</v>
      </c>
      <c r="AF1371" s="108" t="str">
        <f>INDEX(Tableau1[Repere-Slot],MATCH(Tableau3[[#This Row],[ID-SLOT]],Tableau1[ID-SLOT],0))&amp;""</f>
        <v>S6</v>
      </c>
      <c r="AG1371" s="108" t="str">
        <f>INDEX(Tableau2[Repere-Voie],MATCH(Tableau3[[#This Row],[ID-VOIE]],Tableau2[ID-Voie],0))&amp;""</f>
        <v>v9</v>
      </c>
      <c r="AH1371" s="72" t="str">
        <f>Tableau3[[#This Row],[ID-API]]&amp; "." &amp;Tableau3[[#This Row],[ID-RACK]]&amp; "." &amp;Tableau3[[#This Row],[ID-SLOT]]</f>
        <v>9.2.6</v>
      </c>
      <c r="AI1371" s="72" t="str">
        <f>INDEX(Tableau1[Ref-Carte],MATCH(Tableau3[[#This Row],[ID-RRS]],Tableau1[ID-RRS],0))</f>
        <v>SDI1602</v>
      </c>
      <c r="AJ1371" s="72" t="str">
        <f t="array" ref="AJ1371">IFERROR(INDEX(Tableau2[TS],MATCH(1,(Tableau2[Ref-Carte]=Tableau3[[#This Row],[Ref-Carte2]])*(Tableau2[ID-Voie]=Tableau3[[#This Row],[ID-VOIE]]),0)),"")</f>
        <v>ET</v>
      </c>
      <c r="AK1371" s="72" t="str">
        <f>IFERROR(INDEX(Tableau2[TS],SUMPRODUCT((Tableau2[Ref-Carte]=Tableau3[[#This Row],[Ref-Carte2]])*(Tableau2[ID-Voie]=Tableau3[[#This Row],[ID-VOIE]])*ROW(Tableau2[TS]))-ROW(Tableau2[#Headers])),"")</f>
        <v>ET</v>
      </c>
      <c r="AL1371" s="72" t="str">
        <f>Tableau3[[#This Row],[Ref-Carte2]]&amp;"/"&amp;Tableau3[[#This Row],[ID-VOIE]]</f>
        <v>SDI1602/9</v>
      </c>
      <c r="AM1371" s="73" t="str">
        <f>INDEX(Tableau2[Borne],MATCH(Tableau3[[#This Row],[ID-CARTEVOIE]],Tableau2[ID-CARTEVOIE],0))&amp;""</f>
        <v>4A</v>
      </c>
      <c r="AN1371" s="74" t="str">
        <f>Tableau3[[#This Row],[ID-API]]&amp;Tableau3[[#This Row],[ID-RACK]]&amp;Tableau3[[#This Row],[ID-SLOT]]&amp;Tableau3[[#This Row],[BORNE]]</f>
        <v>9264A</v>
      </c>
      <c r="AO1371" s="1"/>
    </row>
    <row r="1372" spans="1:41" ht="20.100000000000001" customHeight="1" thickTop="1" thickBot="1">
      <c r="A1372" s="68"/>
      <c r="B1372" s="69" t="str">
        <f>IFERROR(INDEX(Tableau4[Date],MATCH($A1372,Tableau4[EVO],0)),"")</f>
        <v/>
      </c>
      <c r="C1372" s="68" t="str">
        <f>IFERROR(INDEX(Tableau4[Designation],MATCH($A1372,Tableau4[EVO],0)),"")</f>
        <v/>
      </c>
      <c r="D1372" s="68"/>
      <c r="E1372" s="70">
        <v>412</v>
      </c>
      <c r="F1372" s="71">
        <v>3</v>
      </c>
      <c r="G1372" s="101" t="str">
        <f>INDEX(Tableau8[Att1],MATCH(Tableau3[[#This Row],[ID-INS]],Tableau8[ID],0))&amp;""</f>
        <v>B22</v>
      </c>
      <c r="H1372" s="101" t="str">
        <f>INDEX(Tableau8[Att2],MATCH(Tableau3[[#This Row],[ID-INS]],Tableau8[ID],0))&amp;""</f>
        <v>PPH27</v>
      </c>
      <c r="I1372" s="101" t="str">
        <f>INDEX(Tableau8[Att3],MATCH(Tableau3[[#This Row],[ID-INS]],Tableau8[ID],0))&amp;""</f>
        <v>Alarme Câble à choc sur panneaux clôture bleu</v>
      </c>
      <c r="J1372" s="101"/>
      <c r="K1372" s="167" t="str">
        <f>INDEX(Tableau8[Nom du modele],MATCH(Tableau3[[#This Row],[ID-INS]],Tableau8[ID],0))&amp;""</f>
        <v>E_Divers</v>
      </c>
      <c r="L1372" s="99" t="str">
        <f>INDEX(Tableau5[Att1],MATCH(Tableau3[[#This Row],[ID-SIG]],Tableau5[ID],0))&amp;""</f>
        <v>C1</v>
      </c>
      <c r="M1372" s="99" t="str">
        <f>INDEX(Tableau5[Att2],MATCH(Tableau3[[#This Row],[ID-SIG]],Tableau5[ID],0))&amp;""</f>
        <v/>
      </c>
      <c r="N1372" s="99" t="str">
        <f>INDEX(Tableau5[Att3],MATCH(Tableau3[[#This Row],[ID-SIG]],Tableau5[ID],0))&amp;""</f>
        <v/>
      </c>
      <c r="O1372" s="99"/>
      <c r="P1372" s="99" t="str">
        <f>INDEX(Tableau5[Description],MATCH(Tableau3[[#This Row],[ID-SIG]],Tableau5[ID],0))</f>
        <v>Contact</v>
      </c>
      <c r="Q1372" s="99"/>
      <c r="R1372" s="103" t="str">
        <f>Tableau3[[#This Row],[Description]]</f>
        <v>Contact</v>
      </c>
      <c r="U1372" s="87">
        <v>9</v>
      </c>
      <c r="V1372" s="87">
        <v>2</v>
      </c>
      <c r="W1372" s="87">
        <v>6</v>
      </c>
      <c r="X1372" s="87">
        <v>10</v>
      </c>
      <c r="Y1372" s="40"/>
      <c r="Z1372" s="165" t="str">
        <f>INDEX(Tableau2[TS],MATCH(Tableau3[[#This Row],[ID-CARTEVOIE]],Tableau2[ID-CARTEVOIE],0))</f>
        <v>ET</v>
      </c>
      <c r="AA1372" s="53" t="s">
        <v>213</v>
      </c>
      <c r="AB1372" s="223" t="str">
        <f>IFERROR(INDEX(Tableau5[Reserve],MATCH(Tableau3[[#This Row],[ID-SIG]],Tableau5[ID],0))&amp;"","")</f>
        <v/>
      </c>
      <c r="AC1372" s="21"/>
      <c r="AD1372" s="108" t="str">
        <f>INDEX(Tableau7[Repere],MATCH(Tableau3[[#This Row],[ID-API]],Tableau7[ID-API],0))&amp;""</f>
        <v>A9</v>
      </c>
      <c r="AE1372" s="108" t="str">
        <f>INDEX(Tableau1[Repere-Rack],MATCH(Tableau3[[#This Row],[ID-RACK]],Tableau1[ID-RACK],0))&amp;""</f>
        <v>R2</v>
      </c>
      <c r="AF1372" s="108" t="str">
        <f>INDEX(Tableau1[Repere-Slot],MATCH(Tableau3[[#This Row],[ID-SLOT]],Tableau1[ID-SLOT],0))&amp;""</f>
        <v>S6</v>
      </c>
      <c r="AG1372" s="108" t="str">
        <f>INDEX(Tableau2[Repere-Voie],MATCH(Tableau3[[#This Row],[ID-VOIE]],Tableau2[ID-Voie],0))&amp;""</f>
        <v>v10</v>
      </c>
      <c r="AH1372" s="72" t="str">
        <f>Tableau3[[#This Row],[ID-API]]&amp; "." &amp;Tableau3[[#This Row],[ID-RACK]]&amp; "." &amp;Tableau3[[#This Row],[ID-SLOT]]</f>
        <v>9.2.6</v>
      </c>
      <c r="AI1372" s="72" t="str">
        <f>INDEX(Tableau1[Ref-Carte],MATCH(Tableau3[[#This Row],[ID-RRS]],Tableau1[ID-RRS],0))</f>
        <v>SDI1602</v>
      </c>
      <c r="AJ1372" s="72" t="str">
        <f t="array" ref="AJ1372">IFERROR(INDEX(Tableau2[TS],MATCH(1,(Tableau2[Ref-Carte]=Tableau3[[#This Row],[Ref-Carte2]])*(Tableau2[ID-Voie]=Tableau3[[#This Row],[ID-VOIE]]),0)),"")</f>
        <v>ET</v>
      </c>
      <c r="AK1372" s="72" t="str">
        <f>IFERROR(INDEX(Tableau2[TS],SUMPRODUCT((Tableau2[Ref-Carte]=Tableau3[[#This Row],[Ref-Carte2]])*(Tableau2[ID-Voie]=Tableau3[[#This Row],[ID-VOIE]])*ROW(Tableau2[TS]))-ROW(Tableau2[#Headers])),"")</f>
        <v>ET</v>
      </c>
      <c r="AL1372" s="72" t="str">
        <f>Tableau3[[#This Row],[Ref-Carte2]]&amp;"/"&amp;Tableau3[[#This Row],[ID-VOIE]]</f>
        <v>SDI1602/10</v>
      </c>
      <c r="AM1372" s="73" t="str">
        <f>INDEX(Tableau2[Borne],MATCH(Tableau3[[#This Row],[ID-CARTEVOIE]],Tableau2[ID-CARTEVOIE],0))&amp;""</f>
        <v>5B</v>
      </c>
      <c r="AN1372" s="74" t="str">
        <f>Tableau3[[#This Row],[ID-API]]&amp;Tableau3[[#This Row],[ID-RACK]]&amp;Tableau3[[#This Row],[ID-SLOT]]&amp;Tableau3[[#This Row],[BORNE]]</f>
        <v>9265B</v>
      </c>
      <c r="AO1372" s="1"/>
    </row>
    <row r="1373" spans="1:41" ht="20.100000000000001" customHeight="1" thickTop="1" thickBot="1">
      <c r="A1373" s="68"/>
      <c r="B1373" s="69" t="str">
        <f>IFERROR(INDEX(Tableau4[Date],MATCH($A1373,Tableau4[EVO],0)),"")</f>
        <v/>
      </c>
      <c r="C1373" s="68" t="str">
        <f>IFERROR(INDEX(Tableau4[Designation],MATCH($A1373,Tableau4[EVO],0)),"")</f>
        <v/>
      </c>
      <c r="D1373" s="68"/>
      <c r="E1373" s="70">
        <v>413</v>
      </c>
      <c r="F1373" s="71">
        <v>3</v>
      </c>
      <c r="G1373" s="101" t="str">
        <f>INDEX(Tableau8[Att1],MATCH(Tableau3[[#This Row],[ID-INS]],Tableau8[ID],0))&amp;""</f>
        <v>B22</v>
      </c>
      <c r="H1373" s="101" t="str">
        <f>INDEX(Tableau8[Att2],MATCH(Tableau3[[#This Row],[ID-INS]],Tableau8[ID],0))&amp;""</f>
        <v>PPH28</v>
      </c>
      <c r="I1373" s="101" t="str">
        <f>INDEX(Tableau8[Att3],MATCH(Tableau3[[#This Row],[ID-INS]],Tableau8[ID],0))&amp;""</f>
        <v>Alarme Câble à choc sur bavolet clôture bleu</v>
      </c>
      <c r="J1373" s="101"/>
      <c r="K1373" s="167" t="str">
        <f>INDEX(Tableau8[Nom du modele],MATCH(Tableau3[[#This Row],[ID-INS]],Tableau8[ID],0))&amp;""</f>
        <v>E_Divers</v>
      </c>
      <c r="L1373" s="99" t="str">
        <f>INDEX(Tableau5[Att1],MATCH(Tableau3[[#This Row],[ID-SIG]],Tableau5[ID],0))&amp;""</f>
        <v>C1</v>
      </c>
      <c r="M1373" s="99" t="str">
        <f>INDEX(Tableau5[Att2],MATCH(Tableau3[[#This Row],[ID-SIG]],Tableau5[ID],0))&amp;""</f>
        <v/>
      </c>
      <c r="N1373" s="99" t="str">
        <f>INDEX(Tableau5[Att3],MATCH(Tableau3[[#This Row],[ID-SIG]],Tableau5[ID],0))&amp;""</f>
        <v/>
      </c>
      <c r="O1373" s="99"/>
      <c r="P1373" s="99" t="str">
        <f>INDEX(Tableau5[Description],MATCH(Tableau3[[#This Row],[ID-SIG]],Tableau5[ID],0))</f>
        <v>Contact</v>
      </c>
      <c r="Q1373" s="99"/>
      <c r="R1373" s="103" t="str">
        <f>Tableau3[[#This Row],[Description]]</f>
        <v>Contact</v>
      </c>
      <c r="U1373" s="87">
        <v>9</v>
      </c>
      <c r="V1373" s="87">
        <v>2</v>
      </c>
      <c r="W1373" s="87">
        <v>6</v>
      </c>
      <c r="X1373" s="87">
        <v>11</v>
      </c>
      <c r="Y1373" s="40"/>
      <c r="Z1373" s="165" t="str">
        <f>INDEX(Tableau2[TS],MATCH(Tableau3[[#This Row],[ID-CARTEVOIE]],Tableau2[ID-CARTEVOIE],0))</f>
        <v>ET</v>
      </c>
      <c r="AA1373" s="53" t="s">
        <v>213</v>
      </c>
      <c r="AB1373" s="223" t="str">
        <f>IFERROR(INDEX(Tableau5[Reserve],MATCH(Tableau3[[#This Row],[ID-SIG]],Tableau5[ID],0))&amp;"","")</f>
        <v/>
      </c>
      <c r="AC1373" s="21"/>
      <c r="AD1373" s="108" t="str">
        <f>INDEX(Tableau7[Repere],MATCH(Tableau3[[#This Row],[ID-API]],Tableau7[ID-API],0))&amp;""</f>
        <v>A9</v>
      </c>
      <c r="AE1373" s="108" t="str">
        <f>INDEX(Tableau1[Repere-Rack],MATCH(Tableau3[[#This Row],[ID-RACK]],Tableau1[ID-RACK],0))&amp;""</f>
        <v>R2</v>
      </c>
      <c r="AF1373" s="108" t="str">
        <f>INDEX(Tableau1[Repere-Slot],MATCH(Tableau3[[#This Row],[ID-SLOT]],Tableau1[ID-SLOT],0))&amp;""</f>
        <v>S6</v>
      </c>
      <c r="AG1373" s="108" t="str">
        <f>INDEX(Tableau2[Repere-Voie],MATCH(Tableau3[[#This Row],[ID-VOIE]],Tableau2[ID-Voie],0))&amp;""</f>
        <v>v11</v>
      </c>
      <c r="AH1373" s="72" t="str">
        <f>Tableau3[[#This Row],[ID-API]]&amp; "." &amp;Tableau3[[#This Row],[ID-RACK]]&amp; "." &amp;Tableau3[[#This Row],[ID-SLOT]]</f>
        <v>9.2.6</v>
      </c>
      <c r="AI1373" s="72" t="str">
        <f>INDEX(Tableau1[Ref-Carte],MATCH(Tableau3[[#This Row],[ID-RRS]],Tableau1[ID-RRS],0))</f>
        <v>SDI1602</v>
      </c>
      <c r="AJ1373" s="72" t="str">
        <f t="array" ref="AJ1373">IFERROR(INDEX(Tableau2[TS],MATCH(1,(Tableau2[Ref-Carte]=Tableau3[[#This Row],[Ref-Carte2]])*(Tableau2[ID-Voie]=Tableau3[[#This Row],[ID-VOIE]]),0)),"")</f>
        <v>ET</v>
      </c>
      <c r="AK1373" s="72" t="str">
        <f>IFERROR(INDEX(Tableau2[TS],SUMPRODUCT((Tableau2[Ref-Carte]=Tableau3[[#This Row],[Ref-Carte2]])*(Tableau2[ID-Voie]=Tableau3[[#This Row],[ID-VOIE]])*ROW(Tableau2[TS]))-ROW(Tableau2[#Headers])),"")</f>
        <v>ET</v>
      </c>
      <c r="AL1373" s="72" t="str">
        <f>Tableau3[[#This Row],[Ref-Carte2]]&amp;"/"&amp;Tableau3[[#This Row],[ID-VOIE]]</f>
        <v>SDI1602/11</v>
      </c>
      <c r="AM1373" s="73" t="str">
        <f>INDEX(Tableau2[Borne],MATCH(Tableau3[[#This Row],[ID-CARTEVOIE]],Tableau2[ID-CARTEVOIE],0))&amp;""</f>
        <v>5A</v>
      </c>
      <c r="AN1373" s="74" t="str">
        <f>Tableau3[[#This Row],[ID-API]]&amp;Tableau3[[#This Row],[ID-RACK]]&amp;Tableau3[[#This Row],[ID-SLOT]]&amp;Tableau3[[#This Row],[BORNE]]</f>
        <v>9265A</v>
      </c>
      <c r="AO1373" s="1"/>
    </row>
    <row r="1374" spans="1:41" ht="20.100000000000001" customHeight="1" thickTop="1" thickBot="1">
      <c r="A1374" s="68"/>
      <c r="B1374" s="69" t="str">
        <f>IFERROR(INDEX(Tableau4[Date],MATCH($A1374,Tableau4[EVO],0)),"")</f>
        <v/>
      </c>
      <c r="C1374" s="68" t="str">
        <f>IFERROR(INDEX(Tableau4[Designation],MATCH($A1374,Tableau4[EVO],0)),"")</f>
        <v/>
      </c>
      <c r="D1374" s="68"/>
      <c r="E1374" s="70">
        <v>414</v>
      </c>
      <c r="F1374" s="71">
        <v>3</v>
      </c>
      <c r="G1374" s="101" t="str">
        <f>INDEX(Tableau8[Att1],MATCH(Tableau3[[#This Row],[ID-INS]],Tableau8[ID],0))&amp;""</f>
        <v>B22</v>
      </c>
      <c r="H1374" s="101" t="str">
        <f>INDEX(Tableau8[Att2],MATCH(Tableau3[[#This Row],[ID-INS]],Tableau8[ID],0))&amp;""</f>
        <v>TECH10</v>
      </c>
      <c r="I1374" s="101" t="str">
        <f>INDEX(Tableau8[Att3],MATCH(Tableau3[[#This Row],[ID-INS]],Tableau8[ID],0))&amp;""</f>
        <v>Dérangement centrale câble à choc sur portails bleus P7/P8</v>
      </c>
      <c r="J1374" s="101"/>
      <c r="K1374" s="167" t="str">
        <f>INDEX(Tableau8[Nom du modele],MATCH(Tableau3[[#This Row],[ID-INS]],Tableau8[ID],0))&amp;""</f>
        <v>E_Divers</v>
      </c>
      <c r="L1374" s="99" t="str">
        <f>INDEX(Tableau5[Att1],MATCH(Tableau3[[#This Row],[ID-SIG]],Tableau5[ID],0))&amp;""</f>
        <v>C1</v>
      </c>
      <c r="M1374" s="99" t="str">
        <f>INDEX(Tableau5[Att2],MATCH(Tableau3[[#This Row],[ID-SIG]],Tableau5[ID],0))&amp;""</f>
        <v/>
      </c>
      <c r="N1374" s="99" t="str">
        <f>INDEX(Tableau5[Att3],MATCH(Tableau3[[#This Row],[ID-SIG]],Tableau5[ID],0))&amp;""</f>
        <v/>
      </c>
      <c r="O1374" s="99"/>
      <c r="P1374" s="99" t="str">
        <f>INDEX(Tableau5[Description],MATCH(Tableau3[[#This Row],[ID-SIG]],Tableau5[ID],0))</f>
        <v>Contact</v>
      </c>
      <c r="Q1374" s="99"/>
      <c r="R1374" s="103" t="str">
        <f>Tableau3[[#This Row],[Description]]</f>
        <v>Contact</v>
      </c>
      <c r="U1374" s="87">
        <v>9</v>
      </c>
      <c r="V1374" s="87">
        <v>2</v>
      </c>
      <c r="W1374" s="87">
        <v>6</v>
      </c>
      <c r="X1374" s="87">
        <v>12</v>
      </c>
      <c r="Y1374" s="40"/>
      <c r="Z1374" s="165" t="str">
        <f>INDEX(Tableau2[TS],MATCH(Tableau3[[#This Row],[ID-CARTEVOIE]],Tableau2[ID-CARTEVOIE],0))</f>
        <v>ET</v>
      </c>
      <c r="AA1374" s="53" t="s">
        <v>213</v>
      </c>
      <c r="AB1374" s="223" t="str">
        <f>IFERROR(INDEX(Tableau5[Reserve],MATCH(Tableau3[[#This Row],[ID-SIG]],Tableau5[ID],0))&amp;"","")</f>
        <v/>
      </c>
      <c r="AC1374" s="21"/>
      <c r="AD1374" s="108" t="str">
        <f>INDEX(Tableau7[Repere],MATCH(Tableau3[[#This Row],[ID-API]],Tableau7[ID-API],0))&amp;""</f>
        <v>A9</v>
      </c>
      <c r="AE1374" s="108" t="str">
        <f>INDEX(Tableau1[Repere-Rack],MATCH(Tableau3[[#This Row],[ID-RACK]],Tableau1[ID-RACK],0))&amp;""</f>
        <v>R2</v>
      </c>
      <c r="AF1374" s="108" t="str">
        <f>INDEX(Tableau1[Repere-Slot],MATCH(Tableau3[[#This Row],[ID-SLOT]],Tableau1[ID-SLOT],0))&amp;""</f>
        <v>S6</v>
      </c>
      <c r="AG1374" s="108" t="str">
        <f>INDEX(Tableau2[Repere-Voie],MATCH(Tableau3[[#This Row],[ID-VOIE]],Tableau2[ID-Voie],0))&amp;""</f>
        <v>v12</v>
      </c>
      <c r="AH1374" s="72" t="str">
        <f>Tableau3[[#This Row],[ID-API]]&amp; "." &amp;Tableau3[[#This Row],[ID-RACK]]&amp; "." &amp;Tableau3[[#This Row],[ID-SLOT]]</f>
        <v>9.2.6</v>
      </c>
      <c r="AI1374" s="72" t="str">
        <f>INDEX(Tableau1[Ref-Carte],MATCH(Tableau3[[#This Row],[ID-RRS]],Tableau1[ID-RRS],0))</f>
        <v>SDI1602</v>
      </c>
      <c r="AJ1374" s="72" t="str">
        <f t="array" ref="AJ1374">IFERROR(INDEX(Tableau2[TS],MATCH(1,(Tableau2[Ref-Carte]=Tableau3[[#This Row],[Ref-Carte2]])*(Tableau2[ID-Voie]=Tableau3[[#This Row],[ID-VOIE]]),0)),"")</f>
        <v>ET</v>
      </c>
      <c r="AK1374" s="72" t="str">
        <f>IFERROR(INDEX(Tableau2[TS],SUMPRODUCT((Tableau2[Ref-Carte]=Tableau3[[#This Row],[Ref-Carte2]])*(Tableau2[ID-Voie]=Tableau3[[#This Row],[ID-VOIE]])*ROW(Tableau2[TS]))-ROW(Tableau2[#Headers])),"")</f>
        <v>ET</v>
      </c>
      <c r="AL1374" s="72" t="str">
        <f>Tableau3[[#This Row],[Ref-Carte2]]&amp;"/"&amp;Tableau3[[#This Row],[ID-VOIE]]</f>
        <v>SDI1602/12</v>
      </c>
      <c r="AM1374" s="73" t="str">
        <f>INDEX(Tableau2[Borne],MATCH(Tableau3[[#This Row],[ID-CARTEVOIE]],Tableau2[ID-CARTEVOIE],0))&amp;""</f>
        <v>6B</v>
      </c>
      <c r="AN1374" s="74" t="str">
        <f>Tableau3[[#This Row],[ID-API]]&amp;Tableau3[[#This Row],[ID-RACK]]&amp;Tableau3[[#This Row],[ID-SLOT]]&amp;Tableau3[[#This Row],[BORNE]]</f>
        <v>9266B</v>
      </c>
      <c r="AO1374" s="1"/>
    </row>
    <row r="1375" spans="1:41" ht="20.100000000000001" customHeight="1" thickTop="1" thickBot="1">
      <c r="A1375" s="68"/>
      <c r="B1375" s="69" t="str">
        <f>IFERROR(INDEX(Tableau4[Date],MATCH($A1375,Tableau4[EVO],0)),"")</f>
        <v/>
      </c>
      <c r="C1375" s="68" t="str">
        <f>IFERROR(INDEX(Tableau4[Designation],MATCH($A1375,Tableau4[EVO],0)),"")</f>
        <v/>
      </c>
      <c r="D1375" s="68"/>
      <c r="E1375" s="70">
        <v>415</v>
      </c>
      <c r="F1375" s="71">
        <v>3</v>
      </c>
      <c r="G1375" s="101" t="str">
        <f>INDEX(Tableau8[Att1],MATCH(Tableau3[[#This Row],[ID-INS]],Tableau8[ID],0))&amp;""</f>
        <v>B22</v>
      </c>
      <c r="H1375" s="101" t="str">
        <f>INDEX(Tableau8[Att2],MATCH(Tableau3[[#This Row],[ID-INS]],Tableau8[ID],0))&amp;""</f>
        <v>PPH29</v>
      </c>
      <c r="I1375" s="101" t="str">
        <f>INDEX(Tableau8[Att3],MATCH(Tableau3[[#This Row],[ID-INS]],Tableau8[ID],0))&amp;""</f>
        <v>Alarme Câble à choc sur portail bleu P7</v>
      </c>
      <c r="J1375" s="101"/>
      <c r="K1375" s="167" t="str">
        <f>INDEX(Tableau8[Nom du modele],MATCH(Tableau3[[#This Row],[ID-INS]],Tableau8[ID],0))&amp;""</f>
        <v>E_Divers</v>
      </c>
      <c r="L1375" s="99" t="str">
        <f>INDEX(Tableau5[Att1],MATCH(Tableau3[[#This Row],[ID-SIG]],Tableau5[ID],0))&amp;""</f>
        <v>C1</v>
      </c>
      <c r="M1375" s="99" t="str">
        <f>INDEX(Tableau5[Att2],MATCH(Tableau3[[#This Row],[ID-SIG]],Tableau5[ID],0))&amp;""</f>
        <v/>
      </c>
      <c r="N1375" s="99" t="str">
        <f>INDEX(Tableau5[Att3],MATCH(Tableau3[[#This Row],[ID-SIG]],Tableau5[ID],0))&amp;""</f>
        <v/>
      </c>
      <c r="O1375" s="99"/>
      <c r="P1375" s="99" t="str">
        <f>INDEX(Tableau5[Description],MATCH(Tableau3[[#This Row],[ID-SIG]],Tableau5[ID],0))</f>
        <v>Contact</v>
      </c>
      <c r="Q1375" s="99"/>
      <c r="R1375" s="103" t="str">
        <f>Tableau3[[#This Row],[Description]]</f>
        <v>Contact</v>
      </c>
      <c r="U1375" s="87">
        <v>9</v>
      </c>
      <c r="V1375" s="87">
        <v>2</v>
      </c>
      <c r="W1375" s="87">
        <v>6</v>
      </c>
      <c r="X1375" s="87">
        <v>13</v>
      </c>
      <c r="Y1375" s="40"/>
      <c r="Z1375" s="165" t="str">
        <f>INDEX(Tableau2[TS],MATCH(Tableau3[[#This Row],[ID-CARTEVOIE]],Tableau2[ID-CARTEVOIE],0))</f>
        <v>ET</v>
      </c>
      <c r="AA1375" s="53" t="s">
        <v>213</v>
      </c>
      <c r="AB1375" s="223" t="str">
        <f>IFERROR(INDEX(Tableau5[Reserve],MATCH(Tableau3[[#This Row],[ID-SIG]],Tableau5[ID],0))&amp;"","")</f>
        <v/>
      </c>
      <c r="AC1375" s="21"/>
      <c r="AD1375" s="108" t="str">
        <f>INDEX(Tableau7[Repere],MATCH(Tableau3[[#This Row],[ID-API]],Tableau7[ID-API],0))&amp;""</f>
        <v>A9</v>
      </c>
      <c r="AE1375" s="108" t="str">
        <f>INDEX(Tableau1[Repere-Rack],MATCH(Tableau3[[#This Row],[ID-RACK]],Tableau1[ID-RACK],0))&amp;""</f>
        <v>R2</v>
      </c>
      <c r="AF1375" s="108" t="str">
        <f>INDEX(Tableau1[Repere-Slot],MATCH(Tableau3[[#This Row],[ID-SLOT]],Tableau1[ID-SLOT],0))&amp;""</f>
        <v>S6</v>
      </c>
      <c r="AG1375" s="108" t="str">
        <f>INDEX(Tableau2[Repere-Voie],MATCH(Tableau3[[#This Row],[ID-VOIE]],Tableau2[ID-Voie],0))&amp;""</f>
        <v>v13</v>
      </c>
      <c r="AH1375" s="72" t="str">
        <f>Tableau3[[#This Row],[ID-API]]&amp; "." &amp;Tableau3[[#This Row],[ID-RACK]]&amp; "." &amp;Tableau3[[#This Row],[ID-SLOT]]</f>
        <v>9.2.6</v>
      </c>
      <c r="AI1375" s="72" t="str">
        <f>INDEX(Tableau1[Ref-Carte],MATCH(Tableau3[[#This Row],[ID-RRS]],Tableau1[ID-RRS],0))</f>
        <v>SDI1602</v>
      </c>
      <c r="AJ1375" s="72" t="str">
        <f t="array" ref="AJ1375">IFERROR(INDEX(Tableau2[TS],MATCH(1,(Tableau2[Ref-Carte]=Tableau3[[#This Row],[Ref-Carte2]])*(Tableau2[ID-Voie]=Tableau3[[#This Row],[ID-VOIE]]),0)),"")</f>
        <v>ET</v>
      </c>
      <c r="AK1375" s="72" t="str">
        <f>IFERROR(INDEX(Tableau2[TS],SUMPRODUCT((Tableau2[Ref-Carte]=Tableau3[[#This Row],[Ref-Carte2]])*(Tableau2[ID-Voie]=Tableau3[[#This Row],[ID-VOIE]])*ROW(Tableau2[TS]))-ROW(Tableau2[#Headers])),"")</f>
        <v>ET</v>
      </c>
      <c r="AL1375" s="72" t="str">
        <f>Tableau3[[#This Row],[Ref-Carte2]]&amp;"/"&amp;Tableau3[[#This Row],[ID-VOIE]]</f>
        <v>SDI1602/13</v>
      </c>
      <c r="AM1375" s="73" t="str">
        <f>INDEX(Tableau2[Borne],MATCH(Tableau3[[#This Row],[ID-CARTEVOIE]],Tableau2[ID-CARTEVOIE],0))&amp;""</f>
        <v>6A</v>
      </c>
      <c r="AN1375" s="74" t="str">
        <f>Tableau3[[#This Row],[ID-API]]&amp;Tableau3[[#This Row],[ID-RACK]]&amp;Tableau3[[#This Row],[ID-SLOT]]&amp;Tableau3[[#This Row],[BORNE]]</f>
        <v>9266A</v>
      </c>
      <c r="AO1375" s="1"/>
    </row>
    <row r="1376" spans="1:41" ht="20.100000000000001" customHeight="1" thickTop="1" thickBot="1">
      <c r="A1376" s="68"/>
      <c r="B1376" s="69" t="str">
        <f>IFERROR(INDEX(Tableau4[Date],MATCH($A1376,Tableau4[EVO],0)),"")</f>
        <v/>
      </c>
      <c r="C1376" s="68" t="str">
        <f>IFERROR(INDEX(Tableau4[Designation],MATCH($A1376,Tableau4[EVO],0)),"")</f>
        <v/>
      </c>
      <c r="D1376" s="68"/>
      <c r="E1376" s="70">
        <v>416</v>
      </c>
      <c r="F1376" s="71">
        <v>3</v>
      </c>
      <c r="G1376" s="101" t="str">
        <f>INDEX(Tableau8[Att1],MATCH(Tableau3[[#This Row],[ID-INS]],Tableau8[ID],0))&amp;""</f>
        <v>B22</v>
      </c>
      <c r="H1376" s="101" t="str">
        <f>INDEX(Tableau8[Att2],MATCH(Tableau3[[#This Row],[ID-INS]],Tableau8[ID],0))&amp;""</f>
        <v>PPH30</v>
      </c>
      <c r="I1376" s="101" t="str">
        <f>INDEX(Tableau8[Att3],MATCH(Tableau3[[#This Row],[ID-INS]],Tableau8[ID],0))&amp;""</f>
        <v>Alarme Câble à choc sur portail bleu P8</v>
      </c>
      <c r="J1376" s="101"/>
      <c r="K1376" s="167" t="str">
        <f>INDEX(Tableau8[Nom du modele],MATCH(Tableau3[[#This Row],[ID-INS]],Tableau8[ID],0))&amp;""</f>
        <v>E_Divers</v>
      </c>
      <c r="L1376" s="99" t="str">
        <f>INDEX(Tableau5[Att1],MATCH(Tableau3[[#This Row],[ID-SIG]],Tableau5[ID],0))&amp;""</f>
        <v>C1</v>
      </c>
      <c r="M1376" s="99" t="str">
        <f>INDEX(Tableau5[Att2],MATCH(Tableau3[[#This Row],[ID-SIG]],Tableau5[ID],0))&amp;""</f>
        <v/>
      </c>
      <c r="N1376" s="99" t="str">
        <f>INDEX(Tableau5[Att3],MATCH(Tableau3[[#This Row],[ID-SIG]],Tableau5[ID],0))&amp;""</f>
        <v/>
      </c>
      <c r="O1376" s="99"/>
      <c r="P1376" s="99" t="str">
        <f>INDEX(Tableau5[Description],MATCH(Tableau3[[#This Row],[ID-SIG]],Tableau5[ID],0))</f>
        <v>Contact</v>
      </c>
      <c r="Q1376" s="99"/>
      <c r="R1376" s="103" t="str">
        <f>Tableau3[[#This Row],[Description]]</f>
        <v>Contact</v>
      </c>
      <c r="U1376" s="87">
        <v>9</v>
      </c>
      <c r="V1376" s="87">
        <v>2</v>
      </c>
      <c r="W1376" s="87">
        <v>6</v>
      </c>
      <c r="X1376" s="87">
        <v>14</v>
      </c>
      <c r="Y1376" s="40"/>
      <c r="Z1376" s="165" t="str">
        <f>INDEX(Tableau2[TS],MATCH(Tableau3[[#This Row],[ID-CARTEVOIE]],Tableau2[ID-CARTEVOIE],0))</f>
        <v>ET</v>
      </c>
      <c r="AA1376" s="53" t="s">
        <v>213</v>
      </c>
      <c r="AB1376" s="223" t="str">
        <f>IFERROR(INDEX(Tableau5[Reserve],MATCH(Tableau3[[#This Row],[ID-SIG]],Tableau5[ID],0))&amp;"","")</f>
        <v/>
      </c>
      <c r="AC1376" s="21"/>
      <c r="AD1376" s="108" t="str">
        <f>INDEX(Tableau7[Repere],MATCH(Tableau3[[#This Row],[ID-API]],Tableau7[ID-API],0))&amp;""</f>
        <v>A9</v>
      </c>
      <c r="AE1376" s="108" t="str">
        <f>INDEX(Tableau1[Repere-Rack],MATCH(Tableau3[[#This Row],[ID-RACK]],Tableau1[ID-RACK],0))&amp;""</f>
        <v>R2</v>
      </c>
      <c r="AF1376" s="108" t="str">
        <f>INDEX(Tableau1[Repere-Slot],MATCH(Tableau3[[#This Row],[ID-SLOT]],Tableau1[ID-SLOT],0))&amp;""</f>
        <v>S6</v>
      </c>
      <c r="AG1376" s="108" t="str">
        <f>INDEX(Tableau2[Repere-Voie],MATCH(Tableau3[[#This Row],[ID-VOIE]],Tableau2[ID-Voie],0))&amp;""</f>
        <v>v14</v>
      </c>
      <c r="AH1376" s="72" t="str">
        <f>Tableau3[[#This Row],[ID-API]]&amp; "." &amp;Tableau3[[#This Row],[ID-RACK]]&amp; "." &amp;Tableau3[[#This Row],[ID-SLOT]]</f>
        <v>9.2.6</v>
      </c>
      <c r="AI1376" s="72" t="str">
        <f>INDEX(Tableau1[Ref-Carte],MATCH(Tableau3[[#This Row],[ID-RRS]],Tableau1[ID-RRS],0))</f>
        <v>SDI1602</v>
      </c>
      <c r="AJ1376" s="72" t="str">
        <f t="array" ref="AJ1376">IFERROR(INDEX(Tableau2[TS],MATCH(1,(Tableau2[Ref-Carte]=Tableau3[[#This Row],[Ref-Carte2]])*(Tableau2[ID-Voie]=Tableau3[[#This Row],[ID-VOIE]]),0)),"")</f>
        <v>ET</v>
      </c>
      <c r="AK1376" s="72" t="str">
        <f>IFERROR(INDEX(Tableau2[TS],SUMPRODUCT((Tableau2[Ref-Carte]=Tableau3[[#This Row],[Ref-Carte2]])*(Tableau2[ID-Voie]=Tableau3[[#This Row],[ID-VOIE]])*ROW(Tableau2[TS]))-ROW(Tableau2[#Headers])),"")</f>
        <v>ET</v>
      </c>
      <c r="AL1376" s="72" t="str">
        <f>Tableau3[[#This Row],[Ref-Carte2]]&amp;"/"&amp;Tableau3[[#This Row],[ID-VOIE]]</f>
        <v>SDI1602/14</v>
      </c>
      <c r="AM1376" s="73" t="str">
        <f>INDEX(Tableau2[Borne],MATCH(Tableau3[[#This Row],[ID-CARTEVOIE]],Tableau2[ID-CARTEVOIE],0))&amp;""</f>
        <v>7B</v>
      </c>
      <c r="AN1376" s="74" t="str">
        <f>Tableau3[[#This Row],[ID-API]]&amp;Tableau3[[#This Row],[ID-RACK]]&amp;Tableau3[[#This Row],[ID-SLOT]]&amp;Tableau3[[#This Row],[BORNE]]</f>
        <v>9267B</v>
      </c>
      <c r="AO1376" s="1"/>
    </row>
    <row r="1377" spans="1:41" ht="20.100000000000001" customHeight="1" thickTop="1" thickBot="1">
      <c r="A1377" s="68"/>
      <c r="B1377" s="69" t="str">
        <f>IFERROR(INDEX(Tableau4[Date],MATCH($A1377,Tableau4[EVO],0)),"")</f>
        <v/>
      </c>
      <c r="C1377" s="68" t="str">
        <f>IFERROR(INDEX(Tableau4[Designation],MATCH($A1377,Tableau4[EVO],0)),"")</f>
        <v/>
      </c>
      <c r="D1377" s="68"/>
      <c r="E1377" s="70">
        <v>417</v>
      </c>
      <c r="F1377" s="71">
        <v>3</v>
      </c>
      <c r="G1377" s="101" t="str">
        <f>INDEX(Tableau8[Att1],MATCH(Tableau3[[#This Row],[ID-INS]],Tableau8[ID],0))&amp;""</f>
        <v>B22</v>
      </c>
      <c r="H1377" s="101" t="str">
        <f>INDEX(Tableau8[Att2],MATCH(Tableau3[[#This Row],[ID-INS]],Tableau8[ID],0))&amp;""</f>
        <v>PPH31</v>
      </c>
      <c r="I1377" s="101" t="str">
        <f>INDEX(Tableau8[Att3],MATCH(Tableau3[[#This Row],[ID-INS]],Tableau8[ID],0))&amp;""</f>
        <v>Alarme CP18 armoire RIO B22</v>
      </c>
      <c r="J1377" s="101"/>
      <c r="K1377" s="167" t="str">
        <f>INDEX(Tableau8[Nom du modele],MATCH(Tableau3[[#This Row],[ID-INS]],Tableau8[ID],0))&amp;""</f>
        <v>E_Divers</v>
      </c>
      <c r="L1377" s="99" t="str">
        <f>INDEX(Tableau5[Att1],MATCH(Tableau3[[#This Row],[ID-SIG]],Tableau5[ID],0))&amp;""</f>
        <v>C1</v>
      </c>
      <c r="M1377" s="99" t="str">
        <f>INDEX(Tableau5[Att2],MATCH(Tableau3[[#This Row],[ID-SIG]],Tableau5[ID],0))&amp;""</f>
        <v/>
      </c>
      <c r="N1377" s="99" t="str">
        <f>INDEX(Tableau5[Att3],MATCH(Tableau3[[#This Row],[ID-SIG]],Tableau5[ID],0))&amp;""</f>
        <v/>
      </c>
      <c r="O1377" s="99"/>
      <c r="P1377" s="99" t="str">
        <f>INDEX(Tableau5[Description],MATCH(Tableau3[[#This Row],[ID-SIG]],Tableau5[ID],0))</f>
        <v>Contact</v>
      </c>
      <c r="Q1377" s="99"/>
      <c r="R1377" s="103" t="str">
        <f>Tableau3[[#This Row],[Description]]</f>
        <v>Contact</v>
      </c>
      <c r="U1377" s="87">
        <v>9</v>
      </c>
      <c r="V1377" s="87">
        <v>2</v>
      </c>
      <c r="W1377" s="87">
        <v>6</v>
      </c>
      <c r="X1377" s="87">
        <v>15</v>
      </c>
      <c r="Y1377" s="40"/>
      <c r="Z1377" s="165" t="str">
        <f>INDEX(Tableau2[TS],MATCH(Tableau3[[#This Row],[ID-CARTEVOIE]],Tableau2[ID-CARTEVOIE],0))</f>
        <v>ET</v>
      </c>
      <c r="AA1377" s="53" t="s">
        <v>213</v>
      </c>
      <c r="AB1377" s="223" t="str">
        <f>IFERROR(INDEX(Tableau5[Reserve],MATCH(Tableau3[[#This Row],[ID-SIG]],Tableau5[ID],0))&amp;"","")</f>
        <v/>
      </c>
      <c r="AC1377" s="21"/>
      <c r="AD1377" s="108" t="str">
        <f>INDEX(Tableau7[Repere],MATCH(Tableau3[[#This Row],[ID-API]],Tableau7[ID-API],0))&amp;""</f>
        <v>A9</v>
      </c>
      <c r="AE1377" s="108" t="str">
        <f>INDEX(Tableau1[Repere-Rack],MATCH(Tableau3[[#This Row],[ID-RACK]],Tableau1[ID-RACK],0))&amp;""</f>
        <v>R2</v>
      </c>
      <c r="AF1377" s="108" t="str">
        <f>INDEX(Tableau1[Repere-Slot],MATCH(Tableau3[[#This Row],[ID-SLOT]],Tableau1[ID-SLOT],0))&amp;""</f>
        <v>S6</v>
      </c>
      <c r="AG1377" s="108" t="str">
        <f>INDEX(Tableau2[Repere-Voie],MATCH(Tableau3[[#This Row],[ID-VOIE]],Tableau2[ID-Voie],0))&amp;""</f>
        <v>v15</v>
      </c>
      <c r="AH1377" s="72" t="str">
        <f>Tableau3[[#This Row],[ID-API]]&amp; "." &amp;Tableau3[[#This Row],[ID-RACK]]&amp; "." &amp;Tableau3[[#This Row],[ID-SLOT]]</f>
        <v>9.2.6</v>
      </c>
      <c r="AI1377" s="72" t="str">
        <f>INDEX(Tableau1[Ref-Carte],MATCH(Tableau3[[#This Row],[ID-RRS]],Tableau1[ID-RRS],0))</f>
        <v>SDI1602</v>
      </c>
      <c r="AJ1377" s="72" t="str">
        <f t="array" ref="AJ1377">IFERROR(INDEX(Tableau2[TS],MATCH(1,(Tableau2[Ref-Carte]=Tableau3[[#This Row],[Ref-Carte2]])*(Tableau2[ID-Voie]=Tableau3[[#This Row],[ID-VOIE]]),0)),"")</f>
        <v>ET</v>
      </c>
      <c r="AK1377" s="72" t="str">
        <f>IFERROR(INDEX(Tableau2[TS],SUMPRODUCT((Tableau2[Ref-Carte]=Tableau3[[#This Row],[Ref-Carte2]])*(Tableau2[ID-Voie]=Tableau3[[#This Row],[ID-VOIE]])*ROW(Tableau2[TS]))-ROW(Tableau2[#Headers])),"")</f>
        <v>ET</v>
      </c>
      <c r="AL1377" s="72" t="str">
        <f>Tableau3[[#This Row],[Ref-Carte2]]&amp;"/"&amp;Tableau3[[#This Row],[ID-VOIE]]</f>
        <v>SDI1602/15</v>
      </c>
      <c r="AM1377" s="73" t="str">
        <f>INDEX(Tableau2[Borne],MATCH(Tableau3[[#This Row],[ID-CARTEVOIE]],Tableau2[ID-CARTEVOIE],0))&amp;""</f>
        <v>7A</v>
      </c>
      <c r="AN1377" s="74" t="str">
        <f>Tableau3[[#This Row],[ID-API]]&amp;Tableau3[[#This Row],[ID-RACK]]&amp;Tableau3[[#This Row],[ID-SLOT]]&amp;Tableau3[[#This Row],[BORNE]]</f>
        <v>9267A</v>
      </c>
      <c r="AO1377" s="1"/>
    </row>
    <row r="1378" spans="1:41" ht="20.100000000000001" customHeight="1" thickTop="1" thickBot="1">
      <c r="A1378" s="68"/>
      <c r="B1378" s="69" t="str">
        <f>IFERROR(INDEX(Tableau4[Date],MATCH($A1378,Tableau4[EVO],0)),"")</f>
        <v/>
      </c>
      <c r="C1378" s="68" t="str">
        <f>IFERROR(INDEX(Tableau4[Designation],MATCH($A1378,Tableau4[EVO],0)),"")</f>
        <v/>
      </c>
      <c r="D1378" s="68"/>
      <c r="E1378" s="70">
        <v>418</v>
      </c>
      <c r="F1378" s="71">
        <v>3</v>
      </c>
      <c r="G1378" s="101" t="str">
        <f>INDEX(Tableau8[Att1],MATCH(Tableau3[[#This Row],[ID-INS]],Tableau8[ID],0))&amp;""</f>
        <v>B22</v>
      </c>
      <c r="H1378" s="101" t="str">
        <f>INDEX(Tableau8[Att2],MATCH(Tableau3[[#This Row],[ID-INS]],Tableau8[ID],0))&amp;""</f>
        <v>PPH32</v>
      </c>
      <c r="I1378" s="101" t="str">
        <f>INDEX(Tableau8[Att3],MATCH(Tableau3[[#This Row],[ID-INS]],Tableau8[ID],0))&amp;""</f>
        <v>Alarme CP17 répartiteur TEA</v>
      </c>
      <c r="J1378" s="101"/>
      <c r="K1378" s="167" t="str">
        <f>INDEX(Tableau8[Nom du modele],MATCH(Tableau3[[#This Row],[ID-INS]],Tableau8[ID],0))&amp;""</f>
        <v>E_Divers</v>
      </c>
      <c r="L1378" s="99" t="str">
        <f>INDEX(Tableau5[Att1],MATCH(Tableau3[[#This Row],[ID-SIG]],Tableau5[ID],0))&amp;""</f>
        <v>C1</v>
      </c>
      <c r="M1378" s="99" t="str">
        <f>INDEX(Tableau5[Att2],MATCH(Tableau3[[#This Row],[ID-SIG]],Tableau5[ID],0))&amp;""</f>
        <v/>
      </c>
      <c r="N1378" s="99" t="str">
        <f>INDEX(Tableau5[Att3],MATCH(Tableau3[[#This Row],[ID-SIG]],Tableau5[ID],0))&amp;""</f>
        <v/>
      </c>
      <c r="O1378" s="99"/>
      <c r="P1378" s="99" t="str">
        <f>INDEX(Tableau5[Description],MATCH(Tableau3[[#This Row],[ID-SIG]],Tableau5[ID],0))</f>
        <v>Contact</v>
      </c>
      <c r="Q1378" s="99"/>
      <c r="R1378" s="103" t="str">
        <f>Tableau3[[#This Row],[Description]]</f>
        <v>Contact</v>
      </c>
      <c r="U1378" s="87">
        <v>9</v>
      </c>
      <c r="V1378" s="87">
        <v>2</v>
      </c>
      <c r="W1378" s="87">
        <v>7</v>
      </c>
      <c r="X1378" s="87">
        <v>0</v>
      </c>
      <c r="Y1378" s="40"/>
      <c r="Z1378" s="165" t="str">
        <f>INDEX(Tableau2[TS],MATCH(Tableau3[[#This Row],[ID-CARTEVOIE]],Tableau2[ID-CARTEVOIE],0))</f>
        <v>ET</v>
      </c>
      <c r="AA1378" s="53" t="s">
        <v>213</v>
      </c>
      <c r="AB1378" s="223" t="str">
        <f>IFERROR(INDEX(Tableau5[Reserve],MATCH(Tableau3[[#This Row],[ID-SIG]],Tableau5[ID],0))&amp;"","")</f>
        <v/>
      </c>
      <c r="AC1378" s="21"/>
      <c r="AD1378" s="108" t="str">
        <f>INDEX(Tableau7[Repere],MATCH(Tableau3[[#This Row],[ID-API]],Tableau7[ID-API],0))&amp;""</f>
        <v>A9</v>
      </c>
      <c r="AE1378" s="108" t="str">
        <f>INDEX(Tableau1[Repere-Rack],MATCH(Tableau3[[#This Row],[ID-RACK]],Tableau1[ID-RACK],0))&amp;""</f>
        <v>R2</v>
      </c>
      <c r="AF1378" s="108" t="str">
        <f>INDEX(Tableau1[Repere-Slot],MATCH(Tableau3[[#This Row],[ID-SLOT]],Tableau1[ID-SLOT],0))&amp;""</f>
        <v>S7</v>
      </c>
      <c r="AG1378" s="108" t="str">
        <f>INDEX(Tableau2[Repere-Voie],MATCH(Tableau3[[#This Row],[ID-VOIE]],Tableau2[ID-Voie],0))&amp;""</f>
        <v>v0</v>
      </c>
      <c r="AH1378" s="72" t="str">
        <f>Tableau3[[#This Row],[ID-API]]&amp; "." &amp;Tableau3[[#This Row],[ID-RACK]]&amp; "." &amp;Tableau3[[#This Row],[ID-SLOT]]</f>
        <v>9.2.7</v>
      </c>
      <c r="AI1378" s="72" t="str">
        <f>INDEX(Tableau1[Ref-Carte],MATCH(Tableau3[[#This Row],[ID-RRS]],Tableau1[ID-RRS],0))</f>
        <v>SDI1602</v>
      </c>
      <c r="AJ1378" s="72" t="str">
        <f t="array" ref="AJ1378">IFERROR(INDEX(Tableau2[TS],MATCH(1,(Tableau2[Ref-Carte]=Tableau3[[#This Row],[Ref-Carte2]])*(Tableau2[ID-Voie]=Tableau3[[#This Row],[ID-VOIE]]),0)),"")</f>
        <v>ET</v>
      </c>
      <c r="AK1378" s="72" t="str">
        <f>IFERROR(INDEX(Tableau2[TS],SUMPRODUCT((Tableau2[Ref-Carte]=Tableau3[[#This Row],[Ref-Carte2]])*(Tableau2[ID-Voie]=Tableau3[[#This Row],[ID-VOIE]])*ROW(Tableau2[TS]))-ROW(Tableau2[#Headers])),"")</f>
        <v>ET</v>
      </c>
      <c r="AL1378" s="72" t="str">
        <f>Tableau3[[#This Row],[Ref-Carte2]]&amp;"/"&amp;Tableau3[[#This Row],[ID-VOIE]]</f>
        <v>SDI1602/0</v>
      </c>
      <c r="AM1378" s="73" t="str">
        <f>INDEX(Tableau2[Borne],MATCH(Tableau3[[#This Row],[ID-CARTEVOIE]],Tableau2[ID-CARTEVOIE],0))&amp;""</f>
        <v>0B</v>
      </c>
      <c r="AN1378" s="74" t="str">
        <f>Tableau3[[#This Row],[ID-API]]&amp;Tableau3[[#This Row],[ID-RACK]]&amp;Tableau3[[#This Row],[ID-SLOT]]&amp;Tableau3[[#This Row],[BORNE]]</f>
        <v>9270B</v>
      </c>
      <c r="AO1378" s="1"/>
    </row>
    <row r="1379" spans="1:41" ht="20.100000000000001" customHeight="1" thickTop="1" thickBot="1">
      <c r="A1379" s="68"/>
      <c r="B1379" s="69" t="str">
        <f>IFERROR(INDEX(Tableau4[Date],MATCH($A1379,Tableau4[EVO],0)),"")</f>
        <v/>
      </c>
      <c r="C1379" s="68" t="str">
        <f>IFERROR(INDEX(Tableau4[Designation],MATCH($A1379,Tableau4[EVO],0)),"")</f>
        <v/>
      </c>
      <c r="D1379" s="68"/>
      <c r="E1379" s="70">
        <v>419</v>
      </c>
      <c r="F1379" s="71">
        <v>3</v>
      </c>
      <c r="G1379" s="101" t="str">
        <f>INDEX(Tableau8[Att1],MATCH(Tableau3[[#This Row],[ID-INS]],Tableau8[ID],0))&amp;""</f>
        <v>B22</v>
      </c>
      <c r="H1379" s="101" t="str">
        <f>INDEX(Tableau8[Att2],MATCH(Tableau3[[#This Row],[ID-INS]],Tableau8[ID],0))&amp;""</f>
        <v>PPH33</v>
      </c>
      <c r="I1379" s="101" t="str">
        <f>INDEX(Tableau8[Att3],MATCH(Tableau3[[#This Row],[ID-INS]],Tableau8[ID],0))&amp;""</f>
        <v>Alarme rideau métallique RM2 ouvert</v>
      </c>
      <c r="J1379" s="101"/>
      <c r="K1379" s="167" t="str">
        <f>INDEX(Tableau8[Nom du modele],MATCH(Tableau3[[#This Row],[ID-INS]],Tableau8[ID],0))&amp;""</f>
        <v>E_Divers</v>
      </c>
      <c r="L1379" s="99" t="str">
        <f>INDEX(Tableau5[Att1],MATCH(Tableau3[[#This Row],[ID-SIG]],Tableau5[ID],0))&amp;""</f>
        <v>C1</v>
      </c>
      <c r="M1379" s="99" t="str">
        <f>INDEX(Tableau5[Att2],MATCH(Tableau3[[#This Row],[ID-SIG]],Tableau5[ID],0))&amp;""</f>
        <v/>
      </c>
      <c r="N1379" s="99" t="str">
        <f>INDEX(Tableau5[Att3],MATCH(Tableau3[[#This Row],[ID-SIG]],Tableau5[ID],0))&amp;""</f>
        <v/>
      </c>
      <c r="O1379" s="99"/>
      <c r="P1379" s="99" t="str">
        <f>INDEX(Tableau5[Description],MATCH(Tableau3[[#This Row],[ID-SIG]],Tableau5[ID],0))</f>
        <v>Contact</v>
      </c>
      <c r="Q1379" s="99"/>
      <c r="R1379" s="103" t="str">
        <f>Tableau3[[#This Row],[Description]]</f>
        <v>Contact</v>
      </c>
      <c r="U1379" s="87">
        <v>9</v>
      </c>
      <c r="V1379" s="87">
        <v>2</v>
      </c>
      <c r="W1379" s="87">
        <v>7</v>
      </c>
      <c r="X1379" s="87">
        <v>1</v>
      </c>
      <c r="Y1379" s="40"/>
      <c r="Z1379" s="165" t="str">
        <f>INDEX(Tableau2[TS],MATCH(Tableau3[[#This Row],[ID-CARTEVOIE]],Tableau2[ID-CARTEVOIE],0))</f>
        <v>ET</v>
      </c>
      <c r="AA1379" s="53" t="s">
        <v>213</v>
      </c>
      <c r="AB1379" s="223" t="str">
        <f>IFERROR(INDEX(Tableau5[Reserve],MATCH(Tableau3[[#This Row],[ID-SIG]],Tableau5[ID],0))&amp;"","")</f>
        <v/>
      </c>
      <c r="AC1379" s="21"/>
      <c r="AD1379" s="108" t="str">
        <f>INDEX(Tableau7[Repere],MATCH(Tableau3[[#This Row],[ID-API]],Tableau7[ID-API],0))&amp;""</f>
        <v>A9</v>
      </c>
      <c r="AE1379" s="108" t="str">
        <f>INDEX(Tableau1[Repere-Rack],MATCH(Tableau3[[#This Row],[ID-RACK]],Tableau1[ID-RACK],0))&amp;""</f>
        <v>R2</v>
      </c>
      <c r="AF1379" s="108" t="str">
        <f>INDEX(Tableau1[Repere-Slot],MATCH(Tableau3[[#This Row],[ID-SLOT]],Tableau1[ID-SLOT],0))&amp;""</f>
        <v>S7</v>
      </c>
      <c r="AG1379" s="108" t="str">
        <f>INDEX(Tableau2[Repere-Voie],MATCH(Tableau3[[#This Row],[ID-VOIE]],Tableau2[ID-Voie],0))&amp;""</f>
        <v>v1</v>
      </c>
      <c r="AH1379" s="72" t="str">
        <f>Tableau3[[#This Row],[ID-API]]&amp; "." &amp;Tableau3[[#This Row],[ID-RACK]]&amp; "." &amp;Tableau3[[#This Row],[ID-SLOT]]</f>
        <v>9.2.7</v>
      </c>
      <c r="AI1379" s="72" t="str">
        <f>INDEX(Tableau1[Ref-Carte],MATCH(Tableau3[[#This Row],[ID-RRS]],Tableau1[ID-RRS],0))</f>
        <v>SDI1602</v>
      </c>
      <c r="AJ1379" s="72" t="str">
        <f t="array" ref="AJ1379">IFERROR(INDEX(Tableau2[TS],MATCH(1,(Tableau2[Ref-Carte]=Tableau3[[#This Row],[Ref-Carte2]])*(Tableau2[ID-Voie]=Tableau3[[#This Row],[ID-VOIE]]),0)),"")</f>
        <v>ET</v>
      </c>
      <c r="AK1379" s="72" t="str">
        <f>IFERROR(INDEX(Tableau2[TS],SUMPRODUCT((Tableau2[Ref-Carte]=Tableau3[[#This Row],[Ref-Carte2]])*(Tableau2[ID-Voie]=Tableau3[[#This Row],[ID-VOIE]])*ROW(Tableau2[TS]))-ROW(Tableau2[#Headers])),"")</f>
        <v>ET</v>
      </c>
      <c r="AL1379" s="72" t="str">
        <f>Tableau3[[#This Row],[Ref-Carte2]]&amp;"/"&amp;Tableau3[[#This Row],[ID-VOIE]]</f>
        <v>SDI1602/1</v>
      </c>
      <c r="AM1379" s="73" t="str">
        <f>INDEX(Tableau2[Borne],MATCH(Tableau3[[#This Row],[ID-CARTEVOIE]],Tableau2[ID-CARTEVOIE],0))&amp;""</f>
        <v>0A</v>
      </c>
      <c r="AN1379" s="74" t="str">
        <f>Tableau3[[#This Row],[ID-API]]&amp;Tableau3[[#This Row],[ID-RACK]]&amp;Tableau3[[#This Row],[ID-SLOT]]&amp;Tableau3[[#This Row],[BORNE]]</f>
        <v>9270A</v>
      </c>
      <c r="AO1379" s="1"/>
    </row>
    <row r="1380" spans="1:41" ht="20.100000000000001" customHeight="1" thickTop="1" thickBot="1">
      <c r="A1380" s="68"/>
      <c r="B1380" s="69" t="str">
        <f>IFERROR(INDEX(Tableau4[Date],MATCH($A1380,Tableau4[EVO],0)),"")</f>
        <v/>
      </c>
      <c r="C1380" s="68" t="str">
        <f>IFERROR(INDEX(Tableau4[Designation],MATCH($A1380,Tableau4[EVO],0)),"")</f>
        <v/>
      </c>
      <c r="D1380" s="68"/>
      <c r="E1380" s="70">
        <v>420</v>
      </c>
      <c r="F1380" s="71">
        <v>3</v>
      </c>
      <c r="G1380" s="101" t="str">
        <f>INDEX(Tableau8[Att1],MATCH(Tableau3[[#This Row],[ID-INS]],Tableau8[ID],0))&amp;""</f>
        <v>B22</v>
      </c>
      <c r="H1380" s="101" t="str">
        <f>INDEX(Tableau8[Att2],MATCH(Tableau3[[#This Row],[ID-INS]],Tableau8[ID],0))&amp;""</f>
        <v>PPH34</v>
      </c>
      <c r="I1380" s="101" t="str">
        <f>INDEX(Tableau8[Att3],MATCH(Tableau3[[#This Row],[ID-INS]],Tableau8[ID],0))&amp;""</f>
        <v>Fraude rideau métallique RM2</v>
      </c>
      <c r="J1380" s="101"/>
      <c r="K1380" s="167" t="str">
        <f>INDEX(Tableau8[Nom du modele],MATCH(Tableau3[[#This Row],[ID-INS]],Tableau8[ID],0))&amp;""</f>
        <v>E_Divers</v>
      </c>
      <c r="L1380" s="99" t="str">
        <f>INDEX(Tableau5[Att1],MATCH(Tableau3[[#This Row],[ID-SIG]],Tableau5[ID],0))&amp;""</f>
        <v>C1</v>
      </c>
      <c r="M1380" s="99" t="str">
        <f>INDEX(Tableau5[Att2],MATCH(Tableau3[[#This Row],[ID-SIG]],Tableau5[ID],0))&amp;""</f>
        <v/>
      </c>
      <c r="N1380" s="99" t="str">
        <f>INDEX(Tableau5[Att3],MATCH(Tableau3[[#This Row],[ID-SIG]],Tableau5[ID],0))&amp;""</f>
        <v/>
      </c>
      <c r="O1380" s="99"/>
      <c r="P1380" s="99" t="str">
        <f>INDEX(Tableau5[Description],MATCH(Tableau3[[#This Row],[ID-SIG]],Tableau5[ID],0))</f>
        <v>Contact</v>
      </c>
      <c r="Q1380" s="99"/>
      <c r="R1380" s="103" t="str">
        <f>Tableau3[[#This Row],[Description]]</f>
        <v>Contact</v>
      </c>
      <c r="U1380" s="87">
        <v>9</v>
      </c>
      <c r="V1380" s="87">
        <v>2</v>
      </c>
      <c r="W1380" s="87">
        <v>7</v>
      </c>
      <c r="X1380" s="87">
        <v>2</v>
      </c>
      <c r="Y1380" s="40"/>
      <c r="Z1380" s="165" t="str">
        <f>INDEX(Tableau2[TS],MATCH(Tableau3[[#This Row],[ID-CARTEVOIE]],Tableau2[ID-CARTEVOIE],0))</f>
        <v>ET</v>
      </c>
      <c r="AA1380" s="53" t="s">
        <v>213</v>
      </c>
      <c r="AB1380" s="223" t="str">
        <f>IFERROR(INDEX(Tableau5[Reserve],MATCH(Tableau3[[#This Row],[ID-SIG]],Tableau5[ID],0))&amp;"","")</f>
        <v/>
      </c>
      <c r="AC1380" s="21"/>
      <c r="AD1380" s="108" t="str">
        <f>INDEX(Tableau7[Repere],MATCH(Tableau3[[#This Row],[ID-API]],Tableau7[ID-API],0))&amp;""</f>
        <v>A9</v>
      </c>
      <c r="AE1380" s="108" t="str">
        <f>INDEX(Tableau1[Repere-Rack],MATCH(Tableau3[[#This Row],[ID-RACK]],Tableau1[ID-RACK],0))&amp;""</f>
        <v>R2</v>
      </c>
      <c r="AF1380" s="108" t="str">
        <f>INDEX(Tableau1[Repere-Slot],MATCH(Tableau3[[#This Row],[ID-SLOT]],Tableau1[ID-SLOT],0))&amp;""</f>
        <v>S7</v>
      </c>
      <c r="AG1380" s="108" t="str">
        <f>INDEX(Tableau2[Repere-Voie],MATCH(Tableau3[[#This Row],[ID-VOIE]],Tableau2[ID-Voie],0))&amp;""</f>
        <v>v2</v>
      </c>
      <c r="AH1380" s="72" t="str">
        <f>Tableau3[[#This Row],[ID-API]]&amp; "." &amp;Tableau3[[#This Row],[ID-RACK]]&amp; "." &amp;Tableau3[[#This Row],[ID-SLOT]]</f>
        <v>9.2.7</v>
      </c>
      <c r="AI1380" s="72" t="str">
        <f>INDEX(Tableau1[Ref-Carte],MATCH(Tableau3[[#This Row],[ID-RRS]],Tableau1[ID-RRS],0))</f>
        <v>SDI1602</v>
      </c>
      <c r="AJ1380" s="72" t="str">
        <f t="array" ref="AJ1380">IFERROR(INDEX(Tableau2[TS],MATCH(1,(Tableau2[Ref-Carte]=Tableau3[[#This Row],[Ref-Carte2]])*(Tableau2[ID-Voie]=Tableau3[[#This Row],[ID-VOIE]]),0)),"")</f>
        <v>ET</v>
      </c>
      <c r="AK1380" s="72" t="str">
        <f>IFERROR(INDEX(Tableau2[TS],SUMPRODUCT((Tableau2[Ref-Carte]=Tableau3[[#This Row],[Ref-Carte2]])*(Tableau2[ID-Voie]=Tableau3[[#This Row],[ID-VOIE]])*ROW(Tableau2[TS]))-ROW(Tableau2[#Headers])),"")</f>
        <v>ET</v>
      </c>
      <c r="AL1380" s="72" t="str">
        <f>Tableau3[[#This Row],[Ref-Carte2]]&amp;"/"&amp;Tableau3[[#This Row],[ID-VOIE]]</f>
        <v>SDI1602/2</v>
      </c>
      <c r="AM1380" s="73" t="str">
        <f>INDEX(Tableau2[Borne],MATCH(Tableau3[[#This Row],[ID-CARTEVOIE]],Tableau2[ID-CARTEVOIE],0))&amp;""</f>
        <v>1B</v>
      </c>
      <c r="AN1380" s="74" t="str">
        <f>Tableau3[[#This Row],[ID-API]]&amp;Tableau3[[#This Row],[ID-RACK]]&amp;Tableau3[[#This Row],[ID-SLOT]]&amp;Tableau3[[#This Row],[BORNE]]</f>
        <v>9271B</v>
      </c>
      <c r="AO1380" s="1"/>
    </row>
    <row r="1381" spans="1:41" ht="20.100000000000001" customHeight="1" thickTop="1" thickBot="1">
      <c r="A1381" s="68"/>
      <c r="B1381" s="69" t="str">
        <f>IFERROR(INDEX(Tableau4[Date],MATCH($A1381,Tableau4[EVO],0)),"")</f>
        <v/>
      </c>
      <c r="C1381" s="68" t="str">
        <f>IFERROR(INDEX(Tableau4[Designation],MATCH($A1381,Tableau4[EVO],0)),"")</f>
        <v/>
      </c>
      <c r="D1381" s="68"/>
      <c r="E1381" s="70">
        <v>421</v>
      </c>
      <c r="F1381" s="71">
        <v>3</v>
      </c>
      <c r="G1381" s="101" t="str">
        <f>INDEX(Tableau8[Att1],MATCH(Tableau3[[#This Row],[ID-INS]],Tableau8[ID],0))&amp;""</f>
        <v>B22</v>
      </c>
      <c r="H1381" s="101" t="str">
        <f>INDEX(Tableau8[Att2],MATCH(Tableau3[[#This Row],[ID-INS]],Tableau8[ID],0))&amp;""</f>
        <v>TECH11</v>
      </c>
      <c r="I1381" s="101" t="str">
        <f>INDEX(Tableau8[Att3],MATCH(Tableau3[[#This Row],[ID-INS]],Tableau8[ID],0))&amp;""</f>
        <v>Onduleur CADAM B22 sur batterie</v>
      </c>
      <c r="J1381" s="101"/>
      <c r="K1381" s="167" t="str">
        <f>INDEX(Tableau8[Nom du modele],MATCH(Tableau3[[#This Row],[ID-INS]],Tableau8[ID],0))&amp;""</f>
        <v>E_Divers</v>
      </c>
      <c r="L1381" s="99" t="str">
        <f>INDEX(Tableau5[Att1],MATCH(Tableau3[[#This Row],[ID-SIG]],Tableau5[ID],0))&amp;""</f>
        <v>C1</v>
      </c>
      <c r="M1381" s="99" t="str">
        <f>INDEX(Tableau5[Att2],MATCH(Tableau3[[#This Row],[ID-SIG]],Tableau5[ID],0))&amp;""</f>
        <v/>
      </c>
      <c r="N1381" s="99" t="str">
        <f>INDEX(Tableau5[Att3],MATCH(Tableau3[[#This Row],[ID-SIG]],Tableau5[ID],0))&amp;""</f>
        <v/>
      </c>
      <c r="O1381" s="99"/>
      <c r="P1381" s="99" t="str">
        <f>INDEX(Tableau5[Description],MATCH(Tableau3[[#This Row],[ID-SIG]],Tableau5[ID],0))</f>
        <v>Contact</v>
      </c>
      <c r="Q1381" s="99"/>
      <c r="R1381" s="103" t="str">
        <f>Tableau3[[#This Row],[Description]]</f>
        <v>Contact</v>
      </c>
      <c r="U1381" s="87">
        <v>9</v>
      </c>
      <c r="V1381" s="87">
        <v>2</v>
      </c>
      <c r="W1381" s="87">
        <v>7</v>
      </c>
      <c r="X1381" s="87">
        <v>3</v>
      </c>
      <c r="Y1381" s="40"/>
      <c r="Z1381" s="165" t="str">
        <f>INDEX(Tableau2[TS],MATCH(Tableau3[[#This Row],[ID-CARTEVOIE]],Tableau2[ID-CARTEVOIE],0))</f>
        <v>ET</v>
      </c>
      <c r="AA1381" s="53" t="s">
        <v>213</v>
      </c>
      <c r="AB1381" s="223" t="str">
        <f>IFERROR(INDEX(Tableau5[Reserve],MATCH(Tableau3[[#This Row],[ID-SIG]],Tableau5[ID],0))&amp;"","")</f>
        <v/>
      </c>
      <c r="AC1381" s="21"/>
      <c r="AD1381" s="108" t="str">
        <f>INDEX(Tableau7[Repere],MATCH(Tableau3[[#This Row],[ID-API]],Tableau7[ID-API],0))&amp;""</f>
        <v>A9</v>
      </c>
      <c r="AE1381" s="108" t="str">
        <f>INDEX(Tableau1[Repere-Rack],MATCH(Tableau3[[#This Row],[ID-RACK]],Tableau1[ID-RACK],0))&amp;""</f>
        <v>R2</v>
      </c>
      <c r="AF1381" s="108" t="str">
        <f>INDEX(Tableau1[Repere-Slot],MATCH(Tableau3[[#This Row],[ID-SLOT]],Tableau1[ID-SLOT],0))&amp;""</f>
        <v>S7</v>
      </c>
      <c r="AG1381" s="108" t="str">
        <f>INDEX(Tableau2[Repere-Voie],MATCH(Tableau3[[#This Row],[ID-VOIE]],Tableau2[ID-Voie],0))&amp;""</f>
        <v>v3</v>
      </c>
      <c r="AH1381" s="72" t="str">
        <f>Tableau3[[#This Row],[ID-API]]&amp; "." &amp;Tableau3[[#This Row],[ID-RACK]]&amp; "." &amp;Tableau3[[#This Row],[ID-SLOT]]</f>
        <v>9.2.7</v>
      </c>
      <c r="AI1381" s="72" t="str">
        <f>INDEX(Tableau1[Ref-Carte],MATCH(Tableau3[[#This Row],[ID-RRS]],Tableau1[ID-RRS],0))</f>
        <v>SDI1602</v>
      </c>
      <c r="AJ1381" s="72" t="str">
        <f t="array" ref="AJ1381">IFERROR(INDEX(Tableau2[TS],MATCH(1,(Tableau2[Ref-Carte]=Tableau3[[#This Row],[Ref-Carte2]])*(Tableau2[ID-Voie]=Tableau3[[#This Row],[ID-VOIE]]),0)),"")</f>
        <v>ET</v>
      </c>
      <c r="AK1381" s="72" t="str">
        <f>IFERROR(INDEX(Tableau2[TS],SUMPRODUCT((Tableau2[Ref-Carte]=Tableau3[[#This Row],[Ref-Carte2]])*(Tableau2[ID-Voie]=Tableau3[[#This Row],[ID-VOIE]])*ROW(Tableau2[TS]))-ROW(Tableau2[#Headers])),"")</f>
        <v>ET</v>
      </c>
      <c r="AL1381" s="72" t="str">
        <f>Tableau3[[#This Row],[Ref-Carte2]]&amp;"/"&amp;Tableau3[[#This Row],[ID-VOIE]]</f>
        <v>SDI1602/3</v>
      </c>
      <c r="AM1381" s="73" t="str">
        <f>INDEX(Tableau2[Borne],MATCH(Tableau3[[#This Row],[ID-CARTEVOIE]],Tableau2[ID-CARTEVOIE],0))&amp;""</f>
        <v>1A</v>
      </c>
      <c r="AN1381" s="74" t="str">
        <f>Tableau3[[#This Row],[ID-API]]&amp;Tableau3[[#This Row],[ID-RACK]]&amp;Tableau3[[#This Row],[ID-SLOT]]&amp;Tableau3[[#This Row],[BORNE]]</f>
        <v>9271A</v>
      </c>
      <c r="AO1381" s="1"/>
    </row>
    <row r="1382" spans="1:41" ht="20.100000000000001" customHeight="1" thickTop="1" thickBot="1">
      <c r="A1382" s="68"/>
      <c r="B1382" s="69" t="str">
        <f>IFERROR(INDEX(Tableau4[Date],MATCH($A1382,Tableau4[EVO],0)),"")</f>
        <v/>
      </c>
      <c r="C1382" s="68" t="str">
        <f>IFERROR(INDEX(Tableau4[Designation],MATCH($A1382,Tableau4[EVO],0)),"")</f>
        <v/>
      </c>
      <c r="D1382" s="68"/>
      <c r="E1382" s="70">
        <v>422</v>
      </c>
      <c r="F1382" s="71">
        <v>3</v>
      </c>
      <c r="G1382" s="101" t="str">
        <f>INDEX(Tableau8[Att1],MATCH(Tableau3[[#This Row],[ID-INS]],Tableau8[ID],0))&amp;""</f>
        <v>B22</v>
      </c>
      <c r="H1382" s="101" t="str">
        <f>INDEX(Tableau8[Att2],MATCH(Tableau3[[#This Row],[ID-INS]],Tableau8[ID],0))&amp;""</f>
        <v>TECH12</v>
      </c>
      <c r="I1382" s="101" t="str">
        <f>INDEX(Tableau8[Att3],MATCH(Tableau3[[#This Row],[ID-INS]],Tableau8[ID],0))&amp;""</f>
        <v>Défaut onduleur CADAM B22</v>
      </c>
      <c r="J1382" s="101"/>
      <c r="K1382" s="167" t="str">
        <f>INDEX(Tableau8[Nom du modele],MATCH(Tableau3[[#This Row],[ID-INS]],Tableau8[ID],0))&amp;""</f>
        <v>E_Divers</v>
      </c>
      <c r="L1382" s="99" t="str">
        <f>INDEX(Tableau5[Att1],MATCH(Tableau3[[#This Row],[ID-SIG]],Tableau5[ID],0))&amp;""</f>
        <v>C1</v>
      </c>
      <c r="M1382" s="99" t="str">
        <f>INDEX(Tableau5[Att2],MATCH(Tableau3[[#This Row],[ID-SIG]],Tableau5[ID],0))&amp;""</f>
        <v/>
      </c>
      <c r="N1382" s="99" t="str">
        <f>INDEX(Tableau5[Att3],MATCH(Tableau3[[#This Row],[ID-SIG]],Tableau5[ID],0))&amp;""</f>
        <v/>
      </c>
      <c r="O1382" s="99"/>
      <c r="P1382" s="99" t="str">
        <f>INDEX(Tableau5[Description],MATCH(Tableau3[[#This Row],[ID-SIG]],Tableau5[ID],0))</f>
        <v>Contact</v>
      </c>
      <c r="Q1382" s="99"/>
      <c r="R1382" s="103" t="str">
        <f>Tableau3[[#This Row],[Description]]</f>
        <v>Contact</v>
      </c>
      <c r="U1382" s="87">
        <v>9</v>
      </c>
      <c r="V1382" s="87">
        <v>2</v>
      </c>
      <c r="W1382" s="87">
        <v>7</v>
      </c>
      <c r="X1382" s="87">
        <v>4</v>
      </c>
      <c r="Y1382" s="40"/>
      <c r="Z1382" s="165" t="str">
        <f>INDEX(Tableau2[TS],MATCH(Tableau3[[#This Row],[ID-CARTEVOIE]],Tableau2[ID-CARTEVOIE],0))</f>
        <v>ET</v>
      </c>
      <c r="AA1382" s="53" t="s">
        <v>213</v>
      </c>
      <c r="AB1382" s="223" t="str">
        <f>IFERROR(INDEX(Tableau5[Reserve],MATCH(Tableau3[[#This Row],[ID-SIG]],Tableau5[ID],0))&amp;"","")</f>
        <v/>
      </c>
      <c r="AC1382" s="21"/>
      <c r="AD1382" s="108" t="str">
        <f>INDEX(Tableau7[Repere],MATCH(Tableau3[[#This Row],[ID-API]],Tableau7[ID-API],0))&amp;""</f>
        <v>A9</v>
      </c>
      <c r="AE1382" s="108" t="str">
        <f>INDEX(Tableau1[Repere-Rack],MATCH(Tableau3[[#This Row],[ID-RACK]],Tableau1[ID-RACK],0))&amp;""</f>
        <v>R2</v>
      </c>
      <c r="AF1382" s="108" t="str">
        <f>INDEX(Tableau1[Repere-Slot],MATCH(Tableau3[[#This Row],[ID-SLOT]],Tableau1[ID-SLOT],0))&amp;""</f>
        <v>S7</v>
      </c>
      <c r="AG1382" s="108" t="str">
        <f>INDEX(Tableau2[Repere-Voie],MATCH(Tableau3[[#This Row],[ID-VOIE]],Tableau2[ID-Voie],0))&amp;""</f>
        <v>v4</v>
      </c>
      <c r="AH1382" s="72" t="str">
        <f>Tableau3[[#This Row],[ID-API]]&amp; "." &amp;Tableau3[[#This Row],[ID-RACK]]&amp; "." &amp;Tableau3[[#This Row],[ID-SLOT]]</f>
        <v>9.2.7</v>
      </c>
      <c r="AI1382" s="72" t="str">
        <f>INDEX(Tableau1[Ref-Carte],MATCH(Tableau3[[#This Row],[ID-RRS]],Tableau1[ID-RRS],0))</f>
        <v>SDI1602</v>
      </c>
      <c r="AJ1382" s="72" t="str">
        <f t="array" ref="AJ1382">IFERROR(INDEX(Tableau2[TS],MATCH(1,(Tableau2[Ref-Carte]=Tableau3[[#This Row],[Ref-Carte2]])*(Tableau2[ID-Voie]=Tableau3[[#This Row],[ID-VOIE]]),0)),"")</f>
        <v>ET</v>
      </c>
      <c r="AK1382" s="72" t="str">
        <f>IFERROR(INDEX(Tableau2[TS],SUMPRODUCT((Tableau2[Ref-Carte]=Tableau3[[#This Row],[Ref-Carte2]])*(Tableau2[ID-Voie]=Tableau3[[#This Row],[ID-VOIE]])*ROW(Tableau2[TS]))-ROW(Tableau2[#Headers])),"")</f>
        <v>ET</v>
      </c>
      <c r="AL1382" s="72" t="str">
        <f>Tableau3[[#This Row],[Ref-Carte2]]&amp;"/"&amp;Tableau3[[#This Row],[ID-VOIE]]</f>
        <v>SDI1602/4</v>
      </c>
      <c r="AM1382" s="73" t="str">
        <f>INDEX(Tableau2[Borne],MATCH(Tableau3[[#This Row],[ID-CARTEVOIE]],Tableau2[ID-CARTEVOIE],0))&amp;""</f>
        <v>2B</v>
      </c>
      <c r="AN1382" s="74" t="str">
        <f>Tableau3[[#This Row],[ID-API]]&amp;Tableau3[[#This Row],[ID-RACK]]&amp;Tableau3[[#This Row],[ID-SLOT]]&amp;Tableau3[[#This Row],[BORNE]]</f>
        <v>9272B</v>
      </c>
      <c r="AO1382" s="1"/>
    </row>
    <row r="1383" spans="1:41" ht="20.100000000000001" customHeight="1" thickTop="1" thickBot="1">
      <c r="A1383" s="68"/>
      <c r="B1383" s="69" t="str">
        <f>IFERROR(INDEX(Tableau4[Date],MATCH($A1383,Tableau4[EVO],0)),"")</f>
        <v/>
      </c>
      <c r="C1383" s="68" t="str">
        <f>IFERROR(INDEX(Tableau4[Designation],MATCH($A1383,Tableau4[EVO],0)),"")</f>
        <v/>
      </c>
      <c r="D1383" s="68"/>
      <c r="E1383" s="70">
        <v>423</v>
      </c>
      <c r="F1383" s="71">
        <v>3</v>
      </c>
      <c r="G1383" s="101" t="str">
        <f>INDEX(Tableau8[Att1],MATCH(Tableau3[[#This Row],[ID-INS]],Tableau8[ID],0))&amp;""</f>
        <v>B22</v>
      </c>
      <c r="H1383" s="101" t="str">
        <f>INDEX(Tableau8[Att2],MATCH(Tableau3[[#This Row],[ID-INS]],Tableau8[ID],0))&amp;""</f>
        <v>PPH35</v>
      </c>
      <c r="I1383" s="101" t="str">
        <f>INDEX(Tableau8[Att3],MATCH(Tableau3[[#This Row],[ID-INS]],Tableau8[ID],0))&amp;""</f>
        <v>Ouverture baie S B22</v>
      </c>
      <c r="J1383" s="101"/>
      <c r="K1383" s="167" t="str">
        <f>INDEX(Tableau8[Nom du modele],MATCH(Tableau3[[#This Row],[ID-INS]],Tableau8[ID],0))&amp;""</f>
        <v>E_Divers</v>
      </c>
      <c r="L1383" s="99" t="str">
        <f>INDEX(Tableau5[Att1],MATCH(Tableau3[[#This Row],[ID-SIG]],Tableau5[ID],0))&amp;""</f>
        <v>C1</v>
      </c>
      <c r="M1383" s="99" t="str">
        <f>INDEX(Tableau5[Att2],MATCH(Tableau3[[#This Row],[ID-SIG]],Tableau5[ID],0))&amp;""</f>
        <v/>
      </c>
      <c r="N1383" s="99" t="str">
        <f>INDEX(Tableau5[Att3],MATCH(Tableau3[[#This Row],[ID-SIG]],Tableau5[ID],0))&amp;""</f>
        <v/>
      </c>
      <c r="O1383" s="99"/>
      <c r="P1383" s="99" t="str">
        <f>INDEX(Tableau5[Description],MATCH(Tableau3[[#This Row],[ID-SIG]],Tableau5[ID],0))</f>
        <v>Contact</v>
      </c>
      <c r="Q1383" s="99"/>
      <c r="R1383" s="103" t="str">
        <f>Tableau3[[#This Row],[Description]]</f>
        <v>Contact</v>
      </c>
      <c r="U1383" s="87">
        <v>9</v>
      </c>
      <c r="V1383" s="87">
        <v>2</v>
      </c>
      <c r="W1383" s="87">
        <v>7</v>
      </c>
      <c r="X1383" s="87">
        <v>5</v>
      </c>
      <c r="Y1383" s="40"/>
      <c r="Z1383" s="165" t="str">
        <f>INDEX(Tableau2[TS],MATCH(Tableau3[[#This Row],[ID-CARTEVOIE]],Tableau2[ID-CARTEVOIE],0))</f>
        <v>ET</v>
      </c>
      <c r="AA1383" s="53" t="s">
        <v>213</v>
      </c>
      <c r="AB1383" s="223" t="str">
        <f>IFERROR(INDEX(Tableau5[Reserve],MATCH(Tableau3[[#This Row],[ID-SIG]],Tableau5[ID],0))&amp;"","")</f>
        <v/>
      </c>
      <c r="AC1383" s="21"/>
      <c r="AD1383" s="108" t="str">
        <f>INDEX(Tableau7[Repere],MATCH(Tableau3[[#This Row],[ID-API]],Tableau7[ID-API],0))&amp;""</f>
        <v>A9</v>
      </c>
      <c r="AE1383" s="108" t="str">
        <f>INDEX(Tableau1[Repere-Rack],MATCH(Tableau3[[#This Row],[ID-RACK]],Tableau1[ID-RACK],0))&amp;""</f>
        <v>R2</v>
      </c>
      <c r="AF1383" s="108" t="str">
        <f>INDEX(Tableau1[Repere-Slot],MATCH(Tableau3[[#This Row],[ID-SLOT]],Tableau1[ID-SLOT],0))&amp;""</f>
        <v>S7</v>
      </c>
      <c r="AG1383" s="108" t="str">
        <f>INDEX(Tableau2[Repere-Voie],MATCH(Tableau3[[#This Row],[ID-VOIE]],Tableau2[ID-Voie],0))&amp;""</f>
        <v>v5</v>
      </c>
      <c r="AH1383" s="72" t="str">
        <f>Tableau3[[#This Row],[ID-API]]&amp; "." &amp;Tableau3[[#This Row],[ID-RACK]]&amp; "." &amp;Tableau3[[#This Row],[ID-SLOT]]</f>
        <v>9.2.7</v>
      </c>
      <c r="AI1383" s="72" t="str">
        <f>INDEX(Tableau1[Ref-Carte],MATCH(Tableau3[[#This Row],[ID-RRS]],Tableau1[ID-RRS],0))</f>
        <v>SDI1602</v>
      </c>
      <c r="AJ1383" s="72" t="str">
        <f t="array" ref="AJ1383">IFERROR(INDEX(Tableau2[TS],MATCH(1,(Tableau2[Ref-Carte]=Tableau3[[#This Row],[Ref-Carte2]])*(Tableau2[ID-Voie]=Tableau3[[#This Row],[ID-VOIE]]),0)),"")</f>
        <v>ET</v>
      </c>
      <c r="AK1383" s="72" t="str">
        <f>IFERROR(INDEX(Tableau2[TS],SUMPRODUCT((Tableau2[Ref-Carte]=Tableau3[[#This Row],[Ref-Carte2]])*(Tableau2[ID-Voie]=Tableau3[[#This Row],[ID-VOIE]])*ROW(Tableau2[TS]))-ROW(Tableau2[#Headers])),"")</f>
        <v>ET</v>
      </c>
      <c r="AL1383" s="72" t="str">
        <f>Tableau3[[#This Row],[Ref-Carte2]]&amp;"/"&amp;Tableau3[[#This Row],[ID-VOIE]]</f>
        <v>SDI1602/5</v>
      </c>
      <c r="AM1383" s="73" t="str">
        <f>INDEX(Tableau2[Borne],MATCH(Tableau3[[#This Row],[ID-CARTEVOIE]],Tableau2[ID-CARTEVOIE],0))&amp;""</f>
        <v>2A</v>
      </c>
      <c r="AN1383" s="74" t="str">
        <f>Tableau3[[#This Row],[ID-API]]&amp;Tableau3[[#This Row],[ID-RACK]]&amp;Tableau3[[#This Row],[ID-SLOT]]&amp;Tableau3[[#This Row],[BORNE]]</f>
        <v>9272A</v>
      </c>
      <c r="AO1383" s="1"/>
    </row>
    <row r="1384" spans="1:41" ht="20.100000000000001" customHeight="1" thickTop="1" thickBot="1">
      <c r="A1384" s="68"/>
      <c r="B1384" s="69" t="str">
        <f>IFERROR(INDEX(Tableau4[Date],MATCH($A1384,Tableau4[EVO],0)),"")</f>
        <v/>
      </c>
      <c r="C1384" s="68" t="str">
        <f>IFERROR(INDEX(Tableau4[Designation],MATCH($A1384,Tableau4[EVO],0)),"")</f>
        <v/>
      </c>
      <c r="D1384" s="68"/>
      <c r="E1384" s="70">
        <v>424</v>
      </c>
      <c r="F1384" s="71">
        <v>3</v>
      </c>
      <c r="G1384" s="101" t="str">
        <f>INDEX(Tableau8[Att1],MATCH(Tableau3[[#This Row],[ID-INS]],Tableau8[ID],0))&amp;""</f>
        <v>B22</v>
      </c>
      <c r="H1384" s="101" t="str">
        <f>INDEX(Tableau8[Att2],MATCH(Tableau3[[#This Row],[ID-INS]],Tableau8[ID],0))&amp;""</f>
        <v>PPH36</v>
      </c>
      <c r="I1384" s="101" t="str">
        <f>INDEX(Tableau8[Att3],MATCH(Tableau3[[#This Row],[ID-INS]],Tableau8[ID],0))&amp;""</f>
        <v>Ouverture baie RFSI B22</v>
      </c>
      <c r="J1384" s="101"/>
      <c r="K1384" s="167" t="str">
        <f>INDEX(Tableau8[Nom du modele],MATCH(Tableau3[[#This Row],[ID-INS]],Tableau8[ID],0))&amp;""</f>
        <v>E_Divers</v>
      </c>
      <c r="L1384" s="99" t="str">
        <f>INDEX(Tableau5[Att1],MATCH(Tableau3[[#This Row],[ID-SIG]],Tableau5[ID],0))&amp;""</f>
        <v>C1</v>
      </c>
      <c r="M1384" s="99" t="str">
        <f>INDEX(Tableau5[Att2],MATCH(Tableau3[[#This Row],[ID-SIG]],Tableau5[ID],0))&amp;""</f>
        <v/>
      </c>
      <c r="N1384" s="99" t="str">
        <f>INDEX(Tableau5[Att3],MATCH(Tableau3[[#This Row],[ID-SIG]],Tableau5[ID],0))&amp;""</f>
        <v/>
      </c>
      <c r="O1384" s="99"/>
      <c r="P1384" s="99" t="str">
        <f>INDEX(Tableau5[Description],MATCH(Tableau3[[#This Row],[ID-SIG]],Tableau5[ID],0))</f>
        <v>Contact</v>
      </c>
      <c r="Q1384" s="99"/>
      <c r="R1384" s="103" t="str">
        <f>Tableau3[[#This Row],[Description]]</f>
        <v>Contact</v>
      </c>
      <c r="U1384" s="87">
        <v>9</v>
      </c>
      <c r="V1384" s="87">
        <v>2</v>
      </c>
      <c r="W1384" s="87">
        <v>7</v>
      </c>
      <c r="X1384" s="87">
        <v>6</v>
      </c>
      <c r="Y1384" s="40"/>
      <c r="Z1384" s="165" t="str">
        <f>INDEX(Tableau2[TS],MATCH(Tableau3[[#This Row],[ID-CARTEVOIE]],Tableau2[ID-CARTEVOIE],0))</f>
        <v>ET</v>
      </c>
      <c r="AA1384" s="53" t="s">
        <v>213</v>
      </c>
      <c r="AB1384" s="223" t="str">
        <f>IFERROR(INDEX(Tableau5[Reserve],MATCH(Tableau3[[#This Row],[ID-SIG]],Tableau5[ID],0))&amp;"","")</f>
        <v/>
      </c>
      <c r="AC1384" s="21"/>
      <c r="AD1384" s="108" t="str">
        <f>INDEX(Tableau7[Repere],MATCH(Tableau3[[#This Row],[ID-API]],Tableau7[ID-API],0))&amp;""</f>
        <v>A9</v>
      </c>
      <c r="AE1384" s="108" t="str">
        <f>INDEX(Tableau1[Repere-Rack],MATCH(Tableau3[[#This Row],[ID-RACK]],Tableau1[ID-RACK],0))&amp;""</f>
        <v>R2</v>
      </c>
      <c r="AF1384" s="108" t="str">
        <f>INDEX(Tableau1[Repere-Slot],MATCH(Tableau3[[#This Row],[ID-SLOT]],Tableau1[ID-SLOT],0))&amp;""</f>
        <v>S7</v>
      </c>
      <c r="AG1384" s="108" t="str">
        <f>INDEX(Tableau2[Repere-Voie],MATCH(Tableau3[[#This Row],[ID-VOIE]],Tableau2[ID-Voie],0))&amp;""</f>
        <v>v6</v>
      </c>
      <c r="AH1384" s="72" t="str">
        <f>Tableau3[[#This Row],[ID-API]]&amp; "." &amp;Tableau3[[#This Row],[ID-RACK]]&amp; "." &amp;Tableau3[[#This Row],[ID-SLOT]]</f>
        <v>9.2.7</v>
      </c>
      <c r="AI1384" s="72" t="str">
        <f>INDEX(Tableau1[Ref-Carte],MATCH(Tableau3[[#This Row],[ID-RRS]],Tableau1[ID-RRS],0))</f>
        <v>SDI1602</v>
      </c>
      <c r="AJ1384" s="72" t="str">
        <f t="array" ref="AJ1384">IFERROR(INDEX(Tableau2[TS],MATCH(1,(Tableau2[Ref-Carte]=Tableau3[[#This Row],[Ref-Carte2]])*(Tableau2[ID-Voie]=Tableau3[[#This Row],[ID-VOIE]]),0)),"")</f>
        <v>ET</v>
      </c>
      <c r="AK1384" s="72" t="str">
        <f>IFERROR(INDEX(Tableau2[TS],SUMPRODUCT((Tableau2[Ref-Carte]=Tableau3[[#This Row],[Ref-Carte2]])*(Tableau2[ID-Voie]=Tableau3[[#This Row],[ID-VOIE]])*ROW(Tableau2[TS]))-ROW(Tableau2[#Headers])),"")</f>
        <v>ET</v>
      </c>
      <c r="AL1384" s="72" t="str">
        <f>Tableau3[[#This Row],[Ref-Carte2]]&amp;"/"&amp;Tableau3[[#This Row],[ID-VOIE]]</f>
        <v>SDI1602/6</v>
      </c>
      <c r="AM1384" s="73" t="str">
        <f>INDEX(Tableau2[Borne],MATCH(Tableau3[[#This Row],[ID-CARTEVOIE]],Tableau2[ID-CARTEVOIE],0))&amp;""</f>
        <v>3B</v>
      </c>
      <c r="AN1384" s="74" t="str">
        <f>Tableau3[[#This Row],[ID-API]]&amp;Tableau3[[#This Row],[ID-RACK]]&amp;Tableau3[[#This Row],[ID-SLOT]]&amp;Tableau3[[#This Row],[BORNE]]</f>
        <v>9273B</v>
      </c>
      <c r="AO1384" s="1"/>
    </row>
    <row r="1385" spans="1:41" ht="20.100000000000001" customHeight="1" thickTop="1" thickBot="1">
      <c r="A1385" s="68"/>
      <c r="B1385" s="69" t="str">
        <f>IFERROR(INDEX(Tableau4[Date],MATCH($A1385,Tableau4[EVO],0)),"")</f>
        <v/>
      </c>
      <c r="C1385" s="68" t="str">
        <f>IFERROR(INDEX(Tableau4[Designation],MATCH($A1385,Tableau4[EVO],0)),"")</f>
        <v/>
      </c>
      <c r="D1385" s="68"/>
      <c r="E1385" s="70">
        <v>425</v>
      </c>
      <c r="F1385" s="71">
        <v>3</v>
      </c>
      <c r="G1385" s="101" t="str">
        <f>INDEX(Tableau8[Att1],MATCH(Tableau3[[#This Row],[ID-INS]],Tableau8[ID],0))&amp;""</f>
        <v>B22</v>
      </c>
      <c r="H1385" s="101" t="str">
        <f>INDEX(Tableau8[Att2],MATCH(Tableau3[[#This Row],[ID-INS]],Tableau8[ID],0))&amp;""</f>
        <v>PPH37</v>
      </c>
      <c r="I1385" s="101" t="str">
        <f>INDEX(Tableau8[Att3],MATCH(Tableau3[[#This Row],[ID-INS]],Tableau8[ID],0))&amp;""</f>
        <v>Ouverture baie FO B22</v>
      </c>
      <c r="J1385" s="101"/>
      <c r="K1385" s="167" t="str">
        <f>INDEX(Tableau8[Nom du modele],MATCH(Tableau3[[#This Row],[ID-INS]],Tableau8[ID],0))&amp;""</f>
        <v>E_Divers</v>
      </c>
      <c r="L1385" s="99" t="str">
        <f>INDEX(Tableau5[Att1],MATCH(Tableau3[[#This Row],[ID-SIG]],Tableau5[ID],0))&amp;""</f>
        <v>C1</v>
      </c>
      <c r="M1385" s="99" t="str">
        <f>INDEX(Tableau5[Att2],MATCH(Tableau3[[#This Row],[ID-SIG]],Tableau5[ID],0))&amp;""</f>
        <v/>
      </c>
      <c r="N1385" s="99" t="str">
        <f>INDEX(Tableau5[Att3],MATCH(Tableau3[[#This Row],[ID-SIG]],Tableau5[ID],0))&amp;""</f>
        <v/>
      </c>
      <c r="O1385" s="99"/>
      <c r="P1385" s="99" t="str">
        <f>INDEX(Tableau5[Description],MATCH(Tableau3[[#This Row],[ID-SIG]],Tableau5[ID],0))</f>
        <v>Contact</v>
      </c>
      <c r="Q1385" s="99"/>
      <c r="R1385" s="103" t="str">
        <f>Tableau3[[#This Row],[Description]]</f>
        <v>Contact</v>
      </c>
      <c r="U1385" s="87">
        <v>9</v>
      </c>
      <c r="V1385" s="87">
        <v>2</v>
      </c>
      <c r="W1385" s="87">
        <v>7</v>
      </c>
      <c r="X1385" s="87">
        <v>7</v>
      </c>
      <c r="Y1385" s="40"/>
      <c r="Z1385" s="165" t="str">
        <f>INDEX(Tableau2[TS],MATCH(Tableau3[[#This Row],[ID-CARTEVOIE]],Tableau2[ID-CARTEVOIE],0))</f>
        <v>ET</v>
      </c>
      <c r="AA1385" s="53" t="s">
        <v>213</v>
      </c>
      <c r="AB1385" s="223" t="str">
        <f>IFERROR(INDEX(Tableau5[Reserve],MATCH(Tableau3[[#This Row],[ID-SIG]],Tableau5[ID],0))&amp;"","")</f>
        <v/>
      </c>
      <c r="AC1385" s="21"/>
      <c r="AD1385" s="108" t="str">
        <f>INDEX(Tableau7[Repere],MATCH(Tableau3[[#This Row],[ID-API]],Tableau7[ID-API],0))&amp;""</f>
        <v>A9</v>
      </c>
      <c r="AE1385" s="108" t="str">
        <f>INDEX(Tableau1[Repere-Rack],MATCH(Tableau3[[#This Row],[ID-RACK]],Tableau1[ID-RACK],0))&amp;""</f>
        <v>R2</v>
      </c>
      <c r="AF1385" s="108" t="str">
        <f>INDEX(Tableau1[Repere-Slot],MATCH(Tableau3[[#This Row],[ID-SLOT]],Tableau1[ID-SLOT],0))&amp;""</f>
        <v>S7</v>
      </c>
      <c r="AG1385" s="108" t="str">
        <f>INDEX(Tableau2[Repere-Voie],MATCH(Tableau3[[#This Row],[ID-VOIE]],Tableau2[ID-Voie],0))&amp;""</f>
        <v>v7</v>
      </c>
      <c r="AH1385" s="72" t="str">
        <f>Tableau3[[#This Row],[ID-API]]&amp; "." &amp;Tableau3[[#This Row],[ID-RACK]]&amp; "." &amp;Tableau3[[#This Row],[ID-SLOT]]</f>
        <v>9.2.7</v>
      </c>
      <c r="AI1385" s="72" t="str">
        <f>INDEX(Tableau1[Ref-Carte],MATCH(Tableau3[[#This Row],[ID-RRS]],Tableau1[ID-RRS],0))</f>
        <v>SDI1602</v>
      </c>
      <c r="AJ1385" s="72" t="str">
        <f t="array" ref="AJ1385">IFERROR(INDEX(Tableau2[TS],MATCH(1,(Tableau2[Ref-Carte]=Tableau3[[#This Row],[Ref-Carte2]])*(Tableau2[ID-Voie]=Tableau3[[#This Row],[ID-VOIE]]),0)),"")</f>
        <v>ET</v>
      </c>
      <c r="AK1385" s="72" t="str">
        <f>IFERROR(INDEX(Tableau2[TS],SUMPRODUCT((Tableau2[Ref-Carte]=Tableau3[[#This Row],[Ref-Carte2]])*(Tableau2[ID-Voie]=Tableau3[[#This Row],[ID-VOIE]])*ROW(Tableau2[TS]))-ROW(Tableau2[#Headers])),"")</f>
        <v>ET</v>
      </c>
      <c r="AL1385" s="72" t="str">
        <f>Tableau3[[#This Row],[Ref-Carte2]]&amp;"/"&amp;Tableau3[[#This Row],[ID-VOIE]]</f>
        <v>SDI1602/7</v>
      </c>
      <c r="AM1385" s="73" t="str">
        <f>INDEX(Tableau2[Borne],MATCH(Tableau3[[#This Row],[ID-CARTEVOIE]],Tableau2[ID-CARTEVOIE],0))&amp;""</f>
        <v>3A</v>
      </c>
      <c r="AN1385" s="74" t="str">
        <f>Tableau3[[#This Row],[ID-API]]&amp;Tableau3[[#This Row],[ID-RACK]]&amp;Tableau3[[#This Row],[ID-SLOT]]&amp;Tableau3[[#This Row],[BORNE]]</f>
        <v>9273A</v>
      </c>
      <c r="AO1385" s="1"/>
    </row>
    <row r="1386" spans="1:41" ht="20.100000000000001" customHeight="1" thickTop="1" thickBot="1">
      <c r="A1386" s="68"/>
      <c r="B1386" s="69" t="str">
        <f>IFERROR(INDEX(Tableau4[Date],MATCH($A1386,Tableau4[EVO],0)),"")</f>
        <v/>
      </c>
      <c r="C1386" s="68" t="str">
        <f>IFERROR(INDEX(Tableau4[Designation],MATCH($A1386,Tableau4[EVO],0)),"")</f>
        <v/>
      </c>
      <c r="D1386" s="68"/>
      <c r="E1386" s="70">
        <v>426</v>
      </c>
      <c r="F1386" s="71">
        <v>3</v>
      </c>
      <c r="G1386" s="101" t="str">
        <f>INDEX(Tableau8[Att1],MATCH(Tableau3[[#This Row],[ID-INS]],Tableau8[ID],0))&amp;""</f>
        <v>B22</v>
      </c>
      <c r="H1386" s="101" t="str">
        <f>INDEX(Tableau8[Att2],MATCH(Tableau3[[#This Row],[ID-INS]],Tableau8[ID],0))&amp;""</f>
        <v>PPH38</v>
      </c>
      <c r="I1386" s="101" t="str">
        <f>INDEX(Tableau8[Att3],MATCH(Tableau3[[#This Row],[ID-INS]],Tableau8[ID],0))&amp;""</f>
        <v>Ouverture baie RDO B22</v>
      </c>
      <c r="J1386" s="101"/>
      <c r="K1386" s="167" t="str">
        <f>INDEX(Tableau8[Nom du modele],MATCH(Tableau3[[#This Row],[ID-INS]],Tableau8[ID],0))&amp;""</f>
        <v>E_Divers</v>
      </c>
      <c r="L1386" s="99" t="str">
        <f>INDEX(Tableau5[Att1],MATCH(Tableau3[[#This Row],[ID-SIG]],Tableau5[ID],0))&amp;""</f>
        <v>C1</v>
      </c>
      <c r="M1386" s="99" t="str">
        <f>INDEX(Tableau5[Att2],MATCH(Tableau3[[#This Row],[ID-SIG]],Tableau5[ID],0))&amp;""</f>
        <v/>
      </c>
      <c r="N1386" s="99" t="str">
        <f>INDEX(Tableau5[Att3],MATCH(Tableau3[[#This Row],[ID-SIG]],Tableau5[ID],0))&amp;""</f>
        <v/>
      </c>
      <c r="O1386" s="99"/>
      <c r="P1386" s="99" t="str">
        <f>INDEX(Tableau5[Description],MATCH(Tableau3[[#This Row],[ID-SIG]],Tableau5[ID],0))</f>
        <v>Contact</v>
      </c>
      <c r="Q1386" s="99"/>
      <c r="R1386" s="103" t="str">
        <f>Tableau3[[#This Row],[Description]]</f>
        <v>Contact</v>
      </c>
      <c r="U1386" s="87">
        <v>9</v>
      </c>
      <c r="V1386" s="87">
        <v>2</v>
      </c>
      <c r="W1386" s="87">
        <v>7</v>
      </c>
      <c r="X1386" s="87">
        <v>8</v>
      </c>
      <c r="Y1386" s="40"/>
      <c r="Z1386" s="165" t="str">
        <f>INDEX(Tableau2[TS],MATCH(Tableau3[[#This Row],[ID-CARTEVOIE]],Tableau2[ID-CARTEVOIE],0))</f>
        <v>ET</v>
      </c>
      <c r="AA1386" s="53" t="s">
        <v>213</v>
      </c>
      <c r="AB1386" s="223" t="str">
        <f>IFERROR(INDEX(Tableau5[Reserve],MATCH(Tableau3[[#This Row],[ID-SIG]],Tableau5[ID],0))&amp;"","")</f>
        <v/>
      </c>
      <c r="AC1386" s="21"/>
      <c r="AD1386" s="108" t="str">
        <f>INDEX(Tableau7[Repere],MATCH(Tableau3[[#This Row],[ID-API]],Tableau7[ID-API],0))&amp;""</f>
        <v>A9</v>
      </c>
      <c r="AE1386" s="108" t="str">
        <f>INDEX(Tableau1[Repere-Rack],MATCH(Tableau3[[#This Row],[ID-RACK]],Tableau1[ID-RACK],0))&amp;""</f>
        <v>R2</v>
      </c>
      <c r="AF1386" s="108" t="str">
        <f>INDEX(Tableau1[Repere-Slot],MATCH(Tableau3[[#This Row],[ID-SLOT]],Tableau1[ID-SLOT],0))&amp;""</f>
        <v>S7</v>
      </c>
      <c r="AG1386" s="108" t="str">
        <f>INDEX(Tableau2[Repere-Voie],MATCH(Tableau3[[#This Row],[ID-VOIE]],Tableau2[ID-Voie],0))&amp;""</f>
        <v>v8</v>
      </c>
      <c r="AH1386" s="72" t="str">
        <f>Tableau3[[#This Row],[ID-API]]&amp; "." &amp;Tableau3[[#This Row],[ID-RACK]]&amp; "." &amp;Tableau3[[#This Row],[ID-SLOT]]</f>
        <v>9.2.7</v>
      </c>
      <c r="AI1386" s="72" t="str">
        <f>INDEX(Tableau1[Ref-Carte],MATCH(Tableau3[[#This Row],[ID-RRS]],Tableau1[ID-RRS],0))</f>
        <v>SDI1602</v>
      </c>
      <c r="AJ1386" s="72" t="str">
        <f t="array" ref="AJ1386">IFERROR(INDEX(Tableau2[TS],MATCH(1,(Tableau2[Ref-Carte]=Tableau3[[#This Row],[Ref-Carte2]])*(Tableau2[ID-Voie]=Tableau3[[#This Row],[ID-VOIE]]),0)),"")</f>
        <v>ET</v>
      </c>
      <c r="AK1386" s="72" t="str">
        <f>IFERROR(INDEX(Tableau2[TS],SUMPRODUCT((Tableau2[Ref-Carte]=Tableau3[[#This Row],[Ref-Carte2]])*(Tableau2[ID-Voie]=Tableau3[[#This Row],[ID-VOIE]])*ROW(Tableau2[TS]))-ROW(Tableau2[#Headers])),"")</f>
        <v>ET</v>
      </c>
      <c r="AL1386" s="72" t="str">
        <f>Tableau3[[#This Row],[Ref-Carte2]]&amp;"/"&amp;Tableau3[[#This Row],[ID-VOIE]]</f>
        <v>SDI1602/8</v>
      </c>
      <c r="AM1386" s="73" t="str">
        <f>INDEX(Tableau2[Borne],MATCH(Tableau3[[#This Row],[ID-CARTEVOIE]],Tableau2[ID-CARTEVOIE],0))&amp;""</f>
        <v>4B</v>
      </c>
      <c r="AN1386" s="74" t="str">
        <f>Tableau3[[#This Row],[ID-API]]&amp;Tableau3[[#This Row],[ID-RACK]]&amp;Tableau3[[#This Row],[ID-SLOT]]&amp;Tableau3[[#This Row],[BORNE]]</f>
        <v>9274B</v>
      </c>
      <c r="AO1386" s="1"/>
    </row>
    <row r="1387" spans="1:41" ht="20.100000000000001" customHeight="1" thickTop="1" thickBot="1">
      <c r="A1387" s="68"/>
      <c r="B1387" s="69" t="str">
        <f>IFERROR(INDEX(Tableau4[Date],MATCH($A1387,Tableau4[EVO],0)),"")</f>
        <v/>
      </c>
      <c r="C1387" s="68" t="str">
        <f>IFERROR(INDEX(Tableau4[Designation],MATCH($A1387,Tableau4[EVO],0)),"")</f>
        <v/>
      </c>
      <c r="D1387" s="68"/>
      <c r="E1387" s="70">
        <v>427</v>
      </c>
      <c r="F1387" s="71">
        <v>3</v>
      </c>
      <c r="G1387" s="101" t="str">
        <f>INDEX(Tableau8[Att1],MATCH(Tableau3[[#This Row],[ID-INS]],Tableau8[ID],0))&amp;""</f>
        <v>B22</v>
      </c>
      <c r="H1387" s="101" t="str">
        <f>INDEX(Tableau8[Att2],MATCH(Tableau3[[#This Row],[ID-INS]],Tableau8[ID],0))&amp;""</f>
        <v>PPH39</v>
      </c>
      <c r="I1387" s="101" t="str">
        <f>INDEX(Tableau8[Att3],MATCH(Tableau3[[#This Row],[ID-INS]],Tableau8[ID],0))&amp;""</f>
        <v>Ouverture baie interphone B22</v>
      </c>
      <c r="J1387" s="101"/>
      <c r="K1387" s="167" t="str">
        <f>INDEX(Tableau8[Nom du modele],MATCH(Tableau3[[#This Row],[ID-INS]],Tableau8[ID],0))&amp;""</f>
        <v>E_Divers</v>
      </c>
      <c r="L1387" s="99" t="str">
        <f>INDEX(Tableau5[Att1],MATCH(Tableau3[[#This Row],[ID-SIG]],Tableau5[ID],0))&amp;""</f>
        <v>C1</v>
      </c>
      <c r="M1387" s="99" t="str">
        <f>INDEX(Tableau5[Att2],MATCH(Tableau3[[#This Row],[ID-SIG]],Tableau5[ID],0))&amp;""</f>
        <v/>
      </c>
      <c r="N1387" s="99" t="str">
        <f>INDEX(Tableau5[Att3],MATCH(Tableau3[[#This Row],[ID-SIG]],Tableau5[ID],0))&amp;""</f>
        <v/>
      </c>
      <c r="O1387" s="99"/>
      <c r="P1387" s="99" t="str">
        <f>INDEX(Tableau5[Description],MATCH(Tableau3[[#This Row],[ID-SIG]],Tableau5[ID],0))</f>
        <v>Contact</v>
      </c>
      <c r="Q1387" s="99"/>
      <c r="R1387" s="103" t="str">
        <f>Tableau3[[#This Row],[Description]]</f>
        <v>Contact</v>
      </c>
      <c r="U1387" s="87">
        <v>9</v>
      </c>
      <c r="V1387" s="87">
        <v>2</v>
      </c>
      <c r="W1387" s="87">
        <v>7</v>
      </c>
      <c r="X1387" s="87">
        <v>9</v>
      </c>
      <c r="Y1387" s="40"/>
      <c r="Z1387" s="165" t="str">
        <f>INDEX(Tableau2[TS],MATCH(Tableau3[[#This Row],[ID-CARTEVOIE]],Tableau2[ID-CARTEVOIE],0))</f>
        <v>ET</v>
      </c>
      <c r="AA1387" s="53" t="s">
        <v>213</v>
      </c>
      <c r="AB1387" s="223" t="str">
        <f>IFERROR(INDEX(Tableau5[Reserve],MATCH(Tableau3[[#This Row],[ID-SIG]],Tableau5[ID],0))&amp;"","")</f>
        <v/>
      </c>
      <c r="AC1387" s="21"/>
      <c r="AD1387" s="108" t="str">
        <f>INDEX(Tableau7[Repere],MATCH(Tableau3[[#This Row],[ID-API]],Tableau7[ID-API],0))&amp;""</f>
        <v>A9</v>
      </c>
      <c r="AE1387" s="108" t="str">
        <f>INDEX(Tableau1[Repere-Rack],MATCH(Tableau3[[#This Row],[ID-RACK]],Tableau1[ID-RACK],0))&amp;""</f>
        <v>R2</v>
      </c>
      <c r="AF1387" s="108" t="str">
        <f>INDEX(Tableau1[Repere-Slot],MATCH(Tableau3[[#This Row],[ID-SLOT]],Tableau1[ID-SLOT],0))&amp;""</f>
        <v>S7</v>
      </c>
      <c r="AG1387" s="108" t="str">
        <f>INDEX(Tableau2[Repere-Voie],MATCH(Tableau3[[#This Row],[ID-VOIE]],Tableau2[ID-Voie],0))&amp;""</f>
        <v>v9</v>
      </c>
      <c r="AH1387" s="72" t="str">
        <f>Tableau3[[#This Row],[ID-API]]&amp; "." &amp;Tableau3[[#This Row],[ID-RACK]]&amp; "." &amp;Tableau3[[#This Row],[ID-SLOT]]</f>
        <v>9.2.7</v>
      </c>
      <c r="AI1387" s="72" t="str">
        <f>INDEX(Tableau1[Ref-Carte],MATCH(Tableau3[[#This Row],[ID-RRS]],Tableau1[ID-RRS],0))</f>
        <v>SDI1602</v>
      </c>
      <c r="AJ1387" s="72" t="str">
        <f t="array" ref="AJ1387">IFERROR(INDEX(Tableau2[TS],MATCH(1,(Tableau2[Ref-Carte]=Tableau3[[#This Row],[Ref-Carte2]])*(Tableau2[ID-Voie]=Tableau3[[#This Row],[ID-VOIE]]),0)),"")</f>
        <v>ET</v>
      </c>
      <c r="AK1387" s="72" t="str">
        <f>IFERROR(INDEX(Tableau2[TS],SUMPRODUCT((Tableau2[Ref-Carte]=Tableau3[[#This Row],[Ref-Carte2]])*(Tableau2[ID-Voie]=Tableau3[[#This Row],[ID-VOIE]])*ROW(Tableau2[TS]))-ROW(Tableau2[#Headers])),"")</f>
        <v>ET</v>
      </c>
      <c r="AL1387" s="72" t="str">
        <f>Tableau3[[#This Row],[Ref-Carte2]]&amp;"/"&amp;Tableau3[[#This Row],[ID-VOIE]]</f>
        <v>SDI1602/9</v>
      </c>
      <c r="AM1387" s="73" t="str">
        <f>INDEX(Tableau2[Borne],MATCH(Tableau3[[#This Row],[ID-CARTEVOIE]],Tableau2[ID-CARTEVOIE],0))&amp;""</f>
        <v>4A</v>
      </c>
      <c r="AN1387" s="74" t="str">
        <f>Tableau3[[#This Row],[ID-API]]&amp;Tableau3[[#This Row],[ID-RACK]]&amp;Tableau3[[#This Row],[ID-SLOT]]&amp;Tableau3[[#This Row],[BORNE]]</f>
        <v>9274A</v>
      </c>
      <c r="AO1387" s="1"/>
    </row>
    <row r="1388" spans="1:41" ht="20.100000000000001" customHeight="1" thickTop="1" thickBot="1">
      <c r="A1388" s="68"/>
      <c r="B1388" s="69" t="str">
        <f>IFERROR(INDEX(Tableau4[Date],MATCH($A1388,Tableau4[EVO],0)),"")</f>
        <v/>
      </c>
      <c r="C1388" s="68" t="str">
        <f>IFERROR(INDEX(Tableau4[Designation],MATCH($A1388,Tableau4[EVO],0)),"")</f>
        <v/>
      </c>
      <c r="D1388" s="68"/>
      <c r="E1388" s="70">
        <v>428</v>
      </c>
      <c r="F1388" s="71">
        <v>3</v>
      </c>
      <c r="G1388" s="101" t="str">
        <f>INDEX(Tableau8[Att1],MATCH(Tableau3[[#This Row],[ID-INS]],Tableau8[ID],0))&amp;""</f>
        <v>B22</v>
      </c>
      <c r="H1388" s="101" t="str">
        <f>INDEX(Tableau8[Att2],MATCH(Tableau3[[#This Row],[ID-INS]],Tableau8[ID],0))&amp;""</f>
        <v>PPH40</v>
      </c>
      <c r="I1388" s="101" t="str">
        <f>INDEX(Tableau8[Att3],MATCH(Tableau3[[#This Row],[ID-INS]],Tableau8[ID],0))&amp;""</f>
        <v>Ouverture baie téléphone B22</v>
      </c>
      <c r="J1388" s="101"/>
      <c r="K1388" s="167" t="str">
        <f>INDEX(Tableau8[Nom du modele],MATCH(Tableau3[[#This Row],[ID-INS]],Tableau8[ID],0))&amp;""</f>
        <v>E_Divers</v>
      </c>
      <c r="L1388" s="99" t="str">
        <f>INDEX(Tableau5[Att1],MATCH(Tableau3[[#This Row],[ID-SIG]],Tableau5[ID],0))&amp;""</f>
        <v>C1</v>
      </c>
      <c r="M1388" s="99" t="str">
        <f>INDEX(Tableau5[Att2],MATCH(Tableau3[[#This Row],[ID-SIG]],Tableau5[ID],0))&amp;""</f>
        <v/>
      </c>
      <c r="N1388" s="99" t="str">
        <f>INDEX(Tableau5[Att3],MATCH(Tableau3[[#This Row],[ID-SIG]],Tableau5[ID],0))&amp;""</f>
        <v/>
      </c>
      <c r="O1388" s="99"/>
      <c r="P1388" s="99" t="str">
        <f>INDEX(Tableau5[Description],MATCH(Tableau3[[#This Row],[ID-SIG]],Tableau5[ID],0))</f>
        <v>Contact</v>
      </c>
      <c r="Q1388" s="99"/>
      <c r="R1388" s="103" t="str">
        <f>Tableau3[[#This Row],[Description]]</f>
        <v>Contact</v>
      </c>
      <c r="U1388" s="87">
        <v>9</v>
      </c>
      <c r="V1388" s="87">
        <v>2</v>
      </c>
      <c r="W1388" s="87">
        <v>7</v>
      </c>
      <c r="X1388" s="87">
        <v>10</v>
      </c>
      <c r="Y1388" s="40"/>
      <c r="Z1388" s="165" t="str">
        <f>INDEX(Tableau2[TS],MATCH(Tableau3[[#This Row],[ID-CARTEVOIE]],Tableau2[ID-CARTEVOIE],0))</f>
        <v>ET</v>
      </c>
      <c r="AA1388" s="53" t="s">
        <v>213</v>
      </c>
      <c r="AB1388" s="223" t="str">
        <f>IFERROR(INDEX(Tableau5[Reserve],MATCH(Tableau3[[#This Row],[ID-SIG]],Tableau5[ID],0))&amp;"","")</f>
        <v/>
      </c>
      <c r="AC1388" s="21"/>
      <c r="AD1388" s="108" t="str">
        <f>INDEX(Tableau7[Repere],MATCH(Tableau3[[#This Row],[ID-API]],Tableau7[ID-API],0))&amp;""</f>
        <v>A9</v>
      </c>
      <c r="AE1388" s="108" t="str">
        <f>INDEX(Tableau1[Repere-Rack],MATCH(Tableau3[[#This Row],[ID-RACK]],Tableau1[ID-RACK],0))&amp;""</f>
        <v>R2</v>
      </c>
      <c r="AF1388" s="108" t="str">
        <f>INDEX(Tableau1[Repere-Slot],MATCH(Tableau3[[#This Row],[ID-SLOT]],Tableau1[ID-SLOT],0))&amp;""</f>
        <v>S7</v>
      </c>
      <c r="AG1388" s="108" t="str">
        <f>INDEX(Tableau2[Repere-Voie],MATCH(Tableau3[[#This Row],[ID-VOIE]],Tableau2[ID-Voie],0))&amp;""</f>
        <v>v10</v>
      </c>
      <c r="AH1388" s="72" t="str">
        <f>Tableau3[[#This Row],[ID-API]]&amp; "." &amp;Tableau3[[#This Row],[ID-RACK]]&amp; "." &amp;Tableau3[[#This Row],[ID-SLOT]]</f>
        <v>9.2.7</v>
      </c>
      <c r="AI1388" s="72" t="str">
        <f>INDEX(Tableau1[Ref-Carte],MATCH(Tableau3[[#This Row],[ID-RRS]],Tableau1[ID-RRS],0))</f>
        <v>SDI1602</v>
      </c>
      <c r="AJ1388" s="72" t="str">
        <f t="array" ref="AJ1388">IFERROR(INDEX(Tableau2[TS],MATCH(1,(Tableau2[Ref-Carte]=Tableau3[[#This Row],[Ref-Carte2]])*(Tableau2[ID-Voie]=Tableau3[[#This Row],[ID-VOIE]]),0)),"")</f>
        <v>ET</v>
      </c>
      <c r="AK1388" s="72" t="str">
        <f>IFERROR(INDEX(Tableau2[TS],SUMPRODUCT((Tableau2[Ref-Carte]=Tableau3[[#This Row],[Ref-Carte2]])*(Tableau2[ID-Voie]=Tableau3[[#This Row],[ID-VOIE]])*ROW(Tableau2[TS]))-ROW(Tableau2[#Headers])),"")</f>
        <v>ET</v>
      </c>
      <c r="AL1388" s="72" t="str">
        <f>Tableau3[[#This Row],[Ref-Carte2]]&amp;"/"&amp;Tableau3[[#This Row],[ID-VOIE]]</f>
        <v>SDI1602/10</v>
      </c>
      <c r="AM1388" s="73" t="str">
        <f>INDEX(Tableau2[Borne],MATCH(Tableau3[[#This Row],[ID-CARTEVOIE]],Tableau2[ID-CARTEVOIE],0))&amp;""</f>
        <v>5B</v>
      </c>
      <c r="AN1388" s="74" t="str">
        <f>Tableau3[[#This Row],[ID-API]]&amp;Tableau3[[#This Row],[ID-RACK]]&amp;Tableau3[[#This Row],[ID-SLOT]]&amp;Tableau3[[#This Row],[BORNE]]</f>
        <v>9275B</v>
      </c>
      <c r="AO1388" s="1"/>
    </row>
    <row r="1389" spans="1:41" ht="20.100000000000001" customHeight="1" thickTop="1" thickBot="1">
      <c r="A1389" s="110"/>
      <c r="B1389" s="111" t="str">
        <f>IFERROR(INDEX(Tableau4[Date],MATCH($A1389,Tableau4[EVO],0)),"")</f>
        <v/>
      </c>
      <c r="C1389" s="112" t="str">
        <f>IFERROR(INDEX(Tableau4[Designation],MATCH($A1389,Tableau4[EVO],0)),"")</f>
        <v/>
      </c>
      <c r="D1389" s="110"/>
      <c r="E1389" s="113"/>
      <c r="F1389" s="146"/>
      <c r="G1389" s="147" t="e">
        <f>INDEX(Tableau8[Att1],MATCH(Tableau3[[#This Row],[ID-INS]],Tableau8[ID],0))&amp;""</f>
        <v>#N/A</v>
      </c>
      <c r="H1389" s="147" t="s">
        <v>1794</v>
      </c>
      <c r="I1389" s="147" t="e">
        <f>INDEX(Tableau8[Att3],MATCH(Tableau3[[#This Row],[ID-INS]],Tableau8[ID],0))&amp;""</f>
        <v>#N/A</v>
      </c>
      <c r="J1389" s="148"/>
      <c r="K1389" s="167" t="e">
        <f>INDEX(Tableau8[Nom du modele],MATCH(Tableau3[[#This Row],[ID-INS]],Tableau8[ID],0))&amp;""</f>
        <v>#N/A</v>
      </c>
      <c r="L1389" s="149" t="s">
        <v>260</v>
      </c>
      <c r="M1389" s="149" t="e">
        <f>INDEX(Tableau5[Att2],MATCH(Tableau3[[#This Row],[ID-SIG]],Tableau5[ID],0))&amp;""</f>
        <v>#N/A</v>
      </c>
      <c r="N1389" s="149" t="e">
        <f>INDEX(Tableau5[Att3],MATCH(Tableau3[[#This Row],[ID-SIG]],Tableau5[ID],0))&amp;""</f>
        <v>#N/A</v>
      </c>
      <c r="O1389" s="150"/>
      <c r="P1389" s="149" t="s">
        <v>1799</v>
      </c>
      <c r="Q1389" s="150"/>
      <c r="R1389" s="117" t="str">
        <f>Tableau3[[#This Row],[Description]]</f>
        <v>Synthèse Défaut alimentation rack d'extension du RIO 9 - Défaut</v>
      </c>
      <c r="S1389" s="75"/>
      <c r="T1389" s="75"/>
      <c r="U1389" s="151">
        <v>9</v>
      </c>
      <c r="V1389" s="151">
        <v>2</v>
      </c>
      <c r="W1389" s="151">
        <v>7</v>
      </c>
      <c r="X1389" s="151">
        <v>11</v>
      </c>
      <c r="Y1389" s="40"/>
      <c r="Z1389" s="166" t="str">
        <f>INDEX(Tableau2[TS],MATCH(Tableau3[[#This Row],[ID-CARTEVOIE]],Tableau2[ID-CARTEVOIE],0))</f>
        <v>ET</v>
      </c>
      <c r="AA1389" s="81" t="s">
        <v>213</v>
      </c>
      <c r="AB1389" s="226" t="str">
        <f>IFERROR(INDEX(Tableau5[Reserve],MATCH(Tableau3[[#This Row],[ID-SIG]],Tableau5[ID],0))&amp;"","")</f>
        <v/>
      </c>
      <c r="AC1389" s="119" t="s">
        <v>1456</v>
      </c>
      <c r="AD1389" s="120" t="str">
        <f>INDEX(Tableau7[Repere],MATCH(Tableau3[[#This Row],[ID-API]],Tableau7[ID-API],0))&amp;""</f>
        <v>A9</v>
      </c>
      <c r="AE1389" s="121" t="str">
        <f>INDEX(Tableau1[Repere-Rack],MATCH(Tableau3[[#This Row],[ID-RACK]],Tableau1[ID-RACK],0))&amp;""</f>
        <v>R2</v>
      </c>
      <c r="AF1389" s="121" t="str">
        <f>INDEX(Tableau1[Repere-Slot],MATCH(Tableau3[[#This Row],[ID-SLOT]],Tableau1[ID-SLOT],0))&amp;""</f>
        <v>S7</v>
      </c>
      <c r="AG1389" s="121" t="str">
        <f>INDEX(Tableau2[Repere-Voie],MATCH(Tableau3[[#This Row],[ID-VOIE]],Tableau2[ID-Voie],0))&amp;""</f>
        <v>v11</v>
      </c>
      <c r="AH1389" s="122" t="str">
        <f>Tableau3[[#This Row],[ID-API]]&amp; "." &amp;Tableau3[[#This Row],[ID-RACK]]&amp; "." &amp;Tableau3[[#This Row],[ID-SLOT]]</f>
        <v>9.2.7</v>
      </c>
      <c r="AI1389" s="72" t="str">
        <f>INDEX(Tableau1[Ref-Carte],MATCH(Tableau3[[#This Row],[ID-RRS]],Tableau1[ID-RRS],0))</f>
        <v>SDI1602</v>
      </c>
      <c r="AJ1389" s="72" t="str">
        <f t="array" ref="AJ1389">IFERROR(INDEX(Tableau2[TS],MATCH(1,(Tableau2[Ref-Carte]=Tableau3[[#This Row],[Ref-Carte2]])*(Tableau2[ID-Voie]=Tableau3[[#This Row],[ID-VOIE]]),0)),"")</f>
        <v>ET</v>
      </c>
      <c r="AK1389" s="72" t="str">
        <f>IFERROR(INDEX(Tableau2[TS],SUMPRODUCT((Tableau2[Ref-Carte]=Tableau3[[#This Row],[Ref-Carte2]])*(Tableau2[ID-Voie]=Tableau3[[#This Row],[ID-VOIE]])*ROW(Tableau2[TS]))-ROW(Tableau2[#Headers])),"")</f>
        <v>ET</v>
      </c>
      <c r="AL1389" s="122" t="str">
        <f>Tableau3[[#This Row],[Ref-Carte2]]&amp;"/"&amp;Tableau3[[#This Row],[ID-VOIE]]</f>
        <v>SDI1602/11</v>
      </c>
      <c r="AM1389" s="123" t="str">
        <f>INDEX(Tableau2[Borne],MATCH(Tableau3[[#This Row],[ID-CARTEVOIE]],Tableau2[ID-CARTEVOIE],0))&amp;""</f>
        <v>5A</v>
      </c>
      <c r="AN1389" s="124" t="str">
        <f>Tableau3[[#This Row],[ID-API]]&amp;Tableau3[[#This Row],[ID-RACK]]&amp;Tableau3[[#This Row],[ID-SLOT]]&amp;Tableau3[[#This Row],[BORNE]]</f>
        <v>9275A</v>
      </c>
      <c r="AO1389" s="125"/>
    </row>
    <row r="1390" spans="1:41" ht="20.100000000000001" customHeight="1" thickTop="1" thickBot="1">
      <c r="A1390" s="110"/>
      <c r="B1390" s="111" t="str">
        <f>IFERROR(INDEX(Tableau4[Date],MATCH($A1390,Tableau4[EVO],0)),"")</f>
        <v/>
      </c>
      <c r="C1390" s="112" t="str">
        <f>IFERROR(INDEX(Tableau4[Designation],MATCH($A1390,Tableau4[EVO],0)),"")</f>
        <v/>
      </c>
      <c r="D1390" s="110"/>
      <c r="E1390" s="113"/>
      <c r="F1390" s="146"/>
      <c r="G1390" s="147" t="e">
        <f>INDEX(Tableau8[Att1],MATCH(Tableau3[[#This Row],[ID-INS]],Tableau8[ID],0))&amp;""</f>
        <v>#N/A</v>
      </c>
      <c r="H1390" s="147" t="s">
        <v>1795</v>
      </c>
      <c r="I1390" s="147" t="e">
        <f>INDEX(Tableau8[Att3],MATCH(Tableau3[[#This Row],[ID-INS]],Tableau8[ID],0))&amp;""</f>
        <v>#N/A</v>
      </c>
      <c r="J1390" s="148"/>
      <c r="K1390" s="167" t="e">
        <f>INDEX(Tableau8[Nom du modele],MATCH(Tableau3[[#This Row],[ID-INS]],Tableau8[ID],0))&amp;""</f>
        <v>#N/A</v>
      </c>
      <c r="L1390" s="149" t="s">
        <v>260</v>
      </c>
      <c r="M1390" s="149" t="e">
        <f>INDEX(Tableau5[Att2],MATCH(Tableau3[[#This Row],[ID-SIG]],Tableau5[ID],0))&amp;""</f>
        <v>#N/A</v>
      </c>
      <c r="N1390" s="149" t="e">
        <f>INDEX(Tableau5[Att3],MATCH(Tableau3[[#This Row],[ID-SIG]],Tableau5[ID],0))&amp;""</f>
        <v>#N/A</v>
      </c>
      <c r="O1390" s="150"/>
      <c r="P1390" s="149" t="s">
        <v>1800</v>
      </c>
      <c r="Q1390" s="150"/>
      <c r="R1390" s="117" t="str">
        <f>Tableau3[[#This Row],[Description]]</f>
        <v>Défaut alimentation B22</v>
      </c>
      <c r="S1390" s="75"/>
      <c r="T1390" s="75"/>
      <c r="U1390" s="151">
        <v>9</v>
      </c>
      <c r="V1390" s="151">
        <v>2</v>
      </c>
      <c r="W1390" s="151">
        <v>7</v>
      </c>
      <c r="X1390" s="151">
        <v>12</v>
      </c>
      <c r="Y1390" s="40"/>
      <c r="Z1390" s="166" t="str">
        <f>INDEX(Tableau2[TS],MATCH(Tableau3[[#This Row],[ID-CARTEVOIE]],Tableau2[ID-CARTEVOIE],0))</f>
        <v>ET</v>
      </c>
      <c r="AA1390" s="81" t="s">
        <v>213</v>
      </c>
      <c r="AB1390" s="226" t="str">
        <f>IFERROR(INDEX(Tableau5[Reserve],MATCH(Tableau3[[#This Row],[ID-SIG]],Tableau5[ID],0))&amp;"","")</f>
        <v/>
      </c>
      <c r="AC1390" s="119" t="s">
        <v>1456</v>
      </c>
      <c r="AD1390" s="120" t="str">
        <f>INDEX(Tableau7[Repere],MATCH(Tableau3[[#This Row],[ID-API]],Tableau7[ID-API],0))&amp;""</f>
        <v>A9</v>
      </c>
      <c r="AE1390" s="121" t="str">
        <f>INDEX(Tableau1[Repere-Rack],MATCH(Tableau3[[#This Row],[ID-RACK]],Tableau1[ID-RACK],0))&amp;""</f>
        <v>R2</v>
      </c>
      <c r="AF1390" s="121" t="str">
        <f>INDEX(Tableau1[Repere-Slot],MATCH(Tableau3[[#This Row],[ID-SLOT]],Tableau1[ID-SLOT],0))&amp;""</f>
        <v>S7</v>
      </c>
      <c r="AG1390" s="121" t="str">
        <f>INDEX(Tableau2[Repere-Voie],MATCH(Tableau3[[#This Row],[ID-VOIE]],Tableau2[ID-Voie],0))&amp;""</f>
        <v>v12</v>
      </c>
      <c r="AH1390" s="122" t="str">
        <f>Tableau3[[#This Row],[ID-API]]&amp; "." &amp;Tableau3[[#This Row],[ID-RACK]]&amp; "." &amp;Tableau3[[#This Row],[ID-SLOT]]</f>
        <v>9.2.7</v>
      </c>
      <c r="AI1390" s="72" t="str">
        <f>INDEX(Tableau1[Ref-Carte],MATCH(Tableau3[[#This Row],[ID-RRS]],Tableau1[ID-RRS],0))</f>
        <v>SDI1602</v>
      </c>
      <c r="AJ1390" s="72" t="str">
        <f t="array" ref="AJ1390">IFERROR(INDEX(Tableau2[TS],MATCH(1,(Tableau2[Ref-Carte]=Tableau3[[#This Row],[Ref-Carte2]])*(Tableau2[ID-Voie]=Tableau3[[#This Row],[ID-VOIE]]),0)),"")</f>
        <v>ET</v>
      </c>
      <c r="AK1390" s="72" t="str">
        <f>IFERROR(INDEX(Tableau2[TS],SUMPRODUCT((Tableau2[Ref-Carte]=Tableau3[[#This Row],[Ref-Carte2]])*(Tableau2[ID-Voie]=Tableau3[[#This Row],[ID-VOIE]])*ROW(Tableau2[TS]))-ROW(Tableau2[#Headers])),"")</f>
        <v>ET</v>
      </c>
      <c r="AL1390" s="122" t="str">
        <f>Tableau3[[#This Row],[Ref-Carte2]]&amp;"/"&amp;Tableau3[[#This Row],[ID-VOIE]]</f>
        <v>SDI1602/12</v>
      </c>
      <c r="AM1390" s="123" t="str">
        <f>INDEX(Tableau2[Borne],MATCH(Tableau3[[#This Row],[ID-CARTEVOIE]],Tableau2[ID-CARTEVOIE],0))&amp;""</f>
        <v>6B</v>
      </c>
      <c r="AN1390" s="124" t="str">
        <f>Tableau3[[#This Row],[ID-API]]&amp;Tableau3[[#This Row],[ID-RACK]]&amp;Tableau3[[#This Row],[ID-SLOT]]&amp;Tableau3[[#This Row],[BORNE]]</f>
        <v>9276B</v>
      </c>
      <c r="AO1390" s="125"/>
    </row>
    <row r="1391" spans="1:41" ht="20.100000000000001" customHeight="1" thickTop="1" thickBot="1">
      <c r="A1391" s="110"/>
      <c r="B1391" s="111" t="str">
        <f>IFERROR(INDEX(Tableau4[Date],MATCH($A1391,Tableau4[EVO],0)),"")</f>
        <v/>
      </c>
      <c r="C1391" s="112" t="str">
        <f>IFERROR(INDEX(Tableau4[Designation],MATCH($A1391,Tableau4[EVO],0)),"")</f>
        <v/>
      </c>
      <c r="D1391" s="110"/>
      <c r="E1391" s="113"/>
      <c r="F1391" s="146"/>
      <c r="G1391" s="147" t="e">
        <f>INDEX(Tableau8[Att1],MATCH(Tableau3[[#This Row],[ID-INS]],Tableau8[ID],0))&amp;""</f>
        <v>#N/A</v>
      </c>
      <c r="H1391" s="147" t="s">
        <v>1796</v>
      </c>
      <c r="I1391" s="147" t="e">
        <f>INDEX(Tableau8[Att3],MATCH(Tableau3[[#This Row],[ID-INS]],Tableau8[ID],0))&amp;""</f>
        <v>#N/A</v>
      </c>
      <c r="J1391" s="148"/>
      <c r="K1391" s="167" t="e">
        <f>INDEX(Tableau8[Nom du modele],MATCH(Tableau3[[#This Row],[ID-INS]],Tableau8[ID],0))&amp;""</f>
        <v>#N/A</v>
      </c>
      <c r="L1391" s="149" t="s">
        <v>260</v>
      </c>
      <c r="M1391" s="149" t="e">
        <f>INDEX(Tableau5[Att2],MATCH(Tableau3[[#This Row],[ID-SIG]],Tableau5[ID],0))&amp;""</f>
        <v>#N/A</v>
      </c>
      <c r="N1391" s="149" t="e">
        <f>INDEX(Tableau5[Att3],MATCH(Tableau3[[#This Row],[ID-SIG]],Tableau5[ID],0))&amp;""</f>
        <v>#N/A</v>
      </c>
      <c r="O1391" s="150"/>
      <c r="P1391" s="149" t="s">
        <v>1801</v>
      </c>
      <c r="Q1391" s="150"/>
      <c r="R1391" s="117" t="str">
        <f>Tableau3[[#This Row],[Description]]</f>
        <v>Défaut présence tension normale TG22 B22</v>
      </c>
      <c r="S1391" s="75"/>
      <c r="T1391" s="75"/>
      <c r="U1391" s="151">
        <v>9</v>
      </c>
      <c r="V1391" s="151">
        <v>2</v>
      </c>
      <c r="W1391" s="151">
        <v>7</v>
      </c>
      <c r="X1391" s="151">
        <v>13</v>
      </c>
      <c r="Y1391" s="40"/>
      <c r="Z1391" s="166" t="str">
        <f>INDEX(Tableau2[TS],MATCH(Tableau3[[#This Row],[ID-CARTEVOIE]],Tableau2[ID-CARTEVOIE],0))</f>
        <v>ET</v>
      </c>
      <c r="AA1391" s="81" t="s">
        <v>213</v>
      </c>
      <c r="AB1391" s="226" t="str">
        <f>IFERROR(INDEX(Tableau5[Reserve],MATCH(Tableau3[[#This Row],[ID-SIG]],Tableau5[ID],0))&amp;"","")</f>
        <v/>
      </c>
      <c r="AC1391" s="119" t="s">
        <v>1456</v>
      </c>
      <c r="AD1391" s="120" t="str">
        <f>INDEX(Tableau7[Repere],MATCH(Tableau3[[#This Row],[ID-API]],Tableau7[ID-API],0))&amp;""</f>
        <v>A9</v>
      </c>
      <c r="AE1391" s="121" t="str">
        <f>INDEX(Tableau1[Repere-Rack],MATCH(Tableau3[[#This Row],[ID-RACK]],Tableau1[ID-RACK],0))&amp;""</f>
        <v>R2</v>
      </c>
      <c r="AF1391" s="121" t="str">
        <f>INDEX(Tableau1[Repere-Slot],MATCH(Tableau3[[#This Row],[ID-SLOT]],Tableau1[ID-SLOT],0))&amp;""</f>
        <v>S7</v>
      </c>
      <c r="AG1391" s="121" t="str">
        <f>INDEX(Tableau2[Repere-Voie],MATCH(Tableau3[[#This Row],[ID-VOIE]],Tableau2[ID-Voie],0))&amp;""</f>
        <v>v13</v>
      </c>
      <c r="AH1391" s="122" t="str">
        <f>Tableau3[[#This Row],[ID-API]]&amp; "." &amp;Tableau3[[#This Row],[ID-RACK]]&amp; "." &amp;Tableau3[[#This Row],[ID-SLOT]]</f>
        <v>9.2.7</v>
      </c>
      <c r="AI1391" s="72" t="str">
        <f>INDEX(Tableau1[Ref-Carte],MATCH(Tableau3[[#This Row],[ID-RRS]],Tableau1[ID-RRS],0))</f>
        <v>SDI1602</v>
      </c>
      <c r="AJ1391" s="72" t="str">
        <f t="array" ref="AJ1391">IFERROR(INDEX(Tableau2[TS],MATCH(1,(Tableau2[Ref-Carte]=Tableau3[[#This Row],[Ref-Carte2]])*(Tableau2[ID-Voie]=Tableau3[[#This Row],[ID-VOIE]]),0)),"")</f>
        <v>ET</v>
      </c>
      <c r="AK1391" s="72" t="str">
        <f>IFERROR(INDEX(Tableau2[TS],SUMPRODUCT((Tableau2[Ref-Carte]=Tableau3[[#This Row],[Ref-Carte2]])*(Tableau2[ID-Voie]=Tableau3[[#This Row],[ID-VOIE]])*ROW(Tableau2[TS]))-ROW(Tableau2[#Headers])),"")</f>
        <v>ET</v>
      </c>
      <c r="AL1391" s="122" t="str">
        <f>Tableau3[[#This Row],[Ref-Carte2]]&amp;"/"&amp;Tableau3[[#This Row],[ID-VOIE]]</f>
        <v>SDI1602/13</v>
      </c>
      <c r="AM1391" s="123" t="str">
        <f>INDEX(Tableau2[Borne],MATCH(Tableau3[[#This Row],[ID-CARTEVOIE]],Tableau2[ID-CARTEVOIE],0))&amp;""</f>
        <v>6A</v>
      </c>
      <c r="AN1391" s="124" t="str">
        <f>Tableau3[[#This Row],[ID-API]]&amp;Tableau3[[#This Row],[ID-RACK]]&amp;Tableau3[[#This Row],[ID-SLOT]]&amp;Tableau3[[#This Row],[BORNE]]</f>
        <v>9276A</v>
      </c>
      <c r="AO1391" s="125"/>
    </row>
    <row r="1392" spans="1:41" ht="20.100000000000001" customHeight="1" thickTop="1" thickBot="1">
      <c r="A1392" s="110"/>
      <c r="B1392" s="111" t="str">
        <f>IFERROR(INDEX(Tableau4[Date],MATCH($A1392,Tableau4[EVO],0)),"")</f>
        <v/>
      </c>
      <c r="C1392" s="112" t="str">
        <f>IFERROR(INDEX(Tableau4[Designation],MATCH($A1392,Tableau4[EVO],0)),"")</f>
        <v/>
      </c>
      <c r="D1392" s="110"/>
      <c r="E1392" s="113"/>
      <c r="F1392" s="146"/>
      <c r="G1392" s="147" t="e">
        <f>INDEX(Tableau8[Att1],MATCH(Tableau3[[#This Row],[ID-INS]],Tableau8[ID],0))&amp;""</f>
        <v>#N/A</v>
      </c>
      <c r="H1392" s="147" t="s">
        <v>1797</v>
      </c>
      <c r="I1392" s="147" t="e">
        <f>INDEX(Tableau8[Att3],MATCH(Tableau3[[#This Row],[ID-INS]],Tableau8[ID],0))&amp;""</f>
        <v>#N/A</v>
      </c>
      <c r="J1392" s="148"/>
      <c r="K1392" s="167" t="e">
        <f>INDEX(Tableau8[Nom du modele],MATCH(Tableau3[[#This Row],[ID-INS]],Tableau8[ID],0))&amp;""</f>
        <v>#N/A</v>
      </c>
      <c r="L1392" s="149" t="s">
        <v>260</v>
      </c>
      <c r="M1392" s="149" t="e">
        <f>INDEX(Tableau5[Att2],MATCH(Tableau3[[#This Row],[ID-SIG]],Tableau5[ID],0))&amp;""</f>
        <v>#N/A</v>
      </c>
      <c r="N1392" s="149" t="e">
        <f>INDEX(Tableau5[Att3],MATCH(Tableau3[[#This Row],[ID-SIG]],Tableau5[ID],0))&amp;""</f>
        <v>#N/A</v>
      </c>
      <c r="O1392" s="150"/>
      <c r="P1392" s="149" t="s">
        <v>1802</v>
      </c>
      <c r="Q1392" s="150"/>
      <c r="R1392" s="117" t="str">
        <f>Tableau3[[#This Row],[Description]]</f>
        <v>Défaut DCU Exterieur enclenché B22</v>
      </c>
      <c r="S1392" s="75"/>
      <c r="T1392" s="75"/>
      <c r="U1392" s="151">
        <v>9</v>
      </c>
      <c r="V1392" s="151">
        <v>2</v>
      </c>
      <c r="W1392" s="151">
        <v>7</v>
      </c>
      <c r="X1392" s="151">
        <v>14</v>
      </c>
      <c r="Y1392" s="40"/>
      <c r="Z1392" s="166" t="str">
        <f>INDEX(Tableau2[TS],MATCH(Tableau3[[#This Row],[ID-CARTEVOIE]],Tableau2[ID-CARTEVOIE],0))</f>
        <v>ET</v>
      </c>
      <c r="AA1392" s="81" t="s">
        <v>213</v>
      </c>
      <c r="AB1392" s="226" t="str">
        <f>IFERROR(INDEX(Tableau5[Reserve],MATCH(Tableau3[[#This Row],[ID-SIG]],Tableau5[ID],0))&amp;"","")</f>
        <v/>
      </c>
      <c r="AC1392" s="119" t="s">
        <v>1456</v>
      </c>
      <c r="AD1392" s="120" t="str">
        <f>INDEX(Tableau7[Repere],MATCH(Tableau3[[#This Row],[ID-API]],Tableau7[ID-API],0))&amp;""</f>
        <v>A9</v>
      </c>
      <c r="AE1392" s="121" t="str">
        <f>INDEX(Tableau1[Repere-Rack],MATCH(Tableau3[[#This Row],[ID-RACK]],Tableau1[ID-RACK],0))&amp;""</f>
        <v>R2</v>
      </c>
      <c r="AF1392" s="121" t="str">
        <f>INDEX(Tableau1[Repere-Slot],MATCH(Tableau3[[#This Row],[ID-SLOT]],Tableau1[ID-SLOT],0))&amp;""</f>
        <v>S7</v>
      </c>
      <c r="AG1392" s="121" t="str">
        <f>INDEX(Tableau2[Repere-Voie],MATCH(Tableau3[[#This Row],[ID-VOIE]],Tableau2[ID-Voie],0))&amp;""</f>
        <v>v14</v>
      </c>
      <c r="AH1392" s="122" t="str">
        <f>Tableau3[[#This Row],[ID-API]]&amp; "." &amp;Tableau3[[#This Row],[ID-RACK]]&amp; "." &amp;Tableau3[[#This Row],[ID-SLOT]]</f>
        <v>9.2.7</v>
      </c>
      <c r="AI1392" s="72" t="str">
        <f>INDEX(Tableau1[Ref-Carte],MATCH(Tableau3[[#This Row],[ID-RRS]],Tableau1[ID-RRS],0))</f>
        <v>SDI1602</v>
      </c>
      <c r="AJ1392" s="72" t="str">
        <f t="array" ref="AJ1392">IFERROR(INDEX(Tableau2[TS],MATCH(1,(Tableau2[Ref-Carte]=Tableau3[[#This Row],[Ref-Carte2]])*(Tableau2[ID-Voie]=Tableau3[[#This Row],[ID-VOIE]]),0)),"")</f>
        <v>ET</v>
      </c>
      <c r="AK1392" s="72" t="str">
        <f>IFERROR(INDEX(Tableau2[TS],SUMPRODUCT((Tableau2[Ref-Carte]=Tableau3[[#This Row],[Ref-Carte2]])*(Tableau2[ID-Voie]=Tableau3[[#This Row],[ID-VOIE]])*ROW(Tableau2[TS]))-ROW(Tableau2[#Headers])),"")</f>
        <v>ET</v>
      </c>
      <c r="AL1392" s="122" t="str">
        <f>Tableau3[[#This Row],[Ref-Carte2]]&amp;"/"&amp;Tableau3[[#This Row],[ID-VOIE]]</f>
        <v>SDI1602/14</v>
      </c>
      <c r="AM1392" s="123" t="str">
        <f>INDEX(Tableau2[Borne],MATCH(Tableau3[[#This Row],[ID-CARTEVOIE]],Tableau2[ID-CARTEVOIE],0))&amp;""</f>
        <v>7B</v>
      </c>
      <c r="AN1392" s="124" t="str">
        <f>Tableau3[[#This Row],[ID-API]]&amp;Tableau3[[#This Row],[ID-RACK]]&amp;Tableau3[[#This Row],[ID-SLOT]]&amp;Tableau3[[#This Row],[BORNE]]</f>
        <v>9277B</v>
      </c>
      <c r="AO1392" s="125"/>
    </row>
    <row r="1393" spans="1:41" ht="20.100000000000001" customHeight="1" thickTop="1" thickBot="1">
      <c r="A1393" s="110"/>
      <c r="B1393" s="111" t="str">
        <f>IFERROR(INDEX(Tableau4[Date],MATCH($A1393,Tableau4[EVO],0)),"")</f>
        <v/>
      </c>
      <c r="C1393" s="112" t="str">
        <f>IFERROR(INDEX(Tableau4[Designation],MATCH($A1393,Tableau4[EVO],0)),"")</f>
        <v/>
      </c>
      <c r="D1393" s="110"/>
      <c r="E1393" s="113"/>
      <c r="F1393" s="146"/>
      <c r="G1393" s="147" t="e">
        <f>INDEX(Tableau8[Att1],MATCH(Tableau3[[#This Row],[ID-INS]],Tableau8[ID],0))&amp;""</f>
        <v>#N/A</v>
      </c>
      <c r="H1393" s="147" t="s">
        <v>1798</v>
      </c>
      <c r="I1393" s="147" t="e">
        <f>INDEX(Tableau8[Att3],MATCH(Tableau3[[#This Row],[ID-INS]],Tableau8[ID],0))&amp;""</f>
        <v>#N/A</v>
      </c>
      <c r="J1393" s="148"/>
      <c r="K1393" s="167" t="e">
        <f>INDEX(Tableau8[Nom du modele],MATCH(Tableau3[[#This Row],[ID-INS]],Tableau8[ID],0))&amp;""</f>
        <v>#N/A</v>
      </c>
      <c r="L1393" s="149" t="s">
        <v>260</v>
      </c>
      <c r="M1393" s="149" t="e">
        <f>INDEX(Tableau5[Att2],MATCH(Tableau3[[#This Row],[ID-SIG]],Tableau5[ID],0))&amp;""</f>
        <v>#N/A</v>
      </c>
      <c r="N1393" s="149" t="e">
        <f>INDEX(Tableau5[Att3],MATCH(Tableau3[[#This Row],[ID-SIG]],Tableau5[ID],0))&amp;""</f>
        <v>#N/A</v>
      </c>
      <c r="O1393" s="150"/>
      <c r="P1393" s="149" t="s">
        <v>1803</v>
      </c>
      <c r="Q1393" s="150"/>
      <c r="R1393" s="117" t="str">
        <f>Tableau3[[#This Row],[Description]]</f>
        <v>Défaut DCU Exterieur enclenché B21</v>
      </c>
      <c r="S1393" s="75"/>
      <c r="T1393" s="75"/>
      <c r="U1393" s="151">
        <v>9</v>
      </c>
      <c r="V1393" s="151">
        <v>2</v>
      </c>
      <c r="W1393" s="151">
        <v>7</v>
      </c>
      <c r="X1393" s="151">
        <v>15</v>
      </c>
      <c r="Y1393" s="40"/>
      <c r="Z1393" s="166" t="str">
        <f>INDEX(Tableau2[TS],MATCH(Tableau3[[#This Row],[ID-CARTEVOIE]],Tableau2[ID-CARTEVOIE],0))</f>
        <v>ET</v>
      </c>
      <c r="AA1393" s="81" t="s">
        <v>213</v>
      </c>
      <c r="AB1393" s="226" t="str">
        <f>IFERROR(INDEX(Tableau5[Reserve],MATCH(Tableau3[[#This Row],[ID-SIG]],Tableau5[ID],0))&amp;"","")</f>
        <v/>
      </c>
      <c r="AC1393" s="119" t="s">
        <v>1456</v>
      </c>
      <c r="AD1393" s="120" t="str">
        <f>INDEX(Tableau7[Repere],MATCH(Tableau3[[#This Row],[ID-API]],Tableau7[ID-API],0))&amp;""</f>
        <v>A9</v>
      </c>
      <c r="AE1393" s="121" t="str">
        <f>INDEX(Tableau1[Repere-Rack],MATCH(Tableau3[[#This Row],[ID-RACK]],Tableau1[ID-RACK],0))&amp;""</f>
        <v>R2</v>
      </c>
      <c r="AF1393" s="121" t="str">
        <f>INDEX(Tableau1[Repere-Slot],MATCH(Tableau3[[#This Row],[ID-SLOT]],Tableau1[ID-SLOT],0))&amp;""</f>
        <v>S7</v>
      </c>
      <c r="AG1393" s="121" t="str">
        <f>INDEX(Tableau2[Repere-Voie],MATCH(Tableau3[[#This Row],[ID-VOIE]],Tableau2[ID-Voie],0))&amp;""</f>
        <v>v15</v>
      </c>
      <c r="AH1393" s="122" t="str">
        <f>Tableau3[[#This Row],[ID-API]]&amp; "." &amp;Tableau3[[#This Row],[ID-RACK]]&amp; "." &amp;Tableau3[[#This Row],[ID-SLOT]]</f>
        <v>9.2.7</v>
      </c>
      <c r="AI1393" s="72" t="str">
        <f>INDEX(Tableau1[Ref-Carte],MATCH(Tableau3[[#This Row],[ID-RRS]],Tableau1[ID-RRS],0))</f>
        <v>SDI1602</v>
      </c>
      <c r="AJ1393" s="72" t="str">
        <f t="array" ref="AJ1393">IFERROR(INDEX(Tableau2[TS],MATCH(1,(Tableau2[Ref-Carte]=Tableau3[[#This Row],[Ref-Carte2]])*(Tableau2[ID-Voie]=Tableau3[[#This Row],[ID-VOIE]]),0)),"")</f>
        <v>ET</v>
      </c>
      <c r="AK1393" s="72" t="str">
        <f>IFERROR(INDEX(Tableau2[TS],SUMPRODUCT((Tableau2[Ref-Carte]=Tableau3[[#This Row],[Ref-Carte2]])*(Tableau2[ID-Voie]=Tableau3[[#This Row],[ID-VOIE]])*ROW(Tableau2[TS]))-ROW(Tableau2[#Headers])),"")</f>
        <v>ET</v>
      </c>
      <c r="AL1393" s="122" t="str">
        <f>Tableau3[[#This Row],[Ref-Carte2]]&amp;"/"&amp;Tableau3[[#This Row],[ID-VOIE]]</f>
        <v>SDI1602/15</v>
      </c>
      <c r="AM1393" s="123" t="str">
        <f>INDEX(Tableau2[Borne],MATCH(Tableau3[[#This Row],[ID-CARTEVOIE]],Tableau2[ID-CARTEVOIE],0))&amp;""</f>
        <v>7A</v>
      </c>
      <c r="AN1393" s="124" t="str">
        <f>Tableau3[[#This Row],[ID-API]]&amp;Tableau3[[#This Row],[ID-RACK]]&amp;Tableau3[[#This Row],[ID-SLOT]]&amp;Tableau3[[#This Row],[BORNE]]</f>
        <v>9277A</v>
      </c>
      <c r="AO1393" s="125"/>
    </row>
    <row r="1394" spans="1:41" ht="20.100000000000001" customHeight="1" thickTop="1" thickBot="1">
      <c r="A1394" s="68"/>
      <c r="B1394" s="69" t="str">
        <f>IFERROR(INDEX(Tableau4[Date],MATCH($A1394,Tableau4[EVO],0)),"")</f>
        <v/>
      </c>
      <c r="C1394" s="68" t="str">
        <f>IFERROR(INDEX(Tableau4[Designation],MATCH($A1394,Tableau4[EVO],0)),"")</f>
        <v/>
      </c>
      <c r="D1394" s="68"/>
      <c r="E1394" s="70">
        <v>46</v>
      </c>
      <c r="F1394" s="71">
        <v>50</v>
      </c>
      <c r="G1394" s="101" t="str">
        <f>INDEX(Tableau8[Att1],MATCH(Tableau3[[#This Row],[ID-INS]],Tableau8[ID],0))&amp;""</f>
        <v>GR</v>
      </c>
      <c r="H1394" s="101" t="str">
        <f>INDEX(Tableau8[Att2],MATCH(Tableau3[[#This Row],[ID-INS]],Tableau8[ID],0))&amp;""</f>
        <v>PMR4</v>
      </c>
      <c r="I1394" s="101" t="str">
        <f>INDEX(Tableau8[Att3],MATCH(Tableau3[[#This Row],[ID-INS]],Tableau8[ID],0))&amp;""</f>
        <v>PMR4</v>
      </c>
      <c r="J1394" s="101"/>
      <c r="K1394" s="167" t="str">
        <f>INDEX(Tableau8[Nom du modele],MATCH(Tableau3[[#This Row],[ID-INS]],Tableau8[ID],0))&amp;""</f>
        <v>PMR_1</v>
      </c>
      <c r="L1394" s="99" t="str">
        <f>INDEX(Tableau5[Att1],MATCH(Tableau3[[#This Row],[ID-SIG]],Tableau5[ID],0))&amp;""</f>
        <v>TS_OuvCmd2</v>
      </c>
      <c r="M1394" s="99" t="str">
        <f>INDEX(Tableau5[Att2],MATCH(Tableau3[[#This Row],[ID-SIG]],Tableau5[ID],0))&amp;""</f>
        <v/>
      </c>
      <c r="N1394" s="99" t="str">
        <f>INDEX(Tableau5[Att3],MATCH(Tableau3[[#This Row],[ID-SIG]],Tableau5[ID],0))&amp;""</f>
        <v/>
      </c>
      <c r="O1394" s="99"/>
      <c r="P1394" s="99" t="str">
        <f>INDEX(Tableau5[Description],MATCH(Tableau3[[#This Row],[ID-SIG]],Tableau5[ID],0))</f>
        <v>Commande 2 ouverture sortie</v>
      </c>
      <c r="Q1394" s="99"/>
      <c r="R1394" s="103" t="str">
        <f>Tableau3[[#This Row],[Description]]</f>
        <v>Commande 2 ouverture sortie</v>
      </c>
      <c r="U1394" s="87">
        <v>9</v>
      </c>
      <c r="V1394" s="87">
        <v>2</v>
      </c>
      <c r="W1394" s="87">
        <v>8</v>
      </c>
      <c r="X1394" s="87">
        <v>0</v>
      </c>
      <c r="Y1394" s="41"/>
      <c r="Z1394" s="165" t="str">
        <f>INDEX(Tableau2[TS],MATCH(Tableau3[[#This Row],[ID-CARTEVOIE]],Tableau2[ID-CARTEVOIE],0))</f>
        <v>ST</v>
      </c>
      <c r="AA1394" s="53" t="s">
        <v>213</v>
      </c>
      <c r="AB1394" s="223" t="str">
        <f>IFERROR(INDEX(Tableau5[Reserve],MATCH(Tableau3[[#This Row],[ID-SIG]],Tableau5[ID],0))&amp;"","")</f>
        <v/>
      </c>
      <c r="AC1394" s="21"/>
      <c r="AD1394" s="108" t="str">
        <f>INDEX(Tableau7[Repere],MATCH(Tableau3[[#This Row],[ID-API]],Tableau7[ID-API],0))&amp;""</f>
        <v>A9</v>
      </c>
      <c r="AE1394" s="108" t="str">
        <f>INDEX(Tableau1[Repere-Rack],MATCH(Tableau3[[#This Row],[ID-RACK]],Tableau1[ID-RACK],0))&amp;""</f>
        <v>R2</v>
      </c>
      <c r="AF1394" s="108" t="str">
        <f>INDEX(Tableau1[Repere-Slot],MATCH(Tableau3[[#This Row],[ID-SLOT]],Tableau1[ID-SLOT],0))&amp;""</f>
        <v>S8</v>
      </c>
      <c r="AG1394" s="108" t="str">
        <f>INDEX(Tableau2[Repere-Voie],MATCH(Tableau3[[#This Row],[ID-VOIE]],Tableau2[ID-Voie],0))&amp;""</f>
        <v>v0</v>
      </c>
      <c r="AH1394" s="72" t="str">
        <f>Tableau3[[#This Row],[ID-API]]&amp; "." &amp;Tableau3[[#This Row],[ID-RACK]]&amp; "." &amp;Tableau3[[#This Row],[ID-SLOT]]</f>
        <v>9.2.8</v>
      </c>
      <c r="AI1394" s="72" t="str">
        <f>INDEX(Tableau1[Ref-Carte],MATCH(Tableau3[[#This Row],[ID-RRS]],Tableau1[ID-RRS],0))</f>
        <v>SDO0802</v>
      </c>
      <c r="AJ1394" s="72" t="str">
        <f t="array" ref="AJ1394">IFERROR(INDEX(Tableau2[TS],MATCH(1,(Tableau2[Ref-Carte]=Tableau3[[#This Row],[Ref-Carte2]])*(Tableau2[ID-Voie]=Tableau3[[#This Row],[ID-VOIE]]),0)),"")</f>
        <v>ST</v>
      </c>
      <c r="AK1394" s="72" t="str">
        <f>IFERROR(INDEX(Tableau2[TS],SUMPRODUCT((Tableau2[Ref-Carte]=Tableau3[[#This Row],[Ref-Carte2]])*(Tableau2[ID-Voie]=Tableau3[[#This Row],[ID-VOIE]])*ROW(Tableau2[TS]))-ROW(Tableau2[#Headers])),"")</f>
        <v>ST</v>
      </c>
      <c r="AL1394" s="72" t="str">
        <f>Tableau3[[#This Row],[Ref-Carte2]]&amp;"/"&amp;Tableau3[[#This Row],[ID-VOIE]]</f>
        <v>SDO0802/0</v>
      </c>
      <c r="AM1394" s="73" t="str">
        <f>INDEX(Tableau2[Borne],MATCH(Tableau3[[#This Row],[ID-CARTEVOIE]],Tableau2[ID-CARTEVOIE],0))&amp;""</f>
        <v>0</v>
      </c>
      <c r="AN1394" s="74" t="str">
        <f>Tableau3[[#This Row],[ID-API]]&amp;Tableau3[[#This Row],[ID-RACK]]&amp;Tableau3[[#This Row],[ID-SLOT]]&amp;Tableau3[[#This Row],[BORNE]]</f>
        <v>9280</v>
      </c>
      <c r="AO1394" s="1"/>
    </row>
    <row r="1395" spans="1:41" ht="20.100000000000001" customHeight="1" thickTop="1" thickBot="1">
      <c r="A1395" s="68"/>
      <c r="B1395" s="69" t="str">
        <f>IFERROR(INDEX(Tableau4[Date],MATCH($A1395,Tableau4[EVO],0)),"")</f>
        <v/>
      </c>
      <c r="C1395" s="68" t="str">
        <f>IFERROR(INDEX(Tableau4[Designation],MATCH($A1395,Tableau4[EVO],0)),"")</f>
        <v/>
      </c>
      <c r="D1395" s="68"/>
      <c r="E1395" s="70">
        <v>50</v>
      </c>
      <c r="F1395" s="71">
        <v>50</v>
      </c>
      <c r="G1395" s="101" t="str">
        <f>INDEX(Tableau8[Att1],MATCH(Tableau3[[#This Row],[ID-INS]],Tableau8[ID],0))&amp;""</f>
        <v>B22</v>
      </c>
      <c r="H1395" s="101" t="str">
        <f>INDEX(Tableau8[Att2],MATCH(Tableau3[[#This Row],[ID-INS]],Tableau8[ID],0))&amp;""</f>
        <v>PMR1</v>
      </c>
      <c r="I1395" s="101" t="str">
        <f>INDEX(Tableau8[Att3],MATCH(Tableau3[[#This Row],[ID-INS]],Tableau8[ID],0))&amp;""</f>
        <v>PMR1</v>
      </c>
      <c r="J1395" s="101"/>
      <c r="K1395" s="167" t="str">
        <f>INDEX(Tableau8[Nom du modele],MATCH(Tableau3[[#This Row],[ID-INS]],Tableau8[ID],0))&amp;""</f>
        <v>PMR_1</v>
      </c>
      <c r="L1395" s="99" t="str">
        <f>INDEX(Tableau5[Att1],MATCH(Tableau3[[#This Row],[ID-SIG]],Tableau5[ID],0))&amp;""</f>
        <v>TS_OuvCmd2</v>
      </c>
      <c r="M1395" s="99" t="str">
        <f>INDEX(Tableau5[Att2],MATCH(Tableau3[[#This Row],[ID-SIG]],Tableau5[ID],0))&amp;""</f>
        <v/>
      </c>
      <c r="N1395" s="99" t="str">
        <f>INDEX(Tableau5[Att3],MATCH(Tableau3[[#This Row],[ID-SIG]],Tableau5[ID],0))&amp;""</f>
        <v/>
      </c>
      <c r="O1395" s="99"/>
      <c r="P1395" s="99" t="str">
        <f>INDEX(Tableau5[Description],MATCH(Tableau3[[#This Row],[ID-SIG]],Tableau5[ID],0))</f>
        <v>Commande 2 ouverture sortie</v>
      </c>
      <c r="Q1395" s="99"/>
      <c r="R1395" s="103" t="str">
        <f>Tableau3[[#This Row],[Description]]</f>
        <v>Commande 2 ouverture sortie</v>
      </c>
      <c r="U1395" s="87">
        <v>9</v>
      </c>
      <c r="V1395" s="87">
        <v>2</v>
      </c>
      <c r="W1395" s="87">
        <v>8</v>
      </c>
      <c r="X1395" s="87">
        <v>1</v>
      </c>
      <c r="Y1395" s="41"/>
      <c r="Z1395" s="165" t="str">
        <f>INDEX(Tableau2[TS],MATCH(Tableau3[[#This Row],[ID-CARTEVOIE]],Tableau2[ID-CARTEVOIE],0))</f>
        <v>ST</v>
      </c>
      <c r="AA1395" s="53" t="s">
        <v>213</v>
      </c>
      <c r="AB1395" s="223" t="str">
        <f>IFERROR(INDEX(Tableau5[Reserve],MATCH(Tableau3[[#This Row],[ID-SIG]],Tableau5[ID],0))&amp;"","")</f>
        <v/>
      </c>
      <c r="AC1395" s="21"/>
      <c r="AD1395" s="108" t="str">
        <f>INDEX(Tableau7[Repere],MATCH(Tableau3[[#This Row],[ID-API]],Tableau7[ID-API],0))&amp;""</f>
        <v>A9</v>
      </c>
      <c r="AE1395" s="108" t="str">
        <f>INDEX(Tableau1[Repere-Rack],MATCH(Tableau3[[#This Row],[ID-RACK]],Tableau1[ID-RACK],0))&amp;""</f>
        <v>R2</v>
      </c>
      <c r="AF1395" s="108" t="str">
        <f>INDEX(Tableau1[Repere-Slot],MATCH(Tableau3[[#This Row],[ID-SLOT]],Tableau1[ID-SLOT],0))&amp;""</f>
        <v>S8</v>
      </c>
      <c r="AG1395" s="108" t="str">
        <f>INDEX(Tableau2[Repere-Voie],MATCH(Tableau3[[#This Row],[ID-VOIE]],Tableau2[ID-Voie],0))&amp;""</f>
        <v>v1</v>
      </c>
      <c r="AH1395" s="72" t="str">
        <f>Tableau3[[#This Row],[ID-API]]&amp; "." &amp;Tableau3[[#This Row],[ID-RACK]]&amp; "." &amp;Tableau3[[#This Row],[ID-SLOT]]</f>
        <v>9.2.8</v>
      </c>
      <c r="AI1395" s="72" t="str">
        <f>INDEX(Tableau1[Ref-Carte],MATCH(Tableau3[[#This Row],[ID-RRS]],Tableau1[ID-RRS],0))</f>
        <v>SDO0802</v>
      </c>
      <c r="AJ1395" s="72" t="str">
        <f t="array" ref="AJ1395">IFERROR(INDEX(Tableau2[TS],MATCH(1,(Tableau2[Ref-Carte]=Tableau3[[#This Row],[Ref-Carte2]])*(Tableau2[ID-Voie]=Tableau3[[#This Row],[ID-VOIE]]),0)),"")</f>
        <v>ST</v>
      </c>
      <c r="AK1395" s="72" t="str">
        <f>IFERROR(INDEX(Tableau2[TS],SUMPRODUCT((Tableau2[Ref-Carte]=Tableau3[[#This Row],[Ref-Carte2]])*(Tableau2[ID-Voie]=Tableau3[[#This Row],[ID-VOIE]])*ROW(Tableau2[TS]))-ROW(Tableau2[#Headers])),"")</f>
        <v>ST</v>
      </c>
      <c r="AL1395" s="72" t="str">
        <f>Tableau3[[#This Row],[Ref-Carte2]]&amp;"/"&amp;Tableau3[[#This Row],[ID-VOIE]]</f>
        <v>SDO0802/1</v>
      </c>
      <c r="AM1395" s="73" t="str">
        <f>INDEX(Tableau2[Borne],MATCH(Tableau3[[#This Row],[ID-CARTEVOIE]],Tableau2[ID-CARTEVOIE],0))&amp;""</f>
        <v>1</v>
      </c>
      <c r="AN1395" s="74" t="str">
        <f>Tableau3[[#This Row],[ID-API]]&amp;Tableau3[[#This Row],[ID-RACK]]&amp;Tableau3[[#This Row],[ID-SLOT]]&amp;Tableau3[[#This Row],[BORNE]]</f>
        <v>9281</v>
      </c>
      <c r="AO1395" s="1"/>
    </row>
    <row r="1396" spans="1:41" ht="20.100000000000001" customHeight="1" thickTop="1" thickBot="1">
      <c r="A1396" s="68"/>
      <c r="B1396" s="69" t="str">
        <f>IFERROR(INDEX(Tableau4[Date],MATCH($A1396,Tableau4[EVO],0)),"")</f>
        <v/>
      </c>
      <c r="C1396" s="68" t="str">
        <f>IFERROR(INDEX(Tableau4[Designation],MATCH($A1396,Tableau4[EVO],0)),"")</f>
        <v/>
      </c>
      <c r="D1396" s="68"/>
      <c r="E1396" s="70">
        <v>52</v>
      </c>
      <c r="F1396" s="71">
        <v>50</v>
      </c>
      <c r="G1396" s="101" t="str">
        <f>INDEX(Tableau8[Att1],MATCH(Tableau3[[#This Row],[ID-INS]],Tableau8[ID],0))&amp;""</f>
        <v>B22</v>
      </c>
      <c r="H1396" s="101" t="str">
        <f>INDEX(Tableau8[Att2],MATCH(Tableau3[[#This Row],[ID-INS]],Tableau8[ID],0))&amp;""</f>
        <v>PMR2</v>
      </c>
      <c r="I1396" s="101" t="str">
        <f>INDEX(Tableau8[Att3],MATCH(Tableau3[[#This Row],[ID-INS]],Tableau8[ID],0))&amp;""</f>
        <v>PMR2</v>
      </c>
      <c r="J1396" s="101"/>
      <c r="K1396" s="167" t="str">
        <f>INDEX(Tableau8[Nom du modele],MATCH(Tableau3[[#This Row],[ID-INS]],Tableau8[ID],0))&amp;""</f>
        <v>PMR_1</v>
      </c>
      <c r="L1396" s="99" t="str">
        <f>INDEX(Tableau5[Att1],MATCH(Tableau3[[#This Row],[ID-SIG]],Tableau5[ID],0))&amp;""</f>
        <v>TS_OuvCmd2</v>
      </c>
      <c r="M1396" s="99" t="str">
        <f>INDEX(Tableau5[Att2],MATCH(Tableau3[[#This Row],[ID-SIG]],Tableau5[ID],0))&amp;""</f>
        <v/>
      </c>
      <c r="N1396" s="99" t="str">
        <f>INDEX(Tableau5[Att3],MATCH(Tableau3[[#This Row],[ID-SIG]],Tableau5[ID],0))&amp;""</f>
        <v/>
      </c>
      <c r="O1396" s="99"/>
      <c r="P1396" s="99" t="str">
        <f>INDEX(Tableau5[Description],MATCH(Tableau3[[#This Row],[ID-SIG]],Tableau5[ID],0))</f>
        <v>Commande 2 ouverture sortie</v>
      </c>
      <c r="Q1396" s="99"/>
      <c r="R1396" s="103" t="str">
        <f>Tableau3[[#This Row],[Description]]</f>
        <v>Commande 2 ouverture sortie</v>
      </c>
      <c r="U1396" s="87">
        <v>9</v>
      </c>
      <c r="V1396" s="87">
        <v>2</v>
      </c>
      <c r="W1396" s="87">
        <v>8</v>
      </c>
      <c r="X1396" s="87">
        <v>2</v>
      </c>
      <c r="Y1396" s="41"/>
      <c r="Z1396" s="165" t="str">
        <f>INDEX(Tableau2[TS],MATCH(Tableau3[[#This Row],[ID-CARTEVOIE]],Tableau2[ID-CARTEVOIE],0))</f>
        <v>ST</v>
      </c>
      <c r="AA1396" s="53" t="s">
        <v>213</v>
      </c>
      <c r="AB1396" s="223" t="str">
        <f>IFERROR(INDEX(Tableau5[Reserve],MATCH(Tableau3[[#This Row],[ID-SIG]],Tableau5[ID],0))&amp;"","")</f>
        <v/>
      </c>
      <c r="AC1396" s="21"/>
      <c r="AD1396" s="108" t="str">
        <f>INDEX(Tableau7[Repere],MATCH(Tableau3[[#This Row],[ID-API]],Tableau7[ID-API],0))&amp;""</f>
        <v>A9</v>
      </c>
      <c r="AE1396" s="108" t="str">
        <f>INDEX(Tableau1[Repere-Rack],MATCH(Tableau3[[#This Row],[ID-RACK]],Tableau1[ID-RACK],0))&amp;""</f>
        <v>R2</v>
      </c>
      <c r="AF1396" s="108" t="str">
        <f>INDEX(Tableau1[Repere-Slot],MATCH(Tableau3[[#This Row],[ID-SLOT]],Tableau1[ID-SLOT],0))&amp;""</f>
        <v>S8</v>
      </c>
      <c r="AG1396" s="108" t="str">
        <f>INDEX(Tableau2[Repere-Voie],MATCH(Tableau3[[#This Row],[ID-VOIE]],Tableau2[ID-Voie],0))&amp;""</f>
        <v>v2</v>
      </c>
      <c r="AH1396" s="72" t="str">
        <f>Tableau3[[#This Row],[ID-API]]&amp; "." &amp;Tableau3[[#This Row],[ID-RACK]]&amp; "." &amp;Tableau3[[#This Row],[ID-SLOT]]</f>
        <v>9.2.8</v>
      </c>
      <c r="AI1396" s="72" t="str">
        <f>INDEX(Tableau1[Ref-Carte],MATCH(Tableau3[[#This Row],[ID-RRS]],Tableau1[ID-RRS],0))</f>
        <v>SDO0802</v>
      </c>
      <c r="AJ1396" s="72" t="str">
        <f t="array" ref="AJ1396">IFERROR(INDEX(Tableau2[TS],MATCH(1,(Tableau2[Ref-Carte]=Tableau3[[#This Row],[Ref-Carte2]])*(Tableau2[ID-Voie]=Tableau3[[#This Row],[ID-VOIE]]),0)),"")</f>
        <v>ST</v>
      </c>
      <c r="AK1396" s="72" t="str">
        <f>IFERROR(INDEX(Tableau2[TS],SUMPRODUCT((Tableau2[Ref-Carte]=Tableau3[[#This Row],[Ref-Carte2]])*(Tableau2[ID-Voie]=Tableau3[[#This Row],[ID-VOIE]])*ROW(Tableau2[TS]))-ROW(Tableau2[#Headers])),"")</f>
        <v>ST</v>
      </c>
      <c r="AL1396" s="72" t="str">
        <f>Tableau3[[#This Row],[Ref-Carte2]]&amp;"/"&amp;Tableau3[[#This Row],[ID-VOIE]]</f>
        <v>SDO0802/2</v>
      </c>
      <c r="AM1396" s="73" t="str">
        <f>INDEX(Tableau2[Borne],MATCH(Tableau3[[#This Row],[ID-CARTEVOIE]],Tableau2[ID-CARTEVOIE],0))&amp;""</f>
        <v>2</v>
      </c>
      <c r="AN1396" s="74" t="str">
        <f>Tableau3[[#This Row],[ID-API]]&amp;Tableau3[[#This Row],[ID-RACK]]&amp;Tableau3[[#This Row],[ID-SLOT]]&amp;Tableau3[[#This Row],[BORNE]]</f>
        <v>9282</v>
      </c>
      <c r="AO1396" s="1"/>
    </row>
    <row r="1397" spans="1:41" ht="20.100000000000001" customHeight="1" thickTop="1" thickBot="1">
      <c r="A1397" s="68"/>
      <c r="B1397" s="69" t="str">
        <f>IFERROR(INDEX(Tableau4[Date],MATCH($A1397,Tableau4[EVO],0)),"")</f>
        <v/>
      </c>
      <c r="C1397" s="68" t="str">
        <f>IFERROR(INDEX(Tableau4[Designation],MATCH($A1397,Tableau4[EVO],0)),"")</f>
        <v/>
      </c>
      <c r="D1397" s="68"/>
      <c r="E1397" s="70">
        <v>68</v>
      </c>
      <c r="F1397" s="71">
        <v>28</v>
      </c>
      <c r="G1397" s="101" t="str">
        <f>INDEX(Tableau8[Att1],MATCH(Tableau3[[#This Row],[ID-INS]],Tableau8[ID],0))&amp;""</f>
        <v>B22</v>
      </c>
      <c r="H1397" s="101" t="str">
        <f>INDEX(Tableau8[Att2],MATCH(Tableau3[[#This Row],[ID-INS]],Tableau8[ID],0))&amp;""</f>
        <v>TRSD3</v>
      </c>
      <c r="I1397" s="101" t="str">
        <f>INDEX(Tableau8[Att3],MATCH(Tableau3[[#This Row],[ID-INS]],Tableau8[ID],0))&amp;""</f>
        <v>Tourniquet TRSD3</v>
      </c>
      <c r="J1397" s="101"/>
      <c r="K1397" s="167" t="str">
        <f>INDEX(Tableau8[Nom du modele],MATCH(Tableau3[[#This Row],[ID-INS]],Tableau8[ID],0))&amp;""</f>
        <v>TRSD_1</v>
      </c>
      <c r="L1397" s="99" t="str">
        <f>INDEX(Tableau5[Att1],MATCH(Tableau3[[#This Row],[ID-SIG]],Tableau5[ID],0))&amp;""</f>
        <v>T1S_OuvCmd2</v>
      </c>
      <c r="M1397" s="99" t="str">
        <f>INDEX(Tableau5[Att2],MATCH(Tableau3[[#This Row],[ID-SIG]],Tableau5[ID],0))&amp;""</f>
        <v/>
      </c>
      <c r="N1397" s="99" t="str">
        <f>INDEX(Tableau5[Att3],MATCH(Tableau3[[#This Row],[ID-SIG]],Tableau5[ID],0))&amp;""</f>
        <v/>
      </c>
      <c r="O1397" s="99"/>
      <c r="P1397" s="99" t="str">
        <f>INDEX(Tableau5[Description],MATCH(Tableau3[[#This Row],[ID-SIG]],Tableau5[ID],0))</f>
        <v>Commande 2 ouverture sortie 1</v>
      </c>
      <c r="Q1397" s="99"/>
      <c r="R1397" s="103" t="str">
        <f>Tableau3[[#This Row],[Description]]</f>
        <v>Commande 2 ouverture sortie 1</v>
      </c>
      <c r="U1397" s="87">
        <v>9</v>
      </c>
      <c r="V1397" s="87">
        <v>2</v>
      </c>
      <c r="W1397" s="87">
        <v>8</v>
      </c>
      <c r="X1397" s="87">
        <v>3</v>
      </c>
      <c r="Y1397" s="41"/>
      <c r="Z1397" s="165" t="str">
        <f>INDEX(Tableau2[TS],MATCH(Tableau3[[#This Row],[ID-CARTEVOIE]],Tableau2[ID-CARTEVOIE],0))</f>
        <v>ST</v>
      </c>
      <c r="AA1397" s="53" t="s">
        <v>213</v>
      </c>
      <c r="AB1397" s="223" t="str">
        <f>IFERROR(INDEX(Tableau5[Reserve],MATCH(Tableau3[[#This Row],[ID-SIG]],Tableau5[ID],0))&amp;"","")</f>
        <v/>
      </c>
      <c r="AC1397" s="21"/>
      <c r="AD1397" s="108" t="str">
        <f>INDEX(Tableau7[Repere],MATCH(Tableau3[[#This Row],[ID-API]],Tableau7[ID-API],0))&amp;""</f>
        <v>A9</v>
      </c>
      <c r="AE1397" s="108" t="str">
        <f>INDEX(Tableau1[Repere-Rack],MATCH(Tableau3[[#This Row],[ID-RACK]],Tableau1[ID-RACK],0))&amp;""</f>
        <v>R2</v>
      </c>
      <c r="AF1397" s="108" t="str">
        <f>INDEX(Tableau1[Repere-Slot],MATCH(Tableau3[[#This Row],[ID-SLOT]],Tableau1[ID-SLOT],0))&amp;""</f>
        <v>S8</v>
      </c>
      <c r="AG1397" s="108" t="str">
        <f>INDEX(Tableau2[Repere-Voie],MATCH(Tableau3[[#This Row],[ID-VOIE]],Tableau2[ID-Voie],0))&amp;""</f>
        <v>v3</v>
      </c>
      <c r="AH1397" s="72" t="str">
        <f>Tableau3[[#This Row],[ID-API]]&amp; "." &amp;Tableau3[[#This Row],[ID-RACK]]&amp; "." &amp;Tableau3[[#This Row],[ID-SLOT]]</f>
        <v>9.2.8</v>
      </c>
      <c r="AI1397" s="72" t="str">
        <f>INDEX(Tableau1[Ref-Carte],MATCH(Tableau3[[#This Row],[ID-RRS]],Tableau1[ID-RRS],0))</f>
        <v>SDO0802</v>
      </c>
      <c r="AJ1397" s="72" t="str">
        <f t="array" ref="AJ1397">IFERROR(INDEX(Tableau2[TS],MATCH(1,(Tableau2[Ref-Carte]=Tableau3[[#This Row],[Ref-Carte2]])*(Tableau2[ID-Voie]=Tableau3[[#This Row],[ID-VOIE]]),0)),"")</f>
        <v>ST</v>
      </c>
      <c r="AK1397" s="72" t="str">
        <f>IFERROR(INDEX(Tableau2[TS],SUMPRODUCT((Tableau2[Ref-Carte]=Tableau3[[#This Row],[Ref-Carte2]])*(Tableau2[ID-Voie]=Tableau3[[#This Row],[ID-VOIE]])*ROW(Tableau2[TS]))-ROW(Tableau2[#Headers])),"")</f>
        <v>ST</v>
      </c>
      <c r="AL1397" s="72" t="str">
        <f>Tableau3[[#This Row],[Ref-Carte2]]&amp;"/"&amp;Tableau3[[#This Row],[ID-VOIE]]</f>
        <v>SDO0802/3</v>
      </c>
      <c r="AM1397" s="73" t="str">
        <f>INDEX(Tableau2[Borne],MATCH(Tableau3[[#This Row],[ID-CARTEVOIE]],Tableau2[ID-CARTEVOIE],0))&amp;""</f>
        <v>3</v>
      </c>
      <c r="AN1397" s="74" t="str">
        <f>Tableau3[[#This Row],[ID-API]]&amp;Tableau3[[#This Row],[ID-RACK]]&amp;Tableau3[[#This Row],[ID-SLOT]]&amp;Tableau3[[#This Row],[BORNE]]</f>
        <v>9283</v>
      </c>
      <c r="AO1397" s="1"/>
    </row>
    <row r="1398" spans="1:41" ht="20.100000000000001" customHeight="1" thickTop="1" thickBot="1">
      <c r="A1398" s="68"/>
      <c r="B1398" s="69" t="str">
        <f>IFERROR(INDEX(Tableau4[Date],MATCH($A1398,Tableau4[EVO],0)),"")</f>
        <v/>
      </c>
      <c r="C1398" s="68" t="str">
        <f>IFERROR(INDEX(Tableau4[Designation],MATCH($A1398,Tableau4[EVO],0)),"")</f>
        <v/>
      </c>
      <c r="D1398" s="68"/>
      <c r="E1398" s="70">
        <v>68</v>
      </c>
      <c r="F1398" s="71">
        <v>34</v>
      </c>
      <c r="G1398" s="101" t="str">
        <f>INDEX(Tableau8[Att1],MATCH(Tableau3[[#This Row],[ID-INS]],Tableau8[ID],0))&amp;""</f>
        <v>B22</v>
      </c>
      <c r="H1398" s="101" t="str">
        <f>INDEX(Tableau8[Att2],MATCH(Tableau3[[#This Row],[ID-INS]],Tableau8[ID],0))&amp;""</f>
        <v>TRSD3</v>
      </c>
      <c r="I1398" s="101" t="str">
        <f>INDEX(Tableau8[Att3],MATCH(Tableau3[[#This Row],[ID-INS]],Tableau8[ID],0))&amp;""</f>
        <v>Tourniquet TRSD3</v>
      </c>
      <c r="J1398" s="101"/>
      <c r="K1398" s="167" t="str">
        <f>INDEX(Tableau8[Nom du modele],MATCH(Tableau3[[#This Row],[ID-INS]],Tableau8[ID],0))&amp;""</f>
        <v>TRSD_1</v>
      </c>
      <c r="L1398" s="99" t="str">
        <f>INDEX(Tableau5[Att1],MATCH(Tableau3[[#This Row],[ID-SIG]],Tableau5[ID],0))&amp;""</f>
        <v>T2E_OuvCmd</v>
      </c>
      <c r="M1398" s="99" t="str">
        <f>INDEX(Tableau5[Att2],MATCH(Tableau3[[#This Row],[ID-SIG]],Tableau5[ID],0))&amp;""</f>
        <v/>
      </c>
      <c r="N1398" s="99" t="str">
        <f>INDEX(Tableau5[Att3],MATCH(Tableau3[[#This Row],[ID-SIG]],Tableau5[ID],0))&amp;""</f>
        <v/>
      </c>
      <c r="O1398" s="99"/>
      <c r="P1398" s="99" t="str">
        <f>INDEX(Tableau5[Description],MATCH(Tableau3[[#This Row],[ID-SIG]],Tableau5[ID],0))</f>
        <v>Commande ouverture entrée 2</v>
      </c>
      <c r="Q1398" s="99"/>
      <c r="R1398" s="103" t="str">
        <f>Tableau3[[#This Row],[Description]]</f>
        <v>Commande ouverture entrée 2</v>
      </c>
      <c r="U1398" s="87">
        <v>9</v>
      </c>
      <c r="V1398" s="87">
        <v>2</v>
      </c>
      <c r="W1398" s="87">
        <v>8</v>
      </c>
      <c r="X1398" s="87">
        <v>4</v>
      </c>
      <c r="Y1398" s="41"/>
      <c r="Z1398" s="165" t="str">
        <f>INDEX(Tableau2[TS],MATCH(Tableau3[[#This Row],[ID-CARTEVOIE]],Tableau2[ID-CARTEVOIE],0))</f>
        <v>ST</v>
      </c>
      <c r="AA1398" s="53" t="s">
        <v>213</v>
      </c>
      <c r="AB1398" s="223" t="str">
        <f>IFERROR(INDEX(Tableau5[Reserve],MATCH(Tableau3[[#This Row],[ID-SIG]],Tableau5[ID],0))&amp;"","")</f>
        <v/>
      </c>
      <c r="AC1398" s="21"/>
      <c r="AD1398" s="108" t="str">
        <f>INDEX(Tableau7[Repere],MATCH(Tableau3[[#This Row],[ID-API]],Tableau7[ID-API],0))&amp;""</f>
        <v>A9</v>
      </c>
      <c r="AE1398" s="108" t="str">
        <f>INDEX(Tableau1[Repere-Rack],MATCH(Tableau3[[#This Row],[ID-RACK]],Tableau1[ID-RACK],0))&amp;""</f>
        <v>R2</v>
      </c>
      <c r="AF1398" s="108" t="str">
        <f>INDEX(Tableau1[Repere-Slot],MATCH(Tableau3[[#This Row],[ID-SLOT]],Tableau1[ID-SLOT],0))&amp;""</f>
        <v>S8</v>
      </c>
      <c r="AG1398" s="108" t="str">
        <f>INDEX(Tableau2[Repere-Voie],MATCH(Tableau3[[#This Row],[ID-VOIE]],Tableau2[ID-Voie],0))&amp;""</f>
        <v>v4</v>
      </c>
      <c r="AH1398" s="72" t="str">
        <f>Tableau3[[#This Row],[ID-API]]&amp; "." &amp;Tableau3[[#This Row],[ID-RACK]]&amp; "." &amp;Tableau3[[#This Row],[ID-SLOT]]</f>
        <v>9.2.8</v>
      </c>
      <c r="AI1398" s="72" t="str">
        <f>INDEX(Tableau1[Ref-Carte],MATCH(Tableau3[[#This Row],[ID-RRS]],Tableau1[ID-RRS],0))</f>
        <v>SDO0802</v>
      </c>
      <c r="AJ1398" s="72" t="str">
        <f t="array" ref="AJ1398">IFERROR(INDEX(Tableau2[TS],MATCH(1,(Tableau2[Ref-Carte]=Tableau3[[#This Row],[Ref-Carte2]])*(Tableau2[ID-Voie]=Tableau3[[#This Row],[ID-VOIE]]),0)),"")</f>
        <v>ST</v>
      </c>
      <c r="AK1398" s="72" t="str">
        <f>IFERROR(INDEX(Tableau2[TS],SUMPRODUCT((Tableau2[Ref-Carte]=Tableau3[[#This Row],[Ref-Carte2]])*(Tableau2[ID-Voie]=Tableau3[[#This Row],[ID-VOIE]])*ROW(Tableau2[TS]))-ROW(Tableau2[#Headers])),"")</f>
        <v>ST</v>
      </c>
      <c r="AL1398" s="72" t="str">
        <f>Tableau3[[#This Row],[Ref-Carte2]]&amp;"/"&amp;Tableau3[[#This Row],[ID-VOIE]]</f>
        <v>SDO0802/4</v>
      </c>
      <c r="AM1398" s="73" t="str">
        <f>INDEX(Tableau2[Borne],MATCH(Tableau3[[#This Row],[ID-CARTEVOIE]],Tableau2[ID-CARTEVOIE],0))&amp;""</f>
        <v>4</v>
      </c>
      <c r="AN1398" s="74" t="str">
        <f>Tableau3[[#This Row],[ID-API]]&amp;Tableau3[[#This Row],[ID-RACK]]&amp;Tableau3[[#This Row],[ID-SLOT]]&amp;Tableau3[[#This Row],[BORNE]]</f>
        <v>9284</v>
      </c>
      <c r="AO1398" s="1"/>
    </row>
    <row r="1399" spans="1:41" ht="20.100000000000001" customHeight="1" thickTop="1" thickBot="1">
      <c r="A1399" s="68"/>
      <c r="B1399" s="69" t="str">
        <f>IFERROR(INDEX(Tableau4[Date],MATCH($A1399,Tableau4[EVO],0)),"")</f>
        <v/>
      </c>
      <c r="C1399" s="68" t="str">
        <f>IFERROR(INDEX(Tableau4[Designation],MATCH($A1399,Tableau4[EVO],0)),"")</f>
        <v/>
      </c>
      <c r="D1399" s="68"/>
      <c r="E1399" s="70">
        <v>68</v>
      </c>
      <c r="F1399" s="71">
        <v>35</v>
      </c>
      <c r="G1399" s="101" t="str">
        <f>INDEX(Tableau8[Att1],MATCH(Tableau3[[#This Row],[ID-INS]],Tableau8[ID],0))&amp;""</f>
        <v>B22</v>
      </c>
      <c r="H1399" s="101" t="str">
        <f>INDEX(Tableau8[Att2],MATCH(Tableau3[[#This Row],[ID-INS]],Tableau8[ID],0))&amp;""</f>
        <v>TRSD3</v>
      </c>
      <c r="I1399" s="101" t="str">
        <f>INDEX(Tableau8[Att3],MATCH(Tableau3[[#This Row],[ID-INS]],Tableau8[ID],0))&amp;""</f>
        <v>Tourniquet TRSD3</v>
      </c>
      <c r="J1399" s="101"/>
      <c r="K1399" s="167" t="str">
        <f>INDEX(Tableau8[Nom du modele],MATCH(Tableau3[[#This Row],[ID-INS]],Tableau8[ID],0))&amp;""</f>
        <v>TRSD_1</v>
      </c>
      <c r="L1399" s="141" t="str">
        <f>INDEX(Tableau5[Att1],MATCH(Tableau3[[#This Row],[ID-SIG]],Tableau5[ID],0))&amp;""</f>
        <v>T2S_OuvCmd1</v>
      </c>
      <c r="M1399" s="99" t="str">
        <f>INDEX(Tableau5[Att2],MATCH(Tableau3[[#This Row],[ID-SIG]],Tableau5[ID],0))&amp;""</f>
        <v/>
      </c>
      <c r="N1399" s="99" t="str">
        <f>INDEX(Tableau5[Att3],MATCH(Tableau3[[#This Row],[ID-SIG]],Tableau5[ID],0))&amp;""</f>
        <v/>
      </c>
      <c r="O1399" s="99"/>
      <c r="P1399" s="141" t="str">
        <f>INDEX(Tableau5[Description],MATCH(Tableau3[[#This Row],[ID-SIG]],Tableau5[ID],0))</f>
        <v>Commande 1 ouverture sortie 2</v>
      </c>
      <c r="Q1399" s="99"/>
      <c r="R1399" s="103" t="str">
        <f>Tableau3[[#This Row],[Description]]</f>
        <v>Commande 1 ouverture sortie 2</v>
      </c>
      <c r="U1399" s="87">
        <v>9</v>
      </c>
      <c r="V1399" s="87">
        <v>2</v>
      </c>
      <c r="W1399" s="87">
        <v>8</v>
      </c>
      <c r="X1399" s="87">
        <v>5</v>
      </c>
      <c r="Y1399" s="41"/>
      <c r="Z1399" s="165" t="str">
        <f>INDEX(Tableau2[TS],MATCH(Tableau3[[#This Row],[ID-CARTEVOIE]],Tableau2[ID-CARTEVOIE],0))</f>
        <v>ST</v>
      </c>
      <c r="AA1399" s="53" t="s">
        <v>213</v>
      </c>
      <c r="AB1399" s="223" t="str">
        <f>IFERROR(INDEX(Tableau5[Reserve],MATCH(Tableau3[[#This Row],[ID-SIG]],Tableau5[ID],0))&amp;"","")</f>
        <v/>
      </c>
      <c r="AC1399" s="21"/>
      <c r="AD1399" s="108" t="str">
        <f>INDEX(Tableau7[Repere],MATCH(Tableau3[[#This Row],[ID-API]],Tableau7[ID-API],0))&amp;""</f>
        <v>A9</v>
      </c>
      <c r="AE1399" s="108" t="str">
        <f>INDEX(Tableau1[Repere-Rack],MATCH(Tableau3[[#This Row],[ID-RACK]],Tableau1[ID-RACK],0))&amp;""</f>
        <v>R2</v>
      </c>
      <c r="AF1399" s="108" t="str">
        <f>INDEX(Tableau1[Repere-Slot],MATCH(Tableau3[[#This Row],[ID-SLOT]],Tableau1[ID-SLOT],0))&amp;""</f>
        <v>S8</v>
      </c>
      <c r="AG1399" s="108" t="str">
        <f>INDEX(Tableau2[Repere-Voie],MATCH(Tableau3[[#This Row],[ID-VOIE]],Tableau2[ID-Voie],0))&amp;""</f>
        <v>v5</v>
      </c>
      <c r="AH1399" s="72" t="str">
        <f>Tableau3[[#This Row],[ID-API]]&amp; "." &amp;Tableau3[[#This Row],[ID-RACK]]&amp; "." &amp;Tableau3[[#This Row],[ID-SLOT]]</f>
        <v>9.2.8</v>
      </c>
      <c r="AI1399" s="72" t="str">
        <f>INDEX(Tableau1[Ref-Carte],MATCH(Tableau3[[#This Row],[ID-RRS]],Tableau1[ID-RRS],0))</f>
        <v>SDO0802</v>
      </c>
      <c r="AJ1399" s="72" t="str">
        <f t="array" ref="AJ1399">IFERROR(INDEX(Tableau2[TS],MATCH(1,(Tableau2[Ref-Carte]=Tableau3[[#This Row],[Ref-Carte2]])*(Tableau2[ID-Voie]=Tableau3[[#This Row],[ID-VOIE]]),0)),"")</f>
        <v>ST</v>
      </c>
      <c r="AK1399" s="72" t="str">
        <f>IFERROR(INDEX(Tableau2[TS],SUMPRODUCT((Tableau2[Ref-Carte]=Tableau3[[#This Row],[Ref-Carte2]])*(Tableau2[ID-Voie]=Tableau3[[#This Row],[ID-VOIE]])*ROW(Tableau2[TS]))-ROW(Tableau2[#Headers])),"")</f>
        <v>ST</v>
      </c>
      <c r="AL1399" s="72" t="str">
        <f>Tableau3[[#This Row],[Ref-Carte2]]&amp;"/"&amp;Tableau3[[#This Row],[ID-VOIE]]</f>
        <v>SDO0802/5</v>
      </c>
      <c r="AM1399" s="73" t="str">
        <f>INDEX(Tableau2[Borne],MATCH(Tableau3[[#This Row],[ID-CARTEVOIE]],Tableau2[ID-CARTEVOIE],0))&amp;""</f>
        <v>5</v>
      </c>
      <c r="AN1399" s="74" t="str">
        <f>Tableau3[[#This Row],[ID-API]]&amp;Tableau3[[#This Row],[ID-RACK]]&amp;Tableau3[[#This Row],[ID-SLOT]]&amp;Tableau3[[#This Row],[BORNE]]</f>
        <v>9285</v>
      </c>
      <c r="AO1399" s="1"/>
    </row>
    <row r="1400" spans="1:41" ht="20.100000000000001" customHeight="1" thickTop="1" thickBot="1">
      <c r="A1400" s="134"/>
      <c r="B1400" s="135" t="str">
        <f>IFERROR(INDEX(Tableau4[Date],MATCH($A1400,Tableau4[EVO],0)),"")</f>
        <v/>
      </c>
      <c r="C1400" s="136" t="str">
        <f>IFERROR(INDEX(Tableau4[Designation],MATCH($A1400,Tableau4[EVO],0)),"")</f>
        <v/>
      </c>
      <c r="D1400" s="134"/>
      <c r="E1400" s="137">
        <v>68</v>
      </c>
      <c r="F1400" s="138">
        <v>38</v>
      </c>
      <c r="G1400" s="139" t="str">
        <f>INDEX(Tableau8[Att1],MATCH(Tableau3[[#This Row],[ID-INS]],Tableau8[ID],0))&amp;""</f>
        <v>B22</v>
      </c>
      <c r="H1400" s="140" t="str">
        <f>INDEX(Tableau8[Att2],MATCH(Tableau3[[#This Row],[ID-INS]],Tableau8[ID],0))&amp;""</f>
        <v>TRSD3</v>
      </c>
      <c r="I1400" s="139" t="str">
        <f>INDEX(Tableau8[Att3],MATCH(Tableau3[[#This Row],[ID-INS]],Tableau8[ID],0))&amp;""</f>
        <v>Tourniquet TRSD3</v>
      </c>
      <c r="J1400" s="101"/>
      <c r="K1400" s="167" t="str">
        <f>INDEX(Tableau8[Nom du modele],MATCH(Tableau3[[#This Row],[ID-INS]],Tableau8[ID],0))&amp;""</f>
        <v>TRSD_1</v>
      </c>
      <c r="L1400" s="141" t="str">
        <f>INDEX(Tableau5[Att1],MATCH(Tableau3[[#This Row],[ID-SIG]],Tableau5[ID],0))&amp;""</f>
        <v>T2E_PictoAutor</v>
      </c>
      <c r="M1400" s="141" t="str">
        <f>INDEX(Tableau5[Att2],MATCH(Tableau3[[#This Row],[ID-SIG]],Tableau5[ID],0))&amp;""</f>
        <v/>
      </c>
      <c r="N1400" s="141" t="str">
        <f>INDEX(Tableau5[Att3],MATCH(Tableau3[[#This Row],[ID-SIG]],Tableau5[ID],0))&amp;""</f>
        <v/>
      </c>
      <c r="O1400" s="99"/>
      <c r="P1400" s="141" t="str">
        <f>INDEX(Tableau5[Description],MATCH(Tableau3[[#This Row],[ID-SIG]],Tableau5[ID],0))</f>
        <v>Commande Picto entrée 2</v>
      </c>
      <c r="Q1400" s="99"/>
      <c r="R1400" s="142" t="str">
        <f>Tableau3[[#This Row],[Description]]</f>
        <v>Commande Picto entrée 2</v>
      </c>
      <c r="U1400" s="87">
        <v>9</v>
      </c>
      <c r="V1400" s="87">
        <v>2</v>
      </c>
      <c r="W1400" s="87">
        <v>8</v>
      </c>
      <c r="X1400" s="87">
        <v>6</v>
      </c>
      <c r="Y1400" s="41"/>
      <c r="Z1400" s="165" t="str">
        <f>INDEX(Tableau2[TS],MATCH(Tableau3[[#This Row],[ID-CARTEVOIE]],Tableau2[ID-CARTEVOIE],0))</f>
        <v>ST</v>
      </c>
      <c r="AA1400" s="144" t="s">
        <v>213</v>
      </c>
      <c r="AB1400" s="224" t="str">
        <f>IFERROR(INDEX(Tableau5[Reserve],MATCH(Tableau3[[#This Row],[ID-SIG]],Tableau5[ID],0))&amp;"","")</f>
        <v/>
      </c>
      <c r="AC1400" s="119"/>
      <c r="AD1400" s="120" t="str">
        <f>INDEX(Tableau7[Repere],MATCH(Tableau3[[#This Row],[ID-API]],Tableau7[ID-API],0))&amp;""</f>
        <v>A9</v>
      </c>
      <c r="AE1400" s="120" t="str">
        <f>INDEX(Tableau1[Repere-Rack],MATCH(Tableau3[[#This Row],[ID-RACK]],Tableau1[ID-RACK],0))&amp;""</f>
        <v>R2</v>
      </c>
      <c r="AF1400" s="120" t="str">
        <f>INDEX(Tableau1[Repere-Slot],MATCH(Tableau3[[#This Row],[ID-SLOT]],Tableau1[ID-SLOT],0))&amp;""</f>
        <v>S8</v>
      </c>
      <c r="AG1400" s="120" t="str">
        <f>INDEX(Tableau2[Repere-Voie],MATCH(Tableau3[[#This Row],[ID-VOIE]],Tableau2[ID-Voie],0))&amp;""</f>
        <v>v6</v>
      </c>
      <c r="AH1400" s="122" t="str">
        <f>Tableau3[[#This Row],[ID-API]]&amp; "." &amp;Tableau3[[#This Row],[ID-RACK]]&amp; "." &amp;Tableau3[[#This Row],[ID-SLOT]]</f>
        <v>9.2.8</v>
      </c>
      <c r="AI1400" s="72" t="str">
        <f>INDEX(Tableau1[Ref-Carte],MATCH(Tableau3[[#This Row],[ID-RRS]],Tableau1[ID-RRS],0))</f>
        <v>SDO0802</v>
      </c>
      <c r="AJ1400" s="72" t="str">
        <f t="array" ref="AJ1400">IFERROR(INDEX(Tableau2[TS],MATCH(1,(Tableau2[Ref-Carte]=Tableau3[[#This Row],[Ref-Carte2]])*(Tableau2[ID-Voie]=Tableau3[[#This Row],[ID-VOIE]]),0)),"")</f>
        <v>ST</v>
      </c>
      <c r="AK1400" s="72" t="str">
        <f>IFERROR(INDEX(Tableau2[TS],SUMPRODUCT((Tableau2[Ref-Carte]=Tableau3[[#This Row],[Ref-Carte2]])*(Tableau2[ID-Voie]=Tableau3[[#This Row],[ID-VOIE]])*ROW(Tableau2[TS]))-ROW(Tableau2[#Headers])),"")</f>
        <v>ST</v>
      </c>
      <c r="AL1400" s="122" t="str">
        <f>Tableau3[[#This Row],[Ref-Carte2]]&amp;"/"&amp;Tableau3[[#This Row],[ID-VOIE]]</f>
        <v>SDO0802/6</v>
      </c>
      <c r="AM1400" s="145" t="str">
        <f>INDEX(Tableau2[Borne],MATCH(Tableau3[[#This Row],[ID-CARTEVOIE]],Tableau2[ID-CARTEVOIE],0))&amp;""</f>
        <v>6</v>
      </c>
      <c r="AN1400" s="124" t="str">
        <f>Tableau3[[#This Row],[ID-API]]&amp;Tableau3[[#This Row],[ID-RACK]]&amp;Tableau3[[#This Row],[ID-SLOT]]&amp;Tableau3[[#This Row],[BORNE]]</f>
        <v>9286</v>
      </c>
      <c r="AO1400" s="125"/>
    </row>
    <row r="1401" spans="1:41" ht="20.100000000000001" customHeight="1" thickTop="1" thickBot="1">
      <c r="A1401" s="134"/>
      <c r="B1401" s="135" t="str">
        <f>IFERROR(INDEX(Tableau4[Date],MATCH($A1401,Tableau4[EVO],0)),"")</f>
        <v/>
      </c>
      <c r="C1401" s="136" t="str">
        <f>IFERROR(INDEX(Tableau4[Designation],MATCH($A1401,Tableau4[EVO],0)),"")</f>
        <v/>
      </c>
      <c r="D1401" s="134"/>
      <c r="E1401" s="137">
        <v>68</v>
      </c>
      <c r="F1401" s="138">
        <v>39</v>
      </c>
      <c r="G1401" s="139" t="str">
        <f>INDEX(Tableau8[Att1],MATCH(Tableau3[[#This Row],[ID-INS]],Tableau8[ID],0))&amp;""</f>
        <v>B22</v>
      </c>
      <c r="H1401" s="139" t="str">
        <f>INDEX(Tableau8[Att2],MATCH(Tableau3[[#This Row],[ID-INS]],Tableau8[ID],0))&amp;""</f>
        <v>TRSD3</v>
      </c>
      <c r="I1401" s="139" t="str">
        <f>INDEX(Tableau8[Att3],MATCH(Tableau3[[#This Row],[ID-INS]],Tableau8[ID],0))&amp;""</f>
        <v>Tourniquet TRSD3</v>
      </c>
      <c r="J1401" s="101"/>
      <c r="K1401" s="167" t="str">
        <f>INDEX(Tableau8[Nom du modele],MATCH(Tableau3[[#This Row],[ID-INS]],Tableau8[ID],0))&amp;""</f>
        <v>TRSD_1</v>
      </c>
      <c r="L1401" s="141" t="str">
        <f>INDEX(Tableau5[Att1],MATCH(Tableau3[[#This Row],[ID-SIG]],Tableau5[ID],0))&amp;""</f>
        <v>T2S_PictoAutor</v>
      </c>
      <c r="M1401" s="141" t="str">
        <f>INDEX(Tableau5[Att2],MATCH(Tableau3[[#This Row],[ID-SIG]],Tableau5[ID],0))&amp;""</f>
        <v/>
      </c>
      <c r="N1401" s="141" t="str">
        <f>INDEX(Tableau5[Att3],MATCH(Tableau3[[#This Row],[ID-SIG]],Tableau5[ID],0))&amp;""</f>
        <v/>
      </c>
      <c r="O1401" s="99"/>
      <c r="P1401" s="141" t="str">
        <f>INDEX(Tableau5[Description],MATCH(Tableau3[[#This Row],[ID-SIG]],Tableau5[ID],0))</f>
        <v>Commande Picto sortie 2</v>
      </c>
      <c r="Q1401" s="99"/>
      <c r="R1401" s="142" t="str">
        <f>Tableau3[[#This Row],[Description]]</f>
        <v>Commande Picto sortie 2</v>
      </c>
      <c r="U1401" s="87">
        <v>9</v>
      </c>
      <c r="V1401" s="87">
        <v>2</v>
      </c>
      <c r="W1401" s="87">
        <v>8</v>
      </c>
      <c r="X1401" s="87">
        <v>7</v>
      </c>
      <c r="Y1401" s="41"/>
      <c r="Z1401" s="165" t="str">
        <f>INDEX(Tableau2[TS],MATCH(Tableau3[[#This Row],[ID-CARTEVOIE]],Tableau2[ID-CARTEVOIE],0))</f>
        <v>ST</v>
      </c>
      <c r="AA1401" s="144" t="s">
        <v>213</v>
      </c>
      <c r="AB1401" s="224" t="str">
        <f>IFERROR(INDEX(Tableau5[Reserve],MATCH(Tableau3[[#This Row],[ID-SIG]],Tableau5[ID],0))&amp;"","")</f>
        <v/>
      </c>
      <c r="AC1401" s="119"/>
      <c r="AD1401" s="120" t="str">
        <f>INDEX(Tableau7[Repere],MATCH(Tableau3[[#This Row],[ID-API]],Tableau7[ID-API],0))&amp;""</f>
        <v>A9</v>
      </c>
      <c r="AE1401" s="120" t="str">
        <f>INDEX(Tableau1[Repere-Rack],MATCH(Tableau3[[#This Row],[ID-RACK]],Tableau1[ID-RACK],0))&amp;""</f>
        <v>R2</v>
      </c>
      <c r="AF1401" s="120" t="str">
        <f>INDEX(Tableau1[Repere-Slot],MATCH(Tableau3[[#This Row],[ID-SLOT]],Tableau1[ID-SLOT],0))&amp;""</f>
        <v>S8</v>
      </c>
      <c r="AG1401" s="120" t="str">
        <f>INDEX(Tableau2[Repere-Voie],MATCH(Tableau3[[#This Row],[ID-VOIE]],Tableau2[ID-Voie],0))&amp;""</f>
        <v>v7</v>
      </c>
      <c r="AH1401" s="122" t="str">
        <f>Tableau3[[#This Row],[ID-API]]&amp; "." &amp;Tableau3[[#This Row],[ID-RACK]]&amp; "." &amp;Tableau3[[#This Row],[ID-SLOT]]</f>
        <v>9.2.8</v>
      </c>
      <c r="AI1401" s="72" t="str">
        <f>INDEX(Tableau1[Ref-Carte],MATCH(Tableau3[[#This Row],[ID-RRS]],Tableau1[ID-RRS],0))</f>
        <v>SDO0802</v>
      </c>
      <c r="AJ1401" s="72" t="str">
        <f t="array" ref="AJ1401">IFERROR(INDEX(Tableau2[TS],MATCH(1,(Tableau2[Ref-Carte]=Tableau3[[#This Row],[Ref-Carte2]])*(Tableau2[ID-Voie]=Tableau3[[#This Row],[ID-VOIE]]),0)),"")</f>
        <v>ST</v>
      </c>
      <c r="AK1401" s="72" t="str">
        <f>IFERROR(INDEX(Tableau2[TS],SUMPRODUCT((Tableau2[Ref-Carte]=Tableau3[[#This Row],[Ref-Carte2]])*(Tableau2[ID-Voie]=Tableau3[[#This Row],[ID-VOIE]])*ROW(Tableau2[TS]))-ROW(Tableau2[#Headers])),"")</f>
        <v>ST</v>
      </c>
      <c r="AL1401" s="122" t="str">
        <f>Tableau3[[#This Row],[Ref-Carte2]]&amp;"/"&amp;Tableau3[[#This Row],[ID-VOIE]]</f>
        <v>SDO0802/7</v>
      </c>
      <c r="AM1401" s="145" t="str">
        <f>INDEX(Tableau2[Borne],MATCH(Tableau3[[#This Row],[ID-CARTEVOIE]],Tableau2[ID-CARTEVOIE],0))&amp;""</f>
        <v>7</v>
      </c>
      <c r="AN1401" s="124" t="str">
        <f>Tableau3[[#This Row],[ID-API]]&amp;Tableau3[[#This Row],[ID-RACK]]&amp;Tableau3[[#This Row],[ID-SLOT]]&amp;Tableau3[[#This Row],[BORNE]]</f>
        <v>9287</v>
      </c>
      <c r="AO1401" s="125"/>
    </row>
    <row r="1402" spans="1:41" ht="20.100000000000001" customHeight="1" thickTop="1" thickBot="1">
      <c r="A1402" s="68"/>
      <c r="B1402" s="69" t="str">
        <f>IFERROR(INDEX(Tableau4[Date],MATCH($A1402,Tableau4[EVO],0)),"")</f>
        <v/>
      </c>
      <c r="C1402" s="68" t="str">
        <f>IFERROR(INDEX(Tableau4[Designation],MATCH($A1402,Tableau4[EVO],0)),"")</f>
        <v/>
      </c>
      <c r="D1402" s="68"/>
      <c r="E1402" s="70">
        <v>68</v>
      </c>
      <c r="F1402" s="71">
        <v>31</v>
      </c>
      <c r="G1402" s="101" t="str">
        <f>INDEX(Tableau8[Att1],MATCH(Tableau3[[#This Row],[ID-INS]],Tableau8[ID],0))&amp;""</f>
        <v>B22</v>
      </c>
      <c r="H1402" s="101" t="str">
        <f>INDEX(Tableau8[Att2],MATCH(Tableau3[[#This Row],[ID-INS]],Tableau8[ID],0))&amp;""</f>
        <v>TRSD3</v>
      </c>
      <c r="I1402" s="101" t="str">
        <f>INDEX(Tableau8[Att3],MATCH(Tableau3[[#This Row],[ID-INS]],Tableau8[ID],0))&amp;""</f>
        <v>Tourniquet TRSD3</v>
      </c>
      <c r="J1402" s="101"/>
      <c r="K1402" s="167" t="str">
        <f>INDEX(Tableau8[Nom du modele],MATCH(Tableau3[[#This Row],[ID-INS]],Tableau8[ID],0))&amp;""</f>
        <v>TRSD_1</v>
      </c>
      <c r="L1402" s="99" t="str">
        <f>INDEX(Tableau5[Att1],MATCH(Tableau3[[#This Row],[ID-SIG]],Tableau5[ID],0))&amp;""</f>
        <v>T2S_OuvRet2</v>
      </c>
      <c r="M1402" s="99" t="str">
        <f>INDEX(Tableau5[Att2],MATCH(Tableau3[[#This Row],[ID-SIG]],Tableau5[ID],0))&amp;""</f>
        <v/>
      </c>
      <c r="N1402" s="99" t="str">
        <f>INDEX(Tableau5[Att3],MATCH(Tableau3[[#This Row],[ID-SIG]],Tableau5[ID],0))&amp;""</f>
        <v/>
      </c>
      <c r="O1402" s="99"/>
      <c r="P1402" s="99" t="str">
        <f>INDEX(Tableau5[Description],MATCH(Tableau3[[#This Row],[ID-SIG]],Tableau5[ID],0))</f>
        <v>Retour Commande 2 ouverture sortie 2</v>
      </c>
      <c r="Q1402" s="99"/>
      <c r="R1402" s="103" t="str">
        <f>Tableau3[[#This Row],[Description]]</f>
        <v>Retour Commande 2 ouverture sortie 2</v>
      </c>
      <c r="U1402" s="87">
        <v>9</v>
      </c>
      <c r="V1402" s="87">
        <v>2</v>
      </c>
      <c r="W1402" s="87">
        <v>9</v>
      </c>
      <c r="X1402" s="87">
        <v>0</v>
      </c>
      <c r="Y1402" s="40"/>
      <c r="Z1402" s="165" t="str">
        <f>INDEX(Tableau2[TS],MATCH(Tableau3[[#This Row],[ID-CARTEVOIE]],Tableau2[ID-CARTEVOIE],0))</f>
        <v>ET</v>
      </c>
      <c r="AA1402" s="53" t="s">
        <v>213</v>
      </c>
      <c r="AB1402" s="223" t="str">
        <f>IFERROR(INDEX(Tableau5[Reserve],MATCH(Tableau3[[#This Row],[ID-SIG]],Tableau5[ID],0))&amp;"","")</f>
        <v/>
      </c>
      <c r="AC1402" s="21"/>
      <c r="AD1402" s="108" t="str">
        <f>INDEX(Tableau7[Repere],MATCH(Tableau3[[#This Row],[ID-API]],Tableau7[ID-API],0))&amp;""</f>
        <v>A9</v>
      </c>
      <c r="AE1402" s="108" t="str">
        <f>INDEX(Tableau1[Repere-Rack],MATCH(Tableau3[[#This Row],[ID-RACK]],Tableau1[ID-RACK],0))&amp;""</f>
        <v>R2</v>
      </c>
      <c r="AF1402" s="108" t="str">
        <f>INDEX(Tableau1[Repere-Slot],MATCH(Tableau3[[#This Row],[ID-SLOT]],Tableau1[ID-SLOT],0))&amp;""</f>
        <v>S9</v>
      </c>
      <c r="AG1402" s="108" t="str">
        <f>INDEX(Tableau2[Repere-Voie],MATCH(Tableau3[[#This Row],[ID-VOIE]],Tableau2[ID-Voie],0))&amp;""</f>
        <v>v0</v>
      </c>
      <c r="AH1402" s="72" t="str">
        <f>Tableau3[[#This Row],[ID-API]]&amp; "." &amp;Tableau3[[#This Row],[ID-RACK]]&amp; "." &amp;Tableau3[[#This Row],[ID-SLOT]]</f>
        <v>9.2.9</v>
      </c>
      <c r="AI1402" s="72" t="str">
        <f>INDEX(Tableau1[Ref-Carte],MATCH(Tableau3[[#This Row],[ID-RRS]],Tableau1[ID-RRS],0))</f>
        <v>SDI1602</v>
      </c>
      <c r="AJ1402" s="72" t="str">
        <f t="array" ref="AJ1402">IFERROR(INDEX(Tableau2[TS],MATCH(1,(Tableau2[Ref-Carte]=Tableau3[[#This Row],[Ref-Carte2]])*(Tableau2[ID-Voie]=Tableau3[[#This Row],[ID-VOIE]]),0)),"")</f>
        <v>ET</v>
      </c>
      <c r="AK1402" s="72" t="str">
        <f>IFERROR(INDEX(Tableau2[TS],SUMPRODUCT((Tableau2[Ref-Carte]=Tableau3[[#This Row],[Ref-Carte2]])*(Tableau2[ID-Voie]=Tableau3[[#This Row],[ID-VOIE]])*ROW(Tableau2[TS]))-ROW(Tableau2[#Headers])),"")</f>
        <v>ET</v>
      </c>
      <c r="AL1402" s="72" t="str">
        <f>Tableau3[[#This Row],[Ref-Carte2]]&amp;"/"&amp;Tableau3[[#This Row],[ID-VOIE]]</f>
        <v>SDI1602/0</v>
      </c>
      <c r="AM1402" s="73" t="str">
        <f>INDEX(Tableau2[Borne],MATCH(Tableau3[[#This Row],[ID-CARTEVOIE]],Tableau2[ID-CARTEVOIE],0))&amp;""</f>
        <v>0B</v>
      </c>
      <c r="AN1402" s="74" t="str">
        <f>Tableau3[[#This Row],[ID-API]]&amp;Tableau3[[#This Row],[ID-RACK]]&amp;Tableau3[[#This Row],[ID-SLOT]]&amp;Tableau3[[#This Row],[BORNE]]</f>
        <v>9290B</v>
      </c>
      <c r="AO1402" s="1"/>
    </row>
    <row r="1403" spans="1:41" ht="20.100000000000001" customHeight="1" thickTop="1" thickBot="1">
      <c r="A1403" s="134"/>
      <c r="B1403" s="135" t="str">
        <f>IFERROR(INDEX(Tableau4[Date],MATCH($A1403,Tableau4[EVO],0)),"")</f>
        <v/>
      </c>
      <c r="C1403" s="136" t="str">
        <f>IFERROR(INDEX(Tableau4[Designation],MATCH($A1403,Tableau4[EVO],0)),"")</f>
        <v/>
      </c>
      <c r="D1403" s="134"/>
      <c r="E1403" s="137">
        <v>68</v>
      </c>
      <c r="F1403" s="138">
        <v>42</v>
      </c>
      <c r="G1403" s="139" t="str">
        <f>INDEX(Tableau8[Att1],MATCH(Tableau3[[#This Row],[ID-INS]],Tableau8[ID],0))&amp;""</f>
        <v>B22</v>
      </c>
      <c r="H1403" s="139" t="str">
        <f>INDEX(Tableau8[Att2],MATCH(Tableau3[[#This Row],[ID-INS]],Tableau8[ID],0))&amp;""</f>
        <v>TRSD3</v>
      </c>
      <c r="I1403" s="139" t="str">
        <f>INDEX(Tableau8[Att3],MATCH(Tableau3[[#This Row],[ID-INS]],Tableau8[ID],0))&amp;""</f>
        <v>Tourniquet TRSD3</v>
      </c>
      <c r="J1403" s="101"/>
      <c r="K1403" s="167" t="str">
        <f>INDEX(Tableau8[Nom du modele],MATCH(Tableau3[[#This Row],[ID-INS]],Tableau8[ID],0))&amp;""</f>
        <v>TRSD_1</v>
      </c>
      <c r="L1403" s="141" t="str">
        <f>INDEX(Tableau5[Att1],MATCH(Tableau3[[#This Row],[ID-SIG]],Tableau5[ID],0))&amp;""</f>
        <v>T2E_PassageOK</v>
      </c>
      <c r="M1403" s="141" t="str">
        <f>INDEX(Tableau5[Att2],MATCH(Tableau3[[#This Row],[ID-SIG]],Tableau5[ID],0))&amp;""</f>
        <v/>
      </c>
      <c r="N1403" s="141" t="str">
        <f>INDEX(Tableau5[Att3],MATCH(Tableau3[[#This Row],[ID-SIG]],Tableau5[ID],0))&amp;""</f>
        <v/>
      </c>
      <c r="O1403" s="99"/>
      <c r="P1403" s="141" t="str">
        <f>INDEX(Tableau5[Description],MATCH(Tableau3[[#This Row],[ID-SIG]],Tableau5[ID],0))</f>
        <v>Passage effectuée entrée 2</v>
      </c>
      <c r="Q1403" s="99"/>
      <c r="R1403" s="142" t="str">
        <f>Tableau3[[#This Row],[Description]]</f>
        <v>Passage effectuée entrée 2</v>
      </c>
      <c r="U1403" s="87">
        <v>9</v>
      </c>
      <c r="V1403" s="87">
        <v>2</v>
      </c>
      <c r="W1403" s="87">
        <v>9</v>
      </c>
      <c r="X1403" s="87">
        <v>1</v>
      </c>
      <c r="Y1403" s="40"/>
      <c r="Z1403" s="165" t="str">
        <f>INDEX(Tableau2[TS],MATCH(Tableau3[[#This Row],[ID-CARTEVOIE]],Tableau2[ID-CARTEVOIE],0))</f>
        <v>ET</v>
      </c>
      <c r="AA1403" s="144" t="s">
        <v>213</v>
      </c>
      <c r="AB1403" s="224" t="str">
        <f>IFERROR(INDEX(Tableau5[Reserve],MATCH(Tableau3[[#This Row],[ID-SIG]],Tableau5[ID],0))&amp;"","")</f>
        <v/>
      </c>
      <c r="AC1403" s="119"/>
      <c r="AD1403" s="120" t="str">
        <f>INDEX(Tableau7[Repere],MATCH(Tableau3[[#This Row],[ID-API]],Tableau7[ID-API],0))&amp;""</f>
        <v>A9</v>
      </c>
      <c r="AE1403" s="120" t="str">
        <f>INDEX(Tableau1[Repere-Rack],MATCH(Tableau3[[#This Row],[ID-RACK]],Tableau1[ID-RACK],0))&amp;""</f>
        <v>R2</v>
      </c>
      <c r="AF1403" s="120" t="str">
        <f>INDEX(Tableau1[Repere-Slot],MATCH(Tableau3[[#This Row],[ID-SLOT]],Tableau1[ID-SLOT],0))&amp;""</f>
        <v>S9</v>
      </c>
      <c r="AG1403" s="120" t="str">
        <f>INDEX(Tableau2[Repere-Voie],MATCH(Tableau3[[#This Row],[ID-VOIE]],Tableau2[ID-Voie],0))&amp;""</f>
        <v>v1</v>
      </c>
      <c r="AH1403" s="122" t="str">
        <f>Tableau3[[#This Row],[ID-API]]&amp; "." &amp;Tableau3[[#This Row],[ID-RACK]]&amp; "." &amp;Tableau3[[#This Row],[ID-SLOT]]</f>
        <v>9.2.9</v>
      </c>
      <c r="AI1403" s="72" t="str">
        <f>INDEX(Tableau1[Ref-Carte],MATCH(Tableau3[[#This Row],[ID-RRS]],Tableau1[ID-RRS],0))</f>
        <v>SDI1602</v>
      </c>
      <c r="AJ1403" s="72" t="str">
        <f t="array" ref="AJ1403">IFERROR(INDEX(Tableau2[TS],MATCH(1,(Tableau2[Ref-Carte]=Tableau3[[#This Row],[Ref-Carte2]])*(Tableau2[ID-Voie]=Tableau3[[#This Row],[ID-VOIE]]),0)),"")</f>
        <v>ET</v>
      </c>
      <c r="AK1403" s="72" t="str">
        <f>IFERROR(INDEX(Tableau2[TS],SUMPRODUCT((Tableau2[Ref-Carte]=Tableau3[[#This Row],[Ref-Carte2]])*(Tableau2[ID-Voie]=Tableau3[[#This Row],[ID-VOIE]])*ROW(Tableau2[TS]))-ROW(Tableau2[#Headers])),"")</f>
        <v>ET</v>
      </c>
      <c r="AL1403" s="122" t="str">
        <f>Tableau3[[#This Row],[Ref-Carte2]]&amp;"/"&amp;Tableau3[[#This Row],[ID-VOIE]]</f>
        <v>SDI1602/1</v>
      </c>
      <c r="AM1403" s="145" t="str">
        <f>INDEX(Tableau2[Borne],MATCH(Tableau3[[#This Row],[ID-CARTEVOIE]],Tableau2[ID-CARTEVOIE],0))&amp;""</f>
        <v>0A</v>
      </c>
      <c r="AN1403" s="124" t="str">
        <f>Tableau3[[#This Row],[ID-API]]&amp;Tableau3[[#This Row],[ID-RACK]]&amp;Tableau3[[#This Row],[ID-SLOT]]&amp;Tableau3[[#This Row],[BORNE]]</f>
        <v>9290A</v>
      </c>
      <c r="AO1403" s="125"/>
    </row>
    <row r="1404" spans="1:41" ht="20.100000000000001" customHeight="1" thickTop="1" thickBot="1">
      <c r="A1404" s="134"/>
      <c r="B1404" s="135" t="str">
        <f>IFERROR(INDEX(Tableau4[Date],MATCH($A1404,Tableau4[EVO],0)),"")</f>
        <v/>
      </c>
      <c r="C1404" s="136" t="str">
        <f>IFERROR(INDEX(Tableau4[Designation],MATCH($A1404,Tableau4[EVO],0)),"")</f>
        <v/>
      </c>
      <c r="D1404" s="134"/>
      <c r="E1404" s="137">
        <v>68</v>
      </c>
      <c r="F1404" s="138">
        <v>43</v>
      </c>
      <c r="G1404" s="139" t="str">
        <f>INDEX(Tableau8[Att1],MATCH(Tableau3[[#This Row],[ID-INS]],Tableau8[ID],0))&amp;""</f>
        <v>B22</v>
      </c>
      <c r="H1404" s="139" t="str">
        <f>INDEX(Tableau8[Att2],MATCH(Tableau3[[#This Row],[ID-INS]],Tableau8[ID],0))&amp;""</f>
        <v>TRSD3</v>
      </c>
      <c r="I1404" s="139" t="str">
        <f>INDEX(Tableau8[Att3],MATCH(Tableau3[[#This Row],[ID-INS]],Tableau8[ID],0))&amp;""</f>
        <v>Tourniquet TRSD3</v>
      </c>
      <c r="J1404" s="101"/>
      <c r="K1404" s="167" t="str">
        <f>INDEX(Tableau8[Nom du modele],MATCH(Tableau3[[#This Row],[ID-INS]],Tableau8[ID],0))&amp;""</f>
        <v>TRSD_1</v>
      </c>
      <c r="L1404" s="141" t="str">
        <f>INDEX(Tableau5[Att1],MATCH(Tableau3[[#This Row],[ID-SIG]],Tableau5[ID],0))&amp;""</f>
        <v>T2S_PassageOK</v>
      </c>
      <c r="M1404" s="141" t="str">
        <f>INDEX(Tableau5[Att2],MATCH(Tableau3[[#This Row],[ID-SIG]],Tableau5[ID],0))&amp;""</f>
        <v/>
      </c>
      <c r="N1404" s="141" t="str">
        <f>INDEX(Tableau5[Att3],MATCH(Tableau3[[#This Row],[ID-SIG]],Tableau5[ID],0))&amp;""</f>
        <v/>
      </c>
      <c r="O1404" s="99"/>
      <c r="P1404" s="141" t="str">
        <f>INDEX(Tableau5[Description],MATCH(Tableau3[[#This Row],[ID-SIG]],Tableau5[ID],0))</f>
        <v>Passage effectuée sortie 2</v>
      </c>
      <c r="Q1404" s="99"/>
      <c r="R1404" s="142" t="str">
        <f>Tableau3[[#This Row],[Description]]</f>
        <v>Passage effectuée sortie 2</v>
      </c>
      <c r="U1404" s="87">
        <v>9</v>
      </c>
      <c r="V1404" s="87">
        <v>2</v>
      </c>
      <c r="W1404" s="87">
        <v>9</v>
      </c>
      <c r="X1404" s="87">
        <v>2</v>
      </c>
      <c r="Y1404" s="40"/>
      <c r="Z1404" s="165" t="str">
        <f>INDEX(Tableau2[TS],MATCH(Tableau3[[#This Row],[ID-CARTEVOIE]],Tableau2[ID-CARTEVOIE],0))</f>
        <v>ET</v>
      </c>
      <c r="AA1404" s="144" t="s">
        <v>213</v>
      </c>
      <c r="AB1404" s="224" t="str">
        <f>IFERROR(INDEX(Tableau5[Reserve],MATCH(Tableau3[[#This Row],[ID-SIG]],Tableau5[ID],0))&amp;"","")</f>
        <v/>
      </c>
      <c r="AC1404" s="119"/>
      <c r="AD1404" s="120" t="str">
        <f>INDEX(Tableau7[Repere],MATCH(Tableau3[[#This Row],[ID-API]],Tableau7[ID-API],0))&amp;""</f>
        <v>A9</v>
      </c>
      <c r="AE1404" s="120" t="str">
        <f>INDEX(Tableau1[Repere-Rack],MATCH(Tableau3[[#This Row],[ID-RACK]],Tableau1[ID-RACK],0))&amp;""</f>
        <v>R2</v>
      </c>
      <c r="AF1404" s="120" t="str">
        <f>INDEX(Tableau1[Repere-Slot],MATCH(Tableau3[[#This Row],[ID-SLOT]],Tableau1[ID-SLOT],0))&amp;""</f>
        <v>S9</v>
      </c>
      <c r="AG1404" s="120" t="str">
        <f>INDEX(Tableau2[Repere-Voie],MATCH(Tableau3[[#This Row],[ID-VOIE]],Tableau2[ID-Voie],0))&amp;""</f>
        <v>v2</v>
      </c>
      <c r="AH1404" s="122" t="str">
        <f>Tableau3[[#This Row],[ID-API]]&amp; "." &amp;Tableau3[[#This Row],[ID-RACK]]&amp; "." &amp;Tableau3[[#This Row],[ID-SLOT]]</f>
        <v>9.2.9</v>
      </c>
      <c r="AI1404" s="72" t="str">
        <f>INDEX(Tableau1[Ref-Carte],MATCH(Tableau3[[#This Row],[ID-RRS]],Tableau1[ID-RRS],0))</f>
        <v>SDI1602</v>
      </c>
      <c r="AJ1404" s="72" t="str">
        <f t="array" ref="AJ1404">IFERROR(INDEX(Tableau2[TS],MATCH(1,(Tableau2[Ref-Carte]=Tableau3[[#This Row],[Ref-Carte2]])*(Tableau2[ID-Voie]=Tableau3[[#This Row],[ID-VOIE]]),0)),"")</f>
        <v>ET</v>
      </c>
      <c r="AK1404" s="72" t="str">
        <f>IFERROR(INDEX(Tableau2[TS],SUMPRODUCT((Tableau2[Ref-Carte]=Tableau3[[#This Row],[Ref-Carte2]])*(Tableau2[ID-Voie]=Tableau3[[#This Row],[ID-VOIE]])*ROW(Tableau2[TS]))-ROW(Tableau2[#Headers])),"")</f>
        <v>ET</v>
      </c>
      <c r="AL1404" s="122" t="str">
        <f>Tableau3[[#This Row],[Ref-Carte2]]&amp;"/"&amp;Tableau3[[#This Row],[ID-VOIE]]</f>
        <v>SDI1602/2</v>
      </c>
      <c r="AM1404" s="145" t="str">
        <f>INDEX(Tableau2[Borne],MATCH(Tableau3[[#This Row],[ID-CARTEVOIE]],Tableau2[ID-CARTEVOIE],0))&amp;""</f>
        <v>1B</v>
      </c>
      <c r="AN1404" s="124" t="str">
        <f>Tableau3[[#This Row],[ID-API]]&amp;Tableau3[[#This Row],[ID-RACK]]&amp;Tableau3[[#This Row],[ID-SLOT]]&amp;Tableau3[[#This Row],[BORNE]]</f>
        <v>9291B</v>
      </c>
      <c r="AO1404" s="125"/>
    </row>
    <row r="1405" spans="1:41" ht="20.100000000000001" customHeight="1" thickTop="1" thickBot="1">
      <c r="A1405" s="68"/>
      <c r="B1405" s="69" t="str">
        <f>IFERROR(INDEX(Tableau4[Date],MATCH($A1405,Tableau4[EVO],0)),"")</f>
        <v/>
      </c>
      <c r="C1405" s="68" t="str">
        <f>IFERROR(INDEX(Tableau4[Designation],MATCH($A1405,Tableau4[EVO],0)),"")</f>
        <v/>
      </c>
      <c r="D1405" s="68"/>
      <c r="E1405" s="70">
        <v>68</v>
      </c>
      <c r="F1405" s="71">
        <v>45</v>
      </c>
      <c r="G1405" s="101" t="str">
        <f>INDEX(Tableau8[Att1],MATCH(Tableau3[[#This Row],[ID-INS]],Tableau8[ID],0))&amp;""</f>
        <v>B22</v>
      </c>
      <c r="H1405" s="101" t="str">
        <f>INDEX(Tableau8[Att2],MATCH(Tableau3[[#This Row],[ID-INS]],Tableau8[ID],0))&amp;""</f>
        <v>TRSD3</v>
      </c>
      <c r="I1405" s="101" t="str">
        <f>INDEX(Tableau8[Att3],MATCH(Tableau3[[#This Row],[ID-INS]],Tableau8[ID],0))&amp;""</f>
        <v>Tourniquet TRSD3</v>
      </c>
      <c r="J1405" s="101"/>
      <c r="K1405" s="167" t="str">
        <f>INDEX(Tableau8[Nom du modele],MATCH(Tableau3[[#This Row],[ID-INS]],Tableau8[ID],0))&amp;""</f>
        <v>TRSD_1</v>
      </c>
      <c r="L1405" s="99" t="str">
        <f>INDEX(Tableau5[Att1],MATCH(Tableau3[[#This Row],[ID-SIG]],Tableau5[ID],0))&amp;""</f>
        <v>T2_SynthDef</v>
      </c>
      <c r="M1405" s="99" t="str">
        <f>INDEX(Tableau5[Att2],MATCH(Tableau3[[#This Row],[ID-SIG]],Tableau5[ID],0))&amp;""</f>
        <v/>
      </c>
      <c r="N1405" s="99" t="str">
        <f>INDEX(Tableau5[Att3],MATCH(Tableau3[[#This Row],[ID-SIG]],Tableau5[ID],0))&amp;""</f>
        <v/>
      </c>
      <c r="O1405" s="99"/>
      <c r="P1405" s="99" t="str">
        <f>INDEX(Tableau5[Description],MATCH(Tableau3[[#This Row],[ID-SIG]],Tableau5[ID],0))</f>
        <v>Synthèse défaut entrée 2</v>
      </c>
      <c r="Q1405" s="99"/>
      <c r="R1405" s="103" t="str">
        <f>Tableau3[[#This Row],[Description]]</f>
        <v>Synthèse défaut entrée 2</v>
      </c>
      <c r="U1405" s="87">
        <v>9</v>
      </c>
      <c r="V1405" s="87">
        <v>2</v>
      </c>
      <c r="W1405" s="87">
        <v>9</v>
      </c>
      <c r="X1405" s="87">
        <v>3</v>
      </c>
      <c r="Y1405" s="40"/>
      <c r="Z1405" s="165" t="str">
        <f>INDEX(Tableau2[TS],MATCH(Tableau3[[#This Row],[ID-CARTEVOIE]],Tableau2[ID-CARTEVOIE],0))</f>
        <v>ET</v>
      </c>
      <c r="AA1405" s="53" t="s">
        <v>213</v>
      </c>
      <c r="AB1405" s="223" t="str">
        <f>IFERROR(INDEX(Tableau5[Reserve],MATCH(Tableau3[[#This Row],[ID-SIG]],Tableau5[ID],0))&amp;"","")</f>
        <v/>
      </c>
      <c r="AC1405" s="21"/>
      <c r="AD1405" s="108" t="str">
        <f>INDEX(Tableau7[Repere],MATCH(Tableau3[[#This Row],[ID-API]],Tableau7[ID-API],0))&amp;""</f>
        <v>A9</v>
      </c>
      <c r="AE1405" s="108" t="str">
        <f>INDEX(Tableau1[Repere-Rack],MATCH(Tableau3[[#This Row],[ID-RACK]],Tableau1[ID-RACK],0))&amp;""</f>
        <v>R2</v>
      </c>
      <c r="AF1405" s="108" t="str">
        <f>INDEX(Tableau1[Repere-Slot],MATCH(Tableau3[[#This Row],[ID-SLOT]],Tableau1[ID-SLOT],0))&amp;""</f>
        <v>S9</v>
      </c>
      <c r="AG1405" s="108" t="str">
        <f>INDEX(Tableau2[Repere-Voie],MATCH(Tableau3[[#This Row],[ID-VOIE]],Tableau2[ID-Voie],0))&amp;""</f>
        <v>v3</v>
      </c>
      <c r="AH1405" s="72" t="str">
        <f>Tableau3[[#This Row],[ID-API]]&amp; "." &amp;Tableau3[[#This Row],[ID-RACK]]&amp; "." &amp;Tableau3[[#This Row],[ID-SLOT]]</f>
        <v>9.2.9</v>
      </c>
      <c r="AI1405" s="72" t="str">
        <f>INDEX(Tableau1[Ref-Carte],MATCH(Tableau3[[#This Row],[ID-RRS]],Tableau1[ID-RRS],0))</f>
        <v>SDI1602</v>
      </c>
      <c r="AJ1405" s="72" t="str">
        <f t="array" ref="AJ1405">IFERROR(INDEX(Tableau2[TS],MATCH(1,(Tableau2[Ref-Carte]=Tableau3[[#This Row],[Ref-Carte2]])*(Tableau2[ID-Voie]=Tableau3[[#This Row],[ID-VOIE]]),0)),"")</f>
        <v>ET</v>
      </c>
      <c r="AK1405" s="72" t="str">
        <f>IFERROR(INDEX(Tableau2[TS],SUMPRODUCT((Tableau2[Ref-Carte]=Tableau3[[#This Row],[Ref-Carte2]])*(Tableau2[ID-Voie]=Tableau3[[#This Row],[ID-VOIE]])*ROW(Tableau2[TS]))-ROW(Tableau2[#Headers])),"")</f>
        <v>ET</v>
      </c>
      <c r="AL1405" s="72" t="str">
        <f>Tableau3[[#This Row],[Ref-Carte2]]&amp;"/"&amp;Tableau3[[#This Row],[ID-VOIE]]</f>
        <v>SDI1602/3</v>
      </c>
      <c r="AM1405" s="73" t="str">
        <f>INDEX(Tableau2[Borne],MATCH(Tableau3[[#This Row],[ID-CARTEVOIE]],Tableau2[ID-CARTEVOIE],0))&amp;""</f>
        <v>1A</v>
      </c>
      <c r="AN1405" s="74" t="str">
        <f>Tableau3[[#This Row],[ID-API]]&amp;Tableau3[[#This Row],[ID-RACK]]&amp;Tableau3[[#This Row],[ID-SLOT]]&amp;Tableau3[[#This Row],[BORNE]]</f>
        <v>9291A</v>
      </c>
      <c r="AO1405" s="1"/>
    </row>
    <row r="1406" spans="1:41" ht="20.100000000000001" customHeight="1" thickTop="1" thickBot="1">
      <c r="A1406" s="68"/>
      <c r="B1406" s="69" t="str">
        <f>IFERROR(INDEX(Tableau4[Date],MATCH($A1406,Tableau4[EVO],0)),"")</f>
        <v/>
      </c>
      <c r="C1406" s="68" t="str">
        <f>IFERROR(INDEX(Tableau4[Designation],MATCH($A1406,Tableau4[EVO],0)),"")</f>
        <v/>
      </c>
      <c r="D1406" s="68"/>
      <c r="E1406" s="70">
        <v>240</v>
      </c>
      <c r="F1406" s="71">
        <v>48</v>
      </c>
      <c r="G1406" s="101" t="str">
        <f>INDEX(Tableau8[Att1],MATCH(Tableau3[[#This Row],[ID-INS]],Tableau8[ID],0))&amp;""</f>
        <v>B22</v>
      </c>
      <c r="H1406" s="101" t="str">
        <f>INDEX(Tableau8[Att2],MATCH(Tableau3[[#This Row],[ID-INS]],Tableau8[ID],0))&amp;""</f>
        <v>TRSD3</v>
      </c>
      <c r="I1406" s="101" t="str">
        <f>INDEX(Tableau8[Att3],MATCH(Tableau3[[#This Row],[ID-INS]],Tableau8[ID],0))&amp;""</f>
        <v>Tourniquet TRSD3</v>
      </c>
      <c r="J1406" s="101"/>
      <c r="K1406" s="167" t="str">
        <f>INDEX(Tableau8[Nom du modele],MATCH(Tableau3[[#This Row],[ID-INS]],Tableau8[ID],0))&amp;""</f>
        <v>TRSD_2</v>
      </c>
      <c r="L1406" s="99" t="str">
        <f>INDEX(Tableau5[Att1],MATCH(Tableau3[[#This Row],[ID-SIG]],Tableau5[ID],0))&amp;""</f>
        <v>T2_Fer</v>
      </c>
      <c r="M1406" s="99" t="str">
        <f>INDEX(Tableau5[Att2],MATCH(Tableau3[[#This Row],[ID-SIG]],Tableau5[ID],0))&amp;""</f>
        <v/>
      </c>
      <c r="N1406" s="99" t="str">
        <f>INDEX(Tableau5[Att3],MATCH(Tableau3[[#This Row],[ID-SIG]],Tableau5[ID],0))&amp;""</f>
        <v/>
      </c>
      <c r="O1406" s="99"/>
      <c r="P1406" s="99" t="str">
        <f>INDEX(Tableau5[Description],MATCH(Tableau3[[#This Row],[ID-SIG]],Tableau5[ID],0))</f>
        <v>Position fermée entrée 2</v>
      </c>
      <c r="Q1406" s="99"/>
      <c r="R1406" s="103" t="str">
        <f>Tableau3[[#This Row],[Description]]</f>
        <v>Position fermée entrée 2</v>
      </c>
      <c r="U1406" s="87">
        <v>9</v>
      </c>
      <c r="V1406" s="87">
        <v>2</v>
      </c>
      <c r="W1406" s="87">
        <v>9</v>
      </c>
      <c r="X1406" s="87">
        <v>4</v>
      </c>
      <c r="Y1406" s="40"/>
      <c r="Z1406" s="165" t="str">
        <f>INDEX(Tableau2[TS],MATCH(Tableau3[[#This Row],[ID-CARTEVOIE]],Tableau2[ID-CARTEVOIE],0))</f>
        <v>ET</v>
      </c>
      <c r="AA1406" s="53" t="s">
        <v>213</v>
      </c>
      <c r="AB1406" s="223" t="str">
        <f>IFERROR(INDEX(Tableau5[Reserve],MATCH(Tableau3[[#This Row],[ID-SIG]],Tableau5[ID],0))&amp;"","")</f>
        <v/>
      </c>
      <c r="AC1406" s="21"/>
      <c r="AD1406" s="108" t="str">
        <f>INDEX(Tableau7[Repere],MATCH(Tableau3[[#This Row],[ID-API]],Tableau7[ID-API],0))&amp;""</f>
        <v>A9</v>
      </c>
      <c r="AE1406" s="108" t="str">
        <f>INDEX(Tableau1[Repere-Rack],MATCH(Tableau3[[#This Row],[ID-RACK]],Tableau1[ID-RACK],0))&amp;""</f>
        <v>R2</v>
      </c>
      <c r="AF1406" s="108" t="str">
        <f>INDEX(Tableau1[Repere-Slot],MATCH(Tableau3[[#This Row],[ID-SLOT]],Tableau1[ID-SLOT],0))&amp;""</f>
        <v>S9</v>
      </c>
      <c r="AG1406" s="108" t="str">
        <f>INDEX(Tableau2[Repere-Voie],MATCH(Tableau3[[#This Row],[ID-VOIE]],Tableau2[ID-Voie],0))&amp;""</f>
        <v>v4</v>
      </c>
      <c r="AH1406" s="72" t="str">
        <f>Tableau3[[#This Row],[ID-API]]&amp; "." &amp;Tableau3[[#This Row],[ID-RACK]]&amp; "." &amp;Tableau3[[#This Row],[ID-SLOT]]</f>
        <v>9.2.9</v>
      </c>
      <c r="AI1406" s="72" t="str">
        <f>INDEX(Tableau1[Ref-Carte],MATCH(Tableau3[[#This Row],[ID-RRS]],Tableau1[ID-RRS],0))</f>
        <v>SDI1602</v>
      </c>
      <c r="AJ1406" s="72" t="str">
        <f t="array" ref="AJ1406">IFERROR(INDEX(Tableau2[TS],MATCH(1,(Tableau2[Ref-Carte]=Tableau3[[#This Row],[Ref-Carte2]])*(Tableau2[ID-Voie]=Tableau3[[#This Row],[ID-VOIE]]),0)),"")</f>
        <v>ET</v>
      </c>
      <c r="AK1406" s="72" t="str">
        <f>IFERROR(INDEX(Tableau2[TS],SUMPRODUCT((Tableau2[Ref-Carte]=Tableau3[[#This Row],[Ref-Carte2]])*(Tableau2[ID-Voie]=Tableau3[[#This Row],[ID-VOIE]])*ROW(Tableau2[TS]))-ROW(Tableau2[#Headers])),"")</f>
        <v>ET</v>
      </c>
      <c r="AL1406" s="72" t="str">
        <f>Tableau3[[#This Row],[Ref-Carte2]]&amp;"/"&amp;Tableau3[[#This Row],[ID-VOIE]]</f>
        <v>SDI1602/4</v>
      </c>
      <c r="AM1406" s="73" t="str">
        <f>INDEX(Tableau2[Borne],MATCH(Tableau3[[#This Row],[ID-CARTEVOIE]],Tableau2[ID-CARTEVOIE],0))&amp;""</f>
        <v>2B</v>
      </c>
      <c r="AN1406" s="74" t="str">
        <f>Tableau3[[#This Row],[ID-API]]&amp;Tableau3[[#This Row],[ID-RACK]]&amp;Tableau3[[#This Row],[ID-SLOT]]&amp;Tableau3[[#This Row],[BORNE]]</f>
        <v>9292B</v>
      </c>
      <c r="AO1406" s="1"/>
    </row>
    <row r="1407" spans="1:41" ht="20.100000000000001" customHeight="1" thickTop="1" thickBot="1">
      <c r="A1407" s="68"/>
      <c r="B1407" s="69" t="str">
        <f>IFERROR(INDEX(Tableau4[Date],MATCH($A1407,Tableau4[EVO],0)),"")</f>
        <v/>
      </c>
      <c r="C1407" s="68" t="str">
        <f>IFERROR(INDEX(Tableau4[Designation],MATCH($A1407,Tableau4[EVO],0)),"")</f>
        <v/>
      </c>
      <c r="D1407" s="68"/>
      <c r="E1407" s="70">
        <v>240</v>
      </c>
      <c r="F1407" s="71">
        <v>49</v>
      </c>
      <c r="G1407" s="101" t="str">
        <f>INDEX(Tableau8[Att1],MATCH(Tableau3[[#This Row],[ID-INS]],Tableau8[ID],0))&amp;""</f>
        <v>B22</v>
      </c>
      <c r="H1407" s="101" t="str">
        <f>INDEX(Tableau8[Att2],MATCH(Tableau3[[#This Row],[ID-INS]],Tableau8[ID],0))&amp;""</f>
        <v>TRSD3</v>
      </c>
      <c r="I1407" s="101" t="str">
        <f>INDEX(Tableau8[Att3],MATCH(Tableau3[[#This Row],[ID-INS]],Tableau8[ID],0))&amp;""</f>
        <v>Tourniquet TRSD3</v>
      </c>
      <c r="J1407" s="101"/>
      <c r="K1407" s="167" t="str">
        <f>INDEX(Tableau8[Nom du modele],MATCH(Tableau3[[#This Row],[ID-INS]],Tableau8[ID],0))&amp;""</f>
        <v>TRSD_2</v>
      </c>
      <c r="L1407" s="99" t="str">
        <f>INDEX(Tableau5[Att1],MATCH(Tableau3[[#This Row],[ID-SIG]],Tableau5[ID],0))&amp;""</f>
        <v>T2S_OuvRet1</v>
      </c>
      <c r="M1407" s="99" t="str">
        <f>INDEX(Tableau5[Att2],MATCH(Tableau3[[#This Row],[ID-SIG]],Tableau5[ID],0))&amp;""</f>
        <v/>
      </c>
      <c r="N1407" s="99" t="str">
        <f>INDEX(Tableau5[Att3],MATCH(Tableau3[[#This Row],[ID-SIG]],Tableau5[ID],0))&amp;""</f>
        <v/>
      </c>
      <c r="O1407" s="99"/>
      <c r="P1407" s="99" t="str">
        <f>INDEX(Tableau5[Description],MATCH(Tableau3[[#This Row],[ID-SIG]],Tableau5[ID],0))</f>
        <v>Retour Commande 1 ouverture sortie 2</v>
      </c>
      <c r="Q1407" s="99"/>
      <c r="R1407" s="103" t="str">
        <f>Tableau3[[#This Row],[Description]]</f>
        <v>Retour Commande 1 ouverture sortie 2</v>
      </c>
      <c r="U1407" s="87">
        <v>9</v>
      </c>
      <c r="V1407" s="87">
        <v>2</v>
      </c>
      <c r="W1407" s="87">
        <v>9</v>
      </c>
      <c r="X1407" s="87">
        <v>5</v>
      </c>
      <c r="Y1407" s="40"/>
      <c r="Z1407" s="165" t="str">
        <f>INDEX(Tableau2[TS],MATCH(Tableau3[[#This Row],[ID-CARTEVOIE]],Tableau2[ID-CARTEVOIE],0))</f>
        <v>ET</v>
      </c>
      <c r="AA1407" s="53" t="s">
        <v>213</v>
      </c>
      <c r="AB1407" s="223" t="str">
        <f>IFERROR(INDEX(Tableau5[Reserve],MATCH(Tableau3[[#This Row],[ID-SIG]],Tableau5[ID],0))&amp;"","")</f>
        <v/>
      </c>
      <c r="AC1407" s="21"/>
      <c r="AD1407" s="108" t="str">
        <f>INDEX(Tableau7[Repere],MATCH(Tableau3[[#This Row],[ID-API]],Tableau7[ID-API],0))&amp;""</f>
        <v>A9</v>
      </c>
      <c r="AE1407" s="108" t="str">
        <f>INDEX(Tableau1[Repere-Rack],MATCH(Tableau3[[#This Row],[ID-RACK]],Tableau1[ID-RACK],0))&amp;""</f>
        <v>R2</v>
      </c>
      <c r="AF1407" s="108" t="str">
        <f>INDEX(Tableau1[Repere-Slot],MATCH(Tableau3[[#This Row],[ID-SLOT]],Tableau1[ID-SLOT],0))&amp;""</f>
        <v>S9</v>
      </c>
      <c r="AG1407" s="108" t="str">
        <f>INDEX(Tableau2[Repere-Voie],MATCH(Tableau3[[#This Row],[ID-VOIE]],Tableau2[ID-Voie],0))&amp;""</f>
        <v>v5</v>
      </c>
      <c r="AH1407" s="72" t="str">
        <f>Tableau3[[#This Row],[ID-API]]&amp; "." &amp;Tableau3[[#This Row],[ID-RACK]]&amp; "." &amp;Tableau3[[#This Row],[ID-SLOT]]</f>
        <v>9.2.9</v>
      </c>
      <c r="AI1407" s="72" t="str">
        <f>INDEX(Tableau1[Ref-Carte],MATCH(Tableau3[[#This Row],[ID-RRS]],Tableau1[ID-RRS],0))</f>
        <v>SDI1602</v>
      </c>
      <c r="AJ1407" s="72" t="str">
        <f t="array" ref="AJ1407">IFERROR(INDEX(Tableau2[TS],MATCH(1,(Tableau2[Ref-Carte]=Tableau3[[#This Row],[Ref-Carte2]])*(Tableau2[ID-Voie]=Tableau3[[#This Row],[ID-VOIE]]),0)),"")</f>
        <v>ET</v>
      </c>
      <c r="AK1407" s="72" t="str">
        <f>IFERROR(INDEX(Tableau2[TS],SUMPRODUCT((Tableau2[Ref-Carte]=Tableau3[[#This Row],[Ref-Carte2]])*(Tableau2[ID-Voie]=Tableau3[[#This Row],[ID-VOIE]])*ROW(Tableau2[TS]))-ROW(Tableau2[#Headers])),"")</f>
        <v>ET</v>
      </c>
      <c r="AL1407" s="72" t="str">
        <f>Tableau3[[#This Row],[Ref-Carte2]]&amp;"/"&amp;Tableau3[[#This Row],[ID-VOIE]]</f>
        <v>SDI1602/5</v>
      </c>
      <c r="AM1407" s="73" t="str">
        <f>INDEX(Tableau2[Borne],MATCH(Tableau3[[#This Row],[ID-CARTEVOIE]],Tableau2[ID-CARTEVOIE],0))&amp;""</f>
        <v>2A</v>
      </c>
      <c r="AN1407" s="74" t="str">
        <f>Tableau3[[#This Row],[ID-API]]&amp;Tableau3[[#This Row],[ID-RACK]]&amp;Tableau3[[#This Row],[ID-SLOT]]&amp;Tableau3[[#This Row],[BORNE]]</f>
        <v>9292A</v>
      </c>
      <c r="AO1407" s="1"/>
    </row>
    <row r="1408" spans="1:41" ht="20.100000000000001" customHeight="1" thickTop="1" thickBot="1">
      <c r="A1408" s="68"/>
      <c r="B1408" s="69" t="str">
        <f>IFERROR(INDEX(Tableau4[Date],MATCH($A1408,Tableau4[EVO],0)),"")</f>
        <v/>
      </c>
      <c r="C1408" s="68" t="str">
        <f>IFERROR(INDEX(Tableau4[Designation],MATCH($A1408,Tableau4[EVO],0)),"")</f>
        <v/>
      </c>
      <c r="D1408" s="68"/>
      <c r="E1408" s="70">
        <v>243</v>
      </c>
      <c r="F1408" s="71">
        <v>61</v>
      </c>
      <c r="G1408" s="101" t="str">
        <f>INDEX(Tableau8[Att1],MATCH(Tableau3[[#This Row],[ID-INS]],Tableau8[ID],0))&amp;""</f>
        <v>GR</v>
      </c>
      <c r="H1408" s="101" t="str">
        <f>INDEX(Tableau8[Att2],MATCH(Tableau3[[#This Row],[ID-INS]],Tableau8[ID],0))&amp;""</f>
        <v>PMR4</v>
      </c>
      <c r="I1408" s="101" t="str">
        <f>INDEX(Tableau8[Att3],MATCH(Tableau3[[#This Row],[ID-INS]],Tableau8[ID],0))&amp;""</f>
        <v>PMR4</v>
      </c>
      <c r="J1408" s="101"/>
      <c r="K1408" s="167" t="str">
        <f>INDEX(Tableau8[Nom du modele],MATCH(Tableau3[[#This Row],[ID-INS]],Tableau8[ID],0))&amp;""</f>
        <v>PMR_2</v>
      </c>
      <c r="L1408" s="99" t="str">
        <f>INDEX(Tableau5[Att1],MATCH(Tableau3[[#This Row],[ID-SIG]],Tableau5[ID],0))&amp;""</f>
        <v>TS_OuvRet2</v>
      </c>
      <c r="M1408" s="99" t="str">
        <f>INDEX(Tableau5[Att2],MATCH(Tableau3[[#This Row],[ID-SIG]],Tableau5[ID],0))&amp;""</f>
        <v/>
      </c>
      <c r="N1408" s="99" t="str">
        <f>INDEX(Tableau5[Att3],MATCH(Tableau3[[#This Row],[ID-SIG]],Tableau5[ID],0))&amp;""</f>
        <v/>
      </c>
      <c r="O1408" s="99"/>
      <c r="P1408" s="99" t="str">
        <f>INDEX(Tableau5[Description],MATCH(Tableau3[[#This Row],[ID-SIG]],Tableau5[ID],0))</f>
        <v>Retour Commande 2 ouverture sortie</v>
      </c>
      <c r="Q1408" s="99"/>
      <c r="R1408" s="103" t="str">
        <f>Tableau3[[#This Row],[Description]]</f>
        <v>Retour Commande 2 ouverture sortie</v>
      </c>
      <c r="U1408" s="87">
        <v>9</v>
      </c>
      <c r="V1408" s="87">
        <v>2</v>
      </c>
      <c r="W1408" s="87">
        <v>9</v>
      </c>
      <c r="X1408" s="87">
        <v>6</v>
      </c>
      <c r="Y1408" s="40"/>
      <c r="Z1408" s="165" t="str">
        <f>INDEX(Tableau2[TS],MATCH(Tableau3[[#This Row],[ID-CARTEVOIE]],Tableau2[ID-CARTEVOIE],0))</f>
        <v>ET</v>
      </c>
      <c r="AA1408" s="53" t="s">
        <v>213</v>
      </c>
      <c r="AB1408" s="223" t="str">
        <f>IFERROR(INDEX(Tableau5[Reserve],MATCH(Tableau3[[#This Row],[ID-SIG]],Tableau5[ID],0))&amp;"","")</f>
        <v/>
      </c>
      <c r="AC1408" s="21"/>
      <c r="AD1408" s="108" t="str">
        <f>INDEX(Tableau7[Repere],MATCH(Tableau3[[#This Row],[ID-API]],Tableau7[ID-API],0))&amp;""</f>
        <v>A9</v>
      </c>
      <c r="AE1408" s="108" t="str">
        <f>INDEX(Tableau1[Repere-Rack],MATCH(Tableau3[[#This Row],[ID-RACK]],Tableau1[ID-RACK],0))&amp;""</f>
        <v>R2</v>
      </c>
      <c r="AF1408" s="108" t="str">
        <f>INDEX(Tableau1[Repere-Slot],MATCH(Tableau3[[#This Row],[ID-SLOT]],Tableau1[ID-SLOT],0))&amp;""</f>
        <v>S9</v>
      </c>
      <c r="AG1408" s="108" t="str">
        <f>INDEX(Tableau2[Repere-Voie],MATCH(Tableau3[[#This Row],[ID-VOIE]],Tableau2[ID-Voie],0))&amp;""</f>
        <v>v6</v>
      </c>
      <c r="AH1408" s="72" t="str">
        <f>Tableau3[[#This Row],[ID-API]]&amp; "." &amp;Tableau3[[#This Row],[ID-RACK]]&amp; "." &amp;Tableau3[[#This Row],[ID-SLOT]]</f>
        <v>9.2.9</v>
      </c>
      <c r="AI1408" s="72" t="str">
        <f>INDEX(Tableau1[Ref-Carte],MATCH(Tableau3[[#This Row],[ID-RRS]],Tableau1[ID-RRS],0))</f>
        <v>SDI1602</v>
      </c>
      <c r="AJ1408" s="72" t="str">
        <f t="array" ref="AJ1408">IFERROR(INDEX(Tableau2[TS],MATCH(1,(Tableau2[Ref-Carte]=Tableau3[[#This Row],[Ref-Carte2]])*(Tableau2[ID-Voie]=Tableau3[[#This Row],[ID-VOIE]]),0)),"")</f>
        <v>ET</v>
      </c>
      <c r="AK1408" s="72" t="str">
        <f>IFERROR(INDEX(Tableau2[TS],SUMPRODUCT((Tableau2[Ref-Carte]=Tableau3[[#This Row],[Ref-Carte2]])*(Tableau2[ID-Voie]=Tableau3[[#This Row],[ID-VOIE]])*ROW(Tableau2[TS]))-ROW(Tableau2[#Headers])),"")</f>
        <v>ET</v>
      </c>
      <c r="AL1408" s="72" t="str">
        <f>Tableau3[[#This Row],[Ref-Carte2]]&amp;"/"&amp;Tableau3[[#This Row],[ID-VOIE]]</f>
        <v>SDI1602/6</v>
      </c>
      <c r="AM1408" s="73" t="str">
        <f>INDEX(Tableau2[Borne],MATCH(Tableau3[[#This Row],[ID-CARTEVOIE]],Tableau2[ID-CARTEVOIE],0))&amp;""</f>
        <v>3B</v>
      </c>
      <c r="AN1408" s="74" t="str">
        <f>Tableau3[[#This Row],[ID-API]]&amp;Tableau3[[#This Row],[ID-RACK]]&amp;Tableau3[[#This Row],[ID-SLOT]]&amp;Tableau3[[#This Row],[BORNE]]</f>
        <v>9293B</v>
      </c>
      <c r="AO1408" s="1"/>
    </row>
    <row r="1409" spans="1:41" ht="20.100000000000001" customHeight="1" thickTop="1" thickBot="1">
      <c r="A1409" s="68"/>
      <c r="B1409" s="69" t="str">
        <f>IFERROR(INDEX(Tableau4[Date],MATCH($A1409,Tableau4[EVO],0)),"")</f>
        <v/>
      </c>
      <c r="C1409" s="68" t="str">
        <f>IFERROR(INDEX(Tableau4[Designation],MATCH($A1409,Tableau4[EVO],0)),"")</f>
        <v/>
      </c>
      <c r="D1409" s="68"/>
      <c r="E1409" s="70">
        <v>243</v>
      </c>
      <c r="F1409" s="71">
        <v>62</v>
      </c>
      <c r="G1409" s="101" t="str">
        <f>INDEX(Tableau8[Att1],MATCH(Tableau3[[#This Row],[ID-INS]],Tableau8[ID],0))&amp;""</f>
        <v>GR</v>
      </c>
      <c r="H1409" s="101" t="str">
        <f>INDEX(Tableau8[Att2],MATCH(Tableau3[[#This Row],[ID-INS]],Tableau8[ID],0))&amp;""</f>
        <v>PMR4</v>
      </c>
      <c r="I1409" s="101" t="str">
        <f>INDEX(Tableau8[Att3],MATCH(Tableau3[[#This Row],[ID-INS]],Tableau8[ID],0))&amp;""</f>
        <v>PMR4</v>
      </c>
      <c r="J1409" s="101"/>
      <c r="K1409" s="167" t="str">
        <f>INDEX(Tableau8[Nom du modele],MATCH(Tableau3[[#This Row],[ID-INS]],Tableau8[ID],0))&amp;""</f>
        <v>PMR_2</v>
      </c>
      <c r="L1409" s="99" t="str">
        <f>INDEX(Tableau5[Att1],MATCH(Tableau3[[#This Row],[ID-SIG]],Tableau5[ID],0))&amp;""</f>
        <v>Fer1</v>
      </c>
      <c r="M1409" s="99" t="str">
        <f>INDEX(Tableau5[Att2],MATCH(Tableau3[[#This Row],[ID-SIG]],Tableau5[ID],0))&amp;""</f>
        <v/>
      </c>
      <c r="N1409" s="99" t="str">
        <f>INDEX(Tableau5[Att3],MATCH(Tableau3[[#This Row],[ID-SIG]],Tableau5[ID],0))&amp;""</f>
        <v/>
      </c>
      <c r="O1409" s="99"/>
      <c r="P1409" s="99" t="str">
        <f>INDEX(Tableau5[Description],MATCH(Tableau3[[#This Row],[ID-SIG]],Tableau5[ID],0))</f>
        <v>Porte fermée 1</v>
      </c>
      <c r="Q1409" s="99"/>
      <c r="R1409" s="103" t="str">
        <f>Tableau3[[#This Row],[Description]]</f>
        <v>Porte fermée 1</v>
      </c>
      <c r="U1409" s="87">
        <v>9</v>
      </c>
      <c r="V1409" s="87">
        <v>2</v>
      </c>
      <c r="W1409" s="87">
        <v>9</v>
      </c>
      <c r="X1409" s="87">
        <v>7</v>
      </c>
      <c r="Y1409" s="40"/>
      <c r="Z1409" s="165" t="str">
        <f>INDEX(Tableau2[TS],MATCH(Tableau3[[#This Row],[ID-CARTEVOIE]],Tableau2[ID-CARTEVOIE],0))</f>
        <v>ET</v>
      </c>
      <c r="AA1409" s="53" t="s">
        <v>213</v>
      </c>
      <c r="AB1409" s="223" t="str">
        <f>IFERROR(INDEX(Tableau5[Reserve],MATCH(Tableau3[[#This Row],[ID-SIG]],Tableau5[ID],0))&amp;"","")</f>
        <v/>
      </c>
      <c r="AC1409" s="21"/>
      <c r="AD1409" s="108" t="str">
        <f>INDEX(Tableau7[Repere],MATCH(Tableau3[[#This Row],[ID-API]],Tableau7[ID-API],0))&amp;""</f>
        <v>A9</v>
      </c>
      <c r="AE1409" s="108" t="str">
        <f>INDEX(Tableau1[Repere-Rack],MATCH(Tableau3[[#This Row],[ID-RACK]],Tableau1[ID-RACK],0))&amp;""</f>
        <v>R2</v>
      </c>
      <c r="AF1409" s="108" t="str">
        <f>INDEX(Tableau1[Repere-Slot],MATCH(Tableau3[[#This Row],[ID-SLOT]],Tableau1[ID-SLOT],0))&amp;""</f>
        <v>S9</v>
      </c>
      <c r="AG1409" s="108" t="str">
        <f>INDEX(Tableau2[Repere-Voie],MATCH(Tableau3[[#This Row],[ID-VOIE]],Tableau2[ID-Voie],0))&amp;""</f>
        <v>v7</v>
      </c>
      <c r="AH1409" s="72" t="str">
        <f>Tableau3[[#This Row],[ID-API]]&amp; "." &amp;Tableau3[[#This Row],[ID-RACK]]&amp; "." &amp;Tableau3[[#This Row],[ID-SLOT]]</f>
        <v>9.2.9</v>
      </c>
      <c r="AI1409" s="72" t="str">
        <f>INDEX(Tableau1[Ref-Carte],MATCH(Tableau3[[#This Row],[ID-RRS]],Tableau1[ID-RRS],0))</f>
        <v>SDI1602</v>
      </c>
      <c r="AJ1409" s="72" t="str">
        <f t="array" ref="AJ1409">IFERROR(INDEX(Tableau2[TS],MATCH(1,(Tableau2[Ref-Carte]=Tableau3[[#This Row],[Ref-Carte2]])*(Tableau2[ID-Voie]=Tableau3[[#This Row],[ID-VOIE]]),0)),"")</f>
        <v>ET</v>
      </c>
      <c r="AK1409" s="72" t="str">
        <f>IFERROR(INDEX(Tableau2[TS],SUMPRODUCT((Tableau2[Ref-Carte]=Tableau3[[#This Row],[Ref-Carte2]])*(Tableau2[ID-Voie]=Tableau3[[#This Row],[ID-VOIE]])*ROW(Tableau2[TS]))-ROW(Tableau2[#Headers])),"")</f>
        <v>ET</v>
      </c>
      <c r="AL1409" s="72" t="str">
        <f>Tableau3[[#This Row],[Ref-Carte2]]&amp;"/"&amp;Tableau3[[#This Row],[ID-VOIE]]</f>
        <v>SDI1602/7</v>
      </c>
      <c r="AM1409" s="73" t="str">
        <f>INDEX(Tableau2[Borne],MATCH(Tableau3[[#This Row],[ID-CARTEVOIE]],Tableau2[ID-CARTEVOIE],0))&amp;""</f>
        <v>3A</v>
      </c>
      <c r="AN1409" s="74" t="str">
        <f>Tableau3[[#This Row],[ID-API]]&amp;Tableau3[[#This Row],[ID-RACK]]&amp;Tableau3[[#This Row],[ID-SLOT]]&amp;Tableau3[[#This Row],[BORNE]]</f>
        <v>9293A</v>
      </c>
      <c r="AO1409" s="1"/>
    </row>
    <row r="1410" spans="1:41" ht="20.100000000000001" customHeight="1" thickTop="1" thickBot="1">
      <c r="A1410" s="68"/>
      <c r="B1410" s="69" t="str">
        <f>IFERROR(INDEX(Tableau4[Date],MATCH($A1410,Tableau4[EVO],0)),"")</f>
        <v/>
      </c>
      <c r="C1410" s="68" t="str">
        <f>IFERROR(INDEX(Tableau4[Designation],MATCH($A1410,Tableau4[EVO],0)),"")</f>
        <v/>
      </c>
      <c r="D1410" s="68"/>
      <c r="E1410" s="70">
        <v>246</v>
      </c>
      <c r="F1410" s="71">
        <v>61</v>
      </c>
      <c r="G1410" s="101" t="str">
        <f>INDEX(Tableau8[Att1],MATCH(Tableau3[[#This Row],[ID-INS]],Tableau8[ID],0))&amp;""</f>
        <v>B22</v>
      </c>
      <c r="H1410" s="101" t="str">
        <f>INDEX(Tableau8[Att2],MATCH(Tableau3[[#This Row],[ID-INS]],Tableau8[ID],0))&amp;""</f>
        <v>PMR1</v>
      </c>
      <c r="I1410" s="101" t="str">
        <f>INDEX(Tableau8[Att3],MATCH(Tableau3[[#This Row],[ID-INS]],Tableau8[ID],0))&amp;""</f>
        <v>PMR1</v>
      </c>
      <c r="J1410" s="101"/>
      <c r="K1410" s="167" t="str">
        <f>INDEX(Tableau8[Nom du modele],MATCH(Tableau3[[#This Row],[ID-INS]],Tableau8[ID],0))&amp;""</f>
        <v>PMR_2</v>
      </c>
      <c r="L1410" s="99" t="str">
        <f>INDEX(Tableau5[Att1],MATCH(Tableau3[[#This Row],[ID-SIG]],Tableau5[ID],0))&amp;""</f>
        <v>TS_OuvRet2</v>
      </c>
      <c r="M1410" s="99" t="str">
        <f>INDEX(Tableau5[Att2],MATCH(Tableau3[[#This Row],[ID-SIG]],Tableau5[ID],0))&amp;""</f>
        <v/>
      </c>
      <c r="N1410" s="99" t="str">
        <f>INDEX(Tableau5[Att3],MATCH(Tableau3[[#This Row],[ID-SIG]],Tableau5[ID],0))&amp;""</f>
        <v/>
      </c>
      <c r="O1410" s="99"/>
      <c r="P1410" s="99" t="str">
        <f>INDEX(Tableau5[Description],MATCH(Tableau3[[#This Row],[ID-SIG]],Tableau5[ID],0))</f>
        <v>Retour Commande 2 ouverture sortie</v>
      </c>
      <c r="Q1410" s="99"/>
      <c r="R1410" s="103" t="str">
        <f>Tableau3[[#This Row],[Description]]</f>
        <v>Retour Commande 2 ouverture sortie</v>
      </c>
      <c r="U1410" s="87">
        <v>9</v>
      </c>
      <c r="V1410" s="87">
        <v>2</v>
      </c>
      <c r="W1410" s="87">
        <v>9</v>
      </c>
      <c r="X1410" s="87">
        <v>8</v>
      </c>
      <c r="Y1410" s="40"/>
      <c r="Z1410" s="165" t="str">
        <f>INDEX(Tableau2[TS],MATCH(Tableau3[[#This Row],[ID-CARTEVOIE]],Tableau2[ID-CARTEVOIE],0))</f>
        <v>ET</v>
      </c>
      <c r="AA1410" s="53" t="s">
        <v>213</v>
      </c>
      <c r="AB1410" s="223" t="str">
        <f>IFERROR(INDEX(Tableau5[Reserve],MATCH(Tableau3[[#This Row],[ID-SIG]],Tableau5[ID],0))&amp;"","")</f>
        <v/>
      </c>
      <c r="AC1410" s="21"/>
      <c r="AD1410" s="108" t="str">
        <f>INDEX(Tableau7[Repere],MATCH(Tableau3[[#This Row],[ID-API]],Tableau7[ID-API],0))&amp;""</f>
        <v>A9</v>
      </c>
      <c r="AE1410" s="108" t="str">
        <f>INDEX(Tableau1[Repere-Rack],MATCH(Tableau3[[#This Row],[ID-RACK]],Tableau1[ID-RACK],0))&amp;""</f>
        <v>R2</v>
      </c>
      <c r="AF1410" s="108" t="str">
        <f>INDEX(Tableau1[Repere-Slot],MATCH(Tableau3[[#This Row],[ID-SLOT]],Tableau1[ID-SLOT],0))&amp;""</f>
        <v>S9</v>
      </c>
      <c r="AG1410" s="108" t="str">
        <f>INDEX(Tableau2[Repere-Voie],MATCH(Tableau3[[#This Row],[ID-VOIE]],Tableau2[ID-Voie],0))&amp;""</f>
        <v>v8</v>
      </c>
      <c r="AH1410" s="72" t="str">
        <f>Tableau3[[#This Row],[ID-API]]&amp; "." &amp;Tableau3[[#This Row],[ID-RACK]]&amp; "." &amp;Tableau3[[#This Row],[ID-SLOT]]</f>
        <v>9.2.9</v>
      </c>
      <c r="AI1410" s="72" t="str">
        <f>INDEX(Tableau1[Ref-Carte],MATCH(Tableau3[[#This Row],[ID-RRS]],Tableau1[ID-RRS],0))</f>
        <v>SDI1602</v>
      </c>
      <c r="AJ1410" s="72" t="str">
        <f t="array" ref="AJ1410">IFERROR(INDEX(Tableau2[TS],MATCH(1,(Tableau2[Ref-Carte]=Tableau3[[#This Row],[Ref-Carte2]])*(Tableau2[ID-Voie]=Tableau3[[#This Row],[ID-VOIE]]),0)),"")</f>
        <v>ET</v>
      </c>
      <c r="AK1410" s="72" t="str">
        <f>IFERROR(INDEX(Tableau2[TS],SUMPRODUCT((Tableau2[Ref-Carte]=Tableau3[[#This Row],[Ref-Carte2]])*(Tableau2[ID-Voie]=Tableau3[[#This Row],[ID-VOIE]])*ROW(Tableau2[TS]))-ROW(Tableau2[#Headers])),"")</f>
        <v>ET</v>
      </c>
      <c r="AL1410" s="72" t="str">
        <f>Tableau3[[#This Row],[Ref-Carte2]]&amp;"/"&amp;Tableau3[[#This Row],[ID-VOIE]]</f>
        <v>SDI1602/8</v>
      </c>
      <c r="AM1410" s="73" t="str">
        <f>INDEX(Tableau2[Borne],MATCH(Tableau3[[#This Row],[ID-CARTEVOIE]],Tableau2[ID-CARTEVOIE],0))&amp;""</f>
        <v>4B</v>
      </c>
      <c r="AN1410" s="74" t="str">
        <f>Tableau3[[#This Row],[ID-API]]&amp;Tableau3[[#This Row],[ID-RACK]]&amp;Tableau3[[#This Row],[ID-SLOT]]&amp;Tableau3[[#This Row],[BORNE]]</f>
        <v>9294B</v>
      </c>
      <c r="AO1410" s="1"/>
    </row>
    <row r="1411" spans="1:41" ht="20.100000000000001" customHeight="1" thickTop="1" thickBot="1">
      <c r="A1411" s="68"/>
      <c r="B1411" s="69" t="str">
        <f>IFERROR(INDEX(Tableau4[Date],MATCH($A1411,Tableau4[EVO],0)),"")</f>
        <v/>
      </c>
      <c r="C1411" s="68" t="str">
        <f>IFERROR(INDEX(Tableau4[Designation],MATCH($A1411,Tableau4[EVO],0)),"")</f>
        <v/>
      </c>
      <c r="D1411" s="68"/>
      <c r="E1411" s="70">
        <v>246</v>
      </c>
      <c r="F1411" s="71">
        <v>62</v>
      </c>
      <c r="G1411" s="101" t="str">
        <f>INDEX(Tableau8[Att1],MATCH(Tableau3[[#This Row],[ID-INS]],Tableau8[ID],0))&amp;""</f>
        <v>B22</v>
      </c>
      <c r="H1411" s="101" t="str">
        <f>INDEX(Tableau8[Att2],MATCH(Tableau3[[#This Row],[ID-INS]],Tableau8[ID],0))&amp;""</f>
        <v>PMR1</v>
      </c>
      <c r="I1411" s="101" t="str">
        <f>INDEX(Tableau8[Att3],MATCH(Tableau3[[#This Row],[ID-INS]],Tableau8[ID],0))&amp;""</f>
        <v>PMR1</v>
      </c>
      <c r="J1411" s="101"/>
      <c r="K1411" s="167" t="str">
        <f>INDEX(Tableau8[Nom du modele],MATCH(Tableau3[[#This Row],[ID-INS]],Tableau8[ID],0))&amp;""</f>
        <v>PMR_2</v>
      </c>
      <c r="L1411" s="99" t="str">
        <f>INDEX(Tableau5[Att1],MATCH(Tableau3[[#This Row],[ID-SIG]],Tableau5[ID],0))&amp;""</f>
        <v>Fer1</v>
      </c>
      <c r="M1411" s="99" t="str">
        <f>INDEX(Tableau5[Att2],MATCH(Tableau3[[#This Row],[ID-SIG]],Tableau5[ID],0))&amp;""</f>
        <v/>
      </c>
      <c r="N1411" s="99" t="str">
        <f>INDEX(Tableau5[Att3],MATCH(Tableau3[[#This Row],[ID-SIG]],Tableau5[ID],0))&amp;""</f>
        <v/>
      </c>
      <c r="O1411" s="99"/>
      <c r="P1411" s="99" t="str">
        <f>INDEX(Tableau5[Description],MATCH(Tableau3[[#This Row],[ID-SIG]],Tableau5[ID],0))</f>
        <v>Porte fermée 1</v>
      </c>
      <c r="Q1411" s="99"/>
      <c r="R1411" s="103" t="str">
        <f>Tableau3[[#This Row],[Description]]</f>
        <v>Porte fermée 1</v>
      </c>
      <c r="U1411" s="87">
        <v>9</v>
      </c>
      <c r="V1411" s="87">
        <v>2</v>
      </c>
      <c r="W1411" s="87">
        <v>9</v>
      </c>
      <c r="X1411" s="87">
        <v>9</v>
      </c>
      <c r="Y1411" s="40"/>
      <c r="Z1411" s="165" t="str">
        <f>INDEX(Tableau2[TS],MATCH(Tableau3[[#This Row],[ID-CARTEVOIE]],Tableau2[ID-CARTEVOIE],0))</f>
        <v>ET</v>
      </c>
      <c r="AA1411" s="53" t="s">
        <v>213</v>
      </c>
      <c r="AB1411" s="223" t="str">
        <f>IFERROR(INDEX(Tableau5[Reserve],MATCH(Tableau3[[#This Row],[ID-SIG]],Tableau5[ID],0))&amp;"","")</f>
        <v/>
      </c>
      <c r="AC1411" s="21"/>
      <c r="AD1411" s="108" t="str">
        <f>INDEX(Tableau7[Repere],MATCH(Tableau3[[#This Row],[ID-API]],Tableau7[ID-API],0))&amp;""</f>
        <v>A9</v>
      </c>
      <c r="AE1411" s="108" t="str">
        <f>INDEX(Tableau1[Repere-Rack],MATCH(Tableau3[[#This Row],[ID-RACK]],Tableau1[ID-RACK],0))&amp;""</f>
        <v>R2</v>
      </c>
      <c r="AF1411" s="108" t="str">
        <f>INDEX(Tableau1[Repere-Slot],MATCH(Tableau3[[#This Row],[ID-SLOT]],Tableau1[ID-SLOT],0))&amp;""</f>
        <v>S9</v>
      </c>
      <c r="AG1411" s="108" t="str">
        <f>INDEX(Tableau2[Repere-Voie],MATCH(Tableau3[[#This Row],[ID-VOIE]],Tableau2[ID-Voie],0))&amp;""</f>
        <v>v9</v>
      </c>
      <c r="AH1411" s="72" t="str">
        <f>Tableau3[[#This Row],[ID-API]]&amp; "." &amp;Tableau3[[#This Row],[ID-RACK]]&amp; "." &amp;Tableau3[[#This Row],[ID-SLOT]]</f>
        <v>9.2.9</v>
      </c>
      <c r="AI1411" s="72" t="str">
        <f>INDEX(Tableau1[Ref-Carte],MATCH(Tableau3[[#This Row],[ID-RRS]],Tableau1[ID-RRS],0))</f>
        <v>SDI1602</v>
      </c>
      <c r="AJ1411" s="72" t="str">
        <f t="array" ref="AJ1411">IFERROR(INDEX(Tableau2[TS],MATCH(1,(Tableau2[Ref-Carte]=Tableau3[[#This Row],[Ref-Carte2]])*(Tableau2[ID-Voie]=Tableau3[[#This Row],[ID-VOIE]]),0)),"")</f>
        <v>ET</v>
      </c>
      <c r="AK1411" s="72" t="str">
        <f>IFERROR(INDEX(Tableau2[TS],SUMPRODUCT((Tableau2[Ref-Carte]=Tableau3[[#This Row],[Ref-Carte2]])*(Tableau2[ID-Voie]=Tableau3[[#This Row],[ID-VOIE]])*ROW(Tableau2[TS]))-ROW(Tableau2[#Headers])),"")</f>
        <v>ET</v>
      </c>
      <c r="AL1411" s="72" t="str">
        <f>Tableau3[[#This Row],[Ref-Carte2]]&amp;"/"&amp;Tableau3[[#This Row],[ID-VOIE]]</f>
        <v>SDI1602/9</v>
      </c>
      <c r="AM1411" s="73" t="str">
        <f>INDEX(Tableau2[Borne],MATCH(Tableau3[[#This Row],[ID-CARTEVOIE]],Tableau2[ID-CARTEVOIE],0))&amp;""</f>
        <v>4A</v>
      </c>
      <c r="AN1411" s="74" t="str">
        <f>Tableau3[[#This Row],[ID-API]]&amp;Tableau3[[#This Row],[ID-RACK]]&amp;Tableau3[[#This Row],[ID-SLOT]]&amp;Tableau3[[#This Row],[BORNE]]</f>
        <v>9294A</v>
      </c>
      <c r="AO1411" s="1"/>
    </row>
    <row r="1412" spans="1:41" ht="20.100000000000001" customHeight="1" thickTop="1" thickBot="1">
      <c r="A1412" s="68"/>
      <c r="B1412" s="69" t="str">
        <f>IFERROR(INDEX(Tableau4[Date],MATCH($A1412,Tableau4[EVO],0)),"")</f>
        <v/>
      </c>
      <c r="C1412" s="68" t="str">
        <f>IFERROR(INDEX(Tableau4[Designation],MATCH($A1412,Tableau4[EVO],0)),"")</f>
        <v/>
      </c>
      <c r="D1412" s="68"/>
      <c r="E1412" s="70">
        <v>247</v>
      </c>
      <c r="F1412" s="71">
        <v>61</v>
      </c>
      <c r="G1412" s="101" t="str">
        <f>INDEX(Tableau8[Att1],MATCH(Tableau3[[#This Row],[ID-INS]],Tableau8[ID],0))&amp;""</f>
        <v>B22</v>
      </c>
      <c r="H1412" s="101" t="str">
        <f>INDEX(Tableau8[Att2],MATCH(Tableau3[[#This Row],[ID-INS]],Tableau8[ID],0))&amp;""</f>
        <v>PMR2</v>
      </c>
      <c r="I1412" s="101" t="str">
        <f>INDEX(Tableau8[Att3],MATCH(Tableau3[[#This Row],[ID-INS]],Tableau8[ID],0))&amp;""</f>
        <v>PMR2</v>
      </c>
      <c r="J1412" s="101"/>
      <c r="K1412" s="167" t="str">
        <f>INDEX(Tableau8[Nom du modele],MATCH(Tableau3[[#This Row],[ID-INS]],Tableau8[ID],0))&amp;""</f>
        <v>PMR_2</v>
      </c>
      <c r="L1412" s="99" t="str">
        <f>INDEX(Tableau5[Att1],MATCH(Tableau3[[#This Row],[ID-SIG]],Tableau5[ID],0))&amp;""</f>
        <v>TS_OuvRet2</v>
      </c>
      <c r="M1412" s="99" t="str">
        <f>INDEX(Tableau5[Att2],MATCH(Tableau3[[#This Row],[ID-SIG]],Tableau5[ID],0))&amp;""</f>
        <v/>
      </c>
      <c r="N1412" s="99" t="str">
        <f>INDEX(Tableau5[Att3],MATCH(Tableau3[[#This Row],[ID-SIG]],Tableau5[ID],0))&amp;""</f>
        <v/>
      </c>
      <c r="O1412" s="99"/>
      <c r="P1412" s="99" t="str">
        <f>INDEX(Tableau5[Description],MATCH(Tableau3[[#This Row],[ID-SIG]],Tableau5[ID],0))</f>
        <v>Retour Commande 2 ouverture sortie</v>
      </c>
      <c r="Q1412" s="99"/>
      <c r="R1412" s="103" t="str">
        <f>Tableau3[[#This Row],[Description]]</f>
        <v>Retour Commande 2 ouverture sortie</v>
      </c>
      <c r="U1412" s="87">
        <v>9</v>
      </c>
      <c r="V1412" s="87">
        <v>2</v>
      </c>
      <c r="W1412" s="87">
        <v>9</v>
      </c>
      <c r="X1412" s="87">
        <v>10</v>
      </c>
      <c r="Y1412" s="40"/>
      <c r="Z1412" s="165" t="str">
        <f>INDEX(Tableau2[TS],MATCH(Tableau3[[#This Row],[ID-CARTEVOIE]],Tableau2[ID-CARTEVOIE],0))</f>
        <v>ET</v>
      </c>
      <c r="AA1412" s="53" t="s">
        <v>213</v>
      </c>
      <c r="AB1412" s="223" t="str">
        <f>IFERROR(INDEX(Tableau5[Reserve],MATCH(Tableau3[[#This Row],[ID-SIG]],Tableau5[ID],0))&amp;"","")</f>
        <v/>
      </c>
      <c r="AC1412" s="21"/>
      <c r="AD1412" s="108" t="str">
        <f>INDEX(Tableau7[Repere],MATCH(Tableau3[[#This Row],[ID-API]],Tableau7[ID-API],0))&amp;""</f>
        <v>A9</v>
      </c>
      <c r="AE1412" s="108" t="str">
        <f>INDEX(Tableau1[Repere-Rack],MATCH(Tableau3[[#This Row],[ID-RACK]],Tableau1[ID-RACK],0))&amp;""</f>
        <v>R2</v>
      </c>
      <c r="AF1412" s="108" t="str">
        <f>INDEX(Tableau1[Repere-Slot],MATCH(Tableau3[[#This Row],[ID-SLOT]],Tableau1[ID-SLOT],0))&amp;""</f>
        <v>S9</v>
      </c>
      <c r="AG1412" s="108" t="str">
        <f>INDEX(Tableau2[Repere-Voie],MATCH(Tableau3[[#This Row],[ID-VOIE]],Tableau2[ID-Voie],0))&amp;""</f>
        <v>v10</v>
      </c>
      <c r="AH1412" s="72" t="str">
        <f>Tableau3[[#This Row],[ID-API]]&amp; "." &amp;Tableau3[[#This Row],[ID-RACK]]&amp; "." &amp;Tableau3[[#This Row],[ID-SLOT]]</f>
        <v>9.2.9</v>
      </c>
      <c r="AI1412" s="72" t="str">
        <f>INDEX(Tableau1[Ref-Carte],MATCH(Tableau3[[#This Row],[ID-RRS]],Tableau1[ID-RRS],0))</f>
        <v>SDI1602</v>
      </c>
      <c r="AJ1412" s="72" t="str">
        <f t="array" ref="AJ1412">IFERROR(INDEX(Tableau2[TS],MATCH(1,(Tableau2[Ref-Carte]=Tableau3[[#This Row],[Ref-Carte2]])*(Tableau2[ID-Voie]=Tableau3[[#This Row],[ID-VOIE]]),0)),"")</f>
        <v>ET</v>
      </c>
      <c r="AK1412" s="72" t="str">
        <f>IFERROR(INDEX(Tableau2[TS],SUMPRODUCT((Tableau2[Ref-Carte]=Tableau3[[#This Row],[Ref-Carte2]])*(Tableau2[ID-Voie]=Tableau3[[#This Row],[ID-VOIE]])*ROW(Tableau2[TS]))-ROW(Tableau2[#Headers])),"")</f>
        <v>ET</v>
      </c>
      <c r="AL1412" s="72" t="str">
        <f>Tableau3[[#This Row],[Ref-Carte2]]&amp;"/"&amp;Tableau3[[#This Row],[ID-VOIE]]</f>
        <v>SDI1602/10</v>
      </c>
      <c r="AM1412" s="73" t="str">
        <f>INDEX(Tableau2[Borne],MATCH(Tableau3[[#This Row],[ID-CARTEVOIE]],Tableau2[ID-CARTEVOIE],0))&amp;""</f>
        <v>5B</v>
      </c>
      <c r="AN1412" s="74" t="str">
        <f>Tableau3[[#This Row],[ID-API]]&amp;Tableau3[[#This Row],[ID-RACK]]&amp;Tableau3[[#This Row],[ID-SLOT]]&amp;Tableau3[[#This Row],[BORNE]]</f>
        <v>9295B</v>
      </c>
      <c r="AO1412" s="1"/>
    </row>
    <row r="1413" spans="1:41" ht="20.100000000000001" customHeight="1" thickTop="1" thickBot="1">
      <c r="A1413" s="68"/>
      <c r="B1413" s="69" t="str">
        <f>IFERROR(INDEX(Tableau4[Date],MATCH($A1413,Tableau4[EVO],0)),"")</f>
        <v/>
      </c>
      <c r="C1413" s="68" t="str">
        <f>IFERROR(INDEX(Tableau4[Designation],MATCH($A1413,Tableau4[EVO],0)),"")</f>
        <v/>
      </c>
      <c r="D1413" s="68"/>
      <c r="E1413" s="70">
        <v>247</v>
      </c>
      <c r="F1413" s="71">
        <v>62</v>
      </c>
      <c r="G1413" s="101" t="str">
        <f>INDEX(Tableau8[Att1],MATCH(Tableau3[[#This Row],[ID-INS]],Tableau8[ID],0))&amp;""</f>
        <v>B22</v>
      </c>
      <c r="H1413" s="101" t="str">
        <f>INDEX(Tableau8[Att2],MATCH(Tableau3[[#This Row],[ID-INS]],Tableau8[ID],0))&amp;""</f>
        <v>PMR2</v>
      </c>
      <c r="I1413" s="101" t="str">
        <f>INDEX(Tableau8[Att3],MATCH(Tableau3[[#This Row],[ID-INS]],Tableau8[ID],0))&amp;""</f>
        <v>PMR2</v>
      </c>
      <c r="J1413" s="101"/>
      <c r="K1413" s="167" t="str">
        <f>INDEX(Tableau8[Nom du modele],MATCH(Tableau3[[#This Row],[ID-INS]],Tableau8[ID],0))&amp;""</f>
        <v>PMR_2</v>
      </c>
      <c r="L1413" s="99" t="str">
        <f>INDEX(Tableau5[Att1],MATCH(Tableau3[[#This Row],[ID-SIG]],Tableau5[ID],0))&amp;""</f>
        <v>Fer1</v>
      </c>
      <c r="M1413" s="99" t="str">
        <f>INDEX(Tableau5[Att2],MATCH(Tableau3[[#This Row],[ID-SIG]],Tableau5[ID],0))&amp;""</f>
        <v/>
      </c>
      <c r="N1413" s="99" t="str">
        <f>INDEX(Tableau5[Att3],MATCH(Tableau3[[#This Row],[ID-SIG]],Tableau5[ID],0))&amp;""</f>
        <v/>
      </c>
      <c r="O1413" s="99"/>
      <c r="P1413" s="99" t="s">
        <v>1726</v>
      </c>
      <c r="Q1413" s="99"/>
      <c r="R1413" s="103" t="str">
        <f>Tableau3[[#This Row],[Description]]</f>
        <v>Réserve - Sortie 1</v>
      </c>
      <c r="U1413" s="87">
        <v>9</v>
      </c>
      <c r="V1413" s="87">
        <v>2</v>
      </c>
      <c r="W1413" s="87">
        <v>9</v>
      </c>
      <c r="X1413" s="87">
        <v>11</v>
      </c>
      <c r="Y1413" s="40"/>
      <c r="Z1413" s="165" t="str">
        <f>INDEX(Tableau2[TS],MATCH(Tableau3[[#This Row],[ID-CARTEVOIE]],Tableau2[ID-CARTEVOIE],0))</f>
        <v>ET</v>
      </c>
      <c r="AA1413" s="53" t="s">
        <v>213</v>
      </c>
      <c r="AB1413" s="223" t="str">
        <f>IFERROR(INDEX(Tableau5[Reserve],MATCH(Tableau3[[#This Row],[ID-SIG]],Tableau5[ID],0))&amp;"","")</f>
        <v/>
      </c>
      <c r="AC1413" s="21"/>
      <c r="AD1413" s="108" t="str">
        <f>INDEX(Tableau7[Repere],MATCH(Tableau3[[#This Row],[ID-API]],Tableau7[ID-API],0))&amp;""</f>
        <v>A9</v>
      </c>
      <c r="AE1413" s="108" t="str">
        <f>INDEX(Tableau1[Repere-Rack],MATCH(Tableau3[[#This Row],[ID-RACK]],Tableau1[ID-RACK],0))&amp;""</f>
        <v>R2</v>
      </c>
      <c r="AF1413" s="108" t="str">
        <f>INDEX(Tableau1[Repere-Slot],MATCH(Tableau3[[#This Row],[ID-SLOT]],Tableau1[ID-SLOT],0))&amp;""</f>
        <v>S9</v>
      </c>
      <c r="AG1413" s="108" t="str">
        <f>INDEX(Tableau2[Repere-Voie],MATCH(Tableau3[[#This Row],[ID-VOIE]],Tableau2[ID-Voie],0))&amp;""</f>
        <v>v11</v>
      </c>
      <c r="AH1413" s="72" t="str">
        <f>Tableau3[[#This Row],[ID-API]]&amp; "." &amp;Tableau3[[#This Row],[ID-RACK]]&amp; "." &amp;Tableau3[[#This Row],[ID-SLOT]]</f>
        <v>9.2.9</v>
      </c>
      <c r="AI1413" s="72" t="str">
        <f>INDEX(Tableau1[Ref-Carte],MATCH(Tableau3[[#This Row],[ID-RRS]],Tableau1[ID-RRS],0))</f>
        <v>SDI1602</v>
      </c>
      <c r="AJ1413" s="72" t="str">
        <f t="array" ref="AJ1413">IFERROR(INDEX(Tableau2[TS],MATCH(1,(Tableau2[Ref-Carte]=Tableau3[[#This Row],[Ref-Carte2]])*(Tableau2[ID-Voie]=Tableau3[[#This Row],[ID-VOIE]]),0)),"")</f>
        <v>ET</v>
      </c>
      <c r="AK1413" s="72" t="str">
        <f>IFERROR(INDEX(Tableau2[TS],SUMPRODUCT((Tableau2[Ref-Carte]=Tableau3[[#This Row],[Ref-Carte2]])*(Tableau2[ID-Voie]=Tableau3[[#This Row],[ID-VOIE]])*ROW(Tableau2[TS]))-ROW(Tableau2[#Headers])),"")</f>
        <v>ET</v>
      </c>
      <c r="AL1413" s="72" t="str">
        <f>Tableau3[[#This Row],[Ref-Carte2]]&amp;"/"&amp;Tableau3[[#This Row],[ID-VOIE]]</f>
        <v>SDI1602/11</v>
      </c>
      <c r="AM1413" s="73" t="str">
        <f>INDEX(Tableau2[Borne],MATCH(Tableau3[[#This Row],[ID-CARTEVOIE]],Tableau2[ID-CARTEVOIE],0))&amp;""</f>
        <v>5A</v>
      </c>
      <c r="AN1413" s="74" t="str">
        <f>Tableau3[[#This Row],[ID-API]]&amp;Tableau3[[#This Row],[ID-RACK]]&amp;Tableau3[[#This Row],[ID-SLOT]]&amp;Tableau3[[#This Row],[BORNE]]</f>
        <v>9295A</v>
      </c>
      <c r="AO1413" s="1"/>
    </row>
    <row r="1414" spans="1:41" ht="20.100000000000001" customHeight="1" thickTop="1" thickBot="1">
      <c r="A1414" s="68"/>
      <c r="B1414" s="69" t="str">
        <f>IFERROR(INDEX(Tableau4[Date],MATCH($A1414,Tableau4[EVO],0)),"")</f>
        <v/>
      </c>
      <c r="C1414" s="68" t="str">
        <f>IFERROR(INDEX(Tableau4[Designation],MATCH($A1414,Tableau4[EVO],0)),"")</f>
        <v/>
      </c>
      <c r="D1414" s="68"/>
      <c r="E1414" s="70">
        <v>267</v>
      </c>
      <c r="F1414" s="71">
        <v>6</v>
      </c>
      <c r="G1414" s="101" t="str">
        <f>INDEX(Tableau8[Att1],MATCH(Tableau3[[#This Row],[ID-INS]],Tableau8[ID],0))&amp;""</f>
        <v>V4V5</v>
      </c>
      <c r="H1414" s="101" t="str">
        <f>INDEX(Tableau8[Att2],MATCH(Tableau3[[#This Row],[ID-INS]],Tableau8[ID],0))&amp;""</f>
        <v>P3P10</v>
      </c>
      <c r="I1414" s="101" t="str">
        <f>INDEX(Tableau8[Att3],MATCH(Tableau3[[#This Row],[ID-INS]],Tableau8[ID],0))&amp;""</f>
        <v>Portail P10</v>
      </c>
      <c r="J1414" s="101"/>
      <c r="K1414" s="167" t="str">
        <f>INDEX(Tableau8[Nom du modele],MATCH(Tableau3[[#This Row],[ID-INS]],Tableau8[ID],0))&amp;""</f>
        <v>Effraction</v>
      </c>
      <c r="L1414" s="99" t="str">
        <f>INDEX(Tableau5[Att1],MATCH(Tableau3[[#This Row],[ID-SIG]],Tableau5[ID],0))&amp;""</f>
        <v>SynthEffr</v>
      </c>
      <c r="M1414" s="99" t="str">
        <f>INDEX(Tableau5[Att2],MATCH(Tableau3[[#This Row],[ID-SIG]],Tableau5[ID],0))&amp;""</f>
        <v/>
      </c>
      <c r="N1414" s="99" t="str">
        <f>INDEX(Tableau5[Att3],MATCH(Tableau3[[#This Row],[ID-SIG]],Tableau5[ID],0))&amp;""</f>
        <v/>
      </c>
      <c r="O1414" s="99"/>
      <c r="P1414" s="99" t="str">
        <f>INDEX(Tableau5[Description],MATCH(Tableau3[[#This Row],[ID-SIG]],Tableau5[ID],0))</f>
        <v>Synthèse effraction</v>
      </c>
      <c r="Q1414" s="99"/>
      <c r="R1414" s="103" t="str">
        <f>Tableau3[[#This Row],[Description]]</f>
        <v>Synthèse effraction</v>
      </c>
      <c r="U1414" s="87">
        <v>9</v>
      </c>
      <c r="V1414" s="87">
        <v>2</v>
      </c>
      <c r="W1414" s="87">
        <v>9</v>
      </c>
      <c r="X1414" s="87">
        <v>12</v>
      </c>
      <c r="Y1414" s="40"/>
      <c r="Z1414" s="165" t="str">
        <f>INDEX(Tableau2[TS],MATCH(Tableau3[[#This Row],[ID-CARTEVOIE]],Tableau2[ID-CARTEVOIE],0))</f>
        <v>ET</v>
      </c>
      <c r="AA1414" s="53" t="s">
        <v>213</v>
      </c>
      <c r="AB1414" s="223" t="str">
        <f>IFERROR(INDEX(Tableau5[Reserve],MATCH(Tableau3[[#This Row],[ID-SIG]],Tableau5[ID],0))&amp;"","")</f>
        <v/>
      </c>
      <c r="AC1414" s="21"/>
      <c r="AD1414" s="108" t="str">
        <f>INDEX(Tableau7[Repere],MATCH(Tableau3[[#This Row],[ID-API]],Tableau7[ID-API],0))&amp;""</f>
        <v>A9</v>
      </c>
      <c r="AE1414" s="108" t="str">
        <f>INDEX(Tableau1[Repere-Rack],MATCH(Tableau3[[#This Row],[ID-RACK]],Tableau1[ID-RACK],0))&amp;""</f>
        <v>R2</v>
      </c>
      <c r="AF1414" s="108" t="str">
        <f>INDEX(Tableau1[Repere-Slot],MATCH(Tableau3[[#This Row],[ID-SLOT]],Tableau1[ID-SLOT],0))&amp;""</f>
        <v>S9</v>
      </c>
      <c r="AG1414" s="108" t="str">
        <f>INDEX(Tableau2[Repere-Voie],MATCH(Tableau3[[#This Row],[ID-VOIE]],Tableau2[ID-Voie],0))&amp;""</f>
        <v>v12</v>
      </c>
      <c r="AH1414" s="72" t="str">
        <f>Tableau3[[#This Row],[ID-API]]&amp; "." &amp;Tableau3[[#This Row],[ID-RACK]]&amp; "." &amp;Tableau3[[#This Row],[ID-SLOT]]</f>
        <v>9.2.9</v>
      </c>
      <c r="AI1414" s="72" t="str">
        <f>INDEX(Tableau1[Ref-Carte],MATCH(Tableau3[[#This Row],[ID-RRS]],Tableau1[ID-RRS],0))</f>
        <v>SDI1602</v>
      </c>
      <c r="AJ1414" s="72" t="str">
        <f t="array" ref="AJ1414">IFERROR(INDEX(Tableau2[TS],MATCH(1,(Tableau2[Ref-Carte]=Tableau3[[#This Row],[Ref-Carte2]])*(Tableau2[ID-Voie]=Tableau3[[#This Row],[ID-VOIE]]),0)),"")</f>
        <v>ET</v>
      </c>
      <c r="AK1414" s="72" t="str">
        <f>IFERROR(INDEX(Tableau2[TS],SUMPRODUCT((Tableau2[Ref-Carte]=Tableau3[[#This Row],[Ref-Carte2]])*(Tableau2[ID-Voie]=Tableau3[[#This Row],[ID-VOIE]])*ROW(Tableau2[TS]))-ROW(Tableau2[#Headers])),"")</f>
        <v>ET</v>
      </c>
      <c r="AL1414" s="72" t="str">
        <f>Tableau3[[#This Row],[Ref-Carte2]]&amp;"/"&amp;Tableau3[[#This Row],[ID-VOIE]]</f>
        <v>SDI1602/12</v>
      </c>
      <c r="AM1414" s="73" t="str">
        <f>INDEX(Tableau2[Borne],MATCH(Tableau3[[#This Row],[ID-CARTEVOIE]],Tableau2[ID-CARTEVOIE],0))&amp;""</f>
        <v>6B</v>
      </c>
      <c r="AN1414" s="74" t="str">
        <f>Tableau3[[#This Row],[ID-API]]&amp;Tableau3[[#This Row],[ID-RACK]]&amp;Tableau3[[#This Row],[ID-SLOT]]&amp;Tableau3[[#This Row],[BORNE]]</f>
        <v>9296B</v>
      </c>
      <c r="AO1414" s="1"/>
    </row>
    <row r="1415" spans="1:41" ht="20.100000000000001" customHeight="1" thickTop="1" thickBot="1">
      <c r="A1415" s="68"/>
      <c r="B1415" s="69" t="str">
        <f>IFERROR(INDEX(Tableau4[Date],MATCH($A1415,Tableau4[EVO],0)),"")</f>
        <v/>
      </c>
      <c r="C1415" s="68" t="str">
        <f>IFERROR(INDEX(Tableau4[Designation],MATCH($A1415,Tableau4[EVO],0)),"")</f>
        <v/>
      </c>
      <c r="D1415" s="68"/>
      <c r="E1415" s="70">
        <v>270</v>
      </c>
      <c r="F1415" s="71">
        <v>6</v>
      </c>
      <c r="G1415" s="101" t="str">
        <f>INDEX(Tableau8[Att1],MATCH(Tableau3[[#This Row],[ID-INS]],Tableau8[ID],0))&amp;""</f>
        <v>GR</v>
      </c>
      <c r="H1415" s="101" t="str">
        <f>INDEX(Tableau8[Att2],MATCH(Tableau3[[#This Row],[ID-INS]],Tableau8[ID],0))&amp;""</f>
        <v>TRSS1</v>
      </c>
      <c r="I1415" s="101" t="str">
        <f>INDEX(Tableau8[Att3],MATCH(Tableau3[[#This Row],[ID-INS]],Tableau8[ID],0))&amp;""</f>
        <v>Tourniquet TRSS1</v>
      </c>
      <c r="J1415" s="101"/>
      <c r="K1415" s="167" t="str">
        <f>INDEX(Tableau8[Nom du modele],MATCH(Tableau3[[#This Row],[ID-INS]],Tableau8[ID],0))&amp;""</f>
        <v>Effraction</v>
      </c>
      <c r="L1415" s="99" t="str">
        <f>INDEX(Tableau5[Att1],MATCH(Tableau3[[#This Row],[ID-SIG]],Tableau5[ID],0))&amp;""</f>
        <v>SynthEffr</v>
      </c>
      <c r="M1415" s="99" t="str">
        <f>INDEX(Tableau5[Att2],MATCH(Tableau3[[#This Row],[ID-SIG]],Tableau5[ID],0))&amp;""</f>
        <v/>
      </c>
      <c r="N1415" s="99" t="str">
        <f>INDEX(Tableau5[Att3],MATCH(Tableau3[[#This Row],[ID-SIG]],Tableau5[ID],0))&amp;""</f>
        <v/>
      </c>
      <c r="O1415" s="99"/>
      <c r="P1415" s="99" t="str">
        <f>INDEX(Tableau5[Description],MATCH(Tableau3[[#This Row],[ID-SIG]],Tableau5[ID],0))</f>
        <v>Synthèse effraction</v>
      </c>
      <c r="Q1415" s="99"/>
      <c r="R1415" s="103" t="str">
        <f>Tableau3[[#This Row],[Description]]</f>
        <v>Synthèse effraction</v>
      </c>
      <c r="U1415" s="87">
        <v>9</v>
      </c>
      <c r="V1415" s="87">
        <v>2</v>
      </c>
      <c r="W1415" s="87">
        <v>9</v>
      </c>
      <c r="X1415" s="87">
        <v>13</v>
      </c>
      <c r="Y1415" s="40"/>
      <c r="Z1415" s="165" t="str">
        <f>INDEX(Tableau2[TS],MATCH(Tableau3[[#This Row],[ID-CARTEVOIE]],Tableau2[ID-CARTEVOIE],0))</f>
        <v>ET</v>
      </c>
      <c r="AA1415" s="53" t="s">
        <v>213</v>
      </c>
      <c r="AB1415" s="223" t="str">
        <f>IFERROR(INDEX(Tableau5[Reserve],MATCH(Tableau3[[#This Row],[ID-SIG]],Tableau5[ID],0))&amp;"","")</f>
        <v/>
      </c>
      <c r="AC1415" s="21"/>
      <c r="AD1415" s="108" t="str">
        <f>INDEX(Tableau7[Repere],MATCH(Tableau3[[#This Row],[ID-API]],Tableau7[ID-API],0))&amp;""</f>
        <v>A9</v>
      </c>
      <c r="AE1415" s="108" t="str">
        <f>INDEX(Tableau1[Repere-Rack],MATCH(Tableau3[[#This Row],[ID-RACK]],Tableau1[ID-RACK],0))&amp;""</f>
        <v>R2</v>
      </c>
      <c r="AF1415" s="108" t="str">
        <f>INDEX(Tableau1[Repere-Slot],MATCH(Tableau3[[#This Row],[ID-SLOT]],Tableau1[ID-SLOT],0))&amp;""</f>
        <v>S9</v>
      </c>
      <c r="AG1415" s="108" t="str">
        <f>INDEX(Tableau2[Repere-Voie],MATCH(Tableau3[[#This Row],[ID-VOIE]],Tableau2[ID-Voie],0))&amp;""</f>
        <v>v13</v>
      </c>
      <c r="AH1415" s="72" t="str">
        <f>Tableau3[[#This Row],[ID-API]]&amp; "." &amp;Tableau3[[#This Row],[ID-RACK]]&amp; "." &amp;Tableau3[[#This Row],[ID-SLOT]]</f>
        <v>9.2.9</v>
      </c>
      <c r="AI1415" s="72" t="str">
        <f>INDEX(Tableau1[Ref-Carte],MATCH(Tableau3[[#This Row],[ID-RRS]],Tableau1[ID-RRS],0))</f>
        <v>SDI1602</v>
      </c>
      <c r="AJ1415" s="72" t="str">
        <f t="array" ref="AJ1415">IFERROR(INDEX(Tableau2[TS],MATCH(1,(Tableau2[Ref-Carte]=Tableau3[[#This Row],[Ref-Carte2]])*(Tableau2[ID-Voie]=Tableau3[[#This Row],[ID-VOIE]]),0)),"")</f>
        <v>ET</v>
      </c>
      <c r="AK1415" s="72" t="str">
        <f>IFERROR(INDEX(Tableau2[TS],SUMPRODUCT((Tableau2[Ref-Carte]=Tableau3[[#This Row],[Ref-Carte2]])*(Tableau2[ID-Voie]=Tableau3[[#This Row],[ID-VOIE]])*ROW(Tableau2[TS]))-ROW(Tableau2[#Headers])),"")</f>
        <v>ET</v>
      </c>
      <c r="AL1415" s="72" t="str">
        <f>Tableau3[[#This Row],[Ref-Carte2]]&amp;"/"&amp;Tableau3[[#This Row],[ID-VOIE]]</f>
        <v>SDI1602/13</v>
      </c>
      <c r="AM1415" s="73" t="str">
        <f>INDEX(Tableau2[Borne],MATCH(Tableau3[[#This Row],[ID-CARTEVOIE]],Tableau2[ID-CARTEVOIE],0))&amp;""</f>
        <v>6A</v>
      </c>
      <c r="AN1415" s="74" t="str">
        <f>Tableau3[[#This Row],[ID-API]]&amp;Tableau3[[#This Row],[ID-RACK]]&amp;Tableau3[[#This Row],[ID-SLOT]]&amp;Tableau3[[#This Row],[BORNE]]</f>
        <v>9296A</v>
      </c>
      <c r="AO1415" s="1"/>
    </row>
    <row r="1416" spans="1:41" ht="20.100000000000001" customHeight="1" thickTop="1" thickBot="1">
      <c r="A1416" s="68"/>
      <c r="B1416" s="69" t="str">
        <f>IFERROR(INDEX(Tableau4[Date],MATCH($A1416,Tableau4[EVO],0)),"")</f>
        <v/>
      </c>
      <c r="C1416" s="68" t="str">
        <f>IFERROR(INDEX(Tableau4[Designation],MATCH($A1416,Tableau4[EVO],0)),"")</f>
        <v/>
      </c>
      <c r="D1416" s="68"/>
      <c r="E1416" s="70">
        <v>272</v>
      </c>
      <c r="F1416" s="71">
        <v>6</v>
      </c>
      <c r="G1416" s="101" t="str">
        <f>INDEX(Tableau8[Att1],MATCH(Tableau3[[#This Row],[ID-INS]],Tableau8[ID],0))&amp;""</f>
        <v>B22</v>
      </c>
      <c r="H1416" s="101" t="str">
        <f>INDEX(Tableau8[Att2],MATCH(Tableau3[[#This Row],[ID-INS]],Tableau8[ID],0))&amp;""</f>
        <v>TRSD4</v>
      </c>
      <c r="I1416" s="101" t="str">
        <f>INDEX(Tableau8[Att3],MATCH(Tableau3[[#This Row],[ID-INS]],Tableau8[ID],0))&amp;""</f>
        <v>Tourniquet TRSD4</v>
      </c>
      <c r="J1416" s="101"/>
      <c r="K1416" s="167" t="str">
        <f>INDEX(Tableau8[Nom du modele],MATCH(Tableau3[[#This Row],[ID-INS]],Tableau8[ID],0))&amp;""</f>
        <v>Effraction</v>
      </c>
      <c r="L1416" s="99" t="str">
        <f>INDEX(Tableau5[Att1],MATCH(Tableau3[[#This Row],[ID-SIG]],Tableau5[ID],0))&amp;""</f>
        <v>SynthEffr</v>
      </c>
      <c r="M1416" s="99" t="str">
        <f>INDEX(Tableau5[Att2],MATCH(Tableau3[[#This Row],[ID-SIG]],Tableau5[ID],0))&amp;""</f>
        <v/>
      </c>
      <c r="N1416" s="99" t="str">
        <f>INDEX(Tableau5[Att3],MATCH(Tableau3[[#This Row],[ID-SIG]],Tableau5[ID],0))&amp;""</f>
        <v/>
      </c>
      <c r="O1416" s="99"/>
      <c r="P1416" s="99" t="str">
        <f>INDEX(Tableau5[Description],MATCH(Tableau3[[#This Row],[ID-SIG]],Tableau5[ID],0))</f>
        <v>Synthèse effraction</v>
      </c>
      <c r="Q1416" s="99"/>
      <c r="R1416" s="103" t="str">
        <f>Tableau3[[#This Row],[Description]]</f>
        <v>Synthèse effraction</v>
      </c>
      <c r="U1416" s="87">
        <v>9</v>
      </c>
      <c r="V1416" s="87">
        <v>2</v>
      </c>
      <c r="W1416" s="87">
        <v>9</v>
      </c>
      <c r="X1416" s="87">
        <v>14</v>
      </c>
      <c r="Y1416" s="40"/>
      <c r="Z1416" s="165" t="str">
        <f>INDEX(Tableau2[TS],MATCH(Tableau3[[#This Row],[ID-CARTEVOIE]],Tableau2[ID-CARTEVOIE],0))</f>
        <v>ET</v>
      </c>
      <c r="AA1416" s="53" t="s">
        <v>213</v>
      </c>
      <c r="AB1416" s="223" t="str">
        <f>IFERROR(INDEX(Tableau5[Reserve],MATCH(Tableau3[[#This Row],[ID-SIG]],Tableau5[ID],0))&amp;"","")</f>
        <v/>
      </c>
      <c r="AC1416" s="21"/>
      <c r="AD1416" s="108" t="str">
        <f>INDEX(Tableau7[Repere],MATCH(Tableau3[[#This Row],[ID-API]],Tableau7[ID-API],0))&amp;""</f>
        <v>A9</v>
      </c>
      <c r="AE1416" s="108" t="str">
        <f>INDEX(Tableau1[Repere-Rack],MATCH(Tableau3[[#This Row],[ID-RACK]],Tableau1[ID-RACK],0))&amp;""</f>
        <v>R2</v>
      </c>
      <c r="AF1416" s="108" t="str">
        <f>INDEX(Tableau1[Repere-Slot],MATCH(Tableau3[[#This Row],[ID-SLOT]],Tableau1[ID-SLOT],0))&amp;""</f>
        <v>S9</v>
      </c>
      <c r="AG1416" s="108" t="str">
        <f>INDEX(Tableau2[Repere-Voie],MATCH(Tableau3[[#This Row],[ID-VOIE]],Tableau2[ID-Voie],0))&amp;""</f>
        <v>v14</v>
      </c>
      <c r="AH1416" s="72" t="str">
        <f>Tableau3[[#This Row],[ID-API]]&amp; "." &amp;Tableau3[[#This Row],[ID-RACK]]&amp; "." &amp;Tableau3[[#This Row],[ID-SLOT]]</f>
        <v>9.2.9</v>
      </c>
      <c r="AI1416" s="72" t="str">
        <f>INDEX(Tableau1[Ref-Carte],MATCH(Tableau3[[#This Row],[ID-RRS]],Tableau1[ID-RRS],0))</f>
        <v>SDI1602</v>
      </c>
      <c r="AJ1416" s="72" t="str">
        <f t="array" ref="AJ1416">IFERROR(INDEX(Tableau2[TS],MATCH(1,(Tableau2[Ref-Carte]=Tableau3[[#This Row],[Ref-Carte2]])*(Tableau2[ID-Voie]=Tableau3[[#This Row],[ID-VOIE]]),0)),"")</f>
        <v>ET</v>
      </c>
      <c r="AK1416" s="72" t="str">
        <f>IFERROR(INDEX(Tableau2[TS],SUMPRODUCT((Tableau2[Ref-Carte]=Tableau3[[#This Row],[Ref-Carte2]])*(Tableau2[ID-Voie]=Tableau3[[#This Row],[ID-VOIE]])*ROW(Tableau2[TS]))-ROW(Tableau2[#Headers])),"")</f>
        <v>ET</v>
      </c>
      <c r="AL1416" s="72" t="str">
        <f>Tableau3[[#This Row],[Ref-Carte2]]&amp;"/"&amp;Tableau3[[#This Row],[ID-VOIE]]</f>
        <v>SDI1602/14</v>
      </c>
      <c r="AM1416" s="73" t="str">
        <f>INDEX(Tableau2[Borne],MATCH(Tableau3[[#This Row],[ID-CARTEVOIE]],Tableau2[ID-CARTEVOIE],0))&amp;""</f>
        <v>7B</v>
      </c>
      <c r="AN1416" s="74" t="str">
        <f>Tableau3[[#This Row],[ID-API]]&amp;Tableau3[[#This Row],[ID-RACK]]&amp;Tableau3[[#This Row],[ID-SLOT]]&amp;Tableau3[[#This Row],[BORNE]]</f>
        <v>9297B</v>
      </c>
      <c r="AO1416" s="1"/>
    </row>
    <row r="1417" spans="1:41" ht="20.100000000000001" customHeight="1" thickTop="1" thickBot="1">
      <c r="A1417" s="110"/>
      <c r="B1417" s="111" t="str">
        <f>IFERROR(INDEX(Tableau4[Date],MATCH($A1417,Tableau4[EVO],0)),"")</f>
        <v/>
      </c>
      <c r="C1417" s="112" t="str">
        <f>IFERROR(INDEX(Tableau4[Designation],MATCH($A1417,Tableau4[EVO],0)),"")</f>
        <v/>
      </c>
      <c r="D1417" s="110"/>
      <c r="E1417" s="113"/>
      <c r="F1417" s="146"/>
      <c r="G1417" s="147" t="e">
        <f>INDEX(Tableau8[Att1],MATCH(Tableau3[[#This Row],[ID-INS]],Tableau8[ID],0))&amp;""</f>
        <v>#N/A</v>
      </c>
      <c r="H1417" s="147" t="e">
        <f>INDEX(Tableau8[Att2],MATCH(Tableau3[[#This Row],[ID-INS]],Tableau8[ID],0))&amp;""</f>
        <v>#N/A</v>
      </c>
      <c r="I1417" s="147" t="e">
        <f>INDEX(Tableau8[Att3],MATCH(Tableau3[[#This Row],[ID-INS]],Tableau8[ID],0))&amp;""</f>
        <v>#N/A</v>
      </c>
      <c r="J1417" s="148"/>
      <c r="K1417" s="167" t="e">
        <f>INDEX(Tableau8[Nom du modele],MATCH(Tableau3[[#This Row],[ID-INS]],Tableau8[ID],0))&amp;""</f>
        <v>#N/A</v>
      </c>
      <c r="L1417" s="149" t="e">
        <f>INDEX(Tableau5[Att1],MATCH(Tableau3[[#This Row],[ID-SIG]],Tableau5[ID],0))&amp;""</f>
        <v>#N/A</v>
      </c>
      <c r="M1417" s="149" t="e">
        <f>INDEX(Tableau5[Att2],MATCH(Tableau3[[#This Row],[ID-SIG]],Tableau5[ID],0))&amp;""</f>
        <v>#N/A</v>
      </c>
      <c r="N1417" s="149" t="e">
        <f>INDEX(Tableau5[Att3],MATCH(Tableau3[[#This Row],[ID-SIG]],Tableau5[ID],0))&amp;""</f>
        <v>#N/A</v>
      </c>
      <c r="O1417" s="150"/>
      <c r="P1417" s="149" t="e">
        <f>INDEX(Tableau5[Description],MATCH(Tableau3[[#This Row],[ID-SIG]],Tableau5[ID],0))</f>
        <v>#N/A</v>
      </c>
      <c r="Q1417" s="150"/>
      <c r="R1417" s="117" t="e">
        <f>Tableau3[[#This Row],[Description]]</f>
        <v>#N/A</v>
      </c>
      <c r="S1417" s="75"/>
      <c r="T1417" s="75"/>
      <c r="U1417" s="151">
        <v>9</v>
      </c>
      <c r="V1417" s="151">
        <v>2</v>
      </c>
      <c r="W1417" s="151">
        <v>9</v>
      </c>
      <c r="X1417" s="151">
        <v>15</v>
      </c>
      <c r="Y1417" s="40"/>
      <c r="Z1417" s="166" t="str">
        <f>INDEX(Tableau2[TS],MATCH(Tableau3[[#This Row],[ID-CARTEVOIE]],Tableau2[ID-CARTEVOIE],0))</f>
        <v>ET</v>
      </c>
      <c r="AA1417" s="81" t="s">
        <v>213</v>
      </c>
      <c r="AB1417" s="226" t="str">
        <f>IFERROR(INDEX(Tableau5[Reserve],MATCH(Tableau3[[#This Row],[ID-SIG]],Tableau5[ID],0))&amp;"","")</f>
        <v/>
      </c>
      <c r="AC1417" s="119" t="s">
        <v>1456</v>
      </c>
      <c r="AD1417" s="120" t="str">
        <f>INDEX(Tableau7[Repere],MATCH(Tableau3[[#This Row],[ID-API]],Tableau7[ID-API],0))&amp;""</f>
        <v>A9</v>
      </c>
      <c r="AE1417" s="121" t="str">
        <f>INDEX(Tableau1[Repere-Rack],MATCH(Tableau3[[#This Row],[ID-RACK]],Tableau1[ID-RACK],0))&amp;""</f>
        <v>R2</v>
      </c>
      <c r="AF1417" s="121" t="str">
        <f>INDEX(Tableau1[Repere-Slot],MATCH(Tableau3[[#This Row],[ID-SLOT]],Tableau1[ID-SLOT],0))&amp;""</f>
        <v>S9</v>
      </c>
      <c r="AG1417" s="121" t="str">
        <f>INDEX(Tableau2[Repere-Voie],MATCH(Tableau3[[#This Row],[ID-VOIE]],Tableau2[ID-Voie],0))&amp;""</f>
        <v>v15</v>
      </c>
      <c r="AH1417" s="122" t="str">
        <f>Tableau3[[#This Row],[ID-API]]&amp; "." &amp;Tableau3[[#This Row],[ID-RACK]]&amp; "." &amp;Tableau3[[#This Row],[ID-SLOT]]</f>
        <v>9.2.9</v>
      </c>
      <c r="AI1417" s="72" t="str">
        <f>INDEX(Tableau1[Ref-Carte],MATCH(Tableau3[[#This Row],[ID-RRS]],Tableau1[ID-RRS],0))</f>
        <v>SDI1602</v>
      </c>
      <c r="AJ1417" s="72" t="str">
        <f t="array" ref="AJ1417">IFERROR(INDEX(Tableau2[TS],MATCH(1,(Tableau2[Ref-Carte]=Tableau3[[#This Row],[Ref-Carte2]])*(Tableau2[ID-Voie]=Tableau3[[#This Row],[ID-VOIE]]),0)),"")</f>
        <v>ET</v>
      </c>
      <c r="AK1417" s="72" t="str">
        <f>IFERROR(INDEX(Tableau2[TS],SUMPRODUCT((Tableau2[Ref-Carte]=Tableau3[[#This Row],[Ref-Carte2]])*(Tableau2[ID-Voie]=Tableau3[[#This Row],[ID-VOIE]])*ROW(Tableau2[TS]))-ROW(Tableau2[#Headers])),"")</f>
        <v>ET</v>
      </c>
      <c r="AL1417" s="122" t="str">
        <f>Tableau3[[#This Row],[Ref-Carte2]]&amp;"/"&amp;Tableau3[[#This Row],[ID-VOIE]]</f>
        <v>SDI1602/15</v>
      </c>
      <c r="AM1417" s="123" t="str">
        <f>INDEX(Tableau2[Borne],MATCH(Tableau3[[#This Row],[ID-CARTEVOIE]],Tableau2[ID-CARTEVOIE],0))&amp;""</f>
        <v>7A</v>
      </c>
      <c r="AN1417" s="124" t="str">
        <f>Tableau3[[#This Row],[ID-API]]&amp;Tableau3[[#This Row],[ID-RACK]]&amp;Tableau3[[#This Row],[ID-SLOT]]&amp;Tableau3[[#This Row],[BORNE]]</f>
        <v>9297A</v>
      </c>
      <c r="AO1417" s="125"/>
    </row>
    <row r="1418" spans="1:41" ht="20.100000000000001" customHeight="1" thickTop="1" thickBot="1">
      <c r="A1418" s="68"/>
      <c r="B1418" s="69" t="str">
        <f>IFERROR(INDEX(Tableau4[Date],MATCH($A1418,Tableau4[EVO],0)),"")</f>
        <v/>
      </c>
      <c r="C1418" s="68" t="str">
        <f>IFERROR(INDEX(Tableau4[Designation],MATCH($A1418,Tableau4[EVO],0)),"")</f>
        <v/>
      </c>
      <c r="D1418" s="68"/>
      <c r="E1418" s="70"/>
      <c r="F1418" s="71"/>
      <c r="G1418" s="101" t="e">
        <f>INDEX(Tableau8[Att1],MATCH(Tableau3[[#This Row],[ID-INS]],Tableau8[ID],0))&amp;""</f>
        <v>#N/A</v>
      </c>
      <c r="H1418" s="101" t="s">
        <v>1658</v>
      </c>
      <c r="I1418" s="101" t="e">
        <f>INDEX(Tableau8[Att3],MATCH(Tableau3[[#This Row],[ID-INS]],Tableau8[ID],0))&amp;""</f>
        <v>#N/A</v>
      </c>
      <c r="J1418" s="101"/>
      <c r="K1418" s="167" t="e">
        <f>INDEX(Tableau8[Nom du modele],MATCH(Tableau3[[#This Row],[ID-INS]],Tableau8[ID],0))&amp;""</f>
        <v>#N/A</v>
      </c>
      <c r="L1418" s="99"/>
      <c r="M1418" s="99" t="e">
        <f>INDEX(Tableau5[Att2],MATCH(Tableau3[[#This Row],[ID-SIG]],Tableau5[ID],0))&amp;""</f>
        <v>#N/A</v>
      </c>
      <c r="N1418" s="99" t="e">
        <f>INDEX(Tableau5[Att3],MATCH(Tableau3[[#This Row],[ID-SIG]],Tableau5[ID],0))&amp;""</f>
        <v>#N/A</v>
      </c>
      <c r="O1418" s="99"/>
      <c r="P1418" s="99" t="s">
        <v>1663</v>
      </c>
      <c r="Q1418" s="99"/>
      <c r="R1418" s="103" t="str">
        <f>Tableau3[[#This Row],[Description]]</f>
        <v>Défaut générale onduleur TGO B22</v>
      </c>
      <c r="U1418" s="87">
        <v>9</v>
      </c>
      <c r="V1418" s="87">
        <v>2</v>
      </c>
      <c r="W1418" s="87">
        <v>10</v>
      </c>
      <c r="X1418" s="87">
        <v>0</v>
      </c>
      <c r="Y1418" s="40"/>
      <c r="Z1418" s="165" t="str">
        <f>INDEX(Tableau2[TS],MATCH(Tableau3[[#This Row],[ID-CARTEVOIE]],Tableau2[ID-CARTEVOIE],0))</f>
        <v>ET</v>
      </c>
      <c r="AA1418" s="53" t="s">
        <v>213</v>
      </c>
      <c r="AB1418" s="223" t="str">
        <f>IFERROR(INDEX(Tableau5[Reserve],MATCH(Tableau3[[#This Row],[ID-SIG]],Tableau5[ID],0))&amp;"","")</f>
        <v/>
      </c>
      <c r="AC1418" s="21" t="s">
        <v>1456</v>
      </c>
      <c r="AD1418" s="108" t="str">
        <f>INDEX(Tableau7[Repere],MATCH(Tableau3[[#This Row],[ID-API]],Tableau7[ID-API],0))&amp;""</f>
        <v>A9</v>
      </c>
      <c r="AE1418" s="108" t="str">
        <f>INDEX(Tableau1[Repere-Rack],MATCH(Tableau3[[#This Row],[ID-RACK]],Tableau1[ID-RACK],0))&amp;""</f>
        <v>R2</v>
      </c>
      <c r="AF1418" s="108" t="str">
        <f>INDEX(Tableau1[Repere-Slot],MATCH(Tableau3[[#This Row],[ID-SLOT]],Tableau1[ID-SLOT],0))&amp;""</f>
        <v>S10</v>
      </c>
      <c r="AG1418" s="108" t="str">
        <f>INDEX(Tableau2[Repere-Voie],MATCH(Tableau3[[#This Row],[ID-VOIE]],Tableau2[ID-Voie],0))&amp;""</f>
        <v>v0</v>
      </c>
      <c r="AH1418" s="72" t="str">
        <f>Tableau3[[#This Row],[ID-API]]&amp; "." &amp;Tableau3[[#This Row],[ID-RACK]]&amp; "." &amp;Tableau3[[#This Row],[ID-SLOT]]</f>
        <v>9.2.10</v>
      </c>
      <c r="AI1418" s="72" t="str">
        <f>INDEX(Tableau1[Ref-Carte],MATCH(Tableau3[[#This Row],[ID-RRS]],Tableau1[ID-RRS],0))</f>
        <v>SDI1602</v>
      </c>
      <c r="AJ1418" s="72" t="str">
        <f t="array" ref="AJ1418">IFERROR(INDEX(Tableau2[TS],MATCH(1,(Tableau2[Ref-Carte]=Tableau3[[#This Row],[Ref-Carte2]])*(Tableau2[ID-Voie]=Tableau3[[#This Row],[ID-VOIE]]),0)),"")</f>
        <v>ET</v>
      </c>
      <c r="AK1418" s="72" t="str">
        <f>IFERROR(INDEX(Tableau2[TS],SUMPRODUCT((Tableau2[Ref-Carte]=Tableau3[[#This Row],[Ref-Carte2]])*(Tableau2[ID-Voie]=Tableau3[[#This Row],[ID-VOIE]])*ROW(Tableau2[TS]))-ROW(Tableau2[#Headers])),"")</f>
        <v>ET</v>
      </c>
      <c r="AL1418" s="72" t="str">
        <f>Tableau3[[#This Row],[Ref-Carte2]]&amp;"/"&amp;Tableau3[[#This Row],[ID-VOIE]]</f>
        <v>SDI1602/0</v>
      </c>
      <c r="AM1418" s="73" t="str">
        <f>INDEX(Tableau2[Borne],MATCH(Tableau3[[#This Row],[ID-CARTEVOIE]],Tableau2[ID-CARTEVOIE],0))&amp;""</f>
        <v>0B</v>
      </c>
      <c r="AN1418" s="74" t="str">
        <f>Tableau3[[#This Row],[ID-API]]&amp;Tableau3[[#This Row],[ID-RACK]]&amp;Tableau3[[#This Row],[ID-SLOT]]&amp;Tableau3[[#This Row],[BORNE]]</f>
        <v>92100B</v>
      </c>
      <c r="AO1418" s="1"/>
    </row>
    <row r="1419" spans="1:41" ht="20.100000000000001" customHeight="1" thickTop="1" thickBot="1">
      <c r="A1419" s="68"/>
      <c r="B1419" s="69" t="str">
        <f>IFERROR(INDEX(Tableau4[Date],MATCH($A1419,Tableau4[EVO],0)),"")</f>
        <v/>
      </c>
      <c r="C1419" s="68" t="str">
        <f>IFERROR(INDEX(Tableau4[Designation],MATCH($A1419,Tableau4[EVO],0)),"")</f>
        <v/>
      </c>
      <c r="D1419" s="68"/>
      <c r="E1419" s="70"/>
      <c r="F1419" s="71"/>
      <c r="G1419" s="101" t="e">
        <f>INDEX(Tableau8[Att1],MATCH(Tableau3[[#This Row],[ID-INS]],Tableau8[ID],0))&amp;""</f>
        <v>#N/A</v>
      </c>
      <c r="H1419" s="101" t="s">
        <v>1659</v>
      </c>
      <c r="I1419" s="101" t="e">
        <f>INDEX(Tableau8[Att3],MATCH(Tableau3[[#This Row],[ID-INS]],Tableau8[ID],0))&amp;""</f>
        <v>#N/A</v>
      </c>
      <c r="J1419" s="101"/>
      <c r="K1419" s="167" t="e">
        <f>INDEX(Tableau8[Nom du modele],MATCH(Tableau3[[#This Row],[ID-INS]],Tableau8[ID],0))&amp;""</f>
        <v>#N/A</v>
      </c>
      <c r="L1419" s="99"/>
      <c r="M1419" s="99" t="e">
        <f>INDEX(Tableau5[Att2],MATCH(Tableau3[[#This Row],[ID-SIG]],Tableau5[ID],0))&amp;""</f>
        <v>#N/A</v>
      </c>
      <c r="N1419" s="99" t="e">
        <f>INDEX(Tableau5[Att3],MATCH(Tableau3[[#This Row],[ID-SIG]],Tableau5[ID],0))&amp;""</f>
        <v>#N/A</v>
      </c>
      <c r="O1419" s="99"/>
      <c r="P1419" s="99" t="s">
        <v>1664</v>
      </c>
      <c r="Q1419" s="99"/>
      <c r="R1419" s="103" t="str">
        <f>Tableau3[[#This Row],[Description]]</f>
        <v>Défaut basculement sur batterie onduleur TGO B22</v>
      </c>
      <c r="U1419" s="87">
        <v>9</v>
      </c>
      <c r="V1419" s="87">
        <v>2</v>
      </c>
      <c r="W1419" s="87">
        <v>10</v>
      </c>
      <c r="X1419" s="87">
        <v>1</v>
      </c>
      <c r="Y1419" s="40"/>
      <c r="Z1419" s="165" t="str">
        <f>INDEX(Tableau2[TS],MATCH(Tableau3[[#This Row],[ID-CARTEVOIE]],Tableau2[ID-CARTEVOIE],0))</f>
        <v>ET</v>
      </c>
      <c r="AA1419" s="53" t="s">
        <v>213</v>
      </c>
      <c r="AB1419" s="223" t="str">
        <f>IFERROR(INDEX(Tableau5[Reserve],MATCH(Tableau3[[#This Row],[ID-SIG]],Tableau5[ID],0))&amp;"","")</f>
        <v/>
      </c>
      <c r="AC1419" s="21" t="s">
        <v>1456</v>
      </c>
      <c r="AD1419" s="108" t="str">
        <f>INDEX(Tableau7[Repere],MATCH(Tableau3[[#This Row],[ID-API]],Tableau7[ID-API],0))&amp;""</f>
        <v>A9</v>
      </c>
      <c r="AE1419" s="108" t="str">
        <f>INDEX(Tableau1[Repere-Rack],MATCH(Tableau3[[#This Row],[ID-RACK]],Tableau1[ID-RACK],0))&amp;""</f>
        <v>R2</v>
      </c>
      <c r="AF1419" s="108" t="str">
        <f>INDEX(Tableau1[Repere-Slot],MATCH(Tableau3[[#This Row],[ID-SLOT]],Tableau1[ID-SLOT],0))&amp;""</f>
        <v>S10</v>
      </c>
      <c r="AG1419" s="108" t="str">
        <f>INDEX(Tableau2[Repere-Voie],MATCH(Tableau3[[#This Row],[ID-VOIE]],Tableau2[ID-Voie],0))&amp;""</f>
        <v>v1</v>
      </c>
      <c r="AH1419" s="72" t="str">
        <f>Tableau3[[#This Row],[ID-API]]&amp; "." &amp;Tableau3[[#This Row],[ID-RACK]]&amp; "." &amp;Tableau3[[#This Row],[ID-SLOT]]</f>
        <v>9.2.10</v>
      </c>
      <c r="AI1419" s="72" t="str">
        <f>INDEX(Tableau1[Ref-Carte],MATCH(Tableau3[[#This Row],[ID-RRS]],Tableau1[ID-RRS],0))</f>
        <v>SDI1602</v>
      </c>
      <c r="AJ1419" s="72" t="str">
        <f t="array" ref="AJ1419">IFERROR(INDEX(Tableau2[TS],MATCH(1,(Tableau2[Ref-Carte]=Tableau3[[#This Row],[Ref-Carte2]])*(Tableau2[ID-Voie]=Tableau3[[#This Row],[ID-VOIE]]),0)),"")</f>
        <v>ET</v>
      </c>
      <c r="AK1419" s="72" t="str">
        <f>IFERROR(INDEX(Tableau2[TS],SUMPRODUCT((Tableau2[Ref-Carte]=Tableau3[[#This Row],[Ref-Carte2]])*(Tableau2[ID-Voie]=Tableau3[[#This Row],[ID-VOIE]])*ROW(Tableau2[TS]))-ROW(Tableau2[#Headers])),"")</f>
        <v>ET</v>
      </c>
      <c r="AL1419" s="72" t="str">
        <f>Tableau3[[#This Row],[Ref-Carte2]]&amp;"/"&amp;Tableau3[[#This Row],[ID-VOIE]]</f>
        <v>SDI1602/1</v>
      </c>
      <c r="AM1419" s="73" t="str">
        <f>INDEX(Tableau2[Borne],MATCH(Tableau3[[#This Row],[ID-CARTEVOIE]],Tableau2[ID-CARTEVOIE],0))&amp;""</f>
        <v>0A</v>
      </c>
      <c r="AN1419" s="74" t="str">
        <f>Tableau3[[#This Row],[ID-API]]&amp;Tableau3[[#This Row],[ID-RACK]]&amp;Tableau3[[#This Row],[ID-SLOT]]&amp;Tableau3[[#This Row],[BORNE]]</f>
        <v>92100A</v>
      </c>
      <c r="AO1419" s="1"/>
    </row>
    <row r="1420" spans="1:41" ht="20.100000000000001" customHeight="1" thickTop="1" thickBot="1">
      <c r="A1420" s="68"/>
      <c r="B1420" s="69" t="str">
        <f>IFERROR(INDEX(Tableau4[Date],MATCH($A1420,Tableau4[EVO],0)),"")</f>
        <v/>
      </c>
      <c r="C1420" s="68" t="str">
        <f>IFERROR(INDEX(Tableau4[Designation],MATCH($A1420,Tableau4[EVO],0)),"")</f>
        <v/>
      </c>
      <c r="D1420" s="68"/>
      <c r="E1420" s="70"/>
      <c r="F1420" s="71"/>
      <c r="G1420" s="101" t="e">
        <f>INDEX(Tableau8[Att1],MATCH(Tableau3[[#This Row],[ID-INS]],Tableau8[ID],0))&amp;""</f>
        <v>#N/A</v>
      </c>
      <c r="H1420" s="101" t="s">
        <v>1660</v>
      </c>
      <c r="I1420" s="101" t="e">
        <f>INDEX(Tableau8[Att3],MATCH(Tableau3[[#This Row],[ID-INS]],Tableau8[ID],0))&amp;""</f>
        <v>#N/A</v>
      </c>
      <c r="J1420" s="101"/>
      <c r="K1420" s="167" t="e">
        <f>INDEX(Tableau8[Nom du modele],MATCH(Tableau3[[#This Row],[ID-INS]],Tableau8[ID],0))&amp;""</f>
        <v>#N/A</v>
      </c>
      <c r="L1420" s="99"/>
      <c r="M1420" s="99" t="e">
        <f>INDEX(Tableau5[Att2],MATCH(Tableau3[[#This Row],[ID-SIG]],Tableau5[ID],0))&amp;""</f>
        <v>#N/A</v>
      </c>
      <c r="N1420" s="99" t="e">
        <f>INDEX(Tableau5[Att3],MATCH(Tableau3[[#This Row],[ID-SIG]],Tableau5[ID],0))&amp;""</f>
        <v>#N/A</v>
      </c>
      <c r="O1420" s="99"/>
      <c r="P1420" s="99" t="s">
        <v>1665</v>
      </c>
      <c r="Q1420" s="99"/>
      <c r="R1420" s="103" t="str">
        <f>Tableau3[[#This Row],[Description]]</f>
        <v>Défaut batterie faible onduleur TGO B22</v>
      </c>
      <c r="U1420" s="87">
        <v>9</v>
      </c>
      <c r="V1420" s="87">
        <v>2</v>
      </c>
      <c r="W1420" s="87">
        <v>10</v>
      </c>
      <c r="X1420" s="87">
        <v>2</v>
      </c>
      <c r="Y1420" s="40"/>
      <c r="Z1420" s="165" t="str">
        <f>INDEX(Tableau2[TS],MATCH(Tableau3[[#This Row],[ID-CARTEVOIE]],Tableau2[ID-CARTEVOIE],0))</f>
        <v>ET</v>
      </c>
      <c r="AA1420" s="53" t="s">
        <v>213</v>
      </c>
      <c r="AB1420" s="223" t="str">
        <f>IFERROR(INDEX(Tableau5[Reserve],MATCH(Tableau3[[#This Row],[ID-SIG]],Tableau5[ID],0))&amp;"","")</f>
        <v/>
      </c>
      <c r="AC1420" s="21" t="s">
        <v>1456</v>
      </c>
      <c r="AD1420" s="108" t="str">
        <f>INDEX(Tableau7[Repere],MATCH(Tableau3[[#This Row],[ID-API]],Tableau7[ID-API],0))&amp;""</f>
        <v>A9</v>
      </c>
      <c r="AE1420" s="108" t="str">
        <f>INDEX(Tableau1[Repere-Rack],MATCH(Tableau3[[#This Row],[ID-RACK]],Tableau1[ID-RACK],0))&amp;""</f>
        <v>R2</v>
      </c>
      <c r="AF1420" s="108" t="str">
        <f>INDEX(Tableau1[Repere-Slot],MATCH(Tableau3[[#This Row],[ID-SLOT]],Tableau1[ID-SLOT],0))&amp;""</f>
        <v>S10</v>
      </c>
      <c r="AG1420" s="108" t="str">
        <f>INDEX(Tableau2[Repere-Voie],MATCH(Tableau3[[#This Row],[ID-VOIE]],Tableau2[ID-Voie],0))&amp;""</f>
        <v>v2</v>
      </c>
      <c r="AH1420" s="72" t="str">
        <f>Tableau3[[#This Row],[ID-API]]&amp; "." &amp;Tableau3[[#This Row],[ID-RACK]]&amp; "." &amp;Tableau3[[#This Row],[ID-SLOT]]</f>
        <v>9.2.10</v>
      </c>
      <c r="AI1420" s="72" t="str">
        <f>INDEX(Tableau1[Ref-Carte],MATCH(Tableau3[[#This Row],[ID-RRS]],Tableau1[ID-RRS],0))</f>
        <v>SDI1602</v>
      </c>
      <c r="AJ1420" s="72" t="str">
        <f t="array" ref="AJ1420">IFERROR(INDEX(Tableau2[TS],MATCH(1,(Tableau2[Ref-Carte]=Tableau3[[#This Row],[Ref-Carte2]])*(Tableau2[ID-Voie]=Tableau3[[#This Row],[ID-VOIE]]),0)),"")</f>
        <v>ET</v>
      </c>
      <c r="AK1420" s="72" t="str">
        <f>IFERROR(INDEX(Tableau2[TS],SUMPRODUCT((Tableau2[Ref-Carte]=Tableau3[[#This Row],[Ref-Carte2]])*(Tableau2[ID-Voie]=Tableau3[[#This Row],[ID-VOIE]])*ROW(Tableau2[TS]))-ROW(Tableau2[#Headers])),"")</f>
        <v>ET</v>
      </c>
      <c r="AL1420" s="72" t="str">
        <f>Tableau3[[#This Row],[Ref-Carte2]]&amp;"/"&amp;Tableau3[[#This Row],[ID-VOIE]]</f>
        <v>SDI1602/2</v>
      </c>
      <c r="AM1420" s="73" t="str">
        <f>INDEX(Tableau2[Borne],MATCH(Tableau3[[#This Row],[ID-CARTEVOIE]],Tableau2[ID-CARTEVOIE],0))&amp;""</f>
        <v>1B</v>
      </c>
      <c r="AN1420" s="74" t="str">
        <f>Tableau3[[#This Row],[ID-API]]&amp;Tableau3[[#This Row],[ID-RACK]]&amp;Tableau3[[#This Row],[ID-SLOT]]&amp;Tableau3[[#This Row],[BORNE]]</f>
        <v>92101B</v>
      </c>
      <c r="AO1420" s="1"/>
    </row>
    <row r="1421" spans="1:41" ht="20.100000000000001" customHeight="1" thickTop="1" thickBot="1">
      <c r="A1421" s="68"/>
      <c r="B1421" s="69" t="str">
        <f>IFERROR(INDEX(Tableau4[Date],MATCH($A1421,Tableau4[EVO],0)),"")</f>
        <v/>
      </c>
      <c r="C1421" s="68" t="str">
        <f>IFERROR(INDEX(Tableau4[Designation],MATCH($A1421,Tableau4[EVO],0)),"")</f>
        <v/>
      </c>
      <c r="D1421" s="68"/>
      <c r="E1421" s="70"/>
      <c r="F1421" s="71"/>
      <c r="G1421" s="101" t="e">
        <f>INDEX(Tableau8[Att1],MATCH(Tableau3[[#This Row],[ID-INS]],Tableau8[ID],0))&amp;""</f>
        <v>#N/A</v>
      </c>
      <c r="H1421" s="101" t="s">
        <v>1661</v>
      </c>
      <c r="I1421" s="101" t="e">
        <f>INDEX(Tableau8[Att3],MATCH(Tableau3[[#This Row],[ID-INS]],Tableau8[ID],0))&amp;""</f>
        <v>#N/A</v>
      </c>
      <c r="J1421" s="101"/>
      <c r="K1421" s="167" t="e">
        <f>INDEX(Tableau8[Nom du modele],MATCH(Tableau3[[#This Row],[ID-INS]],Tableau8[ID],0))&amp;""</f>
        <v>#N/A</v>
      </c>
      <c r="L1421" s="99"/>
      <c r="M1421" s="99" t="e">
        <f>INDEX(Tableau5[Att2],MATCH(Tableau3[[#This Row],[ID-SIG]],Tableau5[ID],0))&amp;""</f>
        <v>#N/A</v>
      </c>
      <c r="N1421" s="99" t="e">
        <f>INDEX(Tableau5[Att3],MATCH(Tableau3[[#This Row],[ID-SIG]],Tableau5[ID],0))&amp;""</f>
        <v>#N/A</v>
      </c>
      <c r="O1421" s="99"/>
      <c r="P1421" s="99" t="s">
        <v>1666</v>
      </c>
      <c r="Q1421" s="99"/>
      <c r="R1421" s="103" t="str">
        <f>Tableau3[[#This Row],[Description]]</f>
        <v>Défaut onduleur sur By-pass TGO B22</v>
      </c>
      <c r="U1421" s="87">
        <v>9</v>
      </c>
      <c r="V1421" s="87">
        <v>2</v>
      </c>
      <c r="W1421" s="87">
        <v>10</v>
      </c>
      <c r="X1421" s="87">
        <v>3</v>
      </c>
      <c r="Y1421" s="40"/>
      <c r="Z1421" s="165" t="str">
        <f>INDEX(Tableau2[TS],MATCH(Tableau3[[#This Row],[ID-CARTEVOIE]],Tableau2[ID-CARTEVOIE],0))</f>
        <v>ET</v>
      </c>
      <c r="AA1421" s="53" t="s">
        <v>213</v>
      </c>
      <c r="AB1421" s="223" t="str">
        <f>IFERROR(INDEX(Tableau5[Reserve],MATCH(Tableau3[[#This Row],[ID-SIG]],Tableau5[ID],0))&amp;"","")</f>
        <v/>
      </c>
      <c r="AC1421" s="21" t="s">
        <v>1456</v>
      </c>
      <c r="AD1421" s="108" t="str">
        <f>INDEX(Tableau7[Repere],MATCH(Tableau3[[#This Row],[ID-API]],Tableau7[ID-API],0))&amp;""</f>
        <v>A9</v>
      </c>
      <c r="AE1421" s="108" t="str">
        <f>INDEX(Tableau1[Repere-Rack],MATCH(Tableau3[[#This Row],[ID-RACK]],Tableau1[ID-RACK],0))&amp;""</f>
        <v>R2</v>
      </c>
      <c r="AF1421" s="108" t="str">
        <f>INDEX(Tableau1[Repere-Slot],MATCH(Tableau3[[#This Row],[ID-SLOT]],Tableau1[ID-SLOT],0))&amp;""</f>
        <v>S10</v>
      </c>
      <c r="AG1421" s="108" t="str">
        <f>INDEX(Tableau2[Repere-Voie],MATCH(Tableau3[[#This Row],[ID-VOIE]],Tableau2[ID-Voie],0))&amp;""</f>
        <v>v3</v>
      </c>
      <c r="AH1421" s="72" t="str">
        <f>Tableau3[[#This Row],[ID-API]]&amp; "." &amp;Tableau3[[#This Row],[ID-RACK]]&amp; "." &amp;Tableau3[[#This Row],[ID-SLOT]]</f>
        <v>9.2.10</v>
      </c>
      <c r="AI1421" s="72" t="str">
        <f>INDEX(Tableau1[Ref-Carte],MATCH(Tableau3[[#This Row],[ID-RRS]],Tableau1[ID-RRS],0))</f>
        <v>SDI1602</v>
      </c>
      <c r="AJ1421" s="72" t="str">
        <f t="array" ref="AJ1421">IFERROR(INDEX(Tableau2[TS],MATCH(1,(Tableau2[Ref-Carte]=Tableau3[[#This Row],[Ref-Carte2]])*(Tableau2[ID-Voie]=Tableau3[[#This Row],[ID-VOIE]]),0)),"")</f>
        <v>ET</v>
      </c>
      <c r="AK1421" s="72" t="str">
        <f>IFERROR(INDEX(Tableau2[TS],SUMPRODUCT((Tableau2[Ref-Carte]=Tableau3[[#This Row],[Ref-Carte2]])*(Tableau2[ID-Voie]=Tableau3[[#This Row],[ID-VOIE]])*ROW(Tableau2[TS]))-ROW(Tableau2[#Headers])),"")</f>
        <v>ET</v>
      </c>
      <c r="AL1421" s="72" t="str">
        <f>Tableau3[[#This Row],[Ref-Carte2]]&amp;"/"&amp;Tableau3[[#This Row],[ID-VOIE]]</f>
        <v>SDI1602/3</v>
      </c>
      <c r="AM1421" s="73" t="str">
        <f>INDEX(Tableau2[Borne],MATCH(Tableau3[[#This Row],[ID-CARTEVOIE]],Tableau2[ID-CARTEVOIE],0))&amp;""</f>
        <v>1A</v>
      </c>
      <c r="AN1421" s="74" t="str">
        <f>Tableau3[[#This Row],[ID-API]]&amp;Tableau3[[#This Row],[ID-RACK]]&amp;Tableau3[[#This Row],[ID-SLOT]]&amp;Tableau3[[#This Row],[BORNE]]</f>
        <v>92101A</v>
      </c>
      <c r="AO1421" s="1"/>
    </row>
    <row r="1422" spans="1:41" ht="20.100000000000001" customHeight="1" thickTop="1" thickBot="1">
      <c r="A1422" s="68"/>
      <c r="B1422" s="69" t="str">
        <f>IFERROR(INDEX(Tableau4[Date],MATCH($A1422,Tableau4[EVO],0)),"")</f>
        <v/>
      </c>
      <c r="C1422" s="68" t="str">
        <f>IFERROR(INDEX(Tableau4[Designation],MATCH($A1422,Tableau4[EVO],0)),"")</f>
        <v/>
      </c>
      <c r="D1422" s="68"/>
      <c r="E1422" s="70"/>
      <c r="F1422" s="71"/>
      <c r="G1422" s="101" t="e">
        <f>INDEX(Tableau8[Att1],MATCH(Tableau3[[#This Row],[ID-INS]],Tableau8[ID],0))&amp;""</f>
        <v>#N/A</v>
      </c>
      <c r="H1422" s="101"/>
      <c r="I1422" s="101" t="e">
        <f>INDEX(Tableau8[Att3],MATCH(Tableau3[[#This Row],[ID-INS]],Tableau8[ID],0))&amp;""</f>
        <v>#N/A</v>
      </c>
      <c r="J1422" s="101"/>
      <c r="K1422" s="167" t="e">
        <f>INDEX(Tableau8[Nom du modele],MATCH(Tableau3[[#This Row],[ID-INS]],Tableau8[ID],0))&amp;""</f>
        <v>#N/A</v>
      </c>
      <c r="L1422" s="99"/>
      <c r="M1422" s="99" t="e">
        <f>INDEX(Tableau5[Att2],MATCH(Tableau3[[#This Row],[ID-SIG]],Tableau5[ID],0))&amp;""</f>
        <v>#N/A</v>
      </c>
      <c r="N1422" s="99" t="e">
        <f>INDEX(Tableau5[Att3],MATCH(Tableau3[[#This Row],[ID-SIG]],Tableau5[ID],0))&amp;""</f>
        <v>#N/A</v>
      </c>
      <c r="O1422" s="99"/>
      <c r="P1422" s="99" t="s">
        <v>1667</v>
      </c>
      <c r="Q1422" s="99"/>
      <c r="R1422" s="103" t="str">
        <f>Tableau3[[#This Row],[Description]]</f>
        <v>Presence Tension TGO22 B22</v>
      </c>
      <c r="U1422" s="87">
        <v>9</v>
      </c>
      <c r="V1422" s="87">
        <v>2</v>
      </c>
      <c r="W1422" s="87">
        <v>10</v>
      </c>
      <c r="X1422" s="87">
        <v>4</v>
      </c>
      <c r="Y1422" s="40"/>
      <c r="Z1422" s="165" t="str">
        <f>INDEX(Tableau2[TS],MATCH(Tableau3[[#This Row],[ID-CARTEVOIE]],Tableau2[ID-CARTEVOIE],0))</f>
        <v>ET</v>
      </c>
      <c r="AA1422" s="53" t="s">
        <v>213</v>
      </c>
      <c r="AB1422" s="223" t="str">
        <f>IFERROR(INDEX(Tableau5[Reserve],MATCH(Tableau3[[#This Row],[ID-SIG]],Tableau5[ID],0))&amp;"","")</f>
        <v/>
      </c>
      <c r="AC1422" s="21" t="s">
        <v>1456</v>
      </c>
      <c r="AD1422" s="108" t="str">
        <f>INDEX(Tableau7[Repere],MATCH(Tableau3[[#This Row],[ID-API]],Tableau7[ID-API],0))&amp;""</f>
        <v>A9</v>
      </c>
      <c r="AE1422" s="108" t="str">
        <f>INDEX(Tableau1[Repere-Rack],MATCH(Tableau3[[#This Row],[ID-RACK]],Tableau1[ID-RACK],0))&amp;""</f>
        <v>R2</v>
      </c>
      <c r="AF1422" s="108" t="str">
        <f>INDEX(Tableau1[Repere-Slot],MATCH(Tableau3[[#This Row],[ID-SLOT]],Tableau1[ID-SLOT],0))&amp;""</f>
        <v>S10</v>
      </c>
      <c r="AG1422" s="108" t="str">
        <f>INDEX(Tableau2[Repere-Voie],MATCH(Tableau3[[#This Row],[ID-VOIE]],Tableau2[ID-Voie],0))&amp;""</f>
        <v>v4</v>
      </c>
      <c r="AH1422" s="72" t="str">
        <f>Tableau3[[#This Row],[ID-API]]&amp; "." &amp;Tableau3[[#This Row],[ID-RACK]]&amp; "." &amp;Tableau3[[#This Row],[ID-SLOT]]</f>
        <v>9.2.10</v>
      </c>
      <c r="AI1422" s="72" t="str">
        <f>INDEX(Tableau1[Ref-Carte],MATCH(Tableau3[[#This Row],[ID-RRS]],Tableau1[ID-RRS],0))</f>
        <v>SDI1602</v>
      </c>
      <c r="AJ1422" s="72" t="str">
        <f t="array" ref="AJ1422">IFERROR(INDEX(Tableau2[TS],MATCH(1,(Tableau2[Ref-Carte]=Tableau3[[#This Row],[Ref-Carte2]])*(Tableau2[ID-Voie]=Tableau3[[#This Row],[ID-VOIE]]),0)),"")</f>
        <v>ET</v>
      </c>
      <c r="AK1422" s="72" t="str">
        <f>IFERROR(INDEX(Tableau2[TS],SUMPRODUCT((Tableau2[Ref-Carte]=Tableau3[[#This Row],[Ref-Carte2]])*(Tableau2[ID-Voie]=Tableau3[[#This Row],[ID-VOIE]])*ROW(Tableau2[TS]))-ROW(Tableau2[#Headers])),"")</f>
        <v>ET</v>
      </c>
      <c r="AL1422" s="72" t="str">
        <f>Tableau3[[#This Row],[Ref-Carte2]]&amp;"/"&amp;Tableau3[[#This Row],[ID-VOIE]]</f>
        <v>SDI1602/4</v>
      </c>
      <c r="AM1422" s="73" t="str">
        <f>INDEX(Tableau2[Borne],MATCH(Tableau3[[#This Row],[ID-CARTEVOIE]],Tableau2[ID-CARTEVOIE],0))&amp;""</f>
        <v>2B</v>
      </c>
      <c r="AN1422" s="74" t="str">
        <f>Tableau3[[#This Row],[ID-API]]&amp;Tableau3[[#This Row],[ID-RACK]]&amp;Tableau3[[#This Row],[ID-SLOT]]&amp;Tableau3[[#This Row],[BORNE]]</f>
        <v>92102B</v>
      </c>
      <c r="AO1422" s="1"/>
    </row>
    <row r="1423" spans="1:41" ht="20.100000000000001" customHeight="1" thickTop="1" thickBot="1">
      <c r="A1423" s="68"/>
      <c r="B1423" s="69" t="str">
        <f>IFERROR(INDEX(Tableau4[Date],MATCH($A1423,Tableau4[EVO],0)),"")</f>
        <v/>
      </c>
      <c r="C1423" s="68" t="str">
        <f>IFERROR(INDEX(Tableau4[Designation],MATCH($A1423,Tableau4[EVO],0)),"")</f>
        <v/>
      </c>
      <c r="D1423" s="68"/>
      <c r="E1423" s="70"/>
      <c r="F1423" s="71"/>
      <c r="G1423" s="101" t="e">
        <f>INDEX(Tableau8[Att1],MATCH(Tableau3[[#This Row],[ID-INS]],Tableau8[ID],0))&amp;""</f>
        <v>#N/A</v>
      </c>
      <c r="H1423" s="101"/>
      <c r="I1423" s="101" t="e">
        <f>INDEX(Tableau8[Att3],MATCH(Tableau3[[#This Row],[ID-INS]],Tableau8[ID],0))&amp;""</f>
        <v>#N/A</v>
      </c>
      <c r="J1423" s="101"/>
      <c r="K1423" s="167" t="e">
        <f>INDEX(Tableau8[Nom du modele],MATCH(Tableau3[[#This Row],[ID-INS]],Tableau8[ID],0))&amp;""</f>
        <v>#N/A</v>
      </c>
      <c r="L1423" s="99"/>
      <c r="M1423" s="99" t="e">
        <f>INDEX(Tableau5[Att2],MATCH(Tableau3[[#This Row],[ID-SIG]],Tableau5[ID],0))&amp;""</f>
        <v>#N/A</v>
      </c>
      <c r="N1423" s="99" t="e">
        <f>INDEX(Tableau5[Att3],MATCH(Tableau3[[#This Row],[ID-SIG]],Tableau5[ID],0))&amp;""</f>
        <v>#N/A</v>
      </c>
      <c r="O1423" s="99"/>
      <c r="P1423" s="99"/>
      <c r="Q1423" s="99"/>
      <c r="R1423" s="103">
        <f>Tableau3[[#This Row],[Description]]</f>
        <v>0</v>
      </c>
      <c r="U1423" s="87">
        <v>9</v>
      </c>
      <c r="V1423" s="87">
        <v>2</v>
      </c>
      <c r="W1423" s="87">
        <v>10</v>
      </c>
      <c r="X1423" s="87">
        <v>5</v>
      </c>
      <c r="Y1423" s="40"/>
      <c r="Z1423" s="165" t="str">
        <f>INDEX(Tableau2[TS],MATCH(Tableau3[[#This Row],[ID-CARTEVOIE]],Tableau2[ID-CARTEVOIE],0))</f>
        <v>ET</v>
      </c>
      <c r="AA1423" s="53" t="s">
        <v>213</v>
      </c>
      <c r="AB1423" s="223" t="str">
        <f>IFERROR(INDEX(Tableau5[Reserve],MATCH(Tableau3[[#This Row],[ID-SIG]],Tableau5[ID],0))&amp;"","")</f>
        <v/>
      </c>
      <c r="AC1423" s="21" t="s">
        <v>1456</v>
      </c>
      <c r="AD1423" s="108" t="str">
        <f>INDEX(Tableau7[Repere],MATCH(Tableau3[[#This Row],[ID-API]],Tableau7[ID-API],0))&amp;""</f>
        <v>A9</v>
      </c>
      <c r="AE1423" s="108" t="str">
        <f>INDEX(Tableau1[Repere-Rack],MATCH(Tableau3[[#This Row],[ID-RACK]],Tableau1[ID-RACK],0))&amp;""</f>
        <v>R2</v>
      </c>
      <c r="AF1423" s="108" t="str">
        <f>INDEX(Tableau1[Repere-Slot],MATCH(Tableau3[[#This Row],[ID-SLOT]],Tableau1[ID-SLOT],0))&amp;""</f>
        <v>S10</v>
      </c>
      <c r="AG1423" s="108" t="str">
        <f>INDEX(Tableau2[Repere-Voie],MATCH(Tableau3[[#This Row],[ID-VOIE]],Tableau2[ID-Voie],0))&amp;""</f>
        <v>v5</v>
      </c>
      <c r="AH1423" s="72" t="str">
        <f>Tableau3[[#This Row],[ID-API]]&amp; "." &amp;Tableau3[[#This Row],[ID-RACK]]&amp; "." &amp;Tableau3[[#This Row],[ID-SLOT]]</f>
        <v>9.2.10</v>
      </c>
      <c r="AI1423" s="72" t="str">
        <f>INDEX(Tableau1[Ref-Carte],MATCH(Tableau3[[#This Row],[ID-RRS]],Tableau1[ID-RRS],0))</f>
        <v>SDI1602</v>
      </c>
      <c r="AJ1423" s="72" t="str">
        <f t="array" ref="AJ1423">IFERROR(INDEX(Tableau2[TS],MATCH(1,(Tableau2[Ref-Carte]=Tableau3[[#This Row],[Ref-Carte2]])*(Tableau2[ID-Voie]=Tableau3[[#This Row],[ID-VOIE]]),0)),"")</f>
        <v>ET</v>
      </c>
      <c r="AK1423" s="72" t="str">
        <f>IFERROR(INDEX(Tableau2[TS],SUMPRODUCT((Tableau2[Ref-Carte]=Tableau3[[#This Row],[Ref-Carte2]])*(Tableau2[ID-Voie]=Tableau3[[#This Row],[ID-VOIE]])*ROW(Tableau2[TS]))-ROW(Tableau2[#Headers])),"")</f>
        <v>ET</v>
      </c>
      <c r="AL1423" s="72" t="str">
        <f>Tableau3[[#This Row],[Ref-Carte2]]&amp;"/"&amp;Tableau3[[#This Row],[ID-VOIE]]</f>
        <v>SDI1602/5</v>
      </c>
      <c r="AM1423" s="73" t="str">
        <f>INDEX(Tableau2[Borne],MATCH(Tableau3[[#This Row],[ID-CARTEVOIE]],Tableau2[ID-CARTEVOIE],0))&amp;""</f>
        <v>2A</v>
      </c>
      <c r="AN1423" s="74" t="str">
        <f>Tableau3[[#This Row],[ID-API]]&amp;Tableau3[[#This Row],[ID-RACK]]&amp;Tableau3[[#This Row],[ID-SLOT]]&amp;Tableau3[[#This Row],[BORNE]]</f>
        <v>92102A</v>
      </c>
      <c r="AO1423" s="1"/>
    </row>
    <row r="1424" spans="1:41" ht="20.100000000000001" customHeight="1" thickTop="1" thickBot="1">
      <c r="A1424" s="68"/>
      <c r="B1424" s="69" t="str">
        <f>IFERROR(INDEX(Tableau4[Date],MATCH($A1424,Tableau4[EVO],0)),"")</f>
        <v/>
      </c>
      <c r="C1424" s="68" t="str">
        <f>IFERROR(INDEX(Tableau4[Designation],MATCH($A1424,Tableau4[EVO],0)),"")</f>
        <v/>
      </c>
      <c r="D1424" s="68"/>
      <c r="E1424" s="70"/>
      <c r="F1424" s="71"/>
      <c r="G1424" s="101" t="e">
        <f>INDEX(Tableau8[Att1],MATCH(Tableau3[[#This Row],[ID-INS]],Tableau8[ID],0))&amp;""</f>
        <v>#N/A</v>
      </c>
      <c r="H1424" s="101"/>
      <c r="I1424" s="101" t="e">
        <f>INDEX(Tableau8[Att3],MATCH(Tableau3[[#This Row],[ID-INS]],Tableau8[ID],0))&amp;""</f>
        <v>#N/A</v>
      </c>
      <c r="J1424" s="101"/>
      <c r="K1424" s="167" t="e">
        <f>INDEX(Tableau8[Nom du modele],MATCH(Tableau3[[#This Row],[ID-INS]],Tableau8[ID],0))&amp;""</f>
        <v>#N/A</v>
      </c>
      <c r="L1424" s="99"/>
      <c r="M1424" s="99" t="e">
        <f>INDEX(Tableau5[Att2],MATCH(Tableau3[[#This Row],[ID-SIG]],Tableau5[ID],0))&amp;""</f>
        <v>#N/A</v>
      </c>
      <c r="N1424" s="99" t="e">
        <f>INDEX(Tableau5[Att3],MATCH(Tableau3[[#This Row],[ID-SIG]],Tableau5[ID],0))&amp;""</f>
        <v>#N/A</v>
      </c>
      <c r="O1424" s="99"/>
      <c r="P1424" s="99" t="s">
        <v>1668</v>
      </c>
      <c r="Q1424" s="99"/>
      <c r="R1424" s="103" t="str">
        <f>Tableau3[[#This Row],[Description]]</f>
        <v>Inverseur de source TG22 sur Secteur</v>
      </c>
      <c r="U1424" s="87">
        <v>9</v>
      </c>
      <c r="V1424" s="87">
        <v>2</v>
      </c>
      <c r="W1424" s="87">
        <v>10</v>
      </c>
      <c r="X1424" s="87">
        <v>6</v>
      </c>
      <c r="Y1424" s="40"/>
      <c r="Z1424" s="165" t="str">
        <f>INDEX(Tableau2[TS],MATCH(Tableau3[[#This Row],[ID-CARTEVOIE]],Tableau2[ID-CARTEVOIE],0))</f>
        <v>ET</v>
      </c>
      <c r="AA1424" s="53" t="s">
        <v>213</v>
      </c>
      <c r="AB1424" s="223" t="str">
        <f>IFERROR(INDEX(Tableau5[Reserve],MATCH(Tableau3[[#This Row],[ID-SIG]],Tableau5[ID],0))&amp;"","")</f>
        <v/>
      </c>
      <c r="AC1424" s="21" t="s">
        <v>1456</v>
      </c>
      <c r="AD1424" s="108" t="str">
        <f>INDEX(Tableau7[Repere],MATCH(Tableau3[[#This Row],[ID-API]],Tableau7[ID-API],0))&amp;""</f>
        <v>A9</v>
      </c>
      <c r="AE1424" s="108" t="str">
        <f>INDEX(Tableau1[Repere-Rack],MATCH(Tableau3[[#This Row],[ID-RACK]],Tableau1[ID-RACK],0))&amp;""</f>
        <v>R2</v>
      </c>
      <c r="AF1424" s="108" t="str">
        <f>INDEX(Tableau1[Repere-Slot],MATCH(Tableau3[[#This Row],[ID-SLOT]],Tableau1[ID-SLOT],0))&amp;""</f>
        <v>S10</v>
      </c>
      <c r="AG1424" s="108" t="str">
        <f>INDEX(Tableau2[Repere-Voie],MATCH(Tableau3[[#This Row],[ID-VOIE]],Tableau2[ID-Voie],0))&amp;""</f>
        <v>v6</v>
      </c>
      <c r="AH1424" s="72" t="str">
        <f>Tableau3[[#This Row],[ID-API]]&amp; "." &amp;Tableau3[[#This Row],[ID-RACK]]&amp; "." &amp;Tableau3[[#This Row],[ID-SLOT]]</f>
        <v>9.2.10</v>
      </c>
      <c r="AI1424" s="72" t="str">
        <f>INDEX(Tableau1[Ref-Carte],MATCH(Tableau3[[#This Row],[ID-RRS]],Tableau1[ID-RRS],0))</f>
        <v>SDI1602</v>
      </c>
      <c r="AJ1424" s="72" t="str">
        <f t="array" ref="AJ1424">IFERROR(INDEX(Tableau2[TS],MATCH(1,(Tableau2[Ref-Carte]=Tableau3[[#This Row],[Ref-Carte2]])*(Tableau2[ID-Voie]=Tableau3[[#This Row],[ID-VOIE]]),0)),"")</f>
        <v>ET</v>
      </c>
      <c r="AK1424" s="72" t="str">
        <f>IFERROR(INDEX(Tableau2[TS],SUMPRODUCT((Tableau2[Ref-Carte]=Tableau3[[#This Row],[Ref-Carte2]])*(Tableau2[ID-Voie]=Tableau3[[#This Row],[ID-VOIE]])*ROW(Tableau2[TS]))-ROW(Tableau2[#Headers])),"")</f>
        <v>ET</v>
      </c>
      <c r="AL1424" s="72" t="str">
        <f>Tableau3[[#This Row],[Ref-Carte2]]&amp;"/"&amp;Tableau3[[#This Row],[ID-VOIE]]</f>
        <v>SDI1602/6</v>
      </c>
      <c r="AM1424" s="73" t="str">
        <f>INDEX(Tableau2[Borne],MATCH(Tableau3[[#This Row],[ID-CARTEVOIE]],Tableau2[ID-CARTEVOIE],0))&amp;""</f>
        <v>3B</v>
      </c>
      <c r="AN1424" s="74" t="str">
        <f>Tableau3[[#This Row],[ID-API]]&amp;Tableau3[[#This Row],[ID-RACK]]&amp;Tableau3[[#This Row],[ID-SLOT]]&amp;Tableau3[[#This Row],[BORNE]]</f>
        <v>92103B</v>
      </c>
      <c r="AO1424" s="1"/>
    </row>
    <row r="1425" spans="1:41" ht="20.100000000000001" customHeight="1" thickTop="1" thickBot="1">
      <c r="A1425" s="68"/>
      <c r="B1425" s="69" t="str">
        <f>IFERROR(INDEX(Tableau4[Date],MATCH($A1425,Tableau4[EVO],0)),"")</f>
        <v/>
      </c>
      <c r="C1425" s="68" t="str">
        <f>IFERROR(INDEX(Tableau4[Designation],MATCH($A1425,Tableau4[EVO],0)),"")</f>
        <v/>
      </c>
      <c r="D1425" s="68"/>
      <c r="E1425" s="70"/>
      <c r="F1425" s="71"/>
      <c r="G1425" s="101" t="e">
        <f>INDEX(Tableau8[Att1],MATCH(Tableau3[[#This Row],[ID-INS]],Tableau8[ID],0))&amp;""</f>
        <v>#N/A</v>
      </c>
      <c r="H1425" s="101"/>
      <c r="I1425" s="101" t="e">
        <f>INDEX(Tableau8[Att3],MATCH(Tableau3[[#This Row],[ID-INS]],Tableau8[ID],0))&amp;""</f>
        <v>#N/A</v>
      </c>
      <c r="J1425" s="101"/>
      <c r="K1425" s="167" t="e">
        <f>INDEX(Tableau8[Nom du modele],MATCH(Tableau3[[#This Row],[ID-INS]],Tableau8[ID],0))&amp;""</f>
        <v>#N/A</v>
      </c>
      <c r="L1425" s="99"/>
      <c r="M1425" s="99" t="e">
        <f>INDEX(Tableau5[Att2],MATCH(Tableau3[[#This Row],[ID-SIG]],Tableau5[ID],0))&amp;""</f>
        <v>#N/A</v>
      </c>
      <c r="N1425" s="99" t="e">
        <f>INDEX(Tableau5[Att3],MATCH(Tableau3[[#This Row],[ID-SIG]],Tableau5[ID],0))&amp;""</f>
        <v>#N/A</v>
      </c>
      <c r="O1425" s="99"/>
      <c r="P1425" s="99" t="s">
        <v>1669</v>
      </c>
      <c r="Q1425" s="99"/>
      <c r="R1425" s="103" t="str">
        <f>Tableau3[[#This Row],[Description]]</f>
        <v>Inverseur de source TG22  sur GE</v>
      </c>
      <c r="U1425" s="87">
        <v>9</v>
      </c>
      <c r="V1425" s="87">
        <v>2</v>
      </c>
      <c r="W1425" s="87">
        <v>10</v>
      </c>
      <c r="X1425" s="87">
        <v>7</v>
      </c>
      <c r="Y1425" s="40"/>
      <c r="Z1425" s="165" t="str">
        <f>INDEX(Tableau2[TS],MATCH(Tableau3[[#This Row],[ID-CARTEVOIE]],Tableau2[ID-CARTEVOIE],0))</f>
        <v>ET</v>
      </c>
      <c r="AA1425" s="53" t="s">
        <v>213</v>
      </c>
      <c r="AB1425" s="223" t="str">
        <f>IFERROR(INDEX(Tableau5[Reserve],MATCH(Tableau3[[#This Row],[ID-SIG]],Tableau5[ID],0))&amp;"","")</f>
        <v/>
      </c>
      <c r="AC1425" s="21" t="s">
        <v>1456</v>
      </c>
      <c r="AD1425" s="108" t="str">
        <f>INDEX(Tableau7[Repere],MATCH(Tableau3[[#This Row],[ID-API]],Tableau7[ID-API],0))&amp;""</f>
        <v>A9</v>
      </c>
      <c r="AE1425" s="108" t="str">
        <f>INDEX(Tableau1[Repere-Rack],MATCH(Tableau3[[#This Row],[ID-RACK]],Tableau1[ID-RACK],0))&amp;""</f>
        <v>R2</v>
      </c>
      <c r="AF1425" s="108" t="str">
        <f>INDEX(Tableau1[Repere-Slot],MATCH(Tableau3[[#This Row],[ID-SLOT]],Tableau1[ID-SLOT],0))&amp;""</f>
        <v>S10</v>
      </c>
      <c r="AG1425" s="108" t="str">
        <f>INDEX(Tableau2[Repere-Voie],MATCH(Tableau3[[#This Row],[ID-VOIE]],Tableau2[ID-Voie],0))&amp;""</f>
        <v>v7</v>
      </c>
      <c r="AH1425" s="72" t="str">
        <f>Tableau3[[#This Row],[ID-API]]&amp; "." &amp;Tableau3[[#This Row],[ID-RACK]]&amp; "." &amp;Tableau3[[#This Row],[ID-SLOT]]</f>
        <v>9.2.10</v>
      </c>
      <c r="AI1425" s="72" t="str">
        <f>INDEX(Tableau1[Ref-Carte],MATCH(Tableau3[[#This Row],[ID-RRS]],Tableau1[ID-RRS],0))</f>
        <v>SDI1602</v>
      </c>
      <c r="AJ1425" s="72" t="str">
        <f t="array" ref="AJ1425">IFERROR(INDEX(Tableau2[TS],MATCH(1,(Tableau2[Ref-Carte]=Tableau3[[#This Row],[Ref-Carte2]])*(Tableau2[ID-Voie]=Tableau3[[#This Row],[ID-VOIE]]),0)),"")</f>
        <v>ET</v>
      </c>
      <c r="AK1425" s="72" t="str">
        <f>IFERROR(INDEX(Tableau2[TS],SUMPRODUCT((Tableau2[Ref-Carte]=Tableau3[[#This Row],[Ref-Carte2]])*(Tableau2[ID-Voie]=Tableau3[[#This Row],[ID-VOIE]])*ROW(Tableau2[TS]))-ROW(Tableau2[#Headers])),"")</f>
        <v>ET</v>
      </c>
      <c r="AL1425" s="72" t="str">
        <f>Tableau3[[#This Row],[Ref-Carte2]]&amp;"/"&amp;Tableau3[[#This Row],[ID-VOIE]]</f>
        <v>SDI1602/7</v>
      </c>
      <c r="AM1425" s="73" t="str">
        <f>INDEX(Tableau2[Borne],MATCH(Tableau3[[#This Row],[ID-CARTEVOIE]],Tableau2[ID-CARTEVOIE],0))&amp;""</f>
        <v>3A</v>
      </c>
      <c r="AN1425" s="74" t="str">
        <f>Tableau3[[#This Row],[ID-API]]&amp;Tableau3[[#This Row],[ID-RACK]]&amp;Tableau3[[#This Row],[ID-SLOT]]&amp;Tableau3[[#This Row],[BORNE]]</f>
        <v>92103A</v>
      </c>
      <c r="AO1425" s="1"/>
    </row>
    <row r="1426" spans="1:41" ht="20.100000000000001" customHeight="1" thickTop="1" thickBot="1">
      <c r="A1426" s="68"/>
      <c r="B1426" s="69" t="str">
        <f>IFERROR(INDEX(Tableau4[Date],MATCH($A1426,Tableau4[EVO],0)),"")</f>
        <v/>
      </c>
      <c r="C1426" s="68" t="str">
        <f>IFERROR(INDEX(Tableau4[Designation],MATCH($A1426,Tableau4[EVO],0)),"")</f>
        <v/>
      </c>
      <c r="D1426" s="68"/>
      <c r="E1426" s="70"/>
      <c r="F1426" s="71"/>
      <c r="G1426" s="101" t="e">
        <f>INDEX(Tableau8[Att1],MATCH(Tableau3[[#This Row],[ID-INS]],Tableau8[ID],0))&amp;""</f>
        <v>#N/A</v>
      </c>
      <c r="H1426" s="101"/>
      <c r="I1426" s="101" t="e">
        <f>INDEX(Tableau8[Att3],MATCH(Tableau3[[#This Row],[ID-INS]],Tableau8[ID],0))&amp;""</f>
        <v>#N/A</v>
      </c>
      <c r="J1426" s="101"/>
      <c r="K1426" s="167" t="e">
        <f>INDEX(Tableau8[Nom du modele],MATCH(Tableau3[[#This Row],[ID-INS]],Tableau8[ID],0))&amp;""</f>
        <v>#N/A</v>
      </c>
      <c r="L1426" s="99"/>
      <c r="M1426" s="99" t="e">
        <f>INDEX(Tableau5[Att2],MATCH(Tableau3[[#This Row],[ID-SIG]],Tableau5[ID],0))&amp;""</f>
        <v>#N/A</v>
      </c>
      <c r="N1426" s="99" t="e">
        <f>INDEX(Tableau5[Att3],MATCH(Tableau3[[#This Row],[ID-SIG]],Tableau5[ID],0))&amp;""</f>
        <v>#N/A</v>
      </c>
      <c r="O1426" s="99"/>
      <c r="P1426" s="99"/>
      <c r="Q1426" s="99"/>
      <c r="R1426" s="103">
        <f>Tableau3[[#This Row],[Description]]</f>
        <v>0</v>
      </c>
      <c r="U1426" s="87">
        <v>9</v>
      </c>
      <c r="V1426" s="87">
        <v>2</v>
      </c>
      <c r="W1426" s="87">
        <v>10</v>
      </c>
      <c r="X1426" s="87">
        <v>8</v>
      </c>
      <c r="Y1426" s="40"/>
      <c r="Z1426" s="165" t="str">
        <f>INDEX(Tableau2[TS],MATCH(Tableau3[[#This Row],[ID-CARTEVOIE]],Tableau2[ID-CARTEVOIE],0))</f>
        <v>ET</v>
      </c>
      <c r="AA1426" s="53" t="s">
        <v>213</v>
      </c>
      <c r="AB1426" s="223" t="str">
        <f>IFERROR(INDEX(Tableau5[Reserve],MATCH(Tableau3[[#This Row],[ID-SIG]],Tableau5[ID],0))&amp;"","")</f>
        <v/>
      </c>
      <c r="AC1426" s="21" t="s">
        <v>1456</v>
      </c>
      <c r="AD1426" s="108" t="str">
        <f>INDEX(Tableau7[Repere],MATCH(Tableau3[[#This Row],[ID-API]],Tableau7[ID-API],0))&amp;""</f>
        <v>A9</v>
      </c>
      <c r="AE1426" s="108" t="str">
        <f>INDEX(Tableau1[Repere-Rack],MATCH(Tableau3[[#This Row],[ID-RACK]],Tableau1[ID-RACK],0))&amp;""</f>
        <v>R2</v>
      </c>
      <c r="AF1426" s="108" t="str">
        <f>INDEX(Tableau1[Repere-Slot],MATCH(Tableau3[[#This Row],[ID-SLOT]],Tableau1[ID-SLOT],0))&amp;""</f>
        <v>S10</v>
      </c>
      <c r="AG1426" s="108" t="str">
        <f>INDEX(Tableau2[Repere-Voie],MATCH(Tableau3[[#This Row],[ID-VOIE]],Tableau2[ID-Voie],0))&amp;""</f>
        <v>v8</v>
      </c>
      <c r="AH1426" s="72" t="str">
        <f>Tableau3[[#This Row],[ID-API]]&amp; "." &amp;Tableau3[[#This Row],[ID-RACK]]&amp; "." &amp;Tableau3[[#This Row],[ID-SLOT]]</f>
        <v>9.2.10</v>
      </c>
      <c r="AI1426" s="72" t="str">
        <f>INDEX(Tableau1[Ref-Carte],MATCH(Tableau3[[#This Row],[ID-RRS]],Tableau1[ID-RRS],0))</f>
        <v>SDI1602</v>
      </c>
      <c r="AJ1426" s="72" t="str">
        <f t="array" ref="AJ1426">IFERROR(INDEX(Tableau2[TS],MATCH(1,(Tableau2[Ref-Carte]=Tableau3[[#This Row],[Ref-Carte2]])*(Tableau2[ID-Voie]=Tableau3[[#This Row],[ID-VOIE]]),0)),"")</f>
        <v>ET</v>
      </c>
      <c r="AK1426" s="72" t="str">
        <f>IFERROR(INDEX(Tableau2[TS],SUMPRODUCT((Tableau2[Ref-Carte]=Tableau3[[#This Row],[Ref-Carte2]])*(Tableau2[ID-Voie]=Tableau3[[#This Row],[ID-VOIE]])*ROW(Tableau2[TS]))-ROW(Tableau2[#Headers])),"")</f>
        <v>ET</v>
      </c>
      <c r="AL1426" s="72" t="str">
        <f>Tableau3[[#This Row],[Ref-Carte2]]&amp;"/"&amp;Tableau3[[#This Row],[ID-VOIE]]</f>
        <v>SDI1602/8</v>
      </c>
      <c r="AM1426" s="73" t="str">
        <f>INDEX(Tableau2[Borne],MATCH(Tableau3[[#This Row],[ID-CARTEVOIE]],Tableau2[ID-CARTEVOIE],0))&amp;""</f>
        <v>4B</v>
      </c>
      <c r="AN1426" s="74" t="str">
        <f>Tableau3[[#This Row],[ID-API]]&amp;Tableau3[[#This Row],[ID-RACK]]&amp;Tableau3[[#This Row],[ID-SLOT]]&amp;Tableau3[[#This Row],[BORNE]]</f>
        <v>92104B</v>
      </c>
      <c r="AO1426" s="1"/>
    </row>
    <row r="1427" spans="1:41" ht="20.100000000000001" customHeight="1" thickTop="1" thickBot="1">
      <c r="A1427" s="68"/>
      <c r="B1427" s="69" t="str">
        <f>IFERROR(INDEX(Tableau4[Date],MATCH($A1427,Tableau4[EVO],0)),"")</f>
        <v/>
      </c>
      <c r="C1427" s="68" t="str">
        <f>IFERROR(INDEX(Tableau4[Designation],MATCH($A1427,Tableau4[EVO],0)),"")</f>
        <v/>
      </c>
      <c r="D1427" s="68"/>
      <c r="E1427" s="70"/>
      <c r="F1427" s="71"/>
      <c r="G1427" s="101" t="e">
        <f>INDEX(Tableau8[Att1],MATCH(Tableau3[[#This Row],[ID-INS]],Tableau8[ID],0))&amp;""</f>
        <v>#N/A</v>
      </c>
      <c r="H1427" s="101"/>
      <c r="I1427" s="101" t="e">
        <f>INDEX(Tableau8[Att3],MATCH(Tableau3[[#This Row],[ID-INS]],Tableau8[ID],0))&amp;""</f>
        <v>#N/A</v>
      </c>
      <c r="J1427" s="101"/>
      <c r="K1427" s="167" t="e">
        <f>INDEX(Tableau8[Nom du modele],MATCH(Tableau3[[#This Row],[ID-INS]],Tableau8[ID],0))&amp;""</f>
        <v>#N/A</v>
      </c>
      <c r="L1427" s="99"/>
      <c r="M1427" s="99" t="e">
        <f>INDEX(Tableau5[Att2],MATCH(Tableau3[[#This Row],[ID-SIG]],Tableau5[ID],0))&amp;""</f>
        <v>#N/A</v>
      </c>
      <c r="N1427" s="99" t="e">
        <f>INDEX(Tableau5[Att3],MATCH(Tableau3[[#This Row],[ID-SIG]],Tableau5[ID],0))&amp;""</f>
        <v>#N/A</v>
      </c>
      <c r="O1427" s="99"/>
      <c r="P1427" s="99"/>
      <c r="Q1427" s="99"/>
      <c r="R1427" s="103">
        <f>Tableau3[[#This Row],[Description]]</f>
        <v>0</v>
      </c>
      <c r="U1427" s="87">
        <v>9</v>
      </c>
      <c r="V1427" s="87">
        <v>2</v>
      </c>
      <c r="W1427" s="87">
        <v>10</v>
      </c>
      <c r="X1427" s="87">
        <v>9</v>
      </c>
      <c r="Y1427" s="40"/>
      <c r="Z1427" s="165" t="str">
        <f>INDEX(Tableau2[TS],MATCH(Tableau3[[#This Row],[ID-CARTEVOIE]],Tableau2[ID-CARTEVOIE],0))</f>
        <v>ET</v>
      </c>
      <c r="AA1427" s="53" t="s">
        <v>213</v>
      </c>
      <c r="AB1427" s="223" t="str">
        <f>IFERROR(INDEX(Tableau5[Reserve],MATCH(Tableau3[[#This Row],[ID-SIG]],Tableau5[ID],0))&amp;"","")</f>
        <v/>
      </c>
      <c r="AC1427" s="21" t="s">
        <v>1456</v>
      </c>
      <c r="AD1427" s="108" t="str">
        <f>INDEX(Tableau7[Repere],MATCH(Tableau3[[#This Row],[ID-API]],Tableau7[ID-API],0))&amp;""</f>
        <v>A9</v>
      </c>
      <c r="AE1427" s="108" t="str">
        <f>INDEX(Tableau1[Repere-Rack],MATCH(Tableau3[[#This Row],[ID-RACK]],Tableau1[ID-RACK],0))&amp;""</f>
        <v>R2</v>
      </c>
      <c r="AF1427" s="108" t="str">
        <f>INDEX(Tableau1[Repere-Slot],MATCH(Tableau3[[#This Row],[ID-SLOT]],Tableau1[ID-SLOT],0))&amp;""</f>
        <v>S10</v>
      </c>
      <c r="AG1427" s="108" t="str">
        <f>INDEX(Tableau2[Repere-Voie],MATCH(Tableau3[[#This Row],[ID-VOIE]],Tableau2[ID-Voie],0))&amp;""</f>
        <v>v9</v>
      </c>
      <c r="AH1427" s="72" t="str">
        <f>Tableau3[[#This Row],[ID-API]]&amp; "." &amp;Tableau3[[#This Row],[ID-RACK]]&amp; "." &amp;Tableau3[[#This Row],[ID-SLOT]]</f>
        <v>9.2.10</v>
      </c>
      <c r="AI1427" s="72" t="str">
        <f>INDEX(Tableau1[Ref-Carte],MATCH(Tableau3[[#This Row],[ID-RRS]],Tableau1[ID-RRS],0))</f>
        <v>SDI1602</v>
      </c>
      <c r="AJ1427" s="72" t="str">
        <f t="array" ref="AJ1427">IFERROR(INDEX(Tableau2[TS],MATCH(1,(Tableau2[Ref-Carte]=Tableau3[[#This Row],[Ref-Carte2]])*(Tableau2[ID-Voie]=Tableau3[[#This Row],[ID-VOIE]]),0)),"")</f>
        <v>ET</v>
      </c>
      <c r="AK1427" s="72" t="str">
        <f>IFERROR(INDEX(Tableau2[TS],SUMPRODUCT((Tableau2[Ref-Carte]=Tableau3[[#This Row],[Ref-Carte2]])*(Tableau2[ID-Voie]=Tableau3[[#This Row],[ID-VOIE]])*ROW(Tableau2[TS]))-ROW(Tableau2[#Headers])),"")</f>
        <v>ET</v>
      </c>
      <c r="AL1427" s="72" t="str">
        <f>Tableau3[[#This Row],[Ref-Carte2]]&amp;"/"&amp;Tableau3[[#This Row],[ID-VOIE]]</f>
        <v>SDI1602/9</v>
      </c>
      <c r="AM1427" s="73" t="str">
        <f>INDEX(Tableau2[Borne],MATCH(Tableau3[[#This Row],[ID-CARTEVOIE]],Tableau2[ID-CARTEVOIE],0))&amp;""</f>
        <v>4A</v>
      </c>
      <c r="AN1427" s="74" t="str">
        <f>Tableau3[[#This Row],[ID-API]]&amp;Tableau3[[#This Row],[ID-RACK]]&amp;Tableau3[[#This Row],[ID-SLOT]]&amp;Tableau3[[#This Row],[BORNE]]</f>
        <v>92104A</v>
      </c>
      <c r="AO1427" s="1"/>
    </row>
    <row r="1428" spans="1:41" ht="20.100000000000001" customHeight="1" thickTop="1" thickBot="1">
      <c r="A1428" s="68"/>
      <c r="B1428" s="69" t="str">
        <f>IFERROR(INDEX(Tableau4[Date],MATCH($A1428,Tableau4[EVO],0)),"")</f>
        <v/>
      </c>
      <c r="C1428" s="68" t="str">
        <f>IFERROR(INDEX(Tableau4[Designation],MATCH($A1428,Tableau4[EVO],0)),"")</f>
        <v/>
      </c>
      <c r="D1428" s="68"/>
      <c r="E1428" s="70"/>
      <c r="F1428" s="71"/>
      <c r="G1428" s="101" t="e">
        <f>INDEX(Tableau8[Att1],MATCH(Tableau3[[#This Row],[ID-INS]],Tableau8[ID],0))&amp;""</f>
        <v>#N/A</v>
      </c>
      <c r="H1428" s="101"/>
      <c r="I1428" s="101" t="e">
        <f>INDEX(Tableau8[Att3],MATCH(Tableau3[[#This Row],[ID-INS]],Tableau8[ID],0))&amp;""</f>
        <v>#N/A</v>
      </c>
      <c r="J1428" s="101"/>
      <c r="K1428" s="167" t="e">
        <f>INDEX(Tableau8[Nom du modele],MATCH(Tableau3[[#This Row],[ID-INS]],Tableau8[ID],0))&amp;""</f>
        <v>#N/A</v>
      </c>
      <c r="L1428" s="99"/>
      <c r="M1428" s="99" t="e">
        <f>INDEX(Tableau5[Att2],MATCH(Tableau3[[#This Row],[ID-SIG]],Tableau5[ID],0))&amp;""</f>
        <v>#N/A</v>
      </c>
      <c r="N1428" s="99" t="e">
        <f>INDEX(Tableau5[Att3],MATCH(Tableau3[[#This Row],[ID-SIG]],Tableau5[ID],0))&amp;""</f>
        <v>#N/A</v>
      </c>
      <c r="O1428" s="99"/>
      <c r="P1428" s="99"/>
      <c r="Q1428" s="99"/>
      <c r="R1428" s="103">
        <f>Tableau3[[#This Row],[Description]]</f>
        <v>0</v>
      </c>
      <c r="U1428" s="87">
        <v>9</v>
      </c>
      <c r="V1428" s="87">
        <v>2</v>
      </c>
      <c r="W1428" s="87">
        <v>10</v>
      </c>
      <c r="X1428" s="87">
        <v>10</v>
      </c>
      <c r="Y1428" s="40"/>
      <c r="Z1428" s="165" t="str">
        <f>INDEX(Tableau2[TS],MATCH(Tableau3[[#This Row],[ID-CARTEVOIE]],Tableau2[ID-CARTEVOIE],0))</f>
        <v>ET</v>
      </c>
      <c r="AA1428" s="53" t="s">
        <v>213</v>
      </c>
      <c r="AB1428" s="223" t="str">
        <f>IFERROR(INDEX(Tableau5[Reserve],MATCH(Tableau3[[#This Row],[ID-SIG]],Tableau5[ID],0))&amp;"","")</f>
        <v/>
      </c>
      <c r="AC1428" s="21" t="s">
        <v>1456</v>
      </c>
      <c r="AD1428" s="108" t="str">
        <f>INDEX(Tableau7[Repere],MATCH(Tableau3[[#This Row],[ID-API]],Tableau7[ID-API],0))&amp;""</f>
        <v>A9</v>
      </c>
      <c r="AE1428" s="108" t="str">
        <f>INDEX(Tableau1[Repere-Rack],MATCH(Tableau3[[#This Row],[ID-RACK]],Tableau1[ID-RACK],0))&amp;""</f>
        <v>R2</v>
      </c>
      <c r="AF1428" s="108" t="str">
        <f>INDEX(Tableau1[Repere-Slot],MATCH(Tableau3[[#This Row],[ID-SLOT]],Tableau1[ID-SLOT],0))&amp;""</f>
        <v>S10</v>
      </c>
      <c r="AG1428" s="108" t="str">
        <f>INDEX(Tableau2[Repere-Voie],MATCH(Tableau3[[#This Row],[ID-VOIE]],Tableau2[ID-Voie],0))&amp;""</f>
        <v>v10</v>
      </c>
      <c r="AH1428" s="72" t="str">
        <f>Tableau3[[#This Row],[ID-API]]&amp; "." &amp;Tableau3[[#This Row],[ID-RACK]]&amp; "." &amp;Tableau3[[#This Row],[ID-SLOT]]</f>
        <v>9.2.10</v>
      </c>
      <c r="AI1428" s="72" t="str">
        <f>INDEX(Tableau1[Ref-Carte],MATCH(Tableau3[[#This Row],[ID-RRS]],Tableau1[ID-RRS],0))</f>
        <v>SDI1602</v>
      </c>
      <c r="AJ1428" s="72" t="str">
        <f t="array" ref="AJ1428">IFERROR(INDEX(Tableau2[TS],MATCH(1,(Tableau2[Ref-Carte]=Tableau3[[#This Row],[Ref-Carte2]])*(Tableau2[ID-Voie]=Tableau3[[#This Row],[ID-VOIE]]),0)),"")</f>
        <v>ET</v>
      </c>
      <c r="AK1428" s="72" t="str">
        <f>IFERROR(INDEX(Tableau2[TS],SUMPRODUCT((Tableau2[Ref-Carte]=Tableau3[[#This Row],[Ref-Carte2]])*(Tableau2[ID-Voie]=Tableau3[[#This Row],[ID-VOIE]])*ROW(Tableau2[TS]))-ROW(Tableau2[#Headers])),"")</f>
        <v>ET</v>
      </c>
      <c r="AL1428" s="72" t="str">
        <f>Tableau3[[#This Row],[Ref-Carte2]]&amp;"/"&amp;Tableau3[[#This Row],[ID-VOIE]]</f>
        <v>SDI1602/10</v>
      </c>
      <c r="AM1428" s="73" t="str">
        <f>INDEX(Tableau2[Borne],MATCH(Tableau3[[#This Row],[ID-CARTEVOIE]],Tableau2[ID-CARTEVOIE],0))&amp;""</f>
        <v>5B</v>
      </c>
      <c r="AN1428" s="74" t="str">
        <f>Tableau3[[#This Row],[ID-API]]&amp;Tableau3[[#This Row],[ID-RACK]]&amp;Tableau3[[#This Row],[ID-SLOT]]&amp;Tableau3[[#This Row],[BORNE]]</f>
        <v>92105B</v>
      </c>
      <c r="AO1428" s="1"/>
    </row>
    <row r="1429" spans="1:41" ht="20.100000000000001" customHeight="1" thickTop="1" thickBot="1">
      <c r="A1429" s="68"/>
      <c r="B1429" s="69" t="str">
        <f>IFERROR(INDEX(Tableau4[Date],MATCH($A1429,Tableau4[EVO],0)),"")</f>
        <v/>
      </c>
      <c r="C1429" s="68" t="str">
        <f>IFERROR(INDEX(Tableau4[Designation],MATCH($A1429,Tableau4[EVO],0)),"")</f>
        <v/>
      </c>
      <c r="D1429" s="68"/>
      <c r="E1429" s="70"/>
      <c r="F1429" s="71"/>
      <c r="G1429" s="101" t="e">
        <f>INDEX(Tableau8[Att1],MATCH(Tableau3[[#This Row],[ID-INS]],Tableau8[ID],0))&amp;""</f>
        <v>#N/A</v>
      </c>
      <c r="H1429" s="101"/>
      <c r="I1429" s="101" t="e">
        <f>INDEX(Tableau8[Att3],MATCH(Tableau3[[#This Row],[ID-INS]],Tableau8[ID],0))&amp;""</f>
        <v>#N/A</v>
      </c>
      <c r="J1429" s="101"/>
      <c r="K1429" s="167" t="e">
        <f>INDEX(Tableau8[Nom du modele],MATCH(Tableau3[[#This Row],[ID-INS]],Tableau8[ID],0))&amp;""</f>
        <v>#N/A</v>
      </c>
      <c r="L1429" s="99"/>
      <c r="M1429" s="99" t="e">
        <f>INDEX(Tableau5[Att2],MATCH(Tableau3[[#This Row],[ID-SIG]],Tableau5[ID],0))&amp;""</f>
        <v>#N/A</v>
      </c>
      <c r="N1429" s="99" t="e">
        <f>INDEX(Tableau5[Att3],MATCH(Tableau3[[#This Row],[ID-SIG]],Tableau5[ID],0))&amp;""</f>
        <v>#N/A</v>
      </c>
      <c r="O1429" s="99"/>
      <c r="P1429" s="99"/>
      <c r="Q1429" s="99"/>
      <c r="R1429" s="103">
        <f>Tableau3[[#This Row],[Description]]</f>
        <v>0</v>
      </c>
      <c r="U1429" s="87">
        <v>9</v>
      </c>
      <c r="V1429" s="87">
        <v>2</v>
      </c>
      <c r="W1429" s="87">
        <v>10</v>
      </c>
      <c r="X1429" s="87">
        <v>11</v>
      </c>
      <c r="Y1429" s="40"/>
      <c r="Z1429" s="165" t="str">
        <f>INDEX(Tableau2[TS],MATCH(Tableau3[[#This Row],[ID-CARTEVOIE]],Tableau2[ID-CARTEVOIE],0))</f>
        <v>ET</v>
      </c>
      <c r="AA1429" s="53" t="s">
        <v>213</v>
      </c>
      <c r="AB1429" s="223" t="str">
        <f>IFERROR(INDEX(Tableau5[Reserve],MATCH(Tableau3[[#This Row],[ID-SIG]],Tableau5[ID],0))&amp;"","")</f>
        <v/>
      </c>
      <c r="AC1429" s="21" t="s">
        <v>1456</v>
      </c>
      <c r="AD1429" s="108" t="str">
        <f>INDEX(Tableau7[Repere],MATCH(Tableau3[[#This Row],[ID-API]],Tableau7[ID-API],0))&amp;""</f>
        <v>A9</v>
      </c>
      <c r="AE1429" s="108" t="str">
        <f>INDEX(Tableau1[Repere-Rack],MATCH(Tableau3[[#This Row],[ID-RACK]],Tableau1[ID-RACK],0))&amp;""</f>
        <v>R2</v>
      </c>
      <c r="AF1429" s="108" t="str">
        <f>INDEX(Tableau1[Repere-Slot],MATCH(Tableau3[[#This Row],[ID-SLOT]],Tableau1[ID-SLOT],0))&amp;""</f>
        <v>S10</v>
      </c>
      <c r="AG1429" s="108" t="str">
        <f>INDEX(Tableau2[Repere-Voie],MATCH(Tableau3[[#This Row],[ID-VOIE]],Tableau2[ID-Voie],0))&amp;""</f>
        <v>v11</v>
      </c>
      <c r="AH1429" s="72" t="str">
        <f>Tableau3[[#This Row],[ID-API]]&amp; "." &amp;Tableau3[[#This Row],[ID-RACK]]&amp; "." &amp;Tableau3[[#This Row],[ID-SLOT]]</f>
        <v>9.2.10</v>
      </c>
      <c r="AI1429" s="72" t="str">
        <f>INDEX(Tableau1[Ref-Carte],MATCH(Tableau3[[#This Row],[ID-RRS]],Tableau1[ID-RRS],0))</f>
        <v>SDI1602</v>
      </c>
      <c r="AJ1429" s="72" t="str">
        <f t="array" ref="AJ1429">IFERROR(INDEX(Tableau2[TS],MATCH(1,(Tableau2[Ref-Carte]=Tableau3[[#This Row],[Ref-Carte2]])*(Tableau2[ID-Voie]=Tableau3[[#This Row],[ID-VOIE]]),0)),"")</f>
        <v>ET</v>
      </c>
      <c r="AK1429" s="72" t="str">
        <f>IFERROR(INDEX(Tableau2[TS],SUMPRODUCT((Tableau2[Ref-Carte]=Tableau3[[#This Row],[Ref-Carte2]])*(Tableau2[ID-Voie]=Tableau3[[#This Row],[ID-VOIE]])*ROW(Tableau2[TS]))-ROW(Tableau2[#Headers])),"")</f>
        <v>ET</v>
      </c>
      <c r="AL1429" s="72" t="str">
        <f>Tableau3[[#This Row],[Ref-Carte2]]&amp;"/"&amp;Tableau3[[#This Row],[ID-VOIE]]</f>
        <v>SDI1602/11</v>
      </c>
      <c r="AM1429" s="73" t="str">
        <f>INDEX(Tableau2[Borne],MATCH(Tableau3[[#This Row],[ID-CARTEVOIE]],Tableau2[ID-CARTEVOIE],0))&amp;""</f>
        <v>5A</v>
      </c>
      <c r="AN1429" s="74" t="str">
        <f>Tableau3[[#This Row],[ID-API]]&amp;Tableau3[[#This Row],[ID-RACK]]&amp;Tableau3[[#This Row],[ID-SLOT]]&amp;Tableau3[[#This Row],[BORNE]]</f>
        <v>92105A</v>
      </c>
      <c r="AO1429" s="1"/>
    </row>
    <row r="1430" spans="1:41" ht="20.100000000000001" customHeight="1" thickTop="1" thickBot="1">
      <c r="A1430" s="68"/>
      <c r="B1430" s="69" t="str">
        <f>IFERROR(INDEX(Tableau4[Date],MATCH($A1430,Tableau4[EVO],0)),"")</f>
        <v/>
      </c>
      <c r="C1430" s="68" t="str">
        <f>IFERROR(INDEX(Tableau4[Designation],MATCH($A1430,Tableau4[EVO],0)),"")</f>
        <v/>
      </c>
      <c r="D1430" s="68"/>
      <c r="E1430" s="70">
        <v>174</v>
      </c>
      <c r="F1430" s="71">
        <v>324</v>
      </c>
      <c r="G1430" s="101" t="str">
        <f>INDEX(Tableau8[Att1],MATCH(Tableau3[[#This Row],[ID-INS]],Tableau8[ID],0))&amp;""</f>
        <v>Ext</v>
      </c>
      <c r="H1430" s="162" t="str">
        <f>INDEX(Tableau8[Att2],MATCH(Tableau3[[#This Row],[ID-INS]],Tableau8[ID],0))&amp;""</f>
        <v>ECLNasse</v>
      </c>
      <c r="I1430" s="101" t="str">
        <f>INDEX(Tableau8[Att3],MATCH(Tableau3[[#This Row],[ID-INS]],Tableau8[ID],0))&amp;""</f>
        <v>ECLAIRAGE EXTERIEUR NASSE + ENTREE</v>
      </c>
      <c r="J1430" s="101"/>
      <c r="K1430" s="167" t="str">
        <f>INDEX(Tableau8[Nom du modele],MATCH(Tableau3[[#This Row],[ID-INS]],Tableau8[ID],0))&amp;""</f>
        <v>Ecl</v>
      </c>
      <c r="L1430" s="99" t="str">
        <f>INDEX(Tableau5[Att1],MATCH(Tableau3[[#This Row],[ID-SIG]],Tableau5[ID],0))&amp;""</f>
        <v>RetMa</v>
      </c>
      <c r="M1430" s="99" t="str">
        <f>INDEX(Tableau5[Att2],MATCH(Tableau3[[#This Row],[ID-SIG]],Tableau5[ID],0))&amp;""</f>
        <v/>
      </c>
      <c r="N1430" s="99" t="str">
        <f>INDEX(Tableau5[Att3],MATCH(Tableau3[[#This Row],[ID-SIG]],Tableau5[ID],0))&amp;""</f>
        <v/>
      </c>
      <c r="O1430" s="99"/>
      <c r="P1430" s="99" t="str">
        <f>INDEX(Tableau5[Description],MATCH(Tableau3[[#This Row],[ID-SIG]],Tableau5[ID],0))</f>
        <v>Retour d'éclairage</v>
      </c>
      <c r="Q1430" s="99"/>
      <c r="R1430" s="103" t="str">
        <f>Tableau3[[#This Row],[Description]]</f>
        <v>Retour d'éclairage</v>
      </c>
      <c r="U1430" s="87">
        <v>9</v>
      </c>
      <c r="V1430" s="87">
        <v>2</v>
      </c>
      <c r="W1430" s="87">
        <v>10</v>
      </c>
      <c r="X1430" s="87">
        <v>12</v>
      </c>
      <c r="Y1430" s="40"/>
      <c r="Z1430" s="165" t="str">
        <f>INDEX(Tableau2[TS],MATCH(Tableau3[[#This Row],[ID-CARTEVOIE]],Tableau2[ID-CARTEVOIE],0))</f>
        <v>ET</v>
      </c>
      <c r="AA1430" s="53" t="s">
        <v>213</v>
      </c>
      <c r="AB1430" s="223" t="str">
        <f>IFERROR(INDEX(Tableau5[Reserve],MATCH(Tableau3[[#This Row],[ID-SIG]],Tableau5[ID],0))&amp;"","")</f>
        <v/>
      </c>
      <c r="AC1430" s="21" t="s">
        <v>1505</v>
      </c>
      <c r="AD1430" s="108" t="str">
        <f>INDEX(Tableau7[Repere],MATCH(Tableau3[[#This Row],[ID-API]],Tableau7[ID-API],0))&amp;""</f>
        <v>A9</v>
      </c>
      <c r="AE1430" s="108" t="str">
        <f>INDEX(Tableau1[Repere-Rack],MATCH(Tableau3[[#This Row],[ID-RACK]],Tableau1[ID-RACK],0))&amp;""</f>
        <v>R2</v>
      </c>
      <c r="AF1430" s="108" t="str">
        <f>INDEX(Tableau1[Repere-Slot],MATCH(Tableau3[[#This Row],[ID-SLOT]],Tableau1[ID-SLOT],0))&amp;""</f>
        <v>S10</v>
      </c>
      <c r="AG1430" s="108" t="str">
        <f>INDEX(Tableau2[Repere-Voie],MATCH(Tableau3[[#This Row],[ID-VOIE]],Tableau2[ID-Voie],0))&amp;""</f>
        <v>v12</v>
      </c>
      <c r="AH1430" s="72" t="str">
        <f>Tableau3[[#This Row],[ID-API]]&amp; "." &amp;Tableau3[[#This Row],[ID-RACK]]&amp; "." &amp;Tableau3[[#This Row],[ID-SLOT]]</f>
        <v>9.2.10</v>
      </c>
      <c r="AI1430" s="72" t="str">
        <f>INDEX(Tableau1[Ref-Carte],MATCH(Tableau3[[#This Row],[ID-RRS]],Tableau1[ID-RRS],0))</f>
        <v>SDI1602</v>
      </c>
      <c r="AJ1430" s="72" t="str">
        <f t="array" ref="AJ1430">IFERROR(INDEX(Tableau2[TS],MATCH(1,(Tableau2[Ref-Carte]=Tableau3[[#This Row],[Ref-Carte2]])*(Tableau2[ID-Voie]=Tableau3[[#This Row],[ID-VOIE]]),0)),"")</f>
        <v>ET</v>
      </c>
      <c r="AK1430" s="72" t="str">
        <f>IFERROR(INDEX(Tableau2[TS],SUMPRODUCT((Tableau2[Ref-Carte]=Tableau3[[#This Row],[Ref-Carte2]])*(Tableau2[ID-Voie]=Tableau3[[#This Row],[ID-VOIE]])*ROW(Tableau2[TS]))-ROW(Tableau2[#Headers])),"")</f>
        <v>ET</v>
      </c>
      <c r="AL1430" s="72" t="str">
        <f>Tableau3[[#This Row],[Ref-Carte2]]&amp;"/"&amp;Tableau3[[#This Row],[ID-VOIE]]</f>
        <v>SDI1602/12</v>
      </c>
      <c r="AM1430" s="73" t="str">
        <f>INDEX(Tableau2[Borne],MATCH(Tableau3[[#This Row],[ID-CARTEVOIE]],Tableau2[ID-CARTEVOIE],0))&amp;""</f>
        <v>6B</v>
      </c>
      <c r="AN1430" s="74" t="str">
        <f>Tableau3[[#This Row],[ID-API]]&amp;Tableau3[[#This Row],[ID-RACK]]&amp;Tableau3[[#This Row],[ID-SLOT]]&amp;Tableau3[[#This Row],[BORNE]]</f>
        <v>92106B</v>
      </c>
      <c r="AO1430" s="1"/>
    </row>
    <row r="1431" spans="1:41" ht="20.100000000000001" customHeight="1" thickTop="1" thickBot="1">
      <c r="A1431" s="68"/>
      <c r="B1431" s="69" t="str">
        <f>IFERROR(INDEX(Tableau4[Date],MATCH($A1431,Tableau4[EVO],0)),"")</f>
        <v/>
      </c>
      <c r="C1431" s="68" t="str">
        <f>IFERROR(INDEX(Tableau4[Designation],MATCH($A1431,Tableau4[EVO],0)),"")</f>
        <v/>
      </c>
      <c r="D1431" s="68"/>
      <c r="E1431" s="70">
        <v>175</v>
      </c>
      <c r="F1431" s="71">
        <v>324</v>
      </c>
      <c r="G1431" s="101" t="str">
        <f>INDEX(Tableau8[Att1],MATCH(Tableau3[[#This Row],[ID-INS]],Tableau8[ID],0))&amp;""</f>
        <v>Ext</v>
      </c>
      <c r="H1431" s="162" t="str">
        <f>INDEX(Tableau8[Att2],MATCH(Tableau3[[#This Row],[ID-INS]],Tableau8[ID],0))&amp;""</f>
        <v>ECLPK</v>
      </c>
      <c r="I1431" s="101" t="str">
        <f>INDEX(Tableau8[Att3],MATCH(Tableau3[[#This Row],[ID-INS]],Tableau8[ID],0))&amp;""</f>
        <v>ECLAIRAGE EXTERIEUR PARKING EXTERIEUR</v>
      </c>
      <c r="J1431" s="101"/>
      <c r="K1431" s="167" t="str">
        <f>INDEX(Tableau8[Nom du modele],MATCH(Tableau3[[#This Row],[ID-INS]],Tableau8[ID],0))&amp;""</f>
        <v>Ecl</v>
      </c>
      <c r="L1431" s="99" t="str">
        <f>INDEX(Tableau5[Att1],MATCH(Tableau3[[#This Row],[ID-SIG]],Tableau5[ID],0))&amp;""</f>
        <v>RetMa</v>
      </c>
      <c r="M1431" s="99" t="str">
        <f>INDEX(Tableau5[Att2],MATCH(Tableau3[[#This Row],[ID-SIG]],Tableau5[ID],0))&amp;""</f>
        <v/>
      </c>
      <c r="N1431" s="99" t="str">
        <f>INDEX(Tableau5[Att3],MATCH(Tableau3[[#This Row],[ID-SIG]],Tableau5[ID],0))&amp;""</f>
        <v/>
      </c>
      <c r="O1431" s="99"/>
      <c r="P1431" s="99" t="str">
        <f>INDEX(Tableau5[Description],MATCH(Tableau3[[#This Row],[ID-SIG]],Tableau5[ID],0))</f>
        <v>Retour d'éclairage</v>
      </c>
      <c r="Q1431" s="99"/>
      <c r="R1431" s="103" t="str">
        <f>Tableau3[[#This Row],[Description]]</f>
        <v>Retour d'éclairage</v>
      </c>
      <c r="U1431" s="87">
        <v>9</v>
      </c>
      <c r="V1431" s="87">
        <v>2</v>
      </c>
      <c r="W1431" s="87">
        <v>10</v>
      </c>
      <c r="X1431" s="87">
        <v>13</v>
      </c>
      <c r="Y1431" s="40"/>
      <c r="Z1431" s="165" t="str">
        <f>INDEX(Tableau2[TS],MATCH(Tableau3[[#This Row],[ID-CARTEVOIE]],Tableau2[ID-CARTEVOIE],0))</f>
        <v>ET</v>
      </c>
      <c r="AA1431" s="53" t="s">
        <v>213</v>
      </c>
      <c r="AB1431" s="223" t="str">
        <f>IFERROR(INDEX(Tableau5[Reserve],MATCH(Tableau3[[#This Row],[ID-SIG]],Tableau5[ID],0))&amp;"","")</f>
        <v/>
      </c>
      <c r="AC1431" s="21" t="s">
        <v>1505</v>
      </c>
      <c r="AD1431" s="108" t="str">
        <f>INDEX(Tableau7[Repere],MATCH(Tableau3[[#This Row],[ID-API]],Tableau7[ID-API],0))&amp;""</f>
        <v>A9</v>
      </c>
      <c r="AE1431" s="108" t="str">
        <f>INDEX(Tableau1[Repere-Rack],MATCH(Tableau3[[#This Row],[ID-RACK]],Tableau1[ID-RACK],0))&amp;""</f>
        <v>R2</v>
      </c>
      <c r="AF1431" s="108" t="str">
        <f>INDEX(Tableau1[Repere-Slot],MATCH(Tableau3[[#This Row],[ID-SLOT]],Tableau1[ID-SLOT],0))&amp;""</f>
        <v>S10</v>
      </c>
      <c r="AG1431" s="108" t="str">
        <f>INDEX(Tableau2[Repere-Voie],MATCH(Tableau3[[#This Row],[ID-VOIE]],Tableau2[ID-Voie],0))&amp;""</f>
        <v>v13</v>
      </c>
      <c r="AH1431" s="72" t="str">
        <f>Tableau3[[#This Row],[ID-API]]&amp; "." &amp;Tableau3[[#This Row],[ID-RACK]]&amp; "." &amp;Tableau3[[#This Row],[ID-SLOT]]</f>
        <v>9.2.10</v>
      </c>
      <c r="AI1431" s="72" t="str">
        <f>INDEX(Tableau1[Ref-Carte],MATCH(Tableau3[[#This Row],[ID-RRS]],Tableau1[ID-RRS],0))</f>
        <v>SDI1602</v>
      </c>
      <c r="AJ1431" s="72" t="str">
        <f t="array" ref="AJ1431">IFERROR(INDEX(Tableau2[TS],MATCH(1,(Tableau2[Ref-Carte]=Tableau3[[#This Row],[Ref-Carte2]])*(Tableau2[ID-Voie]=Tableau3[[#This Row],[ID-VOIE]]),0)),"")</f>
        <v>ET</v>
      </c>
      <c r="AK1431" s="72" t="str">
        <f>IFERROR(INDEX(Tableau2[TS],SUMPRODUCT((Tableau2[Ref-Carte]=Tableau3[[#This Row],[Ref-Carte2]])*(Tableau2[ID-Voie]=Tableau3[[#This Row],[ID-VOIE]])*ROW(Tableau2[TS]))-ROW(Tableau2[#Headers])),"")</f>
        <v>ET</v>
      </c>
      <c r="AL1431" s="72" t="str">
        <f>Tableau3[[#This Row],[Ref-Carte2]]&amp;"/"&amp;Tableau3[[#This Row],[ID-VOIE]]</f>
        <v>SDI1602/13</v>
      </c>
      <c r="AM1431" s="73" t="str">
        <f>INDEX(Tableau2[Borne],MATCH(Tableau3[[#This Row],[ID-CARTEVOIE]],Tableau2[ID-CARTEVOIE],0))&amp;""</f>
        <v>6A</v>
      </c>
      <c r="AN1431" s="74" t="str">
        <f>Tableau3[[#This Row],[ID-API]]&amp;Tableau3[[#This Row],[ID-RACK]]&amp;Tableau3[[#This Row],[ID-SLOT]]&amp;Tableau3[[#This Row],[BORNE]]</f>
        <v>92106A</v>
      </c>
      <c r="AO1431" s="1"/>
    </row>
    <row r="1432" spans="1:41" ht="20.100000000000001" customHeight="1" thickTop="1" thickBot="1">
      <c r="A1432" s="68"/>
      <c r="B1432" s="69" t="str">
        <f>IFERROR(INDEX(Tableau4[Date],MATCH($A1432,Tableau4[EVO],0)),"")</f>
        <v/>
      </c>
      <c r="C1432" s="68" t="str">
        <f>IFERROR(INDEX(Tableau4[Designation],MATCH($A1432,Tableau4[EVO],0)),"")</f>
        <v/>
      </c>
      <c r="D1432" s="68"/>
      <c r="E1432" s="70">
        <v>176</v>
      </c>
      <c r="F1432" s="71">
        <v>324</v>
      </c>
      <c r="G1432" s="101" t="str">
        <f>INDEX(Tableau8[Att1],MATCH(Tableau3[[#This Row],[ID-INS]],Tableau8[ID],0))&amp;""</f>
        <v>Ext</v>
      </c>
      <c r="H1432" s="162" t="str">
        <f>INDEX(Tableau8[Att2],MATCH(Tableau3[[#This Row],[ID-INS]],Tableau8[ID],0))&amp;""</f>
        <v>ECLGR</v>
      </c>
      <c r="I1432" s="101" t="str">
        <f>INDEX(Tableau8[Att3],MATCH(Tableau3[[#This Row],[ID-INS]],Tableau8[ID],0))&amp;""</f>
        <v>ECLAIRAGE EXTERIEUR GARE ROUTIERE</v>
      </c>
      <c r="J1432" s="101"/>
      <c r="K1432" s="167" t="str">
        <f>INDEX(Tableau8[Nom du modele],MATCH(Tableau3[[#This Row],[ID-INS]],Tableau8[ID],0))&amp;""</f>
        <v>Ecl</v>
      </c>
      <c r="L1432" s="99" t="str">
        <f>INDEX(Tableau5[Att1],MATCH(Tableau3[[#This Row],[ID-SIG]],Tableau5[ID],0))&amp;""</f>
        <v>RetMa</v>
      </c>
      <c r="M1432" s="99" t="str">
        <f>INDEX(Tableau5[Att2],MATCH(Tableau3[[#This Row],[ID-SIG]],Tableau5[ID],0))&amp;""</f>
        <v/>
      </c>
      <c r="N1432" s="99" t="str">
        <f>INDEX(Tableau5[Att3],MATCH(Tableau3[[#This Row],[ID-SIG]],Tableau5[ID],0))&amp;""</f>
        <v/>
      </c>
      <c r="O1432" s="99"/>
      <c r="P1432" s="99" t="str">
        <f>INDEX(Tableau5[Description],MATCH(Tableau3[[#This Row],[ID-SIG]],Tableau5[ID],0))</f>
        <v>Retour d'éclairage</v>
      </c>
      <c r="Q1432" s="99"/>
      <c r="R1432" s="103" t="str">
        <f>Tableau3[[#This Row],[Description]]</f>
        <v>Retour d'éclairage</v>
      </c>
      <c r="U1432" s="87">
        <v>9</v>
      </c>
      <c r="V1432" s="87">
        <v>2</v>
      </c>
      <c r="W1432" s="87">
        <v>10</v>
      </c>
      <c r="X1432" s="87">
        <v>14</v>
      </c>
      <c r="Y1432" s="40"/>
      <c r="Z1432" s="165" t="str">
        <f>INDEX(Tableau2[TS],MATCH(Tableau3[[#This Row],[ID-CARTEVOIE]],Tableau2[ID-CARTEVOIE],0))</f>
        <v>ET</v>
      </c>
      <c r="AA1432" s="53" t="s">
        <v>213</v>
      </c>
      <c r="AB1432" s="223" t="str">
        <f>IFERROR(INDEX(Tableau5[Reserve],MATCH(Tableau3[[#This Row],[ID-SIG]],Tableau5[ID],0))&amp;"","")</f>
        <v/>
      </c>
      <c r="AC1432" s="21" t="s">
        <v>1505</v>
      </c>
      <c r="AD1432" s="108" t="str">
        <f>INDEX(Tableau7[Repere],MATCH(Tableau3[[#This Row],[ID-API]],Tableau7[ID-API],0))&amp;""</f>
        <v>A9</v>
      </c>
      <c r="AE1432" s="108" t="str">
        <f>INDEX(Tableau1[Repere-Rack],MATCH(Tableau3[[#This Row],[ID-RACK]],Tableau1[ID-RACK],0))&amp;""</f>
        <v>R2</v>
      </c>
      <c r="AF1432" s="108" t="str">
        <f>INDEX(Tableau1[Repere-Slot],MATCH(Tableau3[[#This Row],[ID-SLOT]],Tableau1[ID-SLOT],0))&amp;""</f>
        <v>S10</v>
      </c>
      <c r="AG1432" s="108" t="str">
        <f>INDEX(Tableau2[Repere-Voie],MATCH(Tableau3[[#This Row],[ID-VOIE]],Tableau2[ID-Voie],0))&amp;""</f>
        <v>v14</v>
      </c>
      <c r="AH1432" s="72" t="str">
        <f>Tableau3[[#This Row],[ID-API]]&amp; "." &amp;Tableau3[[#This Row],[ID-RACK]]&amp; "." &amp;Tableau3[[#This Row],[ID-SLOT]]</f>
        <v>9.2.10</v>
      </c>
      <c r="AI1432" s="72" t="str">
        <f>INDEX(Tableau1[Ref-Carte],MATCH(Tableau3[[#This Row],[ID-RRS]],Tableau1[ID-RRS],0))</f>
        <v>SDI1602</v>
      </c>
      <c r="AJ1432" s="72" t="str">
        <f t="array" ref="AJ1432">IFERROR(INDEX(Tableau2[TS],MATCH(1,(Tableau2[Ref-Carte]=Tableau3[[#This Row],[Ref-Carte2]])*(Tableau2[ID-Voie]=Tableau3[[#This Row],[ID-VOIE]]),0)),"")</f>
        <v>ET</v>
      </c>
      <c r="AK1432" s="72" t="str">
        <f>IFERROR(INDEX(Tableau2[TS],SUMPRODUCT((Tableau2[Ref-Carte]=Tableau3[[#This Row],[Ref-Carte2]])*(Tableau2[ID-Voie]=Tableau3[[#This Row],[ID-VOIE]])*ROW(Tableau2[TS]))-ROW(Tableau2[#Headers])),"")</f>
        <v>ET</v>
      </c>
      <c r="AL1432" s="72" t="str">
        <f>Tableau3[[#This Row],[Ref-Carte2]]&amp;"/"&amp;Tableau3[[#This Row],[ID-VOIE]]</f>
        <v>SDI1602/14</v>
      </c>
      <c r="AM1432" s="73" t="str">
        <f>INDEX(Tableau2[Borne],MATCH(Tableau3[[#This Row],[ID-CARTEVOIE]],Tableau2[ID-CARTEVOIE],0))&amp;""</f>
        <v>7B</v>
      </c>
      <c r="AN1432" s="74" t="str">
        <f>Tableau3[[#This Row],[ID-API]]&amp;Tableau3[[#This Row],[ID-RACK]]&amp;Tableau3[[#This Row],[ID-SLOT]]&amp;Tableau3[[#This Row],[BORNE]]</f>
        <v>92107B</v>
      </c>
      <c r="AO1432" s="1"/>
    </row>
    <row r="1433" spans="1:41" ht="20.100000000000001" customHeight="1" thickTop="1" thickBot="1">
      <c r="A1433" s="68"/>
      <c r="B1433" s="69" t="str">
        <f>IFERROR(INDEX(Tableau4[Date],MATCH($A1433,Tableau4[EVO],0)),"")</f>
        <v/>
      </c>
      <c r="C1433" s="68" t="str">
        <f>IFERROR(INDEX(Tableau4[Designation],MATCH($A1433,Tableau4[EVO],0)),"")</f>
        <v/>
      </c>
      <c r="D1433" s="68"/>
      <c r="E1433" s="70"/>
      <c r="F1433" s="71"/>
      <c r="G1433" s="101" t="e">
        <f>INDEX(Tableau8[Att1],MATCH(Tableau3[[#This Row],[ID-INS]],Tableau8[ID],0))&amp;""</f>
        <v>#N/A</v>
      </c>
      <c r="H1433" s="101" t="s">
        <v>1662</v>
      </c>
      <c r="I1433" s="101" t="e">
        <f>INDEX(Tableau8[Att3],MATCH(Tableau3[[#This Row],[ID-INS]],Tableau8[ID],0))&amp;""</f>
        <v>#N/A</v>
      </c>
      <c r="J1433" s="101"/>
      <c r="K1433" s="167" t="e">
        <f>INDEX(Tableau8[Nom du modele],MATCH(Tableau3[[#This Row],[ID-INS]],Tableau8[ID],0))&amp;""</f>
        <v>#N/A</v>
      </c>
      <c r="L1433" s="99" t="s">
        <v>253</v>
      </c>
      <c r="M1433" s="99" t="e">
        <f>INDEX(Tableau5[Att2],MATCH(Tableau3[[#This Row],[ID-SIG]],Tableau5[ID],0))&amp;""</f>
        <v>#N/A</v>
      </c>
      <c r="N1433" s="99" t="e">
        <f>INDEX(Tableau5[Att3],MATCH(Tableau3[[#This Row],[ID-SIG]],Tableau5[ID],0))&amp;""</f>
        <v>#N/A</v>
      </c>
      <c r="O1433" s="99"/>
      <c r="P1433" s="99" t="s">
        <v>1670</v>
      </c>
      <c r="Q1433" s="99"/>
      <c r="R1433" s="103" t="str">
        <f>Tableau3[[#This Row],[Description]]</f>
        <v>ECLAIRAGE EXTERIEUR PARKING B22 - Retour d'éclairage</v>
      </c>
      <c r="U1433" s="87">
        <v>9</v>
      </c>
      <c r="V1433" s="87">
        <v>2</v>
      </c>
      <c r="W1433" s="87">
        <v>10</v>
      </c>
      <c r="X1433" s="87">
        <v>15</v>
      </c>
      <c r="Y1433" s="40"/>
      <c r="Z1433" s="165" t="str">
        <f>INDEX(Tableau2[TS],MATCH(Tableau3[[#This Row],[ID-CARTEVOIE]],Tableau2[ID-CARTEVOIE],0))</f>
        <v>ET</v>
      </c>
      <c r="AA1433" s="53" t="s">
        <v>213</v>
      </c>
      <c r="AB1433" s="223" t="str">
        <f>IFERROR(INDEX(Tableau5[Reserve],MATCH(Tableau3[[#This Row],[ID-SIG]],Tableau5[ID],0))&amp;"","")</f>
        <v/>
      </c>
      <c r="AC1433" s="21" t="s">
        <v>1456</v>
      </c>
      <c r="AD1433" s="108" t="str">
        <f>INDEX(Tableau7[Repere],MATCH(Tableau3[[#This Row],[ID-API]],Tableau7[ID-API],0))&amp;""</f>
        <v>A9</v>
      </c>
      <c r="AE1433" s="108" t="str">
        <f>INDEX(Tableau1[Repere-Rack],MATCH(Tableau3[[#This Row],[ID-RACK]],Tableau1[ID-RACK],0))&amp;""</f>
        <v>R2</v>
      </c>
      <c r="AF1433" s="108" t="str">
        <f>INDEX(Tableau1[Repere-Slot],MATCH(Tableau3[[#This Row],[ID-SLOT]],Tableau1[ID-SLOT],0))&amp;""</f>
        <v>S10</v>
      </c>
      <c r="AG1433" s="108" t="str">
        <f>INDEX(Tableau2[Repere-Voie],MATCH(Tableau3[[#This Row],[ID-VOIE]],Tableau2[ID-Voie],0))&amp;""</f>
        <v>v15</v>
      </c>
      <c r="AH1433" s="72" t="str">
        <f>Tableau3[[#This Row],[ID-API]]&amp; "." &amp;Tableau3[[#This Row],[ID-RACK]]&amp; "." &amp;Tableau3[[#This Row],[ID-SLOT]]</f>
        <v>9.2.10</v>
      </c>
      <c r="AI1433" s="72" t="str">
        <f>INDEX(Tableau1[Ref-Carte],MATCH(Tableau3[[#This Row],[ID-RRS]],Tableau1[ID-RRS],0))</f>
        <v>SDI1602</v>
      </c>
      <c r="AJ1433" s="72" t="str">
        <f t="array" ref="AJ1433">IFERROR(INDEX(Tableau2[TS],MATCH(1,(Tableau2[Ref-Carte]=Tableau3[[#This Row],[Ref-Carte2]])*(Tableau2[ID-Voie]=Tableau3[[#This Row],[ID-VOIE]]),0)),"")</f>
        <v>ET</v>
      </c>
      <c r="AK1433" s="72" t="str">
        <f>IFERROR(INDEX(Tableau2[TS],SUMPRODUCT((Tableau2[Ref-Carte]=Tableau3[[#This Row],[Ref-Carte2]])*(Tableau2[ID-Voie]=Tableau3[[#This Row],[ID-VOIE]])*ROW(Tableau2[TS]))-ROW(Tableau2[#Headers])),"")</f>
        <v>ET</v>
      </c>
      <c r="AL1433" s="72" t="str">
        <f>Tableau3[[#This Row],[Ref-Carte2]]&amp;"/"&amp;Tableau3[[#This Row],[ID-VOIE]]</f>
        <v>SDI1602/15</v>
      </c>
      <c r="AM1433" s="73" t="str">
        <f>INDEX(Tableau2[Borne],MATCH(Tableau3[[#This Row],[ID-CARTEVOIE]],Tableau2[ID-CARTEVOIE],0))&amp;""</f>
        <v>7A</v>
      </c>
      <c r="AN1433" s="74" t="str">
        <f>Tableau3[[#This Row],[ID-API]]&amp;Tableau3[[#This Row],[ID-RACK]]&amp;Tableau3[[#This Row],[ID-SLOT]]&amp;Tableau3[[#This Row],[BORNE]]</f>
        <v>92107A</v>
      </c>
      <c r="AO1433" s="1"/>
    </row>
    <row r="1434" spans="1:41" ht="20.100000000000001" customHeight="1" thickTop="1"/>
  </sheetData>
  <phoneticPr fontId="8" type="noConversion"/>
  <conditionalFormatting sqref="U2:X1433">
    <cfRule type="expression" dxfId="44" priority="1">
      <formula>$AA2="X"</formula>
    </cfRule>
  </conditionalFormatting>
  <dataValidations count="1">
    <dataValidation type="list" allowBlank="1" showInputMessage="1" showErrorMessage="1" sqref="A2:A1433">
      <formula1>Evo</formula1>
    </dataValidation>
  </dataValidations>
  <pageMargins left="0.70866141732283472" right="0.70866141732283472" top="0.74803149606299213" bottom="0.74803149606299213" header="0.31496062992125984" footer="0.31496062992125984"/>
  <pageSetup paperSize="9" scale="63" fitToHeight="0" orientation="landscape" r:id="rId1"/>
  <headerFooter>
    <oddHeader>&amp;C&amp;G&amp;F&amp;A</oddHeader>
    <oddFooter>&amp;R&amp;P / &amp;N</oddFooter>
  </headerFooter>
  <drawing r:id="rId2"/>
  <legacyDrawingHF r:id="rId3"/>
  <tableParts count="1">
    <tablePart r:id="rId4"/>
  </tableParts>
</worksheet>
</file>

<file path=xl/worksheets/sheet16.xml><?xml version="1.0" encoding="utf-8"?>
<worksheet xmlns="http://schemas.openxmlformats.org/spreadsheetml/2006/main" xmlns:r="http://schemas.openxmlformats.org/officeDocument/2006/relationships">
  <sheetPr codeName="View_API"/>
  <dimension ref="A1:U73"/>
  <sheetViews>
    <sheetView workbookViewId="0"/>
  </sheetViews>
  <sheetFormatPr baseColWidth="10" defaultColWidth="10.625" defaultRowHeight="14.25"/>
  <cols>
    <col min="1" max="1" width="21.5" style="20" customWidth="1"/>
    <col min="2" max="2" width="11" style="20" customWidth="1"/>
    <col min="3" max="16384" width="10.625" style="20"/>
  </cols>
  <sheetData>
    <row r="1" spans="1:21" ht="59.45" customHeight="1" thickBot="1">
      <c r="A1" s="238"/>
      <c r="B1" s="105"/>
    </row>
    <row r="2" spans="1:21" ht="15" thickBot="1"/>
    <row r="3" spans="1:21" ht="15" thickBot="1">
      <c r="A3" s="60" t="s">
        <v>1629</v>
      </c>
    </row>
    <row r="4" spans="1:21">
      <c r="A4" s="64" t="s">
        <v>709</v>
      </c>
      <c r="B4" s="97" t="s">
        <v>708</v>
      </c>
      <c r="C4" s="97" t="s">
        <v>708</v>
      </c>
      <c r="D4" s="97" t="s">
        <v>708</v>
      </c>
      <c r="E4" s="97" t="s">
        <v>708</v>
      </c>
      <c r="F4" s="97" t="s">
        <v>710</v>
      </c>
      <c r="G4" s="97" t="s">
        <v>710</v>
      </c>
      <c r="H4" s="97" t="s">
        <v>710</v>
      </c>
      <c r="I4" s="97" t="s">
        <v>708</v>
      </c>
      <c r="J4" s="97" t="s">
        <v>708</v>
      </c>
      <c r="K4" s="97" t="s">
        <v>708</v>
      </c>
      <c r="L4" s="97" t="s">
        <v>708</v>
      </c>
      <c r="M4" s="97" t="s">
        <v>708</v>
      </c>
      <c r="N4" s="97" t="s">
        <v>708</v>
      </c>
      <c r="O4" s="97" t="s">
        <v>708</v>
      </c>
      <c r="P4" s="97" t="s">
        <v>710</v>
      </c>
      <c r="Q4" s="97" t="s">
        <v>710</v>
      </c>
      <c r="R4" s="97" t="s">
        <v>710</v>
      </c>
      <c r="S4" s="97" t="s">
        <v>710</v>
      </c>
    </row>
    <row r="5" spans="1:21">
      <c r="A5" s="64" t="s">
        <v>223</v>
      </c>
      <c r="B5" s="98" t="s">
        <v>1628</v>
      </c>
      <c r="C5" s="98" t="s">
        <v>1628</v>
      </c>
      <c r="D5" s="98" t="s">
        <v>1628</v>
      </c>
      <c r="E5" s="98" t="s">
        <v>1628</v>
      </c>
      <c r="F5" s="98" t="s">
        <v>1628</v>
      </c>
      <c r="G5" s="98" t="s">
        <v>1628</v>
      </c>
      <c r="H5" s="98" t="s">
        <v>1628</v>
      </c>
      <c r="I5" s="98" t="s">
        <v>1628</v>
      </c>
      <c r="J5" s="98" t="s">
        <v>1640</v>
      </c>
      <c r="K5" s="98" t="s">
        <v>1640</v>
      </c>
      <c r="L5" s="98" t="s">
        <v>1640</v>
      </c>
      <c r="M5" s="98" t="s">
        <v>1640</v>
      </c>
      <c r="N5" s="98" t="s">
        <v>1640</v>
      </c>
      <c r="O5" s="98" t="s">
        <v>1640</v>
      </c>
      <c r="P5" s="98" t="s">
        <v>1640</v>
      </c>
      <c r="Q5" s="98" t="s">
        <v>1640</v>
      </c>
      <c r="R5" s="98" t="s">
        <v>1640</v>
      </c>
      <c r="S5" s="98" t="s">
        <v>1640</v>
      </c>
    </row>
    <row r="6" spans="1:21">
      <c r="A6" s="64" t="s">
        <v>1552</v>
      </c>
      <c r="B6" s="98" t="s">
        <v>1641</v>
      </c>
      <c r="C6" s="98" t="s">
        <v>1642</v>
      </c>
      <c r="D6" s="98" t="s">
        <v>1643</v>
      </c>
      <c r="E6" s="98" t="s">
        <v>1644</v>
      </c>
      <c r="F6" s="98" t="s">
        <v>1645</v>
      </c>
      <c r="G6" s="98" t="s">
        <v>1646</v>
      </c>
      <c r="H6" s="98" t="s">
        <v>1647</v>
      </c>
      <c r="I6" s="98" t="s">
        <v>1648</v>
      </c>
      <c r="J6" s="98" t="s">
        <v>214</v>
      </c>
      <c r="K6" s="98" t="s">
        <v>1649</v>
      </c>
      <c r="L6" s="98" t="s">
        <v>1641</v>
      </c>
      <c r="M6" s="98" t="s">
        <v>1642</v>
      </c>
      <c r="N6" s="98" t="s">
        <v>1643</v>
      </c>
      <c r="O6" s="98" t="s">
        <v>1644</v>
      </c>
      <c r="P6" s="98" t="s">
        <v>1645</v>
      </c>
      <c r="Q6" s="98" t="s">
        <v>1646</v>
      </c>
      <c r="R6" s="98" t="s">
        <v>1647</v>
      </c>
      <c r="S6" s="98" t="s">
        <v>1648</v>
      </c>
    </row>
    <row r="7" spans="1:21">
      <c r="A7" s="64" t="s">
        <v>732</v>
      </c>
      <c r="B7" s="186" t="s">
        <v>1558</v>
      </c>
      <c r="C7" s="186" t="s">
        <v>1558</v>
      </c>
      <c r="D7" s="186" t="s">
        <v>1558</v>
      </c>
      <c r="E7" s="186" t="s">
        <v>1558</v>
      </c>
      <c r="F7" s="186" t="s">
        <v>1558</v>
      </c>
      <c r="G7" s="186" t="s">
        <v>1558</v>
      </c>
      <c r="H7" s="186" t="s">
        <v>1558</v>
      </c>
      <c r="I7" s="186" t="s">
        <v>1558</v>
      </c>
      <c r="J7" s="186" t="s">
        <v>1558</v>
      </c>
      <c r="K7" s="186" t="s">
        <v>1558</v>
      </c>
      <c r="L7" s="186" t="s">
        <v>1558</v>
      </c>
      <c r="M7" s="186" t="s">
        <v>1558</v>
      </c>
      <c r="N7" s="186" t="s">
        <v>1558</v>
      </c>
      <c r="O7" s="186" t="s">
        <v>1558</v>
      </c>
      <c r="P7" s="186" t="s">
        <v>1558</v>
      </c>
      <c r="Q7" s="186" t="s">
        <v>1558</v>
      </c>
      <c r="R7" s="186" t="s">
        <v>1558</v>
      </c>
      <c r="S7" s="186" t="s">
        <v>1558</v>
      </c>
    </row>
    <row r="8" spans="1:21" ht="15" thickBot="1"/>
    <row r="9" spans="1:21" ht="15" thickBot="1">
      <c r="A9" s="60" t="s">
        <v>1650</v>
      </c>
    </row>
    <row r="10" spans="1:21">
      <c r="A10" s="64" t="s">
        <v>709</v>
      </c>
      <c r="B10" s="97" t="s">
        <v>708</v>
      </c>
      <c r="C10" s="97" t="s">
        <v>708</v>
      </c>
      <c r="D10" s="97" t="s">
        <v>708</v>
      </c>
      <c r="E10" s="97" t="s">
        <v>708</v>
      </c>
      <c r="F10" s="97" t="s">
        <v>710</v>
      </c>
      <c r="G10" s="97" t="s">
        <v>710</v>
      </c>
      <c r="H10" s="97" t="s">
        <v>710</v>
      </c>
      <c r="I10" s="97" t="s">
        <v>708</v>
      </c>
      <c r="J10" s="97" t="s">
        <v>708</v>
      </c>
      <c r="K10" s="97" t="s">
        <v>708</v>
      </c>
      <c r="L10" s="97" t="s">
        <v>710</v>
      </c>
      <c r="M10" s="97" t="s">
        <v>710</v>
      </c>
      <c r="N10" s="97" t="s">
        <v>710</v>
      </c>
      <c r="O10" s="97" t="s">
        <v>710</v>
      </c>
      <c r="P10" s="97" t="s">
        <v>710</v>
      </c>
      <c r="Q10" s="97" t="s">
        <v>402</v>
      </c>
      <c r="R10" s="97" t="s">
        <v>402</v>
      </c>
      <c r="S10" s="97" t="s">
        <v>402</v>
      </c>
    </row>
    <row r="11" spans="1:21">
      <c r="A11" s="64" t="s">
        <v>223</v>
      </c>
      <c r="B11" s="98" t="s">
        <v>1628</v>
      </c>
      <c r="C11" s="98" t="s">
        <v>1628</v>
      </c>
      <c r="D11" s="98" t="s">
        <v>1628</v>
      </c>
      <c r="E11" s="98" t="s">
        <v>1628</v>
      </c>
      <c r="F11" s="98" t="s">
        <v>1628</v>
      </c>
      <c r="G11" s="98" t="s">
        <v>1628</v>
      </c>
      <c r="H11" s="98" t="s">
        <v>1628</v>
      </c>
      <c r="I11" s="98" t="s">
        <v>1628</v>
      </c>
      <c r="J11" s="98" t="s">
        <v>1640</v>
      </c>
      <c r="K11" s="98" t="s">
        <v>1640</v>
      </c>
      <c r="L11" s="98" t="s">
        <v>1640</v>
      </c>
      <c r="M11" s="98" t="s">
        <v>1640</v>
      </c>
      <c r="N11" s="98" t="s">
        <v>1640</v>
      </c>
      <c r="O11" s="98" t="s">
        <v>1640</v>
      </c>
      <c r="P11" s="98" t="s">
        <v>1640</v>
      </c>
      <c r="Q11" s="98" t="s">
        <v>1640</v>
      </c>
      <c r="R11" s="98" t="s">
        <v>1640</v>
      </c>
      <c r="S11" s="98" t="s">
        <v>1640</v>
      </c>
    </row>
    <row r="12" spans="1:21">
      <c r="A12" s="64" t="s">
        <v>1552</v>
      </c>
      <c r="B12" s="98" t="s">
        <v>1641</v>
      </c>
      <c r="C12" s="98" t="s">
        <v>1642</v>
      </c>
      <c r="D12" s="98" t="s">
        <v>1643</v>
      </c>
      <c r="E12" s="98" t="s">
        <v>1644</v>
      </c>
      <c r="F12" s="98" t="s">
        <v>1645</v>
      </c>
      <c r="G12" s="98" t="s">
        <v>1646</v>
      </c>
      <c r="H12" s="98" t="s">
        <v>1647</v>
      </c>
      <c r="I12" s="98" t="s">
        <v>1648</v>
      </c>
      <c r="J12" s="98" t="s">
        <v>214</v>
      </c>
      <c r="K12" s="98" t="s">
        <v>1649</v>
      </c>
      <c r="L12" s="98" t="s">
        <v>1641</v>
      </c>
      <c r="M12" s="98" t="s">
        <v>1642</v>
      </c>
      <c r="N12" s="98" t="s">
        <v>1643</v>
      </c>
      <c r="O12" s="98" t="s">
        <v>1644</v>
      </c>
      <c r="P12" s="98" t="s">
        <v>1645</v>
      </c>
      <c r="Q12" s="98" t="s">
        <v>1646</v>
      </c>
      <c r="R12" s="98" t="s">
        <v>1647</v>
      </c>
      <c r="S12" s="98" t="s">
        <v>1648</v>
      </c>
    </row>
    <row r="13" spans="1:21">
      <c r="A13" s="64" t="s">
        <v>732</v>
      </c>
      <c r="B13" s="186" t="s">
        <v>1558</v>
      </c>
      <c r="C13" s="186" t="s">
        <v>1558</v>
      </c>
      <c r="D13" s="186" t="s">
        <v>1558</v>
      </c>
      <c r="E13" s="186" t="s">
        <v>1558</v>
      </c>
      <c r="F13" s="186" t="s">
        <v>1558</v>
      </c>
      <c r="G13" s="186" t="s">
        <v>1558</v>
      </c>
      <c r="H13" s="186" t="s">
        <v>1558</v>
      </c>
      <c r="I13" s="186" t="s">
        <v>1558</v>
      </c>
      <c r="J13" s="186" t="s">
        <v>1558</v>
      </c>
      <c r="K13" s="187" t="s">
        <v>1559</v>
      </c>
      <c r="L13" s="186" t="s">
        <v>1558</v>
      </c>
      <c r="M13" s="186" t="s">
        <v>1558</v>
      </c>
      <c r="N13" s="186" t="s">
        <v>1558</v>
      </c>
      <c r="O13" s="186" t="s">
        <v>1558</v>
      </c>
      <c r="P13" s="186" t="s">
        <v>1558</v>
      </c>
      <c r="Q13" s="186" t="s">
        <v>1560</v>
      </c>
      <c r="R13" s="186" t="s">
        <v>1560</v>
      </c>
      <c r="S13" s="186" t="s">
        <v>1560</v>
      </c>
    </row>
    <row r="14" spans="1:21" ht="15" thickBot="1"/>
    <row r="15" spans="1:21" ht="15" thickBot="1">
      <c r="A15" s="60" t="s">
        <v>1651</v>
      </c>
    </row>
    <row r="16" spans="1:21">
      <c r="A16" s="64" t="s">
        <v>709</v>
      </c>
      <c r="B16" s="97" t="s">
        <v>708</v>
      </c>
      <c r="C16" s="97" t="s">
        <v>708</v>
      </c>
      <c r="D16" s="97" t="s">
        <v>708</v>
      </c>
      <c r="E16" s="97" t="s">
        <v>708</v>
      </c>
      <c r="F16" s="97" t="s">
        <v>708</v>
      </c>
      <c r="G16" s="97" t="s">
        <v>710</v>
      </c>
      <c r="H16" s="97" t="s">
        <v>710</v>
      </c>
      <c r="I16" s="97" t="s">
        <v>708</v>
      </c>
      <c r="J16" s="97" t="s">
        <v>708</v>
      </c>
      <c r="K16" s="97" t="s">
        <v>708</v>
      </c>
      <c r="L16" s="97" t="s">
        <v>708</v>
      </c>
      <c r="M16" s="97" t="s">
        <v>710</v>
      </c>
      <c r="N16" s="97" t="s">
        <v>710</v>
      </c>
      <c r="O16" s="97" t="s">
        <v>710</v>
      </c>
      <c r="P16" s="97" t="s">
        <v>710</v>
      </c>
      <c r="Q16" s="97" t="s">
        <v>710</v>
      </c>
      <c r="R16" s="97" t="s">
        <v>402</v>
      </c>
      <c r="S16" s="97" t="s">
        <v>402</v>
      </c>
      <c r="T16" s="97" t="s">
        <v>402</v>
      </c>
      <c r="U16" s="97" t="s">
        <v>402</v>
      </c>
    </row>
    <row r="17" spans="1:21">
      <c r="A17" s="64" t="s">
        <v>223</v>
      </c>
      <c r="B17" s="98" t="s">
        <v>1628</v>
      </c>
      <c r="C17" s="98" t="s">
        <v>1628</v>
      </c>
      <c r="D17" s="98" t="s">
        <v>1628</v>
      </c>
      <c r="E17" s="98" t="s">
        <v>1628</v>
      </c>
      <c r="F17" s="98" t="s">
        <v>1628</v>
      </c>
      <c r="G17" s="98" t="s">
        <v>1628</v>
      </c>
      <c r="H17" s="98" t="s">
        <v>1628</v>
      </c>
      <c r="I17" s="98" t="s">
        <v>1628</v>
      </c>
      <c r="J17" s="98" t="s">
        <v>1628</v>
      </c>
      <c r="K17" s="98" t="s">
        <v>1628</v>
      </c>
      <c r="L17" s="98" t="s">
        <v>1640</v>
      </c>
      <c r="M17" s="98" t="s">
        <v>1640</v>
      </c>
      <c r="N17" s="98" t="s">
        <v>1640</v>
      </c>
      <c r="O17" s="98" t="s">
        <v>1640</v>
      </c>
      <c r="P17" s="98" t="s">
        <v>1640</v>
      </c>
      <c r="Q17" s="98" t="s">
        <v>1640</v>
      </c>
      <c r="R17" s="98" t="s">
        <v>1640</v>
      </c>
      <c r="S17" s="98" t="s">
        <v>1640</v>
      </c>
      <c r="T17" s="98" t="s">
        <v>1640</v>
      </c>
      <c r="U17" s="98" t="s">
        <v>1640</v>
      </c>
    </row>
    <row r="18" spans="1:21">
      <c r="A18" s="64" t="s">
        <v>1552</v>
      </c>
      <c r="B18" s="98" t="s">
        <v>214</v>
      </c>
      <c r="C18" s="98" t="s">
        <v>1649</v>
      </c>
      <c r="D18" s="98" t="s">
        <v>1641</v>
      </c>
      <c r="E18" s="98" t="s">
        <v>1642</v>
      </c>
      <c r="F18" s="98" t="s">
        <v>1643</v>
      </c>
      <c r="G18" s="98" t="s">
        <v>1644</v>
      </c>
      <c r="H18" s="98" t="s">
        <v>1645</v>
      </c>
      <c r="I18" s="98" t="s">
        <v>1646</v>
      </c>
      <c r="J18" s="98" t="s">
        <v>1647</v>
      </c>
      <c r="K18" s="98" t="s">
        <v>1648</v>
      </c>
      <c r="L18" s="98" t="s">
        <v>214</v>
      </c>
      <c r="M18" s="98" t="s">
        <v>1649</v>
      </c>
      <c r="N18" s="98" t="s">
        <v>1641</v>
      </c>
      <c r="O18" s="98" t="s">
        <v>1642</v>
      </c>
      <c r="P18" s="98" t="s">
        <v>1643</v>
      </c>
      <c r="Q18" s="98" t="s">
        <v>1644</v>
      </c>
      <c r="R18" s="98" t="s">
        <v>1645</v>
      </c>
      <c r="S18" s="98" t="s">
        <v>1646</v>
      </c>
      <c r="T18" s="98" t="s">
        <v>1647</v>
      </c>
      <c r="U18" s="98" t="s">
        <v>1648</v>
      </c>
    </row>
    <row r="19" spans="1:21">
      <c r="A19" s="64" t="s">
        <v>732</v>
      </c>
      <c r="B19" s="187" t="s">
        <v>1559</v>
      </c>
      <c r="C19" s="186" t="s">
        <v>1558</v>
      </c>
      <c r="D19" s="186" t="s">
        <v>1558</v>
      </c>
      <c r="E19" s="186" t="s">
        <v>1558</v>
      </c>
      <c r="F19" s="186" t="s">
        <v>1558</v>
      </c>
      <c r="G19" s="186" t="s">
        <v>1558</v>
      </c>
      <c r="H19" s="186" t="s">
        <v>1558</v>
      </c>
      <c r="I19" s="186" t="s">
        <v>1558</v>
      </c>
      <c r="J19" s="186" t="s">
        <v>1558</v>
      </c>
      <c r="K19" s="186" t="s">
        <v>1558</v>
      </c>
      <c r="L19" s="187" t="s">
        <v>1559</v>
      </c>
      <c r="M19" s="186" t="s">
        <v>1558</v>
      </c>
      <c r="N19" s="186" t="s">
        <v>1558</v>
      </c>
      <c r="O19" s="186" t="s">
        <v>1558</v>
      </c>
      <c r="P19" s="186" t="s">
        <v>1558</v>
      </c>
      <c r="Q19" s="186" t="s">
        <v>1558</v>
      </c>
      <c r="R19" s="186" t="s">
        <v>1560</v>
      </c>
      <c r="S19" s="186" t="s">
        <v>1560</v>
      </c>
      <c r="T19" s="186" t="s">
        <v>1560</v>
      </c>
      <c r="U19" s="186" t="s">
        <v>1560</v>
      </c>
    </row>
    <row r="20" spans="1:21" ht="15" thickBot="1"/>
    <row r="21" spans="1:21" ht="15" thickBot="1">
      <c r="A21" s="60" t="s">
        <v>1652</v>
      </c>
    </row>
    <row r="22" spans="1:21">
      <c r="A22" s="64" t="s">
        <v>709</v>
      </c>
      <c r="B22" s="97" t="s">
        <v>708</v>
      </c>
      <c r="C22" s="97" t="s">
        <v>708</v>
      </c>
      <c r="D22" s="97" t="s">
        <v>710</v>
      </c>
      <c r="E22" s="97" t="s">
        <v>710</v>
      </c>
      <c r="F22" s="97" t="s">
        <v>708</v>
      </c>
      <c r="G22" s="97" t="s">
        <v>708</v>
      </c>
      <c r="H22" s="97" t="s">
        <v>708</v>
      </c>
      <c r="I22" s="97" t="s">
        <v>708</v>
      </c>
      <c r="J22" s="97" t="s">
        <v>710</v>
      </c>
      <c r="K22" s="97" t="s">
        <v>710</v>
      </c>
      <c r="L22" s="97" t="s">
        <v>710</v>
      </c>
      <c r="M22" s="97" t="s">
        <v>710</v>
      </c>
      <c r="N22" s="97" t="s">
        <v>710</v>
      </c>
      <c r="O22" s="97" t="s">
        <v>402</v>
      </c>
      <c r="P22" s="97" t="s">
        <v>402</v>
      </c>
      <c r="Q22" s="97" t="s">
        <v>402</v>
      </c>
      <c r="R22" s="97" t="s">
        <v>402</v>
      </c>
      <c r="S22" s="97" t="s">
        <v>402</v>
      </c>
    </row>
    <row r="23" spans="1:21">
      <c r="A23" s="64" t="s">
        <v>223</v>
      </c>
      <c r="B23" s="98" t="s">
        <v>1628</v>
      </c>
      <c r="C23" s="98" t="s">
        <v>1628</v>
      </c>
      <c r="D23" s="98" t="s">
        <v>1628</v>
      </c>
      <c r="E23" s="98" t="s">
        <v>1628</v>
      </c>
      <c r="F23" s="98" t="s">
        <v>1628</v>
      </c>
      <c r="G23" s="98" t="s">
        <v>1628</v>
      </c>
      <c r="H23" s="98" t="s">
        <v>1628</v>
      </c>
      <c r="I23" s="98" t="s">
        <v>1628</v>
      </c>
      <c r="J23" s="98" t="s">
        <v>1640</v>
      </c>
      <c r="K23" s="98" t="s">
        <v>1640</v>
      </c>
      <c r="L23" s="98" t="s">
        <v>1640</v>
      </c>
      <c r="M23" s="98" t="s">
        <v>1640</v>
      </c>
      <c r="N23" s="98" t="s">
        <v>1640</v>
      </c>
      <c r="O23" s="98" t="s">
        <v>1640</v>
      </c>
      <c r="P23" s="98" t="s">
        <v>1640</v>
      </c>
      <c r="Q23" s="98" t="s">
        <v>1640</v>
      </c>
      <c r="R23" s="98" t="s">
        <v>1640</v>
      </c>
      <c r="S23" s="98" t="s">
        <v>1640</v>
      </c>
    </row>
    <row r="24" spans="1:21">
      <c r="A24" s="64" t="s">
        <v>1552</v>
      </c>
      <c r="B24" s="98" t="s">
        <v>1641</v>
      </c>
      <c r="C24" s="98" t="s">
        <v>1642</v>
      </c>
      <c r="D24" s="98" t="s">
        <v>1643</v>
      </c>
      <c r="E24" s="98" t="s">
        <v>1644</v>
      </c>
      <c r="F24" s="98" t="s">
        <v>1645</v>
      </c>
      <c r="G24" s="98" t="s">
        <v>1646</v>
      </c>
      <c r="H24" s="98" t="s">
        <v>1647</v>
      </c>
      <c r="I24" s="98" t="s">
        <v>1648</v>
      </c>
      <c r="J24" s="98" t="s">
        <v>214</v>
      </c>
      <c r="K24" s="98" t="s">
        <v>1649</v>
      </c>
      <c r="L24" s="98" t="s">
        <v>1641</v>
      </c>
      <c r="M24" s="98" t="s">
        <v>1642</v>
      </c>
      <c r="N24" s="98" t="s">
        <v>1643</v>
      </c>
      <c r="O24" s="98" t="s">
        <v>1644</v>
      </c>
      <c r="P24" s="98" t="s">
        <v>1645</v>
      </c>
      <c r="Q24" s="98" t="s">
        <v>1646</v>
      </c>
      <c r="R24" s="98" t="s">
        <v>1647</v>
      </c>
      <c r="S24" s="98" t="s">
        <v>1648</v>
      </c>
    </row>
    <row r="25" spans="1:21">
      <c r="A25" s="64" t="s">
        <v>732</v>
      </c>
      <c r="B25" s="186" t="s">
        <v>1558</v>
      </c>
      <c r="C25" s="186" t="s">
        <v>1558</v>
      </c>
      <c r="D25" s="186" t="s">
        <v>1558</v>
      </c>
      <c r="E25" s="186" t="s">
        <v>1558</v>
      </c>
      <c r="F25" s="186" t="s">
        <v>1558</v>
      </c>
      <c r="G25" s="186" t="s">
        <v>1558</v>
      </c>
      <c r="H25" s="186" t="s">
        <v>1558</v>
      </c>
      <c r="I25" s="187" t="s">
        <v>1559</v>
      </c>
      <c r="J25" s="186" t="s">
        <v>1558</v>
      </c>
      <c r="K25" s="186" t="s">
        <v>1558</v>
      </c>
      <c r="L25" s="186" t="s">
        <v>1558</v>
      </c>
      <c r="M25" s="186" t="s">
        <v>1558</v>
      </c>
      <c r="N25" s="187" t="s">
        <v>1559</v>
      </c>
      <c r="O25" s="186" t="s">
        <v>1560</v>
      </c>
      <c r="P25" s="186" t="s">
        <v>1560</v>
      </c>
      <c r="Q25" s="186" t="s">
        <v>1560</v>
      </c>
      <c r="R25" s="186" t="s">
        <v>1560</v>
      </c>
      <c r="S25" s="186" t="s">
        <v>1560</v>
      </c>
    </row>
    <row r="26" spans="1:21" ht="15" thickBot="1"/>
    <row r="27" spans="1:21" ht="15" thickBot="1">
      <c r="A27" s="60" t="s">
        <v>1653</v>
      </c>
    </row>
    <row r="28" spans="1:21">
      <c r="A28" s="64" t="s">
        <v>709</v>
      </c>
      <c r="B28" s="97" t="s">
        <v>708</v>
      </c>
      <c r="C28" s="97" t="s">
        <v>708</v>
      </c>
      <c r="D28" s="97" t="s">
        <v>708</v>
      </c>
      <c r="E28" s="97" t="s">
        <v>710</v>
      </c>
      <c r="F28" s="97" t="s">
        <v>710</v>
      </c>
      <c r="G28" s="97" t="s">
        <v>710</v>
      </c>
      <c r="H28" s="97" t="s">
        <v>708</v>
      </c>
      <c r="I28" s="97" t="s">
        <v>708</v>
      </c>
      <c r="J28" s="97" t="s">
        <v>708</v>
      </c>
      <c r="K28" s="97" t="s">
        <v>708</v>
      </c>
      <c r="L28" s="97" t="s">
        <v>708</v>
      </c>
      <c r="M28" s="97" t="s">
        <v>710</v>
      </c>
      <c r="N28" s="97" t="s">
        <v>710</v>
      </c>
      <c r="O28" s="97" t="s">
        <v>710</v>
      </c>
      <c r="P28" s="97" t="s">
        <v>710</v>
      </c>
      <c r="Q28" s="97" t="s">
        <v>710</v>
      </c>
      <c r="R28" s="97" t="s">
        <v>710</v>
      </c>
      <c r="S28" s="97" t="s">
        <v>710</v>
      </c>
    </row>
    <row r="29" spans="1:21">
      <c r="A29" s="64" t="s">
        <v>223</v>
      </c>
      <c r="B29" s="98" t="s">
        <v>1628</v>
      </c>
      <c r="C29" s="98" t="s">
        <v>1628</v>
      </c>
      <c r="D29" s="98" t="s">
        <v>1628</v>
      </c>
      <c r="E29" s="98" t="s">
        <v>1628</v>
      </c>
      <c r="F29" s="98" t="s">
        <v>1628</v>
      </c>
      <c r="G29" s="98" t="s">
        <v>1628</v>
      </c>
      <c r="H29" s="98" t="s">
        <v>1628</v>
      </c>
      <c r="I29" s="98" t="s">
        <v>1628</v>
      </c>
      <c r="J29" s="98" t="s">
        <v>1640</v>
      </c>
      <c r="K29" s="98" t="s">
        <v>1640</v>
      </c>
      <c r="L29" s="98" t="s">
        <v>1640</v>
      </c>
      <c r="M29" s="98" t="s">
        <v>1640</v>
      </c>
      <c r="N29" s="98" t="s">
        <v>1640</v>
      </c>
      <c r="O29" s="98" t="s">
        <v>1640</v>
      </c>
      <c r="P29" s="98" t="s">
        <v>1640</v>
      </c>
      <c r="Q29" s="98" t="s">
        <v>1640</v>
      </c>
      <c r="R29" s="98" t="s">
        <v>1640</v>
      </c>
      <c r="S29" s="98" t="s">
        <v>1640</v>
      </c>
    </row>
    <row r="30" spans="1:21">
      <c r="A30" s="64" t="s">
        <v>1552</v>
      </c>
      <c r="B30" s="98" t="s">
        <v>1641</v>
      </c>
      <c r="C30" s="98" t="s">
        <v>1642</v>
      </c>
      <c r="D30" s="98" t="s">
        <v>1643</v>
      </c>
      <c r="E30" s="98" t="s">
        <v>1644</v>
      </c>
      <c r="F30" s="98" t="s">
        <v>1645</v>
      </c>
      <c r="G30" s="98" t="s">
        <v>1646</v>
      </c>
      <c r="H30" s="98" t="s">
        <v>1647</v>
      </c>
      <c r="I30" s="98" t="s">
        <v>1648</v>
      </c>
      <c r="J30" s="98" t="s">
        <v>214</v>
      </c>
      <c r="K30" s="98" t="s">
        <v>1649</v>
      </c>
      <c r="L30" s="98" t="s">
        <v>1641</v>
      </c>
      <c r="M30" s="98" t="s">
        <v>1642</v>
      </c>
      <c r="N30" s="98" t="s">
        <v>1643</v>
      </c>
      <c r="O30" s="98" t="s">
        <v>1644</v>
      </c>
      <c r="P30" s="98" t="s">
        <v>1645</v>
      </c>
      <c r="Q30" s="98" t="s">
        <v>1646</v>
      </c>
      <c r="R30" s="98" t="s">
        <v>1647</v>
      </c>
      <c r="S30" s="98" t="s">
        <v>1648</v>
      </c>
    </row>
    <row r="31" spans="1:21">
      <c r="A31" s="64" t="s">
        <v>732</v>
      </c>
      <c r="B31" s="186" t="s">
        <v>1558</v>
      </c>
      <c r="C31" s="186" t="s">
        <v>1558</v>
      </c>
      <c r="D31" s="186" t="s">
        <v>1558</v>
      </c>
      <c r="E31" s="186" t="s">
        <v>1558</v>
      </c>
      <c r="F31" s="186" t="s">
        <v>1558</v>
      </c>
      <c r="G31" s="186" t="s">
        <v>1558</v>
      </c>
      <c r="H31" s="186" t="s">
        <v>1558</v>
      </c>
      <c r="I31" s="186" t="s">
        <v>1558</v>
      </c>
      <c r="J31" s="186" t="s">
        <v>1558</v>
      </c>
      <c r="K31" s="187" t="s">
        <v>1559</v>
      </c>
      <c r="L31" s="187" t="s">
        <v>1559</v>
      </c>
      <c r="M31" s="186" t="s">
        <v>1558</v>
      </c>
      <c r="N31" s="186" t="s">
        <v>1558</v>
      </c>
      <c r="O31" s="186" t="s">
        <v>1558</v>
      </c>
      <c r="P31" s="186" t="s">
        <v>1558</v>
      </c>
      <c r="Q31" s="186" t="s">
        <v>1558</v>
      </c>
      <c r="R31" s="186" t="s">
        <v>1558</v>
      </c>
      <c r="S31" s="186" t="s">
        <v>1558</v>
      </c>
    </row>
    <row r="32" spans="1:21" ht="15" thickBot="1"/>
    <row r="33" spans="1:19" ht="15" thickBot="1">
      <c r="A33" s="60" t="s">
        <v>1654</v>
      </c>
    </row>
    <row r="34" spans="1:19">
      <c r="A34" s="64" t="s">
        <v>709</v>
      </c>
      <c r="B34" s="97" t="s">
        <v>708</v>
      </c>
      <c r="C34" s="97" t="s">
        <v>708</v>
      </c>
      <c r="D34" s="97" t="s">
        <v>708</v>
      </c>
      <c r="E34" s="97" t="s">
        <v>708</v>
      </c>
      <c r="F34" s="97" t="s">
        <v>710</v>
      </c>
      <c r="G34" s="97" t="s">
        <v>710</v>
      </c>
      <c r="H34" s="97" t="s">
        <v>710</v>
      </c>
      <c r="I34" s="97" t="s">
        <v>710</v>
      </c>
      <c r="J34" s="97" t="s">
        <v>708</v>
      </c>
      <c r="K34" s="97" t="s">
        <v>708</v>
      </c>
      <c r="L34" s="97" t="s">
        <v>708</v>
      </c>
      <c r="M34" s="97" t="s">
        <v>708</v>
      </c>
      <c r="N34" s="97" t="s">
        <v>708</v>
      </c>
      <c r="O34" s="97" t="s">
        <v>708</v>
      </c>
      <c r="P34" s="97" t="s">
        <v>710</v>
      </c>
      <c r="Q34" s="97" t="s">
        <v>710</v>
      </c>
      <c r="R34" s="97" t="s">
        <v>710</v>
      </c>
      <c r="S34" s="97" t="s">
        <v>710</v>
      </c>
    </row>
    <row r="35" spans="1:19">
      <c r="A35" s="64" t="s">
        <v>223</v>
      </c>
      <c r="B35" s="98" t="s">
        <v>1628</v>
      </c>
      <c r="C35" s="98" t="s">
        <v>1628</v>
      </c>
      <c r="D35" s="98" t="s">
        <v>1628</v>
      </c>
      <c r="E35" s="98" t="s">
        <v>1628</v>
      </c>
      <c r="F35" s="98" t="s">
        <v>1628</v>
      </c>
      <c r="G35" s="98" t="s">
        <v>1628</v>
      </c>
      <c r="H35" s="98" t="s">
        <v>1628</v>
      </c>
      <c r="I35" s="98" t="s">
        <v>1628</v>
      </c>
      <c r="J35" s="98" t="s">
        <v>1640</v>
      </c>
      <c r="K35" s="98" t="s">
        <v>1640</v>
      </c>
      <c r="L35" s="98" t="s">
        <v>1640</v>
      </c>
      <c r="M35" s="98" t="s">
        <v>1640</v>
      </c>
      <c r="N35" s="98" t="s">
        <v>1640</v>
      </c>
      <c r="O35" s="98" t="s">
        <v>1640</v>
      </c>
      <c r="P35" s="98" t="s">
        <v>1640</v>
      </c>
      <c r="Q35" s="98" t="s">
        <v>1640</v>
      </c>
      <c r="R35" s="98" t="s">
        <v>1640</v>
      </c>
      <c r="S35" s="98" t="s">
        <v>1640</v>
      </c>
    </row>
    <row r="36" spans="1:19">
      <c r="A36" s="64" t="s">
        <v>1552</v>
      </c>
      <c r="B36" s="98" t="s">
        <v>1641</v>
      </c>
      <c r="C36" s="98" t="s">
        <v>1642</v>
      </c>
      <c r="D36" s="98" t="s">
        <v>1643</v>
      </c>
      <c r="E36" s="98" t="s">
        <v>1644</v>
      </c>
      <c r="F36" s="98" t="s">
        <v>1645</v>
      </c>
      <c r="G36" s="98" t="s">
        <v>1646</v>
      </c>
      <c r="H36" s="98" t="s">
        <v>1647</v>
      </c>
      <c r="I36" s="98" t="s">
        <v>1648</v>
      </c>
      <c r="J36" s="98" t="s">
        <v>214</v>
      </c>
      <c r="K36" s="98" t="s">
        <v>1649</v>
      </c>
      <c r="L36" s="98" t="s">
        <v>1641</v>
      </c>
      <c r="M36" s="98" t="s">
        <v>1642</v>
      </c>
      <c r="N36" s="98" t="s">
        <v>1643</v>
      </c>
      <c r="O36" s="98" t="s">
        <v>1644</v>
      </c>
      <c r="P36" s="98" t="s">
        <v>1645</v>
      </c>
      <c r="Q36" s="98" t="s">
        <v>1646</v>
      </c>
      <c r="R36" s="98" t="s">
        <v>1647</v>
      </c>
      <c r="S36" s="98" t="s">
        <v>1648</v>
      </c>
    </row>
    <row r="37" spans="1:19">
      <c r="A37" s="64" t="s">
        <v>732</v>
      </c>
      <c r="B37" s="186" t="s">
        <v>1558</v>
      </c>
      <c r="C37" s="186" t="s">
        <v>1558</v>
      </c>
      <c r="D37" s="186" t="s">
        <v>1558</v>
      </c>
      <c r="E37" s="186" t="s">
        <v>1558</v>
      </c>
      <c r="F37" s="186" t="s">
        <v>1558</v>
      </c>
      <c r="G37" s="186" t="s">
        <v>1558</v>
      </c>
      <c r="H37" s="186" t="s">
        <v>1558</v>
      </c>
      <c r="I37" s="186" t="s">
        <v>1558</v>
      </c>
      <c r="J37" s="186" t="s">
        <v>1558</v>
      </c>
      <c r="K37" s="186" t="s">
        <v>1558</v>
      </c>
      <c r="L37" s="186" t="s">
        <v>1558</v>
      </c>
      <c r="M37" s="186" t="s">
        <v>1558</v>
      </c>
      <c r="N37" s="186" t="s">
        <v>1558</v>
      </c>
      <c r="O37" s="186" t="s">
        <v>1558</v>
      </c>
      <c r="P37" s="186" t="s">
        <v>1558</v>
      </c>
      <c r="Q37" s="186" t="s">
        <v>1558</v>
      </c>
      <c r="R37" s="186" t="s">
        <v>1558</v>
      </c>
      <c r="S37" s="186" t="s">
        <v>1558</v>
      </c>
    </row>
    <row r="38" spans="1:19" ht="15" thickBot="1"/>
    <row r="39" spans="1:19" ht="15" thickBot="1">
      <c r="A39" s="60" t="s">
        <v>1655</v>
      </c>
    </row>
    <row r="40" spans="1:19">
      <c r="A40" s="64" t="s">
        <v>709</v>
      </c>
      <c r="B40" s="97" t="s">
        <v>708</v>
      </c>
      <c r="C40" s="97" t="s">
        <v>708</v>
      </c>
      <c r="D40" s="97" t="s">
        <v>710</v>
      </c>
      <c r="E40" s="97" t="s">
        <v>710</v>
      </c>
      <c r="F40" s="97" t="s">
        <v>708</v>
      </c>
      <c r="G40" s="97" t="s">
        <v>710</v>
      </c>
      <c r="H40" s="97" t="s">
        <v>710</v>
      </c>
      <c r="I40" s="97" t="s">
        <v>708</v>
      </c>
    </row>
    <row r="41" spans="1:19">
      <c r="A41" s="64" t="s">
        <v>223</v>
      </c>
      <c r="B41" s="98" t="s">
        <v>1628</v>
      </c>
      <c r="C41" s="98" t="s">
        <v>1628</v>
      </c>
      <c r="D41" s="98" t="s">
        <v>1628</v>
      </c>
      <c r="E41" s="98" t="s">
        <v>1628</v>
      </c>
      <c r="F41" s="98" t="s">
        <v>1628</v>
      </c>
      <c r="G41" s="98" t="s">
        <v>1628</v>
      </c>
      <c r="H41" s="98" t="s">
        <v>1628</v>
      </c>
      <c r="I41" s="98" t="s">
        <v>1628</v>
      </c>
    </row>
    <row r="42" spans="1:19">
      <c r="A42" s="64" t="s">
        <v>1552</v>
      </c>
      <c r="B42" s="98" t="s">
        <v>1641</v>
      </c>
      <c r="C42" s="98" t="s">
        <v>1642</v>
      </c>
      <c r="D42" s="98" t="s">
        <v>1643</v>
      </c>
      <c r="E42" s="98" t="s">
        <v>1644</v>
      </c>
      <c r="F42" s="98" t="s">
        <v>1645</v>
      </c>
      <c r="G42" s="98" t="s">
        <v>1646</v>
      </c>
      <c r="H42" s="98" t="s">
        <v>1647</v>
      </c>
      <c r="I42" s="98" t="s">
        <v>1648</v>
      </c>
    </row>
    <row r="43" spans="1:19">
      <c r="A43" s="64" t="s">
        <v>732</v>
      </c>
      <c r="B43" s="186" t="s">
        <v>1558</v>
      </c>
      <c r="C43" s="186" t="s">
        <v>1558</v>
      </c>
      <c r="D43" s="186" t="s">
        <v>1558</v>
      </c>
      <c r="E43" s="186" t="s">
        <v>1558</v>
      </c>
      <c r="F43" s="186" t="s">
        <v>1558</v>
      </c>
      <c r="G43" s="186" t="s">
        <v>1558</v>
      </c>
      <c r="H43" s="186" t="s">
        <v>1558</v>
      </c>
      <c r="I43" s="186" t="s">
        <v>1558</v>
      </c>
    </row>
    <row r="44" spans="1:19" ht="15" thickBot="1"/>
    <row r="45" spans="1:19" ht="15" thickBot="1">
      <c r="A45" s="60" t="s">
        <v>1656</v>
      </c>
    </row>
    <row r="46" spans="1:19">
      <c r="A46" s="64" t="s">
        <v>709</v>
      </c>
      <c r="B46" s="97" t="s">
        <v>708</v>
      </c>
      <c r="C46" s="97" t="s">
        <v>402</v>
      </c>
      <c r="D46" s="97" t="s">
        <v>710</v>
      </c>
      <c r="E46" s="97" t="s">
        <v>710</v>
      </c>
      <c r="F46" s="97" t="s">
        <v>402</v>
      </c>
      <c r="G46" s="97" t="s">
        <v>402</v>
      </c>
      <c r="H46" s="97" t="s">
        <v>402</v>
      </c>
      <c r="I46" s="97" t="s">
        <v>402</v>
      </c>
    </row>
    <row r="47" spans="1:19">
      <c r="A47" s="64" t="s">
        <v>223</v>
      </c>
      <c r="B47" s="98" t="s">
        <v>1628</v>
      </c>
      <c r="C47" s="98" t="s">
        <v>1628</v>
      </c>
      <c r="D47" s="98" t="s">
        <v>1628</v>
      </c>
      <c r="E47" s="98" t="s">
        <v>1628</v>
      </c>
      <c r="F47" s="98" t="s">
        <v>1628</v>
      </c>
      <c r="G47" s="98" t="s">
        <v>1628</v>
      </c>
      <c r="H47" s="98" t="s">
        <v>1628</v>
      </c>
      <c r="I47" s="98" t="s">
        <v>1628</v>
      </c>
    </row>
    <row r="48" spans="1:19">
      <c r="A48" s="64" t="s">
        <v>1552</v>
      </c>
      <c r="B48" s="98" t="s">
        <v>1641</v>
      </c>
      <c r="C48" s="98" t="s">
        <v>1642</v>
      </c>
      <c r="D48" s="98" t="s">
        <v>1643</v>
      </c>
      <c r="E48" s="98" t="s">
        <v>1644</v>
      </c>
      <c r="F48" s="98" t="s">
        <v>1645</v>
      </c>
      <c r="G48" s="98" t="s">
        <v>1646</v>
      </c>
      <c r="H48" s="98" t="s">
        <v>1647</v>
      </c>
      <c r="I48" s="98" t="s">
        <v>1648</v>
      </c>
    </row>
    <row r="49" spans="1:20">
      <c r="A49" s="64" t="s">
        <v>732</v>
      </c>
      <c r="B49" s="186" t="s">
        <v>1558</v>
      </c>
      <c r="C49" s="186" t="s">
        <v>1560</v>
      </c>
      <c r="D49" s="186" t="s">
        <v>1558</v>
      </c>
      <c r="E49" s="186" t="s">
        <v>1558</v>
      </c>
      <c r="F49" s="186" t="s">
        <v>1560</v>
      </c>
      <c r="G49" s="186" t="s">
        <v>1560</v>
      </c>
      <c r="H49" s="186" t="s">
        <v>1560</v>
      </c>
      <c r="I49" s="186" t="s">
        <v>1560</v>
      </c>
    </row>
    <row r="50" spans="1:20" ht="15" thickBot="1"/>
    <row r="51" spans="1:20" ht="15" thickBot="1">
      <c r="A51" s="60" t="s">
        <v>1657</v>
      </c>
    </row>
    <row r="52" spans="1:20">
      <c r="A52" s="64" t="s">
        <v>709</v>
      </c>
      <c r="B52" s="97" t="s">
        <v>711</v>
      </c>
      <c r="C52" s="97" t="s">
        <v>711</v>
      </c>
      <c r="D52" s="97" t="s">
        <v>711</v>
      </c>
      <c r="E52" s="97" t="s">
        <v>711</v>
      </c>
      <c r="F52" s="97" t="s">
        <v>711</v>
      </c>
      <c r="G52" s="97" t="s">
        <v>711</v>
      </c>
      <c r="H52" s="97" t="s">
        <v>711</v>
      </c>
      <c r="I52" s="97" t="s">
        <v>711</v>
      </c>
      <c r="J52" s="97" t="s">
        <v>711</v>
      </c>
      <c r="K52" s="97" t="s">
        <v>711</v>
      </c>
      <c r="L52" s="97" t="s">
        <v>711</v>
      </c>
      <c r="M52" s="97" t="s">
        <v>711</v>
      </c>
      <c r="N52" s="97" t="s">
        <v>710</v>
      </c>
      <c r="O52" s="97" t="s">
        <v>710</v>
      </c>
      <c r="P52" s="97" t="s">
        <v>710</v>
      </c>
      <c r="Q52" s="97" t="s">
        <v>710</v>
      </c>
      <c r="R52" s="97" t="s">
        <v>708</v>
      </c>
      <c r="S52" s="97" t="s">
        <v>710</v>
      </c>
      <c r="T52" s="97" t="s">
        <v>710</v>
      </c>
    </row>
    <row r="53" spans="1:20">
      <c r="A53" s="64" t="s">
        <v>223</v>
      </c>
      <c r="B53" s="98" t="s">
        <v>1628</v>
      </c>
      <c r="C53" s="98" t="s">
        <v>1628</v>
      </c>
      <c r="D53" s="98" t="s">
        <v>1628</v>
      </c>
      <c r="E53" s="98" t="s">
        <v>1628</v>
      </c>
      <c r="F53" s="98" t="s">
        <v>1628</v>
      </c>
      <c r="G53" s="98" t="s">
        <v>1628</v>
      </c>
      <c r="H53" s="98" t="s">
        <v>1628</v>
      </c>
      <c r="I53" s="98" t="s">
        <v>1628</v>
      </c>
      <c r="J53" s="98" t="s">
        <v>1628</v>
      </c>
      <c r="K53" s="98" t="s">
        <v>1640</v>
      </c>
      <c r="L53" s="98" t="s">
        <v>1640</v>
      </c>
      <c r="M53" s="98" t="s">
        <v>1640</v>
      </c>
      <c r="N53" s="98" t="s">
        <v>1640</v>
      </c>
      <c r="O53" s="98" t="s">
        <v>1640</v>
      </c>
      <c r="P53" s="98" t="s">
        <v>1640</v>
      </c>
      <c r="Q53" s="98" t="s">
        <v>1640</v>
      </c>
      <c r="R53" s="98" t="s">
        <v>1640</v>
      </c>
      <c r="S53" s="98" t="s">
        <v>1640</v>
      </c>
      <c r="T53" s="98" t="s">
        <v>1640</v>
      </c>
    </row>
    <row r="54" spans="1:20">
      <c r="A54" s="64" t="s">
        <v>1552</v>
      </c>
      <c r="B54" s="98" t="s">
        <v>1649</v>
      </c>
      <c r="C54" s="98" t="s">
        <v>1641</v>
      </c>
      <c r="D54" s="98" t="s">
        <v>1642</v>
      </c>
      <c r="E54" s="98" t="s">
        <v>1643</v>
      </c>
      <c r="F54" s="98" t="s">
        <v>1644</v>
      </c>
      <c r="G54" s="98" t="s">
        <v>1645</v>
      </c>
      <c r="H54" s="98" t="s">
        <v>1646</v>
      </c>
      <c r="I54" s="98" t="s">
        <v>1647</v>
      </c>
      <c r="J54" s="98" t="s">
        <v>1648</v>
      </c>
      <c r="K54" s="98" t="s">
        <v>214</v>
      </c>
      <c r="L54" s="98" t="s">
        <v>1649</v>
      </c>
      <c r="M54" s="98" t="s">
        <v>1641</v>
      </c>
      <c r="N54" s="98" t="s">
        <v>1642</v>
      </c>
      <c r="O54" s="98" t="s">
        <v>1643</v>
      </c>
      <c r="P54" s="98" t="s">
        <v>1644</v>
      </c>
      <c r="Q54" s="98" t="s">
        <v>1645</v>
      </c>
      <c r="R54" s="98" t="s">
        <v>1646</v>
      </c>
      <c r="S54" s="98" t="s">
        <v>1647</v>
      </c>
      <c r="T54" s="98" t="s">
        <v>1648</v>
      </c>
    </row>
    <row r="55" spans="1:20">
      <c r="A55" s="64" t="s">
        <v>732</v>
      </c>
      <c r="B55" s="186" t="s">
        <v>1558</v>
      </c>
      <c r="C55" s="186" t="s">
        <v>1558</v>
      </c>
      <c r="D55" s="186" t="s">
        <v>1558</v>
      </c>
      <c r="E55" s="186" t="s">
        <v>1558</v>
      </c>
      <c r="F55" s="186" t="s">
        <v>1558</v>
      </c>
      <c r="G55" s="186" t="s">
        <v>1558</v>
      </c>
      <c r="H55" s="186" t="s">
        <v>1558</v>
      </c>
      <c r="I55" s="186" t="s">
        <v>1558</v>
      </c>
      <c r="J55" s="186" t="s">
        <v>1558</v>
      </c>
      <c r="K55" s="186" t="s">
        <v>1558</v>
      </c>
      <c r="L55" s="186" t="s">
        <v>1558</v>
      </c>
      <c r="M55" s="186" t="s">
        <v>1558</v>
      </c>
      <c r="N55" s="186" t="s">
        <v>1558</v>
      </c>
      <c r="O55" s="186" t="s">
        <v>1558</v>
      </c>
      <c r="P55" s="186" t="s">
        <v>1558</v>
      </c>
      <c r="Q55" s="186" t="s">
        <v>1558</v>
      </c>
      <c r="R55" s="186" t="s">
        <v>1558</v>
      </c>
      <c r="S55" s="186" t="s">
        <v>1558</v>
      </c>
      <c r="T55" s="186" t="s">
        <v>1558</v>
      </c>
    </row>
    <row r="56" spans="1:20" ht="15" thickBot="1"/>
    <row r="57" spans="1:20" ht="15" thickBot="1">
      <c r="A57" s="60" t="s">
        <v>1630</v>
      </c>
    </row>
    <row r="58" spans="1:20">
      <c r="A58" s="64" t="s">
        <v>709</v>
      </c>
    </row>
    <row r="59" spans="1:20">
      <c r="A59" s="64" t="s">
        <v>223</v>
      </c>
    </row>
    <row r="60" spans="1:20">
      <c r="A60" s="64" t="s">
        <v>1552</v>
      </c>
    </row>
    <row r="61" spans="1:20">
      <c r="A61" s="64" t="s">
        <v>732</v>
      </c>
    </row>
    <row r="62" spans="1:20" ht="15" thickBot="1"/>
    <row r="63" spans="1:20" ht="15" thickBot="1">
      <c r="A63" s="60" t="s">
        <v>1630</v>
      </c>
    </row>
    <row r="64" spans="1:20">
      <c r="A64" s="64" t="s">
        <v>709</v>
      </c>
    </row>
    <row r="65" spans="1:1">
      <c r="A65" s="64" t="s">
        <v>223</v>
      </c>
    </row>
    <row r="66" spans="1:1">
      <c r="A66" s="64" t="s">
        <v>1552</v>
      </c>
    </row>
    <row r="67" spans="1:1">
      <c r="A67" s="64" t="s">
        <v>732</v>
      </c>
    </row>
    <row r="68" spans="1:1" ht="15" thickBot="1"/>
    <row r="69" spans="1:1" ht="15" thickBot="1">
      <c r="A69" s="60" t="s">
        <v>1630</v>
      </c>
    </row>
    <row r="70" spans="1:1">
      <c r="A70" s="64" t="s">
        <v>709</v>
      </c>
    </row>
    <row r="71" spans="1:1">
      <c r="A71" s="64" t="s">
        <v>223</v>
      </c>
    </row>
    <row r="72" spans="1:1">
      <c r="A72" s="64" t="s">
        <v>1552</v>
      </c>
    </row>
    <row r="73" spans="1:1">
      <c r="A73" s="64" t="s">
        <v>732</v>
      </c>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sheetPr codeName="View_Voies"/>
  <dimension ref="A1:DV24"/>
  <sheetViews>
    <sheetView workbookViewId="0"/>
  </sheetViews>
  <sheetFormatPr baseColWidth="10" defaultColWidth="2.625" defaultRowHeight="14.25"/>
  <cols>
    <col min="1" max="1" width="19.125" style="20" customWidth="1"/>
    <col min="2" max="2" width="2.625" style="20" customWidth="1"/>
    <col min="3" max="5" width="0.875" style="20" customWidth="1"/>
    <col min="6" max="6" width="10.625" style="20" customWidth="1"/>
    <col min="7" max="7" width="25.625" style="20" customWidth="1"/>
    <col min="8" max="9" width="2.625" style="20" customWidth="1"/>
    <col min="10" max="12" width="0.875" style="20" customWidth="1"/>
    <col min="13" max="13" width="10.625" style="20" customWidth="1"/>
    <col min="14" max="14" width="25.625" style="20" customWidth="1"/>
    <col min="15" max="16" width="2.625" style="20" customWidth="1"/>
    <col min="17" max="19" width="0.875" style="20" customWidth="1"/>
    <col min="20" max="20" width="10.625" style="20" customWidth="1"/>
    <col min="21" max="21" width="25.625" style="20" customWidth="1"/>
    <col min="22" max="22" width="2.625" style="20"/>
    <col min="23" max="23" width="2.625" style="20" customWidth="1"/>
    <col min="24" max="26" width="0.875" style="20" customWidth="1"/>
    <col min="27" max="27" width="10.625" style="20" customWidth="1"/>
    <col min="28" max="28" width="25.625" style="20" customWidth="1"/>
    <col min="29" max="30" width="2.625" style="20" customWidth="1"/>
    <col min="31" max="33" width="0.875" style="20" customWidth="1"/>
    <col min="34" max="34" width="10.625" style="20" customWidth="1"/>
    <col min="35" max="35" width="25.625" style="20" customWidth="1"/>
    <col min="36" max="36" width="2.625" style="20" customWidth="1"/>
    <col min="37" max="37" width="2.625" style="20"/>
    <col min="38" max="40" width="0.875" style="20" customWidth="1"/>
    <col min="41" max="41" width="10.625" style="20" customWidth="1"/>
    <col min="42" max="42" width="25.625" style="20" customWidth="1"/>
    <col min="43" max="44" width="2.625" style="20" customWidth="1"/>
    <col min="45" max="47" width="0.875" style="20" customWidth="1"/>
    <col min="48" max="48" width="10.625" style="20" customWidth="1"/>
    <col min="49" max="49" width="25.625" style="20" customWidth="1"/>
    <col min="50" max="51" width="2.625" style="20" customWidth="1"/>
    <col min="52" max="54" width="0.875" style="20" customWidth="1"/>
    <col min="55" max="55" width="10.625" style="20" customWidth="1"/>
    <col min="56" max="56" width="25.625" style="20" customWidth="1"/>
    <col min="57" max="57" width="2.625" style="20"/>
    <col min="58" max="58" width="2.625" style="20" customWidth="1"/>
    <col min="59" max="61" width="0.875" style="20" customWidth="1"/>
    <col min="62" max="62" width="10.625" style="20" customWidth="1"/>
    <col min="63" max="63" width="25.625" style="20" customWidth="1"/>
    <col min="64" max="65" width="2.625" style="20" customWidth="1"/>
    <col min="66" max="68" width="0.875" style="20" customWidth="1"/>
    <col min="69" max="69" width="10.625" style="20" customWidth="1"/>
    <col min="70" max="70" width="25.625" style="20" customWidth="1"/>
    <col min="71" max="72" width="2.625" style="20" customWidth="1"/>
    <col min="73" max="75" width="0.875" style="20" customWidth="1"/>
    <col min="76" max="76" width="10.625" style="20" customWidth="1"/>
    <col min="77" max="77" width="25.625" style="20" customWidth="1"/>
    <col min="78" max="79" width="2.625" style="20" customWidth="1"/>
    <col min="80" max="82" width="0.875" style="20" customWidth="1"/>
    <col min="83" max="83" width="10.625" style="20" customWidth="1"/>
    <col min="84" max="84" width="25.625" style="20" customWidth="1"/>
    <col min="85" max="85" width="2.625" style="20" customWidth="1"/>
    <col min="86" max="86" width="2.625" style="20"/>
    <col min="87" max="89" width="0.875" style="20" customWidth="1"/>
    <col min="90" max="90" width="10.625" style="20" customWidth="1"/>
    <col min="91" max="91" width="25.625" style="20" customWidth="1"/>
    <col min="92" max="93" width="2.625" style="20"/>
    <col min="94" max="96" width="0.875" style="20" customWidth="1"/>
    <col min="97" max="97" width="10.625" style="20" customWidth="1"/>
    <col min="98" max="98" width="25.625" style="20" customWidth="1"/>
    <col min="99" max="100" width="2.625" style="20"/>
    <col min="101" max="103" width="0.875" style="20" customWidth="1"/>
    <col min="104" max="104" width="10.625" style="20" customWidth="1"/>
    <col min="105" max="105" width="25.625" style="20" customWidth="1"/>
    <col min="106" max="107" width="2.625" style="20"/>
    <col min="108" max="110" width="0.875" style="20" customWidth="1"/>
    <col min="111" max="111" width="10.625" style="20" customWidth="1"/>
    <col min="112" max="112" width="25.625" style="20" customWidth="1"/>
    <col min="113" max="114" width="2.625" style="20"/>
    <col min="115" max="117" width="0.875" style="20" customWidth="1"/>
    <col min="118" max="118" width="10.625" style="20" customWidth="1"/>
    <col min="119" max="119" width="25.625" style="20" customWidth="1"/>
    <col min="120" max="121" width="2.625" style="20"/>
    <col min="122" max="124" width="0.875" style="20" customWidth="1"/>
    <col min="125" max="125" width="10.625" style="20" customWidth="1"/>
    <col min="126" max="126" width="25.625" style="20" customWidth="1"/>
    <col min="127" max="16384" width="2.625" style="20"/>
  </cols>
  <sheetData>
    <row r="1" spans="1:126" ht="68.45" customHeight="1" thickBot="1">
      <c r="A1" s="236" t="s">
        <v>1553</v>
      </c>
      <c r="B1" s="237">
        <v>1</v>
      </c>
    </row>
    <row r="2" spans="1:126" ht="15" thickBot="1"/>
    <row r="3" spans="1:126" ht="15" thickBot="1">
      <c r="F3" s="60" t="s">
        <v>1631</v>
      </c>
      <c r="G3" s="60" t="s">
        <v>1587</v>
      </c>
      <c r="M3" s="60" t="s">
        <v>1631</v>
      </c>
      <c r="N3" s="60" t="s">
        <v>1587</v>
      </c>
      <c r="T3" s="60" t="s">
        <v>1631</v>
      </c>
      <c r="U3" s="60" t="s">
        <v>1587</v>
      </c>
      <c r="AA3" s="60" t="s">
        <v>1631</v>
      </c>
      <c r="AB3" s="60" t="s">
        <v>1587</v>
      </c>
      <c r="AH3" s="60" t="s">
        <v>1631</v>
      </c>
      <c r="AI3" s="60" t="s">
        <v>1587</v>
      </c>
      <c r="AO3" s="60" t="s">
        <v>1631</v>
      </c>
      <c r="AP3" s="60" t="s">
        <v>1587</v>
      </c>
      <c r="AV3" s="60" t="s">
        <v>1631</v>
      </c>
      <c r="AW3" s="60" t="s">
        <v>1587</v>
      </c>
      <c r="BC3" s="60" t="s">
        <v>1631</v>
      </c>
      <c r="BD3" s="60" t="s">
        <v>1587</v>
      </c>
      <c r="BJ3" s="60" t="s">
        <v>1631</v>
      </c>
      <c r="BK3" s="60" t="s">
        <v>1587</v>
      </c>
      <c r="BQ3" s="60" t="s">
        <v>1631</v>
      </c>
      <c r="BR3" s="60" t="s">
        <v>1587</v>
      </c>
      <c r="BX3" s="60" t="s">
        <v>1631</v>
      </c>
      <c r="BY3" s="60" t="s">
        <v>1587</v>
      </c>
      <c r="CE3" s="60" t="s">
        <v>1631</v>
      </c>
      <c r="CF3" s="60" t="s">
        <v>1587</v>
      </c>
      <c r="CL3" s="60" t="s">
        <v>1631</v>
      </c>
      <c r="CM3" s="60" t="s">
        <v>1587</v>
      </c>
      <c r="CS3" s="60" t="s">
        <v>1631</v>
      </c>
      <c r="CT3" s="60" t="s">
        <v>1587</v>
      </c>
      <c r="CZ3" s="60" t="s">
        <v>1631</v>
      </c>
      <c r="DA3" s="60" t="s">
        <v>1587</v>
      </c>
      <c r="DG3" s="60" t="s">
        <v>1631</v>
      </c>
      <c r="DH3" s="60" t="s">
        <v>1587</v>
      </c>
      <c r="DN3" s="60" t="s">
        <v>1631</v>
      </c>
      <c r="DO3" s="60" t="s">
        <v>1587</v>
      </c>
      <c r="DU3" s="60" t="s">
        <v>1631</v>
      </c>
      <c r="DV3" s="60" t="s">
        <v>1587</v>
      </c>
    </row>
    <row r="4" spans="1:126">
      <c r="F4" s="64" t="s">
        <v>709</v>
      </c>
      <c r="G4" s="97" t="s">
        <v>708</v>
      </c>
      <c r="M4" s="64" t="s">
        <v>709</v>
      </c>
      <c r="N4" s="97" t="s">
        <v>708</v>
      </c>
      <c r="T4" s="64" t="s">
        <v>709</v>
      </c>
      <c r="U4" s="97" t="s">
        <v>708</v>
      </c>
      <c r="AA4" s="64" t="s">
        <v>709</v>
      </c>
      <c r="AB4" s="97" t="s">
        <v>708</v>
      </c>
      <c r="AH4" s="64" t="s">
        <v>709</v>
      </c>
      <c r="AI4" s="97" t="s">
        <v>710</v>
      </c>
      <c r="AO4" s="64" t="s">
        <v>709</v>
      </c>
      <c r="AP4" s="97" t="s">
        <v>710</v>
      </c>
      <c r="AV4" s="64" t="s">
        <v>709</v>
      </c>
      <c r="AW4" s="97" t="s">
        <v>710</v>
      </c>
      <c r="BC4" s="64" t="s">
        <v>709</v>
      </c>
      <c r="BD4" s="97" t="s">
        <v>708</v>
      </c>
      <c r="BJ4" s="64" t="s">
        <v>709</v>
      </c>
      <c r="BK4" s="97" t="s">
        <v>708</v>
      </c>
      <c r="BQ4" s="64" t="s">
        <v>709</v>
      </c>
      <c r="BR4" s="97" t="s">
        <v>708</v>
      </c>
      <c r="BX4" s="64" t="s">
        <v>709</v>
      </c>
      <c r="BY4" s="97" t="s">
        <v>708</v>
      </c>
      <c r="CE4" s="64" t="s">
        <v>709</v>
      </c>
      <c r="CF4" s="97" t="s">
        <v>708</v>
      </c>
      <c r="CL4" s="64" t="s">
        <v>709</v>
      </c>
      <c r="CM4" s="97" t="s">
        <v>708</v>
      </c>
      <c r="CS4" s="64" t="s">
        <v>709</v>
      </c>
      <c r="CT4" s="97" t="s">
        <v>708</v>
      </c>
      <c r="CZ4" s="64" t="s">
        <v>709</v>
      </c>
      <c r="DA4" s="97" t="s">
        <v>710</v>
      </c>
      <c r="DG4" s="64" t="s">
        <v>709</v>
      </c>
      <c r="DH4" s="97" t="s">
        <v>710</v>
      </c>
      <c r="DN4" s="64" t="s">
        <v>709</v>
      </c>
      <c r="DO4" s="97" t="s">
        <v>710</v>
      </c>
      <c r="DU4" s="64" t="s">
        <v>709</v>
      </c>
      <c r="DV4" s="97" t="s">
        <v>710</v>
      </c>
    </row>
    <row r="5" spans="1:126">
      <c r="F5" s="64" t="s">
        <v>223</v>
      </c>
      <c r="G5" s="98" t="s">
        <v>1628</v>
      </c>
      <c r="M5" s="64" t="s">
        <v>223</v>
      </c>
      <c r="N5" s="98" t="s">
        <v>1628</v>
      </c>
      <c r="T5" s="64" t="s">
        <v>223</v>
      </c>
      <c r="U5" s="98" t="s">
        <v>1628</v>
      </c>
      <c r="AA5" s="64" t="s">
        <v>223</v>
      </c>
      <c r="AB5" s="98" t="s">
        <v>1628</v>
      </c>
      <c r="AH5" s="64" t="s">
        <v>223</v>
      </c>
      <c r="AI5" s="98" t="s">
        <v>1628</v>
      </c>
      <c r="AO5" s="64" t="s">
        <v>223</v>
      </c>
      <c r="AP5" s="98" t="s">
        <v>1628</v>
      </c>
      <c r="AV5" s="64" t="s">
        <v>223</v>
      </c>
      <c r="AW5" s="98" t="s">
        <v>1628</v>
      </c>
      <c r="BC5" s="64" t="s">
        <v>223</v>
      </c>
      <c r="BD5" s="98" t="s">
        <v>1628</v>
      </c>
      <c r="BJ5" s="64" t="s">
        <v>223</v>
      </c>
      <c r="BK5" s="98" t="s">
        <v>1640</v>
      </c>
      <c r="BQ5" s="64" t="s">
        <v>223</v>
      </c>
      <c r="BR5" s="98" t="s">
        <v>1640</v>
      </c>
      <c r="BX5" s="64" t="s">
        <v>223</v>
      </c>
      <c r="BY5" s="98" t="s">
        <v>1640</v>
      </c>
      <c r="CE5" s="64" t="s">
        <v>223</v>
      </c>
      <c r="CF5" s="98" t="s">
        <v>1640</v>
      </c>
      <c r="CL5" s="64" t="s">
        <v>223</v>
      </c>
      <c r="CM5" s="98" t="s">
        <v>1640</v>
      </c>
      <c r="CS5" s="64" t="s">
        <v>223</v>
      </c>
      <c r="CT5" s="98" t="s">
        <v>1640</v>
      </c>
      <c r="CZ5" s="64" t="s">
        <v>223</v>
      </c>
      <c r="DA5" s="98" t="s">
        <v>1640</v>
      </c>
      <c r="DG5" s="64" t="s">
        <v>223</v>
      </c>
      <c r="DH5" s="98" t="s">
        <v>1640</v>
      </c>
      <c r="DN5" s="64" t="s">
        <v>223</v>
      </c>
      <c r="DO5" s="98" t="s">
        <v>1640</v>
      </c>
      <c r="DU5" s="64" t="s">
        <v>223</v>
      </c>
      <c r="DV5" s="98" t="s">
        <v>1640</v>
      </c>
    </row>
    <row r="6" spans="1:126">
      <c r="F6" s="64" t="s">
        <v>1552</v>
      </c>
      <c r="G6" s="98" t="s">
        <v>1641</v>
      </c>
      <c r="M6" s="64" t="s">
        <v>1552</v>
      </c>
      <c r="N6" s="98" t="s">
        <v>1642</v>
      </c>
      <c r="T6" s="64" t="s">
        <v>1552</v>
      </c>
      <c r="U6" s="98" t="s">
        <v>1643</v>
      </c>
      <c r="AA6" s="64" t="s">
        <v>1552</v>
      </c>
      <c r="AB6" s="98" t="s">
        <v>1644</v>
      </c>
      <c r="AH6" s="64" t="s">
        <v>1552</v>
      </c>
      <c r="AI6" s="98" t="s">
        <v>1645</v>
      </c>
      <c r="AO6" s="64" t="s">
        <v>1552</v>
      </c>
      <c r="AP6" s="98" t="s">
        <v>1646</v>
      </c>
      <c r="AV6" s="64" t="s">
        <v>1552</v>
      </c>
      <c r="AW6" s="98" t="s">
        <v>1647</v>
      </c>
      <c r="BC6" s="64" t="s">
        <v>1552</v>
      </c>
      <c r="BD6" s="98" t="s">
        <v>1648</v>
      </c>
      <c r="BJ6" s="64" t="s">
        <v>1552</v>
      </c>
      <c r="BK6" s="98" t="s">
        <v>214</v>
      </c>
      <c r="BQ6" s="64" t="s">
        <v>1552</v>
      </c>
      <c r="BR6" s="98" t="s">
        <v>1649</v>
      </c>
      <c r="BX6" s="64" t="s">
        <v>1552</v>
      </c>
      <c r="BY6" s="98" t="s">
        <v>1641</v>
      </c>
      <c r="CE6" s="64" t="s">
        <v>1552</v>
      </c>
      <c r="CF6" s="98" t="s">
        <v>1642</v>
      </c>
      <c r="CL6" s="64" t="s">
        <v>1552</v>
      </c>
      <c r="CM6" s="98" t="s">
        <v>1643</v>
      </c>
      <c r="CS6" s="64" t="s">
        <v>1552</v>
      </c>
      <c r="CT6" s="98" t="s">
        <v>1644</v>
      </c>
      <c r="CZ6" s="64" t="s">
        <v>1552</v>
      </c>
      <c r="DA6" s="98" t="s">
        <v>1645</v>
      </c>
      <c r="DG6" s="64" t="s">
        <v>1552</v>
      </c>
      <c r="DH6" s="98" t="s">
        <v>1646</v>
      </c>
      <c r="DN6" s="64" t="s">
        <v>1552</v>
      </c>
      <c r="DO6" s="98" t="s">
        <v>1647</v>
      </c>
      <c r="DU6" s="64" t="s">
        <v>1552</v>
      </c>
      <c r="DV6" s="98" t="s">
        <v>1648</v>
      </c>
    </row>
    <row r="7" spans="1:126">
      <c r="F7" s="64" t="s">
        <v>732</v>
      </c>
      <c r="G7" s="186" t="s">
        <v>1558</v>
      </c>
      <c r="M7" s="64" t="s">
        <v>732</v>
      </c>
      <c r="N7" s="186" t="s">
        <v>1558</v>
      </c>
      <c r="T7" s="64" t="s">
        <v>732</v>
      </c>
      <c r="U7" s="186" t="s">
        <v>1558</v>
      </c>
      <c r="AA7" s="64" t="s">
        <v>732</v>
      </c>
      <c r="AB7" s="186" t="s">
        <v>1558</v>
      </c>
      <c r="AH7" s="64" t="s">
        <v>732</v>
      </c>
      <c r="AI7" s="186" t="s">
        <v>1558</v>
      </c>
      <c r="AO7" s="64" t="s">
        <v>732</v>
      </c>
      <c r="AP7" s="186" t="s">
        <v>1558</v>
      </c>
      <c r="AV7" s="64" t="s">
        <v>732</v>
      </c>
      <c r="AW7" s="186" t="s">
        <v>1558</v>
      </c>
      <c r="BC7" s="64" t="s">
        <v>732</v>
      </c>
      <c r="BD7" s="186" t="s">
        <v>1558</v>
      </c>
      <c r="BJ7" s="64" t="s">
        <v>732</v>
      </c>
      <c r="BK7" s="186" t="s">
        <v>1558</v>
      </c>
      <c r="BQ7" s="64" t="s">
        <v>732</v>
      </c>
      <c r="BR7" s="186" t="s">
        <v>1558</v>
      </c>
      <c r="BX7" s="64" t="s">
        <v>732</v>
      </c>
      <c r="BY7" s="186" t="s">
        <v>1558</v>
      </c>
      <c r="CE7" s="64" t="s">
        <v>732</v>
      </c>
      <c r="CF7" s="186" t="s">
        <v>1558</v>
      </c>
      <c r="CL7" s="64" t="s">
        <v>732</v>
      </c>
      <c r="CM7" s="186" t="s">
        <v>1558</v>
      </c>
      <c r="CS7" s="64" t="s">
        <v>732</v>
      </c>
      <c r="CT7" s="186" t="s">
        <v>1558</v>
      </c>
      <c r="CZ7" s="64" t="s">
        <v>732</v>
      </c>
      <c r="DA7" s="186" t="s">
        <v>1558</v>
      </c>
      <c r="DG7" s="64" t="s">
        <v>732</v>
      </c>
      <c r="DH7" s="186" t="s">
        <v>1558</v>
      </c>
      <c r="DN7" s="64" t="s">
        <v>732</v>
      </c>
      <c r="DO7" s="186" t="s">
        <v>1558</v>
      </c>
      <c r="DU7" s="64" t="s">
        <v>732</v>
      </c>
      <c r="DV7" s="186" t="s">
        <v>1558</v>
      </c>
    </row>
    <row r="8" spans="1:126">
      <c r="B8" s="64" t="s">
        <v>712</v>
      </c>
      <c r="C8" s="64" t="s">
        <v>1597</v>
      </c>
      <c r="D8" s="64" t="s">
        <v>1598</v>
      </c>
      <c r="E8" s="64" t="s">
        <v>1594</v>
      </c>
      <c r="F8" s="64" t="s">
        <v>1416</v>
      </c>
      <c r="G8" s="64" t="s">
        <v>756</v>
      </c>
      <c r="I8" s="64" t="s">
        <v>712</v>
      </c>
      <c r="J8" s="64" t="s">
        <v>1597</v>
      </c>
      <c r="K8" s="64" t="s">
        <v>1598</v>
      </c>
      <c r="L8" s="64" t="s">
        <v>1594</v>
      </c>
      <c r="M8" s="64" t="s">
        <v>1416</v>
      </c>
      <c r="N8" s="64" t="s">
        <v>756</v>
      </c>
      <c r="P8" s="64" t="s">
        <v>712</v>
      </c>
      <c r="Q8" s="64" t="s">
        <v>1597</v>
      </c>
      <c r="R8" s="64" t="s">
        <v>1598</v>
      </c>
      <c r="S8" s="64" t="s">
        <v>1594</v>
      </c>
      <c r="T8" s="64" t="s">
        <v>1416</v>
      </c>
      <c r="U8" s="64" t="s">
        <v>756</v>
      </c>
      <c r="W8" s="64" t="s">
        <v>712</v>
      </c>
      <c r="X8" s="64" t="s">
        <v>1597</v>
      </c>
      <c r="Y8" s="64" t="s">
        <v>1598</v>
      </c>
      <c r="Z8" s="64" t="s">
        <v>1594</v>
      </c>
      <c r="AA8" s="64" t="s">
        <v>1416</v>
      </c>
      <c r="AB8" s="64" t="s">
        <v>756</v>
      </c>
      <c r="AD8" s="64" t="s">
        <v>712</v>
      </c>
      <c r="AE8" s="64" t="s">
        <v>1597</v>
      </c>
      <c r="AF8" s="64" t="s">
        <v>1598</v>
      </c>
      <c r="AG8" s="64" t="s">
        <v>1594</v>
      </c>
      <c r="AH8" s="64" t="s">
        <v>1416</v>
      </c>
      <c r="AI8" s="64" t="s">
        <v>756</v>
      </c>
      <c r="AK8" s="64" t="s">
        <v>712</v>
      </c>
      <c r="AL8" s="64" t="s">
        <v>1597</v>
      </c>
      <c r="AM8" s="64" t="s">
        <v>1598</v>
      </c>
      <c r="AN8" s="64" t="s">
        <v>1594</v>
      </c>
      <c r="AO8" s="64" t="s">
        <v>1416</v>
      </c>
      <c r="AP8" s="64" t="s">
        <v>756</v>
      </c>
      <c r="AR8" s="64" t="s">
        <v>712</v>
      </c>
      <c r="AS8" s="64" t="s">
        <v>1597</v>
      </c>
      <c r="AT8" s="64" t="s">
        <v>1598</v>
      </c>
      <c r="AU8" s="64" t="s">
        <v>1594</v>
      </c>
      <c r="AV8" s="64" t="s">
        <v>1416</v>
      </c>
      <c r="AW8" s="64" t="s">
        <v>756</v>
      </c>
      <c r="AY8" s="64" t="s">
        <v>712</v>
      </c>
      <c r="AZ8" s="64" t="s">
        <v>1597</v>
      </c>
      <c r="BA8" s="64" t="s">
        <v>1598</v>
      </c>
      <c r="BB8" s="64" t="s">
        <v>1594</v>
      </c>
      <c r="BC8" s="64" t="s">
        <v>1416</v>
      </c>
      <c r="BD8" s="64" t="s">
        <v>756</v>
      </c>
      <c r="BF8" s="64" t="s">
        <v>712</v>
      </c>
      <c r="BG8" s="64" t="s">
        <v>1597</v>
      </c>
      <c r="BH8" s="64" t="s">
        <v>1598</v>
      </c>
      <c r="BI8" s="64" t="s">
        <v>1594</v>
      </c>
      <c r="BJ8" s="64" t="s">
        <v>1416</v>
      </c>
      <c r="BK8" s="64" t="s">
        <v>756</v>
      </c>
      <c r="BM8" s="64" t="s">
        <v>712</v>
      </c>
      <c r="BN8" s="64" t="s">
        <v>1597</v>
      </c>
      <c r="BO8" s="64" t="s">
        <v>1598</v>
      </c>
      <c r="BP8" s="64" t="s">
        <v>1594</v>
      </c>
      <c r="BQ8" s="64" t="s">
        <v>1416</v>
      </c>
      <c r="BR8" s="64" t="s">
        <v>756</v>
      </c>
      <c r="BT8" s="64" t="s">
        <v>712</v>
      </c>
      <c r="BU8" s="64" t="s">
        <v>1597</v>
      </c>
      <c r="BV8" s="64" t="s">
        <v>1598</v>
      </c>
      <c r="BW8" s="64" t="s">
        <v>1594</v>
      </c>
      <c r="BX8" s="64" t="s">
        <v>1416</v>
      </c>
      <c r="BY8" s="64" t="s">
        <v>756</v>
      </c>
      <c r="CA8" s="64" t="s">
        <v>712</v>
      </c>
      <c r="CB8" s="64" t="s">
        <v>1597</v>
      </c>
      <c r="CC8" s="64" t="s">
        <v>1598</v>
      </c>
      <c r="CD8" s="64" t="s">
        <v>1594</v>
      </c>
      <c r="CE8" s="64" t="s">
        <v>1416</v>
      </c>
      <c r="CF8" s="64" t="s">
        <v>756</v>
      </c>
      <c r="CH8" s="64" t="s">
        <v>712</v>
      </c>
      <c r="CI8" s="64" t="s">
        <v>1597</v>
      </c>
      <c r="CJ8" s="64" t="s">
        <v>1598</v>
      </c>
      <c r="CK8" s="64" t="s">
        <v>1594</v>
      </c>
      <c r="CL8" s="64" t="s">
        <v>1416</v>
      </c>
      <c r="CM8" s="64" t="s">
        <v>756</v>
      </c>
      <c r="CO8" s="64" t="s">
        <v>712</v>
      </c>
      <c r="CP8" s="64" t="s">
        <v>1597</v>
      </c>
      <c r="CQ8" s="64" t="s">
        <v>1598</v>
      </c>
      <c r="CR8" s="64" t="s">
        <v>1594</v>
      </c>
      <c r="CS8" s="64" t="s">
        <v>1416</v>
      </c>
      <c r="CT8" s="64" t="s">
        <v>756</v>
      </c>
      <c r="CV8" s="64" t="s">
        <v>712</v>
      </c>
      <c r="CW8" s="64" t="s">
        <v>1597</v>
      </c>
      <c r="CX8" s="64" t="s">
        <v>1598</v>
      </c>
      <c r="CY8" s="64" t="s">
        <v>1594</v>
      </c>
      <c r="CZ8" s="64" t="s">
        <v>1416</v>
      </c>
      <c r="DA8" s="64" t="s">
        <v>756</v>
      </c>
      <c r="DC8" s="64" t="s">
        <v>712</v>
      </c>
      <c r="DD8" s="64" t="s">
        <v>1597</v>
      </c>
      <c r="DE8" s="64" t="s">
        <v>1598</v>
      </c>
      <c r="DF8" s="64" t="s">
        <v>1594</v>
      </c>
      <c r="DG8" s="64" t="s">
        <v>1416</v>
      </c>
      <c r="DH8" s="64" t="s">
        <v>756</v>
      </c>
      <c r="DJ8" s="64" t="s">
        <v>712</v>
      </c>
      <c r="DK8" s="64" t="s">
        <v>1597</v>
      </c>
      <c r="DL8" s="64" t="s">
        <v>1598</v>
      </c>
      <c r="DM8" s="64" t="s">
        <v>1594</v>
      </c>
      <c r="DN8" s="64" t="s">
        <v>1416</v>
      </c>
      <c r="DO8" s="64" t="s">
        <v>756</v>
      </c>
      <c r="DQ8" s="64" t="s">
        <v>712</v>
      </c>
      <c r="DR8" s="64" t="s">
        <v>1597</v>
      </c>
      <c r="DS8" s="64" t="s">
        <v>1598</v>
      </c>
      <c r="DT8" s="64" t="s">
        <v>1594</v>
      </c>
      <c r="DU8" s="64" t="s">
        <v>1416</v>
      </c>
      <c r="DV8" s="64" t="s">
        <v>756</v>
      </c>
    </row>
    <row r="9" spans="1:126">
      <c r="B9" s="97" t="s">
        <v>1611</v>
      </c>
      <c r="C9" s="229"/>
      <c r="D9" s="230"/>
      <c r="E9" s="245"/>
      <c r="F9" s="97" t="s">
        <v>1414</v>
      </c>
      <c r="G9" s="97" t="s">
        <v>826</v>
      </c>
      <c r="I9" s="97" t="s">
        <v>1611</v>
      </c>
      <c r="J9" s="231"/>
      <c r="K9" s="230"/>
      <c r="L9" s="245"/>
      <c r="M9" s="97" t="s">
        <v>1414</v>
      </c>
      <c r="N9" s="97" t="s">
        <v>816</v>
      </c>
      <c r="P9" s="97" t="s">
        <v>1611</v>
      </c>
      <c r="Q9" s="230"/>
      <c r="R9" s="230"/>
      <c r="S9" s="245"/>
      <c r="T9" s="97" t="s">
        <v>1414</v>
      </c>
      <c r="U9" s="97" t="s">
        <v>783</v>
      </c>
      <c r="W9" s="97" t="s">
        <v>1611</v>
      </c>
      <c r="X9" s="230"/>
      <c r="Y9" s="230"/>
      <c r="Z9" s="245"/>
      <c r="AA9" s="97" t="s">
        <v>1414</v>
      </c>
      <c r="AB9" s="97" t="s">
        <v>781</v>
      </c>
      <c r="AD9" s="97" t="s">
        <v>1611</v>
      </c>
      <c r="AE9" s="231"/>
      <c r="AF9" s="230"/>
      <c r="AG9" s="246"/>
      <c r="AH9" s="97" t="s">
        <v>1415</v>
      </c>
      <c r="AI9" s="97" t="s">
        <v>921</v>
      </c>
      <c r="AK9" s="97" t="s">
        <v>1611</v>
      </c>
      <c r="AL9" s="230"/>
      <c r="AM9" s="230"/>
      <c r="AN9" s="246"/>
      <c r="AO9" s="97" t="s">
        <v>1415</v>
      </c>
      <c r="AP9" s="97" t="s">
        <v>849</v>
      </c>
      <c r="AR9" s="97" t="s">
        <v>1611</v>
      </c>
      <c r="AS9" s="230"/>
      <c r="AT9" s="230"/>
      <c r="AU9" s="246"/>
      <c r="AV9" s="97" t="s">
        <v>1415</v>
      </c>
      <c r="AW9" s="97" t="s">
        <v>787</v>
      </c>
      <c r="AY9" s="97" t="s">
        <v>1611</v>
      </c>
      <c r="AZ9" s="230"/>
      <c r="BA9" s="230"/>
      <c r="BB9" s="245"/>
      <c r="BC9" s="97" t="s">
        <v>1414</v>
      </c>
      <c r="BD9" s="97" t="s">
        <v>801</v>
      </c>
      <c r="BF9" s="97" t="s">
        <v>1611</v>
      </c>
      <c r="BG9" s="230"/>
      <c r="BH9" s="230"/>
      <c r="BI9" s="245"/>
      <c r="BJ9" s="97" t="s">
        <v>1414</v>
      </c>
      <c r="BK9" s="97" t="s">
        <v>796</v>
      </c>
      <c r="BM9" s="97" t="s">
        <v>1611</v>
      </c>
      <c r="BN9" s="230"/>
      <c r="BO9" s="230"/>
      <c r="BP9" s="245"/>
      <c r="BQ9" s="97" t="s">
        <v>1414</v>
      </c>
      <c r="BR9" s="97" t="s">
        <v>775</v>
      </c>
      <c r="BT9" s="97" t="s">
        <v>1611</v>
      </c>
      <c r="BU9" s="230"/>
      <c r="BV9" s="230"/>
      <c r="BW9" s="245"/>
      <c r="BX9" s="97" t="s">
        <v>1414</v>
      </c>
      <c r="BY9" s="97" t="s">
        <v>775</v>
      </c>
      <c r="CA9" s="97" t="s">
        <v>1611</v>
      </c>
      <c r="CB9" s="232"/>
      <c r="CC9" s="232"/>
      <c r="CD9" s="245"/>
      <c r="CE9" s="97" t="s">
        <v>1414</v>
      </c>
      <c r="CF9" s="97"/>
      <c r="CH9" s="97" t="s">
        <v>1611</v>
      </c>
      <c r="CI9" s="232"/>
      <c r="CJ9" s="232"/>
      <c r="CK9" s="245"/>
      <c r="CL9" s="97" t="s">
        <v>1414</v>
      </c>
      <c r="CM9" s="97"/>
      <c r="CO9" s="97" t="s">
        <v>1611</v>
      </c>
      <c r="CP9" s="232"/>
      <c r="CQ9" s="232"/>
      <c r="CR9" s="245"/>
      <c r="CS9" s="97" t="s">
        <v>1414</v>
      </c>
      <c r="CT9" s="97" t="s">
        <v>1677</v>
      </c>
      <c r="CV9" s="97" t="s">
        <v>1611</v>
      </c>
      <c r="CW9" s="230"/>
      <c r="CX9" s="230"/>
      <c r="CY9" s="246"/>
      <c r="CZ9" s="97" t="s">
        <v>1415</v>
      </c>
      <c r="DA9" s="97" t="s">
        <v>795</v>
      </c>
      <c r="DC9" s="97" t="s">
        <v>1611</v>
      </c>
      <c r="DD9" s="230"/>
      <c r="DE9" s="230"/>
      <c r="DF9" s="246"/>
      <c r="DG9" s="97" t="s">
        <v>1415</v>
      </c>
      <c r="DH9" s="97" t="s">
        <v>777</v>
      </c>
      <c r="DJ9" s="97" t="s">
        <v>1611</v>
      </c>
      <c r="DK9" s="230"/>
      <c r="DL9" s="230"/>
      <c r="DM9" s="246"/>
      <c r="DN9" s="97" t="s">
        <v>1415</v>
      </c>
      <c r="DO9" s="97" t="s">
        <v>772</v>
      </c>
      <c r="DQ9" s="97" t="s">
        <v>1611</v>
      </c>
      <c r="DR9" s="230"/>
      <c r="DS9" s="230"/>
      <c r="DT9" s="246"/>
      <c r="DU9" s="97" t="s">
        <v>1415</v>
      </c>
      <c r="DV9" s="97" t="s">
        <v>819</v>
      </c>
    </row>
    <row r="10" spans="1:126">
      <c r="B10" s="97" t="s">
        <v>1612</v>
      </c>
      <c r="C10" s="229"/>
      <c r="D10" s="230"/>
      <c r="E10" s="245"/>
      <c r="F10" s="97" t="s">
        <v>1414</v>
      </c>
      <c r="G10" s="97" t="s">
        <v>931</v>
      </c>
      <c r="I10" s="97" t="s">
        <v>1612</v>
      </c>
      <c r="J10" s="231"/>
      <c r="K10" s="230"/>
      <c r="L10" s="245"/>
      <c r="M10" s="97" t="s">
        <v>1414</v>
      </c>
      <c r="N10" s="97" t="s">
        <v>898</v>
      </c>
      <c r="P10" s="97" t="s">
        <v>1612</v>
      </c>
      <c r="Q10" s="230"/>
      <c r="R10" s="230"/>
      <c r="S10" s="245"/>
      <c r="T10" s="97" t="s">
        <v>1414</v>
      </c>
      <c r="U10" s="97" t="s">
        <v>784</v>
      </c>
      <c r="W10" s="97" t="s">
        <v>1612</v>
      </c>
      <c r="X10" s="230"/>
      <c r="Y10" s="230"/>
      <c r="Z10" s="245"/>
      <c r="AA10" s="97" t="s">
        <v>1414</v>
      </c>
      <c r="AB10" s="97" t="s">
        <v>782</v>
      </c>
      <c r="AD10" s="97" t="s">
        <v>1612</v>
      </c>
      <c r="AE10" s="231"/>
      <c r="AF10" s="230"/>
      <c r="AG10" s="246"/>
      <c r="AH10" s="97" t="s">
        <v>1415</v>
      </c>
      <c r="AI10" s="97" t="s">
        <v>922</v>
      </c>
      <c r="AK10" s="97" t="s">
        <v>1612</v>
      </c>
      <c r="AL10" s="230"/>
      <c r="AM10" s="230"/>
      <c r="AN10" s="246"/>
      <c r="AO10" s="97" t="s">
        <v>1415</v>
      </c>
      <c r="AP10" s="97" t="s">
        <v>849</v>
      </c>
      <c r="AR10" s="97" t="s">
        <v>1612</v>
      </c>
      <c r="AS10" s="230"/>
      <c r="AT10" s="230"/>
      <c r="AU10" s="246"/>
      <c r="AV10" s="97" t="s">
        <v>1415</v>
      </c>
      <c r="AW10" s="97" t="s">
        <v>487</v>
      </c>
      <c r="AY10" s="97" t="s">
        <v>1612</v>
      </c>
      <c r="AZ10" s="230"/>
      <c r="BA10" s="230"/>
      <c r="BB10" s="245"/>
      <c r="BC10" s="97" t="s">
        <v>1414</v>
      </c>
      <c r="BD10" s="97" t="s">
        <v>1698</v>
      </c>
      <c r="BF10" s="97" t="s">
        <v>1612</v>
      </c>
      <c r="BG10" s="230"/>
      <c r="BH10" s="230"/>
      <c r="BI10" s="245"/>
      <c r="BJ10" s="97" t="s">
        <v>1414</v>
      </c>
      <c r="BK10" s="97" t="s">
        <v>797</v>
      </c>
      <c r="BM10" s="97" t="s">
        <v>1612</v>
      </c>
      <c r="BN10" s="230"/>
      <c r="BO10" s="230"/>
      <c r="BP10" s="245"/>
      <c r="BQ10" s="97" t="s">
        <v>1414</v>
      </c>
      <c r="BR10" s="97" t="s">
        <v>776</v>
      </c>
      <c r="BT10" s="97" t="s">
        <v>1612</v>
      </c>
      <c r="BU10" s="230"/>
      <c r="BV10" s="230"/>
      <c r="BW10" s="245"/>
      <c r="BX10" s="97" t="s">
        <v>1414</v>
      </c>
      <c r="BY10" s="97" t="s">
        <v>776</v>
      </c>
      <c r="CA10" s="97" t="s">
        <v>1612</v>
      </c>
      <c r="CB10" s="232"/>
      <c r="CC10" s="232"/>
      <c r="CD10" s="245"/>
      <c r="CE10" s="97" t="s">
        <v>1414</v>
      </c>
      <c r="CF10" s="97"/>
      <c r="CH10" s="97" t="s">
        <v>1612</v>
      </c>
      <c r="CI10" s="232"/>
      <c r="CJ10" s="232"/>
      <c r="CK10" s="245"/>
      <c r="CL10" s="97" t="s">
        <v>1414</v>
      </c>
      <c r="CM10" s="97"/>
      <c r="CO10" s="97" t="s">
        <v>1612</v>
      </c>
      <c r="CP10" s="232"/>
      <c r="CQ10" s="232"/>
      <c r="CR10" s="245"/>
      <c r="CS10" s="97" t="s">
        <v>1414</v>
      </c>
      <c r="CT10" s="97" t="s">
        <v>1678</v>
      </c>
      <c r="CV10" s="97" t="s">
        <v>1612</v>
      </c>
      <c r="CW10" s="230"/>
      <c r="CX10" s="230"/>
      <c r="CY10" s="246"/>
      <c r="CZ10" s="97" t="s">
        <v>1415</v>
      </c>
      <c r="DA10" s="97" t="s">
        <v>804</v>
      </c>
      <c r="DC10" s="97" t="s">
        <v>1612</v>
      </c>
      <c r="DD10" s="230"/>
      <c r="DE10" s="230"/>
      <c r="DF10" s="246"/>
      <c r="DG10" s="97" t="s">
        <v>1415</v>
      </c>
      <c r="DH10" s="97" t="s">
        <v>777</v>
      </c>
      <c r="DJ10" s="97" t="s">
        <v>1612</v>
      </c>
      <c r="DK10" s="230"/>
      <c r="DL10" s="230"/>
      <c r="DM10" s="246"/>
      <c r="DN10" s="97" t="s">
        <v>1415</v>
      </c>
      <c r="DO10" s="97" t="s">
        <v>772</v>
      </c>
      <c r="DQ10" s="97" t="s">
        <v>1612</v>
      </c>
      <c r="DR10" s="230"/>
      <c r="DS10" s="230"/>
      <c r="DT10" s="246"/>
      <c r="DU10" s="97" t="s">
        <v>1415</v>
      </c>
      <c r="DV10" s="97" t="s">
        <v>831</v>
      </c>
    </row>
    <row r="11" spans="1:126">
      <c r="B11" s="97" t="s">
        <v>1613</v>
      </c>
      <c r="C11" s="231"/>
      <c r="D11" s="230"/>
      <c r="E11" s="245"/>
      <c r="F11" s="97" t="s">
        <v>1414</v>
      </c>
      <c r="G11" s="97" t="s">
        <v>909</v>
      </c>
      <c r="I11" s="97" t="s">
        <v>1613</v>
      </c>
      <c r="J11" s="229"/>
      <c r="K11" s="230"/>
      <c r="L11" s="245"/>
      <c r="M11" s="97" t="s">
        <v>1414</v>
      </c>
      <c r="N11" s="97" t="s">
        <v>854</v>
      </c>
      <c r="P11" s="97" t="s">
        <v>1613</v>
      </c>
      <c r="Q11" s="230"/>
      <c r="R11" s="230"/>
      <c r="S11" s="245"/>
      <c r="T11" s="97" t="s">
        <v>1414</v>
      </c>
      <c r="U11" s="97" t="s">
        <v>779</v>
      </c>
      <c r="W11" s="97" t="s">
        <v>1613</v>
      </c>
      <c r="X11" s="230"/>
      <c r="Y11" s="230"/>
      <c r="Z11" s="245"/>
      <c r="AA11" s="97" t="s">
        <v>1414</v>
      </c>
      <c r="AB11" s="97" t="s">
        <v>783</v>
      </c>
      <c r="AD11" s="97" t="s">
        <v>1613</v>
      </c>
      <c r="AE11" s="231"/>
      <c r="AF11" s="230"/>
      <c r="AG11" s="246"/>
      <c r="AH11" s="97" t="s">
        <v>1415</v>
      </c>
      <c r="AI11" s="97" t="s">
        <v>923</v>
      </c>
      <c r="AK11" s="97" t="s">
        <v>1613</v>
      </c>
      <c r="AL11" s="230"/>
      <c r="AM11" s="230"/>
      <c r="AN11" s="246"/>
      <c r="AO11" s="97" t="s">
        <v>1415</v>
      </c>
      <c r="AP11" s="97" t="s">
        <v>849</v>
      </c>
      <c r="AR11" s="97" t="s">
        <v>1613</v>
      </c>
      <c r="AS11" s="230"/>
      <c r="AT11" s="230"/>
      <c r="AU11" s="246"/>
      <c r="AV11" s="97" t="s">
        <v>1415</v>
      </c>
      <c r="AW11" s="97" t="s">
        <v>816</v>
      </c>
      <c r="AY11" s="97" t="s">
        <v>1613</v>
      </c>
      <c r="AZ11" s="230"/>
      <c r="BA11" s="230"/>
      <c r="BB11" s="245"/>
      <c r="BC11" s="97" t="s">
        <v>1414</v>
      </c>
      <c r="BD11" s="97" t="s">
        <v>798</v>
      </c>
      <c r="BF11" s="97" t="s">
        <v>1613</v>
      </c>
      <c r="BG11" s="230"/>
      <c r="BH11" s="230"/>
      <c r="BI11" s="245"/>
      <c r="BJ11" s="97" t="s">
        <v>1414</v>
      </c>
      <c r="BK11" s="97" t="s">
        <v>800</v>
      </c>
      <c r="BM11" s="97" t="s">
        <v>1613</v>
      </c>
      <c r="BN11" s="230"/>
      <c r="BO11" s="230"/>
      <c r="BP11" s="245"/>
      <c r="BQ11" s="97" t="s">
        <v>1414</v>
      </c>
      <c r="BR11" s="97" t="s">
        <v>775</v>
      </c>
      <c r="BT11" s="97" t="s">
        <v>1613</v>
      </c>
      <c r="BU11" s="230"/>
      <c r="BV11" s="230"/>
      <c r="BW11" s="245"/>
      <c r="BX11" s="97" t="s">
        <v>1414</v>
      </c>
      <c r="BY11" s="97" t="s">
        <v>775</v>
      </c>
      <c r="CA11" s="97" t="s">
        <v>1613</v>
      </c>
      <c r="CB11" s="232"/>
      <c r="CC11" s="232"/>
      <c r="CD11" s="245"/>
      <c r="CE11" s="97" t="s">
        <v>1414</v>
      </c>
      <c r="CF11" s="97"/>
      <c r="CH11" s="97" t="s">
        <v>1613</v>
      </c>
      <c r="CI11" s="232"/>
      <c r="CJ11" s="232"/>
      <c r="CK11" s="245"/>
      <c r="CL11" s="97" t="s">
        <v>1414</v>
      </c>
      <c r="CM11" s="97"/>
      <c r="CO11" s="97" t="s">
        <v>1613</v>
      </c>
      <c r="CP11" s="232"/>
      <c r="CQ11" s="232"/>
      <c r="CR11" s="245"/>
      <c r="CS11" s="97" t="s">
        <v>1414</v>
      </c>
      <c r="CT11" s="97" t="s">
        <v>1679</v>
      </c>
      <c r="CV11" s="97" t="s">
        <v>1613</v>
      </c>
      <c r="CW11" s="230"/>
      <c r="CX11" s="230"/>
      <c r="CY11" s="246"/>
      <c r="CZ11" s="97" t="s">
        <v>1415</v>
      </c>
      <c r="DA11" s="97" t="s">
        <v>1701</v>
      </c>
      <c r="DC11" s="97" t="s">
        <v>1613</v>
      </c>
      <c r="DD11" s="230"/>
      <c r="DE11" s="230"/>
      <c r="DF11" s="246"/>
      <c r="DG11" s="97" t="s">
        <v>1415</v>
      </c>
      <c r="DH11" s="97" t="s">
        <v>771</v>
      </c>
      <c r="DJ11" s="97" t="s">
        <v>1613</v>
      </c>
      <c r="DK11" s="230"/>
      <c r="DL11" s="230"/>
      <c r="DM11" s="246"/>
      <c r="DN11" s="97" t="s">
        <v>1415</v>
      </c>
      <c r="DO11" s="97" t="s">
        <v>772</v>
      </c>
      <c r="DQ11" s="97" t="s">
        <v>1613</v>
      </c>
      <c r="DR11" s="230"/>
      <c r="DS11" s="230"/>
      <c r="DT11" s="246"/>
      <c r="DU11" s="97" t="s">
        <v>1415</v>
      </c>
      <c r="DV11" s="97" t="s">
        <v>832</v>
      </c>
    </row>
    <row r="12" spans="1:126">
      <c r="B12" s="97" t="s">
        <v>1614</v>
      </c>
      <c r="C12" s="231"/>
      <c r="D12" s="230"/>
      <c r="E12" s="245"/>
      <c r="F12" s="97" t="s">
        <v>1414</v>
      </c>
      <c r="G12" s="97" t="s">
        <v>816</v>
      </c>
      <c r="I12" s="97" t="s">
        <v>1614</v>
      </c>
      <c r="J12" s="230"/>
      <c r="K12" s="230"/>
      <c r="L12" s="245"/>
      <c r="M12" s="97" t="s">
        <v>1414</v>
      </c>
      <c r="N12" s="97" t="s">
        <v>761</v>
      </c>
      <c r="P12" s="97" t="s">
        <v>1614</v>
      </c>
      <c r="Q12" s="230"/>
      <c r="R12" s="230"/>
      <c r="S12" s="245"/>
      <c r="T12" s="97" t="s">
        <v>1414</v>
      </c>
      <c r="U12" s="97" t="s">
        <v>1688</v>
      </c>
      <c r="W12" s="97" t="s">
        <v>1614</v>
      </c>
      <c r="X12" s="230"/>
      <c r="Y12" s="230"/>
      <c r="Z12" s="245"/>
      <c r="AA12" s="97" t="s">
        <v>1414</v>
      </c>
      <c r="AB12" s="97" t="s">
        <v>784</v>
      </c>
      <c r="AD12" s="97" t="s">
        <v>1614</v>
      </c>
      <c r="AE12" s="231"/>
      <c r="AF12" s="230"/>
      <c r="AG12" s="246"/>
      <c r="AH12" s="97" t="s">
        <v>1415</v>
      </c>
      <c r="AI12" s="97" t="s">
        <v>899</v>
      </c>
      <c r="AK12" s="97" t="s">
        <v>1614</v>
      </c>
      <c r="AL12" s="230"/>
      <c r="AM12" s="230"/>
      <c r="AN12" s="246"/>
      <c r="AO12" s="97" t="s">
        <v>1415</v>
      </c>
      <c r="AP12" s="97" t="s">
        <v>849</v>
      </c>
      <c r="AR12" s="97" t="s">
        <v>1614</v>
      </c>
      <c r="AS12" s="230"/>
      <c r="AT12" s="230"/>
      <c r="AU12" s="246"/>
      <c r="AV12" s="97" t="s">
        <v>1415</v>
      </c>
      <c r="AW12" s="97" t="s">
        <v>817</v>
      </c>
      <c r="AY12" s="97" t="s">
        <v>1614</v>
      </c>
      <c r="AZ12" s="230"/>
      <c r="BA12" s="230"/>
      <c r="BB12" s="245"/>
      <c r="BC12" s="97" t="s">
        <v>1414</v>
      </c>
      <c r="BD12" s="97" t="s">
        <v>799</v>
      </c>
      <c r="BF12" s="97" t="s">
        <v>1614</v>
      </c>
      <c r="BG12" s="230"/>
      <c r="BH12" s="230"/>
      <c r="BI12" s="245"/>
      <c r="BJ12" s="97" t="s">
        <v>1414</v>
      </c>
      <c r="BK12" s="97" t="s">
        <v>801</v>
      </c>
      <c r="BM12" s="97" t="s">
        <v>1614</v>
      </c>
      <c r="BN12" s="230"/>
      <c r="BO12" s="230"/>
      <c r="BP12" s="245"/>
      <c r="BQ12" s="97" t="s">
        <v>1414</v>
      </c>
      <c r="BR12" s="97" t="s">
        <v>776</v>
      </c>
      <c r="BT12" s="97" t="s">
        <v>1614</v>
      </c>
      <c r="BU12" s="230"/>
      <c r="BV12" s="230"/>
      <c r="BW12" s="245"/>
      <c r="BX12" s="97" t="s">
        <v>1414</v>
      </c>
      <c r="BY12" s="97" t="s">
        <v>776</v>
      </c>
      <c r="CA12" s="97" t="s">
        <v>1614</v>
      </c>
      <c r="CB12" s="232"/>
      <c r="CC12" s="232"/>
      <c r="CD12" s="245"/>
      <c r="CE12" s="97" t="s">
        <v>1414</v>
      </c>
      <c r="CF12" s="97"/>
      <c r="CH12" s="97" t="s">
        <v>1614</v>
      </c>
      <c r="CI12" s="232"/>
      <c r="CJ12" s="232"/>
      <c r="CK12" s="245"/>
      <c r="CL12" s="97" t="s">
        <v>1414</v>
      </c>
      <c r="CM12" s="97"/>
      <c r="CO12" s="97" t="s">
        <v>1614</v>
      </c>
      <c r="CP12" s="232"/>
      <c r="CQ12" s="232"/>
      <c r="CR12" s="245"/>
      <c r="CS12" s="97" t="s">
        <v>1414</v>
      </c>
      <c r="CT12" s="97" t="s">
        <v>1680</v>
      </c>
      <c r="CV12" s="97" t="s">
        <v>1614</v>
      </c>
      <c r="CW12" s="230"/>
      <c r="CX12" s="230"/>
      <c r="CY12" s="246"/>
      <c r="CZ12" s="97" t="s">
        <v>1415</v>
      </c>
      <c r="DA12" s="97" t="s">
        <v>809</v>
      </c>
      <c r="DC12" s="97" t="s">
        <v>1614</v>
      </c>
      <c r="DD12" s="230"/>
      <c r="DE12" s="230"/>
      <c r="DF12" s="246"/>
      <c r="DG12" s="97" t="s">
        <v>1415</v>
      </c>
      <c r="DH12" s="97" t="s">
        <v>772</v>
      </c>
      <c r="DJ12" s="97" t="s">
        <v>1614</v>
      </c>
      <c r="DK12" s="230"/>
      <c r="DL12" s="230"/>
      <c r="DM12" s="246"/>
      <c r="DN12" s="97" t="s">
        <v>1415</v>
      </c>
      <c r="DO12" s="97" t="s">
        <v>772</v>
      </c>
      <c r="DQ12" s="97" t="s">
        <v>1614</v>
      </c>
      <c r="DR12" s="230"/>
      <c r="DS12" s="230"/>
      <c r="DT12" s="246"/>
      <c r="DU12" s="97" t="s">
        <v>1415</v>
      </c>
      <c r="DV12" s="97" t="s">
        <v>844</v>
      </c>
    </row>
    <row r="13" spans="1:126">
      <c r="B13" s="97" t="s">
        <v>1615</v>
      </c>
      <c r="C13" s="231"/>
      <c r="D13" s="230"/>
      <c r="E13" s="245"/>
      <c r="F13" s="97" t="s">
        <v>1414</v>
      </c>
      <c r="G13" s="97" t="s">
        <v>861</v>
      </c>
      <c r="I13" s="97" t="s">
        <v>1615</v>
      </c>
      <c r="J13" s="230"/>
      <c r="K13" s="230"/>
      <c r="L13" s="245"/>
      <c r="M13" s="97" t="s">
        <v>1414</v>
      </c>
      <c r="N13" s="97" t="s">
        <v>826</v>
      </c>
      <c r="P13" s="97" t="s">
        <v>1615</v>
      </c>
      <c r="Q13" s="230"/>
      <c r="R13" s="230"/>
      <c r="S13" s="245"/>
      <c r="T13" s="97" t="s">
        <v>1414</v>
      </c>
      <c r="U13" s="97" t="s">
        <v>781</v>
      </c>
      <c r="W13" s="97" t="s">
        <v>1615</v>
      </c>
      <c r="X13" s="230"/>
      <c r="Y13" s="230"/>
      <c r="Z13" s="245"/>
      <c r="AA13" s="97" t="s">
        <v>1414</v>
      </c>
      <c r="AB13" s="97" t="s">
        <v>794</v>
      </c>
      <c r="AD13" s="97" t="s">
        <v>1615</v>
      </c>
      <c r="AE13" s="231"/>
      <c r="AF13" s="230"/>
      <c r="AG13" s="246"/>
      <c r="AH13" s="97" t="s">
        <v>1415</v>
      </c>
      <c r="AI13" s="97" t="s">
        <v>900</v>
      </c>
      <c r="AK13" s="97" t="s">
        <v>1615</v>
      </c>
      <c r="AL13" s="230"/>
      <c r="AM13" s="230"/>
      <c r="AN13" s="246"/>
      <c r="AO13" s="97" t="s">
        <v>1415</v>
      </c>
      <c r="AP13" s="97" t="s">
        <v>849</v>
      </c>
      <c r="AR13" s="97" t="s">
        <v>1615</v>
      </c>
      <c r="AS13" s="230"/>
      <c r="AT13" s="230"/>
      <c r="AU13" s="246"/>
      <c r="AV13" s="97" t="s">
        <v>1415</v>
      </c>
      <c r="AW13" s="97" t="s">
        <v>790</v>
      </c>
      <c r="AY13" s="97" t="s">
        <v>1615</v>
      </c>
      <c r="AZ13" s="230"/>
      <c r="BA13" s="230"/>
      <c r="BB13" s="245"/>
      <c r="BC13" s="97" t="s">
        <v>1414</v>
      </c>
      <c r="BD13" s="97" t="s">
        <v>802</v>
      </c>
      <c r="BF13" s="97" t="s">
        <v>1615</v>
      </c>
      <c r="BG13" s="230"/>
      <c r="BH13" s="230"/>
      <c r="BI13" s="245"/>
      <c r="BJ13" s="97" t="s">
        <v>1414</v>
      </c>
      <c r="BK13" s="97" t="s">
        <v>775</v>
      </c>
      <c r="BM13" s="97" t="s">
        <v>1615</v>
      </c>
      <c r="BN13" s="230"/>
      <c r="BO13" s="230"/>
      <c r="BP13" s="245"/>
      <c r="BQ13" s="97" t="s">
        <v>1414</v>
      </c>
      <c r="BR13" s="97" t="s">
        <v>775</v>
      </c>
      <c r="BT13" s="97" t="s">
        <v>1615</v>
      </c>
      <c r="BU13" s="230"/>
      <c r="BV13" s="230"/>
      <c r="BW13" s="245"/>
      <c r="BX13" s="97" t="s">
        <v>1414</v>
      </c>
      <c r="BY13" s="97" t="s">
        <v>1013</v>
      </c>
      <c r="CA13" s="97" t="s">
        <v>1615</v>
      </c>
      <c r="CB13" s="232"/>
      <c r="CC13" s="232"/>
      <c r="CD13" s="245"/>
      <c r="CE13" s="97" t="s">
        <v>1414</v>
      </c>
      <c r="CF13" s="97"/>
      <c r="CH13" s="97" t="s">
        <v>1615</v>
      </c>
      <c r="CI13" s="232"/>
      <c r="CJ13" s="232"/>
      <c r="CK13" s="245"/>
      <c r="CL13" s="97" t="s">
        <v>1414</v>
      </c>
      <c r="CM13" s="97"/>
      <c r="CO13" s="97" t="s">
        <v>1615</v>
      </c>
      <c r="CP13" s="232"/>
      <c r="CQ13" s="232"/>
      <c r="CR13" s="245"/>
      <c r="CS13" s="97" t="s">
        <v>1414</v>
      </c>
      <c r="CT13" s="97"/>
      <c r="CV13" s="97" t="s">
        <v>1615</v>
      </c>
      <c r="CW13" s="230"/>
      <c r="CX13" s="230"/>
      <c r="CY13" s="246"/>
      <c r="CZ13" s="97" t="s">
        <v>1415</v>
      </c>
      <c r="DA13" s="97" t="s">
        <v>793</v>
      </c>
      <c r="DC13" s="97" t="s">
        <v>1615</v>
      </c>
      <c r="DD13" s="230"/>
      <c r="DE13" s="230"/>
      <c r="DF13" s="246"/>
      <c r="DG13" s="97" t="s">
        <v>1415</v>
      </c>
      <c r="DH13" s="97" t="s">
        <v>773</v>
      </c>
      <c r="DJ13" s="97" t="s">
        <v>1615</v>
      </c>
      <c r="DK13" s="230"/>
      <c r="DL13" s="230"/>
      <c r="DM13" s="246"/>
      <c r="DN13" s="97" t="s">
        <v>1415</v>
      </c>
      <c r="DO13" s="97" t="s">
        <v>772</v>
      </c>
      <c r="DQ13" s="97" t="s">
        <v>1615</v>
      </c>
      <c r="DR13" s="230"/>
      <c r="DS13" s="230"/>
      <c r="DT13" s="246"/>
      <c r="DU13" s="97" t="s">
        <v>1415</v>
      </c>
      <c r="DV13" s="97" t="s">
        <v>845</v>
      </c>
    </row>
    <row r="14" spans="1:126">
      <c r="B14" s="97" t="s">
        <v>1616</v>
      </c>
      <c r="C14" s="231"/>
      <c r="D14" s="230"/>
      <c r="E14" s="245"/>
      <c r="F14" s="97" t="s">
        <v>1414</v>
      </c>
      <c r="G14" s="97" t="s">
        <v>924</v>
      </c>
      <c r="I14" s="97" t="s">
        <v>1616</v>
      </c>
      <c r="J14" s="230"/>
      <c r="K14" s="230"/>
      <c r="L14" s="245"/>
      <c r="M14" s="97" t="s">
        <v>1414</v>
      </c>
      <c r="N14" s="97" t="s">
        <v>836</v>
      </c>
      <c r="P14" s="97" t="s">
        <v>1616</v>
      </c>
      <c r="Q14" s="230"/>
      <c r="R14" s="230"/>
      <c r="S14" s="245"/>
      <c r="T14" s="97" t="s">
        <v>1414</v>
      </c>
      <c r="U14" s="97" t="s">
        <v>782</v>
      </c>
      <c r="W14" s="97" t="s">
        <v>1616</v>
      </c>
      <c r="X14" s="230"/>
      <c r="Y14" s="230"/>
      <c r="Z14" s="245"/>
      <c r="AA14" s="97" t="s">
        <v>1414</v>
      </c>
      <c r="AB14" s="97" t="s">
        <v>796</v>
      </c>
      <c r="AD14" s="97" t="s">
        <v>1616</v>
      </c>
      <c r="AE14" s="231"/>
      <c r="AF14" s="230"/>
      <c r="AG14" s="246"/>
      <c r="AH14" s="97" t="s">
        <v>1415</v>
      </c>
      <c r="AI14" s="97" t="s">
        <v>926</v>
      </c>
      <c r="AK14" s="97" t="s">
        <v>1616</v>
      </c>
      <c r="AL14" s="230"/>
      <c r="AM14" s="230"/>
      <c r="AN14" s="246"/>
      <c r="AO14" s="97" t="s">
        <v>1415</v>
      </c>
      <c r="AP14" s="97" t="s">
        <v>764</v>
      </c>
      <c r="AR14" s="97" t="s">
        <v>1616</v>
      </c>
      <c r="AS14" s="230"/>
      <c r="AT14" s="230"/>
      <c r="AU14" s="246"/>
      <c r="AV14" s="97" t="s">
        <v>1415</v>
      </c>
      <c r="AW14" s="97" t="s">
        <v>816</v>
      </c>
      <c r="AY14" s="97" t="s">
        <v>1616</v>
      </c>
      <c r="AZ14" s="230"/>
      <c r="BA14" s="230"/>
      <c r="BB14" s="245"/>
      <c r="BC14" s="97" t="s">
        <v>1414</v>
      </c>
      <c r="BD14" s="97" t="s">
        <v>803</v>
      </c>
      <c r="BF14" s="97" t="s">
        <v>1616</v>
      </c>
      <c r="BG14" s="230"/>
      <c r="BH14" s="230"/>
      <c r="BI14" s="245"/>
      <c r="BJ14" s="97" t="s">
        <v>1414</v>
      </c>
      <c r="BK14" s="97" t="s">
        <v>776</v>
      </c>
      <c r="BM14" s="97" t="s">
        <v>1616</v>
      </c>
      <c r="BN14" s="230"/>
      <c r="BO14" s="230"/>
      <c r="BP14" s="245"/>
      <c r="BQ14" s="97" t="s">
        <v>1414</v>
      </c>
      <c r="BR14" s="97" t="s">
        <v>776</v>
      </c>
      <c r="BT14" s="97" t="s">
        <v>1616</v>
      </c>
      <c r="BU14" s="230"/>
      <c r="BV14" s="230"/>
      <c r="BW14" s="245"/>
      <c r="BX14" s="97" t="s">
        <v>1414</v>
      </c>
      <c r="BY14" s="97" t="s">
        <v>1009</v>
      </c>
      <c r="CA14" s="97" t="s">
        <v>1616</v>
      </c>
      <c r="CB14" s="232"/>
      <c r="CC14" s="232"/>
      <c r="CD14" s="245"/>
      <c r="CE14" s="97" t="s">
        <v>1414</v>
      </c>
      <c r="CF14" s="97"/>
      <c r="CH14" s="97" t="s">
        <v>1616</v>
      </c>
      <c r="CI14" s="232"/>
      <c r="CJ14" s="232"/>
      <c r="CK14" s="245"/>
      <c r="CL14" s="97" t="s">
        <v>1414</v>
      </c>
      <c r="CM14" s="97"/>
      <c r="CO14" s="97" t="s">
        <v>1616</v>
      </c>
      <c r="CP14" s="232"/>
      <c r="CQ14" s="232"/>
      <c r="CR14" s="245"/>
      <c r="CS14" s="97" t="s">
        <v>1414</v>
      </c>
      <c r="CT14" s="97"/>
      <c r="CV14" s="97" t="s">
        <v>1616</v>
      </c>
      <c r="CW14" s="230"/>
      <c r="CX14" s="230"/>
      <c r="CY14" s="246"/>
      <c r="CZ14" s="97" t="s">
        <v>1415</v>
      </c>
      <c r="DA14" s="97" t="s">
        <v>804</v>
      </c>
      <c r="DC14" s="97" t="s">
        <v>1616</v>
      </c>
      <c r="DD14" s="230"/>
      <c r="DE14" s="230"/>
      <c r="DF14" s="246"/>
      <c r="DG14" s="97" t="s">
        <v>1415</v>
      </c>
      <c r="DH14" s="97" t="s">
        <v>771</v>
      </c>
      <c r="DJ14" s="97" t="s">
        <v>1616</v>
      </c>
      <c r="DK14" s="230"/>
      <c r="DL14" s="230"/>
      <c r="DM14" s="246"/>
      <c r="DN14" s="97" t="s">
        <v>1415</v>
      </c>
      <c r="DO14" s="97" t="s">
        <v>772</v>
      </c>
      <c r="DQ14" s="97" t="s">
        <v>1616</v>
      </c>
      <c r="DR14" s="230"/>
      <c r="DS14" s="230"/>
      <c r="DT14" s="246"/>
      <c r="DU14" s="97" t="s">
        <v>1415</v>
      </c>
      <c r="DV14" s="97" t="s">
        <v>831</v>
      </c>
    </row>
    <row r="15" spans="1:126">
      <c r="B15" s="97" t="s">
        <v>1617</v>
      </c>
      <c r="C15" s="231"/>
      <c r="D15" s="230"/>
      <c r="E15" s="245"/>
      <c r="F15" s="97" t="s">
        <v>1414</v>
      </c>
      <c r="G15" s="97" t="s">
        <v>816</v>
      </c>
      <c r="I15" s="97" t="s">
        <v>1617</v>
      </c>
      <c r="J15" s="230"/>
      <c r="K15" s="230"/>
      <c r="L15" s="245"/>
      <c r="M15" s="97" t="s">
        <v>1414</v>
      </c>
      <c r="N15" s="97" t="s">
        <v>781</v>
      </c>
      <c r="P15" s="97" t="s">
        <v>1617</v>
      </c>
      <c r="Q15" s="230"/>
      <c r="R15" s="230"/>
      <c r="S15" s="245"/>
      <c r="T15" s="97" t="s">
        <v>1414</v>
      </c>
      <c r="U15" s="97" t="s">
        <v>783</v>
      </c>
      <c r="W15" s="97" t="s">
        <v>1617</v>
      </c>
      <c r="X15" s="230"/>
      <c r="Y15" s="230"/>
      <c r="Z15" s="245"/>
      <c r="AA15" s="97" t="s">
        <v>1414</v>
      </c>
      <c r="AB15" s="97" t="s">
        <v>797</v>
      </c>
      <c r="AD15" s="97" t="s">
        <v>1617</v>
      </c>
      <c r="AE15" s="231"/>
      <c r="AF15" s="230"/>
      <c r="AG15" s="246"/>
      <c r="AH15" s="97" t="s">
        <v>1415</v>
      </c>
      <c r="AI15" s="97" t="s">
        <v>927</v>
      </c>
      <c r="AK15" s="97" t="s">
        <v>1617</v>
      </c>
      <c r="AL15" s="230"/>
      <c r="AM15" s="230"/>
      <c r="AN15" s="246"/>
      <c r="AO15" s="97" t="s">
        <v>1415</v>
      </c>
      <c r="AP15" s="97" t="s">
        <v>816</v>
      </c>
      <c r="AR15" s="97" t="s">
        <v>1617</v>
      </c>
      <c r="AS15" s="230"/>
      <c r="AT15" s="230"/>
      <c r="AU15" s="246"/>
      <c r="AV15" s="97" t="s">
        <v>1415</v>
      </c>
      <c r="AW15" s="97" t="s">
        <v>1690</v>
      </c>
      <c r="AY15" s="97" t="s">
        <v>1617</v>
      </c>
      <c r="AZ15" s="230"/>
      <c r="BA15" s="230"/>
      <c r="BB15" s="245"/>
      <c r="BC15" s="97" t="s">
        <v>1414</v>
      </c>
      <c r="BD15" s="97" t="s">
        <v>779</v>
      </c>
      <c r="BF15" s="97" t="s">
        <v>1617</v>
      </c>
      <c r="BG15" s="230"/>
      <c r="BH15" s="230"/>
      <c r="BI15" s="245"/>
      <c r="BJ15" s="97" t="s">
        <v>1414</v>
      </c>
      <c r="BK15" s="97" t="s">
        <v>775</v>
      </c>
      <c r="BM15" s="97" t="s">
        <v>1617</v>
      </c>
      <c r="BN15" s="230"/>
      <c r="BO15" s="230"/>
      <c r="BP15" s="245"/>
      <c r="BQ15" s="97" t="s">
        <v>1414</v>
      </c>
      <c r="BR15" s="97" t="s">
        <v>775</v>
      </c>
      <c r="BT15" s="97" t="s">
        <v>1617</v>
      </c>
      <c r="BU15" s="229"/>
      <c r="BV15" s="230"/>
      <c r="BW15" s="245"/>
      <c r="BX15" s="97" t="s">
        <v>1414</v>
      </c>
      <c r="BY15" s="97" t="s">
        <v>1675</v>
      </c>
      <c r="CA15" s="97" t="s">
        <v>1617</v>
      </c>
      <c r="CB15" s="232"/>
      <c r="CC15" s="232"/>
      <c r="CD15" s="245"/>
      <c r="CE15" s="97" t="s">
        <v>1414</v>
      </c>
      <c r="CF15" s="97"/>
      <c r="CH15" s="97" t="s">
        <v>1617</v>
      </c>
      <c r="CI15" s="232"/>
      <c r="CJ15" s="232"/>
      <c r="CK15" s="245"/>
      <c r="CL15" s="97" t="s">
        <v>1414</v>
      </c>
      <c r="CM15" s="97"/>
      <c r="CO15" s="97" t="s">
        <v>1617</v>
      </c>
      <c r="CP15" s="232"/>
      <c r="CQ15" s="232"/>
      <c r="CR15" s="245"/>
      <c r="CS15" s="97" t="s">
        <v>1414</v>
      </c>
      <c r="CT15" s="97"/>
      <c r="CV15" s="97" t="s">
        <v>1617</v>
      </c>
      <c r="CW15" s="230"/>
      <c r="CX15" s="230"/>
      <c r="CY15" s="246"/>
      <c r="CZ15" s="97" t="s">
        <v>1415</v>
      </c>
      <c r="DA15" s="97" t="s">
        <v>805</v>
      </c>
      <c r="DC15" s="97" t="s">
        <v>1617</v>
      </c>
      <c r="DD15" s="230"/>
      <c r="DE15" s="230"/>
      <c r="DF15" s="246"/>
      <c r="DG15" s="97" t="s">
        <v>1415</v>
      </c>
      <c r="DH15" s="97" t="s">
        <v>772</v>
      </c>
      <c r="DJ15" s="97" t="s">
        <v>1617</v>
      </c>
      <c r="DK15" s="230"/>
      <c r="DL15" s="230"/>
      <c r="DM15" s="246"/>
      <c r="DN15" s="97" t="s">
        <v>1415</v>
      </c>
      <c r="DO15" s="97" t="s">
        <v>772</v>
      </c>
      <c r="DQ15" s="97" t="s">
        <v>1617</v>
      </c>
      <c r="DR15" s="230"/>
      <c r="DS15" s="230"/>
      <c r="DT15" s="246"/>
      <c r="DU15" s="97" t="s">
        <v>1415</v>
      </c>
      <c r="DV15" s="97" t="s">
        <v>1738</v>
      </c>
    </row>
    <row r="16" spans="1:126">
      <c r="B16" s="97" t="s">
        <v>1618</v>
      </c>
      <c r="C16" s="231"/>
      <c r="D16" s="230"/>
      <c r="E16" s="245"/>
      <c r="F16" s="97" t="s">
        <v>1414</v>
      </c>
      <c r="G16" s="97" t="s">
        <v>925</v>
      </c>
      <c r="I16" s="97" t="s">
        <v>1618</v>
      </c>
      <c r="J16" s="230"/>
      <c r="K16" s="230"/>
      <c r="L16" s="245"/>
      <c r="M16" s="97" t="s">
        <v>1414</v>
      </c>
      <c r="N16" s="97" t="s">
        <v>782</v>
      </c>
      <c r="P16" s="97" t="s">
        <v>1618</v>
      </c>
      <c r="Q16" s="230"/>
      <c r="R16" s="230"/>
      <c r="S16" s="245"/>
      <c r="T16" s="97" t="s">
        <v>1414</v>
      </c>
      <c r="U16" s="97" t="s">
        <v>784</v>
      </c>
      <c r="W16" s="97" t="s">
        <v>1618</v>
      </c>
      <c r="X16" s="230"/>
      <c r="Y16" s="230"/>
      <c r="Z16" s="245"/>
      <c r="AA16" s="97" t="s">
        <v>1414</v>
      </c>
      <c r="AB16" s="97" t="s">
        <v>800</v>
      </c>
      <c r="AD16" s="97" t="s">
        <v>1618</v>
      </c>
      <c r="AE16" s="231"/>
      <c r="AF16" s="230"/>
      <c r="AG16" s="246"/>
      <c r="AH16" s="97" t="s">
        <v>1415</v>
      </c>
      <c r="AI16" s="97" t="s">
        <v>928</v>
      </c>
      <c r="AK16" s="97" t="s">
        <v>1618</v>
      </c>
      <c r="AL16" s="230"/>
      <c r="AM16" s="230"/>
      <c r="AN16" s="246"/>
      <c r="AO16" s="97" t="s">
        <v>1415</v>
      </c>
      <c r="AP16" s="97" t="s">
        <v>817</v>
      </c>
      <c r="AR16" s="97" t="s">
        <v>1618</v>
      </c>
      <c r="AS16" s="230"/>
      <c r="AT16" s="230"/>
      <c r="AU16" s="246"/>
      <c r="AV16" s="97" t="s">
        <v>1415</v>
      </c>
      <c r="AW16" s="97" t="s">
        <v>487</v>
      </c>
      <c r="AY16" s="97" t="s">
        <v>1618</v>
      </c>
      <c r="AZ16" s="230"/>
      <c r="BA16" s="230"/>
      <c r="BB16" s="245"/>
      <c r="BC16" s="97" t="s">
        <v>1414</v>
      </c>
      <c r="BD16" s="97" t="s">
        <v>1694</v>
      </c>
      <c r="BF16" s="97" t="s">
        <v>1618</v>
      </c>
      <c r="BG16" s="230"/>
      <c r="BH16" s="230"/>
      <c r="BI16" s="245"/>
      <c r="BJ16" s="97" t="s">
        <v>1414</v>
      </c>
      <c r="BK16" s="97" t="s">
        <v>776</v>
      </c>
      <c r="BM16" s="97" t="s">
        <v>1618</v>
      </c>
      <c r="BN16" s="230"/>
      <c r="BO16" s="230"/>
      <c r="BP16" s="245"/>
      <c r="BQ16" s="97" t="s">
        <v>1414</v>
      </c>
      <c r="BR16" s="97" t="s">
        <v>776</v>
      </c>
      <c r="BT16" s="97" t="s">
        <v>1618</v>
      </c>
      <c r="BU16" s="229"/>
      <c r="BV16" s="230"/>
      <c r="BW16" s="245"/>
      <c r="BX16" s="97" t="s">
        <v>1414</v>
      </c>
      <c r="BY16" s="97" t="s">
        <v>1676</v>
      </c>
      <c r="CA16" s="97" t="s">
        <v>1618</v>
      </c>
      <c r="CB16" s="232"/>
      <c r="CC16" s="232"/>
      <c r="CD16" s="245"/>
      <c r="CE16" s="97" t="s">
        <v>1414</v>
      </c>
      <c r="CF16" s="97"/>
      <c r="CH16" s="97" t="s">
        <v>1618</v>
      </c>
      <c r="CI16" s="232"/>
      <c r="CJ16" s="232"/>
      <c r="CK16" s="245"/>
      <c r="CL16" s="97" t="s">
        <v>1414</v>
      </c>
      <c r="CM16" s="97"/>
      <c r="CO16" s="97" t="s">
        <v>1618</v>
      </c>
      <c r="CP16" s="232"/>
      <c r="CQ16" s="232"/>
      <c r="CR16" s="245"/>
      <c r="CS16" s="97" t="s">
        <v>1414</v>
      </c>
      <c r="CT16" s="97"/>
      <c r="CV16" s="97" t="s">
        <v>1618</v>
      </c>
      <c r="CW16" s="230"/>
      <c r="CX16" s="230"/>
      <c r="CY16" s="246"/>
      <c r="CZ16" s="97" t="s">
        <v>1415</v>
      </c>
      <c r="DA16" s="97" t="s">
        <v>808</v>
      </c>
      <c r="DC16" s="97" t="s">
        <v>1618</v>
      </c>
      <c r="DD16" s="230"/>
      <c r="DE16" s="230"/>
      <c r="DF16" s="246"/>
      <c r="DG16" s="97" t="s">
        <v>1415</v>
      </c>
      <c r="DH16" s="97" t="s">
        <v>773</v>
      </c>
      <c r="DJ16" s="97" t="s">
        <v>1618</v>
      </c>
      <c r="DK16" s="230"/>
      <c r="DL16" s="230"/>
      <c r="DM16" s="246"/>
      <c r="DN16" s="97" t="s">
        <v>1415</v>
      </c>
      <c r="DO16" s="97" t="s">
        <v>772</v>
      </c>
      <c r="DQ16" s="97" t="s">
        <v>1618</v>
      </c>
      <c r="DR16" s="230"/>
      <c r="DS16" s="230"/>
      <c r="DT16" s="246"/>
      <c r="DU16" s="97" t="s">
        <v>1415</v>
      </c>
      <c r="DV16" s="97" t="s">
        <v>975</v>
      </c>
    </row>
    <row r="17" spans="30:126">
      <c r="AD17" s="97" t="s">
        <v>1619</v>
      </c>
      <c r="AE17" s="231"/>
      <c r="AF17" s="230"/>
      <c r="AG17" s="246"/>
      <c r="AH17" s="97" t="s">
        <v>1415</v>
      </c>
      <c r="AI17" s="97" t="s">
        <v>929</v>
      </c>
      <c r="AK17" s="97" t="s">
        <v>1619</v>
      </c>
      <c r="AL17" s="230"/>
      <c r="AM17" s="230"/>
      <c r="AN17" s="246"/>
      <c r="AO17" s="97" t="s">
        <v>1415</v>
      </c>
      <c r="AP17" s="97" t="s">
        <v>790</v>
      </c>
      <c r="AR17" s="97" t="s">
        <v>1619</v>
      </c>
      <c r="AS17" s="230"/>
      <c r="AT17" s="230"/>
      <c r="AU17" s="246"/>
      <c r="AV17" s="97" t="s">
        <v>1415</v>
      </c>
      <c r="AW17" s="97" t="s">
        <v>488</v>
      </c>
      <c r="CV17" s="97" t="s">
        <v>1619</v>
      </c>
      <c r="CW17" s="230"/>
      <c r="CX17" s="230"/>
      <c r="CY17" s="246"/>
      <c r="CZ17" s="97" t="s">
        <v>1415</v>
      </c>
      <c r="DA17" s="97" t="s">
        <v>810</v>
      </c>
      <c r="DC17" s="97" t="s">
        <v>1619</v>
      </c>
      <c r="DD17" s="230"/>
      <c r="DE17" s="233"/>
      <c r="DF17" s="246"/>
      <c r="DG17" s="97" t="s">
        <v>1415</v>
      </c>
      <c r="DH17" s="97" t="s">
        <v>274</v>
      </c>
      <c r="DJ17" s="97" t="s">
        <v>1619</v>
      </c>
      <c r="DK17" s="230"/>
      <c r="DL17" s="230"/>
      <c r="DM17" s="246"/>
      <c r="DN17" s="97" t="s">
        <v>1415</v>
      </c>
      <c r="DO17" s="97" t="s">
        <v>772</v>
      </c>
      <c r="DQ17" s="97" t="s">
        <v>1619</v>
      </c>
      <c r="DR17" s="230"/>
      <c r="DS17" s="230"/>
      <c r="DT17" s="246"/>
      <c r="DU17" s="97" t="s">
        <v>1415</v>
      </c>
      <c r="DV17" s="97" t="s">
        <v>768</v>
      </c>
    </row>
    <row r="18" spans="30:126">
      <c r="AD18" s="97" t="s">
        <v>1620</v>
      </c>
      <c r="AE18" s="231"/>
      <c r="AF18" s="230"/>
      <c r="AG18" s="246"/>
      <c r="AH18" s="97" t="s">
        <v>1415</v>
      </c>
      <c r="AI18" s="97" t="s">
        <v>816</v>
      </c>
      <c r="AK18" s="97" t="s">
        <v>1620</v>
      </c>
      <c r="AL18" s="230"/>
      <c r="AM18" s="230"/>
      <c r="AN18" s="246"/>
      <c r="AO18" s="97" t="s">
        <v>1415</v>
      </c>
      <c r="AP18" s="97" t="s">
        <v>816</v>
      </c>
      <c r="AR18" s="97" t="s">
        <v>1620</v>
      </c>
      <c r="AS18" s="230"/>
      <c r="AT18" s="230"/>
      <c r="AU18" s="246"/>
      <c r="AV18" s="97" t="s">
        <v>1415</v>
      </c>
      <c r="AW18" s="97" t="s">
        <v>488</v>
      </c>
      <c r="CV18" s="97" t="s">
        <v>1620</v>
      </c>
      <c r="CW18" s="230"/>
      <c r="CX18" s="230"/>
      <c r="CY18" s="246"/>
      <c r="CZ18" s="97" t="s">
        <v>1415</v>
      </c>
      <c r="DA18" s="97" t="s">
        <v>811</v>
      </c>
      <c r="DC18" s="97" t="s">
        <v>1620</v>
      </c>
      <c r="DD18" s="230"/>
      <c r="DE18" s="230"/>
      <c r="DF18" s="246"/>
      <c r="DG18" s="97" t="s">
        <v>1415</v>
      </c>
      <c r="DH18" s="97" t="s">
        <v>772</v>
      </c>
      <c r="DJ18" s="97" t="s">
        <v>1620</v>
      </c>
      <c r="DK18" s="230"/>
      <c r="DL18" s="230"/>
      <c r="DM18" s="246"/>
      <c r="DN18" s="97" t="s">
        <v>1415</v>
      </c>
      <c r="DO18" s="97" t="s">
        <v>772</v>
      </c>
      <c r="DQ18" s="97" t="s">
        <v>1620</v>
      </c>
      <c r="DR18" s="230"/>
      <c r="DS18" s="230"/>
      <c r="DT18" s="246"/>
      <c r="DU18" s="97" t="s">
        <v>1415</v>
      </c>
      <c r="DV18" s="97" t="s">
        <v>768</v>
      </c>
    </row>
    <row r="19" spans="30:126">
      <c r="AD19" s="97" t="s">
        <v>1621</v>
      </c>
      <c r="AE19" s="229"/>
      <c r="AF19" s="230"/>
      <c r="AG19" s="246"/>
      <c r="AH19" s="97" t="s">
        <v>1415</v>
      </c>
      <c r="AI19" s="97" t="s">
        <v>855</v>
      </c>
      <c r="AK19" s="97" t="s">
        <v>1621</v>
      </c>
      <c r="AL19" s="230"/>
      <c r="AM19" s="230"/>
      <c r="AN19" s="246"/>
      <c r="AO19" s="97" t="s">
        <v>1415</v>
      </c>
      <c r="AP19" s="97" t="s">
        <v>787</v>
      </c>
      <c r="AR19" s="97" t="s">
        <v>1621</v>
      </c>
      <c r="AS19" s="230"/>
      <c r="AT19" s="230"/>
      <c r="AU19" s="246"/>
      <c r="AV19" s="97" t="s">
        <v>1415</v>
      </c>
      <c r="AW19" s="97" t="s">
        <v>793</v>
      </c>
      <c r="CV19" s="97" t="s">
        <v>1621</v>
      </c>
      <c r="CW19" s="230"/>
      <c r="CX19" s="230"/>
      <c r="CY19" s="246"/>
      <c r="CZ19" s="97" t="s">
        <v>1415</v>
      </c>
      <c r="DA19" s="97" t="s">
        <v>777</v>
      </c>
      <c r="DC19" s="97" t="s">
        <v>1621</v>
      </c>
      <c r="DD19" s="230"/>
      <c r="DE19" s="230"/>
      <c r="DF19" s="246"/>
      <c r="DG19" s="97" t="s">
        <v>1415</v>
      </c>
      <c r="DH19" s="97" t="s">
        <v>772</v>
      </c>
      <c r="DJ19" s="97" t="s">
        <v>1621</v>
      </c>
      <c r="DK19" s="230"/>
      <c r="DL19" s="230"/>
      <c r="DM19" s="246"/>
      <c r="DN19" s="97" t="s">
        <v>1415</v>
      </c>
      <c r="DO19" s="97" t="s">
        <v>790</v>
      </c>
      <c r="DQ19" s="97" t="s">
        <v>1621</v>
      </c>
      <c r="DR19" s="230"/>
      <c r="DS19" s="230"/>
      <c r="DT19" s="246"/>
      <c r="DU19" s="97" t="s">
        <v>1415</v>
      </c>
      <c r="DV19" s="97" t="s">
        <v>1014</v>
      </c>
    </row>
    <row r="20" spans="30:126">
      <c r="AD20" s="97" t="s">
        <v>1622</v>
      </c>
      <c r="AE20" s="230"/>
      <c r="AF20" s="230"/>
      <c r="AG20" s="246"/>
      <c r="AH20" s="97" t="s">
        <v>1415</v>
      </c>
      <c r="AI20" s="97" t="s">
        <v>849</v>
      </c>
      <c r="AK20" s="97" t="s">
        <v>1622</v>
      </c>
      <c r="AL20" s="230"/>
      <c r="AM20" s="230"/>
      <c r="AN20" s="246"/>
      <c r="AO20" s="97" t="s">
        <v>1415</v>
      </c>
      <c r="AP20" s="97" t="s">
        <v>487</v>
      </c>
      <c r="AR20" s="97" t="s">
        <v>1622</v>
      </c>
      <c r="AS20" s="230"/>
      <c r="AT20" s="230"/>
      <c r="AU20" s="246"/>
      <c r="AV20" s="97" t="s">
        <v>1415</v>
      </c>
      <c r="AW20" s="97" t="s">
        <v>804</v>
      </c>
      <c r="CV20" s="97" t="s">
        <v>1622</v>
      </c>
      <c r="CW20" s="230"/>
      <c r="CX20" s="230"/>
      <c r="CY20" s="246"/>
      <c r="CZ20" s="97" t="s">
        <v>1415</v>
      </c>
      <c r="DA20" s="97" t="s">
        <v>777</v>
      </c>
      <c r="DC20" s="97" t="s">
        <v>1622</v>
      </c>
      <c r="DD20" s="230"/>
      <c r="DE20" s="230"/>
      <c r="DF20" s="246"/>
      <c r="DG20" s="97" t="s">
        <v>1415</v>
      </c>
      <c r="DH20" s="97" t="s">
        <v>772</v>
      </c>
      <c r="DJ20" s="97" t="s">
        <v>1622</v>
      </c>
      <c r="DK20" s="230"/>
      <c r="DL20" s="230"/>
      <c r="DM20" s="246"/>
      <c r="DN20" s="97" t="s">
        <v>1415</v>
      </c>
      <c r="DO20" s="97" t="s">
        <v>813</v>
      </c>
      <c r="DQ20" s="97" t="s">
        <v>1622</v>
      </c>
      <c r="DR20" s="230"/>
      <c r="DS20" s="230"/>
      <c r="DT20" s="246"/>
      <c r="DU20" s="97" t="s">
        <v>1415</v>
      </c>
      <c r="DV20" s="97" t="s">
        <v>1015</v>
      </c>
    </row>
    <row r="21" spans="30:126">
      <c r="AD21" s="97" t="s">
        <v>1623</v>
      </c>
      <c r="AE21" s="230"/>
      <c r="AF21" s="230"/>
      <c r="AG21" s="246"/>
      <c r="AH21" s="97" t="s">
        <v>1415</v>
      </c>
      <c r="AI21" s="97" t="s">
        <v>849</v>
      </c>
      <c r="AK21" s="97" t="s">
        <v>1623</v>
      </c>
      <c r="AL21" s="230"/>
      <c r="AM21" s="230"/>
      <c r="AN21" s="246"/>
      <c r="AO21" s="97" t="s">
        <v>1415</v>
      </c>
      <c r="AP21" s="97" t="s">
        <v>816</v>
      </c>
      <c r="AR21" s="97" t="s">
        <v>1623</v>
      </c>
      <c r="AS21" s="230"/>
      <c r="AT21" s="230"/>
      <c r="AU21" s="246"/>
      <c r="AV21" s="97" t="s">
        <v>1415</v>
      </c>
      <c r="AW21" s="97" t="s">
        <v>805</v>
      </c>
      <c r="CV21" s="97" t="s">
        <v>1623</v>
      </c>
      <c r="CW21" s="230"/>
      <c r="CX21" s="230"/>
      <c r="CY21" s="246"/>
      <c r="CZ21" s="97" t="s">
        <v>1415</v>
      </c>
      <c r="DA21" s="97" t="s">
        <v>777</v>
      </c>
      <c r="DC21" s="97" t="s">
        <v>1623</v>
      </c>
      <c r="DD21" s="230"/>
      <c r="DE21" s="230"/>
      <c r="DF21" s="246"/>
      <c r="DG21" s="97" t="s">
        <v>1415</v>
      </c>
      <c r="DH21" s="97" t="s">
        <v>772</v>
      </c>
      <c r="DJ21" s="97" t="s">
        <v>1623</v>
      </c>
      <c r="DK21" s="230"/>
      <c r="DL21" s="230"/>
      <c r="DM21" s="246"/>
      <c r="DN21" s="97" t="s">
        <v>1415</v>
      </c>
      <c r="DO21" s="97" t="s">
        <v>814</v>
      </c>
      <c r="DQ21" s="97" t="s">
        <v>1623</v>
      </c>
      <c r="DR21" s="232"/>
      <c r="DS21" s="232"/>
      <c r="DT21" s="246"/>
      <c r="DU21" s="97" t="s">
        <v>1415</v>
      </c>
      <c r="DV21" s="97" t="s">
        <v>1740</v>
      </c>
    </row>
    <row r="22" spans="30:126">
      <c r="AD22" s="97" t="s">
        <v>1624</v>
      </c>
      <c r="AE22" s="230"/>
      <c r="AF22" s="230"/>
      <c r="AG22" s="246"/>
      <c r="AH22" s="97" t="s">
        <v>1415</v>
      </c>
      <c r="AI22" s="97" t="s">
        <v>849</v>
      </c>
      <c r="AK22" s="97" t="s">
        <v>1624</v>
      </c>
      <c r="AL22" s="230"/>
      <c r="AM22" s="230"/>
      <c r="AN22" s="246"/>
      <c r="AO22" s="97" t="s">
        <v>1415</v>
      </c>
      <c r="AP22" s="97" t="s">
        <v>817</v>
      </c>
      <c r="AR22" s="97" t="s">
        <v>1624</v>
      </c>
      <c r="AS22" s="230"/>
      <c r="AT22" s="230"/>
      <c r="AU22" s="246"/>
      <c r="AV22" s="97" t="s">
        <v>1415</v>
      </c>
      <c r="AW22" s="97" t="s">
        <v>808</v>
      </c>
      <c r="CV22" s="97" t="s">
        <v>1624</v>
      </c>
      <c r="CW22" s="230"/>
      <c r="CX22" s="230"/>
      <c r="CY22" s="246"/>
      <c r="CZ22" s="97" t="s">
        <v>1415</v>
      </c>
      <c r="DA22" s="97" t="s">
        <v>777</v>
      </c>
      <c r="DC22" s="97" t="s">
        <v>1624</v>
      </c>
      <c r="DD22" s="230"/>
      <c r="DE22" s="230"/>
      <c r="DF22" s="246"/>
      <c r="DG22" s="97" t="s">
        <v>1415</v>
      </c>
      <c r="DH22" s="97" t="s">
        <v>772</v>
      </c>
      <c r="DJ22" s="97" t="s">
        <v>1624</v>
      </c>
      <c r="DK22" s="230"/>
      <c r="DL22" s="230"/>
      <c r="DM22" s="246"/>
      <c r="DN22" s="97" t="s">
        <v>1415</v>
      </c>
      <c r="DO22" s="97" t="s">
        <v>780</v>
      </c>
      <c r="DQ22" s="97" t="s">
        <v>1624</v>
      </c>
      <c r="DR22" s="232"/>
      <c r="DS22" s="232"/>
      <c r="DT22" s="246"/>
      <c r="DU22" s="97" t="s">
        <v>1415</v>
      </c>
      <c r="DV22" s="97"/>
    </row>
    <row r="23" spans="30:126">
      <c r="AD23" s="97" t="s">
        <v>1625</v>
      </c>
      <c r="AE23" s="230"/>
      <c r="AF23" s="230"/>
      <c r="AG23" s="246"/>
      <c r="AH23" s="97" t="s">
        <v>1415</v>
      </c>
      <c r="AI23" s="97" t="s">
        <v>849</v>
      </c>
      <c r="AK23" s="97" t="s">
        <v>1625</v>
      </c>
      <c r="AL23" s="230"/>
      <c r="AM23" s="230"/>
      <c r="AN23" s="246"/>
      <c r="AO23" s="97" t="s">
        <v>1415</v>
      </c>
      <c r="AP23" s="97" t="s">
        <v>790</v>
      </c>
      <c r="AR23" s="97" t="s">
        <v>1625</v>
      </c>
      <c r="AS23" s="230"/>
      <c r="AT23" s="230"/>
      <c r="AU23" s="246"/>
      <c r="AV23" s="97" t="s">
        <v>1415</v>
      </c>
      <c r="AW23" s="97" t="s">
        <v>810</v>
      </c>
      <c r="CV23" s="97" t="s">
        <v>1625</v>
      </c>
      <c r="CW23" s="230"/>
      <c r="CX23" s="230"/>
      <c r="CY23" s="246"/>
      <c r="CZ23" s="97" t="s">
        <v>1415</v>
      </c>
      <c r="DA23" s="97" t="s">
        <v>777</v>
      </c>
      <c r="DC23" s="97" t="s">
        <v>1625</v>
      </c>
      <c r="DD23" s="230"/>
      <c r="DE23" s="230"/>
      <c r="DF23" s="246"/>
      <c r="DG23" s="97" t="s">
        <v>1415</v>
      </c>
      <c r="DH23" s="97" t="s">
        <v>772</v>
      </c>
      <c r="DJ23" s="97" t="s">
        <v>1625</v>
      </c>
      <c r="DK23" s="230"/>
      <c r="DL23" s="230"/>
      <c r="DM23" s="246"/>
      <c r="DN23" s="97" t="s">
        <v>1415</v>
      </c>
      <c r="DO23" s="97" t="s">
        <v>819</v>
      </c>
      <c r="DQ23" s="97" t="s">
        <v>1625</v>
      </c>
      <c r="DR23" s="232"/>
      <c r="DS23" s="232"/>
      <c r="DT23" s="246"/>
      <c r="DU23" s="97" t="s">
        <v>1415</v>
      </c>
      <c r="DV23" s="97"/>
    </row>
    <row r="24" spans="30:126">
      <c r="AD24" s="97" t="s">
        <v>1626</v>
      </c>
      <c r="AE24" s="230"/>
      <c r="AF24" s="230"/>
      <c r="AG24" s="246"/>
      <c r="AH24" s="97" t="s">
        <v>1415</v>
      </c>
      <c r="AI24" s="97" t="s">
        <v>849</v>
      </c>
      <c r="AK24" s="97" t="s">
        <v>1626</v>
      </c>
      <c r="AL24" s="230"/>
      <c r="AM24" s="230"/>
      <c r="AN24" s="246"/>
      <c r="AO24" s="97" t="s">
        <v>1415</v>
      </c>
      <c r="AP24" s="97" t="s">
        <v>816</v>
      </c>
      <c r="AR24" s="97" t="s">
        <v>1626</v>
      </c>
      <c r="AS24" s="230"/>
      <c r="AT24" s="230"/>
      <c r="AU24" s="246"/>
      <c r="AV24" s="97" t="s">
        <v>1415</v>
      </c>
      <c r="AW24" s="97" t="s">
        <v>811</v>
      </c>
      <c r="CV24" s="97" t="s">
        <v>1626</v>
      </c>
      <c r="CW24" s="230"/>
      <c r="CX24" s="230"/>
      <c r="CY24" s="246"/>
      <c r="CZ24" s="97" t="s">
        <v>1415</v>
      </c>
      <c r="DA24" s="97" t="s">
        <v>777</v>
      </c>
      <c r="DC24" s="97" t="s">
        <v>1626</v>
      </c>
      <c r="DD24" s="230"/>
      <c r="DE24" s="230"/>
      <c r="DF24" s="246"/>
      <c r="DG24" s="97" t="s">
        <v>1415</v>
      </c>
      <c r="DH24" s="97" t="s">
        <v>772</v>
      </c>
      <c r="DJ24" s="97" t="s">
        <v>1626</v>
      </c>
      <c r="DK24" s="230"/>
      <c r="DL24" s="230"/>
      <c r="DM24" s="246"/>
      <c r="DN24" s="97" t="s">
        <v>1415</v>
      </c>
      <c r="DO24" s="97" t="s">
        <v>780</v>
      </c>
      <c r="DQ24" s="97" t="s">
        <v>1626</v>
      </c>
      <c r="DR24" s="232"/>
      <c r="DS24" s="232"/>
      <c r="DT24" s="246"/>
      <c r="DU24" s="97" t="s">
        <v>1415</v>
      </c>
      <c r="DV24" s="97"/>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Feuil2"/>
  <dimension ref="A3:A9"/>
  <sheetViews>
    <sheetView workbookViewId="0">
      <selection activeCell="A4" sqref="A4"/>
    </sheetView>
  </sheetViews>
  <sheetFormatPr baseColWidth="10" defaultRowHeight="14.25"/>
  <cols>
    <col min="2" max="2" width="2.5" customWidth="1"/>
    <col min="3" max="3" width="3.5" customWidth="1"/>
    <col min="7" max="7" width="3.875" customWidth="1"/>
    <col min="8" max="8" width="4.875" customWidth="1"/>
    <col min="9" max="9" width="25.125" bestFit="1" customWidth="1"/>
    <col min="12" max="12" width="3.125" customWidth="1"/>
    <col min="13" max="13" width="25.125" bestFit="1" customWidth="1"/>
    <col min="16" max="16" width="3.5" customWidth="1"/>
    <col min="17" max="17" width="23.875" bestFit="1" customWidth="1"/>
    <col min="18" max="18" width="6.125" bestFit="1" customWidth="1"/>
  </cols>
  <sheetData>
    <row r="3" spans="1:1">
      <c r="A3" s="2" t="s">
        <v>0</v>
      </c>
    </row>
    <row r="4" spans="1:1">
      <c r="A4" s="3" t="s">
        <v>1</v>
      </c>
    </row>
    <row r="5" spans="1:1">
      <c r="A5" s="4" t="s">
        <v>2</v>
      </c>
    </row>
    <row r="6" spans="1:1">
      <c r="A6" s="5" t="s">
        <v>3</v>
      </c>
    </row>
    <row r="7" spans="1:1">
      <c r="A7" s="6" t="s">
        <v>4</v>
      </c>
    </row>
    <row r="8" spans="1:1">
      <c r="A8" s="7" t="s">
        <v>5</v>
      </c>
    </row>
    <row r="9" spans="1:1">
      <c r="A9" s="8" t="s">
        <v>6</v>
      </c>
    </row>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18</vt:i4>
      </vt:variant>
      <vt:variant>
        <vt:lpstr>Plages nommées</vt:lpstr>
      </vt:variant>
      <vt:variant>
        <vt:i4>3</vt:i4>
      </vt:variant>
    </vt:vector>
  </HeadingPairs>
  <TitlesOfParts>
    <vt:vector size="21" baseType="lpstr">
      <vt:lpstr>Modèle Equipement</vt:lpstr>
      <vt:lpstr>Règle Nommage</vt:lpstr>
      <vt:lpstr>Options</vt:lpstr>
      <vt:lpstr>Evo</vt:lpstr>
      <vt:lpstr>Todo</vt:lpstr>
      <vt:lpstr>Dev</vt:lpstr>
      <vt:lpstr>Tests Unitaire</vt:lpstr>
      <vt:lpstr>Graphes</vt:lpstr>
      <vt:lpstr>Type Signals</vt:lpstr>
      <vt:lpstr>API</vt:lpstr>
      <vt:lpstr>Conf-API</vt:lpstr>
      <vt:lpstr>Voies</vt:lpstr>
      <vt:lpstr>Signaux</vt:lpstr>
      <vt:lpstr>Instances</vt:lpstr>
      <vt:lpstr>Liste ES</vt:lpstr>
      <vt:lpstr>#API</vt:lpstr>
      <vt:lpstr>#Voies</vt:lpstr>
      <vt:lpstr>Modèle</vt:lpstr>
      <vt:lpstr>Evo</vt:lpstr>
      <vt:lpstr>'Liste ES'!Impression_des_titres</vt:lpstr>
      <vt:lpstr>SeuilRes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LAMOTHE (EQUANS FR)</dc:creator>
  <cp:lastModifiedBy>chris</cp:lastModifiedBy>
  <cp:lastPrinted>2025-10-21T12:07:39Z</cp:lastPrinted>
  <dcterms:created xsi:type="dcterms:W3CDTF">2025-02-25T14:07:11Z</dcterms:created>
  <dcterms:modified xsi:type="dcterms:W3CDTF">2026-10-30T13:45:29Z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4a238cc-6af3-4341-9d32-201b7e04331f_Enabled">
    <vt:lpwstr>true</vt:lpwstr>
  </property>
  <property fmtid="{D5CDD505-2E9C-101B-9397-08002B2CF9AE}" pid="3" name="MSIP_Label_64a238cc-6af3-4341-9d32-201b7e04331f_SetDate">
    <vt:lpwstr>2025-03-17T11:21:41Z</vt:lpwstr>
  </property>
  <property fmtid="{D5CDD505-2E9C-101B-9397-08002B2CF9AE}" pid="4" name="MSIP_Label_64a238cc-6af3-4341-9d32-201b7e04331f_Method">
    <vt:lpwstr>Standard</vt:lpwstr>
  </property>
  <property fmtid="{D5CDD505-2E9C-101B-9397-08002B2CF9AE}" pid="5" name="MSIP_Label_64a238cc-6af3-4341-9d32-201b7e04331f_Name">
    <vt:lpwstr>Internal</vt:lpwstr>
  </property>
  <property fmtid="{D5CDD505-2E9C-101B-9397-08002B2CF9AE}" pid="6" name="MSIP_Label_64a238cc-6af3-4341-9d32-201b7e04331f_SiteId">
    <vt:lpwstr>09ebfde1-6505-4c31-942f-18875ff0189d</vt:lpwstr>
  </property>
  <property fmtid="{D5CDD505-2E9C-101B-9397-08002B2CF9AE}" pid="7" name="MSIP_Label_64a238cc-6af3-4341-9d32-201b7e04331f_ActionId">
    <vt:lpwstr>80d170f8-77a9-428f-bfdd-9732969b4346</vt:lpwstr>
  </property>
  <property fmtid="{D5CDD505-2E9C-101B-9397-08002B2CF9AE}" pid="8" name="MSIP_Label_64a238cc-6af3-4341-9d32-201b7e04331f_ContentBits">
    <vt:lpwstr>0</vt:lpwstr>
  </property>
  <property fmtid="{D5CDD505-2E9C-101B-9397-08002B2CF9AE}" pid="9" name="MSIP_Label_64a238cc-6af3-4341-9d32-201b7e04331f_Tag">
    <vt:lpwstr>10, 3, 0, 1</vt:lpwstr>
  </property>
</Properties>
</file>